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0 START HERE" sheetId="1" r:id="rId5"/>
    <sheet state="visible" name="01 PAGE INVENTORY" sheetId="2" r:id="rId6"/>
    <sheet state="visible" name="02 CITY MASTER" sheetId="3" r:id="rId7"/>
    <sheet state="visible" name="03 KEYWORD MAP" sheetId="4" r:id="rId8"/>
    <sheet state="visible" name="04 PAGE BLUEPRINT" sheetId="5" r:id="rId9"/>
    <sheet state="visible" name="05 CONTENT RULES" sheetId="6" r:id="rId10"/>
    <sheet state="visible" name="06 FAQ BANK" sheetId="7" r:id="rId11"/>
    <sheet state="visible" name="07 SCHEMA LIBRARY" sheetId="8" r:id="rId12"/>
    <sheet state="visible" name="08 CALCULATORS" sheetId="9" r:id="rId13"/>
    <sheet state="visible" name="09 IMAGE &amp; ALT" sheetId="10" r:id="rId14"/>
    <sheet state="visible" name="10 INTERNAL LINKING" sheetId="11" r:id="rId15"/>
    <sheet state="visible" name="11 TECH SEO + HREFLANG" sheetId="12" r:id="rId16"/>
    <sheet state="visible" name="12 SUPPORTING PAGES" sheetId="13" r:id="rId17"/>
    <sheet state="visible" name="13 RESEARCH WORKLIST" sheetId="14" r:id="rId18"/>
    <sheet state="visible" name="14 ROLLOUT + QA GATE" sheetId="15" r:id="rId19"/>
    <sheet state="visible" name="15 PATTERN LIBRARY" sheetId="16" r:id="rId20"/>
    <sheet state="visible" name="16 CONTENT ANGLES" sheetId="17" r:id="rId21"/>
    <sheet state="visible" name="17 UNIQUENESS AUDIT" sheetId="18" r:id="rId22"/>
  </sheets>
  <definedNames>
    <definedName hidden="1" localSheetId="2" name="_xlnm._FilterDatabase">'02 CITY MASTER'!$A$3:$AU$1835</definedName>
    <definedName hidden="1" localSheetId="12" name="_xlnm._FilterDatabase">'12 SUPPORTING PAGES'!$A$4:$F$331</definedName>
    <definedName hidden="1" localSheetId="13" name="_xlnm._FilterDatabase">'13 RESEARCH WORKLIST'!$A$7:$J$1355</definedName>
  </definedNames>
  <calcPr/>
</workbook>
</file>

<file path=xl/sharedStrings.xml><?xml version="1.0" encoding="utf-8"?>
<sst xmlns="http://schemas.openxmlformats.org/spreadsheetml/2006/main" count="41667" uniqueCount="9558">
  <si>
    <t>CITY MASTER</t>
  </si>
  <si>
    <t>SAKSHI FORGE  |  ELECTROPOLISHED PIPE CITY-PAGE PROGRAMME</t>
  </si>
  <si>
    <t>KEYWORD MAP - 21 VARIANTS PER CITY, ONE URL</t>
  </si>
  <si>
    <t>PAGE INVENTORY BY MARKET</t>
  </si>
  <si>
    <t>Each variant is targeted in the named section of the single city page</t>
  </si>
  <si>
    <t>AMBER = research and edit by hand.  WHITE = formula, never type over.  Columns H-O are what make each page unique.</t>
  </si>
  <si>
    <t>2,159 pages  ·  18 countries  ·  one URL per city  ·  built for uniqueness, not volume</t>
  </si>
  <si>
    <t>Your three keywords</t>
  </si>
  <si>
    <t>Page ID</t>
  </si>
  <si>
    <t>Counts are COUNTIFS against the CITY MASTER - they move as you work</t>
  </si>
  <si>
    <t>THE OBJECTIVE: GOOGLE TRUSTS THIS SITE</t>
  </si>
  <si>
    <t>Rows 1, 2 and 3 are the exact terms you specified. They sit in the title/H1, in H2 block 2 and in H2 block 3 respectively, each with its own body copy and its own FAQ. The other 18 come free on the same page.</t>
  </si>
  <si>
    <t>Country</t>
  </si>
  <si>
    <t>State / Region</t>
  </si>
  <si>
    <t>City</t>
  </si>
  <si>
    <t>Display Name</t>
  </si>
  <si>
    <t>Tier</t>
  </si>
  <si>
    <t>Data Status</t>
  </si>
  <si>
    <t>1. Industrial Estates (all real names)</t>
  </si>
  <si>
    <t>2. Lead Estate (short)</t>
  </si>
  <si>
    <t>3. Dominant Industry Mix</t>
  </si>
  <si>
    <t>4. Short Industry Tag</t>
  </si>
  <si>
    <t>5. Logistics Gateway</t>
  </si>
  <si>
    <t>6. Transit Note</t>
  </si>
  <si>
    <t>7. Local Standard / Regulator</t>
  </si>
  <si>
    <t>What earns trust</t>
  </si>
  <si>
    <t>#</t>
  </si>
  <si>
    <t>8. Local Proof Point (one true sentence)</t>
  </si>
  <si>
    <t>Content Angle</t>
  </si>
  <si>
    <t>Keyword pattern</t>
  </si>
  <si>
    <t>Title Pattern</t>
  </si>
  <si>
    <t>Meta Pattern</t>
  </si>
  <si>
    <t>Intent</t>
  </si>
  <si>
    <t>Not page count. A site earns trust when each page tells a reader something they could not get from the other 1,831 pages. Every mechanism in this workbook exists to force that outcome and to let you measure whether you achieved it.</t>
  </si>
  <si>
    <t>Tier A</t>
  </si>
  <si>
    <t>H2 Set</t>
  </si>
  <si>
    <t>Where it is targeted</t>
  </si>
  <si>
    <t>FAQ Set</t>
  </si>
  <si>
    <t>Priority</t>
  </si>
  <si>
    <t>Tier B</t>
  </si>
  <si>
    <t>Pattern Fingerprint</t>
  </si>
  <si>
    <t>Tier C</t>
  </si>
  <si>
    <t>Targets across all cities</t>
  </si>
  <si>
    <t>Pages sharing this fingerprint</t>
  </si>
  <si>
    <t>Slug Override</t>
  </si>
  <si>
    <t>Total city pages</t>
  </si>
  <si>
    <t>URL Slug</t>
  </si>
  <si>
    <t>Data complete</t>
  </si>
  <si>
    <t>Full URL</t>
  </si>
  <si>
    <t>Structure decision</t>
  </si>
  <si>
    <t>Research outstanding</t>
  </si>
  <si>
    <t>Title Tag</t>
  </si>
  <si>
    <t>Waves</t>
  </si>
  <si>
    <t>Title QC</t>
  </si>
  <si>
    <t>Compliance anchor for this market</t>
  </si>
  <si>
    <t>Meta Description</t>
  </si>
  <si>
    <t>electropolished pipes manufacturer in {city}</t>
  </si>
  <si>
    <t>Meta QC</t>
  </si>
  <si>
    <t>H1</t>
  </si>
  <si>
    <t>H2 - Manufacturer</t>
  </si>
  <si>
    <t>India</t>
  </si>
  <si>
    <t>H2 - Supplier</t>
  </si>
  <si>
    <t>ONE URL per city. Manufacturer, supplier and wholesaler are covered as three distinct H2 sections on that page, with their own body copy and their own FAQ. Sheet 03 shows all 21 keyword variants mapped to the section that targets them. Three URLs per city would have been the same buyer, same need, same answer - which is how Google defines a doorway page regardless of how differently the text is worded.</t>
  </si>
  <si>
    <t>H2 - Wholesaler</t>
  </si>
  <si>
    <t>Transactional</t>
  </si>
  <si>
    <t>Meta Keywords</t>
  </si>
  <si>
    <t>OG / Twitter Title</t>
  </si>
  <si>
    <t>Title tag, H1, URL slug, first 100 words, breadcrumb</t>
  </si>
  <si>
    <t>OG / Twitter Description</t>
  </si>
  <si>
    <t>Hero Image ALT</t>
  </si>
  <si>
    <t>PRIMARY</t>
  </si>
  <si>
    <t>Hero Image Title</t>
  </si>
  <si>
    <t>Breadcrumb Trail</t>
  </si>
  <si>
    <t>Word Target</t>
  </si>
  <si>
    <t>Min FAQs</t>
  </si>
  <si>
    <t>Min Internal Links</t>
  </si>
  <si>
    <t>THE UNIQUENESS ENGINE - WHAT CHANGED IN THIS VERSION</t>
  </si>
  <si>
    <t>Rollout Wave</t>
  </si>
  <si>
    <t>Title Override</t>
  </si>
  <si>
    <t>Meta Description Override</t>
  </si>
  <si>
    <t>Build Status</t>
  </si>
  <si>
    <t>Indexed in GSC</t>
  </si>
  <si>
    <t>CTY-0001</t>
  </si>
  <si>
    <t>The problem it solves</t>
  </si>
  <si>
    <t>A city page programme fails when the only variable is the city name. This build attacks that from four directions at once, so no two pages share a structure OR a data set.</t>
  </si>
  <si>
    <t>Uttar Pradesh</t>
  </si>
  <si>
    <t>Agra</t>
  </si>
  <si>
    <t>A</t>
  </si>
  <si>
    <t>VERIFIED</t>
  </si>
  <si>
    <t>Mechanism</t>
  </si>
  <si>
    <t>How it works</t>
  </si>
  <si>
    <t>Sikandra Industrial Area, Runakta UPSIDA</t>
  </si>
  <si>
    <t>Sikandra Industrial Area</t>
  </si>
  <si>
    <t>Leather, food processing, engineering</t>
  </si>
  <si>
    <t>food processing</t>
  </si>
  <si>
    <t>ICD Dadri (180 km)</t>
  </si>
  <si>
    <t>1-2 day road transit from our Mumbai works</t>
  </si>
  <si>
    <t>FSSAI licensing; 3-A Sanitary Standards on product-contact lines</t>
  </si>
  <si>
    <t>VERIFY</t>
  </si>
  <si>
    <t>8 unique data fields</t>
  </si>
  <si>
    <t>Every page carries 8 researched, city-only facts - estates, lead estate, industry mix, tag, gateway, transit note, local regulator, local proof point. These are the sentences that break when you swap the city name.</t>
  </si>
  <si>
    <t>1,832 x 8 = 14,656 facts</t>
  </si>
  <si>
    <t>Informational uniqueness</t>
  </si>
  <si>
    <t>Pattern rotation</t>
  </si>
  <si>
    <t>Title suffix, meta template and H2 phrasing are assigned by position using coprime moduli, so structurally adjacent pages never share a template.</t>
  </si>
  <si>
    <t>8 titles x 7 metas x 5 H2 sets</t>
  </si>
  <si>
    <t>Structural uniqueness</t>
  </si>
  <si>
    <t>Content angle</t>
  </si>
  <si>
    <t>The page shape changes with the dominant local industry. A Baddi page leads on formulations and packaging; a Kulim page leads on wafer fab and SEMI F19. Different sections, standards, grades, images.</t>
  </si>
  <si>
    <t>electropolished pipes supplier in {city}</t>
  </si>
  <si>
    <t>8 angles</t>
  </si>
  <si>
    <t>Editorial uniqueness</t>
  </si>
  <si>
    <t>H2 block 2 + its body copy + assigned supplier FAQ</t>
  </si>
  <si>
    <t>FAQ set assignment</t>
  </si>
  <si>
    <t>Each city is pre-assigned a named set from the 48-template bank, rotated so neighbouring cities overlap by less than half.</t>
  </si>
  <si>
    <t>6 sets per tier</t>
  </si>
  <si>
    <t>Q&amp;A uniqueness</t>
  </si>
  <si>
    <t>Measured, not claimed</t>
  </si>
  <si>
    <t>Column U of the CITY MASTER writes a pattern fingerprint for every page and column V counts how many other pages share it. Sheet 17 UNIQUENESS AUDIT turns that into a scorecard. If the number is wrong you will see it before Google does.</t>
  </si>
  <si>
    <t>electropolished pipes wholesaler in {city}</t>
  </si>
  <si>
    <t>H2 block 3 + bulk pricing copy + assigned wholesale FAQ</t>
  </si>
  <si>
    <t>THE HONEST COST</t>
  </si>
  <si>
    <t>electropolished pipes dealer in {city}</t>
  </si>
  <si>
    <t>H2 block 3, first sentence</t>
  </si>
  <si>
    <t>Secondary</t>
  </si>
  <si>
    <t>Research load</t>
  </si>
  <si>
    <t>484 rows arrive with real desk-researched data. 1,348 rows are seeded with placeholders and need local research. At roughly 20 minutes per city that is about 449 hours. You have said you will do it - sheet 13 is the worklist and it names the exact source to use for every state and country.</t>
  </si>
  <si>
    <t>electropolished pipes distributor in {city}</t>
  </si>
  <si>
    <t>H2 block 3, second sentence</t>
  </si>
  <si>
    <t>electropolished pipes stockist in {city}</t>
  </si>
  <si>
    <t>Stock availability table intro</t>
  </si>
  <si>
    <t>The rule that protects you</t>
  </si>
  <si>
    <t>A row whose Data Status still reads VERIFY must not be published. Not as a thin page, not as a placeholder. Cut the city instead. One doorway page in a batch can pull the whole batch down with it.</t>
  </si>
  <si>
    <t>electropolished tube manufacturer in {city}</t>
  </si>
  <si>
    <t>H2 block 1 + spec table caption</t>
  </si>
  <si>
    <t>Pace</t>
  </si>
  <si>
    <t>60 pages per week, 31 waves. This is not a launch, it is a build-out. The pace is itself a trust signal - and it gives you a feedback loop at wave 3 instead of a nasty surprise at page 1,800.</t>
  </si>
  <si>
    <t>EP pipe supplier in {city}</t>
  </si>
  <si>
    <t>Supplier FAQ answer, abbreviation variant</t>
  </si>
  <si>
    <t>SHEET INDEX</t>
  </si>
  <si>
    <t>electropolished pipes exporter {city}</t>
  </si>
  <si>
    <t>Logistics section, export documentation line</t>
  </si>
  <si>
    <t>BIS; CDSCO/state FDA for pharma; FSSAI for food and dairy; buyer-specified ASTM A270 and ASME BPE</t>
  </si>
  <si>
    <t>sanitary tube supplier in {city}</t>
  </si>
  <si>
    <t>Commercial</t>
  </si>
  <si>
    <t>Applications section intro</t>
  </si>
  <si>
    <t>01 PAGE INVENTORY</t>
  </si>
  <si>
    <t>Counts by country and tier, live from the CITY MASTER.</t>
  </si>
  <si>
    <t>UAE</t>
  </si>
  <si>
    <t>02 CITY MASTER</t>
  </si>
  <si>
    <t>ASME BPE tubing supplier {city}</t>
  </si>
  <si>
    <t>1,832 rows. 8 research fields + rotation assignment + every generated SEO field.</t>
  </si>
  <si>
    <t>Standards table row</t>
  </si>
  <si>
    <t>03 KEYWORD MAP</t>
  </si>
  <si>
    <t>21 keyword variants per city, each mapped to the page section that targets it.</t>
  </si>
  <si>
    <t>ASTM A270 tube supplier {city}</t>
  </si>
  <si>
    <t>04 PAGE BLUEPRINT</t>
  </si>
  <si>
    <t>Section-by-section wireframe with word budgets by tier.</t>
  </si>
  <si>
    <t>SS 316L electropolished pipe {city}</t>
  </si>
  <si>
    <t>Grades table, 316L row</t>
  </si>
  <si>
    <t>05 CONTENT RULES</t>
  </si>
  <si>
    <t>The find-and-replace test and the five fields that carry uniqueness.</t>
  </si>
  <si>
    <t>SS 304 electropolished pipe {city}</t>
  </si>
  <si>
    <t>06 FAQ BANK</t>
  </si>
  <si>
    <t>48 templates plus the FAQ SET assignment table.</t>
  </si>
  <si>
    <t>Grades table, 304 row</t>
  </si>
  <si>
    <t>07 SCHEMA LIBRARY</t>
  </si>
  <si>
    <t>Six JSON-LD blocks, copy-paste ready.</t>
  </si>
  <si>
    <t>electropolished pipe price in {city}</t>
  </si>
  <si>
    <t>Pricing / RFQ section + pricing FAQ</t>
  </si>
  <si>
    <t>08 CALCULATORS</t>
  </si>
  <si>
    <t>Competitor tool audit plus build spec for 12 tools.</t>
  </si>
  <si>
    <t>electropolished pipe near me</t>
  </si>
  <si>
    <t>Local</t>
  </si>
  <si>
    <t>09 IMAGE &amp; ALT</t>
  </si>
  <si>
    <t>Service schema areaServed + NAP block</t>
  </si>
  <si>
    <t>Image slots, alt patterns, filename rules.</t>
  </si>
  <si>
    <t>10 INTERNAL LINKING</t>
  </si>
  <si>
    <t>Silo depth, link counts, anchor diversity.</t>
  </si>
  <si>
    <t>pharma grade SS tube supplier {city}</t>
  </si>
  <si>
    <t>PHARMA angle pages only - see sheet 16</t>
  </si>
  <si>
    <t>Long tail</t>
  </si>
  <si>
    <t>11 TECH SEO + HREFLANG</t>
  </si>
  <si>
    <t>Staged checklist. Stage 0 blocks everything.</t>
  </si>
  <si>
    <t>ASME BPE, ASTM A270, EN 10204 3.1, ESMA conformity, Halal-plant hygiene norms</t>
  </si>
  <si>
    <t>hygienic tube supplier {city}</t>
  </si>
  <si>
    <t>Saudi Arabia</t>
  </si>
  <si>
    <t>DAIRY / FOOD / BREWERY angle pages only</t>
  </si>
  <si>
    <t>12 SUPPORTING PAGES</t>
  </si>
  <si>
    <t>327 non-city URLs.</t>
  </si>
  <si>
    <t>UHP tube supplier {city}</t>
  </si>
  <si>
    <t>SEMI angle pages only. Cite SEMI F19 / F17.</t>
  </si>
  <si>
    <t>13 RESEARCH WORKLIST</t>
  </si>
  <si>
    <t>1,348 rows with the exact source to research each one.</t>
  </si>
  <si>
    <t>orbital welded tube supplier {city}</t>
  </si>
  <si>
    <t>Fabrication support section</t>
  </si>
  <si>
    <t>14 ROLLOUT + QA GATE</t>
  </si>
  <si>
    <t>Waves, gates and the 20-point pre-publish check.</t>
  </si>
  <si>
    <t>electropolished pipe supplier in {estate}</t>
  </si>
  <si>
    <t>15 PATTERN LIBRARY</t>
  </si>
  <si>
    <t>Hyper-local</t>
  </si>
  <si>
    <t>The 8 title, 7 meta and 5 H2 variants, in full.</t>
  </si>
  <si>
    <t>Local industry paragraph - uses the real Lead Estate from column I</t>
  </si>
  <si>
    <t>16 CONTENT ANGLES</t>
  </si>
  <si>
    <t>How the page changes for each of the 8 industry angles.</t>
  </si>
  <si>
    <t>TOTAL KEYWORD TARGETS</t>
  </si>
  <si>
    <t>17 UNIQUENESS AUDIT</t>
  </si>
  <si>
    <t>Live scorecard proving the pages are not clones.</t>
  </si>
  <si>
    <t>ASME BPE, ASTM A270, EN 10204 3.1, SASO / SABER certificate of conformity mandatory</t>
  </si>
  <si>
    <t>Anchor rule</t>
  </si>
  <si>
    <t>Qatar</t>
  </si>
  <si>
    <t>Never repeat the same anchor phrasing twice on one page. If H2 block 2 reads 'Electropolished Pipes Supplier in Ankleshwar', its FAQ must ask differently - 'Who supplies EP tube to Ankleshwar plants?'</t>
  </si>
  <si>
    <t>Semiconductor accuracy</t>
  </si>
  <si>
    <t>SEMI-angle pages cite SEMI F19 and SEMI F17. Never SEMI F57 - that governs polymer components for ultrapure water, not stainless UHP tubing. A competitor has this wrong; being right is a genuine trust signal.</t>
  </si>
  <si>
    <t>ASME BPE, ASTM A270, EN 10204 3.1, QS conformity</t>
  </si>
  <si>
    <t>Oman</t>
  </si>
  <si>
    <t>ASME BPE, ASTM A270, EN 10204 3.1, DGSM conformity</t>
  </si>
  <si>
    <t>Kuwait</t>
  </si>
  <si>
    <t>ASME BPE, ASTM A270, EN 10204 3.1, KUCAS conformity scheme</t>
  </si>
  <si>
    <t>Bahrain</t>
  </si>
  <si>
    <t>ASME BPE, ASTM A270, EN 10204 3.1, BSMD conformity</t>
  </si>
  <si>
    <t>USA</t>
  </si>
  <si>
    <t>Not started</t>
  </si>
  <si>
    <t>CTY-0002</t>
  </si>
  <si>
    <t>Gujarat</t>
  </si>
  <si>
    <t>Ahmedabad</t>
  </si>
  <si>
    <t>Odhav GIDC, Vatva GIDC, Naroda GIDC, Changodar</t>
  </si>
  <si>
    <t>Odhav GIDC</t>
  </si>
  <si>
    <t>Pharmaceutical formulations, dyes and intermediates, food processing</t>
  </si>
  <si>
    <t>pharma</t>
  </si>
  <si>
    <t>Mundra Port (350 km)</t>
  </si>
  <si>
    <t>2-3 day road transit from our Mumbai works</t>
  </si>
  <si>
    <t>CDSCO + state FDA licensed plants; WHO-GMP and USFDA documentation common</t>
  </si>
  <si>
    <t>ASME BPE SF1-SF6, ASTM A270 S2 pharma grade, 3-A Sanitary Standards, FDA 21 CFR 177, SEMI F19/F17 for semiconductor</t>
  </si>
  <si>
    <t>UK</t>
  </si>
  <si>
    <t>CTY-0003</t>
  </si>
  <si>
    <t>Rajasthan</t>
  </si>
  <si>
    <t>Alwar</t>
  </si>
  <si>
    <t>Alwar RIICO, MIA Alwar, Neemrana Japanese Zone</t>
  </si>
  <si>
    <t>Alwar RIICO</t>
  </si>
  <si>
    <t>Automotive, engineering, food processing</t>
  </si>
  <si>
    <t>ICD Tughlakabad (150 km)</t>
  </si>
  <si>
    <t>ASME BPE, ASTM A270, EN 10217-7, EN 10204 3.1, UKCA marking, PED/UK PER for pressure equipment</t>
  </si>
  <si>
    <t>Germany</t>
  </si>
  <si>
    <t>CTY-0004</t>
  </si>
  <si>
    <t>Haryana</t>
  </si>
  <si>
    <t>Ambala</t>
  </si>
  <si>
    <t>Ambala Industrial Area, Ambala Cantt Estate</t>
  </si>
  <si>
    <t>Ambala Industrial Area</t>
  </si>
  <si>
    <t>Scientific instruments, engineering, mixers</t>
  </si>
  <si>
    <t>engineering &amp; process</t>
  </si>
  <si>
    <t>ICD Ludhiana (170 km)</t>
  </si>
  <si>
    <t>BIS and buyer-specified ASTM A270 / ASME BPE; EN 10204 3.1 MTC standard</t>
  </si>
  <si>
    <t>CITY PAGE BLUEPRINT</t>
  </si>
  <si>
    <t>EN 10217-7, EN 10357, DIN 11850, ASME BPE, EN 10204 3.1/3.2, PED 2014/68/EU, EHEDG hygienic design</t>
  </si>
  <si>
    <t>Netherlands</t>
  </si>
  <si>
    <t>CONTENT RULES &amp; THE FIND-AND-REPLACE TEST</t>
  </si>
  <si>
    <t>Section order top to bottom. UNIQUE = must differ per city. TEMPLATE = safe to reuse verbatim.</t>
  </si>
  <si>
    <t>Give this sheet to whoever writes the pages.</t>
  </si>
  <si>
    <t>The rule</t>
  </si>
  <si>
    <t>A city page is compliant when the UNIQUE sections carry real, checkable local facts. Template sections are fine to repeat - Google expects a company to describe its own products the same way everywhere. What it penalises is a page where the ONLY thing that changes is the city name.</t>
  </si>
  <si>
    <t>THE TEST THAT DECIDES EVERYTHING</t>
  </si>
  <si>
    <t>Section</t>
  </si>
  <si>
    <t>CTY-0005</t>
  </si>
  <si>
    <t>Maharashtra</t>
  </si>
  <si>
    <t>Ambernath</t>
  </si>
  <si>
    <t>Type</t>
  </si>
  <si>
    <t>What goes in it</t>
  </si>
  <si>
    <t>Ambernath MIDC (Anand Nagar), Additional Ambernath</t>
  </si>
  <si>
    <t>Ambernath MIDC (Anand Nagar)</t>
  </si>
  <si>
    <t>Chemicals, pharma intermediates, engineering</t>
  </si>
  <si>
    <t>chemical</t>
  </si>
  <si>
    <t>Words (Tier A)</t>
  </si>
  <si>
    <t>JNPT Nhava Sheva (60 km)</t>
  </si>
  <si>
    <t>Find-and-replace test</t>
  </si>
  <si>
    <t>Words (Tier B)</t>
  </si>
  <si>
    <t>same-day to next-day road from our Mumbai works</t>
  </si>
  <si>
    <t>PESO / OISD for hazardous service; IBR where applicable</t>
  </si>
  <si>
    <t>Words (Tier C)</t>
  </si>
  <si>
    <t>Source column in CITY MASTER</t>
  </si>
  <si>
    <t>Take a finished city page. Replace every instance of the city name with a different city. If the page is still 100% accurate, it is a doorway page and Google will treat it as one. At least three factual claims on the page must break when you swap the city. Test one page in every batch of ten before publishing.</t>
  </si>
  <si>
    <t>Breadcrumb</t>
  </si>
  <si>
    <t>TEMPLATE</t>
  </si>
  <si>
    <t>Home &gt; Market Area &gt; Country &gt; Region &gt; City. Must match BreadcrumbList schema exactly.</t>
  </si>
  <si>
    <t>THE FIVE FIELDS THAT CARRY THE UNIQUENESS</t>
  </si>
  <si>
    <t>Col AA</t>
  </si>
  <si>
    <t>H1 + intro paragraph</t>
  </si>
  <si>
    <t>UNIQUE</t>
  </si>
  <si>
    <t>H1 is the manufacturer keyword. Intro names the city, its real industrial estates and its dominant industry mix in the first 100 words. This paragraph alone decides whether the page reads local.</t>
  </si>
  <si>
    <t>Cols R, F, G</t>
  </si>
  <si>
    <t>Field</t>
  </si>
  <si>
    <t>Trust strip</t>
  </si>
  <si>
    <t>Column</t>
  </si>
  <si>
    <t>Why it matters</t>
  </si>
  <si>
    <t>ISO 9001:2015, years in operation, plant location Mumbai, MTC with every lot, PMI testing. Same on every page.</t>
  </si>
  <si>
    <t>How to source it</t>
  </si>
  <si>
    <t>Failure mode</t>
  </si>
  <si>
    <t>EN 10217-7, EN 10357, ASME BPE, EN 10204 3.1, PED 2014/68/EU, EHEDG</t>
  </si>
  <si>
    <t>-</t>
  </si>
  <si>
    <t>Time per city</t>
  </si>
  <si>
    <t>H2-1 Manufacturing capability</t>
  </si>
  <si>
    <t>Italy</t>
  </si>
  <si>
    <t>Grades, OD range, wall range, Ra achievable, EP process, orbital weld capability, in-house testing. Identical site-wide.</t>
  </si>
  <si>
    <t>Industrial estate names</t>
  </si>
  <si>
    <t>Col S</t>
  </si>
  <si>
    <t>F</t>
  </si>
  <si>
    <t>Spec table</t>
  </si>
  <si>
    <t>OD, wall, grade, standard, Ra (um and uin), SF grade, finish. Real table, not an image.</t>
  </si>
  <si>
    <t>Names a real place a local buyer recognises. Also captures 'EP pipe supplier in {estate}' searches.</t>
  </si>
  <si>
    <t>H2-2 Supply to this city</t>
  </si>
  <si>
    <t>State IDC website (MIDC/GIDC/SIPCOT), district industrial profile PDFs, Google Maps industrial area layer.</t>
  </si>
  <si>
    <t>Writing 'the industrial area of X'. Generic = doorway.</t>
  </si>
  <si>
    <t>Stock position, lead time from Mumbai to THIS city, transport lane, gateway port or ICD, typical order sizes seen from this market.</t>
  </si>
  <si>
    <t>8 min</t>
  </si>
  <si>
    <t>Dominant industry mix</t>
  </si>
  <si>
    <t>Cols T, I</t>
  </si>
  <si>
    <t>G</t>
  </si>
  <si>
    <t>Local industry context</t>
  </si>
  <si>
    <t>Determines which applications, standards and Ra grades the page should discuss.</t>
  </si>
  <si>
    <t>District industrial profile, MSME DI reports, local industry association member lists.</t>
  </si>
  <si>
    <t>The named industrial estates. What is actually made there. Which of those processes need EP tube and why. This is the single highest-value block on the page.</t>
  </si>
  <si>
    <t>Listing all eight industries on every page.</t>
  </si>
  <si>
    <t>6 min</t>
  </si>
  <si>
    <t>Cols F, G, H</t>
  </si>
  <si>
    <t>Logistics gateway + transit</t>
  </si>
  <si>
    <t>H2-3 Wholesale and bulk</t>
  </si>
  <si>
    <t>I</t>
  </si>
  <si>
    <t>Genuinely differs per city and is the question buyers actually ask.</t>
  </si>
  <si>
    <t>Bulk/project pricing logic, MOQ, project supply terms, distributor enquiries from this region.</t>
  </si>
  <si>
    <t>Distance from Mumbai plant, nearest port or ICD, realistic road transit days.</t>
  </si>
  <si>
    <t>Inventing lead times you cannot meet. Legal and reputational risk.</t>
  </si>
  <si>
    <t>4 min</t>
  </si>
  <si>
    <t>Col U</t>
  </si>
  <si>
    <t>Short industry tag</t>
  </si>
  <si>
    <t>Standards and certification</t>
  </si>
  <si>
    <t>H</t>
  </si>
  <si>
    <t>Feeds the meta description so no two metas are identical.</t>
  </si>
  <si>
    <t>ASTM A270, ASME BPE SF1-SF6 table, EN 10204 3.1/3.2, SEMI F19/F17 where semiconductor applies.</t>
  </si>
  <si>
    <t>Two words pulled from column G.</t>
  </si>
  <si>
    <t>Leaving the VERIFY placeholder in - it will publish.</t>
  </si>
  <si>
    <t>1 min</t>
  </si>
  <si>
    <t>Local proof point</t>
  </si>
  <si>
    <t>Applications by industry</t>
  </si>
  <si>
    <t>manual</t>
  </si>
  <si>
    <t>SEMI-UNIQUE</t>
  </si>
  <si>
    <t>One verifiable sentence: a supply reference, a plant type served, a regional standard.</t>
  </si>
  <si>
    <t>Pick only the industries that exist in THIS city from column G. Do not list all eight everywhere.</t>
  </si>
  <si>
    <t>Sales team dispatch records. Anonymise the client if needed - 'a WFI loop at a formulations plant in X'.</t>
  </si>
  <si>
    <t>Fabricated case studies. Worst possible outcome if a buyer checks.</t>
  </si>
  <si>
    <t>5 min</t>
  </si>
  <si>
    <t>Col G</t>
  </si>
  <si>
    <t>Calculator embed</t>
  </si>
  <si>
    <t>CTY-0006</t>
  </si>
  <si>
    <t>Per city</t>
  </si>
  <si>
    <t>Punjab</t>
  </si>
  <si>
    <t>Embed or link 2-3 tools from sheet 08. Tier A embeds live; Tier B/C link.</t>
  </si>
  <si>
    <t>Amritsar</t>
  </si>
  <si>
    <t>24 min</t>
  </si>
  <si>
    <t>Focal Point Amritsar, Mehta Road Estate</t>
  </si>
  <si>
    <t>Focal Point Amritsar</t>
  </si>
  <si>
    <t>Sheet 08</t>
  </si>
  <si>
    <t>Food processing, textiles, engineering</t>
  </si>
  <si>
    <t>ICD Ludhiana (140 km)</t>
  </si>
  <si>
    <t>All 1,832 cities</t>
  </si>
  <si>
    <t>FAQ block</t>
  </si>
  <si>
    <t>At 60 pages/week this spreads across ~31 weeks. It is not a one-week job.</t>
  </si>
  <si>
    <t>MIXED</t>
  </si>
  <si>
    <t>See sheet 06. Tier A 10 FAQs of which 4 city-specific; Tier B 8 of which 3; Tier C 6 of which 2.</t>
  </si>
  <si>
    <t>Sheet 06</t>
  </si>
  <si>
    <t>Logistics and delivery</t>
  </si>
  <si>
    <t>Transit lane, realistic transit days, packing, export docs if international.</t>
  </si>
  <si>
    <t>Col I</t>
  </si>
  <si>
    <t>RFQ block + NAP</t>
  </si>
  <si>
    <t>Form, phone, WhatsApp, email, Mumbai address. Consistent NAP across every page and directory.</t>
  </si>
  <si>
    <t>Internal links</t>
  </si>
  <si>
    <t>Up to country/state hub, across to 3 nearby cities, down to 2 product pages and 2 tools.</t>
  </si>
  <si>
    <t>Sheet 10</t>
  </si>
  <si>
    <t>TOTAL WORDS</t>
  </si>
  <si>
    <t>EN 10217-7, EN 10357, ASME BPE, EN 10204 3.1, PED 2014/68/EU, UNI hygienic norms</t>
  </si>
  <si>
    <t>HARD RULES</t>
  </si>
  <si>
    <t>Spain</t>
  </si>
  <si>
    <t>Rule</t>
  </si>
  <si>
    <t>Why</t>
  </si>
  <si>
    <t>Never publish a VERIFY row</t>
  </si>
  <si>
    <t>Sheet 13 lists them. A VERIFY row published as-is is a doorway page by definition.</t>
  </si>
  <si>
    <t>Unique share</t>
  </si>
  <si>
    <t>CTY-0007</t>
  </si>
  <si>
    <t>Add up the UNIQUE and SEMI-UNIQUE rows: roughly 60% of a Tier A page and 55% of a Tier C page is city-specific. Below about 40% the page starts reading as templated.</t>
  </si>
  <si>
    <t>Anand</t>
  </si>
  <si>
    <t>Never spin text</t>
  </si>
  <si>
    <t>Vithal Udyognagar GIDC, Anand GIDC</t>
  </si>
  <si>
    <t>Vithal Udyognagar GIDC</t>
  </si>
  <si>
    <t>Dairy processing, pharmaceutical, food</t>
  </si>
  <si>
    <t>pharma &amp; food &amp; dairy</t>
  </si>
  <si>
    <t>Synonym-swapped paragraphs are detected and are worse than a shorter honest page.</t>
  </si>
  <si>
    <t>Hazira Port (170 km)</t>
  </si>
  <si>
    <t>Never invent an estate name</t>
  </si>
  <si>
    <t>A buyer in that city will know immediately. Reputational damage outweighs any ranking.</t>
  </si>
  <si>
    <t>Never claim a certification you lack</t>
  </si>
  <si>
    <t>Only ISO 9001:2015 unless and until others are actually held.</t>
  </si>
  <si>
    <t>Never state a lead time sales cannot meet</t>
  </si>
  <si>
    <t>Get column I signed off by whoever runs dispatch.</t>
  </si>
  <si>
    <t>EN 10217-7, EN 10357, ASME BPE, EN 10204 3.1, PED 2014/68/EU</t>
  </si>
  <si>
    <t>Australia</t>
  </si>
  <si>
    <t>Use SEMI F19 and SEMI F17</t>
  </si>
  <si>
    <t>For semiconductor content. Not SEMI F57 - a competitor has this wrong, do not copy it.</t>
  </si>
  <si>
    <t>One page per city</t>
  </si>
  <si>
    <t>Manufacturer, supplier and wholesaler live as H2 blocks on that one page.</t>
  </si>
  <si>
    <t>Cap at 60 new pages per week</t>
  </si>
  <si>
    <t>Sudden bulk publication of near-identical URLs is the strongest scaled-content signal.</t>
  </si>
  <si>
    <t>Do not block PDFs in robots.txt</t>
  </si>
  <si>
    <t>CTY-0008</t>
  </si>
  <si>
    <t>MTCs and Ra/SF datasheets are citation assets for AI search. Let them be crawled.</t>
  </si>
  <si>
    <t>Andhra Pradesh</t>
  </si>
  <si>
    <t>Anantapur</t>
  </si>
  <si>
    <t>Hindupur APIIC, Anantapur Industrial Park</t>
  </si>
  <si>
    <t>Hindupur APIIC</t>
  </si>
  <si>
    <t>Automotive, textiles, food processing</t>
  </si>
  <si>
    <t>Krishnapatnam Port (400 km)</t>
  </si>
  <si>
    <t>Fix indexation before scaling</t>
  </si>
  <si>
    <t>If Search Console shows the existing pages are not indexed, no new page will rank either.</t>
  </si>
  <si>
    <t>ASME BPE, ASTM A270, AS 1528 hygienic tube, AS/NZS 3500, EN 10204 3.1</t>
  </si>
  <si>
    <t>Singapore</t>
  </si>
  <si>
    <t>CTY-0009</t>
  </si>
  <si>
    <t>Odisha</t>
  </si>
  <si>
    <t>Angul</t>
  </si>
  <si>
    <t>Angul Industrial Belt IDCO</t>
  </si>
  <si>
    <t>Aluminium, steel, power</t>
  </si>
  <si>
    <t>Paradip Port (200 km)</t>
  </si>
  <si>
    <t>ASME BPE, ASTM A270, SEMI F19/F17 for semiconductor fabs, EN 10204 3.1</t>
  </si>
  <si>
    <t>Malaysia</t>
  </si>
  <si>
    <t>CTY-0010</t>
  </si>
  <si>
    <t>Ankleshwar</t>
  </si>
  <si>
    <t>Ankleshwar GIDC, Panoli GIDC</t>
  </si>
  <si>
    <t>Ankleshwar GIDC</t>
  </si>
  <si>
    <t>Bulk drugs, API, agrochemicals, dyes and intermediates</t>
  </si>
  <si>
    <t>pharma &amp; API</t>
  </si>
  <si>
    <t>Hazira Port (75 km)</t>
  </si>
  <si>
    <t>CTY-0011</t>
  </si>
  <si>
    <t>Aurangabad</t>
  </si>
  <si>
    <t>Waluj MIDC, Shendra MIDC, Chikalthana MIDC, AURIC Bidkin</t>
  </si>
  <si>
    <t>Waluj MIDC</t>
  </si>
  <si>
    <t>Pharmaceutical formulations, brewery, food and dairy, automotive</t>
  </si>
  <si>
    <t>JNPT Nhava Sheva (380 km)</t>
  </si>
  <si>
    <t>ASME BPE, ASTM A270, MS hygienic standards, SEMI F19/F17 for Penang fabs, EN 10204 3.1</t>
  </si>
  <si>
    <t>Indonesia</t>
  </si>
  <si>
    <t>CTY-0012</t>
  </si>
  <si>
    <t>Himachal Pradesh</t>
  </si>
  <si>
    <t>Baddi</t>
  </si>
  <si>
    <t>Baddi Industrial Area, EPIP Phase I &amp; II</t>
  </si>
  <si>
    <t>Baddi Industrial Area</t>
  </si>
  <si>
    <t>Pharmaceutical formulations, FMCG, packaging</t>
  </si>
  <si>
    <t>ICD Ludhiana (120 km)</t>
  </si>
  <si>
    <t>ASME BPE, ASTM A270, SNI conformity, Halal plant hygiene norms, EN 10204 3.1</t>
  </si>
  <si>
    <t>Vietnam</t>
  </si>
  <si>
    <t>CTY-0013</t>
  </si>
  <si>
    <t>Badlapur</t>
  </si>
  <si>
    <t>Badlapur MIDC</t>
  </si>
  <si>
    <t>Specialty chemicals, pharma intermediates</t>
  </si>
  <si>
    <t>specialty chemical</t>
  </si>
  <si>
    <t>JNPT Nhava Sheva (65 km)</t>
  </si>
  <si>
    <t>ASME BPE, ASTM A270, TCVN conformity, SEMI F19/F17 for electronics fabs, EN 10204 3.1</t>
  </si>
  <si>
    <t>TOTAL</t>
  </si>
  <si>
    <t>EXPORT CONTEXT PER MARKET - use these on the country hub and in FAQ answers</t>
  </si>
  <si>
    <t>CTY-0014</t>
  </si>
  <si>
    <t>Bahadurgarh</t>
  </si>
  <si>
    <t>Bahadurgarh HSIIDC Industrial Estate</t>
  </si>
  <si>
    <t>Footwear, engineering, packaging</t>
  </si>
  <si>
    <t>ICD Tughlakabad (45 km)</t>
  </si>
  <si>
    <t>FAQ BANK - 48 TEMPLATES</t>
  </si>
  <si>
    <t>Gateway port</t>
  </si>
  <si>
    <t>Sea transit from Nhava Sheva</t>
  </si>
  <si>
    <t>Incoterm</t>
  </si>
  <si>
    <t>Regulator</t>
  </si>
  <si>
    <t>Duty / customs note</t>
  </si>
  <si>
    <t>{CITY} {ESTATES} {INDUSTRY} {GATEWAY} {REGION} {COUNTRY} pull from the CITY MASTER row.</t>
  </si>
  <si>
    <t>Jebel Ali Port</t>
  </si>
  <si>
    <t>10-14 days sea from Nhava Sheva to Jebel Ali</t>
  </si>
  <si>
    <t>Quota per page</t>
  </si>
  <si>
    <t>CIF Jebel Ali</t>
  </si>
  <si>
    <t>MOIAT / ESMA (Emirates Authority for Standardization)</t>
  </si>
  <si>
    <t>Tier A: 10 FAQs, at least 4 from the CITY-SPECIFIC group.   Tier B: 8 FAQs, at least 3 city-specific.   Tier C: 6 FAQs, at least 2 city-specific.   Every FAQ on the page must also appear in the FAQPage JSON-LD on that page - schema that does not match visible content is a manual-action risk.</t>
  </si>
  <si>
    <t>0-5% GCC common external tariff; India-UAE CEPA preferential rates apply</t>
  </si>
  <si>
    <t>King Abdulaziz Port Dammam / Jeddah Islamic Port</t>
  </si>
  <si>
    <t>12-16 days sea from Nhava Sheva to Dammam</t>
  </si>
  <si>
    <t>Rotation rule</t>
  </si>
  <si>
    <t>CIF Dammam / Jeddah</t>
  </si>
  <si>
    <t>Do not use the same GENERIC set on every page in a state. Rotate so no two neighbouring cities share more than half their generic FAQs. Column F gives each FAQ a rotation group - use one FAQ per group per page.</t>
  </si>
  <si>
    <t>SASO with SABER platform registration</t>
  </si>
  <si>
    <t>5-15% depending on HS code; SABER CoC required at customs</t>
  </si>
  <si>
    <t>Hamad Port Doha</t>
  </si>
  <si>
    <t>12-15 days sea from Nhava Sheva to Hamad Port</t>
  </si>
  <si>
    <t>CIF Hamad Port</t>
  </si>
  <si>
    <t>Question</t>
  </si>
  <si>
    <t>Qatar General Organization for Standards and Metrology</t>
  </si>
  <si>
    <t>Answer guidance (write to this, do not paste verbatim)</t>
  </si>
  <si>
    <t>5% GCC common external tariff</t>
  </si>
  <si>
    <t>Min words</t>
  </si>
  <si>
    <t>Rotation group</t>
  </si>
  <si>
    <t>CTY-0015</t>
  </si>
  <si>
    <t>Port of Sohar / Port of Salalah</t>
  </si>
  <si>
    <t>Barotiwala</t>
  </si>
  <si>
    <t>CITY-SPECIFIC</t>
  </si>
  <si>
    <t>7-10 days sea from Nhava Sheva to Sohar</t>
  </si>
  <si>
    <t>Barotiwala Industrial Area</t>
  </si>
  <si>
    <t>CIF Sohar / Salalah</t>
  </si>
  <si>
    <t>Pharmaceutical formulations, packaging</t>
  </si>
  <si>
    <t>Directorate General for Standards and Metrology</t>
  </si>
  <si>
    <t>ICD Ludhiana (125 km)</t>
  </si>
  <si>
    <t>Do you supply electropolished pipes in {CITY}?</t>
  </si>
  <si>
    <t>Yes. Name the real industrial estates from column F, state the transit lane and realistic delivery days from the Mumbai plant, and name the dominant local industries served.</t>
  </si>
  <si>
    <t>C1</t>
  </si>
  <si>
    <t>Shuwaikh Port / Shuaiba Port</t>
  </si>
  <si>
    <t>14-18 days sea from Nhava Sheva to Shuwaikh</t>
  </si>
  <si>
    <t>CIF Shuwaikh</t>
  </si>
  <si>
    <t>Public Authority for Industry (PAI) under KUCAS</t>
  </si>
  <si>
    <t>5% GCC common external tariff; KUCAS TIR required</t>
  </si>
  <si>
    <t>How long does delivery take to {CITY}?</t>
  </si>
  <si>
    <t>Give the actual road or sea lane and a realistic range in days for stock items vs made-to-order. Sign this off with dispatch before publishing.</t>
  </si>
  <si>
    <t>Khalifa Bin Salman Port</t>
  </si>
  <si>
    <t>13-17 days sea from Nhava Sheva to Khalifa Bin Salman Port</t>
  </si>
  <si>
    <t>CIF Khalifa Bin Salman</t>
  </si>
  <si>
    <t>Which industries in {CITY} use electropolished tubing?</t>
  </si>
  <si>
    <t>Only the industries in column G for this city. Explain the specific process in each - WFI loop, CIP/SIP, UHP gas line, milk line - not a generic list.</t>
  </si>
  <si>
    <t>Bahrain Standards and Metrology Directorate</t>
  </si>
  <si>
    <t>C2</t>
  </si>
  <si>
    <t>SCHEMA / JSON-LD LIBRARY</t>
  </si>
  <si>
    <t>Do you deliver to {ESTATES}?</t>
  </si>
  <si>
    <t>Name the estate explicitly. This is the FAQ that captures hyper-local searches and proves the page is not templated.</t>
  </si>
  <si>
    <t>Port of New York/Newark, Port of Houston, Port of LA-Long Beach</t>
  </si>
  <si>
    <t>28-35 days sea from Nhava Sheva to US East Coast</t>
  </si>
  <si>
    <t>CIF / DDP US port</t>
  </si>
  <si>
    <t>Are you a manufacturer or a trader for {CITY} buyers?</t>
  </si>
  <si>
    <t>FDA (food/pharma contact), ASME BPE, 3-A SSI</t>
  </si>
  <si>
    <t>State plainly: manufacturing at the Mumbai facility, direct supply, no intermediary markup. Answers the manufacturer-vs-supplier query directly.</t>
  </si>
  <si>
    <t>Section 232 steel tariff plus MFN rate; verify current HTS 7306.40 treatment before quoting</t>
  </si>
  <si>
    <t>C3</t>
  </si>
  <si>
    <t>Six blocks. Tokens in {{DOUBLE BRACES}} map to CITY MASTER columns.</t>
  </si>
  <si>
    <t>Port of Felixstowe / Southampton</t>
  </si>
  <si>
    <t>Can I get bulk or project pricing for a plant in {CITY}?</t>
  </si>
  <si>
    <t>22-28 days sea from Nhava Sheva to Felixstowe</t>
  </si>
  <si>
    <t>Explain how project quantities are priced, what quantity band triggers project rates, and what information the RFQ needs. Covers the wholesaler intent.</t>
  </si>
  <si>
    <t>CIF Felixstowe / Southampton</t>
  </si>
  <si>
    <t>UKCA regime post-Brexit; UK Pressure Equipment (Safety) Regulations</t>
  </si>
  <si>
    <t>UK Global Tariff; check TRQ on steel</t>
  </si>
  <si>
    <t>Do you have a distributor or stockist in {CITY}?</t>
  </si>
  <si>
    <t>Answer honestly. If supply is direct from Mumbai, say so and explain why that is an advantage - no double margin, direct MTC traceability.</t>
  </si>
  <si>
    <t>C4</t>
  </si>
  <si>
    <t>Port of Hamburg / Bremerhaven</t>
  </si>
  <si>
    <t>Implementation</t>
  </si>
  <si>
    <t>24-30 days sea from Nhava Sheva to Hamburg</t>
  </si>
  <si>
    <t>What is the nearest port for export shipments from {CITY}?</t>
  </si>
  <si>
    <t>CIF Hamburg / Rotterdam</t>
  </si>
  <si>
    <t>Use column I. For international cities give the gateway port and typical sea transit from Nhava Sheva.</t>
  </si>
  <si>
    <t>CE marking under PED 2014/68/EU; AD 2000-Merkblatt for pressure parts</t>
  </si>
  <si>
    <t>Every city page carries all six blocks in one &lt;script type="application/ld+json"&gt; in the &lt;head&gt;, wrapped in an @graph array. Validate every template in Google's Rich Results Test before rollout, then spot-check 1 in 20 published pages.</t>
  </si>
  <si>
    <t>EU CBAM reporting applies to steel from Oct 2023; verify current phase</t>
  </si>
  <si>
    <t>Which grades do {CITY} buyers order most?</t>
  </si>
  <si>
    <t>Tie to the local industry mix - 316L for pharma and biotech, 304 for general food and dairy utilities, higher alloys for aggressive chemistry.</t>
  </si>
  <si>
    <t>C5</t>
  </si>
  <si>
    <t>Port of Rotterdam</t>
  </si>
  <si>
    <t>23-29 days sea from Nhava Sheva to Rotterdam</t>
  </si>
  <si>
    <t>Do you supply to EPC contractors working in {CITY}?</t>
  </si>
  <si>
    <t>CIF Rotterdam</t>
  </si>
  <si>
    <t>The rule that gets sites penalised</t>
  </si>
  <si>
    <t>Yes - explain project supply, staged delivery against a schedule, and the documentation an EPC needs at handover.</t>
  </si>
  <si>
    <t>CE marking under PED 2014/68/EU</t>
  </si>
  <si>
    <t>EU CBAM reporting applies to steel imports</t>
  </si>
  <si>
    <t>CTY-0016</t>
  </si>
  <si>
    <t>FAQPage schema must contain exactly the FAQs that are visible on the page. Do not put 10 FAQs in schema and show 6. Do not mark up FAQs that are hidden behind a tab the user cannot open.</t>
  </si>
  <si>
    <t>Karnataka</t>
  </si>
  <si>
    <t>What certification do plants in {REGION} usually require?</t>
  </si>
  <si>
    <t>Belagavi</t>
  </si>
  <si>
    <t>For India: EN 10204 3.1 MTC, PMI, ASME BPE conformance. For export markets use the compliance anchor in sheet 01.</t>
  </si>
  <si>
    <t>C6</t>
  </si>
  <si>
    <t>Udyambag Industrial Area, Auto Nagar Belagavi</t>
  </si>
  <si>
    <t>Port of Genoa / Port of Trieste</t>
  </si>
  <si>
    <t>Udyambag Industrial Area</t>
  </si>
  <si>
    <t>Foundry, precision engineering, sugar, dairy</t>
  </si>
  <si>
    <t>food &amp; dairy</t>
  </si>
  <si>
    <t>18-24 days sea from Nhava Sheva to Genoa</t>
  </si>
  <si>
    <t>Can you support a site visit or technical meeting in {CITY}?</t>
  </si>
  <si>
    <t>Mangalore Port (420 km)</t>
  </si>
  <si>
    <t>CIF Genoa / Trieste</t>
  </si>
  <si>
    <t>Answer honestly about what is realistic - video technical review, sample despatch, or a visit for project-scale enquiries.</t>
  </si>
  <si>
    <t>FSSAI + state dairy board; 3-A Sanitary Standards commonly referenced</t>
  </si>
  <si>
    <t>Schema type</t>
  </si>
  <si>
    <t>Where</t>
  </si>
  <si>
    <t>PRODUCT</t>
  </si>
  <si>
    <t>JSON-LD template</t>
  </si>
  <si>
    <t>Token source</t>
  </si>
  <si>
    <t>What is electropolishing and why does it matter?</t>
  </si>
  <si>
    <t>Port of Valencia / Port of Barcelona</t>
  </si>
  <si>
    <t>Electrochemical removal of a thin surface layer. Explain the outcome: lower Ra, no directional grain, passive chromium-rich layer, reduced bacterial adhesion and rouging.</t>
  </si>
  <si>
    <t>Organization</t>
  </si>
  <si>
    <t>P1</t>
  </si>
  <si>
    <t>19-25 days sea from Nhava Sheva to Valencia</t>
  </si>
  <si>
    <t>CIF Valencia / Barcelona</t>
  </si>
  <si>
    <t>What Ra values can you achieve?</t>
  </si>
  <si>
    <t>State the achievable band in both um and uin and map it to ASME BPE SF grades. Do not overclaim.</t>
  </si>
  <si>
    <t>Every page</t>
  </si>
  <si>
    <t>What is the difference between electropolished and mechanically polished tube?</t>
  </si>
  <si>
    <t>Port Botany Sydney / Port of Melbourne</t>
  </si>
  <si>
    <t>Mechanical polishing leaves directional grain and embedded abrasive; EP removes material electrochemically leaving a smoother, more corrosion-resistant surface. Give the Ra difference.</t>
  </si>
  <si>
    <t>18-24 days sea from Nhava Sheva to Melbourne</t>
  </si>
  <si>
    <t>P2</t>
  </si>
  <si>
    <t>CIF Sydney / Melbourne</t>
  </si>
  <si>
    <t>AS 1528 series for dairy and food tube; FSANZ for food contact</t>
  </si>
  <si>
    <t>Electropolished vs pickled and passivated - which do I need?</t>
  </si>
  <si>
    <t>{
  "@type": "Organization",
  "@id": "https://steelmanufacturer.in/#org",
  "name": "Sakshi Forge",
  "url": "https://steelmanufacturer.in/",
  "logo": "https://steelmanufacturer.in/logo.png",
  "description": "ISO 9001:2015 certified manufacturer of electropolished stainless steel pipes and tubes, industrial flanges and forged fittings.",
  "address": {"@type":"PostalAddress","addressLocality":"Mumbai","addressRegion":"Maharashtra","addressCountry":"IN"},
  "contactPoint": {"@type":"ContactPoint","telephone":"{{PHONE}}","contactType":"sales","availableLanguage":["en","hi"]},
  "hasCredential": {"@type":"EducationalOccupationalCredential","credentialCategory":"ISO 9001:2015"}
}</t>
  </si>
  <si>
    <t>P&amp;P removes scale and restores passivity but does not reduce Ra. EP does both. Explain which applications justify EP cost.</t>
  </si>
  <si>
    <t>India-Australia ECTA preferential tariff applies</t>
  </si>
  <si>
    <t>Do you supply seamless or welded EP tube?</t>
  </si>
  <si>
    <t>Port of Singapore (PSA)</t>
  </si>
  <si>
    <t>6-9 days sea from Nhava Sheva to Singapore</t>
  </si>
  <si>
    <t>Cover both, the OD/wall range for each, and when a buyer should specify one over the other.</t>
  </si>
  <si>
    <t>CIF Singapore</t>
  </si>
  <si>
    <t>P3</t>
  </si>
  <si>
    <t>Static. Same on every page.</t>
  </si>
  <si>
    <t>SPRING/Enterprise Singapore standards; SEMI standards for wafer fab UHP lines</t>
  </si>
  <si>
    <t>Zero tariff; India-Singapore CECA applies</t>
  </si>
  <si>
    <t>What OD and wall thickness range do you cover?</t>
  </si>
  <si>
    <t>WebPage</t>
  </si>
  <si>
    <t>Give the real range. This is a qualification question - vague answers lose the enquiry.</t>
  </si>
  <si>
    <t>{
  "@type": "WebPage",
  "@id": "{{FULL_URL}}#webpage",
  "url": "{{FULL_URL}}",
  "name": "{{TITLE_TAG}}",
  "description": "{{META_DESCRIPTION}}",
  "isPartOf": {"@id":"https://steelmanufacturer.in/#website"},
  "about": {"@id":"https://steelmanufacturer.in/#org"},
  "inLanguage": "en"
}</t>
  </si>
  <si>
    <t>Port Klang / Penang Port</t>
  </si>
  <si>
    <t>Col M, N, P</t>
  </si>
  <si>
    <t>8-12 days sea from Nhava Sheva to Port Klang</t>
  </si>
  <si>
    <t>What grades do you offer?</t>
  </si>
  <si>
    <t>CIF Port Klang</t>
  </si>
  <si>
    <t>BreadcrumbList</t>
  </si>
  <si>
    <t>304, 304L, 316, 316L and the higher alloys, with a note on which suits which service.</t>
  </si>
  <si>
    <t>SIRIM / Department of Standards Malaysia</t>
  </si>
  <si>
    <t>P4</t>
  </si>
  <si>
    <t>{
  "@type": "BreadcrumbList",
  "itemListElement": [
    {"@type":"ListItem","position":1,"name":"Home","item":"https://steelmanufacturer.in/"},
    {"@type":"ListItem","position":2,"name":"Market Area","item":"https://steelmanufacturer.in/market-area/"},
    {"@type":"ListItem","position":3,"name":"{{COUNTRY}}","item":"https://steelmanufacturer.in/market-area/{{COUNTRY_SLUG}}/"},
    {"@type":"ListItem","position":4,"name":"{{REGION}}"},
    {"@type":"ListItem","position":5,"name":"{{CITY}}"}
  ]
}</t>
  </si>
  <si>
    <t>AIFTA preferential tariff applies</t>
  </si>
  <si>
    <t>Col AA, B, C, D</t>
  </si>
  <si>
    <t>Can you supply cut lengths or custom lengths?</t>
  </si>
  <si>
    <t>State standard mill lengths and what custom cutting is available, with tolerance.</t>
  </si>
  <si>
    <t>Service</t>
  </si>
  <si>
    <t>Every city page</t>
  </si>
  <si>
    <t>Tanjung Priok Jakarta / Tanjung Perak Surabaya</t>
  </si>
  <si>
    <t>{
  "@type": "Service",
  "@id": "{{FULL_URL}}#service",
  "serviceType": "Electropolished stainless steel pipe and tube supply",
  "provider": {"@id":"https://steelmanufacturer.in/#org"},
  "areaServed": {"@type":"City","name":"{{CITY}}","containedInPlace":{"@type":"AdministrativeArea","name":"{{REGION}}"}},
  "hasOfferCatalog": {
    "@type":"OfferCatalog","name":"EP pipes and tubes for {{CITY}}",
    "itemListElement":[
      {"@type":"Offer","itemOffered":{"@type":"Product","name":"Electropolished SS 316L tube"}},
      {"@type":"Offer","itemOffered":{"@type":"Product","name":"Electropolished SS 304 pipe"}},
      {"@type":"Offer","itemOffered":{"@type":"Product","name":"ASME BPE tubing"}}
    ]}
}</t>
  </si>
  <si>
    <t>10-14 days sea from Nhava Sheva to Tanjung Priok</t>
  </si>
  <si>
    <t>Do you supply matching fittings and clamps?</t>
  </si>
  <si>
    <t>Col D, C. Use Service NOT LocalBusiness - there is no physical branch in that city.</t>
  </si>
  <si>
    <t>CIF Tanjung Priok</t>
  </si>
  <si>
    <t>Cover the EP fittings range and why matching surface finish across tube and fittings matters in a hygienic loop.</t>
  </si>
  <si>
    <t>Product</t>
  </si>
  <si>
    <t>BSN with SNI marking; BPOM for pharma facilities; BPJPH for halal</t>
  </si>
  <si>
    <t>P5</t>
  </si>
  <si>
    <t>AIFTA preferential tariff; SNI certificate may be required</t>
  </si>
  <si>
    <t>{
  "@type": "Product",
  "@id": "{{FULL_URL}}#product",
  "name": "Electropolished Stainless Steel Pipes and Tubes",
  "brand": {"@id":"https://steelmanufacturer.in/#org"},
  "material": "Stainless Steel 304 / 304L / 316 / 316L",
  "additionalProperty": [
    {"@type":"PropertyValue","name":"Standard","value":"ASTM A270 / ASME BPE"},
    {"@type":"PropertyValue","name":"Surface finish","value":"SF1 to SF4, Ra from 0.25 um"},
    {"@type":"PropertyValue","name":"Certification","value":"EN 10204 3.1 mill test certificate"}
  ],
  "offers": {"@type":"AggregateOffer","priceCurrency":"{{CURRENCY}}","availability":"https://schema.org/InStock",
             "areaServed":"{{CITY}}","seller":{"@id":"https://steelmanufacturer.in/#org"}}
}</t>
  </si>
  <si>
    <t>Col D + currency from sheet 01. Omit price - do not publish stale prices.</t>
  </si>
  <si>
    <t>How is EP tube packed for transit?</t>
  </si>
  <si>
    <t>End caps, individual sleeving, crating, and why this protects the electropolished bore. A real differentiator when buyers have been burned.</t>
  </si>
  <si>
    <t>FAQPage</t>
  </si>
  <si>
    <t>Hai Phong Port / Cat Lai Ho Chi Minh City</t>
  </si>
  <si>
    <t>CTY-0017</t>
  </si>
  <si>
    <t>{
  "@type": "FAQPage",
  "@id": "{{FULL_URL}}#faq",
  "mainEntity": [
    {"@type":"Question","name":"{{FAQ_1_Q}}",
     "acceptedAnswer":{"@type":"Answer","text":"{{FAQ_1_A}}"}},
    {"@type":"Question","name":"{{FAQ_2_Q}}",
     "acceptedAnswer":{"@type":"Answer","text":"{{FAQ_2_A}}"}}
  ]
}</t>
  </si>
  <si>
    <t>12-16 days sea from Nhava Sheva to Hai Phong</t>
  </si>
  <si>
    <t>Sheet 06. Repeat the Question object once per VISIBLE FAQ - 10 for Tier A, 8 for B, 6 for C.</t>
  </si>
  <si>
    <t>Bengaluru</t>
  </si>
  <si>
    <t>STANDARDS</t>
  </si>
  <si>
    <t>CIF Hai Phong / Cat Lai</t>
  </si>
  <si>
    <t>STAMEQ / Ministry of Science and Technology</t>
  </si>
  <si>
    <t>Calculator pages</t>
  </si>
  <si>
    <t>Do your tubes comply with ASTM A270?</t>
  </si>
  <si>
    <t>Peenya Industrial Area KIADB, Bommasandra, Jigani</t>
  </si>
  <si>
    <t>Peenya Industrial Area KIADB</t>
  </si>
  <si>
    <t>State scope - welded and seamless sanitary tubing - and which supplementary requirements you meet, including S2 pharmaceutical grade.</t>
  </si>
  <si>
    <t>Biotech, pharmaceutical, aerospace, semiconductors, food processing</t>
  </si>
  <si>
    <t>Tool pages additionally carry SoftwareApplication schema with applicationCategory 'UtilitiesApplication' and offers price 0. That is what makes a calculator eligible for rich presentation and citation.</t>
  </si>
  <si>
    <t>S1</t>
  </si>
  <si>
    <t>semiconductor &amp; pharma</t>
  </si>
  <si>
    <t>Chennai Port (350 km)</t>
  </si>
  <si>
    <t>What is ASME BPE and do you conform?</t>
  </si>
  <si>
    <t>Bioprocessing Equipment standard. Explain SF1-SF6 surface designations with Ra limits and state which you supply against.</t>
  </si>
  <si>
    <t>What is the difference between SF1 and SF4?</t>
  </si>
  <si>
    <t>Both are ASME BPE finish designations with different Ra ceilings; SF4 is the electropolished equivalent tier. Give both values.</t>
  </si>
  <si>
    <t>S2</t>
  </si>
  <si>
    <t>Do you provide EN 10204 3.1 certificates?</t>
  </si>
  <si>
    <t>Yes - explain what 3.1 means (issued by the manufacturer's authorised inspection representative, independent of production) and how 3.2 differs.</t>
  </si>
  <si>
    <t>What is the difference between EN 10204 3.1 and 3.2?</t>
  </si>
  <si>
    <t>3.1 is validated by the manufacturer's own independent inspection function; 3.2 additionally requires a purchaser or third-party inspector. State when a buyer should insist on 3.2.</t>
  </si>
  <si>
    <t>S3</t>
  </si>
  <si>
    <t>Which standards apply to semiconductor UHP tubing?</t>
  </si>
  <si>
    <t>SEMI F19 and SEMI F17 are the relevant references. Do not cite SEMI F57 - it addresses polymer components for ultrapure water, not stainless UHP tubing.</t>
  </si>
  <si>
    <t>Do you do PMI testing?</t>
  </si>
  <si>
    <t>Yes - explain positive material identification, when it is done, and that results accompany the MTC.</t>
  </si>
  <si>
    <t>S4</t>
  </si>
  <si>
    <t>What is ASTM A269 and how does it differ from A270?</t>
  </si>
  <si>
    <t>A269 covers general-service seamless and welded austenitic tubing; A270 is the sanitary specification. Explain why a pharma buyer should not accept A269 alone.</t>
  </si>
  <si>
    <t>Are your tubes dual marked?</t>
  </si>
  <si>
    <t>Explain dual marking (e.g. 304/304L), when it is legitimate, and what to check on the MTC.</t>
  </si>
  <si>
    <t>S5</t>
  </si>
  <si>
    <t>What testing accompanies each lot?</t>
  </si>
  <si>
    <t>Hydrostatic or eddy current, Ra measurement method and sample rate, PMI, dimensional. Say what is on the certificate.</t>
  </si>
  <si>
    <t>COMMERCIAL</t>
  </si>
  <si>
    <t>What is your minimum order quantity?</t>
  </si>
  <si>
    <t>Give a real MOQ band by product type. Vague MOQ answers lose enquiries.</t>
  </si>
  <si>
    <t>M1</t>
  </si>
  <si>
    <t>How do I get a quotation?</t>
  </si>
  <si>
    <t>List exactly what the RFQ needs: grade, OD, wall, length, quantity, required Ra or SF grade, standard, certification level, delivery location.</t>
  </si>
  <si>
    <t>What payment and delivery terms do you offer?</t>
  </si>
  <si>
    <t>State domestic and export terms plainly. For export reference the Incoterm in sheet 01 for that country.</t>
  </si>
  <si>
    <t>M2</t>
  </si>
  <si>
    <t>Can I get a sample before ordering?</t>
  </si>
  <si>
    <t>Explain the sample policy and turnaround. High-converting FAQ for first-time buyers.</t>
  </si>
  <si>
    <t>CTY-0018</t>
  </si>
  <si>
    <t>Bharuch</t>
  </si>
  <si>
    <t>How is EP tube priced?</t>
  </si>
  <si>
    <t>Dahej PCPIR, Jhagadia GIDC, Bharuch GIDC</t>
  </si>
  <si>
    <t>Dahej PCPIR</t>
  </si>
  <si>
    <t>Explain the drivers: grade and alloy surcharge, OD/wall, Ra target, certification level, quantity. Do not publish fixed prices that will go stale.</t>
  </si>
  <si>
    <t>Petrochemicals, bulk drugs, specialty chemicals</t>
  </si>
  <si>
    <t>M3</t>
  </si>
  <si>
    <t>Dahej Port (45 km)</t>
  </si>
  <si>
    <t>Do you export, and what documentation is provided?</t>
  </si>
  <si>
    <t>List the export document set: invoice, packing list, MTC, certificate of origin, and any market-specific conformity certificate from sheet 01.</t>
  </si>
  <si>
    <t>What is your typical lead time for made-to-order tube?</t>
  </si>
  <si>
    <t>Give a realistic manufacturing window separate from transit. Sign off with production.</t>
  </si>
  <si>
    <t>M4</t>
  </si>
  <si>
    <t>Who do I contact for a technical query?</t>
  </si>
  <si>
    <t>Give the route to a technical person, not just a form. Buyers specifying a WFI loop want an engineer.</t>
  </si>
  <si>
    <t>APPLICATION</t>
  </si>
  <si>
    <t>Is EP tube required for a WFI system?</t>
  </si>
  <si>
    <t>Explain why WFI loops specify low-Ra EP surfaces: cleanability, resistance to rouging, and biofilm control.</t>
  </si>
  <si>
    <t>A1</t>
  </si>
  <si>
    <t>What Ra do I need for a CIP/SIP line?</t>
  </si>
  <si>
    <t>Give the typical specified band and explain the cleanability rationale rather than just quoting a number.</t>
  </si>
  <si>
    <t>Is EP tube suitable for dairy and food processing?</t>
  </si>
  <si>
    <t>Yes - cover 3-A Sanitary Standards, cleanability, and why product-contact surfaces specify controlled finish.</t>
  </si>
  <si>
    <t>A2</t>
  </si>
  <si>
    <t>Do breweries need electropolished tube?</t>
  </si>
  <si>
    <t>Explain where in a brewery EP is justified and where a lower-cost finish is acceptable. Honest scoping builds trust.</t>
  </si>
  <si>
    <t>What causes rouging and does EP prevent it?</t>
  </si>
  <si>
    <t>Explain rouging mechanisms in high-purity water systems and EP's role in delaying but not eliminating it. Do not overclaim.</t>
  </si>
  <si>
    <t>A3</t>
  </si>
  <si>
    <t>Can EP tube be orbital welded?</t>
  </si>
  <si>
    <t>Yes - cover weld-end preparation, ID control, purge requirements, and post-weld treatment options.</t>
  </si>
  <si>
    <t>How do I inspect EP tube on arrival?</t>
  </si>
  <si>
    <t>Give a practical incoming checklist: MTC vs heat number, Ra verification, boroscope of bore, dimensional, packing integrity.</t>
  </si>
  <si>
    <t>A4</t>
  </si>
  <si>
    <t>How should EP tube be stored on site?</t>
  </si>
  <si>
    <t>Capped ends, off the floor, away from carbon steel contamination, humidity control. Practical answers earn citations.</t>
  </si>
  <si>
    <t>CTY-0019</t>
  </si>
  <si>
    <t>City-specific available:</t>
  </si>
  <si>
    <t>Bhavnagar</t>
  </si>
  <si>
    <t>Chitra GIDC, Vartej GIDC</t>
  </si>
  <si>
    <t>Chitra GIDC</t>
  </si>
  <si>
    <t>Ship recycling, engineering, salt and chemicals</t>
  </si>
  <si>
    <t>Pipavav Port (90 km)</t>
  </si>
  <si>
    <t>Tier A needs 4 of these per page. Rotate across rotation groups C1-C6.</t>
  </si>
  <si>
    <t>FAQ SET ASSIGNMENT - column T of the CITY MASTER names the set for each city</t>
  </si>
  <si>
    <t>Every city is assigned a set like A-3 or C-5. The set names the exact FAQ numbers that page uses. Sets rotate on a 6-row cycle so alphabetically adjacent cities - which are usually geographically clustered - never share more than half their questions.</t>
  </si>
  <si>
    <t>Set</t>
  </si>
  <si>
    <t>FAQ count</t>
  </si>
  <si>
    <t>City-specific FAQs (from #1-12)</t>
  </si>
  <si>
    <t>Generic FAQs (from #13-48)</t>
  </si>
  <si>
    <t>Notes</t>
  </si>
  <si>
    <t>A-1</t>
  </si>
  <si>
    <t>#1, #2, #3, #4</t>
  </si>
  <si>
    <t>#13, #14, #15, #16, #17, #18</t>
  </si>
  <si>
    <t>Answers written fresh per city - the number names the question, not the text.</t>
  </si>
  <si>
    <t>A-2</t>
  </si>
  <si>
    <t>#3, #4, #5, #6</t>
  </si>
  <si>
    <t>#19, #20, #21, #22, #23, #24</t>
  </si>
  <si>
    <t>A-3</t>
  </si>
  <si>
    <t>#5, #6, #7, #8</t>
  </si>
  <si>
    <t>#25, #26, #27, #28, #29, #30</t>
  </si>
  <si>
    <t>A-4</t>
  </si>
  <si>
    <t>CTY-0020</t>
  </si>
  <si>
    <t>#7, #8, #9, #10</t>
  </si>
  <si>
    <t>#31, #32, #33, #34, #35, #36</t>
  </si>
  <si>
    <t>Chhattisgarh</t>
  </si>
  <si>
    <t>Bhilai</t>
  </si>
  <si>
    <t>A-5</t>
  </si>
  <si>
    <t>Bhilai Industrial Belt, Borai Industrial Growth Centre</t>
  </si>
  <si>
    <t>Bhilai Industrial Belt</t>
  </si>
  <si>
    <t>Steel, heavy fabrication, engineering</t>
  </si>
  <si>
    <t>#9, #10, #11, #12</t>
  </si>
  <si>
    <t>#37, #38, #39, #40, #41, #42</t>
  </si>
  <si>
    <t>Visakhapatnam Port (560 km)</t>
  </si>
  <si>
    <t>A-6</t>
  </si>
  <si>
    <t>#11, #12, #1, #2</t>
  </si>
  <si>
    <t>#43, #44, #45, #46, #47, #48</t>
  </si>
  <si>
    <t>B-1</t>
  </si>
  <si>
    <t>B</t>
  </si>
  <si>
    <t>#1, #2, #3</t>
  </si>
  <si>
    <t>#13, #14, #15, #16, #17</t>
  </si>
  <si>
    <t>B-2</t>
  </si>
  <si>
    <t>#3, #4, #5</t>
  </si>
  <si>
    <t>#19, #20, #21, #22, #23</t>
  </si>
  <si>
    <t>B-3</t>
  </si>
  <si>
    <t>#5, #6, #7</t>
  </si>
  <si>
    <t>#25, #26, #27, #28, #29</t>
  </si>
  <si>
    <t>B-4</t>
  </si>
  <si>
    <t>#7, #8, #9</t>
  </si>
  <si>
    <t>#31, #32, #33, #34, #35</t>
  </si>
  <si>
    <t>B-5</t>
  </si>
  <si>
    <t>#9, #10, #11</t>
  </si>
  <si>
    <t>#37, #38, #39, #40, #41</t>
  </si>
  <si>
    <t>B-6</t>
  </si>
  <si>
    <t>#11, #12, #1</t>
  </si>
  <si>
    <t>#43, #44, #45, #46, #47</t>
  </si>
  <si>
    <t>C-1</t>
  </si>
  <si>
    <t>C</t>
  </si>
  <si>
    <t>#1, #2</t>
  </si>
  <si>
    <t>#13, #14, #15, #16</t>
  </si>
  <si>
    <t>C-2</t>
  </si>
  <si>
    <t>#3, #4</t>
  </si>
  <si>
    <t>#19, #20, #21, #22</t>
  </si>
  <si>
    <t>C-3</t>
  </si>
  <si>
    <t>#5, #6</t>
  </si>
  <si>
    <t>#25, #26, #27, #28</t>
  </si>
  <si>
    <t>C-4</t>
  </si>
  <si>
    <t>#7, #8</t>
  </si>
  <si>
    <t>#31, #32, #33, #34</t>
  </si>
  <si>
    <t>C-5</t>
  </si>
  <si>
    <t>#9, #10</t>
  </si>
  <si>
    <t>#37, #38, #39, #40</t>
  </si>
  <si>
    <t>CTY-0021</t>
  </si>
  <si>
    <t>C-6</t>
  </si>
  <si>
    <t>Bhilwara</t>
  </si>
  <si>
    <t>#11, #12</t>
  </si>
  <si>
    <t>#43, #44, #45, #46</t>
  </si>
  <si>
    <t>Bhilwara RIICO Growth Centre</t>
  </si>
  <si>
    <t>Textile processing, engineering</t>
  </si>
  <si>
    <t>Mundra Port (700 km)</t>
  </si>
  <si>
    <t>3-4 day road transit from our Mumbai works</t>
  </si>
  <si>
    <t>The rule that matters most</t>
  </si>
  <si>
    <t>The set tells the writer WHICH questions to answer. It never supplies the answer. Two cities assigned FAQ #1 must give two different answers, because their estates, industries and transit differ. Pasting the same answer text across cities defeats the entire build.</t>
  </si>
  <si>
    <t>CTY-0022</t>
  </si>
  <si>
    <t>Bhiwadi</t>
  </si>
  <si>
    <t>Bhiwadi RIICO Industrial Area, Chopanki, Khushkhera</t>
  </si>
  <si>
    <t>Bhiwadi RIICO Industrial Area</t>
  </si>
  <si>
    <t>Pharmaceutical, chemicals, automotive, engineering</t>
  </si>
  <si>
    <t>pharma &amp; chemical</t>
  </si>
  <si>
    <t>ICD Tughlakabad (85 km)</t>
  </si>
  <si>
    <t>CALCULATOR &amp; TOOL BUILD SPEC</t>
  </si>
  <si>
    <t>CTY-0023</t>
  </si>
  <si>
    <t>Madhya Pradesh</t>
  </si>
  <si>
    <t>Bhopal</t>
  </si>
  <si>
    <t>Govindpura Industrial Area, Mandideep Industrial Area</t>
  </si>
  <si>
    <t>Govindpura Industrial Area</t>
  </si>
  <si>
    <t>Pharmaceutical, electrical, engineering</t>
  </si>
  <si>
    <t>JNPT Nhava Sheva (760 km)</t>
  </si>
  <si>
    <t>Audit of cerapuresteel.com tools (fetched Aug 2026) + 12-tool build spec</t>
  </si>
  <si>
    <t>PART 1 - WHAT THE COMPETITOR ACTUALLY HAS</t>
  </si>
  <si>
    <t>Source</t>
  </si>
  <si>
    <t>Pulled from the live cerapuresteel.com navigation and the pipe weight calculator page itself. Their tools sit under a nav group called 'Calculator and Chart'. Six are in the nav; a seventh (flange weight) is live but not linked from the nav, so it is orphaned.</t>
  </si>
  <si>
    <t>Their weak spot</t>
  </si>
  <si>
    <t>CTY-0024</t>
  </si>
  <si>
    <t>Bhubaneswar</t>
  </si>
  <si>
    <t>Chandaka Industrial Estate, Info Valley IDCO</t>
  </si>
  <si>
    <t>Their pipe weight calculator is genuinely good - 4 tabs, 8 materials, live formulas, 3 reference charts. But their tools are general steel tools. Not one of them is specific to electropolishing or bioprocessing, which is the exact space you are trying to own. Their site also still carries unremoved theme demo content (a real-estate testimonial and a fake founder name), which is an E-E-A-T liability you can beat on.</t>
  </si>
  <si>
    <t>Chandaka Industrial Estate</t>
  </si>
  <si>
    <t>Pharmaceutical, IT, food processing</t>
  </si>
  <si>
    <t>Paradip Port (110 km)</t>
  </si>
  <si>
    <t>Competitor tool</t>
  </si>
  <si>
    <t>URL path</t>
  </si>
  <si>
    <t>What it does</t>
  </si>
  <si>
    <t>Inputs</t>
  </si>
  <si>
    <t>Outputs</t>
  </si>
  <si>
    <t>Our verdict</t>
  </si>
  <si>
    <t>Pipe Weight Calculator</t>
  </si>
  <si>
    <t>/pipe-weight-calculator/</t>
  </si>
  <si>
    <t>Four tabs: round pipe, square tube, rectangular tube, hollow/solid bar. Plus 3 static reference charts (Sch 40 weights, MS square pipe weights, seamless pipe weights with metres/MT).</t>
  </si>
  <si>
    <t>Material (SS 304/316, MS, alloy, copper, aluminium, brass, nickel alloy, titanium), OD, wall thickness, length, pieces</t>
  </si>
  <si>
    <t>kg/m, lb/ft, total kg</t>
  </si>
  <si>
    <t>MATCH IT. This is their strongest asset.</t>
  </si>
  <si>
    <t>SS Pipe Size Chart</t>
  </si>
  <si>
    <t>/ss-pipe-size-chart-stainless-steel-pipe-dimensions-schedule-chart/</t>
  </si>
  <si>
    <t>Static dimensional reference: stainless pipe dimensions by schedule.</t>
  </si>
  <si>
    <t>None - static table</t>
  </si>
  <si>
    <t>Table only</t>
  </si>
  <si>
    <t>CTY-0025</t>
  </si>
  <si>
    <t>Jharkhand</t>
  </si>
  <si>
    <t>MATCH AND IMPROVE. Add filter + copy-row.</t>
  </si>
  <si>
    <t>Bokaro</t>
  </si>
  <si>
    <t>Bokaro Industrial Area BIADA</t>
  </si>
  <si>
    <t>Steel, fabrication, engineering</t>
  </si>
  <si>
    <t>NB Pipe Size Chart</t>
  </si>
  <si>
    <t>Haldia Port (320 km)</t>
  </si>
  <si>
    <t>/nb-pipe-size-chart-nominal-bore-pipe-dimensions-schedule-chart/</t>
  </si>
  <si>
    <t>Nominal bore to OD and schedule mapping.</t>
  </si>
  <si>
    <t>MATCH. Add NB-to-OD live lookup.</t>
  </si>
  <si>
    <t>Ra &amp; RMS Surface Roughness</t>
  </si>
  <si>
    <t>/ra-rms-surface-roughness-calculation-complete-surface-finish-guide/</t>
  </si>
  <si>
    <t>Guide covering Ra vs RMS definitions, formulas, grit conversion, machining finish values, surface symbols.</t>
  </si>
  <si>
    <t>None - it is a guide, not a live converter</t>
  </si>
  <si>
    <t>Reading only</t>
  </si>
  <si>
    <t>BEAT IT. They wrote a guide where a live converter belongs.</t>
  </si>
  <si>
    <t>Inches to MM Conversion</t>
  </si>
  <si>
    <t>/inches-to-mm-conversion-complete-inch-to-millimeter-converter-chart/</t>
  </si>
  <si>
    <t>Inch to millimetre converter plus chart.</t>
  </si>
  <si>
    <t>Inches</t>
  </si>
  <si>
    <t>Millimetres</t>
  </si>
  <si>
    <t>MATCH. Low effort, real search volume.</t>
  </si>
  <si>
    <t>SS Square Tubing Sizes Chart</t>
  </si>
  <si>
    <t>/stainless-steel-square-tubing-sizes-chart/</t>
  </si>
  <si>
    <t>Static square tubing size reference.</t>
  </si>
  <si>
    <t>MATCH.</t>
  </si>
  <si>
    <t>Flange Weight Calculator</t>
  </si>
  <si>
    <t>/flange-weight-calculator-chart/</t>
  </si>
  <si>
    <t>Flange weight by class 150-2500 using W = (pi/4) x (OD^2 - ID^2) x t x density, referenced to ASME B16.5 and B16.47.</t>
  </si>
  <si>
    <t>OD, ID, thickness, density/class</t>
  </si>
  <si>
    <t>Approximate weight</t>
  </si>
  <si>
    <t>MATCH. Note: it is orphaned from their nav - an easy win.</t>
  </si>
  <si>
    <t>PART 2 - THE 12 TOOLS TO BUILD</t>
  </si>
  <si>
    <t>CTY-0026</t>
  </si>
  <si>
    <t>Chakan</t>
  </si>
  <si>
    <t>Strategy</t>
  </si>
  <si>
    <t>Chakan MIDC Phase I-IV, Mahalunge</t>
  </si>
  <si>
    <t>Chakan MIDC Phase I-IV</t>
  </si>
  <si>
    <t>Tools 1-7 match their coverage so you never lose a comparison. Tools 8-12 do not exist anywhere on their site and are specific to electropolished bioprocess tubing - that is where the differentiation and the AI citations come from.</t>
  </si>
  <si>
    <t>Automotive, process equipment fabrication, engineering</t>
  </si>
  <si>
    <t>JNPT Nhava Sheva (170 km)</t>
  </si>
  <si>
    <t>Tool</t>
  </si>
  <si>
    <t>URL</t>
  </si>
  <si>
    <t>Core formula / logic</t>
  </si>
  <si>
    <t>Pipe &amp; Tube Weight Calculator</t>
  </si>
  <si>
    <t>/tools/pipe-weight-calculator/</t>
  </si>
  <si>
    <t>Shape (round/square/rect/hollow-solid), material, OD or side, wall, length, pieces</t>
  </si>
  <si>
    <t>Round: W(kg/m) = (OD^2 - (OD-2T)^2) x pi/4 x density / 1,000,000 | Square: (A^2 - (A-2T)^2) x density / 1e6 | Rect: 2 x (A+B-2T) x T x density / 1e6. Densities: SS304 7.93, SS316 8.00, MS 7.85, Cu 8.96, Al 2.70, Brass 8.50, Ni alloy 8.44, Ti 4.51 g/cm3</t>
  </si>
  <si>
    <t>kg/m, lb/ft, total kg, metres per MT</t>
  </si>
  <si>
    <t>Ra / RMS Surface Finish Converter</t>
  </si>
  <si>
    <t>/tools/ra-rms-surface-finish-converter/</t>
  </si>
  <si>
    <t>Value + unit (Ra um, Ra uin, RMS uin) or grit number</t>
  </si>
  <si>
    <t>RMS(uin) ~ 1.11 x Ra(uin) for a Gaussian profile. Ra(uin) = Ra(um) x 39.37. Grit-to-Ra uses a lookup table, NOT a formula - publish the table and say it is indicative.</t>
  </si>
  <si>
    <t>Ra um, Ra uin, RMS uin, nearest ASME BPE SF grade</t>
  </si>
  <si>
    <t>SS Pipe Size &amp; Schedule Chart</t>
  </si>
  <si>
    <t>/tools/ss-pipe-size-schedule-chart/</t>
  </si>
  <si>
    <t>Filter by NPS/DN and schedule</t>
  </si>
  <si>
    <t>Static ASME B36.19M / B36.10M data, filterable. Wall and weight per schedule.</t>
  </si>
  <si>
    <t>OD mm/inch, wall, ID, weight kg/m</t>
  </si>
  <si>
    <t>/tools/nb-pipe-size-chart/</t>
  </si>
  <si>
    <t>Nominal bore selection</t>
  </si>
  <si>
    <t>Nominal bore to OD mapping with schedule wall thicknesses.</t>
  </si>
  <si>
    <t>OD, wall, ID, weight</t>
  </si>
  <si>
    <t>Inches to MM Converter</t>
  </si>
  <si>
    <t>/tools/inches-to-mm-converter/</t>
  </si>
  <si>
    <t>Inches (decimal or fraction)</t>
  </si>
  <si>
    <t>mm = inch x 25.4. Include a fractional inch chart down to 1/64.</t>
  </si>
  <si>
    <t>mm, and reverse</t>
  </si>
  <si>
    <t>IMAGE PLAN &amp; ALT TEXT</t>
  </si>
  <si>
    <t>SS Square &amp; Rect Tubing Chart</t>
  </si>
  <si>
    <t>/tools/ss-square-tubing-size-chart/</t>
  </si>
  <si>
    <t>Size and wall filter</t>
  </si>
  <si>
    <t>Static size table with computed weights from the square/rect formulas above.</t>
  </si>
  <si>
    <t>Size, wall, kg/m</t>
  </si>
  <si>
    <t>/tools/flange-weight-calculator/</t>
  </si>
  <si>
    <t>Class, NPS, OD, ID, thickness, material</t>
  </si>
  <si>
    <t>Formulas reference the CITY MASTER row - replace {row} with the actual row number</t>
  </si>
  <si>
    <t>W = (pi/4) x (OD^2 - ID^2) x t x density. Reference ASME B16.5 (NPS 1/2-24) and B16.47 (NPS 26-60). State that results are approximate and exclude hub and raised face.</t>
  </si>
  <si>
    <t>kg per flange, kg per set</t>
  </si>
  <si>
    <t>CTY-0027</t>
  </si>
  <si>
    <t>Tamil Nadu</t>
  </si>
  <si>
    <t>EP Material Removal &amp; Wall Loss</t>
  </si>
  <si>
    <t>Chennai</t>
  </si>
  <si>
    <t>/tools/electropolishing-material-removal-calculator/</t>
  </si>
  <si>
    <t>Starting Ra, target Ra, tube OD, wall thickness, length</t>
  </si>
  <si>
    <t>Typical EP removal is roughly 5-25 um of radial material depending on starting finish and target. Output remaining wall and % of nominal. Publish the assumption band openly and let the user override it - do not present a single hardcoded factor as fact.</t>
  </si>
  <si>
    <t>Ambattur Industrial Estate, Guindy Industrial Estate, Sriperumbudur SIPCOT</t>
  </si>
  <si>
    <t>Estimated removal (um), remaining wall, % wall loss, pass/fail against ASTM A270 tolerance</t>
  </si>
  <si>
    <t>Ambattur Industrial Estate</t>
  </si>
  <si>
    <t>P1 - UNIQUE</t>
  </si>
  <si>
    <t>Pharmaceutical, automotive, electronics, food processing</t>
  </si>
  <si>
    <t>electronics &amp; pharma</t>
  </si>
  <si>
    <t>ASME BPE SF Grade Finder</t>
  </si>
  <si>
    <t>Chennai Port (0 km)</t>
  </si>
  <si>
    <t>Never reuse the same alt text on two pages, and never stuff the city name into every alt. Alt text describes what is in the image for someone who cannot see it. Slots 1, 4 and 7 carry the city; the rest do not.</t>
  </si>
  <si>
    <t>/tools/asme-bpe-sf-grade-finder/</t>
  </si>
  <si>
    <t>Application (WFI, CIP/SIP, product contact, UHP gas, general utility) and required Ra</t>
  </si>
  <si>
    <t>Maps application to the SF designation band. SF1-SF3 are mechanically polished tiers; SF4-SF6 are the electropolished tiers. Show the Ra ceiling for each in both um and uin.</t>
  </si>
  <si>
    <t>Recommended SF grade, Ra ceiling, whether EP is required</t>
  </si>
  <si>
    <t>Tube Volume &amp; Hold-Up Calculator</t>
  </si>
  <si>
    <t>/tools/tube-volume-holdup-calculator/</t>
  </si>
  <si>
    <t>OD, wall, total run length, number of runs</t>
  </si>
  <si>
    <t>ID = OD - 2T. Volume (L) = pi/4 x ID^2(mm) x L(mm) / 1,000,000. Add a flush-volume multiplier input for CIP turnover.</t>
  </si>
  <si>
    <t>Litres per metre, total hold-up litres, flush volume</t>
  </si>
  <si>
    <t>P2 - UNIQUE</t>
  </si>
  <si>
    <t>File naming</t>
  </si>
  <si>
    <t>Orbital Weld Purge Gas Calculator</t>
  </si>
  <si>
    <t>Filenames must be lowercase, hyphenated, and descriptive. Never IMG_2043.jpg. Serve WebP with a JPEG fallback, and set explicit width and height attributes to protect Cumulative Layout Shift.</t>
  </si>
  <si>
    <t>/tools/orbital-weld-purge-gas-calculator/</t>
  </si>
  <si>
    <t>Tube OD, wall, purge length, number of volume changes, flow rate</t>
  </si>
  <si>
    <t>Internal volume from the formula above, then argon required = volume x volume-changes. Time = volume required / flow rate. State that 5-7 volume changes is a common starting point and must be validated on site by oxygen measurement.</t>
  </si>
  <si>
    <t>Argon litres, purge time, recommended O2 target</t>
  </si>
  <si>
    <t>P3 - UNIQUE</t>
  </si>
  <si>
    <t>Sanitary Tube Pressure Drop</t>
  </si>
  <si>
    <t>/tools/sanitary-tube-pressure-drop-calculator/</t>
  </si>
  <si>
    <t>Slot</t>
  </si>
  <si>
    <t>Flow rate, OD, wall, length, fluid (water/WFI/CIP solution), temperature</t>
  </si>
  <si>
    <t>Image</t>
  </si>
  <si>
    <t>Velocity = Q / area. Reynolds = rho x v x D / mu. Friction factor via Colebrook-White (or Swamee-Jain explicit form). Pressure drop = f x (L/D) x (rho x v^2 / 2). Use a low roughness value for EP surfaces and expose it as an editable input.</t>
  </si>
  <si>
    <t>Carries city?</t>
  </si>
  <si>
    <t>Velocity m/s, Reynolds, pressure drop bar, flag if velocity outside 1.5-3.0 m/s hygienic band</t>
  </si>
  <si>
    <t>ALT text pattern</t>
  </si>
  <si>
    <t>Filename pattern</t>
  </si>
  <si>
    <t>Required</t>
  </si>
  <si>
    <t>PART 3 - RULES FOR EVERY TOOL PAGE</t>
  </si>
  <si>
    <t>Hero - EP tube stock</t>
  </si>
  <si>
    <t>Yes</t>
  </si>
  <si>
    <t>Electropolished stainless steel pipes supplied by Sakshi Forge to {INDUSTRY_TAG} plants in {CITY}</t>
  </si>
  <si>
    <t>electropolished-pipes-{city-slug}.webp</t>
  </si>
  <si>
    <t>All tiers</t>
  </si>
  <si>
    <t>Server-render the tables</t>
  </si>
  <si>
    <t>EP bore close-up</t>
  </si>
  <si>
    <t>No</t>
  </si>
  <si>
    <t>The reference chart must be in the HTML, not injected by JavaScript after load. If the numbers only exist after JS runs, the page has nothing to rank on and nothing for an AI crawler to cite.</t>
  </si>
  <si>
    <t>Close-up of the electropolished bore of an SS 316L sanitary tube showing mirror finish</t>
  </si>
  <si>
    <t>electropolished-tube-bore-finish.webp</t>
  </si>
  <si>
    <t>Ra / SF comparison chart</t>
  </si>
  <si>
    <t>ASME BPE surface finish grades SF1 to SF6 with Ra limits in micrometres and microinches</t>
  </si>
  <si>
    <t>Show the formula</t>
  </si>
  <si>
    <t>asme-bpe-sf-grade-ra-chart.webp</t>
  </si>
  <si>
    <t>Print the formula under the calculator. This is what gets quoted by AI answer engines and what earns links from engineering forums.</t>
  </si>
  <si>
    <t>{INDUSTRY_TAG} process piping of the type supplied to plants in {ESTATES}, {CITY}</t>
  </si>
  <si>
    <t>ep-tube-application-{city-slug}.webp</t>
  </si>
  <si>
    <t>Tier A + B</t>
  </si>
  <si>
    <t>State the tolerance</t>
  </si>
  <si>
    <t>Say plainly that results are indicative and actual weights vary with manufacturing tolerance. The competitor states plus/minus 2 percent - match that honesty.</t>
  </si>
  <si>
    <t>MTC / certification</t>
  </si>
  <si>
    <t>EN 10204 3.1 mill test certificate issued with every lot of Sakshi Forge electropolished tube</t>
  </si>
  <si>
    <t>en-10204-3-1-mill-test-certificate.webp</t>
  </si>
  <si>
    <t>CTY-0028</t>
  </si>
  <si>
    <t>Orbital weld joint</t>
  </si>
  <si>
    <t>Add SoftwareApplication schema</t>
  </si>
  <si>
    <t>Coimbatore</t>
  </si>
  <si>
    <t>Orbital welded joint on electropolished sanitary tube with controlled internal bead</t>
  </si>
  <si>
    <t>applicationCategory UtilitiesApplication, offers price 0. Plus FAQPage for the tool's own questions.</t>
  </si>
  <si>
    <t>orbital-welded-sanitary-tube-joint.webp</t>
  </si>
  <si>
    <t>Kurichi SIDCO, Peelamedu, Ganapathy Industrial Area</t>
  </si>
  <si>
    <t>Kurichi SIDCO</t>
  </si>
  <si>
    <t>Logistics / dispatch</t>
  </si>
  <si>
    <t>Pumps and valves, textile machinery, food equipment, foundry</t>
  </si>
  <si>
    <t>Capped and crated electropolished tube prepared for dispatch from Mumbai to {CITY}</t>
  </si>
  <si>
    <t>Tuticorin Port (450 km)</t>
  </si>
  <si>
    <t>ep-tube-dispatch-{city-slug}.webp</t>
  </si>
  <si>
    <t>Link into the city silo</t>
  </si>
  <si>
    <t>Spec table graphic</t>
  </si>
  <si>
    <t>Every tool page links to the market-area hub and to at least 5 Tier A city pages. Every city page links to at least 2 tools. This is how tool authority flows into the city pages.</t>
  </si>
  <si>
    <t>Dimensional and surface finish specification table for ASTM A270 electropolished tube</t>
  </si>
  <si>
    <t>astm-a270-ep-tube-specification.webp</t>
  </si>
  <si>
    <t>Grade comparison</t>
  </si>
  <si>
    <t>Chemical composition comparison of SS 304, 304L, 316 and 316L for electropolished tubing</t>
  </si>
  <si>
    <t>ss-grade-comparison-ep-tube.webp</t>
  </si>
  <si>
    <t>Plant / capability</t>
  </si>
  <si>
    <t>Sakshi Forge electropolishing line at the Mumbai manufacturing facility</t>
  </si>
  <si>
    <t>Never orphan a tool</t>
  </si>
  <si>
    <t>sakshi-forge-electropolishing-line-mumbai.webp</t>
  </si>
  <si>
    <t>The competitor's flange calculator is live but not in their nav. Every tool must be reachable from the main menu and from the tools index.</t>
  </si>
  <si>
    <t>Fittings range</t>
  </si>
  <si>
    <t>Electropolished tube fittings, clamps and gaskets matched to sanitary tube finish</t>
  </si>
  <si>
    <t>electropolished-tube-fittings-clamps.webp</t>
  </si>
  <si>
    <t>Calculator preview</t>
  </si>
  <si>
    <t>Preview of the Sakshi Forge pipe weight calculator showing kilograms per metre output</t>
  </si>
  <si>
    <t>pipe-weight-calculator-preview.webp</t>
  </si>
  <si>
    <t>Mobile first</t>
  </si>
  <si>
    <t>Most of this traffic is engineers on a phone at a plant. Inputs must be large, numeric keyboards must trigger, results must be visible without scrolling.</t>
  </si>
  <si>
    <t>Live formulas</t>
  </si>
  <si>
    <t>Column Y of the CITY MASTER already generates slot 1 alt text and column Z generates its title attribute. For slot 4 and 7 build the same pattern in your CMS from columns D, F and H.</t>
  </si>
  <si>
    <t>CTY-0029</t>
  </si>
  <si>
    <t>INTERNAL LINKING &amp; SILO STRUCTURE</t>
  </si>
  <si>
    <t>Cuddalore</t>
  </si>
  <si>
    <t>Cuddalore SIPCOT, SIPCOT Phase II</t>
  </si>
  <si>
    <t>Cuddalore SIPCOT</t>
  </si>
  <si>
    <t>Bulk drugs, specialty chemicals, agrochemicals</t>
  </si>
  <si>
    <t>Chennai Port (190 km)</t>
  </si>
  <si>
    <t>Crawl depth must never exceed 3 clicks from the homepage</t>
  </si>
  <si>
    <t>SILO</t>
  </si>
  <si>
    <t>Level 0</t>
  </si>
  <si>
    <t>Homepage</t>
  </si>
  <si>
    <t>Level 1</t>
  </si>
  <si>
    <t>/market-area/  (master hub, links to all 18 country hubs)</t>
  </si>
  <si>
    <t>Level 2</t>
  </si>
  <si>
    <t>/market-area/{country}/  (country hub) -&gt; for India also /market-area/india/{state}/</t>
  </si>
  <si>
    <t>CTY-0030</t>
  </si>
  <si>
    <t>Dahej</t>
  </si>
  <si>
    <t>Dahej SEZ, Dahej PCPIR</t>
  </si>
  <si>
    <t>Dahej SEZ</t>
  </si>
  <si>
    <t>Petrochemicals, bulk chemicals, LNG, fertilisers</t>
  </si>
  <si>
    <t>petrochemical</t>
  </si>
  <si>
    <t>Dahej Port (0 km)</t>
  </si>
  <si>
    <t>Level 3</t>
  </si>
  <si>
    <t>/market-area/electropolished-pipes-manufacturer-in-{city}/  (the city page)</t>
  </si>
  <si>
    <t>Link type</t>
  </si>
  <si>
    <t>From</t>
  </si>
  <si>
    <t>To</t>
  </si>
  <si>
    <t>How many</t>
  </si>
  <si>
    <t>Anchor text rule</t>
  </si>
  <si>
    <t>Up - hub</t>
  </si>
  <si>
    <t>City page</t>
  </si>
  <si>
    <t>Its country hub (and state hub for India)</t>
  </si>
  <si>
    <t>1-2</t>
  </si>
  <si>
    <t>Use the region name, e.g. 'EP pipe supply across Gujarat'. Never 'click here'.</t>
  </si>
  <si>
    <t>Across - siblings</t>
  </si>
  <si>
    <t>3 nearest cities in the same state/region</t>
  </si>
  <si>
    <t>3</t>
  </si>
  <si>
    <t>City name + a qualifier, e.g. 'EP tube supply in Vapi'. Vary the qualifier.</t>
  </si>
  <si>
    <t>CTY-0031</t>
  </si>
  <si>
    <t>Down - product</t>
  </si>
  <si>
    <t>Daman &amp; Diu</t>
  </si>
  <si>
    <t>Daman</t>
  </si>
  <si>
    <t>2 product pages relevant to the local industry mix</t>
  </si>
  <si>
    <t>Daman Industrial Estate, Bhimpore, Kadaiya</t>
  </si>
  <si>
    <t>Daman Industrial Estate</t>
  </si>
  <si>
    <t>2</t>
  </si>
  <si>
    <t>Pharmaceutical, plastics, engineering</t>
  </si>
  <si>
    <t>Hazira Port (110 km)</t>
  </si>
  <si>
    <t>Product name. Choose by column G - a dairy city links to sanitary tubing, not semiconductor.</t>
  </si>
  <si>
    <t>Down - tool</t>
  </si>
  <si>
    <t>2 calculators from sheet 08</t>
  </si>
  <si>
    <t>Tool name, e.g. 'pipe weight calculator'.</t>
  </si>
  <si>
    <t>Down - standard</t>
  </si>
  <si>
    <t>1-2 standard pages</t>
  </si>
  <si>
    <t>Standard designation, e.g. 'ASTM A270 specification'.</t>
  </si>
  <si>
    <t>Contextual</t>
  </si>
  <si>
    <t>Guide / blog</t>
  </si>
  <si>
    <t>Tier A city pages</t>
  </si>
  <si>
    <t>2-3</t>
  </si>
  <si>
    <t>Natural in-sentence links. Highest value link type on the site.</t>
  </si>
  <si>
    <t>Hub down</t>
  </si>
  <si>
    <t>Country hub</t>
  </si>
  <si>
    <t>Every city page in that country</t>
  </si>
  <si>
    <t>All</t>
  </si>
  <si>
    <t>City name only. This is the crawl path - it must be plain HTML links, not JavaScript.</t>
  </si>
  <si>
    <t>Tool out</t>
  </si>
  <si>
    <t>Calculator page</t>
  </si>
  <si>
    <t>5+ Tier A city pages + market-area hub</t>
  </si>
  <si>
    <t>6</t>
  </si>
  <si>
    <t>This pushes tool authority into the city silo.</t>
  </si>
  <si>
    <t>Anchor diversity</t>
  </si>
  <si>
    <t>If 400 city pages all link to the product page with the identical anchor 'electropolished pipes', that pattern is itself a spam signal. Rotate across at least 6 anchor variants.</t>
  </si>
  <si>
    <t>No link wheels</t>
  </si>
  <si>
    <t>CTY-0032</t>
  </si>
  <si>
    <t>Do not link every city to every other city. Three geographic neighbours only. A 1,832-node full mesh is a footprint no real site has.</t>
  </si>
  <si>
    <t>Uttarakhand</t>
  </si>
  <si>
    <t>Dehradun</t>
  </si>
  <si>
    <t>Selaqui Industrial Area, Doiwala</t>
  </si>
  <si>
    <t>Selaqui Industrial Area</t>
  </si>
  <si>
    <t>Pharmaceutical, food processing, electronics</t>
  </si>
  <si>
    <t>ICD Dadri (230 km)</t>
  </si>
  <si>
    <t>Pagination on hubs</t>
  </si>
  <si>
    <t>A country hub listing 900 cities needs real pagination with rel-prev/next style crawl paths, or the deeper cities never get discovered.</t>
  </si>
  <si>
    <t>Sitemap segmentation</t>
  </si>
  <si>
    <t>Split XML sitemaps by tier and country, max 1,000 URLs each. Segmented sitemaps let you see in Search Console exactly which tier is failing to index.</t>
  </si>
  <si>
    <t>CTY-0033</t>
  </si>
  <si>
    <t>Dewas</t>
  </si>
  <si>
    <t>Dewas Industrial Area MPIDC</t>
  </si>
  <si>
    <t>Pharmaceutical, dairy, engineering</t>
  </si>
  <si>
    <t>JNPT Nhava Sheva (620 km)</t>
  </si>
  <si>
    <t>CTY-0034</t>
  </si>
  <si>
    <t>Assam</t>
  </si>
  <si>
    <t>Dibrugarh</t>
  </si>
  <si>
    <t>Dibrugarh Industrial Estate AIDC</t>
  </si>
  <si>
    <t>Tea processing, oil and gas, food</t>
  </si>
  <si>
    <t>Kolkata Port (1400 km)</t>
  </si>
  <si>
    <t>4-5 day road transit from our Mumbai works</t>
  </si>
  <si>
    <t>TECHNICAL SEO CHECKLIST</t>
  </si>
  <si>
    <t>Stage 0 items block everything else. Do them first.</t>
  </si>
  <si>
    <t>Order matters</t>
  </si>
  <si>
    <t>CTY-0035</t>
  </si>
  <si>
    <t>West Bengal</t>
  </si>
  <si>
    <t>Durgapur</t>
  </si>
  <si>
    <t>If the site is not being indexed, nothing on any other sheet matters. Confirm indexation on the pages that already exist before publishing a single new one.</t>
  </si>
  <si>
    <t>Durgapur Industrial Belt, Durgapur SEZ</t>
  </si>
  <si>
    <t>Durgapur Industrial Belt</t>
  </si>
  <si>
    <t>Steel, heavy engineering, chemicals</t>
  </si>
  <si>
    <t>Kolkata Port (170 km)</t>
  </si>
  <si>
    <t>Stage</t>
  </si>
  <si>
    <t>Task</t>
  </si>
  <si>
    <t>Owner</t>
  </si>
  <si>
    <t>Status</t>
  </si>
  <si>
    <t>Stage 0</t>
  </si>
  <si>
    <t>Verify the domain property in Search Console (sc-domain, not URL-prefix)</t>
  </si>
  <si>
    <t>Domain property captures every subdomain and protocol. URL-prefix misses traffic.</t>
  </si>
  <si>
    <t>Akshat</t>
  </si>
  <si>
    <t>Run URL Inspection on 10 existing city pages</t>
  </si>
  <si>
    <t>Establishes whether the indexation problem is real and where it starts.</t>
  </si>
  <si>
    <t>Check robots.txt does not disallow /market-area/ or PDFs</t>
  </si>
  <si>
    <t>MTCs and Ra datasheets are AI citation assets. Blocking them costs visibility.</t>
  </si>
  <si>
    <t>CTY-0036</t>
  </si>
  <si>
    <t>Developer</t>
  </si>
  <si>
    <t>Erode</t>
  </si>
  <si>
    <t>Perundurai SIPCOT, Erode Industrial Estate</t>
  </si>
  <si>
    <t>Perundurai SIPCOT</t>
  </si>
  <si>
    <t>Confirm no site-wide noindex or canonical pointing to the homepage</t>
  </si>
  <si>
    <t>Textile processing, dyeing, food</t>
  </si>
  <si>
    <t>The single most common cause of zero indexation on WordPress builds.</t>
  </si>
  <si>
    <t>Tuticorin Port (330 km)</t>
  </si>
  <si>
    <t>Submit segmented XML sitemaps</t>
  </si>
  <si>
    <t>Split by tier and country so you can diagnose which segment fails.</t>
  </si>
  <si>
    <t>Stage 1</t>
  </si>
  <si>
    <t>Self-referencing canonical on every city page</t>
  </si>
  <si>
    <t>Prevents the three role-keyword H2s being read as duplicate variants.</t>
  </si>
  <si>
    <t>Unique title and meta on every page - verify with a crawl</t>
  </si>
  <si>
    <t>Screaming Frog or Sitebulb. Duplicate titles across city pages is an instant doorway signal.</t>
  </si>
  <si>
    <t>One H1 per page</t>
  </si>
  <si>
    <t>Column R generates it. Themes often add a second H1 in the header - check.</t>
  </si>
  <si>
    <t>Breadcrumbs rendered in HTML and matching schema</t>
  </si>
  <si>
    <t>Both the visible trail and the BreadcrumbList must agree.</t>
  </si>
  <si>
    <t>All six JSON-LD blocks in an @graph</t>
  </si>
  <si>
    <t>Sheet 07. Validate in Rich Results Test before rollout.</t>
  </si>
  <si>
    <t>Image lazy-load below the fold, eager on hero</t>
  </si>
  <si>
    <t>Lazy-loading the hero image damages Largest Contentful Paint.</t>
  </si>
  <si>
    <t>Explicit width/height on every image</t>
  </si>
  <si>
    <t>Protects Cumulative Layout Shift.</t>
  </si>
  <si>
    <t>Stage 2</t>
  </si>
  <si>
    <t>LCP under 2.5s on 4G mobile</t>
  </si>
  <si>
    <t>City pages are heavy on tables and images - test on a real device.</t>
  </si>
  <si>
    <t>SUPPORTING PAGES - 327 NON-CITY URLS</t>
  </si>
  <si>
    <t>CTY-0037</t>
  </si>
  <si>
    <t>INP under 200ms</t>
  </si>
  <si>
    <t>Calculator pages are the risk - JS on input must not block.</t>
  </si>
  <si>
    <t>Faridabad</t>
  </si>
  <si>
    <t>Faridabad Industrial Area, IMT Faridabad, Ballabgarh</t>
  </si>
  <si>
    <t>Faridabad Industrial Area</t>
  </si>
  <si>
    <t>Engineering, automotive, process equipment</t>
  </si>
  <si>
    <t>CLS under 0.1</t>
  </si>
  <si>
    <t>ICD Tughlakabad (35 km)</t>
  </si>
  <si>
    <t>Tables and embedded calculators are the usual offenders.</t>
  </si>
  <si>
    <t>Server-render calculator reference tables</t>
  </si>
  <si>
    <t>JS-injected tables cannot be indexed or cited.</t>
  </si>
  <si>
    <t>Hubs, tools, products, grades, standards, industries, comparisons and guides</t>
  </si>
  <si>
    <t>Compress and serve WebP</t>
  </si>
  <si>
    <t>Twelve images per page across 1,832 pages is the single biggest weight driver.</t>
  </si>
  <si>
    <t>Stage 3</t>
  </si>
  <si>
    <t>Google Business Profile for the Mumbai facility</t>
  </si>
  <si>
    <t>The only genuine local entity you have. Anchors the Organization schema.</t>
  </si>
  <si>
    <t>Page type</t>
  </si>
  <si>
    <t>Consistent NAP across site, GBP, IndiaMART, TradeIndia, Justdial</t>
  </si>
  <si>
    <t>Inconsistent phone or address undermines every local signal.</t>
  </si>
  <si>
    <t>Title / H1</t>
  </si>
  <si>
    <t>Primary target keyword</t>
  </si>
  <si>
    <t>Purpose &amp; notes</t>
  </si>
  <si>
    <t>Directory listings live</t>
  </si>
  <si>
    <t>Independent trust signals that city pages alone cannot generate.</t>
  </si>
  <si>
    <t>404 monitoring and redirect map</t>
  </si>
  <si>
    <t>1,832 new URLs will generate typos and dead links.</t>
  </si>
  <si>
    <t>Electropolished Pipes Manufacturer &amp; Exporter in India</t>
  </si>
  <si>
    <t>Log-file review after wave 5</t>
  </si>
  <si>
    <t>Tells you whether Googlebot is actually reaching Tier C pages.</t>
  </si>
  <si>
    <t>/market-area/india/</t>
  </si>
  <si>
    <t>electropolished pipes manufacturer india</t>
  </si>
  <si>
    <t>Links to every city page in India. Carries country export/compliance context.</t>
  </si>
  <si>
    <t>HREFLANG - READ BEFORE YOU IMPLEMENT</t>
  </si>
  <si>
    <t>CTY-0038</t>
  </si>
  <si>
    <t>Gandhinagar</t>
  </si>
  <si>
    <t>Gandhinagar GIDC, Chhatral GIDC</t>
  </si>
  <si>
    <t>Gandhinagar GIDC</t>
  </si>
  <si>
    <t>Pharmaceutical, electronics, engineering</t>
  </si>
  <si>
    <t>You do not need hreflang yet</t>
  </si>
  <si>
    <t>Mundra Port (370 km)</t>
  </si>
  <si>
    <t>hreflang tells Google which of several LANGUAGE OR REGION VERSIONS OF THE SAME CONTENT to show. Your city pages are not versions of each other - the Dubai page and the Hamburg page are different content about different places. Adding hreflang between them is not just unnecessary, it is wrong, and it invites Google to treat them as duplicates of one another. Leave it off.</t>
  </si>
  <si>
    <t>Electropolished Pipes Manufacturer &amp; Exporter in UAE</t>
  </si>
  <si>
    <t>/market-area/uae/</t>
  </si>
  <si>
    <t>When it becomes necessary</t>
  </si>
  <si>
    <t>electropolished pipes manufacturer uae</t>
  </si>
  <si>
    <t>Links to every city page in UAE. Carries country export/compliance context.</t>
  </si>
  <si>
    <t>The moment you publish a translated version - a German-language page at /de/ that says the same thing as the English one - you need hreflang linking that pair. Not before.</t>
  </si>
  <si>
    <t>Electropolished Pipes Manufacturer &amp; Exporter in Saudi Arabia</t>
  </si>
  <si>
    <t>/market-area/saudi-arabia/</t>
  </si>
  <si>
    <t>electropolished pipes manufacturer saudi arabia</t>
  </si>
  <si>
    <t>Links to every city page in Saudi Arabia. Carries country export/compliance context.</t>
  </si>
  <si>
    <t>What to do instead, now</t>
  </si>
  <si>
    <t>Electropolished Pipes Manufacturer &amp; Exporter in Qatar</t>
  </si>
  <si>
    <t>/market-area/qatar/</t>
  </si>
  <si>
    <t>Geographic targeting comes from: the country hub page, the Service schema areaServed field, the currency and Incoterm named in the content, the local standards cited (sheet 01 column I), and the transit lane from Nhava Sheva. That is what tells Google and a buyer which market a page serves.</t>
  </si>
  <si>
    <t>electropolished pipes manufacturer qatar</t>
  </si>
  <si>
    <t>Links to every city page in Qatar. Carries country export/compliance context.</t>
  </si>
  <si>
    <t>Electropolished Pipes Manufacturer &amp; Exporter in Oman</t>
  </si>
  <si>
    <t>/market-area/oman/</t>
  </si>
  <si>
    <t>Market</t>
  </si>
  <si>
    <t>electropolished pipes manufacturer oman</t>
  </si>
  <si>
    <t>hreflang code IF you translate later</t>
  </si>
  <si>
    <t>Links to every city page in Oman. Carries country export/compliance context.</t>
  </si>
  <si>
    <t>Translate priority</t>
  </si>
  <si>
    <t>Electropolished Pipes Manufacturer &amp; Exporter in Kuwait</t>
  </si>
  <si>
    <t>/market-area/kuwait/</t>
  </si>
  <si>
    <t>electropolished pipes manufacturer kuwait</t>
  </si>
  <si>
    <t>en-IN</t>
  </si>
  <si>
    <t>Links to every city page in Kuwait. Carries country export/compliance context.</t>
  </si>
  <si>
    <t>Not needed</t>
  </si>
  <si>
    <t>English-language market or English dominant in B2B procurement. No translation planned.</t>
  </si>
  <si>
    <t>Electropolished Pipes Manufacturer &amp; Exporter in Bahrain</t>
  </si>
  <si>
    <t>/market-area/bahrain/</t>
  </si>
  <si>
    <t>ar-AE</t>
  </si>
  <si>
    <t>electropolished pipes manufacturer bahrain</t>
  </si>
  <si>
    <t>Low</t>
  </si>
  <si>
    <t>Links to every city page in Bahrain. Carries country export/compliance context.</t>
  </si>
  <si>
    <t>B2B procurement runs largely in English.</t>
  </si>
  <si>
    <t>ar-SA</t>
  </si>
  <si>
    <t>Electropolished Pipes Manufacturer &amp; Exporter in USA</t>
  </si>
  <si>
    <t>Medium</t>
  </si>
  <si>
    <t>/market-area/usa/</t>
  </si>
  <si>
    <t>electropolished pipes manufacturer usa</t>
  </si>
  <si>
    <t>Arabic matters for government and Aramco-adjacent procurement.</t>
  </si>
  <si>
    <t>Links to every city page in USA. Carries country export/compliance context.</t>
  </si>
  <si>
    <t>en-QA</t>
  </si>
  <si>
    <t>Electropolished Pipes Manufacturer &amp; Exporter in UK</t>
  </si>
  <si>
    <t>/market-area/uk/</t>
  </si>
  <si>
    <t>electropolished pipes manufacturer uk</t>
  </si>
  <si>
    <t>en-OM</t>
  </si>
  <si>
    <t>Links to every city page in UK. Carries country export/compliance context.</t>
  </si>
  <si>
    <t>en-KW</t>
  </si>
  <si>
    <t>Electropolished Pipes Manufacturer &amp; Exporter in Germany</t>
  </si>
  <si>
    <t>CTY-0039</t>
  </si>
  <si>
    <t>/market-area/germany/</t>
  </si>
  <si>
    <t>electropolished pipes manufacturer germany</t>
  </si>
  <si>
    <t>Telangana</t>
  </si>
  <si>
    <t>Genome Valley</t>
  </si>
  <si>
    <t>Links to every city page in Germany. Carries country export/compliance context.</t>
  </si>
  <si>
    <t>en-BH</t>
  </si>
  <si>
    <t>Genome Valley Shameerpet, Karkapatla, Turkapally</t>
  </si>
  <si>
    <t>Genome Valley Shameerpet</t>
  </si>
  <si>
    <t>Vaccines, biotech, life sciences R&amp;D, biologics</t>
  </si>
  <si>
    <t>Electropolished Pipes Manufacturer &amp; Exporter in Netherlands</t>
  </si>
  <si>
    <t>biotech</t>
  </si>
  <si>
    <t>/market-area/netherlands/</t>
  </si>
  <si>
    <t>Krishnapatnam Port (470 km)</t>
  </si>
  <si>
    <t>en-US</t>
  </si>
  <si>
    <t>electropolished pipes manufacturer netherlands</t>
  </si>
  <si>
    <t>CDSCO + CDL; WHO-GMP; biologics plants specify SF4 and 3.1 MTC</t>
  </si>
  <si>
    <t>Links to every city page in Netherlands. Carries country export/compliance context.</t>
  </si>
  <si>
    <t>en-UK</t>
  </si>
  <si>
    <t>Electropolished Pipes Manufacturer &amp; Exporter in Italy</t>
  </si>
  <si>
    <t>/market-area/italy/</t>
  </si>
  <si>
    <t>electropolished pipes manufacturer italy</t>
  </si>
  <si>
    <t>Links to every city page in Italy. Carries country export/compliance context.</t>
  </si>
  <si>
    <t>de-DE</t>
  </si>
  <si>
    <t>High</t>
  </si>
  <si>
    <t>Strong local-language search behaviour in industrial procurement. Highest translation ROI of the 18.</t>
  </si>
  <si>
    <t>Electropolished Pipes Manufacturer &amp; Exporter in Spain</t>
  </si>
  <si>
    <t>/market-area/spain/</t>
  </si>
  <si>
    <t>electropolished pipes manufacturer spain</t>
  </si>
  <si>
    <t>nl-NL</t>
  </si>
  <si>
    <t>Links to every city page in Spain. Carries country export/compliance context.</t>
  </si>
  <si>
    <t>Very high English proficiency in B2B procurement - English pages perform.</t>
  </si>
  <si>
    <t>Electropolished Pipes Manufacturer &amp; Exporter in Australia</t>
  </si>
  <si>
    <t>it-IT</t>
  </si>
  <si>
    <t>/market-area/australia/</t>
  </si>
  <si>
    <t>electropolished pipes manufacturer australia</t>
  </si>
  <si>
    <t>Buyers search in Italian; Parma and Bologna food-machinery clusters especially.</t>
  </si>
  <si>
    <t>Links to every city page in Australia. Carries country export/compliance context.</t>
  </si>
  <si>
    <t>es-ES</t>
  </si>
  <si>
    <t>Electropolished Pipes Manufacturer &amp; Exporter in Singapore</t>
  </si>
  <si>
    <t>/market-area/singapore/</t>
  </si>
  <si>
    <t>Spanish-language search dominates; also opens LATAM later.</t>
  </si>
  <si>
    <t>electropolished pipes manufacturer singapore</t>
  </si>
  <si>
    <t>Links to every city page in Singapore. Carries country export/compliance context.</t>
  </si>
  <si>
    <t>en-AU</t>
  </si>
  <si>
    <t>Electropolished Pipes Manufacturer &amp; Exporter in Malaysia</t>
  </si>
  <si>
    <t>/market-area/malaysia/</t>
  </si>
  <si>
    <t>electropolished pipes manufacturer malaysia</t>
  </si>
  <si>
    <t>en-SG</t>
  </si>
  <si>
    <t>Links to every city page in Malaysia. Carries country export/compliance context.</t>
  </si>
  <si>
    <t>Electropolished Pipes Manufacturer &amp; Exporter in Indonesia</t>
  </si>
  <si>
    <t>/market-area/indonesia/</t>
  </si>
  <si>
    <t>ms-MY</t>
  </si>
  <si>
    <t>electropolished pipes manufacturer indonesia</t>
  </si>
  <si>
    <t>Links to every city page in Indonesia. Carries country export/compliance context.</t>
  </si>
  <si>
    <t>English widely used in technical procurement.</t>
  </si>
  <si>
    <t>Electropolished Pipes Manufacturer &amp; Exporter in Vietnam</t>
  </si>
  <si>
    <t>/market-area/vietnam/</t>
  </si>
  <si>
    <t>electropolished pipes manufacturer vietnam</t>
  </si>
  <si>
    <t>id-ID</t>
  </si>
  <si>
    <t>Links to every city page in Vietnam. Carries country export/compliance context.</t>
  </si>
  <si>
    <t>Bahasa search dominates outside Jakarta.</t>
  </si>
  <si>
    <t>State hub</t>
  </si>
  <si>
    <t>Electropolished Pipes Manufacturer in Andaman &amp; Nicobar</t>
  </si>
  <si>
    <t>/market-area/india/andaman-and-nicobar/</t>
  </si>
  <si>
    <t>electropolished pipes manufacturer in andaman &amp; nicobar</t>
  </si>
  <si>
    <t>Links down to city pages in this state; links up to India hub.</t>
  </si>
  <si>
    <t>vi-VN</t>
  </si>
  <si>
    <t>CTY-0040</t>
  </si>
  <si>
    <t>Growing fab and food-processing base, low English search share.</t>
  </si>
  <si>
    <t>Electropolished Pipes Manufacturer in Andhra Pradesh</t>
  </si>
  <si>
    <t>/market-area/india/andhra-pradesh/</t>
  </si>
  <si>
    <t>Ghaziabad</t>
  </si>
  <si>
    <t>electropolished pipes manufacturer in andhra pradesh</t>
  </si>
  <si>
    <t>Sahibabad Industrial Area, Loni Industrial Area</t>
  </si>
  <si>
    <t>Sahibabad Industrial Area</t>
  </si>
  <si>
    <t>Engineering, food processing, packaging</t>
  </si>
  <si>
    <t>Electropolished Pipes Manufacturer in Arunachal Pradesh</t>
  </si>
  <si>
    <t>ICD Dadri (35 km)</t>
  </si>
  <si>
    <t>/market-area/india/arunachal-pradesh/</t>
  </si>
  <si>
    <t>electropolished pipes manufacturer in arunachal pradesh</t>
  </si>
  <si>
    <t>Electropolished Pipes Manufacturer in Assam</t>
  </si>
  <si>
    <t>/market-area/india/assam/</t>
  </si>
  <si>
    <t>electropolished pipes manufacturer in assam</t>
  </si>
  <si>
    <t>Electropolished Pipes Manufacturer in Bihar</t>
  </si>
  <si>
    <t>/market-area/india/bihar/</t>
  </si>
  <si>
    <t>electropolished pipes manufacturer in bihar</t>
  </si>
  <si>
    <t>Electropolished Pipes Manufacturer in Chandigarh</t>
  </si>
  <si>
    <t>/market-area/india/chandigarh/</t>
  </si>
  <si>
    <t>electropolished pipes manufacturer in chandigarh</t>
  </si>
  <si>
    <t>Electropolished Pipes Manufacturer in Chhattisgarh</t>
  </si>
  <si>
    <t>/market-area/india/chhattisgarh/</t>
  </si>
  <si>
    <t>electropolished pipes manufacturer in chhattisgarh</t>
  </si>
  <si>
    <t>Electropolished Pipes Manufacturer in Dadra &amp; Nagar Haveli</t>
  </si>
  <si>
    <t>/market-area/india/dadra-and-nagar-haveli/</t>
  </si>
  <si>
    <t>electropolished pipes manufacturer in dadra &amp; nagar haveli</t>
  </si>
  <si>
    <t>Electropolished Pipes Manufacturer in Daman &amp; Diu</t>
  </si>
  <si>
    <t>/market-area/india/daman-and-diu/</t>
  </si>
  <si>
    <t>electropolished pipes manufacturer in daman &amp; diu</t>
  </si>
  <si>
    <t>Electropolished Pipes Manufacturer in Delhi</t>
  </si>
  <si>
    <t>/market-area/india/delhi/</t>
  </si>
  <si>
    <t>electropolished pipes manufacturer in delhi</t>
  </si>
  <si>
    <t>Electropolished Pipes Manufacturer in Goa</t>
  </si>
  <si>
    <t>/market-area/india/goa/</t>
  </si>
  <si>
    <t>electropolished pipes manufacturer in goa</t>
  </si>
  <si>
    <t>Electropolished Pipes Manufacturer in Gujarat</t>
  </si>
  <si>
    <t>/market-area/india/gujarat/</t>
  </si>
  <si>
    <t>electropolished pipes manufacturer in gujarat</t>
  </si>
  <si>
    <t>Electropolished Pipes Manufacturer in Haryana</t>
  </si>
  <si>
    <t>/market-area/india/haryana/</t>
  </si>
  <si>
    <t>electropolished pipes manufacturer in haryana</t>
  </si>
  <si>
    <t>Electropolished Pipes Manufacturer in Himachal Pradesh</t>
  </si>
  <si>
    <t>/market-area/india/himachal-pradesh/</t>
  </si>
  <si>
    <t>electropolished pipes manufacturer in himachal pradesh</t>
  </si>
  <si>
    <t>CTY-0041</t>
  </si>
  <si>
    <t>Greater Noida</t>
  </si>
  <si>
    <t>Electropolished Pipes Manufacturer in Jammu &amp; Kashmir</t>
  </si>
  <si>
    <t>/market-area/india/jammu-and-kashmir/</t>
  </si>
  <si>
    <t>Greater Noida Industrial Area, Ecotech I-XII</t>
  </si>
  <si>
    <t>electropolished pipes manufacturer in jammu &amp; kashmir</t>
  </si>
  <si>
    <t>Greater Noida Industrial Area</t>
  </si>
  <si>
    <t>Electronics, pharmaceutical, automotive</t>
  </si>
  <si>
    <t>ICD Dadri (15 km)</t>
  </si>
  <si>
    <t>Electropolished Pipes Manufacturer in Jharkhand</t>
  </si>
  <si>
    <t>/market-area/india/jharkhand/</t>
  </si>
  <si>
    <t>electropolished pipes manufacturer in jharkhand</t>
  </si>
  <si>
    <t>Electropolished Pipes Manufacturer in Karnataka</t>
  </si>
  <si>
    <t>/market-area/india/karnataka/</t>
  </si>
  <si>
    <t>electropolished pipes manufacturer in karnataka</t>
  </si>
  <si>
    <t>Electropolished Pipes Manufacturer in Kerala</t>
  </si>
  <si>
    <t>/market-area/india/kerala/</t>
  </si>
  <si>
    <t>electropolished pipes manufacturer in kerala</t>
  </si>
  <si>
    <t>Electropolished Pipes Manufacturer in Ladakh</t>
  </si>
  <si>
    <t>/market-area/india/ladakh/</t>
  </si>
  <si>
    <t>electropolished pipes manufacturer in ladakh</t>
  </si>
  <si>
    <t>Electropolished Pipes Manufacturer in Madhya Pradesh</t>
  </si>
  <si>
    <t>/market-area/india/madhya-pradesh/</t>
  </si>
  <si>
    <t>electropolished pipes manufacturer in madhya pradesh</t>
  </si>
  <si>
    <t>Electropolished Pipes Manufacturer in Maharashtra</t>
  </si>
  <si>
    <t>/market-area/india/maharashtra/</t>
  </si>
  <si>
    <t>electropolished pipes manufacturer in maharashtra</t>
  </si>
  <si>
    <t>Electropolished Pipes Manufacturer in Manipur</t>
  </si>
  <si>
    <t>/market-area/india/manipur/</t>
  </si>
  <si>
    <t>electropolished pipes manufacturer in manipur</t>
  </si>
  <si>
    <t>Electropolished Pipes Manufacturer in Meghalaya</t>
  </si>
  <si>
    <t>/market-area/india/meghalaya/</t>
  </si>
  <si>
    <t>electropolished pipes manufacturer in meghalaya</t>
  </si>
  <si>
    <t>Electropolished Pipes Manufacturer in Mizoram</t>
  </si>
  <si>
    <t>/market-area/india/mizoram/</t>
  </si>
  <si>
    <t>electropolished pipes manufacturer in mizoram</t>
  </si>
  <si>
    <t>Electropolished Pipes Manufacturer in Nagaland</t>
  </si>
  <si>
    <t>/market-area/india/nagaland/</t>
  </si>
  <si>
    <t>electropolished pipes manufacturer in nagaland</t>
  </si>
  <si>
    <t>Electropolished Pipes Manufacturer in Odisha</t>
  </si>
  <si>
    <t>/market-area/india/odisha/</t>
  </si>
  <si>
    <t>electropolished pipes manufacturer in odisha</t>
  </si>
  <si>
    <t>Electropolished Pipes Manufacturer in Puducherry</t>
  </si>
  <si>
    <t>/market-area/india/puducherry/</t>
  </si>
  <si>
    <t>electropolished pipes manufacturer in puducherry</t>
  </si>
  <si>
    <t>CTY-0042</t>
  </si>
  <si>
    <t>Electropolished Pipes Manufacturer in Punjab</t>
  </si>
  <si>
    <t>Gurugram</t>
  </si>
  <si>
    <t>/market-area/india/punjab/</t>
  </si>
  <si>
    <t>electropolished pipes manufacturer in punjab</t>
  </si>
  <si>
    <t>IMT Manesar, Udyog Vihar, Sector 37 Industrial Area</t>
  </si>
  <si>
    <t>IMT Manesar</t>
  </si>
  <si>
    <t>Pharmaceutical, automotive, electronics, FMCG</t>
  </si>
  <si>
    <t>Electropolished Pipes Manufacturer in Rajasthan</t>
  </si>
  <si>
    <t>/market-area/india/rajasthan/</t>
  </si>
  <si>
    <t>ICD Tughlakabad (40 km)</t>
  </si>
  <si>
    <t>RESEARCH WORKLIST</t>
  </si>
  <si>
    <t>electropolished pipes manufacturer in rajasthan</t>
  </si>
  <si>
    <t>Electropolished Pipes Manufacturer in Sikkim</t>
  </si>
  <si>
    <t>/market-area/india/sikkim/</t>
  </si>
  <si>
    <t>electropolished pipes manufacturer in sikkim</t>
  </si>
  <si>
    <t>Electropolished Pipes Manufacturer in Tamil Nadu</t>
  </si>
  <si>
    <t>/market-area/india/tamil-nadu/</t>
  </si>
  <si>
    <t>electropolished pipes manufacturer in tamil nadu</t>
  </si>
  <si>
    <t>Electropolished Pipes Manufacturer in Telangana</t>
  </si>
  <si>
    <t>/market-area/india/telangana/</t>
  </si>
  <si>
    <t>electropolished pipes manufacturer in telangana</t>
  </si>
  <si>
    <t>Electropolished Pipes Manufacturer in Tripura</t>
  </si>
  <si>
    <t>/market-area/india/tripura/</t>
  </si>
  <si>
    <t>electropolished pipes manufacturer in tripura</t>
  </si>
  <si>
    <t>Electropolished Pipes Manufacturer in Uttar Pradesh</t>
  </si>
  <si>
    <t>/market-area/india/uttar-pradesh/</t>
  </si>
  <si>
    <t>1,348 rows to complete. Source named for every one.</t>
  </si>
  <si>
    <t>electropolished pipes manufacturer in uttar pradesh</t>
  </si>
  <si>
    <t>Electropolished Pipes Manufacturer in Uttarakhand</t>
  </si>
  <si>
    <t>/market-area/india/uttarakhand/</t>
  </si>
  <si>
    <t>electropolished pipes manufacturer in uttarakhand</t>
  </si>
  <si>
    <t>Electropolished Pipes Manufacturer in West Bengal</t>
  </si>
  <si>
    <t>/market-area/india/west-bengal/</t>
  </si>
  <si>
    <t>electropolished pipes manufacturer in west bengal</t>
  </si>
  <si>
    <t>Region hub</t>
  </si>
  <si>
    <t>EP Pipes &amp; Tubes Supplier in ACT, Australia</t>
  </si>
  <si>
    <t>/market-area/australia/act/</t>
  </si>
  <si>
    <t>electropolished tube supplier act</t>
  </si>
  <si>
    <t>Mid-level hub between country hub and city pages.</t>
  </si>
  <si>
    <t>EP Pipes &amp; Tubes Supplier in New South Wales, Australia</t>
  </si>
  <si>
    <t>/market-area/australia/new-south-wales/</t>
  </si>
  <si>
    <t>electropolished tube supplier new south wales</t>
  </si>
  <si>
    <t>What to fill</t>
  </si>
  <si>
    <t>EP Pipes &amp; Tubes Supplier in Northern Territory, Australia</t>
  </si>
  <si>
    <t>/market-area/australia/northern-territory/</t>
  </si>
  <si>
    <t>electropolished tube supplier northern territory</t>
  </si>
  <si>
    <t>Four fields minimum for every city: Industrial Estates, Lead Estate, Dominant Industry Mix and Logistics Gateway. Tier A and B additionally need Transit Note, Local Standard and Local Proof Point. Copy your findings into the matching AMBER columns of the CITY MASTER, then change Data Status to VERIFIED.</t>
  </si>
  <si>
    <t>EP Pipes &amp; Tubes Supplier in Queensland, Australia</t>
  </si>
  <si>
    <t>/market-area/australia/queensland/</t>
  </si>
  <si>
    <t>electropolished tube supplier queensland</t>
  </si>
  <si>
    <t>CTY-0043</t>
  </si>
  <si>
    <t>EP Pipes &amp; Tubes Supplier in South Australia, Australia</t>
  </si>
  <si>
    <t>/market-area/australia/south-australia/</t>
  </si>
  <si>
    <t>Guwahati</t>
  </si>
  <si>
    <t>electropolished tube supplier south australia</t>
  </si>
  <si>
    <t>Amingaon Industrial Estate, Brahmaputra Industrial Park</t>
  </si>
  <si>
    <t>Amingaon Industrial Estate</t>
  </si>
  <si>
    <t>Food processing, tea, petrochemicals</t>
  </si>
  <si>
    <t>EP Pipes &amp; Tubes Supplier in Tasmania, Australia</t>
  </si>
  <si>
    <t>Kolkata Port (1050 km)</t>
  </si>
  <si>
    <t>/market-area/australia/tasmania/</t>
  </si>
  <si>
    <t>electropolished tube supplier tasmania</t>
  </si>
  <si>
    <t>Quality bar</t>
  </si>
  <si>
    <t>EP Pipes &amp; Tubes Supplier in Victoria, Australia</t>
  </si>
  <si>
    <t>/market-area/australia/victoria/</t>
  </si>
  <si>
    <t>electropolished tube supplier victoria</t>
  </si>
  <si>
    <t>An estate name must be findable. If you search it and nothing comes back, it is not a real estate and it must not go on the page. Writing 'the industrial area of X' fails - that is the templated phrasing this whole build exists to avoid.</t>
  </si>
  <si>
    <t>EP Pipes &amp; Tubes Supplier in Western Australia, Australia</t>
  </si>
  <si>
    <t>/market-area/australia/western-australia/</t>
  </si>
  <si>
    <t>electropolished tube supplier western australia</t>
  </si>
  <si>
    <t>CTY-0044</t>
  </si>
  <si>
    <t>EP Pipes &amp; Tubes Supplier in Capital, Bahrain</t>
  </si>
  <si>
    <t>Haldia</t>
  </si>
  <si>
    <t>/market-area/bahrain/capital/</t>
  </si>
  <si>
    <t>electropolished tube supplier capital</t>
  </si>
  <si>
    <t>Haldia Petrochemical Complex, Haldia Industrial Belt</t>
  </si>
  <si>
    <t>Haldia Petrochemical Complex</t>
  </si>
  <si>
    <t>Petrochemicals, refining, chemicals</t>
  </si>
  <si>
    <t>EP Pipes &amp; Tubes Supplier in Muharraq, Bahrain</t>
  </si>
  <si>
    <t>Haldia Port (0 km)</t>
  </si>
  <si>
    <t>/market-area/bahrain/muharraq/</t>
  </si>
  <si>
    <t>electropolished tube supplier muharraq</t>
  </si>
  <si>
    <t>EP Pipes &amp; Tubes Supplier in Northern, Bahrain</t>
  </si>
  <si>
    <t>/market-area/bahrain/northern/</t>
  </si>
  <si>
    <t>electropolished tube supplier northern</t>
  </si>
  <si>
    <t>EP Pipes &amp; Tubes Supplier in Southern, Bahrain</t>
  </si>
  <si>
    <t>Where to research this one</t>
  </si>
  <si>
    <t>/market-area/bahrain/southern/</t>
  </si>
  <si>
    <t>electropolished tube supplier southern</t>
  </si>
  <si>
    <t>Estates - FILL</t>
  </si>
  <si>
    <t>EP Pipes &amp; Tubes Supplier in Baden-Wurttemberg, Germany</t>
  </si>
  <si>
    <t>Lead estate - FILL</t>
  </si>
  <si>
    <t>/market-area/germany/baden-wurttemberg/</t>
  </si>
  <si>
    <t>electropolished tube supplier baden-wurttemberg</t>
  </si>
  <si>
    <t>Industry mix - FILL</t>
  </si>
  <si>
    <t>Done by / date</t>
  </si>
  <si>
    <t>EP Pipes &amp; Tubes Supplier in Bavaria, Germany</t>
  </si>
  <si>
    <t>/market-area/germany/bavaria/</t>
  </si>
  <si>
    <t>electropolished tube supplier bavaria</t>
  </si>
  <si>
    <t>CTY-0271</t>
  </si>
  <si>
    <t>EP Pipes &amp; Tubes Supplier in Berlin, Germany</t>
  </si>
  <si>
    <t>/market-area/germany/berlin/</t>
  </si>
  <si>
    <t>electropolished tube supplier berlin</t>
  </si>
  <si>
    <t>EP Pipes &amp; Tubes Supplier in Bremen, Germany</t>
  </si>
  <si>
    <t>/market-area/germany/bremen/</t>
  </si>
  <si>
    <t>electropolished tube supplier bremen</t>
  </si>
  <si>
    <t>EP Pipes &amp; Tubes Supplier in Hamburg, Germany</t>
  </si>
  <si>
    <t>/market-area/germany/hamburg/</t>
  </si>
  <si>
    <t>Abu Road</t>
  </si>
  <si>
    <t>electropolished tube supplier hamburg</t>
  </si>
  <si>
    <t>EP Pipes &amp; Tubes Supplier in Hesse, Germany</t>
  </si>
  <si>
    <t>RIICO estate directory for Rajasthan; MSME-DI district industrial profile PDF for Abu Road district; Google Maps industrial area layer</t>
  </si>
  <si>
    <t>/market-area/germany/hesse/</t>
  </si>
  <si>
    <t>electropolished tube supplier hesse</t>
  </si>
  <si>
    <t>RIICO Industrial Area, Abu Road</t>
  </si>
  <si>
    <t>EP Pipes &amp; Tubes Supplier in Lower Saxony, Germany</t>
  </si>
  <si>
    <t>/market-area/germany/lower-saxony/</t>
  </si>
  <si>
    <t>electropolished tube supplier lower saxony</t>
  </si>
  <si>
    <t>EP Pipes &amp; Tubes Supplier in Mecklenburg, Germany</t>
  </si>
  <si>
    <t>/market-area/germany/mecklenburg/</t>
  </si>
  <si>
    <t>electropolished tube supplier mecklenburg</t>
  </si>
  <si>
    <t>CTY-0272</t>
  </si>
  <si>
    <t>EP Pipes &amp; Tubes Supplier in North Rhine-Westphalia, Germany</t>
  </si>
  <si>
    <t>/market-area/germany/north-rhine-westphalia/</t>
  </si>
  <si>
    <t>electropolished tube supplier north rhine-westphalia</t>
  </si>
  <si>
    <t>CTY-0045</t>
  </si>
  <si>
    <t>Adilabad</t>
  </si>
  <si>
    <t>Halol</t>
  </si>
  <si>
    <t>EP Pipes &amp; Tubes Supplier in Rhineland-Palatinate, Germany</t>
  </si>
  <si>
    <t>Halol GIDC, Halol Bypass Industrial Belt</t>
  </si>
  <si>
    <t>TSIIC estate directory for Telangana; MSME-DI district industrial profile PDF for Adilabad district; Google Maps industrial area layer</t>
  </si>
  <si>
    <t>Halol GIDC</t>
  </si>
  <si>
    <t>/market-area/germany/rhineland-palatinate/</t>
  </si>
  <si>
    <t>Pharmaceutical formulations, automotive, engineering</t>
  </si>
  <si>
    <t>electropolished tube supplier rhineland-palatinate</t>
  </si>
  <si>
    <t>TSIIC Industrial Area, Adilabad</t>
  </si>
  <si>
    <t>Hazira Port (200 km)</t>
  </si>
  <si>
    <t>EP Pipes &amp; Tubes Supplier in Saxony, Germany</t>
  </si>
  <si>
    <t>/market-area/germany/saxony/</t>
  </si>
  <si>
    <t>electropolished tube supplier saxony</t>
  </si>
  <si>
    <t>CTY-0273</t>
  </si>
  <si>
    <t>EP Pipes &amp; Tubes Supplier in Saxony-Anhalt, Germany</t>
  </si>
  <si>
    <t>Adoni</t>
  </si>
  <si>
    <t>/market-area/germany/saxony-anhalt/</t>
  </si>
  <si>
    <t>electropolished tube supplier saxony-anhalt</t>
  </si>
  <si>
    <t>APIIC estate directory for Andhra Pradesh; MSME-DI district industrial profile PDF for Adoni district; Google Maps industrial area layer</t>
  </si>
  <si>
    <t>APIIC Industrial Area, Adoni</t>
  </si>
  <si>
    <t>EP Pipes &amp; Tubes Supplier in Schleswig-Holstein, Germany</t>
  </si>
  <si>
    <t>/market-area/germany/schleswig-holstein/</t>
  </si>
  <si>
    <t>electropolished tube supplier schleswig-holstein</t>
  </si>
  <si>
    <t>CTY-0274</t>
  </si>
  <si>
    <t>EP Pipes &amp; Tubes Supplier in Banten, Indonesia</t>
  </si>
  <si>
    <t>Tripura</t>
  </si>
  <si>
    <t>/market-area/indonesia/banten/</t>
  </si>
  <si>
    <t>Agartala</t>
  </si>
  <si>
    <t>electropolished tube supplier banten</t>
  </si>
  <si>
    <t>TIDC estate directory for Tripura; MSME-DI district industrial profile PDF for Agartala district; Google Maps industrial area layer</t>
  </si>
  <si>
    <t>EP Pipes &amp; Tubes Supplier in Central Java, Indonesia</t>
  </si>
  <si>
    <t>TIDC Industrial Area, Agartala</t>
  </si>
  <si>
    <t>/market-area/indonesia/central-java/</t>
  </si>
  <si>
    <t>electropolished tube supplier central java</t>
  </si>
  <si>
    <t>EP Pipes &amp; Tubes Supplier in DKI Jakarta, Indonesia</t>
  </si>
  <si>
    <t>CTY-0275</t>
  </si>
  <si>
    <t>/market-area/indonesia/dki-jakarta/</t>
  </si>
  <si>
    <t>electropolished tube supplier dki jakarta</t>
  </si>
  <si>
    <t>Ahmednagar</t>
  </si>
  <si>
    <t>EP Pipes &amp; Tubes Supplier in East Java, Indonesia</t>
  </si>
  <si>
    <t>/market-area/indonesia/east-java/</t>
  </si>
  <si>
    <t>electropolished tube supplier east java</t>
  </si>
  <si>
    <t>MIDC estate directory for Maharashtra; MSME-DI district industrial profile PDF for Ahmednagar district; Google Maps industrial area layer</t>
  </si>
  <si>
    <t>MIDC Industrial Area, Ahmednagar</t>
  </si>
  <si>
    <t>EP Pipes &amp; Tubes Supplier in East Kalimantan, Indonesia</t>
  </si>
  <si>
    <t>/market-area/indonesia/east-kalimantan/</t>
  </si>
  <si>
    <t>electropolished tube supplier east kalimantan</t>
  </si>
  <si>
    <t>CTY-0276</t>
  </si>
  <si>
    <t>EP Pipes &amp; Tubes Supplier in North Sumatra, Indonesia</t>
  </si>
  <si>
    <t>Mizoram</t>
  </si>
  <si>
    <t>/market-area/indonesia/north-sumatra/</t>
  </si>
  <si>
    <t>electropolished tube supplier north sumatra</t>
  </si>
  <si>
    <t>Aizawl</t>
  </si>
  <si>
    <t>ZIDCO estate directory for Mizoram; MSME-DI district industrial profile PDF for Aizawl district; Google Maps industrial area layer</t>
  </si>
  <si>
    <t>EP Pipes &amp; Tubes Supplier in Riau, Indonesia</t>
  </si>
  <si>
    <t>/market-area/indonesia/riau/</t>
  </si>
  <si>
    <t>ZIDCO Industrial Area, Aizawl</t>
  </si>
  <si>
    <t>electropolished tube supplier riau</t>
  </si>
  <si>
    <t>EP Pipes &amp; Tubes Supplier in Riau Islands, Indonesia</t>
  </si>
  <si>
    <t>/market-area/indonesia/riau-islands/</t>
  </si>
  <si>
    <t>CTY-0277</t>
  </si>
  <si>
    <t>CTY-0046</t>
  </si>
  <si>
    <t>electropolished tube supplier riau islands</t>
  </si>
  <si>
    <t>Haridwar</t>
  </si>
  <si>
    <t>Ajmer</t>
  </si>
  <si>
    <t>EP Pipes &amp; Tubes Supplier in South Sulawesi, Indonesia</t>
  </si>
  <si>
    <t>SIDCUL Haridwar IIE, Bahadrabad</t>
  </si>
  <si>
    <t>/market-area/indonesia/south-sulawesi/</t>
  </si>
  <si>
    <t>SIDCUL Haridwar IIE</t>
  </si>
  <si>
    <t>electropolished tube supplier south sulawesi</t>
  </si>
  <si>
    <t>Pharmaceutical formulations, FMCG, automotive</t>
  </si>
  <si>
    <t>RIICO estate directory for Rajasthan; MSME-DI district industrial profile PDF for Ajmer district; Google Maps industrial area layer</t>
  </si>
  <si>
    <t>ICD Dadri (200 km)</t>
  </si>
  <si>
    <t>RIICO Industrial Area, Ajmer</t>
  </si>
  <si>
    <t>EP Pipes &amp; Tubes Supplier in South Sumatra, Indonesia</t>
  </si>
  <si>
    <t>/market-area/indonesia/south-sumatra/</t>
  </si>
  <si>
    <t>electropolished tube supplier south sumatra</t>
  </si>
  <si>
    <t>CTY-0278</t>
  </si>
  <si>
    <t>EP Pipes &amp; Tubes Supplier in West Java, Indonesia</t>
  </si>
  <si>
    <t>/market-area/indonesia/west-java/</t>
  </si>
  <si>
    <t>electropolished tube supplier west java</t>
  </si>
  <si>
    <t>Akola</t>
  </si>
  <si>
    <t>MIDC estate directory for Maharashtra; MSME-DI district industrial profile PDF for Akola district; Google Maps industrial area layer</t>
  </si>
  <si>
    <t>EP Pipes &amp; Tubes Supplier in Apulia, Italy</t>
  </si>
  <si>
    <t>/market-area/italy/apulia/</t>
  </si>
  <si>
    <t>MIDC Industrial Area, Akola</t>
  </si>
  <si>
    <t>electropolished tube supplier apulia</t>
  </si>
  <si>
    <t>EP Pipes &amp; Tubes Supplier in Campania, Italy</t>
  </si>
  <si>
    <t>CTY-0279</t>
  </si>
  <si>
    <t>/market-area/italy/campania/</t>
  </si>
  <si>
    <t>electropolished tube supplier campania</t>
  </si>
  <si>
    <t>Kerala</t>
  </si>
  <si>
    <t>Alappuzha</t>
  </si>
  <si>
    <t>EP Pipes &amp; Tubes Supplier in Emilia-Romagna, Italy</t>
  </si>
  <si>
    <t>/market-area/italy/emilia-romagna/</t>
  </si>
  <si>
    <t>electropolished tube supplier emilia-romagna</t>
  </si>
  <si>
    <t>KINFRA estate directory for Kerala; MSME-DI district industrial profile PDF for Alappuzha district; Google Maps industrial area layer</t>
  </si>
  <si>
    <t>EP Pipes &amp; Tubes Supplier in Lazio, Italy</t>
  </si>
  <si>
    <t>/market-area/italy/lazio/</t>
  </si>
  <si>
    <t>electropolished tube supplier lazio</t>
  </si>
  <si>
    <t>ROLLOUT PLAN &amp; PRE-PUBLISH QA GATE</t>
  </si>
  <si>
    <t>EP Pipes &amp; Tubes Supplier in Liguria, Italy</t>
  </si>
  <si>
    <t>/market-area/italy/liguria/</t>
  </si>
  <si>
    <t>electropolished tube supplier liguria</t>
  </si>
  <si>
    <t>KINFRA Industrial Area, Alappuzha</t>
  </si>
  <si>
    <t>EP Pipes &amp; Tubes Supplier in Lombardy, Italy</t>
  </si>
  <si>
    <t>/market-area/italy/lombardy/</t>
  </si>
  <si>
    <t>electropolished tube supplier lombardy</t>
  </si>
  <si>
    <t>CTY-0280</t>
  </si>
  <si>
    <t>EP Pipes &amp; Tubes Supplier in Marche, Italy</t>
  </si>
  <si>
    <t>/market-area/italy/marche/</t>
  </si>
  <si>
    <t>Aligarh</t>
  </si>
  <si>
    <t>electropolished tube supplier marche</t>
  </si>
  <si>
    <t>60 pages per week maximum. No exceptions.</t>
  </si>
  <si>
    <t>UPSIDA estate directory for Uttar Pradesh; MSME-DI district industrial profile PDF for Aligarh district; Google Maps industrial area layer</t>
  </si>
  <si>
    <t>EP Pipes &amp; Tubes Supplier in Piedmont, Italy</t>
  </si>
  <si>
    <t>UPSIDA Industrial Area, Aligarh</t>
  </si>
  <si>
    <t>/market-area/italy/piedmont/</t>
  </si>
  <si>
    <t>electropolished tube supplier piedmont</t>
  </si>
  <si>
    <t>EP Pipes &amp; Tubes Supplier in Sicily, Italy</t>
  </si>
  <si>
    <t>CTY-0281</t>
  </si>
  <si>
    <t>/market-area/italy/sicily/</t>
  </si>
  <si>
    <t>Why the cap</t>
  </si>
  <si>
    <t>CTY-0047</t>
  </si>
  <si>
    <t>electropolished tube supplier sicily</t>
  </si>
  <si>
    <t>Hosur</t>
  </si>
  <si>
    <t>Aluva</t>
  </si>
  <si>
    <t>Publishing 1,832 near-structurally-identical URLs in a short window is the clearest possible scaled-content signal. A steady 60 a week looks like a company building out its site. It also gives you a feedback loop: if wave 3 does not index, you stop and fix it instead of discovering the problem at page 1,800.</t>
  </si>
  <si>
    <t>EP Pipes &amp; Tubes Supplier in Tuscany, Italy</t>
  </si>
  <si>
    <t>Hosur SIPCOT Phase I &amp; II</t>
  </si>
  <si>
    <t>/market-area/italy/tuscany/</t>
  </si>
  <si>
    <t>KINFRA estate directory for Kerala; MSME-DI district industrial profile PDF for Aluva district; Google Maps industrial area layer</t>
  </si>
  <si>
    <t>Automotive, electronics, precision engineering</t>
  </si>
  <si>
    <t>electropolished tube supplier tuscany</t>
  </si>
  <si>
    <t>electronics</t>
  </si>
  <si>
    <t>KINFRA Industrial Area, Aluva</t>
  </si>
  <si>
    <t>Chennai Port (300 km)</t>
  </si>
  <si>
    <t>EP Pipes &amp; Tubes Supplier in Umbria, Italy</t>
  </si>
  <si>
    <t>/market-area/italy/umbria/</t>
  </si>
  <si>
    <t>WAVE PLAN</t>
  </si>
  <si>
    <t>electropolished tube supplier umbria</t>
  </si>
  <si>
    <t>CTY-0282</t>
  </si>
  <si>
    <t>EP Pipes &amp; Tubes Supplier in Veneto, Italy</t>
  </si>
  <si>
    <t>Ambikapur</t>
  </si>
  <si>
    <t>/market-area/italy/veneto/</t>
  </si>
  <si>
    <t>electropolished tube supplier veneto</t>
  </si>
  <si>
    <t>CSIDC estate directory for Chhattisgarh; MSME-DI district industrial profile PDF for Ambikapur district; Google Maps industrial area layer</t>
  </si>
  <si>
    <t>CSIDC Industrial Area, Ambikapur</t>
  </si>
  <si>
    <t>Phase</t>
  </si>
  <si>
    <t>EP Pipes &amp; Tubes Supplier in Al Ahmadi, Kuwait</t>
  </si>
  <si>
    <t>/market-area/kuwait/al-ahmadi/</t>
  </si>
  <si>
    <t>electropolished tube supplier al ahmadi</t>
  </si>
  <si>
    <t>Weeks</t>
  </si>
  <si>
    <t>CTY-0283</t>
  </si>
  <si>
    <t>What ships</t>
  </si>
  <si>
    <t>EP Pipes &amp; Tubes Supplier in Al Asimah, Kuwait</t>
  </si>
  <si>
    <t>/market-area/kuwait/al-asimah/</t>
  </si>
  <si>
    <t>electropolished tube supplier al asimah</t>
  </si>
  <si>
    <t>Pages</t>
  </si>
  <si>
    <t>Amravati</t>
  </si>
  <si>
    <t>Gate to pass before continuing</t>
  </si>
  <si>
    <t>EP Pipes &amp; Tubes Supplier in Al Farwaniyah, Kuwait</t>
  </si>
  <si>
    <t>MIDC estate directory for Maharashtra; MSME-DI district industrial profile PDF for Amravati district; Google Maps industrial area layer</t>
  </si>
  <si>
    <t>/market-area/kuwait/al-farwaniyah/</t>
  </si>
  <si>
    <t>MIDC Industrial Area, Amravati</t>
  </si>
  <si>
    <t>electropolished tube supplier al farwaniyah</t>
  </si>
  <si>
    <t>EP Pipes &amp; Tubes Supplier in Al Jahra, Kuwait</t>
  </si>
  <si>
    <t>/market-area/kuwait/al-jahra/</t>
  </si>
  <si>
    <t>CTY-0284</t>
  </si>
  <si>
    <t>electropolished tube supplier al jahra</t>
  </si>
  <si>
    <t>Week 1</t>
  </si>
  <si>
    <t>No new pages. Fix indexation, Search Console, robots.txt, canonicals.</t>
  </si>
  <si>
    <t>Amreli</t>
  </si>
  <si>
    <t>EP Pipes &amp; Tubes Supplier in Hawalli, Kuwait</t>
  </si>
  <si>
    <t>10 existing pages return 'URL is on Google' in URL Inspection. Nothing ships until this passes.</t>
  </si>
  <si>
    <t>/market-area/kuwait/hawalli/</t>
  </si>
  <si>
    <t>GIDC estate directory for Gujarat; MSME-DI district industrial profile PDF for Amreli district; Google Maps industrial area layer</t>
  </si>
  <si>
    <t>electropolished tube supplier hawalli</t>
  </si>
  <si>
    <t>GIDC Industrial Area, Amreli</t>
  </si>
  <si>
    <t>EP Pipes &amp; Tubes Supplier in Federal Territory, Malaysia</t>
  </si>
  <si>
    <t>/market-area/malaysia/federal-territory/</t>
  </si>
  <si>
    <t>electropolished tube supplier federal territory</t>
  </si>
  <si>
    <t>CTY-0285</t>
  </si>
  <si>
    <t>EP Pipes &amp; Tubes Supplier in Johor, Malaysia</t>
  </si>
  <si>
    <t>Jammu &amp; Kashmir</t>
  </si>
  <si>
    <t>/market-area/malaysia/johor/</t>
  </si>
  <si>
    <t>electropolished tube supplier johor</t>
  </si>
  <si>
    <t>Anantnag</t>
  </si>
  <si>
    <t>Pilot</t>
  </si>
  <si>
    <t>1</t>
  </si>
  <si>
    <t>SIDCO estate directory for Jammu &amp; Kashmir; MSME-DI district industrial profile PDF for Anantnag district; Google Maps industrial area layer</t>
  </si>
  <si>
    <t>EP Pipes &amp; Tubes Supplier in Kedah, Malaysia</t>
  </si>
  <si>
    <t>Weeks 2-3</t>
  </si>
  <si>
    <t>/market-area/malaysia/kedah/</t>
  </si>
  <si>
    <t>SIDCO Industrial Area, Anantnag</t>
  </si>
  <si>
    <t>electropolished tube supplier kedah</t>
  </si>
  <si>
    <t>20 Tier A India cities, fully hand-written, all 5 unique fields real.</t>
  </si>
  <si>
    <t>At least 16 of 20 indexed within 21 days. If under 12, stop and diagnose - do not proceed.</t>
  </si>
  <si>
    <t>EP Pipes &amp; Tubes Supplier in Melaka, Malaysia</t>
  </si>
  <si>
    <t>CTY-0286</t>
  </si>
  <si>
    <t>/market-area/malaysia/melaka/</t>
  </si>
  <si>
    <t>electropolished tube supplier melaka</t>
  </si>
  <si>
    <t>Phase 1</t>
  </si>
  <si>
    <t>2-5</t>
  </si>
  <si>
    <t>Angamaly</t>
  </si>
  <si>
    <t>Weeks 4-9</t>
  </si>
  <si>
    <t>EP Pipes &amp; Tubes Supplier in Negeri Sembilan, Malaysia</t>
  </si>
  <si>
    <t>Remaining Tier A India + the 12 calculator pages + 10 product pages.</t>
  </si>
  <si>
    <t>/market-area/malaysia/negeri-sembilan/</t>
  </si>
  <si>
    <t>KINFRA estate directory for Kerala; MSME-DI district industrial profile PDF for Angamaly district; Google Maps industrial area layer</t>
  </si>
  <si>
    <t>electropolished tube supplier negeri sembilan</t>
  </si>
  <si>
    <t>Indexation rate holds above 75%. At least 3 city pages showing impressions in Search Console.</t>
  </si>
  <si>
    <t>KINFRA Industrial Area, Angamaly</t>
  </si>
  <si>
    <t>Phase 2</t>
  </si>
  <si>
    <t>EP Pipes &amp; Tubes Supplier in Pahang, Malaysia</t>
  </si>
  <si>
    <t>/market-area/malaysia/pahang/</t>
  </si>
  <si>
    <t>6-12</t>
  </si>
  <si>
    <t>electropolished tube supplier pahang</t>
  </si>
  <si>
    <t>Weeks 10-18</t>
  </si>
  <si>
    <t>CTY-0287</t>
  </si>
  <si>
    <t>Tier A international + country hubs + standard and grade pages.</t>
  </si>
  <si>
    <t>CTY-0048</t>
  </si>
  <si>
    <t>Bihar</t>
  </si>
  <si>
    <t>No manual actions. Indexation above 70%. Tier A India pages ranking top 50 for their city term.</t>
  </si>
  <si>
    <t>EP Pipes &amp; Tubes Supplier in Penang, Malaysia</t>
  </si>
  <si>
    <t>Howrah</t>
  </si>
  <si>
    <t>/market-area/malaysia/penang/</t>
  </si>
  <si>
    <t>Ara</t>
  </si>
  <si>
    <t>electropolished tube supplier penang</t>
  </si>
  <si>
    <t>Howrah Industrial Belt, Dankuni Industrial Area</t>
  </si>
  <si>
    <t>Phase 3</t>
  </si>
  <si>
    <t>Howrah Industrial Belt</t>
  </si>
  <si>
    <t>BIADA estate directory for Bihar; MSME-DI district industrial profile PDF for Ara district; Google Maps industrial area layer</t>
  </si>
  <si>
    <t>13-22</t>
  </si>
  <si>
    <t>Foundry, engineering, fabrication</t>
  </si>
  <si>
    <t>BIADA Industrial Area, Ara</t>
  </si>
  <si>
    <t>Weeks 19-30</t>
  </si>
  <si>
    <t>EP Pipes &amp; Tubes Supplier in Perak, Malaysia</t>
  </si>
  <si>
    <t>/market-area/malaysia/perak/</t>
  </si>
  <si>
    <t>Tier B India and international + industry and comparison pages.</t>
  </si>
  <si>
    <t>Kolkata Port (10 km)</t>
  </si>
  <si>
    <t>electropolished tube supplier perak</t>
  </si>
  <si>
    <t>Indexation above 65%. Enquiry volume measurably up. VERIFY queue keeping pace with publishing.</t>
  </si>
  <si>
    <t>CTY-0288</t>
  </si>
  <si>
    <t>Phase 4</t>
  </si>
  <si>
    <t>EP Pipes &amp; Tubes Supplier in Sabah, Malaysia</t>
  </si>
  <si>
    <t>23-31</t>
  </si>
  <si>
    <t>/market-area/malaysia/sabah/</t>
  </si>
  <si>
    <t>Weeks 31-42</t>
  </si>
  <si>
    <t>electropolished tube supplier sabah</t>
  </si>
  <si>
    <t>Tier C, but only rows whose VERIFY data is complete.</t>
  </si>
  <si>
    <t>Ariyalur</t>
  </si>
  <si>
    <t>Any Tier C row still marked VERIFY does not ship. Cut the page rather than publish a thin one.</t>
  </si>
  <si>
    <t>EP Pipes &amp; Tubes Supplier in Sarawak, Malaysia</t>
  </si>
  <si>
    <t>/market-area/malaysia/sarawak/</t>
  </si>
  <si>
    <t>SIPCOT estate directory for Tamil Nadu; MSME-DI district industrial profile PDF for Ariyalur district; Google Maps industrial area layer</t>
  </si>
  <si>
    <t>electropolished tube supplier sarawak</t>
  </si>
  <si>
    <t>SIPCOT Industrial Area, Ariyalur</t>
  </si>
  <si>
    <t>EP Pipes &amp; Tubes Supplier in Selangor, Malaysia</t>
  </si>
  <si>
    <t>/market-area/malaysia/selangor/</t>
  </si>
  <si>
    <t>CTY-0289</t>
  </si>
  <si>
    <t>electropolished tube supplier selangor</t>
  </si>
  <si>
    <t>Asansol</t>
  </si>
  <si>
    <t>EP Pipes &amp; Tubes Supplier in Gelderland, Netherlands</t>
  </si>
  <si>
    <t>/market-area/netherlands/gelderland/</t>
  </si>
  <si>
    <t>electropolished tube supplier gelderland</t>
  </si>
  <si>
    <t>WBIDC estate directory for West Bengal; MSME-DI district industrial profile PDF for Asansol district; Google Maps industrial area layer</t>
  </si>
  <si>
    <t>WBIDC Industrial Area, Asansol</t>
  </si>
  <si>
    <t>EP Pipes &amp; Tubes Supplier in Groningen, Netherlands</t>
  </si>
  <si>
    <t>/market-area/netherlands/groningen/</t>
  </si>
  <si>
    <t>electropolished tube supplier groningen</t>
  </si>
  <si>
    <t>CTY-0290</t>
  </si>
  <si>
    <t>EP Pipes &amp; Tubes Supplier in Limburg, Netherlands</t>
  </si>
  <si>
    <t>/market-area/netherlands/limburg/</t>
  </si>
  <si>
    <t>electropolished tube supplier limburg</t>
  </si>
  <si>
    <t>Ayodhya</t>
  </si>
  <si>
    <t>UPSIDA estate directory for Uttar Pradesh; MSME-DI district industrial profile PDF for Ayodhya district; Google Maps industrial area layer</t>
  </si>
  <si>
    <t>EP Pipes &amp; Tubes Supplier in North Brabant, Netherlands</t>
  </si>
  <si>
    <t>PRE-PUBLISH QA GATE - EVERY PAGE, NO EXCEPTIONS</t>
  </si>
  <si>
    <t>/market-area/netherlands/north-brabant/</t>
  </si>
  <si>
    <t>UPSIDA Industrial Area, Ayodhya</t>
  </si>
  <si>
    <t>electropolished tube supplier north brabant</t>
  </si>
  <si>
    <t>EP Pipes &amp; Tubes Supplier in North Holland, Netherlands</t>
  </si>
  <si>
    <t>CTY-0291</t>
  </si>
  <si>
    <t>/market-area/netherlands/north-holland/</t>
  </si>
  <si>
    <t>electropolished tube supplier north holland</t>
  </si>
  <si>
    <t>Check</t>
  </si>
  <si>
    <t>Azamgarh</t>
  </si>
  <si>
    <t>Pass condition</t>
  </si>
  <si>
    <t>EP Pipes &amp; Tubes Supplier in Overijssel, Netherlands</t>
  </si>
  <si>
    <t>How to check</t>
  </si>
  <si>
    <t>/market-area/netherlands/overijssel/</t>
  </si>
  <si>
    <t>Blocking?</t>
  </si>
  <si>
    <t>electropolished tube supplier overijssel</t>
  </si>
  <si>
    <t>UPSIDA estate directory for Uttar Pradesh; MSME-DI district industrial profile PDF for Azamgarh district; Google Maps industrial area layer</t>
  </si>
  <si>
    <t>UPSIDA Industrial Area, Azamgarh</t>
  </si>
  <si>
    <t>EP Pipes &amp; Tubes Supplier in South Holland, Netherlands</t>
  </si>
  <si>
    <t>Data status is VERIFIED</t>
  </si>
  <si>
    <t>/market-area/netherlands/south-holland/</t>
  </si>
  <si>
    <t>Column J in CITY MASTER does not read VERIFY</t>
  </si>
  <si>
    <t>electropolished tube supplier south holland</t>
  </si>
  <si>
    <t>Filter the CITY MASTER on column J</t>
  </si>
  <si>
    <t>CTY-0292</t>
  </si>
  <si>
    <t>EP Pipes &amp; Tubes Supplier in Utrecht, Netherlands</t>
  </si>
  <si>
    <t>BLOCKING</t>
  </si>
  <si>
    <t>/market-area/netherlands/utrecht/</t>
  </si>
  <si>
    <t>Bagalkot</t>
  </si>
  <si>
    <t>electropolished tube supplier utrecht</t>
  </si>
  <si>
    <t>CTY-0049</t>
  </si>
  <si>
    <t>Hubballi-Dharwad</t>
  </si>
  <si>
    <t>KIADB estate directory for Karnataka; MSME-DI district industrial profile PDF for Bagalkot district; Google Maps industrial area layer</t>
  </si>
  <si>
    <t>EP Pipes &amp; Tubes Supplier in Zeeland, Netherlands</t>
  </si>
  <si>
    <t>At least 3 factual claims break when the city name is swapped</t>
  </si>
  <si>
    <t>/market-area/netherlands/zeeland/</t>
  </si>
  <si>
    <t>KIADB Industrial Area, Bagalkot</t>
  </si>
  <si>
    <t>Manual read. One page per batch of 10.</t>
  </si>
  <si>
    <t>electropolished tube supplier zeeland</t>
  </si>
  <si>
    <t>Belur Industrial Area, Tarihal KIADB</t>
  </si>
  <si>
    <t>Belur Industrial Area</t>
  </si>
  <si>
    <t>Food processing, engineering, agro</t>
  </si>
  <si>
    <t>Industrial estates are real</t>
  </si>
  <si>
    <t>Mangalore Port (330 km)</t>
  </si>
  <si>
    <t>CTY-0293</t>
  </si>
  <si>
    <t>Estate name verifiable on the state IDC site or Google Maps</t>
  </si>
  <si>
    <t>EP Pipes &amp; Tubes Supplier in Ad Dakhiliyah, Oman</t>
  </si>
  <si>
    <t>Search the estate name. If nothing comes back, it is not real.</t>
  </si>
  <si>
    <t>/market-area/oman/ad-dakhiliyah/</t>
  </si>
  <si>
    <t>electropolished tube supplier ad dakhiliyah</t>
  </si>
  <si>
    <t>Bahraich</t>
  </si>
  <si>
    <t>Title unique and under 65 chars</t>
  </si>
  <si>
    <t>Column O reads OK</t>
  </si>
  <si>
    <t>UPSIDA estate directory for Uttar Pradesh; MSME-DI district industrial profile PDF for Bahraich district; Google Maps industrial area layer</t>
  </si>
  <si>
    <t>Filter column O for TRIM or SHORT</t>
  </si>
  <si>
    <t>EP Pipes &amp; Tubes Supplier in Ad Dhahirah, Oman</t>
  </si>
  <si>
    <t>UPSIDA Industrial Area, Bahraich</t>
  </si>
  <si>
    <t>/market-area/oman/ad-dhahirah/</t>
  </si>
  <si>
    <t>electropolished tube supplier ad dhahirah</t>
  </si>
  <si>
    <t>Meta unique and 120-160 chars</t>
  </si>
  <si>
    <t>Column Q reads OK</t>
  </si>
  <si>
    <t>Filter column Q for TRIM or SHORT</t>
  </si>
  <si>
    <t>CTY-0294</t>
  </si>
  <si>
    <t>EP Pipes &amp; Tubes Supplier in Al Buraimi, Oman</t>
  </si>
  <si>
    <t>/market-area/oman/al-buraimi/</t>
  </si>
  <si>
    <t>One H1 only</t>
  </si>
  <si>
    <t>electropolished tube supplier al buraimi</t>
  </si>
  <si>
    <t>Exactly one H1 in the rendered HTML</t>
  </si>
  <si>
    <t>Balasore</t>
  </si>
  <si>
    <t>View source or crawl</t>
  </si>
  <si>
    <t>IDCO estate directory for Odisha; MSME-DI district industrial profile PDF for Balasore district; Google Maps industrial area layer</t>
  </si>
  <si>
    <t>All three role H2s present</t>
  </si>
  <si>
    <t>IDCO Industrial Area, Balasore</t>
  </si>
  <si>
    <t>EP Pipes &amp; Tubes Supplier in Al Wusta, Oman</t>
  </si>
  <si>
    <t>Manufacturer, supplier and wholesaler H2 blocks all render</t>
  </si>
  <si>
    <t>/market-area/oman/al-wusta/</t>
  </si>
  <si>
    <t>View the page</t>
  </si>
  <si>
    <t>electropolished tube supplier al wusta</t>
  </si>
  <si>
    <t>FAQ count meets tier minimum</t>
  </si>
  <si>
    <t>CTY-0295</t>
  </si>
  <si>
    <t>Tier A 10, Tier B 8, Tier C 6 - column AC</t>
  </si>
  <si>
    <t>Count on the page</t>
  </si>
  <si>
    <t>EP Pipes &amp; Tubes Supplier in Dhofar, Oman</t>
  </si>
  <si>
    <t>/market-area/oman/dhofar/</t>
  </si>
  <si>
    <t>Ballari</t>
  </si>
  <si>
    <t>City-specific FAQ minimum</t>
  </si>
  <si>
    <t>electropolished tube supplier dhofar</t>
  </si>
  <si>
    <t>Tier A 4, Tier B 3, Tier C 2 from the CITY-SPECIFIC group</t>
  </si>
  <si>
    <t>Check against sheet 06</t>
  </si>
  <si>
    <t>KIADB estate directory for Karnataka; MSME-DI district industrial profile PDF for Ballari district; Google Maps industrial area layer</t>
  </si>
  <si>
    <t>KIADB Industrial Area, Ballari</t>
  </si>
  <si>
    <t>EP Pipes &amp; Tubes Supplier in Muscat, Oman</t>
  </si>
  <si>
    <t>/market-area/oman/muscat/</t>
  </si>
  <si>
    <t>FAQ schema matches visible FAQs</t>
  </si>
  <si>
    <t>electropolished tube supplier muscat</t>
  </si>
  <si>
    <t>CTY-0296</t>
  </si>
  <si>
    <t>Same count, same wording</t>
  </si>
  <si>
    <t>Rich Results Test</t>
  </si>
  <si>
    <t>Banda</t>
  </si>
  <si>
    <t>EP Pipes &amp; Tubes Supplier in North Al Batinah, Oman</t>
  </si>
  <si>
    <t>/market-area/oman/north-al-batinah/</t>
  </si>
  <si>
    <t>All 6 schema blocks validate</t>
  </si>
  <si>
    <t>electropolished tube supplier north al batinah</t>
  </si>
  <si>
    <t>UPSIDA estate directory for Uttar Pradesh; MSME-DI district industrial profile PDF for Banda district; Google Maps industrial area layer</t>
  </si>
  <si>
    <t>No errors in Rich Results Test</t>
  </si>
  <si>
    <t>UPSIDA Industrial Area, Banda</t>
  </si>
  <si>
    <t>EP Pipes &amp; Tubes Supplier in North Ash Sharqiyah, Oman</t>
  </si>
  <si>
    <t>/market-area/oman/north-ash-sharqiyah/</t>
  </si>
  <si>
    <t>electropolished tube supplier north ash sharqiyah</t>
  </si>
  <si>
    <t>Word count meets tier target</t>
  </si>
  <si>
    <t>CTY-0297</t>
  </si>
  <si>
    <t>Column AB target met</t>
  </si>
  <si>
    <t>Word count tool</t>
  </si>
  <si>
    <t>Warning</t>
  </si>
  <si>
    <t>Bankura</t>
  </si>
  <si>
    <t>EP Pipes &amp; Tubes Supplier in South Al Batinah, Oman</t>
  </si>
  <si>
    <t>/market-area/oman/south-al-batinah/</t>
  </si>
  <si>
    <t>electropolished tube supplier south al batinah</t>
  </si>
  <si>
    <t>WBIDC estate directory for West Bengal; MSME-DI district industrial profile PDF for Bankura district; Google Maps industrial area layer</t>
  </si>
  <si>
    <t>Internal links meet minimum</t>
  </si>
  <si>
    <t>Column AD target met, correct mix per sheet 10</t>
  </si>
  <si>
    <t>WBIDC Industrial Area, Bankura</t>
  </si>
  <si>
    <t>Manual or crawl</t>
  </si>
  <si>
    <t>CTY-0050</t>
  </si>
  <si>
    <t>EP Pipes &amp; Tubes Supplier in South Ash Sharqiyah, Oman</t>
  </si>
  <si>
    <t>Hyderabad</t>
  </si>
  <si>
    <t>/market-area/oman/south-ash-sharqiyah/</t>
  </si>
  <si>
    <t>CTY-0298</t>
  </si>
  <si>
    <t>Alt text unique on slots 1, 4, 7</t>
  </si>
  <si>
    <t>electropolished tube supplier south ash sharqiyah</t>
  </si>
  <si>
    <t>No duplicate alt across pages</t>
  </si>
  <si>
    <t>Jeedimetla IDA, Balanagar IDA, Kukatpally IDA</t>
  </si>
  <si>
    <t>Crawl and pivot on alt text</t>
  </si>
  <si>
    <t>Jeedimetla IDA</t>
  </si>
  <si>
    <t>Bulk drugs, API, vaccines, biotech, life sciences</t>
  </si>
  <si>
    <t>pharma &amp; API &amp; biotech</t>
  </si>
  <si>
    <t>Baramati</t>
  </si>
  <si>
    <t>Krishnapatnam Port (450 km)</t>
  </si>
  <si>
    <t>EP Pipes &amp; Tubes Supplier in Al Khor, Qatar</t>
  </si>
  <si>
    <t>Lead time signed off</t>
  </si>
  <si>
    <t>MIDC estate directory for Maharashtra; MSME-DI district industrial profile PDF for Baramati district; Google Maps industrial area layer</t>
  </si>
  <si>
    <t>/market-area/qatar/al-khor/</t>
  </si>
  <si>
    <t>Column I confirmed with dispatch</t>
  </si>
  <si>
    <t>electropolished tube supplier al khor</t>
  </si>
  <si>
    <t>MIDC Industrial Area, Baramati</t>
  </si>
  <si>
    <t>Sales sign-off</t>
  </si>
  <si>
    <t>EP Pipes &amp; Tubes Supplier in Al Rayyan, Qatar</t>
  </si>
  <si>
    <t>No fabricated claims</t>
  </si>
  <si>
    <t>/market-area/qatar/al-rayyan/</t>
  </si>
  <si>
    <t>CTY-0299</t>
  </si>
  <si>
    <t>No invented case studies, no uncertified claims</t>
  </si>
  <si>
    <t>electropolished tube supplier al rayyan</t>
  </si>
  <si>
    <t>Manual read</t>
  </si>
  <si>
    <t>Baramulla</t>
  </si>
  <si>
    <t>Canonical self-references</t>
  </si>
  <si>
    <t>EP Pipes &amp; Tubes Supplier in Al Shahaniya, Qatar</t>
  </si>
  <si>
    <t>Canonical points at its own URL</t>
  </si>
  <si>
    <t>/market-area/qatar/al-shahaniya/</t>
  </si>
  <si>
    <t>View source</t>
  </si>
  <si>
    <t>electropolished tube supplier al shahaniya</t>
  </si>
  <si>
    <t>SIDCO estate directory for Jammu &amp; Kashmir; MSME-DI district industrial profile PDF for Baramulla district; Google Maps industrial area layer</t>
  </si>
  <si>
    <t>SIDCO Industrial Area, Baramulla</t>
  </si>
  <si>
    <t>Page loads under 2.5s LCP mobile</t>
  </si>
  <si>
    <t>PageSpeed Insights mobile LCP under 2.5s</t>
  </si>
  <si>
    <t>EP Pipes &amp; Tubes Supplier in Al Wakrah, Qatar</t>
  </si>
  <si>
    <t>PageSpeed Insights</t>
  </si>
  <si>
    <t>/market-area/qatar/al-wakrah/</t>
  </si>
  <si>
    <t>electropolished tube supplier al wakrah</t>
  </si>
  <si>
    <t>Slug has no collision</t>
  </si>
  <si>
    <t>CTY-0300</t>
  </si>
  <si>
    <t>URL not already in use - check column L for duplicates</t>
  </si>
  <si>
    <t>Sort column L and scan</t>
  </si>
  <si>
    <t>EP Pipes &amp; Tubes Supplier in Doha, Qatar</t>
  </si>
  <si>
    <t>/market-area/qatar/doha/</t>
  </si>
  <si>
    <t>Semiconductor cities cite F19/F17</t>
  </si>
  <si>
    <t>electropolished tube supplier doha</t>
  </si>
  <si>
    <t>Baran</t>
  </si>
  <si>
    <t>Never SEMI F57</t>
  </si>
  <si>
    <t>Search the page for 'F57'</t>
  </si>
  <si>
    <t>EP Pipes &amp; Tubes Supplier in Umm Salal, Qatar</t>
  </si>
  <si>
    <t>RIICO estate directory for Rajasthan; MSME-DI district industrial profile PDF for Baran district; Google Maps industrial area layer</t>
  </si>
  <si>
    <t>/market-area/qatar/umm-salal/</t>
  </si>
  <si>
    <t>WHAT TO MEASURE</t>
  </si>
  <si>
    <t>RIICO Industrial Area, Baran</t>
  </si>
  <si>
    <t>electropolished tube supplier umm salal</t>
  </si>
  <si>
    <t>EP Pipes &amp; Tubes Supplier in Asir Province, Saudi Arabia</t>
  </si>
  <si>
    <t>/market-area/saudi-arabia/asir-province/</t>
  </si>
  <si>
    <t>CTY-0301</t>
  </si>
  <si>
    <t>electropolished tube supplier asir province</t>
  </si>
  <si>
    <t>Metric</t>
  </si>
  <si>
    <t>Bardhaman</t>
  </si>
  <si>
    <t>Target</t>
  </si>
  <si>
    <t>EP Pipes &amp; Tubes Supplier in Eastern Province, Saudi Arabia</t>
  </si>
  <si>
    <t>/market-area/saudi-arabia/eastern-province/</t>
  </si>
  <si>
    <t>Review cadence</t>
  </si>
  <si>
    <t>electropolished tube supplier eastern province</t>
  </si>
  <si>
    <t>WBIDC estate directory for West Bengal; MSME-DI district industrial profile PDF for Bardhaman district; Google Maps industrial area layer</t>
  </si>
  <si>
    <t>WBIDC Industrial Area, Bardhaman</t>
  </si>
  <si>
    <t>Indexation rate by tier</t>
  </si>
  <si>
    <t>Search Console &gt; Pages</t>
  </si>
  <si>
    <t>EP Pipes &amp; Tubes Supplier in Hail Province, Saudi Arabia</t>
  </si>
  <si>
    <t>/market-area/saudi-arabia/hail-province/</t>
  </si>
  <si>
    <t>Above 70% within 30 days of publish</t>
  </si>
  <si>
    <t>Weekly</t>
  </si>
  <si>
    <t>electropolished tube supplier hail province</t>
  </si>
  <si>
    <t>CTY-0302</t>
  </si>
  <si>
    <t>Impressions on city queries</t>
  </si>
  <si>
    <t>Search Console &gt; Performance</t>
  </si>
  <si>
    <t>Rising month on month from wave 3</t>
  </si>
  <si>
    <t>EP Pipes &amp; Tubes Supplier in Jizan Province, Saudi Arabia</t>
  </si>
  <si>
    <t>Bardoli</t>
  </si>
  <si>
    <t>/market-area/saudi-arabia/jizan-province/</t>
  </si>
  <si>
    <t>electropolished tube supplier jizan province</t>
  </si>
  <si>
    <t>Average position for '{city} manufacturer'</t>
  </si>
  <si>
    <t>GIDC estate directory for Gujarat; MSME-DI district industrial profile PDF for Bardoli district; Google Maps industrial area layer</t>
  </si>
  <si>
    <t>Search Console</t>
  </si>
  <si>
    <t>Top 50 within 60 days, top 20 within 120</t>
  </si>
  <si>
    <t>GIDC Industrial Area, Bardoli</t>
  </si>
  <si>
    <t>Fortnightly</t>
  </si>
  <si>
    <t>CTY-0051</t>
  </si>
  <si>
    <t>EP Pipes &amp; Tubes Supplier in Madinah Province, Saudi Arabia</t>
  </si>
  <si>
    <t>/market-area/saudi-arabia/madinah-province/</t>
  </si>
  <si>
    <t>Enquiries attributed to city pages</t>
  </si>
  <si>
    <t>Indore</t>
  </si>
  <si>
    <t>electropolished tube supplier madinah province</t>
  </si>
  <si>
    <t>GA4 + form source field</t>
  </si>
  <si>
    <t>CTY-0303</t>
  </si>
  <si>
    <t>The only metric that actually matters</t>
  </si>
  <si>
    <t>Monthly</t>
  </si>
  <si>
    <t>Pithampur Industrial Area Sector I-III, Sanwer Road</t>
  </si>
  <si>
    <t>Pithampur Industrial Area Sector I-III</t>
  </si>
  <si>
    <t>Calculator page sessions and links</t>
  </si>
  <si>
    <t>EP Pipes &amp; Tubes Supplier in Makkah Province, Saudi Arabia</t>
  </si>
  <si>
    <t>Pharmaceutical, automotive, food processing</t>
  </si>
  <si>
    <t>Bareilly</t>
  </si>
  <si>
    <t>GA4 + Ahrefs/Semrush</t>
  </si>
  <si>
    <t>/market-area/saudi-arabia/makkah-province/</t>
  </si>
  <si>
    <t>Tools should earn links no city page will</t>
  </si>
  <si>
    <t>JNPT Nhava Sheva (590 km)</t>
  </si>
  <si>
    <t>electropolished tube supplier makkah province</t>
  </si>
  <si>
    <t>UPSIDA estate directory for Uttar Pradesh; MSME-DI district industrial profile PDF for Bareilly district; Google Maps industrial area layer</t>
  </si>
  <si>
    <t>UPSIDA Industrial Area, Bareilly</t>
  </si>
  <si>
    <t>Manual actions</t>
  </si>
  <si>
    <t>Search Console &gt; Security &amp; Manual Actions</t>
  </si>
  <si>
    <t>EP Pipes &amp; Tubes Supplier in Najran Province, Saudi Arabia</t>
  </si>
  <si>
    <t>Zero. If one appears, stop all publishing.</t>
  </si>
  <si>
    <t>/market-area/saudi-arabia/najran-province/</t>
  </si>
  <si>
    <t>electropolished tube supplier najran province</t>
  </si>
  <si>
    <t>Crawl stats on Tier C</t>
  </si>
  <si>
    <t>CTY-0304</t>
  </si>
  <si>
    <t>Search Console &gt; Crawl Stats + server logs</t>
  </si>
  <si>
    <t>Googlebot reaching Tier C within 14 days</t>
  </si>
  <si>
    <t>EP Pipes &amp; Tubes Supplier in Qassim Province, Saudi Arabia</t>
  </si>
  <si>
    <t>After wave 5</t>
  </si>
  <si>
    <t>/market-area/saudi-arabia/qassim-province/</t>
  </si>
  <si>
    <t>Barhi</t>
  </si>
  <si>
    <t>electropolished tube supplier qassim province</t>
  </si>
  <si>
    <t>HSIIDC estate directory for Haryana; MSME-DI district industrial profile PDF for Barhi district; Google Maps industrial area layer</t>
  </si>
  <si>
    <t>HSIIDC Industrial Area, Barhi</t>
  </si>
  <si>
    <t>EP Pipes &amp; Tubes Supplier in Riyadh Province, Saudi Arabia</t>
  </si>
  <si>
    <t>/market-area/saudi-arabia/riyadh-province/</t>
  </si>
  <si>
    <t>electropolished tube supplier riyadh province</t>
  </si>
  <si>
    <t>CTY-0305</t>
  </si>
  <si>
    <t>EP Pipes &amp; Tubes Supplier in Tabuk Province, Saudi Arabia</t>
  </si>
  <si>
    <t>/market-area/saudi-arabia/tabuk-province/</t>
  </si>
  <si>
    <t>electropolished tube supplier tabuk province</t>
  </si>
  <si>
    <t>Barmer</t>
  </si>
  <si>
    <t>EP Pipes &amp; Tubes Supplier in East Region, Singapore</t>
  </si>
  <si>
    <t>RIICO estate directory for Rajasthan; MSME-DI district industrial profile PDF for Barmer district; Google Maps industrial area layer</t>
  </si>
  <si>
    <t>/market-area/singapore/east-region/</t>
  </si>
  <si>
    <t>electropolished tube supplier east region</t>
  </si>
  <si>
    <t>RIICO Industrial Area, Barmer</t>
  </si>
  <si>
    <t>EP Pipes &amp; Tubes Supplier in North Region, Singapore</t>
  </si>
  <si>
    <t>/market-area/singapore/north-region/</t>
  </si>
  <si>
    <t>CTY-0306</t>
  </si>
  <si>
    <t>electropolished tube supplier north region</t>
  </si>
  <si>
    <t>EP Pipes &amp; Tubes Supplier in North-East Region, Singapore</t>
  </si>
  <si>
    <t>Barnala</t>
  </si>
  <si>
    <t>/market-area/singapore/north-east-region/</t>
  </si>
  <si>
    <t>electropolished tube supplier north-east region</t>
  </si>
  <si>
    <t>PSIEC estate directory for Punjab; MSME-DI district industrial profile PDF for Barnala district; Google Maps industrial area layer</t>
  </si>
  <si>
    <t>EP Pipes &amp; Tubes Supplier in West Region, Singapore</t>
  </si>
  <si>
    <t>PSIEC Industrial Area, Barnala</t>
  </si>
  <si>
    <t>/market-area/singapore/west-region/</t>
  </si>
  <si>
    <t>electropolished tube supplier west region</t>
  </si>
  <si>
    <t>EP Pipes &amp; Tubes Supplier in Andalusia, Spain</t>
  </si>
  <si>
    <t>CTY-0307</t>
  </si>
  <si>
    <t>/market-area/spain/andalusia/</t>
  </si>
  <si>
    <t>electropolished tube supplier andalusia</t>
  </si>
  <si>
    <t>Barrackpore</t>
  </si>
  <si>
    <t>EP Pipes &amp; Tubes Supplier in Aragon, Spain</t>
  </si>
  <si>
    <t>/market-area/spain/aragon/</t>
  </si>
  <si>
    <t>WBIDC estate directory for West Bengal; MSME-DI district industrial profile PDF for Barrackpore district; Google Maps industrial area layer</t>
  </si>
  <si>
    <t>electropolished tube supplier aragon</t>
  </si>
  <si>
    <t>WBIDC Industrial Area, Barrackpore</t>
  </si>
  <si>
    <t>EP Pipes &amp; Tubes Supplier in Asturias, Spain</t>
  </si>
  <si>
    <t>/market-area/spain/asturias/</t>
  </si>
  <si>
    <t>electropolished tube supplier asturias</t>
  </si>
  <si>
    <t>CTY-0308</t>
  </si>
  <si>
    <t>CTY-0052</t>
  </si>
  <si>
    <t>EP Pipes &amp; Tubes Supplier in Basque Country, Spain</t>
  </si>
  <si>
    <t>Jaipur</t>
  </si>
  <si>
    <t>/market-area/spain/basque-country/</t>
  </si>
  <si>
    <t>Basti</t>
  </si>
  <si>
    <t>electropolished tube supplier basque country</t>
  </si>
  <si>
    <t>Sitapura RIICO, Vishwakarma Industrial Area, Mahindra SEZ</t>
  </si>
  <si>
    <t>Sitapura RIICO</t>
  </si>
  <si>
    <t>UPSIDA estate directory for Uttar Pradesh; MSME-DI district industrial profile PDF for Basti district; Google Maps industrial area layer</t>
  </si>
  <si>
    <t>Pharmaceutical, gems, engineering, food processing</t>
  </si>
  <si>
    <t>UPSIDA Industrial Area, Basti</t>
  </si>
  <si>
    <t>EP Pipes &amp; Tubes Supplier in Cantabria, Spain</t>
  </si>
  <si>
    <t>Mundra Port (720 km)</t>
  </si>
  <si>
    <t>/market-area/spain/cantabria/</t>
  </si>
  <si>
    <t>electropolished tube supplier cantabria</t>
  </si>
  <si>
    <t>CTY-0309</t>
  </si>
  <si>
    <t>EP Pipes &amp; Tubes Supplier in Castile and Leon, Spain</t>
  </si>
  <si>
    <t>/market-area/spain/castile-and-leon/</t>
  </si>
  <si>
    <t>electropolished tube supplier castile and leon</t>
  </si>
  <si>
    <t>Bathinda</t>
  </si>
  <si>
    <t>EP Pipes &amp; Tubes Supplier in Catalonia, Spain</t>
  </si>
  <si>
    <t>PSIEC estate directory for Punjab; MSME-DI district industrial profile PDF for Bathinda district; Google Maps industrial area layer</t>
  </si>
  <si>
    <t>/market-area/spain/catalonia/</t>
  </si>
  <si>
    <t>electropolished tube supplier catalonia</t>
  </si>
  <si>
    <t>PSIEC Industrial Area, Bathinda</t>
  </si>
  <si>
    <t>EP Pipes &amp; Tubes Supplier in Community of Madrid, Spain</t>
  </si>
  <si>
    <t>/market-area/spain/community-of-madrid/</t>
  </si>
  <si>
    <t>electropolished tube supplier community of madrid</t>
  </si>
  <si>
    <t>CTY-0310</t>
  </si>
  <si>
    <t>Delhi</t>
  </si>
  <si>
    <t>EP Pipes &amp; Tubes Supplier in Galicia, Spain</t>
  </si>
  <si>
    <t>Bawana</t>
  </si>
  <si>
    <t>/market-area/spain/galicia/</t>
  </si>
  <si>
    <t>electropolished tube supplier galicia</t>
  </si>
  <si>
    <t>DSIIDC estate directory for Delhi; MSME-DI district industrial profile PDF for Bawana district; Google Maps industrial area layer</t>
  </si>
  <si>
    <t>DSIIDC Industrial Area, Bawana</t>
  </si>
  <si>
    <t>EP Pipes &amp; Tubes Supplier in Murcia, Spain</t>
  </si>
  <si>
    <t>/market-area/spain/murcia/</t>
  </si>
  <si>
    <t>electropolished tube supplier murcia</t>
  </si>
  <si>
    <t>CTY-0311</t>
  </si>
  <si>
    <t>EP Pipes &amp; Tubes Supplier in Navarre, Spain</t>
  </si>
  <si>
    <t>/market-area/spain/navarre/</t>
  </si>
  <si>
    <t>electropolished tube supplier navarre</t>
  </si>
  <si>
    <t>Bazpur</t>
  </si>
  <si>
    <t>EP Pipes &amp; Tubes Supplier in Valencian Community, Spain</t>
  </si>
  <si>
    <t>SIIDCUL estate directory for Uttarakhand; MSME-DI district industrial profile PDF for Bazpur district; Google Maps industrial area layer</t>
  </si>
  <si>
    <t>/market-area/spain/valencian-community/</t>
  </si>
  <si>
    <t>electropolished tube supplier valencian community</t>
  </si>
  <si>
    <t>SIIDCUL Industrial Area, Bazpur</t>
  </si>
  <si>
    <t>EP Pipes &amp; Tubes Supplier in Abu Dhabi, UAE</t>
  </si>
  <si>
    <t>/market-area/uae/abu-dhabi/</t>
  </si>
  <si>
    <t>CTY-0312</t>
  </si>
  <si>
    <t>electropolished tube supplier abu dhabi</t>
  </si>
  <si>
    <t>Beawar</t>
  </si>
  <si>
    <t>EP Pipes &amp; Tubes Supplier in Ajman, UAE</t>
  </si>
  <si>
    <t>RIICO estate directory for Rajasthan; MSME-DI district industrial profile PDF for Beawar district; Google Maps industrial area layer</t>
  </si>
  <si>
    <t>/market-area/uae/ajman/</t>
  </si>
  <si>
    <t>electropolished tube supplier ajman</t>
  </si>
  <si>
    <t>RIICO Industrial Area, Beawar</t>
  </si>
  <si>
    <t>EP Pipes &amp; Tubes Supplier in Dubai, UAE</t>
  </si>
  <si>
    <t>CTY-0313</t>
  </si>
  <si>
    <t>/market-area/uae/dubai/</t>
  </si>
  <si>
    <t>electropolished tube supplier dubai</t>
  </si>
  <si>
    <t>CTY-0053</t>
  </si>
  <si>
    <t>Beed</t>
  </si>
  <si>
    <t>Jalandhar</t>
  </si>
  <si>
    <t>EP Pipes &amp; Tubes Supplier in Fujairah, UAE</t>
  </si>
  <si>
    <t>MIDC estate directory for Maharashtra; MSME-DI district industrial profile PDF for Beed district; Google Maps industrial area layer</t>
  </si>
  <si>
    <t>Focal Point Jalandhar, Leather Complex</t>
  </si>
  <si>
    <t>/market-area/uae/fujairah/</t>
  </si>
  <si>
    <t>MIDC Industrial Area, Beed</t>
  </si>
  <si>
    <t>Focal Point Jalandhar</t>
  </si>
  <si>
    <t>Sports goods, engineering, leather</t>
  </si>
  <si>
    <t>electropolished tube supplier fujairah</t>
  </si>
  <si>
    <t>ICD Ludhiana (60 km)</t>
  </si>
  <si>
    <t>CTY-0314</t>
  </si>
  <si>
    <t>EP Pipes &amp; Tubes Supplier in Ras Al Khaimah, UAE</t>
  </si>
  <si>
    <t>/market-area/uae/ras-al-khaimah/</t>
  </si>
  <si>
    <t>electropolished tube supplier ras al khaimah</t>
  </si>
  <si>
    <t>Begusarai</t>
  </si>
  <si>
    <t>EP Pipes &amp; Tubes Supplier in Sharjah, UAE</t>
  </si>
  <si>
    <t>BIADA estate directory for Bihar; MSME-DI district industrial profile PDF for Begusarai district; Google Maps industrial area layer</t>
  </si>
  <si>
    <t>/market-area/uae/sharjah/</t>
  </si>
  <si>
    <t>electropolished tube supplier sharjah</t>
  </si>
  <si>
    <t>BIADA Industrial Area, Begusarai</t>
  </si>
  <si>
    <t>CTY-0315</t>
  </si>
  <si>
    <t>EP Pipes &amp; Tubes Supplier in Umm Al Quwain, UAE</t>
  </si>
  <si>
    <t>/market-area/uae/umm-al-quwain/</t>
  </si>
  <si>
    <t>electropolished tube supplier umm al quwain</t>
  </si>
  <si>
    <t>Behror</t>
  </si>
  <si>
    <t>RIICO estate directory for Rajasthan; MSME-DI district industrial profile PDF for Behror district; Google Maps industrial area layer</t>
  </si>
  <si>
    <t>RIICO Industrial Area, Behror</t>
  </si>
  <si>
    <t>EP Pipes &amp; Tubes Supplier in East Midlands, UK</t>
  </si>
  <si>
    <t>/market-area/uk/east-midlands/</t>
  </si>
  <si>
    <t>electropolished tube supplier east midlands</t>
  </si>
  <si>
    <t>CTY-0316</t>
  </si>
  <si>
    <t>EP Pipes &amp; Tubes Supplier in East of England, UK</t>
  </si>
  <si>
    <t>/market-area/uk/east-of-england/</t>
  </si>
  <si>
    <t>Berhampore</t>
  </si>
  <si>
    <t>electropolished tube supplier east of england</t>
  </si>
  <si>
    <t>WBIDC estate directory for West Bengal; MSME-DI district industrial profile PDF for Berhampore district; Google Maps industrial area layer</t>
  </si>
  <si>
    <t>EP Pipes &amp; Tubes Supplier in Greater London, UK</t>
  </si>
  <si>
    <t>WBIDC Industrial Area, Berhampore</t>
  </si>
  <si>
    <t>/market-area/uk/greater-london/</t>
  </si>
  <si>
    <t>electropolished tube supplier greater london</t>
  </si>
  <si>
    <t>CTY-0317</t>
  </si>
  <si>
    <t>EP Pipes &amp; Tubes Supplier in North East, UK</t>
  </si>
  <si>
    <t>/market-area/uk/north-east/</t>
  </si>
  <si>
    <t>electropolished tube supplier north east</t>
  </si>
  <si>
    <t>Berhampur</t>
  </si>
  <si>
    <t>EP Pipes &amp; Tubes Supplier in North West, UK</t>
  </si>
  <si>
    <t>IDCO estate directory for Odisha; MSME-DI district industrial profile PDF for Berhampur district; Google Maps industrial area layer</t>
  </si>
  <si>
    <t>/market-area/uk/north-west/</t>
  </si>
  <si>
    <t>IDCO Industrial Area, Berhampur</t>
  </si>
  <si>
    <t>electropolished tube supplier north west</t>
  </si>
  <si>
    <t>CTY-0318</t>
  </si>
  <si>
    <t>EP Pipes &amp; Tubes Supplier in Northern Ireland, UK</t>
  </si>
  <si>
    <t>/market-area/uk/northern-ireland/</t>
  </si>
  <si>
    <t>electropolished tube supplier northern ireland</t>
  </si>
  <si>
    <t>Bettiah</t>
  </si>
  <si>
    <t>BIADA estate directory for Bihar; MSME-DI district industrial profile PDF for Bettiah district; Google Maps industrial area layer</t>
  </si>
  <si>
    <t>CTY-0054</t>
  </si>
  <si>
    <t>BIADA Industrial Area, Bettiah</t>
  </si>
  <si>
    <t>EP Pipes &amp; Tubes Supplier in Scotland, UK</t>
  </si>
  <si>
    <t>/market-area/uk/scotland/</t>
  </si>
  <si>
    <t>Jalgaon</t>
  </si>
  <si>
    <t>electropolished tube supplier scotland</t>
  </si>
  <si>
    <t>Jalgaon MIDC, Ajanta MIDC</t>
  </si>
  <si>
    <t>Jalgaon MIDC</t>
  </si>
  <si>
    <t>CTY-0319</t>
  </si>
  <si>
    <t>Food processing, dairy, pipes and plastics</t>
  </si>
  <si>
    <t>JNPT Nhava Sheva (430 km)</t>
  </si>
  <si>
    <t>Bhadrak</t>
  </si>
  <si>
    <t>EP Pipes &amp; Tubes Supplier in South East, UK</t>
  </si>
  <si>
    <t>/market-area/uk/south-east/</t>
  </si>
  <si>
    <t>electropolished tube supplier south east</t>
  </si>
  <si>
    <t>IDCO estate directory for Odisha; MSME-DI district industrial profile PDF for Bhadrak district; Google Maps industrial area layer</t>
  </si>
  <si>
    <t>IDCO Industrial Area, Bhadrak</t>
  </si>
  <si>
    <t>EP Pipes &amp; Tubes Supplier in South West, UK</t>
  </si>
  <si>
    <t>/market-area/uk/south-west/</t>
  </si>
  <si>
    <t>electropolished tube supplier south west</t>
  </si>
  <si>
    <t>CTY-0320</t>
  </si>
  <si>
    <t>EP Pipes &amp; Tubes Supplier in Wales, UK</t>
  </si>
  <si>
    <t>Bhagalpur</t>
  </si>
  <si>
    <t>/market-area/uk/wales/</t>
  </si>
  <si>
    <t>electropolished tube supplier wales</t>
  </si>
  <si>
    <t>BIADA estate directory for Bihar; MSME-DI district industrial profile PDF for Bhagalpur district; Google Maps industrial area layer</t>
  </si>
  <si>
    <t>BIADA Industrial Area, Bhagalpur</t>
  </si>
  <si>
    <t>EP Pipes &amp; Tubes Supplier in West Midlands, UK</t>
  </si>
  <si>
    <t>/market-area/uk/west-midlands/</t>
  </si>
  <si>
    <t>electropolished tube supplier west midlands</t>
  </si>
  <si>
    <t>CTY-0321</t>
  </si>
  <si>
    <t>EP Pipes &amp; Tubes Supplier in Yorkshire, UK</t>
  </si>
  <si>
    <t>/market-area/uk/yorkshire/</t>
  </si>
  <si>
    <t>electropolished tube supplier yorkshire</t>
  </si>
  <si>
    <t>Bhandara</t>
  </si>
  <si>
    <t>EP Pipes &amp; Tubes Supplier in Alabama, USA</t>
  </si>
  <si>
    <t>/market-area/usa/alabama/</t>
  </si>
  <si>
    <t>MIDC estate directory for Maharashtra; MSME-DI district industrial profile PDF for Bhandara district; Google Maps industrial area layer</t>
  </si>
  <si>
    <t>electropolished tube supplier alabama</t>
  </si>
  <si>
    <t>MIDC Industrial Area, Bhandara</t>
  </si>
  <si>
    <t>EP Pipes &amp; Tubes Supplier in Arizona, USA</t>
  </si>
  <si>
    <t>/market-area/usa/arizona/</t>
  </si>
  <si>
    <t>electropolished tube supplier arizona</t>
  </si>
  <si>
    <t>CTY-0322</t>
  </si>
  <si>
    <t>EP Pipes &amp; Tubes Supplier in California, USA</t>
  </si>
  <si>
    <t>/market-area/usa/california/</t>
  </si>
  <si>
    <t>Bhimavaram</t>
  </si>
  <si>
    <t>electropolished tube supplier california</t>
  </si>
  <si>
    <t>APIIC estate directory for Andhra Pradesh; MSME-DI district industrial profile PDF for Bhimavaram district; Google Maps industrial area layer</t>
  </si>
  <si>
    <t>APIIC Industrial Area, Bhimavaram</t>
  </si>
  <si>
    <t>EP Pipes &amp; Tubes Supplier in Colorado, USA</t>
  </si>
  <si>
    <t>/market-area/usa/colorado/</t>
  </si>
  <si>
    <t>electropolished tube supplier colorado</t>
  </si>
  <si>
    <t>CTY-0323</t>
  </si>
  <si>
    <t>EP Pipes &amp; Tubes Supplier in Florida, USA</t>
  </si>
  <si>
    <t>/market-area/usa/florida/</t>
  </si>
  <si>
    <t>electropolished tube supplier florida</t>
  </si>
  <si>
    <t>Bhiwandi</t>
  </si>
  <si>
    <t>EP Pipes &amp; Tubes Supplier in Georgia, USA</t>
  </si>
  <si>
    <t>MIDC estate directory for Maharashtra; MSME-DI district industrial profile PDF for Bhiwandi district; Google Maps industrial area layer</t>
  </si>
  <si>
    <t>/market-area/usa/georgia/</t>
  </si>
  <si>
    <t>electropolished tube supplier georgia</t>
  </si>
  <si>
    <t>MIDC Industrial Area, Bhiwandi</t>
  </si>
  <si>
    <t>CTY-0055</t>
  </si>
  <si>
    <t>Jamnagar</t>
  </si>
  <si>
    <t>EP Pipes &amp; Tubes Supplier in Idaho, USA</t>
  </si>
  <si>
    <t>Jamnagar GIDC, Dared GIDC</t>
  </si>
  <si>
    <t>/market-area/usa/idaho/</t>
  </si>
  <si>
    <t>CTY-0324</t>
  </si>
  <si>
    <t>Jamnagar GIDC</t>
  </si>
  <si>
    <t>electropolished tube supplier idaho</t>
  </si>
  <si>
    <t>Refining, brass parts, engineering</t>
  </si>
  <si>
    <t>refining</t>
  </si>
  <si>
    <t>Mundra Port (200 km)</t>
  </si>
  <si>
    <t>Bhiwani</t>
  </si>
  <si>
    <t>EP Pipes &amp; Tubes Supplier in Illinois, USA</t>
  </si>
  <si>
    <t>/market-area/usa/illinois/</t>
  </si>
  <si>
    <t>electropolished tube supplier illinois</t>
  </si>
  <si>
    <t>HSIIDC estate directory for Haryana; MSME-DI district industrial profile PDF for Bhiwani district; Google Maps industrial area layer</t>
  </si>
  <si>
    <t>HSIIDC Industrial Area, Bhiwani</t>
  </si>
  <si>
    <t>EP Pipes &amp; Tubes Supplier in Indiana, USA</t>
  </si>
  <si>
    <t>/market-area/usa/indiana/</t>
  </si>
  <si>
    <t>electropolished tube supplier indiana</t>
  </si>
  <si>
    <t>CTY-0325</t>
  </si>
  <si>
    <t>EP Pipes &amp; Tubes Supplier in Iowa, USA</t>
  </si>
  <si>
    <t>/market-area/usa/iowa/</t>
  </si>
  <si>
    <t>Bhongir</t>
  </si>
  <si>
    <t>electropolished tube supplier iowa</t>
  </si>
  <si>
    <t>TSIIC estate directory for Telangana; MSME-DI district industrial profile PDF for Bhongir district; Google Maps industrial area layer</t>
  </si>
  <si>
    <t>EP Pipes &amp; Tubes Supplier in Kentucky, USA</t>
  </si>
  <si>
    <t>TSIIC Industrial Area, Bhongir</t>
  </si>
  <si>
    <t>/market-area/usa/kentucky/</t>
  </si>
  <si>
    <t>electropolished tube supplier kentucky</t>
  </si>
  <si>
    <t>EP Pipes &amp; Tubes Supplier in Louisiana, USA</t>
  </si>
  <si>
    <t>CTY-0326</t>
  </si>
  <si>
    <t>/market-area/usa/louisiana/</t>
  </si>
  <si>
    <t>electropolished tube supplier louisiana</t>
  </si>
  <si>
    <t>Goa</t>
  </si>
  <si>
    <t>Bicholim</t>
  </si>
  <si>
    <t>EP Pipes &amp; Tubes Supplier in Maryland, USA</t>
  </si>
  <si>
    <t>GIDC estate directory for Goa; MSME-DI district industrial profile PDF for Bicholim district; Google Maps industrial area layer</t>
  </si>
  <si>
    <t>/market-area/usa/maryland/</t>
  </si>
  <si>
    <t>GIDC Industrial Area, Bicholim</t>
  </si>
  <si>
    <t>electropolished tube supplier maryland</t>
  </si>
  <si>
    <t>CTY-0327</t>
  </si>
  <si>
    <t>EP Pipes &amp; Tubes Supplier in Massachusetts, USA</t>
  </si>
  <si>
    <t>/market-area/usa/massachusetts/</t>
  </si>
  <si>
    <t>electropolished tube supplier massachusetts</t>
  </si>
  <si>
    <t>Bidar</t>
  </si>
  <si>
    <t>KIADB estate directory for Karnataka; MSME-DI district industrial profile PDF for Bidar district; Google Maps industrial area layer</t>
  </si>
  <si>
    <t>EP Pipes &amp; Tubes Supplier in Michigan, USA</t>
  </si>
  <si>
    <t>/market-area/usa/michigan/</t>
  </si>
  <si>
    <t>KIADB Industrial Area, Bidar</t>
  </si>
  <si>
    <t>electropolished tube supplier michigan</t>
  </si>
  <si>
    <t>EP Pipes &amp; Tubes Supplier in Minnesota, USA</t>
  </si>
  <si>
    <t>/market-area/usa/minnesota/</t>
  </si>
  <si>
    <t>CTY-0328</t>
  </si>
  <si>
    <t>electropolished tube supplier minnesota</t>
  </si>
  <si>
    <t>Bihar Sharif</t>
  </si>
  <si>
    <t>EP Pipes &amp; Tubes Supplier in Missouri, USA</t>
  </si>
  <si>
    <t>/market-area/usa/missouri/</t>
  </si>
  <si>
    <t>electropolished tube supplier missouri</t>
  </si>
  <si>
    <t>BIADA estate directory for Bihar; MSME-DI district industrial profile PDF for Bihar Sharif district; Google Maps industrial area layer</t>
  </si>
  <si>
    <t>CTY-0056</t>
  </si>
  <si>
    <t>BIADA Industrial Area, Bihar Sharif</t>
  </si>
  <si>
    <t>Jamshedpur</t>
  </si>
  <si>
    <t>EP Pipes &amp; Tubes Supplier in Nebraska, USA</t>
  </si>
  <si>
    <t>/market-area/usa/nebraska/</t>
  </si>
  <si>
    <t>electropolished tube supplier nebraska</t>
  </si>
  <si>
    <t>Adityapur Industrial Area AIADA, Gamharia</t>
  </si>
  <si>
    <t>CTY-0329</t>
  </si>
  <si>
    <t>Adityapur Industrial Area AIADA</t>
  </si>
  <si>
    <t>Steel, heavy engineering, auto components</t>
  </si>
  <si>
    <t>Haldia Port (330 km)</t>
  </si>
  <si>
    <t>EP Pipes &amp; Tubes Supplier in Nevada, USA</t>
  </si>
  <si>
    <t>/market-area/usa/nevada/</t>
  </si>
  <si>
    <t>Bikaner</t>
  </si>
  <si>
    <t>electropolished tube supplier nevada</t>
  </si>
  <si>
    <t>RIICO estate directory for Rajasthan; MSME-DI district industrial profile PDF for Bikaner district; Google Maps industrial area layer</t>
  </si>
  <si>
    <t>RIICO Industrial Area, Bikaner</t>
  </si>
  <si>
    <t>EP Pipes &amp; Tubes Supplier in New Jersey, USA</t>
  </si>
  <si>
    <t>/market-area/usa/new-jersey/</t>
  </si>
  <si>
    <t>electropolished tube supplier new jersey</t>
  </si>
  <si>
    <t>CTY-0330</t>
  </si>
  <si>
    <t>EP Pipes &amp; Tubes Supplier in New York, USA</t>
  </si>
  <si>
    <t>/market-area/usa/new-york/</t>
  </si>
  <si>
    <t>electropolished tube supplier new york</t>
  </si>
  <si>
    <t>Bilaspur</t>
  </si>
  <si>
    <t>EP Pipes &amp; Tubes Supplier in North Carolina, USA</t>
  </si>
  <si>
    <t>CSIDC estate directory for Chhattisgarh; MSME-DI district industrial profile PDF for Bilaspur district; Google Maps industrial area layer</t>
  </si>
  <si>
    <t>/market-area/usa/north-carolina/</t>
  </si>
  <si>
    <t>electropolished tube supplier north carolina</t>
  </si>
  <si>
    <t>CSIDC Industrial Area, Bilaspur</t>
  </si>
  <si>
    <t>EP Pipes &amp; Tubes Supplier in Ohio, USA</t>
  </si>
  <si>
    <t>/market-area/usa/ohio/</t>
  </si>
  <si>
    <t>electropolished tube supplier ohio</t>
  </si>
  <si>
    <t>CTY-0331</t>
  </si>
  <si>
    <t>EP Pipes &amp; Tubes Supplier in Oregon, USA</t>
  </si>
  <si>
    <t>Bilaspur-HP</t>
  </si>
  <si>
    <t>/market-area/usa/oregon/</t>
  </si>
  <si>
    <t>electropolished tube supplier oregon</t>
  </si>
  <si>
    <t>HPSIDC estate directory for Himachal Pradesh; MSME-DI district industrial profile PDF for Bilaspur-HP district; Google Maps industrial area layer</t>
  </si>
  <si>
    <t>HPSIDC Industrial Area, Bilaspur</t>
  </si>
  <si>
    <t>EP Pipes &amp; Tubes Supplier in Pennsylvania, USA</t>
  </si>
  <si>
    <t>/market-area/usa/pennsylvania/</t>
  </si>
  <si>
    <t>electropolished tube supplier pennsylvania</t>
  </si>
  <si>
    <t>CTY-0332</t>
  </si>
  <si>
    <t>EP Pipes &amp; Tubes Supplier in South Carolina, USA</t>
  </si>
  <si>
    <t>/market-area/usa/south-carolina/</t>
  </si>
  <si>
    <t>electropolished tube supplier south carolina</t>
  </si>
  <si>
    <t>Bongaigaon</t>
  </si>
  <si>
    <t>EP Pipes &amp; Tubes Supplier in Tennessee, USA</t>
  </si>
  <si>
    <t>AIDC estate directory for Assam; MSME-DI district industrial profile PDF for Bongaigaon district; Google Maps industrial area layer</t>
  </si>
  <si>
    <t>/market-area/usa/tennessee/</t>
  </si>
  <si>
    <t>electropolished tube supplier tennessee</t>
  </si>
  <si>
    <t>AIDC Industrial Area, Bongaigaon</t>
  </si>
  <si>
    <t>EP Pipes &amp; Tubes Supplier in Texas, USA</t>
  </si>
  <si>
    <t>/market-area/usa/texas/</t>
  </si>
  <si>
    <t>CTY-0333</t>
  </si>
  <si>
    <t>electropolished tube supplier texas</t>
  </si>
  <si>
    <t>Botad</t>
  </si>
  <si>
    <t>EP Pipes &amp; Tubes Supplier in Utah, USA</t>
  </si>
  <si>
    <t>/market-area/usa/utah/</t>
  </si>
  <si>
    <t>electropolished tube supplier utah</t>
  </si>
  <si>
    <t>GIDC estate directory for Gujarat; MSME-DI district industrial profile PDF for Botad district; Google Maps industrial area layer</t>
  </si>
  <si>
    <t>CTY-0057</t>
  </si>
  <si>
    <t>GIDC Industrial Area, Botad</t>
  </si>
  <si>
    <t>Jodhpur</t>
  </si>
  <si>
    <t>EP Pipes &amp; Tubes Supplier in Virginia, USA</t>
  </si>
  <si>
    <t>/market-area/usa/virginia/</t>
  </si>
  <si>
    <t>electropolished tube supplier virginia</t>
  </si>
  <si>
    <t>Boranada RIICO, Basni Industrial Area</t>
  </si>
  <si>
    <t>Boranada RIICO</t>
  </si>
  <si>
    <t>Handicraft, guar gum processing, engineering</t>
  </si>
  <si>
    <t>Mundra Port (600 km)</t>
  </si>
  <si>
    <t>EP Pipes &amp; Tubes Supplier in Washington, USA</t>
  </si>
  <si>
    <t>/market-area/usa/washington/</t>
  </si>
  <si>
    <t>CTY-0334</t>
  </si>
  <si>
    <t>electropolished tube supplier washington</t>
  </si>
  <si>
    <t>Budge Budge</t>
  </si>
  <si>
    <t>EP Pipes &amp; Tubes Supplier in Wisconsin, USA</t>
  </si>
  <si>
    <t>/market-area/usa/wisconsin/</t>
  </si>
  <si>
    <t>electropolished tube supplier wisconsin</t>
  </si>
  <si>
    <t>WBIDC estate directory for West Bengal; MSME-DI district industrial profile PDF for Budge Budge district; Google Maps industrial area layer</t>
  </si>
  <si>
    <t>WBIDC Industrial Area, Budge Budge</t>
  </si>
  <si>
    <t>EP Pipes &amp; Tubes Supplier in Mekong Delta, Vietnam</t>
  </si>
  <si>
    <t>/market-area/vietnam/mekong-delta/</t>
  </si>
  <si>
    <t>electropolished tube supplier mekong delta</t>
  </si>
  <si>
    <t>CTY-0335</t>
  </si>
  <si>
    <t>EP Pipes &amp; Tubes Supplier in North Central, Vietnam</t>
  </si>
  <si>
    <t>Bulandshahr</t>
  </si>
  <si>
    <t>/market-area/vietnam/north-central/</t>
  </si>
  <si>
    <t>electropolished tube supplier north central</t>
  </si>
  <si>
    <t>UPSIDA estate directory for Uttar Pradesh; MSME-DI district industrial profile PDF for Bulandshahr district; Google Maps industrial area layer</t>
  </si>
  <si>
    <t>UPSIDA Industrial Area, Bulandshahr</t>
  </si>
  <si>
    <t>EP Pipes &amp; Tubes Supplier in Northeast, Vietnam</t>
  </si>
  <si>
    <t>/market-area/vietnam/northeast/</t>
  </si>
  <si>
    <t>electropolished tube supplier northeast</t>
  </si>
  <si>
    <t>CTY-0336</t>
  </si>
  <si>
    <t>Buldhana</t>
  </si>
  <si>
    <t>EP Pipes &amp; Tubes Supplier in Red River Delta, Vietnam</t>
  </si>
  <si>
    <t>/market-area/vietnam/red-river-delta/</t>
  </si>
  <si>
    <t>electropolished tube supplier red river delta</t>
  </si>
  <si>
    <t>MIDC estate directory for Maharashtra; MSME-DI district industrial profile PDF for Buldhana district; Google Maps industrial area layer</t>
  </si>
  <si>
    <t>MIDC Industrial Area, Buldhana</t>
  </si>
  <si>
    <t>EP Pipes &amp; Tubes Supplier in South Central Coast, Vietnam</t>
  </si>
  <si>
    <t>/market-area/vietnam/south-central-coast/</t>
  </si>
  <si>
    <t>electropolished tube supplier south central coast</t>
  </si>
  <si>
    <t>CTY-0337</t>
  </si>
  <si>
    <t>EP Pipes &amp; Tubes Supplier in Southeast, Vietnam</t>
  </si>
  <si>
    <t>Bundi</t>
  </si>
  <si>
    <t>/market-area/vietnam/southeast/</t>
  </si>
  <si>
    <t>electropolished tube supplier southeast</t>
  </si>
  <si>
    <t>RIICO estate directory for Rajasthan; MSME-DI district industrial profile PDF for Bundi district; Google Maps industrial area layer</t>
  </si>
  <si>
    <t>RIICO Industrial Area, Bundi</t>
  </si>
  <si>
    <t>Calculator / tool</t>
  </si>
  <si>
    <t>CTY-0338</t>
  </si>
  <si>
    <t>Burhanpur</t>
  </si>
  <si>
    <t>pipe weight calculator</t>
  </si>
  <si>
    <t>Round / square / rectangular / hollow-solid. Matches competitor scope, adds EP wall-loss factor.</t>
  </si>
  <si>
    <t>MPIDC estate directory for Madhya Pradesh; MSME-DI district industrial profile PDF for Burhanpur district; Google Maps industrial area layer</t>
  </si>
  <si>
    <t>MPIDC Industrial Area, Burhanpur</t>
  </si>
  <si>
    <t>CTY-0058</t>
  </si>
  <si>
    <t>Kakinada</t>
  </si>
  <si>
    <t>EP Material Removal &amp; Wall Loss Calculator</t>
  </si>
  <si>
    <t>electropolishing material removal calculator</t>
  </si>
  <si>
    <t>CTY-0339</t>
  </si>
  <si>
    <t>NOT on competitor site. Our differentiator.</t>
  </si>
  <si>
    <t>Kakinada SEZ, Kakinada APIIC</t>
  </si>
  <si>
    <t>Kakinada SEZ</t>
  </si>
  <si>
    <t>Petrochemicals, fertiliser, edible oil processing</t>
  </si>
  <si>
    <t>Meghalaya</t>
  </si>
  <si>
    <t>PATTERN LIBRARY</t>
  </si>
  <si>
    <t>Kakinada Port (0 km)</t>
  </si>
  <si>
    <t>Ra / RMS Surface Roughness Converter</t>
  </si>
  <si>
    <t>Byrnihat</t>
  </si>
  <si>
    <t>ra to rms conversion calculator</t>
  </si>
  <si>
    <t>MIDC-Meg estate directory for Meghalaya; MSME-DI district industrial profile PDF for Byrnihat district; Google Maps industrial area layer</t>
  </si>
  <si>
    <t>Ra to RMS, um to uin, grit to Ra, ASME BPE SF grade lookup.</t>
  </si>
  <si>
    <t>MIDC-Meg Industrial Area, Byrnihat</t>
  </si>
  <si>
    <t>asme bpe surface finish chart</t>
  </si>
  <si>
    <t>CTY-0340</t>
  </si>
  <si>
    <t>NOT on competitor site. Maps application to SF1-SF6 with Ra limits.</t>
  </si>
  <si>
    <t>The rotating templates. Column Q/R/S of the CITY MASTER picks which one each page uses.</t>
  </si>
  <si>
    <t>Canacona</t>
  </si>
  <si>
    <t>ss pipe size chart</t>
  </si>
  <si>
    <t>GIDC estate directory for Goa; MSME-DI district industrial profile PDF for Canacona district; Google Maps industrial area layer</t>
  </si>
  <si>
    <t>NPS/DN, OD, all schedules, wall, weight.</t>
  </si>
  <si>
    <t>GIDC Industrial Area, Canacona</t>
  </si>
  <si>
    <t>NB Pipe Size Chart (Nominal Bore)</t>
  </si>
  <si>
    <t>Why rotate</t>
  </si>
  <si>
    <t>nb pipe size chart</t>
  </si>
  <si>
    <t>Nominal bore to OD/schedule mapping.</t>
  </si>
  <si>
    <t>CTY-0341</t>
  </si>
  <si>
    <t>If all 1,832 titles read 'Electropolished Pipes Manufacturer in {City} | Sakshi Forge', the set has one template and 1,832 instances - a machine-generated signature. Rotating the suffix keeps the exact-match keyword intact while removing that signature.</t>
  </si>
  <si>
    <t>Chaibasa</t>
  </si>
  <si>
    <t>inches to mm conversion</t>
  </si>
  <si>
    <t>JIADA estate directory for Jharkhand; MSME-DI district industrial profile PDF for Chaibasa district; Google Maps industrial area layer</t>
  </si>
  <si>
    <t>Live converter plus fractional inch chart.</t>
  </si>
  <si>
    <t>JIADA Industrial Area, Chaibasa</t>
  </si>
  <si>
    <t>SS Square &amp; Rectangular Tubing Size Chart</t>
  </si>
  <si>
    <t>Why the keyword never rotates</t>
  </si>
  <si>
    <t>stainless steel square tubing sizes chart</t>
  </si>
  <si>
    <t>Square/RHS sizes with weights.</t>
  </si>
  <si>
    <t>CTY-0342</t>
  </si>
  <si>
    <t>'Electropolished Pipes Manufacturer in {City}' stays fixed at the front of every title and every H1. That is the term you are trying to rank for - varying it would trade away the ranking to gain cosmetic variety. Only the trailing qualifier changes.</t>
  </si>
  <si>
    <t>Flange Weight Calculator (Class 150-2500)</t>
  </si>
  <si>
    <t>Chalakudy</t>
  </si>
  <si>
    <t>flange weight calculator</t>
  </si>
  <si>
    <t>ASME B16.5 / B16.47 flange weights.</t>
  </si>
  <si>
    <t>KINFRA estate directory for Kerala; MSME-DI district industrial profile PDF for Chalakudy district; Google Maps industrial area layer</t>
  </si>
  <si>
    <t>TITLE SUFFIXES - 8 variants, assigned by MOD(row,8)</t>
  </si>
  <si>
    <t>KINFRA Industrial Area, Chalakudy</t>
  </si>
  <si>
    <t>pipe volume calculator litres</t>
  </si>
  <si>
    <t>NOT on competitor site. WFI/CIP loop hold-up volume.</t>
  </si>
  <si>
    <t>CTY-0343</t>
  </si>
  <si>
    <t>Pattern</t>
  </si>
  <si>
    <t>Chamba</t>
  </si>
  <si>
    <t>Suffix</t>
  </si>
  <si>
    <t>argon purge calculator pipe</t>
  </si>
  <si>
    <t>Full example (city = Ankleshwar)</t>
  </si>
  <si>
    <t>NOT on competitor site. Argon volume for orbital welding.</t>
  </si>
  <si>
    <t>HPSIDC estate directory for Himachal Pradesh; MSME-DI district industrial profile PDF for Chamba district; Google Maps industrial area layer</t>
  </si>
  <si>
    <t>Length</t>
  </si>
  <si>
    <t>CTY-0059</t>
  </si>
  <si>
    <t>HPSIDC Industrial Area, Chamba</t>
  </si>
  <si>
    <t>Pressure Drop / Flow Velocity Calculator</t>
  </si>
  <si>
    <t>Kalyani</t>
  </si>
  <si>
    <t>sanitary tube pressure drop calculator</t>
  </si>
  <si>
    <t>T1</t>
  </si>
  <si>
    <t>NOT on competitor site. Darcy-Weisbach for hygienic tube.</t>
  </si>
  <si>
    <t>CTY-0344</t>
  </si>
  <si>
    <t>Kalyani Industrial Area, Kalyani WBIDC</t>
  </si>
  <si>
    <t>Kalyani Industrial Area</t>
  </si>
  <si>
    <t xml:space="preserve"> | Sakshi Forge</t>
  </si>
  <si>
    <t>Pharmaceutical, engineering</t>
  </si>
  <si>
    <t>Electropolished Pipes Manufacturer in Ankleshwar | Sakshi Forge</t>
  </si>
  <si>
    <t>Product page</t>
  </si>
  <si>
    <t>Kolkata Port (55 km)</t>
  </si>
  <si>
    <t>Chandauli</t>
  </si>
  <si>
    <t>Suffix drops automatically if the total would exceed 65 characters.</t>
  </si>
  <si>
    <t>Electropolished Stainless Steel Pipes</t>
  </si>
  <si>
    <t>UPSIDA estate directory for Uttar Pradesh; MSME-DI district industrial profile PDF for Chandauli district; Google Maps industrial area layer</t>
  </si>
  <si>
    <t>T2</t>
  </si>
  <si>
    <t>/electropolished-stainless-steel-pipes/</t>
  </si>
  <si>
    <t>UPSIDA Industrial Area, Chandauli</t>
  </si>
  <si>
    <t>electropolished stainless steel pipes</t>
  </si>
  <si>
    <t xml:space="preserve"> - ASTM A270 &amp; ASME BPE</t>
  </si>
  <si>
    <t>Money page. Links to every relevant city page and tool.</t>
  </si>
  <si>
    <t>Electropolished Pipes Manufacturer in Ankleshwar - ASTM A270 &amp; ASME BPE</t>
  </si>
  <si>
    <t>CTY-0345</t>
  </si>
  <si>
    <t>Electropolished Stainless Steel Tubes</t>
  </si>
  <si>
    <t>/electropolished-stainless-steel-tubes/</t>
  </si>
  <si>
    <t>T3</t>
  </si>
  <si>
    <t>electropolished stainless steel tubes</t>
  </si>
  <si>
    <t xml:space="preserve"> | EP Tube Supplier</t>
  </si>
  <si>
    <t>Chandigarh</t>
  </si>
  <si>
    <t>Electropolished Pipes Manufacturer in Ankleshwar | EP Tube Supplier</t>
  </si>
  <si>
    <t>T4</t>
  </si>
  <si>
    <t>ASME BPE Tubing</t>
  </si>
  <si>
    <t>CHDIDC estate directory for Chandigarh; MSME-DI district industrial profile PDF for Chandigarh district; Google Maps industrial area layer</t>
  </si>
  <si>
    <t xml:space="preserve"> - SS 304/316L EP Tube</t>
  </si>
  <si>
    <t>/asme-bpe-tubing/</t>
  </si>
  <si>
    <t>CHDIDC Industrial Area, Chandigarh</t>
  </si>
  <si>
    <t>Electropolished Pipes Manufacturer in Ankleshwar - SS 304/316L EP Tube</t>
  </si>
  <si>
    <t>asme bpe tubing manufacturer</t>
  </si>
  <si>
    <t>CTY-0346</t>
  </si>
  <si>
    <t>T5</t>
  </si>
  <si>
    <t>Sanitary / Hygienic Tubing</t>
  </si>
  <si>
    <t xml:space="preserve"> | Sanitary Tube Supply</t>
  </si>
  <si>
    <t>Chandrapur</t>
  </si>
  <si>
    <t>/sanitary-tubing/</t>
  </si>
  <si>
    <t>Electropolished Pipes Manufacturer in Ankleshwar | Sanitary Tube Supply</t>
  </si>
  <si>
    <t>sanitary tubing manufacturer india</t>
  </si>
  <si>
    <t>MIDC estate directory for Maharashtra; MSME-DI district industrial profile PDF for Chandrapur district; Google Maps industrial area layer</t>
  </si>
  <si>
    <t>MIDC Industrial Area, Chandrapur</t>
  </si>
  <si>
    <t>T6</t>
  </si>
  <si>
    <t>Bright Annealed (BA) Tubes</t>
  </si>
  <si>
    <t xml:space="preserve"> - Mill Certified Supply</t>
  </si>
  <si>
    <t>/bright-annealed-tubes/</t>
  </si>
  <si>
    <t>Electropolished Pipes Manufacturer in Ankleshwar - Mill Certified Supply</t>
  </si>
  <si>
    <t>bright annealed tube manufacturer</t>
  </si>
  <si>
    <t>CTY-0347</t>
  </si>
  <si>
    <t>T7</t>
  </si>
  <si>
    <t xml:space="preserve"> | ASME BPE SF1-SF4</t>
  </si>
  <si>
    <t>Seamless EP Tubes</t>
  </si>
  <si>
    <t>Electropolished Pipes Manufacturer in Ankleshwar | ASME BPE SF1-SF4</t>
  </si>
  <si>
    <t>/seamless-electropolished-tubes/</t>
  </si>
  <si>
    <t>seamless electropolished tube</t>
  </si>
  <si>
    <t>Chhapra</t>
  </si>
  <si>
    <t>T8</t>
  </si>
  <si>
    <t>BIADA estate directory for Bihar; MSME-DI district industrial profile PDF for Chhapra district; Google Maps industrial area layer</t>
  </si>
  <si>
    <t xml:space="preserve"> - EP Tube Stockist</t>
  </si>
  <si>
    <t>Welded EP Tubes</t>
  </si>
  <si>
    <t>BIADA Industrial Area, Chhapra</t>
  </si>
  <si>
    <t>Electropolished Pipes Manufacturer in Ankleshwar - EP Tube Stockist</t>
  </si>
  <si>
    <t>/welded-electropolished-tubes/</t>
  </si>
  <si>
    <t>welded electropolished tube</t>
  </si>
  <si>
    <t>CTY-0348</t>
  </si>
  <si>
    <t>META TEMPLATES - 7 variants, assigned by MOD(row,7)</t>
  </si>
  <si>
    <t>Industrial Flanges</t>
  </si>
  <si>
    <t>/industrial-flanges/</t>
  </si>
  <si>
    <t>Chhatral</t>
  </si>
  <si>
    <t>industrial flanges manufacturer mumbai</t>
  </si>
  <si>
    <t>GIDC estate directory for Gujarat; MSME-DI district industrial profile PDF for Chhatral district; Google Maps industrial area layer</t>
  </si>
  <si>
    <t>GIDC Industrial Area, Chhatral</t>
  </si>
  <si>
    <t>Forged Fittings</t>
  </si>
  <si>
    <t>Template (fields in braces come from the research columns)</t>
  </si>
  <si>
    <t>/forged-fittings/</t>
  </si>
  <si>
    <t>Fields used</t>
  </si>
  <si>
    <t>forged fittings manufacturer mumbai</t>
  </si>
  <si>
    <t>CTY-0349</t>
  </si>
  <si>
    <t>CTY-0060</t>
  </si>
  <si>
    <t>EP-finished SS 304/316L pipes &amp; tubes for {TAG} plants in {CITY}. ASTM A270, ASME BPE SF1-SF4, EN 10204 3.1 MTC.</t>
  </si>
  <si>
    <t>K, E</t>
  </si>
  <si>
    <t>Chhindwara</t>
  </si>
  <si>
    <t>Kanpur</t>
  </si>
  <si>
    <t>EP Tube Fittings &amp; Clamps</t>
  </si>
  <si>
    <t>/ep-tube-fittings/</t>
  </si>
  <si>
    <t>MPIDC estate directory for Madhya Pradesh; MSME-DI district industrial profile PDF for Chhindwara district; Google Maps industrial area layer</t>
  </si>
  <si>
    <t>Electropolished tube supply to {LEAD ESTATE}, {CITY}. Ra from 0.25 um, SF4 finish, mill test certificate with every lot.</t>
  </si>
  <si>
    <t>electropolished tube fittings</t>
  </si>
  <si>
    <t>Panki Industrial Area, Dada Nagar, Fazalganj</t>
  </si>
  <si>
    <t>I, E</t>
  </si>
  <si>
    <t>Panki Industrial Area</t>
  </si>
  <si>
    <t>MPIDC Industrial Area, Chhindwara</t>
  </si>
  <si>
    <t>Leather, chemicals, engineering, food</t>
  </si>
  <si>
    <t>ICD Kanpur (0 km)</t>
  </si>
  <si>
    <t>Grade page</t>
  </si>
  <si>
    <t>EP stainless tube for {TAG} lines in {CITY}. {TRANSIT NOTE}. ASTM A270 S2, PMI tested, EN 10204 3.1.</t>
  </si>
  <si>
    <t>SS 304 Electropolished Tubes</t>
  </si>
  <si>
    <t>K, E, M</t>
  </si>
  <si>
    <t>/grades/ss-304-ep-tubes/</t>
  </si>
  <si>
    <t>CTY-0350</t>
  </si>
  <si>
    <t>ss 304 electropolished tube</t>
  </si>
  <si>
    <t>Chemistry, mechanicals, EP suitability, applications.</t>
  </si>
  <si>
    <t>Sanitary electropolished pipes in {CITY} for {TAG} plants. ASME BPE SF1-SF4, orbital-weld ready, 3.1 MTC.</t>
  </si>
  <si>
    <t>E, K</t>
  </si>
  <si>
    <t>Chikkaballapur</t>
  </si>
  <si>
    <t>M5</t>
  </si>
  <si>
    <t>Manufacturer of electropolished SS 316L tube serving {CITY}. {TRANSIT NOTE}. Ra 0.25-0.5 um, EN 10204 3.1 MTC.</t>
  </si>
  <si>
    <t>E, M</t>
  </si>
  <si>
    <t>SS 304L Electropolished Tubes</t>
  </si>
  <si>
    <t>/grades/ss-304l-ep-tubes/</t>
  </si>
  <si>
    <t>ss 304l electropolished tube</t>
  </si>
  <si>
    <t>M6</t>
  </si>
  <si>
    <t>KIADB estate directory for Karnataka; MSME-DI district industrial profile PDF for Chikkaballapur district; Google Maps industrial area layer</t>
  </si>
  <si>
    <t>EP tube and pipe for {TAG} plants around {LEAD ESTATE}. Direct from our Mumbai works. ASTM A270, ASME BPE SF1-SF4.</t>
  </si>
  <si>
    <t>K, I</t>
  </si>
  <si>
    <t>KIADB Industrial Area, Chikkaballapur</t>
  </si>
  <si>
    <t>SS 316 Electropolished Tubes</t>
  </si>
  <si>
    <t>M7</t>
  </si>
  <si>
    <t>/grades/ss-316-ep-tubes/</t>
  </si>
  <si>
    <t>ss 316 electropolished tube</t>
  </si>
  <si>
    <t>Electropolished pipes in {CITY}: 304, 304L, 316 and 316L in SF1-SF4. {TRANSIT NOTE}. Mill certified.</t>
  </si>
  <si>
    <t>CTY-0351</t>
  </si>
  <si>
    <t>SS 316L Electropolished Tubes</t>
  </si>
  <si>
    <t>H2 SETS - 5 variants, assigned by MOD(row,5). All three role keywords present in every set.</t>
  </si>
  <si>
    <t>/grades/ss-316l-ep-tubes/</t>
  </si>
  <si>
    <t>Chitradurga</t>
  </si>
  <si>
    <t>ss 316l electropolished tube</t>
  </si>
  <si>
    <t>KIADB estate directory for Karnataka; MSME-DI district industrial profile PDF for Chitradurga district; Google Maps industrial area layer</t>
  </si>
  <si>
    <t>SS 316Ti Electropolished Tubes</t>
  </si>
  <si>
    <t>KIADB Industrial Area, Chitradurga</t>
  </si>
  <si>
    <t>/grades/ss-316ti-ep-tubes/</t>
  </si>
  <si>
    <t>H2 - Manufacturer role</t>
  </si>
  <si>
    <t>ss 316ti electropolished tube</t>
  </si>
  <si>
    <t>H2 - Supplier role</t>
  </si>
  <si>
    <t>H2 - Wholesaler role</t>
  </si>
  <si>
    <t>CTY-0352</t>
  </si>
  <si>
    <t>SS 321 Electropolished Tubes</t>
  </si>
  <si>
    <t>Electropolished Pipe &amp; Tube Manufacturing for {CITY} - Grades, Finishes &amp; Certification</t>
  </si>
  <si>
    <t>/grades/ss-321-ep-tubes/</t>
  </si>
  <si>
    <t>ss 321 electropolished tube</t>
  </si>
  <si>
    <t>Electropolished Pipes Supplier in {CITY} - Stock Sizes, Lead Time &amp; Delivery</t>
  </si>
  <si>
    <t>Chittoor</t>
  </si>
  <si>
    <t>Electropolished Pipes Wholesaler &amp; Stockist in {CITY} - Bulk &amp; Project Pricing</t>
  </si>
  <si>
    <t>H2</t>
  </si>
  <si>
    <t>How We Manufacture Electropolished Tube for {CITY} Plants</t>
  </si>
  <si>
    <t>SS 904L Electropolished Tubes</t>
  </si>
  <si>
    <t>APIIC estate directory for Andhra Pradesh; MSME-DI district industrial profile PDF for Chittoor district; Google Maps industrial area layer</t>
  </si>
  <si>
    <t>/grades/ss-904l-ep-tubes/</t>
  </si>
  <si>
    <t>Supplying Electropolished Pipes in {CITY}: Availability, Sizes &amp; Dispatch</t>
  </si>
  <si>
    <t>APIIC Industrial Area, Chittoor</t>
  </si>
  <si>
    <t>ss 904l electropolished tube</t>
  </si>
  <si>
    <t>Wholesale Electropolished Pipe Supply for {CITY} Projects</t>
  </si>
  <si>
    <t>H3</t>
  </si>
  <si>
    <t>Electropolished Pipes Manufacturer in {CITY} - Our Process &amp; Capability</t>
  </si>
  <si>
    <t>SS Duplex 2205 Electropolished Tubes</t>
  </si>
  <si>
    <t>Electropolished Pipes Supplier in {CITY} - What We Hold in Stock</t>
  </si>
  <si>
    <t>CTY-0353</t>
  </si>
  <si>
    <t>Bulk &amp; Wholesale Electropolished Pipe Rates for {CITY} Buyers</t>
  </si>
  <si>
    <t>/grades/ss-duplex-2205-ep-tubes/</t>
  </si>
  <si>
    <t>ss duplex 2205 electropolished tube</t>
  </si>
  <si>
    <t>H4</t>
  </si>
  <si>
    <t>Manufacturing Electropolished SS Tube for {CITY}: The Standards We Build To</t>
  </si>
  <si>
    <t>Chittorgarh</t>
  </si>
  <si>
    <t>Electropolished Pipe Supply Into {CITY} - Certification &amp; Transit</t>
  </si>
  <si>
    <t>Electropolished Pipes Wholesaler in {CITY} - Project Quantities &amp; Terms</t>
  </si>
  <si>
    <t>Standard page</t>
  </si>
  <si>
    <t>RIICO estate directory for Rajasthan; MSME-DI district industrial profile PDF for Chittorgarh district; Google Maps industrial area layer</t>
  </si>
  <si>
    <t>H5</t>
  </si>
  <si>
    <t>Electropolished Tube Manufacturing Capability Serving {CITY}</t>
  </si>
  <si>
    <t>RIICO Industrial Area, Chittorgarh</t>
  </si>
  <si>
    <t>Electropolished Pipes Supplier in {CITY} - From Order to Delivery</t>
  </si>
  <si>
    <t>Stockist &amp; Wholesale Supply of Electropolished Pipes in {CITY}</t>
  </si>
  <si>
    <t>ASTM A270 Electropolished Tube Specification</t>
  </si>
  <si>
    <t>/standards/astm-a270-ep-tube/</t>
  </si>
  <si>
    <t>astm a270 tube specification</t>
  </si>
  <si>
    <t>Combination maths</t>
  </si>
  <si>
    <t>CTY-0354</t>
  </si>
  <si>
    <t>Scope, chemistry, test regime, our compliance evidence.</t>
  </si>
  <si>
    <t>CTY-0061</t>
  </si>
  <si>
    <t>8 titles x 7 metas x 5 H2 sets = 280 structural combinations, assigned on coprime cycles so the pattern does not repeat for 280 consecutive rows. Multiply by 6 FAQ sets and 8 content angles and the fingerprint space is 13,440 - well beyond the 1,832 pages being built.</t>
  </si>
  <si>
    <t>Kashipur</t>
  </si>
  <si>
    <t>Choutuppal</t>
  </si>
  <si>
    <t>ASTM A269 Electropolished Tube Specification</t>
  </si>
  <si>
    <t>/standards/astm-a269-ep-tube/</t>
  </si>
  <si>
    <t>Kashipur SIIDCUL Industrial Area</t>
  </si>
  <si>
    <t>astm a269 tube specification</t>
  </si>
  <si>
    <t>Paper, sugar, chemicals, food processing</t>
  </si>
  <si>
    <t>TSIIC estate directory for Telangana; MSME-DI district industrial profile PDF for Choutuppal district; Google Maps industrial area layer</t>
  </si>
  <si>
    <t>ICD Dadri (240 km)</t>
  </si>
  <si>
    <t>TSIIC Industrial Area, Choutuppal</t>
  </si>
  <si>
    <t>ASTM A249 Electropolished Tube Specification</t>
  </si>
  <si>
    <t>/standards/astm-a249-ep-tube/</t>
  </si>
  <si>
    <t>astm a249 tube specification</t>
  </si>
  <si>
    <t>CTY-0355</t>
  </si>
  <si>
    <t>ASTM A213 Electropolished Tube Specification</t>
  </si>
  <si>
    <t>/standards/astm-a213-ep-tube/</t>
  </si>
  <si>
    <t>Cooch Behar</t>
  </si>
  <si>
    <t>astm a213 tube specification</t>
  </si>
  <si>
    <t>WBIDC estate directory for West Bengal; MSME-DI district industrial profile PDF for Cooch Behar district; Google Maps industrial area layer</t>
  </si>
  <si>
    <t>ASME BPE Electropolished Tube Specification</t>
  </si>
  <si>
    <t>WBIDC Industrial Area, Cooch Behar</t>
  </si>
  <si>
    <t>/standards/asme-bpe-ep-tube/</t>
  </si>
  <si>
    <t>asme bpe tube specification</t>
  </si>
  <si>
    <t>CTY-0356</t>
  </si>
  <si>
    <t>EN 10217-7 Electropolished Tube Specification</t>
  </si>
  <si>
    <t>/standards/en-10217-7-ep-tube/</t>
  </si>
  <si>
    <t>en 10217-7 tube specification</t>
  </si>
  <si>
    <t>Cuddalore-SIPCOT II</t>
  </si>
  <si>
    <t>EN 10357 Electropolished Tube Specification</t>
  </si>
  <si>
    <t>SIPCOT estate directory for Tamil Nadu; MSME-DI district industrial profile PDF for Cuddalore-SIPCOT II district; Google Maps industrial area layer</t>
  </si>
  <si>
    <t>/standards/en-10357-ep-tube/</t>
  </si>
  <si>
    <t>en 10357 tube specification</t>
  </si>
  <si>
    <t>SIPCOT Industrial Area, Cuddalore</t>
  </si>
  <si>
    <t>DIN 11850 Electropolished Tube Specification</t>
  </si>
  <si>
    <t>/standards/din-11850-ep-tube/</t>
  </si>
  <si>
    <t>din 11850 tube specification</t>
  </si>
  <si>
    <t>CTY-0357</t>
  </si>
  <si>
    <t>Cuttack</t>
  </si>
  <si>
    <t>SEMI F19 Electropolished Tube Specification</t>
  </si>
  <si>
    <t>/standards/semi-f19-ep-tube/</t>
  </si>
  <si>
    <t>semi f19 tube specification</t>
  </si>
  <si>
    <t>IDCO estate directory for Odisha; MSME-DI district industrial profile PDF for Cuttack district; Google Maps industrial area layer</t>
  </si>
  <si>
    <t>IDCO Industrial Area, Cuttack</t>
  </si>
  <si>
    <t>SEMI F17 Electropolished Tube Specification</t>
  </si>
  <si>
    <t>/standards/semi-f17-ep-tube/</t>
  </si>
  <si>
    <t>semi f17 tube specification</t>
  </si>
  <si>
    <t>CTY-0358</t>
  </si>
  <si>
    <t>3-A Sanitary Standards Electropolished Tube Specification</t>
  </si>
  <si>
    <t>/standards/3a-sanitary-standards-ep-tube/</t>
  </si>
  <si>
    <t>Dahod</t>
  </si>
  <si>
    <t>3-a sanitary standards tube specification</t>
  </si>
  <si>
    <t>GIDC estate directory for Gujarat; MSME-DI district industrial profile PDF for Dahod district; Google Maps industrial area layer</t>
  </si>
  <si>
    <t>EN 10204 3.1 / 3.2 MTC Electropolished Tube Specification</t>
  </si>
  <si>
    <t>GIDC Industrial Area, Dahod</t>
  </si>
  <si>
    <t>/standards/en-10204-mtc-ep-tube/</t>
  </si>
  <si>
    <t>en 10204 3.1 / 3.2 mtc tube specification</t>
  </si>
  <si>
    <t>Industry page</t>
  </si>
  <si>
    <t>CTY-0359</t>
  </si>
  <si>
    <t>EP Tubes for the Pharmaceutical Industry</t>
  </si>
  <si>
    <t>/industries/pharmaceutical/</t>
  </si>
  <si>
    <t>electropolished tube pharmaceutical</t>
  </si>
  <si>
    <t>Application, standards, Ra spec, case evidence.</t>
  </si>
  <si>
    <t>Damoh</t>
  </si>
  <si>
    <t>CTY-0062</t>
  </si>
  <si>
    <t>EP Tubes for the Biotech &amp; Biologics Industry</t>
  </si>
  <si>
    <t>MPIDC estate directory for Madhya Pradesh; MSME-DI district industrial profile PDF for Damoh district; Google Maps industrial area layer</t>
  </si>
  <si>
    <t>/industries/biotech-biologics/</t>
  </si>
  <si>
    <t>Kochi</t>
  </si>
  <si>
    <t>electropolished tube biotech &amp; biologics</t>
  </si>
  <si>
    <t>MPIDC Industrial Area, Damoh</t>
  </si>
  <si>
    <t>Kalamassery Industrial Area, CSEZ, Ambalamugal</t>
  </si>
  <si>
    <t>Kalamassery Industrial Area</t>
  </si>
  <si>
    <t>Petrochemicals, seafood processing, spices, rubber</t>
  </si>
  <si>
    <t>EP Tubes for the Semiconductor &amp; UHP Industry</t>
  </si>
  <si>
    <t>/industries/semiconductor-uhp/</t>
  </si>
  <si>
    <t>Cochin Port (0 km)</t>
  </si>
  <si>
    <t>CTY-0360</t>
  </si>
  <si>
    <t>electropolished tube semiconductor &amp; uhp</t>
  </si>
  <si>
    <t>Darbhanga</t>
  </si>
  <si>
    <t>EP Tubes for the Food &amp; Dairy Industry</t>
  </si>
  <si>
    <t>BIADA estate directory for Bihar; MSME-DI district industrial profile PDF for Darbhanga district; Google Maps industrial area layer</t>
  </si>
  <si>
    <t>/industries/food-dairy/</t>
  </si>
  <si>
    <t>BIADA Industrial Area, Darbhanga</t>
  </si>
  <si>
    <t>electropolished tube food &amp; dairy</t>
  </si>
  <si>
    <t>CTY-0361</t>
  </si>
  <si>
    <t>EP Tubes for the Brewery &amp; Beverage Industry</t>
  </si>
  <si>
    <t>/industries/brewery-beverage/</t>
  </si>
  <si>
    <t>electropolished tube brewery &amp; beverage</t>
  </si>
  <si>
    <t>Dausa</t>
  </si>
  <si>
    <t>RIICO estate directory for Rajasthan; MSME-DI district industrial profile PDF for Dausa district; Google Maps industrial area layer</t>
  </si>
  <si>
    <t>RIICO Industrial Area, Dausa</t>
  </si>
  <si>
    <t>EP Tubes for the Cosmetics &amp; Personal Care Industry</t>
  </si>
  <si>
    <t>/industries/cosmetics-personal-care/</t>
  </si>
  <si>
    <t>electropolished tube cosmetics &amp; personal care</t>
  </si>
  <si>
    <t>CTY-0362</t>
  </si>
  <si>
    <t>EP Tubes for the Chemical &amp; Specialty Industry</t>
  </si>
  <si>
    <t>Davanagere</t>
  </si>
  <si>
    <t>/industries/chemical-specialty/</t>
  </si>
  <si>
    <t>electropolished tube chemical &amp; specialty</t>
  </si>
  <si>
    <t>KIADB estate directory for Karnataka; MSME-DI district industrial profile PDF for Davanagere district; Google Maps industrial area layer</t>
  </si>
  <si>
    <t>KIADB Industrial Area, Davanagere</t>
  </si>
  <si>
    <t>EP Tubes for the Water Treatment &amp; WFI Industry</t>
  </si>
  <si>
    <t>/industries/water-treatment-wfi/</t>
  </si>
  <si>
    <t>electropolished tube water treatment &amp; wfi</t>
  </si>
  <si>
    <t>CTY-0363</t>
  </si>
  <si>
    <t>Comparison page</t>
  </si>
  <si>
    <t>Deesa</t>
  </si>
  <si>
    <t>GIDC estate directory for Gujarat; MSME-DI district industrial profile PDF for Deesa district; Google Maps industrial area layer</t>
  </si>
  <si>
    <t>Electropolished vs Mechanically Polished Tube</t>
  </si>
  <si>
    <t>/compare/electropolished-vs-mechanically-polished-tube/</t>
  </si>
  <si>
    <t>GIDC Industrial Area, Deesa</t>
  </si>
  <si>
    <t>electropolished vs mechanically polished tube</t>
  </si>
  <si>
    <t>Comparison / decision content. High AI-citation value.</t>
  </si>
  <si>
    <t>Electropolished vs Pickled and Passivated</t>
  </si>
  <si>
    <t>CTY-0364</t>
  </si>
  <si>
    <t>/compare/electropolished-vs-pickled-and-passivated/</t>
  </si>
  <si>
    <t>electropolished vs pickled and passivated</t>
  </si>
  <si>
    <t>Deoghar</t>
  </si>
  <si>
    <t>EP vs BA Tube</t>
  </si>
  <si>
    <t>/compare/ep-vs-ba-tube/</t>
  </si>
  <si>
    <t>JIADA estate directory for Jharkhand; MSME-DI district industrial profile PDF for Deoghar district; Google Maps industrial area layer</t>
  </si>
  <si>
    <t>ep vs ba tube</t>
  </si>
  <si>
    <t>JIADA Industrial Area, Deoghar</t>
  </si>
  <si>
    <t>SS 304 vs 316L for EP Tube</t>
  </si>
  <si>
    <t>/compare/ss-304-vs-316l-for-ep-tube/</t>
  </si>
  <si>
    <t>CTY-0063</t>
  </si>
  <si>
    <t>ss 304 vs 316l for ep tube</t>
  </si>
  <si>
    <t>CTY-0365</t>
  </si>
  <si>
    <t>Kolhapur</t>
  </si>
  <si>
    <t>ASTM A270 vs ASTM A269</t>
  </si>
  <si>
    <t>Deoria</t>
  </si>
  <si>
    <t>/compare/astm-a270-vs-astm-a269/</t>
  </si>
  <si>
    <t>astm a270 vs astm a269</t>
  </si>
  <si>
    <t>Shiroli MIDC, Gokul Shirgaon MIDC, Kagal Five Star MIDC</t>
  </si>
  <si>
    <t>Shiroli MIDC</t>
  </si>
  <si>
    <t>UPSIDA estate directory for Uttar Pradesh; MSME-DI district industrial profile PDF for Deoria district; Google Maps industrial area layer</t>
  </si>
  <si>
    <t>Foundry, dairy processing, sugar, food equipment</t>
  </si>
  <si>
    <t>UPSIDA Industrial Area, Deoria</t>
  </si>
  <si>
    <t>ASME BPE vs DIN 11850</t>
  </si>
  <si>
    <t>JNPT Nhava Sheva (390 km)</t>
  </si>
  <si>
    <t>/compare/asme-bpe-vs-din-11850/</t>
  </si>
  <si>
    <t>asme bpe vs din 11850</t>
  </si>
  <si>
    <t>CTY-0366</t>
  </si>
  <si>
    <t>Derabassi</t>
  </si>
  <si>
    <t>SF1 vs SF4 Finish</t>
  </si>
  <si>
    <t>/compare/sf1-vs-sf4-finish/</t>
  </si>
  <si>
    <t>sf1 vs sf4 finish</t>
  </si>
  <si>
    <t>PSIEC estate directory for Punjab; MSME-DI district industrial profile PDF for Derabassi district; Google Maps industrial area layer</t>
  </si>
  <si>
    <t>PSIEC Industrial Area, Derabassi</t>
  </si>
  <si>
    <t>Seamless vs Welded EP Tube</t>
  </si>
  <si>
    <t>/compare/seamless-vs-welded-ep-tube/</t>
  </si>
  <si>
    <t>seamless vs welded ep tube</t>
  </si>
  <si>
    <t>CTY-0367</t>
  </si>
  <si>
    <t>EN 10204 3.1 vs 3.2 Certificate</t>
  </si>
  <si>
    <t>/compare/en-10204-3.1-vs-3.2-certificate/</t>
  </si>
  <si>
    <t>Dhamtari</t>
  </si>
  <si>
    <t>en 10204 3.1 vs 3.2 certificate</t>
  </si>
  <si>
    <t>CSIDC estate directory for Chhattisgarh; MSME-DI district industrial profile PDF for Dhamtari district; Google Maps industrial area layer</t>
  </si>
  <si>
    <t>Ra vs RMS Surface Finish</t>
  </si>
  <si>
    <t>CSIDC Industrial Area, Dhamtari</t>
  </si>
  <si>
    <t>/compare/ra-vs-rms-surface-finish/</t>
  </si>
  <si>
    <t>ra vs rms surface finish</t>
  </si>
  <si>
    <t>Orbital Welding vs Manual Welding</t>
  </si>
  <si>
    <t>CTY-0368</t>
  </si>
  <si>
    <t>/compare/orbital-welding-vs-manual-welding/</t>
  </si>
  <si>
    <t>orbital welding vs manual welding</t>
  </si>
  <si>
    <t>Dhanbad</t>
  </si>
  <si>
    <t>Passivation vs Electropolishing</t>
  </si>
  <si>
    <t>/compare/passivation-vs-electropolishing/</t>
  </si>
  <si>
    <t>JIADA estate directory for Jharkhand; MSME-DI district industrial profile PDF for Dhanbad district; Google Maps industrial area layer</t>
  </si>
  <si>
    <t>passivation vs electropolishing</t>
  </si>
  <si>
    <t>JIADA Industrial Area, Dhanbad</t>
  </si>
  <si>
    <t>SEMI F19 vs SEMI F17</t>
  </si>
  <si>
    <t>/compare/semi-f19-vs-semi-f17/</t>
  </si>
  <si>
    <t>semi f19 vs semi f17</t>
  </si>
  <si>
    <t>CTY-0369</t>
  </si>
  <si>
    <t>Hygienic Tube vs Standard Pipe</t>
  </si>
  <si>
    <t>/compare/hygienic-tube-vs-standard-pipe/</t>
  </si>
  <si>
    <t>Dharmanagar</t>
  </si>
  <si>
    <t>hygienic tube vs standard pipe</t>
  </si>
  <si>
    <t>TIDC estate directory for Tripura; MSME-DI district industrial profile PDF for Dharmanagar district; Google Maps industrial area layer</t>
  </si>
  <si>
    <t>TIDC Industrial Area, Dharmanagar</t>
  </si>
  <si>
    <t>Single Marked vs Dual Marked Tube</t>
  </si>
  <si>
    <t>/compare/single-marked-vs-dual-marked-tube/</t>
  </si>
  <si>
    <t>single marked vs dual marked tube</t>
  </si>
  <si>
    <t>CTY-0370</t>
  </si>
  <si>
    <t>OD Tube vs NB Pipe Sizing</t>
  </si>
  <si>
    <t>/compare/od-tube-vs-nb-pipe-sizing/</t>
  </si>
  <si>
    <t>od tube vs nb pipe sizing</t>
  </si>
  <si>
    <t>Dharmapuri</t>
  </si>
  <si>
    <t>Electropolished Tube Cost vs Lifecycle Value</t>
  </si>
  <si>
    <t>/compare/electropolished-tube-cost-vs-lifecycle-value/</t>
  </si>
  <si>
    <t>electropolished tube cost vs lifecycle value</t>
  </si>
  <si>
    <t>SIPCOT estate directory for Tamil Nadu; MSME-DI district industrial profile PDF for Dharmapuri district; Google Maps industrial area layer</t>
  </si>
  <si>
    <t>SIPCOT Industrial Area, Dharmapuri</t>
  </si>
  <si>
    <t>CTY-0064</t>
  </si>
  <si>
    <t>Import vs Local EP Tube Sourcing</t>
  </si>
  <si>
    <t>/compare/import-vs-local-ep-tube-sourcing/</t>
  </si>
  <si>
    <t>import vs local ep tube sourcing</t>
  </si>
  <si>
    <t>Kolkata</t>
  </si>
  <si>
    <t>CTY-0371</t>
  </si>
  <si>
    <t>Taratala Industrial Area, Falta SEZ, Dankuni</t>
  </si>
  <si>
    <t>Mill Finish vs Electropolished</t>
  </si>
  <si>
    <t>Taratala Industrial Area</t>
  </si>
  <si>
    <t>/compare/mill-finish-vs-electropolished/</t>
  </si>
  <si>
    <t>Pharmaceutical, engineering, food processing, jute</t>
  </si>
  <si>
    <t>Dharuhera</t>
  </si>
  <si>
    <t>mill finish vs electropolished</t>
  </si>
  <si>
    <t>Kolkata Port (0 km)</t>
  </si>
  <si>
    <t>HSIIDC estate directory for Haryana; MSME-DI district industrial profile PDF for Dharuhera district; Google Maps industrial area layer</t>
  </si>
  <si>
    <t>HSIIDC Industrial Area, Dharuhera</t>
  </si>
  <si>
    <t>Rouging: Causes and Prevention</t>
  </si>
  <si>
    <t>/compare/rouging-causes-and-prevention/</t>
  </si>
  <si>
    <t>rouging: causes and prevention</t>
  </si>
  <si>
    <t>CTY-0372</t>
  </si>
  <si>
    <t>Complete Guide to Electropolishing Stainless Steel</t>
  </si>
  <si>
    <t>/guides/complete-guide-to-electropolishing-stainless-steel/</t>
  </si>
  <si>
    <t>Dhenkanal</t>
  </si>
  <si>
    <t>complete guide to electropolishing stainless steel</t>
  </si>
  <si>
    <t>Evergreen resource. Internal links to city pages + tools.</t>
  </si>
  <si>
    <t>IDCO estate directory for Odisha; MSME-DI district industrial profile PDF for Dhenkanal district; Google Maps industrial area layer</t>
  </si>
  <si>
    <t>How to Specify EP Tube for a WFI Loop</t>
  </si>
  <si>
    <t>IDCO Industrial Area, Dhenkanal</t>
  </si>
  <si>
    <t>/guides/how-to-specify-ep-tube-for-a-wfi-loop/</t>
  </si>
  <si>
    <t>how to specify ep tube for a wfi loop</t>
  </si>
  <si>
    <t>ASME BPE Surface Finish Grades Explained</t>
  </si>
  <si>
    <t>CTY-0373</t>
  </si>
  <si>
    <t>/guides/asme-bpe-surface-finish-grades-explained/</t>
  </si>
  <si>
    <t>asme bpe surface finish grades explained</t>
  </si>
  <si>
    <t>Dhubri</t>
  </si>
  <si>
    <t>Reading an EN 10204 3.1 Mill Test Certificate</t>
  </si>
  <si>
    <t>/guides/reading-an-en-10204-3.1-mill-test-certificate/</t>
  </si>
  <si>
    <t>AIDC estate directory for Assam; MSME-DI district industrial profile PDF for Dhubri district; Google Maps industrial area layer</t>
  </si>
  <si>
    <t>reading an en 10204 3.1 mill test certificate</t>
  </si>
  <si>
    <t>AIDC Industrial Area, Dhubri</t>
  </si>
  <si>
    <t>Ra Values Explained for Pharma Piping</t>
  </si>
  <si>
    <t>/guides/ra-values-explained-for-pharma-piping/</t>
  </si>
  <si>
    <t>ra values explained for pharma piping</t>
  </si>
  <si>
    <t>CTY-0374</t>
  </si>
  <si>
    <t>Orbital Welding of Sanitary Tube: Field Guide</t>
  </si>
  <si>
    <t>/guides/orbital-welding-of-sanitary-tube-field-guide/</t>
  </si>
  <si>
    <t>Dhule</t>
  </si>
  <si>
    <t>orbital welding of sanitary tube: field guide</t>
  </si>
  <si>
    <t>MIDC estate directory for Maharashtra; MSME-DI district industrial profile PDF for Dhule district; Google Maps industrial area layer</t>
  </si>
  <si>
    <t>CIP and SIP System Piping Design Basics</t>
  </si>
  <si>
    <t>MIDC Industrial Area, Dhule</t>
  </si>
  <si>
    <t>/guides/cip-and-sip-system-piping-design-basics/</t>
  </si>
  <si>
    <t>cip and sip system piping design basics</t>
  </si>
  <si>
    <t>Rouging in Pharmaceutical Water Systems</t>
  </si>
  <si>
    <t>CTY-0375</t>
  </si>
  <si>
    <t>/guides/rouging-in-pharmaceutical-water-systems/</t>
  </si>
  <si>
    <t>rouging in pharmaceutical water systems</t>
  </si>
  <si>
    <t>Nagaland</t>
  </si>
  <si>
    <t>Dimapur</t>
  </si>
  <si>
    <t>Passivation After Welding: When and How</t>
  </si>
  <si>
    <t>/guides/passivation-after-welding-when-and-how/</t>
  </si>
  <si>
    <t>NIDC estate directory for Nagaland; MSME-DI district industrial profile PDF for Dimapur district; Google Maps industrial area layer</t>
  </si>
  <si>
    <t>passivation after welding: when and how</t>
  </si>
  <si>
    <t>NIDC Industrial Area, Dimapur</t>
  </si>
  <si>
    <t>CTY-0065</t>
  </si>
  <si>
    <t>Kozhikode</t>
  </si>
  <si>
    <t>Semiconductor UHP Gas Line Tubing Guide</t>
  </si>
  <si>
    <t>/guides/semiconductor-uhp-gas-line-tubing-guide/</t>
  </si>
  <si>
    <t>KINFRA Park Kakkanchery, Kozhikode Industrial Estate</t>
  </si>
  <si>
    <t>semiconductor uhp gas line tubing guide</t>
  </si>
  <si>
    <t>CTY-0376</t>
  </si>
  <si>
    <t>KINFRA Park Kakkanchery</t>
  </si>
  <si>
    <t>Food processing, spices, engineering</t>
  </si>
  <si>
    <t>Cochin Port (180 km)</t>
  </si>
  <si>
    <t>Dindigul</t>
  </si>
  <si>
    <t>Dairy Plant Piping: Standards and Hygiene</t>
  </si>
  <si>
    <t>/guides/dairy-plant-piping-standards-and-hygiene/</t>
  </si>
  <si>
    <t>SIPCOT estate directory for Tamil Nadu; MSME-DI district industrial profile PDF for Dindigul district; Google Maps industrial area layer</t>
  </si>
  <si>
    <t>dairy plant piping: standards and hygiene</t>
  </si>
  <si>
    <t>SIPCOT Industrial Area, Dindigul</t>
  </si>
  <si>
    <t>Brewery Piping Layout and Material Choice</t>
  </si>
  <si>
    <t>/guides/brewery-piping-layout-and-material-choice/</t>
  </si>
  <si>
    <t>brewery piping layout and material choice</t>
  </si>
  <si>
    <t>CTY-0377</t>
  </si>
  <si>
    <t>PMI Testing: What Buyers Should Demand</t>
  </si>
  <si>
    <t>/guides/pmi-testing-what-buyers-should-demand/</t>
  </si>
  <si>
    <t>Dobbaspet</t>
  </si>
  <si>
    <t>pmi testing: what buyers should demand</t>
  </si>
  <si>
    <t>KIADB estate directory for Karnataka; MSME-DI district industrial profile PDF for Dobbaspet district; Google Maps industrial area layer</t>
  </si>
  <si>
    <t>Choosing Between 316L and Duplex for Process Lines</t>
  </si>
  <si>
    <t>/guides/choosing-between-316l-and-duplex-for-process-lines/</t>
  </si>
  <si>
    <t>choosing between 316l and duplex for process lines</t>
  </si>
  <si>
    <t>KIADB Industrial Area, Dobbaspet</t>
  </si>
  <si>
    <t>EP Tube Packing, Capping and Transit Protection</t>
  </si>
  <si>
    <t>/guides/ep-tube-packing-capping-and-transit-protection/</t>
  </si>
  <si>
    <t>ep tube packing, capping and transit protection</t>
  </si>
  <si>
    <t>CTY-0378</t>
  </si>
  <si>
    <t>Incoming Inspection Checklist for EP Tube</t>
  </si>
  <si>
    <t>/guides/incoming-inspection-checklist-for-ep-tube/</t>
  </si>
  <si>
    <t>incoming inspection checklist for ep tube</t>
  </si>
  <si>
    <t>Dombivli</t>
  </si>
  <si>
    <t>Common EP Tube Rejection Reasons and Fixes</t>
  </si>
  <si>
    <t>/guides/common-ep-tube-rejection-reasons-and-fixes/</t>
  </si>
  <si>
    <t>MIDC estate directory for Maharashtra; MSME-DI district industrial profile PDF for Dombivli district; Google Maps industrial area layer</t>
  </si>
  <si>
    <t>common ep tube rejection reasons and fixes</t>
  </si>
  <si>
    <t>CTY-0066</t>
  </si>
  <si>
    <t>MIDC Industrial Area, Dombivli</t>
  </si>
  <si>
    <t>Boroscope Inspection of Sanitary Welds</t>
  </si>
  <si>
    <t>Kutch-Bhuj</t>
  </si>
  <si>
    <t>/guides/boroscope-inspection-of-sanitary-welds/</t>
  </si>
  <si>
    <t>boroscope inspection of sanitary welds</t>
  </si>
  <si>
    <t>CTY-0379</t>
  </si>
  <si>
    <t>Anjar GIDC, Mundra SEZ, Bhuj GIDC</t>
  </si>
  <si>
    <t>Anjar GIDC</t>
  </si>
  <si>
    <t>Ports and logistics, cement, chemicals, textiles</t>
  </si>
  <si>
    <t>Deadleg Rules in Hygienic Piping</t>
  </si>
  <si>
    <t>/guides/deadleg-rules-in-hygienic-piping/</t>
  </si>
  <si>
    <t>CONTENT ANGLES</t>
  </si>
  <si>
    <t>deadleg rules in hygienic piping</t>
  </si>
  <si>
    <t>Mundra Port (60 km)</t>
  </si>
  <si>
    <t>Dumka</t>
  </si>
  <si>
    <t>JIADA estate directory for Jharkhand; MSME-DI district industrial profile PDF for Dumka district; Google Maps industrial area layer</t>
  </si>
  <si>
    <t>Slope and Drainability in Process Piping</t>
  </si>
  <si>
    <t>/guides/slope-and-drainability-in-process-piping/</t>
  </si>
  <si>
    <t>JIADA Industrial Area, Dumka</t>
  </si>
  <si>
    <t>slope and drainability in process piping</t>
  </si>
  <si>
    <t>Electropolishing Bath Chemistry Basics</t>
  </si>
  <si>
    <t>/guides/electropolishing-bath-chemistry-basics/</t>
  </si>
  <si>
    <t>CTY-0380</t>
  </si>
  <si>
    <t>electropolishing bath chemistry basics</t>
  </si>
  <si>
    <t>The page shape changes with the dominant local industry. This is editorial uniqueness, not word-swapping.</t>
  </si>
  <si>
    <t>Surface Finish Measurement Methods Compared</t>
  </si>
  <si>
    <t>Durg</t>
  </si>
  <si>
    <t>/guides/surface-finish-measurement-methods-compared/</t>
  </si>
  <si>
    <t>surface finish measurement methods compared</t>
  </si>
  <si>
    <t>CSIDC estate directory for Chhattisgarh; MSME-DI district industrial profile PDF for Durg district; Google Maps industrial area layer</t>
  </si>
  <si>
    <t>CSIDC Industrial Area, Durg</t>
  </si>
  <si>
    <t>How Ra Affects Bacterial Adhesion</t>
  </si>
  <si>
    <t>/guides/how-ra-affects-bacterial-adhesion/</t>
  </si>
  <si>
    <t>how ra affects bacterial adhesion</t>
  </si>
  <si>
    <t>How the angle is set</t>
  </si>
  <si>
    <t>CTY-0381</t>
  </si>
  <si>
    <t>Sizing Sanitary Tube for Flow Velocity</t>
  </si>
  <si>
    <t>/guides/sizing-sanitary-tube-for-flow-velocity/</t>
  </si>
  <si>
    <t>sizing sanitary tube for flow velocity</t>
  </si>
  <si>
    <t>Column P of the CITY MASTER reads your researched industry tag (column K) and assigns the angle automatically. Change the tag, the angle changes, and the writer follows a different brief.</t>
  </si>
  <si>
    <t>Eluru</t>
  </si>
  <si>
    <t>Export Documentation for SS Tube Shipments</t>
  </si>
  <si>
    <t>APIIC estate directory for Andhra Pradesh; MSME-DI district industrial profile PDF for Eluru district; Google Maps industrial area layer</t>
  </si>
  <si>
    <t>/guides/export-documentation-for-ss-tube-shipments/</t>
  </si>
  <si>
    <t>export documentation for ss tube shipments</t>
  </si>
  <si>
    <t>APIIC Industrial Area, Eluru</t>
  </si>
  <si>
    <t>Angle</t>
  </si>
  <si>
    <t>Understanding Heat Numbers and Traceability</t>
  </si>
  <si>
    <t>/guides/understanding-heat-numbers-and-traceability/</t>
  </si>
  <si>
    <t>Applies when the tag mentions</t>
  </si>
  <si>
    <t>CTY-0382</t>
  </si>
  <si>
    <t>understanding heat numbers and traceability</t>
  </si>
  <si>
    <t>Page opens on</t>
  </si>
  <si>
    <t>Standards to cite</t>
  </si>
  <si>
    <t>Etawah</t>
  </si>
  <si>
    <t>EP Tube for Cleanroom Utility Distribution</t>
  </si>
  <si>
    <t>Lead grades</t>
  </si>
  <si>
    <t>/guides/ep-tube-for-cleanroom-utility-distribution/</t>
  </si>
  <si>
    <t>Extra section to include</t>
  </si>
  <si>
    <t>ep tube for cleanroom utility distribution</t>
  </si>
  <si>
    <t>UPSIDA estate directory for Uttar Pradesh; MSME-DI district industrial profile PDF for Etawah district; Google Maps industrial area layer</t>
  </si>
  <si>
    <t>FAQ emphasis</t>
  </si>
  <si>
    <t>UPSIDA Industrial Area, Etawah</t>
  </si>
  <si>
    <t>Selecting Clamps and Gaskets for EP Lines</t>
  </si>
  <si>
    <t>PHARMA</t>
  </si>
  <si>
    <t>/guides/selecting-clamps-and-gaskets-for-ep-lines/</t>
  </si>
  <si>
    <t>selecting clamps and gaskets for ep lines</t>
  </si>
  <si>
    <t>pharma, API, bulk drug, medical device</t>
  </si>
  <si>
    <t>CTY-0383</t>
  </si>
  <si>
    <t>Water for Injection Systems: Material Selection</t>
  </si>
  <si>
    <t>WFI and purified water loops, CIP/SIP circuits, and the formulations or API blocks in the named estates</t>
  </si>
  <si>
    <t>/guides/water-for-injection-systems-material-selection/</t>
  </si>
  <si>
    <t>ASTM A270 S2, ASME BPE SF4, EN 10204 3.1, CDSCO / state FDA context</t>
  </si>
  <si>
    <t>water for injection systems: material selection</t>
  </si>
  <si>
    <t>316L primary, 304 utility</t>
  </si>
  <si>
    <t>Farrukhabad</t>
  </si>
  <si>
    <t>Rouging prevention and passivation after welding</t>
  </si>
  <si>
    <t>WFI spec, Ra for CIP, MTC questions</t>
  </si>
  <si>
    <t>EP Tube Storage and Shelf Handling</t>
  </si>
  <si>
    <t>/guides/ep-tube-storage-and-shelf-handling/</t>
  </si>
  <si>
    <t>UPSIDA estate directory for Uttar Pradesh; MSME-DI district industrial profile PDF for Farrukhabad district; Google Maps industrial area layer</t>
  </si>
  <si>
    <t>BIOTECH</t>
  </si>
  <si>
    <t>ep tube storage and shelf handling</t>
  </si>
  <si>
    <t>UPSIDA Industrial Area, Farrukhabad</t>
  </si>
  <si>
    <t>biotech, biologics, vaccine, life science</t>
  </si>
  <si>
    <t>Master hub</t>
  </si>
  <si>
    <t>Market Area - Global Coverage</t>
  </si>
  <si>
    <t>Biologics suites, single-use interfaces, and low-Ra bioprocess distribution</t>
  </si>
  <si>
    <t>/market-area/</t>
  </si>
  <si>
    <t>ASME BPE SF4-SF6, ASTM A270 S2, EN 10204 3.1</t>
  </si>
  <si>
    <t>electropolished pipes manufacturer near me</t>
  </si>
  <si>
    <t>CTY-0384</t>
  </si>
  <si>
    <t>316L only</t>
  </si>
  <si>
    <t>Top of the market-area silo. Links to all 18 country hubs.</t>
  </si>
  <si>
    <t>Surface finish and bacterial adhesion; boroscope inspection</t>
  </si>
  <si>
    <t>Ra and biofilm, weld inspection, documentation depth</t>
  </si>
  <si>
    <t>Fatehabad</t>
  </si>
  <si>
    <t>SEMI</t>
  </si>
  <si>
    <t>semiconductor, wafer, electronics</t>
  </si>
  <si>
    <t>UHP gas distribution, fab utility lines, and the named fab or hi-tech park</t>
  </si>
  <si>
    <t>HSIIDC estate directory for Haryana; MSME-DI district industrial profile PDF for Fatehabad district; Google Maps industrial area layer</t>
  </si>
  <si>
    <t>SEMI F19 and SEMI F17 (never F57), ASTM A269/A270, Ra &lt;= 0.25 um</t>
  </si>
  <si>
    <t>316L EP, high-purity</t>
  </si>
  <si>
    <t>HSIIDC Industrial Area, Fatehabad</t>
  </si>
  <si>
    <t>Particle count, moisture and outgassing control</t>
  </si>
  <si>
    <t>UHP spec, cleanliness, packaging integrity</t>
  </si>
  <si>
    <t>DAIRY</t>
  </si>
  <si>
    <t>dairy, food &amp; dairy</t>
  </si>
  <si>
    <t>Milk reception, pasteurisation and CIP lines at the named dairy or co-operative plants</t>
  </si>
  <si>
    <t>3-A Sanitary Standards, ASTM A270, EN 10357, FSSAI context</t>
  </si>
  <si>
    <t>CTY-0385</t>
  </si>
  <si>
    <t>CTY-0067</t>
  </si>
  <si>
    <t>304 primary, 316L for aggressive CIP</t>
  </si>
  <si>
    <t>Cleanability, drainability and slope rules</t>
  </si>
  <si>
    <t>Lote Parshuram</t>
  </si>
  <si>
    <t>3-A, cleaning chemistry, hygienic fittings</t>
  </si>
  <si>
    <t>Firozabad</t>
  </si>
  <si>
    <t>BREWERY</t>
  </si>
  <si>
    <t>Lote Parshuram MIDC (Khed)</t>
  </si>
  <si>
    <t>brewery, wine, beverage, distill</t>
  </si>
  <si>
    <t>Bulk drugs, dyes, specialty chemicals</t>
  </si>
  <si>
    <t>Brewhouse, fermentation and packaging lines at the named breweries or distilleries</t>
  </si>
  <si>
    <t>UPSIDA estate directory for Uttar Pradesh; MSME-DI district industrial profile PDF for Firozabad district; Google Maps industrial area layer</t>
  </si>
  <si>
    <t>JNPT Nhava Sheva (215 km)</t>
  </si>
  <si>
    <t>3-A, EHEDG, ASTM A270, DIN 11850 where European equipment is installed</t>
  </si>
  <si>
    <t>UPSIDA Industrial Area, Firozabad</t>
  </si>
  <si>
    <t>304 primary</t>
  </si>
  <si>
    <t>Where EP is justified and where it is not - honest scoping</t>
  </si>
  <si>
    <t>Cost vs benefit, fittings compatibility</t>
  </si>
  <si>
    <t>FOOD</t>
  </si>
  <si>
    <t>food processing, seafood, palm oil, personal care</t>
  </si>
  <si>
    <t>CTY-0386</t>
  </si>
  <si>
    <t>Product-contact lines, edible oil or processing halls in the named food parks</t>
  </si>
  <si>
    <t>3-A, FSSAI or local food authority, ASTM A270</t>
  </si>
  <si>
    <t>304 primary, 316L for salt/acid service</t>
  </si>
  <si>
    <t>Firozpur</t>
  </si>
  <si>
    <t>Corrosion in chloride and acidic product streams</t>
  </si>
  <si>
    <t>Grade choice, corrosion, cleaning</t>
  </si>
  <si>
    <t>CHEM</t>
  </si>
  <si>
    <t>PSIEC estate directory for Punjab; MSME-DI district industrial profile PDF for Firozpur district; Google Maps industrial area layer</t>
  </si>
  <si>
    <t>chemical, petrochemical, refining, fertiliser, water</t>
  </si>
  <si>
    <t>PSIEC Industrial Area, Firozpur</t>
  </si>
  <si>
    <t>Process and utility distribution in the named chemical estate or petrochemical complex</t>
  </si>
  <si>
    <t>ASTM A269/A312, ASME B31.3 context, PESO/OISD where hazardous</t>
  </si>
  <si>
    <t>316L, duplex where chlorides are high</t>
  </si>
  <si>
    <t>When duplex or higher alloy beats 316L</t>
  </si>
  <si>
    <t>Alloy selection, pressure rating, corrosion</t>
  </si>
  <si>
    <t>CTY-0387</t>
  </si>
  <si>
    <t>GENERAL</t>
  </si>
  <si>
    <t>engineering &amp; process, steel, textile, automotive</t>
  </si>
  <si>
    <t>Utility distribution, plant services and the general engineering base of the named estate</t>
  </si>
  <si>
    <t>ASTM A269/A270, ASME BPE where hygienic, EN 10204 3.1</t>
  </si>
  <si>
    <t>Gadag</t>
  </si>
  <si>
    <t>Where a hygienic finish is worth specifying at all</t>
  </si>
  <si>
    <t>Cost, lead time, MOQ, basic spec</t>
  </si>
  <si>
    <t>KIADB estate directory for Karnataka; MSME-DI district industrial profile PDF for Gadag district; Google Maps industrial area layer</t>
  </si>
  <si>
    <t>KIADB Industrial Area, Gadag</t>
  </si>
  <si>
    <t>LIVE COUNT BY ANGLE</t>
  </si>
  <si>
    <t>CTY-0388</t>
  </si>
  <si>
    <t>Gandhidham</t>
  </si>
  <si>
    <t>% of total</t>
  </si>
  <si>
    <t>GIDC estate directory for Gujarat; MSME-DI district industrial profile PDF for Gandhidham district; Google Maps industrial area layer</t>
  </si>
  <si>
    <t>GIDC Industrial Area, Gandhidham</t>
  </si>
  <si>
    <t>CTY-0389</t>
  </si>
  <si>
    <t>Sikkim</t>
  </si>
  <si>
    <t>Gangtok</t>
  </si>
  <si>
    <t>SIDICO estate directory for Sikkim; MSME-DI district industrial profile PDF for Gangtok district; Google Maps industrial area layer</t>
  </si>
  <si>
    <t>SIDICO Industrial Area, Gangtok</t>
  </si>
  <si>
    <t>CTY-0390</t>
  </si>
  <si>
    <t>CTY-0068</t>
  </si>
  <si>
    <t>Lucknow</t>
  </si>
  <si>
    <t>Gaya</t>
  </si>
  <si>
    <t>Amausi Industrial Area, Talkatora Industrial Area</t>
  </si>
  <si>
    <t>Amausi Industrial Area</t>
  </si>
  <si>
    <t>Pharmaceutical, food processing, engineering</t>
  </si>
  <si>
    <t>BIADA estate directory for Bihar; MSME-DI district industrial profile PDF for Gaya district; Google Maps industrial area layer</t>
  </si>
  <si>
    <t>ICD Kanpur (85 km)</t>
  </si>
  <si>
    <t>BIADA Industrial Area, Gaya</t>
  </si>
  <si>
    <t>CTY-0391</t>
  </si>
  <si>
    <t>Giridih</t>
  </si>
  <si>
    <t>JIADA estate directory for Jharkhand; MSME-DI district industrial profile PDF for Giridih district; Google Maps industrial area layer</t>
  </si>
  <si>
    <t>JIADA Industrial Area, Giridih</t>
  </si>
  <si>
    <t>CTY-0392</t>
  </si>
  <si>
    <t>Godhra</t>
  </si>
  <si>
    <t>GIDC estate directory for Gujarat; MSME-DI district industrial profile PDF for Godhra district; Google Maps industrial area layer</t>
  </si>
  <si>
    <t>GIDC Industrial Area, Godhra</t>
  </si>
  <si>
    <t>CTY-0393</t>
  </si>
  <si>
    <t>Golaghat</t>
  </si>
  <si>
    <t>AIDC estate directory for Assam; MSME-DI district industrial profile PDF for Golaghat district; Google Maps industrial area layer</t>
  </si>
  <si>
    <t>AIDC Industrial Area, Golaghat</t>
  </si>
  <si>
    <t>CTY-0394</t>
  </si>
  <si>
    <t>Gondia</t>
  </si>
  <si>
    <t>MIDC estate directory for Maharashtra; MSME-DI district industrial profile PDF for Gondia district; Google Maps industrial area layer</t>
  </si>
  <si>
    <t>MIDC Industrial Area, Gondia</t>
  </si>
  <si>
    <t>CTY-0395</t>
  </si>
  <si>
    <t>CTY-0069</t>
  </si>
  <si>
    <t>Ludhiana</t>
  </si>
  <si>
    <t>Gorakhpur</t>
  </si>
  <si>
    <t>Focal Point Ludhiana Phase I-VIII</t>
  </si>
  <si>
    <t>Engineering, bicycle, food equipment, dairy machinery</t>
  </si>
  <si>
    <t>UPSIDA estate directory for Uttar Pradesh; MSME-DI district industrial profile PDF for Gorakhpur district; Google Maps industrial area layer</t>
  </si>
  <si>
    <t>ICD Ludhiana (0 km)</t>
  </si>
  <si>
    <t>UPSIDA Industrial Area, Gorakhpur</t>
  </si>
  <si>
    <t>CTY-0396</t>
  </si>
  <si>
    <t>Gudivada</t>
  </si>
  <si>
    <t>APIIC estate directory for Andhra Pradesh; MSME-DI district industrial profile PDF for Gudivada district; Google Maps industrial area layer</t>
  </si>
  <si>
    <t>APIIC Industrial Area, Gudivada</t>
  </si>
  <si>
    <t>CTY-0397</t>
  </si>
  <si>
    <t>Gummidipoondi</t>
  </si>
  <si>
    <t>SIPCOT estate directory for Tamil Nadu; MSME-DI district industrial profile PDF for Gummidipoondi district; Google Maps industrial area layer</t>
  </si>
  <si>
    <t>SIPCOT Industrial Area, Gummidipoondi</t>
  </si>
  <si>
    <t>CTY-0398</t>
  </si>
  <si>
    <t>Guna</t>
  </si>
  <si>
    <t>MPIDC estate directory for Madhya Pradesh; MSME-DI district industrial profile PDF for Guna district; Google Maps industrial area layer</t>
  </si>
  <si>
    <t>MPIDC Industrial Area, Guna</t>
  </si>
  <si>
    <t>CTY-0399</t>
  </si>
  <si>
    <t>Guntur</t>
  </si>
  <si>
    <t>APIIC estate directory for Andhra Pradesh; MSME-DI district industrial profile PDF for Guntur district; Google Maps industrial area layer</t>
  </si>
  <si>
    <t>APIIC Industrial Area, Guntur</t>
  </si>
  <si>
    <t>CTY-0400</t>
  </si>
  <si>
    <t>CTY-0070</t>
  </si>
  <si>
    <t>Madurai</t>
  </si>
  <si>
    <t>Gwalior</t>
  </si>
  <si>
    <t>Kappalur SIDCO, Madurai Industrial Estate</t>
  </si>
  <si>
    <t>Kappalur SIDCO</t>
  </si>
  <si>
    <t>Food processing, engineering, textiles</t>
  </si>
  <si>
    <t>MPIDC estate directory for Madhya Pradesh; MSME-DI district industrial profile PDF for Gwalior district; Google Maps industrial area layer</t>
  </si>
  <si>
    <t>Tuticorin Port (160 km)</t>
  </si>
  <si>
    <t>MPIDC Industrial Area, Gwalior</t>
  </si>
  <si>
    <t>CTY-0401</t>
  </si>
  <si>
    <t>Hajipur</t>
  </si>
  <si>
    <t>BIADA estate directory for Bihar; MSME-DI district industrial profile PDF for Hajipur district; Google Maps industrial area layer</t>
  </si>
  <si>
    <t>Read this</t>
  </si>
  <si>
    <t>BIADA Industrial Area, Hajipur</t>
  </si>
  <si>
    <t>Once research is complete the VERIFY count must be zero. Until then it tells you exactly how much of the site still has no editorial angle assigned.</t>
  </si>
  <si>
    <t>CTY-0402</t>
  </si>
  <si>
    <t>Haldwani</t>
  </si>
  <si>
    <t>SIIDCUL estate directory for Uttarakhand; MSME-DI district industrial profile PDF for Haldwani district; Google Maps industrial area layer</t>
  </si>
  <si>
    <t>SIIDCUL Industrial Area, Haldwani</t>
  </si>
  <si>
    <t>CTY-0403</t>
  </si>
  <si>
    <t>Hamirpur</t>
  </si>
  <si>
    <t>HPSIDC estate directory for Himachal Pradesh; MSME-DI district industrial profile PDF for Hamirpur district; Google Maps industrial area layer</t>
  </si>
  <si>
    <t>HPSIDC Industrial Area, Hamirpur</t>
  </si>
  <si>
    <t>CTY-0404</t>
  </si>
  <si>
    <t>Hanumangarh</t>
  </si>
  <si>
    <t>RIICO estate directory for Rajasthan; MSME-DI district industrial profile PDF for Hanumangarh district; Google Maps industrial area layer</t>
  </si>
  <si>
    <t>RIICO Industrial Area, Hanumangarh</t>
  </si>
  <si>
    <t>CTY-0405</t>
  </si>
  <si>
    <t>CTY-0071</t>
  </si>
  <si>
    <t>Hapur</t>
  </si>
  <si>
    <t>Mahad</t>
  </si>
  <si>
    <t>Mahad MIDC</t>
  </si>
  <si>
    <t>UPSIDA estate directory for Uttar Pradesh; MSME-DI district industrial profile PDF for Hapur district; Google Maps industrial area layer</t>
  </si>
  <si>
    <t>Bulk drugs, specialty chemicals, intermediates</t>
  </si>
  <si>
    <t>UPSIDA Industrial Area, Hapur</t>
  </si>
  <si>
    <t>JNPT Nhava Sheva (120 km)</t>
  </si>
  <si>
    <t>CTY-0406</t>
  </si>
  <si>
    <t>Harohalli</t>
  </si>
  <si>
    <t>KIADB estate directory for Karnataka; MSME-DI district industrial profile PDF for Harohalli district; Google Maps industrial area layer</t>
  </si>
  <si>
    <t>KIADB Industrial Area, Harohalli</t>
  </si>
  <si>
    <t>CTY-0407</t>
  </si>
  <si>
    <t>Hassan</t>
  </si>
  <si>
    <t>KIADB estate directory for Karnataka; MSME-DI district industrial profile PDF for Hassan district; Google Maps industrial area layer</t>
  </si>
  <si>
    <t>KIADB Industrial Area, Hassan</t>
  </si>
  <si>
    <t>CTY-0408</t>
  </si>
  <si>
    <t>Haveri</t>
  </si>
  <si>
    <t>KIADB estate directory for Karnataka; MSME-DI district industrial profile PDF for Haveri district; Google Maps industrial area layer</t>
  </si>
  <si>
    <t>KIADB Industrial Area, Haveri</t>
  </si>
  <si>
    <t>CTY-0409</t>
  </si>
  <si>
    <t>Hazaribagh</t>
  </si>
  <si>
    <t>JIADA estate directory for Jharkhand; MSME-DI district industrial profile PDF for Hazaribagh district; Google Maps industrial area layer</t>
  </si>
  <si>
    <t>JIADA Industrial Area, Hazaribagh</t>
  </si>
  <si>
    <t>CTY-0410</t>
  </si>
  <si>
    <t>Himatnagar</t>
  </si>
  <si>
    <t>GIDC estate directory for Gujarat; MSME-DI district industrial profile PDF for Himatnagar district; Google Maps industrial area layer</t>
  </si>
  <si>
    <t>GIDC Industrial Area, Himatnagar</t>
  </si>
  <si>
    <t>CTY-0072</t>
  </si>
  <si>
    <t>Malanpur</t>
  </si>
  <si>
    <t>CTY-0411</t>
  </si>
  <si>
    <t>Malanpur Industrial Area MPIDC</t>
  </si>
  <si>
    <t>Hindupur</t>
  </si>
  <si>
    <t>FMCG, chemicals, engineering</t>
  </si>
  <si>
    <t>ICD Dadri (330 km)</t>
  </si>
  <si>
    <t>APIIC estate directory for Andhra Pradesh; MSME-DI district industrial profile PDF for Hindupur district; Google Maps industrial area layer</t>
  </si>
  <si>
    <t>APIIC Industrial Area, Hindupur</t>
  </si>
  <si>
    <t>CTY-0412</t>
  </si>
  <si>
    <t>Hingoli</t>
  </si>
  <si>
    <t>MIDC estate directory for Maharashtra; MSME-DI district industrial profile PDF for Hingoli district; Google Maps industrial area layer</t>
  </si>
  <si>
    <t>MIDC Industrial Area, Hingoli</t>
  </si>
  <si>
    <t>CTY-0413</t>
  </si>
  <si>
    <t>Hisar</t>
  </si>
  <si>
    <t>HSIIDC estate directory for Haryana; MSME-DI district industrial profile PDF for Hisar district; Google Maps industrial area layer</t>
  </si>
  <si>
    <t>UNIQUENESS AUDIT</t>
  </si>
  <si>
    <t>HSIIDC Industrial Area, Hisar</t>
  </si>
  <si>
    <t>CTY-0414</t>
  </si>
  <si>
    <t>A live scorecard. Every figure recalculates from the CITY MASTER.</t>
  </si>
  <si>
    <t>Hoshangabad</t>
  </si>
  <si>
    <t>MPIDC estate directory for Madhya Pradesh; MSME-DI district industrial profile PDF for Hoshangabad district; Google Maps industrial area layer</t>
  </si>
  <si>
    <t>MPIDC Industrial Area, Hoshangabad</t>
  </si>
  <si>
    <t>CTY-0415</t>
  </si>
  <si>
    <t>Purpose</t>
  </si>
  <si>
    <t>Hoshiarpur</t>
  </si>
  <si>
    <t>PSIEC estate directory for Punjab; MSME-DI district industrial profile PDF for Hoshiarpur district; Google Maps industrial area layer</t>
  </si>
  <si>
    <t>PSIEC Industrial Area, Hoshiarpur</t>
  </si>
  <si>
    <t>CTY-0073</t>
  </si>
  <si>
    <t>Mandideep</t>
  </si>
  <si>
    <t>Mandideep Industrial Area MPIDC</t>
  </si>
  <si>
    <t>CTY-0416</t>
  </si>
  <si>
    <t>Pharmaceutical formulations, engineering</t>
  </si>
  <si>
    <t>JNPT Nhava Sheva (770 km)</t>
  </si>
  <si>
    <t>Ichalkaranji</t>
  </si>
  <si>
    <t>This is the sheet you check before every wave ships. It answers one question with numbers rather than opinion: are these pages actually distinct from one another?</t>
  </si>
  <si>
    <t>MIDC estate directory for Maharashtra; MSME-DI district industrial profile PDF for Ichalkaranji district; Google Maps industrial area layer</t>
  </si>
  <si>
    <t>MIDC Industrial Area, Ichalkaranji</t>
  </si>
  <si>
    <t>CTY-0417</t>
  </si>
  <si>
    <t>Idukki</t>
  </si>
  <si>
    <t>KINFRA estate directory for Kerala; MSME-DI district industrial profile PDF for Idukki district; Google Maps industrial area layer</t>
  </si>
  <si>
    <t>Result</t>
  </si>
  <si>
    <t>KINFRA Industrial Area, Idukki</t>
  </si>
  <si>
    <t>Verdict</t>
  </si>
  <si>
    <t>CTY-0418</t>
  </si>
  <si>
    <t>What to do if it fails</t>
  </si>
  <si>
    <t>Igatpuri</t>
  </si>
  <si>
    <t>MIDC estate directory for Maharashtra; MSME-DI district industrial profile PDF for Igatpuri district; Google Maps industrial area layer</t>
  </si>
  <si>
    <t>MIDC Industrial Area, Igatpuri</t>
  </si>
  <si>
    <t>CTY-0419</t>
  </si>
  <si>
    <t>Manipur</t>
  </si>
  <si>
    <t>Imphal</t>
  </si>
  <si>
    <t>MANIDCO estate directory for Manipur; MSME-DI district industrial profile PDF for Imphal district; Google Maps industrial area layer</t>
  </si>
  <si>
    <t>MANIDCO Industrial Area, Imphal</t>
  </si>
  <si>
    <t>CTY-0420</t>
  </si>
  <si>
    <t>Irungattukottai</t>
  </si>
  <si>
    <t>SIPCOT estate directory for Tamil Nadu; MSME-DI district industrial profile PDF for Irungattukottai district; Google Maps industrial area layer</t>
  </si>
  <si>
    <t>SIPCOT Industrial Area, Irungattukottai</t>
  </si>
  <si>
    <t>CTY-0074</t>
  </si>
  <si>
    <t>Mangaluru</t>
  </si>
  <si>
    <t>Baikampady Industrial Area, MRPL Complex</t>
  </si>
  <si>
    <t>CTY-0421</t>
  </si>
  <si>
    <t>Baikampady Industrial Area</t>
  </si>
  <si>
    <t>Petrochemicals, fertiliser, food processing, ports</t>
  </si>
  <si>
    <t>New Mangalore Port (0 km)</t>
  </si>
  <si>
    <t>Arunachal Pradesh</t>
  </si>
  <si>
    <t>Itanagar</t>
  </si>
  <si>
    <t>APIDFC estate directory for Arunachal Pradesh; MSME-DI district industrial profile PDF for Itanagar district; Google Maps industrial area layer</t>
  </si>
  <si>
    <t>APIDFC Industrial Area, Itanagar</t>
  </si>
  <si>
    <t>1832</t>
  </si>
  <si>
    <t>CTY-0422</t>
  </si>
  <si>
    <t>Itarsi</t>
  </si>
  <si>
    <t>MPIDC estate directory for Madhya Pradesh; MSME-DI district industrial profile PDF for Itarsi district; Google Maps industrial area layer</t>
  </si>
  <si>
    <t>MPIDC Industrial Area, Itarsi</t>
  </si>
  <si>
    <t>CTY-0423</t>
  </si>
  <si>
    <t>Jabalpur</t>
  </si>
  <si>
    <t>MPIDC estate directory for Madhya Pradesh; MSME-DI district industrial profile PDF for Jabalpur district; Google Maps industrial area layer</t>
  </si>
  <si>
    <t>MPIDC Industrial Area, Jabalpur</t>
  </si>
  <si>
    <t>If this drifts, rows have been deleted or added without updating the inventory.</t>
  </si>
  <si>
    <t>CTY-0424</t>
  </si>
  <si>
    <t>Jagdalpur</t>
  </si>
  <si>
    <t>CSIDC estate directory for Chhattisgarh; MSME-DI district industrial profile PDF for Jagdalpur district; Google Maps industrial area layer</t>
  </si>
  <si>
    <t>CSIDC Industrial Area, Jagdalpur</t>
  </si>
  <si>
    <t>Research complete</t>
  </si>
  <si>
    <t>CTY-0425</t>
  </si>
  <si>
    <t>Jagtial</t>
  </si>
  <si>
    <t>TSIIC estate directory for Telangana; MSME-DI district industrial profile PDF for Jagtial district; Google Maps industrial area layer</t>
  </si>
  <si>
    <t>TSIIC Industrial Area, Jagtial</t>
  </si>
  <si>
    <t>CTY-0075</t>
  </si>
  <si>
    <t>Medak-Patancheru</t>
  </si>
  <si>
    <t>CTY-0426</t>
  </si>
  <si>
    <t>Patancheru IDA, Bollaram IDA, Pashamylaram IDA</t>
  </si>
  <si>
    <t>Patancheru IDA</t>
  </si>
  <si>
    <t>Bulk drugs, API, specialty chemicals</t>
  </si>
  <si>
    <t>Jajpur</t>
  </si>
  <si>
    <t>Krishnapatnam Port (480 km)</t>
  </si>
  <si>
    <t>IDCO estate directory for Odisha; MSME-DI district industrial profile PDF for Jajpur district; Google Maps industrial area layer</t>
  </si>
  <si>
    <t>must equal total before full launch</t>
  </si>
  <si>
    <t>IDCO Industrial Area, Jajpur</t>
  </si>
  <si>
    <t>CTY-0427</t>
  </si>
  <si>
    <t>Jalna</t>
  </si>
  <si>
    <t>MIDC estate directory for Maharashtra; MSME-DI district industrial profile PDF for Jalna district; Google Maps industrial area layer</t>
  </si>
  <si>
    <t>MIDC Industrial Area, Jalna</t>
  </si>
  <si>
    <t>Work sheet 13. Do not publish rows that are not VERIFIED.</t>
  </si>
  <si>
    <t>CTY-0428</t>
  </si>
  <si>
    <t>Jalpaiguri</t>
  </si>
  <si>
    <t>WBIDC estate directory for West Bengal; MSME-DI district industrial profile PDF for Jalpaiguri district; Google Maps industrial area layer</t>
  </si>
  <si>
    <t>WBIDC Industrial Area, Jalpaiguri</t>
  </si>
  <si>
    <t>CTY-0429</t>
  </si>
  <si>
    <t>0 at launch</t>
  </si>
  <si>
    <t>Jammu</t>
  </si>
  <si>
    <t>SIDCO estate directory for Jammu &amp; Kashmir; MSME-DI district industrial profile PDF for Jammu district; Google Maps industrial area layer</t>
  </si>
  <si>
    <t>SIDCO Industrial Area, Jammu</t>
  </si>
  <si>
    <t>CTY-0430</t>
  </si>
  <si>
    <t>This is the true remaining workload.</t>
  </si>
  <si>
    <t>Janjgir</t>
  </si>
  <si>
    <t>Distinct title tags</t>
  </si>
  <si>
    <t>CSIDC estate directory for Chhattisgarh; MSME-DI district industrial profile PDF for Janjgir district; Google Maps industrial area layer</t>
  </si>
  <si>
    <t>CSIDC Industrial Area, Janjgir</t>
  </si>
  <si>
    <t>CTY-0431</t>
  </si>
  <si>
    <t>CTY-0076</t>
  </si>
  <si>
    <t>Jaunpur</t>
  </si>
  <si>
    <t>Meerut</t>
  </si>
  <si>
    <t>UPSIDA estate directory for Uttar Pradesh; MSME-DI district industrial profile PDF for Jaunpur district; Google Maps industrial area layer</t>
  </si>
  <si>
    <t>UPSIDA Industrial Area, Jaunpur</t>
  </si>
  <si>
    <t>Partapur Industrial Area, Mohkampur UPSIDA</t>
  </si>
  <si>
    <t>Partapur Industrial Area</t>
  </si>
  <si>
    <t>Sports goods, engineering, food processing</t>
  </si>
  <si>
    <t>ICD Dadri (75 km)</t>
  </si>
  <si>
    <t>CTY-0432</t>
  </si>
  <si>
    <t>Jhagadia</t>
  </si>
  <si>
    <t>GIDC estate directory for Gujarat; MSME-DI district industrial profile PDF for Jhagadia district; Google Maps industrial area layer</t>
  </si>
  <si>
    <t>GIDC Industrial Area, Jhagadia</t>
  </si>
  <si>
    <t>CTY-0433</t>
  </si>
  <si>
    <t>Jhajjar</t>
  </si>
  <si>
    <t>HSIIDC estate directory for Haryana; MSME-DI district industrial profile PDF for Jhajjar district; Google Maps industrial area layer</t>
  </si>
  <si>
    <t>HSIIDC Industrial Area, Jhajjar</t>
  </si>
  <si>
    <t>CTY-0434</t>
  </si>
  <si>
    <t>Jhansi</t>
  </si>
  <si>
    <t>UPSIDA estate directory for Uttar Pradesh; MSME-DI district industrial profile PDF for Jhansi district; Google Maps industrial area layer</t>
  </si>
  <si>
    <t>UPSIDA Industrial Area, Jhansi</t>
  </si>
  <si>
    <t>CTY-0435</t>
  </si>
  <si>
    <t>Jharsuguda</t>
  </si>
  <si>
    <t>IDCO estate directory for Odisha; MSME-DI district industrial profile PDF for Jharsuguda district; Google Maps industrial area layer</t>
  </si>
  <si>
    <t>IDCO Industrial Area, Jharsuguda</t>
  </si>
  <si>
    <t>CTY-0436</t>
  </si>
  <si>
    <t>Jhilmil</t>
  </si>
  <si>
    <t>DSIIDC estate directory for Delhi; MSME-DI district industrial profile PDF for Jhilmil district; Google Maps industrial area layer</t>
  </si>
  <si>
    <t>CTY-0077</t>
  </si>
  <si>
    <t>DSIIDC Industrial Area, Jhilmil</t>
  </si>
  <si>
    <t>Mehsana</t>
  </si>
  <si>
    <t>Mehsana GIDC, Kadi GIDC</t>
  </si>
  <si>
    <t>Mehsana GIDC</t>
  </si>
  <si>
    <t>CTY-0437</t>
  </si>
  <si>
    <t>Dairy processing, pharmaceutical, engineering</t>
  </si>
  <si>
    <t>Mundra Port (400 km)</t>
  </si>
  <si>
    <t>Jhunjhunu</t>
  </si>
  <si>
    <t>RIICO estate directory for Rajasthan; MSME-DI district industrial profile PDF for Jhunjhunu district; Google Maps industrial area layer</t>
  </si>
  <si>
    <t>RIICO Industrial Area, Jhunjhunu</t>
  </si>
  <si>
    <t>CTY-0438</t>
  </si>
  <si>
    <t>Jind</t>
  </si>
  <si>
    <t>HSIIDC estate directory for Haryana; MSME-DI district industrial profile PDF for Jind district; Google Maps industrial area layer</t>
  </si>
  <si>
    <t>HSIIDC Industrial Area, Jind</t>
  </si>
  <si>
    <t>CTY-0439</t>
  </si>
  <si>
    <t>Jorhat</t>
  </si>
  <si>
    <t>AIDC estate directory for Assam; MSME-DI district industrial profile PDF for Jorhat district; Google Maps industrial area layer</t>
  </si>
  <si>
    <t>AIDC Industrial Area, Jorhat</t>
  </si>
  <si>
    <t>CTY-0440</t>
  </si>
  <si>
    <t>Junagadh</t>
  </si>
  <si>
    <t>GIDC estate directory for Gujarat; MSME-DI district industrial profile PDF for Junagadh district; Google Maps industrial area layer</t>
  </si>
  <si>
    <t>GIDC Industrial Area, Junagadh</t>
  </si>
  <si>
    <t>CTY-0441</t>
  </si>
  <si>
    <t>Kadapa</t>
  </si>
  <si>
    <t>APIIC estate directory for Andhra Pradesh; MSME-DI district industrial profile PDF for Kadapa district; Google Maps industrial area layer</t>
  </si>
  <si>
    <t>APIIC Industrial Area, Kadapa</t>
  </si>
  <si>
    <t>CTY-0442</t>
  </si>
  <si>
    <t>CTY-0078</t>
  </si>
  <si>
    <t>Mohali</t>
  </si>
  <si>
    <t>Kadi</t>
  </si>
  <si>
    <t>Mohali Industrial Area Phase I-IX, IT City</t>
  </si>
  <si>
    <t>Mohali Industrial Area Phase I-IX</t>
  </si>
  <si>
    <t>GIDC estate directory for Gujarat; MSME-DI district industrial profile PDF for Kadi district; Google Maps industrial area layer</t>
  </si>
  <si>
    <t>GIDC Industrial Area, Kadi</t>
  </si>
  <si>
    <t>ICD Ludhiana (100 km)</t>
  </si>
  <si>
    <t>CTY-0443</t>
  </si>
  <si>
    <t>Kaithal</t>
  </si>
  <si>
    <t>HSIIDC estate directory for Haryana; MSME-DI district industrial profile PDF for Kaithal district; Google Maps industrial area layer</t>
  </si>
  <si>
    <t>HSIIDC Industrial Area, Kaithal</t>
  </si>
  <si>
    <t>CTY-0444</t>
  </si>
  <si>
    <t>Kala Amb</t>
  </si>
  <si>
    <t>HPSIDC estate directory for Himachal Pradesh; MSME-DI district industrial profile PDF for Kala Amb district; Google Maps industrial area layer</t>
  </si>
  <si>
    <t>HPSIDC Industrial Area, Kala Amb</t>
  </si>
  <si>
    <t>CTY-0445</t>
  </si>
  <si>
    <t>Kalaburagi</t>
  </si>
  <si>
    <t>KIADB estate directory for Karnataka; MSME-DI district industrial profile PDF for Kalaburagi district; Google Maps industrial area layer</t>
  </si>
  <si>
    <t>KIADB Industrial Area, Kalaburagi</t>
  </si>
  <si>
    <t>CTY-0446</t>
  </si>
  <si>
    <t>Kalol</t>
  </si>
  <si>
    <t>GIDC estate directory for Gujarat; MSME-DI district industrial profile PDF for Kalol district; Google Maps industrial area layer</t>
  </si>
  <si>
    <t>GIDC Industrial Area, Kalol</t>
  </si>
  <si>
    <t>1832 (all unique)</t>
  </si>
  <si>
    <t>CTY-0447</t>
  </si>
  <si>
    <t>Kalyan</t>
  </si>
  <si>
    <t>CTY-0079</t>
  </si>
  <si>
    <t>MIDC estate directory for Maharashtra; MSME-DI district industrial profile PDF for Kalyan district; Google Maps industrial area layer</t>
  </si>
  <si>
    <t>MIDC Industrial Area, Kalyan</t>
  </si>
  <si>
    <t>Moradabad</t>
  </si>
  <si>
    <t>Moradabad UPSIDA Industrial Area</t>
  </si>
  <si>
    <t>Brassware, engineering, metal handicraft</t>
  </si>
  <si>
    <t>CTY-0448</t>
  </si>
  <si>
    <t>ICD Dadri (150 km)</t>
  </si>
  <si>
    <t>Duplicate titles mean two pages are competing. Use the Title Override column.</t>
  </si>
  <si>
    <t>Kanchipuram</t>
  </si>
  <si>
    <t>SIPCOT estate directory for Tamil Nadu; MSME-DI district industrial profile PDF for Kanchipuram district; Google Maps industrial area layer</t>
  </si>
  <si>
    <t>Distinct meta descriptions</t>
  </si>
  <si>
    <t>SIPCOT Industrial Area, Kanchipuram</t>
  </si>
  <si>
    <t>CTY-0449</t>
  </si>
  <si>
    <t>Kangra</t>
  </si>
  <si>
    <t>HPSIDC estate directory for Himachal Pradesh; MSME-DI district industrial profile PDF for Kangra district; Google Maps industrial area layer</t>
  </si>
  <si>
    <t>HPSIDC Industrial Area, Kangra</t>
  </si>
  <si>
    <t>CTY-0450</t>
  </si>
  <si>
    <t>Kannur</t>
  </si>
  <si>
    <t>KINFRA estate directory for Kerala; MSME-DI district industrial profile PDF for Kannur district; Google Maps industrial area layer</t>
  </si>
  <si>
    <t>KINFRA Industrial Area, Kannur</t>
  </si>
  <si>
    <t>CTY-0451</t>
  </si>
  <si>
    <t>Kanyakumari</t>
  </si>
  <si>
    <t>SIPCOT estate directory for Tamil Nadu; MSME-DI district industrial profile PDF for Kanyakumari district; Google Maps industrial area layer</t>
  </si>
  <si>
    <t>SIPCOT Industrial Area, Kanyakumari</t>
  </si>
  <si>
    <t>CTY-0452</t>
  </si>
  <si>
    <t>Kapurthala</t>
  </si>
  <si>
    <t>PSIEC estate directory for Punjab; MSME-DI district industrial profile PDF for Kapurthala district; Google Maps industrial area layer</t>
  </si>
  <si>
    <t>PSIEC Industrial Area, Kapurthala</t>
  </si>
  <si>
    <t>CTY-0080</t>
  </si>
  <si>
    <t>CTY-0453</t>
  </si>
  <si>
    <t>Mumbai</t>
  </si>
  <si>
    <t>Andheri MIDC, Marol MIDC, SEEPZ SEZ, Wagle Estate (Thane)</t>
  </si>
  <si>
    <t>Karad</t>
  </si>
  <si>
    <t>Andheri MIDC</t>
  </si>
  <si>
    <t>Pharmaceutical formulations, API, specialty chemicals, food processing, trading houses</t>
  </si>
  <si>
    <t>Usually caused by two cities sharing an identical research field set.</t>
  </si>
  <si>
    <t>pharma &amp; API &amp; pharma</t>
  </si>
  <si>
    <t>JNPT Nhava Sheva (0 km)</t>
  </si>
  <si>
    <t>MIDC estate directory for Maharashtra; MSME-DI district industrial profile PDF for Karad district; Google Maps industrial area layer</t>
  </si>
  <si>
    <t>Distinct H1s</t>
  </si>
  <si>
    <t>MIDC Industrial Area, Karad</t>
  </si>
  <si>
    <t>CTY-0454</t>
  </si>
  <si>
    <t>Karimganj</t>
  </si>
  <si>
    <t>AIDC estate directory for Assam; MSME-DI district industrial profile PDF for Karimganj district; Google Maps industrial area layer</t>
  </si>
  <si>
    <t>AIDC Industrial Area, Karimganj</t>
  </si>
  <si>
    <t>CTY-0455</t>
  </si>
  <si>
    <t>Karimnagar</t>
  </si>
  <si>
    <t>TSIIC estate directory for Telangana; MSME-DI district industrial profile PDF for Karimnagar district; Google Maps industrial area layer</t>
  </si>
  <si>
    <t>TSIIC Industrial Area, Karimnagar</t>
  </si>
  <si>
    <t>CTY-0456</t>
  </si>
  <si>
    <t>Karnal</t>
  </si>
  <si>
    <t>HSIIDC estate directory for Haryana; MSME-DI district industrial profile PDF for Karnal district; Google Maps industrial area layer</t>
  </si>
  <si>
    <t>HSIIDC Industrial Area, Karnal</t>
  </si>
  <si>
    <t>Check the Display Name column for undisambiguated duplicate city names.</t>
  </si>
  <si>
    <t>CTY-0457</t>
  </si>
  <si>
    <t>Distinct URLs</t>
  </si>
  <si>
    <t>Karur</t>
  </si>
  <si>
    <t>SIPCOT estate directory for Tamil Nadu; MSME-DI district industrial profile PDF for Karur district; Google Maps industrial area layer</t>
  </si>
  <si>
    <t>SIPCOT Industrial Area, Karur</t>
  </si>
  <si>
    <t>CTY-0458</t>
  </si>
  <si>
    <t>CTY-0081</t>
  </si>
  <si>
    <t>Karwar</t>
  </si>
  <si>
    <t>Muzaffarpur</t>
  </si>
  <si>
    <t>Bela Industrial Area BIADA</t>
  </si>
  <si>
    <t>KIADB estate directory for Karnataka; MSME-DI district industrial profile PDF for Karwar district; Google Maps industrial area layer</t>
  </si>
  <si>
    <t>Food processing, dairy, agro</t>
  </si>
  <si>
    <t>KIADB Industrial Area, Karwar</t>
  </si>
  <si>
    <t>Haldia Port (700 km)</t>
  </si>
  <si>
    <t>CTY-0459</t>
  </si>
  <si>
    <t>Kasaragod</t>
  </si>
  <si>
    <t>KINFRA estate directory for Kerala; MSME-DI district industrial profile PDF for Kasaragod district; Google Maps industrial area layer</t>
  </si>
  <si>
    <t>KINFRA Industrial Area, Kasaragod</t>
  </si>
  <si>
    <t>CTY-0460</t>
  </si>
  <si>
    <t>Kathua</t>
  </si>
  <si>
    <t>SIDCO estate directory for Jammu &amp; Kashmir; MSME-DI district industrial profile PDF for Kathua district; Google Maps industrial area layer</t>
  </si>
  <si>
    <t>SIDCO Industrial Area, Kathua</t>
  </si>
  <si>
    <t>CTY-0461</t>
  </si>
  <si>
    <t>Katihar</t>
  </si>
  <si>
    <t>BIADA estate directory for Bihar; MSME-DI district industrial profile PDF for Katihar district; Google Maps industrial area layer</t>
  </si>
  <si>
    <t>BIADA Industrial Area, Katihar</t>
  </si>
  <si>
    <t>CTY-0462</t>
  </si>
  <si>
    <t>Katni</t>
  </si>
  <si>
    <t>MPIDC estate directory for Madhya Pradesh; MSME-DI district industrial profile PDF for Katni district; Google Maps industrial area layer</t>
  </si>
  <si>
    <t>MPIDC Industrial Area, Katni</t>
  </si>
  <si>
    <t>A URL collision is a hard build failure. Use the Slug Override column.</t>
  </si>
  <si>
    <t>Distinct hero ALT texts</t>
  </si>
  <si>
    <t>CTY-0463</t>
  </si>
  <si>
    <t>Kendrapara</t>
  </si>
  <si>
    <t>CTY-0082</t>
  </si>
  <si>
    <t>Mysuru</t>
  </si>
  <si>
    <t>IDCO estate directory for Odisha; MSME-DI district industrial profile PDF for Kendrapara district; Google Maps industrial area layer</t>
  </si>
  <si>
    <t>IDCO Industrial Area, Kendrapara</t>
  </si>
  <si>
    <t>Hebbal Industrial Area, Belagola KIADB, Nanjangud</t>
  </si>
  <si>
    <t>Hebbal Industrial Area</t>
  </si>
  <si>
    <t>Pharmaceutical formulations, food processing, engineering</t>
  </si>
  <si>
    <t>Mangalore Port (280 km)</t>
  </si>
  <si>
    <t>CTY-0464</t>
  </si>
  <si>
    <t>Keonjhar</t>
  </si>
  <si>
    <t>IDCO estate directory for Odisha; MSME-DI district industrial profile PDF for Keonjhar district; Google Maps industrial area layer</t>
  </si>
  <si>
    <t>IDCO Industrial Area, Keonjhar</t>
  </si>
  <si>
    <t>CTY-0465</t>
  </si>
  <si>
    <t>Khammam</t>
  </si>
  <si>
    <t>TSIIC estate directory for Telangana; MSME-DI district industrial profile PDF for Khammam district; Google Maps industrial area layer</t>
  </si>
  <si>
    <t>TSIIC Industrial Area, Khammam</t>
  </si>
  <si>
    <t>Alt text pulls Lead Estate - duplicates mean that field was left templated.</t>
  </si>
  <si>
    <t>CTY-0466</t>
  </si>
  <si>
    <t>Distinct pattern fingerprints</t>
  </si>
  <si>
    <t>Khandwa</t>
  </si>
  <si>
    <t>MPIDC estate directory for Madhya Pradesh; MSME-DI district industrial profile PDF for Khandwa district; Google Maps industrial area layer</t>
  </si>
  <si>
    <t>MPIDC Industrial Area, Khandwa</t>
  </si>
  <si>
    <t>CTY-0467</t>
  </si>
  <si>
    <t>Khanna</t>
  </si>
  <si>
    <t>PSIEC estate directory for Punjab; MSME-DI district industrial profile PDF for Khanna district; Google Maps industrial area layer</t>
  </si>
  <si>
    <t>PSIEC Industrial Area, Khanna</t>
  </si>
  <si>
    <t>CTY-0468</t>
  </si>
  <si>
    <t>Kharagpur</t>
  </si>
  <si>
    <t>WBIDC estate directory for West Bengal; MSME-DI district industrial profile PDF for Kharagpur district; Google Maps industrial area layer</t>
  </si>
  <si>
    <t>WBIDC Industrial Area, Kharagpur</t>
  </si>
  <si>
    <t>above 250</t>
  </si>
  <si>
    <t>CTY-0469</t>
  </si>
  <si>
    <t>CTY-0083</t>
  </si>
  <si>
    <t>Khopoli</t>
  </si>
  <si>
    <t>Nagpur</t>
  </si>
  <si>
    <t>MIDC estate directory for Maharashtra; MSME-DI district industrial profile PDF for Khopoli district; Google Maps industrial area layer</t>
  </si>
  <si>
    <t>Butibori MIDC, Hingna MIDC, MIHAN SEZ</t>
  </si>
  <si>
    <t>Butibori MIDC</t>
  </si>
  <si>
    <t>MIDC Industrial Area, Khopoli</t>
  </si>
  <si>
    <t>Pharmaceutical, food processing, defence, agro-processing</t>
  </si>
  <si>
    <t>JNPT Nhava Sheva (830 km)</t>
  </si>
  <si>
    <t>Structural variety. Below 250 the rotation has broken.</t>
  </si>
  <si>
    <t>CTY-0470</t>
  </si>
  <si>
    <t>Worst-case fingerprint twins</t>
  </si>
  <si>
    <t>Kichha</t>
  </si>
  <si>
    <t>SIIDCUL estate directory for Uttarakhand; MSME-DI district industrial profile PDF for Kichha district; Google Maps industrial area layer</t>
  </si>
  <si>
    <t>SIIDCUL Industrial Area, Kichha</t>
  </si>
  <si>
    <t>CTY-0471</t>
  </si>
  <si>
    <t>below 15</t>
  </si>
  <si>
    <t>Kishangarh</t>
  </si>
  <si>
    <t>RIICO estate directory for Rajasthan; MSME-DI district industrial profile PDF for Kishangarh district; Google Maps industrial area layer</t>
  </si>
  <si>
    <t>RIICO Industrial Area, Kishangarh</t>
  </si>
  <si>
    <t>CTY-0472</t>
  </si>
  <si>
    <t>How many pages share the single most common structure. Lower is better.</t>
  </si>
  <si>
    <t>Distinct lead estates</t>
  </si>
  <si>
    <t>Kohima</t>
  </si>
  <si>
    <t>NIDC estate directory for Nagaland; MSME-DI district industrial profile PDF for Kohima district; Google Maps industrial area layer</t>
  </si>
  <si>
    <t>NIDC Industrial Area, Kohima</t>
  </si>
  <si>
    <t>CTY-0473</t>
  </si>
  <si>
    <t>Kolar</t>
  </si>
  <si>
    <t>KIADB estate directory for Karnataka; MSME-DI district industrial profile PDF for Kolar district; Google Maps industrial area layer</t>
  </si>
  <si>
    <t>KIADB Industrial Area, Kolar</t>
  </si>
  <si>
    <t>CTY-0474</t>
  </si>
  <si>
    <t>CTY-0084</t>
  </si>
  <si>
    <t>Kollam</t>
  </si>
  <si>
    <t>Nalagarh</t>
  </si>
  <si>
    <t>KINFRA estate directory for Kerala; MSME-DI district industrial profile PDF for Kollam district; Google Maps industrial area layer</t>
  </si>
  <si>
    <t>Nalagarh Industrial Area, Manpura</t>
  </si>
  <si>
    <t>KINFRA Industrial Area, Kollam</t>
  </si>
  <si>
    <t>Nalagarh Industrial Area</t>
  </si>
  <si>
    <t>Pharmaceutical, engineering, packaging</t>
  </si>
  <si>
    <t>ICD Ludhiana (115 km)</t>
  </si>
  <si>
    <t>CTY-0475</t>
  </si>
  <si>
    <t>close to total</t>
  </si>
  <si>
    <t>Koppal</t>
  </si>
  <si>
    <t>KIADB estate directory for Karnataka; MSME-DI district industrial profile PDF for Koppal district; Google Maps industrial area layer</t>
  </si>
  <si>
    <t>KIADB Industrial Area, Koppal</t>
  </si>
  <si>
    <t>CTY-0476</t>
  </si>
  <si>
    <t>The single strongest uniqueness signal. Rises as research completes.</t>
  </si>
  <si>
    <t>Koraput</t>
  </si>
  <si>
    <t>Distinct industry mixes</t>
  </si>
  <si>
    <t>IDCO estate directory for Odisha; MSME-DI district industrial profile PDF for Koraput district; Google Maps industrial area layer</t>
  </si>
  <si>
    <t>IDCO Industrial Area, Koraput</t>
  </si>
  <si>
    <t>CTY-0477</t>
  </si>
  <si>
    <t>Korba</t>
  </si>
  <si>
    <t>CSIDC estate directory for Chhattisgarh; MSME-DI district industrial profile PDF for Korba district; Google Maps industrial area layer</t>
  </si>
  <si>
    <t>CSIDC Industrial Area, Korba</t>
  </si>
  <si>
    <t>CTY-0478</t>
  </si>
  <si>
    <t>Kota</t>
  </si>
  <si>
    <t>RIICO estate directory for Rajasthan; MSME-DI district industrial profile PDF for Kota district; Google Maps industrial area layer</t>
  </si>
  <si>
    <t>RIICO Industrial Area, Kota</t>
  </si>
  <si>
    <t>CTY-0479</t>
  </si>
  <si>
    <t>above 400</t>
  </si>
  <si>
    <t>Kotdwar</t>
  </si>
  <si>
    <t>SIIDCUL estate directory for Uttarakhand; MSME-DI district industrial profile PDF for Kotdwar district; Google Maps industrial area layer</t>
  </si>
  <si>
    <t>SIIDCUL Industrial Area, Kotdwar</t>
  </si>
  <si>
    <t>If this stays low, the writer is reusing one industry description.</t>
  </si>
  <si>
    <t>CTY-0480</t>
  </si>
  <si>
    <t>Distinct transit notes</t>
  </si>
  <si>
    <t>Kothagudem</t>
  </si>
  <si>
    <t>CTY-0085</t>
  </si>
  <si>
    <t>TSIIC estate directory for Telangana; MSME-DI district industrial profile PDF for Kothagudem district; Google Maps industrial area layer</t>
  </si>
  <si>
    <t>Nashik</t>
  </si>
  <si>
    <t>TSIIC Industrial Area, Kothagudem</t>
  </si>
  <si>
    <t>Satpur MIDC, Ambad MIDC, Sinnar MIDC (Malegaon)</t>
  </si>
  <si>
    <t>Satpur MIDC</t>
  </si>
  <si>
    <t>Pharmaceutical, wine and brewery, food processing, engineering</t>
  </si>
  <si>
    <t>JNPT Nhava Sheva (180 km)</t>
  </si>
  <si>
    <t>CTY-0481</t>
  </si>
  <si>
    <t>Kottayam</t>
  </si>
  <si>
    <t>KINFRA estate directory for Kerala; MSME-DI district industrial profile PDF for Kottayam district; Google Maps industrial area layer</t>
  </si>
  <si>
    <t>KINFRA Industrial Area, Kottayam</t>
  </si>
  <si>
    <t>CTY-0482</t>
  </si>
  <si>
    <t>Krishnagiri</t>
  </si>
  <si>
    <t>SIPCOT estate directory for Tamil Nadu; MSME-DI district industrial profile PDF for Krishnagiri district; Google Maps industrial area layer</t>
  </si>
  <si>
    <t>SIPCOT Industrial Area, Krishnagiri</t>
  </si>
  <si>
    <t>CTY-0483</t>
  </si>
  <si>
    <t>Krishnanagar</t>
  </si>
  <si>
    <t>WBIDC estate directory for West Bengal; MSME-DI district industrial profile PDF for Krishnanagar district; Google Maps industrial area layer</t>
  </si>
  <si>
    <t>above 30</t>
  </si>
  <si>
    <t>WBIDC Industrial Area, Krishnanagar</t>
  </si>
  <si>
    <t>CTY-0484</t>
  </si>
  <si>
    <t>Kullu</t>
  </si>
  <si>
    <t>Transit notes should band naturally - 30+ distinct values is healthy.</t>
  </si>
  <si>
    <t>HPSIDC estate directory for Himachal Pradesh; MSME-DI district industrial profile PDF for Kullu district; Google Maps industrial area layer</t>
  </si>
  <si>
    <t>HPSIDC Industrial Area, Kullu</t>
  </si>
  <si>
    <t>Distinct local proof points</t>
  </si>
  <si>
    <t>CTY-0086</t>
  </si>
  <si>
    <t>Navi Mumbai</t>
  </si>
  <si>
    <t>CTY-0485</t>
  </si>
  <si>
    <t>TTC Industrial Area MIDC (Rabale, Mahape, Turbhe, Pawane), Taloja MIDC</t>
  </si>
  <si>
    <t>TTC Industrial Area MIDC (Rabale</t>
  </si>
  <si>
    <t>Bulk drugs, API, specialty chemicals, engineering, cold chain</t>
  </si>
  <si>
    <t>JNPT Nhava Sheva (25 km)</t>
  </si>
  <si>
    <t>Kurkumbh</t>
  </si>
  <si>
    <t>MIDC estate directory for Maharashtra; MSME-DI district industrial profile PDF for Kurkumbh district; Google Maps industrial area layer</t>
  </si>
  <si>
    <t>MIDC Industrial Area, Kurkumbh</t>
  </si>
  <si>
    <t>CTY-0486</t>
  </si>
  <si>
    <t>Kurnool</t>
  </si>
  <si>
    <t>APIIC estate directory for Andhra Pradesh; MSME-DI district industrial profile PDF for Kurnool district; Google Maps industrial area layer</t>
  </si>
  <si>
    <t>APIIC Industrial Area, Kurnool</t>
  </si>
  <si>
    <t>CTY-0487</t>
  </si>
  <si>
    <t>Kurukshetra</t>
  </si>
  <si>
    <t>One true, city-specific sentence each. Never reuse one across cities.</t>
  </si>
  <si>
    <t>HSIIDC estate directory for Haryana; MSME-DI district industrial profile PDF for Kurukshetra district; Google Maps industrial area layer</t>
  </si>
  <si>
    <t>HSIIDC Industrial Area, Kurukshetra</t>
  </si>
  <si>
    <t>Titles flagged TRIM (over 65)</t>
  </si>
  <si>
    <t>CTY-0488</t>
  </si>
  <si>
    <t>Lalru</t>
  </si>
  <si>
    <t>PSIEC estate directory for Punjab; MSME-DI district industrial profile PDF for Lalru district; Google Maps industrial area layer</t>
  </si>
  <si>
    <t>PSIEC Industrial Area, Lalru</t>
  </si>
  <si>
    <t>0</t>
  </si>
  <si>
    <t>CTY-0489</t>
  </si>
  <si>
    <t>Latur</t>
  </si>
  <si>
    <t>MIDC estate directory for Maharashtra; MSME-DI district industrial profile PDF for Latur district; Google Maps industrial area layer</t>
  </si>
  <si>
    <t>MIDC Industrial Area, Latur</t>
  </si>
  <si>
    <t>Filter column AA for TRIM and shorten via the Title Override column.</t>
  </si>
  <si>
    <t>CTY-0490</t>
  </si>
  <si>
    <t>Metas flagged TRIM or SHORT</t>
  </si>
  <si>
    <t>Ladakh</t>
  </si>
  <si>
    <t>CTY-0087</t>
  </si>
  <si>
    <t>Leh</t>
  </si>
  <si>
    <t>Nellore</t>
  </si>
  <si>
    <t>Krishnapatnam Industrial Node, Nellore APIIC</t>
  </si>
  <si>
    <t>LIDCO estate directory for Ladakh; MSME-DI district industrial profile PDF for Leh district; Google Maps industrial area layer</t>
  </si>
  <si>
    <t>Krishnapatnam Industrial Node</t>
  </si>
  <si>
    <t>Chemicals, ports and logistics, aquaculture processing</t>
  </si>
  <si>
    <t>LIDCO Industrial Area, Leh</t>
  </si>
  <si>
    <t>Krishnapatnam Port (25 km)</t>
  </si>
  <si>
    <t>CTY-0491</t>
  </si>
  <si>
    <t>Lunglei</t>
  </si>
  <si>
    <t>ZIDCO estate directory for Mizoram; MSME-DI district industrial profile PDF for Lunglei district; Google Maps industrial area layer</t>
  </si>
  <si>
    <t>ZIDCO Industrial Area, Lunglei</t>
  </si>
  <si>
    <t>Rows still awaiting research read PENDING and are excluded from this count.</t>
  </si>
  <si>
    <t>CTY-0492</t>
  </si>
  <si>
    <t>Pages with no angle assigned</t>
  </si>
  <si>
    <t>Machilipatnam</t>
  </si>
  <si>
    <t>APIIC estate directory for Andhra Pradesh; MSME-DI district industrial profile PDF for Machilipatnam district; Google Maps industrial area layer</t>
  </si>
  <si>
    <t>APIIC Industrial Area, Machilipatnam</t>
  </si>
  <si>
    <t>CTY-0493</t>
  </si>
  <si>
    <t>Madanapalle</t>
  </si>
  <si>
    <t>APIIC estate directory for Andhra Pradesh; MSME-DI district industrial profile PDF for Madanapalle district; Google Maps industrial area layer</t>
  </si>
  <si>
    <t>APIIC Industrial Area, Madanapalle</t>
  </si>
  <si>
    <t>An unassigned angle means the writer has no editorial brief.</t>
  </si>
  <si>
    <t>CTY-0494</t>
  </si>
  <si>
    <t>Mahasamund</t>
  </si>
  <si>
    <t>Reading the IN PROGRESS rows</t>
  </si>
  <si>
    <t>CSIDC estate directory for Chhattisgarh; MSME-DI district industrial profile PDF for Mahasamund district; Google Maps industrial area layer</t>
  </si>
  <si>
    <t>CSIDC Industrial Area, Mahasamund</t>
  </si>
  <si>
    <t>Anything marked IN PROGRESS is a research-completeness measure, not a defect. It will turn PASS as the team works sheet 13. The PASS/FAIL rows are build integrity and must be green before anything ships.</t>
  </si>
  <si>
    <t>CTY-0495</t>
  </si>
  <si>
    <t>Mahbubnagar</t>
  </si>
  <si>
    <t>TSIIC estate directory for Telangana; MSME-DI district industrial profile PDF for Mahbubnagar district; Google Maps industrial area layer</t>
  </si>
  <si>
    <t>CTY-0088</t>
  </si>
  <si>
    <t>TSIIC Industrial Area, Mahbubnagar</t>
  </si>
  <si>
    <t>The check no spreadsheet can do</t>
  </si>
  <si>
    <t>New Delhi</t>
  </si>
  <si>
    <t>Okhla Industrial Area Phase I-III, Naraina Industrial Area, Bawana</t>
  </si>
  <si>
    <t>Okhla Industrial Area Phase I-III</t>
  </si>
  <si>
    <t>Run the find-and-replace test by hand on one page per batch of ten. Swap the city name for another city. If at least three claims on the page do not become false, the page is not city-specific yet - regardless of what every number above says.</t>
  </si>
  <si>
    <t>Pharmaceutical trading, engineering, packaging, food</t>
  </si>
  <si>
    <t>CTY-0496</t>
  </si>
  <si>
    <t>ICD Tughlakabad (15 km)</t>
  </si>
  <si>
    <t>Malappuram</t>
  </si>
  <si>
    <t>KINFRA estate directory for Kerala; MSME-DI district industrial profile PDF for Malappuram district; Google Maps industrial area layer</t>
  </si>
  <si>
    <t>KINFRA Industrial Area, Malappuram</t>
  </si>
  <si>
    <t>CTY-0497</t>
  </si>
  <si>
    <t>Malda</t>
  </si>
  <si>
    <t>WBIDC estate directory for West Bengal; MSME-DI district industrial profile PDF for Malda district; Google Maps industrial area layer</t>
  </si>
  <si>
    <t>WBIDC Industrial Area, Malda</t>
  </si>
  <si>
    <t>CTY-0498</t>
  </si>
  <si>
    <t>Malegaon</t>
  </si>
  <si>
    <t>MIDC estate directory for Maharashtra; MSME-DI district industrial profile PDF for Malegaon district; Google Maps industrial area layer</t>
  </si>
  <si>
    <t>MIDC Industrial Area, Malegaon</t>
  </si>
  <si>
    <t>CTY-0499</t>
  </si>
  <si>
    <t>Malur</t>
  </si>
  <si>
    <t>KIADB estate directory for Karnataka; MSME-DI district industrial profile PDF for Malur district; Google Maps industrial area layer</t>
  </si>
  <si>
    <t>KIADB Industrial Area, Malur</t>
  </si>
  <si>
    <t>CTY-0500</t>
  </si>
  <si>
    <t>Manali-Chennai</t>
  </si>
  <si>
    <t>SIPCOT estate directory for Tamil Nadu; MSME-DI district industrial profile PDF for Manali-Chennai district; Google Maps industrial area layer</t>
  </si>
  <si>
    <t>SIPCOT Industrial Area, Manali</t>
  </si>
  <si>
    <t>CTY-0501</t>
  </si>
  <si>
    <t>Mandi</t>
  </si>
  <si>
    <t>HPSIDC estate directory for Himachal Pradesh; MSME-DI district industrial profile PDF for Mandi district; Google Maps industrial area layer</t>
  </si>
  <si>
    <t>HPSIDC Industrial Area, Mandi</t>
  </si>
  <si>
    <t>CTY-0089</t>
  </si>
  <si>
    <t>Nizamabad</t>
  </si>
  <si>
    <t>CTY-0502</t>
  </si>
  <si>
    <t>Nizamabad IDA</t>
  </si>
  <si>
    <t>Agro-processing, sugar, food</t>
  </si>
  <si>
    <t>Mandi Gobindgarh</t>
  </si>
  <si>
    <t>Krishnapatnam Port (600 km)</t>
  </si>
  <si>
    <t>PSIEC estate directory for Punjab; MSME-DI district industrial profile PDF for Mandi Gobindgarh district; Google Maps industrial area layer</t>
  </si>
  <si>
    <t>PSIEC Industrial Area, Mandi Gobindgarh</t>
  </si>
  <si>
    <t>CTY-0503</t>
  </si>
  <si>
    <t>Mandsaur</t>
  </si>
  <si>
    <t>MPIDC estate directory for Madhya Pradesh; MSME-DI district industrial profile PDF for Mandsaur district; Google Maps industrial area layer</t>
  </si>
  <si>
    <t>MPIDC Industrial Area, Mandsaur</t>
  </si>
  <si>
    <t>CTY-0504</t>
  </si>
  <si>
    <t>Mandya</t>
  </si>
  <si>
    <t>KIADB estate directory for Karnataka; MSME-DI district industrial profile PDF for Mandya district; Google Maps industrial area layer</t>
  </si>
  <si>
    <t>KIADB Industrial Area, Mandya</t>
  </si>
  <si>
    <t>CTY-0505</t>
  </si>
  <si>
    <t>Manesar</t>
  </si>
  <si>
    <t>HSIIDC estate directory for Haryana; MSME-DI district industrial profile PDF for Manesar district; Google Maps industrial area layer</t>
  </si>
  <si>
    <t>HSIIDC Industrial Area, Manesar</t>
  </si>
  <si>
    <t>CTY-0506</t>
  </si>
  <si>
    <t>Mapusa</t>
  </si>
  <si>
    <t>GIDC estate directory for Goa; MSME-DI district industrial profile PDF for Mapusa district; Google Maps industrial area layer</t>
  </si>
  <si>
    <t>GIDC Industrial Area, Mapusa</t>
  </si>
  <si>
    <t>CTY-0507</t>
  </si>
  <si>
    <t>CTY-0090</t>
  </si>
  <si>
    <t>Margao</t>
  </si>
  <si>
    <t>Noida</t>
  </si>
  <si>
    <t>Noida Phase I-III, NSEZ</t>
  </si>
  <si>
    <t>GIDC estate directory for Goa; MSME-DI district industrial profile PDF for Margao district; Google Maps industrial area layer</t>
  </si>
  <si>
    <t>Noida Phase I-III</t>
  </si>
  <si>
    <t>Electronics, pharmaceutical, food processing, packaging</t>
  </si>
  <si>
    <t>GIDC Industrial Area, Margao</t>
  </si>
  <si>
    <t>Mundra / ICD Tughlakabad</t>
  </si>
  <si>
    <t>CTY-0508</t>
  </si>
  <si>
    <t>Mathura</t>
  </si>
  <si>
    <t>UPSIDA estate directory for Uttar Pradesh; MSME-DI district industrial profile PDF for Mathura district; Google Maps industrial area layer</t>
  </si>
  <si>
    <t>UPSIDA Industrial Area, Mathura</t>
  </si>
  <si>
    <t>CTY-0509</t>
  </si>
  <si>
    <t>Mayapuri</t>
  </si>
  <si>
    <t>DSIIDC estate directory for Delhi; MSME-DI district industrial profile PDF for Mayapuri district; Google Maps industrial area layer</t>
  </si>
  <si>
    <t>DSIIDC Industrial Area, Mayapuri</t>
  </si>
  <si>
    <t>CTY-0510</t>
  </si>
  <si>
    <t>Medininagar</t>
  </si>
  <si>
    <t>JIADA estate directory for Jharkhand; MSME-DI district industrial profile PDF for Medininagar district; Google Maps industrial area layer</t>
  </si>
  <si>
    <t>JIADA Industrial Area, Medininagar</t>
  </si>
  <si>
    <t>CTY-0511</t>
  </si>
  <si>
    <t>Midnapore</t>
  </si>
  <si>
    <t>WBIDC estate directory for West Bengal; MSME-DI district industrial profile PDF for Midnapore district; Google Maps industrial area layer</t>
  </si>
  <si>
    <t>WBIDC Industrial Area, Midnapore</t>
  </si>
  <si>
    <t>CTY-0512</t>
  </si>
  <si>
    <t>Miryalaguda</t>
  </si>
  <si>
    <t>CTY-0091</t>
  </si>
  <si>
    <t>TSIIC estate directory for Telangana; MSME-DI district industrial profile PDF for Miryalaguda district; Google Maps industrial area layer</t>
  </si>
  <si>
    <t>Panaji</t>
  </si>
  <si>
    <t>TSIIC Industrial Area, Miryalaguda</t>
  </si>
  <si>
    <t>Corlim Industrial Estate, Panaji Commercial Belt</t>
  </si>
  <si>
    <t>Corlim Industrial Estate</t>
  </si>
  <si>
    <t>Pharmaceutical, tourism supply, food</t>
  </si>
  <si>
    <t>Mormugao Port (30 km)</t>
  </si>
  <si>
    <t>CTY-0513</t>
  </si>
  <si>
    <t>Mirzapur</t>
  </si>
  <si>
    <t>UPSIDA estate directory for Uttar Pradesh; MSME-DI district industrial profile PDF for Mirzapur district; Google Maps industrial area layer</t>
  </si>
  <si>
    <t>UPSIDA Industrial Area, Mirzapur</t>
  </si>
  <si>
    <t>CTY-0514</t>
  </si>
  <si>
    <t>Moga</t>
  </si>
  <si>
    <t>PSIEC estate directory for Punjab; MSME-DI district industrial profile PDF for Moga district; Google Maps industrial area layer</t>
  </si>
  <si>
    <t>PSIEC Industrial Area, Moga</t>
  </si>
  <si>
    <t>CTY-0515</t>
  </si>
  <si>
    <t>Morbi</t>
  </si>
  <si>
    <t>GIDC estate directory for Gujarat; MSME-DI district industrial profile PDF for Morbi district; Google Maps industrial area layer</t>
  </si>
  <si>
    <t>GIDC Industrial Area, Morbi</t>
  </si>
  <si>
    <t>CTY-0516</t>
  </si>
  <si>
    <t>Motihari</t>
  </si>
  <si>
    <t>BIADA estate directory for Bihar; MSME-DI district industrial profile PDF for Motihari district; Google Maps industrial area layer</t>
  </si>
  <si>
    <t>BIADA Industrial Area, Motihari</t>
  </si>
  <si>
    <t>CTY-0517</t>
  </si>
  <si>
    <t>Munger</t>
  </si>
  <si>
    <t>BIADA estate directory for Bihar; MSME-DI district industrial profile PDF for Munger district; Google Maps industrial area layer</t>
  </si>
  <si>
    <t>BIADA Industrial Area, Munger</t>
  </si>
  <si>
    <t>CTY-0092</t>
  </si>
  <si>
    <t>Panipat</t>
  </si>
  <si>
    <t>Panipat Industrial Area, Panipat Refinery Complex</t>
  </si>
  <si>
    <t>Panipat Industrial Area</t>
  </si>
  <si>
    <t>Refining, petrochemicals, textiles</t>
  </si>
  <si>
    <t>CTY-0518</t>
  </si>
  <si>
    <t>ICD Tughlakabad (110 km)</t>
  </si>
  <si>
    <t>Muzaffarnagar</t>
  </si>
  <si>
    <t>UPSIDA estate directory for Uttar Pradesh; MSME-DI district industrial profile PDF for Muzaffarnagar district; Google Maps industrial area layer</t>
  </si>
  <si>
    <t>UPSIDA Industrial Area, Muzaffarnagar</t>
  </si>
  <si>
    <t>CTY-0519</t>
  </si>
  <si>
    <t>Nadiad</t>
  </si>
  <si>
    <t>GIDC estate directory for Gujarat; MSME-DI district industrial profile PDF for Nadiad district; Google Maps industrial area layer</t>
  </si>
  <si>
    <t>GIDC Industrial Area, Nadiad</t>
  </si>
  <si>
    <t>CTY-0520</t>
  </si>
  <si>
    <t>Nagaon</t>
  </si>
  <si>
    <t>AIDC estate directory for Assam; MSME-DI district industrial profile PDF for Nagaon district; Google Maps industrial area layer</t>
  </si>
  <si>
    <t>AIDC Industrial Area, Nagaon</t>
  </si>
  <si>
    <t>CTY-0521</t>
  </si>
  <si>
    <t>Nagapattinam</t>
  </si>
  <si>
    <t>SIPCOT estate directory for Tamil Nadu; MSME-DI district industrial profile PDF for Nagapattinam district; Google Maps industrial area layer</t>
  </si>
  <si>
    <t>SIPCOT Industrial Area, Nagapattinam</t>
  </si>
  <si>
    <t>CTY-0522</t>
  </si>
  <si>
    <t>Nagaur</t>
  </si>
  <si>
    <t>RIICO estate directory for Rajasthan; MSME-DI district industrial profile PDF for Nagaur district; Google Maps industrial area layer</t>
  </si>
  <si>
    <t>RIICO Industrial Area, Nagaur</t>
  </si>
  <si>
    <t>CTY-0093</t>
  </si>
  <si>
    <t>Panvel</t>
  </si>
  <si>
    <t>CTY-0523</t>
  </si>
  <si>
    <t>Panvel MIDC, Taloja MIDC adjacency</t>
  </si>
  <si>
    <t>Panvel MIDC</t>
  </si>
  <si>
    <t>Chemicals, logistics, engineering</t>
  </si>
  <si>
    <t>JNPT Nhava Sheva (20 km)</t>
  </si>
  <si>
    <t>Naharlagun</t>
  </si>
  <si>
    <t>APIDFC estate directory for Arunachal Pradesh; MSME-DI district industrial profile PDF for Naharlagun district; Google Maps industrial area layer</t>
  </si>
  <si>
    <t>APIDFC Industrial Area, Naharlagun</t>
  </si>
  <si>
    <t>CTY-0524</t>
  </si>
  <si>
    <t>Nalgonda</t>
  </si>
  <si>
    <t>TSIIC estate directory for Telangana; MSME-DI district industrial profile PDF for Nalgonda district; Google Maps industrial area layer</t>
  </si>
  <si>
    <t>TSIIC Industrial Area, Nalgonda</t>
  </si>
  <si>
    <t>CTY-0525</t>
  </si>
  <si>
    <t>Namakkal</t>
  </si>
  <si>
    <t>SIPCOT estate directory for Tamil Nadu; MSME-DI district industrial profile PDF for Namakkal district; Google Maps industrial area layer</t>
  </si>
  <si>
    <t>SIPCOT Industrial Area, Namakkal</t>
  </si>
  <si>
    <t>CTY-0526</t>
  </si>
  <si>
    <t>Namchi</t>
  </si>
  <si>
    <t>SIDICO estate directory for Sikkim; MSME-DI district industrial profile PDF for Namchi district; Google Maps industrial area layer</t>
  </si>
  <si>
    <t>SIDICO Industrial Area, Namchi</t>
  </si>
  <si>
    <t>CTY-0527</t>
  </si>
  <si>
    <t>Nanded</t>
  </si>
  <si>
    <t>MIDC estate directory for Maharashtra; MSME-DI district industrial profile PDF for Nanded district; Google Maps industrial area layer</t>
  </si>
  <si>
    <t>MIDC Industrial Area, Nanded</t>
  </si>
  <si>
    <t>CTY-0094</t>
  </si>
  <si>
    <t>Paonta Sahib</t>
  </si>
  <si>
    <t>CTY-0528</t>
  </si>
  <si>
    <t>Paonta Sahib Industrial Area</t>
  </si>
  <si>
    <t>Pharmaceutical formulations, chemicals</t>
  </si>
  <si>
    <t>Nandurbar</t>
  </si>
  <si>
    <t>MIDC estate directory for Maharashtra; MSME-DI district industrial profile PDF for Nandurbar district; Google Maps industrial area layer</t>
  </si>
  <si>
    <t>MIDC Industrial Area, Nandurbar</t>
  </si>
  <si>
    <t>CTY-0529</t>
  </si>
  <si>
    <t>Nandyal</t>
  </si>
  <si>
    <t>APIIC estate directory for Andhra Pradesh; MSME-DI district industrial profile PDF for Nandyal district; Google Maps industrial area layer</t>
  </si>
  <si>
    <t>APIIC Industrial Area, Nandyal</t>
  </si>
  <si>
    <t>CTY-0530</t>
  </si>
  <si>
    <t>Narasaraopet</t>
  </si>
  <si>
    <t>APIIC estate directory for Andhra Pradesh; MSME-DI district industrial profile PDF for Narasaraopet district; Google Maps industrial area layer</t>
  </si>
  <si>
    <t>APIIC Industrial Area, Narasaraopet</t>
  </si>
  <si>
    <t>CTY-0531</t>
  </si>
  <si>
    <t>Narela</t>
  </si>
  <si>
    <t>DSIIDC estate directory for Delhi; MSME-DI district industrial profile PDF for Narela district; Google Maps industrial area layer</t>
  </si>
  <si>
    <t>DSIIDC Industrial Area, Narela</t>
  </si>
  <si>
    <t>CTY-0532</t>
  </si>
  <si>
    <t>Narnaul</t>
  </si>
  <si>
    <t>HSIIDC estate directory for Haryana; MSME-DI district industrial profile PDF for Narnaul district; Google Maps industrial area layer</t>
  </si>
  <si>
    <t>HSIIDC Industrial Area, Narnaul</t>
  </si>
  <si>
    <t>CTY-0533</t>
  </si>
  <si>
    <t>CTY-0095</t>
  </si>
  <si>
    <t>Paradip</t>
  </si>
  <si>
    <t>Navsari</t>
  </si>
  <si>
    <t>Paradip Industrial Complex IDCO</t>
  </si>
  <si>
    <t>GIDC estate directory for Gujarat; MSME-DI district industrial profile PDF for Navsari district; Google Maps industrial area layer</t>
  </si>
  <si>
    <t>Petrochemicals, fertiliser, ports</t>
  </si>
  <si>
    <t>GIDC Industrial Area, Navsari</t>
  </si>
  <si>
    <t>Paradip Port (0 km)</t>
  </si>
  <si>
    <t>CTY-0534</t>
  </si>
  <si>
    <t>Nawanshahr</t>
  </si>
  <si>
    <t>PSIEC estate directory for Punjab; MSME-DI district industrial profile PDF for Nawanshahr district; Google Maps industrial area layer</t>
  </si>
  <si>
    <t>PSIEC Industrial Area, Nawanshahr</t>
  </si>
  <si>
    <t>CTY-0535</t>
  </si>
  <si>
    <t>Neemrana</t>
  </si>
  <si>
    <t>RIICO estate directory for Rajasthan; MSME-DI district industrial profile PDF for Neemrana district; Google Maps industrial area layer</t>
  </si>
  <si>
    <t>RIICO Industrial Area, Neemrana</t>
  </si>
  <si>
    <t>CTY-0536</t>
  </si>
  <si>
    <t>Neemuch</t>
  </si>
  <si>
    <t>MPIDC estate directory for Madhya Pradesh; MSME-DI district industrial profile PDF for Neemuch district; Google Maps industrial area layer</t>
  </si>
  <si>
    <t>MPIDC Industrial Area, Neemuch</t>
  </si>
  <si>
    <t>CTY-0537</t>
  </si>
  <si>
    <t>Nelamangala</t>
  </si>
  <si>
    <t>KIADB estate directory for Karnataka; MSME-DI district industrial profile PDF for Nelamangala district; Google Maps industrial area layer</t>
  </si>
  <si>
    <t>KIADB Industrial Area, Nelamangala</t>
  </si>
  <si>
    <t>CTY-0538</t>
  </si>
  <si>
    <t>Okhla</t>
  </si>
  <si>
    <t>CTY-0096</t>
  </si>
  <si>
    <t>DSIIDC estate directory for Delhi; MSME-DI district industrial profile PDF for Okhla district; Google Maps industrial area layer</t>
  </si>
  <si>
    <t>Patna</t>
  </si>
  <si>
    <t>DSIIDC Industrial Area, Okhla</t>
  </si>
  <si>
    <t>Patliputra Industrial Area, Fatuha Industrial Estate</t>
  </si>
  <si>
    <t>Patliputra Industrial Area</t>
  </si>
  <si>
    <t>Food processing, pharmaceutical distribution, engineering</t>
  </si>
  <si>
    <t>Haldia Port (600 km)</t>
  </si>
  <si>
    <t>CTY-0539</t>
  </si>
  <si>
    <t>Olpad</t>
  </si>
  <si>
    <t>GIDC estate directory for Gujarat; MSME-DI district industrial profile PDF for Olpad district; Google Maps industrial area layer</t>
  </si>
  <si>
    <t>GIDC Industrial Area, Olpad</t>
  </si>
  <si>
    <t>CTY-0540</t>
  </si>
  <si>
    <t>Ongole</t>
  </si>
  <si>
    <t>APIIC estate directory for Andhra Pradesh; MSME-DI district industrial profile PDF for Ongole district; Google Maps industrial area layer</t>
  </si>
  <si>
    <t>APIIC Industrial Area, Ongole</t>
  </si>
  <si>
    <t>CTY-0541</t>
  </si>
  <si>
    <t>Osmanabad</t>
  </si>
  <si>
    <t>MIDC estate directory for Maharashtra; MSME-DI district industrial profile PDF for Osmanabad district; Google Maps industrial area layer</t>
  </si>
  <si>
    <t>MIDC Industrial Area, Osmanabad</t>
  </si>
  <si>
    <t>CTY-0542</t>
  </si>
  <si>
    <t>Palakkad</t>
  </si>
  <si>
    <t>KINFRA estate directory for Kerala; MSME-DI district industrial profile PDF for Palakkad district; Google Maps industrial area layer</t>
  </si>
  <si>
    <t>KINFRA Industrial Area, Palakkad</t>
  </si>
  <si>
    <t>CTY-0543</t>
  </si>
  <si>
    <t>Palanpur</t>
  </si>
  <si>
    <t>GIDC estate directory for Gujarat; MSME-DI district industrial profile PDF for Palanpur district; Google Maps industrial area layer</t>
  </si>
  <si>
    <t>GIDC Industrial Area, Palanpur</t>
  </si>
  <si>
    <t>CTY-0097</t>
  </si>
  <si>
    <t>Pimpri-Chinchwad</t>
  </si>
  <si>
    <t>Bhosari MIDC, Chinchwad MIDC, Talawade</t>
  </si>
  <si>
    <t>CTY-0544</t>
  </si>
  <si>
    <t>Bhosari MIDC</t>
  </si>
  <si>
    <t>Pharma machinery, automotive, precision engineering, process equipment</t>
  </si>
  <si>
    <t>Palghar</t>
  </si>
  <si>
    <t>JNPT Nhava Sheva (160 km)</t>
  </si>
  <si>
    <t>MIDC estate directory for Maharashtra; MSME-DI district industrial profile PDF for Palghar district; Google Maps industrial area layer</t>
  </si>
  <si>
    <t>MIDC Industrial Area, Palghar</t>
  </si>
  <si>
    <t>CTY-0545</t>
  </si>
  <si>
    <t>Pali</t>
  </si>
  <si>
    <t>RIICO estate directory for Rajasthan; MSME-DI district industrial profile PDF for Pali district; Google Maps industrial area layer</t>
  </si>
  <si>
    <t>RIICO Industrial Area, Pali</t>
  </si>
  <si>
    <t>CTY-0546</t>
  </si>
  <si>
    <t>Palwal</t>
  </si>
  <si>
    <t>HSIIDC estate directory for Haryana; MSME-DI district industrial profile PDF for Palwal district; Google Maps industrial area layer</t>
  </si>
  <si>
    <t>HSIIDC Industrial Area, Palwal</t>
  </si>
  <si>
    <t>CTY-0547</t>
  </si>
  <si>
    <t>Panoli</t>
  </si>
  <si>
    <t>GIDC estate directory for Gujarat; MSME-DI district industrial profile PDF for Panoli district; Google Maps industrial area layer</t>
  </si>
  <si>
    <t>GIDC Industrial Area, Panoli</t>
  </si>
  <si>
    <t>CTY-0548</t>
  </si>
  <si>
    <t>Parbhani</t>
  </si>
  <si>
    <t>MIDC estate directory for Maharashtra; MSME-DI district industrial profile PDF for Parbhani district; Google Maps industrial area layer</t>
  </si>
  <si>
    <t>MIDC Industrial Area, Parbhani</t>
  </si>
  <si>
    <t>CTY-0549</t>
  </si>
  <si>
    <t>CTY-0098</t>
  </si>
  <si>
    <t>Parwanoo</t>
  </si>
  <si>
    <t>Pithampur</t>
  </si>
  <si>
    <t>HPSIDC estate directory for Himachal Pradesh; MSME-DI district industrial profile PDF for Parwanoo district; Google Maps industrial area layer</t>
  </si>
  <si>
    <t>Pithampur SEZ, Pithampur Industrial Area</t>
  </si>
  <si>
    <t>HPSIDC Industrial Area, Parwanoo</t>
  </si>
  <si>
    <t>Pithampur SEZ</t>
  </si>
  <si>
    <t>Pharmaceutical, automotive, engineering</t>
  </si>
  <si>
    <t>JNPT Nhava Sheva (600 km)</t>
  </si>
  <si>
    <t>CTY-0550</t>
  </si>
  <si>
    <t>Patan</t>
  </si>
  <si>
    <t>GIDC estate directory for Gujarat; MSME-DI district industrial profile PDF for Patan district; Google Maps industrial area layer</t>
  </si>
  <si>
    <t>GIDC Industrial Area, Patan</t>
  </si>
  <si>
    <t>CTY-0551</t>
  </si>
  <si>
    <t>Pathanamthitta</t>
  </si>
  <si>
    <t>KINFRA estate directory for Kerala; MSME-DI district industrial profile PDF for Pathanamthitta district; Google Maps industrial area layer</t>
  </si>
  <si>
    <t>KINFRA Industrial Area, Pathanamthitta</t>
  </si>
  <si>
    <t>CTY-0552</t>
  </si>
  <si>
    <t>Pathankot</t>
  </si>
  <si>
    <t>PSIEC estate directory for Punjab; MSME-DI district industrial profile PDF for Pathankot district; Google Maps industrial area layer</t>
  </si>
  <si>
    <t>PSIEC Industrial Area, Pathankot</t>
  </si>
  <si>
    <t>CTY-0553</t>
  </si>
  <si>
    <t>Patiala</t>
  </si>
  <si>
    <t>PSIEC estate directory for Punjab; MSME-DI district industrial profile PDF for Patiala district; Google Maps industrial area layer</t>
  </si>
  <si>
    <t>PSIEC Industrial Area, Patiala</t>
  </si>
  <si>
    <t>CTY-0554</t>
  </si>
  <si>
    <t>Patparganj</t>
  </si>
  <si>
    <t>DSIIDC estate directory for Delhi; MSME-DI district industrial profile PDF for Patparganj district; Google Maps industrial area layer</t>
  </si>
  <si>
    <t>DSIIDC Industrial Area, Patparganj</t>
  </si>
  <si>
    <t>CTY-0099</t>
  </si>
  <si>
    <t>Ponda</t>
  </si>
  <si>
    <t>Kundaim Industrial Estate, Bethora Industrial Estate</t>
  </si>
  <si>
    <t>CTY-0555</t>
  </si>
  <si>
    <t>Kundaim Industrial Estate</t>
  </si>
  <si>
    <t>Pharmaceutical, engineering, food</t>
  </si>
  <si>
    <t>Pen</t>
  </si>
  <si>
    <t>MIDC estate directory for Maharashtra; MSME-DI district industrial profile PDF for Pen district; Google Maps industrial area layer</t>
  </si>
  <si>
    <t>MIDC Industrial Area, Pen</t>
  </si>
  <si>
    <t>CTY-0556</t>
  </si>
  <si>
    <t>Perambalur</t>
  </si>
  <si>
    <t>SIPCOT estate directory for Tamil Nadu; MSME-DI district industrial profile PDF for Perambalur district; Google Maps industrial area layer</t>
  </si>
  <si>
    <t>SIPCOT Industrial Area, Perambalur</t>
  </si>
  <si>
    <t>CTY-0557</t>
  </si>
  <si>
    <t>Perinthalmanna</t>
  </si>
  <si>
    <t>KINFRA estate directory for Kerala; MSME-DI district industrial profile PDF for Perinthalmanna district; Google Maps industrial area layer</t>
  </si>
  <si>
    <t>KINFRA Industrial Area, Perinthalmanna</t>
  </si>
  <si>
    <t>CTY-0558</t>
  </si>
  <si>
    <t>Phagwara</t>
  </si>
  <si>
    <t>PSIEC estate directory for Punjab; MSME-DI district industrial profile PDF for Phagwara district; Google Maps industrial area layer</t>
  </si>
  <si>
    <t>PSIEC Industrial Area, Phagwara</t>
  </si>
  <si>
    <t>CTY-0559</t>
  </si>
  <si>
    <t>Phusro</t>
  </si>
  <si>
    <t>JIADA estate directory for Jharkhand; MSME-DI district industrial profile PDF for Phusro district; Google Maps industrial area layer</t>
  </si>
  <si>
    <t>JIADA Industrial Area, Phusro</t>
  </si>
  <si>
    <t>CTY-0100</t>
  </si>
  <si>
    <t>CTY-0560</t>
  </si>
  <si>
    <t>Puducherry</t>
  </si>
  <si>
    <t>Mettupalayam Industrial Estate, Sedarapet PIPDIC</t>
  </si>
  <si>
    <t>Porbandar</t>
  </si>
  <si>
    <t>Mettupalayam Industrial Estate</t>
  </si>
  <si>
    <t>Pharmaceutical formulations, engineering, food</t>
  </si>
  <si>
    <t>Chennai Port (160 km)</t>
  </si>
  <si>
    <t>GIDC estate directory for Gujarat; MSME-DI district industrial profile PDF for Porbandar district; Google Maps industrial area layer</t>
  </si>
  <si>
    <t>GIDC Industrial Area, Porbandar</t>
  </si>
  <si>
    <t>CTY-0561</t>
  </si>
  <si>
    <t>Andaman &amp; Nicobar</t>
  </si>
  <si>
    <t>Port Blair</t>
  </si>
  <si>
    <t>ANIIDCO estate directory for Andaman &amp; Nicobar; MSME-DI district industrial profile PDF for Port Blair district; Google Maps industrial area layer</t>
  </si>
  <si>
    <t>ANIIDCO Industrial Area, Port Blair</t>
  </si>
  <si>
    <t>CTY-0562</t>
  </si>
  <si>
    <t>Prayagraj</t>
  </si>
  <si>
    <t>UPSIDA estate directory for Uttar Pradesh; MSME-DI district industrial profile PDF for Prayagraj district; Google Maps industrial area layer</t>
  </si>
  <si>
    <t>UPSIDA Industrial Area, Prayagraj</t>
  </si>
  <si>
    <t>CTY-0563</t>
  </si>
  <si>
    <t>Proddatur</t>
  </si>
  <si>
    <t>APIIC estate directory for Andhra Pradesh; MSME-DI district industrial profile PDF for Proddatur district; Google Maps industrial area layer</t>
  </si>
  <si>
    <t>APIIC Industrial Area, Proddatur</t>
  </si>
  <si>
    <t>CTY-0564</t>
  </si>
  <si>
    <t>Pudukkottai</t>
  </si>
  <si>
    <t>SIPCOT estate directory for Tamil Nadu; MSME-DI district industrial profile PDF for Pudukkottai district; Google Maps industrial area layer</t>
  </si>
  <si>
    <t>SIPCOT Industrial Area, Pudukkottai</t>
  </si>
  <si>
    <t>CTY-0101</t>
  </si>
  <si>
    <t>Pune</t>
  </si>
  <si>
    <t>Bhosari MIDC, Hadapsar MIDC, Hinjawadi IT Park</t>
  </si>
  <si>
    <t>CTY-0565</t>
  </si>
  <si>
    <t>Biotech, vaccines, pharmaceutical machinery, automotive, food processing</t>
  </si>
  <si>
    <t>pharma &amp; biotech</t>
  </si>
  <si>
    <t>JNPT Nhava Sheva (150 km)</t>
  </si>
  <si>
    <t>Puri</t>
  </si>
  <si>
    <t>IDCO estate directory for Odisha; MSME-DI district industrial profile PDF for Puri district; Google Maps industrial area layer</t>
  </si>
  <si>
    <t>IDCO Industrial Area, Puri</t>
  </si>
  <si>
    <t>CTY-0566</t>
  </si>
  <si>
    <t>Purnia</t>
  </si>
  <si>
    <t>BIADA estate directory for Bihar; MSME-DI district industrial profile PDF for Purnia district; Google Maps industrial area layer</t>
  </si>
  <si>
    <t>BIADA Industrial Area, Purnia</t>
  </si>
  <si>
    <t>CTY-0567</t>
  </si>
  <si>
    <t>Purulia</t>
  </si>
  <si>
    <t>WBIDC estate directory for West Bengal; MSME-DI district industrial profile PDF for Purulia district; Google Maps industrial area layer</t>
  </si>
  <si>
    <t>WBIDC Industrial Area, Purulia</t>
  </si>
  <si>
    <t>CTY-0568</t>
  </si>
  <si>
    <t>Raebareli</t>
  </si>
  <si>
    <t>UPSIDA estate directory for Uttar Pradesh; MSME-DI district industrial profile PDF for Raebareli district; Google Maps industrial area layer</t>
  </si>
  <si>
    <t>UPSIDA Industrial Area, Raebareli</t>
  </si>
  <si>
    <t>CTY-0569</t>
  </si>
  <si>
    <t>Raichur</t>
  </si>
  <si>
    <t>KIADB estate directory for Karnataka; MSME-DI district industrial profile PDF for Raichur district; Google Maps industrial area layer</t>
  </si>
  <si>
    <t>KIADB Industrial Area, Raichur</t>
  </si>
  <si>
    <t>CTY-0102</t>
  </si>
  <si>
    <t>CTY-0570</t>
  </si>
  <si>
    <t>Raipur</t>
  </si>
  <si>
    <t>Urla Industrial Area, Siltara Industrial Area CSIDC</t>
  </si>
  <si>
    <t>Raigad-Alibag</t>
  </si>
  <si>
    <t>Urla Industrial Area</t>
  </si>
  <si>
    <t>Steel, engineering, food processing</t>
  </si>
  <si>
    <t>MIDC estate directory for Maharashtra; MSME-DI district industrial profile PDF for Raigad-Alibag district; Google Maps industrial area layer</t>
  </si>
  <si>
    <t>Visakhapatnam Port (540 km)</t>
  </si>
  <si>
    <t>MIDC Industrial Area, Raigad</t>
  </si>
  <si>
    <t>CTY-0571</t>
  </si>
  <si>
    <t>Raigarh</t>
  </si>
  <si>
    <t>CSIDC estate directory for Chhattisgarh; MSME-DI district industrial profile PDF for Raigarh district; Google Maps industrial area layer</t>
  </si>
  <si>
    <t>CSIDC Industrial Area, Raigarh</t>
  </si>
  <si>
    <t>CTY-0572</t>
  </si>
  <si>
    <t>Rajahmundry</t>
  </si>
  <si>
    <t>APIIC estate directory for Andhra Pradesh; MSME-DI district industrial profile PDF for Rajahmundry district; Google Maps industrial area layer</t>
  </si>
  <si>
    <t>APIIC Industrial Area, Rajahmundry</t>
  </si>
  <si>
    <t>CTY-0573</t>
  </si>
  <si>
    <t>Rajnandgaon</t>
  </si>
  <si>
    <t>CSIDC estate directory for Chhattisgarh; MSME-DI district industrial profile PDF for Rajnandgaon district; Google Maps industrial area layer</t>
  </si>
  <si>
    <t>CSIDC Industrial Area, Rajnandgaon</t>
  </si>
  <si>
    <t>CTY-0574</t>
  </si>
  <si>
    <t>Rajpura</t>
  </si>
  <si>
    <t>PSIEC estate directory for Punjab; MSME-DI district industrial profile PDF for Rajpura district; Google Maps industrial area layer</t>
  </si>
  <si>
    <t>PSIEC Industrial Area, Rajpura</t>
  </si>
  <si>
    <t>CTY-0575</t>
  </si>
  <si>
    <t>CTY-0103</t>
  </si>
  <si>
    <t>Ramagundam</t>
  </si>
  <si>
    <t>Rajkot</t>
  </si>
  <si>
    <t>TSIIC estate directory for Telangana; MSME-DI district industrial profile PDF for Ramagundam district; Google Maps industrial area layer</t>
  </si>
  <si>
    <t>Aji GIDC, Metoda GIDC, Shapar-Veraval</t>
  </si>
  <si>
    <t>TSIIC Industrial Area, Ramagundam</t>
  </si>
  <si>
    <t>Aji GIDC</t>
  </si>
  <si>
    <t>Engineering, casting, food machinery, dairy equipment</t>
  </si>
  <si>
    <t>Mundra Port (280 km)</t>
  </si>
  <si>
    <t>CTY-0576</t>
  </si>
  <si>
    <t>Ramanagara</t>
  </si>
  <si>
    <t>KIADB estate directory for Karnataka; MSME-DI district industrial profile PDF for Ramanagara district; Google Maps industrial area layer</t>
  </si>
  <si>
    <t>KIADB Industrial Area, Ramanagara</t>
  </si>
  <si>
    <t>CTY-0577</t>
  </si>
  <si>
    <t>Ramgarh</t>
  </si>
  <si>
    <t>JIADA estate directory for Jharkhand; MSME-DI district industrial profile PDF for Ramgarh district; Google Maps industrial area layer</t>
  </si>
  <si>
    <t>JIADA Industrial Area, Ramgarh</t>
  </si>
  <si>
    <t>CTY-0578</t>
  </si>
  <si>
    <t>Rampur</t>
  </si>
  <si>
    <t>UPSIDA estate directory for Uttar Pradesh; MSME-DI district industrial profile PDF for Rampur district; Google Maps industrial area layer</t>
  </si>
  <si>
    <t>UPSIDA Industrial Area, Rampur</t>
  </si>
  <si>
    <t>CTY-0579</t>
  </si>
  <si>
    <t>Rangpo</t>
  </si>
  <si>
    <t>SIDICO estate directory for Sikkim; MSME-DI district industrial profile PDF for Rangpo district; Google Maps industrial area layer</t>
  </si>
  <si>
    <t>SIDICO Industrial Area, Rangpo</t>
  </si>
  <si>
    <t>CTY-0580</t>
  </si>
  <si>
    <t>Raniganj</t>
  </si>
  <si>
    <t>CTY-0104</t>
  </si>
  <si>
    <t>WBIDC estate directory for West Bengal; MSME-DI district industrial profile PDF for Raniganj district; Google Maps industrial area layer</t>
  </si>
  <si>
    <t>Ranchi</t>
  </si>
  <si>
    <t>WBIDC Industrial Area, Raniganj</t>
  </si>
  <si>
    <t>Tupudana Industrial Area, Kokar Industrial Estate</t>
  </si>
  <si>
    <t>Tupudana Industrial Area</t>
  </si>
  <si>
    <t>Heavy engineering, fabrication</t>
  </si>
  <si>
    <t>Haldia Port (400 km)</t>
  </si>
  <si>
    <t>CTY-0581</t>
  </si>
  <si>
    <t>Ratlam</t>
  </si>
  <si>
    <t>MPIDC estate directory for Madhya Pradesh; MSME-DI district industrial profile PDF for Ratlam district; Google Maps industrial area layer</t>
  </si>
  <si>
    <t>MPIDC Industrial Area, Ratlam</t>
  </si>
  <si>
    <t>CTY-0582</t>
  </si>
  <si>
    <t>Ratnagiri</t>
  </si>
  <si>
    <t>MIDC estate directory for Maharashtra; MSME-DI district industrial profile PDF for Ratnagiri district; Google Maps industrial area layer</t>
  </si>
  <si>
    <t>MIDC Industrial Area, Ratnagiri</t>
  </si>
  <si>
    <t>CTY-0583</t>
  </si>
  <si>
    <t>Rayagada</t>
  </si>
  <si>
    <t>IDCO estate directory for Odisha; MSME-DI district industrial profile PDF for Rayagada district; Google Maps industrial area layer</t>
  </si>
  <si>
    <t>IDCO Industrial Area, Rayagada</t>
  </si>
  <si>
    <t>CTY-0584</t>
  </si>
  <si>
    <t>Rewa</t>
  </si>
  <si>
    <t>MPIDC estate directory for Madhya Pradesh; MSME-DI district industrial profile PDF for Rewa district; Google Maps industrial area layer</t>
  </si>
  <si>
    <t>MPIDC Industrial Area, Rewa</t>
  </si>
  <si>
    <t>CTY-0585</t>
  </si>
  <si>
    <t>Rewari</t>
  </si>
  <si>
    <t>HSIIDC estate directory for Haryana; MSME-DI district industrial profile PDF for Rewari district; Google Maps industrial area layer</t>
  </si>
  <si>
    <t>HSIIDC Industrial Area, Rewari</t>
  </si>
  <si>
    <t>CTY-0105</t>
  </si>
  <si>
    <t>Ranipet</t>
  </si>
  <si>
    <t>Ranipet SIPCOT, Ranipet Industrial Estate</t>
  </si>
  <si>
    <t>Ranipet SIPCOT</t>
  </si>
  <si>
    <t>CTY-0586</t>
  </si>
  <si>
    <t>Leather processing, chemicals, engineering</t>
  </si>
  <si>
    <t>Chennai Port (110 km)</t>
  </si>
  <si>
    <t>Rishikesh</t>
  </si>
  <si>
    <t>SIIDCUL estate directory for Uttarakhand; MSME-DI district industrial profile PDF for Rishikesh district; Google Maps industrial area layer</t>
  </si>
  <si>
    <t>SIIDCUL Industrial Area, Rishikesh</t>
  </si>
  <si>
    <t>CTY-0587</t>
  </si>
  <si>
    <t>Rohtak</t>
  </si>
  <si>
    <t>HSIIDC estate directory for Haryana; MSME-DI district industrial profile PDF for Rohtak district; Google Maps industrial area layer</t>
  </si>
  <si>
    <t>HSIIDC Industrial Area, Rohtak</t>
  </si>
  <si>
    <t>CTY-0588</t>
  </si>
  <si>
    <t>Roorkee</t>
  </si>
  <si>
    <t>SIIDCUL estate directory for Uttarakhand; MSME-DI district industrial profile PDF for Roorkee district; Google Maps industrial area layer</t>
  </si>
  <si>
    <t>SIIDCUL Industrial Area, Roorkee</t>
  </si>
  <si>
    <t>CTY-0589</t>
  </si>
  <si>
    <t>Sagar</t>
  </si>
  <si>
    <t>MPIDC estate directory for Madhya Pradesh; MSME-DI district industrial profile PDF for Sagar district; Google Maps industrial area layer</t>
  </si>
  <si>
    <t>MPIDC Industrial Area, Sagar</t>
  </si>
  <si>
    <t>CTY-0590</t>
  </si>
  <si>
    <t>Saharanpur</t>
  </si>
  <si>
    <t>UPSIDA estate directory for Uttar Pradesh; MSME-DI district industrial profile PDF for Saharanpur district; Google Maps industrial area layer</t>
  </si>
  <si>
    <t>UPSIDA Industrial Area, Saharanpur</t>
  </si>
  <si>
    <t>CTY-0106</t>
  </si>
  <si>
    <t>Ranjangaon</t>
  </si>
  <si>
    <t>CTY-0591</t>
  </si>
  <si>
    <t>Ranjangaon MIDC, Ranjangaon Five Star Zone</t>
  </si>
  <si>
    <t>Ranjangaon MIDC</t>
  </si>
  <si>
    <t>Pharmaceutical, FMCG, electronics, engineering</t>
  </si>
  <si>
    <t>Sahibganj</t>
  </si>
  <si>
    <t>JNPT Nhava Sheva (200 km)</t>
  </si>
  <si>
    <t>JIADA estate directory for Jharkhand; MSME-DI district industrial profile PDF for Sahibganj district; Google Maps industrial area layer</t>
  </si>
  <si>
    <t>JIADA Industrial Area, Sahibganj</t>
  </si>
  <si>
    <t>CTY-0592</t>
  </si>
  <si>
    <t>Samba</t>
  </si>
  <si>
    <t>SIDCO estate directory for Jammu &amp; Kashmir; MSME-DI district industrial profile PDF for Samba district; Google Maps industrial area layer</t>
  </si>
  <si>
    <t>SIDCO Industrial Area, Samba</t>
  </si>
  <si>
    <t>CTY-0593</t>
  </si>
  <si>
    <t>Sambalpur</t>
  </si>
  <si>
    <t>IDCO estate directory for Odisha; MSME-DI district industrial profile PDF for Sambalpur district; Google Maps industrial area layer</t>
  </si>
  <si>
    <t>IDCO Industrial Area, Sambalpur</t>
  </si>
  <si>
    <t>CTY-0594</t>
  </si>
  <si>
    <t>Sangrur</t>
  </si>
  <si>
    <t>PSIEC estate directory for Punjab; MSME-DI district industrial profile PDF for Sangrur district; Google Maps industrial area layer</t>
  </si>
  <si>
    <t>PSIEC Industrial Area, Sangrur</t>
  </si>
  <si>
    <t>CTY-0595</t>
  </si>
  <si>
    <t>Sanguem</t>
  </si>
  <si>
    <t>GIDC estate directory for Goa; MSME-DI district industrial profile PDF for Sanguem district; Google Maps industrial area layer</t>
  </si>
  <si>
    <t>GIDC Industrial Area, Sanguem</t>
  </si>
  <si>
    <t>CTY-0596</t>
  </si>
  <si>
    <t>Sasaram</t>
  </si>
  <si>
    <t>BIADA estate directory for Bihar; MSME-DI district industrial profile PDF for Sasaram district; Google Maps industrial area layer</t>
  </si>
  <si>
    <t>BIADA Industrial Area, Sasaram</t>
  </si>
  <si>
    <t>CTY-0107</t>
  </si>
  <si>
    <t>CTY-0597</t>
  </si>
  <si>
    <t>Roha</t>
  </si>
  <si>
    <t>Roha MIDC, Dhatav</t>
  </si>
  <si>
    <t>Satna</t>
  </si>
  <si>
    <t>Roha MIDC</t>
  </si>
  <si>
    <t>API, agrochemicals, specialty chemicals</t>
  </si>
  <si>
    <t>JNPT Nhava Sheva (110 km)</t>
  </si>
  <si>
    <t>MPIDC estate directory for Madhya Pradesh; MSME-DI district industrial profile PDF for Satna district; Google Maps industrial area layer</t>
  </si>
  <si>
    <t>MPIDC Industrial Area, Satna</t>
  </si>
  <si>
    <t>CTY-0598</t>
  </si>
  <si>
    <t>Shahjahanpur</t>
  </si>
  <si>
    <t>UPSIDA estate directory for Uttar Pradesh; MSME-DI district industrial profile PDF for Shahjahanpur district; Google Maps industrial area layer</t>
  </si>
  <si>
    <t>UPSIDA Industrial Area, Shahjahanpur</t>
  </si>
  <si>
    <t>CTY-0599</t>
  </si>
  <si>
    <t>Shillong</t>
  </si>
  <si>
    <t>MIDC-Meg estate directory for Meghalaya; MSME-DI district industrial profile PDF for Shillong district; Google Maps industrial area layer</t>
  </si>
  <si>
    <t>MIDC-Meg Industrial Area, Shillong</t>
  </si>
  <si>
    <t>CTY-0600</t>
  </si>
  <si>
    <t>Shimla</t>
  </si>
  <si>
    <t>HPSIDC estate directory for Himachal Pradesh; MSME-DI district industrial profile PDF for Shimla district; Google Maps industrial area layer</t>
  </si>
  <si>
    <t>HPSIDC Industrial Area, Shimla</t>
  </si>
  <si>
    <t>CTY-0601</t>
  </si>
  <si>
    <t>Shirwal</t>
  </si>
  <si>
    <t>MIDC estate directory for Maharashtra; MSME-DI district industrial profile PDF for Shirwal district; Google Maps industrial area layer</t>
  </si>
  <si>
    <t>MIDC Industrial Area, Shirwal</t>
  </si>
  <si>
    <t>CTY-0602</t>
  </si>
  <si>
    <t>Shivamogga</t>
  </si>
  <si>
    <t>CTY-0108</t>
  </si>
  <si>
    <t>KIADB estate directory for Karnataka; MSME-DI district industrial profile PDF for Shivamogga district; Google Maps industrial area layer</t>
  </si>
  <si>
    <t>Rourkela</t>
  </si>
  <si>
    <t>KIADB Industrial Area, Shivamogga</t>
  </si>
  <si>
    <t>Kalunga Industrial Estate IDCO, Rourkela Steel Belt</t>
  </si>
  <si>
    <t>Kalunga Industrial Estate IDCO</t>
  </si>
  <si>
    <t>Steel, heavy engineering, fabrication</t>
  </si>
  <si>
    <t>Paradip Port (450 km)</t>
  </si>
  <si>
    <t>CTY-0603</t>
  </si>
  <si>
    <t>Shivpuri</t>
  </si>
  <si>
    <t>MPIDC estate directory for Madhya Pradesh; MSME-DI district industrial profile PDF for Shivpuri district; Google Maps industrial area layer</t>
  </si>
  <si>
    <t>MPIDC Industrial Area, Shivpuri</t>
  </si>
  <si>
    <t>CTY-0604</t>
  </si>
  <si>
    <t>Siddipet</t>
  </si>
  <si>
    <t>TSIIC estate directory for Telangana; MSME-DI district industrial profile PDF for Siddipet district; Google Maps industrial area layer</t>
  </si>
  <si>
    <t>TSIIC Industrial Area, Siddipet</t>
  </si>
  <si>
    <t>CTY-0605</t>
  </si>
  <si>
    <t>Sikar</t>
  </si>
  <si>
    <t>RIICO estate directory for Rajasthan; MSME-DI district industrial profile PDF for Sikar district; Google Maps industrial area layer</t>
  </si>
  <si>
    <t>RIICO Industrial Area, Sikar</t>
  </si>
  <si>
    <t>CTY-0606</t>
  </si>
  <si>
    <t>Silchar</t>
  </si>
  <si>
    <t>AIDC estate directory for Assam; MSME-DI district industrial profile PDF for Silchar district; Google Maps industrial area layer</t>
  </si>
  <si>
    <t>AIDC Industrial Area, Silchar</t>
  </si>
  <si>
    <t>CTY-0607</t>
  </si>
  <si>
    <t>Siliguri</t>
  </si>
  <si>
    <t>WBIDC estate directory for West Bengal; MSME-DI district industrial profile PDF for Siliguri district; Google Maps industrial area layer</t>
  </si>
  <si>
    <t>WBIDC Industrial Area, Siliguri</t>
  </si>
  <si>
    <t>CTY-0608</t>
  </si>
  <si>
    <t>Sindhudurg</t>
  </si>
  <si>
    <t>MIDC estate directory for Maharashtra; MSME-DI district industrial profile PDF for Sindhudurg district; Google Maps industrial area layer</t>
  </si>
  <si>
    <t>MIDC Industrial Area, Sindhudurg</t>
  </si>
  <si>
    <t>CTY-0609</t>
  </si>
  <si>
    <t>CTY-0109</t>
  </si>
  <si>
    <t>Singrauli</t>
  </si>
  <si>
    <t>Rudrapur</t>
  </si>
  <si>
    <t>MPIDC estate directory for Madhya Pradesh; MSME-DI district industrial profile PDF for Singrauli district; Google Maps industrial area layer</t>
  </si>
  <si>
    <t>MPIDC Industrial Area, Singrauli</t>
  </si>
  <si>
    <t>CTY-0610</t>
  </si>
  <si>
    <t>SIDCUL Pantnagar IIE, Rudrapur Industrial Area</t>
  </si>
  <si>
    <t>Sinnar</t>
  </si>
  <si>
    <t>SIDCUL Pantnagar IIE</t>
  </si>
  <si>
    <t>Pharmaceutical, automotive, FMCG, food</t>
  </si>
  <si>
    <t>MIDC estate directory for Maharashtra; MSME-DI district industrial profile PDF for Sinnar district; Google Maps industrial area layer</t>
  </si>
  <si>
    <t>ICD Dadri (250 km)</t>
  </si>
  <si>
    <t>MIDC Industrial Area, Sinnar</t>
  </si>
  <si>
    <t>CTY-0611</t>
  </si>
  <si>
    <t>Sirmaur</t>
  </si>
  <si>
    <t>HPSIDC estate directory for Himachal Pradesh; MSME-DI district industrial profile PDF for Sirmaur district; Google Maps industrial area layer</t>
  </si>
  <si>
    <t>HPSIDC Industrial Area, Sirmaur</t>
  </si>
  <si>
    <t>CTY-0612</t>
  </si>
  <si>
    <t>Sirsa</t>
  </si>
  <si>
    <t>HSIIDC estate directory for Haryana; MSME-DI district industrial profile PDF for Sirsa district; Google Maps industrial area layer</t>
  </si>
  <si>
    <t>HSIIDC Industrial Area, Sirsa</t>
  </si>
  <si>
    <t>CTY-0613</t>
  </si>
  <si>
    <t>Sitapur</t>
  </si>
  <si>
    <t>UPSIDA estate directory for Uttar Pradesh; MSME-DI district industrial profile PDF for Sitapur district; Google Maps industrial area layer</t>
  </si>
  <si>
    <t>UPSIDA Industrial Area, Sitapur</t>
  </si>
  <si>
    <t>CTY-0614</t>
  </si>
  <si>
    <t>Sitarganj</t>
  </si>
  <si>
    <t>SIIDCUL estate directory for Uttarakhand; MSME-DI district industrial profile PDF for Sitarganj district; Google Maps industrial area layer</t>
  </si>
  <si>
    <t>SIIDCUL Industrial Area, Sitarganj</t>
  </si>
  <si>
    <t>CTY-0615</t>
  </si>
  <si>
    <t>Sivakasi</t>
  </si>
  <si>
    <t>SIPCOT estate directory for Tamil Nadu; MSME-DI district industrial profile PDF for Sivakasi district; Google Maps industrial area layer</t>
  </si>
  <si>
    <t>SIPCOT Industrial Area, Sivakasi</t>
  </si>
  <si>
    <t>CTY-0616</t>
  </si>
  <si>
    <t>Sivasagar</t>
  </si>
  <si>
    <t>AIDC estate directory for Assam; MSME-DI district industrial profile PDF for Sivasagar district; Google Maps industrial area layer</t>
  </si>
  <si>
    <t>AIDC Industrial Area, Sivasagar</t>
  </si>
  <si>
    <t>CTY-0617</t>
  </si>
  <si>
    <t>Siwan</t>
  </si>
  <si>
    <t>BIADA estate directory for Bihar; MSME-DI district industrial profile PDF for Siwan district; Google Maps industrial area layer</t>
  </si>
  <si>
    <t>BIADA Industrial Area, Siwan</t>
  </si>
  <si>
    <t>CTY-0618</t>
  </si>
  <si>
    <t>Sri Ganganagar</t>
  </si>
  <si>
    <t>RIICO estate directory for Rajasthan; MSME-DI district industrial profile PDF for Sri Ganganagar district; Google Maps industrial area layer</t>
  </si>
  <si>
    <t>CTY-0110</t>
  </si>
  <si>
    <t>RIICO Industrial Area, Sri Ganganagar</t>
  </si>
  <si>
    <t>Salem</t>
  </si>
  <si>
    <t>Salem SIDCO, Suramangalam Industrial Estate</t>
  </si>
  <si>
    <t>CTY-0619</t>
  </si>
  <si>
    <t>Salem SIDCO</t>
  </si>
  <si>
    <t>Steel, engineering, sago and food processing</t>
  </si>
  <si>
    <t>Srikakulam</t>
  </si>
  <si>
    <t>Chennai Port (340 km)</t>
  </si>
  <si>
    <t>APIIC estate directory for Andhra Pradesh; MSME-DI district industrial profile PDF for Srikakulam district; Google Maps industrial area layer</t>
  </si>
  <si>
    <t>APIIC Industrial Area, Srikakulam</t>
  </si>
  <si>
    <t>CTY-0620</t>
  </si>
  <si>
    <t>Srinagar</t>
  </si>
  <si>
    <t>SIDCO estate directory for Jammu &amp; Kashmir; MSME-DI district industrial profile PDF for Srinagar district; Google Maps industrial area layer</t>
  </si>
  <si>
    <t>SIDCO Industrial Area, Srinagar</t>
  </si>
  <si>
    <t>CTY-0621</t>
  </si>
  <si>
    <t>Sultanpur</t>
  </si>
  <si>
    <t>UPSIDA estate directory for Uttar Pradesh; MSME-DI district industrial profile PDF for Sultanpur district; Google Maps industrial area layer</t>
  </si>
  <si>
    <t>UPSIDA Industrial Area, Sultanpur</t>
  </si>
  <si>
    <t>CTY-0622</t>
  </si>
  <si>
    <t>Sundargarh</t>
  </si>
  <si>
    <t>IDCO estate directory for Odisha; MSME-DI district industrial profile PDF for Sundargarh district; Google Maps industrial area layer</t>
  </si>
  <si>
    <t>IDCO Industrial Area, Sundargarh</t>
  </si>
  <si>
    <t>CTY-0623</t>
  </si>
  <si>
    <t>Surendranagar</t>
  </si>
  <si>
    <t>GIDC estate directory for Gujarat; MSME-DI district industrial profile PDF for Surendranagar district; Google Maps industrial area layer</t>
  </si>
  <si>
    <t>GIDC Industrial Area, Surendranagar</t>
  </si>
  <si>
    <t>CTY-0624</t>
  </si>
  <si>
    <t>Suryapet</t>
  </si>
  <si>
    <t>TSIIC estate directory for Telangana; MSME-DI district industrial profile PDF for Suryapet district; Google Maps industrial area layer</t>
  </si>
  <si>
    <t>TSIIC Industrial Area, Suryapet</t>
  </si>
  <si>
    <t>CTY-0625</t>
  </si>
  <si>
    <t>Tadepalligudem</t>
  </si>
  <si>
    <t>APIIC estate directory for Andhra Pradesh; MSME-DI district industrial profile PDF for Tadepalligudem district; Google Maps industrial area layer</t>
  </si>
  <si>
    <t>APIIC Industrial Area, Tadepalligudem</t>
  </si>
  <si>
    <t>CTY-0626</t>
  </si>
  <si>
    <t>Talegaon</t>
  </si>
  <si>
    <t>MIDC estate directory for Maharashtra; MSME-DI district industrial profile PDF for Talegaon district; Google Maps industrial area layer</t>
  </si>
  <si>
    <t>MIDC Industrial Area, Talegaon</t>
  </si>
  <si>
    <t>CTY-0627</t>
  </si>
  <si>
    <t>CTY-0111</t>
  </si>
  <si>
    <t>Sanand</t>
  </si>
  <si>
    <t>Tanuku</t>
  </si>
  <si>
    <t>Sanand GIDC I &amp; II, Bol Industrial Area</t>
  </si>
  <si>
    <t>APIIC estate directory for Andhra Pradesh; MSME-DI district industrial profile PDF for Tanuku district; Google Maps industrial area layer</t>
  </si>
  <si>
    <t>Sanand GIDC I &amp; II</t>
  </si>
  <si>
    <t>APIIC Industrial Area, Tanuku</t>
  </si>
  <si>
    <t>Automotive, pharmaceutical, engineering</t>
  </si>
  <si>
    <t>Mundra Port (330 km)</t>
  </si>
  <si>
    <t>CTY-0628</t>
  </si>
  <si>
    <t>Tenkasi</t>
  </si>
  <si>
    <t>SIPCOT estate directory for Tamil Nadu; MSME-DI district industrial profile PDF for Tenkasi district; Google Maps industrial area layer</t>
  </si>
  <si>
    <t>SIPCOT Industrial Area, Tenkasi</t>
  </si>
  <si>
    <t>CTY-0629</t>
  </si>
  <si>
    <t>Tezpur</t>
  </si>
  <si>
    <t>AIDC estate directory for Assam; MSME-DI district industrial profile PDF for Tezpur district; Google Maps industrial area layer</t>
  </si>
  <si>
    <t>AIDC Industrial Area, Tezpur</t>
  </si>
  <si>
    <t>CTY-0630</t>
  </si>
  <si>
    <t>Thanjavur</t>
  </si>
  <si>
    <t>SIPCOT estate directory for Tamil Nadu; MSME-DI district industrial profile PDF for Thanjavur district; Google Maps industrial area layer</t>
  </si>
  <si>
    <t>SIPCOT Industrial Area, Thanjavur</t>
  </si>
  <si>
    <t>CTY-0631</t>
  </si>
  <si>
    <t>Theni</t>
  </si>
  <si>
    <t>SIPCOT estate directory for Tamil Nadu; MSME-DI district industrial profile PDF for Theni district; Google Maps industrial area layer</t>
  </si>
  <si>
    <t>SIPCOT Industrial Area, Theni</t>
  </si>
  <si>
    <t>CTY-0632</t>
  </si>
  <si>
    <t>Thoubal</t>
  </si>
  <si>
    <t>MANIDCO estate directory for Manipur; MSME-DI district industrial profile PDF for Thoubal district; Google Maps industrial area layer</t>
  </si>
  <si>
    <t>MANIDCO Industrial Area, Thoubal</t>
  </si>
  <si>
    <t>CTY-0633</t>
  </si>
  <si>
    <t>Tinsukia</t>
  </si>
  <si>
    <t>AIDC estate directory for Assam; MSME-DI district industrial profile PDF for Tinsukia district; Google Maps industrial area layer</t>
  </si>
  <si>
    <t>AIDC Industrial Area, Tinsukia</t>
  </si>
  <si>
    <t>CTY-0634</t>
  </si>
  <si>
    <t>Tirunelveli</t>
  </si>
  <si>
    <t>SIPCOT estate directory for Tamil Nadu; MSME-DI district industrial profile PDF for Tirunelveli district; Google Maps industrial area layer</t>
  </si>
  <si>
    <t>SIPCOT Industrial Area, Tirunelveli</t>
  </si>
  <si>
    <t>CTY-0635</t>
  </si>
  <si>
    <t>Tiruvallur</t>
  </si>
  <si>
    <t>SIPCOT estate directory for Tamil Nadu; MSME-DI district industrial profile PDF for Tiruvallur district; Google Maps industrial area layer</t>
  </si>
  <si>
    <t>CTY-0112</t>
  </si>
  <si>
    <t>SIPCOT Industrial Area, Tiruvallur</t>
  </si>
  <si>
    <t>Sangareddy</t>
  </si>
  <si>
    <t>CTY-0636</t>
  </si>
  <si>
    <t>Sultanpur IDA, Gaddapotharam IDA, Kazipally IDA</t>
  </si>
  <si>
    <t>Sultanpur IDA</t>
  </si>
  <si>
    <t>Bulk drugs, API, intermediates</t>
  </si>
  <si>
    <t>Tonk</t>
  </si>
  <si>
    <t>Krishnapatnam Port (490 km)</t>
  </si>
  <si>
    <t>RIICO estate directory for Rajasthan; MSME-DI district industrial profile PDF for Tonk district; Google Maps industrial area layer</t>
  </si>
  <si>
    <t>RIICO Industrial Area, Tonk</t>
  </si>
  <si>
    <t>CTY-0637</t>
  </si>
  <si>
    <t>Tura</t>
  </si>
  <si>
    <t>MIDC-Meg estate directory for Meghalaya; MSME-DI district industrial profile PDF for Tura district; Google Maps industrial area layer</t>
  </si>
  <si>
    <t>MIDC-Meg Industrial Area, Tura</t>
  </si>
  <si>
    <t>CTY-0638</t>
  </si>
  <si>
    <t>Udaipur-Tripura</t>
  </si>
  <si>
    <t>TIDC estate directory for Tripura; MSME-DI district industrial profile PDF for Udaipur-Tripura district; Google Maps industrial area layer</t>
  </si>
  <si>
    <t>TIDC Industrial Area, Udaipur</t>
  </si>
  <si>
    <t>CTY-0639</t>
  </si>
  <si>
    <t>Udhampur</t>
  </si>
  <si>
    <t>SIDCO estate directory for Jammu &amp; Kashmir; MSME-DI district industrial profile PDF for Udhampur district; Google Maps industrial area layer</t>
  </si>
  <si>
    <t>SIDCO Industrial Area, Udhampur</t>
  </si>
  <si>
    <t>CTY-0640</t>
  </si>
  <si>
    <t>Udupi</t>
  </si>
  <si>
    <t>KIADB estate directory for Karnataka; MSME-DI district industrial profile PDF for Udupi district; Google Maps industrial area layer</t>
  </si>
  <si>
    <t>KIADB Industrial Area, Udupi</t>
  </si>
  <si>
    <t>CTY-0641</t>
  </si>
  <si>
    <t>Ujjain</t>
  </si>
  <si>
    <t>MPIDC estate directory for Madhya Pradesh; MSME-DI district industrial profile PDF for Ujjain district; Google Maps industrial area layer</t>
  </si>
  <si>
    <t>MPIDC Industrial Area, Ujjain</t>
  </si>
  <si>
    <t>CTY-0642</t>
  </si>
  <si>
    <t>Uluberia</t>
  </si>
  <si>
    <t>WBIDC estate directory for West Bengal; MSME-DI district industrial profile PDF for Uluberia district; Google Maps industrial area layer</t>
  </si>
  <si>
    <t>WBIDC Industrial Area, Uluberia</t>
  </si>
  <si>
    <t>CTY-0643</t>
  </si>
  <si>
    <t>Umbergaon</t>
  </si>
  <si>
    <t>GIDC estate directory for Gujarat; MSME-DI district industrial profile PDF for Umbergaon district; Google Maps industrial area layer</t>
  </si>
  <si>
    <t>GIDC Industrial Area, Umbergaon</t>
  </si>
  <si>
    <t>CTY-0644</t>
  </si>
  <si>
    <t>CTY-0113</t>
  </si>
  <si>
    <t>Una</t>
  </si>
  <si>
    <t>Sangli</t>
  </si>
  <si>
    <t>HPSIDC estate directory for Himachal Pradesh; MSME-DI district industrial profile PDF for Una district; Google Maps industrial area layer</t>
  </si>
  <si>
    <t>HPSIDC Industrial Area, Una</t>
  </si>
  <si>
    <t>Kupwad MIDC, Miraj MIDC</t>
  </si>
  <si>
    <t>Kupwad MIDC</t>
  </si>
  <si>
    <t>Pharmaceutical, sugar, food processing</t>
  </si>
  <si>
    <t>CTY-0645</t>
  </si>
  <si>
    <t>Unnao</t>
  </si>
  <si>
    <t>UPSIDA estate directory for Uttar Pradesh; MSME-DI district industrial profile PDF for Unnao district; Google Maps industrial area layer</t>
  </si>
  <si>
    <t>UPSIDA Industrial Area, Unnao</t>
  </si>
  <si>
    <t>CTY-0646</t>
  </si>
  <si>
    <t>Uran</t>
  </si>
  <si>
    <t>MIDC estate directory for Maharashtra; MSME-DI district industrial profile PDF for Uran district; Google Maps industrial area layer</t>
  </si>
  <si>
    <t>MIDC Industrial Area, Uran</t>
  </si>
  <si>
    <t>CTY-0647</t>
  </si>
  <si>
    <t>Vagra</t>
  </si>
  <si>
    <t>GIDC estate directory for Gujarat; MSME-DI district industrial profile PDF for Vagra district; Google Maps industrial area layer</t>
  </si>
  <si>
    <t>GIDC Industrial Area, Vagra</t>
  </si>
  <si>
    <t>CTY-0648</t>
  </si>
  <si>
    <t>Vapi-Sarigam</t>
  </si>
  <si>
    <t>GIDC estate directory for Gujarat; MSME-DI district industrial profile PDF for Vapi-Sarigam district; Google Maps industrial area layer</t>
  </si>
  <si>
    <t>GIDC Industrial Area, Vapi</t>
  </si>
  <si>
    <t>CTY-0649</t>
  </si>
  <si>
    <t>Vasai</t>
  </si>
  <si>
    <t>MIDC estate directory for Maharashtra; MSME-DI district industrial profile PDF for Vasai district; Google Maps industrial area layer</t>
  </si>
  <si>
    <t>MIDC Industrial Area, Vasai</t>
  </si>
  <si>
    <t>CTY-0650</t>
  </si>
  <si>
    <t>Vasco da Gama</t>
  </si>
  <si>
    <t>GIDC estate directory for Goa; MSME-DI district industrial profile PDF for Vasco da Gama district; Google Maps industrial area layer</t>
  </si>
  <si>
    <t>GIDC Industrial Area, Vasco da Gama</t>
  </si>
  <si>
    <t>CTY-0651</t>
  </si>
  <si>
    <t>Vellore</t>
  </si>
  <si>
    <t>CTY-0114</t>
  </si>
  <si>
    <t>SIPCOT estate directory for Tamil Nadu; MSME-DI district industrial profile PDF for Vellore district; Google Maps industrial area layer</t>
  </si>
  <si>
    <t>Satara</t>
  </si>
  <si>
    <t>SIPCOT Industrial Area, Vellore</t>
  </si>
  <si>
    <t>Satara MIDC, Additional Satara MIDC</t>
  </si>
  <si>
    <t>Satara MIDC</t>
  </si>
  <si>
    <t>CTY-0652</t>
  </si>
  <si>
    <t>JNPT Nhava Sheva (280 km)</t>
  </si>
  <si>
    <t>Veraval</t>
  </si>
  <si>
    <t>GIDC estate directory for Gujarat; MSME-DI district industrial profile PDF for Veraval district; Google Maps industrial area layer</t>
  </si>
  <si>
    <t>GIDC Industrial Area, Veraval</t>
  </si>
  <si>
    <t>CTY-0653</t>
  </si>
  <si>
    <t>Vidisha</t>
  </si>
  <si>
    <t>MPIDC estate directory for Madhya Pradesh; MSME-DI district industrial profile PDF for Vidisha district; Google Maps industrial area layer</t>
  </si>
  <si>
    <t>MPIDC Industrial Area, Vidisha</t>
  </si>
  <si>
    <t>CTY-0654</t>
  </si>
  <si>
    <t>Vijayapura</t>
  </si>
  <si>
    <t>KIADB estate directory for Karnataka; MSME-DI district industrial profile PDF for Vijayapura district; Google Maps industrial area layer</t>
  </si>
  <si>
    <t>KIADB Industrial Area, Vijayapura</t>
  </si>
  <si>
    <t>CTY-0655</t>
  </si>
  <si>
    <t>Villupuram</t>
  </si>
  <si>
    <t>SIPCOT estate directory for Tamil Nadu; MSME-DI district industrial profile PDF for Villupuram district; Google Maps industrial area layer</t>
  </si>
  <si>
    <t>SIPCOT Industrial Area, Villupuram</t>
  </si>
  <si>
    <t>CTY-0656</t>
  </si>
  <si>
    <t>Virar</t>
  </si>
  <si>
    <t>MIDC estate directory for Maharashtra; MSME-DI district industrial profile PDF for Virar district; Google Maps industrial area layer</t>
  </si>
  <si>
    <t>MIDC Industrial Area, Virar</t>
  </si>
  <si>
    <t>CTY-0657</t>
  </si>
  <si>
    <t>Virudhunagar</t>
  </si>
  <si>
    <t>SIPCOT estate directory for Tamil Nadu; MSME-DI district industrial profile PDF for Virudhunagar district; Google Maps industrial area layer</t>
  </si>
  <si>
    <t>SIPCOT Industrial Area, Virudhunagar</t>
  </si>
  <si>
    <t>CTY-0658</t>
  </si>
  <si>
    <t>Vizianagaram</t>
  </si>
  <si>
    <t>APIIC estate directory for Andhra Pradesh; MSME-DI district industrial profile PDF for Vizianagaram district; Google Maps industrial area layer</t>
  </si>
  <si>
    <t>APIIC Industrial Area, Vizianagaram</t>
  </si>
  <si>
    <t>CTY-0659</t>
  </si>
  <si>
    <t>Wardha</t>
  </si>
  <si>
    <t>MIDC estate directory for Maharashtra; MSME-DI district industrial profile PDF for Wardha district; Google Maps industrial area layer</t>
  </si>
  <si>
    <t>MIDC Industrial Area, Wardha</t>
  </si>
  <si>
    <t>CTY-0115</t>
  </si>
  <si>
    <t>CTY-0660</t>
  </si>
  <si>
    <t>Savli</t>
  </si>
  <si>
    <t>Washim</t>
  </si>
  <si>
    <t>Savli GIDC, Manjusar GIDC</t>
  </si>
  <si>
    <t>Savli GIDC</t>
  </si>
  <si>
    <t>MIDC estate directory for Maharashtra; MSME-DI district industrial profile PDF for Washim district; Google Maps industrial area layer</t>
  </si>
  <si>
    <t>Pharmaceutical, engineering, process equipment</t>
  </si>
  <si>
    <t>MIDC Industrial Area, Washim</t>
  </si>
  <si>
    <t>Hazira Port (155 km)</t>
  </si>
  <si>
    <t>CTY-0661</t>
  </si>
  <si>
    <t>Wayanad</t>
  </si>
  <si>
    <t>KINFRA estate directory for Kerala; MSME-DI district industrial profile PDF for Wayanad district; Google Maps industrial area layer</t>
  </si>
  <si>
    <t>KINFRA Industrial Area, Wayanad</t>
  </si>
  <si>
    <t>CTY-0662</t>
  </si>
  <si>
    <t>Wazirpur</t>
  </si>
  <si>
    <t>DSIIDC estate directory for Delhi; MSME-DI district industrial profile PDF for Wazirpur district; Google Maps industrial area layer</t>
  </si>
  <si>
    <t>DSIIDC Industrial Area, Wazirpur</t>
  </si>
  <si>
    <t>CTY-0663</t>
  </si>
  <si>
    <t>Yadgir</t>
  </si>
  <si>
    <t>KIADB estate directory for Karnataka; MSME-DI district industrial profile PDF for Yadgir district; Google Maps industrial area layer</t>
  </si>
  <si>
    <t>KIADB Industrial Area, Yadgir</t>
  </si>
  <si>
    <t>CTY-0664</t>
  </si>
  <si>
    <t>Yamunanagar</t>
  </si>
  <si>
    <t>HSIIDC estate directory for Haryana; MSME-DI district industrial profile PDF for Yamunanagar district; Google Maps industrial area layer</t>
  </si>
  <si>
    <t>HSIIDC Industrial Area, Yamunanagar</t>
  </si>
  <si>
    <t>CTY-0665</t>
  </si>
  <si>
    <t>Yavatmal</t>
  </si>
  <si>
    <t>MIDC estate directory for Maharashtra; MSME-DI district industrial profile PDF for Yavatmal district; Google Maps industrial area layer</t>
  </si>
  <si>
    <t>MIDC Industrial Area, Yavatmal</t>
  </si>
  <si>
    <t>CTY-0666</t>
  </si>
  <si>
    <t>Zaheerabad</t>
  </si>
  <si>
    <t>CTY-0116</t>
  </si>
  <si>
    <t>TSIIC estate directory for Telangana; MSME-DI district industrial profile PDF for Zaheerabad district; Google Maps industrial area layer</t>
  </si>
  <si>
    <t>Dadra &amp; Nagar Haveli</t>
  </si>
  <si>
    <t>TSIIC Industrial Area, Zaheerabad</t>
  </si>
  <si>
    <t>Silvassa</t>
  </si>
  <si>
    <t>Silvassa Industrial Estate, Masat, Dadra Industrial Area</t>
  </si>
  <si>
    <t>CTY-0667</t>
  </si>
  <si>
    <t>Silvassa Industrial Estate</t>
  </si>
  <si>
    <t>Pharmaceutical formulations, plastics, textiles</t>
  </si>
  <si>
    <t>Zirakpur</t>
  </si>
  <si>
    <t>Hazira Port (120 km)</t>
  </si>
  <si>
    <t>PSIEC estate directory for Punjab; MSME-DI district industrial profile PDF for Zirakpur district; Google Maps industrial area layer</t>
  </si>
  <si>
    <t>PSIEC Industrial Area, Zirakpur</t>
  </si>
  <si>
    <t>CTY-0882</t>
  </si>
  <si>
    <t>Adoor</t>
  </si>
  <si>
    <t>KINFRA estate directory for Kerala; MSME-DI district industrial profile PDF for Adoor district; Google Maps industrial area layer</t>
  </si>
  <si>
    <t>KINFRA Industrial Area, Adoor</t>
  </si>
  <si>
    <t>CTY-0883</t>
  </si>
  <si>
    <t>Agar Malwa</t>
  </si>
  <si>
    <t>MPIDC estate directory for Madhya Pradesh; MSME-DI district industrial profile PDF for Agar Malwa district; Google Maps industrial area layer</t>
  </si>
  <si>
    <t>MPIDC Industrial Area, Agar Malwa</t>
  </si>
  <si>
    <t>CTY-0884</t>
  </si>
  <si>
    <t>Ahmedgarh</t>
  </si>
  <si>
    <t>PSIEC estate directory for Punjab; MSME-DI district industrial profile PDF for Ahmedgarh district; Google Maps industrial area layer</t>
  </si>
  <si>
    <t>PSIEC Industrial Area, Ahmedgarh</t>
  </si>
  <si>
    <t>CTY-0885</t>
  </si>
  <si>
    <t>Alangudi</t>
  </si>
  <si>
    <t>SIPCOT estate directory for Tamil Nadu; MSME-DI district industrial profile PDF for Alangudi district; Google Maps industrial area layer</t>
  </si>
  <si>
    <t>SIPCOT Industrial Area, Alangudi</t>
  </si>
  <si>
    <t>CTY-0886</t>
  </si>
  <si>
    <t>Alirajpur</t>
  </si>
  <si>
    <t>MPIDC estate directory for Madhya Pradesh; MSME-DI district industrial profile PDF for Alirajpur district; Google Maps industrial area layer</t>
  </si>
  <si>
    <t>MPIDC Industrial Area, Alirajpur</t>
  </si>
  <si>
    <t>CTY-0887</t>
  </si>
  <si>
    <t>Almora</t>
  </si>
  <si>
    <t>SIIDCUL estate directory for Uttarakhand; MSME-DI district industrial profile PDF for Almora district; Google Maps industrial area layer</t>
  </si>
  <si>
    <t>SIIDCUL Industrial Area, Almora</t>
  </si>
  <si>
    <t>CTY-0888</t>
  </si>
  <si>
    <t>Alwar-Neemrana</t>
  </si>
  <si>
    <t>RIICO estate directory for Rajasthan; MSME-DI district industrial profile PDF for Alwar-Neemrana district; Google Maps industrial area layer</t>
  </si>
  <si>
    <t>RIICO Industrial Area, Alwar</t>
  </si>
  <si>
    <t>CTY-0889</t>
  </si>
  <si>
    <t>CTY-0117</t>
  </si>
  <si>
    <t>Amalapuram</t>
  </si>
  <si>
    <t>Solan</t>
  </si>
  <si>
    <t>APIIC estate directory for Andhra Pradesh; MSME-DI district industrial profile PDF for Amalapuram district; Google Maps industrial area layer</t>
  </si>
  <si>
    <t>Solan Industrial Estate, Parwanoo HPSIDC</t>
  </si>
  <si>
    <t>APIIC Industrial Area, Amalapuram</t>
  </si>
  <si>
    <t>Solan Industrial Estate</t>
  </si>
  <si>
    <t>Pharmaceutical, food processing, brewery</t>
  </si>
  <si>
    <t>CTY-0890</t>
  </si>
  <si>
    <t>Ambajogai</t>
  </si>
  <si>
    <t>MIDC estate directory for Maharashtra; MSME-DI district industrial profile PDF for Ambajogai district; Google Maps industrial area layer</t>
  </si>
  <si>
    <t>MIDC Industrial Area, Ambajogai</t>
  </si>
  <si>
    <t>CTY-0891</t>
  </si>
  <si>
    <t>Ambur</t>
  </si>
  <si>
    <t>SIPCOT estate directory for Tamil Nadu; MSME-DI district industrial profile PDF for Ambur district; Google Maps industrial area layer</t>
  </si>
  <si>
    <t>SIPCOT Industrial Area, Ambur</t>
  </si>
  <si>
    <t>CTY-0892</t>
  </si>
  <si>
    <t>Amethi</t>
  </si>
  <si>
    <t>UPSIDA estate directory for Uttar Pradesh; MSME-DI district industrial profile PDF for Amethi district; Google Maps industrial area layer</t>
  </si>
  <si>
    <t>UPSIDA Industrial Area, Amethi</t>
  </si>
  <si>
    <t>CTY-0893</t>
  </si>
  <si>
    <t>Amod</t>
  </si>
  <si>
    <t>GIDC estate directory for Gujarat; MSME-DI district industrial profile PDF for Amod district; Google Maps industrial area layer</t>
  </si>
  <si>
    <t>GIDC Industrial Area, Amod</t>
  </si>
  <si>
    <t>CTY-0894</t>
  </si>
  <si>
    <t>Amroha</t>
  </si>
  <si>
    <t>UPSIDA estate directory for Uttar Pradesh; MSME-DI district industrial profile PDF for Amroha district; Google Maps industrial area layer</t>
  </si>
  <si>
    <t>UPSIDA Industrial Area, Amroha</t>
  </si>
  <si>
    <t>CTY-0895</t>
  </si>
  <si>
    <t>Amudalavalasa</t>
  </si>
  <si>
    <t>APIIC estate directory for Andhra Pradesh; MSME-DI district industrial profile PDF for Amudalavalasa district; Google Maps industrial area layer</t>
  </si>
  <si>
    <t>APIIC Industrial Area, Amudalavalasa</t>
  </si>
  <si>
    <t>CTY-0896</t>
  </si>
  <si>
    <t>Anakapalle</t>
  </si>
  <si>
    <t>APIIC estate directory for Andhra Pradesh; MSME-DI district industrial profile PDF for Anakapalle district; Google Maps industrial area layer</t>
  </si>
  <si>
    <t>APIIC Industrial Area, Anakapalle</t>
  </si>
  <si>
    <t>CTY-0897</t>
  </si>
  <si>
    <t>Anandpur Sahib</t>
  </si>
  <si>
    <t>PSIEC estate directory for Punjab; MSME-DI district industrial profile PDF for Anandpur Sahib district; Google Maps industrial area layer</t>
  </si>
  <si>
    <t>PSIEC Industrial Area, Anandpur Sahib</t>
  </si>
  <si>
    <t>CTY-0118</t>
  </si>
  <si>
    <t>Solapur</t>
  </si>
  <si>
    <t>CTY-0898</t>
  </si>
  <si>
    <t>Chincholi MIDC, Akkalkot Road MIDC</t>
  </si>
  <si>
    <t>Chincholi MIDC</t>
  </si>
  <si>
    <t>Anekal</t>
  </si>
  <si>
    <t>Textile, food processing, sugar</t>
  </si>
  <si>
    <t>JNPT Nhava Sheva (400 km)</t>
  </si>
  <si>
    <t>KIADB estate directory for Karnataka; MSME-DI district industrial profile PDF for Anekal district; Google Maps industrial area layer</t>
  </si>
  <si>
    <t>KIADB Industrial Area, Anekal</t>
  </si>
  <si>
    <t>CTY-0899</t>
  </si>
  <si>
    <t>Anjar</t>
  </si>
  <si>
    <t>GIDC estate directory for Gujarat; MSME-DI district industrial profile PDF for Anjar district; Google Maps industrial area layer</t>
  </si>
  <si>
    <t>GIDC Industrial Area, Anjar</t>
  </si>
  <si>
    <t>CTY-0900</t>
  </si>
  <si>
    <t>Ankleshwar-Panoli</t>
  </si>
  <si>
    <t>GIDC estate directory for Gujarat; MSME-DI district industrial profile PDF for Ankleshwar-Panoli district; Google Maps industrial area layer</t>
  </si>
  <si>
    <t>GIDC Industrial Area, Ankleshwar</t>
  </si>
  <si>
    <t>CTY-0901</t>
  </si>
  <si>
    <t>Anuppur</t>
  </si>
  <si>
    <t>MPIDC estate directory for Madhya Pradesh; MSME-DI district industrial profile PDF for Anuppur district; Google Maps industrial area layer</t>
  </si>
  <si>
    <t>MPIDC Industrial Area, Anuppur</t>
  </si>
  <si>
    <t>CTY-0902</t>
  </si>
  <si>
    <t>Arakkonam</t>
  </si>
  <si>
    <t>SIPCOT estate directory for Tamil Nadu; MSME-DI district industrial profile PDF for Arakkonam district; Google Maps industrial area layer</t>
  </si>
  <si>
    <t>SIPCOT Industrial Area, Arakkonam</t>
  </si>
  <si>
    <t>CTY-0903</t>
  </si>
  <si>
    <t>Aranthangi</t>
  </si>
  <si>
    <t>SIPCOT estate directory for Tamil Nadu; MSME-DI district industrial profile PDF for Aranthangi district; Google Maps industrial area layer</t>
  </si>
  <si>
    <t>SIPCOT Industrial Area, Aranthangi</t>
  </si>
  <si>
    <t>CTY-0904</t>
  </si>
  <si>
    <t>Ardhapur</t>
  </si>
  <si>
    <t>MIDC estate directory for Maharashtra; MSME-DI district industrial profile PDF for Ardhapur district; Google Maps industrial area layer</t>
  </si>
  <si>
    <t>MIDC Industrial Area, Ardhapur</t>
  </si>
  <si>
    <t>CTY-0905</t>
  </si>
  <si>
    <t>Armoor</t>
  </si>
  <si>
    <t>TSIIC estate directory for Telangana; MSME-DI district industrial profile PDF for Armoor district; Google Maps industrial area layer</t>
  </si>
  <si>
    <t>TSIIC Industrial Area, Armoor</t>
  </si>
  <si>
    <t>CTY-0906</t>
  </si>
  <si>
    <t>Arni</t>
  </si>
  <si>
    <t>CTY-0119</t>
  </si>
  <si>
    <t>SIPCOT estate directory for Tamil Nadu; MSME-DI district industrial profile PDF for Arni district; Google Maps industrial area layer</t>
  </si>
  <si>
    <t>SIPCOT Industrial Area, Arni</t>
  </si>
  <si>
    <t>Sonipat</t>
  </si>
  <si>
    <t>Kundli Industrial Area, Rai Industrial Estate</t>
  </si>
  <si>
    <t>CTY-0907</t>
  </si>
  <si>
    <t>Kundli Industrial Area</t>
  </si>
  <si>
    <t>Food processing, engineering, packaging</t>
  </si>
  <si>
    <t>ICD Tughlakabad (60 km)</t>
  </si>
  <si>
    <t>Arsikere</t>
  </si>
  <si>
    <t>KIADB estate directory for Karnataka; MSME-DI district industrial profile PDF for Arsikere district; Google Maps industrial area layer</t>
  </si>
  <si>
    <t>KIADB Industrial Area, Arsikere</t>
  </si>
  <si>
    <t>CTY-0908</t>
  </si>
  <si>
    <t>Arwal</t>
  </si>
  <si>
    <t>BIADA estate directory for Bihar; MSME-DI district industrial profile PDF for Arwal district; Google Maps industrial area layer</t>
  </si>
  <si>
    <t>BIADA Industrial Area, Arwal</t>
  </si>
  <si>
    <t>CTY-0909</t>
  </si>
  <si>
    <t>Astaranga</t>
  </si>
  <si>
    <t>IDCO estate directory for Odisha; MSME-DI district industrial profile PDF for Astaranga district; Google Maps industrial area layer</t>
  </si>
  <si>
    <t>IDCO Industrial Area, Astaranga</t>
  </si>
  <si>
    <t>CTY-0910</t>
  </si>
  <si>
    <t>Athagarh</t>
  </si>
  <si>
    <t>IDCO estate directory for Odisha; MSME-DI district industrial profile PDF for Athagarh district; Google Maps industrial area layer</t>
  </si>
  <si>
    <t>IDCO Industrial Area, Athagarh</t>
  </si>
  <si>
    <t>CTY-0911</t>
  </si>
  <si>
    <t>Auraiya</t>
  </si>
  <si>
    <t>UPSIDA estate directory for Uttar Pradesh; MSME-DI district industrial profile PDF for Auraiya district; Google Maps industrial area layer</t>
  </si>
  <si>
    <t>UPSIDA Industrial Area, Auraiya</t>
  </si>
  <si>
    <t>CTY-0912</t>
  </si>
  <si>
    <t>Aurangabad-Bihar</t>
  </si>
  <si>
    <t>BIADA estate directory for Bihar; MSME-DI district industrial profile PDF for Aurangabad-Bihar district; Google Maps industrial area layer</t>
  </si>
  <si>
    <t>BIADA Industrial Area, Aurangabad</t>
  </si>
  <si>
    <t>CTY-0913</t>
  </si>
  <si>
    <t>Ausa</t>
  </si>
  <si>
    <t>MIDC estate directory for Maharashtra; MSME-DI district industrial profile PDF for Ausa district; Google Maps industrial area layer</t>
  </si>
  <si>
    <t>MIDC Industrial Area, Ausa</t>
  </si>
  <si>
    <t>CTY-0914</t>
  </si>
  <si>
    <t>Badnawar</t>
  </si>
  <si>
    <t>MPIDC estate directory for Madhya Pradesh; MSME-DI district industrial profile PDF for Badnawar district; Google Maps industrial area layer</t>
  </si>
  <si>
    <t>MPIDC Industrial Area, Badnawar</t>
  </si>
  <si>
    <t>CTY-0915</t>
  </si>
  <si>
    <t>CTY-0120</t>
  </si>
  <si>
    <t>Bageshwar</t>
  </si>
  <si>
    <t>Sriperumbudur</t>
  </si>
  <si>
    <t>SIIDCUL estate directory for Uttarakhand; MSME-DI district industrial profile PDF for Bageshwar district; Google Maps industrial area layer</t>
  </si>
  <si>
    <t>Sriperumbudur SIPCOT, Oragadam SIPCOT</t>
  </si>
  <si>
    <t>SIIDCUL Industrial Area, Bageshwar</t>
  </si>
  <si>
    <t>Sriperumbudur SIPCOT</t>
  </si>
  <si>
    <t>Electronics, semiconductors, automotive, precision engineering</t>
  </si>
  <si>
    <t>semiconductor</t>
  </si>
  <si>
    <t>CTY-0916</t>
  </si>
  <si>
    <t>Chennai Port (45 km)</t>
  </si>
  <si>
    <t>SEMI F19 and SEMI F17 for UHP gas lines; not SEMI F57</t>
  </si>
  <si>
    <t>Bahadurgarh-Sector</t>
  </si>
  <si>
    <t>HSIIDC estate directory for Haryana; MSME-DI district industrial profile PDF for Bahadurgarh-Sector district; Google Maps industrial area layer</t>
  </si>
  <si>
    <t>HSIIDC Industrial Area, Bahadurgarh</t>
  </si>
  <si>
    <t>CTY-0917</t>
  </si>
  <si>
    <t>Bakhtiarpur</t>
  </si>
  <si>
    <t>BIADA estate directory for Bihar; MSME-DI district industrial profile PDF for Bakhtiarpur district; Google Maps industrial area layer</t>
  </si>
  <si>
    <t>BIADA Industrial Area, Bakhtiarpur</t>
  </si>
  <si>
    <t>CTY-0918</t>
  </si>
  <si>
    <t>Balachaur</t>
  </si>
  <si>
    <t>PSIEC estate directory for Punjab; MSME-DI district industrial profile PDF for Balachaur district; Google Maps industrial area layer</t>
  </si>
  <si>
    <t>PSIEC Industrial Area, Balachaur</t>
  </si>
  <si>
    <t>CTY-0919</t>
  </si>
  <si>
    <t>Balaghat</t>
  </si>
  <si>
    <t>MPIDC estate directory for Madhya Pradesh; MSME-DI district industrial profile PDF for Balaghat district; Google Maps industrial area layer</t>
  </si>
  <si>
    <t>MPIDC Industrial Area, Balaghat</t>
  </si>
  <si>
    <t>CTY-0920</t>
  </si>
  <si>
    <t>Balasinor</t>
  </si>
  <si>
    <t>GIDC estate directory for Gujarat; MSME-DI district industrial profile PDF for Balasinor district; Google Maps industrial area layer</t>
  </si>
  <si>
    <t>GIDC Industrial Area, Balasinor</t>
  </si>
  <si>
    <t>CTY-0921</t>
  </si>
  <si>
    <t>Balianta</t>
  </si>
  <si>
    <t>IDCO estate directory for Odisha; MSME-DI district industrial profile PDF for Balianta district; Google Maps industrial area layer</t>
  </si>
  <si>
    <t>IDCO Industrial Area, Balianta</t>
  </si>
  <si>
    <t>CTY-0922</t>
  </si>
  <si>
    <t>Balipatna</t>
  </si>
  <si>
    <t>IDCO estate directory for Odisha; MSME-DI district industrial profile PDF for Balipatna district; Google Maps industrial area layer</t>
  </si>
  <si>
    <t>IDCO Industrial Area, Balipatna</t>
  </si>
  <si>
    <t>CTY-0923</t>
  </si>
  <si>
    <t>Ballia</t>
  </si>
  <si>
    <t>UPSIDA estate directory for Uttar Pradesh; MSME-DI district industrial profile PDF for Ballia district; Google Maps industrial area layer</t>
  </si>
  <si>
    <t>UPSIDA Industrial Area, Ballia</t>
  </si>
  <si>
    <t>CTY-0924</t>
  </si>
  <si>
    <t>Balod</t>
  </si>
  <si>
    <t>CSIDC estate directory for Chhattisgarh; MSME-DI district industrial profile PDF for Balod district; Google Maps industrial area layer</t>
  </si>
  <si>
    <t>CTY-0121</t>
  </si>
  <si>
    <t>CSIDC Industrial Area, Balod</t>
  </si>
  <si>
    <t>Surat</t>
  </si>
  <si>
    <t>CTY-0925</t>
  </si>
  <si>
    <t>Sachin GIDC, Pandesara GIDC, Hazira Industrial Area</t>
  </si>
  <si>
    <t>Sachin GIDC</t>
  </si>
  <si>
    <t>Baloda Bazar</t>
  </si>
  <si>
    <t>Textile processing, chemicals, food processing</t>
  </si>
  <si>
    <t>Hazira Port (20 km)</t>
  </si>
  <si>
    <t>CSIDC estate directory for Chhattisgarh; MSME-DI district industrial profile PDF for Baloda Bazar district; Google Maps industrial area layer</t>
  </si>
  <si>
    <t>CSIDC Industrial Area, Baloda Bazar</t>
  </si>
  <si>
    <t>CTY-0926</t>
  </si>
  <si>
    <t>Balrampur</t>
  </si>
  <si>
    <t>UPSIDA estate directory for Uttar Pradesh; MSME-DI district industrial profile PDF for Balrampur district; Google Maps industrial area layer</t>
  </si>
  <si>
    <t>UPSIDA Industrial Area, Balrampur</t>
  </si>
  <si>
    <t>CTY-0927</t>
  </si>
  <si>
    <t>Balrampur-CG</t>
  </si>
  <si>
    <t>CSIDC estate directory for Chhattisgarh; MSME-DI district industrial profile PDF for Balrampur-CG district; Google Maps industrial area layer</t>
  </si>
  <si>
    <t>CSIDC Industrial Area, Balrampur</t>
  </si>
  <si>
    <t>CTY-0928</t>
  </si>
  <si>
    <t>Banga</t>
  </si>
  <si>
    <t>PSIEC estate directory for Punjab; MSME-DI district industrial profile PDF for Banga district; Google Maps industrial area layer</t>
  </si>
  <si>
    <t>PSIEC Industrial Area, Banga</t>
  </si>
  <si>
    <t>CTY-0929</t>
  </si>
  <si>
    <t>Banki</t>
  </si>
  <si>
    <t>IDCO estate directory for Odisha; MSME-DI district industrial profile PDF for Banki district; Google Maps industrial area layer</t>
  </si>
  <si>
    <t>IDCO Industrial Area, Banki</t>
  </si>
  <si>
    <t>CTY-0930</t>
  </si>
  <si>
    <t>Banswada</t>
  </si>
  <si>
    <t>TSIIC estate directory for Telangana; MSME-DI district industrial profile PDF for Banswada district; Google Maps industrial area layer</t>
  </si>
  <si>
    <t>TSIIC Industrial Area, Banswada</t>
  </si>
  <si>
    <t>CTY-0931</t>
  </si>
  <si>
    <t>Barabanki</t>
  </si>
  <si>
    <t>UPSIDA estate directory for Uttar Pradesh; MSME-DI district industrial profile PDF for Barabanki district; Google Maps industrial area layer</t>
  </si>
  <si>
    <t>UPSIDA Industrial Area, Barabanki</t>
  </si>
  <si>
    <t>CTY-0932</t>
  </si>
  <si>
    <t>Bardoli-Mahuva</t>
  </si>
  <si>
    <t>GIDC estate directory for Gujarat; MSME-DI district industrial profile PDF for Bardoli-Mahuva district; Google Maps industrial area layer</t>
  </si>
  <si>
    <t>CTY-0933</t>
  </si>
  <si>
    <t>Barh</t>
  </si>
  <si>
    <t>CTY-0122</t>
  </si>
  <si>
    <t>BIADA estate directory for Bihar; MSME-DI district industrial profile PDF for Barh district; Google Maps industrial area layer</t>
  </si>
  <si>
    <t>BIADA Industrial Area, Barh</t>
  </si>
  <si>
    <t>Tarapur</t>
  </si>
  <si>
    <t>Tarapur MIDC (Boisar), Tarapur Chemical Zone</t>
  </si>
  <si>
    <t>CTY-0934</t>
  </si>
  <si>
    <t>Tarapur MIDC (Boisar)</t>
  </si>
  <si>
    <t>Bulk drugs, dyes and intermediates, agrochemicals, specialty chemicals</t>
  </si>
  <si>
    <t>Barpeta</t>
  </si>
  <si>
    <t>JNPT Nhava Sheva (140 km)</t>
  </si>
  <si>
    <t>AIDC estate directory for Assam; MSME-DI district industrial profile PDF for Barpeta district; Google Maps industrial area layer</t>
  </si>
  <si>
    <t>AIDC Industrial Area, Barpeta</t>
  </si>
  <si>
    <t>CTY-0935</t>
  </si>
  <si>
    <t>Barwani</t>
  </si>
  <si>
    <t>MPIDC estate directory for Madhya Pradesh; MSME-DI district industrial profile PDF for Barwani district; Google Maps industrial area layer</t>
  </si>
  <si>
    <t>MPIDC Industrial Area, Barwani</t>
  </si>
  <si>
    <t>CTY-0936</t>
  </si>
  <si>
    <t>Basmath</t>
  </si>
  <si>
    <t>MIDC estate directory for Maharashtra; MSME-DI district industrial profile PDF for Basmath district; Google Maps industrial area layer</t>
  </si>
  <si>
    <t>MIDC Industrial Area, Basmath</t>
  </si>
  <si>
    <t>CTY-0937</t>
  </si>
  <si>
    <t>Belur-Karnataka</t>
  </si>
  <si>
    <t>KIADB estate directory for Karnataka; MSME-DI district industrial profile PDF for Belur-Karnataka district; Google Maps industrial area layer</t>
  </si>
  <si>
    <t>KIADB Industrial Area, Belur</t>
  </si>
  <si>
    <t>CTY-0938</t>
  </si>
  <si>
    <t>Bemetara</t>
  </si>
  <si>
    <t>CSIDC estate directory for Chhattisgarh; MSME-DI district industrial profile PDF for Bemetara district; Google Maps industrial area layer</t>
  </si>
  <si>
    <t>CSIDC Industrial Area, Bemetara</t>
  </si>
  <si>
    <t>CTY-0939</t>
  </si>
  <si>
    <t>Beri</t>
  </si>
  <si>
    <t>HSIIDC estate directory for Haryana; MSME-DI district industrial profile PDF for Beri district; Google Maps industrial area layer</t>
  </si>
  <si>
    <t>HSIIDC Industrial Area, Beri</t>
  </si>
  <si>
    <t>CTY-0940</t>
  </si>
  <si>
    <t>Betul</t>
  </si>
  <si>
    <t>MPIDC estate directory for Madhya Pradesh; MSME-DI district industrial profile PDF for Betul district; Google Maps industrial area layer</t>
  </si>
  <si>
    <t>MPIDC Industrial Area, Betul</t>
  </si>
  <si>
    <t>CTY-0941</t>
  </si>
  <si>
    <t>Bhachau</t>
  </si>
  <si>
    <t>GIDC estate directory for Gujarat; MSME-DI district industrial profile PDF for Bhachau district; Google Maps industrial area layer</t>
  </si>
  <si>
    <t>GIDC Industrial Area, Bhachau</t>
  </si>
  <si>
    <t>CTY-0942</t>
  </si>
  <si>
    <t>Bhadohi</t>
  </si>
  <si>
    <t>CTY-0123</t>
  </si>
  <si>
    <t>Thane</t>
  </si>
  <si>
    <t>UPSIDA estate directory for Uttar Pradesh; MSME-DI district industrial profile PDF for Bhadohi district; Google Maps industrial area layer</t>
  </si>
  <si>
    <t>UPSIDA Industrial Area, Bhadohi</t>
  </si>
  <si>
    <t>Wagle Industrial Estate MIDC, Kolshet, Balkum</t>
  </si>
  <si>
    <t>Wagle Industrial Estate MIDC</t>
  </si>
  <si>
    <t>Pharmaceutical, chemicals, packaging, engineering</t>
  </si>
  <si>
    <t>CTY-0943</t>
  </si>
  <si>
    <t>JNPT Nhava Sheva (45 km)</t>
  </si>
  <si>
    <t>Bhadra</t>
  </si>
  <si>
    <t>RIICO estate directory for Rajasthan; MSME-DI district industrial profile PDF for Bhadra district; Google Maps industrial area layer</t>
  </si>
  <si>
    <t>RIICO Industrial Area, Bhadra</t>
  </si>
  <si>
    <t>CTY-0944</t>
  </si>
  <si>
    <t>Bhadravathi</t>
  </si>
  <si>
    <t>KIADB estate directory for Karnataka; MSME-DI district industrial profile PDF for Bhadravathi district; Google Maps industrial area layer</t>
  </si>
  <si>
    <t>KIADB Industrial Area, Bhadravathi</t>
  </si>
  <si>
    <t>CTY-0945</t>
  </si>
  <si>
    <t>Bhatkal</t>
  </si>
  <si>
    <t>KIADB estate directory for Karnataka; MSME-DI district industrial profile PDF for Bhatkal district; Google Maps industrial area layer</t>
  </si>
  <si>
    <t>KIADB Industrial Area, Bhatkal</t>
  </si>
  <si>
    <t>CTY-0946</t>
  </si>
  <si>
    <t>Bhokar</t>
  </si>
  <si>
    <t>MIDC estate directory for Maharashtra; MSME-DI district industrial profile PDF for Bhokar district; Google Maps industrial area layer</t>
  </si>
  <si>
    <t>MIDC Industrial Area, Bhokar</t>
  </si>
  <si>
    <t>CTY-0947</t>
  </si>
  <si>
    <t>Bidadi</t>
  </si>
  <si>
    <t>KIADB estate directory for Karnataka; MSME-DI district industrial profile PDF for Bidadi district; Google Maps industrial area layer</t>
  </si>
  <si>
    <t>KIADB Industrial Area, Bidadi</t>
  </si>
  <si>
    <t>CTY-0948</t>
  </si>
  <si>
    <t>Bihta</t>
  </si>
  <si>
    <t>BIADA estate directory for Bihar; MSME-DI district industrial profile PDF for Bihta district; Google Maps industrial area layer</t>
  </si>
  <si>
    <t>BIADA Industrial Area, Bihta</t>
  </si>
  <si>
    <t>CTY-0949</t>
  </si>
  <si>
    <t>Bijainagar</t>
  </si>
  <si>
    <t>RIICO estate directory for Rajasthan; MSME-DI district industrial profile PDF for Bijainagar district; Google Maps industrial area layer</t>
  </si>
  <si>
    <t>RIICO Industrial Area, Bijainagar</t>
  </si>
  <si>
    <t>CTY-0950</t>
  </si>
  <si>
    <t>Bijapur</t>
  </si>
  <si>
    <t>CSIDC estate directory for Chhattisgarh; MSME-DI district industrial profile PDF for Bijapur district; Google Maps industrial area layer</t>
  </si>
  <si>
    <t>CSIDC Industrial Area, Bijapur</t>
  </si>
  <si>
    <t>CTY-0951</t>
  </si>
  <si>
    <t>CTY-0124</t>
  </si>
  <si>
    <t>Bijnor</t>
  </si>
  <si>
    <t>Thiruvananthapuram</t>
  </si>
  <si>
    <t>UPSIDA estate directory for Uttar Pradesh; MSME-DI district industrial profile PDF for Bijnor district; Google Maps industrial area layer</t>
  </si>
  <si>
    <t>Technopark, KINFRA Park Thiruvananthapuram</t>
  </si>
  <si>
    <t>UPSIDA Industrial Area, Bijnor</t>
  </si>
  <si>
    <t>Technopark</t>
  </si>
  <si>
    <t>Electronics, pharmaceutical, biotech</t>
  </si>
  <si>
    <t>Vizhinjam Port (25 km)</t>
  </si>
  <si>
    <t>CTY-0952</t>
  </si>
  <si>
    <t>Biloli</t>
  </si>
  <si>
    <t>MIDC estate directory for Maharashtra; MSME-DI district industrial profile PDF for Biloli district; Google Maps industrial area layer</t>
  </si>
  <si>
    <t>MIDC Industrial Area, Biloli</t>
  </si>
  <si>
    <t>CTY-0953</t>
  </si>
  <si>
    <t>Birur</t>
  </si>
  <si>
    <t>KIADB estate directory for Karnataka; MSME-DI district industrial profile PDF for Birur district; Google Maps industrial area layer</t>
  </si>
  <si>
    <t>KIADB Industrial Area, Birur</t>
  </si>
  <si>
    <t>CTY-0954</t>
  </si>
  <si>
    <t>Bobbili</t>
  </si>
  <si>
    <t>APIIC estate directory for Andhra Pradesh; MSME-DI district industrial profile PDF for Bobbili district; Google Maps industrial area layer</t>
  </si>
  <si>
    <t>APIIC Industrial Area, Bobbili</t>
  </si>
  <si>
    <t>CTY-0955</t>
  </si>
  <si>
    <t>Bodhan</t>
  </si>
  <si>
    <t>TSIIC estate directory for Telangana; MSME-DI district industrial profile PDF for Bodhan district; Google Maps industrial area layer</t>
  </si>
  <si>
    <t>TSIIC Industrial Area, Bodhan</t>
  </si>
  <si>
    <t>CTY-0956</t>
  </si>
  <si>
    <t>Bolagarh</t>
  </si>
  <si>
    <t>IDCO estate directory for Odisha; MSME-DI district industrial profile PDF for Bolagarh district; Google Maps industrial area layer</t>
  </si>
  <si>
    <t>IDCO Industrial Area, Bolagarh</t>
  </si>
  <si>
    <t>CTY-0957</t>
  </si>
  <si>
    <t>Bolpur</t>
  </si>
  <si>
    <t>WBIDC estate directory for West Bengal; MSME-DI district industrial profile PDF for Bolpur district; Google Maps industrial area layer</t>
  </si>
  <si>
    <t>WBIDC Industrial Area, Bolpur</t>
  </si>
  <si>
    <t>CTY-0958</t>
  </si>
  <si>
    <t>Borsad</t>
  </si>
  <si>
    <t>GIDC estate directory for Gujarat; MSME-DI district industrial profile PDF for Borsad district; Google Maps industrial area layer</t>
  </si>
  <si>
    <t>GIDC Industrial Area, Borsad</t>
  </si>
  <si>
    <t>CTY-0959</t>
  </si>
  <si>
    <t>Brahmagiri</t>
  </si>
  <si>
    <t>IDCO estate directory for Odisha; MSME-DI district industrial profile PDF for Brahmagiri district; Google Maps industrial area layer</t>
  </si>
  <si>
    <t>IDCO Industrial Area, Brahmagiri</t>
  </si>
  <si>
    <t>CTY-0125</t>
  </si>
  <si>
    <t>CTY-0960</t>
  </si>
  <si>
    <t>Thrissur</t>
  </si>
  <si>
    <t>Chakdaha</t>
  </si>
  <si>
    <t>KINFRA Koratty, Thrissur Industrial Estate</t>
  </si>
  <si>
    <t>KINFRA Koratty</t>
  </si>
  <si>
    <t>WBIDC estate directory for West Bengal; MSME-DI district industrial profile PDF for Chakdaha district; Google Maps industrial area layer</t>
  </si>
  <si>
    <t>Food processing, rubber, engineering</t>
  </si>
  <si>
    <t>WBIDC Industrial Area, Chakdaha</t>
  </si>
  <si>
    <t>Cochin Port (55 km)</t>
  </si>
  <si>
    <t>CTY-0961</t>
  </si>
  <si>
    <t>Chamoli</t>
  </si>
  <si>
    <t>SIIDCUL estate directory for Uttarakhand; MSME-DI district industrial profile PDF for Chamoli district; Google Maps industrial area layer</t>
  </si>
  <si>
    <t>SIIDCUL Industrial Area, Chamoli</t>
  </si>
  <si>
    <t>CTY-0962</t>
  </si>
  <si>
    <t>Champawat</t>
  </si>
  <si>
    <t>SIIDCUL estate directory for Uttarakhand; MSME-DI district industrial profile PDF for Champawat district; Google Maps industrial area layer</t>
  </si>
  <si>
    <t>SIIDCUL Industrial Area, Champawat</t>
  </si>
  <si>
    <t>CTY-0963</t>
  </si>
  <si>
    <t>Chandausi</t>
  </si>
  <si>
    <t>UPSIDA estate directory for Uttar Pradesh; MSME-DI district industrial profile PDF for Chandausi district; Google Maps industrial area layer</t>
  </si>
  <si>
    <t>UPSIDA Industrial Area, Chandausi</t>
  </si>
  <si>
    <t>CTY-0964</t>
  </si>
  <si>
    <t>Changanassery</t>
  </si>
  <si>
    <t>KINFRA estate directory for Kerala; MSME-DI district industrial profile PDF for Changanassery district; Google Maps industrial area layer</t>
  </si>
  <si>
    <t>KINFRA Industrial Area, Changanassery</t>
  </si>
  <si>
    <t>CTY-0965</t>
  </si>
  <si>
    <t>Channapatna</t>
  </si>
  <si>
    <t>KIADB estate directory for Karnataka; MSME-DI district industrial profile PDF for Channapatna district; Google Maps industrial area layer</t>
  </si>
  <si>
    <t>KIADB Industrial Area, Channapatna</t>
  </si>
  <si>
    <t>CTY-0966</t>
  </si>
  <si>
    <t>Channarayapatna</t>
  </si>
  <si>
    <t>KIADB estate directory for Karnataka; MSME-DI district industrial profile PDF for Channarayapatna district; Google Maps industrial area layer</t>
  </si>
  <si>
    <t>KIADB Industrial Area, Channarayapatna</t>
  </si>
  <si>
    <t>CTY-0967</t>
  </si>
  <si>
    <t>Charkhi Dadri</t>
  </si>
  <si>
    <t>HSIIDC estate directory for Haryana; MSME-DI district industrial profile PDF for Charkhi Dadri district; Google Maps industrial area layer</t>
  </si>
  <si>
    <t>HSIIDC Industrial Area, Charkhi Dadri</t>
  </si>
  <si>
    <t>CTY-0968</t>
  </si>
  <si>
    <t>Chatra</t>
  </si>
  <si>
    <t>CTY-0126</t>
  </si>
  <si>
    <t>JIADA estate directory for Jharkhand; MSME-DI district industrial profile PDF for Chatra district; Google Maps industrial area layer</t>
  </si>
  <si>
    <t>Tiruchirappalli</t>
  </si>
  <si>
    <t>JIADA Industrial Area, Chatra</t>
  </si>
  <si>
    <t>Thuvakudi SIDCO, BHEL Complex Trichy</t>
  </si>
  <si>
    <t>Thuvakudi SIDCO</t>
  </si>
  <si>
    <t>CTY-0969</t>
  </si>
  <si>
    <t>Boiler and pressure vessel, heavy engineering, fabrication</t>
  </si>
  <si>
    <t>Tuticorin Port (350 km)</t>
  </si>
  <si>
    <t>Chengalpattu</t>
  </si>
  <si>
    <t>SIPCOT estate directory for Tamil Nadu; MSME-DI district industrial profile PDF for Chengalpattu district; Google Maps industrial area layer</t>
  </si>
  <si>
    <t>SIPCOT Industrial Area, Chengalpattu</t>
  </si>
  <si>
    <t>CTY-0970</t>
  </si>
  <si>
    <t>Chengannur</t>
  </si>
  <si>
    <t>KINFRA estate directory for Kerala; MSME-DI district industrial profile PDF for Chengannur district; Google Maps industrial area layer</t>
  </si>
  <si>
    <t>KINFRA Industrial Area, Chengannur</t>
  </si>
  <si>
    <t>CTY-0971</t>
  </si>
  <si>
    <t>Cherthala</t>
  </si>
  <si>
    <t>KINFRA estate directory for Kerala; MSME-DI district industrial profile PDF for Cherthala district; Google Maps industrial area layer</t>
  </si>
  <si>
    <t>KINFRA Industrial Area, Cherthala</t>
  </si>
  <si>
    <t>CTY-0972</t>
  </si>
  <si>
    <t>Chetpet</t>
  </si>
  <si>
    <t>SIPCOT estate directory for Tamil Nadu; MSME-DI district industrial profile PDF for Chetpet district; Google Maps industrial area layer</t>
  </si>
  <si>
    <t>SIPCOT Industrial Area, Chetpet</t>
  </si>
  <si>
    <t>CTY-0973</t>
  </si>
  <si>
    <t>Cheyyar</t>
  </si>
  <si>
    <t>SIPCOT estate directory for Tamil Nadu; MSME-DI district industrial profile PDF for Cheyyar district; Google Maps industrial area layer</t>
  </si>
  <si>
    <t>SIPCOT Industrial Area, Cheyyar</t>
  </si>
  <si>
    <t>CTY-0974</t>
  </si>
  <si>
    <t>Chhatarpur</t>
  </si>
  <si>
    <t>MPIDC estate directory for Madhya Pradesh; MSME-DI district industrial profile PDF for Chhatarpur district; Google Maps industrial area layer</t>
  </si>
  <si>
    <t>MPIDC Industrial Area, Chhatarpur</t>
  </si>
  <si>
    <t>CTY-0975</t>
  </si>
  <si>
    <t>Chidambaram</t>
  </si>
  <si>
    <t>SIPCOT estate directory for Tamil Nadu; MSME-DI district industrial profile PDF for Chidambaram district; Google Maps industrial area layer</t>
  </si>
  <si>
    <t>SIPCOT Industrial Area, Chidambaram</t>
  </si>
  <si>
    <t>CTY-0976</t>
  </si>
  <si>
    <t>Chikkamagaluru</t>
  </si>
  <si>
    <t>KIADB estate directory for Karnataka; MSME-DI district industrial profile PDF for Chikkamagaluru district; Google Maps industrial area layer</t>
  </si>
  <si>
    <t>KIADB Industrial Area, Chikkamagaluru</t>
  </si>
  <si>
    <t>CTY-0977</t>
  </si>
  <si>
    <t>CTY-0127</t>
  </si>
  <si>
    <t>Chomu</t>
  </si>
  <si>
    <t>Tirupati</t>
  </si>
  <si>
    <t>RIICO estate directory for Rajasthan; MSME-DI district industrial profile PDF for Chomu district; Google Maps industrial area layer</t>
  </si>
  <si>
    <t>RIICO Industrial Area, Chomu</t>
  </si>
  <si>
    <t>Sri City SEZ, Tirupati APIIC</t>
  </si>
  <si>
    <t>Sri City SEZ</t>
  </si>
  <si>
    <t>Electronics, pharmaceutical, food processing</t>
  </si>
  <si>
    <t>CTY-0978</t>
  </si>
  <si>
    <t>Krishnapatnam Port (110 km)</t>
  </si>
  <si>
    <t>Choudwar</t>
  </si>
  <si>
    <t>IDCO estate directory for Odisha; MSME-DI district industrial profile PDF for Choudwar district; Google Maps industrial area layer</t>
  </si>
  <si>
    <t>IDCO Industrial Area, Choudwar</t>
  </si>
  <si>
    <t>CTY-0979</t>
  </si>
  <si>
    <t>Churu</t>
  </si>
  <si>
    <t>RIICO estate directory for Rajasthan; MSME-DI district industrial profile PDF for Churu district; Google Maps industrial area layer</t>
  </si>
  <si>
    <t>RIICO Industrial Area, Churu</t>
  </si>
  <si>
    <t>CTY-0980</t>
  </si>
  <si>
    <t>Dabwali</t>
  </si>
  <si>
    <t>HSIIDC estate directory for Haryana; MSME-DI district industrial profile PDF for Dabwali district; Google Maps industrial area layer</t>
  </si>
  <si>
    <t>HSIIDC Industrial Area, Dabwali</t>
  </si>
  <si>
    <t>CTY-0981</t>
  </si>
  <si>
    <t>Danapur</t>
  </si>
  <si>
    <t>BIADA estate directory for Bihar; MSME-DI district industrial profile PDF for Danapur district; Google Maps industrial area layer</t>
  </si>
  <si>
    <t>BIADA Industrial Area, Danapur</t>
  </si>
  <si>
    <t>CTY-0982</t>
  </si>
  <si>
    <t>Dandeli</t>
  </si>
  <si>
    <t>KIADB estate directory for Karnataka; MSME-DI district industrial profile PDF for Dandeli district; Google Maps industrial area layer</t>
  </si>
  <si>
    <t>KIADB Industrial Area, Dandeli</t>
  </si>
  <si>
    <t>CTY-0983</t>
  </si>
  <si>
    <t>Dantewada</t>
  </si>
  <si>
    <t>CSIDC estate directory for Chhattisgarh; MSME-DI district industrial profile PDF for Dantewada district; Google Maps industrial area layer</t>
  </si>
  <si>
    <t>CSIDC Industrial Area, Dantewada</t>
  </si>
  <si>
    <t>CTY-0984</t>
  </si>
  <si>
    <t>Deglur</t>
  </si>
  <si>
    <t>MIDC estate directory for Maharashtra; MSME-DI district industrial profile PDF for Deglur district; Google Maps industrial area layer</t>
  </si>
  <si>
    <t>MIDC Industrial Area, Deglur</t>
  </si>
  <si>
    <t>CTY-0985</t>
  </si>
  <si>
    <t>CTY-0128</t>
  </si>
  <si>
    <t>Delang</t>
  </si>
  <si>
    <t>Tiruppur</t>
  </si>
  <si>
    <t>IDCO estate directory for Odisha; MSME-DI district industrial profile PDF for Delang district; Google Maps industrial area layer</t>
  </si>
  <si>
    <t>Tiruppur SIDCO, Nethaji Apparel Park</t>
  </si>
  <si>
    <t>IDCO Industrial Area, Delang</t>
  </si>
  <si>
    <t>Tiruppur SIDCO</t>
  </si>
  <si>
    <t>Textile processing, dyeing, apparel</t>
  </si>
  <si>
    <t>CTY-0986</t>
  </si>
  <si>
    <t>Deoli</t>
  </si>
  <si>
    <t>RIICO estate directory for Rajasthan; MSME-DI district industrial profile PDF for Deoli district; Google Maps industrial area layer</t>
  </si>
  <si>
    <t>RIICO Industrial Area, Deoli</t>
  </si>
  <si>
    <t>CTY-0987</t>
  </si>
  <si>
    <t>Dhar</t>
  </si>
  <si>
    <t>MPIDC estate directory for Madhya Pradesh; MSME-DI district industrial profile PDF for Dhar district; Google Maps industrial area layer</t>
  </si>
  <si>
    <t>MPIDC Industrial Area, Dhar</t>
  </si>
  <si>
    <t>CTY-0988</t>
  </si>
  <si>
    <t>Dharmabad</t>
  </si>
  <si>
    <t>MIDC estate directory for Maharashtra; MSME-DI district industrial profile PDF for Dharmabad district; Google Maps industrial area layer</t>
  </si>
  <si>
    <t>MIDC Industrial Area, Dharmabad</t>
  </si>
  <si>
    <t>CTY-0989</t>
  </si>
  <si>
    <t>Dhemaji</t>
  </si>
  <si>
    <t>AIDC estate directory for Assam; MSME-DI district industrial profile PDF for Dhemaji district; Google Maps industrial area layer</t>
  </si>
  <si>
    <t>AIDC Industrial Area, Dhemaji</t>
  </si>
  <si>
    <t>CTY-0990</t>
  </si>
  <si>
    <t>Didwana</t>
  </si>
  <si>
    <t>RIICO estate directory for Rajasthan; MSME-DI district industrial profile PDF for Didwana district; Google Maps industrial area layer</t>
  </si>
  <si>
    <t>RIICO Industrial Area, Didwana</t>
  </si>
  <si>
    <t>CTY-0991</t>
  </si>
  <si>
    <t>Dindori</t>
  </si>
  <si>
    <t>MIDC estate directory for Maharashtra; MSME-DI district industrial profile PDF for Dindori district; Google Maps industrial area layer</t>
  </si>
  <si>
    <t>MIDC Industrial Area, Dindori</t>
  </si>
  <si>
    <t>CTY-0129</t>
  </si>
  <si>
    <t>Tumakuru</t>
  </si>
  <si>
    <t>CTY-0992</t>
  </si>
  <si>
    <t>Vasanthanarasapura KIADB, Tumakuru Industrial Area</t>
  </si>
  <si>
    <t>Vasanthanarasapura KIADB</t>
  </si>
  <si>
    <t>Food processing, engineering, machine tools</t>
  </si>
  <si>
    <t>Chennai Port (420 km)</t>
  </si>
  <si>
    <t>MPIDC estate directory for Madhya Pradesh; MSME-DI district industrial profile PDF for Dindori district; Google Maps industrial area layer</t>
  </si>
  <si>
    <t>MPIDC Industrial Area, Dindori</t>
  </si>
  <si>
    <t>CTY-0993</t>
  </si>
  <si>
    <t>Diphu</t>
  </si>
  <si>
    <t>AIDC estate directory for Assam; MSME-DI district industrial profile PDF for Diphu district; Google Maps industrial area layer</t>
  </si>
  <si>
    <t>AIDC Industrial Area, Diphu</t>
  </si>
  <si>
    <t>CTY-0994</t>
  </si>
  <si>
    <t>Doddaballapur</t>
  </si>
  <si>
    <t>KIADB estate directory for Karnataka; MSME-DI district industrial profile PDF for Doddaballapur district; Google Maps industrial area layer</t>
  </si>
  <si>
    <t>KIADB Industrial Area, Doddaballapur</t>
  </si>
  <si>
    <t>CTY-0995</t>
  </si>
  <si>
    <t>Doiwala</t>
  </si>
  <si>
    <t>SIIDCUL estate directory for Uttarakhand; MSME-DI district industrial profile PDF for Doiwala district; Google Maps industrial area layer</t>
  </si>
  <si>
    <t>SIIDCUL Industrial Area, Doiwala</t>
  </si>
  <si>
    <t>CTY-0996</t>
  </si>
  <si>
    <t>Dolvan</t>
  </si>
  <si>
    <t>GIDC estate directory for Gujarat; MSME-DI district industrial profile PDF for Dolvan district; Google Maps industrial area layer</t>
  </si>
  <si>
    <t>GIDC Industrial Area, Dolvan</t>
  </si>
  <si>
    <t>CTY-0997</t>
  </si>
  <si>
    <t>Doraha</t>
  </si>
  <si>
    <t>PSIEC estate directory for Punjab; MSME-DI district industrial profile PDF for Doraha district; Google Maps industrial area layer</t>
  </si>
  <si>
    <t>PSIEC Industrial Area, Doraha</t>
  </si>
  <si>
    <t>CTY-0998</t>
  </si>
  <si>
    <t>Dubbak</t>
  </si>
  <si>
    <t>CTY-0130</t>
  </si>
  <si>
    <t>TSIIC estate directory for Telangana; MSME-DI district industrial profile PDF for Dubbak district; Google Maps industrial area layer</t>
  </si>
  <si>
    <t>Tuticorin</t>
  </si>
  <si>
    <t>TSIIC Industrial Area, Dubbak</t>
  </si>
  <si>
    <t>Tuticorin SIPCOT, VOC Port Industrial Belt</t>
  </si>
  <si>
    <t>Tuticorin SIPCOT</t>
  </si>
  <si>
    <t>CTY-0999</t>
  </si>
  <si>
    <t>Chemicals, salt, ports and logistics, power</t>
  </si>
  <si>
    <t>Tuticorin Port (0 km)</t>
  </si>
  <si>
    <t>Dubrajpur</t>
  </si>
  <si>
    <t>WBIDC estate directory for West Bengal; MSME-DI district industrial profile PDF for Dubrajpur district; Google Maps industrial area layer</t>
  </si>
  <si>
    <t>WBIDC Industrial Area, Dubrajpur</t>
  </si>
  <si>
    <t>CTY-1000</t>
  </si>
  <si>
    <t>Dudu</t>
  </si>
  <si>
    <t>RIICO estate directory for Rajasthan; MSME-DI district industrial profile PDF for Dudu district; Google Maps industrial area layer</t>
  </si>
  <si>
    <t>RIICO Industrial Area, Dudu</t>
  </si>
  <si>
    <t>CTY-1001</t>
  </si>
  <si>
    <t>Ellenabad</t>
  </si>
  <si>
    <t>HSIIDC estate directory for Haryana; MSME-DI district industrial profile PDF for Ellenabad district; Google Maps industrial area layer</t>
  </si>
  <si>
    <t>HSIIDC Industrial Area, Ellenabad</t>
  </si>
  <si>
    <t>CTY-1002</t>
  </si>
  <si>
    <t>Etah</t>
  </si>
  <si>
    <t>UPSIDA estate directory for Uttar Pradesh; MSME-DI district industrial profile PDF for Etah district; Google Maps industrial area layer</t>
  </si>
  <si>
    <t>UPSIDA Industrial Area, Etah</t>
  </si>
  <si>
    <t>CTY-1003</t>
  </si>
  <si>
    <t>Etcherla</t>
  </si>
  <si>
    <t>APIIC estate directory for Andhra Pradesh; MSME-DI district industrial profile PDF for Etcherla district; Google Maps industrial area layer</t>
  </si>
  <si>
    <t>APIIC Industrial Area, Etcherla</t>
  </si>
  <si>
    <t>CTY-1004</t>
  </si>
  <si>
    <t>Faizabad</t>
  </si>
  <si>
    <t>UPSIDA estate directory for Uttar Pradesh; MSME-DI district industrial profile PDF for Faizabad district; Google Maps industrial area layer</t>
  </si>
  <si>
    <t>UPSIDA Industrial Area, Faizabad</t>
  </si>
  <si>
    <t>CTY-1005</t>
  </si>
  <si>
    <t>Farooqnagar</t>
  </si>
  <si>
    <t>TSIIC estate directory for Telangana; MSME-DI district industrial profile PDF for Farooqnagar district; Google Maps industrial area layer</t>
  </si>
  <si>
    <t>TSIIC Industrial Area, Farooqnagar</t>
  </si>
  <si>
    <t>CTY-1006</t>
  </si>
  <si>
    <t>Fatehpur</t>
  </si>
  <si>
    <t>UPSIDA estate directory for Uttar Pradesh; MSME-DI district industrial profile PDF for Fatehpur district; Google Maps industrial area layer</t>
  </si>
  <si>
    <t>UPSIDA Industrial Area, Fatehpur</t>
  </si>
  <si>
    <t>CTY-0131</t>
  </si>
  <si>
    <t>CTY-1007</t>
  </si>
  <si>
    <t>Udaipur</t>
  </si>
  <si>
    <t>Fatuha</t>
  </si>
  <si>
    <t>Madri RIICO, Udaipur Industrial Area</t>
  </si>
  <si>
    <t>Madri RIICO</t>
  </si>
  <si>
    <t>BIADA estate directory for Bihar; MSME-DI district industrial profile PDF for Fatuha district; Google Maps industrial area layer</t>
  </si>
  <si>
    <t>Mineral processing, engineering, marble</t>
  </si>
  <si>
    <t>BIADA Industrial Area, Fatuha</t>
  </si>
  <si>
    <t>Mundra Port (620 km)</t>
  </si>
  <si>
    <t>CTY-1008</t>
  </si>
  <si>
    <t>Gadarpur</t>
  </si>
  <si>
    <t>SIIDCUL estate directory for Uttarakhand; MSME-DI district industrial profile PDF for Gadarpur district; Google Maps industrial area layer</t>
  </si>
  <si>
    <t>SIIDCUL Industrial Area, Gadarpur</t>
  </si>
  <si>
    <t>CTY-1009</t>
  </si>
  <si>
    <t>Gajwel</t>
  </si>
  <si>
    <t>TSIIC estate directory for Telangana; MSME-DI district industrial profile PDF for Gajwel district; Google Maps industrial area layer</t>
  </si>
  <si>
    <t>TSIIC Industrial Area, Gajwel</t>
  </si>
  <si>
    <t>CTY-1010</t>
  </si>
  <si>
    <t>Ganaur</t>
  </si>
  <si>
    <t>HSIIDC estate directory for Haryana; MSME-DI district industrial profile PDF for Ganaur district; Google Maps industrial area layer</t>
  </si>
  <si>
    <t>HSIIDC Industrial Area, Ganaur</t>
  </si>
  <si>
    <t>CTY-1011</t>
  </si>
  <si>
    <t>Gangakhed</t>
  </si>
  <si>
    <t>MIDC estate directory for Maharashtra; MSME-DI district industrial profile PDF for Gangakhed district; Google Maps industrial area layer</t>
  </si>
  <si>
    <t>MIDC Industrial Area, Gangakhed</t>
  </si>
  <si>
    <t>CTY-1012</t>
  </si>
  <si>
    <t>Garhwa</t>
  </si>
  <si>
    <t>JIADA estate directory for Jharkhand; MSME-DI district industrial profile PDF for Garhwa district; Google Maps industrial area layer</t>
  </si>
  <si>
    <t>JIADA Industrial Area, Garhwa</t>
  </si>
  <si>
    <t>CTY-1013</t>
  </si>
  <si>
    <t>Gariaband</t>
  </si>
  <si>
    <t>CSIDC estate directory for Chhattisgarh; MSME-DI district industrial profile PDF for Gariaband district; Google Maps industrial area layer</t>
  </si>
  <si>
    <t>CSIDC Industrial Area, Gariaband</t>
  </si>
  <si>
    <t>CTY-1014</t>
  </si>
  <si>
    <t>Gaurela</t>
  </si>
  <si>
    <t>CSIDC estate directory for Chhattisgarh; MSME-DI district industrial profile PDF for Gaurela district; Google Maps industrial area layer</t>
  </si>
  <si>
    <t>CSIDC Industrial Area, Gaurela</t>
  </si>
  <si>
    <t>CTY-1015</t>
  </si>
  <si>
    <t>Georai</t>
  </si>
  <si>
    <t>MIDC estate directory for Maharashtra; MSME-DI district industrial profile PDF for Georai district; Google Maps industrial area layer</t>
  </si>
  <si>
    <t>CTY-0132</t>
  </si>
  <si>
    <t>MIDC Industrial Area, Georai</t>
  </si>
  <si>
    <t>Vadodara</t>
  </si>
  <si>
    <t>Makarpura GIDC, Nandesari GIDC, Savli GIDC</t>
  </si>
  <si>
    <t>CTY-1016</t>
  </si>
  <si>
    <t>Makarpura GIDC</t>
  </si>
  <si>
    <t>Bulk drugs, specialty chemicals, process equipment</t>
  </si>
  <si>
    <t>Ghazipur</t>
  </si>
  <si>
    <t>Hazira Port (140 km)</t>
  </si>
  <si>
    <t>UPSIDA estate directory for Uttar Pradesh; MSME-DI district industrial profile PDF for Ghazipur district; Google Maps industrial area layer</t>
  </si>
  <si>
    <t>UPSIDA Industrial Area, Ghazipur</t>
  </si>
  <si>
    <t>CTY-1017</t>
  </si>
  <si>
    <t>Goalpara</t>
  </si>
  <si>
    <t>AIDC estate directory for Assam; MSME-DI district industrial profile PDF for Goalpara district; Google Maps industrial area layer</t>
  </si>
  <si>
    <t>AIDC Industrial Area, Goalpara</t>
  </si>
  <si>
    <t>CTY-1018</t>
  </si>
  <si>
    <t>Godda</t>
  </si>
  <si>
    <t>JIADA estate directory for Jharkhand; MSME-DI district industrial profile PDF for Godda district; Google Maps industrial area layer</t>
  </si>
  <si>
    <t>JIADA Industrial Area, Godda</t>
  </si>
  <si>
    <t>CTY-1019</t>
  </si>
  <si>
    <t>Gohana</t>
  </si>
  <si>
    <t>HSIIDC estate directory for Haryana; MSME-DI district industrial profile PDF for Gohana district; Google Maps industrial area layer</t>
  </si>
  <si>
    <t>HSIIDC Industrial Area, Gohana</t>
  </si>
  <si>
    <t>CTY-1020</t>
  </si>
  <si>
    <t>Gonda</t>
  </si>
  <si>
    <t>UPSIDA estate directory for Uttar Pradesh; MSME-DI district industrial profile PDF for Gonda district; Google Maps industrial area layer</t>
  </si>
  <si>
    <t>UPSIDA Industrial Area, Gonda</t>
  </si>
  <si>
    <t>CTY-1021</t>
  </si>
  <si>
    <t>Gop</t>
  </si>
  <si>
    <t>IDCO estate directory for Odisha; MSME-DI district industrial profile PDF for Gop district; Google Maps industrial area layer</t>
  </si>
  <si>
    <t>IDCO Industrial Area, Gop</t>
  </si>
  <si>
    <t>CTY-1022</t>
  </si>
  <si>
    <t>Goraya</t>
  </si>
  <si>
    <t>PSIEC estate directory for Punjab; MSME-DI district industrial profile PDF for Goraya district; Google Maps industrial area layer</t>
  </si>
  <si>
    <t>PSIEC Industrial Area, Goraya</t>
  </si>
  <si>
    <t>CTY-1023</t>
  </si>
  <si>
    <t>Gudiyatham</t>
  </si>
  <si>
    <t>SIPCOT estate directory for Tamil Nadu; MSME-DI district industrial profile PDF for Gudiyatham district; Google Maps industrial area layer</t>
  </si>
  <si>
    <t>SIPCOT Industrial Area, Gudiyatham</t>
  </si>
  <si>
    <t>CTY-1024</t>
  </si>
  <si>
    <t>Gumla</t>
  </si>
  <si>
    <t>CTY-0133</t>
  </si>
  <si>
    <t>JIADA estate directory for Jharkhand; MSME-DI district industrial profile PDF for Gumla district; Google Maps industrial area layer</t>
  </si>
  <si>
    <t>Valsad</t>
  </si>
  <si>
    <t>JIADA Industrial Area, Gumla</t>
  </si>
  <si>
    <t>Umbergaon GIDC, Valsad GIDC</t>
  </si>
  <si>
    <t>Umbergaon GIDC</t>
  </si>
  <si>
    <t>Chemicals, plastics, pharmaceutical intermediates</t>
  </si>
  <si>
    <t>CTY-1025</t>
  </si>
  <si>
    <t>Guruvayur</t>
  </si>
  <si>
    <t>KINFRA estate directory for Kerala; MSME-DI district industrial profile PDF for Guruvayur district; Google Maps industrial area layer</t>
  </si>
  <si>
    <t>KINFRA Industrial Area, Guruvayur</t>
  </si>
  <si>
    <t>CTY-1026</t>
  </si>
  <si>
    <t>Guskara</t>
  </si>
  <si>
    <t>WBIDC estate directory for West Bengal; MSME-DI district industrial profile PDF for Guskara district; Google Maps industrial area layer</t>
  </si>
  <si>
    <t>WBIDC Industrial Area, Guskara</t>
  </si>
  <si>
    <t>CTY-1027</t>
  </si>
  <si>
    <t>Hadgaon</t>
  </si>
  <si>
    <t>MIDC estate directory for Maharashtra; MSME-DI district industrial profile PDF for Hadgaon district; Google Maps industrial area layer</t>
  </si>
  <si>
    <t>MIDC Industrial Area, Hadgaon</t>
  </si>
  <si>
    <t>CTY-1028</t>
  </si>
  <si>
    <t>Haflong</t>
  </si>
  <si>
    <t>AIDC estate directory for Assam; MSME-DI district industrial profile PDF for Haflong district; Google Maps industrial area layer</t>
  </si>
  <si>
    <t>AIDC Industrial Area, Haflong</t>
  </si>
  <si>
    <t>CTY-1029</t>
  </si>
  <si>
    <t>Haliyal</t>
  </si>
  <si>
    <t>KIADB estate directory for Karnataka; MSME-DI district industrial profile PDF for Haliyal district; Google Maps industrial area layer</t>
  </si>
  <si>
    <t>KIADB Industrial Area, Haliyal</t>
  </si>
  <si>
    <t>CTY-1030</t>
  </si>
  <si>
    <t>Halol-Kalol</t>
  </si>
  <si>
    <t>GIDC estate directory for Gujarat; MSME-DI district industrial profile PDF for Halol-Kalol district; Google Maps industrial area layer</t>
  </si>
  <si>
    <t>GIDC Industrial Area, Halol</t>
  </si>
  <si>
    <t>CTY-1031</t>
  </si>
  <si>
    <t>Hansot</t>
  </si>
  <si>
    <t>GIDC estate directory for Gujarat; MSME-DI district industrial profile PDF for Hansot district; Google Maps industrial area layer</t>
  </si>
  <si>
    <t>GIDC Industrial Area, Hansot</t>
  </si>
  <si>
    <t>CTY-1032</t>
  </si>
  <si>
    <t>Harda</t>
  </si>
  <si>
    <t>MPIDC estate directory for Madhya Pradesh; MSME-DI district industrial profile PDF for Harda district; Google Maps industrial area layer</t>
  </si>
  <si>
    <t>MPIDC Industrial Area, Harda</t>
  </si>
  <si>
    <t>CTY-0134</t>
  </si>
  <si>
    <t>Vapi</t>
  </si>
  <si>
    <t>CTY-1033</t>
  </si>
  <si>
    <t>Vapi GIDC, Sarigam GIDC</t>
  </si>
  <si>
    <t>Hardoi</t>
  </si>
  <si>
    <t>Vapi GIDC</t>
  </si>
  <si>
    <t>API, specialty chemicals, dyes, pharmaceutical intermediates</t>
  </si>
  <si>
    <t>UPSIDA estate directory for Uttar Pradesh; MSME-DI district industrial profile PDF for Hardoi district; Google Maps industrial area layer</t>
  </si>
  <si>
    <t>UPSIDA Industrial Area, Hardoi</t>
  </si>
  <si>
    <t>Hazira Port (135 km)</t>
  </si>
  <si>
    <t>CTY-1034</t>
  </si>
  <si>
    <t>Haringhata</t>
  </si>
  <si>
    <t>WBIDC estate directory for West Bengal; MSME-DI district industrial profile PDF for Haringhata district; Google Maps industrial area layer</t>
  </si>
  <si>
    <t>WBIDC Industrial Area, Haringhata</t>
  </si>
  <si>
    <t>CTY-1035</t>
  </si>
  <si>
    <t>Haripad</t>
  </si>
  <si>
    <t>KINFRA estate directory for Kerala; MSME-DI district industrial profile PDF for Haripad district; Google Maps industrial area layer</t>
  </si>
  <si>
    <t>KINFRA Industrial Area, Haripad</t>
  </si>
  <si>
    <t>CTY-1036</t>
  </si>
  <si>
    <t>Hathras</t>
  </si>
  <si>
    <t>UPSIDA estate directory for Uttar Pradesh; MSME-DI district industrial profile PDF for Hathras district; Google Maps industrial area layer</t>
  </si>
  <si>
    <t>UPSIDA Industrial Area, Hathras</t>
  </si>
  <si>
    <t>CTY-1037</t>
  </si>
  <si>
    <t>Herbertpur</t>
  </si>
  <si>
    <t>SIIDCUL estate directory for Uttarakhand; MSME-DI district industrial profile PDF for Herbertpur district; Google Maps industrial area layer</t>
  </si>
  <si>
    <t>SIIDCUL Industrial Area, Herbertpur</t>
  </si>
  <si>
    <t>CTY-1038</t>
  </si>
  <si>
    <t>Himayatnagar</t>
  </si>
  <si>
    <t>MIDC estate directory for Maharashtra; MSME-DI district industrial profile PDF for Himayatnagar district; Google Maps industrial area layer</t>
  </si>
  <si>
    <t>MIDC Industrial Area, Himayatnagar</t>
  </si>
  <si>
    <t>CTY-1039</t>
  </si>
  <si>
    <t>Hojai</t>
  </si>
  <si>
    <t>AIDC estate directory for Assam; MSME-DI district industrial profile PDF for Hojai district; Google Maps industrial area layer</t>
  </si>
  <si>
    <t>AIDC Industrial Area, Hojai</t>
  </si>
  <si>
    <t>CTY-1040</t>
  </si>
  <si>
    <t>Holenarasipura</t>
  </si>
  <si>
    <t>KIADB estate directory for Karnataka; MSME-DI district industrial profile PDF for Holenarasipura district; Google Maps industrial area layer</t>
  </si>
  <si>
    <t>KIADB Industrial Area, Holenarasipura</t>
  </si>
  <si>
    <t>CTY-1041</t>
  </si>
  <si>
    <t>Honnavar</t>
  </si>
  <si>
    <t>KIADB estate directory for Karnataka; MSME-DI district industrial profile PDF for Honnavar district; Google Maps industrial area layer</t>
  </si>
  <si>
    <t>KIADB Industrial Area, Honnavar</t>
  </si>
  <si>
    <t>CTY-0135</t>
  </si>
  <si>
    <t>Varanasi</t>
  </si>
  <si>
    <t>CTY-1042</t>
  </si>
  <si>
    <t>Chandpur Industrial Estate, Ramnagar Industrial Area</t>
  </si>
  <si>
    <t>Chandpur Industrial Estate</t>
  </si>
  <si>
    <t>Hoskote</t>
  </si>
  <si>
    <t>Textile, food processing, engineering</t>
  </si>
  <si>
    <t>ICD Varanasi (0 km)</t>
  </si>
  <si>
    <t>KIADB estate directory for Karnataka; MSME-DI district industrial profile PDF for Hoskote district; Google Maps industrial area layer</t>
  </si>
  <si>
    <t>KIADB Industrial Area, Hoskote</t>
  </si>
  <si>
    <t>CTY-1043</t>
  </si>
  <si>
    <t>Husnabad</t>
  </si>
  <si>
    <t>TSIIC estate directory for Telangana; MSME-DI district industrial profile PDF for Husnabad district; Google Maps industrial area layer</t>
  </si>
  <si>
    <t>TSIIC Industrial Area, Husnabad</t>
  </si>
  <si>
    <t>CTY-1044</t>
  </si>
  <si>
    <t>Ibrahimpatnam</t>
  </si>
  <si>
    <t>TSIIC estate directory for Telangana; MSME-DI district industrial profile PDF for Ibrahimpatnam district; Google Maps industrial area layer</t>
  </si>
  <si>
    <t>TSIIC Industrial Area, Ibrahimpatnam</t>
  </si>
  <si>
    <t>CTY-1045</t>
  </si>
  <si>
    <t>Ichchapuram</t>
  </si>
  <si>
    <t>APIIC estate directory for Andhra Pradesh; MSME-DI district industrial profile PDF for Ichchapuram district; Google Maps industrial area layer</t>
  </si>
  <si>
    <t>APIIC Industrial Area, Ichchapuram</t>
  </si>
  <si>
    <t>CTY-1046</t>
  </si>
  <si>
    <t>Illambazar</t>
  </si>
  <si>
    <t>WBIDC estate directory for West Bengal; MSME-DI district industrial profile PDF for Illambazar district; Google Maps industrial area layer</t>
  </si>
  <si>
    <t>WBIDC Industrial Area, Illambazar</t>
  </si>
  <si>
    <t>CTY-1047</t>
  </si>
  <si>
    <t>Irinjalakuda</t>
  </si>
  <si>
    <t>KINFRA estate directory for Kerala; MSME-DI district industrial profile PDF for Irinjalakuda district; Google Maps industrial area layer</t>
  </si>
  <si>
    <t>KINFRA Industrial Area, Irinjalakuda</t>
  </si>
  <si>
    <t>CTY-1048</t>
  </si>
  <si>
    <t>Jagraon</t>
  </si>
  <si>
    <t>PSIEC estate directory for Punjab; MSME-DI district industrial profile PDF for Jagraon district; Google Maps industrial area layer</t>
  </si>
  <si>
    <t>PSIEC Industrial Area, Jagraon</t>
  </si>
  <si>
    <t>CTY-1049</t>
  </si>
  <si>
    <t>Jambusar</t>
  </si>
  <si>
    <t>GIDC estate directory for Gujarat; MSME-DI district industrial profile PDF for Jambusar district; Google Maps industrial area layer</t>
  </si>
  <si>
    <t>GIDC Industrial Area, Jambusar</t>
  </si>
  <si>
    <t>CTY-1050</t>
  </si>
  <si>
    <t>Jamui</t>
  </si>
  <si>
    <t>CTY-0136</t>
  </si>
  <si>
    <t>BIADA estate directory for Bihar; MSME-DI district industrial profile PDF for Jamui district; Google Maps industrial area layer</t>
  </si>
  <si>
    <t>Verna</t>
  </si>
  <si>
    <t>BIADA Industrial Area, Jamui</t>
  </si>
  <si>
    <t>Verna Industrial Estate GIDC</t>
  </si>
  <si>
    <t>Pharmaceutical formulations, electronics, food</t>
  </si>
  <si>
    <t>CTY-1051</t>
  </si>
  <si>
    <t>Mormugao Port (15 km)</t>
  </si>
  <si>
    <t>Jaora</t>
  </si>
  <si>
    <t>MPIDC estate directory for Madhya Pradesh; MSME-DI district industrial profile PDF for Jaora district; Google Maps industrial area layer</t>
  </si>
  <si>
    <t>MPIDC Industrial Area, Jaora</t>
  </si>
  <si>
    <t>CTY-1052</t>
  </si>
  <si>
    <t>Jashpur</t>
  </si>
  <si>
    <t>CSIDC estate directory for Chhattisgarh; MSME-DI district industrial profile PDF for Jashpur district; Google Maps industrial area layer</t>
  </si>
  <si>
    <t>CSIDC Industrial Area, Jashpur</t>
  </si>
  <si>
    <t>CTY-1053</t>
  </si>
  <si>
    <t>Jaspur</t>
  </si>
  <si>
    <t>SIIDCUL estate directory for Uttarakhand; MSME-DI district industrial profile PDF for Jaspur district; Google Maps industrial area layer</t>
  </si>
  <si>
    <t>SIIDCUL Industrial Area, Jaspur</t>
  </si>
  <si>
    <t>CTY-1054</t>
  </si>
  <si>
    <t>Jatni</t>
  </si>
  <si>
    <t>IDCO estate directory for Odisha; MSME-DI district industrial profile PDF for Jatni district; Google Maps industrial area layer</t>
  </si>
  <si>
    <t>IDCO Industrial Area, Jatni</t>
  </si>
  <si>
    <t>CTY-1055</t>
  </si>
  <si>
    <t>Jehanabad</t>
  </si>
  <si>
    <t>BIADA estate directory for Bihar; MSME-DI district industrial profile PDF for Jehanabad district; Google Maps industrial area layer</t>
  </si>
  <si>
    <t>BIADA Industrial Area, Jehanabad</t>
  </si>
  <si>
    <t>CTY-1056</t>
  </si>
  <si>
    <t>Jhabua</t>
  </si>
  <si>
    <t>MPIDC estate directory for Madhya Pradesh; MSME-DI district industrial profile PDF for Jhabua district; Google Maps industrial area layer</t>
  </si>
  <si>
    <t>MPIDC Industrial Area, Jhabua</t>
  </si>
  <si>
    <t>CTY-1057</t>
  </si>
  <si>
    <t>Jintur</t>
  </si>
  <si>
    <t>MIDC estate directory for Maharashtra; MSME-DI district industrial profile PDF for Jintur district; Google Maps industrial area layer</t>
  </si>
  <si>
    <t>MIDC Industrial Area, Jintur</t>
  </si>
  <si>
    <t>CTY-1058</t>
  </si>
  <si>
    <t>K R Pete</t>
  </si>
  <si>
    <t>KIADB estate directory for Karnataka; MSME-DI district industrial profile PDF for K R Pete district; Google Maps industrial area layer</t>
  </si>
  <si>
    <t>KIADB Industrial Area, K R Pete</t>
  </si>
  <si>
    <t>CTY-0137</t>
  </si>
  <si>
    <t>Vijayawada</t>
  </si>
  <si>
    <t>CTY-1059</t>
  </si>
  <si>
    <t>Autonagar Vijayawada, Kondapalli IDA</t>
  </si>
  <si>
    <t>Autonagar Vijayawada</t>
  </si>
  <si>
    <t>Kadur</t>
  </si>
  <si>
    <t>Krishnapatnam Port (150 km)</t>
  </si>
  <si>
    <t>KIADB estate directory for Karnataka; MSME-DI district industrial profile PDF for Kadur district; Google Maps industrial area layer</t>
  </si>
  <si>
    <t>KIADB Industrial Area, Kadur</t>
  </si>
  <si>
    <t>CTY-1060</t>
  </si>
  <si>
    <t>Kakatpur</t>
  </si>
  <si>
    <t>IDCO estate directory for Odisha; MSME-DI district industrial profile PDF for Kakatpur district; Google Maps industrial area layer</t>
  </si>
  <si>
    <t>IDCO Industrial Area, Kakatpur</t>
  </si>
  <si>
    <t>CTY-1061</t>
  </si>
  <si>
    <t>Kalanaur</t>
  </si>
  <si>
    <t>HSIIDC estate directory for Haryana; MSME-DI district industrial profile PDF for Kalanaur district; Google Maps industrial area layer</t>
  </si>
  <si>
    <t>HSIIDC Industrial Area, Kalanaur</t>
  </si>
  <si>
    <t>CTY-1062</t>
  </si>
  <si>
    <t>Kalanwali</t>
  </si>
  <si>
    <t>HSIIDC estate directory for Haryana; MSME-DI district industrial profile PDF for Kalanwali district; Google Maps industrial area layer</t>
  </si>
  <si>
    <t>HSIIDC Industrial Area, Kalanwali</t>
  </si>
  <si>
    <t>CTY-1063</t>
  </si>
  <si>
    <t>Kallakurichi</t>
  </si>
  <si>
    <t>SIPCOT estate directory for Tamil Nadu; MSME-DI district industrial profile PDF for Kallakurichi district; Google Maps industrial area layer</t>
  </si>
  <si>
    <t>SIPCOT Industrial Area, Kallakurichi</t>
  </si>
  <si>
    <t>CTY-1064</t>
  </si>
  <si>
    <t>Kalna</t>
  </si>
  <si>
    <t>WBIDC estate directory for West Bengal; MSME-DI district industrial profile PDF for Kalna district; Google Maps industrial area layer</t>
  </si>
  <si>
    <t>WBIDC Industrial Area, Kalna</t>
  </si>
  <si>
    <t>CTY-1065</t>
  </si>
  <si>
    <t>Kalyani-Extn</t>
  </si>
  <si>
    <t>WBIDC estate directory for West Bengal; MSME-DI district industrial profile PDF for Kalyani-Extn district; Google Maps industrial area layer</t>
  </si>
  <si>
    <t>WBIDC Industrial Area, Kalyani</t>
  </si>
  <si>
    <t>CTY-1066</t>
  </si>
  <si>
    <t>Kamareddy</t>
  </si>
  <si>
    <t>TSIIC estate directory for Telangana; MSME-DI district industrial profile PDF for Kamareddy district; Google Maps industrial area layer</t>
  </si>
  <si>
    <t>TSIIC Industrial Area, Kamareddy</t>
  </si>
  <si>
    <t>CTY-1067</t>
  </si>
  <si>
    <t>Kamrej</t>
  </si>
  <si>
    <t>GIDC estate directory for Gujarat; MSME-DI district industrial profile PDF for Kamrej district; Google Maps industrial area layer</t>
  </si>
  <si>
    <t>GIDC Industrial Area, Kamrej</t>
  </si>
  <si>
    <t>CTY-1068</t>
  </si>
  <si>
    <t>Kandhar</t>
  </si>
  <si>
    <t>MIDC estate directory for Maharashtra; MSME-DI district industrial profile PDF for Kandhar district; Google Maps industrial area layer</t>
  </si>
  <si>
    <t>MIDC Industrial Area, Kandhar</t>
  </si>
  <si>
    <t>CTY-1069</t>
  </si>
  <si>
    <t>Kanker</t>
  </si>
  <si>
    <t>CSIDC estate directory for Chhattisgarh; MSME-DI district industrial profile PDF for Kanker district; Google Maps industrial area layer</t>
  </si>
  <si>
    <t>CSIDC Industrial Area, Kanker</t>
  </si>
  <si>
    <t>CTY-1070</t>
  </si>
  <si>
    <t>Kannauj</t>
  </si>
  <si>
    <t>UPSIDA estate directory for Uttar Pradesh; MSME-DI district industrial profile PDF for Kannauj district; Google Maps industrial area layer</t>
  </si>
  <si>
    <t>UPSIDA Industrial Area, Kannauj</t>
  </si>
  <si>
    <t>CTY-1071</t>
  </si>
  <si>
    <t>Karaikudi</t>
  </si>
  <si>
    <t>SIPCOT estate directory for Tamil Nadu; MSME-DI district industrial profile PDF for Karaikudi district; Google Maps industrial area layer</t>
  </si>
  <si>
    <t>CTY-0138</t>
  </si>
  <si>
    <t>SIPCOT Industrial Area, Karaikudi</t>
  </si>
  <si>
    <t>Visakhapatnam</t>
  </si>
  <si>
    <t>CTY-1072</t>
  </si>
  <si>
    <t>Karunagappally</t>
  </si>
  <si>
    <t>Visakhapatnam SEZ, Pharma City Parawada, Autonagar</t>
  </si>
  <si>
    <t>Visakhapatnam SEZ</t>
  </si>
  <si>
    <t>KINFRA estate directory for Kerala; MSME-DI district industrial profile PDF for Karunagappally district; Google Maps industrial area layer</t>
  </si>
  <si>
    <t>Bulk drugs, API, petrochemicals, heavy engineering</t>
  </si>
  <si>
    <t>KINFRA Industrial Area, Karunagappally</t>
  </si>
  <si>
    <t>Visakhapatnam Port (0 km)</t>
  </si>
  <si>
    <t>CTY-1073</t>
  </si>
  <si>
    <t>Kasganj</t>
  </si>
  <si>
    <t>UPSIDA estate directory for Uttar Pradesh; MSME-DI district industrial profile PDF for Kasganj district; Google Maps industrial area layer</t>
  </si>
  <si>
    <t>UPSIDA Industrial Area, Kasganj</t>
  </si>
  <si>
    <t>CTY-1074</t>
  </si>
  <si>
    <t>Katwa</t>
  </si>
  <si>
    <t>WBIDC estate directory for West Bengal; MSME-DI district industrial profile PDF for Katwa district; Google Maps industrial area layer</t>
  </si>
  <si>
    <t>WBIDC Industrial Area, Katwa</t>
  </si>
  <si>
    <t>CTY-1075</t>
  </si>
  <si>
    <t>Kaushambi</t>
  </si>
  <si>
    <t>UPSIDA estate directory for Uttar Pradesh; MSME-DI district industrial profile PDF for Kaushambi district; Google Maps industrial area layer</t>
  </si>
  <si>
    <t>UPSIDA Industrial Area, Kaushambi</t>
  </si>
  <si>
    <t>CTY-1076</t>
  </si>
  <si>
    <t>Kawardha</t>
  </si>
  <si>
    <t>CSIDC estate directory for Chhattisgarh; MSME-DI district industrial profile PDF for Kawardha district; Google Maps industrial area layer</t>
  </si>
  <si>
    <t>CSIDC Industrial Area, Kawardha</t>
  </si>
  <si>
    <t>CTY-1077</t>
  </si>
  <si>
    <t>Kayamkulam</t>
  </si>
  <si>
    <t>KINFRA estate directory for Kerala; MSME-DI district industrial profile PDF for Kayamkulam district; Google Maps industrial area layer</t>
  </si>
  <si>
    <t>KINFRA Industrial Area, Kayamkulam</t>
  </si>
  <si>
    <t>CTY-1078</t>
  </si>
  <si>
    <t>Kekri</t>
  </si>
  <si>
    <t>RIICO estate directory for Rajasthan; MSME-DI district industrial profile PDF for Kekri district; Google Maps industrial area layer</t>
  </si>
  <si>
    <t>RIICO Industrial Area, Kekri</t>
  </si>
  <si>
    <t>CTY-1079</t>
  </si>
  <si>
    <t>Khagaria</t>
  </si>
  <si>
    <t>BIADA estate directory for Bihar; MSME-DI district industrial profile PDF for Khagaria district; Google Maps industrial area layer</t>
  </si>
  <si>
    <t>BIADA Industrial Area, Khagaria</t>
  </si>
  <si>
    <t>CTY-1080</t>
  </si>
  <si>
    <t>Khairthal</t>
  </si>
  <si>
    <t>RIICO estate directory for Rajasthan; MSME-DI district industrial profile PDF for Khairthal district; Google Maps industrial area layer</t>
  </si>
  <si>
    <t>RIICO Industrial Area, Khairthal</t>
  </si>
  <si>
    <t>CTY-1081</t>
  </si>
  <si>
    <t>Khambhat</t>
  </si>
  <si>
    <t>CTY-0139</t>
  </si>
  <si>
    <t>GIDC estate directory for Gujarat; MSME-DI district industrial profile PDF for Khambhat district; Google Maps industrial area layer</t>
  </si>
  <si>
    <t>Warangal</t>
  </si>
  <si>
    <t>GIDC Industrial Area, Khambhat</t>
  </si>
  <si>
    <t>Kakatiya Mega Textile Park, Warangal IDA</t>
  </si>
  <si>
    <t>Kakatiya Mega Textile Park</t>
  </si>
  <si>
    <t>CTY-1082</t>
  </si>
  <si>
    <t>Textile, food processing, agro</t>
  </si>
  <si>
    <t>Kharar</t>
  </si>
  <si>
    <t>PSIEC estate directory for Punjab; MSME-DI district industrial profile PDF for Kharar district; Google Maps industrial area layer</t>
  </si>
  <si>
    <t>PSIEC Industrial Area, Kharar</t>
  </si>
  <si>
    <t>CTY-1083</t>
  </si>
  <si>
    <t>Khargone</t>
  </si>
  <si>
    <t>MPIDC estate directory for Madhya Pradesh; MSME-DI district industrial profile PDF for Khargone district; Google Maps industrial area layer</t>
  </si>
  <si>
    <t>MPIDC Industrial Area, Khargone</t>
  </si>
  <si>
    <t>CTY-1084</t>
  </si>
  <si>
    <t>Kharkhoda</t>
  </si>
  <si>
    <t>HSIIDC estate directory for Haryana; MSME-DI district industrial profile PDF for Kharkhoda district; Google Maps industrial area layer</t>
  </si>
  <si>
    <t>HSIIDC Industrial Area, Kharkhoda</t>
  </si>
  <si>
    <t>CTY-1085</t>
  </si>
  <si>
    <t>Kharsia</t>
  </si>
  <si>
    <t>CSIDC estate directory for Chhattisgarh; MSME-DI district industrial profile PDF for Kharsia district; Google Maps industrial area layer</t>
  </si>
  <si>
    <t>CSIDC Industrial Area, Kharsia</t>
  </si>
  <si>
    <t>CTY-1086</t>
  </si>
  <si>
    <t>Khordha</t>
  </si>
  <si>
    <t>IDCO estate directory for Odisha; MSME-DI district industrial profile PDF for Khordha district; Google Maps industrial area layer</t>
  </si>
  <si>
    <t>IDCO Industrial Area, Khordha</t>
  </si>
  <si>
    <t>CTY-1087</t>
  </si>
  <si>
    <t>Khunti</t>
  </si>
  <si>
    <t>JIADA estate directory for Jharkhand; MSME-DI district industrial profile PDF for Khunti district; Google Maps industrial area layer</t>
  </si>
  <si>
    <t>JIADA Industrial Area, Khunti</t>
  </si>
  <si>
    <t>CTY-1088</t>
  </si>
  <si>
    <t>Kinwat</t>
  </si>
  <si>
    <t>MIDC estate directory for Maharashtra; MSME-DI district industrial profile PDF for Kinwat district; Google Maps industrial area layer</t>
  </si>
  <si>
    <t>MIDC Industrial Area, Kinwat</t>
  </si>
  <si>
    <t>CTY-1089</t>
  </si>
  <si>
    <t>Koderma</t>
  </si>
  <si>
    <t>JIADA estate directory for Jharkhand; MSME-DI district industrial profile PDF for Koderma district; Google Maps industrial area layer</t>
  </si>
  <si>
    <t>JIADA Industrial Area, Koderma</t>
  </si>
  <si>
    <t>CTY-1090</t>
  </si>
  <si>
    <t>Kodungallur</t>
  </si>
  <si>
    <t>KINFRA estate directory for Kerala; MSME-DI district industrial profile PDF for Kodungallur district; Google Maps industrial area layer</t>
  </si>
  <si>
    <t>KINFRA Industrial Area, Kodungallur</t>
  </si>
  <si>
    <t>CTY-1091</t>
  </si>
  <si>
    <t>Kokrajhar</t>
  </si>
  <si>
    <t>AIDC estate directory for Assam; MSME-DI district industrial profile PDF for Kokrajhar district; Google Maps industrial area layer</t>
  </si>
  <si>
    <t>AIDC Industrial Area, Kokrajhar</t>
  </si>
  <si>
    <t>CTY-1092</t>
  </si>
  <si>
    <t>Konark</t>
  </si>
  <si>
    <t>CTY-0140</t>
  </si>
  <si>
    <t>IDCO estate directory for Odisha; MSME-DI district industrial profile PDF for Konark district; Google Maps industrial area layer</t>
  </si>
  <si>
    <t>South Australia</t>
  </si>
  <si>
    <t>IDCO Industrial Area, Konark</t>
  </si>
  <si>
    <t>Adelaide</t>
  </si>
  <si>
    <t>CTY-1093</t>
  </si>
  <si>
    <t>Wingfield Industrial, Edinburgh Parks, Lonsdale</t>
  </si>
  <si>
    <t>Kondagaon</t>
  </si>
  <si>
    <t>Wingfield Industrial</t>
  </si>
  <si>
    <t>Wine, food processing, pharmaceutical</t>
  </si>
  <si>
    <t>CSIDC estate directory for Chhattisgarh; MSME-DI district industrial profile PDF for Kondagaon district; Google Maps industrial area layer</t>
  </si>
  <si>
    <t>CSIDC Industrial Area, Kondagaon</t>
  </si>
  <si>
    <t>Port Adelaide</t>
  </si>
  <si>
    <t>CTY-1094</t>
  </si>
  <si>
    <t>Kopargaon</t>
  </si>
  <si>
    <t>MIDC estate directory for Maharashtra; MSME-DI district industrial profile PDF for Kopargaon district; Google Maps industrial area layer</t>
  </si>
  <si>
    <t>MIDC Industrial Area, Kopargaon</t>
  </si>
  <si>
    <t>CTY-1095</t>
  </si>
  <si>
    <t>Korea</t>
  </si>
  <si>
    <t>CSIDC estate directory for Chhattisgarh; MSME-DI district industrial profile PDF for Korea district; Google Maps industrial area layer</t>
  </si>
  <si>
    <t>CSIDC Industrial Area, Korea</t>
  </si>
  <si>
    <t>CTY-1096</t>
  </si>
  <si>
    <t>Korutla</t>
  </si>
  <si>
    <t>TSIIC estate directory for Telangana; MSME-DI district industrial profile PDF for Korutla district; Google Maps industrial area layer</t>
  </si>
  <si>
    <t>TSIIC Industrial Area, Korutla</t>
  </si>
  <si>
    <t>CTY-1097</t>
  </si>
  <si>
    <t>Kothamangalam</t>
  </si>
  <si>
    <t>KINFRA estate directory for Kerala; MSME-DI district industrial profile PDF for Kothamangalam district; Google Maps industrial area layer</t>
  </si>
  <si>
    <t>KINFRA Industrial Area, Kothamangalam</t>
  </si>
  <si>
    <t>CTY-1098</t>
  </si>
  <si>
    <t>Kothur</t>
  </si>
  <si>
    <t>TSIIC estate directory for Telangana; MSME-DI district industrial profile PDF for Kothur district; Google Maps industrial area layer</t>
  </si>
  <si>
    <t>TSIIC Industrial Area, Kothur</t>
  </si>
  <si>
    <t>CTY-1099</t>
  </si>
  <si>
    <t>Kotputli</t>
  </si>
  <si>
    <t>RIICO estate directory for Rajasthan; MSME-DI district industrial profile PDF for Kotputli district; Google Maps industrial area layer</t>
  </si>
  <si>
    <t>RIICO Industrial Area, Kotputli</t>
  </si>
  <si>
    <t>CTY-1100</t>
  </si>
  <si>
    <t>Kottarakkara</t>
  </si>
  <si>
    <t>KINFRA estate directory for Kerala; MSME-DI district industrial profile PDF for Kottarakkara district; Google Maps industrial area layer</t>
  </si>
  <si>
    <t>KINFRA Industrial Area, Kottarakkara</t>
  </si>
  <si>
    <t>CTY-1101</t>
  </si>
  <si>
    <t>Krushnaprasad</t>
  </si>
  <si>
    <t>IDCO estate directory for Odisha; MSME-DI district industrial profile PDF for Krushnaprasad district; Google Maps industrial area layer</t>
  </si>
  <si>
    <t>IDCO Industrial Area, Krushnaprasad</t>
  </si>
  <si>
    <t>CTY-1102</t>
  </si>
  <si>
    <t>Kukshi</t>
  </si>
  <si>
    <t>MPIDC estate directory for Madhya Pradesh; MSME-DI district industrial profile PDF for Kukshi district; Google Maps industrial area layer</t>
  </si>
  <si>
    <t>MPIDC Industrial Area, Kukshi</t>
  </si>
  <si>
    <t>CTY-1103</t>
  </si>
  <si>
    <t>Kumbakonam</t>
  </si>
  <si>
    <t>SIPCOT estate directory for Tamil Nadu; MSME-DI district industrial profile PDF for Kumbakonam district; Google Maps industrial area layer</t>
  </si>
  <si>
    <t>SIPCOT Industrial Area, Kumbakonam</t>
  </si>
  <si>
    <t>CTY-1104</t>
  </si>
  <si>
    <t>Kumta</t>
  </si>
  <si>
    <t>KIADB estate directory for Karnataka; MSME-DI district industrial profile PDF for Kumta district; Google Maps industrial area layer</t>
  </si>
  <si>
    <t>KIADB Industrial Area, Kumta</t>
  </si>
  <si>
    <t>CTY-0141</t>
  </si>
  <si>
    <t>Queensland</t>
  </si>
  <si>
    <t>CTY-1105</t>
  </si>
  <si>
    <t>Brisbane</t>
  </si>
  <si>
    <t>Kunnamkulam</t>
  </si>
  <si>
    <t>Eagle Farm Industrial, Wacol, Rocklea</t>
  </si>
  <si>
    <t>Eagle Farm Industrial</t>
  </si>
  <si>
    <t>KINFRA estate directory for Kerala; MSME-DI district industrial profile PDF for Kunnamkulam district; Google Maps industrial area layer</t>
  </si>
  <si>
    <t>Food processing, brewery, pharmaceutical</t>
  </si>
  <si>
    <t>KINFRA Industrial Area, Kunnamkulam</t>
  </si>
  <si>
    <t>Port of Brisbane</t>
  </si>
  <si>
    <t>CTY-1106</t>
  </si>
  <si>
    <t>Kurali</t>
  </si>
  <si>
    <t>PSIEC estate directory for Punjab; MSME-DI district industrial profile PDF for Kurali district; Google Maps industrial area layer</t>
  </si>
  <si>
    <t>PSIEC Industrial Area, Kurali</t>
  </si>
  <si>
    <t>CTY-1107</t>
  </si>
  <si>
    <t>Kushinagar</t>
  </si>
  <si>
    <t>UPSIDA estate directory for Uttar Pradesh; MSME-DI district industrial profile PDF for Kushinagar district; Google Maps industrial area layer</t>
  </si>
  <si>
    <t>UPSIDA Industrial Area, Kushinagar</t>
  </si>
  <si>
    <t>CTY-1108</t>
  </si>
  <si>
    <t>Labpur</t>
  </si>
  <si>
    <t>WBIDC estate directory for West Bengal; MSME-DI district industrial profile PDF for Labpur district; Google Maps industrial area layer</t>
  </si>
  <si>
    <t>WBIDC Industrial Area, Labpur</t>
  </si>
  <si>
    <t>CTY-1109</t>
  </si>
  <si>
    <t>Ladnun</t>
  </si>
  <si>
    <t>RIICO estate directory for Rajasthan; MSME-DI district industrial profile PDF for Ladnun district; Google Maps industrial area layer</t>
  </si>
  <si>
    <t>RIICO Industrial Area, Ladnun</t>
  </si>
  <si>
    <t>CTY-1110</t>
  </si>
  <si>
    <t>Lakhimpur</t>
  </si>
  <si>
    <t>UPSIDA estate directory for Uttar Pradesh; MSME-DI district industrial profile PDF for Lakhimpur district; Google Maps industrial area layer</t>
  </si>
  <si>
    <t>UPSIDA Industrial Area, Lakhimpur</t>
  </si>
  <si>
    <t>CTY-1111</t>
  </si>
  <si>
    <t>Lakhimpur-Assam</t>
  </si>
  <si>
    <t>AIDC estate directory for Assam; MSME-DI district industrial profile PDF for Lakhimpur-Assam district; Google Maps industrial area layer</t>
  </si>
  <si>
    <t>AIDC Industrial Area, Lakhimpur</t>
  </si>
  <si>
    <t>CTY-1112</t>
  </si>
  <si>
    <t>Lakhisarai</t>
  </si>
  <si>
    <t>BIADA estate directory for Bihar; MSME-DI district industrial profile PDF for Lakhisarai district; Google Maps industrial area layer</t>
  </si>
  <si>
    <t>BIADA Industrial Area, Lakhisarai</t>
  </si>
  <si>
    <t>CTY-1113</t>
  </si>
  <si>
    <t>Lalitpur</t>
  </si>
  <si>
    <t>UPSIDA estate directory for Uttar Pradesh; MSME-DI district industrial profile PDF for Lalitpur district; Google Maps industrial area layer</t>
  </si>
  <si>
    <t>UPSIDA Industrial Area, Lalitpur</t>
  </si>
  <si>
    <t>CTY-1114</t>
  </si>
  <si>
    <t>CTY-0142</t>
  </si>
  <si>
    <t>Latehar</t>
  </si>
  <si>
    <t>Victoria</t>
  </si>
  <si>
    <t>Geelong</t>
  </si>
  <si>
    <t>JIADA estate directory for Jharkhand; MSME-DI district industrial profile PDF for Latehar district; Google Maps industrial area layer</t>
  </si>
  <si>
    <t>JIADA Industrial Area, Latehar</t>
  </si>
  <si>
    <t>Geelong Industrial Precinct, Corio</t>
  </si>
  <si>
    <t>Geelong Industrial Precinct</t>
  </si>
  <si>
    <t>Food processing, chemicals, brewery</t>
  </si>
  <si>
    <t>brewery &amp; food</t>
  </si>
  <si>
    <t>Port of Geelong</t>
  </si>
  <si>
    <t>CTY-1115</t>
  </si>
  <si>
    <t>Loha</t>
  </si>
  <si>
    <t>MIDC estate directory for Maharashtra; MSME-DI district industrial profile PDF for Loha district; Google Maps industrial area layer</t>
  </si>
  <si>
    <t>MIDC Industrial Area, Loha</t>
  </si>
  <si>
    <t>CTY-1116</t>
  </si>
  <si>
    <t>Lohardaga</t>
  </si>
  <si>
    <t>JIADA estate directory for Jharkhand; MSME-DI district industrial profile PDF for Lohardaga district; Google Maps industrial area layer</t>
  </si>
  <si>
    <t>JIADA Industrial Area, Lohardaga</t>
  </si>
  <si>
    <t>CTY-1117</t>
  </si>
  <si>
    <t>Loharu</t>
  </si>
  <si>
    <t>HSIIDC estate directory for Haryana; MSME-DI district industrial profile PDF for Loharu district; Google Maps industrial area layer</t>
  </si>
  <si>
    <t>HSIIDC Industrial Area, Loharu</t>
  </si>
  <si>
    <t>CTY-1118</t>
  </si>
  <si>
    <t>Lunawada</t>
  </si>
  <si>
    <t>GIDC estate directory for Gujarat; MSME-DI district industrial profile PDF for Lunawada district; Google Maps industrial area layer</t>
  </si>
  <si>
    <t>GIDC Industrial Area, Lunawada</t>
  </si>
  <si>
    <t>CTY-1119</t>
  </si>
  <si>
    <t>Maddur</t>
  </si>
  <si>
    <t>KIADB estate directory for Karnataka; MSME-DI district industrial profile PDF for Maddur district; Google Maps industrial area layer</t>
  </si>
  <si>
    <t>KIADB Industrial Area, Maddur</t>
  </si>
  <si>
    <t>CTY-1120</t>
  </si>
  <si>
    <t>Madhepura</t>
  </si>
  <si>
    <t>BIADA estate directory for Bihar; MSME-DI district industrial profile PDF for Madhepura district; Google Maps industrial area layer</t>
  </si>
  <si>
    <t>BIADA Industrial Area, Madhepura</t>
  </si>
  <si>
    <t>CTY-1121</t>
  </si>
  <si>
    <t>Maharajganj</t>
  </si>
  <si>
    <t>UPSIDA estate directory for Uttar Pradesh; MSME-DI district industrial profile PDF for Maharajganj district; Google Maps industrial area layer</t>
  </si>
  <si>
    <t>UPSIDA Industrial Area, Maharajganj</t>
  </si>
  <si>
    <t>CTY-1122</t>
  </si>
  <si>
    <t>Mahoba</t>
  </si>
  <si>
    <t>UPSIDA estate directory for Uttar Pradesh; MSME-DI district industrial profile PDF for Mahoba district; Google Maps industrial area layer</t>
  </si>
  <si>
    <t>UPSIDA Industrial Area, Mahoba</t>
  </si>
  <si>
    <t>CTY-1123</t>
  </si>
  <si>
    <t>Mainpuri</t>
  </si>
  <si>
    <t>CTY-0143</t>
  </si>
  <si>
    <t>UPSIDA estate directory for Uttar Pradesh; MSME-DI district industrial profile PDF for Mainpuri district; Google Maps industrial area layer</t>
  </si>
  <si>
    <t>Melbourne</t>
  </si>
  <si>
    <t>UPSIDA Industrial Area, Mainpuri</t>
  </si>
  <si>
    <t>Dandenong South Industrial, Laverton North, Broadmeadows</t>
  </si>
  <si>
    <t>CTY-1124</t>
  </si>
  <si>
    <t>Dandenong South Industrial</t>
  </si>
  <si>
    <t>Pharmaceutical, dairy processing, food, brewery</t>
  </si>
  <si>
    <t>Port of Melbourne</t>
  </si>
  <si>
    <t>Makrana</t>
  </si>
  <si>
    <t>RIICO estate directory for Rajasthan; MSME-DI district industrial profile PDF for Makrana district; Google Maps industrial area layer</t>
  </si>
  <si>
    <t>RIICO Industrial Area, Makrana</t>
  </si>
  <si>
    <t>CTY-1125</t>
  </si>
  <si>
    <t>Malerkotla</t>
  </si>
  <si>
    <t>PSIEC estate directory for Punjab; MSME-DI district industrial profile PDF for Malerkotla district; Google Maps industrial area layer</t>
  </si>
  <si>
    <t>PSIEC Industrial Area, Malerkotla</t>
  </si>
  <si>
    <t>CTY-1126</t>
  </si>
  <si>
    <t>Malpura</t>
  </si>
  <si>
    <t>RIICO estate directory for Rajasthan; MSME-DI district industrial profile PDF for Malpura district; Google Maps industrial area layer</t>
  </si>
  <si>
    <t>RIICO Industrial Area, Malpura</t>
  </si>
  <si>
    <t>CTY-1127</t>
  </si>
  <si>
    <t>Manawar</t>
  </si>
  <si>
    <t>MPIDC estate directory for Madhya Pradesh; MSME-DI district industrial profile PDF for Manawar district; Google Maps industrial area layer</t>
  </si>
  <si>
    <t>MPIDC Industrial Area, Manawar</t>
  </si>
  <si>
    <t>CTY-1128</t>
  </si>
  <si>
    <t>Mandla</t>
  </si>
  <si>
    <t>MPIDC estate directory for Madhya Pradesh; MSME-DI district industrial profile PDF for Mandla district; Google Maps industrial area layer</t>
  </si>
  <si>
    <t>MPIDC Industrial Area, Mandla</t>
  </si>
  <si>
    <t>CTY-1129</t>
  </si>
  <si>
    <t>Mandvi-Kutch</t>
  </si>
  <si>
    <t>GIDC estate directory for Gujarat; MSME-DI district industrial profile PDF for Mandvi-Kutch district; Google Maps industrial area layer</t>
  </si>
  <si>
    <t>GIDC Industrial Area, Mandvi</t>
  </si>
  <si>
    <t>CTY-1130</t>
  </si>
  <si>
    <t>Maner</t>
  </si>
  <si>
    <t>BIADA estate directory for Bihar; MSME-DI district industrial profile PDF for Maner district; Google Maps industrial area layer</t>
  </si>
  <si>
    <t>BIADA Industrial Area, Maner</t>
  </si>
  <si>
    <t>CTY-1131</t>
  </si>
  <si>
    <t>Mangrol-Surat</t>
  </si>
  <si>
    <t>GIDC estate directory for Gujarat; MSME-DI district industrial profile PDF for Mangrol-Surat district; Google Maps industrial area layer</t>
  </si>
  <si>
    <t>GIDC Industrial Area, Mangrol</t>
  </si>
  <si>
    <t>CTY-1132</t>
  </si>
  <si>
    <t>Manmad</t>
  </si>
  <si>
    <t>CTY-0144</t>
  </si>
  <si>
    <t>MIDC estate directory for Maharashtra; MSME-DI district industrial profile PDF for Manmad district; Google Maps industrial area layer</t>
  </si>
  <si>
    <t>Western Australia</t>
  </si>
  <si>
    <t>Perth</t>
  </si>
  <si>
    <t>MIDC Industrial Area, Manmad</t>
  </si>
  <si>
    <t>Kwinana Industrial Area, Welshpool, Canning Vale</t>
  </si>
  <si>
    <t>Kwinana Industrial Area</t>
  </si>
  <si>
    <t>CTY-1133</t>
  </si>
  <si>
    <t>Mining processing, chemicals, food</t>
  </si>
  <si>
    <t>Manoharabad</t>
  </si>
  <si>
    <t>Fremantle Port</t>
  </si>
  <si>
    <t>TSIIC estate directory for Telangana; MSME-DI district industrial profile PDF for Manoharabad district; Google Maps industrial area layer</t>
  </si>
  <si>
    <t>TSIIC Industrial Area, Manoharabad</t>
  </si>
  <si>
    <t>CTY-1134</t>
  </si>
  <si>
    <t>Manwath</t>
  </si>
  <si>
    <t>MIDC estate directory for Maharashtra; MSME-DI district industrial profile PDF for Manwath district; Google Maps industrial area layer</t>
  </si>
  <si>
    <t>MIDC Industrial Area, Manwath</t>
  </si>
  <si>
    <t>CTY-1135</t>
  </si>
  <si>
    <t>Maraimalai Nagar</t>
  </si>
  <si>
    <t>SIPCOT estate directory for Tamil Nadu; MSME-DI district industrial profile PDF for Maraimalai Nagar district; Google Maps industrial area layer</t>
  </si>
  <si>
    <t>SIPCOT Industrial Area, Maraimalai Nagar</t>
  </si>
  <si>
    <t>CTY-1136</t>
  </si>
  <si>
    <t>Masaurhi</t>
  </si>
  <si>
    <t>BIADA estate directory for Bihar; MSME-DI district industrial profile PDF for Masaurhi district; Google Maps industrial area layer</t>
  </si>
  <si>
    <t>BIADA Industrial Area, Masaurhi</t>
  </si>
  <si>
    <t>CTY-1137</t>
  </si>
  <si>
    <t>Masuda</t>
  </si>
  <si>
    <t>RIICO estate directory for Rajasthan; MSME-DI district industrial profile PDF for Masuda district; Google Maps industrial area layer</t>
  </si>
  <si>
    <t>RIICO Industrial Area, Masuda</t>
  </si>
  <si>
    <t>CTY-1138</t>
  </si>
  <si>
    <t>Mavelikara</t>
  </si>
  <si>
    <t>KINFRA estate directory for Kerala; MSME-DI district industrial profile PDF for Mavelikara district; Google Maps industrial area layer</t>
  </si>
  <si>
    <t>KINFRA Industrial Area, Mavelikara</t>
  </si>
  <si>
    <t>CTY-1139</t>
  </si>
  <si>
    <t>Mayiladuthurai</t>
  </si>
  <si>
    <t>SIPCOT estate directory for Tamil Nadu; MSME-DI district industrial profile PDF for Mayiladuthurai district; Google Maps industrial area layer</t>
  </si>
  <si>
    <t>SIPCOT Industrial Area, Mayiladuthurai</t>
  </si>
  <si>
    <t>CTY-1140</t>
  </si>
  <si>
    <t>Mayureswar</t>
  </si>
  <si>
    <t>WBIDC estate directory for West Bengal; MSME-DI district industrial profile PDF for Mayureswar district; Google Maps industrial area layer</t>
  </si>
  <si>
    <t>WBIDC Industrial Area, Mayureswar</t>
  </si>
  <si>
    <t>CTY-1141</t>
  </si>
  <si>
    <t>Medak</t>
  </si>
  <si>
    <t>CTY-0145</t>
  </si>
  <si>
    <t>New South Wales</t>
  </si>
  <si>
    <t>TSIIC estate directory for Telangana; MSME-DI district industrial profile PDF for Medak district; Google Maps industrial area layer</t>
  </si>
  <si>
    <t>Sydney</t>
  </si>
  <si>
    <t>TSIIC Industrial Area, Medak</t>
  </si>
  <si>
    <t>Smithfield Industrial, Wetherill Park, Rydalmere</t>
  </si>
  <si>
    <t>Smithfield Industrial</t>
  </si>
  <si>
    <t>CTY-1142</t>
  </si>
  <si>
    <t>Port Botany Sydney</t>
  </si>
  <si>
    <t>Meham</t>
  </si>
  <si>
    <t>HSIIDC estate directory for Haryana; MSME-DI district industrial profile PDF for Meham district; Google Maps industrial area layer</t>
  </si>
  <si>
    <t>HSIIDC Industrial Area, Meham</t>
  </si>
  <si>
    <t>CTY-1143</t>
  </si>
  <si>
    <t>Memari</t>
  </si>
  <si>
    <t>WBIDC estate directory for West Bengal; MSME-DI district industrial profile PDF for Memari district; Google Maps industrial area layer</t>
  </si>
  <si>
    <t>WBIDC Industrial Area, Memari</t>
  </si>
  <si>
    <t>CTY-1144</t>
  </si>
  <si>
    <t>Metpally</t>
  </si>
  <si>
    <t>TSIIC estate directory for Telangana; MSME-DI district industrial profile PDF for Metpally district; Google Maps industrial area layer</t>
  </si>
  <si>
    <t>TSIIC Industrial Area, Metpally</t>
  </si>
  <si>
    <t>CTY-1145</t>
  </si>
  <si>
    <t>Mokama</t>
  </si>
  <si>
    <t>BIADA estate directory for Bihar; MSME-DI district industrial profile PDF for Mokama district; Google Maps industrial area layer</t>
  </si>
  <si>
    <t>BIADA Industrial Area, Mokama</t>
  </si>
  <si>
    <t>CTY-1146</t>
  </si>
  <si>
    <t>Morigaon</t>
  </si>
  <si>
    <t>AIDC estate directory for Assam; MSME-DI district industrial profile PDF for Morigaon district; Google Maps industrial area layer</t>
  </si>
  <si>
    <t>AIDC Industrial Area, Morigaon</t>
  </si>
  <si>
    <t>CTY-1147</t>
  </si>
  <si>
    <t>Morinda</t>
  </si>
  <si>
    <t>PSIEC estate directory for Punjab; MSME-DI district industrial profile PDF for Morinda district; Google Maps industrial area layer</t>
  </si>
  <si>
    <t>PSIEC Industrial Area, Morinda</t>
  </si>
  <si>
    <t>CTY-1148</t>
  </si>
  <si>
    <t>Mudkhed</t>
  </si>
  <si>
    <t>MIDC estate directory for Maharashtra; MSME-DI district industrial profile PDF for Mudkhed district; Google Maps industrial area layer</t>
  </si>
  <si>
    <t>MIDC Industrial Area, Mudkhed</t>
  </si>
  <si>
    <t>CTY-1149</t>
  </si>
  <si>
    <t>CTY-0146</t>
  </si>
  <si>
    <t>Muharraq</t>
  </si>
  <si>
    <t>Mukhed</t>
  </si>
  <si>
    <t>Hidd</t>
  </si>
  <si>
    <t>MIDC estate directory for Maharashtra; MSME-DI district industrial profile PDF for Mukhed district; Google Maps industrial area layer</t>
  </si>
  <si>
    <t>MIDC Industrial Area, Mukhed</t>
  </si>
  <si>
    <t>Hidd Industrial Area, Bahrain International Investment Park</t>
  </si>
  <si>
    <t>Hidd Industrial Area</t>
  </si>
  <si>
    <t>Aluminium, food processing, engineering</t>
  </si>
  <si>
    <t>CTY-1150</t>
  </si>
  <si>
    <t>Mundgod</t>
  </si>
  <si>
    <t>KIADB estate directory for Karnataka; MSME-DI district industrial profile PDF for Mundgod district; Google Maps industrial area layer</t>
  </si>
  <si>
    <t>KIADB Industrial Area, Mundgod</t>
  </si>
  <si>
    <t>CTY-1151</t>
  </si>
  <si>
    <t>Mundra</t>
  </si>
  <si>
    <t>GIDC estate directory for Gujarat; MSME-DI district industrial profile PDF for Mundra district; Google Maps industrial area layer</t>
  </si>
  <si>
    <t>GIDC Industrial Area, Mundra</t>
  </si>
  <si>
    <t>CTY-1152</t>
  </si>
  <si>
    <t>Mungeli</t>
  </si>
  <si>
    <t>CSIDC estate directory for Chhattisgarh; MSME-DI district industrial profile PDF for Mungeli district; Google Maps industrial area layer</t>
  </si>
  <si>
    <t>CSIDC Industrial Area, Mungeli</t>
  </si>
  <si>
    <t>CTY-1153</t>
  </si>
  <si>
    <t>Murarai</t>
  </si>
  <si>
    <t>WBIDC estate directory for West Bengal; MSME-DI district industrial profile PDF for Murarai district; Google Maps industrial area layer</t>
  </si>
  <si>
    <t>WBIDC Industrial Area, Murarai</t>
  </si>
  <si>
    <t>CTY-1154</t>
  </si>
  <si>
    <t>Muvattupuzha</t>
  </si>
  <si>
    <t>KINFRA estate directory for Kerala; MSME-DI district industrial profile PDF for Muvattupuzha district; Google Maps industrial area layer</t>
  </si>
  <si>
    <t>KINFRA Industrial Area, Muvattupuzha</t>
  </si>
  <si>
    <t>CTY-1155</t>
  </si>
  <si>
    <t>Nabadwip</t>
  </si>
  <si>
    <t>WBIDC estate directory for West Bengal; MSME-DI district industrial profile PDF for Nabadwip district; Google Maps industrial area layer</t>
  </si>
  <si>
    <t>WBIDC Industrial Area, Nabadwip</t>
  </si>
  <si>
    <t>CTY-1156</t>
  </si>
  <si>
    <t>Nagamangala</t>
  </si>
  <si>
    <t>KIADB estate directory for Karnataka; MSME-DI district industrial profile PDF for Nagamangala district; Google Maps industrial area layer</t>
  </si>
  <si>
    <t>KIADB Industrial Area, Nagamangala</t>
  </si>
  <si>
    <t>CTY-1157</t>
  </si>
  <si>
    <t>Nagda</t>
  </si>
  <si>
    <t>MPIDC estate directory for Madhya Pradesh; MSME-DI district industrial profile PDF for Nagda district; Google Maps industrial area layer</t>
  </si>
  <si>
    <t>MPIDC Industrial Area, Nagda</t>
  </si>
  <si>
    <t>CTY-1158</t>
  </si>
  <si>
    <t>CTY-0147</t>
  </si>
  <si>
    <t>Naigaon</t>
  </si>
  <si>
    <t>Capital</t>
  </si>
  <si>
    <t>Manama</t>
  </si>
  <si>
    <t>MIDC estate directory for Maharashtra; MSME-DI district industrial profile PDF for Naigaon district; Google Maps industrial area layer</t>
  </si>
  <si>
    <t>MIDC Industrial Area, Naigaon</t>
  </si>
  <si>
    <t>Bahrain Investment Wharf, Sitra Industrial Area</t>
  </si>
  <si>
    <t>Bahrain Investment Wharf</t>
  </si>
  <si>
    <t>Pharmaceutical distribution, food, desalination</t>
  </si>
  <si>
    <t>CTY-1159</t>
  </si>
  <si>
    <t>Nainital</t>
  </si>
  <si>
    <t>SIIDCUL estate directory for Uttarakhand; MSME-DI district industrial profile PDF for Nainital district; Google Maps industrial area layer</t>
  </si>
  <si>
    <t>SIIDCUL Industrial Area, Nainital</t>
  </si>
  <si>
    <t>CTY-1160</t>
  </si>
  <si>
    <t>Najibabad</t>
  </si>
  <si>
    <t>UPSIDA estate directory for Uttar Pradesh; MSME-DI district industrial profile PDF for Najibabad district; Google Maps industrial area layer</t>
  </si>
  <si>
    <t>UPSIDA Industrial Area, Najibabad</t>
  </si>
  <si>
    <t>CTY-1161</t>
  </si>
  <si>
    <t>Nakodar</t>
  </si>
  <si>
    <t>PSIEC estate directory for Punjab; MSME-DI district industrial profile PDF for Nakodar district; Google Maps industrial area layer</t>
  </si>
  <si>
    <t>PSIEC Industrial Area, Nakodar</t>
  </si>
  <si>
    <t>CTY-1162</t>
  </si>
  <si>
    <t>Nalagarh-Punjab</t>
  </si>
  <si>
    <t>PSIEC estate directory for Punjab; MSME-DI district industrial profile PDF for Nalagarh-Punjab district; Google Maps industrial area layer</t>
  </si>
  <si>
    <t>PSIEC Industrial Area, Nalagarh</t>
  </si>
  <si>
    <t>CTY-1163</t>
  </si>
  <si>
    <t>Nalbari</t>
  </si>
  <si>
    <t>AIDC estate directory for Assam; MSME-DI district industrial profile PDF for Nalbari district; Google Maps industrial area layer</t>
  </si>
  <si>
    <t>AIDC Industrial Area, Nalbari</t>
  </si>
  <si>
    <t>CTY-1164</t>
  </si>
  <si>
    <t>Nalhati</t>
  </si>
  <si>
    <t>WBIDC estate directory for West Bengal; MSME-DI district industrial profile PDF for Nalhati district; Google Maps industrial area layer</t>
  </si>
  <si>
    <t>WBIDC Industrial Area, Nalhati</t>
  </si>
  <si>
    <t>CTY-1165</t>
  </si>
  <si>
    <t>Nangal</t>
  </si>
  <si>
    <t>PSIEC estate directory for Punjab; MSME-DI district industrial profile PDF for Nangal district; Google Maps industrial area layer</t>
  </si>
  <si>
    <t>PSIEC Industrial Area, Nangal</t>
  </si>
  <si>
    <t>CTY-1166</t>
  </si>
  <si>
    <t>Narayanpur</t>
  </si>
  <si>
    <t>CSIDC estate directory for Chhattisgarh; MSME-DI district industrial profile PDF for Narayanpur district; Google Maps industrial area layer</t>
  </si>
  <si>
    <t>CSIDC Industrial Area, Narayanpur</t>
  </si>
  <si>
    <t>CTY-1167</t>
  </si>
  <si>
    <t>Narendranagar</t>
  </si>
  <si>
    <t>CTY-0148</t>
  </si>
  <si>
    <t>SIIDCUL estate directory for Uttarakhand; MSME-DI district industrial profile PDF for Narendranagar district; Google Maps industrial area layer</t>
  </si>
  <si>
    <t>SIIDCUL Industrial Area, Narendranagar</t>
  </si>
  <si>
    <t>Sitra</t>
  </si>
  <si>
    <t>CTY-1168</t>
  </si>
  <si>
    <t>Sitra Industrial Area, BAPCO Refinery</t>
  </si>
  <si>
    <t>Sitra Industrial Area</t>
  </si>
  <si>
    <t>Refining, petrochemicals, desalination</t>
  </si>
  <si>
    <t>Narsapur</t>
  </si>
  <si>
    <t>Sitra Port</t>
  </si>
  <si>
    <t>TSIIC estate directory for Telangana; MSME-DI district industrial profile PDF for Narsapur district; Google Maps industrial area layer</t>
  </si>
  <si>
    <t>TSIIC Industrial Area, Narsapur</t>
  </si>
  <si>
    <t>CTY-1169</t>
  </si>
  <si>
    <t>Narsinghpur</t>
  </si>
  <si>
    <t>MPIDC estate directory for Madhya Pradesh; MSME-DI district industrial profile PDF for Narsinghpur district; Google Maps industrial area layer</t>
  </si>
  <si>
    <t>MPIDC Industrial Area, Narsinghpur</t>
  </si>
  <si>
    <t>CTY-1170</t>
  </si>
  <si>
    <t>Narsipatnam</t>
  </si>
  <si>
    <t>APIIC estate directory for Andhra Pradesh; MSME-DI district industrial profile PDF for Narsipatnam district; Google Maps industrial area layer</t>
  </si>
  <si>
    <t>APIIC Industrial Area, Narsipatnam</t>
  </si>
  <si>
    <t>CTY-1171</t>
  </si>
  <si>
    <t>Narwana</t>
  </si>
  <si>
    <t>HSIIDC estate directory for Haryana; MSME-DI district industrial profile PDF for Narwana district; Google Maps industrial area layer</t>
  </si>
  <si>
    <t>HSIIDC Industrial Area, Narwana</t>
  </si>
  <si>
    <t>CTY-1172</t>
  </si>
  <si>
    <t>Nasirabad</t>
  </si>
  <si>
    <t>RIICO estate directory for Rajasthan; MSME-DI district industrial profile PDF for Nasirabad district; Google Maps industrial area layer</t>
  </si>
  <si>
    <t>RIICO Industrial Area, Nasirabad</t>
  </si>
  <si>
    <t>CTY-1173</t>
  </si>
  <si>
    <t>Nathusari</t>
  </si>
  <si>
    <t>HSIIDC estate directory for Haryana; MSME-DI district industrial profile PDF for Nathusari district; Google Maps industrial area layer</t>
  </si>
  <si>
    <t>HSIIDC Industrial Area, Nathusari</t>
  </si>
  <si>
    <t>CTY-1174</t>
  </si>
  <si>
    <t>Naubatpur</t>
  </si>
  <si>
    <t>BIADA estate directory for Bihar; MSME-DI district industrial profile PDF for Naubatpur district; Google Maps industrial area layer</t>
  </si>
  <si>
    <t>BIADA Industrial Area, Naubatpur</t>
  </si>
  <si>
    <t>CTY-1175</t>
  </si>
  <si>
    <t>Nawada</t>
  </si>
  <si>
    <t>BIADA estate directory for Bihar; MSME-DI district industrial profile PDF for Nawada district; Google Maps industrial area layer</t>
  </si>
  <si>
    <t>BIADA Industrial Area, Nawada</t>
  </si>
  <si>
    <t>CTY-1176</t>
  </si>
  <si>
    <t>Nayagarh</t>
  </si>
  <si>
    <t>CTY-0149</t>
  </si>
  <si>
    <t>IDCO estate directory for Odisha; MSME-DI district industrial profile PDF for Nayagarh district; Google Maps industrial area layer</t>
  </si>
  <si>
    <t>Berlin</t>
  </si>
  <si>
    <t>IDCO Industrial Area, Nayagarh</t>
  </si>
  <si>
    <t>Berlin Adlershof Technology Park, Marienfelde</t>
  </si>
  <si>
    <t>CTY-1177</t>
  </si>
  <si>
    <t>Berlin Adlershof Technology Park</t>
  </si>
  <si>
    <t>Pharmaceutical, biotech, food</t>
  </si>
  <si>
    <t>Netrang</t>
  </si>
  <si>
    <t>Port of Hamburg</t>
  </si>
  <si>
    <t>GIDC estate directory for Gujarat; MSME-DI district industrial profile PDF for Netrang district; Google Maps industrial area layer</t>
  </si>
  <si>
    <t>GIDC Industrial Area, Netrang</t>
  </si>
  <si>
    <t>CTY-1178</t>
  </si>
  <si>
    <t>Newasa</t>
  </si>
  <si>
    <t>MIDC estate directory for Maharashtra; MSME-DI district industrial profile PDF for Newasa district; Google Maps industrial area layer</t>
  </si>
  <si>
    <t>MIDC Industrial Area, Newasa</t>
  </si>
  <si>
    <t>CTY-1179</t>
  </si>
  <si>
    <t>Neyveli</t>
  </si>
  <si>
    <t>SIPCOT estate directory for Tamil Nadu; MSME-DI district industrial profile PDF for Neyveli district; Google Maps industrial area layer</t>
  </si>
  <si>
    <t>SIPCOT Industrial Area, Neyveli</t>
  </si>
  <si>
    <t>CTY-1180</t>
  </si>
  <si>
    <t>Nilanga</t>
  </si>
  <si>
    <t>MIDC estate directory for Maharashtra; MSME-DI district industrial profile PDF for Nilanga district; Google Maps industrial area layer</t>
  </si>
  <si>
    <t>MIDC Industrial Area, Nilanga</t>
  </si>
  <si>
    <t>CTY-1181</t>
  </si>
  <si>
    <t>Nimapara</t>
  </si>
  <si>
    <t>IDCO estate directory for Odisha; MSME-DI district industrial profile PDF for Nimapara district; Google Maps industrial area layer</t>
  </si>
  <si>
    <t>IDCO Industrial Area, Nimapara</t>
  </si>
  <si>
    <t>CTY-1182</t>
  </si>
  <si>
    <t>Nizar</t>
  </si>
  <si>
    <t>GIDC estate directory for Gujarat; MSME-DI district industrial profile PDF for Nizar district; Google Maps industrial area layer</t>
  </si>
  <si>
    <t>GIDC Industrial Area, Nizar</t>
  </si>
  <si>
    <t>CTY-1183</t>
  </si>
  <si>
    <t>Nohar</t>
  </si>
  <si>
    <t>RIICO estate directory for Rajasthan; MSME-DI district industrial profile PDF for Nohar district; Google Maps industrial area layer</t>
  </si>
  <si>
    <t>RIICO Industrial Area, Nohar</t>
  </si>
  <si>
    <t>CTY-1184</t>
  </si>
  <si>
    <t>Orathanadu</t>
  </si>
  <si>
    <t>SIPCOT estate directory for Tamil Nadu; MSME-DI district industrial profile PDF for Orathanadu district; Google Maps industrial area layer</t>
  </si>
  <si>
    <t>SIPCOT Industrial Area, Orathanadu</t>
  </si>
  <si>
    <t>CTY-1185</t>
  </si>
  <si>
    <t>Ozar</t>
  </si>
  <si>
    <t>MIDC estate directory for Maharashtra; MSME-DI district industrial profile PDF for Ozar district; Google Maps industrial area layer</t>
  </si>
  <si>
    <t>MIDC Industrial Area, Ozar</t>
  </si>
  <si>
    <t>CTY-1186</t>
  </si>
  <si>
    <t>Padappai</t>
  </si>
  <si>
    <t>SIPCOT estate directory for Tamil Nadu; MSME-DI district industrial profile PDF for Padappai district; Google Maps industrial area layer</t>
  </si>
  <si>
    <t>SIPCOT Industrial Area, Padappai</t>
  </si>
  <si>
    <t>CTY-1187</t>
  </si>
  <si>
    <t>Pakur</t>
  </si>
  <si>
    <t>JIADA estate directory for Jharkhand; MSME-DI district industrial profile PDF for Pakur district; Google Maps industrial area layer</t>
  </si>
  <si>
    <t>JIADA Industrial Area, Pakur</t>
  </si>
  <si>
    <t>CTY-0150</t>
  </si>
  <si>
    <t>CTY-1188</t>
  </si>
  <si>
    <t>Baden-Wurttemberg</t>
  </si>
  <si>
    <t>Biberach</t>
  </si>
  <si>
    <t>Pala</t>
  </si>
  <si>
    <t>Biberach Biopharma Campus</t>
  </si>
  <si>
    <t>KINFRA estate directory for Kerala; MSME-DI district industrial profile PDF for Pala district; Google Maps industrial area layer</t>
  </si>
  <si>
    <t>Biologics, cell culture, biotech</t>
  </si>
  <si>
    <t>KINFRA Industrial Area, Pala</t>
  </si>
  <si>
    <t>CTY-1189</t>
  </si>
  <si>
    <t>Palakonda</t>
  </si>
  <si>
    <t>APIIC estate directory for Andhra Pradesh; MSME-DI district industrial profile PDF for Palakonda district; Google Maps industrial area layer</t>
  </si>
  <si>
    <t>APIIC Industrial Area, Palakonda</t>
  </si>
  <si>
    <t>CTY-1190</t>
  </si>
  <si>
    <t>Palam</t>
  </si>
  <si>
    <t>MIDC estate directory for Maharashtra; MSME-DI district industrial profile PDF for Palam district; Google Maps industrial area layer</t>
  </si>
  <si>
    <t>MIDC Industrial Area, Palam</t>
  </si>
  <si>
    <t>CTY-0151</t>
  </si>
  <si>
    <t>North Rhine-Westphalia</t>
  </si>
  <si>
    <t>Cologne</t>
  </si>
  <si>
    <t>CTY-1191</t>
  </si>
  <si>
    <t>Chempark Dormagen, Koln Nord</t>
  </si>
  <si>
    <t>Chempark Dormagen</t>
  </si>
  <si>
    <t>Palasa</t>
  </si>
  <si>
    <t>Chemicals, pharmaceutical, food</t>
  </si>
  <si>
    <t>APIIC estate directory for Andhra Pradesh; MSME-DI district industrial profile PDF for Palasa district; Google Maps industrial area layer</t>
  </si>
  <si>
    <t>APIIC Industrial Area, Palasa</t>
  </si>
  <si>
    <t>CTY-1192</t>
  </si>
  <si>
    <t>Paliganj</t>
  </si>
  <si>
    <t>BIADA estate directory for Bihar; MSME-DI district industrial profile PDF for Paliganj district; Google Maps industrial area layer</t>
  </si>
  <si>
    <t>BIADA Industrial Area, Paliganj</t>
  </si>
  <si>
    <t>CTY-1193</t>
  </si>
  <si>
    <t>Palsana</t>
  </si>
  <si>
    <t>GIDC estate directory for Gujarat; MSME-DI district industrial profile PDF for Palsana district; Google Maps industrial area layer</t>
  </si>
  <si>
    <t>GIDC Industrial Area, Palsana</t>
  </si>
  <si>
    <t>CTY-1194</t>
  </si>
  <si>
    <t>Pandavapura</t>
  </si>
  <si>
    <t>KIADB estate directory for Karnataka; MSME-DI district industrial profile PDF for Pandavapura district; Google Maps industrial area layer</t>
  </si>
  <si>
    <t>KIADB Industrial Area, Pandavapura</t>
  </si>
  <si>
    <t>CTY-1195</t>
  </si>
  <si>
    <t>Panipat-Samalkha</t>
  </si>
  <si>
    <t>HSIIDC estate directory for Haryana; MSME-DI district industrial profile PDF for Panipat-Samalkha district; Google Maps industrial area layer</t>
  </si>
  <si>
    <t>HSIIDC Industrial Area, Panipat</t>
  </si>
  <si>
    <t>CTY-1196</t>
  </si>
  <si>
    <t>Panna</t>
  </si>
  <si>
    <t>MPIDC estate directory for Madhya Pradesh; MSME-DI district industrial profile PDF for Panna district; Google Maps industrial area layer</t>
  </si>
  <si>
    <t>MPIDC Industrial Area, Panna</t>
  </si>
  <si>
    <t>CTY-1197</t>
  </si>
  <si>
    <t>Panruti</t>
  </si>
  <si>
    <t>SIPCOT estate directory for Tamil Nadu; MSME-DI district industrial profile PDF for Panruti district; Google Maps industrial area layer</t>
  </si>
  <si>
    <t>SIPCOT Industrial Area, Panruti</t>
  </si>
  <si>
    <t>CTY-1198</t>
  </si>
  <si>
    <t>Pantnagar</t>
  </si>
  <si>
    <t>SIIDCUL estate directory for Uttarakhand; MSME-DI district industrial profile PDF for Pantnagar district; Google Maps industrial area layer</t>
  </si>
  <si>
    <t>SIIDCUL Industrial Area, Pantnagar</t>
  </si>
  <si>
    <t>CTY-1199</t>
  </si>
  <si>
    <t>Papanasam</t>
  </si>
  <si>
    <t>SIPCOT estate directory for Tamil Nadu; MSME-DI district industrial profile PDF for Papanasam district; Google Maps industrial area layer</t>
  </si>
  <si>
    <t>SIPCOT Industrial Area, Papanasam</t>
  </si>
  <si>
    <t>CTY-1200</t>
  </si>
  <si>
    <t>Parbatsar</t>
  </si>
  <si>
    <t>RIICO estate directory for Rajasthan; MSME-DI district industrial profile PDF for Parbatsar district; Google Maps industrial area layer</t>
  </si>
  <si>
    <t>RIICO Industrial Area, Parbatsar</t>
  </si>
  <si>
    <t>CTY-1201</t>
  </si>
  <si>
    <t>Parvathipuram</t>
  </si>
  <si>
    <t>APIIC estate directory for Andhra Pradesh; MSME-DI district industrial profile PDF for Parvathipuram district; Google Maps industrial area layer</t>
  </si>
  <si>
    <t>APIIC Industrial Area, Parvathipuram</t>
  </si>
  <si>
    <t>CTY-1202</t>
  </si>
  <si>
    <t>Pathardi</t>
  </si>
  <si>
    <t>MIDC estate directory for Maharashtra; MSME-DI district industrial profile PDF for Pathardi district; Google Maps industrial area layer</t>
  </si>
  <si>
    <t>MIDC Industrial Area, Pathardi</t>
  </si>
  <si>
    <t>CTY-0152</t>
  </si>
  <si>
    <t>CTY-1203</t>
  </si>
  <si>
    <t>Saxony</t>
  </si>
  <si>
    <t>Dresden</t>
  </si>
  <si>
    <t>Pathri</t>
  </si>
  <si>
    <t>MIDC estate directory for Maharashtra; MSME-DI district industrial profile PDF for Pathri district; Google Maps industrial area layer</t>
  </si>
  <si>
    <t>Silicon Saxony, Dresden Nord Industrial</t>
  </si>
  <si>
    <t>MIDC Industrial Area, Pathri</t>
  </si>
  <si>
    <t>Silicon Saxony</t>
  </si>
  <si>
    <t>Semiconductors, microelectronics</t>
  </si>
  <si>
    <t>CTY-1204</t>
  </si>
  <si>
    <t>Pattukkottai</t>
  </si>
  <si>
    <t>SIPCOT estate directory for Tamil Nadu; MSME-DI district industrial profile PDF for Pattukkottai district; Google Maps industrial area layer</t>
  </si>
  <si>
    <t>SIPCOT Industrial Area, Pattukkottai</t>
  </si>
  <si>
    <t>CTY-1205</t>
  </si>
  <si>
    <t>Pauri</t>
  </si>
  <si>
    <t>SIIDCUL estate directory for Uttarakhand; MSME-DI district industrial profile PDF for Pauri district; Google Maps industrial area layer</t>
  </si>
  <si>
    <t>SIIDCUL Industrial Area, Pauri</t>
  </si>
  <si>
    <t>CTY-1206</t>
  </si>
  <si>
    <t>Peddapuram</t>
  </si>
  <si>
    <t>APIIC estate directory for Andhra Pradesh; MSME-DI district industrial profile PDF for Peddapuram district; Google Maps industrial area layer</t>
  </si>
  <si>
    <t>APIIC Industrial Area, Peddapuram</t>
  </si>
  <si>
    <t>CTY-1207</t>
  </si>
  <si>
    <t>Pendra</t>
  </si>
  <si>
    <t>CSIDC estate directory for Chhattisgarh; MSME-DI district industrial profile PDF for Pendra district; Google Maps industrial area layer</t>
  </si>
  <si>
    <t>CSIDC Industrial Area, Pendra</t>
  </si>
  <si>
    <t>CTY-1208</t>
  </si>
  <si>
    <t>Peravurani</t>
  </si>
  <si>
    <t>SIPCOT estate directory for Tamil Nadu; MSME-DI district industrial profile PDF for Peravurani district; Google Maps industrial area layer</t>
  </si>
  <si>
    <t>SIPCOT Industrial Area, Peravurani</t>
  </si>
  <si>
    <t>CTY-1209</t>
  </si>
  <si>
    <t>Perumbavoor</t>
  </si>
  <si>
    <t>KINFRA estate directory for Kerala; MSME-DI district industrial profile PDF for Perumbavoor district; Google Maps industrial area layer</t>
  </si>
  <si>
    <t>KINFRA Industrial Area, Perumbavoor</t>
  </si>
  <si>
    <t>CTY-1210</t>
  </si>
  <si>
    <t>Petlad</t>
  </si>
  <si>
    <t>GIDC estate directory for Gujarat; MSME-DI district industrial profile PDF for Petlad district; Google Maps industrial area layer</t>
  </si>
  <si>
    <t>GIDC Industrial Area, Petlad</t>
  </si>
  <si>
    <t>CTY-1211</t>
  </si>
  <si>
    <t>Phillaur</t>
  </si>
  <si>
    <t>PSIEC estate directory for Punjab; MSME-DI district industrial profile PDF for Phillaur district; Google Maps industrial area layer</t>
  </si>
  <si>
    <t>PSIEC Industrial Area, Phillaur</t>
  </si>
  <si>
    <t>CTY-1212</t>
  </si>
  <si>
    <t>CTY-0153</t>
  </si>
  <si>
    <t>Phulera</t>
  </si>
  <si>
    <t>Hesse</t>
  </si>
  <si>
    <t>Frankfurt</t>
  </si>
  <si>
    <t>RIICO estate directory for Rajasthan; MSME-DI district industrial profile PDF for Phulera district; Google Maps industrial area layer</t>
  </si>
  <si>
    <t>RIICO Industrial Area, Phulera</t>
  </si>
  <si>
    <t>Industriepark Hochst, Frankfurt Ost</t>
  </si>
  <si>
    <t>Industriepark Hochst</t>
  </si>
  <si>
    <t>Pharmaceutical, biotech, specialty chemicals</t>
  </si>
  <si>
    <t>CTY-1213</t>
  </si>
  <si>
    <t>Pilibanga</t>
  </si>
  <si>
    <t>RIICO estate directory for Rajasthan; MSME-DI district industrial profile PDF for Pilibanga district; Google Maps industrial area layer</t>
  </si>
  <si>
    <t>RIICO Industrial Area, Pilibanga</t>
  </si>
  <si>
    <t>CTY-1214</t>
  </si>
  <si>
    <t>Pipili</t>
  </si>
  <si>
    <t>IDCO estate directory for Odisha; MSME-DI district industrial profile PDF for Pipili district; Google Maps industrial area layer</t>
  </si>
  <si>
    <t>IDCO Industrial Area, Pipili</t>
  </si>
  <si>
    <t>CTY-1215</t>
  </si>
  <si>
    <t>Pisangan</t>
  </si>
  <si>
    <t>RIICO estate directory for Rajasthan; MSME-DI district industrial profile PDF for Pisangan district; Google Maps industrial area layer</t>
  </si>
  <si>
    <t>RIICO Industrial Area, Pisangan</t>
  </si>
  <si>
    <t>CTY-1216</t>
  </si>
  <si>
    <t>Pithapuram</t>
  </si>
  <si>
    <t>APIIC estate directory for Andhra Pradesh; MSME-DI district industrial profile PDF for Pithapuram district; Google Maps industrial area layer</t>
  </si>
  <si>
    <t>APIIC Industrial Area, Pithapuram</t>
  </si>
  <si>
    <t>CTY-1217</t>
  </si>
  <si>
    <t>Pithoragarh</t>
  </si>
  <si>
    <t>SIIDCUL estate directory for Uttarakhand; MSME-DI district industrial profile PDF for Pithoragarh district; Google Maps industrial area layer</t>
  </si>
  <si>
    <t>SIIDCUL Industrial Area, Pithoragarh</t>
  </si>
  <si>
    <t>CTY-1218</t>
  </si>
  <si>
    <t>Polur</t>
  </si>
  <si>
    <t>SIPCOT estate directory for Tamil Nadu; MSME-DI district industrial profile PDF for Polur district; Google Maps industrial area layer</t>
  </si>
  <si>
    <t>SIPCOT Industrial Area, Polur</t>
  </si>
  <si>
    <t>CTY-1219</t>
  </si>
  <si>
    <t>Pratapgarh</t>
  </si>
  <si>
    <t>UPSIDA estate directory for Uttar Pradesh; MSME-DI district industrial profile PDF for Pratapgarh district; Google Maps industrial area layer</t>
  </si>
  <si>
    <t>UPSIDA Industrial Area, Pratapgarh</t>
  </si>
  <si>
    <t>CTY-1220</t>
  </si>
  <si>
    <t>Punalur</t>
  </si>
  <si>
    <t>CTY-0154</t>
  </si>
  <si>
    <t>Hamburg</t>
  </si>
  <si>
    <t>KINFRA estate directory for Kerala; MSME-DI district industrial profile PDF for Punalur district; Google Maps industrial area layer</t>
  </si>
  <si>
    <t>KINFRA Industrial Area, Punalur</t>
  </si>
  <si>
    <t>Hamburg Harburg Industrial, Billbrook</t>
  </si>
  <si>
    <t>Hamburg Harburg Industrial</t>
  </si>
  <si>
    <t>CTY-1221</t>
  </si>
  <si>
    <t>Purna</t>
  </si>
  <si>
    <t>MIDC estate directory for Maharashtra; MSME-DI district industrial profile PDF for Purna district; Google Maps industrial area layer</t>
  </si>
  <si>
    <t>MIDC Industrial Area, Purna</t>
  </si>
  <si>
    <t>CTY-1222</t>
  </si>
  <si>
    <t>Rahuri</t>
  </si>
  <si>
    <t>MIDC estate directory for Maharashtra; MSME-DI district industrial profile PDF for Rahuri district; Google Maps industrial area layer</t>
  </si>
  <si>
    <t>MIDC Industrial Area, Rahuri</t>
  </si>
  <si>
    <t>CTY-1223</t>
  </si>
  <si>
    <t>Raikot</t>
  </si>
  <si>
    <t>PSIEC estate directory for Punjab; MSME-DI district industrial profile PDF for Raikot district; Google Maps industrial area layer</t>
  </si>
  <si>
    <t>PSIEC Industrial Area, Raikot</t>
  </si>
  <si>
    <t>CTY-1224</t>
  </si>
  <si>
    <t>Raisen</t>
  </si>
  <si>
    <t>MPIDC estate directory for Madhya Pradesh; MSME-DI district industrial profile PDF for Raisen district; Google Maps industrial area layer</t>
  </si>
  <si>
    <t>MPIDC Industrial Area, Raisen</t>
  </si>
  <si>
    <t>CTY-1225</t>
  </si>
  <si>
    <t>Rajam</t>
  </si>
  <si>
    <t>APIIC estate directory for Andhra Pradesh; MSME-DI district industrial profile PDF for Rajam district; Google Maps industrial area layer</t>
  </si>
  <si>
    <t>APIIC Industrial Area, Rajam</t>
  </si>
  <si>
    <t>CTY-1226</t>
  </si>
  <si>
    <t>Rajgarh</t>
  </si>
  <si>
    <t>RIICO estate directory for Rajasthan; MSME-DI district industrial profile PDF for Rajgarh district; Google Maps industrial area layer</t>
  </si>
  <si>
    <t>RIICO Industrial Area, Rajgarh</t>
  </si>
  <si>
    <t>CTY-1227</t>
  </si>
  <si>
    <t>MPIDC estate directory for Madhya Pradesh; MSME-DI district industrial profile PDF for Rajgarh district; Google Maps industrial area layer</t>
  </si>
  <si>
    <t>MPIDC Industrial Area, Rajgarh</t>
  </si>
  <si>
    <t>CTY-1228</t>
  </si>
  <si>
    <t>Rajpipla</t>
  </si>
  <si>
    <t>GIDC estate directory for Gujarat; MSME-DI district industrial profile PDF for Rajpipla district; Google Maps industrial area layer</t>
  </si>
  <si>
    <t>GIDC Industrial Area, Rajpipla</t>
  </si>
  <si>
    <t>CTY-1229</t>
  </si>
  <si>
    <t>CTY-0155</t>
  </si>
  <si>
    <t>Ramachandrapuram</t>
  </si>
  <si>
    <t>Rhineland-Palatinate</t>
  </si>
  <si>
    <t>Ingelheim</t>
  </si>
  <si>
    <t>APIIC estate directory for Andhra Pradesh; MSME-DI district industrial profile PDF for Ramachandrapuram district; Google Maps industrial area layer</t>
  </si>
  <si>
    <t>APIIC Industrial Area, Ramachandrapuram</t>
  </si>
  <si>
    <t>Ingelheim Pharma Campus</t>
  </si>
  <si>
    <t>Pharmaceutical, biologics, API</t>
  </si>
  <si>
    <t>CTY-1230</t>
  </si>
  <si>
    <t>Ramnagar</t>
  </si>
  <si>
    <t>SIIDCUL estate directory for Uttarakhand; MSME-DI district industrial profile PDF for Ramnagar district; Google Maps industrial area layer</t>
  </si>
  <si>
    <t>SIIDCUL Industrial Area, Ramnagar</t>
  </si>
  <si>
    <t>CTY-1231</t>
  </si>
  <si>
    <t>Rampurhat</t>
  </si>
  <si>
    <t>WBIDC estate directory for West Bengal; MSME-DI district industrial profile PDF for Rampurhat district; Google Maps industrial area layer</t>
  </si>
  <si>
    <t>WBIDC Industrial Area, Rampurhat</t>
  </si>
  <si>
    <t>CTY-1232</t>
  </si>
  <si>
    <t>Ranaghat</t>
  </si>
  <si>
    <t>WBIDC estate directory for West Bengal; MSME-DI district industrial profile PDF for Ranaghat district; Google Maps industrial area layer</t>
  </si>
  <si>
    <t>WBIDC Industrial Area, Ranaghat</t>
  </si>
  <si>
    <t>CTY-1233</t>
  </si>
  <si>
    <t>Ranasthalam</t>
  </si>
  <si>
    <t>APIIC estate directory for Andhra Pradesh; MSME-DI district industrial profile PDF for Ranasthalam district; Google Maps industrial area layer</t>
  </si>
  <si>
    <t>APIIC Industrial Area, Ranasthalam</t>
  </si>
  <si>
    <t>CTY-1234</t>
  </si>
  <si>
    <t>Rania</t>
  </si>
  <si>
    <t>HSIIDC estate directory for Haryana; MSME-DI district industrial profile PDF for Rania district; Google Maps industrial area layer</t>
  </si>
  <si>
    <t>HSIIDC Industrial Area, Rania</t>
  </si>
  <si>
    <t>CTY-1235</t>
  </si>
  <si>
    <t>Rapar</t>
  </si>
  <si>
    <t>GIDC estate directory for Gujarat; MSME-DI district industrial profile PDF for Rapar district; Google Maps industrial area layer</t>
  </si>
  <si>
    <t>GIDC Industrial Area, Rapar</t>
  </si>
  <si>
    <t>CTY-1236</t>
  </si>
  <si>
    <t>Ratangarh</t>
  </si>
  <si>
    <t>RIICO estate directory for Rajasthan; MSME-DI district industrial profile PDF for Ratangarh district; Google Maps industrial area layer</t>
  </si>
  <si>
    <t>RIICO Industrial Area, Ratangarh</t>
  </si>
  <si>
    <t>CTY-1237</t>
  </si>
  <si>
    <t>Ratia</t>
  </si>
  <si>
    <t>HSIIDC estate directory for Haryana; MSME-DI district industrial profile PDF for Ratia district; Google Maps industrial area layer</t>
  </si>
  <si>
    <t>HSIIDC Industrial Area, Ratia</t>
  </si>
  <si>
    <t>CTY-0156</t>
  </si>
  <si>
    <t>CTY-1238</t>
  </si>
  <si>
    <t>Leverkusen</t>
  </si>
  <si>
    <t>Rishikesh-IDPL</t>
  </si>
  <si>
    <t>Chempark Leverkusen</t>
  </si>
  <si>
    <t>SIIDCUL estate directory for Uttarakhand; MSME-DI district industrial profile PDF for Rishikesh-IDPL district; Google Maps industrial area layer</t>
  </si>
  <si>
    <t>Pharmaceutical, API, specialty chemicals</t>
  </si>
  <si>
    <t>CTY-1239</t>
  </si>
  <si>
    <t>Roopangarh</t>
  </si>
  <si>
    <t>RIICO estate directory for Rajasthan; MSME-DI district industrial profile PDF for Roopangarh district; Google Maps industrial area layer</t>
  </si>
  <si>
    <t>RIICO Industrial Area, Roopangarh</t>
  </si>
  <si>
    <t>CTY-1240</t>
  </si>
  <si>
    <t>Ropar</t>
  </si>
  <si>
    <t>PSIEC estate directory for Punjab; MSME-DI district industrial profile PDF for Ropar district; Google Maps industrial area layer</t>
  </si>
  <si>
    <t>PSIEC Industrial Area, Ropar</t>
  </si>
  <si>
    <t>CTY-1241</t>
  </si>
  <si>
    <t>Rudraprayag</t>
  </si>
  <si>
    <t>SIIDCUL estate directory for Uttarakhand; MSME-DI district industrial profile PDF for Rudraprayag district; Google Maps industrial area layer</t>
  </si>
  <si>
    <t>SIIDCUL Industrial Area, Rudraprayag</t>
  </si>
  <si>
    <t>CTY-1242</t>
  </si>
  <si>
    <t>Safidon</t>
  </si>
  <si>
    <t>HSIIDC estate directory for Haryana; MSME-DI district industrial profile PDF for Safidon district; Google Maps industrial area layer</t>
  </si>
  <si>
    <t>HSIIDC Industrial Area, Safidon</t>
  </si>
  <si>
    <t>CTY-1243</t>
  </si>
  <si>
    <t>Sagara</t>
  </si>
  <si>
    <t>KIADB estate directory for Karnataka; MSME-DI district industrial profile PDF for Sagara district; Google Maps industrial area layer</t>
  </si>
  <si>
    <t>KIADB Industrial Area, Sagara</t>
  </si>
  <si>
    <t>CTY-1244</t>
  </si>
  <si>
    <t>Saharsa</t>
  </si>
  <si>
    <t>BIADA estate directory for Bihar; MSME-DI district industrial profile PDF for Saharsa district; Google Maps industrial area layer</t>
  </si>
  <si>
    <t>BIADA Industrial Area, Saharsa</t>
  </si>
  <si>
    <t>CTY-1245</t>
  </si>
  <si>
    <t>Sailu</t>
  </si>
  <si>
    <t>MIDC estate directory for Maharashtra; MSME-DI district industrial profile PDF for Sailu district; Google Maps industrial area layer</t>
  </si>
  <si>
    <t>MIDC Industrial Area, Sailu</t>
  </si>
  <si>
    <t>CTY-1246</t>
  </si>
  <si>
    <t>Sainthia</t>
  </si>
  <si>
    <t>WBIDC estate directory for West Bengal; MSME-DI district industrial profile PDF for Sainthia district; Google Maps industrial area layer</t>
  </si>
  <si>
    <t>WBIDC Industrial Area, Sainthia</t>
  </si>
  <si>
    <t>CTY-1247</t>
  </si>
  <si>
    <t>CTY-0157</t>
  </si>
  <si>
    <t>Ludwigshafen</t>
  </si>
  <si>
    <t>Sakleshpur</t>
  </si>
  <si>
    <t>KIADB estate directory for Karnataka; MSME-DI district industrial profile PDF for Sakleshpur district; Google Maps industrial area layer</t>
  </si>
  <si>
    <t>BASF Verbund Site Ludwigshafen</t>
  </si>
  <si>
    <t>KIADB Industrial Area, Sakleshpur</t>
  </si>
  <si>
    <t>Petrochemicals, specialty chemicals, API</t>
  </si>
  <si>
    <t>CTY-1248</t>
  </si>
  <si>
    <t>Sakti</t>
  </si>
  <si>
    <t>CSIDC estate directory for Chhattisgarh; MSME-DI district industrial profile PDF for Sakti district; Google Maps industrial area layer</t>
  </si>
  <si>
    <t>CSIDC Industrial Area, Sakti</t>
  </si>
  <si>
    <t>CTY-1249</t>
  </si>
  <si>
    <t>Samalkot</t>
  </si>
  <si>
    <t>APIIC estate directory for Andhra Pradesh; MSME-DI district industrial profile PDF for Samalkot district; Google Maps industrial area layer</t>
  </si>
  <si>
    <t>APIIC Industrial Area, Samalkot</t>
  </si>
  <si>
    <t>CTY-1250</t>
  </si>
  <si>
    <t>Sambhal</t>
  </si>
  <si>
    <t>UPSIDA estate directory for Uttar Pradesh; MSME-DI district industrial profile PDF for Sambhal district; Google Maps industrial area layer</t>
  </si>
  <si>
    <t>UPSIDA Industrial Area, Sambhal</t>
  </si>
  <si>
    <t>CTY-1251</t>
  </si>
  <si>
    <t>Samrala</t>
  </si>
  <si>
    <t>PSIEC estate directory for Punjab; MSME-DI district industrial profile PDF for Samrala district; Google Maps industrial area layer</t>
  </si>
  <si>
    <t>PSIEC Industrial Area, Samrala</t>
  </si>
  <si>
    <t>CTY-1252</t>
  </si>
  <si>
    <t>Sangamner</t>
  </si>
  <si>
    <t>MIDC estate directory for Maharashtra; MSME-DI district industrial profile PDF for Sangamner district; Google Maps industrial area layer</t>
  </si>
  <si>
    <t>MIDC Industrial Area, Sangamner</t>
  </si>
  <si>
    <t>CTY-1253</t>
  </si>
  <si>
    <t>Santipur</t>
  </si>
  <si>
    <t>WBIDC estate directory for West Bengal; MSME-DI district industrial profile PDF for Santipur district; Google Maps industrial area layer</t>
  </si>
  <si>
    <t>WBIDC Industrial Area, Santipur</t>
  </si>
  <si>
    <t>CTY-1254</t>
  </si>
  <si>
    <t>Santrampur</t>
  </si>
  <si>
    <t>GIDC estate directory for Gujarat; MSME-DI district industrial profile PDF for Santrampur district; Google Maps industrial area layer</t>
  </si>
  <si>
    <t>GIDC Industrial Area, Santrampur</t>
  </si>
  <si>
    <t>CTY-1255</t>
  </si>
  <si>
    <t>Sardarpur</t>
  </si>
  <si>
    <t>MPIDC estate directory for Madhya Pradesh; MSME-DI district industrial profile PDF for Sardarpur district; Google Maps industrial area layer</t>
  </si>
  <si>
    <t>MPIDC Industrial Area, Sardarpur</t>
  </si>
  <si>
    <t>CTY-1256</t>
  </si>
  <si>
    <t>Sardarshahar</t>
  </si>
  <si>
    <t>RIICO estate directory for Rajasthan; MSME-DI district industrial profile PDF for Sardarshahar district; Google Maps industrial area layer</t>
  </si>
  <si>
    <t>CTY-0158</t>
  </si>
  <si>
    <t>RIICO Industrial Area, Sardarshahar</t>
  </si>
  <si>
    <t>Marburg</t>
  </si>
  <si>
    <t>CTY-1257</t>
  </si>
  <si>
    <t>Behringwerke Marburg Industrial Park</t>
  </si>
  <si>
    <t>Vaccines, biologics, plasma</t>
  </si>
  <si>
    <t>Sarwar</t>
  </si>
  <si>
    <t>RIICO estate directory for Rajasthan; MSME-DI district industrial profile PDF for Sarwar district; Google Maps industrial area layer</t>
  </si>
  <si>
    <t>RIICO Industrial Area, Sarwar</t>
  </si>
  <si>
    <t>CTY-1258</t>
  </si>
  <si>
    <t>Satyabadi</t>
  </si>
  <si>
    <t>IDCO estate directory for Odisha; MSME-DI district industrial profile PDF for Satyabadi district; Google Maps industrial area layer</t>
  </si>
  <si>
    <t>IDCO Industrial Area, Satyabadi</t>
  </si>
  <si>
    <t>CTY-1259</t>
  </si>
  <si>
    <t>Sehore</t>
  </si>
  <si>
    <t>MPIDC estate directory for Madhya Pradesh; MSME-DI district industrial profile PDF for Sehore district; Google Maps industrial area layer</t>
  </si>
  <si>
    <t>MPIDC Industrial Area, Sehore</t>
  </si>
  <si>
    <t>CTY-1260</t>
  </si>
  <si>
    <t>Selu</t>
  </si>
  <si>
    <t>MIDC estate directory for Maharashtra; MSME-DI district industrial profile PDF for Selu district; Google Maps industrial area layer</t>
  </si>
  <si>
    <t>MIDC Industrial Area, Selu</t>
  </si>
  <si>
    <t>CTY-1261</t>
  </si>
  <si>
    <t>Seoni</t>
  </si>
  <si>
    <t>MPIDC estate directory for Madhya Pradesh; MSME-DI district industrial profile PDF for Seoni district; Google Maps industrial area layer</t>
  </si>
  <si>
    <t>MPIDC Industrial Area, Seoni</t>
  </si>
  <si>
    <t>CTY-1262</t>
  </si>
  <si>
    <t>Shadnagar</t>
  </si>
  <si>
    <t>TSIIC estate directory for Telangana; MSME-DI district industrial profile PDF for Shadnagar district; Google Maps industrial area layer</t>
  </si>
  <si>
    <t>TSIIC Industrial Area, Shadnagar</t>
  </si>
  <si>
    <t>CTY-1263</t>
  </si>
  <si>
    <t>Shahdol</t>
  </si>
  <si>
    <t>MPIDC estate directory for Madhya Pradesh; MSME-DI district industrial profile PDF for Shahdol district; Google Maps industrial area layer</t>
  </si>
  <si>
    <t>MPIDC Industrial Area, Shahdol</t>
  </si>
  <si>
    <t>CTY-1264</t>
  </si>
  <si>
    <t>Shahkot</t>
  </si>
  <si>
    <t>PSIEC estate directory for Punjab; MSME-DI district industrial profile PDF for Shahkot district; Google Maps industrial area layer</t>
  </si>
  <si>
    <t>PSIEC Industrial Area, Shahkot</t>
  </si>
  <si>
    <t>CTY-1265</t>
  </si>
  <si>
    <t>Shahpura</t>
  </si>
  <si>
    <t>CTY-0159</t>
  </si>
  <si>
    <t>RIICO estate directory for Rajasthan; MSME-DI district industrial profile PDF for Shahpura district; Google Maps industrial area layer</t>
  </si>
  <si>
    <t>RIICO Industrial Area, Shahpura</t>
  </si>
  <si>
    <t>Bavaria</t>
  </si>
  <si>
    <t>Munich</t>
  </si>
  <si>
    <t>Martinsried Biotech Campus, Munich Nord</t>
  </si>
  <si>
    <t>CTY-1266</t>
  </si>
  <si>
    <t>Martinsried Biotech Campus</t>
  </si>
  <si>
    <t>Biotech, medical devices, brewery</t>
  </si>
  <si>
    <t>Shajapur</t>
  </si>
  <si>
    <t>MPIDC estate directory for Madhya Pradesh; MSME-DI district industrial profile PDF for Shajapur district; Google Maps industrial area layer</t>
  </si>
  <si>
    <t>MPIDC Industrial Area, Shajapur</t>
  </si>
  <si>
    <t>CTY-1267</t>
  </si>
  <si>
    <t>Sheikhpura</t>
  </si>
  <si>
    <t>BIADA estate directory for Bihar; MSME-DI district industrial profile PDF for Sheikhpura district; Google Maps industrial area layer</t>
  </si>
  <si>
    <t>BIADA Industrial Area, Sheikhpura</t>
  </si>
  <si>
    <t>CTY-1268</t>
  </si>
  <si>
    <t>Shevgaon</t>
  </si>
  <si>
    <t>MIDC estate directory for Maharashtra; MSME-DI district industrial profile PDF for Shevgaon district; Google Maps industrial area layer</t>
  </si>
  <si>
    <t>MIDC Industrial Area, Shevgaon</t>
  </si>
  <si>
    <t>CTY-1269</t>
  </si>
  <si>
    <t>Shikaripura</t>
  </si>
  <si>
    <t>KIADB estate directory for Karnataka; MSME-DI district industrial profile PDF for Shikaripura district; Google Maps industrial area layer</t>
  </si>
  <si>
    <t>KIADB Industrial Area, Shikaripura</t>
  </si>
  <si>
    <t>CTY-1270</t>
  </si>
  <si>
    <t>Shirdi</t>
  </si>
  <si>
    <t>MIDC estate directory for Maharashtra; MSME-DI district industrial profile PDF for Shirdi district; Google Maps industrial area layer</t>
  </si>
  <si>
    <t>MIDC Industrial Area, Shirdi</t>
  </si>
  <si>
    <t>CTY-1271</t>
  </si>
  <si>
    <t>Shrirampur</t>
  </si>
  <si>
    <t>MIDC estate directory for Maharashtra; MSME-DI district industrial profile PDF for Shrirampur district; Google Maps industrial area layer</t>
  </si>
  <si>
    <t>MIDC Industrial Area, Shrirampur</t>
  </si>
  <si>
    <t>CTY-1272</t>
  </si>
  <si>
    <t>Siddharthnagar</t>
  </si>
  <si>
    <t>UPSIDA estate directory for Uttar Pradesh; MSME-DI district industrial profile PDF for Siddharthnagar district; Google Maps industrial area layer</t>
  </si>
  <si>
    <t>UPSIDA Industrial Area, Siddharthnagar</t>
  </si>
  <si>
    <t>CTY-1273</t>
  </si>
  <si>
    <t>Sidhi</t>
  </si>
  <si>
    <t>MPIDC estate directory for Madhya Pradesh; MSME-DI district industrial profile PDF for Sidhi district; Google Maps industrial area layer</t>
  </si>
  <si>
    <t>MPIDC Industrial Area, Sidhi</t>
  </si>
  <si>
    <t>CTY-1274</t>
  </si>
  <si>
    <t>Simdega</t>
  </si>
  <si>
    <t>JIADA estate directory for Jharkhand; MSME-DI district industrial profile PDF for Simdega district; Google Maps industrial area layer</t>
  </si>
  <si>
    <t>CTY-0160</t>
  </si>
  <si>
    <t>JIADA Industrial Area, Simdega</t>
  </si>
  <si>
    <t>Stuttgart</t>
  </si>
  <si>
    <t>CTY-1275</t>
  </si>
  <si>
    <t>Stuttgart Feuerbach, Sindelfingen Industrial</t>
  </si>
  <si>
    <t>Stuttgart Feuerbach</t>
  </si>
  <si>
    <t>Sircilla</t>
  </si>
  <si>
    <t>Automotive, engineering, medical devices</t>
  </si>
  <si>
    <t>medical device</t>
  </si>
  <si>
    <t>TSIIC estate directory for Telangana; MSME-DI district industrial profile PDF for Sircilla district; Google Maps industrial area layer</t>
  </si>
  <si>
    <t>TSIIC Industrial Area, Sircilla</t>
  </si>
  <si>
    <t>CTY-1276</t>
  </si>
  <si>
    <t>Sirhind</t>
  </si>
  <si>
    <t>PSIEC estate directory for Punjab; MSME-DI district industrial profile PDF for Sirhind district; Google Maps industrial area layer</t>
  </si>
  <si>
    <t>PSIEC Industrial Area, Sirhind</t>
  </si>
  <si>
    <t>CTY-1277</t>
  </si>
  <si>
    <t>Sirkazhi</t>
  </si>
  <si>
    <t>SIPCOT estate directory for Tamil Nadu; MSME-DI district industrial profile PDF for Sirkazhi district; Google Maps industrial area layer</t>
  </si>
  <si>
    <t>SIPCOT Industrial Area, Sirkazhi</t>
  </si>
  <si>
    <t>CTY-1278</t>
  </si>
  <si>
    <t>Sirsi</t>
  </si>
  <si>
    <t>KIADB estate directory for Karnataka; MSME-DI district industrial profile PDF for Sirsi district; Google Maps industrial area layer</t>
  </si>
  <si>
    <t>KIADB Industrial Area, Sirsi</t>
  </si>
  <si>
    <t>CTY-1279</t>
  </si>
  <si>
    <t>Sompeta</t>
  </si>
  <si>
    <t>APIIC estate directory for Andhra Pradesh; MSME-DI district industrial profile PDF for Sompeta district; Google Maps industrial area layer</t>
  </si>
  <si>
    <t>APIIC Industrial Area, Sompeta</t>
  </si>
  <si>
    <t>CTY-1280</t>
  </si>
  <si>
    <t>Sonbhadra</t>
  </si>
  <si>
    <t>UPSIDA estate directory for Uttar Pradesh; MSME-DI district industrial profile PDF for Sonbhadra district; Google Maps industrial area layer</t>
  </si>
  <si>
    <t>UPSIDA Industrial Area, Sonbhadra</t>
  </si>
  <si>
    <t>CTY-1281</t>
  </si>
  <si>
    <t>Songadh</t>
  </si>
  <si>
    <t>GIDC estate directory for Gujarat; MSME-DI district industrial profile PDF for Songadh district; Google Maps industrial area layer</t>
  </si>
  <si>
    <t>GIDC Industrial Area, Songadh</t>
  </si>
  <si>
    <t>CTY-1282</t>
  </si>
  <si>
    <t>Sorab</t>
  </si>
  <si>
    <t>KIADB estate directory for Karnataka; MSME-DI district industrial profile PDF for Sorab district; Google Maps industrial area layer</t>
  </si>
  <si>
    <t>KIADB Industrial Area, Sorab</t>
  </si>
  <si>
    <t>CTY-1283</t>
  </si>
  <si>
    <t>Srinagar-UK</t>
  </si>
  <si>
    <t>SIIDCUL estate directory for Uttarakhand; MSME-DI district industrial profile PDF for Srinagar-UK district; Google Maps industrial area layer</t>
  </si>
  <si>
    <t>SIIDCUL Industrial Area, Srinagar</t>
  </si>
  <si>
    <t>CTY-1284</t>
  </si>
  <si>
    <t>Srirangapatna</t>
  </si>
  <si>
    <t>KIADB estate directory for Karnataka; MSME-DI district industrial profile PDF for Srirangapatna district; Google Maps industrial area layer</t>
  </si>
  <si>
    <t>CTY-0161</t>
  </si>
  <si>
    <t>KIADB Industrial Area, Srirangapatna</t>
  </si>
  <si>
    <t>Riau Islands</t>
  </si>
  <si>
    <t>Batam</t>
  </si>
  <si>
    <t>CTY-1285</t>
  </si>
  <si>
    <t>Batamindo Industrial Park, Kabil Integrated</t>
  </si>
  <si>
    <t>Sujangarh</t>
  </si>
  <si>
    <t>Batamindo Industrial Park</t>
  </si>
  <si>
    <t>Electronics, marine, oilfield</t>
  </si>
  <si>
    <t>RIICO estate directory for Rajasthan; MSME-DI district industrial profile PDF for Sujangarh district; Google Maps industrial area layer</t>
  </si>
  <si>
    <t>Batu Ampar Port</t>
  </si>
  <si>
    <t>RIICO Industrial Area, Sujangarh</t>
  </si>
  <si>
    <t>CTY-1286</t>
  </si>
  <si>
    <t>Sukma</t>
  </si>
  <si>
    <t>CSIDC estate directory for Chhattisgarh; MSME-DI district industrial profile PDF for Sukma district; Google Maps industrial area layer</t>
  </si>
  <si>
    <t>CSIDC Industrial Area, Sukma</t>
  </si>
  <si>
    <t>CTY-1287</t>
  </si>
  <si>
    <t>Surajpur</t>
  </si>
  <si>
    <t>CSIDC estate directory for Chhattisgarh; MSME-DI district industrial profile PDF for Surajpur district; Google Maps industrial area layer</t>
  </si>
  <si>
    <t>CSIDC Industrial Area, Surajpur</t>
  </si>
  <si>
    <t>CTY-1288</t>
  </si>
  <si>
    <t>Suri</t>
  </si>
  <si>
    <t>WBIDC estate directory for West Bengal; MSME-DI district industrial profile PDF for Suri district; Google Maps industrial area layer</t>
  </si>
  <si>
    <t>WBIDC Industrial Area, Suri</t>
  </si>
  <si>
    <t>CTY-1289</t>
  </si>
  <si>
    <t>Talcher</t>
  </si>
  <si>
    <t>IDCO estate directory for Odisha; MSME-DI district industrial profile PDF for Talcher district; Google Maps industrial area layer</t>
  </si>
  <si>
    <t>IDCO Industrial Area, Talcher</t>
  </si>
  <si>
    <t>CTY-1290</t>
  </si>
  <si>
    <t>Taranagar</t>
  </si>
  <si>
    <t>RIICO estate directory for Rajasthan; MSME-DI district industrial profile PDF for Taranagar district; Google Maps industrial area layer</t>
  </si>
  <si>
    <t>RIICO Industrial Area, Taranagar</t>
  </si>
  <si>
    <t>CTY-1291</t>
  </si>
  <si>
    <t>Tarikere</t>
  </si>
  <si>
    <t>KIADB estate directory for Karnataka; MSME-DI district industrial profile PDF for Tarikere district; Google Maps industrial area layer</t>
  </si>
  <si>
    <t>KIADB Industrial Area, Tarikere</t>
  </si>
  <si>
    <t>CTY-1292</t>
  </si>
  <si>
    <t>Tehri</t>
  </si>
  <si>
    <t>SIIDCUL estate directory for Uttarakhand; MSME-DI district industrial profile PDF for Tehri district; Google Maps industrial area layer</t>
  </si>
  <si>
    <t>SIIDCUL Industrial Area, Tehri</t>
  </si>
  <si>
    <t>CTY-1293</t>
  </si>
  <si>
    <t>Tekkali</t>
  </si>
  <si>
    <t>APIIC estate directory for Andhra Pradesh; MSME-DI district industrial profile PDF for Tekkali district; Google Maps industrial area layer</t>
  </si>
  <si>
    <t>APIIC Industrial Area, Tekkali</t>
  </si>
  <si>
    <t>CTY-0162</t>
  </si>
  <si>
    <t>CTY-1294</t>
  </si>
  <si>
    <t>West Java</t>
  </si>
  <si>
    <t>Bekasi</t>
  </si>
  <si>
    <t>Thasra</t>
  </si>
  <si>
    <t>Bekasi Industrial Estate, Hyundai Inti Development</t>
  </si>
  <si>
    <t>GIDC estate directory for Gujarat; MSME-DI district industrial profile PDF for Thasra district; Google Maps industrial area layer</t>
  </si>
  <si>
    <t>Bekasi Industrial Estate</t>
  </si>
  <si>
    <t>GIDC Industrial Area, Thasra</t>
  </si>
  <si>
    <t>Pharmaceutical, food processing, chemicals</t>
  </si>
  <si>
    <t>Tanjung Priok Port</t>
  </si>
  <si>
    <t>CTY-1295</t>
  </si>
  <si>
    <t>Thiruporur</t>
  </si>
  <si>
    <t>SIPCOT estate directory for Tamil Nadu; MSME-DI district industrial profile PDF for Thiruporur district; Google Maps industrial area layer</t>
  </si>
  <si>
    <t>SIPCOT Industrial Area, Thiruporur</t>
  </si>
  <si>
    <t>CTY-1296</t>
  </si>
  <si>
    <t>Thiruvalla</t>
  </si>
  <si>
    <t>KINFRA estate directory for Kerala; MSME-DI district industrial profile PDF for Thiruvalla district; Google Maps industrial area layer</t>
  </si>
  <si>
    <t>KINFRA Industrial Area, Thiruvalla</t>
  </si>
  <si>
    <t>CTY-1297</t>
  </si>
  <si>
    <t>Thodupuzha</t>
  </si>
  <si>
    <t>KINFRA estate directory for Kerala; MSME-DI district industrial profile PDF for Thodupuzha district; Google Maps industrial area layer</t>
  </si>
  <si>
    <t>KINFRA Industrial Area, Thodupuzha</t>
  </si>
  <si>
    <t>CTY-1298</t>
  </si>
  <si>
    <t>Tijara</t>
  </si>
  <si>
    <t>RIICO estate directory for Rajasthan; MSME-DI district industrial profile PDF for Tijara district; Google Maps industrial area layer</t>
  </si>
  <si>
    <t>RIICO Industrial Area, Tijara</t>
  </si>
  <si>
    <t>CTY-1299</t>
  </si>
  <si>
    <t>Tikamgarh</t>
  </si>
  <si>
    <t>MPIDC estate directory for Madhya Pradesh; MSME-DI district industrial profile PDF for Tikamgarh district; Google Maps industrial area layer</t>
  </si>
  <si>
    <t>MPIDC Industrial Area, Tikamgarh</t>
  </si>
  <si>
    <t>CTY-1300</t>
  </si>
  <si>
    <t>Tindivanam</t>
  </si>
  <si>
    <t>SIPCOT estate directory for Tamil Nadu; MSME-DI district industrial profile PDF for Tindivanam district; Google Maps industrial area layer</t>
  </si>
  <si>
    <t>SIPCOT Industrial Area, Tindivanam</t>
  </si>
  <si>
    <t>CTY-1301</t>
  </si>
  <si>
    <t>Tiruvannamalai</t>
  </si>
  <si>
    <t>SIPCOT estate directory for Tamil Nadu; MSME-DI district industrial profile PDF for Tiruvannamalai district; Google Maps industrial area layer</t>
  </si>
  <si>
    <t>SIPCOT Industrial Area, Tiruvannamalai</t>
  </si>
  <si>
    <t>CTY-1302</t>
  </si>
  <si>
    <t>Tohana</t>
  </si>
  <si>
    <t>HSIIDC estate directory for Haryana; MSME-DI district industrial profile PDF for Tohana district; Google Maps industrial area layer</t>
  </si>
  <si>
    <t>HSIIDC Industrial Area, Tohana</t>
  </si>
  <si>
    <t>CTY-0163</t>
  </si>
  <si>
    <t>CTY-1303</t>
  </si>
  <si>
    <t>Cikarang</t>
  </si>
  <si>
    <t>Toopran</t>
  </si>
  <si>
    <t>TSIIC estate directory for Telangana; MSME-DI district industrial profile PDF for Toopran district; Google Maps industrial area layer</t>
  </si>
  <si>
    <t>Jababeka Industrial Estate, MM2100, EJIP, Delta Silicon</t>
  </si>
  <si>
    <t>Jababeka Industrial Estate</t>
  </si>
  <si>
    <t>TSIIC Industrial Area, Toopran</t>
  </si>
  <si>
    <t>Pharmaceutical, food, automotive, electronics</t>
  </si>
  <si>
    <t>CTY-1304</t>
  </si>
  <si>
    <t>Tosham</t>
  </si>
  <si>
    <t>HSIIDC estate directory for Haryana; MSME-DI district industrial profile PDF for Tosham district; Google Maps industrial area layer</t>
  </si>
  <si>
    <t>HSIIDC Industrial Area, Tosham</t>
  </si>
  <si>
    <t>CTY-1305</t>
  </si>
  <si>
    <t>Tuni</t>
  </si>
  <si>
    <t>APIIC estate directory for Andhra Pradesh; MSME-DI district industrial profile PDF for Tuni district; Google Maps industrial area layer</t>
  </si>
  <si>
    <t>APIIC Industrial Area, Tuni</t>
  </si>
  <si>
    <t>CTY-1306</t>
  </si>
  <si>
    <t>Uchchhal</t>
  </si>
  <si>
    <t>GIDC estate directory for Gujarat; MSME-DI district industrial profile PDF for Uchchhal district; Google Maps industrial area layer</t>
  </si>
  <si>
    <t>GIDC Industrial Area, Uchchhal</t>
  </si>
  <si>
    <t>CTY-1307</t>
  </si>
  <si>
    <t>Udgir</t>
  </si>
  <si>
    <t>MIDC estate directory for Maharashtra; MSME-DI district industrial profile PDF for Udgir district; Google Maps industrial area layer</t>
  </si>
  <si>
    <t>MIDC Industrial Area, Udgir</t>
  </si>
  <si>
    <t>CTY-1308</t>
  </si>
  <si>
    <t>Ulundurpet</t>
  </si>
  <si>
    <t>SIPCOT estate directory for Tamil Nadu; MSME-DI district industrial profile PDF for Ulundurpet district; Google Maps industrial area layer</t>
  </si>
  <si>
    <t>SIPCOT Industrial Area, Ulundurpet</t>
  </si>
  <si>
    <t>CTY-1309</t>
  </si>
  <si>
    <t>Umaria</t>
  </si>
  <si>
    <t>MPIDC estate directory for Madhya Pradesh; MSME-DI district industrial profile PDF for Umaria district; Google Maps industrial area layer</t>
  </si>
  <si>
    <t>MPIDC Industrial Area, Umaria</t>
  </si>
  <si>
    <t>CTY-1310</t>
  </si>
  <si>
    <t>Umreth</t>
  </si>
  <si>
    <t>GIDC estate directory for Gujarat; MSME-DI district industrial profile PDF for Umreth district; Google Maps industrial area layer</t>
  </si>
  <si>
    <t>GIDC Industrial Area, Umreth</t>
  </si>
  <si>
    <t>CTY-1311</t>
  </si>
  <si>
    <t>Umri</t>
  </si>
  <si>
    <t>MIDC estate directory for Maharashtra; MSME-DI district industrial profile PDF for Umri district; Google Maps industrial area layer</t>
  </si>
  <si>
    <t>MIDC Industrial Area, Umri</t>
  </si>
  <si>
    <t>CTY-1312</t>
  </si>
  <si>
    <t>CTY-0164</t>
  </si>
  <si>
    <t>Uttarkashi</t>
  </si>
  <si>
    <t>Banten</t>
  </si>
  <si>
    <t>Cilegon</t>
  </si>
  <si>
    <t>SIIDCUL estate directory for Uttarakhand; MSME-DI district industrial profile PDF for Uttarkashi district; Google Maps industrial area layer</t>
  </si>
  <si>
    <t>SIIDCUL Industrial Area, Uttarkashi</t>
  </si>
  <si>
    <t>Krakatau Industrial Estate Cilegon</t>
  </si>
  <si>
    <t>Steel, petrochemicals, chemicals</t>
  </si>
  <si>
    <t>CTY-1313</t>
  </si>
  <si>
    <t>Merak Port</t>
  </si>
  <si>
    <t>Vagra-Dahej</t>
  </si>
  <si>
    <t>GIDC estate directory for Gujarat; MSME-DI district industrial profile PDF for Vagra-Dahej district; Google Maps industrial area layer</t>
  </si>
  <si>
    <t>CTY-1314</t>
  </si>
  <si>
    <t>Vaniyambadi</t>
  </si>
  <si>
    <t>SIPCOT estate directory for Tamil Nadu; MSME-DI district industrial profile PDF for Vaniyambadi district; Google Maps industrial area layer</t>
  </si>
  <si>
    <t>SIPCOT Industrial Area, Vaniyambadi</t>
  </si>
  <si>
    <t>CTY-1315</t>
  </si>
  <si>
    <t>Vemulawada</t>
  </si>
  <si>
    <t>TSIIC estate directory for Telangana; MSME-DI district industrial profile PDF for Vemulawada district; Google Maps industrial area layer</t>
  </si>
  <si>
    <t>TSIIC Industrial Area, Vemulawada</t>
  </si>
  <si>
    <t>CTY-1316</t>
  </si>
  <si>
    <t>Vikasnagar</t>
  </si>
  <si>
    <t>SIIDCUL estate directory for Uttarakhand; MSME-DI district industrial profile PDF for Vikasnagar district; Google Maps industrial area layer</t>
  </si>
  <si>
    <t>SIIDCUL Industrial Area, Vikasnagar</t>
  </si>
  <si>
    <t>CTY-1317</t>
  </si>
  <si>
    <t>Vikravandi</t>
  </si>
  <si>
    <t>SIPCOT estate directory for Tamil Nadu; MSME-DI district industrial profile PDF for Vikravandi district; Google Maps industrial area layer</t>
  </si>
  <si>
    <t>SIPCOT Industrial Area, Vikravandi</t>
  </si>
  <si>
    <t>CTY-1318</t>
  </si>
  <si>
    <t>Vyara</t>
  </si>
  <si>
    <t>GIDC estate directory for Gujarat; MSME-DI district industrial profile PDF for Vyara district; Google Maps industrial area layer</t>
  </si>
  <si>
    <t>GIDC Industrial Area, Vyara</t>
  </si>
  <si>
    <t>CTY-1319</t>
  </si>
  <si>
    <t>Yelamanchili</t>
  </si>
  <si>
    <t>APIIC estate directory for Andhra Pradesh; MSME-DI district industrial profile PDF for Yelamanchili district; Google Maps industrial area layer</t>
  </si>
  <si>
    <t>APIIC Industrial Area, Yelamanchili</t>
  </si>
  <si>
    <t>CTY-1320</t>
  </si>
  <si>
    <t>Yellareddy</t>
  </si>
  <si>
    <t>TSIIC estate directory for Telangana; MSME-DI district industrial profile PDF for Yellareddy district; Google Maps industrial area layer</t>
  </si>
  <si>
    <t>TSIIC Industrial Area, Yellareddy</t>
  </si>
  <si>
    <t>CTY-1321</t>
  </si>
  <si>
    <t>Yeola</t>
  </si>
  <si>
    <t>CTY-0165</t>
  </si>
  <si>
    <t>MIDC estate directory for Maharashtra; MSME-DI district industrial profile PDF for Yeola district; Google Maps industrial area layer</t>
  </si>
  <si>
    <t>MIDC Industrial Area, Yeola</t>
  </si>
  <si>
    <t>East Java</t>
  </si>
  <si>
    <t>Gresik</t>
  </si>
  <si>
    <t>CTY-1322</t>
  </si>
  <si>
    <t>Java Integrated Industrial Estate (JIIPE), Gresik Industrial</t>
  </si>
  <si>
    <t>Java Integrated Industrial Estate (JIIPE)</t>
  </si>
  <si>
    <t>Alice Springs</t>
  </si>
  <si>
    <t>Fertiliser, petrochemicals, food</t>
  </si>
  <si>
    <t>AS 1528 series for dairy and food tube; FSANZ for food contact; national investment authority and free-zone operator sites; local chamber of commerce directory</t>
  </si>
  <si>
    <t>Tanjung Perak Port</t>
  </si>
  <si>
    <t>CTY-1323</t>
  </si>
  <si>
    <t>Bathurst</t>
  </si>
  <si>
    <t>CTY-1324</t>
  </si>
  <si>
    <t>Broome</t>
  </si>
  <si>
    <t>CTY-1325</t>
  </si>
  <si>
    <t>Bunbury</t>
  </si>
  <si>
    <t>CTY-1326</t>
  </si>
  <si>
    <t>Bundaberg</t>
  </si>
  <si>
    <t>CTY-1327</t>
  </si>
  <si>
    <t>Burnie</t>
  </si>
  <si>
    <t>CTY-1328</t>
  </si>
  <si>
    <t>Coffs Harbour</t>
  </si>
  <si>
    <t>CTY-1329</t>
  </si>
  <si>
    <t>Devonport</t>
  </si>
  <si>
    <t>CTY-1330</t>
  </si>
  <si>
    <t>Dubbo</t>
  </si>
  <si>
    <t>CTY-1331</t>
  </si>
  <si>
    <t>Geraldton</t>
  </si>
  <si>
    <t>CTY-0166</t>
  </si>
  <si>
    <t>DKI Jakarta</t>
  </si>
  <si>
    <t>Jakarta</t>
  </si>
  <si>
    <t>Pulogadung Industrial Estate, JIEP, Marunda</t>
  </si>
  <si>
    <t>CTY-1332</t>
  </si>
  <si>
    <t>Pulogadung Industrial Estate</t>
  </si>
  <si>
    <t>Pharmaceutical, food and beverage, packaging</t>
  </si>
  <si>
    <t>Gladstone</t>
  </si>
  <si>
    <t>CTY-1333</t>
  </si>
  <si>
    <t>Goulburn</t>
  </si>
  <si>
    <t>CTY-1334</t>
  </si>
  <si>
    <t>Griffith</t>
  </si>
  <si>
    <t>CTY-1335</t>
  </si>
  <si>
    <t>Hervey Bay</t>
  </si>
  <si>
    <t>CTY-1336</t>
  </si>
  <si>
    <t>Horsham</t>
  </si>
  <si>
    <t>CTY-1337</t>
  </si>
  <si>
    <t>Kalgoorlie</t>
  </si>
  <si>
    <t>CTY-1338</t>
  </si>
  <si>
    <t>Karratha</t>
  </si>
  <si>
    <t>CTY-1339</t>
  </si>
  <si>
    <t>Katherine</t>
  </si>
  <si>
    <t>CTY-1340</t>
  </si>
  <si>
    <t>Lismore</t>
  </si>
  <si>
    <t>CTY-1341</t>
  </si>
  <si>
    <t>Mackay</t>
  </si>
  <si>
    <t>CTY-0167</t>
  </si>
  <si>
    <t>Karawang</t>
  </si>
  <si>
    <t>CTY-1342</t>
  </si>
  <si>
    <t>KIIC Karawang, Suryacipta City of Industry</t>
  </si>
  <si>
    <t>KIIC Karawang</t>
  </si>
  <si>
    <t>Pharmaceutical, automotive, food</t>
  </si>
  <si>
    <t>Mildura</t>
  </si>
  <si>
    <t>Patimban Port</t>
  </si>
  <si>
    <t>CTY-1343</t>
  </si>
  <si>
    <t>Mount Gambier</t>
  </si>
  <si>
    <t>CTY-1344</t>
  </si>
  <si>
    <t>Mount Isa</t>
  </si>
  <si>
    <t>CTY-1345</t>
  </si>
  <si>
    <t>Nowra</t>
  </si>
  <si>
    <t>CTY-1346</t>
  </si>
  <si>
    <t>Orange</t>
  </si>
  <si>
    <t>CTY-1347</t>
  </si>
  <si>
    <t>Port Augusta</t>
  </si>
  <si>
    <t>CTY-1348</t>
  </si>
  <si>
    <t>CTY-0168</t>
  </si>
  <si>
    <t>Port Hedland</t>
  </si>
  <si>
    <t>Surabaya</t>
  </si>
  <si>
    <t>SIER Rungkut Industrial Estate, Margomulyo</t>
  </si>
  <si>
    <t>SIER Rungkut Industrial Estate</t>
  </si>
  <si>
    <t>CTY-1349</t>
  </si>
  <si>
    <t>Port Lincoln</t>
  </si>
  <si>
    <t>CTY-1350</t>
  </si>
  <si>
    <t>Port Macquarie</t>
  </si>
  <si>
    <t>CTY-1351</t>
  </si>
  <si>
    <t>Rockhampton</t>
  </si>
  <si>
    <t>CTY-1352</t>
  </si>
  <si>
    <t>Sale-Victoria</t>
  </si>
  <si>
    <t>CTY-1353</t>
  </si>
  <si>
    <t>Sunshine Coast</t>
  </si>
  <si>
    <t>CTY-1354</t>
  </si>
  <si>
    <t>Tamworth</t>
  </si>
  <si>
    <t>CTY-1355</t>
  </si>
  <si>
    <t>Traralgon</t>
  </si>
  <si>
    <t>CTY-1356</t>
  </si>
  <si>
    <t>Whyalla</t>
  </si>
  <si>
    <t>CTY-1357</t>
  </si>
  <si>
    <t>Askar</t>
  </si>
  <si>
    <t>Bahrain Standards and Metrology Directorate; national investment authority and free-zone operator sites; local chamber of commerce directory</t>
  </si>
  <si>
    <t>CTY-0169</t>
  </si>
  <si>
    <t>Lombardy</t>
  </si>
  <si>
    <t>CTY-1358</t>
  </si>
  <si>
    <t>Bergamo</t>
  </si>
  <si>
    <t>Bergamo Industrial Zone, Zingonia</t>
  </si>
  <si>
    <t>Budaiya</t>
  </si>
  <si>
    <t>Bergamo Industrial Zone</t>
  </si>
  <si>
    <t>Pharmaceutical, chemicals, food</t>
  </si>
  <si>
    <t>Port of Genoa</t>
  </si>
  <si>
    <t>CTY-1359</t>
  </si>
  <si>
    <t>CTY-1360</t>
  </si>
  <si>
    <t>Zallaq</t>
  </si>
  <si>
    <t>CTY-1361</t>
  </si>
  <si>
    <t>Aachen</t>
  </si>
  <si>
    <t>CE marking under PED 2014/68/EU; AD 2000-Merkblatt for pressure parts; national investment authority and free-zone operator sites; local chamber of commerce directory</t>
  </si>
  <si>
    <t>CTY-1362</t>
  </si>
  <si>
    <t>Bamberg</t>
  </si>
  <si>
    <t>CTY-1363</t>
  </si>
  <si>
    <t>Bayreuth</t>
  </si>
  <si>
    <t>CTY-1364</t>
  </si>
  <si>
    <t>Bitterfeld</t>
  </si>
  <si>
    <t>CTY-1365</t>
  </si>
  <si>
    <t>Bonn</t>
  </si>
  <si>
    <t>CTY-1366</t>
  </si>
  <si>
    <t>Braunschweig</t>
  </si>
  <si>
    <t>CTY-1367</t>
  </si>
  <si>
    <t>Celle</t>
  </si>
  <si>
    <t>CTY-0170</t>
  </si>
  <si>
    <t>Emilia-Romagna</t>
  </si>
  <si>
    <t>Bologna</t>
  </si>
  <si>
    <t>Bologna Packaging Valley, Interporto</t>
  </si>
  <si>
    <t>CTY-1368</t>
  </si>
  <si>
    <t>Bologna Packaging Valley</t>
  </si>
  <si>
    <t>Packaging machinery, pharmaceutical, food</t>
  </si>
  <si>
    <t>Cottbus</t>
  </si>
  <si>
    <t>Port of Ravenna</t>
  </si>
  <si>
    <t>CTY-1369</t>
  </si>
  <si>
    <t>Darmstadt</t>
  </si>
  <si>
    <t>CTY-1370</t>
  </si>
  <si>
    <t>Dessau</t>
  </si>
  <si>
    <t>CTY-1371</t>
  </si>
  <si>
    <t>Emden</t>
  </si>
  <si>
    <t>CTY-1372</t>
  </si>
  <si>
    <t>Erfurt</t>
  </si>
  <si>
    <t>CTY-1373</t>
  </si>
  <si>
    <t>Erlangen</t>
  </si>
  <si>
    <t>CTY-1374</t>
  </si>
  <si>
    <t>Flensburg</t>
  </si>
  <si>
    <t>CTY-1375</t>
  </si>
  <si>
    <t>Frankfurt-Oder</t>
  </si>
  <si>
    <t>CTY-1376</t>
  </si>
  <si>
    <t>Fulda</t>
  </si>
  <si>
    <t>CTY-1377</t>
  </si>
  <si>
    <t>CTY-0171</t>
  </si>
  <si>
    <t>Gera</t>
  </si>
  <si>
    <t>Brescia</t>
  </si>
  <si>
    <t>Brescia Industrial District, Val Trompia</t>
  </si>
  <si>
    <t>Brescia Industrial District</t>
  </si>
  <si>
    <t>Valves and fittings, steel, engineering</t>
  </si>
  <si>
    <t>CTY-1378</t>
  </si>
  <si>
    <t>Giessen</t>
  </si>
  <si>
    <t>CTY-1379</t>
  </si>
  <si>
    <t>Gorlitz</t>
  </si>
  <si>
    <t>CTY-1380</t>
  </si>
  <si>
    <t>Gottingen</t>
  </si>
  <si>
    <t>CTY-1381</t>
  </si>
  <si>
    <t>Hanau</t>
  </si>
  <si>
    <t>CTY-1382</t>
  </si>
  <si>
    <t>Heidelberg</t>
  </si>
  <si>
    <t>CTY-1383</t>
  </si>
  <si>
    <t>Heilbronn</t>
  </si>
  <si>
    <t>CTY-1384</t>
  </si>
  <si>
    <t>Hildesheim</t>
  </si>
  <si>
    <t>CTY-1385</t>
  </si>
  <si>
    <t>Ingolstadt</t>
  </si>
  <si>
    <t>CTY-1386</t>
  </si>
  <si>
    <t>Jena</t>
  </si>
  <si>
    <t>CTY-0172</t>
  </si>
  <si>
    <t>Lazio</t>
  </si>
  <si>
    <t>CTY-1387</t>
  </si>
  <si>
    <t>Latina</t>
  </si>
  <si>
    <t>Kaiserslautern</t>
  </si>
  <si>
    <t>Latina Pharma Valley Industrial Area</t>
  </si>
  <si>
    <t>Pharmaceutical, API, biologics</t>
  </si>
  <si>
    <t>CTY-1388</t>
  </si>
  <si>
    <t>Port of Civitavecchia</t>
  </si>
  <si>
    <t>Kassel</t>
  </si>
  <si>
    <t>CTY-1389</t>
  </si>
  <si>
    <t>Kempten</t>
  </si>
  <si>
    <t>CTY-1390</t>
  </si>
  <si>
    <t>Koblenz</t>
  </si>
  <si>
    <t>CTY-1391</t>
  </si>
  <si>
    <t>Konstanz</t>
  </si>
  <si>
    <t>CTY-1392</t>
  </si>
  <si>
    <t>Landshut</t>
  </si>
  <si>
    <t>CTY-1393</t>
  </si>
  <si>
    <t>Lubeck</t>
  </si>
  <si>
    <t>CTY-1394</t>
  </si>
  <si>
    <t>Luneburg</t>
  </si>
  <si>
    <t>CTY-1395</t>
  </si>
  <si>
    <t>Mainz</t>
  </si>
  <si>
    <t>CTY-1396</t>
  </si>
  <si>
    <t>Merseburg</t>
  </si>
  <si>
    <t>CTY-0173</t>
  </si>
  <si>
    <t>CTY-1397</t>
  </si>
  <si>
    <t>Milan</t>
  </si>
  <si>
    <t>Munster</t>
  </si>
  <si>
    <t>Sesto San Giovanni Industrial, Assago, Rho</t>
  </si>
  <si>
    <t>Sesto San Giovanni Industrial</t>
  </si>
  <si>
    <t>Pharmaceutical, biotech, food processing</t>
  </si>
  <si>
    <t>CTY-1398</t>
  </si>
  <si>
    <t>Neubrandenburg</t>
  </si>
  <si>
    <t>CTY-1399</t>
  </si>
  <si>
    <t>Offenbach</t>
  </si>
  <si>
    <t>CTY-1400</t>
  </si>
  <si>
    <t>Oldenburg</t>
  </si>
  <si>
    <t>CTY-1401</t>
  </si>
  <si>
    <t>Osnabruck</t>
  </si>
  <si>
    <t>CTY-1402</t>
  </si>
  <si>
    <t>Paderborn</t>
  </si>
  <si>
    <t>CTY-1403</t>
  </si>
  <si>
    <t>Pforzheim</t>
  </si>
  <si>
    <t>CTY-1404</t>
  </si>
  <si>
    <t>Plauen</t>
  </si>
  <si>
    <t>CTY-1405</t>
  </si>
  <si>
    <t>Potsdam</t>
  </si>
  <si>
    <t>CTY-1406</t>
  </si>
  <si>
    <t>Reutlingen</t>
  </si>
  <si>
    <t>CTY-0174</t>
  </si>
  <si>
    <t>Modena</t>
  </si>
  <si>
    <t>CTY-1407</t>
  </si>
  <si>
    <t>Modena Industrial District, Carpi</t>
  </si>
  <si>
    <t>Rosenheim</t>
  </si>
  <si>
    <t>Modena Industrial District</t>
  </si>
  <si>
    <t>Food machinery, ceramics, automotive</t>
  </si>
  <si>
    <t>CTY-1408</t>
  </si>
  <si>
    <t>Saarbrucken</t>
  </si>
  <si>
    <t>CTY-1409</t>
  </si>
  <si>
    <t>Salzgitter</t>
  </si>
  <si>
    <t>CTY-1410</t>
  </si>
  <si>
    <t>Schwerin</t>
  </si>
  <si>
    <t>CTY-1411</t>
  </si>
  <si>
    <t>Siegen</t>
  </si>
  <si>
    <t>CTY-1412</t>
  </si>
  <si>
    <t>Trier</t>
  </si>
  <si>
    <t>CTY-1413</t>
  </si>
  <si>
    <t>Tubingen</t>
  </si>
  <si>
    <t>CTY-1414</t>
  </si>
  <si>
    <t>Weissenfels</t>
  </si>
  <si>
    <t>CTY-1415</t>
  </si>
  <si>
    <t>Wiesbaden</t>
  </si>
  <si>
    <t>CTY-1416</t>
  </si>
  <si>
    <t>Wilhelmshaven</t>
  </si>
  <si>
    <t>CTY-0175</t>
  </si>
  <si>
    <t>Veneto</t>
  </si>
  <si>
    <t>CTY-1417</t>
  </si>
  <si>
    <t>Padua</t>
  </si>
  <si>
    <t>Padova ZIP Industrial Zone</t>
  </si>
  <si>
    <t>Wolfsburg</t>
  </si>
  <si>
    <t>Port of Venice</t>
  </si>
  <si>
    <t>CTY-1418</t>
  </si>
  <si>
    <t>Worms</t>
  </si>
  <si>
    <t>CTY-1419</t>
  </si>
  <si>
    <t>Wurzburg</t>
  </si>
  <si>
    <t>CTY-1420</t>
  </si>
  <si>
    <t>Zwickau</t>
  </si>
  <si>
    <t>CTY-1421</t>
  </si>
  <si>
    <t>Ambon</t>
  </si>
  <si>
    <t>BSN with SNI marking; BPOM for pharma facilities; BPJPH for halal; national investment authority and free-zone operator sites; local chamber of commerce directory</t>
  </si>
  <si>
    <t>CTY-1422</t>
  </si>
  <si>
    <t>Banda Aceh</t>
  </si>
  <si>
    <t>CTY-1423</t>
  </si>
  <si>
    <t>Banjarmasin</t>
  </si>
  <si>
    <t>CTY-1424</t>
  </si>
  <si>
    <t>Banyuwangi</t>
  </si>
  <si>
    <t>CTY-1425</t>
  </si>
  <si>
    <t>Cilacap</t>
  </si>
  <si>
    <t>CTY-1426</t>
  </si>
  <si>
    <t>Cirebon</t>
  </si>
  <si>
    <t>CTY-0176</t>
  </si>
  <si>
    <t>Parma</t>
  </si>
  <si>
    <t>CTY-1427</t>
  </si>
  <si>
    <t>Parma Food Valley Industrial District</t>
  </si>
  <si>
    <t>Denpasar</t>
  </si>
  <si>
    <t>Food processing, dairy, packaging machinery</t>
  </si>
  <si>
    <t>CTY-1428</t>
  </si>
  <si>
    <t>Garut</t>
  </si>
  <si>
    <t>CTY-1429</t>
  </si>
  <si>
    <t>Indramayu</t>
  </si>
  <si>
    <t>CTY-1430</t>
  </si>
  <si>
    <t>Jambi</t>
  </si>
  <si>
    <t>CTY-1431</t>
  </si>
  <si>
    <t>Jayapura</t>
  </si>
  <si>
    <t>CTY-1432</t>
  </si>
  <si>
    <t>Jember</t>
  </si>
  <si>
    <t>CTY-1433</t>
  </si>
  <si>
    <t>Kediri</t>
  </si>
  <si>
    <t>CTY-1434</t>
  </si>
  <si>
    <t>Kendari</t>
  </si>
  <si>
    <t>CTY-1435</t>
  </si>
  <si>
    <t>Kudus</t>
  </si>
  <si>
    <t>CTY-1436</t>
  </si>
  <si>
    <t>CTY-0177</t>
  </si>
  <si>
    <t>Kupang</t>
  </si>
  <si>
    <t>Piedmont</t>
  </si>
  <si>
    <t>Turin</t>
  </si>
  <si>
    <t>Mirafiori Industrial, Torino Nord</t>
  </si>
  <si>
    <t>Mirafiori Industrial</t>
  </si>
  <si>
    <t>Automotive, food, engineering</t>
  </si>
  <si>
    <t>CTY-1437</t>
  </si>
  <si>
    <t>Lampung</t>
  </si>
  <si>
    <t>CTY-1438</t>
  </si>
  <si>
    <t>Madiun</t>
  </si>
  <si>
    <t>CTY-1439</t>
  </si>
  <si>
    <t>Magelang</t>
  </si>
  <si>
    <t>CTY-1440</t>
  </si>
  <si>
    <t>Malang</t>
  </si>
  <si>
    <t>CTY-1441</t>
  </si>
  <si>
    <t>Manado</t>
  </si>
  <si>
    <t>CTY-1442</t>
  </si>
  <si>
    <t>Mataram</t>
  </si>
  <si>
    <t>CTY-1443</t>
  </si>
  <si>
    <t>Mojokerto</t>
  </si>
  <si>
    <t>CTY-1444</t>
  </si>
  <si>
    <t>Padang</t>
  </si>
  <si>
    <t>CTY-1445</t>
  </si>
  <si>
    <t>Palu</t>
  </si>
  <si>
    <t>CTY-0178</t>
  </si>
  <si>
    <t>Verona</t>
  </si>
  <si>
    <t>Verona ZAI Industrial Zone, Interporto Quadrante</t>
  </si>
  <si>
    <t>Verona ZAI Industrial Zone</t>
  </si>
  <si>
    <t>CTY-1446</t>
  </si>
  <si>
    <t>Food processing, wine, packaging</t>
  </si>
  <si>
    <t>Pekalongan</t>
  </si>
  <si>
    <t>CTY-1447</t>
  </si>
  <si>
    <t>Pontianak</t>
  </si>
  <si>
    <t>CTY-1448</t>
  </si>
  <si>
    <t>Probolinggo</t>
  </si>
  <si>
    <t>CTY-1449</t>
  </si>
  <si>
    <t>Purwakarta</t>
  </si>
  <si>
    <t>CTY-1450</t>
  </si>
  <si>
    <t>Purwokerto</t>
  </si>
  <si>
    <t>CTY-1451</t>
  </si>
  <si>
    <t>Samarinda</t>
  </si>
  <si>
    <t>CTY-1452</t>
  </si>
  <si>
    <t>Solo</t>
  </si>
  <si>
    <t>CTY-1453</t>
  </si>
  <si>
    <t>Sorong</t>
  </si>
  <si>
    <t>CTY-1454</t>
  </si>
  <si>
    <t>Subang</t>
  </si>
  <si>
    <t>CTY-1455</t>
  </si>
  <si>
    <t>Sukabumi</t>
  </si>
  <si>
    <t>CTY-1456</t>
  </si>
  <si>
    <t>Tasikmalaya</t>
  </si>
  <si>
    <t>CTY-1457</t>
  </si>
  <si>
    <t>Tegal</t>
  </si>
  <si>
    <t>CTY-0179</t>
  </si>
  <si>
    <t>Al Ahmadi</t>
  </si>
  <si>
    <t>CTY-1458</t>
  </si>
  <si>
    <t>Mina Al Ahmadi Refinery Complex</t>
  </si>
  <si>
    <t>Yogyakarta</t>
  </si>
  <si>
    <t>Refining, petrochemicals</t>
  </si>
  <si>
    <t>Mina Al Ahmadi Port</t>
  </si>
  <si>
    <t>CTY-1459</t>
  </si>
  <si>
    <t>Agrigento</t>
  </si>
  <si>
    <t>CE marking under PED 2014/68/EU; national investment authority and free-zone operator sites; local chamber of commerce directory</t>
  </si>
  <si>
    <t>CTY-1460</t>
  </si>
  <si>
    <t>Alessandria</t>
  </si>
  <si>
    <t>CTY-1461</t>
  </si>
  <si>
    <t>Arezzo</t>
  </si>
  <si>
    <t>CTY-1462</t>
  </si>
  <si>
    <t>Ascoli Piceno</t>
  </si>
  <si>
    <t>CTY-1463</t>
  </si>
  <si>
    <t>Asti</t>
  </si>
  <si>
    <t>CTY-1464</t>
  </si>
  <si>
    <t>Avellino</t>
  </si>
  <si>
    <t>CTY-1465</t>
  </si>
  <si>
    <t>Benevento</t>
  </si>
  <si>
    <t>CTY-1466</t>
  </si>
  <si>
    <t>Biella</t>
  </si>
  <si>
    <t>CTY-1467</t>
  </si>
  <si>
    <t>Bolzano</t>
  </si>
  <si>
    <t>CTY-0180</t>
  </si>
  <si>
    <t>Al Asimah</t>
  </si>
  <si>
    <t>Kuwait City</t>
  </si>
  <si>
    <t>Shuwaikh Industrial Area</t>
  </si>
  <si>
    <t>CTY-1468</t>
  </si>
  <si>
    <t>Shuwaikh Port</t>
  </si>
  <si>
    <t>Brindisi</t>
  </si>
  <si>
    <t>CTY-1469</t>
  </si>
  <si>
    <t>Cagliari</t>
  </si>
  <si>
    <t>CTY-1470</t>
  </si>
  <si>
    <t>Caltanissetta</t>
  </si>
  <si>
    <t>CTY-1471</t>
  </si>
  <si>
    <t>Campobasso</t>
  </si>
  <si>
    <t>CTY-1472</t>
  </si>
  <si>
    <t>Caserta</t>
  </si>
  <si>
    <t>CTY-1473</t>
  </si>
  <si>
    <t>Catanzaro</t>
  </si>
  <si>
    <t>CTY-1474</t>
  </si>
  <si>
    <t>Cesena</t>
  </si>
  <si>
    <t>CTY-1475</t>
  </si>
  <si>
    <t>Chieti</t>
  </si>
  <si>
    <t>CTY-1476</t>
  </si>
  <si>
    <t>Cosenza</t>
  </si>
  <si>
    <t>CTY-0181</t>
  </si>
  <si>
    <t>CTY-1477</t>
  </si>
  <si>
    <t>Hawalli</t>
  </si>
  <si>
    <t>Sabhan</t>
  </si>
  <si>
    <t>Cuneo</t>
  </si>
  <si>
    <t>Sabhan Industrial Area</t>
  </si>
  <si>
    <t>Engineering, food, packaging</t>
  </si>
  <si>
    <t>CTY-1478</t>
  </si>
  <si>
    <t>Faenza</t>
  </si>
  <si>
    <t>CTY-1479</t>
  </si>
  <si>
    <t>Foggia</t>
  </si>
  <si>
    <t>CTY-1480</t>
  </si>
  <si>
    <t>Forli</t>
  </si>
  <si>
    <t>CTY-1481</t>
  </si>
  <si>
    <t>Grosseto</t>
  </si>
  <si>
    <t>CTY-1482</t>
  </si>
  <si>
    <t>Imola</t>
  </si>
  <si>
    <t>CTY-1483</t>
  </si>
  <si>
    <t>LAquila</t>
  </si>
  <si>
    <t>CTY-1484</t>
  </si>
  <si>
    <t>La Spezia</t>
  </si>
  <si>
    <t>CTY-1485</t>
  </si>
  <si>
    <t>Lecce</t>
  </si>
  <si>
    <t>CTY-1486</t>
  </si>
  <si>
    <t>CTY-0182</t>
  </si>
  <si>
    <t>Livorno</t>
  </si>
  <si>
    <t>Shuaiba</t>
  </si>
  <si>
    <t>Shuaiba Industrial Area</t>
  </si>
  <si>
    <t>Petrochemicals, fertiliser, refining, desalination</t>
  </si>
  <si>
    <t>Shuaiba Port</t>
  </si>
  <si>
    <t>CTY-1487</t>
  </si>
  <si>
    <t>Lucca</t>
  </si>
  <si>
    <t>CTY-1488</t>
  </si>
  <si>
    <t>Macerata</t>
  </si>
  <si>
    <t>CTY-1489</t>
  </si>
  <si>
    <t>Matera</t>
  </si>
  <si>
    <t>CTY-1490</t>
  </si>
  <si>
    <t>Messina</t>
  </si>
  <si>
    <t>CTY-1491</t>
  </si>
  <si>
    <t>Novara</t>
  </si>
  <si>
    <t>CTY-1492</t>
  </si>
  <si>
    <t>Nuoro</t>
  </si>
  <si>
    <t>CTY-1493</t>
  </si>
  <si>
    <t>Olbia</t>
  </si>
  <si>
    <t>CTY-0183</t>
  </si>
  <si>
    <t>Johor</t>
  </si>
  <si>
    <t>Johor Bahru</t>
  </si>
  <si>
    <t>CTY-1494</t>
  </si>
  <si>
    <t>Pasir Gudang Industrial, Tanjung Langsat</t>
  </si>
  <si>
    <t>Pasir Gudang Industrial</t>
  </si>
  <si>
    <t>Oristano</t>
  </si>
  <si>
    <t>Petrochemicals, palm oil, food</t>
  </si>
  <si>
    <t>Port of Tanjung Pelepas</t>
  </si>
  <si>
    <t>CTY-1495</t>
  </si>
  <si>
    <t>Palermo</t>
  </si>
  <si>
    <t>CTY-1496</t>
  </si>
  <si>
    <t>Pesaro</t>
  </si>
  <si>
    <t>CTY-1497</t>
  </si>
  <si>
    <t>Pescara</t>
  </si>
  <si>
    <t>CTY-1498</t>
  </si>
  <si>
    <t>Pisa</t>
  </si>
  <si>
    <t>CTY-1499</t>
  </si>
  <si>
    <t>Pistoia</t>
  </si>
  <si>
    <t>CTY-1500</t>
  </si>
  <si>
    <t>Pordenone</t>
  </si>
  <si>
    <t>CTY-1501</t>
  </si>
  <si>
    <t>Potenza</t>
  </si>
  <si>
    <t>CTY-1502</t>
  </si>
  <si>
    <t>Prato</t>
  </si>
  <si>
    <t>CTY-1503</t>
  </si>
  <si>
    <t>CTY-0184</t>
  </si>
  <si>
    <t>Ragusa</t>
  </si>
  <si>
    <t>Selangor</t>
  </si>
  <si>
    <t>Klang</t>
  </si>
  <si>
    <t>Port Klang Free Zone, Bukit Raja Industrial</t>
  </si>
  <si>
    <t>Port Klang Free Zone</t>
  </si>
  <si>
    <t>CTY-1504</t>
  </si>
  <si>
    <t>Chemicals, food processing, logistics</t>
  </si>
  <si>
    <t>Port Klang</t>
  </si>
  <si>
    <t>Reggio Calabria</t>
  </si>
  <si>
    <t>CTY-1505</t>
  </si>
  <si>
    <t>Rimini</t>
  </si>
  <si>
    <t>CTY-1506</t>
  </si>
  <si>
    <t>Salerno</t>
  </si>
  <si>
    <t>CTY-1507</t>
  </si>
  <si>
    <t>Sassari</t>
  </si>
  <si>
    <t>CTY-1508</t>
  </si>
  <si>
    <t>Savona</t>
  </si>
  <si>
    <t>CTY-1509</t>
  </si>
  <si>
    <t>Siena</t>
  </si>
  <si>
    <t>CTY-1510</t>
  </si>
  <si>
    <t>Siracusa</t>
  </si>
  <si>
    <t>CTY-1511</t>
  </si>
  <si>
    <t>Taranto</t>
  </si>
  <si>
    <t>CTY-1512</t>
  </si>
  <si>
    <t>Teramo</t>
  </si>
  <si>
    <t>CTY-1513</t>
  </si>
  <si>
    <t>Terni</t>
  </si>
  <si>
    <t>CTY-1514</t>
  </si>
  <si>
    <t>CTY-0185</t>
  </si>
  <si>
    <t>Federal Territory</t>
  </si>
  <si>
    <t>Trapani</t>
  </si>
  <si>
    <t>Kuala Lumpur</t>
  </si>
  <si>
    <t>KL Industrial Corridor, Sungai Besi</t>
  </si>
  <si>
    <t>KL Industrial Corridor</t>
  </si>
  <si>
    <t>Pharmaceutical distribution, food, packaging</t>
  </si>
  <si>
    <t>CTY-1515</t>
  </si>
  <si>
    <t>Trento</t>
  </si>
  <si>
    <t>CTY-1516</t>
  </si>
  <si>
    <t>Trieste</t>
  </si>
  <si>
    <t>CTY-1517</t>
  </si>
  <si>
    <t>Udine</t>
  </si>
  <si>
    <t>CTY-1518</t>
  </si>
  <si>
    <t>Vercelli</t>
  </si>
  <si>
    <t>CTY-1519</t>
  </si>
  <si>
    <t>Fahaheel</t>
  </si>
  <si>
    <t>Public Authority for Industry (PAI) under KUCAS; national investment authority and free-zone operator sites; local chamber of commerce directory</t>
  </si>
  <si>
    <t>CTY-1520</t>
  </si>
  <si>
    <t>CTY-1521</t>
  </si>
  <si>
    <t>Mangaf</t>
  </si>
  <si>
    <t>CTY-1522</t>
  </si>
  <si>
    <t>Salmiya</t>
  </si>
  <si>
    <t>CTY-1523</t>
  </si>
  <si>
    <t>Batu Pahat</t>
  </si>
  <si>
    <t>SIRIM / Department of Standards Malaysia; national investment authority and free-zone operator sites; local chamber of commerce directory</t>
  </si>
  <si>
    <t>CTY-0186</t>
  </si>
  <si>
    <t>Kedah</t>
  </si>
  <si>
    <t>CTY-1524</t>
  </si>
  <si>
    <t>Kulim</t>
  </si>
  <si>
    <t>Bentong</t>
  </si>
  <si>
    <t>Kulim Hi-Tech Park</t>
  </si>
  <si>
    <t>Semiconductors, wafer fab, electronics</t>
  </si>
  <si>
    <t>Penang Port</t>
  </si>
  <si>
    <t>CTY-1525</t>
  </si>
  <si>
    <t>Kemaman</t>
  </si>
  <si>
    <t>CTY-1526</t>
  </si>
  <si>
    <t>Kluang</t>
  </si>
  <si>
    <t>CTY-1527</t>
  </si>
  <si>
    <t>Kota Bharu</t>
  </si>
  <si>
    <t>CTY-1528</t>
  </si>
  <si>
    <t>Kuala Terengganu</t>
  </si>
  <si>
    <t>CTY-1529</t>
  </si>
  <si>
    <t>Labuan</t>
  </si>
  <si>
    <t>CTY-1530</t>
  </si>
  <si>
    <t>Lahad Datu</t>
  </si>
  <si>
    <t>CTY-1531</t>
  </si>
  <si>
    <t>Miri</t>
  </si>
  <si>
    <t>CTY-1532</t>
  </si>
  <si>
    <t>Muar</t>
  </si>
  <si>
    <t>CTY-1533</t>
  </si>
  <si>
    <t>Port Dickson</t>
  </si>
  <si>
    <t>CTY-1534</t>
  </si>
  <si>
    <t>Sandakan</t>
  </si>
  <si>
    <t>CTY-0187</t>
  </si>
  <si>
    <t>Melaka</t>
  </si>
  <si>
    <t>CTY-1535</t>
  </si>
  <si>
    <t>Alor Gajah Industrial, Batu Berendam FIZ</t>
  </si>
  <si>
    <t>Alor Gajah Industrial</t>
  </si>
  <si>
    <t>Semiconductors, food, petrochemicals</t>
  </si>
  <si>
    <t>Segamat</t>
  </si>
  <si>
    <t>CTY-1536</t>
  </si>
  <si>
    <t>Sibu</t>
  </si>
  <si>
    <t>CTY-1537</t>
  </si>
  <si>
    <t>Sitiawan</t>
  </si>
  <si>
    <t>CTY-1538</t>
  </si>
  <si>
    <t>Sri Aman</t>
  </si>
  <si>
    <t>CTY-1539</t>
  </si>
  <si>
    <t>Taiping</t>
  </si>
  <si>
    <t>CTY-1540</t>
  </si>
  <si>
    <t>Tawau</t>
  </si>
  <si>
    <t>CTY-1541</t>
  </si>
  <si>
    <t>Teluk Intan</t>
  </si>
  <si>
    <t>CTY-1542</t>
  </si>
  <si>
    <t>Temerloh</t>
  </si>
  <si>
    <t>CTY-1543</t>
  </si>
  <si>
    <t>Alkmaar</t>
  </si>
  <si>
    <t>CTY-1544</t>
  </si>
  <si>
    <t>CTY-0188</t>
  </si>
  <si>
    <t>Almere</t>
  </si>
  <si>
    <t>Penang</t>
  </si>
  <si>
    <t>Bayan Lepas FIZ, Batu Kawan Industrial Park</t>
  </si>
  <si>
    <t>Bayan Lepas FIZ</t>
  </si>
  <si>
    <t>Semiconductors, medical devices, electronics</t>
  </si>
  <si>
    <t>CTY-1545</t>
  </si>
  <si>
    <t>Alphen</t>
  </si>
  <si>
    <t>CTY-1546</t>
  </si>
  <si>
    <t>Amersfoort</t>
  </si>
  <si>
    <t>CTY-1547</t>
  </si>
  <si>
    <t>Apeldoorn</t>
  </si>
  <si>
    <t>CTY-1548</t>
  </si>
  <si>
    <t>Assen</t>
  </si>
  <si>
    <t>CTY-1549</t>
  </si>
  <si>
    <t>Bergen op Zoom</t>
  </si>
  <si>
    <t>CTY-1550</t>
  </si>
  <si>
    <t>Den Bosch</t>
  </si>
  <si>
    <t>CTY-1551</t>
  </si>
  <si>
    <t>Den Helder</t>
  </si>
  <si>
    <t>CTY-1552</t>
  </si>
  <si>
    <t>Deventer</t>
  </si>
  <si>
    <t>CTY-1553</t>
  </si>
  <si>
    <t>Dordrecht</t>
  </si>
  <si>
    <t>CTY-0189</t>
  </si>
  <si>
    <t>Petaling Jaya</t>
  </si>
  <si>
    <t>Petaling Jaya Industrial Estate, Sungai Way FIZ</t>
  </si>
  <si>
    <t>CTY-1554</t>
  </si>
  <si>
    <t>Petaling Jaya Industrial Estate</t>
  </si>
  <si>
    <t>Pharmaceutical, electronics, food</t>
  </si>
  <si>
    <t>Ede</t>
  </si>
  <si>
    <t>CTY-1555</t>
  </si>
  <si>
    <t>Emmen</t>
  </si>
  <si>
    <t>CTY-1556</t>
  </si>
  <si>
    <t>Gouda</t>
  </si>
  <si>
    <t>CTY-1557</t>
  </si>
  <si>
    <t>Haarlem</t>
  </si>
  <si>
    <t>CTY-1558</t>
  </si>
  <si>
    <t>Heerlen</t>
  </si>
  <si>
    <t>CTY-1559</t>
  </si>
  <si>
    <t>Helmond</t>
  </si>
  <si>
    <t>CTY-1560</t>
  </si>
  <si>
    <t>Hengelo</t>
  </si>
  <si>
    <t>CTY-1561</t>
  </si>
  <si>
    <t>Hoorn</t>
  </si>
  <si>
    <t>CTY-1562</t>
  </si>
  <si>
    <t>Leeuwarden</t>
  </si>
  <si>
    <t>CTY-1563</t>
  </si>
  <si>
    <t>CTY-0190</t>
  </si>
  <si>
    <t>Shah Alam</t>
  </si>
  <si>
    <t>Maastricht</t>
  </si>
  <si>
    <t>Shah Alam Industrial Estate Section 15-28</t>
  </si>
  <si>
    <t>CTY-1564</t>
  </si>
  <si>
    <t>Roermond</t>
  </si>
  <si>
    <t>CTY-1565</t>
  </si>
  <si>
    <t>Roosendaal</t>
  </si>
  <si>
    <t>CTY-1566</t>
  </si>
  <si>
    <t>Sittard</t>
  </si>
  <si>
    <t>CTY-1567</t>
  </si>
  <si>
    <t>Veenendaal</t>
  </si>
  <si>
    <t>CTY-1568</t>
  </si>
  <si>
    <t>Venlo</t>
  </si>
  <si>
    <t>CTY-1569</t>
  </si>
  <si>
    <t>Adam</t>
  </si>
  <si>
    <t>Directorate General for Standards and Metrology; national investment authority and free-zone operator sites; local chamber of commerce directory</t>
  </si>
  <si>
    <t>CTY-1570</t>
  </si>
  <si>
    <t>Bahla</t>
  </si>
  <si>
    <t>CTY-1571</t>
  </si>
  <si>
    <t>Bidbid</t>
  </si>
  <si>
    <t>CTY-1572</t>
  </si>
  <si>
    <t>Haima</t>
  </si>
  <si>
    <t>CTY-0191</t>
  </si>
  <si>
    <t>North Holland</t>
  </si>
  <si>
    <t>CTY-1573</t>
  </si>
  <si>
    <t>Amsterdam</t>
  </si>
  <si>
    <t>Khasab</t>
  </si>
  <si>
    <t>Westpoort Industrial, Amsterdam Science Park</t>
  </si>
  <si>
    <t>Westpoort Industrial</t>
  </si>
  <si>
    <t>Food and beverage, pharmaceutical, biotech</t>
  </si>
  <si>
    <t>Port of Amsterdam</t>
  </si>
  <si>
    <t>CTY-1574</t>
  </si>
  <si>
    <t>Mahout</t>
  </si>
  <si>
    <t>CTY-1575</t>
  </si>
  <si>
    <t>Rustaq</t>
  </si>
  <si>
    <t>CTY-1576</t>
  </si>
  <si>
    <t>Saham</t>
  </si>
  <si>
    <t>CTY-1577</t>
  </si>
  <si>
    <t>Samail</t>
  </si>
  <si>
    <t>CTY-1578</t>
  </si>
  <si>
    <t>Shinas</t>
  </si>
  <si>
    <t>CTY-1579</t>
  </si>
  <si>
    <t>Al Daayen</t>
  </si>
  <si>
    <t>Qatar General Organization for Standards and Metrology; national investment authority and free-zone operator sites; local chamber of commerce directory</t>
  </si>
  <si>
    <t>CTY-1580</t>
  </si>
  <si>
    <t>Al Ghuwayriyah</t>
  </si>
  <si>
    <t>CTY-1581</t>
  </si>
  <si>
    <t>Al Shamal</t>
  </si>
  <si>
    <t>CTY-1582</t>
  </si>
  <si>
    <t>Madinat ash Shamal</t>
  </si>
  <si>
    <t>CTY-0192</t>
  </si>
  <si>
    <t>South Holland</t>
  </si>
  <si>
    <t>Delft</t>
  </si>
  <si>
    <t>CTY-1583</t>
  </si>
  <si>
    <t>Delft Technology Park, TU Delft Campus</t>
  </si>
  <si>
    <t>Afif</t>
  </si>
  <si>
    <t>Delft Technology Park</t>
  </si>
  <si>
    <t>Biotech, water technology, engineering</t>
  </si>
  <si>
    <t>SASO with SABER platform registration; national investment authority and free-zone operator sites; local chamber of commerce directory</t>
  </si>
  <si>
    <t>CTY-1584</t>
  </si>
  <si>
    <t>Al Baha</t>
  </si>
  <si>
    <t>CTY-1585</t>
  </si>
  <si>
    <t>Al Majmaah</t>
  </si>
  <si>
    <t>CTY-1586</t>
  </si>
  <si>
    <t>Arar</t>
  </si>
  <si>
    <t>CTY-1587</t>
  </si>
  <si>
    <t>Bisha</t>
  </si>
  <si>
    <t>CTY-1588</t>
  </si>
  <si>
    <t>Dawadmi</t>
  </si>
  <si>
    <t>CTY-1589</t>
  </si>
  <si>
    <t>Hafar Al Batin</t>
  </si>
  <si>
    <t>CTY-1590</t>
  </si>
  <si>
    <t>Khamis Mushait</t>
  </si>
  <si>
    <t>CTY-1591</t>
  </si>
  <si>
    <t>Layla</t>
  </si>
  <si>
    <t>CTY-1592</t>
  </si>
  <si>
    <t>CTY-0193</t>
  </si>
  <si>
    <t>Qatif</t>
  </si>
  <si>
    <t>North Brabant</t>
  </si>
  <si>
    <t>Eindhoven</t>
  </si>
  <si>
    <t>Brainport Industries Campus, High Tech Campus</t>
  </si>
  <si>
    <t>Brainport Industries Campus</t>
  </si>
  <si>
    <t>Semiconductors, medical devices, precision engineering</t>
  </si>
  <si>
    <t>CTY-1593</t>
  </si>
  <si>
    <t>Qurayyat</t>
  </si>
  <si>
    <t>CTY-1594</t>
  </si>
  <si>
    <t>Rafha</t>
  </si>
  <si>
    <t>CTY-1595</t>
  </si>
  <si>
    <t>Safwa</t>
  </si>
  <si>
    <t>CTY-1596</t>
  </si>
  <si>
    <t>Sakaka</t>
  </si>
  <si>
    <t>CTY-1597</t>
  </si>
  <si>
    <t>Shaqra</t>
  </si>
  <si>
    <t>CTY-1598</t>
  </si>
  <si>
    <t>Taif</t>
  </si>
  <si>
    <t>CTY-1599</t>
  </si>
  <si>
    <t>Turaif</t>
  </si>
  <si>
    <t>CTY-1600</t>
  </si>
  <si>
    <t>Unaizah</t>
  </si>
  <si>
    <t>CTY-1601</t>
  </si>
  <si>
    <t>Wadi ad-Dawasir</t>
  </si>
  <si>
    <t>CTY-0194</t>
  </si>
  <si>
    <t>Limburg</t>
  </si>
  <si>
    <t>Geleen</t>
  </si>
  <si>
    <t>CTY-1602</t>
  </si>
  <si>
    <t>Chemelot Industrial Park</t>
  </si>
  <si>
    <t>Specialty chemicals, biomaterials, API</t>
  </si>
  <si>
    <t>Zulfi</t>
  </si>
  <si>
    <t>CTY-1603</t>
  </si>
  <si>
    <t>Boon Lay</t>
  </si>
  <si>
    <t>SPRING/Enterprise Singapore standards; SEMI standards for wafer fab UHP lines; national investment authority and free-zone operator sites; local chamber of commerce directory</t>
  </si>
  <si>
    <t>CTY-1604</t>
  </si>
  <si>
    <t>Serangoon</t>
  </si>
  <si>
    <t>CTY-1605</t>
  </si>
  <si>
    <t>Toa Payoh</t>
  </si>
  <si>
    <t>CTY-1606</t>
  </si>
  <si>
    <t>Yishun</t>
  </si>
  <si>
    <t>CTY-1607</t>
  </si>
  <si>
    <t>Albacete</t>
  </si>
  <si>
    <t>CTY-1608</t>
  </si>
  <si>
    <t>Alcorcon</t>
  </si>
  <si>
    <t>CTY-1609</t>
  </si>
  <si>
    <t>Alcoy</t>
  </si>
  <si>
    <t>CTY-1610</t>
  </si>
  <si>
    <t>Algeciras</t>
  </si>
  <si>
    <t>CTY-0195</t>
  </si>
  <si>
    <t>CTY-1611</t>
  </si>
  <si>
    <t>Leiden</t>
  </si>
  <si>
    <t>Almeria</t>
  </si>
  <si>
    <t>Leiden Bio Science Park</t>
  </si>
  <si>
    <t>Biologics, vaccines, biotech</t>
  </si>
  <si>
    <t>CTY-1612</t>
  </si>
  <si>
    <t>Antequera</t>
  </si>
  <si>
    <t>CTY-1613</t>
  </si>
  <si>
    <t>Aranjuez</t>
  </si>
  <si>
    <t>CTY-1614</t>
  </si>
  <si>
    <t>Arganda</t>
  </si>
  <si>
    <t>CTY-1615</t>
  </si>
  <si>
    <t>Avila</t>
  </si>
  <si>
    <t>CTY-1616</t>
  </si>
  <si>
    <t>Aviles</t>
  </si>
  <si>
    <t>CTY-1617</t>
  </si>
  <si>
    <t>Badajoz</t>
  </si>
  <si>
    <t>CTY-1618</t>
  </si>
  <si>
    <t>Benidorm</t>
  </si>
  <si>
    <t>CTY-1619</t>
  </si>
  <si>
    <t>Caceres</t>
  </si>
  <si>
    <t>CTY-1620</t>
  </si>
  <si>
    <t>Cadiz</t>
  </si>
  <si>
    <t>CTY-0196</t>
  </si>
  <si>
    <t>Oss</t>
  </si>
  <si>
    <t>CTY-1621</t>
  </si>
  <si>
    <t>Pivot Park Oss</t>
  </si>
  <si>
    <t>Cieza</t>
  </si>
  <si>
    <t>CTY-1622</t>
  </si>
  <si>
    <t>Ciudad Real</t>
  </si>
  <si>
    <t>CTY-1623</t>
  </si>
  <si>
    <t>Coslada</t>
  </si>
  <si>
    <t>CTY-1624</t>
  </si>
  <si>
    <t>Cuenca</t>
  </si>
  <si>
    <t>CTY-1625</t>
  </si>
  <si>
    <t>Denia</t>
  </si>
  <si>
    <t>CTY-1626</t>
  </si>
  <si>
    <t>Elda</t>
  </si>
  <si>
    <t>CTY-1627</t>
  </si>
  <si>
    <t>Ferrol</t>
  </si>
  <si>
    <t>CTY-1628</t>
  </si>
  <si>
    <t>Fuenlabrada</t>
  </si>
  <si>
    <t>CTY-1629</t>
  </si>
  <si>
    <t>Gandia</t>
  </si>
  <si>
    <t>CTY-1630</t>
  </si>
  <si>
    <t>CTY-0197</t>
  </si>
  <si>
    <t>Getxo</t>
  </si>
  <si>
    <t>Rotterdam</t>
  </si>
  <si>
    <t>Botlek, Europoort, Maasvlakte Industrial</t>
  </si>
  <si>
    <t>Botlek</t>
  </si>
  <si>
    <t>Petrochemicals, refining, food processing</t>
  </si>
  <si>
    <t>CTY-1631</t>
  </si>
  <si>
    <t>Guadalajara</t>
  </si>
  <si>
    <t>CTY-1632</t>
  </si>
  <si>
    <t>Huesca</t>
  </si>
  <si>
    <t>CTY-1633</t>
  </si>
  <si>
    <t>Igualada</t>
  </si>
  <si>
    <t>CTY-1634</t>
  </si>
  <si>
    <t>Jaen</t>
  </si>
  <si>
    <t>CTY-1635</t>
  </si>
  <si>
    <t>Jerez</t>
  </si>
  <si>
    <t>CTY-1636</t>
  </si>
  <si>
    <t>Leganes</t>
  </si>
  <si>
    <t>CTY-1637</t>
  </si>
  <si>
    <t>Linares</t>
  </si>
  <si>
    <t>CTY-1638</t>
  </si>
  <si>
    <t>Logrono</t>
  </si>
  <si>
    <t>CTY-1639</t>
  </si>
  <si>
    <t>Lorca</t>
  </si>
  <si>
    <t>CTY-0198</t>
  </si>
  <si>
    <t>Al Wusta</t>
  </si>
  <si>
    <t>Duqm</t>
  </si>
  <si>
    <t>CTY-1640</t>
  </si>
  <si>
    <t>SEZAD Duqm Special Economic Zone</t>
  </si>
  <si>
    <t>Refining, petrochemicals, fisheries processing</t>
  </si>
  <si>
    <t>Port of Duqm</t>
  </si>
  <si>
    <t>Lugo</t>
  </si>
  <si>
    <t>CTY-1641</t>
  </si>
  <si>
    <t>Manresa</t>
  </si>
  <si>
    <t>CTY-1642</t>
  </si>
  <si>
    <t>Mataro</t>
  </si>
  <si>
    <t>CTY-1643</t>
  </si>
  <si>
    <t>Merida</t>
  </si>
  <si>
    <t>CTY-1644</t>
  </si>
  <si>
    <t>Mostoles</t>
  </si>
  <si>
    <t>CTY-1645</t>
  </si>
  <si>
    <t>Motril</t>
  </si>
  <si>
    <t>CTY-1646</t>
  </si>
  <si>
    <t>Ourense</t>
  </si>
  <si>
    <t>CTY-1647</t>
  </si>
  <si>
    <t>Palencia</t>
  </si>
  <si>
    <t>CTY-1648</t>
  </si>
  <si>
    <t>Pinto</t>
  </si>
  <si>
    <t>CTY-0199</t>
  </si>
  <si>
    <t>CTY-1649</t>
  </si>
  <si>
    <t>Muscat</t>
  </si>
  <si>
    <t>Plasencia</t>
  </si>
  <si>
    <t>Rusayl Industrial Estate (Madayn), Al Misfah</t>
  </si>
  <si>
    <t>Rusayl Industrial Estate (Madayn)</t>
  </si>
  <si>
    <t>Pharmaceutical, food processing, desalination, engineering</t>
  </si>
  <si>
    <t>Port Sultan Qaboos</t>
  </si>
  <si>
    <t>CTY-1650</t>
  </si>
  <si>
    <t>Pontevedra</t>
  </si>
  <si>
    <t>CTY-1651</t>
  </si>
  <si>
    <t>Reus</t>
  </si>
  <si>
    <t>CTY-1652</t>
  </si>
  <si>
    <t>Sabadell</t>
  </si>
  <si>
    <t>CTY-1653</t>
  </si>
  <si>
    <t>Sagunto</t>
  </si>
  <si>
    <t>CTY-1654</t>
  </si>
  <si>
    <t>Segovia</t>
  </si>
  <si>
    <t>CTY-1655</t>
  </si>
  <si>
    <t>Soria</t>
  </si>
  <si>
    <t>CTY-1656</t>
  </si>
  <si>
    <t>Talavera</t>
  </si>
  <si>
    <t>CTY-1657</t>
  </si>
  <si>
    <t>Terrassa</t>
  </si>
  <si>
    <t>CTY-1658</t>
  </si>
  <si>
    <t>Teruel</t>
  </si>
  <si>
    <t>CTY-1659</t>
  </si>
  <si>
    <t>Toledo</t>
  </si>
  <si>
    <t>CTY-1660</t>
  </si>
  <si>
    <t>Torrejon</t>
  </si>
  <si>
    <t>CTY-0200</t>
  </si>
  <si>
    <t>CTY-1661</t>
  </si>
  <si>
    <t>Ad Dakhiliyah</t>
  </si>
  <si>
    <t>Nizwa</t>
  </si>
  <si>
    <t>Torrelavega</t>
  </si>
  <si>
    <t>Nizwa Industrial Estate (Madayn)</t>
  </si>
  <si>
    <t>Food processing, building materials, dates</t>
  </si>
  <si>
    <t>Port of Sohar</t>
  </si>
  <si>
    <t>CTY-1662</t>
  </si>
  <si>
    <t>Ubeda</t>
  </si>
  <si>
    <t>CTY-1663</t>
  </si>
  <si>
    <t>Valdemoro</t>
  </si>
  <si>
    <t>CTY-1664</t>
  </si>
  <si>
    <t>Vic</t>
  </si>
  <si>
    <t>CTY-1665</t>
  </si>
  <si>
    <t>Yecla</t>
  </si>
  <si>
    <t>CTY-1666</t>
  </si>
  <si>
    <t>Zamora</t>
  </si>
  <si>
    <t>CTY-1667</t>
  </si>
  <si>
    <t>Al Hamriyah</t>
  </si>
  <si>
    <t>MOIAT / ESMA (Emirates Authority for Standardization); national investment authority and free-zone operator sites; local chamber of commerce directory</t>
  </si>
  <si>
    <t>CTY-1668</t>
  </si>
  <si>
    <t>Dhaid</t>
  </si>
  <si>
    <t>CTY-1669</t>
  </si>
  <si>
    <t>Dibba</t>
  </si>
  <si>
    <t>CTY-1670</t>
  </si>
  <si>
    <t>Ghayathi</t>
  </si>
  <si>
    <t>CTY-1671</t>
  </si>
  <si>
    <t>Kalba</t>
  </si>
  <si>
    <t>CTY-1672</t>
  </si>
  <si>
    <t>Khor Fakkan</t>
  </si>
  <si>
    <t>CTY-1673</t>
  </si>
  <si>
    <t>Liwa</t>
  </si>
  <si>
    <t>CTY-0201</t>
  </si>
  <si>
    <t>CTY-1674</t>
  </si>
  <si>
    <t>Dhofar</t>
  </si>
  <si>
    <t>Salalah</t>
  </si>
  <si>
    <t>Madinat Zayed</t>
  </si>
  <si>
    <t>Salalah Free Zone, Raysut Industrial Estate</t>
  </si>
  <si>
    <t>Salalah Free Zone</t>
  </si>
  <si>
    <t>Petrochemicals, food processing, logistics</t>
  </si>
  <si>
    <t>CTY-1675</t>
  </si>
  <si>
    <t>Port of Salalah</t>
  </si>
  <si>
    <t>Masafi</t>
  </si>
  <si>
    <t>CTY-1676</t>
  </si>
  <si>
    <t>Ruwais</t>
  </si>
  <si>
    <t>CTY-1677</t>
  </si>
  <si>
    <t>Bangor-Wales</t>
  </si>
  <si>
    <t>UKCA regime post-Brexit; UK Pressure Equipment (Safety) Regulations; national investment authority and free-zone operator sites; local chamber of commerce directory</t>
  </si>
  <si>
    <t>CTY-1678</t>
  </si>
  <si>
    <t>Barnsley</t>
  </si>
  <si>
    <t>CTY-1679</t>
  </si>
  <si>
    <t>Basingstoke</t>
  </si>
  <si>
    <t>CTY-1680</t>
  </si>
  <si>
    <t>Bath</t>
  </si>
  <si>
    <t>CTY-1681</t>
  </si>
  <si>
    <t>Blackburn</t>
  </si>
  <si>
    <t>CTY-1682</t>
  </si>
  <si>
    <t>Bolton</t>
  </si>
  <si>
    <t>CTY-1683</t>
  </si>
  <si>
    <t>Bournemouth</t>
  </si>
  <si>
    <t>CTY-1684</t>
  </si>
  <si>
    <t>Bradford</t>
  </si>
  <si>
    <t>CTY-1685</t>
  </si>
  <si>
    <t>Brighton</t>
  </si>
  <si>
    <t>CTY-1686</t>
  </si>
  <si>
    <t>Burnley</t>
  </si>
  <si>
    <t>CTY-1687</t>
  </si>
  <si>
    <t>Canterbury</t>
  </si>
  <si>
    <t>CTY-0202</t>
  </si>
  <si>
    <t>North Al Batinah</t>
  </si>
  <si>
    <t>Sohar</t>
  </si>
  <si>
    <t>CTY-1688</t>
  </si>
  <si>
    <t>Carlisle</t>
  </si>
  <si>
    <t>Sohar Industrial Port Area, Sohar Freezone</t>
  </si>
  <si>
    <t>Sohar Industrial Port Area</t>
  </si>
  <si>
    <t>Petrochemicals, steel, aluminium, fertiliser</t>
  </si>
  <si>
    <t>CTY-1689</t>
  </si>
  <si>
    <t>Chelmsford</t>
  </si>
  <si>
    <t>CTY-1690</t>
  </si>
  <si>
    <t>Chester</t>
  </si>
  <si>
    <t>CTY-1691</t>
  </si>
  <si>
    <t>Chesterfield</t>
  </si>
  <si>
    <t>CTY-1692</t>
  </si>
  <si>
    <t>Colchester</t>
  </si>
  <si>
    <t>CTY-1693</t>
  </si>
  <si>
    <t>Crawley</t>
  </si>
  <si>
    <t>CTY-1694</t>
  </si>
  <si>
    <t>Doncaster</t>
  </si>
  <si>
    <t>CTY-1695</t>
  </si>
  <si>
    <t>Durham</t>
  </si>
  <si>
    <t>CTY-1696</t>
  </si>
  <si>
    <t>Exeter</t>
  </si>
  <si>
    <t>CTY-1697</t>
  </si>
  <si>
    <t>Falkirk</t>
  </si>
  <si>
    <t>CTY-1698</t>
  </si>
  <si>
    <t>Gloucester</t>
  </si>
  <si>
    <t>CTY-1699</t>
  </si>
  <si>
    <t>Grimsby</t>
  </si>
  <si>
    <t>CTY-1700</t>
  </si>
  <si>
    <t>Guildford</t>
  </si>
  <si>
    <t>CTY-1701</t>
  </si>
  <si>
    <t>Halifax</t>
  </si>
  <si>
    <t>CTY-1702</t>
  </si>
  <si>
    <t>Harrogate</t>
  </si>
  <si>
    <t>CTY-0203</t>
  </si>
  <si>
    <t>Al Wakrah</t>
  </si>
  <si>
    <t>CTY-1703</t>
  </si>
  <si>
    <t>Al Wakrah Industrial Zone</t>
  </si>
  <si>
    <t>High Wycombe</t>
  </si>
  <si>
    <t>Food processing, logistics, engineering</t>
  </si>
  <si>
    <t>Hamad Port</t>
  </si>
  <si>
    <t>CTY-1704</t>
  </si>
  <si>
    <t>Huddersfield</t>
  </si>
  <si>
    <t>CTY-1705</t>
  </si>
  <si>
    <t>Inverness</t>
  </si>
  <si>
    <t>CTY-1706</t>
  </si>
  <si>
    <t>Ipswich</t>
  </si>
  <si>
    <t>CTY-1707</t>
  </si>
  <si>
    <t>Kilmarnock</t>
  </si>
  <si>
    <t>CTY-1708</t>
  </si>
  <si>
    <t>Lancaster</t>
  </si>
  <si>
    <t>CTY-1709</t>
  </si>
  <si>
    <t>Lincoln-UK</t>
  </si>
  <si>
    <t>CTY-1710</t>
  </si>
  <si>
    <t>Londonderry</t>
  </si>
  <si>
    <t>CTY-1711</t>
  </si>
  <si>
    <t>Luton</t>
  </si>
  <si>
    <t>CTY-1712</t>
  </si>
  <si>
    <t>Maidstone</t>
  </si>
  <si>
    <t>CTY-1713</t>
  </si>
  <si>
    <t>Mansfield</t>
  </si>
  <si>
    <t>CTY-1714</t>
  </si>
  <si>
    <t>Middlesbrough</t>
  </si>
  <si>
    <t>CTY-1715</t>
  </si>
  <si>
    <t>Newport-Wales</t>
  </si>
  <si>
    <t>CTY-1716</t>
  </si>
  <si>
    <t>Northampton</t>
  </si>
  <si>
    <t>CTY-0204</t>
  </si>
  <si>
    <t>Doha</t>
  </si>
  <si>
    <t>CTY-1717</t>
  </si>
  <si>
    <t>Paisley</t>
  </si>
  <si>
    <t>Doha Industrial Area, New Industrial Area</t>
  </si>
  <si>
    <t>Doha Industrial Area</t>
  </si>
  <si>
    <t>Food processing, pharmaceutical distribution, desalination</t>
  </si>
  <si>
    <t>CTY-1718</t>
  </si>
  <si>
    <t>Perth-Scotland</t>
  </si>
  <si>
    <t>CTY-1719</t>
  </si>
  <si>
    <t>Peterborough</t>
  </si>
  <si>
    <t>CTY-1720</t>
  </si>
  <si>
    <t>Portsmouth</t>
  </si>
  <si>
    <t>CTY-1721</t>
  </si>
  <si>
    <t>Rotherham</t>
  </si>
  <si>
    <t>CTY-1722</t>
  </si>
  <si>
    <t>Scunthorpe</t>
  </si>
  <si>
    <t>CTY-1723</t>
  </si>
  <si>
    <t>Shrewsbury</t>
  </si>
  <si>
    <t>CTY-1724</t>
  </si>
  <si>
    <t>Slough</t>
  </si>
  <si>
    <t>CTY-1725</t>
  </si>
  <si>
    <t>St Albans</t>
  </si>
  <si>
    <t>CTY-1726</t>
  </si>
  <si>
    <t>Stirling</t>
  </si>
  <si>
    <t>CTY-1727</t>
  </si>
  <si>
    <t>Sunderland</t>
  </si>
  <si>
    <t>CTY-1728</t>
  </si>
  <si>
    <t>Taunton</t>
  </si>
  <si>
    <t>CTY-1729</t>
  </si>
  <si>
    <t>Telford</t>
  </si>
  <si>
    <t>CTY-1730</t>
  </si>
  <si>
    <t>Warrington</t>
  </si>
  <si>
    <t>CTY-1731</t>
  </si>
  <si>
    <t>CTY-0205</t>
  </si>
  <si>
    <t>Warwick</t>
  </si>
  <si>
    <t>Mesaieed</t>
  </si>
  <si>
    <t>CTY-1732</t>
  </si>
  <si>
    <t>Mesaieed Industrial City (MIC)</t>
  </si>
  <si>
    <t>Petrochemicals, fertiliser, steel, desalination</t>
  </si>
  <si>
    <t>Watford</t>
  </si>
  <si>
    <t>Mesaieed Port</t>
  </si>
  <si>
    <t>CTY-1733</t>
  </si>
  <si>
    <t>Wigan</t>
  </si>
  <si>
    <t>CTY-1734</t>
  </si>
  <si>
    <t>Worcester</t>
  </si>
  <si>
    <t>CTY-1735</t>
  </si>
  <si>
    <t>Wrexham</t>
  </si>
  <si>
    <t>CTY-1736</t>
  </si>
  <si>
    <t>York</t>
  </si>
  <si>
    <t>CTY-1737</t>
  </si>
  <si>
    <t>Albuquerque</t>
  </si>
  <si>
    <t>FDA (food/pharma contact), ASME BPE, 3-A SSI; national investment authority and free-zone operator sites; local chamber of commerce directory</t>
  </si>
  <si>
    <t>CTY-1738</t>
  </si>
  <si>
    <t>Allentown</t>
  </si>
  <si>
    <t>CTY-1739</t>
  </si>
  <si>
    <t>Anaheim</t>
  </si>
  <si>
    <t>CTY-1740</t>
  </si>
  <si>
    <t>Bakersfield</t>
  </si>
  <si>
    <t>CTY-1741</t>
  </si>
  <si>
    <t>Baton Rouge</t>
  </si>
  <si>
    <t>CTY-1742</t>
  </si>
  <si>
    <t>Billings</t>
  </si>
  <si>
    <t>CTY-0206</t>
  </si>
  <si>
    <t>Al Khor</t>
  </si>
  <si>
    <t>Ras Laffan</t>
  </si>
  <si>
    <t>Ras Laffan Industrial City</t>
  </si>
  <si>
    <t>CTY-1743</t>
  </si>
  <si>
    <t>LNG, GTL, petrochemicals</t>
  </si>
  <si>
    <t>Ras Laffan Port</t>
  </si>
  <si>
    <t>Buffalo</t>
  </si>
  <si>
    <t>CTY-1744</t>
  </si>
  <si>
    <t>Charleston-SC</t>
  </si>
  <si>
    <t>CTY-1745</t>
  </si>
  <si>
    <t>Chattanooga</t>
  </si>
  <si>
    <t>CTY-1746</t>
  </si>
  <si>
    <t>Colorado Springs</t>
  </si>
  <si>
    <t>CTY-1747</t>
  </si>
  <si>
    <t>Corpus Christi</t>
  </si>
  <si>
    <t>CTY-1748</t>
  </si>
  <si>
    <t>Dayton</t>
  </si>
  <si>
    <t>CTY-1749</t>
  </si>
  <si>
    <t>Duluth</t>
  </si>
  <si>
    <t>CTY-1750</t>
  </si>
  <si>
    <t>Eau Claire</t>
  </si>
  <si>
    <t>CTY-1751</t>
  </si>
  <si>
    <t>El Paso</t>
  </si>
  <si>
    <t>CTY-0207</t>
  </si>
  <si>
    <t>Eastern Province</t>
  </si>
  <si>
    <t>Dammam</t>
  </si>
  <si>
    <t>Dammam 1st, 2nd, 3rd Industrial City (MODON)</t>
  </si>
  <si>
    <t>Dammam 1st</t>
  </si>
  <si>
    <t>CTY-1752</t>
  </si>
  <si>
    <t>Petrochemicals, oilfield, food processing, engineering</t>
  </si>
  <si>
    <t>King Abdulaziz Port Dammam</t>
  </si>
  <si>
    <t>Eugene</t>
  </si>
  <si>
    <t>CTY-1753</t>
  </si>
  <si>
    <t>Fargo</t>
  </si>
  <si>
    <t>CTY-1754</t>
  </si>
  <si>
    <t>Fort Collins</t>
  </si>
  <si>
    <t>CTY-1755</t>
  </si>
  <si>
    <t>Fort Myers</t>
  </si>
  <si>
    <t>CTY-1756</t>
  </si>
  <si>
    <t>Fort Wayne</t>
  </si>
  <si>
    <t>CTY-1757</t>
  </si>
  <si>
    <t>Fresno</t>
  </si>
  <si>
    <t>CTY-1758</t>
  </si>
  <si>
    <t>Grand Rapids</t>
  </si>
  <si>
    <t>CTY-1759</t>
  </si>
  <si>
    <t>Green Bay</t>
  </si>
  <si>
    <t>CTY-0208</t>
  </si>
  <si>
    <t>Makkah Province</t>
  </si>
  <si>
    <t>Jeddah</t>
  </si>
  <si>
    <t>Jeddah Industrial City 1-3 (MODON)</t>
  </si>
  <si>
    <t>Food and beverage, pharmaceutical, desalination, packaging</t>
  </si>
  <si>
    <t>Jeddah Islamic Port</t>
  </si>
  <si>
    <t>CTY-1760</t>
  </si>
  <si>
    <t>Greensboro</t>
  </si>
  <si>
    <t>CTY-1761</t>
  </si>
  <si>
    <t>Harrisburg</t>
  </si>
  <si>
    <t>CTY-1762</t>
  </si>
  <si>
    <t>Hartford</t>
  </si>
  <si>
    <t>CTY-1763</t>
  </si>
  <si>
    <t>Huntsville</t>
  </si>
  <si>
    <t>CTY-1764</t>
  </si>
  <si>
    <t>Jackson-MS</t>
  </si>
  <si>
    <t>CTY-1765</t>
  </si>
  <si>
    <t>Jacksonville</t>
  </si>
  <si>
    <t>CTY-1766</t>
  </si>
  <si>
    <t>Knoxville</t>
  </si>
  <si>
    <t>CTY-1767</t>
  </si>
  <si>
    <t>Lincoln</t>
  </si>
  <si>
    <t>CTY-0209</t>
  </si>
  <si>
    <t>Jubail</t>
  </si>
  <si>
    <t>CTY-1768</t>
  </si>
  <si>
    <t>Jubail Industrial City I and II (Royal Commission)</t>
  </si>
  <si>
    <t>Little Rock</t>
  </si>
  <si>
    <t>Petrochemicals, fertiliser, desalination, specialty chemicals</t>
  </si>
  <si>
    <t>King Fahd Industrial Port Jubail</t>
  </si>
  <si>
    <t>CTY-1769</t>
  </si>
  <si>
    <t>Madison</t>
  </si>
  <si>
    <t>CTY-1770</t>
  </si>
  <si>
    <t>Mobile</t>
  </si>
  <si>
    <t>CTY-1771</t>
  </si>
  <si>
    <t>Modesto</t>
  </si>
  <si>
    <t>CTY-1772</t>
  </si>
  <si>
    <t>Norfolk</t>
  </si>
  <si>
    <t>CTY-1773</t>
  </si>
  <si>
    <t>Ogden</t>
  </si>
  <si>
    <t>CTY-1774</t>
  </si>
  <si>
    <t>Oklahoma City</t>
  </si>
  <si>
    <t>CTY-1775</t>
  </si>
  <si>
    <t>Peoria</t>
  </si>
  <si>
    <t>CTY-1776</t>
  </si>
  <si>
    <t>Providence</t>
  </si>
  <si>
    <t>CTY-1777</t>
  </si>
  <si>
    <t>CTY-0210</t>
  </si>
  <si>
    <t>Provo</t>
  </si>
  <si>
    <t>KAEC-Rabigh</t>
  </si>
  <si>
    <t>King Abdullah Economic City Industrial Valley</t>
  </si>
  <si>
    <t>CTY-1778</t>
  </si>
  <si>
    <t>Pharmaceutical, food, logistics, plastics</t>
  </si>
  <si>
    <t>King Abdullah Port</t>
  </si>
  <si>
    <t>Reno</t>
  </si>
  <si>
    <t>CTY-1779</t>
  </si>
  <si>
    <t>Riverside</t>
  </si>
  <si>
    <t>CTY-1780</t>
  </si>
  <si>
    <t>Rockford</t>
  </si>
  <si>
    <t>CTY-1781</t>
  </si>
  <si>
    <t>San Antonio</t>
  </si>
  <si>
    <t>CTY-1782</t>
  </si>
  <si>
    <t>Santa Barbara</t>
  </si>
  <si>
    <t>CTY-1783</t>
  </si>
  <si>
    <t>Savannah</t>
  </si>
  <si>
    <t>CTY-1784</t>
  </si>
  <si>
    <t>Sioux Falls</t>
  </si>
  <si>
    <t>CTY-1785</t>
  </si>
  <si>
    <t>South Bend</t>
  </si>
  <si>
    <t>CTY-1786</t>
  </si>
  <si>
    <t>Spokane</t>
  </si>
  <si>
    <t>CTY-1787</t>
  </si>
  <si>
    <t>CTY-0211</t>
  </si>
  <si>
    <t>Springfield-MO</t>
  </si>
  <si>
    <t>Ras Al Khair</t>
  </si>
  <si>
    <t>Ras Al Khair Industrial City</t>
  </si>
  <si>
    <t>Mining, aluminium, phosphate, desalination</t>
  </si>
  <si>
    <t>water treatment</t>
  </si>
  <si>
    <t>CTY-1788</t>
  </si>
  <si>
    <t>Ras Al Khair Port</t>
  </si>
  <si>
    <t>Stockton</t>
  </si>
  <si>
    <t>CTY-1789</t>
  </si>
  <si>
    <t>Syracuse</t>
  </si>
  <si>
    <t>CTY-1790</t>
  </si>
  <si>
    <t>Tallahassee</t>
  </si>
  <si>
    <t>CTY-1791</t>
  </si>
  <si>
    <t>CTY-1792</t>
  </si>
  <si>
    <t>Tucson</t>
  </si>
  <si>
    <t>CTY-1793</t>
  </si>
  <si>
    <t>Tulsa</t>
  </si>
  <si>
    <t>CTY-1794</t>
  </si>
  <si>
    <t>Ventura</t>
  </si>
  <si>
    <t>CTY-1795</t>
  </si>
  <si>
    <t>Wichita</t>
  </si>
  <si>
    <t>CTY-1796</t>
  </si>
  <si>
    <t>Wilmington-DE</t>
  </si>
  <si>
    <t>CTY-1797</t>
  </si>
  <si>
    <t>CTY-0212</t>
  </si>
  <si>
    <t>An Giang</t>
  </si>
  <si>
    <t>Riyadh Province</t>
  </si>
  <si>
    <t>Riyadh</t>
  </si>
  <si>
    <t>STAMEQ / Ministry of Science and Technology; national investment authority and free-zone operator sites; local chamber of commerce directory</t>
  </si>
  <si>
    <t>Riyadh Industrial City 1-3 (MODON), Sudair City</t>
  </si>
  <si>
    <t>Riyadh Industrial City 1-3 (MODON)</t>
  </si>
  <si>
    <t>Pharmaceutical, food processing, desalination, petrochemicals</t>
  </si>
  <si>
    <t>CTY-1798</t>
  </si>
  <si>
    <t>Bac Lieu</t>
  </si>
  <si>
    <t>CTY-1799</t>
  </si>
  <si>
    <t>Ben Tre</t>
  </si>
  <si>
    <t>CTY-1800</t>
  </si>
  <si>
    <t>Binh Dinh</t>
  </si>
  <si>
    <t>CTY-1801</t>
  </si>
  <si>
    <t>Binh Thuan</t>
  </si>
  <si>
    <t>CTY-1802</t>
  </si>
  <si>
    <t>Ca Mau</t>
  </si>
  <si>
    <t>CTY-1803</t>
  </si>
  <si>
    <t>Cao Bang</t>
  </si>
  <si>
    <t>CTY-1804</t>
  </si>
  <si>
    <t>Dak Lak</t>
  </si>
  <si>
    <t>CTY-1805</t>
  </si>
  <si>
    <t>Dak Nong</t>
  </si>
  <si>
    <t>CTY-1806</t>
  </si>
  <si>
    <t>Dien Bien</t>
  </si>
  <si>
    <t>CTY-0213</t>
  </si>
  <si>
    <t>Sudair</t>
  </si>
  <si>
    <t>CTY-1807</t>
  </si>
  <si>
    <t>Sudair City for Industry and Business (MODON)</t>
  </si>
  <si>
    <t>Pharmaceutical, building materials, food</t>
  </si>
  <si>
    <t>Dong Thap</t>
  </si>
  <si>
    <t>CTY-1808</t>
  </si>
  <si>
    <t>Gia Lai</t>
  </si>
  <si>
    <t>CTY-1809</t>
  </si>
  <si>
    <t>Ha Giang</t>
  </si>
  <si>
    <t>CTY-1810</t>
  </si>
  <si>
    <t>Ha Nam</t>
  </si>
  <si>
    <t>CTY-1811</t>
  </si>
  <si>
    <t>Hau Giang</t>
  </si>
  <si>
    <t>CTY-1812</t>
  </si>
  <si>
    <t>Hoa Binh</t>
  </si>
  <si>
    <t>CTY-1813</t>
  </si>
  <si>
    <t>Hue</t>
  </si>
  <si>
    <t>CTY-1814</t>
  </si>
  <si>
    <t>Kien Giang</t>
  </si>
  <si>
    <t>CTY-1815</t>
  </si>
  <si>
    <t>Kon Tum</t>
  </si>
  <si>
    <t>CTY-1816</t>
  </si>
  <si>
    <t>Lam Dong</t>
  </si>
  <si>
    <t>CTY-0214</t>
  </si>
  <si>
    <t>Madinah Province</t>
  </si>
  <si>
    <t>Yanbu</t>
  </si>
  <si>
    <t>CTY-1817</t>
  </si>
  <si>
    <t>Yanbu Industrial City (Royal Commission)</t>
  </si>
  <si>
    <t>Lang Son</t>
  </si>
  <si>
    <t>Yanbu Commercial Port</t>
  </si>
  <si>
    <t>CTY-1818</t>
  </si>
  <si>
    <t>Lao Cai</t>
  </si>
  <si>
    <t>CTY-1819</t>
  </si>
  <si>
    <t>Nam Dinh</t>
  </si>
  <si>
    <t>CTY-1820</t>
  </si>
  <si>
    <t>Ninh Binh</t>
  </si>
  <si>
    <t>CTY-1821</t>
  </si>
  <si>
    <t>Ninh Thuan</t>
  </si>
  <si>
    <t>CTY-1822</t>
  </si>
  <si>
    <t>Phu Tho</t>
  </si>
  <si>
    <t>CTY-1823</t>
  </si>
  <si>
    <t>Phu Yen</t>
  </si>
  <si>
    <t>CTY-1824</t>
  </si>
  <si>
    <t>Quang Ngai</t>
  </si>
  <si>
    <t>CTY-1825</t>
  </si>
  <si>
    <t>Soc Trang</t>
  </si>
  <si>
    <t>CTY-1826</t>
  </si>
  <si>
    <t>CTY-0215</t>
  </si>
  <si>
    <t>Son La</t>
  </si>
  <si>
    <t>East Region</t>
  </si>
  <si>
    <t>Changi</t>
  </si>
  <si>
    <t>Changi Business Park, Loyang Industrial</t>
  </si>
  <si>
    <t>Changi Business Park</t>
  </si>
  <si>
    <t>Aerospace, electronics, biomedical</t>
  </si>
  <si>
    <t>Port of Singapore</t>
  </si>
  <si>
    <t>CTY-1827</t>
  </si>
  <si>
    <t>Thai Binh</t>
  </si>
  <si>
    <t>CTY-1828</t>
  </si>
  <si>
    <t>Tien Giang</t>
  </si>
  <si>
    <t>CTY-1829</t>
  </si>
  <si>
    <t>Tra Vinh</t>
  </si>
  <si>
    <t>CTY-1830</t>
  </si>
  <si>
    <t>Tuyen Quang</t>
  </si>
  <si>
    <t>CTY-1831</t>
  </si>
  <si>
    <t>Vinh Long</t>
  </si>
  <si>
    <t>CTY-1832</t>
  </si>
  <si>
    <t>Yen Bai</t>
  </si>
  <si>
    <t>CTY-0216</t>
  </si>
  <si>
    <t>West Region</t>
  </si>
  <si>
    <t>Jurong</t>
  </si>
  <si>
    <t>Jurong Industrial Estate, International Business Park</t>
  </si>
  <si>
    <t>Jurong Industrial Estate</t>
  </si>
  <si>
    <t>Semiconductors, chemicals, engineering</t>
  </si>
  <si>
    <t>CTY-0217</t>
  </si>
  <si>
    <t>Jurong Island</t>
  </si>
  <si>
    <t>Jurong Island Chemical Hub</t>
  </si>
  <si>
    <t>Petrochemicals, specialty chemicals, pharmaceutical</t>
  </si>
  <si>
    <t>pharma &amp; petrochemical</t>
  </si>
  <si>
    <t>CTY-0218</t>
  </si>
  <si>
    <t>Pioneer</t>
  </si>
  <si>
    <t>Pioneer Sector Industrial, Soon Lee</t>
  </si>
  <si>
    <t>Pioneer Sector Industrial</t>
  </si>
  <si>
    <t>Marine, oilfield, engineering</t>
  </si>
  <si>
    <t>CTY-0219</t>
  </si>
  <si>
    <t>Tuas</t>
  </si>
  <si>
    <t>Tuas Biomedical Park, Tuas Industrial Estate</t>
  </si>
  <si>
    <t>Tuas Biomedical Park</t>
  </si>
  <si>
    <t>Biologics, pharmaceutical, API</t>
  </si>
  <si>
    <t>CTY-0220</t>
  </si>
  <si>
    <t>North Region</t>
  </si>
  <si>
    <t>Woodlands</t>
  </si>
  <si>
    <t>Woodlands Wafer Fab Park, Senoko Industrial</t>
  </si>
  <si>
    <t>Woodlands Wafer Fab Park</t>
  </si>
  <si>
    <t>Semiconductors, electronics, food</t>
  </si>
  <si>
    <t>CTY-0221</t>
  </si>
  <si>
    <t>Catalonia</t>
  </si>
  <si>
    <t>Barcelona</t>
  </si>
  <si>
    <t>Zona Franca Barcelona, Poligono Pedrosa</t>
  </si>
  <si>
    <t>Zona Franca Barcelona</t>
  </si>
  <si>
    <t>Pharmaceutical, chemicals, food and beverage</t>
  </si>
  <si>
    <t>Port of Barcelona</t>
  </si>
  <si>
    <t>CTY-0222</t>
  </si>
  <si>
    <t>Basque Country</t>
  </si>
  <si>
    <t>Bilbao</t>
  </si>
  <si>
    <t>Poligono Asua-Erletxes, Zamudio Technology Park</t>
  </si>
  <si>
    <t>Poligono Asua-Erletxes</t>
  </si>
  <si>
    <t>Engineering, steel, food processing</t>
  </si>
  <si>
    <t>Port of Bilbao</t>
  </si>
  <si>
    <t>CTY-0223</t>
  </si>
  <si>
    <t>Girona</t>
  </si>
  <si>
    <t>Poligono Mas Xirgu, Celra Industrial</t>
  </si>
  <si>
    <t>Poligono Mas Xirgu</t>
  </si>
  <si>
    <t>Food processing, meat processing, cork</t>
  </si>
  <si>
    <t>CTY-0224</t>
  </si>
  <si>
    <t>Community of Madrid</t>
  </si>
  <si>
    <t>Madrid</t>
  </si>
  <si>
    <t>Poligono Vallecas, Getafe Industrial, Alcala de Henares</t>
  </si>
  <si>
    <t>Poligono Vallecas</t>
  </si>
  <si>
    <t>Port of Valencia</t>
  </si>
  <si>
    <t>CTY-0225</t>
  </si>
  <si>
    <t>Andalusia</t>
  </si>
  <si>
    <t>Sevilla</t>
  </si>
  <si>
    <t>Poligono Torneo, Aeropolis Industrial</t>
  </si>
  <si>
    <t>Poligono Torneo</t>
  </si>
  <si>
    <t>Aerospace, food processing, olive oil</t>
  </si>
  <si>
    <t>Port of Sevilla</t>
  </si>
  <si>
    <t>CTY-0226</t>
  </si>
  <si>
    <t>Tarragona</t>
  </si>
  <si>
    <t>Tarragona Petrochemical Complex, La Canonja</t>
  </si>
  <si>
    <t>Tarragona Petrochemical Complex</t>
  </si>
  <si>
    <t>Petrochemicals, specialty chemicals</t>
  </si>
  <si>
    <t>Port of Tarragona</t>
  </si>
  <si>
    <t>CTY-0227</t>
  </si>
  <si>
    <t>Valencian Community</t>
  </si>
  <si>
    <t>Valencia</t>
  </si>
  <si>
    <t>Parque Tecnologico Paterna, Ribarroja Industrial</t>
  </si>
  <si>
    <t>Parque Tecnologico Paterna</t>
  </si>
  <si>
    <t>Food processing, ceramics, chemicals</t>
  </si>
  <si>
    <t>CTY-0228</t>
  </si>
  <si>
    <t>Aragon</t>
  </si>
  <si>
    <t>Zaragoza</t>
  </si>
  <si>
    <t>Plaza Logistics Platform, Malpica Industrial</t>
  </si>
  <si>
    <t>Plaza Logistics Platform</t>
  </si>
  <si>
    <t>Automotive, food processing, logistics</t>
  </si>
  <si>
    <t>CTY-0229</t>
  </si>
  <si>
    <t>Abu Dhabi</t>
  </si>
  <si>
    <t>KIZAD Khalifa Industrial Zone, ICAD I-III, Mussafah</t>
  </si>
  <si>
    <t>KIZAD Khalifa Industrial Zone</t>
  </si>
  <si>
    <t>Petrochemicals, pharmaceutical, food processing, desalination</t>
  </si>
  <si>
    <t>Khalifa Port</t>
  </si>
  <si>
    <t>CTY-0230</t>
  </si>
  <si>
    <t>Ajman</t>
  </si>
  <si>
    <t>Ajman Free Zone, Ajman Industrial Area 1-2</t>
  </si>
  <si>
    <t>Ajman Free Zone</t>
  </si>
  <si>
    <t>Food processing, plastics, engineering</t>
  </si>
  <si>
    <t>Ajman Port</t>
  </si>
  <si>
    <t>CTY-0231</t>
  </si>
  <si>
    <t>Al Ain</t>
  </si>
  <si>
    <t>Al Ain Industrial City (ZonesCorp)</t>
  </si>
  <si>
    <t>Dairy processing, food, bottled water, building materials</t>
  </si>
  <si>
    <t>CTY-0232</t>
  </si>
  <si>
    <t>Dubai</t>
  </si>
  <si>
    <t>Dubai Industrial City, Jebel Ali Free Zone (JAFZA), Dubai Investment Park</t>
  </si>
  <si>
    <t>Dubai Industrial City</t>
  </si>
  <si>
    <t>Pharmaceutical, food and beverage, trading and re-export, desalination</t>
  </si>
  <si>
    <t>CTY-0233</t>
  </si>
  <si>
    <t>Ras Al Khaimah</t>
  </si>
  <si>
    <t>RAK Economic Zone (RAKEZ), Al Ghail Industrial Park</t>
  </si>
  <si>
    <t>RAK Economic Zone (RAKEZ)</t>
  </si>
  <si>
    <t>Pharmaceutical, ceramics, cement, food</t>
  </si>
  <si>
    <t>Saqr Port</t>
  </si>
  <si>
    <t>CTY-0234</t>
  </si>
  <si>
    <t>Sharjah</t>
  </si>
  <si>
    <t>Hamriyah Free Zone, Sharjah Airport Free Zone, Industrial Area 1-18</t>
  </si>
  <si>
    <t>Hamriyah Free Zone</t>
  </si>
  <si>
    <t>Food processing, chemicals, engineering, packaging</t>
  </si>
  <si>
    <t>Port Khalid / Hamriyah Port</t>
  </si>
  <si>
    <t>CTY-0235</t>
  </si>
  <si>
    <t>West Midlands</t>
  </si>
  <si>
    <t>Birmingham</t>
  </si>
  <si>
    <t>Birmingham, UK</t>
  </si>
  <si>
    <t>Aston Industrial Corridor, Tyseley</t>
  </si>
  <si>
    <t>Aston Industrial Corridor</t>
  </si>
  <si>
    <t>Food processing, engineering, brewery</t>
  </si>
  <si>
    <t>Port of Bristol</t>
  </si>
  <si>
    <t>CTY-0236</t>
  </si>
  <si>
    <t>East of England</t>
  </si>
  <si>
    <t>Cambridge</t>
  </si>
  <si>
    <t>Cambridge Biomedical Campus, Babraham</t>
  </si>
  <si>
    <t>Cambridge Biomedical Campus</t>
  </si>
  <si>
    <t>Biotech, biologics, life sciences</t>
  </si>
  <si>
    <t>Port of Felixstowe</t>
  </si>
  <si>
    <t>CTY-0237</t>
  </si>
  <si>
    <t>Scotland</t>
  </si>
  <si>
    <t>Edinburgh</t>
  </si>
  <si>
    <t>Newbridge Industrial Estate, Livingston</t>
  </si>
  <si>
    <t>Newbridge Industrial Estate</t>
  </si>
  <si>
    <t>Life sciences, whisky, food</t>
  </si>
  <si>
    <t>Port of Grangemouth</t>
  </si>
  <si>
    <t>CTY-0238</t>
  </si>
  <si>
    <t>Glasgow</t>
  </si>
  <si>
    <t>Hillington Park, Eurocentral Industrial</t>
  </si>
  <si>
    <t>Hillington Park</t>
  </si>
  <si>
    <t>Pharmaceutical, whisky distillery, food</t>
  </si>
  <si>
    <t>CTY-0239</t>
  </si>
  <si>
    <t>Yorkshire</t>
  </si>
  <si>
    <t>Leeds</t>
  </si>
  <si>
    <t>Leeds Industrial Corridor, Wakefield Europort</t>
  </si>
  <si>
    <t>Leeds Industrial Corridor</t>
  </si>
  <si>
    <t>Food processing, pharmaceutical, brewery</t>
  </si>
  <si>
    <t>Port of Immingham</t>
  </si>
  <si>
    <t>CTY-0240</t>
  </si>
  <si>
    <t>North West</t>
  </si>
  <si>
    <t>Liverpool</t>
  </si>
  <si>
    <t>Speke Industrial Estate, Knowsley Industrial Park</t>
  </si>
  <si>
    <t>Speke Industrial Estate</t>
  </si>
  <si>
    <t>Biologics, vaccines, pharmaceutical</t>
  </si>
  <si>
    <t>Port of Liverpool</t>
  </si>
  <si>
    <t>CTY-0241</t>
  </si>
  <si>
    <t>Greater London</t>
  </si>
  <si>
    <t>London</t>
  </si>
  <si>
    <t>Park Royal Industrial Estate, Enfield, Barking</t>
  </si>
  <si>
    <t>Park Royal Industrial Estate</t>
  </si>
  <si>
    <t>Pharmaceutical, food and beverage, brewery</t>
  </si>
  <si>
    <t>Port of London</t>
  </si>
  <si>
    <t>CTY-0242</t>
  </si>
  <si>
    <t>Macclesfield</t>
  </si>
  <si>
    <t>Macclesfield Pharma Campus, Hurdsfield</t>
  </si>
  <si>
    <t>Macclesfield Pharma Campus</t>
  </si>
  <si>
    <t>API, pharmaceutical, biologics</t>
  </si>
  <si>
    <t>CTY-0243</t>
  </si>
  <si>
    <t>Manchester</t>
  </si>
  <si>
    <t>Trafford Park, Salford Quays Industrial</t>
  </si>
  <si>
    <t>Trafford Park</t>
  </si>
  <si>
    <t>CTY-0244</t>
  </si>
  <si>
    <t>East Midlands</t>
  </si>
  <si>
    <t>Nottingham</t>
  </si>
  <si>
    <t>Boots Beeston Campus, Nottingham Enterprise Zone</t>
  </si>
  <si>
    <t>Boots Beeston Campus</t>
  </si>
  <si>
    <t>Pharmaceutical, food, biotech</t>
  </si>
  <si>
    <t>CTY-0245</t>
  </si>
  <si>
    <t>South West</t>
  </si>
  <si>
    <t>Swindon</t>
  </si>
  <si>
    <t>Swindon Pharma Corridor, Groundwell</t>
  </si>
  <si>
    <t>Swindon Pharma Corridor</t>
  </si>
  <si>
    <t>Vaccines, pharmaceutical, engineering</t>
  </si>
  <si>
    <t>CTY-0246</t>
  </si>
  <si>
    <t>North East</t>
  </si>
  <si>
    <t>Teesside</t>
  </si>
  <si>
    <t>Wilton International, Billingham Chemical Complex</t>
  </si>
  <si>
    <t>Wilton International</t>
  </si>
  <si>
    <t>Fine chemicals, API, biologics, petrochemicals</t>
  </si>
  <si>
    <t>Teesport</t>
  </si>
  <si>
    <t>CTY-0247</t>
  </si>
  <si>
    <t>Texas</t>
  </si>
  <si>
    <t>Austin</t>
  </si>
  <si>
    <t>Samsung Taylor Campus, Northeast Austin Tech Corridor</t>
  </si>
  <si>
    <t>Samsung Taylor Campus</t>
  </si>
  <si>
    <t>Semiconductors, biotech, brewery</t>
  </si>
  <si>
    <t>Port of Houston</t>
  </si>
  <si>
    <t>CTY-0248</t>
  </si>
  <si>
    <t>Massachusetts</t>
  </si>
  <si>
    <t>Boston</t>
  </si>
  <si>
    <t>Cambridge Kendall Square, Devens, Andover Corridor</t>
  </si>
  <si>
    <t>Cambridge Kendall Square</t>
  </si>
  <si>
    <t>Biologics, cell and gene therapy, biotech</t>
  </si>
  <si>
    <t>Port of Boston</t>
  </si>
  <si>
    <t>CTY-0249</t>
  </si>
  <si>
    <t>Illinois</t>
  </si>
  <si>
    <t>Chicago</t>
  </si>
  <si>
    <t>Lake County Pharma Corridor, Elk Grove Village</t>
  </si>
  <si>
    <t>Lake County Pharma Corridor</t>
  </si>
  <si>
    <t>Port of Chicago</t>
  </si>
  <si>
    <t>CTY-0250</t>
  </si>
  <si>
    <t>Colorado</t>
  </si>
  <si>
    <t>Denver</t>
  </si>
  <si>
    <t>Boulder Biotech Corridor, Aurora, Longmont</t>
  </si>
  <si>
    <t>Boulder Biotech Corridor</t>
  </si>
  <si>
    <t>Biotech, brewery, food</t>
  </si>
  <si>
    <t>Port of LA-Long Beach</t>
  </si>
  <si>
    <t>CTY-0251</t>
  </si>
  <si>
    <t>Houston</t>
  </si>
  <si>
    <t>Bayport Industrial District, Deer Park, Pasadena Chemical Corridor</t>
  </si>
  <si>
    <t>Bayport Industrial District</t>
  </si>
  <si>
    <t>Petrochemicals, refining, biopharma, industrial gas</t>
  </si>
  <si>
    <t>CTY-0252</t>
  </si>
  <si>
    <t>Indiana</t>
  </si>
  <si>
    <t>Indianapolis</t>
  </si>
  <si>
    <t>Indianapolis Pharma Corridor, Lebanon LEAP District</t>
  </si>
  <si>
    <t>Indianapolis Pharma Corridor</t>
  </si>
  <si>
    <t>Port of Indiana Burns Harbor</t>
  </si>
  <si>
    <t>CTY-0253</t>
  </si>
  <si>
    <t>California</t>
  </si>
  <si>
    <t>Los Angeles</t>
  </si>
  <si>
    <t>Vernon Industrial District, Irvine Spectrum, Carson</t>
  </si>
  <si>
    <t>Vernon Industrial District</t>
  </si>
  <si>
    <t>Food processing, medical devices, brewery</t>
  </si>
  <si>
    <t>CTY-0254</t>
  </si>
  <si>
    <t>Minnesota</t>
  </si>
  <si>
    <t>Minneapolis-St Paul</t>
  </si>
  <si>
    <t>Medical Alley, Eagan, Plymouth Corridor</t>
  </si>
  <si>
    <t>Medical Alley</t>
  </si>
  <si>
    <t>Medical devices, food processing, dairy</t>
  </si>
  <si>
    <t>Port of Duluth</t>
  </si>
  <si>
    <t>CTY-0255</t>
  </si>
  <si>
    <t>New Jersey</t>
  </si>
  <si>
    <t>Newark-NJ</t>
  </si>
  <si>
    <t>Route 1 Pharma Corridor, Cranbury, Rahway</t>
  </si>
  <si>
    <t>Route 1 Pharma Corridor</t>
  </si>
  <si>
    <t>Port of New York-Newark</t>
  </si>
  <si>
    <t>CTY-0256</t>
  </si>
  <si>
    <t>Pennsylvania</t>
  </si>
  <si>
    <t>Philadelphia</t>
  </si>
  <si>
    <t>Navy Yard Philadelphia, Bucks County Corridor</t>
  </si>
  <si>
    <t>Navy Yard Philadelphia</t>
  </si>
  <si>
    <t>Biopharma, cell and gene therapy, life sciences</t>
  </si>
  <si>
    <t>Port of Philadelphia</t>
  </si>
  <si>
    <t>CTY-0257</t>
  </si>
  <si>
    <t>Arizona</t>
  </si>
  <si>
    <t>Phoenix</t>
  </si>
  <si>
    <t>Deer Valley, Chandler Price Corridor, Casa Grande</t>
  </si>
  <si>
    <t>Deer Valley</t>
  </si>
  <si>
    <t>Semiconductors, medical devices, food</t>
  </si>
  <si>
    <t>CTY-0258</t>
  </si>
  <si>
    <t>Oregon</t>
  </si>
  <si>
    <t>Portland</t>
  </si>
  <si>
    <t>Hillsboro Silicon Forest, Gresham Industrial</t>
  </si>
  <si>
    <t>Hillsboro Silicon Forest</t>
  </si>
  <si>
    <t>Semiconductors, brewery, food processing</t>
  </si>
  <si>
    <t>Port of Portland</t>
  </si>
  <si>
    <t>CTY-0259</t>
  </si>
  <si>
    <t>North Carolina</t>
  </si>
  <si>
    <t>Raleigh-Durham</t>
  </si>
  <si>
    <t>Research Triangle Park, Holly Springs, Clayton</t>
  </si>
  <si>
    <t>Research Triangle Park</t>
  </si>
  <si>
    <t>Biologics, vaccines, fill-finish, biotech</t>
  </si>
  <si>
    <t>Port of Wilmington NC</t>
  </si>
  <si>
    <t>CTY-0260</t>
  </si>
  <si>
    <t>San Diego</t>
  </si>
  <si>
    <t>Torrey Pines Mesa, Sorrento Valley, Otay Mesa</t>
  </si>
  <si>
    <t>Torrey Pines Mesa</t>
  </si>
  <si>
    <t>Port of San Diego</t>
  </si>
  <si>
    <t>CTY-0261</t>
  </si>
  <si>
    <t>San Francisco Bay Area</t>
  </si>
  <si>
    <t>South San Francisco Biotech Cluster, Fremont, Hayward</t>
  </si>
  <si>
    <t>South San Francisco Biotech Cluster</t>
  </si>
  <si>
    <t>Biotech, biologics, semiconductors, food</t>
  </si>
  <si>
    <t>Port of Oakland</t>
  </si>
  <si>
    <t>CTY-0262</t>
  </si>
  <si>
    <t>Washington</t>
  </si>
  <si>
    <t>Seattle</t>
  </si>
  <si>
    <t>Bothell Biotech Corridor, Kent Valley</t>
  </si>
  <si>
    <t>Bothell Biotech Corridor</t>
  </si>
  <si>
    <t>Biologics, aerospace, brewery</t>
  </si>
  <si>
    <t>Port of Seattle-Tacoma</t>
  </si>
  <si>
    <t>CTY-0263</t>
  </si>
  <si>
    <t>Northeast</t>
  </si>
  <si>
    <t>Bac Giang</t>
  </si>
  <si>
    <t>Van Trung IP, Quang Chau IP, Dinh Tram IP</t>
  </si>
  <si>
    <t>Van Trung IP</t>
  </si>
  <si>
    <t>Electronics, semiconductors, assembly</t>
  </si>
  <si>
    <t>Hai Phong Port</t>
  </si>
  <si>
    <t>CTY-0264</t>
  </si>
  <si>
    <t>Red River Delta</t>
  </si>
  <si>
    <t>Bac Ninh</t>
  </si>
  <si>
    <t>VSIP Bac Ninh, Que Vo IP, Yen Phong IP</t>
  </si>
  <si>
    <t>VSIP Bac Ninh</t>
  </si>
  <si>
    <t>Electronics, semiconductors, precision engineering</t>
  </si>
  <si>
    <t>CTY-0265</t>
  </si>
  <si>
    <t>Southeast</t>
  </si>
  <si>
    <t>Binh Duong</t>
  </si>
  <si>
    <t>VSIP I and II, Song Than Industrial Park, My Phuoc</t>
  </si>
  <si>
    <t>VSIP I and II</t>
  </si>
  <si>
    <t>Cat Lai Port</t>
  </si>
  <si>
    <t>CTY-0266</t>
  </si>
  <si>
    <t>Dong Nai</t>
  </si>
  <si>
    <t>Bien Hoa II Industrial Zone, Amata, Long Thanh IP</t>
  </si>
  <si>
    <t>Bien Hoa II Industrial Zone</t>
  </si>
  <si>
    <t>Pharmaceutical, food, chemicals</t>
  </si>
  <si>
    <t>CTY-0267</t>
  </si>
  <si>
    <t>Hai Phong</t>
  </si>
  <si>
    <t>Dinh Vu Industrial Zone, VSIP Hai Phong, Nomura IP</t>
  </si>
  <si>
    <t>Dinh Vu Industrial Zone</t>
  </si>
  <si>
    <t>Chemicals, electronics, food processing</t>
  </si>
  <si>
    <t>CTY-0268</t>
  </si>
  <si>
    <t>Hanoi</t>
  </si>
  <si>
    <t>Thang Long Industrial Park, Noi Bai Industrial Zone</t>
  </si>
  <si>
    <t>Thang Long Industrial Park</t>
  </si>
  <si>
    <t>CTY-0269</t>
  </si>
  <si>
    <t>Ho Chi Minh City</t>
  </si>
  <si>
    <t>Tan Thuan EPZ, Linh Trung EPZ, Hiep Phuoc Industrial Park</t>
  </si>
  <si>
    <t>Tan Thuan EPZ</t>
  </si>
  <si>
    <t>CTY-0270</t>
  </si>
  <si>
    <t>Mekong Delta</t>
  </si>
  <si>
    <t>Long An</t>
  </si>
  <si>
    <t>Tan Duc IP, Long Hau IP, Thuan Dao IP</t>
  </si>
  <si>
    <t>Tan Duc IP</t>
  </si>
  <si>
    <t>Food processing, pharmaceutical, packaging</t>
  </si>
  <si>
    <t>RIICO Industrial Area</t>
  </si>
  <si>
    <t>TSIIC Industrial Area</t>
  </si>
  <si>
    <t>APIIC Industrial Area</t>
  </si>
  <si>
    <t>TIDC Industrial Area</t>
  </si>
  <si>
    <t>MIDC Industrial Area</t>
  </si>
  <si>
    <t>ZIDCO Industrial Area</t>
  </si>
  <si>
    <t>KINFRA Industrial Area</t>
  </si>
  <si>
    <t>UPSIDA Industrial Area</t>
  </si>
  <si>
    <t>CSIDC Industrial Area</t>
  </si>
  <si>
    <t>GIDC Industrial Area</t>
  </si>
  <si>
    <t>SIDCO Industrial Area</t>
  </si>
  <si>
    <t>BIADA Industrial Area</t>
  </si>
  <si>
    <t>SIPCOT Industrial Area</t>
  </si>
  <si>
    <t>WBIDC Industrial Area</t>
  </si>
  <si>
    <t>KIADB Industrial Area</t>
  </si>
  <si>
    <t>IDCO Industrial Area</t>
  </si>
  <si>
    <t>HSIIDC Industrial Area</t>
  </si>
  <si>
    <t>PSIEC Industrial Area</t>
  </si>
  <si>
    <t>DSIIDC Industrial Area</t>
  </si>
  <si>
    <t>SIIDCUL Industrial Area</t>
  </si>
  <si>
    <t>HPSIDC Industrial Area</t>
  </si>
  <si>
    <t>AIDC Industrial Area</t>
  </si>
  <si>
    <t>MPIDC Industrial Area</t>
  </si>
  <si>
    <t>MIDC-Meg Industrial Area</t>
  </si>
  <si>
    <t>JIADA Industrial Area</t>
  </si>
  <si>
    <t>CHDIDC Industrial Area</t>
  </si>
  <si>
    <t>NIDC Industrial Area</t>
  </si>
  <si>
    <t>SIDICO Industrial Area</t>
  </si>
  <si>
    <t>MANIDCO Industrial Area</t>
  </si>
  <si>
    <t>APIDFC Industrial Area</t>
  </si>
  <si>
    <t>LIDCO Industrial Area</t>
  </si>
  <si>
    <t>ANIIDCO Industrial Area</t>
  </si>
  <si>
    <t>CTY-0668</t>
  </si>
  <si>
    <t>Albury-Wodonga</t>
  </si>
  <si>
    <t>Nexus Industrial Precinct</t>
  </si>
  <si>
    <t>CTY-0669</t>
  </si>
  <si>
    <t>Ballarat</t>
  </si>
  <si>
    <t>Ballarat West Employment Zone</t>
  </si>
  <si>
    <t>Food processing, engineering, dairy</t>
  </si>
  <si>
    <t>CTY-0670</t>
  </si>
  <si>
    <t>Bendigo</t>
  </si>
  <si>
    <t>Bendigo Industrial Estate, East Bendigo</t>
  </si>
  <si>
    <t>Bendigo Industrial Estate</t>
  </si>
  <si>
    <t>Food processing, engineering</t>
  </si>
  <si>
    <t>CTY-0671</t>
  </si>
  <si>
    <t>Cairns</t>
  </si>
  <si>
    <t>Portsmith Industrial Area</t>
  </si>
  <si>
    <t>Food processing, sugar, marine</t>
  </si>
  <si>
    <t>Port of Cairns</t>
  </si>
  <si>
    <t>CTY-0672</t>
  </si>
  <si>
    <t>ACT</t>
  </si>
  <si>
    <t>Canberra</t>
  </si>
  <si>
    <t>Hume Industrial, Fyshwick</t>
  </si>
  <si>
    <t>Hume Industrial</t>
  </si>
  <si>
    <t>Food, biotech, research</t>
  </si>
  <si>
    <t>CTY-0673</t>
  </si>
  <si>
    <t>Northern Territory</t>
  </si>
  <si>
    <t>Darwin</t>
  </si>
  <si>
    <t>East Arm Industrial, Berrimah</t>
  </si>
  <si>
    <t>East Arm Industrial</t>
  </si>
  <si>
    <t>LNG, food, logistics</t>
  </si>
  <si>
    <t>Port of Darwin</t>
  </si>
  <si>
    <t>CTY-0674</t>
  </si>
  <si>
    <t>Gold Coast</t>
  </si>
  <si>
    <t>Yatala Enterprise Area, Molendinar</t>
  </si>
  <si>
    <t>Yatala Enterprise Area</t>
  </si>
  <si>
    <t>Food and beverage, brewery, medical</t>
  </si>
  <si>
    <t>CTY-0675</t>
  </si>
  <si>
    <t>Tasmania</t>
  </si>
  <si>
    <t>Hobart</t>
  </si>
  <si>
    <t>Derwent Park Industrial, Brighton</t>
  </si>
  <si>
    <t>Derwent Park Industrial</t>
  </si>
  <si>
    <t>Food processing, aquaculture, brewery</t>
  </si>
  <si>
    <t>Port of Hobart</t>
  </si>
  <si>
    <t>CTY-0676</t>
  </si>
  <si>
    <t>Launceston</t>
  </si>
  <si>
    <t>Bell Bay Industrial Precinct</t>
  </si>
  <si>
    <t>Aluminium, food processing, dairy</t>
  </si>
  <si>
    <t>Port of Bell Bay</t>
  </si>
  <si>
    <t>CTY-0677</t>
  </si>
  <si>
    <t>Newcastle</t>
  </si>
  <si>
    <t>Newcastle, Australia</t>
  </si>
  <si>
    <t>Kooragang Industrial, Mayfield West</t>
  </si>
  <si>
    <t>Kooragang Industrial</t>
  </si>
  <si>
    <t>Chemicals, coal handling, food</t>
  </si>
  <si>
    <t>Port of Newcastle</t>
  </si>
  <si>
    <t>CTY-0678</t>
  </si>
  <si>
    <t>Shepparton</t>
  </si>
  <si>
    <t>Shepparton Industrial Precinct</t>
  </si>
  <si>
    <t>Fruit processing, dairy, food</t>
  </si>
  <si>
    <t>CTY-0679</t>
  </si>
  <si>
    <t>Toowoomba</t>
  </si>
  <si>
    <t>Charlton Industrial, Wellcamp</t>
  </si>
  <si>
    <t>Charlton Industrial</t>
  </si>
  <si>
    <t>Food processing, agro, meat</t>
  </si>
  <si>
    <t>CTY-0680</t>
  </si>
  <si>
    <t>Townsville</t>
  </si>
  <si>
    <t>Townsville Industrial Precinct, Bohle</t>
  </si>
  <si>
    <t>Townsville Industrial Precinct</t>
  </si>
  <si>
    <t>Mineral processing, food, sugar</t>
  </si>
  <si>
    <t>Port of Townsville</t>
  </si>
  <si>
    <t>CTY-0681</t>
  </si>
  <si>
    <t>Wagga Wagga</t>
  </si>
  <si>
    <t>Bomen Business Park</t>
  </si>
  <si>
    <t>Meat processing, agro, food</t>
  </si>
  <si>
    <t>CTY-0682</t>
  </si>
  <si>
    <t>Warrnambool</t>
  </si>
  <si>
    <t>Warrnambool Industrial Estate</t>
  </si>
  <si>
    <t>Dairy processing, food</t>
  </si>
  <si>
    <t>CTY-0683</t>
  </si>
  <si>
    <t>Wollongong</t>
  </si>
  <si>
    <t>Port Kembla Industrial Area</t>
  </si>
  <si>
    <t>Steel, chemicals, engineering</t>
  </si>
  <si>
    <t>Port Kembla</t>
  </si>
  <si>
    <t>CTY-0684</t>
  </si>
  <si>
    <t>Northern</t>
  </si>
  <si>
    <t>Isa Town</t>
  </si>
  <si>
    <t>Isa Town Industrial Area</t>
  </si>
  <si>
    <t>Light engineering, food</t>
  </si>
  <si>
    <t>CTY-0685</t>
  </si>
  <si>
    <t>Southern</t>
  </si>
  <si>
    <t>Riffa</t>
  </si>
  <si>
    <t>Riffa Industrial Zone</t>
  </si>
  <si>
    <t>Food processing, building materials</t>
  </si>
  <si>
    <t>CTY-0686</t>
  </si>
  <si>
    <t>Salmabad</t>
  </si>
  <si>
    <t>Salmabad Industrial Area</t>
  </si>
  <si>
    <t>Engineering, plastics, packaging</t>
  </si>
  <si>
    <t>CTY-0687</t>
  </si>
  <si>
    <t>Augsburg</t>
  </si>
  <si>
    <t>Augsburg Innovationspark, Lechhausen</t>
  </si>
  <si>
    <t>Augsburg Innovationspark</t>
  </si>
  <si>
    <t>Engineering, textiles, food</t>
  </si>
  <si>
    <t>CTY-0688</t>
  </si>
  <si>
    <t>Bielefeld</t>
  </si>
  <si>
    <t>Bielefeld Industrial Corridor</t>
  </si>
  <si>
    <t>Food processing, engineering, pharmaceutical</t>
  </si>
  <si>
    <t>Port of Bremerhaven</t>
  </si>
  <si>
    <t>CTY-0689</t>
  </si>
  <si>
    <t>Bremen</t>
  </si>
  <si>
    <t>Bremen Industriehafen, Bremerhaven Fischereihafen</t>
  </si>
  <si>
    <t>Bremen Industriehafen</t>
  </si>
  <si>
    <t>Food processing, fisheries, aerospace</t>
  </si>
  <si>
    <t>CTY-0690</t>
  </si>
  <si>
    <t>Chemnitz</t>
  </si>
  <si>
    <t>Chemnitz Industrial Corridor</t>
  </si>
  <si>
    <t>Engineering, automotive, textiles</t>
  </si>
  <si>
    <t>CTY-0691</t>
  </si>
  <si>
    <t>Dortmund</t>
  </si>
  <si>
    <t>Dortmund Technology Park, Westfalenhutte</t>
  </si>
  <si>
    <t>Dortmund Technology Park</t>
  </si>
  <si>
    <t>Brewery, engineering, logistics</t>
  </si>
  <si>
    <t>CTY-0692</t>
  </si>
  <si>
    <t>Dusseldorf</t>
  </si>
  <si>
    <t>Dusseldorf Reisholz, Neuss Industrial</t>
  </si>
  <si>
    <t>Dusseldorf Reisholz</t>
  </si>
  <si>
    <t>Chemicals, food, engineering</t>
  </si>
  <si>
    <t>CTY-0693</t>
  </si>
  <si>
    <t>Essen</t>
  </si>
  <si>
    <t>Essen Industrial Corridor</t>
  </si>
  <si>
    <t>Chemicals, energy, engineering</t>
  </si>
  <si>
    <t>CTY-0694</t>
  </si>
  <si>
    <t>Freiburg</t>
  </si>
  <si>
    <t>Freiburg Nord Industrial, Haid</t>
  </si>
  <si>
    <t>Freiburg Nord Industrial</t>
  </si>
  <si>
    <t>Medical devices, solar, brewery</t>
  </si>
  <si>
    <t>CTY-0695</t>
  </si>
  <si>
    <t>Saxony-Anhalt</t>
  </si>
  <si>
    <t>Halle</t>
  </si>
  <si>
    <t>Leuna Chemical Park, Schkopau</t>
  </si>
  <si>
    <t>Leuna Chemical Park</t>
  </si>
  <si>
    <t>CTY-0696</t>
  </si>
  <si>
    <t>Lower Saxony</t>
  </si>
  <si>
    <t>Hanover</t>
  </si>
  <si>
    <t>Hanover Industrial Park, Langenhagen</t>
  </si>
  <si>
    <t>Hanover Industrial Park</t>
  </si>
  <si>
    <t>CTY-0697</t>
  </si>
  <si>
    <t>Karlsruhe</t>
  </si>
  <si>
    <t>Karlsruhe Rheinhafen, Technologiepark</t>
  </si>
  <si>
    <t>Karlsruhe Rheinhafen</t>
  </si>
  <si>
    <t>Refining, chemicals, technology</t>
  </si>
  <si>
    <t>refining &amp; chemical</t>
  </si>
  <si>
    <t>CTY-0698</t>
  </si>
  <si>
    <t>Schleswig-Holstein</t>
  </si>
  <si>
    <t>Kiel</t>
  </si>
  <si>
    <t>Kiel Industrial Harbour</t>
  </si>
  <si>
    <t>Marine, food processing</t>
  </si>
  <si>
    <t>Port of Kiel</t>
  </si>
  <si>
    <t>CTY-0699</t>
  </si>
  <si>
    <t>Leipzig</t>
  </si>
  <si>
    <t>Leipzig Nordraum Industrial, Schkeuditz</t>
  </si>
  <si>
    <t>Leipzig Nordraum Industrial</t>
  </si>
  <si>
    <t>Automotive, biotech, logistics</t>
  </si>
  <si>
    <t>CTY-0700</t>
  </si>
  <si>
    <t>Magdeburg</t>
  </si>
  <si>
    <t>Magdeburg Rothensee Industrial</t>
  </si>
  <si>
    <t>Chemicals, semiconductors, food</t>
  </si>
  <si>
    <t>CTY-0701</t>
  </si>
  <si>
    <t>Mannheim</t>
  </si>
  <si>
    <t>Mannheim Industriehafen, Friesenheimer Insel</t>
  </si>
  <si>
    <t>Mannheim Industriehafen</t>
  </si>
  <si>
    <t>Pharmaceutical, chemicals, engineering</t>
  </si>
  <si>
    <t>CTY-0702</t>
  </si>
  <si>
    <t>Nuremberg</t>
  </si>
  <si>
    <t>Nurnberg Hafen Industrial, Furth</t>
  </si>
  <si>
    <t>Nurnberg Hafen Industrial</t>
  </si>
  <si>
    <t>Food processing, engineering, medical</t>
  </si>
  <si>
    <t>CTY-0703</t>
  </si>
  <si>
    <t>Regensburg</t>
  </si>
  <si>
    <t>Regensburg Ost Industrial, Neutraubling</t>
  </si>
  <si>
    <t>Regensburg Ost Industrial</t>
  </si>
  <si>
    <t>Automotive, brewery equipment, food</t>
  </si>
  <si>
    <t>CTY-0704</t>
  </si>
  <si>
    <t>Mecklenburg</t>
  </si>
  <si>
    <t>Rostock</t>
  </si>
  <si>
    <t>Rostock Uberseehafen Industrial</t>
  </si>
  <si>
    <t>Marine, food, chemicals</t>
  </si>
  <si>
    <t>Port of Rostock</t>
  </si>
  <si>
    <t>CTY-0705</t>
  </si>
  <si>
    <t>Ulm</t>
  </si>
  <si>
    <t>Ulm Science Park, Donautal</t>
  </si>
  <si>
    <t>Ulm Science Park</t>
  </si>
  <si>
    <t>CTY-0706</t>
  </si>
  <si>
    <t>Wuppertal</t>
  </si>
  <si>
    <t>Wuppertal Elberfeld Chemical Site</t>
  </si>
  <si>
    <t>Pharmaceutical, chemicals</t>
  </si>
  <si>
    <t>CTY-0707</t>
  </si>
  <si>
    <t>East Kalimantan</t>
  </si>
  <si>
    <t>Balikpapan</t>
  </si>
  <si>
    <t>Kariangau Industrial Estate</t>
  </si>
  <si>
    <t>Refining, oil and gas, food</t>
  </si>
  <si>
    <t>Semayang Port</t>
  </si>
  <si>
    <t>CTY-0708</t>
  </si>
  <si>
    <t>Bandung</t>
  </si>
  <si>
    <t>Rancaekek Industrial, Cimahi Industrial Estate</t>
  </si>
  <si>
    <t>Rancaekek Industrial</t>
  </si>
  <si>
    <t>Pharmaceutical, textile, food</t>
  </si>
  <si>
    <t>CTY-0709</t>
  </si>
  <si>
    <t>Bogor</t>
  </si>
  <si>
    <t>Sentul Industrial, Gunung Putri</t>
  </si>
  <si>
    <t>Sentul Industrial</t>
  </si>
  <si>
    <t>CTY-0710</t>
  </si>
  <si>
    <t>South Sulawesi</t>
  </si>
  <si>
    <t>Makassar</t>
  </si>
  <si>
    <t>KIMA Makassar Industrial Estate</t>
  </si>
  <si>
    <t>Food processing, cement, fisheries</t>
  </si>
  <si>
    <t>Soekarno-Hatta Port</t>
  </si>
  <si>
    <t>CTY-0711</t>
  </si>
  <si>
    <t>North Sumatra</t>
  </si>
  <si>
    <t>Medan</t>
  </si>
  <si>
    <t>Kawasan Industri Medan (KIM), Belawan</t>
  </si>
  <si>
    <t>Kawasan Industri Medan (KIM)</t>
  </si>
  <si>
    <t>Palm oil, food processing, rubber</t>
  </si>
  <si>
    <t>Belawan Port</t>
  </si>
  <si>
    <t>CTY-0712</t>
  </si>
  <si>
    <t>South Sumatra</t>
  </si>
  <si>
    <t>Palembang</t>
  </si>
  <si>
    <t>Kawasan Industri Palembang, Sungai Lilin</t>
  </si>
  <si>
    <t>Kawasan Industri Palembang</t>
  </si>
  <si>
    <t>Fertiliser, palm oil, rubber</t>
  </si>
  <si>
    <t>Boom Baru Port</t>
  </si>
  <si>
    <t>CTY-0713</t>
  </si>
  <si>
    <t>Pasuruan</t>
  </si>
  <si>
    <t>PIER Pasuruan Industrial Estate Rembang</t>
  </si>
  <si>
    <t>Food and beverage, brewery, dairy</t>
  </si>
  <si>
    <t>CTY-0714</t>
  </si>
  <si>
    <t>Riau</t>
  </si>
  <si>
    <t>Pekanbaru</t>
  </si>
  <si>
    <t>Tenayan Industrial Estate, Dumai</t>
  </si>
  <si>
    <t>Tenayan Industrial Estate</t>
  </si>
  <si>
    <t>Palm oil refining, pulp and paper</t>
  </si>
  <si>
    <t>Dumai Port</t>
  </si>
  <si>
    <t>CTY-0715</t>
  </si>
  <si>
    <t>Central Java</t>
  </si>
  <si>
    <t>Semarang</t>
  </si>
  <si>
    <t>Kawasan Industri Wijayakusuma, Terboyo</t>
  </si>
  <si>
    <t>Kawasan Industri Wijayakusuma</t>
  </si>
  <si>
    <t>Food processing, pharmaceutical, textile</t>
  </si>
  <si>
    <t>Tanjung Emas Port</t>
  </si>
  <si>
    <t>CTY-0716</t>
  </si>
  <si>
    <t>Serang</t>
  </si>
  <si>
    <t>Modern Cikande Industrial Estate</t>
  </si>
  <si>
    <t>Chemicals, food, packaging</t>
  </si>
  <si>
    <t>CTY-0717</t>
  </si>
  <si>
    <t>Sidoarjo</t>
  </si>
  <si>
    <t>Sidoarjo Industrial Estate, Berbek</t>
  </si>
  <si>
    <t>Sidoarjo Industrial Estate</t>
  </si>
  <si>
    <t>Food processing, pharmaceutical</t>
  </si>
  <si>
    <t>CTY-0718</t>
  </si>
  <si>
    <t>Tangerang</t>
  </si>
  <si>
    <t>Jatake Industrial Estate, Cikupa</t>
  </si>
  <si>
    <t>Jatake Industrial Estate</t>
  </si>
  <si>
    <t>Pharmaceutical, food, packaging</t>
  </si>
  <si>
    <t>CTY-0719</t>
  </si>
  <si>
    <t>Marche</t>
  </si>
  <si>
    <t>Ancona</t>
  </si>
  <si>
    <t>Ancona Industrial Zone, Falconara</t>
  </si>
  <si>
    <t>Ancona Industrial Zone</t>
  </si>
  <si>
    <t>Marine, refining, food</t>
  </si>
  <si>
    <t>Port of Ancona</t>
  </si>
  <si>
    <t>CTY-0720</t>
  </si>
  <si>
    <t>Apulia</t>
  </si>
  <si>
    <t>Bari</t>
  </si>
  <si>
    <t>Bari Industrial Zone, Modugno</t>
  </si>
  <si>
    <t>Bari Industrial Zone</t>
  </si>
  <si>
    <t>Port of Bari</t>
  </si>
  <si>
    <t>CTY-0721</t>
  </si>
  <si>
    <t>Sicily</t>
  </si>
  <si>
    <t>Catania</t>
  </si>
  <si>
    <t>Catania Etna Valley, Pantano d Arci</t>
  </si>
  <si>
    <t>Catania Etna Valley</t>
  </si>
  <si>
    <t>Semiconductors, food, chemicals</t>
  </si>
  <si>
    <t>Port of Catania</t>
  </si>
  <si>
    <t>CTY-0722</t>
  </si>
  <si>
    <t>Como</t>
  </si>
  <si>
    <t>Como Industrial District</t>
  </si>
  <si>
    <t>Textile, silk processing, engineering</t>
  </si>
  <si>
    <t>CTY-0723</t>
  </si>
  <si>
    <t>Cremona</t>
  </si>
  <si>
    <t>Cremona Industrial Zone</t>
  </si>
  <si>
    <t>Dairy processing, food, engineering</t>
  </si>
  <si>
    <t>CTY-0724</t>
  </si>
  <si>
    <t>Ferrara</t>
  </si>
  <si>
    <t>Ferrara Petrolchimico Industrial</t>
  </si>
  <si>
    <t>Chemicals, plastics, food</t>
  </si>
  <si>
    <t>CTY-0725</t>
  </si>
  <si>
    <t>Tuscany</t>
  </si>
  <si>
    <t>Florence</t>
  </si>
  <si>
    <t>Osmannoro Industrial, Scandicci</t>
  </si>
  <si>
    <t>Osmannoro Industrial</t>
  </si>
  <si>
    <t>Pharmaceutical, leather, food</t>
  </si>
  <si>
    <t>Port of Livorno</t>
  </si>
  <si>
    <t>CTY-0726</t>
  </si>
  <si>
    <t>Liguria</t>
  </si>
  <si>
    <t>Genoa</t>
  </si>
  <si>
    <t>Genoa Industrial Port Area, Cornigliano</t>
  </si>
  <si>
    <t>Genoa Industrial Port Area</t>
  </si>
  <si>
    <t>Steel, marine, chemicals</t>
  </si>
  <si>
    <t>CTY-0727</t>
  </si>
  <si>
    <t>Monza</t>
  </si>
  <si>
    <t>Monza Brianza Industrial District</t>
  </si>
  <si>
    <t>Engineering, furniture, food</t>
  </si>
  <si>
    <t>CTY-0728</t>
  </si>
  <si>
    <t>Campania</t>
  </si>
  <si>
    <t>Naples</t>
  </si>
  <si>
    <t>Nola Interporto, Caivano Industrial Area</t>
  </si>
  <si>
    <t>Nola Interporto</t>
  </si>
  <si>
    <t>Port of Naples</t>
  </si>
  <si>
    <t>CTY-0729</t>
  </si>
  <si>
    <t>Pavia</t>
  </si>
  <si>
    <t>Pavia Industrial District</t>
  </si>
  <si>
    <t>Pharmaceutical, food, engineering</t>
  </si>
  <si>
    <t>CTY-0730</t>
  </si>
  <si>
    <t>Umbria</t>
  </si>
  <si>
    <t>Perugia</t>
  </si>
  <si>
    <t>Perugia Industrial Zone, Bastia Umbra</t>
  </si>
  <si>
    <t>Perugia Industrial Zone</t>
  </si>
  <si>
    <t>Food processing, confectionery</t>
  </si>
  <si>
    <t>CTY-0731</t>
  </si>
  <si>
    <t>Piacenza</t>
  </si>
  <si>
    <t>Piacenza Logistics and Industrial Pole</t>
  </si>
  <si>
    <t>Food processing, logistics</t>
  </si>
  <si>
    <t>CTY-0732</t>
  </si>
  <si>
    <t>Ravenna</t>
  </si>
  <si>
    <t>Ravenna Petrochemical District</t>
  </si>
  <si>
    <t>Petrochemicals, energy, food</t>
  </si>
  <si>
    <t>CTY-0733</t>
  </si>
  <si>
    <t>Reggio Emilia</t>
  </si>
  <si>
    <t>Reggio Emilia Industrial District, Mancasale</t>
  </si>
  <si>
    <t>Reggio Emilia Industrial District</t>
  </si>
  <si>
    <t>Dairy processing, food machinery</t>
  </si>
  <si>
    <t>CTY-0734</t>
  </si>
  <si>
    <t>Rome</t>
  </si>
  <si>
    <t>Tiburtina Industrial, Pomezia Industrial Area</t>
  </si>
  <si>
    <t>Tiburtina Industrial</t>
  </si>
  <si>
    <t>CTY-0735</t>
  </si>
  <si>
    <t>Treviso</t>
  </si>
  <si>
    <t>Treviso Industrial Zone, Villorba</t>
  </si>
  <si>
    <t>Treviso Industrial Zone</t>
  </si>
  <si>
    <t>Food and beverage, engineering</t>
  </si>
  <si>
    <t>CTY-0736</t>
  </si>
  <si>
    <t>Varese</t>
  </si>
  <si>
    <t>Varese Industrial District, Malpensa</t>
  </si>
  <si>
    <t>Varese Industrial District</t>
  </si>
  <si>
    <t>Pharmaceutical, aerospace, engineering</t>
  </si>
  <si>
    <t>CTY-0737</t>
  </si>
  <si>
    <t>Venice-Marghera</t>
  </si>
  <si>
    <t>Porto Marghera Industrial Zone</t>
  </si>
  <si>
    <t>Petrochemicals, glass, food</t>
  </si>
  <si>
    <t>CTY-0738</t>
  </si>
  <si>
    <t>Vicenza</t>
  </si>
  <si>
    <t>Vicenza Industrial Zone, Montecchio</t>
  </si>
  <si>
    <t>Vicenza Industrial Zone</t>
  </si>
  <si>
    <t>Engineering, food machinery, goldsmithing</t>
  </si>
  <si>
    <t>CTY-0739</t>
  </si>
  <si>
    <t>Al Farwaniyah</t>
  </si>
  <si>
    <t>Ardiya Industrial Area</t>
  </si>
  <si>
    <t>Food processing, packaging</t>
  </si>
  <si>
    <t>CTY-0740</t>
  </si>
  <si>
    <t>Al Jahra</t>
  </si>
  <si>
    <t>Amghara Industrial Area</t>
  </si>
  <si>
    <t>Recycling, engineering, food</t>
  </si>
  <si>
    <t>CTY-0741</t>
  </si>
  <si>
    <t>Mina Abdullah</t>
  </si>
  <si>
    <t>Mina Abdullah Refinery Complex</t>
  </si>
  <si>
    <t>Mina Abdullah Port</t>
  </si>
  <si>
    <t>CTY-0742</t>
  </si>
  <si>
    <t>Sulaibiya</t>
  </si>
  <si>
    <t>Sulaibiya Industrial Area</t>
  </si>
  <si>
    <t>Water treatment, food, plastics</t>
  </si>
  <si>
    <t>CTY-0743</t>
  </si>
  <si>
    <t>Alor Setar</t>
  </si>
  <si>
    <t>Mergong Industrial Estate</t>
  </si>
  <si>
    <t>Food processing, agro, rice milling</t>
  </si>
  <si>
    <t>CTY-0744</t>
  </si>
  <si>
    <t>Sarawak</t>
  </si>
  <si>
    <t>Bintulu</t>
  </si>
  <si>
    <t>Kidurong Industrial Area, Samalaju Industrial Park</t>
  </si>
  <si>
    <t>Kidurong Industrial Area</t>
  </si>
  <si>
    <t>LNG, petrochemicals, aluminium</t>
  </si>
  <si>
    <t>Bintulu Port</t>
  </si>
  <si>
    <t>CTY-0745</t>
  </si>
  <si>
    <t>Perak</t>
  </si>
  <si>
    <t>Ipoh</t>
  </si>
  <si>
    <t>Tasek Industrial Estate, Kinta Valley</t>
  </si>
  <si>
    <t>Tasek Industrial Estate</t>
  </si>
  <si>
    <t>Food processing, cement, engineering</t>
  </si>
  <si>
    <t>CTY-0746</t>
  </si>
  <si>
    <t>Sabah</t>
  </si>
  <si>
    <t>Kota Kinabalu</t>
  </si>
  <si>
    <t>KKIP Kota Kinabalu Industrial Park</t>
  </si>
  <si>
    <t>Palm oil, food processing, marine</t>
  </si>
  <si>
    <t>Sepanggar Port</t>
  </si>
  <si>
    <t>CTY-0747</t>
  </si>
  <si>
    <t>Pahang</t>
  </si>
  <si>
    <t>Kuantan</t>
  </si>
  <si>
    <t>Gebeng Industrial Estate, MCKIP</t>
  </si>
  <si>
    <t>Gebeng Industrial Estate</t>
  </si>
  <si>
    <t>Kuantan Port</t>
  </si>
  <si>
    <t>CTY-0748</t>
  </si>
  <si>
    <t>Kuching</t>
  </si>
  <si>
    <t>Sama Jaya Free Industrial Zone, Demak Laut</t>
  </si>
  <si>
    <t>Sama Jaya Free Industrial Zone</t>
  </si>
  <si>
    <t>Electronics, food, timber</t>
  </si>
  <si>
    <t>Kuching Port</t>
  </si>
  <si>
    <t>CTY-0749</t>
  </si>
  <si>
    <t>Negeri Sembilan</t>
  </si>
  <si>
    <t>Nilai</t>
  </si>
  <si>
    <t>Nilai Industrial Estate, Techpark@Enstek</t>
  </si>
  <si>
    <t>Nilai Industrial Estate</t>
  </si>
  <si>
    <t>Pharmaceutical, halal food, engineering</t>
  </si>
  <si>
    <t>CTY-0750</t>
  </si>
  <si>
    <t>Pasir Gudang</t>
  </si>
  <si>
    <t>Pasir Gudang Industrial Area</t>
  </si>
  <si>
    <t>Petrochemicals, palm oil refining</t>
  </si>
  <si>
    <t>Johor Port</t>
  </si>
  <si>
    <t>CTY-0751</t>
  </si>
  <si>
    <t>Rawang</t>
  </si>
  <si>
    <t>Rawang Integrated Industrial Park</t>
  </si>
  <si>
    <t>Cement, engineering, food</t>
  </si>
  <si>
    <t>CTY-0752</t>
  </si>
  <si>
    <t>Seremban</t>
  </si>
  <si>
    <t>Senawang Industrial Estate, Nilai Industrial</t>
  </si>
  <si>
    <t>Senawang Industrial Estate</t>
  </si>
  <si>
    <t>Pharmaceutical, food processing, rubber</t>
  </si>
  <si>
    <t>CTY-0753</t>
  </si>
  <si>
    <t>Subang Jaya</t>
  </si>
  <si>
    <t>Subang Jaya Industrial Estate, USJ</t>
  </si>
  <si>
    <t>Subang Jaya Industrial Estate</t>
  </si>
  <si>
    <t>Electronics, pharmaceutical, food</t>
  </si>
  <si>
    <t>CTY-0754</t>
  </si>
  <si>
    <t>Sungai Petani</t>
  </si>
  <si>
    <t>Sungai Petani Industrial Estate, Bakar Arang</t>
  </si>
  <si>
    <t>Sungai Petani Industrial Estate</t>
  </si>
  <si>
    <t>Electronics, rubber, food</t>
  </si>
  <si>
    <t>CTY-0755</t>
  </si>
  <si>
    <t>Gelderland</t>
  </si>
  <si>
    <t>Arnhem</t>
  </si>
  <si>
    <t>Arnhem IJsseloord, Kleefse Waard</t>
  </si>
  <si>
    <t>Arnhem IJsseloord</t>
  </si>
  <si>
    <t>Energy, chemicals, engineering</t>
  </si>
  <si>
    <t>CTY-0756</t>
  </si>
  <si>
    <t>Breda</t>
  </si>
  <si>
    <t>Breda Hazeldonk Industrial</t>
  </si>
  <si>
    <t>Food and beverage, brewery, logistics</t>
  </si>
  <si>
    <t>CTY-0757</t>
  </si>
  <si>
    <t>Overijssel</t>
  </si>
  <si>
    <t>Enschede</t>
  </si>
  <si>
    <t>Kennispark Twente, Enschede Industrial</t>
  </si>
  <si>
    <t>Kennispark Twente</t>
  </si>
  <si>
    <t>Medical devices, engineering, food</t>
  </si>
  <si>
    <t>CTY-0758</t>
  </si>
  <si>
    <t>Groningen</t>
  </si>
  <si>
    <t>Groningen Zernike Campus, Eemshaven</t>
  </si>
  <si>
    <t>Groningen Zernike Campus</t>
  </si>
  <si>
    <t>Biotech, energy, food</t>
  </si>
  <si>
    <t>Eemshaven Port</t>
  </si>
  <si>
    <t>CTY-0759</t>
  </si>
  <si>
    <t>Nijmegen</t>
  </si>
  <si>
    <t>Nijmegen Industrial Corridor, Novio Tech Campus</t>
  </si>
  <si>
    <t>Nijmegen Industrial Corridor</t>
  </si>
  <si>
    <t>Semiconductors, health tech</t>
  </si>
  <si>
    <t>CTY-0760</t>
  </si>
  <si>
    <t>Zeeland</t>
  </si>
  <si>
    <t>Terneuzen</t>
  </si>
  <si>
    <t>Terneuzen Industrial Zone, Dow Terneuzen</t>
  </si>
  <si>
    <t>Terneuzen Industrial Zone</t>
  </si>
  <si>
    <t>Port of Vlissingen</t>
  </si>
  <si>
    <t>CTY-0761</t>
  </si>
  <si>
    <t>The Hague</t>
  </si>
  <si>
    <t>Binckhorst Industrial, Forepark</t>
  </si>
  <si>
    <t>Binckhorst Industrial</t>
  </si>
  <si>
    <t>Food, technology, chemicals</t>
  </si>
  <si>
    <t>CTY-0762</t>
  </si>
  <si>
    <t>Tilburg</t>
  </si>
  <si>
    <t>Tilburg Vossenberg Industrial</t>
  </si>
  <si>
    <t>Logistics, food, chemicals</t>
  </si>
  <si>
    <t>CTY-0763</t>
  </si>
  <si>
    <t>Utrecht</t>
  </si>
  <si>
    <t>Lage Weide Industrial, Utrecht Science Park</t>
  </si>
  <si>
    <t>Lage Weide Industrial</t>
  </si>
  <si>
    <t>Life sciences, food, pharmaceutical</t>
  </si>
  <si>
    <t>CTY-0764</t>
  </si>
  <si>
    <t>Vlissingen</t>
  </si>
  <si>
    <t>Vlissingen-Oost Industrial (Sloegebied)</t>
  </si>
  <si>
    <t>Chemicals, food processing, energy</t>
  </si>
  <si>
    <t>CTY-0765</t>
  </si>
  <si>
    <t>Wageningen</t>
  </si>
  <si>
    <t>Wageningen Food Valley Campus</t>
  </si>
  <si>
    <t>Food research, agrifood, dairy</t>
  </si>
  <si>
    <t>CTY-0766</t>
  </si>
  <si>
    <t>Zwolle</t>
  </si>
  <si>
    <t>Zwolle Hessenpoort Industrial</t>
  </si>
  <si>
    <t>CTY-0767</t>
  </si>
  <si>
    <t>South Al Batinah</t>
  </si>
  <si>
    <t>Barka</t>
  </si>
  <si>
    <t>Barka Industrial Zone</t>
  </si>
  <si>
    <t>Desalination, power, food</t>
  </si>
  <si>
    <t>CTY-0768</t>
  </si>
  <si>
    <t>Al Buraimi</t>
  </si>
  <si>
    <t>Buraimi</t>
  </si>
  <si>
    <t>Buraimi Industrial Estate (Madayn)</t>
  </si>
  <si>
    <t>CTY-0769</t>
  </si>
  <si>
    <t>North Ash Sharqiyah</t>
  </si>
  <si>
    <t>Ibra</t>
  </si>
  <si>
    <t>Ibra Industrial Estate</t>
  </si>
  <si>
    <t>Food, agro, building materials</t>
  </si>
  <si>
    <t>Port of Sur</t>
  </si>
  <si>
    <t>CTY-0770</t>
  </si>
  <si>
    <t>Ad Dhahirah</t>
  </si>
  <si>
    <t>Ibri</t>
  </si>
  <si>
    <t>Ibri Industrial Estate (Madayn)</t>
  </si>
  <si>
    <t>Mining, solar, building materials</t>
  </si>
  <si>
    <t>mining</t>
  </si>
  <si>
    <t>CTY-0771</t>
  </si>
  <si>
    <t>Rusayl</t>
  </si>
  <si>
    <t>Rusayl Industrial Estate Phase I-III</t>
  </si>
  <si>
    <t>CTY-0772</t>
  </si>
  <si>
    <t>South Ash Sharqiyah</t>
  </si>
  <si>
    <t>Sur</t>
  </si>
  <si>
    <t>Sur Industrial Estate (Madayn)</t>
  </si>
  <si>
    <t>LNG, petrochemicals, fisheries</t>
  </si>
  <si>
    <t>CTY-0773</t>
  </si>
  <si>
    <t>Al Khor Industrial Zone</t>
  </si>
  <si>
    <t>Oil and gas services, food</t>
  </si>
  <si>
    <t>CTY-0774</t>
  </si>
  <si>
    <t>Al Rayyan</t>
  </si>
  <si>
    <t>Al Rayyan Industrial Zone</t>
  </si>
  <si>
    <t>CTY-0775</t>
  </si>
  <si>
    <t>Al Shahaniya</t>
  </si>
  <si>
    <t>Dukhan</t>
  </si>
  <si>
    <t>Dukhan Oil Field Complex</t>
  </si>
  <si>
    <t>Oil and gas, water treatment</t>
  </si>
  <si>
    <t>oil and gas</t>
  </si>
  <si>
    <t>CTY-0776</t>
  </si>
  <si>
    <t>Umm Salal</t>
  </si>
  <si>
    <t>Umm Salal Industrial Area</t>
  </si>
  <si>
    <t>Building materials, food, packaging</t>
  </si>
  <si>
    <t>CTY-0777</t>
  </si>
  <si>
    <t>Asir Province</t>
  </si>
  <si>
    <t>Abha</t>
  </si>
  <si>
    <t>Asir Industrial City (MODON)</t>
  </si>
  <si>
    <t>Jizan Port</t>
  </si>
  <si>
    <t>CTY-0778</t>
  </si>
  <si>
    <t>Al Hasa</t>
  </si>
  <si>
    <t>Al Ahsa Industrial City (MODON)</t>
  </si>
  <si>
    <t>Food processing, dates, plastics</t>
  </si>
  <si>
    <t>CTY-0779</t>
  </si>
  <si>
    <t>Al Kharj</t>
  </si>
  <si>
    <t>Al Kharj Industrial City</t>
  </si>
  <si>
    <t>Dairy processing, poultry, food</t>
  </si>
  <si>
    <t>CTY-0780</t>
  </si>
  <si>
    <t>Dhahran</t>
  </si>
  <si>
    <t>Dhahran Techno Valley</t>
  </si>
  <si>
    <t>Oilfield R&amp;D, engineering</t>
  </si>
  <si>
    <t>CTY-0781</t>
  </si>
  <si>
    <t>Hail Province</t>
  </si>
  <si>
    <t>Hail</t>
  </si>
  <si>
    <t>Hail Industrial City (MODON)</t>
  </si>
  <si>
    <t>Food processing, agro, building materials</t>
  </si>
  <si>
    <t>CTY-0782</t>
  </si>
  <si>
    <t>Jizan Province</t>
  </si>
  <si>
    <t>Jizan</t>
  </si>
  <si>
    <t>Jizan Economic City</t>
  </si>
  <si>
    <t>Refining, energy, food</t>
  </si>
  <si>
    <t>CTY-0783</t>
  </si>
  <si>
    <t>Khobar</t>
  </si>
  <si>
    <t>Khobar Industrial Belt</t>
  </si>
  <si>
    <t>Oilfield services, engineering, food</t>
  </si>
  <si>
    <t>CTY-0784</t>
  </si>
  <si>
    <t>Madinah</t>
  </si>
  <si>
    <t>Madinah Industrial City (MODON)</t>
  </si>
  <si>
    <t>Food processing, dates, packaging</t>
  </si>
  <si>
    <t>CTY-0785</t>
  </si>
  <si>
    <t>Makkah</t>
  </si>
  <si>
    <t>Makkah Industrial Estate</t>
  </si>
  <si>
    <t>Bottled water, food, packaging</t>
  </si>
  <si>
    <t>CTY-0786</t>
  </si>
  <si>
    <t>Najran Province</t>
  </si>
  <si>
    <t>Najran</t>
  </si>
  <si>
    <t>Najran Industrial City</t>
  </si>
  <si>
    <t>Cement, food, agro</t>
  </si>
  <si>
    <t>CTY-0787</t>
  </si>
  <si>
    <t>Qassim Province</t>
  </si>
  <si>
    <t>Qassim-Buraidah</t>
  </si>
  <si>
    <t>Qassim Industrial City (MODON)</t>
  </si>
  <si>
    <t>Dairy, food processing, agro</t>
  </si>
  <si>
    <t>CTY-0788</t>
  </si>
  <si>
    <t>Tabuk Province</t>
  </si>
  <si>
    <t>Tabuk</t>
  </si>
  <si>
    <t>Tabuk Industrial City (MODON)</t>
  </si>
  <si>
    <t>Agro-processing, dairy, food</t>
  </si>
  <si>
    <t>Duba Port</t>
  </si>
  <si>
    <t>CTY-0789</t>
  </si>
  <si>
    <t>North-East Region</t>
  </si>
  <si>
    <t>Ang Mo Kio</t>
  </si>
  <si>
    <t>Ang Mo Kio Industrial Park</t>
  </si>
  <si>
    <t>Semiconductors, precision engineering</t>
  </si>
  <si>
    <t>CTY-0790</t>
  </si>
  <si>
    <t>Bedok</t>
  </si>
  <si>
    <t>Bedok Industrial Estate, Kaki Bukit</t>
  </si>
  <si>
    <t>Bedok Industrial Estate</t>
  </si>
  <si>
    <t>Electronics, food processing</t>
  </si>
  <si>
    <t>CTY-0791</t>
  </si>
  <si>
    <t>Kranji</t>
  </si>
  <si>
    <t>Kranji Industrial Estate, Sungei Kadut</t>
  </si>
  <si>
    <t>Kranji Industrial Estate</t>
  </si>
  <si>
    <t>CTY-0792</t>
  </si>
  <si>
    <t>Galicia</t>
  </si>
  <si>
    <t>A Coruna</t>
  </si>
  <si>
    <t>Poligono Pocomaco, Bergondo Industrial</t>
  </si>
  <si>
    <t>Poligono Pocomaco</t>
  </si>
  <si>
    <t>Refining, fisheries processing, textiles</t>
  </si>
  <si>
    <t>Port of A Coruna</t>
  </si>
  <si>
    <t>CTY-0793</t>
  </si>
  <si>
    <t>Alicante</t>
  </si>
  <si>
    <t>Poligono Las Atalayas, Elche Industrial</t>
  </si>
  <si>
    <t>Poligono Las Atalayas</t>
  </si>
  <si>
    <t>Footwear, food, plastics</t>
  </si>
  <si>
    <t>Port of Alicante</t>
  </si>
  <si>
    <t>CTY-0794</t>
  </si>
  <si>
    <t>Castile and Leon</t>
  </si>
  <si>
    <t>Burgos</t>
  </si>
  <si>
    <t>Poligono Villalonquejar, Burgos Industrial</t>
  </si>
  <si>
    <t>Poligono Villalonquejar</t>
  </si>
  <si>
    <t>Food processing, automotive, chemicals</t>
  </si>
  <si>
    <t>CTY-0795</t>
  </si>
  <si>
    <t>Murcia</t>
  </si>
  <si>
    <t>Cartagena</t>
  </si>
  <si>
    <t>Valle de Escombreras Industrial</t>
  </si>
  <si>
    <t>Refining, petrochemicals, fertiliser</t>
  </si>
  <si>
    <t>Port of Cartagena</t>
  </si>
  <si>
    <t>CTY-0796</t>
  </si>
  <si>
    <t>Castellon</t>
  </si>
  <si>
    <t>Poligono Ciudad del Transporte, Almassora</t>
  </si>
  <si>
    <t>Poligono Ciudad del Transporte</t>
  </si>
  <si>
    <t>Ceramics, chemicals, food</t>
  </si>
  <si>
    <t>Port of Castellon</t>
  </si>
  <si>
    <t>CTY-0797</t>
  </si>
  <si>
    <t>Cordoba</t>
  </si>
  <si>
    <t>Poligono Las Quemadas, Tecnocordoba</t>
  </si>
  <si>
    <t>Poligono Las Quemadas</t>
  </si>
  <si>
    <t>Food processing, agro, engineering</t>
  </si>
  <si>
    <t>CTY-0798</t>
  </si>
  <si>
    <t>Granada</t>
  </si>
  <si>
    <t>Poligono Juncaril, Asegra</t>
  </si>
  <si>
    <t>Poligono Juncaril</t>
  </si>
  <si>
    <t>Food processing, pharmaceutical, agro</t>
  </si>
  <si>
    <t>Port of Malaga</t>
  </si>
  <si>
    <t>CTY-0799</t>
  </si>
  <si>
    <t>Huelva</t>
  </si>
  <si>
    <t>Huelva Chemical Pole, Punta del Sebo</t>
  </si>
  <si>
    <t>Huelva Chemical Pole</t>
  </si>
  <si>
    <t>Chemicals, fertiliser, mining</t>
  </si>
  <si>
    <t>chemical &amp; fertiliser</t>
  </si>
  <si>
    <t>Port of Huelva</t>
  </si>
  <si>
    <t>CTY-0800</t>
  </si>
  <si>
    <t>Leon</t>
  </si>
  <si>
    <t>Poligono Onzonilla, Villadangos</t>
  </si>
  <si>
    <t>Poligono Onzonilla</t>
  </si>
  <si>
    <t>Port of Gijon</t>
  </si>
  <si>
    <t>CTY-0801</t>
  </si>
  <si>
    <t>Lleida</t>
  </si>
  <si>
    <t>Poligono El Segre, Torrefarrera</t>
  </si>
  <si>
    <t>Poligono El Segre</t>
  </si>
  <si>
    <t>Food processing, agro, pork processing</t>
  </si>
  <si>
    <t>CTY-0802</t>
  </si>
  <si>
    <t>Malaga</t>
  </si>
  <si>
    <t>Poligono Guadalhorce, Malaga TechPark</t>
  </si>
  <si>
    <t>Poligono Guadalhorce</t>
  </si>
  <si>
    <t>Food processing, technology, agro</t>
  </si>
  <si>
    <t>CTY-0803</t>
  </si>
  <si>
    <t>Poligono Oeste San Gines, Alcantarilla</t>
  </si>
  <si>
    <t>Poligono Oeste San Gines</t>
  </si>
  <si>
    <t>Food processing, canning, agro</t>
  </si>
  <si>
    <t>CTY-0804</t>
  </si>
  <si>
    <t>Asturias</t>
  </si>
  <si>
    <t>Oviedo-Gijon</t>
  </si>
  <si>
    <t>Poligono Somonte, Tremanes Industrial</t>
  </si>
  <si>
    <t>Poligono Somonte</t>
  </si>
  <si>
    <t>Steel, chemicals, food</t>
  </si>
  <si>
    <t>CTY-0805</t>
  </si>
  <si>
    <t>Navarre</t>
  </si>
  <si>
    <t>Pamplona</t>
  </si>
  <si>
    <t>Poligono Landaben, Agustinos</t>
  </si>
  <si>
    <t>Poligono Landaben</t>
  </si>
  <si>
    <t>Automotive, food processing, renewable</t>
  </si>
  <si>
    <t>CTY-0806</t>
  </si>
  <si>
    <t>Salamanca</t>
  </si>
  <si>
    <t>Poligono Los Villares, Villares de la Reina</t>
  </si>
  <si>
    <t>Poligono Los Villares</t>
  </si>
  <si>
    <t>Food processing, agro, pharmaceutical</t>
  </si>
  <si>
    <t>CTY-0807</t>
  </si>
  <si>
    <t>San Sebastian</t>
  </si>
  <si>
    <t>Poligono 27 Martutene, Zuatzu</t>
  </si>
  <si>
    <t>Poligono 27 Martutene</t>
  </si>
  <si>
    <t>Engineering, food, technology</t>
  </si>
  <si>
    <t>Port of Pasaia</t>
  </si>
  <si>
    <t>CTY-0808</t>
  </si>
  <si>
    <t>Cantabria</t>
  </si>
  <si>
    <t>Santander</t>
  </si>
  <si>
    <t>Poligono Guarnizo, Camargo Industrial</t>
  </si>
  <si>
    <t>Poligono Guarnizo</t>
  </si>
  <si>
    <t>Port of Santander</t>
  </si>
  <si>
    <t>CTY-0809</t>
  </si>
  <si>
    <t>Valladolid</t>
  </si>
  <si>
    <t>Poligono San Cristobal, Arroyo Industrial</t>
  </si>
  <si>
    <t>Poligono San Cristobal</t>
  </si>
  <si>
    <t>Automotive, food processing, pharmaceutical</t>
  </si>
  <si>
    <t>CTY-0810</t>
  </si>
  <si>
    <t>Vigo</t>
  </si>
  <si>
    <t>Poligono Balaidos, PTL Valladares</t>
  </si>
  <si>
    <t>Poligono Balaidos</t>
  </si>
  <si>
    <t>Automotive, fisheries processing, canning</t>
  </si>
  <si>
    <t>Port of Vigo</t>
  </si>
  <si>
    <t>CTY-0811</t>
  </si>
  <si>
    <t>Vitoria-Gasteiz</t>
  </si>
  <si>
    <t>Poligono Jundiz, Ali-Gobeo</t>
  </si>
  <si>
    <t>Poligono Jundiz</t>
  </si>
  <si>
    <t>CTY-0812</t>
  </si>
  <si>
    <t>Dubai Investment Park</t>
  </si>
  <si>
    <t>DIP 1 and 2</t>
  </si>
  <si>
    <t>Food and beverage, pharmaceutical, packaging</t>
  </si>
  <si>
    <t>CTY-0813</t>
  </si>
  <si>
    <t>Fujairah</t>
  </si>
  <si>
    <t>Fujairah Free Zone</t>
  </si>
  <si>
    <t>Bunkering, oil storage, food processing</t>
  </si>
  <si>
    <t>Port of Fujairah</t>
  </si>
  <si>
    <t>CTY-0814</t>
  </si>
  <si>
    <t>Hamriyah</t>
  </si>
  <si>
    <t>Hamriyah Free Zone Phase I-II</t>
  </si>
  <si>
    <t>Petrochemicals, steel, food processing</t>
  </si>
  <si>
    <t>Hamriyah Port</t>
  </si>
  <si>
    <t>CTY-0815</t>
  </si>
  <si>
    <t>Jebel Ali</t>
  </si>
  <si>
    <t>JAFZA North and South</t>
  </si>
  <si>
    <t>Chemicals, pharmaceutical distribution, logistics</t>
  </si>
  <si>
    <t>CTY-0816</t>
  </si>
  <si>
    <t>Mussafah</t>
  </si>
  <si>
    <t>Mussafah Industrial Area M-Sectors</t>
  </si>
  <si>
    <t>Oilfield services, fabrication, engineering</t>
  </si>
  <si>
    <t>CTY-0817</t>
  </si>
  <si>
    <t>Umm Al Quwain</t>
  </si>
  <si>
    <t>UAQ Free Trade Zone</t>
  </si>
  <si>
    <t>Food processing, plastics, light engineering</t>
  </si>
  <si>
    <t>Umm Al Quwain Port</t>
  </si>
  <si>
    <t>CTY-0818</t>
  </si>
  <si>
    <t>Aberdeen</t>
  </si>
  <si>
    <t>Altens Industrial Estate, Dyce</t>
  </si>
  <si>
    <t>Altens Industrial Estate</t>
  </si>
  <si>
    <t>Oil and gas, food processing, fisheries</t>
  </si>
  <si>
    <t>Port of Aberdeen</t>
  </si>
  <si>
    <t>CTY-0819</t>
  </si>
  <si>
    <t>Northern Ireland</t>
  </si>
  <si>
    <t>Belfast</t>
  </si>
  <si>
    <t>Belfast Harbour Estate, Mallusk</t>
  </si>
  <si>
    <t>Belfast Harbour Estate</t>
  </si>
  <si>
    <t>Port of Belfast</t>
  </si>
  <si>
    <t>CTY-0820</t>
  </si>
  <si>
    <t>Bristol</t>
  </si>
  <si>
    <t>Avonmouth Industrial, Severnside</t>
  </si>
  <si>
    <t>Avonmouth Industrial</t>
  </si>
  <si>
    <t>Food processing, aerospace, brewery</t>
  </si>
  <si>
    <t>CTY-0821</t>
  </si>
  <si>
    <t>Wales</t>
  </si>
  <si>
    <t>Cardiff</t>
  </si>
  <si>
    <t>Cardiff Bay Industrial, Wentloog</t>
  </si>
  <si>
    <t>Cardiff Bay Industrial</t>
  </si>
  <si>
    <t>Port of Cardiff</t>
  </si>
  <si>
    <t>CTY-0822</t>
  </si>
  <si>
    <t>Coventry</t>
  </si>
  <si>
    <t>Coventry Industrial Estate, Ansty Park</t>
  </si>
  <si>
    <t>Coventry Industrial Estate</t>
  </si>
  <si>
    <t>Automotive, engineering, food</t>
  </si>
  <si>
    <t>CTY-0823</t>
  </si>
  <si>
    <t>Derby</t>
  </si>
  <si>
    <t>Derby Industrial Corridor, Pride Park</t>
  </si>
  <si>
    <t>Derby Industrial Corridor</t>
  </si>
  <si>
    <t>Engineering, food, rail</t>
  </si>
  <si>
    <t>CTY-0824</t>
  </si>
  <si>
    <t>Dundee</t>
  </si>
  <si>
    <t>Dundee Technology Park, Wester Gourdie</t>
  </si>
  <si>
    <t>Dundee Technology Park</t>
  </si>
  <si>
    <t>Life sciences, food, engineering</t>
  </si>
  <si>
    <t>Port of Dundee</t>
  </si>
  <si>
    <t>CTY-0825</t>
  </si>
  <si>
    <t>Hull</t>
  </si>
  <si>
    <t>Hull Enterprise Zone, Saltend Chemicals Park</t>
  </si>
  <si>
    <t>Hull Enterprise Zone</t>
  </si>
  <si>
    <t>Chemicals, food processing, biotech</t>
  </si>
  <si>
    <t>Port of Hull</t>
  </si>
  <si>
    <t>CTY-0826</t>
  </si>
  <si>
    <t>Leicester</t>
  </si>
  <si>
    <t>Leicester Industrial Corridor, Beaumont Leys</t>
  </si>
  <si>
    <t>Leicester Industrial Corridor</t>
  </si>
  <si>
    <t>CTY-0827</t>
  </si>
  <si>
    <t>South East</t>
  </si>
  <si>
    <t>Milton Keynes</t>
  </si>
  <si>
    <t>Kiln Farm, Blakelands Industrial</t>
  </si>
  <si>
    <t>Kiln Farm</t>
  </si>
  <si>
    <t>Food, pharmaceutical, logistics</t>
  </si>
  <si>
    <t>CTY-0828</t>
  </si>
  <si>
    <t>Newcastle, UK</t>
  </si>
  <si>
    <t>Team Valley Trading Estate, Cramlington</t>
  </si>
  <si>
    <t>Team Valley Trading Estate</t>
  </si>
  <si>
    <t>Pharmaceutical, chemicals, brewery</t>
  </si>
  <si>
    <t>Port of Tyne</t>
  </si>
  <si>
    <t>CTY-0829</t>
  </si>
  <si>
    <t>Norwich</t>
  </si>
  <si>
    <t>Norwich Research Park, Broadland Business Park</t>
  </si>
  <si>
    <t>Norwich Research Park</t>
  </si>
  <si>
    <t>Food research, biotech, brewery</t>
  </si>
  <si>
    <t>CTY-0830</t>
  </si>
  <si>
    <t>Oxford</t>
  </si>
  <si>
    <t>Oxford Science Park, Milton Park</t>
  </si>
  <si>
    <t>Oxford Science Park</t>
  </si>
  <si>
    <t>Biotech, vaccines, life sciences</t>
  </si>
  <si>
    <t>Port of Southampton</t>
  </si>
  <si>
    <t>CTY-0831</t>
  </si>
  <si>
    <t>Plymouth</t>
  </si>
  <si>
    <t>Langage Industrial, Estover</t>
  </si>
  <si>
    <t>Langage Industrial</t>
  </si>
  <si>
    <t>Marine, food processing, medical</t>
  </si>
  <si>
    <t>Port of Plymouth</t>
  </si>
  <si>
    <t>CTY-0832</t>
  </si>
  <si>
    <t>Preston</t>
  </si>
  <si>
    <t>Preston East Industrial, Leyland</t>
  </si>
  <si>
    <t>Preston East Industrial</t>
  </si>
  <si>
    <t>Food processing, aerospace</t>
  </si>
  <si>
    <t>CTY-0833</t>
  </si>
  <si>
    <t>Reading</t>
  </si>
  <si>
    <t>Theale Industrial, Green Park</t>
  </si>
  <si>
    <t>Theale Industrial</t>
  </si>
  <si>
    <t>Pharmaceutical, technology, food</t>
  </si>
  <si>
    <t>CTY-0834</t>
  </si>
  <si>
    <t>Sheffield</t>
  </si>
  <si>
    <t>Advanced Manufacturing Park, Attercliffe</t>
  </si>
  <si>
    <t>Advanced Manufacturing Park</t>
  </si>
  <si>
    <t>Steel, engineering, medical devices</t>
  </si>
  <si>
    <t>CTY-0835</t>
  </si>
  <si>
    <t>Southampton</t>
  </si>
  <si>
    <t>Southampton Industrial Estate, Eastleigh</t>
  </si>
  <si>
    <t>Southampton Industrial Estate</t>
  </si>
  <si>
    <t>Marine, food, pharmaceutical</t>
  </si>
  <si>
    <t>CTY-0836</t>
  </si>
  <si>
    <t>Stoke-on-Trent</t>
  </si>
  <si>
    <t>Etruria Valley, Trentham Lakes</t>
  </si>
  <si>
    <t>Etruria Valley</t>
  </si>
  <si>
    <t>Ceramics, food, engineering</t>
  </si>
  <si>
    <t>CTY-0837</t>
  </si>
  <si>
    <t>Swansea</t>
  </si>
  <si>
    <t>Swansea Enterprise Park, Baglan Bay</t>
  </si>
  <si>
    <t>Swansea Enterprise Park</t>
  </si>
  <si>
    <t>Chemicals, engineering, food</t>
  </si>
  <si>
    <t>Port of Swansea</t>
  </si>
  <si>
    <t>CTY-0838</t>
  </si>
  <si>
    <t>New York</t>
  </si>
  <si>
    <t>Albany</t>
  </si>
  <si>
    <t>Albany NanoTech, Malta Fab Corridor</t>
  </si>
  <si>
    <t>Albany NanoTech</t>
  </si>
  <si>
    <t>Semiconductors, biotech</t>
  </si>
  <si>
    <t>Port of Albany</t>
  </si>
  <si>
    <t>CTY-0839</t>
  </si>
  <si>
    <t>Georgia</t>
  </si>
  <si>
    <t>Atlanta</t>
  </si>
  <si>
    <t>Fulton Industrial Boulevard, Alpharetta</t>
  </si>
  <si>
    <t>Fulton Industrial Boulevard</t>
  </si>
  <si>
    <t>Pharmaceutical, food processing</t>
  </si>
  <si>
    <t>Port of Savannah</t>
  </si>
  <si>
    <t>CTY-0840</t>
  </si>
  <si>
    <t>Maryland</t>
  </si>
  <si>
    <t>Baltimore</t>
  </si>
  <si>
    <t>Baltimore Bio Park, Sparrows Point</t>
  </si>
  <si>
    <t>Baltimore Bio Park</t>
  </si>
  <si>
    <t>Biologics, vaccines, chemicals</t>
  </si>
  <si>
    <t>biotech &amp; chemical</t>
  </si>
  <si>
    <t>Port of Baltimore</t>
  </si>
  <si>
    <t>CTY-0841</t>
  </si>
  <si>
    <t>Alabama</t>
  </si>
  <si>
    <t>Birmingham, USA</t>
  </si>
  <si>
    <t>Birmingham Industrial Corridor, Pelham</t>
  </si>
  <si>
    <t>Birmingham Industrial Corridor</t>
  </si>
  <si>
    <t>Steel, food, medical</t>
  </si>
  <si>
    <t>Port of Mobile</t>
  </si>
  <si>
    <t>CTY-0842</t>
  </si>
  <si>
    <t>Idaho</t>
  </si>
  <si>
    <t>Boise</t>
  </si>
  <si>
    <t>Boise Research Center, Meridian</t>
  </si>
  <si>
    <t>Boise Research Center</t>
  </si>
  <si>
    <t>Semiconductors, food processing</t>
  </si>
  <si>
    <t>CTY-0843</t>
  </si>
  <si>
    <t>Charlotte</t>
  </si>
  <si>
    <t>Charlotte Industrial Corridor, Concord</t>
  </si>
  <si>
    <t>Charlotte Industrial Corridor</t>
  </si>
  <si>
    <t>Port of Charleston</t>
  </si>
  <si>
    <t>CTY-0844</t>
  </si>
  <si>
    <t>Ohio</t>
  </si>
  <si>
    <t>Cincinnati</t>
  </si>
  <si>
    <t>Cincinnati Industrial Corridor, Mason</t>
  </si>
  <si>
    <t>Cincinnati Industrial Corridor</t>
  </si>
  <si>
    <t>Consumer products, pharmaceutical, food</t>
  </si>
  <si>
    <t>Port of Cincinnati</t>
  </si>
  <si>
    <t>CTY-0845</t>
  </si>
  <si>
    <t>Cleveland</t>
  </si>
  <si>
    <t>Cleveland Industrial Valley, Solon</t>
  </si>
  <si>
    <t>Cleveland Industrial Valley</t>
  </si>
  <si>
    <t>Chemicals, medical devices, food</t>
  </si>
  <si>
    <t>Port of Cleveland</t>
  </si>
  <si>
    <t>CTY-0846</t>
  </si>
  <si>
    <t>Columbus</t>
  </si>
  <si>
    <t>Rickenbacker Industrial, New Albany</t>
  </si>
  <si>
    <t>Rickenbacker Industrial</t>
  </si>
  <si>
    <t>CTY-0847</t>
  </si>
  <si>
    <t>Dallas-Fort Worth</t>
  </si>
  <si>
    <t>Alliance Industrial, Garland Corridor</t>
  </si>
  <si>
    <t>Alliance Industrial</t>
  </si>
  <si>
    <t>Food processing, pharmaceutical, semiconductors</t>
  </si>
  <si>
    <t>CTY-0848</t>
  </si>
  <si>
    <t>Iowa</t>
  </si>
  <si>
    <t>Des Moines</t>
  </si>
  <si>
    <t>Des Moines Industrial, Ankeny</t>
  </si>
  <si>
    <t>Des Moines Industrial</t>
  </si>
  <si>
    <t>Agtech, food processing, biofuels</t>
  </si>
  <si>
    <t>Port of Davenport</t>
  </si>
  <si>
    <t>CTY-0849</t>
  </si>
  <si>
    <t>Michigan</t>
  </si>
  <si>
    <t>Detroit</t>
  </si>
  <si>
    <t>Detroit Industrial Corridor, Auburn Hills</t>
  </si>
  <si>
    <t>Detroit Industrial Corridor</t>
  </si>
  <si>
    <t>Automotive, chemicals, food</t>
  </si>
  <si>
    <t>Port of Detroit</t>
  </si>
  <si>
    <t>CTY-0850</t>
  </si>
  <si>
    <t>South Carolina</t>
  </si>
  <si>
    <t>Greenville</t>
  </si>
  <si>
    <t>Greenville-Spartanburg Industrial</t>
  </si>
  <si>
    <t>CTY-0851</t>
  </si>
  <si>
    <t>Missouri</t>
  </si>
  <si>
    <t>Kansas City</t>
  </si>
  <si>
    <t>Executive Park, Riverside Industrial</t>
  </si>
  <si>
    <t>Executive Park</t>
  </si>
  <si>
    <t>Animal health, food processing</t>
  </si>
  <si>
    <t>Port of Kansas City</t>
  </si>
  <si>
    <t>CTY-0852</t>
  </si>
  <si>
    <t>Nevada</t>
  </si>
  <si>
    <t>Las Vegas</t>
  </si>
  <si>
    <t>North Las Vegas Industrial, Apex</t>
  </si>
  <si>
    <t>North Las Vegas Industrial</t>
  </si>
  <si>
    <t>Food processing, beverage, packaging</t>
  </si>
  <si>
    <t>CTY-0853</t>
  </si>
  <si>
    <t>Kentucky</t>
  </si>
  <si>
    <t>Louisville</t>
  </si>
  <si>
    <t>Riverport Industrial, Bullitt County</t>
  </si>
  <si>
    <t>Riverport Industrial</t>
  </si>
  <si>
    <t>Bourbon distillery, food, logistics</t>
  </si>
  <si>
    <t>Port of Louisville</t>
  </si>
  <si>
    <t>CTY-0854</t>
  </si>
  <si>
    <t>Tennessee</t>
  </si>
  <si>
    <t>Memphis</t>
  </si>
  <si>
    <t>Memphis Distribution Corridor, Frayser</t>
  </si>
  <si>
    <t>Memphis Distribution Corridor</t>
  </si>
  <si>
    <t>Cold chain, food processing, pharma logistics</t>
  </si>
  <si>
    <t>Port of Memphis</t>
  </si>
  <si>
    <t>CTY-0855</t>
  </si>
  <si>
    <t>Florida</t>
  </si>
  <si>
    <t>Miami</t>
  </si>
  <si>
    <t>Medley Industrial, Doral</t>
  </si>
  <si>
    <t>Medley Industrial</t>
  </si>
  <si>
    <t>Pharmaceutical re-export, food, beverage</t>
  </si>
  <si>
    <t>Port of Miami</t>
  </si>
  <si>
    <t>CTY-0856</t>
  </si>
  <si>
    <t>Wisconsin</t>
  </si>
  <si>
    <t>Milwaukee</t>
  </si>
  <si>
    <t>Menomonee Valley, Oak Creek</t>
  </si>
  <si>
    <t>Menomonee Valley</t>
  </si>
  <si>
    <t>Brewery, dairy processing, food equipment</t>
  </si>
  <si>
    <t>Port of Milwaukee</t>
  </si>
  <si>
    <t>CTY-0857</t>
  </si>
  <si>
    <t>Nashville</t>
  </si>
  <si>
    <t>Cool Springs, La Vergne Industrial</t>
  </si>
  <si>
    <t>Cool Springs</t>
  </si>
  <si>
    <t>Medical devices, food, brewery</t>
  </si>
  <si>
    <t>CTY-0858</t>
  </si>
  <si>
    <t>Louisiana</t>
  </si>
  <si>
    <t>New Orleans</t>
  </si>
  <si>
    <t>Louisiana Chemical Corridor, Norco</t>
  </si>
  <si>
    <t>Louisiana Chemical Corridor</t>
  </si>
  <si>
    <t>Petrochemicals, refining</t>
  </si>
  <si>
    <t>Port of New Orleans</t>
  </si>
  <si>
    <t>CTY-0859</t>
  </si>
  <si>
    <t>Nebraska</t>
  </si>
  <si>
    <t>Omaha</t>
  </si>
  <si>
    <t>Omaha Industrial Corridor, Council Bluffs</t>
  </si>
  <si>
    <t>Omaha Industrial Corridor</t>
  </si>
  <si>
    <t>Food processing, meat, agtech</t>
  </si>
  <si>
    <t>Port of Omaha</t>
  </si>
  <si>
    <t>CTY-0860</t>
  </si>
  <si>
    <t>Orlando</t>
  </si>
  <si>
    <t>Lake Nona Medical City, Apopka Industrial</t>
  </si>
  <si>
    <t>Lake Nona Medical City</t>
  </si>
  <si>
    <t>Medical devices, food, simulation</t>
  </si>
  <si>
    <t>Port Canaveral</t>
  </si>
  <si>
    <t>CTY-0861</t>
  </si>
  <si>
    <t>Pittsburgh</t>
  </si>
  <si>
    <t>Pittsburgh Industrial Corridor, Cranberry</t>
  </si>
  <si>
    <t>Pittsburgh Industrial Corridor</t>
  </si>
  <si>
    <t>Chemicals, medical devices, energy</t>
  </si>
  <si>
    <t>Port of Pittsburgh</t>
  </si>
  <si>
    <t>CTY-0862</t>
  </si>
  <si>
    <t>Virginia</t>
  </si>
  <si>
    <t>Richmond</t>
  </si>
  <si>
    <t>Richmond Pharma Corridor, Petersburg</t>
  </si>
  <si>
    <t>Richmond Pharma Corridor</t>
  </si>
  <si>
    <t>API, pharmaceutical, food</t>
  </si>
  <si>
    <t>Port of Virginia</t>
  </si>
  <si>
    <t>CTY-0863</t>
  </si>
  <si>
    <t>Rochester</t>
  </si>
  <si>
    <t>Eastman Business Park, Rochester Tech Park</t>
  </si>
  <si>
    <t>Eastman Business Park</t>
  </si>
  <si>
    <t>Optics, pharmaceutical, food</t>
  </si>
  <si>
    <t>Port of Rochester</t>
  </si>
  <si>
    <t>CTY-0864</t>
  </si>
  <si>
    <t>Sacramento</t>
  </si>
  <si>
    <t>McClellan Park, West Sacramento</t>
  </si>
  <si>
    <t>McClellan Park</t>
  </si>
  <si>
    <t>Food processing, biotech, brewery</t>
  </si>
  <si>
    <t>CTY-0865</t>
  </si>
  <si>
    <t>Utah</t>
  </si>
  <si>
    <t>Salt Lake City</t>
  </si>
  <si>
    <t>Salt Lake Industrial Depot, Lehi Tech Corridor</t>
  </si>
  <si>
    <t>Salt Lake Industrial Depot</t>
  </si>
  <si>
    <t>Nutraceuticals, medical devices, semiconductors</t>
  </si>
  <si>
    <t>CTY-0866</t>
  </si>
  <si>
    <t>St Louis</t>
  </si>
  <si>
    <t>Earth City, Chesterfield Valley</t>
  </si>
  <si>
    <t>Earth City</t>
  </si>
  <si>
    <t>Agtech, pharmaceutical, brewery</t>
  </si>
  <si>
    <t>Port of St Louis</t>
  </si>
  <si>
    <t>CTY-0867</t>
  </si>
  <si>
    <t>Tampa</t>
  </si>
  <si>
    <t>Tampa Industrial Park, Plant City</t>
  </si>
  <si>
    <t>Tampa Industrial Park</t>
  </si>
  <si>
    <t>Port of Tampa</t>
  </si>
  <si>
    <t>CTY-0868</t>
  </si>
  <si>
    <t>Ba Ria-Vung Tau</t>
  </si>
  <si>
    <t>Phu My Industrial Zone, Cai Mep Industrial</t>
  </si>
  <si>
    <t>Phu My Industrial Zone</t>
  </si>
  <si>
    <t>Petrochemicals, steel, fertiliser</t>
  </si>
  <si>
    <t>Cai Mep Port</t>
  </si>
  <si>
    <t>CTY-0869</t>
  </si>
  <si>
    <t>Binh Phuoc</t>
  </si>
  <si>
    <t>Bec Hamico IP, Minh Hung IP</t>
  </si>
  <si>
    <t>Bec Hamico IP</t>
  </si>
  <si>
    <t>Rubber, cashew processing, food</t>
  </si>
  <si>
    <t>CTY-0870</t>
  </si>
  <si>
    <t>Can Tho</t>
  </si>
  <si>
    <t>Tra Noc Industrial Zone I and II</t>
  </si>
  <si>
    <t>Seafood processing, rice milling, food</t>
  </si>
  <si>
    <t>Cai Cui Port</t>
  </si>
  <si>
    <t>CTY-0871</t>
  </si>
  <si>
    <t>South Central Coast</t>
  </si>
  <si>
    <t>Da Nang</t>
  </si>
  <si>
    <t>Hoa Khanh Industrial Zone, Da Nang Hi-Tech Park</t>
  </si>
  <si>
    <t>Hoa Khanh Industrial Zone</t>
  </si>
  <si>
    <t>Electronics, seafood processing, pharmaceutical</t>
  </si>
  <si>
    <t>Tien Sa Port</t>
  </si>
  <si>
    <t>CTY-0872</t>
  </si>
  <si>
    <t>Hai Duong</t>
  </si>
  <si>
    <t>Dai An IP, Nam Sach IP</t>
  </si>
  <si>
    <t>Dai An IP</t>
  </si>
  <si>
    <t>Electronics, food processing, cement</t>
  </si>
  <si>
    <t>CTY-0873</t>
  </si>
  <si>
    <t>Hung Yen</t>
  </si>
  <si>
    <t>Pho Noi A and B Industrial Zone</t>
  </si>
  <si>
    <t>Textile, electronics, food</t>
  </si>
  <si>
    <t>CTY-0874</t>
  </si>
  <si>
    <t>Khanh Hoa</t>
  </si>
  <si>
    <t>Suoi Dau IP, Van Phong EZ</t>
  </si>
  <si>
    <t>Suoi Dau IP</t>
  </si>
  <si>
    <t>Seafood processing, shipbuilding</t>
  </si>
  <si>
    <t>Nha Trang Port</t>
  </si>
  <si>
    <t>CTY-0875</t>
  </si>
  <si>
    <t>North Central</t>
  </si>
  <si>
    <t>Nghe An</t>
  </si>
  <si>
    <t>VSIP Nghe An, Nam Cam IP</t>
  </si>
  <si>
    <t>VSIP Nghe An</t>
  </si>
  <si>
    <t>Food processing, cement, dairy</t>
  </si>
  <si>
    <t>Cua Lo Port</t>
  </si>
  <si>
    <t>CTY-0876</t>
  </si>
  <si>
    <t>Quang Nam</t>
  </si>
  <si>
    <t>Chu Lai Open EZ, Dien Nam-Dien Ngoc IP</t>
  </si>
  <si>
    <t>Chu Lai Open EZ</t>
  </si>
  <si>
    <t>Automotive, textile, food</t>
  </si>
  <si>
    <t>Ky Ha Port</t>
  </si>
  <si>
    <t>CTY-0877</t>
  </si>
  <si>
    <t>Quang Ninh</t>
  </si>
  <si>
    <t>Cai Lan IP, Dong Mai IP, Van Don EZ</t>
  </si>
  <si>
    <t>Cai Lan IP</t>
  </si>
  <si>
    <t>Coal, cement, food, tourism supply</t>
  </si>
  <si>
    <t>Cai Lan Port</t>
  </si>
  <si>
    <t>CTY-0878</t>
  </si>
  <si>
    <t>Tay Ninh</t>
  </si>
  <si>
    <t>Trang Bang IP, Phuoc Dong IP</t>
  </si>
  <si>
    <t>Trang Bang IP</t>
  </si>
  <si>
    <t>Rubber, food processing, textile</t>
  </si>
  <si>
    <t>CTY-0879</t>
  </si>
  <si>
    <t>Thai Nguyen</t>
  </si>
  <si>
    <t>Yen Binh IP, Song Cong IP</t>
  </si>
  <si>
    <t>Yen Binh IP</t>
  </si>
  <si>
    <t>Electronics, steel, engineering</t>
  </si>
  <si>
    <t>CTY-0880</t>
  </si>
  <si>
    <t>Thanh Hoa</t>
  </si>
  <si>
    <t>Nghi Son Economic Zone</t>
  </si>
  <si>
    <t>Refining, petrochemicals, cement</t>
  </si>
  <si>
    <t>Nghi Son Port</t>
  </si>
  <si>
    <t>CTY-0881</t>
  </si>
  <si>
    <t>Vinh Phuc</t>
  </si>
  <si>
    <t>Khai Quang IP, Binh Xuyen IP</t>
  </si>
  <si>
    <t>Khai Quang IP</t>
  </si>
  <si>
    <t>Electronics, automotive, food</t>
  </si>
  <si>
    <t>Dindori, Maharashtra</t>
  </si>
  <si>
    <t>Dindori, Madhya Pradesh</t>
  </si>
  <si>
    <t>dindori-madhya-pradesh</t>
  </si>
  <si>
    <t>Rajgarh, Rajasthan</t>
  </si>
  <si>
    <t>Rajgarh, Madhya Pradesh</t>
  </si>
  <si>
    <t>rajgarh-madhya-pradesh</t>
  </si>
  <si>
    <t>Toledo, Spain</t>
  </si>
  <si>
    <t>Toledo, USA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</si>
</sst>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theme="1"/>
      <name val="Calibri"/>
      <scheme val="minor"/>
    </font>
    <font>
      <b/>
      <sz val="15.0"/>
      <color rgb="FFFFFFFF"/>
      <name val="Arial"/>
    </font>
    <font/>
    <font>
      <i/>
      <sz val="9.0"/>
      <color rgb="FF404040"/>
      <name val="Arial"/>
    </font>
    <font>
      <b/>
      <sz val="10.0"/>
      <color rgb="FF000000"/>
      <name val="Arial"/>
    </font>
    <font>
      <b/>
      <sz val="9.0"/>
      <color rgb="FFFFFFFF"/>
      <name val="Arial"/>
    </font>
    <font>
      <b/>
      <sz val="11.0"/>
      <color rgb="FFFFFFFF"/>
      <name val="Arial"/>
    </font>
    <font>
      <sz val="10.0"/>
      <color rgb="FF000000"/>
      <name val="Arial"/>
    </font>
    <font>
      <sz val="9.0"/>
      <color rgb="FF000000"/>
      <name val="Arial"/>
    </font>
    <font>
      <b/>
      <sz val="9.0"/>
      <color rgb="FF000000"/>
      <name val="Arial"/>
    </font>
    <font>
      <b/>
      <sz val="9.0"/>
      <color rgb="FF006100"/>
      <name val="Arial"/>
    </font>
    <font>
      <u/>
      <sz val="9.0"/>
      <color rgb="FF000000"/>
      <name val="Arial"/>
    </font>
    <font>
      <b/>
      <sz val="8.0"/>
      <color rgb="FF000000"/>
      <name val="Arial"/>
    </font>
    <font>
      <sz val="8.0"/>
      <color theme="1"/>
      <name val="Courier New"/>
    </font>
    <font>
      <b/>
      <sz val="9.0"/>
      <color rgb="FF9C0006"/>
      <name val="Arial"/>
    </font>
  </fonts>
  <fills count="13">
    <fill>
      <patternFill patternType="none"/>
    </fill>
    <fill>
      <patternFill patternType="lightGray"/>
    </fill>
    <fill>
      <patternFill patternType="solid">
        <fgColor rgb="FF1F3864"/>
        <bgColor rgb="FF1F3864"/>
      </patternFill>
    </fill>
    <fill>
      <patternFill patternType="solid">
        <fgColor rgb="FFD9E2F3"/>
        <bgColor rgb="FFD9E2F3"/>
      </patternFill>
    </fill>
    <fill>
      <patternFill patternType="solid">
        <fgColor rgb="FFC6EFCE"/>
        <bgColor rgb="FFC6EFCE"/>
      </patternFill>
    </fill>
    <fill>
      <patternFill patternType="solid">
        <fgColor rgb="FF2E5C8A"/>
        <bgColor rgb="FF2E5C8A"/>
      </patternFill>
    </fill>
    <fill>
      <patternFill patternType="solid">
        <fgColor rgb="FFF2F2F2"/>
        <bgColor rgb="FFF2F2F2"/>
      </patternFill>
    </fill>
    <fill>
      <patternFill patternType="solid">
        <fgColor rgb="FF00703C"/>
        <bgColor rgb="FF00703C"/>
      </patternFill>
    </fill>
    <fill>
      <patternFill patternType="solid">
        <fgColor rgb="FFFFE699"/>
        <bgColor rgb="FFFFE699"/>
      </patternFill>
    </fill>
    <fill>
      <patternFill patternType="solid">
        <fgColor rgb="FFC00000"/>
        <bgColor rgb="FFC00000"/>
      </patternFill>
    </fill>
    <fill>
      <patternFill patternType="solid">
        <fgColor rgb="FFFFC7CE"/>
        <bgColor rgb="FFFFC7CE"/>
      </patternFill>
    </fill>
    <fill>
      <patternFill patternType="solid">
        <fgColor rgb="FFFFF2CC"/>
        <bgColor rgb="FFFFF2CC"/>
      </patternFill>
    </fill>
    <fill>
      <patternFill patternType="solid">
        <fgColor rgb="FFFFFFFF"/>
        <bgColor rgb="FFFFFFFF"/>
      </patternFill>
    </fill>
  </fills>
  <borders count="10">
    <border/>
    <border>
      <left/>
      <top/>
      <bottom/>
    </border>
    <border>
      <top/>
      <bottom/>
    </border>
    <border>
      <right/>
      <top/>
      <bottom/>
    </border>
    <border>
      <left/>
      <right/>
      <top/>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right/>
      <top style="thin">
        <color rgb="FFBFBFBF"/>
      </top>
      <bottom style="thin">
        <color rgb="FFBFBFBF"/>
      </bottom>
    </border>
  </borders>
  <cellStyleXfs count="1">
    <xf borderId="0" fillId="0" fontId="0" numFmtId="0" applyAlignment="1" applyFont="1"/>
  </cellStyleXfs>
  <cellXfs count="67">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0"/>
    </xf>
    <xf borderId="2" fillId="0" fontId="2" numFmtId="0" xfId="0" applyBorder="1" applyFont="1"/>
    <xf borderId="3" fillId="0" fontId="2" numFmtId="0" xfId="0" applyBorder="1" applyFont="1"/>
    <xf borderId="1" fillId="3" fontId="3" numFmtId="0" xfId="0" applyAlignment="1" applyBorder="1" applyFill="1" applyFont="1">
      <alignment horizontal="left" shrinkToFit="0" vertical="center" wrapText="0"/>
    </xf>
    <xf borderId="4" fillId="4" fontId="4" numFmtId="0" xfId="0" applyAlignment="1" applyBorder="1" applyFill="1" applyFont="1">
      <alignment shrinkToFit="0" vertical="top" wrapText="0"/>
    </xf>
    <xf borderId="5" fillId="5" fontId="5" numFmtId="0" xfId="0" applyAlignment="1" applyBorder="1" applyFill="1" applyFont="1">
      <alignment horizontal="center" shrinkToFit="0" vertical="center" wrapText="1"/>
    </xf>
    <xf borderId="1" fillId="5" fontId="6" numFmtId="0" xfId="0" applyAlignment="1" applyBorder="1" applyFill="1" applyFont="1">
      <alignment shrinkToFit="0" vertical="center" wrapText="0"/>
    </xf>
    <xf borderId="1" fillId="4" fontId="7" numFmtId="0" xfId="0" applyAlignment="1" applyBorder="1" applyFill="1" applyFont="1">
      <alignment shrinkToFit="0" vertical="top" wrapText="1"/>
    </xf>
    <xf borderId="5" fillId="0" fontId="8" numFmtId="0" xfId="0" applyAlignment="1" applyBorder="1" applyFont="1">
      <alignment shrinkToFit="0" vertical="top" wrapText="1"/>
    </xf>
    <xf borderId="4" fillId="6" fontId="4" numFmtId="0" xfId="0" applyAlignment="1" applyBorder="1" applyFill="1" applyFont="1">
      <alignment shrinkToFit="0" vertical="top" wrapText="0"/>
    </xf>
    <xf borderId="5" fillId="0" fontId="9" numFmtId="0" xfId="0" applyAlignment="1" applyBorder="1" applyFont="1">
      <alignment shrinkToFit="0" vertical="top" wrapText="1"/>
    </xf>
    <xf borderId="1" fillId="6" fontId="7" numFmtId="0" xfId="0" applyAlignment="1" applyBorder="1" applyFill="1" applyFont="1">
      <alignment shrinkToFit="0" vertical="top" wrapText="1"/>
    </xf>
    <xf borderId="5" fillId="4" fontId="9" numFmtId="0" xfId="0" applyAlignment="1" applyBorder="1" applyFill="1" applyFont="1">
      <alignment shrinkToFit="0" vertical="top" wrapText="1"/>
    </xf>
    <xf borderId="1" fillId="7" fontId="6" numFmtId="0" xfId="0" applyAlignment="1" applyBorder="1" applyFill="1" applyFont="1">
      <alignment shrinkToFit="0" vertical="center" wrapText="0"/>
    </xf>
    <xf borderId="5" fillId="0" fontId="8" numFmtId="0" xfId="0" applyAlignment="1" applyBorder="1" applyFont="1">
      <alignment shrinkToFit="0" vertical="top" wrapText="0"/>
    </xf>
    <xf borderId="5" fillId="4" fontId="9" numFmtId="0" xfId="0" applyAlignment="1" applyBorder="1" applyFill="1" applyFont="1">
      <alignment shrinkToFit="0" vertical="top" wrapText="0"/>
    </xf>
    <xf borderId="5" fillId="4" fontId="10" numFmtId="0" xfId="0" applyAlignment="1" applyBorder="1" applyFill="1" applyFont="1">
      <alignment shrinkToFit="0" vertical="top" wrapText="0"/>
    </xf>
    <xf borderId="5" fillId="8" fontId="8" numFmtId="0" xfId="0" applyAlignment="1" applyBorder="1" applyFill="1" applyFont="1">
      <alignment shrinkToFit="0" vertical="top" wrapText="0"/>
    </xf>
    <xf borderId="6" fillId="5" fontId="5" numFmtId="0" xfId="0" applyAlignment="1" applyBorder="1" applyFill="1" applyFont="1">
      <alignment horizontal="center" shrinkToFit="0" vertical="center" wrapText="1"/>
    </xf>
    <xf borderId="7" fillId="0" fontId="2" numFmtId="0" xfId="0" applyBorder="1" applyFont="1"/>
    <xf borderId="8" fillId="0" fontId="2" numFmtId="0" xfId="0" applyBorder="1" applyFont="1"/>
    <xf borderId="5" fillId="0" fontId="9" numFmtId="0" xfId="0" applyAlignment="1" applyBorder="1" applyFont="1">
      <alignment shrinkToFit="0" vertical="bottom" wrapText="0"/>
    </xf>
    <xf borderId="6" fillId="0" fontId="8" numFmtId="0" xfId="0" applyAlignment="1" applyBorder="1" applyFont="1">
      <alignment shrinkToFit="0" vertical="top" wrapText="1"/>
    </xf>
    <xf borderId="5" fillId="6" fontId="8" numFmtId="0" xfId="0" applyAlignment="1" applyBorder="1" applyFill="1" applyFont="1">
      <alignment shrinkToFit="0" vertical="top" wrapText="1"/>
    </xf>
    <xf borderId="5" fillId="6" fontId="9" numFmtId="0" xfId="0" applyAlignment="1" applyBorder="1" applyFill="1" applyFont="1">
      <alignment shrinkToFit="0" vertical="top" wrapText="1"/>
    </xf>
    <xf borderId="1" fillId="9" fontId="6" numFmtId="0" xfId="0" applyAlignment="1" applyBorder="1" applyFill="1" applyFont="1">
      <alignment shrinkToFit="0" vertical="center" wrapText="0"/>
    </xf>
    <xf borderId="4" fillId="8" fontId="4" numFmtId="0" xfId="0" applyAlignment="1" applyBorder="1" applyFill="1" applyFont="1">
      <alignment shrinkToFit="0" vertical="top" wrapText="0"/>
    </xf>
    <xf borderId="1" fillId="8" fontId="7" numFmtId="0" xfId="0" applyAlignment="1" applyBorder="1" applyFill="1" applyFont="1">
      <alignment shrinkToFit="0" vertical="top" wrapText="1"/>
    </xf>
    <xf borderId="4" fillId="10" fontId="4" numFmtId="0" xfId="0" applyAlignment="1" applyBorder="1" applyFill="1" applyFont="1">
      <alignment shrinkToFit="0" vertical="top" wrapText="0"/>
    </xf>
    <xf borderId="1" fillId="10" fontId="7" numFmtId="0" xfId="0" applyAlignment="1" applyBorder="1" applyFill="1" applyFont="1">
      <alignment shrinkToFit="0" vertical="top" wrapText="1"/>
    </xf>
    <xf borderId="5" fillId="11" fontId="8" numFmtId="0" xfId="0" applyAlignment="1" applyBorder="1" applyFill="1" applyFont="1">
      <alignment shrinkToFit="0" vertical="top" wrapText="0"/>
    </xf>
    <xf borderId="5" fillId="0" fontId="11" numFmtId="0" xfId="0" applyAlignment="1" applyBorder="1" applyFont="1">
      <alignment shrinkToFit="0" vertical="top" wrapText="0"/>
    </xf>
    <xf borderId="0" fillId="0" fontId="4" numFmtId="0" xfId="0" applyAlignment="1" applyFont="1">
      <alignment shrinkToFit="0" vertical="bottom" wrapText="0"/>
    </xf>
    <xf borderId="5" fillId="4" fontId="4" numFmtId="0" xfId="0" applyAlignment="1" applyBorder="1" applyFill="1" applyFont="1">
      <alignment shrinkToFit="0" vertical="bottom" wrapText="0"/>
    </xf>
    <xf borderId="5" fillId="3" fontId="8" numFmtId="0" xfId="0" applyAlignment="1" applyBorder="1" applyFill="1" applyFont="1">
      <alignment shrinkToFit="0" vertical="top" wrapText="0"/>
    </xf>
    <xf borderId="5" fillId="8" fontId="9" numFmtId="0" xfId="0" applyAlignment="1" applyBorder="1" applyFill="1" applyFont="1">
      <alignment shrinkToFit="0" vertical="top" wrapText="1"/>
    </xf>
    <xf borderId="4" fillId="4" fontId="4" numFmtId="0" xfId="0" applyAlignment="1" applyBorder="1" applyFill="1" applyFont="1">
      <alignment shrinkToFit="0" vertical="bottom" wrapText="0"/>
    </xf>
    <xf borderId="0" fillId="0" fontId="9" numFmtId="0" xfId="0" applyAlignment="1" applyFont="1">
      <alignment shrinkToFit="0" vertical="bottom" wrapText="0"/>
    </xf>
    <xf borderId="5" fillId="3" fontId="9" numFmtId="0" xfId="0" applyAlignment="1" applyBorder="1" applyFill="1" applyFont="1">
      <alignment shrinkToFit="0" vertical="top" wrapText="1"/>
    </xf>
    <xf borderId="4" fillId="8" fontId="4" numFmtId="0" xfId="0" applyAlignment="1" applyBorder="1" applyFill="1" applyFont="1">
      <alignment shrinkToFit="0" vertical="bottom" wrapText="0"/>
    </xf>
    <xf borderId="6" fillId="6" fontId="8" numFmtId="0" xfId="0" applyAlignment="1" applyBorder="1" applyFill="1" applyFont="1">
      <alignment shrinkToFit="0" vertical="top" wrapText="1"/>
    </xf>
    <xf borderId="9" fillId="0" fontId="2" numFmtId="0" xfId="0" applyBorder="1" applyFont="1"/>
    <xf borderId="5" fillId="4" fontId="12" numFmtId="0" xfId="0" applyAlignment="1" applyBorder="1" applyFill="1" applyFont="1">
      <alignment shrinkToFit="0" vertical="top" wrapText="1"/>
    </xf>
    <xf borderId="5" fillId="6" fontId="12" numFmtId="0" xfId="0" applyAlignment="1" applyBorder="1" applyFill="1" applyFont="1">
      <alignment shrinkToFit="0" vertical="top" wrapText="1"/>
    </xf>
    <xf borderId="5" fillId="3" fontId="12" numFmtId="0" xfId="0" applyAlignment="1" applyBorder="1" applyFill="1" applyFont="1">
      <alignment shrinkToFit="0" vertical="top" wrapText="1"/>
    </xf>
    <xf borderId="5" fillId="3" fontId="4" numFmtId="0" xfId="0" applyAlignment="1" applyBorder="1" applyFill="1" applyFont="1">
      <alignment shrinkToFit="0" vertical="bottom" wrapText="0"/>
    </xf>
    <xf borderId="5" fillId="0" fontId="8" numFmtId="0" xfId="0" applyAlignment="1" applyBorder="1" applyFont="1">
      <alignment shrinkToFit="0" vertical="bottom" wrapText="0"/>
    </xf>
    <xf borderId="5" fillId="0" fontId="13" numFmtId="0" xfId="0" applyAlignment="1" applyBorder="1" applyFont="1">
      <alignment shrinkToFit="0" vertical="top" wrapText="1"/>
    </xf>
    <xf borderId="5" fillId="8" fontId="12" numFmtId="0" xfId="0" applyAlignment="1" applyBorder="1" applyFill="1" applyFont="1">
      <alignment shrinkToFit="0" vertical="top" wrapText="1"/>
    </xf>
    <xf borderId="5" fillId="12" fontId="12" numFmtId="0" xfId="0" applyAlignment="1" applyBorder="1" applyFill="1" applyFont="1">
      <alignment shrinkToFit="0" vertical="top" wrapText="1"/>
    </xf>
    <xf borderId="0" fillId="0" fontId="8" numFmtId="0" xfId="0" applyAlignment="1" applyFont="1">
      <alignment shrinkToFit="0" vertical="bottom" wrapText="0"/>
    </xf>
    <xf borderId="5" fillId="4" fontId="8" numFmtId="0" xfId="0" applyAlignment="1" applyBorder="1" applyFill="1" applyFont="1">
      <alignment shrinkToFit="0" vertical="top" wrapText="1"/>
    </xf>
    <xf borderId="5" fillId="10" fontId="9" numFmtId="0" xfId="0" applyAlignment="1" applyBorder="1" applyFill="1" applyFont="1">
      <alignment shrinkToFit="0" vertical="top" wrapText="1"/>
    </xf>
    <xf borderId="5" fillId="12" fontId="8" numFmtId="0" xfId="0" applyAlignment="1" applyBorder="1" applyFill="1" applyFont="1">
      <alignment shrinkToFit="0" vertical="top" wrapText="1"/>
    </xf>
    <xf borderId="5" fillId="12" fontId="12" numFmtId="0" xfId="0" applyAlignment="1" applyBorder="1" applyFill="1" applyFont="1">
      <alignment shrinkToFit="0" vertical="top" wrapText="0"/>
    </xf>
    <xf borderId="5" fillId="0" fontId="9" numFmtId="0" xfId="0" applyAlignment="1" applyBorder="1" applyFont="1">
      <alignment shrinkToFit="0" vertical="top" wrapText="0"/>
    </xf>
    <xf borderId="5" fillId="6" fontId="8" numFmtId="0" xfId="0" applyAlignment="1" applyBorder="1" applyFill="1" applyFont="1">
      <alignment shrinkToFit="0" vertical="top" wrapText="0"/>
    </xf>
    <xf borderId="5" fillId="6" fontId="9" numFmtId="0" xfId="0" applyAlignment="1" applyBorder="1" applyFill="1" applyFont="1">
      <alignment shrinkToFit="0" vertical="top" wrapText="0"/>
    </xf>
    <xf borderId="5" fillId="4" fontId="12" numFmtId="0" xfId="0" applyAlignment="1" applyBorder="1" applyFill="1" applyFont="1">
      <alignment shrinkToFit="0" vertical="top" wrapText="0"/>
    </xf>
    <xf borderId="5" fillId="8" fontId="12" numFmtId="0" xfId="0" applyAlignment="1" applyBorder="1" applyFill="1" applyFont="1">
      <alignment shrinkToFit="0" vertical="top" wrapText="0"/>
    </xf>
    <xf borderId="5" fillId="3" fontId="12" numFmtId="0" xfId="0" applyAlignment="1" applyBorder="1" applyFill="1" applyFont="1">
      <alignment shrinkToFit="0" vertical="top" wrapText="0"/>
    </xf>
    <xf borderId="5" fillId="6" fontId="12" numFmtId="0" xfId="0" applyAlignment="1" applyBorder="1" applyFill="1" applyFont="1">
      <alignment shrinkToFit="0" vertical="top" wrapText="0"/>
    </xf>
    <xf borderId="5" fillId="0" fontId="8" numFmtId="164" xfId="0" applyAlignment="1" applyBorder="1" applyFont="1" applyNumberFormat="1">
      <alignment shrinkToFit="0" vertical="top" wrapText="1"/>
    </xf>
    <xf borderId="5" fillId="6" fontId="8" numFmtId="164" xfId="0" applyAlignment="1" applyBorder="1" applyFill="1" applyFont="1" applyNumberFormat="1">
      <alignment shrinkToFit="0" vertical="top" wrapText="1"/>
    </xf>
    <xf borderId="5" fillId="3" fontId="9" numFmtId="0" xfId="0" applyAlignment="1" applyBorder="1" applyFill="1" applyFont="1">
      <alignment shrinkToFit="0" vertical="top" wrapText="0"/>
    </xf>
    <xf borderId="5" fillId="10" fontId="14" numFmtId="0" xfId="0" applyAlignment="1" applyBorder="1" applyFill="1" applyFont="1">
      <alignment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2.0"/>
    <col customWidth="1" min="2" max="4" width="20.0"/>
    <col customWidth="1" min="5" max="8" width="18.0"/>
    <col customWidth="1" min="9" max="26" width="8.71"/>
  </cols>
  <sheetData>
    <row r="1" ht="31.5" customHeight="1">
      <c r="A1" s="1" t="s">
        <v>1</v>
      </c>
      <c r="B1" s="2"/>
      <c r="C1" s="2"/>
      <c r="D1" s="2"/>
      <c r="E1" s="2"/>
      <c r="F1" s="2"/>
      <c r="G1" s="2"/>
      <c r="H1" s="3"/>
    </row>
    <row r="2" ht="19.5" customHeight="1">
      <c r="A2" s="4" t="s">
        <v>6</v>
      </c>
      <c r="B2" s="2"/>
      <c r="C2" s="2"/>
      <c r="D2" s="2"/>
      <c r="E2" s="2"/>
      <c r="F2" s="2"/>
      <c r="G2" s="2"/>
      <c r="H2" s="3"/>
    </row>
    <row r="4" ht="21.75" customHeight="1">
      <c r="A4" s="7" t="s">
        <v>10</v>
      </c>
      <c r="B4" s="2"/>
      <c r="C4" s="2"/>
      <c r="D4" s="2"/>
      <c r="E4" s="2"/>
      <c r="F4" s="2"/>
      <c r="G4" s="2"/>
      <c r="H4" s="3"/>
    </row>
    <row r="5" ht="23.25" customHeight="1">
      <c r="A5" s="5" t="s">
        <v>25</v>
      </c>
      <c r="B5" s="8" t="s">
        <v>33</v>
      </c>
      <c r="C5" s="2"/>
      <c r="D5" s="2"/>
      <c r="E5" s="2"/>
      <c r="F5" s="2"/>
      <c r="G5" s="2"/>
      <c r="H5" s="3"/>
    </row>
    <row r="6" ht="34.5" customHeight="1">
      <c r="A6" s="10" t="s">
        <v>49</v>
      </c>
      <c r="B6" s="12" t="s">
        <v>62</v>
      </c>
      <c r="C6" s="2"/>
      <c r="D6" s="2"/>
      <c r="E6" s="2"/>
      <c r="F6" s="2"/>
      <c r="G6" s="2"/>
      <c r="H6" s="3"/>
    </row>
    <row r="8" ht="21.75" customHeight="1">
      <c r="A8" s="14" t="s">
        <v>76</v>
      </c>
      <c r="B8" s="2"/>
      <c r="C8" s="2"/>
      <c r="D8" s="2"/>
      <c r="E8" s="2"/>
      <c r="F8" s="2"/>
      <c r="G8" s="2"/>
      <c r="H8" s="3"/>
    </row>
    <row r="9" ht="23.25" customHeight="1">
      <c r="A9" s="5" t="s">
        <v>83</v>
      </c>
      <c r="B9" s="8" t="s">
        <v>84</v>
      </c>
      <c r="C9" s="2"/>
      <c r="D9" s="2"/>
      <c r="E9" s="2"/>
      <c r="F9" s="2"/>
      <c r="G9" s="2"/>
      <c r="H9" s="3"/>
    </row>
    <row r="10" ht="15.0" customHeight="1">
      <c r="A10" s="6" t="s">
        <v>89</v>
      </c>
      <c r="B10" s="19" t="s">
        <v>90</v>
      </c>
      <c r="C10" s="20"/>
      <c r="D10" s="20"/>
      <c r="E10" s="20"/>
      <c r="F10" s="21"/>
    </row>
    <row r="11" ht="42.0" customHeight="1">
      <c r="A11" s="22" t="s">
        <v>99</v>
      </c>
      <c r="B11" s="23" t="s">
        <v>100</v>
      </c>
      <c r="C11" s="20"/>
      <c r="D11" s="20"/>
      <c r="E11" s="20"/>
      <c r="F11" s="20"/>
      <c r="G11" s="9" t="s">
        <v>101</v>
      </c>
      <c r="H11" s="13" t="s">
        <v>102</v>
      </c>
    </row>
    <row r="12" ht="42.0" customHeight="1">
      <c r="A12" s="22" t="s">
        <v>103</v>
      </c>
      <c r="B12" s="23" t="s">
        <v>104</v>
      </c>
      <c r="C12" s="20"/>
      <c r="D12" s="20"/>
      <c r="E12" s="20"/>
      <c r="F12" s="20"/>
      <c r="G12" s="9" t="s">
        <v>105</v>
      </c>
      <c r="H12" s="13" t="s">
        <v>106</v>
      </c>
    </row>
    <row r="13" ht="42.0" customHeight="1">
      <c r="A13" s="22" t="s">
        <v>107</v>
      </c>
      <c r="B13" s="23" t="s">
        <v>108</v>
      </c>
      <c r="C13" s="20"/>
      <c r="D13" s="20"/>
      <c r="E13" s="20"/>
      <c r="F13" s="20"/>
      <c r="G13" s="9" t="s">
        <v>110</v>
      </c>
      <c r="H13" s="13" t="s">
        <v>111</v>
      </c>
    </row>
    <row r="14" ht="42.0" customHeight="1">
      <c r="A14" s="22" t="s">
        <v>113</v>
      </c>
      <c r="B14" s="23" t="s">
        <v>114</v>
      </c>
      <c r="C14" s="20"/>
      <c r="D14" s="20"/>
      <c r="E14" s="20"/>
      <c r="F14" s="20"/>
      <c r="G14" s="9" t="s">
        <v>115</v>
      </c>
      <c r="H14" s="13" t="s">
        <v>116</v>
      </c>
    </row>
    <row r="15" ht="23.25" customHeight="1">
      <c r="A15" s="5" t="s">
        <v>117</v>
      </c>
      <c r="B15" s="8" t="s">
        <v>118</v>
      </c>
      <c r="C15" s="2"/>
      <c r="D15" s="2"/>
      <c r="E15" s="2"/>
      <c r="F15" s="2"/>
      <c r="G15" s="2"/>
      <c r="H15" s="3"/>
    </row>
    <row r="17" ht="21.75" customHeight="1">
      <c r="A17" s="26" t="s">
        <v>121</v>
      </c>
      <c r="B17" s="2"/>
      <c r="C17" s="2"/>
      <c r="D17" s="2"/>
      <c r="E17" s="2"/>
      <c r="F17" s="2"/>
      <c r="G17" s="2"/>
      <c r="H17" s="3"/>
    </row>
    <row r="18" ht="23.25" customHeight="1">
      <c r="A18" s="27" t="s">
        <v>125</v>
      </c>
      <c r="B18" s="28" t="s">
        <v>126</v>
      </c>
      <c r="C18" s="2"/>
      <c r="D18" s="2"/>
      <c r="E18" s="2"/>
      <c r="F18" s="2"/>
      <c r="G18" s="2"/>
      <c r="H18" s="3"/>
    </row>
    <row r="19" ht="23.25" customHeight="1">
      <c r="A19" s="29" t="s">
        <v>131</v>
      </c>
      <c r="B19" s="30" t="s">
        <v>132</v>
      </c>
      <c r="C19" s="2"/>
      <c r="D19" s="2"/>
      <c r="E19" s="2"/>
      <c r="F19" s="2"/>
      <c r="G19" s="2"/>
      <c r="H19" s="3"/>
    </row>
    <row r="20" ht="23.25" customHeight="1">
      <c r="A20" s="27" t="s">
        <v>135</v>
      </c>
      <c r="B20" s="28" t="s">
        <v>136</v>
      </c>
      <c r="C20" s="2"/>
      <c r="D20" s="2"/>
      <c r="E20" s="2"/>
      <c r="F20" s="2"/>
      <c r="G20" s="2"/>
      <c r="H20" s="3"/>
    </row>
    <row r="21" ht="15.75" customHeight="1"/>
    <row r="22" ht="21.75" customHeight="1">
      <c r="A22" s="7" t="s">
        <v>139</v>
      </c>
      <c r="B22" s="2"/>
      <c r="C22" s="2"/>
      <c r="D22" s="2"/>
      <c r="E22" s="2"/>
      <c r="F22" s="2"/>
      <c r="G22" s="2"/>
      <c r="H22" s="3"/>
    </row>
    <row r="23" ht="15.0" customHeight="1">
      <c r="A23" s="22" t="s">
        <v>146</v>
      </c>
      <c r="B23" s="23" t="s">
        <v>147</v>
      </c>
      <c r="C23" s="20"/>
      <c r="D23" s="20"/>
      <c r="E23" s="20"/>
      <c r="F23" s="20"/>
      <c r="G23" s="20"/>
      <c r="H23" s="20"/>
    </row>
    <row r="24" ht="15.0" customHeight="1">
      <c r="A24" s="22" t="s">
        <v>149</v>
      </c>
      <c r="B24" s="23" t="s">
        <v>151</v>
      </c>
      <c r="C24" s="20"/>
      <c r="D24" s="20"/>
      <c r="E24" s="20"/>
      <c r="F24" s="20"/>
      <c r="G24" s="20"/>
      <c r="H24" s="20"/>
    </row>
    <row r="25" ht="15.0" customHeight="1">
      <c r="A25" s="22" t="s">
        <v>153</v>
      </c>
      <c r="B25" s="23" t="s">
        <v>154</v>
      </c>
      <c r="C25" s="20"/>
      <c r="D25" s="20"/>
      <c r="E25" s="20"/>
      <c r="F25" s="20"/>
      <c r="G25" s="20"/>
      <c r="H25" s="20"/>
    </row>
    <row r="26" ht="15.0" customHeight="1">
      <c r="A26" s="22" t="s">
        <v>156</v>
      </c>
      <c r="B26" s="23" t="s">
        <v>157</v>
      </c>
      <c r="C26" s="20"/>
      <c r="D26" s="20"/>
      <c r="E26" s="20"/>
      <c r="F26" s="20"/>
      <c r="G26" s="20"/>
      <c r="H26" s="20"/>
    </row>
    <row r="27" ht="15.0" customHeight="1">
      <c r="A27" s="22" t="s">
        <v>160</v>
      </c>
      <c r="B27" s="23" t="s">
        <v>161</v>
      </c>
      <c r="C27" s="20"/>
      <c r="D27" s="20"/>
      <c r="E27" s="20"/>
      <c r="F27" s="20"/>
      <c r="G27" s="20"/>
      <c r="H27" s="20"/>
    </row>
    <row r="28" ht="15.0" customHeight="1">
      <c r="A28" s="22" t="s">
        <v>163</v>
      </c>
      <c r="B28" s="23" t="s">
        <v>164</v>
      </c>
      <c r="C28" s="20"/>
      <c r="D28" s="20"/>
      <c r="E28" s="20"/>
      <c r="F28" s="20"/>
      <c r="G28" s="20"/>
      <c r="H28" s="20"/>
    </row>
    <row r="29" ht="15.0" customHeight="1">
      <c r="A29" s="22" t="s">
        <v>166</v>
      </c>
      <c r="B29" s="23" t="s">
        <v>167</v>
      </c>
      <c r="C29" s="20"/>
      <c r="D29" s="20"/>
      <c r="E29" s="20"/>
      <c r="F29" s="20"/>
      <c r="G29" s="20"/>
      <c r="H29" s="20"/>
    </row>
    <row r="30" ht="15.0" customHeight="1">
      <c r="A30" s="22" t="s">
        <v>170</v>
      </c>
      <c r="B30" s="23" t="s">
        <v>171</v>
      </c>
      <c r="C30" s="20"/>
      <c r="D30" s="20"/>
      <c r="E30" s="20"/>
      <c r="F30" s="20"/>
      <c r="G30" s="20"/>
      <c r="H30" s="20"/>
    </row>
    <row r="31" ht="15.0" customHeight="1">
      <c r="A31" s="22" t="s">
        <v>174</v>
      </c>
      <c r="B31" s="23" t="s">
        <v>176</v>
      </c>
      <c r="C31" s="20"/>
      <c r="D31" s="20"/>
      <c r="E31" s="20"/>
      <c r="F31" s="20"/>
      <c r="G31" s="20"/>
      <c r="H31" s="20"/>
    </row>
    <row r="32" ht="15.0" customHeight="1">
      <c r="A32" s="22" t="s">
        <v>177</v>
      </c>
      <c r="B32" s="23" t="s">
        <v>178</v>
      </c>
      <c r="C32" s="20"/>
      <c r="D32" s="20"/>
      <c r="E32" s="20"/>
      <c r="F32" s="20"/>
      <c r="G32" s="20"/>
      <c r="H32" s="20"/>
    </row>
    <row r="33" ht="15.0" customHeight="1">
      <c r="A33" s="22" t="s">
        <v>182</v>
      </c>
      <c r="B33" s="23" t="s">
        <v>183</v>
      </c>
      <c r="C33" s="20"/>
      <c r="D33" s="20"/>
      <c r="E33" s="20"/>
      <c r="F33" s="20"/>
      <c r="G33" s="20"/>
      <c r="H33" s="20"/>
    </row>
    <row r="34" ht="15.0" customHeight="1">
      <c r="A34" s="22" t="s">
        <v>188</v>
      </c>
      <c r="B34" s="23" t="s">
        <v>189</v>
      </c>
      <c r="C34" s="20"/>
      <c r="D34" s="20"/>
      <c r="E34" s="20"/>
      <c r="F34" s="20"/>
      <c r="G34" s="20"/>
      <c r="H34" s="20"/>
    </row>
    <row r="35" ht="15.0" customHeight="1">
      <c r="A35" s="22" t="s">
        <v>192</v>
      </c>
      <c r="B35" s="23" t="s">
        <v>193</v>
      </c>
      <c r="C35" s="20"/>
      <c r="D35" s="20"/>
      <c r="E35" s="20"/>
      <c r="F35" s="20"/>
      <c r="G35" s="20"/>
      <c r="H35" s="20"/>
    </row>
    <row r="36" ht="15.0" customHeight="1">
      <c r="A36" s="22" t="s">
        <v>196</v>
      </c>
      <c r="B36" s="23" t="s">
        <v>197</v>
      </c>
      <c r="C36" s="20"/>
      <c r="D36" s="20"/>
      <c r="E36" s="20"/>
      <c r="F36" s="20"/>
      <c r="G36" s="20"/>
      <c r="H36" s="20"/>
    </row>
    <row r="37" ht="15.0" customHeight="1">
      <c r="A37" s="22" t="s">
        <v>199</v>
      </c>
      <c r="B37" s="23" t="s">
        <v>201</v>
      </c>
      <c r="C37" s="20"/>
      <c r="D37" s="20"/>
      <c r="E37" s="20"/>
      <c r="F37" s="20"/>
      <c r="G37" s="20"/>
      <c r="H37" s="20"/>
    </row>
    <row r="38" ht="15.0" customHeight="1">
      <c r="A38" s="22" t="s">
        <v>203</v>
      </c>
      <c r="B38" s="23" t="s">
        <v>204</v>
      </c>
      <c r="C38" s="20"/>
      <c r="D38" s="20"/>
      <c r="E38" s="20"/>
      <c r="F38" s="20"/>
      <c r="G38" s="20"/>
      <c r="H38" s="20"/>
    </row>
    <row r="39" ht="15.0" customHeight="1">
      <c r="A39" s="22" t="s">
        <v>206</v>
      </c>
      <c r="B39" s="23" t="s">
        <v>207</v>
      </c>
      <c r="C39" s="20"/>
      <c r="D39" s="20"/>
      <c r="E39" s="20"/>
      <c r="F39" s="20"/>
      <c r="G39" s="20"/>
      <c r="H39" s="20"/>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H1"/>
    <mergeCell ref="A2:H2"/>
    <mergeCell ref="A4:H4"/>
    <mergeCell ref="B5:H5"/>
    <mergeCell ref="B6:H6"/>
    <mergeCell ref="A8:H8"/>
    <mergeCell ref="B9:H9"/>
    <mergeCell ref="B10:F10"/>
    <mergeCell ref="B11:F11"/>
    <mergeCell ref="B12:F12"/>
    <mergeCell ref="B13:F13"/>
    <mergeCell ref="B14:F14"/>
    <mergeCell ref="B15:H15"/>
    <mergeCell ref="A17:H17"/>
    <mergeCell ref="B18:H18"/>
    <mergeCell ref="B19:H19"/>
    <mergeCell ref="B20:H20"/>
    <mergeCell ref="A22:H22"/>
    <mergeCell ref="B23:H23"/>
    <mergeCell ref="B24:H24"/>
    <mergeCell ref="B25:H25"/>
    <mergeCell ref="B33:H33"/>
    <mergeCell ref="B34:H34"/>
    <mergeCell ref="B35:H35"/>
    <mergeCell ref="B36:H36"/>
    <mergeCell ref="B37:H37"/>
    <mergeCell ref="B38:H38"/>
    <mergeCell ref="B39:H39"/>
    <mergeCell ref="B26:H26"/>
    <mergeCell ref="B27:H27"/>
    <mergeCell ref="B28:H28"/>
    <mergeCell ref="B29:H29"/>
    <mergeCell ref="B30:H30"/>
    <mergeCell ref="B31:H31"/>
    <mergeCell ref="B32:H32"/>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6.0" topLeftCell="A27" activePane="bottomLeft" state="frozen"/>
      <selection activeCell="B28" sqref="B28" pane="bottomLeft"/>
    </sheetView>
  </sheetViews>
  <sheetFormatPr customHeight="1" defaultColWidth="14.43" defaultRowHeight="15.0"/>
  <cols>
    <col customWidth="1" min="1" max="1" width="22.0"/>
    <col customWidth="1" min="2" max="2" width="30.0"/>
    <col customWidth="1" min="3" max="3" width="34.0"/>
    <col customWidth="1" min="4" max="4" width="24.0"/>
    <col customWidth="1" min="5" max="5" width="44.0"/>
    <col customWidth="1" min="6" max="6" width="62.0"/>
    <col customWidth="1" min="7" max="9" width="4.0"/>
    <col customWidth="1" min="10" max="26" width="8.71"/>
  </cols>
  <sheetData>
    <row r="1" ht="31.5" customHeight="1">
      <c r="A1" s="1" t="s">
        <v>3</v>
      </c>
      <c r="B1" s="2"/>
      <c r="C1" s="2"/>
      <c r="D1" s="2"/>
      <c r="E1" s="2"/>
      <c r="F1" s="2"/>
      <c r="G1" s="2"/>
      <c r="H1" s="2"/>
      <c r="I1" s="3"/>
    </row>
    <row r="2" ht="19.5" customHeight="1">
      <c r="A2" s="4" t="s">
        <v>9</v>
      </c>
      <c r="B2" s="2"/>
      <c r="C2" s="2"/>
      <c r="D2" s="2"/>
      <c r="E2" s="2"/>
      <c r="F2" s="2"/>
      <c r="G2" s="2"/>
      <c r="H2" s="2"/>
      <c r="I2" s="3"/>
    </row>
    <row r="4" ht="33.75" customHeight="1">
      <c r="A4" s="6" t="s">
        <v>12</v>
      </c>
      <c r="B4" s="6" t="s">
        <v>34</v>
      </c>
      <c r="C4" s="6" t="s">
        <v>39</v>
      </c>
      <c r="D4" s="6" t="s">
        <v>41</v>
      </c>
      <c r="E4" s="6" t="s">
        <v>45</v>
      </c>
      <c r="F4" s="6" t="s">
        <v>47</v>
      </c>
      <c r="G4" s="6" t="s">
        <v>50</v>
      </c>
      <c r="H4" s="6" t="s">
        <v>52</v>
      </c>
      <c r="I4" s="6" t="s">
        <v>54</v>
      </c>
    </row>
    <row r="5">
      <c r="A5" s="11" t="s">
        <v>60</v>
      </c>
      <c r="B5" s="9">
        <f>COUNTIFS('02 CITY MASTER'!$B:$B,$A5,'02 CITY MASTER'!$F:$F,"A")</f>
        <v>139</v>
      </c>
      <c r="C5" s="9">
        <f>COUNTIFS('02 CITY MASTER'!$B:$B,$A5,'02 CITY MASTER'!$F:$F,"B")</f>
        <v>397</v>
      </c>
      <c r="D5" s="9">
        <f>COUNTIFS('02 CITY MASTER'!$B:$B,$A5,'02 CITY MASTER'!$F:$F,"C")</f>
        <v>440</v>
      </c>
      <c r="E5" s="9">
        <f t="shared" ref="E5:E22" si="1">SUM(B5:D5)</f>
        <v>976</v>
      </c>
      <c r="F5" s="9">
        <f>COUNTIFS('02 CITY MASTER'!$B:$B,$A5,'02 CITY MASTER'!$G:$G,"VERIFIED")</f>
        <v>139</v>
      </c>
      <c r="G5" s="9">
        <f t="shared" ref="G5:G22" si="2">E5-F5</f>
        <v>837</v>
      </c>
      <c r="H5" s="9">
        <f t="shared" ref="H5:H22" si="3">ROUNDUP(E5/60,0)</f>
        <v>17</v>
      </c>
      <c r="I5" s="9" t="s">
        <v>142</v>
      </c>
    </row>
    <row r="6">
      <c r="A6" s="25" t="s">
        <v>148</v>
      </c>
      <c r="B6" s="24">
        <f>COUNTIFS('02 CITY MASTER'!$B:$B,$A6,'02 CITY MASTER'!$F:$F,"A")</f>
        <v>6</v>
      </c>
      <c r="C6" s="24">
        <f>COUNTIFS('02 CITY MASTER'!$B:$B,$A6,'02 CITY MASTER'!$F:$F,"B")</f>
        <v>6</v>
      </c>
      <c r="D6" s="24">
        <f>COUNTIFS('02 CITY MASTER'!$B:$B,$A6,'02 CITY MASTER'!$F:$F,"C")</f>
        <v>10</v>
      </c>
      <c r="E6" s="24">
        <f t="shared" si="1"/>
        <v>22</v>
      </c>
      <c r="F6" s="24">
        <f>COUNTIFS('02 CITY MASTER'!$B:$B,$A6,'02 CITY MASTER'!$G:$G,"VERIFIED")</f>
        <v>12</v>
      </c>
      <c r="G6" s="24">
        <f t="shared" si="2"/>
        <v>10</v>
      </c>
      <c r="H6" s="24">
        <f t="shared" si="3"/>
        <v>1</v>
      </c>
      <c r="I6" s="24" t="s">
        <v>184</v>
      </c>
    </row>
    <row r="7">
      <c r="A7" s="11" t="s">
        <v>186</v>
      </c>
      <c r="B7" s="9">
        <f>COUNTIFS('02 CITY MASTER'!$B:$B,$A7,'02 CITY MASTER'!$F:$F,"A")</f>
        <v>8</v>
      </c>
      <c r="C7" s="9">
        <f>COUNTIFS('02 CITY MASTER'!$B:$B,$A7,'02 CITY MASTER'!$F:$F,"B")</f>
        <v>12</v>
      </c>
      <c r="D7" s="9">
        <f>COUNTIFS('02 CITY MASTER'!$B:$B,$A7,'02 CITY MASTER'!$F:$F,"C")</f>
        <v>20</v>
      </c>
      <c r="E7" s="9">
        <f t="shared" si="1"/>
        <v>40</v>
      </c>
      <c r="F7" s="9">
        <f>COUNTIFS('02 CITY MASTER'!$B:$B,$A7,'02 CITY MASTER'!$G:$G,"VERIFIED")</f>
        <v>20</v>
      </c>
      <c r="G7" s="9">
        <f t="shared" si="2"/>
        <v>20</v>
      </c>
      <c r="H7" s="9">
        <f t="shared" si="3"/>
        <v>1</v>
      </c>
      <c r="I7" s="9" t="s">
        <v>208</v>
      </c>
    </row>
    <row r="8">
      <c r="A8" s="25" t="s">
        <v>210</v>
      </c>
      <c r="B8" s="24">
        <f>COUNTIFS('02 CITY MASTER'!$B:$B,$A8,'02 CITY MASTER'!$F:$F,"A")</f>
        <v>4</v>
      </c>
      <c r="C8" s="24">
        <f>COUNTIFS('02 CITY MASTER'!$B:$B,$A8,'02 CITY MASTER'!$F:$F,"B")</f>
        <v>4</v>
      </c>
      <c r="D8" s="24">
        <f>COUNTIFS('02 CITY MASTER'!$B:$B,$A8,'02 CITY MASTER'!$F:$F,"C")</f>
        <v>4</v>
      </c>
      <c r="E8" s="24">
        <f t="shared" si="1"/>
        <v>12</v>
      </c>
      <c r="F8" s="24">
        <f>COUNTIFS('02 CITY MASTER'!$B:$B,$A8,'02 CITY MASTER'!$G:$G,"VERIFIED")</f>
        <v>8</v>
      </c>
      <c r="G8" s="24">
        <f t="shared" si="2"/>
        <v>4</v>
      </c>
      <c r="H8" s="24">
        <f t="shared" si="3"/>
        <v>1</v>
      </c>
      <c r="I8" s="24" t="s">
        <v>214</v>
      </c>
    </row>
    <row r="9">
      <c r="A9" s="11" t="s">
        <v>215</v>
      </c>
      <c r="B9" s="9">
        <f>COUNTIFS('02 CITY MASTER'!$B:$B,$A9,'02 CITY MASTER'!$F:$F,"A")</f>
        <v>5</v>
      </c>
      <c r="C9" s="9">
        <f>COUNTIFS('02 CITY MASTER'!$B:$B,$A9,'02 CITY MASTER'!$F:$F,"B")</f>
        <v>6</v>
      </c>
      <c r="D9" s="9">
        <f>COUNTIFS('02 CITY MASTER'!$B:$B,$A9,'02 CITY MASTER'!$F:$F,"C")</f>
        <v>10</v>
      </c>
      <c r="E9" s="9">
        <f t="shared" si="1"/>
        <v>21</v>
      </c>
      <c r="F9" s="9">
        <f>COUNTIFS('02 CITY MASTER'!$B:$B,$A9,'02 CITY MASTER'!$G:$G,"VERIFIED")</f>
        <v>11</v>
      </c>
      <c r="G9" s="9">
        <f t="shared" si="2"/>
        <v>10</v>
      </c>
      <c r="H9" s="9">
        <f t="shared" si="3"/>
        <v>1</v>
      </c>
      <c r="I9" s="9" t="s">
        <v>216</v>
      </c>
    </row>
    <row r="10">
      <c r="A10" s="25" t="s">
        <v>217</v>
      </c>
      <c r="B10" s="24">
        <f>COUNTIFS('02 CITY MASTER'!$B:$B,$A10,'02 CITY MASTER'!$F:$F,"A")</f>
        <v>4</v>
      </c>
      <c r="C10" s="24">
        <f>COUNTIFS('02 CITY MASTER'!$B:$B,$A10,'02 CITY MASTER'!$F:$F,"B")</f>
        <v>4</v>
      </c>
      <c r="D10" s="24">
        <f>COUNTIFS('02 CITY MASTER'!$B:$B,$A10,'02 CITY MASTER'!$F:$F,"C")</f>
        <v>4</v>
      </c>
      <c r="E10" s="24">
        <f t="shared" si="1"/>
        <v>12</v>
      </c>
      <c r="F10" s="24">
        <f>COUNTIFS('02 CITY MASTER'!$B:$B,$A10,'02 CITY MASTER'!$G:$G,"VERIFIED")</f>
        <v>8</v>
      </c>
      <c r="G10" s="24">
        <f t="shared" si="2"/>
        <v>4</v>
      </c>
      <c r="H10" s="24">
        <f t="shared" si="3"/>
        <v>1</v>
      </c>
      <c r="I10" s="24" t="s">
        <v>218</v>
      </c>
    </row>
    <row r="11">
      <c r="A11" s="11" t="s">
        <v>219</v>
      </c>
      <c r="B11" s="9">
        <f>COUNTIFS('02 CITY MASTER'!$B:$B,$A11,'02 CITY MASTER'!$F:$F,"A")</f>
        <v>3</v>
      </c>
      <c r="C11" s="9">
        <f>COUNTIFS('02 CITY MASTER'!$B:$B,$A11,'02 CITY MASTER'!$F:$F,"B")</f>
        <v>3</v>
      </c>
      <c r="D11" s="9">
        <f>COUNTIFS('02 CITY MASTER'!$B:$B,$A11,'02 CITY MASTER'!$F:$F,"C")</f>
        <v>4</v>
      </c>
      <c r="E11" s="9">
        <f t="shared" si="1"/>
        <v>10</v>
      </c>
      <c r="F11" s="9">
        <f>COUNTIFS('02 CITY MASTER'!$B:$B,$A11,'02 CITY MASTER'!$G:$G,"VERIFIED")</f>
        <v>6</v>
      </c>
      <c r="G11" s="9">
        <f t="shared" si="2"/>
        <v>4</v>
      </c>
      <c r="H11" s="9">
        <f t="shared" si="3"/>
        <v>1</v>
      </c>
      <c r="I11" s="9" t="s">
        <v>220</v>
      </c>
    </row>
    <row r="12">
      <c r="A12" s="25" t="s">
        <v>221</v>
      </c>
      <c r="B12" s="24">
        <f>COUNTIFS('02 CITY MASTER'!$B:$B,$A12,'02 CITY MASTER'!$F:$F,"A")</f>
        <v>16</v>
      </c>
      <c r="C12" s="24">
        <f>COUNTIFS('02 CITY MASTER'!$B:$B,$A12,'02 CITY MASTER'!$F:$F,"B")</f>
        <v>30</v>
      </c>
      <c r="D12" s="24">
        <f>COUNTIFS('02 CITY MASTER'!$B:$B,$A12,'02 CITY MASTER'!$F:$F,"C")</f>
        <v>60</v>
      </c>
      <c r="E12" s="24">
        <f t="shared" si="1"/>
        <v>106</v>
      </c>
      <c r="F12" s="24">
        <f>COUNTIFS('02 CITY MASTER'!$B:$B,$A12,'02 CITY MASTER'!$G:$G,"VERIFIED")</f>
        <v>46</v>
      </c>
      <c r="G12" s="24">
        <f t="shared" si="2"/>
        <v>60</v>
      </c>
      <c r="H12" s="24">
        <f t="shared" si="3"/>
        <v>2</v>
      </c>
      <c r="I12" s="24" t="s">
        <v>233</v>
      </c>
    </row>
    <row r="13">
      <c r="A13" s="11" t="s">
        <v>234</v>
      </c>
      <c r="B13" s="9">
        <f>COUNTIFS('02 CITY MASTER'!$B:$B,$A13,'02 CITY MASTER'!$F:$F,"A")</f>
        <v>12</v>
      </c>
      <c r="C13" s="9">
        <f>COUNTIFS('02 CITY MASTER'!$B:$B,$A13,'02 CITY MASTER'!$F:$F,"B")</f>
        <v>20</v>
      </c>
      <c r="D13" s="9">
        <f>COUNTIFS('02 CITY MASTER'!$B:$B,$A13,'02 CITY MASTER'!$F:$F,"C")</f>
        <v>60</v>
      </c>
      <c r="E13" s="9">
        <f t="shared" si="1"/>
        <v>92</v>
      </c>
      <c r="F13" s="9">
        <f>COUNTIFS('02 CITY MASTER'!$B:$B,$A13,'02 CITY MASTER'!$G:$G,"VERIFIED")</f>
        <v>32</v>
      </c>
      <c r="G13" s="9">
        <f t="shared" si="2"/>
        <v>60</v>
      </c>
      <c r="H13" s="9">
        <f t="shared" si="3"/>
        <v>2</v>
      </c>
      <c r="I13" s="9" t="s">
        <v>242</v>
      </c>
    </row>
    <row r="14">
      <c r="A14" s="25" t="s">
        <v>243</v>
      </c>
      <c r="B14" s="24">
        <f>COUNTIFS('02 CITY MASTER'!$B:$B,$A14,'02 CITY MASTER'!$F:$F,"A")</f>
        <v>12</v>
      </c>
      <c r="C14" s="24">
        <f>COUNTIFS('02 CITY MASTER'!$B:$B,$A14,'02 CITY MASTER'!$F:$F,"B")</f>
        <v>20</v>
      </c>
      <c r="D14" s="24">
        <f>COUNTIFS('02 CITY MASTER'!$B:$B,$A14,'02 CITY MASTER'!$F:$F,"C")</f>
        <v>60</v>
      </c>
      <c r="E14" s="24">
        <f t="shared" si="1"/>
        <v>92</v>
      </c>
      <c r="F14" s="24">
        <f>COUNTIFS('02 CITY MASTER'!$B:$B,$A14,'02 CITY MASTER'!$G:$G,"VERIFIED")</f>
        <v>32</v>
      </c>
      <c r="G14" s="24">
        <f t="shared" si="2"/>
        <v>60</v>
      </c>
      <c r="H14" s="24">
        <f t="shared" si="3"/>
        <v>2</v>
      </c>
      <c r="I14" s="24" t="s">
        <v>254</v>
      </c>
    </row>
    <row r="15">
      <c r="A15" s="11" t="s">
        <v>255</v>
      </c>
      <c r="B15" s="9">
        <f>COUNTIFS('02 CITY MASTER'!$B:$B,$A15,'02 CITY MASTER'!$F:$F,"A")</f>
        <v>7</v>
      </c>
      <c r="C15" s="9">
        <f>COUNTIFS('02 CITY MASTER'!$B:$B,$A15,'02 CITY MASTER'!$F:$F,"B")</f>
        <v>12</v>
      </c>
      <c r="D15" s="9">
        <f>COUNTIFS('02 CITY MASTER'!$B:$B,$A15,'02 CITY MASTER'!$F:$F,"C")</f>
        <v>26</v>
      </c>
      <c r="E15" s="9">
        <f t="shared" si="1"/>
        <v>45</v>
      </c>
      <c r="F15" s="9">
        <f>COUNTIFS('02 CITY MASTER'!$B:$B,$A15,'02 CITY MASTER'!$G:$G,"VERIFIED")</f>
        <v>19</v>
      </c>
      <c r="G15" s="9">
        <f t="shared" si="2"/>
        <v>26</v>
      </c>
      <c r="H15" s="9">
        <f t="shared" si="3"/>
        <v>1</v>
      </c>
      <c r="I15" s="9" t="s">
        <v>297</v>
      </c>
    </row>
    <row r="16">
      <c r="A16" s="25" t="s">
        <v>301</v>
      </c>
      <c r="B16" s="24">
        <f>COUNTIFS('02 CITY MASTER'!$B:$B,$A16,'02 CITY MASTER'!$F:$F,"A")</f>
        <v>10</v>
      </c>
      <c r="C16" s="24">
        <f>COUNTIFS('02 CITY MASTER'!$B:$B,$A16,'02 CITY MASTER'!$F:$F,"B")</f>
        <v>20</v>
      </c>
      <c r="D16" s="24">
        <f>COUNTIFS('02 CITY MASTER'!$B:$B,$A16,'02 CITY MASTER'!$F:$F,"C")</f>
        <v>60</v>
      </c>
      <c r="E16" s="24">
        <f t="shared" si="1"/>
        <v>90</v>
      </c>
      <c r="F16" s="24">
        <f>COUNTIFS('02 CITY MASTER'!$B:$B,$A16,'02 CITY MASTER'!$G:$G,"VERIFIED")</f>
        <v>30</v>
      </c>
      <c r="G16" s="24">
        <f t="shared" si="2"/>
        <v>60</v>
      </c>
      <c r="H16" s="24">
        <f t="shared" si="3"/>
        <v>2</v>
      </c>
      <c r="I16" s="24" t="s">
        <v>378</v>
      </c>
    </row>
    <row r="17">
      <c r="A17" s="11" t="s">
        <v>380</v>
      </c>
      <c r="B17" s="9">
        <f>COUNTIFS('02 CITY MASTER'!$B:$B,$A17,'02 CITY MASTER'!$F:$F,"A")</f>
        <v>8</v>
      </c>
      <c r="C17" s="9">
        <f>COUNTIFS('02 CITY MASTER'!$B:$B,$A17,'02 CITY MASTER'!$F:$F,"B")</f>
        <v>20</v>
      </c>
      <c r="D17" s="9">
        <f>COUNTIFS('02 CITY MASTER'!$B:$B,$A17,'02 CITY MASTER'!$F:$F,"C")</f>
        <v>60</v>
      </c>
      <c r="E17" s="9">
        <f t="shared" si="1"/>
        <v>88</v>
      </c>
      <c r="F17" s="9">
        <f>COUNTIFS('02 CITY MASTER'!$B:$B,$A17,'02 CITY MASTER'!$G:$G,"VERIFIED")</f>
        <v>28</v>
      </c>
      <c r="G17" s="9">
        <f t="shared" si="2"/>
        <v>60</v>
      </c>
      <c r="H17" s="9">
        <f t="shared" si="3"/>
        <v>2</v>
      </c>
      <c r="I17" s="9" t="s">
        <v>402</v>
      </c>
    </row>
    <row r="18">
      <c r="A18" s="25" t="s">
        <v>403</v>
      </c>
      <c r="B18" s="24">
        <f>COUNTIFS('02 CITY MASTER'!$B:$B,$A18,'02 CITY MASTER'!$F:$F,"A")</f>
        <v>6</v>
      </c>
      <c r="C18" s="24">
        <f>COUNTIFS('02 CITY MASTER'!$B:$B,$A18,'02 CITY MASTER'!$F:$F,"B")</f>
        <v>16</v>
      </c>
      <c r="D18" s="24">
        <f>COUNTIFS('02 CITY MASTER'!$B:$B,$A18,'02 CITY MASTER'!$F:$F,"C")</f>
        <v>35</v>
      </c>
      <c r="E18" s="24">
        <f t="shared" si="1"/>
        <v>57</v>
      </c>
      <c r="F18" s="24">
        <f>COUNTIFS('02 CITY MASTER'!$B:$B,$A18,'02 CITY MASTER'!$G:$G,"VERIFIED")</f>
        <v>22</v>
      </c>
      <c r="G18" s="24">
        <f t="shared" si="2"/>
        <v>35</v>
      </c>
      <c r="H18" s="24">
        <f t="shared" si="3"/>
        <v>1</v>
      </c>
      <c r="I18" s="24" t="s">
        <v>421</v>
      </c>
    </row>
    <row r="19">
      <c r="A19" s="11" t="s">
        <v>422</v>
      </c>
      <c r="B19" s="9">
        <f>COUNTIFS('02 CITY MASTER'!$B:$B,$A19,'02 CITY MASTER'!$F:$F,"A")</f>
        <v>6</v>
      </c>
      <c r="C19" s="9">
        <f>COUNTIFS('02 CITY MASTER'!$B:$B,$A19,'02 CITY MASTER'!$F:$F,"B")</f>
        <v>3</v>
      </c>
      <c r="D19" s="9">
        <f>COUNTIFS('02 CITY MASTER'!$B:$B,$A19,'02 CITY MASTER'!$F:$F,"C")</f>
        <v>4</v>
      </c>
      <c r="E19" s="9">
        <f t="shared" si="1"/>
        <v>13</v>
      </c>
      <c r="F19" s="9">
        <f>COUNTIFS('02 CITY MASTER'!$B:$B,$A19,'02 CITY MASTER'!$G:$G,"VERIFIED")</f>
        <v>9</v>
      </c>
      <c r="G19" s="9">
        <f t="shared" si="2"/>
        <v>4</v>
      </c>
      <c r="H19" s="9">
        <f t="shared" si="3"/>
        <v>1</v>
      </c>
      <c r="I19" s="9" t="s">
        <v>429</v>
      </c>
    </row>
    <row r="20">
      <c r="A20" s="25" t="s">
        <v>430</v>
      </c>
      <c r="B20" s="24">
        <f>COUNTIFS('02 CITY MASTER'!$B:$B,$A20,'02 CITY MASTER'!$F:$F,"A")</f>
        <v>8</v>
      </c>
      <c r="C20" s="24">
        <f>COUNTIFS('02 CITY MASTER'!$B:$B,$A20,'02 CITY MASTER'!$F:$F,"B")</f>
        <v>12</v>
      </c>
      <c r="D20" s="24">
        <f>COUNTIFS('02 CITY MASTER'!$B:$B,$A20,'02 CITY MASTER'!$F:$F,"C")</f>
        <v>20</v>
      </c>
      <c r="E20" s="24">
        <f t="shared" si="1"/>
        <v>40</v>
      </c>
      <c r="F20" s="24">
        <f>COUNTIFS('02 CITY MASTER'!$B:$B,$A20,'02 CITY MASTER'!$G:$G,"VERIFIED")</f>
        <v>20</v>
      </c>
      <c r="G20" s="24">
        <f t="shared" si="2"/>
        <v>20</v>
      </c>
      <c r="H20" s="24">
        <f t="shared" si="3"/>
        <v>1</v>
      </c>
      <c r="I20" s="24" t="s">
        <v>444</v>
      </c>
    </row>
    <row r="21" ht="15.75" customHeight="1">
      <c r="A21" s="11" t="s">
        <v>445</v>
      </c>
      <c r="B21" s="9">
        <f>COUNTIFS('02 CITY MASTER'!$B:$B,$A21,'02 CITY MASTER'!$F:$F,"A")</f>
        <v>8</v>
      </c>
      <c r="C21" s="9">
        <f>COUNTIFS('02 CITY MASTER'!$B:$B,$A21,'02 CITY MASTER'!$F:$F,"B")</f>
        <v>12</v>
      </c>
      <c r="D21" s="9">
        <f>COUNTIFS('02 CITY MASTER'!$B:$B,$A21,'02 CITY MASTER'!$F:$F,"C")</f>
        <v>38</v>
      </c>
      <c r="E21" s="9">
        <f t="shared" si="1"/>
        <v>58</v>
      </c>
      <c r="F21" s="9">
        <f>COUNTIFS('02 CITY MASTER'!$B:$B,$A21,'02 CITY MASTER'!$G:$G,"VERIFIED")</f>
        <v>20</v>
      </c>
      <c r="G21" s="9">
        <f t="shared" si="2"/>
        <v>38</v>
      </c>
      <c r="H21" s="9">
        <f t="shared" si="3"/>
        <v>1</v>
      </c>
      <c r="I21" s="9" t="s">
        <v>453</v>
      </c>
    </row>
    <row r="22" ht="15.75" customHeight="1">
      <c r="A22" s="25" t="s">
        <v>454</v>
      </c>
      <c r="B22" s="24">
        <f>COUNTIFS('02 CITY MASTER'!$B:$B,$A22,'02 CITY MASTER'!$F:$F,"A")</f>
        <v>8</v>
      </c>
      <c r="C22" s="24">
        <f>COUNTIFS('02 CITY MASTER'!$B:$B,$A22,'02 CITY MASTER'!$F:$F,"B")</f>
        <v>14</v>
      </c>
      <c r="D22" s="24">
        <f>COUNTIFS('02 CITY MASTER'!$B:$B,$A22,'02 CITY MASTER'!$F:$F,"C")</f>
        <v>36</v>
      </c>
      <c r="E22" s="24">
        <f t="shared" si="1"/>
        <v>58</v>
      </c>
      <c r="F22" s="24">
        <f>COUNTIFS('02 CITY MASTER'!$B:$B,$A22,'02 CITY MASTER'!$G:$G,"VERIFIED")</f>
        <v>22</v>
      </c>
      <c r="G22" s="24">
        <f t="shared" si="2"/>
        <v>36</v>
      </c>
      <c r="H22" s="24">
        <f t="shared" si="3"/>
        <v>1</v>
      </c>
      <c r="I22" s="24" t="s">
        <v>461</v>
      </c>
    </row>
    <row r="23" ht="15.75" customHeight="1">
      <c r="A23" s="37" t="s">
        <v>462</v>
      </c>
      <c r="B23" s="34">
        <f t="shared" ref="B23:G23" si="4">SUM(B5:B22)</f>
        <v>270</v>
      </c>
      <c r="C23" s="34">
        <f t="shared" si="4"/>
        <v>611</v>
      </c>
      <c r="D23" s="34">
        <f t="shared" si="4"/>
        <v>951</v>
      </c>
      <c r="E23" s="34">
        <f t="shared" si="4"/>
        <v>1832</v>
      </c>
      <c r="F23" s="34">
        <f t="shared" si="4"/>
        <v>484</v>
      </c>
      <c r="G23" s="34">
        <f t="shared" si="4"/>
        <v>1348</v>
      </c>
    </row>
    <row r="24" ht="15.75" customHeight="1"/>
    <row r="25" ht="21.75" customHeight="1">
      <c r="A25" s="7" t="s">
        <v>463</v>
      </c>
      <c r="B25" s="2"/>
      <c r="C25" s="2"/>
      <c r="D25" s="2"/>
      <c r="E25" s="2"/>
      <c r="F25" s="2"/>
      <c r="G25" s="2"/>
      <c r="H25" s="2"/>
      <c r="I25" s="3"/>
    </row>
    <row r="26" ht="30.0" customHeight="1">
      <c r="A26" s="6" t="s">
        <v>12</v>
      </c>
      <c r="B26" s="6" t="s">
        <v>470</v>
      </c>
      <c r="C26" s="6" t="s">
        <v>471</v>
      </c>
      <c r="D26" s="6" t="s">
        <v>472</v>
      </c>
      <c r="E26" s="6" t="s">
        <v>473</v>
      </c>
      <c r="F26" s="6" t="s">
        <v>474</v>
      </c>
      <c r="G26" s="6"/>
      <c r="H26" s="6"/>
      <c r="I26" s="6"/>
    </row>
    <row r="27" ht="15.75" customHeight="1">
      <c r="A27" s="11" t="s">
        <v>148</v>
      </c>
      <c r="B27" s="9" t="s">
        <v>476</v>
      </c>
      <c r="C27" s="9" t="s">
        <v>477</v>
      </c>
      <c r="D27" s="9" t="s">
        <v>479</v>
      </c>
      <c r="E27" s="9" t="s">
        <v>480</v>
      </c>
      <c r="F27" s="9" t="s">
        <v>482</v>
      </c>
    </row>
    <row r="28" ht="15.75" customHeight="1">
      <c r="A28" s="25" t="s">
        <v>186</v>
      </c>
      <c r="B28" s="24" t="s">
        <v>483</v>
      </c>
      <c r="C28" s="24" t="s">
        <v>484</v>
      </c>
      <c r="D28" s="24" t="s">
        <v>486</v>
      </c>
      <c r="E28" s="24" t="s">
        <v>488</v>
      </c>
      <c r="F28" s="24" t="s">
        <v>489</v>
      </c>
    </row>
    <row r="29" ht="15.75" customHeight="1">
      <c r="A29" s="11" t="s">
        <v>210</v>
      </c>
      <c r="B29" s="9" t="s">
        <v>490</v>
      </c>
      <c r="C29" s="9" t="s">
        <v>491</v>
      </c>
      <c r="D29" s="9" t="s">
        <v>492</v>
      </c>
      <c r="E29" s="9" t="s">
        <v>494</v>
      </c>
      <c r="F29" s="9" t="s">
        <v>496</v>
      </c>
    </row>
    <row r="30" ht="15.75" customHeight="1">
      <c r="A30" s="25" t="s">
        <v>215</v>
      </c>
      <c r="B30" s="24" t="s">
        <v>500</v>
      </c>
      <c r="C30" s="24" t="s">
        <v>503</v>
      </c>
      <c r="D30" s="24" t="s">
        <v>505</v>
      </c>
      <c r="E30" s="24" t="s">
        <v>507</v>
      </c>
      <c r="F30" s="24" t="s">
        <v>496</v>
      </c>
    </row>
    <row r="31" ht="15.75" customHeight="1">
      <c r="A31" s="11" t="s">
        <v>217</v>
      </c>
      <c r="B31" s="9" t="s">
        <v>512</v>
      </c>
      <c r="C31" s="9" t="s">
        <v>513</v>
      </c>
      <c r="D31" s="9" t="s">
        <v>514</v>
      </c>
      <c r="E31" s="9" t="s">
        <v>515</v>
      </c>
      <c r="F31" s="9" t="s">
        <v>516</v>
      </c>
    </row>
    <row r="32" ht="15.75" customHeight="1">
      <c r="A32" s="25" t="s">
        <v>219</v>
      </c>
      <c r="B32" s="24" t="s">
        <v>519</v>
      </c>
      <c r="C32" s="24" t="s">
        <v>520</v>
      </c>
      <c r="D32" s="24" t="s">
        <v>521</v>
      </c>
      <c r="E32" s="24" t="s">
        <v>524</v>
      </c>
      <c r="F32" s="24" t="s">
        <v>496</v>
      </c>
    </row>
    <row r="33" ht="15.75" customHeight="1">
      <c r="A33" s="11" t="s">
        <v>221</v>
      </c>
      <c r="B33" s="9" t="s">
        <v>529</v>
      </c>
      <c r="C33" s="9" t="s">
        <v>530</v>
      </c>
      <c r="D33" s="9" t="s">
        <v>531</v>
      </c>
      <c r="E33" s="9" t="s">
        <v>533</v>
      </c>
      <c r="F33" s="9" t="s">
        <v>535</v>
      </c>
    </row>
    <row r="34" ht="15.75" customHeight="1">
      <c r="A34" s="25" t="s">
        <v>234</v>
      </c>
      <c r="B34" s="24" t="s">
        <v>538</v>
      </c>
      <c r="C34" s="24" t="s">
        <v>540</v>
      </c>
      <c r="D34" s="24" t="s">
        <v>542</v>
      </c>
      <c r="E34" s="24" t="s">
        <v>543</v>
      </c>
      <c r="F34" s="24" t="s">
        <v>544</v>
      </c>
    </row>
    <row r="35" ht="15.75" customHeight="1">
      <c r="A35" s="11" t="s">
        <v>243</v>
      </c>
      <c r="B35" s="9" t="s">
        <v>548</v>
      </c>
      <c r="C35" s="9" t="s">
        <v>550</v>
      </c>
      <c r="D35" s="9" t="s">
        <v>552</v>
      </c>
      <c r="E35" s="9" t="s">
        <v>554</v>
      </c>
      <c r="F35" s="9" t="s">
        <v>556</v>
      </c>
    </row>
    <row r="36" ht="15.75" customHeight="1">
      <c r="A36" s="25" t="s">
        <v>255</v>
      </c>
      <c r="B36" s="24" t="s">
        <v>560</v>
      </c>
      <c r="C36" s="24" t="s">
        <v>561</v>
      </c>
      <c r="D36" s="24" t="s">
        <v>563</v>
      </c>
      <c r="E36" s="24" t="s">
        <v>566</v>
      </c>
      <c r="F36" s="24" t="s">
        <v>567</v>
      </c>
    </row>
    <row r="37" ht="15.75" customHeight="1">
      <c r="A37" s="11" t="s">
        <v>301</v>
      </c>
      <c r="B37" s="9" t="s">
        <v>576</v>
      </c>
      <c r="C37" s="9" t="s">
        <v>580</v>
      </c>
      <c r="D37" s="9" t="s">
        <v>583</v>
      </c>
      <c r="E37" s="9" t="s">
        <v>566</v>
      </c>
      <c r="F37" s="9" t="s">
        <v>567</v>
      </c>
    </row>
    <row r="38" ht="15.75" customHeight="1">
      <c r="A38" s="25" t="s">
        <v>380</v>
      </c>
      <c r="B38" s="24" t="s">
        <v>592</v>
      </c>
      <c r="C38" s="24" t="s">
        <v>596</v>
      </c>
      <c r="D38" s="24" t="s">
        <v>597</v>
      </c>
      <c r="E38" s="24" t="s">
        <v>566</v>
      </c>
      <c r="F38" s="24" t="s">
        <v>567</v>
      </c>
    </row>
    <row r="39" ht="15.75" customHeight="1">
      <c r="A39" s="11" t="s">
        <v>403</v>
      </c>
      <c r="B39" s="9" t="s">
        <v>602</v>
      </c>
      <c r="C39" s="9" t="s">
        <v>604</v>
      </c>
      <c r="D39" s="9" t="s">
        <v>606</v>
      </c>
      <c r="E39" s="9" t="s">
        <v>607</v>
      </c>
      <c r="F39" s="9" t="s">
        <v>611</v>
      </c>
    </row>
    <row r="40" ht="15.75" customHeight="1">
      <c r="A40" s="25" t="s">
        <v>422</v>
      </c>
      <c r="B40" s="24" t="s">
        <v>613</v>
      </c>
      <c r="C40" s="24" t="s">
        <v>614</v>
      </c>
      <c r="D40" s="24" t="s">
        <v>616</v>
      </c>
      <c r="E40" s="24" t="s">
        <v>619</v>
      </c>
      <c r="F40" s="24" t="s">
        <v>620</v>
      </c>
    </row>
    <row r="41" ht="15.75" customHeight="1">
      <c r="A41" s="11" t="s">
        <v>430</v>
      </c>
      <c r="B41" s="9" t="s">
        <v>625</v>
      </c>
      <c r="C41" s="9" t="s">
        <v>627</v>
      </c>
      <c r="D41" s="9" t="s">
        <v>629</v>
      </c>
      <c r="E41" s="9" t="s">
        <v>632</v>
      </c>
      <c r="F41" s="9" t="s">
        <v>635</v>
      </c>
    </row>
    <row r="42" ht="15.75" customHeight="1">
      <c r="A42" s="25" t="s">
        <v>445</v>
      </c>
      <c r="B42" s="24" t="s">
        <v>641</v>
      </c>
      <c r="C42" s="24" t="s">
        <v>643</v>
      </c>
      <c r="D42" s="24" t="s">
        <v>646</v>
      </c>
      <c r="E42" s="24" t="s">
        <v>649</v>
      </c>
      <c r="F42" s="24" t="s">
        <v>651</v>
      </c>
    </row>
    <row r="43" ht="15.75" customHeight="1">
      <c r="A43" s="11" t="s">
        <v>454</v>
      </c>
      <c r="B43" s="9" t="s">
        <v>657</v>
      </c>
      <c r="C43" s="9" t="s">
        <v>660</v>
      </c>
      <c r="D43" s="9" t="s">
        <v>664</v>
      </c>
      <c r="E43" s="9" t="s">
        <v>665</v>
      </c>
      <c r="F43" s="9" t="s">
        <v>635</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I1"/>
    <mergeCell ref="A2:I2"/>
    <mergeCell ref="A25:I25"/>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7.0" ySplit="3.0" topLeftCell="H4" activePane="bottomRight" state="frozen"/>
      <selection activeCell="H1" sqref="H1" pane="topRight"/>
      <selection activeCell="A4" sqref="A4" pane="bottomLeft"/>
      <selection activeCell="H4" sqref="H4" pane="bottomRight"/>
    </sheetView>
  </sheetViews>
  <sheetFormatPr customHeight="1" defaultColWidth="14.43" defaultRowHeight="15.0"/>
  <cols>
    <col customWidth="1" min="1" max="1" width="10.0"/>
    <col customWidth="1" min="2" max="2" width="14.0"/>
    <col customWidth="1" min="3" max="4" width="20.0"/>
    <col customWidth="1" min="5" max="5" width="24.0"/>
    <col customWidth="1" min="6" max="6" width="6.0"/>
    <col customWidth="1" min="7" max="7" width="12.0"/>
    <col customWidth="1" min="8" max="8" width="46.0"/>
    <col customWidth="1" min="9" max="9" width="26.0"/>
    <col customWidth="1" min="10" max="10" width="44.0"/>
    <col customWidth="1" min="11" max="11" width="20.0"/>
    <col customWidth="1" min="12" max="12" width="26.0"/>
    <col customWidth="1" min="13" max="13" width="34.0"/>
    <col customWidth="1" min="14" max="14" width="52.0"/>
    <col customWidth="1" min="15" max="15" width="46.0"/>
    <col customWidth="1" min="16" max="16" width="13.0"/>
    <col customWidth="1" min="17" max="18" width="11.0"/>
    <col customWidth="1" min="19" max="19" width="8.0"/>
    <col customWidth="1" min="20" max="20" width="9.0"/>
    <col customWidth="1" min="21" max="21" width="20.0"/>
    <col customWidth="1" min="22" max="22" width="13.0"/>
    <col customWidth="1" min="23" max="23" width="20.0"/>
    <col customWidth="1" min="24" max="24" width="40.0"/>
    <col customWidth="1" min="25" max="25" width="54.0"/>
    <col customWidth="1" min="26" max="26" width="56.0"/>
    <col customWidth="1" min="27" max="27" width="12.0"/>
    <col customWidth="1" min="28" max="28" width="66.0"/>
    <col customWidth="1" min="29" max="29" width="12.0"/>
    <col customWidth="1" min="30" max="31" width="46.0"/>
    <col customWidth="1" min="32" max="32" width="48.0"/>
    <col customWidth="1" min="33" max="33" width="50.0"/>
    <col customWidth="1" min="34" max="34" width="72.0"/>
    <col customWidth="1" min="35" max="35" width="48.0"/>
    <col customWidth="1" min="36" max="36" width="62.0"/>
    <col customWidth="1" min="37" max="37" width="64.0"/>
    <col customWidth="1" min="38" max="39" width="46.0"/>
    <col customWidth="1" min="40" max="40" width="10.0"/>
    <col customWidth="1" min="41" max="41" width="9.0"/>
    <col customWidth="1" min="42" max="42" width="10.0"/>
    <col customWidth="1" min="43" max="43" width="9.0"/>
    <col customWidth="1" min="44" max="44" width="40.0"/>
    <col customWidth="1" min="45" max="45" width="54.0"/>
    <col customWidth="1" min="46" max="46" width="14.0"/>
    <col customWidth="1" min="47" max="47" width="13.0"/>
  </cols>
  <sheetData>
    <row r="1" ht="31.5" customHeight="1">
      <c r="A1" s="1" t="s">
        <v>0</v>
      </c>
      <c r="B1" s="2"/>
      <c r="C1" s="2"/>
      <c r="D1" s="2"/>
      <c r="E1" s="2"/>
      <c r="F1" s="2"/>
      <c r="G1" s="2"/>
      <c r="H1" s="2"/>
      <c r="I1" s="2"/>
      <c r="J1" s="2"/>
      <c r="K1" s="2"/>
      <c r="L1" s="2"/>
      <c r="M1" s="2"/>
      <c r="N1" s="3"/>
    </row>
    <row r="2" ht="19.5" customHeight="1">
      <c r="A2" s="4" t="s">
        <v>5</v>
      </c>
      <c r="B2" s="2"/>
      <c r="C2" s="2"/>
      <c r="D2" s="2"/>
      <c r="E2" s="2"/>
      <c r="F2" s="2"/>
      <c r="G2" s="2"/>
      <c r="H2" s="2"/>
      <c r="I2" s="2"/>
      <c r="J2" s="2"/>
      <c r="K2" s="2"/>
      <c r="L2" s="2"/>
      <c r="M2" s="2"/>
      <c r="N2" s="3"/>
    </row>
    <row r="3" ht="51.75" customHeight="1">
      <c r="A3" s="6" t="s">
        <v>8</v>
      </c>
      <c r="B3" s="6" t="s">
        <v>12</v>
      </c>
      <c r="C3" s="6" t="s">
        <v>13</v>
      </c>
      <c r="D3" s="6" t="s">
        <v>14</v>
      </c>
      <c r="E3" s="6" t="s">
        <v>15</v>
      </c>
      <c r="F3" s="6" t="s">
        <v>16</v>
      </c>
      <c r="G3" s="6" t="s">
        <v>17</v>
      </c>
      <c r="H3" s="6" t="s">
        <v>18</v>
      </c>
      <c r="I3" s="6" t="s">
        <v>19</v>
      </c>
      <c r="J3" s="6" t="s">
        <v>20</v>
      </c>
      <c r="K3" s="6" t="s">
        <v>21</v>
      </c>
      <c r="L3" s="6" t="s">
        <v>22</v>
      </c>
      <c r="M3" s="6" t="s">
        <v>23</v>
      </c>
      <c r="N3" s="6" t="s">
        <v>24</v>
      </c>
      <c r="O3" s="6" t="s">
        <v>27</v>
      </c>
      <c r="P3" s="6" t="s">
        <v>28</v>
      </c>
      <c r="Q3" s="6" t="s">
        <v>30</v>
      </c>
      <c r="R3" s="6" t="s">
        <v>31</v>
      </c>
      <c r="S3" s="6" t="s">
        <v>35</v>
      </c>
      <c r="T3" s="6" t="s">
        <v>37</v>
      </c>
      <c r="U3" s="6" t="s">
        <v>40</v>
      </c>
      <c r="V3" s="6" t="s">
        <v>43</v>
      </c>
      <c r="W3" s="6" t="s">
        <v>44</v>
      </c>
      <c r="X3" s="6" t="s">
        <v>46</v>
      </c>
      <c r="Y3" s="6" t="s">
        <v>48</v>
      </c>
      <c r="Z3" s="6" t="s">
        <v>51</v>
      </c>
      <c r="AA3" s="6" t="s">
        <v>53</v>
      </c>
      <c r="AB3" s="6" t="s">
        <v>55</v>
      </c>
      <c r="AC3" s="6" t="s">
        <v>57</v>
      </c>
      <c r="AD3" s="6" t="s">
        <v>58</v>
      </c>
      <c r="AE3" s="6" t="s">
        <v>59</v>
      </c>
      <c r="AF3" s="6" t="s">
        <v>61</v>
      </c>
      <c r="AG3" s="6" t="s">
        <v>63</v>
      </c>
      <c r="AH3" s="6" t="s">
        <v>65</v>
      </c>
      <c r="AI3" s="6" t="s">
        <v>66</v>
      </c>
      <c r="AJ3" s="6" t="s">
        <v>68</v>
      </c>
      <c r="AK3" s="6" t="s">
        <v>69</v>
      </c>
      <c r="AL3" s="6" t="s">
        <v>71</v>
      </c>
      <c r="AM3" s="6" t="s">
        <v>72</v>
      </c>
      <c r="AN3" s="6" t="s">
        <v>73</v>
      </c>
      <c r="AO3" s="6" t="s">
        <v>74</v>
      </c>
      <c r="AP3" s="6" t="s">
        <v>75</v>
      </c>
      <c r="AQ3" s="6" t="s">
        <v>77</v>
      </c>
      <c r="AR3" s="6" t="s">
        <v>78</v>
      </c>
      <c r="AS3" s="6" t="s">
        <v>79</v>
      </c>
      <c r="AT3" s="6" t="s">
        <v>80</v>
      </c>
      <c r="AU3" s="6" t="s">
        <v>81</v>
      </c>
    </row>
    <row r="4">
      <c r="A4" s="15" t="s">
        <v>82</v>
      </c>
      <c r="B4" s="15" t="s">
        <v>60</v>
      </c>
      <c r="C4" s="15" t="s">
        <v>85</v>
      </c>
      <c r="D4" s="15" t="s">
        <v>86</v>
      </c>
      <c r="E4" s="15" t="s">
        <v>86</v>
      </c>
      <c r="F4" s="16" t="s">
        <v>87</v>
      </c>
      <c r="G4" s="17" t="s">
        <v>88</v>
      </c>
      <c r="H4" s="18" t="s">
        <v>91</v>
      </c>
      <c r="I4" s="18" t="s">
        <v>92</v>
      </c>
      <c r="J4" s="18" t="s">
        <v>93</v>
      </c>
      <c r="K4" s="18" t="s">
        <v>94</v>
      </c>
      <c r="L4" s="18" t="s">
        <v>95</v>
      </c>
      <c r="M4" s="18" t="s">
        <v>96</v>
      </c>
      <c r="N4" s="18" t="s">
        <v>97</v>
      </c>
      <c r="O4" s="18" t="s">
        <v>98</v>
      </c>
      <c r="P4" s="15" t="str">
        <f t="shared" ref="P4:P1835" si="1">IF($K4="VERIFY","VERIFY",IF(ISNUMBER(SEARCH("semicon",$K4)),"SEMI",IF(ISNUMBER(SEARCH("electronic",$K4)),"SEMI",IF(ISNUMBER(SEARCH("biotech",$K4)),"BIOTECH",IF(ISNUMBER(SEARCH("pharma",$K4)),"PHARMA",IF(ISNUMBER(SEARCH("medical",$K4)),"PHARMA",IF(ISNUMBER(SEARCH("dairy",$K4)),"DAIRY",IF(ISNUMBER(SEARCH("brewery",$K4)),"BREWERY",IF(ISNUMBER(SEARCH("food",$K4)),"FOOD",IF(ISNUMBER(SEARCH("personal care",$K4)),"FOOD",IF(ISNUMBER(SEARCH("chemical",$K4)),"CHEM",IF(ISNUMBER(SEARCH("refining",$K4)),"CHEM",IF(ISNUMBER(SEARCH("petrochem",$K4)),"CHEM",IF(ISNUMBER(SEARCH("fertilis",$K4)),"CHEM",IF(ISNUMBER(SEARCH("water",$K4)),"CHEM","GENERAL")))))))))))))))</f>
        <v>FOOD</v>
      </c>
      <c r="Q4" s="15">
        <f t="shared" ref="Q4:Q1835" si="2">MOD(ROW()-4,8)+1</f>
        <v>1</v>
      </c>
      <c r="R4" s="15">
        <f t="shared" ref="R4:R1835" si="3">MOD(ROW()-4,7)+1</f>
        <v>1</v>
      </c>
      <c r="S4" s="15">
        <f t="shared" ref="S4:S1835" si="4">MOD(ROW()-4,5)+1</f>
        <v>1</v>
      </c>
      <c r="T4" s="15" t="str">
        <f t="shared" ref="T4:T1835" si="5">$F4&amp;"-"&amp;(MOD(ROW()-4,6)+1)</f>
        <v>A-1</v>
      </c>
      <c r="U4" s="15" t="str">
        <f t="shared" ref="U4:U1835" si="6">"T"&amp;$Q4&amp;"-M"&amp;$R4&amp;"-H"&amp;$S4&amp;"-F"&amp;$T4&amp;"-"&amp;$P4</f>
        <v>T1-M1-H1-FA-1-FOOD</v>
      </c>
      <c r="V4" s="15">
        <f t="shared" ref="V4:V1835" si="7">COUNTIF($U$4:$U$1835,$U4)-1</f>
        <v>0</v>
      </c>
      <c r="W4" s="31"/>
      <c r="X4" s="15" t="str">
        <f t="shared" ref="X4:X1835" si="8">IF($W4&lt;&gt;"",$W4,IF($B4="India",LOWER(SUBSTITUTE(SUBSTITUTE($D4," ","-"),".","")),LOWER(SUBSTITUTE(SUBSTITUTE($D4," ","-"),".",""))&amp;"-"&amp;LOWER(SUBSTITUTE($B4," ","-"))))</f>
        <v>agra</v>
      </c>
      <c r="Y4" s="32" t="str">
        <f t="shared" ref="Y4:Y1835" si="9">"https://steelmanufacturer.in/market-area/electropolished-pipes-manufacturer-in-"&amp;$X4&amp;"/"</f>
        <v>https://steelmanufacturer.in/market-area/electropolished-pipes-manufacturer-in-agra/</v>
      </c>
      <c r="Z4" s="15" t="str">
        <f t="shared" ref="Z4:Z1835" si="10">IF($AR4&lt;&gt;"",$AR4,IF(LEN("Electropolished Pipes Manufacturer in "&amp;$E4&amp;CHOOSE($Q4," | Sakshi Forge"," - ASTM A270 &amp; ASME BPE"," | EP Tube Supplier"," - SS 304/316L EP Tube"," | Sanitary Tube Supply"," - Mill Certified Supply"," | ASME BPE SF1-SF4"," - EP Tube Stockist"))&lt;=65,"Electropolished Pipes Manufacturer in "&amp;$E4&amp;CHOOSE($Q4," | Sakshi Forge"," - ASTM A270 &amp; ASME BPE"," | EP Tube Supplier"," - SS 304/316L EP Tube"," | Sanitary Tube Supply"," - Mill Certified Supply"," | ASME BPE SF1-SF4"," - EP Tube Stockist"),"Electropolished Pipes Manufacturer in "&amp;$E4))</f>
        <v>Electropolished Pipes Manufacturer in Agra | Sakshi Forge</v>
      </c>
      <c r="AA4" s="15" t="str">
        <f t="shared" ref="AA4:AA1835" si="11">IF(LEN($Z4)&gt;65,"TRIM ("&amp;LEN($Z4)&amp;")",IF(LEN($Z4)&lt;35,"SHORT ("&amp;LEN($Z4)&amp;")","OK ("&amp;LEN($Z4)&amp;")"))</f>
        <v>OK (57)</v>
      </c>
      <c r="AB4" s="15" t="str">
        <f t="shared" ref="AB4:AB1835" si="12">IF($AS4&lt;&gt;"",$AS4,CHOOSE($R4,"EP-finished SS 304/316L pipes &amp; tubes for "&amp;$K4&amp;" plants in "&amp;$E4&amp;". ASTM A270, ASME BPE SF1-SF4, EN 10204 3.1 MTC. PMI tested.","Electropolished tube supply to "&amp;$I4&amp;", "&amp;$E4&amp;". Ra from 0.25 um, SF4 finish, mill test certificate with every lot.","EP stainless tube for "&amp;$K4&amp;" lines in "&amp;$E4&amp;". "&amp;$M4&amp;". ASTM A270 S2, PMI tested, EN 10204 3.1.","Sanitary electropolished pipes in "&amp;$E4&amp;" for "&amp;$K4&amp;" plants. ASME BPE SF1-SF4, orbital-weld ready, 3.1 MTC. Mumbai-made.","Manufacturer of electropolished SS 316L tube serving "&amp;$E4&amp;". "&amp;$M4&amp;". Ra 0.25-0.5 um, EN 10204 3.1 MTC.",IF(LEN("EP tube and pipe for "&amp;$K4&amp;" plants around "&amp;$I4&amp;", "&amp;$E4&amp;". Made at our Mumbai works to ASTM A270 and ASME BPE SF1-SF4, with 3.1 MTC.")&lt;=160,"EP tube and pipe for "&amp;$K4&amp;" plants around "&amp;$I4&amp;", "&amp;$E4&amp;". Made at our Mumbai works to ASTM A270 and ASME BPE SF1-SF4, with 3.1 MTC.","EP tube and pipe for "&amp;$K4&amp;" plants around "&amp;$I4&amp;", "&amp;$E4&amp;". ASTM A270, ASME BPE SF1-SF4, EN 10204 3.1 MTC."),"Electropolished pipes in "&amp;$E4&amp;": 304, 304L, 316 and 316L in SF1-SF4. "&amp;$M4&amp;". Mill certified."))</f>
        <v>EP-finished SS 304/316L pipes &amp; tubes for food processing plants in Agra. ASTM A270, ASME BPE SF1-SF4, EN 10204 3.1 MTC. PMI tested.</v>
      </c>
      <c r="AC4" s="15" t="str">
        <f t="shared" ref="AC4:AC1835" si="13">IF($G4="VERIFY","PENDING RESEARCH",IF(LEN($AB4)&gt;160,"TRIM ("&amp;LEN($AB4)&amp;")",IF(LEN($AB4)&lt;110,"SHORT ("&amp;LEN($AB4)&amp;")","OK ("&amp;LEN($AB4)&amp;")")))</f>
        <v>OK (132)</v>
      </c>
      <c r="AD4" s="15" t="str">
        <f t="shared" ref="AD4:AD1835" si="14">"Electropolished Pipes Manufacturer in "&amp;$E4</f>
        <v>Electropolished Pipes Manufacturer in Agra</v>
      </c>
      <c r="AE4" s="15" t="str">
        <f t="shared" ref="AE4:AE1835" si="15">CHOOSE($S4,"Electropolished Pipe &amp; Tube Manufacturing for "&amp;$E4&amp;" - Grades, Finishes &amp; Certification","How We Manufacture Electropolished Tube for "&amp;$E4&amp;" Plants","Electropolished Pipes Manufacturer in "&amp;$E4&amp;" - Our Process &amp; Capability","Manufacturing Electropolished SS Tube for "&amp;$E4&amp;": The Standards We Build To","Electropolished Tube Manufacturing Capability Serving "&amp;$E4)</f>
        <v>Electropolished Pipe &amp; Tube Manufacturing for Agra - Grades, Finishes &amp; Certification</v>
      </c>
      <c r="AF4" s="15" t="str">
        <f t="shared" ref="AF4:AF1835" si="16">CHOOSE($S4,"Electropolished Pipes Supplier in "&amp;$E4&amp;" - Stock Sizes, Lead Time &amp; Delivery","Supplying Electropolished Pipes in "&amp;$E4&amp;": Availability, Sizes &amp; Dispatch","Electropolished Pipes Supplier in "&amp;$E4&amp;" - What We Hold in Stock","Electropolished Pipe Supply Into "&amp;$E4&amp;" - Certification &amp; Transit","Electropolished Pipes Supplier in "&amp;$E4&amp;" - From Order to Delivery")</f>
        <v>Electropolished Pipes Supplier in Agra - Stock Sizes, Lead Time &amp; Delivery</v>
      </c>
      <c r="AG4" s="15" t="str">
        <f t="shared" ref="AG4:AG1835" si="17">CHOOSE($S4,"Electropolished Pipes Wholesaler &amp; Stockist in "&amp;$E4&amp;" - Bulk &amp; Project Pricing","Wholesale Electropolished Pipe Supply for "&amp;$E4&amp;" Projects","Bulk &amp; Wholesale Electropolished Pipe Rates for "&amp;$E4&amp;" Buyers","Electropolished Pipes Wholesaler in "&amp;$E4&amp;" - Project Quantities &amp; Terms","Stockist &amp; Wholesale Supply of Electropolished Pipes in "&amp;$E4)</f>
        <v>Electropolished Pipes Wholesaler &amp; Stockist in Agra - Bulk &amp; Project Pricing</v>
      </c>
      <c r="AH4" s="15" t="str">
        <f t="shared" ref="AH4:AH1835" si="18">"electropolished pipes manufacturer in "&amp;$D4&amp;", electropolished pipes supplier in "&amp;$D4&amp;", electropolished pipes wholesaler in "&amp;$D4&amp;", electropolished tube manufacturer "&amp;$D4&amp;", EP pipe supplier "&amp;$D4&amp;", sanitary tube supplier "&amp;$D4&amp;", ASME BPE tubing "&amp;$D4&amp;", ASTM A270 tube "&amp;$D4&amp;", SS 316L electropolished pipe "&amp;$D4</f>
        <v>electropolished pipes manufacturer in Agra, electropolished pipes supplier in Agra, electropolished pipes wholesaler in Agra, electropolished tube manufacturer Agra, EP pipe supplier Agra, sanitary tube supplier Agra, ASME BPE tubing Agra, ASTM A270 tube Agra, SS 316L electropolished pipe Agra</v>
      </c>
      <c r="AI4" s="15" t="str">
        <f t="shared" ref="AI4:AI1835" si="19">"Electropolished Pipes Manufacturer &amp; Supplier in "&amp;$E4</f>
        <v>Electropolished Pipes Manufacturer &amp; Supplier in Agra</v>
      </c>
      <c r="AJ4" s="15" t="str">
        <f t="shared" ref="AJ4:AJ1835" si="20">"EP-finished SS 304/316L pipes and tubes for "&amp;$K4&amp;" plants in "&amp;$E4&amp;". ASME BPE SF1-SF4, Ra from 0.25 um, EN 10204 3.1 certificate with every lot."</f>
        <v>EP-finished SS 304/316L pipes and tubes for food processing plants in Agra. ASME BPE SF1-SF4, Ra from 0.25 um, EN 10204 3.1 certificate with every lot.</v>
      </c>
      <c r="AK4" s="15" t="str">
        <f t="shared" ref="AK4:AK1835" si="21">"Electropolished stainless steel pipes supplied by Sakshi Forge to "&amp;$K4&amp;" plants at "&amp;$I4&amp;", "&amp;$E4</f>
        <v>Electropolished stainless steel pipes supplied by Sakshi Forge to food processing plants at Sikandra Industrial Area, Agra</v>
      </c>
      <c r="AL4" s="15" t="str">
        <f t="shared" ref="AL4:AL1835" si="22">"Electropolished SS 316L tube stock for "&amp;$E4&amp;" - Sakshi Forge"</f>
        <v>Electropolished SS 316L tube stock for Agra - Sakshi Forge</v>
      </c>
      <c r="AM4" s="15" t="str">
        <f t="shared" ref="AM4:AM1835" si="23">"Home &gt; Market Area &gt; "&amp;$B4&amp;" &gt; "&amp;$C4&amp;" &gt; "&amp;$D4</f>
        <v>Home &gt; Market Area &gt; India &gt; Uttar Pradesh &gt; Agra</v>
      </c>
      <c r="AN4" s="15">
        <f t="shared" ref="AN4:AN1835" si="24">IF($F4="A",1400,IF($F4="B",1000,750))</f>
        <v>1400</v>
      </c>
      <c r="AO4" s="15">
        <f t="shared" ref="AO4:AO1835" si="25">IF($F4="A",10,IF($F4="B",8,6))</f>
        <v>10</v>
      </c>
      <c r="AP4" s="15">
        <f t="shared" ref="AP4:AP1835" si="26">IF($F4="A",12,IF($F4="B",8,6))</f>
        <v>12</v>
      </c>
      <c r="AQ4" s="15">
        <f t="shared" ref="AQ4:AQ1835" si="27">ROUNDUP((ROW()-3)/60,0)</f>
        <v>1</v>
      </c>
      <c r="AR4" s="31"/>
      <c r="AS4" s="31"/>
      <c r="AT4" s="35" t="s">
        <v>222</v>
      </c>
      <c r="AU4" s="35"/>
    </row>
    <row r="5">
      <c r="A5" s="15" t="s">
        <v>223</v>
      </c>
      <c r="B5" s="15" t="s">
        <v>60</v>
      </c>
      <c r="C5" s="15" t="s">
        <v>224</v>
      </c>
      <c r="D5" s="15" t="s">
        <v>225</v>
      </c>
      <c r="E5" s="15" t="s">
        <v>225</v>
      </c>
      <c r="F5" s="16" t="s">
        <v>87</v>
      </c>
      <c r="G5" s="17" t="s">
        <v>88</v>
      </c>
      <c r="H5" s="18" t="s">
        <v>226</v>
      </c>
      <c r="I5" s="18" t="s">
        <v>227</v>
      </c>
      <c r="J5" s="18" t="s">
        <v>228</v>
      </c>
      <c r="K5" s="18" t="s">
        <v>229</v>
      </c>
      <c r="L5" s="18" t="s">
        <v>230</v>
      </c>
      <c r="M5" s="18" t="s">
        <v>231</v>
      </c>
      <c r="N5" s="18" t="s">
        <v>232</v>
      </c>
      <c r="O5" s="18" t="s">
        <v>98</v>
      </c>
      <c r="P5" s="15" t="str">
        <f t="shared" si="1"/>
        <v>PHARMA</v>
      </c>
      <c r="Q5" s="15">
        <f t="shared" si="2"/>
        <v>2</v>
      </c>
      <c r="R5" s="15">
        <f t="shared" si="3"/>
        <v>2</v>
      </c>
      <c r="S5" s="15">
        <f t="shared" si="4"/>
        <v>2</v>
      </c>
      <c r="T5" s="15" t="str">
        <f t="shared" si="5"/>
        <v>A-2</v>
      </c>
      <c r="U5" s="15" t="str">
        <f t="shared" si="6"/>
        <v>T2-M2-H2-FA-2-PHARMA</v>
      </c>
      <c r="V5" s="15">
        <f t="shared" si="7"/>
        <v>0</v>
      </c>
      <c r="W5" s="31"/>
      <c r="X5" s="15" t="str">
        <f t="shared" si="8"/>
        <v>ahmedabad</v>
      </c>
      <c r="Y5" s="32" t="str">
        <f t="shared" si="9"/>
        <v>https://steelmanufacturer.in/market-area/electropolished-pipes-manufacturer-in-ahmedabad/</v>
      </c>
      <c r="Z5" s="15" t="str">
        <f t="shared" si="10"/>
        <v>Electropolished Pipes Manufacturer in Ahmedabad</v>
      </c>
      <c r="AA5" s="15" t="str">
        <f t="shared" si="11"/>
        <v>OK (47)</v>
      </c>
      <c r="AB5" s="15" t="str">
        <f t="shared" si="12"/>
        <v>Electropolished tube supply to Odhav GIDC, Ahmedabad. Ra from 0.25 um, SF4 finish, mill test certificate with every lot.</v>
      </c>
      <c r="AC5" s="15" t="str">
        <f t="shared" si="13"/>
        <v>OK (120)</v>
      </c>
      <c r="AD5" s="15" t="str">
        <f t="shared" si="14"/>
        <v>Electropolished Pipes Manufacturer in Ahmedabad</v>
      </c>
      <c r="AE5" s="15" t="str">
        <f t="shared" si="15"/>
        <v>How We Manufacture Electropolished Tube for Ahmedabad Plants</v>
      </c>
      <c r="AF5" s="15" t="str">
        <f t="shared" si="16"/>
        <v>Supplying Electropolished Pipes in Ahmedabad: Availability, Sizes &amp; Dispatch</v>
      </c>
      <c r="AG5" s="15" t="str">
        <f t="shared" si="17"/>
        <v>Wholesale Electropolished Pipe Supply for Ahmedabad Projects</v>
      </c>
      <c r="AH5" s="15" t="str">
        <f t="shared" si="18"/>
        <v>electropolished pipes manufacturer in Ahmedabad, electropolished pipes supplier in Ahmedabad, electropolished pipes wholesaler in Ahmedabad, electropolished tube manufacturer Ahmedabad, EP pipe supplier Ahmedabad, sanitary tube supplier Ahmedabad, ASME BPE tubing Ahmedabad, ASTM A270 tube Ahmedabad, SS 316L electropolished pipe Ahmedabad</v>
      </c>
      <c r="AI5" s="15" t="str">
        <f t="shared" si="19"/>
        <v>Electropolished Pipes Manufacturer &amp; Supplier in Ahmedabad</v>
      </c>
      <c r="AJ5" s="15" t="str">
        <f t="shared" si="20"/>
        <v>EP-finished SS 304/316L pipes and tubes for pharma plants in Ahmedabad. ASME BPE SF1-SF4, Ra from 0.25 um, EN 10204 3.1 certificate with every lot.</v>
      </c>
      <c r="AK5" s="15" t="str">
        <f t="shared" si="21"/>
        <v>Electropolished stainless steel pipes supplied by Sakshi Forge to pharma plants at Odhav GIDC, Ahmedabad</v>
      </c>
      <c r="AL5" s="15" t="str">
        <f t="shared" si="22"/>
        <v>Electropolished SS 316L tube stock for Ahmedabad - Sakshi Forge</v>
      </c>
      <c r="AM5" s="15" t="str">
        <f t="shared" si="23"/>
        <v>Home &gt; Market Area &gt; India &gt; Gujarat &gt; Ahmedabad</v>
      </c>
      <c r="AN5" s="15">
        <f t="shared" si="24"/>
        <v>1400</v>
      </c>
      <c r="AO5" s="15">
        <f t="shared" si="25"/>
        <v>10</v>
      </c>
      <c r="AP5" s="15">
        <f t="shared" si="26"/>
        <v>12</v>
      </c>
      <c r="AQ5" s="15">
        <f t="shared" si="27"/>
        <v>1</v>
      </c>
      <c r="AR5" s="31"/>
      <c r="AS5" s="31"/>
      <c r="AT5" s="35" t="s">
        <v>222</v>
      </c>
      <c r="AU5" s="35"/>
    </row>
    <row r="6">
      <c r="A6" s="15" t="s">
        <v>235</v>
      </c>
      <c r="B6" s="15" t="s">
        <v>60</v>
      </c>
      <c r="C6" s="15" t="s">
        <v>236</v>
      </c>
      <c r="D6" s="15" t="s">
        <v>237</v>
      </c>
      <c r="E6" s="15" t="s">
        <v>237</v>
      </c>
      <c r="F6" s="16" t="s">
        <v>87</v>
      </c>
      <c r="G6" s="17" t="s">
        <v>88</v>
      </c>
      <c r="H6" s="18" t="s">
        <v>238</v>
      </c>
      <c r="I6" s="18" t="s">
        <v>239</v>
      </c>
      <c r="J6" s="18" t="s">
        <v>240</v>
      </c>
      <c r="K6" s="18" t="s">
        <v>94</v>
      </c>
      <c r="L6" s="18" t="s">
        <v>241</v>
      </c>
      <c r="M6" s="18" t="s">
        <v>96</v>
      </c>
      <c r="N6" s="18" t="s">
        <v>97</v>
      </c>
      <c r="O6" s="18" t="s">
        <v>98</v>
      </c>
      <c r="P6" s="15" t="str">
        <f t="shared" si="1"/>
        <v>FOOD</v>
      </c>
      <c r="Q6" s="15">
        <f t="shared" si="2"/>
        <v>3</v>
      </c>
      <c r="R6" s="15">
        <f t="shared" si="3"/>
        <v>3</v>
      </c>
      <c r="S6" s="15">
        <f t="shared" si="4"/>
        <v>3</v>
      </c>
      <c r="T6" s="15" t="str">
        <f t="shared" si="5"/>
        <v>A-3</v>
      </c>
      <c r="U6" s="15" t="str">
        <f t="shared" si="6"/>
        <v>T3-M3-H3-FA-3-FOOD</v>
      </c>
      <c r="V6" s="15">
        <f t="shared" si="7"/>
        <v>0</v>
      </c>
      <c r="W6" s="31"/>
      <c r="X6" s="15" t="str">
        <f t="shared" si="8"/>
        <v>alwar</v>
      </c>
      <c r="Y6" s="32" t="str">
        <f t="shared" si="9"/>
        <v>https://steelmanufacturer.in/market-area/electropolished-pipes-manufacturer-in-alwar/</v>
      </c>
      <c r="Z6" s="15" t="str">
        <f t="shared" si="10"/>
        <v>Electropolished Pipes Manufacturer in Alwar | EP Tube Supplier</v>
      </c>
      <c r="AA6" s="15" t="str">
        <f t="shared" si="11"/>
        <v>OK (62)</v>
      </c>
      <c r="AB6" s="15" t="str">
        <f t="shared" si="12"/>
        <v>EP stainless tube for food processing lines in Alwar. 1-2 day road transit from our Mumbai works. ASTM A270 S2, PMI tested, EN 10204 3.1.</v>
      </c>
      <c r="AC6" s="15" t="str">
        <f t="shared" si="13"/>
        <v>OK (137)</v>
      </c>
      <c r="AD6" s="15" t="str">
        <f t="shared" si="14"/>
        <v>Electropolished Pipes Manufacturer in Alwar</v>
      </c>
      <c r="AE6" s="15" t="str">
        <f t="shared" si="15"/>
        <v>Electropolished Pipes Manufacturer in Alwar - Our Process &amp; Capability</v>
      </c>
      <c r="AF6" s="15" t="str">
        <f t="shared" si="16"/>
        <v>Electropolished Pipes Supplier in Alwar - What We Hold in Stock</v>
      </c>
      <c r="AG6" s="15" t="str">
        <f t="shared" si="17"/>
        <v>Bulk &amp; Wholesale Electropolished Pipe Rates for Alwar Buyers</v>
      </c>
      <c r="AH6" s="15" t="str">
        <f t="shared" si="18"/>
        <v>electropolished pipes manufacturer in Alwar, electropolished pipes supplier in Alwar, electropolished pipes wholesaler in Alwar, electropolished tube manufacturer Alwar, EP pipe supplier Alwar, sanitary tube supplier Alwar, ASME BPE tubing Alwar, ASTM A270 tube Alwar, SS 316L electropolished pipe Alwar</v>
      </c>
      <c r="AI6" s="15" t="str">
        <f t="shared" si="19"/>
        <v>Electropolished Pipes Manufacturer &amp; Supplier in Alwar</v>
      </c>
      <c r="AJ6" s="15" t="str">
        <f t="shared" si="20"/>
        <v>EP-finished SS 304/316L pipes and tubes for food processing plants in Alwar. ASME BPE SF1-SF4, Ra from 0.25 um, EN 10204 3.1 certificate with every lot.</v>
      </c>
      <c r="AK6" s="15" t="str">
        <f t="shared" si="21"/>
        <v>Electropolished stainless steel pipes supplied by Sakshi Forge to food processing plants at Alwar RIICO, Alwar</v>
      </c>
      <c r="AL6" s="15" t="str">
        <f t="shared" si="22"/>
        <v>Electropolished SS 316L tube stock for Alwar - Sakshi Forge</v>
      </c>
      <c r="AM6" s="15" t="str">
        <f t="shared" si="23"/>
        <v>Home &gt; Market Area &gt; India &gt; Rajasthan &gt; Alwar</v>
      </c>
      <c r="AN6" s="15">
        <f t="shared" si="24"/>
        <v>1400</v>
      </c>
      <c r="AO6" s="15">
        <f t="shared" si="25"/>
        <v>10</v>
      </c>
      <c r="AP6" s="15">
        <f t="shared" si="26"/>
        <v>12</v>
      </c>
      <c r="AQ6" s="15">
        <f t="shared" si="27"/>
        <v>1</v>
      </c>
      <c r="AR6" s="31"/>
      <c r="AS6" s="31"/>
      <c r="AT6" s="35" t="s">
        <v>222</v>
      </c>
      <c r="AU6" s="35"/>
    </row>
    <row r="7">
      <c r="A7" s="15" t="s">
        <v>244</v>
      </c>
      <c r="B7" s="15" t="s">
        <v>60</v>
      </c>
      <c r="C7" s="15" t="s">
        <v>245</v>
      </c>
      <c r="D7" s="15" t="s">
        <v>246</v>
      </c>
      <c r="E7" s="15" t="s">
        <v>246</v>
      </c>
      <c r="F7" s="16" t="s">
        <v>87</v>
      </c>
      <c r="G7" s="17" t="s">
        <v>88</v>
      </c>
      <c r="H7" s="18" t="s">
        <v>247</v>
      </c>
      <c r="I7" s="18" t="s">
        <v>248</v>
      </c>
      <c r="J7" s="18" t="s">
        <v>249</v>
      </c>
      <c r="K7" s="18" t="s">
        <v>250</v>
      </c>
      <c r="L7" s="18" t="s">
        <v>251</v>
      </c>
      <c r="M7" s="18" t="s">
        <v>96</v>
      </c>
      <c r="N7" s="18" t="s">
        <v>252</v>
      </c>
      <c r="O7" s="18" t="s">
        <v>98</v>
      </c>
      <c r="P7" s="15" t="str">
        <f t="shared" si="1"/>
        <v>GENERAL</v>
      </c>
      <c r="Q7" s="15">
        <f t="shared" si="2"/>
        <v>4</v>
      </c>
      <c r="R7" s="15">
        <f t="shared" si="3"/>
        <v>4</v>
      </c>
      <c r="S7" s="15">
        <f t="shared" si="4"/>
        <v>4</v>
      </c>
      <c r="T7" s="15" t="str">
        <f t="shared" si="5"/>
        <v>A-4</v>
      </c>
      <c r="U7" s="15" t="str">
        <f t="shared" si="6"/>
        <v>T4-M4-H4-FA-4-GENERAL</v>
      </c>
      <c r="V7" s="15">
        <f t="shared" si="7"/>
        <v>0</v>
      </c>
      <c r="W7" s="31"/>
      <c r="X7" s="15" t="str">
        <f t="shared" si="8"/>
        <v>ambala</v>
      </c>
      <c r="Y7" s="32" t="str">
        <f t="shared" si="9"/>
        <v>https://steelmanufacturer.in/market-area/electropolished-pipes-manufacturer-in-ambala/</v>
      </c>
      <c r="Z7" s="15" t="str">
        <f t="shared" si="10"/>
        <v>Electropolished Pipes Manufacturer in Ambala</v>
      </c>
      <c r="AA7" s="15" t="str">
        <f t="shared" si="11"/>
        <v>OK (44)</v>
      </c>
      <c r="AB7" s="15" t="str">
        <f t="shared" si="12"/>
        <v>Sanitary electropolished pipes in Ambala for engineering &amp; process plants. ASME BPE SF1-SF4, orbital-weld ready, 3.1 MTC. Mumbai-made.</v>
      </c>
      <c r="AC7" s="15" t="str">
        <f t="shared" si="13"/>
        <v>OK (134)</v>
      </c>
      <c r="AD7" s="15" t="str">
        <f t="shared" si="14"/>
        <v>Electropolished Pipes Manufacturer in Ambala</v>
      </c>
      <c r="AE7" s="15" t="str">
        <f t="shared" si="15"/>
        <v>Manufacturing Electropolished SS Tube for Ambala: The Standards We Build To</v>
      </c>
      <c r="AF7" s="15" t="str">
        <f t="shared" si="16"/>
        <v>Electropolished Pipe Supply Into Ambala - Certification &amp; Transit</v>
      </c>
      <c r="AG7" s="15" t="str">
        <f t="shared" si="17"/>
        <v>Electropolished Pipes Wholesaler in Ambala - Project Quantities &amp; Terms</v>
      </c>
      <c r="AH7" s="15" t="str">
        <f t="shared" si="18"/>
        <v>electropolished pipes manufacturer in Ambala, electropolished pipes supplier in Ambala, electropolished pipes wholesaler in Ambala, electropolished tube manufacturer Ambala, EP pipe supplier Ambala, sanitary tube supplier Ambala, ASME BPE tubing Ambala, ASTM A270 tube Ambala, SS 316L electropolished pipe Ambala</v>
      </c>
      <c r="AI7" s="15" t="str">
        <f t="shared" si="19"/>
        <v>Electropolished Pipes Manufacturer &amp; Supplier in Ambala</v>
      </c>
      <c r="AJ7" s="15" t="str">
        <f t="shared" si="20"/>
        <v>EP-finished SS 304/316L pipes and tubes for engineering &amp; process plants in Ambala. ASME BPE SF1-SF4, Ra from 0.25 um, EN 10204 3.1 certificate with every lot.</v>
      </c>
      <c r="AK7" s="15" t="str">
        <f t="shared" si="21"/>
        <v>Electropolished stainless steel pipes supplied by Sakshi Forge to engineering &amp; process plants at Ambala Industrial Area, Ambala</v>
      </c>
      <c r="AL7" s="15" t="str">
        <f t="shared" si="22"/>
        <v>Electropolished SS 316L tube stock for Ambala - Sakshi Forge</v>
      </c>
      <c r="AM7" s="15" t="str">
        <f t="shared" si="23"/>
        <v>Home &gt; Market Area &gt; India &gt; Haryana &gt; Ambala</v>
      </c>
      <c r="AN7" s="15">
        <f t="shared" si="24"/>
        <v>1400</v>
      </c>
      <c r="AO7" s="15">
        <f t="shared" si="25"/>
        <v>10</v>
      </c>
      <c r="AP7" s="15">
        <f t="shared" si="26"/>
        <v>12</v>
      </c>
      <c r="AQ7" s="15">
        <f t="shared" si="27"/>
        <v>1</v>
      </c>
      <c r="AR7" s="31"/>
      <c r="AS7" s="31"/>
      <c r="AT7" s="35" t="s">
        <v>222</v>
      </c>
      <c r="AU7" s="35"/>
    </row>
    <row r="8">
      <c r="A8" s="15" t="s">
        <v>263</v>
      </c>
      <c r="B8" s="15" t="s">
        <v>60</v>
      </c>
      <c r="C8" s="15" t="s">
        <v>264</v>
      </c>
      <c r="D8" s="15" t="s">
        <v>265</v>
      </c>
      <c r="E8" s="15" t="s">
        <v>265</v>
      </c>
      <c r="F8" s="16" t="s">
        <v>87</v>
      </c>
      <c r="G8" s="17" t="s">
        <v>88</v>
      </c>
      <c r="H8" s="18" t="s">
        <v>268</v>
      </c>
      <c r="I8" s="18" t="s">
        <v>269</v>
      </c>
      <c r="J8" s="18" t="s">
        <v>270</v>
      </c>
      <c r="K8" s="18" t="s">
        <v>271</v>
      </c>
      <c r="L8" s="18" t="s">
        <v>273</v>
      </c>
      <c r="M8" s="18" t="s">
        <v>276</v>
      </c>
      <c r="N8" s="18" t="s">
        <v>277</v>
      </c>
      <c r="O8" s="18" t="s">
        <v>98</v>
      </c>
      <c r="P8" s="15" t="str">
        <f t="shared" si="1"/>
        <v>CHEM</v>
      </c>
      <c r="Q8" s="15">
        <f t="shared" si="2"/>
        <v>5</v>
      </c>
      <c r="R8" s="15">
        <f t="shared" si="3"/>
        <v>5</v>
      </c>
      <c r="S8" s="15">
        <f t="shared" si="4"/>
        <v>5</v>
      </c>
      <c r="T8" s="15" t="str">
        <f t="shared" si="5"/>
        <v>A-5</v>
      </c>
      <c r="U8" s="15" t="str">
        <f t="shared" si="6"/>
        <v>T5-M5-H5-FA-5-CHEM</v>
      </c>
      <c r="V8" s="15">
        <f t="shared" si="7"/>
        <v>0</v>
      </c>
      <c r="W8" s="31"/>
      <c r="X8" s="15" t="str">
        <f t="shared" si="8"/>
        <v>ambernath</v>
      </c>
      <c r="Y8" s="32" t="str">
        <f t="shared" si="9"/>
        <v>https://steelmanufacturer.in/market-area/electropolished-pipes-manufacturer-in-ambernath/</v>
      </c>
      <c r="Z8" s="15" t="str">
        <f t="shared" si="10"/>
        <v>Electropolished Pipes Manufacturer in Ambernath</v>
      </c>
      <c r="AA8" s="15" t="str">
        <f t="shared" si="11"/>
        <v>OK (47)</v>
      </c>
      <c r="AB8" s="15" t="str">
        <f t="shared" si="12"/>
        <v>Manufacturer of electropolished SS 316L tube serving Ambernath. same-day to next-day road from our Mumbai works. Ra 0.25-0.5 um, EN 10204 3.1 MTC.</v>
      </c>
      <c r="AC8" s="15" t="str">
        <f t="shared" si="13"/>
        <v>OK (146)</v>
      </c>
      <c r="AD8" s="15" t="str">
        <f t="shared" si="14"/>
        <v>Electropolished Pipes Manufacturer in Ambernath</v>
      </c>
      <c r="AE8" s="15" t="str">
        <f t="shared" si="15"/>
        <v>Electropolished Tube Manufacturing Capability Serving Ambernath</v>
      </c>
      <c r="AF8" s="15" t="str">
        <f t="shared" si="16"/>
        <v>Electropolished Pipes Supplier in Ambernath - From Order to Delivery</v>
      </c>
      <c r="AG8" s="15" t="str">
        <f t="shared" si="17"/>
        <v>Stockist &amp; Wholesale Supply of Electropolished Pipes in Ambernath</v>
      </c>
      <c r="AH8" s="15" t="str">
        <f t="shared" si="18"/>
        <v>electropolished pipes manufacturer in Ambernath, electropolished pipes supplier in Ambernath, electropolished pipes wholesaler in Ambernath, electropolished tube manufacturer Ambernath, EP pipe supplier Ambernath, sanitary tube supplier Ambernath, ASME BPE tubing Ambernath, ASTM A270 tube Ambernath, SS 316L electropolished pipe Ambernath</v>
      </c>
      <c r="AI8" s="15" t="str">
        <f t="shared" si="19"/>
        <v>Electropolished Pipes Manufacturer &amp; Supplier in Ambernath</v>
      </c>
      <c r="AJ8" s="15" t="str">
        <f t="shared" si="20"/>
        <v>EP-finished SS 304/316L pipes and tubes for chemical plants in Ambernath. ASME BPE SF1-SF4, Ra from 0.25 um, EN 10204 3.1 certificate with every lot.</v>
      </c>
      <c r="AK8" s="15" t="str">
        <f t="shared" si="21"/>
        <v>Electropolished stainless steel pipes supplied by Sakshi Forge to chemical plants at Ambernath MIDC (Anand Nagar), Ambernath</v>
      </c>
      <c r="AL8" s="15" t="str">
        <f t="shared" si="22"/>
        <v>Electropolished SS 316L tube stock for Ambernath - Sakshi Forge</v>
      </c>
      <c r="AM8" s="15" t="str">
        <f t="shared" si="23"/>
        <v>Home &gt; Market Area &gt; India &gt; Maharashtra &gt; Ambernath</v>
      </c>
      <c r="AN8" s="15">
        <f t="shared" si="24"/>
        <v>1400</v>
      </c>
      <c r="AO8" s="15">
        <f t="shared" si="25"/>
        <v>10</v>
      </c>
      <c r="AP8" s="15">
        <f t="shared" si="26"/>
        <v>12</v>
      </c>
      <c r="AQ8" s="15">
        <f t="shared" si="27"/>
        <v>1</v>
      </c>
      <c r="AR8" s="31"/>
      <c r="AS8" s="31"/>
      <c r="AT8" s="35" t="s">
        <v>222</v>
      </c>
      <c r="AU8" s="35"/>
    </row>
    <row r="9">
      <c r="A9" s="15" t="s">
        <v>352</v>
      </c>
      <c r="B9" s="15" t="s">
        <v>60</v>
      </c>
      <c r="C9" s="15" t="s">
        <v>354</v>
      </c>
      <c r="D9" s="15" t="s">
        <v>356</v>
      </c>
      <c r="E9" s="15" t="s">
        <v>356</v>
      </c>
      <c r="F9" s="16" t="s">
        <v>87</v>
      </c>
      <c r="G9" s="17" t="s">
        <v>88</v>
      </c>
      <c r="H9" s="18" t="s">
        <v>358</v>
      </c>
      <c r="I9" s="18" t="s">
        <v>359</v>
      </c>
      <c r="J9" s="18" t="s">
        <v>361</v>
      </c>
      <c r="K9" s="18" t="s">
        <v>94</v>
      </c>
      <c r="L9" s="18" t="s">
        <v>362</v>
      </c>
      <c r="M9" s="18" t="s">
        <v>96</v>
      </c>
      <c r="N9" s="18" t="s">
        <v>97</v>
      </c>
      <c r="O9" s="18" t="s">
        <v>98</v>
      </c>
      <c r="P9" s="15" t="str">
        <f t="shared" si="1"/>
        <v>FOOD</v>
      </c>
      <c r="Q9" s="15">
        <f t="shared" si="2"/>
        <v>6</v>
      </c>
      <c r="R9" s="15">
        <f t="shared" si="3"/>
        <v>6</v>
      </c>
      <c r="S9" s="15">
        <f t="shared" si="4"/>
        <v>1</v>
      </c>
      <c r="T9" s="15" t="str">
        <f t="shared" si="5"/>
        <v>A-6</v>
      </c>
      <c r="U9" s="15" t="str">
        <f t="shared" si="6"/>
        <v>T6-M6-H1-FA-6-FOOD</v>
      </c>
      <c r="V9" s="15">
        <f t="shared" si="7"/>
        <v>0</v>
      </c>
      <c r="W9" s="31"/>
      <c r="X9" s="15" t="str">
        <f t="shared" si="8"/>
        <v>amritsar</v>
      </c>
      <c r="Y9" s="32" t="str">
        <f t="shared" si="9"/>
        <v>https://steelmanufacturer.in/market-area/electropolished-pipes-manufacturer-in-amritsar/</v>
      </c>
      <c r="Z9" s="15" t="str">
        <f t="shared" si="10"/>
        <v>Electropolished Pipes Manufacturer in Amritsar</v>
      </c>
      <c r="AA9" s="15" t="str">
        <f t="shared" si="11"/>
        <v>OK (46)</v>
      </c>
      <c r="AB9" s="15" t="str">
        <f t="shared" si="12"/>
        <v>EP tube and pipe for food processing plants around Focal Point Amritsar, Amritsar. Made at our Mumbai works to ASTM A270 and ASME BPE SF1-SF4, with 3.1 MTC.</v>
      </c>
      <c r="AC9" s="15" t="str">
        <f t="shared" si="13"/>
        <v>OK (156)</v>
      </c>
      <c r="AD9" s="15" t="str">
        <f t="shared" si="14"/>
        <v>Electropolished Pipes Manufacturer in Amritsar</v>
      </c>
      <c r="AE9" s="15" t="str">
        <f t="shared" si="15"/>
        <v>Electropolished Pipe &amp; Tube Manufacturing for Amritsar - Grades, Finishes &amp; Certification</v>
      </c>
      <c r="AF9" s="15" t="str">
        <f t="shared" si="16"/>
        <v>Electropolished Pipes Supplier in Amritsar - Stock Sizes, Lead Time &amp; Delivery</v>
      </c>
      <c r="AG9" s="15" t="str">
        <f t="shared" si="17"/>
        <v>Electropolished Pipes Wholesaler &amp; Stockist in Amritsar - Bulk &amp; Project Pricing</v>
      </c>
      <c r="AH9" s="15" t="str">
        <f t="shared" si="18"/>
        <v>electropolished pipes manufacturer in Amritsar, electropolished pipes supplier in Amritsar, electropolished pipes wholesaler in Amritsar, electropolished tube manufacturer Amritsar, EP pipe supplier Amritsar, sanitary tube supplier Amritsar, ASME BPE tubing Amritsar, ASTM A270 tube Amritsar, SS 316L electropolished pipe Amritsar</v>
      </c>
      <c r="AI9" s="15" t="str">
        <f t="shared" si="19"/>
        <v>Electropolished Pipes Manufacturer &amp; Supplier in Amritsar</v>
      </c>
      <c r="AJ9" s="15" t="str">
        <f t="shared" si="20"/>
        <v>EP-finished SS 304/316L pipes and tubes for food processing plants in Amritsar. ASME BPE SF1-SF4, Ra from 0.25 um, EN 10204 3.1 certificate with every lot.</v>
      </c>
      <c r="AK9" s="15" t="str">
        <f t="shared" si="21"/>
        <v>Electropolished stainless steel pipes supplied by Sakshi Forge to food processing plants at Focal Point Amritsar, Amritsar</v>
      </c>
      <c r="AL9" s="15" t="str">
        <f t="shared" si="22"/>
        <v>Electropolished SS 316L tube stock for Amritsar - Sakshi Forge</v>
      </c>
      <c r="AM9" s="15" t="str">
        <f t="shared" si="23"/>
        <v>Home &gt; Market Area &gt; India &gt; Punjab &gt; Amritsar</v>
      </c>
      <c r="AN9" s="15">
        <f t="shared" si="24"/>
        <v>1400</v>
      </c>
      <c r="AO9" s="15">
        <f t="shared" si="25"/>
        <v>10</v>
      </c>
      <c r="AP9" s="15">
        <f t="shared" si="26"/>
        <v>12</v>
      </c>
      <c r="AQ9" s="15">
        <f t="shared" si="27"/>
        <v>1</v>
      </c>
      <c r="AR9" s="31"/>
      <c r="AS9" s="31"/>
      <c r="AT9" s="35" t="s">
        <v>222</v>
      </c>
      <c r="AU9" s="35"/>
    </row>
    <row r="10">
      <c r="A10" s="15" t="s">
        <v>386</v>
      </c>
      <c r="B10" s="15" t="s">
        <v>60</v>
      </c>
      <c r="C10" s="15" t="s">
        <v>224</v>
      </c>
      <c r="D10" s="15" t="s">
        <v>388</v>
      </c>
      <c r="E10" s="15" t="s">
        <v>388</v>
      </c>
      <c r="F10" s="16" t="s">
        <v>87</v>
      </c>
      <c r="G10" s="17" t="s">
        <v>88</v>
      </c>
      <c r="H10" s="18" t="s">
        <v>390</v>
      </c>
      <c r="I10" s="18" t="s">
        <v>391</v>
      </c>
      <c r="J10" s="18" t="s">
        <v>392</v>
      </c>
      <c r="K10" s="18" t="s">
        <v>393</v>
      </c>
      <c r="L10" s="18" t="s">
        <v>395</v>
      </c>
      <c r="M10" s="18" t="s">
        <v>96</v>
      </c>
      <c r="N10" s="18" t="s">
        <v>232</v>
      </c>
      <c r="O10" s="18" t="s">
        <v>98</v>
      </c>
      <c r="P10" s="15" t="str">
        <f t="shared" si="1"/>
        <v>PHARMA</v>
      </c>
      <c r="Q10" s="15">
        <f t="shared" si="2"/>
        <v>7</v>
      </c>
      <c r="R10" s="15">
        <f t="shared" si="3"/>
        <v>7</v>
      </c>
      <c r="S10" s="15">
        <f t="shared" si="4"/>
        <v>2</v>
      </c>
      <c r="T10" s="15" t="str">
        <f t="shared" si="5"/>
        <v>A-1</v>
      </c>
      <c r="U10" s="15" t="str">
        <f t="shared" si="6"/>
        <v>T7-M7-H2-FA-1-PHARMA</v>
      </c>
      <c r="V10" s="15">
        <f t="shared" si="7"/>
        <v>0</v>
      </c>
      <c r="W10" s="31"/>
      <c r="X10" s="15" t="str">
        <f t="shared" si="8"/>
        <v>anand</v>
      </c>
      <c r="Y10" s="32" t="str">
        <f t="shared" si="9"/>
        <v>https://steelmanufacturer.in/market-area/electropolished-pipes-manufacturer-in-anand/</v>
      </c>
      <c r="Z10" s="15" t="str">
        <f t="shared" si="10"/>
        <v>Electropolished Pipes Manufacturer in Anand | ASME BPE SF1-SF4</v>
      </c>
      <c r="AA10" s="15" t="str">
        <f t="shared" si="11"/>
        <v>OK (62)</v>
      </c>
      <c r="AB10" s="15" t="str">
        <f t="shared" si="12"/>
        <v>Electropolished pipes in Anand: 304, 304L, 316 and 316L in SF1-SF4. 1-2 day road transit from our Mumbai works. Mill certified.</v>
      </c>
      <c r="AC10" s="15" t="str">
        <f t="shared" si="13"/>
        <v>OK (127)</v>
      </c>
      <c r="AD10" s="15" t="str">
        <f t="shared" si="14"/>
        <v>Electropolished Pipes Manufacturer in Anand</v>
      </c>
      <c r="AE10" s="15" t="str">
        <f t="shared" si="15"/>
        <v>How We Manufacture Electropolished Tube for Anand Plants</v>
      </c>
      <c r="AF10" s="15" t="str">
        <f t="shared" si="16"/>
        <v>Supplying Electropolished Pipes in Anand: Availability, Sizes &amp; Dispatch</v>
      </c>
      <c r="AG10" s="15" t="str">
        <f t="shared" si="17"/>
        <v>Wholesale Electropolished Pipe Supply for Anand Projects</v>
      </c>
      <c r="AH10" s="15" t="str">
        <f t="shared" si="18"/>
        <v>electropolished pipes manufacturer in Anand, electropolished pipes supplier in Anand, electropolished pipes wholesaler in Anand, electropolished tube manufacturer Anand, EP pipe supplier Anand, sanitary tube supplier Anand, ASME BPE tubing Anand, ASTM A270 tube Anand, SS 316L electropolished pipe Anand</v>
      </c>
      <c r="AI10" s="15" t="str">
        <f t="shared" si="19"/>
        <v>Electropolished Pipes Manufacturer &amp; Supplier in Anand</v>
      </c>
      <c r="AJ10" s="15" t="str">
        <f t="shared" si="20"/>
        <v>EP-finished SS 304/316L pipes and tubes for pharma &amp; food &amp; dairy plants in Anand. ASME BPE SF1-SF4, Ra from 0.25 um, EN 10204 3.1 certificate with every lot.</v>
      </c>
      <c r="AK10" s="15" t="str">
        <f t="shared" si="21"/>
        <v>Electropolished stainless steel pipes supplied by Sakshi Forge to pharma &amp; food &amp; dairy plants at Vithal Udyognagar GIDC, Anand</v>
      </c>
      <c r="AL10" s="15" t="str">
        <f t="shared" si="22"/>
        <v>Electropolished SS 316L tube stock for Anand - Sakshi Forge</v>
      </c>
      <c r="AM10" s="15" t="str">
        <f t="shared" si="23"/>
        <v>Home &gt; Market Area &gt; India &gt; Gujarat &gt; Anand</v>
      </c>
      <c r="AN10" s="15">
        <f t="shared" si="24"/>
        <v>1400</v>
      </c>
      <c r="AO10" s="15">
        <f t="shared" si="25"/>
        <v>10</v>
      </c>
      <c r="AP10" s="15">
        <f t="shared" si="26"/>
        <v>12</v>
      </c>
      <c r="AQ10" s="15">
        <f t="shared" si="27"/>
        <v>1</v>
      </c>
      <c r="AR10" s="31"/>
      <c r="AS10" s="31"/>
      <c r="AT10" s="35" t="s">
        <v>222</v>
      </c>
      <c r="AU10" s="35"/>
    </row>
    <row r="11">
      <c r="A11" s="15" t="s">
        <v>411</v>
      </c>
      <c r="B11" s="15" t="s">
        <v>60</v>
      </c>
      <c r="C11" s="15" t="s">
        <v>413</v>
      </c>
      <c r="D11" s="15" t="s">
        <v>414</v>
      </c>
      <c r="E11" s="15" t="s">
        <v>414</v>
      </c>
      <c r="F11" s="16" t="s">
        <v>87</v>
      </c>
      <c r="G11" s="17" t="s">
        <v>88</v>
      </c>
      <c r="H11" s="18" t="s">
        <v>415</v>
      </c>
      <c r="I11" s="18" t="s">
        <v>416</v>
      </c>
      <c r="J11" s="18" t="s">
        <v>417</v>
      </c>
      <c r="K11" s="18" t="s">
        <v>94</v>
      </c>
      <c r="L11" s="18" t="s">
        <v>418</v>
      </c>
      <c r="M11" s="18" t="s">
        <v>231</v>
      </c>
      <c r="N11" s="18" t="s">
        <v>97</v>
      </c>
      <c r="O11" s="18" t="s">
        <v>98</v>
      </c>
      <c r="P11" s="15" t="str">
        <f t="shared" si="1"/>
        <v>FOOD</v>
      </c>
      <c r="Q11" s="15">
        <f t="shared" si="2"/>
        <v>8</v>
      </c>
      <c r="R11" s="15">
        <f t="shared" si="3"/>
        <v>1</v>
      </c>
      <c r="S11" s="15">
        <f t="shared" si="4"/>
        <v>3</v>
      </c>
      <c r="T11" s="15" t="str">
        <f t="shared" si="5"/>
        <v>A-2</v>
      </c>
      <c r="U11" s="15" t="str">
        <f t="shared" si="6"/>
        <v>T8-M1-H3-FA-2-FOOD</v>
      </c>
      <c r="V11" s="15">
        <f t="shared" si="7"/>
        <v>0</v>
      </c>
      <c r="W11" s="31"/>
      <c r="X11" s="15" t="str">
        <f t="shared" si="8"/>
        <v>anantapur</v>
      </c>
      <c r="Y11" s="32" t="str">
        <f t="shared" si="9"/>
        <v>https://steelmanufacturer.in/market-area/electropolished-pipes-manufacturer-in-anantapur/</v>
      </c>
      <c r="Z11" s="15" t="str">
        <f t="shared" si="10"/>
        <v>Electropolished Pipes Manufacturer in Anantapur</v>
      </c>
      <c r="AA11" s="15" t="str">
        <f t="shared" si="11"/>
        <v>OK (47)</v>
      </c>
      <c r="AB11" s="15" t="str">
        <f t="shared" si="12"/>
        <v>EP-finished SS 304/316L pipes &amp; tubes for food processing plants in Anantapur. ASTM A270, ASME BPE SF1-SF4, EN 10204 3.1 MTC. PMI tested.</v>
      </c>
      <c r="AC11" s="15" t="str">
        <f t="shared" si="13"/>
        <v>OK (137)</v>
      </c>
      <c r="AD11" s="15" t="str">
        <f t="shared" si="14"/>
        <v>Electropolished Pipes Manufacturer in Anantapur</v>
      </c>
      <c r="AE11" s="15" t="str">
        <f t="shared" si="15"/>
        <v>Electropolished Pipes Manufacturer in Anantapur - Our Process &amp; Capability</v>
      </c>
      <c r="AF11" s="15" t="str">
        <f t="shared" si="16"/>
        <v>Electropolished Pipes Supplier in Anantapur - What We Hold in Stock</v>
      </c>
      <c r="AG11" s="15" t="str">
        <f t="shared" si="17"/>
        <v>Bulk &amp; Wholesale Electropolished Pipe Rates for Anantapur Buyers</v>
      </c>
      <c r="AH11" s="15" t="str">
        <f t="shared" si="18"/>
        <v>electropolished pipes manufacturer in Anantapur, electropolished pipes supplier in Anantapur, electropolished pipes wholesaler in Anantapur, electropolished tube manufacturer Anantapur, EP pipe supplier Anantapur, sanitary tube supplier Anantapur, ASME BPE tubing Anantapur, ASTM A270 tube Anantapur, SS 316L electropolished pipe Anantapur</v>
      </c>
      <c r="AI11" s="15" t="str">
        <f t="shared" si="19"/>
        <v>Electropolished Pipes Manufacturer &amp; Supplier in Anantapur</v>
      </c>
      <c r="AJ11" s="15" t="str">
        <f t="shared" si="20"/>
        <v>EP-finished SS 304/316L pipes and tubes for food processing plants in Anantapur. ASME BPE SF1-SF4, Ra from 0.25 um, EN 10204 3.1 certificate with every lot.</v>
      </c>
      <c r="AK11" s="15" t="str">
        <f t="shared" si="21"/>
        <v>Electropolished stainless steel pipes supplied by Sakshi Forge to food processing plants at Hindupur APIIC, Anantapur</v>
      </c>
      <c r="AL11" s="15" t="str">
        <f t="shared" si="22"/>
        <v>Electropolished SS 316L tube stock for Anantapur - Sakshi Forge</v>
      </c>
      <c r="AM11" s="15" t="str">
        <f t="shared" si="23"/>
        <v>Home &gt; Market Area &gt; India &gt; Andhra Pradesh &gt; Anantapur</v>
      </c>
      <c r="AN11" s="15">
        <f t="shared" si="24"/>
        <v>1400</v>
      </c>
      <c r="AO11" s="15">
        <f t="shared" si="25"/>
        <v>10</v>
      </c>
      <c r="AP11" s="15">
        <f t="shared" si="26"/>
        <v>12</v>
      </c>
      <c r="AQ11" s="15">
        <f t="shared" si="27"/>
        <v>1</v>
      </c>
      <c r="AR11" s="31"/>
      <c r="AS11" s="31"/>
      <c r="AT11" s="35" t="s">
        <v>222</v>
      </c>
      <c r="AU11" s="35"/>
    </row>
    <row r="12">
      <c r="A12" s="15" t="s">
        <v>423</v>
      </c>
      <c r="B12" s="15" t="s">
        <v>60</v>
      </c>
      <c r="C12" s="15" t="s">
        <v>424</v>
      </c>
      <c r="D12" s="15" t="s">
        <v>425</v>
      </c>
      <c r="E12" s="15" t="s">
        <v>425</v>
      </c>
      <c r="F12" s="16" t="s">
        <v>87</v>
      </c>
      <c r="G12" s="17" t="s">
        <v>88</v>
      </c>
      <c r="H12" s="18" t="s">
        <v>426</v>
      </c>
      <c r="I12" s="18" t="s">
        <v>426</v>
      </c>
      <c r="J12" s="18" t="s">
        <v>427</v>
      </c>
      <c r="K12" s="18" t="s">
        <v>250</v>
      </c>
      <c r="L12" s="18" t="s">
        <v>428</v>
      </c>
      <c r="M12" s="18" t="s">
        <v>96</v>
      </c>
      <c r="N12" s="18" t="s">
        <v>252</v>
      </c>
      <c r="O12" s="18" t="s">
        <v>98</v>
      </c>
      <c r="P12" s="15" t="str">
        <f t="shared" si="1"/>
        <v>GENERAL</v>
      </c>
      <c r="Q12" s="15">
        <f t="shared" si="2"/>
        <v>1</v>
      </c>
      <c r="R12" s="15">
        <f t="shared" si="3"/>
        <v>2</v>
      </c>
      <c r="S12" s="15">
        <f t="shared" si="4"/>
        <v>4</v>
      </c>
      <c r="T12" s="15" t="str">
        <f t="shared" si="5"/>
        <v>A-3</v>
      </c>
      <c r="U12" s="15" t="str">
        <f t="shared" si="6"/>
        <v>T1-M2-H4-FA-3-GENERAL</v>
      </c>
      <c r="V12" s="15">
        <f t="shared" si="7"/>
        <v>0</v>
      </c>
      <c r="W12" s="31"/>
      <c r="X12" s="15" t="str">
        <f t="shared" si="8"/>
        <v>angul</v>
      </c>
      <c r="Y12" s="32" t="str">
        <f t="shared" si="9"/>
        <v>https://steelmanufacturer.in/market-area/electropolished-pipes-manufacturer-in-angul/</v>
      </c>
      <c r="Z12" s="15" t="str">
        <f t="shared" si="10"/>
        <v>Electropolished Pipes Manufacturer in Angul | Sakshi Forge</v>
      </c>
      <c r="AA12" s="15" t="str">
        <f t="shared" si="11"/>
        <v>OK (58)</v>
      </c>
      <c r="AB12" s="15" t="str">
        <f t="shared" si="12"/>
        <v>Electropolished tube supply to Angul Industrial Belt IDCO, Angul. Ra from 0.25 um, SF4 finish, mill test certificate with every lot.</v>
      </c>
      <c r="AC12" s="15" t="str">
        <f t="shared" si="13"/>
        <v>OK (132)</v>
      </c>
      <c r="AD12" s="15" t="str">
        <f t="shared" si="14"/>
        <v>Electropolished Pipes Manufacturer in Angul</v>
      </c>
      <c r="AE12" s="15" t="str">
        <f t="shared" si="15"/>
        <v>Manufacturing Electropolished SS Tube for Angul: The Standards We Build To</v>
      </c>
      <c r="AF12" s="15" t="str">
        <f t="shared" si="16"/>
        <v>Electropolished Pipe Supply Into Angul - Certification &amp; Transit</v>
      </c>
      <c r="AG12" s="15" t="str">
        <f t="shared" si="17"/>
        <v>Electropolished Pipes Wholesaler in Angul - Project Quantities &amp; Terms</v>
      </c>
      <c r="AH12" s="15" t="str">
        <f t="shared" si="18"/>
        <v>electropolished pipes manufacturer in Angul, electropolished pipes supplier in Angul, electropolished pipes wholesaler in Angul, electropolished tube manufacturer Angul, EP pipe supplier Angul, sanitary tube supplier Angul, ASME BPE tubing Angul, ASTM A270 tube Angul, SS 316L electropolished pipe Angul</v>
      </c>
      <c r="AI12" s="15" t="str">
        <f t="shared" si="19"/>
        <v>Electropolished Pipes Manufacturer &amp; Supplier in Angul</v>
      </c>
      <c r="AJ12" s="15" t="str">
        <f t="shared" si="20"/>
        <v>EP-finished SS 304/316L pipes and tubes for engineering &amp; process plants in Angul. ASME BPE SF1-SF4, Ra from 0.25 um, EN 10204 3.1 certificate with every lot.</v>
      </c>
      <c r="AK12" s="15" t="str">
        <f t="shared" si="21"/>
        <v>Electropolished stainless steel pipes supplied by Sakshi Forge to engineering &amp; process plants at Angul Industrial Belt IDCO, Angul</v>
      </c>
      <c r="AL12" s="15" t="str">
        <f t="shared" si="22"/>
        <v>Electropolished SS 316L tube stock for Angul - Sakshi Forge</v>
      </c>
      <c r="AM12" s="15" t="str">
        <f t="shared" si="23"/>
        <v>Home &gt; Market Area &gt; India &gt; Odisha &gt; Angul</v>
      </c>
      <c r="AN12" s="15">
        <f t="shared" si="24"/>
        <v>1400</v>
      </c>
      <c r="AO12" s="15">
        <f t="shared" si="25"/>
        <v>10</v>
      </c>
      <c r="AP12" s="15">
        <f t="shared" si="26"/>
        <v>12</v>
      </c>
      <c r="AQ12" s="15">
        <f t="shared" si="27"/>
        <v>1</v>
      </c>
      <c r="AR12" s="31"/>
      <c r="AS12" s="31"/>
      <c r="AT12" s="35" t="s">
        <v>222</v>
      </c>
      <c r="AU12" s="35"/>
    </row>
    <row r="13">
      <c r="A13" s="15" t="s">
        <v>431</v>
      </c>
      <c r="B13" s="15" t="s">
        <v>60</v>
      </c>
      <c r="C13" s="15" t="s">
        <v>224</v>
      </c>
      <c r="D13" s="15" t="s">
        <v>432</v>
      </c>
      <c r="E13" s="15" t="s">
        <v>432</v>
      </c>
      <c r="F13" s="16" t="s">
        <v>87</v>
      </c>
      <c r="G13" s="17" t="s">
        <v>88</v>
      </c>
      <c r="H13" s="18" t="s">
        <v>433</v>
      </c>
      <c r="I13" s="18" t="s">
        <v>434</v>
      </c>
      <c r="J13" s="18" t="s">
        <v>435</v>
      </c>
      <c r="K13" s="18" t="s">
        <v>436</v>
      </c>
      <c r="L13" s="18" t="s">
        <v>437</v>
      </c>
      <c r="M13" s="18" t="s">
        <v>96</v>
      </c>
      <c r="N13" s="18" t="s">
        <v>232</v>
      </c>
      <c r="O13" s="18" t="s">
        <v>98</v>
      </c>
      <c r="P13" s="15" t="str">
        <f t="shared" si="1"/>
        <v>PHARMA</v>
      </c>
      <c r="Q13" s="15">
        <f t="shared" si="2"/>
        <v>2</v>
      </c>
      <c r="R13" s="15">
        <f t="shared" si="3"/>
        <v>3</v>
      </c>
      <c r="S13" s="15">
        <f t="shared" si="4"/>
        <v>5</v>
      </c>
      <c r="T13" s="15" t="str">
        <f t="shared" si="5"/>
        <v>A-4</v>
      </c>
      <c r="U13" s="15" t="str">
        <f t="shared" si="6"/>
        <v>T2-M3-H5-FA-4-PHARMA</v>
      </c>
      <c r="V13" s="15">
        <f t="shared" si="7"/>
        <v>0</v>
      </c>
      <c r="W13" s="31"/>
      <c r="X13" s="15" t="str">
        <f t="shared" si="8"/>
        <v>ankleshwar</v>
      </c>
      <c r="Y13" s="32" t="str">
        <f t="shared" si="9"/>
        <v>https://steelmanufacturer.in/market-area/electropolished-pipes-manufacturer-in-ankleshwar/</v>
      </c>
      <c r="Z13" s="15" t="str">
        <f t="shared" si="10"/>
        <v>Electropolished Pipes Manufacturer in Ankleshwar</v>
      </c>
      <c r="AA13" s="15" t="str">
        <f t="shared" si="11"/>
        <v>OK (48)</v>
      </c>
      <c r="AB13" s="15" t="str">
        <f t="shared" si="12"/>
        <v>EP stainless tube for pharma &amp; API lines in Ankleshwar. 1-2 day road transit from our Mumbai works. ASTM A270 S2, PMI tested, EN 10204 3.1.</v>
      </c>
      <c r="AC13" s="15" t="str">
        <f t="shared" si="13"/>
        <v>OK (139)</v>
      </c>
      <c r="AD13" s="15" t="str">
        <f t="shared" si="14"/>
        <v>Electropolished Pipes Manufacturer in Ankleshwar</v>
      </c>
      <c r="AE13" s="15" t="str">
        <f t="shared" si="15"/>
        <v>Electropolished Tube Manufacturing Capability Serving Ankleshwar</v>
      </c>
      <c r="AF13" s="15" t="str">
        <f t="shared" si="16"/>
        <v>Electropolished Pipes Supplier in Ankleshwar - From Order to Delivery</v>
      </c>
      <c r="AG13" s="15" t="str">
        <f t="shared" si="17"/>
        <v>Stockist &amp; Wholesale Supply of Electropolished Pipes in Ankleshwar</v>
      </c>
      <c r="AH13" s="15" t="str">
        <f t="shared" si="18"/>
        <v>electropolished pipes manufacturer in Ankleshwar, electropolished pipes supplier in Ankleshwar, electropolished pipes wholesaler in Ankleshwar, electropolished tube manufacturer Ankleshwar, EP pipe supplier Ankleshwar, sanitary tube supplier Ankleshwar, ASME BPE tubing Ankleshwar, ASTM A270 tube Ankleshwar, SS 316L electropolished pipe Ankleshwar</v>
      </c>
      <c r="AI13" s="15" t="str">
        <f t="shared" si="19"/>
        <v>Electropolished Pipes Manufacturer &amp; Supplier in Ankleshwar</v>
      </c>
      <c r="AJ13" s="15" t="str">
        <f t="shared" si="20"/>
        <v>EP-finished SS 304/316L pipes and tubes for pharma &amp; API plants in Ankleshwar. ASME BPE SF1-SF4, Ra from 0.25 um, EN 10204 3.1 certificate with every lot.</v>
      </c>
      <c r="AK13" s="15" t="str">
        <f t="shared" si="21"/>
        <v>Electropolished stainless steel pipes supplied by Sakshi Forge to pharma &amp; API plants at Ankleshwar GIDC, Ankleshwar</v>
      </c>
      <c r="AL13" s="15" t="str">
        <f t="shared" si="22"/>
        <v>Electropolished SS 316L tube stock for Ankleshwar - Sakshi Forge</v>
      </c>
      <c r="AM13" s="15" t="str">
        <f t="shared" si="23"/>
        <v>Home &gt; Market Area &gt; India &gt; Gujarat &gt; Ankleshwar</v>
      </c>
      <c r="AN13" s="15">
        <f t="shared" si="24"/>
        <v>1400</v>
      </c>
      <c r="AO13" s="15">
        <f t="shared" si="25"/>
        <v>10</v>
      </c>
      <c r="AP13" s="15">
        <f t="shared" si="26"/>
        <v>12</v>
      </c>
      <c r="AQ13" s="15">
        <f t="shared" si="27"/>
        <v>1</v>
      </c>
      <c r="AR13" s="31"/>
      <c r="AS13" s="31"/>
      <c r="AT13" s="35" t="s">
        <v>222</v>
      </c>
      <c r="AU13" s="35"/>
    </row>
    <row r="14">
      <c r="A14" s="15" t="s">
        <v>438</v>
      </c>
      <c r="B14" s="15" t="s">
        <v>60</v>
      </c>
      <c r="C14" s="15" t="s">
        <v>264</v>
      </c>
      <c r="D14" s="15" t="s">
        <v>439</v>
      </c>
      <c r="E14" s="15" t="s">
        <v>439</v>
      </c>
      <c r="F14" s="16" t="s">
        <v>87</v>
      </c>
      <c r="G14" s="17" t="s">
        <v>88</v>
      </c>
      <c r="H14" s="18" t="s">
        <v>440</v>
      </c>
      <c r="I14" s="18" t="s">
        <v>441</v>
      </c>
      <c r="J14" s="18" t="s">
        <v>442</v>
      </c>
      <c r="K14" s="18" t="s">
        <v>393</v>
      </c>
      <c r="L14" s="18" t="s">
        <v>443</v>
      </c>
      <c r="M14" s="18" t="s">
        <v>231</v>
      </c>
      <c r="N14" s="18" t="s">
        <v>232</v>
      </c>
      <c r="O14" s="18" t="s">
        <v>98</v>
      </c>
      <c r="P14" s="15" t="str">
        <f t="shared" si="1"/>
        <v>PHARMA</v>
      </c>
      <c r="Q14" s="15">
        <f t="shared" si="2"/>
        <v>3</v>
      </c>
      <c r="R14" s="15">
        <f t="shared" si="3"/>
        <v>4</v>
      </c>
      <c r="S14" s="15">
        <f t="shared" si="4"/>
        <v>1</v>
      </c>
      <c r="T14" s="15" t="str">
        <f t="shared" si="5"/>
        <v>A-5</v>
      </c>
      <c r="U14" s="15" t="str">
        <f t="shared" si="6"/>
        <v>T3-M4-H1-FA-5-PHARMA</v>
      </c>
      <c r="V14" s="15">
        <f t="shared" si="7"/>
        <v>0</v>
      </c>
      <c r="W14" s="31"/>
      <c r="X14" s="15" t="str">
        <f t="shared" si="8"/>
        <v>aurangabad</v>
      </c>
      <c r="Y14" s="32" t="str">
        <f t="shared" si="9"/>
        <v>https://steelmanufacturer.in/market-area/electropolished-pipes-manufacturer-in-aurangabad/</v>
      </c>
      <c r="Z14" s="15" t="str">
        <f t="shared" si="10"/>
        <v>Electropolished Pipes Manufacturer in Aurangabad</v>
      </c>
      <c r="AA14" s="15" t="str">
        <f t="shared" si="11"/>
        <v>OK (48)</v>
      </c>
      <c r="AB14" s="15" t="str">
        <f t="shared" si="12"/>
        <v>Sanitary electropolished pipes in Aurangabad for pharma &amp; food &amp; dairy plants. ASME BPE SF1-SF4, orbital-weld ready, 3.1 MTC. Mumbai-made.</v>
      </c>
      <c r="AC14" s="15" t="str">
        <f t="shared" si="13"/>
        <v>OK (138)</v>
      </c>
      <c r="AD14" s="15" t="str">
        <f t="shared" si="14"/>
        <v>Electropolished Pipes Manufacturer in Aurangabad</v>
      </c>
      <c r="AE14" s="15" t="str">
        <f t="shared" si="15"/>
        <v>Electropolished Pipe &amp; Tube Manufacturing for Aurangabad - Grades, Finishes &amp; Certification</v>
      </c>
      <c r="AF14" s="15" t="str">
        <f t="shared" si="16"/>
        <v>Electropolished Pipes Supplier in Aurangabad - Stock Sizes, Lead Time &amp; Delivery</v>
      </c>
      <c r="AG14" s="15" t="str">
        <f t="shared" si="17"/>
        <v>Electropolished Pipes Wholesaler &amp; Stockist in Aurangabad - Bulk &amp; Project Pricing</v>
      </c>
      <c r="AH14" s="15" t="str">
        <f t="shared" si="18"/>
        <v>electropolished pipes manufacturer in Aurangabad, electropolished pipes supplier in Aurangabad, electropolished pipes wholesaler in Aurangabad, electropolished tube manufacturer Aurangabad, EP pipe supplier Aurangabad, sanitary tube supplier Aurangabad, ASME BPE tubing Aurangabad, ASTM A270 tube Aurangabad, SS 316L electropolished pipe Aurangabad</v>
      </c>
      <c r="AI14" s="15" t="str">
        <f t="shared" si="19"/>
        <v>Electropolished Pipes Manufacturer &amp; Supplier in Aurangabad</v>
      </c>
      <c r="AJ14" s="15" t="str">
        <f t="shared" si="20"/>
        <v>EP-finished SS 304/316L pipes and tubes for pharma &amp; food &amp; dairy plants in Aurangabad. ASME BPE SF1-SF4, Ra from 0.25 um, EN 10204 3.1 certificate with every lot.</v>
      </c>
      <c r="AK14" s="15" t="str">
        <f t="shared" si="21"/>
        <v>Electropolished stainless steel pipes supplied by Sakshi Forge to pharma &amp; food &amp; dairy plants at Waluj MIDC, Aurangabad</v>
      </c>
      <c r="AL14" s="15" t="str">
        <f t="shared" si="22"/>
        <v>Electropolished SS 316L tube stock for Aurangabad - Sakshi Forge</v>
      </c>
      <c r="AM14" s="15" t="str">
        <f t="shared" si="23"/>
        <v>Home &gt; Market Area &gt; India &gt; Maharashtra &gt; Aurangabad</v>
      </c>
      <c r="AN14" s="15">
        <f t="shared" si="24"/>
        <v>1400</v>
      </c>
      <c r="AO14" s="15">
        <f t="shared" si="25"/>
        <v>10</v>
      </c>
      <c r="AP14" s="15">
        <f t="shared" si="26"/>
        <v>12</v>
      </c>
      <c r="AQ14" s="15">
        <f t="shared" si="27"/>
        <v>1</v>
      </c>
      <c r="AR14" s="31"/>
      <c r="AS14" s="31"/>
      <c r="AT14" s="35" t="s">
        <v>222</v>
      </c>
      <c r="AU14" s="35"/>
    </row>
    <row r="15">
      <c r="A15" s="15" t="s">
        <v>446</v>
      </c>
      <c r="B15" s="15" t="s">
        <v>60</v>
      </c>
      <c r="C15" s="15" t="s">
        <v>447</v>
      </c>
      <c r="D15" s="15" t="s">
        <v>448</v>
      </c>
      <c r="E15" s="15" t="s">
        <v>448</v>
      </c>
      <c r="F15" s="16" t="s">
        <v>87</v>
      </c>
      <c r="G15" s="17" t="s">
        <v>88</v>
      </c>
      <c r="H15" s="18" t="s">
        <v>449</v>
      </c>
      <c r="I15" s="18" t="s">
        <v>450</v>
      </c>
      <c r="J15" s="18" t="s">
        <v>451</v>
      </c>
      <c r="K15" s="18" t="s">
        <v>229</v>
      </c>
      <c r="L15" s="18" t="s">
        <v>452</v>
      </c>
      <c r="M15" s="18" t="s">
        <v>96</v>
      </c>
      <c r="N15" s="18" t="s">
        <v>232</v>
      </c>
      <c r="O15" s="18" t="s">
        <v>98</v>
      </c>
      <c r="P15" s="15" t="str">
        <f t="shared" si="1"/>
        <v>PHARMA</v>
      </c>
      <c r="Q15" s="15">
        <f t="shared" si="2"/>
        <v>4</v>
      </c>
      <c r="R15" s="15">
        <f t="shared" si="3"/>
        <v>5</v>
      </c>
      <c r="S15" s="15">
        <f t="shared" si="4"/>
        <v>2</v>
      </c>
      <c r="T15" s="15" t="str">
        <f t="shared" si="5"/>
        <v>A-6</v>
      </c>
      <c r="U15" s="15" t="str">
        <f t="shared" si="6"/>
        <v>T4-M5-H2-FA-6-PHARMA</v>
      </c>
      <c r="V15" s="15">
        <f t="shared" si="7"/>
        <v>0</v>
      </c>
      <c r="W15" s="31"/>
      <c r="X15" s="15" t="str">
        <f t="shared" si="8"/>
        <v>baddi</v>
      </c>
      <c r="Y15" s="32" t="str">
        <f t="shared" si="9"/>
        <v>https://steelmanufacturer.in/market-area/electropolished-pipes-manufacturer-in-baddi/</v>
      </c>
      <c r="Z15" s="15" t="str">
        <f t="shared" si="10"/>
        <v>Electropolished Pipes Manufacturer in Baddi - SS 304/316L EP Tube</v>
      </c>
      <c r="AA15" s="15" t="str">
        <f t="shared" si="11"/>
        <v>OK (65)</v>
      </c>
      <c r="AB15" s="15" t="str">
        <f t="shared" si="12"/>
        <v>Manufacturer of electropolished SS 316L tube serving Baddi. 1-2 day road transit from our Mumbai works. Ra 0.25-0.5 um, EN 10204 3.1 MTC.</v>
      </c>
      <c r="AC15" s="15" t="str">
        <f t="shared" si="13"/>
        <v>OK (137)</v>
      </c>
      <c r="AD15" s="15" t="str">
        <f t="shared" si="14"/>
        <v>Electropolished Pipes Manufacturer in Baddi</v>
      </c>
      <c r="AE15" s="15" t="str">
        <f t="shared" si="15"/>
        <v>How We Manufacture Electropolished Tube for Baddi Plants</v>
      </c>
      <c r="AF15" s="15" t="str">
        <f t="shared" si="16"/>
        <v>Supplying Electropolished Pipes in Baddi: Availability, Sizes &amp; Dispatch</v>
      </c>
      <c r="AG15" s="15" t="str">
        <f t="shared" si="17"/>
        <v>Wholesale Electropolished Pipe Supply for Baddi Projects</v>
      </c>
      <c r="AH15" s="15" t="str">
        <f t="shared" si="18"/>
        <v>electropolished pipes manufacturer in Baddi, electropolished pipes supplier in Baddi, electropolished pipes wholesaler in Baddi, electropolished tube manufacturer Baddi, EP pipe supplier Baddi, sanitary tube supplier Baddi, ASME BPE tubing Baddi, ASTM A270 tube Baddi, SS 316L electropolished pipe Baddi</v>
      </c>
      <c r="AI15" s="15" t="str">
        <f t="shared" si="19"/>
        <v>Electropolished Pipes Manufacturer &amp; Supplier in Baddi</v>
      </c>
      <c r="AJ15" s="15" t="str">
        <f t="shared" si="20"/>
        <v>EP-finished SS 304/316L pipes and tubes for pharma plants in Baddi. ASME BPE SF1-SF4, Ra from 0.25 um, EN 10204 3.1 certificate with every lot.</v>
      </c>
      <c r="AK15" s="15" t="str">
        <f t="shared" si="21"/>
        <v>Electropolished stainless steel pipes supplied by Sakshi Forge to pharma plants at Baddi Industrial Area, Baddi</v>
      </c>
      <c r="AL15" s="15" t="str">
        <f t="shared" si="22"/>
        <v>Electropolished SS 316L tube stock for Baddi - Sakshi Forge</v>
      </c>
      <c r="AM15" s="15" t="str">
        <f t="shared" si="23"/>
        <v>Home &gt; Market Area &gt; India &gt; Himachal Pradesh &gt; Baddi</v>
      </c>
      <c r="AN15" s="15">
        <f t="shared" si="24"/>
        <v>1400</v>
      </c>
      <c r="AO15" s="15">
        <f t="shared" si="25"/>
        <v>10</v>
      </c>
      <c r="AP15" s="15">
        <f t="shared" si="26"/>
        <v>12</v>
      </c>
      <c r="AQ15" s="15">
        <f t="shared" si="27"/>
        <v>1</v>
      </c>
      <c r="AR15" s="31"/>
      <c r="AS15" s="31"/>
      <c r="AT15" s="35" t="s">
        <v>222</v>
      </c>
      <c r="AU15" s="35"/>
    </row>
    <row r="16">
      <c r="A16" s="15" t="s">
        <v>455</v>
      </c>
      <c r="B16" s="15" t="s">
        <v>60</v>
      </c>
      <c r="C16" s="15" t="s">
        <v>264</v>
      </c>
      <c r="D16" s="15" t="s">
        <v>456</v>
      </c>
      <c r="E16" s="15" t="s">
        <v>456</v>
      </c>
      <c r="F16" s="16" t="s">
        <v>87</v>
      </c>
      <c r="G16" s="17" t="s">
        <v>88</v>
      </c>
      <c r="H16" s="18" t="s">
        <v>457</v>
      </c>
      <c r="I16" s="18" t="s">
        <v>457</v>
      </c>
      <c r="J16" s="18" t="s">
        <v>458</v>
      </c>
      <c r="K16" s="18" t="s">
        <v>459</v>
      </c>
      <c r="L16" s="18" t="s">
        <v>460</v>
      </c>
      <c r="M16" s="18" t="s">
        <v>96</v>
      </c>
      <c r="N16" s="18" t="s">
        <v>277</v>
      </c>
      <c r="O16" s="18" t="s">
        <v>98</v>
      </c>
      <c r="P16" s="15" t="str">
        <f t="shared" si="1"/>
        <v>CHEM</v>
      </c>
      <c r="Q16" s="15">
        <f t="shared" si="2"/>
        <v>5</v>
      </c>
      <c r="R16" s="15">
        <f t="shared" si="3"/>
        <v>6</v>
      </c>
      <c r="S16" s="15">
        <f t="shared" si="4"/>
        <v>3</v>
      </c>
      <c r="T16" s="15" t="str">
        <f t="shared" si="5"/>
        <v>A-1</v>
      </c>
      <c r="U16" s="15" t="str">
        <f t="shared" si="6"/>
        <v>T5-M6-H3-FA-1-CHEM</v>
      </c>
      <c r="V16" s="15">
        <f t="shared" si="7"/>
        <v>0</v>
      </c>
      <c r="W16" s="31"/>
      <c r="X16" s="15" t="str">
        <f t="shared" si="8"/>
        <v>badlapur</v>
      </c>
      <c r="Y16" s="32" t="str">
        <f t="shared" si="9"/>
        <v>https://steelmanufacturer.in/market-area/electropolished-pipes-manufacturer-in-badlapur/</v>
      </c>
      <c r="Z16" s="15" t="str">
        <f t="shared" si="10"/>
        <v>Electropolished Pipes Manufacturer in Badlapur</v>
      </c>
      <c r="AA16" s="15" t="str">
        <f t="shared" si="11"/>
        <v>OK (46)</v>
      </c>
      <c r="AB16" s="15" t="str">
        <f t="shared" si="12"/>
        <v>EP tube and pipe for specialty chemical plants around Badlapur MIDC, Badlapur. Made at our Mumbai works to ASTM A270 and ASME BPE SF1-SF4, with 3.1 MTC.</v>
      </c>
      <c r="AC16" s="15" t="str">
        <f t="shared" si="13"/>
        <v>OK (152)</v>
      </c>
      <c r="AD16" s="15" t="str">
        <f t="shared" si="14"/>
        <v>Electropolished Pipes Manufacturer in Badlapur</v>
      </c>
      <c r="AE16" s="15" t="str">
        <f t="shared" si="15"/>
        <v>Electropolished Pipes Manufacturer in Badlapur - Our Process &amp; Capability</v>
      </c>
      <c r="AF16" s="15" t="str">
        <f t="shared" si="16"/>
        <v>Electropolished Pipes Supplier in Badlapur - What We Hold in Stock</v>
      </c>
      <c r="AG16" s="15" t="str">
        <f t="shared" si="17"/>
        <v>Bulk &amp; Wholesale Electropolished Pipe Rates for Badlapur Buyers</v>
      </c>
      <c r="AH16" s="15" t="str">
        <f t="shared" si="18"/>
        <v>electropolished pipes manufacturer in Badlapur, electropolished pipes supplier in Badlapur, electropolished pipes wholesaler in Badlapur, electropolished tube manufacturer Badlapur, EP pipe supplier Badlapur, sanitary tube supplier Badlapur, ASME BPE tubing Badlapur, ASTM A270 tube Badlapur, SS 316L electropolished pipe Badlapur</v>
      </c>
      <c r="AI16" s="15" t="str">
        <f t="shared" si="19"/>
        <v>Electropolished Pipes Manufacturer &amp; Supplier in Badlapur</v>
      </c>
      <c r="AJ16" s="15" t="str">
        <f t="shared" si="20"/>
        <v>EP-finished SS 304/316L pipes and tubes for specialty chemical plants in Badlapur. ASME BPE SF1-SF4, Ra from 0.25 um, EN 10204 3.1 certificate with every lot.</v>
      </c>
      <c r="AK16" s="15" t="str">
        <f t="shared" si="21"/>
        <v>Electropolished stainless steel pipes supplied by Sakshi Forge to specialty chemical plants at Badlapur MIDC, Badlapur</v>
      </c>
      <c r="AL16" s="15" t="str">
        <f t="shared" si="22"/>
        <v>Electropolished SS 316L tube stock for Badlapur - Sakshi Forge</v>
      </c>
      <c r="AM16" s="15" t="str">
        <f t="shared" si="23"/>
        <v>Home &gt; Market Area &gt; India &gt; Maharashtra &gt; Badlapur</v>
      </c>
      <c r="AN16" s="15">
        <f t="shared" si="24"/>
        <v>1400</v>
      </c>
      <c r="AO16" s="15">
        <f t="shared" si="25"/>
        <v>10</v>
      </c>
      <c r="AP16" s="15">
        <f t="shared" si="26"/>
        <v>12</v>
      </c>
      <c r="AQ16" s="15">
        <f t="shared" si="27"/>
        <v>1</v>
      </c>
      <c r="AR16" s="31"/>
      <c r="AS16" s="31"/>
      <c r="AT16" s="35" t="s">
        <v>222</v>
      </c>
      <c r="AU16" s="35"/>
    </row>
    <row r="17">
      <c r="A17" s="15" t="s">
        <v>464</v>
      </c>
      <c r="B17" s="15" t="s">
        <v>60</v>
      </c>
      <c r="C17" s="15" t="s">
        <v>245</v>
      </c>
      <c r="D17" s="15" t="s">
        <v>465</v>
      </c>
      <c r="E17" s="15" t="s">
        <v>465</v>
      </c>
      <c r="F17" s="16" t="s">
        <v>87</v>
      </c>
      <c r="G17" s="17" t="s">
        <v>88</v>
      </c>
      <c r="H17" s="18" t="s">
        <v>466</v>
      </c>
      <c r="I17" s="18" t="s">
        <v>466</v>
      </c>
      <c r="J17" s="18" t="s">
        <v>467</v>
      </c>
      <c r="K17" s="18" t="s">
        <v>250</v>
      </c>
      <c r="L17" s="18" t="s">
        <v>468</v>
      </c>
      <c r="M17" s="18" t="s">
        <v>276</v>
      </c>
      <c r="N17" s="18" t="s">
        <v>252</v>
      </c>
      <c r="O17" s="18" t="s">
        <v>98</v>
      </c>
      <c r="P17" s="15" t="str">
        <f t="shared" si="1"/>
        <v>GENERAL</v>
      </c>
      <c r="Q17" s="15">
        <f t="shared" si="2"/>
        <v>6</v>
      </c>
      <c r="R17" s="15">
        <f t="shared" si="3"/>
        <v>7</v>
      </c>
      <c r="S17" s="15">
        <f t="shared" si="4"/>
        <v>4</v>
      </c>
      <c r="T17" s="15" t="str">
        <f t="shared" si="5"/>
        <v>A-2</v>
      </c>
      <c r="U17" s="15" t="str">
        <f t="shared" si="6"/>
        <v>T6-M7-H4-FA-2-GENERAL</v>
      </c>
      <c r="V17" s="15">
        <f t="shared" si="7"/>
        <v>0</v>
      </c>
      <c r="W17" s="31"/>
      <c r="X17" s="15" t="str">
        <f t="shared" si="8"/>
        <v>bahadurgarh</v>
      </c>
      <c r="Y17" s="32" t="str">
        <f t="shared" si="9"/>
        <v>https://steelmanufacturer.in/market-area/electropolished-pipes-manufacturer-in-bahadurgarh/</v>
      </c>
      <c r="Z17" s="15" t="str">
        <f t="shared" si="10"/>
        <v>Electropolished Pipes Manufacturer in Bahadurgarh</v>
      </c>
      <c r="AA17" s="15" t="str">
        <f t="shared" si="11"/>
        <v>OK (49)</v>
      </c>
      <c r="AB17" s="15" t="str">
        <f t="shared" si="12"/>
        <v>Electropolished pipes in Bahadurgarh: 304, 304L, 316 and 316L in SF1-SF4. same-day to next-day road from our Mumbai works. Mill certified.</v>
      </c>
      <c r="AC17" s="15" t="str">
        <f t="shared" si="13"/>
        <v>OK (138)</v>
      </c>
      <c r="AD17" s="15" t="str">
        <f t="shared" si="14"/>
        <v>Electropolished Pipes Manufacturer in Bahadurgarh</v>
      </c>
      <c r="AE17" s="15" t="str">
        <f t="shared" si="15"/>
        <v>Manufacturing Electropolished SS Tube for Bahadurgarh: The Standards We Build To</v>
      </c>
      <c r="AF17" s="15" t="str">
        <f t="shared" si="16"/>
        <v>Electropolished Pipe Supply Into Bahadurgarh - Certification &amp; Transit</v>
      </c>
      <c r="AG17" s="15" t="str">
        <f t="shared" si="17"/>
        <v>Electropolished Pipes Wholesaler in Bahadurgarh - Project Quantities &amp; Terms</v>
      </c>
      <c r="AH17" s="15" t="str">
        <f t="shared" si="18"/>
        <v>electropolished pipes manufacturer in Bahadurgarh, electropolished pipes supplier in Bahadurgarh, electropolished pipes wholesaler in Bahadurgarh, electropolished tube manufacturer Bahadurgarh, EP pipe supplier Bahadurgarh, sanitary tube supplier Bahadurgarh, ASME BPE tubing Bahadurgarh, ASTM A270 tube Bahadurgarh, SS 316L electropolished pipe Bahadurgarh</v>
      </c>
      <c r="AI17" s="15" t="str">
        <f t="shared" si="19"/>
        <v>Electropolished Pipes Manufacturer &amp; Supplier in Bahadurgarh</v>
      </c>
      <c r="AJ17" s="15" t="str">
        <f t="shared" si="20"/>
        <v>EP-finished SS 304/316L pipes and tubes for engineering &amp; process plants in Bahadurgarh. ASME BPE SF1-SF4, Ra from 0.25 um, EN 10204 3.1 certificate with every lot.</v>
      </c>
      <c r="AK17" s="15" t="str">
        <f t="shared" si="21"/>
        <v>Electropolished stainless steel pipes supplied by Sakshi Forge to engineering &amp; process plants at Bahadurgarh HSIIDC Industrial Estate, Bahadurgarh</v>
      </c>
      <c r="AL17" s="15" t="str">
        <f t="shared" si="22"/>
        <v>Electropolished SS 316L tube stock for Bahadurgarh - Sakshi Forge</v>
      </c>
      <c r="AM17" s="15" t="str">
        <f t="shared" si="23"/>
        <v>Home &gt; Market Area &gt; India &gt; Haryana &gt; Bahadurgarh</v>
      </c>
      <c r="AN17" s="15">
        <f t="shared" si="24"/>
        <v>1400</v>
      </c>
      <c r="AO17" s="15">
        <f t="shared" si="25"/>
        <v>10</v>
      </c>
      <c r="AP17" s="15">
        <f t="shared" si="26"/>
        <v>12</v>
      </c>
      <c r="AQ17" s="15">
        <f t="shared" si="27"/>
        <v>1</v>
      </c>
      <c r="AR17" s="31"/>
      <c r="AS17" s="31"/>
      <c r="AT17" s="35" t="s">
        <v>222</v>
      </c>
      <c r="AU17" s="35"/>
    </row>
    <row r="18">
      <c r="A18" s="15" t="s">
        <v>499</v>
      </c>
      <c r="B18" s="15" t="s">
        <v>60</v>
      </c>
      <c r="C18" s="15" t="s">
        <v>447</v>
      </c>
      <c r="D18" s="15" t="s">
        <v>501</v>
      </c>
      <c r="E18" s="15" t="s">
        <v>501</v>
      </c>
      <c r="F18" s="16" t="s">
        <v>87</v>
      </c>
      <c r="G18" s="17" t="s">
        <v>88</v>
      </c>
      <c r="H18" s="18" t="s">
        <v>504</v>
      </c>
      <c r="I18" s="18" t="s">
        <v>504</v>
      </c>
      <c r="J18" s="18" t="s">
        <v>506</v>
      </c>
      <c r="K18" s="18" t="s">
        <v>229</v>
      </c>
      <c r="L18" s="18" t="s">
        <v>508</v>
      </c>
      <c r="M18" s="18" t="s">
        <v>96</v>
      </c>
      <c r="N18" s="18" t="s">
        <v>232</v>
      </c>
      <c r="O18" s="18" t="s">
        <v>98</v>
      </c>
      <c r="P18" s="15" t="str">
        <f t="shared" si="1"/>
        <v>PHARMA</v>
      </c>
      <c r="Q18" s="15">
        <f t="shared" si="2"/>
        <v>7</v>
      </c>
      <c r="R18" s="15">
        <f t="shared" si="3"/>
        <v>1</v>
      </c>
      <c r="S18" s="15">
        <f t="shared" si="4"/>
        <v>5</v>
      </c>
      <c r="T18" s="15" t="str">
        <f t="shared" si="5"/>
        <v>A-3</v>
      </c>
      <c r="U18" s="15" t="str">
        <f t="shared" si="6"/>
        <v>T7-M1-H5-FA-3-PHARMA</v>
      </c>
      <c r="V18" s="15">
        <f t="shared" si="7"/>
        <v>0</v>
      </c>
      <c r="W18" s="31"/>
      <c r="X18" s="15" t="str">
        <f t="shared" si="8"/>
        <v>barotiwala</v>
      </c>
      <c r="Y18" s="32" t="str">
        <f t="shared" si="9"/>
        <v>https://steelmanufacturer.in/market-area/electropolished-pipes-manufacturer-in-barotiwala/</v>
      </c>
      <c r="Z18" s="15" t="str">
        <f t="shared" si="10"/>
        <v>Electropolished Pipes Manufacturer in Barotiwala</v>
      </c>
      <c r="AA18" s="15" t="str">
        <f t="shared" si="11"/>
        <v>OK (48)</v>
      </c>
      <c r="AB18" s="15" t="str">
        <f t="shared" si="12"/>
        <v>EP-finished SS 304/316L pipes &amp; tubes for pharma plants in Barotiwala. ASTM A270, ASME BPE SF1-SF4, EN 10204 3.1 MTC. PMI tested.</v>
      </c>
      <c r="AC18" s="15" t="str">
        <f t="shared" si="13"/>
        <v>OK (129)</v>
      </c>
      <c r="AD18" s="15" t="str">
        <f t="shared" si="14"/>
        <v>Electropolished Pipes Manufacturer in Barotiwala</v>
      </c>
      <c r="AE18" s="15" t="str">
        <f t="shared" si="15"/>
        <v>Electropolished Tube Manufacturing Capability Serving Barotiwala</v>
      </c>
      <c r="AF18" s="15" t="str">
        <f t="shared" si="16"/>
        <v>Electropolished Pipes Supplier in Barotiwala - From Order to Delivery</v>
      </c>
      <c r="AG18" s="15" t="str">
        <f t="shared" si="17"/>
        <v>Stockist &amp; Wholesale Supply of Electropolished Pipes in Barotiwala</v>
      </c>
      <c r="AH18" s="15" t="str">
        <f t="shared" si="18"/>
        <v>electropolished pipes manufacturer in Barotiwala, electropolished pipes supplier in Barotiwala, electropolished pipes wholesaler in Barotiwala, electropolished tube manufacturer Barotiwala, EP pipe supplier Barotiwala, sanitary tube supplier Barotiwala, ASME BPE tubing Barotiwala, ASTM A270 tube Barotiwala, SS 316L electropolished pipe Barotiwala</v>
      </c>
      <c r="AI18" s="15" t="str">
        <f t="shared" si="19"/>
        <v>Electropolished Pipes Manufacturer &amp; Supplier in Barotiwala</v>
      </c>
      <c r="AJ18" s="15" t="str">
        <f t="shared" si="20"/>
        <v>EP-finished SS 304/316L pipes and tubes for pharma plants in Barotiwala. ASME BPE SF1-SF4, Ra from 0.25 um, EN 10204 3.1 certificate with every lot.</v>
      </c>
      <c r="AK18" s="15" t="str">
        <f t="shared" si="21"/>
        <v>Electropolished stainless steel pipes supplied by Sakshi Forge to pharma plants at Barotiwala Industrial Area, Barotiwala</v>
      </c>
      <c r="AL18" s="15" t="str">
        <f t="shared" si="22"/>
        <v>Electropolished SS 316L tube stock for Barotiwala - Sakshi Forge</v>
      </c>
      <c r="AM18" s="15" t="str">
        <f t="shared" si="23"/>
        <v>Home &gt; Market Area &gt; India &gt; Himachal Pradesh &gt; Barotiwala</v>
      </c>
      <c r="AN18" s="15">
        <f t="shared" si="24"/>
        <v>1400</v>
      </c>
      <c r="AO18" s="15">
        <f t="shared" si="25"/>
        <v>10</v>
      </c>
      <c r="AP18" s="15">
        <f t="shared" si="26"/>
        <v>12</v>
      </c>
      <c r="AQ18" s="15">
        <f t="shared" si="27"/>
        <v>1</v>
      </c>
      <c r="AR18" s="31"/>
      <c r="AS18" s="31"/>
      <c r="AT18" s="35" t="s">
        <v>222</v>
      </c>
      <c r="AU18" s="35"/>
    </row>
    <row r="19">
      <c r="A19" s="15" t="s">
        <v>568</v>
      </c>
      <c r="B19" s="15" t="s">
        <v>60</v>
      </c>
      <c r="C19" s="15" t="s">
        <v>570</v>
      </c>
      <c r="D19" s="15" t="s">
        <v>572</v>
      </c>
      <c r="E19" s="15" t="s">
        <v>572</v>
      </c>
      <c r="F19" s="16" t="s">
        <v>87</v>
      </c>
      <c r="G19" s="17" t="s">
        <v>88</v>
      </c>
      <c r="H19" s="18" t="s">
        <v>575</v>
      </c>
      <c r="I19" s="18" t="s">
        <v>577</v>
      </c>
      <c r="J19" s="18" t="s">
        <v>578</v>
      </c>
      <c r="K19" s="18" t="s">
        <v>579</v>
      </c>
      <c r="L19" s="18" t="s">
        <v>582</v>
      </c>
      <c r="M19" s="18" t="s">
        <v>231</v>
      </c>
      <c r="N19" s="18" t="s">
        <v>585</v>
      </c>
      <c r="O19" s="18" t="s">
        <v>98</v>
      </c>
      <c r="P19" s="15" t="str">
        <f t="shared" si="1"/>
        <v>DAIRY</v>
      </c>
      <c r="Q19" s="15">
        <f t="shared" si="2"/>
        <v>8</v>
      </c>
      <c r="R19" s="15">
        <f t="shared" si="3"/>
        <v>2</v>
      </c>
      <c r="S19" s="15">
        <f t="shared" si="4"/>
        <v>1</v>
      </c>
      <c r="T19" s="15" t="str">
        <f t="shared" si="5"/>
        <v>A-4</v>
      </c>
      <c r="U19" s="15" t="str">
        <f t="shared" si="6"/>
        <v>T8-M2-H1-FA-4-DAIRY</v>
      </c>
      <c r="V19" s="15">
        <f t="shared" si="7"/>
        <v>0</v>
      </c>
      <c r="W19" s="31"/>
      <c r="X19" s="15" t="str">
        <f t="shared" si="8"/>
        <v>belagavi</v>
      </c>
      <c r="Y19" s="32" t="str">
        <f t="shared" si="9"/>
        <v>https://steelmanufacturer.in/market-area/electropolished-pipes-manufacturer-in-belagavi/</v>
      </c>
      <c r="Z19" s="15" t="str">
        <f t="shared" si="10"/>
        <v>Electropolished Pipes Manufacturer in Belagavi - EP Tube Stockist</v>
      </c>
      <c r="AA19" s="15" t="str">
        <f t="shared" si="11"/>
        <v>OK (65)</v>
      </c>
      <c r="AB19" s="15" t="str">
        <f t="shared" si="12"/>
        <v>Electropolished tube supply to Udyambag Industrial Area, Belagavi. Ra from 0.25 um, SF4 finish, mill test certificate with every lot.</v>
      </c>
      <c r="AC19" s="15" t="str">
        <f t="shared" si="13"/>
        <v>OK (133)</v>
      </c>
      <c r="AD19" s="15" t="str">
        <f t="shared" si="14"/>
        <v>Electropolished Pipes Manufacturer in Belagavi</v>
      </c>
      <c r="AE19" s="15" t="str">
        <f t="shared" si="15"/>
        <v>Electropolished Pipe &amp; Tube Manufacturing for Belagavi - Grades, Finishes &amp; Certification</v>
      </c>
      <c r="AF19" s="15" t="str">
        <f t="shared" si="16"/>
        <v>Electropolished Pipes Supplier in Belagavi - Stock Sizes, Lead Time &amp; Delivery</v>
      </c>
      <c r="AG19" s="15" t="str">
        <f t="shared" si="17"/>
        <v>Electropolished Pipes Wholesaler &amp; Stockist in Belagavi - Bulk &amp; Project Pricing</v>
      </c>
      <c r="AH19" s="15" t="str">
        <f t="shared" si="18"/>
        <v>electropolished pipes manufacturer in Belagavi, electropolished pipes supplier in Belagavi, electropolished pipes wholesaler in Belagavi, electropolished tube manufacturer Belagavi, EP pipe supplier Belagavi, sanitary tube supplier Belagavi, ASME BPE tubing Belagavi, ASTM A270 tube Belagavi, SS 316L electropolished pipe Belagavi</v>
      </c>
      <c r="AI19" s="15" t="str">
        <f t="shared" si="19"/>
        <v>Electropolished Pipes Manufacturer &amp; Supplier in Belagavi</v>
      </c>
      <c r="AJ19" s="15" t="str">
        <f t="shared" si="20"/>
        <v>EP-finished SS 304/316L pipes and tubes for food &amp; dairy plants in Belagavi. ASME BPE SF1-SF4, Ra from 0.25 um, EN 10204 3.1 certificate with every lot.</v>
      </c>
      <c r="AK19" s="15" t="str">
        <f t="shared" si="21"/>
        <v>Electropolished stainless steel pipes supplied by Sakshi Forge to food &amp; dairy plants at Udyambag Industrial Area, Belagavi</v>
      </c>
      <c r="AL19" s="15" t="str">
        <f t="shared" si="22"/>
        <v>Electropolished SS 316L tube stock for Belagavi - Sakshi Forge</v>
      </c>
      <c r="AM19" s="15" t="str">
        <f t="shared" si="23"/>
        <v>Home &gt; Market Area &gt; India &gt; Karnataka &gt; Belagavi</v>
      </c>
      <c r="AN19" s="15">
        <f t="shared" si="24"/>
        <v>1400</v>
      </c>
      <c r="AO19" s="15">
        <f t="shared" si="25"/>
        <v>10</v>
      </c>
      <c r="AP19" s="15">
        <f t="shared" si="26"/>
        <v>12</v>
      </c>
      <c r="AQ19" s="15">
        <f t="shared" si="27"/>
        <v>1</v>
      </c>
      <c r="AR19" s="31"/>
      <c r="AS19" s="31"/>
      <c r="AT19" s="35" t="s">
        <v>222</v>
      </c>
      <c r="AU19" s="35"/>
    </row>
    <row r="20">
      <c r="A20" s="15" t="s">
        <v>658</v>
      </c>
      <c r="B20" s="15" t="s">
        <v>60</v>
      </c>
      <c r="C20" s="15" t="s">
        <v>570</v>
      </c>
      <c r="D20" s="15" t="s">
        <v>662</v>
      </c>
      <c r="E20" s="15" t="s">
        <v>662</v>
      </c>
      <c r="F20" s="16" t="s">
        <v>87</v>
      </c>
      <c r="G20" s="17" t="s">
        <v>88</v>
      </c>
      <c r="H20" s="18" t="s">
        <v>668</v>
      </c>
      <c r="I20" s="18" t="s">
        <v>669</v>
      </c>
      <c r="J20" s="18" t="s">
        <v>671</v>
      </c>
      <c r="K20" s="18" t="s">
        <v>674</v>
      </c>
      <c r="L20" s="18" t="s">
        <v>675</v>
      </c>
      <c r="M20" s="18" t="s">
        <v>231</v>
      </c>
      <c r="N20" s="18" t="s">
        <v>232</v>
      </c>
      <c r="O20" s="18" t="s">
        <v>98</v>
      </c>
      <c r="P20" s="15" t="str">
        <f t="shared" si="1"/>
        <v>SEMI</v>
      </c>
      <c r="Q20" s="15">
        <f t="shared" si="2"/>
        <v>1</v>
      </c>
      <c r="R20" s="15">
        <f t="shared" si="3"/>
        <v>3</v>
      </c>
      <c r="S20" s="15">
        <f t="shared" si="4"/>
        <v>2</v>
      </c>
      <c r="T20" s="15" t="str">
        <f t="shared" si="5"/>
        <v>A-5</v>
      </c>
      <c r="U20" s="15" t="str">
        <f t="shared" si="6"/>
        <v>T1-M3-H2-FA-5-SEMI</v>
      </c>
      <c r="V20" s="15">
        <f t="shared" si="7"/>
        <v>0</v>
      </c>
      <c r="W20" s="31"/>
      <c r="X20" s="15" t="str">
        <f t="shared" si="8"/>
        <v>bengaluru</v>
      </c>
      <c r="Y20" s="32" t="str">
        <f t="shared" si="9"/>
        <v>https://steelmanufacturer.in/market-area/electropolished-pipes-manufacturer-in-bengaluru/</v>
      </c>
      <c r="Z20" s="15" t="str">
        <f t="shared" si="10"/>
        <v>Electropolished Pipes Manufacturer in Bengaluru | Sakshi Forge</v>
      </c>
      <c r="AA20" s="15" t="str">
        <f t="shared" si="11"/>
        <v>OK (62)</v>
      </c>
      <c r="AB20" s="15" t="str">
        <f t="shared" si="12"/>
        <v>EP stainless tube for semiconductor &amp; pharma lines in Bengaluru. 2-3 day road transit from our Mumbai works. ASTM A270 S2, PMI tested, EN 10204 3.1.</v>
      </c>
      <c r="AC20" s="15" t="str">
        <f t="shared" si="13"/>
        <v>OK (148)</v>
      </c>
      <c r="AD20" s="15" t="str">
        <f t="shared" si="14"/>
        <v>Electropolished Pipes Manufacturer in Bengaluru</v>
      </c>
      <c r="AE20" s="15" t="str">
        <f t="shared" si="15"/>
        <v>How We Manufacture Electropolished Tube for Bengaluru Plants</v>
      </c>
      <c r="AF20" s="15" t="str">
        <f t="shared" si="16"/>
        <v>Supplying Electropolished Pipes in Bengaluru: Availability, Sizes &amp; Dispatch</v>
      </c>
      <c r="AG20" s="15" t="str">
        <f t="shared" si="17"/>
        <v>Wholesale Electropolished Pipe Supply for Bengaluru Projects</v>
      </c>
      <c r="AH20" s="15" t="str">
        <f t="shared" si="18"/>
        <v>electropolished pipes manufacturer in Bengaluru, electropolished pipes supplier in Bengaluru, electropolished pipes wholesaler in Bengaluru, electropolished tube manufacturer Bengaluru, EP pipe supplier Bengaluru, sanitary tube supplier Bengaluru, ASME BPE tubing Bengaluru, ASTM A270 tube Bengaluru, SS 316L electropolished pipe Bengaluru</v>
      </c>
      <c r="AI20" s="15" t="str">
        <f t="shared" si="19"/>
        <v>Electropolished Pipes Manufacturer &amp; Supplier in Bengaluru</v>
      </c>
      <c r="AJ20" s="15" t="str">
        <f t="shared" si="20"/>
        <v>EP-finished SS 304/316L pipes and tubes for semiconductor &amp; pharma plants in Bengaluru. ASME BPE SF1-SF4, Ra from 0.25 um, EN 10204 3.1 certificate with every lot.</v>
      </c>
      <c r="AK20" s="15" t="str">
        <f t="shared" si="21"/>
        <v>Electropolished stainless steel pipes supplied by Sakshi Forge to semiconductor &amp; pharma plants at Peenya Industrial Area KIADB, Bengaluru</v>
      </c>
      <c r="AL20" s="15" t="str">
        <f t="shared" si="22"/>
        <v>Electropolished SS 316L tube stock for Bengaluru - Sakshi Forge</v>
      </c>
      <c r="AM20" s="15" t="str">
        <f t="shared" si="23"/>
        <v>Home &gt; Market Area &gt; India &gt; Karnataka &gt; Bengaluru</v>
      </c>
      <c r="AN20" s="15">
        <f t="shared" si="24"/>
        <v>1400</v>
      </c>
      <c r="AO20" s="15">
        <f t="shared" si="25"/>
        <v>10</v>
      </c>
      <c r="AP20" s="15">
        <f t="shared" si="26"/>
        <v>12</v>
      </c>
      <c r="AQ20" s="15">
        <f t="shared" si="27"/>
        <v>1</v>
      </c>
      <c r="AR20" s="31"/>
      <c r="AS20" s="31"/>
      <c r="AT20" s="35" t="s">
        <v>222</v>
      </c>
      <c r="AU20" s="35"/>
    </row>
    <row r="21" ht="15.75" customHeight="1">
      <c r="A21" s="15" t="s">
        <v>709</v>
      </c>
      <c r="B21" s="15" t="s">
        <v>60</v>
      </c>
      <c r="C21" s="15" t="s">
        <v>224</v>
      </c>
      <c r="D21" s="15" t="s">
        <v>710</v>
      </c>
      <c r="E21" s="15" t="s">
        <v>710</v>
      </c>
      <c r="F21" s="16" t="s">
        <v>87</v>
      </c>
      <c r="G21" s="17" t="s">
        <v>88</v>
      </c>
      <c r="H21" s="18" t="s">
        <v>712</v>
      </c>
      <c r="I21" s="18" t="s">
        <v>713</v>
      </c>
      <c r="J21" s="18" t="s">
        <v>715</v>
      </c>
      <c r="K21" s="18" t="s">
        <v>436</v>
      </c>
      <c r="L21" s="18" t="s">
        <v>717</v>
      </c>
      <c r="M21" s="18" t="s">
        <v>276</v>
      </c>
      <c r="N21" s="18" t="s">
        <v>232</v>
      </c>
      <c r="O21" s="18" t="s">
        <v>98</v>
      </c>
      <c r="P21" s="15" t="str">
        <f t="shared" si="1"/>
        <v>PHARMA</v>
      </c>
      <c r="Q21" s="15">
        <f t="shared" si="2"/>
        <v>2</v>
      </c>
      <c r="R21" s="15">
        <f t="shared" si="3"/>
        <v>4</v>
      </c>
      <c r="S21" s="15">
        <f t="shared" si="4"/>
        <v>3</v>
      </c>
      <c r="T21" s="15" t="str">
        <f t="shared" si="5"/>
        <v>A-6</v>
      </c>
      <c r="U21" s="15" t="str">
        <f t="shared" si="6"/>
        <v>T2-M4-H3-FA-6-PHARMA</v>
      </c>
      <c r="V21" s="15">
        <f t="shared" si="7"/>
        <v>0</v>
      </c>
      <c r="W21" s="31"/>
      <c r="X21" s="15" t="str">
        <f t="shared" si="8"/>
        <v>bharuch</v>
      </c>
      <c r="Y21" s="32" t="str">
        <f t="shared" si="9"/>
        <v>https://steelmanufacturer.in/market-area/electropolished-pipes-manufacturer-in-bharuch/</v>
      </c>
      <c r="Z21" s="15" t="str">
        <f t="shared" si="10"/>
        <v>Electropolished Pipes Manufacturer in Bharuch</v>
      </c>
      <c r="AA21" s="15" t="str">
        <f t="shared" si="11"/>
        <v>OK (45)</v>
      </c>
      <c r="AB21" s="15" t="str">
        <f t="shared" si="12"/>
        <v>Sanitary electropolished pipes in Bharuch for pharma &amp; API plants. ASME BPE SF1-SF4, orbital-weld ready, 3.1 MTC. Mumbai-made.</v>
      </c>
      <c r="AC21" s="15" t="str">
        <f t="shared" si="13"/>
        <v>OK (126)</v>
      </c>
      <c r="AD21" s="15" t="str">
        <f t="shared" si="14"/>
        <v>Electropolished Pipes Manufacturer in Bharuch</v>
      </c>
      <c r="AE21" s="15" t="str">
        <f t="shared" si="15"/>
        <v>Electropolished Pipes Manufacturer in Bharuch - Our Process &amp; Capability</v>
      </c>
      <c r="AF21" s="15" t="str">
        <f t="shared" si="16"/>
        <v>Electropolished Pipes Supplier in Bharuch - What We Hold in Stock</v>
      </c>
      <c r="AG21" s="15" t="str">
        <f t="shared" si="17"/>
        <v>Bulk &amp; Wholesale Electropolished Pipe Rates for Bharuch Buyers</v>
      </c>
      <c r="AH21" s="15" t="str">
        <f t="shared" si="18"/>
        <v>electropolished pipes manufacturer in Bharuch, electropolished pipes supplier in Bharuch, electropolished pipes wholesaler in Bharuch, electropolished tube manufacturer Bharuch, EP pipe supplier Bharuch, sanitary tube supplier Bharuch, ASME BPE tubing Bharuch, ASTM A270 tube Bharuch, SS 316L electropolished pipe Bharuch</v>
      </c>
      <c r="AI21" s="15" t="str">
        <f t="shared" si="19"/>
        <v>Electropolished Pipes Manufacturer &amp; Supplier in Bharuch</v>
      </c>
      <c r="AJ21" s="15" t="str">
        <f t="shared" si="20"/>
        <v>EP-finished SS 304/316L pipes and tubes for pharma &amp; API plants in Bharuch. ASME BPE SF1-SF4, Ra from 0.25 um, EN 10204 3.1 certificate with every lot.</v>
      </c>
      <c r="AK21" s="15" t="str">
        <f t="shared" si="21"/>
        <v>Electropolished stainless steel pipes supplied by Sakshi Forge to pharma &amp; API plants at Dahej PCPIR, Bharuch</v>
      </c>
      <c r="AL21" s="15" t="str">
        <f t="shared" si="22"/>
        <v>Electropolished SS 316L tube stock for Bharuch - Sakshi Forge</v>
      </c>
      <c r="AM21" s="15" t="str">
        <f t="shared" si="23"/>
        <v>Home &gt; Market Area &gt; India &gt; Gujarat &gt; Bharuch</v>
      </c>
      <c r="AN21" s="15">
        <f t="shared" si="24"/>
        <v>1400</v>
      </c>
      <c r="AO21" s="15">
        <f t="shared" si="25"/>
        <v>10</v>
      </c>
      <c r="AP21" s="15">
        <f t="shared" si="26"/>
        <v>12</v>
      </c>
      <c r="AQ21" s="15">
        <f t="shared" si="27"/>
        <v>1</v>
      </c>
      <c r="AR21" s="31"/>
      <c r="AS21" s="31"/>
      <c r="AT21" s="35" t="s">
        <v>222</v>
      </c>
      <c r="AU21" s="35"/>
    </row>
    <row r="22" ht="15.75" customHeight="1">
      <c r="A22" s="15" t="s">
        <v>746</v>
      </c>
      <c r="B22" s="15" t="s">
        <v>60</v>
      </c>
      <c r="C22" s="15" t="s">
        <v>224</v>
      </c>
      <c r="D22" s="15" t="s">
        <v>748</v>
      </c>
      <c r="E22" s="15" t="s">
        <v>748</v>
      </c>
      <c r="F22" s="16" t="s">
        <v>87</v>
      </c>
      <c r="G22" s="17" t="s">
        <v>88</v>
      </c>
      <c r="H22" s="18" t="s">
        <v>749</v>
      </c>
      <c r="I22" s="18" t="s">
        <v>750</v>
      </c>
      <c r="J22" s="18" t="s">
        <v>751</v>
      </c>
      <c r="K22" s="18" t="s">
        <v>271</v>
      </c>
      <c r="L22" s="18" t="s">
        <v>752</v>
      </c>
      <c r="M22" s="18" t="s">
        <v>96</v>
      </c>
      <c r="N22" s="18" t="s">
        <v>277</v>
      </c>
      <c r="O22" s="18" t="s">
        <v>98</v>
      </c>
      <c r="P22" s="15" t="str">
        <f t="shared" si="1"/>
        <v>CHEM</v>
      </c>
      <c r="Q22" s="15">
        <f t="shared" si="2"/>
        <v>3</v>
      </c>
      <c r="R22" s="15">
        <f t="shared" si="3"/>
        <v>5</v>
      </c>
      <c r="S22" s="15">
        <f t="shared" si="4"/>
        <v>4</v>
      </c>
      <c r="T22" s="15" t="str">
        <f t="shared" si="5"/>
        <v>A-1</v>
      </c>
      <c r="U22" s="15" t="str">
        <f t="shared" si="6"/>
        <v>T3-M5-H4-FA-1-CHEM</v>
      </c>
      <c r="V22" s="15">
        <f t="shared" si="7"/>
        <v>0</v>
      </c>
      <c r="W22" s="31"/>
      <c r="X22" s="15" t="str">
        <f t="shared" si="8"/>
        <v>bhavnagar</v>
      </c>
      <c r="Y22" s="32" t="str">
        <f t="shared" si="9"/>
        <v>https://steelmanufacturer.in/market-area/electropolished-pipes-manufacturer-in-bhavnagar/</v>
      </c>
      <c r="Z22" s="15" t="str">
        <f t="shared" si="10"/>
        <v>Electropolished Pipes Manufacturer in Bhavnagar</v>
      </c>
      <c r="AA22" s="15" t="str">
        <f t="shared" si="11"/>
        <v>OK (47)</v>
      </c>
      <c r="AB22" s="15" t="str">
        <f t="shared" si="12"/>
        <v>Manufacturer of electropolished SS 316L tube serving Bhavnagar. 1-2 day road transit from our Mumbai works. Ra 0.25-0.5 um, EN 10204 3.1 MTC.</v>
      </c>
      <c r="AC22" s="15" t="str">
        <f t="shared" si="13"/>
        <v>OK (141)</v>
      </c>
      <c r="AD22" s="15" t="str">
        <f t="shared" si="14"/>
        <v>Electropolished Pipes Manufacturer in Bhavnagar</v>
      </c>
      <c r="AE22" s="15" t="str">
        <f t="shared" si="15"/>
        <v>Manufacturing Electropolished SS Tube for Bhavnagar: The Standards We Build To</v>
      </c>
      <c r="AF22" s="15" t="str">
        <f t="shared" si="16"/>
        <v>Electropolished Pipe Supply Into Bhavnagar - Certification &amp; Transit</v>
      </c>
      <c r="AG22" s="15" t="str">
        <f t="shared" si="17"/>
        <v>Electropolished Pipes Wholesaler in Bhavnagar - Project Quantities &amp; Terms</v>
      </c>
      <c r="AH22" s="15" t="str">
        <f t="shared" si="18"/>
        <v>electropolished pipes manufacturer in Bhavnagar, electropolished pipes supplier in Bhavnagar, electropolished pipes wholesaler in Bhavnagar, electropolished tube manufacturer Bhavnagar, EP pipe supplier Bhavnagar, sanitary tube supplier Bhavnagar, ASME BPE tubing Bhavnagar, ASTM A270 tube Bhavnagar, SS 316L electropolished pipe Bhavnagar</v>
      </c>
      <c r="AI22" s="15" t="str">
        <f t="shared" si="19"/>
        <v>Electropolished Pipes Manufacturer &amp; Supplier in Bhavnagar</v>
      </c>
      <c r="AJ22" s="15" t="str">
        <f t="shared" si="20"/>
        <v>EP-finished SS 304/316L pipes and tubes for chemical plants in Bhavnagar. ASME BPE SF1-SF4, Ra from 0.25 um, EN 10204 3.1 certificate with every lot.</v>
      </c>
      <c r="AK22" s="15" t="str">
        <f t="shared" si="21"/>
        <v>Electropolished stainless steel pipes supplied by Sakshi Forge to chemical plants at Chitra GIDC, Bhavnagar</v>
      </c>
      <c r="AL22" s="15" t="str">
        <f t="shared" si="22"/>
        <v>Electropolished SS 316L tube stock for Bhavnagar - Sakshi Forge</v>
      </c>
      <c r="AM22" s="15" t="str">
        <f t="shared" si="23"/>
        <v>Home &gt; Market Area &gt; India &gt; Gujarat &gt; Bhavnagar</v>
      </c>
      <c r="AN22" s="15">
        <f t="shared" si="24"/>
        <v>1400</v>
      </c>
      <c r="AO22" s="15">
        <f t="shared" si="25"/>
        <v>10</v>
      </c>
      <c r="AP22" s="15">
        <f t="shared" si="26"/>
        <v>12</v>
      </c>
      <c r="AQ22" s="15">
        <f t="shared" si="27"/>
        <v>1</v>
      </c>
      <c r="AR22" s="31"/>
      <c r="AS22" s="31"/>
      <c r="AT22" s="35" t="s">
        <v>222</v>
      </c>
      <c r="AU22" s="35"/>
    </row>
    <row r="23" ht="15.75" customHeight="1">
      <c r="A23" s="15" t="s">
        <v>772</v>
      </c>
      <c r="B23" s="15" t="s">
        <v>60</v>
      </c>
      <c r="C23" s="15" t="s">
        <v>775</v>
      </c>
      <c r="D23" s="15" t="s">
        <v>776</v>
      </c>
      <c r="E23" s="15" t="s">
        <v>776</v>
      </c>
      <c r="F23" s="16" t="s">
        <v>87</v>
      </c>
      <c r="G23" s="17" t="s">
        <v>88</v>
      </c>
      <c r="H23" s="18" t="s">
        <v>778</v>
      </c>
      <c r="I23" s="18" t="s">
        <v>779</v>
      </c>
      <c r="J23" s="18" t="s">
        <v>780</v>
      </c>
      <c r="K23" s="18" t="s">
        <v>250</v>
      </c>
      <c r="L23" s="18" t="s">
        <v>783</v>
      </c>
      <c r="M23" s="18" t="s">
        <v>231</v>
      </c>
      <c r="N23" s="18" t="s">
        <v>252</v>
      </c>
      <c r="O23" s="18" t="s">
        <v>98</v>
      </c>
      <c r="P23" s="15" t="str">
        <f t="shared" si="1"/>
        <v>GENERAL</v>
      </c>
      <c r="Q23" s="15">
        <f t="shared" si="2"/>
        <v>4</v>
      </c>
      <c r="R23" s="15">
        <f t="shared" si="3"/>
        <v>6</v>
      </c>
      <c r="S23" s="15">
        <f t="shared" si="4"/>
        <v>5</v>
      </c>
      <c r="T23" s="15" t="str">
        <f t="shared" si="5"/>
        <v>A-2</v>
      </c>
      <c r="U23" s="15" t="str">
        <f t="shared" si="6"/>
        <v>T4-M6-H5-FA-2-GENERAL</v>
      </c>
      <c r="V23" s="15">
        <f t="shared" si="7"/>
        <v>0</v>
      </c>
      <c r="W23" s="31"/>
      <c r="X23" s="15" t="str">
        <f t="shared" si="8"/>
        <v>bhilai</v>
      </c>
      <c r="Y23" s="32" t="str">
        <f t="shared" si="9"/>
        <v>https://steelmanufacturer.in/market-area/electropolished-pipes-manufacturer-in-bhilai/</v>
      </c>
      <c r="Z23" s="15" t="str">
        <f t="shared" si="10"/>
        <v>Electropolished Pipes Manufacturer in Bhilai</v>
      </c>
      <c r="AA23" s="15" t="str">
        <f t="shared" si="11"/>
        <v>OK (44)</v>
      </c>
      <c r="AB23" s="15" t="str">
        <f t="shared" si="12"/>
        <v>EP tube and pipe for engineering &amp; process plants around Bhilai Industrial Belt, Bhilai. ASTM A270, ASME BPE SF1-SF4, EN 10204 3.1 MTC.</v>
      </c>
      <c r="AC23" s="15" t="str">
        <f t="shared" si="13"/>
        <v>OK (135)</v>
      </c>
      <c r="AD23" s="15" t="str">
        <f t="shared" si="14"/>
        <v>Electropolished Pipes Manufacturer in Bhilai</v>
      </c>
      <c r="AE23" s="15" t="str">
        <f t="shared" si="15"/>
        <v>Electropolished Tube Manufacturing Capability Serving Bhilai</v>
      </c>
      <c r="AF23" s="15" t="str">
        <f t="shared" si="16"/>
        <v>Electropolished Pipes Supplier in Bhilai - From Order to Delivery</v>
      </c>
      <c r="AG23" s="15" t="str">
        <f t="shared" si="17"/>
        <v>Stockist &amp; Wholesale Supply of Electropolished Pipes in Bhilai</v>
      </c>
      <c r="AH23" s="15" t="str">
        <f t="shared" si="18"/>
        <v>electropolished pipes manufacturer in Bhilai, electropolished pipes supplier in Bhilai, electropolished pipes wholesaler in Bhilai, electropolished tube manufacturer Bhilai, EP pipe supplier Bhilai, sanitary tube supplier Bhilai, ASME BPE tubing Bhilai, ASTM A270 tube Bhilai, SS 316L electropolished pipe Bhilai</v>
      </c>
      <c r="AI23" s="15" t="str">
        <f t="shared" si="19"/>
        <v>Electropolished Pipes Manufacturer &amp; Supplier in Bhilai</v>
      </c>
      <c r="AJ23" s="15" t="str">
        <f t="shared" si="20"/>
        <v>EP-finished SS 304/316L pipes and tubes for engineering &amp; process plants in Bhilai. ASME BPE SF1-SF4, Ra from 0.25 um, EN 10204 3.1 certificate with every lot.</v>
      </c>
      <c r="AK23" s="15" t="str">
        <f t="shared" si="21"/>
        <v>Electropolished stainless steel pipes supplied by Sakshi Forge to engineering &amp; process plants at Bhilai Industrial Belt, Bhilai</v>
      </c>
      <c r="AL23" s="15" t="str">
        <f t="shared" si="22"/>
        <v>Electropolished SS 316L tube stock for Bhilai - Sakshi Forge</v>
      </c>
      <c r="AM23" s="15" t="str">
        <f t="shared" si="23"/>
        <v>Home &gt; Market Area &gt; India &gt; Chhattisgarh &gt; Bhilai</v>
      </c>
      <c r="AN23" s="15">
        <f t="shared" si="24"/>
        <v>1400</v>
      </c>
      <c r="AO23" s="15">
        <f t="shared" si="25"/>
        <v>10</v>
      </c>
      <c r="AP23" s="15">
        <f t="shared" si="26"/>
        <v>12</v>
      </c>
      <c r="AQ23" s="15">
        <f t="shared" si="27"/>
        <v>1</v>
      </c>
      <c r="AR23" s="31"/>
      <c r="AS23" s="31"/>
      <c r="AT23" s="35" t="s">
        <v>222</v>
      </c>
      <c r="AU23" s="35"/>
    </row>
    <row r="24" ht="15.75" customHeight="1">
      <c r="A24" s="15" t="s">
        <v>822</v>
      </c>
      <c r="B24" s="15" t="s">
        <v>60</v>
      </c>
      <c r="C24" s="15" t="s">
        <v>236</v>
      </c>
      <c r="D24" s="15" t="s">
        <v>824</v>
      </c>
      <c r="E24" s="15" t="s">
        <v>824</v>
      </c>
      <c r="F24" s="16" t="s">
        <v>87</v>
      </c>
      <c r="G24" s="17" t="s">
        <v>88</v>
      </c>
      <c r="H24" s="18" t="s">
        <v>827</v>
      </c>
      <c r="I24" s="18" t="s">
        <v>827</v>
      </c>
      <c r="J24" s="18" t="s">
        <v>828</v>
      </c>
      <c r="K24" s="18" t="s">
        <v>250</v>
      </c>
      <c r="L24" s="18" t="s">
        <v>829</v>
      </c>
      <c r="M24" s="18" t="s">
        <v>830</v>
      </c>
      <c r="N24" s="18" t="s">
        <v>252</v>
      </c>
      <c r="O24" s="18" t="s">
        <v>98</v>
      </c>
      <c r="P24" s="15" t="str">
        <f t="shared" si="1"/>
        <v>GENERAL</v>
      </c>
      <c r="Q24" s="15">
        <f t="shared" si="2"/>
        <v>5</v>
      </c>
      <c r="R24" s="15">
        <f t="shared" si="3"/>
        <v>7</v>
      </c>
      <c r="S24" s="15">
        <f t="shared" si="4"/>
        <v>1</v>
      </c>
      <c r="T24" s="15" t="str">
        <f t="shared" si="5"/>
        <v>A-3</v>
      </c>
      <c r="U24" s="15" t="str">
        <f t="shared" si="6"/>
        <v>T5-M7-H1-FA-3-GENERAL</v>
      </c>
      <c r="V24" s="15">
        <f t="shared" si="7"/>
        <v>0</v>
      </c>
      <c r="W24" s="31"/>
      <c r="X24" s="15" t="str">
        <f t="shared" si="8"/>
        <v>bhilwara</v>
      </c>
      <c r="Y24" s="32" t="str">
        <f t="shared" si="9"/>
        <v>https://steelmanufacturer.in/market-area/electropolished-pipes-manufacturer-in-bhilwara/</v>
      </c>
      <c r="Z24" s="15" t="str">
        <f t="shared" si="10"/>
        <v>Electropolished Pipes Manufacturer in Bhilwara</v>
      </c>
      <c r="AA24" s="15" t="str">
        <f t="shared" si="11"/>
        <v>OK (46)</v>
      </c>
      <c r="AB24" s="15" t="str">
        <f t="shared" si="12"/>
        <v>Electropolished pipes in Bhilwara: 304, 304L, 316 and 316L in SF1-SF4. 3-4 day road transit from our Mumbai works. Mill certified.</v>
      </c>
      <c r="AC24" s="15" t="str">
        <f t="shared" si="13"/>
        <v>OK (130)</v>
      </c>
      <c r="AD24" s="15" t="str">
        <f t="shared" si="14"/>
        <v>Electropolished Pipes Manufacturer in Bhilwara</v>
      </c>
      <c r="AE24" s="15" t="str">
        <f t="shared" si="15"/>
        <v>Electropolished Pipe &amp; Tube Manufacturing for Bhilwara - Grades, Finishes &amp; Certification</v>
      </c>
      <c r="AF24" s="15" t="str">
        <f t="shared" si="16"/>
        <v>Electropolished Pipes Supplier in Bhilwara - Stock Sizes, Lead Time &amp; Delivery</v>
      </c>
      <c r="AG24" s="15" t="str">
        <f t="shared" si="17"/>
        <v>Electropolished Pipes Wholesaler &amp; Stockist in Bhilwara - Bulk &amp; Project Pricing</v>
      </c>
      <c r="AH24" s="15" t="str">
        <f t="shared" si="18"/>
        <v>electropolished pipes manufacturer in Bhilwara, electropolished pipes supplier in Bhilwara, electropolished pipes wholesaler in Bhilwara, electropolished tube manufacturer Bhilwara, EP pipe supplier Bhilwara, sanitary tube supplier Bhilwara, ASME BPE tubing Bhilwara, ASTM A270 tube Bhilwara, SS 316L electropolished pipe Bhilwara</v>
      </c>
      <c r="AI24" s="15" t="str">
        <f t="shared" si="19"/>
        <v>Electropolished Pipes Manufacturer &amp; Supplier in Bhilwara</v>
      </c>
      <c r="AJ24" s="15" t="str">
        <f t="shared" si="20"/>
        <v>EP-finished SS 304/316L pipes and tubes for engineering &amp; process plants in Bhilwara. ASME BPE SF1-SF4, Ra from 0.25 um, EN 10204 3.1 certificate with every lot.</v>
      </c>
      <c r="AK24" s="15" t="str">
        <f t="shared" si="21"/>
        <v>Electropolished stainless steel pipes supplied by Sakshi Forge to engineering &amp; process plants at Bhilwara RIICO Growth Centre, Bhilwara</v>
      </c>
      <c r="AL24" s="15" t="str">
        <f t="shared" si="22"/>
        <v>Electropolished SS 316L tube stock for Bhilwara - Sakshi Forge</v>
      </c>
      <c r="AM24" s="15" t="str">
        <f t="shared" si="23"/>
        <v>Home &gt; Market Area &gt; India &gt; Rajasthan &gt; Bhilwara</v>
      </c>
      <c r="AN24" s="15">
        <f t="shared" si="24"/>
        <v>1400</v>
      </c>
      <c r="AO24" s="15">
        <f t="shared" si="25"/>
        <v>10</v>
      </c>
      <c r="AP24" s="15">
        <f t="shared" si="26"/>
        <v>12</v>
      </c>
      <c r="AQ24" s="15">
        <f t="shared" si="27"/>
        <v>1</v>
      </c>
      <c r="AR24" s="31"/>
      <c r="AS24" s="31"/>
      <c r="AT24" s="35" t="s">
        <v>222</v>
      </c>
      <c r="AU24" s="35"/>
    </row>
    <row r="25" ht="15.75" customHeight="1">
      <c r="A25" s="15" t="s">
        <v>833</v>
      </c>
      <c r="B25" s="15" t="s">
        <v>60</v>
      </c>
      <c r="C25" s="15" t="s">
        <v>236</v>
      </c>
      <c r="D25" s="15" t="s">
        <v>834</v>
      </c>
      <c r="E25" s="15" t="s">
        <v>834</v>
      </c>
      <c r="F25" s="16" t="s">
        <v>87</v>
      </c>
      <c r="G25" s="17" t="s">
        <v>88</v>
      </c>
      <c r="H25" s="18" t="s">
        <v>835</v>
      </c>
      <c r="I25" s="18" t="s">
        <v>836</v>
      </c>
      <c r="J25" s="18" t="s">
        <v>837</v>
      </c>
      <c r="K25" s="18" t="s">
        <v>838</v>
      </c>
      <c r="L25" s="18" t="s">
        <v>839</v>
      </c>
      <c r="M25" s="18" t="s">
        <v>96</v>
      </c>
      <c r="N25" s="18" t="s">
        <v>232</v>
      </c>
      <c r="O25" s="18" t="s">
        <v>98</v>
      </c>
      <c r="P25" s="15" t="str">
        <f t="shared" si="1"/>
        <v>PHARMA</v>
      </c>
      <c r="Q25" s="15">
        <f t="shared" si="2"/>
        <v>6</v>
      </c>
      <c r="R25" s="15">
        <f t="shared" si="3"/>
        <v>1</v>
      </c>
      <c r="S25" s="15">
        <f t="shared" si="4"/>
        <v>2</v>
      </c>
      <c r="T25" s="15" t="str">
        <f t="shared" si="5"/>
        <v>A-4</v>
      </c>
      <c r="U25" s="15" t="str">
        <f t="shared" si="6"/>
        <v>T6-M1-H2-FA-4-PHARMA</v>
      </c>
      <c r="V25" s="15">
        <f t="shared" si="7"/>
        <v>0</v>
      </c>
      <c r="W25" s="31"/>
      <c r="X25" s="15" t="str">
        <f t="shared" si="8"/>
        <v>bhiwadi</v>
      </c>
      <c r="Y25" s="32" t="str">
        <f t="shared" si="9"/>
        <v>https://steelmanufacturer.in/market-area/electropolished-pipes-manufacturer-in-bhiwadi/</v>
      </c>
      <c r="Z25" s="15" t="str">
        <f t="shared" si="10"/>
        <v>Electropolished Pipes Manufacturer in Bhiwadi</v>
      </c>
      <c r="AA25" s="15" t="str">
        <f t="shared" si="11"/>
        <v>OK (45)</v>
      </c>
      <c r="AB25" s="15" t="str">
        <f t="shared" si="12"/>
        <v>EP-finished SS 304/316L pipes &amp; tubes for pharma &amp; chemical plants in Bhiwadi. ASTM A270, ASME BPE SF1-SF4, EN 10204 3.1 MTC. PMI tested.</v>
      </c>
      <c r="AC25" s="15" t="str">
        <f t="shared" si="13"/>
        <v>OK (137)</v>
      </c>
      <c r="AD25" s="15" t="str">
        <f t="shared" si="14"/>
        <v>Electropolished Pipes Manufacturer in Bhiwadi</v>
      </c>
      <c r="AE25" s="15" t="str">
        <f t="shared" si="15"/>
        <v>How We Manufacture Electropolished Tube for Bhiwadi Plants</v>
      </c>
      <c r="AF25" s="15" t="str">
        <f t="shared" si="16"/>
        <v>Supplying Electropolished Pipes in Bhiwadi: Availability, Sizes &amp; Dispatch</v>
      </c>
      <c r="AG25" s="15" t="str">
        <f t="shared" si="17"/>
        <v>Wholesale Electropolished Pipe Supply for Bhiwadi Projects</v>
      </c>
      <c r="AH25" s="15" t="str">
        <f t="shared" si="18"/>
        <v>electropolished pipes manufacturer in Bhiwadi, electropolished pipes supplier in Bhiwadi, electropolished pipes wholesaler in Bhiwadi, electropolished tube manufacturer Bhiwadi, EP pipe supplier Bhiwadi, sanitary tube supplier Bhiwadi, ASME BPE tubing Bhiwadi, ASTM A270 tube Bhiwadi, SS 316L electropolished pipe Bhiwadi</v>
      </c>
      <c r="AI25" s="15" t="str">
        <f t="shared" si="19"/>
        <v>Electropolished Pipes Manufacturer &amp; Supplier in Bhiwadi</v>
      </c>
      <c r="AJ25" s="15" t="str">
        <f t="shared" si="20"/>
        <v>EP-finished SS 304/316L pipes and tubes for pharma &amp; chemical plants in Bhiwadi. ASME BPE SF1-SF4, Ra from 0.25 um, EN 10204 3.1 certificate with every lot.</v>
      </c>
      <c r="AK25" s="15" t="str">
        <f t="shared" si="21"/>
        <v>Electropolished stainless steel pipes supplied by Sakshi Forge to pharma &amp; chemical plants at Bhiwadi RIICO Industrial Area, Bhiwadi</v>
      </c>
      <c r="AL25" s="15" t="str">
        <f t="shared" si="22"/>
        <v>Electropolished SS 316L tube stock for Bhiwadi - Sakshi Forge</v>
      </c>
      <c r="AM25" s="15" t="str">
        <f t="shared" si="23"/>
        <v>Home &gt; Market Area &gt; India &gt; Rajasthan &gt; Bhiwadi</v>
      </c>
      <c r="AN25" s="15">
        <f t="shared" si="24"/>
        <v>1400</v>
      </c>
      <c r="AO25" s="15">
        <f t="shared" si="25"/>
        <v>10</v>
      </c>
      <c r="AP25" s="15">
        <f t="shared" si="26"/>
        <v>12</v>
      </c>
      <c r="AQ25" s="15">
        <f t="shared" si="27"/>
        <v>1</v>
      </c>
      <c r="AR25" s="31"/>
      <c r="AS25" s="31"/>
      <c r="AT25" s="35" t="s">
        <v>222</v>
      </c>
      <c r="AU25" s="35"/>
    </row>
    <row r="26" ht="15.75" customHeight="1">
      <c r="A26" s="15" t="s">
        <v>841</v>
      </c>
      <c r="B26" s="15" t="s">
        <v>60</v>
      </c>
      <c r="C26" s="15" t="s">
        <v>842</v>
      </c>
      <c r="D26" s="15" t="s">
        <v>843</v>
      </c>
      <c r="E26" s="15" t="s">
        <v>843</v>
      </c>
      <c r="F26" s="16" t="s">
        <v>87</v>
      </c>
      <c r="G26" s="17" t="s">
        <v>88</v>
      </c>
      <c r="H26" s="18" t="s">
        <v>844</v>
      </c>
      <c r="I26" s="18" t="s">
        <v>845</v>
      </c>
      <c r="J26" s="18" t="s">
        <v>846</v>
      </c>
      <c r="K26" s="18" t="s">
        <v>229</v>
      </c>
      <c r="L26" s="18" t="s">
        <v>847</v>
      </c>
      <c r="M26" s="18" t="s">
        <v>830</v>
      </c>
      <c r="N26" s="18" t="s">
        <v>232</v>
      </c>
      <c r="O26" s="18" t="s">
        <v>98</v>
      </c>
      <c r="P26" s="15" t="str">
        <f t="shared" si="1"/>
        <v>PHARMA</v>
      </c>
      <c r="Q26" s="15">
        <f t="shared" si="2"/>
        <v>7</v>
      </c>
      <c r="R26" s="15">
        <f t="shared" si="3"/>
        <v>2</v>
      </c>
      <c r="S26" s="15">
        <f t="shared" si="4"/>
        <v>3</v>
      </c>
      <c r="T26" s="15" t="str">
        <f t="shared" si="5"/>
        <v>A-5</v>
      </c>
      <c r="U26" s="15" t="str">
        <f t="shared" si="6"/>
        <v>T7-M2-H3-FA-5-PHARMA</v>
      </c>
      <c r="V26" s="15">
        <f t="shared" si="7"/>
        <v>0</v>
      </c>
      <c r="W26" s="31"/>
      <c r="X26" s="15" t="str">
        <f t="shared" si="8"/>
        <v>bhopal</v>
      </c>
      <c r="Y26" s="32" t="str">
        <f t="shared" si="9"/>
        <v>https://steelmanufacturer.in/market-area/electropolished-pipes-manufacturer-in-bhopal/</v>
      </c>
      <c r="Z26" s="15" t="str">
        <f t="shared" si="10"/>
        <v>Electropolished Pipes Manufacturer in Bhopal | ASME BPE SF1-SF4</v>
      </c>
      <c r="AA26" s="15" t="str">
        <f t="shared" si="11"/>
        <v>OK (63)</v>
      </c>
      <c r="AB26" s="15" t="str">
        <f t="shared" si="12"/>
        <v>Electropolished tube supply to Govindpura Industrial Area, Bhopal. Ra from 0.25 um, SF4 finish, mill test certificate with every lot.</v>
      </c>
      <c r="AC26" s="15" t="str">
        <f t="shared" si="13"/>
        <v>OK (133)</v>
      </c>
      <c r="AD26" s="15" t="str">
        <f t="shared" si="14"/>
        <v>Electropolished Pipes Manufacturer in Bhopal</v>
      </c>
      <c r="AE26" s="15" t="str">
        <f t="shared" si="15"/>
        <v>Electropolished Pipes Manufacturer in Bhopal - Our Process &amp; Capability</v>
      </c>
      <c r="AF26" s="15" t="str">
        <f t="shared" si="16"/>
        <v>Electropolished Pipes Supplier in Bhopal - What We Hold in Stock</v>
      </c>
      <c r="AG26" s="15" t="str">
        <f t="shared" si="17"/>
        <v>Bulk &amp; Wholesale Electropolished Pipe Rates for Bhopal Buyers</v>
      </c>
      <c r="AH26" s="15" t="str">
        <f t="shared" si="18"/>
        <v>electropolished pipes manufacturer in Bhopal, electropolished pipes supplier in Bhopal, electropolished pipes wholesaler in Bhopal, electropolished tube manufacturer Bhopal, EP pipe supplier Bhopal, sanitary tube supplier Bhopal, ASME BPE tubing Bhopal, ASTM A270 tube Bhopal, SS 316L electropolished pipe Bhopal</v>
      </c>
      <c r="AI26" s="15" t="str">
        <f t="shared" si="19"/>
        <v>Electropolished Pipes Manufacturer &amp; Supplier in Bhopal</v>
      </c>
      <c r="AJ26" s="15" t="str">
        <f t="shared" si="20"/>
        <v>EP-finished SS 304/316L pipes and tubes for pharma plants in Bhopal. ASME BPE SF1-SF4, Ra from 0.25 um, EN 10204 3.1 certificate with every lot.</v>
      </c>
      <c r="AK26" s="15" t="str">
        <f t="shared" si="21"/>
        <v>Electropolished stainless steel pipes supplied by Sakshi Forge to pharma plants at Govindpura Industrial Area, Bhopal</v>
      </c>
      <c r="AL26" s="15" t="str">
        <f t="shared" si="22"/>
        <v>Electropolished SS 316L tube stock for Bhopal - Sakshi Forge</v>
      </c>
      <c r="AM26" s="15" t="str">
        <f t="shared" si="23"/>
        <v>Home &gt; Market Area &gt; India &gt; Madhya Pradesh &gt; Bhopal</v>
      </c>
      <c r="AN26" s="15">
        <f t="shared" si="24"/>
        <v>1400</v>
      </c>
      <c r="AO26" s="15">
        <f t="shared" si="25"/>
        <v>10</v>
      </c>
      <c r="AP26" s="15">
        <f t="shared" si="26"/>
        <v>12</v>
      </c>
      <c r="AQ26" s="15">
        <f t="shared" si="27"/>
        <v>1</v>
      </c>
      <c r="AR26" s="31"/>
      <c r="AS26" s="31"/>
      <c r="AT26" s="35" t="s">
        <v>222</v>
      </c>
      <c r="AU26" s="35"/>
    </row>
    <row r="27" ht="15.75" customHeight="1">
      <c r="A27" s="15" t="s">
        <v>853</v>
      </c>
      <c r="B27" s="15" t="s">
        <v>60</v>
      </c>
      <c r="C27" s="15" t="s">
        <v>424</v>
      </c>
      <c r="D27" s="15" t="s">
        <v>854</v>
      </c>
      <c r="E27" s="15" t="s">
        <v>854</v>
      </c>
      <c r="F27" s="16" t="s">
        <v>87</v>
      </c>
      <c r="G27" s="17" t="s">
        <v>88</v>
      </c>
      <c r="H27" s="18" t="s">
        <v>855</v>
      </c>
      <c r="I27" s="18" t="s">
        <v>857</v>
      </c>
      <c r="J27" s="18" t="s">
        <v>858</v>
      </c>
      <c r="K27" s="18" t="s">
        <v>229</v>
      </c>
      <c r="L27" s="18" t="s">
        <v>859</v>
      </c>
      <c r="M27" s="18" t="s">
        <v>96</v>
      </c>
      <c r="N27" s="18" t="s">
        <v>232</v>
      </c>
      <c r="O27" s="18" t="s">
        <v>98</v>
      </c>
      <c r="P27" s="15" t="str">
        <f t="shared" si="1"/>
        <v>PHARMA</v>
      </c>
      <c r="Q27" s="15">
        <f t="shared" si="2"/>
        <v>8</v>
      </c>
      <c r="R27" s="15">
        <f t="shared" si="3"/>
        <v>3</v>
      </c>
      <c r="S27" s="15">
        <f t="shared" si="4"/>
        <v>4</v>
      </c>
      <c r="T27" s="15" t="str">
        <f t="shared" si="5"/>
        <v>A-6</v>
      </c>
      <c r="U27" s="15" t="str">
        <f t="shared" si="6"/>
        <v>T8-M3-H4-FA-6-PHARMA</v>
      </c>
      <c r="V27" s="15">
        <f t="shared" si="7"/>
        <v>0</v>
      </c>
      <c r="W27" s="31"/>
      <c r="X27" s="15" t="str">
        <f t="shared" si="8"/>
        <v>bhubaneswar</v>
      </c>
      <c r="Y27" s="32" t="str">
        <f t="shared" si="9"/>
        <v>https://steelmanufacturer.in/market-area/electropolished-pipes-manufacturer-in-bhubaneswar/</v>
      </c>
      <c r="Z27" s="15" t="str">
        <f t="shared" si="10"/>
        <v>Electropolished Pipes Manufacturer in Bhubaneswar</v>
      </c>
      <c r="AA27" s="15" t="str">
        <f t="shared" si="11"/>
        <v>OK (49)</v>
      </c>
      <c r="AB27" s="15" t="str">
        <f t="shared" si="12"/>
        <v>EP stainless tube for pharma lines in Bhubaneswar. 1-2 day road transit from our Mumbai works. ASTM A270 S2, PMI tested, EN 10204 3.1.</v>
      </c>
      <c r="AC27" s="15" t="str">
        <f t="shared" si="13"/>
        <v>OK (134)</v>
      </c>
      <c r="AD27" s="15" t="str">
        <f t="shared" si="14"/>
        <v>Electropolished Pipes Manufacturer in Bhubaneswar</v>
      </c>
      <c r="AE27" s="15" t="str">
        <f t="shared" si="15"/>
        <v>Manufacturing Electropolished SS Tube for Bhubaneswar: The Standards We Build To</v>
      </c>
      <c r="AF27" s="15" t="str">
        <f t="shared" si="16"/>
        <v>Electropolished Pipe Supply Into Bhubaneswar - Certification &amp; Transit</v>
      </c>
      <c r="AG27" s="15" t="str">
        <f t="shared" si="17"/>
        <v>Electropolished Pipes Wholesaler in Bhubaneswar - Project Quantities &amp; Terms</v>
      </c>
      <c r="AH27" s="15" t="str">
        <f t="shared" si="18"/>
        <v>electropolished pipes manufacturer in Bhubaneswar, electropolished pipes supplier in Bhubaneswar, electropolished pipes wholesaler in Bhubaneswar, electropolished tube manufacturer Bhubaneswar, EP pipe supplier Bhubaneswar, sanitary tube supplier Bhubaneswar, ASME BPE tubing Bhubaneswar, ASTM A270 tube Bhubaneswar, SS 316L electropolished pipe Bhubaneswar</v>
      </c>
      <c r="AI27" s="15" t="str">
        <f t="shared" si="19"/>
        <v>Electropolished Pipes Manufacturer &amp; Supplier in Bhubaneswar</v>
      </c>
      <c r="AJ27" s="15" t="str">
        <f t="shared" si="20"/>
        <v>EP-finished SS 304/316L pipes and tubes for pharma plants in Bhubaneswar. ASME BPE SF1-SF4, Ra from 0.25 um, EN 10204 3.1 certificate with every lot.</v>
      </c>
      <c r="AK27" s="15" t="str">
        <f t="shared" si="21"/>
        <v>Electropolished stainless steel pipes supplied by Sakshi Forge to pharma plants at Chandaka Industrial Estate, Bhubaneswar</v>
      </c>
      <c r="AL27" s="15" t="str">
        <f t="shared" si="22"/>
        <v>Electropolished SS 316L tube stock for Bhubaneswar - Sakshi Forge</v>
      </c>
      <c r="AM27" s="15" t="str">
        <f t="shared" si="23"/>
        <v>Home &gt; Market Area &gt; India &gt; Odisha &gt; Bhubaneswar</v>
      </c>
      <c r="AN27" s="15">
        <f t="shared" si="24"/>
        <v>1400</v>
      </c>
      <c r="AO27" s="15">
        <f t="shared" si="25"/>
        <v>10</v>
      </c>
      <c r="AP27" s="15">
        <f t="shared" si="26"/>
        <v>12</v>
      </c>
      <c r="AQ27" s="15">
        <f t="shared" si="27"/>
        <v>1</v>
      </c>
      <c r="AR27" s="31"/>
      <c r="AS27" s="31"/>
      <c r="AT27" s="35" t="s">
        <v>222</v>
      </c>
      <c r="AU27" s="35"/>
    </row>
    <row r="28" ht="15.75" customHeight="1">
      <c r="A28" s="15" t="s">
        <v>877</v>
      </c>
      <c r="B28" s="15" t="s">
        <v>60</v>
      </c>
      <c r="C28" s="15" t="s">
        <v>878</v>
      </c>
      <c r="D28" s="15" t="s">
        <v>880</v>
      </c>
      <c r="E28" s="15" t="s">
        <v>880</v>
      </c>
      <c r="F28" s="16" t="s">
        <v>87</v>
      </c>
      <c r="G28" s="17" t="s">
        <v>88</v>
      </c>
      <c r="H28" s="18" t="s">
        <v>881</v>
      </c>
      <c r="I28" s="18" t="s">
        <v>881</v>
      </c>
      <c r="J28" s="18" t="s">
        <v>882</v>
      </c>
      <c r="K28" s="18" t="s">
        <v>250</v>
      </c>
      <c r="L28" s="18" t="s">
        <v>884</v>
      </c>
      <c r="M28" s="18" t="s">
        <v>231</v>
      </c>
      <c r="N28" s="18" t="s">
        <v>252</v>
      </c>
      <c r="O28" s="18" t="s">
        <v>98</v>
      </c>
      <c r="P28" s="15" t="str">
        <f t="shared" si="1"/>
        <v>GENERAL</v>
      </c>
      <c r="Q28" s="15">
        <f t="shared" si="2"/>
        <v>1</v>
      </c>
      <c r="R28" s="15">
        <f t="shared" si="3"/>
        <v>4</v>
      </c>
      <c r="S28" s="15">
        <f t="shared" si="4"/>
        <v>5</v>
      </c>
      <c r="T28" s="15" t="str">
        <f t="shared" si="5"/>
        <v>A-1</v>
      </c>
      <c r="U28" s="15" t="str">
        <f t="shared" si="6"/>
        <v>T1-M4-H5-FA-1-GENERAL</v>
      </c>
      <c r="V28" s="15">
        <f t="shared" si="7"/>
        <v>0</v>
      </c>
      <c r="W28" s="31"/>
      <c r="X28" s="15" t="str">
        <f t="shared" si="8"/>
        <v>bokaro</v>
      </c>
      <c r="Y28" s="32" t="str">
        <f t="shared" si="9"/>
        <v>https://steelmanufacturer.in/market-area/electropolished-pipes-manufacturer-in-bokaro/</v>
      </c>
      <c r="Z28" s="15" t="str">
        <f t="shared" si="10"/>
        <v>Electropolished Pipes Manufacturer in Bokaro | Sakshi Forge</v>
      </c>
      <c r="AA28" s="15" t="str">
        <f t="shared" si="11"/>
        <v>OK (59)</v>
      </c>
      <c r="AB28" s="15" t="str">
        <f t="shared" si="12"/>
        <v>Sanitary electropolished pipes in Bokaro for engineering &amp; process plants. ASME BPE SF1-SF4, orbital-weld ready, 3.1 MTC. Mumbai-made.</v>
      </c>
      <c r="AC28" s="15" t="str">
        <f t="shared" si="13"/>
        <v>OK (134)</v>
      </c>
      <c r="AD28" s="15" t="str">
        <f t="shared" si="14"/>
        <v>Electropolished Pipes Manufacturer in Bokaro</v>
      </c>
      <c r="AE28" s="15" t="str">
        <f t="shared" si="15"/>
        <v>Electropolished Tube Manufacturing Capability Serving Bokaro</v>
      </c>
      <c r="AF28" s="15" t="str">
        <f t="shared" si="16"/>
        <v>Electropolished Pipes Supplier in Bokaro - From Order to Delivery</v>
      </c>
      <c r="AG28" s="15" t="str">
        <f t="shared" si="17"/>
        <v>Stockist &amp; Wholesale Supply of Electropolished Pipes in Bokaro</v>
      </c>
      <c r="AH28" s="15" t="str">
        <f t="shared" si="18"/>
        <v>electropolished pipes manufacturer in Bokaro, electropolished pipes supplier in Bokaro, electropolished pipes wholesaler in Bokaro, electropolished tube manufacturer Bokaro, EP pipe supplier Bokaro, sanitary tube supplier Bokaro, ASME BPE tubing Bokaro, ASTM A270 tube Bokaro, SS 316L electropolished pipe Bokaro</v>
      </c>
      <c r="AI28" s="15" t="str">
        <f t="shared" si="19"/>
        <v>Electropolished Pipes Manufacturer &amp; Supplier in Bokaro</v>
      </c>
      <c r="AJ28" s="15" t="str">
        <f t="shared" si="20"/>
        <v>EP-finished SS 304/316L pipes and tubes for engineering &amp; process plants in Bokaro. ASME BPE SF1-SF4, Ra from 0.25 um, EN 10204 3.1 certificate with every lot.</v>
      </c>
      <c r="AK28" s="15" t="str">
        <f t="shared" si="21"/>
        <v>Electropolished stainless steel pipes supplied by Sakshi Forge to engineering &amp; process plants at Bokaro Industrial Area BIADA, Bokaro</v>
      </c>
      <c r="AL28" s="15" t="str">
        <f t="shared" si="22"/>
        <v>Electropolished SS 316L tube stock for Bokaro - Sakshi Forge</v>
      </c>
      <c r="AM28" s="15" t="str">
        <f t="shared" si="23"/>
        <v>Home &gt; Market Area &gt; India &gt; Jharkhand &gt; Bokaro</v>
      </c>
      <c r="AN28" s="15">
        <f t="shared" si="24"/>
        <v>1400</v>
      </c>
      <c r="AO28" s="15">
        <f t="shared" si="25"/>
        <v>10</v>
      </c>
      <c r="AP28" s="15">
        <f t="shared" si="26"/>
        <v>12</v>
      </c>
      <c r="AQ28" s="15">
        <f t="shared" si="27"/>
        <v>1</v>
      </c>
      <c r="AR28" s="31"/>
      <c r="AS28" s="31"/>
      <c r="AT28" s="35" t="s">
        <v>222</v>
      </c>
      <c r="AU28" s="35"/>
    </row>
    <row r="29" ht="15.75" customHeight="1">
      <c r="A29" s="15" t="s">
        <v>911</v>
      </c>
      <c r="B29" s="15" t="s">
        <v>60</v>
      </c>
      <c r="C29" s="15" t="s">
        <v>264</v>
      </c>
      <c r="D29" s="15" t="s">
        <v>912</v>
      </c>
      <c r="E29" s="15" t="s">
        <v>912</v>
      </c>
      <c r="F29" s="16" t="s">
        <v>87</v>
      </c>
      <c r="G29" s="17" t="s">
        <v>88</v>
      </c>
      <c r="H29" s="18" t="s">
        <v>914</v>
      </c>
      <c r="I29" s="18" t="s">
        <v>915</v>
      </c>
      <c r="J29" s="18" t="s">
        <v>917</v>
      </c>
      <c r="K29" s="18" t="s">
        <v>250</v>
      </c>
      <c r="L29" s="18" t="s">
        <v>918</v>
      </c>
      <c r="M29" s="18" t="s">
        <v>96</v>
      </c>
      <c r="N29" s="18" t="s">
        <v>252</v>
      </c>
      <c r="O29" s="18" t="s">
        <v>98</v>
      </c>
      <c r="P29" s="15" t="str">
        <f t="shared" si="1"/>
        <v>GENERAL</v>
      </c>
      <c r="Q29" s="15">
        <f t="shared" si="2"/>
        <v>2</v>
      </c>
      <c r="R29" s="15">
        <f t="shared" si="3"/>
        <v>5</v>
      </c>
      <c r="S29" s="15">
        <f t="shared" si="4"/>
        <v>1</v>
      </c>
      <c r="T29" s="15" t="str">
        <f t="shared" si="5"/>
        <v>A-2</v>
      </c>
      <c r="U29" s="15" t="str">
        <f t="shared" si="6"/>
        <v>T2-M5-H1-FA-2-GENERAL</v>
      </c>
      <c r="V29" s="15">
        <f t="shared" si="7"/>
        <v>0</v>
      </c>
      <c r="W29" s="31"/>
      <c r="X29" s="15" t="str">
        <f t="shared" si="8"/>
        <v>chakan</v>
      </c>
      <c r="Y29" s="32" t="str">
        <f t="shared" si="9"/>
        <v>https://steelmanufacturer.in/market-area/electropolished-pipes-manufacturer-in-chakan/</v>
      </c>
      <c r="Z29" s="15" t="str">
        <f t="shared" si="10"/>
        <v>Electropolished Pipes Manufacturer in Chakan</v>
      </c>
      <c r="AA29" s="15" t="str">
        <f t="shared" si="11"/>
        <v>OK (44)</v>
      </c>
      <c r="AB29" s="15" t="str">
        <f t="shared" si="12"/>
        <v>Manufacturer of electropolished SS 316L tube serving Chakan. 1-2 day road transit from our Mumbai works. Ra 0.25-0.5 um, EN 10204 3.1 MTC.</v>
      </c>
      <c r="AC29" s="15" t="str">
        <f t="shared" si="13"/>
        <v>OK (138)</v>
      </c>
      <c r="AD29" s="15" t="str">
        <f t="shared" si="14"/>
        <v>Electropolished Pipes Manufacturer in Chakan</v>
      </c>
      <c r="AE29" s="15" t="str">
        <f t="shared" si="15"/>
        <v>Electropolished Pipe &amp; Tube Manufacturing for Chakan - Grades, Finishes &amp; Certification</v>
      </c>
      <c r="AF29" s="15" t="str">
        <f t="shared" si="16"/>
        <v>Electropolished Pipes Supplier in Chakan - Stock Sizes, Lead Time &amp; Delivery</v>
      </c>
      <c r="AG29" s="15" t="str">
        <f t="shared" si="17"/>
        <v>Electropolished Pipes Wholesaler &amp; Stockist in Chakan - Bulk &amp; Project Pricing</v>
      </c>
      <c r="AH29" s="15" t="str">
        <f t="shared" si="18"/>
        <v>electropolished pipes manufacturer in Chakan, electropolished pipes supplier in Chakan, electropolished pipes wholesaler in Chakan, electropolished tube manufacturer Chakan, EP pipe supplier Chakan, sanitary tube supplier Chakan, ASME BPE tubing Chakan, ASTM A270 tube Chakan, SS 316L electropolished pipe Chakan</v>
      </c>
      <c r="AI29" s="15" t="str">
        <f t="shared" si="19"/>
        <v>Electropolished Pipes Manufacturer &amp; Supplier in Chakan</v>
      </c>
      <c r="AJ29" s="15" t="str">
        <f t="shared" si="20"/>
        <v>EP-finished SS 304/316L pipes and tubes for engineering &amp; process plants in Chakan. ASME BPE SF1-SF4, Ra from 0.25 um, EN 10204 3.1 certificate with every lot.</v>
      </c>
      <c r="AK29" s="15" t="str">
        <f t="shared" si="21"/>
        <v>Electropolished stainless steel pipes supplied by Sakshi Forge to engineering &amp; process plants at Chakan MIDC Phase I-IV, Chakan</v>
      </c>
      <c r="AL29" s="15" t="str">
        <f t="shared" si="22"/>
        <v>Electropolished SS 316L tube stock for Chakan - Sakshi Forge</v>
      </c>
      <c r="AM29" s="15" t="str">
        <f t="shared" si="23"/>
        <v>Home &gt; Market Area &gt; India &gt; Maharashtra &gt; Chakan</v>
      </c>
      <c r="AN29" s="15">
        <f t="shared" si="24"/>
        <v>1400</v>
      </c>
      <c r="AO29" s="15">
        <f t="shared" si="25"/>
        <v>10</v>
      </c>
      <c r="AP29" s="15">
        <f t="shared" si="26"/>
        <v>12</v>
      </c>
      <c r="AQ29" s="15">
        <f t="shared" si="27"/>
        <v>1</v>
      </c>
      <c r="AR29" s="31"/>
      <c r="AS29" s="31"/>
      <c r="AT29" s="35" t="s">
        <v>222</v>
      </c>
      <c r="AU29" s="35"/>
    </row>
    <row r="30" ht="15.75" customHeight="1">
      <c r="A30" s="15" t="s">
        <v>957</v>
      </c>
      <c r="B30" s="15" t="s">
        <v>60</v>
      </c>
      <c r="C30" s="15" t="s">
        <v>958</v>
      </c>
      <c r="D30" s="15" t="s">
        <v>960</v>
      </c>
      <c r="E30" s="15" t="s">
        <v>960</v>
      </c>
      <c r="F30" s="16" t="s">
        <v>87</v>
      </c>
      <c r="G30" s="17" t="s">
        <v>88</v>
      </c>
      <c r="H30" s="18" t="s">
        <v>964</v>
      </c>
      <c r="I30" s="18" t="s">
        <v>966</v>
      </c>
      <c r="J30" s="18" t="s">
        <v>968</v>
      </c>
      <c r="K30" s="18" t="s">
        <v>969</v>
      </c>
      <c r="L30" s="18" t="s">
        <v>971</v>
      </c>
      <c r="M30" s="18" t="s">
        <v>276</v>
      </c>
      <c r="N30" s="18" t="s">
        <v>232</v>
      </c>
      <c r="O30" s="18" t="s">
        <v>98</v>
      </c>
      <c r="P30" s="15" t="str">
        <f t="shared" si="1"/>
        <v>SEMI</v>
      </c>
      <c r="Q30" s="15">
        <f t="shared" si="2"/>
        <v>3</v>
      </c>
      <c r="R30" s="15">
        <f t="shared" si="3"/>
        <v>6</v>
      </c>
      <c r="S30" s="15">
        <f t="shared" si="4"/>
        <v>2</v>
      </c>
      <c r="T30" s="15" t="str">
        <f t="shared" si="5"/>
        <v>A-3</v>
      </c>
      <c r="U30" s="15" t="str">
        <f t="shared" si="6"/>
        <v>T3-M6-H2-FA-3-SEMI</v>
      </c>
      <c r="V30" s="15">
        <f t="shared" si="7"/>
        <v>0</v>
      </c>
      <c r="W30" s="31"/>
      <c r="X30" s="15" t="str">
        <f t="shared" si="8"/>
        <v>chennai</v>
      </c>
      <c r="Y30" s="32" t="str">
        <f t="shared" si="9"/>
        <v>https://steelmanufacturer.in/market-area/electropolished-pipes-manufacturer-in-chennai/</v>
      </c>
      <c r="Z30" s="15" t="str">
        <f t="shared" si="10"/>
        <v>Electropolished Pipes Manufacturer in Chennai | EP Tube Supplier</v>
      </c>
      <c r="AA30" s="15" t="str">
        <f t="shared" si="11"/>
        <v>OK (64)</v>
      </c>
      <c r="AB30" s="15" t="str">
        <f t="shared" si="12"/>
        <v>EP tube and pipe for electronics &amp; pharma plants around Ambattur Industrial Estate, Chennai. ASTM A270, ASME BPE SF1-SF4, EN 10204 3.1 MTC.</v>
      </c>
      <c r="AC30" s="15" t="str">
        <f t="shared" si="13"/>
        <v>OK (139)</v>
      </c>
      <c r="AD30" s="15" t="str">
        <f t="shared" si="14"/>
        <v>Electropolished Pipes Manufacturer in Chennai</v>
      </c>
      <c r="AE30" s="15" t="str">
        <f t="shared" si="15"/>
        <v>How We Manufacture Electropolished Tube for Chennai Plants</v>
      </c>
      <c r="AF30" s="15" t="str">
        <f t="shared" si="16"/>
        <v>Supplying Electropolished Pipes in Chennai: Availability, Sizes &amp; Dispatch</v>
      </c>
      <c r="AG30" s="15" t="str">
        <f t="shared" si="17"/>
        <v>Wholesale Electropolished Pipe Supply for Chennai Projects</v>
      </c>
      <c r="AH30" s="15" t="str">
        <f t="shared" si="18"/>
        <v>electropolished pipes manufacturer in Chennai, electropolished pipes supplier in Chennai, electropolished pipes wholesaler in Chennai, electropolished tube manufacturer Chennai, EP pipe supplier Chennai, sanitary tube supplier Chennai, ASME BPE tubing Chennai, ASTM A270 tube Chennai, SS 316L electropolished pipe Chennai</v>
      </c>
      <c r="AI30" s="15" t="str">
        <f t="shared" si="19"/>
        <v>Electropolished Pipes Manufacturer &amp; Supplier in Chennai</v>
      </c>
      <c r="AJ30" s="15" t="str">
        <f t="shared" si="20"/>
        <v>EP-finished SS 304/316L pipes and tubes for electronics &amp; pharma plants in Chennai. ASME BPE SF1-SF4, Ra from 0.25 um, EN 10204 3.1 certificate with every lot.</v>
      </c>
      <c r="AK30" s="15" t="str">
        <f t="shared" si="21"/>
        <v>Electropolished stainless steel pipes supplied by Sakshi Forge to electronics &amp; pharma plants at Ambattur Industrial Estate, Chennai</v>
      </c>
      <c r="AL30" s="15" t="str">
        <f t="shared" si="22"/>
        <v>Electropolished SS 316L tube stock for Chennai - Sakshi Forge</v>
      </c>
      <c r="AM30" s="15" t="str">
        <f t="shared" si="23"/>
        <v>Home &gt; Market Area &gt; India &gt; Tamil Nadu &gt; Chennai</v>
      </c>
      <c r="AN30" s="15">
        <f t="shared" si="24"/>
        <v>1400</v>
      </c>
      <c r="AO30" s="15">
        <f t="shared" si="25"/>
        <v>10</v>
      </c>
      <c r="AP30" s="15">
        <f t="shared" si="26"/>
        <v>12</v>
      </c>
      <c r="AQ30" s="15">
        <f t="shared" si="27"/>
        <v>1</v>
      </c>
      <c r="AR30" s="31"/>
      <c r="AS30" s="31"/>
      <c r="AT30" s="35" t="s">
        <v>222</v>
      </c>
      <c r="AU30" s="35"/>
    </row>
    <row r="31" ht="15.75" customHeight="1">
      <c r="A31" s="15" t="s">
        <v>1027</v>
      </c>
      <c r="B31" s="15" t="s">
        <v>60</v>
      </c>
      <c r="C31" s="15" t="s">
        <v>958</v>
      </c>
      <c r="D31" s="15" t="s">
        <v>1030</v>
      </c>
      <c r="E31" s="15" t="s">
        <v>1030</v>
      </c>
      <c r="F31" s="16" t="s">
        <v>87</v>
      </c>
      <c r="G31" s="17" t="s">
        <v>88</v>
      </c>
      <c r="H31" s="18" t="s">
        <v>1034</v>
      </c>
      <c r="I31" s="18" t="s">
        <v>1035</v>
      </c>
      <c r="J31" s="18" t="s">
        <v>1037</v>
      </c>
      <c r="K31" s="18" t="s">
        <v>94</v>
      </c>
      <c r="L31" s="18" t="s">
        <v>1039</v>
      </c>
      <c r="M31" s="18" t="s">
        <v>231</v>
      </c>
      <c r="N31" s="18" t="s">
        <v>97</v>
      </c>
      <c r="O31" s="18" t="s">
        <v>98</v>
      </c>
      <c r="P31" s="15" t="str">
        <f t="shared" si="1"/>
        <v>FOOD</v>
      </c>
      <c r="Q31" s="15">
        <f t="shared" si="2"/>
        <v>4</v>
      </c>
      <c r="R31" s="15">
        <f t="shared" si="3"/>
        <v>7</v>
      </c>
      <c r="S31" s="15">
        <f t="shared" si="4"/>
        <v>3</v>
      </c>
      <c r="T31" s="15" t="str">
        <f t="shared" si="5"/>
        <v>A-4</v>
      </c>
      <c r="U31" s="15" t="str">
        <f t="shared" si="6"/>
        <v>T4-M7-H3-FA-4-FOOD</v>
      </c>
      <c r="V31" s="15">
        <f t="shared" si="7"/>
        <v>0</v>
      </c>
      <c r="W31" s="31"/>
      <c r="X31" s="15" t="str">
        <f t="shared" si="8"/>
        <v>coimbatore</v>
      </c>
      <c r="Y31" s="32" t="str">
        <f t="shared" si="9"/>
        <v>https://steelmanufacturer.in/market-area/electropolished-pipes-manufacturer-in-coimbatore/</v>
      </c>
      <c r="Z31" s="15" t="str">
        <f t="shared" si="10"/>
        <v>Electropolished Pipes Manufacturer in Coimbatore</v>
      </c>
      <c r="AA31" s="15" t="str">
        <f t="shared" si="11"/>
        <v>OK (48)</v>
      </c>
      <c r="AB31" s="15" t="str">
        <f t="shared" si="12"/>
        <v>Electropolished pipes in Coimbatore: 304, 304L, 316 and 316L in SF1-SF4. 2-3 day road transit from our Mumbai works. Mill certified.</v>
      </c>
      <c r="AC31" s="15" t="str">
        <f t="shared" si="13"/>
        <v>OK (132)</v>
      </c>
      <c r="AD31" s="15" t="str">
        <f t="shared" si="14"/>
        <v>Electropolished Pipes Manufacturer in Coimbatore</v>
      </c>
      <c r="AE31" s="15" t="str">
        <f t="shared" si="15"/>
        <v>Electropolished Pipes Manufacturer in Coimbatore - Our Process &amp; Capability</v>
      </c>
      <c r="AF31" s="15" t="str">
        <f t="shared" si="16"/>
        <v>Electropolished Pipes Supplier in Coimbatore - What We Hold in Stock</v>
      </c>
      <c r="AG31" s="15" t="str">
        <f t="shared" si="17"/>
        <v>Bulk &amp; Wholesale Electropolished Pipe Rates for Coimbatore Buyers</v>
      </c>
      <c r="AH31" s="15" t="str">
        <f t="shared" si="18"/>
        <v>electropolished pipes manufacturer in Coimbatore, electropolished pipes supplier in Coimbatore, electropolished pipes wholesaler in Coimbatore, electropolished tube manufacturer Coimbatore, EP pipe supplier Coimbatore, sanitary tube supplier Coimbatore, ASME BPE tubing Coimbatore, ASTM A270 tube Coimbatore, SS 316L electropolished pipe Coimbatore</v>
      </c>
      <c r="AI31" s="15" t="str">
        <f t="shared" si="19"/>
        <v>Electropolished Pipes Manufacturer &amp; Supplier in Coimbatore</v>
      </c>
      <c r="AJ31" s="15" t="str">
        <f t="shared" si="20"/>
        <v>EP-finished SS 304/316L pipes and tubes for food processing plants in Coimbatore. ASME BPE SF1-SF4, Ra from 0.25 um, EN 10204 3.1 certificate with every lot.</v>
      </c>
      <c r="AK31" s="15" t="str">
        <f t="shared" si="21"/>
        <v>Electropolished stainless steel pipes supplied by Sakshi Forge to food processing plants at Kurichi SIDCO, Coimbatore</v>
      </c>
      <c r="AL31" s="15" t="str">
        <f t="shared" si="22"/>
        <v>Electropolished SS 316L tube stock for Coimbatore - Sakshi Forge</v>
      </c>
      <c r="AM31" s="15" t="str">
        <f t="shared" si="23"/>
        <v>Home &gt; Market Area &gt; India &gt; Tamil Nadu &gt; Coimbatore</v>
      </c>
      <c r="AN31" s="15">
        <f t="shared" si="24"/>
        <v>1400</v>
      </c>
      <c r="AO31" s="15">
        <f t="shared" si="25"/>
        <v>10</v>
      </c>
      <c r="AP31" s="15">
        <f t="shared" si="26"/>
        <v>12</v>
      </c>
      <c r="AQ31" s="15">
        <f t="shared" si="27"/>
        <v>1</v>
      </c>
      <c r="AR31" s="31"/>
      <c r="AS31" s="31"/>
      <c r="AT31" s="35" t="s">
        <v>222</v>
      </c>
      <c r="AU31" s="35"/>
    </row>
    <row r="32" ht="15.75" customHeight="1">
      <c r="A32" s="15" t="s">
        <v>1064</v>
      </c>
      <c r="B32" s="15" t="s">
        <v>60</v>
      </c>
      <c r="C32" s="15" t="s">
        <v>958</v>
      </c>
      <c r="D32" s="15" t="s">
        <v>1066</v>
      </c>
      <c r="E32" s="15" t="s">
        <v>1066</v>
      </c>
      <c r="F32" s="16" t="s">
        <v>87</v>
      </c>
      <c r="G32" s="17" t="s">
        <v>88</v>
      </c>
      <c r="H32" s="18" t="s">
        <v>1067</v>
      </c>
      <c r="I32" s="18" t="s">
        <v>1068</v>
      </c>
      <c r="J32" s="18" t="s">
        <v>1069</v>
      </c>
      <c r="K32" s="18" t="s">
        <v>436</v>
      </c>
      <c r="L32" s="18" t="s">
        <v>1070</v>
      </c>
      <c r="M32" s="18" t="s">
        <v>96</v>
      </c>
      <c r="N32" s="18" t="s">
        <v>232</v>
      </c>
      <c r="O32" s="18" t="s">
        <v>98</v>
      </c>
      <c r="P32" s="15" t="str">
        <f t="shared" si="1"/>
        <v>PHARMA</v>
      </c>
      <c r="Q32" s="15">
        <f t="shared" si="2"/>
        <v>5</v>
      </c>
      <c r="R32" s="15">
        <f t="shared" si="3"/>
        <v>1</v>
      </c>
      <c r="S32" s="15">
        <f t="shared" si="4"/>
        <v>4</v>
      </c>
      <c r="T32" s="15" t="str">
        <f t="shared" si="5"/>
        <v>A-5</v>
      </c>
      <c r="U32" s="15" t="str">
        <f t="shared" si="6"/>
        <v>T5-M1-H4-FA-5-PHARMA</v>
      </c>
      <c r="V32" s="15">
        <f t="shared" si="7"/>
        <v>0</v>
      </c>
      <c r="W32" s="31"/>
      <c r="X32" s="15" t="str">
        <f t="shared" si="8"/>
        <v>cuddalore</v>
      </c>
      <c r="Y32" s="32" t="str">
        <f t="shared" si="9"/>
        <v>https://steelmanufacturer.in/market-area/electropolished-pipes-manufacturer-in-cuddalore/</v>
      </c>
      <c r="Z32" s="15" t="str">
        <f t="shared" si="10"/>
        <v>Electropolished Pipes Manufacturer in Cuddalore</v>
      </c>
      <c r="AA32" s="15" t="str">
        <f t="shared" si="11"/>
        <v>OK (47)</v>
      </c>
      <c r="AB32" s="15" t="str">
        <f t="shared" si="12"/>
        <v>EP-finished SS 304/316L pipes &amp; tubes for pharma &amp; API plants in Cuddalore. ASTM A270, ASME BPE SF1-SF4, EN 10204 3.1 MTC. PMI tested.</v>
      </c>
      <c r="AC32" s="15" t="str">
        <f t="shared" si="13"/>
        <v>OK (134)</v>
      </c>
      <c r="AD32" s="15" t="str">
        <f t="shared" si="14"/>
        <v>Electropolished Pipes Manufacturer in Cuddalore</v>
      </c>
      <c r="AE32" s="15" t="str">
        <f t="shared" si="15"/>
        <v>Manufacturing Electropolished SS Tube for Cuddalore: The Standards We Build To</v>
      </c>
      <c r="AF32" s="15" t="str">
        <f t="shared" si="16"/>
        <v>Electropolished Pipe Supply Into Cuddalore - Certification &amp; Transit</v>
      </c>
      <c r="AG32" s="15" t="str">
        <f t="shared" si="17"/>
        <v>Electropolished Pipes Wholesaler in Cuddalore - Project Quantities &amp; Terms</v>
      </c>
      <c r="AH32" s="15" t="str">
        <f t="shared" si="18"/>
        <v>electropolished pipes manufacturer in Cuddalore, electropolished pipes supplier in Cuddalore, electropolished pipes wholesaler in Cuddalore, electropolished tube manufacturer Cuddalore, EP pipe supplier Cuddalore, sanitary tube supplier Cuddalore, ASME BPE tubing Cuddalore, ASTM A270 tube Cuddalore, SS 316L electropolished pipe Cuddalore</v>
      </c>
      <c r="AI32" s="15" t="str">
        <f t="shared" si="19"/>
        <v>Electropolished Pipes Manufacturer &amp; Supplier in Cuddalore</v>
      </c>
      <c r="AJ32" s="15" t="str">
        <f t="shared" si="20"/>
        <v>EP-finished SS 304/316L pipes and tubes for pharma &amp; API plants in Cuddalore. ASME BPE SF1-SF4, Ra from 0.25 um, EN 10204 3.1 certificate with every lot.</v>
      </c>
      <c r="AK32" s="15" t="str">
        <f t="shared" si="21"/>
        <v>Electropolished stainless steel pipes supplied by Sakshi Forge to pharma &amp; API plants at Cuddalore SIPCOT, Cuddalore</v>
      </c>
      <c r="AL32" s="15" t="str">
        <f t="shared" si="22"/>
        <v>Electropolished SS 316L tube stock for Cuddalore - Sakshi Forge</v>
      </c>
      <c r="AM32" s="15" t="str">
        <f t="shared" si="23"/>
        <v>Home &gt; Market Area &gt; India &gt; Tamil Nadu &gt; Cuddalore</v>
      </c>
      <c r="AN32" s="15">
        <f t="shared" si="24"/>
        <v>1400</v>
      </c>
      <c r="AO32" s="15">
        <f t="shared" si="25"/>
        <v>10</v>
      </c>
      <c r="AP32" s="15">
        <f t="shared" si="26"/>
        <v>12</v>
      </c>
      <c r="AQ32" s="15">
        <f t="shared" si="27"/>
        <v>1</v>
      </c>
      <c r="AR32" s="31"/>
      <c r="AS32" s="31"/>
      <c r="AT32" s="35" t="s">
        <v>222</v>
      </c>
      <c r="AU32" s="35"/>
    </row>
    <row r="33" ht="15.75" customHeight="1">
      <c r="A33" s="15" t="s">
        <v>1079</v>
      </c>
      <c r="B33" s="15" t="s">
        <v>60</v>
      </c>
      <c r="C33" s="15" t="s">
        <v>224</v>
      </c>
      <c r="D33" s="15" t="s">
        <v>1080</v>
      </c>
      <c r="E33" s="15" t="s">
        <v>1080</v>
      </c>
      <c r="F33" s="16" t="s">
        <v>87</v>
      </c>
      <c r="G33" s="17" t="s">
        <v>88</v>
      </c>
      <c r="H33" s="18" t="s">
        <v>1081</v>
      </c>
      <c r="I33" s="18" t="s">
        <v>1082</v>
      </c>
      <c r="J33" s="18" t="s">
        <v>1083</v>
      </c>
      <c r="K33" s="18" t="s">
        <v>1084</v>
      </c>
      <c r="L33" s="18" t="s">
        <v>1085</v>
      </c>
      <c r="M33" s="18" t="s">
        <v>276</v>
      </c>
      <c r="N33" s="18" t="s">
        <v>277</v>
      </c>
      <c r="O33" s="18" t="s">
        <v>98</v>
      </c>
      <c r="P33" s="15" t="str">
        <f t="shared" si="1"/>
        <v>CHEM</v>
      </c>
      <c r="Q33" s="15">
        <f t="shared" si="2"/>
        <v>6</v>
      </c>
      <c r="R33" s="15">
        <f t="shared" si="3"/>
        <v>2</v>
      </c>
      <c r="S33" s="15">
        <f t="shared" si="4"/>
        <v>5</v>
      </c>
      <c r="T33" s="15" t="str">
        <f t="shared" si="5"/>
        <v>A-6</v>
      </c>
      <c r="U33" s="15" t="str">
        <f t="shared" si="6"/>
        <v>T6-M2-H5-FA-6-CHEM</v>
      </c>
      <c r="V33" s="15">
        <f t="shared" si="7"/>
        <v>0</v>
      </c>
      <c r="W33" s="31"/>
      <c r="X33" s="15" t="str">
        <f t="shared" si="8"/>
        <v>dahej</v>
      </c>
      <c r="Y33" s="32" t="str">
        <f t="shared" si="9"/>
        <v>https://steelmanufacturer.in/market-area/electropolished-pipes-manufacturer-in-dahej/</v>
      </c>
      <c r="Z33" s="15" t="str">
        <f t="shared" si="10"/>
        <v>Electropolished Pipes Manufacturer in Dahej</v>
      </c>
      <c r="AA33" s="15" t="str">
        <f t="shared" si="11"/>
        <v>OK (43)</v>
      </c>
      <c r="AB33" s="15" t="str">
        <f t="shared" si="12"/>
        <v>Electropolished tube supply to Dahej SEZ, Dahej. Ra from 0.25 um, SF4 finish, mill test certificate with every lot.</v>
      </c>
      <c r="AC33" s="15" t="str">
        <f t="shared" si="13"/>
        <v>OK (115)</v>
      </c>
      <c r="AD33" s="15" t="str">
        <f t="shared" si="14"/>
        <v>Electropolished Pipes Manufacturer in Dahej</v>
      </c>
      <c r="AE33" s="15" t="str">
        <f t="shared" si="15"/>
        <v>Electropolished Tube Manufacturing Capability Serving Dahej</v>
      </c>
      <c r="AF33" s="15" t="str">
        <f t="shared" si="16"/>
        <v>Electropolished Pipes Supplier in Dahej - From Order to Delivery</v>
      </c>
      <c r="AG33" s="15" t="str">
        <f t="shared" si="17"/>
        <v>Stockist &amp; Wholesale Supply of Electropolished Pipes in Dahej</v>
      </c>
      <c r="AH33" s="15" t="str">
        <f t="shared" si="18"/>
        <v>electropolished pipes manufacturer in Dahej, electropolished pipes supplier in Dahej, electropolished pipes wholesaler in Dahej, electropolished tube manufacturer Dahej, EP pipe supplier Dahej, sanitary tube supplier Dahej, ASME BPE tubing Dahej, ASTM A270 tube Dahej, SS 316L electropolished pipe Dahej</v>
      </c>
      <c r="AI33" s="15" t="str">
        <f t="shared" si="19"/>
        <v>Electropolished Pipes Manufacturer &amp; Supplier in Dahej</v>
      </c>
      <c r="AJ33" s="15" t="str">
        <f t="shared" si="20"/>
        <v>EP-finished SS 304/316L pipes and tubes for petrochemical plants in Dahej. ASME BPE SF1-SF4, Ra from 0.25 um, EN 10204 3.1 certificate with every lot.</v>
      </c>
      <c r="AK33" s="15" t="str">
        <f t="shared" si="21"/>
        <v>Electropolished stainless steel pipes supplied by Sakshi Forge to petrochemical plants at Dahej SEZ, Dahej</v>
      </c>
      <c r="AL33" s="15" t="str">
        <f t="shared" si="22"/>
        <v>Electropolished SS 316L tube stock for Dahej - Sakshi Forge</v>
      </c>
      <c r="AM33" s="15" t="str">
        <f t="shared" si="23"/>
        <v>Home &gt; Market Area &gt; India &gt; Gujarat &gt; Dahej</v>
      </c>
      <c r="AN33" s="15">
        <f t="shared" si="24"/>
        <v>1400</v>
      </c>
      <c r="AO33" s="15">
        <f t="shared" si="25"/>
        <v>10</v>
      </c>
      <c r="AP33" s="15">
        <f t="shared" si="26"/>
        <v>12</v>
      </c>
      <c r="AQ33" s="15">
        <f t="shared" si="27"/>
        <v>1</v>
      </c>
      <c r="AR33" s="31"/>
      <c r="AS33" s="31"/>
      <c r="AT33" s="35" t="s">
        <v>222</v>
      </c>
      <c r="AU33" s="35"/>
    </row>
    <row r="34" ht="15.75" customHeight="1">
      <c r="A34" s="15" t="s">
        <v>1102</v>
      </c>
      <c r="B34" s="15" t="s">
        <v>60</v>
      </c>
      <c r="C34" s="15" t="s">
        <v>1104</v>
      </c>
      <c r="D34" s="15" t="s">
        <v>1105</v>
      </c>
      <c r="E34" s="15" t="s">
        <v>1105</v>
      </c>
      <c r="F34" s="16" t="s">
        <v>87</v>
      </c>
      <c r="G34" s="17" t="s">
        <v>88</v>
      </c>
      <c r="H34" s="18" t="s">
        <v>1107</v>
      </c>
      <c r="I34" s="18" t="s">
        <v>1108</v>
      </c>
      <c r="J34" s="18" t="s">
        <v>1110</v>
      </c>
      <c r="K34" s="18" t="s">
        <v>229</v>
      </c>
      <c r="L34" s="18" t="s">
        <v>1111</v>
      </c>
      <c r="M34" s="18" t="s">
        <v>96</v>
      </c>
      <c r="N34" s="18" t="s">
        <v>232</v>
      </c>
      <c r="O34" s="18" t="s">
        <v>98</v>
      </c>
      <c r="P34" s="15" t="str">
        <f t="shared" si="1"/>
        <v>PHARMA</v>
      </c>
      <c r="Q34" s="15">
        <f t="shared" si="2"/>
        <v>7</v>
      </c>
      <c r="R34" s="15">
        <f t="shared" si="3"/>
        <v>3</v>
      </c>
      <c r="S34" s="15">
        <f t="shared" si="4"/>
        <v>1</v>
      </c>
      <c r="T34" s="15" t="str">
        <f t="shared" si="5"/>
        <v>A-1</v>
      </c>
      <c r="U34" s="15" t="str">
        <f t="shared" si="6"/>
        <v>T7-M3-H1-FA-1-PHARMA</v>
      </c>
      <c r="V34" s="15">
        <f t="shared" si="7"/>
        <v>0</v>
      </c>
      <c r="W34" s="31"/>
      <c r="X34" s="15" t="str">
        <f t="shared" si="8"/>
        <v>daman</v>
      </c>
      <c r="Y34" s="32" t="str">
        <f t="shared" si="9"/>
        <v>https://steelmanufacturer.in/market-area/electropolished-pipes-manufacturer-in-daman/</v>
      </c>
      <c r="Z34" s="15" t="str">
        <f t="shared" si="10"/>
        <v>Electropolished Pipes Manufacturer in Daman | ASME BPE SF1-SF4</v>
      </c>
      <c r="AA34" s="15" t="str">
        <f t="shared" si="11"/>
        <v>OK (62)</v>
      </c>
      <c r="AB34" s="15" t="str">
        <f t="shared" si="12"/>
        <v>EP stainless tube for pharma lines in Daman. 1-2 day road transit from our Mumbai works. ASTM A270 S2, PMI tested, EN 10204 3.1.</v>
      </c>
      <c r="AC34" s="15" t="str">
        <f t="shared" si="13"/>
        <v>OK (128)</v>
      </c>
      <c r="AD34" s="15" t="str">
        <f t="shared" si="14"/>
        <v>Electropolished Pipes Manufacturer in Daman</v>
      </c>
      <c r="AE34" s="15" t="str">
        <f t="shared" si="15"/>
        <v>Electropolished Pipe &amp; Tube Manufacturing for Daman - Grades, Finishes &amp; Certification</v>
      </c>
      <c r="AF34" s="15" t="str">
        <f t="shared" si="16"/>
        <v>Electropolished Pipes Supplier in Daman - Stock Sizes, Lead Time &amp; Delivery</v>
      </c>
      <c r="AG34" s="15" t="str">
        <f t="shared" si="17"/>
        <v>Electropolished Pipes Wholesaler &amp; Stockist in Daman - Bulk &amp; Project Pricing</v>
      </c>
      <c r="AH34" s="15" t="str">
        <f t="shared" si="18"/>
        <v>electropolished pipes manufacturer in Daman, electropolished pipes supplier in Daman, electropolished pipes wholesaler in Daman, electropolished tube manufacturer Daman, EP pipe supplier Daman, sanitary tube supplier Daman, ASME BPE tubing Daman, ASTM A270 tube Daman, SS 316L electropolished pipe Daman</v>
      </c>
      <c r="AI34" s="15" t="str">
        <f t="shared" si="19"/>
        <v>Electropolished Pipes Manufacturer &amp; Supplier in Daman</v>
      </c>
      <c r="AJ34" s="15" t="str">
        <f t="shared" si="20"/>
        <v>EP-finished SS 304/316L pipes and tubes for pharma plants in Daman. ASME BPE SF1-SF4, Ra from 0.25 um, EN 10204 3.1 certificate with every lot.</v>
      </c>
      <c r="AK34" s="15" t="str">
        <f t="shared" si="21"/>
        <v>Electropolished stainless steel pipes supplied by Sakshi Forge to pharma plants at Daman Industrial Estate, Daman</v>
      </c>
      <c r="AL34" s="15" t="str">
        <f t="shared" si="22"/>
        <v>Electropolished SS 316L tube stock for Daman - Sakshi Forge</v>
      </c>
      <c r="AM34" s="15" t="str">
        <f t="shared" si="23"/>
        <v>Home &gt; Market Area &gt; India &gt; Daman &amp; Diu &gt; Daman</v>
      </c>
      <c r="AN34" s="15">
        <f t="shared" si="24"/>
        <v>1400</v>
      </c>
      <c r="AO34" s="15">
        <f t="shared" si="25"/>
        <v>10</v>
      </c>
      <c r="AP34" s="15">
        <f t="shared" si="26"/>
        <v>12</v>
      </c>
      <c r="AQ34" s="15">
        <f t="shared" si="27"/>
        <v>1</v>
      </c>
      <c r="AR34" s="31"/>
      <c r="AS34" s="31"/>
      <c r="AT34" s="35" t="s">
        <v>222</v>
      </c>
      <c r="AU34" s="35"/>
    </row>
    <row r="35" ht="15.75" customHeight="1">
      <c r="A35" s="15" t="s">
        <v>1137</v>
      </c>
      <c r="B35" s="15" t="s">
        <v>60</v>
      </c>
      <c r="C35" s="15" t="s">
        <v>1139</v>
      </c>
      <c r="D35" s="15" t="s">
        <v>1140</v>
      </c>
      <c r="E35" s="15" t="s">
        <v>1140</v>
      </c>
      <c r="F35" s="16" t="s">
        <v>87</v>
      </c>
      <c r="G35" s="17" t="s">
        <v>88</v>
      </c>
      <c r="H35" s="18" t="s">
        <v>1141</v>
      </c>
      <c r="I35" s="18" t="s">
        <v>1142</v>
      </c>
      <c r="J35" s="18" t="s">
        <v>1143</v>
      </c>
      <c r="K35" s="18" t="s">
        <v>969</v>
      </c>
      <c r="L35" s="18" t="s">
        <v>1144</v>
      </c>
      <c r="M35" s="18" t="s">
        <v>96</v>
      </c>
      <c r="N35" s="18" t="s">
        <v>232</v>
      </c>
      <c r="O35" s="18" t="s">
        <v>98</v>
      </c>
      <c r="P35" s="15" t="str">
        <f t="shared" si="1"/>
        <v>SEMI</v>
      </c>
      <c r="Q35" s="15">
        <f t="shared" si="2"/>
        <v>8</v>
      </c>
      <c r="R35" s="15">
        <f t="shared" si="3"/>
        <v>4</v>
      </c>
      <c r="S35" s="15">
        <f t="shared" si="4"/>
        <v>2</v>
      </c>
      <c r="T35" s="15" t="str">
        <f t="shared" si="5"/>
        <v>A-2</v>
      </c>
      <c r="U35" s="15" t="str">
        <f t="shared" si="6"/>
        <v>T8-M4-H2-FA-2-SEMI</v>
      </c>
      <c r="V35" s="15">
        <f t="shared" si="7"/>
        <v>0</v>
      </c>
      <c r="W35" s="31"/>
      <c r="X35" s="15" t="str">
        <f t="shared" si="8"/>
        <v>dehradun</v>
      </c>
      <c r="Y35" s="32" t="str">
        <f t="shared" si="9"/>
        <v>https://steelmanufacturer.in/market-area/electropolished-pipes-manufacturer-in-dehradun/</v>
      </c>
      <c r="Z35" s="15" t="str">
        <f t="shared" si="10"/>
        <v>Electropolished Pipes Manufacturer in Dehradun - EP Tube Stockist</v>
      </c>
      <c r="AA35" s="15" t="str">
        <f t="shared" si="11"/>
        <v>OK (65)</v>
      </c>
      <c r="AB35" s="15" t="str">
        <f t="shared" si="12"/>
        <v>Sanitary electropolished pipes in Dehradun for electronics &amp; pharma plants. ASME BPE SF1-SF4, orbital-weld ready, 3.1 MTC. Mumbai-made.</v>
      </c>
      <c r="AC35" s="15" t="str">
        <f t="shared" si="13"/>
        <v>OK (135)</v>
      </c>
      <c r="AD35" s="15" t="str">
        <f t="shared" si="14"/>
        <v>Electropolished Pipes Manufacturer in Dehradun</v>
      </c>
      <c r="AE35" s="15" t="str">
        <f t="shared" si="15"/>
        <v>How We Manufacture Electropolished Tube for Dehradun Plants</v>
      </c>
      <c r="AF35" s="15" t="str">
        <f t="shared" si="16"/>
        <v>Supplying Electropolished Pipes in Dehradun: Availability, Sizes &amp; Dispatch</v>
      </c>
      <c r="AG35" s="15" t="str">
        <f t="shared" si="17"/>
        <v>Wholesale Electropolished Pipe Supply for Dehradun Projects</v>
      </c>
      <c r="AH35" s="15" t="str">
        <f t="shared" si="18"/>
        <v>electropolished pipes manufacturer in Dehradun, electropolished pipes supplier in Dehradun, electropolished pipes wholesaler in Dehradun, electropolished tube manufacturer Dehradun, EP pipe supplier Dehradun, sanitary tube supplier Dehradun, ASME BPE tubing Dehradun, ASTM A270 tube Dehradun, SS 316L electropolished pipe Dehradun</v>
      </c>
      <c r="AI35" s="15" t="str">
        <f t="shared" si="19"/>
        <v>Electropolished Pipes Manufacturer &amp; Supplier in Dehradun</v>
      </c>
      <c r="AJ35" s="15" t="str">
        <f t="shared" si="20"/>
        <v>EP-finished SS 304/316L pipes and tubes for electronics &amp; pharma plants in Dehradun. ASME BPE SF1-SF4, Ra from 0.25 um, EN 10204 3.1 certificate with every lot.</v>
      </c>
      <c r="AK35" s="15" t="str">
        <f t="shared" si="21"/>
        <v>Electropolished stainless steel pipes supplied by Sakshi Forge to electronics &amp; pharma plants at Selaqui Industrial Area, Dehradun</v>
      </c>
      <c r="AL35" s="15" t="str">
        <f t="shared" si="22"/>
        <v>Electropolished SS 316L tube stock for Dehradun - Sakshi Forge</v>
      </c>
      <c r="AM35" s="15" t="str">
        <f t="shared" si="23"/>
        <v>Home &gt; Market Area &gt; India &gt; Uttarakhand &gt; Dehradun</v>
      </c>
      <c r="AN35" s="15">
        <f t="shared" si="24"/>
        <v>1400</v>
      </c>
      <c r="AO35" s="15">
        <f t="shared" si="25"/>
        <v>10</v>
      </c>
      <c r="AP35" s="15">
        <f t="shared" si="26"/>
        <v>12</v>
      </c>
      <c r="AQ35" s="15">
        <f t="shared" si="27"/>
        <v>1</v>
      </c>
      <c r="AR35" s="31"/>
      <c r="AS35" s="31"/>
      <c r="AT35" s="35" t="s">
        <v>222</v>
      </c>
      <c r="AU35" s="35"/>
    </row>
    <row r="36" ht="15.75" customHeight="1">
      <c r="A36" s="15" t="s">
        <v>1149</v>
      </c>
      <c r="B36" s="15" t="s">
        <v>60</v>
      </c>
      <c r="C36" s="15" t="s">
        <v>842</v>
      </c>
      <c r="D36" s="15" t="s">
        <v>1150</v>
      </c>
      <c r="E36" s="15" t="s">
        <v>1150</v>
      </c>
      <c r="F36" s="16" t="s">
        <v>87</v>
      </c>
      <c r="G36" s="17" t="s">
        <v>88</v>
      </c>
      <c r="H36" s="18" t="s">
        <v>1151</v>
      </c>
      <c r="I36" s="18" t="s">
        <v>1151</v>
      </c>
      <c r="J36" s="18" t="s">
        <v>1152</v>
      </c>
      <c r="K36" s="18" t="s">
        <v>393</v>
      </c>
      <c r="L36" s="18" t="s">
        <v>1153</v>
      </c>
      <c r="M36" s="18" t="s">
        <v>830</v>
      </c>
      <c r="N36" s="18" t="s">
        <v>232</v>
      </c>
      <c r="O36" s="18" t="s">
        <v>98</v>
      </c>
      <c r="P36" s="15" t="str">
        <f t="shared" si="1"/>
        <v>PHARMA</v>
      </c>
      <c r="Q36" s="15">
        <f t="shared" si="2"/>
        <v>1</v>
      </c>
      <c r="R36" s="15">
        <f t="shared" si="3"/>
        <v>5</v>
      </c>
      <c r="S36" s="15">
        <f t="shared" si="4"/>
        <v>3</v>
      </c>
      <c r="T36" s="15" t="str">
        <f t="shared" si="5"/>
        <v>A-3</v>
      </c>
      <c r="U36" s="15" t="str">
        <f t="shared" si="6"/>
        <v>T1-M5-H3-FA-3-PHARMA</v>
      </c>
      <c r="V36" s="15">
        <f t="shared" si="7"/>
        <v>0</v>
      </c>
      <c r="W36" s="31"/>
      <c r="X36" s="15" t="str">
        <f t="shared" si="8"/>
        <v>dewas</v>
      </c>
      <c r="Y36" s="32" t="str">
        <f t="shared" si="9"/>
        <v>https://steelmanufacturer.in/market-area/electropolished-pipes-manufacturer-in-dewas/</v>
      </c>
      <c r="Z36" s="15" t="str">
        <f t="shared" si="10"/>
        <v>Electropolished Pipes Manufacturer in Dewas | Sakshi Forge</v>
      </c>
      <c r="AA36" s="15" t="str">
        <f t="shared" si="11"/>
        <v>OK (58)</v>
      </c>
      <c r="AB36" s="15" t="str">
        <f t="shared" si="12"/>
        <v>Manufacturer of electropolished SS 316L tube serving Dewas. 3-4 day road transit from our Mumbai works. Ra 0.25-0.5 um, EN 10204 3.1 MTC.</v>
      </c>
      <c r="AC36" s="15" t="str">
        <f t="shared" si="13"/>
        <v>OK (137)</v>
      </c>
      <c r="AD36" s="15" t="str">
        <f t="shared" si="14"/>
        <v>Electropolished Pipes Manufacturer in Dewas</v>
      </c>
      <c r="AE36" s="15" t="str">
        <f t="shared" si="15"/>
        <v>Electropolished Pipes Manufacturer in Dewas - Our Process &amp; Capability</v>
      </c>
      <c r="AF36" s="15" t="str">
        <f t="shared" si="16"/>
        <v>Electropolished Pipes Supplier in Dewas - What We Hold in Stock</v>
      </c>
      <c r="AG36" s="15" t="str">
        <f t="shared" si="17"/>
        <v>Bulk &amp; Wholesale Electropolished Pipe Rates for Dewas Buyers</v>
      </c>
      <c r="AH36" s="15" t="str">
        <f t="shared" si="18"/>
        <v>electropolished pipes manufacturer in Dewas, electropolished pipes supplier in Dewas, electropolished pipes wholesaler in Dewas, electropolished tube manufacturer Dewas, EP pipe supplier Dewas, sanitary tube supplier Dewas, ASME BPE tubing Dewas, ASTM A270 tube Dewas, SS 316L electropolished pipe Dewas</v>
      </c>
      <c r="AI36" s="15" t="str">
        <f t="shared" si="19"/>
        <v>Electropolished Pipes Manufacturer &amp; Supplier in Dewas</v>
      </c>
      <c r="AJ36" s="15" t="str">
        <f t="shared" si="20"/>
        <v>EP-finished SS 304/316L pipes and tubes for pharma &amp; food &amp; dairy plants in Dewas. ASME BPE SF1-SF4, Ra from 0.25 um, EN 10204 3.1 certificate with every lot.</v>
      </c>
      <c r="AK36" s="15" t="str">
        <f t="shared" si="21"/>
        <v>Electropolished stainless steel pipes supplied by Sakshi Forge to pharma &amp; food &amp; dairy plants at Dewas Industrial Area MPIDC, Dewas</v>
      </c>
      <c r="AL36" s="15" t="str">
        <f t="shared" si="22"/>
        <v>Electropolished SS 316L tube stock for Dewas - Sakshi Forge</v>
      </c>
      <c r="AM36" s="15" t="str">
        <f t="shared" si="23"/>
        <v>Home &gt; Market Area &gt; India &gt; Madhya Pradesh &gt; Dewas</v>
      </c>
      <c r="AN36" s="15">
        <f t="shared" si="24"/>
        <v>1400</v>
      </c>
      <c r="AO36" s="15">
        <f t="shared" si="25"/>
        <v>10</v>
      </c>
      <c r="AP36" s="15">
        <f t="shared" si="26"/>
        <v>12</v>
      </c>
      <c r="AQ36" s="15">
        <f t="shared" si="27"/>
        <v>1</v>
      </c>
      <c r="AR36" s="31"/>
      <c r="AS36" s="31"/>
      <c r="AT36" s="35" t="s">
        <v>222</v>
      </c>
      <c r="AU36" s="35"/>
    </row>
    <row r="37" ht="15.75" customHeight="1">
      <c r="A37" s="15" t="s">
        <v>1154</v>
      </c>
      <c r="B37" s="15" t="s">
        <v>60</v>
      </c>
      <c r="C37" s="15" t="s">
        <v>1155</v>
      </c>
      <c r="D37" s="15" t="s">
        <v>1156</v>
      </c>
      <c r="E37" s="15" t="s">
        <v>1156</v>
      </c>
      <c r="F37" s="16" t="s">
        <v>87</v>
      </c>
      <c r="G37" s="17" t="s">
        <v>88</v>
      </c>
      <c r="H37" s="18" t="s">
        <v>1157</v>
      </c>
      <c r="I37" s="18" t="s">
        <v>1157</v>
      </c>
      <c r="J37" s="18" t="s">
        <v>1158</v>
      </c>
      <c r="K37" s="18" t="s">
        <v>94</v>
      </c>
      <c r="L37" s="18" t="s">
        <v>1159</v>
      </c>
      <c r="M37" s="18" t="s">
        <v>1160</v>
      </c>
      <c r="N37" s="18" t="s">
        <v>97</v>
      </c>
      <c r="O37" s="18" t="s">
        <v>98</v>
      </c>
      <c r="P37" s="15" t="str">
        <f t="shared" si="1"/>
        <v>FOOD</v>
      </c>
      <c r="Q37" s="15">
        <f t="shared" si="2"/>
        <v>2</v>
      </c>
      <c r="R37" s="15">
        <f t="shared" si="3"/>
        <v>6</v>
      </c>
      <c r="S37" s="15">
        <f t="shared" si="4"/>
        <v>4</v>
      </c>
      <c r="T37" s="15" t="str">
        <f t="shared" si="5"/>
        <v>A-4</v>
      </c>
      <c r="U37" s="15" t="str">
        <f t="shared" si="6"/>
        <v>T2-M6-H4-FA-4-FOOD</v>
      </c>
      <c r="V37" s="15">
        <f t="shared" si="7"/>
        <v>0</v>
      </c>
      <c r="W37" s="31"/>
      <c r="X37" s="15" t="str">
        <f t="shared" si="8"/>
        <v>dibrugarh</v>
      </c>
      <c r="Y37" s="32" t="str">
        <f t="shared" si="9"/>
        <v>https://steelmanufacturer.in/market-area/electropolished-pipes-manufacturer-in-dibrugarh/</v>
      </c>
      <c r="Z37" s="15" t="str">
        <f t="shared" si="10"/>
        <v>Electropolished Pipes Manufacturer in Dibrugarh</v>
      </c>
      <c r="AA37" s="15" t="str">
        <f t="shared" si="11"/>
        <v>OK (47)</v>
      </c>
      <c r="AB37" s="15" t="str">
        <f t="shared" si="12"/>
        <v>EP tube and pipe for food processing plants around Dibrugarh Industrial Estate AIDC, Dibrugarh. ASTM A270, ASME BPE SF1-SF4, EN 10204 3.1 MTC.</v>
      </c>
      <c r="AC37" s="15" t="str">
        <f t="shared" si="13"/>
        <v>OK (142)</v>
      </c>
      <c r="AD37" s="15" t="str">
        <f t="shared" si="14"/>
        <v>Electropolished Pipes Manufacturer in Dibrugarh</v>
      </c>
      <c r="AE37" s="15" t="str">
        <f t="shared" si="15"/>
        <v>Manufacturing Electropolished SS Tube for Dibrugarh: The Standards We Build To</v>
      </c>
      <c r="AF37" s="15" t="str">
        <f t="shared" si="16"/>
        <v>Electropolished Pipe Supply Into Dibrugarh - Certification &amp; Transit</v>
      </c>
      <c r="AG37" s="15" t="str">
        <f t="shared" si="17"/>
        <v>Electropolished Pipes Wholesaler in Dibrugarh - Project Quantities &amp; Terms</v>
      </c>
      <c r="AH37" s="15" t="str">
        <f t="shared" si="18"/>
        <v>electropolished pipes manufacturer in Dibrugarh, electropolished pipes supplier in Dibrugarh, electropolished pipes wholesaler in Dibrugarh, electropolished tube manufacturer Dibrugarh, EP pipe supplier Dibrugarh, sanitary tube supplier Dibrugarh, ASME BPE tubing Dibrugarh, ASTM A270 tube Dibrugarh, SS 316L electropolished pipe Dibrugarh</v>
      </c>
      <c r="AI37" s="15" t="str">
        <f t="shared" si="19"/>
        <v>Electropolished Pipes Manufacturer &amp; Supplier in Dibrugarh</v>
      </c>
      <c r="AJ37" s="15" t="str">
        <f t="shared" si="20"/>
        <v>EP-finished SS 304/316L pipes and tubes for food processing plants in Dibrugarh. ASME BPE SF1-SF4, Ra from 0.25 um, EN 10204 3.1 certificate with every lot.</v>
      </c>
      <c r="AK37" s="15" t="str">
        <f t="shared" si="21"/>
        <v>Electropolished stainless steel pipes supplied by Sakshi Forge to food processing plants at Dibrugarh Industrial Estate AIDC, Dibrugarh</v>
      </c>
      <c r="AL37" s="15" t="str">
        <f t="shared" si="22"/>
        <v>Electropolished SS 316L tube stock for Dibrugarh - Sakshi Forge</v>
      </c>
      <c r="AM37" s="15" t="str">
        <f t="shared" si="23"/>
        <v>Home &gt; Market Area &gt; India &gt; Assam &gt; Dibrugarh</v>
      </c>
      <c r="AN37" s="15">
        <f t="shared" si="24"/>
        <v>1400</v>
      </c>
      <c r="AO37" s="15">
        <f t="shared" si="25"/>
        <v>10</v>
      </c>
      <c r="AP37" s="15">
        <f t="shared" si="26"/>
        <v>12</v>
      </c>
      <c r="AQ37" s="15">
        <f t="shared" si="27"/>
        <v>1</v>
      </c>
      <c r="AR37" s="31"/>
      <c r="AS37" s="31"/>
      <c r="AT37" s="35" t="s">
        <v>222</v>
      </c>
      <c r="AU37" s="35"/>
    </row>
    <row r="38" ht="15.75" customHeight="1">
      <c r="A38" s="15" t="s">
        <v>1164</v>
      </c>
      <c r="B38" s="15" t="s">
        <v>60</v>
      </c>
      <c r="C38" s="15" t="s">
        <v>1165</v>
      </c>
      <c r="D38" s="15" t="s">
        <v>1166</v>
      </c>
      <c r="E38" s="15" t="s">
        <v>1166</v>
      </c>
      <c r="F38" s="16" t="s">
        <v>87</v>
      </c>
      <c r="G38" s="17" t="s">
        <v>88</v>
      </c>
      <c r="H38" s="18" t="s">
        <v>1168</v>
      </c>
      <c r="I38" s="18" t="s">
        <v>1169</v>
      </c>
      <c r="J38" s="18" t="s">
        <v>1170</v>
      </c>
      <c r="K38" s="18" t="s">
        <v>271</v>
      </c>
      <c r="L38" s="18" t="s">
        <v>1171</v>
      </c>
      <c r="M38" s="18" t="s">
        <v>96</v>
      </c>
      <c r="N38" s="18" t="s">
        <v>277</v>
      </c>
      <c r="O38" s="18" t="s">
        <v>98</v>
      </c>
      <c r="P38" s="15" t="str">
        <f t="shared" si="1"/>
        <v>CHEM</v>
      </c>
      <c r="Q38" s="15">
        <f t="shared" si="2"/>
        <v>3</v>
      </c>
      <c r="R38" s="15">
        <f t="shared" si="3"/>
        <v>7</v>
      </c>
      <c r="S38" s="15">
        <f t="shared" si="4"/>
        <v>5</v>
      </c>
      <c r="T38" s="15" t="str">
        <f t="shared" si="5"/>
        <v>A-5</v>
      </c>
      <c r="U38" s="15" t="str">
        <f t="shared" si="6"/>
        <v>T3-M7-H5-FA-5-CHEM</v>
      </c>
      <c r="V38" s="15">
        <f t="shared" si="7"/>
        <v>0</v>
      </c>
      <c r="W38" s="31"/>
      <c r="X38" s="15" t="str">
        <f t="shared" si="8"/>
        <v>durgapur</v>
      </c>
      <c r="Y38" s="32" t="str">
        <f t="shared" si="9"/>
        <v>https://steelmanufacturer.in/market-area/electropolished-pipes-manufacturer-in-durgapur/</v>
      </c>
      <c r="Z38" s="15" t="str">
        <f t="shared" si="10"/>
        <v>Electropolished Pipes Manufacturer in Durgapur | EP Tube Supplier</v>
      </c>
      <c r="AA38" s="15" t="str">
        <f t="shared" si="11"/>
        <v>OK (65)</v>
      </c>
      <c r="AB38" s="15" t="str">
        <f t="shared" si="12"/>
        <v>Electropolished pipes in Durgapur: 304, 304L, 316 and 316L in SF1-SF4. 1-2 day road transit from our Mumbai works. Mill certified.</v>
      </c>
      <c r="AC38" s="15" t="str">
        <f t="shared" si="13"/>
        <v>OK (130)</v>
      </c>
      <c r="AD38" s="15" t="str">
        <f t="shared" si="14"/>
        <v>Electropolished Pipes Manufacturer in Durgapur</v>
      </c>
      <c r="AE38" s="15" t="str">
        <f t="shared" si="15"/>
        <v>Electropolished Tube Manufacturing Capability Serving Durgapur</v>
      </c>
      <c r="AF38" s="15" t="str">
        <f t="shared" si="16"/>
        <v>Electropolished Pipes Supplier in Durgapur - From Order to Delivery</v>
      </c>
      <c r="AG38" s="15" t="str">
        <f t="shared" si="17"/>
        <v>Stockist &amp; Wholesale Supply of Electropolished Pipes in Durgapur</v>
      </c>
      <c r="AH38" s="15" t="str">
        <f t="shared" si="18"/>
        <v>electropolished pipes manufacturer in Durgapur, electropolished pipes supplier in Durgapur, electropolished pipes wholesaler in Durgapur, electropolished tube manufacturer Durgapur, EP pipe supplier Durgapur, sanitary tube supplier Durgapur, ASME BPE tubing Durgapur, ASTM A270 tube Durgapur, SS 316L electropolished pipe Durgapur</v>
      </c>
      <c r="AI38" s="15" t="str">
        <f t="shared" si="19"/>
        <v>Electropolished Pipes Manufacturer &amp; Supplier in Durgapur</v>
      </c>
      <c r="AJ38" s="15" t="str">
        <f t="shared" si="20"/>
        <v>EP-finished SS 304/316L pipes and tubes for chemical plants in Durgapur. ASME BPE SF1-SF4, Ra from 0.25 um, EN 10204 3.1 certificate with every lot.</v>
      </c>
      <c r="AK38" s="15" t="str">
        <f t="shared" si="21"/>
        <v>Electropolished stainless steel pipes supplied by Sakshi Forge to chemical plants at Durgapur Industrial Belt, Durgapur</v>
      </c>
      <c r="AL38" s="15" t="str">
        <f t="shared" si="22"/>
        <v>Electropolished SS 316L tube stock for Durgapur - Sakshi Forge</v>
      </c>
      <c r="AM38" s="15" t="str">
        <f t="shared" si="23"/>
        <v>Home &gt; Market Area &gt; India &gt; West Bengal &gt; Durgapur</v>
      </c>
      <c r="AN38" s="15">
        <f t="shared" si="24"/>
        <v>1400</v>
      </c>
      <c r="AO38" s="15">
        <f t="shared" si="25"/>
        <v>10</v>
      </c>
      <c r="AP38" s="15">
        <f t="shared" si="26"/>
        <v>12</v>
      </c>
      <c r="AQ38" s="15">
        <f t="shared" si="27"/>
        <v>1</v>
      </c>
      <c r="AR38" s="31"/>
      <c r="AS38" s="31"/>
      <c r="AT38" s="35" t="s">
        <v>222</v>
      </c>
      <c r="AU38" s="35"/>
    </row>
    <row r="39" ht="15.75" customHeight="1">
      <c r="A39" s="15" t="s">
        <v>1184</v>
      </c>
      <c r="B39" s="15" t="s">
        <v>60</v>
      </c>
      <c r="C39" s="15" t="s">
        <v>958</v>
      </c>
      <c r="D39" s="15" t="s">
        <v>1186</v>
      </c>
      <c r="E39" s="15" t="s">
        <v>1186</v>
      </c>
      <c r="F39" s="16" t="s">
        <v>87</v>
      </c>
      <c r="G39" s="17" t="s">
        <v>88</v>
      </c>
      <c r="H39" s="18" t="s">
        <v>1187</v>
      </c>
      <c r="I39" s="18" t="s">
        <v>1188</v>
      </c>
      <c r="J39" s="18" t="s">
        <v>1190</v>
      </c>
      <c r="K39" s="18" t="s">
        <v>94</v>
      </c>
      <c r="L39" s="18" t="s">
        <v>1192</v>
      </c>
      <c r="M39" s="18" t="s">
        <v>231</v>
      </c>
      <c r="N39" s="18" t="s">
        <v>97</v>
      </c>
      <c r="O39" s="18" t="s">
        <v>98</v>
      </c>
      <c r="P39" s="15" t="str">
        <f t="shared" si="1"/>
        <v>FOOD</v>
      </c>
      <c r="Q39" s="15">
        <f t="shared" si="2"/>
        <v>4</v>
      </c>
      <c r="R39" s="15">
        <f t="shared" si="3"/>
        <v>1</v>
      </c>
      <c r="S39" s="15">
        <f t="shared" si="4"/>
        <v>1</v>
      </c>
      <c r="T39" s="15" t="str">
        <f t="shared" si="5"/>
        <v>A-6</v>
      </c>
      <c r="U39" s="15" t="str">
        <f t="shared" si="6"/>
        <v>T4-M1-H1-FA-6-FOOD</v>
      </c>
      <c r="V39" s="15">
        <f t="shared" si="7"/>
        <v>0</v>
      </c>
      <c r="W39" s="31"/>
      <c r="X39" s="15" t="str">
        <f t="shared" si="8"/>
        <v>erode</v>
      </c>
      <c r="Y39" s="32" t="str">
        <f t="shared" si="9"/>
        <v>https://steelmanufacturer.in/market-area/electropolished-pipes-manufacturer-in-erode/</v>
      </c>
      <c r="Z39" s="15" t="str">
        <f t="shared" si="10"/>
        <v>Electropolished Pipes Manufacturer in Erode - SS 304/316L EP Tube</v>
      </c>
      <c r="AA39" s="15" t="str">
        <f t="shared" si="11"/>
        <v>OK (65)</v>
      </c>
      <c r="AB39" s="15" t="str">
        <f t="shared" si="12"/>
        <v>EP-finished SS 304/316L pipes &amp; tubes for food processing plants in Erode. ASTM A270, ASME BPE SF1-SF4, EN 10204 3.1 MTC. PMI tested.</v>
      </c>
      <c r="AC39" s="15" t="str">
        <f t="shared" si="13"/>
        <v>OK (133)</v>
      </c>
      <c r="AD39" s="15" t="str">
        <f t="shared" si="14"/>
        <v>Electropolished Pipes Manufacturer in Erode</v>
      </c>
      <c r="AE39" s="15" t="str">
        <f t="shared" si="15"/>
        <v>Electropolished Pipe &amp; Tube Manufacturing for Erode - Grades, Finishes &amp; Certification</v>
      </c>
      <c r="AF39" s="15" t="str">
        <f t="shared" si="16"/>
        <v>Electropolished Pipes Supplier in Erode - Stock Sizes, Lead Time &amp; Delivery</v>
      </c>
      <c r="AG39" s="15" t="str">
        <f t="shared" si="17"/>
        <v>Electropolished Pipes Wholesaler &amp; Stockist in Erode - Bulk &amp; Project Pricing</v>
      </c>
      <c r="AH39" s="15" t="str">
        <f t="shared" si="18"/>
        <v>electropolished pipes manufacturer in Erode, electropolished pipes supplier in Erode, electropolished pipes wholesaler in Erode, electropolished tube manufacturer Erode, EP pipe supplier Erode, sanitary tube supplier Erode, ASME BPE tubing Erode, ASTM A270 tube Erode, SS 316L electropolished pipe Erode</v>
      </c>
      <c r="AI39" s="15" t="str">
        <f t="shared" si="19"/>
        <v>Electropolished Pipes Manufacturer &amp; Supplier in Erode</v>
      </c>
      <c r="AJ39" s="15" t="str">
        <f t="shared" si="20"/>
        <v>EP-finished SS 304/316L pipes and tubes for food processing plants in Erode. ASME BPE SF1-SF4, Ra from 0.25 um, EN 10204 3.1 certificate with every lot.</v>
      </c>
      <c r="AK39" s="15" t="str">
        <f t="shared" si="21"/>
        <v>Electropolished stainless steel pipes supplied by Sakshi Forge to food processing plants at Perundurai SIPCOT, Erode</v>
      </c>
      <c r="AL39" s="15" t="str">
        <f t="shared" si="22"/>
        <v>Electropolished SS 316L tube stock for Erode - Sakshi Forge</v>
      </c>
      <c r="AM39" s="15" t="str">
        <f t="shared" si="23"/>
        <v>Home &gt; Market Area &gt; India &gt; Tamil Nadu &gt; Erode</v>
      </c>
      <c r="AN39" s="15">
        <f t="shared" si="24"/>
        <v>1400</v>
      </c>
      <c r="AO39" s="15">
        <f t="shared" si="25"/>
        <v>10</v>
      </c>
      <c r="AP39" s="15">
        <f t="shared" si="26"/>
        <v>12</v>
      </c>
      <c r="AQ39" s="15">
        <f t="shared" si="27"/>
        <v>1</v>
      </c>
      <c r="AR39" s="31"/>
      <c r="AS39" s="31"/>
      <c r="AT39" s="35" t="s">
        <v>222</v>
      </c>
      <c r="AU39" s="35"/>
    </row>
    <row r="40" ht="15.75" customHeight="1">
      <c r="A40" s="15" t="s">
        <v>1214</v>
      </c>
      <c r="B40" s="15" t="s">
        <v>60</v>
      </c>
      <c r="C40" s="15" t="s">
        <v>245</v>
      </c>
      <c r="D40" s="15" t="s">
        <v>1217</v>
      </c>
      <c r="E40" s="15" t="s">
        <v>1217</v>
      </c>
      <c r="F40" s="16" t="s">
        <v>87</v>
      </c>
      <c r="G40" s="17" t="s">
        <v>88</v>
      </c>
      <c r="H40" s="18" t="s">
        <v>1218</v>
      </c>
      <c r="I40" s="18" t="s">
        <v>1219</v>
      </c>
      <c r="J40" s="18" t="s">
        <v>1220</v>
      </c>
      <c r="K40" s="18" t="s">
        <v>250</v>
      </c>
      <c r="L40" s="18" t="s">
        <v>1222</v>
      </c>
      <c r="M40" s="18" t="s">
        <v>276</v>
      </c>
      <c r="N40" s="18" t="s">
        <v>252</v>
      </c>
      <c r="O40" s="18" t="s">
        <v>98</v>
      </c>
      <c r="P40" s="15" t="str">
        <f t="shared" si="1"/>
        <v>GENERAL</v>
      </c>
      <c r="Q40" s="15">
        <f t="shared" si="2"/>
        <v>5</v>
      </c>
      <c r="R40" s="15">
        <f t="shared" si="3"/>
        <v>2</v>
      </c>
      <c r="S40" s="15">
        <f t="shared" si="4"/>
        <v>2</v>
      </c>
      <c r="T40" s="15" t="str">
        <f t="shared" si="5"/>
        <v>A-1</v>
      </c>
      <c r="U40" s="15" t="str">
        <f t="shared" si="6"/>
        <v>T5-M2-H2-FA-1-GENERAL</v>
      </c>
      <c r="V40" s="15">
        <f t="shared" si="7"/>
        <v>0</v>
      </c>
      <c r="W40" s="31"/>
      <c r="X40" s="15" t="str">
        <f t="shared" si="8"/>
        <v>faridabad</v>
      </c>
      <c r="Y40" s="32" t="str">
        <f t="shared" si="9"/>
        <v>https://steelmanufacturer.in/market-area/electropolished-pipes-manufacturer-in-faridabad/</v>
      </c>
      <c r="Z40" s="15" t="str">
        <f t="shared" si="10"/>
        <v>Electropolished Pipes Manufacturer in Faridabad</v>
      </c>
      <c r="AA40" s="15" t="str">
        <f t="shared" si="11"/>
        <v>OK (47)</v>
      </c>
      <c r="AB40" s="15" t="str">
        <f t="shared" si="12"/>
        <v>Electropolished tube supply to Faridabad Industrial Area, Faridabad. Ra from 0.25 um, SF4 finish, mill test certificate with every lot.</v>
      </c>
      <c r="AC40" s="15" t="str">
        <f t="shared" si="13"/>
        <v>OK (135)</v>
      </c>
      <c r="AD40" s="15" t="str">
        <f t="shared" si="14"/>
        <v>Electropolished Pipes Manufacturer in Faridabad</v>
      </c>
      <c r="AE40" s="15" t="str">
        <f t="shared" si="15"/>
        <v>How We Manufacture Electropolished Tube for Faridabad Plants</v>
      </c>
      <c r="AF40" s="15" t="str">
        <f t="shared" si="16"/>
        <v>Supplying Electropolished Pipes in Faridabad: Availability, Sizes &amp; Dispatch</v>
      </c>
      <c r="AG40" s="15" t="str">
        <f t="shared" si="17"/>
        <v>Wholesale Electropolished Pipe Supply for Faridabad Projects</v>
      </c>
      <c r="AH40" s="15" t="str">
        <f t="shared" si="18"/>
        <v>electropolished pipes manufacturer in Faridabad, electropolished pipes supplier in Faridabad, electropolished pipes wholesaler in Faridabad, electropolished tube manufacturer Faridabad, EP pipe supplier Faridabad, sanitary tube supplier Faridabad, ASME BPE tubing Faridabad, ASTM A270 tube Faridabad, SS 316L electropolished pipe Faridabad</v>
      </c>
      <c r="AI40" s="15" t="str">
        <f t="shared" si="19"/>
        <v>Electropolished Pipes Manufacturer &amp; Supplier in Faridabad</v>
      </c>
      <c r="AJ40" s="15" t="str">
        <f t="shared" si="20"/>
        <v>EP-finished SS 304/316L pipes and tubes for engineering &amp; process plants in Faridabad. ASME BPE SF1-SF4, Ra from 0.25 um, EN 10204 3.1 certificate with every lot.</v>
      </c>
      <c r="AK40" s="15" t="str">
        <f t="shared" si="21"/>
        <v>Electropolished stainless steel pipes supplied by Sakshi Forge to engineering &amp; process plants at Faridabad Industrial Area, Faridabad</v>
      </c>
      <c r="AL40" s="15" t="str">
        <f t="shared" si="22"/>
        <v>Electropolished SS 316L tube stock for Faridabad - Sakshi Forge</v>
      </c>
      <c r="AM40" s="15" t="str">
        <f t="shared" si="23"/>
        <v>Home &gt; Market Area &gt; India &gt; Haryana &gt; Faridabad</v>
      </c>
      <c r="AN40" s="15">
        <f t="shared" si="24"/>
        <v>1400</v>
      </c>
      <c r="AO40" s="15">
        <f t="shared" si="25"/>
        <v>10</v>
      </c>
      <c r="AP40" s="15">
        <f t="shared" si="26"/>
        <v>12</v>
      </c>
      <c r="AQ40" s="15">
        <f t="shared" si="27"/>
        <v>1</v>
      </c>
      <c r="AR40" s="31"/>
      <c r="AS40" s="31"/>
      <c r="AT40" s="35" t="s">
        <v>222</v>
      </c>
      <c r="AU40" s="35"/>
    </row>
    <row r="41" ht="15.75" customHeight="1">
      <c r="A41" s="15" t="s">
        <v>1249</v>
      </c>
      <c r="B41" s="15" t="s">
        <v>60</v>
      </c>
      <c r="C41" s="15" t="s">
        <v>224</v>
      </c>
      <c r="D41" s="15" t="s">
        <v>1250</v>
      </c>
      <c r="E41" s="15" t="s">
        <v>1250</v>
      </c>
      <c r="F41" s="16" t="s">
        <v>87</v>
      </c>
      <c r="G41" s="17" t="s">
        <v>88</v>
      </c>
      <c r="H41" s="18" t="s">
        <v>1251</v>
      </c>
      <c r="I41" s="18" t="s">
        <v>1252</v>
      </c>
      <c r="J41" s="18" t="s">
        <v>1253</v>
      </c>
      <c r="K41" s="18" t="s">
        <v>969</v>
      </c>
      <c r="L41" s="18" t="s">
        <v>1255</v>
      </c>
      <c r="M41" s="18" t="s">
        <v>231</v>
      </c>
      <c r="N41" s="18" t="s">
        <v>232</v>
      </c>
      <c r="O41" s="18" t="s">
        <v>98</v>
      </c>
      <c r="P41" s="15" t="str">
        <f t="shared" si="1"/>
        <v>SEMI</v>
      </c>
      <c r="Q41" s="15">
        <f t="shared" si="2"/>
        <v>6</v>
      </c>
      <c r="R41" s="15">
        <f t="shared" si="3"/>
        <v>3</v>
      </c>
      <c r="S41" s="15">
        <f t="shared" si="4"/>
        <v>3</v>
      </c>
      <c r="T41" s="15" t="str">
        <f t="shared" si="5"/>
        <v>A-2</v>
      </c>
      <c r="U41" s="15" t="str">
        <f t="shared" si="6"/>
        <v>T6-M3-H3-FA-2-SEMI</v>
      </c>
      <c r="V41" s="15">
        <f t="shared" si="7"/>
        <v>0</v>
      </c>
      <c r="W41" s="31"/>
      <c r="X41" s="15" t="str">
        <f t="shared" si="8"/>
        <v>gandhinagar</v>
      </c>
      <c r="Y41" s="32" t="str">
        <f t="shared" si="9"/>
        <v>https://steelmanufacturer.in/market-area/electropolished-pipes-manufacturer-in-gandhinagar/</v>
      </c>
      <c r="Z41" s="15" t="str">
        <f t="shared" si="10"/>
        <v>Electropolished Pipes Manufacturer in Gandhinagar</v>
      </c>
      <c r="AA41" s="15" t="str">
        <f t="shared" si="11"/>
        <v>OK (49)</v>
      </c>
      <c r="AB41" s="15" t="str">
        <f t="shared" si="12"/>
        <v>EP stainless tube for electronics &amp; pharma lines in Gandhinagar. 2-3 day road transit from our Mumbai works. ASTM A270 S2, PMI tested, EN 10204 3.1.</v>
      </c>
      <c r="AC41" s="15" t="str">
        <f t="shared" si="13"/>
        <v>OK (148)</v>
      </c>
      <c r="AD41" s="15" t="str">
        <f t="shared" si="14"/>
        <v>Electropolished Pipes Manufacturer in Gandhinagar</v>
      </c>
      <c r="AE41" s="15" t="str">
        <f t="shared" si="15"/>
        <v>Electropolished Pipes Manufacturer in Gandhinagar - Our Process &amp; Capability</v>
      </c>
      <c r="AF41" s="15" t="str">
        <f t="shared" si="16"/>
        <v>Electropolished Pipes Supplier in Gandhinagar - What We Hold in Stock</v>
      </c>
      <c r="AG41" s="15" t="str">
        <f t="shared" si="17"/>
        <v>Bulk &amp; Wholesale Electropolished Pipe Rates for Gandhinagar Buyers</v>
      </c>
      <c r="AH41" s="15" t="str">
        <f t="shared" si="18"/>
        <v>electropolished pipes manufacturer in Gandhinagar, electropolished pipes supplier in Gandhinagar, electropolished pipes wholesaler in Gandhinagar, electropolished tube manufacturer Gandhinagar, EP pipe supplier Gandhinagar, sanitary tube supplier Gandhinagar, ASME BPE tubing Gandhinagar, ASTM A270 tube Gandhinagar, SS 316L electropolished pipe Gandhinagar</v>
      </c>
      <c r="AI41" s="15" t="str">
        <f t="shared" si="19"/>
        <v>Electropolished Pipes Manufacturer &amp; Supplier in Gandhinagar</v>
      </c>
      <c r="AJ41" s="15" t="str">
        <f t="shared" si="20"/>
        <v>EP-finished SS 304/316L pipes and tubes for electronics &amp; pharma plants in Gandhinagar. ASME BPE SF1-SF4, Ra from 0.25 um, EN 10204 3.1 certificate with every lot.</v>
      </c>
      <c r="AK41" s="15" t="str">
        <f t="shared" si="21"/>
        <v>Electropolished stainless steel pipes supplied by Sakshi Forge to electronics &amp; pharma plants at Gandhinagar GIDC, Gandhinagar</v>
      </c>
      <c r="AL41" s="15" t="str">
        <f t="shared" si="22"/>
        <v>Electropolished SS 316L tube stock for Gandhinagar - Sakshi Forge</v>
      </c>
      <c r="AM41" s="15" t="str">
        <f t="shared" si="23"/>
        <v>Home &gt; Market Area &gt; India &gt; Gujarat &gt; Gandhinagar</v>
      </c>
      <c r="AN41" s="15">
        <f t="shared" si="24"/>
        <v>1400</v>
      </c>
      <c r="AO41" s="15">
        <f t="shared" si="25"/>
        <v>10</v>
      </c>
      <c r="AP41" s="15">
        <f t="shared" si="26"/>
        <v>12</v>
      </c>
      <c r="AQ41" s="15">
        <f t="shared" si="27"/>
        <v>1</v>
      </c>
      <c r="AR41" s="31"/>
      <c r="AS41" s="31"/>
      <c r="AT41" s="35" t="s">
        <v>222</v>
      </c>
      <c r="AU41" s="35"/>
    </row>
    <row r="42" ht="15.75" customHeight="1">
      <c r="A42" s="15" t="s">
        <v>1309</v>
      </c>
      <c r="B42" s="15" t="s">
        <v>60</v>
      </c>
      <c r="C42" s="15" t="s">
        <v>1312</v>
      </c>
      <c r="D42" s="15" t="s">
        <v>1313</v>
      </c>
      <c r="E42" s="15" t="s">
        <v>1313</v>
      </c>
      <c r="F42" s="16" t="s">
        <v>87</v>
      </c>
      <c r="G42" s="17" t="s">
        <v>88</v>
      </c>
      <c r="H42" s="18" t="s">
        <v>1316</v>
      </c>
      <c r="I42" s="18" t="s">
        <v>1317</v>
      </c>
      <c r="J42" s="18" t="s">
        <v>1318</v>
      </c>
      <c r="K42" s="18" t="s">
        <v>1320</v>
      </c>
      <c r="L42" s="18" t="s">
        <v>1322</v>
      </c>
      <c r="M42" s="18" t="s">
        <v>231</v>
      </c>
      <c r="N42" s="18" t="s">
        <v>1325</v>
      </c>
      <c r="O42" s="18" t="s">
        <v>98</v>
      </c>
      <c r="P42" s="15" t="str">
        <f t="shared" si="1"/>
        <v>BIOTECH</v>
      </c>
      <c r="Q42" s="15">
        <f t="shared" si="2"/>
        <v>7</v>
      </c>
      <c r="R42" s="15">
        <f t="shared" si="3"/>
        <v>4</v>
      </c>
      <c r="S42" s="15">
        <f t="shared" si="4"/>
        <v>4</v>
      </c>
      <c r="T42" s="15" t="str">
        <f t="shared" si="5"/>
        <v>A-3</v>
      </c>
      <c r="U42" s="15" t="str">
        <f t="shared" si="6"/>
        <v>T7-M4-H4-FA-3-BIOTECH</v>
      </c>
      <c r="V42" s="15">
        <f t="shared" si="7"/>
        <v>0</v>
      </c>
      <c r="W42" s="31"/>
      <c r="X42" s="15" t="str">
        <f t="shared" si="8"/>
        <v>genome-valley</v>
      </c>
      <c r="Y42" s="32" t="str">
        <f t="shared" si="9"/>
        <v>https://steelmanufacturer.in/market-area/electropolished-pipes-manufacturer-in-genome-valley/</v>
      </c>
      <c r="Z42" s="15" t="str">
        <f t="shared" si="10"/>
        <v>Electropolished Pipes Manufacturer in Genome Valley</v>
      </c>
      <c r="AA42" s="15" t="str">
        <f t="shared" si="11"/>
        <v>OK (51)</v>
      </c>
      <c r="AB42" s="15" t="str">
        <f t="shared" si="12"/>
        <v>Sanitary electropolished pipes in Genome Valley for biotech plants. ASME BPE SF1-SF4, orbital-weld ready, 3.1 MTC. Mumbai-made.</v>
      </c>
      <c r="AC42" s="15" t="str">
        <f t="shared" si="13"/>
        <v>OK (127)</v>
      </c>
      <c r="AD42" s="15" t="str">
        <f t="shared" si="14"/>
        <v>Electropolished Pipes Manufacturer in Genome Valley</v>
      </c>
      <c r="AE42" s="15" t="str">
        <f t="shared" si="15"/>
        <v>Manufacturing Electropolished SS Tube for Genome Valley: The Standards We Build To</v>
      </c>
      <c r="AF42" s="15" t="str">
        <f t="shared" si="16"/>
        <v>Electropolished Pipe Supply Into Genome Valley - Certification &amp; Transit</v>
      </c>
      <c r="AG42" s="15" t="str">
        <f t="shared" si="17"/>
        <v>Electropolished Pipes Wholesaler in Genome Valley - Project Quantities &amp; Terms</v>
      </c>
      <c r="AH42" s="15" t="str">
        <f t="shared" si="18"/>
        <v>electropolished pipes manufacturer in Genome Valley, electropolished pipes supplier in Genome Valley, electropolished pipes wholesaler in Genome Valley, electropolished tube manufacturer Genome Valley, EP pipe supplier Genome Valley, sanitary tube supplier Genome Valley, ASME BPE tubing Genome Valley, ASTM A270 tube Genome Valley, SS 316L electropolished pipe Genome Valley</v>
      </c>
      <c r="AI42" s="15" t="str">
        <f t="shared" si="19"/>
        <v>Electropolished Pipes Manufacturer &amp; Supplier in Genome Valley</v>
      </c>
      <c r="AJ42" s="15" t="str">
        <f t="shared" si="20"/>
        <v>EP-finished SS 304/316L pipes and tubes for biotech plants in Genome Valley. ASME BPE SF1-SF4, Ra from 0.25 um, EN 10204 3.1 certificate with every lot.</v>
      </c>
      <c r="AK42" s="15" t="str">
        <f t="shared" si="21"/>
        <v>Electropolished stainless steel pipes supplied by Sakshi Forge to biotech plants at Genome Valley Shameerpet, Genome Valley</v>
      </c>
      <c r="AL42" s="15" t="str">
        <f t="shared" si="22"/>
        <v>Electropolished SS 316L tube stock for Genome Valley - Sakshi Forge</v>
      </c>
      <c r="AM42" s="15" t="str">
        <f t="shared" si="23"/>
        <v>Home &gt; Market Area &gt; India &gt; Telangana &gt; Genome Valley</v>
      </c>
      <c r="AN42" s="15">
        <f t="shared" si="24"/>
        <v>1400</v>
      </c>
      <c r="AO42" s="15">
        <f t="shared" si="25"/>
        <v>10</v>
      </c>
      <c r="AP42" s="15">
        <f t="shared" si="26"/>
        <v>12</v>
      </c>
      <c r="AQ42" s="15">
        <f t="shared" si="27"/>
        <v>1</v>
      </c>
      <c r="AR42" s="31"/>
      <c r="AS42" s="31"/>
      <c r="AT42" s="35" t="s">
        <v>222</v>
      </c>
      <c r="AU42" s="35"/>
    </row>
    <row r="43" ht="15.75" customHeight="1">
      <c r="A43" s="15" t="s">
        <v>1377</v>
      </c>
      <c r="B43" s="15" t="s">
        <v>60</v>
      </c>
      <c r="C43" s="15" t="s">
        <v>85</v>
      </c>
      <c r="D43" s="15" t="s">
        <v>1381</v>
      </c>
      <c r="E43" s="15" t="s">
        <v>1381</v>
      </c>
      <c r="F43" s="16" t="s">
        <v>87</v>
      </c>
      <c r="G43" s="17" t="s">
        <v>88</v>
      </c>
      <c r="H43" s="18" t="s">
        <v>1383</v>
      </c>
      <c r="I43" s="18" t="s">
        <v>1384</v>
      </c>
      <c r="J43" s="18" t="s">
        <v>1385</v>
      </c>
      <c r="K43" s="18" t="s">
        <v>94</v>
      </c>
      <c r="L43" s="18" t="s">
        <v>1387</v>
      </c>
      <c r="M43" s="18" t="s">
        <v>276</v>
      </c>
      <c r="N43" s="18" t="s">
        <v>97</v>
      </c>
      <c r="O43" s="18" t="s">
        <v>98</v>
      </c>
      <c r="P43" s="15" t="str">
        <f t="shared" si="1"/>
        <v>FOOD</v>
      </c>
      <c r="Q43" s="15">
        <f t="shared" si="2"/>
        <v>8</v>
      </c>
      <c r="R43" s="15">
        <f t="shared" si="3"/>
        <v>5</v>
      </c>
      <c r="S43" s="15">
        <f t="shared" si="4"/>
        <v>5</v>
      </c>
      <c r="T43" s="15" t="str">
        <f t="shared" si="5"/>
        <v>A-4</v>
      </c>
      <c r="U43" s="15" t="str">
        <f t="shared" si="6"/>
        <v>T8-M5-H5-FA-4-FOOD</v>
      </c>
      <c r="V43" s="15">
        <f t="shared" si="7"/>
        <v>0</v>
      </c>
      <c r="W43" s="31"/>
      <c r="X43" s="15" t="str">
        <f t="shared" si="8"/>
        <v>ghaziabad</v>
      </c>
      <c r="Y43" s="32" t="str">
        <f t="shared" si="9"/>
        <v>https://steelmanufacturer.in/market-area/electropolished-pipes-manufacturer-in-ghaziabad/</v>
      </c>
      <c r="Z43" s="15" t="str">
        <f t="shared" si="10"/>
        <v>Electropolished Pipes Manufacturer in Ghaziabad</v>
      </c>
      <c r="AA43" s="15" t="str">
        <f t="shared" si="11"/>
        <v>OK (47)</v>
      </c>
      <c r="AB43" s="15" t="str">
        <f t="shared" si="12"/>
        <v>Manufacturer of electropolished SS 316L tube serving Ghaziabad. same-day to next-day road from our Mumbai works. Ra 0.25-0.5 um, EN 10204 3.1 MTC.</v>
      </c>
      <c r="AC43" s="15" t="str">
        <f t="shared" si="13"/>
        <v>OK (146)</v>
      </c>
      <c r="AD43" s="15" t="str">
        <f t="shared" si="14"/>
        <v>Electropolished Pipes Manufacturer in Ghaziabad</v>
      </c>
      <c r="AE43" s="15" t="str">
        <f t="shared" si="15"/>
        <v>Electropolished Tube Manufacturing Capability Serving Ghaziabad</v>
      </c>
      <c r="AF43" s="15" t="str">
        <f t="shared" si="16"/>
        <v>Electropolished Pipes Supplier in Ghaziabad - From Order to Delivery</v>
      </c>
      <c r="AG43" s="15" t="str">
        <f t="shared" si="17"/>
        <v>Stockist &amp; Wholesale Supply of Electropolished Pipes in Ghaziabad</v>
      </c>
      <c r="AH43" s="15" t="str">
        <f t="shared" si="18"/>
        <v>electropolished pipes manufacturer in Ghaziabad, electropolished pipes supplier in Ghaziabad, electropolished pipes wholesaler in Ghaziabad, electropolished tube manufacturer Ghaziabad, EP pipe supplier Ghaziabad, sanitary tube supplier Ghaziabad, ASME BPE tubing Ghaziabad, ASTM A270 tube Ghaziabad, SS 316L electropolished pipe Ghaziabad</v>
      </c>
      <c r="AI43" s="15" t="str">
        <f t="shared" si="19"/>
        <v>Electropolished Pipes Manufacturer &amp; Supplier in Ghaziabad</v>
      </c>
      <c r="AJ43" s="15" t="str">
        <f t="shared" si="20"/>
        <v>EP-finished SS 304/316L pipes and tubes for food processing plants in Ghaziabad. ASME BPE SF1-SF4, Ra from 0.25 um, EN 10204 3.1 certificate with every lot.</v>
      </c>
      <c r="AK43" s="15" t="str">
        <f t="shared" si="21"/>
        <v>Electropolished stainless steel pipes supplied by Sakshi Forge to food processing plants at Sahibabad Industrial Area, Ghaziabad</v>
      </c>
      <c r="AL43" s="15" t="str">
        <f t="shared" si="22"/>
        <v>Electropolished SS 316L tube stock for Ghaziabad - Sakshi Forge</v>
      </c>
      <c r="AM43" s="15" t="str">
        <f t="shared" si="23"/>
        <v>Home &gt; Market Area &gt; India &gt; Uttar Pradesh &gt; Ghaziabad</v>
      </c>
      <c r="AN43" s="15">
        <f t="shared" si="24"/>
        <v>1400</v>
      </c>
      <c r="AO43" s="15">
        <f t="shared" si="25"/>
        <v>10</v>
      </c>
      <c r="AP43" s="15">
        <f t="shared" si="26"/>
        <v>12</v>
      </c>
      <c r="AQ43" s="15">
        <f t="shared" si="27"/>
        <v>1</v>
      </c>
      <c r="AR43" s="31"/>
      <c r="AS43" s="31"/>
      <c r="AT43" s="35" t="s">
        <v>222</v>
      </c>
      <c r="AU43" s="35"/>
    </row>
    <row r="44" ht="15.75" customHeight="1">
      <c r="A44" s="15" t="s">
        <v>1423</v>
      </c>
      <c r="B44" s="15" t="s">
        <v>60</v>
      </c>
      <c r="C44" s="15" t="s">
        <v>85</v>
      </c>
      <c r="D44" s="15" t="s">
        <v>1424</v>
      </c>
      <c r="E44" s="15" t="s">
        <v>1424</v>
      </c>
      <c r="F44" s="16" t="s">
        <v>87</v>
      </c>
      <c r="G44" s="17" t="s">
        <v>88</v>
      </c>
      <c r="H44" s="18" t="s">
        <v>1427</v>
      </c>
      <c r="I44" s="18" t="s">
        <v>1429</v>
      </c>
      <c r="J44" s="18" t="s">
        <v>1430</v>
      </c>
      <c r="K44" s="18" t="s">
        <v>969</v>
      </c>
      <c r="L44" s="18" t="s">
        <v>1431</v>
      </c>
      <c r="M44" s="18" t="s">
        <v>276</v>
      </c>
      <c r="N44" s="18" t="s">
        <v>232</v>
      </c>
      <c r="O44" s="18" t="s">
        <v>98</v>
      </c>
      <c r="P44" s="15" t="str">
        <f t="shared" si="1"/>
        <v>SEMI</v>
      </c>
      <c r="Q44" s="15">
        <f t="shared" si="2"/>
        <v>1</v>
      </c>
      <c r="R44" s="15">
        <f t="shared" si="3"/>
        <v>6</v>
      </c>
      <c r="S44" s="15">
        <f t="shared" si="4"/>
        <v>1</v>
      </c>
      <c r="T44" s="15" t="str">
        <f t="shared" si="5"/>
        <v>A-5</v>
      </c>
      <c r="U44" s="15" t="str">
        <f t="shared" si="6"/>
        <v>T1-M6-H1-FA-5-SEMI</v>
      </c>
      <c r="V44" s="15">
        <f t="shared" si="7"/>
        <v>0</v>
      </c>
      <c r="W44" s="31"/>
      <c r="X44" s="15" t="str">
        <f t="shared" si="8"/>
        <v>greater-noida</v>
      </c>
      <c r="Y44" s="32" t="str">
        <f t="shared" si="9"/>
        <v>https://steelmanufacturer.in/market-area/electropolished-pipes-manufacturer-in-greater-noida/</v>
      </c>
      <c r="Z44" s="15" t="str">
        <f t="shared" si="10"/>
        <v>Electropolished Pipes Manufacturer in Greater Noida</v>
      </c>
      <c r="AA44" s="15" t="str">
        <f t="shared" si="11"/>
        <v>OK (51)</v>
      </c>
      <c r="AB44" s="15" t="str">
        <f t="shared" si="12"/>
        <v>EP tube and pipe for electronics &amp; pharma plants around Greater Noida Industrial Area, Greater Noida. ASTM A270, ASME BPE SF1-SF4, EN 10204 3.1 MTC.</v>
      </c>
      <c r="AC44" s="15" t="str">
        <f t="shared" si="13"/>
        <v>OK (148)</v>
      </c>
      <c r="AD44" s="15" t="str">
        <f t="shared" si="14"/>
        <v>Electropolished Pipes Manufacturer in Greater Noida</v>
      </c>
      <c r="AE44" s="15" t="str">
        <f t="shared" si="15"/>
        <v>Electropolished Pipe &amp; Tube Manufacturing for Greater Noida - Grades, Finishes &amp; Certification</v>
      </c>
      <c r="AF44" s="15" t="str">
        <f t="shared" si="16"/>
        <v>Electropolished Pipes Supplier in Greater Noida - Stock Sizes, Lead Time &amp; Delivery</v>
      </c>
      <c r="AG44" s="15" t="str">
        <f t="shared" si="17"/>
        <v>Electropolished Pipes Wholesaler &amp; Stockist in Greater Noida - Bulk &amp; Project Pricing</v>
      </c>
      <c r="AH44" s="15" t="str">
        <f t="shared" si="18"/>
        <v>electropolished pipes manufacturer in Greater Noida, electropolished pipes supplier in Greater Noida, electropolished pipes wholesaler in Greater Noida, electropolished tube manufacturer Greater Noida, EP pipe supplier Greater Noida, sanitary tube supplier Greater Noida, ASME BPE tubing Greater Noida, ASTM A270 tube Greater Noida, SS 316L electropolished pipe Greater Noida</v>
      </c>
      <c r="AI44" s="15" t="str">
        <f t="shared" si="19"/>
        <v>Electropolished Pipes Manufacturer &amp; Supplier in Greater Noida</v>
      </c>
      <c r="AJ44" s="15" t="str">
        <f t="shared" si="20"/>
        <v>EP-finished SS 304/316L pipes and tubes for electronics &amp; pharma plants in Greater Noida. ASME BPE SF1-SF4, Ra from 0.25 um, EN 10204 3.1 certificate with every lot.</v>
      </c>
      <c r="AK44" s="15" t="str">
        <f t="shared" si="21"/>
        <v>Electropolished stainless steel pipes supplied by Sakshi Forge to electronics &amp; pharma plants at Greater Noida Industrial Area, Greater Noida</v>
      </c>
      <c r="AL44" s="15" t="str">
        <f t="shared" si="22"/>
        <v>Electropolished SS 316L tube stock for Greater Noida - Sakshi Forge</v>
      </c>
      <c r="AM44" s="15" t="str">
        <f t="shared" si="23"/>
        <v>Home &gt; Market Area &gt; India &gt; Uttar Pradesh &gt; Greater Noida</v>
      </c>
      <c r="AN44" s="15">
        <f t="shared" si="24"/>
        <v>1400</v>
      </c>
      <c r="AO44" s="15">
        <f t="shared" si="25"/>
        <v>10</v>
      </c>
      <c r="AP44" s="15">
        <f t="shared" si="26"/>
        <v>12</v>
      </c>
      <c r="AQ44" s="15">
        <f t="shared" si="27"/>
        <v>1</v>
      </c>
      <c r="AR44" s="31"/>
      <c r="AS44" s="31"/>
      <c r="AT44" s="35" t="s">
        <v>222</v>
      </c>
      <c r="AU44" s="35"/>
    </row>
    <row r="45" ht="15.75" customHeight="1">
      <c r="A45" s="15" t="s">
        <v>1468</v>
      </c>
      <c r="B45" s="15" t="s">
        <v>60</v>
      </c>
      <c r="C45" s="15" t="s">
        <v>245</v>
      </c>
      <c r="D45" s="15" t="s">
        <v>1470</v>
      </c>
      <c r="E45" s="15" t="s">
        <v>1470</v>
      </c>
      <c r="F45" s="16" t="s">
        <v>87</v>
      </c>
      <c r="G45" s="17" t="s">
        <v>88</v>
      </c>
      <c r="H45" s="18" t="s">
        <v>1473</v>
      </c>
      <c r="I45" s="18" t="s">
        <v>1474</v>
      </c>
      <c r="J45" s="18" t="s">
        <v>1475</v>
      </c>
      <c r="K45" s="18" t="s">
        <v>969</v>
      </c>
      <c r="L45" s="18" t="s">
        <v>1478</v>
      </c>
      <c r="M45" s="18" t="s">
        <v>276</v>
      </c>
      <c r="N45" s="18" t="s">
        <v>232</v>
      </c>
      <c r="O45" s="18" t="s">
        <v>98</v>
      </c>
      <c r="P45" s="15" t="str">
        <f t="shared" si="1"/>
        <v>SEMI</v>
      </c>
      <c r="Q45" s="15">
        <f t="shared" si="2"/>
        <v>2</v>
      </c>
      <c r="R45" s="15">
        <f t="shared" si="3"/>
        <v>7</v>
      </c>
      <c r="S45" s="15">
        <f t="shared" si="4"/>
        <v>2</v>
      </c>
      <c r="T45" s="15" t="str">
        <f t="shared" si="5"/>
        <v>A-6</v>
      </c>
      <c r="U45" s="15" t="str">
        <f t="shared" si="6"/>
        <v>T2-M7-H2-FA-6-SEMI</v>
      </c>
      <c r="V45" s="15">
        <f t="shared" si="7"/>
        <v>0</v>
      </c>
      <c r="W45" s="31"/>
      <c r="X45" s="15" t="str">
        <f t="shared" si="8"/>
        <v>gurugram</v>
      </c>
      <c r="Y45" s="32" t="str">
        <f t="shared" si="9"/>
        <v>https://steelmanufacturer.in/market-area/electropolished-pipes-manufacturer-in-gurugram/</v>
      </c>
      <c r="Z45" s="15" t="str">
        <f t="shared" si="10"/>
        <v>Electropolished Pipes Manufacturer in Gurugram</v>
      </c>
      <c r="AA45" s="15" t="str">
        <f t="shared" si="11"/>
        <v>OK (46)</v>
      </c>
      <c r="AB45" s="15" t="str">
        <f t="shared" si="12"/>
        <v>Electropolished pipes in Gurugram: 304, 304L, 316 and 316L in SF1-SF4. same-day to next-day road from our Mumbai works. Mill certified.</v>
      </c>
      <c r="AC45" s="15" t="str">
        <f t="shared" si="13"/>
        <v>OK (135)</v>
      </c>
      <c r="AD45" s="15" t="str">
        <f t="shared" si="14"/>
        <v>Electropolished Pipes Manufacturer in Gurugram</v>
      </c>
      <c r="AE45" s="15" t="str">
        <f t="shared" si="15"/>
        <v>How We Manufacture Electropolished Tube for Gurugram Plants</v>
      </c>
      <c r="AF45" s="15" t="str">
        <f t="shared" si="16"/>
        <v>Supplying Electropolished Pipes in Gurugram: Availability, Sizes &amp; Dispatch</v>
      </c>
      <c r="AG45" s="15" t="str">
        <f t="shared" si="17"/>
        <v>Wholesale Electropolished Pipe Supply for Gurugram Projects</v>
      </c>
      <c r="AH45" s="15" t="str">
        <f t="shared" si="18"/>
        <v>electropolished pipes manufacturer in Gurugram, electropolished pipes supplier in Gurugram, electropolished pipes wholesaler in Gurugram, electropolished tube manufacturer Gurugram, EP pipe supplier Gurugram, sanitary tube supplier Gurugram, ASME BPE tubing Gurugram, ASTM A270 tube Gurugram, SS 316L electropolished pipe Gurugram</v>
      </c>
      <c r="AI45" s="15" t="str">
        <f t="shared" si="19"/>
        <v>Electropolished Pipes Manufacturer &amp; Supplier in Gurugram</v>
      </c>
      <c r="AJ45" s="15" t="str">
        <f t="shared" si="20"/>
        <v>EP-finished SS 304/316L pipes and tubes for electronics &amp; pharma plants in Gurugram. ASME BPE SF1-SF4, Ra from 0.25 um, EN 10204 3.1 certificate with every lot.</v>
      </c>
      <c r="AK45" s="15" t="str">
        <f t="shared" si="21"/>
        <v>Electropolished stainless steel pipes supplied by Sakshi Forge to electronics &amp; pharma plants at IMT Manesar, Gurugram</v>
      </c>
      <c r="AL45" s="15" t="str">
        <f t="shared" si="22"/>
        <v>Electropolished SS 316L tube stock for Gurugram - Sakshi Forge</v>
      </c>
      <c r="AM45" s="15" t="str">
        <f t="shared" si="23"/>
        <v>Home &gt; Market Area &gt; India &gt; Haryana &gt; Gurugram</v>
      </c>
      <c r="AN45" s="15">
        <f t="shared" si="24"/>
        <v>1400</v>
      </c>
      <c r="AO45" s="15">
        <f t="shared" si="25"/>
        <v>10</v>
      </c>
      <c r="AP45" s="15">
        <f t="shared" si="26"/>
        <v>12</v>
      </c>
      <c r="AQ45" s="15">
        <f t="shared" si="27"/>
        <v>1</v>
      </c>
      <c r="AR45" s="31"/>
      <c r="AS45" s="31"/>
      <c r="AT45" s="35" t="s">
        <v>222</v>
      </c>
      <c r="AU45" s="35"/>
    </row>
    <row r="46" ht="15.75" customHeight="1">
      <c r="A46" s="15" t="s">
        <v>1519</v>
      </c>
      <c r="B46" s="15" t="s">
        <v>60</v>
      </c>
      <c r="C46" s="15" t="s">
        <v>1155</v>
      </c>
      <c r="D46" s="15" t="s">
        <v>1522</v>
      </c>
      <c r="E46" s="15" t="s">
        <v>1522</v>
      </c>
      <c r="F46" s="16" t="s">
        <v>87</v>
      </c>
      <c r="G46" s="17" t="s">
        <v>88</v>
      </c>
      <c r="H46" s="18" t="s">
        <v>1524</v>
      </c>
      <c r="I46" s="18" t="s">
        <v>1525</v>
      </c>
      <c r="J46" s="18" t="s">
        <v>1526</v>
      </c>
      <c r="K46" s="18" t="s">
        <v>94</v>
      </c>
      <c r="L46" s="18" t="s">
        <v>1528</v>
      </c>
      <c r="M46" s="18" t="s">
        <v>1160</v>
      </c>
      <c r="N46" s="18" t="s">
        <v>97</v>
      </c>
      <c r="O46" s="18" t="s">
        <v>98</v>
      </c>
      <c r="P46" s="15" t="str">
        <f t="shared" si="1"/>
        <v>FOOD</v>
      </c>
      <c r="Q46" s="15">
        <f t="shared" si="2"/>
        <v>3</v>
      </c>
      <c r="R46" s="15">
        <f t="shared" si="3"/>
        <v>1</v>
      </c>
      <c r="S46" s="15">
        <f t="shared" si="4"/>
        <v>3</v>
      </c>
      <c r="T46" s="15" t="str">
        <f t="shared" si="5"/>
        <v>A-1</v>
      </c>
      <c r="U46" s="15" t="str">
        <f t="shared" si="6"/>
        <v>T3-M1-H3-FA-1-FOOD</v>
      </c>
      <c r="V46" s="15">
        <f t="shared" si="7"/>
        <v>0</v>
      </c>
      <c r="W46" s="31"/>
      <c r="X46" s="15" t="str">
        <f t="shared" si="8"/>
        <v>guwahati</v>
      </c>
      <c r="Y46" s="32" t="str">
        <f t="shared" si="9"/>
        <v>https://steelmanufacturer.in/market-area/electropolished-pipes-manufacturer-in-guwahati/</v>
      </c>
      <c r="Z46" s="15" t="str">
        <f t="shared" si="10"/>
        <v>Electropolished Pipes Manufacturer in Guwahati | EP Tube Supplier</v>
      </c>
      <c r="AA46" s="15" t="str">
        <f t="shared" si="11"/>
        <v>OK (65)</v>
      </c>
      <c r="AB46" s="15" t="str">
        <f t="shared" si="12"/>
        <v>EP-finished SS 304/316L pipes &amp; tubes for food processing plants in Guwahati. ASTM A270, ASME BPE SF1-SF4, EN 10204 3.1 MTC. PMI tested.</v>
      </c>
      <c r="AC46" s="15" t="str">
        <f t="shared" si="13"/>
        <v>OK (136)</v>
      </c>
      <c r="AD46" s="15" t="str">
        <f t="shared" si="14"/>
        <v>Electropolished Pipes Manufacturer in Guwahati</v>
      </c>
      <c r="AE46" s="15" t="str">
        <f t="shared" si="15"/>
        <v>Electropolished Pipes Manufacturer in Guwahati - Our Process &amp; Capability</v>
      </c>
      <c r="AF46" s="15" t="str">
        <f t="shared" si="16"/>
        <v>Electropolished Pipes Supplier in Guwahati - What We Hold in Stock</v>
      </c>
      <c r="AG46" s="15" t="str">
        <f t="shared" si="17"/>
        <v>Bulk &amp; Wholesale Electropolished Pipe Rates for Guwahati Buyers</v>
      </c>
      <c r="AH46" s="15" t="str">
        <f t="shared" si="18"/>
        <v>electropolished pipes manufacturer in Guwahati, electropolished pipes supplier in Guwahati, electropolished pipes wholesaler in Guwahati, electropolished tube manufacturer Guwahati, EP pipe supplier Guwahati, sanitary tube supplier Guwahati, ASME BPE tubing Guwahati, ASTM A270 tube Guwahati, SS 316L electropolished pipe Guwahati</v>
      </c>
      <c r="AI46" s="15" t="str">
        <f t="shared" si="19"/>
        <v>Electropolished Pipes Manufacturer &amp; Supplier in Guwahati</v>
      </c>
      <c r="AJ46" s="15" t="str">
        <f t="shared" si="20"/>
        <v>EP-finished SS 304/316L pipes and tubes for food processing plants in Guwahati. ASME BPE SF1-SF4, Ra from 0.25 um, EN 10204 3.1 certificate with every lot.</v>
      </c>
      <c r="AK46" s="15" t="str">
        <f t="shared" si="21"/>
        <v>Electropolished stainless steel pipes supplied by Sakshi Forge to food processing plants at Amingaon Industrial Estate, Guwahati</v>
      </c>
      <c r="AL46" s="15" t="str">
        <f t="shared" si="22"/>
        <v>Electropolished SS 316L tube stock for Guwahati - Sakshi Forge</v>
      </c>
      <c r="AM46" s="15" t="str">
        <f t="shared" si="23"/>
        <v>Home &gt; Market Area &gt; India &gt; Assam &gt; Guwahati</v>
      </c>
      <c r="AN46" s="15">
        <f t="shared" si="24"/>
        <v>1400</v>
      </c>
      <c r="AO46" s="15">
        <f t="shared" si="25"/>
        <v>10</v>
      </c>
      <c r="AP46" s="15">
        <f t="shared" si="26"/>
        <v>12</v>
      </c>
      <c r="AQ46" s="15">
        <f t="shared" si="27"/>
        <v>1</v>
      </c>
      <c r="AR46" s="31"/>
      <c r="AS46" s="31"/>
      <c r="AT46" s="35" t="s">
        <v>222</v>
      </c>
      <c r="AU46" s="35"/>
    </row>
    <row r="47" ht="15.75" customHeight="1">
      <c r="A47" s="15" t="s">
        <v>1539</v>
      </c>
      <c r="B47" s="15" t="s">
        <v>60</v>
      </c>
      <c r="C47" s="15" t="s">
        <v>1165</v>
      </c>
      <c r="D47" s="15" t="s">
        <v>1541</v>
      </c>
      <c r="E47" s="15" t="s">
        <v>1541</v>
      </c>
      <c r="F47" s="16" t="s">
        <v>87</v>
      </c>
      <c r="G47" s="17" t="s">
        <v>88</v>
      </c>
      <c r="H47" s="18" t="s">
        <v>1544</v>
      </c>
      <c r="I47" s="18" t="s">
        <v>1545</v>
      </c>
      <c r="J47" s="18" t="s">
        <v>1546</v>
      </c>
      <c r="K47" s="18" t="s">
        <v>1084</v>
      </c>
      <c r="L47" s="18" t="s">
        <v>1548</v>
      </c>
      <c r="M47" s="18" t="s">
        <v>276</v>
      </c>
      <c r="N47" s="18" t="s">
        <v>277</v>
      </c>
      <c r="O47" s="18" t="s">
        <v>98</v>
      </c>
      <c r="P47" s="15" t="str">
        <f t="shared" si="1"/>
        <v>CHEM</v>
      </c>
      <c r="Q47" s="15">
        <f t="shared" si="2"/>
        <v>4</v>
      </c>
      <c r="R47" s="15">
        <f t="shared" si="3"/>
        <v>2</v>
      </c>
      <c r="S47" s="15">
        <f t="shared" si="4"/>
        <v>4</v>
      </c>
      <c r="T47" s="15" t="str">
        <f t="shared" si="5"/>
        <v>A-2</v>
      </c>
      <c r="U47" s="15" t="str">
        <f t="shared" si="6"/>
        <v>T4-M2-H4-FA-2-CHEM</v>
      </c>
      <c r="V47" s="15">
        <f t="shared" si="7"/>
        <v>0</v>
      </c>
      <c r="W47" s="31"/>
      <c r="X47" s="15" t="str">
        <f t="shared" si="8"/>
        <v>haldia</v>
      </c>
      <c r="Y47" s="32" t="str">
        <f t="shared" si="9"/>
        <v>https://steelmanufacturer.in/market-area/electropolished-pipes-manufacturer-in-haldia/</v>
      </c>
      <c r="Z47" s="15" t="str">
        <f t="shared" si="10"/>
        <v>Electropolished Pipes Manufacturer in Haldia</v>
      </c>
      <c r="AA47" s="15" t="str">
        <f t="shared" si="11"/>
        <v>OK (44)</v>
      </c>
      <c r="AB47" s="15" t="str">
        <f t="shared" si="12"/>
        <v>Electropolished tube supply to Haldia Petrochemical Complex, Haldia. Ra from 0.25 um, SF4 finish, mill test certificate with every lot.</v>
      </c>
      <c r="AC47" s="15" t="str">
        <f t="shared" si="13"/>
        <v>OK (135)</v>
      </c>
      <c r="AD47" s="15" t="str">
        <f t="shared" si="14"/>
        <v>Electropolished Pipes Manufacturer in Haldia</v>
      </c>
      <c r="AE47" s="15" t="str">
        <f t="shared" si="15"/>
        <v>Manufacturing Electropolished SS Tube for Haldia: The Standards We Build To</v>
      </c>
      <c r="AF47" s="15" t="str">
        <f t="shared" si="16"/>
        <v>Electropolished Pipe Supply Into Haldia - Certification &amp; Transit</v>
      </c>
      <c r="AG47" s="15" t="str">
        <f t="shared" si="17"/>
        <v>Electropolished Pipes Wholesaler in Haldia - Project Quantities &amp; Terms</v>
      </c>
      <c r="AH47" s="15" t="str">
        <f t="shared" si="18"/>
        <v>electropolished pipes manufacturer in Haldia, electropolished pipes supplier in Haldia, electropolished pipes wholesaler in Haldia, electropolished tube manufacturer Haldia, EP pipe supplier Haldia, sanitary tube supplier Haldia, ASME BPE tubing Haldia, ASTM A270 tube Haldia, SS 316L electropolished pipe Haldia</v>
      </c>
      <c r="AI47" s="15" t="str">
        <f t="shared" si="19"/>
        <v>Electropolished Pipes Manufacturer &amp; Supplier in Haldia</v>
      </c>
      <c r="AJ47" s="15" t="str">
        <f t="shared" si="20"/>
        <v>EP-finished SS 304/316L pipes and tubes for petrochemical plants in Haldia. ASME BPE SF1-SF4, Ra from 0.25 um, EN 10204 3.1 certificate with every lot.</v>
      </c>
      <c r="AK47" s="15" t="str">
        <f t="shared" si="21"/>
        <v>Electropolished stainless steel pipes supplied by Sakshi Forge to petrochemical plants at Haldia Petrochemical Complex, Haldia</v>
      </c>
      <c r="AL47" s="15" t="str">
        <f t="shared" si="22"/>
        <v>Electropolished SS 316L tube stock for Haldia - Sakshi Forge</v>
      </c>
      <c r="AM47" s="15" t="str">
        <f t="shared" si="23"/>
        <v>Home &gt; Market Area &gt; India &gt; West Bengal &gt; Haldia</v>
      </c>
      <c r="AN47" s="15">
        <f t="shared" si="24"/>
        <v>1400</v>
      </c>
      <c r="AO47" s="15">
        <f t="shared" si="25"/>
        <v>10</v>
      </c>
      <c r="AP47" s="15">
        <f t="shared" si="26"/>
        <v>12</v>
      </c>
      <c r="AQ47" s="15">
        <f t="shared" si="27"/>
        <v>1</v>
      </c>
      <c r="AR47" s="31"/>
      <c r="AS47" s="31"/>
      <c r="AT47" s="35" t="s">
        <v>222</v>
      </c>
      <c r="AU47" s="35"/>
    </row>
    <row r="48" ht="15.75" customHeight="1">
      <c r="A48" s="15" t="s">
        <v>1594</v>
      </c>
      <c r="B48" s="15" t="s">
        <v>60</v>
      </c>
      <c r="C48" s="15" t="s">
        <v>224</v>
      </c>
      <c r="D48" s="15" t="s">
        <v>1596</v>
      </c>
      <c r="E48" s="15" t="s">
        <v>1596</v>
      </c>
      <c r="F48" s="16" t="s">
        <v>87</v>
      </c>
      <c r="G48" s="17" t="s">
        <v>88</v>
      </c>
      <c r="H48" s="18" t="s">
        <v>1598</v>
      </c>
      <c r="I48" s="18" t="s">
        <v>1600</v>
      </c>
      <c r="J48" s="18" t="s">
        <v>1602</v>
      </c>
      <c r="K48" s="18" t="s">
        <v>229</v>
      </c>
      <c r="L48" s="18" t="s">
        <v>1605</v>
      </c>
      <c r="M48" s="18" t="s">
        <v>96</v>
      </c>
      <c r="N48" s="18" t="s">
        <v>232</v>
      </c>
      <c r="O48" s="18" t="s">
        <v>98</v>
      </c>
      <c r="P48" s="15" t="str">
        <f t="shared" si="1"/>
        <v>PHARMA</v>
      </c>
      <c r="Q48" s="15">
        <f t="shared" si="2"/>
        <v>5</v>
      </c>
      <c r="R48" s="15">
        <f t="shared" si="3"/>
        <v>3</v>
      </c>
      <c r="S48" s="15">
        <f t="shared" si="4"/>
        <v>5</v>
      </c>
      <c r="T48" s="15" t="str">
        <f t="shared" si="5"/>
        <v>A-3</v>
      </c>
      <c r="U48" s="15" t="str">
        <f t="shared" si="6"/>
        <v>T5-M3-H5-FA-3-PHARMA</v>
      </c>
      <c r="V48" s="15">
        <f t="shared" si="7"/>
        <v>0</v>
      </c>
      <c r="W48" s="31"/>
      <c r="X48" s="15" t="str">
        <f t="shared" si="8"/>
        <v>halol</v>
      </c>
      <c r="Y48" s="32" t="str">
        <f t="shared" si="9"/>
        <v>https://steelmanufacturer.in/market-area/electropolished-pipes-manufacturer-in-halol/</v>
      </c>
      <c r="Z48" s="15" t="str">
        <f t="shared" si="10"/>
        <v>Electropolished Pipes Manufacturer in Halol</v>
      </c>
      <c r="AA48" s="15" t="str">
        <f t="shared" si="11"/>
        <v>OK (43)</v>
      </c>
      <c r="AB48" s="15" t="str">
        <f t="shared" si="12"/>
        <v>EP stainless tube for pharma lines in Halol. 1-2 day road transit from our Mumbai works. ASTM A270 S2, PMI tested, EN 10204 3.1.</v>
      </c>
      <c r="AC48" s="15" t="str">
        <f t="shared" si="13"/>
        <v>OK (128)</v>
      </c>
      <c r="AD48" s="15" t="str">
        <f t="shared" si="14"/>
        <v>Electropolished Pipes Manufacturer in Halol</v>
      </c>
      <c r="AE48" s="15" t="str">
        <f t="shared" si="15"/>
        <v>Electropolished Tube Manufacturing Capability Serving Halol</v>
      </c>
      <c r="AF48" s="15" t="str">
        <f t="shared" si="16"/>
        <v>Electropolished Pipes Supplier in Halol - From Order to Delivery</v>
      </c>
      <c r="AG48" s="15" t="str">
        <f t="shared" si="17"/>
        <v>Stockist &amp; Wholesale Supply of Electropolished Pipes in Halol</v>
      </c>
      <c r="AH48" s="15" t="str">
        <f t="shared" si="18"/>
        <v>electropolished pipes manufacturer in Halol, electropolished pipes supplier in Halol, electropolished pipes wholesaler in Halol, electropolished tube manufacturer Halol, EP pipe supplier Halol, sanitary tube supplier Halol, ASME BPE tubing Halol, ASTM A270 tube Halol, SS 316L electropolished pipe Halol</v>
      </c>
      <c r="AI48" s="15" t="str">
        <f t="shared" si="19"/>
        <v>Electropolished Pipes Manufacturer &amp; Supplier in Halol</v>
      </c>
      <c r="AJ48" s="15" t="str">
        <f t="shared" si="20"/>
        <v>EP-finished SS 304/316L pipes and tubes for pharma plants in Halol. ASME BPE SF1-SF4, Ra from 0.25 um, EN 10204 3.1 certificate with every lot.</v>
      </c>
      <c r="AK48" s="15" t="str">
        <f t="shared" si="21"/>
        <v>Electropolished stainless steel pipes supplied by Sakshi Forge to pharma plants at Halol GIDC, Halol</v>
      </c>
      <c r="AL48" s="15" t="str">
        <f t="shared" si="22"/>
        <v>Electropolished SS 316L tube stock for Halol - Sakshi Forge</v>
      </c>
      <c r="AM48" s="15" t="str">
        <f t="shared" si="23"/>
        <v>Home &gt; Market Area &gt; India &gt; Gujarat &gt; Halol</v>
      </c>
      <c r="AN48" s="15">
        <f t="shared" si="24"/>
        <v>1400</v>
      </c>
      <c r="AO48" s="15">
        <f t="shared" si="25"/>
        <v>10</v>
      </c>
      <c r="AP48" s="15">
        <f t="shared" si="26"/>
        <v>12</v>
      </c>
      <c r="AQ48" s="15">
        <f t="shared" si="27"/>
        <v>1</v>
      </c>
      <c r="AR48" s="31"/>
      <c r="AS48" s="31"/>
      <c r="AT48" s="35" t="s">
        <v>222</v>
      </c>
      <c r="AU48" s="35"/>
    </row>
    <row r="49" ht="15.75" customHeight="1">
      <c r="A49" s="15" t="s">
        <v>1657</v>
      </c>
      <c r="B49" s="15" t="s">
        <v>60</v>
      </c>
      <c r="C49" s="15" t="s">
        <v>1139</v>
      </c>
      <c r="D49" s="15" t="s">
        <v>1659</v>
      </c>
      <c r="E49" s="15" t="s">
        <v>1659</v>
      </c>
      <c r="F49" s="16" t="s">
        <v>87</v>
      </c>
      <c r="G49" s="17" t="s">
        <v>88</v>
      </c>
      <c r="H49" s="18" t="s">
        <v>1662</v>
      </c>
      <c r="I49" s="18" t="s">
        <v>1664</v>
      </c>
      <c r="J49" s="18" t="s">
        <v>1666</v>
      </c>
      <c r="K49" s="18" t="s">
        <v>229</v>
      </c>
      <c r="L49" s="18" t="s">
        <v>1668</v>
      </c>
      <c r="M49" s="18" t="s">
        <v>96</v>
      </c>
      <c r="N49" s="18" t="s">
        <v>232</v>
      </c>
      <c r="O49" s="18" t="s">
        <v>98</v>
      </c>
      <c r="P49" s="15" t="str">
        <f t="shared" si="1"/>
        <v>PHARMA</v>
      </c>
      <c r="Q49" s="15">
        <f t="shared" si="2"/>
        <v>6</v>
      </c>
      <c r="R49" s="15">
        <f t="shared" si="3"/>
        <v>4</v>
      </c>
      <c r="S49" s="15">
        <f t="shared" si="4"/>
        <v>1</v>
      </c>
      <c r="T49" s="15" t="str">
        <f t="shared" si="5"/>
        <v>A-4</v>
      </c>
      <c r="U49" s="15" t="str">
        <f t="shared" si="6"/>
        <v>T6-M4-H1-FA-4-PHARMA</v>
      </c>
      <c r="V49" s="15">
        <f t="shared" si="7"/>
        <v>0</v>
      </c>
      <c r="W49" s="31"/>
      <c r="X49" s="15" t="str">
        <f t="shared" si="8"/>
        <v>haridwar</v>
      </c>
      <c r="Y49" s="32" t="str">
        <f t="shared" si="9"/>
        <v>https://steelmanufacturer.in/market-area/electropolished-pipes-manufacturer-in-haridwar/</v>
      </c>
      <c r="Z49" s="15" t="str">
        <f t="shared" si="10"/>
        <v>Electropolished Pipes Manufacturer in Haridwar</v>
      </c>
      <c r="AA49" s="15" t="str">
        <f t="shared" si="11"/>
        <v>OK (46)</v>
      </c>
      <c r="AB49" s="15" t="str">
        <f t="shared" si="12"/>
        <v>Sanitary electropolished pipes in Haridwar for pharma plants. ASME BPE SF1-SF4, orbital-weld ready, 3.1 MTC. Mumbai-made.</v>
      </c>
      <c r="AC49" s="15" t="str">
        <f t="shared" si="13"/>
        <v>OK (121)</v>
      </c>
      <c r="AD49" s="15" t="str">
        <f t="shared" si="14"/>
        <v>Electropolished Pipes Manufacturer in Haridwar</v>
      </c>
      <c r="AE49" s="15" t="str">
        <f t="shared" si="15"/>
        <v>Electropolished Pipe &amp; Tube Manufacturing for Haridwar - Grades, Finishes &amp; Certification</v>
      </c>
      <c r="AF49" s="15" t="str">
        <f t="shared" si="16"/>
        <v>Electropolished Pipes Supplier in Haridwar - Stock Sizes, Lead Time &amp; Delivery</v>
      </c>
      <c r="AG49" s="15" t="str">
        <f t="shared" si="17"/>
        <v>Electropolished Pipes Wholesaler &amp; Stockist in Haridwar - Bulk &amp; Project Pricing</v>
      </c>
      <c r="AH49" s="15" t="str">
        <f t="shared" si="18"/>
        <v>electropolished pipes manufacturer in Haridwar, electropolished pipes supplier in Haridwar, electropolished pipes wholesaler in Haridwar, electropolished tube manufacturer Haridwar, EP pipe supplier Haridwar, sanitary tube supplier Haridwar, ASME BPE tubing Haridwar, ASTM A270 tube Haridwar, SS 316L electropolished pipe Haridwar</v>
      </c>
      <c r="AI49" s="15" t="str">
        <f t="shared" si="19"/>
        <v>Electropolished Pipes Manufacturer &amp; Supplier in Haridwar</v>
      </c>
      <c r="AJ49" s="15" t="str">
        <f t="shared" si="20"/>
        <v>EP-finished SS 304/316L pipes and tubes for pharma plants in Haridwar. ASME BPE SF1-SF4, Ra from 0.25 um, EN 10204 3.1 certificate with every lot.</v>
      </c>
      <c r="AK49" s="15" t="str">
        <f t="shared" si="21"/>
        <v>Electropolished stainless steel pipes supplied by Sakshi Forge to pharma plants at SIDCUL Haridwar IIE, Haridwar</v>
      </c>
      <c r="AL49" s="15" t="str">
        <f t="shared" si="22"/>
        <v>Electropolished SS 316L tube stock for Haridwar - Sakshi Forge</v>
      </c>
      <c r="AM49" s="15" t="str">
        <f t="shared" si="23"/>
        <v>Home &gt; Market Area &gt; India &gt; Uttarakhand &gt; Haridwar</v>
      </c>
      <c r="AN49" s="15">
        <f t="shared" si="24"/>
        <v>1400</v>
      </c>
      <c r="AO49" s="15">
        <f t="shared" si="25"/>
        <v>10</v>
      </c>
      <c r="AP49" s="15">
        <f t="shared" si="26"/>
        <v>12</v>
      </c>
      <c r="AQ49" s="15">
        <f t="shared" si="27"/>
        <v>1</v>
      </c>
      <c r="AR49" s="31"/>
      <c r="AS49" s="31"/>
      <c r="AT49" s="35" t="s">
        <v>222</v>
      </c>
      <c r="AU49" s="35"/>
    </row>
    <row r="50" ht="15.75" customHeight="1">
      <c r="A50" s="15" t="s">
        <v>1719</v>
      </c>
      <c r="B50" s="15" t="s">
        <v>60</v>
      </c>
      <c r="C50" s="15" t="s">
        <v>958</v>
      </c>
      <c r="D50" s="15" t="s">
        <v>1721</v>
      </c>
      <c r="E50" s="15" t="s">
        <v>1721</v>
      </c>
      <c r="F50" s="16" t="s">
        <v>87</v>
      </c>
      <c r="G50" s="17" t="s">
        <v>88</v>
      </c>
      <c r="H50" s="18" t="s">
        <v>1725</v>
      </c>
      <c r="I50" s="18" t="s">
        <v>1725</v>
      </c>
      <c r="J50" s="18" t="s">
        <v>1728</v>
      </c>
      <c r="K50" s="18" t="s">
        <v>1730</v>
      </c>
      <c r="L50" s="18" t="s">
        <v>1732</v>
      </c>
      <c r="M50" s="18" t="s">
        <v>231</v>
      </c>
      <c r="N50" s="18" t="s">
        <v>252</v>
      </c>
      <c r="O50" s="18" t="s">
        <v>98</v>
      </c>
      <c r="P50" s="15" t="str">
        <f t="shared" si="1"/>
        <v>SEMI</v>
      </c>
      <c r="Q50" s="15">
        <f t="shared" si="2"/>
        <v>7</v>
      </c>
      <c r="R50" s="15">
        <f t="shared" si="3"/>
        <v>5</v>
      </c>
      <c r="S50" s="15">
        <f t="shared" si="4"/>
        <v>2</v>
      </c>
      <c r="T50" s="15" t="str">
        <f t="shared" si="5"/>
        <v>A-5</v>
      </c>
      <c r="U50" s="15" t="str">
        <f t="shared" si="6"/>
        <v>T7-M5-H2-FA-5-SEMI</v>
      </c>
      <c r="V50" s="15">
        <f t="shared" si="7"/>
        <v>0</v>
      </c>
      <c r="W50" s="31"/>
      <c r="X50" s="15" t="str">
        <f t="shared" si="8"/>
        <v>hosur</v>
      </c>
      <c r="Y50" s="32" t="str">
        <f t="shared" si="9"/>
        <v>https://steelmanufacturer.in/market-area/electropolished-pipes-manufacturer-in-hosur/</v>
      </c>
      <c r="Z50" s="15" t="str">
        <f t="shared" si="10"/>
        <v>Electropolished Pipes Manufacturer in Hosur | ASME BPE SF1-SF4</v>
      </c>
      <c r="AA50" s="15" t="str">
        <f t="shared" si="11"/>
        <v>OK (62)</v>
      </c>
      <c r="AB50" s="15" t="str">
        <f t="shared" si="12"/>
        <v>Manufacturer of electropolished SS 316L tube serving Hosur. 2-3 day road transit from our Mumbai works. Ra 0.25-0.5 um, EN 10204 3.1 MTC.</v>
      </c>
      <c r="AC50" s="15" t="str">
        <f t="shared" si="13"/>
        <v>OK (137)</v>
      </c>
      <c r="AD50" s="15" t="str">
        <f t="shared" si="14"/>
        <v>Electropolished Pipes Manufacturer in Hosur</v>
      </c>
      <c r="AE50" s="15" t="str">
        <f t="shared" si="15"/>
        <v>How We Manufacture Electropolished Tube for Hosur Plants</v>
      </c>
      <c r="AF50" s="15" t="str">
        <f t="shared" si="16"/>
        <v>Supplying Electropolished Pipes in Hosur: Availability, Sizes &amp; Dispatch</v>
      </c>
      <c r="AG50" s="15" t="str">
        <f t="shared" si="17"/>
        <v>Wholesale Electropolished Pipe Supply for Hosur Projects</v>
      </c>
      <c r="AH50" s="15" t="str">
        <f t="shared" si="18"/>
        <v>electropolished pipes manufacturer in Hosur, electropolished pipes supplier in Hosur, electropolished pipes wholesaler in Hosur, electropolished tube manufacturer Hosur, EP pipe supplier Hosur, sanitary tube supplier Hosur, ASME BPE tubing Hosur, ASTM A270 tube Hosur, SS 316L electropolished pipe Hosur</v>
      </c>
      <c r="AI50" s="15" t="str">
        <f t="shared" si="19"/>
        <v>Electropolished Pipes Manufacturer &amp; Supplier in Hosur</v>
      </c>
      <c r="AJ50" s="15" t="str">
        <f t="shared" si="20"/>
        <v>EP-finished SS 304/316L pipes and tubes for electronics plants in Hosur. ASME BPE SF1-SF4, Ra from 0.25 um, EN 10204 3.1 certificate with every lot.</v>
      </c>
      <c r="AK50" s="15" t="str">
        <f t="shared" si="21"/>
        <v>Electropolished stainless steel pipes supplied by Sakshi Forge to electronics plants at Hosur SIPCOT Phase I &amp; II, Hosur</v>
      </c>
      <c r="AL50" s="15" t="str">
        <f t="shared" si="22"/>
        <v>Electropolished SS 316L tube stock for Hosur - Sakshi Forge</v>
      </c>
      <c r="AM50" s="15" t="str">
        <f t="shared" si="23"/>
        <v>Home &gt; Market Area &gt; India &gt; Tamil Nadu &gt; Hosur</v>
      </c>
      <c r="AN50" s="15">
        <f t="shared" si="24"/>
        <v>1400</v>
      </c>
      <c r="AO50" s="15">
        <f t="shared" si="25"/>
        <v>10</v>
      </c>
      <c r="AP50" s="15">
        <f t="shared" si="26"/>
        <v>12</v>
      </c>
      <c r="AQ50" s="15">
        <f t="shared" si="27"/>
        <v>1</v>
      </c>
      <c r="AR50" s="31"/>
      <c r="AS50" s="31"/>
      <c r="AT50" s="35" t="s">
        <v>222</v>
      </c>
      <c r="AU50" s="35"/>
    </row>
    <row r="51" ht="15.75" customHeight="1">
      <c r="A51" s="15" t="s">
        <v>1817</v>
      </c>
      <c r="B51" s="15" t="s">
        <v>60</v>
      </c>
      <c r="C51" s="15" t="s">
        <v>1165</v>
      </c>
      <c r="D51" s="15" t="s">
        <v>1821</v>
      </c>
      <c r="E51" s="15" t="s">
        <v>1821</v>
      </c>
      <c r="F51" s="16" t="s">
        <v>87</v>
      </c>
      <c r="G51" s="17" t="s">
        <v>88</v>
      </c>
      <c r="H51" s="18" t="s">
        <v>1825</v>
      </c>
      <c r="I51" s="18" t="s">
        <v>1827</v>
      </c>
      <c r="J51" s="18" t="s">
        <v>1830</v>
      </c>
      <c r="K51" s="18" t="s">
        <v>250</v>
      </c>
      <c r="L51" s="18" t="s">
        <v>1836</v>
      </c>
      <c r="M51" s="18" t="s">
        <v>276</v>
      </c>
      <c r="N51" s="18" t="s">
        <v>252</v>
      </c>
      <c r="O51" s="18" t="s">
        <v>98</v>
      </c>
      <c r="P51" s="15" t="str">
        <f t="shared" si="1"/>
        <v>GENERAL</v>
      </c>
      <c r="Q51" s="15">
        <f t="shared" si="2"/>
        <v>8</v>
      </c>
      <c r="R51" s="15">
        <f t="shared" si="3"/>
        <v>6</v>
      </c>
      <c r="S51" s="15">
        <f t="shared" si="4"/>
        <v>3</v>
      </c>
      <c r="T51" s="15" t="str">
        <f t="shared" si="5"/>
        <v>A-6</v>
      </c>
      <c r="U51" s="15" t="str">
        <f t="shared" si="6"/>
        <v>T8-M6-H3-FA-6-GENERAL</v>
      </c>
      <c r="V51" s="15">
        <f t="shared" si="7"/>
        <v>0</v>
      </c>
      <c r="W51" s="31"/>
      <c r="X51" s="15" t="str">
        <f t="shared" si="8"/>
        <v>howrah</v>
      </c>
      <c r="Y51" s="32" t="str">
        <f t="shared" si="9"/>
        <v>https://steelmanufacturer.in/market-area/electropolished-pipes-manufacturer-in-howrah/</v>
      </c>
      <c r="Z51" s="15" t="str">
        <f t="shared" si="10"/>
        <v>Electropolished Pipes Manufacturer in Howrah - EP Tube Stockist</v>
      </c>
      <c r="AA51" s="15" t="str">
        <f t="shared" si="11"/>
        <v>OK (63)</v>
      </c>
      <c r="AB51" s="15" t="str">
        <f t="shared" si="12"/>
        <v>EP tube and pipe for engineering &amp; process plants around Howrah Industrial Belt, Howrah. ASTM A270, ASME BPE SF1-SF4, EN 10204 3.1 MTC.</v>
      </c>
      <c r="AC51" s="15" t="str">
        <f t="shared" si="13"/>
        <v>OK (135)</v>
      </c>
      <c r="AD51" s="15" t="str">
        <f t="shared" si="14"/>
        <v>Electropolished Pipes Manufacturer in Howrah</v>
      </c>
      <c r="AE51" s="15" t="str">
        <f t="shared" si="15"/>
        <v>Electropolished Pipes Manufacturer in Howrah - Our Process &amp; Capability</v>
      </c>
      <c r="AF51" s="15" t="str">
        <f t="shared" si="16"/>
        <v>Electropolished Pipes Supplier in Howrah - What We Hold in Stock</v>
      </c>
      <c r="AG51" s="15" t="str">
        <f t="shared" si="17"/>
        <v>Bulk &amp; Wholesale Electropolished Pipe Rates for Howrah Buyers</v>
      </c>
      <c r="AH51" s="15" t="str">
        <f t="shared" si="18"/>
        <v>electropolished pipes manufacturer in Howrah, electropolished pipes supplier in Howrah, electropolished pipes wholesaler in Howrah, electropolished tube manufacturer Howrah, EP pipe supplier Howrah, sanitary tube supplier Howrah, ASME BPE tubing Howrah, ASTM A270 tube Howrah, SS 316L electropolished pipe Howrah</v>
      </c>
      <c r="AI51" s="15" t="str">
        <f t="shared" si="19"/>
        <v>Electropolished Pipes Manufacturer &amp; Supplier in Howrah</v>
      </c>
      <c r="AJ51" s="15" t="str">
        <f t="shared" si="20"/>
        <v>EP-finished SS 304/316L pipes and tubes for engineering &amp; process plants in Howrah. ASME BPE SF1-SF4, Ra from 0.25 um, EN 10204 3.1 certificate with every lot.</v>
      </c>
      <c r="AK51" s="15" t="str">
        <f t="shared" si="21"/>
        <v>Electropolished stainless steel pipes supplied by Sakshi Forge to engineering &amp; process plants at Howrah Industrial Belt, Howrah</v>
      </c>
      <c r="AL51" s="15" t="str">
        <f t="shared" si="22"/>
        <v>Electropolished SS 316L tube stock for Howrah - Sakshi Forge</v>
      </c>
      <c r="AM51" s="15" t="str">
        <f t="shared" si="23"/>
        <v>Home &gt; Market Area &gt; India &gt; West Bengal &gt; Howrah</v>
      </c>
      <c r="AN51" s="15">
        <f t="shared" si="24"/>
        <v>1400</v>
      </c>
      <c r="AO51" s="15">
        <f t="shared" si="25"/>
        <v>10</v>
      </c>
      <c r="AP51" s="15">
        <f t="shared" si="26"/>
        <v>12</v>
      </c>
      <c r="AQ51" s="15">
        <f t="shared" si="27"/>
        <v>1</v>
      </c>
      <c r="AR51" s="31"/>
      <c r="AS51" s="31"/>
      <c r="AT51" s="35" t="s">
        <v>222</v>
      </c>
      <c r="AU51" s="35"/>
    </row>
    <row r="52" ht="15.75" customHeight="1">
      <c r="A52" s="15" t="s">
        <v>1904</v>
      </c>
      <c r="B52" s="15" t="s">
        <v>60</v>
      </c>
      <c r="C52" s="15" t="s">
        <v>570</v>
      </c>
      <c r="D52" s="15" t="s">
        <v>1905</v>
      </c>
      <c r="E52" s="15" t="s">
        <v>1905</v>
      </c>
      <c r="F52" s="16" t="s">
        <v>87</v>
      </c>
      <c r="G52" s="17" t="s">
        <v>88</v>
      </c>
      <c r="H52" s="18" t="s">
        <v>1913</v>
      </c>
      <c r="I52" s="18" t="s">
        <v>1914</v>
      </c>
      <c r="J52" s="18" t="s">
        <v>1915</v>
      </c>
      <c r="K52" s="18" t="s">
        <v>94</v>
      </c>
      <c r="L52" s="18" t="s">
        <v>1917</v>
      </c>
      <c r="M52" s="18" t="s">
        <v>231</v>
      </c>
      <c r="N52" s="18" t="s">
        <v>97</v>
      </c>
      <c r="O52" s="18" t="s">
        <v>98</v>
      </c>
      <c r="P52" s="15" t="str">
        <f t="shared" si="1"/>
        <v>FOOD</v>
      </c>
      <c r="Q52" s="15">
        <f t="shared" si="2"/>
        <v>1</v>
      </c>
      <c r="R52" s="15">
        <f t="shared" si="3"/>
        <v>7</v>
      </c>
      <c r="S52" s="15">
        <f t="shared" si="4"/>
        <v>4</v>
      </c>
      <c r="T52" s="15" t="str">
        <f t="shared" si="5"/>
        <v>A-1</v>
      </c>
      <c r="U52" s="15" t="str">
        <f t="shared" si="6"/>
        <v>T1-M7-H4-FA-1-FOOD</v>
      </c>
      <c r="V52" s="15">
        <f t="shared" si="7"/>
        <v>0</v>
      </c>
      <c r="W52" s="31"/>
      <c r="X52" s="15" t="str">
        <f t="shared" si="8"/>
        <v>hubballi-dharwad</v>
      </c>
      <c r="Y52" s="32" t="str">
        <f t="shared" si="9"/>
        <v>https://steelmanufacturer.in/market-area/electropolished-pipes-manufacturer-in-hubballi-dharwad/</v>
      </c>
      <c r="Z52" s="15" t="str">
        <f t="shared" si="10"/>
        <v>Electropolished Pipes Manufacturer in Hubballi-Dharwad</v>
      </c>
      <c r="AA52" s="15" t="str">
        <f t="shared" si="11"/>
        <v>OK (54)</v>
      </c>
      <c r="AB52" s="15" t="str">
        <f t="shared" si="12"/>
        <v>Electropolished pipes in Hubballi-Dharwad: 304, 304L, 316 and 316L in SF1-SF4. 2-3 day road transit from our Mumbai works. Mill certified.</v>
      </c>
      <c r="AC52" s="15" t="str">
        <f t="shared" si="13"/>
        <v>OK (138)</v>
      </c>
      <c r="AD52" s="15" t="str">
        <f t="shared" si="14"/>
        <v>Electropolished Pipes Manufacturer in Hubballi-Dharwad</v>
      </c>
      <c r="AE52" s="15" t="str">
        <f t="shared" si="15"/>
        <v>Manufacturing Electropolished SS Tube for Hubballi-Dharwad: The Standards We Build To</v>
      </c>
      <c r="AF52" s="15" t="str">
        <f t="shared" si="16"/>
        <v>Electropolished Pipe Supply Into Hubballi-Dharwad - Certification &amp; Transit</v>
      </c>
      <c r="AG52" s="15" t="str">
        <f t="shared" si="17"/>
        <v>Electropolished Pipes Wholesaler in Hubballi-Dharwad - Project Quantities &amp; Terms</v>
      </c>
      <c r="AH52" s="15" t="str">
        <f t="shared" si="18"/>
        <v>electropolished pipes manufacturer in Hubballi-Dharwad, electropolished pipes supplier in Hubballi-Dharwad, electropolished pipes wholesaler in Hubballi-Dharwad, electropolished tube manufacturer Hubballi-Dharwad, EP pipe supplier Hubballi-Dharwad, sanitary tube supplier Hubballi-Dharwad, ASME BPE tubing Hubballi-Dharwad, ASTM A270 tube Hubballi-Dharwad, SS 316L electropolished pipe Hubballi-Dharwad</v>
      </c>
      <c r="AI52" s="15" t="str">
        <f t="shared" si="19"/>
        <v>Electropolished Pipes Manufacturer &amp; Supplier in Hubballi-Dharwad</v>
      </c>
      <c r="AJ52" s="15" t="str">
        <f t="shared" si="20"/>
        <v>EP-finished SS 304/316L pipes and tubes for food processing plants in Hubballi-Dharwad. ASME BPE SF1-SF4, Ra from 0.25 um, EN 10204 3.1 certificate with every lot.</v>
      </c>
      <c r="AK52" s="15" t="str">
        <f t="shared" si="21"/>
        <v>Electropolished stainless steel pipes supplied by Sakshi Forge to food processing plants at Belur Industrial Area, Hubballi-Dharwad</v>
      </c>
      <c r="AL52" s="15" t="str">
        <f t="shared" si="22"/>
        <v>Electropolished SS 316L tube stock for Hubballi-Dharwad - Sakshi Forge</v>
      </c>
      <c r="AM52" s="15" t="str">
        <f t="shared" si="23"/>
        <v>Home &gt; Market Area &gt; India &gt; Karnataka &gt; Hubballi-Dharwad</v>
      </c>
      <c r="AN52" s="15">
        <f t="shared" si="24"/>
        <v>1400</v>
      </c>
      <c r="AO52" s="15">
        <f t="shared" si="25"/>
        <v>10</v>
      </c>
      <c r="AP52" s="15">
        <f t="shared" si="26"/>
        <v>12</v>
      </c>
      <c r="AQ52" s="15">
        <f t="shared" si="27"/>
        <v>1</v>
      </c>
      <c r="AR52" s="31"/>
      <c r="AS52" s="31"/>
      <c r="AT52" s="35" t="s">
        <v>222</v>
      </c>
      <c r="AU52" s="35"/>
    </row>
    <row r="53" ht="15.75" customHeight="1">
      <c r="A53" s="15" t="s">
        <v>1997</v>
      </c>
      <c r="B53" s="15" t="s">
        <v>60</v>
      </c>
      <c r="C53" s="15" t="s">
        <v>1312</v>
      </c>
      <c r="D53" s="15" t="s">
        <v>1999</v>
      </c>
      <c r="E53" s="15" t="s">
        <v>1999</v>
      </c>
      <c r="F53" s="16" t="s">
        <v>87</v>
      </c>
      <c r="G53" s="17" t="s">
        <v>88</v>
      </c>
      <c r="H53" s="18" t="s">
        <v>2005</v>
      </c>
      <c r="I53" s="18" t="s">
        <v>2007</v>
      </c>
      <c r="J53" s="18" t="s">
        <v>2008</v>
      </c>
      <c r="K53" s="18" t="s">
        <v>2009</v>
      </c>
      <c r="L53" s="18" t="s">
        <v>2011</v>
      </c>
      <c r="M53" s="18" t="s">
        <v>231</v>
      </c>
      <c r="N53" s="18" t="s">
        <v>232</v>
      </c>
      <c r="O53" s="18" t="s">
        <v>98</v>
      </c>
      <c r="P53" s="15" t="str">
        <f t="shared" si="1"/>
        <v>BIOTECH</v>
      </c>
      <c r="Q53" s="15">
        <f t="shared" si="2"/>
        <v>2</v>
      </c>
      <c r="R53" s="15">
        <f t="shared" si="3"/>
        <v>1</v>
      </c>
      <c r="S53" s="15">
        <f t="shared" si="4"/>
        <v>5</v>
      </c>
      <c r="T53" s="15" t="str">
        <f t="shared" si="5"/>
        <v>A-2</v>
      </c>
      <c r="U53" s="15" t="str">
        <f t="shared" si="6"/>
        <v>T2-M1-H5-FA-2-BIOTECH</v>
      </c>
      <c r="V53" s="15">
        <f t="shared" si="7"/>
        <v>0</v>
      </c>
      <c r="W53" s="31"/>
      <c r="X53" s="15" t="str">
        <f t="shared" si="8"/>
        <v>hyderabad</v>
      </c>
      <c r="Y53" s="32" t="str">
        <f t="shared" si="9"/>
        <v>https://steelmanufacturer.in/market-area/electropolished-pipes-manufacturer-in-hyderabad/</v>
      </c>
      <c r="Z53" s="15" t="str">
        <f t="shared" si="10"/>
        <v>Electropolished Pipes Manufacturer in Hyderabad</v>
      </c>
      <c r="AA53" s="15" t="str">
        <f t="shared" si="11"/>
        <v>OK (47)</v>
      </c>
      <c r="AB53" s="15" t="str">
        <f t="shared" si="12"/>
        <v>EP-finished SS 304/316L pipes &amp; tubes for pharma &amp; API &amp; biotech plants in Hyderabad. ASTM A270, ASME BPE SF1-SF4, EN 10204 3.1 MTC. PMI tested.</v>
      </c>
      <c r="AC53" s="15" t="str">
        <f t="shared" si="13"/>
        <v>OK (144)</v>
      </c>
      <c r="AD53" s="15" t="str">
        <f t="shared" si="14"/>
        <v>Electropolished Pipes Manufacturer in Hyderabad</v>
      </c>
      <c r="AE53" s="15" t="str">
        <f t="shared" si="15"/>
        <v>Electropolished Tube Manufacturing Capability Serving Hyderabad</v>
      </c>
      <c r="AF53" s="15" t="str">
        <f t="shared" si="16"/>
        <v>Electropolished Pipes Supplier in Hyderabad - From Order to Delivery</v>
      </c>
      <c r="AG53" s="15" t="str">
        <f t="shared" si="17"/>
        <v>Stockist &amp; Wholesale Supply of Electropolished Pipes in Hyderabad</v>
      </c>
      <c r="AH53" s="15" t="str">
        <f t="shared" si="18"/>
        <v>electropolished pipes manufacturer in Hyderabad, electropolished pipes supplier in Hyderabad, electropolished pipes wholesaler in Hyderabad, electropolished tube manufacturer Hyderabad, EP pipe supplier Hyderabad, sanitary tube supplier Hyderabad, ASME BPE tubing Hyderabad, ASTM A270 tube Hyderabad, SS 316L electropolished pipe Hyderabad</v>
      </c>
      <c r="AI53" s="15" t="str">
        <f t="shared" si="19"/>
        <v>Electropolished Pipes Manufacturer &amp; Supplier in Hyderabad</v>
      </c>
      <c r="AJ53" s="15" t="str">
        <f t="shared" si="20"/>
        <v>EP-finished SS 304/316L pipes and tubes for pharma &amp; API &amp; biotech plants in Hyderabad. ASME BPE SF1-SF4, Ra from 0.25 um, EN 10204 3.1 certificate with every lot.</v>
      </c>
      <c r="AK53" s="15" t="str">
        <f t="shared" si="21"/>
        <v>Electropolished stainless steel pipes supplied by Sakshi Forge to pharma &amp; API &amp; biotech plants at Jeedimetla IDA, Hyderabad</v>
      </c>
      <c r="AL53" s="15" t="str">
        <f t="shared" si="22"/>
        <v>Electropolished SS 316L tube stock for Hyderabad - Sakshi Forge</v>
      </c>
      <c r="AM53" s="15" t="str">
        <f t="shared" si="23"/>
        <v>Home &gt; Market Area &gt; India &gt; Telangana &gt; Hyderabad</v>
      </c>
      <c r="AN53" s="15">
        <f t="shared" si="24"/>
        <v>1400</v>
      </c>
      <c r="AO53" s="15">
        <f t="shared" si="25"/>
        <v>10</v>
      </c>
      <c r="AP53" s="15">
        <f t="shared" si="26"/>
        <v>12</v>
      </c>
      <c r="AQ53" s="15">
        <f t="shared" si="27"/>
        <v>1</v>
      </c>
      <c r="AR53" s="31"/>
      <c r="AS53" s="31"/>
      <c r="AT53" s="35" t="s">
        <v>222</v>
      </c>
      <c r="AU53" s="35"/>
    </row>
    <row r="54" ht="15.75" customHeight="1">
      <c r="A54" s="15" t="s">
        <v>2093</v>
      </c>
      <c r="B54" s="15" t="s">
        <v>60</v>
      </c>
      <c r="C54" s="15" t="s">
        <v>842</v>
      </c>
      <c r="D54" s="15" t="s">
        <v>2097</v>
      </c>
      <c r="E54" s="15" t="s">
        <v>2097</v>
      </c>
      <c r="F54" s="16" t="s">
        <v>87</v>
      </c>
      <c r="G54" s="17" t="s">
        <v>88</v>
      </c>
      <c r="H54" s="18" t="s">
        <v>2103</v>
      </c>
      <c r="I54" s="18" t="s">
        <v>2104</v>
      </c>
      <c r="J54" s="18" t="s">
        <v>2107</v>
      </c>
      <c r="K54" s="18" t="s">
        <v>229</v>
      </c>
      <c r="L54" s="18" t="s">
        <v>2112</v>
      </c>
      <c r="M54" s="18" t="s">
        <v>231</v>
      </c>
      <c r="N54" s="18" t="s">
        <v>232</v>
      </c>
      <c r="O54" s="18" t="s">
        <v>98</v>
      </c>
      <c r="P54" s="15" t="str">
        <f t="shared" si="1"/>
        <v>PHARMA</v>
      </c>
      <c r="Q54" s="15">
        <f t="shared" si="2"/>
        <v>3</v>
      </c>
      <c r="R54" s="15">
        <f t="shared" si="3"/>
        <v>2</v>
      </c>
      <c r="S54" s="15">
        <f t="shared" si="4"/>
        <v>1</v>
      </c>
      <c r="T54" s="15" t="str">
        <f t="shared" si="5"/>
        <v>A-3</v>
      </c>
      <c r="U54" s="15" t="str">
        <f t="shared" si="6"/>
        <v>T3-M2-H1-FA-3-PHARMA</v>
      </c>
      <c r="V54" s="15">
        <f t="shared" si="7"/>
        <v>0</v>
      </c>
      <c r="W54" s="31"/>
      <c r="X54" s="15" t="str">
        <f t="shared" si="8"/>
        <v>indore</v>
      </c>
      <c r="Y54" s="32" t="str">
        <f t="shared" si="9"/>
        <v>https://steelmanufacturer.in/market-area/electropolished-pipes-manufacturer-in-indore/</v>
      </c>
      <c r="Z54" s="15" t="str">
        <f t="shared" si="10"/>
        <v>Electropolished Pipes Manufacturer in Indore | EP Tube Supplier</v>
      </c>
      <c r="AA54" s="15" t="str">
        <f t="shared" si="11"/>
        <v>OK (63)</v>
      </c>
      <c r="AB54" s="15" t="str">
        <f t="shared" si="12"/>
        <v>Electropolished tube supply to Pithampur Industrial Area Sector I-III, Indore. Ra from 0.25 um, SF4 finish, mill test certificate with every lot.</v>
      </c>
      <c r="AC54" s="15" t="str">
        <f t="shared" si="13"/>
        <v>OK (145)</v>
      </c>
      <c r="AD54" s="15" t="str">
        <f t="shared" si="14"/>
        <v>Electropolished Pipes Manufacturer in Indore</v>
      </c>
      <c r="AE54" s="15" t="str">
        <f t="shared" si="15"/>
        <v>Electropolished Pipe &amp; Tube Manufacturing for Indore - Grades, Finishes &amp; Certification</v>
      </c>
      <c r="AF54" s="15" t="str">
        <f t="shared" si="16"/>
        <v>Electropolished Pipes Supplier in Indore - Stock Sizes, Lead Time &amp; Delivery</v>
      </c>
      <c r="AG54" s="15" t="str">
        <f t="shared" si="17"/>
        <v>Electropolished Pipes Wholesaler &amp; Stockist in Indore - Bulk &amp; Project Pricing</v>
      </c>
      <c r="AH54" s="15" t="str">
        <f t="shared" si="18"/>
        <v>electropolished pipes manufacturer in Indore, electropolished pipes supplier in Indore, electropolished pipes wholesaler in Indore, electropolished tube manufacturer Indore, EP pipe supplier Indore, sanitary tube supplier Indore, ASME BPE tubing Indore, ASTM A270 tube Indore, SS 316L electropolished pipe Indore</v>
      </c>
      <c r="AI54" s="15" t="str">
        <f t="shared" si="19"/>
        <v>Electropolished Pipes Manufacturer &amp; Supplier in Indore</v>
      </c>
      <c r="AJ54" s="15" t="str">
        <f t="shared" si="20"/>
        <v>EP-finished SS 304/316L pipes and tubes for pharma plants in Indore. ASME BPE SF1-SF4, Ra from 0.25 um, EN 10204 3.1 certificate with every lot.</v>
      </c>
      <c r="AK54" s="15" t="str">
        <f t="shared" si="21"/>
        <v>Electropolished stainless steel pipes supplied by Sakshi Forge to pharma plants at Pithampur Industrial Area Sector I-III, Indore</v>
      </c>
      <c r="AL54" s="15" t="str">
        <f t="shared" si="22"/>
        <v>Electropolished SS 316L tube stock for Indore - Sakshi Forge</v>
      </c>
      <c r="AM54" s="15" t="str">
        <f t="shared" si="23"/>
        <v>Home &gt; Market Area &gt; India &gt; Madhya Pradesh &gt; Indore</v>
      </c>
      <c r="AN54" s="15">
        <f t="shared" si="24"/>
        <v>1400</v>
      </c>
      <c r="AO54" s="15">
        <f t="shared" si="25"/>
        <v>10</v>
      </c>
      <c r="AP54" s="15">
        <f t="shared" si="26"/>
        <v>12</v>
      </c>
      <c r="AQ54" s="15">
        <f t="shared" si="27"/>
        <v>1</v>
      </c>
      <c r="AR54" s="31"/>
      <c r="AS54" s="31"/>
      <c r="AT54" s="35" t="s">
        <v>222</v>
      </c>
      <c r="AU54" s="35"/>
    </row>
    <row r="55" ht="15.75" customHeight="1">
      <c r="A55" s="15" t="s">
        <v>2173</v>
      </c>
      <c r="B55" s="15" t="s">
        <v>60</v>
      </c>
      <c r="C55" s="15" t="s">
        <v>236</v>
      </c>
      <c r="D55" s="15" t="s">
        <v>2175</v>
      </c>
      <c r="E55" s="15" t="s">
        <v>2175</v>
      </c>
      <c r="F55" s="16" t="s">
        <v>87</v>
      </c>
      <c r="G55" s="17" t="s">
        <v>88</v>
      </c>
      <c r="H55" s="18" t="s">
        <v>2179</v>
      </c>
      <c r="I55" s="18" t="s">
        <v>2180</v>
      </c>
      <c r="J55" s="18" t="s">
        <v>2182</v>
      </c>
      <c r="K55" s="18" t="s">
        <v>229</v>
      </c>
      <c r="L55" s="18" t="s">
        <v>2185</v>
      </c>
      <c r="M55" s="18" t="s">
        <v>830</v>
      </c>
      <c r="N55" s="18" t="s">
        <v>232</v>
      </c>
      <c r="O55" s="18" t="s">
        <v>98</v>
      </c>
      <c r="P55" s="15" t="str">
        <f t="shared" si="1"/>
        <v>PHARMA</v>
      </c>
      <c r="Q55" s="15">
        <f t="shared" si="2"/>
        <v>4</v>
      </c>
      <c r="R55" s="15">
        <f t="shared" si="3"/>
        <v>3</v>
      </c>
      <c r="S55" s="15">
        <f t="shared" si="4"/>
        <v>2</v>
      </c>
      <c r="T55" s="15" t="str">
        <f t="shared" si="5"/>
        <v>A-4</v>
      </c>
      <c r="U55" s="15" t="str">
        <f t="shared" si="6"/>
        <v>T4-M3-H2-FA-4-PHARMA</v>
      </c>
      <c r="V55" s="15">
        <f t="shared" si="7"/>
        <v>0</v>
      </c>
      <c r="W55" s="31"/>
      <c r="X55" s="15" t="str">
        <f t="shared" si="8"/>
        <v>jaipur</v>
      </c>
      <c r="Y55" s="32" t="str">
        <f t="shared" si="9"/>
        <v>https://steelmanufacturer.in/market-area/electropolished-pipes-manufacturer-in-jaipur/</v>
      </c>
      <c r="Z55" s="15" t="str">
        <f t="shared" si="10"/>
        <v>Electropolished Pipes Manufacturer in Jaipur</v>
      </c>
      <c r="AA55" s="15" t="str">
        <f t="shared" si="11"/>
        <v>OK (44)</v>
      </c>
      <c r="AB55" s="15" t="str">
        <f t="shared" si="12"/>
        <v>EP stainless tube for pharma lines in Jaipur. 3-4 day road transit from our Mumbai works. ASTM A270 S2, PMI tested, EN 10204 3.1.</v>
      </c>
      <c r="AC55" s="15" t="str">
        <f t="shared" si="13"/>
        <v>OK (129)</v>
      </c>
      <c r="AD55" s="15" t="str">
        <f t="shared" si="14"/>
        <v>Electropolished Pipes Manufacturer in Jaipur</v>
      </c>
      <c r="AE55" s="15" t="str">
        <f t="shared" si="15"/>
        <v>How We Manufacture Electropolished Tube for Jaipur Plants</v>
      </c>
      <c r="AF55" s="15" t="str">
        <f t="shared" si="16"/>
        <v>Supplying Electropolished Pipes in Jaipur: Availability, Sizes &amp; Dispatch</v>
      </c>
      <c r="AG55" s="15" t="str">
        <f t="shared" si="17"/>
        <v>Wholesale Electropolished Pipe Supply for Jaipur Projects</v>
      </c>
      <c r="AH55" s="15" t="str">
        <f t="shared" si="18"/>
        <v>electropolished pipes manufacturer in Jaipur, electropolished pipes supplier in Jaipur, electropolished pipes wholesaler in Jaipur, electropolished tube manufacturer Jaipur, EP pipe supplier Jaipur, sanitary tube supplier Jaipur, ASME BPE tubing Jaipur, ASTM A270 tube Jaipur, SS 316L electropolished pipe Jaipur</v>
      </c>
      <c r="AI55" s="15" t="str">
        <f t="shared" si="19"/>
        <v>Electropolished Pipes Manufacturer &amp; Supplier in Jaipur</v>
      </c>
      <c r="AJ55" s="15" t="str">
        <f t="shared" si="20"/>
        <v>EP-finished SS 304/316L pipes and tubes for pharma plants in Jaipur. ASME BPE SF1-SF4, Ra from 0.25 um, EN 10204 3.1 certificate with every lot.</v>
      </c>
      <c r="AK55" s="15" t="str">
        <f t="shared" si="21"/>
        <v>Electropolished stainless steel pipes supplied by Sakshi Forge to pharma plants at Sitapura RIICO, Jaipur</v>
      </c>
      <c r="AL55" s="15" t="str">
        <f t="shared" si="22"/>
        <v>Electropolished SS 316L tube stock for Jaipur - Sakshi Forge</v>
      </c>
      <c r="AM55" s="15" t="str">
        <f t="shared" si="23"/>
        <v>Home &gt; Market Area &gt; India &gt; Rajasthan &gt; Jaipur</v>
      </c>
      <c r="AN55" s="15">
        <f t="shared" si="24"/>
        <v>1400</v>
      </c>
      <c r="AO55" s="15">
        <f t="shared" si="25"/>
        <v>10</v>
      </c>
      <c r="AP55" s="15">
        <f t="shared" si="26"/>
        <v>12</v>
      </c>
      <c r="AQ55" s="15">
        <f t="shared" si="27"/>
        <v>1</v>
      </c>
      <c r="AR55" s="31"/>
      <c r="AS55" s="31"/>
      <c r="AT55" s="35" t="s">
        <v>222</v>
      </c>
      <c r="AU55" s="35"/>
    </row>
    <row r="56" ht="15.75" customHeight="1">
      <c r="A56" s="15" t="s">
        <v>2236</v>
      </c>
      <c r="B56" s="15" t="s">
        <v>60</v>
      </c>
      <c r="C56" s="15" t="s">
        <v>354</v>
      </c>
      <c r="D56" s="15" t="s">
        <v>2238</v>
      </c>
      <c r="E56" s="15" t="s">
        <v>2238</v>
      </c>
      <c r="F56" s="16" t="s">
        <v>87</v>
      </c>
      <c r="G56" s="17" t="s">
        <v>88</v>
      </c>
      <c r="H56" s="18" t="s">
        <v>2241</v>
      </c>
      <c r="I56" s="18" t="s">
        <v>2244</v>
      </c>
      <c r="J56" s="18" t="s">
        <v>2245</v>
      </c>
      <c r="K56" s="18" t="s">
        <v>250</v>
      </c>
      <c r="L56" s="18" t="s">
        <v>2247</v>
      </c>
      <c r="M56" s="18" t="s">
        <v>276</v>
      </c>
      <c r="N56" s="18" t="s">
        <v>252</v>
      </c>
      <c r="O56" s="18" t="s">
        <v>98</v>
      </c>
      <c r="P56" s="15" t="str">
        <f t="shared" si="1"/>
        <v>GENERAL</v>
      </c>
      <c r="Q56" s="15">
        <f t="shared" si="2"/>
        <v>5</v>
      </c>
      <c r="R56" s="15">
        <f t="shared" si="3"/>
        <v>4</v>
      </c>
      <c r="S56" s="15">
        <f t="shared" si="4"/>
        <v>3</v>
      </c>
      <c r="T56" s="15" t="str">
        <f t="shared" si="5"/>
        <v>A-5</v>
      </c>
      <c r="U56" s="15" t="str">
        <f t="shared" si="6"/>
        <v>T5-M4-H3-FA-5-GENERAL</v>
      </c>
      <c r="V56" s="15">
        <f t="shared" si="7"/>
        <v>0</v>
      </c>
      <c r="W56" s="31"/>
      <c r="X56" s="15" t="str">
        <f t="shared" si="8"/>
        <v>jalandhar</v>
      </c>
      <c r="Y56" s="32" t="str">
        <f t="shared" si="9"/>
        <v>https://steelmanufacturer.in/market-area/electropolished-pipes-manufacturer-in-jalandhar/</v>
      </c>
      <c r="Z56" s="15" t="str">
        <f t="shared" si="10"/>
        <v>Electropolished Pipes Manufacturer in Jalandhar</v>
      </c>
      <c r="AA56" s="15" t="str">
        <f t="shared" si="11"/>
        <v>OK (47)</v>
      </c>
      <c r="AB56" s="15" t="str">
        <f t="shared" si="12"/>
        <v>Sanitary electropolished pipes in Jalandhar for engineering &amp; process plants. ASME BPE SF1-SF4, orbital-weld ready, 3.1 MTC. Mumbai-made.</v>
      </c>
      <c r="AC56" s="15" t="str">
        <f t="shared" si="13"/>
        <v>OK (137)</v>
      </c>
      <c r="AD56" s="15" t="str">
        <f t="shared" si="14"/>
        <v>Electropolished Pipes Manufacturer in Jalandhar</v>
      </c>
      <c r="AE56" s="15" t="str">
        <f t="shared" si="15"/>
        <v>Electropolished Pipes Manufacturer in Jalandhar - Our Process &amp; Capability</v>
      </c>
      <c r="AF56" s="15" t="str">
        <f t="shared" si="16"/>
        <v>Electropolished Pipes Supplier in Jalandhar - What We Hold in Stock</v>
      </c>
      <c r="AG56" s="15" t="str">
        <f t="shared" si="17"/>
        <v>Bulk &amp; Wholesale Electropolished Pipe Rates for Jalandhar Buyers</v>
      </c>
      <c r="AH56" s="15" t="str">
        <f t="shared" si="18"/>
        <v>electropolished pipes manufacturer in Jalandhar, electropolished pipes supplier in Jalandhar, electropolished pipes wholesaler in Jalandhar, electropolished tube manufacturer Jalandhar, EP pipe supplier Jalandhar, sanitary tube supplier Jalandhar, ASME BPE tubing Jalandhar, ASTM A270 tube Jalandhar, SS 316L electropolished pipe Jalandhar</v>
      </c>
      <c r="AI56" s="15" t="str">
        <f t="shared" si="19"/>
        <v>Electropolished Pipes Manufacturer &amp; Supplier in Jalandhar</v>
      </c>
      <c r="AJ56" s="15" t="str">
        <f t="shared" si="20"/>
        <v>EP-finished SS 304/316L pipes and tubes for engineering &amp; process plants in Jalandhar. ASME BPE SF1-SF4, Ra from 0.25 um, EN 10204 3.1 certificate with every lot.</v>
      </c>
      <c r="AK56" s="15" t="str">
        <f t="shared" si="21"/>
        <v>Electropolished stainless steel pipes supplied by Sakshi Forge to engineering &amp; process plants at Focal Point Jalandhar, Jalandhar</v>
      </c>
      <c r="AL56" s="15" t="str">
        <f t="shared" si="22"/>
        <v>Electropolished SS 316L tube stock for Jalandhar - Sakshi Forge</v>
      </c>
      <c r="AM56" s="15" t="str">
        <f t="shared" si="23"/>
        <v>Home &gt; Market Area &gt; India &gt; Punjab &gt; Jalandhar</v>
      </c>
      <c r="AN56" s="15">
        <f t="shared" si="24"/>
        <v>1400</v>
      </c>
      <c r="AO56" s="15">
        <f t="shared" si="25"/>
        <v>10</v>
      </c>
      <c r="AP56" s="15">
        <f t="shared" si="26"/>
        <v>12</v>
      </c>
      <c r="AQ56" s="15">
        <f t="shared" si="27"/>
        <v>1</v>
      </c>
      <c r="AR56" s="31"/>
      <c r="AS56" s="31"/>
      <c r="AT56" s="35" t="s">
        <v>222</v>
      </c>
      <c r="AU56" s="35"/>
    </row>
    <row r="57" ht="15.75" customHeight="1">
      <c r="A57" s="15" t="s">
        <v>2294</v>
      </c>
      <c r="B57" s="15" t="s">
        <v>60</v>
      </c>
      <c r="C57" s="15" t="s">
        <v>264</v>
      </c>
      <c r="D57" s="15" t="s">
        <v>2298</v>
      </c>
      <c r="E57" s="15" t="s">
        <v>2298</v>
      </c>
      <c r="F57" s="16" t="s">
        <v>87</v>
      </c>
      <c r="G57" s="17" t="s">
        <v>88</v>
      </c>
      <c r="H57" s="18" t="s">
        <v>2300</v>
      </c>
      <c r="I57" s="18" t="s">
        <v>2301</v>
      </c>
      <c r="J57" s="18" t="s">
        <v>2303</v>
      </c>
      <c r="K57" s="18" t="s">
        <v>579</v>
      </c>
      <c r="L57" s="18" t="s">
        <v>2304</v>
      </c>
      <c r="M57" s="18" t="s">
        <v>231</v>
      </c>
      <c r="N57" s="18" t="s">
        <v>585</v>
      </c>
      <c r="O57" s="18" t="s">
        <v>98</v>
      </c>
      <c r="P57" s="15" t="str">
        <f t="shared" si="1"/>
        <v>DAIRY</v>
      </c>
      <c r="Q57" s="15">
        <f t="shared" si="2"/>
        <v>6</v>
      </c>
      <c r="R57" s="15">
        <f t="shared" si="3"/>
        <v>5</v>
      </c>
      <c r="S57" s="15">
        <f t="shared" si="4"/>
        <v>4</v>
      </c>
      <c r="T57" s="15" t="str">
        <f t="shared" si="5"/>
        <v>A-6</v>
      </c>
      <c r="U57" s="15" t="str">
        <f t="shared" si="6"/>
        <v>T6-M5-H4-FA-6-DAIRY</v>
      </c>
      <c r="V57" s="15">
        <f t="shared" si="7"/>
        <v>0</v>
      </c>
      <c r="W57" s="31"/>
      <c r="X57" s="15" t="str">
        <f t="shared" si="8"/>
        <v>jalgaon</v>
      </c>
      <c r="Y57" s="32" t="str">
        <f t="shared" si="9"/>
        <v>https://steelmanufacturer.in/market-area/electropolished-pipes-manufacturer-in-jalgaon/</v>
      </c>
      <c r="Z57" s="15" t="str">
        <f t="shared" si="10"/>
        <v>Electropolished Pipes Manufacturer in Jalgaon</v>
      </c>
      <c r="AA57" s="15" t="str">
        <f t="shared" si="11"/>
        <v>OK (45)</v>
      </c>
      <c r="AB57" s="15" t="str">
        <f t="shared" si="12"/>
        <v>Manufacturer of electropolished SS 316L tube serving Jalgaon. 2-3 day road transit from our Mumbai works. Ra 0.25-0.5 um, EN 10204 3.1 MTC.</v>
      </c>
      <c r="AC57" s="15" t="str">
        <f t="shared" si="13"/>
        <v>OK (139)</v>
      </c>
      <c r="AD57" s="15" t="str">
        <f t="shared" si="14"/>
        <v>Electropolished Pipes Manufacturer in Jalgaon</v>
      </c>
      <c r="AE57" s="15" t="str">
        <f t="shared" si="15"/>
        <v>Manufacturing Electropolished SS Tube for Jalgaon: The Standards We Build To</v>
      </c>
      <c r="AF57" s="15" t="str">
        <f t="shared" si="16"/>
        <v>Electropolished Pipe Supply Into Jalgaon - Certification &amp; Transit</v>
      </c>
      <c r="AG57" s="15" t="str">
        <f t="shared" si="17"/>
        <v>Electropolished Pipes Wholesaler in Jalgaon - Project Quantities &amp; Terms</v>
      </c>
      <c r="AH57" s="15" t="str">
        <f t="shared" si="18"/>
        <v>electropolished pipes manufacturer in Jalgaon, electropolished pipes supplier in Jalgaon, electropolished pipes wholesaler in Jalgaon, electropolished tube manufacturer Jalgaon, EP pipe supplier Jalgaon, sanitary tube supplier Jalgaon, ASME BPE tubing Jalgaon, ASTM A270 tube Jalgaon, SS 316L electropolished pipe Jalgaon</v>
      </c>
      <c r="AI57" s="15" t="str">
        <f t="shared" si="19"/>
        <v>Electropolished Pipes Manufacturer &amp; Supplier in Jalgaon</v>
      </c>
      <c r="AJ57" s="15" t="str">
        <f t="shared" si="20"/>
        <v>EP-finished SS 304/316L pipes and tubes for food &amp; dairy plants in Jalgaon. ASME BPE SF1-SF4, Ra from 0.25 um, EN 10204 3.1 certificate with every lot.</v>
      </c>
      <c r="AK57" s="15" t="str">
        <f t="shared" si="21"/>
        <v>Electropolished stainless steel pipes supplied by Sakshi Forge to food &amp; dairy plants at Jalgaon MIDC, Jalgaon</v>
      </c>
      <c r="AL57" s="15" t="str">
        <f t="shared" si="22"/>
        <v>Electropolished SS 316L tube stock for Jalgaon - Sakshi Forge</v>
      </c>
      <c r="AM57" s="15" t="str">
        <f t="shared" si="23"/>
        <v>Home &gt; Market Area &gt; India &gt; Maharashtra &gt; Jalgaon</v>
      </c>
      <c r="AN57" s="15">
        <f t="shared" si="24"/>
        <v>1400</v>
      </c>
      <c r="AO57" s="15">
        <f t="shared" si="25"/>
        <v>10</v>
      </c>
      <c r="AP57" s="15">
        <f t="shared" si="26"/>
        <v>12</v>
      </c>
      <c r="AQ57" s="15">
        <f t="shared" si="27"/>
        <v>1</v>
      </c>
      <c r="AR57" s="31"/>
      <c r="AS57" s="31"/>
      <c r="AT57" s="35" t="s">
        <v>222</v>
      </c>
      <c r="AU57" s="35"/>
    </row>
    <row r="58" ht="15.75" customHeight="1">
      <c r="A58" s="15" t="s">
        <v>2357</v>
      </c>
      <c r="B58" s="15" t="s">
        <v>60</v>
      </c>
      <c r="C58" s="15" t="s">
        <v>224</v>
      </c>
      <c r="D58" s="15" t="s">
        <v>2358</v>
      </c>
      <c r="E58" s="15" t="s">
        <v>2358</v>
      </c>
      <c r="F58" s="16" t="s">
        <v>87</v>
      </c>
      <c r="G58" s="17" t="s">
        <v>88</v>
      </c>
      <c r="H58" s="18" t="s">
        <v>2360</v>
      </c>
      <c r="I58" s="18" t="s">
        <v>2363</v>
      </c>
      <c r="J58" s="18" t="s">
        <v>2365</v>
      </c>
      <c r="K58" s="18" t="s">
        <v>2366</v>
      </c>
      <c r="L58" s="18" t="s">
        <v>2367</v>
      </c>
      <c r="M58" s="18" t="s">
        <v>96</v>
      </c>
      <c r="N58" s="18" t="s">
        <v>277</v>
      </c>
      <c r="O58" s="18" t="s">
        <v>98</v>
      </c>
      <c r="P58" s="15" t="str">
        <f t="shared" si="1"/>
        <v>CHEM</v>
      </c>
      <c r="Q58" s="15">
        <f t="shared" si="2"/>
        <v>7</v>
      </c>
      <c r="R58" s="15">
        <f t="shared" si="3"/>
        <v>6</v>
      </c>
      <c r="S58" s="15">
        <f t="shared" si="4"/>
        <v>5</v>
      </c>
      <c r="T58" s="15" t="str">
        <f t="shared" si="5"/>
        <v>A-1</v>
      </c>
      <c r="U58" s="15" t="str">
        <f t="shared" si="6"/>
        <v>T7-M6-H5-FA-1-CHEM</v>
      </c>
      <c r="V58" s="15">
        <f t="shared" si="7"/>
        <v>0</v>
      </c>
      <c r="W58" s="31"/>
      <c r="X58" s="15" t="str">
        <f t="shared" si="8"/>
        <v>jamnagar</v>
      </c>
      <c r="Y58" s="32" t="str">
        <f t="shared" si="9"/>
        <v>https://steelmanufacturer.in/market-area/electropolished-pipes-manufacturer-in-jamnagar/</v>
      </c>
      <c r="Z58" s="15" t="str">
        <f t="shared" si="10"/>
        <v>Electropolished Pipes Manufacturer in Jamnagar | ASME BPE SF1-SF4</v>
      </c>
      <c r="AA58" s="15" t="str">
        <f t="shared" si="11"/>
        <v>OK (65)</v>
      </c>
      <c r="AB58" s="15" t="str">
        <f t="shared" si="12"/>
        <v>EP tube and pipe for refining plants around Jamnagar GIDC, Jamnagar. Made at our Mumbai works to ASTM A270 and ASME BPE SF1-SF4, with 3.1 MTC.</v>
      </c>
      <c r="AC58" s="15" t="str">
        <f t="shared" si="13"/>
        <v>OK (142)</v>
      </c>
      <c r="AD58" s="15" t="str">
        <f t="shared" si="14"/>
        <v>Electropolished Pipes Manufacturer in Jamnagar</v>
      </c>
      <c r="AE58" s="15" t="str">
        <f t="shared" si="15"/>
        <v>Electropolished Tube Manufacturing Capability Serving Jamnagar</v>
      </c>
      <c r="AF58" s="15" t="str">
        <f t="shared" si="16"/>
        <v>Electropolished Pipes Supplier in Jamnagar - From Order to Delivery</v>
      </c>
      <c r="AG58" s="15" t="str">
        <f t="shared" si="17"/>
        <v>Stockist &amp; Wholesale Supply of Electropolished Pipes in Jamnagar</v>
      </c>
      <c r="AH58" s="15" t="str">
        <f t="shared" si="18"/>
        <v>electropolished pipes manufacturer in Jamnagar, electropolished pipes supplier in Jamnagar, electropolished pipes wholesaler in Jamnagar, electropolished tube manufacturer Jamnagar, EP pipe supplier Jamnagar, sanitary tube supplier Jamnagar, ASME BPE tubing Jamnagar, ASTM A270 tube Jamnagar, SS 316L electropolished pipe Jamnagar</v>
      </c>
      <c r="AI58" s="15" t="str">
        <f t="shared" si="19"/>
        <v>Electropolished Pipes Manufacturer &amp; Supplier in Jamnagar</v>
      </c>
      <c r="AJ58" s="15" t="str">
        <f t="shared" si="20"/>
        <v>EP-finished SS 304/316L pipes and tubes for refining plants in Jamnagar. ASME BPE SF1-SF4, Ra from 0.25 um, EN 10204 3.1 certificate with every lot.</v>
      </c>
      <c r="AK58" s="15" t="str">
        <f t="shared" si="21"/>
        <v>Electropolished stainless steel pipes supplied by Sakshi Forge to refining plants at Jamnagar GIDC, Jamnagar</v>
      </c>
      <c r="AL58" s="15" t="str">
        <f t="shared" si="22"/>
        <v>Electropolished SS 316L tube stock for Jamnagar - Sakshi Forge</v>
      </c>
      <c r="AM58" s="15" t="str">
        <f t="shared" si="23"/>
        <v>Home &gt; Market Area &gt; India &gt; Gujarat &gt; Jamnagar</v>
      </c>
      <c r="AN58" s="15">
        <f t="shared" si="24"/>
        <v>1400</v>
      </c>
      <c r="AO58" s="15">
        <f t="shared" si="25"/>
        <v>10</v>
      </c>
      <c r="AP58" s="15">
        <f t="shared" si="26"/>
        <v>12</v>
      </c>
      <c r="AQ58" s="15">
        <f t="shared" si="27"/>
        <v>1</v>
      </c>
      <c r="AR58" s="31"/>
      <c r="AS58" s="31"/>
      <c r="AT58" s="35" t="s">
        <v>222</v>
      </c>
      <c r="AU58" s="35"/>
    </row>
    <row r="59" ht="15.75" customHeight="1">
      <c r="A59" s="15" t="s">
        <v>2417</v>
      </c>
      <c r="B59" s="15" t="s">
        <v>60</v>
      </c>
      <c r="C59" s="15" t="s">
        <v>878</v>
      </c>
      <c r="D59" s="15" t="s">
        <v>2419</v>
      </c>
      <c r="E59" s="15" t="s">
        <v>2419</v>
      </c>
      <c r="F59" s="16" t="s">
        <v>87</v>
      </c>
      <c r="G59" s="17" t="s">
        <v>88</v>
      </c>
      <c r="H59" s="18" t="s">
        <v>2423</v>
      </c>
      <c r="I59" s="18" t="s">
        <v>2425</v>
      </c>
      <c r="J59" s="18" t="s">
        <v>2426</v>
      </c>
      <c r="K59" s="18" t="s">
        <v>250</v>
      </c>
      <c r="L59" s="18" t="s">
        <v>2427</v>
      </c>
      <c r="M59" s="18" t="s">
        <v>231</v>
      </c>
      <c r="N59" s="18" t="s">
        <v>252</v>
      </c>
      <c r="O59" s="18" t="s">
        <v>98</v>
      </c>
      <c r="P59" s="15" t="str">
        <f t="shared" si="1"/>
        <v>GENERAL</v>
      </c>
      <c r="Q59" s="15">
        <f t="shared" si="2"/>
        <v>8</v>
      </c>
      <c r="R59" s="15">
        <f t="shared" si="3"/>
        <v>7</v>
      </c>
      <c r="S59" s="15">
        <f t="shared" si="4"/>
        <v>1</v>
      </c>
      <c r="T59" s="15" t="str">
        <f t="shared" si="5"/>
        <v>A-2</v>
      </c>
      <c r="U59" s="15" t="str">
        <f t="shared" si="6"/>
        <v>T8-M7-H1-FA-2-GENERAL</v>
      </c>
      <c r="V59" s="15">
        <f t="shared" si="7"/>
        <v>0</v>
      </c>
      <c r="W59" s="31"/>
      <c r="X59" s="15" t="str">
        <f t="shared" si="8"/>
        <v>jamshedpur</v>
      </c>
      <c r="Y59" s="32" t="str">
        <f t="shared" si="9"/>
        <v>https://steelmanufacturer.in/market-area/electropolished-pipes-manufacturer-in-jamshedpur/</v>
      </c>
      <c r="Z59" s="15" t="str">
        <f t="shared" si="10"/>
        <v>Electropolished Pipes Manufacturer in Jamshedpur</v>
      </c>
      <c r="AA59" s="15" t="str">
        <f t="shared" si="11"/>
        <v>OK (48)</v>
      </c>
      <c r="AB59" s="15" t="str">
        <f t="shared" si="12"/>
        <v>Electropolished pipes in Jamshedpur: 304, 304L, 316 and 316L in SF1-SF4. 2-3 day road transit from our Mumbai works. Mill certified.</v>
      </c>
      <c r="AC59" s="15" t="str">
        <f t="shared" si="13"/>
        <v>OK (132)</v>
      </c>
      <c r="AD59" s="15" t="str">
        <f t="shared" si="14"/>
        <v>Electropolished Pipes Manufacturer in Jamshedpur</v>
      </c>
      <c r="AE59" s="15" t="str">
        <f t="shared" si="15"/>
        <v>Electropolished Pipe &amp; Tube Manufacturing for Jamshedpur - Grades, Finishes &amp; Certification</v>
      </c>
      <c r="AF59" s="15" t="str">
        <f t="shared" si="16"/>
        <v>Electropolished Pipes Supplier in Jamshedpur - Stock Sizes, Lead Time &amp; Delivery</v>
      </c>
      <c r="AG59" s="15" t="str">
        <f t="shared" si="17"/>
        <v>Electropolished Pipes Wholesaler &amp; Stockist in Jamshedpur - Bulk &amp; Project Pricing</v>
      </c>
      <c r="AH59" s="15" t="str">
        <f t="shared" si="18"/>
        <v>electropolished pipes manufacturer in Jamshedpur, electropolished pipes supplier in Jamshedpur, electropolished pipes wholesaler in Jamshedpur, electropolished tube manufacturer Jamshedpur, EP pipe supplier Jamshedpur, sanitary tube supplier Jamshedpur, ASME BPE tubing Jamshedpur, ASTM A270 tube Jamshedpur, SS 316L electropolished pipe Jamshedpur</v>
      </c>
      <c r="AI59" s="15" t="str">
        <f t="shared" si="19"/>
        <v>Electropolished Pipes Manufacturer &amp; Supplier in Jamshedpur</v>
      </c>
      <c r="AJ59" s="15" t="str">
        <f t="shared" si="20"/>
        <v>EP-finished SS 304/316L pipes and tubes for engineering &amp; process plants in Jamshedpur. ASME BPE SF1-SF4, Ra from 0.25 um, EN 10204 3.1 certificate with every lot.</v>
      </c>
      <c r="AK59" s="15" t="str">
        <f t="shared" si="21"/>
        <v>Electropolished stainless steel pipes supplied by Sakshi Forge to engineering &amp; process plants at Adityapur Industrial Area AIADA, Jamshedpur</v>
      </c>
      <c r="AL59" s="15" t="str">
        <f t="shared" si="22"/>
        <v>Electropolished SS 316L tube stock for Jamshedpur - Sakshi Forge</v>
      </c>
      <c r="AM59" s="15" t="str">
        <f t="shared" si="23"/>
        <v>Home &gt; Market Area &gt; India &gt; Jharkhand &gt; Jamshedpur</v>
      </c>
      <c r="AN59" s="15">
        <f t="shared" si="24"/>
        <v>1400</v>
      </c>
      <c r="AO59" s="15">
        <f t="shared" si="25"/>
        <v>10</v>
      </c>
      <c r="AP59" s="15">
        <f t="shared" si="26"/>
        <v>12</v>
      </c>
      <c r="AQ59" s="15">
        <f t="shared" si="27"/>
        <v>1</v>
      </c>
      <c r="AR59" s="31"/>
      <c r="AS59" s="31"/>
      <c r="AT59" s="35" t="s">
        <v>222</v>
      </c>
      <c r="AU59" s="35"/>
    </row>
    <row r="60" ht="15.75" customHeight="1">
      <c r="A60" s="15" t="s">
        <v>2479</v>
      </c>
      <c r="B60" s="15" t="s">
        <v>60</v>
      </c>
      <c r="C60" s="15" t="s">
        <v>236</v>
      </c>
      <c r="D60" s="15" t="s">
        <v>2481</v>
      </c>
      <c r="E60" s="15" t="s">
        <v>2481</v>
      </c>
      <c r="F60" s="16" t="s">
        <v>87</v>
      </c>
      <c r="G60" s="17" t="s">
        <v>88</v>
      </c>
      <c r="H60" s="18" t="s">
        <v>2485</v>
      </c>
      <c r="I60" s="18" t="s">
        <v>2486</v>
      </c>
      <c r="J60" s="18" t="s">
        <v>2487</v>
      </c>
      <c r="K60" s="18" t="s">
        <v>250</v>
      </c>
      <c r="L60" s="18" t="s">
        <v>2488</v>
      </c>
      <c r="M60" s="18" t="s">
        <v>231</v>
      </c>
      <c r="N60" s="18" t="s">
        <v>252</v>
      </c>
      <c r="O60" s="18" t="s">
        <v>98</v>
      </c>
      <c r="P60" s="15" t="str">
        <f t="shared" si="1"/>
        <v>GENERAL</v>
      </c>
      <c r="Q60" s="15">
        <f t="shared" si="2"/>
        <v>1</v>
      </c>
      <c r="R60" s="15">
        <f t="shared" si="3"/>
        <v>1</v>
      </c>
      <c r="S60" s="15">
        <f t="shared" si="4"/>
        <v>2</v>
      </c>
      <c r="T60" s="15" t="str">
        <f t="shared" si="5"/>
        <v>A-3</v>
      </c>
      <c r="U60" s="15" t="str">
        <f t="shared" si="6"/>
        <v>T1-M1-H2-FA-3-GENERAL</v>
      </c>
      <c r="V60" s="15">
        <f t="shared" si="7"/>
        <v>0</v>
      </c>
      <c r="W60" s="31"/>
      <c r="X60" s="15" t="str">
        <f t="shared" si="8"/>
        <v>jodhpur</v>
      </c>
      <c r="Y60" s="32" t="str">
        <f t="shared" si="9"/>
        <v>https://steelmanufacturer.in/market-area/electropolished-pipes-manufacturer-in-jodhpur/</v>
      </c>
      <c r="Z60" s="15" t="str">
        <f t="shared" si="10"/>
        <v>Electropolished Pipes Manufacturer in Jodhpur | Sakshi Forge</v>
      </c>
      <c r="AA60" s="15" t="str">
        <f t="shared" si="11"/>
        <v>OK (60)</v>
      </c>
      <c r="AB60" s="15" t="str">
        <f t="shared" si="12"/>
        <v>EP-finished SS 304/316L pipes &amp; tubes for engineering &amp; process plants in Jodhpur. ASTM A270, ASME BPE SF1-SF4, EN 10204 3.1 MTC. PMI tested.</v>
      </c>
      <c r="AC60" s="15" t="str">
        <f t="shared" si="13"/>
        <v>OK (141)</v>
      </c>
      <c r="AD60" s="15" t="str">
        <f t="shared" si="14"/>
        <v>Electropolished Pipes Manufacturer in Jodhpur</v>
      </c>
      <c r="AE60" s="15" t="str">
        <f t="shared" si="15"/>
        <v>How We Manufacture Electropolished Tube for Jodhpur Plants</v>
      </c>
      <c r="AF60" s="15" t="str">
        <f t="shared" si="16"/>
        <v>Supplying Electropolished Pipes in Jodhpur: Availability, Sizes &amp; Dispatch</v>
      </c>
      <c r="AG60" s="15" t="str">
        <f t="shared" si="17"/>
        <v>Wholesale Electropolished Pipe Supply for Jodhpur Projects</v>
      </c>
      <c r="AH60" s="15" t="str">
        <f t="shared" si="18"/>
        <v>electropolished pipes manufacturer in Jodhpur, electropolished pipes supplier in Jodhpur, electropolished pipes wholesaler in Jodhpur, electropolished tube manufacturer Jodhpur, EP pipe supplier Jodhpur, sanitary tube supplier Jodhpur, ASME BPE tubing Jodhpur, ASTM A270 tube Jodhpur, SS 316L electropolished pipe Jodhpur</v>
      </c>
      <c r="AI60" s="15" t="str">
        <f t="shared" si="19"/>
        <v>Electropolished Pipes Manufacturer &amp; Supplier in Jodhpur</v>
      </c>
      <c r="AJ60" s="15" t="str">
        <f t="shared" si="20"/>
        <v>EP-finished SS 304/316L pipes and tubes for engineering &amp; process plants in Jodhpur. ASME BPE SF1-SF4, Ra from 0.25 um, EN 10204 3.1 certificate with every lot.</v>
      </c>
      <c r="AK60" s="15" t="str">
        <f t="shared" si="21"/>
        <v>Electropolished stainless steel pipes supplied by Sakshi Forge to engineering &amp; process plants at Boranada RIICO, Jodhpur</v>
      </c>
      <c r="AL60" s="15" t="str">
        <f t="shared" si="22"/>
        <v>Electropolished SS 316L tube stock for Jodhpur - Sakshi Forge</v>
      </c>
      <c r="AM60" s="15" t="str">
        <f t="shared" si="23"/>
        <v>Home &gt; Market Area &gt; India &gt; Rajasthan &gt; Jodhpur</v>
      </c>
      <c r="AN60" s="15">
        <f t="shared" si="24"/>
        <v>1400</v>
      </c>
      <c r="AO60" s="15">
        <f t="shared" si="25"/>
        <v>10</v>
      </c>
      <c r="AP60" s="15">
        <f t="shared" si="26"/>
        <v>12</v>
      </c>
      <c r="AQ60" s="15">
        <f t="shared" si="27"/>
        <v>1</v>
      </c>
      <c r="AR60" s="31"/>
      <c r="AS60" s="31"/>
      <c r="AT60" s="35" t="s">
        <v>222</v>
      </c>
      <c r="AU60" s="35"/>
    </row>
    <row r="61" ht="15.75" customHeight="1">
      <c r="A61" s="15" t="s">
        <v>2536</v>
      </c>
      <c r="B61" s="15" t="s">
        <v>60</v>
      </c>
      <c r="C61" s="15" t="s">
        <v>413</v>
      </c>
      <c r="D61" s="15" t="s">
        <v>2537</v>
      </c>
      <c r="E61" s="15" t="s">
        <v>2537</v>
      </c>
      <c r="F61" s="16" t="s">
        <v>87</v>
      </c>
      <c r="G61" s="17" t="s">
        <v>88</v>
      </c>
      <c r="H61" s="18" t="s">
        <v>2542</v>
      </c>
      <c r="I61" s="18" t="s">
        <v>2543</v>
      </c>
      <c r="J61" s="18" t="s">
        <v>2544</v>
      </c>
      <c r="K61" s="18" t="s">
        <v>1084</v>
      </c>
      <c r="L61" s="18" t="s">
        <v>2547</v>
      </c>
      <c r="M61" s="18" t="s">
        <v>276</v>
      </c>
      <c r="N61" s="18" t="s">
        <v>277</v>
      </c>
      <c r="O61" s="18" t="s">
        <v>98</v>
      </c>
      <c r="P61" s="15" t="str">
        <f t="shared" si="1"/>
        <v>CHEM</v>
      </c>
      <c r="Q61" s="15">
        <f t="shared" si="2"/>
        <v>2</v>
      </c>
      <c r="R61" s="15">
        <f t="shared" si="3"/>
        <v>2</v>
      </c>
      <c r="S61" s="15">
        <f t="shared" si="4"/>
        <v>3</v>
      </c>
      <c r="T61" s="15" t="str">
        <f t="shared" si="5"/>
        <v>A-4</v>
      </c>
      <c r="U61" s="15" t="str">
        <f t="shared" si="6"/>
        <v>T2-M2-H3-FA-4-CHEM</v>
      </c>
      <c r="V61" s="15">
        <f t="shared" si="7"/>
        <v>0</v>
      </c>
      <c r="W61" s="31"/>
      <c r="X61" s="15" t="str">
        <f t="shared" si="8"/>
        <v>kakinada</v>
      </c>
      <c r="Y61" s="32" t="str">
        <f t="shared" si="9"/>
        <v>https://steelmanufacturer.in/market-area/electropolished-pipes-manufacturer-in-kakinada/</v>
      </c>
      <c r="Z61" s="15" t="str">
        <f t="shared" si="10"/>
        <v>Electropolished Pipes Manufacturer in Kakinada</v>
      </c>
      <c r="AA61" s="15" t="str">
        <f t="shared" si="11"/>
        <v>OK (46)</v>
      </c>
      <c r="AB61" s="15" t="str">
        <f t="shared" si="12"/>
        <v>Electropolished tube supply to Kakinada SEZ, Kakinada. Ra from 0.25 um, SF4 finish, mill test certificate with every lot.</v>
      </c>
      <c r="AC61" s="15" t="str">
        <f t="shared" si="13"/>
        <v>OK (121)</v>
      </c>
      <c r="AD61" s="15" t="str">
        <f t="shared" si="14"/>
        <v>Electropolished Pipes Manufacturer in Kakinada</v>
      </c>
      <c r="AE61" s="15" t="str">
        <f t="shared" si="15"/>
        <v>Electropolished Pipes Manufacturer in Kakinada - Our Process &amp; Capability</v>
      </c>
      <c r="AF61" s="15" t="str">
        <f t="shared" si="16"/>
        <v>Electropolished Pipes Supplier in Kakinada - What We Hold in Stock</v>
      </c>
      <c r="AG61" s="15" t="str">
        <f t="shared" si="17"/>
        <v>Bulk &amp; Wholesale Electropolished Pipe Rates for Kakinada Buyers</v>
      </c>
      <c r="AH61" s="15" t="str">
        <f t="shared" si="18"/>
        <v>electropolished pipes manufacturer in Kakinada, electropolished pipes supplier in Kakinada, electropolished pipes wholesaler in Kakinada, electropolished tube manufacturer Kakinada, EP pipe supplier Kakinada, sanitary tube supplier Kakinada, ASME BPE tubing Kakinada, ASTM A270 tube Kakinada, SS 316L electropolished pipe Kakinada</v>
      </c>
      <c r="AI61" s="15" t="str">
        <f t="shared" si="19"/>
        <v>Electropolished Pipes Manufacturer &amp; Supplier in Kakinada</v>
      </c>
      <c r="AJ61" s="15" t="str">
        <f t="shared" si="20"/>
        <v>EP-finished SS 304/316L pipes and tubes for petrochemical plants in Kakinada. ASME BPE SF1-SF4, Ra from 0.25 um, EN 10204 3.1 certificate with every lot.</v>
      </c>
      <c r="AK61" s="15" t="str">
        <f t="shared" si="21"/>
        <v>Electropolished stainless steel pipes supplied by Sakshi Forge to petrochemical plants at Kakinada SEZ, Kakinada</v>
      </c>
      <c r="AL61" s="15" t="str">
        <f t="shared" si="22"/>
        <v>Electropolished SS 316L tube stock for Kakinada - Sakshi Forge</v>
      </c>
      <c r="AM61" s="15" t="str">
        <f t="shared" si="23"/>
        <v>Home &gt; Market Area &gt; India &gt; Andhra Pradesh &gt; Kakinada</v>
      </c>
      <c r="AN61" s="15">
        <f t="shared" si="24"/>
        <v>1400</v>
      </c>
      <c r="AO61" s="15">
        <f t="shared" si="25"/>
        <v>10</v>
      </c>
      <c r="AP61" s="15">
        <f t="shared" si="26"/>
        <v>12</v>
      </c>
      <c r="AQ61" s="15">
        <f t="shared" si="27"/>
        <v>1</v>
      </c>
      <c r="AR61" s="31"/>
      <c r="AS61" s="31"/>
      <c r="AT61" s="35" t="s">
        <v>222</v>
      </c>
      <c r="AU61" s="35"/>
    </row>
    <row r="62" ht="15.75" customHeight="1">
      <c r="A62" s="15" t="s">
        <v>2598</v>
      </c>
      <c r="B62" s="15" t="s">
        <v>60</v>
      </c>
      <c r="C62" s="15" t="s">
        <v>1165</v>
      </c>
      <c r="D62" s="15" t="s">
        <v>2601</v>
      </c>
      <c r="E62" s="15" t="s">
        <v>2601</v>
      </c>
      <c r="F62" s="16" t="s">
        <v>87</v>
      </c>
      <c r="G62" s="17" t="s">
        <v>88</v>
      </c>
      <c r="H62" s="18" t="s">
        <v>2606</v>
      </c>
      <c r="I62" s="18" t="s">
        <v>2607</v>
      </c>
      <c r="J62" s="18" t="s">
        <v>2609</v>
      </c>
      <c r="K62" s="18" t="s">
        <v>229</v>
      </c>
      <c r="L62" s="18" t="s">
        <v>2612</v>
      </c>
      <c r="M62" s="18" t="s">
        <v>276</v>
      </c>
      <c r="N62" s="18" t="s">
        <v>232</v>
      </c>
      <c r="O62" s="18" t="s">
        <v>98</v>
      </c>
      <c r="P62" s="15" t="str">
        <f t="shared" si="1"/>
        <v>PHARMA</v>
      </c>
      <c r="Q62" s="15">
        <f t="shared" si="2"/>
        <v>3</v>
      </c>
      <c r="R62" s="15">
        <f t="shared" si="3"/>
        <v>3</v>
      </c>
      <c r="S62" s="15">
        <f t="shared" si="4"/>
        <v>4</v>
      </c>
      <c r="T62" s="15" t="str">
        <f t="shared" si="5"/>
        <v>A-5</v>
      </c>
      <c r="U62" s="15" t="str">
        <f t="shared" si="6"/>
        <v>T3-M3-H4-FA-5-PHARMA</v>
      </c>
      <c r="V62" s="15">
        <f t="shared" si="7"/>
        <v>0</v>
      </c>
      <c r="W62" s="31"/>
      <c r="X62" s="15" t="str">
        <f t="shared" si="8"/>
        <v>kalyani</v>
      </c>
      <c r="Y62" s="32" t="str">
        <f t="shared" si="9"/>
        <v>https://steelmanufacturer.in/market-area/electropolished-pipes-manufacturer-in-kalyani/</v>
      </c>
      <c r="Z62" s="15" t="str">
        <f t="shared" si="10"/>
        <v>Electropolished Pipes Manufacturer in Kalyani | EP Tube Supplier</v>
      </c>
      <c r="AA62" s="15" t="str">
        <f t="shared" si="11"/>
        <v>OK (64)</v>
      </c>
      <c r="AB62" s="15" t="str">
        <f t="shared" si="12"/>
        <v>EP stainless tube for pharma lines in Kalyani. same-day to next-day road from our Mumbai works. ASTM A270 S2, PMI tested, EN 10204 3.1.</v>
      </c>
      <c r="AC62" s="15" t="str">
        <f t="shared" si="13"/>
        <v>OK (135)</v>
      </c>
      <c r="AD62" s="15" t="str">
        <f t="shared" si="14"/>
        <v>Electropolished Pipes Manufacturer in Kalyani</v>
      </c>
      <c r="AE62" s="15" t="str">
        <f t="shared" si="15"/>
        <v>Manufacturing Electropolished SS Tube for Kalyani: The Standards We Build To</v>
      </c>
      <c r="AF62" s="15" t="str">
        <f t="shared" si="16"/>
        <v>Electropolished Pipe Supply Into Kalyani - Certification &amp; Transit</v>
      </c>
      <c r="AG62" s="15" t="str">
        <f t="shared" si="17"/>
        <v>Electropolished Pipes Wholesaler in Kalyani - Project Quantities &amp; Terms</v>
      </c>
      <c r="AH62" s="15" t="str">
        <f t="shared" si="18"/>
        <v>electropolished pipes manufacturer in Kalyani, electropolished pipes supplier in Kalyani, electropolished pipes wholesaler in Kalyani, electropolished tube manufacturer Kalyani, EP pipe supplier Kalyani, sanitary tube supplier Kalyani, ASME BPE tubing Kalyani, ASTM A270 tube Kalyani, SS 316L electropolished pipe Kalyani</v>
      </c>
      <c r="AI62" s="15" t="str">
        <f t="shared" si="19"/>
        <v>Electropolished Pipes Manufacturer &amp; Supplier in Kalyani</v>
      </c>
      <c r="AJ62" s="15" t="str">
        <f t="shared" si="20"/>
        <v>EP-finished SS 304/316L pipes and tubes for pharma plants in Kalyani. ASME BPE SF1-SF4, Ra from 0.25 um, EN 10204 3.1 certificate with every lot.</v>
      </c>
      <c r="AK62" s="15" t="str">
        <f t="shared" si="21"/>
        <v>Electropolished stainless steel pipes supplied by Sakshi Forge to pharma plants at Kalyani Industrial Area, Kalyani</v>
      </c>
      <c r="AL62" s="15" t="str">
        <f t="shared" si="22"/>
        <v>Electropolished SS 316L tube stock for Kalyani - Sakshi Forge</v>
      </c>
      <c r="AM62" s="15" t="str">
        <f t="shared" si="23"/>
        <v>Home &gt; Market Area &gt; India &gt; West Bengal &gt; Kalyani</v>
      </c>
      <c r="AN62" s="15">
        <f t="shared" si="24"/>
        <v>1400</v>
      </c>
      <c r="AO62" s="15">
        <f t="shared" si="25"/>
        <v>10</v>
      </c>
      <c r="AP62" s="15">
        <f t="shared" si="26"/>
        <v>12</v>
      </c>
      <c r="AQ62" s="15">
        <f t="shared" si="27"/>
        <v>1</v>
      </c>
      <c r="AR62" s="31"/>
      <c r="AS62" s="31"/>
      <c r="AT62" s="35" t="s">
        <v>222</v>
      </c>
      <c r="AU62" s="35"/>
    </row>
    <row r="63" ht="15.75" customHeight="1">
      <c r="A63" s="15" t="s">
        <v>2686</v>
      </c>
      <c r="B63" s="15" t="s">
        <v>60</v>
      </c>
      <c r="C63" s="15" t="s">
        <v>85</v>
      </c>
      <c r="D63" s="15" t="s">
        <v>2690</v>
      </c>
      <c r="E63" s="15" t="s">
        <v>2690</v>
      </c>
      <c r="F63" s="16" t="s">
        <v>87</v>
      </c>
      <c r="G63" s="17" t="s">
        <v>88</v>
      </c>
      <c r="H63" s="18" t="s">
        <v>2696</v>
      </c>
      <c r="I63" s="18" t="s">
        <v>2698</v>
      </c>
      <c r="J63" s="18" t="s">
        <v>2700</v>
      </c>
      <c r="K63" s="18" t="s">
        <v>94</v>
      </c>
      <c r="L63" s="18" t="s">
        <v>2701</v>
      </c>
      <c r="M63" s="18" t="s">
        <v>276</v>
      </c>
      <c r="N63" s="18" t="s">
        <v>97</v>
      </c>
      <c r="O63" s="18" t="s">
        <v>98</v>
      </c>
      <c r="P63" s="15" t="str">
        <f t="shared" si="1"/>
        <v>FOOD</v>
      </c>
      <c r="Q63" s="15">
        <f t="shared" si="2"/>
        <v>4</v>
      </c>
      <c r="R63" s="15">
        <f t="shared" si="3"/>
        <v>4</v>
      </c>
      <c r="S63" s="15">
        <f t="shared" si="4"/>
        <v>5</v>
      </c>
      <c r="T63" s="15" t="str">
        <f t="shared" si="5"/>
        <v>A-6</v>
      </c>
      <c r="U63" s="15" t="str">
        <f t="shared" si="6"/>
        <v>T4-M4-H5-FA-6-FOOD</v>
      </c>
      <c r="V63" s="15">
        <f t="shared" si="7"/>
        <v>0</v>
      </c>
      <c r="W63" s="31"/>
      <c r="X63" s="15" t="str">
        <f t="shared" si="8"/>
        <v>kanpur</v>
      </c>
      <c r="Y63" s="32" t="str">
        <f t="shared" si="9"/>
        <v>https://steelmanufacturer.in/market-area/electropolished-pipes-manufacturer-in-kanpur/</v>
      </c>
      <c r="Z63" s="15" t="str">
        <f t="shared" si="10"/>
        <v>Electropolished Pipes Manufacturer in Kanpur</v>
      </c>
      <c r="AA63" s="15" t="str">
        <f t="shared" si="11"/>
        <v>OK (44)</v>
      </c>
      <c r="AB63" s="15" t="str">
        <f t="shared" si="12"/>
        <v>Sanitary electropolished pipes in Kanpur for food processing plants. ASME BPE SF1-SF4, orbital-weld ready, 3.1 MTC. Mumbai-made.</v>
      </c>
      <c r="AC63" s="15" t="str">
        <f t="shared" si="13"/>
        <v>OK (128)</v>
      </c>
      <c r="AD63" s="15" t="str">
        <f t="shared" si="14"/>
        <v>Electropolished Pipes Manufacturer in Kanpur</v>
      </c>
      <c r="AE63" s="15" t="str">
        <f t="shared" si="15"/>
        <v>Electropolished Tube Manufacturing Capability Serving Kanpur</v>
      </c>
      <c r="AF63" s="15" t="str">
        <f t="shared" si="16"/>
        <v>Electropolished Pipes Supplier in Kanpur - From Order to Delivery</v>
      </c>
      <c r="AG63" s="15" t="str">
        <f t="shared" si="17"/>
        <v>Stockist &amp; Wholesale Supply of Electropolished Pipes in Kanpur</v>
      </c>
      <c r="AH63" s="15" t="str">
        <f t="shared" si="18"/>
        <v>electropolished pipes manufacturer in Kanpur, electropolished pipes supplier in Kanpur, electropolished pipes wholesaler in Kanpur, electropolished tube manufacturer Kanpur, EP pipe supplier Kanpur, sanitary tube supplier Kanpur, ASME BPE tubing Kanpur, ASTM A270 tube Kanpur, SS 316L electropolished pipe Kanpur</v>
      </c>
      <c r="AI63" s="15" t="str">
        <f t="shared" si="19"/>
        <v>Electropolished Pipes Manufacturer &amp; Supplier in Kanpur</v>
      </c>
      <c r="AJ63" s="15" t="str">
        <f t="shared" si="20"/>
        <v>EP-finished SS 304/316L pipes and tubes for food processing plants in Kanpur. ASME BPE SF1-SF4, Ra from 0.25 um, EN 10204 3.1 certificate with every lot.</v>
      </c>
      <c r="AK63" s="15" t="str">
        <f t="shared" si="21"/>
        <v>Electropolished stainless steel pipes supplied by Sakshi Forge to food processing plants at Panki Industrial Area, Kanpur</v>
      </c>
      <c r="AL63" s="15" t="str">
        <f t="shared" si="22"/>
        <v>Electropolished SS 316L tube stock for Kanpur - Sakshi Forge</v>
      </c>
      <c r="AM63" s="15" t="str">
        <f t="shared" si="23"/>
        <v>Home &gt; Market Area &gt; India &gt; Uttar Pradesh &gt; Kanpur</v>
      </c>
      <c r="AN63" s="15">
        <f t="shared" si="24"/>
        <v>1400</v>
      </c>
      <c r="AO63" s="15">
        <f t="shared" si="25"/>
        <v>10</v>
      </c>
      <c r="AP63" s="15">
        <f t="shared" si="26"/>
        <v>12</v>
      </c>
      <c r="AQ63" s="15">
        <f t="shared" si="27"/>
        <v>1</v>
      </c>
      <c r="AR63" s="31"/>
      <c r="AS63" s="31"/>
      <c r="AT63" s="35" t="s">
        <v>222</v>
      </c>
      <c r="AU63" s="35"/>
    </row>
    <row r="64" ht="15.75" customHeight="1">
      <c r="A64" s="15" t="s">
        <v>2786</v>
      </c>
      <c r="B64" s="15" t="s">
        <v>60</v>
      </c>
      <c r="C64" s="15" t="s">
        <v>1139</v>
      </c>
      <c r="D64" s="15" t="s">
        <v>2788</v>
      </c>
      <c r="E64" s="15" t="s">
        <v>2788</v>
      </c>
      <c r="F64" s="16" t="s">
        <v>87</v>
      </c>
      <c r="G64" s="17" t="s">
        <v>88</v>
      </c>
      <c r="H64" s="18" t="s">
        <v>2792</v>
      </c>
      <c r="I64" s="18" t="s">
        <v>2792</v>
      </c>
      <c r="J64" s="18" t="s">
        <v>2794</v>
      </c>
      <c r="K64" s="18" t="s">
        <v>94</v>
      </c>
      <c r="L64" s="18" t="s">
        <v>2796</v>
      </c>
      <c r="M64" s="18" t="s">
        <v>96</v>
      </c>
      <c r="N64" s="18" t="s">
        <v>97</v>
      </c>
      <c r="O64" s="18" t="s">
        <v>98</v>
      </c>
      <c r="P64" s="15" t="str">
        <f t="shared" si="1"/>
        <v>FOOD</v>
      </c>
      <c r="Q64" s="15">
        <f t="shared" si="2"/>
        <v>5</v>
      </c>
      <c r="R64" s="15">
        <f t="shared" si="3"/>
        <v>5</v>
      </c>
      <c r="S64" s="15">
        <f t="shared" si="4"/>
        <v>1</v>
      </c>
      <c r="T64" s="15" t="str">
        <f t="shared" si="5"/>
        <v>A-1</v>
      </c>
      <c r="U64" s="15" t="str">
        <f t="shared" si="6"/>
        <v>T5-M5-H1-FA-1-FOOD</v>
      </c>
      <c r="V64" s="15">
        <f t="shared" si="7"/>
        <v>0</v>
      </c>
      <c r="W64" s="31"/>
      <c r="X64" s="15" t="str">
        <f t="shared" si="8"/>
        <v>kashipur</v>
      </c>
      <c r="Y64" s="32" t="str">
        <f t="shared" si="9"/>
        <v>https://steelmanufacturer.in/market-area/electropolished-pipes-manufacturer-in-kashipur/</v>
      </c>
      <c r="Z64" s="15" t="str">
        <f t="shared" si="10"/>
        <v>Electropolished Pipes Manufacturer in Kashipur</v>
      </c>
      <c r="AA64" s="15" t="str">
        <f t="shared" si="11"/>
        <v>OK (46)</v>
      </c>
      <c r="AB64" s="15" t="str">
        <f t="shared" si="12"/>
        <v>Manufacturer of electropolished SS 316L tube serving Kashipur. 1-2 day road transit from our Mumbai works. Ra 0.25-0.5 um, EN 10204 3.1 MTC.</v>
      </c>
      <c r="AC64" s="15" t="str">
        <f t="shared" si="13"/>
        <v>OK (140)</v>
      </c>
      <c r="AD64" s="15" t="str">
        <f t="shared" si="14"/>
        <v>Electropolished Pipes Manufacturer in Kashipur</v>
      </c>
      <c r="AE64" s="15" t="str">
        <f t="shared" si="15"/>
        <v>Electropolished Pipe &amp; Tube Manufacturing for Kashipur - Grades, Finishes &amp; Certification</v>
      </c>
      <c r="AF64" s="15" t="str">
        <f t="shared" si="16"/>
        <v>Electropolished Pipes Supplier in Kashipur - Stock Sizes, Lead Time &amp; Delivery</v>
      </c>
      <c r="AG64" s="15" t="str">
        <f t="shared" si="17"/>
        <v>Electropolished Pipes Wholesaler &amp; Stockist in Kashipur - Bulk &amp; Project Pricing</v>
      </c>
      <c r="AH64" s="15" t="str">
        <f t="shared" si="18"/>
        <v>electropolished pipes manufacturer in Kashipur, electropolished pipes supplier in Kashipur, electropolished pipes wholesaler in Kashipur, electropolished tube manufacturer Kashipur, EP pipe supplier Kashipur, sanitary tube supplier Kashipur, ASME BPE tubing Kashipur, ASTM A270 tube Kashipur, SS 316L electropolished pipe Kashipur</v>
      </c>
      <c r="AI64" s="15" t="str">
        <f t="shared" si="19"/>
        <v>Electropolished Pipes Manufacturer &amp; Supplier in Kashipur</v>
      </c>
      <c r="AJ64" s="15" t="str">
        <f t="shared" si="20"/>
        <v>EP-finished SS 304/316L pipes and tubes for food processing plants in Kashipur. ASME BPE SF1-SF4, Ra from 0.25 um, EN 10204 3.1 certificate with every lot.</v>
      </c>
      <c r="AK64" s="15" t="str">
        <f t="shared" si="21"/>
        <v>Electropolished stainless steel pipes supplied by Sakshi Forge to food processing plants at Kashipur SIIDCUL Industrial Area, Kashipur</v>
      </c>
      <c r="AL64" s="15" t="str">
        <f t="shared" si="22"/>
        <v>Electropolished SS 316L tube stock for Kashipur - Sakshi Forge</v>
      </c>
      <c r="AM64" s="15" t="str">
        <f t="shared" si="23"/>
        <v>Home &gt; Market Area &gt; India &gt; Uttarakhand &gt; Kashipur</v>
      </c>
      <c r="AN64" s="15">
        <f t="shared" si="24"/>
        <v>1400</v>
      </c>
      <c r="AO64" s="15">
        <f t="shared" si="25"/>
        <v>10</v>
      </c>
      <c r="AP64" s="15">
        <f t="shared" si="26"/>
        <v>12</v>
      </c>
      <c r="AQ64" s="15">
        <f t="shared" si="27"/>
        <v>2</v>
      </c>
      <c r="AR64" s="31"/>
      <c r="AS64" s="31"/>
      <c r="AT64" s="35" t="s">
        <v>222</v>
      </c>
      <c r="AU64" s="35"/>
    </row>
    <row r="65" ht="15.75" customHeight="1">
      <c r="A65" s="15" t="s">
        <v>2851</v>
      </c>
      <c r="B65" s="15" t="s">
        <v>60</v>
      </c>
      <c r="C65" s="15" t="s">
        <v>1687</v>
      </c>
      <c r="D65" s="15" t="s">
        <v>2855</v>
      </c>
      <c r="E65" s="15" t="s">
        <v>2855</v>
      </c>
      <c r="F65" s="16" t="s">
        <v>87</v>
      </c>
      <c r="G65" s="17" t="s">
        <v>88</v>
      </c>
      <c r="H65" s="18" t="s">
        <v>2858</v>
      </c>
      <c r="I65" s="18" t="s">
        <v>2859</v>
      </c>
      <c r="J65" s="18" t="s">
        <v>2860</v>
      </c>
      <c r="K65" s="18" t="s">
        <v>94</v>
      </c>
      <c r="L65" s="18" t="s">
        <v>2863</v>
      </c>
      <c r="M65" s="18" t="s">
        <v>276</v>
      </c>
      <c r="N65" s="18" t="s">
        <v>97</v>
      </c>
      <c r="O65" s="18" t="s">
        <v>98</v>
      </c>
      <c r="P65" s="15" t="str">
        <f t="shared" si="1"/>
        <v>FOOD</v>
      </c>
      <c r="Q65" s="15">
        <f t="shared" si="2"/>
        <v>6</v>
      </c>
      <c r="R65" s="15">
        <f t="shared" si="3"/>
        <v>6</v>
      </c>
      <c r="S65" s="15">
        <f t="shared" si="4"/>
        <v>2</v>
      </c>
      <c r="T65" s="15" t="str">
        <f t="shared" si="5"/>
        <v>A-2</v>
      </c>
      <c r="U65" s="15" t="str">
        <f t="shared" si="6"/>
        <v>T6-M6-H2-FA-2-FOOD</v>
      </c>
      <c r="V65" s="15">
        <f t="shared" si="7"/>
        <v>0</v>
      </c>
      <c r="W65" s="31"/>
      <c r="X65" s="15" t="str">
        <f t="shared" si="8"/>
        <v>kochi</v>
      </c>
      <c r="Y65" s="32" t="str">
        <f t="shared" si="9"/>
        <v>https://steelmanufacturer.in/market-area/electropolished-pipes-manufacturer-in-kochi/</v>
      </c>
      <c r="Z65" s="15" t="str">
        <f t="shared" si="10"/>
        <v>Electropolished Pipes Manufacturer in Kochi</v>
      </c>
      <c r="AA65" s="15" t="str">
        <f t="shared" si="11"/>
        <v>OK (43)</v>
      </c>
      <c r="AB65" s="15" t="str">
        <f t="shared" si="12"/>
        <v>EP tube and pipe for food processing plants around Kalamassery Industrial Area, Kochi. Made at our Mumbai works to ASTM A270 and ASME BPE SF1-SF4, with 3.1 MTC.</v>
      </c>
      <c r="AC65" s="15" t="str">
        <f t="shared" si="13"/>
        <v>OK (160)</v>
      </c>
      <c r="AD65" s="15" t="str">
        <f t="shared" si="14"/>
        <v>Electropolished Pipes Manufacturer in Kochi</v>
      </c>
      <c r="AE65" s="15" t="str">
        <f t="shared" si="15"/>
        <v>How We Manufacture Electropolished Tube for Kochi Plants</v>
      </c>
      <c r="AF65" s="15" t="str">
        <f t="shared" si="16"/>
        <v>Supplying Electropolished Pipes in Kochi: Availability, Sizes &amp; Dispatch</v>
      </c>
      <c r="AG65" s="15" t="str">
        <f t="shared" si="17"/>
        <v>Wholesale Electropolished Pipe Supply for Kochi Projects</v>
      </c>
      <c r="AH65" s="15" t="str">
        <f t="shared" si="18"/>
        <v>electropolished pipes manufacturer in Kochi, electropolished pipes supplier in Kochi, electropolished pipes wholesaler in Kochi, electropolished tube manufacturer Kochi, EP pipe supplier Kochi, sanitary tube supplier Kochi, ASME BPE tubing Kochi, ASTM A270 tube Kochi, SS 316L electropolished pipe Kochi</v>
      </c>
      <c r="AI65" s="15" t="str">
        <f t="shared" si="19"/>
        <v>Electropolished Pipes Manufacturer &amp; Supplier in Kochi</v>
      </c>
      <c r="AJ65" s="15" t="str">
        <f t="shared" si="20"/>
        <v>EP-finished SS 304/316L pipes and tubes for food processing plants in Kochi. ASME BPE SF1-SF4, Ra from 0.25 um, EN 10204 3.1 certificate with every lot.</v>
      </c>
      <c r="AK65" s="15" t="str">
        <f t="shared" si="21"/>
        <v>Electropolished stainless steel pipes supplied by Sakshi Forge to food processing plants at Kalamassery Industrial Area, Kochi</v>
      </c>
      <c r="AL65" s="15" t="str">
        <f t="shared" si="22"/>
        <v>Electropolished SS 316L tube stock for Kochi - Sakshi Forge</v>
      </c>
      <c r="AM65" s="15" t="str">
        <f t="shared" si="23"/>
        <v>Home &gt; Market Area &gt; India &gt; Kerala &gt; Kochi</v>
      </c>
      <c r="AN65" s="15">
        <f t="shared" si="24"/>
        <v>1400</v>
      </c>
      <c r="AO65" s="15">
        <f t="shared" si="25"/>
        <v>10</v>
      </c>
      <c r="AP65" s="15">
        <f t="shared" si="26"/>
        <v>12</v>
      </c>
      <c r="AQ65" s="15">
        <f t="shared" si="27"/>
        <v>2</v>
      </c>
      <c r="AR65" s="31"/>
      <c r="AS65" s="31"/>
      <c r="AT65" s="35" t="s">
        <v>222</v>
      </c>
      <c r="AU65" s="35"/>
    </row>
    <row r="66" ht="15.75" customHeight="1">
      <c r="A66" s="15" t="s">
        <v>2913</v>
      </c>
      <c r="B66" s="15" t="s">
        <v>60</v>
      </c>
      <c r="C66" s="15" t="s">
        <v>264</v>
      </c>
      <c r="D66" s="15" t="s">
        <v>2916</v>
      </c>
      <c r="E66" s="15" t="s">
        <v>2916</v>
      </c>
      <c r="F66" s="16" t="s">
        <v>87</v>
      </c>
      <c r="G66" s="17" t="s">
        <v>88</v>
      </c>
      <c r="H66" s="18" t="s">
        <v>2921</v>
      </c>
      <c r="I66" s="18" t="s">
        <v>2922</v>
      </c>
      <c r="J66" s="18" t="s">
        <v>2924</v>
      </c>
      <c r="K66" s="18" t="s">
        <v>579</v>
      </c>
      <c r="L66" s="18" t="s">
        <v>2927</v>
      </c>
      <c r="M66" s="18" t="s">
        <v>231</v>
      </c>
      <c r="N66" s="18" t="s">
        <v>585</v>
      </c>
      <c r="O66" s="18" t="s">
        <v>98</v>
      </c>
      <c r="P66" s="15" t="str">
        <f t="shared" si="1"/>
        <v>DAIRY</v>
      </c>
      <c r="Q66" s="15">
        <f t="shared" si="2"/>
        <v>7</v>
      </c>
      <c r="R66" s="15">
        <f t="shared" si="3"/>
        <v>7</v>
      </c>
      <c r="S66" s="15">
        <f t="shared" si="4"/>
        <v>3</v>
      </c>
      <c r="T66" s="15" t="str">
        <f t="shared" si="5"/>
        <v>A-3</v>
      </c>
      <c r="U66" s="15" t="str">
        <f t="shared" si="6"/>
        <v>T7-M7-H3-FA-3-DAIRY</v>
      </c>
      <c r="V66" s="15">
        <f t="shared" si="7"/>
        <v>0</v>
      </c>
      <c r="W66" s="31"/>
      <c r="X66" s="15" t="str">
        <f t="shared" si="8"/>
        <v>kolhapur</v>
      </c>
      <c r="Y66" s="32" t="str">
        <f t="shared" si="9"/>
        <v>https://steelmanufacturer.in/market-area/electropolished-pipes-manufacturer-in-kolhapur/</v>
      </c>
      <c r="Z66" s="15" t="str">
        <f t="shared" si="10"/>
        <v>Electropolished Pipes Manufacturer in Kolhapur | ASME BPE SF1-SF4</v>
      </c>
      <c r="AA66" s="15" t="str">
        <f t="shared" si="11"/>
        <v>OK (65)</v>
      </c>
      <c r="AB66" s="15" t="str">
        <f t="shared" si="12"/>
        <v>Electropolished pipes in Kolhapur: 304, 304L, 316 and 316L in SF1-SF4. 2-3 day road transit from our Mumbai works. Mill certified.</v>
      </c>
      <c r="AC66" s="15" t="str">
        <f t="shared" si="13"/>
        <v>OK (130)</v>
      </c>
      <c r="AD66" s="15" t="str">
        <f t="shared" si="14"/>
        <v>Electropolished Pipes Manufacturer in Kolhapur</v>
      </c>
      <c r="AE66" s="15" t="str">
        <f t="shared" si="15"/>
        <v>Electropolished Pipes Manufacturer in Kolhapur - Our Process &amp; Capability</v>
      </c>
      <c r="AF66" s="15" t="str">
        <f t="shared" si="16"/>
        <v>Electropolished Pipes Supplier in Kolhapur - What We Hold in Stock</v>
      </c>
      <c r="AG66" s="15" t="str">
        <f t="shared" si="17"/>
        <v>Bulk &amp; Wholesale Electropolished Pipe Rates for Kolhapur Buyers</v>
      </c>
      <c r="AH66" s="15" t="str">
        <f t="shared" si="18"/>
        <v>electropolished pipes manufacturer in Kolhapur, electropolished pipes supplier in Kolhapur, electropolished pipes wholesaler in Kolhapur, electropolished tube manufacturer Kolhapur, EP pipe supplier Kolhapur, sanitary tube supplier Kolhapur, ASME BPE tubing Kolhapur, ASTM A270 tube Kolhapur, SS 316L electropolished pipe Kolhapur</v>
      </c>
      <c r="AI66" s="15" t="str">
        <f t="shared" si="19"/>
        <v>Electropolished Pipes Manufacturer &amp; Supplier in Kolhapur</v>
      </c>
      <c r="AJ66" s="15" t="str">
        <f t="shared" si="20"/>
        <v>EP-finished SS 304/316L pipes and tubes for food &amp; dairy plants in Kolhapur. ASME BPE SF1-SF4, Ra from 0.25 um, EN 10204 3.1 certificate with every lot.</v>
      </c>
      <c r="AK66" s="15" t="str">
        <f t="shared" si="21"/>
        <v>Electropolished stainless steel pipes supplied by Sakshi Forge to food &amp; dairy plants at Shiroli MIDC, Kolhapur</v>
      </c>
      <c r="AL66" s="15" t="str">
        <f t="shared" si="22"/>
        <v>Electropolished SS 316L tube stock for Kolhapur - Sakshi Forge</v>
      </c>
      <c r="AM66" s="15" t="str">
        <f t="shared" si="23"/>
        <v>Home &gt; Market Area &gt; India &gt; Maharashtra &gt; Kolhapur</v>
      </c>
      <c r="AN66" s="15">
        <f t="shared" si="24"/>
        <v>1400</v>
      </c>
      <c r="AO66" s="15">
        <f t="shared" si="25"/>
        <v>10</v>
      </c>
      <c r="AP66" s="15">
        <f t="shared" si="26"/>
        <v>12</v>
      </c>
      <c r="AQ66" s="15">
        <f t="shared" si="27"/>
        <v>2</v>
      </c>
      <c r="AR66" s="31"/>
      <c r="AS66" s="31"/>
      <c r="AT66" s="35" t="s">
        <v>222</v>
      </c>
      <c r="AU66" s="35"/>
    </row>
    <row r="67" ht="15.75" customHeight="1">
      <c r="A67" s="15" t="s">
        <v>2983</v>
      </c>
      <c r="B67" s="15" t="s">
        <v>60</v>
      </c>
      <c r="C67" s="15" t="s">
        <v>1165</v>
      </c>
      <c r="D67" s="15" t="s">
        <v>2987</v>
      </c>
      <c r="E67" s="15" t="s">
        <v>2987</v>
      </c>
      <c r="F67" s="16" t="s">
        <v>87</v>
      </c>
      <c r="G67" s="17" t="s">
        <v>88</v>
      </c>
      <c r="H67" s="18" t="s">
        <v>2989</v>
      </c>
      <c r="I67" s="18" t="s">
        <v>2991</v>
      </c>
      <c r="J67" s="18" t="s">
        <v>2993</v>
      </c>
      <c r="K67" s="18" t="s">
        <v>229</v>
      </c>
      <c r="L67" s="18" t="s">
        <v>2996</v>
      </c>
      <c r="M67" s="18" t="s">
        <v>276</v>
      </c>
      <c r="N67" s="18" t="s">
        <v>232</v>
      </c>
      <c r="O67" s="18" t="s">
        <v>98</v>
      </c>
      <c r="P67" s="15" t="str">
        <f t="shared" si="1"/>
        <v>PHARMA</v>
      </c>
      <c r="Q67" s="15">
        <f t="shared" si="2"/>
        <v>8</v>
      </c>
      <c r="R67" s="15">
        <f t="shared" si="3"/>
        <v>1</v>
      </c>
      <c r="S67" s="15">
        <f t="shared" si="4"/>
        <v>4</v>
      </c>
      <c r="T67" s="15" t="str">
        <f t="shared" si="5"/>
        <v>A-4</v>
      </c>
      <c r="U67" s="15" t="str">
        <f t="shared" si="6"/>
        <v>T8-M1-H4-FA-4-PHARMA</v>
      </c>
      <c r="V67" s="15">
        <f t="shared" si="7"/>
        <v>0</v>
      </c>
      <c r="W67" s="31"/>
      <c r="X67" s="15" t="str">
        <f t="shared" si="8"/>
        <v>kolkata</v>
      </c>
      <c r="Y67" s="32" t="str">
        <f t="shared" si="9"/>
        <v>https://steelmanufacturer.in/market-area/electropolished-pipes-manufacturer-in-kolkata/</v>
      </c>
      <c r="Z67" s="15" t="str">
        <f t="shared" si="10"/>
        <v>Electropolished Pipes Manufacturer in Kolkata - EP Tube Stockist</v>
      </c>
      <c r="AA67" s="15" t="str">
        <f t="shared" si="11"/>
        <v>OK (64)</v>
      </c>
      <c r="AB67" s="15" t="str">
        <f t="shared" si="12"/>
        <v>EP-finished SS 304/316L pipes &amp; tubes for pharma plants in Kolkata. ASTM A270, ASME BPE SF1-SF4, EN 10204 3.1 MTC. PMI tested.</v>
      </c>
      <c r="AC67" s="15" t="str">
        <f t="shared" si="13"/>
        <v>OK (126)</v>
      </c>
      <c r="AD67" s="15" t="str">
        <f t="shared" si="14"/>
        <v>Electropolished Pipes Manufacturer in Kolkata</v>
      </c>
      <c r="AE67" s="15" t="str">
        <f t="shared" si="15"/>
        <v>Manufacturing Electropolished SS Tube for Kolkata: The Standards We Build To</v>
      </c>
      <c r="AF67" s="15" t="str">
        <f t="shared" si="16"/>
        <v>Electropolished Pipe Supply Into Kolkata - Certification &amp; Transit</v>
      </c>
      <c r="AG67" s="15" t="str">
        <f t="shared" si="17"/>
        <v>Electropolished Pipes Wholesaler in Kolkata - Project Quantities &amp; Terms</v>
      </c>
      <c r="AH67" s="15" t="str">
        <f t="shared" si="18"/>
        <v>electropolished pipes manufacturer in Kolkata, electropolished pipes supplier in Kolkata, electropolished pipes wholesaler in Kolkata, electropolished tube manufacturer Kolkata, EP pipe supplier Kolkata, sanitary tube supplier Kolkata, ASME BPE tubing Kolkata, ASTM A270 tube Kolkata, SS 316L electropolished pipe Kolkata</v>
      </c>
      <c r="AI67" s="15" t="str">
        <f t="shared" si="19"/>
        <v>Electropolished Pipes Manufacturer &amp; Supplier in Kolkata</v>
      </c>
      <c r="AJ67" s="15" t="str">
        <f t="shared" si="20"/>
        <v>EP-finished SS 304/316L pipes and tubes for pharma plants in Kolkata. ASME BPE SF1-SF4, Ra from 0.25 um, EN 10204 3.1 certificate with every lot.</v>
      </c>
      <c r="AK67" s="15" t="str">
        <f t="shared" si="21"/>
        <v>Electropolished stainless steel pipes supplied by Sakshi Forge to pharma plants at Taratala Industrial Area, Kolkata</v>
      </c>
      <c r="AL67" s="15" t="str">
        <f t="shared" si="22"/>
        <v>Electropolished SS 316L tube stock for Kolkata - Sakshi Forge</v>
      </c>
      <c r="AM67" s="15" t="str">
        <f t="shared" si="23"/>
        <v>Home &gt; Market Area &gt; India &gt; West Bengal &gt; Kolkata</v>
      </c>
      <c r="AN67" s="15">
        <f t="shared" si="24"/>
        <v>1400</v>
      </c>
      <c r="AO67" s="15">
        <f t="shared" si="25"/>
        <v>10</v>
      </c>
      <c r="AP67" s="15">
        <f t="shared" si="26"/>
        <v>12</v>
      </c>
      <c r="AQ67" s="15">
        <f t="shared" si="27"/>
        <v>2</v>
      </c>
      <c r="AR67" s="31"/>
      <c r="AS67" s="31"/>
      <c r="AT67" s="35" t="s">
        <v>222</v>
      </c>
      <c r="AU67" s="35"/>
    </row>
    <row r="68" ht="15.75" customHeight="1">
      <c r="A68" s="15" t="s">
        <v>3047</v>
      </c>
      <c r="B68" s="15" t="s">
        <v>60</v>
      </c>
      <c r="C68" s="15" t="s">
        <v>1687</v>
      </c>
      <c r="D68" s="15" t="s">
        <v>3048</v>
      </c>
      <c r="E68" s="15" t="s">
        <v>3048</v>
      </c>
      <c r="F68" s="16" t="s">
        <v>87</v>
      </c>
      <c r="G68" s="17" t="s">
        <v>88</v>
      </c>
      <c r="H68" s="18" t="s">
        <v>3051</v>
      </c>
      <c r="I68" s="18" t="s">
        <v>3054</v>
      </c>
      <c r="J68" s="18" t="s">
        <v>3055</v>
      </c>
      <c r="K68" s="18" t="s">
        <v>94</v>
      </c>
      <c r="L68" s="18" t="s">
        <v>3056</v>
      </c>
      <c r="M68" s="18" t="s">
        <v>96</v>
      </c>
      <c r="N68" s="18" t="s">
        <v>97</v>
      </c>
      <c r="O68" s="18" t="s">
        <v>98</v>
      </c>
      <c r="P68" s="15" t="str">
        <f t="shared" si="1"/>
        <v>FOOD</v>
      </c>
      <c r="Q68" s="15">
        <f t="shared" si="2"/>
        <v>1</v>
      </c>
      <c r="R68" s="15">
        <f t="shared" si="3"/>
        <v>2</v>
      </c>
      <c r="S68" s="15">
        <f t="shared" si="4"/>
        <v>5</v>
      </c>
      <c r="T68" s="15" t="str">
        <f t="shared" si="5"/>
        <v>A-5</v>
      </c>
      <c r="U68" s="15" t="str">
        <f t="shared" si="6"/>
        <v>T1-M2-H5-FA-5-FOOD</v>
      </c>
      <c r="V68" s="15">
        <f t="shared" si="7"/>
        <v>0</v>
      </c>
      <c r="W68" s="31"/>
      <c r="X68" s="15" t="str">
        <f t="shared" si="8"/>
        <v>kozhikode</v>
      </c>
      <c r="Y68" s="32" t="str">
        <f t="shared" si="9"/>
        <v>https://steelmanufacturer.in/market-area/electropolished-pipes-manufacturer-in-kozhikode/</v>
      </c>
      <c r="Z68" s="15" t="str">
        <f t="shared" si="10"/>
        <v>Electropolished Pipes Manufacturer in Kozhikode | Sakshi Forge</v>
      </c>
      <c r="AA68" s="15" t="str">
        <f t="shared" si="11"/>
        <v>OK (62)</v>
      </c>
      <c r="AB68" s="15" t="str">
        <f t="shared" si="12"/>
        <v>Electropolished tube supply to KINFRA Park Kakkanchery, Kozhikode. Ra from 0.25 um, SF4 finish, mill test certificate with every lot.</v>
      </c>
      <c r="AC68" s="15" t="str">
        <f t="shared" si="13"/>
        <v>OK (133)</v>
      </c>
      <c r="AD68" s="15" t="str">
        <f t="shared" si="14"/>
        <v>Electropolished Pipes Manufacturer in Kozhikode</v>
      </c>
      <c r="AE68" s="15" t="str">
        <f t="shared" si="15"/>
        <v>Electropolished Tube Manufacturing Capability Serving Kozhikode</v>
      </c>
      <c r="AF68" s="15" t="str">
        <f t="shared" si="16"/>
        <v>Electropolished Pipes Supplier in Kozhikode - From Order to Delivery</v>
      </c>
      <c r="AG68" s="15" t="str">
        <f t="shared" si="17"/>
        <v>Stockist &amp; Wholesale Supply of Electropolished Pipes in Kozhikode</v>
      </c>
      <c r="AH68" s="15" t="str">
        <f t="shared" si="18"/>
        <v>electropolished pipes manufacturer in Kozhikode, electropolished pipes supplier in Kozhikode, electropolished pipes wholesaler in Kozhikode, electropolished tube manufacturer Kozhikode, EP pipe supplier Kozhikode, sanitary tube supplier Kozhikode, ASME BPE tubing Kozhikode, ASTM A270 tube Kozhikode, SS 316L electropolished pipe Kozhikode</v>
      </c>
      <c r="AI68" s="15" t="str">
        <f t="shared" si="19"/>
        <v>Electropolished Pipes Manufacturer &amp; Supplier in Kozhikode</v>
      </c>
      <c r="AJ68" s="15" t="str">
        <f t="shared" si="20"/>
        <v>EP-finished SS 304/316L pipes and tubes for food processing plants in Kozhikode. ASME BPE SF1-SF4, Ra from 0.25 um, EN 10204 3.1 certificate with every lot.</v>
      </c>
      <c r="AK68" s="15" t="str">
        <f t="shared" si="21"/>
        <v>Electropolished stainless steel pipes supplied by Sakshi Forge to food processing plants at KINFRA Park Kakkanchery, Kozhikode</v>
      </c>
      <c r="AL68" s="15" t="str">
        <f t="shared" si="22"/>
        <v>Electropolished SS 316L tube stock for Kozhikode - Sakshi Forge</v>
      </c>
      <c r="AM68" s="15" t="str">
        <f t="shared" si="23"/>
        <v>Home &gt; Market Area &gt; India &gt; Kerala &gt; Kozhikode</v>
      </c>
      <c r="AN68" s="15">
        <f t="shared" si="24"/>
        <v>1400</v>
      </c>
      <c r="AO68" s="15">
        <f t="shared" si="25"/>
        <v>10</v>
      </c>
      <c r="AP68" s="15">
        <f t="shared" si="26"/>
        <v>12</v>
      </c>
      <c r="AQ68" s="15">
        <f t="shared" si="27"/>
        <v>2</v>
      </c>
      <c r="AR68" s="31"/>
      <c r="AS68" s="31"/>
      <c r="AT68" s="35" t="s">
        <v>222</v>
      </c>
      <c r="AU68" s="35"/>
    </row>
    <row r="69" ht="15.75" customHeight="1">
      <c r="A69" s="15" t="s">
        <v>3088</v>
      </c>
      <c r="B69" s="15" t="s">
        <v>60</v>
      </c>
      <c r="C69" s="15" t="s">
        <v>224</v>
      </c>
      <c r="D69" s="15" t="s">
        <v>3091</v>
      </c>
      <c r="E69" s="15" t="s">
        <v>3091</v>
      </c>
      <c r="F69" s="16" t="s">
        <v>87</v>
      </c>
      <c r="G69" s="17" t="s">
        <v>88</v>
      </c>
      <c r="H69" s="18" t="s">
        <v>3095</v>
      </c>
      <c r="I69" s="18" t="s">
        <v>3096</v>
      </c>
      <c r="J69" s="18" t="s">
        <v>3097</v>
      </c>
      <c r="K69" s="18" t="s">
        <v>271</v>
      </c>
      <c r="L69" s="18" t="s">
        <v>3102</v>
      </c>
      <c r="M69" s="18" t="s">
        <v>276</v>
      </c>
      <c r="N69" s="18" t="s">
        <v>277</v>
      </c>
      <c r="O69" s="18" t="s">
        <v>98</v>
      </c>
      <c r="P69" s="15" t="str">
        <f t="shared" si="1"/>
        <v>CHEM</v>
      </c>
      <c r="Q69" s="15">
        <f t="shared" si="2"/>
        <v>2</v>
      </c>
      <c r="R69" s="15">
        <f t="shared" si="3"/>
        <v>3</v>
      </c>
      <c r="S69" s="15">
        <f t="shared" si="4"/>
        <v>1</v>
      </c>
      <c r="T69" s="15" t="str">
        <f t="shared" si="5"/>
        <v>A-6</v>
      </c>
      <c r="U69" s="15" t="str">
        <f t="shared" si="6"/>
        <v>T2-M3-H1-FA-6-CHEM</v>
      </c>
      <c r="V69" s="15">
        <f t="shared" si="7"/>
        <v>0</v>
      </c>
      <c r="W69" s="31"/>
      <c r="X69" s="15" t="str">
        <f t="shared" si="8"/>
        <v>kutch-bhuj</v>
      </c>
      <c r="Y69" s="32" t="str">
        <f t="shared" si="9"/>
        <v>https://steelmanufacturer.in/market-area/electropolished-pipes-manufacturer-in-kutch-bhuj/</v>
      </c>
      <c r="Z69" s="15" t="str">
        <f t="shared" si="10"/>
        <v>Electropolished Pipes Manufacturer in Kutch-Bhuj</v>
      </c>
      <c r="AA69" s="15" t="str">
        <f t="shared" si="11"/>
        <v>OK (48)</v>
      </c>
      <c r="AB69" s="15" t="str">
        <f t="shared" si="12"/>
        <v>EP stainless tube for chemical lines in Kutch-Bhuj. same-day to next-day road from our Mumbai works. ASTM A270 S2, PMI tested, EN 10204 3.1.</v>
      </c>
      <c r="AC69" s="15" t="str">
        <f t="shared" si="13"/>
        <v>OK (140)</v>
      </c>
      <c r="AD69" s="15" t="str">
        <f t="shared" si="14"/>
        <v>Electropolished Pipes Manufacturer in Kutch-Bhuj</v>
      </c>
      <c r="AE69" s="15" t="str">
        <f t="shared" si="15"/>
        <v>Electropolished Pipe &amp; Tube Manufacturing for Kutch-Bhuj - Grades, Finishes &amp; Certification</v>
      </c>
      <c r="AF69" s="15" t="str">
        <f t="shared" si="16"/>
        <v>Electropolished Pipes Supplier in Kutch-Bhuj - Stock Sizes, Lead Time &amp; Delivery</v>
      </c>
      <c r="AG69" s="15" t="str">
        <f t="shared" si="17"/>
        <v>Electropolished Pipes Wholesaler &amp; Stockist in Kutch-Bhuj - Bulk &amp; Project Pricing</v>
      </c>
      <c r="AH69" s="15" t="str">
        <f t="shared" si="18"/>
        <v>electropolished pipes manufacturer in Kutch-Bhuj, electropolished pipes supplier in Kutch-Bhuj, electropolished pipes wholesaler in Kutch-Bhuj, electropolished tube manufacturer Kutch-Bhuj, EP pipe supplier Kutch-Bhuj, sanitary tube supplier Kutch-Bhuj, ASME BPE tubing Kutch-Bhuj, ASTM A270 tube Kutch-Bhuj, SS 316L electropolished pipe Kutch-Bhuj</v>
      </c>
      <c r="AI69" s="15" t="str">
        <f t="shared" si="19"/>
        <v>Electropolished Pipes Manufacturer &amp; Supplier in Kutch-Bhuj</v>
      </c>
      <c r="AJ69" s="15" t="str">
        <f t="shared" si="20"/>
        <v>EP-finished SS 304/316L pipes and tubes for chemical plants in Kutch-Bhuj. ASME BPE SF1-SF4, Ra from 0.25 um, EN 10204 3.1 certificate with every lot.</v>
      </c>
      <c r="AK69" s="15" t="str">
        <f t="shared" si="21"/>
        <v>Electropolished stainless steel pipes supplied by Sakshi Forge to chemical plants at Anjar GIDC, Kutch-Bhuj</v>
      </c>
      <c r="AL69" s="15" t="str">
        <f t="shared" si="22"/>
        <v>Electropolished SS 316L tube stock for Kutch-Bhuj - Sakshi Forge</v>
      </c>
      <c r="AM69" s="15" t="str">
        <f t="shared" si="23"/>
        <v>Home &gt; Market Area &gt; India &gt; Gujarat &gt; Kutch-Bhuj</v>
      </c>
      <c r="AN69" s="15">
        <f t="shared" si="24"/>
        <v>1400</v>
      </c>
      <c r="AO69" s="15">
        <f t="shared" si="25"/>
        <v>10</v>
      </c>
      <c r="AP69" s="15">
        <f t="shared" si="26"/>
        <v>12</v>
      </c>
      <c r="AQ69" s="15">
        <f t="shared" si="27"/>
        <v>2</v>
      </c>
      <c r="AR69" s="31"/>
      <c r="AS69" s="31"/>
      <c r="AT69" s="35" t="s">
        <v>222</v>
      </c>
      <c r="AU69" s="35"/>
    </row>
    <row r="70" ht="15.75" customHeight="1">
      <c r="A70" s="15" t="s">
        <v>3200</v>
      </c>
      <c r="B70" s="15" t="s">
        <v>60</v>
      </c>
      <c r="C70" s="15" t="s">
        <v>264</v>
      </c>
      <c r="D70" s="15" t="s">
        <v>3203</v>
      </c>
      <c r="E70" s="15" t="s">
        <v>3203</v>
      </c>
      <c r="F70" s="16" t="s">
        <v>87</v>
      </c>
      <c r="G70" s="17" t="s">
        <v>88</v>
      </c>
      <c r="H70" s="18" t="s">
        <v>3207</v>
      </c>
      <c r="I70" s="18" t="s">
        <v>3207</v>
      </c>
      <c r="J70" s="18" t="s">
        <v>3209</v>
      </c>
      <c r="K70" s="18" t="s">
        <v>436</v>
      </c>
      <c r="L70" s="18" t="s">
        <v>3212</v>
      </c>
      <c r="M70" s="18" t="s">
        <v>96</v>
      </c>
      <c r="N70" s="18" t="s">
        <v>232</v>
      </c>
      <c r="O70" s="18" t="s">
        <v>98</v>
      </c>
      <c r="P70" s="15" t="str">
        <f t="shared" si="1"/>
        <v>PHARMA</v>
      </c>
      <c r="Q70" s="15">
        <f t="shared" si="2"/>
        <v>3</v>
      </c>
      <c r="R70" s="15">
        <f t="shared" si="3"/>
        <v>4</v>
      </c>
      <c r="S70" s="15">
        <f t="shared" si="4"/>
        <v>2</v>
      </c>
      <c r="T70" s="15" t="str">
        <f t="shared" si="5"/>
        <v>A-1</v>
      </c>
      <c r="U70" s="15" t="str">
        <f t="shared" si="6"/>
        <v>T3-M4-H2-FA-1-PHARMA</v>
      </c>
      <c r="V70" s="15">
        <f t="shared" si="7"/>
        <v>0</v>
      </c>
      <c r="W70" s="31"/>
      <c r="X70" s="15" t="str">
        <f t="shared" si="8"/>
        <v>lote-parshuram</v>
      </c>
      <c r="Y70" s="32" t="str">
        <f t="shared" si="9"/>
        <v>https://steelmanufacturer.in/market-area/electropolished-pipes-manufacturer-in-lote-parshuram/</v>
      </c>
      <c r="Z70" s="15" t="str">
        <f t="shared" si="10"/>
        <v>Electropolished Pipes Manufacturer in Lote Parshuram</v>
      </c>
      <c r="AA70" s="15" t="str">
        <f t="shared" si="11"/>
        <v>OK (52)</v>
      </c>
      <c r="AB70" s="15" t="str">
        <f t="shared" si="12"/>
        <v>Sanitary electropolished pipes in Lote Parshuram for pharma &amp; API plants. ASME BPE SF1-SF4, orbital-weld ready, 3.1 MTC. Mumbai-made.</v>
      </c>
      <c r="AC70" s="15" t="str">
        <f t="shared" si="13"/>
        <v>OK (133)</v>
      </c>
      <c r="AD70" s="15" t="str">
        <f t="shared" si="14"/>
        <v>Electropolished Pipes Manufacturer in Lote Parshuram</v>
      </c>
      <c r="AE70" s="15" t="str">
        <f t="shared" si="15"/>
        <v>How We Manufacture Electropolished Tube for Lote Parshuram Plants</v>
      </c>
      <c r="AF70" s="15" t="str">
        <f t="shared" si="16"/>
        <v>Supplying Electropolished Pipes in Lote Parshuram: Availability, Sizes &amp; Dispatch</v>
      </c>
      <c r="AG70" s="15" t="str">
        <f t="shared" si="17"/>
        <v>Wholesale Electropolished Pipe Supply for Lote Parshuram Projects</v>
      </c>
      <c r="AH70" s="15" t="str">
        <f t="shared" si="18"/>
        <v>electropolished pipes manufacturer in Lote Parshuram, electropolished pipes supplier in Lote Parshuram, electropolished pipes wholesaler in Lote Parshuram, electropolished tube manufacturer Lote Parshuram, EP pipe supplier Lote Parshuram, sanitary tube supplier Lote Parshuram, ASME BPE tubing Lote Parshuram, ASTM A270 tube Lote Parshuram, SS 316L electropolished pipe Lote Parshuram</v>
      </c>
      <c r="AI70" s="15" t="str">
        <f t="shared" si="19"/>
        <v>Electropolished Pipes Manufacturer &amp; Supplier in Lote Parshuram</v>
      </c>
      <c r="AJ70" s="15" t="str">
        <f t="shared" si="20"/>
        <v>EP-finished SS 304/316L pipes and tubes for pharma &amp; API plants in Lote Parshuram. ASME BPE SF1-SF4, Ra from 0.25 um, EN 10204 3.1 certificate with every lot.</v>
      </c>
      <c r="AK70" s="15" t="str">
        <f t="shared" si="21"/>
        <v>Electropolished stainless steel pipes supplied by Sakshi Forge to pharma &amp; API plants at Lote Parshuram MIDC (Khed), Lote Parshuram</v>
      </c>
      <c r="AL70" s="15" t="str">
        <f t="shared" si="22"/>
        <v>Electropolished SS 316L tube stock for Lote Parshuram - Sakshi Forge</v>
      </c>
      <c r="AM70" s="15" t="str">
        <f t="shared" si="23"/>
        <v>Home &gt; Market Area &gt; India &gt; Maharashtra &gt; Lote Parshuram</v>
      </c>
      <c r="AN70" s="15">
        <f t="shared" si="24"/>
        <v>1400</v>
      </c>
      <c r="AO70" s="15">
        <f t="shared" si="25"/>
        <v>10</v>
      </c>
      <c r="AP70" s="15">
        <f t="shared" si="26"/>
        <v>12</v>
      </c>
      <c r="AQ70" s="15">
        <f t="shared" si="27"/>
        <v>2</v>
      </c>
      <c r="AR70" s="31"/>
      <c r="AS70" s="31"/>
      <c r="AT70" s="35" t="s">
        <v>222</v>
      </c>
      <c r="AU70" s="35"/>
    </row>
    <row r="71" ht="15.75" customHeight="1">
      <c r="A71" s="15" t="s">
        <v>3258</v>
      </c>
      <c r="B71" s="15" t="s">
        <v>60</v>
      </c>
      <c r="C71" s="15" t="s">
        <v>85</v>
      </c>
      <c r="D71" s="15" t="s">
        <v>3259</v>
      </c>
      <c r="E71" s="15" t="s">
        <v>3259</v>
      </c>
      <c r="F71" s="16" t="s">
        <v>87</v>
      </c>
      <c r="G71" s="17" t="s">
        <v>88</v>
      </c>
      <c r="H71" s="18" t="s">
        <v>3261</v>
      </c>
      <c r="I71" s="18" t="s">
        <v>3262</v>
      </c>
      <c r="J71" s="18" t="s">
        <v>3263</v>
      </c>
      <c r="K71" s="18" t="s">
        <v>229</v>
      </c>
      <c r="L71" s="18" t="s">
        <v>3265</v>
      </c>
      <c r="M71" s="18" t="s">
        <v>96</v>
      </c>
      <c r="N71" s="18" t="s">
        <v>232</v>
      </c>
      <c r="O71" s="18" t="s">
        <v>98</v>
      </c>
      <c r="P71" s="15" t="str">
        <f t="shared" si="1"/>
        <v>PHARMA</v>
      </c>
      <c r="Q71" s="15">
        <f t="shared" si="2"/>
        <v>4</v>
      </c>
      <c r="R71" s="15">
        <f t="shared" si="3"/>
        <v>5</v>
      </c>
      <c r="S71" s="15">
        <f t="shared" si="4"/>
        <v>3</v>
      </c>
      <c r="T71" s="15" t="str">
        <f t="shared" si="5"/>
        <v>A-2</v>
      </c>
      <c r="U71" s="15" t="str">
        <f t="shared" si="6"/>
        <v>T4-M5-H3-FA-2-PHARMA</v>
      </c>
      <c r="V71" s="15">
        <f t="shared" si="7"/>
        <v>0</v>
      </c>
      <c r="W71" s="31"/>
      <c r="X71" s="15" t="str">
        <f t="shared" si="8"/>
        <v>lucknow</v>
      </c>
      <c r="Y71" s="32" t="str">
        <f t="shared" si="9"/>
        <v>https://steelmanufacturer.in/market-area/electropolished-pipes-manufacturer-in-lucknow/</v>
      </c>
      <c r="Z71" s="15" t="str">
        <f t="shared" si="10"/>
        <v>Electropolished Pipes Manufacturer in Lucknow</v>
      </c>
      <c r="AA71" s="15" t="str">
        <f t="shared" si="11"/>
        <v>OK (45)</v>
      </c>
      <c r="AB71" s="15" t="str">
        <f t="shared" si="12"/>
        <v>Manufacturer of electropolished SS 316L tube serving Lucknow. 1-2 day road transit from our Mumbai works. Ra 0.25-0.5 um, EN 10204 3.1 MTC.</v>
      </c>
      <c r="AC71" s="15" t="str">
        <f t="shared" si="13"/>
        <v>OK (139)</v>
      </c>
      <c r="AD71" s="15" t="str">
        <f t="shared" si="14"/>
        <v>Electropolished Pipes Manufacturer in Lucknow</v>
      </c>
      <c r="AE71" s="15" t="str">
        <f t="shared" si="15"/>
        <v>Electropolished Pipes Manufacturer in Lucknow - Our Process &amp; Capability</v>
      </c>
      <c r="AF71" s="15" t="str">
        <f t="shared" si="16"/>
        <v>Electropolished Pipes Supplier in Lucknow - What We Hold in Stock</v>
      </c>
      <c r="AG71" s="15" t="str">
        <f t="shared" si="17"/>
        <v>Bulk &amp; Wholesale Electropolished Pipe Rates for Lucknow Buyers</v>
      </c>
      <c r="AH71" s="15" t="str">
        <f t="shared" si="18"/>
        <v>electropolished pipes manufacturer in Lucknow, electropolished pipes supplier in Lucknow, electropolished pipes wholesaler in Lucknow, electropolished tube manufacturer Lucknow, EP pipe supplier Lucknow, sanitary tube supplier Lucknow, ASME BPE tubing Lucknow, ASTM A270 tube Lucknow, SS 316L electropolished pipe Lucknow</v>
      </c>
      <c r="AI71" s="15" t="str">
        <f t="shared" si="19"/>
        <v>Electropolished Pipes Manufacturer &amp; Supplier in Lucknow</v>
      </c>
      <c r="AJ71" s="15" t="str">
        <f t="shared" si="20"/>
        <v>EP-finished SS 304/316L pipes and tubes for pharma plants in Lucknow. ASME BPE SF1-SF4, Ra from 0.25 um, EN 10204 3.1 certificate with every lot.</v>
      </c>
      <c r="AK71" s="15" t="str">
        <f t="shared" si="21"/>
        <v>Electropolished stainless steel pipes supplied by Sakshi Forge to pharma plants at Amausi Industrial Area, Lucknow</v>
      </c>
      <c r="AL71" s="15" t="str">
        <f t="shared" si="22"/>
        <v>Electropolished SS 316L tube stock for Lucknow - Sakshi Forge</v>
      </c>
      <c r="AM71" s="15" t="str">
        <f t="shared" si="23"/>
        <v>Home &gt; Market Area &gt; India &gt; Uttar Pradesh &gt; Lucknow</v>
      </c>
      <c r="AN71" s="15">
        <f t="shared" si="24"/>
        <v>1400</v>
      </c>
      <c r="AO71" s="15">
        <f t="shared" si="25"/>
        <v>10</v>
      </c>
      <c r="AP71" s="15">
        <f t="shared" si="26"/>
        <v>12</v>
      </c>
      <c r="AQ71" s="15">
        <f t="shared" si="27"/>
        <v>2</v>
      </c>
      <c r="AR71" s="31"/>
      <c r="AS71" s="31"/>
      <c r="AT71" s="35" t="s">
        <v>222</v>
      </c>
      <c r="AU71" s="35"/>
    </row>
    <row r="72" ht="15.75" customHeight="1">
      <c r="A72" s="15" t="s">
        <v>3284</v>
      </c>
      <c r="B72" s="15" t="s">
        <v>60</v>
      </c>
      <c r="C72" s="15" t="s">
        <v>354</v>
      </c>
      <c r="D72" s="15" t="s">
        <v>3285</v>
      </c>
      <c r="E72" s="15" t="s">
        <v>3285</v>
      </c>
      <c r="F72" s="16" t="s">
        <v>87</v>
      </c>
      <c r="G72" s="17" t="s">
        <v>88</v>
      </c>
      <c r="H72" s="18" t="s">
        <v>3287</v>
      </c>
      <c r="I72" s="18" t="s">
        <v>3287</v>
      </c>
      <c r="J72" s="18" t="s">
        <v>3288</v>
      </c>
      <c r="K72" s="18" t="s">
        <v>579</v>
      </c>
      <c r="L72" s="18" t="s">
        <v>3290</v>
      </c>
      <c r="M72" s="18" t="s">
        <v>276</v>
      </c>
      <c r="N72" s="18" t="s">
        <v>585</v>
      </c>
      <c r="O72" s="18" t="s">
        <v>98</v>
      </c>
      <c r="P72" s="15" t="str">
        <f t="shared" si="1"/>
        <v>DAIRY</v>
      </c>
      <c r="Q72" s="15">
        <f t="shared" si="2"/>
        <v>5</v>
      </c>
      <c r="R72" s="15">
        <f t="shared" si="3"/>
        <v>6</v>
      </c>
      <c r="S72" s="15">
        <f t="shared" si="4"/>
        <v>4</v>
      </c>
      <c r="T72" s="15" t="str">
        <f t="shared" si="5"/>
        <v>A-3</v>
      </c>
      <c r="U72" s="15" t="str">
        <f t="shared" si="6"/>
        <v>T5-M6-H4-FA-3-DAIRY</v>
      </c>
      <c r="V72" s="15">
        <f t="shared" si="7"/>
        <v>0</v>
      </c>
      <c r="W72" s="31"/>
      <c r="X72" s="15" t="str">
        <f t="shared" si="8"/>
        <v>ludhiana</v>
      </c>
      <c r="Y72" s="32" t="str">
        <f t="shared" si="9"/>
        <v>https://steelmanufacturer.in/market-area/electropolished-pipes-manufacturer-in-ludhiana/</v>
      </c>
      <c r="Z72" s="15" t="str">
        <f t="shared" si="10"/>
        <v>Electropolished Pipes Manufacturer in Ludhiana</v>
      </c>
      <c r="AA72" s="15" t="str">
        <f t="shared" si="11"/>
        <v>OK (46)</v>
      </c>
      <c r="AB72" s="15" t="str">
        <f t="shared" si="12"/>
        <v>EP tube and pipe for food &amp; dairy plants around Focal Point Ludhiana Phase I-VIII, Ludhiana. ASTM A270, ASME BPE SF1-SF4, EN 10204 3.1 MTC.</v>
      </c>
      <c r="AC72" s="15" t="str">
        <f t="shared" si="13"/>
        <v>OK (139)</v>
      </c>
      <c r="AD72" s="15" t="str">
        <f t="shared" si="14"/>
        <v>Electropolished Pipes Manufacturer in Ludhiana</v>
      </c>
      <c r="AE72" s="15" t="str">
        <f t="shared" si="15"/>
        <v>Manufacturing Electropolished SS Tube for Ludhiana: The Standards We Build To</v>
      </c>
      <c r="AF72" s="15" t="str">
        <f t="shared" si="16"/>
        <v>Electropolished Pipe Supply Into Ludhiana - Certification &amp; Transit</v>
      </c>
      <c r="AG72" s="15" t="str">
        <f t="shared" si="17"/>
        <v>Electropolished Pipes Wholesaler in Ludhiana - Project Quantities &amp; Terms</v>
      </c>
      <c r="AH72" s="15" t="str">
        <f t="shared" si="18"/>
        <v>electropolished pipes manufacturer in Ludhiana, electropolished pipes supplier in Ludhiana, electropolished pipes wholesaler in Ludhiana, electropolished tube manufacturer Ludhiana, EP pipe supplier Ludhiana, sanitary tube supplier Ludhiana, ASME BPE tubing Ludhiana, ASTM A270 tube Ludhiana, SS 316L electropolished pipe Ludhiana</v>
      </c>
      <c r="AI72" s="15" t="str">
        <f t="shared" si="19"/>
        <v>Electropolished Pipes Manufacturer &amp; Supplier in Ludhiana</v>
      </c>
      <c r="AJ72" s="15" t="str">
        <f t="shared" si="20"/>
        <v>EP-finished SS 304/316L pipes and tubes for food &amp; dairy plants in Ludhiana. ASME BPE SF1-SF4, Ra from 0.25 um, EN 10204 3.1 certificate with every lot.</v>
      </c>
      <c r="AK72" s="15" t="str">
        <f t="shared" si="21"/>
        <v>Electropolished stainless steel pipes supplied by Sakshi Forge to food &amp; dairy plants at Focal Point Ludhiana Phase I-VIII, Ludhiana</v>
      </c>
      <c r="AL72" s="15" t="str">
        <f t="shared" si="22"/>
        <v>Electropolished SS 316L tube stock for Ludhiana - Sakshi Forge</v>
      </c>
      <c r="AM72" s="15" t="str">
        <f t="shared" si="23"/>
        <v>Home &gt; Market Area &gt; India &gt; Punjab &gt; Ludhiana</v>
      </c>
      <c r="AN72" s="15">
        <f t="shared" si="24"/>
        <v>1400</v>
      </c>
      <c r="AO72" s="15">
        <f t="shared" si="25"/>
        <v>10</v>
      </c>
      <c r="AP72" s="15">
        <f t="shared" si="26"/>
        <v>12</v>
      </c>
      <c r="AQ72" s="15">
        <f t="shared" si="27"/>
        <v>2</v>
      </c>
      <c r="AR72" s="31"/>
      <c r="AS72" s="31"/>
      <c r="AT72" s="35" t="s">
        <v>222</v>
      </c>
      <c r="AU72" s="35"/>
    </row>
    <row r="73" ht="15.75" customHeight="1">
      <c r="A73" s="15" t="s">
        <v>3309</v>
      </c>
      <c r="B73" s="15" t="s">
        <v>60</v>
      </c>
      <c r="C73" s="15" t="s">
        <v>958</v>
      </c>
      <c r="D73" s="15" t="s">
        <v>3310</v>
      </c>
      <c r="E73" s="15" t="s">
        <v>3310</v>
      </c>
      <c r="F73" s="16" t="s">
        <v>87</v>
      </c>
      <c r="G73" s="17" t="s">
        <v>88</v>
      </c>
      <c r="H73" s="18" t="s">
        <v>3312</v>
      </c>
      <c r="I73" s="18" t="s">
        <v>3313</v>
      </c>
      <c r="J73" s="18" t="s">
        <v>3314</v>
      </c>
      <c r="K73" s="18" t="s">
        <v>94</v>
      </c>
      <c r="L73" s="18" t="s">
        <v>3316</v>
      </c>
      <c r="M73" s="18" t="s">
        <v>96</v>
      </c>
      <c r="N73" s="18" t="s">
        <v>97</v>
      </c>
      <c r="O73" s="18" t="s">
        <v>98</v>
      </c>
      <c r="P73" s="15" t="str">
        <f t="shared" si="1"/>
        <v>FOOD</v>
      </c>
      <c r="Q73" s="15">
        <f t="shared" si="2"/>
        <v>6</v>
      </c>
      <c r="R73" s="15">
        <f t="shared" si="3"/>
        <v>7</v>
      </c>
      <c r="S73" s="15">
        <f t="shared" si="4"/>
        <v>5</v>
      </c>
      <c r="T73" s="15" t="str">
        <f t="shared" si="5"/>
        <v>A-4</v>
      </c>
      <c r="U73" s="15" t="str">
        <f t="shared" si="6"/>
        <v>T6-M7-H5-FA-4-FOOD</v>
      </c>
      <c r="V73" s="15">
        <f t="shared" si="7"/>
        <v>0</v>
      </c>
      <c r="W73" s="31"/>
      <c r="X73" s="15" t="str">
        <f t="shared" si="8"/>
        <v>madurai</v>
      </c>
      <c r="Y73" s="32" t="str">
        <f t="shared" si="9"/>
        <v>https://steelmanufacturer.in/market-area/electropolished-pipes-manufacturer-in-madurai/</v>
      </c>
      <c r="Z73" s="15" t="str">
        <f t="shared" si="10"/>
        <v>Electropolished Pipes Manufacturer in Madurai</v>
      </c>
      <c r="AA73" s="15" t="str">
        <f t="shared" si="11"/>
        <v>OK (45)</v>
      </c>
      <c r="AB73" s="15" t="str">
        <f t="shared" si="12"/>
        <v>Electropolished pipes in Madurai: 304, 304L, 316 and 316L in SF1-SF4. 1-2 day road transit from our Mumbai works. Mill certified.</v>
      </c>
      <c r="AC73" s="15" t="str">
        <f t="shared" si="13"/>
        <v>OK (129)</v>
      </c>
      <c r="AD73" s="15" t="str">
        <f t="shared" si="14"/>
        <v>Electropolished Pipes Manufacturer in Madurai</v>
      </c>
      <c r="AE73" s="15" t="str">
        <f t="shared" si="15"/>
        <v>Electropolished Tube Manufacturing Capability Serving Madurai</v>
      </c>
      <c r="AF73" s="15" t="str">
        <f t="shared" si="16"/>
        <v>Electropolished Pipes Supplier in Madurai - From Order to Delivery</v>
      </c>
      <c r="AG73" s="15" t="str">
        <f t="shared" si="17"/>
        <v>Stockist &amp; Wholesale Supply of Electropolished Pipes in Madurai</v>
      </c>
      <c r="AH73" s="15" t="str">
        <f t="shared" si="18"/>
        <v>electropolished pipes manufacturer in Madurai, electropolished pipes supplier in Madurai, electropolished pipes wholesaler in Madurai, electropolished tube manufacturer Madurai, EP pipe supplier Madurai, sanitary tube supplier Madurai, ASME BPE tubing Madurai, ASTM A270 tube Madurai, SS 316L electropolished pipe Madurai</v>
      </c>
      <c r="AI73" s="15" t="str">
        <f t="shared" si="19"/>
        <v>Electropolished Pipes Manufacturer &amp; Supplier in Madurai</v>
      </c>
      <c r="AJ73" s="15" t="str">
        <f t="shared" si="20"/>
        <v>EP-finished SS 304/316L pipes and tubes for food processing plants in Madurai. ASME BPE SF1-SF4, Ra from 0.25 um, EN 10204 3.1 certificate with every lot.</v>
      </c>
      <c r="AK73" s="15" t="str">
        <f t="shared" si="21"/>
        <v>Electropolished stainless steel pipes supplied by Sakshi Forge to food processing plants at Kappalur SIDCO, Madurai</v>
      </c>
      <c r="AL73" s="15" t="str">
        <f t="shared" si="22"/>
        <v>Electropolished SS 316L tube stock for Madurai - Sakshi Forge</v>
      </c>
      <c r="AM73" s="15" t="str">
        <f t="shared" si="23"/>
        <v>Home &gt; Market Area &gt; India &gt; Tamil Nadu &gt; Madurai</v>
      </c>
      <c r="AN73" s="15">
        <f t="shared" si="24"/>
        <v>1400</v>
      </c>
      <c r="AO73" s="15">
        <f t="shared" si="25"/>
        <v>10</v>
      </c>
      <c r="AP73" s="15">
        <f t="shared" si="26"/>
        <v>12</v>
      </c>
      <c r="AQ73" s="15">
        <f t="shared" si="27"/>
        <v>2</v>
      </c>
      <c r="AR73" s="31"/>
      <c r="AS73" s="31"/>
      <c r="AT73" s="35" t="s">
        <v>222</v>
      </c>
      <c r="AU73" s="35"/>
    </row>
    <row r="74" ht="15.75" customHeight="1">
      <c r="A74" s="15" t="s">
        <v>3337</v>
      </c>
      <c r="B74" s="15" t="s">
        <v>60</v>
      </c>
      <c r="C74" s="15" t="s">
        <v>264</v>
      </c>
      <c r="D74" s="15" t="s">
        <v>3339</v>
      </c>
      <c r="E74" s="15" t="s">
        <v>3339</v>
      </c>
      <c r="F74" s="16" t="s">
        <v>87</v>
      </c>
      <c r="G74" s="17" t="s">
        <v>88</v>
      </c>
      <c r="H74" s="18" t="s">
        <v>3340</v>
      </c>
      <c r="I74" s="18" t="s">
        <v>3340</v>
      </c>
      <c r="J74" s="18" t="s">
        <v>3342</v>
      </c>
      <c r="K74" s="18" t="s">
        <v>436</v>
      </c>
      <c r="L74" s="18" t="s">
        <v>3344</v>
      </c>
      <c r="M74" s="18" t="s">
        <v>96</v>
      </c>
      <c r="N74" s="18" t="s">
        <v>232</v>
      </c>
      <c r="O74" s="18" t="s">
        <v>98</v>
      </c>
      <c r="P74" s="15" t="str">
        <f t="shared" si="1"/>
        <v>PHARMA</v>
      </c>
      <c r="Q74" s="15">
        <f t="shared" si="2"/>
        <v>7</v>
      </c>
      <c r="R74" s="15">
        <f t="shared" si="3"/>
        <v>1</v>
      </c>
      <c r="S74" s="15">
        <f t="shared" si="4"/>
        <v>1</v>
      </c>
      <c r="T74" s="15" t="str">
        <f t="shared" si="5"/>
        <v>A-5</v>
      </c>
      <c r="U74" s="15" t="str">
        <f t="shared" si="6"/>
        <v>T7-M1-H1-FA-5-PHARMA</v>
      </c>
      <c r="V74" s="15">
        <f t="shared" si="7"/>
        <v>0</v>
      </c>
      <c r="W74" s="31"/>
      <c r="X74" s="15" t="str">
        <f t="shared" si="8"/>
        <v>mahad</v>
      </c>
      <c r="Y74" s="32" t="str">
        <f t="shared" si="9"/>
        <v>https://steelmanufacturer.in/market-area/electropolished-pipes-manufacturer-in-mahad/</v>
      </c>
      <c r="Z74" s="15" t="str">
        <f t="shared" si="10"/>
        <v>Electropolished Pipes Manufacturer in Mahad | ASME BPE SF1-SF4</v>
      </c>
      <c r="AA74" s="15" t="str">
        <f t="shared" si="11"/>
        <v>OK (62)</v>
      </c>
      <c r="AB74" s="15" t="str">
        <f t="shared" si="12"/>
        <v>EP-finished SS 304/316L pipes &amp; tubes for pharma &amp; API plants in Mahad. ASTM A270, ASME BPE SF1-SF4, EN 10204 3.1 MTC. PMI tested.</v>
      </c>
      <c r="AC74" s="15" t="str">
        <f t="shared" si="13"/>
        <v>OK (130)</v>
      </c>
      <c r="AD74" s="15" t="str">
        <f t="shared" si="14"/>
        <v>Electropolished Pipes Manufacturer in Mahad</v>
      </c>
      <c r="AE74" s="15" t="str">
        <f t="shared" si="15"/>
        <v>Electropolished Pipe &amp; Tube Manufacturing for Mahad - Grades, Finishes &amp; Certification</v>
      </c>
      <c r="AF74" s="15" t="str">
        <f t="shared" si="16"/>
        <v>Electropolished Pipes Supplier in Mahad - Stock Sizes, Lead Time &amp; Delivery</v>
      </c>
      <c r="AG74" s="15" t="str">
        <f t="shared" si="17"/>
        <v>Electropolished Pipes Wholesaler &amp; Stockist in Mahad - Bulk &amp; Project Pricing</v>
      </c>
      <c r="AH74" s="15" t="str">
        <f t="shared" si="18"/>
        <v>electropolished pipes manufacturer in Mahad, electropolished pipes supplier in Mahad, electropolished pipes wholesaler in Mahad, electropolished tube manufacturer Mahad, EP pipe supplier Mahad, sanitary tube supplier Mahad, ASME BPE tubing Mahad, ASTM A270 tube Mahad, SS 316L electropolished pipe Mahad</v>
      </c>
      <c r="AI74" s="15" t="str">
        <f t="shared" si="19"/>
        <v>Electropolished Pipes Manufacturer &amp; Supplier in Mahad</v>
      </c>
      <c r="AJ74" s="15" t="str">
        <f t="shared" si="20"/>
        <v>EP-finished SS 304/316L pipes and tubes for pharma &amp; API plants in Mahad. ASME BPE SF1-SF4, Ra from 0.25 um, EN 10204 3.1 certificate with every lot.</v>
      </c>
      <c r="AK74" s="15" t="str">
        <f t="shared" si="21"/>
        <v>Electropolished stainless steel pipes supplied by Sakshi Forge to pharma &amp; API plants at Mahad MIDC, Mahad</v>
      </c>
      <c r="AL74" s="15" t="str">
        <f t="shared" si="22"/>
        <v>Electropolished SS 316L tube stock for Mahad - Sakshi Forge</v>
      </c>
      <c r="AM74" s="15" t="str">
        <f t="shared" si="23"/>
        <v>Home &gt; Market Area &gt; India &gt; Maharashtra &gt; Mahad</v>
      </c>
      <c r="AN74" s="15">
        <f t="shared" si="24"/>
        <v>1400</v>
      </c>
      <c r="AO74" s="15">
        <f t="shared" si="25"/>
        <v>10</v>
      </c>
      <c r="AP74" s="15">
        <f t="shared" si="26"/>
        <v>12</v>
      </c>
      <c r="AQ74" s="15">
        <f t="shared" si="27"/>
        <v>2</v>
      </c>
      <c r="AR74" s="31"/>
      <c r="AS74" s="31"/>
      <c r="AT74" s="35" t="s">
        <v>222</v>
      </c>
      <c r="AU74" s="35"/>
    </row>
    <row r="75" ht="15.75" customHeight="1">
      <c r="A75" s="15" t="s">
        <v>3365</v>
      </c>
      <c r="B75" s="15" t="s">
        <v>60</v>
      </c>
      <c r="C75" s="15" t="s">
        <v>842</v>
      </c>
      <c r="D75" s="15" t="s">
        <v>3366</v>
      </c>
      <c r="E75" s="15" t="s">
        <v>3366</v>
      </c>
      <c r="F75" s="16" t="s">
        <v>87</v>
      </c>
      <c r="G75" s="17" t="s">
        <v>88</v>
      </c>
      <c r="H75" s="18" t="s">
        <v>3368</v>
      </c>
      <c r="I75" s="18" t="s">
        <v>3368</v>
      </c>
      <c r="J75" s="18" t="s">
        <v>3370</v>
      </c>
      <c r="K75" s="18" t="s">
        <v>271</v>
      </c>
      <c r="L75" s="18" t="s">
        <v>3371</v>
      </c>
      <c r="M75" s="18" t="s">
        <v>231</v>
      </c>
      <c r="N75" s="18" t="s">
        <v>277</v>
      </c>
      <c r="O75" s="18" t="s">
        <v>98</v>
      </c>
      <c r="P75" s="15" t="str">
        <f t="shared" si="1"/>
        <v>CHEM</v>
      </c>
      <c r="Q75" s="15">
        <f t="shared" si="2"/>
        <v>8</v>
      </c>
      <c r="R75" s="15">
        <f t="shared" si="3"/>
        <v>2</v>
      </c>
      <c r="S75" s="15">
        <f t="shared" si="4"/>
        <v>2</v>
      </c>
      <c r="T75" s="15" t="str">
        <f t="shared" si="5"/>
        <v>A-6</v>
      </c>
      <c r="U75" s="15" t="str">
        <f t="shared" si="6"/>
        <v>T8-M2-H2-FA-6-CHEM</v>
      </c>
      <c r="V75" s="15">
        <f t="shared" si="7"/>
        <v>0</v>
      </c>
      <c r="W75" s="31"/>
      <c r="X75" s="15" t="str">
        <f t="shared" si="8"/>
        <v>malanpur</v>
      </c>
      <c r="Y75" s="32" t="str">
        <f t="shared" si="9"/>
        <v>https://steelmanufacturer.in/market-area/electropolished-pipes-manufacturer-in-malanpur/</v>
      </c>
      <c r="Z75" s="15" t="str">
        <f t="shared" si="10"/>
        <v>Electropolished Pipes Manufacturer in Malanpur - EP Tube Stockist</v>
      </c>
      <c r="AA75" s="15" t="str">
        <f t="shared" si="11"/>
        <v>OK (65)</v>
      </c>
      <c r="AB75" s="15" t="str">
        <f t="shared" si="12"/>
        <v>Electropolished tube supply to Malanpur Industrial Area MPIDC, Malanpur. Ra from 0.25 um, SF4 finish, mill test certificate with every lot.</v>
      </c>
      <c r="AC75" s="15" t="str">
        <f t="shared" si="13"/>
        <v>OK (139)</v>
      </c>
      <c r="AD75" s="15" t="str">
        <f t="shared" si="14"/>
        <v>Electropolished Pipes Manufacturer in Malanpur</v>
      </c>
      <c r="AE75" s="15" t="str">
        <f t="shared" si="15"/>
        <v>How We Manufacture Electropolished Tube for Malanpur Plants</v>
      </c>
      <c r="AF75" s="15" t="str">
        <f t="shared" si="16"/>
        <v>Supplying Electropolished Pipes in Malanpur: Availability, Sizes &amp; Dispatch</v>
      </c>
      <c r="AG75" s="15" t="str">
        <f t="shared" si="17"/>
        <v>Wholesale Electropolished Pipe Supply for Malanpur Projects</v>
      </c>
      <c r="AH75" s="15" t="str">
        <f t="shared" si="18"/>
        <v>electropolished pipes manufacturer in Malanpur, electropolished pipes supplier in Malanpur, electropolished pipes wholesaler in Malanpur, electropolished tube manufacturer Malanpur, EP pipe supplier Malanpur, sanitary tube supplier Malanpur, ASME BPE tubing Malanpur, ASTM A270 tube Malanpur, SS 316L electropolished pipe Malanpur</v>
      </c>
      <c r="AI75" s="15" t="str">
        <f t="shared" si="19"/>
        <v>Electropolished Pipes Manufacturer &amp; Supplier in Malanpur</v>
      </c>
      <c r="AJ75" s="15" t="str">
        <f t="shared" si="20"/>
        <v>EP-finished SS 304/316L pipes and tubes for chemical plants in Malanpur. ASME BPE SF1-SF4, Ra from 0.25 um, EN 10204 3.1 certificate with every lot.</v>
      </c>
      <c r="AK75" s="15" t="str">
        <f t="shared" si="21"/>
        <v>Electropolished stainless steel pipes supplied by Sakshi Forge to chemical plants at Malanpur Industrial Area MPIDC, Malanpur</v>
      </c>
      <c r="AL75" s="15" t="str">
        <f t="shared" si="22"/>
        <v>Electropolished SS 316L tube stock for Malanpur - Sakshi Forge</v>
      </c>
      <c r="AM75" s="15" t="str">
        <f t="shared" si="23"/>
        <v>Home &gt; Market Area &gt; India &gt; Madhya Pradesh &gt; Malanpur</v>
      </c>
      <c r="AN75" s="15">
        <f t="shared" si="24"/>
        <v>1400</v>
      </c>
      <c r="AO75" s="15">
        <f t="shared" si="25"/>
        <v>10</v>
      </c>
      <c r="AP75" s="15">
        <f t="shared" si="26"/>
        <v>12</v>
      </c>
      <c r="AQ75" s="15">
        <f t="shared" si="27"/>
        <v>2</v>
      </c>
      <c r="AR75" s="31"/>
      <c r="AS75" s="31"/>
      <c r="AT75" s="35" t="s">
        <v>222</v>
      </c>
      <c r="AU75" s="35"/>
    </row>
    <row r="76" ht="15.75" customHeight="1">
      <c r="A76" s="15" t="s">
        <v>3393</v>
      </c>
      <c r="B76" s="15" t="s">
        <v>60</v>
      </c>
      <c r="C76" s="15" t="s">
        <v>842</v>
      </c>
      <c r="D76" s="15" t="s">
        <v>3394</v>
      </c>
      <c r="E76" s="15" t="s">
        <v>3394</v>
      </c>
      <c r="F76" s="16" t="s">
        <v>87</v>
      </c>
      <c r="G76" s="17" t="s">
        <v>88</v>
      </c>
      <c r="H76" s="18" t="s">
        <v>3395</v>
      </c>
      <c r="I76" s="18" t="s">
        <v>3395</v>
      </c>
      <c r="J76" s="18" t="s">
        <v>3397</v>
      </c>
      <c r="K76" s="18" t="s">
        <v>229</v>
      </c>
      <c r="L76" s="18" t="s">
        <v>3398</v>
      </c>
      <c r="M76" s="18" t="s">
        <v>830</v>
      </c>
      <c r="N76" s="18" t="s">
        <v>232</v>
      </c>
      <c r="O76" s="18" t="s">
        <v>98</v>
      </c>
      <c r="P76" s="15" t="str">
        <f t="shared" si="1"/>
        <v>PHARMA</v>
      </c>
      <c r="Q76" s="15">
        <f t="shared" si="2"/>
        <v>1</v>
      </c>
      <c r="R76" s="15">
        <f t="shared" si="3"/>
        <v>3</v>
      </c>
      <c r="S76" s="15">
        <f t="shared" si="4"/>
        <v>3</v>
      </c>
      <c r="T76" s="15" t="str">
        <f t="shared" si="5"/>
        <v>A-1</v>
      </c>
      <c r="U76" s="15" t="str">
        <f t="shared" si="6"/>
        <v>T1-M3-H3-FA-1-PHARMA</v>
      </c>
      <c r="V76" s="15">
        <f t="shared" si="7"/>
        <v>0</v>
      </c>
      <c r="W76" s="31"/>
      <c r="X76" s="15" t="str">
        <f t="shared" si="8"/>
        <v>mandideep</v>
      </c>
      <c r="Y76" s="32" t="str">
        <f t="shared" si="9"/>
        <v>https://steelmanufacturer.in/market-area/electropolished-pipes-manufacturer-in-mandideep/</v>
      </c>
      <c r="Z76" s="15" t="str">
        <f t="shared" si="10"/>
        <v>Electropolished Pipes Manufacturer in Mandideep | Sakshi Forge</v>
      </c>
      <c r="AA76" s="15" t="str">
        <f t="shared" si="11"/>
        <v>OK (62)</v>
      </c>
      <c r="AB76" s="15" t="str">
        <f t="shared" si="12"/>
        <v>EP stainless tube for pharma lines in Mandideep. 3-4 day road transit from our Mumbai works. ASTM A270 S2, PMI tested, EN 10204 3.1.</v>
      </c>
      <c r="AC76" s="15" t="str">
        <f t="shared" si="13"/>
        <v>OK (132)</v>
      </c>
      <c r="AD76" s="15" t="str">
        <f t="shared" si="14"/>
        <v>Electropolished Pipes Manufacturer in Mandideep</v>
      </c>
      <c r="AE76" s="15" t="str">
        <f t="shared" si="15"/>
        <v>Electropolished Pipes Manufacturer in Mandideep - Our Process &amp; Capability</v>
      </c>
      <c r="AF76" s="15" t="str">
        <f t="shared" si="16"/>
        <v>Electropolished Pipes Supplier in Mandideep - What We Hold in Stock</v>
      </c>
      <c r="AG76" s="15" t="str">
        <f t="shared" si="17"/>
        <v>Bulk &amp; Wholesale Electropolished Pipe Rates for Mandideep Buyers</v>
      </c>
      <c r="AH76" s="15" t="str">
        <f t="shared" si="18"/>
        <v>electropolished pipes manufacturer in Mandideep, electropolished pipes supplier in Mandideep, electropolished pipes wholesaler in Mandideep, electropolished tube manufacturer Mandideep, EP pipe supplier Mandideep, sanitary tube supplier Mandideep, ASME BPE tubing Mandideep, ASTM A270 tube Mandideep, SS 316L electropolished pipe Mandideep</v>
      </c>
      <c r="AI76" s="15" t="str">
        <f t="shared" si="19"/>
        <v>Electropolished Pipes Manufacturer &amp; Supplier in Mandideep</v>
      </c>
      <c r="AJ76" s="15" t="str">
        <f t="shared" si="20"/>
        <v>EP-finished SS 304/316L pipes and tubes for pharma plants in Mandideep. ASME BPE SF1-SF4, Ra from 0.25 um, EN 10204 3.1 certificate with every lot.</v>
      </c>
      <c r="AK76" s="15" t="str">
        <f t="shared" si="21"/>
        <v>Electropolished stainless steel pipes supplied by Sakshi Forge to pharma plants at Mandideep Industrial Area MPIDC, Mandideep</v>
      </c>
      <c r="AL76" s="15" t="str">
        <f t="shared" si="22"/>
        <v>Electropolished SS 316L tube stock for Mandideep - Sakshi Forge</v>
      </c>
      <c r="AM76" s="15" t="str">
        <f t="shared" si="23"/>
        <v>Home &gt; Market Area &gt; India &gt; Madhya Pradesh &gt; Mandideep</v>
      </c>
      <c r="AN76" s="15">
        <f t="shared" si="24"/>
        <v>1400</v>
      </c>
      <c r="AO76" s="15">
        <f t="shared" si="25"/>
        <v>10</v>
      </c>
      <c r="AP76" s="15">
        <f t="shared" si="26"/>
        <v>12</v>
      </c>
      <c r="AQ76" s="15">
        <f t="shared" si="27"/>
        <v>2</v>
      </c>
      <c r="AR76" s="31"/>
      <c r="AS76" s="31"/>
      <c r="AT76" s="35" t="s">
        <v>222</v>
      </c>
      <c r="AU76" s="35"/>
    </row>
    <row r="77" ht="15.75" customHeight="1">
      <c r="A77" s="15" t="s">
        <v>3423</v>
      </c>
      <c r="B77" s="15" t="s">
        <v>60</v>
      </c>
      <c r="C77" s="15" t="s">
        <v>570</v>
      </c>
      <c r="D77" s="15" t="s">
        <v>3424</v>
      </c>
      <c r="E77" s="15" t="s">
        <v>3424</v>
      </c>
      <c r="F77" s="16" t="s">
        <v>87</v>
      </c>
      <c r="G77" s="17" t="s">
        <v>88</v>
      </c>
      <c r="H77" s="18" t="s">
        <v>3425</v>
      </c>
      <c r="I77" s="18" t="s">
        <v>3427</v>
      </c>
      <c r="J77" s="18" t="s">
        <v>3428</v>
      </c>
      <c r="K77" s="18" t="s">
        <v>94</v>
      </c>
      <c r="L77" s="18" t="s">
        <v>3429</v>
      </c>
      <c r="M77" s="18" t="s">
        <v>276</v>
      </c>
      <c r="N77" s="18" t="s">
        <v>97</v>
      </c>
      <c r="O77" s="18" t="s">
        <v>98</v>
      </c>
      <c r="P77" s="15" t="str">
        <f t="shared" si="1"/>
        <v>FOOD</v>
      </c>
      <c r="Q77" s="15">
        <f t="shared" si="2"/>
        <v>2</v>
      </c>
      <c r="R77" s="15">
        <f t="shared" si="3"/>
        <v>4</v>
      </c>
      <c r="S77" s="15">
        <f t="shared" si="4"/>
        <v>4</v>
      </c>
      <c r="T77" s="15" t="str">
        <f t="shared" si="5"/>
        <v>A-2</v>
      </c>
      <c r="U77" s="15" t="str">
        <f t="shared" si="6"/>
        <v>T2-M4-H4-FA-2-FOOD</v>
      </c>
      <c r="V77" s="15">
        <f t="shared" si="7"/>
        <v>0</v>
      </c>
      <c r="W77" s="31"/>
      <c r="X77" s="15" t="str">
        <f t="shared" si="8"/>
        <v>mangaluru</v>
      </c>
      <c r="Y77" s="32" t="str">
        <f t="shared" si="9"/>
        <v>https://steelmanufacturer.in/market-area/electropolished-pipes-manufacturer-in-mangaluru/</v>
      </c>
      <c r="Z77" s="15" t="str">
        <f t="shared" si="10"/>
        <v>Electropolished Pipes Manufacturer in Mangaluru</v>
      </c>
      <c r="AA77" s="15" t="str">
        <f t="shared" si="11"/>
        <v>OK (47)</v>
      </c>
      <c r="AB77" s="15" t="str">
        <f t="shared" si="12"/>
        <v>Sanitary electropolished pipes in Mangaluru for food processing plants. ASME BPE SF1-SF4, orbital-weld ready, 3.1 MTC. Mumbai-made.</v>
      </c>
      <c r="AC77" s="15" t="str">
        <f t="shared" si="13"/>
        <v>OK (131)</v>
      </c>
      <c r="AD77" s="15" t="str">
        <f t="shared" si="14"/>
        <v>Electropolished Pipes Manufacturer in Mangaluru</v>
      </c>
      <c r="AE77" s="15" t="str">
        <f t="shared" si="15"/>
        <v>Manufacturing Electropolished SS Tube for Mangaluru: The Standards We Build To</v>
      </c>
      <c r="AF77" s="15" t="str">
        <f t="shared" si="16"/>
        <v>Electropolished Pipe Supply Into Mangaluru - Certification &amp; Transit</v>
      </c>
      <c r="AG77" s="15" t="str">
        <f t="shared" si="17"/>
        <v>Electropolished Pipes Wholesaler in Mangaluru - Project Quantities &amp; Terms</v>
      </c>
      <c r="AH77" s="15" t="str">
        <f t="shared" si="18"/>
        <v>electropolished pipes manufacturer in Mangaluru, electropolished pipes supplier in Mangaluru, electropolished pipes wholesaler in Mangaluru, electropolished tube manufacturer Mangaluru, EP pipe supplier Mangaluru, sanitary tube supplier Mangaluru, ASME BPE tubing Mangaluru, ASTM A270 tube Mangaluru, SS 316L electropolished pipe Mangaluru</v>
      </c>
      <c r="AI77" s="15" t="str">
        <f t="shared" si="19"/>
        <v>Electropolished Pipes Manufacturer &amp; Supplier in Mangaluru</v>
      </c>
      <c r="AJ77" s="15" t="str">
        <f t="shared" si="20"/>
        <v>EP-finished SS 304/316L pipes and tubes for food processing plants in Mangaluru. ASME BPE SF1-SF4, Ra from 0.25 um, EN 10204 3.1 certificate with every lot.</v>
      </c>
      <c r="AK77" s="15" t="str">
        <f t="shared" si="21"/>
        <v>Electropolished stainless steel pipes supplied by Sakshi Forge to food processing plants at Baikampady Industrial Area, Mangaluru</v>
      </c>
      <c r="AL77" s="15" t="str">
        <f t="shared" si="22"/>
        <v>Electropolished SS 316L tube stock for Mangaluru - Sakshi Forge</v>
      </c>
      <c r="AM77" s="15" t="str">
        <f t="shared" si="23"/>
        <v>Home &gt; Market Area &gt; India &gt; Karnataka &gt; Mangaluru</v>
      </c>
      <c r="AN77" s="15">
        <f t="shared" si="24"/>
        <v>1400</v>
      </c>
      <c r="AO77" s="15">
        <f t="shared" si="25"/>
        <v>10</v>
      </c>
      <c r="AP77" s="15">
        <f t="shared" si="26"/>
        <v>12</v>
      </c>
      <c r="AQ77" s="15">
        <f t="shared" si="27"/>
        <v>2</v>
      </c>
      <c r="AR77" s="31"/>
      <c r="AS77" s="31"/>
      <c r="AT77" s="35" t="s">
        <v>222</v>
      </c>
      <c r="AU77" s="35"/>
    </row>
    <row r="78" ht="15.75" customHeight="1">
      <c r="A78" s="15" t="s">
        <v>3453</v>
      </c>
      <c r="B78" s="15" t="s">
        <v>60</v>
      </c>
      <c r="C78" s="15" t="s">
        <v>1312</v>
      </c>
      <c r="D78" s="15" t="s">
        <v>3454</v>
      </c>
      <c r="E78" s="15" t="s">
        <v>3454</v>
      </c>
      <c r="F78" s="16" t="s">
        <v>87</v>
      </c>
      <c r="G78" s="17" t="s">
        <v>88</v>
      </c>
      <c r="H78" s="18" t="s">
        <v>3456</v>
      </c>
      <c r="I78" s="18" t="s">
        <v>3457</v>
      </c>
      <c r="J78" s="18" t="s">
        <v>3458</v>
      </c>
      <c r="K78" s="18" t="s">
        <v>436</v>
      </c>
      <c r="L78" s="18" t="s">
        <v>3460</v>
      </c>
      <c r="M78" s="18" t="s">
        <v>231</v>
      </c>
      <c r="N78" s="18" t="s">
        <v>232</v>
      </c>
      <c r="O78" s="18" t="s">
        <v>98</v>
      </c>
      <c r="P78" s="15" t="str">
        <f t="shared" si="1"/>
        <v>PHARMA</v>
      </c>
      <c r="Q78" s="15">
        <f t="shared" si="2"/>
        <v>3</v>
      </c>
      <c r="R78" s="15">
        <f t="shared" si="3"/>
        <v>5</v>
      </c>
      <c r="S78" s="15">
        <f t="shared" si="4"/>
        <v>5</v>
      </c>
      <c r="T78" s="15" t="str">
        <f t="shared" si="5"/>
        <v>A-3</v>
      </c>
      <c r="U78" s="15" t="str">
        <f t="shared" si="6"/>
        <v>T3-M5-H5-FA-3-PHARMA</v>
      </c>
      <c r="V78" s="15">
        <f t="shared" si="7"/>
        <v>0</v>
      </c>
      <c r="W78" s="31"/>
      <c r="X78" s="15" t="str">
        <f t="shared" si="8"/>
        <v>medak-patancheru</v>
      </c>
      <c r="Y78" s="32" t="str">
        <f t="shared" si="9"/>
        <v>https://steelmanufacturer.in/market-area/electropolished-pipes-manufacturer-in-medak-patancheru/</v>
      </c>
      <c r="Z78" s="15" t="str">
        <f t="shared" si="10"/>
        <v>Electropolished Pipes Manufacturer in Medak-Patancheru</v>
      </c>
      <c r="AA78" s="15" t="str">
        <f t="shared" si="11"/>
        <v>OK (54)</v>
      </c>
      <c r="AB78" s="15" t="str">
        <f t="shared" si="12"/>
        <v>Manufacturer of electropolished SS 316L tube serving Medak-Patancheru. 2-3 day road transit from our Mumbai works. Ra 0.25-0.5 um, EN 10204 3.1 MTC.</v>
      </c>
      <c r="AC78" s="15" t="str">
        <f t="shared" si="13"/>
        <v>OK (148)</v>
      </c>
      <c r="AD78" s="15" t="str">
        <f t="shared" si="14"/>
        <v>Electropolished Pipes Manufacturer in Medak-Patancheru</v>
      </c>
      <c r="AE78" s="15" t="str">
        <f t="shared" si="15"/>
        <v>Electropolished Tube Manufacturing Capability Serving Medak-Patancheru</v>
      </c>
      <c r="AF78" s="15" t="str">
        <f t="shared" si="16"/>
        <v>Electropolished Pipes Supplier in Medak-Patancheru - From Order to Delivery</v>
      </c>
      <c r="AG78" s="15" t="str">
        <f t="shared" si="17"/>
        <v>Stockist &amp; Wholesale Supply of Electropolished Pipes in Medak-Patancheru</v>
      </c>
      <c r="AH78" s="15" t="str">
        <f t="shared" si="18"/>
        <v>electropolished pipes manufacturer in Medak-Patancheru, electropolished pipes supplier in Medak-Patancheru, electropolished pipes wholesaler in Medak-Patancheru, electropolished tube manufacturer Medak-Patancheru, EP pipe supplier Medak-Patancheru, sanitary tube supplier Medak-Patancheru, ASME BPE tubing Medak-Patancheru, ASTM A270 tube Medak-Patancheru, SS 316L electropolished pipe Medak-Patancheru</v>
      </c>
      <c r="AI78" s="15" t="str">
        <f t="shared" si="19"/>
        <v>Electropolished Pipes Manufacturer &amp; Supplier in Medak-Patancheru</v>
      </c>
      <c r="AJ78" s="15" t="str">
        <f t="shared" si="20"/>
        <v>EP-finished SS 304/316L pipes and tubes for pharma &amp; API plants in Medak-Patancheru. ASME BPE SF1-SF4, Ra from 0.25 um, EN 10204 3.1 certificate with every lot.</v>
      </c>
      <c r="AK78" s="15" t="str">
        <f t="shared" si="21"/>
        <v>Electropolished stainless steel pipes supplied by Sakshi Forge to pharma &amp; API plants at Patancheru IDA, Medak-Patancheru</v>
      </c>
      <c r="AL78" s="15" t="str">
        <f t="shared" si="22"/>
        <v>Electropolished SS 316L tube stock for Medak-Patancheru - Sakshi Forge</v>
      </c>
      <c r="AM78" s="15" t="str">
        <f t="shared" si="23"/>
        <v>Home &gt; Market Area &gt; India &gt; Telangana &gt; Medak-Patancheru</v>
      </c>
      <c r="AN78" s="15">
        <f t="shared" si="24"/>
        <v>1400</v>
      </c>
      <c r="AO78" s="15">
        <f t="shared" si="25"/>
        <v>10</v>
      </c>
      <c r="AP78" s="15">
        <f t="shared" si="26"/>
        <v>12</v>
      </c>
      <c r="AQ78" s="15">
        <f t="shared" si="27"/>
        <v>2</v>
      </c>
      <c r="AR78" s="31"/>
      <c r="AS78" s="31"/>
      <c r="AT78" s="35" t="s">
        <v>222</v>
      </c>
      <c r="AU78" s="35"/>
    </row>
    <row r="79" ht="15.75" customHeight="1">
      <c r="A79" s="15" t="s">
        <v>3485</v>
      </c>
      <c r="B79" s="15" t="s">
        <v>60</v>
      </c>
      <c r="C79" s="15" t="s">
        <v>85</v>
      </c>
      <c r="D79" s="15" t="s">
        <v>3487</v>
      </c>
      <c r="E79" s="15" t="s">
        <v>3487</v>
      </c>
      <c r="F79" s="16" t="s">
        <v>87</v>
      </c>
      <c r="G79" s="17" t="s">
        <v>88</v>
      </c>
      <c r="H79" s="18" t="s">
        <v>3490</v>
      </c>
      <c r="I79" s="18" t="s">
        <v>3491</v>
      </c>
      <c r="J79" s="18" t="s">
        <v>3492</v>
      </c>
      <c r="K79" s="18" t="s">
        <v>94</v>
      </c>
      <c r="L79" s="18" t="s">
        <v>3493</v>
      </c>
      <c r="M79" s="18" t="s">
        <v>96</v>
      </c>
      <c r="N79" s="18" t="s">
        <v>97</v>
      </c>
      <c r="O79" s="18" t="s">
        <v>98</v>
      </c>
      <c r="P79" s="15" t="str">
        <f t="shared" si="1"/>
        <v>FOOD</v>
      </c>
      <c r="Q79" s="15">
        <f t="shared" si="2"/>
        <v>4</v>
      </c>
      <c r="R79" s="15">
        <f t="shared" si="3"/>
        <v>6</v>
      </c>
      <c r="S79" s="15">
        <f t="shared" si="4"/>
        <v>1</v>
      </c>
      <c r="T79" s="15" t="str">
        <f t="shared" si="5"/>
        <v>A-4</v>
      </c>
      <c r="U79" s="15" t="str">
        <f t="shared" si="6"/>
        <v>T4-M6-H1-FA-4-FOOD</v>
      </c>
      <c r="V79" s="15">
        <f t="shared" si="7"/>
        <v>0</v>
      </c>
      <c r="W79" s="31"/>
      <c r="X79" s="15" t="str">
        <f t="shared" si="8"/>
        <v>meerut</v>
      </c>
      <c r="Y79" s="32" t="str">
        <f t="shared" si="9"/>
        <v>https://steelmanufacturer.in/market-area/electropolished-pipes-manufacturer-in-meerut/</v>
      </c>
      <c r="Z79" s="15" t="str">
        <f t="shared" si="10"/>
        <v>Electropolished Pipes Manufacturer in Meerut</v>
      </c>
      <c r="AA79" s="15" t="str">
        <f t="shared" si="11"/>
        <v>OK (44)</v>
      </c>
      <c r="AB79" s="15" t="str">
        <f t="shared" si="12"/>
        <v>EP tube and pipe for food processing plants around Partapur Industrial Area, Meerut. Made at our Mumbai works to ASTM A270 and ASME BPE SF1-SF4, with 3.1 MTC.</v>
      </c>
      <c r="AC79" s="15" t="str">
        <f t="shared" si="13"/>
        <v>OK (158)</v>
      </c>
      <c r="AD79" s="15" t="str">
        <f t="shared" si="14"/>
        <v>Electropolished Pipes Manufacturer in Meerut</v>
      </c>
      <c r="AE79" s="15" t="str">
        <f t="shared" si="15"/>
        <v>Electropolished Pipe &amp; Tube Manufacturing for Meerut - Grades, Finishes &amp; Certification</v>
      </c>
      <c r="AF79" s="15" t="str">
        <f t="shared" si="16"/>
        <v>Electropolished Pipes Supplier in Meerut - Stock Sizes, Lead Time &amp; Delivery</v>
      </c>
      <c r="AG79" s="15" t="str">
        <f t="shared" si="17"/>
        <v>Electropolished Pipes Wholesaler &amp; Stockist in Meerut - Bulk &amp; Project Pricing</v>
      </c>
      <c r="AH79" s="15" t="str">
        <f t="shared" si="18"/>
        <v>electropolished pipes manufacturer in Meerut, electropolished pipes supplier in Meerut, electropolished pipes wholesaler in Meerut, electropolished tube manufacturer Meerut, EP pipe supplier Meerut, sanitary tube supplier Meerut, ASME BPE tubing Meerut, ASTM A270 tube Meerut, SS 316L electropolished pipe Meerut</v>
      </c>
      <c r="AI79" s="15" t="str">
        <f t="shared" si="19"/>
        <v>Electropolished Pipes Manufacturer &amp; Supplier in Meerut</v>
      </c>
      <c r="AJ79" s="15" t="str">
        <f t="shared" si="20"/>
        <v>EP-finished SS 304/316L pipes and tubes for food processing plants in Meerut. ASME BPE SF1-SF4, Ra from 0.25 um, EN 10204 3.1 certificate with every lot.</v>
      </c>
      <c r="AK79" s="15" t="str">
        <f t="shared" si="21"/>
        <v>Electropolished stainless steel pipes supplied by Sakshi Forge to food processing plants at Partapur Industrial Area, Meerut</v>
      </c>
      <c r="AL79" s="15" t="str">
        <f t="shared" si="22"/>
        <v>Electropolished SS 316L tube stock for Meerut - Sakshi Forge</v>
      </c>
      <c r="AM79" s="15" t="str">
        <f t="shared" si="23"/>
        <v>Home &gt; Market Area &gt; India &gt; Uttar Pradesh &gt; Meerut</v>
      </c>
      <c r="AN79" s="15">
        <f t="shared" si="24"/>
        <v>1400</v>
      </c>
      <c r="AO79" s="15">
        <f t="shared" si="25"/>
        <v>10</v>
      </c>
      <c r="AP79" s="15">
        <f t="shared" si="26"/>
        <v>12</v>
      </c>
      <c r="AQ79" s="15">
        <f t="shared" si="27"/>
        <v>2</v>
      </c>
      <c r="AR79" s="31"/>
      <c r="AS79" s="31"/>
      <c r="AT79" s="35" t="s">
        <v>222</v>
      </c>
      <c r="AU79" s="35"/>
    </row>
    <row r="80" ht="15.75" customHeight="1">
      <c r="A80" s="15" t="s">
        <v>3513</v>
      </c>
      <c r="B80" s="15" t="s">
        <v>60</v>
      </c>
      <c r="C80" s="15" t="s">
        <v>224</v>
      </c>
      <c r="D80" s="15" t="s">
        <v>3515</v>
      </c>
      <c r="E80" s="15" t="s">
        <v>3515</v>
      </c>
      <c r="F80" s="16" t="s">
        <v>87</v>
      </c>
      <c r="G80" s="17" t="s">
        <v>88</v>
      </c>
      <c r="H80" s="18" t="s">
        <v>3516</v>
      </c>
      <c r="I80" s="18" t="s">
        <v>3517</v>
      </c>
      <c r="J80" s="18" t="s">
        <v>3519</v>
      </c>
      <c r="K80" s="18" t="s">
        <v>393</v>
      </c>
      <c r="L80" s="18" t="s">
        <v>3520</v>
      </c>
      <c r="M80" s="18" t="s">
        <v>231</v>
      </c>
      <c r="N80" s="18" t="s">
        <v>232</v>
      </c>
      <c r="O80" s="18" t="s">
        <v>98</v>
      </c>
      <c r="P80" s="15" t="str">
        <f t="shared" si="1"/>
        <v>PHARMA</v>
      </c>
      <c r="Q80" s="15">
        <f t="shared" si="2"/>
        <v>5</v>
      </c>
      <c r="R80" s="15">
        <f t="shared" si="3"/>
        <v>7</v>
      </c>
      <c r="S80" s="15">
        <f t="shared" si="4"/>
        <v>2</v>
      </c>
      <c r="T80" s="15" t="str">
        <f t="shared" si="5"/>
        <v>A-5</v>
      </c>
      <c r="U80" s="15" t="str">
        <f t="shared" si="6"/>
        <v>T5-M7-H2-FA-5-PHARMA</v>
      </c>
      <c r="V80" s="15">
        <f t="shared" si="7"/>
        <v>0</v>
      </c>
      <c r="W80" s="31"/>
      <c r="X80" s="15" t="str">
        <f t="shared" si="8"/>
        <v>mehsana</v>
      </c>
      <c r="Y80" s="32" t="str">
        <f t="shared" si="9"/>
        <v>https://steelmanufacturer.in/market-area/electropolished-pipes-manufacturer-in-mehsana/</v>
      </c>
      <c r="Z80" s="15" t="str">
        <f t="shared" si="10"/>
        <v>Electropolished Pipes Manufacturer in Mehsana</v>
      </c>
      <c r="AA80" s="15" t="str">
        <f t="shared" si="11"/>
        <v>OK (45)</v>
      </c>
      <c r="AB80" s="15" t="str">
        <f t="shared" si="12"/>
        <v>Electropolished pipes in Mehsana: 304, 304L, 316 and 316L in SF1-SF4. 2-3 day road transit from our Mumbai works. Mill certified.</v>
      </c>
      <c r="AC80" s="15" t="str">
        <f t="shared" si="13"/>
        <v>OK (129)</v>
      </c>
      <c r="AD80" s="15" t="str">
        <f t="shared" si="14"/>
        <v>Electropolished Pipes Manufacturer in Mehsana</v>
      </c>
      <c r="AE80" s="15" t="str">
        <f t="shared" si="15"/>
        <v>How We Manufacture Electropolished Tube for Mehsana Plants</v>
      </c>
      <c r="AF80" s="15" t="str">
        <f t="shared" si="16"/>
        <v>Supplying Electropolished Pipes in Mehsana: Availability, Sizes &amp; Dispatch</v>
      </c>
      <c r="AG80" s="15" t="str">
        <f t="shared" si="17"/>
        <v>Wholesale Electropolished Pipe Supply for Mehsana Projects</v>
      </c>
      <c r="AH80" s="15" t="str">
        <f t="shared" si="18"/>
        <v>electropolished pipes manufacturer in Mehsana, electropolished pipes supplier in Mehsana, electropolished pipes wholesaler in Mehsana, electropolished tube manufacturer Mehsana, EP pipe supplier Mehsana, sanitary tube supplier Mehsana, ASME BPE tubing Mehsana, ASTM A270 tube Mehsana, SS 316L electropolished pipe Mehsana</v>
      </c>
      <c r="AI80" s="15" t="str">
        <f t="shared" si="19"/>
        <v>Electropolished Pipes Manufacturer &amp; Supplier in Mehsana</v>
      </c>
      <c r="AJ80" s="15" t="str">
        <f t="shared" si="20"/>
        <v>EP-finished SS 304/316L pipes and tubes for pharma &amp; food &amp; dairy plants in Mehsana. ASME BPE SF1-SF4, Ra from 0.25 um, EN 10204 3.1 certificate with every lot.</v>
      </c>
      <c r="AK80" s="15" t="str">
        <f t="shared" si="21"/>
        <v>Electropolished stainless steel pipes supplied by Sakshi Forge to pharma &amp; food &amp; dairy plants at Mehsana GIDC, Mehsana</v>
      </c>
      <c r="AL80" s="15" t="str">
        <f t="shared" si="22"/>
        <v>Electropolished SS 316L tube stock for Mehsana - Sakshi Forge</v>
      </c>
      <c r="AM80" s="15" t="str">
        <f t="shared" si="23"/>
        <v>Home &gt; Market Area &gt; India &gt; Gujarat &gt; Mehsana</v>
      </c>
      <c r="AN80" s="15">
        <f t="shared" si="24"/>
        <v>1400</v>
      </c>
      <c r="AO80" s="15">
        <f t="shared" si="25"/>
        <v>10</v>
      </c>
      <c r="AP80" s="15">
        <f t="shared" si="26"/>
        <v>12</v>
      </c>
      <c r="AQ80" s="15">
        <f t="shared" si="27"/>
        <v>2</v>
      </c>
      <c r="AR80" s="31"/>
      <c r="AS80" s="31"/>
      <c r="AT80" s="35" t="s">
        <v>222</v>
      </c>
      <c r="AU80" s="35"/>
    </row>
    <row r="81" ht="15.75" customHeight="1">
      <c r="A81" s="15" t="s">
        <v>3541</v>
      </c>
      <c r="B81" s="15" t="s">
        <v>60</v>
      </c>
      <c r="C81" s="15" t="s">
        <v>354</v>
      </c>
      <c r="D81" s="15" t="s">
        <v>3542</v>
      </c>
      <c r="E81" s="15" t="s">
        <v>3542</v>
      </c>
      <c r="F81" s="16" t="s">
        <v>87</v>
      </c>
      <c r="G81" s="17" t="s">
        <v>88</v>
      </c>
      <c r="H81" s="18" t="s">
        <v>3544</v>
      </c>
      <c r="I81" s="18" t="s">
        <v>3545</v>
      </c>
      <c r="J81" s="18" t="s">
        <v>1253</v>
      </c>
      <c r="K81" s="18" t="s">
        <v>969</v>
      </c>
      <c r="L81" s="18" t="s">
        <v>3548</v>
      </c>
      <c r="M81" s="18" t="s">
        <v>96</v>
      </c>
      <c r="N81" s="18" t="s">
        <v>232</v>
      </c>
      <c r="O81" s="18" t="s">
        <v>98</v>
      </c>
      <c r="P81" s="15" t="str">
        <f t="shared" si="1"/>
        <v>SEMI</v>
      </c>
      <c r="Q81" s="15">
        <f t="shared" si="2"/>
        <v>6</v>
      </c>
      <c r="R81" s="15">
        <f t="shared" si="3"/>
        <v>1</v>
      </c>
      <c r="S81" s="15">
        <f t="shared" si="4"/>
        <v>3</v>
      </c>
      <c r="T81" s="15" t="str">
        <f t="shared" si="5"/>
        <v>A-6</v>
      </c>
      <c r="U81" s="15" t="str">
        <f t="shared" si="6"/>
        <v>T6-M1-H3-FA-6-SEMI</v>
      </c>
      <c r="V81" s="15">
        <f t="shared" si="7"/>
        <v>0</v>
      </c>
      <c r="W81" s="31"/>
      <c r="X81" s="15" t="str">
        <f t="shared" si="8"/>
        <v>mohali</v>
      </c>
      <c r="Y81" s="32" t="str">
        <f t="shared" si="9"/>
        <v>https://steelmanufacturer.in/market-area/electropolished-pipes-manufacturer-in-mohali/</v>
      </c>
      <c r="Z81" s="15" t="str">
        <f t="shared" si="10"/>
        <v>Electropolished Pipes Manufacturer in Mohali</v>
      </c>
      <c r="AA81" s="15" t="str">
        <f t="shared" si="11"/>
        <v>OK (44)</v>
      </c>
      <c r="AB81" s="15" t="str">
        <f t="shared" si="12"/>
        <v>EP-finished SS 304/316L pipes &amp; tubes for electronics &amp; pharma plants in Mohali. ASTM A270, ASME BPE SF1-SF4, EN 10204 3.1 MTC. PMI tested.</v>
      </c>
      <c r="AC81" s="15" t="str">
        <f t="shared" si="13"/>
        <v>OK (139)</v>
      </c>
      <c r="AD81" s="15" t="str">
        <f t="shared" si="14"/>
        <v>Electropolished Pipes Manufacturer in Mohali</v>
      </c>
      <c r="AE81" s="15" t="str">
        <f t="shared" si="15"/>
        <v>Electropolished Pipes Manufacturer in Mohali - Our Process &amp; Capability</v>
      </c>
      <c r="AF81" s="15" t="str">
        <f t="shared" si="16"/>
        <v>Electropolished Pipes Supplier in Mohali - What We Hold in Stock</v>
      </c>
      <c r="AG81" s="15" t="str">
        <f t="shared" si="17"/>
        <v>Bulk &amp; Wholesale Electropolished Pipe Rates for Mohali Buyers</v>
      </c>
      <c r="AH81" s="15" t="str">
        <f t="shared" si="18"/>
        <v>electropolished pipes manufacturer in Mohali, electropolished pipes supplier in Mohali, electropolished pipes wholesaler in Mohali, electropolished tube manufacturer Mohali, EP pipe supplier Mohali, sanitary tube supplier Mohali, ASME BPE tubing Mohali, ASTM A270 tube Mohali, SS 316L electropolished pipe Mohali</v>
      </c>
      <c r="AI81" s="15" t="str">
        <f t="shared" si="19"/>
        <v>Electropolished Pipes Manufacturer &amp; Supplier in Mohali</v>
      </c>
      <c r="AJ81" s="15" t="str">
        <f t="shared" si="20"/>
        <v>EP-finished SS 304/316L pipes and tubes for electronics &amp; pharma plants in Mohali. ASME BPE SF1-SF4, Ra from 0.25 um, EN 10204 3.1 certificate with every lot.</v>
      </c>
      <c r="AK81" s="15" t="str">
        <f t="shared" si="21"/>
        <v>Electropolished stainless steel pipes supplied by Sakshi Forge to electronics &amp; pharma plants at Mohali Industrial Area Phase I-IX, Mohali</v>
      </c>
      <c r="AL81" s="15" t="str">
        <f t="shared" si="22"/>
        <v>Electropolished SS 316L tube stock for Mohali - Sakshi Forge</v>
      </c>
      <c r="AM81" s="15" t="str">
        <f t="shared" si="23"/>
        <v>Home &gt; Market Area &gt; India &gt; Punjab &gt; Mohali</v>
      </c>
      <c r="AN81" s="15">
        <f t="shared" si="24"/>
        <v>1400</v>
      </c>
      <c r="AO81" s="15">
        <f t="shared" si="25"/>
        <v>10</v>
      </c>
      <c r="AP81" s="15">
        <f t="shared" si="26"/>
        <v>12</v>
      </c>
      <c r="AQ81" s="15">
        <f t="shared" si="27"/>
        <v>2</v>
      </c>
      <c r="AR81" s="31"/>
      <c r="AS81" s="31"/>
      <c r="AT81" s="35" t="s">
        <v>222</v>
      </c>
      <c r="AU81" s="35"/>
    </row>
    <row r="82" ht="15.75" customHeight="1">
      <c r="A82" s="15" t="s">
        <v>3568</v>
      </c>
      <c r="B82" s="15" t="s">
        <v>60</v>
      </c>
      <c r="C82" s="15" t="s">
        <v>85</v>
      </c>
      <c r="D82" s="15" t="s">
        <v>3571</v>
      </c>
      <c r="E82" s="15" t="s">
        <v>3571</v>
      </c>
      <c r="F82" s="16" t="s">
        <v>87</v>
      </c>
      <c r="G82" s="17" t="s">
        <v>88</v>
      </c>
      <c r="H82" s="18" t="s">
        <v>3572</v>
      </c>
      <c r="I82" s="18" t="s">
        <v>3572</v>
      </c>
      <c r="J82" s="18" t="s">
        <v>3573</v>
      </c>
      <c r="K82" s="18" t="s">
        <v>250</v>
      </c>
      <c r="L82" s="18" t="s">
        <v>3575</v>
      </c>
      <c r="M82" s="18" t="s">
        <v>96</v>
      </c>
      <c r="N82" s="18" t="s">
        <v>252</v>
      </c>
      <c r="O82" s="18" t="s">
        <v>98</v>
      </c>
      <c r="P82" s="15" t="str">
        <f t="shared" si="1"/>
        <v>GENERAL</v>
      </c>
      <c r="Q82" s="15">
        <f t="shared" si="2"/>
        <v>7</v>
      </c>
      <c r="R82" s="15">
        <f t="shared" si="3"/>
        <v>2</v>
      </c>
      <c r="S82" s="15">
        <f t="shared" si="4"/>
        <v>4</v>
      </c>
      <c r="T82" s="15" t="str">
        <f t="shared" si="5"/>
        <v>A-1</v>
      </c>
      <c r="U82" s="15" t="str">
        <f t="shared" si="6"/>
        <v>T7-M2-H4-FA-1-GENERAL</v>
      </c>
      <c r="V82" s="15">
        <f t="shared" si="7"/>
        <v>0</v>
      </c>
      <c r="W82" s="31"/>
      <c r="X82" s="15" t="str">
        <f t="shared" si="8"/>
        <v>moradabad</v>
      </c>
      <c r="Y82" s="32" t="str">
        <f t="shared" si="9"/>
        <v>https://steelmanufacturer.in/market-area/electropolished-pipes-manufacturer-in-moradabad/</v>
      </c>
      <c r="Z82" s="15" t="str">
        <f t="shared" si="10"/>
        <v>Electropolished Pipes Manufacturer in Moradabad</v>
      </c>
      <c r="AA82" s="15" t="str">
        <f t="shared" si="11"/>
        <v>OK (47)</v>
      </c>
      <c r="AB82" s="15" t="str">
        <f t="shared" si="12"/>
        <v>Electropolished tube supply to Moradabad UPSIDA Industrial Area, Moradabad. Ra from 0.25 um, SF4 finish, mill test certificate with every lot.</v>
      </c>
      <c r="AC82" s="15" t="str">
        <f t="shared" si="13"/>
        <v>OK (142)</v>
      </c>
      <c r="AD82" s="15" t="str">
        <f t="shared" si="14"/>
        <v>Electropolished Pipes Manufacturer in Moradabad</v>
      </c>
      <c r="AE82" s="15" t="str">
        <f t="shared" si="15"/>
        <v>Manufacturing Electropolished SS Tube for Moradabad: The Standards We Build To</v>
      </c>
      <c r="AF82" s="15" t="str">
        <f t="shared" si="16"/>
        <v>Electropolished Pipe Supply Into Moradabad - Certification &amp; Transit</v>
      </c>
      <c r="AG82" s="15" t="str">
        <f t="shared" si="17"/>
        <v>Electropolished Pipes Wholesaler in Moradabad - Project Quantities &amp; Terms</v>
      </c>
      <c r="AH82" s="15" t="str">
        <f t="shared" si="18"/>
        <v>electropolished pipes manufacturer in Moradabad, electropolished pipes supplier in Moradabad, electropolished pipes wholesaler in Moradabad, electropolished tube manufacturer Moradabad, EP pipe supplier Moradabad, sanitary tube supplier Moradabad, ASME BPE tubing Moradabad, ASTM A270 tube Moradabad, SS 316L electropolished pipe Moradabad</v>
      </c>
      <c r="AI82" s="15" t="str">
        <f t="shared" si="19"/>
        <v>Electropolished Pipes Manufacturer &amp; Supplier in Moradabad</v>
      </c>
      <c r="AJ82" s="15" t="str">
        <f t="shared" si="20"/>
        <v>EP-finished SS 304/316L pipes and tubes for engineering &amp; process plants in Moradabad. ASME BPE SF1-SF4, Ra from 0.25 um, EN 10204 3.1 certificate with every lot.</v>
      </c>
      <c r="AK82" s="15" t="str">
        <f t="shared" si="21"/>
        <v>Electropolished stainless steel pipes supplied by Sakshi Forge to engineering &amp; process plants at Moradabad UPSIDA Industrial Area, Moradabad</v>
      </c>
      <c r="AL82" s="15" t="str">
        <f t="shared" si="22"/>
        <v>Electropolished SS 316L tube stock for Moradabad - Sakshi Forge</v>
      </c>
      <c r="AM82" s="15" t="str">
        <f t="shared" si="23"/>
        <v>Home &gt; Market Area &gt; India &gt; Uttar Pradesh &gt; Moradabad</v>
      </c>
      <c r="AN82" s="15">
        <f t="shared" si="24"/>
        <v>1400</v>
      </c>
      <c r="AO82" s="15">
        <f t="shared" si="25"/>
        <v>10</v>
      </c>
      <c r="AP82" s="15">
        <f t="shared" si="26"/>
        <v>12</v>
      </c>
      <c r="AQ82" s="15">
        <f t="shared" si="27"/>
        <v>2</v>
      </c>
      <c r="AR82" s="31"/>
      <c r="AS82" s="31"/>
      <c r="AT82" s="35" t="s">
        <v>222</v>
      </c>
      <c r="AU82" s="35"/>
    </row>
    <row r="83" ht="15.75" customHeight="1">
      <c r="A83" s="15" t="s">
        <v>3597</v>
      </c>
      <c r="B83" s="15" t="s">
        <v>60</v>
      </c>
      <c r="C83" s="15" t="s">
        <v>264</v>
      </c>
      <c r="D83" s="15" t="s">
        <v>3599</v>
      </c>
      <c r="E83" s="15" t="s">
        <v>3599</v>
      </c>
      <c r="F83" s="16" t="s">
        <v>87</v>
      </c>
      <c r="G83" s="17" t="s">
        <v>88</v>
      </c>
      <c r="H83" s="18" t="s">
        <v>3600</v>
      </c>
      <c r="I83" s="18" t="s">
        <v>3602</v>
      </c>
      <c r="J83" s="18" t="s">
        <v>3603</v>
      </c>
      <c r="K83" s="18" t="s">
        <v>3605</v>
      </c>
      <c r="L83" s="18" t="s">
        <v>3606</v>
      </c>
      <c r="M83" s="18" t="s">
        <v>276</v>
      </c>
      <c r="N83" s="18" t="s">
        <v>232</v>
      </c>
      <c r="O83" s="18" t="s">
        <v>98</v>
      </c>
      <c r="P83" s="15" t="str">
        <f t="shared" si="1"/>
        <v>PHARMA</v>
      </c>
      <c r="Q83" s="15">
        <f t="shared" si="2"/>
        <v>8</v>
      </c>
      <c r="R83" s="15">
        <f t="shared" si="3"/>
        <v>3</v>
      </c>
      <c r="S83" s="15">
        <f t="shared" si="4"/>
        <v>5</v>
      </c>
      <c r="T83" s="15" t="str">
        <f t="shared" si="5"/>
        <v>A-2</v>
      </c>
      <c r="U83" s="15" t="str">
        <f t="shared" si="6"/>
        <v>T8-M3-H5-FA-2-PHARMA</v>
      </c>
      <c r="V83" s="15">
        <f t="shared" si="7"/>
        <v>0</v>
      </c>
      <c r="W83" s="31"/>
      <c r="X83" s="15" t="str">
        <f t="shared" si="8"/>
        <v>mumbai</v>
      </c>
      <c r="Y83" s="32" t="str">
        <f t="shared" si="9"/>
        <v>https://steelmanufacturer.in/market-area/electropolished-pipes-manufacturer-in-mumbai/</v>
      </c>
      <c r="Z83" s="15" t="str">
        <f t="shared" si="10"/>
        <v>Electropolished Pipes Manufacturer in Mumbai - EP Tube Stockist</v>
      </c>
      <c r="AA83" s="15" t="str">
        <f t="shared" si="11"/>
        <v>OK (63)</v>
      </c>
      <c r="AB83" s="15" t="str">
        <f t="shared" si="12"/>
        <v>EP stainless tube for pharma &amp; API &amp; pharma lines in Mumbai. same-day to next-day road from our Mumbai works. ASTM A270 S2, PMI tested, EN 10204 3.1.</v>
      </c>
      <c r="AC83" s="15" t="str">
        <f t="shared" si="13"/>
        <v>OK (149)</v>
      </c>
      <c r="AD83" s="15" t="str">
        <f t="shared" si="14"/>
        <v>Electropolished Pipes Manufacturer in Mumbai</v>
      </c>
      <c r="AE83" s="15" t="str">
        <f t="shared" si="15"/>
        <v>Electropolished Tube Manufacturing Capability Serving Mumbai</v>
      </c>
      <c r="AF83" s="15" t="str">
        <f t="shared" si="16"/>
        <v>Electropolished Pipes Supplier in Mumbai - From Order to Delivery</v>
      </c>
      <c r="AG83" s="15" t="str">
        <f t="shared" si="17"/>
        <v>Stockist &amp; Wholesale Supply of Electropolished Pipes in Mumbai</v>
      </c>
      <c r="AH83" s="15" t="str">
        <f t="shared" si="18"/>
        <v>electropolished pipes manufacturer in Mumbai, electropolished pipes supplier in Mumbai, electropolished pipes wholesaler in Mumbai, electropolished tube manufacturer Mumbai, EP pipe supplier Mumbai, sanitary tube supplier Mumbai, ASME BPE tubing Mumbai, ASTM A270 tube Mumbai, SS 316L electropolished pipe Mumbai</v>
      </c>
      <c r="AI83" s="15" t="str">
        <f t="shared" si="19"/>
        <v>Electropolished Pipes Manufacturer &amp; Supplier in Mumbai</v>
      </c>
      <c r="AJ83" s="15" t="str">
        <f t="shared" si="20"/>
        <v>EP-finished SS 304/316L pipes and tubes for pharma &amp; API &amp; pharma plants in Mumbai. ASME BPE SF1-SF4, Ra from 0.25 um, EN 10204 3.1 certificate with every lot.</v>
      </c>
      <c r="AK83" s="15" t="str">
        <f t="shared" si="21"/>
        <v>Electropolished stainless steel pipes supplied by Sakshi Forge to pharma &amp; API &amp; pharma plants at Andheri MIDC, Mumbai</v>
      </c>
      <c r="AL83" s="15" t="str">
        <f t="shared" si="22"/>
        <v>Electropolished SS 316L tube stock for Mumbai - Sakshi Forge</v>
      </c>
      <c r="AM83" s="15" t="str">
        <f t="shared" si="23"/>
        <v>Home &gt; Market Area &gt; India &gt; Maharashtra &gt; Mumbai</v>
      </c>
      <c r="AN83" s="15">
        <f t="shared" si="24"/>
        <v>1400</v>
      </c>
      <c r="AO83" s="15">
        <f t="shared" si="25"/>
        <v>10</v>
      </c>
      <c r="AP83" s="15">
        <f t="shared" si="26"/>
        <v>12</v>
      </c>
      <c r="AQ83" s="15">
        <f t="shared" si="27"/>
        <v>2</v>
      </c>
      <c r="AR83" s="31"/>
      <c r="AS83" s="31"/>
      <c r="AT83" s="35" t="s">
        <v>222</v>
      </c>
      <c r="AU83" s="35"/>
    </row>
    <row r="84" ht="15.75" customHeight="1">
      <c r="A84" s="15" t="s">
        <v>3629</v>
      </c>
      <c r="B84" s="15" t="s">
        <v>60</v>
      </c>
      <c r="C84" s="15" t="s">
        <v>1818</v>
      </c>
      <c r="D84" s="15" t="s">
        <v>3631</v>
      </c>
      <c r="E84" s="15" t="s">
        <v>3631</v>
      </c>
      <c r="F84" s="16" t="s">
        <v>87</v>
      </c>
      <c r="G84" s="17" t="s">
        <v>88</v>
      </c>
      <c r="H84" s="18" t="s">
        <v>3632</v>
      </c>
      <c r="I84" s="18" t="s">
        <v>3632</v>
      </c>
      <c r="J84" s="18" t="s">
        <v>3634</v>
      </c>
      <c r="K84" s="18" t="s">
        <v>579</v>
      </c>
      <c r="L84" s="18" t="s">
        <v>3636</v>
      </c>
      <c r="M84" s="18" t="s">
        <v>830</v>
      </c>
      <c r="N84" s="18" t="s">
        <v>585</v>
      </c>
      <c r="O84" s="18" t="s">
        <v>98</v>
      </c>
      <c r="P84" s="15" t="str">
        <f t="shared" si="1"/>
        <v>DAIRY</v>
      </c>
      <c r="Q84" s="15">
        <f t="shared" si="2"/>
        <v>1</v>
      </c>
      <c r="R84" s="15">
        <f t="shared" si="3"/>
        <v>4</v>
      </c>
      <c r="S84" s="15">
        <f t="shared" si="4"/>
        <v>1</v>
      </c>
      <c r="T84" s="15" t="str">
        <f t="shared" si="5"/>
        <v>A-3</v>
      </c>
      <c r="U84" s="15" t="str">
        <f t="shared" si="6"/>
        <v>T1-M4-H1-FA-3-DAIRY</v>
      </c>
      <c r="V84" s="15">
        <f t="shared" si="7"/>
        <v>0</v>
      </c>
      <c r="W84" s="31"/>
      <c r="X84" s="15" t="str">
        <f t="shared" si="8"/>
        <v>muzaffarpur</v>
      </c>
      <c r="Y84" s="32" t="str">
        <f t="shared" si="9"/>
        <v>https://steelmanufacturer.in/market-area/electropolished-pipes-manufacturer-in-muzaffarpur/</v>
      </c>
      <c r="Z84" s="15" t="str">
        <f t="shared" si="10"/>
        <v>Electropolished Pipes Manufacturer in Muzaffarpur | Sakshi Forge</v>
      </c>
      <c r="AA84" s="15" t="str">
        <f t="shared" si="11"/>
        <v>OK (64)</v>
      </c>
      <c r="AB84" s="15" t="str">
        <f t="shared" si="12"/>
        <v>Sanitary electropolished pipes in Muzaffarpur for food &amp; dairy plants. ASME BPE SF1-SF4, orbital-weld ready, 3.1 MTC. Mumbai-made.</v>
      </c>
      <c r="AC84" s="15" t="str">
        <f t="shared" si="13"/>
        <v>OK (130)</v>
      </c>
      <c r="AD84" s="15" t="str">
        <f t="shared" si="14"/>
        <v>Electropolished Pipes Manufacturer in Muzaffarpur</v>
      </c>
      <c r="AE84" s="15" t="str">
        <f t="shared" si="15"/>
        <v>Electropolished Pipe &amp; Tube Manufacturing for Muzaffarpur - Grades, Finishes &amp; Certification</v>
      </c>
      <c r="AF84" s="15" t="str">
        <f t="shared" si="16"/>
        <v>Electropolished Pipes Supplier in Muzaffarpur - Stock Sizes, Lead Time &amp; Delivery</v>
      </c>
      <c r="AG84" s="15" t="str">
        <f t="shared" si="17"/>
        <v>Electropolished Pipes Wholesaler &amp; Stockist in Muzaffarpur - Bulk &amp; Project Pricing</v>
      </c>
      <c r="AH84" s="15" t="str">
        <f t="shared" si="18"/>
        <v>electropolished pipes manufacturer in Muzaffarpur, electropolished pipes supplier in Muzaffarpur, electropolished pipes wholesaler in Muzaffarpur, electropolished tube manufacturer Muzaffarpur, EP pipe supplier Muzaffarpur, sanitary tube supplier Muzaffarpur, ASME BPE tubing Muzaffarpur, ASTM A270 tube Muzaffarpur, SS 316L electropolished pipe Muzaffarpur</v>
      </c>
      <c r="AI84" s="15" t="str">
        <f t="shared" si="19"/>
        <v>Electropolished Pipes Manufacturer &amp; Supplier in Muzaffarpur</v>
      </c>
      <c r="AJ84" s="15" t="str">
        <f t="shared" si="20"/>
        <v>EP-finished SS 304/316L pipes and tubes for food &amp; dairy plants in Muzaffarpur. ASME BPE SF1-SF4, Ra from 0.25 um, EN 10204 3.1 certificate with every lot.</v>
      </c>
      <c r="AK84" s="15" t="str">
        <f t="shared" si="21"/>
        <v>Electropolished stainless steel pipes supplied by Sakshi Forge to food &amp; dairy plants at Bela Industrial Area BIADA, Muzaffarpur</v>
      </c>
      <c r="AL84" s="15" t="str">
        <f t="shared" si="22"/>
        <v>Electropolished SS 316L tube stock for Muzaffarpur - Sakshi Forge</v>
      </c>
      <c r="AM84" s="15" t="str">
        <f t="shared" si="23"/>
        <v>Home &gt; Market Area &gt; India &gt; Bihar &gt; Muzaffarpur</v>
      </c>
      <c r="AN84" s="15">
        <f t="shared" si="24"/>
        <v>1400</v>
      </c>
      <c r="AO84" s="15">
        <f t="shared" si="25"/>
        <v>10</v>
      </c>
      <c r="AP84" s="15">
        <f t="shared" si="26"/>
        <v>12</v>
      </c>
      <c r="AQ84" s="15">
        <f t="shared" si="27"/>
        <v>2</v>
      </c>
      <c r="AR84" s="31"/>
      <c r="AS84" s="31"/>
      <c r="AT84" s="35" t="s">
        <v>222</v>
      </c>
      <c r="AU84" s="35"/>
    </row>
    <row r="85" ht="15.75" customHeight="1">
      <c r="A85" s="15" t="s">
        <v>3657</v>
      </c>
      <c r="B85" s="15" t="s">
        <v>60</v>
      </c>
      <c r="C85" s="15" t="s">
        <v>570</v>
      </c>
      <c r="D85" s="15" t="s">
        <v>3658</v>
      </c>
      <c r="E85" s="15" t="s">
        <v>3658</v>
      </c>
      <c r="F85" s="16" t="s">
        <v>87</v>
      </c>
      <c r="G85" s="17" t="s">
        <v>88</v>
      </c>
      <c r="H85" s="18" t="s">
        <v>3661</v>
      </c>
      <c r="I85" s="18" t="s">
        <v>3662</v>
      </c>
      <c r="J85" s="18" t="s">
        <v>3663</v>
      </c>
      <c r="K85" s="18" t="s">
        <v>229</v>
      </c>
      <c r="L85" s="18" t="s">
        <v>3664</v>
      </c>
      <c r="M85" s="18" t="s">
        <v>231</v>
      </c>
      <c r="N85" s="18" t="s">
        <v>232</v>
      </c>
      <c r="O85" s="18" t="s">
        <v>98</v>
      </c>
      <c r="P85" s="15" t="str">
        <f t="shared" si="1"/>
        <v>PHARMA</v>
      </c>
      <c r="Q85" s="15">
        <f t="shared" si="2"/>
        <v>2</v>
      </c>
      <c r="R85" s="15">
        <f t="shared" si="3"/>
        <v>5</v>
      </c>
      <c r="S85" s="15">
        <f t="shared" si="4"/>
        <v>2</v>
      </c>
      <c r="T85" s="15" t="str">
        <f t="shared" si="5"/>
        <v>A-4</v>
      </c>
      <c r="U85" s="15" t="str">
        <f t="shared" si="6"/>
        <v>T2-M5-H2-FA-4-PHARMA</v>
      </c>
      <c r="V85" s="15">
        <f t="shared" si="7"/>
        <v>0</v>
      </c>
      <c r="W85" s="31"/>
      <c r="X85" s="15" t="str">
        <f t="shared" si="8"/>
        <v>mysuru</v>
      </c>
      <c r="Y85" s="32" t="str">
        <f t="shared" si="9"/>
        <v>https://steelmanufacturer.in/market-area/electropolished-pipes-manufacturer-in-mysuru/</v>
      </c>
      <c r="Z85" s="15" t="str">
        <f t="shared" si="10"/>
        <v>Electropolished Pipes Manufacturer in Mysuru</v>
      </c>
      <c r="AA85" s="15" t="str">
        <f t="shared" si="11"/>
        <v>OK (44)</v>
      </c>
      <c r="AB85" s="15" t="str">
        <f t="shared" si="12"/>
        <v>Manufacturer of electropolished SS 316L tube serving Mysuru. 2-3 day road transit from our Mumbai works. Ra 0.25-0.5 um, EN 10204 3.1 MTC.</v>
      </c>
      <c r="AC85" s="15" t="str">
        <f t="shared" si="13"/>
        <v>OK (138)</v>
      </c>
      <c r="AD85" s="15" t="str">
        <f t="shared" si="14"/>
        <v>Electropolished Pipes Manufacturer in Mysuru</v>
      </c>
      <c r="AE85" s="15" t="str">
        <f t="shared" si="15"/>
        <v>How We Manufacture Electropolished Tube for Mysuru Plants</v>
      </c>
      <c r="AF85" s="15" t="str">
        <f t="shared" si="16"/>
        <v>Supplying Electropolished Pipes in Mysuru: Availability, Sizes &amp; Dispatch</v>
      </c>
      <c r="AG85" s="15" t="str">
        <f t="shared" si="17"/>
        <v>Wholesale Electropolished Pipe Supply for Mysuru Projects</v>
      </c>
      <c r="AH85" s="15" t="str">
        <f t="shared" si="18"/>
        <v>electropolished pipes manufacturer in Mysuru, electropolished pipes supplier in Mysuru, electropolished pipes wholesaler in Mysuru, electropolished tube manufacturer Mysuru, EP pipe supplier Mysuru, sanitary tube supplier Mysuru, ASME BPE tubing Mysuru, ASTM A270 tube Mysuru, SS 316L electropolished pipe Mysuru</v>
      </c>
      <c r="AI85" s="15" t="str">
        <f t="shared" si="19"/>
        <v>Electropolished Pipes Manufacturer &amp; Supplier in Mysuru</v>
      </c>
      <c r="AJ85" s="15" t="str">
        <f t="shared" si="20"/>
        <v>EP-finished SS 304/316L pipes and tubes for pharma plants in Mysuru. ASME BPE SF1-SF4, Ra from 0.25 um, EN 10204 3.1 certificate with every lot.</v>
      </c>
      <c r="AK85" s="15" t="str">
        <f t="shared" si="21"/>
        <v>Electropolished stainless steel pipes supplied by Sakshi Forge to pharma plants at Hebbal Industrial Area, Mysuru</v>
      </c>
      <c r="AL85" s="15" t="str">
        <f t="shared" si="22"/>
        <v>Electropolished SS 316L tube stock for Mysuru - Sakshi Forge</v>
      </c>
      <c r="AM85" s="15" t="str">
        <f t="shared" si="23"/>
        <v>Home &gt; Market Area &gt; India &gt; Karnataka &gt; Mysuru</v>
      </c>
      <c r="AN85" s="15">
        <f t="shared" si="24"/>
        <v>1400</v>
      </c>
      <c r="AO85" s="15">
        <f t="shared" si="25"/>
        <v>10</v>
      </c>
      <c r="AP85" s="15">
        <f t="shared" si="26"/>
        <v>12</v>
      </c>
      <c r="AQ85" s="15">
        <f t="shared" si="27"/>
        <v>2</v>
      </c>
      <c r="AR85" s="31"/>
      <c r="AS85" s="31"/>
      <c r="AT85" s="35" t="s">
        <v>222</v>
      </c>
      <c r="AU85" s="35"/>
    </row>
    <row r="86" ht="15.75" customHeight="1">
      <c r="A86" s="15" t="s">
        <v>3689</v>
      </c>
      <c r="B86" s="15" t="s">
        <v>60</v>
      </c>
      <c r="C86" s="15" t="s">
        <v>264</v>
      </c>
      <c r="D86" s="15" t="s">
        <v>3691</v>
      </c>
      <c r="E86" s="15" t="s">
        <v>3691</v>
      </c>
      <c r="F86" s="16" t="s">
        <v>87</v>
      </c>
      <c r="G86" s="17" t="s">
        <v>88</v>
      </c>
      <c r="H86" s="18" t="s">
        <v>3693</v>
      </c>
      <c r="I86" s="18" t="s">
        <v>3694</v>
      </c>
      <c r="J86" s="18" t="s">
        <v>3696</v>
      </c>
      <c r="K86" s="18" t="s">
        <v>229</v>
      </c>
      <c r="L86" s="18" t="s">
        <v>3697</v>
      </c>
      <c r="M86" s="18" t="s">
        <v>830</v>
      </c>
      <c r="N86" s="18" t="s">
        <v>232</v>
      </c>
      <c r="O86" s="18" t="s">
        <v>98</v>
      </c>
      <c r="P86" s="15" t="str">
        <f t="shared" si="1"/>
        <v>PHARMA</v>
      </c>
      <c r="Q86" s="15">
        <f t="shared" si="2"/>
        <v>3</v>
      </c>
      <c r="R86" s="15">
        <f t="shared" si="3"/>
        <v>6</v>
      </c>
      <c r="S86" s="15">
        <f t="shared" si="4"/>
        <v>3</v>
      </c>
      <c r="T86" s="15" t="str">
        <f t="shared" si="5"/>
        <v>A-5</v>
      </c>
      <c r="U86" s="15" t="str">
        <f t="shared" si="6"/>
        <v>T3-M6-H3-FA-5-PHARMA</v>
      </c>
      <c r="V86" s="15">
        <f t="shared" si="7"/>
        <v>0</v>
      </c>
      <c r="W86" s="31"/>
      <c r="X86" s="15" t="str">
        <f t="shared" si="8"/>
        <v>nagpur</v>
      </c>
      <c r="Y86" s="32" t="str">
        <f t="shared" si="9"/>
        <v>https://steelmanufacturer.in/market-area/electropolished-pipes-manufacturer-in-nagpur/</v>
      </c>
      <c r="Z86" s="15" t="str">
        <f t="shared" si="10"/>
        <v>Electropolished Pipes Manufacturer in Nagpur | EP Tube Supplier</v>
      </c>
      <c r="AA86" s="15" t="str">
        <f t="shared" si="11"/>
        <v>OK (63)</v>
      </c>
      <c r="AB86" s="15" t="str">
        <f t="shared" si="12"/>
        <v>EP tube and pipe for pharma plants around Butibori MIDC, Nagpur. Made at our Mumbai works to ASTM A270 and ASME BPE SF1-SF4, with 3.1 MTC.</v>
      </c>
      <c r="AC86" s="15" t="str">
        <f t="shared" si="13"/>
        <v>OK (138)</v>
      </c>
      <c r="AD86" s="15" t="str">
        <f t="shared" si="14"/>
        <v>Electropolished Pipes Manufacturer in Nagpur</v>
      </c>
      <c r="AE86" s="15" t="str">
        <f t="shared" si="15"/>
        <v>Electropolished Pipes Manufacturer in Nagpur - Our Process &amp; Capability</v>
      </c>
      <c r="AF86" s="15" t="str">
        <f t="shared" si="16"/>
        <v>Electropolished Pipes Supplier in Nagpur - What We Hold in Stock</v>
      </c>
      <c r="AG86" s="15" t="str">
        <f t="shared" si="17"/>
        <v>Bulk &amp; Wholesale Electropolished Pipe Rates for Nagpur Buyers</v>
      </c>
      <c r="AH86" s="15" t="str">
        <f t="shared" si="18"/>
        <v>electropolished pipes manufacturer in Nagpur, electropolished pipes supplier in Nagpur, electropolished pipes wholesaler in Nagpur, electropolished tube manufacturer Nagpur, EP pipe supplier Nagpur, sanitary tube supplier Nagpur, ASME BPE tubing Nagpur, ASTM A270 tube Nagpur, SS 316L electropolished pipe Nagpur</v>
      </c>
      <c r="AI86" s="15" t="str">
        <f t="shared" si="19"/>
        <v>Electropolished Pipes Manufacturer &amp; Supplier in Nagpur</v>
      </c>
      <c r="AJ86" s="15" t="str">
        <f t="shared" si="20"/>
        <v>EP-finished SS 304/316L pipes and tubes for pharma plants in Nagpur. ASME BPE SF1-SF4, Ra from 0.25 um, EN 10204 3.1 certificate with every lot.</v>
      </c>
      <c r="AK86" s="15" t="str">
        <f t="shared" si="21"/>
        <v>Electropolished stainless steel pipes supplied by Sakshi Forge to pharma plants at Butibori MIDC, Nagpur</v>
      </c>
      <c r="AL86" s="15" t="str">
        <f t="shared" si="22"/>
        <v>Electropolished SS 316L tube stock for Nagpur - Sakshi Forge</v>
      </c>
      <c r="AM86" s="15" t="str">
        <f t="shared" si="23"/>
        <v>Home &gt; Market Area &gt; India &gt; Maharashtra &gt; Nagpur</v>
      </c>
      <c r="AN86" s="15">
        <f t="shared" si="24"/>
        <v>1400</v>
      </c>
      <c r="AO86" s="15">
        <f t="shared" si="25"/>
        <v>10</v>
      </c>
      <c r="AP86" s="15">
        <f t="shared" si="26"/>
        <v>12</v>
      </c>
      <c r="AQ86" s="15">
        <f t="shared" si="27"/>
        <v>2</v>
      </c>
      <c r="AR86" s="31"/>
      <c r="AS86" s="31"/>
      <c r="AT86" s="35" t="s">
        <v>222</v>
      </c>
      <c r="AU86" s="35"/>
    </row>
    <row r="87" ht="15.75" customHeight="1">
      <c r="A87" s="15" t="s">
        <v>3720</v>
      </c>
      <c r="B87" s="15" t="s">
        <v>60</v>
      </c>
      <c r="C87" s="15" t="s">
        <v>447</v>
      </c>
      <c r="D87" s="15" t="s">
        <v>3722</v>
      </c>
      <c r="E87" s="15" t="s">
        <v>3722</v>
      </c>
      <c r="F87" s="16" t="s">
        <v>87</v>
      </c>
      <c r="G87" s="17" t="s">
        <v>88</v>
      </c>
      <c r="H87" s="18" t="s">
        <v>3724</v>
      </c>
      <c r="I87" s="18" t="s">
        <v>3726</v>
      </c>
      <c r="J87" s="18" t="s">
        <v>3727</v>
      </c>
      <c r="K87" s="18" t="s">
        <v>229</v>
      </c>
      <c r="L87" s="18" t="s">
        <v>3728</v>
      </c>
      <c r="M87" s="18" t="s">
        <v>96</v>
      </c>
      <c r="N87" s="18" t="s">
        <v>232</v>
      </c>
      <c r="O87" s="18" t="s">
        <v>98</v>
      </c>
      <c r="P87" s="15" t="str">
        <f t="shared" si="1"/>
        <v>PHARMA</v>
      </c>
      <c r="Q87" s="15">
        <f t="shared" si="2"/>
        <v>4</v>
      </c>
      <c r="R87" s="15">
        <f t="shared" si="3"/>
        <v>7</v>
      </c>
      <c r="S87" s="15">
        <f t="shared" si="4"/>
        <v>4</v>
      </c>
      <c r="T87" s="15" t="str">
        <f t="shared" si="5"/>
        <v>A-6</v>
      </c>
      <c r="U87" s="15" t="str">
        <f t="shared" si="6"/>
        <v>T4-M7-H4-FA-6-PHARMA</v>
      </c>
      <c r="V87" s="15">
        <f t="shared" si="7"/>
        <v>0</v>
      </c>
      <c r="W87" s="31"/>
      <c r="X87" s="15" t="str">
        <f t="shared" si="8"/>
        <v>nalagarh</v>
      </c>
      <c r="Y87" s="32" t="str">
        <f t="shared" si="9"/>
        <v>https://steelmanufacturer.in/market-area/electropolished-pipes-manufacturer-in-nalagarh/</v>
      </c>
      <c r="Z87" s="15" t="str">
        <f t="shared" si="10"/>
        <v>Electropolished Pipes Manufacturer in Nalagarh</v>
      </c>
      <c r="AA87" s="15" t="str">
        <f t="shared" si="11"/>
        <v>OK (46)</v>
      </c>
      <c r="AB87" s="15" t="str">
        <f t="shared" si="12"/>
        <v>Electropolished pipes in Nalagarh: 304, 304L, 316 and 316L in SF1-SF4. 1-2 day road transit from our Mumbai works. Mill certified.</v>
      </c>
      <c r="AC87" s="15" t="str">
        <f t="shared" si="13"/>
        <v>OK (130)</v>
      </c>
      <c r="AD87" s="15" t="str">
        <f t="shared" si="14"/>
        <v>Electropolished Pipes Manufacturer in Nalagarh</v>
      </c>
      <c r="AE87" s="15" t="str">
        <f t="shared" si="15"/>
        <v>Manufacturing Electropolished SS Tube for Nalagarh: The Standards We Build To</v>
      </c>
      <c r="AF87" s="15" t="str">
        <f t="shared" si="16"/>
        <v>Electropolished Pipe Supply Into Nalagarh - Certification &amp; Transit</v>
      </c>
      <c r="AG87" s="15" t="str">
        <f t="shared" si="17"/>
        <v>Electropolished Pipes Wholesaler in Nalagarh - Project Quantities &amp; Terms</v>
      </c>
      <c r="AH87" s="15" t="str">
        <f t="shared" si="18"/>
        <v>electropolished pipes manufacturer in Nalagarh, electropolished pipes supplier in Nalagarh, electropolished pipes wholesaler in Nalagarh, electropolished tube manufacturer Nalagarh, EP pipe supplier Nalagarh, sanitary tube supplier Nalagarh, ASME BPE tubing Nalagarh, ASTM A270 tube Nalagarh, SS 316L electropolished pipe Nalagarh</v>
      </c>
      <c r="AI87" s="15" t="str">
        <f t="shared" si="19"/>
        <v>Electropolished Pipes Manufacturer &amp; Supplier in Nalagarh</v>
      </c>
      <c r="AJ87" s="15" t="str">
        <f t="shared" si="20"/>
        <v>EP-finished SS 304/316L pipes and tubes for pharma plants in Nalagarh. ASME BPE SF1-SF4, Ra from 0.25 um, EN 10204 3.1 certificate with every lot.</v>
      </c>
      <c r="AK87" s="15" t="str">
        <f t="shared" si="21"/>
        <v>Electropolished stainless steel pipes supplied by Sakshi Forge to pharma plants at Nalagarh Industrial Area, Nalagarh</v>
      </c>
      <c r="AL87" s="15" t="str">
        <f t="shared" si="22"/>
        <v>Electropolished SS 316L tube stock for Nalagarh - Sakshi Forge</v>
      </c>
      <c r="AM87" s="15" t="str">
        <f t="shared" si="23"/>
        <v>Home &gt; Market Area &gt; India &gt; Himachal Pradesh &gt; Nalagarh</v>
      </c>
      <c r="AN87" s="15">
        <f t="shared" si="24"/>
        <v>1400</v>
      </c>
      <c r="AO87" s="15">
        <f t="shared" si="25"/>
        <v>10</v>
      </c>
      <c r="AP87" s="15">
        <f t="shared" si="26"/>
        <v>12</v>
      </c>
      <c r="AQ87" s="15">
        <f t="shared" si="27"/>
        <v>2</v>
      </c>
      <c r="AR87" s="31"/>
      <c r="AS87" s="31"/>
      <c r="AT87" s="35" t="s">
        <v>222</v>
      </c>
      <c r="AU87" s="35"/>
    </row>
    <row r="88" ht="15.75" customHeight="1">
      <c r="A88" s="15" t="s">
        <v>3757</v>
      </c>
      <c r="B88" s="15" t="s">
        <v>60</v>
      </c>
      <c r="C88" s="15" t="s">
        <v>264</v>
      </c>
      <c r="D88" s="15" t="s">
        <v>3759</v>
      </c>
      <c r="E88" s="15" t="s">
        <v>3759</v>
      </c>
      <c r="F88" s="16" t="s">
        <v>87</v>
      </c>
      <c r="G88" s="17" t="s">
        <v>88</v>
      </c>
      <c r="H88" s="18" t="s">
        <v>3761</v>
      </c>
      <c r="I88" s="18" t="s">
        <v>3762</v>
      </c>
      <c r="J88" s="18" t="s">
        <v>3763</v>
      </c>
      <c r="K88" s="18" t="s">
        <v>229</v>
      </c>
      <c r="L88" s="18" t="s">
        <v>3764</v>
      </c>
      <c r="M88" s="18" t="s">
        <v>96</v>
      </c>
      <c r="N88" s="18" t="s">
        <v>232</v>
      </c>
      <c r="O88" s="18" t="s">
        <v>98</v>
      </c>
      <c r="P88" s="15" t="str">
        <f t="shared" si="1"/>
        <v>PHARMA</v>
      </c>
      <c r="Q88" s="15">
        <f t="shared" si="2"/>
        <v>5</v>
      </c>
      <c r="R88" s="15">
        <f t="shared" si="3"/>
        <v>1</v>
      </c>
      <c r="S88" s="15">
        <f t="shared" si="4"/>
        <v>5</v>
      </c>
      <c r="T88" s="15" t="str">
        <f t="shared" si="5"/>
        <v>A-1</v>
      </c>
      <c r="U88" s="15" t="str">
        <f t="shared" si="6"/>
        <v>T5-M1-H5-FA-1-PHARMA</v>
      </c>
      <c r="V88" s="15">
        <f t="shared" si="7"/>
        <v>0</v>
      </c>
      <c r="W88" s="31"/>
      <c r="X88" s="15" t="str">
        <f t="shared" si="8"/>
        <v>nashik</v>
      </c>
      <c r="Y88" s="32" t="str">
        <f t="shared" si="9"/>
        <v>https://steelmanufacturer.in/market-area/electropolished-pipes-manufacturer-in-nashik/</v>
      </c>
      <c r="Z88" s="15" t="str">
        <f t="shared" si="10"/>
        <v>Electropolished Pipes Manufacturer in Nashik</v>
      </c>
      <c r="AA88" s="15" t="str">
        <f t="shared" si="11"/>
        <v>OK (44)</v>
      </c>
      <c r="AB88" s="15" t="str">
        <f t="shared" si="12"/>
        <v>EP-finished SS 304/316L pipes &amp; tubes for pharma plants in Nashik. ASTM A270, ASME BPE SF1-SF4, EN 10204 3.1 MTC. PMI tested.</v>
      </c>
      <c r="AC88" s="15" t="str">
        <f t="shared" si="13"/>
        <v>OK (125)</v>
      </c>
      <c r="AD88" s="15" t="str">
        <f t="shared" si="14"/>
        <v>Electropolished Pipes Manufacturer in Nashik</v>
      </c>
      <c r="AE88" s="15" t="str">
        <f t="shared" si="15"/>
        <v>Electropolished Tube Manufacturing Capability Serving Nashik</v>
      </c>
      <c r="AF88" s="15" t="str">
        <f t="shared" si="16"/>
        <v>Electropolished Pipes Supplier in Nashik - From Order to Delivery</v>
      </c>
      <c r="AG88" s="15" t="str">
        <f t="shared" si="17"/>
        <v>Stockist &amp; Wholesale Supply of Electropolished Pipes in Nashik</v>
      </c>
      <c r="AH88" s="15" t="str">
        <f t="shared" si="18"/>
        <v>electropolished pipes manufacturer in Nashik, electropolished pipes supplier in Nashik, electropolished pipes wholesaler in Nashik, electropolished tube manufacturer Nashik, EP pipe supplier Nashik, sanitary tube supplier Nashik, ASME BPE tubing Nashik, ASTM A270 tube Nashik, SS 316L electropolished pipe Nashik</v>
      </c>
      <c r="AI88" s="15" t="str">
        <f t="shared" si="19"/>
        <v>Electropolished Pipes Manufacturer &amp; Supplier in Nashik</v>
      </c>
      <c r="AJ88" s="15" t="str">
        <f t="shared" si="20"/>
        <v>EP-finished SS 304/316L pipes and tubes for pharma plants in Nashik. ASME BPE SF1-SF4, Ra from 0.25 um, EN 10204 3.1 certificate with every lot.</v>
      </c>
      <c r="AK88" s="15" t="str">
        <f t="shared" si="21"/>
        <v>Electropolished stainless steel pipes supplied by Sakshi Forge to pharma plants at Satpur MIDC, Nashik</v>
      </c>
      <c r="AL88" s="15" t="str">
        <f t="shared" si="22"/>
        <v>Electropolished SS 316L tube stock for Nashik - Sakshi Forge</v>
      </c>
      <c r="AM88" s="15" t="str">
        <f t="shared" si="23"/>
        <v>Home &gt; Market Area &gt; India &gt; Maharashtra &gt; Nashik</v>
      </c>
      <c r="AN88" s="15">
        <f t="shared" si="24"/>
        <v>1400</v>
      </c>
      <c r="AO88" s="15">
        <f t="shared" si="25"/>
        <v>10</v>
      </c>
      <c r="AP88" s="15">
        <f t="shared" si="26"/>
        <v>12</v>
      </c>
      <c r="AQ88" s="15">
        <f t="shared" si="27"/>
        <v>2</v>
      </c>
      <c r="AR88" s="31"/>
      <c r="AS88" s="31"/>
      <c r="AT88" s="35" t="s">
        <v>222</v>
      </c>
      <c r="AU88" s="35"/>
    </row>
    <row r="89" ht="15.75" customHeight="1">
      <c r="A89" s="15" t="s">
        <v>3784</v>
      </c>
      <c r="B89" s="15" t="s">
        <v>60</v>
      </c>
      <c r="C89" s="15" t="s">
        <v>264</v>
      </c>
      <c r="D89" s="15" t="s">
        <v>3785</v>
      </c>
      <c r="E89" s="15" t="s">
        <v>3785</v>
      </c>
      <c r="F89" s="16" t="s">
        <v>87</v>
      </c>
      <c r="G89" s="17" t="s">
        <v>88</v>
      </c>
      <c r="H89" s="18" t="s">
        <v>3787</v>
      </c>
      <c r="I89" s="18" t="s">
        <v>3788</v>
      </c>
      <c r="J89" s="18" t="s">
        <v>3789</v>
      </c>
      <c r="K89" s="18" t="s">
        <v>436</v>
      </c>
      <c r="L89" s="18" t="s">
        <v>3790</v>
      </c>
      <c r="M89" s="18" t="s">
        <v>276</v>
      </c>
      <c r="N89" s="18" t="s">
        <v>232</v>
      </c>
      <c r="O89" s="18" t="s">
        <v>98</v>
      </c>
      <c r="P89" s="15" t="str">
        <f t="shared" si="1"/>
        <v>PHARMA</v>
      </c>
      <c r="Q89" s="15">
        <f t="shared" si="2"/>
        <v>6</v>
      </c>
      <c r="R89" s="15">
        <f t="shared" si="3"/>
        <v>2</v>
      </c>
      <c r="S89" s="15">
        <f t="shared" si="4"/>
        <v>1</v>
      </c>
      <c r="T89" s="15" t="str">
        <f t="shared" si="5"/>
        <v>A-2</v>
      </c>
      <c r="U89" s="15" t="str">
        <f t="shared" si="6"/>
        <v>T6-M2-H1-FA-2-PHARMA</v>
      </c>
      <c r="V89" s="15">
        <f t="shared" si="7"/>
        <v>0</v>
      </c>
      <c r="W89" s="31"/>
      <c r="X89" s="15" t="str">
        <f t="shared" si="8"/>
        <v>navi-mumbai</v>
      </c>
      <c r="Y89" s="32" t="str">
        <f t="shared" si="9"/>
        <v>https://steelmanufacturer.in/market-area/electropolished-pipes-manufacturer-in-navi-mumbai/</v>
      </c>
      <c r="Z89" s="15" t="str">
        <f t="shared" si="10"/>
        <v>Electropolished Pipes Manufacturer in Navi Mumbai</v>
      </c>
      <c r="AA89" s="15" t="str">
        <f t="shared" si="11"/>
        <v>OK (49)</v>
      </c>
      <c r="AB89" s="15" t="str">
        <f t="shared" si="12"/>
        <v>Electropolished tube supply to TTC Industrial Area MIDC (Rabale, Navi Mumbai. Ra from 0.25 um, SF4 finish, mill test certificate with every lot.</v>
      </c>
      <c r="AC89" s="15" t="str">
        <f t="shared" si="13"/>
        <v>OK (144)</v>
      </c>
      <c r="AD89" s="15" t="str">
        <f t="shared" si="14"/>
        <v>Electropolished Pipes Manufacturer in Navi Mumbai</v>
      </c>
      <c r="AE89" s="15" t="str">
        <f t="shared" si="15"/>
        <v>Electropolished Pipe &amp; Tube Manufacturing for Navi Mumbai - Grades, Finishes &amp; Certification</v>
      </c>
      <c r="AF89" s="15" t="str">
        <f t="shared" si="16"/>
        <v>Electropolished Pipes Supplier in Navi Mumbai - Stock Sizes, Lead Time &amp; Delivery</v>
      </c>
      <c r="AG89" s="15" t="str">
        <f t="shared" si="17"/>
        <v>Electropolished Pipes Wholesaler &amp; Stockist in Navi Mumbai - Bulk &amp; Project Pricing</v>
      </c>
      <c r="AH89" s="15" t="str">
        <f t="shared" si="18"/>
        <v>electropolished pipes manufacturer in Navi Mumbai, electropolished pipes supplier in Navi Mumbai, electropolished pipes wholesaler in Navi Mumbai, electropolished tube manufacturer Navi Mumbai, EP pipe supplier Navi Mumbai, sanitary tube supplier Navi Mumbai, ASME BPE tubing Navi Mumbai, ASTM A270 tube Navi Mumbai, SS 316L electropolished pipe Navi Mumbai</v>
      </c>
      <c r="AI89" s="15" t="str">
        <f t="shared" si="19"/>
        <v>Electropolished Pipes Manufacturer &amp; Supplier in Navi Mumbai</v>
      </c>
      <c r="AJ89" s="15" t="str">
        <f t="shared" si="20"/>
        <v>EP-finished SS 304/316L pipes and tubes for pharma &amp; API plants in Navi Mumbai. ASME BPE SF1-SF4, Ra from 0.25 um, EN 10204 3.1 certificate with every lot.</v>
      </c>
      <c r="AK89" s="15" t="str">
        <f t="shared" si="21"/>
        <v>Electropolished stainless steel pipes supplied by Sakshi Forge to pharma &amp; API plants at TTC Industrial Area MIDC (Rabale, Navi Mumbai</v>
      </c>
      <c r="AL89" s="15" t="str">
        <f t="shared" si="22"/>
        <v>Electropolished SS 316L tube stock for Navi Mumbai - Sakshi Forge</v>
      </c>
      <c r="AM89" s="15" t="str">
        <f t="shared" si="23"/>
        <v>Home &gt; Market Area &gt; India &gt; Maharashtra &gt; Navi Mumbai</v>
      </c>
      <c r="AN89" s="15">
        <f t="shared" si="24"/>
        <v>1400</v>
      </c>
      <c r="AO89" s="15">
        <f t="shared" si="25"/>
        <v>10</v>
      </c>
      <c r="AP89" s="15">
        <f t="shared" si="26"/>
        <v>12</v>
      </c>
      <c r="AQ89" s="15">
        <f t="shared" si="27"/>
        <v>2</v>
      </c>
      <c r="AR89" s="31"/>
      <c r="AS89" s="31"/>
      <c r="AT89" s="35" t="s">
        <v>222</v>
      </c>
      <c r="AU89" s="35"/>
    </row>
    <row r="90" ht="15.75" customHeight="1">
      <c r="A90" s="15" t="s">
        <v>3817</v>
      </c>
      <c r="B90" s="15" t="s">
        <v>60</v>
      </c>
      <c r="C90" s="15" t="s">
        <v>413</v>
      </c>
      <c r="D90" s="15" t="s">
        <v>3819</v>
      </c>
      <c r="E90" s="15" t="s">
        <v>3819</v>
      </c>
      <c r="F90" s="16" t="s">
        <v>87</v>
      </c>
      <c r="G90" s="17" t="s">
        <v>88</v>
      </c>
      <c r="H90" s="18" t="s">
        <v>3820</v>
      </c>
      <c r="I90" s="18" t="s">
        <v>3822</v>
      </c>
      <c r="J90" s="18" t="s">
        <v>3823</v>
      </c>
      <c r="K90" s="18" t="s">
        <v>271</v>
      </c>
      <c r="L90" s="18" t="s">
        <v>3825</v>
      </c>
      <c r="M90" s="18" t="s">
        <v>276</v>
      </c>
      <c r="N90" s="18" t="s">
        <v>277</v>
      </c>
      <c r="O90" s="18" t="s">
        <v>98</v>
      </c>
      <c r="P90" s="15" t="str">
        <f t="shared" si="1"/>
        <v>CHEM</v>
      </c>
      <c r="Q90" s="15">
        <f t="shared" si="2"/>
        <v>7</v>
      </c>
      <c r="R90" s="15">
        <f t="shared" si="3"/>
        <v>3</v>
      </c>
      <c r="S90" s="15">
        <f t="shared" si="4"/>
        <v>2</v>
      </c>
      <c r="T90" s="15" t="str">
        <f t="shared" si="5"/>
        <v>A-3</v>
      </c>
      <c r="U90" s="15" t="str">
        <f t="shared" si="6"/>
        <v>T7-M3-H2-FA-3-CHEM</v>
      </c>
      <c r="V90" s="15">
        <f t="shared" si="7"/>
        <v>0</v>
      </c>
      <c r="W90" s="31"/>
      <c r="X90" s="15" t="str">
        <f t="shared" si="8"/>
        <v>nellore</v>
      </c>
      <c r="Y90" s="32" t="str">
        <f t="shared" si="9"/>
        <v>https://steelmanufacturer.in/market-area/electropolished-pipes-manufacturer-in-nellore/</v>
      </c>
      <c r="Z90" s="15" t="str">
        <f t="shared" si="10"/>
        <v>Electropolished Pipes Manufacturer in Nellore | ASME BPE SF1-SF4</v>
      </c>
      <c r="AA90" s="15" t="str">
        <f t="shared" si="11"/>
        <v>OK (64)</v>
      </c>
      <c r="AB90" s="15" t="str">
        <f t="shared" si="12"/>
        <v>EP stainless tube for chemical lines in Nellore. same-day to next-day road from our Mumbai works. ASTM A270 S2, PMI tested, EN 10204 3.1.</v>
      </c>
      <c r="AC90" s="15" t="str">
        <f t="shared" si="13"/>
        <v>OK (137)</v>
      </c>
      <c r="AD90" s="15" t="str">
        <f t="shared" si="14"/>
        <v>Electropolished Pipes Manufacturer in Nellore</v>
      </c>
      <c r="AE90" s="15" t="str">
        <f t="shared" si="15"/>
        <v>How We Manufacture Electropolished Tube for Nellore Plants</v>
      </c>
      <c r="AF90" s="15" t="str">
        <f t="shared" si="16"/>
        <v>Supplying Electropolished Pipes in Nellore: Availability, Sizes &amp; Dispatch</v>
      </c>
      <c r="AG90" s="15" t="str">
        <f t="shared" si="17"/>
        <v>Wholesale Electropolished Pipe Supply for Nellore Projects</v>
      </c>
      <c r="AH90" s="15" t="str">
        <f t="shared" si="18"/>
        <v>electropolished pipes manufacturer in Nellore, electropolished pipes supplier in Nellore, electropolished pipes wholesaler in Nellore, electropolished tube manufacturer Nellore, EP pipe supplier Nellore, sanitary tube supplier Nellore, ASME BPE tubing Nellore, ASTM A270 tube Nellore, SS 316L electropolished pipe Nellore</v>
      </c>
      <c r="AI90" s="15" t="str">
        <f t="shared" si="19"/>
        <v>Electropolished Pipes Manufacturer &amp; Supplier in Nellore</v>
      </c>
      <c r="AJ90" s="15" t="str">
        <f t="shared" si="20"/>
        <v>EP-finished SS 304/316L pipes and tubes for chemical plants in Nellore. ASME BPE SF1-SF4, Ra from 0.25 um, EN 10204 3.1 certificate with every lot.</v>
      </c>
      <c r="AK90" s="15" t="str">
        <f t="shared" si="21"/>
        <v>Electropolished stainless steel pipes supplied by Sakshi Forge to chemical plants at Krishnapatnam Industrial Node, Nellore</v>
      </c>
      <c r="AL90" s="15" t="str">
        <f t="shared" si="22"/>
        <v>Electropolished SS 316L tube stock for Nellore - Sakshi Forge</v>
      </c>
      <c r="AM90" s="15" t="str">
        <f t="shared" si="23"/>
        <v>Home &gt; Market Area &gt; India &gt; Andhra Pradesh &gt; Nellore</v>
      </c>
      <c r="AN90" s="15">
        <f t="shared" si="24"/>
        <v>1400</v>
      </c>
      <c r="AO90" s="15">
        <f t="shared" si="25"/>
        <v>10</v>
      </c>
      <c r="AP90" s="15">
        <f t="shared" si="26"/>
        <v>12</v>
      </c>
      <c r="AQ90" s="15">
        <f t="shared" si="27"/>
        <v>2</v>
      </c>
      <c r="AR90" s="31"/>
      <c r="AS90" s="31"/>
      <c r="AT90" s="35" t="s">
        <v>222</v>
      </c>
      <c r="AU90" s="35"/>
    </row>
    <row r="91" ht="15.75" customHeight="1">
      <c r="A91" s="15" t="s">
        <v>3850</v>
      </c>
      <c r="B91" s="15" t="s">
        <v>60</v>
      </c>
      <c r="C91" s="15" t="s">
        <v>2202</v>
      </c>
      <c r="D91" s="15" t="s">
        <v>3853</v>
      </c>
      <c r="E91" s="15" t="s">
        <v>3853</v>
      </c>
      <c r="F91" s="16" t="s">
        <v>87</v>
      </c>
      <c r="G91" s="17" t="s">
        <v>88</v>
      </c>
      <c r="H91" s="18" t="s">
        <v>3854</v>
      </c>
      <c r="I91" s="18" t="s">
        <v>3855</v>
      </c>
      <c r="J91" s="18" t="s">
        <v>3857</v>
      </c>
      <c r="K91" s="18" t="s">
        <v>229</v>
      </c>
      <c r="L91" s="18" t="s">
        <v>3859</v>
      </c>
      <c r="M91" s="18" t="s">
        <v>276</v>
      </c>
      <c r="N91" s="18" t="s">
        <v>232</v>
      </c>
      <c r="O91" s="18" t="s">
        <v>98</v>
      </c>
      <c r="P91" s="15" t="str">
        <f t="shared" si="1"/>
        <v>PHARMA</v>
      </c>
      <c r="Q91" s="15">
        <f t="shared" si="2"/>
        <v>8</v>
      </c>
      <c r="R91" s="15">
        <f t="shared" si="3"/>
        <v>4</v>
      </c>
      <c r="S91" s="15">
        <f t="shared" si="4"/>
        <v>3</v>
      </c>
      <c r="T91" s="15" t="str">
        <f t="shared" si="5"/>
        <v>A-4</v>
      </c>
      <c r="U91" s="15" t="str">
        <f t="shared" si="6"/>
        <v>T8-M4-H3-FA-4-PHARMA</v>
      </c>
      <c r="V91" s="15">
        <f t="shared" si="7"/>
        <v>0</v>
      </c>
      <c r="W91" s="31"/>
      <c r="X91" s="15" t="str">
        <f t="shared" si="8"/>
        <v>new-delhi</v>
      </c>
      <c r="Y91" s="32" t="str">
        <f t="shared" si="9"/>
        <v>https://steelmanufacturer.in/market-area/electropolished-pipes-manufacturer-in-new-delhi/</v>
      </c>
      <c r="Z91" s="15" t="str">
        <f t="shared" si="10"/>
        <v>Electropolished Pipes Manufacturer in New Delhi</v>
      </c>
      <c r="AA91" s="15" t="str">
        <f t="shared" si="11"/>
        <v>OK (47)</v>
      </c>
      <c r="AB91" s="15" t="str">
        <f t="shared" si="12"/>
        <v>Sanitary electropolished pipes in New Delhi for pharma plants. ASME BPE SF1-SF4, orbital-weld ready, 3.1 MTC. Mumbai-made.</v>
      </c>
      <c r="AC91" s="15" t="str">
        <f t="shared" si="13"/>
        <v>OK (122)</v>
      </c>
      <c r="AD91" s="15" t="str">
        <f t="shared" si="14"/>
        <v>Electropolished Pipes Manufacturer in New Delhi</v>
      </c>
      <c r="AE91" s="15" t="str">
        <f t="shared" si="15"/>
        <v>Electropolished Pipes Manufacturer in New Delhi - Our Process &amp; Capability</v>
      </c>
      <c r="AF91" s="15" t="str">
        <f t="shared" si="16"/>
        <v>Electropolished Pipes Supplier in New Delhi - What We Hold in Stock</v>
      </c>
      <c r="AG91" s="15" t="str">
        <f t="shared" si="17"/>
        <v>Bulk &amp; Wholesale Electropolished Pipe Rates for New Delhi Buyers</v>
      </c>
      <c r="AH91" s="15" t="str">
        <f t="shared" si="18"/>
        <v>electropolished pipes manufacturer in New Delhi, electropolished pipes supplier in New Delhi, electropolished pipes wholesaler in New Delhi, electropolished tube manufacturer New Delhi, EP pipe supplier New Delhi, sanitary tube supplier New Delhi, ASME BPE tubing New Delhi, ASTM A270 tube New Delhi, SS 316L electropolished pipe New Delhi</v>
      </c>
      <c r="AI91" s="15" t="str">
        <f t="shared" si="19"/>
        <v>Electropolished Pipes Manufacturer &amp; Supplier in New Delhi</v>
      </c>
      <c r="AJ91" s="15" t="str">
        <f t="shared" si="20"/>
        <v>EP-finished SS 304/316L pipes and tubes for pharma plants in New Delhi. ASME BPE SF1-SF4, Ra from 0.25 um, EN 10204 3.1 certificate with every lot.</v>
      </c>
      <c r="AK91" s="15" t="str">
        <f t="shared" si="21"/>
        <v>Electropolished stainless steel pipes supplied by Sakshi Forge to pharma plants at Okhla Industrial Area Phase I-III, New Delhi</v>
      </c>
      <c r="AL91" s="15" t="str">
        <f t="shared" si="22"/>
        <v>Electropolished SS 316L tube stock for New Delhi - Sakshi Forge</v>
      </c>
      <c r="AM91" s="15" t="str">
        <f t="shared" si="23"/>
        <v>Home &gt; Market Area &gt; India &gt; Delhi &gt; New Delhi</v>
      </c>
      <c r="AN91" s="15">
        <f t="shared" si="24"/>
        <v>1400</v>
      </c>
      <c r="AO91" s="15">
        <f t="shared" si="25"/>
        <v>10</v>
      </c>
      <c r="AP91" s="15">
        <f t="shared" si="26"/>
        <v>12</v>
      </c>
      <c r="AQ91" s="15">
        <f t="shared" si="27"/>
        <v>2</v>
      </c>
      <c r="AR91" s="31"/>
      <c r="AS91" s="31"/>
      <c r="AT91" s="35" t="s">
        <v>222</v>
      </c>
      <c r="AU91" s="35"/>
    </row>
    <row r="92" ht="15.75" customHeight="1">
      <c r="A92" s="15" t="s">
        <v>3883</v>
      </c>
      <c r="B92" s="15" t="s">
        <v>60</v>
      </c>
      <c r="C92" s="15" t="s">
        <v>1312</v>
      </c>
      <c r="D92" s="15" t="s">
        <v>3884</v>
      </c>
      <c r="E92" s="15" t="s">
        <v>3884</v>
      </c>
      <c r="F92" s="16" t="s">
        <v>87</v>
      </c>
      <c r="G92" s="17" t="s">
        <v>88</v>
      </c>
      <c r="H92" s="18" t="s">
        <v>3886</v>
      </c>
      <c r="I92" s="18" t="s">
        <v>3886</v>
      </c>
      <c r="J92" s="18" t="s">
        <v>3887</v>
      </c>
      <c r="K92" s="18" t="s">
        <v>94</v>
      </c>
      <c r="L92" s="18" t="s">
        <v>3889</v>
      </c>
      <c r="M92" s="18" t="s">
        <v>231</v>
      </c>
      <c r="N92" s="18" t="s">
        <v>97</v>
      </c>
      <c r="O92" s="18" t="s">
        <v>98</v>
      </c>
      <c r="P92" s="15" t="str">
        <f t="shared" si="1"/>
        <v>FOOD</v>
      </c>
      <c r="Q92" s="15">
        <f t="shared" si="2"/>
        <v>1</v>
      </c>
      <c r="R92" s="15">
        <f t="shared" si="3"/>
        <v>5</v>
      </c>
      <c r="S92" s="15">
        <f t="shared" si="4"/>
        <v>4</v>
      </c>
      <c r="T92" s="15" t="str">
        <f t="shared" si="5"/>
        <v>A-5</v>
      </c>
      <c r="U92" s="15" t="str">
        <f t="shared" si="6"/>
        <v>T1-M5-H4-FA-5-FOOD</v>
      </c>
      <c r="V92" s="15">
        <f t="shared" si="7"/>
        <v>0</v>
      </c>
      <c r="W92" s="31"/>
      <c r="X92" s="15" t="str">
        <f t="shared" si="8"/>
        <v>nizamabad</v>
      </c>
      <c r="Y92" s="32" t="str">
        <f t="shared" si="9"/>
        <v>https://steelmanufacturer.in/market-area/electropolished-pipes-manufacturer-in-nizamabad/</v>
      </c>
      <c r="Z92" s="15" t="str">
        <f t="shared" si="10"/>
        <v>Electropolished Pipes Manufacturer in Nizamabad | Sakshi Forge</v>
      </c>
      <c r="AA92" s="15" t="str">
        <f t="shared" si="11"/>
        <v>OK (62)</v>
      </c>
      <c r="AB92" s="15" t="str">
        <f t="shared" si="12"/>
        <v>Manufacturer of electropolished SS 316L tube serving Nizamabad. 2-3 day road transit from our Mumbai works. Ra 0.25-0.5 um, EN 10204 3.1 MTC.</v>
      </c>
      <c r="AC92" s="15" t="str">
        <f t="shared" si="13"/>
        <v>OK (141)</v>
      </c>
      <c r="AD92" s="15" t="str">
        <f t="shared" si="14"/>
        <v>Electropolished Pipes Manufacturer in Nizamabad</v>
      </c>
      <c r="AE92" s="15" t="str">
        <f t="shared" si="15"/>
        <v>Manufacturing Electropolished SS Tube for Nizamabad: The Standards We Build To</v>
      </c>
      <c r="AF92" s="15" t="str">
        <f t="shared" si="16"/>
        <v>Electropolished Pipe Supply Into Nizamabad - Certification &amp; Transit</v>
      </c>
      <c r="AG92" s="15" t="str">
        <f t="shared" si="17"/>
        <v>Electropolished Pipes Wholesaler in Nizamabad - Project Quantities &amp; Terms</v>
      </c>
      <c r="AH92" s="15" t="str">
        <f t="shared" si="18"/>
        <v>electropolished pipes manufacturer in Nizamabad, electropolished pipes supplier in Nizamabad, electropolished pipes wholesaler in Nizamabad, electropolished tube manufacturer Nizamabad, EP pipe supplier Nizamabad, sanitary tube supplier Nizamabad, ASME BPE tubing Nizamabad, ASTM A270 tube Nizamabad, SS 316L electropolished pipe Nizamabad</v>
      </c>
      <c r="AI92" s="15" t="str">
        <f t="shared" si="19"/>
        <v>Electropolished Pipes Manufacturer &amp; Supplier in Nizamabad</v>
      </c>
      <c r="AJ92" s="15" t="str">
        <f t="shared" si="20"/>
        <v>EP-finished SS 304/316L pipes and tubes for food processing plants in Nizamabad. ASME BPE SF1-SF4, Ra from 0.25 um, EN 10204 3.1 certificate with every lot.</v>
      </c>
      <c r="AK92" s="15" t="str">
        <f t="shared" si="21"/>
        <v>Electropolished stainless steel pipes supplied by Sakshi Forge to food processing plants at Nizamabad IDA, Nizamabad</v>
      </c>
      <c r="AL92" s="15" t="str">
        <f t="shared" si="22"/>
        <v>Electropolished SS 316L tube stock for Nizamabad - Sakshi Forge</v>
      </c>
      <c r="AM92" s="15" t="str">
        <f t="shared" si="23"/>
        <v>Home &gt; Market Area &gt; India &gt; Telangana &gt; Nizamabad</v>
      </c>
      <c r="AN92" s="15">
        <f t="shared" si="24"/>
        <v>1400</v>
      </c>
      <c r="AO92" s="15">
        <f t="shared" si="25"/>
        <v>10</v>
      </c>
      <c r="AP92" s="15">
        <f t="shared" si="26"/>
        <v>12</v>
      </c>
      <c r="AQ92" s="15">
        <f t="shared" si="27"/>
        <v>2</v>
      </c>
      <c r="AR92" s="31"/>
      <c r="AS92" s="31"/>
      <c r="AT92" s="35" t="s">
        <v>222</v>
      </c>
      <c r="AU92" s="35"/>
    </row>
    <row r="93" ht="15.75" customHeight="1">
      <c r="A93" s="15" t="s">
        <v>3909</v>
      </c>
      <c r="B93" s="15" t="s">
        <v>60</v>
      </c>
      <c r="C93" s="15" t="s">
        <v>85</v>
      </c>
      <c r="D93" s="15" t="s">
        <v>3911</v>
      </c>
      <c r="E93" s="15" t="s">
        <v>3911</v>
      </c>
      <c r="F93" s="16" t="s">
        <v>87</v>
      </c>
      <c r="G93" s="17" t="s">
        <v>88</v>
      </c>
      <c r="H93" s="18" t="s">
        <v>3912</v>
      </c>
      <c r="I93" s="18" t="s">
        <v>3914</v>
      </c>
      <c r="J93" s="18" t="s">
        <v>3915</v>
      </c>
      <c r="K93" s="18" t="s">
        <v>969</v>
      </c>
      <c r="L93" s="18" t="s">
        <v>3917</v>
      </c>
      <c r="M93" s="18" t="s">
        <v>98</v>
      </c>
      <c r="N93" s="18" t="s">
        <v>232</v>
      </c>
      <c r="O93" s="18" t="s">
        <v>98</v>
      </c>
      <c r="P93" s="15" t="str">
        <f t="shared" si="1"/>
        <v>SEMI</v>
      </c>
      <c r="Q93" s="15">
        <f t="shared" si="2"/>
        <v>2</v>
      </c>
      <c r="R93" s="15">
        <f t="shared" si="3"/>
        <v>6</v>
      </c>
      <c r="S93" s="15">
        <f t="shared" si="4"/>
        <v>5</v>
      </c>
      <c r="T93" s="15" t="str">
        <f t="shared" si="5"/>
        <v>A-6</v>
      </c>
      <c r="U93" s="15" t="str">
        <f t="shared" si="6"/>
        <v>T2-M6-H5-FA-6-SEMI</v>
      </c>
      <c r="V93" s="15">
        <f t="shared" si="7"/>
        <v>0</v>
      </c>
      <c r="W93" s="31"/>
      <c r="X93" s="15" t="str">
        <f t="shared" si="8"/>
        <v>noida</v>
      </c>
      <c r="Y93" s="32" t="str">
        <f t="shared" si="9"/>
        <v>https://steelmanufacturer.in/market-area/electropolished-pipes-manufacturer-in-noida/</v>
      </c>
      <c r="Z93" s="15" t="str">
        <f t="shared" si="10"/>
        <v>Electropolished Pipes Manufacturer in Noida</v>
      </c>
      <c r="AA93" s="15" t="str">
        <f t="shared" si="11"/>
        <v>OK (43)</v>
      </c>
      <c r="AB93" s="15" t="str">
        <f t="shared" si="12"/>
        <v>EP tube and pipe for electronics &amp; pharma plants around Noida Phase I-III, Noida. Made at our Mumbai works to ASTM A270 and ASME BPE SF1-SF4, with 3.1 MTC.</v>
      </c>
      <c r="AC93" s="15" t="str">
        <f t="shared" si="13"/>
        <v>OK (155)</v>
      </c>
      <c r="AD93" s="15" t="str">
        <f t="shared" si="14"/>
        <v>Electropolished Pipes Manufacturer in Noida</v>
      </c>
      <c r="AE93" s="15" t="str">
        <f t="shared" si="15"/>
        <v>Electropolished Tube Manufacturing Capability Serving Noida</v>
      </c>
      <c r="AF93" s="15" t="str">
        <f t="shared" si="16"/>
        <v>Electropolished Pipes Supplier in Noida - From Order to Delivery</v>
      </c>
      <c r="AG93" s="15" t="str">
        <f t="shared" si="17"/>
        <v>Stockist &amp; Wholesale Supply of Electropolished Pipes in Noida</v>
      </c>
      <c r="AH93" s="15" t="str">
        <f t="shared" si="18"/>
        <v>electropolished pipes manufacturer in Noida, electropolished pipes supplier in Noida, electropolished pipes wholesaler in Noida, electropolished tube manufacturer Noida, EP pipe supplier Noida, sanitary tube supplier Noida, ASME BPE tubing Noida, ASTM A270 tube Noida, SS 316L electropolished pipe Noida</v>
      </c>
      <c r="AI93" s="15" t="str">
        <f t="shared" si="19"/>
        <v>Electropolished Pipes Manufacturer &amp; Supplier in Noida</v>
      </c>
      <c r="AJ93" s="15" t="str">
        <f t="shared" si="20"/>
        <v>EP-finished SS 304/316L pipes and tubes for electronics &amp; pharma plants in Noida. ASME BPE SF1-SF4, Ra from 0.25 um, EN 10204 3.1 certificate with every lot.</v>
      </c>
      <c r="AK93" s="15" t="str">
        <f t="shared" si="21"/>
        <v>Electropolished stainless steel pipes supplied by Sakshi Forge to electronics &amp; pharma plants at Noida Phase I-III, Noida</v>
      </c>
      <c r="AL93" s="15" t="str">
        <f t="shared" si="22"/>
        <v>Electropolished SS 316L tube stock for Noida - Sakshi Forge</v>
      </c>
      <c r="AM93" s="15" t="str">
        <f t="shared" si="23"/>
        <v>Home &gt; Market Area &gt; India &gt; Uttar Pradesh &gt; Noida</v>
      </c>
      <c r="AN93" s="15">
        <f t="shared" si="24"/>
        <v>1400</v>
      </c>
      <c r="AO93" s="15">
        <f t="shared" si="25"/>
        <v>10</v>
      </c>
      <c r="AP93" s="15">
        <f t="shared" si="26"/>
        <v>12</v>
      </c>
      <c r="AQ93" s="15">
        <f t="shared" si="27"/>
        <v>2</v>
      </c>
      <c r="AR93" s="31"/>
      <c r="AS93" s="31"/>
      <c r="AT93" s="35" t="s">
        <v>222</v>
      </c>
      <c r="AU93" s="35"/>
    </row>
    <row r="94" ht="15.75" customHeight="1">
      <c r="A94" s="15" t="s">
        <v>3936</v>
      </c>
      <c r="B94" s="15" t="s">
        <v>60</v>
      </c>
      <c r="C94" s="15" t="s">
        <v>2391</v>
      </c>
      <c r="D94" s="15" t="s">
        <v>3938</v>
      </c>
      <c r="E94" s="15" t="s">
        <v>3938</v>
      </c>
      <c r="F94" s="16" t="s">
        <v>87</v>
      </c>
      <c r="G94" s="17" t="s">
        <v>88</v>
      </c>
      <c r="H94" s="18" t="s">
        <v>3940</v>
      </c>
      <c r="I94" s="18" t="s">
        <v>3941</v>
      </c>
      <c r="J94" s="18" t="s">
        <v>3942</v>
      </c>
      <c r="K94" s="18" t="s">
        <v>229</v>
      </c>
      <c r="L94" s="18" t="s">
        <v>3943</v>
      </c>
      <c r="M94" s="18" t="s">
        <v>276</v>
      </c>
      <c r="N94" s="18" t="s">
        <v>232</v>
      </c>
      <c r="O94" s="18" t="s">
        <v>98</v>
      </c>
      <c r="P94" s="15" t="str">
        <f t="shared" si="1"/>
        <v>PHARMA</v>
      </c>
      <c r="Q94" s="15">
        <f t="shared" si="2"/>
        <v>3</v>
      </c>
      <c r="R94" s="15">
        <f t="shared" si="3"/>
        <v>7</v>
      </c>
      <c r="S94" s="15">
        <f t="shared" si="4"/>
        <v>1</v>
      </c>
      <c r="T94" s="15" t="str">
        <f t="shared" si="5"/>
        <v>A-1</v>
      </c>
      <c r="U94" s="15" t="str">
        <f t="shared" si="6"/>
        <v>T3-M7-H1-FA-1-PHARMA</v>
      </c>
      <c r="V94" s="15">
        <f t="shared" si="7"/>
        <v>0</v>
      </c>
      <c r="W94" s="31"/>
      <c r="X94" s="15" t="str">
        <f t="shared" si="8"/>
        <v>panaji</v>
      </c>
      <c r="Y94" s="32" t="str">
        <f t="shared" si="9"/>
        <v>https://steelmanufacturer.in/market-area/electropolished-pipes-manufacturer-in-panaji/</v>
      </c>
      <c r="Z94" s="15" t="str">
        <f t="shared" si="10"/>
        <v>Electropolished Pipes Manufacturer in Panaji | EP Tube Supplier</v>
      </c>
      <c r="AA94" s="15" t="str">
        <f t="shared" si="11"/>
        <v>OK (63)</v>
      </c>
      <c r="AB94" s="15" t="str">
        <f t="shared" si="12"/>
        <v>Electropolished pipes in Panaji: 304, 304L, 316 and 316L in SF1-SF4. same-day to next-day road from our Mumbai works. Mill certified.</v>
      </c>
      <c r="AC94" s="15" t="str">
        <f t="shared" si="13"/>
        <v>OK (133)</v>
      </c>
      <c r="AD94" s="15" t="str">
        <f t="shared" si="14"/>
        <v>Electropolished Pipes Manufacturer in Panaji</v>
      </c>
      <c r="AE94" s="15" t="str">
        <f t="shared" si="15"/>
        <v>Electropolished Pipe &amp; Tube Manufacturing for Panaji - Grades, Finishes &amp; Certification</v>
      </c>
      <c r="AF94" s="15" t="str">
        <f t="shared" si="16"/>
        <v>Electropolished Pipes Supplier in Panaji - Stock Sizes, Lead Time &amp; Delivery</v>
      </c>
      <c r="AG94" s="15" t="str">
        <f t="shared" si="17"/>
        <v>Electropolished Pipes Wholesaler &amp; Stockist in Panaji - Bulk &amp; Project Pricing</v>
      </c>
      <c r="AH94" s="15" t="str">
        <f t="shared" si="18"/>
        <v>electropolished pipes manufacturer in Panaji, electropolished pipes supplier in Panaji, electropolished pipes wholesaler in Panaji, electropolished tube manufacturer Panaji, EP pipe supplier Panaji, sanitary tube supplier Panaji, ASME BPE tubing Panaji, ASTM A270 tube Panaji, SS 316L electropolished pipe Panaji</v>
      </c>
      <c r="AI94" s="15" t="str">
        <f t="shared" si="19"/>
        <v>Electropolished Pipes Manufacturer &amp; Supplier in Panaji</v>
      </c>
      <c r="AJ94" s="15" t="str">
        <f t="shared" si="20"/>
        <v>EP-finished SS 304/316L pipes and tubes for pharma plants in Panaji. ASME BPE SF1-SF4, Ra from 0.25 um, EN 10204 3.1 certificate with every lot.</v>
      </c>
      <c r="AK94" s="15" t="str">
        <f t="shared" si="21"/>
        <v>Electropolished stainless steel pipes supplied by Sakshi Forge to pharma plants at Corlim Industrial Estate, Panaji</v>
      </c>
      <c r="AL94" s="15" t="str">
        <f t="shared" si="22"/>
        <v>Electropolished SS 316L tube stock for Panaji - Sakshi Forge</v>
      </c>
      <c r="AM94" s="15" t="str">
        <f t="shared" si="23"/>
        <v>Home &gt; Market Area &gt; India &gt; Goa &gt; Panaji</v>
      </c>
      <c r="AN94" s="15">
        <f t="shared" si="24"/>
        <v>1400</v>
      </c>
      <c r="AO94" s="15">
        <f t="shared" si="25"/>
        <v>10</v>
      </c>
      <c r="AP94" s="15">
        <f t="shared" si="26"/>
        <v>12</v>
      </c>
      <c r="AQ94" s="15">
        <f t="shared" si="27"/>
        <v>2</v>
      </c>
      <c r="AR94" s="31"/>
      <c r="AS94" s="31"/>
      <c r="AT94" s="35" t="s">
        <v>222</v>
      </c>
      <c r="AU94" s="35"/>
    </row>
    <row r="95" ht="15.75" customHeight="1">
      <c r="A95" s="15" t="s">
        <v>3964</v>
      </c>
      <c r="B95" s="15" t="s">
        <v>60</v>
      </c>
      <c r="C95" s="15" t="s">
        <v>245</v>
      </c>
      <c r="D95" s="15" t="s">
        <v>3965</v>
      </c>
      <c r="E95" s="15" t="s">
        <v>3965</v>
      </c>
      <c r="F95" s="16" t="s">
        <v>87</v>
      </c>
      <c r="G95" s="17" t="s">
        <v>88</v>
      </c>
      <c r="H95" s="18" t="s">
        <v>3966</v>
      </c>
      <c r="I95" s="18" t="s">
        <v>3967</v>
      </c>
      <c r="J95" s="18" t="s">
        <v>3968</v>
      </c>
      <c r="K95" s="18" t="s">
        <v>1084</v>
      </c>
      <c r="L95" s="18" t="s">
        <v>3970</v>
      </c>
      <c r="M95" s="18" t="s">
        <v>96</v>
      </c>
      <c r="N95" s="18" t="s">
        <v>277</v>
      </c>
      <c r="O95" s="18" t="s">
        <v>98</v>
      </c>
      <c r="P95" s="15" t="str">
        <f t="shared" si="1"/>
        <v>CHEM</v>
      </c>
      <c r="Q95" s="15">
        <f t="shared" si="2"/>
        <v>4</v>
      </c>
      <c r="R95" s="15">
        <f t="shared" si="3"/>
        <v>1</v>
      </c>
      <c r="S95" s="15">
        <f t="shared" si="4"/>
        <v>2</v>
      </c>
      <c r="T95" s="15" t="str">
        <f t="shared" si="5"/>
        <v>A-2</v>
      </c>
      <c r="U95" s="15" t="str">
        <f t="shared" si="6"/>
        <v>T4-M1-H2-FA-2-CHEM</v>
      </c>
      <c r="V95" s="15">
        <f t="shared" si="7"/>
        <v>0</v>
      </c>
      <c r="W95" s="31"/>
      <c r="X95" s="15" t="str">
        <f t="shared" si="8"/>
        <v>panipat</v>
      </c>
      <c r="Y95" s="32" t="str">
        <f t="shared" si="9"/>
        <v>https://steelmanufacturer.in/market-area/electropolished-pipes-manufacturer-in-panipat/</v>
      </c>
      <c r="Z95" s="15" t="str">
        <f t="shared" si="10"/>
        <v>Electropolished Pipes Manufacturer in Panipat</v>
      </c>
      <c r="AA95" s="15" t="str">
        <f t="shared" si="11"/>
        <v>OK (45)</v>
      </c>
      <c r="AB95" s="15" t="str">
        <f t="shared" si="12"/>
        <v>EP-finished SS 304/316L pipes &amp; tubes for petrochemical plants in Panipat. ASTM A270, ASME BPE SF1-SF4, EN 10204 3.1 MTC. PMI tested.</v>
      </c>
      <c r="AC95" s="15" t="str">
        <f t="shared" si="13"/>
        <v>OK (133)</v>
      </c>
      <c r="AD95" s="15" t="str">
        <f t="shared" si="14"/>
        <v>Electropolished Pipes Manufacturer in Panipat</v>
      </c>
      <c r="AE95" s="15" t="str">
        <f t="shared" si="15"/>
        <v>How We Manufacture Electropolished Tube for Panipat Plants</v>
      </c>
      <c r="AF95" s="15" t="str">
        <f t="shared" si="16"/>
        <v>Supplying Electropolished Pipes in Panipat: Availability, Sizes &amp; Dispatch</v>
      </c>
      <c r="AG95" s="15" t="str">
        <f t="shared" si="17"/>
        <v>Wholesale Electropolished Pipe Supply for Panipat Projects</v>
      </c>
      <c r="AH95" s="15" t="str">
        <f t="shared" si="18"/>
        <v>electropolished pipes manufacturer in Panipat, electropolished pipes supplier in Panipat, electropolished pipes wholesaler in Panipat, electropolished tube manufacturer Panipat, EP pipe supplier Panipat, sanitary tube supplier Panipat, ASME BPE tubing Panipat, ASTM A270 tube Panipat, SS 316L electropolished pipe Panipat</v>
      </c>
      <c r="AI95" s="15" t="str">
        <f t="shared" si="19"/>
        <v>Electropolished Pipes Manufacturer &amp; Supplier in Panipat</v>
      </c>
      <c r="AJ95" s="15" t="str">
        <f t="shared" si="20"/>
        <v>EP-finished SS 304/316L pipes and tubes for petrochemical plants in Panipat. ASME BPE SF1-SF4, Ra from 0.25 um, EN 10204 3.1 certificate with every lot.</v>
      </c>
      <c r="AK95" s="15" t="str">
        <f t="shared" si="21"/>
        <v>Electropolished stainless steel pipes supplied by Sakshi Forge to petrochemical plants at Panipat Industrial Area, Panipat</v>
      </c>
      <c r="AL95" s="15" t="str">
        <f t="shared" si="22"/>
        <v>Electropolished SS 316L tube stock for Panipat - Sakshi Forge</v>
      </c>
      <c r="AM95" s="15" t="str">
        <f t="shared" si="23"/>
        <v>Home &gt; Market Area &gt; India &gt; Haryana &gt; Panipat</v>
      </c>
      <c r="AN95" s="15">
        <f t="shared" si="24"/>
        <v>1400</v>
      </c>
      <c r="AO95" s="15">
        <f t="shared" si="25"/>
        <v>10</v>
      </c>
      <c r="AP95" s="15">
        <f t="shared" si="26"/>
        <v>12</v>
      </c>
      <c r="AQ95" s="15">
        <f t="shared" si="27"/>
        <v>2</v>
      </c>
      <c r="AR95" s="31"/>
      <c r="AS95" s="31"/>
      <c r="AT95" s="35" t="s">
        <v>222</v>
      </c>
      <c r="AU95" s="35"/>
    </row>
    <row r="96" ht="15.75" customHeight="1">
      <c r="A96" s="15" t="s">
        <v>3990</v>
      </c>
      <c r="B96" s="15" t="s">
        <v>60</v>
      </c>
      <c r="C96" s="15" t="s">
        <v>264</v>
      </c>
      <c r="D96" s="15" t="s">
        <v>3991</v>
      </c>
      <c r="E96" s="15" t="s">
        <v>3991</v>
      </c>
      <c r="F96" s="16" t="s">
        <v>87</v>
      </c>
      <c r="G96" s="17" t="s">
        <v>88</v>
      </c>
      <c r="H96" s="18" t="s">
        <v>3993</v>
      </c>
      <c r="I96" s="18" t="s">
        <v>3994</v>
      </c>
      <c r="J96" s="18" t="s">
        <v>3995</v>
      </c>
      <c r="K96" s="18" t="s">
        <v>271</v>
      </c>
      <c r="L96" s="18" t="s">
        <v>3996</v>
      </c>
      <c r="M96" s="18" t="s">
        <v>276</v>
      </c>
      <c r="N96" s="18" t="s">
        <v>277</v>
      </c>
      <c r="O96" s="18" t="s">
        <v>98</v>
      </c>
      <c r="P96" s="15" t="str">
        <f t="shared" si="1"/>
        <v>CHEM</v>
      </c>
      <c r="Q96" s="15">
        <f t="shared" si="2"/>
        <v>5</v>
      </c>
      <c r="R96" s="15">
        <f t="shared" si="3"/>
        <v>2</v>
      </c>
      <c r="S96" s="15">
        <f t="shared" si="4"/>
        <v>3</v>
      </c>
      <c r="T96" s="15" t="str">
        <f t="shared" si="5"/>
        <v>A-3</v>
      </c>
      <c r="U96" s="15" t="str">
        <f t="shared" si="6"/>
        <v>T5-M2-H3-FA-3-CHEM</v>
      </c>
      <c r="V96" s="15">
        <f t="shared" si="7"/>
        <v>0</v>
      </c>
      <c r="W96" s="31"/>
      <c r="X96" s="15" t="str">
        <f t="shared" si="8"/>
        <v>panvel</v>
      </c>
      <c r="Y96" s="32" t="str">
        <f t="shared" si="9"/>
        <v>https://steelmanufacturer.in/market-area/electropolished-pipes-manufacturer-in-panvel/</v>
      </c>
      <c r="Z96" s="15" t="str">
        <f t="shared" si="10"/>
        <v>Electropolished Pipes Manufacturer in Panvel</v>
      </c>
      <c r="AA96" s="15" t="str">
        <f t="shared" si="11"/>
        <v>OK (44)</v>
      </c>
      <c r="AB96" s="15" t="str">
        <f t="shared" si="12"/>
        <v>Electropolished tube supply to Panvel MIDC, Panvel. Ra from 0.25 um, SF4 finish, mill test certificate with every lot.</v>
      </c>
      <c r="AC96" s="15" t="str">
        <f t="shared" si="13"/>
        <v>OK (118)</v>
      </c>
      <c r="AD96" s="15" t="str">
        <f t="shared" si="14"/>
        <v>Electropolished Pipes Manufacturer in Panvel</v>
      </c>
      <c r="AE96" s="15" t="str">
        <f t="shared" si="15"/>
        <v>Electropolished Pipes Manufacturer in Panvel - Our Process &amp; Capability</v>
      </c>
      <c r="AF96" s="15" t="str">
        <f t="shared" si="16"/>
        <v>Electropolished Pipes Supplier in Panvel - What We Hold in Stock</v>
      </c>
      <c r="AG96" s="15" t="str">
        <f t="shared" si="17"/>
        <v>Bulk &amp; Wholesale Electropolished Pipe Rates for Panvel Buyers</v>
      </c>
      <c r="AH96" s="15" t="str">
        <f t="shared" si="18"/>
        <v>electropolished pipes manufacturer in Panvel, electropolished pipes supplier in Panvel, electropolished pipes wholesaler in Panvel, electropolished tube manufacturer Panvel, EP pipe supplier Panvel, sanitary tube supplier Panvel, ASME BPE tubing Panvel, ASTM A270 tube Panvel, SS 316L electropolished pipe Panvel</v>
      </c>
      <c r="AI96" s="15" t="str">
        <f t="shared" si="19"/>
        <v>Electropolished Pipes Manufacturer &amp; Supplier in Panvel</v>
      </c>
      <c r="AJ96" s="15" t="str">
        <f t="shared" si="20"/>
        <v>EP-finished SS 304/316L pipes and tubes for chemical plants in Panvel. ASME BPE SF1-SF4, Ra from 0.25 um, EN 10204 3.1 certificate with every lot.</v>
      </c>
      <c r="AK96" s="15" t="str">
        <f t="shared" si="21"/>
        <v>Electropolished stainless steel pipes supplied by Sakshi Forge to chemical plants at Panvel MIDC, Panvel</v>
      </c>
      <c r="AL96" s="15" t="str">
        <f t="shared" si="22"/>
        <v>Electropolished SS 316L tube stock for Panvel - Sakshi Forge</v>
      </c>
      <c r="AM96" s="15" t="str">
        <f t="shared" si="23"/>
        <v>Home &gt; Market Area &gt; India &gt; Maharashtra &gt; Panvel</v>
      </c>
      <c r="AN96" s="15">
        <f t="shared" si="24"/>
        <v>1400</v>
      </c>
      <c r="AO96" s="15">
        <f t="shared" si="25"/>
        <v>10</v>
      </c>
      <c r="AP96" s="15">
        <f t="shared" si="26"/>
        <v>12</v>
      </c>
      <c r="AQ96" s="15">
        <f t="shared" si="27"/>
        <v>2</v>
      </c>
      <c r="AR96" s="31"/>
      <c r="AS96" s="31"/>
      <c r="AT96" s="35" t="s">
        <v>222</v>
      </c>
      <c r="AU96" s="35"/>
    </row>
    <row r="97" ht="15.75" customHeight="1">
      <c r="A97" s="15" t="s">
        <v>4016</v>
      </c>
      <c r="B97" s="15" t="s">
        <v>60</v>
      </c>
      <c r="C97" s="15" t="s">
        <v>447</v>
      </c>
      <c r="D97" s="15" t="s">
        <v>4017</v>
      </c>
      <c r="E97" s="15" t="s">
        <v>4017</v>
      </c>
      <c r="F97" s="16" t="s">
        <v>87</v>
      </c>
      <c r="G97" s="17" t="s">
        <v>88</v>
      </c>
      <c r="H97" s="18" t="s">
        <v>4019</v>
      </c>
      <c r="I97" s="18" t="s">
        <v>4019</v>
      </c>
      <c r="J97" s="18" t="s">
        <v>4020</v>
      </c>
      <c r="K97" s="18" t="s">
        <v>838</v>
      </c>
      <c r="L97" s="18" t="s">
        <v>2796</v>
      </c>
      <c r="M97" s="18" t="s">
        <v>96</v>
      </c>
      <c r="N97" s="18" t="s">
        <v>232</v>
      </c>
      <c r="O97" s="18" t="s">
        <v>98</v>
      </c>
      <c r="P97" s="15" t="str">
        <f t="shared" si="1"/>
        <v>PHARMA</v>
      </c>
      <c r="Q97" s="15">
        <f t="shared" si="2"/>
        <v>6</v>
      </c>
      <c r="R97" s="15">
        <f t="shared" si="3"/>
        <v>3</v>
      </c>
      <c r="S97" s="15">
        <f t="shared" si="4"/>
        <v>4</v>
      </c>
      <c r="T97" s="15" t="str">
        <f t="shared" si="5"/>
        <v>A-4</v>
      </c>
      <c r="U97" s="15" t="str">
        <f t="shared" si="6"/>
        <v>T6-M3-H4-FA-4-PHARMA</v>
      </c>
      <c r="V97" s="15">
        <f t="shared" si="7"/>
        <v>0</v>
      </c>
      <c r="W97" s="31"/>
      <c r="X97" s="15" t="str">
        <f t="shared" si="8"/>
        <v>paonta-sahib</v>
      </c>
      <c r="Y97" s="32" t="str">
        <f t="shared" si="9"/>
        <v>https://steelmanufacturer.in/market-area/electropolished-pipes-manufacturer-in-paonta-sahib/</v>
      </c>
      <c r="Z97" s="15" t="str">
        <f t="shared" si="10"/>
        <v>Electropolished Pipes Manufacturer in Paonta Sahib</v>
      </c>
      <c r="AA97" s="15" t="str">
        <f t="shared" si="11"/>
        <v>OK (50)</v>
      </c>
      <c r="AB97" s="15" t="str">
        <f t="shared" si="12"/>
        <v>EP stainless tube for pharma &amp; chemical lines in Paonta Sahib. 1-2 day road transit from our Mumbai works. ASTM A270 S2, PMI tested, EN 10204 3.1.</v>
      </c>
      <c r="AC97" s="15" t="str">
        <f t="shared" si="13"/>
        <v>OK (146)</v>
      </c>
      <c r="AD97" s="15" t="str">
        <f t="shared" si="14"/>
        <v>Electropolished Pipes Manufacturer in Paonta Sahib</v>
      </c>
      <c r="AE97" s="15" t="str">
        <f t="shared" si="15"/>
        <v>Manufacturing Electropolished SS Tube for Paonta Sahib: The Standards We Build To</v>
      </c>
      <c r="AF97" s="15" t="str">
        <f t="shared" si="16"/>
        <v>Electropolished Pipe Supply Into Paonta Sahib - Certification &amp; Transit</v>
      </c>
      <c r="AG97" s="15" t="str">
        <f t="shared" si="17"/>
        <v>Electropolished Pipes Wholesaler in Paonta Sahib - Project Quantities &amp; Terms</v>
      </c>
      <c r="AH97" s="15" t="str">
        <f t="shared" si="18"/>
        <v>electropolished pipes manufacturer in Paonta Sahib, electropolished pipes supplier in Paonta Sahib, electropolished pipes wholesaler in Paonta Sahib, electropolished tube manufacturer Paonta Sahib, EP pipe supplier Paonta Sahib, sanitary tube supplier Paonta Sahib, ASME BPE tubing Paonta Sahib, ASTM A270 tube Paonta Sahib, SS 316L electropolished pipe Paonta Sahib</v>
      </c>
      <c r="AI97" s="15" t="str">
        <f t="shared" si="19"/>
        <v>Electropolished Pipes Manufacturer &amp; Supplier in Paonta Sahib</v>
      </c>
      <c r="AJ97" s="15" t="str">
        <f t="shared" si="20"/>
        <v>EP-finished SS 304/316L pipes and tubes for pharma &amp; chemical plants in Paonta Sahib. ASME BPE SF1-SF4, Ra from 0.25 um, EN 10204 3.1 certificate with every lot.</v>
      </c>
      <c r="AK97" s="15" t="str">
        <f t="shared" si="21"/>
        <v>Electropolished stainless steel pipes supplied by Sakshi Forge to pharma &amp; chemical plants at Paonta Sahib Industrial Area, Paonta Sahib</v>
      </c>
      <c r="AL97" s="15" t="str">
        <f t="shared" si="22"/>
        <v>Electropolished SS 316L tube stock for Paonta Sahib - Sakshi Forge</v>
      </c>
      <c r="AM97" s="15" t="str">
        <f t="shared" si="23"/>
        <v>Home &gt; Market Area &gt; India &gt; Himachal Pradesh &gt; Paonta Sahib</v>
      </c>
      <c r="AN97" s="15">
        <f t="shared" si="24"/>
        <v>1400</v>
      </c>
      <c r="AO97" s="15">
        <f t="shared" si="25"/>
        <v>10</v>
      </c>
      <c r="AP97" s="15">
        <f t="shared" si="26"/>
        <v>12</v>
      </c>
      <c r="AQ97" s="15">
        <f t="shared" si="27"/>
        <v>2</v>
      </c>
      <c r="AR97" s="31"/>
      <c r="AS97" s="31"/>
      <c r="AT97" s="35" t="s">
        <v>222</v>
      </c>
      <c r="AU97" s="35"/>
    </row>
    <row r="98" ht="15.75" customHeight="1">
      <c r="A98" s="15" t="s">
        <v>4041</v>
      </c>
      <c r="B98" s="15" t="s">
        <v>60</v>
      </c>
      <c r="C98" s="15" t="s">
        <v>424</v>
      </c>
      <c r="D98" s="15" t="s">
        <v>4042</v>
      </c>
      <c r="E98" s="15" t="s">
        <v>4042</v>
      </c>
      <c r="F98" s="16" t="s">
        <v>87</v>
      </c>
      <c r="G98" s="17" t="s">
        <v>88</v>
      </c>
      <c r="H98" s="18" t="s">
        <v>4044</v>
      </c>
      <c r="I98" s="18" t="s">
        <v>4044</v>
      </c>
      <c r="J98" s="18" t="s">
        <v>4046</v>
      </c>
      <c r="K98" s="18" t="s">
        <v>1084</v>
      </c>
      <c r="L98" s="18" t="s">
        <v>4048</v>
      </c>
      <c r="M98" s="18" t="s">
        <v>276</v>
      </c>
      <c r="N98" s="18" t="s">
        <v>277</v>
      </c>
      <c r="O98" s="18" t="s">
        <v>98</v>
      </c>
      <c r="P98" s="15" t="str">
        <f t="shared" si="1"/>
        <v>CHEM</v>
      </c>
      <c r="Q98" s="15">
        <f t="shared" si="2"/>
        <v>7</v>
      </c>
      <c r="R98" s="15">
        <f t="shared" si="3"/>
        <v>4</v>
      </c>
      <c r="S98" s="15">
        <f t="shared" si="4"/>
        <v>5</v>
      </c>
      <c r="T98" s="15" t="str">
        <f t="shared" si="5"/>
        <v>A-5</v>
      </c>
      <c r="U98" s="15" t="str">
        <f t="shared" si="6"/>
        <v>T7-M4-H5-FA-5-CHEM</v>
      </c>
      <c r="V98" s="15">
        <f t="shared" si="7"/>
        <v>0</v>
      </c>
      <c r="W98" s="31"/>
      <c r="X98" s="15" t="str">
        <f t="shared" si="8"/>
        <v>paradip</v>
      </c>
      <c r="Y98" s="32" t="str">
        <f t="shared" si="9"/>
        <v>https://steelmanufacturer.in/market-area/electropolished-pipes-manufacturer-in-paradip/</v>
      </c>
      <c r="Z98" s="15" t="str">
        <f t="shared" si="10"/>
        <v>Electropolished Pipes Manufacturer in Paradip | ASME BPE SF1-SF4</v>
      </c>
      <c r="AA98" s="15" t="str">
        <f t="shared" si="11"/>
        <v>OK (64)</v>
      </c>
      <c r="AB98" s="15" t="str">
        <f t="shared" si="12"/>
        <v>Sanitary electropolished pipes in Paradip for petrochemical plants. ASME BPE SF1-SF4, orbital-weld ready, 3.1 MTC. Mumbai-made.</v>
      </c>
      <c r="AC98" s="15" t="str">
        <f t="shared" si="13"/>
        <v>OK (127)</v>
      </c>
      <c r="AD98" s="15" t="str">
        <f t="shared" si="14"/>
        <v>Electropolished Pipes Manufacturer in Paradip</v>
      </c>
      <c r="AE98" s="15" t="str">
        <f t="shared" si="15"/>
        <v>Electropolished Tube Manufacturing Capability Serving Paradip</v>
      </c>
      <c r="AF98" s="15" t="str">
        <f t="shared" si="16"/>
        <v>Electropolished Pipes Supplier in Paradip - From Order to Delivery</v>
      </c>
      <c r="AG98" s="15" t="str">
        <f t="shared" si="17"/>
        <v>Stockist &amp; Wholesale Supply of Electropolished Pipes in Paradip</v>
      </c>
      <c r="AH98" s="15" t="str">
        <f t="shared" si="18"/>
        <v>electropolished pipes manufacturer in Paradip, electropolished pipes supplier in Paradip, electropolished pipes wholesaler in Paradip, electropolished tube manufacturer Paradip, EP pipe supplier Paradip, sanitary tube supplier Paradip, ASME BPE tubing Paradip, ASTM A270 tube Paradip, SS 316L electropolished pipe Paradip</v>
      </c>
      <c r="AI98" s="15" t="str">
        <f t="shared" si="19"/>
        <v>Electropolished Pipes Manufacturer &amp; Supplier in Paradip</v>
      </c>
      <c r="AJ98" s="15" t="str">
        <f t="shared" si="20"/>
        <v>EP-finished SS 304/316L pipes and tubes for petrochemical plants in Paradip. ASME BPE SF1-SF4, Ra from 0.25 um, EN 10204 3.1 certificate with every lot.</v>
      </c>
      <c r="AK98" s="15" t="str">
        <f t="shared" si="21"/>
        <v>Electropolished stainless steel pipes supplied by Sakshi Forge to petrochemical plants at Paradip Industrial Complex IDCO, Paradip</v>
      </c>
      <c r="AL98" s="15" t="str">
        <f t="shared" si="22"/>
        <v>Electropolished SS 316L tube stock for Paradip - Sakshi Forge</v>
      </c>
      <c r="AM98" s="15" t="str">
        <f t="shared" si="23"/>
        <v>Home &gt; Market Area &gt; India &gt; Odisha &gt; Paradip</v>
      </c>
      <c r="AN98" s="15">
        <f t="shared" si="24"/>
        <v>1400</v>
      </c>
      <c r="AO98" s="15">
        <f t="shared" si="25"/>
        <v>10</v>
      </c>
      <c r="AP98" s="15">
        <f t="shared" si="26"/>
        <v>12</v>
      </c>
      <c r="AQ98" s="15">
        <f t="shared" si="27"/>
        <v>2</v>
      </c>
      <c r="AR98" s="31"/>
      <c r="AS98" s="31"/>
      <c r="AT98" s="35" t="s">
        <v>222</v>
      </c>
      <c r="AU98" s="35"/>
    </row>
    <row r="99" ht="15.75" customHeight="1">
      <c r="A99" s="15" t="s">
        <v>4067</v>
      </c>
      <c r="B99" s="15" t="s">
        <v>60</v>
      </c>
      <c r="C99" s="15" t="s">
        <v>1818</v>
      </c>
      <c r="D99" s="15" t="s">
        <v>4069</v>
      </c>
      <c r="E99" s="15" t="s">
        <v>4069</v>
      </c>
      <c r="F99" s="16" t="s">
        <v>87</v>
      </c>
      <c r="G99" s="17" t="s">
        <v>88</v>
      </c>
      <c r="H99" s="18" t="s">
        <v>4071</v>
      </c>
      <c r="I99" s="18" t="s">
        <v>4072</v>
      </c>
      <c r="J99" s="18" t="s">
        <v>4073</v>
      </c>
      <c r="K99" s="18" t="s">
        <v>229</v>
      </c>
      <c r="L99" s="18" t="s">
        <v>4074</v>
      </c>
      <c r="M99" s="18" t="s">
        <v>231</v>
      </c>
      <c r="N99" s="18" t="s">
        <v>232</v>
      </c>
      <c r="O99" s="18" t="s">
        <v>98</v>
      </c>
      <c r="P99" s="15" t="str">
        <f t="shared" si="1"/>
        <v>PHARMA</v>
      </c>
      <c r="Q99" s="15">
        <f t="shared" si="2"/>
        <v>8</v>
      </c>
      <c r="R99" s="15">
        <f t="shared" si="3"/>
        <v>5</v>
      </c>
      <c r="S99" s="15">
        <f t="shared" si="4"/>
        <v>1</v>
      </c>
      <c r="T99" s="15" t="str">
        <f t="shared" si="5"/>
        <v>A-6</v>
      </c>
      <c r="U99" s="15" t="str">
        <f t="shared" si="6"/>
        <v>T8-M5-H1-FA-6-PHARMA</v>
      </c>
      <c r="V99" s="15">
        <f t="shared" si="7"/>
        <v>0</v>
      </c>
      <c r="W99" s="31"/>
      <c r="X99" s="15" t="str">
        <f t="shared" si="8"/>
        <v>patna</v>
      </c>
      <c r="Y99" s="32" t="str">
        <f t="shared" si="9"/>
        <v>https://steelmanufacturer.in/market-area/electropolished-pipes-manufacturer-in-patna/</v>
      </c>
      <c r="Z99" s="15" t="str">
        <f t="shared" si="10"/>
        <v>Electropolished Pipes Manufacturer in Patna - EP Tube Stockist</v>
      </c>
      <c r="AA99" s="15" t="str">
        <f t="shared" si="11"/>
        <v>OK (62)</v>
      </c>
      <c r="AB99" s="15" t="str">
        <f t="shared" si="12"/>
        <v>Manufacturer of electropolished SS 316L tube serving Patna. 2-3 day road transit from our Mumbai works. Ra 0.25-0.5 um, EN 10204 3.1 MTC.</v>
      </c>
      <c r="AC99" s="15" t="str">
        <f t="shared" si="13"/>
        <v>OK (137)</v>
      </c>
      <c r="AD99" s="15" t="str">
        <f t="shared" si="14"/>
        <v>Electropolished Pipes Manufacturer in Patna</v>
      </c>
      <c r="AE99" s="15" t="str">
        <f t="shared" si="15"/>
        <v>Electropolished Pipe &amp; Tube Manufacturing for Patna - Grades, Finishes &amp; Certification</v>
      </c>
      <c r="AF99" s="15" t="str">
        <f t="shared" si="16"/>
        <v>Electropolished Pipes Supplier in Patna - Stock Sizes, Lead Time &amp; Delivery</v>
      </c>
      <c r="AG99" s="15" t="str">
        <f t="shared" si="17"/>
        <v>Electropolished Pipes Wholesaler &amp; Stockist in Patna - Bulk &amp; Project Pricing</v>
      </c>
      <c r="AH99" s="15" t="str">
        <f t="shared" si="18"/>
        <v>electropolished pipes manufacturer in Patna, electropolished pipes supplier in Patna, electropolished pipes wholesaler in Patna, electropolished tube manufacturer Patna, EP pipe supplier Patna, sanitary tube supplier Patna, ASME BPE tubing Patna, ASTM A270 tube Patna, SS 316L electropolished pipe Patna</v>
      </c>
      <c r="AI99" s="15" t="str">
        <f t="shared" si="19"/>
        <v>Electropolished Pipes Manufacturer &amp; Supplier in Patna</v>
      </c>
      <c r="AJ99" s="15" t="str">
        <f t="shared" si="20"/>
        <v>EP-finished SS 304/316L pipes and tubes for pharma plants in Patna. ASME BPE SF1-SF4, Ra from 0.25 um, EN 10204 3.1 certificate with every lot.</v>
      </c>
      <c r="AK99" s="15" t="str">
        <f t="shared" si="21"/>
        <v>Electropolished stainless steel pipes supplied by Sakshi Forge to pharma plants at Patliputra Industrial Area, Patna</v>
      </c>
      <c r="AL99" s="15" t="str">
        <f t="shared" si="22"/>
        <v>Electropolished SS 316L tube stock for Patna - Sakshi Forge</v>
      </c>
      <c r="AM99" s="15" t="str">
        <f t="shared" si="23"/>
        <v>Home &gt; Market Area &gt; India &gt; Bihar &gt; Patna</v>
      </c>
      <c r="AN99" s="15">
        <f t="shared" si="24"/>
        <v>1400</v>
      </c>
      <c r="AO99" s="15">
        <f t="shared" si="25"/>
        <v>10</v>
      </c>
      <c r="AP99" s="15">
        <f t="shared" si="26"/>
        <v>12</v>
      </c>
      <c r="AQ99" s="15">
        <f t="shared" si="27"/>
        <v>2</v>
      </c>
      <c r="AR99" s="31"/>
      <c r="AS99" s="31"/>
      <c r="AT99" s="35" t="s">
        <v>222</v>
      </c>
      <c r="AU99" s="35"/>
    </row>
    <row r="100" ht="15.75" customHeight="1">
      <c r="A100" s="15" t="s">
        <v>4095</v>
      </c>
      <c r="B100" s="15" t="s">
        <v>60</v>
      </c>
      <c r="C100" s="15" t="s">
        <v>264</v>
      </c>
      <c r="D100" s="15" t="s">
        <v>4096</v>
      </c>
      <c r="E100" s="15" t="s">
        <v>4096</v>
      </c>
      <c r="F100" s="16" t="s">
        <v>87</v>
      </c>
      <c r="G100" s="17" t="s">
        <v>88</v>
      </c>
      <c r="H100" s="18" t="s">
        <v>4097</v>
      </c>
      <c r="I100" s="18" t="s">
        <v>4099</v>
      </c>
      <c r="J100" s="18" t="s">
        <v>4100</v>
      </c>
      <c r="K100" s="18" t="s">
        <v>250</v>
      </c>
      <c r="L100" s="18" t="s">
        <v>4102</v>
      </c>
      <c r="M100" s="18" t="s">
        <v>96</v>
      </c>
      <c r="N100" s="18" t="s">
        <v>252</v>
      </c>
      <c r="O100" s="18" t="s">
        <v>98</v>
      </c>
      <c r="P100" s="15" t="str">
        <f t="shared" si="1"/>
        <v>GENERAL</v>
      </c>
      <c r="Q100" s="15">
        <f t="shared" si="2"/>
        <v>1</v>
      </c>
      <c r="R100" s="15">
        <f t="shared" si="3"/>
        <v>6</v>
      </c>
      <c r="S100" s="15">
        <f t="shared" si="4"/>
        <v>2</v>
      </c>
      <c r="T100" s="15" t="str">
        <f t="shared" si="5"/>
        <v>A-1</v>
      </c>
      <c r="U100" s="15" t="str">
        <f t="shared" si="6"/>
        <v>T1-M6-H2-FA-1-GENERAL</v>
      </c>
      <c r="V100" s="15">
        <f t="shared" si="7"/>
        <v>0</v>
      </c>
      <c r="W100" s="31"/>
      <c r="X100" s="15" t="str">
        <f t="shared" si="8"/>
        <v>pimpri-chinchwad</v>
      </c>
      <c r="Y100" s="32" t="str">
        <f t="shared" si="9"/>
        <v>https://steelmanufacturer.in/market-area/electropolished-pipes-manufacturer-in-pimpri-chinchwad/</v>
      </c>
      <c r="Z100" s="15" t="str">
        <f t="shared" si="10"/>
        <v>Electropolished Pipes Manufacturer in Pimpri-Chinchwad</v>
      </c>
      <c r="AA100" s="15" t="str">
        <f t="shared" si="11"/>
        <v>OK (54)</v>
      </c>
      <c r="AB100" s="15" t="str">
        <f t="shared" si="12"/>
        <v>EP tube and pipe for engineering &amp; process plants around Bhosari MIDC, Pimpri-Chinchwad. ASTM A270, ASME BPE SF1-SF4, EN 10204 3.1 MTC.</v>
      </c>
      <c r="AC100" s="15" t="str">
        <f t="shared" si="13"/>
        <v>OK (135)</v>
      </c>
      <c r="AD100" s="15" t="str">
        <f t="shared" si="14"/>
        <v>Electropolished Pipes Manufacturer in Pimpri-Chinchwad</v>
      </c>
      <c r="AE100" s="15" t="str">
        <f t="shared" si="15"/>
        <v>How We Manufacture Electropolished Tube for Pimpri-Chinchwad Plants</v>
      </c>
      <c r="AF100" s="15" t="str">
        <f t="shared" si="16"/>
        <v>Supplying Electropolished Pipes in Pimpri-Chinchwad: Availability, Sizes &amp; Dispatch</v>
      </c>
      <c r="AG100" s="15" t="str">
        <f t="shared" si="17"/>
        <v>Wholesale Electropolished Pipe Supply for Pimpri-Chinchwad Projects</v>
      </c>
      <c r="AH100" s="15" t="str">
        <f t="shared" si="18"/>
        <v>electropolished pipes manufacturer in Pimpri-Chinchwad, electropolished pipes supplier in Pimpri-Chinchwad, electropolished pipes wholesaler in Pimpri-Chinchwad, electropolished tube manufacturer Pimpri-Chinchwad, EP pipe supplier Pimpri-Chinchwad, sanitary tube supplier Pimpri-Chinchwad, ASME BPE tubing Pimpri-Chinchwad, ASTM A270 tube Pimpri-Chinchwad, SS 316L electropolished pipe Pimpri-Chinchwad</v>
      </c>
      <c r="AI100" s="15" t="str">
        <f t="shared" si="19"/>
        <v>Electropolished Pipes Manufacturer &amp; Supplier in Pimpri-Chinchwad</v>
      </c>
      <c r="AJ100" s="15" t="str">
        <f t="shared" si="20"/>
        <v>EP-finished SS 304/316L pipes and tubes for engineering &amp; process plants in Pimpri-Chinchwad. ASME BPE SF1-SF4, Ra from 0.25 um, EN 10204 3.1 certificate with every lot.</v>
      </c>
      <c r="AK100" s="15" t="str">
        <f t="shared" si="21"/>
        <v>Electropolished stainless steel pipes supplied by Sakshi Forge to engineering &amp; process plants at Bhosari MIDC, Pimpri-Chinchwad</v>
      </c>
      <c r="AL100" s="15" t="str">
        <f t="shared" si="22"/>
        <v>Electropolished SS 316L tube stock for Pimpri-Chinchwad - Sakshi Forge</v>
      </c>
      <c r="AM100" s="15" t="str">
        <f t="shared" si="23"/>
        <v>Home &gt; Market Area &gt; India &gt; Maharashtra &gt; Pimpri-Chinchwad</v>
      </c>
      <c r="AN100" s="15">
        <f t="shared" si="24"/>
        <v>1400</v>
      </c>
      <c r="AO100" s="15">
        <f t="shared" si="25"/>
        <v>10</v>
      </c>
      <c r="AP100" s="15">
        <f t="shared" si="26"/>
        <v>12</v>
      </c>
      <c r="AQ100" s="15">
        <f t="shared" si="27"/>
        <v>2</v>
      </c>
      <c r="AR100" s="31"/>
      <c r="AS100" s="31"/>
      <c r="AT100" s="35" t="s">
        <v>222</v>
      </c>
      <c r="AU100" s="35"/>
    </row>
    <row r="101" ht="15.75" customHeight="1">
      <c r="A101" s="15" t="s">
        <v>4122</v>
      </c>
      <c r="B101" s="15" t="s">
        <v>60</v>
      </c>
      <c r="C101" s="15" t="s">
        <v>842</v>
      </c>
      <c r="D101" s="15" t="s">
        <v>4124</v>
      </c>
      <c r="E101" s="15" t="s">
        <v>4124</v>
      </c>
      <c r="F101" s="16" t="s">
        <v>87</v>
      </c>
      <c r="G101" s="17" t="s">
        <v>88</v>
      </c>
      <c r="H101" s="18" t="s">
        <v>4126</v>
      </c>
      <c r="I101" s="18" t="s">
        <v>4128</v>
      </c>
      <c r="J101" s="18" t="s">
        <v>4129</v>
      </c>
      <c r="K101" s="18" t="s">
        <v>229</v>
      </c>
      <c r="L101" s="18" t="s">
        <v>4130</v>
      </c>
      <c r="M101" s="18" t="s">
        <v>231</v>
      </c>
      <c r="N101" s="18" t="s">
        <v>232</v>
      </c>
      <c r="O101" s="18" t="s">
        <v>98</v>
      </c>
      <c r="P101" s="15" t="str">
        <f t="shared" si="1"/>
        <v>PHARMA</v>
      </c>
      <c r="Q101" s="15">
        <f t="shared" si="2"/>
        <v>2</v>
      </c>
      <c r="R101" s="15">
        <f t="shared" si="3"/>
        <v>7</v>
      </c>
      <c r="S101" s="15">
        <f t="shared" si="4"/>
        <v>3</v>
      </c>
      <c r="T101" s="15" t="str">
        <f t="shared" si="5"/>
        <v>A-2</v>
      </c>
      <c r="U101" s="15" t="str">
        <f t="shared" si="6"/>
        <v>T2-M7-H3-FA-2-PHARMA</v>
      </c>
      <c r="V101" s="15">
        <f t="shared" si="7"/>
        <v>0</v>
      </c>
      <c r="W101" s="31"/>
      <c r="X101" s="15" t="str">
        <f t="shared" si="8"/>
        <v>pithampur</v>
      </c>
      <c r="Y101" s="32" t="str">
        <f t="shared" si="9"/>
        <v>https://steelmanufacturer.in/market-area/electropolished-pipes-manufacturer-in-pithampur/</v>
      </c>
      <c r="Z101" s="15" t="str">
        <f t="shared" si="10"/>
        <v>Electropolished Pipes Manufacturer in Pithampur</v>
      </c>
      <c r="AA101" s="15" t="str">
        <f t="shared" si="11"/>
        <v>OK (47)</v>
      </c>
      <c r="AB101" s="15" t="str">
        <f t="shared" si="12"/>
        <v>Electropolished pipes in Pithampur: 304, 304L, 316 and 316L in SF1-SF4. 2-3 day road transit from our Mumbai works. Mill certified.</v>
      </c>
      <c r="AC101" s="15" t="str">
        <f t="shared" si="13"/>
        <v>OK (131)</v>
      </c>
      <c r="AD101" s="15" t="str">
        <f t="shared" si="14"/>
        <v>Electropolished Pipes Manufacturer in Pithampur</v>
      </c>
      <c r="AE101" s="15" t="str">
        <f t="shared" si="15"/>
        <v>Electropolished Pipes Manufacturer in Pithampur - Our Process &amp; Capability</v>
      </c>
      <c r="AF101" s="15" t="str">
        <f t="shared" si="16"/>
        <v>Electropolished Pipes Supplier in Pithampur - What We Hold in Stock</v>
      </c>
      <c r="AG101" s="15" t="str">
        <f t="shared" si="17"/>
        <v>Bulk &amp; Wholesale Electropolished Pipe Rates for Pithampur Buyers</v>
      </c>
      <c r="AH101" s="15" t="str">
        <f t="shared" si="18"/>
        <v>electropolished pipes manufacturer in Pithampur, electropolished pipes supplier in Pithampur, electropolished pipes wholesaler in Pithampur, electropolished tube manufacturer Pithampur, EP pipe supplier Pithampur, sanitary tube supplier Pithampur, ASME BPE tubing Pithampur, ASTM A270 tube Pithampur, SS 316L electropolished pipe Pithampur</v>
      </c>
      <c r="AI101" s="15" t="str">
        <f t="shared" si="19"/>
        <v>Electropolished Pipes Manufacturer &amp; Supplier in Pithampur</v>
      </c>
      <c r="AJ101" s="15" t="str">
        <f t="shared" si="20"/>
        <v>EP-finished SS 304/316L pipes and tubes for pharma plants in Pithampur. ASME BPE SF1-SF4, Ra from 0.25 um, EN 10204 3.1 certificate with every lot.</v>
      </c>
      <c r="AK101" s="15" t="str">
        <f t="shared" si="21"/>
        <v>Electropolished stainless steel pipes supplied by Sakshi Forge to pharma plants at Pithampur SEZ, Pithampur</v>
      </c>
      <c r="AL101" s="15" t="str">
        <f t="shared" si="22"/>
        <v>Electropolished SS 316L tube stock for Pithampur - Sakshi Forge</v>
      </c>
      <c r="AM101" s="15" t="str">
        <f t="shared" si="23"/>
        <v>Home &gt; Market Area &gt; India &gt; Madhya Pradesh &gt; Pithampur</v>
      </c>
      <c r="AN101" s="15">
        <f t="shared" si="24"/>
        <v>1400</v>
      </c>
      <c r="AO101" s="15">
        <f t="shared" si="25"/>
        <v>10</v>
      </c>
      <c r="AP101" s="15">
        <f t="shared" si="26"/>
        <v>12</v>
      </c>
      <c r="AQ101" s="15">
        <f t="shared" si="27"/>
        <v>2</v>
      </c>
      <c r="AR101" s="31"/>
      <c r="AS101" s="31"/>
      <c r="AT101" s="35" t="s">
        <v>222</v>
      </c>
      <c r="AU101" s="35"/>
    </row>
    <row r="102" ht="15.75" customHeight="1">
      <c r="A102" s="15" t="s">
        <v>4151</v>
      </c>
      <c r="B102" s="15" t="s">
        <v>60</v>
      </c>
      <c r="C102" s="15" t="s">
        <v>2391</v>
      </c>
      <c r="D102" s="15" t="s">
        <v>4152</v>
      </c>
      <c r="E102" s="15" t="s">
        <v>4152</v>
      </c>
      <c r="F102" s="16" t="s">
        <v>87</v>
      </c>
      <c r="G102" s="17" t="s">
        <v>88</v>
      </c>
      <c r="H102" s="18" t="s">
        <v>4153</v>
      </c>
      <c r="I102" s="18" t="s">
        <v>4155</v>
      </c>
      <c r="J102" s="18" t="s">
        <v>4156</v>
      </c>
      <c r="K102" s="18" t="s">
        <v>229</v>
      </c>
      <c r="L102" s="18" t="s">
        <v>3943</v>
      </c>
      <c r="M102" s="18" t="s">
        <v>276</v>
      </c>
      <c r="N102" s="18" t="s">
        <v>232</v>
      </c>
      <c r="O102" s="18" t="s">
        <v>98</v>
      </c>
      <c r="P102" s="15" t="str">
        <f t="shared" si="1"/>
        <v>PHARMA</v>
      </c>
      <c r="Q102" s="15">
        <f t="shared" si="2"/>
        <v>3</v>
      </c>
      <c r="R102" s="15">
        <f t="shared" si="3"/>
        <v>1</v>
      </c>
      <c r="S102" s="15">
        <f t="shared" si="4"/>
        <v>4</v>
      </c>
      <c r="T102" s="15" t="str">
        <f t="shared" si="5"/>
        <v>A-3</v>
      </c>
      <c r="U102" s="15" t="str">
        <f t="shared" si="6"/>
        <v>T3-M1-H4-FA-3-PHARMA</v>
      </c>
      <c r="V102" s="15">
        <f t="shared" si="7"/>
        <v>0</v>
      </c>
      <c r="W102" s="31"/>
      <c r="X102" s="15" t="str">
        <f t="shared" si="8"/>
        <v>ponda</v>
      </c>
      <c r="Y102" s="32" t="str">
        <f t="shared" si="9"/>
        <v>https://steelmanufacturer.in/market-area/electropolished-pipes-manufacturer-in-ponda/</v>
      </c>
      <c r="Z102" s="15" t="str">
        <f t="shared" si="10"/>
        <v>Electropolished Pipes Manufacturer in Ponda | EP Tube Supplier</v>
      </c>
      <c r="AA102" s="15" t="str">
        <f t="shared" si="11"/>
        <v>OK (62)</v>
      </c>
      <c r="AB102" s="15" t="str">
        <f t="shared" si="12"/>
        <v>EP-finished SS 304/316L pipes &amp; tubes for pharma plants in Ponda. ASTM A270, ASME BPE SF1-SF4, EN 10204 3.1 MTC. PMI tested.</v>
      </c>
      <c r="AC102" s="15" t="str">
        <f t="shared" si="13"/>
        <v>OK (124)</v>
      </c>
      <c r="AD102" s="15" t="str">
        <f t="shared" si="14"/>
        <v>Electropolished Pipes Manufacturer in Ponda</v>
      </c>
      <c r="AE102" s="15" t="str">
        <f t="shared" si="15"/>
        <v>Manufacturing Electropolished SS Tube for Ponda: The Standards We Build To</v>
      </c>
      <c r="AF102" s="15" t="str">
        <f t="shared" si="16"/>
        <v>Electropolished Pipe Supply Into Ponda - Certification &amp; Transit</v>
      </c>
      <c r="AG102" s="15" t="str">
        <f t="shared" si="17"/>
        <v>Electropolished Pipes Wholesaler in Ponda - Project Quantities &amp; Terms</v>
      </c>
      <c r="AH102" s="15" t="str">
        <f t="shared" si="18"/>
        <v>electropolished pipes manufacturer in Ponda, electropolished pipes supplier in Ponda, electropolished pipes wholesaler in Ponda, electropolished tube manufacturer Ponda, EP pipe supplier Ponda, sanitary tube supplier Ponda, ASME BPE tubing Ponda, ASTM A270 tube Ponda, SS 316L electropolished pipe Ponda</v>
      </c>
      <c r="AI102" s="15" t="str">
        <f t="shared" si="19"/>
        <v>Electropolished Pipes Manufacturer &amp; Supplier in Ponda</v>
      </c>
      <c r="AJ102" s="15" t="str">
        <f t="shared" si="20"/>
        <v>EP-finished SS 304/316L pipes and tubes for pharma plants in Ponda. ASME BPE SF1-SF4, Ra from 0.25 um, EN 10204 3.1 certificate with every lot.</v>
      </c>
      <c r="AK102" s="15" t="str">
        <f t="shared" si="21"/>
        <v>Electropolished stainless steel pipes supplied by Sakshi Forge to pharma plants at Kundaim Industrial Estate, Ponda</v>
      </c>
      <c r="AL102" s="15" t="str">
        <f t="shared" si="22"/>
        <v>Electropolished SS 316L tube stock for Ponda - Sakshi Forge</v>
      </c>
      <c r="AM102" s="15" t="str">
        <f t="shared" si="23"/>
        <v>Home &gt; Market Area &gt; India &gt; Goa &gt; Ponda</v>
      </c>
      <c r="AN102" s="15">
        <f t="shared" si="24"/>
        <v>1400</v>
      </c>
      <c r="AO102" s="15">
        <f t="shared" si="25"/>
        <v>10</v>
      </c>
      <c r="AP102" s="15">
        <f t="shared" si="26"/>
        <v>12</v>
      </c>
      <c r="AQ102" s="15">
        <f t="shared" si="27"/>
        <v>2</v>
      </c>
      <c r="AR102" s="31"/>
      <c r="AS102" s="31"/>
      <c r="AT102" s="35" t="s">
        <v>222</v>
      </c>
      <c r="AU102" s="35"/>
    </row>
    <row r="103" ht="15.75" customHeight="1">
      <c r="A103" s="15" t="s">
        <v>4176</v>
      </c>
      <c r="B103" s="15" t="s">
        <v>60</v>
      </c>
      <c r="C103" s="15" t="s">
        <v>4178</v>
      </c>
      <c r="D103" s="15" t="s">
        <v>4178</v>
      </c>
      <c r="E103" s="15" t="s">
        <v>4178</v>
      </c>
      <c r="F103" s="16" t="s">
        <v>87</v>
      </c>
      <c r="G103" s="17" t="s">
        <v>88</v>
      </c>
      <c r="H103" s="18" t="s">
        <v>4179</v>
      </c>
      <c r="I103" s="18" t="s">
        <v>4181</v>
      </c>
      <c r="J103" s="18" t="s">
        <v>4182</v>
      </c>
      <c r="K103" s="18" t="s">
        <v>229</v>
      </c>
      <c r="L103" s="18" t="s">
        <v>4183</v>
      </c>
      <c r="M103" s="18" t="s">
        <v>96</v>
      </c>
      <c r="N103" s="18" t="s">
        <v>232</v>
      </c>
      <c r="O103" s="18" t="s">
        <v>98</v>
      </c>
      <c r="P103" s="15" t="str">
        <f t="shared" si="1"/>
        <v>PHARMA</v>
      </c>
      <c r="Q103" s="15">
        <f t="shared" si="2"/>
        <v>4</v>
      </c>
      <c r="R103" s="15">
        <f t="shared" si="3"/>
        <v>2</v>
      </c>
      <c r="S103" s="15">
        <f t="shared" si="4"/>
        <v>5</v>
      </c>
      <c r="T103" s="15" t="str">
        <f t="shared" si="5"/>
        <v>A-4</v>
      </c>
      <c r="U103" s="15" t="str">
        <f t="shared" si="6"/>
        <v>T4-M2-H5-FA-4-PHARMA</v>
      </c>
      <c r="V103" s="15">
        <f t="shared" si="7"/>
        <v>0</v>
      </c>
      <c r="W103" s="31"/>
      <c r="X103" s="15" t="str">
        <f t="shared" si="8"/>
        <v>puducherry</v>
      </c>
      <c r="Y103" s="32" t="str">
        <f t="shared" si="9"/>
        <v>https://steelmanufacturer.in/market-area/electropolished-pipes-manufacturer-in-puducherry/</v>
      </c>
      <c r="Z103" s="15" t="str">
        <f t="shared" si="10"/>
        <v>Electropolished Pipes Manufacturer in Puducherry</v>
      </c>
      <c r="AA103" s="15" t="str">
        <f t="shared" si="11"/>
        <v>OK (48)</v>
      </c>
      <c r="AB103" s="15" t="str">
        <f t="shared" si="12"/>
        <v>Electropolished tube supply to Mettupalayam Industrial Estate, Puducherry. Ra from 0.25 um, SF4 finish, mill test certificate with every lot.</v>
      </c>
      <c r="AC103" s="15" t="str">
        <f t="shared" si="13"/>
        <v>OK (141)</v>
      </c>
      <c r="AD103" s="15" t="str">
        <f t="shared" si="14"/>
        <v>Electropolished Pipes Manufacturer in Puducherry</v>
      </c>
      <c r="AE103" s="15" t="str">
        <f t="shared" si="15"/>
        <v>Electropolished Tube Manufacturing Capability Serving Puducherry</v>
      </c>
      <c r="AF103" s="15" t="str">
        <f t="shared" si="16"/>
        <v>Electropolished Pipes Supplier in Puducherry - From Order to Delivery</v>
      </c>
      <c r="AG103" s="15" t="str">
        <f t="shared" si="17"/>
        <v>Stockist &amp; Wholesale Supply of Electropolished Pipes in Puducherry</v>
      </c>
      <c r="AH103" s="15" t="str">
        <f t="shared" si="18"/>
        <v>electropolished pipes manufacturer in Puducherry, electropolished pipes supplier in Puducherry, electropolished pipes wholesaler in Puducherry, electropolished tube manufacturer Puducherry, EP pipe supplier Puducherry, sanitary tube supplier Puducherry, ASME BPE tubing Puducherry, ASTM A270 tube Puducherry, SS 316L electropolished pipe Puducherry</v>
      </c>
      <c r="AI103" s="15" t="str">
        <f t="shared" si="19"/>
        <v>Electropolished Pipes Manufacturer &amp; Supplier in Puducherry</v>
      </c>
      <c r="AJ103" s="15" t="str">
        <f t="shared" si="20"/>
        <v>EP-finished SS 304/316L pipes and tubes for pharma plants in Puducherry. ASME BPE SF1-SF4, Ra from 0.25 um, EN 10204 3.1 certificate with every lot.</v>
      </c>
      <c r="AK103" s="15" t="str">
        <f t="shared" si="21"/>
        <v>Electropolished stainless steel pipes supplied by Sakshi Forge to pharma plants at Mettupalayam Industrial Estate, Puducherry</v>
      </c>
      <c r="AL103" s="15" t="str">
        <f t="shared" si="22"/>
        <v>Electropolished SS 316L tube stock for Puducherry - Sakshi Forge</v>
      </c>
      <c r="AM103" s="15" t="str">
        <f t="shared" si="23"/>
        <v>Home &gt; Market Area &gt; India &gt; Puducherry &gt; Puducherry</v>
      </c>
      <c r="AN103" s="15">
        <f t="shared" si="24"/>
        <v>1400</v>
      </c>
      <c r="AO103" s="15">
        <f t="shared" si="25"/>
        <v>10</v>
      </c>
      <c r="AP103" s="15">
        <f t="shared" si="26"/>
        <v>12</v>
      </c>
      <c r="AQ103" s="15">
        <f t="shared" si="27"/>
        <v>2</v>
      </c>
      <c r="AR103" s="31"/>
      <c r="AS103" s="31"/>
      <c r="AT103" s="35" t="s">
        <v>222</v>
      </c>
      <c r="AU103" s="35"/>
    </row>
    <row r="104" ht="15.75" customHeight="1">
      <c r="A104" s="15" t="s">
        <v>4203</v>
      </c>
      <c r="B104" s="15" t="s">
        <v>60</v>
      </c>
      <c r="C104" s="15" t="s">
        <v>264</v>
      </c>
      <c r="D104" s="15" t="s">
        <v>4204</v>
      </c>
      <c r="E104" s="15" t="s">
        <v>4204</v>
      </c>
      <c r="F104" s="16" t="s">
        <v>87</v>
      </c>
      <c r="G104" s="17" t="s">
        <v>88</v>
      </c>
      <c r="H104" s="18" t="s">
        <v>4205</v>
      </c>
      <c r="I104" s="18" t="s">
        <v>4099</v>
      </c>
      <c r="J104" s="18" t="s">
        <v>4207</v>
      </c>
      <c r="K104" s="18" t="s">
        <v>4208</v>
      </c>
      <c r="L104" s="18" t="s">
        <v>4209</v>
      </c>
      <c r="M104" s="18" t="s">
        <v>96</v>
      </c>
      <c r="N104" s="18" t="s">
        <v>232</v>
      </c>
      <c r="O104" s="18" t="s">
        <v>98</v>
      </c>
      <c r="P104" s="15" t="str">
        <f t="shared" si="1"/>
        <v>BIOTECH</v>
      </c>
      <c r="Q104" s="15">
        <f t="shared" si="2"/>
        <v>5</v>
      </c>
      <c r="R104" s="15">
        <f t="shared" si="3"/>
        <v>3</v>
      </c>
      <c r="S104" s="15">
        <f t="shared" si="4"/>
        <v>1</v>
      </c>
      <c r="T104" s="15" t="str">
        <f t="shared" si="5"/>
        <v>A-5</v>
      </c>
      <c r="U104" s="15" t="str">
        <f t="shared" si="6"/>
        <v>T5-M3-H1-FA-5-BIOTECH</v>
      </c>
      <c r="V104" s="15">
        <f t="shared" si="7"/>
        <v>0</v>
      </c>
      <c r="W104" s="31"/>
      <c r="X104" s="15" t="str">
        <f t="shared" si="8"/>
        <v>pune</v>
      </c>
      <c r="Y104" s="32" t="str">
        <f t="shared" si="9"/>
        <v>https://steelmanufacturer.in/market-area/electropolished-pipes-manufacturer-in-pune/</v>
      </c>
      <c r="Z104" s="15" t="str">
        <f t="shared" si="10"/>
        <v>Electropolished Pipes Manufacturer in Pune | Sanitary Tube Supply</v>
      </c>
      <c r="AA104" s="15" t="str">
        <f t="shared" si="11"/>
        <v>OK (65)</v>
      </c>
      <c r="AB104" s="15" t="str">
        <f t="shared" si="12"/>
        <v>EP stainless tube for pharma &amp; biotech lines in Pune. 1-2 day road transit from our Mumbai works. ASTM A270 S2, PMI tested, EN 10204 3.1.</v>
      </c>
      <c r="AC104" s="15" t="str">
        <f t="shared" si="13"/>
        <v>OK (137)</v>
      </c>
      <c r="AD104" s="15" t="str">
        <f t="shared" si="14"/>
        <v>Electropolished Pipes Manufacturer in Pune</v>
      </c>
      <c r="AE104" s="15" t="str">
        <f t="shared" si="15"/>
        <v>Electropolished Pipe &amp; Tube Manufacturing for Pune - Grades, Finishes &amp; Certification</v>
      </c>
      <c r="AF104" s="15" t="str">
        <f t="shared" si="16"/>
        <v>Electropolished Pipes Supplier in Pune - Stock Sizes, Lead Time &amp; Delivery</v>
      </c>
      <c r="AG104" s="15" t="str">
        <f t="shared" si="17"/>
        <v>Electropolished Pipes Wholesaler &amp; Stockist in Pune - Bulk &amp; Project Pricing</v>
      </c>
      <c r="AH104" s="15" t="str">
        <f t="shared" si="18"/>
        <v>electropolished pipes manufacturer in Pune, electropolished pipes supplier in Pune, electropolished pipes wholesaler in Pune, electropolished tube manufacturer Pune, EP pipe supplier Pune, sanitary tube supplier Pune, ASME BPE tubing Pune, ASTM A270 tube Pune, SS 316L electropolished pipe Pune</v>
      </c>
      <c r="AI104" s="15" t="str">
        <f t="shared" si="19"/>
        <v>Electropolished Pipes Manufacturer &amp; Supplier in Pune</v>
      </c>
      <c r="AJ104" s="15" t="str">
        <f t="shared" si="20"/>
        <v>EP-finished SS 304/316L pipes and tubes for pharma &amp; biotech plants in Pune. ASME BPE SF1-SF4, Ra from 0.25 um, EN 10204 3.1 certificate with every lot.</v>
      </c>
      <c r="AK104" s="15" t="str">
        <f t="shared" si="21"/>
        <v>Electropolished stainless steel pipes supplied by Sakshi Forge to pharma &amp; biotech plants at Bhosari MIDC, Pune</v>
      </c>
      <c r="AL104" s="15" t="str">
        <f t="shared" si="22"/>
        <v>Electropolished SS 316L tube stock for Pune - Sakshi Forge</v>
      </c>
      <c r="AM104" s="15" t="str">
        <f t="shared" si="23"/>
        <v>Home &gt; Market Area &gt; India &gt; Maharashtra &gt; Pune</v>
      </c>
      <c r="AN104" s="15">
        <f t="shared" si="24"/>
        <v>1400</v>
      </c>
      <c r="AO104" s="15">
        <f t="shared" si="25"/>
        <v>10</v>
      </c>
      <c r="AP104" s="15">
        <f t="shared" si="26"/>
        <v>12</v>
      </c>
      <c r="AQ104" s="15">
        <f t="shared" si="27"/>
        <v>2</v>
      </c>
      <c r="AR104" s="31"/>
      <c r="AS104" s="31"/>
      <c r="AT104" s="35" t="s">
        <v>222</v>
      </c>
      <c r="AU104" s="35"/>
    </row>
    <row r="105" ht="15.75" customHeight="1">
      <c r="A105" s="15" t="s">
        <v>4229</v>
      </c>
      <c r="B105" s="15" t="s">
        <v>60</v>
      </c>
      <c r="C105" s="15" t="s">
        <v>775</v>
      </c>
      <c r="D105" s="15" t="s">
        <v>4231</v>
      </c>
      <c r="E105" s="15" t="s">
        <v>4231</v>
      </c>
      <c r="F105" s="16" t="s">
        <v>87</v>
      </c>
      <c r="G105" s="17" t="s">
        <v>88</v>
      </c>
      <c r="H105" s="18" t="s">
        <v>4232</v>
      </c>
      <c r="I105" s="18" t="s">
        <v>4234</v>
      </c>
      <c r="J105" s="18" t="s">
        <v>4235</v>
      </c>
      <c r="K105" s="18" t="s">
        <v>94</v>
      </c>
      <c r="L105" s="18" t="s">
        <v>4237</v>
      </c>
      <c r="M105" s="18" t="s">
        <v>231</v>
      </c>
      <c r="N105" s="18" t="s">
        <v>97</v>
      </c>
      <c r="O105" s="18" t="s">
        <v>98</v>
      </c>
      <c r="P105" s="15" t="str">
        <f t="shared" si="1"/>
        <v>FOOD</v>
      </c>
      <c r="Q105" s="15">
        <f t="shared" si="2"/>
        <v>6</v>
      </c>
      <c r="R105" s="15">
        <f t="shared" si="3"/>
        <v>4</v>
      </c>
      <c r="S105" s="15">
        <f t="shared" si="4"/>
        <v>2</v>
      </c>
      <c r="T105" s="15" t="str">
        <f t="shared" si="5"/>
        <v>A-6</v>
      </c>
      <c r="U105" s="15" t="str">
        <f t="shared" si="6"/>
        <v>T6-M4-H2-FA-6-FOOD</v>
      </c>
      <c r="V105" s="15">
        <f t="shared" si="7"/>
        <v>0</v>
      </c>
      <c r="W105" s="31"/>
      <c r="X105" s="15" t="str">
        <f t="shared" si="8"/>
        <v>raipur</v>
      </c>
      <c r="Y105" s="32" t="str">
        <f t="shared" si="9"/>
        <v>https://steelmanufacturer.in/market-area/electropolished-pipes-manufacturer-in-raipur/</v>
      </c>
      <c r="Z105" s="15" t="str">
        <f t="shared" si="10"/>
        <v>Electropolished Pipes Manufacturer in Raipur</v>
      </c>
      <c r="AA105" s="15" t="str">
        <f t="shared" si="11"/>
        <v>OK (44)</v>
      </c>
      <c r="AB105" s="15" t="str">
        <f t="shared" si="12"/>
        <v>Sanitary electropolished pipes in Raipur for food processing plants. ASME BPE SF1-SF4, orbital-weld ready, 3.1 MTC. Mumbai-made.</v>
      </c>
      <c r="AC105" s="15" t="str">
        <f t="shared" si="13"/>
        <v>OK (128)</v>
      </c>
      <c r="AD105" s="15" t="str">
        <f t="shared" si="14"/>
        <v>Electropolished Pipes Manufacturer in Raipur</v>
      </c>
      <c r="AE105" s="15" t="str">
        <f t="shared" si="15"/>
        <v>How We Manufacture Electropolished Tube for Raipur Plants</v>
      </c>
      <c r="AF105" s="15" t="str">
        <f t="shared" si="16"/>
        <v>Supplying Electropolished Pipes in Raipur: Availability, Sizes &amp; Dispatch</v>
      </c>
      <c r="AG105" s="15" t="str">
        <f t="shared" si="17"/>
        <v>Wholesale Electropolished Pipe Supply for Raipur Projects</v>
      </c>
      <c r="AH105" s="15" t="str">
        <f t="shared" si="18"/>
        <v>electropolished pipes manufacturer in Raipur, electropolished pipes supplier in Raipur, electropolished pipes wholesaler in Raipur, electropolished tube manufacturer Raipur, EP pipe supplier Raipur, sanitary tube supplier Raipur, ASME BPE tubing Raipur, ASTM A270 tube Raipur, SS 316L electropolished pipe Raipur</v>
      </c>
      <c r="AI105" s="15" t="str">
        <f t="shared" si="19"/>
        <v>Electropolished Pipes Manufacturer &amp; Supplier in Raipur</v>
      </c>
      <c r="AJ105" s="15" t="str">
        <f t="shared" si="20"/>
        <v>EP-finished SS 304/316L pipes and tubes for food processing plants in Raipur. ASME BPE SF1-SF4, Ra from 0.25 um, EN 10204 3.1 certificate with every lot.</v>
      </c>
      <c r="AK105" s="15" t="str">
        <f t="shared" si="21"/>
        <v>Electropolished stainless steel pipes supplied by Sakshi Forge to food processing plants at Urla Industrial Area, Raipur</v>
      </c>
      <c r="AL105" s="15" t="str">
        <f t="shared" si="22"/>
        <v>Electropolished SS 316L tube stock for Raipur - Sakshi Forge</v>
      </c>
      <c r="AM105" s="15" t="str">
        <f t="shared" si="23"/>
        <v>Home &gt; Market Area &gt; India &gt; Chhattisgarh &gt; Raipur</v>
      </c>
      <c r="AN105" s="15">
        <f t="shared" si="24"/>
        <v>1400</v>
      </c>
      <c r="AO105" s="15">
        <f t="shared" si="25"/>
        <v>10</v>
      </c>
      <c r="AP105" s="15">
        <f t="shared" si="26"/>
        <v>12</v>
      </c>
      <c r="AQ105" s="15">
        <f t="shared" si="27"/>
        <v>2</v>
      </c>
      <c r="AR105" s="31"/>
      <c r="AS105" s="31"/>
      <c r="AT105" s="35" t="s">
        <v>222</v>
      </c>
      <c r="AU105" s="35"/>
    </row>
    <row r="106" ht="15.75" customHeight="1">
      <c r="A106" s="15" t="s">
        <v>4256</v>
      </c>
      <c r="B106" s="15" t="s">
        <v>60</v>
      </c>
      <c r="C106" s="15" t="s">
        <v>224</v>
      </c>
      <c r="D106" s="15" t="s">
        <v>4258</v>
      </c>
      <c r="E106" s="15" t="s">
        <v>4258</v>
      </c>
      <c r="F106" s="16" t="s">
        <v>87</v>
      </c>
      <c r="G106" s="17" t="s">
        <v>88</v>
      </c>
      <c r="H106" s="18" t="s">
        <v>4260</v>
      </c>
      <c r="I106" s="18" t="s">
        <v>4262</v>
      </c>
      <c r="J106" s="18" t="s">
        <v>4263</v>
      </c>
      <c r="K106" s="18" t="s">
        <v>579</v>
      </c>
      <c r="L106" s="18" t="s">
        <v>4264</v>
      </c>
      <c r="M106" s="18" t="s">
        <v>231</v>
      </c>
      <c r="N106" s="18" t="s">
        <v>585</v>
      </c>
      <c r="O106" s="18" t="s">
        <v>98</v>
      </c>
      <c r="P106" s="15" t="str">
        <f t="shared" si="1"/>
        <v>DAIRY</v>
      </c>
      <c r="Q106" s="15">
        <f t="shared" si="2"/>
        <v>7</v>
      </c>
      <c r="R106" s="15">
        <f t="shared" si="3"/>
        <v>5</v>
      </c>
      <c r="S106" s="15">
        <f t="shared" si="4"/>
        <v>3</v>
      </c>
      <c r="T106" s="15" t="str">
        <f t="shared" si="5"/>
        <v>A-1</v>
      </c>
      <c r="U106" s="15" t="str">
        <f t="shared" si="6"/>
        <v>T7-M5-H3-FA-1-DAIRY</v>
      </c>
      <c r="V106" s="15">
        <f t="shared" si="7"/>
        <v>0</v>
      </c>
      <c r="W106" s="31"/>
      <c r="X106" s="15" t="str">
        <f t="shared" si="8"/>
        <v>rajkot</v>
      </c>
      <c r="Y106" s="32" t="str">
        <f t="shared" si="9"/>
        <v>https://steelmanufacturer.in/market-area/electropolished-pipes-manufacturer-in-rajkot/</v>
      </c>
      <c r="Z106" s="15" t="str">
        <f t="shared" si="10"/>
        <v>Electropolished Pipes Manufacturer in Rajkot | ASME BPE SF1-SF4</v>
      </c>
      <c r="AA106" s="15" t="str">
        <f t="shared" si="11"/>
        <v>OK (63)</v>
      </c>
      <c r="AB106" s="15" t="str">
        <f t="shared" si="12"/>
        <v>Manufacturer of electropolished SS 316L tube serving Rajkot. 2-3 day road transit from our Mumbai works. Ra 0.25-0.5 um, EN 10204 3.1 MTC.</v>
      </c>
      <c r="AC106" s="15" t="str">
        <f t="shared" si="13"/>
        <v>OK (138)</v>
      </c>
      <c r="AD106" s="15" t="str">
        <f t="shared" si="14"/>
        <v>Electropolished Pipes Manufacturer in Rajkot</v>
      </c>
      <c r="AE106" s="15" t="str">
        <f t="shared" si="15"/>
        <v>Electropolished Pipes Manufacturer in Rajkot - Our Process &amp; Capability</v>
      </c>
      <c r="AF106" s="15" t="str">
        <f t="shared" si="16"/>
        <v>Electropolished Pipes Supplier in Rajkot - What We Hold in Stock</v>
      </c>
      <c r="AG106" s="15" t="str">
        <f t="shared" si="17"/>
        <v>Bulk &amp; Wholesale Electropolished Pipe Rates for Rajkot Buyers</v>
      </c>
      <c r="AH106" s="15" t="str">
        <f t="shared" si="18"/>
        <v>electropolished pipes manufacturer in Rajkot, electropolished pipes supplier in Rajkot, electropolished pipes wholesaler in Rajkot, electropolished tube manufacturer Rajkot, EP pipe supplier Rajkot, sanitary tube supplier Rajkot, ASME BPE tubing Rajkot, ASTM A270 tube Rajkot, SS 316L electropolished pipe Rajkot</v>
      </c>
      <c r="AI106" s="15" t="str">
        <f t="shared" si="19"/>
        <v>Electropolished Pipes Manufacturer &amp; Supplier in Rajkot</v>
      </c>
      <c r="AJ106" s="15" t="str">
        <f t="shared" si="20"/>
        <v>EP-finished SS 304/316L pipes and tubes for food &amp; dairy plants in Rajkot. ASME BPE SF1-SF4, Ra from 0.25 um, EN 10204 3.1 certificate with every lot.</v>
      </c>
      <c r="AK106" s="15" t="str">
        <f t="shared" si="21"/>
        <v>Electropolished stainless steel pipes supplied by Sakshi Forge to food &amp; dairy plants at Aji GIDC, Rajkot</v>
      </c>
      <c r="AL106" s="15" t="str">
        <f t="shared" si="22"/>
        <v>Electropolished SS 316L tube stock for Rajkot - Sakshi Forge</v>
      </c>
      <c r="AM106" s="15" t="str">
        <f t="shared" si="23"/>
        <v>Home &gt; Market Area &gt; India &gt; Gujarat &gt; Rajkot</v>
      </c>
      <c r="AN106" s="15">
        <f t="shared" si="24"/>
        <v>1400</v>
      </c>
      <c r="AO106" s="15">
        <f t="shared" si="25"/>
        <v>10</v>
      </c>
      <c r="AP106" s="15">
        <f t="shared" si="26"/>
        <v>12</v>
      </c>
      <c r="AQ106" s="15">
        <f t="shared" si="27"/>
        <v>2</v>
      </c>
      <c r="AR106" s="31"/>
      <c r="AS106" s="31"/>
      <c r="AT106" s="35" t="s">
        <v>222</v>
      </c>
      <c r="AU106" s="35"/>
    </row>
    <row r="107" ht="15.75" customHeight="1">
      <c r="A107" s="15" t="s">
        <v>4283</v>
      </c>
      <c r="B107" s="15" t="s">
        <v>60</v>
      </c>
      <c r="C107" s="15" t="s">
        <v>878</v>
      </c>
      <c r="D107" s="15" t="s">
        <v>4285</v>
      </c>
      <c r="E107" s="15" t="s">
        <v>4285</v>
      </c>
      <c r="F107" s="16" t="s">
        <v>87</v>
      </c>
      <c r="G107" s="17" t="s">
        <v>88</v>
      </c>
      <c r="H107" s="18" t="s">
        <v>4287</v>
      </c>
      <c r="I107" s="18" t="s">
        <v>4288</v>
      </c>
      <c r="J107" s="18" t="s">
        <v>4289</v>
      </c>
      <c r="K107" s="18" t="s">
        <v>250</v>
      </c>
      <c r="L107" s="18" t="s">
        <v>4290</v>
      </c>
      <c r="M107" s="18" t="s">
        <v>231</v>
      </c>
      <c r="N107" s="18" t="s">
        <v>252</v>
      </c>
      <c r="O107" s="18" t="s">
        <v>98</v>
      </c>
      <c r="P107" s="15" t="str">
        <f t="shared" si="1"/>
        <v>GENERAL</v>
      </c>
      <c r="Q107" s="15">
        <f t="shared" si="2"/>
        <v>8</v>
      </c>
      <c r="R107" s="15">
        <f t="shared" si="3"/>
        <v>6</v>
      </c>
      <c r="S107" s="15">
        <f t="shared" si="4"/>
        <v>4</v>
      </c>
      <c r="T107" s="15" t="str">
        <f t="shared" si="5"/>
        <v>A-2</v>
      </c>
      <c r="U107" s="15" t="str">
        <f t="shared" si="6"/>
        <v>T8-M6-H4-FA-2-GENERAL</v>
      </c>
      <c r="V107" s="15">
        <f t="shared" si="7"/>
        <v>0</v>
      </c>
      <c r="W107" s="31"/>
      <c r="X107" s="15" t="str">
        <f t="shared" si="8"/>
        <v>ranchi</v>
      </c>
      <c r="Y107" s="32" t="str">
        <f t="shared" si="9"/>
        <v>https://steelmanufacturer.in/market-area/electropolished-pipes-manufacturer-in-ranchi/</v>
      </c>
      <c r="Z107" s="15" t="str">
        <f t="shared" si="10"/>
        <v>Electropolished Pipes Manufacturer in Ranchi - EP Tube Stockist</v>
      </c>
      <c r="AA107" s="15" t="str">
        <f t="shared" si="11"/>
        <v>OK (63)</v>
      </c>
      <c r="AB107" s="15" t="str">
        <f t="shared" si="12"/>
        <v>EP tube and pipe for engineering &amp; process plants around Tupudana Industrial Area, Ranchi. ASTM A270, ASME BPE SF1-SF4, EN 10204 3.1 MTC.</v>
      </c>
      <c r="AC107" s="15" t="str">
        <f t="shared" si="13"/>
        <v>OK (137)</v>
      </c>
      <c r="AD107" s="15" t="str">
        <f t="shared" si="14"/>
        <v>Electropolished Pipes Manufacturer in Ranchi</v>
      </c>
      <c r="AE107" s="15" t="str">
        <f t="shared" si="15"/>
        <v>Manufacturing Electropolished SS Tube for Ranchi: The Standards We Build To</v>
      </c>
      <c r="AF107" s="15" t="str">
        <f t="shared" si="16"/>
        <v>Electropolished Pipe Supply Into Ranchi - Certification &amp; Transit</v>
      </c>
      <c r="AG107" s="15" t="str">
        <f t="shared" si="17"/>
        <v>Electropolished Pipes Wholesaler in Ranchi - Project Quantities &amp; Terms</v>
      </c>
      <c r="AH107" s="15" t="str">
        <f t="shared" si="18"/>
        <v>electropolished pipes manufacturer in Ranchi, electropolished pipes supplier in Ranchi, electropolished pipes wholesaler in Ranchi, electropolished tube manufacturer Ranchi, EP pipe supplier Ranchi, sanitary tube supplier Ranchi, ASME BPE tubing Ranchi, ASTM A270 tube Ranchi, SS 316L electropolished pipe Ranchi</v>
      </c>
      <c r="AI107" s="15" t="str">
        <f t="shared" si="19"/>
        <v>Electropolished Pipes Manufacturer &amp; Supplier in Ranchi</v>
      </c>
      <c r="AJ107" s="15" t="str">
        <f t="shared" si="20"/>
        <v>EP-finished SS 304/316L pipes and tubes for engineering &amp; process plants in Ranchi. ASME BPE SF1-SF4, Ra from 0.25 um, EN 10204 3.1 certificate with every lot.</v>
      </c>
      <c r="AK107" s="15" t="str">
        <f t="shared" si="21"/>
        <v>Electropolished stainless steel pipes supplied by Sakshi Forge to engineering &amp; process plants at Tupudana Industrial Area, Ranchi</v>
      </c>
      <c r="AL107" s="15" t="str">
        <f t="shared" si="22"/>
        <v>Electropolished SS 316L tube stock for Ranchi - Sakshi Forge</v>
      </c>
      <c r="AM107" s="15" t="str">
        <f t="shared" si="23"/>
        <v>Home &gt; Market Area &gt; India &gt; Jharkhand &gt; Ranchi</v>
      </c>
      <c r="AN107" s="15">
        <f t="shared" si="24"/>
        <v>1400</v>
      </c>
      <c r="AO107" s="15">
        <f t="shared" si="25"/>
        <v>10</v>
      </c>
      <c r="AP107" s="15">
        <f t="shared" si="26"/>
        <v>12</v>
      </c>
      <c r="AQ107" s="15">
        <f t="shared" si="27"/>
        <v>2</v>
      </c>
      <c r="AR107" s="31"/>
      <c r="AS107" s="31"/>
      <c r="AT107" s="35" t="s">
        <v>222</v>
      </c>
      <c r="AU107" s="35"/>
    </row>
    <row r="108" ht="15.75" customHeight="1">
      <c r="A108" s="15" t="s">
        <v>4311</v>
      </c>
      <c r="B108" s="15" t="s">
        <v>60</v>
      </c>
      <c r="C108" s="15" t="s">
        <v>958</v>
      </c>
      <c r="D108" s="15" t="s">
        <v>4312</v>
      </c>
      <c r="E108" s="15" t="s">
        <v>4312</v>
      </c>
      <c r="F108" s="16" t="s">
        <v>87</v>
      </c>
      <c r="G108" s="17" t="s">
        <v>88</v>
      </c>
      <c r="H108" s="18" t="s">
        <v>4313</v>
      </c>
      <c r="I108" s="18" t="s">
        <v>4314</v>
      </c>
      <c r="J108" s="18" t="s">
        <v>4316</v>
      </c>
      <c r="K108" s="18" t="s">
        <v>271</v>
      </c>
      <c r="L108" s="18" t="s">
        <v>4317</v>
      </c>
      <c r="M108" s="18" t="s">
        <v>96</v>
      </c>
      <c r="N108" s="18" t="s">
        <v>277</v>
      </c>
      <c r="O108" s="18" t="s">
        <v>98</v>
      </c>
      <c r="P108" s="15" t="str">
        <f t="shared" si="1"/>
        <v>CHEM</v>
      </c>
      <c r="Q108" s="15">
        <f t="shared" si="2"/>
        <v>1</v>
      </c>
      <c r="R108" s="15">
        <f t="shared" si="3"/>
        <v>7</v>
      </c>
      <c r="S108" s="15">
        <f t="shared" si="4"/>
        <v>5</v>
      </c>
      <c r="T108" s="15" t="str">
        <f t="shared" si="5"/>
        <v>A-3</v>
      </c>
      <c r="U108" s="15" t="str">
        <f t="shared" si="6"/>
        <v>T1-M7-H5-FA-3-CHEM</v>
      </c>
      <c r="V108" s="15">
        <f t="shared" si="7"/>
        <v>0</v>
      </c>
      <c r="W108" s="31"/>
      <c r="X108" s="15" t="str">
        <f t="shared" si="8"/>
        <v>ranipet</v>
      </c>
      <c r="Y108" s="32" t="str">
        <f t="shared" si="9"/>
        <v>https://steelmanufacturer.in/market-area/electropolished-pipes-manufacturer-in-ranipet/</v>
      </c>
      <c r="Z108" s="15" t="str">
        <f t="shared" si="10"/>
        <v>Electropolished Pipes Manufacturer in Ranipet | Sakshi Forge</v>
      </c>
      <c r="AA108" s="15" t="str">
        <f t="shared" si="11"/>
        <v>OK (60)</v>
      </c>
      <c r="AB108" s="15" t="str">
        <f t="shared" si="12"/>
        <v>Electropolished pipes in Ranipet: 304, 304L, 316 and 316L in SF1-SF4. 1-2 day road transit from our Mumbai works. Mill certified.</v>
      </c>
      <c r="AC108" s="15" t="str">
        <f t="shared" si="13"/>
        <v>OK (129)</v>
      </c>
      <c r="AD108" s="15" t="str">
        <f t="shared" si="14"/>
        <v>Electropolished Pipes Manufacturer in Ranipet</v>
      </c>
      <c r="AE108" s="15" t="str">
        <f t="shared" si="15"/>
        <v>Electropolished Tube Manufacturing Capability Serving Ranipet</v>
      </c>
      <c r="AF108" s="15" t="str">
        <f t="shared" si="16"/>
        <v>Electropolished Pipes Supplier in Ranipet - From Order to Delivery</v>
      </c>
      <c r="AG108" s="15" t="str">
        <f t="shared" si="17"/>
        <v>Stockist &amp; Wholesale Supply of Electropolished Pipes in Ranipet</v>
      </c>
      <c r="AH108" s="15" t="str">
        <f t="shared" si="18"/>
        <v>electropolished pipes manufacturer in Ranipet, electropolished pipes supplier in Ranipet, electropolished pipes wholesaler in Ranipet, electropolished tube manufacturer Ranipet, EP pipe supplier Ranipet, sanitary tube supplier Ranipet, ASME BPE tubing Ranipet, ASTM A270 tube Ranipet, SS 316L electropolished pipe Ranipet</v>
      </c>
      <c r="AI108" s="15" t="str">
        <f t="shared" si="19"/>
        <v>Electropolished Pipes Manufacturer &amp; Supplier in Ranipet</v>
      </c>
      <c r="AJ108" s="15" t="str">
        <f t="shared" si="20"/>
        <v>EP-finished SS 304/316L pipes and tubes for chemical plants in Ranipet. ASME BPE SF1-SF4, Ra from 0.25 um, EN 10204 3.1 certificate with every lot.</v>
      </c>
      <c r="AK108" s="15" t="str">
        <f t="shared" si="21"/>
        <v>Electropolished stainless steel pipes supplied by Sakshi Forge to chemical plants at Ranipet SIPCOT, Ranipet</v>
      </c>
      <c r="AL108" s="15" t="str">
        <f t="shared" si="22"/>
        <v>Electropolished SS 316L tube stock for Ranipet - Sakshi Forge</v>
      </c>
      <c r="AM108" s="15" t="str">
        <f t="shared" si="23"/>
        <v>Home &gt; Market Area &gt; India &gt; Tamil Nadu &gt; Ranipet</v>
      </c>
      <c r="AN108" s="15">
        <f t="shared" si="24"/>
        <v>1400</v>
      </c>
      <c r="AO108" s="15">
        <f t="shared" si="25"/>
        <v>10</v>
      </c>
      <c r="AP108" s="15">
        <f t="shared" si="26"/>
        <v>12</v>
      </c>
      <c r="AQ108" s="15">
        <f t="shared" si="27"/>
        <v>2</v>
      </c>
      <c r="AR108" s="31"/>
      <c r="AS108" s="31"/>
      <c r="AT108" s="35" t="s">
        <v>222</v>
      </c>
      <c r="AU108" s="35"/>
    </row>
    <row r="109" ht="15.75" customHeight="1">
      <c r="A109" s="15" t="s">
        <v>4337</v>
      </c>
      <c r="B109" s="15" t="s">
        <v>60</v>
      </c>
      <c r="C109" s="15" t="s">
        <v>264</v>
      </c>
      <c r="D109" s="15" t="s">
        <v>4338</v>
      </c>
      <c r="E109" s="15" t="s">
        <v>4338</v>
      </c>
      <c r="F109" s="16" t="s">
        <v>87</v>
      </c>
      <c r="G109" s="17" t="s">
        <v>88</v>
      </c>
      <c r="H109" s="18" t="s">
        <v>4340</v>
      </c>
      <c r="I109" s="18" t="s">
        <v>4341</v>
      </c>
      <c r="J109" s="18" t="s">
        <v>4342</v>
      </c>
      <c r="K109" s="18" t="s">
        <v>969</v>
      </c>
      <c r="L109" s="18" t="s">
        <v>4344</v>
      </c>
      <c r="M109" s="18" t="s">
        <v>96</v>
      </c>
      <c r="N109" s="18" t="s">
        <v>232</v>
      </c>
      <c r="O109" s="18" t="s">
        <v>98</v>
      </c>
      <c r="P109" s="15" t="str">
        <f t="shared" si="1"/>
        <v>SEMI</v>
      </c>
      <c r="Q109" s="15">
        <f t="shared" si="2"/>
        <v>2</v>
      </c>
      <c r="R109" s="15">
        <f t="shared" si="3"/>
        <v>1</v>
      </c>
      <c r="S109" s="15">
        <f t="shared" si="4"/>
        <v>1</v>
      </c>
      <c r="T109" s="15" t="str">
        <f t="shared" si="5"/>
        <v>A-4</v>
      </c>
      <c r="U109" s="15" t="str">
        <f t="shared" si="6"/>
        <v>T2-M1-H1-FA-4-SEMI</v>
      </c>
      <c r="V109" s="15">
        <f t="shared" si="7"/>
        <v>0</v>
      </c>
      <c r="W109" s="31"/>
      <c r="X109" s="15" t="str">
        <f t="shared" si="8"/>
        <v>ranjangaon</v>
      </c>
      <c r="Y109" s="32" t="str">
        <f t="shared" si="9"/>
        <v>https://steelmanufacturer.in/market-area/electropolished-pipes-manufacturer-in-ranjangaon/</v>
      </c>
      <c r="Z109" s="15" t="str">
        <f t="shared" si="10"/>
        <v>Electropolished Pipes Manufacturer in Ranjangaon</v>
      </c>
      <c r="AA109" s="15" t="str">
        <f t="shared" si="11"/>
        <v>OK (48)</v>
      </c>
      <c r="AB109" s="15" t="str">
        <f t="shared" si="12"/>
        <v>EP-finished SS 304/316L pipes &amp; tubes for electronics &amp; pharma plants in Ranjangaon. ASTM A270, ASME BPE SF1-SF4, EN 10204 3.1 MTC. PMI tested.</v>
      </c>
      <c r="AC109" s="15" t="str">
        <f t="shared" si="13"/>
        <v>OK (143)</v>
      </c>
      <c r="AD109" s="15" t="str">
        <f t="shared" si="14"/>
        <v>Electropolished Pipes Manufacturer in Ranjangaon</v>
      </c>
      <c r="AE109" s="15" t="str">
        <f t="shared" si="15"/>
        <v>Electropolished Pipe &amp; Tube Manufacturing for Ranjangaon - Grades, Finishes &amp; Certification</v>
      </c>
      <c r="AF109" s="15" t="str">
        <f t="shared" si="16"/>
        <v>Electropolished Pipes Supplier in Ranjangaon - Stock Sizes, Lead Time &amp; Delivery</v>
      </c>
      <c r="AG109" s="15" t="str">
        <f t="shared" si="17"/>
        <v>Electropolished Pipes Wholesaler &amp; Stockist in Ranjangaon - Bulk &amp; Project Pricing</v>
      </c>
      <c r="AH109" s="15" t="str">
        <f t="shared" si="18"/>
        <v>electropolished pipes manufacturer in Ranjangaon, electropolished pipes supplier in Ranjangaon, electropolished pipes wholesaler in Ranjangaon, electropolished tube manufacturer Ranjangaon, EP pipe supplier Ranjangaon, sanitary tube supplier Ranjangaon, ASME BPE tubing Ranjangaon, ASTM A270 tube Ranjangaon, SS 316L electropolished pipe Ranjangaon</v>
      </c>
      <c r="AI109" s="15" t="str">
        <f t="shared" si="19"/>
        <v>Electropolished Pipes Manufacturer &amp; Supplier in Ranjangaon</v>
      </c>
      <c r="AJ109" s="15" t="str">
        <f t="shared" si="20"/>
        <v>EP-finished SS 304/316L pipes and tubes for electronics &amp; pharma plants in Ranjangaon. ASME BPE SF1-SF4, Ra from 0.25 um, EN 10204 3.1 certificate with every lot.</v>
      </c>
      <c r="AK109" s="15" t="str">
        <f t="shared" si="21"/>
        <v>Electropolished stainless steel pipes supplied by Sakshi Forge to electronics &amp; pharma plants at Ranjangaon MIDC, Ranjangaon</v>
      </c>
      <c r="AL109" s="15" t="str">
        <f t="shared" si="22"/>
        <v>Electropolished SS 316L tube stock for Ranjangaon - Sakshi Forge</v>
      </c>
      <c r="AM109" s="15" t="str">
        <f t="shared" si="23"/>
        <v>Home &gt; Market Area &gt; India &gt; Maharashtra &gt; Ranjangaon</v>
      </c>
      <c r="AN109" s="15">
        <f t="shared" si="24"/>
        <v>1400</v>
      </c>
      <c r="AO109" s="15">
        <f t="shared" si="25"/>
        <v>10</v>
      </c>
      <c r="AP109" s="15">
        <f t="shared" si="26"/>
        <v>12</v>
      </c>
      <c r="AQ109" s="15">
        <f t="shared" si="27"/>
        <v>2</v>
      </c>
      <c r="AR109" s="31"/>
      <c r="AS109" s="31"/>
      <c r="AT109" s="35" t="s">
        <v>222</v>
      </c>
      <c r="AU109" s="35"/>
    </row>
    <row r="110" ht="15.75" customHeight="1">
      <c r="A110" s="15" t="s">
        <v>4367</v>
      </c>
      <c r="B110" s="15" t="s">
        <v>60</v>
      </c>
      <c r="C110" s="15" t="s">
        <v>264</v>
      </c>
      <c r="D110" s="15" t="s">
        <v>4369</v>
      </c>
      <c r="E110" s="15" t="s">
        <v>4369</v>
      </c>
      <c r="F110" s="16" t="s">
        <v>87</v>
      </c>
      <c r="G110" s="17" t="s">
        <v>88</v>
      </c>
      <c r="H110" s="18" t="s">
        <v>4370</v>
      </c>
      <c r="I110" s="18" t="s">
        <v>4372</v>
      </c>
      <c r="J110" s="18" t="s">
        <v>4373</v>
      </c>
      <c r="K110" s="18" t="s">
        <v>436</v>
      </c>
      <c r="L110" s="18" t="s">
        <v>4374</v>
      </c>
      <c r="M110" s="18" t="s">
        <v>96</v>
      </c>
      <c r="N110" s="18" t="s">
        <v>232</v>
      </c>
      <c r="O110" s="18" t="s">
        <v>98</v>
      </c>
      <c r="P110" s="15" t="str">
        <f t="shared" si="1"/>
        <v>PHARMA</v>
      </c>
      <c r="Q110" s="15">
        <f t="shared" si="2"/>
        <v>3</v>
      </c>
      <c r="R110" s="15">
        <f t="shared" si="3"/>
        <v>2</v>
      </c>
      <c r="S110" s="15">
        <f t="shared" si="4"/>
        <v>2</v>
      </c>
      <c r="T110" s="15" t="str">
        <f t="shared" si="5"/>
        <v>A-5</v>
      </c>
      <c r="U110" s="15" t="str">
        <f t="shared" si="6"/>
        <v>T3-M2-H2-FA-5-PHARMA</v>
      </c>
      <c r="V110" s="15">
        <f t="shared" si="7"/>
        <v>0</v>
      </c>
      <c r="W110" s="31"/>
      <c r="X110" s="15" t="str">
        <f t="shared" si="8"/>
        <v>roha</v>
      </c>
      <c r="Y110" s="32" t="str">
        <f t="shared" si="9"/>
        <v>https://steelmanufacturer.in/market-area/electropolished-pipes-manufacturer-in-roha/</v>
      </c>
      <c r="Z110" s="15" t="str">
        <f t="shared" si="10"/>
        <v>Electropolished Pipes Manufacturer in Roha | EP Tube Supplier</v>
      </c>
      <c r="AA110" s="15" t="str">
        <f t="shared" si="11"/>
        <v>OK (61)</v>
      </c>
      <c r="AB110" s="15" t="str">
        <f t="shared" si="12"/>
        <v>Electropolished tube supply to Roha MIDC, Roha. Ra from 0.25 um, SF4 finish, mill test certificate with every lot.</v>
      </c>
      <c r="AC110" s="15" t="str">
        <f t="shared" si="13"/>
        <v>OK (114)</v>
      </c>
      <c r="AD110" s="15" t="str">
        <f t="shared" si="14"/>
        <v>Electropolished Pipes Manufacturer in Roha</v>
      </c>
      <c r="AE110" s="15" t="str">
        <f t="shared" si="15"/>
        <v>How We Manufacture Electropolished Tube for Roha Plants</v>
      </c>
      <c r="AF110" s="15" t="str">
        <f t="shared" si="16"/>
        <v>Supplying Electropolished Pipes in Roha: Availability, Sizes &amp; Dispatch</v>
      </c>
      <c r="AG110" s="15" t="str">
        <f t="shared" si="17"/>
        <v>Wholesale Electropolished Pipe Supply for Roha Projects</v>
      </c>
      <c r="AH110" s="15" t="str">
        <f t="shared" si="18"/>
        <v>electropolished pipes manufacturer in Roha, electropolished pipes supplier in Roha, electropolished pipes wholesaler in Roha, electropolished tube manufacturer Roha, EP pipe supplier Roha, sanitary tube supplier Roha, ASME BPE tubing Roha, ASTM A270 tube Roha, SS 316L electropolished pipe Roha</v>
      </c>
      <c r="AI110" s="15" t="str">
        <f t="shared" si="19"/>
        <v>Electropolished Pipes Manufacturer &amp; Supplier in Roha</v>
      </c>
      <c r="AJ110" s="15" t="str">
        <f t="shared" si="20"/>
        <v>EP-finished SS 304/316L pipes and tubes for pharma &amp; API plants in Roha. ASME BPE SF1-SF4, Ra from 0.25 um, EN 10204 3.1 certificate with every lot.</v>
      </c>
      <c r="AK110" s="15" t="str">
        <f t="shared" si="21"/>
        <v>Electropolished stainless steel pipes supplied by Sakshi Forge to pharma &amp; API plants at Roha MIDC, Roha</v>
      </c>
      <c r="AL110" s="15" t="str">
        <f t="shared" si="22"/>
        <v>Electropolished SS 316L tube stock for Roha - Sakshi Forge</v>
      </c>
      <c r="AM110" s="15" t="str">
        <f t="shared" si="23"/>
        <v>Home &gt; Market Area &gt; India &gt; Maharashtra &gt; Roha</v>
      </c>
      <c r="AN110" s="15">
        <f t="shared" si="24"/>
        <v>1400</v>
      </c>
      <c r="AO110" s="15">
        <f t="shared" si="25"/>
        <v>10</v>
      </c>
      <c r="AP110" s="15">
        <f t="shared" si="26"/>
        <v>12</v>
      </c>
      <c r="AQ110" s="15">
        <f t="shared" si="27"/>
        <v>2</v>
      </c>
      <c r="AR110" s="31"/>
      <c r="AS110" s="31"/>
      <c r="AT110" s="35" t="s">
        <v>222</v>
      </c>
      <c r="AU110" s="35"/>
    </row>
    <row r="111" ht="15.75" customHeight="1">
      <c r="A111" s="15" t="s">
        <v>4395</v>
      </c>
      <c r="B111" s="15" t="s">
        <v>60</v>
      </c>
      <c r="C111" s="15" t="s">
        <v>424</v>
      </c>
      <c r="D111" s="15" t="s">
        <v>4397</v>
      </c>
      <c r="E111" s="15" t="s">
        <v>4397</v>
      </c>
      <c r="F111" s="16" t="s">
        <v>87</v>
      </c>
      <c r="G111" s="17" t="s">
        <v>88</v>
      </c>
      <c r="H111" s="18" t="s">
        <v>4399</v>
      </c>
      <c r="I111" s="18" t="s">
        <v>4400</v>
      </c>
      <c r="J111" s="18" t="s">
        <v>4401</v>
      </c>
      <c r="K111" s="18" t="s">
        <v>250</v>
      </c>
      <c r="L111" s="18" t="s">
        <v>4402</v>
      </c>
      <c r="M111" s="18" t="s">
        <v>231</v>
      </c>
      <c r="N111" s="18" t="s">
        <v>252</v>
      </c>
      <c r="O111" s="18" t="s">
        <v>98</v>
      </c>
      <c r="P111" s="15" t="str">
        <f t="shared" si="1"/>
        <v>GENERAL</v>
      </c>
      <c r="Q111" s="15">
        <f t="shared" si="2"/>
        <v>4</v>
      </c>
      <c r="R111" s="15">
        <f t="shared" si="3"/>
        <v>3</v>
      </c>
      <c r="S111" s="15">
        <f t="shared" si="4"/>
        <v>3</v>
      </c>
      <c r="T111" s="15" t="str">
        <f t="shared" si="5"/>
        <v>A-6</v>
      </c>
      <c r="U111" s="15" t="str">
        <f t="shared" si="6"/>
        <v>T4-M3-H3-FA-6-GENERAL</v>
      </c>
      <c r="V111" s="15">
        <f t="shared" si="7"/>
        <v>0</v>
      </c>
      <c r="W111" s="31"/>
      <c r="X111" s="15" t="str">
        <f t="shared" si="8"/>
        <v>rourkela</v>
      </c>
      <c r="Y111" s="32" t="str">
        <f t="shared" si="9"/>
        <v>https://steelmanufacturer.in/market-area/electropolished-pipes-manufacturer-in-rourkela/</v>
      </c>
      <c r="Z111" s="15" t="str">
        <f t="shared" si="10"/>
        <v>Electropolished Pipes Manufacturer in Rourkela</v>
      </c>
      <c r="AA111" s="15" t="str">
        <f t="shared" si="11"/>
        <v>OK (46)</v>
      </c>
      <c r="AB111" s="15" t="str">
        <f t="shared" si="12"/>
        <v>EP stainless tube for engineering &amp; process lines in Rourkela. 2-3 day road transit from our Mumbai works. ASTM A270 S2, PMI tested, EN 10204 3.1.</v>
      </c>
      <c r="AC111" s="15" t="str">
        <f t="shared" si="13"/>
        <v>OK (146)</v>
      </c>
      <c r="AD111" s="15" t="str">
        <f t="shared" si="14"/>
        <v>Electropolished Pipes Manufacturer in Rourkela</v>
      </c>
      <c r="AE111" s="15" t="str">
        <f t="shared" si="15"/>
        <v>Electropolished Pipes Manufacturer in Rourkela - Our Process &amp; Capability</v>
      </c>
      <c r="AF111" s="15" t="str">
        <f t="shared" si="16"/>
        <v>Electropolished Pipes Supplier in Rourkela - What We Hold in Stock</v>
      </c>
      <c r="AG111" s="15" t="str">
        <f t="shared" si="17"/>
        <v>Bulk &amp; Wholesale Electropolished Pipe Rates for Rourkela Buyers</v>
      </c>
      <c r="AH111" s="15" t="str">
        <f t="shared" si="18"/>
        <v>electropolished pipes manufacturer in Rourkela, electropolished pipes supplier in Rourkela, electropolished pipes wholesaler in Rourkela, electropolished tube manufacturer Rourkela, EP pipe supplier Rourkela, sanitary tube supplier Rourkela, ASME BPE tubing Rourkela, ASTM A270 tube Rourkela, SS 316L electropolished pipe Rourkela</v>
      </c>
      <c r="AI111" s="15" t="str">
        <f t="shared" si="19"/>
        <v>Electropolished Pipes Manufacturer &amp; Supplier in Rourkela</v>
      </c>
      <c r="AJ111" s="15" t="str">
        <f t="shared" si="20"/>
        <v>EP-finished SS 304/316L pipes and tubes for engineering &amp; process plants in Rourkela. ASME BPE SF1-SF4, Ra from 0.25 um, EN 10204 3.1 certificate with every lot.</v>
      </c>
      <c r="AK111" s="15" t="str">
        <f t="shared" si="21"/>
        <v>Electropolished stainless steel pipes supplied by Sakshi Forge to engineering &amp; process plants at Kalunga Industrial Estate IDCO, Rourkela</v>
      </c>
      <c r="AL111" s="15" t="str">
        <f t="shared" si="22"/>
        <v>Electropolished SS 316L tube stock for Rourkela - Sakshi Forge</v>
      </c>
      <c r="AM111" s="15" t="str">
        <f t="shared" si="23"/>
        <v>Home &gt; Market Area &gt; India &gt; Odisha &gt; Rourkela</v>
      </c>
      <c r="AN111" s="15">
        <f t="shared" si="24"/>
        <v>1400</v>
      </c>
      <c r="AO111" s="15">
        <f t="shared" si="25"/>
        <v>10</v>
      </c>
      <c r="AP111" s="15">
        <f t="shared" si="26"/>
        <v>12</v>
      </c>
      <c r="AQ111" s="15">
        <f t="shared" si="27"/>
        <v>2</v>
      </c>
      <c r="AR111" s="31"/>
      <c r="AS111" s="31"/>
      <c r="AT111" s="35" t="s">
        <v>222</v>
      </c>
      <c r="AU111" s="35"/>
    </row>
    <row r="112" ht="15.75" customHeight="1">
      <c r="A112" s="15" t="s">
        <v>4428</v>
      </c>
      <c r="B112" s="15" t="s">
        <v>60</v>
      </c>
      <c r="C112" s="15" t="s">
        <v>1139</v>
      </c>
      <c r="D112" s="15" t="s">
        <v>4430</v>
      </c>
      <c r="E112" s="15" t="s">
        <v>4430</v>
      </c>
      <c r="F112" s="16" t="s">
        <v>87</v>
      </c>
      <c r="G112" s="17" t="s">
        <v>88</v>
      </c>
      <c r="H112" s="18" t="s">
        <v>4434</v>
      </c>
      <c r="I112" s="18" t="s">
        <v>4436</v>
      </c>
      <c r="J112" s="18" t="s">
        <v>4437</v>
      </c>
      <c r="K112" s="18" t="s">
        <v>229</v>
      </c>
      <c r="L112" s="18" t="s">
        <v>4439</v>
      </c>
      <c r="M112" s="18" t="s">
        <v>96</v>
      </c>
      <c r="N112" s="18" t="s">
        <v>232</v>
      </c>
      <c r="O112" s="18" t="s">
        <v>98</v>
      </c>
      <c r="P112" s="15" t="str">
        <f t="shared" si="1"/>
        <v>PHARMA</v>
      </c>
      <c r="Q112" s="15">
        <f t="shared" si="2"/>
        <v>5</v>
      </c>
      <c r="R112" s="15">
        <f t="shared" si="3"/>
        <v>4</v>
      </c>
      <c r="S112" s="15">
        <f t="shared" si="4"/>
        <v>4</v>
      </c>
      <c r="T112" s="15" t="str">
        <f t="shared" si="5"/>
        <v>A-1</v>
      </c>
      <c r="U112" s="15" t="str">
        <f t="shared" si="6"/>
        <v>T5-M4-H4-FA-1-PHARMA</v>
      </c>
      <c r="V112" s="15">
        <f t="shared" si="7"/>
        <v>0</v>
      </c>
      <c r="W112" s="31"/>
      <c r="X112" s="15" t="str">
        <f t="shared" si="8"/>
        <v>rudrapur</v>
      </c>
      <c r="Y112" s="32" t="str">
        <f t="shared" si="9"/>
        <v>https://steelmanufacturer.in/market-area/electropolished-pipes-manufacturer-in-rudrapur/</v>
      </c>
      <c r="Z112" s="15" t="str">
        <f t="shared" si="10"/>
        <v>Electropolished Pipes Manufacturer in Rudrapur</v>
      </c>
      <c r="AA112" s="15" t="str">
        <f t="shared" si="11"/>
        <v>OK (46)</v>
      </c>
      <c r="AB112" s="15" t="str">
        <f t="shared" si="12"/>
        <v>Sanitary electropolished pipes in Rudrapur for pharma plants. ASME BPE SF1-SF4, orbital-weld ready, 3.1 MTC. Mumbai-made.</v>
      </c>
      <c r="AC112" s="15" t="str">
        <f t="shared" si="13"/>
        <v>OK (121)</v>
      </c>
      <c r="AD112" s="15" t="str">
        <f t="shared" si="14"/>
        <v>Electropolished Pipes Manufacturer in Rudrapur</v>
      </c>
      <c r="AE112" s="15" t="str">
        <f t="shared" si="15"/>
        <v>Manufacturing Electropolished SS Tube for Rudrapur: The Standards We Build To</v>
      </c>
      <c r="AF112" s="15" t="str">
        <f t="shared" si="16"/>
        <v>Electropolished Pipe Supply Into Rudrapur - Certification &amp; Transit</v>
      </c>
      <c r="AG112" s="15" t="str">
        <f t="shared" si="17"/>
        <v>Electropolished Pipes Wholesaler in Rudrapur - Project Quantities &amp; Terms</v>
      </c>
      <c r="AH112" s="15" t="str">
        <f t="shared" si="18"/>
        <v>electropolished pipes manufacturer in Rudrapur, electropolished pipes supplier in Rudrapur, electropolished pipes wholesaler in Rudrapur, electropolished tube manufacturer Rudrapur, EP pipe supplier Rudrapur, sanitary tube supplier Rudrapur, ASME BPE tubing Rudrapur, ASTM A270 tube Rudrapur, SS 316L electropolished pipe Rudrapur</v>
      </c>
      <c r="AI112" s="15" t="str">
        <f t="shared" si="19"/>
        <v>Electropolished Pipes Manufacturer &amp; Supplier in Rudrapur</v>
      </c>
      <c r="AJ112" s="15" t="str">
        <f t="shared" si="20"/>
        <v>EP-finished SS 304/316L pipes and tubes for pharma plants in Rudrapur. ASME BPE SF1-SF4, Ra from 0.25 um, EN 10204 3.1 certificate with every lot.</v>
      </c>
      <c r="AK112" s="15" t="str">
        <f t="shared" si="21"/>
        <v>Electropolished stainless steel pipes supplied by Sakshi Forge to pharma plants at SIDCUL Pantnagar IIE, Rudrapur</v>
      </c>
      <c r="AL112" s="15" t="str">
        <f t="shared" si="22"/>
        <v>Electropolished SS 316L tube stock for Rudrapur - Sakshi Forge</v>
      </c>
      <c r="AM112" s="15" t="str">
        <f t="shared" si="23"/>
        <v>Home &gt; Market Area &gt; India &gt; Uttarakhand &gt; Rudrapur</v>
      </c>
      <c r="AN112" s="15">
        <f t="shared" si="24"/>
        <v>1400</v>
      </c>
      <c r="AO112" s="15">
        <f t="shared" si="25"/>
        <v>10</v>
      </c>
      <c r="AP112" s="15">
        <f t="shared" si="26"/>
        <v>12</v>
      </c>
      <c r="AQ112" s="15">
        <f t="shared" si="27"/>
        <v>2</v>
      </c>
      <c r="AR112" s="31"/>
      <c r="AS112" s="31"/>
      <c r="AT112" s="35" t="s">
        <v>222</v>
      </c>
      <c r="AU112" s="35"/>
    </row>
    <row r="113" ht="15.75" customHeight="1">
      <c r="A113" s="15" t="s">
        <v>4472</v>
      </c>
      <c r="B113" s="15" t="s">
        <v>60</v>
      </c>
      <c r="C113" s="15" t="s">
        <v>958</v>
      </c>
      <c r="D113" s="15" t="s">
        <v>4474</v>
      </c>
      <c r="E113" s="15" t="s">
        <v>4474</v>
      </c>
      <c r="F113" s="16" t="s">
        <v>87</v>
      </c>
      <c r="G113" s="17" t="s">
        <v>88</v>
      </c>
      <c r="H113" s="18" t="s">
        <v>4475</v>
      </c>
      <c r="I113" s="18" t="s">
        <v>4477</v>
      </c>
      <c r="J113" s="18" t="s">
        <v>4478</v>
      </c>
      <c r="K113" s="18" t="s">
        <v>94</v>
      </c>
      <c r="L113" s="18" t="s">
        <v>4480</v>
      </c>
      <c r="M113" s="18" t="s">
        <v>231</v>
      </c>
      <c r="N113" s="18" t="s">
        <v>97</v>
      </c>
      <c r="O113" s="18" t="s">
        <v>98</v>
      </c>
      <c r="P113" s="15" t="str">
        <f t="shared" si="1"/>
        <v>FOOD</v>
      </c>
      <c r="Q113" s="15">
        <f t="shared" si="2"/>
        <v>6</v>
      </c>
      <c r="R113" s="15">
        <f t="shared" si="3"/>
        <v>5</v>
      </c>
      <c r="S113" s="15">
        <f t="shared" si="4"/>
        <v>5</v>
      </c>
      <c r="T113" s="15" t="str">
        <f t="shared" si="5"/>
        <v>A-2</v>
      </c>
      <c r="U113" s="15" t="str">
        <f t="shared" si="6"/>
        <v>T6-M5-H5-FA-2-FOOD</v>
      </c>
      <c r="V113" s="15">
        <f t="shared" si="7"/>
        <v>0</v>
      </c>
      <c r="W113" s="31"/>
      <c r="X113" s="15" t="str">
        <f t="shared" si="8"/>
        <v>salem</v>
      </c>
      <c r="Y113" s="32" t="str">
        <f t="shared" si="9"/>
        <v>https://steelmanufacturer.in/market-area/electropolished-pipes-manufacturer-in-salem/</v>
      </c>
      <c r="Z113" s="15" t="str">
        <f t="shared" si="10"/>
        <v>Electropolished Pipes Manufacturer in Salem</v>
      </c>
      <c r="AA113" s="15" t="str">
        <f t="shared" si="11"/>
        <v>OK (43)</v>
      </c>
      <c r="AB113" s="15" t="str">
        <f t="shared" si="12"/>
        <v>Manufacturer of electropolished SS 316L tube serving Salem. 2-3 day road transit from our Mumbai works. Ra 0.25-0.5 um, EN 10204 3.1 MTC.</v>
      </c>
      <c r="AC113" s="15" t="str">
        <f t="shared" si="13"/>
        <v>OK (137)</v>
      </c>
      <c r="AD113" s="15" t="str">
        <f t="shared" si="14"/>
        <v>Electropolished Pipes Manufacturer in Salem</v>
      </c>
      <c r="AE113" s="15" t="str">
        <f t="shared" si="15"/>
        <v>Electropolished Tube Manufacturing Capability Serving Salem</v>
      </c>
      <c r="AF113" s="15" t="str">
        <f t="shared" si="16"/>
        <v>Electropolished Pipes Supplier in Salem - From Order to Delivery</v>
      </c>
      <c r="AG113" s="15" t="str">
        <f t="shared" si="17"/>
        <v>Stockist &amp; Wholesale Supply of Electropolished Pipes in Salem</v>
      </c>
      <c r="AH113" s="15" t="str">
        <f t="shared" si="18"/>
        <v>electropolished pipes manufacturer in Salem, electropolished pipes supplier in Salem, electropolished pipes wholesaler in Salem, electropolished tube manufacturer Salem, EP pipe supplier Salem, sanitary tube supplier Salem, ASME BPE tubing Salem, ASTM A270 tube Salem, SS 316L electropolished pipe Salem</v>
      </c>
      <c r="AI113" s="15" t="str">
        <f t="shared" si="19"/>
        <v>Electropolished Pipes Manufacturer &amp; Supplier in Salem</v>
      </c>
      <c r="AJ113" s="15" t="str">
        <f t="shared" si="20"/>
        <v>EP-finished SS 304/316L pipes and tubes for food processing plants in Salem. ASME BPE SF1-SF4, Ra from 0.25 um, EN 10204 3.1 certificate with every lot.</v>
      </c>
      <c r="AK113" s="15" t="str">
        <f t="shared" si="21"/>
        <v>Electropolished stainless steel pipes supplied by Sakshi Forge to food processing plants at Salem SIDCO, Salem</v>
      </c>
      <c r="AL113" s="15" t="str">
        <f t="shared" si="22"/>
        <v>Electropolished SS 316L tube stock for Salem - Sakshi Forge</v>
      </c>
      <c r="AM113" s="15" t="str">
        <f t="shared" si="23"/>
        <v>Home &gt; Market Area &gt; India &gt; Tamil Nadu &gt; Salem</v>
      </c>
      <c r="AN113" s="15">
        <f t="shared" si="24"/>
        <v>1400</v>
      </c>
      <c r="AO113" s="15">
        <f t="shared" si="25"/>
        <v>10</v>
      </c>
      <c r="AP113" s="15">
        <f t="shared" si="26"/>
        <v>12</v>
      </c>
      <c r="AQ113" s="15">
        <f t="shared" si="27"/>
        <v>2</v>
      </c>
      <c r="AR113" s="31"/>
      <c r="AS113" s="31"/>
      <c r="AT113" s="35" t="s">
        <v>222</v>
      </c>
      <c r="AU113" s="35"/>
    </row>
    <row r="114" ht="15.75" customHeight="1">
      <c r="A114" s="15" t="s">
        <v>4512</v>
      </c>
      <c r="B114" s="15" t="s">
        <v>60</v>
      </c>
      <c r="C114" s="15" t="s">
        <v>224</v>
      </c>
      <c r="D114" s="15" t="s">
        <v>4513</v>
      </c>
      <c r="E114" s="15" t="s">
        <v>4513</v>
      </c>
      <c r="F114" s="16" t="s">
        <v>87</v>
      </c>
      <c r="G114" s="17" t="s">
        <v>88</v>
      </c>
      <c r="H114" s="18" t="s">
        <v>4515</v>
      </c>
      <c r="I114" s="18" t="s">
        <v>4517</v>
      </c>
      <c r="J114" s="18" t="s">
        <v>4519</v>
      </c>
      <c r="K114" s="18" t="s">
        <v>229</v>
      </c>
      <c r="L114" s="18" t="s">
        <v>4520</v>
      </c>
      <c r="M114" s="18" t="s">
        <v>231</v>
      </c>
      <c r="N114" s="18" t="s">
        <v>232</v>
      </c>
      <c r="O114" s="18" t="s">
        <v>98</v>
      </c>
      <c r="P114" s="15" t="str">
        <f t="shared" si="1"/>
        <v>PHARMA</v>
      </c>
      <c r="Q114" s="15">
        <f t="shared" si="2"/>
        <v>7</v>
      </c>
      <c r="R114" s="15">
        <f t="shared" si="3"/>
        <v>6</v>
      </c>
      <c r="S114" s="15">
        <f t="shared" si="4"/>
        <v>1</v>
      </c>
      <c r="T114" s="15" t="str">
        <f t="shared" si="5"/>
        <v>A-3</v>
      </c>
      <c r="U114" s="15" t="str">
        <f t="shared" si="6"/>
        <v>T7-M6-H1-FA-3-PHARMA</v>
      </c>
      <c r="V114" s="15">
        <f t="shared" si="7"/>
        <v>0</v>
      </c>
      <c r="W114" s="31"/>
      <c r="X114" s="15" t="str">
        <f t="shared" si="8"/>
        <v>sanand</v>
      </c>
      <c r="Y114" s="32" t="str">
        <f t="shared" si="9"/>
        <v>https://steelmanufacturer.in/market-area/electropolished-pipes-manufacturer-in-sanand/</v>
      </c>
      <c r="Z114" s="15" t="str">
        <f t="shared" si="10"/>
        <v>Electropolished Pipes Manufacturer in Sanand | ASME BPE SF1-SF4</v>
      </c>
      <c r="AA114" s="15" t="str">
        <f t="shared" si="11"/>
        <v>OK (63)</v>
      </c>
      <c r="AB114" s="15" t="str">
        <f t="shared" si="12"/>
        <v>EP tube and pipe for pharma plants around Sanand GIDC I &amp; II, Sanand. Made at our Mumbai works to ASTM A270 and ASME BPE SF1-SF4, with 3.1 MTC.</v>
      </c>
      <c r="AC114" s="15" t="str">
        <f t="shared" si="13"/>
        <v>OK (143)</v>
      </c>
      <c r="AD114" s="15" t="str">
        <f t="shared" si="14"/>
        <v>Electropolished Pipes Manufacturer in Sanand</v>
      </c>
      <c r="AE114" s="15" t="str">
        <f t="shared" si="15"/>
        <v>Electropolished Pipe &amp; Tube Manufacturing for Sanand - Grades, Finishes &amp; Certification</v>
      </c>
      <c r="AF114" s="15" t="str">
        <f t="shared" si="16"/>
        <v>Electropolished Pipes Supplier in Sanand - Stock Sizes, Lead Time &amp; Delivery</v>
      </c>
      <c r="AG114" s="15" t="str">
        <f t="shared" si="17"/>
        <v>Electropolished Pipes Wholesaler &amp; Stockist in Sanand - Bulk &amp; Project Pricing</v>
      </c>
      <c r="AH114" s="15" t="str">
        <f t="shared" si="18"/>
        <v>electropolished pipes manufacturer in Sanand, electropolished pipes supplier in Sanand, electropolished pipes wholesaler in Sanand, electropolished tube manufacturer Sanand, EP pipe supplier Sanand, sanitary tube supplier Sanand, ASME BPE tubing Sanand, ASTM A270 tube Sanand, SS 316L electropolished pipe Sanand</v>
      </c>
      <c r="AI114" s="15" t="str">
        <f t="shared" si="19"/>
        <v>Electropolished Pipes Manufacturer &amp; Supplier in Sanand</v>
      </c>
      <c r="AJ114" s="15" t="str">
        <f t="shared" si="20"/>
        <v>EP-finished SS 304/316L pipes and tubes for pharma plants in Sanand. ASME BPE SF1-SF4, Ra from 0.25 um, EN 10204 3.1 certificate with every lot.</v>
      </c>
      <c r="AK114" s="15" t="str">
        <f t="shared" si="21"/>
        <v>Electropolished stainless steel pipes supplied by Sakshi Forge to pharma plants at Sanand GIDC I &amp; II, Sanand</v>
      </c>
      <c r="AL114" s="15" t="str">
        <f t="shared" si="22"/>
        <v>Electropolished SS 316L tube stock for Sanand - Sakshi Forge</v>
      </c>
      <c r="AM114" s="15" t="str">
        <f t="shared" si="23"/>
        <v>Home &gt; Market Area &gt; India &gt; Gujarat &gt; Sanand</v>
      </c>
      <c r="AN114" s="15">
        <f t="shared" si="24"/>
        <v>1400</v>
      </c>
      <c r="AO114" s="15">
        <f t="shared" si="25"/>
        <v>10</v>
      </c>
      <c r="AP114" s="15">
        <f t="shared" si="26"/>
        <v>12</v>
      </c>
      <c r="AQ114" s="15">
        <f t="shared" si="27"/>
        <v>2</v>
      </c>
      <c r="AR114" s="31"/>
      <c r="AS114" s="31"/>
      <c r="AT114" s="35" t="s">
        <v>222</v>
      </c>
      <c r="AU114" s="35"/>
    </row>
    <row r="115" ht="15.75" customHeight="1">
      <c r="A115" s="15" t="s">
        <v>4552</v>
      </c>
      <c r="B115" s="15" t="s">
        <v>60</v>
      </c>
      <c r="C115" s="15" t="s">
        <v>1312</v>
      </c>
      <c r="D115" s="15" t="s">
        <v>4554</v>
      </c>
      <c r="E115" s="15" t="s">
        <v>4554</v>
      </c>
      <c r="F115" s="16" t="s">
        <v>87</v>
      </c>
      <c r="G115" s="17" t="s">
        <v>88</v>
      </c>
      <c r="H115" s="18" t="s">
        <v>4556</v>
      </c>
      <c r="I115" s="18" t="s">
        <v>4557</v>
      </c>
      <c r="J115" s="18" t="s">
        <v>4558</v>
      </c>
      <c r="K115" s="18" t="s">
        <v>436</v>
      </c>
      <c r="L115" s="18" t="s">
        <v>4560</v>
      </c>
      <c r="M115" s="18" t="s">
        <v>231</v>
      </c>
      <c r="N115" s="18" t="s">
        <v>232</v>
      </c>
      <c r="O115" s="18" t="s">
        <v>98</v>
      </c>
      <c r="P115" s="15" t="str">
        <f t="shared" si="1"/>
        <v>PHARMA</v>
      </c>
      <c r="Q115" s="15">
        <f t="shared" si="2"/>
        <v>8</v>
      </c>
      <c r="R115" s="15">
        <f t="shared" si="3"/>
        <v>7</v>
      </c>
      <c r="S115" s="15">
        <f t="shared" si="4"/>
        <v>2</v>
      </c>
      <c r="T115" s="15" t="str">
        <f t="shared" si="5"/>
        <v>A-4</v>
      </c>
      <c r="U115" s="15" t="str">
        <f t="shared" si="6"/>
        <v>T8-M7-H2-FA-4-PHARMA</v>
      </c>
      <c r="V115" s="15">
        <f t="shared" si="7"/>
        <v>0</v>
      </c>
      <c r="W115" s="31"/>
      <c r="X115" s="15" t="str">
        <f t="shared" si="8"/>
        <v>sangareddy</v>
      </c>
      <c r="Y115" s="32" t="str">
        <f t="shared" si="9"/>
        <v>https://steelmanufacturer.in/market-area/electropolished-pipes-manufacturer-in-sangareddy/</v>
      </c>
      <c r="Z115" s="15" t="str">
        <f t="shared" si="10"/>
        <v>Electropolished Pipes Manufacturer in Sangareddy</v>
      </c>
      <c r="AA115" s="15" t="str">
        <f t="shared" si="11"/>
        <v>OK (48)</v>
      </c>
      <c r="AB115" s="15" t="str">
        <f t="shared" si="12"/>
        <v>Electropolished pipes in Sangareddy: 304, 304L, 316 and 316L in SF1-SF4. 2-3 day road transit from our Mumbai works. Mill certified.</v>
      </c>
      <c r="AC115" s="15" t="str">
        <f t="shared" si="13"/>
        <v>OK (132)</v>
      </c>
      <c r="AD115" s="15" t="str">
        <f t="shared" si="14"/>
        <v>Electropolished Pipes Manufacturer in Sangareddy</v>
      </c>
      <c r="AE115" s="15" t="str">
        <f t="shared" si="15"/>
        <v>How We Manufacture Electropolished Tube for Sangareddy Plants</v>
      </c>
      <c r="AF115" s="15" t="str">
        <f t="shared" si="16"/>
        <v>Supplying Electropolished Pipes in Sangareddy: Availability, Sizes &amp; Dispatch</v>
      </c>
      <c r="AG115" s="15" t="str">
        <f t="shared" si="17"/>
        <v>Wholesale Electropolished Pipe Supply for Sangareddy Projects</v>
      </c>
      <c r="AH115" s="15" t="str">
        <f t="shared" si="18"/>
        <v>electropolished pipes manufacturer in Sangareddy, electropolished pipes supplier in Sangareddy, electropolished pipes wholesaler in Sangareddy, electropolished tube manufacturer Sangareddy, EP pipe supplier Sangareddy, sanitary tube supplier Sangareddy, ASME BPE tubing Sangareddy, ASTM A270 tube Sangareddy, SS 316L electropolished pipe Sangareddy</v>
      </c>
      <c r="AI115" s="15" t="str">
        <f t="shared" si="19"/>
        <v>Electropolished Pipes Manufacturer &amp; Supplier in Sangareddy</v>
      </c>
      <c r="AJ115" s="15" t="str">
        <f t="shared" si="20"/>
        <v>EP-finished SS 304/316L pipes and tubes for pharma &amp; API plants in Sangareddy. ASME BPE SF1-SF4, Ra from 0.25 um, EN 10204 3.1 certificate with every lot.</v>
      </c>
      <c r="AK115" s="15" t="str">
        <f t="shared" si="21"/>
        <v>Electropolished stainless steel pipes supplied by Sakshi Forge to pharma &amp; API plants at Sultanpur IDA, Sangareddy</v>
      </c>
      <c r="AL115" s="15" t="str">
        <f t="shared" si="22"/>
        <v>Electropolished SS 316L tube stock for Sangareddy - Sakshi Forge</v>
      </c>
      <c r="AM115" s="15" t="str">
        <f t="shared" si="23"/>
        <v>Home &gt; Market Area &gt; India &gt; Telangana &gt; Sangareddy</v>
      </c>
      <c r="AN115" s="15">
        <f t="shared" si="24"/>
        <v>1400</v>
      </c>
      <c r="AO115" s="15">
        <f t="shared" si="25"/>
        <v>10</v>
      </c>
      <c r="AP115" s="15">
        <f t="shared" si="26"/>
        <v>12</v>
      </c>
      <c r="AQ115" s="15">
        <f t="shared" si="27"/>
        <v>2</v>
      </c>
      <c r="AR115" s="31"/>
      <c r="AS115" s="31"/>
      <c r="AT115" s="35" t="s">
        <v>222</v>
      </c>
      <c r="AU115" s="35"/>
    </row>
    <row r="116" ht="15.75" customHeight="1">
      <c r="A116" s="15" t="s">
        <v>4592</v>
      </c>
      <c r="B116" s="15" t="s">
        <v>60</v>
      </c>
      <c r="C116" s="15" t="s">
        <v>264</v>
      </c>
      <c r="D116" s="15" t="s">
        <v>4594</v>
      </c>
      <c r="E116" s="15" t="s">
        <v>4594</v>
      </c>
      <c r="F116" s="16" t="s">
        <v>87</v>
      </c>
      <c r="G116" s="17" t="s">
        <v>88</v>
      </c>
      <c r="H116" s="18" t="s">
        <v>4597</v>
      </c>
      <c r="I116" s="18" t="s">
        <v>4598</v>
      </c>
      <c r="J116" s="18" t="s">
        <v>4599</v>
      </c>
      <c r="K116" s="18" t="s">
        <v>229</v>
      </c>
      <c r="L116" s="18" t="s">
        <v>2927</v>
      </c>
      <c r="M116" s="18" t="s">
        <v>231</v>
      </c>
      <c r="N116" s="18" t="s">
        <v>232</v>
      </c>
      <c r="O116" s="18" t="s">
        <v>98</v>
      </c>
      <c r="P116" s="15" t="str">
        <f t="shared" si="1"/>
        <v>PHARMA</v>
      </c>
      <c r="Q116" s="15">
        <f t="shared" si="2"/>
        <v>1</v>
      </c>
      <c r="R116" s="15">
        <f t="shared" si="3"/>
        <v>1</v>
      </c>
      <c r="S116" s="15">
        <f t="shared" si="4"/>
        <v>3</v>
      </c>
      <c r="T116" s="15" t="str">
        <f t="shared" si="5"/>
        <v>A-5</v>
      </c>
      <c r="U116" s="15" t="str">
        <f t="shared" si="6"/>
        <v>T1-M1-H3-FA-5-PHARMA</v>
      </c>
      <c r="V116" s="15">
        <f t="shared" si="7"/>
        <v>0</v>
      </c>
      <c r="W116" s="31"/>
      <c r="X116" s="15" t="str">
        <f t="shared" si="8"/>
        <v>sangli</v>
      </c>
      <c r="Y116" s="32" t="str">
        <f t="shared" si="9"/>
        <v>https://steelmanufacturer.in/market-area/electropolished-pipes-manufacturer-in-sangli/</v>
      </c>
      <c r="Z116" s="15" t="str">
        <f t="shared" si="10"/>
        <v>Electropolished Pipes Manufacturer in Sangli | Sakshi Forge</v>
      </c>
      <c r="AA116" s="15" t="str">
        <f t="shared" si="11"/>
        <v>OK (59)</v>
      </c>
      <c r="AB116" s="15" t="str">
        <f t="shared" si="12"/>
        <v>EP-finished SS 304/316L pipes &amp; tubes for pharma plants in Sangli. ASTM A270, ASME BPE SF1-SF4, EN 10204 3.1 MTC. PMI tested.</v>
      </c>
      <c r="AC116" s="15" t="str">
        <f t="shared" si="13"/>
        <v>OK (125)</v>
      </c>
      <c r="AD116" s="15" t="str">
        <f t="shared" si="14"/>
        <v>Electropolished Pipes Manufacturer in Sangli</v>
      </c>
      <c r="AE116" s="15" t="str">
        <f t="shared" si="15"/>
        <v>Electropolished Pipes Manufacturer in Sangli - Our Process &amp; Capability</v>
      </c>
      <c r="AF116" s="15" t="str">
        <f t="shared" si="16"/>
        <v>Electropolished Pipes Supplier in Sangli - What We Hold in Stock</v>
      </c>
      <c r="AG116" s="15" t="str">
        <f t="shared" si="17"/>
        <v>Bulk &amp; Wholesale Electropolished Pipe Rates for Sangli Buyers</v>
      </c>
      <c r="AH116" s="15" t="str">
        <f t="shared" si="18"/>
        <v>electropolished pipes manufacturer in Sangli, electropolished pipes supplier in Sangli, electropolished pipes wholesaler in Sangli, electropolished tube manufacturer Sangli, EP pipe supplier Sangli, sanitary tube supplier Sangli, ASME BPE tubing Sangli, ASTM A270 tube Sangli, SS 316L electropolished pipe Sangli</v>
      </c>
      <c r="AI116" s="15" t="str">
        <f t="shared" si="19"/>
        <v>Electropolished Pipes Manufacturer &amp; Supplier in Sangli</v>
      </c>
      <c r="AJ116" s="15" t="str">
        <f t="shared" si="20"/>
        <v>EP-finished SS 304/316L pipes and tubes for pharma plants in Sangli. ASME BPE SF1-SF4, Ra from 0.25 um, EN 10204 3.1 certificate with every lot.</v>
      </c>
      <c r="AK116" s="15" t="str">
        <f t="shared" si="21"/>
        <v>Electropolished stainless steel pipes supplied by Sakshi Forge to pharma plants at Kupwad MIDC, Sangli</v>
      </c>
      <c r="AL116" s="15" t="str">
        <f t="shared" si="22"/>
        <v>Electropolished SS 316L tube stock for Sangli - Sakshi Forge</v>
      </c>
      <c r="AM116" s="15" t="str">
        <f t="shared" si="23"/>
        <v>Home &gt; Market Area &gt; India &gt; Maharashtra &gt; Sangli</v>
      </c>
      <c r="AN116" s="15">
        <f t="shared" si="24"/>
        <v>1400</v>
      </c>
      <c r="AO116" s="15">
        <f t="shared" si="25"/>
        <v>10</v>
      </c>
      <c r="AP116" s="15">
        <f t="shared" si="26"/>
        <v>12</v>
      </c>
      <c r="AQ116" s="15">
        <f t="shared" si="27"/>
        <v>2</v>
      </c>
      <c r="AR116" s="31"/>
      <c r="AS116" s="31"/>
      <c r="AT116" s="35" t="s">
        <v>222</v>
      </c>
      <c r="AU116" s="35"/>
    </row>
    <row r="117" ht="15.75" customHeight="1">
      <c r="A117" s="15" t="s">
        <v>4626</v>
      </c>
      <c r="B117" s="15" t="s">
        <v>60</v>
      </c>
      <c r="C117" s="15" t="s">
        <v>264</v>
      </c>
      <c r="D117" s="15" t="s">
        <v>4628</v>
      </c>
      <c r="E117" s="15" t="s">
        <v>4628</v>
      </c>
      <c r="F117" s="16" t="s">
        <v>87</v>
      </c>
      <c r="G117" s="17" t="s">
        <v>88</v>
      </c>
      <c r="H117" s="18" t="s">
        <v>4630</v>
      </c>
      <c r="I117" s="18" t="s">
        <v>4631</v>
      </c>
      <c r="J117" s="18" t="s">
        <v>3263</v>
      </c>
      <c r="K117" s="18" t="s">
        <v>229</v>
      </c>
      <c r="L117" s="18" t="s">
        <v>4633</v>
      </c>
      <c r="M117" s="18" t="s">
        <v>231</v>
      </c>
      <c r="N117" s="18" t="s">
        <v>232</v>
      </c>
      <c r="O117" s="18" t="s">
        <v>98</v>
      </c>
      <c r="P117" s="15" t="str">
        <f t="shared" si="1"/>
        <v>PHARMA</v>
      </c>
      <c r="Q117" s="15">
        <f t="shared" si="2"/>
        <v>2</v>
      </c>
      <c r="R117" s="15">
        <f t="shared" si="3"/>
        <v>2</v>
      </c>
      <c r="S117" s="15">
        <f t="shared" si="4"/>
        <v>4</v>
      </c>
      <c r="T117" s="15" t="str">
        <f t="shared" si="5"/>
        <v>A-6</v>
      </c>
      <c r="U117" s="15" t="str">
        <f t="shared" si="6"/>
        <v>T2-M2-H4-FA-6-PHARMA</v>
      </c>
      <c r="V117" s="15">
        <f t="shared" si="7"/>
        <v>0</v>
      </c>
      <c r="W117" s="31"/>
      <c r="X117" s="15" t="str">
        <f t="shared" si="8"/>
        <v>satara</v>
      </c>
      <c r="Y117" s="32" t="str">
        <f t="shared" si="9"/>
        <v>https://steelmanufacturer.in/market-area/electropolished-pipes-manufacturer-in-satara/</v>
      </c>
      <c r="Z117" s="15" t="str">
        <f t="shared" si="10"/>
        <v>Electropolished Pipes Manufacturer in Satara</v>
      </c>
      <c r="AA117" s="15" t="str">
        <f t="shared" si="11"/>
        <v>OK (44)</v>
      </c>
      <c r="AB117" s="15" t="str">
        <f t="shared" si="12"/>
        <v>Electropolished tube supply to Satara MIDC, Satara. Ra from 0.25 um, SF4 finish, mill test certificate with every lot.</v>
      </c>
      <c r="AC117" s="15" t="str">
        <f t="shared" si="13"/>
        <v>OK (118)</v>
      </c>
      <c r="AD117" s="15" t="str">
        <f t="shared" si="14"/>
        <v>Electropolished Pipes Manufacturer in Satara</v>
      </c>
      <c r="AE117" s="15" t="str">
        <f t="shared" si="15"/>
        <v>Manufacturing Electropolished SS Tube for Satara: The Standards We Build To</v>
      </c>
      <c r="AF117" s="15" t="str">
        <f t="shared" si="16"/>
        <v>Electropolished Pipe Supply Into Satara - Certification &amp; Transit</v>
      </c>
      <c r="AG117" s="15" t="str">
        <f t="shared" si="17"/>
        <v>Electropolished Pipes Wholesaler in Satara - Project Quantities &amp; Terms</v>
      </c>
      <c r="AH117" s="15" t="str">
        <f t="shared" si="18"/>
        <v>electropolished pipes manufacturer in Satara, electropolished pipes supplier in Satara, electropolished pipes wholesaler in Satara, electropolished tube manufacturer Satara, EP pipe supplier Satara, sanitary tube supplier Satara, ASME BPE tubing Satara, ASTM A270 tube Satara, SS 316L electropolished pipe Satara</v>
      </c>
      <c r="AI117" s="15" t="str">
        <f t="shared" si="19"/>
        <v>Electropolished Pipes Manufacturer &amp; Supplier in Satara</v>
      </c>
      <c r="AJ117" s="15" t="str">
        <f t="shared" si="20"/>
        <v>EP-finished SS 304/316L pipes and tubes for pharma plants in Satara. ASME BPE SF1-SF4, Ra from 0.25 um, EN 10204 3.1 certificate with every lot.</v>
      </c>
      <c r="AK117" s="15" t="str">
        <f t="shared" si="21"/>
        <v>Electropolished stainless steel pipes supplied by Sakshi Forge to pharma plants at Satara MIDC, Satara</v>
      </c>
      <c r="AL117" s="15" t="str">
        <f t="shared" si="22"/>
        <v>Electropolished SS 316L tube stock for Satara - Sakshi Forge</v>
      </c>
      <c r="AM117" s="15" t="str">
        <f t="shared" si="23"/>
        <v>Home &gt; Market Area &gt; India &gt; Maharashtra &gt; Satara</v>
      </c>
      <c r="AN117" s="15">
        <f t="shared" si="24"/>
        <v>1400</v>
      </c>
      <c r="AO117" s="15">
        <f t="shared" si="25"/>
        <v>10</v>
      </c>
      <c r="AP117" s="15">
        <f t="shared" si="26"/>
        <v>12</v>
      </c>
      <c r="AQ117" s="15">
        <f t="shared" si="27"/>
        <v>2</v>
      </c>
      <c r="AR117" s="31"/>
      <c r="AS117" s="31"/>
      <c r="AT117" s="35" t="s">
        <v>222</v>
      </c>
      <c r="AU117" s="35"/>
    </row>
    <row r="118" ht="15.75" customHeight="1">
      <c r="A118" s="15" t="s">
        <v>4665</v>
      </c>
      <c r="B118" s="15" t="s">
        <v>60</v>
      </c>
      <c r="C118" s="15" t="s">
        <v>224</v>
      </c>
      <c r="D118" s="15" t="s">
        <v>4667</v>
      </c>
      <c r="E118" s="15" t="s">
        <v>4667</v>
      </c>
      <c r="F118" s="16" t="s">
        <v>87</v>
      </c>
      <c r="G118" s="17" t="s">
        <v>88</v>
      </c>
      <c r="H118" s="18" t="s">
        <v>4669</v>
      </c>
      <c r="I118" s="18" t="s">
        <v>4670</v>
      </c>
      <c r="J118" s="18" t="s">
        <v>4672</v>
      </c>
      <c r="K118" s="18" t="s">
        <v>229</v>
      </c>
      <c r="L118" s="18" t="s">
        <v>4674</v>
      </c>
      <c r="M118" s="18" t="s">
        <v>96</v>
      </c>
      <c r="N118" s="18" t="s">
        <v>232</v>
      </c>
      <c r="O118" s="18" t="s">
        <v>98</v>
      </c>
      <c r="P118" s="15" t="str">
        <f t="shared" si="1"/>
        <v>PHARMA</v>
      </c>
      <c r="Q118" s="15">
        <f t="shared" si="2"/>
        <v>3</v>
      </c>
      <c r="R118" s="15">
        <f t="shared" si="3"/>
        <v>3</v>
      </c>
      <c r="S118" s="15">
        <f t="shared" si="4"/>
        <v>5</v>
      </c>
      <c r="T118" s="15" t="str">
        <f t="shared" si="5"/>
        <v>A-1</v>
      </c>
      <c r="U118" s="15" t="str">
        <f t="shared" si="6"/>
        <v>T3-M3-H5-FA-1-PHARMA</v>
      </c>
      <c r="V118" s="15">
        <f t="shared" si="7"/>
        <v>0</v>
      </c>
      <c r="W118" s="31"/>
      <c r="X118" s="15" t="str">
        <f t="shared" si="8"/>
        <v>savli</v>
      </c>
      <c r="Y118" s="32" t="str">
        <f t="shared" si="9"/>
        <v>https://steelmanufacturer.in/market-area/electropolished-pipes-manufacturer-in-savli/</v>
      </c>
      <c r="Z118" s="15" t="str">
        <f t="shared" si="10"/>
        <v>Electropolished Pipes Manufacturer in Savli | EP Tube Supplier</v>
      </c>
      <c r="AA118" s="15" t="str">
        <f t="shared" si="11"/>
        <v>OK (62)</v>
      </c>
      <c r="AB118" s="15" t="str">
        <f t="shared" si="12"/>
        <v>EP stainless tube for pharma lines in Savli. 1-2 day road transit from our Mumbai works. ASTM A270 S2, PMI tested, EN 10204 3.1.</v>
      </c>
      <c r="AC118" s="15" t="str">
        <f t="shared" si="13"/>
        <v>OK (128)</v>
      </c>
      <c r="AD118" s="15" t="str">
        <f t="shared" si="14"/>
        <v>Electropolished Pipes Manufacturer in Savli</v>
      </c>
      <c r="AE118" s="15" t="str">
        <f t="shared" si="15"/>
        <v>Electropolished Tube Manufacturing Capability Serving Savli</v>
      </c>
      <c r="AF118" s="15" t="str">
        <f t="shared" si="16"/>
        <v>Electropolished Pipes Supplier in Savli - From Order to Delivery</v>
      </c>
      <c r="AG118" s="15" t="str">
        <f t="shared" si="17"/>
        <v>Stockist &amp; Wholesale Supply of Electropolished Pipes in Savli</v>
      </c>
      <c r="AH118" s="15" t="str">
        <f t="shared" si="18"/>
        <v>electropolished pipes manufacturer in Savli, electropolished pipes supplier in Savli, electropolished pipes wholesaler in Savli, electropolished tube manufacturer Savli, EP pipe supplier Savli, sanitary tube supplier Savli, ASME BPE tubing Savli, ASTM A270 tube Savli, SS 316L electropolished pipe Savli</v>
      </c>
      <c r="AI118" s="15" t="str">
        <f t="shared" si="19"/>
        <v>Electropolished Pipes Manufacturer &amp; Supplier in Savli</v>
      </c>
      <c r="AJ118" s="15" t="str">
        <f t="shared" si="20"/>
        <v>EP-finished SS 304/316L pipes and tubes for pharma plants in Savli. ASME BPE SF1-SF4, Ra from 0.25 um, EN 10204 3.1 certificate with every lot.</v>
      </c>
      <c r="AK118" s="15" t="str">
        <f t="shared" si="21"/>
        <v>Electropolished stainless steel pipes supplied by Sakshi Forge to pharma plants at Savli GIDC, Savli</v>
      </c>
      <c r="AL118" s="15" t="str">
        <f t="shared" si="22"/>
        <v>Electropolished SS 316L tube stock for Savli - Sakshi Forge</v>
      </c>
      <c r="AM118" s="15" t="str">
        <f t="shared" si="23"/>
        <v>Home &gt; Market Area &gt; India &gt; Gujarat &gt; Savli</v>
      </c>
      <c r="AN118" s="15">
        <f t="shared" si="24"/>
        <v>1400</v>
      </c>
      <c r="AO118" s="15">
        <f t="shared" si="25"/>
        <v>10</v>
      </c>
      <c r="AP118" s="15">
        <f t="shared" si="26"/>
        <v>12</v>
      </c>
      <c r="AQ118" s="15">
        <f t="shared" si="27"/>
        <v>2</v>
      </c>
      <c r="AR118" s="31"/>
      <c r="AS118" s="31"/>
      <c r="AT118" s="35" t="s">
        <v>222</v>
      </c>
      <c r="AU118" s="35"/>
    </row>
    <row r="119" ht="15.75" customHeight="1">
      <c r="A119" s="15" t="s">
        <v>4697</v>
      </c>
      <c r="B119" s="15" t="s">
        <v>60</v>
      </c>
      <c r="C119" s="15" t="s">
        <v>4699</v>
      </c>
      <c r="D119" s="15" t="s">
        <v>4701</v>
      </c>
      <c r="E119" s="15" t="s">
        <v>4701</v>
      </c>
      <c r="F119" s="16" t="s">
        <v>87</v>
      </c>
      <c r="G119" s="17" t="s">
        <v>88</v>
      </c>
      <c r="H119" s="18" t="s">
        <v>4702</v>
      </c>
      <c r="I119" s="18" t="s">
        <v>4704</v>
      </c>
      <c r="J119" s="18" t="s">
        <v>4705</v>
      </c>
      <c r="K119" s="18" t="s">
        <v>229</v>
      </c>
      <c r="L119" s="18" t="s">
        <v>4707</v>
      </c>
      <c r="M119" s="18" t="s">
        <v>96</v>
      </c>
      <c r="N119" s="18" t="s">
        <v>232</v>
      </c>
      <c r="O119" s="18" t="s">
        <v>98</v>
      </c>
      <c r="P119" s="15" t="str">
        <f t="shared" si="1"/>
        <v>PHARMA</v>
      </c>
      <c r="Q119" s="15">
        <f t="shared" si="2"/>
        <v>4</v>
      </c>
      <c r="R119" s="15">
        <f t="shared" si="3"/>
        <v>4</v>
      </c>
      <c r="S119" s="15">
        <f t="shared" si="4"/>
        <v>1</v>
      </c>
      <c r="T119" s="15" t="str">
        <f t="shared" si="5"/>
        <v>A-2</v>
      </c>
      <c r="U119" s="15" t="str">
        <f t="shared" si="6"/>
        <v>T4-M4-H1-FA-2-PHARMA</v>
      </c>
      <c r="V119" s="15">
        <f t="shared" si="7"/>
        <v>0</v>
      </c>
      <c r="W119" s="31"/>
      <c r="X119" s="15" t="str">
        <f t="shared" si="8"/>
        <v>silvassa</v>
      </c>
      <c r="Y119" s="32" t="str">
        <f t="shared" si="9"/>
        <v>https://steelmanufacturer.in/market-area/electropolished-pipes-manufacturer-in-silvassa/</v>
      </c>
      <c r="Z119" s="15" t="str">
        <f t="shared" si="10"/>
        <v>Electropolished Pipes Manufacturer in Silvassa</v>
      </c>
      <c r="AA119" s="15" t="str">
        <f t="shared" si="11"/>
        <v>OK (46)</v>
      </c>
      <c r="AB119" s="15" t="str">
        <f t="shared" si="12"/>
        <v>Sanitary electropolished pipes in Silvassa for pharma plants. ASME BPE SF1-SF4, orbital-weld ready, 3.1 MTC. Mumbai-made.</v>
      </c>
      <c r="AC119" s="15" t="str">
        <f t="shared" si="13"/>
        <v>OK (121)</v>
      </c>
      <c r="AD119" s="15" t="str">
        <f t="shared" si="14"/>
        <v>Electropolished Pipes Manufacturer in Silvassa</v>
      </c>
      <c r="AE119" s="15" t="str">
        <f t="shared" si="15"/>
        <v>Electropolished Pipe &amp; Tube Manufacturing for Silvassa - Grades, Finishes &amp; Certification</v>
      </c>
      <c r="AF119" s="15" t="str">
        <f t="shared" si="16"/>
        <v>Electropolished Pipes Supplier in Silvassa - Stock Sizes, Lead Time &amp; Delivery</v>
      </c>
      <c r="AG119" s="15" t="str">
        <f t="shared" si="17"/>
        <v>Electropolished Pipes Wholesaler &amp; Stockist in Silvassa - Bulk &amp; Project Pricing</v>
      </c>
      <c r="AH119" s="15" t="str">
        <f t="shared" si="18"/>
        <v>electropolished pipes manufacturer in Silvassa, electropolished pipes supplier in Silvassa, electropolished pipes wholesaler in Silvassa, electropolished tube manufacturer Silvassa, EP pipe supplier Silvassa, sanitary tube supplier Silvassa, ASME BPE tubing Silvassa, ASTM A270 tube Silvassa, SS 316L electropolished pipe Silvassa</v>
      </c>
      <c r="AI119" s="15" t="str">
        <f t="shared" si="19"/>
        <v>Electropolished Pipes Manufacturer &amp; Supplier in Silvassa</v>
      </c>
      <c r="AJ119" s="15" t="str">
        <f t="shared" si="20"/>
        <v>EP-finished SS 304/316L pipes and tubes for pharma plants in Silvassa. ASME BPE SF1-SF4, Ra from 0.25 um, EN 10204 3.1 certificate with every lot.</v>
      </c>
      <c r="AK119" s="15" t="str">
        <f t="shared" si="21"/>
        <v>Electropolished stainless steel pipes supplied by Sakshi Forge to pharma plants at Silvassa Industrial Estate, Silvassa</v>
      </c>
      <c r="AL119" s="15" t="str">
        <f t="shared" si="22"/>
        <v>Electropolished SS 316L tube stock for Silvassa - Sakshi Forge</v>
      </c>
      <c r="AM119" s="15" t="str">
        <f t="shared" si="23"/>
        <v>Home &gt; Market Area &gt; India &gt; Dadra &amp; Nagar Haveli &gt; Silvassa</v>
      </c>
      <c r="AN119" s="15">
        <f t="shared" si="24"/>
        <v>1400</v>
      </c>
      <c r="AO119" s="15">
        <f t="shared" si="25"/>
        <v>10</v>
      </c>
      <c r="AP119" s="15">
        <f t="shared" si="26"/>
        <v>12</v>
      </c>
      <c r="AQ119" s="15">
        <f t="shared" si="27"/>
        <v>2</v>
      </c>
      <c r="AR119" s="31"/>
      <c r="AS119" s="31"/>
      <c r="AT119" s="35" t="s">
        <v>222</v>
      </c>
      <c r="AU119" s="35"/>
    </row>
    <row r="120" ht="15.75" customHeight="1">
      <c r="A120" s="15" t="s">
        <v>4739</v>
      </c>
      <c r="B120" s="15" t="s">
        <v>60</v>
      </c>
      <c r="C120" s="15" t="s">
        <v>447</v>
      </c>
      <c r="D120" s="15" t="s">
        <v>4741</v>
      </c>
      <c r="E120" s="15" t="s">
        <v>4741</v>
      </c>
      <c r="F120" s="16" t="s">
        <v>87</v>
      </c>
      <c r="G120" s="17" t="s">
        <v>88</v>
      </c>
      <c r="H120" s="18" t="s">
        <v>4743</v>
      </c>
      <c r="I120" s="18" t="s">
        <v>4745</v>
      </c>
      <c r="J120" s="18" t="s">
        <v>4746</v>
      </c>
      <c r="K120" s="18" t="s">
        <v>229</v>
      </c>
      <c r="L120" s="18" t="s">
        <v>362</v>
      </c>
      <c r="M120" s="18" t="s">
        <v>96</v>
      </c>
      <c r="N120" s="18" t="s">
        <v>232</v>
      </c>
      <c r="O120" s="18" t="s">
        <v>98</v>
      </c>
      <c r="P120" s="15" t="str">
        <f t="shared" si="1"/>
        <v>PHARMA</v>
      </c>
      <c r="Q120" s="15">
        <f t="shared" si="2"/>
        <v>5</v>
      </c>
      <c r="R120" s="15">
        <f t="shared" si="3"/>
        <v>5</v>
      </c>
      <c r="S120" s="15">
        <f t="shared" si="4"/>
        <v>2</v>
      </c>
      <c r="T120" s="15" t="str">
        <f t="shared" si="5"/>
        <v>A-3</v>
      </c>
      <c r="U120" s="15" t="str">
        <f t="shared" si="6"/>
        <v>T5-M5-H2-FA-3-PHARMA</v>
      </c>
      <c r="V120" s="15">
        <f t="shared" si="7"/>
        <v>0</v>
      </c>
      <c r="W120" s="31"/>
      <c r="X120" s="15" t="str">
        <f t="shared" si="8"/>
        <v>solan</v>
      </c>
      <c r="Y120" s="32" t="str">
        <f t="shared" si="9"/>
        <v>https://steelmanufacturer.in/market-area/electropolished-pipes-manufacturer-in-solan/</v>
      </c>
      <c r="Z120" s="15" t="str">
        <f t="shared" si="10"/>
        <v>Electropolished Pipes Manufacturer in Solan</v>
      </c>
      <c r="AA120" s="15" t="str">
        <f t="shared" si="11"/>
        <v>OK (43)</v>
      </c>
      <c r="AB120" s="15" t="str">
        <f t="shared" si="12"/>
        <v>Manufacturer of electropolished SS 316L tube serving Solan. 1-2 day road transit from our Mumbai works. Ra 0.25-0.5 um, EN 10204 3.1 MTC.</v>
      </c>
      <c r="AC120" s="15" t="str">
        <f t="shared" si="13"/>
        <v>OK (137)</v>
      </c>
      <c r="AD120" s="15" t="str">
        <f t="shared" si="14"/>
        <v>Electropolished Pipes Manufacturer in Solan</v>
      </c>
      <c r="AE120" s="15" t="str">
        <f t="shared" si="15"/>
        <v>How We Manufacture Electropolished Tube for Solan Plants</v>
      </c>
      <c r="AF120" s="15" t="str">
        <f t="shared" si="16"/>
        <v>Supplying Electropolished Pipes in Solan: Availability, Sizes &amp; Dispatch</v>
      </c>
      <c r="AG120" s="15" t="str">
        <f t="shared" si="17"/>
        <v>Wholesale Electropolished Pipe Supply for Solan Projects</v>
      </c>
      <c r="AH120" s="15" t="str">
        <f t="shared" si="18"/>
        <v>electropolished pipes manufacturer in Solan, electropolished pipes supplier in Solan, electropolished pipes wholesaler in Solan, electropolished tube manufacturer Solan, EP pipe supplier Solan, sanitary tube supplier Solan, ASME BPE tubing Solan, ASTM A270 tube Solan, SS 316L electropolished pipe Solan</v>
      </c>
      <c r="AI120" s="15" t="str">
        <f t="shared" si="19"/>
        <v>Electropolished Pipes Manufacturer &amp; Supplier in Solan</v>
      </c>
      <c r="AJ120" s="15" t="str">
        <f t="shared" si="20"/>
        <v>EP-finished SS 304/316L pipes and tubes for pharma plants in Solan. ASME BPE SF1-SF4, Ra from 0.25 um, EN 10204 3.1 certificate with every lot.</v>
      </c>
      <c r="AK120" s="15" t="str">
        <f t="shared" si="21"/>
        <v>Electropolished stainless steel pipes supplied by Sakshi Forge to pharma plants at Solan Industrial Estate, Solan</v>
      </c>
      <c r="AL120" s="15" t="str">
        <f t="shared" si="22"/>
        <v>Electropolished SS 316L tube stock for Solan - Sakshi Forge</v>
      </c>
      <c r="AM120" s="15" t="str">
        <f t="shared" si="23"/>
        <v>Home &gt; Market Area &gt; India &gt; Himachal Pradesh &gt; Solan</v>
      </c>
      <c r="AN120" s="15">
        <f t="shared" si="24"/>
        <v>1400</v>
      </c>
      <c r="AO120" s="15">
        <f t="shared" si="25"/>
        <v>10</v>
      </c>
      <c r="AP120" s="15">
        <f t="shared" si="26"/>
        <v>12</v>
      </c>
      <c r="AQ120" s="15">
        <f t="shared" si="27"/>
        <v>2</v>
      </c>
      <c r="AR120" s="31"/>
      <c r="AS120" s="31"/>
      <c r="AT120" s="35" t="s">
        <v>222</v>
      </c>
      <c r="AU120" s="35"/>
    </row>
    <row r="121" ht="15.75" customHeight="1">
      <c r="A121" s="15" t="s">
        <v>4779</v>
      </c>
      <c r="B121" s="15" t="s">
        <v>60</v>
      </c>
      <c r="C121" s="15" t="s">
        <v>264</v>
      </c>
      <c r="D121" s="15" t="s">
        <v>4780</v>
      </c>
      <c r="E121" s="15" t="s">
        <v>4780</v>
      </c>
      <c r="F121" s="16" t="s">
        <v>87</v>
      </c>
      <c r="G121" s="17" t="s">
        <v>88</v>
      </c>
      <c r="H121" s="18" t="s">
        <v>4782</v>
      </c>
      <c r="I121" s="18" t="s">
        <v>4783</v>
      </c>
      <c r="J121" s="18" t="s">
        <v>4785</v>
      </c>
      <c r="K121" s="18" t="s">
        <v>94</v>
      </c>
      <c r="L121" s="18" t="s">
        <v>4786</v>
      </c>
      <c r="M121" s="18" t="s">
        <v>231</v>
      </c>
      <c r="N121" s="18" t="s">
        <v>97</v>
      </c>
      <c r="O121" s="18" t="s">
        <v>98</v>
      </c>
      <c r="P121" s="15" t="str">
        <f t="shared" si="1"/>
        <v>FOOD</v>
      </c>
      <c r="Q121" s="15">
        <f t="shared" si="2"/>
        <v>6</v>
      </c>
      <c r="R121" s="15">
        <f t="shared" si="3"/>
        <v>6</v>
      </c>
      <c r="S121" s="15">
        <f t="shared" si="4"/>
        <v>3</v>
      </c>
      <c r="T121" s="15" t="str">
        <f t="shared" si="5"/>
        <v>A-4</v>
      </c>
      <c r="U121" s="15" t="str">
        <f t="shared" si="6"/>
        <v>T6-M6-H3-FA-4-FOOD</v>
      </c>
      <c r="V121" s="15">
        <f t="shared" si="7"/>
        <v>0</v>
      </c>
      <c r="W121" s="31"/>
      <c r="X121" s="15" t="str">
        <f t="shared" si="8"/>
        <v>solapur</v>
      </c>
      <c r="Y121" s="32" t="str">
        <f t="shared" si="9"/>
        <v>https://steelmanufacturer.in/market-area/electropolished-pipes-manufacturer-in-solapur/</v>
      </c>
      <c r="Z121" s="15" t="str">
        <f t="shared" si="10"/>
        <v>Electropolished Pipes Manufacturer in Solapur</v>
      </c>
      <c r="AA121" s="15" t="str">
        <f t="shared" si="11"/>
        <v>OK (45)</v>
      </c>
      <c r="AB121" s="15" t="str">
        <f t="shared" si="12"/>
        <v>EP tube and pipe for food processing plants around Chincholi MIDC, Solapur. Made at our Mumbai works to ASTM A270 and ASME BPE SF1-SF4, with 3.1 MTC.</v>
      </c>
      <c r="AC121" s="15" t="str">
        <f t="shared" si="13"/>
        <v>OK (149)</v>
      </c>
      <c r="AD121" s="15" t="str">
        <f t="shared" si="14"/>
        <v>Electropolished Pipes Manufacturer in Solapur</v>
      </c>
      <c r="AE121" s="15" t="str">
        <f t="shared" si="15"/>
        <v>Electropolished Pipes Manufacturer in Solapur - Our Process &amp; Capability</v>
      </c>
      <c r="AF121" s="15" t="str">
        <f t="shared" si="16"/>
        <v>Electropolished Pipes Supplier in Solapur - What We Hold in Stock</v>
      </c>
      <c r="AG121" s="15" t="str">
        <f t="shared" si="17"/>
        <v>Bulk &amp; Wholesale Electropolished Pipe Rates for Solapur Buyers</v>
      </c>
      <c r="AH121" s="15" t="str">
        <f t="shared" si="18"/>
        <v>electropolished pipes manufacturer in Solapur, electropolished pipes supplier in Solapur, electropolished pipes wholesaler in Solapur, electropolished tube manufacturer Solapur, EP pipe supplier Solapur, sanitary tube supplier Solapur, ASME BPE tubing Solapur, ASTM A270 tube Solapur, SS 316L electropolished pipe Solapur</v>
      </c>
      <c r="AI121" s="15" t="str">
        <f t="shared" si="19"/>
        <v>Electropolished Pipes Manufacturer &amp; Supplier in Solapur</v>
      </c>
      <c r="AJ121" s="15" t="str">
        <f t="shared" si="20"/>
        <v>EP-finished SS 304/316L pipes and tubes for food processing plants in Solapur. ASME BPE SF1-SF4, Ra from 0.25 um, EN 10204 3.1 certificate with every lot.</v>
      </c>
      <c r="AK121" s="15" t="str">
        <f t="shared" si="21"/>
        <v>Electropolished stainless steel pipes supplied by Sakshi Forge to food processing plants at Chincholi MIDC, Solapur</v>
      </c>
      <c r="AL121" s="15" t="str">
        <f t="shared" si="22"/>
        <v>Electropolished SS 316L tube stock for Solapur - Sakshi Forge</v>
      </c>
      <c r="AM121" s="15" t="str">
        <f t="shared" si="23"/>
        <v>Home &gt; Market Area &gt; India &gt; Maharashtra &gt; Solapur</v>
      </c>
      <c r="AN121" s="15">
        <f t="shared" si="24"/>
        <v>1400</v>
      </c>
      <c r="AO121" s="15">
        <f t="shared" si="25"/>
        <v>10</v>
      </c>
      <c r="AP121" s="15">
        <f t="shared" si="26"/>
        <v>12</v>
      </c>
      <c r="AQ121" s="15">
        <f t="shared" si="27"/>
        <v>2</v>
      </c>
      <c r="AR121" s="31"/>
      <c r="AS121" s="31"/>
      <c r="AT121" s="35" t="s">
        <v>222</v>
      </c>
      <c r="AU121" s="35"/>
    </row>
    <row r="122" ht="15.75" customHeight="1">
      <c r="A122" s="15" t="s">
        <v>4819</v>
      </c>
      <c r="B122" s="15" t="s">
        <v>60</v>
      </c>
      <c r="C122" s="15" t="s">
        <v>245</v>
      </c>
      <c r="D122" s="15" t="s">
        <v>4822</v>
      </c>
      <c r="E122" s="15" t="s">
        <v>4822</v>
      </c>
      <c r="F122" s="16" t="s">
        <v>87</v>
      </c>
      <c r="G122" s="17" t="s">
        <v>88</v>
      </c>
      <c r="H122" s="18" t="s">
        <v>4823</v>
      </c>
      <c r="I122" s="18" t="s">
        <v>4825</v>
      </c>
      <c r="J122" s="18" t="s">
        <v>4826</v>
      </c>
      <c r="K122" s="18" t="s">
        <v>94</v>
      </c>
      <c r="L122" s="18" t="s">
        <v>4827</v>
      </c>
      <c r="M122" s="18" t="s">
        <v>276</v>
      </c>
      <c r="N122" s="18" t="s">
        <v>97</v>
      </c>
      <c r="O122" s="18" t="s">
        <v>98</v>
      </c>
      <c r="P122" s="15" t="str">
        <f t="shared" si="1"/>
        <v>FOOD</v>
      </c>
      <c r="Q122" s="15">
        <f t="shared" si="2"/>
        <v>7</v>
      </c>
      <c r="R122" s="15">
        <f t="shared" si="3"/>
        <v>7</v>
      </c>
      <c r="S122" s="15">
        <f t="shared" si="4"/>
        <v>4</v>
      </c>
      <c r="T122" s="15" t="str">
        <f t="shared" si="5"/>
        <v>A-5</v>
      </c>
      <c r="U122" s="15" t="str">
        <f t="shared" si="6"/>
        <v>T7-M7-H4-FA-5-FOOD</v>
      </c>
      <c r="V122" s="15">
        <f t="shared" si="7"/>
        <v>0</v>
      </c>
      <c r="W122" s="31"/>
      <c r="X122" s="15" t="str">
        <f t="shared" si="8"/>
        <v>sonipat</v>
      </c>
      <c r="Y122" s="32" t="str">
        <f t="shared" si="9"/>
        <v>https://steelmanufacturer.in/market-area/electropolished-pipes-manufacturer-in-sonipat/</v>
      </c>
      <c r="Z122" s="15" t="str">
        <f t="shared" si="10"/>
        <v>Electropolished Pipes Manufacturer in Sonipat | ASME BPE SF1-SF4</v>
      </c>
      <c r="AA122" s="15" t="str">
        <f t="shared" si="11"/>
        <v>OK (64)</v>
      </c>
      <c r="AB122" s="15" t="str">
        <f t="shared" si="12"/>
        <v>Electropolished pipes in Sonipat: 304, 304L, 316 and 316L in SF1-SF4. same-day to next-day road from our Mumbai works. Mill certified.</v>
      </c>
      <c r="AC122" s="15" t="str">
        <f t="shared" si="13"/>
        <v>OK (134)</v>
      </c>
      <c r="AD122" s="15" t="str">
        <f t="shared" si="14"/>
        <v>Electropolished Pipes Manufacturer in Sonipat</v>
      </c>
      <c r="AE122" s="15" t="str">
        <f t="shared" si="15"/>
        <v>Manufacturing Electropolished SS Tube for Sonipat: The Standards We Build To</v>
      </c>
      <c r="AF122" s="15" t="str">
        <f t="shared" si="16"/>
        <v>Electropolished Pipe Supply Into Sonipat - Certification &amp; Transit</v>
      </c>
      <c r="AG122" s="15" t="str">
        <f t="shared" si="17"/>
        <v>Electropolished Pipes Wholesaler in Sonipat - Project Quantities &amp; Terms</v>
      </c>
      <c r="AH122" s="15" t="str">
        <f t="shared" si="18"/>
        <v>electropolished pipes manufacturer in Sonipat, electropolished pipes supplier in Sonipat, electropolished pipes wholesaler in Sonipat, electropolished tube manufacturer Sonipat, EP pipe supplier Sonipat, sanitary tube supplier Sonipat, ASME BPE tubing Sonipat, ASTM A270 tube Sonipat, SS 316L electropolished pipe Sonipat</v>
      </c>
      <c r="AI122" s="15" t="str">
        <f t="shared" si="19"/>
        <v>Electropolished Pipes Manufacturer &amp; Supplier in Sonipat</v>
      </c>
      <c r="AJ122" s="15" t="str">
        <f t="shared" si="20"/>
        <v>EP-finished SS 304/316L pipes and tubes for food processing plants in Sonipat. ASME BPE SF1-SF4, Ra from 0.25 um, EN 10204 3.1 certificate with every lot.</v>
      </c>
      <c r="AK122" s="15" t="str">
        <f t="shared" si="21"/>
        <v>Electropolished stainless steel pipes supplied by Sakshi Forge to food processing plants at Kundli Industrial Area, Sonipat</v>
      </c>
      <c r="AL122" s="15" t="str">
        <f t="shared" si="22"/>
        <v>Electropolished SS 316L tube stock for Sonipat - Sakshi Forge</v>
      </c>
      <c r="AM122" s="15" t="str">
        <f t="shared" si="23"/>
        <v>Home &gt; Market Area &gt; India &gt; Haryana &gt; Sonipat</v>
      </c>
      <c r="AN122" s="15">
        <f t="shared" si="24"/>
        <v>1400</v>
      </c>
      <c r="AO122" s="15">
        <f t="shared" si="25"/>
        <v>10</v>
      </c>
      <c r="AP122" s="15">
        <f t="shared" si="26"/>
        <v>12</v>
      </c>
      <c r="AQ122" s="15">
        <f t="shared" si="27"/>
        <v>2</v>
      </c>
      <c r="AR122" s="31"/>
      <c r="AS122" s="31"/>
      <c r="AT122" s="35" t="s">
        <v>222</v>
      </c>
      <c r="AU122" s="35"/>
    </row>
    <row r="123" ht="15.75" customHeight="1">
      <c r="A123" s="15" t="s">
        <v>4860</v>
      </c>
      <c r="B123" s="15" t="s">
        <v>60</v>
      </c>
      <c r="C123" s="15" t="s">
        <v>958</v>
      </c>
      <c r="D123" s="15" t="s">
        <v>4862</v>
      </c>
      <c r="E123" s="15" t="s">
        <v>4862</v>
      </c>
      <c r="F123" s="16" t="s">
        <v>87</v>
      </c>
      <c r="G123" s="17" t="s">
        <v>88</v>
      </c>
      <c r="H123" s="18" t="s">
        <v>4864</v>
      </c>
      <c r="I123" s="18" t="s">
        <v>4866</v>
      </c>
      <c r="J123" s="18" t="s">
        <v>4867</v>
      </c>
      <c r="K123" s="18" t="s">
        <v>4868</v>
      </c>
      <c r="L123" s="18" t="s">
        <v>4870</v>
      </c>
      <c r="M123" s="18" t="s">
        <v>276</v>
      </c>
      <c r="N123" s="18" t="s">
        <v>4871</v>
      </c>
      <c r="O123" s="18" t="s">
        <v>98</v>
      </c>
      <c r="P123" s="15" t="str">
        <f t="shared" si="1"/>
        <v>SEMI</v>
      </c>
      <c r="Q123" s="15">
        <f t="shared" si="2"/>
        <v>8</v>
      </c>
      <c r="R123" s="15">
        <f t="shared" si="3"/>
        <v>1</v>
      </c>
      <c r="S123" s="15">
        <f t="shared" si="4"/>
        <v>5</v>
      </c>
      <c r="T123" s="15" t="str">
        <f t="shared" si="5"/>
        <v>A-6</v>
      </c>
      <c r="U123" s="15" t="str">
        <f t="shared" si="6"/>
        <v>T8-M1-H5-FA-6-SEMI</v>
      </c>
      <c r="V123" s="15">
        <f t="shared" si="7"/>
        <v>0</v>
      </c>
      <c r="W123" s="31"/>
      <c r="X123" s="15" t="str">
        <f t="shared" si="8"/>
        <v>sriperumbudur</v>
      </c>
      <c r="Y123" s="32" t="str">
        <f t="shared" si="9"/>
        <v>https://steelmanufacturer.in/market-area/electropolished-pipes-manufacturer-in-sriperumbudur/</v>
      </c>
      <c r="Z123" s="15" t="str">
        <f t="shared" si="10"/>
        <v>Electropolished Pipes Manufacturer in Sriperumbudur</v>
      </c>
      <c r="AA123" s="15" t="str">
        <f t="shared" si="11"/>
        <v>OK (51)</v>
      </c>
      <c r="AB123" s="15" t="str">
        <f t="shared" si="12"/>
        <v>EP-finished SS 304/316L pipes &amp; tubes for semiconductor plants in Sriperumbudur. ASTM A270, ASME BPE SF1-SF4, EN 10204 3.1 MTC. PMI tested.</v>
      </c>
      <c r="AC123" s="15" t="str">
        <f t="shared" si="13"/>
        <v>OK (139)</v>
      </c>
      <c r="AD123" s="15" t="str">
        <f t="shared" si="14"/>
        <v>Electropolished Pipes Manufacturer in Sriperumbudur</v>
      </c>
      <c r="AE123" s="15" t="str">
        <f t="shared" si="15"/>
        <v>Electropolished Tube Manufacturing Capability Serving Sriperumbudur</v>
      </c>
      <c r="AF123" s="15" t="str">
        <f t="shared" si="16"/>
        <v>Electropolished Pipes Supplier in Sriperumbudur - From Order to Delivery</v>
      </c>
      <c r="AG123" s="15" t="str">
        <f t="shared" si="17"/>
        <v>Stockist &amp; Wholesale Supply of Electropolished Pipes in Sriperumbudur</v>
      </c>
      <c r="AH123" s="15" t="str">
        <f t="shared" si="18"/>
        <v>electropolished pipes manufacturer in Sriperumbudur, electropolished pipes supplier in Sriperumbudur, electropolished pipes wholesaler in Sriperumbudur, electropolished tube manufacturer Sriperumbudur, EP pipe supplier Sriperumbudur, sanitary tube supplier Sriperumbudur, ASME BPE tubing Sriperumbudur, ASTM A270 tube Sriperumbudur, SS 316L electropolished pipe Sriperumbudur</v>
      </c>
      <c r="AI123" s="15" t="str">
        <f t="shared" si="19"/>
        <v>Electropolished Pipes Manufacturer &amp; Supplier in Sriperumbudur</v>
      </c>
      <c r="AJ123" s="15" t="str">
        <f t="shared" si="20"/>
        <v>EP-finished SS 304/316L pipes and tubes for semiconductor plants in Sriperumbudur. ASME BPE SF1-SF4, Ra from 0.25 um, EN 10204 3.1 certificate with every lot.</v>
      </c>
      <c r="AK123" s="15" t="str">
        <f t="shared" si="21"/>
        <v>Electropolished stainless steel pipes supplied by Sakshi Forge to semiconductor plants at Sriperumbudur SIPCOT, Sriperumbudur</v>
      </c>
      <c r="AL123" s="15" t="str">
        <f t="shared" si="22"/>
        <v>Electropolished SS 316L tube stock for Sriperumbudur - Sakshi Forge</v>
      </c>
      <c r="AM123" s="15" t="str">
        <f t="shared" si="23"/>
        <v>Home &gt; Market Area &gt; India &gt; Tamil Nadu &gt; Sriperumbudur</v>
      </c>
      <c r="AN123" s="15">
        <f t="shared" si="24"/>
        <v>1400</v>
      </c>
      <c r="AO123" s="15">
        <f t="shared" si="25"/>
        <v>10</v>
      </c>
      <c r="AP123" s="15">
        <f t="shared" si="26"/>
        <v>12</v>
      </c>
      <c r="AQ123" s="15">
        <f t="shared" si="27"/>
        <v>2</v>
      </c>
      <c r="AR123" s="31"/>
      <c r="AS123" s="31"/>
      <c r="AT123" s="35" t="s">
        <v>222</v>
      </c>
      <c r="AU123" s="35"/>
    </row>
    <row r="124" ht="15.75" customHeight="1">
      <c r="A124" s="15" t="s">
        <v>4906</v>
      </c>
      <c r="B124" s="15" t="s">
        <v>60</v>
      </c>
      <c r="C124" s="15" t="s">
        <v>224</v>
      </c>
      <c r="D124" s="15" t="s">
        <v>4908</v>
      </c>
      <c r="E124" s="15" t="s">
        <v>4908</v>
      </c>
      <c r="F124" s="16" t="s">
        <v>87</v>
      </c>
      <c r="G124" s="17" t="s">
        <v>88</v>
      </c>
      <c r="H124" s="18" t="s">
        <v>4910</v>
      </c>
      <c r="I124" s="18" t="s">
        <v>4911</v>
      </c>
      <c r="J124" s="18" t="s">
        <v>4913</v>
      </c>
      <c r="K124" s="18" t="s">
        <v>94</v>
      </c>
      <c r="L124" s="18" t="s">
        <v>4914</v>
      </c>
      <c r="M124" s="18" t="s">
        <v>276</v>
      </c>
      <c r="N124" s="18" t="s">
        <v>97</v>
      </c>
      <c r="O124" s="18" t="s">
        <v>98</v>
      </c>
      <c r="P124" s="15" t="str">
        <f t="shared" si="1"/>
        <v>FOOD</v>
      </c>
      <c r="Q124" s="15">
        <f t="shared" si="2"/>
        <v>1</v>
      </c>
      <c r="R124" s="15">
        <f t="shared" si="3"/>
        <v>2</v>
      </c>
      <c r="S124" s="15">
        <f t="shared" si="4"/>
        <v>1</v>
      </c>
      <c r="T124" s="15" t="str">
        <f t="shared" si="5"/>
        <v>A-1</v>
      </c>
      <c r="U124" s="15" t="str">
        <f t="shared" si="6"/>
        <v>T1-M2-H1-FA-1-FOOD</v>
      </c>
      <c r="V124" s="15">
        <f t="shared" si="7"/>
        <v>0</v>
      </c>
      <c r="W124" s="31"/>
      <c r="X124" s="15" t="str">
        <f t="shared" si="8"/>
        <v>surat</v>
      </c>
      <c r="Y124" s="32" t="str">
        <f t="shared" si="9"/>
        <v>https://steelmanufacturer.in/market-area/electropolished-pipes-manufacturer-in-surat/</v>
      </c>
      <c r="Z124" s="15" t="str">
        <f t="shared" si="10"/>
        <v>Electropolished Pipes Manufacturer in Surat | Sakshi Forge</v>
      </c>
      <c r="AA124" s="15" t="str">
        <f t="shared" si="11"/>
        <v>OK (58)</v>
      </c>
      <c r="AB124" s="15" t="str">
        <f t="shared" si="12"/>
        <v>Electropolished tube supply to Sachin GIDC, Surat. Ra from 0.25 um, SF4 finish, mill test certificate with every lot.</v>
      </c>
      <c r="AC124" s="15" t="str">
        <f t="shared" si="13"/>
        <v>OK (117)</v>
      </c>
      <c r="AD124" s="15" t="str">
        <f t="shared" si="14"/>
        <v>Electropolished Pipes Manufacturer in Surat</v>
      </c>
      <c r="AE124" s="15" t="str">
        <f t="shared" si="15"/>
        <v>Electropolished Pipe &amp; Tube Manufacturing for Surat - Grades, Finishes &amp; Certification</v>
      </c>
      <c r="AF124" s="15" t="str">
        <f t="shared" si="16"/>
        <v>Electropolished Pipes Supplier in Surat - Stock Sizes, Lead Time &amp; Delivery</v>
      </c>
      <c r="AG124" s="15" t="str">
        <f t="shared" si="17"/>
        <v>Electropolished Pipes Wholesaler &amp; Stockist in Surat - Bulk &amp; Project Pricing</v>
      </c>
      <c r="AH124" s="15" t="str">
        <f t="shared" si="18"/>
        <v>electropolished pipes manufacturer in Surat, electropolished pipes supplier in Surat, electropolished pipes wholesaler in Surat, electropolished tube manufacturer Surat, EP pipe supplier Surat, sanitary tube supplier Surat, ASME BPE tubing Surat, ASTM A270 tube Surat, SS 316L electropolished pipe Surat</v>
      </c>
      <c r="AI124" s="15" t="str">
        <f t="shared" si="19"/>
        <v>Electropolished Pipes Manufacturer &amp; Supplier in Surat</v>
      </c>
      <c r="AJ124" s="15" t="str">
        <f t="shared" si="20"/>
        <v>EP-finished SS 304/316L pipes and tubes for food processing plants in Surat. ASME BPE SF1-SF4, Ra from 0.25 um, EN 10204 3.1 certificate with every lot.</v>
      </c>
      <c r="AK124" s="15" t="str">
        <f t="shared" si="21"/>
        <v>Electropolished stainless steel pipes supplied by Sakshi Forge to food processing plants at Sachin GIDC, Surat</v>
      </c>
      <c r="AL124" s="15" t="str">
        <f t="shared" si="22"/>
        <v>Electropolished SS 316L tube stock for Surat - Sakshi Forge</v>
      </c>
      <c r="AM124" s="15" t="str">
        <f t="shared" si="23"/>
        <v>Home &gt; Market Area &gt; India &gt; Gujarat &gt; Surat</v>
      </c>
      <c r="AN124" s="15">
        <f t="shared" si="24"/>
        <v>1400</v>
      </c>
      <c r="AO124" s="15">
        <f t="shared" si="25"/>
        <v>10</v>
      </c>
      <c r="AP124" s="15">
        <f t="shared" si="26"/>
        <v>12</v>
      </c>
      <c r="AQ124" s="15">
        <f t="shared" si="27"/>
        <v>3</v>
      </c>
      <c r="AR124" s="31"/>
      <c r="AS124" s="31"/>
      <c r="AT124" s="35" t="s">
        <v>222</v>
      </c>
      <c r="AU124" s="35"/>
    </row>
    <row r="125" ht="15.75" customHeight="1">
      <c r="A125" s="15" t="s">
        <v>4946</v>
      </c>
      <c r="B125" s="15" t="s">
        <v>60</v>
      </c>
      <c r="C125" s="15" t="s">
        <v>264</v>
      </c>
      <c r="D125" s="15" t="s">
        <v>4949</v>
      </c>
      <c r="E125" s="15" t="s">
        <v>4949</v>
      </c>
      <c r="F125" s="16" t="s">
        <v>87</v>
      </c>
      <c r="G125" s="17" t="s">
        <v>88</v>
      </c>
      <c r="H125" s="18" t="s">
        <v>4950</v>
      </c>
      <c r="I125" s="18" t="s">
        <v>4952</v>
      </c>
      <c r="J125" s="18" t="s">
        <v>4953</v>
      </c>
      <c r="K125" s="18" t="s">
        <v>436</v>
      </c>
      <c r="L125" s="18" t="s">
        <v>4955</v>
      </c>
      <c r="M125" s="18" t="s">
        <v>96</v>
      </c>
      <c r="N125" s="18" t="s">
        <v>232</v>
      </c>
      <c r="O125" s="18" t="s">
        <v>98</v>
      </c>
      <c r="P125" s="15" t="str">
        <f t="shared" si="1"/>
        <v>PHARMA</v>
      </c>
      <c r="Q125" s="15">
        <f t="shared" si="2"/>
        <v>2</v>
      </c>
      <c r="R125" s="15">
        <f t="shared" si="3"/>
        <v>3</v>
      </c>
      <c r="S125" s="15">
        <f t="shared" si="4"/>
        <v>2</v>
      </c>
      <c r="T125" s="15" t="str">
        <f t="shared" si="5"/>
        <v>A-2</v>
      </c>
      <c r="U125" s="15" t="str">
        <f t="shared" si="6"/>
        <v>T2-M3-H2-FA-2-PHARMA</v>
      </c>
      <c r="V125" s="15">
        <f t="shared" si="7"/>
        <v>0</v>
      </c>
      <c r="W125" s="31"/>
      <c r="X125" s="15" t="str">
        <f t="shared" si="8"/>
        <v>tarapur</v>
      </c>
      <c r="Y125" s="32" t="str">
        <f t="shared" si="9"/>
        <v>https://steelmanufacturer.in/market-area/electropolished-pipes-manufacturer-in-tarapur/</v>
      </c>
      <c r="Z125" s="15" t="str">
        <f t="shared" si="10"/>
        <v>Electropolished Pipes Manufacturer in Tarapur</v>
      </c>
      <c r="AA125" s="15" t="str">
        <f t="shared" si="11"/>
        <v>OK (45)</v>
      </c>
      <c r="AB125" s="15" t="str">
        <f t="shared" si="12"/>
        <v>EP stainless tube for pharma &amp; API lines in Tarapur. 1-2 day road transit from our Mumbai works. ASTM A270 S2, PMI tested, EN 10204 3.1.</v>
      </c>
      <c r="AC125" s="15" t="str">
        <f t="shared" si="13"/>
        <v>OK (136)</v>
      </c>
      <c r="AD125" s="15" t="str">
        <f t="shared" si="14"/>
        <v>Electropolished Pipes Manufacturer in Tarapur</v>
      </c>
      <c r="AE125" s="15" t="str">
        <f t="shared" si="15"/>
        <v>How We Manufacture Electropolished Tube for Tarapur Plants</v>
      </c>
      <c r="AF125" s="15" t="str">
        <f t="shared" si="16"/>
        <v>Supplying Electropolished Pipes in Tarapur: Availability, Sizes &amp; Dispatch</v>
      </c>
      <c r="AG125" s="15" t="str">
        <f t="shared" si="17"/>
        <v>Wholesale Electropolished Pipe Supply for Tarapur Projects</v>
      </c>
      <c r="AH125" s="15" t="str">
        <f t="shared" si="18"/>
        <v>electropolished pipes manufacturer in Tarapur, electropolished pipes supplier in Tarapur, electropolished pipes wholesaler in Tarapur, electropolished tube manufacturer Tarapur, EP pipe supplier Tarapur, sanitary tube supplier Tarapur, ASME BPE tubing Tarapur, ASTM A270 tube Tarapur, SS 316L electropolished pipe Tarapur</v>
      </c>
      <c r="AI125" s="15" t="str">
        <f t="shared" si="19"/>
        <v>Electropolished Pipes Manufacturer &amp; Supplier in Tarapur</v>
      </c>
      <c r="AJ125" s="15" t="str">
        <f t="shared" si="20"/>
        <v>EP-finished SS 304/316L pipes and tubes for pharma &amp; API plants in Tarapur. ASME BPE SF1-SF4, Ra from 0.25 um, EN 10204 3.1 certificate with every lot.</v>
      </c>
      <c r="AK125" s="15" t="str">
        <f t="shared" si="21"/>
        <v>Electropolished stainless steel pipes supplied by Sakshi Forge to pharma &amp; API plants at Tarapur MIDC (Boisar), Tarapur</v>
      </c>
      <c r="AL125" s="15" t="str">
        <f t="shared" si="22"/>
        <v>Electropolished SS 316L tube stock for Tarapur - Sakshi Forge</v>
      </c>
      <c r="AM125" s="15" t="str">
        <f t="shared" si="23"/>
        <v>Home &gt; Market Area &gt; India &gt; Maharashtra &gt; Tarapur</v>
      </c>
      <c r="AN125" s="15">
        <f t="shared" si="24"/>
        <v>1400</v>
      </c>
      <c r="AO125" s="15">
        <f t="shared" si="25"/>
        <v>10</v>
      </c>
      <c r="AP125" s="15">
        <f t="shared" si="26"/>
        <v>12</v>
      </c>
      <c r="AQ125" s="15">
        <f t="shared" si="27"/>
        <v>3</v>
      </c>
      <c r="AR125" s="31"/>
      <c r="AS125" s="31"/>
      <c r="AT125" s="35" t="s">
        <v>222</v>
      </c>
      <c r="AU125" s="35"/>
    </row>
    <row r="126" ht="15.75" customHeight="1">
      <c r="A126" s="15" t="s">
        <v>4988</v>
      </c>
      <c r="B126" s="15" t="s">
        <v>60</v>
      </c>
      <c r="C126" s="15" t="s">
        <v>264</v>
      </c>
      <c r="D126" s="15" t="s">
        <v>4989</v>
      </c>
      <c r="E126" s="15" t="s">
        <v>4989</v>
      </c>
      <c r="F126" s="16" t="s">
        <v>87</v>
      </c>
      <c r="G126" s="17" t="s">
        <v>88</v>
      </c>
      <c r="H126" s="18" t="s">
        <v>4992</v>
      </c>
      <c r="I126" s="18" t="s">
        <v>4993</v>
      </c>
      <c r="J126" s="18" t="s">
        <v>4994</v>
      </c>
      <c r="K126" s="18" t="s">
        <v>838</v>
      </c>
      <c r="L126" s="18" t="s">
        <v>4996</v>
      </c>
      <c r="M126" s="18" t="s">
        <v>276</v>
      </c>
      <c r="N126" s="18" t="s">
        <v>232</v>
      </c>
      <c r="O126" s="18" t="s">
        <v>98</v>
      </c>
      <c r="P126" s="15" t="str">
        <f t="shared" si="1"/>
        <v>PHARMA</v>
      </c>
      <c r="Q126" s="15">
        <f t="shared" si="2"/>
        <v>3</v>
      </c>
      <c r="R126" s="15">
        <f t="shared" si="3"/>
        <v>4</v>
      </c>
      <c r="S126" s="15">
        <f t="shared" si="4"/>
        <v>3</v>
      </c>
      <c r="T126" s="15" t="str">
        <f t="shared" si="5"/>
        <v>A-3</v>
      </c>
      <c r="U126" s="15" t="str">
        <f t="shared" si="6"/>
        <v>T3-M4-H3-FA-3-PHARMA</v>
      </c>
      <c r="V126" s="15">
        <f t="shared" si="7"/>
        <v>0</v>
      </c>
      <c r="W126" s="31"/>
      <c r="X126" s="15" t="str">
        <f t="shared" si="8"/>
        <v>thane</v>
      </c>
      <c r="Y126" s="32" t="str">
        <f t="shared" si="9"/>
        <v>https://steelmanufacturer.in/market-area/electropolished-pipes-manufacturer-in-thane/</v>
      </c>
      <c r="Z126" s="15" t="str">
        <f t="shared" si="10"/>
        <v>Electropolished Pipes Manufacturer in Thane | EP Tube Supplier</v>
      </c>
      <c r="AA126" s="15" t="str">
        <f t="shared" si="11"/>
        <v>OK (62)</v>
      </c>
      <c r="AB126" s="15" t="str">
        <f t="shared" si="12"/>
        <v>Sanitary electropolished pipes in Thane for pharma &amp; chemical plants. ASME BPE SF1-SF4, orbital-weld ready, 3.1 MTC. Mumbai-made.</v>
      </c>
      <c r="AC126" s="15" t="str">
        <f t="shared" si="13"/>
        <v>OK (129)</v>
      </c>
      <c r="AD126" s="15" t="str">
        <f t="shared" si="14"/>
        <v>Electropolished Pipes Manufacturer in Thane</v>
      </c>
      <c r="AE126" s="15" t="str">
        <f t="shared" si="15"/>
        <v>Electropolished Pipes Manufacturer in Thane - Our Process &amp; Capability</v>
      </c>
      <c r="AF126" s="15" t="str">
        <f t="shared" si="16"/>
        <v>Electropolished Pipes Supplier in Thane - What We Hold in Stock</v>
      </c>
      <c r="AG126" s="15" t="str">
        <f t="shared" si="17"/>
        <v>Bulk &amp; Wholesale Electropolished Pipe Rates for Thane Buyers</v>
      </c>
      <c r="AH126" s="15" t="str">
        <f t="shared" si="18"/>
        <v>electropolished pipes manufacturer in Thane, electropolished pipes supplier in Thane, electropolished pipes wholesaler in Thane, electropolished tube manufacturer Thane, EP pipe supplier Thane, sanitary tube supplier Thane, ASME BPE tubing Thane, ASTM A270 tube Thane, SS 316L electropolished pipe Thane</v>
      </c>
      <c r="AI126" s="15" t="str">
        <f t="shared" si="19"/>
        <v>Electropolished Pipes Manufacturer &amp; Supplier in Thane</v>
      </c>
      <c r="AJ126" s="15" t="str">
        <f t="shared" si="20"/>
        <v>EP-finished SS 304/316L pipes and tubes for pharma &amp; chemical plants in Thane. ASME BPE SF1-SF4, Ra from 0.25 um, EN 10204 3.1 certificate with every lot.</v>
      </c>
      <c r="AK126" s="15" t="str">
        <f t="shared" si="21"/>
        <v>Electropolished stainless steel pipes supplied by Sakshi Forge to pharma &amp; chemical plants at Wagle Industrial Estate MIDC, Thane</v>
      </c>
      <c r="AL126" s="15" t="str">
        <f t="shared" si="22"/>
        <v>Electropolished SS 316L tube stock for Thane - Sakshi Forge</v>
      </c>
      <c r="AM126" s="15" t="str">
        <f t="shared" si="23"/>
        <v>Home &gt; Market Area &gt; India &gt; Maharashtra &gt; Thane</v>
      </c>
      <c r="AN126" s="15">
        <f t="shared" si="24"/>
        <v>1400</v>
      </c>
      <c r="AO126" s="15">
        <f t="shared" si="25"/>
        <v>10</v>
      </c>
      <c r="AP126" s="15">
        <f t="shared" si="26"/>
        <v>12</v>
      </c>
      <c r="AQ126" s="15">
        <f t="shared" si="27"/>
        <v>3</v>
      </c>
      <c r="AR126" s="31"/>
      <c r="AS126" s="31"/>
      <c r="AT126" s="35" t="s">
        <v>222</v>
      </c>
      <c r="AU126" s="35"/>
    </row>
    <row r="127" ht="15.75" customHeight="1">
      <c r="A127" s="15" t="s">
        <v>5029</v>
      </c>
      <c r="B127" s="15" t="s">
        <v>60</v>
      </c>
      <c r="C127" s="15" t="s">
        <v>1687</v>
      </c>
      <c r="D127" s="15" t="s">
        <v>5031</v>
      </c>
      <c r="E127" s="15" t="s">
        <v>5031</v>
      </c>
      <c r="F127" s="16" t="s">
        <v>87</v>
      </c>
      <c r="G127" s="17" t="s">
        <v>88</v>
      </c>
      <c r="H127" s="18" t="s">
        <v>5033</v>
      </c>
      <c r="I127" s="18" t="s">
        <v>5035</v>
      </c>
      <c r="J127" s="18" t="s">
        <v>5036</v>
      </c>
      <c r="K127" s="18" t="s">
        <v>969</v>
      </c>
      <c r="L127" s="18" t="s">
        <v>5037</v>
      </c>
      <c r="M127" s="18" t="s">
        <v>276</v>
      </c>
      <c r="N127" s="18" t="s">
        <v>232</v>
      </c>
      <c r="O127" s="18" t="s">
        <v>98</v>
      </c>
      <c r="P127" s="15" t="str">
        <f t="shared" si="1"/>
        <v>SEMI</v>
      </c>
      <c r="Q127" s="15">
        <f t="shared" si="2"/>
        <v>4</v>
      </c>
      <c r="R127" s="15">
        <f t="shared" si="3"/>
        <v>5</v>
      </c>
      <c r="S127" s="15">
        <f t="shared" si="4"/>
        <v>4</v>
      </c>
      <c r="T127" s="15" t="str">
        <f t="shared" si="5"/>
        <v>A-4</v>
      </c>
      <c r="U127" s="15" t="str">
        <f t="shared" si="6"/>
        <v>T4-M5-H4-FA-4-SEMI</v>
      </c>
      <c r="V127" s="15">
        <f t="shared" si="7"/>
        <v>0</v>
      </c>
      <c r="W127" s="31"/>
      <c r="X127" s="15" t="str">
        <f t="shared" si="8"/>
        <v>thiruvananthapuram</v>
      </c>
      <c r="Y127" s="32" t="str">
        <f t="shared" si="9"/>
        <v>https://steelmanufacturer.in/market-area/electropolished-pipes-manufacturer-in-thiruvananthapuram/</v>
      </c>
      <c r="Z127" s="15" t="str">
        <f t="shared" si="10"/>
        <v>Electropolished Pipes Manufacturer in Thiruvananthapuram</v>
      </c>
      <c r="AA127" s="15" t="str">
        <f t="shared" si="11"/>
        <v>OK (56)</v>
      </c>
      <c r="AB127" s="15" t="str">
        <f t="shared" si="12"/>
        <v>Manufacturer of electropolished SS 316L tube serving Thiruvananthapuram. same-day to next-day road from our Mumbai works. Ra 0.25-0.5 um, EN 10204 3.1 MTC.</v>
      </c>
      <c r="AC127" s="15" t="str">
        <f t="shared" si="13"/>
        <v>OK (155)</v>
      </c>
      <c r="AD127" s="15" t="str">
        <f t="shared" si="14"/>
        <v>Electropolished Pipes Manufacturer in Thiruvananthapuram</v>
      </c>
      <c r="AE127" s="15" t="str">
        <f t="shared" si="15"/>
        <v>Manufacturing Electropolished SS Tube for Thiruvananthapuram: The Standards We Build To</v>
      </c>
      <c r="AF127" s="15" t="str">
        <f t="shared" si="16"/>
        <v>Electropolished Pipe Supply Into Thiruvananthapuram - Certification &amp; Transit</v>
      </c>
      <c r="AG127" s="15" t="str">
        <f t="shared" si="17"/>
        <v>Electropolished Pipes Wholesaler in Thiruvananthapuram - Project Quantities &amp; Terms</v>
      </c>
      <c r="AH127" s="15" t="str">
        <f t="shared" si="18"/>
        <v>electropolished pipes manufacturer in Thiruvananthapuram, electropolished pipes supplier in Thiruvananthapuram, electropolished pipes wholesaler in Thiruvananthapuram, electropolished tube manufacturer Thiruvananthapuram, EP pipe supplier Thiruvananthapuram, sanitary tube supplier Thiruvananthapuram, ASME BPE tubing Thiruvananthapuram, ASTM A270 tube Thiruvananthapuram, SS 316L electropolished pipe Thiruvananthapuram</v>
      </c>
      <c r="AI127" s="15" t="str">
        <f t="shared" si="19"/>
        <v>Electropolished Pipes Manufacturer &amp; Supplier in Thiruvananthapuram</v>
      </c>
      <c r="AJ127" s="15" t="str">
        <f t="shared" si="20"/>
        <v>EP-finished SS 304/316L pipes and tubes for electronics &amp; pharma plants in Thiruvananthapuram. ASME BPE SF1-SF4, Ra from 0.25 um, EN 10204 3.1 certificate with every lot.</v>
      </c>
      <c r="AK127" s="15" t="str">
        <f t="shared" si="21"/>
        <v>Electropolished stainless steel pipes supplied by Sakshi Forge to electronics &amp; pharma plants at Technopark, Thiruvananthapuram</v>
      </c>
      <c r="AL127" s="15" t="str">
        <f t="shared" si="22"/>
        <v>Electropolished SS 316L tube stock for Thiruvananthapuram - Sakshi Forge</v>
      </c>
      <c r="AM127" s="15" t="str">
        <f t="shared" si="23"/>
        <v>Home &gt; Market Area &gt; India &gt; Kerala &gt; Thiruvananthapuram</v>
      </c>
      <c r="AN127" s="15">
        <f t="shared" si="24"/>
        <v>1400</v>
      </c>
      <c r="AO127" s="15">
        <f t="shared" si="25"/>
        <v>10</v>
      </c>
      <c r="AP127" s="15">
        <f t="shared" si="26"/>
        <v>12</v>
      </c>
      <c r="AQ127" s="15">
        <f t="shared" si="27"/>
        <v>3</v>
      </c>
      <c r="AR127" s="31"/>
      <c r="AS127" s="31"/>
      <c r="AT127" s="35" t="s">
        <v>222</v>
      </c>
      <c r="AU127" s="35"/>
    </row>
    <row r="128" ht="15.75" customHeight="1">
      <c r="A128" s="15" t="s">
        <v>5070</v>
      </c>
      <c r="B128" s="15" t="s">
        <v>60</v>
      </c>
      <c r="C128" s="15" t="s">
        <v>1687</v>
      </c>
      <c r="D128" s="15" t="s">
        <v>5072</v>
      </c>
      <c r="E128" s="15" t="s">
        <v>5072</v>
      </c>
      <c r="F128" s="16" t="s">
        <v>87</v>
      </c>
      <c r="G128" s="17" t="s">
        <v>88</v>
      </c>
      <c r="H128" s="18" t="s">
        <v>5074</v>
      </c>
      <c r="I128" s="18" t="s">
        <v>5075</v>
      </c>
      <c r="J128" s="18" t="s">
        <v>5077</v>
      </c>
      <c r="K128" s="18" t="s">
        <v>94</v>
      </c>
      <c r="L128" s="18" t="s">
        <v>5079</v>
      </c>
      <c r="M128" s="18" t="s">
        <v>276</v>
      </c>
      <c r="N128" s="18" t="s">
        <v>97</v>
      </c>
      <c r="O128" s="18" t="s">
        <v>98</v>
      </c>
      <c r="P128" s="15" t="str">
        <f t="shared" si="1"/>
        <v>FOOD</v>
      </c>
      <c r="Q128" s="15">
        <f t="shared" si="2"/>
        <v>5</v>
      </c>
      <c r="R128" s="15">
        <f t="shared" si="3"/>
        <v>6</v>
      </c>
      <c r="S128" s="15">
        <f t="shared" si="4"/>
        <v>5</v>
      </c>
      <c r="T128" s="15" t="str">
        <f t="shared" si="5"/>
        <v>A-5</v>
      </c>
      <c r="U128" s="15" t="str">
        <f t="shared" si="6"/>
        <v>T5-M6-H5-FA-5-FOOD</v>
      </c>
      <c r="V128" s="15">
        <f t="shared" si="7"/>
        <v>0</v>
      </c>
      <c r="W128" s="31"/>
      <c r="X128" s="15" t="str">
        <f t="shared" si="8"/>
        <v>thrissur</v>
      </c>
      <c r="Y128" s="32" t="str">
        <f t="shared" si="9"/>
        <v>https://steelmanufacturer.in/market-area/electropolished-pipes-manufacturer-in-thrissur/</v>
      </c>
      <c r="Z128" s="15" t="str">
        <f t="shared" si="10"/>
        <v>Electropolished Pipes Manufacturer in Thrissur</v>
      </c>
      <c r="AA128" s="15" t="str">
        <f t="shared" si="11"/>
        <v>OK (46)</v>
      </c>
      <c r="AB128" s="15" t="str">
        <f t="shared" si="12"/>
        <v>EP tube and pipe for food processing plants around KINFRA Koratty, Thrissur. Made at our Mumbai works to ASTM A270 and ASME BPE SF1-SF4, with 3.1 MTC.</v>
      </c>
      <c r="AC128" s="15" t="str">
        <f t="shared" si="13"/>
        <v>OK (150)</v>
      </c>
      <c r="AD128" s="15" t="str">
        <f t="shared" si="14"/>
        <v>Electropolished Pipes Manufacturer in Thrissur</v>
      </c>
      <c r="AE128" s="15" t="str">
        <f t="shared" si="15"/>
        <v>Electropolished Tube Manufacturing Capability Serving Thrissur</v>
      </c>
      <c r="AF128" s="15" t="str">
        <f t="shared" si="16"/>
        <v>Electropolished Pipes Supplier in Thrissur - From Order to Delivery</v>
      </c>
      <c r="AG128" s="15" t="str">
        <f t="shared" si="17"/>
        <v>Stockist &amp; Wholesale Supply of Electropolished Pipes in Thrissur</v>
      </c>
      <c r="AH128" s="15" t="str">
        <f t="shared" si="18"/>
        <v>electropolished pipes manufacturer in Thrissur, electropolished pipes supplier in Thrissur, electropolished pipes wholesaler in Thrissur, electropolished tube manufacturer Thrissur, EP pipe supplier Thrissur, sanitary tube supplier Thrissur, ASME BPE tubing Thrissur, ASTM A270 tube Thrissur, SS 316L electropolished pipe Thrissur</v>
      </c>
      <c r="AI128" s="15" t="str">
        <f t="shared" si="19"/>
        <v>Electropolished Pipes Manufacturer &amp; Supplier in Thrissur</v>
      </c>
      <c r="AJ128" s="15" t="str">
        <f t="shared" si="20"/>
        <v>EP-finished SS 304/316L pipes and tubes for food processing plants in Thrissur. ASME BPE SF1-SF4, Ra from 0.25 um, EN 10204 3.1 certificate with every lot.</v>
      </c>
      <c r="AK128" s="15" t="str">
        <f t="shared" si="21"/>
        <v>Electropolished stainless steel pipes supplied by Sakshi Forge to food processing plants at KINFRA Koratty, Thrissur</v>
      </c>
      <c r="AL128" s="15" t="str">
        <f t="shared" si="22"/>
        <v>Electropolished SS 316L tube stock for Thrissur - Sakshi Forge</v>
      </c>
      <c r="AM128" s="15" t="str">
        <f t="shared" si="23"/>
        <v>Home &gt; Market Area &gt; India &gt; Kerala &gt; Thrissur</v>
      </c>
      <c r="AN128" s="15">
        <f t="shared" si="24"/>
        <v>1400</v>
      </c>
      <c r="AO128" s="15">
        <f t="shared" si="25"/>
        <v>10</v>
      </c>
      <c r="AP128" s="15">
        <f t="shared" si="26"/>
        <v>12</v>
      </c>
      <c r="AQ128" s="15">
        <f t="shared" si="27"/>
        <v>3</v>
      </c>
      <c r="AR128" s="31"/>
      <c r="AS128" s="31"/>
      <c r="AT128" s="35" t="s">
        <v>222</v>
      </c>
      <c r="AU128" s="35"/>
    </row>
    <row r="129" ht="15.75" customHeight="1">
      <c r="A129" s="15" t="s">
        <v>5110</v>
      </c>
      <c r="B129" s="15" t="s">
        <v>60</v>
      </c>
      <c r="C129" s="15" t="s">
        <v>958</v>
      </c>
      <c r="D129" s="15" t="s">
        <v>5112</v>
      </c>
      <c r="E129" s="15" t="s">
        <v>5112</v>
      </c>
      <c r="F129" s="16" t="s">
        <v>87</v>
      </c>
      <c r="G129" s="17" t="s">
        <v>88</v>
      </c>
      <c r="H129" s="18" t="s">
        <v>5114</v>
      </c>
      <c r="I129" s="18" t="s">
        <v>5115</v>
      </c>
      <c r="J129" s="18" t="s">
        <v>5117</v>
      </c>
      <c r="K129" s="18" t="s">
        <v>250</v>
      </c>
      <c r="L129" s="18" t="s">
        <v>5118</v>
      </c>
      <c r="M129" s="18" t="s">
        <v>231</v>
      </c>
      <c r="N129" s="18" t="s">
        <v>252</v>
      </c>
      <c r="O129" s="18" t="s">
        <v>98</v>
      </c>
      <c r="P129" s="15" t="str">
        <f t="shared" si="1"/>
        <v>GENERAL</v>
      </c>
      <c r="Q129" s="15">
        <f t="shared" si="2"/>
        <v>6</v>
      </c>
      <c r="R129" s="15">
        <f t="shared" si="3"/>
        <v>7</v>
      </c>
      <c r="S129" s="15">
        <f t="shared" si="4"/>
        <v>1</v>
      </c>
      <c r="T129" s="15" t="str">
        <f t="shared" si="5"/>
        <v>A-6</v>
      </c>
      <c r="U129" s="15" t="str">
        <f t="shared" si="6"/>
        <v>T6-M7-H1-FA-6-GENERAL</v>
      </c>
      <c r="V129" s="15">
        <f t="shared" si="7"/>
        <v>0</v>
      </c>
      <c r="W129" s="31"/>
      <c r="X129" s="15" t="str">
        <f t="shared" si="8"/>
        <v>tiruchirappalli</v>
      </c>
      <c r="Y129" s="32" t="str">
        <f t="shared" si="9"/>
        <v>https://steelmanufacturer.in/market-area/electropolished-pipes-manufacturer-in-tiruchirappalli/</v>
      </c>
      <c r="Z129" s="15" t="str">
        <f t="shared" si="10"/>
        <v>Electropolished Pipes Manufacturer in Tiruchirappalli</v>
      </c>
      <c r="AA129" s="15" t="str">
        <f t="shared" si="11"/>
        <v>OK (53)</v>
      </c>
      <c r="AB129" s="15" t="str">
        <f t="shared" si="12"/>
        <v>Electropolished pipes in Tiruchirappalli: 304, 304L, 316 and 316L in SF1-SF4. 2-3 day road transit from our Mumbai works. Mill certified.</v>
      </c>
      <c r="AC129" s="15" t="str">
        <f t="shared" si="13"/>
        <v>OK (137)</v>
      </c>
      <c r="AD129" s="15" t="str">
        <f t="shared" si="14"/>
        <v>Electropolished Pipes Manufacturer in Tiruchirappalli</v>
      </c>
      <c r="AE129" s="15" t="str">
        <f t="shared" si="15"/>
        <v>Electropolished Pipe &amp; Tube Manufacturing for Tiruchirappalli - Grades, Finishes &amp; Certification</v>
      </c>
      <c r="AF129" s="15" t="str">
        <f t="shared" si="16"/>
        <v>Electropolished Pipes Supplier in Tiruchirappalli - Stock Sizes, Lead Time &amp; Delivery</v>
      </c>
      <c r="AG129" s="15" t="str">
        <f t="shared" si="17"/>
        <v>Electropolished Pipes Wholesaler &amp; Stockist in Tiruchirappalli - Bulk &amp; Project Pricing</v>
      </c>
      <c r="AH129" s="15" t="str">
        <f t="shared" si="18"/>
        <v>electropolished pipes manufacturer in Tiruchirappalli, electropolished pipes supplier in Tiruchirappalli, electropolished pipes wholesaler in Tiruchirappalli, electropolished tube manufacturer Tiruchirappalli, EP pipe supplier Tiruchirappalli, sanitary tube supplier Tiruchirappalli, ASME BPE tubing Tiruchirappalli, ASTM A270 tube Tiruchirappalli, SS 316L electropolished pipe Tiruchirappalli</v>
      </c>
      <c r="AI129" s="15" t="str">
        <f t="shared" si="19"/>
        <v>Electropolished Pipes Manufacturer &amp; Supplier in Tiruchirappalli</v>
      </c>
      <c r="AJ129" s="15" t="str">
        <f t="shared" si="20"/>
        <v>EP-finished SS 304/316L pipes and tubes for engineering &amp; process plants in Tiruchirappalli. ASME BPE SF1-SF4, Ra from 0.25 um, EN 10204 3.1 certificate with every lot.</v>
      </c>
      <c r="AK129" s="15" t="str">
        <f t="shared" si="21"/>
        <v>Electropolished stainless steel pipes supplied by Sakshi Forge to engineering &amp; process plants at Thuvakudi SIDCO, Tiruchirappalli</v>
      </c>
      <c r="AL129" s="15" t="str">
        <f t="shared" si="22"/>
        <v>Electropolished SS 316L tube stock for Tiruchirappalli - Sakshi Forge</v>
      </c>
      <c r="AM129" s="15" t="str">
        <f t="shared" si="23"/>
        <v>Home &gt; Market Area &gt; India &gt; Tamil Nadu &gt; Tiruchirappalli</v>
      </c>
      <c r="AN129" s="15">
        <f t="shared" si="24"/>
        <v>1400</v>
      </c>
      <c r="AO129" s="15">
        <f t="shared" si="25"/>
        <v>10</v>
      </c>
      <c r="AP129" s="15">
        <f t="shared" si="26"/>
        <v>12</v>
      </c>
      <c r="AQ129" s="15">
        <f t="shared" si="27"/>
        <v>3</v>
      </c>
      <c r="AR129" s="31"/>
      <c r="AS129" s="31"/>
      <c r="AT129" s="35" t="s">
        <v>222</v>
      </c>
      <c r="AU129" s="35"/>
    </row>
    <row r="130" ht="15.75" customHeight="1">
      <c r="A130" s="15" t="s">
        <v>5151</v>
      </c>
      <c r="B130" s="15" t="s">
        <v>60</v>
      </c>
      <c r="C130" s="15" t="s">
        <v>413</v>
      </c>
      <c r="D130" s="15" t="s">
        <v>5153</v>
      </c>
      <c r="E130" s="15" t="s">
        <v>5153</v>
      </c>
      <c r="F130" s="16" t="s">
        <v>87</v>
      </c>
      <c r="G130" s="17" t="s">
        <v>88</v>
      </c>
      <c r="H130" s="18" t="s">
        <v>5156</v>
      </c>
      <c r="I130" s="18" t="s">
        <v>5157</v>
      </c>
      <c r="J130" s="18" t="s">
        <v>5158</v>
      </c>
      <c r="K130" s="18" t="s">
        <v>969</v>
      </c>
      <c r="L130" s="18" t="s">
        <v>5160</v>
      </c>
      <c r="M130" s="18" t="s">
        <v>96</v>
      </c>
      <c r="N130" s="18" t="s">
        <v>232</v>
      </c>
      <c r="O130" s="18" t="s">
        <v>98</v>
      </c>
      <c r="P130" s="15" t="str">
        <f t="shared" si="1"/>
        <v>SEMI</v>
      </c>
      <c r="Q130" s="15">
        <f t="shared" si="2"/>
        <v>7</v>
      </c>
      <c r="R130" s="15">
        <f t="shared" si="3"/>
        <v>1</v>
      </c>
      <c r="S130" s="15">
        <f t="shared" si="4"/>
        <v>2</v>
      </c>
      <c r="T130" s="15" t="str">
        <f t="shared" si="5"/>
        <v>A-1</v>
      </c>
      <c r="U130" s="15" t="str">
        <f t="shared" si="6"/>
        <v>T7-M1-H2-FA-1-SEMI</v>
      </c>
      <c r="V130" s="15">
        <f t="shared" si="7"/>
        <v>0</v>
      </c>
      <c r="W130" s="31"/>
      <c r="X130" s="15" t="str">
        <f t="shared" si="8"/>
        <v>tirupati</v>
      </c>
      <c r="Y130" s="32" t="str">
        <f t="shared" si="9"/>
        <v>https://steelmanufacturer.in/market-area/electropolished-pipes-manufacturer-in-tirupati/</v>
      </c>
      <c r="Z130" s="15" t="str">
        <f t="shared" si="10"/>
        <v>Electropolished Pipes Manufacturer in Tirupati | ASME BPE SF1-SF4</v>
      </c>
      <c r="AA130" s="15" t="str">
        <f t="shared" si="11"/>
        <v>OK (65)</v>
      </c>
      <c r="AB130" s="15" t="str">
        <f t="shared" si="12"/>
        <v>EP-finished SS 304/316L pipes &amp; tubes for electronics &amp; pharma plants in Tirupati. ASTM A270, ASME BPE SF1-SF4, EN 10204 3.1 MTC. PMI tested.</v>
      </c>
      <c r="AC130" s="15" t="str">
        <f t="shared" si="13"/>
        <v>OK (141)</v>
      </c>
      <c r="AD130" s="15" t="str">
        <f t="shared" si="14"/>
        <v>Electropolished Pipes Manufacturer in Tirupati</v>
      </c>
      <c r="AE130" s="15" t="str">
        <f t="shared" si="15"/>
        <v>How We Manufacture Electropolished Tube for Tirupati Plants</v>
      </c>
      <c r="AF130" s="15" t="str">
        <f t="shared" si="16"/>
        <v>Supplying Electropolished Pipes in Tirupati: Availability, Sizes &amp; Dispatch</v>
      </c>
      <c r="AG130" s="15" t="str">
        <f t="shared" si="17"/>
        <v>Wholesale Electropolished Pipe Supply for Tirupati Projects</v>
      </c>
      <c r="AH130" s="15" t="str">
        <f t="shared" si="18"/>
        <v>electropolished pipes manufacturer in Tirupati, electropolished pipes supplier in Tirupati, electropolished pipes wholesaler in Tirupati, electropolished tube manufacturer Tirupati, EP pipe supplier Tirupati, sanitary tube supplier Tirupati, ASME BPE tubing Tirupati, ASTM A270 tube Tirupati, SS 316L electropolished pipe Tirupati</v>
      </c>
      <c r="AI130" s="15" t="str">
        <f t="shared" si="19"/>
        <v>Electropolished Pipes Manufacturer &amp; Supplier in Tirupati</v>
      </c>
      <c r="AJ130" s="15" t="str">
        <f t="shared" si="20"/>
        <v>EP-finished SS 304/316L pipes and tubes for electronics &amp; pharma plants in Tirupati. ASME BPE SF1-SF4, Ra from 0.25 um, EN 10204 3.1 certificate with every lot.</v>
      </c>
      <c r="AK130" s="15" t="str">
        <f t="shared" si="21"/>
        <v>Electropolished stainless steel pipes supplied by Sakshi Forge to electronics &amp; pharma plants at Sri City SEZ, Tirupati</v>
      </c>
      <c r="AL130" s="15" t="str">
        <f t="shared" si="22"/>
        <v>Electropolished SS 316L tube stock for Tirupati - Sakshi Forge</v>
      </c>
      <c r="AM130" s="15" t="str">
        <f t="shared" si="23"/>
        <v>Home &gt; Market Area &gt; India &gt; Andhra Pradesh &gt; Tirupati</v>
      </c>
      <c r="AN130" s="15">
        <f t="shared" si="24"/>
        <v>1400</v>
      </c>
      <c r="AO130" s="15">
        <f t="shared" si="25"/>
        <v>10</v>
      </c>
      <c r="AP130" s="15">
        <f t="shared" si="26"/>
        <v>12</v>
      </c>
      <c r="AQ130" s="15">
        <f t="shared" si="27"/>
        <v>3</v>
      </c>
      <c r="AR130" s="31"/>
      <c r="AS130" s="31"/>
      <c r="AT130" s="35" t="s">
        <v>222</v>
      </c>
      <c r="AU130" s="35"/>
    </row>
    <row r="131" ht="15.75" customHeight="1">
      <c r="A131" s="15" t="s">
        <v>5189</v>
      </c>
      <c r="B131" s="15" t="s">
        <v>60</v>
      </c>
      <c r="C131" s="15" t="s">
        <v>958</v>
      </c>
      <c r="D131" s="15" t="s">
        <v>5191</v>
      </c>
      <c r="E131" s="15" t="s">
        <v>5191</v>
      </c>
      <c r="F131" s="16" t="s">
        <v>87</v>
      </c>
      <c r="G131" s="17" t="s">
        <v>88</v>
      </c>
      <c r="H131" s="18" t="s">
        <v>5193</v>
      </c>
      <c r="I131" s="18" t="s">
        <v>5195</v>
      </c>
      <c r="J131" s="18" t="s">
        <v>5196</v>
      </c>
      <c r="K131" s="18" t="s">
        <v>250</v>
      </c>
      <c r="L131" s="18" t="s">
        <v>5118</v>
      </c>
      <c r="M131" s="18" t="s">
        <v>231</v>
      </c>
      <c r="N131" s="18" t="s">
        <v>252</v>
      </c>
      <c r="O131" s="18" t="s">
        <v>98</v>
      </c>
      <c r="P131" s="15" t="str">
        <f t="shared" si="1"/>
        <v>GENERAL</v>
      </c>
      <c r="Q131" s="15">
        <f t="shared" si="2"/>
        <v>8</v>
      </c>
      <c r="R131" s="15">
        <f t="shared" si="3"/>
        <v>2</v>
      </c>
      <c r="S131" s="15">
        <f t="shared" si="4"/>
        <v>3</v>
      </c>
      <c r="T131" s="15" t="str">
        <f t="shared" si="5"/>
        <v>A-2</v>
      </c>
      <c r="U131" s="15" t="str">
        <f t="shared" si="6"/>
        <v>T8-M2-H3-FA-2-GENERAL</v>
      </c>
      <c r="V131" s="15">
        <f t="shared" si="7"/>
        <v>0</v>
      </c>
      <c r="W131" s="31"/>
      <c r="X131" s="15" t="str">
        <f t="shared" si="8"/>
        <v>tiruppur</v>
      </c>
      <c r="Y131" s="32" t="str">
        <f t="shared" si="9"/>
        <v>https://steelmanufacturer.in/market-area/electropolished-pipes-manufacturer-in-tiruppur/</v>
      </c>
      <c r="Z131" s="15" t="str">
        <f t="shared" si="10"/>
        <v>Electropolished Pipes Manufacturer in Tiruppur - EP Tube Stockist</v>
      </c>
      <c r="AA131" s="15" t="str">
        <f t="shared" si="11"/>
        <v>OK (65)</v>
      </c>
      <c r="AB131" s="15" t="str">
        <f t="shared" si="12"/>
        <v>Electropolished tube supply to Tiruppur SIDCO, Tiruppur. Ra from 0.25 um, SF4 finish, mill test certificate with every lot.</v>
      </c>
      <c r="AC131" s="15" t="str">
        <f t="shared" si="13"/>
        <v>OK (123)</v>
      </c>
      <c r="AD131" s="15" t="str">
        <f t="shared" si="14"/>
        <v>Electropolished Pipes Manufacturer in Tiruppur</v>
      </c>
      <c r="AE131" s="15" t="str">
        <f t="shared" si="15"/>
        <v>Electropolished Pipes Manufacturer in Tiruppur - Our Process &amp; Capability</v>
      </c>
      <c r="AF131" s="15" t="str">
        <f t="shared" si="16"/>
        <v>Electropolished Pipes Supplier in Tiruppur - What We Hold in Stock</v>
      </c>
      <c r="AG131" s="15" t="str">
        <f t="shared" si="17"/>
        <v>Bulk &amp; Wholesale Electropolished Pipe Rates for Tiruppur Buyers</v>
      </c>
      <c r="AH131" s="15" t="str">
        <f t="shared" si="18"/>
        <v>electropolished pipes manufacturer in Tiruppur, electropolished pipes supplier in Tiruppur, electropolished pipes wholesaler in Tiruppur, electropolished tube manufacturer Tiruppur, EP pipe supplier Tiruppur, sanitary tube supplier Tiruppur, ASME BPE tubing Tiruppur, ASTM A270 tube Tiruppur, SS 316L electropolished pipe Tiruppur</v>
      </c>
      <c r="AI131" s="15" t="str">
        <f t="shared" si="19"/>
        <v>Electropolished Pipes Manufacturer &amp; Supplier in Tiruppur</v>
      </c>
      <c r="AJ131" s="15" t="str">
        <f t="shared" si="20"/>
        <v>EP-finished SS 304/316L pipes and tubes for engineering &amp; process plants in Tiruppur. ASME BPE SF1-SF4, Ra from 0.25 um, EN 10204 3.1 certificate with every lot.</v>
      </c>
      <c r="AK131" s="15" t="str">
        <f t="shared" si="21"/>
        <v>Electropolished stainless steel pipes supplied by Sakshi Forge to engineering &amp; process plants at Tiruppur SIDCO, Tiruppur</v>
      </c>
      <c r="AL131" s="15" t="str">
        <f t="shared" si="22"/>
        <v>Electropolished SS 316L tube stock for Tiruppur - Sakshi Forge</v>
      </c>
      <c r="AM131" s="15" t="str">
        <f t="shared" si="23"/>
        <v>Home &gt; Market Area &gt; India &gt; Tamil Nadu &gt; Tiruppur</v>
      </c>
      <c r="AN131" s="15">
        <f t="shared" si="24"/>
        <v>1400</v>
      </c>
      <c r="AO131" s="15">
        <f t="shared" si="25"/>
        <v>10</v>
      </c>
      <c r="AP131" s="15">
        <f t="shared" si="26"/>
        <v>12</v>
      </c>
      <c r="AQ131" s="15">
        <f t="shared" si="27"/>
        <v>3</v>
      </c>
      <c r="AR131" s="31"/>
      <c r="AS131" s="31"/>
      <c r="AT131" s="35" t="s">
        <v>222</v>
      </c>
      <c r="AU131" s="35"/>
    </row>
    <row r="132" ht="15.75" customHeight="1">
      <c r="A132" s="15" t="s">
        <v>5221</v>
      </c>
      <c r="B132" s="15" t="s">
        <v>60</v>
      </c>
      <c r="C132" s="15" t="s">
        <v>570</v>
      </c>
      <c r="D132" s="15" t="s">
        <v>5222</v>
      </c>
      <c r="E132" s="15" t="s">
        <v>5222</v>
      </c>
      <c r="F132" s="16" t="s">
        <v>87</v>
      </c>
      <c r="G132" s="17" t="s">
        <v>88</v>
      </c>
      <c r="H132" s="18" t="s">
        <v>5224</v>
      </c>
      <c r="I132" s="18" t="s">
        <v>5225</v>
      </c>
      <c r="J132" s="18" t="s">
        <v>5226</v>
      </c>
      <c r="K132" s="18" t="s">
        <v>94</v>
      </c>
      <c r="L132" s="18" t="s">
        <v>5227</v>
      </c>
      <c r="M132" s="18" t="s">
        <v>231</v>
      </c>
      <c r="N132" s="18" t="s">
        <v>97</v>
      </c>
      <c r="O132" s="18" t="s">
        <v>98</v>
      </c>
      <c r="P132" s="15" t="str">
        <f t="shared" si="1"/>
        <v>FOOD</v>
      </c>
      <c r="Q132" s="15">
        <f t="shared" si="2"/>
        <v>1</v>
      </c>
      <c r="R132" s="15">
        <f t="shared" si="3"/>
        <v>3</v>
      </c>
      <c r="S132" s="15">
        <f t="shared" si="4"/>
        <v>4</v>
      </c>
      <c r="T132" s="15" t="str">
        <f t="shared" si="5"/>
        <v>A-3</v>
      </c>
      <c r="U132" s="15" t="str">
        <f t="shared" si="6"/>
        <v>T1-M3-H4-FA-3-FOOD</v>
      </c>
      <c r="V132" s="15">
        <f t="shared" si="7"/>
        <v>0</v>
      </c>
      <c r="W132" s="31"/>
      <c r="X132" s="15" t="str">
        <f t="shared" si="8"/>
        <v>tumakuru</v>
      </c>
      <c r="Y132" s="32" t="str">
        <f t="shared" si="9"/>
        <v>https://steelmanufacturer.in/market-area/electropolished-pipes-manufacturer-in-tumakuru/</v>
      </c>
      <c r="Z132" s="15" t="str">
        <f t="shared" si="10"/>
        <v>Electropolished Pipes Manufacturer in Tumakuru | Sakshi Forge</v>
      </c>
      <c r="AA132" s="15" t="str">
        <f t="shared" si="11"/>
        <v>OK (61)</v>
      </c>
      <c r="AB132" s="15" t="str">
        <f t="shared" si="12"/>
        <v>EP stainless tube for food processing lines in Tumakuru. 2-3 day road transit from our Mumbai works. ASTM A270 S2, PMI tested, EN 10204 3.1.</v>
      </c>
      <c r="AC132" s="15" t="str">
        <f t="shared" si="13"/>
        <v>OK (140)</v>
      </c>
      <c r="AD132" s="15" t="str">
        <f t="shared" si="14"/>
        <v>Electropolished Pipes Manufacturer in Tumakuru</v>
      </c>
      <c r="AE132" s="15" t="str">
        <f t="shared" si="15"/>
        <v>Manufacturing Electropolished SS Tube for Tumakuru: The Standards We Build To</v>
      </c>
      <c r="AF132" s="15" t="str">
        <f t="shared" si="16"/>
        <v>Electropolished Pipe Supply Into Tumakuru - Certification &amp; Transit</v>
      </c>
      <c r="AG132" s="15" t="str">
        <f t="shared" si="17"/>
        <v>Electropolished Pipes Wholesaler in Tumakuru - Project Quantities &amp; Terms</v>
      </c>
      <c r="AH132" s="15" t="str">
        <f t="shared" si="18"/>
        <v>electropolished pipes manufacturer in Tumakuru, electropolished pipes supplier in Tumakuru, electropolished pipes wholesaler in Tumakuru, electropolished tube manufacturer Tumakuru, EP pipe supplier Tumakuru, sanitary tube supplier Tumakuru, ASME BPE tubing Tumakuru, ASTM A270 tube Tumakuru, SS 316L electropolished pipe Tumakuru</v>
      </c>
      <c r="AI132" s="15" t="str">
        <f t="shared" si="19"/>
        <v>Electropolished Pipes Manufacturer &amp; Supplier in Tumakuru</v>
      </c>
      <c r="AJ132" s="15" t="str">
        <f t="shared" si="20"/>
        <v>EP-finished SS 304/316L pipes and tubes for food processing plants in Tumakuru. ASME BPE SF1-SF4, Ra from 0.25 um, EN 10204 3.1 certificate with every lot.</v>
      </c>
      <c r="AK132" s="15" t="str">
        <f t="shared" si="21"/>
        <v>Electropolished stainless steel pipes supplied by Sakshi Forge to food processing plants at Vasanthanarasapura KIADB, Tumakuru</v>
      </c>
      <c r="AL132" s="15" t="str">
        <f t="shared" si="22"/>
        <v>Electropolished SS 316L tube stock for Tumakuru - Sakshi Forge</v>
      </c>
      <c r="AM132" s="15" t="str">
        <f t="shared" si="23"/>
        <v>Home &gt; Market Area &gt; India &gt; Karnataka &gt; Tumakuru</v>
      </c>
      <c r="AN132" s="15">
        <f t="shared" si="24"/>
        <v>1400</v>
      </c>
      <c r="AO132" s="15">
        <f t="shared" si="25"/>
        <v>10</v>
      </c>
      <c r="AP132" s="15">
        <f t="shared" si="26"/>
        <v>12</v>
      </c>
      <c r="AQ132" s="15">
        <f t="shared" si="27"/>
        <v>3</v>
      </c>
      <c r="AR132" s="31"/>
      <c r="AS132" s="31"/>
      <c r="AT132" s="35" t="s">
        <v>222</v>
      </c>
      <c r="AU132" s="35"/>
    </row>
    <row r="133" ht="15.75" customHeight="1">
      <c r="A133" s="15" t="s">
        <v>5252</v>
      </c>
      <c r="B133" s="15" t="s">
        <v>60</v>
      </c>
      <c r="C133" s="15" t="s">
        <v>958</v>
      </c>
      <c r="D133" s="15" t="s">
        <v>5254</v>
      </c>
      <c r="E133" s="15" t="s">
        <v>5254</v>
      </c>
      <c r="F133" s="16" t="s">
        <v>87</v>
      </c>
      <c r="G133" s="17" t="s">
        <v>88</v>
      </c>
      <c r="H133" s="18" t="s">
        <v>5256</v>
      </c>
      <c r="I133" s="18" t="s">
        <v>5257</v>
      </c>
      <c r="J133" s="18" t="s">
        <v>5259</v>
      </c>
      <c r="K133" s="18" t="s">
        <v>271</v>
      </c>
      <c r="L133" s="18" t="s">
        <v>5260</v>
      </c>
      <c r="M133" s="18" t="s">
        <v>276</v>
      </c>
      <c r="N133" s="18" t="s">
        <v>277</v>
      </c>
      <c r="O133" s="18" t="s">
        <v>98</v>
      </c>
      <c r="P133" s="15" t="str">
        <f t="shared" si="1"/>
        <v>CHEM</v>
      </c>
      <c r="Q133" s="15">
        <f t="shared" si="2"/>
        <v>2</v>
      </c>
      <c r="R133" s="15">
        <f t="shared" si="3"/>
        <v>4</v>
      </c>
      <c r="S133" s="15">
        <f t="shared" si="4"/>
        <v>5</v>
      </c>
      <c r="T133" s="15" t="str">
        <f t="shared" si="5"/>
        <v>A-4</v>
      </c>
      <c r="U133" s="15" t="str">
        <f t="shared" si="6"/>
        <v>T2-M4-H5-FA-4-CHEM</v>
      </c>
      <c r="V133" s="15">
        <f t="shared" si="7"/>
        <v>0</v>
      </c>
      <c r="W133" s="31"/>
      <c r="X133" s="15" t="str">
        <f t="shared" si="8"/>
        <v>tuticorin</v>
      </c>
      <c r="Y133" s="32" t="str">
        <f t="shared" si="9"/>
        <v>https://steelmanufacturer.in/market-area/electropolished-pipes-manufacturer-in-tuticorin/</v>
      </c>
      <c r="Z133" s="15" t="str">
        <f t="shared" si="10"/>
        <v>Electropolished Pipes Manufacturer in Tuticorin</v>
      </c>
      <c r="AA133" s="15" t="str">
        <f t="shared" si="11"/>
        <v>OK (47)</v>
      </c>
      <c r="AB133" s="15" t="str">
        <f t="shared" si="12"/>
        <v>Sanitary electropolished pipes in Tuticorin for chemical plants. ASME BPE SF1-SF4, orbital-weld ready, 3.1 MTC. Mumbai-made.</v>
      </c>
      <c r="AC133" s="15" t="str">
        <f t="shared" si="13"/>
        <v>OK (124)</v>
      </c>
      <c r="AD133" s="15" t="str">
        <f t="shared" si="14"/>
        <v>Electropolished Pipes Manufacturer in Tuticorin</v>
      </c>
      <c r="AE133" s="15" t="str">
        <f t="shared" si="15"/>
        <v>Electropolished Tube Manufacturing Capability Serving Tuticorin</v>
      </c>
      <c r="AF133" s="15" t="str">
        <f t="shared" si="16"/>
        <v>Electropolished Pipes Supplier in Tuticorin - From Order to Delivery</v>
      </c>
      <c r="AG133" s="15" t="str">
        <f t="shared" si="17"/>
        <v>Stockist &amp; Wholesale Supply of Electropolished Pipes in Tuticorin</v>
      </c>
      <c r="AH133" s="15" t="str">
        <f t="shared" si="18"/>
        <v>electropolished pipes manufacturer in Tuticorin, electropolished pipes supplier in Tuticorin, electropolished pipes wholesaler in Tuticorin, electropolished tube manufacturer Tuticorin, EP pipe supplier Tuticorin, sanitary tube supplier Tuticorin, ASME BPE tubing Tuticorin, ASTM A270 tube Tuticorin, SS 316L electropolished pipe Tuticorin</v>
      </c>
      <c r="AI133" s="15" t="str">
        <f t="shared" si="19"/>
        <v>Electropolished Pipes Manufacturer &amp; Supplier in Tuticorin</v>
      </c>
      <c r="AJ133" s="15" t="str">
        <f t="shared" si="20"/>
        <v>EP-finished SS 304/316L pipes and tubes for chemical plants in Tuticorin. ASME BPE SF1-SF4, Ra from 0.25 um, EN 10204 3.1 certificate with every lot.</v>
      </c>
      <c r="AK133" s="15" t="str">
        <f t="shared" si="21"/>
        <v>Electropolished stainless steel pipes supplied by Sakshi Forge to chemical plants at Tuticorin SIPCOT, Tuticorin</v>
      </c>
      <c r="AL133" s="15" t="str">
        <f t="shared" si="22"/>
        <v>Electropolished SS 316L tube stock for Tuticorin - Sakshi Forge</v>
      </c>
      <c r="AM133" s="15" t="str">
        <f t="shared" si="23"/>
        <v>Home &gt; Market Area &gt; India &gt; Tamil Nadu &gt; Tuticorin</v>
      </c>
      <c r="AN133" s="15">
        <f t="shared" si="24"/>
        <v>1400</v>
      </c>
      <c r="AO133" s="15">
        <f t="shared" si="25"/>
        <v>10</v>
      </c>
      <c r="AP133" s="15">
        <f t="shared" si="26"/>
        <v>12</v>
      </c>
      <c r="AQ133" s="15">
        <f t="shared" si="27"/>
        <v>3</v>
      </c>
      <c r="AR133" s="31"/>
      <c r="AS133" s="31"/>
      <c r="AT133" s="35" t="s">
        <v>222</v>
      </c>
      <c r="AU133" s="35"/>
    </row>
    <row r="134" ht="15.75" customHeight="1">
      <c r="A134" s="15" t="s">
        <v>5292</v>
      </c>
      <c r="B134" s="15" t="s">
        <v>60</v>
      </c>
      <c r="C134" s="15" t="s">
        <v>236</v>
      </c>
      <c r="D134" s="15" t="s">
        <v>5294</v>
      </c>
      <c r="E134" s="15" t="s">
        <v>5294</v>
      </c>
      <c r="F134" s="16" t="s">
        <v>87</v>
      </c>
      <c r="G134" s="17" t="s">
        <v>88</v>
      </c>
      <c r="H134" s="18" t="s">
        <v>5296</v>
      </c>
      <c r="I134" s="18" t="s">
        <v>5297</v>
      </c>
      <c r="J134" s="18" t="s">
        <v>5299</v>
      </c>
      <c r="K134" s="18" t="s">
        <v>250</v>
      </c>
      <c r="L134" s="18" t="s">
        <v>5301</v>
      </c>
      <c r="M134" s="18" t="s">
        <v>830</v>
      </c>
      <c r="N134" s="18" t="s">
        <v>252</v>
      </c>
      <c r="O134" s="18" t="s">
        <v>98</v>
      </c>
      <c r="P134" s="15" t="str">
        <f t="shared" si="1"/>
        <v>GENERAL</v>
      </c>
      <c r="Q134" s="15">
        <f t="shared" si="2"/>
        <v>3</v>
      </c>
      <c r="R134" s="15">
        <f t="shared" si="3"/>
        <v>5</v>
      </c>
      <c r="S134" s="15">
        <f t="shared" si="4"/>
        <v>1</v>
      </c>
      <c r="T134" s="15" t="str">
        <f t="shared" si="5"/>
        <v>A-5</v>
      </c>
      <c r="U134" s="15" t="str">
        <f t="shared" si="6"/>
        <v>T3-M5-H1-FA-5-GENERAL</v>
      </c>
      <c r="V134" s="15">
        <f t="shared" si="7"/>
        <v>0</v>
      </c>
      <c r="W134" s="31"/>
      <c r="X134" s="15" t="str">
        <f t="shared" si="8"/>
        <v>udaipur</v>
      </c>
      <c r="Y134" s="32" t="str">
        <f t="shared" si="9"/>
        <v>https://steelmanufacturer.in/market-area/electropolished-pipes-manufacturer-in-udaipur/</v>
      </c>
      <c r="Z134" s="15" t="str">
        <f t="shared" si="10"/>
        <v>Electropolished Pipes Manufacturer in Udaipur | EP Tube Supplier</v>
      </c>
      <c r="AA134" s="15" t="str">
        <f t="shared" si="11"/>
        <v>OK (64)</v>
      </c>
      <c r="AB134" s="15" t="str">
        <f t="shared" si="12"/>
        <v>Manufacturer of electropolished SS 316L tube serving Udaipur. 3-4 day road transit from our Mumbai works. Ra 0.25-0.5 um, EN 10204 3.1 MTC.</v>
      </c>
      <c r="AC134" s="15" t="str">
        <f t="shared" si="13"/>
        <v>OK (139)</v>
      </c>
      <c r="AD134" s="15" t="str">
        <f t="shared" si="14"/>
        <v>Electropolished Pipes Manufacturer in Udaipur</v>
      </c>
      <c r="AE134" s="15" t="str">
        <f t="shared" si="15"/>
        <v>Electropolished Pipe &amp; Tube Manufacturing for Udaipur - Grades, Finishes &amp; Certification</v>
      </c>
      <c r="AF134" s="15" t="str">
        <f t="shared" si="16"/>
        <v>Electropolished Pipes Supplier in Udaipur - Stock Sizes, Lead Time &amp; Delivery</v>
      </c>
      <c r="AG134" s="15" t="str">
        <f t="shared" si="17"/>
        <v>Electropolished Pipes Wholesaler &amp; Stockist in Udaipur - Bulk &amp; Project Pricing</v>
      </c>
      <c r="AH134" s="15" t="str">
        <f t="shared" si="18"/>
        <v>electropolished pipes manufacturer in Udaipur, electropolished pipes supplier in Udaipur, electropolished pipes wholesaler in Udaipur, electropolished tube manufacturer Udaipur, EP pipe supplier Udaipur, sanitary tube supplier Udaipur, ASME BPE tubing Udaipur, ASTM A270 tube Udaipur, SS 316L electropolished pipe Udaipur</v>
      </c>
      <c r="AI134" s="15" t="str">
        <f t="shared" si="19"/>
        <v>Electropolished Pipes Manufacturer &amp; Supplier in Udaipur</v>
      </c>
      <c r="AJ134" s="15" t="str">
        <f t="shared" si="20"/>
        <v>EP-finished SS 304/316L pipes and tubes for engineering &amp; process plants in Udaipur. ASME BPE SF1-SF4, Ra from 0.25 um, EN 10204 3.1 certificate with every lot.</v>
      </c>
      <c r="AK134" s="15" t="str">
        <f t="shared" si="21"/>
        <v>Electropolished stainless steel pipes supplied by Sakshi Forge to engineering &amp; process plants at Madri RIICO, Udaipur</v>
      </c>
      <c r="AL134" s="15" t="str">
        <f t="shared" si="22"/>
        <v>Electropolished SS 316L tube stock for Udaipur - Sakshi Forge</v>
      </c>
      <c r="AM134" s="15" t="str">
        <f t="shared" si="23"/>
        <v>Home &gt; Market Area &gt; India &gt; Rajasthan &gt; Udaipur</v>
      </c>
      <c r="AN134" s="15">
        <f t="shared" si="24"/>
        <v>1400</v>
      </c>
      <c r="AO134" s="15">
        <f t="shared" si="25"/>
        <v>10</v>
      </c>
      <c r="AP134" s="15">
        <f t="shared" si="26"/>
        <v>12</v>
      </c>
      <c r="AQ134" s="15">
        <f t="shared" si="27"/>
        <v>3</v>
      </c>
      <c r="AR134" s="31"/>
      <c r="AS134" s="31"/>
      <c r="AT134" s="35" t="s">
        <v>222</v>
      </c>
      <c r="AU134" s="35"/>
    </row>
    <row r="135" ht="15.75" customHeight="1">
      <c r="A135" s="15" t="s">
        <v>5333</v>
      </c>
      <c r="B135" s="15" t="s">
        <v>60</v>
      </c>
      <c r="C135" s="15" t="s">
        <v>224</v>
      </c>
      <c r="D135" s="15" t="s">
        <v>5335</v>
      </c>
      <c r="E135" s="15" t="s">
        <v>5335</v>
      </c>
      <c r="F135" s="16" t="s">
        <v>87</v>
      </c>
      <c r="G135" s="17" t="s">
        <v>88</v>
      </c>
      <c r="H135" s="18" t="s">
        <v>5336</v>
      </c>
      <c r="I135" s="18" t="s">
        <v>5338</v>
      </c>
      <c r="J135" s="18" t="s">
        <v>5339</v>
      </c>
      <c r="K135" s="18" t="s">
        <v>436</v>
      </c>
      <c r="L135" s="18" t="s">
        <v>5341</v>
      </c>
      <c r="M135" s="18" t="s">
        <v>96</v>
      </c>
      <c r="N135" s="18" t="s">
        <v>232</v>
      </c>
      <c r="O135" s="18" t="s">
        <v>98</v>
      </c>
      <c r="P135" s="15" t="str">
        <f t="shared" si="1"/>
        <v>PHARMA</v>
      </c>
      <c r="Q135" s="15">
        <f t="shared" si="2"/>
        <v>4</v>
      </c>
      <c r="R135" s="15">
        <f t="shared" si="3"/>
        <v>6</v>
      </c>
      <c r="S135" s="15">
        <f t="shared" si="4"/>
        <v>2</v>
      </c>
      <c r="T135" s="15" t="str">
        <f t="shared" si="5"/>
        <v>A-6</v>
      </c>
      <c r="U135" s="15" t="str">
        <f t="shared" si="6"/>
        <v>T4-M6-H2-FA-6-PHARMA</v>
      </c>
      <c r="V135" s="15">
        <f t="shared" si="7"/>
        <v>0</v>
      </c>
      <c r="W135" s="31"/>
      <c r="X135" s="15" t="str">
        <f t="shared" si="8"/>
        <v>vadodara</v>
      </c>
      <c r="Y135" s="32" t="str">
        <f t="shared" si="9"/>
        <v>https://steelmanufacturer.in/market-area/electropolished-pipes-manufacturer-in-vadodara/</v>
      </c>
      <c r="Z135" s="15" t="str">
        <f t="shared" si="10"/>
        <v>Electropolished Pipes Manufacturer in Vadodara</v>
      </c>
      <c r="AA135" s="15" t="str">
        <f t="shared" si="11"/>
        <v>OK (46)</v>
      </c>
      <c r="AB135" s="15" t="str">
        <f t="shared" si="12"/>
        <v>EP tube and pipe for pharma &amp; API plants around Makarpura GIDC, Vadodara. Made at our Mumbai works to ASTM A270 and ASME BPE SF1-SF4, with 3.1 MTC.</v>
      </c>
      <c r="AC135" s="15" t="str">
        <f t="shared" si="13"/>
        <v>OK (147)</v>
      </c>
      <c r="AD135" s="15" t="str">
        <f t="shared" si="14"/>
        <v>Electropolished Pipes Manufacturer in Vadodara</v>
      </c>
      <c r="AE135" s="15" t="str">
        <f t="shared" si="15"/>
        <v>How We Manufacture Electropolished Tube for Vadodara Plants</v>
      </c>
      <c r="AF135" s="15" t="str">
        <f t="shared" si="16"/>
        <v>Supplying Electropolished Pipes in Vadodara: Availability, Sizes &amp; Dispatch</v>
      </c>
      <c r="AG135" s="15" t="str">
        <f t="shared" si="17"/>
        <v>Wholesale Electropolished Pipe Supply for Vadodara Projects</v>
      </c>
      <c r="AH135" s="15" t="str">
        <f t="shared" si="18"/>
        <v>electropolished pipes manufacturer in Vadodara, electropolished pipes supplier in Vadodara, electropolished pipes wholesaler in Vadodara, electropolished tube manufacturer Vadodara, EP pipe supplier Vadodara, sanitary tube supplier Vadodara, ASME BPE tubing Vadodara, ASTM A270 tube Vadodara, SS 316L electropolished pipe Vadodara</v>
      </c>
      <c r="AI135" s="15" t="str">
        <f t="shared" si="19"/>
        <v>Electropolished Pipes Manufacturer &amp; Supplier in Vadodara</v>
      </c>
      <c r="AJ135" s="15" t="str">
        <f t="shared" si="20"/>
        <v>EP-finished SS 304/316L pipes and tubes for pharma &amp; API plants in Vadodara. ASME BPE SF1-SF4, Ra from 0.25 um, EN 10204 3.1 certificate with every lot.</v>
      </c>
      <c r="AK135" s="15" t="str">
        <f t="shared" si="21"/>
        <v>Electropolished stainless steel pipes supplied by Sakshi Forge to pharma &amp; API plants at Makarpura GIDC, Vadodara</v>
      </c>
      <c r="AL135" s="15" t="str">
        <f t="shared" si="22"/>
        <v>Electropolished SS 316L tube stock for Vadodara - Sakshi Forge</v>
      </c>
      <c r="AM135" s="15" t="str">
        <f t="shared" si="23"/>
        <v>Home &gt; Market Area &gt; India &gt; Gujarat &gt; Vadodara</v>
      </c>
      <c r="AN135" s="15">
        <f t="shared" si="24"/>
        <v>1400</v>
      </c>
      <c r="AO135" s="15">
        <f t="shared" si="25"/>
        <v>10</v>
      </c>
      <c r="AP135" s="15">
        <f t="shared" si="26"/>
        <v>12</v>
      </c>
      <c r="AQ135" s="15">
        <f t="shared" si="27"/>
        <v>3</v>
      </c>
      <c r="AR135" s="31"/>
      <c r="AS135" s="31"/>
      <c r="AT135" s="35" t="s">
        <v>222</v>
      </c>
      <c r="AU135" s="35"/>
    </row>
    <row r="136" ht="15.75" customHeight="1">
      <c r="A136" s="15" t="s">
        <v>5374</v>
      </c>
      <c r="B136" s="15" t="s">
        <v>60</v>
      </c>
      <c r="C136" s="15" t="s">
        <v>224</v>
      </c>
      <c r="D136" s="15" t="s">
        <v>5376</v>
      </c>
      <c r="E136" s="15" t="s">
        <v>5376</v>
      </c>
      <c r="F136" s="16" t="s">
        <v>87</v>
      </c>
      <c r="G136" s="17" t="s">
        <v>88</v>
      </c>
      <c r="H136" s="18" t="s">
        <v>5378</v>
      </c>
      <c r="I136" s="18" t="s">
        <v>5379</v>
      </c>
      <c r="J136" s="18" t="s">
        <v>5380</v>
      </c>
      <c r="K136" s="18" t="s">
        <v>838</v>
      </c>
      <c r="L136" s="18" t="s">
        <v>1111</v>
      </c>
      <c r="M136" s="18" t="s">
        <v>96</v>
      </c>
      <c r="N136" s="18" t="s">
        <v>232</v>
      </c>
      <c r="O136" s="18" t="s">
        <v>98</v>
      </c>
      <c r="P136" s="15" t="str">
        <f t="shared" si="1"/>
        <v>PHARMA</v>
      </c>
      <c r="Q136" s="15">
        <f t="shared" si="2"/>
        <v>5</v>
      </c>
      <c r="R136" s="15">
        <f t="shared" si="3"/>
        <v>7</v>
      </c>
      <c r="S136" s="15">
        <f t="shared" si="4"/>
        <v>3</v>
      </c>
      <c r="T136" s="15" t="str">
        <f t="shared" si="5"/>
        <v>A-1</v>
      </c>
      <c r="U136" s="15" t="str">
        <f t="shared" si="6"/>
        <v>T5-M7-H3-FA-1-PHARMA</v>
      </c>
      <c r="V136" s="15">
        <f t="shared" si="7"/>
        <v>0</v>
      </c>
      <c r="W136" s="31"/>
      <c r="X136" s="15" t="str">
        <f t="shared" si="8"/>
        <v>valsad</v>
      </c>
      <c r="Y136" s="32" t="str">
        <f t="shared" si="9"/>
        <v>https://steelmanufacturer.in/market-area/electropolished-pipes-manufacturer-in-valsad/</v>
      </c>
      <c r="Z136" s="15" t="str">
        <f t="shared" si="10"/>
        <v>Electropolished Pipes Manufacturer in Valsad</v>
      </c>
      <c r="AA136" s="15" t="str">
        <f t="shared" si="11"/>
        <v>OK (44)</v>
      </c>
      <c r="AB136" s="15" t="str">
        <f t="shared" si="12"/>
        <v>Electropolished pipes in Valsad: 304, 304L, 316 and 316L in SF1-SF4. 1-2 day road transit from our Mumbai works. Mill certified.</v>
      </c>
      <c r="AC136" s="15" t="str">
        <f t="shared" si="13"/>
        <v>OK (128)</v>
      </c>
      <c r="AD136" s="15" t="str">
        <f t="shared" si="14"/>
        <v>Electropolished Pipes Manufacturer in Valsad</v>
      </c>
      <c r="AE136" s="15" t="str">
        <f t="shared" si="15"/>
        <v>Electropolished Pipes Manufacturer in Valsad - Our Process &amp; Capability</v>
      </c>
      <c r="AF136" s="15" t="str">
        <f t="shared" si="16"/>
        <v>Electropolished Pipes Supplier in Valsad - What We Hold in Stock</v>
      </c>
      <c r="AG136" s="15" t="str">
        <f t="shared" si="17"/>
        <v>Bulk &amp; Wholesale Electropolished Pipe Rates for Valsad Buyers</v>
      </c>
      <c r="AH136" s="15" t="str">
        <f t="shared" si="18"/>
        <v>electropolished pipes manufacturer in Valsad, electropolished pipes supplier in Valsad, electropolished pipes wholesaler in Valsad, electropolished tube manufacturer Valsad, EP pipe supplier Valsad, sanitary tube supplier Valsad, ASME BPE tubing Valsad, ASTM A270 tube Valsad, SS 316L electropolished pipe Valsad</v>
      </c>
      <c r="AI136" s="15" t="str">
        <f t="shared" si="19"/>
        <v>Electropolished Pipes Manufacturer &amp; Supplier in Valsad</v>
      </c>
      <c r="AJ136" s="15" t="str">
        <f t="shared" si="20"/>
        <v>EP-finished SS 304/316L pipes and tubes for pharma &amp; chemical plants in Valsad. ASME BPE SF1-SF4, Ra from 0.25 um, EN 10204 3.1 certificate with every lot.</v>
      </c>
      <c r="AK136" s="15" t="str">
        <f t="shared" si="21"/>
        <v>Electropolished stainless steel pipes supplied by Sakshi Forge to pharma &amp; chemical plants at Umbergaon GIDC, Valsad</v>
      </c>
      <c r="AL136" s="15" t="str">
        <f t="shared" si="22"/>
        <v>Electropolished SS 316L tube stock for Valsad - Sakshi Forge</v>
      </c>
      <c r="AM136" s="15" t="str">
        <f t="shared" si="23"/>
        <v>Home &gt; Market Area &gt; India &gt; Gujarat &gt; Valsad</v>
      </c>
      <c r="AN136" s="15">
        <f t="shared" si="24"/>
        <v>1400</v>
      </c>
      <c r="AO136" s="15">
        <f t="shared" si="25"/>
        <v>10</v>
      </c>
      <c r="AP136" s="15">
        <f t="shared" si="26"/>
        <v>12</v>
      </c>
      <c r="AQ136" s="15">
        <f t="shared" si="27"/>
        <v>3</v>
      </c>
      <c r="AR136" s="31"/>
      <c r="AS136" s="31"/>
      <c r="AT136" s="35" t="s">
        <v>222</v>
      </c>
      <c r="AU136" s="35"/>
    </row>
    <row r="137" ht="15.75" customHeight="1">
      <c r="A137" s="15" t="s">
        <v>5413</v>
      </c>
      <c r="B137" s="15" t="s">
        <v>60</v>
      </c>
      <c r="C137" s="15" t="s">
        <v>224</v>
      </c>
      <c r="D137" s="15" t="s">
        <v>5414</v>
      </c>
      <c r="E137" s="15" t="s">
        <v>5414</v>
      </c>
      <c r="F137" s="16" t="s">
        <v>87</v>
      </c>
      <c r="G137" s="17" t="s">
        <v>88</v>
      </c>
      <c r="H137" s="18" t="s">
        <v>5416</v>
      </c>
      <c r="I137" s="18" t="s">
        <v>5418</v>
      </c>
      <c r="J137" s="18" t="s">
        <v>5419</v>
      </c>
      <c r="K137" s="18" t="s">
        <v>3605</v>
      </c>
      <c r="L137" s="18" t="s">
        <v>5422</v>
      </c>
      <c r="M137" s="18" t="s">
        <v>96</v>
      </c>
      <c r="N137" s="18" t="s">
        <v>232</v>
      </c>
      <c r="O137" s="18" t="s">
        <v>98</v>
      </c>
      <c r="P137" s="15" t="str">
        <f t="shared" si="1"/>
        <v>PHARMA</v>
      </c>
      <c r="Q137" s="15">
        <f t="shared" si="2"/>
        <v>6</v>
      </c>
      <c r="R137" s="15">
        <f t="shared" si="3"/>
        <v>1</v>
      </c>
      <c r="S137" s="15">
        <f t="shared" si="4"/>
        <v>4</v>
      </c>
      <c r="T137" s="15" t="str">
        <f t="shared" si="5"/>
        <v>A-2</v>
      </c>
      <c r="U137" s="15" t="str">
        <f t="shared" si="6"/>
        <v>T6-M1-H4-FA-2-PHARMA</v>
      </c>
      <c r="V137" s="15">
        <f t="shared" si="7"/>
        <v>0</v>
      </c>
      <c r="W137" s="31"/>
      <c r="X137" s="15" t="str">
        <f t="shared" si="8"/>
        <v>vapi</v>
      </c>
      <c r="Y137" s="32" t="str">
        <f t="shared" si="9"/>
        <v>https://steelmanufacturer.in/market-area/electropolished-pipes-manufacturer-in-vapi/</v>
      </c>
      <c r="Z137" s="15" t="str">
        <f t="shared" si="10"/>
        <v>Electropolished Pipes Manufacturer in Vapi</v>
      </c>
      <c r="AA137" s="15" t="str">
        <f t="shared" si="11"/>
        <v>OK (42)</v>
      </c>
      <c r="AB137" s="15" t="str">
        <f t="shared" si="12"/>
        <v>EP-finished SS 304/316L pipes &amp; tubes for pharma &amp; API &amp; pharma plants in Vapi. ASTM A270, ASME BPE SF1-SF4, EN 10204 3.1 MTC. PMI tested.</v>
      </c>
      <c r="AC137" s="15" t="str">
        <f t="shared" si="13"/>
        <v>OK (138)</v>
      </c>
      <c r="AD137" s="15" t="str">
        <f t="shared" si="14"/>
        <v>Electropolished Pipes Manufacturer in Vapi</v>
      </c>
      <c r="AE137" s="15" t="str">
        <f t="shared" si="15"/>
        <v>Manufacturing Electropolished SS Tube for Vapi: The Standards We Build To</v>
      </c>
      <c r="AF137" s="15" t="str">
        <f t="shared" si="16"/>
        <v>Electropolished Pipe Supply Into Vapi - Certification &amp; Transit</v>
      </c>
      <c r="AG137" s="15" t="str">
        <f t="shared" si="17"/>
        <v>Electropolished Pipes Wholesaler in Vapi - Project Quantities &amp; Terms</v>
      </c>
      <c r="AH137" s="15" t="str">
        <f t="shared" si="18"/>
        <v>electropolished pipes manufacturer in Vapi, electropolished pipes supplier in Vapi, electropolished pipes wholesaler in Vapi, electropolished tube manufacturer Vapi, EP pipe supplier Vapi, sanitary tube supplier Vapi, ASME BPE tubing Vapi, ASTM A270 tube Vapi, SS 316L electropolished pipe Vapi</v>
      </c>
      <c r="AI137" s="15" t="str">
        <f t="shared" si="19"/>
        <v>Electropolished Pipes Manufacturer &amp; Supplier in Vapi</v>
      </c>
      <c r="AJ137" s="15" t="str">
        <f t="shared" si="20"/>
        <v>EP-finished SS 304/316L pipes and tubes for pharma &amp; API &amp; pharma plants in Vapi. ASME BPE SF1-SF4, Ra from 0.25 um, EN 10204 3.1 certificate with every lot.</v>
      </c>
      <c r="AK137" s="15" t="str">
        <f t="shared" si="21"/>
        <v>Electropolished stainless steel pipes supplied by Sakshi Forge to pharma &amp; API &amp; pharma plants at Vapi GIDC, Vapi</v>
      </c>
      <c r="AL137" s="15" t="str">
        <f t="shared" si="22"/>
        <v>Electropolished SS 316L tube stock for Vapi - Sakshi Forge</v>
      </c>
      <c r="AM137" s="15" t="str">
        <f t="shared" si="23"/>
        <v>Home &gt; Market Area &gt; India &gt; Gujarat &gt; Vapi</v>
      </c>
      <c r="AN137" s="15">
        <f t="shared" si="24"/>
        <v>1400</v>
      </c>
      <c r="AO137" s="15">
        <f t="shared" si="25"/>
        <v>10</v>
      </c>
      <c r="AP137" s="15">
        <f t="shared" si="26"/>
        <v>12</v>
      </c>
      <c r="AQ137" s="15">
        <f t="shared" si="27"/>
        <v>3</v>
      </c>
      <c r="AR137" s="31"/>
      <c r="AS137" s="31"/>
      <c r="AT137" s="35" t="s">
        <v>222</v>
      </c>
      <c r="AU137" s="35"/>
    </row>
    <row r="138" ht="15.75" customHeight="1">
      <c r="A138" s="15" t="s">
        <v>5455</v>
      </c>
      <c r="B138" s="15" t="s">
        <v>60</v>
      </c>
      <c r="C138" s="15" t="s">
        <v>85</v>
      </c>
      <c r="D138" s="15" t="s">
        <v>5456</v>
      </c>
      <c r="E138" s="15" t="s">
        <v>5456</v>
      </c>
      <c r="F138" s="16" t="s">
        <v>87</v>
      </c>
      <c r="G138" s="17" t="s">
        <v>88</v>
      </c>
      <c r="H138" s="18" t="s">
        <v>5458</v>
      </c>
      <c r="I138" s="18" t="s">
        <v>5459</v>
      </c>
      <c r="J138" s="18" t="s">
        <v>5461</v>
      </c>
      <c r="K138" s="18" t="s">
        <v>94</v>
      </c>
      <c r="L138" s="18" t="s">
        <v>5462</v>
      </c>
      <c r="M138" s="18" t="s">
        <v>276</v>
      </c>
      <c r="N138" s="18" t="s">
        <v>97</v>
      </c>
      <c r="O138" s="18" t="s">
        <v>98</v>
      </c>
      <c r="P138" s="15" t="str">
        <f t="shared" si="1"/>
        <v>FOOD</v>
      </c>
      <c r="Q138" s="15">
        <f t="shared" si="2"/>
        <v>7</v>
      </c>
      <c r="R138" s="15">
        <f t="shared" si="3"/>
        <v>2</v>
      </c>
      <c r="S138" s="15">
        <f t="shared" si="4"/>
        <v>5</v>
      </c>
      <c r="T138" s="15" t="str">
        <f t="shared" si="5"/>
        <v>A-3</v>
      </c>
      <c r="U138" s="15" t="str">
        <f t="shared" si="6"/>
        <v>T7-M2-H5-FA-3-FOOD</v>
      </c>
      <c r="V138" s="15">
        <f t="shared" si="7"/>
        <v>0</v>
      </c>
      <c r="W138" s="31"/>
      <c r="X138" s="15" t="str">
        <f t="shared" si="8"/>
        <v>varanasi</v>
      </c>
      <c r="Y138" s="32" t="str">
        <f t="shared" si="9"/>
        <v>https://steelmanufacturer.in/market-area/electropolished-pipes-manufacturer-in-varanasi/</v>
      </c>
      <c r="Z138" s="15" t="str">
        <f t="shared" si="10"/>
        <v>Electropolished Pipes Manufacturer in Varanasi | ASME BPE SF1-SF4</v>
      </c>
      <c r="AA138" s="15" t="str">
        <f t="shared" si="11"/>
        <v>OK (65)</v>
      </c>
      <c r="AB138" s="15" t="str">
        <f t="shared" si="12"/>
        <v>Electropolished tube supply to Chandpur Industrial Estate, Varanasi. Ra from 0.25 um, SF4 finish, mill test certificate with every lot.</v>
      </c>
      <c r="AC138" s="15" t="str">
        <f t="shared" si="13"/>
        <v>OK (135)</v>
      </c>
      <c r="AD138" s="15" t="str">
        <f t="shared" si="14"/>
        <v>Electropolished Pipes Manufacturer in Varanasi</v>
      </c>
      <c r="AE138" s="15" t="str">
        <f t="shared" si="15"/>
        <v>Electropolished Tube Manufacturing Capability Serving Varanasi</v>
      </c>
      <c r="AF138" s="15" t="str">
        <f t="shared" si="16"/>
        <v>Electropolished Pipes Supplier in Varanasi - From Order to Delivery</v>
      </c>
      <c r="AG138" s="15" t="str">
        <f t="shared" si="17"/>
        <v>Stockist &amp; Wholesale Supply of Electropolished Pipes in Varanasi</v>
      </c>
      <c r="AH138" s="15" t="str">
        <f t="shared" si="18"/>
        <v>electropolished pipes manufacturer in Varanasi, electropolished pipes supplier in Varanasi, electropolished pipes wholesaler in Varanasi, electropolished tube manufacturer Varanasi, EP pipe supplier Varanasi, sanitary tube supplier Varanasi, ASME BPE tubing Varanasi, ASTM A270 tube Varanasi, SS 316L electropolished pipe Varanasi</v>
      </c>
      <c r="AI138" s="15" t="str">
        <f t="shared" si="19"/>
        <v>Electropolished Pipes Manufacturer &amp; Supplier in Varanasi</v>
      </c>
      <c r="AJ138" s="15" t="str">
        <f t="shared" si="20"/>
        <v>EP-finished SS 304/316L pipes and tubes for food processing plants in Varanasi. ASME BPE SF1-SF4, Ra from 0.25 um, EN 10204 3.1 certificate with every lot.</v>
      </c>
      <c r="AK138" s="15" t="str">
        <f t="shared" si="21"/>
        <v>Electropolished stainless steel pipes supplied by Sakshi Forge to food processing plants at Chandpur Industrial Estate, Varanasi</v>
      </c>
      <c r="AL138" s="15" t="str">
        <f t="shared" si="22"/>
        <v>Electropolished SS 316L tube stock for Varanasi - Sakshi Forge</v>
      </c>
      <c r="AM138" s="15" t="str">
        <f t="shared" si="23"/>
        <v>Home &gt; Market Area &gt; India &gt; Uttar Pradesh &gt; Varanasi</v>
      </c>
      <c r="AN138" s="15">
        <f t="shared" si="24"/>
        <v>1400</v>
      </c>
      <c r="AO138" s="15">
        <f t="shared" si="25"/>
        <v>10</v>
      </c>
      <c r="AP138" s="15">
        <f t="shared" si="26"/>
        <v>12</v>
      </c>
      <c r="AQ138" s="15">
        <f t="shared" si="27"/>
        <v>3</v>
      </c>
      <c r="AR138" s="31"/>
      <c r="AS138" s="31"/>
      <c r="AT138" s="35" t="s">
        <v>222</v>
      </c>
      <c r="AU138" s="35"/>
    </row>
    <row r="139" ht="15.75" customHeight="1">
      <c r="A139" s="15" t="s">
        <v>5495</v>
      </c>
      <c r="B139" s="15" t="s">
        <v>60</v>
      </c>
      <c r="C139" s="15" t="s">
        <v>2391</v>
      </c>
      <c r="D139" s="15" t="s">
        <v>5497</v>
      </c>
      <c r="E139" s="15" t="s">
        <v>5497</v>
      </c>
      <c r="F139" s="16" t="s">
        <v>87</v>
      </c>
      <c r="G139" s="17" t="s">
        <v>88</v>
      </c>
      <c r="H139" s="18" t="s">
        <v>5499</v>
      </c>
      <c r="I139" s="18" t="s">
        <v>5499</v>
      </c>
      <c r="J139" s="18" t="s">
        <v>5500</v>
      </c>
      <c r="K139" s="18" t="s">
        <v>969</v>
      </c>
      <c r="L139" s="18" t="s">
        <v>5502</v>
      </c>
      <c r="M139" s="18" t="s">
        <v>276</v>
      </c>
      <c r="N139" s="18" t="s">
        <v>232</v>
      </c>
      <c r="O139" s="18" t="s">
        <v>98</v>
      </c>
      <c r="P139" s="15" t="str">
        <f t="shared" si="1"/>
        <v>SEMI</v>
      </c>
      <c r="Q139" s="15">
        <f t="shared" si="2"/>
        <v>8</v>
      </c>
      <c r="R139" s="15">
        <f t="shared" si="3"/>
        <v>3</v>
      </c>
      <c r="S139" s="15">
        <f t="shared" si="4"/>
        <v>1</v>
      </c>
      <c r="T139" s="15" t="str">
        <f t="shared" si="5"/>
        <v>A-4</v>
      </c>
      <c r="U139" s="15" t="str">
        <f t="shared" si="6"/>
        <v>T8-M3-H1-FA-4-SEMI</v>
      </c>
      <c r="V139" s="15">
        <f t="shared" si="7"/>
        <v>0</v>
      </c>
      <c r="W139" s="31"/>
      <c r="X139" s="15" t="str">
        <f t="shared" si="8"/>
        <v>verna</v>
      </c>
      <c r="Y139" s="32" t="str">
        <f t="shared" si="9"/>
        <v>https://steelmanufacturer.in/market-area/electropolished-pipes-manufacturer-in-verna/</v>
      </c>
      <c r="Z139" s="15" t="str">
        <f t="shared" si="10"/>
        <v>Electropolished Pipes Manufacturer in Verna - EP Tube Stockist</v>
      </c>
      <c r="AA139" s="15" t="str">
        <f t="shared" si="11"/>
        <v>OK (62)</v>
      </c>
      <c r="AB139" s="15" t="str">
        <f t="shared" si="12"/>
        <v>EP stainless tube for electronics &amp; pharma lines in Verna. same-day to next-day road from our Mumbai works. ASTM A270 S2, PMI tested, EN 10204 3.1.</v>
      </c>
      <c r="AC139" s="15" t="str">
        <f t="shared" si="13"/>
        <v>OK (147)</v>
      </c>
      <c r="AD139" s="15" t="str">
        <f t="shared" si="14"/>
        <v>Electropolished Pipes Manufacturer in Verna</v>
      </c>
      <c r="AE139" s="15" t="str">
        <f t="shared" si="15"/>
        <v>Electropolished Pipe &amp; Tube Manufacturing for Verna - Grades, Finishes &amp; Certification</v>
      </c>
      <c r="AF139" s="15" t="str">
        <f t="shared" si="16"/>
        <v>Electropolished Pipes Supplier in Verna - Stock Sizes, Lead Time &amp; Delivery</v>
      </c>
      <c r="AG139" s="15" t="str">
        <f t="shared" si="17"/>
        <v>Electropolished Pipes Wholesaler &amp; Stockist in Verna - Bulk &amp; Project Pricing</v>
      </c>
      <c r="AH139" s="15" t="str">
        <f t="shared" si="18"/>
        <v>electropolished pipes manufacturer in Verna, electropolished pipes supplier in Verna, electropolished pipes wholesaler in Verna, electropolished tube manufacturer Verna, EP pipe supplier Verna, sanitary tube supplier Verna, ASME BPE tubing Verna, ASTM A270 tube Verna, SS 316L electropolished pipe Verna</v>
      </c>
      <c r="AI139" s="15" t="str">
        <f t="shared" si="19"/>
        <v>Electropolished Pipes Manufacturer &amp; Supplier in Verna</v>
      </c>
      <c r="AJ139" s="15" t="str">
        <f t="shared" si="20"/>
        <v>EP-finished SS 304/316L pipes and tubes for electronics &amp; pharma plants in Verna. ASME BPE SF1-SF4, Ra from 0.25 um, EN 10204 3.1 certificate with every lot.</v>
      </c>
      <c r="AK139" s="15" t="str">
        <f t="shared" si="21"/>
        <v>Electropolished stainless steel pipes supplied by Sakshi Forge to electronics &amp; pharma plants at Verna Industrial Estate GIDC, Verna</v>
      </c>
      <c r="AL139" s="15" t="str">
        <f t="shared" si="22"/>
        <v>Electropolished SS 316L tube stock for Verna - Sakshi Forge</v>
      </c>
      <c r="AM139" s="15" t="str">
        <f t="shared" si="23"/>
        <v>Home &gt; Market Area &gt; India &gt; Goa &gt; Verna</v>
      </c>
      <c r="AN139" s="15">
        <f t="shared" si="24"/>
        <v>1400</v>
      </c>
      <c r="AO139" s="15">
        <f t="shared" si="25"/>
        <v>10</v>
      </c>
      <c r="AP139" s="15">
        <f t="shared" si="26"/>
        <v>12</v>
      </c>
      <c r="AQ139" s="15">
        <f t="shared" si="27"/>
        <v>3</v>
      </c>
      <c r="AR139" s="31"/>
      <c r="AS139" s="31"/>
      <c r="AT139" s="35" t="s">
        <v>222</v>
      </c>
      <c r="AU139" s="35"/>
    </row>
    <row r="140" ht="15.75" customHeight="1">
      <c r="A140" s="15" t="s">
        <v>5534</v>
      </c>
      <c r="B140" s="15" t="s">
        <v>60</v>
      </c>
      <c r="C140" s="15" t="s">
        <v>413</v>
      </c>
      <c r="D140" s="15" t="s">
        <v>5535</v>
      </c>
      <c r="E140" s="15" t="s">
        <v>5535</v>
      </c>
      <c r="F140" s="16" t="s">
        <v>87</v>
      </c>
      <c r="G140" s="17" t="s">
        <v>88</v>
      </c>
      <c r="H140" s="18" t="s">
        <v>5537</v>
      </c>
      <c r="I140" s="18" t="s">
        <v>5538</v>
      </c>
      <c r="J140" s="18" t="s">
        <v>3263</v>
      </c>
      <c r="K140" s="18" t="s">
        <v>229</v>
      </c>
      <c r="L140" s="18" t="s">
        <v>5540</v>
      </c>
      <c r="M140" s="18" t="s">
        <v>96</v>
      </c>
      <c r="N140" s="18" t="s">
        <v>232</v>
      </c>
      <c r="O140" s="18" t="s">
        <v>98</v>
      </c>
      <c r="P140" s="15" t="str">
        <f t="shared" si="1"/>
        <v>PHARMA</v>
      </c>
      <c r="Q140" s="15">
        <f t="shared" si="2"/>
        <v>1</v>
      </c>
      <c r="R140" s="15">
        <f t="shared" si="3"/>
        <v>4</v>
      </c>
      <c r="S140" s="15">
        <f t="shared" si="4"/>
        <v>2</v>
      </c>
      <c r="T140" s="15" t="str">
        <f t="shared" si="5"/>
        <v>A-5</v>
      </c>
      <c r="U140" s="15" t="str">
        <f t="shared" si="6"/>
        <v>T1-M4-H2-FA-5-PHARMA</v>
      </c>
      <c r="V140" s="15">
        <f t="shared" si="7"/>
        <v>0</v>
      </c>
      <c r="W140" s="31"/>
      <c r="X140" s="15" t="str">
        <f t="shared" si="8"/>
        <v>vijayawada</v>
      </c>
      <c r="Y140" s="32" t="str">
        <f t="shared" si="9"/>
        <v>https://steelmanufacturer.in/market-area/electropolished-pipes-manufacturer-in-vijayawada/</v>
      </c>
      <c r="Z140" s="15" t="str">
        <f t="shared" si="10"/>
        <v>Electropolished Pipes Manufacturer in Vijayawada | Sakshi Forge</v>
      </c>
      <c r="AA140" s="15" t="str">
        <f t="shared" si="11"/>
        <v>OK (63)</v>
      </c>
      <c r="AB140" s="15" t="str">
        <f t="shared" si="12"/>
        <v>Sanitary electropolished pipes in Vijayawada for pharma plants. ASME BPE SF1-SF4, orbital-weld ready, 3.1 MTC. Mumbai-made.</v>
      </c>
      <c r="AC140" s="15" t="str">
        <f t="shared" si="13"/>
        <v>OK (123)</v>
      </c>
      <c r="AD140" s="15" t="str">
        <f t="shared" si="14"/>
        <v>Electropolished Pipes Manufacturer in Vijayawada</v>
      </c>
      <c r="AE140" s="15" t="str">
        <f t="shared" si="15"/>
        <v>How We Manufacture Electropolished Tube for Vijayawada Plants</v>
      </c>
      <c r="AF140" s="15" t="str">
        <f t="shared" si="16"/>
        <v>Supplying Electropolished Pipes in Vijayawada: Availability, Sizes &amp; Dispatch</v>
      </c>
      <c r="AG140" s="15" t="str">
        <f t="shared" si="17"/>
        <v>Wholesale Electropolished Pipe Supply for Vijayawada Projects</v>
      </c>
      <c r="AH140" s="15" t="str">
        <f t="shared" si="18"/>
        <v>electropolished pipes manufacturer in Vijayawada, electropolished pipes supplier in Vijayawada, electropolished pipes wholesaler in Vijayawada, electropolished tube manufacturer Vijayawada, EP pipe supplier Vijayawada, sanitary tube supplier Vijayawada, ASME BPE tubing Vijayawada, ASTM A270 tube Vijayawada, SS 316L electropolished pipe Vijayawada</v>
      </c>
      <c r="AI140" s="15" t="str">
        <f t="shared" si="19"/>
        <v>Electropolished Pipes Manufacturer &amp; Supplier in Vijayawada</v>
      </c>
      <c r="AJ140" s="15" t="str">
        <f t="shared" si="20"/>
        <v>EP-finished SS 304/316L pipes and tubes for pharma plants in Vijayawada. ASME BPE SF1-SF4, Ra from 0.25 um, EN 10204 3.1 certificate with every lot.</v>
      </c>
      <c r="AK140" s="15" t="str">
        <f t="shared" si="21"/>
        <v>Electropolished stainless steel pipes supplied by Sakshi Forge to pharma plants at Autonagar Vijayawada, Vijayawada</v>
      </c>
      <c r="AL140" s="15" t="str">
        <f t="shared" si="22"/>
        <v>Electropolished SS 316L tube stock for Vijayawada - Sakshi Forge</v>
      </c>
      <c r="AM140" s="15" t="str">
        <f t="shared" si="23"/>
        <v>Home &gt; Market Area &gt; India &gt; Andhra Pradesh &gt; Vijayawada</v>
      </c>
      <c r="AN140" s="15">
        <f t="shared" si="24"/>
        <v>1400</v>
      </c>
      <c r="AO140" s="15">
        <f t="shared" si="25"/>
        <v>10</v>
      </c>
      <c r="AP140" s="15">
        <f t="shared" si="26"/>
        <v>12</v>
      </c>
      <c r="AQ140" s="15">
        <f t="shared" si="27"/>
        <v>3</v>
      </c>
      <c r="AR140" s="31"/>
      <c r="AS140" s="31"/>
      <c r="AT140" s="35" t="s">
        <v>222</v>
      </c>
      <c r="AU140" s="35"/>
    </row>
    <row r="141" ht="15.75" customHeight="1">
      <c r="A141" s="15" t="s">
        <v>5590</v>
      </c>
      <c r="B141" s="15" t="s">
        <v>60</v>
      </c>
      <c r="C141" s="15" t="s">
        <v>413</v>
      </c>
      <c r="D141" s="15" t="s">
        <v>5592</v>
      </c>
      <c r="E141" s="15" t="s">
        <v>5592</v>
      </c>
      <c r="F141" s="16" t="s">
        <v>87</v>
      </c>
      <c r="G141" s="17" t="s">
        <v>88</v>
      </c>
      <c r="H141" s="18" t="s">
        <v>5595</v>
      </c>
      <c r="I141" s="18" t="s">
        <v>5596</v>
      </c>
      <c r="J141" s="18" t="s">
        <v>5598</v>
      </c>
      <c r="K141" s="18" t="s">
        <v>436</v>
      </c>
      <c r="L141" s="18" t="s">
        <v>5600</v>
      </c>
      <c r="M141" s="18" t="s">
        <v>276</v>
      </c>
      <c r="N141" s="18" t="s">
        <v>232</v>
      </c>
      <c r="O141" s="18" t="s">
        <v>98</v>
      </c>
      <c r="P141" s="15" t="str">
        <f t="shared" si="1"/>
        <v>PHARMA</v>
      </c>
      <c r="Q141" s="15">
        <f t="shared" si="2"/>
        <v>2</v>
      </c>
      <c r="R141" s="15">
        <f t="shared" si="3"/>
        <v>5</v>
      </c>
      <c r="S141" s="15">
        <f t="shared" si="4"/>
        <v>3</v>
      </c>
      <c r="T141" s="15" t="str">
        <f t="shared" si="5"/>
        <v>A-6</v>
      </c>
      <c r="U141" s="15" t="str">
        <f t="shared" si="6"/>
        <v>T2-M5-H3-FA-6-PHARMA</v>
      </c>
      <c r="V141" s="15">
        <f t="shared" si="7"/>
        <v>0</v>
      </c>
      <c r="W141" s="31"/>
      <c r="X141" s="15" t="str">
        <f t="shared" si="8"/>
        <v>visakhapatnam</v>
      </c>
      <c r="Y141" s="32" t="str">
        <f t="shared" si="9"/>
        <v>https://steelmanufacturer.in/market-area/electropolished-pipes-manufacturer-in-visakhapatnam/</v>
      </c>
      <c r="Z141" s="15" t="str">
        <f t="shared" si="10"/>
        <v>Electropolished Pipes Manufacturer in Visakhapatnam</v>
      </c>
      <c r="AA141" s="15" t="str">
        <f t="shared" si="11"/>
        <v>OK (51)</v>
      </c>
      <c r="AB141" s="15" t="str">
        <f t="shared" si="12"/>
        <v>Manufacturer of electropolished SS 316L tube serving Visakhapatnam. same-day to next-day road from our Mumbai works. Ra 0.25-0.5 um, EN 10204 3.1 MTC.</v>
      </c>
      <c r="AC141" s="15" t="str">
        <f t="shared" si="13"/>
        <v>OK (150)</v>
      </c>
      <c r="AD141" s="15" t="str">
        <f t="shared" si="14"/>
        <v>Electropolished Pipes Manufacturer in Visakhapatnam</v>
      </c>
      <c r="AE141" s="15" t="str">
        <f t="shared" si="15"/>
        <v>Electropolished Pipes Manufacturer in Visakhapatnam - Our Process &amp; Capability</v>
      </c>
      <c r="AF141" s="15" t="str">
        <f t="shared" si="16"/>
        <v>Electropolished Pipes Supplier in Visakhapatnam - What We Hold in Stock</v>
      </c>
      <c r="AG141" s="15" t="str">
        <f t="shared" si="17"/>
        <v>Bulk &amp; Wholesale Electropolished Pipe Rates for Visakhapatnam Buyers</v>
      </c>
      <c r="AH141" s="15" t="str">
        <f t="shared" si="18"/>
        <v>electropolished pipes manufacturer in Visakhapatnam, electropolished pipes supplier in Visakhapatnam, electropolished pipes wholesaler in Visakhapatnam, electropolished tube manufacturer Visakhapatnam, EP pipe supplier Visakhapatnam, sanitary tube supplier Visakhapatnam, ASME BPE tubing Visakhapatnam, ASTM A270 tube Visakhapatnam, SS 316L electropolished pipe Visakhapatnam</v>
      </c>
      <c r="AI141" s="15" t="str">
        <f t="shared" si="19"/>
        <v>Electropolished Pipes Manufacturer &amp; Supplier in Visakhapatnam</v>
      </c>
      <c r="AJ141" s="15" t="str">
        <f t="shared" si="20"/>
        <v>EP-finished SS 304/316L pipes and tubes for pharma &amp; API plants in Visakhapatnam. ASME BPE SF1-SF4, Ra from 0.25 um, EN 10204 3.1 certificate with every lot.</v>
      </c>
      <c r="AK141" s="15" t="str">
        <f t="shared" si="21"/>
        <v>Electropolished stainless steel pipes supplied by Sakshi Forge to pharma &amp; API plants at Visakhapatnam SEZ, Visakhapatnam</v>
      </c>
      <c r="AL141" s="15" t="str">
        <f t="shared" si="22"/>
        <v>Electropolished SS 316L tube stock for Visakhapatnam - Sakshi Forge</v>
      </c>
      <c r="AM141" s="15" t="str">
        <f t="shared" si="23"/>
        <v>Home &gt; Market Area &gt; India &gt; Andhra Pradesh &gt; Visakhapatnam</v>
      </c>
      <c r="AN141" s="15">
        <f t="shared" si="24"/>
        <v>1400</v>
      </c>
      <c r="AO141" s="15">
        <f t="shared" si="25"/>
        <v>10</v>
      </c>
      <c r="AP141" s="15">
        <f t="shared" si="26"/>
        <v>12</v>
      </c>
      <c r="AQ141" s="15">
        <f t="shared" si="27"/>
        <v>3</v>
      </c>
      <c r="AR141" s="31"/>
      <c r="AS141" s="31"/>
      <c r="AT141" s="35" t="s">
        <v>222</v>
      </c>
      <c r="AU141" s="35"/>
    </row>
    <row r="142" ht="15.75" customHeight="1">
      <c r="A142" s="15" t="s">
        <v>5635</v>
      </c>
      <c r="B142" s="15" t="s">
        <v>60</v>
      </c>
      <c r="C142" s="15" t="s">
        <v>1312</v>
      </c>
      <c r="D142" s="15" t="s">
        <v>5637</v>
      </c>
      <c r="E142" s="15" t="s">
        <v>5637</v>
      </c>
      <c r="F142" s="16" t="s">
        <v>87</v>
      </c>
      <c r="G142" s="17" t="s">
        <v>88</v>
      </c>
      <c r="H142" s="18" t="s">
        <v>5639</v>
      </c>
      <c r="I142" s="18" t="s">
        <v>5640</v>
      </c>
      <c r="J142" s="18" t="s">
        <v>5642</v>
      </c>
      <c r="K142" s="18" t="s">
        <v>94</v>
      </c>
      <c r="L142" s="18" t="s">
        <v>1322</v>
      </c>
      <c r="M142" s="18" t="s">
        <v>231</v>
      </c>
      <c r="N142" s="18" t="s">
        <v>97</v>
      </c>
      <c r="O142" s="18" t="s">
        <v>98</v>
      </c>
      <c r="P142" s="15" t="str">
        <f t="shared" si="1"/>
        <v>FOOD</v>
      </c>
      <c r="Q142" s="15">
        <f t="shared" si="2"/>
        <v>3</v>
      </c>
      <c r="R142" s="15">
        <f t="shared" si="3"/>
        <v>6</v>
      </c>
      <c r="S142" s="15">
        <f t="shared" si="4"/>
        <v>4</v>
      </c>
      <c r="T142" s="15" t="str">
        <f t="shared" si="5"/>
        <v>A-1</v>
      </c>
      <c r="U142" s="15" t="str">
        <f t="shared" si="6"/>
        <v>T3-M6-H4-FA-1-FOOD</v>
      </c>
      <c r="V142" s="15">
        <f t="shared" si="7"/>
        <v>0</v>
      </c>
      <c r="W142" s="31"/>
      <c r="X142" s="15" t="str">
        <f t="shared" si="8"/>
        <v>warangal</v>
      </c>
      <c r="Y142" s="32" t="str">
        <f t="shared" si="9"/>
        <v>https://steelmanufacturer.in/market-area/electropolished-pipes-manufacturer-in-warangal/</v>
      </c>
      <c r="Z142" s="15" t="str">
        <f t="shared" si="10"/>
        <v>Electropolished Pipes Manufacturer in Warangal | EP Tube Supplier</v>
      </c>
      <c r="AA142" s="15" t="str">
        <f t="shared" si="11"/>
        <v>OK (65)</v>
      </c>
      <c r="AB142" s="15" t="str">
        <f t="shared" si="12"/>
        <v>EP tube and pipe for food processing plants around Kakatiya Mega Textile Park, Warangal. ASTM A270, ASME BPE SF1-SF4, EN 10204 3.1 MTC.</v>
      </c>
      <c r="AC142" s="15" t="str">
        <f t="shared" si="13"/>
        <v>OK (135)</v>
      </c>
      <c r="AD142" s="15" t="str">
        <f t="shared" si="14"/>
        <v>Electropolished Pipes Manufacturer in Warangal</v>
      </c>
      <c r="AE142" s="15" t="str">
        <f t="shared" si="15"/>
        <v>Manufacturing Electropolished SS Tube for Warangal: The Standards We Build To</v>
      </c>
      <c r="AF142" s="15" t="str">
        <f t="shared" si="16"/>
        <v>Electropolished Pipe Supply Into Warangal - Certification &amp; Transit</v>
      </c>
      <c r="AG142" s="15" t="str">
        <f t="shared" si="17"/>
        <v>Electropolished Pipes Wholesaler in Warangal - Project Quantities &amp; Terms</v>
      </c>
      <c r="AH142" s="15" t="str">
        <f t="shared" si="18"/>
        <v>electropolished pipes manufacturer in Warangal, electropolished pipes supplier in Warangal, electropolished pipes wholesaler in Warangal, electropolished tube manufacturer Warangal, EP pipe supplier Warangal, sanitary tube supplier Warangal, ASME BPE tubing Warangal, ASTM A270 tube Warangal, SS 316L electropolished pipe Warangal</v>
      </c>
      <c r="AI142" s="15" t="str">
        <f t="shared" si="19"/>
        <v>Electropolished Pipes Manufacturer &amp; Supplier in Warangal</v>
      </c>
      <c r="AJ142" s="15" t="str">
        <f t="shared" si="20"/>
        <v>EP-finished SS 304/316L pipes and tubes for food processing plants in Warangal. ASME BPE SF1-SF4, Ra from 0.25 um, EN 10204 3.1 certificate with every lot.</v>
      </c>
      <c r="AK142" s="15" t="str">
        <f t="shared" si="21"/>
        <v>Electropolished stainless steel pipes supplied by Sakshi Forge to food processing plants at Kakatiya Mega Textile Park, Warangal</v>
      </c>
      <c r="AL142" s="15" t="str">
        <f t="shared" si="22"/>
        <v>Electropolished SS 316L tube stock for Warangal - Sakshi Forge</v>
      </c>
      <c r="AM142" s="15" t="str">
        <f t="shared" si="23"/>
        <v>Home &gt; Market Area &gt; India &gt; Telangana &gt; Warangal</v>
      </c>
      <c r="AN142" s="15">
        <f t="shared" si="24"/>
        <v>1400</v>
      </c>
      <c r="AO142" s="15">
        <f t="shared" si="25"/>
        <v>10</v>
      </c>
      <c r="AP142" s="15">
        <f t="shared" si="26"/>
        <v>12</v>
      </c>
      <c r="AQ142" s="15">
        <f t="shared" si="27"/>
        <v>3</v>
      </c>
      <c r="AR142" s="31"/>
      <c r="AS142" s="31"/>
      <c r="AT142" s="35" t="s">
        <v>222</v>
      </c>
      <c r="AU142" s="35"/>
    </row>
    <row r="143" ht="15.75" customHeight="1">
      <c r="A143" s="15" t="s">
        <v>5684</v>
      </c>
      <c r="B143" s="15" t="s">
        <v>403</v>
      </c>
      <c r="C143" s="15" t="s">
        <v>5686</v>
      </c>
      <c r="D143" s="15" t="s">
        <v>5688</v>
      </c>
      <c r="E143" s="15" t="s">
        <v>5688</v>
      </c>
      <c r="F143" s="16" t="s">
        <v>87</v>
      </c>
      <c r="G143" s="17" t="s">
        <v>88</v>
      </c>
      <c r="H143" s="18" t="s">
        <v>5690</v>
      </c>
      <c r="I143" s="18" t="s">
        <v>5692</v>
      </c>
      <c r="J143" s="18" t="s">
        <v>5693</v>
      </c>
      <c r="K143" s="18" t="s">
        <v>229</v>
      </c>
      <c r="L143" s="18" t="s">
        <v>5696</v>
      </c>
      <c r="M143" s="18" t="s">
        <v>604</v>
      </c>
      <c r="N143" s="18" t="s">
        <v>421</v>
      </c>
      <c r="O143" s="18" t="s">
        <v>98</v>
      </c>
      <c r="P143" s="15" t="str">
        <f t="shared" si="1"/>
        <v>PHARMA</v>
      </c>
      <c r="Q143" s="15">
        <f t="shared" si="2"/>
        <v>4</v>
      </c>
      <c r="R143" s="15">
        <f t="shared" si="3"/>
        <v>7</v>
      </c>
      <c r="S143" s="15">
        <f t="shared" si="4"/>
        <v>5</v>
      </c>
      <c r="T143" s="15" t="str">
        <f t="shared" si="5"/>
        <v>A-2</v>
      </c>
      <c r="U143" s="15" t="str">
        <f t="shared" si="6"/>
        <v>T4-M7-H5-FA-2-PHARMA</v>
      </c>
      <c r="V143" s="15">
        <f t="shared" si="7"/>
        <v>0</v>
      </c>
      <c r="W143" s="31"/>
      <c r="X143" s="15" t="str">
        <f t="shared" si="8"/>
        <v>adelaide-australia</v>
      </c>
      <c r="Y143" s="32" t="str">
        <f t="shared" si="9"/>
        <v>https://steelmanufacturer.in/market-area/electropolished-pipes-manufacturer-in-adelaide-australia/</v>
      </c>
      <c r="Z143" s="15" t="str">
        <f t="shared" si="10"/>
        <v>Electropolished Pipes Manufacturer in Adelaide</v>
      </c>
      <c r="AA143" s="15" t="str">
        <f t="shared" si="11"/>
        <v>OK (46)</v>
      </c>
      <c r="AB143" s="15" t="str">
        <f t="shared" si="12"/>
        <v>Electropolished pipes in Adelaide: 304, 304L, 316 and 316L in SF1-SF4. 18-24 days sea from Nhava Sheva to Melbourne. Mill certified.</v>
      </c>
      <c r="AC143" s="15" t="str">
        <f t="shared" si="13"/>
        <v>OK (132)</v>
      </c>
      <c r="AD143" s="15" t="str">
        <f t="shared" si="14"/>
        <v>Electropolished Pipes Manufacturer in Adelaide</v>
      </c>
      <c r="AE143" s="15" t="str">
        <f t="shared" si="15"/>
        <v>Electropolished Tube Manufacturing Capability Serving Adelaide</v>
      </c>
      <c r="AF143" s="15" t="str">
        <f t="shared" si="16"/>
        <v>Electropolished Pipes Supplier in Adelaide - From Order to Delivery</v>
      </c>
      <c r="AG143" s="15" t="str">
        <f t="shared" si="17"/>
        <v>Stockist &amp; Wholesale Supply of Electropolished Pipes in Adelaide</v>
      </c>
      <c r="AH143" s="15" t="str">
        <f t="shared" si="18"/>
        <v>electropolished pipes manufacturer in Adelaide, electropolished pipes supplier in Adelaide, electropolished pipes wholesaler in Adelaide, electropolished tube manufacturer Adelaide, EP pipe supplier Adelaide, sanitary tube supplier Adelaide, ASME BPE tubing Adelaide, ASTM A270 tube Adelaide, SS 316L electropolished pipe Adelaide</v>
      </c>
      <c r="AI143" s="15" t="str">
        <f t="shared" si="19"/>
        <v>Electropolished Pipes Manufacturer &amp; Supplier in Adelaide</v>
      </c>
      <c r="AJ143" s="15" t="str">
        <f t="shared" si="20"/>
        <v>EP-finished SS 304/316L pipes and tubes for pharma plants in Adelaide. ASME BPE SF1-SF4, Ra from 0.25 um, EN 10204 3.1 certificate with every lot.</v>
      </c>
      <c r="AK143" s="15" t="str">
        <f t="shared" si="21"/>
        <v>Electropolished stainless steel pipes supplied by Sakshi Forge to pharma plants at Wingfield Industrial, Adelaide</v>
      </c>
      <c r="AL143" s="15" t="str">
        <f t="shared" si="22"/>
        <v>Electropolished SS 316L tube stock for Adelaide - Sakshi Forge</v>
      </c>
      <c r="AM143" s="15" t="str">
        <f t="shared" si="23"/>
        <v>Home &gt; Market Area &gt; Australia &gt; South Australia &gt; Adelaide</v>
      </c>
      <c r="AN143" s="15">
        <f t="shared" si="24"/>
        <v>1400</v>
      </c>
      <c r="AO143" s="15">
        <f t="shared" si="25"/>
        <v>10</v>
      </c>
      <c r="AP143" s="15">
        <f t="shared" si="26"/>
        <v>12</v>
      </c>
      <c r="AQ143" s="15">
        <f t="shared" si="27"/>
        <v>3</v>
      </c>
      <c r="AR143" s="31"/>
      <c r="AS143" s="31"/>
      <c r="AT143" s="35" t="s">
        <v>222</v>
      </c>
      <c r="AU143" s="35"/>
    </row>
    <row r="144" ht="15.75" customHeight="1">
      <c r="A144" s="15" t="s">
        <v>5741</v>
      </c>
      <c r="B144" s="15" t="s">
        <v>403</v>
      </c>
      <c r="C144" s="15" t="s">
        <v>5742</v>
      </c>
      <c r="D144" s="15" t="s">
        <v>5744</v>
      </c>
      <c r="E144" s="15" t="s">
        <v>5744</v>
      </c>
      <c r="F144" s="16" t="s">
        <v>87</v>
      </c>
      <c r="G144" s="17" t="s">
        <v>88</v>
      </c>
      <c r="H144" s="18" t="s">
        <v>5746</v>
      </c>
      <c r="I144" s="18" t="s">
        <v>5747</v>
      </c>
      <c r="J144" s="18" t="s">
        <v>5749</v>
      </c>
      <c r="K144" s="18" t="s">
        <v>229</v>
      </c>
      <c r="L144" s="18" t="s">
        <v>5751</v>
      </c>
      <c r="M144" s="18" t="s">
        <v>604</v>
      </c>
      <c r="N144" s="18" t="s">
        <v>421</v>
      </c>
      <c r="O144" s="18" t="s">
        <v>98</v>
      </c>
      <c r="P144" s="15" t="str">
        <f t="shared" si="1"/>
        <v>PHARMA</v>
      </c>
      <c r="Q144" s="15">
        <f t="shared" si="2"/>
        <v>5</v>
      </c>
      <c r="R144" s="15">
        <f t="shared" si="3"/>
        <v>1</v>
      </c>
      <c r="S144" s="15">
        <f t="shared" si="4"/>
        <v>1</v>
      </c>
      <c r="T144" s="15" t="str">
        <f t="shared" si="5"/>
        <v>A-3</v>
      </c>
      <c r="U144" s="15" t="str">
        <f t="shared" si="6"/>
        <v>T5-M1-H1-FA-3-PHARMA</v>
      </c>
      <c r="V144" s="15">
        <f t="shared" si="7"/>
        <v>0</v>
      </c>
      <c r="W144" s="31"/>
      <c r="X144" s="15" t="str">
        <f t="shared" si="8"/>
        <v>brisbane-australia</v>
      </c>
      <c r="Y144" s="32" t="str">
        <f t="shared" si="9"/>
        <v>https://steelmanufacturer.in/market-area/electropolished-pipes-manufacturer-in-brisbane-australia/</v>
      </c>
      <c r="Z144" s="15" t="str">
        <f t="shared" si="10"/>
        <v>Electropolished Pipes Manufacturer in Brisbane</v>
      </c>
      <c r="AA144" s="15" t="str">
        <f t="shared" si="11"/>
        <v>OK (46)</v>
      </c>
      <c r="AB144" s="15" t="str">
        <f t="shared" si="12"/>
        <v>EP-finished SS 304/316L pipes &amp; tubes for pharma plants in Brisbane. ASTM A270, ASME BPE SF1-SF4, EN 10204 3.1 MTC. PMI tested.</v>
      </c>
      <c r="AC144" s="15" t="str">
        <f t="shared" si="13"/>
        <v>OK (127)</v>
      </c>
      <c r="AD144" s="15" t="str">
        <f t="shared" si="14"/>
        <v>Electropolished Pipes Manufacturer in Brisbane</v>
      </c>
      <c r="AE144" s="15" t="str">
        <f t="shared" si="15"/>
        <v>Electropolished Pipe &amp; Tube Manufacturing for Brisbane - Grades, Finishes &amp; Certification</v>
      </c>
      <c r="AF144" s="15" t="str">
        <f t="shared" si="16"/>
        <v>Electropolished Pipes Supplier in Brisbane - Stock Sizes, Lead Time &amp; Delivery</v>
      </c>
      <c r="AG144" s="15" t="str">
        <f t="shared" si="17"/>
        <v>Electropolished Pipes Wholesaler &amp; Stockist in Brisbane - Bulk &amp; Project Pricing</v>
      </c>
      <c r="AH144" s="15" t="str">
        <f t="shared" si="18"/>
        <v>electropolished pipes manufacturer in Brisbane, electropolished pipes supplier in Brisbane, electropolished pipes wholesaler in Brisbane, electropolished tube manufacturer Brisbane, EP pipe supplier Brisbane, sanitary tube supplier Brisbane, ASME BPE tubing Brisbane, ASTM A270 tube Brisbane, SS 316L electropolished pipe Brisbane</v>
      </c>
      <c r="AI144" s="15" t="str">
        <f t="shared" si="19"/>
        <v>Electropolished Pipes Manufacturer &amp; Supplier in Brisbane</v>
      </c>
      <c r="AJ144" s="15" t="str">
        <f t="shared" si="20"/>
        <v>EP-finished SS 304/316L pipes and tubes for pharma plants in Brisbane. ASME BPE SF1-SF4, Ra from 0.25 um, EN 10204 3.1 certificate with every lot.</v>
      </c>
      <c r="AK144" s="15" t="str">
        <f t="shared" si="21"/>
        <v>Electropolished stainless steel pipes supplied by Sakshi Forge to pharma plants at Eagle Farm Industrial, Brisbane</v>
      </c>
      <c r="AL144" s="15" t="str">
        <f t="shared" si="22"/>
        <v>Electropolished SS 316L tube stock for Brisbane - Sakshi Forge</v>
      </c>
      <c r="AM144" s="15" t="str">
        <f t="shared" si="23"/>
        <v>Home &gt; Market Area &gt; Australia &gt; Queensland &gt; Brisbane</v>
      </c>
      <c r="AN144" s="15">
        <f t="shared" si="24"/>
        <v>1400</v>
      </c>
      <c r="AO144" s="15">
        <f t="shared" si="25"/>
        <v>10</v>
      </c>
      <c r="AP144" s="15">
        <f t="shared" si="26"/>
        <v>12</v>
      </c>
      <c r="AQ144" s="15">
        <f t="shared" si="27"/>
        <v>3</v>
      </c>
      <c r="AR144" s="31"/>
      <c r="AS144" s="31"/>
      <c r="AT144" s="35" t="s">
        <v>222</v>
      </c>
      <c r="AU144" s="35"/>
    </row>
    <row r="145" ht="15.75" customHeight="1">
      <c r="A145" s="15" t="s">
        <v>5785</v>
      </c>
      <c r="B145" s="15" t="s">
        <v>403</v>
      </c>
      <c r="C145" s="15" t="s">
        <v>5787</v>
      </c>
      <c r="D145" s="15" t="s">
        <v>5788</v>
      </c>
      <c r="E145" s="15" t="s">
        <v>5788</v>
      </c>
      <c r="F145" s="16" t="s">
        <v>87</v>
      </c>
      <c r="G145" s="17" t="s">
        <v>88</v>
      </c>
      <c r="H145" s="18" t="s">
        <v>5791</v>
      </c>
      <c r="I145" s="18" t="s">
        <v>5792</v>
      </c>
      <c r="J145" s="18" t="s">
        <v>5793</v>
      </c>
      <c r="K145" s="18" t="s">
        <v>5794</v>
      </c>
      <c r="L145" s="18" t="s">
        <v>5795</v>
      </c>
      <c r="M145" s="18" t="s">
        <v>604</v>
      </c>
      <c r="N145" s="18" t="s">
        <v>421</v>
      </c>
      <c r="O145" s="18" t="s">
        <v>98</v>
      </c>
      <c r="P145" s="15" t="str">
        <f t="shared" si="1"/>
        <v>BREWERY</v>
      </c>
      <c r="Q145" s="15">
        <f t="shared" si="2"/>
        <v>6</v>
      </c>
      <c r="R145" s="15">
        <f t="shared" si="3"/>
        <v>2</v>
      </c>
      <c r="S145" s="15">
        <f t="shared" si="4"/>
        <v>2</v>
      </c>
      <c r="T145" s="15" t="str">
        <f t="shared" si="5"/>
        <v>A-4</v>
      </c>
      <c r="U145" s="15" t="str">
        <f t="shared" si="6"/>
        <v>T6-M2-H2-FA-4-BREWERY</v>
      </c>
      <c r="V145" s="15">
        <f t="shared" si="7"/>
        <v>0</v>
      </c>
      <c r="W145" s="31"/>
      <c r="X145" s="15" t="str">
        <f t="shared" si="8"/>
        <v>geelong-australia</v>
      </c>
      <c r="Y145" s="32" t="str">
        <f t="shared" si="9"/>
        <v>https://steelmanufacturer.in/market-area/electropolished-pipes-manufacturer-in-geelong-australia/</v>
      </c>
      <c r="Z145" s="15" t="str">
        <f t="shared" si="10"/>
        <v>Electropolished Pipes Manufacturer in Geelong</v>
      </c>
      <c r="AA145" s="15" t="str">
        <f t="shared" si="11"/>
        <v>OK (45)</v>
      </c>
      <c r="AB145" s="15" t="str">
        <f t="shared" si="12"/>
        <v>Electropolished tube supply to Geelong Industrial Precinct, Geelong. Ra from 0.25 um, SF4 finish, mill test certificate with every lot.</v>
      </c>
      <c r="AC145" s="15" t="str">
        <f t="shared" si="13"/>
        <v>OK (135)</v>
      </c>
      <c r="AD145" s="15" t="str">
        <f t="shared" si="14"/>
        <v>Electropolished Pipes Manufacturer in Geelong</v>
      </c>
      <c r="AE145" s="15" t="str">
        <f t="shared" si="15"/>
        <v>How We Manufacture Electropolished Tube for Geelong Plants</v>
      </c>
      <c r="AF145" s="15" t="str">
        <f t="shared" si="16"/>
        <v>Supplying Electropolished Pipes in Geelong: Availability, Sizes &amp; Dispatch</v>
      </c>
      <c r="AG145" s="15" t="str">
        <f t="shared" si="17"/>
        <v>Wholesale Electropolished Pipe Supply for Geelong Projects</v>
      </c>
      <c r="AH145" s="15" t="str">
        <f t="shared" si="18"/>
        <v>electropolished pipes manufacturer in Geelong, electropolished pipes supplier in Geelong, electropolished pipes wholesaler in Geelong, electropolished tube manufacturer Geelong, EP pipe supplier Geelong, sanitary tube supplier Geelong, ASME BPE tubing Geelong, ASTM A270 tube Geelong, SS 316L electropolished pipe Geelong</v>
      </c>
      <c r="AI145" s="15" t="str">
        <f t="shared" si="19"/>
        <v>Electropolished Pipes Manufacturer &amp; Supplier in Geelong</v>
      </c>
      <c r="AJ145" s="15" t="str">
        <f t="shared" si="20"/>
        <v>EP-finished SS 304/316L pipes and tubes for brewery &amp; food plants in Geelong. ASME BPE SF1-SF4, Ra from 0.25 um, EN 10204 3.1 certificate with every lot.</v>
      </c>
      <c r="AK145" s="15" t="str">
        <f t="shared" si="21"/>
        <v>Electropolished stainless steel pipes supplied by Sakshi Forge to brewery &amp; food plants at Geelong Industrial Precinct, Geelong</v>
      </c>
      <c r="AL145" s="15" t="str">
        <f t="shared" si="22"/>
        <v>Electropolished SS 316L tube stock for Geelong - Sakshi Forge</v>
      </c>
      <c r="AM145" s="15" t="str">
        <f t="shared" si="23"/>
        <v>Home &gt; Market Area &gt; Australia &gt; Victoria &gt; Geelong</v>
      </c>
      <c r="AN145" s="15">
        <f t="shared" si="24"/>
        <v>1400</v>
      </c>
      <c r="AO145" s="15">
        <f t="shared" si="25"/>
        <v>10</v>
      </c>
      <c r="AP145" s="15">
        <f t="shared" si="26"/>
        <v>12</v>
      </c>
      <c r="AQ145" s="15">
        <f t="shared" si="27"/>
        <v>3</v>
      </c>
      <c r="AR145" s="31"/>
      <c r="AS145" s="31"/>
      <c r="AT145" s="35" t="s">
        <v>222</v>
      </c>
      <c r="AU145" s="35"/>
    </row>
    <row r="146" ht="15.75" customHeight="1">
      <c r="A146" s="15" t="s">
        <v>5830</v>
      </c>
      <c r="B146" s="15" t="s">
        <v>403</v>
      </c>
      <c r="C146" s="15" t="s">
        <v>5787</v>
      </c>
      <c r="D146" s="15" t="s">
        <v>5832</v>
      </c>
      <c r="E146" s="15" t="s">
        <v>5832</v>
      </c>
      <c r="F146" s="16" t="s">
        <v>87</v>
      </c>
      <c r="G146" s="17" t="s">
        <v>88</v>
      </c>
      <c r="H146" s="18" t="s">
        <v>5834</v>
      </c>
      <c r="I146" s="18" t="s">
        <v>5836</v>
      </c>
      <c r="J146" s="18" t="s">
        <v>5837</v>
      </c>
      <c r="K146" s="18" t="s">
        <v>393</v>
      </c>
      <c r="L146" s="18" t="s">
        <v>5838</v>
      </c>
      <c r="M146" s="18" t="s">
        <v>604</v>
      </c>
      <c r="N146" s="18" t="s">
        <v>421</v>
      </c>
      <c r="O146" s="18" t="s">
        <v>98</v>
      </c>
      <c r="P146" s="15" t="str">
        <f t="shared" si="1"/>
        <v>PHARMA</v>
      </c>
      <c r="Q146" s="15">
        <f t="shared" si="2"/>
        <v>7</v>
      </c>
      <c r="R146" s="15">
        <f t="shared" si="3"/>
        <v>3</v>
      </c>
      <c r="S146" s="15">
        <f t="shared" si="4"/>
        <v>3</v>
      </c>
      <c r="T146" s="15" t="str">
        <f t="shared" si="5"/>
        <v>A-5</v>
      </c>
      <c r="U146" s="15" t="str">
        <f t="shared" si="6"/>
        <v>T7-M3-H3-FA-5-PHARMA</v>
      </c>
      <c r="V146" s="15">
        <f t="shared" si="7"/>
        <v>0</v>
      </c>
      <c r="W146" s="31"/>
      <c r="X146" s="15" t="str">
        <f t="shared" si="8"/>
        <v>melbourne-australia</v>
      </c>
      <c r="Y146" s="32" t="str">
        <f t="shared" si="9"/>
        <v>https://steelmanufacturer.in/market-area/electropolished-pipes-manufacturer-in-melbourne-australia/</v>
      </c>
      <c r="Z146" s="15" t="str">
        <f t="shared" si="10"/>
        <v>Electropolished Pipes Manufacturer in Melbourne</v>
      </c>
      <c r="AA146" s="15" t="str">
        <f t="shared" si="11"/>
        <v>OK (47)</v>
      </c>
      <c r="AB146" s="15" t="str">
        <f t="shared" si="12"/>
        <v>EP stainless tube for pharma &amp; food &amp; dairy lines in Melbourne. 18-24 days sea from Nhava Sheva to Melbourne. ASTM A270 S2, PMI tested, EN 10204 3.1.</v>
      </c>
      <c r="AC146" s="15" t="str">
        <f t="shared" si="13"/>
        <v>OK (149)</v>
      </c>
      <c r="AD146" s="15" t="str">
        <f t="shared" si="14"/>
        <v>Electropolished Pipes Manufacturer in Melbourne</v>
      </c>
      <c r="AE146" s="15" t="str">
        <f t="shared" si="15"/>
        <v>Electropolished Pipes Manufacturer in Melbourne - Our Process &amp; Capability</v>
      </c>
      <c r="AF146" s="15" t="str">
        <f t="shared" si="16"/>
        <v>Electropolished Pipes Supplier in Melbourne - What We Hold in Stock</v>
      </c>
      <c r="AG146" s="15" t="str">
        <f t="shared" si="17"/>
        <v>Bulk &amp; Wholesale Electropolished Pipe Rates for Melbourne Buyers</v>
      </c>
      <c r="AH146" s="15" t="str">
        <f t="shared" si="18"/>
        <v>electropolished pipes manufacturer in Melbourne, electropolished pipes supplier in Melbourne, electropolished pipes wholesaler in Melbourne, electropolished tube manufacturer Melbourne, EP pipe supplier Melbourne, sanitary tube supplier Melbourne, ASME BPE tubing Melbourne, ASTM A270 tube Melbourne, SS 316L electropolished pipe Melbourne</v>
      </c>
      <c r="AI146" s="15" t="str">
        <f t="shared" si="19"/>
        <v>Electropolished Pipes Manufacturer &amp; Supplier in Melbourne</v>
      </c>
      <c r="AJ146" s="15" t="str">
        <f t="shared" si="20"/>
        <v>EP-finished SS 304/316L pipes and tubes for pharma &amp; food &amp; dairy plants in Melbourne. ASME BPE SF1-SF4, Ra from 0.25 um, EN 10204 3.1 certificate with every lot.</v>
      </c>
      <c r="AK146" s="15" t="str">
        <f t="shared" si="21"/>
        <v>Electropolished stainless steel pipes supplied by Sakshi Forge to pharma &amp; food &amp; dairy plants at Dandenong South Industrial, Melbourne</v>
      </c>
      <c r="AL146" s="15" t="str">
        <f t="shared" si="22"/>
        <v>Electropolished SS 316L tube stock for Melbourne - Sakshi Forge</v>
      </c>
      <c r="AM146" s="15" t="str">
        <f t="shared" si="23"/>
        <v>Home &gt; Market Area &gt; Australia &gt; Victoria &gt; Melbourne</v>
      </c>
      <c r="AN146" s="15">
        <f t="shared" si="24"/>
        <v>1400</v>
      </c>
      <c r="AO146" s="15">
        <f t="shared" si="25"/>
        <v>10</v>
      </c>
      <c r="AP146" s="15">
        <f t="shared" si="26"/>
        <v>12</v>
      </c>
      <c r="AQ146" s="15">
        <f t="shared" si="27"/>
        <v>3</v>
      </c>
      <c r="AR146" s="31"/>
      <c r="AS146" s="31"/>
      <c r="AT146" s="35" t="s">
        <v>222</v>
      </c>
      <c r="AU146" s="35"/>
    </row>
    <row r="147" ht="15.75" customHeight="1">
      <c r="A147" s="15" t="s">
        <v>5872</v>
      </c>
      <c r="B147" s="15" t="s">
        <v>403</v>
      </c>
      <c r="C147" s="15" t="s">
        <v>5874</v>
      </c>
      <c r="D147" s="15" t="s">
        <v>5875</v>
      </c>
      <c r="E147" s="15" t="s">
        <v>5875</v>
      </c>
      <c r="F147" s="16" t="s">
        <v>87</v>
      </c>
      <c r="G147" s="17" t="s">
        <v>88</v>
      </c>
      <c r="H147" s="18" t="s">
        <v>5877</v>
      </c>
      <c r="I147" s="18" t="s">
        <v>5878</v>
      </c>
      <c r="J147" s="18" t="s">
        <v>5880</v>
      </c>
      <c r="K147" s="18" t="s">
        <v>94</v>
      </c>
      <c r="L147" s="18" t="s">
        <v>5882</v>
      </c>
      <c r="M147" s="18" t="s">
        <v>604</v>
      </c>
      <c r="N147" s="18" t="s">
        <v>421</v>
      </c>
      <c r="O147" s="18" t="s">
        <v>98</v>
      </c>
      <c r="P147" s="15" t="str">
        <f t="shared" si="1"/>
        <v>FOOD</v>
      </c>
      <c r="Q147" s="15">
        <f t="shared" si="2"/>
        <v>8</v>
      </c>
      <c r="R147" s="15">
        <f t="shared" si="3"/>
        <v>4</v>
      </c>
      <c r="S147" s="15">
        <f t="shared" si="4"/>
        <v>4</v>
      </c>
      <c r="T147" s="15" t="str">
        <f t="shared" si="5"/>
        <v>A-6</v>
      </c>
      <c r="U147" s="15" t="str">
        <f t="shared" si="6"/>
        <v>T8-M4-H4-FA-6-FOOD</v>
      </c>
      <c r="V147" s="15">
        <f t="shared" si="7"/>
        <v>0</v>
      </c>
      <c r="W147" s="31"/>
      <c r="X147" s="15" t="str">
        <f t="shared" si="8"/>
        <v>perth-australia</v>
      </c>
      <c r="Y147" s="32" t="str">
        <f t="shared" si="9"/>
        <v>https://steelmanufacturer.in/market-area/electropolished-pipes-manufacturer-in-perth-australia/</v>
      </c>
      <c r="Z147" s="15" t="str">
        <f t="shared" si="10"/>
        <v>Electropolished Pipes Manufacturer in Perth - EP Tube Stockist</v>
      </c>
      <c r="AA147" s="15" t="str">
        <f t="shared" si="11"/>
        <v>OK (62)</v>
      </c>
      <c r="AB147" s="15" t="str">
        <f t="shared" si="12"/>
        <v>Sanitary electropolished pipes in Perth for food processing plants. ASME BPE SF1-SF4, orbital-weld ready, 3.1 MTC. Mumbai-made.</v>
      </c>
      <c r="AC147" s="15" t="str">
        <f t="shared" si="13"/>
        <v>OK (127)</v>
      </c>
      <c r="AD147" s="15" t="str">
        <f t="shared" si="14"/>
        <v>Electropolished Pipes Manufacturer in Perth</v>
      </c>
      <c r="AE147" s="15" t="str">
        <f t="shared" si="15"/>
        <v>Manufacturing Electropolished SS Tube for Perth: The Standards We Build To</v>
      </c>
      <c r="AF147" s="15" t="str">
        <f t="shared" si="16"/>
        <v>Electropolished Pipe Supply Into Perth - Certification &amp; Transit</v>
      </c>
      <c r="AG147" s="15" t="str">
        <f t="shared" si="17"/>
        <v>Electropolished Pipes Wholesaler in Perth - Project Quantities &amp; Terms</v>
      </c>
      <c r="AH147" s="15" t="str">
        <f t="shared" si="18"/>
        <v>electropolished pipes manufacturer in Perth, electropolished pipes supplier in Perth, electropolished pipes wholesaler in Perth, electropolished tube manufacturer Perth, EP pipe supplier Perth, sanitary tube supplier Perth, ASME BPE tubing Perth, ASTM A270 tube Perth, SS 316L electropolished pipe Perth</v>
      </c>
      <c r="AI147" s="15" t="str">
        <f t="shared" si="19"/>
        <v>Electropolished Pipes Manufacturer &amp; Supplier in Perth</v>
      </c>
      <c r="AJ147" s="15" t="str">
        <f t="shared" si="20"/>
        <v>EP-finished SS 304/316L pipes and tubes for food processing plants in Perth. ASME BPE SF1-SF4, Ra from 0.25 um, EN 10204 3.1 certificate with every lot.</v>
      </c>
      <c r="AK147" s="15" t="str">
        <f t="shared" si="21"/>
        <v>Electropolished stainless steel pipes supplied by Sakshi Forge to food processing plants at Kwinana Industrial Area, Perth</v>
      </c>
      <c r="AL147" s="15" t="str">
        <f t="shared" si="22"/>
        <v>Electropolished SS 316L tube stock for Perth - Sakshi Forge</v>
      </c>
      <c r="AM147" s="15" t="str">
        <f t="shared" si="23"/>
        <v>Home &gt; Market Area &gt; Australia &gt; Western Australia &gt; Perth</v>
      </c>
      <c r="AN147" s="15">
        <f t="shared" si="24"/>
        <v>1400</v>
      </c>
      <c r="AO147" s="15">
        <f t="shared" si="25"/>
        <v>10</v>
      </c>
      <c r="AP147" s="15">
        <f t="shared" si="26"/>
        <v>12</v>
      </c>
      <c r="AQ147" s="15">
        <f t="shared" si="27"/>
        <v>3</v>
      </c>
      <c r="AR147" s="31"/>
      <c r="AS147" s="31"/>
      <c r="AT147" s="35" t="s">
        <v>222</v>
      </c>
      <c r="AU147" s="35"/>
    </row>
    <row r="148" ht="15.75" customHeight="1">
      <c r="A148" s="15" t="s">
        <v>5915</v>
      </c>
      <c r="B148" s="15" t="s">
        <v>403</v>
      </c>
      <c r="C148" s="15" t="s">
        <v>5916</v>
      </c>
      <c r="D148" s="15" t="s">
        <v>5918</v>
      </c>
      <c r="E148" s="15" t="s">
        <v>5918</v>
      </c>
      <c r="F148" s="16" t="s">
        <v>87</v>
      </c>
      <c r="G148" s="17" t="s">
        <v>88</v>
      </c>
      <c r="H148" s="18" t="s">
        <v>5920</v>
      </c>
      <c r="I148" s="18" t="s">
        <v>5921</v>
      </c>
      <c r="J148" s="18" t="s">
        <v>4746</v>
      </c>
      <c r="K148" s="18" t="s">
        <v>229</v>
      </c>
      <c r="L148" s="18" t="s">
        <v>5923</v>
      </c>
      <c r="M148" s="18" t="s">
        <v>604</v>
      </c>
      <c r="N148" s="18" t="s">
        <v>421</v>
      </c>
      <c r="O148" s="18" t="s">
        <v>98</v>
      </c>
      <c r="P148" s="15" t="str">
        <f t="shared" si="1"/>
        <v>PHARMA</v>
      </c>
      <c r="Q148" s="15">
        <f t="shared" si="2"/>
        <v>1</v>
      </c>
      <c r="R148" s="15">
        <f t="shared" si="3"/>
        <v>5</v>
      </c>
      <c r="S148" s="15">
        <f t="shared" si="4"/>
        <v>5</v>
      </c>
      <c r="T148" s="15" t="str">
        <f t="shared" si="5"/>
        <v>A-1</v>
      </c>
      <c r="U148" s="15" t="str">
        <f t="shared" si="6"/>
        <v>T1-M5-H5-FA-1-PHARMA</v>
      </c>
      <c r="V148" s="15">
        <f t="shared" si="7"/>
        <v>0</v>
      </c>
      <c r="W148" s="31"/>
      <c r="X148" s="15" t="str">
        <f t="shared" si="8"/>
        <v>sydney-australia</v>
      </c>
      <c r="Y148" s="32" t="str">
        <f t="shared" si="9"/>
        <v>https://steelmanufacturer.in/market-area/electropolished-pipes-manufacturer-in-sydney-australia/</v>
      </c>
      <c r="Z148" s="15" t="str">
        <f t="shared" si="10"/>
        <v>Electropolished Pipes Manufacturer in Sydney | Sakshi Forge</v>
      </c>
      <c r="AA148" s="15" t="str">
        <f t="shared" si="11"/>
        <v>OK (59)</v>
      </c>
      <c r="AB148" s="15" t="str">
        <f t="shared" si="12"/>
        <v>Manufacturer of electropolished SS 316L tube serving Sydney. 18-24 days sea from Nhava Sheva to Melbourne. Ra 0.25-0.5 um, EN 10204 3.1 MTC.</v>
      </c>
      <c r="AC148" s="15" t="str">
        <f t="shared" si="13"/>
        <v>OK (140)</v>
      </c>
      <c r="AD148" s="15" t="str">
        <f t="shared" si="14"/>
        <v>Electropolished Pipes Manufacturer in Sydney</v>
      </c>
      <c r="AE148" s="15" t="str">
        <f t="shared" si="15"/>
        <v>Electropolished Tube Manufacturing Capability Serving Sydney</v>
      </c>
      <c r="AF148" s="15" t="str">
        <f t="shared" si="16"/>
        <v>Electropolished Pipes Supplier in Sydney - From Order to Delivery</v>
      </c>
      <c r="AG148" s="15" t="str">
        <f t="shared" si="17"/>
        <v>Stockist &amp; Wholesale Supply of Electropolished Pipes in Sydney</v>
      </c>
      <c r="AH148" s="15" t="str">
        <f t="shared" si="18"/>
        <v>electropolished pipes manufacturer in Sydney, electropolished pipes supplier in Sydney, electropolished pipes wholesaler in Sydney, electropolished tube manufacturer Sydney, EP pipe supplier Sydney, sanitary tube supplier Sydney, ASME BPE tubing Sydney, ASTM A270 tube Sydney, SS 316L electropolished pipe Sydney</v>
      </c>
      <c r="AI148" s="15" t="str">
        <f t="shared" si="19"/>
        <v>Electropolished Pipes Manufacturer &amp; Supplier in Sydney</v>
      </c>
      <c r="AJ148" s="15" t="str">
        <f t="shared" si="20"/>
        <v>EP-finished SS 304/316L pipes and tubes for pharma plants in Sydney. ASME BPE SF1-SF4, Ra from 0.25 um, EN 10204 3.1 certificate with every lot.</v>
      </c>
      <c r="AK148" s="15" t="str">
        <f t="shared" si="21"/>
        <v>Electropolished stainless steel pipes supplied by Sakshi Forge to pharma plants at Smithfield Industrial, Sydney</v>
      </c>
      <c r="AL148" s="15" t="str">
        <f t="shared" si="22"/>
        <v>Electropolished SS 316L tube stock for Sydney - Sakshi Forge</v>
      </c>
      <c r="AM148" s="15" t="str">
        <f t="shared" si="23"/>
        <v>Home &gt; Market Area &gt; Australia &gt; New South Wales &gt; Sydney</v>
      </c>
      <c r="AN148" s="15">
        <f t="shared" si="24"/>
        <v>1400</v>
      </c>
      <c r="AO148" s="15">
        <f t="shared" si="25"/>
        <v>10</v>
      </c>
      <c r="AP148" s="15">
        <f t="shared" si="26"/>
        <v>12</v>
      </c>
      <c r="AQ148" s="15">
        <f t="shared" si="27"/>
        <v>3</v>
      </c>
      <c r="AR148" s="31"/>
      <c r="AS148" s="31"/>
      <c r="AT148" s="35" t="s">
        <v>222</v>
      </c>
      <c r="AU148" s="35"/>
    </row>
    <row r="149" ht="15.75" customHeight="1">
      <c r="A149" s="15" t="s">
        <v>5952</v>
      </c>
      <c r="B149" s="15" t="s">
        <v>219</v>
      </c>
      <c r="C149" s="15" t="s">
        <v>5953</v>
      </c>
      <c r="D149" s="15" t="s">
        <v>5955</v>
      </c>
      <c r="E149" s="15" t="s">
        <v>5955</v>
      </c>
      <c r="F149" s="16" t="s">
        <v>87</v>
      </c>
      <c r="G149" s="17" t="s">
        <v>88</v>
      </c>
      <c r="H149" s="18" t="s">
        <v>5958</v>
      </c>
      <c r="I149" s="18" t="s">
        <v>5959</v>
      </c>
      <c r="J149" s="18" t="s">
        <v>5960</v>
      </c>
      <c r="K149" s="18" t="s">
        <v>94</v>
      </c>
      <c r="L149" s="18" t="s">
        <v>519</v>
      </c>
      <c r="M149" s="18" t="s">
        <v>520</v>
      </c>
      <c r="N149" s="18" t="s">
        <v>220</v>
      </c>
      <c r="O149" s="18" t="s">
        <v>98</v>
      </c>
      <c r="P149" s="15" t="str">
        <f t="shared" si="1"/>
        <v>FOOD</v>
      </c>
      <c r="Q149" s="15">
        <f t="shared" si="2"/>
        <v>2</v>
      </c>
      <c r="R149" s="15">
        <f t="shared" si="3"/>
        <v>6</v>
      </c>
      <c r="S149" s="15">
        <f t="shared" si="4"/>
        <v>1</v>
      </c>
      <c r="T149" s="15" t="str">
        <f t="shared" si="5"/>
        <v>A-2</v>
      </c>
      <c r="U149" s="15" t="str">
        <f t="shared" si="6"/>
        <v>T2-M6-H1-FA-2-FOOD</v>
      </c>
      <c r="V149" s="15">
        <f t="shared" si="7"/>
        <v>0</v>
      </c>
      <c r="W149" s="31"/>
      <c r="X149" s="15" t="str">
        <f t="shared" si="8"/>
        <v>hidd-bahrain</v>
      </c>
      <c r="Y149" s="32" t="str">
        <f t="shared" si="9"/>
        <v>https://steelmanufacturer.in/market-area/electropolished-pipes-manufacturer-in-hidd-bahrain/</v>
      </c>
      <c r="Z149" s="15" t="str">
        <f t="shared" si="10"/>
        <v>Electropolished Pipes Manufacturer in Hidd - ASTM A270 &amp; ASME BPE</v>
      </c>
      <c r="AA149" s="15" t="str">
        <f t="shared" si="11"/>
        <v>OK (65)</v>
      </c>
      <c r="AB149" s="15" t="str">
        <f t="shared" si="12"/>
        <v>EP tube and pipe for food processing plants around Hidd Industrial Area, Hidd. Made at our Mumbai works to ASTM A270 and ASME BPE SF1-SF4, with 3.1 MTC.</v>
      </c>
      <c r="AC149" s="15" t="str">
        <f t="shared" si="13"/>
        <v>OK (152)</v>
      </c>
      <c r="AD149" s="15" t="str">
        <f t="shared" si="14"/>
        <v>Electropolished Pipes Manufacturer in Hidd</v>
      </c>
      <c r="AE149" s="15" t="str">
        <f t="shared" si="15"/>
        <v>Electropolished Pipe &amp; Tube Manufacturing for Hidd - Grades, Finishes &amp; Certification</v>
      </c>
      <c r="AF149" s="15" t="str">
        <f t="shared" si="16"/>
        <v>Electropolished Pipes Supplier in Hidd - Stock Sizes, Lead Time &amp; Delivery</v>
      </c>
      <c r="AG149" s="15" t="str">
        <f t="shared" si="17"/>
        <v>Electropolished Pipes Wholesaler &amp; Stockist in Hidd - Bulk &amp; Project Pricing</v>
      </c>
      <c r="AH149" s="15" t="str">
        <f t="shared" si="18"/>
        <v>electropolished pipes manufacturer in Hidd, electropolished pipes supplier in Hidd, electropolished pipes wholesaler in Hidd, electropolished tube manufacturer Hidd, EP pipe supplier Hidd, sanitary tube supplier Hidd, ASME BPE tubing Hidd, ASTM A270 tube Hidd, SS 316L electropolished pipe Hidd</v>
      </c>
      <c r="AI149" s="15" t="str">
        <f t="shared" si="19"/>
        <v>Electropolished Pipes Manufacturer &amp; Supplier in Hidd</v>
      </c>
      <c r="AJ149" s="15" t="str">
        <f t="shared" si="20"/>
        <v>EP-finished SS 304/316L pipes and tubes for food processing plants in Hidd. ASME BPE SF1-SF4, Ra from 0.25 um, EN 10204 3.1 certificate with every lot.</v>
      </c>
      <c r="AK149" s="15" t="str">
        <f t="shared" si="21"/>
        <v>Electropolished stainless steel pipes supplied by Sakshi Forge to food processing plants at Hidd Industrial Area, Hidd</v>
      </c>
      <c r="AL149" s="15" t="str">
        <f t="shared" si="22"/>
        <v>Electropolished SS 316L tube stock for Hidd - Sakshi Forge</v>
      </c>
      <c r="AM149" s="15" t="str">
        <f t="shared" si="23"/>
        <v>Home &gt; Market Area &gt; Bahrain &gt; Muharraq &gt; Hidd</v>
      </c>
      <c r="AN149" s="15">
        <f t="shared" si="24"/>
        <v>1400</v>
      </c>
      <c r="AO149" s="15">
        <f t="shared" si="25"/>
        <v>10</v>
      </c>
      <c r="AP149" s="15">
        <f t="shared" si="26"/>
        <v>12</v>
      </c>
      <c r="AQ149" s="15">
        <f t="shared" si="27"/>
        <v>3</v>
      </c>
      <c r="AR149" s="31"/>
      <c r="AS149" s="31"/>
      <c r="AT149" s="35" t="s">
        <v>222</v>
      </c>
      <c r="AU149" s="35"/>
    </row>
    <row r="150" ht="15.75" customHeight="1">
      <c r="A150" s="15" t="s">
        <v>5994</v>
      </c>
      <c r="B150" s="15" t="s">
        <v>219</v>
      </c>
      <c r="C150" s="15" t="s">
        <v>5996</v>
      </c>
      <c r="D150" s="15" t="s">
        <v>5997</v>
      </c>
      <c r="E150" s="15" t="s">
        <v>5997</v>
      </c>
      <c r="F150" s="16" t="s">
        <v>87</v>
      </c>
      <c r="G150" s="17" t="s">
        <v>88</v>
      </c>
      <c r="H150" s="18" t="s">
        <v>6000</v>
      </c>
      <c r="I150" s="18" t="s">
        <v>6001</v>
      </c>
      <c r="J150" s="18" t="s">
        <v>6002</v>
      </c>
      <c r="K150" s="18" t="s">
        <v>229</v>
      </c>
      <c r="L150" s="18" t="s">
        <v>519</v>
      </c>
      <c r="M150" s="18" t="s">
        <v>520</v>
      </c>
      <c r="N150" s="18" t="s">
        <v>220</v>
      </c>
      <c r="O150" s="18" t="s">
        <v>98</v>
      </c>
      <c r="P150" s="15" t="str">
        <f t="shared" si="1"/>
        <v>PHARMA</v>
      </c>
      <c r="Q150" s="15">
        <f t="shared" si="2"/>
        <v>3</v>
      </c>
      <c r="R150" s="15">
        <f t="shared" si="3"/>
        <v>7</v>
      </c>
      <c r="S150" s="15">
        <f t="shared" si="4"/>
        <v>2</v>
      </c>
      <c r="T150" s="15" t="str">
        <f t="shared" si="5"/>
        <v>A-3</v>
      </c>
      <c r="U150" s="15" t="str">
        <f t="shared" si="6"/>
        <v>T3-M7-H2-FA-3-PHARMA</v>
      </c>
      <c r="V150" s="15">
        <f t="shared" si="7"/>
        <v>0</v>
      </c>
      <c r="W150" s="31"/>
      <c r="X150" s="15" t="str">
        <f t="shared" si="8"/>
        <v>manama-bahrain</v>
      </c>
      <c r="Y150" s="32" t="str">
        <f t="shared" si="9"/>
        <v>https://steelmanufacturer.in/market-area/electropolished-pipes-manufacturer-in-manama-bahrain/</v>
      </c>
      <c r="Z150" s="15" t="str">
        <f t="shared" si="10"/>
        <v>Electropolished Pipes Manufacturer in Manama | EP Tube Supplier</v>
      </c>
      <c r="AA150" s="15" t="str">
        <f t="shared" si="11"/>
        <v>OK (63)</v>
      </c>
      <c r="AB150" s="15" t="str">
        <f t="shared" si="12"/>
        <v>Electropolished pipes in Manama: 304, 304L, 316 and 316L in SF1-SF4. 13-17 days sea from Nhava Sheva to Khalifa Bin Salman Port. Mill certified.</v>
      </c>
      <c r="AC150" s="15" t="str">
        <f t="shared" si="13"/>
        <v>OK (144)</v>
      </c>
      <c r="AD150" s="15" t="str">
        <f t="shared" si="14"/>
        <v>Electropolished Pipes Manufacturer in Manama</v>
      </c>
      <c r="AE150" s="15" t="str">
        <f t="shared" si="15"/>
        <v>How We Manufacture Electropolished Tube for Manama Plants</v>
      </c>
      <c r="AF150" s="15" t="str">
        <f t="shared" si="16"/>
        <v>Supplying Electropolished Pipes in Manama: Availability, Sizes &amp; Dispatch</v>
      </c>
      <c r="AG150" s="15" t="str">
        <f t="shared" si="17"/>
        <v>Wholesale Electropolished Pipe Supply for Manama Projects</v>
      </c>
      <c r="AH150" s="15" t="str">
        <f t="shared" si="18"/>
        <v>electropolished pipes manufacturer in Manama, electropolished pipes supplier in Manama, electropolished pipes wholesaler in Manama, electropolished tube manufacturer Manama, EP pipe supplier Manama, sanitary tube supplier Manama, ASME BPE tubing Manama, ASTM A270 tube Manama, SS 316L electropolished pipe Manama</v>
      </c>
      <c r="AI150" s="15" t="str">
        <f t="shared" si="19"/>
        <v>Electropolished Pipes Manufacturer &amp; Supplier in Manama</v>
      </c>
      <c r="AJ150" s="15" t="str">
        <f t="shared" si="20"/>
        <v>EP-finished SS 304/316L pipes and tubes for pharma plants in Manama. ASME BPE SF1-SF4, Ra from 0.25 um, EN 10204 3.1 certificate with every lot.</v>
      </c>
      <c r="AK150" s="15" t="str">
        <f t="shared" si="21"/>
        <v>Electropolished stainless steel pipes supplied by Sakshi Forge to pharma plants at Bahrain Investment Wharf, Manama</v>
      </c>
      <c r="AL150" s="15" t="str">
        <f t="shared" si="22"/>
        <v>Electropolished SS 316L tube stock for Manama - Sakshi Forge</v>
      </c>
      <c r="AM150" s="15" t="str">
        <f t="shared" si="23"/>
        <v>Home &gt; Market Area &gt; Bahrain &gt; Capital &gt; Manama</v>
      </c>
      <c r="AN150" s="15">
        <f t="shared" si="24"/>
        <v>1400</v>
      </c>
      <c r="AO150" s="15">
        <f t="shared" si="25"/>
        <v>10</v>
      </c>
      <c r="AP150" s="15">
        <f t="shared" si="26"/>
        <v>12</v>
      </c>
      <c r="AQ150" s="15">
        <f t="shared" si="27"/>
        <v>3</v>
      </c>
      <c r="AR150" s="31"/>
      <c r="AS150" s="31"/>
      <c r="AT150" s="35" t="s">
        <v>222</v>
      </c>
      <c r="AU150" s="35"/>
    </row>
    <row r="151" ht="15.75" customHeight="1">
      <c r="A151" s="15" t="s">
        <v>6037</v>
      </c>
      <c r="B151" s="15" t="s">
        <v>219</v>
      </c>
      <c r="C151" s="15" t="s">
        <v>5996</v>
      </c>
      <c r="D151" s="15" t="s">
        <v>6040</v>
      </c>
      <c r="E151" s="15" t="s">
        <v>6040</v>
      </c>
      <c r="F151" s="16" t="s">
        <v>87</v>
      </c>
      <c r="G151" s="17" t="s">
        <v>88</v>
      </c>
      <c r="H151" s="18" t="s">
        <v>6042</v>
      </c>
      <c r="I151" s="18" t="s">
        <v>6043</v>
      </c>
      <c r="J151" s="18" t="s">
        <v>6044</v>
      </c>
      <c r="K151" s="18" t="s">
        <v>1084</v>
      </c>
      <c r="L151" s="18" t="s">
        <v>6046</v>
      </c>
      <c r="M151" s="18" t="s">
        <v>520</v>
      </c>
      <c r="N151" s="18" t="s">
        <v>220</v>
      </c>
      <c r="O151" s="18" t="s">
        <v>98</v>
      </c>
      <c r="P151" s="15" t="str">
        <f t="shared" si="1"/>
        <v>CHEM</v>
      </c>
      <c r="Q151" s="15">
        <f t="shared" si="2"/>
        <v>4</v>
      </c>
      <c r="R151" s="15">
        <f t="shared" si="3"/>
        <v>1</v>
      </c>
      <c r="S151" s="15">
        <f t="shared" si="4"/>
        <v>3</v>
      </c>
      <c r="T151" s="15" t="str">
        <f t="shared" si="5"/>
        <v>A-4</v>
      </c>
      <c r="U151" s="15" t="str">
        <f t="shared" si="6"/>
        <v>T4-M1-H3-FA-4-CHEM</v>
      </c>
      <c r="V151" s="15">
        <f t="shared" si="7"/>
        <v>0</v>
      </c>
      <c r="W151" s="31"/>
      <c r="X151" s="15" t="str">
        <f t="shared" si="8"/>
        <v>sitra-bahrain</v>
      </c>
      <c r="Y151" s="32" t="str">
        <f t="shared" si="9"/>
        <v>https://steelmanufacturer.in/market-area/electropolished-pipes-manufacturer-in-sitra-bahrain/</v>
      </c>
      <c r="Z151" s="15" t="str">
        <f t="shared" si="10"/>
        <v>Electropolished Pipes Manufacturer in Sitra - SS 304/316L EP Tube</v>
      </c>
      <c r="AA151" s="15" t="str">
        <f t="shared" si="11"/>
        <v>OK (65)</v>
      </c>
      <c r="AB151" s="15" t="str">
        <f t="shared" si="12"/>
        <v>EP-finished SS 304/316L pipes &amp; tubes for petrochemical plants in Sitra. ASTM A270, ASME BPE SF1-SF4, EN 10204 3.1 MTC. PMI tested.</v>
      </c>
      <c r="AC151" s="15" t="str">
        <f t="shared" si="13"/>
        <v>OK (131)</v>
      </c>
      <c r="AD151" s="15" t="str">
        <f t="shared" si="14"/>
        <v>Electropolished Pipes Manufacturer in Sitra</v>
      </c>
      <c r="AE151" s="15" t="str">
        <f t="shared" si="15"/>
        <v>Electropolished Pipes Manufacturer in Sitra - Our Process &amp; Capability</v>
      </c>
      <c r="AF151" s="15" t="str">
        <f t="shared" si="16"/>
        <v>Electropolished Pipes Supplier in Sitra - What We Hold in Stock</v>
      </c>
      <c r="AG151" s="15" t="str">
        <f t="shared" si="17"/>
        <v>Bulk &amp; Wholesale Electropolished Pipe Rates for Sitra Buyers</v>
      </c>
      <c r="AH151" s="15" t="str">
        <f t="shared" si="18"/>
        <v>electropolished pipes manufacturer in Sitra, electropolished pipes supplier in Sitra, electropolished pipes wholesaler in Sitra, electropolished tube manufacturer Sitra, EP pipe supplier Sitra, sanitary tube supplier Sitra, ASME BPE tubing Sitra, ASTM A270 tube Sitra, SS 316L electropolished pipe Sitra</v>
      </c>
      <c r="AI151" s="15" t="str">
        <f t="shared" si="19"/>
        <v>Electropolished Pipes Manufacturer &amp; Supplier in Sitra</v>
      </c>
      <c r="AJ151" s="15" t="str">
        <f t="shared" si="20"/>
        <v>EP-finished SS 304/316L pipes and tubes for petrochemical plants in Sitra. ASME BPE SF1-SF4, Ra from 0.25 um, EN 10204 3.1 certificate with every lot.</v>
      </c>
      <c r="AK151" s="15" t="str">
        <f t="shared" si="21"/>
        <v>Electropolished stainless steel pipes supplied by Sakshi Forge to petrochemical plants at Sitra Industrial Area, Sitra</v>
      </c>
      <c r="AL151" s="15" t="str">
        <f t="shared" si="22"/>
        <v>Electropolished SS 316L tube stock for Sitra - Sakshi Forge</v>
      </c>
      <c r="AM151" s="15" t="str">
        <f t="shared" si="23"/>
        <v>Home &gt; Market Area &gt; Bahrain &gt; Capital &gt; Sitra</v>
      </c>
      <c r="AN151" s="15">
        <f t="shared" si="24"/>
        <v>1400</v>
      </c>
      <c r="AO151" s="15">
        <f t="shared" si="25"/>
        <v>10</v>
      </c>
      <c r="AP151" s="15">
        <f t="shared" si="26"/>
        <v>12</v>
      </c>
      <c r="AQ151" s="15">
        <f t="shared" si="27"/>
        <v>3</v>
      </c>
      <c r="AR151" s="31"/>
      <c r="AS151" s="31"/>
      <c r="AT151" s="35" t="s">
        <v>222</v>
      </c>
      <c r="AU151" s="35"/>
    </row>
    <row r="152" ht="15.75" customHeight="1">
      <c r="A152" s="15" t="s">
        <v>6079</v>
      </c>
      <c r="B152" s="15" t="s">
        <v>243</v>
      </c>
      <c r="C152" s="15" t="s">
        <v>6081</v>
      </c>
      <c r="D152" s="15" t="s">
        <v>6081</v>
      </c>
      <c r="E152" s="15" t="s">
        <v>6081</v>
      </c>
      <c r="F152" s="16" t="s">
        <v>87</v>
      </c>
      <c r="G152" s="17" t="s">
        <v>88</v>
      </c>
      <c r="H152" s="18" t="s">
        <v>6083</v>
      </c>
      <c r="I152" s="18" t="s">
        <v>6085</v>
      </c>
      <c r="J152" s="18" t="s">
        <v>6086</v>
      </c>
      <c r="K152" s="18" t="s">
        <v>4208</v>
      </c>
      <c r="L152" s="18" t="s">
        <v>6088</v>
      </c>
      <c r="M152" s="18" t="s">
        <v>550</v>
      </c>
      <c r="N152" s="18" t="s">
        <v>254</v>
      </c>
      <c r="O152" s="18" t="s">
        <v>98</v>
      </c>
      <c r="P152" s="15" t="str">
        <f t="shared" si="1"/>
        <v>BIOTECH</v>
      </c>
      <c r="Q152" s="15">
        <f t="shared" si="2"/>
        <v>5</v>
      </c>
      <c r="R152" s="15">
        <f t="shared" si="3"/>
        <v>2</v>
      </c>
      <c r="S152" s="15">
        <f t="shared" si="4"/>
        <v>4</v>
      </c>
      <c r="T152" s="15" t="str">
        <f t="shared" si="5"/>
        <v>A-5</v>
      </c>
      <c r="U152" s="15" t="str">
        <f t="shared" si="6"/>
        <v>T5-M2-H4-FA-5-BIOTECH</v>
      </c>
      <c r="V152" s="15">
        <f t="shared" si="7"/>
        <v>0</v>
      </c>
      <c r="W152" s="31"/>
      <c r="X152" s="15" t="str">
        <f t="shared" si="8"/>
        <v>berlin-germany</v>
      </c>
      <c r="Y152" s="32" t="str">
        <f t="shared" si="9"/>
        <v>https://steelmanufacturer.in/market-area/electropolished-pipes-manufacturer-in-berlin-germany/</v>
      </c>
      <c r="Z152" s="15" t="str">
        <f t="shared" si="10"/>
        <v>Electropolished Pipes Manufacturer in Berlin</v>
      </c>
      <c r="AA152" s="15" t="str">
        <f t="shared" si="11"/>
        <v>OK (44)</v>
      </c>
      <c r="AB152" s="15" t="str">
        <f t="shared" si="12"/>
        <v>Electropolished tube supply to Berlin Adlershof Technology Park, Berlin. Ra from 0.25 um, SF4 finish, mill test certificate with every lot.</v>
      </c>
      <c r="AC152" s="15" t="str">
        <f t="shared" si="13"/>
        <v>OK (139)</v>
      </c>
      <c r="AD152" s="15" t="str">
        <f t="shared" si="14"/>
        <v>Electropolished Pipes Manufacturer in Berlin</v>
      </c>
      <c r="AE152" s="15" t="str">
        <f t="shared" si="15"/>
        <v>Manufacturing Electropolished SS Tube for Berlin: The Standards We Build To</v>
      </c>
      <c r="AF152" s="15" t="str">
        <f t="shared" si="16"/>
        <v>Electropolished Pipe Supply Into Berlin - Certification &amp; Transit</v>
      </c>
      <c r="AG152" s="15" t="str">
        <f t="shared" si="17"/>
        <v>Electropolished Pipes Wholesaler in Berlin - Project Quantities &amp; Terms</v>
      </c>
      <c r="AH152" s="15" t="str">
        <f t="shared" si="18"/>
        <v>electropolished pipes manufacturer in Berlin, electropolished pipes supplier in Berlin, electropolished pipes wholesaler in Berlin, electropolished tube manufacturer Berlin, EP pipe supplier Berlin, sanitary tube supplier Berlin, ASME BPE tubing Berlin, ASTM A270 tube Berlin, SS 316L electropolished pipe Berlin</v>
      </c>
      <c r="AI152" s="15" t="str">
        <f t="shared" si="19"/>
        <v>Electropolished Pipes Manufacturer &amp; Supplier in Berlin</v>
      </c>
      <c r="AJ152" s="15" t="str">
        <f t="shared" si="20"/>
        <v>EP-finished SS 304/316L pipes and tubes for pharma &amp; biotech plants in Berlin. ASME BPE SF1-SF4, Ra from 0.25 um, EN 10204 3.1 certificate with every lot.</v>
      </c>
      <c r="AK152" s="15" t="str">
        <f t="shared" si="21"/>
        <v>Electropolished stainless steel pipes supplied by Sakshi Forge to pharma &amp; biotech plants at Berlin Adlershof Technology Park, Berlin</v>
      </c>
      <c r="AL152" s="15" t="str">
        <f t="shared" si="22"/>
        <v>Electropolished SS 316L tube stock for Berlin - Sakshi Forge</v>
      </c>
      <c r="AM152" s="15" t="str">
        <f t="shared" si="23"/>
        <v>Home &gt; Market Area &gt; Germany &gt; Berlin &gt; Berlin</v>
      </c>
      <c r="AN152" s="15">
        <f t="shared" si="24"/>
        <v>1400</v>
      </c>
      <c r="AO152" s="15">
        <f t="shared" si="25"/>
        <v>10</v>
      </c>
      <c r="AP152" s="15">
        <f t="shared" si="26"/>
        <v>12</v>
      </c>
      <c r="AQ152" s="15">
        <f t="shared" si="27"/>
        <v>3</v>
      </c>
      <c r="AR152" s="31"/>
      <c r="AS152" s="31"/>
      <c r="AT152" s="35" t="s">
        <v>222</v>
      </c>
      <c r="AU152" s="35"/>
    </row>
    <row r="153" ht="15.75" customHeight="1">
      <c r="A153" s="15" t="s">
        <v>6131</v>
      </c>
      <c r="B153" s="15" t="s">
        <v>243</v>
      </c>
      <c r="C153" s="15" t="s">
        <v>6133</v>
      </c>
      <c r="D153" s="15" t="s">
        <v>6134</v>
      </c>
      <c r="E153" s="15" t="s">
        <v>6134</v>
      </c>
      <c r="F153" s="16" t="s">
        <v>87</v>
      </c>
      <c r="G153" s="17" t="s">
        <v>88</v>
      </c>
      <c r="H153" s="18" t="s">
        <v>6136</v>
      </c>
      <c r="I153" s="18" t="s">
        <v>6136</v>
      </c>
      <c r="J153" s="18" t="s">
        <v>6138</v>
      </c>
      <c r="K153" s="18" t="s">
        <v>1320</v>
      </c>
      <c r="L153" s="18" t="s">
        <v>6088</v>
      </c>
      <c r="M153" s="18" t="s">
        <v>550</v>
      </c>
      <c r="N153" s="18" t="s">
        <v>254</v>
      </c>
      <c r="O153" s="18" t="s">
        <v>98</v>
      </c>
      <c r="P153" s="15" t="str">
        <f t="shared" si="1"/>
        <v>BIOTECH</v>
      </c>
      <c r="Q153" s="15">
        <f t="shared" si="2"/>
        <v>6</v>
      </c>
      <c r="R153" s="15">
        <f t="shared" si="3"/>
        <v>3</v>
      </c>
      <c r="S153" s="15">
        <f t="shared" si="4"/>
        <v>5</v>
      </c>
      <c r="T153" s="15" t="str">
        <f t="shared" si="5"/>
        <v>A-6</v>
      </c>
      <c r="U153" s="15" t="str">
        <f t="shared" si="6"/>
        <v>T6-M3-H5-FA-6-BIOTECH</v>
      </c>
      <c r="V153" s="15">
        <f t="shared" si="7"/>
        <v>0</v>
      </c>
      <c r="W153" s="31"/>
      <c r="X153" s="15" t="str">
        <f t="shared" si="8"/>
        <v>biberach-germany</v>
      </c>
      <c r="Y153" s="32" t="str">
        <f t="shared" si="9"/>
        <v>https://steelmanufacturer.in/market-area/electropolished-pipes-manufacturer-in-biberach-germany/</v>
      </c>
      <c r="Z153" s="15" t="str">
        <f t="shared" si="10"/>
        <v>Electropolished Pipes Manufacturer in Biberach</v>
      </c>
      <c r="AA153" s="15" t="str">
        <f t="shared" si="11"/>
        <v>OK (46)</v>
      </c>
      <c r="AB153" s="15" t="str">
        <f t="shared" si="12"/>
        <v>EP stainless tube for biotech lines in Biberach. 24-30 days sea from Nhava Sheva to Hamburg. ASTM A270 S2, PMI tested, EN 10204 3.1.</v>
      </c>
      <c r="AC153" s="15" t="str">
        <f t="shared" si="13"/>
        <v>OK (132)</v>
      </c>
      <c r="AD153" s="15" t="str">
        <f t="shared" si="14"/>
        <v>Electropolished Pipes Manufacturer in Biberach</v>
      </c>
      <c r="AE153" s="15" t="str">
        <f t="shared" si="15"/>
        <v>Electropolished Tube Manufacturing Capability Serving Biberach</v>
      </c>
      <c r="AF153" s="15" t="str">
        <f t="shared" si="16"/>
        <v>Electropolished Pipes Supplier in Biberach - From Order to Delivery</v>
      </c>
      <c r="AG153" s="15" t="str">
        <f t="shared" si="17"/>
        <v>Stockist &amp; Wholesale Supply of Electropolished Pipes in Biberach</v>
      </c>
      <c r="AH153" s="15" t="str">
        <f t="shared" si="18"/>
        <v>electropolished pipes manufacturer in Biberach, electropolished pipes supplier in Biberach, electropolished pipes wholesaler in Biberach, electropolished tube manufacturer Biberach, EP pipe supplier Biberach, sanitary tube supplier Biberach, ASME BPE tubing Biberach, ASTM A270 tube Biberach, SS 316L electropolished pipe Biberach</v>
      </c>
      <c r="AI153" s="15" t="str">
        <f t="shared" si="19"/>
        <v>Electropolished Pipes Manufacturer &amp; Supplier in Biberach</v>
      </c>
      <c r="AJ153" s="15" t="str">
        <f t="shared" si="20"/>
        <v>EP-finished SS 304/316L pipes and tubes for biotech plants in Biberach. ASME BPE SF1-SF4, Ra from 0.25 um, EN 10204 3.1 certificate with every lot.</v>
      </c>
      <c r="AK153" s="15" t="str">
        <f t="shared" si="21"/>
        <v>Electropolished stainless steel pipes supplied by Sakshi Forge to biotech plants at Biberach Biopharma Campus, Biberach</v>
      </c>
      <c r="AL153" s="15" t="str">
        <f t="shared" si="22"/>
        <v>Electropolished SS 316L tube stock for Biberach - Sakshi Forge</v>
      </c>
      <c r="AM153" s="15" t="str">
        <f t="shared" si="23"/>
        <v>Home &gt; Market Area &gt; Germany &gt; Baden-Wurttemberg &gt; Biberach</v>
      </c>
      <c r="AN153" s="15">
        <f t="shared" si="24"/>
        <v>1400</v>
      </c>
      <c r="AO153" s="15">
        <f t="shared" si="25"/>
        <v>10</v>
      </c>
      <c r="AP153" s="15">
        <f t="shared" si="26"/>
        <v>12</v>
      </c>
      <c r="AQ153" s="15">
        <f t="shared" si="27"/>
        <v>3</v>
      </c>
      <c r="AR153" s="31"/>
      <c r="AS153" s="31"/>
      <c r="AT153" s="35" t="s">
        <v>222</v>
      </c>
      <c r="AU153" s="35"/>
    </row>
    <row r="154" ht="15.75" customHeight="1">
      <c r="A154" s="15" t="s">
        <v>6148</v>
      </c>
      <c r="B154" s="15" t="s">
        <v>243</v>
      </c>
      <c r="C154" s="15" t="s">
        <v>6149</v>
      </c>
      <c r="D154" s="15" t="s">
        <v>6150</v>
      </c>
      <c r="E154" s="15" t="s">
        <v>6150</v>
      </c>
      <c r="F154" s="16" t="s">
        <v>87</v>
      </c>
      <c r="G154" s="17" t="s">
        <v>88</v>
      </c>
      <c r="H154" s="18" t="s">
        <v>6152</v>
      </c>
      <c r="I154" s="18" t="s">
        <v>6153</v>
      </c>
      <c r="J154" s="18" t="s">
        <v>6155</v>
      </c>
      <c r="K154" s="18" t="s">
        <v>229</v>
      </c>
      <c r="L154" s="18" t="s">
        <v>560</v>
      </c>
      <c r="M154" s="18" t="s">
        <v>550</v>
      </c>
      <c r="N154" s="18" t="s">
        <v>254</v>
      </c>
      <c r="O154" s="18" t="s">
        <v>98</v>
      </c>
      <c r="P154" s="15" t="str">
        <f t="shared" si="1"/>
        <v>PHARMA</v>
      </c>
      <c r="Q154" s="15">
        <f t="shared" si="2"/>
        <v>7</v>
      </c>
      <c r="R154" s="15">
        <f t="shared" si="3"/>
        <v>4</v>
      </c>
      <c r="S154" s="15">
        <f t="shared" si="4"/>
        <v>1</v>
      </c>
      <c r="T154" s="15" t="str">
        <f t="shared" si="5"/>
        <v>A-1</v>
      </c>
      <c r="U154" s="15" t="str">
        <f t="shared" si="6"/>
        <v>T7-M4-H1-FA-1-PHARMA</v>
      </c>
      <c r="V154" s="15">
        <f t="shared" si="7"/>
        <v>0</v>
      </c>
      <c r="W154" s="31"/>
      <c r="X154" s="15" t="str">
        <f t="shared" si="8"/>
        <v>cologne-germany</v>
      </c>
      <c r="Y154" s="32" t="str">
        <f t="shared" si="9"/>
        <v>https://steelmanufacturer.in/market-area/electropolished-pipes-manufacturer-in-cologne-germany/</v>
      </c>
      <c r="Z154" s="15" t="str">
        <f t="shared" si="10"/>
        <v>Electropolished Pipes Manufacturer in Cologne | ASME BPE SF1-SF4</v>
      </c>
      <c r="AA154" s="15" t="str">
        <f t="shared" si="11"/>
        <v>OK (64)</v>
      </c>
      <c r="AB154" s="15" t="str">
        <f t="shared" si="12"/>
        <v>Sanitary electropolished pipes in Cologne for pharma plants. ASME BPE SF1-SF4, orbital-weld ready, 3.1 MTC. Mumbai-made.</v>
      </c>
      <c r="AC154" s="15" t="str">
        <f t="shared" si="13"/>
        <v>OK (120)</v>
      </c>
      <c r="AD154" s="15" t="str">
        <f t="shared" si="14"/>
        <v>Electropolished Pipes Manufacturer in Cologne</v>
      </c>
      <c r="AE154" s="15" t="str">
        <f t="shared" si="15"/>
        <v>Electropolished Pipe &amp; Tube Manufacturing for Cologne - Grades, Finishes &amp; Certification</v>
      </c>
      <c r="AF154" s="15" t="str">
        <f t="shared" si="16"/>
        <v>Electropolished Pipes Supplier in Cologne - Stock Sizes, Lead Time &amp; Delivery</v>
      </c>
      <c r="AG154" s="15" t="str">
        <f t="shared" si="17"/>
        <v>Electropolished Pipes Wholesaler &amp; Stockist in Cologne - Bulk &amp; Project Pricing</v>
      </c>
      <c r="AH154" s="15" t="str">
        <f t="shared" si="18"/>
        <v>electropolished pipes manufacturer in Cologne, electropolished pipes supplier in Cologne, electropolished pipes wholesaler in Cologne, electropolished tube manufacturer Cologne, EP pipe supplier Cologne, sanitary tube supplier Cologne, ASME BPE tubing Cologne, ASTM A270 tube Cologne, SS 316L electropolished pipe Cologne</v>
      </c>
      <c r="AI154" s="15" t="str">
        <f t="shared" si="19"/>
        <v>Electropolished Pipes Manufacturer &amp; Supplier in Cologne</v>
      </c>
      <c r="AJ154" s="15" t="str">
        <f t="shared" si="20"/>
        <v>EP-finished SS 304/316L pipes and tubes for pharma plants in Cologne. ASME BPE SF1-SF4, Ra from 0.25 um, EN 10204 3.1 certificate with every lot.</v>
      </c>
      <c r="AK154" s="15" t="str">
        <f t="shared" si="21"/>
        <v>Electropolished stainless steel pipes supplied by Sakshi Forge to pharma plants at Chempark Dormagen, Cologne</v>
      </c>
      <c r="AL154" s="15" t="str">
        <f t="shared" si="22"/>
        <v>Electropolished SS 316L tube stock for Cologne - Sakshi Forge</v>
      </c>
      <c r="AM154" s="15" t="str">
        <f t="shared" si="23"/>
        <v>Home &gt; Market Area &gt; Germany &gt; North Rhine-Westphalia &gt; Cologne</v>
      </c>
      <c r="AN154" s="15">
        <f t="shared" si="24"/>
        <v>1400</v>
      </c>
      <c r="AO154" s="15">
        <f t="shared" si="25"/>
        <v>10</v>
      </c>
      <c r="AP154" s="15">
        <f t="shared" si="26"/>
        <v>12</v>
      </c>
      <c r="AQ154" s="15">
        <f t="shared" si="27"/>
        <v>3</v>
      </c>
      <c r="AR154" s="31"/>
      <c r="AS154" s="31"/>
      <c r="AT154" s="35" t="s">
        <v>222</v>
      </c>
      <c r="AU154" s="35"/>
    </row>
    <row r="155" ht="15.75" customHeight="1">
      <c r="A155" s="15" t="s">
        <v>6202</v>
      </c>
      <c r="B155" s="15" t="s">
        <v>243</v>
      </c>
      <c r="C155" s="15" t="s">
        <v>6204</v>
      </c>
      <c r="D155" s="15" t="s">
        <v>6205</v>
      </c>
      <c r="E155" s="15" t="s">
        <v>6205</v>
      </c>
      <c r="F155" s="16" t="s">
        <v>87</v>
      </c>
      <c r="G155" s="17" t="s">
        <v>88</v>
      </c>
      <c r="H155" s="18" t="s">
        <v>6208</v>
      </c>
      <c r="I155" s="18" t="s">
        <v>6210</v>
      </c>
      <c r="J155" s="18" t="s">
        <v>6211</v>
      </c>
      <c r="K155" s="18" t="s">
        <v>4868</v>
      </c>
      <c r="L155" s="18" t="s">
        <v>6088</v>
      </c>
      <c r="M155" s="18" t="s">
        <v>550</v>
      </c>
      <c r="N155" s="18" t="s">
        <v>254</v>
      </c>
      <c r="O155" s="18" t="s">
        <v>98</v>
      </c>
      <c r="P155" s="15" t="str">
        <f t="shared" si="1"/>
        <v>SEMI</v>
      </c>
      <c r="Q155" s="15">
        <f t="shared" si="2"/>
        <v>8</v>
      </c>
      <c r="R155" s="15">
        <f t="shared" si="3"/>
        <v>5</v>
      </c>
      <c r="S155" s="15">
        <f t="shared" si="4"/>
        <v>2</v>
      </c>
      <c r="T155" s="15" t="str">
        <f t="shared" si="5"/>
        <v>A-2</v>
      </c>
      <c r="U155" s="15" t="str">
        <f t="shared" si="6"/>
        <v>T8-M5-H2-FA-2-SEMI</v>
      </c>
      <c r="V155" s="15">
        <f t="shared" si="7"/>
        <v>0</v>
      </c>
      <c r="W155" s="31"/>
      <c r="X155" s="15" t="str">
        <f t="shared" si="8"/>
        <v>dresden-germany</v>
      </c>
      <c r="Y155" s="32" t="str">
        <f t="shared" si="9"/>
        <v>https://steelmanufacturer.in/market-area/electropolished-pipes-manufacturer-in-dresden-germany/</v>
      </c>
      <c r="Z155" s="15" t="str">
        <f t="shared" si="10"/>
        <v>Electropolished Pipes Manufacturer in Dresden - EP Tube Stockist</v>
      </c>
      <c r="AA155" s="15" t="str">
        <f t="shared" si="11"/>
        <v>OK (64)</v>
      </c>
      <c r="AB155" s="15" t="str">
        <f t="shared" si="12"/>
        <v>Manufacturer of electropolished SS 316L tube serving Dresden. 24-30 days sea from Nhava Sheva to Hamburg. Ra 0.25-0.5 um, EN 10204 3.1 MTC.</v>
      </c>
      <c r="AC155" s="15" t="str">
        <f t="shared" si="13"/>
        <v>OK (139)</v>
      </c>
      <c r="AD155" s="15" t="str">
        <f t="shared" si="14"/>
        <v>Electropolished Pipes Manufacturer in Dresden</v>
      </c>
      <c r="AE155" s="15" t="str">
        <f t="shared" si="15"/>
        <v>How We Manufacture Electropolished Tube for Dresden Plants</v>
      </c>
      <c r="AF155" s="15" t="str">
        <f t="shared" si="16"/>
        <v>Supplying Electropolished Pipes in Dresden: Availability, Sizes &amp; Dispatch</v>
      </c>
      <c r="AG155" s="15" t="str">
        <f t="shared" si="17"/>
        <v>Wholesale Electropolished Pipe Supply for Dresden Projects</v>
      </c>
      <c r="AH155" s="15" t="str">
        <f t="shared" si="18"/>
        <v>electropolished pipes manufacturer in Dresden, electropolished pipes supplier in Dresden, electropolished pipes wholesaler in Dresden, electropolished tube manufacturer Dresden, EP pipe supplier Dresden, sanitary tube supplier Dresden, ASME BPE tubing Dresden, ASTM A270 tube Dresden, SS 316L electropolished pipe Dresden</v>
      </c>
      <c r="AI155" s="15" t="str">
        <f t="shared" si="19"/>
        <v>Electropolished Pipes Manufacturer &amp; Supplier in Dresden</v>
      </c>
      <c r="AJ155" s="15" t="str">
        <f t="shared" si="20"/>
        <v>EP-finished SS 304/316L pipes and tubes for semiconductor plants in Dresden. ASME BPE SF1-SF4, Ra from 0.25 um, EN 10204 3.1 certificate with every lot.</v>
      </c>
      <c r="AK155" s="15" t="str">
        <f t="shared" si="21"/>
        <v>Electropolished stainless steel pipes supplied by Sakshi Forge to semiconductor plants at Silicon Saxony, Dresden</v>
      </c>
      <c r="AL155" s="15" t="str">
        <f t="shared" si="22"/>
        <v>Electropolished SS 316L tube stock for Dresden - Sakshi Forge</v>
      </c>
      <c r="AM155" s="15" t="str">
        <f t="shared" si="23"/>
        <v>Home &gt; Market Area &gt; Germany &gt; Saxony &gt; Dresden</v>
      </c>
      <c r="AN155" s="15">
        <f t="shared" si="24"/>
        <v>1400</v>
      </c>
      <c r="AO155" s="15">
        <f t="shared" si="25"/>
        <v>10</v>
      </c>
      <c r="AP155" s="15">
        <f t="shared" si="26"/>
        <v>12</v>
      </c>
      <c r="AQ155" s="15">
        <f t="shared" si="27"/>
        <v>3</v>
      </c>
      <c r="AR155" s="31"/>
      <c r="AS155" s="31"/>
      <c r="AT155" s="35" t="s">
        <v>222</v>
      </c>
      <c r="AU155" s="35"/>
    </row>
    <row r="156" ht="15.75" customHeight="1">
      <c r="A156" s="15" t="s">
        <v>6245</v>
      </c>
      <c r="B156" s="15" t="s">
        <v>243</v>
      </c>
      <c r="C156" s="15" t="s">
        <v>6247</v>
      </c>
      <c r="D156" s="15" t="s">
        <v>6248</v>
      </c>
      <c r="E156" s="15" t="s">
        <v>6248</v>
      </c>
      <c r="F156" s="16" t="s">
        <v>87</v>
      </c>
      <c r="G156" s="17" t="s">
        <v>88</v>
      </c>
      <c r="H156" s="18" t="s">
        <v>6251</v>
      </c>
      <c r="I156" s="18" t="s">
        <v>6252</v>
      </c>
      <c r="J156" s="18" t="s">
        <v>6253</v>
      </c>
      <c r="K156" s="18" t="s">
        <v>4208</v>
      </c>
      <c r="L156" s="18" t="s">
        <v>6088</v>
      </c>
      <c r="M156" s="18" t="s">
        <v>550</v>
      </c>
      <c r="N156" s="18" t="s">
        <v>254</v>
      </c>
      <c r="O156" s="18" t="s">
        <v>98</v>
      </c>
      <c r="P156" s="15" t="str">
        <f t="shared" si="1"/>
        <v>BIOTECH</v>
      </c>
      <c r="Q156" s="15">
        <f t="shared" si="2"/>
        <v>1</v>
      </c>
      <c r="R156" s="15">
        <f t="shared" si="3"/>
        <v>6</v>
      </c>
      <c r="S156" s="15">
        <f t="shared" si="4"/>
        <v>3</v>
      </c>
      <c r="T156" s="15" t="str">
        <f t="shared" si="5"/>
        <v>A-3</v>
      </c>
      <c r="U156" s="15" t="str">
        <f t="shared" si="6"/>
        <v>T1-M6-H3-FA-3-BIOTECH</v>
      </c>
      <c r="V156" s="15">
        <f t="shared" si="7"/>
        <v>0</v>
      </c>
      <c r="W156" s="31"/>
      <c r="X156" s="15" t="str">
        <f t="shared" si="8"/>
        <v>frankfurt-germany</v>
      </c>
      <c r="Y156" s="32" t="str">
        <f t="shared" si="9"/>
        <v>https://steelmanufacturer.in/market-area/electropolished-pipes-manufacturer-in-frankfurt-germany/</v>
      </c>
      <c r="Z156" s="15" t="str">
        <f t="shared" si="10"/>
        <v>Electropolished Pipes Manufacturer in Frankfurt | Sakshi Forge</v>
      </c>
      <c r="AA156" s="15" t="str">
        <f t="shared" si="11"/>
        <v>OK (62)</v>
      </c>
      <c r="AB156" s="15" t="str">
        <f t="shared" si="12"/>
        <v>EP tube and pipe for pharma &amp; biotech plants around Industriepark Hochst, Frankfurt. Made at our Mumbai works to ASTM A270 and ASME BPE SF1-SF4, with 3.1 MTC.</v>
      </c>
      <c r="AC156" s="15" t="str">
        <f t="shared" si="13"/>
        <v>OK (158)</v>
      </c>
      <c r="AD156" s="15" t="str">
        <f t="shared" si="14"/>
        <v>Electropolished Pipes Manufacturer in Frankfurt</v>
      </c>
      <c r="AE156" s="15" t="str">
        <f t="shared" si="15"/>
        <v>Electropolished Pipes Manufacturer in Frankfurt - Our Process &amp; Capability</v>
      </c>
      <c r="AF156" s="15" t="str">
        <f t="shared" si="16"/>
        <v>Electropolished Pipes Supplier in Frankfurt - What We Hold in Stock</v>
      </c>
      <c r="AG156" s="15" t="str">
        <f t="shared" si="17"/>
        <v>Bulk &amp; Wholesale Electropolished Pipe Rates for Frankfurt Buyers</v>
      </c>
      <c r="AH156" s="15" t="str">
        <f t="shared" si="18"/>
        <v>electropolished pipes manufacturer in Frankfurt, electropolished pipes supplier in Frankfurt, electropolished pipes wholesaler in Frankfurt, electropolished tube manufacturer Frankfurt, EP pipe supplier Frankfurt, sanitary tube supplier Frankfurt, ASME BPE tubing Frankfurt, ASTM A270 tube Frankfurt, SS 316L electropolished pipe Frankfurt</v>
      </c>
      <c r="AI156" s="15" t="str">
        <f t="shared" si="19"/>
        <v>Electropolished Pipes Manufacturer &amp; Supplier in Frankfurt</v>
      </c>
      <c r="AJ156" s="15" t="str">
        <f t="shared" si="20"/>
        <v>EP-finished SS 304/316L pipes and tubes for pharma &amp; biotech plants in Frankfurt. ASME BPE SF1-SF4, Ra from 0.25 um, EN 10204 3.1 certificate with every lot.</v>
      </c>
      <c r="AK156" s="15" t="str">
        <f t="shared" si="21"/>
        <v>Electropolished stainless steel pipes supplied by Sakshi Forge to pharma &amp; biotech plants at Industriepark Hochst, Frankfurt</v>
      </c>
      <c r="AL156" s="15" t="str">
        <f t="shared" si="22"/>
        <v>Electropolished SS 316L tube stock for Frankfurt - Sakshi Forge</v>
      </c>
      <c r="AM156" s="15" t="str">
        <f t="shared" si="23"/>
        <v>Home &gt; Market Area &gt; Germany &gt; Hesse &gt; Frankfurt</v>
      </c>
      <c r="AN156" s="15">
        <f t="shared" si="24"/>
        <v>1400</v>
      </c>
      <c r="AO156" s="15">
        <f t="shared" si="25"/>
        <v>10</v>
      </c>
      <c r="AP156" s="15">
        <f t="shared" si="26"/>
        <v>12</v>
      </c>
      <c r="AQ156" s="15">
        <f t="shared" si="27"/>
        <v>3</v>
      </c>
      <c r="AR156" s="31"/>
      <c r="AS156" s="31"/>
      <c r="AT156" s="35" t="s">
        <v>222</v>
      </c>
      <c r="AU156" s="35"/>
    </row>
    <row r="157" ht="15.75" customHeight="1">
      <c r="A157" s="15" t="s">
        <v>6284</v>
      </c>
      <c r="B157" s="15" t="s">
        <v>243</v>
      </c>
      <c r="C157" s="15" t="s">
        <v>6285</v>
      </c>
      <c r="D157" s="15" t="s">
        <v>6285</v>
      </c>
      <c r="E157" s="15" t="s">
        <v>6285</v>
      </c>
      <c r="F157" s="16" t="s">
        <v>87</v>
      </c>
      <c r="G157" s="17" t="s">
        <v>88</v>
      </c>
      <c r="H157" s="18" t="s">
        <v>6288</v>
      </c>
      <c r="I157" s="18" t="s">
        <v>6289</v>
      </c>
      <c r="J157" s="18" t="s">
        <v>5793</v>
      </c>
      <c r="K157" s="18" t="s">
        <v>5794</v>
      </c>
      <c r="L157" s="18" t="s">
        <v>6088</v>
      </c>
      <c r="M157" s="18" t="s">
        <v>550</v>
      </c>
      <c r="N157" s="18" t="s">
        <v>254</v>
      </c>
      <c r="O157" s="18" t="s">
        <v>98</v>
      </c>
      <c r="P157" s="15" t="str">
        <f t="shared" si="1"/>
        <v>BREWERY</v>
      </c>
      <c r="Q157" s="15">
        <f t="shared" si="2"/>
        <v>2</v>
      </c>
      <c r="R157" s="15">
        <f t="shared" si="3"/>
        <v>7</v>
      </c>
      <c r="S157" s="15">
        <f t="shared" si="4"/>
        <v>4</v>
      </c>
      <c r="T157" s="15" t="str">
        <f t="shared" si="5"/>
        <v>A-4</v>
      </c>
      <c r="U157" s="15" t="str">
        <f t="shared" si="6"/>
        <v>T2-M7-H4-FA-4-BREWERY</v>
      </c>
      <c r="V157" s="15">
        <f t="shared" si="7"/>
        <v>0</v>
      </c>
      <c r="W157" s="31"/>
      <c r="X157" s="15" t="str">
        <f t="shared" si="8"/>
        <v>hamburg-germany</v>
      </c>
      <c r="Y157" s="32" t="str">
        <f t="shared" si="9"/>
        <v>https://steelmanufacturer.in/market-area/electropolished-pipes-manufacturer-in-hamburg-germany/</v>
      </c>
      <c r="Z157" s="15" t="str">
        <f t="shared" si="10"/>
        <v>Electropolished Pipes Manufacturer in Hamburg</v>
      </c>
      <c r="AA157" s="15" t="str">
        <f t="shared" si="11"/>
        <v>OK (45)</v>
      </c>
      <c r="AB157" s="15" t="str">
        <f t="shared" si="12"/>
        <v>Electropolished pipes in Hamburg: 304, 304L, 316 and 316L in SF1-SF4. 24-30 days sea from Nhava Sheva to Hamburg. Mill certified.</v>
      </c>
      <c r="AC157" s="15" t="str">
        <f t="shared" si="13"/>
        <v>OK (129)</v>
      </c>
      <c r="AD157" s="15" t="str">
        <f t="shared" si="14"/>
        <v>Electropolished Pipes Manufacturer in Hamburg</v>
      </c>
      <c r="AE157" s="15" t="str">
        <f t="shared" si="15"/>
        <v>Manufacturing Electropolished SS Tube for Hamburg: The Standards We Build To</v>
      </c>
      <c r="AF157" s="15" t="str">
        <f t="shared" si="16"/>
        <v>Electropolished Pipe Supply Into Hamburg - Certification &amp; Transit</v>
      </c>
      <c r="AG157" s="15" t="str">
        <f t="shared" si="17"/>
        <v>Electropolished Pipes Wholesaler in Hamburg - Project Quantities &amp; Terms</v>
      </c>
      <c r="AH157" s="15" t="str">
        <f t="shared" si="18"/>
        <v>electropolished pipes manufacturer in Hamburg, electropolished pipes supplier in Hamburg, electropolished pipes wholesaler in Hamburg, electropolished tube manufacturer Hamburg, EP pipe supplier Hamburg, sanitary tube supplier Hamburg, ASME BPE tubing Hamburg, ASTM A270 tube Hamburg, SS 316L electropolished pipe Hamburg</v>
      </c>
      <c r="AI157" s="15" t="str">
        <f t="shared" si="19"/>
        <v>Electropolished Pipes Manufacturer &amp; Supplier in Hamburg</v>
      </c>
      <c r="AJ157" s="15" t="str">
        <f t="shared" si="20"/>
        <v>EP-finished SS 304/316L pipes and tubes for brewery &amp; food plants in Hamburg. ASME BPE SF1-SF4, Ra from 0.25 um, EN 10204 3.1 certificate with every lot.</v>
      </c>
      <c r="AK157" s="15" t="str">
        <f t="shared" si="21"/>
        <v>Electropolished stainless steel pipes supplied by Sakshi Forge to brewery &amp; food plants at Hamburg Harburg Industrial, Hamburg</v>
      </c>
      <c r="AL157" s="15" t="str">
        <f t="shared" si="22"/>
        <v>Electropolished SS 316L tube stock for Hamburg - Sakshi Forge</v>
      </c>
      <c r="AM157" s="15" t="str">
        <f t="shared" si="23"/>
        <v>Home &gt; Market Area &gt; Germany &gt; Hamburg &gt; Hamburg</v>
      </c>
      <c r="AN157" s="15">
        <f t="shared" si="24"/>
        <v>1400</v>
      </c>
      <c r="AO157" s="15">
        <f t="shared" si="25"/>
        <v>10</v>
      </c>
      <c r="AP157" s="15">
        <f t="shared" si="26"/>
        <v>12</v>
      </c>
      <c r="AQ157" s="15">
        <f t="shared" si="27"/>
        <v>3</v>
      </c>
      <c r="AR157" s="31"/>
      <c r="AS157" s="31"/>
      <c r="AT157" s="35" t="s">
        <v>222</v>
      </c>
      <c r="AU157" s="35"/>
    </row>
    <row r="158" ht="15.75" customHeight="1">
      <c r="A158" s="15" t="s">
        <v>6322</v>
      </c>
      <c r="B158" s="15" t="s">
        <v>243</v>
      </c>
      <c r="C158" s="15" t="s">
        <v>6324</v>
      </c>
      <c r="D158" s="15" t="s">
        <v>6325</v>
      </c>
      <c r="E158" s="15" t="s">
        <v>6325</v>
      </c>
      <c r="F158" s="16" t="s">
        <v>87</v>
      </c>
      <c r="G158" s="17" t="s">
        <v>88</v>
      </c>
      <c r="H158" s="18" t="s">
        <v>6328</v>
      </c>
      <c r="I158" s="18" t="s">
        <v>6328</v>
      </c>
      <c r="J158" s="18" t="s">
        <v>6329</v>
      </c>
      <c r="K158" s="18" t="s">
        <v>3605</v>
      </c>
      <c r="L158" s="18" t="s">
        <v>560</v>
      </c>
      <c r="M158" s="18" t="s">
        <v>550</v>
      </c>
      <c r="N158" s="18" t="s">
        <v>254</v>
      </c>
      <c r="O158" s="18" t="s">
        <v>98</v>
      </c>
      <c r="P158" s="15" t="str">
        <f t="shared" si="1"/>
        <v>PHARMA</v>
      </c>
      <c r="Q158" s="15">
        <f t="shared" si="2"/>
        <v>3</v>
      </c>
      <c r="R158" s="15">
        <f t="shared" si="3"/>
        <v>1</v>
      </c>
      <c r="S158" s="15">
        <f t="shared" si="4"/>
        <v>5</v>
      </c>
      <c r="T158" s="15" t="str">
        <f t="shared" si="5"/>
        <v>A-5</v>
      </c>
      <c r="U158" s="15" t="str">
        <f t="shared" si="6"/>
        <v>T3-M1-H5-FA-5-PHARMA</v>
      </c>
      <c r="V158" s="15">
        <f t="shared" si="7"/>
        <v>0</v>
      </c>
      <c r="W158" s="31"/>
      <c r="X158" s="15" t="str">
        <f t="shared" si="8"/>
        <v>ingelheim-germany</v>
      </c>
      <c r="Y158" s="32" t="str">
        <f t="shared" si="9"/>
        <v>https://steelmanufacturer.in/market-area/electropolished-pipes-manufacturer-in-ingelheim-germany/</v>
      </c>
      <c r="Z158" s="15" t="str">
        <f t="shared" si="10"/>
        <v>Electropolished Pipes Manufacturer in Ingelheim</v>
      </c>
      <c r="AA158" s="15" t="str">
        <f t="shared" si="11"/>
        <v>OK (47)</v>
      </c>
      <c r="AB158" s="15" t="str">
        <f t="shared" si="12"/>
        <v>EP-finished SS 304/316L pipes &amp; tubes for pharma &amp; API &amp; pharma plants in Ingelheim. ASTM A270, ASME BPE SF1-SF4, EN 10204 3.1 MTC. PMI tested.</v>
      </c>
      <c r="AC158" s="15" t="str">
        <f t="shared" si="13"/>
        <v>OK (143)</v>
      </c>
      <c r="AD158" s="15" t="str">
        <f t="shared" si="14"/>
        <v>Electropolished Pipes Manufacturer in Ingelheim</v>
      </c>
      <c r="AE158" s="15" t="str">
        <f t="shared" si="15"/>
        <v>Electropolished Tube Manufacturing Capability Serving Ingelheim</v>
      </c>
      <c r="AF158" s="15" t="str">
        <f t="shared" si="16"/>
        <v>Electropolished Pipes Supplier in Ingelheim - From Order to Delivery</v>
      </c>
      <c r="AG158" s="15" t="str">
        <f t="shared" si="17"/>
        <v>Stockist &amp; Wholesale Supply of Electropolished Pipes in Ingelheim</v>
      </c>
      <c r="AH158" s="15" t="str">
        <f t="shared" si="18"/>
        <v>electropolished pipes manufacturer in Ingelheim, electropolished pipes supplier in Ingelheim, electropolished pipes wholesaler in Ingelheim, electropolished tube manufacturer Ingelheim, EP pipe supplier Ingelheim, sanitary tube supplier Ingelheim, ASME BPE tubing Ingelheim, ASTM A270 tube Ingelheim, SS 316L electropolished pipe Ingelheim</v>
      </c>
      <c r="AI158" s="15" t="str">
        <f t="shared" si="19"/>
        <v>Electropolished Pipes Manufacturer &amp; Supplier in Ingelheim</v>
      </c>
      <c r="AJ158" s="15" t="str">
        <f t="shared" si="20"/>
        <v>EP-finished SS 304/316L pipes and tubes for pharma &amp; API &amp; pharma plants in Ingelheim. ASME BPE SF1-SF4, Ra from 0.25 um, EN 10204 3.1 certificate with every lot.</v>
      </c>
      <c r="AK158" s="15" t="str">
        <f t="shared" si="21"/>
        <v>Electropolished stainless steel pipes supplied by Sakshi Forge to pharma &amp; API &amp; pharma plants at Ingelheim Pharma Campus, Ingelheim</v>
      </c>
      <c r="AL158" s="15" t="str">
        <f t="shared" si="22"/>
        <v>Electropolished SS 316L tube stock for Ingelheim - Sakshi Forge</v>
      </c>
      <c r="AM158" s="15" t="str">
        <f t="shared" si="23"/>
        <v>Home &gt; Market Area &gt; Germany &gt; Rhineland-Palatinate &gt; Ingelheim</v>
      </c>
      <c r="AN158" s="15">
        <f t="shared" si="24"/>
        <v>1400</v>
      </c>
      <c r="AO158" s="15">
        <f t="shared" si="25"/>
        <v>10</v>
      </c>
      <c r="AP158" s="15">
        <f t="shared" si="26"/>
        <v>12</v>
      </c>
      <c r="AQ158" s="15">
        <f t="shared" si="27"/>
        <v>3</v>
      </c>
      <c r="AR158" s="31"/>
      <c r="AS158" s="31"/>
      <c r="AT158" s="35" t="s">
        <v>222</v>
      </c>
      <c r="AU158" s="35"/>
    </row>
    <row r="159" ht="15.75" customHeight="1">
      <c r="A159" s="15" t="s">
        <v>6362</v>
      </c>
      <c r="B159" s="15" t="s">
        <v>243</v>
      </c>
      <c r="C159" s="15" t="s">
        <v>6149</v>
      </c>
      <c r="D159" s="15" t="s">
        <v>6364</v>
      </c>
      <c r="E159" s="15" t="s">
        <v>6364</v>
      </c>
      <c r="F159" s="16" t="s">
        <v>87</v>
      </c>
      <c r="G159" s="17" t="s">
        <v>88</v>
      </c>
      <c r="H159" s="18" t="s">
        <v>6366</v>
      </c>
      <c r="I159" s="18" t="s">
        <v>6366</v>
      </c>
      <c r="J159" s="18" t="s">
        <v>6368</v>
      </c>
      <c r="K159" s="18" t="s">
        <v>3605</v>
      </c>
      <c r="L159" s="18" t="s">
        <v>560</v>
      </c>
      <c r="M159" s="18" t="s">
        <v>550</v>
      </c>
      <c r="N159" s="18" t="s">
        <v>254</v>
      </c>
      <c r="O159" s="18" t="s">
        <v>98</v>
      </c>
      <c r="P159" s="15" t="str">
        <f t="shared" si="1"/>
        <v>PHARMA</v>
      </c>
      <c r="Q159" s="15">
        <f t="shared" si="2"/>
        <v>4</v>
      </c>
      <c r="R159" s="15">
        <f t="shared" si="3"/>
        <v>2</v>
      </c>
      <c r="S159" s="15">
        <f t="shared" si="4"/>
        <v>1</v>
      </c>
      <c r="T159" s="15" t="str">
        <f t="shared" si="5"/>
        <v>A-6</v>
      </c>
      <c r="U159" s="15" t="str">
        <f t="shared" si="6"/>
        <v>T4-M2-H1-FA-6-PHARMA</v>
      </c>
      <c r="V159" s="15">
        <f t="shared" si="7"/>
        <v>0</v>
      </c>
      <c r="W159" s="31"/>
      <c r="X159" s="15" t="str">
        <f t="shared" si="8"/>
        <v>leverkusen-germany</v>
      </c>
      <c r="Y159" s="32" t="str">
        <f t="shared" si="9"/>
        <v>https://steelmanufacturer.in/market-area/electropolished-pipes-manufacturer-in-leverkusen-germany/</v>
      </c>
      <c r="Z159" s="15" t="str">
        <f t="shared" si="10"/>
        <v>Electropolished Pipes Manufacturer in Leverkusen</v>
      </c>
      <c r="AA159" s="15" t="str">
        <f t="shared" si="11"/>
        <v>OK (48)</v>
      </c>
      <c r="AB159" s="15" t="str">
        <f t="shared" si="12"/>
        <v>Electropolished tube supply to Chempark Leverkusen, Leverkusen. Ra from 0.25 um, SF4 finish, mill test certificate with every lot.</v>
      </c>
      <c r="AC159" s="15" t="str">
        <f t="shared" si="13"/>
        <v>OK (130)</v>
      </c>
      <c r="AD159" s="15" t="str">
        <f t="shared" si="14"/>
        <v>Electropolished Pipes Manufacturer in Leverkusen</v>
      </c>
      <c r="AE159" s="15" t="str">
        <f t="shared" si="15"/>
        <v>Electropolished Pipe &amp; Tube Manufacturing for Leverkusen - Grades, Finishes &amp; Certification</v>
      </c>
      <c r="AF159" s="15" t="str">
        <f t="shared" si="16"/>
        <v>Electropolished Pipes Supplier in Leverkusen - Stock Sizes, Lead Time &amp; Delivery</v>
      </c>
      <c r="AG159" s="15" t="str">
        <f t="shared" si="17"/>
        <v>Electropolished Pipes Wholesaler &amp; Stockist in Leverkusen - Bulk &amp; Project Pricing</v>
      </c>
      <c r="AH159" s="15" t="str">
        <f t="shared" si="18"/>
        <v>electropolished pipes manufacturer in Leverkusen, electropolished pipes supplier in Leverkusen, electropolished pipes wholesaler in Leverkusen, electropolished tube manufacturer Leverkusen, EP pipe supplier Leverkusen, sanitary tube supplier Leverkusen, ASME BPE tubing Leverkusen, ASTM A270 tube Leverkusen, SS 316L electropolished pipe Leverkusen</v>
      </c>
      <c r="AI159" s="15" t="str">
        <f t="shared" si="19"/>
        <v>Electropolished Pipes Manufacturer &amp; Supplier in Leverkusen</v>
      </c>
      <c r="AJ159" s="15" t="str">
        <f t="shared" si="20"/>
        <v>EP-finished SS 304/316L pipes and tubes for pharma &amp; API &amp; pharma plants in Leverkusen. ASME BPE SF1-SF4, Ra from 0.25 um, EN 10204 3.1 certificate with every lot.</v>
      </c>
      <c r="AK159" s="15" t="str">
        <f t="shared" si="21"/>
        <v>Electropolished stainless steel pipes supplied by Sakshi Forge to pharma &amp; API &amp; pharma plants at Chempark Leverkusen, Leverkusen</v>
      </c>
      <c r="AL159" s="15" t="str">
        <f t="shared" si="22"/>
        <v>Electropolished SS 316L tube stock for Leverkusen - Sakshi Forge</v>
      </c>
      <c r="AM159" s="15" t="str">
        <f t="shared" si="23"/>
        <v>Home &gt; Market Area &gt; Germany &gt; North Rhine-Westphalia &gt; Leverkusen</v>
      </c>
      <c r="AN159" s="15">
        <f t="shared" si="24"/>
        <v>1400</v>
      </c>
      <c r="AO159" s="15">
        <f t="shared" si="25"/>
        <v>10</v>
      </c>
      <c r="AP159" s="15">
        <f t="shared" si="26"/>
        <v>12</v>
      </c>
      <c r="AQ159" s="15">
        <f t="shared" si="27"/>
        <v>3</v>
      </c>
      <c r="AR159" s="31"/>
      <c r="AS159" s="31"/>
      <c r="AT159" s="35" t="s">
        <v>222</v>
      </c>
      <c r="AU159" s="35"/>
    </row>
    <row r="160" ht="15.75" customHeight="1">
      <c r="A160" s="15" t="s">
        <v>6402</v>
      </c>
      <c r="B160" s="15" t="s">
        <v>243</v>
      </c>
      <c r="C160" s="15" t="s">
        <v>6324</v>
      </c>
      <c r="D160" s="15" t="s">
        <v>6403</v>
      </c>
      <c r="E160" s="15" t="s">
        <v>6403</v>
      </c>
      <c r="F160" s="16" t="s">
        <v>87</v>
      </c>
      <c r="G160" s="17" t="s">
        <v>88</v>
      </c>
      <c r="H160" s="18" t="s">
        <v>6406</v>
      </c>
      <c r="I160" s="18" t="s">
        <v>6406</v>
      </c>
      <c r="J160" s="18" t="s">
        <v>6408</v>
      </c>
      <c r="K160" s="18" t="s">
        <v>436</v>
      </c>
      <c r="L160" s="18" t="s">
        <v>560</v>
      </c>
      <c r="M160" s="18" t="s">
        <v>550</v>
      </c>
      <c r="N160" s="18" t="s">
        <v>254</v>
      </c>
      <c r="O160" s="18" t="s">
        <v>98</v>
      </c>
      <c r="P160" s="15" t="str">
        <f t="shared" si="1"/>
        <v>PHARMA</v>
      </c>
      <c r="Q160" s="15">
        <f t="shared" si="2"/>
        <v>5</v>
      </c>
      <c r="R160" s="15">
        <f t="shared" si="3"/>
        <v>3</v>
      </c>
      <c r="S160" s="15">
        <f t="shared" si="4"/>
        <v>2</v>
      </c>
      <c r="T160" s="15" t="str">
        <f t="shared" si="5"/>
        <v>A-1</v>
      </c>
      <c r="U160" s="15" t="str">
        <f t="shared" si="6"/>
        <v>T5-M3-H2-FA-1-PHARMA</v>
      </c>
      <c r="V160" s="15">
        <f t="shared" si="7"/>
        <v>0</v>
      </c>
      <c r="W160" s="31"/>
      <c r="X160" s="15" t="str">
        <f t="shared" si="8"/>
        <v>ludwigshafen-germany</v>
      </c>
      <c r="Y160" s="32" t="str">
        <f t="shared" si="9"/>
        <v>https://steelmanufacturer.in/market-area/electropolished-pipes-manufacturer-in-ludwigshafen-germany/</v>
      </c>
      <c r="Z160" s="15" t="str">
        <f t="shared" si="10"/>
        <v>Electropolished Pipes Manufacturer in Ludwigshafen</v>
      </c>
      <c r="AA160" s="15" t="str">
        <f t="shared" si="11"/>
        <v>OK (50)</v>
      </c>
      <c r="AB160" s="15" t="str">
        <f t="shared" si="12"/>
        <v>EP stainless tube for pharma &amp; API lines in Ludwigshafen. 24-30 days sea from Nhava Sheva to Hamburg. ASTM A270 S2, PMI tested, EN 10204 3.1.</v>
      </c>
      <c r="AC160" s="15" t="str">
        <f t="shared" si="13"/>
        <v>OK (141)</v>
      </c>
      <c r="AD160" s="15" t="str">
        <f t="shared" si="14"/>
        <v>Electropolished Pipes Manufacturer in Ludwigshafen</v>
      </c>
      <c r="AE160" s="15" t="str">
        <f t="shared" si="15"/>
        <v>How We Manufacture Electropolished Tube for Ludwigshafen Plants</v>
      </c>
      <c r="AF160" s="15" t="str">
        <f t="shared" si="16"/>
        <v>Supplying Electropolished Pipes in Ludwigshafen: Availability, Sizes &amp; Dispatch</v>
      </c>
      <c r="AG160" s="15" t="str">
        <f t="shared" si="17"/>
        <v>Wholesale Electropolished Pipe Supply for Ludwigshafen Projects</v>
      </c>
      <c r="AH160" s="15" t="str">
        <f t="shared" si="18"/>
        <v>electropolished pipes manufacturer in Ludwigshafen, electropolished pipes supplier in Ludwigshafen, electropolished pipes wholesaler in Ludwigshafen, electropolished tube manufacturer Ludwigshafen, EP pipe supplier Ludwigshafen, sanitary tube supplier Ludwigshafen, ASME BPE tubing Ludwigshafen, ASTM A270 tube Ludwigshafen, SS 316L electropolished pipe Ludwigshafen</v>
      </c>
      <c r="AI160" s="15" t="str">
        <f t="shared" si="19"/>
        <v>Electropolished Pipes Manufacturer &amp; Supplier in Ludwigshafen</v>
      </c>
      <c r="AJ160" s="15" t="str">
        <f t="shared" si="20"/>
        <v>EP-finished SS 304/316L pipes and tubes for pharma &amp; API plants in Ludwigshafen. ASME BPE SF1-SF4, Ra from 0.25 um, EN 10204 3.1 certificate with every lot.</v>
      </c>
      <c r="AK160" s="15" t="str">
        <f t="shared" si="21"/>
        <v>Electropolished stainless steel pipes supplied by Sakshi Forge to pharma &amp; API plants at BASF Verbund Site Ludwigshafen, Ludwigshafen</v>
      </c>
      <c r="AL160" s="15" t="str">
        <f t="shared" si="22"/>
        <v>Electropolished SS 316L tube stock for Ludwigshafen - Sakshi Forge</v>
      </c>
      <c r="AM160" s="15" t="str">
        <f t="shared" si="23"/>
        <v>Home &gt; Market Area &gt; Germany &gt; Rhineland-Palatinate &gt; Ludwigshafen</v>
      </c>
      <c r="AN160" s="15">
        <f t="shared" si="24"/>
        <v>1400</v>
      </c>
      <c r="AO160" s="15">
        <f t="shared" si="25"/>
        <v>10</v>
      </c>
      <c r="AP160" s="15">
        <f t="shared" si="26"/>
        <v>12</v>
      </c>
      <c r="AQ160" s="15">
        <f t="shared" si="27"/>
        <v>3</v>
      </c>
      <c r="AR160" s="31"/>
      <c r="AS160" s="31"/>
      <c r="AT160" s="35" t="s">
        <v>222</v>
      </c>
      <c r="AU160" s="35"/>
    </row>
    <row r="161" ht="15.75" customHeight="1">
      <c r="A161" s="15" t="s">
        <v>6444</v>
      </c>
      <c r="B161" s="15" t="s">
        <v>243</v>
      </c>
      <c r="C161" s="15" t="s">
        <v>6247</v>
      </c>
      <c r="D161" s="15" t="s">
        <v>6446</v>
      </c>
      <c r="E161" s="15" t="s">
        <v>6446</v>
      </c>
      <c r="F161" s="16" t="s">
        <v>87</v>
      </c>
      <c r="G161" s="17" t="s">
        <v>88</v>
      </c>
      <c r="H161" s="18" t="s">
        <v>6448</v>
      </c>
      <c r="I161" s="18" t="s">
        <v>6448</v>
      </c>
      <c r="J161" s="18" t="s">
        <v>6449</v>
      </c>
      <c r="K161" s="18" t="s">
        <v>1320</v>
      </c>
      <c r="L161" s="18" t="s">
        <v>6088</v>
      </c>
      <c r="M161" s="18" t="s">
        <v>550</v>
      </c>
      <c r="N161" s="18" t="s">
        <v>254</v>
      </c>
      <c r="O161" s="18" t="s">
        <v>98</v>
      </c>
      <c r="P161" s="15" t="str">
        <f t="shared" si="1"/>
        <v>BIOTECH</v>
      </c>
      <c r="Q161" s="15">
        <f t="shared" si="2"/>
        <v>6</v>
      </c>
      <c r="R161" s="15">
        <f t="shared" si="3"/>
        <v>4</v>
      </c>
      <c r="S161" s="15">
        <f t="shared" si="4"/>
        <v>3</v>
      </c>
      <c r="T161" s="15" t="str">
        <f t="shared" si="5"/>
        <v>A-2</v>
      </c>
      <c r="U161" s="15" t="str">
        <f t="shared" si="6"/>
        <v>T6-M4-H3-FA-2-BIOTECH</v>
      </c>
      <c r="V161" s="15">
        <f t="shared" si="7"/>
        <v>0</v>
      </c>
      <c r="W161" s="31"/>
      <c r="X161" s="15" t="str">
        <f t="shared" si="8"/>
        <v>marburg-germany</v>
      </c>
      <c r="Y161" s="32" t="str">
        <f t="shared" si="9"/>
        <v>https://steelmanufacturer.in/market-area/electropolished-pipes-manufacturer-in-marburg-germany/</v>
      </c>
      <c r="Z161" s="15" t="str">
        <f t="shared" si="10"/>
        <v>Electropolished Pipes Manufacturer in Marburg</v>
      </c>
      <c r="AA161" s="15" t="str">
        <f t="shared" si="11"/>
        <v>OK (45)</v>
      </c>
      <c r="AB161" s="15" t="str">
        <f t="shared" si="12"/>
        <v>Sanitary electropolished pipes in Marburg for biotech plants. ASME BPE SF1-SF4, orbital-weld ready, 3.1 MTC. Mumbai-made.</v>
      </c>
      <c r="AC161" s="15" t="str">
        <f t="shared" si="13"/>
        <v>OK (121)</v>
      </c>
      <c r="AD161" s="15" t="str">
        <f t="shared" si="14"/>
        <v>Electropolished Pipes Manufacturer in Marburg</v>
      </c>
      <c r="AE161" s="15" t="str">
        <f t="shared" si="15"/>
        <v>Electropolished Pipes Manufacturer in Marburg - Our Process &amp; Capability</v>
      </c>
      <c r="AF161" s="15" t="str">
        <f t="shared" si="16"/>
        <v>Electropolished Pipes Supplier in Marburg - What We Hold in Stock</v>
      </c>
      <c r="AG161" s="15" t="str">
        <f t="shared" si="17"/>
        <v>Bulk &amp; Wholesale Electropolished Pipe Rates for Marburg Buyers</v>
      </c>
      <c r="AH161" s="15" t="str">
        <f t="shared" si="18"/>
        <v>electropolished pipes manufacturer in Marburg, electropolished pipes supplier in Marburg, electropolished pipes wholesaler in Marburg, electropolished tube manufacturer Marburg, EP pipe supplier Marburg, sanitary tube supplier Marburg, ASME BPE tubing Marburg, ASTM A270 tube Marburg, SS 316L electropolished pipe Marburg</v>
      </c>
      <c r="AI161" s="15" t="str">
        <f t="shared" si="19"/>
        <v>Electropolished Pipes Manufacturer &amp; Supplier in Marburg</v>
      </c>
      <c r="AJ161" s="15" t="str">
        <f t="shared" si="20"/>
        <v>EP-finished SS 304/316L pipes and tubes for biotech plants in Marburg. ASME BPE SF1-SF4, Ra from 0.25 um, EN 10204 3.1 certificate with every lot.</v>
      </c>
      <c r="AK161" s="15" t="str">
        <f t="shared" si="21"/>
        <v>Electropolished stainless steel pipes supplied by Sakshi Forge to biotech plants at Behringwerke Marburg Industrial Park, Marburg</v>
      </c>
      <c r="AL161" s="15" t="str">
        <f t="shared" si="22"/>
        <v>Electropolished SS 316L tube stock for Marburg - Sakshi Forge</v>
      </c>
      <c r="AM161" s="15" t="str">
        <f t="shared" si="23"/>
        <v>Home &gt; Market Area &gt; Germany &gt; Hesse &gt; Marburg</v>
      </c>
      <c r="AN161" s="15">
        <f t="shared" si="24"/>
        <v>1400</v>
      </c>
      <c r="AO161" s="15">
        <f t="shared" si="25"/>
        <v>10</v>
      </c>
      <c r="AP161" s="15">
        <f t="shared" si="26"/>
        <v>12</v>
      </c>
      <c r="AQ161" s="15">
        <f t="shared" si="27"/>
        <v>3</v>
      </c>
      <c r="AR161" s="31"/>
      <c r="AS161" s="31"/>
      <c r="AT161" s="35" t="s">
        <v>222</v>
      </c>
      <c r="AU161" s="35"/>
    </row>
    <row r="162" ht="15.75" customHeight="1">
      <c r="A162" s="15" t="s">
        <v>6483</v>
      </c>
      <c r="B162" s="15" t="s">
        <v>243</v>
      </c>
      <c r="C162" s="15" t="s">
        <v>6486</v>
      </c>
      <c r="D162" s="15" t="s">
        <v>6487</v>
      </c>
      <c r="E162" s="15" t="s">
        <v>6487</v>
      </c>
      <c r="F162" s="16" t="s">
        <v>87</v>
      </c>
      <c r="G162" s="17" t="s">
        <v>88</v>
      </c>
      <c r="H162" s="18" t="s">
        <v>6488</v>
      </c>
      <c r="I162" s="18" t="s">
        <v>6490</v>
      </c>
      <c r="J162" s="18" t="s">
        <v>6491</v>
      </c>
      <c r="K162" s="18" t="s">
        <v>1320</v>
      </c>
      <c r="L162" s="18" t="s">
        <v>6088</v>
      </c>
      <c r="M162" s="18" t="s">
        <v>550</v>
      </c>
      <c r="N162" s="18" t="s">
        <v>254</v>
      </c>
      <c r="O162" s="18" t="s">
        <v>98</v>
      </c>
      <c r="P162" s="15" t="str">
        <f t="shared" si="1"/>
        <v>BIOTECH</v>
      </c>
      <c r="Q162" s="15">
        <f t="shared" si="2"/>
        <v>7</v>
      </c>
      <c r="R162" s="15">
        <f t="shared" si="3"/>
        <v>5</v>
      </c>
      <c r="S162" s="15">
        <f t="shared" si="4"/>
        <v>4</v>
      </c>
      <c r="T162" s="15" t="str">
        <f t="shared" si="5"/>
        <v>A-3</v>
      </c>
      <c r="U162" s="15" t="str">
        <f t="shared" si="6"/>
        <v>T7-M5-H4-FA-3-BIOTECH</v>
      </c>
      <c r="V162" s="15">
        <f t="shared" si="7"/>
        <v>0</v>
      </c>
      <c r="W162" s="31"/>
      <c r="X162" s="15" t="str">
        <f t="shared" si="8"/>
        <v>munich-germany</v>
      </c>
      <c r="Y162" s="32" t="str">
        <f t="shared" si="9"/>
        <v>https://steelmanufacturer.in/market-area/electropolished-pipes-manufacturer-in-munich-germany/</v>
      </c>
      <c r="Z162" s="15" t="str">
        <f t="shared" si="10"/>
        <v>Electropolished Pipes Manufacturer in Munich | ASME BPE SF1-SF4</v>
      </c>
      <c r="AA162" s="15" t="str">
        <f t="shared" si="11"/>
        <v>OK (63)</v>
      </c>
      <c r="AB162" s="15" t="str">
        <f t="shared" si="12"/>
        <v>Manufacturer of electropolished SS 316L tube serving Munich. 24-30 days sea from Nhava Sheva to Hamburg. Ra 0.25-0.5 um, EN 10204 3.1 MTC.</v>
      </c>
      <c r="AC162" s="15" t="str">
        <f t="shared" si="13"/>
        <v>OK (138)</v>
      </c>
      <c r="AD162" s="15" t="str">
        <f t="shared" si="14"/>
        <v>Electropolished Pipes Manufacturer in Munich</v>
      </c>
      <c r="AE162" s="15" t="str">
        <f t="shared" si="15"/>
        <v>Manufacturing Electropolished SS Tube for Munich: The Standards We Build To</v>
      </c>
      <c r="AF162" s="15" t="str">
        <f t="shared" si="16"/>
        <v>Electropolished Pipe Supply Into Munich - Certification &amp; Transit</v>
      </c>
      <c r="AG162" s="15" t="str">
        <f t="shared" si="17"/>
        <v>Electropolished Pipes Wholesaler in Munich - Project Quantities &amp; Terms</v>
      </c>
      <c r="AH162" s="15" t="str">
        <f t="shared" si="18"/>
        <v>electropolished pipes manufacturer in Munich, electropolished pipes supplier in Munich, electropolished pipes wholesaler in Munich, electropolished tube manufacturer Munich, EP pipe supplier Munich, sanitary tube supplier Munich, ASME BPE tubing Munich, ASTM A270 tube Munich, SS 316L electropolished pipe Munich</v>
      </c>
      <c r="AI162" s="15" t="str">
        <f t="shared" si="19"/>
        <v>Electropolished Pipes Manufacturer &amp; Supplier in Munich</v>
      </c>
      <c r="AJ162" s="15" t="str">
        <f t="shared" si="20"/>
        <v>EP-finished SS 304/316L pipes and tubes for biotech plants in Munich. ASME BPE SF1-SF4, Ra from 0.25 um, EN 10204 3.1 certificate with every lot.</v>
      </c>
      <c r="AK162" s="15" t="str">
        <f t="shared" si="21"/>
        <v>Electropolished stainless steel pipes supplied by Sakshi Forge to biotech plants at Martinsried Biotech Campus, Munich</v>
      </c>
      <c r="AL162" s="15" t="str">
        <f t="shared" si="22"/>
        <v>Electropolished SS 316L tube stock for Munich - Sakshi Forge</v>
      </c>
      <c r="AM162" s="15" t="str">
        <f t="shared" si="23"/>
        <v>Home &gt; Market Area &gt; Germany &gt; Bavaria &gt; Munich</v>
      </c>
      <c r="AN162" s="15">
        <f t="shared" si="24"/>
        <v>1400</v>
      </c>
      <c r="AO162" s="15">
        <f t="shared" si="25"/>
        <v>10</v>
      </c>
      <c r="AP162" s="15">
        <f t="shared" si="26"/>
        <v>12</v>
      </c>
      <c r="AQ162" s="15">
        <f t="shared" si="27"/>
        <v>3</v>
      </c>
      <c r="AR162" s="31"/>
      <c r="AS162" s="31"/>
      <c r="AT162" s="35" t="s">
        <v>222</v>
      </c>
      <c r="AU162" s="35"/>
    </row>
    <row r="163" ht="15.75" customHeight="1">
      <c r="A163" s="15" t="s">
        <v>6526</v>
      </c>
      <c r="B163" s="15" t="s">
        <v>243</v>
      </c>
      <c r="C163" s="15" t="s">
        <v>6133</v>
      </c>
      <c r="D163" s="15" t="s">
        <v>6528</v>
      </c>
      <c r="E163" s="15" t="s">
        <v>6528</v>
      </c>
      <c r="F163" s="16" t="s">
        <v>87</v>
      </c>
      <c r="G163" s="17" t="s">
        <v>88</v>
      </c>
      <c r="H163" s="18" t="s">
        <v>6530</v>
      </c>
      <c r="I163" s="18" t="s">
        <v>6531</v>
      </c>
      <c r="J163" s="18" t="s">
        <v>6533</v>
      </c>
      <c r="K163" s="18" t="s">
        <v>6534</v>
      </c>
      <c r="L163" s="18" t="s">
        <v>6088</v>
      </c>
      <c r="M163" s="18" t="s">
        <v>550</v>
      </c>
      <c r="N163" s="18" t="s">
        <v>254</v>
      </c>
      <c r="O163" s="18" t="s">
        <v>98</v>
      </c>
      <c r="P163" s="15" t="str">
        <f t="shared" si="1"/>
        <v>PHARMA</v>
      </c>
      <c r="Q163" s="15">
        <f t="shared" si="2"/>
        <v>8</v>
      </c>
      <c r="R163" s="15">
        <f t="shared" si="3"/>
        <v>6</v>
      </c>
      <c r="S163" s="15">
        <f t="shared" si="4"/>
        <v>5</v>
      </c>
      <c r="T163" s="15" t="str">
        <f t="shared" si="5"/>
        <v>A-4</v>
      </c>
      <c r="U163" s="15" t="str">
        <f t="shared" si="6"/>
        <v>T8-M6-H5-FA-4-PHARMA</v>
      </c>
      <c r="V163" s="15">
        <f t="shared" si="7"/>
        <v>0</v>
      </c>
      <c r="W163" s="31"/>
      <c r="X163" s="15" t="str">
        <f t="shared" si="8"/>
        <v>stuttgart-germany</v>
      </c>
      <c r="Y163" s="32" t="str">
        <f t="shared" si="9"/>
        <v>https://steelmanufacturer.in/market-area/electropolished-pipes-manufacturer-in-stuttgart-germany/</v>
      </c>
      <c r="Z163" s="15" t="str">
        <f t="shared" si="10"/>
        <v>Electropolished Pipes Manufacturer in Stuttgart</v>
      </c>
      <c r="AA163" s="15" t="str">
        <f t="shared" si="11"/>
        <v>OK (47)</v>
      </c>
      <c r="AB163" s="15" t="str">
        <f t="shared" si="12"/>
        <v>EP tube and pipe for medical device plants around Stuttgart Feuerbach, Stuttgart. Made at our Mumbai works to ASTM A270 and ASME BPE SF1-SF4, with 3.1 MTC.</v>
      </c>
      <c r="AC163" s="15" t="str">
        <f t="shared" si="13"/>
        <v>OK (155)</v>
      </c>
      <c r="AD163" s="15" t="str">
        <f t="shared" si="14"/>
        <v>Electropolished Pipes Manufacturer in Stuttgart</v>
      </c>
      <c r="AE163" s="15" t="str">
        <f t="shared" si="15"/>
        <v>Electropolished Tube Manufacturing Capability Serving Stuttgart</v>
      </c>
      <c r="AF163" s="15" t="str">
        <f t="shared" si="16"/>
        <v>Electropolished Pipes Supplier in Stuttgart - From Order to Delivery</v>
      </c>
      <c r="AG163" s="15" t="str">
        <f t="shared" si="17"/>
        <v>Stockist &amp; Wholesale Supply of Electropolished Pipes in Stuttgart</v>
      </c>
      <c r="AH163" s="15" t="str">
        <f t="shared" si="18"/>
        <v>electropolished pipes manufacturer in Stuttgart, electropolished pipes supplier in Stuttgart, electropolished pipes wholesaler in Stuttgart, electropolished tube manufacturer Stuttgart, EP pipe supplier Stuttgart, sanitary tube supplier Stuttgart, ASME BPE tubing Stuttgart, ASTM A270 tube Stuttgart, SS 316L electropolished pipe Stuttgart</v>
      </c>
      <c r="AI163" s="15" t="str">
        <f t="shared" si="19"/>
        <v>Electropolished Pipes Manufacturer &amp; Supplier in Stuttgart</v>
      </c>
      <c r="AJ163" s="15" t="str">
        <f t="shared" si="20"/>
        <v>EP-finished SS 304/316L pipes and tubes for medical device plants in Stuttgart. ASME BPE SF1-SF4, Ra from 0.25 um, EN 10204 3.1 certificate with every lot.</v>
      </c>
      <c r="AK163" s="15" t="str">
        <f t="shared" si="21"/>
        <v>Electropolished stainless steel pipes supplied by Sakshi Forge to medical device plants at Stuttgart Feuerbach, Stuttgart</v>
      </c>
      <c r="AL163" s="15" t="str">
        <f t="shared" si="22"/>
        <v>Electropolished SS 316L tube stock for Stuttgart - Sakshi Forge</v>
      </c>
      <c r="AM163" s="15" t="str">
        <f t="shared" si="23"/>
        <v>Home &gt; Market Area &gt; Germany &gt; Baden-Wurttemberg &gt; Stuttgart</v>
      </c>
      <c r="AN163" s="15">
        <f t="shared" si="24"/>
        <v>1400</v>
      </c>
      <c r="AO163" s="15">
        <f t="shared" si="25"/>
        <v>10</v>
      </c>
      <c r="AP163" s="15">
        <f t="shared" si="26"/>
        <v>12</v>
      </c>
      <c r="AQ163" s="15">
        <f t="shared" si="27"/>
        <v>3</v>
      </c>
      <c r="AR163" s="31"/>
      <c r="AS163" s="31"/>
      <c r="AT163" s="35" t="s">
        <v>222</v>
      </c>
      <c r="AU163" s="35"/>
    </row>
    <row r="164" ht="15.75" customHeight="1">
      <c r="A164" s="15" t="s">
        <v>6572</v>
      </c>
      <c r="B164" s="15" t="s">
        <v>445</v>
      </c>
      <c r="C164" s="15" t="s">
        <v>6574</v>
      </c>
      <c r="D164" s="15" t="s">
        <v>6575</v>
      </c>
      <c r="E164" s="15" t="s">
        <v>6575</v>
      </c>
      <c r="F164" s="16" t="s">
        <v>87</v>
      </c>
      <c r="G164" s="17" t="s">
        <v>88</v>
      </c>
      <c r="H164" s="18" t="s">
        <v>6577</v>
      </c>
      <c r="I164" s="18" t="s">
        <v>6579</v>
      </c>
      <c r="J164" s="18" t="s">
        <v>6580</v>
      </c>
      <c r="K164" s="18" t="s">
        <v>1730</v>
      </c>
      <c r="L164" s="18" t="s">
        <v>6582</v>
      </c>
      <c r="M164" s="18" t="s">
        <v>643</v>
      </c>
      <c r="N164" s="18" t="s">
        <v>453</v>
      </c>
      <c r="O164" s="18" t="s">
        <v>98</v>
      </c>
      <c r="P164" s="15" t="str">
        <f t="shared" si="1"/>
        <v>SEMI</v>
      </c>
      <c r="Q164" s="15">
        <f t="shared" si="2"/>
        <v>1</v>
      </c>
      <c r="R164" s="15">
        <f t="shared" si="3"/>
        <v>7</v>
      </c>
      <c r="S164" s="15">
        <f t="shared" si="4"/>
        <v>1</v>
      </c>
      <c r="T164" s="15" t="str">
        <f t="shared" si="5"/>
        <v>A-5</v>
      </c>
      <c r="U164" s="15" t="str">
        <f t="shared" si="6"/>
        <v>T1-M7-H1-FA-5-SEMI</v>
      </c>
      <c r="V164" s="15">
        <f t="shared" si="7"/>
        <v>0</v>
      </c>
      <c r="W164" s="31"/>
      <c r="X164" s="15" t="str">
        <f t="shared" si="8"/>
        <v>batam-indonesia</v>
      </c>
      <c r="Y164" s="32" t="str">
        <f t="shared" si="9"/>
        <v>https://steelmanufacturer.in/market-area/electropolished-pipes-manufacturer-in-batam-indonesia/</v>
      </c>
      <c r="Z164" s="15" t="str">
        <f t="shared" si="10"/>
        <v>Electropolished Pipes Manufacturer in Batam | Sakshi Forge</v>
      </c>
      <c r="AA164" s="15" t="str">
        <f t="shared" si="11"/>
        <v>OK (58)</v>
      </c>
      <c r="AB164" s="15" t="str">
        <f t="shared" si="12"/>
        <v>Electropolished pipes in Batam: 304, 304L, 316 and 316L in SF1-SF4. 10-14 days sea from Nhava Sheva to Tanjung Priok. Mill certified.</v>
      </c>
      <c r="AC164" s="15" t="str">
        <f t="shared" si="13"/>
        <v>OK (133)</v>
      </c>
      <c r="AD164" s="15" t="str">
        <f t="shared" si="14"/>
        <v>Electropolished Pipes Manufacturer in Batam</v>
      </c>
      <c r="AE164" s="15" t="str">
        <f t="shared" si="15"/>
        <v>Electropolished Pipe &amp; Tube Manufacturing for Batam - Grades, Finishes &amp; Certification</v>
      </c>
      <c r="AF164" s="15" t="str">
        <f t="shared" si="16"/>
        <v>Electropolished Pipes Supplier in Batam - Stock Sizes, Lead Time &amp; Delivery</v>
      </c>
      <c r="AG164" s="15" t="str">
        <f t="shared" si="17"/>
        <v>Electropolished Pipes Wholesaler &amp; Stockist in Batam - Bulk &amp; Project Pricing</v>
      </c>
      <c r="AH164" s="15" t="str">
        <f t="shared" si="18"/>
        <v>electropolished pipes manufacturer in Batam, electropolished pipes supplier in Batam, electropolished pipes wholesaler in Batam, electropolished tube manufacturer Batam, EP pipe supplier Batam, sanitary tube supplier Batam, ASME BPE tubing Batam, ASTM A270 tube Batam, SS 316L electropolished pipe Batam</v>
      </c>
      <c r="AI164" s="15" t="str">
        <f t="shared" si="19"/>
        <v>Electropolished Pipes Manufacturer &amp; Supplier in Batam</v>
      </c>
      <c r="AJ164" s="15" t="str">
        <f t="shared" si="20"/>
        <v>EP-finished SS 304/316L pipes and tubes for electronics plants in Batam. ASME BPE SF1-SF4, Ra from 0.25 um, EN 10204 3.1 certificate with every lot.</v>
      </c>
      <c r="AK164" s="15" t="str">
        <f t="shared" si="21"/>
        <v>Electropolished stainless steel pipes supplied by Sakshi Forge to electronics plants at Batamindo Industrial Park, Batam</v>
      </c>
      <c r="AL164" s="15" t="str">
        <f t="shared" si="22"/>
        <v>Electropolished SS 316L tube stock for Batam - Sakshi Forge</v>
      </c>
      <c r="AM164" s="15" t="str">
        <f t="shared" si="23"/>
        <v>Home &gt; Market Area &gt; Indonesia &gt; Riau Islands &gt; Batam</v>
      </c>
      <c r="AN164" s="15">
        <f t="shared" si="24"/>
        <v>1400</v>
      </c>
      <c r="AO164" s="15">
        <f t="shared" si="25"/>
        <v>10</v>
      </c>
      <c r="AP164" s="15">
        <f t="shared" si="26"/>
        <v>12</v>
      </c>
      <c r="AQ164" s="15">
        <f t="shared" si="27"/>
        <v>3</v>
      </c>
      <c r="AR164" s="31"/>
      <c r="AS164" s="31"/>
      <c r="AT164" s="35" t="s">
        <v>222</v>
      </c>
      <c r="AU164" s="35"/>
    </row>
    <row r="165" ht="15.75" customHeight="1">
      <c r="A165" s="15" t="s">
        <v>6616</v>
      </c>
      <c r="B165" s="15" t="s">
        <v>445</v>
      </c>
      <c r="C165" s="15" t="s">
        <v>6618</v>
      </c>
      <c r="D165" s="15" t="s">
        <v>6619</v>
      </c>
      <c r="E165" s="15" t="s">
        <v>6619</v>
      </c>
      <c r="F165" s="16" t="s">
        <v>87</v>
      </c>
      <c r="G165" s="17" t="s">
        <v>88</v>
      </c>
      <c r="H165" s="18" t="s">
        <v>6621</v>
      </c>
      <c r="I165" s="18" t="s">
        <v>6623</v>
      </c>
      <c r="J165" s="18" t="s">
        <v>6625</v>
      </c>
      <c r="K165" s="18" t="s">
        <v>229</v>
      </c>
      <c r="L165" s="18" t="s">
        <v>6626</v>
      </c>
      <c r="M165" s="18" t="s">
        <v>643</v>
      </c>
      <c r="N165" s="18" t="s">
        <v>453</v>
      </c>
      <c r="O165" s="18" t="s">
        <v>98</v>
      </c>
      <c r="P165" s="15" t="str">
        <f t="shared" si="1"/>
        <v>PHARMA</v>
      </c>
      <c r="Q165" s="15">
        <f t="shared" si="2"/>
        <v>2</v>
      </c>
      <c r="R165" s="15">
        <f t="shared" si="3"/>
        <v>1</v>
      </c>
      <c r="S165" s="15">
        <f t="shared" si="4"/>
        <v>2</v>
      </c>
      <c r="T165" s="15" t="str">
        <f t="shared" si="5"/>
        <v>A-6</v>
      </c>
      <c r="U165" s="15" t="str">
        <f t="shared" si="6"/>
        <v>T2-M1-H2-FA-6-PHARMA</v>
      </c>
      <c r="V165" s="15">
        <f t="shared" si="7"/>
        <v>0</v>
      </c>
      <c r="W165" s="31"/>
      <c r="X165" s="15" t="str">
        <f t="shared" si="8"/>
        <v>bekasi-indonesia</v>
      </c>
      <c r="Y165" s="32" t="str">
        <f t="shared" si="9"/>
        <v>https://steelmanufacturer.in/market-area/electropolished-pipes-manufacturer-in-bekasi-indonesia/</v>
      </c>
      <c r="Z165" s="15" t="str">
        <f t="shared" si="10"/>
        <v>Electropolished Pipes Manufacturer in Bekasi</v>
      </c>
      <c r="AA165" s="15" t="str">
        <f t="shared" si="11"/>
        <v>OK (44)</v>
      </c>
      <c r="AB165" s="15" t="str">
        <f t="shared" si="12"/>
        <v>EP-finished SS 304/316L pipes &amp; tubes for pharma plants in Bekasi. ASTM A270, ASME BPE SF1-SF4, EN 10204 3.1 MTC. PMI tested.</v>
      </c>
      <c r="AC165" s="15" t="str">
        <f t="shared" si="13"/>
        <v>OK (125)</v>
      </c>
      <c r="AD165" s="15" t="str">
        <f t="shared" si="14"/>
        <v>Electropolished Pipes Manufacturer in Bekasi</v>
      </c>
      <c r="AE165" s="15" t="str">
        <f t="shared" si="15"/>
        <v>How We Manufacture Electropolished Tube for Bekasi Plants</v>
      </c>
      <c r="AF165" s="15" t="str">
        <f t="shared" si="16"/>
        <v>Supplying Electropolished Pipes in Bekasi: Availability, Sizes &amp; Dispatch</v>
      </c>
      <c r="AG165" s="15" t="str">
        <f t="shared" si="17"/>
        <v>Wholesale Electropolished Pipe Supply for Bekasi Projects</v>
      </c>
      <c r="AH165" s="15" t="str">
        <f t="shared" si="18"/>
        <v>electropolished pipes manufacturer in Bekasi, electropolished pipes supplier in Bekasi, electropolished pipes wholesaler in Bekasi, electropolished tube manufacturer Bekasi, EP pipe supplier Bekasi, sanitary tube supplier Bekasi, ASME BPE tubing Bekasi, ASTM A270 tube Bekasi, SS 316L electropolished pipe Bekasi</v>
      </c>
      <c r="AI165" s="15" t="str">
        <f t="shared" si="19"/>
        <v>Electropolished Pipes Manufacturer &amp; Supplier in Bekasi</v>
      </c>
      <c r="AJ165" s="15" t="str">
        <f t="shared" si="20"/>
        <v>EP-finished SS 304/316L pipes and tubes for pharma plants in Bekasi. ASME BPE SF1-SF4, Ra from 0.25 um, EN 10204 3.1 certificate with every lot.</v>
      </c>
      <c r="AK165" s="15" t="str">
        <f t="shared" si="21"/>
        <v>Electropolished stainless steel pipes supplied by Sakshi Forge to pharma plants at Bekasi Industrial Estate, Bekasi</v>
      </c>
      <c r="AL165" s="15" t="str">
        <f t="shared" si="22"/>
        <v>Electropolished SS 316L tube stock for Bekasi - Sakshi Forge</v>
      </c>
      <c r="AM165" s="15" t="str">
        <f t="shared" si="23"/>
        <v>Home &gt; Market Area &gt; Indonesia &gt; West Java &gt; Bekasi</v>
      </c>
      <c r="AN165" s="15">
        <f t="shared" si="24"/>
        <v>1400</v>
      </c>
      <c r="AO165" s="15">
        <f t="shared" si="25"/>
        <v>10</v>
      </c>
      <c r="AP165" s="15">
        <f t="shared" si="26"/>
        <v>12</v>
      </c>
      <c r="AQ165" s="15">
        <f t="shared" si="27"/>
        <v>3</v>
      </c>
      <c r="AR165" s="31"/>
      <c r="AS165" s="31"/>
      <c r="AT165" s="35" t="s">
        <v>222</v>
      </c>
      <c r="AU165" s="35"/>
    </row>
    <row r="166" ht="15.75" customHeight="1">
      <c r="A166" s="15" t="s">
        <v>6659</v>
      </c>
      <c r="B166" s="15" t="s">
        <v>445</v>
      </c>
      <c r="C166" s="15" t="s">
        <v>6618</v>
      </c>
      <c r="D166" s="15" t="s">
        <v>6661</v>
      </c>
      <c r="E166" s="15" t="s">
        <v>6661</v>
      </c>
      <c r="F166" s="16" t="s">
        <v>87</v>
      </c>
      <c r="G166" s="17" t="s">
        <v>88</v>
      </c>
      <c r="H166" s="18" t="s">
        <v>6664</v>
      </c>
      <c r="I166" s="18" t="s">
        <v>6665</v>
      </c>
      <c r="J166" s="18" t="s">
        <v>6667</v>
      </c>
      <c r="K166" s="18" t="s">
        <v>969</v>
      </c>
      <c r="L166" s="18" t="s">
        <v>6626</v>
      </c>
      <c r="M166" s="18" t="s">
        <v>643</v>
      </c>
      <c r="N166" s="18" t="s">
        <v>453</v>
      </c>
      <c r="O166" s="18" t="s">
        <v>98</v>
      </c>
      <c r="P166" s="15" t="str">
        <f t="shared" si="1"/>
        <v>SEMI</v>
      </c>
      <c r="Q166" s="15">
        <f t="shared" si="2"/>
        <v>3</v>
      </c>
      <c r="R166" s="15">
        <f t="shared" si="3"/>
        <v>2</v>
      </c>
      <c r="S166" s="15">
        <f t="shared" si="4"/>
        <v>3</v>
      </c>
      <c r="T166" s="15" t="str">
        <f t="shared" si="5"/>
        <v>A-1</v>
      </c>
      <c r="U166" s="15" t="str">
        <f t="shared" si="6"/>
        <v>T3-M2-H3-FA-1-SEMI</v>
      </c>
      <c r="V166" s="15">
        <f t="shared" si="7"/>
        <v>0</v>
      </c>
      <c r="W166" s="31"/>
      <c r="X166" s="15" t="str">
        <f t="shared" si="8"/>
        <v>cikarang-indonesia</v>
      </c>
      <c r="Y166" s="32" t="str">
        <f t="shared" si="9"/>
        <v>https://steelmanufacturer.in/market-area/electropolished-pipes-manufacturer-in-cikarang-indonesia/</v>
      </c>
      <c r="Z166" s="15" t="str">
        <f t="shared" si="10"/>
        <v>Electropolished Pipes Manufacturer in Cikarang | EP Tube Supplier</v>
      </c>
      <c r="AA166" s="15" t="str">
        <f t="shared" si="11"/>
        <v>OK (65)</v>
      </c>
      <c r="AB166" s="15" t="str">
        <f t="shared" si="12"/>
        <v>Electropolished tube supply to Jababeka Industrial Estate, Cikarang. Ra from 0.25 um, SF4 finish, mill test certificate with every lot.</v>
      </c>
      <c r="AC166" s="15" t="str">
        <f t="shared" si="13"/>
        <v>OK (135)</v>
      </c>
      <c r="AD166" s="15" t="str">
        <f t="shared" si="14"/>
        <v>Electropolished Pipes Manufacturer in Cikarang</v>
      </c>
      <c r="AE166" s="15" t="str">
        <f t="shared" si="15"/>
        <v>Electropolished Pipes Manufacturer in Cikarang - Our Process &amp; Capability</v>
      </c>
      <c r="AF166" s="15" t="str">
        <f t="shared" si="16"/>
        <v>Electropolished Pipes Supplier in Cikarang - What We Hold in Stock</v>
      </c>
      <c r="AG166" s="15" t="str">
        <f t="shared" si="17"/>
        <v>Bulk &amp; Wholesale Electropolished Pipe Rates for Cikarang Buyers</v>
      </c>
      <c r="AH166" s="15" t="str">
        <f t="shared" si="18"/>
        <v>electropolished pipes manufacturer in Cikarang, electropolished pipes supplier in Cikarang, electropolished pipes wholesaler in Cikarang, electropolished tube manufacturer Cikarang, EP pipe supplier Cikarang, sanitary tube supplier Cikarang, ASME BPE tubing Cikarang, ASTM A270 tube Cikarang, SS 316L electropolished pipe Cikarang</v>
      </c>
      <c r="AI166" s="15" t="str">
        <f t="shared" si="19"/>
        <v>Electropolished Pipes Manufacturer &amp; Supplier in Cikarang</v>
      </c>
      <c r="AJ166" s="15" t="str">
        <f t="shared" si="20"/>
        <v>EP-finished SS 304/316L pipes and tubes for electronics &amp; pharma plants in Cikarang. ASME BPE SF1-SF4, Ra from 0.25 um, EN 10204 3.1 certificate with every lot.</v>
      </c>
      <c r="AK166" s="15" t="str">
        <f t="shared" si="21"/>
        <v>Electropolished stainless steel pipes supplied by Sakshi Forge to electronics &amp; pharma plants at Jababeka Industrial Estate, Cikarang</v>
      </c>
      <c r="AL166" s="15" t="str">
        <f t="shared" si="22"/>
        <v>Electropolished SS 316L tube stock for Cikarang - Sakshi Forge</v>
      </c>
      <c r="AM166" s="15" t="str">
        <f t="shared" si="23"/>
        <v>Home &gt; Market Area &gt; Indonesia &gt; West Java &gt; Cikarang</v>
      </c>
      <c r="AN166" s="15">
        <f t="shared" si="24"/>
        <v>1400</v>
      </c>
      <c r="AO166" s="15">
        <f t="shared" si="25"/>
        <v>10</v>
      </c>
      <c r="AP166" s="15">
        <f t="shared" si="26"/>
        <v>12</v>
      </c>
      <c r="AQ166" s="15">
        <f t="shared" si="27"/>
        <v>3</v>
      </c>
      <c r="AR166" s="31"/>
      <c r="AS166" s="31"/>
      <c r="AT166" s="35" t="s">
        <v>222</v>
      </c>
      <c r="AU166" s="35"/>
    </row>
    <row r="167" ht="15.75" customHeight="1">
      <c r="A167" s="15" t="s">
        <v>6701</v>
      </c>
      <c r="B167" s="15" t="s">
        <v>445</v>
      </c>
      <c r="C167" s="15" t="s">
        <v>6703</v>
      </c>
      <c r="D167" s="15" t="s">
        <v>6704</v>
      </c>
      <c r="E167" s="15" t="s">
        <v>6704</v>
      </c>
      <c r="F167" s="16" t="s">
        <v>87</v>
      </c>
      <c r="G167" s="17" t="s">
        <v>88</v>
      </c>
      <c r="H167" s="18" t="s">
        <v>6707</v>
      </c>
      <c r="I167" s="18" t="s">
        <v>6707</v>
      </c>
      <c r="J167" s="18" t="s">
        <v>6708</v>
      </c>
      <c r="K167" s="18" t="s">
        <v>1084</v>
      </c>
      <c r="L167" s="18" t="s">
        <v>6710</v>
      </c>
      <c r="M167" s="18" t="s">
        <v>643</v>
      </c>
      <c r="N167" s="18" t="s">
        <v>453</v>
      </c>
      <c r="O167" s="18" t="s">
        <v>98</v>
      </c>
      <c r="P167" s="15" t="str">
        <f t="shared" si="1"/>
        <v>CHEM</v>
      </c>
      <c r="Q167" s="15">
        <f t="shared" si="2"/>
        <v>4</v>
      </c>
      <c r="R167" s="15">
        <f t="shared" si="3"/>
        <v>3</v>
      </c>
      <c r="S167" s="15">
        <f t="shared" si="4"/>
        <v>4</v>
      </c>
      <c r="T167" s="15" t="str">
        <f t="shared" si="5"/>
        <v>A-2</v>
      </c>
      <c r="U167" s="15" t="str">
        <f t="shared" si="6"/>
        <v>T4-M3-H4-FA-2-CHEM</v>
      </c>
      <c r="V167" s="15">
        <f t="shared" si="7"/>
        <v>0</v>
      </c>
      <c r="W167" s="31"/>
      <c r="X167" s="15" t="str">
        <f t="shared" si="8"/>
        <v>cilegon-indonesia</v>
      </c>
      <c r="Y167" s="32" t="str">
        <f t="shared" si="9"/>
        <v>https://steelmanufacturer.in/market-area/electropolished-pipes-manufacturer-in-cilegon-indonesia/</v>
      </c>
      <c r="Z167" s="15" t="str">
        <f t="shared" si="10"/>
        <v>Electropolished Pipes Manufacturer in Cilegon</v>
      </c>
      <c r="AA167" s="15" t="str">
        <f t="shared" si="11"/>
        <v>OK (45)</v>
      </c>
      <c r="AB167" s="15" t="str">
        <f t="shared" si="12"/>
        <v>EP stainless tube for petrochemical lines in Cilegon. 10-14 days sea from Nhava Sheva to Tanjung Priok. ASTM A270 S2, PMI tested, EN 10204 3.1.</v>
      </c>
      <c r="AC167" s="15" t="str">
        <f t="shared" si="13"/>
        <v>OK (143)</v>
      </c>
      <c r="AD167" s="15" t="str">
        <f t="shared" si="14"/>
        <v>Electropolished Pipes Manufacturer in Cilegon</v>
      </c>
      <c r="AE167" s="15" t="str">
        <f t="shared" si="15"/>
        <v>Manufacturing Electropolished SS Tube for Cilegon: The Standards We Build To</v>
      </c>
      <c r="AF167" s="15" t="str">
        <f t="shared" si="16"/>
        <v>Electropolished Pipe Supply Into Cilegon - Certification &amp; Transit</v>
      </c>
      <c r="AG167" s="15" t="str">
        <f t="shared" si="17"/>
        <v>Electropolished Pipes Wholesaler in Cilegon - Project Quantities &amp; Terms</v>
      </c>
      <c r="AH167" s="15" t="str">
        <f t="shared" si="18"/>
        <v>electropolished pipes manufacturer in Cilegon, electropolished pipes supplier in Cilegon, electropolished pipes wholesaler in Cilegon, electropolished tube manufacturer Cilegon, EP pipe supplier Cilegon, sanitary tube supplier Cilegon, ASME BPE tubing Cilegon, ASTM A270 tube Cilegon, SS 316L electropolished pipe Cilegon</v>
      </c>
      <c r="AI167" s="15" t="str">
        <f t="shared" si="19"/>
        <v>Electropolished Pipes Manufacturer &amp; Supplier in Cilegon</v>
      </c>
      <c r="AJ167" s="15" t="str">
        <f t="shared" si="20"/>
        <v>EP-finished SS 304/316L pipes and tubes for petrochemical plants in Cilegon. ASME BPE SF1-SF4, Ra from 0.25 um, EN 10204 3.1 certificate with every lot.</v>
      </c>
      <c r="AK167" s="15" t="str">
        <f t="shared" si="21"/>
        <v>Electropolished stainless steel pipes supplied by Sakshi Forge to petrochemical plants at Krakatau Industrial Estate Cilegon, Cilegon</v>
      </c>
      <c r="AL167" s="15" t="str">
        <f t="shared" si="22"/>
        <v>Electropolished SS 316L tube stock for Cilegon - Sakshi Forge</v>
      </c>
      <c r="AM167" s="15" t="str">
        <f t="shared" si="23"/>
        <v>Home &gt; Market Area &gt; Indonesia &gt; Banten &gt; Cilegon</v>
      </c>
      <c r="AN167" s="15">
        <f t="shared" si="24"/>
        <v>1400</v>
      </c>
      <c r="AO167" s="15">
        <f t="shared" si="25"/>
        <v>10</v>
      </c>
      <c r="AP167" s="15">
        <f t="shared" si="26"/>
        <v>12</v>
      </c>
      <c r="AQ167" s="15">
        <f t="shared" si="27"/>
        <v>3</v>
      </c>
      <c r="AR167" s="31"/>
      <c r="AS167" s="31"/>
      <c r="AT167" s="35" t="s">
        <v>222</v>
      </c>
      <c r="AU167" s="35"/>
    </row>
    <row r="168" ht="15.75" customHeight="1">
      <c r="A168" s="15" t="s">
        <v>6743</v>
      </c>
      <c r="B168" s="15" t="s">
        <v>445</v>
      </c>
      <c r="C168" s="15" t="s">
        <v>6746</v>
      </c>
      <c r="D168" s="15" t="s">
        <v>6747</v>
      </c>
      <c r="E168" s="15" t="s">
        <v>6747</v>
      </c>
      <c r="F168" s="16" t="s">
        <v>87</v>
      </c>
      <c r="G168" s="17" t="s">
        <v>88</v>
      </c>
      <c r="H168" s="18" t="s">
        <v>6749</v>
      </c>
      <c r="I168" s="18" t="s">
        <v>6750</v>
      </c>
      <c r="J168" s="18" t="s">
        <v>6752</v>
      </c>
      <c r="K168" s="18" t="s">
        <v>94</v>
      </c>
      <c r="L168" s="18" t="s">
        <v>6754</v>
      </c>
      <c r="M168" s="18" t="s">
        <v>643</v>
      </c>
      <c r="N168" s="18" t="s">
        <v>453</v>
      </c>
      <c r="O168" s="18" t="s">
        <v>98</v>
      </c>
      <c r="P168" s="15" t="str">
        <f t="shared" si="1"/>
        <v>FOOD</v>
      </c>
      <c r="Q168" s="15">
        <f t="shared" si="2"/>
        <v>5</v>
      </c>
      <c r="R168" s="15">
        <f t="shared" si="3"/>
        <v>4</v>
      </c>
      <c r="S168" s="15">
        <f t="shared" si="4"/>
        <v>5</v>
      </c>
      <c r="T168" s="15" t="str">
        <f t="shared" si="5"/>
        <v>A-3</v>
      </c>
      <c r="U168" s="15" t="str">
        <f t="shared" si="6"/>
        <v>T5-M4-H5-FA-3-FOOD</v>
      </c>
      <c r="V168" s="15">
        <f t="shared" si="7"/>
        <v>0</v>
      </c>
      <c r="W168" s="31"/>
      <c r="X168" s="15" t="str">
        <f t="shared" si="8"/>
        <v>gresik-indonesia</v>
      </c>
      <c r="Y168" s="32" t="str">
        <f t="shared" si="9"/>
        <v>https://steelmanufacturer.in/market-area/electropolished-pipes-manufacturer-in-gresik-indonesia/</v>
      </c>
      <c r="Z168" s="15" t="str">
        <f t="shared" si="10"/>
        <v>Electropolished Pipes Manufacturer in Gresik</v>
      </c>
      <c r="AA168" s="15" t="str">
        <f t="shared" si="11"/>
        <v>OK (44)</v>
      </c>
      <c r="AB168" s="15" t="str">
        <f t="shared" si="12"/>
        <v>Sanitary electropolished pipes in Gresik for food processing plants. ASME BPE SF1-SF4, orbital-weld ready, 3.1 MTC. Mumbai-made.</v>
      </c>
      <c r="AC168" s="15" t="str">
        <f t="shared" si="13"/>
        <v>OK (128)</v>
      </c>
      <c r="AD168" s="15" t="str">
        <f t="shared" si="14"/>
        <v>Electropolished Pipes Manufacturer in Gresik</v>
      </c>
      <c r="AE168" s="15" t="str">
        <f t="shared" si="15"/>
        <v>Electropolished Tube Manufacturing Capability Serving Gresik</v>
      </c>
      <c r="AF168" s="15" t="str">
        <f t="shared" si="16"/>
        <v>Electropolished Pipes Supplier in Gresik - From Order to Delivery</v>
      </c>
      <c r="AG168" s="15" t="str">
        <f t="shared" si="17"/>
        <v>Stockist &amp; Wholesale Supply of Electropolished Pipes in Gresik</v>
      </c>
      <c r="AH168" s="15" t="str">
        <f t="shared" si="18"/>
        <v>electropolished pipes manufacturer in Gresik, electropolished pipes supplier in Gresik, electropolished pipes wholesaler in Gresik, electropolished tube manufacturer Gresik, EP pipe supplier Gresik, sanitary tube supplier Gresik, ASME BPE tubing Gresik, ASTM A270 tube Gresik, SS 316L electropolished pipe Gresik</v>
      </c>
      <c r="AI168" s="15" t="str">
        <f t="shared" si="19"/>
        <v>Electropolished Pipes Manufacturer &amp; Supplier in Gresik</v>
      </c>
      <c r="AJ168" s="15" t="str">
        <f t="shared" si="20"/>
        <v>EP-finished SS 304/316L pipes and tubes for food processing plants in Gresik. ASME BPE SF1-SF4, Ra from 0.25 um, EN 10204 3.1 certificate with every lot.</v>
      </c>
      <c r="AK168" s="15" t="str">
        <f t="shared" si="21"/>
        <v>Electropolished stainless steel pipes supplied by Sakshi Forge to food processing plants at Java Integrated Industrial Estate (JIIPE), Gresik</v>
      </c>
      <c r="AL168" s="15" t="str">
        <f t="shared" si="22"/>
        <v>Electropolished SS 316L tube stock for Gresik - Sakshi Forge</v>
      </c>
      <c r="AM168" s="15" t="str">
        <f t="shared" si="23"/>
        <v>Home &gt; Market Area &gt; Indonesia &gt; East Java &gt; Gresik</v>
      </c>
      <c r="AN168" s="15">
        <f t="shared" si="24"/>
        <v>1400</v>
      </c>
      <c r="AO168" s="15">
        <f t="shared" si="25"/>
        <v>10</v>
      </c>
      <c r="AP168" s="15">
        <f t="shared" si="26"/>
        <v>12</v>
      </c>
      <c r="AQ168" s="15">
        <f t="shared" si="27"/>
        <v>3</v>
      </c>
      <c r="AR168" s="31"/>
      <c r="AS168" s="31"/>
      <c r="AT168" s="35" t="s">
        <v>222</v>
      </c>
      <c r="AU168" s="35"/>
    </row>
    <row r="169" ht="15.75" customHeight="1">
      <c r="A169" s="15" t="s">
        <v>6773</v>
      </c>
      <c r="B169" s="15" t="s">
        <v>445</v>
      </c>
      <c r="C169" s="15" t="s">
        <v>6774</v>
      </c>
      <c r="D169" s="15" t="s">
        <v>6775</v>
      </c>
      <c r="E169" s="15" t="s">
        <v>6775</v>
      </c>
      <c r="F169" s="16" t="s">
        <v>87</v>
      </c>
      <c r="G169" s="17" t="s">
        <v>88</v>
      </c>
      <c r="H169" s="18" t="s">
        <v>6776</v>
      </c>
      <c r="I169" s="18" t="s">
        <v>6778</v>
      </c>
      <c r="J169" s="18" t="s">
        <v>6779</v>
      </c>
      <c r="K169" s="18" t="s">
        <v>229</v>
      </c>
      <c r="L169" s="18" t="s">
        <v>6626</v>
      </c>
      <c r="M169" s="18" t="s">
        <v>643</v>
      </c>
      <c r="N169" s="18" t="s">
        <v>453</v>
      </c>
      <c r="O169" s="18" t="s">
        <v>98</v>
      </c>
      <c r="P169" s="15" t="str">
        <f t="shared" si="1"/>
        <v>PHARMA</v>
      </c>
      <c r="Q169" s="15">
        <f t="shared" si="2"/>
        <v>6</v>
      </c>
      <c r="R169" s="15">
        <f t="shared" si="3"/>
        <v>5</v>
      </c>
      <c r="S169" s="15">
        <f t="shared" si="4"/>
        <v>1</v>
      </c>
      <c r="T169" s="15" t="str">
        <f t="shared" si="5"/>
        <v>A-4</v>
      </c>
      <c r="U169" s="15" t="str">
        <f t="shared" si="6"/>
        <v>T6-M5-H1-FA-4-PHARMA</v>
      </c>
      <c r="V169" s="15">
        <f t="shared" si="7"/>
        <v>0</v>
      </c>
      <c r="W169" s="31"/>
      <c r="X169" s="15" t="str">
        <f t="shared" si="8"/>
        <v>jakarta-indonesia</v>
      </c>
      <c r="Y169" s="32" t="str">
        <f t="shared" si="9"/>
        <v>https://steelmanufacturer.in/market-area/electropolished-pipes-manufacturer-in-jakarta-indonesia/</v>
      </c>
      <c r="Z169" s="15" t="str">
        <f t="shared" si="10"/>
        <v>Electropolished Pipes Manufacturer in Jakarta</v>
      </c>
      <c r="AA169" s="15" t="str">
        <f t="shared" si="11"/>
        <v>OK (45)</v>
      </c>
      <c r="AB169" s="15" t="str">
        <f t="shared" si="12"/>
        <v>Manufacturer of electropolished SS 316L tube serving Jakarta. 10-14 days sea from Nhava Sheva to Tanjung Priok. Ra 0.25-0.5 um, EN 10204 3.1 MTC.</v>
      </c>
      <c r="AC169" s="15" t="str">
        <f t="shared" si="13"/>
        <v>OK (145)</v>
      </c>
      <c r="AD169" s="15" t="str">
        <f t="shared" si="14"/>
        <v>Electropolished Pipes Manufacturer in Jakarta</v>
      </c>
      <c r="AE169" s="15" t="str">
        <f t="shared" si="15"/>
        <v>Electropolished Pipe &amp; Tube Manufacturing for Jakarta - Grades, Finishes &amp; Certification</v>
      </c>
      <c r="AF169" s="15" t="str">
        <f t="shared" si="16"/>
        <v>Electropolished Pipes Supplier in Jakarta - Stock Sizes, Lead Time &amp; Delivery</v>
      </c>
      <c r="AG169" s="15" t="str">
        <f t="shared" si="17"/>
        <v>Electropolished Pipes Wholesaler &amp; Stockist in Jakarta - Bulk &amp; Project Pricing</v>
      </c>
      <c r="AH169" s="15" t="str">
        <f t="shared" si="18"/>
        <v>electropolished pipes manufacturer in Jakarta, electropolished pipes supplier in Jakarta, electropolished pipes wholesaler in Jakarta, electropolished tube manufacturer Jakarta, EP pipe supplier Jakarta, sanitary tube supplier Jakarta, ASME BPE tubing Jakarta, ASTM A270 tube Jakarta, SS 316L electropolished pipe Jakarta</v>
      </c>
      <c r="AI169" s="15" t="str">
        <f t="shared" si="19"/>
        <v>Electropolished Pipes Manufacturer &amp; Supplier in Jakarta</v>
      </c>
      <c r="AJ169" s="15" t="str">
        <f t="shared" si="20"/>
        <v>EP-finished SS 304/316L pipes and tubes for pharma plants in Jakarta. ASME BPE SF1-SF4, Ra from 0.25 um, EN 10204 3.1 certificate with every lot.</v>
      </c>
      <c r="AK169" s="15" t="str">
        <f t="shared" si="21"/>
        <v>Electropolished stainless steel pipes supplied by Sakshi Forge to pharma plants at Pulogadung Industrial Estate, Jakarta</v>
      </c>
      <c r="AL169" s="15" t="str">
        <f t="shared" si="22"/>
        <v>Electropolished SS 316L tube stock for Jakarta - Sakshi Forge</v>
      </c>
      <c r="AM169" s="15" t="str">
        <f t="shared" si="23"/>
        <v>Home &gt; Market Area &gt; Indonesia &gt; DKI Jakarta &gt; Jakarta</v>
      </c>
      <c r="AN169" s="15">
        <f t="shared" si="24"/>
        <v>1400</v>
      </c>
      <c r="AO169" s="15">
        <f t="shared" si="25"/>
        <v>10</v>
      </c>
      <c r="AP169" s="15">
        <f t="shared" si="26"/>
        <v>12</v>
      </c>
      <c r="AQ169" s="15">
        <f t="shared" si="27"/>
        <v>3</v>
      </c>
      <c r="AR169" s="31"/>
      <c r="AS169" s="31"/>
      <c r="AT169" s="35" t="s">
        <v>222</v>
      </c>
      <c r="AU169" s="35"/>
    </row>
    <row r="170" ht="15.75" customHeight="1">
      <c r="A170" s="15" t="s">
        <v>6799</v>
      </c>
      <c r="B170" s="15" t="s">
        <v>445</v>
      </c>
      <c r="C170" s="15" t="s">
        <v>6618</v>
      </c>
      <c r="D170" s="15" t="s">
        <v>6800</v>
      </c>
      <c r="E170" s="15" t="s">
        <v>6800</v>
      </c>
      <c r="F170" s="16" t="s">
        <v>87</v>
      </c>
      <c r="G170" s="17" t="s">
        <v>88</v>
      </c>
      <c r="H170" s="18" t="s">
        <v>6802</v>
      </c>
      <c r="I170" s="18" t="s">
        <v>6803</v>
      </c>
      <c r="J170" s="18" t="s">
        <v>6804</v>
      </c>
      <c r="K170" s="18" t="s">
        <v>229</v>
      </c>
      <c r="L170" s="18" t="s">
        <v>6806</v>
      </c>
      <c r="M170" s="18" t="s">
        <v>643</v>
      </c>
      <c r="N170" s="18" t="s">
        <v>453</v>
      </c>
      <c r="O170" s="18" t="s">
        <v>98</v>
      </c>
      <c r="P170" s="15" t="str">
        <f t="shared" si="1"/>
        <v>PHARMA</v>
      </c>
      <c r="Q170" s="15">
        <f t="shared" si="2"/>
        <v>7</v>
      </c>
      <c r="R170" s="15">
        <f t="shared" si="3"/>
        <v>6</v>
      </c>
      <c r="S170" s="15">
        <f t="shared" si="4"/>
        <v>2</v>
      </c>
      <c r="T170" s="15" t="str">
        <f t="shared" si="5"/>
        <v>A-5</v>
      </c>
      <c r="U170" s="15" t="str">
        <f t="shared" si="6"/>
        <v>T7-M6-H2-FA-5-PHARMA</v>
      </c>
      <c r="V170" s="15">
        <f t="shared" si="7"/>
        <v>0</v>
      </c>
      <c r="W170" s="31"/>
      <c r="X170" s="15" t="str">
        <f t="shared" si="8"/>
        <v>karawang-indonesia</v>
      </c>
      <c r="Y170" s="32" t="str">
        <f t="shared" si="9"/>
        <v>https://steelmanufacturer.in/market-area/electropolished-pipes-manufacturer-in-karawang-indonesia/</v>
      </c>
      <c r="Z170" s="15" t="str">
        <f t="shared" si="10"/>
        <v>Electropolished Pipes Manufacturer in Karawang | ASME BPE SF1-SF4</v>
      </c>
      <c r="AA170" s="15" t="str">
        <f t="shared" si="11"/>
        <v>OK (65)</v>
      </c>
      <c r="AB170" s="15" t="str">
        <f t="shared" si="12"/>
        <v>EP tube and pipe for pharma plants around KIIC Karawang, Karawang. Made at our Mumbai works to ASTM A270 and ASME BPE SF1-SF4, with 3.1 MTC.</v>
      </c>
      <c r="AC170" s="15" t="str">
        <f t="shared" si="13"/>
        <v>OK (140)</v>
      </c>
      <c r="AD170" s="15" t="str">
        <f t="shared" si="14"/>
        <v>Electropolished Pipes Manufacturer in Karawang</v>
      </c>
      <c r="AE170" s="15" t="str">
        <f t="shared" si="15"/>
        <v>How We Manufacture Electropolished Tube for Karawang Plants</v>
      </c>
      <c r="AF170" s="15" t="str">
        <f t="shared" si="16"/>
        <v>Supplying Electropolished Pipes in Karawang: Availability, Sizes &amp; Dispatch</v>
      </c>
      <c r="AG170" s="15" t="str">
        <f t="shared" si="17"/>
        <v>Wholesale Electropolished Pipe Supply for Karawang Projects</v>
      </c>
      <c r="AH170" s="15" t="str">
        <f t="shared" si="18"/>
        <v>electropolished pipes manufacturer in Karawang, electropolished pipes supplier in Karawang, electropolished pipes wholesaler in Karawang, electropolished tube manufacturer Karawang, EP pipe supplier Karawang, sanitary tube supplier Karawang, ASME BPE tubing Karawang, ASTM A270 tube Karawang, SS 316L electropolished pipe Karawang</v>
      </c>
      <c r="AI170" s="15" t="str">
        <f t="shared" si="19"/>
        <v>Electropolished Pipes Manufacturer &amp; Supplier in Karawang</v>
      </c>
      <c r="AJ170" s="15" t="str">
        <f t="shared" si="20"/>
        <v>EP-finished SS 304/316L pipes and tubes for pharma plants in Karawang. ASME BPE SF1-SF4, Ra from 0.25 um, EN 10204 3.1 certificate with every lot.</v>
      </c>
      <c r="AK170" s="15" t="str">
        <f t="shared" si="21"/>
        <v>Electropolished stainless steel pipes supplied by Sakshi Forge to pharma plants at KIIC Karawang, Karawang</v>
      </c>
      <c r="AL170" s="15" t="str">
        <f t="shared" si="22"/>
        <v>Electropolished SS 316L tube stock for Karawang - Sakshi Forge</v>
      </c>
      <c r="AM170" s="15" t="str">
        <f t="shared" si="23"/>
        <v>Home &gt; Market Area &gt; Indonesia &gt; West Java &gt; Karawang</v>
      </c>
      <c r="AN170" s="15">
        <f t="shared" si="24"/>
        <v>1400</v>
      </c>
      <c r="AO170" s="15">
        <f t="shared" si="25"/>
        <v>10</v>
      </c>
      <c r="AP170" s="15">
        <f t="shared" si="26"/>
        <v>12</v>
      </c>
      <c r="AQ170" s="15">
        <f t="shared" si="27"/>
        <v>3</v>
      </c>
      <c r="AR170" s="31"/>
      <c r="AS170" s="31"/>
      <c r="AT170" s="35" t="s">
        <v>222</v>
      </c>
      <c r="AU170" s="35"/>
    </row>
    <row r="171" ht="15.75" customHeight="1">
      <c r="A171" s="15" t="s">
        <v>6818</v>
      </c>
      <c r="B171" s="15" t="s">
        <v>445</v>
      </c>
      <c r="C171" s="15" t="s">
        <v>6746</v>
      </c>
      <c r="D171" s="15" t="s">
        <v>6820</v>
      </c>
      <c r="E171" s="15" t="s">
        <v>6820</v>
      </c>
      <c r="F171" s="16" t="s">
        <v>87</v>
      </c>
      <c r="G171" s="17" t="s">
        <v>88</v>
      </c>
      <c r="H171" s="18" t="s">
        <v>6821</v>
      </c>
      <c r="I171" s="18" t="s">
        <v>6822</v>
      </c>
      <c r="J171" s="18" t="s">
        <v>6625</v>
      </c>
      <c r="K171" s="18" t="s">
        <v>229</v>
      </c>
      <c r="L171" s="18" t="s">
        <v>6754</v>
      </c>
      <c r="M171" s="18" t="s">
        <v>643</v>
      </c>
      <c r="N171" s="18" t="s">
        <v>453</v>
      </c>
      <c r="O171" s="18" t="s">
        <v>98</v>
      </c>
      <c r="P171" s="15" t="str">
        <f t="shared" si="1"/>
        <v>PHARMA</v>
      </c>
      <c r="Q171" s="15">
        <f t="shared" si="2"/>
        <v>8</v>
      </c>
      <c r="R171" s="15">
        <f t="shared" si="3"/>
        <v>7</v>
      </c>
      <c r="S171" s="15">
        <f t="shared" si="4"/>
        <v>3</v>
      </c>
      <c r="T171" s="15" t="str">
        <f t="shared" si="5"/>
        <v>A-6</v>
      </c>
      <c r="U171" s="15" t="str">
        <f t="shared" si="6"/>
        <v>T8-M7-H3-FA-6-PHARMA</v>
      </c>
      <c r="V171" s="15">
        <f t="shared" si="7"/>
        <v>0</v>
      </c>
      <c r="W171" s="31"/>
      <c r="X171" s="15" t="str">
        <f t="shared" si="8"/>
        <v>surabaya-indonesia</v>
      </c>
      <c r="Y171" s="32" t="str">
        <f t="shared" si="9"/>
        <v>https://steelmanufacturer.in/market-area/electropolished-pipes-manufacturer-in-surabaya-indonesia/</v>
      </c>
      <c r="Z171" s="15" t="str">
        <f t="shared" si="10"/>
        <v>Electropolished Pipes Manufacturer in Surabaya - EP Tube Stockist</v>
      </c>
      <c r="AA171" s="15" t="str">
        <f t="shared" si="11"/>
        <v>OK (65)</v>
      </c>
      <c r="AB171" s="15" t="str">
        <f t="shared" si="12"/>
        <v>Electropolished pipes in Surabaya: 304, 304L, 316 and 316L in SF1-SF4. 10-14 days sea from Nhava Sheva to Tanjung Priok. Mill certified.</v>
      </c>
      <c r="AC171" s="15" t="str">
        <f t="shared" si="13"/>
        <v>OK (136)</v>
      </c>
      <c r="AD171" s="15" t="str">
        <f t="shared" si="14"/>
        <v>Electropolished Pipes Manufacturer in Surabaya</v>
      </c>
      <c r="AE171" s="15" t="str">
        <f t="shared" si="15"/>
        <v>Electropolished Pipes Manufacturer in Surabaya - Our Process &amp; Capability</v>
      </c>
      <c r="AF171" s="15" t="str">
        <f t="shared" si="16"/>
        <v>Electropolished Pipes Supplier in Surabaya - What We Hold in Stock</v>
      </c>
      <c r="AG171" s="15" t="str">
        <f t="shared" si="17"/>
        <v>Bulk &amp; Wholesale Electropolished Pipe Rates for Surabaya Buyers</v>
      </c>
      <c r="AH171" s="15" t="str">
        <f t="shared" si="18"/>
        <v>electropolished pipes manufacturer in Surabaya, electropolished pipes supplier in Surabaya, electropolished pipes wholesaler in Surabaya, electropolished tube manufacturer Surabaya, EP pipe supplier Surabaya, sanitary tube supplier Surabaya, ASME BPE tubing Surabaya, ASTM A270 tube Surabaya, SS 316L electropolished pipe Surabaya</v>
      </c>
      <c r="AI171" s="15" t="str">
        <f t="shared" si="19"/>
        <v>Electropolished Pipes Manufacturer &amp; Supplier in Surabaya</v>
      </c>
      <c r="AJ171" s="15" t="str">
        <f t="shared" si="20"/>
        <v>EP-finished SS 304/316L pipes and tubes for pharma plants in Surabaya. ASME BPE SF1-SF4, Ra from 0.25 um, EN 10204 3.1 certificate with every lot.</v>
      </c>
      <c r="AK171" s="15" t="str">
        <f t="shared" si="21"/>
        <v>Electropolished stainless steel pipes supplied by Sakshi Forge to pharma plants at SIER Rungkut Industrial Estate, Surabaya</v>
      </c>
      <c r="AL171" s="15" t="str">
        <f t="shared" si="22"/>
        <v>Electropolished SS 316L tube stock for Surabaya - Sakshi Forge</v>
      </c>
      <c r="AM171" s="15" t="str">
        <f t="shared" si="23"/>
        <v>Home &gt; Market Area &gt; Indonesia &gt; East Java &gt; Surabaya</v>
      </c>
      <c r="AN171" s="15">
        <f t="shared" si="24"/>
        <v>1400</v>
      </c>
      <c r="AO171" s="15">
        <f t="shared" si="25"/>
        <v>10</v>
      </c>
      <c r="AP171" s="15">
        <f t="shared" si="26"/>
        <v>12</v>
      </c>
      <c r="AQ171" s="15">
        <f t="shared" si="27"/>
        <v>3</v>
      </c>
      <c r="AR171" s="31"/>
      <c r="AS171" s="31"/>
      <c r="AT171" s="35" t="s">
        <v>222</v>
      </c>
      <c r="AU171" s="35"/>
    </row>
    <row r="172" ht="15.75" customHeight="1">
      <c r="A172" s="15" t="s">
        <v>6842</v>
      </c>
      <c r="B172" s="15" t="s">
        <v>301</v>
      </c>
      <c r="C172" s="15" t="s">
        <v>6843</v>
      </c>
      <c r="D172" s="15" t="s">
        <v>6845</v>
      </c>
      <c r="E172" s="15" t="s">
        <v>6845</v>
      </c>
      <c r="F172" s="16" t="s">
        <v>87</v>
      </c>
      <c r="G172" s="17" t="s">
        <v>88</v>
      </c>
      <c r="H172" s="18" t="s">
        <v>6846</v>
      </c>
      <c r="I172" s="18" t="s">
        <v>6848</v>
      </c>
      <c r="J172" s="18" t="s">
        <v>6849</v>
      </c>
      <c r="K172" s="18" t="s">
        <v>229</v>
      </c>
      <c r="L172" s="18" t="s">
        <v>6850</v>
      </c>
      <c r="M172" s="18" t="s">
        <v>580</v>
      </c>
      <c r="N172" s="18" t="s">
        <v>378</v>
      </c>
      <c r="O172" s="18" t="s">
        <v>98</v>
      </c>
      <c r="P172" s="15" t="str">
        <f t="shared" si="1"/>
        <v>PHARMA</v>
      </c>
      <c r="Q172" s="15">
        <f t="shared" si="2"/>
        <v>1</v>
      </c>
      <c r="R172" s="15">
        <f t="shared" si="3"/>
        <v>1</v>
      </c>
      <c r="S172" s="15">
        <f t="shared" si="4"/>
        <v>4</v>
      </c>
      <c r="T172" s="15" t="str">
        <f t="shared" si="5"/>
        <v>A-1</v>
      </c>
      <c r="U172" s="15" t="str">
        <f t="shared" si="6"/>
        <v>T1-M1-H4-FA-1-PHARMA</v>
      </c>
      <c r="V172" s="15">
        <f t="shared" si="7"/>
        <v>0</v>
      </c>
      <c r="W172" s="31"/>
      <c r="X172" s="15" t="str">
        <f t="shared" si="8"/>
        <v>bergamo-italy</v>
      </c>
      <c r="Y172" s="32" t="str">
        <f t="shared" si="9"/>
        <v>https://steelmanufacturer.in/market-area/electropolished-pipes-manufacturer-in-bergamo-italy/</v>
      </c>
      <c r="Z172" s="15" t="str">
        <f t="shared" si="10"/>
        <v>Electropolished Pipes Manufacturer in Bergamo | Sakshi Forge</v>
      </c>
      <c r="AA172" s="15" t="str">
        <f t="shared" si="11"/>
        <v>OK (60)</v>
      </c>
      <c r="AB172" s="15" t="str">
        <f t="shared" si="12"/>
        <v>EP-finished SS 304/316L pipes &amp; tubes for pharma plants in Bergamo. ASTM A270, ASME BPE SF1-SF4, EN 10204 3.1 MTC. PMI tested.</v>
      </c>
      <c r="AC172" s="15" t="str">
        <f t="shared" si="13"/>
        <v>OK (126)</v>
      </c>
      <c r="AD172" s="15" t="str">
        <f t="shared" si="14"/>
        <v>Electropolished Pipes Manufacturer in Bergamo</v>
      </c>
      <c r="AE172" s="15" t="str">
        <f t="shared" si="15"/>
        <v>Manufacturing Electropolished SS Tube for Bergamo: The Standards We Build To</v>
      </c>
      <c r="AF172" s="15" t="str">
        <f t="shared" si="16"/>
        <v>Electropolished Pipe Supply Into Bergamo - Certification &amp; Transit</v>
      </c>
      <c r="AG172" s="15" t="str">
        <f t="shared" si="17"/>
        <v>Electropolished Pipes Wholesaler in Bergamo - Project Quantities &amp; Terms</v>
      </c>
      <c r="AH172" s="15" t="str">
        <f t="shared" si="18"/>
        <v>electropolished pipes manufacturer in Bergamo, electropolished pipes supplier in Bergamo, electropolished pipes wholesaler in Bergamo, electropolished tube manufacturer Bergamo, EP pipe supplier Bergamo, sanitary tube supplier Bergamo, ASME BPE tubing Bergamo, ASTM A270 tube Bergamo, SS 316L electropolished pipe Bergamo</v>
      </c>
      <c r="AI172" s="15" t="str">
        <f t="shared" si="19"/>
        <v>Electropolished Pipes Manufacturer &amp; Supplier in Bergamo</v>
      </c>
      <c r="AJ172" s="15" t="str">
        <f t="shared" si="20"/>
        <v>EP-finished SS 304/316L pipes and tubes for pharma plants in Bergamo. ASME BPE SF1-SF4, Ra from 0.25 um, EN 10204 3.1 certificate with every lot.</v>
      </c>
      <c r="AK172" s="15" t="str">
        <f t="shared" si="21"/>
        <v>Electropolished stainless steel pipes supplied by Sakshi Forge to pharma plants at Bergamo Industrial Zone, Bergamo</v>
      </c>
      <c r="AL172" s="15" t="str">
        <f t="shared" si="22"/>
        <v>Electropolished SS 316L tube stock for Bergamo - Sakshi Forge</v>
      </c>
      <c r="AM172" s="15" t="str">
        <f t="shared" si="23"/>
        <v>Home &gt; Market Area &gt; Italy &gt; Lombardy &gt; Bergamo</v>
      </c>
      <c r="AN172" s="15">
        <f t="shared" si="24"/>
        <v>1400</v>
      </c>
      <c r="AO172" s="15">
        <f t="shared" si="25"/>
        <v>10</v>
      </c>
      <c r="AP172" s="15">
        <f t="shared" si="26"/>
        <v>12</v>
      </c>
      <c r="AQ172" s="15">
        <f t="shared" si="27"/>
        <v>3</v>
      </c>
      <c r="AR172" s="31"/>
      <c r="AS172" s="31"/>
      <c r="AT172" s="35" t="s">
        <v>222</v>
      </c>
      <c r="AU172" s="35"/>
    </row>
    <row r="173" ht="15.75" customHeight="1">
      <c r="A173" s="15" t="s">
        <v>6869</v>
      </c>
      <c r="B173" s="15" t="s">
        <v>301</v>
      </c>
      <c r="C173" s="15" t="s">
        <v>6870</v>
      </c>
      <c r="D173" s="15" t="s">
        <v>6871</v>
      </c>
      <c r="E173" s="15" t="s">
        <v>6871</v>
      </c>
      <c r="F173" s="16" t="s">
        <v>87</v>
      </c>
      <c r="G173" s="17" t="s">
        <v>88</v>
      </c>
      <c r="H173" s="18" t="s">
        <v>6872</v>
      </c>
      <c r="I173" s="18" t="s">
        <v>6874</v>
      </c>
      <c r="J173" s="18" t="s">
        <v>6875</v>
      </c>
      <c r="K173" s="18" t="s">
        <v>229</v>
      </c>
      <c r="L173" s="18" t="s">
        <v>6877</v>
      </c>
      <c r="M173" s="18" t="s">
        <v>580</v>
      </c>
      <c r="N173" s="18" t="s">
        <v>378</v>
      </c>
      <c r="O173" s="18" t="s">
        <v>98</v>
      </c>
      <c r="P173" s="15" t="str">
        <f t="shared" si="1"/>
        <v>PHARMA</v>
      </c>
      <c r="Q173" s="15">
        <f t="shared" si="2"/>
        <v>2</v>
      </c>
      <c r="R173" s="15">
        <f t="shared" si="3"/>
        <v>2</v>
      </c>
      <c r="S173" s="15">
        <f t="shared" si="4"/>
        <v>5</v>
      </c>
      <c r="T173" s="15" t="str">
        <f t="shared" si="5"/>
        <v>A-2</v>
      </c>
      <c r="U173" s="15" t="str">
        <f t="shared" si="6"/>
        <v>T2-M2-H5-FA-2-PHARMA</v>
      </c>
      <c r="V173" s="15">
        <f t="shared" si="7"/>
        <v>0</v>
      </c>
      <c r="W173" s="31"/>
      <c r="X173" s="15" t="str">
        <f t="shared" si="8"/>
        <v>bologna-italy</v>
      </c>
      <c r="Y173" s="32" t="str">
        <f t="shared" si="9"/>
        <v>https://steelmanufacturer.in/market-area/electropolished-pipes-manufacturer-in-bologna-italy/</v>
      </c>
      <c r="Z173" s="15" t="str">
        <f t="shared" si="10"/>
        <v>Electropolished Pipes Manufacturer in Bologna</v>
      </c>
      <c r="AA173" s="15" t="str">
        <f t="shared" si="11"/>
        <v>OK (45)</v>
      </c>
      <c r="AB173" s="15" t="str">
        <f t="shared" si="12"/>
        <v>Electropolished tube supply to Bologna Packaging Valley, Bologna. Ra from 0.25 um, SF4 finish, mill test certificate with every lot.</v>
      </c>
      <c r="AC173" s="15" t="str">
        <f t="shared" si="13"/>
        <v>OK (132)</v>
      </c>
      <c r="AD173" s="15" t="str">
        <f t="shared" si="14"/>
        <v>Electropolished Pipes Manufacturer in Bologna</v>
      </c>
      <c r="AE173" s="15" t="str">
        <f t="shared" si="15"/>
        <v>Electropolished Tube Manufacturing Capability Serving Bologna</v>
      </c>
      <c r="AF173" s="15" t="str">
        <f t="shared" si="16"/>
        <v>Electropolished Pipes Supplier in Bologna - From Order to Delivery</v>
      </c>
      <c r="AG173" s="15" t="str">
        <f t="shared" si="17"/>
        <v>Stockist &amp; Wholesale Supply of Electropolished Pipes in Bologna</v>
      </c>
      <c r="AH173" s="15" t="str">
        <f t="shared" si="18"/>
        <v>electropolished pipes manufacturer in Bologna, electropolished pipes supplier in Bologna, electropolished pipes wholesaler in Bologna, electropolished tube manufacturer Bologna, EP pipe supplier Bologna, sanitary tube supplier Bologna, ASME BPE tubing Bologna, ASTM A270 tube Bologna, SS 316L electropolished pipe Bologna</v>
      </c>
      <c r="AI173" s="15" t="str">
        <f t="shared" si="19"/>
        <v>Electropolished Pipes Manufacturer &amp; Supplier in Bologna</v>
      </c>
      <c r="AJ173" s="15" t="str">
        <f t="shared" si="20"/>
        <v>EP-finished SS 304/316L pipes and tubes for pharma plants in Bologna. ASME BPE SF1-SF4, Ra from 0.25 um, EN 10204 3.1 certificate with every lot.</v>
      </c>
      <c r="AK173" s="15" t="str">
        <f t="shared" si="21"/>
        <v>Electropolished stainless steel pipes supplied by Sakshi Forge to pharma plants at Bologna Packaging Valley, Bologna</v>
      </c>
      <c r="AL173" s="15" t="str">
        <f t="shared" si="22"/>
        <v>Electropolished SS 316L tube stock for Bologna - Sakshi Forge</v>
      </c>
      <c r="AM173" s="15" t="str">
        <f t="shared" si="23"/>
        <v>Home &gt; Market Area &gt; Italy &gt; Emilia-Romagna &gt; Bologna</v>
      </c>
      <c r="AN173" s="15">
        <f t="shared" si="24"/>
        <v>1400</v>
      </c>
      <c r="AO173" s="15">
        <f t="shared" si="25"/>
        <v>10</v>
      </c>
      <c r="AP173" s="15">
        <f t="shared" si="26"/>
        <v>12</v>
      </c>
      <c r="AQ173" s="15">
        <f t="shared" si="27"/>
        <v>3</v>
      </c>
      <c r="AR173" s="31"/>
      <c r="AS173" s="31"/>
      <c r="AT173" s="35" t="s">
        <v>222</v>
      </c>
      <c r="AU173" s="35"/>
    </row>
    <row r="174" ht="15.75" customHeight="1">
      <c r="A174" s="15" t="s">
        <v>6895</v>
      </c>
      <c r="B174" s="15" t="s">
        <v>301</v>
      </c>
      <c r="C174" s="15" t="s">
        <v>6843</v>
      </c>
      <c r="D174" s="15" t="s">
        <v>6897</v>
      </c>
      <c r="E174" s="15" t="s">
        <v>6897</v>
      </c>
      <c r="F174" s="16" t="s">
        <v>87</v>
      </c>
      <c r="G174" s="17" t="s">
        <v>88</v>
      </c>
      <c r="H174" s="18" t="s">
        <v>6898</v>
      </c>
      <c r="I174" s="18" t="s">
        <v>6899</v>
      </c>
      <c r="J174" s="18" t="s">
        <v>6900</v>
      </c>
      <c r="K174" s="18" t="s">
        <v>250</v>
      </c>
      <c r="L174" s="18" t="s">
        <v>6850</v>
      </c>
      <c r="M174" s="18" t="s">
        <v>580</v>
      </c>
      <c r="N174" s="18" t="s">
        <v>378</v>
      </c>
      <c r="O174" s="18" t="s">
        <v>98</v>
      </c>
      <c r="P174" s="15" t="str">
        <f t="shared" si="1"/>
        <v>GENERAL</v>
      </c>
      <c r="Q174" s="15">
        <f t="shared" si="2"/>
        <v>3</v>
      </c>
      <c r="R174" s="15">
        <f t="shared" si="3"/>
        <v>3</v>
      </c>
      <c r="S174" s="15">
        <f t="shared" si="4"/>
        <v>1</v>
      </c>
      <c r="T174" s="15" t="str">
        <f t="shared" si="5"/>
        <v>A-3</v>
      </c>
      <c r="U174" s="15" t="str">
        <f t="shared" si="6"/>
        <v>T3-M3-H1-FA-3-GENERAL</v>
      </c>
      <c r="V174" s="15">
        <f t="shared" si="7"/>
        <v>0</v>
      </c>
      <c r="W174" s="31"/>
      <c r="X174" s="15" t="str">
        <f t="shared" si="8"/>
        <v>brescia-italy</v>
      </c>
      <c r="Y174" s="32" t="str">
        <f t="shared" si="9"/>
        <v>https://steelmanufacturer.in/market-area/electropolished-pipes-manufacturer-in-brescia-italy/</v>
      </c>
      <c r="Z174" s="15" t="str">
        <f t="shared" si="10"/>
        <v>Electropolished Pipes Manufacturer in Brescia | EP Tube Supplier</v>
      </c>
      <c r="AA174" s="15" t="str">
        <f t="shared" si="11"/>
        <v>OK (64)</v>
      </c>
      <c r="AB174" s="15" t="str">
        <f t="shared" si="12"/>
        <v>EP stainless tube for engineering &amp; process lines in Brescia. 18-24 days sea from Nhava Sheva to Genoa. ASTM A270 S2, PMI tested, EN 10204 3.1.</v>
      </c>
      <c r="AC174" s="15" t="str">
        <f t="shared" si="13"/>
        <v>OK (143)</v>
      </c>
      <c r="AD174" s="15" t="str">
        <f t="shared" si="14"/>
        <v>Electropolished Pipes Manufacturer in Brescia</v>
      </c>
      <c r="AE174" s="15" t="str">
        <f t="shared" si="15"/>
        <v>Electropolished Pipe &amp; Tube Manufacturing for Brescia - Grades, Finishes &amp; Certification</v>
      </c>
      <c r="AF174" s="15" t="str">
        <f t="shared" si="16"/>
        <v>Electropolished Pipes Supplier in Brescia - Stock Sizes, Lead Time &amp; Delivery</v>
      </c>
      <c r="AG174" s="15" t="str">
        <f t="shared" si="17"/>
        <v>Electropolished Pipes Wholesaler &amp; Stockist in Brescia - Bulk &amp; Project Pricing</v>
      </c>
      <c r="AH174" s="15" t="str">
        <f t="shared" si="18"/>
        <v>electropolished pipes manufacturer in Brescia, electropolished pipes supplier in Brescia, electropolished pipes wholesaler in Brescia, electropolished tube manufacturer Brescia, EP pipe supplier Brescia, sanitary tube supplier Brescia, ASME BPE tubing Brescia, ASTM A270 tube Brescia, SS 316L electropolished pipe Brescia</v>
      </c>
      <c r="AI174" s="15" t="str">
        <f t="shared" si="19"/>
        <v>Electropolished Pipes Manufacturer &amp; Supplier in Brescia</v>
      </c>
      <c r="AJ174" s="15" t="str">
        <f t="shared" si="20"/>
        <v>EP-finished SS 304/316L pipes and tubes for engineering &amp; process plants in Brescia. ASME BPE SF1-SF4, Ra from 0.25 um, EN 10204 3.1 certificate with every lot.</v>
      </c>
      <c r="AK174" s="15" t="str">
        <f t="shared" si="21"/>
        <v>Electropolished stainless steel pipes supplied by Sakshi Forge to engineering &amp; process plants at Brescia Industrial District, Brescia</v>
      </c>
      <c r="AL174" s="15" t="str">
        <f t="shared" si="22"/>
        <v>Electropolished SS 316L tube stock for Brescia - Sakshi Forge</v>
      </c>
      <c r="AM174" s="15" t="str">
        <f t="shared" si="23"/>
        <v>Home &gt; Market Area &gt; Italy &gt; Lombardy &gt; Brescia</v>
      </c>
      <c r="AN174" s="15">
        <f t="shared" si="24"/>
        <v>1400</v>
      </c>
      <c r="AO174" s="15">
        <f t="shared" si="25"/>
        <v>10</v>
      </c>
      <c r="AP174" s="15">
        <f t="shared" si="26"/>
        <v>12</v>
      </c>
      <c r="AQ174" s="15">
        <f t="shared" si="27"/>
        <v>3</v>
      </c>
      <c r="AR174" s="31"/>
      <c r="AS174" s="31"/>
      <c r="AT174" s="35" t="s">
        <v>222</v>
      </c>
      <c r="AU174" s="35"/>
    </row>
    <row r="175" ht="15.75" customHeight="1">
      <c r="A175" s="15" t="s">
        <v>6919</v>
      </c>
      <c r="B175" s="15" t="s">
        <v>301</v>
      </c>
      <c r="C175" s="15" t="s">
        <v>6920</v>
      </c>
      <c r="D175" s="15" t="s">
        <v>6922</v>
      </c>
      <c r="E175" s="15" t="s">
        <v>6922</v>
      </c>
      <c r="F175" s="16" t="s">
        <v>87</v>
      </c>
      <c r="G175" s="17" t="s">
        <v>88</v>
      </c>
      <c r="H175" s="18" t="s">
        <v>6924</v>
      </c>
      <c r="I175" s="18" t="s">
        <v>6924</v>
      </c>
      <c r="J175" s="18" t="s">
        <v>6925</v>
      </c>
      <c r="K175" s="18" t="s">
        <v>3605</v>
      </c>
      <c r="L175" s="18" t="s">
        <v>6927</v>
      </c>
      <c r="M175" s="18" t="s">
        <v>580</v>
      </c>
      <c r="N175" s="18" t="s">
        <v>378</v>
      </c>
      <c r="O175" s="18" t="s">
        <v>98</v>
      </c>
      <c r="P175" s="15" t="str">
        <f t="shared" si="1"/>
        <v>PHARMA</v>
      </c>
      <c r="Q175" s="15">
        <f t="shared" si="2"/>
        <v>4</v>
      </c>
      <c r="R175" s="15">
        <f t="shared" si="3"/>
        <v>4</v>
      </c>
      <c r="S175" s="15">
        <f t="shared" si="4"/>
        <v>2</v>
      </c>
      <c r="T175" s="15" t="str">
        <f t="shared" si="5"/>
        <v>A-4</v>
      </c>
      <c r="U175" s="15" t="str">
        <f t="shared" si="6"/>
        <v>T4-M4-H2-FA-4-PHARMA</v>
      </c>
      <c r="V175" s="15">
        <f t="shared" si="7"/>
        <v>0</v>
      </c>
      <c r="W175" s="31"/>
      <c r="X175" s="15" t="str">
        <f t="shared" si="8"/>
        <v>latina-italy</v>
      </c>
      <c r="Y175" s="32" t="str">
        <f t="shared" si="9"/>
        <v>https://steelmanufacturer.in/market-area/electropolished-pipes-manufacturer-in-latina-italy/</v>
      </c>
      <c r="Z175" s="15" t="str">
        <f t="shared" si="10"/>
        <v>Electropolished Pipes Manufacturer in Latina</v>
      </c>
      <c r="AA175" s="15" t="str">
        <f t="shared" si="11"/>
        <v>OK (44)</v>
      </c>
      <c r="AB175" s="15" t="str">
        <f t="shared" si="12"/>
        <v>Sanitary electropolished pipes in Latina for pharma &amp; API &amp; pharma plants. ASME BPE SF1-SF4, orbital-weld ready, 3.1 MTC. Mumbai-made.</v>
      </c>
      <c r="AC175" s="15" t="str">
        <f t="shared" si="13"/>
        <v>OK (134)</v>
      </c>
      <c r="AD175" s="15" t="str">
        <f t="shared" si="14"/>
        <v>Electropolished Pipes Manufacturer in Latina</v>
      </c>
      <c r="AE175" s="15" t="str">
        <f t="shared" si="15"/>
        <v>How We Manufacture Electropolished Tube for Latina Plants</v>
      </c>
      <c r="AF175" s="15" t="str">
        <f t="shared" si="16"/>
        <v>Supplying Electropolished Pipes in Latina: Availability, Sizes &amp; Dispatch</v>
      </c>
      <c r="AG175" s="15" t="str">
        <f t="shared" si="17"/>
        <v>Wholesale Electropolished Pipe Supply for Latina Projects</v>
      </c>
      <c r="AH175" s="15" t="str">
        <f t="shared" si="18"/>
        <v>electropolished pipes manufacturer in Latina, electropolished pipes supplier in Latina, electropolished pipes wholesaler in Latina, electropolished tube manufacturer Latina, EP pipe supplier Latina, sanitary tube supplier Latina, ASME BPE tubing Latina, ASTM A270 tube Latina, SS 316L electropolished pipe Latina</v>
      </c>
      <c r="AI175" s="15" t="str">
        <f t="shared" si="19"/>
        <v>Electropolished Pipes Manufacturer &amp; Supplier in Latina</v>
      </c>
      <c r="AJ175" s="15" t="str">
        <f t="shared" si="20"/>
        <v>EP-finished SS 304/316L pipes and tubes for pharma &amp; API &amp; pharma plants in Latina. ASME BPE SF1-SF4, Ra from 0.25 um, EN 10204 3.1 certificate with every lot.</v>
      </c>
      <c r="AK175" s="15" t="str">
        <f t="shared" si="21"/>
        <v>Electropolished stainless steel pipes supplied by Sakshi Forge to pharma &amp; API &amp; pharma plants at Latina Pharma Valley Industrial Area, Latina</v>
      </c>
      <c r="AL175" s="15" t="str">
        <f t="shared" si="22"/>
        <v>Electropolished SS 316L tube stock for Latina - Sakshi Forge</v>
      </c>
      <c r="AM175" s="15" t="str">
        <f t="shared" si="23"/>
        <v>Home &gt; Market Area &gt; Italy &gt; Lazio &gt; Latina</v>
      </c>
      <c r="AN175" s="15">
        <f t="shared" si="24"/>
        <v>1400</v>
      </c>
      <c r="AO175" s="15">
        <f t="shared" si="25"/>
        <v>10</v>
      </c>
      <c r="AP175" s="15">
        <f t="shared" si="26"/>
        <v>12</v>
      </c>
      <c r="AQ175" s="15">
        <f t="shared" si="27"/>
        <v>3</v>
      </c>
      <c r="AR175" s="31"/>
      <c r="AS175" s="31"/>
      <c r="AT175" s="35" t="s">
        <v>222</v>
      </c>
      <c r="AU175" s="35"/>
    </row>
    <row r="176" ht="15.75" customHeight="1">
      <c r="A176" s="15" t="s">
        <v>6945</v>
      </c>
      <c r="B176" s="15" t="s">
        <v>301</v>
      </c>
      <c r="C176" s="15" t="s">
        <v>6843</v>
      </c>
      <c r="D176" s="15" t="s">
        <v>6947</v>
      </c>
      <c r="E176" s="15" t="s">
        <v>6947</v>
      </c>
      <c r="F176" s="16" t="s">
        <v>87</v>
      </c>
      <c r="G176" s="17" t="s">
        <v>88</v>
      </c>
      <c r="H176" s="18" t="s">
        <v>6949</v>
      </c>
      <c r="I176" s="18" t="s">
        <v>6950</v>
      </c>
      <c r="J176" s="18" t="s">
        <v>6951</v>
      </c>
      <c r="K176" s="18" t="s">
        <v>4208</v>
      </c>
      <c r="L176" s="18" t="s">
        <v>6850</v>
      </c>
      <c r="M176" s="18" t="s">
        <v>580</v>
      </c>
      <c r="N176" s="18" t="s">
        <v>378</v>
      </c>
      <c r="O176" s="18" t="s">
        <v>98</v>
      </c>
      <c r="P176" s="15" t="str">
        <f t="shared" si="1"/>
        <v>BIOTECH</v>
      </c>
      <c r="Q176" s="15">
        <f t="shared" si="2"/>
        <v>5</v>
      </c>
      <c r="R176" s="15">
        <f t="shared" si="3"/>
        <v>5</v>
      </c>
      <c r="S176" s="15">
        <f t="shared" si="4"/>
        <v>3</v>
      </c>
      <c r="T176" s="15" t="str">
        <f t="shared" si="5"/>
        <v>A-5</v>
      </c>
      <c r="U176" s="15" t="str">
        <f t="shared" si="6"/>
        <v>T5-M5-H3-FA-5-BIOTECH</v>
      </c>
      <c r="V176" s="15">
        <f t="shared" si="7"/>
        <v>0</v>
      </c>
      <c r="W176" s="31"/>
      <c r="X176" s="15" t="str">
        <f t="shared" si="8"/>
        <v>milan-italy</v>
      </c>
      <c r="Y176" s="32" t="str">
        <f t="shared" si="9"/>
        <v>https://steelmanufacturer.in/market-area/electropolished-pipes-manufacturer-in-milan-italy/</v>
      </c>
      <c r="Z176" s="15" t="str">
        <f t="shared" si="10"/>
        <v>Electropolished Pipes Manufacturer in Milan</v>
      </c>
      <c r="AA176" s="15" t="str">
        <f t="shared" si="11"/>
        <v>OK (43)</v>
      </c>
      <c r="AB176" s="15" t="str">
        <f t="shared" si="12"/>
        <v>Manufacturer of electropolished SS 316L tube serving Milan. 18-24 days sea from Nhava Sheva to Genoa. Ra 0.25-0.5 um, EN 10204 3.1 MTC.</v>
      </c>
      <c r="AC176" s="15" t="str">
        <f t="shared" si="13"/>
        <v>OK (135)</v>
      </c>
      <c r="AD176" s="15" t="str">
        <f t="shared" si="14"/>
        <v>Electropolished Pipes Manufacturer in Milan</v>
      </c>
      <c r="AE176" s="15" t="str">
        <f t="shared" si="15"/>
        <v>Electropolished Pipes Manufacturer in Milan - Our Process &amp; Capability</v>
      </c>
      <c r="AF176" s="15" t="str">
        <f t="shared" si="16"/>
        <v>Electropolished Pipes Supplier in Milan - What We Hold in Stock</v>
      </c>
      <c r="AG176" s="15" t="str">
        <f t="shared" si="17"/>
        <v>Bulk &amp; Wholesale Electropolished Pipe Rates for Milan Buyers</v>
      </c>
      <c r="AH176" s="15" t="str">
        <f t="shared" si="18"/>
        <v>electropolished pipes manufacturer in Milan, electropolished pipes supplier in Milan, electropolished pipes wholesaler in Milan, electropolished tube manufacturer Milan, EP pipe supplier Milan, sanitary tube supplier Milan, ASME BPE tubing Milan, ASTM A270 tube Milan, SS 316L electropolished pipe Milan</v>
      </c>
      <c r="AI176" s="15" t="str">
        <f t="shared" si="19"/>
        <v>Electropolished Pipes Manufacturer &amp; Supplier in Milan</v>
      </c>
      <c r="AJ176" s="15" t="str">
        <f t="shared" si="20"/>
        <v>EP-finished SS 304/316L pipes and tubes for pharma &amp; biotech plants in Milan. ASME BPE SF1-SF4, Ra from 0.25 um, EN 10204 3.1 certificate with every lot.</v>
      </c>
      <c r="AK176" s="15" t="str">
        <f t="shared" si="21"/>
        <v>Electropolished stainless steel pipes supplied by Sakshi Forge to pharma &amp; biotech plants at Sesto San Giovanni Industrial, Milan</v>
      </c>
      <c r="AL176" s="15" t="str">
        <f t="shared" si="22"/>
        <v>Electropolished SS 316L tube stock for Milan - Sakshi Forge</v>
      </c>
      <c r="AM176" s="15" t="str">
        <f t="shared" si="23"/>
        <v>Home &gt; Market Area &gt; Italy &gt; Lombardy &gt; Milan</v>
      </c>
      <c r="AN176" s="15">
        <f t="shared" si="24"/>
        <v>1400</v>
      </c>
      <c r="AO176" s="15">
        <f t="shared" si="25"/>
        <v>10</v>
      </c>
      <c r="AP176" s="15">
        <f t="shared" si="26"/>
        <v>12</v>
      </c>
      <c r="AQ176" s="15">
        <f t="shared" si="27"/>
        <v>3</v>
      </c>
      <c r="AR176" s="31"/>
      <c r="AS176" s="31"/>
      <c r="AT176" s="35" t="s">
        <v>222</v>
      </c>
      <c r="AU176" s="35"/>
    </row>
    <row r="177" ht="15.75" customHeight="1">
      <c r="A177" s="15" t="s">
        <v>6970</v>
      </c>
      <c r="B177" s="15" t="s">
        <v>301</v>
      </c>
      <c r="C177" s="15" t="s">
        <v>6870</v>
      </c>
      <c r="D177" s="15" t="s">
        <v>6971</v>
      </c>
      <c r="E177" s="15" t="s">
        <v>6971</v>
      </c>
      <c r="F177" s="16" t="s">
        <v>87</v>
      </c>
      <c r="G177" s="17" t="s">
        <v>88</v>
      </c>
      <c r="H177" s="18" t="s">
        <v>6973</v>
      </c>
      <c r="I177" s="18" t="s">
        <v>6975</v>
      </c>
      <c r="J177" s="18" t="s">
        <v>6976</v>
      </c>
      <c r="K177" s="18" t="s">
        <v>94</v>
      </c>
      <c r="L177" s="18" t="s">
        <v>6877</v>
      </c>
      <c r="M177" s="18" t="s">
        <v>580</v>
      </c>
      <c r="N177" s="18" t="s">
        <v>378</v>
      </c>
      <c r="O177" s="18" t="s">
        <v>98</v>
      </c>
      <c r="P177" s="15" t="str">
        <f t="shared" si="1"/>
        <v>FOOD</v>
      </c>
      <c r="Q177" s="15">
        <f t="shared" si="2"/>
        <v>6</v>
      </c>
      <c r="R177" s="15">
        <f t="shared" si="3"/>
        <v>6</v>
      </c>
      <c r="S177" s="15">
        <f t="shared" si="4"/>
        <v>4</v>
      </c>
      <c r="T177" s="15" t="str">
        <f t="shared" si="5"/>
        <v>A-6</v>
      </c>
      <c r="U177" s="15" t="str">
        <f t="shared" si="6"/>
        <v>T6-M6-H4-FA-6-FOOD</v>
      </c>
      <c r="V177" s="15">
        <f t="shared" si="7"/>
        <v>0</v>
      </c>
      <c r="W177" s="31"/>
      <c r="X177" s="15" t="str">
        <f t="shared" si="8"/>
        <v>modena-italy</v>
      </c>
      <c r="Y177" s="32" t="str">
        <f t="shared" si="9"/>
        <v>https://steelmanufacturer.in/market-area/electropolished-pipes-manufacturer-in-modena-italy/</v>
      </c>
      <c r="Z177" s="15" t="str">
        <f t="shared" si="10"/>
        <v>Electropolished Pipes Manufacturer in Modena</v>
      </c>
      <c r="AA177" s="15" t="str">
        <f t="shared" si="11"/>
        <v>OK (44)</v>
      </c>
      <c r="AB177" s="15" t="str">
        <f t="shared" si="12"/>
        <v>EP tube and pipe for food processing plants around Modena Industrial District, Modena. Made at our Mumbai works to ASTM A270 and ASME BPE SF1-SF4, with 3.1 MTC.</v>
      </c>
      <c r="AC177" s="15" t="str">
        <f t="shared" si="13"/>
        <v>OK (160)</v>
      </c>
      <c r="AD177" s="15" t="str">
        <f t="shared" si="14"/>
        <v>Electropolished Pipes Manufacturer in Modena</v>
      </c>
      <c r="AE177" s="15" t="str">
        <f t="shared" si="15"/>
        <v>Manufacturing Electropolished SS Tube for Modena: The Standards We Build To</v>
      </c>
      <c r="AF177" s="15" t="str">
        <f t="shared" si="16"/>
        <v>Electropolished Pipe Supply Into Modena - Certification &amp; Transit</v>
      </c>
      <c r="AG177" s="15" t="str">
        <f t="shared" si="17"/>
        <v>Electropolished Pipes Wholesaler in Modena - Project Quantities &amp; Terms</v>
      </c>
      <c r="AH177" s="15" t="str">
        <f t="shared" si="18"/>
        <v>electropolished pipes manufacturer in Modena, electropolished pipes supplier in Modena, electropolished pipes wholesaler in Modena, electropolished tube manufacturer Modena, EP pipe supplier Modena, sanitary tube supplier Modena, ASME BPE tubing Modena, ASTM A270 tube Modena, SS 316L electropolished pipe Modena</v>
      </c>
      <c r="AI177" s="15" t="str">
        <f t="shared" si="19"/>
        <v>Electropolished Pipes Manufacturer &amp; Supplier in Modena</v>
      </c>
      <c r="AJ177" s="15" t="str">
        <f t="shared" si="20"/>
        <v>EP-finished SS 304/316L pipes and tubes for food processing plants in Modena. ASME BPE SF1-SF4, Ra from 0.25 um, EN 10204 3.1 certificate with every lot.</v>
      </c>
      <c r="AK177" s="15" t="str">
        <f t="shared" si="21"/>
        <v>Electropolished stainless steel pipes supplied by Sakshi Forge to food processing plants at Modena Industrial District, Modena</v>
      </c>
      <c r="AL177" s="15" t="str">
        <f t="shared" si="22"/>
        <v>Electropolished SS 316L tube stock for Modena - Sakshi Forge</v>
      </c>
      <c r="AM177" s="15" t="str">
        <f t="shared" si="23"/>
        <v>Home &gt; Market Area &gt; Italy &gt; Emilia-Romagna &gt; Modena</v>
      </c>
      <c r="AN177" s="15">
        <f t="shared" si="24"/>
        <v>1400</v>
      </c>
      <c r="AO177" s="15">
        <f t="shared" si="25"/>
        <v>10</v>
      </c>
      <c r="AP177" s="15">
        <f t="shared" si="26"/>
        <v>12</v>
      </c>
      <c r="AQ177" s="15">
        <f t="shared" si="27"/>
        <v>3</v>
      </c>
      <c r="AR177" s="31"/>
      <c r="AS177" s="31"/>
      <c r="AT177" s="35" t="s">
        <v>222</v>
      </c>
      <c r="AU177" s="35"/>
    </row>
    <row r="178" ht="15.75" customHeight="1">
      <c r="A178" s="15" t="s">
        <v>6995</v>
      </c>
      <c r="B178" s="15" t="s">
        <v>301</v>
      </c>
      <c r="C178" s="15" t="s">
        <v>6996</v>
      </c>
      <c r="D178" s="15" t="s">
        <v>6998</v>
      </c>
      <c r="E178" s="15" t="s">
        <v>6998</v>
      </c>
      <c r="F178" s="16" t="s">
        <v>87</v>
      </c>
      <c r="G178" s="17" t="s">
        <v>88</v>
      </c>
      <c r="H178" s="18" t="s">
        <v>6999</v>
      </c>
      <c r="I178" s="18" t="s">
        <v>6999</v>
      </c>
      <c r="J178" s="18" t="s">
        <v>4156</v>
      </c>
      <c r="K178" s="18" t="s">
        <v>229</v>
      </c>
      <c r="L178" s="18" t="s">
        <v>7001</v>
      </c>
      <c r="M178" s="18" t="s">
        <v>580</v>
      </c>
      <c r="N178" s="18" t="s">
        <v>378</v>
      </c>
      <c r="O178" s="18" t="s">
        <v>98</v>
      </c>
      <c r="P178" s="15" t="str">
        <f t="shared" si="1"/>
        <v>PHARMA</v>
      </c>
      <c r="Q178" s="15">
        <f t="shared" si="2"/>
        <v>7</v>
      </c>
      <c r="R178" s="15">
        <f t="shared" si="3"/>
        <v>7</v>
      </c>
      <c r="S178" s="15">
        <f t="shared" si="4"/>
        <v>5</v>
      </c>
      <c r="T178" s="15" t="str">
        <f t="shared" si="5"/>
        <v>A-1</v>
      </c>
      <c r="U178" s="15" t="str">
        <f t="shared" si="6"/>
        <v>T7-M7-H5-FA-1-PHARMA</v>
      </c>
      <c r="V178" s="15">
        <f t="shared" si="7"/>
        <v>0</v>
      </c>
      <c r="W178" s="31"/>
      <c r="X178" s="15" t="str">
        <f t="shared" si="8"/>
        <v>padua-italy</v>
      </c>
      <c r="Y178" s="32" t="str">
        <f t="shared" si="9"/>
        <v>https://steelmanufacturer.in/market-area/electropolished-pipes-manufacturer-in-padua-italy/</v>
      </c>
      <c r="Z178" s="15" t="str">
        <f t="shared" si="10"/>
        <v>Electropolished Pipes Manufacturer in Padua | ASME BPE SF1-SF4</v>
      </c>
      <c r="AA178" s="15" t="str">
        <f t="shared" si="11"/>
        <v>OK (62)</v>
      </c>
      <c r="AB178" s="15" t="str">
        <f t="shared" si="12"/>
        <v>Electropolished pipes in Padua: 304, 304L, 316 and 316L in SF1-SF4. 18-24 days sea from Nhava Sheva to Genoa. Mill certified.</v>
      </c>
      <c r="AC178" s="15" t="str">
        <f t="shared" si="13"/>
        <v>OK (125)</v>
      </c>
      <c r="AD178" s="15" t="str">
        <f t="shared" si="14"/>
        <v>Electropolished Pipes Manufacturer in Padua</v>
      </c>
      <c r="AE178" s="15" t="str">
        <f t="shared" si="15"/>
        <v>Electropolished Tube Manufacturing Capability Serving Padua</v>
      </c>
      <c r="AF178" s="15" t="str">
        <f t="shared" si="16"/>
        <v>Electropolished Pipes Supplier in Padua - From Order to Delivery</v>
      </c>
      <c r="AG178" s="15" t="str">
        <f t="shared" si="17"/>
        <v>Stockist &amp; Wholesale Supply of Electropolished Pipes in Padua</v>
      </c>
      <c r="AH178" s="15" t="str">
        <f t="shared" si="18"/>
        <v>electropolished pipes manufacturer in Padua, electropolished pipes supplier in Padua, electropolished pipes wholesaler in Padua, electropolished tube manufacturer Padua, EP pipe supplier Padua, sanitary tube supplier Padua, ASME BPE tubing Padua, ASTM A270 tube Padua, SS 316L electropolished pipe Padua</v>
      </c>
      <c r="AI178" s="15" t="str">
        <f t="shared" si="19"/>
        <v>Electropolished Pipes Manufacturer &amp; Supplier in Padua</v>
      </c>
      <c r="AJ178" s="15" t="str">
        <f t="shared" si="20"/>
        <v>EP-finished SS 304/316L pipes and tubes for pharma plants in Padua. ASME BPE SF1-SF4, Ra from 0.25 um, EN 10204 3.1 certificate with every lot.</v>
      </c>
      <c r="AK178" s="15" t="str">
        <f t="shared" si="21"/>
        <v>Electropolished stainless steel pipes supplied by Sakshi Forge to pharma plants at Padova ZIP Industrial Zone, Padua</v>
      </c>
      <c r="AL178" s="15" t="str">
        <f t="shared" si="22"/>
        <v>Electropolished SS 316L tube stock for Padua - Sakshi Forge</v>
      </c>
      <c r="AM178" s="15" t="str">
        <f t="shared" si="23"/>
        <v>Home &gt; Market Area &gt; Italy &gt; Veneto &gt; Padua</v>
      </c>
      <c r="AN178" s="15">
        <f t="shared" si="24"/>
        <v>1400</v>
      </c>
      <c r="AO178" s="15">
        <f t="shared" si="25"/>
        <v>10</v>
      </c>
      <c r="AP178" s="15">
        <f t="shared" si="26"/>
        <v>12</v>
      </c>
      <c r="AQ178" s="15">
        <f t="shared" si="27"/>
        <v>3</v>
      </c>
      <c r="AR178" s="31"/>
      <c r="AS178" s="31"/>
      <c r="AT178" s="35" t="s">
        <v>222</v>
      </c>
      <c r="AU178" s="35"/>
    </row>
    <row r="179" ht="15.75" customHeight="1">
      <c r="A179" s="15" t="s">
        <v>7021</v>
      </c>
      <c r="B179" s="15" t="s">
        <v>301</v>
      </c>
      <c r="C179" s="15" t="s">
        <v>6870</v>
      </c>
      <c r="D179" s="15" t="s">
        <v>7022</v>
      </c>
      <c r="E179" s="15" t="s">
        <v>7022</v>
      </c>
      <c r="F179" s="16" t="s">
        <v>87</v>
      </c>
      <c r="G179" s="17" t="s">
        <v>88</v>
      </c>
      <c r="H179" s="18" t="s">
        <v>7024</v>
      </c>
      <c r="I179" s="18" t="s">
        <v>7024</v>
      </c>
      <c r="J179" s="18" t="s">
        <v>7026</v>
      </c>
      <c r="K179" s="18" t="s">
        <v>579</v>
      </c>
      <c r="L179" s="18" t="s">
        <v>6850</v>
      </c>
      <c r="M179" s="18" t="s">
        <v>580</v>
      </c>
      <c r="N179" s="18" t="s">
        <v>378</v>
      </c>
      <c r="O179" s="18" t="s">
        <v>98</v>
      </c>
      <c r="P179" s="15" t="str">
        <f t="shared" si="1"/>
        <v>DAIRY</v>
      </c>
      <c r="Q179" s="15">
        <f t="shared" si="2"/>
        <v>8</v>
      </c>
      <c r="R179" s="15">
        <f t="shared" si="3"/>
        <v>1</v>
      </c>
      <c r="S179" s="15">
        <f t="shared" si="4"/>
        <v>1</v>
      </c>
      <c r="T179" s="15" t="str">
        <f t="shared" si="5"/>
        <v>A-2</v>
      </c>
      <c r="U179" s="15" t="str">
        <f t="shared" si="6"/>
        <v>T8-M1-H1-FA-2-DAIRY</v>
      </c>
      <c r="V179" s="15">
        <f t="shared" si="7"/>
        <v>0</v>
      </c>
      <c r="W179" s="31"/>
      <c r="X179" s="15" t="str">
        <f t="shared" si="8"/>
        <v>parma-italy</v>
      </c>
      <c r="Y179" s="32" t="str">
        <f t="shared" si="9"/>
        <v>https://steelmanufacturer.in/market-area/electropolished-pipes-manufacturer-in-parma-italy/</v>
      </c>
      <c r="Z179" s="15" t="str">
        <f t="shared" si="10"/>
        <v>Electropolished Pipes Manufacturer in Parma - EP Tube Stockist</v>
      </c>
      <c r="AA179" s="15" t="str">
        <f t="shared" si="11"/>
        <v>OK (62)</v>
      </c>
      <c r="AB179" s="15" t="str">
        <f t="shared" si="12"/>
        <v>EP-finished SS 304/316L pipes &amp; tubes for food &amp; dairy plants in Parma. ASTM A270, ASME BPE SF1-SF4, EN 10204 3.1 MTC. PMI tested.</v>
      </c>
      <c r="AC179" s="15" t="str">
        <f t="shared" si="13"/>
        <v>OK (130)</v>
      </c>
      <c r="AD179" s="15" t="str">
        <f t="shared" si="14"/>
        <v>Electropolished Pipes Manufacturer in Parma</v>
      </c>
      <c r="AE179" s="15" t="str">
        <f t="shared" si="15"/>
        <v>Electropolished Pipe &amp; Tube Manufacturing for Parma - Grades, Finishes &amp; Certification</v>
      </c>
      <c r="AF179" s="15" t="str">
        <f t="shared" si="16"/>
        <v>Electropolished Pipes Supplier in Parma - Stock Sizes, Lead Time &amp; Delivery</v>
      </c>
      <c r="AG179" s="15" t="str">
        <f t="shared" si="17"/>
        <v>Electropolished Pipes Wholesaler &amp; Stockist in Parma - Bulk &amp; Project Pricing</v>
      </c>
      <c r="AH179" s="15" t="str">
        <f t="shared" si="18"/>
        <v>electropolished pipes manufacturer in Parma, electropolished pipes supplier in Parma, electropolished pipes wholesaler in Parma, electropolished tube manufacturer Parma, EP pipe supplier Parma, sanitary tube supplier Parma, ASME BPE tubing Parma, ASTM A270 tube Parma, SS 316L electropolished pipe Parma</v>
      </c>
      <c r="AI179" s="15" t="str">
        <f t="shared" si="19"/>
        <v>Electropolished Pipes Manufacturer &amp; Supplier in Parma</v>
      </c>
      <c r="AJ179" s="15" t="str">
        <f t="shared" si="20"/>
        <v>EP-finished SS 304/316L pipes and tubes for food &amp; dairy plants in Parma. ASME BPE SF1-SF4, Ra from 0.25 um, EN 10204 3.1 certificate with every lot.</v>
      </c>
      <c r="AK179" s="15" t="str">
        <f t="shared" si="21"/>
        <v>Electropolished stainless steel pipes supplied by Sakshi Forge to food &amp; dairy plants at Parma Food Valley Industrial District, Parma</v>
      </c>
      <c r="AL179" s="15" t="str">
        <f t="shared" si="22"/>
        <v>Electropolished SS 316L tube stock for Parma - Sakshi Forge</v>
      </c>
      <c r="AM179" s="15" t="str">
        <f t="shared" si="23"/>
        <v>Home &gt; Market Area &gt; Italy &gt; Emilia-Romagna &gt; Parma</v>
      </c>
      <c r="AN179" s="15">
        <f t="shared" si="24"/>
        <v>1400</v>
      </c>
      <c r="AO179" s="15">
        <f t="shared" si="25"/>
        <v>10</v>
      </c>
      <c r="AP179" s="15">
        <f t="shared" si="26"/>
        <v>12</v>
      </c>
      <c r="AQ179" s="15">
        <f t="shared" si="27"/>
        <v>3</v>
      </c>
      <c r="AR179" s="31"/>
      <c r="AS179" s="31"/>
      <c r="AT179" s="35" t="s">
        <v>222</v>
      </c>
      <c r="AU179" s="35"/>
    </row>
    <row r="180" ht="15.75" customHeight="1">
      <c r="A180" s="15" t="s">
        <v>7044</v>
      </c>
      <c r="B180" s="15" t="s">
        <v>301</v>
      </c>
      <c r="C180" s="15" t="s">
        <v>7046</v>
      </c>
      <c r="D180" s="15" t="s">
        <v>7047</v>
      </c>
      <c r="E180" s="15" t="s">
        <v>7047</v>
      </c>
      <c r="F180" s="16" t="s">
        <v>87</v>
      </c>
      <c r="G180" s="17" t="s">
        <v>88</v>
      </c>
      <c r="H180" s="18" t="s">
        <v>7048</v>
      </c>
      <c r="I180" s="18" t="s">
        <v>7049</v>
      </c>
      <c r="J180" s="18" t="s">
        <v>7050</v>
      </c>
      <c r="K180" s="18" t="s">
        <v>94</v>
      </c>
      <c r="L180" s="18" t="s">
        <v>6850</v>
      </c>
      <c r="M180" s="18" t="s">
        <v>580</v>
      </c>
      <c r="N180" s="18" t="s">
        <v>378</v>
      </c>
      <c r="O180" s="18" t="s">
        <v>98</v>
      </c>
      <c r="P180" s="15" t="str">
        <f t="shared" si="1"/>
        <v>FOOD</v>
      </c>
      <c r="Q180" s="15">
        <f t="shared" si="2"/>
        <v>1</v>
      </c>
      <c r="R180" s="15">
        <f t="shared" si="3"/>
        <v>2</v>
      </c>
      <c r="S180" s="15">
        <f t="shared" si="4"/>
        <v>2</v>
      </c>
      <c r="T180" s="15" t="str">
        <f t="shared" si="5"/>
        <v>A-3</v>
      </c>
      <c r="U180" s="15" t="str">
        <f t="shared" si="6"/>
        <v>T1-M2-H2-FA-3-FOOD</v>
      </c>
      <c r="V180" s="15">
        <f t="shared" si="7"/>
        <v>0</v>
      </c>
      <c r="W180" s="31"/>
      <c r="X180" s="15" t="str">
        <f t="shared" si="8"/>
        <v>turin-italy</v>
      </c>
      <c r="Y180" s="32" t="str">
        <f t="shared" si="9"/>
        <v>https://steelmanufacturer.in/market-area/electropolished-pipes-manufacturer-in-turin-italy/</v>
      </c>
      <c r="Z180" s="15" t="str">
        <f t="shared" si="10"/>
        <v>Electropolished Pipes Manufacturer in Turin | Sakshi Forge</v>
      </c>
      <c r="AA180" s="15" t="str">
        <f t="shared" si="11"/>
        <v>OK (58)</v>
      </c>
      <c r="AB180" s="15" t="str">
        <f t="shared" si="12"/>
        <v>Electropolished tube supply to Mirafiori Industrial, Turin. Ra from 0.25 um, SF4 finish, mill test certificate with every lot.</v>
      </c>
      <c r="AC180" s="15" t="str">
        <f t="shared" si="13"/>
        <v>OK (126)</v>
      </c>
      <c r="AD180" s="15" t="str">
        <f t="shared" si="14"/>
        <v>Electropolished Pipes Manufacturer in Turin</v>
      </c>
      <c r="AE180" s="15" t="str">
        <f t="shared" si="15"/>
        <v>How We Manufacture Electropolished Tube for Turin Plants</v>
      </c>
      <c r="AF180" s="15" t="str">
        <f t="shared" si="16"/>
        <v>Supplying Electropolished Pipes in Turin: Availability, Sizes &amp; Dispatch</v>
      </c>
      <c r="AG180" s="15" t="str">
        <f t="shared" si="17"/>
        <v>Wholesale Electropolished Pipe Supply for Turin Projects</v>
      </c>
      <c r="AH180" s="15" t="str">
        <f t="shared" si="18"/>
        <v>electropolished pipes manufacturer in Turin, electropolished pipes supplier in Turin, electropolished pipes wholesaler in Turin, electropolished tube manufacturer Turin, EP pipe supplier Turin, sanitary tube supplier Turin, ASME BPE tubing Turin, ASTM A270 tube Turin, SS 316L electropolished pipe Turin</v>
      </c>
      <c r="AI180" s="15" t="str">
        <f t="shared" si="19"/>
        <v>Electropolished Pipes Manufacturer &amp; Supplier in Turin</v>
      </c>
      <c r="AJ180" s="15" t="str">
        <f t="shared" si="20"/>
        <v>EP-finished SS 304/316L pipes and tubes for food processing plants in Turin. ASME BPE SF1-SF4, Ra from 0.25 um, EN 10204 3.1 certificate with every lot.</v>
      </c>
      <c r="AK180" s="15" t="str">
        <f t="shared" si="21"/>
        <v>Electropolished stainless steel pipes supplied by Sakshi Forge to food processing plants at Mirafiori Industrial, Turin</v>
      </c>
      <c r="AL180" s="15" t="str">
        <f t="shared" si="22"/>
        <v>Electropolished SS 316L tube stock for Turin - Sakshi Forge</v>
      </c>
      <c r="AM180" s="15" t="str">
        <f t="shared" si="23"/>
        <v>Home &gt; Market Area &gt; Italy &gt; Piedmont &gt; Turin</v>
      </c>
      <c r="AN180" s="15">
        <f t="shared" si="24"/>
        <v>1400</v>
      </c>
      <c r="AO180" s="15">
        <f t="shared" si="25"/>
        <v>10</v>
      </c>
      <c r="AP180" s="15">
        <f t="shared" si="26"/>
        <v>12</v>
      </c>
      <c r="AQ180" s="15">
        <f t="shared" si="27"/>
        <v>3</v>
      </c>
      <c r="AR180" s="31"/>
      <c r="AS180" s="31"/>
      <c r="AT180" s="35" t="s">
        <v>222</v>
      </c>
      <c r="AU180" s="35"/>
    </row>
    <row r="181" ht="15.75" customHeight="1">
      <c r="A181" s="15" t="s">
        <v>7069</v>
      </c>
      <c r="B181" s="15" t="s">
        <v>301</v>
      </c>
      <c r="C181" s="15" t="s">
        <v>6996</v>
      </c>
      <c r="D181" s="15" t="s">
        <v>7070</v>
      </c>
      <c r="E181" s="15" t="s">
        <v>7070</v>
      </c>
      <c r="F181" s="16" t="s">
        <v>87</v>
      </c>
      <c r="G181" s="17" t="s">
        <v>88</v>
      </c>
      <c r="H181" s="18" t="s">
        <v>7071</v>
      </c>
      <c r="I181" s="18" t="s">
        <v>7072</v>
      </c>
      <c r="J181" s="18" t="s">
        <v>7074</v>
      </c>
      <c r="K181" s="18" t="s">
        <v>5794</v>
      </c>
      <c r="L181" s="18" t="s">
        <v>7001</v>
      </c>
      <c r="M181" s="18" t="s">
        <v>580</v>
      </c>
      <c r="N181" s="18" t="s">
        <v>378</v>
      </c>
      <c r="O181" s="18" t="s">
        <v>98</v>
      </c>
      <c r="P181" s="15" t="str">
        <f t="shared" si="1"/>
        <v>BREWERY</v>
      </c>
      <c r="Q181" s="15">
        <f t="shared" si="2"/>
        <v>2</v>
      </c>
      <c r="R181" s="15">
        <f t="shared" si="3"/>
        <v>3</v>
      </c>
      <c r="S181" s="15">
        <f t="shared" si="4"/>
        <v>3</v>
      </c>
      <c r="T181" s="15" t="str">
        <f t="shared" si="5"/>
        <v>A-4</v>
      </c>
      <c r="U181" s="15" t="str">
        <f t="shared" si="6"/>
        <v>T2-M3-H3-FA-4-BREWERY</v>
      </c>
      <c r="V181" s="15">
        <f t="shared" si="7"/>
        <v>0</v>
      </c>
      <c r="W181" s="31"/>
      <c r="X181" s="15" t="str">
        <f t="shared" si="8"/>
        <v>verona-italy</v>
      </c>
      <c r="Y181" s="32" t="str">
        <f t="shared" si="9"/>
        <v>https://steelmanufacturer.in/market-area/electropolished-pipes-manufacturer-in-verona-italy/</v>
      </c>
      <c r="Z181" s="15" t="str">
        <f t="shared" si="10"/>
        <v>Electropolished Pipes Manufacturer in Verona</v>
      </c>
      <c r="AA181" s="15" t="str">
        <f t="shared" si="11"/>
        <v>OK (44)</v>
      </c>
      <c r="AB181" s="15" t="str">
        <f t="shared" si="12"/>
        <v>EP stainless tube for brewery &amp; food lines in Verona. 18-24 days sea from Nhava Sheva to Genoa. ASTM A270 S2, PMI tested, EN 10204 3.1.</v>
      </c>
      <c r="AC181" s="15" t="str">
        <f t="shared" si="13"/>
        <v>OK (135)</v>
      </c>
      <c r="AD181" s="15" t="str">
        <f t="shared" si="14"/>
        <v>Electropolished Pipes Manufacturer in Verona</v>
      </c>
      <c r="AE181" s="15" t="str">
        <f t="shared" si="15"/>
        <v>Electropolished Pipes Manufacturer in Verona - Our Process &amp; Capability</v>
      </c>
      <c r="AF181" s="15" t="str">
        <f t="shared" si="16"/>
        <v>Electropolished Pipes Supplier in Verona - What We Hold in Stock</v>
      </c>
      <c r="AG181" s="15" t="str">
        <f t="shared" si="17"/>
        <v>Bulk &amp; Wholesale Electropolished Pipe Rates for Verona Buyers</v>
      </c>
      <c r="AH181" s="15" t="str">
        <f t="shared" si="18"/>
        <v>electropolished pipes manufacturer in Verona, electropolished pipes supplier in Verona, electropolished pipes wholesaler in Verona, electropolished tube manufacturer Verona, EP pipe supplier Verona, sanitary tube supplier Verona, ASME BPE tubing Verona, ASTM A270 tube Verona, SS 316L electropolished pipe Verona</v>
      </c>
      <c r="AI181" s="15" t="str">
        <f t="shared" si="19"/>
        <v>Electropolished Pipes Manufacturer &amp; Supplier in Verona</v>
      </c>
      <c r="AJ181" s="15" t="str">
        <f t="shared" si="20"/>
        <v>EP-finished SS 304/316L pipes and tubes for brewery &amp; food plants in Verona. ASME BPE SF1-SF4, Ra from 0.25 um, EN 10204 3.1 certificate with every lot.</v>
      </c>
      <c r="AK181" s="15" t="str">
        <f t="shared" si="21"/>
        <v>Electropolished stainless steel pipes supplied by Sakshi Forge to brewery &amp; food plants at Verona ZAI Industrial Zone, Verona</v>
      </c>
      <c r="AL181" s="15" t="str">
        <f t="shared" si="22"/>
        <v>Electropolished SS 316L tube stock for Verona - Sakshi Forge</v>
      </c>
      <c r="AM181" s="15" t="str">
        <f t="shared" si="23"/>
        <v>Home &gt; Market Area &gt; Italy &gt; Veneto &gt; Verona</v>
      </c>
      <c r="AN181" s="15">
        <f t="shared" si="24"/>
        <v>1400</v>
      </c>
      <c r="AO181" s="15">
        <f t="shared" si="25"/>
        <v>10</v>
      </c>
      <c r="AP181" s="15">
        <f t="shared" si="26"/>
        <v>12</v>
      </c>
      <c r="AQ181" s="15">
        <f t="shared" si="27"/>
        <v>3</v>
      </c>
      <c r="AR181" s="31"/>
      <c r="AS181" s="31"/>
      <c r="AT181" s="35" t="s">
        <v>222</v>
      </c>
      <c r="AU181" s="35"/>
    </row>
    <row r="182" ht="15.75" customHeight="1">
      <c r="A182" s="15" t="s">
        <v>7098</v>
      </c>
      <c r="B182" s="15" t="s">
        <v>217</v>
      </c>
      <c r="C182" s="15" t="s">
        <v>7099</v>
      </c>
      <c r="D182" s="15" t="s">
        <v>7099</v>
      </c>
      <c r="E182" s="15" t="s">
        <v>7099</v>
      </c>
      <c r="F182" s="16" t="s">
        <v>87</v>
      </c>
      <c r="G182" s="17" t="s">
        <v>88</v>
      </c>
      <c r="H182" s="18" t="s">
        <v>7101</v>
      </c>
      <c r="I182" s="18" t="s">
        <v>7101</v>
      </c>
      <c r="J182" s="18" t="s">
        <v>7103</v>
      </c>
      <c r="K182" s="18" t="s">
        <v>1084</v>
      </c>
      <c r="L182" s="18" t="s">
        <v>7104</v>
      </c>
      <c r="M182" s="18" t="s">
        <v>513</v>
      </c>
      <c r="N182" s="18" t="s">
        <v>218</v>
      </c>
      <c r="O182" s="18" t="s">
        <v>98</v>
      </c>
      <c r="P182" s="15" t="str">
        <f t="shared" si="1"/>
        <v>CHEM</v>
      </c>
      <c r="Q182" s="15">
        <f t="shared" si="2"/>
        <v>3</v>
      </c>
      <c r="R182" s="15">
        <f t="shared" si="3"/>
        <v>4</v>
      </c>
      <c r="S182" s="15">
        <f t="shared" si="4"/>
        <v>4</v>
      </c>
      <c r="T182" s="15" t="str">
        <f t="shared" si="5"/>
        <v>A-5</v>
      </c>
      <c r="U182" s="15" t="str">
        <f t="shared" si="6"/>
        <v>T3-M4-H4-FA-5-CHEM</v>
      </c>
      <c r="V182" s="15">
        <f t="shared" si="7"/>
        <v>0</v>
      </c>
      <c r="W182" s="31"/>
      <c r="X182" s="15" t="str">
        <f t="shared" si="8"/>
        <v>al-ahmadi-kuwait</v>
      </c>
      <c r="Y182" s="32" t="str">
        <f t="shared" si="9"/>
        <v>https://steelmanufacturer.in/market-area/electropolished-pipes-manufacturer-in-al-ahmadi-kuwait/</v>
      </c>
      <c r="Z182" s="15" t="str">
        <f t="shared" si="10"/>
        <v>Electropolished Pipes Manufacturer in Al Ahmadi</v>
      </c>
      <c r="AA182" s="15" t="str">
        <f t="shared" si="11"/>
        <v>OK (47)</v>
      </c>
      <c r="AB182" s="15" t="str">
        <f t="shared" si="12"/>
        <v>Sanitary electropolished pipes in Al Ahmadi for petrochemical plants. ASME BPE SF1-SF4, orbital-weld ready, 3.1 MTC. Mumbai-made.</v>
      </c>
      <c r="AC182" s="15" t="str">
        <f t="shared" si="13"/>
        <v>OK (129)</v>
      </c>
      <c r="AD182" s="15" t="str">
        <f t="shared" si="14"/>
        <v>Electropolished Pipes Manufacturer in Al Ahmadi</v>
      </c>
      <c r="AE182" s="15" t="str">
        <f t="shared" si="15"/>
        <v>Manufacturing Electropolished SS Tube for Al Ahmadi: The Standards We Build To</v>
      </c>
      <c r="AF182" s="15" t="str">
        <f t="shared" si="16"/>
        <v>Electropolished Pipe Supply Into Al Ahmadi - Certification &amp; Transit</v>
      </c>
      <c r="AG182" s="15" t="str">
        <f t="shared" si="17"/>
        <v>Electropolished Pipes Wholesaler in Al Ahmadi - Project Quantities &amp; Terms</v>
      </c>
      <c r="AH182" s="15" t="str">
        <f t="shared" si="18"/>
        <v>electropolished pipes manufacturer in Al Ahmadi, electropolished pipes supplier in Al Ahmadi, electropolished pipes wholesaler in Al Ahmadi, electropolished tube manufacturer Al Ahmadi, EP pipe supplier Al Ahmadi, sanitary tube supplier Al Ahmadi, ASME BPE tubing Al Ahmadi, ASTM A270 tube Al Ahmadi, SS 316L electropolished pipe Al Ahmadi</v>
      </c>
      <c r="AI182" s="15" t="str">
        <f t="shared" si="19"/>
        <v>Electropolished Pipes Manufacturer &amp; Supplier in Al Ahmadi</v>
      </c>
      <c r="AJ182" s="15" t="str">
        <f t="shared" si="20"/>
        <v>EP-finished SS 304/316L pipes and tubes for petrochemical plants in Al Ahmadi. ASME BPE SF1-SF4, Ra from 0.25 um, EN 10204 3.1 certificate with every lot.</v>
      </c>
      <c r="AK182" s="15" t="str">
        <f t="shared" si="21"/>
        <v>Electropolished stainless steel pipes supplied by Sakshi Forge to petrochemical plants at Mina Al Ahmadi Refinery Complex, Al Ahmadi</v>
      </c>
      <c r="AL182" s="15" t="str">
        <f t="shared" si="22"/>
        <v>Electropolished SS 316L tube stock for Al Ahmadi - Sakshi Forge</v>
      </c>
      <c r="AM182" s="15" t="str">
        <f t="shared" si="23"/>
        <v>Home &gt; Market Area &gt; Kuwait &gt; Al Ahmadi &gt; Al Ahmadi</v>
      </c>
      <c r="AN182" s="15">
        <f t="shared" si="24"/>
        <v>1400</v>
      </c>
      <c r="AO182" s="15">
        <f t="shared" si="25"/>
        <v>10</v>
      </c>
      <c r="AP182" s="15">
        <f t="shared" si="26"/>
        <v>12</v>
      </c>
      <c r="AQ182" s="15">
        <f t="shared" si="27"/>
        <v>3</v>
      </c>
      <c r="AR182" s="31"/>
      <c r="AS182" s="31"/>
      <c r="AT182" s="35" t="s">
        <v>222</v>
      </c>
      <c r="AU182" s="35"/>
    </row>
    <row r="183" ht="15.75" customHeight="1">
      <c r="A183" s="15" t="s">
        <v>7124</v>
      </c>
      <c r="B183" s="15" t="s">
        <v>217</v>
      </c>
      <c r="C183" s="15" t="s">
        <v>7125</v>
      </c>
      <c r="D183" s="15" t="s">
        <v>7126</v>
      </c>
      <c r="E183" s="15" t="s">
        <v>7126</v>
      </c>
      <c r="F183" s="16" t="s">
        <v>87</v>
      </c>
      <c r="G183" s="17" t="s">
        <v>88</v>
      </c>
      <c r="H183" s="18" t="s">
        <v>7127</v>
      </c>
      <c r="I183" s="18" t="s">
        <v>7127</v>
      </c>
      <c r="J183" s="18" t="s">
        <v>6002</v>
      </c>
      <c r="K183" s="18" t="s">
        <v>229</v>
      </c>
      <c r="L183" s="18" t="s">
        <v>7129</v>
      </c>
      <c r="M183" s="18" t="s">
        <v>513</v>
      </c>
      <c r="N183" s="18" t="s">
        <v>218</v>
      </c>
      <c r="O183" s="18" t="s">
        <v>98</v>
      </c>
      <c r="P183" s="15" t="str">
        <f t="shared" si="1"/>
        <v>PHARMA</v>
      </c>
      <c r="Q183" s="15">
        <f t="shared" si="2"/>
        <v>4</v>
      </c>
      <c r="R183" s="15">
        <f t="shared" si="3"/>
        <v>5</v>
      </c>
      <c r="S183" s="15">
        <f t="shared" si="4"/>
        <v>5</v>
      </c>
      <c r="T183" s="15" t="str">
        <f t="shared" si="5"/>
        <v>A-6</v>
      </c>
      <c r="U183" s="15" t="str">
        <f t="shared" si="6"/>
        <v>T4-M5-H5-FA-6-PHARMA</v>
      </c>
      <c r="V183" s="15">
        <f t="shared" si="7"/>
        <v>0</v>
      </c>
      <c r="W183" s="31"/>
      <c r="X183" s="15" t="str">
        <f t="shared" si="8"/>
        <v>kuwait-city-kuwait</v>
      </c>
      <c r="Y183" s="32" t="str">
        <f t="shared" si="9"/>
        <v>https://steelmanufacturer.in/market-area/electropolished-pipes-manufacturer-in-kuwait-city-kuwait/</v>
      </c>
      <c r="Z183" s="15" t="str">
        <f t="shared" si="10"/>
        <v>Electropolished Pipes Manufacturer in Kuwait City</v>
      </c>
      <c r="AA183" s="15" t="str">
        <f t="shared" si="11"/>
        <v>OK (49)</v>
      </c>
      <c r="AB183" s="15" t="str">
        <f t="shared" si="12"/>
        <v>Manufacturer of electropolished SS 316L tube serving Kuwait City. 14-18 days sea from Nhava Sheva to Shuwaikh. Ra 0.25-0.5 um, EN 10204 3.1 MTC.</v>
      </c>
      <c r="AC183" s="15" t="str">
        <f t="shared" si="13"/>
        <v>OK (144)</v>
      </c>
      <c r="AD183" s="15" t="str">
        <f t="shared" si="14"/>
        <v>Electropolished Pipes Manufacturer in Kuwait City</v>
      </c>
      <c r="AE183" s="15" t="str">
        <f t="shared" si="15"/>
        <v>Electropolished Tube Manufacturing Capability Serving Kuwait City</v>
      </c>
      <c r="AF183" s="15" t="str">
        <f t="shared" si="16"/>
        <v>Electropolished Pipes Supplier in Kuwait City - From Order to Delivery</v>
      </c>
      <c r="AG183" s="15" t="str">
        <f t="shared" si="17"/>
        <v>Stockist &amp; Wholesale Supply of Electropolished Pipes in Kuwait City</v>
      </c>
      <c r="AH183" s="15" t="str">
        <f t="shared" si="18"/>
        <v>electropolished pipes manufacturer in Kuwait City, electropolished pipes supplier in Kuwait City, electropolished pipes wholesaler in Kuwait City, electropolished tube manufacturer Kuwait City, EP pipe supplier Kuwait City, sanitary tube supplier Kuwait City, ASME BPE tubing Kuwait City, ASTM A270 tube Kuwait City, SS 316L electropolished pipe Kuwait City</v>
      </c>
      <c r="AI183" s="15" t="str">
        <f t="shared" si="19"/>
        <v>Electropolished Pipes Manufacturer &amp; Supplier in Kuwait City</v>
      </c>
      <c r="AJ183" s="15" t="str">
        <f t="shared" si="20"/>
        <v>EP-finished SS 304/316L pipes and tubes for pharma plants in Kuwait City. ASME BPE SF1-SF4, Ra from 0.25 um, EN 10204 3.1 certificate with every lot.</v>
      </c>
      <c r="AK183" s="15" t="str">
        <f t="shared" si="21"/>
        <v>Electropolished stainless steel pipes supplied by Sakshi Forge to pharma plants at Shuwaikh Industrial Area, Kuwait City</v>
      </c>
      <c r="AL183" s="15" t="str">
        <f t="shared" si="22"/>
        <v>Electropolished SS 316L tube stock for Kuwait City - Sakshi Forge</v>
      </c>
      <c r="AM183" s="15" t="str">
        <f t="shared" si="23"/>
        <v>Home &gt; Market Area &gt; Kuwait &gt; Al Asimah &gt; Kuwait City</v>
      </c>
      <c r="AN183" s="15">
        <f t="shared" si="24"/>
        <v>1400</v>
      </c>
      <c r="AO183" s="15">
        <f t="shared" si="25"/>
        <v>10</v>
      </c>
      <c r="AP183" s="15">
        <f t="shared" si="26"/>
        <v>12</v>
      </c>
      <c r="AQ183" s="15">
        <f t="shared" si="27"/>
        <v>3</v>
      </c>
      <c r="AR183" s="31"/>
      <c r="AS183" s="31"/>
      <c r="AT183" s="35" t="s">
        <v>222</v>
      </c>
      <c r="AU183" s="35"/>
    </row>
    <row r="184" ht="15.75" customHeight="1">
      <c r="A184" s="15" t="s">
        <v>7147</v>
      </c>
      <c r="B184" s="15" t="s">
        <v>217</v>
      </c>
      <c r="C184" s="15" t="s">
        <v>7149</v>
      </c>
      <c r="D184" s="15" t="s">
        <v>7150</v>
      </c>
      <c r="E184" s="15" t="s">
        <v>7150</v>
      </c>
      <c r="F184" s="16" t="s">
        <v>87</v>
      </c>
      <c r="G184" s="17" t="s">
        <v>88</v>
      </c>
      <c r="H184" s="18" t="s">
        <v>7152</v>
      </c>
      <c r="I184" s="18" t="s">
        <v>7152</v>
      </c>
      <c r="J184" s="18" t="s">
        <v>7153</v>
      </c>
      <c r="K184" s="18" t="s">
        <v>94</v>
      </c>
      <c r="L184" s="18" t="s">
        <v>7129</v>
      </c>
      <c r="M184" s="18" t="s">
        <v>513</v>
      </c>
      <c r="N184" s="18" t="s">
        <v>218</v>
      </c>
      <c r="O184" s="18" t="s">
        <v>98</v>
      </c>
      <c r="P184" s="15" t="str">
        <f t="shared" si="1"/>
        <v>FOOD</v>
      </c>
      <c r="Q184" s="15">
        <f t="shared" si="2"/>
        <v>5</v>
      </c>
      <c r="R184" s="15">
        <f t="shared" si="3"/>
        <v>6</v>
      </c>
      <c r="S184" s="15">
        <f t="shared" si="4"/>
        <v>1</v>
      </c>
      <c r="T184" s="15" t="str">
        <f t="shared" si="5"/>
        <v>A-1</v>
      </c>
      <c r="U184" s="15" t="str">
        <f t="shared" si="6"/>
        <v>T5-M6-H1-FA-1-FOOD</v>
      </c>
      <c r="V184" s="15">
        <f t="shared" si="7"/>
        <v>0</v>
      </c>
      <c r="W184" s="31"/>
      <c r="X184" s="15" t="str">
        <f t="shared" si="8"/>
        <v>sabhan-kuwait</v>
      </c>
      <c r="Y184" s="32" t="str">
        <f t="shared" si="9"/>
        <v>https://steelmanufacturer.in/market-area/electropolished-pipes-manufacturer-in-sabhan-kuwait/</v>
      </c>
      <c r="Z184" s="15" t="str">
        <f t="shared" si="10"/>
        <v>Electropolished Pipes Manufacturer in Sabhan</v>
      </c>
      <c r="AA184" s="15" t="str">
        <f t="shared" si="11"/>
        <v>OK (44)</v>
      </c>
      <c r="AB184" s="15" t="str">
        <f t="shared" si="12"/>
        <v>EP tube and pipe for food processing plants around Sabhan Industrial Area, Sabhan. Made at our Mumbai works to ASTM A270 and ASME BPE SF1-SF4, with 3.1 MTC.</v>
      </c>
      <c r="AC184" s="15" t="str">
        <f t="shared" si="13"/>
        <v>OK (156)</v>
      </c>
      <c r="AD184" s="15" t="str">
        <f t="shared" si="14"/>
        <v>Electropolished Pipes Manufacturer in Sabhan</v>
      </c>
      <c r="AE184" s="15" t="str">
        <f t="shared" si="15"/>
        <v>Electropolished Pipe &amp; Tube Manufacturing for Sabhan - Grades, Finishes &amp; Certification</v>
      </c>
      <c r="AF184" s="15" t="str">
        <f t="shared" si="16"/>
        <v>Electropolished Pipes Supplier in Sabhan - Stock Sizes, Lead Time &amp; Delivery</v>
      </c>
      <c r="AG184" s="15" t="str">
        <f t="shared" si="17"/>
        <v>Electropolished Pipes Wholesaler &amp; Stockist in Sabhan - Bulk &amp; Project Pricing</v>
      </c>
      <c r="AH184" s="15" t="str">
        <f t="shared" si="18"/>
        <v>electropolished pipes manufacturer in Sabhan, electropolished pipes supplier in Sabhan, electropolished pipes wholesaler in Sabhan, electropolished tube manufacturer Sabhan, EP pipe supplier Sabhan, sanitary tube supplier Sabhan, ASME BPE tubing Sabhan, ASTM A270 tube Sabhan, SS 316L electropolished pipe Sabhan</v>
      </c>
      <c r="AI184" s="15" t="str">
        <f t="shared" si="19"/>
        <v>Electropolished Pipes Manufacturer &amp; Supplier in Sabhan</v>
      </c>
      <c r="AJ184" s="15" t="str">
        <f t="shared" si="20"/>
        <v>EP-finished SS 304/316L pipes and tubes for food processing plants in Sabhan. ASME BPE SF1-SF4, Ra from 0.25 um, EN 10204 3.1 certificate with every lot.</v>
      </c>
      <c r="AK184" s="15" t="str">
        <f t="shared" si="21"/>
        <v>Electropolished stainless steel pipes supplied by Sakshi Forge to food processing plants at Sabhan Industrial Area, Sabhan</v>
      </c>
      <c r="AL184" s="15" t="str">
        <f t="shared" si="22"/>
        <v>Electropolished SS 316L tube stock for Sabhan - Sakshi Forge</v>
      </c>
      <c r="AM184" s="15" t="str">
        <f t="shared" si="23"/>
        <v>Home &gt; Market Area &gt; Kuwait &gt; Hawalli &gt; Sabhan</v>
      </c>
      <c r="AN184" s="15">
        <f t="shared" si="24"/>
        <v>1400</v>
      </c>
      <c r="AO184" s="15">
        <f t="shared" si="25"/>
        <v>10</v>
      </c>
      <c r="AP184" s="15">
        <f t="shared" si="26"/>
        <v>12</v>
      </c>
      <c r="AQ184" s="15">
        <f t="shared" si="27"/>
        <v>4</v>
      </c>
      <c r="AR184" s="31"/>
      <c r="AS184" s="31"/>
      <c r="AT184" s="35" t="s">
        <v>222</v>
      </c>
      <c r="AU184" s="35"/>
    </row>
    <row r="185" ht="15.75" customHeight="1">
      <c r="A185" s="15" t="s">
        <v>7171</v>
      </c>
      <c r="B185" s="15" t="s">
        <v>217</v>
      </c>
      <c r="C185" s="15" t="s">
        <v>7099</v>
      </c>
      <c r="D185" s="15" t="s">
        <v>7173</v>
      </c>
      <c r="E185" s="15" t="s">
        <v>7173</v>
      </c>
      <c r="F185" s="16" t="s">
        <v>87</v>
      </c>
      <c r="G185" s="17" t="s">
        <v>88</v>
      </c>
      <c r="H185" s="18" t="s">
        <v>7174</v>
      </c>
      <c r="I185" s="18" t="s">
        <v>7174</v>
      </c>
      <c r="J185" s="18" t="s">
        <v>7175</v>
      </c>
      <c r="K185" s="18" t="s">
        <v>1084</v>
      </c>
      <c r="L185" s="18" t="s">
        <v>7176</v>
      </c>
      <c r="M185" s="18" t="s">
        <v>513</v>
      </c>
      <c r="N185" s="18" t="s">
        <v>218</v>
      </c>
      <c r="O185" s="18" t="s">
        <v>98</v>
      </c>
      <c r="P185" s="15" t="str">
        <f t="shared" si="1"/>
        <v>CHEM</v>
      </c>
      <c r="Q185" s="15">
        <f t="shared" si="2"/>
        <v>6</v>
      </c>
      <c r="R185" s="15">
        <f t="shared" si="3"/>
        <v>7</v>
      </c>
      <c r="S185" s="15">
        <f t="shared" si="4"/>
        <v>2</v>
      </c>
      <c r="T185" s="15" t="str">
        <f t="shared" si="5"/>
        <v>A-2</v>
      </c>
      <c r="U185" s="15" t="str">
        <f t="shared" si="6"/>
        <v>T6-M7-H2-FA-2-CHEM</v>
      </c>
      <c r="V185" s="15">
        <f t="shared" si="7"/>
        <v>0</v>
      </c>
      <c r="W185" s="31"/>
      <c r="X185" s="15" t="str">
        <f t="shared" si="8"/>
        <v>shuaiba-kuwait</v>
      </c>
      <c r="Y185" s="32" t="str">
        <f t="shared" si="9"/>
        <v>https://steelmanufacturer.in/market-area/electropolished-pipes-manufacturer-in-shuaiba-kuwait/</v>
      </c>
      <c r="Z185" s="15" t="str">
        <f t="shared" si="10"/>
        <v>Electropolished Pipes Manufacturer in Shuaiba</v>
      </c>
      <c r="AA185" s="15" t="str">
        <f t="shared" si="11"/>
        <v>OK (45)</v>
      </c>
      <c r="AB185" s="15" t="str">
        <f t="shared" si="12"/>
        <v>Electropolished pipes in Shuaiba: 304, 304L, 316 and 316L in SF1-SF4. 14-18 days sea from Nhava Sheva to Shuwaikh. Mill certified.</v>
      </c>
      <c r="AC185" s="15" t="str">
        <f t="shared" si="13"/>
        <v>OK (130)</v>
      </c>
      <c r="AD185" s="15" t="str">
        <f t="shared" si="14"/>
        <v>Electropolished Pipes Manufacturer in Shuaiba</v>
      </c>
      <c r="AE185" s="15" t="str">
        <f t="shared" si="15"/>
        <v>How We Manufacture Electropolished Tube for Shuaiba Plants</v>
      </c>
      <c r="AF185" s="15" t="str">
        <f t="shared" si="16"/>
        <v>Supplying Electropolished Pipes in Shuaiba: Availability, Sizes &amp; Dispatch</v>
      </c>
      <c r="AG185" s="15" t="str">
        <f t="shared" si="17"/>
        <v>Wholesale Electropolished Pipe Supply for Shuaiba Projects</v>
      </c>
      <c r="AH185" s="15" t="str">
        <f t="shared" si="18"/>
        <v>electropolished pipes manufacturer in Shuaiba, electropolished pipes supplier in Shuaiba, electropolished pipes wholesaler in Shuaiba, electropolished tube manufacturer Shuaiba, EP pipe supplier Shuaiba, sanitary tube supplier Shuaiba, ASME BPE tubing Shuaiba, ASTM A270 tube Shuaiba, SS 316L electropolished pipe Shuaiba</v>
      </c>
      <c r="AI185" s="15" t="str">
        <f t="shared" si="19"/>
        <v>Electropolished Pipes Manufacturer &amp; Supplier in Shuaiba</v>
      </c>
      <c r="AJ185" s="15" t="str">
        <f t="shared" si="20"/>
        <v>EP-finished SS 304/316L pipes and tubes for petrochemical plants in Shuaiba. ASME BPE SF1-SF4, Ra from 0.25 um, EN 10204 3.1 certificate with every lot.</v>
      </c>
      <c r="AK185" s="15" t="str">
        <f t="shared" si="21"/>
        <v>Electropolished stainless steel pipes supplied by Sakshi Forge to petrochemical plants at Shuaiba Industrial Area, Shuaiba</v>
      </c>
      <c r="AL185" s="15" t="str">
        <f t="shared" si="22"/>
        <v>Electropolished SS 316L tube stock for Shuaiba - Sakshi Forge</v>
      </c>
      <c r="AM185" s="15" t="str">
        <f t="shared" si="23"/>
        <v>Home &gt; Market Area &gt; Kuwait &gt; Al Ahmadi &gt; Shuaiba</v>
      </c>
      <c r="AN185" s="15">
        <f t="shared" si="24"/>
        <v>1400</v>
      </c>
      <c r="AO185" s="15">
        <f t="shared" si="25"/>
        <v>10</v>
      </c>
      <c r="AP185" s="15">
        <f t="shared" si="26"/>
        <v>12</v>
      </c>
      <c r="AQ185" s="15">
        <f t="shared" si="27"/>
        <v>4</v>
      </c>
      <c r="AR185" s="31"/>
      <c r="AS185" s="31"/>
      <c r="AT185" s="35" t="s">
        <v>222</v>
      </c>
      <c r="AU185" s="35"/>
    </row>
    <row r="186" ht="15.75" customHeight="1">
      <c r="A186" s="15" t="s">
        <v>7191</v>
      </c>
      <c r="B186" s="15" t="s">
        <v>430</v>
      </c>
      <c r="C186" s="15" t="s">
        <v>7192</v>
      </c>
      <c r="D186" s="15" t="s">
        <v>7193</v>
      </c>
      <c r="E186" s="15" t="s">
        <v>7193</v>
      </c>
      <c r="F186" s="16" t="s">
        <v>87</v>
      </c>
      <c r="G186" s="17" t="s">
        <v>88</v>
      </c>
      <c r="H186" s="18" t="s">
        <v>7195</v>
      </c>
      <c r="I186" s="18" t="s">
        <v>7196</v>
      </c>
      <c r="J186" s="18" t="s">
        <v>7198</v>
      </c>
      <c r="K186" s="18" t="s">
        <v>94</v>
      </c>
      <c r="L186" s="18" t="s">
        <v>7199</v>
      </c>
      <c r="M186" s="18" t="s">
        <v>627</v>
      </c>
      <c r="N186" s="18" t="s">
        <v>444</v>
      </c>
      <c r="O186" s="18" t="s">
        <v>98</v>
      </c>
      <c r="P186" s="15" t="str">
        <f t="shared" si="1"/>
        <v>FOOD</v>
      </c>
      <c r="Q186" s="15">
        <f t="shared" si="2"/>
        <v>7</v>
      </c>
      <c r="R186" s="15">
        <f t="shared" si="3"/>
        <v>1</v>
      </c>
      <c r="S186" s="15">
        <f t="shared" si="4"/>
        <v>3</v>
      </c>
      <c r="T186" s="15" t="str">
        <f t="shared" si="5"/>
        <v>A-3</v>
      </c>
      <c r="U186" s="15" t="str">
        <f t="shared" si="6"/>
        <v>T7-M1-H3-FA-3-FOOD</v>
      </c>
      <c r="V186" s="15">
        <f t="shared" si="7"/>
        <v>0</v>
      </c>
      <c r="W186" s="31"/>
      <c r="X186" s="15" t="str">
        <f t="shared" si="8"/>
        <v>johor-bahru-malaysia</v>
      </c>
      <c r="Y186" s="32" t="str">
        <f t="shared" si="9"/>
        <v>https://steelmanufacturer.in/market-area/electropolished-pipes-manufacturer-in-johor-bahru-malaysia/</v>
      </c>
      <c r="Z186" s="15" t="str">
        <f t="shared" si="10"/>
        <v>Electropolished Pipes Manufacturer in Johor Bahru</v>
      </c>
      <c r="AA186" s="15" t="str">
        <f t="shared" si="11"/>
        <v>OK (49)</v>
      </c>
      <c r="AB186" s="15" t="str">
        <f t="shared" si="12"/>
        <v>EP-finished SS 304/316L pipes &amp; tubes for food processing plants in Johor Bahru. ASTM A270, ASME BPE SF1-SF4, EN 10204 3.1 MTC. PMI tested.</v>
      </c>
      <c r="AC186" s="15" t="str">
        <f t="shared" si="13"/>
        <v>OK (139)</v>
      </c>
      <c r="AD186" s="15" t="str">
        <f t="shared" si="14"/>
        <v>Electropolished Pipes Manufacturer in Johor Bahru</v>
      </c>
      <c r="AE186" s="15" t="str">
        <f t="shared" si="15"/>
        <v>Electropolished Pipes Manufacturer in Johor Bahru - Our Process &amp; Capability</v>
      </c>
      <c r="AF186" s="15" t="str">
        <f t="shared" si="16"/>
        <v>Electropolished Pipes Supplier in Johor Bahru - What We Hold in Stock</v>
      </c>
      <c r="AG186" s="15" t="str">
        <f t="shared" si="17"/>
        <v>Bulk &amp; Wholesale Electropolished Pipe Rates for Johor Bahru Buyers</v>
      </c>
      <c r="AH186" s="15" t="str">
        <f t="shared" si="18"/>
        <v>electropolished pipes manufacturer in Johor Bahru, electropolished pipes supplier in Johor Bahru, electropolished pipes wholesaler in Johor Bahru, electropolished tube manufacturer Johor Bahru, EP pipe supplier Johor Bahru, sanitary tube supplier Johor Bahru, ASME BPE tubing Johor Bahru, ASTM A270 tube Johor Bahru, SS 316L electropolished pipe Johor Bahru</v>
      </c>
      <c r="AI186" s="15" t="str">
        <f t="shared" si="19"/>
        <v>Electropolished Pipes Manufacturer &amp; Supplier in Johor Bahru</v>
      </c>
      <c r="AJ186" s="15" t="str">
        <f t="shared" si="20"/>
        <v>EP-finished SS 304/316L pipes and tubes for food processing plants in Johor Bahru. ASME BPE SF1-SF4, Ra from 0.25 um, EN 10204 3.1 certificate with every lot.</v>
      </c>
      <c r="AK186" s="15" t="str">
        <f t="shared" si="21"/>
        <v>Electropolished stainless steel pipes supplied by Sakshi Forge to food processing plants at Pasir Gudang Industrial, Johor Bahru</v>
      </c>
      <c r="AL186" s="15" t="str">
        <f t="shared" si="22"/>
        <v>Electropolished SS 316L tube stock for Johor Bahru - Sakshi Forge</v>
      </c>
      <c r="AM186" s="15" t="str">
        <f t="shared" si="23"/>
        <v>Home &gt; Market Area &gt; Malaysia &gt; Johor &gt; Johor Bahru</v>
      </c>
      <c r="AN186" s="15">
        <f t="shared" si="24"/>
        <v>1400</v>
      </c>
      <c r="AO186" s="15">
        <f t="shared" si="25"/>
        <v>10</v>
      </c>
      <c r="AP186" s="15">
        <f t="shared" si="26"/>
        <v>12</v>
      </c>
      <c r="AQ186" s="15">
        <f t="shared" si="27"/>
        <v>4</v>
      </c>
      <c r="AR186" s="31"/>
      <c r="AS186" s="31"/>
      <c r="AT186" s="35" t="s">
        <v>222</v>
      </c>
      <c r="AU186" s="35"/>
    </row>
    <row r="187" ht="15.75" customHeight="1">
      <c r="A187" s="15" t="s">
        <v>7217</v>
      </c>
      <c r="B187" s="15" t="s">
        <v>430</v>
      </c>
      <c r="C187" s="15" t="s">
        <v>7219</v>
      </c>
      <c r="D187" s="15" t="s">
        <v>7220</v>
      </c>
      <c r="E187" s="15" t="s">
        <v>7220</v>
      </c>
      <c r="F187" s="16" t="s">
        <v>87</v>
      </c>
      <c r="G187" s="17" t="s">
        <v>88</v>
      </c>
      <c r="H187" s="18" t="s">
        <v>7221</v>
      </c>
      <c r="I187" s="18" t="s">
        <v>7222</v>
      </c>
      <c r="J187" s="18" t="s">
        <v>7224</v>
      </c>
      <c r="K187" s="18" t="s">
        <v>94</v>
      </c>
      <c r="L187" s="18" t="s">
        <v>7225</v>
      </c>
      <c r="M187" s="18" t="s">
        <v>627</v>
      </c>
      <c r="N187" s="18" t="s">
        <v>444</v>
      </c>
      <c r="O187" s="18" t="s">
        <v>98</v>
      </c>
      <c r="P187" s="15" t="str">
        <f t="shared" si="1"/>
        <v>FOOD</v>
      </c>
      <c r="Q187" s="15">
        <f t="shared" si="2"/>
        <v>8</v>
      </c>
      <c r="R187" s="15">
        <f t="shared" si="3"/>
        <v>2</v>
      </c>
      <c r="S187" s="15">
        <f t="shared" si="4"/>
        <v>4</v>
      </c>
      <c r="T187" s="15" t="str">
        <f t="shared" si="5"/>
        <v>A-4</v>
      </c>
      <c r="U187" s="15" t="str">
        <f t="shared" si="6"/>
        <v>T8-M2-H4-FA-4-FOOD</v>
      </c>
      <c r="V187" s="15">
        <f t="shared" si="7"/>
        <v>0</v>
      </c>
      <c r="W187" s="31"/>
      <c r="X187" s="15" t="str">
        <f t="shared" si="8"/>
        <v>klang-malaysia</v>
      </c>
      <c r="Y187" s="32" t="str">
        <f t="shared" si="9"/>
        <v>https://steelmanufacturer.in/market-area/electropolished-pipes-manufacturer-in-klang-malaysia/</v>
      </c>
      <c r="Z187" s="15" t="str">
        <f t="shared" si="10"/>
        <v>Electropolished Pipes Manufacturer in Klang - EP Tube Stockist</v>
      </c>
      <c r="AA187" s="15" t="str">
        <f t="shared" si="11"/>
        <v>OK (62)</v>
      </c>
      <c r="AB187" s="15" t="str">
        <f t="shared" si="12"/>
        <v>Electropolished tube supply to Port Klang Free Zone, Klang. Ra from 0.25 um, SF4 finish, mill test certificate with every lot.</v>
      </c>
      <c r="AC187" s="15" t="str">
        <f t="shared" si="13"/>
        <v>OK (126)</v>
      </c>
      <c r="AD187" s="15" t="str">
        <f t="shared" si="14"/>
        <v>Electropolished Pipes Manufacturer in Klang</v>
      </c>
      <c r="AE187" s="15" t="str">
        <f t="shared" si="15"/>
        <v>Manufacturing Electropolished SS Tube for Klang: The Standards We Build To</v>
      </c>
      <c r="AF187" s="15" t="str">
        <f t="shared" si="16"/>
        <v>Electropolished Pipe Supply Into Klang - Certification &amp; Transit</v>
      </c>
      <c r="AG187" s="15" t="str">
        <f t="shared" si="17"/>
        <v>Electropolished Pipes Wholesaler in Klang - Project Quantities &amp; Terms</v>
      </c>
      <c r="AH187" s="15" t="str">
        <f t="shared" si="18"/>
        <v>electropolished pipes manufacturer in Klang, electropolished pipes supplier in Klang, electropolished pipes wholesaler in Klang, electropolished tube manufacturer Klang, EP pipe supplier Klang, sanitary tube supplier Klang, ASME BPE tubing Klang, ASTM A270 tube Klang, SS 316L electropolished pipe Klang</v>
      </c>
      <c r="AI187" s="15" t="str">
        <f t="shared" si="19"/>
        <v>Electropolished Pipes Manufacturer &amp; Supplier in Klang</v>
      </c>
      <c r="AJ187" s="15" t="str">
        <f t="shared" si="20"/>
        <v>EP-finished SS 304/316L pipes and tubes for food processing plants in Klang. ASME BPE SF1-SF4, Ra from 0.25 um, EN 10204 3.1 certificate with every lot.</v>
      </c>
      <c r="AK187" s="15" t="str">
        <f t="shared" si="21"/>
        <v>Electropolished stainless steel pipes supplied by Sakshi Forge to food processing plants at Port Klang Free Zone, Klang</v>
      </c>
      <c r="AL187" s="15" t="str">
        <f t="shared" si="22"/>
        <v>Electropolished SS 316L tube stock for Klang - Sakshi Forge</v>
      </c>
      <c r="AM187" s="15" t="str">
        <f t="shared" si="23"/>
        <v>Home &gt; Market Area &gt; Malaysia &gt; Selangor &gt; Klang</v>
      </c>
      <c r="AN187" s="15">
        <f t="shared" si="24"/>
        <v>1400</v>
      </c>
      <c r="AO187" s="15">
        <f t="shared" si="25"/>
        <v>10</v>
      </c>
      <c r="AP187" s="15">
        <f t="shared" si="26"/>
        <v>12</v>
      </c>
      <c r="AQ187" s="15">
        <f t="shared" si="27"/>
        <v>4</v>
      </c>
      <c r="AR187" s="31"/>
      <c r="AS187" s="31"/>
      <c r="AT187" s="35" t="s">
        <v>222</v>
      </c>
      <c r="AU187" s="35"/>
    </row>
    <row r="188" ht="15.75" customHeight="1">
      <c r="A188" s="15" t="s">
        <v>7246</v>
      </c>
      <c r="B188" s="15" t="s">
        <v>430</v>
      </c>
      <c r="C188" s="15" t="s">
        <v>7247</v>
      </c>
      <c r="D188" s="15" t="s">
        <v>7249</v>
      </c>
      <c r="E188" s="15" t="s">
        <v>7249</v>
      </c>
      <c r="F188" s="16" t="s">
        <v>87</v>
      </c>
      <c r="G188" s="17" t="s">
        <v>88</v>
      </c>
      <c r="H188" s="18" t="s">
        <v>7250</v>
      </c>
      <c r="I188" s="18" t="s">
        <v>7251</v>
      </c>
      <c r="J188" s="18" t="s">
        <v>7252</v>
      </c>
      <c r="K188" s="18" t="s">
        <v>229</v>
      </c>
      <c r="L188" s="18" t="s">
        <v>7225</v>
      </c>
      <c r="M188" s="18" t="s">
        <v>627</v>
      </c>
      <c r="N188" s="18" t="s">
        <v>444</v>
      </c>
      <c r="O188" s="18" t="s">
        <v>98</v>
      </c>
      <c r="P188" s="15" t="str">
        <f t="shared" si="1"/>
        <v>PHARMA</v>
      </c>
      <c r="Q188" s="15">
        <f t="shared" si="2"/>
        <v>1</v>
      </c>
      <c r="R188" s="15">
        <f t="shared" si="3"/>
        <v>3</v>
      </c>
      <c r="S188" s="15">
        <f t="shared" si="4"/>
        <v>5</v>
      </c>
      <c r="T188" s="15" t="str">
        <f t="shared" si="5"/>
        <v>A-5</v>
      </c>
      <c r="U188" s="15" t="str">
        <f t="shared" si="6"/>
        <v>T1-M3-H5-FA-5-PHARMA</v>
      </c>
      <c r="V188" s="15">
        <f t="shared" si="7"/>
        <v>0</v>
      </c>
      <c r="W188" s="31"/>
      <c r="X188" s="15" t="str">
        <f t="shared" si="8"/>
        <v>kuala-lumpur-malaysia</v>
      </c>
      <c r="Y188" s="32" t="str">
        <f t="shared" si="9"/>
        <v>https://steelmanufacturer.in/market-area/electropolished-pipes-manufacturer-in-kuala-lumpur-malaysia/</v>
      </c>
      <c r="Z188" s="15" t="str">
        <f t="shared" si="10"/>
        <v>Electropolished Pipes Manufacturer in Kuala Lumpur | Sakshi Forge</v>
      </c>
      <c r="AA188" s="15" t="str">
        <f t="shared" si="11"/>
        <v>OK (65)</v>
      </c>
      <c r="AB188" s="15" t="str">
        <f t="shared" si="12"/>
        <v>EP stainless tube for pharma lines in Kuala Lumpur. 8-12 days sea from Nhava Sheva to Port Klang. ASTM A270 S2, PMI tested, EN 10204 3.1.</v>
      </c>
      <c r="AC188" s="15" t="str">
        <f t="shared" si="13"/>
        <v>OK (137)</v>
      </c>
      <c r="AD188" s="15" t="str">
        <f t="shared" si="14"/>
        <v>Electropolished Pipes Manufacturer in Kuala Lumpur</v>
      </c>
      <c r="AE188" s="15" t="str">
        <f t="shared" si="15"/>
        <v>Electropolished Tube Manufacturing Capability Serving Kuala Lumpur</v>
      </c>
      <c r="AF188" s="15" t="str">
        <f t="shared" si="16"/>
        <v>Electropolished Pipes Supplier in Kuala Lumpur - From Order to Delivery</v>
      </c>
      <c r="AG188" s="15" t="str">
        <f t="shared" si="17"/>
        <v>Stockist &amp; Wholesale Supply of Electropolished Pipes in Kuala Lumpur</v>
      </c>
      <c r="AH188" s="15" t="str">
        <f t="shared" si="18"/>
        <v>electropolished pipes manufacturer in Kuala Lumpur, electropolished pipes supplier in Kuala Lumpur, electropolished pipes wholesaler in Kuala Lumpur, electropolished tube manufacturer Kuala Lumpur, EP pipe supplier Kuala Lumpur, sanitary tube supplier Kuala Lumpur, ASME BPE tubing Kuala Lumpur, ASTM A270 tube Kuala Lumpur, SS 316L electropolished pipe Kuala Lumpur</v>
      </c>
      <c r="AI188" s="15" t="str">
        <f t="shared" si="19"/>
        <v>Electropolished Pipes Manufacturer &amp; Supplier in Kuala Lumpur</v>
      </c>
      <c r="AJ188" s="15" t="str">
        <f t="shared" si="20"/>
        <v>EP-finished SS 304/316L pipes and tubes for pharma plants in Kuala Lumpur. ASME BPE SF1-SF4, Ra from 0.25 um, EN 10204 3.1 certificate with every lot.</v>
      </c>
      <c r="AK188" s="15" t="str">
        <f t="shared" si="21"/>
        <v>Electropolished stainless steel pipes supplied by Sakshi Forge to pharma plants at KL Industrial Corridor, Kuala Lumpur</v>
      </c>
      <c r="AL188" s="15" t="str">
        <f t="shared" si="22"/>
        <v>Electropolished SS 316L tube stock for Kuala Lumpur - Sakshi Forge</v>
      </c>
      <c r="AM188" s="15" t="str">
        <f t="shared" si="23"/>
        <v>Home &gt; Market Area &gt; Malaysia &gt; Federal Territory &gt; Kuala Lumpur</v>
      </c>
      <c r="AN188" s="15">
        <f t="shared" si="24"/>
        <v>1400</v>
      </c>
      <c r="AO188" s="15">
        <f t="shared" si="25"/>
        <v>10</v>
      </c>
      <c r="AP188" s="15">
        <f t="shared" si="26"/>
        <v>12</v>
      </c>
      <c r="AQ188" s="15">
        <f t="shared" si="27"/>
        <v>4</v>
      </c>
      <c r="AR188" s="31"/>
      <c r="AS188" s="31"/>
      <c r="AT188" s="35" t="s">
        <v>222</v>
      </c>
      <c r="AU188" s="35"/>
    </row>
    <row r="189" ht="15.75" customHeight="1">
      <c r="A189" s="15" t="s">
        <v>7272</v>
      </c>
      <c r="B189" s="15" t="s">
        <v>430</v>
      </c>
      <c r="C189" s="15" t="s">
        <v>7273</v>
      </c>
      <c r="D189" s="15" t="s">
        <v>7275</v>
      </c>
      <c r="E189" s="15" t="s">
        <v>7275</v>
      </c>
      <c r="F189" s="16" t="s">
        <v>87</v>
      </c>
      <c r="G189" s="17" t="s">
        <v>88</v>
      </c>
      <c r="H189" s="18" t="s">
        <v>7277</v>
      </c>
      <c r="I189" s="18" t="s">
        <v>7277</v>
      </c>
      <c r="J189" s="18" t="s">
        <v>7278</v>
      </c>
      <c r="K189" s="18" t="s">
        <v>4868</v>
      </c>
      <c r="L189" s="18" t="s">
        <v>7279</v>
      </c>
      <c r="M189" s="18" t="s">
        <v>627</v>
      </c>
      <c r="N189" s="18" t="s">
        <v>444</v>
      </c>
      <c r="O189" s="18" t="s">
        <v>98</v>
      </c>
      <c r="P189" s="15" t="str">
        <f t="shared" si="1"/>
        <v>SEMI</v>
      </c>
      <c r="Q189" s="15">
        <f t="shared" si="2"/>
        <v>2</v>
      </c>
      <c r="R189" s="15">
        <f t="shared" si="3"/>
        <v>4</v>
      </c>
      <c r="S189" s="15">
        <f t="shared" si="4"/>
        <v>1</v>
      </c>
      <c r="T189" s="15" t="str">
        <f t="shared" si="5"/>
        <v>A-6</v>
      </c>
      <c r="U189" s="15" t="str">
        <f t="shared" si="6"/>
        <v>T2-M4-H1-FA-6-SEMI</v>
      </c>
      <c r="V189" s="15">
        <f t="shared" si="7"/>
        <v>0</v>
      </c>
      <c r="W189" s="31"/>
      <c r="X189" s="15" t="str">
        <f t="shared" si="8"/>
        <v>kulim-malaysia</v>
      </c>
      <c r="Y189" s="32" t="str">
        <f t="shared" si="9"/>
        <v>https://steelmanufacturer.in/market-area/electropolished-pipes-manufacturer-in-kulim-malaysia/</v>
      </c>
      <c r="Z189" s="15" t="str">
        <f t="shared" si="10"/>
        <v>Electropolished Pipes Manufacturer in Kulim</v>
      </c>
      <c r="AA189" s="15" t="str">
        <f t="shared" si="11"/>
        <v>OK (43)</v>
      </c>
      <c r="AB189" s="15" t="str">
        <f t="shared" si="12"/>
        <v>Sanitary electropolished pipes in Kulim for semiconductor plants. ASME BPE SF1-SF4, orbital-weld ready, 3.1 MTC. Mumbai-made.</v>
      </c>
      <c r="AC189" s="15" t="str">
        <f t="shared" si="13"/>
        <v>OK (125)</v>
      </c>
      <c r="AD189" s="15" t="str">
        <f t="shared" si="14"/>
        <v>Electropolished Pipes Manufacturer in Kulim</v>
      </c>
      <c r="AE189" s="15" t="str">
        <f t="shared" si="15"/>
        <v>Electropolished Pipe &amp; Tube Manufacturing for Kulim - Grades, Finishes &amp; Certification</v>
      </c>
      <c r="AF189" s="15" t="str">
        <f t="shared" si="16"/>
        <v>Electropolished Pipes Supplier in Kulim - Stock Sizes, Lead Time &amp; Delivery</v>
      </c>
      <c r="AG189" s="15" t="str">
        <f t="shared" si="17"/>
        <v>Electropolished Pipes Wholesaler &amp; Stockist in Kulim - Bulk &amp; Project Pricing</v>
      </c>
      <c r="AH189" s="15" t="str">
        <f t="shared" si="18"/>
        <v>electropolished pipes manufacturer in Kulim, electropolished pipes supplier in Kulim, electropolished pipes wholesaler in Kulim, electropolished tube manufacturer Kulim, EP pipe supplier Kulim, sanitary tube supplier Kulim, ASME BPE tubing Kulim, ASTM A270 tube Kulim, SS 316L electropolished pipe Kulim</v>
      </c>
      <c r="AI189" s="15" t="str">
        <f t="shared" si="19"/>
        <v>Electropolished Pipes Manufacturer &amp; Supplier in Kulim</v>
      </c>
      <c r="AJ189" s="15" t="str">
        <f t="shared" si="20"/>
        <v>EP-finished SS 304/316L pipes and tubes for semiconductor plants in Kulim. ASME BPE SF1-SF4, Ra from 0.25 um, EN 10204 3.1 certificate with every lot.</v>
      </c>
      <c r="AK189" s="15" t="str">
        <f t="shared" si="21"/>
        <v>Electropolished stainless steel pipes supplied by Sakshi Forge to semiconductor plants at Kulim Hi-Tech Park, Kulim</v>
      </c>
      <c r="AL189" s="15" t="str">
        <f t="shared" si="22"/>
        <v>Electropolished SS 316L tube stock for Kulim - Sakshi Forge</v>
      </c>
      <c r="AM189" s="15" t="str">
        <f t="shared" si="23"/>
        <v>Home &gt; Market Area &gt; Malaysia &gt; Kedah &gt; Kulim</v>
      </c>
      <c r="AN189" s="15">
        <f t="shared" si="24"/>
        <v>1400</v>
      </c>
      <c r="AO189" s="15">
        <f t="shared" si="25"/>
        <v>10</v>
      </c>
      <c r="AP189" s="15">
        <f t="shared" si="26"/>
        <v>12</v>
      </c>
      <c r="AQ189" s="15">
        <f t="shared" si="27"/>
        <v>4</v>
      </c>
      <c r="AR189" s="31"/>
      <c r="AS189" s="31"/>
      <c r="AT189" s="35" t="s">
        <v>222</v>
      </c>
      <c r="AU189" s="35"/>
    </row>
    <row r="190" ht="15.75" customHeight="1">
      <c r="A190" s="15" t="s">
        <v>7300</v>
      </c>
      <c r="B190" s="15" t="s">
        <v>430</v>
      </c>
      <c r="C190" s="15" t="s">
        <v>7301</v>
      </c>
      <c r="D190" s="15" t="s">
        <v>7301</v>
      </c>
      <c r="E190" s="15" t="s">
        <v>7301</v>
      </c>
      <c r="F190" s="16" t="s">
        <v>87</v>
      </c>
      <c r="G190" s="17" t="s">
        <v>88</v>
      </c>
      <c r="H190" s="18" t="s">
        <v>7303</v>
      </c>
      <c r="I190" s="18" t="s">
        <v>7304</v>
      </c>
      <c r="J190" s="18" t="s">
        <v>7305</v>
      </c>
      <c r="K190" s="18" t="s">
        <v>4868</v>
      </c>
      <c r="L190" s="18" t="s">
        <v>7225</v>
      </c>
      <c r="M190" s="18" t="s">
        <v>627</v>
      </c>
      <c r="N190" s="18" t="s">
        <v>444</v>
      </c>
      <c r="O190" s="18" t="s">
        <v>98</v>
      </c>
      <c r="P190" s="15" t="str">
        <f t="shared" si="1"/>
        <v>SEMI</v>
      </c>
      <c r="Q190" s="15">
        <f t="shared" si="2"/>
        <v>3</v>
      </c>
      <c r="R190" s="15">
        <f t="shared" si="3"/>
        <v>5</v>
      </c>
      <c r="S190" s="15">
        <f t="shared" si="4"/>
        <v>2</v>
      </c>
      <c r="T190" s="15" t="str">
        <f t="shared" si="5"/>
        <v>A-1</v>
      </c>
      <c r="U190" s="15" t="str">
        <f t="shared" si="6"/>
        <v>T3-M5-H2-FA-1-SEMI</v>
      </c>
      <c r="V190" s="15">
        <f t="shared" si="7"/>
        <v>0</v>
      </c>
      <c r="W190" s="31"/>
      <c r="X190" s="15" t="str">
        <f t="shared" si="8"/>
        <v>melaka-malaysia</v>
      </c>
      <c r="Y190" s="32" t="str">
        <f t="shared" si="9"/>
        <v>https://steelmanufacturer.in/market-area/electropolished-pipes-manufacturer-in-melaka-malaysia/</v>
      </c>
      <c r="Z190" s="15" t="str">
        <f t="shared" si="10"/>
        <v>Electropolished Pipes Manufacturer in Melaka | EP Tube Supplier</v>
      </c>
      <c r="AA190" s="15" t="str">
        <f t="shared" si="11"/>
        <v>OK (63)</v>
      </c>
      <c r="AB190" s="15" t="str">
        <f t="shared" si="12"/>
        <v>Manufacturer of electropolished SS 316L tube serving Melaka. 8-12 days sea from Nhava Sheva to Port Klang. Ra 0.25-0.5 um, EN 10204 3.1 MTC.</v>
      </c>
      <c r="AC190" s="15" t="str">
        <f t="shared" si="13"/>
        <v>OK (140)</v>
      </c>
      <c r="AD190" s="15" t="str">
        <f t="shared" si="14"/>
        <v>Electropolished Pipes Manufacturer in Melaka</v>
      </c>
      <c r="AE190" s="15" t="str">
        <f t="shared" si="15"/>
        <v>How We Manufacture Electropolished Tube for Melaka Plants</v>
      </c>
      <c r="AF190" s="15" t="str">
        <f t="shared" si="16"/>
        <v>Supplying Electropolished Pipes in Melaka: Availability, Sizes &amp; Dispatch</v>
      </c>
      <c r="AG190" s="15" t="str">
        <f t="shared" si="17"/>
        <v>Wholesale Electropolished Pipe Supply for Melaka Projects</v>
      </c>
      <c r="AH190" s="15" t="str">
        <f t="shared" si="18"/>
        <v>electropolished pipes manufacturer in Melaka, electropolished pipes supplier in Melaka, electropolished pipes wholesaler in Melaka, electropolished tube manufacturer Melaka, EP pipe supplier Melaka, sanitary tube supplier Melaka, ASME BPE tubing Melaka, ASTM A270 tube Melaka, SS 316L electropolished pipe Melaka</v>
      </c>
      <c r="AI190" s="15" t="str">
        <f t="shared" si="19"/>
        <v>Electropolished Pipes Manufacturer &amp; Supplier in Melaka</v>
      </c>
      <c r="AJ190" s="15" t="str">
        <f t="shared" si="20"/>
        <v>EP-finished SS 304/316L pipes and tubes for semiconductor plants in Melaka. ASME BPE SF1-SF4, Ra from 0.25 um, EN 10204 3.1 certificate with every lot.</v>
      </c>
      <c r="AK190" s="15" t="str">
        <f t="shared" si="21"/>
        <v>Electropolished stainless steel pipes supplied by Sakshi Forge to semiconductor plants at Alor Gajah Industrial, Melaka</v>
      </c>
      <c r="AL190" s="15" t="str">
        <f t="shared" si="22"/>
        <v>Electropolished SS 316L tube stock for Melaka - Sakshi Forge</v>
      </c>
      <c r="AM190" s="15" t="str">
        <f t="shared" si="23"/>
        <v>Home &gt; Market Area &gt; Malaysia &gt; Melaka &gt; Melaka</v>
      </c>
      <c r="AN190" s="15">
        <f t="shared" si="24"/>
        <v>1400</v>
      </c>
      <c r="AO190" s="15">
        <f t="shared" si="25"/>
        <v>10</v>
      </c>
      <c r="AP190" s="15">
        <f t="shared" si="26"/>
        <v>12</v>
      </c>
      <c r="AQ190" s="15">
        <f t="shared" si="27"/>
        <v>4</v>
      </c>
      <c r="AR190" s="31"/>
      <c r="AS190" s="31"/>
      <c r="AT190" s="35" t="s">
        <v>222</v>
      </c>
      <c r="AU190" s="35"/>
    </row>
    <row r="191" ht="15.75" customHeight="1">
      <c r="A191" s="15" t="s">
        <v>7324</v>
      </c>
      <c r="B191" s="15" t="s">
        <v>430</v>
      </c>
      <c r="C191" s="15" t="s">
        <v>7326</v>
      </c>
      <c r="D191" s="15" t="s">
        <v>7326</v>
      </c>
      <c r="E191" s="15" t="s">
        <v>7326</v>
      </c>
      <c r="F191" s="16" t="s">
        <v>87</v>
      </c>
      <c r="G191" s="17" t="s">
        <v>88</v>
      </c>
      <c r="H191" s="18" t="s">
        <v>7327</v>
      </c>
      <c r="I191" s="18" t="s">
        <v>7328</v>
      </c>
      <c r="J191" s="18" t="s">
        <v>7329</v>
      </c>
      <c r="K191" s="18" t="s">
        <v>4868</v>
      </c>
      <c r="L191" s="18" t="s">
        <v>7279</v>
      </c>
      <c r="M191" s="18" t="s">
        <v>627</v>
      </c>
      <c r="N191" s="18" t="s">
        <v>444</v>
      </c>
      <c r="O191" s="18" t="s">
        <v>98</v>
      </c>
      <c r="P191" s="15" t="str">
        <f t="shared" si="1"/>
        <v>SEMI</v>
      </c>
      <c r="Q191" s="15">
        <f t="shared" si="2"/>
        <v>4</v>
      </c>
      <c r="R191" s="15">
        <f t="shared" si="3"/>
        <v>6</v>
      </c>
      <c r="S191" s="15">
        <f t="shared" si="4"/>
        <v>3</v>
      </c>
      <c r="T191" s="15" t="str">
        <f t="shared" si="5"/>
        <v>A-2</v>
      </c>
      <c r="U191" s="15" t="str">
        <f t="shared" si="6"/>
        <v>T4-M6-H3-FA-2-SEMI</v>
      </c>
      <c r="V191" s="15">
        <f t="shared" si="7"/>
        <v>0</v>
      </c>
      <c r="W191" s="31"/>
      <c r="X191" s="15" t="str">
        <f t="shared" si="8"/>
        <v>penang-malaysia</v>
      </c>
      <c r="Y191" s="32" t="str">
        <f t="shared" si="9"/>
        <v>https://steelmanufacturer.in/market-area/electropolished-pipes-manufacturer-in-penang-malaysia/</v>
      </c>
      <c r="Z191" s="15" t="str">
        <f t="shared" si="10"/>
        <v>Electropolished Pipes Manufacturer in Penang</v>
      </c>
      <c r="AA191" s="15" t="str">
        <f t="shared" si="11"/>
        <v>OK (44)</v>
      </c>
      <c r="AB191" s="15" t="str">
        <f t="shared" si="12"/>
        <v>EP tube and pipe for semiconductor plants around Bayan Lepas FIZ, Penang. Made at our Mumbai works to ASTM A270 and ASME BPE SF1-SF4, with 3.1 MTC.</v>
      </c>
      <c r="AC191" s="15" t="str">
        <f t="shared" si="13"/>
        <v>OK (147)</v>
      </c>
      <c r="AD191" s="15" t="str">
        <f t="shared" si="14"/>
        <v>Electropolished Pipes Manufacturer in Penang</v>
      </c>
      <c r="AE191" s="15" t="str">
        <f t="shared" si="15"/>
        <v>Electropolished Pipes Manufacturer in Penang - Our Process &amp; Capability</v>
      </c>
      <c r="AF191" s="15" t="str">
        <f t="shared" si="16"/>
        <v>Electropolished Pipes Supplier in Penang - What We Hold in Stock</v>
      </c>
      <c r="AG191" s="15" t="str">
        <f t="shared" si="17"/>
        <v>Bulk &amp; Wholesale Electropolished Pipe Rates for Penang Buyers</v>
      </c>
      <c r="AH191" s="15" t="str">
        <f t="shared" si="18"/>
        <v>electropolished pipes manufacturer in Penang, electropolished pipes supplier in Penang, electropolished pipes wholesaler in Penang, electropolished tube manufacturer Penang, EP pipe supplier Penang, sanitary tube supplier Penang, ASME BPE tubing Penang, ASTM A270 tube Penang, SS 316L electropolished pipe Penang</v>
      </c>
      <c r="AI191" s="15" t="str">
        <f t="shared" si="19"/>
        <v>Electropolished Pipes Manufacturer &amp; Supplier in Penang</v>
      </c>
      <c r="AJ191" s="15" t="str">
        <f t="shared" si="20"/>
        <v>EP-finished SS 304/316L pipes and tubes for semiconductor plants in Penang. ASME BPE SF1-SF4, Ra from 0.25 um, EN 10204 3.1 certificate with every lot.</v>
      </c>
      <c r="AK191" s="15" t="str">
        <f t="shared" si="21"/>
        <v>Electropolished stainless steel pipes supplied by Sakshi Forge to semiconductor plants at Bayan Lepas FIZ, Penang</v>
      </c>
      <c r="AL191" s="15" t="str">
        <f t="shared" si="22"/>
        <v>Electropolished SS 316L tube stock for Penang - Sakshi Forge</v>
      </c>
      <c r="AM191" s="15" t="str">
        <f t="shared" si="23"/>
        <v>Home &gt; Market Area &gt; Malaysia &gt; Penang &gt; Penang</v>
      </c>
      <c r="AN191" s="15">
        <f t="shared" si="24"/>
        <v>1400</v>
      </c>
      <c r="AO191" s="15">
        <f t="shared" si="25"/>
        <v>10</v>
      </c>
      <c r="AP191" s="15">
        <f t="shared" si="26"/>
        <v>12</v>
      </c>
      <c r="AQ191" s="15">
        <f t="shared" si="27"/>
        <v>4</v>
      </c>
      <c r="AR191" s="31"/>
      <c r="AS191" s="31"/>
      <c r="AT191" s="35" t="s">
        <v>222</v>
      </c>
      <c r="AU191" s="35"/>
    </row>
    <row r="192" ht="15.75" customHeight="1">
      <c r="A192" s="15" t="s">
        <v>7348</v>
      </c>
      <c r="B192" s="15" t="s">
        <v>430</v>
      </c>
      <c r="C192" s="15" t="s">
        <v>7219</v>
      </c>
      <c r="D192" s="15" t="s">
        <v>7349</v>
      </c>
      <c r="E192" s="15" t="s">
        <v>7349</v>
      </c>
      <c r="F192" s="16" t="s">
        <v>87</v>
      </c>
      <c r="G192" s="17" t="s">
        <v>88</v>
      </c>
      <c r="H192" s="18" t="s">
        <v>7350</v>
      </c>
      <c r="I192" s="18" t="s">
        <v>7352</v>
      </c>
      <c r="J192" s="18" t="s">
        <v>7353</v>
      </c>
      <c r="K192" s="18" t="s">
        <v>969</v>
      </c>
      <c r="L192" s="18" t="s">
        <v>7225</v>
      </c>
      <c r="M192" s="18" t="s">
        <v>627</v>
      </c>
      <c r="N192" s="18" t="s">
        <v>444</v>
      </c>
      <c r="O192" s="18" t="s">
        <v>98</v>
      </c>
      <c r="P192" s="15" t="str">
        <f t="shared" si="1"/>
        <v>SEMI</v>
      </c>
      <c r="Q192" s="15">
        <f t="shared" si="2"/>
        <v>5</v>
      </c>
      <c r="R192" s="15">
        <f t="shared" si="3"/>
        <v>7</v>
      </c>
      <c r="S192" s="15">
        <f t="shared" si="4"/>
        <v>4</v>
      </c>
      <c r="T192" s="15" t="str">
        <f t="shared" si="5"/>
        <v>A-3</v>
      </c>
      <c r="U192" s="15" t="str">
        <f t="shared" si="6"/>
        <v>T5-M7-H4-FA-3-SEMI</v>
      </c>
      <c r="V192" s="15">
        <f t="shared" si="7"/>
        <v>0</v>
      </c>
      <c r="W192" s="31"/>
      <c r="X192" s="15" t="str">
        <f t="shared" si="8"/>
        <v>petaling-jaya-malaysia</v>
      </c>
      <c r="Y192" s="32" t="str">
        <f t="shared" si="9"/>
        <v>https://steelmanufacturer.in/market-area/electropolished-pipes-manufacturer-in-petaling-jaya-malaysia/</v>
      </c>
      <c r="Z192" s="15" t="str">
        <f t="shared" si="10"/>
        <v>Electropolished Pipes Manufacturer in Petaling Jaya</v>
      </c>
      <c r="AA192" s="15" t="str">
        <f t="shared" si="11"/>
        <v>OK (51)</v>
      </c>
      <c r="AB192" s="15" t="str">
        <f t="shared" si="12"/>
        <v>Electropolished pipes in Petaling Jaya: 304, 304L, 316 and 316L in SF1-SF4. 8-12 days sea from Nhava Sheva to Port Klang. Mill certified.</v>
      </c>
      <c r="AC192" s="15" t="str">
        <f t="shared" si="13"/>
        <v>OK (137)</v>
      </c>
      <c r="AD192" s="15" t="str">
        <f t="shared" si="14"/>
        <v>Electropolished Pipes Manufacturer in Petaling Jaya</v>
      </c>
      <c r="AE192" s="15" t="str">
        <f t="shared" si="15"/>
        <v>Manufacturing Electropolished SS Tube for Petaling Jaya: The Standards We Build To</v>
      </c>
      <c r="AF192" s="15" t="str">
        <f t="shared" si="16"/>
        <v>Electropolished Pipe Supply Into Petaling Jaya - Certification &amp; Transit</v>
      </c>
      <c r="AG192" s="15" t="str">
        <f t="shared" si="17"/>
        <v>Electropolished Pipes Wholesaler in Petaling Jaya - Project Quantities &amp; Terms</v>
      </c>
      <c r="AH192" s="15" t="str">
        <f t="shared" si="18"/>
        <v>electropolished pipes manufacturer in Petaling Jaya, electropolished pipes supplier in Petaling Jaya, electropolished pipes wholesaler in Petaling Jaya, electropolished tube manufacturer Petaling Jaya, EP pipe supplier Petaling Jaya, sanitary tube supplier Petaling Jaya, ASME BPE tubing Petaling Jaya, ASTM A270 tube Petaling Jaya, SS 316L electropolished pipe Petaling Jaya</v>
      </c>
      <c r="AI192" s="15" t="str">
        <f t="shared" si="19"/>
        <v>Electropolished Pipes Manufacturer &amp; Supplier in Petaling Jaya</v>
      </c>
      <c r="AJ192" s="15" t="str">
        <f t="shared" si="20"/>
        <v>EP-finished SS 304/316L pipes and tubes for electronics &amp; pharma plants in Petaling Jaya. ASME BPE SF1-SF4, Ra from 0.25 um, EN 10204 3.1 certificate with every lot.</v>
      </c>
      <c r="AK192" s="15" t="str">
        <f t="shared" si="21"/>
        <v>Electropolished stainless steel pipes supplied by Sakshi Forge to electronics &amp; pharma plants at Petaling Jaya Industrial Estate, Petaling Jaya</v>
      </c>
      <c r="AL192" s="15" t="str">
        <f t="shared" si="22"/>
        <v>Electropolished SS 316L tube stock for Petaling Jaya - Sakshi Forge</v>
      </c>
      <c r="AM192" s="15" t="str">
        <f t="shared" si="23"/>
        <v>Home &gt; Market Area &gt; Malaysia &gt; Selangor &gt; Petaling Jaya</v>
      </c>
      <c r="AN192" s="15">
        <f t="shared" si="24"/>
        <v>1400</v>
      </c>
      <c r="AO192" s="15">
        <f t="shared" si="25"/>
        <v>10</v>
      </c>
      <c r="AP192" s="15">
        <f t="shared" si="26"/>
        <v>12</v>
      </c>
      <c r="AQ192" s="15">
        <f t="shared" si="27"/>
        <v>4</v>
      </c>
      <c r="AR192" s="31"/>
      <c r="AS192" s="31"/>
      <c r="AT192" s="35" t="s">
        <v>222</v>
      </c>
      <c r="AU192" s="35"/>
    </row>
    <row r="193" ht="15.75" customHeight="1">
      <c r="A193" s="15" t="s">
        <v>7372</v>
      </c>
      <c r="B193" s="15" t="s">
        <v>430</v>
      </c>
      <c r="C193" s="15" t="s">
        <v>7219</v>
      </c>
      <c r="D193" s="15" t="s">
        <v>7373</v>
      </c>
      <c r="E193" s="15" t="s">
        <v>7373</v>
      </c>
      <c r="F193" s="16" t="s">
        <v>87</v>
      </c>
      <c r="G193" s="17" t="s">
        <v>88</v>
      </c>
      <c r="H193" s="18" t="s">
        <v>7375</v>
      </c>
      <c r="I193" s="18" t="s">
        <v>7375</v>
      </c>
      <c r="J193" s="18" t="s">
        <v>3263</v>
      </c>
      <c r="K193" s="18" t="s">
        <v>229</v>
      </c>
      <c r="L193" s="18" t="s">
        <v>7225</v>
      </c>
      <c r="M193" s="18" t="s">
        <v>627</v>
      </c>
      <c r="N193" s="18" t="s">
        <v>444</v>
      </c>
      <c r="O193" s="18" t="s">
        <v>98</v>
      </c>
      <c r="P193" s="15" t="str">
        <f t="shared" si="1"/>
        <v>PHARMA</v>
      </c>
      <c r="Q193" s="15">
        <f t="shared" si="2"/>
        <v>6</v>
      </c>
      <c r="R193" s="15">
        <f t="shared" si="3"/>
        <v>1</v>
      </c>
      <c r="S193" s="15">
        <f t="shared" si="4"/>
        <v>5</v>
      </c>
      <c r="T193" s="15" t="str">
        <f t="shared" si="5"/>
        <v>A-4</v>
      </c>
      <c r="U193" s="15" t="str">
        <f t="shared" si="6"/>
        <v>T6-M1-H5-FA-4-PHARMA</v>
      </c>
      <c r="V193" s="15">
        <f t="shared" si="7"/>
        <v>0</v>
      </c>
      <c r="W193" s="31"/>
      <c r="X193" s="15" t="str">
        <f t="shared" si="8"/>
        <v>shah-alam-malaysia</v>
      </c>
      <c r="Y193" s="32" t="str">
        <f t="shared" si="9"/>
        <v>https://steelmanufacturer.in/market-area/electropolished-pipes-manufacturer-in-shah-alam-malaysia/</v>
      </c>
      <c r="Z193" s="15" t="str">
        <f t="shared" si="10"/>
        <v>Electropolished Pipes Manufacturer in Shah Alam</v>
      </c>
      <c r="AA193" s="15" t="str">
        <f t="shared" si="11"/>
        <v>OK (47)</v>
      </c>
      <c r="AB193" s="15" t="str">
        <f t="shared" si="12"/>
        <v>EP-finished SS 304/316L pipes &amp; tubes for pharma plants in Shah Alam. ASTM A270, ASME BPE SF1-SF4, EN 10204 3.1 MTC. PMI tested.</v>
      </c>
      <c r="AC193" s="15" t="str">
        <f t="shared" si="13"/>
        <v>OK (128)</v>
      </c>
      <c r="AD193" s="15" t="str">
        <f t="shared" si="14"/>
        <v>Electropolished Pipes Manufacturer in Shah Alam</v>
      </c>
      <c r="AE193" s="15" t="str">
        <f t="shared" si="15"/>
        <v>Electropolished Tube Manufacturing Capability Serving Shah Alam</v>
      </c>
      <c r="AF193" s="15" t="str">
        <f t="shared" si="16"/>
        <v>Electropolished Pipes Supplier in Shah Alam - From Order to Delivery</v>
      </c>
      <c r="AG193" s="15" t="str">
        <f t="shared" si="17"/>
        <v>Stockist &amp; Wholesale Supply of Electropolished Pipes in Shah Alam</v>
      </c>
      <c r="AH193" s="15" t="str">
        <f t="shared" si="18"/>
        <v>electropolished pipes manufacturer in Shah Alam, electropolished pipes supplier in Shah Alam, electropolished pipes wholesaler in Shah Alam, electropolished tube manufacturer Shah Alam, EP pipe supplier Shah Alam, sanitary tube supplier Shah Alam, ASME BPE tubing Shah Alam, ASTM A270 tube Shah Alam, SS 316L electropolished pipe Shah Alam</v>
      </c>
      <c r="AI193" s="15" t="str">
        <f t="shared" si="19"/>
        <v>Electropolished Pipes Manufacturer &amp; Supplier in Shah Alam</v>
      </c>
      <c r="AJ193" s="15" t="str">
        <f t="shared" si="20"/>
        <v>EP-finished SS 304/316L pipes and tubes for pharma plants in Shah Alam. ASME BPE SF1-SF4, Ra from 0.25 um, EN 10204 3.1 certificate with every lot.</v>
      </c>
      <c r="AK193" s="15" t="str">
        <f t="shared" si="21"/>
        <v>Electropolished stainless steel pipes supplied by Sakshi Forge to pharma plants at Shah Alam Industrial Estate Section 15-28, Shah Alam</v>
      </c>
      <c r="AL193" s="15" t="str">
        <f t="shared" si="22"/>
        <v>Electropolished SS 316L tube stock for Shah Alam - Sakshi Forge</v>
      </c>
      <c r="AM193" s="15" t="str">
        <f t="shared" si="23"/>
        <v>Home &gt; Market Area &gt; Malaysia &gt; Selangor &gt; Shah Alam</v>
      </c>
      <c r="AN193" s="15">
        <f t="shared" si="24"/>
        <v>1400</v>
      </c>
      <c r="AO193" s="15">
        <f t="shared" si="25"/>
        <v>10</v>
      </c>
      <c r="AP193" s="15">
        <f t="shared" si="26"/>
        <v>12</v>
      </c>
      <c r="AQ193" s="15">
        <f t="shared" si="27"/>
        <v>4</v>
      </c>
      <c r="AR193" s="31"/>
      <c r="AS193" s="31"/>
      <c r="AT193" s="35" t="s">
        <v>222</v>
      </c>
      <c r="AU193" s="35"/>
    </row>
    <row r="194" ht="15.75" customHeight="1">
      <c r="A194" s="15" t="s">
        <v>7395</v>
      </c>
      <c r="B194" s="15" t="s">
        <v>255</v>
      </c>
      <c r="C194" s="15" t="s">
        <v>7396</v>
      </c>
      <c r="D194" s="15" t="s">
        <v>7398</v>
      </c>
      <c r="E194" s="15" t="s">
        <v>7398</v>
      </c>
      <c r="F194" s="16" t="s">
        <v>87</v>
      </c>
      <c r="G194" s="17" t="s">
        <v>88</v>
      </c>
      <c r="H194" s="18" t="s">
        <v>7400</v>
      </c>
      <c r="I194" s="18" t="s">
        <v>7401</v>
      </c>
      <c r="J194" s="18" t="s">
        <v>7402</v>
      </c>
      <c r="K194" s="18" t="s">
        <v>4208</v>
      </c>
      <c r="L194" s="18" t="s">
        <v>7403</v>
      </c>
      <c r="M194" s="18" t="s">
        <v>561</v>
      </c>
      <c r="N194" s="18" t="s">
        <v>297</v>
      </c>
      <c r="O194" s="18" t="s">
        <v>98</v>
      </c>
      <c r="P194" s="15" t="str">
        <f t="shared" si="1"/>
        <v>BIOTECH</v>
      </c>
      <c r="Q194" s="15">
        <f t="shared" si="2"/>
        <v>7</v>
      </c>
      <c r="R194" s="15">
        <f t="shared" si="3"/>
        <v>2</v>
      </c>
      <c r="S194" s="15">
        <f t="shared" si="4"/>
        <v>1</v>
      </c>
      <c r="T194" s="15" t="str">
        <f t="shared" si="5"/>
        <v>A-5</v>
      </c>
      <c r="U194" s="15" t="str">
        <f t="shared" si="6"/>
        <v>T7-M2-H1-FA-5-BIOTECH</v>
      </c>
      <c r="V194" s="15">
        <f t="shared" si="7"/>
        <v>0</v>
      </c>
      <c r="W194" s="31"/>
      <c r="X194" s="15" t="str">
        <f t="shared" si="8"/>
        <v>amsterdam-netherlands</v>
      </c>
      <c r="Y194" s="32" t="str">
        <f t="shared" si="9"/>
        <v>https://steelmanufacturer.in/market-area/electropolished-pipes-manufacturer-in-amsterdam-netherlands/</v>
      </c>
      <c r="Z194" s="15" t="str">
        <f t="shared" si="10"/>
        <v>Electropolished Pipes Manufacturer in Amsterdam</v>
      </c>
      <c r="AA194" s="15" t="str">
        <f t="shared" si="11"/>
        <v>OK (47)</v>
      </c>
      <c r="AB194" s="15" t="str">
        <f t="shared" si="12"/>
        <v>Electropolished tube supply to Westpoort Industrial, Amsterdam. Ra from 0.25 um, SF4 finish, mill test certificate with every lot.</v>
      </c>
      <c r="AC194" s="15" t="str">
        <f t="shared" si="13"/>
        <v>OK (130)</v>
      </c>
      <c r="AD194" s="15" t="str">
        <f t="shared" si="14"/>
        <v>Electropolished Pipes Manufacturer in Amsterdam</v>
      </c>
      <c r="AE194" s="15" t="str">
        <f t="shared" si="15"/>
        <v>Electropolished Pipe &amp; Tube Manufacturing for Amsterdam - Grades, Finishes &amp; Certification</v>
      </c>
      <c r="AF194" s="15" t="str">
        <f t="shared" si="16"/>
        <v>Electropolished Pipes Supplier in Amsterdam - Stock Sizes, Lead Time &amp; Delivery</v>
      </c>
      <c r="AG194" s="15" t="str">
        <f t="shared" si="17"/>
        <v>Electropolished Pipes Wholesaler &amp; Stockist in Amsterdam - Bulk &amp; Project Pricing</v>
      </c>
      <c r="AH194" s="15" t="str">
        <f t="shared" si="18"/>
        <v>electropolished pipes manufacturer in Amsterdam, electropolished pipes supplier in Amsterdam, electropolished pipes wholesaler in Amsterdam, electropolished tube manufacturer Amsterdam, EP pipe supplier Amsterdam, sanitary tube supplier Amsterdam, ASME BPE tubing Amsterdam, ASTM A270 tube Amsterdam, SS 316L electropolished pipe Amsterdam</v>
      </c>
      <c r="AI194" s="15" t="str">
        <f t="shared" si="19"/>
        <v>Electropolished Pipes Manufacturer &amp; Supplier in Amsterdam</v>
      </c>
      <c r="AJ194" s="15" t="str">
        <f t="shared" si="20"/>
        <v>EP-finished SS 304/316L pipes and tubes for pharma &amp; biotech plants in Amsterdam. ASME BPE SF1-SF4, Ra from 0.25 um, EN 10204 3.1 certificate with every lot.</v>
      </c>
      <c r="AK194" s="15" t="str">
        <f t="shared" si="21"/>
        <v>Electropolished stainless steel pipes supplied by Sakshi Forge to pharma &amp; biotech plants at Westpoort Industrial, Amsterdam</v>
      </c>
      <c r="AL194" s="15" t="str">
        <f t="shared" si="22"/>
        <v>Electropolished SS 316L tube stock for Amsterdam - Sakshi Forge</v>
      </c>
      <c r="AM194" s="15" t="str">
        <f t="shared" si="23"/>
        <v>Home &gt; Market Area &gt; Netherlands &gt; North Holland &gt; Amsterdam</v>
      </c>
      <c r="AN194" s="15">
        <f t="shared" si="24"/>
        <v>1400</v>
      </c>
      <c r="AO194" s="15">
        <f t="shared" si="25"/>
        <v>10</v>
      </c>
      <c r="AP194" s="15">
        <f t="shared" si="26"/>
        <v>12</v>
      </c>
      <c r="AQ194" s="15">
        <f t="shared" si="27"/>
        <v>4</v>
      </c>
      <c r="AR194" s="31"/>
      <c r="AS194" s="31"/>
      <c r="AT194" s="35" t="s">
        <v>222</v>
      </c>
      <c r="AU194" s="35"/>
    </row>
    <row r="195" ht="15.75" customHeight="1">
      <c r="A195" s="15" t="s">
        <v>7423</v>
      </c>
      <c r="B195" s="15" t="s">
        <v>255</v>
      </c>
      <c r="C195" s="15" t="s">
        <v>7424</v>
      </c>
      <c r="D195" s="15" t="s">
        <v>7425</v>
      </c>
      <c r="E195" s="15" t="s">
        <v>7425</v>
      </c>
      <c r="F195" s="16" t="s">
        <v>87</v>
      </c>
      <c r="G195" s="17" t="s">
        <v>88</v>
      </c>
      <c r="H195" s="18" t="s">
        <v>7427</v>
      </c>
      <c r="I195" s="18" t="s">
        <v>7429</v>
      </c>
      <c r="J195" s="18" t="s">
        <v>7430</v>
      </c>
      <c r="K195" s="18" t="s">
        <v>1320</v>
      </c>
      <c r="L195" s="18" t="s">
        <v>560</v>
      </c>
      <c r="M195" s="18" t="s">
        <v>561</v>
      </c>
      <c r="N195" s="18" t="s">
        <v>297</v>
      </c>
      <c r="O195" s="18" t="s">
        <v>98</v>
      </c>
      <c r="P195" s="15" t="str">
        <f t="shared" si="1"/>
        <v>BIOTECH</v>
      </c>
      <c r="Q195" s="15">
        <f t="shared" si="2"/>
        <v>8</v>
      </c>
      <c r="R195" s="15">
        <f t="shared" si="3"/>
        <v>3</v>
      </c>
      <c r="S195" s="15">
        <f t="shared" si="4"/>
        <v>2</v>
      </c>
      <c r="T195" s="15" t="str">
        <f t="shared" si="5"/>
        <v>A-6</v>
      </c>
      <c r="U195" s="15" t="str">
        <f t="shared" si="6"/>
        <v>T8-M3-H2-FA-6-BIOTECH</v>
      </c>
      <c r="V195" s="15">
        <f t="shared" si="7"/>
        <v>0</v>
      </c>
      <c r="W195" s="31"/>
      <c r="X195" s="15" t="str">
        <f t="shared" si="8"/>
        <v>delft-netherlands</v>
      </c>
      <c r="Y195" s="32" t="str">
        <f t="shared" si="9"/>
        <v>https://steelmanufacturer.in/market-area/electropolished-pipes-manufacturer-in-delft-netherlands/</v>
      </c>
      <c r="Z195" s="15" t="str">
        <f t="shared" si="10"/>
        <v>Electropolished Pipes Manufacturer in Delft - EP Tube Stockist</v>
      </c>
      <c r="AA195" s="15" t="str">
        <f t="shared" si="11"/>
        <v>OK (62)</v>
      </c>
      <c r="AB195" s="15" t="str">
        <f t="shared" si="12"/>
        <v>EP stainless tube for biotech lines in Delft. 23-29 days sea from Nhava Sheva to Rotterdam. ASTM A270 S2, PMI tested, EN 10204 3.1.</v>
      </c>
      <c r="AC195" s="15" t="str">
        <f t="shared" si="13"/>
        <v>OK (131)</v>
      </c>
      <c r="AD195" s="15" t="str">
        <f t="shared" si="14"/>
        <v>Electropolished Pipes Manufacturer in Delft</v>
      </c>
      <c r="AE195" s="15" t="str">
        <f t="shared" si="15"/>
        <v>How We Manufacture Electropolished Tube for Delft Plants</v>
      </c>
      <c r="AF195" s="15" t="str">
        <f t="shared" si="16"/>
        <v>Supplying Electropolished Pipes in Delft: Availability, Sizes &amp; Dispatch</v>
      </c>
      <c r="AG195" s="15" t="str">
        <f t="shared" si="17"/>
        <v>Wholesale Electropolished Pipe Supply for Delft Projects</v>
      </c>
      <c r="AH195" s="15" t="str">
        <f t="shared" si="18"/>
        <v>electropolished pipes manufacturer in Delft, electropolished pipes supplier in Delft, electropolished pipes wholesaler in Delft, electropolished tube manufacturer Delft, EP pipe supplier Delft, sanitary tube supplier Delft, ASME BPE tubing Delft, ASTM A270 tube Delft, SS 316L electropolished pipe Delft</v>
      </c>
      <c r="AI195" s="15" t="str">
        <f t="shared" si="19"/>
        <v>Electropolished Pipes Manufacturer &amp; Supplier in Delft</v>
      </c>
      <c r="AJ195" s="15" t="str">
        <f t="shared" si="20"/>
        <v>EP-finished SS 304/316L pipes and tubes for biotech plants in Delft. ASME BPE SF1-SF4, Ra from 0.25 um, EN 10204 3.1 certificate with every lot.</v>
      </c>
      <c r="AK195" s="15" t="str">
        <f t="shared" si="21"/>
        <v>Electropolished stainless steel pipes supplied by Sakshi Forge to biotech plants at Delft Technology Park, Delft</v>
      </c>
      <c r="AL195" s="15" t="str">
        <f t="shared" si="22"/>
        <v>Electropolished SS 316L tube stock for Delft - Sakshi Forge</v>
      </c>
      <c r="AM195" s="15" t="str">
        <f t="shared" si="23"/>
        <v>Home &gt; Market Area &gt; Netherlands &gt; South Holland &gt; Delft</v>
      </c>
      <c r="AN195" s="15">
        <f t="shared" si="24"/>
        <v>1400</v>
      </c>
      <c r="AO195" s="15">
        <f t="shared" si="25"/>
        <v>10</v>
      </c>
      <c r="AP195" s="15">
        <f t="shared" si="26"/>
        <v>12</v>
      </c>
      <c r="AQ195" s="15">
        <f t="shared" si="27"/>
        <v>4</v>
      </c>
      <c r="AR195" s="31"/>
      <c r="AS195" s="31"/>
      <c r="AT195" s="35" t="s">
        <v>222</v>
      </c>
      <c r="AU195" s="35"/>
    </row>
    <row r="196" ht="15.75" customHeight="1">
      <c r="A196" s="15" t="s">
        <v>7449</v>
      </c>
      <c r="B196" s="15" t="s">
        <v>255</v>
      </c>
      <c r="C196" s="15" t="s">
        <v>7451</v>
      </c>
      <c r="D196" s="15" t="s">
        <v>7452</v>
      </c>
      <c r="E196" s="15" t="s">
        <v>7452</v>
      </c>
      <c r="F196" s="16" t="s">
        <v>87</v>
      </c>
      <c r="G196" s="17" t="s">
        <v>88</v>
      </c>
      <c r="H196" s="18" t="s">
        <v>7453</v>
      </c>
      <c r="I196" s="18" t="s">
        <v>7454</v>
      </c>
      <c r="J196" s="18" t="s">
        <v>7455</v>
      </c>
      <c r="K196" s="18" t="s">
        <v>4868</v>
      </c>
      <c r="L196" s="18" t="s">
        <v>560</v>
      </c>
      <c r="M196" s="18" t="s">
        <v>561</v>
      </c>
      <c r="N196" s="18" t="s">
        <v>297</v>
      </c>
      <c r="O196" s="18" t="s">
        <v>98</v>
      </c>
      <c r="P196" s="15" t="str">
        <f t="shared" si="1"/>
        <v>SEMI</v>
      </c>
      <c r="Q196" s="15">
        <f t="shared" si="2"/>
        <v>1</v>
      </c>
      <c r="R196" s="15">
        <f t="shared" si="3"/>
        <v>4</v>
      </c>
      <c r="S196" s="15">
        <f t="shared" si="4"/>
        <v>3</v>
      </c>
      <c r="T196" s="15" t="str">
        <f t="shared" si="5"/>
        <v>A-1</v>
      </c>
      <c r="U196" s="15" t="str">
        <f t="shared" si="6"/>
        <v>T1-M4-H3-FA-1-SEMI</v>
      </c>
      <c r="V196" s="15">
        <f t="shared" si="7"/>
        <v>0</v>
      </c>
      <c r="W196" s="31"/>
      <c r="X196" s="15" t="str">
        <f t="shared" si="8"/>
        <v>eindhoven-netherlands</v>
      </c>
      <c r="Y196" s="32" t="str">
        <f t="shared" si="9"/>
        <v>https://steelmanufacturer.in/market-area/electropolished-pipes-manufacturer-in-eindhoven-netherlands/</v>
      </c>
      <c r="Z196" s="15" t="str">
        <f t="shared" si="10"/>
        <v>Electropolished Pipes Manufacturer in Eindhoven | Sakshi Forge</v>
      </c>
      <c r="AA196" s="15" t="str">
        <f t="shared" si="11"/>
        <v>OK (62)</v>
      </c>
      <c r="AB196" s="15" t="str">
        <f t="shared" si="12"/>
        <v>Sanitary electropolished pipes in Eindhoven for semiconductor plants. ASME BPE SF1-SF4, orbital-weld ready, 3.1 MTC. Mumbai-made.</v>
      </c>
      <c r="AC196" s="15" t="str">
        <f t="shared" si="13"/>
        <v>OK (129)</v>
      </c>
      <c r="AD196" s="15" t="str">
        <f t="shared" si="14"/>
        <v>Electropolished Pipes Manufacturer in Eindhoven</v>
      </c>
      <c r="AE196" s="15" t="str">
        <f t="shared" si="15"/>
        <v>Electropolished Pipes Manufacturer in Eindhoven - Our Process &amp; Capability</v>
      </c>
      <c r="AF196" s="15" t="str">
        <f t="shared" si="16"/>
        <v>Electropolished Pipes Supplier in Eindhoven - What We Hold in Stock</v>
      </c>
      <c r="AG196" s="15" t="str">
        <f t="shared" si="17"/>
        <v>Bulk &amp; Wholesale Electropolished Pipe Rates for Eindhoven Buyers</v>
      </c>
      <c r="AH196" s="15" t="str">
        <f t="shared" si="18"/>
        <v>electropolished pipes manufacturer in Eindhoven, electropolished pipes supplier in Eindhoven, electropolished pipes wholesaler in Eindhoven, electropolished tube manufacturer Eindhoven, EP pipe supplier Eindhoven, sanitary tube supplier Eindhoven, ASME BPE tubing Eindhoven, ASTM A270 tube Eindhoven, SS 316L electropolished pipe Eindhoven</v>
      </c>
      <c r="AI196" s="15" t="str">
        <f t="shared" si="19"/>
        <v>Electropolished Pipes Manufacturer &amp; Supplier in Eindhoven</v>
      </c>
      <c r="AJ196" s="15" t="str">
        <f t="shared" si="20"/>
        <v>EP-finished SS 304/316L pipes and tubes for semiconductor plants in Eindhoven. ASME BPE SF1-SF4, Ra from 0.25 um, EN 10204 3.1 certificate with every lot.</v>
      </c>
      <c r="AK196" s="15" t="str">
        <f t="shared" si="21"/>
        <v>Electropolished stainless steel pipes supplied by Sakshi Forge to semiconductor plants at Brainport Industries Campus, Eindhoven</v>
      </c>
      <c r="AL196" s="15" t="str">
        <f t="shared" si="22"/>
        <v>Electropolished SS 316L tube stock for Eindhoven - Sakshi Forge</v>
      </c>
      <c r="AM196" s="15" t="str">
        <f t="shared" si="23"/>
        <v>Home &gt; Market Area &gt; Netherlands &gt; North Brabant &gt; Eindhoven</v>
      </c>
      <c r="AN196" s="15">
        <f t="shared" si="24"/>
        <v>1400</v>
      </c>
      <c r="AO196" s="15">
        <f t="shared" si="25"/>
        <v>10</v>
      </c>
      <c r="AP196" s="15">
        <f t="shared" si="26"/>
        <v>12</v>
      </c>
      <c r="AQ196" s="15">
        <f t="shared" si="27"/>
        <v>4</v>
      </c>
      <c r="AR196" s="31"/>
      <c r="AS196" s="31"/>
      <c r="AT196" s="35" t="s">
        <v>222</v>
      </c>
      <c r="AU196" s="35"/>
    </row>
    <row r="197" ht="15.75" customHeight="1">
      <c r="A197" s="15" t="s">
        <v>7474</v>
      </c>
      <c r="B197" s="15" t="s">
        <v>255</v>
      </c>
      <c r="C197" s="15" t="s">
        <v>7475</v>
      </c>
      <c r="D197" s="15" t="s">
        <v>7476</v>
      </c>
      <c r="E197" s="15" t="s">
        <v>7476</v>
      </c>
      <c r="F197" s="16" t="s">
        <v>87</v>
      </c>
      <c r="G197" s="17" t="s">
        <v>88</v>
      </c>
      <c r="H197" s="18" t="s">
        <v>7478</v>
      </c>
      <c r="I197" s="18" t="s">
        <v>7478</v>
      </c>
      <c r="J197" s="18" t="s">
        <v>7479</v>
      </c>
      <c r="K197" s="18" t="s">
        <v>436</v>
      </c>
      <c r="L197" s="18" t="s">
        <v>560</v>
      </c>
      <c r="M197" s="18" t="s">
        <v>561</v>
      </c>
      <c r="N197" s="18" t="s">
        <v>297</v>
      </c>
      <c r="O197" s="18" t="s">
        <v>98</v>
      </c>
      <c r="P197" s="15" t="str">
        <f t="shared" si="1"/>
        <v>PHARMA</v>
      </c>
      <c r="Q197" s="15">
        <f t="shared" si="2"/>
        <v>2</v>
      </c>
      <c r="R197" s="15">
        <f t="shared" si="3"/>
        <v>5</v>
      </c>
      <c r="S197" s="15">
        <f t="shared" si="4"/>
        <v>4</v>
      </c>
      <c r="T197" s="15" t="str">
        <f t="shared" si="5"/>
        <v>A-2</v>
      </c>
      <c r="U197" s="15" t="str">
        <f t="shared" si="6"/>
        <v>T2-M5-H4-FA-2-PHARMA</v>
      </c>
      <c r="V197" s="15">
        <f t="shared" si="7"/>
        <v>0</v>
      </c>
      <c r="W197" s="31"/>
      <c r="X197" s="15" t="str">
        <f t="shared" si="8"/>
        <v>geleen-netherlands</v>
      </c>
      <c r="Y197" s="32" t="str">
        <f t="shared" si="9"/>
        <v>https://steelmanufacturer.in/market-area/electropolished-pipes-manufacturer-in-geleen-netherlands/</v>
      </c>
      <c r="Z197" s="15" t="str">
        <f t="shared" si="10"/>
        <v>Electropolished Pipes Manufacturer in Geleen</v>
      </c>
      <c r="AA197" s="15" t="str">
        <f t="shared" si="11"/>
        <v>OK (44)</v>
      </c>
      <c r="AB197" s="15" t="str">
        <f t="shared" si="12"/>
        <v>Manufacturer of electropolished SS 316L tube serving Geleen. 23-29 days sea from Nhava Sheva to Rotterdam. Ra 0.25-0.5 um, EN 10204 3.1 MTC.</v>
      </c>
      <c r="AC197" s="15" t="str">
        <f t="shared" si="13"/>
        <v>OK (140)</v>
      </c>
      <c r="AD197" s="15" t="str">
        <f t="shared" si="14"/>
        <v>Electropolished Pipes Manufacturer in Geleen</v>
      </c>
      <c r="AE197" s="15" t="str">
        <f t="shared" si="15"/>
        <v>Manufacturing Electropolished SS Tube for Geleen: The Standards We Build To</v>
      </c>
      <c r="AF197" s="15" t="str">
        <f t="shared" si="16"/>
        <v>Electropolished Pipe Supply Into Geleen - Certification &amp; Transit</v>
      </c>
      <c r="AG197" s="15" t="str">
        <f t="shared" si="17"/>
        <v>Electropolished Pipes Wholesaler in Geleen - Project Quantities &amp; Terms</v>
      </c>
      <c r="AH197" s="15" t="str">
        <f t="shared" si="18"/>
        <v>electropolished pipes manufacturer in Geleen, electropolished pipes supplier in Geleen, electropolished pipes wholesaler in Geleen, electropolished tube manufacturer Geleen, EP pipe supplier Geleen, sanitary tube supplier Geleen, ASME BPE tubing Geleen, ASTM A270 tube Geleen, SS 316L electropolished pipe Geleen</v>
      </c>
      <c r="AI197" s="15" t="str">
        <f t="shared" si="19"/>
        <v>Electropolished Pipes Manufacturer &amp; Supplier in Geleen</v>
      </c>
      <c r="AJ197" s="15" t="str">
        <f t="shared" si="20"/>
        <v>EP-finished SS 304/316L pipes and tubes for pharma &amp; API plants in Geleen. ASME BPE SF1-SF4, Ra from 0.25 um, EN 10204 3.1 certificate with every lot.</v>
      </c>
      <c r="AK197" s="15" t="str">
        <f t="shared" si="21"/>
        <v>Electropolished stainless steel pipes supplied by Sakshi Forge to pharma &amp; API plants at Chemelot Industrial Park, Geleen</v>
      </c>
      <c r="AL197" s="15" t="str">
        <f t="shared" si="22"/>
        <v>Electropolished SS 316L tube stock for Geleen - Sakshi Forge</v>
      </c>
      <c r="AM197" s="15" t="str">
        <f t="shared" si="23"/>
        <v>Home &gt; Market Area &gt; Netherlands &gt; Limburg &gt; Geleen</v>
      </c>
      <c r="AN197" s="15">
        <f t="shared" si="24"/>
        <v>1400</v>
      </c>
      <c r="AO197" s="15">
        <f t="shared" si="25"/>
        <v>10</v>
      </c>
      <c r="AP197" s="15">
        <f t="shared" si="26"/>
        <v>12</v>
      </c>
      <c r="AQ197" s="15">
        <f t="shared" si="27"/>
        <v>4</v>
      </c>
      <c r="AR197" s="31"/>
      <c r="AS197" s="31"/>
      <c r="AT197" s="35" t="s">
        <v>222</v>
      </c>
      <c r="AU197" s="35"/>
    </row>
    <row r="198" ht="15.75" customHeight="1">
      <c r="A198" s="15" t="s">
        <v>7498</v>
      </c>
      <c r="B198" s="15" t="s">
        <v>255</v>
      </c>
      <c r="C198" s="15" t="s">
        <v>7424</v>
      </c>
      <c r="D198" s="15" t="s">
        <v>7500</v>
      </c>
      <c r="E198" s="15" t="s">
        <v>7500</v>
      </c>
      <c r="F198" s="16" t="s">
        <v>87</v>
      </c>
      <c r="G198" s="17" t="s">
        <v>88</v>
      </c>
      <c r="H198" s="18" t="s">
        <v>7502</v>
      </c>
      <c r="I198" s="18" t="s">
        <v>7502</v>
      </c>
      <c r="J198" s="18" t="s">
        <v>7503</v>
      </c>
      <c r="K198" s="18" t="s">
        <v>1320</v>
      </c>
      <c r="L198" s="18" t="s">
        <v>560</v>
      </c>
      <c r="M198" s="18" t="s">
        <v>561</v>
      </c>
      <c r="N198" s="18" t="s">
        <v>297</v>
      </c>
      <c r="O198" s="18" t="s">
        <v>98</v>
      </c>
      <c r="P198" s="15" t="str">
        <f t="shared" si="1"/>
        <v>BIOTECH</v>
      </c>
      <c r="Q198" s="15">
        <f t="shared" si="2"/>
        <v>3</v>
      </c>
      <c r="R198" s="15">
        <f t="shared" si="3"/>
        <v>6</v>
      </c>
      <c r="S198" s="15">
        <f t="shared" si="4"/>
        <v>5</v>
      </c>
      <c r="T198" s="15" t="str">
        <f t="shared" si="5"/>
        <v>A-3</v>
      </c>
      <c r="U198" s="15" t="str">
        <f t="shared" si="6"/>
        <v>T3-M6-H5-FA-3-BIOTECH</v>
      </c>
      <c r="V198" s="15">
        <f t="shared" si="7"/>
        <v>0</v>
      </c>
      <c r="W198" s="31"/>
      <c r="X198" s="15" t="str">
        <f t="shared" si="8"/>
        <v>leiden-netherlands</v>
      </c>
      <c r="Y198" s="32" t="str">
        <f t="shared" si="9"/>
        <v>https://steelmanufacturer.in/market-area/electropolished-pipes-manufacturer-in-leiden-netherlands/</v>
      </c>
      <c r="Z198" s="15" t="str">
        <f t="shared" si="10"/>
        <v>Electropolished Pipes Manufacturer in Leiden | EP Tube Supplier</v>
      </c>
      <c r="AA198" s="15" t="str">
        <f t="shared" si="11"/>
        <v>OK (63)</v>
      </c>
      <c r="AB198" s="15" t="str">
        <f t="shared" si="12"/>
        <v>EP tube and pipe for biotech plants around Leiden Bio Science Park, Leiden. Made at our Mumbai works to ASTM A270 and ASME BPE SF1-SF4, with 3.1 MTC.</v>
      </c>
      <c r="AC198" s="15" t="str">
        <f t="shared" si="13"/>
        <v>OK (149)</v>
      </c>
      <c r="AD198" s="15" t="str">
        <f t="shared" si="14"/>
        <v>Electropolished Pipes Manufacturer in Leiden</v>
      </c>
      <c r="AE198" s="15" t="str">
        <f t="shared" si="15"/>
        <v>Electropolished Tube Manufacturing Capability Serving Leiden</v>
      </c>
      <c r="AF198" s="15" t="str">
        <f t="shared" si="16"/>
        <v>Electropolished Pipes Supplier in Leiden - From Order to Delivery</v>
      </c>
      <c r="AG198" s="15" t="str">
        <f t="shared" si="17"/>
        <v>Stockist &amp; Wholesale Supply of Electropolished Pipes in Leiden</v>
      </c>
      <c r="AH198" s="15" t="str">
        <f t="shared" si="18"/>
        <v>electropolished pipes manufacturer in Leiden, electropolished pipes supplier in Leiden, electropolished pipes wholesaler in Leiden, electropolished tube manufacturer Leiden, EP pipe supplier Leiden, sanitary tube supplier Leiden, ASME BPE tubing Leiden, ASTM A270 tube Leiden, SS 316L electropolished pipe Leiden</v>
      </c>
      <c r="AI198" s="15" t="str">
        <f t="shared" si="19"/>
        <v>Electropolished Pipes Manufacturer &amp; Supplier in Leiden</v>
      </c>
      <c r="AJ198" s="15" t="str">
        <f t="shared" si="20"/>
        <v>EP-finished SS 304/316L pipes and tubes for biotech plants in Leiden. ASME BPE SF1-SF4, Ra from 0.25 um, EN 10204 3.1 certificate with every lot.</v>
      </c>
      <c r="AK198" s="15" t="str">
        <f t="shared" si="21"/>
        <v>Electropolished stainless steel pipes supplied by Sakshi Forge to biotech plants at Leiden Bio Science Park, Leiden</v>
      </c>
      <c r="AL198" s="15" t="str">
        <f t="shared" si="22"/>
        <v>Electropolished SS 316L tube stock for Leiden - Sakshi Forge</v>
      </c>
      <c r="AM198" s="15" t="str">
        <f t="shared" si="23"/>
        <v>Home &gt; Market Area &gt; Netherlands &gt; South Holland &gt; Leiden</v>
      </c>
      <c r="AN198" s="15">
        <f t="shared" si="24"/>
        <v>1400</v>
      </c>
      <c r="AO198" s="15">
        <f t="shared" si="25"/>
        <v>10</v>
      </c>
      <c r="AP198" s="15">
        <f t="shared" si="26"/>
        <v>12</v>
      </c>
      <c r="AQ198" s="15">
        <f t="shared" si="27"/>
        <v>4</v>
      </c>
      <c r="AR198" s="31"/>
      <c r="AS198" s="31"/>
      <c r="AT198" s="35" t="s">
        <v>222</v>
      </c>
      <c r="AU198" s="35"/>
    </row>
    <row r="199" ht="15.75" customHeight="1">
      <c r="A199" s="15" t="s">
        <v>7522</v>
      </c>
      <c r="B199" s="15" t="s">
        <v>255</v>
      </c>
      <c r="C199" s="15" t="s">
        <v>7451</v>
      </c>
      <c r="D199" s="15" t="s">
        <v>7523</v>
      </c>
      <c r="E199" s="15" t="s">
        <v>7523</v>
      </c>
      <c r="F199" s="16" t="s">
        <v>87</v>
      </c>
      <c r="G199" s="17" t="s">
        <v>88</v>
      </c>
      <c r="H199" s="18" t="s">
        <v>7525</v>
      </c>
      <c r="I199" s="18" t="s">
        <v>7525</v>
      </c>
      <c r="J199" s="18" t="s">
        <v>6925</v>
      </c>
      <c r="K199" s="18" t="s">
        <v>3605</v>
      </c>
      <c r="L199" s="18" t="s">
        <v>560</v>
      </c>
      <c r="M199" s="18" t="s">
        <v>561</v>
      </c>
      <c r="N199" s="18" t="s">
        <v>297</v>
      </c>
      <c r="O199" s="18" t="s">
        <v>98</v>
      </c>
      <c r="P199" s="15" t="str">
        <f t="shared" si="1"/>
        <v>PHARMA</v>
      </c>
      <c r="Q199" s="15">
        <f t="shared" si="2"/>
        <v>4</v>
      </c>
      <c r="R199" s="15">
        <f t="shared" si="3"/>
        <v>7</v>
      </c>
      <c r="S199" s="15">
        <f t="shared" si="4"/>
        <v>1</v>
      </c>
      <c r="T199" s="15" t="str">
        <f t="shared" si="5"/>
        <v>A-4</v>
      </c>
      <c r="U199" s="15" t="str">
        <f t="shared" si="6"/>
        <v>T4-M7-H1-FA-4-PHARMA</v>
      </c>
      <c r="V199" s="15">
        <f t="shared" si="7"/>
        <v>0</v>
      </c>
      <c r="W199" s="31"/>
      <c r="X199" s="15" t="str">
        <f t="shared" si="8"/>
        <v>oss-netherlands</v>
      </c>
      <c r="Y199" s="32" t="str">
        <f t="shared" si="9"/>
        <v>https://steelmanufacturer.in/market-area/electropolished-pipes-manufacturer-in-oss-netherlands/</v>
      </c>
      <c r="Z199" s="15" t="str">
        <f t="shared" si="10"/>
        <v>Electropolished Pipes Manufacturer in Oss - SS 304/316L EP Tube</v>
      </c>
      <c r="AA199" s="15" t="str">
        <f t="shared" si="11"/>
        <v>OK (63)</v>
      </c>
      <c r="AB199" s="15" t="str">
        <f t="shared" si="12"/>
        <v>Electropolished pipes in Oss: 304, 304L, 316 and 316L in SF1-SF4. 23-29 days sea from Nhava Sheva to Rotterdam. Mill certified.</v>
      </c>
      <c r="AC199" s="15" t="str">
        <f t="shared" si="13"/>
        <v>OK (127)</v>
      </c>
      <c r="AD199" s="15" t="str">
        <f t="shared" si="14"/>
        <v>Electropolished Pipes Manufacturer in Oss</v>
      </c>
      <c r="AE199" s="15" t="str">
        <f t="shared" si="15"/>
        <v>Electropolished Pipe &amp; Tube Manufacturing for Oss - Grades, Finishes &amp; Certification</v>
      </c>
      <c r="AF199" s="15" t="str">
        <f t="shared" si="16"/>
        <v>Electropolished Pipes Supplier in Oss - Stock Sizes, Lead Time &amp; Delivery</v>
      </c>
      <c r="AG199" s="15" t="str">
        <f t="shared" si="17"/>
        <v>Electropolished Pipes Wholesaler &amp; Stockist in Oss - Bulk &amp; Project Pricing</v>
      </c>
      <c r="AH199" s="15" t="str">
        <f t="shared" si="18"/>
        <v>electropolished pipes manufacturer in Oss, electropolished pipes supplier in Oss, electropolished pipes wholesaler in Oss, electropolished tube manufacturer Oss, EP pipe supplier Oss, sanitary tube supplier Oss, ASME BPE tubing Oss, ASTM A270 tube Oss, SS 316L electropolished pipe Oss</v>
      </c>
      <c r="AI199" s="15" t="str">
        <f t="shared" si="19"/>
        <v>Electropolished Pipes Manufacturer &amp; Supplier in Oss</v>
      </c>
      <c r="AJ199" s="15" t="str">
        <f t="shared" si="20"/>
        <v>EP-finished SS 304/316L pipes and tubes for pharma &amp; API &amp; pharma plants in Oss. ASME BPE SF1-SF4, Ra from 0.25 um, EN 10204 3.1 certificate with every lot.</v>
      </c>
      <c r="AK199" s="15" t="str">
        <f t="shared" si="21"/>
        <v>Electropolished stainless steel pipes supplied by Sakshi Forge to pharma &amp; API &amp; pharma plants at Pivot Park Oss, Oss</v>
      </c>
      <c r="AL199" s="15" t="str">
        <f t="shared" si="22"/>
        <v>Electropolished SS 316L tube stock for Oss - Sakshi Forge</v>
      </c>
      <c r="AM199" s="15" t="str">
        <f t="shared" si="23"/>
        <v>Home &gt; Market Area &gt; Netherlands &gt; North Brabant &gt; Oss</v>
      </c>
      <c r="AN199" s="15">
        <f t="shared" si="24"/>
        <v>1400</v>
      </c>
      <c r="AO199" s="15">
        <f t="shared" si="25"/>
        <v>10</v>
      </c>
      <c r="AP199" s="15">
        <f t="shared" si="26"/>
        <v>12</v>
      </c>
      <c r="AQ199" s="15">
        <f t="shared" si="27"/>
        <v>4</v>
      </c>
      <c r="AR199" s="31"/>
      <c r="AS199" s="31"/>
      <c r="AT199" s="35" t="s">
        <v>222</v>
      </c>
      <c r="AU199" s="35"/>
    </row>
    <row r="200" ht="15.75" customHeight="1">
      <c r="A200" s="15" t="s">
        <v>7544</v>
      </c>
      <c r="B200" s="15" t="s">
        <v>255</v>
      </c>
      <c r="C200" s="15" t="s">
        <v>7424</v>
      </c>
      <c r="D200" s="15" t="s">
        <v>7546</v>
      </c>
      <c r="E200" s="15" t="s">
        <v>7546</v>
      </c>
      <c r="F200" s="16" t="s">
        <v>87</v>
      </c>
      <c r="G200" s="17" t="s">
        <v>88</v>
      </c>
      <c r="H200" s="18" t="s">
        <v>7547</v>
      </c>
      <c r="I200" s="18" t="s">
        <v>7548</v>
      </c>
      <c r="J200" s="18" t="s">
        <v>7549</v>
      </c>
      <c r="K200" s="18" t="s">
        <v>94</v>
      </c>
      <c r="L200" s="18" t="s">
        <v>560</v>
      </c>
      <c r="M200" s="18" t="s">
        <v>561</v>
      </c>
      <c r="N200" s="18" t="s">
        <v>297</v>
      </c>
      <c r="O200" s="18" t="s">
        <v>98</v>
      </c>
      <c r="P200" s="15" t="str">
        <f t="shared" si="1"/>
        <v>FOOD</v>
      </c>
      <c r="Q200" s="15">
        <f t="shared" si="2"/>
        <v>5</v>
      </c>
      <c r="R200" s="15">
        <f t="shared" si="3"/>
        <v>1</v>
      </c>
      <c r="S200" s="15">
        <f t="shared" si="4"/>
        <v>2</v>
      </c>
      <c r="T200" s="15" t="str">
        <f t="shared" si="5"/>
        <v>A-5</v>
      </c>
      <c r="U200" s="15" t="str">
        <f t="shared" si="6"/>
        <v>T5-M1-H2-FA-5-FOOD</v>
      </c>
      <c r="V200" s="15">
        <f t="shared" si="7"/>
        <v>0</v>
      </c>
      <c r="W200" s="31"/>
      <c r="X200" s="15" t="str">
        <f t="shared" si="8"/>
        <v>rotterdam-netherlands</v>
      </c>
      <c r="Y200" s="32" t="str">
        <f t="shared" si="9"/>
        <v>https://steelmanufacturer.in/market-area/electropolished-pipes-manufacturer-in-rotterdam-netherlands/</v>
      </c>
      <c r="Z200" s="15" t="str">
        <f t="shared" si="10"/>
        <v>Electropolished Pipes Manufacturer in Rotterdam</v>
      </c>
      <c r="AA200" s="15" t="str">
        <f t="shared" si="11"/>
        <v>OK (47)</v>
      </c>
      <c r="AB200" s="15" t="str">
        <f t="shared" si="12"/>
        <v>EP-finished SS 304/316L pipes &amp; tubes for food processing plants in Rotterdam. ASTM A270, ASME BPE SF1-SF4, EN 10204 3.1 MTC. PMI tested.</v>
      </c>
      <c r="AC200" s="15" t="str">
        <f t="shared" si="13"/>
        <v>OK (137)</v>
      </c>
      <c r="AD200" s="15" t="str">
        <f t="shared" si="14"/>
        <v>Electropolished Pipes Manufacturer in Rotterdam</v>
      </c>
      <c r="AE200" s="15" t="str">
        <f t="shared" si="15"/>
        <v>How We Manufacture Electropolished Tube for Rotterdam Plants</v>
      </c>
      <c r="AF200" s="15" t="str">
        <f t="shared" si="16"/>
        <v>Supplying Electropolished Pipes in Rotterdam: Availability, Sizes &amp; Dispatch</v>
      </c>
      <c r="AG200" s="15" t="str">
        <f t="shared" si="17"/>
        <v>Wholesale Electropolished Pipe Supply for Rotterdam Projects</v>
      </c>
      <c r="AH200" s="15" t="str">
        <f t="shared" si="18"/>
        <v>electropolished pipes manufacturer in Rotterdam, electropolished pipes supplier in Rotterdam, electropolished pipes wholesaler in Rotterdam, electropolished tube manufacturer Rotterdam, EP pipe supplier Rotterdam, sanitary tube supplier Rotterdam, ASME BPE tubing Rotterdam, ASTM A270 tube Rotterdam, SS 316L electropolished pipe Rotterdam</v>
      </c>
      <c r="AI200" s="15" t="str">
        <f t="shared" si="19"/>
        <v>Electropolished Pipes Manufacturer &amp; Supplier in Rotterdam</v>
      </c>
      <c r="AJ200" s="15" t="str">
        <f t="shared" si="20"/>
        <v>EP-finished SS 304/316L pipes and tubes for food processing plants in Rotterdam. ASME BPE SF1-SF4, Ra from 0.25 um, EN 10204 3.1 certificate with every lot.</v>
      </c>
      <c r="AK200" s="15" t="str">
        <f t="shared" si="21"/>
        <v>Electropolished stainless steel pipes supplied by Sakshi Forge to food processing plants at Botlek, Rotterdam</v>
      </c>
      <c r="AL200" s="15" t="str">
        <f t="shared" si="22"/>
        <v>Electropolished SS 316L tube stock for Rotterdam - Sakshi Forge</v>
      </c>
      <c r="AM200" s="15" t="str">
        <f t="shared" si="23"/>
        <v>Home &gt; Market Area &gt; Netherlands &gt; South Holland &gt; Rotterdam</v>
      </c>
      <c r="AN200" s="15">
        <f t="shared" si="24"/>
        <v>1400</v>
      </c>
      <c r="AO200" s="15">
        <f t="shared" si="25"/>
        <v>10</v>
      </c>
      <c r="AP200" s="15">
        <f t="shared" si="26"/>
        <v>12</v>
      </c>
      <c r="AQ200" s="15">
        <f t="shared" si="27"/>
        <v>4</v>
      </c>
      <c r="AR200" s="31"/>
      <c r="AS200" s="31"/>
      <c r="AT200" s="35" t="s">
        <v>222</v>
      </c>
      <c r="AU200" s="35"/>
    </row>
    <row r="201" ht="15.75" customHeight="1">
      <c r="A201" s="15" t="s">
        <v>7568</v>
      </c>
      <c r="B201" s="15" t="s">
        <v>215</v>
      </c>
      <c r="C201" s="15" t="s">
        <v>7569</v>
      </c>
      <c r="D201" s="15" t="s">
        <v>7570</v>
      </c>
      <c r="E201" s="15" t="s">
        <v>7570</v>
      </c>
      <c r="F201" s="16" t="s">
        <v>87</v>
      </c>
      <c r="G201" s="17" t="s">
        <v>88</v>
      </c>
      <c r="H201" s="18" t="s">
        <v>7572</v>
      </c>
      <c r="I201" s="18" t="s">
        <v>7572</v>
      </c>
      <c r="J201" s="18" t="s">
        <v>7573</v>
      </c>
      <c r="K201" s="18" t="s">
        <v>94</v>
      </c>
      <c r="L201" s="18" t="s">
        <v>7574</v>
      </c>
      <c r="M201" s="18" t="s">
        <v>503</v>
      </c>
      <c r="N201" s="18" t="s">
        <v>216</v>
      </c>
      <c r="O201" s="18" t="s">
        <v>98</v>
      </c>
      <c r="P201" s="15" t="str">
        <f t="shared" si="1"/>
        <v>FOOD</v>
      </c>
      <c r="Q201" s="15">
        <f t="shared" si="2"/>
        <v>6</v>
      </c>
      <c r="R201" s="15">
        <f t="shared" si="3"/>
        <v>2</v>
      </c>
      <c r="S201" s="15">
        <f t="shared" si="4"/>
        <v>3</v>
      </c>
      <c r="T201" s="15" t="str">
        <f t="shared" si="5"/>
        <v>A-6</v>
      </c>
      <c r="U201" s="15" t="str">
        <f t="shared" si="6"/>
        <v>T6-M2-H3-FA-6-FOOD</v>
      </c>
      <c r="V201" s="15">
        <f t="shared" si="7"/>
        <v>0</v>
      </c>
      <c r="W201" s="31"/>
      <c r="X201" s="15" t="str">
        <f t="shared" si="8"/>
        <v>duqm-oman</v>
      </c>
      <c r="Y201" s="32" t="str">
        <f t="shared" si="9"/>
        <v>https://steelmanufacturer.in/market-area/electropolished-pipes-manufacturer-in-duqm-oman/</v>
      </c>
      <c r="Z201" s="15" t="str">
        <f t="shared" si="10"/>
        <v>Electropolished Pipes Manufacturer in Duqm</v>
      </c>
      <c r="AA201" s="15" t="str">
        <f t="shared" si="11"/>
        <v>OK (42)</v>
      </c>
      <c r="AB201" s="15" t="str">
        <f t="shared" si="12"/>
        <v>Electropolished tube supply to SEZAD Duqm Special Economic Zone, Duqm. Ra from 0.25 um, SF4 finish, mill test certificate with every lot.</v>
      </c>
      <c r="AC201" s="15" t="str">
        <f t="shared" si="13"/>
        <v>OK (137)</v>
      </c>
      <c r="AD201" s="15" t="str">
        <f t="shared" si="14"/>
        <v>Electropolished Pipes Manufacturer in Duqm</v>
      </c>
      <c r="AE201" s="15" t="str">
        <f t="shared" si="15"/>
        <v>Electropolished Pipes Manufacturer in Duqm - Our Process &amp; Capability</v>
      </c>
      <c r="AF201" s="15" t="str">
        <f t="shared" si="16"/>
        <v>Electropolished Pipes Supplier in Duqm - What We Hold in Stock</v>
      </c>
      <c r="AG201" s="15" t="str">
        <f t="shared" si="17"/>
        <v>Bulk &amp; Wholesale Electropolished Pipe Rates for Duqm Buyers</v>
      </c>
      <c r="AH201" s="15" t="str">
        <f t="shared" si="18"/>
        <v>electropolished pipes manufacturer in Duqm, electropolished pipes supplier in Duqm, electropolished pipes wholesaler in Duqm, electropolished tube manufacturer Duqm, EP pipe supplier Duqm, sanitary tube supplier Duqm, ASME BPE tubing Duqm, ASTM A270 tube Duqm, SS 316L electropolished pipe Duqm</v>
      </c>
      <c r="AI201" s="15" t="str">
        <f t="shared" si="19"/>
        <v>Electropolished Pipes Manufacturer &amp; Supplier in Duqm</v>
      </c>
      <c r="AJ201" s="15" t="str">
        <f t="shared" si="20"/>
        <v>EP-finished SS 304/316L pipes and tubes for food processing plants in Duqm. ASME BPE SF1-SF4, Ra from 0.25 um, EN 10204 3.1 certificate with every lot.</v>
      </c>
      <c r="AK201" s="15" t="str">
        <f t="shared" si="21"/>
        <v>Electropolished stainless steel pipes supplied by Sakshi Forge to food processing plants at SEZAD Duqm Special Economic Zone, Duqm</v>
      </c>
      <c r="AL201" s="15" t="str">
        <f t="shared" si="22"/>
        <v>Electropolished SS 316L tube stock for Duqm - Sakshi Forge</v>
      </c>
      <c r="AM201" s="15" t="str">
        <f t="shared" si="23"/>
        <v>Home &gt; Market Area &gt; Oman &gt; Al Wusta &gt; Duqm</v>
      </c>
      <c r="AN201" s="15">
        <f t="shared" si="24"/>
        <v>1400</v>
      </c>
      <c r="AO201" s="15">
        <f t="shared" si="25"/>
        <v>10</v>
      </c>
      <c r="AP201" s="15">
        <f t="shared" si="26"/>
        <v>12</v>
      </c>
      <c r="AQ201" s="15">
        <f t="shared" si="27"/>
        <v>4</v>
      </c>
      <c r="AR201" s="31"/>
      <c r="AS201" s="31"/>
      <c r="AT201" s="35" t="s">
        <v>222</v>
      </c>
      <c r="AU201" s="35"/>
    </row>
    <row r="202" ht="15.75" customHeight="1">
      <c r="A202" s="15" t="s">
        <v>7592</v>
      </c>
      <c r="B202" s="15" t="s">
        <v>215</v>
      </c>
      <c r="C202" s="15" t="s">
        <v>7594</v>
      </c>
      <c r="D202" s="15" t="s">
        <v>7594</v>
      </c>
      <c r="E202" s="15" t="s">
        <v>7594</v>
      </c>
      <c r="F202" s="16" t="s">
        <v>87</v>
      </c>
      <c r="G202" s="17" t="s">
        <v>88</v>
      </c>
      <c r="H202" s="18" t="s">
        <v>7596</v>
      </c>
      <c r="I202" s="18" t="s">
        <v>7597</v>
      </c>
      <c r="J202" s="18" t="s">
        <v>7598</v>
      </c>
      <c r="K202" s="18" t="s">
        <v>229</v>
      </c>
      <c r="L202" s="18" t="s">
        <v>7599</v>
      </c>
      <c r="M202" s="18" t="s">
        <v>503</v>
      </c>
      <c r="N202" s="18" t="s">
        <v>216</v>
      </c>
      <c r="O202" s="18" t="s">
        <v>98</v>
      </c>
      <c r="P202" s="15" t="str">
        <f t="shared" si="1"/>
        <v>PHARMA</v>
      </c>
      <c r="Q202" s="15">
        <f t="shared" si="2"/>
        <v>7</v>
      </c>
      <c r="R202" s="15">
        <f t="shared" si="3"/>
        <v>3</v>
      </c>
      <c r="S202" s="15">
        <f t="shared" si="4"/>
        <v>4</v>
      </c>
      <c r="T202" s="15" t="str">
        <f t="shared" si="5"/>
        <v>A-1</v>
      </c>
      <c r="U202" s="15" t="str">
        <f t="shared" si="6"/>
        <v>T7-M3-H4-FA-1-PHARMA</v>
      </c>
      <c r="V202" s="15">
        <f t="shared" si="7"/>
        <v>0</v>
      </c>
      <c r="W202" s="31"/>
      <c r="X202" s="15" t="str">
        <f t="shared" si="8"/>
        <v>muscat-oman</v>
      </c>
      <c r="Y202" s="32" t="str">
        <f t="shared" si="9"/>
        <v>https://steelmanufacturer.in/market-area/electropolished-pipes-manufacturer-in-muscat-oman/</v>
      </c>
      <c r="Z202" s="15" t="str">
        <f t="shared" si="10"/>
        <v>Electropolished Pipes Manufacturer in Muscat | ASME BPE SF1-SF4</v>
      </c>
      <c r="AA202" s="15" t="str">
        <f t="shared" si="11"/>
        <v>OK (63)</v>
      </c>
      <c r="AB202" s="15" t="str">
        <f t="shared" si="12"/>
        <v>EP stainless tube for pharma lines in Muscat. 7-10 days sea from Nhava Sheva to Sohar. ASTM A270 S2, PMI tested, EN 10204 3.1.</v>
      </c>
      <c r="AC202" s="15" t="str">
        <f t="shared" si="13"/>
        <v>OK (126)</v>
      </c>
      <c r="AD202" s="15" t="str">
        <f t="shared" si="14"/>
        <v>Electropolished Pipes Manufacturer in Muscat</v>
      </c>
      <c r="AE202" s="15" t="str">
        <f t="shared" si="15"/>
        <v>Manufacturing Electropolished SS Tube for Muscat: The Standards We Build To</v>
      </c>
      <c r="AF202" s="15" t="str">
        <f t="shared" si="16"/>
        <v>Electropolished Pipe Supply Into Muscat - Certification &amp; Transit</v>
      </c>
      <c r="AG202" s="15" t="str">
        <f t="shared" si="17"/>
        <v>Electropolished Pipes Wholesaler in Muscat - Project Quantities &amp; Terms</v>
      </c>
      <c r="AH202" s="15" t="str">
        <f t="shared" si="18"/>
        <v>electropolished pipes manufacturer in Muscat, electropolished pipes supplier in Muscat, electropolished pipes wholesaler in Muscat, electropolished tube manufacturer Muscat, EP pipe supplier Muscat, sanitary tube supplier Muscat, ASME BPE tubing Muscat, ASTM A270 tube Muscat, SS 316L electropolished pipe Muscat</v>
      </c>
      <c r="AI202" s="15" t="str">
        <f t="shared" si="19"/>
        <v>Electropolished Pipes Manufacturer &amp; Supplier in Muscat</v>
      </c>
      <c r="AJ202" s="15" t="str">
        <f t="shared" si="20"/>
        <v>EP-finished SS 304/316L pipes and tubes for pharma plants in Muscat. ASME BPE SF1-SF4, Ra from 0.25 um, EN 10204 3.1 certificate with every lot.</v>
      </c>
      <c r="AK202" s="15" t="str">
        <f t="shared" si="21"/>
        <v>Electropolished stainless steel pipes supplied by Sakshi Forge to pharma plants at Rusayl Industrial Estate (Madayn), Muscat</v>
      </c>
      <c r="AL202" s="15" t="str">
        <f t="shared" si="22"/>
        <v>Electropolished SS 316L tube stock for Muscat - Sakshi Forge</v>
      </c>
      <c r="AM202" s="15" t="str">
        <f t="shared" si="23"/>
        <v>Home &gt; Market Area &gt; Oman &gt; Muscat &gt; Muscat</v>
      </c>
      <c r="AN202" s="15">
        <f t="shared" si="24"/>
        <v>1400</v>
      </c>
      <c r="AO202" s="15">
        <f t="shared" si="25"/>
        <v>10</v>
      </c>
      <c r="AP202" s="15">
        <f t="shared" si="26"/>
        <v>12</v>
      </c>
      <c r="AQ202" s="15">
        <f t="shared" si="27"/>
        <v>4</v>
      </c>
      <c r="AR202" s="31"/>
      <c r="AS202" s="31"/>
      <c r="AT202" s="35" t="s">
        <v>222</v>
      </c>
      <c r="AU202" s="35"/>
    </row>
    <row r="203" ht="15.75" customHeight="1">
      <c r="A203" s="15" t="s">
        <v>7622</v>
      </c>
      <c r="B203" s="15" t="s">
        <v>215</v>
      </c>
      <c r="C203" s="15" t="s">
        <v>7624</v>
      </c>
      <c r="D203" s="15" t="s">
        <v>7625</v>
      </c>
      <c r="E203" s="15" t="s">
        <v>7625</v>
      </c>
      <c r="F203" s="16" t="s">
        <v>87</v>
      </c>
      <c r="G203" s="17" t="s">
        <v>88</v>
      </c>
      <c r="H203" s="18" t="s">
        <v>7627</v>
      </c>
      <c r="I203" s="18" t="s">
        <v>7627</v>
      </c>
      <c r="J203" s="18" t="s">
        <v>7628</v>
      </c>
      <c r="K203" s="18" t="s">
        <v>94</v>
      </c>
      <c r="L203" s="18" t="s">
        <v>7629</v>
      </c>
      <c r="M203" s="18" t="s">
        <v>503</v>
      </c>
      <c r="N203" s="18" t="s">
        <v>216</v>
      </c>
      <c r="O203" s="18" t="s">
        <v>98</v>
      </c>
      <c r="P203" s="15" t="str">
        <f t="shared" si="1"/>
        <v>FOOD</v>
      </c>
      <c r="Q203" s="15">
        <f t="shared" si="2"/>
        <v>8</v>
      </c>
      <c r="R203" s="15">
        <f t="shared" si="3"/>
        <v>4</v>
      </c>
      <c r="S203" s="15">
        <f t="shared" si="4"/>
        <v>5</v>
      </c>
      <c r="T203" s="15" t="str">
        <f t="shared" si="5"/>
        <v>A-2</v>
      </c>
      <c r="U203" s="15" t="str">
        <f t="shared" si="6"/>
        <v>T8-M4-H5-FA-2-FOOD</v>
      </c>
      <c r="V203" s="15">
        <f t="shared" si="7"/>
        <v>0</v>
      </c>
      <c r="W203" s="31"/>
      <c r="X203" s="15" t="str">
        <f t="shared" si="8"/>
        <v>nizwa-oman</v>
      </c>
      <c r="Y203" s="32" t="str">
        <f t="shared" si="9"/>
        <v>https://steelmanufacturer.in/market-area/electropolished-pipes-manufacturer-in-nizwa-oman/</v>
      </c>
      <c r="Z203" s="15" t="str">
        <f t="shared" si="10"/>
        <v>Electropolished Pipes Manufacturer in Nizwa - EP Tube Stockist</v>
      </c>
      <c r="AA203" s="15" t="str">
        <f t="shared" si="11"/>
        <v>OK (62)</v>
      </c>
      <c r="AB203" s="15" t="str">
        <f t="shared" si="12"/>
        <v>Sanitary electropolished pipes in Nizwa for food processing plants. ASME BPE SF1-SF4, orbital-weld ready, 3.1 MTC. Mumbai-made.</v>
      </c>
      <c r="AC203" s="15" t="str">
        <f t="shared" si="13"/>
        <v>OK (127)</v>
      </c>
      <c r="AD203" s="15" t="str">
        <f t="shared" si="14"/>
        <v>Electropolished Pipes Manufacturer in Nizwa</v>
      </c>
      <c r="AE203" s="15" t="str">
        <f t="shared" si="15"/>
        <v>Electropolished Tube Manufacturing Capability Serving Nizwa</v>
      </c>
      <c r="AF203" s="15" t="str">
        <f t="shared" si="16"/>
        <v>Electropolished Pipes Supplier in Nizwa - From Order to Delivery</v>
      </c>
      <c r="AG203" s="15" t="str">
        <f t="shared" si="17"/>
        <v>Stockist &amp; Wholesale Supply of Electropolished Pipes in Nizwa</v>
      </c>
      <c r="AH203" s="15" t="str">
        <f t="shared" si="18"/>
        <v>electropolished pipes manufacturer in Nizwa, electropolished pipes supplier in Nizwa, electropolished pipes wholesaler in Nizwa, electropolished tube manufacturer Nizwa, EP pipe supplier Nizwa, sanitary tube supplier Nizwa, ASME BPE tubing Nizwa, ASTM A270 tube Nizwa, SS 316L electropolished pipe Nizwa</v>
      </c>
      <c r="AI203" s="15" t="str">
        <f t="shared" si="19"/>
        <v>Electropolished Pipes Manufacturer &amp; Supplier in Nizwa</v>
      </c>
      <c r="AJ203" s="15" t="str">
        <f t="shared" si="20"/>
        <v>EP-finished SS 304/316L pipes and tubes for food processing plants in Nizwa. ASME BPE SF1-SF4, Ra from 0.25 um, EN 10204 3.1 certificate with every lot.</v>
      </c>
      <c r="AK203" s="15" t="str">
        <f t="shared" si="21"/>
        <v>Electropolished stainless steel pipes supplied by Sakshi Forge to food processing plants at Nizwa Industrial Estate (Madayn), Nizwa</v>
      </c>
      <c r="AL203" s="15" t="str">
        <f t="shared" si="22"/>
        <v>Electropolished SS 316L tube stock for Nizwa - Sakshi Forge</v>
      </c>
      <c r="AM203" s="15" t="str">
        <f t="shared" si="23"/>
        <v>Home &gt; Market Area &gt; Oman &gt; Ad Dakhiliyah &gt; Nizwa</v>
      </c>
      <c r="AN203" s="15">
        <f t="shared" si="24"/>
        <v>1400</v>
      </c>
      <c r="AO203" s="15">
        <f t="shared" si="25"/>
        <v>10</v>
      </c>
      <c r="AP203" s="15">
        <f t="shared" si="26"/>
        <v>12</v>
      </c>
      <c r="AQ203" s="15">
        <f t="shared" si="27"/>
        <v>4</v>
      </c>
      <c r="AR203" s="31"/>
      <c r="AS203" s="31"/>
      <c r="AT203" s="35" t="s">
        <v>222</v>
      </c>
      <c r="AU203" s="35"/>
    </row>
    <row r="204" ht="15.75" customHeight="1">
      <c r="A204" s="15" t="s">
        <v>7655</v>
      </c>
      <c r="B204" s="15" t="s">
        <v>215</v>
      </c>
      <c r="C204" s="15" t="s">
        <v>7657</v>
      </c>
      <c r="D204" s="15" t="s">
        <v>7658</v>
      </c>
      <c r="E204" s="15" t="s">
        <v>7658</v>
      </c>
      <c r="F204" s="16" t="s">
        <v>87</v>
      </c>
      <c r="G204" s="17" t="s">
        <v>88</v>
      </c>
      <c r="H204" s="18" t="s">
        <v>7660</v>
      </c>
      <c r="I204" s="18" t="s">
        <v>7661</v>
      </c>
      <c r="J204" s="18" t="s">
        <v>7662</v>
      </c>
      <c r="K204" s="18" t="s">
        <v>94</v>
      </c>
      <c r="L204" s="18" t="s">
        <v>7664</v>
      </c>
      <c r="M204" s="18" t="s">
        <v>503</v>
      </c>
      <c r="N204" s="18" t="s">
        <v>216</v>
      </c>
      <c r="O204" s="18" t="s">
        <v>98</v>
      </c>
      <c r="P204" s="15" t="str">
        <f t="shared" si="1"/>
        <v>FOOD</v>
      </c>
      <c r="Q204" s="15">
        <f t="shared" si="2"/>
        <v>1</v>
      </c>
      <c r="R204" s="15">
        <f t="shared" si="3"/>
        <v>5</v>
      </c>
      <c r="S204" s="15">
        <f t="shared" si="4"/>
        <v>1</v>
      </c>
      <c r="T204" s="15" t="str">
        <f t="shared" si="5"/>
        <v>A-3</v>
      </c>
      <c r="U204" s="15" t="str">
        <f t="shared" si="6"/>
        <v>T1-M5-H1-FA-3-FOOD</v>
      </c>
      <c r="V204" s="15">
        <f t="shared" si="7"/>
        <v>0</v>
      </c>
      <c r="W204" s="31"/>
      <c r="X204" s="15" t="str">
        <f t="shared" si="8"/>
        <v>salalah-oman</v>
      </c>
      <c r="Y204" s="32" t="str">
        <f t="shared" si="9"/>
        <v>https://steelmanufacturer.in/market-area/electropolished-pipes-manufacturer-in-salalah-oman/</v>
      </c>
      <c r="Z204" s="15" t="str">
        <f t="shared" si="10"/>
        <v>Electropolished Pipes Manufacturer in Salalah | Sakshi Forge</v>
      </c>
      <c r="AA204" s="15" t="str">
        <f t="shared" si="11"/>
        <v>OK (60)</v>
      </c>
      <c r="AB204" s="15" t="str">
        <f t="shared" si="12"/>
        <v>Manufacturer of electropolished SS 316L tube serving Salalah. 7-10 days sea from Nhava Sheva to Sohar. Ra 0.25-0.5 um, EN 10204 3.1 MTC.</v>
      </c>
      <c r="AC204" s="15" t="str">
        <f t="shared" si="13"/>
        <v>OK (136)</v>
      </c>
      <c r="AD204" s="15" t="str">
        <f t="shared" si="14"/>
        <v>Electropolished Pipes Manufacturer in Salalah</v>
      </c>
      <c r="AE204" s="15" t="str">
        <f t="shared" si="15"/>
        <v>Electropolished Pipe &amp; Tube Manufacturing for Salalah - Grades, Finishes &amp; Certification</v>
      </c>
      <c r="AF204" s="15" t="str">
        <f t="shared" si="16"/>
        <v>Electropolished Pipes Supplier in Salalah - Stock Sizes, Lead Time &amp; Delivery</v>
      </c>
      <c r="AG204" s="15" t="str">
        <f t="shared" si="17"/>
        <v>Electropolished Pipes Wholesaler &amp; Stockist in Salalah - Bulk &amp; Project Pricing</v>
      </c>
      <c r="AH204" s="15" t="str">
        <f t="shared" si="18"/>
        <v>electropolished pipes manufacturer in Salalah, electropolished pipes supplier in Salalah, electropolished pipes wholesaler in Salalah, electropolished tube manufacturer Salalah, EP pipe supplier Salalah, sanitary tube supplier Salalah, ASME BPE tubing Salalah, ASTM A270 tube Salalah, SS 316L electropolished pipe Salalah</v>
      </c>
      <c r="AI204" s="15" t="str">
        <f t="shared" si="19"/>
        <v>Electropolished Pipes Manufacturer &amp; Supplier in Salalah</v>
      </c>
      <c r="AJ204" s="15" t="str">
        <f t="shared" si="20"/>
        <v>EP-finished SS 304/316L pipes and tubes for food processing plants in Salalah. ASME BPE SF1-SF4, Ra from 0.25 um, EN 10204 3.1 certificate with every lot.</v>
      </c>
      <c r="AK204" s="15" t="str">
        <f t="shared" si="21"/>
        <v>Electropolished stainless steel pipes supplied by Sakshi Forge to food processing plants at Salalah Free Zone, Salalah</v>
      </c>
      <c r="AL204" s="15" t="str">
        <f t="shared" si="22"/>
        <v>Electropolished SS 316L tube stock for Salalah - Sakshi Forge</v>
      </c>
      <c r="AM204" s="15" t="str">
        <f t="shared" si="23"/>
        <v>Home &gt; Market Area &gt; Oman &gt; Dhofar &gt; Salalah</v>
      </c>
      <c r="AN204" s="15">
        <f t="shared" si="24"/>
        <v>1400</v>
      </c>
      <c r="AO204" s="15">
        <f t="shared" si="25"/>
        <v>10</v>
      </c>
      <c r="AP204" s="15">
        <f t="shared" si="26"/>
        <v>12</v>
      </c>
      <c r="AQ204" s="15">
        <f t="shared" si="27"/>
        <v>4</v>
      </c>
      <c r="AR204" s="31"/>
      <c r="AS204" s="31"/>
      <c r="AT204" s="35" t="s">
        <v>222</v>
      </c>
      <c r="AU204" s="35"/>
    </row>
    <row r="205" ht="15.75" customHeight="1">
      <c r="A205" s="15" t="s">
        <v>7691</v>
      </c>
      <c r="B205" s="15" t="s">
        <v>215</v>
      </c>
      <c r="C205" s="15" t="s">
        <v>7692</v>
      </c>
      <c r="D205" s="15" t="s">
        <v>7693</v>
      </c>
      <c r="E205" s="15" t="s">
        <v>7693</v>
      </c>
      <c r="F205" s="16" t="s">
        <v>87</v>
      </c>
      <c r="G205" s="17" t="s">
        <v>88</v>
      </c>
      <c r="H205" s="18" t="s">
        <v>7696</v>
      </c>
      <c r="I205" s="18" t="s">
        <v>7697</v>
      </c>
      <c r="J205" s="18" t="s">
        <v>7698</v>
      </c>
      <c r="K205" s="18" t="s">
        <v>1084</v>
      </c>
      <c r="L205" s="18" t="s">
        <v>7629</v>
      </c>
      <c r="M205" s="18" t="s">
        <v>503</v>
      </c>
      <c r="N205" s="18" t="s">
        <v>216</v>
      </c>
      <c r="O205" s="18" t="s">
        <v>98</v>
      </c>
      <c r="P205" s="15" t="str">
        <f t="shared" si="1"/>
        <v>CHEM</v>
      </c>
      <c r="Q205" s="15">
        <f t="shared" si="2"/>
        <v>2</v>
      </c>
      <c r="R205" s="15">
        <f t="shared" si="3"/>
        <v>6</v>
      </c>
      <c r="S205" s="15">
        <f t="shared" si="4"/>
        <v>2</v>
      </c>
      <c r="T205" s="15" t="str">
        <f t="shared" si="5"/>
        <v>A-4</v>
      </c>
      <c r="U205" s="15" t="str">
        <f t="shared" si="6"/>
        <v>T2-M6-H2-FA-4-CHEM</v>
      </c>
      <c r="V205" s="15">
        <f t="shared" si="7"/>
        <v>0</v>
      </c>
      <c r="W205" s="31"/>
      <c r="X205" s="15" t="str">
        <f t="shared" si="8"/>
        <v>sohar-oman</v>
      </c>
      <c r="Y205" s="32" t="str">
        <f t="shared" si="9"/>
        <v>https://steelmanufacturer.in/market-area/electropolished-pipes-manufacturer-in-sohar-oman/</v>
      </c>
      <c r="Z205" s="15" t="str">
        <f t="shared" si="10"/>
        <v>Electropolished Pipes Manufacturer in Sohar</v>
      </c>
      <c r="AA205" s="15" t="str">
        <f t="shared" si="11"/>
        <v>OK (43)</v>
      </c>
      <c r="AB205" s="15" t="str">
        <f t="shared" si="12"/>
        <v>EP tube and pipe for petrochemical plants around Sohar Industrial Port Area, Sohar. Made at our Mumbai works to ASTM A270 and ASME BPE SF1-SF4, with 3.1 MTC.</v>
      </c>
      <c r="AC205" s="15" t="str">
        <f t="shared" si="13"/>
        <v>OK (157)</v>
      </c>
      <c r="AD205" s="15" t="str">
        <f t="shared" si="14"/>
        <v>Electropolished Pipes Manufacturer in Sohar</v>
      </c>
      <c r="AE205" s="15" t="str">
        <f t="shared" si="15"/>
        <v>How We Manufacture Electropolished Tube for Sohar Plants</v>
      </c>
      <c r="AF205" s="15" t="str">
        <f t="shared" si="16"/>
        <v>Supplying Electropolished Pipes in Sohar: Availability, Sizes &amp; Dispatch</v>
      </c>
      <c r="AG205" s="15" t="str">
        <f t="shared" si="17"/>
        <v>Wholesale Electropolished Pipe Supply for Sohar Projects</v>
      </c>
      <c r="AH205" s="15" t="str">
        <f t="shared" si="18"/>
        <v>electropolished pipes manufacturer in Sohar, electropolished pipes supplier in Sohar, electropolished pipes wholesaler in Sohar, electropolished tube manufacturer Sohar, EP pipe supplier Sohar, sanitary tube supplier Sohar, ASME BPE tubing Sohar, ASTM A270 tube Sohar, SS 316L electropolished pipe Sohar</v>
      </c>
      <c r="AI205" s="15" t="str">
        <f t="shared" si="19"/>
        <v>Electropolished Pipes Manufacturer &amp; Supplier in Sohar</v>
      </c>
      <c r="AJ205" s="15" t="str">
        <f t="shared" si="20"/>
        <v>EP-finished SS 304/316L pipes and tubes for petrochemical plants in Sohar. ASME BPE SF1-SF4, Ra from 0.25 um, EN 10204 3.1 certificate with every lot.</v>
      </c>
      <c r="AK205" s="15" t="str">
        <f t="shared" si="21"/>
        <v>Electropolished stainless steel pipes supplied by Sakshi Forge to petrochemical plants at Sohar Industrial Port Area, Sohar</v>
      </c>
      <c r="AL205" s="15" t="str">
        <f t="shared" si="22"/>
        <v>Electropolished SS 316L tube stock for Sohar - Sakshi Forge</v>
      </c>
      <c r="AM205" s="15" t="str">
        <f t="shared" si="23"/>
        <v>Home &gt; Market Area &gt; Oman &gt; North Al Batinah &gt; Sohar</v>
      </c>
      <c r="AN205" s="15">
        <f t="shared" si="24"/>
        <v>1400</v>
      </c>
      <c r="AO205" s="15">
        <f t="shared" si="25"/>
        <v>10</v>
      </c>
      <c r="AP205" s="15">
        <f t="shared" si="26"/>
        <v>12</v>
      </c>
      <c r="AQ205" s="15">
        <f t="shared" si="27"/>
        <v>4</v>
      </c>
      <c r="AR205" s="31"/>
      <c r="AS205" s="31"/>
      <c r="AT205" s="35" t="s">
        <v>222</v>
      </c>
      <c r="AU205" s="35"/>
    </row>
    <row r="206" ht="15.75" customHeight="1">
      <c r="A206" s="15" t="s">
        <v>7727</v>
      </c>
      <c r="B206" s="15" t="s">
        <v>210</v>
      </c>
      <c r="C206" s="15" t="s">
        <v>7728</v>
      </c>
      <c r="D206" s="15" t="s">
        <v>7728</v>
      </c>
      <c r="E206" s="15" t="s">
        <v>7728</v>
      </c>
      <c r="F206" s="16" t="s">
        <v>87</v>
      </c>
      <c r="G206" s="17" t="s">
        <v>88</v>
      </c>
      <c r="H206" s="18" t="s">
        <v>7730</v>
      </c>
      <c r="I206" s="18" t="s">
        <v>7730</v>
      </c>
      <c r="J206" s="18" t="s">
        <v>7732</v>
      </c>
      <c r="K206" s="18" t="s">
        <v>94</v>
      </c>
      <c r="L206" s="18" t="s">
        <v>7733</v>
      </c>
      <c r="M206" s="18" t="s">
        <v>491</v>
      </c>
      <c r="N206" s="18" t="s">
        <v>214</v>
      </c>
      <c r="O206" s="18" t="s">
        <v>98</v>
      </c>
      <c r="P206" s="15" t="str">
        <f t="shared" si="1"/>
        <v>FOOD</v>
      </c>
      <c r="Q206" s="15">
        <f t="shared" si="2"/>
        <v>3</v>
      </c>
      <c r="R206" s="15">
        <f t="shared" si="3"/>
        <v>7</v>
      </c>
      <c r="S206" s="15">
        <f t="shared" si="4"/>
        <v>3</v>
      </c>
      <c r="T206" s="15" t="str">
        <f t="shared" si="5"/>
        <v>A-5</v>
      </c>
      <c r="U206" s="15" t="str">
        <f t="shared" si="6"/>
        <v>T3-M7-H3-FA-5-FOOD</v>
      </c>
      <c r="V206" s="15">
        <f t="shared" si="7"/>
        <v>0</v>
      </c>
      <c r="W206" s="31"/>
      <c r="X206" s="15" t="str">
        <f t="shared" si="8"/>
        <v>al-wakrah-qatar</v>
      </c>
      <c r="Y206" s="32" t="str">
        <f t="shared" si="9"/>
        <v>https://steelmanufacturer.in/market-area/electropolished-pipes-manufacturer-in-al-wakrah-qatar/</v>
      </c>
      <c r="Z206" s="15" t="str">
        <f t="shared" si="10"/>
        <v>Electropolished Pipes Manufacturer in Al Wakrah</v>
      </c>
      <c r="AA206" s="15" t="str">
        <f t="shared" si="11"/>
        <v>OK (47)</v>
      </c>
      <c r="AB206" s="15" t="str">
        <f t="shared" si="12"/>
        <v>Electropolished pipes in Al Wakrah: 304, 304L, 316 and 316L in SF1-SF4. 12-15 days sea from Nhava Sheva to Hamad Port. Mill certified.</v>
      </c>
      <c r="AC206" s="15" t="str">
        <f t="shared" si="13"/>
        <v>OK (134)</v>
      </c>
      <c r="AD206" s="15" t="str">
        <f t="shared" si="14"/>
        <v>Electropolished Pipes Manufacturer in Al Wakrah</v>
      </c>
      <c r="AE206" s="15" t="str">
        <f t="shared" si="15"/>
        <v>Electropolished Pipes Manufacturer in Al Wakrah - Our Process &amp; Capability</v>
      </c>
      <c r="AF206" s="15" t="str">
        <f t="shared" si="16"/>
        <v>Electropolished Pipes Supplier in Al Wakrah - What We Hold in Stock</v>
      </c>
      <c r="AG206" s="15" t="str">
        <f t="shared" si="17"/>
        <v>Bulk &amp; Wholesale Electropolished Pipe Rates for Al Wakrah Buyers</v>
      </c>
      <c r="AH206" s="15" t="str">
        <f t="shared" si="18"/>
        <v>electropolished pipes manufacturer in Al Wakrah, electropolished pipes supplier in Al Wakrah, electropolished pipes wholesaler in Al Wakrah, electropolished tube manufacturer Al Wakrah, EP pipe supplier Al Wakrah, sanitary tube supplier Al Wakrah, ASME BPE tubing Al Wakrah, ASTM A270 tube Al Wakrah, SS 316L electropolished pipe Al Wakrah</v>
      </c>
      <c r="AI206" s="15" t="str">
        <f t="shared" si="19"/>
        <v>Electropolished Pipes Manufacturer &amp; Supplier in Al Wakrah</v>
      </c>
      <c r="AJ206" s="15" t="str">
        <f t="shared" si="20"/>
        <v>EP-finished SS 304/316L pipes and tubes for food processing plants in Al Wakrah. ASME BPE SF1-SF4, Ra from 0.25 um, EN 10204 3.1 certificate with every lot.</v>
      </c>
      <c r="AK206" s="15" t="str">
        <f t="shared" si="21"/>
        <v>Electropolished stainless steel pipes supplied by Sakshi Forge to food processing plants at Al Wakrah Industrial Zone, Al Wakrah</v>
      </c>
      <c r="AL206" s="15" t="str">
        <f t="shared" si="22"/>
        <v>Electropolished SS 316L tube stock for Al Wakrah - Sakshi Forge</v>
      </c>
      <c r="AM206" s="15" t="str">
        <f t="shared" si="23"/>
        <v>Home &gt; Market Area &gt; Qatar &gt; Al Wakrah &gt; Al Wakrah</v>
      </c>
      <c r="AN206" s="15">
        <f t="shared" si="24"/>
        <v>1400</v>
      </c>
      <c r="AO206" s="15">
        <f t="shared" si="25"/>
        <v>10</v>
      </c>
      <c r="AP206" s="15">
        <f t="shared" si="26"/>
        <v>12</v>
      </c>
      <c r="AQ206" s="15">
        <f t="shared" si="27"/>
        <v>4</v>
      </c>
      <c r="AR206" s="31"/>
      <c r="AS206" s="31"/>
      <c r="AT206" s="35" t="s">
        <v>222</v>
      </c>
      <c r="AU206" s="35"/>
    </row>
    <row r="207" ht="15.75" customHeight="1">
      <c r="A207" s="15" t="s">
        <v>7760</v>
      </c>
      <c r="B207" s="15" t="s">
        <v>210</v>
      </c>
      <c r="C207" s="15" t="s">
        <v>7761</v>
      </c>
      <c r="D207" s="15" t="s">
        <v>7761</v>
      </c>
      <c r="E207" s="15" t="s">
        <v>7761</v>
      </c>
      <c r="F207" s="16" t="s">
        <v>87</v>
      </c>
      <c r="G207" s="17" t="s">
        <v>88</v>
      </c>
      <c r="H207" s="18" t="s">
        <v>7764</v>
      </c>
      <c r="I207" s="18" t="s">
        <v>7765</v>
      </c>
      <c r="J207" s="18" t="s">
        <v>7766</v>
      </c>
      <c r="K207" s="18" t="s">
        <v>229</v>
      </c>
      <c r="L207" s="18" t="s">
        <v>7733</v>
      </c>
      <c r="M207" s="18" t="s">
        <v>491</v>
      </c>
      <c r="N207" s="18" t="s">
        <v>214</v>
      </c>
      <c r="O207" s="18" t="s">
        <v>98</v>
      </c>
      <c r="P207" s="15" t="str">
        <f t="shared" si="1"/>
        <v>PHARMA</v>
      </c>
      <c r="Q207" s="15">
        <f t="shared" si="2"/>
        <v>4</v>
      </c>
      <c r="R207" s="15">
        <f t="shared" si="3"/>
        <v>1</v>
      </c>
      <c r="S207" s="15">
        <f t="shared" si="4"/>
        <v>4</v>
      </c>
      <c r="T207" s="15" t="str">
        <f t="shared" si="5"/>
        <v>A-6</v>
      </c>
      <c r="U207" s="15" t="str">
        <f t="shared" si="6"/>
        <v>T4-M1-H4-FA-6-PHARMA</v>
      </c>
      <c r="V207" s="15">
        <f t="shared" si="7"/>
        <v>0</v>
      </c>
      <c r="W207" s="31"/>
      <c r="X207" s="15" t="str">
        <f t="shared" si="8"/>
        <v>doha-qatar</v>
      </c>
      <c r="Y207" s="32" t="str">
        <f t="shared" si="9"/>
        <v>https://steelmanufacturer.in/market-area/electropolished-pipes-manufacturer-in-doha-qatar/</v>
      </c>
      <c r="Z207" s="15" t="str">
        <f t="shared" si="10"/>
        <v>Electropolished Pipes Manufacturer in Doha - SS 304/316L EP Tube</v>
      </c>
      <c r="AA207" s="15" t="str">
        <f t="shared" si="11"/>
        <v>OK (64)</v>
      </c>
      <c r="AB207" s="15" t="str">
        <f t="shared" si="12"/>
        <v>EP-finished SS 304/316L pipes &amp; tubes for pharma plants in Doha. ASTM A270, ASME BPE SF1-SF4, EN 10204 3.1 MTC. PMI tested.</v>
      </c>
      <c r="AC207" s="15" t="str">
        <f t="shared" si="13"/>
        <v>OK (123)</v>
      </c>
      <c r="AD207" s="15" t="str">
        <f t="shared" si="14"/>
        <v>Electropolished Pipes Manufacturer in Doha</v>
      </c>
      <c r="AE207" s="15" t="str">
        <f t="shared" si="15"/>
        <v>Manufacturing Electropolished SS Tube for Doha: The Standards We Build To</v>
      </c>
      <c r="AF207" s="15" t="str">
        <f t="shared" si="16"/>
        <v>Electropolished Pipe Supply Into Doha - Certification &amp; Transit</v>
      </c>
      <c r="AG207" s="15" t="str">
        <f t="shared" si="17"/>
        <v>Electropolished Pipes Wholesaler in Doha - Project Quantities &amp; Terms</v>
      </c>
      <c r="AH207" s="15" t="str">
        <f t="shared" si="18"/>
        <v>electropolished pipes manufacturer in Doha, electropolished pipes supplier in Doha, electropolished pipes wholesaler in Doha, electropolished tube manufacturer Doha, EP pipe supplier Doha, sanitary tube supplier Doha, ASME BPE tubing Doha, ASTM A270 tube Doha, SS 316L electropolished pipe Doha</v>
      </c>
      <c r="AI207" s="15" t="str">
        <f t="shared" si="19"/>
        <v>Electropolished Pipes Manufacturer &amp; Supplier in Doha</v>
      </c>
      <c r="AJ207" s="15" t="str">
        <f t="shared" si="20"/>
        <v>EP-finished SS 304/316L pipes and tubes for pharma plants in Doha. ASME BPE SF1-SF4, Ra from 0.25 um, EN 10204 3.1 certificate with every lot.</v>
      </c>
      <c r="AK207" s="15" t="str">
        <f t="shared" si="21"/>
        <v>Electropolished stainless steel pipes supplied by Sakshi Forge to pharma plants at Doha Industrial Area, Doha</v>
      </c>
      <c r="AL207" s="15" t="str">
        <f t="shared" si="22"/>
        <v>Electropolished SS 316L tube stock for Doha - Sakshi Forge</v>
      </c>
      <c r="AM207" s="15" t="str">
        <f t="shared" si="23"/>
        <v>Home &gt; Market Area &gt; Qatar &gt; Doha &gt; Doha</v>
      </c>
      <c r="AN207" s="15">
        <f t="shared" si="24"/>
        <v>1400</v>
      </c>
      <c r="AO207" s="15">
        <f t="shared" si="25"/>
        <v>10</v>
      </c>
      <c r="AP207" s="15">
        <f t="shared" si="26"/>
        <v>12</v>
      </c>
      <c r="AQ207" s="15">
        <f t="shared" si="27"/>
        <v>4</v>
      </c>
      <c r="AR207" s="31"/>
      <c r="AS207" s="31"/>
      <c r="AT207" s="35" t="s">
        <v>222</v>
      </c>
      <c r="AU207" s="35"/>
    </row>
    <row r="208" ht="15.75" customHeight="1">
      <c r="A208" s="15" t="s">
        <v>7794</v>
      </c>
      <c r="B208" s="15" t="s">
        <v>210</v>
      </c>
      <c r="C208" s="15" t="s">
        <v>7728</v>
      </c>
      <c r="D208" s="15" t="s">
        <v>7796</v>
      </c>
      <c r="E208" s="15" t="s">
        <v>7796</v>
      </c>
      <c r="F208" s="16" t="s">
        <v>87</v>
      </c>
      <c r="G208" s="17" t="s">
        <v>88</v>
      </c>
      <c r="H208" s="18" t="s">
        <v>7798</v>
      </c>
      <c r="I208" s="18" t="s">
        <v>7798</v>
      </c>
      <c r="J208" s="18" t="s">
        <v>7799</v>
      </c>
      <c r="K208" s="18" t="s">
        <v>1084</v>
      </c>
      <c r="L208" s="18" t="s">
        <v>7801</v>
      </c>
      <c r="M208" s="18" t="s">
        <v>491</v>
      </c>
      <c r="N208" s="18" t="s">
        <v>214</v>
      </c>
      <c r="O208" s="18" t="s">
        <v>98</v>
      </c>
      <c r="P208" s="15" t="str">
        <f t="shared" si="1"/>
        <v>CHEM</v>
      </c>
      <c r="Q208" s="15">
        <f t="shared" si="2"/>
        <v>5</v>
      </c>
      <c r="R208" s="15">
        <f t="shared" si="3"/>
        <v>2</v>
      </c>
      <c r="S208" s="15">
        <f t="shared" si="4"/>
        <v>5</v>
      </c>
      <c r="T208" s="15" t="str">
        <f t="shared" si="5"/>
        <v>A-1</v>
      </c>
      <c r="U208" s="15" t="str">
        <f t="shared" si="6"/>
        <v>T5-M2-H5-FA-1-CHEM</v>
      </c>
      <c r="V208" s="15">
        <f t="shared" si="7"/>
        <v>0</v>
      </c>
      <c r="W208" s="31"/>
      <c r="X208" s="15" t="str">
        <f t="shared" si="8"/>
        <v>mesaieed-qatar</v>
      </c>
      <c r="Y208" s="32" t="str">
        <f t="shared" si="9"/>
        <v>https://steelmanufacturer.in/market-area/electropolished-pipes-manufacturer-in-mesaieed-qatar/</v>
      </c>
      <c r="Z208" s="15" t="str">
        <f t="shared" si="10"/>
        <v>Electropolished Pipes Manufacturer in Mesaieed</v>
      </c>
      <c r="AA208" s="15" t="str">
        <f t="shared" si="11"/>
        <v>OK (46)</v>
      </c>
      <c r="AB208" s="15" t="str">
        <f t="shared" si="12"/>
        <v>Electropolished tube supply to Mesaieed Industrial City (MIC), Mesaieed. Ra from 0.25 um, SF4 finish, mill test certificate with every lot.</v>
      </c>
      <c r="AC208" s="15" t="str">
        <f t="shared" si="13"/>
        <v>OK (139)</v>
      </c>
      <c r="AD208" s="15" t="str">
        <f t="shared" si="14"/>
        <v>Electropolished Pipes Manufacturer in Mesaieed</v>
      </c>
      <c r="AE208" s="15" t="str">
        <f t="shared" si="15"/>
        <v>Electropolished Tube Manufacturing Capability Serving Mesaieed</v>
      </c>
      <c r="AF208" s="15" t="str">
        <f t="shared" si="16"/>
        <v>Electropolished Pipes Supplier in Mesaieed - From Order to Delivery</v>
      </c>
      <c r="AG208" s="15" t="str">
        <f t="shared" si="17"/>
        <v>Stockist &amp; Wholesale Supply of Electropolished Pipes in Mesaieed</v>
      </c>
      <c r="AH208" s="15" t="str">
        <f t="shared" si="18"/>
        <v>electropolished pipes manufacturer in Mesaieed, electropolished pipes supplier in Mesaieed, electropolished pipes wholesaler in Mesaieed, electropolished tube manufacturer Mesaieed, EP pipe supplier Mesaieed, sanitary tube supplier Mesaieed, ASME BPE tubing Mesaieed, ASTM A270 tube Mesaieed, SS 316L electropolished pipe Mesaieed</v>
      </c>
      <c r="AI208" s="15" t="str">
        <f t="shared" si="19"/>
        <v>Electropolished Pipes Manufacturer &amp; Supplier in Mesaieed</v>
      </c>
      <c r="AJ208" s="15" t="str">
        <f t="shared" si="20"/>
        <v>EP-finished SS 304/316L pipes and tubes for petrochemical plants in Mesaieed. ASME BPE SF1-SF4, Ra from 0.25 um, EN 10204 3.1 certificate with every lot.</v>
      </c>
      <c r="AK208" s="15" t="str">
        <f t="shared" si="21"/>
        <v>Electropolished stainless steel pipes supplied by Sakshi Forge to petrochemical plants at Mesaieed Industrial City (MIC), Mesaieed</v>
      </c>
      <c r="AL208" s="15" t="str">
        <f t="shared" si="22"/>
        <v>Electropolished SS 316L tube stock for Mesaieed - Sakshi Forge</v>
      </c>
      <c r="AM208" s="15" t="str">
        <f t="shared" si="23"/>
        <v>Home &gt; Market Area &gt; Qatar &gt; Al Wakrah &gt; Mesaieed</v>
      </c>
      <c r="AN208" s="15">
        <f t="shared" si="24"/>
        <v>1400</v>
      </c>
      <c r="AO208" s="15">
        <f t="shared" si="25"/>
        <v>10</v>
      </c>
      <c r="AP208" s="15">
        <f t="shared" si="26"/>
        <v>12</v>
      </c>
      <c r="AQ208" s="15">
        <f t="shared" si="27"/>
        <v>4</v>
      </c>
      <c r="AR208" s="31"/>
      <c r="AS208" s="31"/>
      <c r="AT208" s="35" t="s">
        <v>222</v>
      </c>
      <c r="AU208" s="35"/>
    </row>
    <row r="209" ht="15.75" customHeight="1">
      <c r="A209" s="15" t="s">
        <v>7823</v>
      </c>
      <c r="B209" s="15" t="s">
        <v>210</v>
      </c>
      <c r="C209" s="15" t="s">
        <v>7824</v>
      </c>
      <c r="D209" s="15" t="s">
        <v>7825</v>
      </c>
      <c r="E209" s="15" t="s">
        <v>7825</v>
      </c>
      <c r="F209" s="16" t="s">
        <v>87</v>
      </c>
      <c r="G209" s="17" t="s">
        <v>88</v>
      </c>
      <c r="H209" s="18" t="s">
        <v>7826</v>
      </c>
      <c r="I209" s="18" t="s">
        <v>7826</v>
      </c>
      <c r="J209" s="18" t="s">
        <v>7828</v>
      </c>
      <c r="K209" s="18" t="s">
        <v>1084</v>
      </c>
      <c r="L209" s="18" t="s">
        <v>7829</v>
      </c>
      <c r="M209" s="18" t="s">
        <v>491</v>
      </c>
      <c r="N209" s="18" t="s">
        <v>214</v>
      </c>
      <c r="O209" s="18" t="s">
        <v>98</v>
      </c>
      <c r="P209" s="15" t="str">
        <f t="shared" si="1"/>
        <v>CHEM</v>
      </c>
      <c r="Q209" s="15">
        <f t="shared" si="2"/>
        <v>6</v>
      </c>
      <c r="R209" s="15">
        <f t="shared" si="3"/>
        <v>3</v>
      </c>
      <c r="S209" s="15">
        <f t="shared" si="4"/>
        <v>1</v>
      </c>
      <c r="T209" s="15" t="str">
        <f t="shared" si="5"/>
        <v>A-2</v>
      </c>
      <c r="U209" s="15" t="str">
        <f t="shared" si="6"/>
        <v>T6-M3-H1-FA-2-CHEM</v>
      </c>
      <c r="V209" s="15">
        <f t="shared" si="7"/>
        <v>0</v>
      </c>
      <c r="W209" s="31"/>
      <c r="X209" s="15" t="str">
        <f t="shared" si="8"/>
        <v>ras-laffan-qatar</v>
      </c>
      <c r="Y209" s="32" t="str">
        <f t="shared" si="9"/>
        <v>https://steelmanufacturer.in/market-area/electropolished-pipes-manufacturer-in-ras-laffan-qatar/</v>
      </c>
      <c r="Z209" s="15" t="str">
        <f t="shared" si="10"/>
        <v>Electropolished Pipes Manufacturer in Ras Laffan</v>
      </c>
      <c r="AA209" s="15" t="str">
        <f t="shared" si="11"/>
        <v>OK (48)</v>
      </c>
      <c r="AB209" s="15" t="str">
        <f t="shared" si="12"/>
        <v>EP stainless tube for petrochemical lines in Ras Laffan. 12-15 days sea from Nhava Sheva to Hamad Port. ASTM A270 S2, PMI tested, EN 10204 3.1.</v>
      </c>
      <c r="AC209" s="15" t="str">
        <f t="shared" si="13"/>
        <v>OK (143)</v>
      </c>
      <c r="AD209" s="15" t="str">
        <f t="shared" si="14"/>
        <v>Electropolished Pipes Manufacturer in Ras Laffan</v>
      </c>
      <c r="AE209" s="15" t="str">
        <f t="shared" si="15"/>
        <v>Electropolished Pipe &amp; Tube Manufacturing for Ras Laffan - Grades, Finishes &amp; Certification</v>
      </c>
      <c r="AF209" s="15" t="str">
        <f t="shared" si="16"/>
        <v>Electropolished Pipes Supplier in Ras Laffan - Stock Sizes, Lead Time &amp; Delivery</v>
      </c>
      <c r="AG209" s="15" t="str">
        <f t="shared" si="17"/>
        <v>Electropolished Pipes Wholesaler &amp; Stockist in Ras Laffan - Bulk &amp; Project Pricing</v>
      </c>
      <c r="AH209" s="15" t="str">
        <f t="shared" si="18"/>
        <v>electropolished pipes manufacturer in Ras Laffan, electropolished pipes supplier in Ras Laffan, electropolished pipes wholesaler in Ras Laffan, electropolished tube manufacturer Ras Laffan, EP pipe supplier Ras Laffan, sanitary tube supplier Ras Laffan, ASME BPE tubing Ras Laffan, ASTM A270 tube Ras Laffan, SS 316L electropolished pipe Ras Laffan</v>
      </c>
      <c r="AI209" s="15" t="str">
        <f t="shared" si="19"/>
        <v>Electropolished Pipes Manufacturer &amp; Supplier in Ras Laffan</v>
      </c>
      <c r="AJ209" s="15" t="str">
        <f t="shared" si="20"/>
        <v>EP-finished SS 304/316L pipes and tubes for petrochemical plants in Ras Laffan. ASME BPE SF1-SF4, Ra from 0.25 um, EN 10204 3.1 certificate with every lot.</v>
      </c>
      <c r="AK209" s="15" t="str">
        <f t="shared" si="21"/>
        <v>Electropolished stainless steel pipes supplied by Sakshi Forge to petrochemical plants at Ras Laffan Industrial City, Ras Laffan</v>
      </c>
      <c r="AL209" s="15" t="str">
        <f t="shared" si="22"/>
        <v>Electropolished SS 316L tube stock for Ras Laffan - Sakshi Forge</v>
      </c>
      <c r="AM209" s="15" t="str">
        <f t="shared" si="23"/>
        <v>Home &gt; Market Area &gt; Qatar &gt; Al Khor &gt; Ras Laffan</v>
      </c>
      <c r="AN209" s="15">
        <f t="shared" si="24"/>
        <v>1400</v>
      </c>
      <c r="AO209" s="15">
        <f t="shared" si="25"/>
        <v>10</v>
      </c>
      <c r="AP209" s="15">
        <f t="shared" si="26"/>
        <v>12</v>
      </c>
      <c r="AQ209" s="15">
        <f t="shared" si="27"/>
        <v>4</v>
      </c>
      <c r="AR209" s="31"/>
      <c r="AS209" s="31"/>
      <c r="AT209" s="35" t="s">
        <v>222</v>
      </c>
      <c r="AU209" s="35"/>
    </row>
    <row r="210" ht="15.75" customHeight="1">
      <c r="A210" s="15" t="s">
        <v>7847</v>
      </c>
      <c r="B210" s="15" t="s">
        <v>186</v>
      </c>
      <c r="C210" s="15" t="s">
        <v>7848</v>
      </c>
      <c r="D210" s="15" t="s">
        <v>7849</v>
      </c>
      <c r="E210" s="15" t="s">
        <v>7849</v>
      </c>
      <c r="F210" s="16" t="s">
        <v>87</v>
      </c>
      <c r="G210" s="17" t="s">
        <v>88</v>
      </c>
      <c r="H210" s="18" t="s">
        <v>7850</v>
      </c>
      <c r="I210" s="18" t="s">
        <v>7851</v>
      </c>
      <c r="J210" s="18" t="s">
        <v>7853</v>
      </c>
      <c r="K210" s="18" t="s">
        <v>94</v>
      </c>
      <c r="L210" s="18" t="s">
        <v>7854</v>
      </c>
      <c r="M210" s="18" t="s">
        <v>484</v>
      </c>
      <c r="N210" s="18" t="s">
        <v>208</v>
      </c>
      <c r="O210" s="18" t="s">
        <v>98</v>
      </c>
      <c r="P210" s="15" t="str">
        <f t="shared" si="1"/>
        <v>FOOD</v>
      </c>
      <c r="Q210" s="15">
        <f t="shared" si="2"/>
        <v>7</v>
      </c>
      <c r="R210" s="15">
        <f t="shared" si="3"/>
        <v>4</v>
      </c>
      <c r="S210" s="15">
        <f t="shared" si="4"/>
        <v>2</v>
      </c>
      <c r="T210" s="15" t="str">
        <f t="shared" si="5"/>
        <v>A-3</v>
      </c>
      <c r="U210" s="15" t="str">
        <f t="shared" si="6"/>
        <v>T7-M4-H2-FA-3-FOOD</v>
      </c>
      <c r="V210" s="15">
        <f t="shared" si="7"/>
        <v>0</v>
      </c>
      <c r="W210" s="31"/>
      <c r="X210" s="15" t="str">
        <f t="shared" si="8"/>
        <v>dammam-saudi-arabia</v>
      </c>
      <c r="Y210" s="32" t="str">
        <f t="shared" si="9"/>
        <v>https://steelmanufacturer.in/market-area/electropolished-pipes-manufacturer-in-dammam-saudi-arabia/</v>
      </c>
      <c r="Z210" s="15" t="str">
        <f t="shared" si="10"/>
        <v>Electropolished Pipes Manufacturer in Dammam | ASME BPE SF1-SF4</v>
      </c>
      <c r="AA210" s="15" t="str">
        <f t="shared" si="11"/>
        <v>OK (63)</v>
      </c>
      <c r="AB210" s="15" t="str">
        <f t="shared" si="12"/>
        <v>Sanitary electropolished pipes in Dammam for food processing plants. ASME BPE SF1-SF4, orbital-weld ready, 3.1 MTC. Mumbai-made.</v>
      </c>
      <c r="AC210" s="15" t="str">
        <f t="shared" si="13"/>
        <v>OK (128)</v>
      </c>
      <c r="AD210" s="15" t="str">
        <f t="shared" si="14"/>
        <v>Electropolished Pipes Manufacturer in Dammam</v>
      </c>
      <c r="AE210" s="15" t="str">
        <f t="shared" si="15"/>
        <v>How We Manufacture Electropolished Tube for Dammam Plants</v>
      </c>
      <c r="AF210" s="15" t="str">
        <f t="shared" si="16"/>
        <v>Supplying Electropolished Pipes in Dammam: Availability, Sizes &amp; Dispatch</v>
      </c>
      <c r="AG210" s="15" t="str">
        <f t="shared" si="17"/>
        <v>Wholesale Electropolished Pipe Supply for Dammam Projects</v>
      </c>
      <c r="AH210" s="15" t="str">
        <f t="shared" si="18"/>
        <v>electropolished pipes manufacturer in Dammam, electropolished pipes supplier in Dammam, electropolished pipes wholesaler in Dammam, electropolished tube manufacturer Dammam, EP pipe supplier Dammam, sanitary tube supplier Dammam, ASME BPE tubing Dammam, ASTM A270 tube Dammam, SS 316L electropolished pipe Dammam</v>
      </c>
      <c r="AI210" s="15" t="str">
        <f t="shared" si="19"/>
        <v>Electropolished Pipes Manufacturer &amp; Supplier in Dammam</v>
      </c>
      <c r="AJ210" s="15" t="str">
        <f t="shared" si="20"/>
        <v>EP-finished SS 304/316L pipes and tubes for food processing plants in Dammam. ASME BPE SF1-SF4, Ra from 0.25 um, EN 10204 3.1 certificate with every lot.</v>
      </c>
      <c r="AK210" s="15" t="str">
        <f t="shared" si="21"/>
        <v>Electropolished stainless steel pipes supplied by Sakshi Forge to food processing plants at Dammam 1st, Dammam</v>
      </c>
      <c r="AL210" s="15" t="str">
        <f t="shared" si="22"/>
        <v>Electropolished SS 316L tube stock for Dammam - Sakshi Forge</v>
      </c>
      <c r="AM210" s="15" t="str">
        <f t="shared" si="23"/>
        <v>Home &gt; Market Area &gt; Saudi Arabia &gt; Eastern Province &gt; Dammam</v>
      </c>
      <c r="AN210" s="15">
        <f t="shared" si="24"/>
        <v>1400</v>
      </c>
      <c r="AO210" s="15">
        <f t="shared" si="25"/>
        <v>10</v>
      </c>
      <c r="AP210" s="15">
        <f t="shared" si="26"/>
        <v>12</v>
      </c>
      <c r="AQ210" s="15">
        <f t="shared" si="27"/>
        <v>4</v>
      </c>
      <c r="AR210" s="31"/>
      <c r="AS210" s="31"/>
      <c r="AT210" s="35" t="s">
        <v>222</v>
      </c>
      <c r="AU210" s="35"/>
    </row>
    <row r="211" ht="15.75" customHeight="1">
      <c r="A211" s="15" t="s">
        <v>7870</v>
      </c>
      <c r="B211" s="15" t="s">
        <v>186</v>
      </c>
      <c r="C211" s="15" t="s">
        <v>7871</v>
      </c>
      <c r="D211" s="15" t="s">
        <v>7872</v>
      </c>
      <c r="E211" s="15" t="s">
        <v>7872</v>
      </c>
      <c r="F211" s="16" t="s">
        <v>87</v>
      </c>
      <c r="G211" s="17" t="s">
        <v>88</v>
      </c>
      <c r="H211" s="18" t="s">
        <v>7873</v>
      </c>
      <c r="I211" s="18" t="s">
        <v>7873</v>
      </c>
      <c r="J211" s="18" t="s">
        <v>7874</v>
      </c>
      <c r="K211" s="18" t="s">
        <v>229</v>
      </c>
      <c r="L211" s="18" t="s">
        <v>7875</v>
      </c>
      <c r="M211" s="18" t="s">
        <v>484</v>
      </c>
      <c r="N211" s="18" t="s">
        <v>208</v>
      </c>
      <c r="O211" s="18" t="s">
        <v>98</v>
      </c>
      <c r="P211" s="15" t="str">
        <f t="shared" si="1"/>
        <v>PHARMA</v>
      </c>
      <c r="Q211" s="15">
        <f t="shared" si="2"/>
        <v>8</v>
      </c>
      <c r="R211" s="15">
        <f t="shared" si="3"/>
        <v>5</v>
      </c>
      <c r="S211" s="15">
        <f t="shared" si="4"/>
        <v>3</v>
      </c>
      <c r="T211" s="15" t="str">
        <f t="shared" si="5"/>
        <v>A-4</v>
      </c>
      <c r="U211" s="15" t="str">
        <f t="shared" si="6"/>
        <v>T8-M5-H3-FA-4-PHARMA</v>
      </c>
      <c r="V211" s="15">
        <f t="shared" si="7"/>
        <v>0</v>
      </c>
      <c r="W211" s="31"/>
      <c r="X211" s="15" t="str">
        <f t="shared" si="8"/>
        <v>jeddah-saudi-arabia</v>
      </c>
      <c r="Y211" s="32" t="str">
        <f t="shared" si="9"/>
        <v>https://steelmanufacturer.in/market-area/electropolished-pipes-manufacturer-in-jeddah-saudi-arabia/</v>
      </c>
      <c r="Z211" s="15" t="str">
        <f t="shared" si="10"/>
        <v>Electropolished Pipes Manufacturer in Jeddah - EP Tube Stockist</v>
      </c>
      <c r="AA211" s="15" t="str">
        <f t="shared" si="11"/>
        <v>OK (63)</v>
      </c>
      <c r="AB211" s="15" t="str">
        <f t="shared" si="12"/>
        <v>Manufacturer of electropolished SS 316L tube serving Jeddah. 12-16 days sea from Nhava Sheva to Dammam. Ra 0.25-0.5 um, EN 10204 3.1 MTC.</v>
      </c>
      <c r="AC211" s="15" t="str">
        <f t="shared" si="13"/>
        <v>OK (137)</v>
      </c>
      <c r="AD211" s="15" t="str">
        <f t="shared" si="14"/>
        <v>Electropolished Pipes Manufacturer in Jeddah</v>
      </c>
      <c r="AE211" s="15" t="str">
        <f t="shared" si="15"/>
        <v>Electropolished Pipes Manufacturer in Jeddah - Our Process &amp; Capability</v>
      </c>
      <c r="AF211" s="15" t="str">
        <f t="shared" si="16"/>
        <v>Electropolished Pipes Supplier in Jeddah - What We Hold in Stock</v>
      </c>
      <c r="AG211" s="15" t="str">
        <f t="shared" si="17"/>
        <v>Bulk &amp; Wholesale Electropolished Pipe Rates for Jeddah Buyers</v>
      </c>
      <c r="AH211" s="15" t="str">
        <f t="shared" si="18"/>
        <v>electropolished pipes manufacturer in Jeddah, electropolished pipes supplier in Jeddah, electropolished pipes wholesaler in Jeddah, electropolished tube manufacturer Jeddah, EP pipe supplier Jeddah, sanitary tube supplier Jeddah, ASME BPE tubing Jeddah, ASTM A270 tube Jeddah, SS 316L electropolished pipe Jeddah</v>
      </c>
      <c r="AI211" s="15" t="str">
        <f t="shared" si="19"/>
        <v>Electropolished Pipes Manufacturer &amp; Supplier in Jeddah</v>
      </c>
      <c r="AJ211" s="15" t="str">
        <f t="shared" si="20"/>
        <v>EP-finished SS 304/316L pipes and tubes for pharma plants in Jeddah. ASME BPE SF1-SF4, Ra from 0.25 um, EN 10204 3.1 certificate with every lot.</v>
      </c>
      <c r="AK211" s="15" t="str">
        <f t="shared" si="21"/>
        <v>Electropolished stainless steel pipes supplied by Sakshi Forge to pharma plants at Jeddah Industrial City 1-3 (MODON), Jeddah</v>
      </c>
      <c r="AL211" s="15" t="str">
        <f t="shared" si="22"/>
        <v>Electropolished SS 316L tube stock for Jeddah - Sakshi Forge</v>
      </c>
      <c r="AM211" s="15" t="str">
        <f t="shared" si="23"/>
        <v>Home &gt; Market Area &gt; Saudi Arabia &gt; Makkah Province &gt; Jeddah</v>
      </c>
      <c r="AN211" s="15">
        <f t="shared" si="24"/>
        <v>1400</v>
      </c>
      <c r="AO211" s="15">
        <f t="shared" si="25"/>
        <v>10</v>
      </c>
      <c r="AP211" s="15">
        <f t="shared" si="26"/>
        <v>12</v>
      </c>
      <c r="AQ211" s="15">
        <f t="shared" si="27"/>
        <v>4</v>
      </c>
      <c r="AR211" s="31"/>
      <c r="AS211" s="31"/>
      <c r="AT211" s="35" t="s">
        <v>222</v>
      </c>
      <c r="AU211" s="35"/>
    </row>
    <row r="212" ht="15.75" customHeight="1">
      <c r="A212" s="15" t="s">
        <v>7892</v>
      </c>
      <c r="B212" s="15" t="s">
        <v>186</v>
      </c>
      <c r="C212" s="15" t="s">
        <v>7848</v>
      </c>
      <c r="D212" s="15" t="s">
        <v>7893</v>
      </c>
      <c r="E212" s="15" t="s">
        <v>7893</v>
      </c>
      <c r="F212" s="16" t="s">
        <v>87</v>
      </c>
      <c r="G212" s="17" t="s">
        <v>88</v>
      </c>
      <c r="H212" s="18" t="s">
        <v>7895</v>
      </c>
      <c r="I212" s="18" t="s">
        <v>7895</v>
      </c>
      <c r="J212" s="18" t="s">
        <v>7897</v>
      </c>
      <c r="K212" s="18" t="s">
        <v>1084</v>
      </c>
      <c r="L212" s="18" t="s">
        <v>7898</v>
      </c>
      <c r="M212" s="18" t="s">
        <v>484</v>
      </c>
      <c r="N212" s="18" t="s">
        <v>208</v>
      </c>
      <c r="O212" s="18" t="s">
        <v>98</v>
      </c>
      <c r="P212" s="15" t="str">
        <f t="shared" si="1"/>
        <v>CHEM</v>
      </c>
      <c r="Q212" s="15">
        <f t="shared" si="2"/>
        <v>1</v>
      </c>
      <c r="R212" s="15">
        <f t="shared" si="3"/>
        <v>6</v>
      </c>
      <c r="S212" s="15">
        <f t="shared" si="4"/>
        <v>4</v>
      </c>
      <c r="T212" s="15" t="str">
        <f t="shared" si="5"/>
        <v>A-5</v>
      </c>
      <c r="U212" s="15" t="str">
        <f t="shared" si="6"/>
        <v>T1-M6-H4-FA-5-CHEM</v>
      </c>
      <c r="V212" s="15">
        <f t="shared" si="7"/>
        <v>0</v>
      </c>
      <c r="W212" s="31"/>
      <c r="X212" s="15" t="str">
        <f t="shared" si="8"/>
        <v>jubail-saudi-arabia</v>
      </c>
      <c r="Y212" s="32" t="str">
        <f t="shared" si="9"/>
        <v>https://steelmanufacturer.in/market-area/electropolished-pipes-manufacturer-in-jubail-saudi-arabia/</v>
      </c>
      <c r="Z212" s="15" t="str">
        <f t="shared" si="10"/>
        <v>Electropolished Pipes Manufacturer in Jubail | Sakshi Forge</v>
      </c>
      <c r="AA212" s="15" t="str">
        <f t="shared" si="11"/>
        <v>OK (59)</v>
      </c>
      <c r="AB212" s="15" t="str">
        <f t="shared" si="12"/>
        <v>EP tube and pipe for petrochemical plants around Jubail Industrial City I and II (Royal Commission), Jubail. ASTM A270, ASME BPE SF1-SF4, EN 10204 3.1 MTC.</v>
      </c>
      <c r="AC212" s="15" t="str">
        <f t="shared" si="13"/>
        <v>OK (155)</v>
      </c>
      <c r="AD212" s="15" t="str">
        <f t="shared" si="14"/>
        <v>Electropolished Pipes Manufacturer in Jubail</v>
      </c>
      <c r="AE212" s="15" t="str">
        <f t="shared" si="15"/>
        <v>Manufacturing Electropolished SS Tube for Jubail: The Standards We Build To</v>
      </c>
      <c r="AF212" s="15" t="str">
        <f t="shared" si="16"/>
        <v>Electropolished Pipe Supply Into Jubail - Certification &amp; Transit</v>
      </c>
      <c r="AG212" s="15" t="str">
        <f t="shared" si="17"/>
        <v>Electropolished Pipes Wholesaler in Jubail - Project Quantities &amp; Terms</v>
      </c>
      <c r="AH212" s="15" t="str">
        <f t="shared" si="18"/>
        <v>electropolished pipes manufacturer in Jubail, electropolished pipes supplier in Jubail, electropolished pipes wholesaler in Jubail, electropolished tube manufacturer Jubail, EP pipe supplier Jubail, sanitary tube supplier Jubail, ASME BPE tubing Jubail, ASTM A270 tube Jubail, SS 316L electropolished pipe Jubail</v>
      </c>
      <c r="AI212" s="15" t="str">
        <f t="shared" si="19"/>
        <v>Electropolished Pipes Manufacturer &amp; Supplier in Jubail</v>
      </c>
      <c r="AJ212" s="15" t="str">
        <f t="shared" si="20"/>
        <v>EP-finished SS 304/316L pipes and tubes for petrochemical plants in Jubail. ASME BPE SF1-SF4, Ra from 0.25 um, EN 10204 3.1 certificate with every lot.</v>
      </c>
      <c r="AK212" s="15" t="str">
        <f t="shared" si="21"/>
        <v>Electropolished stainless steel pipes supplied by Sakshi Forge to petrochemical plants at Jubail Industrial City I and II (Royal Commission), Jubail</v>
      </c>
      <c r="AL212" s="15" t="str">
        <f t="shared" si="22"/>
        <v>Electropolished SS 316L tube stock for Jubail - Sakshi Forge</v>
      </c>
      <c r="AM212" s="15" t="str">
        <f t="shared" si="23"/>
        <v>Home &gt; Market Area &gt; Saudi Arabia &gt; Eastern Province &gt; Jubail</v>
      </c>
      <c r="AN212" s="15">
        <f t="shared" si="24"/>
        <v>1400</v>
      </c>
      <c r="AO212" s="15">
        <f t="shared" si="25"/>
        <v>10</v>
      </c>
      <c r="AP212" s="15">
        <f t="shared" si="26"/>
        <v>12</v>
      </c>
      <c r="AQ212" s="15">
        <f t="shared" si="27"/>
        <v>4</v>
      </c>
      <c r="AR212" s="31"/>
      <c r="AS212" s="31"/>
      <c r="AT212" s="35" t="s">
        <v>222</v>
      </c>
      <c r="AU212" s="35"/>
    </row>
    <row r="213" ht="15.75" customHeight="1">
      <c r="A213" s="15" t="s">
        <v>7916</v>
      </c>
      <c r="B213" s="15" t="s">
        <v>186</v>
      </c>
      <c r="C213" s="15" t="s">
        <v>7871</v>
      </c>
      <c r="D213" s="15" t="s">
        <v>7918</v>
      </c>
      <c r="E213" s="15" t="s">
        <v>7918</v>
      </c>
      <c r="F213" s="16" t="s">
        <v>87</v>
      </c>
      <c r="G213" s="17" t="s">
        <v>88</v>
      </c>
      <c r="H213" s="18" t="s">
        <v>7919</v>
      </c>
      <c r="I213" s="18" t="s">
        <v>7919</v>
      </c>
      <c r="J213" s="18" t="s">
        <v>7921</v>
      </c>
      <c r="K213" s="18" t="s">
        <v>229</v>
      </c>
      <c r="L213" s="18" t="s">
        <v>7922</v>
      </c>
      <c r="M213" s="18" t="s">
        <v>484</v>
      </c>
      <c r="N213" s="18" t="s">
        <v>208</v>
      </c>
      <c r="O213" s="18" t="s">
        <v>98</v>
      </c>
      <c r="P213" s="15" t="str">
        <f t="shared" si="1"/>
        <v>PHARMA</v>
      </c>
      <c r="Q213" s="15">
        <f t="shared" si="2"/>
        <v>2</v>
      </c>
      <c r="R213" s="15">
        <f t="shared" si="3"/>
        <v>7</v>
      </c>
      <c r="S213" s="15">
        <f t="shared" si="4"/>
        <v>5</v>
      </c>
      <c r="T213" s="15" t="str">
        <f t="shared" si="5"/>
        <v>A-6</v>
      </c>
      <c r="U213" s="15" t="str">
        <f t="shared" si="6"/>
        <v>T2-M7-H5-FA-6-PHARMA</v>
      </c>
      <c r="V213" s="15">
        <f t="shared" si="7"/>
        <v>0</v>
      </c>
      <c r="W213" s="31"/>
      <c r="X213" s="15" t="str">
        <f t="shared" si="8"/>
        <v>kaec-rabigh-saudi-arabia</v>
      </c>
      <c r="Y213" s="32" t="str">
        <f t="shared" si="9"/>
        <v>https://steelmanufacturer.in/market-area/electropolished-pipes-manufacturer-in-kaec-rabigh-saudi-arabia/</v>
      </c>
      <c r="Z213" s="15" t="str">
        <f t="shared" si="10"/>
        <v>Electropolished Pipes Manufacturer in KAEC-Rabigh</v>
      </c>
      <c r="AA213" s="15" t="str">
        <f t="shared" si="11"/>
        <v>OK (49)</v>
      </c>
      <c r="AB213" s="15" t="str">
        <f t="shared" si="12"/>
        <v>Electropolished pipes in KAEC-Rabigh: 304, 304L, 316 and 316L in SF1-SF4. 12-16 days sea from Nhava Sheva to Dammam. Mill certified.</v>
      </c>
      <c r="AC213" s="15" t="str">
        <f t="shared" si="13"/>
        <v>OK (132)</v>
      </c>
      <c r="AD213" s="15" t="str">
        <f t="shared" si="14"/>
        <v>Electropolished Pipes Manufacturer in KAEC-Rabigh</v>
      </c>
      <c r="AE213" s="15" t="str">
        <f t="shared" si="15"/>
        <v>Electropolished Tube Manufacturing Capability Serving KAEC-Rabigh</v>
      </c>
      <c r="AF213" s="15" t="str">
        <f t="shared" si="16"/>
        <v>Electropolished Pipes Supplier in KAEC-Rabigh - From Order to Delivery</v>
      </c>
      <c r="AG213" s="15" t="str">
        <f t="shared" si="17"/>
        <v>Stockist &amp; Wholesale Supply of Electropolished Pipes in KAEC-Rabigh</v>
      </c>
      <c r="AH213" s="15" t="str">
        <f t="shared" si="18"/>
        <v>electropolished pipes manufacturer in KAEC-Rabigh, electropolished pipes supplier in KAEC-Rabigh, electropolished pipes wholesaler in KAEC-Rabigh, electropolished tube manufacturer KAEC-Rabigh, EP pipe supplier KAEC-Rabigh, sanitary tube supplier KAEC-Rabigh, ASME BPE tubing KAEC-Rabigh, ASTM A270 tube KAEC-Rabigh, SS 316L electropolished pipe KAEC-Rabigh</v>
      </c>
      <c r="AI213" s="15" t="str">
        <f t="shared" si="19"/>
        <v>Electropolished Pipes Manufacturer &amp; Supplier in KAEC-Rabigh</v>
      </c>
      <c r="AJ213" s="15" t="str">
        <f t="shared" si="20"/>
        <v>EP-finished SS 304/316L pipes and tubes for pharma plants in KAEC-Rabigh. ASME BPE SF1-SF4, Ra from 0.25 um, EN 10204 3.1 certificate with every lot.</v>
      </c>
      <c r="AK213" s="15" t="str">
        <f t="shared" si="21"/>
        <v>Electropolished stainless steel pipes supplied by Sakshi Forge to pharma plants at King Abdullah Economic City Industrial Valley, KAEC-Rabigh</v>
      </c>
      <c r="AL213" s="15" t="str">
        <f t="shared" si="22"/>
        <v>Electropolished SS 316L tube stock for KAEC-Rabigh - Sakshi Forge</v>
      </c>
      <c r="AM213" s="15" t="str">
        <f t="shared" si="23"/>
        <v>Home &gt; Market Area &gt; Saudi Arabia &gt; Makkah Province &gt; KAEC-Rabigh</v>
      </c>
      <c r="AN213" s="15">
        <f t="shared" si="24"/>
        <v>1400</v>
      </c>
      <c r="AO213" s="15">
        <f t="shared" si="25"/>
        <v>10</v>
      </c>
      <c r="AP213" s="15">
        <f t="shared" si="26"/>
        <v>12</v>
      </c>
      <c r="AQ213" s="15">
        <f t="shared" si="27"/>
        <v>4</v>
      </c>
      <c r="AR213" s="31"/>
      <c r="AS213" s="31"/>
      <c r="AT213" s="35" t="s">
        <v>222</v>
      </c>
      <c r="AU213" s="35"/>
    </row>
    <row r="214" ht="15.75" customHeight="1">
      <c r="A214" s="15" t="s">
        <v>7941</v>
      </c>
      <c r="B214" s="15" t="s">
        <v>186</v>
      </c>
      <c r="C214" s="15" t="s">
        <v>7848</v>
      </c>
      <c r="D214" s="15" t="s">
        <v>7943</v>
      </c>
      <c r="E214" s="15" t="s">
        <v>7943</v>
      </c>
      <c r="F214" s="16" t="s">
        <v>87</v>
      </c>
      <c r="G214" s="17" t="s">
        <v>88</v>
      </c>
      <c r="H214" s="18" t="s">
        <v>7944</v>
      </c>
      <c r="I214" s="18" t="s">
        <v>7944</v>
      </c>
      <c r="J214" s="18" t="s">
        <v>7945</v>
      </c>
      <c r="K214" s="18" t="s">
        <v>7946</v>
      </c>
      <c r="L214" s="18" t="s">
        <v>7948</v>
      </c>
      <c r="M214" s="18" t="s">
        <v>484</v>
      </c>
      <c r="N214" s="18" t="s">
        <v>208</v>
      </c>
      <c r="O214" s="18" t="s">
        <v>98</v>
      </c>
      <c r="P214" s="15" t="str">
        <f t="shared" si="1"/>
        <v>CHEM</v>
      </c>
      <c r="Q214" s="15">
        <f t="shared" si="2"/>
        <v>3</v>
      </c>
      <c r="R214" s="15">
        <f t="shared" si="3"/>
        <v>1</v>
      </c>
      <c r="S214" s="15">
        <f t="shared" si="4"/>
        <v>1</v>
      </c>
      <c r="T214" s="15" t="str">
        <f t="shared" si="5"/>
        <v>A-1</v>
      </c>
      <c r="U214" s="15" t="str">
        <f t="shared" si="6"/>
        <v>T3-M1-H1-FA-1-CHEM</v>
      </c>
      <c r="V214" s="15">
        <f t="shared" si="7"/>
        <v>0</v>
      </c>
      <c r="W214" s="31"/>
      <c r="X214" s="15" t="str">
        <f t="shared" si="8"/>
        <v>ras-al-khair-saudi-arabia</v>
      </c>
      <c r="Y214" s="32" t="str">
        <f t="shared" si="9"/>
        <v>https://steelmanufacturer.in/market-area/electropolished-pipes-manufacturer-in-ras-al-khair-saudi-arabia/</v>
      </c>
      <c r="Z214" s="15" t="str">
        <f t="shared" si="10"/>
        <v>Electropolished Pipes Manufacturer in Ras Al Khair</v>
      </c>
      <c r="AA214" s="15" t="str">
        <f t="shared" si="11"/>
        <v>OK (50)</v>
      </c>
      <c r="AB214" s="15" t="str">
        <f t="shared" si="12"/>
        <v>EP-finished SS 304/316L pipes &amp; tubes for water treatment plants in Ras Al Khair. ASTM A270, ASME BPE SF1-SF4, EN 10204 3.1 MTC. PMI tested.</v>
      </c>
      <c r="AC214" s="15" t="str">
        <f t="shared" si="13"/>
        <v>OK (140)</v>
      </c>
      <c r="AD214" s="15" t="str">
        <f t="shared" si="14"/>
        <v>Electropolished Pipes Manufacturer in Ras Al Khair</v>
      </c>
      <c r="AE214" s="15" t="str">
        <f t="shared" si="15"/>
        <v>Electropolished Pipe &amp; Tube Manufacturing for Ras Al Khair - Grades, Finishes &amp; Certification</v>
      </c>
      <c r="AF214" s="15" t="str">
        <f t="shared" si="16"/>
        <v>Electropolished Pipes Supplier in Ras Al Khair - Stock Sizes, Lead Time &amp; Delivery</v>
      </c>
      <c r="AG214" s="15" t="str">
        <f t="shared" si="17"/>
        <v>Electropolished Pipes Wholesaler &amp; Stockist in Ras Al Khair - Bulk &amp; Project Pricing</v>
      </c>
      <c r="AH214" s="15" t="str">
        <f t="shared" si="18"/>
        <v>electropolished pipes manufacturer in Ras Al Khair, electropolished pipes supplier in Ras Al Khair, electropolished pipes wholesaler in Ras Al Khair, electropolished tube manufacturer Ras Al Khair, EP pipe supplier Ras Al Khair, sanitary tube supplier Ras Al Khair, ASME BPE tubing Ras Al Khair, ASTM A270 tube Ras Al Khair, SS 316L electropolished pipe Ras Al Khair</v>
      </c>
      <c r="AI214" s="15" t="str">
        <f t="shared" si="19"/>
        <v>Electropolished Pipes Manufacturer &amp; Supplier in Ras Al Khair</v>
      </c>
      <c r="AJ214" s="15" t="str">
        <f t="shared" si="20"/>
        <v>EP-finished SS 304/316L pipes and tubes for water treatment plants in Ras Al Khair. ASME BPE SF1-SF4, Ra from 0.25 um, EN 10204 3.1 certificate with every lot.</v>
      </c>
      <c r="AK214" s="15" t="str">
        <f t="shared" si="21"/>
        <v>Electropolished stainless steel pipes supplied by Sakshi Forge to water treatment plants at Ras Al Khair Industrial City, Ras Al Khair</v>
      </c>
      <c r="AL214" s="15" t="str">
        <f t="shared" si="22"/>
        <v>Electropolished SS 316L tube stock for Ras Al Khair - Sakshi Forge</v>
      </c>
      <c r="AM214" s="15" t="str">
        <f t="shared" si="23"/>
        <v>Home &gt; Market Area &gt; Saudi Arabia &gt; Eastern Province &gt; Ras Al Khair</v>
      </c>
      <c r="AN214" s="15">
        <f t="shared" si="24"/>
        <v>1400</v>
      </c>
      <c r="AO214" s="15">
        <f t="shared" si="25"/>
        <v>10</v>
      </c>
      <c r="AP214" s="15">
        <f t="shared" si="26"/>
        <v>12</v>
      </c>
      <c r="AQ214" s="15">
        <f t="shared" si="27"/>
        <v>4</v>
      </c>
      <c r="AR214" s="31"/>
      <c r="AS214" s="31"/>
      <c r="AT214" s="35" t="s">
        <v>222</v>
      </c>
      <c r="AU214" s="35"/>
    </row>
    <row r="215" ht="15.75" customHeight="1">
      <c r="A215" s="15" t="s">
        <v>7966</v>
      </c>
      <c r="B215" s="15" t="s">
        <v>186</v>
      </c>
      <c r="C215" s="15" t="s">
        <v>7968</v>
      </c>
      <c r="D215" s="15" t="s">
        <v>7969</v>
      </c>
      <c r="E215" s="15" t="s">
        <v>7969</v>
      </c>
      <c r="F215" s="16" t="s">
        <v>87</v>
      </c>
      <c r="G215" s="17" t="s">
        <v>88</v>
      </c>
      <c r="H215" s="18" t="s">
        <v>7971</v>
      </c>
      <c r="I215" s="18" t="s">
        <v>7972</v>
      </c>
      <c r="J215" s="18" t="s">
        <v>7973</v>
      </c>
      <c r="K215" s="18" t="s">
        <v>229</v>
      </c>
      <c r="L215" s="18" t="s">
        <v>7875</v>
      </c>
      <c r="M215" s="18" t="s">
        <v>484</v>
      </c>
      <c r="N215" s="18" t="s">
        <v>208</v>
      </c>
      <c r="O215" s="18" t="s">
        <v>98</v>
      </c>
      <c r="P215" s="15" t="str">
        <f t="shared" si="1"/>
        <v>PHARMA</v>
      </c>
      <c r="Q215" s="15">
        <f t="shared" si="2"/>
        <v>4</v>
      </c>
      <c r="R215" s="15">
        <f t="shared" si="3"/>
        <v>2</v>
      </c>
      <c r="S215" s="15">
        <f t="shared" si="4"/>
        <v>2</v>
      </c>
      <c r="T215" s="15" t="str">
        <f t="shared" si="5"/>
        <v>A-2</v>
      </c>
      <c r="U215" s="15" t="str">
        <f t="shared" si="6"/>
        <v>T4-M2-H2-FA-2-PHARMA</v>
      </c>
      <c r="V215" s="15">
        <f t="shared" si="7"/>
        <v>0</v>
      </c>
      <c r="W215" s="31"/>
      <c r="X215" s="15" t="str">
        <f t="shared" si="8"/>
        <v>riyadh-saudi-arabia</v>
      </c>
      <c r="Y215" s="32" t="str">
        <f t="shared" si="9"/>
        <v>https://steelmanufacturer.in/market-area/electropolished-pipes-manufacturer-in-riyadh-saudi-arabia/</v>
      </c>
      <c r="Z215" s="15" t="str">
        <f t="shared" si="10"/>
        <v>Electropolished Pipes Manufacturer in Riyadh</v>
      </c>
      <c r="AA215" s="15" t="str">
        <f t="shared" si="11"/>
        <v>OK (44)</v>
      </c>
      <c r="AB215" s="15" t="str">
        <f t="shared" si="12"/>
        <v>Electropolished tube supply to Riyadh Industrial City 1-3 (MODON), Riyadh. Ra from 0.25 um, SF4 finish, mill test certificate with every lot.</v>
      </c>
      <c r="AC215" s="15" t="str">
        <f t="shared" si="13"/>
        <v>OK (141)</v>
      </c>
      <c r="AD215" s="15" t="str">
        <f t="shared" si="14"/>
        <v>Electropolished Pipes Manufacturer in Riyadh</v>
      </c>
      <c r="AE215" s="15" t="str">
        <f t="shared" si="15"/>
        <v>How We Manufacture Electropolished Tube for Riyadh Plants</v>
      </c>
      <c r="AF215" s="15" t="str">
        <f t="shared" si="16"/>
        <v>Supplying Electropolished Pipes in Riyadh: Availability, Sizes &amp; Dispatch</v>
      </c>
      <c r="AG215" s="15" t="str">
        <f t="shared" si="17"/>
        <v>Wholesale Electropolished Pipe Supply for Riyadh Projects</v>
      </c>
      <c r="AH215" s="15" t="str">
        <f t="shared" si="18"/>
        <v>electropolished pipes manufacturer in Riyadh, electropolished pipes supplier in Riyadh, electropolished pipes wholesaler in Riyadh, electropolished tube manufacturer Riyadh, EP pipe supplier Riyadh, sanitary tube supplier Riyadh, ASME BPE tubing Riyadh, ASTM A270 tube Riyadh, SS 316L electropolished pipe Riyadh</v>
      </c>
      <c r="AI215" s="15" t="str">
        <f t="shared" si="19"/>
        <v>Electropolished Pipes Manufacturer &amp; Supplier in Riyadh</v>
      </c>
      <c r="AJ215" s="15" t="str">
        <f t="shared" si="20"/>
        <v>EP-finished SS 304/316L pipes and tubes for pharma plants in Riyadh. ASME BPE SF1-SF4, Ra from 0.25 um, EN 10204 3.1 certificate with every lot.</v>
      </c>
      <c r="AK215" s="15" t="str">
        <f t="shared" si="21"/>
        <v>Electropolished stainless steel pipes supplied by Sakshi Forge to pharma plants at Riyadh Industrial City 1-3 (MODON), Riyadh</v>
      </c>
      <c r="AL215" s="15" t="str">
        <f t="shared" si="22"/>
        <v>Electropolished SS 316L tube stock for Riyadh - Sakshi Forge</v>
      </c>
      <c r="AM215" s="15" t="str">
        <f t="shared" si="23"/>
        <v>Home &gt; Market Area &gt; Saudi Arabia &gt; Riyadh Province &gt; Riyadh</v>
      </c>
      <c r="AN215" s="15">
        <f t="shared" si="24"/>
        <v>1400</v>
      </c>
      <c r="AO215" s="15">
        <f t="shared" si="25"/>
        <v>10</v>
      </c>
      <c r="AP215" s="15">
        <f t="shared" si="26"/>
        <v>12</v>
      </c>
      <c r="AQ215" s="15">
        <f t="shared" si="27"/>
        <v>4</v>
      </c>
      <c r="AR215" s="31"/>
      <c r="AS215" s="31"/>
      <c r="AT215" s="35" t="s">
        <v>222</v>
      </c>
      <c r="AU215" s="35"/>
    </row>
    <row r="216" ht="15.75" customHeight="1">
      <c r="A216" s="15" t="s">
        <v>7992</v>
      </c>
      <c r="B216" s="15" t="s">
        <v>186</v>
      </c>
      <c r="C216" s="15" t="s">
        <v>7968</v>
      </c>
      <c r="D216" s="15" t="s">
        <v>7993</v>
      </c>
      <c r="E216" s="15" t="s">
        <v>7993</v>
      </c>
      <c r="F216" s="16" t="s">
        <v>87</v>
      </c>
      <c r="G216" s="17" t="s">
        <v>88</v>
      </c>
      <c r="H216" s="18" t="s">
        <v>7995</v>
      </c>
      <c r="I216" s="18" t="s">
        <v>7995</v>
      </c>
      <c r="J216" s="18" t="s">
        <v>7996</v>
      </c>
      <c r="K216" s="18" t="s">
        <v>229</v>
      </c>
      <c r="L216" s="18" t="s">
        <v>7875</v>
      </c>
      <c r="M216" s="18" t="s">
        <v>484</v>
      </c>
      <c r="N216" s="18" t="s">
        <v>208</v>
      </c>
      <c r="O216" s="18" t="s">
        <v>98</v>
      </c>
      <c r="P216" s="15" t="str">
        <f t="shared" si="1"/>
        <v>PHARMA</v>
      </c>
      <c r="Q216" s="15">
        <f t="shared" si="2"/>
        <v>5</v>
      </c>
      <c r="R216" s="15">
        <f t="shared" si="3"/>
        <v>3</v>
      </c>
      <c r="S216" s="15">
        <f t="shared" si="4"/>
        <v>3</v>
      </c>
      <c r="T216" s="15" t="str">
        <f t="shared" si="5"/>
        <v>A-3</v>
      </c>
      <c r="U216" s="15" t="str">
        <f t="shared" si="6"/>
        <v>T5-M3-H3-FA-3-PHARMA</v>
      </c>
      <c r="V216" s="15">
        <f t="shared" si="7"/>
        <v>0</v>
      </c>
      <c r="W216" s="31"/>
      <c r="X216" s="15" t="str">
        <f t="shared" si="8"/>
        <v>sudair-saudi-arabia</v>
      </c>
      <c r="Y216" s="32" t="str">
        <f t="shared" si="9"/>
        <v>https://steelmanufacturer.in/market-area/electropolished-pipes-manufacturer-in-sudair-saudi-arabia/</v>
      </c>
      <c r="Z216" s="15" t="str">
        <f t="shared" si="10"/>
        <v>Electropolished Pipes Manufacturer in Sudair</v>
      </c>
      <c r="AA216" s="15" t="str">
        <f t="shared" si="11"/>
        <v>OK (44)</v>
      </c>
      <c r="AB216" s="15" t="str">
        <f t="shared" si="12"/>
        <v>EP stainless tube for pharma lines in Sudair. 12-16 days sea from Nhava Sheva to Dammam. ASTM A270 S2, PMI tested, EN 10204 3.1.</v>
      </c>
      <c r="AC216" s="15" t="str">
        <f t="shared" si="13"/>
        <v>OK (128)</v>
      </c>
      <c r="AD216" s="15" t="str">
        <f t="shared" si="14"/>
        <v>Electropolished Pipes Manufacturer in Sudair</v>
      </c>
      <c r="AE216" s="15" t="str">
        <f t="shared" si="15"/>
        <v>Electropolished Pipes Manufacturer in Sudair - Our Process &amp; Capability</v>
      </c>
      <c r="AF216" s="15" t="str">
        <f t="shared" si="16"/>
        <v>Electropolished Pipes Supplier in Sudair - What We Hold in Stock</v>
      </c>
      <c r="AG216" s="15" t="str">
        <f t="shared" si="17"/>
        <v>Bulk &amp; Wholesale Electropolished Pipe Rates for Sudair Buyers</v>
      </c>
      <c r="AH216" s="15" t="str">
        <f t="shared" si="18"/>
        <v>electropolished pipes manufacturer in Sudair, electropolished pipes supplier in Sudair, electropolished pipes wholesaler in Sudair, electropolished tube manufacturer Sudair, EP pipe supplier Sudair, sanitary tube supplier Sudair, ASME BPE tubing Sudair, ASTM A270 tube Sudair, SS 316L electropolished pipe Sudair</v>
      </c>
      <c r="AI216" s="15" t="str">
        <f t="shared" si="19"/>
        <v>Electropolished Pipes Manufacturer &amp; Supplier in Sudair</v>
      </c>
      <c r="AJ216" s="15" t="str">
        <f t="shared" si="20"/>
        <v>EP-finished SS 304/316L pipes and tubes for pharma plants in Sudair. ASME BPE SF1-SF4, Ra from 0.25 um, EN 10204 3.1 certificate with every lot.</v>
      </c>
      <c r="AK216" s="15" t="str">
        <f t="shared" si="21"/>
        <v>Electropolished stainless steel pipes supplied by Sakshi Forge to pharma plants at Sudair City for Industry and Business (MODON), Sudair</v>
      </c>
      <c r="AL216" s="15" t="str">
        <f t="shared" si="22"/>
        <v>Electropolished SS 316L tube stock for Sudair - Sakshi Forge</v>
      </c>
      <c r="AM216" s="15" t="str">
        <f t="shared" si="23"/>
        <v>Home &gt; Market Area &gt; Saudi Arabia &gt; Riyadh Province &gt; Sudair</v>
      </c>
      <c r="AN216" s="15">
        <f t="shared" si="24"/>
        <v>1400</v>
      </c>
      <c r="AO216" s="15">
        <f t="shared" si="25"/>
        <v>10</v>
      </c>
      <c r="AP216" s="15">
        <f t="shared" si="26"/>
        <v>12</v>
      </c>
      <c r="AQ216" s="15">
        <f t="shared" si="27"/>
        <v>4</v>
      </c>
      <c r="AR216" s="31"/>
      <c r="AS216" s="31"/>
      <c r="AT216" s="35" t="s">
        <v>222</v>
      </c>
      <c r="AU216" s="35"/>
    </row>
    <row r="217" ht="15.75" customHeight="1">
      <c r="A217" s="15" t="s">
        <v>8016</v>
      </c>
      <c r="B217" s="15" t="s">
        <v>186</v>
      </c>
      <c r="C217" s="15" t="s">
        <v>8017</v>
      </c>
      <c r="D217" s="15" t="s">
        <v>8018</v>
      </c>
      <c r="E217" s="15" t="s">
        <v>8018</v>
      </c>
      <c r="F217" s="16" t="s">
        <v>87</v>
      </c>
      <c r="G217" s="17" t="s">
        <v>88</v>
      </c>
      <c r="H217" s="18" t="s">
        <v>8020</v>
      </c>
      <c r="I217" s="18" t="s">
        <v>8020</v>
      </c>
      <c r="J217" s="18" t="s">
        <v>6044</v>
      </c>
      <c r="K217" s="18" t="s">
        <v>1084</v>
      </c>
      <c r="L217" s="18" t="s">
        <v>8022</v>
      </c>
      <c r="M217" s="18" t="s">
        <v>484</v>
      </c>
      <c r="N217" s="18" t="s">
        <v>208</v>
      </c>
      <c r="O217" s="18" t="s">
        <v>98</v>
      </c>
      <c r="P217" s="15" t="str">
        <f t="shared" si="1"/>
        <v>CHEM</v>
      </c>
      <c r="Q217" s="15">
        <f t="shared" si="2"/>
        <v>6</v>
      </c>
      <c r="R217" s="15">
        <f t="shared" si="3"/>
        <v>4</v>
      </c>
      <c r="S217" s="15">
        <f t="shared" si="4"/>
        <v>4</v>
      </c>
      <c r="T217" s="15" t="str">
        <f t="shared" si="5"/>
        <v>A-4</v>
      </c>
      <c r="U217" s="15" t="str">
        <f t="shared" si="6"/>
        <v>T6-M4-H4-FA-4-CHEM</v>
      </c>
      <c r="V217" s="15">
        <f t="shared" si="7"/>
        <v>0</v>
      </c>
      <c r="W217" s="31"/>
      <c r="X217" s="15" t="str">
        <f t="shared" si="8"/>
        <v>yanbu-saudi-arabia</v>
      </c>
      <c r="Y217" s="32" t="str">
        <f t="shared" si="9"/>
        <v>https://steelmanufacturer.in/market-area/electropolished-pipes-manufacturer-in-yanbu-saudi-arabia/</v>
      </c>
      <c r="Z217" s="15" t="str">
        <f t="shared" si="10"/>
        <v>Electropolished Pipes Manufacturer in Yanbu</v>
      </c>
      <c r="AA217" s="15" t="str">
        <f t="shared" si="11"/>
        <v>OK (43)</v>
      </c>
      <c r="AB217" s="15" t="str">
        <f t="shared" si="12"/>
        <v>Sanitary electropolished pipes in Yanbu for petrochemical plants. ASME BPE SF1-SF4, orbital-weld ready, 3.1 MTC. Mumbai-made.</v>
      </c>
      <c r="AC217" s="15" t="str">
        <f t="shared" si="13"/>
        <v>OK (125)</v>
      </c>
      <c r="AD217" s="15" t="str">
        <f t="shared" si="14"/>
        <v>Electropolished Pipes Manufacturer in Yanbu</v>
      </c>
      <c r="AE217" s="15" t="str">
        <f t="shared" si="15"/>
        <v>Manufacturing Electropolished SS Tube for Yanbu: The Standards We Build To</v>
      </c>
      <c r="AF217" s="15" t="str">
        <f t="shared" si="16"/>
        <v>Electropolished Pipe Supply Into Yanbu - Certification &amp; Transit</v>
      </c>
      <c r="AG217" s="15" t="str">
        <f t="shared" si="17"/>
        <v>Electropolished Pipes Wholesaler in Yanbu - Project Quantities &amp; Terms</v>
      </c>
      <c r="AH217" s="15" t="str">
        <f t="shared" si="18"/>
        <v>electropolished pipes manufacturer in Yanbu, electropolished pipes supplier in Yanbu, electropolished pipes wholesaler in Yanbu, electropolished tube manufacturer Yanbu, EP pipe supplier Yanbu, sanitary tube supplier Yanbu, ASME BPE tubing Yanbu, ASTM A270 tube Yanbu, SS 316L electropolished pipe Yanbu</v>
      </c>
      <c r="AI217" s="15" t="str">
        <f t="shared" si="19"/>
        <v>Electropolished Pipes Manufacturer &amp; Supplier in Yanbu</v>
      </c>
      <c r="AJ217" s="15" t="str">
        <f t="shared" si="20"/>
        <v>EP-finished SS 304/316L pipes and tubes for petrochemical plants in Yanbu. ASME BPE SF1-SF4, Ra from 0.25 um, EN 10204 3.1 certificate with every lot.</v>
      </c>
      <c r="AK217" s="15" t="str">
        <f t="shared" si="21"/>
        <v>Electropolished stainless steel pipes supplied by Sakshi Forge to petrochemical plants at Yanbu Industrial City (Royal Commission), Yanbu</v>
      </c>
      <c r="AL217" s="15" t="str">
        <f t="shared" si="22"/>
        <v>Electropolished SS 316L tube stock for Yanbu - Sakshi Forge</v>
      </c>
      <c r="AM217" s="15" t="str">
        <f t="shared" si="23"/>
        <v>Home &gt; Market Area &gt; Saudi Arabia &gt; Madinah Province &gt; Yanbu</v>
      </c>
      <c r="AN217" s="15">
        <f t="shared" si="24"/>
        <v>1400</v>
      </c>
      <c r="AO217" s="15">
        <f t="shared" si="25"/>
        <v>10</v>
      </c>
      <c r="AP217" s="15">
        <f t="shared" si="26"/>
        <v>12</v>
      </c>
      <c r="AQ217" s="15">
        <f t="shared" si="27"/>
        <v>4</v>
      </c>
      <c r="AR217" s="31"/>
      <c r="AS217" s="31"/>
      <c r="AT217" s="35" t="s">
        <v>222</v>
      </c>
      <c r="AU217" s="35"/>
    </row>
    <row r="218" ht="15.75" customHeight="1">
      <c r="A218" s="15" t="s">
        <v>8040</v>
      </c>
      <c r="B218" s="15" t="s">
        <v>422</v>
      </c>
      <c r="C218" s="15" t="s">
        <v>8042</v>
      </c>
      <c r="D218" s="15" t="s">
        <v>8043</v>
      </c>
      <c r="E218" s="15" t="s">
        <v>8043</v>
      </c>
      <c r="F218" s="16" t="s">
        <v>87</v>
      </c>
      <c r="G218" s="17" t="s">
        <v>88</v>
      </c>
      <c r="H218" s="18" t="s">
        <v>8044</v>
      </c>
      <c r="I218" s="18" t="s">
        <v>8045</v>
      </c>
      <c r="J218" s="18" t="s">
        <v>8046</v>
      </c>
      <c r="K218" s="18" t="s">
        <v>1730</v>
      </c>
      <c r="L218" s="18" t="s">
        <v>8047</v>
      </c>
      <c r="M218" s="18" t="s">
        <v>614</v>
      </c>
      <c r="N218" s="18" t="s">
        <v>429</v>
      </c>
      <c r="O218" s="18" t="s">
        <v>98</v>
      </c>
      <c r="P218" s="15" t="str">
        <f t="shared" si="1"/>
        <v>SEMI</v>
      </c>
      <c r="Q218" s="15">
        <f t="shared" si="2"/>
        <v>7</v>
      </c>
      <c r="R218" s="15">
        <f t="shared" si="3"/>
        <v>5</v>
      </c>
      <c r="S218" s="15">
        <f t="shared" si="4"/>
        <v>5</v>
      </c>
      <c r="T218" s="15" t="str">
        <f t="shared" si="5"/>
        <v>A-5</v>
      </c>
      <c r="U218" s="15" t="str">
        <f t="shared" si="6"/>
        <v>T7-M5-H5-FA-5-SEMI</v>
      </c>
      <c r="V218" s="15">
        <f t="shared" si="7"/>
        <v>0</v>
      </c>
      <c r="W218" s="31"/>
      <c r="X218" s="15" t="str">
        <f t="shared" si="8"/>
        <v>changi-singapore</v>
      </c>
      <c r="Y218" s="32" t="str">
        <f t="shared" si="9"/>
        <v>https://steelmanufacturer.in/market-area/electropolished-pipes-manufacturer-in-changi-singapore/</v>
      </c>
      <c r="Z218" s="15" t="str">
        <f t="shared" si="10"/>
        <v>Electropolished Pipes Manufacturer in Changi | ASME BPE SF1-SF4</v>
      </c>
      <c r="AA218" s="15" t="str">
        <f t="shared" si="11"/>
        <v>OK (63)</v>
      </c>
      <c r="AB218" s="15" t="str">
        <f t="shared" si="12"/>
        <v>Manufacturer of electropolished SS 316L tube serving Changi. 6-9 days sea from Nhava Sheva to Singapore. Ra 0.25-0.5 um, EN 10204 3.1 MTC.</v>
      </c>
      <c r="AC218" s="15" t="str">
        <f t="shared" si="13"/>
        <v>OK (138)</v>
      </c>
      <c r="AD218" s="15" t="str">
        <f t="shared" si="14"/>
        <v>Electropolished Pipes Manufacturer in Changi</v>
      </c>
      <c r="AE218" s="15" t="str">
        <f t="shared" si="15"/>
        <v>Electropolished Tube Manufacturing Capability Serving Changi</v>
      </c>
      <c r="AF218" s="15" t="str">
        <f t="shared" si="16"/>
        <v>Electropolished Pipes Supplier in Changi - From Order to Delivery</v>
      </c>
      <c r="AG218" s="15" t="str">
        <f t="shared" si="17"/>
        <v>Stockist &amp; Wholesale Supply of Electropolished Pipes in Changi</v>
      </c>
      <c r="AH218" s="15" t="str">
        <f t="shared" si="18"/>
        <v>electropolished pipes manufacturer in Changi, electropolished pipes supplier in Changi, electropolished pipes wholesaler in Changi, electropolished tube manufacturer Changi, EP pipe supplier Changi, sanitary tube supplier Changi, ASME BPE tubing Changi, ASTM A270 tube Changi, SS 316L electropolished pipe Changi</v>
      </c>
      <c r="AI218" s="15" t="str">
        <f t="shared" si="19"/>
        <v>Electropolished Pipes Manufacturer &amp; Supplier in Changi</v>
      </c>
      <c r="AJ218" s="15" t="str">
        <f t="shared" si="20"/>
        <v>EP-finished SS 304/316L pipes and tubes for electronics plants in Changi. ASME BPE SF1-SF4, Ra from 0.25 um, EN 10204 3.1 certificate with every lot.</v>
      </c>
      <c r="AK218" s="15" t="str">
        <f t="shared" si="21"/>
        <v>Electropolished stainless steel pipes supplied by Sakshi Forge to electronics plants at Changi Business Park, Changi</v>
      </c>
      <c r="AL218" s="15" t="str">
        <f t="shared" si="22"/>
        <v>Electropolished SS 316L tube stock for Changi - Sakshi Forge</v>
      </c>
      <c r="AM218" s="15" t="str">
        <f t="shared" si="23"/>
        <v>Home &gt; Market Area &gt; Singapore &gt; East Region &gt; Changi</v>
      </c>
      <c r="AN218" s="15">
        <f t="shared" si="24"/>
        <v>1400</v>
      </c>
      <c r="AO218" s="15">
        <f t="shared" si="25"/>
        <v>10</v>
      </c>
      <c r="AP218" s="15">
        <f t="shared" si="26"/>
        <v>12</v>
      </c>
      <c r="AQ218" s="15">
        <f t="shared" si="27"/>
        <v>4</v>
      </c>
      <c r="AR218" s="31"/>
      <c r="AS218" s="31"/>
      <c r="AT218" s="35" t="s">
        <v>222</v>
      </c>
      <c r="AU218" s="35"/>
    </row>
    <row r="219" ht="15.75" customHeight="1">
      <c r="A219" s="15" t="s">
        <v>8060</v>
      </c>
      <c r="B219" s="15" t="s">
        <v>422</v>
      </c>
      <c r="C219" s="15" t="s">
        <v>8061</v>
      </c>
      <c r="D219" s="15" t="s">
        <v>8062</v>
      </c>
      <c r="E219" s="15" t="s">
        <v>8062</v>
      </c>
      <c r="F219" s="16" t="s">
        <v>87</v>
      </c>
      <c r="G219" s="17" t="s">
        <v>88</v>
      </c>
      <c r="H219" s="18" t="s">
        <v>8063</v>
      </c>
      <c r="I219" s="18" t="s">
        <v>8064</v>
      </c>
      <c r="J219" s="18" t="s">
        <v>8065</v>
      </c>
      <c r="K219" s="18" t="s">
        <v>4868</v>
      </c>
      <c r="L219" s="18" t="s">
        <v>8047</v>
      </c>
      <c r="M219" s="18" t="s">
        <v>614</v>
      </c>
      <c r="N219" s="18" t="s">
        <v>429</v>
      </c>
      <c r="O219" s="18" t="s">
        <v>98</v>
      </c>
      <c r="P219" s="15" t="str">
        <f t="shared" si="1"/>
        <v>SEMI</v>
      </c>
      <c r="Q219" s="15">
        <f t="shared" si="2"/>
        <v>8</v>
      </c>
      <c r="R219" s="15">
        <f t="shared" si="3"/>
        <v>6</v>
      </c>
      <c r="S219" s="15">
        <f t="shared" si="4"/>
        <v>1</v>
      </c>
      <c r="T219" s="15" t="str">
        <f t="shared" si="5"/>
        <v>A-6</v>
      </c>
      <c r="U219" s="15" t="str">
        <f t="shared" si="6"/>
        <v>T8-M6-H1-FA-6-SEMI</v>
      </c>
      <c r="V219" s="15">
        <f t="shared" si="7"/>
        <v>0</v>
      </c>
      <c r="W219" s="31"/>
      <c r="X219" s="15" t="str">
        <f t="shared" si="8"/>
        <v>jurong-singapore</v>
      </c>
      <c r="Y219" s="32" t="str">
        <f t="shared" si="9"/>
        <v>https://steelmanufacturer.in/market-area/electropolished-pipes-manufacturer-in-jurong-singapore/</v>
      </c>
      <c r="Z219" s="15" t="str">
        <f t="shared" si="10"/>
        <v>Electropolished Pipes Manufacturer in Jurong - EP Tube Stockist</v>
      </c>
      <c r="AA219" s="15" t="str">
        <f t="shared" si="11"/>
        <v>OK (63)</v>
      </c>
      <c r="AB219" s="15" t="str">
        <f t="shared" si="12"/>
        <v>EP tube and pipe for semiconductor plants around Jurong Industrial Estate, Jurong. Made at our Mumbai works to ASTM A270 and ASME BPE SF1-SF4, with 3.1 MTC.</v>
      </c>
      <c r="AC219" s="15" t="str">
        <f t="shared" si="13"/>
        <v>OK (156)</v>
      </c>
      <c r="AD219" s="15" t="str">
        <f t="shared" si="14"/>
        <v>Electropolished Pipes Manufacturer in Jurong</v>
      </c>
      <c r="AE219" s="15" t="str">
        <f t="shared" si="15"/>
        <v>Electropolished Pipe &amp; Tube Manufacturing for Jurong - Grades, Finishes &amp; Certification</v>
      </c>
      <c r="AF219" s="15" t="str">
        <f t="shared" si="16"/>
        <v>Electropolished Pipes Supplier in Jurong - Stock Sizes, Lead Time &amp; Delivery</v>
      </c>
      <c r="AG219" s="15" t="str">
        <f t="shared" si="17"/>
        <v>Electropolished Pipes Wholesaler &amp; Stockist in Jurong - Bulk &amp; Project Pricing</v>
      </c>
      <c r="AH219" s="15" t="str">
        <f t="shared" si="18"/>
        <v>electropolished pipes manufacturer in Jurong, electropolished pipes supplier in Jurong, electropolished pipes wholesaler in Jurong, electropolished tube manufacturer Jurong, EP pipe supplier Jurong, sanitary tube supplier Jurong, ASME BPE tubing Jurong, ASTM A270 tube Jurong, SS 316L electropolished pipe Jurong</v>
      </c>
      <c r="AI219" s="15" t="str">
        <f t="shared" si="19"/>
        <v>Electropolished Pipes Manufacturer &amp; Supplier in Jurong</v>
      </c>
      <c r="AJ219" s="15" t="str">
        <f t="shared" si="20"/>
        <v>EP-finished SS 304/316L pipes and tubes for semiconductor plants in Jurong. ASME BPE SF1-SF4, Ra from 0.25 um, EN 10204 3.1 certificate with every lot.</v>
      </c>
      <c r="AK219" s="15" t="str">
        <f t="shared" si="21"/>
        <v>Electropolished stainless steel pipes supplied by Sakshi Forge to semiconductor plants at Jurong Industrial Estate, Jurong</v>
      </c>
      <c r="AL219" s="15" t="str">
        <f t="shared" si="22"/>
        <v>Electropolished SS 316L tube stock for Jurong - Sakshi Forge</v>
      </c>
      <c r="AM219" s="15" t="str">
        <f t="shared" si="23"/>
        <v>Home &gt; Market Area &gt; Singapore &gt; West Region &gt; Jurong</v>
      </c>
      <c r="AN219" s="15">
        <f t="shared" si="24"/>
        <v>1400</v>
      </c>
      <c r="AO219" s="15">
        <f t="shared" si="25"/>
        <v>10</v>
      </c>
      <c r="AP219" s="15">
        <f t="shared" si="26"/>
        <v>12</v>
      </c>
      <c r="AQ219" s="15">
        <f t="shared" si="27"/>
        <v>4</v>
      </c>
      <c r="AR219" s="31"/>
      <c r="AS219" s="31"/>
      <c r="AT219" s="35" t="s">
        <v>222</v>
      </c>
      <c r="AU219" s="35"/>
    </row>
    <row r="220" ht="15.75" customHeight="1">
      <c r="A220" s="15" t="s">
        <v>8066</v>
      </c>
      <c r="B220" s="15" t="s">
        <v>422</v>
      </c>
      <c r="C220" s="15" t="s">
        <v>8061</v>
      </c>
      <c r="D220" s="15" t="s">
        <v>8067</v>
      </c>
      <c r="E220" s="15" t="s">
        <v>8067</v>
      </c>
      <c r="F220" s="16" t="s">
        <v>87</v>
      </c>
      <c r="G220" s="17" t="s">
        <v>88</v>
      </c>
      <c r="H220" s="18" t="s">
        <v>8068</v>
      </c>
      <c r="I220" s="18" t="s">
        <v>8068</v>
      </c>
      <c r="J220" s="18" t="s">
        <v>8069</v>
      </c>
      <c r="K220" s="18" t="s">
        <v>8070</v>
      </c>
      <c r="L220" s="18" t="s">
        <v>8047</v>
      </c>
      <c r="M220" s="18" t="s">
        <v>614</v>
      </c>
      <c r="N220" s="18" t="s">
        <v>429</v>
      </c>
      <c r="O220" s="18" t="s">
        <v>98</v>
      </c>
      <c r="P220" s="15" t="str">
        <f t="shared" si="1"/>
        <v>PHARMA</v>
      </c>
      <c r="Q220" s="15">
        <f t="shared" si="2"/>
        <v>1</v>
      </c>
      <c r="R220" s="15">
        <f t="shared" si="3"/>
        <v>7</v>
      </c>
      <c r="S220" s="15">
        <f t="shared" si="4"/>
        <v>2</v>
      </c>
      <c r="T220" s="15" t="str">
        <f t="shared" si="5"/>
        <v>A-1</v>
      </c>
      <c r="U220" s="15" t="str">
        <f t="shared" si="6"/>
        <v>T1-M7-H2-FA-1-PHARMA</v>
      </c>
      <c r="V220" s="15">
        <f t="shared" si="7"/>
        <v>0</v>
      </c>
      <c r="W220" s="31"/>
      <c r="X220" s="15" t="str">
        <f t="shared" si="8"/>
        <v>jurong-island-singapore</v>
      </c>
      <c r="Y220" s="32" t="str">
        <f t="shared" si="9"/>
        <v>https://steelmanufacturer.in/market-area/electropolished-pipes-manufacturer-in-jurong-island-singapore/</v>
      </c>
      <c r="Z220" s="15" t="str">
        <f t="shared" si="10"/>
        <v>Electropolished Pipes Manufacturer in Jurong Island</v>
      </c>
      <c r="AA220" s="15" t="str">
        <f t="shared" si="11"/>
        <v>OK (51)</v>
      </c>
      <c r="AB220" s="15" t="str">
        <f t="shared" si="12"/>
        <v>Electropolished pipes in Jurong Island: 304, 304L, 316 and 316L in SF1-SF4. 6-9 days sea from Nhava Sheva to Singapore. Mill certified.</v>
      </c>
      <c r="AC220" s="15" t="str">
        <f t="shared" si="13"/>
        <v>OK (135)</v>
      </c>
      <c r="AD220" s="15" t="str">
        <f t="shared" si="14"/>
        <v>Electropolished Pipes Manufacturer in Jurong Island</v>
      </c>
      <c r="AE220" s="15" t="str">
        <f t="shared" si="15"/>
        <v>How We Manufacture Electropolished Tube for Jurong Island Plants</v>
      </c>
      <c r="AF220" s="15" t="str">
        <f t="shared" si="16"/>
        <v>Supplying Electropolished Pipes in Jurong Island: Availability, Sizes &amp; Dispatch</v>
      </c>
      <c r="AG220" s="15" t="str">
        <f t="shared" si="17"/>
        <v>Wholesale Electropolished Pipe Supply for Jurong Island Projects</v>
      </c>
      <c r="AH220" s="15" t="str">
        <f t="shared" si="18"/>
        <v>electropolished pipes manufacturer in Jurong Island, electropolished pipes supplier in Jurong Island, electropolished pipes wholesaler in Jurong Island, electropolished tube manufacturer Jurong Island, EP pipe supplier Jurong Island, sanitary tube supplier Jurong Island, ASME BPE tubing Jurong Island, ASTM A270 tube Jurong Island, SS 316L electropolished pipe Jurong Island</v>
      </c>
      <c r="AI220" s="15" t="str">
        <f t="shared" si="19"/>
        <v>Electropolished Pipes Manufacturer &amp; Supplier in Jurong Island</v>
      </c>
      <c r="AJ220" s="15" t="str">
        <f t="shared" si="20"/>
        <v>EP-finished SS 304/316L pipes and tubes for pharma &amp; petrochemical plants in Jurong Island. ASME BPE SF1-SF4, Ra from 0.25 um, EN 10204 3.1 certificate with every lot.</v>
      </c>
      <c r="AK220" s="15" t="str">
        <f t="shared" si="21"/>
        <v>Electropolished stainless steel pipes supplied by Sakshi Forge to pharma &amp; petrochemical plants at Jurong Island Chemical Hub, Jurong Island</v>
      </c>
      <c r="AL220" s="15" t="str">
        <f t="shared" si="22"/>
        <v>Electropolished SS 316L tube stock for Jurong Island - Sakshi Forge</v>
      </c>
      <c r="AM220" s="15" t="str">
        <f t="shared" si="23"/>
        <v>Home &gt; Market Area &gt; Singapore &gt; West Region &gt; Jurong Island</v>
      </c>
      <c r="AN220" s="15">
        <f t="shared" si="24"/>
        <v>1400</v>
      </c>
      <c r="AO220" s="15">
        <f t="shared" si="25"/>
        <v>10</v>
      </c>
      <c r="AP220" s="15">
        <f t="shared" si="26"/>
        <v>12</v>
      </c>
      <c r="AQ220" s="15">
        <f t="shared" si="27"/>
        <v>4</v>
      </c>
      <c r="AR220" s="31"/>
      <c r="AS220" s="31"/>
      <c r="AT220" s="35" t="s">
        <v>222</v>
      </c>
      <c r="AU220" s="35"/>
    </row>
    <row r="221" ht="15.75" customHeight="1">
      <c r="A221" s="15" t="s">
        <v>8071</v>
      </c>
      <c r="B221" s="15" t="s">
        <v>422</v>
      </c>
      <c r="C221" s="15" t="s">
        <v>8061</v>
      </c>
      <c r="D221" s="15" t="s">
        <v>8072</v>
      </c>
      <c r="E221" s="15" t="s">
        <v>8072</v>
      </c>
      <c r="F221" s="16" t="s">
        <v>87</v>
      </c>
      <c r="G221" s="17" t="s">
        <v>88</v>
      </c>
      <c r="H221" s="18" t="s">
        <v>8073</v>
      </c>
      <c r="I221" s="18" t="s">
        <v>8074</v>
      </c>
      <c r="J221" s="18" t="s">
        <v>8075</v>
      </c>
      <c r="K221" s="18" t="s">
        <v>250</v>
      </c>
      <c r="L221" s="18" t="s">
        <v>8047</v>
      </c>
      <c r="M221" s="18" t="s">
        <v>614</v>
      </c>
      <c r="N221" s="18" t="s">
        <v>429</v>
      </c>
      <c r="O221" s="18" t="s">
        <v>98</v>
      </c>
      <c r="P221" s="15" t="str">
        <f t="shared" si="1"/>
        <v>GENERAL</v>
      </c>
      <c r="Q221" s="15">
        <f t="shared" si="2"/>
        <v>2</v>
      </c>
      <c r="R221" s="15">
        <f t="shared" si="3"/>
        <v>1</v>
      </c>
      <c r="S221" s="15">
        <f t="shared" si="4"/>
        <v>3</v>
      </c>
      <c r="T221" s="15" t="str">
        <f t="shared" si="5"/>
        <v>A-2</v>
      </c>
      <c r="U221" s="15" t="str">
        <f t="shared" si="6"/>
        <v>T2-M1-H3-FA-2-GENERAL</v>
      </c>
      <c r="V221" s="15">
        <f t="shared" si="7"/>
        <v>0</v>
      </c>
      <c r="W221" s="31"/>
      <c r="X221" s="15" t="str">
        <f t="shared" si="8"/>
        <v>pioneer-singapore</v>
      </c>
      <c r="Y221" s="32" t="str">
        <f t="shared" si="9"/>
        <v>https://steelmanufacturer.in/market-area/electropolished-pipes-manufacturer-in-pioneer-singapore/</v>
      </c>
      <c r="Z221" s="15" t="str">
        <f t="shared" si="10"/>
        <v>Electropolished Pipes Manufacturer in Pioneer</v>
      </c>
      <c r="AA221" s="15" t="str">
        <f t="shared" si="11"/>
        <v>OK (45)</v>
      </c>
      <c r="AB221" s="15" t="str">
        <f t="shared" si="12"/>
        <v>EP-finished SS 304/316L pipes &amp; tubes for engineering &amp; process plants in Pioneer. ASTM A270, ASME BPE SF1-SF4, EN 10204 3.1 MTC. PMI tested.</v>
      </c>
      <c r="AC221" s="15" t="str">
        <f t="shared" si="13"/>
        <v>OK (141)</v>
      </c>
      <c r="AD221" s="15" t="str">
        <f t="shared" si="14"/>
        <v>Electropolished Pipes Manufacturer in Pioneer</v>
      </c>
      <c r="AE221" s="15" t="str">
        <f t="shared" si="15"/>
        <v>Electropolished Pipes Manufacturer in Pioneer - Our Process &amp; Capability</v>
      </c>
      <c r="AF221" s="15" t="str">
        <f t="shared" si="16"/>
        <v>Electropolished Pipes Supplier in Pioneer - What We Hold in Stock</v>
      </c>
      <c r="AG221" s="15" t="str">
        <f t="shared" si="17"/>
        <v>Bulk &amp; Wholesale Electropolished Pipe Rates for Pioneer Buyers</v>
      </c>
      <c r="AH221" s="15" t="str">
        <f t="shared" si="18"/>
        <v>electropolished pipes manufacturer in Pioneer, electropolished pipes supplier in Pioneer, electropolished pipes wholesaler in Pioneer, electropolished tube manufacturer Pioneer, EP pipe supplier Pioneer, sanitary tube supplier Pioneer, ASME BPE tubing Pioneer, ASTM A270 tube Pioneer, SS 316L electropolished pipe Pioneer</v>
      </c>
      <c r="AI221" s="15" t="str">
        <f t="shared" si="19"/>
        <v>Electropolished Pipes Manufacturer &amp; Supplier in Pioneer</v>
      </c>
      <c r="AJ221" s="15" t="str">
        <f t="shared" si="20"/>
        <v>EP-finished SS 304/316L pipes and tubes for engineering &amp; process plants in Pioneer. ASME BPE SF1-SF4, Ra from 0.25 um, EN 10204 3.1 certificate with every lot.</v>
      </c>
      <c r="AK221" s="15" t="str">
        <f t="shared" si="21"/>
        <v>Electropolished stainless steel pipes supplied by Sakshi Forge to engineering &amp; process plants at Pioneer Sector Industrial, Pioneer</v>
      </c>
      <c r="AL221" s="15" t="str">
        <f t="shared" si="22"/>
        <v>Electropolished SS 316L tube stock for Pioneer - Sakshi Forge</v>
      </c>
      <c r="AM221" s="15" t="str">
        <f t="shared" si="23"/>
        <v>Home &gt; Market Area &gt; Singapore &gt; West Region &gt; Pioneer</v>
      </c>
      <c r="AN221" s="15">
        <f t="shared" si="24"/>
        <v>1400</v>
      </c>
      <c r="AO221" s="15">
        <f t="shared" si="25"/>
        <v>10</v>
      </c>
      <c r="AP221" s="15">
        <f t="shared" si="26"/>
        <v>12</v>
      </c>
      <c r="AQ221" s="15">
        <f t="shared" si="27"/>
        <v>4</v>
      </c>
      <c r="AR221" s="31"/>
      <c r="AS221" s="31"/>
      <c r="AT221" s="35" t="s">
        <v>222</v>
      </c>
      <c r="AU221" s="35"/>
    </row>
    <row r="222" ht="15.75" customHeight="1">
      <c r="A222" s="15" t="s">
        <v>8076</v>
      </c>
      <c r="B222" s="15" t="s">
        <v>422</v>
      </c>
      <c r="C222" s="15" t="s">
        <v>8061</v>
      </c>
      <c r="D222" s="15" t="s">
        <v>8077</v>
      </c>
      <c r="E222" s="15" t="s">
        <v>8077</v>
      </c>
      <c r="F222" s="16" t="s">
        <v>87</v>
      </c>
      <c r="G222" s="17" t="s">
        <v>88</v>
      </c>
      <c r="H222" s="18" t="s">
        <v>8078</v>
      </c>
      <c r="I222" s="18" t="s">
        <v>8079</v>
      </c>
      <c r="J222" s="18" t="s">
        <v>8080</v>
      </c>
      <c r="K222" s="18" t="s">
        <v>3605</v>
      </c>
      <c r="L222" s="18" t="s">
        <v>8047</v>
      </c>
      <c r="M222" s="18" t="s">
        <v>614</v>
      </c>
      <c r="N222" s="18" t="s">
        <v>429</v>
      </c>
      <c r="O222" s="18" t="s">
        <v>98</v>
      </c>
      <c r="P222" s="15" t="str">
        <f t="shared" si="1"/>
        <v>PHARMA</v>
      </c>
      <c r="Q222" s="15">
        <f t="shared" si="2"/>
        <v>3</v>
      </c>
      <c r="R222" s="15">
        <f t="shared" si="3"/>
        <v>2</v>
      </c>
      <c r="S222" s="15">
        <f t="shared" si="4"/>
        <v>4</v>
      </c>
      <c r="T222" s="15" t="str">
        <f t="shared" si="5"/>
        <v>A-3</v>
      </c>
      <c r="U222" s="15" t="str">
        <f t="shared" si="6"/>
        <v>T3-M2-H4-FA-3-PHARMA</v>
      </c>
      <c r="V222" s="15">
        <f t="shared" si="7"/>
        <v>0</v>
      </c>
      <c r="W222" s="31"/>
      <c r="X222" s="15" t="str">
        <f t="shared" si="8"/>
        <v>tuas-singapore</v>
      </c>
      <c r="Y222" s="32" t="str">
        <f t="shared" si="9"/>
        <v>https://steelmanufacturer.in/market-area/electropolished-pipes-manufacturer-in-tuas-singapore/</v>
      </c>
      <c r="Z222" s="15" t="str">
        <f t="shared" si="10"/>
        <v>Electropolished Pipes Manufacturer in Tuas | EP Tube Supplier</v>
      </c>
      <c r="AA222" s="15" t="str">
        <f t="shared" si="11"/>
        <v>OK (61)</v>
      </c>
      <c r="AB222" s="15" t="str">
        <f t="shared" si="12"/>
        <v>Electropolished tube supply to Tuas Biomedical Park, Tuas. Ra from 0.25 um, SF4 finish, mill test certificate with every lot.</v>
      </c>
      <c r="AC222" s="15" t="str">
        <f t="shared" si="13"/>
        <v>OK (125)</v>
      </c>
      <c r="AD222" s="15" t="str">
        <f t="shared" si="14"/>
        <v>Electropolished Pipes Manufacturer in Tuas</v>
      </c>
      <c r="AE222" s="15" t="str">
        <f t="shared" si="15"/>
        <v>Manufacturing Electropolished SS Tube for Tuas: The Standards We Build To</v>
      </c>
      <c r="AF222" s="15" t="str">
        <f t="shared" si="16"/>
        <v>Electropolished Pipe Supply Into Tuas - Certification &amp; Transit</v>
      </c>
      <c r="AG222" s="15" t="str">
        <f t="shared" si="17"/>
        <v>Electropolished Pipes Wholesaler in Tuas - Project Quantities &amp; Terms</v>
      </c>
      <c r="AH222" s="15" t="str">
        <f t="shared" si="18"/>
        <v>electropolished pipes manufacturer in Tuas, electropolished pipes supplier in Tuas, electropolished pipes wholesaler in Tuas, electropolished tube manufacturer Tuas, EP pipe supplier Tuas, sanitary tube supplier Tuas, ASME BPE tubing Tuas, ASTM A270 tube Tuas, SS 316L electropolished pipe Tuas</v>
      </c>
      <c r="AI222" s="15" t="str">
        <f t="shared" si="19"/>
        <v>Electropolished Pipes Manufacturer &amp; Supplier in Tuas</v>
      </c>
      <c r="AJ222" s="15" t="str">
        <f t="shared" si="20"/>
        <v>EP-finished SS 304/316L pipes and tubes for pharma &amp; API &amp; pharma plants in Tuas. ASME BPE SF1-SF4, Ra from 0.25 um, EN 10204 3.1 certificate with every lot.</v>
      </c>
      <c r="AK222" s="15" t="str">
        <f t="shared" si="21"/>
        <v>Electropolished stainless steel pipes supplied by Sakshi Forge to pharma &amp; API &amp; pharma plants at Tuas Biomedical Park, Tuas</v>
      </c>
      <c r="AL222" s="15" t="str">
        <f t="shared" si="22"/>
        <v>Electropolished SS 316L tube stock for Tuas - Sakshi Forge</v>
      </c>
      <c r="AM222" s="15" t="str">
        <f t="shared" si="23"/>
        <v>Home &gt; Market Area &gt; Singapore &gt; West Region &gt; Tuas</v>
      </c>
      <c r="AN222" s="15">
        <f t="shared" si="24"/>
        <v>1400</v>
      </c>
      <c r="AO222" s="15">
        <f t="shared" si="25"/>
        <v>10</v>
      </c>
      <c r="AP222" s="15">
        <f t="shared" si="26"/>
        <v>12</v>
      </c>
      <c r="AQ222" s="15">
        <f t="shared" si="27"/>
        <v>4</v>
      </c>
      <c r="AR222" s="31"/>
      <c r="AS222" s="31"/>
      <c r="AT222" s="35" t="s">
        <v>222</v>
      </c>
      <c r="AU222" s="35"/>
    </row>
    <row r="223" ht="15.75" customHeight="1">
      <c r="A223" s="15" t="s">
        <v>8081</v>
      </c>
      <c r="B223" s="15" t="s">
        <v>422</v>
      </c>
      <c r="C223" s="15" t="s">
        <v>8082</v>
      </c>
      <c r="D223" s="15" t="s">
        <v>8083</v>
      </c>
      <c r="E223" s="15" t="s">
        <v>8083</v>
      </c>
      <c r="F223" s="16" t="s">
        <v>87</v>
      </c>
      <c r="G223" s="17" t="s">
        <v>88</v>
      </c>
      <c r="H223" s="18" t="s">
        <v>8084</v>
      </c>
      <c r="I223" s="18" t="s">
        <v>8085</v>
      </c>
      <c r="J223" s="18" t="s">
        <v>8086</v>
      </c>
      <c r="K223" s="18" t="s">
        <v>4868</v>
      </c>
      <c r="L223" s="18" t="s">
        <v>8047</v>
      </c>
      <c r="M223" s="18" t="s">
        <v>614</v>
      </c>
      <c r="N223" s="18" t="s">
        <v>429</v>
      </c>
      <c r="O223" s="18" t="s">
        <v>98</v>
      </c>
      <c r="P223" s="15" t="str">
        <f t="shared" si="1"/>
        <v>SEMI</v>
      </c>
      <c r="Q223" s="15">
        <f t="shared" si="2"/>
        <v>4</v>
      </c>
      <c r="R223" s="15">
        <f t="shared" si="3"/>
        <v>3</v>
      </c>
      <c r="S223" s="15">
        <f t="shared" si="4"/>
        <v>5</v>
      </c>
      <c r="T223" s="15" t="str">
        <f t="shared" si="5"/>
        <v>A-4</v>
      </c>
      <c r="U223" s="15" t="str">
        <f t="shared" si="6"/>
        <v>T4-M3-H5-FA-4-SEMI</v>
      </c>
      <c r="V223" s="15">
        <f t="shared" si="7"/>
        <v>0</v>
      </c>
      <c r="W223" s="31"/>
      <c r="X223" s="15" t="str">
        <f t="shared" si="8"/>
        <v>woodlands-singapore</v>
      </c>
      <c r="Y223" s="32" t="str">
        <f t="shared" si="9"/>
        <v>https://steelmanufacturer.in/market-area/electropolished-pipes-manufacturer-in-woodlands-singapore/</v>
      </c>
      <c r="Z223" s="15" t="str">
        <f t="shared" si="10"/>
        <v>Electropolished Pipes Manufacturer in Woodlands</v>
      </c>
      <c r="AA223" s="15" t="str">
        <f t="shared" si="11"/>
        <v>OK (47)</v>
      </c>
      <c r="AB223" s="15" t="str">
        <f t="shared" si="12"/>
        <v>EP stainless tube for semiconductor lines in Woodlands. 6-9 days sea from Nhava Sheva to Singapore. ASTM A270 S2, PMI tested, EN 10204 3.1.</v>
      </c>
      <c r="AC223" s="15" t="str">
        <f t="shared" si="13"/>
        <v>OK (139)</v>
      </c>
      <c r="AD223" s="15" t="str">
        <f t="shared" si="14"/>
        <v>Electropolished Pipes Manufacturer in Woodlands</v>
      </c>
      <c r="AE223" s="15" t="str">
        <f t="shared" si="15"/>
        <v>Electropolished Tube Manufacturing Capability Serving Woodlands</v>
      </c>
      <c r="AF223" s="15" t="str">
        <f t="shared" si="16"/>
        <v>Electropolished Pipes Supplier in Woodlands - From Order to Delivery</v>
      </c>
      <c r="AG223" s="15" t="str">
        <f t="shared" si="17"/>
        <v>Stockist &amp; Wholesale Supply of Electropolished Pipes in Woodlands</v>
      </c>
      <c r="AH223" s="15" t="str">
        <f t="shared" si="18"/>
        <v>electropolished pipes manufacturer in Woodlands, electropolished pipes supplier in Woodlands, electropolished pipes wholesaler in Woodlands, electropolished tube manufacturer Woodlands, EP pipe supplier Woodlands, sanitary tube supplier Woodlands, ASME BPE tubing Woodlands, ASTM A270 tube Woodlands, SS 316L electropolished pipe Woodlands</v>
      </c>
      <c r="AI223" s="15" t="str">
        <f t="shared" si="19"/>
        <v>Electropolished Pipes Manufacturer &amp; Supplier in Woodlands</v>
      </c>
      <c r="AJ223" s="15" t="str">
        <f t="shared" si="20"/>
        <v>EP-finished SS 304/316L pipes and tubes for semiconductor plants in Woodlands. ASME BPE SF1-SF4, Ra from 0.25 um, EN 10204 3.1 certificate with every lot.</v>
      </c>
      <c r="AK223" s="15" t="str">
        <f t="shared" si="21"/>
        <v>Electropolished stainless steel pipes supplied by Sakshi Forge to semiconductor plants at Woodlands Wafer Fab Park, Woodlands</v>
      </c>
      <c r="AL223" s="15" t="str">
        <f t="shared" si="22"/>
        <v>Electropolished SS 316L tube stock for Woodlands - Sakshi Forge</v>
      </c>
      <c r="AM223" s="15" t="str">
        <f t="shared" si="23"/>
        <v>Home &gt; Market Area &gt; Singapore &gt; North Region &gt; Woodlands</v>
      </c>
      <c r="AN223" s="15">
        <f t="shared" si="24"/>
        <v>1400</v>
      </c>
      <c r="AO223" s="15">
        <f t="shared" si="25"/>
        <v>10</v>
      </c>
      <c r="AP223" s="15">
        <f t="shared" si="26"/>
        <v>12</v>
      </c>
      <c r="AQ223" s="15">
        <f t="shared" si="27"/>
        <v>4</v>
      </c>
      <c r="AR223" s="31"/>
      <c r="AS223" s="31"/>
      <c r="AT223" s="35" t="s">
        <v>222</v>
      </c>
      <c r="AU223" s="35"/>
    </row>
    <row r="224" ht="15.75" customHeight="1">
      <c r="A224" s="15" t="s">
        <v>8087</v>
      </c>
      <c r="B224" s="15" t="s">
        <v>380</v>
      </c>
      <c r="C224" s="15" t="s">
        <v>8088</v>
      </c>
      <c r="D224" s="15" t="s">
        <v>8089</v>
      </c>
      <c r="E224" s="15" t="s">
        <v>8089</v>
      </c>
      <c r="F224" s="16" t="s">
        <v>87</v>
      </c>
      <c r="G224" s="17" t="s">
        <v>88</v>
      </c>
      <c r="H224" s="18" t="s">
        <v>8090</v>
      </c>
      <c r="I224" s="18" t="s">
        <v>8091</v>
      </c>
      <c r="J224" s="18" t="s">
        <v>8092</v>
      </c>
      <c r="K224" s="18" t="s">
        <v>229</v>
      </c>
      <c r="L224" s="18" t="s">
        <v>8093</v>
      </c>
      <c r="M224" s="18" t="s">
        <v>596</v>
      </c>
      <c r="N224" s="18" t="s">
        <v>402</v>
      </c>
      <c r="O224" s="18" t="s">
        <v>98</v>
      </c>
      <c r="P224" s="15" t="str">
        <f t="shared" si="1"/>
        <v>PHARMA</v>
      </c>
      <c r="Q224" s="15">
        <f t="shared" si="2"/>
        <v>5</v>
      </c>
      <c r="R224" s="15">
        <f t="shared" si="3"/>
        <v>4</v>
      </c>
      <c r="S224" s="15">
        <f t="shared" si="4"/>
        <v>1</v>
      </c>
      <c r="T224" s="15" t="str">
        <f t="shared" si="5"/>
        <v>A-5</v>
      </c>
      <c r="U224" s="15" t="str">
        <f t="shared" si="6"/>
        <v>T5-M4-H1-FA-5-PHARMA</v>
      </c>
      <c r="V224" s="15">
        <f t="shared" si="7"/>
        <v>0</v>
      </c>
      <c r="W224" s="31"/>
      <c r="X224" s="15" t="str">
        <f t="shared" si="8"/>
        <v>barcelona-spain</v>
      </c>
      <c r="Y224" s="32" t="str">
        <f t="shared" si="9"/>
        <v>https://steelmanufacturer.in/market-area/electropolished-pipes-manufacturer-in-barcelona-spain/</v>
      </c>
      <c r="Z224" s="15" t="str">
        <f t="shared" si="10"/>
        <v>Electropolished Pipes Manufacturer in Barcelona</v>
      </c>
      <c r="AA224" s="15" t="str">
        <f t="shared" si="11"/>
        <v>OK (47)</v>
      </c>
      <c r="AB224" s="15" t="str">
        <f t="shared" si="12"/>
        <v>Sanitary electropolished pipes in Barcelona for pharma plants. ASME BPE SF1-SF4, orbital-weld ready, 3.1 MTC. Mumbai-made.</v>
      </c>
      <c r="AC224" s="15" t="str">
        <f t="shared" si="13"/>
        <v>OK (122)</v>
      </c>
      <c r="AD224" s="15" t="str">
        <f t="shared" si="14"/>
        <v>Electropolished Pipes Manufacturer in Barcelona</v>
      </c>
      <c r="AE224" s="15" t="str">
        <f t="shared" si="15"/>
        <v>Electropolished Pipe &amp; Tube Manufacturing for Barcelona - Grades, Finishes &amp; Certification</v>
      </c>
      <c r="AF224" s="15" t="str">
        <f t="shared" si="16"/>
        <v>Electropolished Pipes Supplier in Barcelona - Stock Sizes, Lead Time &amp; Delivery</v>
      </c>
      <c r="AG224" s="15" t="str">
        <f t="shared" si="17"/>
        <v>Electropolished Pipes Wholesaler &amp; Stockist in Barcelona - Bulk &amp; Project Pricing</v>
      </c>
      <c r="AH224" s="15" t="str">
        <f t="shared" si="18"/>
        <v>electropolished pipes manufacturer in Barcelona, electropolished pipes supplier in Barcelona, electropolished pipes wholesaler in Barcelona, electropolished tube manufacturer Barcelona, EP pipe supplier Barcelona, sanitary tube supplier Barcelona, ASME BPE tubing Barcelona, ASTM A270 tube Barcelona, SS 316L electropolished pipe Barcelona</v>
      </c>
      <c r="AI224" s="15" t="str">
        <f t="shared" si="19"/>
        <v>Electropolished Pipes Manufacturer &amp; Supplier in Barcelona</v>
      </c>
      <c r="AJ224" s="15" t="str">
        <f t="shared" si="20"/>
        <v>EP-finished SS 304/316L pipes and tubes for pharma plants in Barcelona. ASME BPE SF1-SF4, Ra from 0.25 um, EN 10204 3.1 certificate with every lot.</v>
      </c>
      <c r="AK224" s="15" t="str">
        <f t="shared" si="21"/>
        <v>Electropolished stainless steel pipes supplied by Sakshi Forge to pharma plants at Zona Franca Barcelona, Barcelona</v>
      </c>
      <c r="AL224" s="15" t="str">
        <f t="shared" si="22"/>
        <v>Electropolished SS 316L tube stock for Barcelona - Sakshi Forge</v>
      </c>
      <c r="AM224" s="15" t="str">
        <f t="shared" si="23"/>
        <v>Home &gt; Market Area &gt; Spain &gt; Catalonia &gt; Barcelona</v>
      </c>
      <c r="AN224" s="15">
        <f t="shared" si="24"/>
        <v>1400</v>
      </c>
      <c r="AO224" s="15">
        <f t="shared" si="25"/>
        <v>10</v>
      </c>
      <c r="AP224" s="15">
        <f t="shared" si="26"/>
        <v>12</v>
      </c>
      <c r="AQ224" s="15">
        <f t="shared" si="27"/>
        <v>4</v>
      </c>
      <c r="AR224" s="31"/>
      <c r="AS224" s="31"/>
      <c r="AT224" s="35" t="s">
        <v>222</v>
      </c>
      <c r="AU224" s="35"/>
    </row>
    <row r="225" ht="15.75" customHeight="1">
      <c r="A225" s="15" t="s">
        <v>8094</v>
      </c>
      <c r="B225" s="15" t="s">
        <v>380</v>
      </c>
      <c r="C225" s="15" t="s">
        <v>8095</v>
      </c>
      <c r="D225" s="15" t="s">
        <v>8096</v>
      </c>
      <c r="E225" s="15" t="s">
        <v>8096</v>
      </c>
      <c r="F225" s="16" t="s">
        <v>87</v>
      </c>
      <c r="G225" s="17" t="s">
        <v>88</v>
      </c>
      <c r="H225" s="18" t="s">
        <v>8097</v>
      </c>
      <c r="I225" s="18" t="s">
        <v>8098</v>
      </c>
      <c r="J225" s="18" t="s">
        <v>8099</v>
      </c>
      <c r="K225" s="18" t="s">
        <v>94</v>
      </c>
      <c r="L225" s="18" t="s">
        <v>8100</v>
      </c>
      <c r="M225" s="18" t="s">
        <v>596</v>
      </c>
      <c r="N225" s="18" t="s">
        <v>402</v>
      </c>
      <c r="O225" s="18" t="s">
        <v>98</v>
      </c>
      <c r="P225" s="15" t="str">
        <f t="shared" si="1"/>
        <v>FOOD</v>
      </c>
      <c r="Q225" s="15">
        <f t="shared" si="2"/>
        <v>6</v>
      </c>
      <c r="R225" s="15">
        <f t="shared" si="3"/>
        <v>5</v>
      </c>
      <c r="S225" s="15">
        <f t="shared" si="4"/>
        <v>2</v>
      </c>
      <c r="T225" s="15" t="str">
        <f t="shared" si="5"/>
        <v>A-6</v>
      </c>
      <c r="U225" s="15" t="str">
        <f t="shared" si="6"/>
        <v>T6-M5-H2-FA-6-FOOD</v>
      </c>
      <c r="V225" s="15">
        <f t="shared" si="7"/>
        <v>0</v>
      </c>
      <c r="W225" s="31"/>
      <c r="X225" s="15" t="str">
        <f t="shared" si="8"/>
        <v>bilbao-spain</v>
      </c>
      <c r="Y225" s="32" t="str">
        <f t="shared" si="9"/>
        <v>https://steelmanufacturer.in/market-area/electropolished-pipes-manufacturer-in-bilbao-spain/</v>
      </c>
      <c r="Z225" s="15" t="str">
        <f t="shared" si="10"/>
        <v>Electropolished Pipes Manufacturer in Bilbao</v>
      </c>
      <c r="AA225" s="15" t="str">
        <f t="shared" si="11"/>
        <v>OK (44)</v>
      </c>
      <c r="AB225" s="15" t="str">
        <f t="shared" si="12"/>
        <v>Manufacturer of electropolished SS 316L tube serving Bilbao. 19-25 days sea from Nhava Sheva to Valencia. Ra 0.25-0.5 um, EN 10204 3.1 MTC.</v>
      </c>
      <c r="AC225" s="15" t="str">
        <f t="shared" si="13"/>
        <v>OK (139)</v>
      </c>
      <c r="AD225" s="15" t="str">
        <f t="shared" si="14"/>
        <v>Electropolished Pipes Manufacturer in Bilbao</v>
      </c>
      <c r="AE225" s="15" t="str">
        <f t="shared" si="15"/>
        <v>How We Manufacture Electropolished Tube for Bilbao Plants</v>
      </c>
      <c r="AF225" s="15" t="str">
        <f t="shared" si="16"/>
        <v>Supplying Electropolished Pipes in Bilbao: Availability, Sizes &amp; Dispatch</v>
      </c>
      <c r="AG225" s="15" t="str">
        <f t="shared" si="17"/>
        <v>Wholesale Electropolished Pipe Supply for Bilbao Projects</v>
      </c>
      <c r="AH225" s="15" t="str">
        <f t="shared" si="18"/>
        <v>electropolished pipes manufacturer in Bilbao, electropolished pipes supplier in Bilbao, electropolished pipes wholesaler in Bilbao, electropolished tube manufacturer Bilbao, EP pipe supplier Bilbao, sanitary tube supplier Bilbao, ASME BPE tubing Bilbao, ASTM A270 tube Bilbao, SS 316L electropolished pipe Bilbao</v>
      </c>
      <c r="AI225" s="15" t="str">
        <f t="shared" si="19"/>
        <v>Electropolished Pipes Manufacturer &amp; Supplier in Bilbao</v>
      </c>
      <c r="AJ225" s="15" t="str">
        <f t="shared" si="20"/>
        <v>EP-finished SS 304/316L pipes and tubes for food processing plants in Bilbao. ASME BPE SF1-SF4, Ra from 0.25 um, EN 10204 3.1 certificate with every lot.</v>
      </c>
      <c r="AK225" s="15" t="str">
        <f t="shared" si="21"/>
        <v>Electropolished stainless steel pipes supplied by Sakshi Forge to food processing plants at Poligono Asua-Erletxes, Bilbao</v>
      </c>
      <c r="AL225" s="15" t="str">
        <f t="shared" si="22"/>
        <v>Electropolished SS 316L tube stock for Bilbao - Sakshi Forge</v>
      </c>
      <c r="AM225" s="15" t="str">
        <f t="shared" si="23"/>
        <v>Home &gt; Market Area &gt; Spain &gt; Basque Country &gt; Bilbao</v>
      </c>
      <c r="AN225" s="15">
        <f t="shared" si="24"/>
        <v>1400</v>
      </c>
      <c r="AO225" s="15">
        <f t="shared" si="25"/>
        <v>10</v>
      </c>
      <c r="AP225" s="15">
        <f t="shared" si="26"/>
        <v>12</v>
      </c>
      <c r="AQ225" s="15">
        <f t="shared" si="27"/>
        <v>4</v>
      </c>
      <c r="AR225" s="31"/>
      <c r="AS225" s="31"/>
      <c r="AT225" s="35" t="s">
        <v>222</v>
      </c>
      <c r="AU225" s="35"/>
    </row>
    <row r="226" ht="15.75" customHeight="1">
      <c r="A226" s="15" t="s">
        <v>8101</v>
      </c>
      <c r="B226" s="15" t="s">
        <v>380</v>
      </c>
      <c r="C226" s="15" t="s">
        <v>8088</v>
      </c>
      <c r="D226" s="15" t="s">
        <v>8102</v>
      </c>
      <c r="E226" s="15" t="s">
        <v>8102</v>
      </c>
      <c r="F226" s="16" t="s">
        <v>87</v>
      </c>
      <c r="G226" s="17" t="s">
        <v>88</v>
      </c>
      <c r="H226" s="18" t="s">
        <v>8103</v>
      </c>
      <c r="I226" s="18" t="s">
        <v>8104</v>
      </c>
      <c r="J226" s="18" t="s">
        <v>8105</v>
      </c>
      <c r="K226" s="18" t="s">
        <v>94</v>
      </c>
      <c r="L226" s="18" t="s">
        <v>8093</v>
      </c>
      <c r="M226" s="18" t="s">
        <v>596</v>
      </c>
      <c r="N226" s="18" t="s">
        <v>402</v>
      </c>
      <c r="O226" s="18" t="s">
        <v>98</v>
      </c>
      <c r="P226" s="15" t="str">
        <f t="shared" si="1"/>
        <v>FOOD</v>
      </c>
      <c r="Q226" s="15">
        <f t="shared" si="2"/>
        <v>7</v>
      </c>
      <c r="R226" s="15">
        <f t="shared" si="3"/>
        <v>6</v>
      </c>
      <c r="S226" s="15">
        <f t="shared" si="4"/>
        <v>3</v>
      </c>
      <c r="T226" s="15" t="str">
        <f t="shared" si="5"/>
        <v>A-1</v>
      </c>
      <c r="U226" s="15" t="str">
        <f t="shared" si="6"/>
        <v>T7-M6-H3-FA-1-FOOD</v>
      </c>
      <c r="V226" s="15">
        <f t="shared" si="7"/>
        <v>0</v>
      </c>
      <c r="W226" s="31"/>
      <c r="X226" s="15" t="str">
        <f t="shared" si="8"/>
        <v>girona-spain</v>
      </c>
      <c r="Y226" s="32" t="str">
        <f t="shared" si="9"/>
        <v>https://steelmanufacturer.in/market-area/electropolished-pipes-manufacturer-in-girona-spain/</v>
      </c>
      <c r="Z226" s="15" t="str">
        <f t="shared" si="10"/>
        <v>Electropolished Pipes Manufacturer in Girona | ASME BPE SF1-SF4</v>
      </c>
      <c r="AA226" s="15" t="str">
        <f t="shared" si="11"/>
        <v>OK (63)</v>
      </c>
      <c r="AB226" s="15" t="str">
        <f t="shared" si="12"/>
        <v>EP tube and pipe for food processing plants around Poligono Mas Xirgu, Girona. Made at our Mumbai works to ASTM A270 and ASME BPE SF1-SF4, with 3.1 MTC.</v>
      </c>
      <c r="AC226" s="15" t="str">
        <f t="shared" si="13"/>
        <v>OK (152)</v>
      </c>
      <c r="AD226" s="15" t="str">
        <f t="shared" si="14"/>
        <v>Electropolished Pipes Manufacturer in Girona</v>
      </c>
      <c r="AE226" s="15" t="str">
        <f t="shared" si="15"/>
        <v>Electropolished Pipes Manufacturer in Girona - Our Process &amp; Capability</v>
      </c>
      <c r="AF226" s="15" t="str">
        <f t="shared" si="16"/>
        <v>Electropolished Pipes Supplier in Girona - What We Hold in Stock</v>
      </c>
      <c r="AG226" s="15" t="str">
        <f t="shared" si="17"/>
        <v>Bulk &amp; Wholesale Electropolished Pipe Rates for Girona Buyers</v>
      </c>
      <c r="AH226" s="15" t="str">
        <f t="shared" si="18"/>
        <v>electropolished pipes manufacturer in Girona, electropolished pipes supplier in Girona, electropolished pipes wholesaler in Girona, electropolished tube manufacturer Girona, EP pipe supplier Girona, sanitary tube supplier Girona, ASME BPE tubing Girona, ASTM A270 tube Girona, SS 316L electropolished pipe Girona</v>
      </c>
      <c r="AI226" s="15" t="str">
        <f t="shared" si="19"/>
        <v>Electropolished Pipes Manufacturer &amp; Supplier in Girona</v>
      </c>
      <c r="AJ226" s="15" t="str">
        <f t="shared" si="20"/>
        <v>EP-finished SS 304/316L pipes and tubes for food processing plants in Girona. ASME BPE SF1-SF4, Ra from 0.25 um, EN 10204 3.1 certificate with every lot.</v>
      </c>
      <c r="AK226" s="15" t="str">
        <f t="shared" si="21"/>
        <v>Electropolished stainless steel pipes supplied by Sakshi Forge to food processing plants at Poligono Mas Xirgu, Girona</v>
      </c>
      <c r="AL226" s="15" t="str">
        <f t="shared" si="22"/>
        <v>Electropolished SS 316L tube stock for Girona - Sakshi Forge</v>
      </c>
      <c r="AM226" s="15" t="str">
        <f t="shared" si="23"/>
        <v>Home &gt; Market Area &gt; Spain &gt; Catalonia &gt; Girona</v>
      </c>
      <c r="AN226" s="15">
        <f t="shared" si="24"/>
        <v>1400</v>
      </c>
      <c r="AO226" s="15">
        <f t="shared" si="25"/>
        <v>10</v>
      </c>
      <c r="AP226" s="15">
        <f t="shared" si="26"/>
        <v>12</v>
      </c>
      <c r="AQ226" s="15">
        <f t="shared" si="27"/>
        <v>4</v>
      </c>
      <c r="AR226" s="31"/>
      <c r="AS226" s="31"/>
      <c r="AT226" s="35" t="s">
        <v>222</v>
      </c>
      <c r="AU226" s="35"/>
    </row>
    <row r="227" ht="15.75" customHeight="1">
      <c r="A227" s="15" t="s">
        <v>8106</v>
      </c>
      <c r="B227" s="15" t="s">
        <v>380</v>
      </c>
      <c r="C227" s="15" t="s">
        <v>8107</v>
      </c>
      <c r="D227" s="15" t="s">
        <v>8108</v>
      </c>
      <c r="E227" s="15" t="s">
        <v>8108</v>
      </c>
      <c r="F227" s="16" t="s">
        <v>87</v>
      </c>
      <c r="G227" s="17" t="s">
        <v>88</v>
      </c>
      <c r="H227" s="18" t="s">
        <v>8109</v>
      </c>
      <c r="I227" s="18" t="s">
        <v>8110</v>
      </c>
      <c r="J227" s="18" t="s">
        <v>6951</v>
      </c>
      <c r="K227" s="18" t="s">
        <v>4208</v>
      </c>
      <c r="L227" s="18" t="s">
        <v>8111</v>
      </c>
      <c r="M227" s="18" t="s">
        <v>596</v>
      </c>
      <c r="N227" s="18" t="s">
        <v>402</v>
      </c>
      <c r="O227" s="18" t="s">
        <v>98</v>
      </c>
      <c r="P227" s="15" t="str">
        <f t="shared" si="1"/>
        <v>BIOTECH</v>
      </c>
      <c r="Q227" s="15">
        <f t="shared" si="2"/>
        <v>8</v>
      </c>
      <c r="R227" s="15">
        <f t="shared" si="3"/>
        <v>7</v>
      </c>
      <c r="S227" s="15">
        <f t="shared" si="4"/>
        <v>4</v>
      </c>
      <c r="T227" s="15" t="str">
        <f t="shared" si="5"/>
        <v>A-2</v>
      </c>
      <c r="U227" s="15" t="str">
        <f t="shared" si="6"/>
        <v>T8-M7-H4-FA-2-BIOTECH</v>
      </c>
      <c r="V227" s="15">
        <f t="shared" si="7"/>
        <v>0</v>
      </c>
      <c r="W227" s="31"/>
      <c r="X227" s="15" t="str">
        <f t="shared" si="8"/>
        <v>madrid-spain</v>
      </c>
      <c r="Y227" s="32" t="str">
        <f t="shared" si="9"/>
        <v>https://steelmanufacturer.in/market-area/electropolished-pipes-manufacturer-in-madrid-spain/</v>
      </c>
      <c r="Z227" s="15" t="str">
        <f t="shared" si="10"/>
        <v>Electropolished Pipes Manufacturer in Madrid - EP Tube Stockist</v>
      </c>
      <c r="AA227" s="15" t="str">
        <f t="shared" si="11"/>
        <v>OK (63)</v>
      </c>
      <c r="AB227" s="15" t="str">
        <f t="shared" si="12"/>
        <v>Electropolished pipes in Madrid: 304, 304L, 316 and 316L in SF1-SF4. 19-25 days sea from Nhava Sheva to Valencia. Mill certified.</v>
      </c>
      <c r="AC227" s="15" t="str">
        <f t="shared" si="13"/>
        <v>OK (129)</v>
      </c>
      <c r="AD227" s="15" t="str">
        <f t="shared" si="14"/>
        <v>Electropolished Pipes Manufacturer in Madrid</v>
      </c>
      <c r="AE227" s="15" t="str">
        <f t="shared" si="15"/>
        <v>Manufacturing Electropolished SS Tube for Madrid: The Standards We Build To</v>
      </c>
      <c r="AF227" s="15" t="str">
        <f t="shared" si="16"/>
        <v>Electropolished Pipe Supply Into Madrid - Certification &amp; Transit</v>
      </c>
      <c r="AG227" s="15" t="str">
        <f t="shared" si="17"/>
        <v>Electropolished Pipes Wholesaler in Madrid - Project Quantities &amp; Terms</v>
      </c>
      <c r="AH227" s="15" t="str">
        <f t="shared" si="18"/>
        <v>electropolished pipes manufacturer in Madrid, electropolished pipes supplier in Madrid, electropolished pipes wholesaler in Madrid, electropolished tube manufacturer Madrid, EP pipe supplier Madrid, sanitary tube supplier Madrid, ASME BPE tubing Madrid, ASTM A270 tube Madrid, SS 316L electropolished pipe Madrid</v>
      </c>
      <c r="AI227" s="15" t="str">
        <f t="shared" si="19"/>
        <v>Electropolished Pipes Manufacturer &amp; Supplier in Madrid</v>
      </c>
      <c r="AJ227" s="15" t="str">
        <f t="shared" si="20"/>
        <v>EP-finished SS 304/316L pipes and tubes for pharma &amp; biotech plants in Madrid. ASME BPE SF1-SF4, Ra from 0.25 um, EN 10204 3.1 certificate with every lot.</v>
      </c>
      <c r="AK227" s="15" t="str">
        <f t="shared" si="21"/>
        <v>Electropolished stainless steel pipes supplied by Sakshi Forge to pharma &amp; biotech plants at Poligono Vallecas, Madrid</v>
      </c>
      <c r="AL227" s="15" t="str">
        <f t="shared" si="22"/>
        <v>Electropolished SS 316L tube stock for Madrid - Sakshi Forge</v>
      </c>
      <c r="AM227" s="15" t="str">
        <f t="shared" si="23"/>
        <v>Home &gt; Market Area &gt; Spain &gt; Community of Madrid &gt; Madrid</v>
      </c>
      <c r="AN227" s="15">
        <f t="shared" si="24"/>
        <v>1400</v>
      </c>
      <c r="AO227" s="15">
        <f t="shared" si="25"/>
        <v>10</v>
      </c>
      <c r="AP227" s="15">
        <f t="shared" si="26"/>
        <v>12</v>
      </c>
      <c r="AQ227" s="15">
        <f t="shared" si="27"/>
        <v>4</v>
      </c>
      <c r="AR227" s="31"/>
      <c r="AS227" s="31"/>
      <c r="AT227" s="35" t="s">
        <v>222</v>
      </c>
      <c r="AU227" s="35"/>
    </row>
    <row r="228" ht="15.75" customHeight="1">
      <c r="A228" s="15" t="s">
        <v>8112</v>
      </c>
      <c r="B228" s="15" t="s">
        <v>380</v>
      </c>
      <c r="C228" s="15" t="s">
        <v>8113</v>
      </c>
      <c r="D228" s="15" t="s">
        <v>8114</v>
      </c>
      <c r="E228" s="15" t="s">
        <v>8114</v>
      </c>
      <c r="F228" s="16" t="s">
        <v>87</v>
      </c>
      <c r="G228" s="17" t="s">
        <v>88</v>
      </c>
      <c r="H228" s="18" t="s">
        <v>8115</v>
      </c>
      <c r="I228" s="18" t="s">
        <v>8116</v>
      </c>
      <c r="J228" s="18" t="s">
        <v>8117</v>
      </c>
      <c r="K228" s="18" t="s">
        <v>94</v>
      </c>
      <c r="L228" s="18" t="s">
        <v>8118</v>
      </c>
      <c r="M228" s="18" t="s">
        <v>596</v>
      </c>
      <c r="N228" s="18" t="s">
        <v>402</v>
      </c>
      <c r="O228" s="18" t="s">
        <v>98</v>
      </c>
      <c r="P228" s="15" t="str">
        <f t="shared" si="1"/>
        <v>FOOD</v>
      </c>
      <c r="Q228" s="15">
        <f t="shared" si="2"/>
        <v>1</v>
      </c>
      <c r="R228" s="15">
        <f t="shared" si="3"/>
        <v>1</v>
      </c>
      <c r="S228" s="15">
        <f t="shared" si="4"/>
        <v>5</v>
      </c>
      <c r="T228" s="15" t="str">
        <f t="shared" si="5"/>
        <v>A-3</v>
      </c>
      <c r="U228" s="15" t="str">
        <f t="shared" si="6"/>
        <v>T1-M1-H5-FA-3-FOOD</v>
      </c>
      <c r="V228" s="15">
        <f t="shared" si="7"/>
        <v>0</v>
      </c>
      <c r="W228" s="31"/>
      <c r="X228" s="15" t="str">
        <f t="shared" si="8"/>
        <v>sevilla-spain</v>
      </c>
      <c r="Y228" s="32" t="str">
        <f t="shared" si="9"/>
        <v>https://steelmanufacturer.in/market-area/electropolished-pipes-manufacturer-in-sevilla-spain/</v>
      </c>
      <c r="Z228" s="15" t="str">
        <f t="shared" si="10"/>
        <v>Electropolished Pipes Manufacturer in Sevilla | Sakshi Forge</v>
      </c>
      <c r="AA228" s="15" t="str">
        <f t="shared" si="11"/>
        <v>OK (60)</v>
      </c>
      <c r="AB228" s="15" t="str">
        <f t="shared" si="12"/>
        <v>EP-finished SS 304/316L pipes &amp; tubes for food processing plants in Sevilla. ASTM A270, ASME BPE SF1-SF4, EN 10204 3.1 MTC. PMI tested.</v>
      </c>
      <c r="AC228" s="15" t="str">
        <f t="shared" si="13"/>
        <v>OK (135)</v>
      </c>
      <c r="AD228" s="15" t="str">
        <f t="shared" si="14"/>
        <v>Electropolished Pipes Manufacturer in Sevilla</v>
      </c>
      <c r="AE228" s="15" t="str">
        <f t="shared" si="15"/>
        <v>Electropolished Tube Manufacturing Capability Serving Sevilla</v>
      </c>
      <c r="AF228" s="15" t="str">
        <f t="shared" si="16"/>
        <v>Electropolished Pipes Supplier in Sevilla - From Order to Delivery</v>
      </c>
      <c r="AG228" s="15" t="str">
        <f t="shared" si="17"/>
        <v>Stockist &amp; Wholesale Supply of Electropolished Pipes in Sevilla</v>
      </c>
      <c r="AH228" s="15" t="str">
        <f t="shared" si="18"/>
        <v>electropolished pipes manufacturer in Sevilla, electropolished pipes supplier in Sevilla, electropolished pipes wholesaler in Sevilla, electropolished tube manufacturer Sevilla, EP pipe supplier Sevilla, sanitary tube supplier Sevilla, ASME BPE tubing Sevilla, ASTM A270 tube Sevilla, SS 316L electropolished pipe Sevilla</v>
      </c>
      <c r="AI228" s="15" t="str">
        <f t="shared" si="19"/>
        <v>Electropolished Pipes Manufacturer &amp; Supplier in Sevilla</v>
      </c>
      <c r="AJ228" s="15" t="str">
        <f t="shared" si="20"/>
        <v>EP-finished SS 304/316L pipes and tubes for food processing plants in Sevilla. ASME BPE SF1-SF4, Ra from 0.25 um, EN 10204 3.1 certificate with every lot.</v>
      </c>
      <c r="AK228" s="15" t="str">
        <f t="shared" si="21"/>
        <v>Electropolished stainless steel pipes supplied by Sakshi Forge to food processing plants at Poligono Torneo, Sevilla</v>
      </c>
      <c r="AL228" s="15" t="str">
        <f t="shared" si="22"/>
        <v>Electropolished SS 316L tube stock for Sevilla - Sakshi Forge</v>
      </c>
      <c r="AM228" s="15" t="str">
        <f t="shared" si="23"/>
        <v>Home &gt; Market Area &gt; Spain &gt; Andalusia &gt; Sevilla</v>
      </c>
      <c r="AN228" s="15">
        <f t="shared" si="24"/>
        <v>1400</v>
      </c>
      <c r="AO228" s="15">
        <f t="shared" si="25"/>
        <v>10</v>
      </c>
      <c r="AP228" s="15">
        <f t="shared" si="26"/>
        <v>12</v>
      </c>
      <c r="AQ228" s="15">
        <f t="shared" si="27"/>
        <v>4</v>
      </c>
      <c r="AR228" s="31"/>
      <c r="AS228" s="31"/>
      <c r="AT228" s="35" t="s">
        <v>222</v>
      </c>
      <c r="AU228" s="35"/>
    </row>
    <row r="229" ht="15.75" customHeight="1">
      <c r="A229" s="15" t="s">
        <v>8119</v>
      </c>
      <c r="B229" s="15" t="s">
        <v>380</v>
      </c>
      <c r="C229" s="15" t="s">
        <v>8088</v>
      </c>
      <c r="D229" s="15" t="s">
        <v>8120</v>
      </c>
      <c r="E229" s="15" t="s">
        <v>8120</v>
      </c>
      <c r="F229" s="16" t="s">
        <v>87</v>
      </c>
      <c r="G229" s="17" t="s">
        <v>88</v>
      </c>
      <c r="H229" s="18" t="s">
        <v>8121</v>
      </c>
      <c r="I229" s="18" t="s">
        <v>8122</v>
      </c>
      <c r="J229" s="18" t="s">
        <v>8123</v>
      </c>
      <c r="K229" s="18" t="s">
        <v>1084</v>
      </c>
      <c r="L229" s="18" t="s">
        <v>8124</v>
      </c>
      <c r="M229" s="18" t="s">
        <v>596</v>
      </c>
      <c r="N229" s="18" t="s">
        <v>402</v>
      </c>
      <c r="O229" s="18" t="s">
        <v>98</v>
      </c>
      <c r="P229" s="15" t="str">
        <f t="shared" si="1"/>
        <v>CHEM</v>
      </c>
      <c r="Q229" s="15">
        <f t="shared" si="2"/>
        <v>2</v>
      </c>
      <c r="R229" s="15">
        <f t="shared" si="3"/>
        <v>2</v>
      </c>
      <c r="S229" s="15">
        <f t="shared" si="4"/>
        <v>1</v>
      </c>
      <c r="T229" s="15" t="str">
        <f t="shared" si="5"/>
        <v>A-4</v>
      </c>
      <c r="U229" s="15" t="str">
        <f t="shared" si="6"/>
        <v>T2-M2-H1-FA-4-CHEM</v>
      </c>
      <c r="V229" s="15">
        <f t="shared" si="7"/>
        <v>0</v>
      </c>
      <c r="W229" s="31"/>
      <c r="X229" s="15" t="str">
        <f t="shared" si="8"/>
        <v>tarragona-spain</v>
      </c>
      <c r="Y229" s="32" t="str">
        <f t="shared" si="9"/>
        <v>https://steelmanufacturer.in/market-area/electropolished-pipes-manufacturer-in-tarragona-spain/</v>
      </c>
      <c r="Z229" s="15" t="str">
        <f t="shared" si="10"/>
        <v>Electropolished Pipes Manufacturer in Tarragona</v>
      </c>
      <c r="AA229" s="15" t="str">
        <f t="shared" si="11"/>
        <v>OK (47)</v>
      </c>
      <c r="AB229" s="15" t="str">
        <f t="shared" si="12"/>
        <v>Electropolished tube supply to Tarragona Petrochemical Complex, Tarragona. Ra from 0.25 um, SF4 finish, mill test certificate with every lot.</v>
      </c>
      <c r="AC229" s="15" t="str">
        <f t="shared" si="13"/>
        <v>OK (141)</v>
      </c>
      <c r="AD229" s="15" t="str">
        <f t="shared" si="14"/>
        <v>Electropolished Pipes Manufacturer in Tarragona</v>
      </c>
      <c r="AE229" s="15" t="str">
        <f t="shared" si="15"/>
        <v>Electropolished Pipe &amp; Tube Manufacturing for Tarragona - Grades, Finishes &amp; Certification</v>
      </c>
      <c r="AF229" s="15" t="str">
        <f t="shared" si="16"/>
        <v>Electropolished Pipes Supplier in Tarragona - Stock Sizes, Lead Time &amp; Delivery</v>
      </c>
      <c r="AG229" s="15" t="str">
        <f t="shared" si="17"/>
        <v>Electropolished Pipes Wholesaler &amp; Stockist in Tarragona - Bulk &amp; Project Pricing</v>
      </c>
      <c r="AH229" s="15" t="str">
        <f t="shared" si="18"/>
        <v>electropolished pipes manufacturer in Tarragona, electropolished pipes supplier in Tarragona, electropolished pipes wholesaler in Tarragona, electropolished tube manufacturer Tarragona, EP pipe supplier Tarragona, sanitary tube supplier Tarragona, ASME BPE tubing Tarragona, ASTM A270 tube Tarragona, SS 316L electropolished pipe Tarragona</v>
      </c>
      <c r="AI229" s="15" t="str">
        <f t="shared" si="19"/>
        <v>Electropolished Pipes Manufacturer &amp; Supplier in Tarragona</v>
      </c>
      <c r="AJ229" s="15" t="str">
        <f t="shared" si="20"/>
        <v>EP-finished SS 304/316L pipes and tubes for petrochemical plants in Tarragona. ASME BPE SF1-SF4, Ra from 0.25 um, EN 10204 3.1 certificate with every lot.</v>
      </c>
      <c r="AK229" s="15" t="str">
        <f t="shared" si="21"/>
        <v>Electropolished stainless steel pipes supplied by Sakshi Forge to petrochemical plants at Tarragona Petrochemical Complex, Tarragona</v>
      </c>
      <c r="AL229" s="15" t="str">
        <f t="shared" si="22"/>
        <v>Electropolished SS 316L tube stock for Tarragona - Sakshi Forge</v>
      </c>
      <c r="AM229" s="15" t="str">
        <f t="shared" si="23"/>
        <v>Home &gt; Market Area &gt; Spain &gt; Catalonia &gt; Tarragona</v>
      </c>
      <c r="AN229" s="15">
        <f t="shared" si="24"/>
        <v>1400</v>
      </c>
      <c r="AO229" s="15">
        <f t="shared" si="25"/>
        <v>10</v>
      </c>
      <c r="AP229" s="15">
        <f t="shared" si="26"/>
        <v>12</v>
      </c>
      <c r="AQ229" s="15">
        <f t="shared" si="27"/>
        <v>4</v>
      </c>
      <c r="AR229" s="31"/>
      <c r="AS229" s="31"/>
      <c r="AT229" s="35" t="s">
        <v>222</v>
      </c>
      <c r="AU229" s="35"/>
    </row>
    <row r="230" ht="15.75" customHeight="1">
      <c r="A230" s="15" t="s">
        <v>8125</v>
      </c>
      <c r="B230" s="15" t="s">
        <v>380</v>
      </c>
      <c r="C230" s="15" t="s">
        <v>8126</v>
      </c>
      <c r="D230" s="15" t="s">
        <v>8127</v>
      </c>
      <c r="E230" s="15" t="s">
        <v>8127</v>
      </c>
      <c r="F230" s="16" t="s">
        <v>87</v>
      </c>
      <c r="G230" s="17" t="s">
        <v>88</v>
      </c>
      <c r="H230" s="18" t="s">
        <v>8128</v>
      </c>
      <c r="I230" s="18" t="s">
        <v>8129</v>
      </c>
      <c r="J230" s="18" t="s">
        <v>8130</v>
      </c>
      <c r="K230" s="18" t="s">
        <v>94</v>
      </c>
      <c r="L230" s="18" t="s">
        <v>8111</v>
      </c>
      <c r="M230" s="18" t="s">
        <v>596</v>
      </c>
      <c r="N230" s="18" t="s">
        <v>402</v>
      </c>
      <c r="O230" s="18" t="s">
        <v>98</v>
      </c>
      <c r="P230" s="15" t="str">
        <f t="shared" si="1"/>
        <v>FOOD</v>
      </c>
      <c r="Q230" s="15">
        <f t="shared" si="2"/>
        <v>3</v>
      </c>
      <c r="R230" s="15">
        <f t="shared" si="3"/>
        <v>3</v>
      </c>
      <c r="S230" s="15">
        <f t="shared" si="4"/>
        <v>2</v>
      </c>
      <c r="T230" s="15" t="str">
        <f t="shared" si="5"/>
        <v>A-5</v>
      </c>
      <c r="U230" s="15" t="str">
        <f t="shared" si="6"/>
        <v>T3-M3-H2-FA-5-FOOD</v>
      </c>
      <c r="V230" s="15">
        <f t="shared" si="7"/>
        <v>0</v>
      </c>
      <c r="W230" s="31"/>
      <c r="X230" s="15" t="str">
        <f t="shared" si="8"/>
        <v>valencia-spain</v>
      </c>
      <c r="Y230" s="32" t="str">
        <f t="shared" si="9"/>
        <v>https://steelmanufacturer.in/market-area/electropolished-pipes-manufacturer-in-valencia-spain/</v>
      </c>
      <c r="Z230" s="15" t="str">
        <f t="shared" si="10"/>
        <v>Electropolished Pipes Manufacturer in Valencia | EP Tube Supplier</v>
      </c>
      <c r="AA230" s="15" t="str">
        <f t="shared" si="11"/>
        <v>OK (65)</v>
      </c>
      <c r="AB230" s="15" t="str">
        <f t="shared" si="12"/>
        <v>EP stainless tube for food processing lines in Valencia. 19-25 days sea from Nhava Sheva to Valencia. ASTM A270 S2, PMI tested, EN 10204 3.1.</v>
      </c>
      <c r="AC230" s="15" t="str">
        <f t="shared" si="13"/>
        <v>OK (141)</v>
      </c>
      <c r="AD230" s="15" t="str">
        <f t="shared" si="14"/>
        <v>Electropolished Pipes Manufacturer in Valencia</v>
      </c>
      <c r="AE230" s="15" t="str">
        <f t="shared" si="15"/>
        <v>How We Manufacture Electropolished Tube for Valencia Plants</v>
      </c>
      <c r="AF230" s="15" t="str">
        <f t="shared" si="16"/>
        <v>Supplying Electropolished Pipes in Valencia: Availability, Sizes &amp; Dispatch</v>
      </c>
      <c r="AG230" s="15" t="str">
        <f t="shared" si="17"/>
        <v>Wholesale Electropolished Pipe Supply for Valencia Projects</v>
      </c>
      <c r="AH230" s="15" t="str">
        <f t="shared" si="18"/>
        <v>electropolished pipes manufacturer in Valencia, electropolished pipes supplier in Valencia, electropolished pipes wholesaler in Valencia, electropolished tube manufacturer Valencia, EP pipe supplier Valencia, sanitary tube supplier Valencia, ASME BPE tubing Valencia, ASTM A270 tube Valencia, SS 316L electropolished pipe Valencia</v>
      </c>
      <c r="AI230" s="15" t="str">
        <f t="shared" si="19"/>
        <v>Electropolished Pipes Manufacturer &amp; Supplier in Valencia</v>
      </c>
      <c r="AJ230" s="15" t="str">
        <f t="shared" si="20"/>
        <v>EP-finished SS 304/316L pipes and tubes for food processing plants in Valencia. ASME BPE SF1-SF4, Ra from 0.25 um, EN 10204 3.1 certificate with every lot.</v>
      </c>
      <c r="AK230" s="15" t="str">
        <f t="shared" si="21"/>
        <v>Electropolished stainless steel pipes supplied by Sakshi Forge to food processing plants at Parque Tecnologico Paterna, Valencia</v>
      </c>
      <c r="AL230" s="15" t="str">
        <f t="shared" si="22"/>
        <v>Electropolished SS 316L tube stock for Valencia - Sakshi Forge</v>
      </c>
      <c r="AM230" s="15" t="str">
        <f t="shared" si="23"/>
        <v>Home &gt; Market Area &gt; Spain &gt; Valencian Community &gt; Valencia</v>
      </c>
      <c r="AN230" s="15">
        <f t="shared" si="24"/>
        <v>1400</v>
      </c>
      <c r="AO230" s="15">
        <f t="shared" si="25"/>
        <v>10</v>
      </c>
      <c r="AP230" s="15">
        <f t="shared" si="26"/>
        <v>12</v>
      </c>
      <c r="AQ230" s="15">
        <f t="shared" si="27"/>
        <v>4</v>
      </c>
      <c r="AR230" s="31"/>
      <c r="AS230" s="31"/>
      <c r="AT230" s="35" t="s">
        <v>222</v>
      </c>
      <c r="AU230" s="35"/>
    </row>
    <row r="231" ht="15.75" customHeight="1">
      <c r="A231" s="15" t="s">
        <v>8131</v>
      </c>
      <c r="B231" s="15" t="s">
        <v>380</v>
      </c>
      <c r="C231" s="15" t="s">
        <v>8132</v>
      </c>
      <c r="D231" s="15" t="s">
        <v>8133</v>
      </c>
      <c r="E231" s="15" t="s">
        <v>8133</v>
      </c>
      <c r="F231" s="16" t="s">
        <v>87</v>
      </c>
      <c r="G231" s="17" t="s">
        <v>88</v>
      </c>
      <c r="H231" s="18" t="s">
        <v>8134</v>
      </c>
      <c r="I231" s="18" t="s">
        <v>8135</v>
      </c>
      <c r="J231" s="18" t="s">
        <v>8136</v>
      </c>
      <c r="K231" s="18" t="s">
        <v>94</v>
      </c>
      <c r="L231" s="18" t="s">
        <v>8093</v>
      </c>
      <c r="M231" s="18" t="s">
        <v>596</v>
      </c>
      <c r="N231" s="18" t="s">
        <v>402</v>
      </c>
      <c r="O231" s="18" t="s">
        <v>98</v>
      </c>
      <c r="P231" s="15" t="str">
        <f t="shared" si="1"/>
        <v>FOOD</v>
      </c>
      <c r="Q231" s="15">
        <f t="shared" si="2"/>
        <v>4</v>
      </c>
      <c r="R231" s="15">
        <f t="shared" si="3"/>
        <v>4</v>
      </c>
      <c r="S231" s="15">
        <f t="shared" si="4"/>
        <v>3</v>
      </c>
      <c r="T231" s="15" t="str">
        <f t="shared" si="5"/>
        <v>A-6</v>
      </c>
      <c r="U231" s="15" t="str">
        <f t="shared" si="6"/>
        <v>T4-M4-H3-FA-6-FOOD</v>
      </c>
      <c r="V231" s="15">
        <f t="shared" si="7"/>
        <v>0</v>
      </c>
      <c r="W231" s="31"/>
      <c r="X231" s="15" t="str">
        <f t="shared" si="8"/>
        <v>zaragoza-spain</v>
      </c>
      <c r="Y231" s="32" t="str">
        <f t="shared" si="9"/>
        <v>https://steelmanufacturer.in/market-area/electropolished-pipes-manufacturer-in-zaragoza-spain/</v>
      </c>
      <c r="Z231" s="15" t="str">
        <f t="shared" si="10"/>
        <v>Electropolished Pipes Manufacturer in Zaragoza</v>
      </c>
      <c r="AA231" s="15" t="str">
        <f t="shared" si="11"/>
        <v>OK (46)</v>
      </c>
      <c r="AB231" s="15" t="str">
        <f t="shared" si="12"/>
        <v>Sanitary electropolished pipes in Zaragoza for food processing plants. ASME BPE SF1-SF4, orbital-weld ready, 3.1 MTC. Mumbai-made.</v>
      </c>
      <c r="AC231" s="15" t="str">
        <f t="shared" si="13"/>
        <v>OK (130)</v>
      </c>
      <c r="AD231" s="15" t="str">
        <f t="shared" si="14"/>
        <v>Electropolished Pipes Manufacturer in Zaragoza</v>
      </c>
      <c r="AE231" s="15" t="str">
        <f t="shared" si="15"/>
        <v>Electropolished Pipes Manufacturer in Zaragoza - Our Process &amp; Capability</v>
      </c>
      <c r="AF231" s="15" t="str">
        <f t="shared" si="16"/>
        <v>Electropolished Pipes Supplier in Zaragoza - What We Hold in Stock</v>
      </c>
      <c r="AG231" s="15" t="str">
        <f t="shared" si="17"/>
        <v>Bulk &amp; Wholesale Electropolished Pipe Rates for Zaragoza Buyers</v>
      </c>
      <c r="AH231" s="15" t="str">
        <f t="shared" si="18"/>
        <v>electropolished pipes manufacturer in Zaragoza, electropolished pipes supplier in Zaragoza, electropolished pipes wholesaler in Zaragoza, electropolished tube manufacturer Zaragoza, EP pipe supplier Zaragoza, sanitary tube supplier Zaragoza, ASME BPE tubing Zaragoza, ASTM A270 tube Zaragoza, SS 316L electropolished pipe Zaragoza</v>
      </c>
      <c r="AI231" s="15" t="str">
        <f t="shared" si="19"/>
        <v>Electropolished Pipes Manufacturer &amp; Supplier in Zaragoza</v>
      </c>
      <c r="AJ231" s="15" t="str">
        <f t="shared" si="20"/>
        <v>EP-finished SS 304/316L pipes and tubes for food processing plants in Zaragoza. ASME BPE SF1-SF4, Ra from 0.25 um, EN 10204 3.1 certificate with every lot.</v>
      </c>
      <c r="AK231" s="15" t="str">
        <f t="shared" si="21"/>
        <v>Electropolished stainless steel pipes supplied by Sakshi Forge to food processing plants at Plaza Logistics Platform, Zaragoza</v>
      </c>
      <c r="AL231" s="15" t="str">
        <f t="shared" si="22"/>
        <v>Electropolished SS 316L tube stock for Zaragoza - Sakshi Forge</v>
      </c>
      <c r="AM231" s="15" t="str">
        <f t="shared" si="23"/>
        <v>Home &gt; Market Area &gt; Spain &gt; Aragon &gt; Zaragoza</v>
      </c>
      <c r="AN231" s="15">
        <f t="shared" si="24"/>
        <v>1400</v>
      </c>
      <c r="AO231" s="15">
        <f t="shared" si="25"/>
        <v>10</v>
      </c>
      <c r="AP231" s="15">
        <f t="shared" si="26"/>
        <v>12</v>
      </c>
      <c r="AQ231" s="15">
        <f t="shared" si="27"/>
        <v>4</v>
      </c>
      <c r="AR231" s="31"/>
      <c r="AS231" s="31"/>
      <c r="AT231" s="35" t="s">
        <v>222</v>
      </c>
      <c r="AU231" s="35"/>
    </row>
    <row r="232" ht="15.75" customHeight="1">
      <c r="A232" s="15" t="s">
        <v>8137</v>
      </c>
      <c r="B232" s="15" t="s">
        <v>148</v>
      </c>
      <c r="C232" s="15" t="s">
        <v>8138</v>
      </c>
      <c r="D232" s="15" t="s">
        <v>8138</v>
      </c>
      <c r="E232" s="15" t="s">
        <v>8138</v>
      </c>
      <c r="F232" s="16" t="s">
        <v>87</v>
      </c>
      <c r="G232" s="17" t="s">
        <v>88</v>
      </c>
      <c r="H232" s="18" t="s">
        <v>8139</v>
      </c>
      <c r="I232" s="18" t="s">
        <v>8140</v>
      </c>
      <c r="J232" s="18" t="s">
        <v>8141</v>
      </c>
      <c r="K232" s="18" t="s">
        <v>229</v>
      </c>
      <c r="L232" s="18" t="s">
        <v>8142</v>
      </c>
      <c r="M232" s="18" t="s">
        <v>477</v>
      </c>
      <c r="N232" s="18" t="s">
        <v>184</v>
      </c>
      <c r="O232" s="18" t="s">
        <v>98</v>
      </c>
      <c r="P232" s="15" t="str">
        <f t="shared" si="1"/>
        <v>PHARMA</v>
      </c>
      <c r="Q232" s="15">
        <f t="shared" si="2"/>
        <v>5</v>
      </c>
      <c r="R232" s="15">
        <f t="shared" si="3"/>
        <v>5</v>
      </c>
      <c r="S232" s="15">
        <f t="shared" si="4"/>
        <v>4</v>
      </c>
      <c r="T232" s="15" t="str">
        <f t="shared" si="5"/>
        <v>A-1</v>
      </c>
      <c r="U232" s="15" t="str">
        <f t="shared" si="6"/>
        <v>T5-M5-H4-FA-1-PHARMA</v>
      </c>
      <c r="V232" s="15">
        <f t="shared" si="7"/>
        <v>0</v>
      </c>
      <c r="W232" s="31"/>
      <c r="X232" s="15" t="str">
        <f t="shared" si="8"/>
        <v>abu-dhabi-uae</v>
      </c>
      <c r="Y232" s="32" t="str">
        <f t="shared" si="9"/>
        <v>https://steelmanufacturer.in/market-area/electropolished-pipes-manufacturer-in-abu-dhabi-uae/</v>
      </c>
      <c r="Z232" s="15" t="str">
        <f t="shared" si="10"/>
        <v>Electropolished Pipes Manufacturer in Abu Dhabi</v>
      </c>
      <c r="AA232" s="15" t="str">
        <f t="shared" si="11"/>
        <v>OK (47)</v>
      </c>
      <c r="AB232" s="15" t="str">
        <f t="shared" si="12"/>
        <v>Manufacturer of electropolished SS 316L tube serving Abu Dhabi. 10-14 days sea from Nhava Sheva to Jebel Ali. Ra 0.25-0.5 um, EN 10204 3.1 MTC.</v>
      </c>
      <c r="AC232" s="15" t="str">
        <f t="shared" si="13"/>
        <v>OK (143)</v>
      </c>
      <c r="AD232" s="15" t="str">
        <f t="shared" si="14"/>
        <v>Electropolished Pipes Manufacturer in Abu Dhabi</v>
      </c>
      <c r="AE232" s="15" t="str">
        <f t="shared" si="15"/>
        <v>Manufacturing Electropolished SS Tube for Abu Dhabi: The Standards We Build To</v>
      </c>
      <c r="AF232" s="15" t="str">
        <f t="shared" si="16"/>
        <v>Electropolished Pipe Supply Into Abu Dhabi - Certification &amp; Transit</v>
      </c>
      <c r="AG232" s="15" t="str">
        <f t="shared" si="17"/>
        <v>Electropolished Pipes Wholesaler in Abu Dhabi - Project Quantities &amp; Terms</v>
      </c>
      <c r="AH232" s="15" t="str">
        <f t="shared" si="18"/>
        <v>electropolished pipes manufacturer in Abu Dhabi, electropolished pipes supplier in Abu Dhabi, electropolished pipes wholesaler in Abu Dhabi, electropolished tube manufacturer Abu Dhabi, EP pipe supplier Abu Dhabi, sanitary tube supplier Abu Dhabi, ASME BPE tubing Abu Dhabi, ASTM A270 tube Abu Dhabi, SS 316L electropolished pipe Abu Dhabi</v>
      </c>
      <c r="AI232" s="15" t="str">
        <f t="shared" si="19"/>
        <v>Electropolished Pipes Manufacturer &amp; Supplier in Abu Dhabi</v>
      </c>
      <c r="AJ232" s="15" t="str">
        <f t="shared" si="20"/>
        <v>EP-finished SS 304/316L pipes and tubes for pharma plants in Abu Dhabi. ASME BPE SF1-SF4, Ra from 0.25 um, EN 10204 3.1 certificate with every lot.</v>
      </c>
      <c r="AK232" s="15" t="str">
        <f t="shared" si="21"/>
        <v>Electropolished stainless steel pipes supplied by Sakshi Forge to pharma plants at KIZAD Khalifa Industrial Zone, Abu Dhabi</v>
      </c>
      <c r="AL232" s="15" t="str">
        <f t="shared" si="22"/>
        <v>Electropolished SS 316L tube stock for Abu Dhabi - Sakshi Forge</v>
      </c>
      <c r="AM232" s="15" t="str">
        <f t="shared" si="23"/>
        <v>Home &gt; Market Area &gt; UAE &gt; Abu Dhabi &gt; Abu Dhabi</v>
      </c>
      <c r="AN232" s="15">
        <f t="shared" si="24"/>
        <v>1400</v>
      </c>
      <c r="AO232" s="15">
        <f t="shared" si="25"/>
        <v>10</v>
      </c>
      <c r="AP232" s="15">
        <f t="shared" si="26"/>
        <v>12</v>
      </c>
      <c r="AQ232" s="15">
        <f t="shared" si="27"/>
        <v>4</v>
      </c>
      <c r="AR232" s="31"/>
      <c r="AS232" s="31"/>
      <c r="AT232" s="35" t="s">
        <v>222</v>
      </c>
      <c r="AU232" s="35"/>
    </row>
    <row r="233" ht="15.75" customHeight="1">
      <c r="A233" s="15" t="s">
        <v>8143</v>
      </c>
      <c r="B233" s="15" t="s">
        <v>148</v>
      </c>
      <c r="C233" s="15" t="s">
        <v>8144</v>
      </c>
      <c r="D233" s="15" t="s">
        <v>8144</v>
      </c>
      <c r="E233" s="15" t="s">
        <v>8144</v>
      </c>
      <c r="F233" s="16" t="s">
        <v>87</v>
      </c>
      <c r="G233" s="17" t="s">
        <v>88</v>
      </c>
      <c r="H233" s="18" t="s">
        <v>8145</v>
      </c>
      <c r="I233" s="18" t="s">
        <v>8146</v>
      </c>
      <c r="J233" s="18" t="s">
        <v>8147</v>
      </c>
      <c r="K233" s="18" t="s">
        <v>94</v>
      </c>
      <c r="L233" s="18" t="s">
        <v>8148</v>
      </c>
      <c r="M233" s="18" t="s">
        <v>477</v>
      </c>
      <c r="N233" s="18" t="s">
        <v>184</v>
      </c>
      <c r="O233" s="18" t="s">
        <v>98</v>
      </c>
      <c r="P233" s="15" t="str">
        <f t="shared" si="1"/>
        <v>FOOD</v>
      </c>
      <c r="Q233" s="15">
        <f t="shared" si="2"/>
        <v>6</v>
      </c>
      <c r="R233" s="15">
        <f t="shared" si="3"/>
        <v>6</v>
      </c>
      <c r="S233" s="15">
        <f t="shared" si="4"/>
        <v>5</v>
      </c>
      <c r="T233" s="15" t="str">
        <f t="shared" si="5"/>
        <v>A-2</v>
      </c>
      <c r="U233" s="15" t="str">
        <f t="shared" si="6"/>
        <v>T6-M6-H5-FA-2-FOOD</v>
      </c>
      <c r="V233" s="15">
        <f t="shared" si="7"/>
        <v>0</v>
      </c>
      <c r="W233" s="31"/>
      <c r="X233" s="15" t="str">
        <f t="shared" si="8"/>
        <v>ajman-uae</v>
      </c>
      <c r="Y233" s="32" t="str">
        <f t="shared" si="9"/>
        <v>https://steelmanufacturer.in/market-area/electropolished-pipes-manufacturer-in-ajman-uae/</v>
      </c>
      <c r="Z233" s="15" t="str">
        <f t="shared" si="10"/>
        <v>Electropolished Pipes Manufacturer in Ajman</v>
      </c>
      <c r="AA233" s="15" t="str">
        <f t="shared" si="11"/>
        <v>OK (43)</v>
      </c>
      <c r="AB233" s="15" t="str">
        <f t="shared" si="12"/>
        <v>EP tube and pipe for food processing plants around Ajman Free Zone, Ajman. Made at our Mumbai works to ASTM A270 and ASME BPE SF1-SF4, with 3.1 MTC.</v>
      </c>
      <c r="AC233" s="15" t="str">
        <f t="shared" si="13"/>
        <v>OK (148)</v>
      </c>
      <c r="AD233" s="15" t="str">
        <f t="shared" si="14"/>
        <v>Electropolished Pipes Manufacturer in Ajman</v>
      </c>
      <c r="AE233" s="15" t="str">
        <f t="shared" si="15"/>
        <v>Electropolished Tube Manufacturing Capability Serving Ajman</v>
      </c>
      <c r="AF233" s="15" t="str">
        <f t="shared" si="16"/>
        <v>Electropolished Pipes Supplier in Ajman - From Order to Delivery</v>
      </c>
      <c r="AG233" s="15" t="str">
        <f t="shared" si="17"/>
        <v>Stockist &amp; Wholesale Supply of Electropolished Pipes in Ajman</v>
      </c>
      <c r="AH233" s="15" t="str">
        <f t="shared" si="18"/>
        <v>electropolished pipes manufacturer in Ajman, electropolished pipes supplier in Ajman, electropolished pipes wholesaler in Ajman, electropolished tube manufacturer Ajman, EP pipe supplier Ajman, sanitary tube supplier Ajman, ASME BPE tubing Ajman, ASTM A270 tube Ajman, SS 316L electropolished pipe Ajman</v>
      </c>
      <c r="AI233" s="15" t="str">
        <f t="shared" si="19"/>
        <v>Electropolished Pipes Manufacturer &amp; Supplier in Ajman</v>
      </c>
      <c r="AJ233" s="15" t="str">
        <f t="shared" si="20"/>
        <v>EP-finished SS 304/316L pipes and tubes for food processing plants in Ajman. ASME BPE SF1-SF4, Ra from 0.25 um, EN 10204 3.1 certificate with every lot.</v>
      </c>
      <c r="AK233" s="15" t="str">
        <f t="shared" si="21"/>
        <v>Electropolished stainless steel pipes supplied by Sakshi Forge to food processing plants at Ajman Free Zone, Ajman</v>
      </c>
      <c r="AL233" s="15" t="str">
        <f t="shared" si="22"/>
        <v>Electropolished SS 316L tube stock for Ajman - Sakshi Forge</v>
      </c>
      <c r="AM233" s="15" t="str">
        <f t="shared" si="23"/>
        <v>Home &gt; Market Area &gt; UAE &gt; Ajman &gt; Ajman</v>
      </c>
      <c r="AN233" s="15">
        <f t="shared" si="24"/>
        <v>1400</v>
      </c>
      <c r="AO233" s="15">
        <f t="shared" si="25"/>
        <v>10</v>
      </c>
      <c r="AP233" s="15">
        <f t="shared" si="26"/>
        <v>12</v>
      </c>
      <c r="AQ233" s="15">
        <f t="shared" si="27"/>
        <v>4</v>
      </c>
      <c r="AR233" s="31"/>
      <c r="AS233" s="31"/>
      <c r="AT233" s="35" t="s">
        <v>222</v>
      </c>
      <c r="AU233" s="35"/>
    </row>
    <row r="234" ht="15.75" customHeight="1">
      <c r="A234" s="15" t="s">
        <v>8149</v>
      </c>
      <c r="B234" s="15" t="s">
        <v>148</v>
      </c>
      <c r="C234" s="15" t="s">
        <v>8138</v>
      </c>
      <c r="D234" s="15" t="s">
        <v>8150</v>
      </c>
      <c r="E234" s="15" t="s">
        <v>8150</v>
      </c>
      <c r="F234" s="16" t="s">
        <v>87</v>
      </c>
      <c r="G234" s="17" t="s">
        <v>88</v>
      </c>
      <c r="H234" s="18" t="s">
        <v>8151</v>
      </c>
      <c r="I234" s="18" t="s">
        <v>8151</v>
      </c>
      <c r="J234" s="18" t="s">
        <v>8152</v>
      </c>
      <c r="K234" s="18" t="s">
        <v>579</v>
      </c>
      <c r="L234" s="18" t="s">
        <v>8142</v>
      </c>
      <c r="M234" s="18" t="s">
        <v>477</v>
      </c>
      <c r="N234" s="18" t="s">
        <v>184</v>
      </c>
      <c r="O234" s="18" t="s">
        <v>98</v>
      </c>
      <c r="P234" s="15" t="str">
        <f t="shared" si="1"/>
        <v>DAIRY</v>
      </c>
      <c r="Q234" s="15">
        <f t="shared" si="2"/>
        <v>7</v>
      </c>
      <c r="R234" s="15">
        <f t="shared" si="3"/>
        <v>7</v>
      </c>
      <c r="S234" s="15">
        <f t="shared" si="4"/>
        <v>1</v>
      </c>
      <c r="T234" s="15" t="str">
        <f t="shared" si="5"/>
        <v>A-3</v>
      </c>
      <c r="U234" s="15" t="str">
        <f t="shared" si="6"/>
        <v>T7-M7-H1-FA-3-DAIRY</v>
      </c>
      <c r="V234" s="15">
        <f t="shared" si="7"/>
        <v>0</v>
      </c>
      <c r="W234" s="31"/>
      <c r="X234" s="15" t="str">
        <f t="shared" si="8"/>
        <v>al-ain-uae</v>
      </c>
      <c r="Y234" s="32" t="str">
        <f t="shared" si="9"/>
        <v>https://steelmanufacturer.in/market-area/electropolished-pipes-manufacturer-in-al-ain-uae/</v>
      </c>
      <c r="Z234" s="15" t="str">
        <f t="shared" si="10"/>
        <v>Electropolished Pipes Manufacturer in Al Ain | ASME BPE SF1-SF4</v>
      </c>
      <c r="AA234" s="15" t="str">
        <f t="shared" si="11"/>
        <v>OK (63)</v>
      </c>
      <c r="AB234" s="15" t="str">
        <f t="shared" si="12"/>
        <v>Electropolished pipes in Al Ain: 304, 304L, 316 and 316L in SF1-SF4. 10-14 days sea from Nhava Sheva to Jebel Ali. Mill certified.</v>
      </c>
      <c r="AC234" s="15" t="str">
        <f t="shared" si="13"/>
        <v>OK (130)</v>
      </c>
      <c r="AD234" s="15" t="str">
        <f t="shared" si="14"/>
        <v>Electropolished Pipes Manufacturer in Al Ain</v>
      </c>
      <c r="AE234" s="15" t="str">
        <f t="shared" si="15"/>
        <v>Electropolished Pipe &amp; Tube Manufacturing for Al Ain - Grades, Finishes &amp; Certification</v>
      </c>
      <c r="AF234" s="15" t="str">
        <f t="shared" si="16"/>
        <v>Electropolished Pipes Supplier in Al Ain - Stock Sizes, Lead Time &amp; Delivery</v>
      </c>
      <c r="AG234" s="15" t="str">
        <f t="shared" si="17"/>
        <v>Electropolished Pipes Wholesaler &amp; Stockist in Al Ain - Bulk &amp; Project Pricing</v>
      </c>
      <c r="AH234" s="15" t="str">
        <f t="shared" si="18"/>
        <v>electropolished pipes manufacturer in Al Ain, electropolished pipes supplier in Al Ain, electropolished pipes wholesaler in Al Ain, electropolished tube manufacturer Al Ain, EP pipe supplier Al Ain, sanitary tube supplier Al Ain, ASME BPE tubing Al Ain, ASTM A270 tube Al Ain, SS 316L electropolished pipe Al Ain</v>
      </c>
      <c r="AI234" s="15" t="str">
        <f t="shared" si="19"/>
        <v>Electropolished Pipes Manufacturer &amp; Supplier in Al Ain</v>
      </c>
      <c r="AJ234" s="15" t="str">
        <f t="shared" si="20"/>
        <v>EP-finished SS 304/316L pipes and tubes for food &amp; dairy plants in Al Ain. ASME BPE SF1-SF4, Ra from 0.25 um, EN 10204 3.1 certificate with every lot.</v>
      </c>
      <c r="AK234" s="15" t="str">
        <f t="shared" si="21"/>
        <v>Electropolished stainless steel pipes supplied by Sakshi Forge to food &amp; dairy plants at Al Ain Industrial City (ZonesCorp), Al Ain</v>
      </c>
      <c r="AL234" s="15" t="str">
        <f t="shared" si="22"/>
        <v>Electropolished SS 316L tube stock for Al Ain - Sakshi Forge</v>
      </c>
      <c r="AM234" s="15" t="str">
        <f t="shared" si="23"/>
        <v>Home &gt; Market Area &gt; UAE &gt; Abu Dhabi &gt; Al Ain</v>
      </c>
      <c r="AN234" s="15">
        <f t="shared" si="24"/>
        <v>1400</v>
      </c>
      <c r="AO234" s="15">
        <f t="shared" si="25"/>
        <v>10</v>
      </c>
      <c r="AP234" s="15">
        <f t="shared" si="26"/>
        <v>12</v>
      </c>
      <c r="AQ234" s="15">
        <f t="shared" si="27"/>
        <v>4</v>
      </c>
      <c r="AR234" s="31"/>
      <c r="AS234" s="31"/>
      <c r="AT234" s="35" t="s">
        <v>222</v>
      </c>
      <c r="AU234" s="35"/>
    </row>
    <row r="235" ht="15.75" customHeight="1">
      <c r="A235" s="15" t="s">
        <v>8153</v>
      </c>
      <c r="B235" s="15" t="s">
        <v>148</v>
      </c>
      <c r="C235" s="15" t="s">
        <v>8154</v>
      </c>
      <c r="D235" s="15" t="s">
        <v>8154</v>
      </c>
      <c r="E235" s="15" t="s">
        <v>8154</v>
      </c>
      <c r="F235" s="16" t="s">
        <v>87</v>
      </c>
      <c r="G235" s="17" t="s">
        <v>88</v>
      </c>
      <c r="H235" s="18" t="s">
        <v>8155</v>
      </c>
      <c r="I235" s="18" t="s">
        <v>8156</v>
      </c>
      <c r="J235" s="18" t="s">
        <v>8157</v>
      </c>
      <c r="K235" s="18" t="s">
        <v>229</v>
      </c>
      <c r="L235" s="18" t="s">
        <v>476</v>
      </c>
      <c r="M235" s="18" t="s">
        <v>477</v>
      </c>
      <c r="N235" s="18" t="s">
        <v>184</v>
      </c>
      <c r="O235" s="18" t="s">
        <v>98</v>
      </c>
      <c r="P235" s="15" t="str">
        <f t="shared" si="1"/>
        <v>PHARMA</v>
      </c>
      <c r="Q235" s="15">
        <f t="shared" si="2"/>
        <v>8</v>
      </c>
      <c r="R235" s="15">
        <f t="shared" si="3"/>
        <v>1</v>
      </c>
      <c r="S235" s="15">
        <f t="shared" si="4"/>
        <v>2</v>
      </c>
      <c r="T235" s="15" t="str">
        <f t="shared" si="5"/>
        <v>A-4</v>
      </c>
      <c r="U235" s="15" t="str">
        <f t="shared" si="6"/>
        <v>T8-M1-H2-FA-4-PHARMA</v>
      </c>
      <c r="V235" s="15">
        <f t="shared" si="7"/>
        <v>0</v>
      </c>
      <c r="W235" s="31"/>
      <c r="X235" s="15" t="str">
        <f t="shared" si="8"/>
        <v>dubai-uae</v>
      </c>
      <c r="Y235" s="32" t="str">
        <f t="shared" si="9"/>
        <v>https://steelmanufacturer.in/market-area/electropolished-pipes-manufacturer-in-dubai-uae/</v>
      </c>
      <c r="Z235" s="15" t="str">
        <f t="shared" si="10"/>
        <v>Electropolished Pipes Manufacturer in Dubai - EP Tube Stockist</v>
      </c>
      <c r="AA235" s="15" t="str">
        <f t="shared" si="11"/>
        <v>OK (62)</v>
      </c>
      <c r="AB235" s="15" t="str">
        <f t="shared" si="12"/>
        <v>EP-finished SS 304/316L pipes &amp; tubes for pharma plants in Dubai. ASTM A270, ASME BPE SF1-SF4, EN 10204 3.1 MTC. PMI tested.</v>
      </c>
      <c r="AC235" s="15" t="str">
        <f t="shared" si="13"/>
        <v>OK (124)</v>
      </c>
      <c r="AD235" s="15" t="str">
        <f t="shared" si="14"/>
        <v>Electropolished Pipes Manufacturer in Dubai</v>
      </c>
      <c r="AE235" s="15" t="str">
        <f t="shared" si="15"/>
        <v>How We Manufacture Electropolished Tube for Dubai Plants</v>
      </c>
      <c r="AF235" s="15" t="str">
        <f t="shared" si="16"/>
        <v>Supplying Electropolished Pipes in Dubai: Availability, Sizes &amp; Dispatch</v>
      </c>
      <c r="AG235" s="15" t="str">
        <f t="shared" si="17"/>
        <v>Wholesale Electropolished Pipe Supply for Dubai Projects</v>
      </c>
      <c r="AH235" s="15" t="str">
        <f t="shared" si="18"/>
        <v>electropolished pipes manufacturer in Dubai, electropolished pipes supplier in Dubai, electropolished pipes wholesaler in Dubai, electropolished tube manufacturer Dubai, EP pipe supplier Dubai, sanitary tube supplier Dubai, ASME BPE tubing Dubai, ASTM A270 tube Dubai, SS 316L electropolished pipe Dubai</v>
      </c>
      <c r="AI235" s="15" t="str">
        <f t="shared" si="19"/>
        <v>Electropolished Pipes Manufacturer &amp; Supplier in Dubai</v>
      </c>
      <c r="AJ235" s="15" t="str">
        <f t="shared" si="20"/>
        <v>EP-finished SS 304/316L pipes and tubes for pharma plants in Dubai. ASME BPE SF1-SF4, Ra from 0.25 um, EN 10204 3.1 certificate with every lot.</v>
      </c>
      <c r="AK235" s="15" t="str">
        <f t="shared" si="21"/>
        <v>Electropolished stainless steel pipes supplied by Sakshi Forge to pharma plants at Dubai Industrial City, Dubai</v>
      </c>
      <c r="AL235" s="15" t="str">
        <f t="shared" si="22"/>
        <v>Electropolished SS 316L tube stock for Dubai - Sakshi Forge</v>
      </c>
      <c r="AM235" s="15" t="str">
        <f t="shared" si="23"/>
        <v>Home &gt; Market Area &gt; UAE &gt; Dubai &gt; Dubai</v>
      </c>
      <c r="AN235" s="15">
        <f t="shared" si="24"/>
        <v>1400</v>
      </c>
      <c r="AO235" s="15">
        <f t="shared" si="25"/>
        <v>10</v>
      </c>
      <c r="AP235" s="15">
        <f t="shared" si="26"/>
        <v>12</v>
      </c>
      <c r="AQ235" s="15">
        <f t="shared" si="27"/>
        <v>4</v>
      </c>
      <c r="AR235" s="31"/>
      <c r="AS235" s="31"/>
      <c r="AT235" s="35" t="s">
        <v>222</v>
      </c>
      <c r="AU235" s="35"/>
    </row>
    <row r="236" ht="15.75" customHeight="1">
      <c r="A236" s="15" t="s">
        <v>8158</v>
      </c>
      <c r="B236" s="15" t="s">
        <v>148</v>
      </c>
      <c r="C236" s="15" t="s">
        <v>8159</v>
      </c>
      <c r="D236" s="15" t="s">
        <v>8159</v>
      </c>
      <c r="E236" s="15" t="s">
        <v>8159</v>
      </c>
      <c r="F236" s="16" t="s">
        <v>87</v>
      </c>
      <c r="G236" s="17" t="s">
        <v>88</v>
      </c>
      <c r="H236" s="18" t="s">
        <v>8160</v>
      </c>
      <c r="I236" s="18" t="s">
        <v>8161</v>
      </c>
      <c r="J236" s="18" t="s">
        <v>8162</v>
      </c>
      <c r="K236" s="18" t="s">
        <v>229</v>
      </c>
      <c r="L236" s="18" t="s">
        <v>8163</v>
      </c>
      <c r="M236" s="18" t="s">
        <v>477</v>
      </c>
      <c r="N236" s="18" t="s">
        <v>184</v>
      </c>
      <c r="O236" s="18" t="s">
        <v>98</v>
      </c>
      <c r="P236" s="15" t="str">
        <f t="shared" si="1"/>
        <v>PHARMA</v>
      </c>
      <c r="Q236" s="15">
        <f t="shared" si="2"/>
        <v>1</v>
      </c>
      <c r="R236" s="15">
        <f t="shared" si="3"/>
        <v>2</v>
      </c>
      <c r="S236" s="15">
        <f t="shared" si="4"/>
        <v>3</v>
      </c>
      <c r="T236" s="15" t="str">
        <f t="shared" si="5"/>
        <v>A-5</v>
      </c>
      <c r="U236" s="15" t="str">
        <f t="shared" si="6"/>
        <v>T1-M2-H3-FA-5-PHARMA</v>
      </c>
      <c r="V236" s="15">
        <f t="shared" si="7"/>
        <v>0</v>
      </c>
      <c r="W236" s="31"/>
      <c r="X236" s="15" t="str">
        <f t="shared" si="8"/>
        <v>ras-al-khaimah-uae</v>
      </c>
      <c r="Y236" s="32" t="str">
        <f t="shared" si="9"/>
        <v>https://steelmanufacturer.in/market-area/electropolished-pipes-manufacturer-in-ras-al-khaimah-uae/</v>
      </c>
      <c r="Z236" s="15" t="str">
        <f t="shared" si="10"/>
        <v>Electropolished Pipes Manufacturer in Ras Al Khaimah</v>
      </c>
      <c r="AA236" s="15" t="str">
        <f t="shared" si="11"/>
        <v>OK (52)</v>
      </c>
      <c r="AB236" s="15" t="str">
        <f t="shared" si="12"/>
        <v>Electropolished tube supply to RAK Economic Zone (RAKEZ), Ras Al Khaimah. Ra from 0.25 um, SF4 finish, mill test certificate with every lot.</v>
      </c>
      <c r="AC236" s="15" t="str">
        <f t="shared" si="13"/>
        <v>OK (140)</v>
      </c>
      <c r="AD236" s="15" t="str">
        <f t="shared" si="14"/>
        <v>Electropolished Pipes Manufacturer in Ras Al Khaimah</v>
      </c>
      <c r="AE236" s="15" t="str">
        <f t="shared" si="15"/>
        <v>Electropolished Pipes Manufacturer in Ras Al Khaimah - Our Process &amp; Capability</v>
      </c>
      <c r="AF236" s="15" t="str">
        <f t="shared" si="16"/>
        <v>Electropolished Pipes Supplier in Ras Al Khaimah - What We Hold in Stock</v>
      </c>
      <c r="AG236" s="15" t="str">
        <f t="shared" si="17"/>
        <v>Bulk &amp; Wholesale Electropolished Pipe Rates for Ras Al Khaimah Buyers</v>
      </c>
      <c r="AH236" s="15" t="str">
        <f t="shared" si="18"/>
        <v>electropolished pipes manufacturer in Ras Al Khaimah, electropolished pipes supplier in Ras Al Khaimah, electropolished pipes wholesaler in Ras Al Khaimah, electropolished tube manufacturer Ras Al Khaimah, EP pipe supplier Ras Al Khaimah, sanitary tube supplier Ras Al Khaimah, ASME BPE tubing Ras Al Khaimah, ASTM A270 tube Ras Al Khaimah, SS 316L electropolished pipe Ras Al Khaimah</v>
      </c>
      <c r="AI236" s="15" t="str">
        <f t="shared" si="19"/>
        <v>Electropolished Pipes Manufacturer &amp; Supplier in Ras Al Khaimah</v>
      </c>
      <c r="AJ236" s="15" t="str">
        <f t="shared" si="20"/>
        <v>EP-finished SS 304/316L pipes and tubes for pharma plants in Ras Al Khaimah. ASME BPE SF1-SF4, Ra from 0.25 um, EN 10204 3.1 certificate with every lot.</v>
      </c>
      <c r="AK236" s="15" t="str">
        <f t="shared" si="21"/>
        <v>Electropolished stainless steel pipes supplied by Sakshi Forge to pharma plants at RAK Economic Zone (RAKEZ), Ras Al Khaimah</v>
      </c>
      <c r="AL236" s="15" t="str">
        <f t="shared" si="22"/>
        <v>Electropolished SS 316L tube stock for Ras Al Khaimah - Sakshi Forge</v>
      </c>
      <c r="AM236" s="15" t="str">
        <f t="shared" si="23"/>
        <v>Home &gt; Market Area &gt; UAE &gt; Ras Al Khaimah &gt; Ras Al Khaimah</v>
      </c>
      <c r="AN236" s="15">
        <f t="shared" si="24"/>
        <v>1400</v>
      </c>
      <c r="AO236" s="15">
        <f t="shared" si="25"/>
        <v>10</v>
      </c>
      <c r="AP236" s="15">
        <f t="shared" si="26"/>
        <v>12</v>
      </c>
      <c r="AQ236" s="15">
        <f t="shared" si="27"/>
        <v>4</v>
      </c>
      <c r="AR236" s="31"/>
      <c r="AS236" s="31"/>
      <c r="AT236" s="35" t="s">
        <v>222</v>
      </c>
      <c r="AU236" s="35"/>
    </row>
    <row r="237" ht="15.75" customHeight="1">
      <c r="A237" s="15" t="s">
        <v>8164</v>
      </c>
      <c r="B237" s="15" t="s">
        <v>148</v>
      </c>
      <c r="C237" s="15" t="s">
        <v>8165</v>
      </c>
      <c r="D237" s="15" t="s">
        <v>8165</v>
      </c>
      <c r="E237" s="15" t="s">
        <v>8165</v>
      </c>
      <c r="F237" s="16" t="s">
        <v>87</v>
      </c>
      <c r="G237" s="17" t="s">
        <v>88</v>
      </c>
      <c r="H237" s="18" t="s">
        <v>8166</v>
      </c>
      <c r="I237" s="18" t="s">
        <v>8167</v>
      </c>
      <c r="J237" s="18" t="s">
        <v>8168</v>
      </c>
      <c r="K237" s="18" t="s">
        <v>94</v>
      </c>
      <c r="L237" s="18" t="s">
        <v>8169</v>
      </c>
      <c r="M237" s="18" t="s">
        <v>477</v>
      </c>
      <c r="N237" s="18" t="s">
        <v>184</v>
      </c>
      <c r="O237" s="18" t="s">
        <v>98</v>
      </c>
      <c r="P237" s="15" t="str">
        <f t="shared" si="1"/>
        <v>FOOD</v>
      </c>
      <c r="Q237" s="15">
        <f t="shared" si="2"/>
        <v>2</v>
      </c>
      <c r="R237" s="15">
        <f t="shared" si="3"/>
        <v>3</v>
      </c>
      <c r="S237" s="15">
        <f t="shared" si="4"/>
        <v>4</v>
      </c>
      <c r="T237" s="15" t="str">
        <f t="shared" si="5"/>
        <v>A-6</v>
      </c>
      <c r="U237" s="15" t="str">
        <f t="shared" si="6"/>
        <v>T2-M3-H4-FA-6-FOOD</v>
      </c>
      <c r="V237" s="15">
        <f t="shared" si="7"/>
        <v>0</v>
      </c>
      <c r="W237" s="31"/>
      <c r="X237" s="15" t="str">
        <f t="shared" si="8"/>
        <v>sharjah-uae</v>
      </c>
      <c r="Y237" s="32" t="str">
        <f t="shared" si="9"/>
        <v>https://steelmanufacturer.in/market-area/electropolished-pipes-manufacturer-in-sharjah-uae/</v>
      </c>
      <c r="Z237" s="15" t="str">
        <f t="shared" si="10"/>
        <v>Electropolished Pipes Manufacturer in Sharjah</v>
      </c>
      <c r="AA237" s="15" t="str">
        <f t="shared" si="11"/>
        <v>OK (45)</v>
      </c>
      <c r="AB237" s="15" t="str">
        <f t="shared" si="12"/>
        <v>EP stainless tube for food processing lines in Sharjah. 10-14 days sea from Nhava Sheva to Jebel Ali. ASTM A270 S2, PMI tested, EN 10204 3.1.</v>
      </c>
      <c r="AC237" s="15" t="str">
        <f t="shared" si="13"/>
        <v>OK (141)</v>
      </c>
      <c r="AD237" s="15" t="str">
        <f t="shared" si="14"/>
        <v>Electropolished Pipes Manufacturer in Sharjah</v>
      </c>
      <c r="AE237" s="15" t="str">
        <f t="shared" si="15"/>
        <v>Manufacturing Electropolished SS Tube for Sharjah: The Standards We Build To</v>
      </c>
      <c r="AF237" s="15" t="str">
        <f t="shared" si="16"/>
        <v>Electropolished Pipe Supply Into Sharjah - Certification &amp; Transit</v>
      </c>
      <c r="AG237" s="15" t="str">
        <f t="shared" si="17"/>
        <v>Electropolished Pipes Wholesaler in Sharjah - Project Quantities &amp; Terms</v>
      </c>
      <c r="AH237" s="15" t="str">
        <f t="shared" si="18"/>
        <v>electropolished pipes manufacturer in Sharjah, electropolished pipes supplier in Sharjah, electropolished pipes wholesaler in Sharjah, electropolished tube manufacturer Sharjah, EP pipe supplier Sharjah, sanitary tube supplier Sharjah, ASME BPE tubing Sharjah, ASTM A270 tube Sharjah, SS 316L electropolished pipe Sharjah</v>
      </c>
      <c r="AI237" s="15" t="str">
        <f t="shared" si="19"/>
        <v>Electropolished Pipes Manufacturer &amp; Supplier in Sharjah</v>
      </c>
      <c r="AJ237" s="15" t="str">
        <f t="shared" si="20"/>
        <v>EP-finished SS 304/316L pipes and tubes for food processing plants in Sharjah. ASME BPE SF1-SF4, Ra from 0.25 um, EN 10204 3.1 certificate with every lot.</v>
      </c>
      <c r="AK237" s="15" t="str">
        <f t="shared" si="21"/>
        <v>Electropolished stainless steel pipes supplied by Sakshi Forge to food processing plants at Hamriyah Free Zone, Sharjah</v>
      </c>
      <c r="AL237" s="15" t="str">
        <f t="shared" si="22"/>
        <v>Electropolished SS 316L tube stock for Sharjah - Sakshi Forge</v>
      </c>
      <c r="AM237" s="15" t="str">
        <f t="shared" si="23"/>
        <v>Home &gt; Market Area &gt; UAE &gt; Sharjah &gt; Sharjah</v>
      </c>
      <c r="AN237" s="15">
        <f t="shared" si="24"/>
        <v>1400</v>
      </c>
      <c r="AO237" s="15">
        <f t="shared" si="25"/>
        <v>10</v>
      </c>
      <c r="AP237" s="15">
        <f t="shared" si="26"/>
        <v>12</v>
      </c>
      <c r="AQ237" s="15">
        <f t="shared" si="27"/>
        <v>4</v>
      </c>
      <c r="AR237" s="31"/>
      <c r="AS237" s="31"/>
      <c r="AT237" s="35" t="s">
        <v>222</v>
      </c>
      <c r="AU237" s="35"/>
    </row>
    <row r="238" ht="15.75" customHeight="1">
      <c r="A238" s="15" t="s">
        <v>8170</v>
      </c>
      <c r="B238" s="15" t="s">
        <v>234</v>
      </c>
      <c r="C238" s="15" t="s">
        <v>8171</v>
      </c>
      <c r="D238" s="15" t="s">
        <v>8172</v>
      </c>
      <c r="E238" s="15" t="s">
        <v>8173</v>
      </c>
      <c r="F238" s="16" t="s">
        <v>87</v>
      </c>
      <c r="G238" s="17" t="s">
        <v>88</v>
      </c>
      <c r="H238" s="18" t="s">
        <v>8174</v>
      </c>
      <c r="I238" s="18" t="s">
        <v>8175</v>
      </c>
      <c r="J238" s="18" t="s">
        <v>8176</v>
      </c>
      <c r="K238" s="18" t="s">
        <v>5794</v>
      </c>
      <c r="L238" s="18" t="s">
        <v>8177</v>
      </c>
      <c r="M238" s="18" t="s">
        <v>540</v>
      </c>
      <c r="N238" s="18" t="s">
        <v>242</v>
      </c>
      <c r="O238" s="18" t="s">
        <v>98</v>
      </c>
      <c r="P238" s="15" t="str">
        <f t="shared" si="1"/>
        <v>BREWERY</v>
      </c>
      <c r="Q238" s="15">
        <f t="shared" si="2"/>
        <v>3</v>
      </c>
      <c r="R238" s="15">
        <f t="shared" si="3"/>
        <v>4</v>
      </c>
      <c r="S238" s="15">
        <f t="shared" si="4"/>
        <v>5</v>
      </c>
      <c r="T238" s="15" t="str">
        <f t="shared" si="5"/>
        <v>A-1</v>
      </c>
      <c r="U238" s="15" t="str">
        <f t="shared" si="6"/>
        <v>T3-M4-H5-FA-1-BREWERY</v>
      </c>
      <c r="V238" s="15">
        <f t="shared" si="7"/>
        <v>0</v>
      </c>
      <c r="W238" s="31"/>
      <c r="X238" s="15" t="str">
        <f t="shared" si="8"/>
        <v>birmingham-uk</v>
      </c>
      <c r="Y238" s="32" t="str">
        <f t="shared" si="9"/>
        <v>https://steelmanufacturer.in/market-area/electropolished-pipes-manufacturer-in-birmingham-uk/</v>
      </c>
      <c r="Z238" s="15" t="str">
        <f t="shared" si="10"/>
        <v>Electropolished Pipes Manufacturer in Birmingham, UK</v>
      </c>
      <c r="AA238" s="15" t="str">
        <f t="shared" si="11"/>
        <v>OK (52)</v>
      </c>
      <c r="AB238" s="15" t="str">
        <f t="shared" si="12"/>
        <v>Sanitary electropolished pipes in Birmingham, UK for brewery &amp; food plants. ASME BPE SF1-SF4, orbital-weld ready, 3.1 MTC. Mumbai-made.</v>
      </c>
      <c r="AC238" s="15" t="str">
        <f t="shared" si="13"/>
        <v>OK (135)</v>
      </c>
      <c r="AD238" s="15" t="str">
        <f t="shared" si="14"/>
        <v>Electropolished Pipes Manufacturer in Birmingham, UK</v>
      </c>
      <c r="AE238" s="15" t="str">
        <f t="shared" si="15"/>
        <v>Electropolished Tube Manufacturing Capability Serving Birmingham, UK</v>
      </c>
      <c r="AF238" s="15" t="str">
        <f t="shared" si="16"/>
        <v>Electropolished Pipes Supplier in Birmingham, UK - From Order to Delivery</v>
      </c>
      <c r="AG238" s="15" t="str">
        <f t="shared" si="17"/>
        <v>Stockist &amp; Wholesale Supply of Electropolished Pipes in Birmingham, UK</v>
      </c>
      <c r="AH238" s="15" t="str">
        <f t="shared" si="18"/>
        <v>electropolished pipes manufacturer in Birmingham, electropolished pipes supplier in Birmingham, electropolished pipes wholesaler in Birmingham, electropolished tube manufacturer Birmingham, EP pipe supplier Birmingham, sanitary tube supplier Birmingham, ASME BPE tubing Birmingham, ASTM A270 tube Birmingham, SS 316L electropolished pipe Birmingham</v>
      </c>
      <c r="AI238" s="15" t="str">
        <f t="shared" si="19"/>
        <v>Electropolished Pipes Manufacturer &amp; Supplier in Birmingham, UK</v>
      </c>
      <c r="AJ238" s="15" t="str">
        <f t="shared" si="20"/>
        <v>EP-finished SS 304/316L pipes and tubes for brewery &amp; food plants in Birmingham, UK. ASME BPE SF1-SF4, Ra from 0.25 um, EN 10204 3.1 certificate with every lot.</v>
      </c>
      <c r="AK238" s="15" t="str">
        <f t="shared" si="21"/>
        <v>Electropolished stainless steel pipes supplied by Sakshi Forge to brewery &amp; food plants at Aston Industrial Corridor, Birmingham, UK</v>
      </c>
      <c r="AL238" s="15" t="str">
        <f t="shared" si="22"/>
        <v>Electropolished SS 316L tube stock for Birmingham, UK - Sakshi Forge</v>
      </c>
      <c r="AM238" s="15" t="str">
        <f t="shared" si="23"/>
        <v>Home &gt; Market Area &gt; UK &gt; West Midlands &gt; Birmingham</v>
      </c>
      <c r="AN238" s="15">
        <f t="shared" si="24"/>
        <v>1400</v>
      </c>
      <c r="AO238" s="15">
        <f t="shared" si="25"/>
        <v>10</v>
      </c>
      <c r="AP238" s="15">
        <f t="shared" si="26"/>
        <v>12</v>
      </c>
      <c r="AQ238" s="15">
        <f t="shared" si="27"/>
        <v>4</v>
      </c>
      <c r="AR238" s="31"/>
      <c r="AS238" s="31"/>
      <c r="AT238" s="35" t="s">
        <v>222</v>
      </c>
      <c r="AU238" s="35"/>
    </row>
    <row r="239" ht="15.75" customHeight="1">
      <c r="A239" s="15" t="s">
        <v>8178</v>
      </c>
      <c r="B239" s="15" t="s">
        <v>234</v>
      </c>
      <c r="C239" s="15" t="s">
        <v>8179</v>
      </c>
      <c r="D239" s="15" t="s">
        <v>8180</v>
      </c>
      <c r="E239" s="15" t="s">
        <v>8180</v>
      </c>
      <c r="F239" s="16" t="s">
        <v>87</v>
      </c>
      <c r="G239" s="17" t="s">
        <v>88</v>
      </c>
      <c r="H239" s="18" t="s">
        <v>8181</v>
      </c>
      <c r="I239" s="18" t="s">
        <v>8182</v>
      </c>
      <c r="J239" s="18" t="s">
        <v>8183</v>
      </c>
      <c r="K239" s="18" t="s">
        <v>1320</v>
      </c>
      <c r="L239" s="18" t="s">
        <v>8184</v>
      </c>
      <c r="M239" s="18" t="s">
        <v>540</v>
      </c>
      <c r="N239" s="18" t="s">
        <v>242</v>
      </c>
      <c r="O239" s="18" t="s">
        <v>98</v>
      </c>
      <c r="P239" s="15" t="str">
        <f t="shared" si="1"/>
        <v>BIOTECH</v>
      </c>
      <c r="Q239" s="15">
        <f t="shared" si="2"/>
        <v>4</v>
      </c>
      <c r="R239" s="15">
        <f t="shared" si="3"/>
        <v>5</v>
      </c>
      <c r="S239" s="15">
        <f t="shared" si="4"/>
        <v>1</v>
      </c>
      <c r="T239" s="15" t="str">
        <f t="shared" si="5"/>
        <v>A-2</v>
      </c>
      <c r="U239" s="15" t="str">
        <f t="shared" si="6"/>
        <v>T4-M5-H1-FA-2-BIOTECH</v>
      </c>
      <c r="V239" s="15">
        <f t="shared" si="7"/>
        <v>0</v>
      </c>
      <c r="W239" s="31"/>
      <c r="X239" s="15" t="str">
        <f t="shared" si="8"/>
        <v>cambridge-uk</v>
      </c>
      <c r="Y239" s="32" t="str">
        <f t="shared" si="9"/>
        <v>https://steelmanufacturer.in/market-area/electropolished-pipes-manufacturer-in-cambridge-uk/</v>
      </c>
      <c r="Z239" s="15" t="str">
        <f t="shared" si="10"/>
        <v>Electropolished Pipes Manufacturer in Cambridge</v>
      </c>
      <c r="AA239" s="15" t="str">
        <f t="shared" si="11"/>
        <v>OK (47)</v>
      </c>
      <c r="AB239" s="15" t="str">
        <f t="shared" si="12"/>
        <v>Manufacturer of electropolished SS 316L tube serving Cambridge. 22-28 days sea from Nhava Sheva to Felixstowe. Ra 0.25-0.5 um, EN 10204 3.1 MTC.</v>
      </c>
      <c r="AC239" s="15" t="str">
        <f t="shared" si="13"/>
        <v>OK (144)</v>
      </c>
      <c r="AD239" s="15" t="str">
        <f t="shared" si="14"/>
        <v>Electropolished Pipes Manufacturer in Cambridge</v>
      </c>
      <c r="AE239" s="15" t="str">
        <f t="shared" si="15"/>
        <v>Electropolished Pipe &amp; Tube Manufacturing for Cambridge - Grades, Finishes &amp; Certification</v>
      </c>
      <c r="AF239" s="15" t="str">
        <f t="shared" si="16"/>
        <v>Electropolished Pipes Supplier in Cambridge - Stock Sizes, Lead Time &amp; Delivery</v>
      </c>
      <c r="AG239" s="15" t="str">
        <f t="shared" si="17"/>
        <v>Electropolished Pipes Wholesaler &amp; Stockist in Cambridge - Bulk &amp; Project Pricing</v>
      </c>
      <c r="AH239" s="15" t="str">
        <f t="shared" si="18"/>
        <v>electropolished pipes manufacturer in Cambridge, electropolished pipes supplier in Cambridge, electropolished pipes wholesaler in Cambridge, electropolished tube manufacturer Cambridge, EP pipe supplier Cambridge, sanitary tube supplier Cambridge, ASME BPE tubing Cambridge, ASTM A270 tube Cambridge, SS 316L electropolished pipe Cambridge</v>
      </c>
      <c r="AI239" s="15" t="str">
        <f t="shared" si="19"/>
        <v>Electropolished Pipes Manufacturer &amp; Supplier in Cambridge</v>
      </c>
      <c r="AJ239" s="15" t="str">
        <f t="shared" si="20"/>
        <v>EP-finished SS 304/316L pipes and tubes for biotech plants in Cambridge. ASME BPE SF1-SF4, Ra from 0.25 um, EN 10204 3.1 certificate with every lot.</v>
      </c>
      <c r="AK239" s="15" t="str">
        <f t="shared" si="21"/>
        <v>Electropolished stainless steel pipes supplied by Sakshi Forge to biotech plants at Cambridge Biomedical Campus, Cambridge</v>
      </c>
      <c r="AL239" s="15" t="str">
        <f t="shared" si="22"/>
        <v>Electropolished SS 316L tube stock for Cambridge - Sakshi Forge</v>
      </c>
      <c r="AM239" s="15" t="str">
        <f t="shared" si="23"/>
        <v>Home &gt; Market Area &gt; UK &gt; East of England &gt; Cambridge</v>
      </c>
      <c r="AN239" s="15">
        <f t="shared" si="24"/>
        <v>1400</v>
      </c>
      <c r="AO239" s="15">
        <f t="shared" si="25"/>
        <v>10</v>
      </c>
      <c r="AP239" s="15">
        <f t="shared" si="26"/>
        <v>12</v>
      </c>
      <c r="AQ239" s="15">
        <f t="shared" si="27"/>
        <v>4</v>
      </c>
      <c r="AR239" s="31"/>
      <c r="AS239" s="31"/>
      <c r="AT239" s="35" t="s">
        <v>222</v>
      </c>
      <c r="AU239" s="35"/>
    </row>
    <row r="240" ht="15.75" customHeight="1">
      <c r="A240" s="15" t="s">
        <v>8185</v>
      </c>
      <c r="B240" s="15" t="s">
        <v>234</v>
      </c>
      <c r="C240" s="15" t="s">
        <v>8186</v>
      </c>
      <c r="D240" s="15" t="s">
        <v>8187</v>
      </c>
      <c r="E240" s="15" t="s">
        <v>8187</v>
      </c>
      <c r="F240" s="16" t="s">
        <v>87</v>
      </c>
      <c r="G240" s="17" t="s">
        <v>88</v>
      </c>
      <c r="H240" s="18" t="s">
        <v>8188</v>
      </c>
      <c r="I240" s="18" t="s">
        <v>8189</v>
      </c>
      <c r="J240" s="18" t="s">
        <v>8190</v>
      </c>
      <c r="K240" s="18" t="s">
        <v>1320</v>
      </c>
      <c r="L240" s="18" t="s">
        <v>8191</v>
      </c>
      <c r="M240" s="18" t="s">
        <v>540</v>
      </c>
      <c r="N240" s="18" t="s">
        <v>242</v>
      </c>
      <c r="O240" s="18" t="s">
        <v>98</v>
      </c>
      <c r="P240" s="15" t="str">
        <f t="shared" si="1"/>
        <v>BIOTECH</v>
      </c>
      <c r="Q240" s="15">
        <f t="shared" si="2"/>
        <v>5</v>
      </c>
      <c r="R240" s="15">
        <f t="shared" si="3"/>
        <v>6</v>
      </c>
      <c r="S240" s="15">
        <f t="shared" si="4"/>
        <v>2</v>
      </c>
      <c r="T240" s="15" t="str">
        <f t="shared" si="5"/>
        <v>A-3</v>
      </c>
      <c r="U240" s="15" t="str">
        <f t="shared" si="6"/>
        <v>T5-M6-H2-FA-3-BIOTECH</v>
      </c>
      <c r="V240" s="15">
        <f t="shared" si="7"/>
        <v>0</v>
      </c>
      <c r="W240" s="31"/>
      <c r="X240" s="15" t="str">
        <f t="shared" si="8"/>
        <v>edinburgh-uk</v>
      </c>
      <c r="Y240" s="32" t="str">
        <f t="shared" si="9"/>
        <v>https://steelmanufacturer.in/market-area/electropolished-pipes-manufacturer-in-edinburgh-uk/</v>
      </c>
      <c r="Z240" s="15" t="str">
        <f t="shared" si="10"/>
        <v>Electropolished Pipes Manufacturer in Edinburgh</v>
      </c>
      <c r="AA240" s="15" t="str">
        <f t="shared" si="11"/>
        <v>OK (47)</v>
      </c>
      <c r="AB240" s="15" t="str">
        <f t="shared" si="12"/>
        <v>EP tube and pipe for biotech plants around Newbridge Industrial Estate, Edinburgh. Made at our Mumbai works to ASTM A270 and ASME BPE SF1-SF4, with 3.1 MTC.</v>
      </c>
      <c r="AC240" s="15" t="str">
        <f t="shared" si="13"/>
        <v>OK (156)</v>
      </c>
      <c r="AD240" s="15" t="str">
        <f t="shared" si="14"/>
        <v>Electropolished Pipes Manufacturer in Edinburgh</v>
      </c>
      <c r="AE240" s="15" t="str">
        <f t="shared" si="15"/>
        <v>How We Manufacture Electropolished Tube for Edinburgh Plants</v>
      </c>
      <c r="AF240" s="15" t="str">
        <f t="shared" si="16"/>
        <v>Supplying Electropolished Pipes in Edinburgh: Availability, Sizes &amp; Dispatch</v>
      </c>
      <c r="AG240" s="15" t="str">
        <f t="shared" si="17"/>
        <v>Wholesale Electropolished Pipe Supply for Edinburgh Projects</v>
      </c>
      <c r="AH240" s="15" t="str">
        <f t="shared" si="18"/>
        <v>electropolished pipes manufacturer in Edinburgh, electropolished pipes supplier in Edinburgh, electropolished pipes wholesaler in Edinburgh, electropolished tube manufacturer Edinburgh, EP pipe supplier Edinburgh, sanitary tube supplier Edinburgh, ASME BPE tubing Edinburgh, ASTM A270 tube Edinburgh, SS 316L electropolished pipe Edinburgh</v>
      </c>
      <c r="AI240" s="15" t="str">
        <f t="shared" si="19"/>
        <v>Electropolished Pipes Manufacturer &amp; Supplier in Edinburgh</v>
      </c>
      <c r="AJ240" s="15" t="str">
        <f t="shared" si="20"/>
        <v>EP-finished SS 304/316L pipes and tubes for biotech plants in Edinburgh. ASME BPE SF1-SF4, Ra from 0.25 um, EN 10204 3.1 certificate with every lot.</v>
      </c>
      <c r="AK240" s="15" t="str">
        <f t="shared" si="21"/>
        <v>Electropolished stainless steel pipes supplied by Sakshi Forge to biotech plants at Newbridge Industrial Estate, Edinburgh</v>
      </c>
      <c r="AL240" s="15" t="str">
        <f t="shared" si="22"/>
        <v>Electropolished SS 316L tube stock for Edinburgh - Sakshi Forge</v>
      </c>
      <c r="AM240" s="15" t="str">
        <f t="shared" si="23"/>
        <v>Home &gt; Market Area &gt; UK &gt; Scotland &gt; Edinburgh</v>
      </c>
      <c r="AN240" s="15">
        <f t="shared" si="24"/>
        <v>1400</v>
      </c>
      <c r="AO240" s="15">
        <f t="shared" si="25"/>
        <v>10</v>
      </c>
      <c r="AP240" s="15">
        <f t="shared" si="26"/>
        <v>12</v>
      </c>
      <c r="AQ240" s="15">
        <f t="shared" si="27"/>
        <v>4</v>
      </c>
      <c r="AR240" s="31"/>
      <c r="AS240" s="31"/>
      <c r="AT240" s="35" t="s">
        <v>222</v>
      </c>
      <c r="AU240" s="35"/>
    </row>
    <row r="241" ht="15.75" customHeight="1">
      <c r="A241" s="15" t="s">
        <v>8192</v>
      </c>
      <c r="B241" s="15" t="s">
        <v>234</v>
      </c>
      <c r="C241" s="15" t="s">
        <v>8186</v>
      </c>
      <c r="D241" s="15" t="s">
        <v>8193</v>
      </c>
      <c r="E241" s="15" t="s">
        <v>8193</v>
      </c>
      <c r="F241" s="16" t="s">
        <v>87</v>
      </c>
      <c r="G241" s="17" t="s">
        <v>88</v>
      </c>
      <c r="H241" s="18" t="s">
        <v>8194</v>
      </c>
      <c r="I241" s="18" t="s">
        <v>8195</v>
      </c>
      <c r="J241" s="18" t="s">
        <v>8196</v>
      </c>
      <c r="K241" s="18" t="s">
        <v>229</v>
      </c>
      <c r="L241" s="18" t="s">
        <v>8191</v>
      </c>
      <c r="M241" s="18" t="s">
        <v>540</v>
      </c>
      <c r="N241" s="18" t="s">
        <v>242</v>
      </c>
      <c r="O241" s="18" t="s">
        <v>98</v>
      </c>
      <c r="P241" s="15" t="str">
        <f t="shared" si="1"/>
        <v>PHARMA</v>
      </c>
      <c r="Q241" s="15">
        <f t="shared" si="2"/>
        <v>6</v>
      </c>
      <c r="R241" s="15">
        <f t="shared" si="3"/>
        <v>7</v>
      </c>
      <c r="S241" s="15">
        <f t="shared" si="4"/>
        <v>3</v>
      </c>
      <c r="T241" s="15" t="str">
        <f t="shared" si="5"/>
        <v>A-4</v>
      </c>
      <c r="U241" s="15" t="str">
        <f t="shared" si="6"/>
        <v>T6-M7-H3-FA-4-PHARMA</v>
      </c>
      <c r="V241" s="15">
        <f t="shared" si="7"/>
        <v>0</v>
      </c>
      <c r="W241" s="31"/>
      <c r="X241" s="15" t="str">
        <f t="shared" si="8"/>
        <v>glasgow-uk</v>
      </c>
      <c r="Y241" s="32" t="str">
        <f t="shared" si="9"/>
        <v>https://steelmanufacturer.in/market-area/electropolished-pipes-manufacturer-in-glasgow-uk/</v>
      </c>
      <c r="Z241" s="15" t="str">
        <f t="shared" si="10"/>
        <v>Electropolished Pipes Manufacturer in Glasgow</v>
      </c>
      <c r="AA241" s="15" t="str">
        <f t="shared" si="11"/>
        <v>OK (45)</v>
      </c>
      <c r="AB241" s="15" t="str">
        <f t="shared" si="12"/>
        <v>Electropolished pipes in Glasgow: 304, 304L, 316 and 316L in SF1-SF4. 22-28 days sea from Nhava Sheva to Felixstowe. Mill certified.</v>
      </c>
      <c r="AC241" s="15" t="str">
        <f t="shared" si="13"/>
        <v>OK (132)</v>
      </c>
      <c r="AD241" s="15" t="str">
        <f t="shared" si="14"/>
        <v>Electropolished Pipes Manufacturer in Glasgow</v>
      </c>
      <c r="AE241" s="15" t="str">
        <f t="shared" si="15"/>
        <v>Electropolished Pipes Manufacturer in Glasgow - Our Process &amp; Capability</v>
      </c>
      <c r="AF241" s="15" t="str">
        <f t="shared" si="16"/>
        <v>Electropolished Pipes Supplier in Glasgow - What We Hold in Stock</v>
      </c>
      <c r="AG241" s="15" t="str">
        <f t="shared" si="17"/>
        <v>Bulk &amp; Wholesale Electropolished Pipe Rates for Glasgow Buyers</v>
      </c>
      <c r="AH241" s="15" t="str">
        <f t="shared" si="18"/>
        <v>electropolished pipes manufacturer in Glasgow, electropolished pipes supplier in Glasgow, electropolished pipes wholesaler in Glasgow, electropolished tube manufacturer Glasgow, EP pipe supplier Glasgow, sanitary tube supplier Glasgow, ASME BPE tubing Glasgow, ASTM A270 tube Glasgow, SS 316L electropolished pipe Glasgow</v>
      </c>
      <c r="AI241" s="15" t="str">
        <f t="shared" si="19"/>
        <v>Electropolished Pipes Manufacturer &amp; Supplier in Glasgow</v>
      </c>
      <c r="AJ241" s="15" t="str">
        <f t="shared" si="20"/>
        <v>EP-finished SS 304/316L pipes and tubes for pharma plants in Glasgow. ASME BPE SF1-SF4, Ra from 0.25 um, EN 10204 3.1 certificate with every lot.</v>
      </c>
      <c r="AK241" s="15" t="str">
        <f t="shared" si="21"/>
        <v>Electropolished stainless steel pipes supplied by Sakshi Forge to pharma plants at Hillington Park, Glasgow</v>
      </c>
      <c r="AL241" s="15" t="str">
        <f t="shared" si="22"/>
        <v>Electropolished SS 316L tube stock for Glasgow - Sakshi Forge</v>
      </c>
      <c r="AM241" s="15" t="str">
        <f t="shared" si="23"/>
        <v>Home &gt; Market Area &gt; UK &gt; Scotland &gt; Glasgow</v>
      </c>
      <c r="AN241" s="15">
        <f t="shared" si="24"/>
        <v>1400</v>
      </c>
      <c r="AO241" s="15">
        <f t="shared" si="25"/>
        <v>10</v>
      </c>
      <c r="AP241" s="15">
        <f t="shared" si="26"/>
        <v>12</v>
      </c>
      <c r="AQ241" s="15">
        <f t="shared" si="27"/>
        <v>4</v>
      </c>
      <c r="AR241" s="31"/>
      <c r="AS241" s="31"/>
      <c r="AT241" s="35" t="s">
        <v>222</v>
      </c>
      <c r="AU241" s="35"/>
    </row>
    <row r="242" ht="15.75" customHeight="1">
      <c r="A242" s="15" t="s">
        <v>8197</v>
      </c>
      <c r="B242" s="15" t="s">
        <v>234</v>
      </c>
      <c r="C242" s="15" t="s">
        <v>8198</v>
      </c>
      <c r="D242" s="15" t="s">
        <v>8199</v>
      </c>
      <c r="E242" s="15" t="s">
        <v>8199</v>
      </c>
      <c r="F242" s="16" t="s">
        <v>87</v>
      </c>
      <c r="G242" s="17" t="s">
        <v>88</v>
      </c>
      <c r="H242" s="18" t="s">
        <v>8200</v>
      </c>
      <c r="I242" s="18" t="s">
        <v>8201</v>
      </c>
      <c r="J242" s="18" t="s">
        <v>8202</v>
      </c>
      <c r="K242" s="18" t="s">
        <v>229</v>
      </c>
      <c r="L242" s="18" t="s">
        <v>8203</v>
      </c>
      <c r="M242" s="18" t="s">
        <v>540</v>
      </c>
      <c r="N242" s="18" t="s">
        <v>242</v>
      </c>
      <c r="O242" s="18" t="s">
        <v>98</v>
      </c>
      <c r="P242" s="15" t="str">
        <f t="shared" si="1"/>
        <v>PHARMA</v>
      </c>
      <c r="Q242" s="15">
        <f t="shared" si="2"/>
        <v>7</v>
      </c>
      <c r="R242" s="15">
        <f t="shared" si="3"/>
        <v>1</v>
      </c>
      <c r="S242" s="15">
        <f t="shared" si="4"/>
        <v>4</v>
      </c>
      <c r="T242" s="15" t="str">
        <f t="shared" si="5"/>
        <v>A-5</v>
      </c>
      <c r="U242" s="15" t="str">
        <f t="shared" si="6"/>
        <v>T7-M1-H4-FA-5-PHARMA</v>
      </c>
      <c r="V242" s="15">
        <f t="shared" si="7"/>
        <v>0</v>
      </c>
      <c r="W242" s="31"/>
      <c r="X242" s="15" t="str">
        <f t="shared" si="8"/>
        <v>leeds-uk</v>
      </c>
      <c r="Y242" s="32" t="str">
        <f t="shared" si="9"/>
        <v>https://steelmanufacturer.in/market-area/electropolished-pipes-manufacturer-in-leeds-uk/</v>
      </c>
      <c r="Z242" s="15" t="str">
        <f t="shared" si="10"/>
        <v>Electropolished Pipes Manufacturer in Leeds | ASME BPE SF1-SF4</v>
      </c>
      <c r="AA242" s="15" t="str">
        <f t="shared" si="11"/>
        <v>OK (62)</v>
      </c>
      <c r="AB242" s="15" t="str">
        <f t="shared" si="12"/>
        <v>EP-finished SS 304/316L pipes &amp; tubes for pharma plants in Leeds. ASTM A270, ASME BPE SF1-SF4, EN 10204 3.1 MTC. PMI tested.</v>
      </c>
      <c r="AC242" s="15" t="str">
        <f t="shared" si="13"/>
        <v>OK (124)</v>
      </c>
      <c r="AD242" s="15" t="str">
        <f t="shared" si="14"/>
        <v>Electropolished Pipes Manufacturer in Leeds</v>
      </c>
      <c r="AE242" s="15" t="str">
        <f t="shared" si="15"/>
        <v>Manufacturing Electropolished SS Tube for Leeds: The Standards We Build To</v>
      </c>
      <c r="AF242" s="15" t="str">
        <f t="shared" si="16"/>
        <v>Electropolished Pipe Supply Into Leeds - Certification &amp; Transit</v>
      </c>
      <c r="AG242" s="15" t="str">
        <f t="shared" si="17"/>
        <v>Electropolished Pipes Wholesaler in Leeds - Project Quantities &amp; Terms</v>
      </c>
      <c r="AH242" s="15" t="str">
        <f t="shared" si="18"/>
        <v>electropolished pipes manufacturer in Leeds, electropolished pipes supplier in Leeds, electropolished pipes wholesaler in Leeds, electropolished tube manufacturer Leeds, EP pipe supplier Leeds, sanitary tube supplier Leeds, ASME BPE tubing Leeds, ASTM A270 tube Leeds, SS 316L electropolished pipe Leeds</v>
      </c>
      <c r="AI242" s="15" t="str">
        <f t="shared" si="19"/>
        <v>Electropolished Pipes Manufacturer &amp; Supplier in Leeds</v>
      </c>
      <c r="AJ242" s="15" t="str">
        <f t="shared" si="20"/>
        <v>EP-finished SS 304/316L pipes and tubes for pharma plants in Leeds. ASME BPE SF1-SF4, Ra from 0.25 um, EN 10204 3.1 certificate with every lot.</v>
      </c>
      <c r="AK242" s="15" t="str">
        <f t="shared" si="21"/>
        <v>Electropolished stainless steel pipes supplied by Sakshi Forge to pharma plants at Leeds Industrial Corridor, Leeds</v>
      </c>
      <c r="AL242" s="15" t="str">
        <f t="shared" si="22"/>
        <v>Electropolished SS 316L tube stock for Leeds - Sakshi Forge</v>
      </c>
      <c r="AM242" s="15" t="str">
        <f t="shared" si="23"/>
        <v>Home &gt; Market Area &gt; UK &gt; Yorkshire &gt; Leeds</v>
      </c>
      <c r="AN242" s="15">
        <f t="shared" si="24"/>
        <v>1400</v>
      </c>
      <c r="AO242" s="15">
        <f t="shared" si="25"/>
        <v>10</v>
      </c>
      <c r="AP242" s="15">
        <f t="shared" si="26"/>
        <v>12</v>
      </c>
      <c r="AQ242" s="15">
        <f t="shared" si="27"/>
        <v>4</v>
      </c>
      <c r="AR242" s="31"/>
      <c r="AS242" s="31"/>
      <c r="AT242" s="35" t="s">
        <v>222</v>
      </c>
      <c r="AU242" s="35"/>
    </row>
    <row r="243" ht="15.75" customHeight="1">
      <c r="A243" s="15" t="s">
        <v>8204</v>
      </c>
      <c r="B243" s="15" t="s">
        <v>234</v>
      </c>
      <c r="C243" s="15" t="s">
        <v>8205</v>
      </c>
      <c r="D243" s="15" t="s">
        <v>8206</v>
      </c>
      <c r="E243" s="15" t="s">
        <v>8206</v>
      </c>
      <c r="F243" s="16" t="s">
        <v>87</v>
      </c>
      <c r="G243" s="17" t="s">
        <v>88</v>
      </c>
      <c r="H243" s="18" t="s">
        <v>8207</v>
      </c>
      <c r="I243" s="18" t="s">
        <v>8208</v>
      </c>
      <c r="J243" s="18" t="s">
        <v>8209</v>
      </c>
      <c r="K243" s="18" t="s">
        <v>4208</v>
      </c>
      <c r="L243" s="18" t="s">
        <v>8210</v>
      </c>
      <c r="M243" s="18" t="s">
        <v>540</v>
      </c>
      <c r="N243" s="18" t="s">
        <v>242</v>
      </c>
      <c r="O243" s="18" t="s">
        <v>98</v>
      </c>
      <c r="P243" s="15" t="str">
        <f t="shared" si="1"/>
        <v>BIOTECH</v>
      </c>
      <c r="Q243" s="15">
        <f t="shared" si="2"/>
        <v>8</v>
      </c>
      <c r="R243" s="15">
        <f t="shared" si="3"/>
        <v>2</v>
      </c>
      <c r="S243" s="15">
        <f t="shared" si="4"/>
        <v>5</v>
      </c>
      <c r="T243" s="15" t="str">
        <f t="shared" si="5"/>
        <v>A-6</v>
      </c>
      <c r="U243" s="15" t="str">
        <f t="shared" si="6"/>
        <v>T8-M2-H5-FA-6-BIOTECH</v>
      </c>
      <c r="V243" s="15">
        <f t="shared" si="7"/>
        <v>0</v>
      </c>
      <c r="W243" s="31"/>
      <c r="X243" s="15" t="str">
        <f t="shared" si="8"/>
        <v>liverpool-uk</v>
      </c>
      <c r="Y243" s="32" t="str">
        <f t="shared" si="9"/>
        <v>https://steelmanufacturer.in/market-area/electropolished-pipes-manufacturer-in-liverpool-uk/</v>
      </c>
      <c r="Z243" s="15" t="str">
        <f t="shared" si="10"/>
        <v>Electropolished Pipes Manufacturer in Liverpool</v>
      </c>
      <c r="AA243" s="15" t="str">
        <f t="shared" si="11"/>
        <v>OK (47)</v>
      </c>
      <c r="AB243" s="15" t="str">
        <f t="shared" si="12"/>
        <v>Electropolished tube supply to Speke Industrial Estate, Liverpool. Ra from 0.25 um, SF4 finish, mill test certificate with every lot.</v>
      </c>
      <c r="AC243" s="15" t="str">
        <f t="shared" si="13"/>
        <v>OK (133)</v>
      </c>
      <c r="AD243" s="15" t="str">
        <f t="shared" si="14"/>
        <v>Electropolished Pipes Manufacturer in Liverpool</v>
      </c>
      <c r="AE243" s="15" t="str">
        <f t="shared" si="15"/>
        <v>Electropolished Tube Manufacturing Capability Serving Liverpool</v>
      </c>
      <c r="AF243" s="15" t="str">
        <f t="shared" si="16"/>
        <v>Electropolished Pipes Supplier in Liverpool - From Order to Delivery</v>
      </c>
      <c r="AG243" s="15" t="str">
        <f t="shared" si="17"/>
        <v>Stockist &amp; Wholesale Supply of Electropolished Pipes in Liverpool</v>
      </c>
      <c r="AH243" s="15" t="str">
        <f t="shared" si="18"/>
        <v>electropolished pipes manufacturer in Liverpool, electropolished pipes supplier in Liverpool, electropolished pipes wholesaler in Liverpool, electropolished tube manufacturer Liverpool, EP pipe supplier Liverpool, sanitary tube supplier Liverpool, ASME BPE tubing Liverpool, ASTM A270 tube Liverpool, SS 316L electropolished pipe Liverpool</v>
      </c>
      <c r="AI243" s="15" t="str">
        <f t="shared" si="19"/>
        <v>Electropolished Pipes Manufacturer &amp; Supplier in Liverpool</v>
      </c>
      <c r="AJ243" s="15" t="str">
        <f t="shared" si="20"/>
        <v>EP-finished SS 304/316L pipes and tubes for pharma &amp; biotech plants in Liverpool. ASME BPE SF1-SF4, Ra from 0.25 um, EN 10204 3.1 certificate with every lot.</v>
      </c>
      <c r="AK243" s="15" t="str">
        <f t="shared" si="21"/>
        <v>Electropolished stainless steel pipes supplied by Sakshi Forge to pharma &amp; biotech plants at Speke Industrial Estate, Liverpool</v>
      </c>
      <c r="AL243" s="15" t="str">
        <f t="shared" si="22"/>
        <v>Electropolished SS 316L tube stock for Liverpool - Sakshi Forge</v>
      </c>
      <c r="AM243" s="15" t="str">
        <f t="shared" si="23"/>
        <v>Home &gt; Market Area &gt; UK &gt; North West &gt; Liverpool</v>
      </c>
      <c r="AN243" s="15">
        <f t="shared" si="24"/>
        <v>1400</v>
      </c>
      <c r="AO243" s="15">
        <f t="shared" si="25"/>
        <v>10</v>
      </c>
      <c r="AP243" s="15">
        <f t="shared" si="26"/>
        <v>12</v>
      </c>
      <c r="AQ243" s="15">
        <f t="shared" si="27"/>
        <v>4</v>
      </c>
      <c r="AR243" s="31"/>
      <c r="AS243" s="31"/>
      <c r="AT243" s="35" t="s">
        <v>222</v>
      </c>
      <c r="AU243" s="35"/>
    </row>
    <row r="244" ht="15.75" customHeight="1">
      <c r="A244" s="15" t="s">
        <v>8211</v>
      </c>
      <c r="B244" s="15" t="s">
        <v>234</v>
      </c>
      <c r="C244" s="15" t="s">
        <v>8212</v>
      </c>
      <c r="D244" s="15" t="s">
        <v>8213</v>
      </c>
      <c r="E244" s="15" t="s">
        <v>8213</v>
      </c>
      <c r="F244" s="16" t="s">
        <v>87</v>
      </c>
      <c r="G244" s="17" t="s">
        <v>88</v>
      </c>
      <c r="H244" s="18" t="s">
        <v>8214</v>
      </c>
      <c r="I244" s="18" t="s">
        <v>8215</v>
      </c>
      <c r="J244" s="18" t="s">
        <v>8216</v>
      </c>
      <c r="K244" s="18" t="s">
        <v>229</v>
      </c>
      <c r="L244" s="18" t="s">
        <v>8217</v>
      </c>
      <c r="M244" s="18" t="s">
        <v>540</v>
      </c>
      <c r="N244" s="18" t="s">
        <v>242</v>
      </c>
      <c r="O244" s="18" t="s">
        <v>98</v>
      </c>
      <c r="P244" s="15" t="str">
        <f t="shared" si="1"/>
        <v>PHARMA</v>
      </c>
      <c r="Q244" s="15">
        <f t="shared" si="2"/>
        <v>1</v>
      </c>
      <c r="R244" s="15">
        <f t="shared" si="3"/>
        <v>3</v>
      </c>
      <c r="S244" s="15">
        <f t="shared" si="4"/>
        <v>1</v>
      </c>
      <c r="T244" s="15" t="str">
        <f t="shared" si="5"/>
        <v>A-1</v>
      </c>
      <c r="U244" s="15" t="str">
        <f t="shared" si="6"/>
        <v>T1-M3-H1-FA-1-PHARMA</v>
      </c>
      <c r="V244" s="15">
        <f t="shared" si="7"/>
        <v>0</v>
      </c>
      <c r="W244" s="31"/>
      <c r="X244" s="15" t="str">
        <f t="shared" si="8"/>
        <v>london-uk</v>
      </c>
      <c r="Y244" s="32" t="str">
        <f t="shared" si="9"/>
        <v>https://steelmanufacturer.in/market-area/electropolished-pipes-manufacturer-in-london-uk/</v>
      </c>
      <c r="Z244" s="15" t="str">
        <f t="shared" si="10"/>
        <v>Electropolished Pipes Manufacturer in London | Sakshi Forge</v>
      </c>
      <c r="AA244" s="15" t="str">
        <f t="shared" si="11"/>
        <v>OK (59)</v>
      </c>
      <c r="AB244" s="15" t="str">
        <f t="shared" si="12"/>
        <v>EP stainless tube for pharma lines in London. 22-28 days sea from Nhava Sheva to Felixstowe. ASTM A270 S2, PMI tested, EN 10204 3.1.</v>
      </c>
      <c r="AC244" s="15" t="str">
        <f t="shared" si="13"/>
        <v>OK (132)</v>
      </c>
      <c r="AD244" s="15" t="str">
        <f t="shared" si="14"/>
        <v>Electropolished Pipes Manufacturer in London</v>
      </c>
      <c r="AE244" s="15" t="str">
        <f t="shared" si="15"/>
        <v>Electropolished Pipe &amp; Tube Manufacturing for London - Grades, Finishes &amp; Certification</v>
      </c>
      <c r="AF244" s="15" t="str">
        <f t="shared" si="16"/>
        <v>Electropolished Pipes Supplier in London - Stock Sizes, Lead Time &amp; Delivery</v>
      </c>
      <c r="AG244" s="15" t="str">
        <f t="shared" si="17"/>
        <v>Electropolished Pipes Wholesaler &amp; Stockist in London - Bulk &amp; Project Pricing</v>
      </c>
      <c r="AH244" s="15" t="str">
        <f t="shared" si="18"/>
        <v>electropolished pipes manufacturer in London, electropolished pipes supplier in London, electropolished pipes wholesaler in London, electropolished tube manufacturer London, EP pipe supplier London, sanitary tube supplier London, ASME BPE tubing London, ASTM A270 tube London, SS 316L electropolished pipe London</v>
      </c>
      <c r="AI244" s="15" t="str">
        <f t="shared" si="19"/>
        <v>Electropolished Pipes Manufacturer &amp; Supplier in London</v>
      </c>
      <c r="AJ244" s="15" t="str">
        <f t="shared" si="20"/>
        <v>EP-finished SS 304/316L pipes and tubes for pharma plants in London. ASME BPE SF1-SF4, Ra from 0.25 um, EN 10204 3.1 certificate with every lot.</v>
      </c>
      <c r="AK244" s="15" t="str">
        <f t="shared" si="21"/>
        <v>Electropolished stainless steel pipes supplied by Sakshi Forge to pharma plants at Park Royal Industrial Estate, London</v>
      </c>
      <c r="AL244" s="15" t="str">
        <f t="shared" si="22"/>
        <v>Electropolished SS 316L tube stock for London - Sakshi Forge</v>
      </c>
      <c r="AM244" s="15" t="str">
        <f t="shared" si="23"/>
        <v>Home &gt; Market Area &gt; UK &gt; Greater London &gt; London</v>
      </c>
      <c r="AN244" s="15">
        <f t="shared" si="24"/>
        <v>1400</v>
      </c>
      <c r="AO244" s="15">
        <f t="shared" si="25"/>
        <v>10</v>
      </c>
      <c r="AP244" s="15">
        <f t="shared" si="26"/>
        <v>12</v>
      </c>
      <c r="AQ244" s="15">
        <f t="shared" si="27"/>
        <v>5</v>
      </c>
      <c r="AR244" s="31"/>
      <c r="AS244" s="31"/>
      <c r="AT244" s="35" t="s">
        <v>222</v>
      </c>
      <c r="AU244" s="35"/>
    </row>
    <row r="245" ht="15.75" customHeight="1">
      <c r="A245" s="15" t="s">
        <v>8218</v>
      </c>
      <c r="B245" s="15" t="s">
        <v>234</v>
      </c>
      <c r="C245" s="15" t="s">
        <v>8205</v>
      </c>
      <c r="D245" s="15" t="s">
        <v>8219</v>
      </c>
      <c r="E245" s="15" t="s">
        <v>8219</v>
      </c>
      <c r="F245" s="16" t="s">
        <v>87</v>
      </c>
      <c r="G245" s="17" t="s">
        <v>88</v>
      </c>
      <c r="H245" s="18" t="s">
        <v>8220</v>
      </c>
      <c r="I245" s="18" t="s">
        <v>8221</v>
      </c>
      <c r="J245" s="18" t="s">
        <v>8222</v>
      </c>
      <c r="K245" s="18" t="s">
        <v>3605</v>
      </c>
      <c r="L245" s="18" t="s">
        <v>8210</v>
      </c>
      <c r="M245" s="18" t="s">
        <v>540</v>
      </c>
      <c r="N245" s="18" t="s">
        <v>242</v>
      </c>
      <c r="O245" s="18" t="s">
        <v>98</v>
      </c>
      <c r="P245" s="15" t="str">
        <f t="shared" si="1"/>
        <v>PHARMA</v>
      </c>
      <c r="Q245" s="15">
        <f t="shared" si="2"/>
        <v>2</v>
      </c>
      <c r="R245" s="15">
        <f t="shared" si="3"/>
        <v>4</v>
      </c>
      <c r="S245" s="15">
        <f t="shared" si="4"/>
        <v>2</v>
      </c>
      <c r="T245" s="15" t="str">
        <f t="shared" si="5"/>
        <v>A-2</v>
      </c>
      <c r="U245" s="15" t="str">
        <f t="shared" si="6"/>
        <v>T2-M4-H2-FA-2-PHARMA</v>
      </c>
      <c r="V245" s="15">
        <f t="shared" si="7"/>
        <v>0</v>
      </c>
      <c r="W245" s="31"/>
      <c r="X245" s="15" t="str">
        <f t="shared" si="8"/>
        <v>macclesfield-uk</v>
      </c>
      <c r="Y245" s="32" t="str">
        <f t="shared" si="9"/>
        <v>https://steelmanufacturer.in/market-area/electropolished-pipes-manufacturer-in-macclesfield-uk/</v>
      </c>
      <c r="Z245" s="15" t="str">
        <f t="shared" si="10"/>
        <v>Electropolished Pipes Manufacturer in Macclesfield</v>
      </c>
      <c r="AA245" s="15" t="str">
        <f t="shared" si="11"/>
        <v>OK (50)</v>
      </c>
      <c r="AB245" s="15" t="str">
        <f t="shared" si="12"/>
        <v>Sanitary electropolished pipes in Macclesfield for pharma &amp; API &amp; pharma plants. ASME BPE SF1-SF4, orbital-weld ready, 3.1 MTC. Mumbai-made.</v>
      </c>
      <c r="AC245" s="15" t="str">
        <f t="shared" si="13"/>
        <v>OK (140)</v>
      </c>
      <c r="AD245" s="15" t="str">
        <f t="shared" si="14"/>
        <v>Electropolished Pipes Manufacturer in Macclesfield</v>
      </c>
      <c r="AE245" s="15" t="str">
        <f t="shared" si="15"/>
        <v>How We Manufacture Electropolished Tube for Macclesfield Plants</v>
      </c>
      <c r="AF245" s="15" t="str">
        <f t="shared" si="16"/>
        <v>Supplying Electropolished Pipes in Macclesfield: Availability, Sizes &amp; Dispatch</v>
      </c>
      <c r="AG245" s="15" t="str">
        <f t="shared" si="17"/>
        <v>Wholesale Electropolished Pipe Supply for Macclesfield Projects</v>
      </c>
      <c r="AH245" s="15" t="str">
        <f t="shared" si="18"/>
        <v>electropolished pipes manufacturer in Macclesfield, electropolished pipes supplier in Macclesfield, electropolished pipes wholesaler in Macclesfield, electropolished tube manufacturer Macclesfield, EP pipe supplier Macclesfield, sanitary tube supplier Macclesfield, ASME BPE tubing Macclesfield, ASTM A270 tube Macclesfield, SS 316L electropolished pipe Macclesfield</v>
      </c>
      <c r="AI245" s="15" t="str">
        <f t="shared" si="19"/>
        <v>Electropolished Pipes Manufacturer &amp; Supplier in Macclesfield</v>
      </c>
      <c r="AJ245" s="15" t="str">
        <f t="shared" si="20"/>
        <v>EP-finished SS 304/316L pipes and tubes for pharma &amp; API &amp; pharma plants in Macclesfield. ASME BPE SF1-SF4, Ra from 0.25 um, EN 10204 3.1 certificate with every lot.</v>
      </c>
      <c r="AK245" s="15" t="str">
        <f t="shared" si="21"/>
        <v>Electropolished stainless steel pipes supplied by Sakshi Forge to pharma &amp; API &amp; pharma plants at Macclesfield Pharma Campus, Macclesfield</v>
      </c>
      <c r="AL245" s="15" t="str">
        <f t="shared" si="22"/>
        <v>Electropolished SS 316L tube stock for Macclesfield - Sakshi Forge</v>
      </c>
      <c r="AM245" s="15" t="str">
        <f t="shared" si="23"/>
        <v>Home &gt; Market Area &gt; UK &gt; North West &gt; Macclesfield</v>
      </c>
      <c r="AN245" s="15">
        <f t="shared" si="24"/>
        <v>1400</v>
      </c>
      <c r="AO245" s="15">
        <f t="shared" si="25"/>
        <v>10</v>
      </c>
      <c r="AP245" s="15">
        <f t="shared" si="26"/>
        <v>12</v>
      </c>
      <c r="AQ245" s="15">
        <f t="shared" si="27"/>
        <v>5</v>
      </c>
      <c r="AR245" s="31"/>
      <c r="AS245" s="31"/>
      <c r="AT245" s="35" t="s">
        <v>222</v>
      </c>
      <c r="AU245" s="35"/>
    </row>
    <row r="246" ht="15.75" customHeight="1">
      <c r="A246" s="15" t="s">
        <v>8223</v>
      </c>
      <c r="B246" s="15" t="s">
        <v>234</v>
      </c>
      <c r="C246" s="15" t="s">
        <v>8205</v>
      </c>
      <c r="D246" s="15" t="s">
        <v>8224</v>
      </c>
      <c r="E246" s="15" t="s">
        <v>8224</v>
      </c>
      <c r="F246" s="16" t="s">
        <v>87</v>
      </c>
      <c r="G246" s="17" t="s">
        <v>88</v>
      </c>
      <c r="H246" s="18" t="s">
        <v>8225</v>
      </c>
      <c r="I246" s="18" t="s">
        <v>8226</v>
      </c>
      <c r="J246" s="18" t="s">
        <v>6625</v>
      </c>
      <c r="K246" s="18" t="s">
        <v>229</v>
      </c>
      <c r="L246" s="18" t="s">
        <v>8210</v>
      </c>
      <c r="M246" s="18" t="s">
        <v>540</v>
      </c>
      <c r="N246" s="18" t="s">
        <v>242</v>
      </c>
      <c r="O246" s="18" t="s">
        <v>98</v>
      </c>
      <c r="P246" s="15" t="str">
        <f t="shared" si="1"/>
        <v>PHARMA</v>
      </c>
      <c r="Q246" s="15">
        <f t="shared" si="2"/>
        <v>3</v>
      </c>
      <c r="R246" s="15">
        <f t="shared" si="3"/>
        <v>5</v>
      </c>
      <c r="S246" s="15">
        <f t="shared" si="4"/>
        <v>3</v>
      </c>
      <c r="T246" s="15" t="str">
        <f t="shared" si="5"/>
        <v>A-3</v>
      </c>
      <c r="U246" s="15" t="str">
        <f t="shared" si="6"/>
        <v>T3-M5-H3-FA-3-PHARMA</v>
      </c>
      <c r="V246" s="15">
        <f t="shared" si="7"/>
        <v>0</v>
      </c>
      <c r="W246" s="31"/>
      <c r="X246" s="15" t="str">
        <f t="shared" si="8"/>
        <v>manchester-uk</v>
      </c>
      <c r="Y246" s="32" t="str">
        <f t="shared" si="9"/>
        <v>https://steelmanufacturer.in/market-area/electropolished-pipes-manufacturer-in-manchester-uk/</v>
      </c>
      <c r="Z246" s="15" t="str">
        <f t="shared" si="10"/>
        <v>Electropolished Pipes Manufacturer in Manchester</v>
      </c>
      <c r="AA246" s="15" t="str">
        <f t="shared" si="11"/>
        <v>OK (48)</v>
      </c>
      <c r="AB246" s="15" t="str">
        <f t="shared" si="12"/>
        <v>Manufacturer of electropolished SS 316L tube serving Manchester. 22-28 days sea from Nhava Sheva to Felixstowe. Ra 0.25-0.5 um, EN 10204 3.1 MTC.</v>
      </c>
      <c r="AC246" s="15" t="str">
        <f t="shared" si="13"/>
        <v>OK (145)</v>
      </c>
      <c r="AD246" s="15" t="str">
        <f t="shared" si="14"/>
        <v>Electropolished Pipes Manufacturer in Manchester</v>
      </c>
      <c r="AE246" s="15" t="str">
        <f t="shared" si="15"/>
        <v>Electropolished Pipes Manufacturer in Manchester - Our Process &amp; Capability</v>
      </c>
      <c r="AF246" s="15" t="str">
        <f t="shared" si="16"/>
        <v>Electropolished Pipes Supplier in Manchester - What We Hold in Stock</v>
      </c>
      <c r="AG246" s="15" t="str">
        <f t="shared" si="17"/>
        <v>Bulk &amp; Wholesale Electropolished Pipe Rates for Manchester Buyers</v>
      </c>
      <c r="AH246" s="15" t="str">
        <f t="shared" si="18"/>
        <v>electropolished pipes manufacturer in Manchester, electropolished pipes supplier in Manchester, electropolished pipes wholesaler in Manchester, electropolished tube manufacturer Manchester, EP pipe supplier Manchester, sanitary tube supplier Manchester, ASME BPE tubing Manchester, ASTM A270 tube Manchester, SS 316L electropolished pipe Manchester</v>
      </c>
      <c r="AI246" s="15" t="str">
        <f t="shared" si="19"/>
        <v>Electropolished Pipes Manufacturer &amp; Supplier in Manchester</v>
      </c>
      <c r="AJ246" s="15" t="str">
        <f t="shared" si="20"/>
        <v>EP-finished SS 304/316L pipes and tubes for pharma plants in Manchester. ASME BPE SF1-SF4, Ra from 0.25 um, EN 10204 3.1 certificate with every lot.</v>
      </c>
      <c r="AK246" s="15" t="str">
        <f t="shared" si="21"/>
        <v>Electropolished stainless steel pipes supplied by Sakshi Forge to pharma plants at Trafford Park, Manchester</v>
      </c>
      <c r="AL246" s="15" t="str">
        <f t="shared" si="22"/>
        <v>Electropolished SS 316L tube stock for Manchester - Sakshi Forge</v>
      </c>
      <c r="AM246" s="15" t="str">
        <f t="shared" si="23"/>
        <v>Home &gt; Market Area &gt; UK &gt; North West &gt; Manchester</v>
      </c>
      <c r="AN246" s="15">
        <f t="shared" si="24"/>
        <v>1400</v>
      </c>
      <c r="AO246" s="15">
        <f t="shared" si="25"/>
        <v>10</v>
      </c>
      <c r="AP246" s="15">
        <f t="shared" si="26"/>
        <v>12</v>
      </c>
      <c r="AQ246" s="15">
        <f t="shared" si="27"/>
        <v>5</v>
      </c>
      <c r="AR246" s="31"/>
      <c r="AS246" s="31"/>
      <c r="AT246" s="35" t="s">
        <v>222</v>
      </c>
      <c r="AU246" s="35"/>
    </row>
    <row r="247" ht="15.75" customHeight="1">
      <c r="A247" s="15" t="s">
        <v>8227</v>
      </c>
      <c r="B247" s="15" t="s">
        <v>234</v>
      </c>
      <c r="C247" s="15" t="s">
        <v>8228</v>
      </c>
      <c r="D247" s="15" t="s">
        <v>8229</v>
      </c>
      <c r="E247" s="15" t="s">
        <v>8229</v>
      </c>
      <c r="F247" s="16" t="s">
        <v>87</v>
      </c>
      <c r="G247" s="17" t="s">
        <v>88</v>
      </c>
      <c r="H247" s="18" t="s">
        <v>8230</v>
      </c>
      <c r="I247" s="18" t="s">
        <v>8231</v>
      </c>
      <c r="J247" s="18" t="s">
        <v>8232</v>
      </c>
      <c r="K247" s="18" t="s">
        <v>4208</v>
      </c>
      <c r="L247" s="18" t="s">
        <v>8203</v>
      </c>
      <c r="M247" s="18" t="s">
        <v>540</v>
      </c>
      <c r="N247" s="18" t="s">
        <v>242</v>
      </c>
      <c r="O247" s="18" t="s">
        <v>98</v>
      </c>
      <c r="P247" s="15" t="str">
        <f t="shared" si="1"/>
        <v>BIOTECH</v>
      </c>
      <c r="Q247" s="15">
        <f t="shared" si="2"/>
        <v>4</v>
      </c>
      <c r="R247" s="15">
        <f t="shared" si="3"/>
        <v>6</v>
      </c>
      <c r="S247" s="15">
        <f t="shared" si="4"/>
        <v>4</v>
      </c>
      <c r="T247" s="15" t="str">
        <f t="shared" si="5"/>
        <v>A-4</v>
      </c>
      <c r="U247" s="15" t="str">
        <f t="shared" si="6"/>
        <v>T4-M6-H4-FA-4-BIOTECH</v>
      </c>
      <c r="V247" s="15">
        <f t="shared" si="7"/>
        <v>0</v>
      </c>
      <c r="W247" s="31"/>
      <c r="X247" s="15" t="str">
        <f t="shared" si="8"/>
        <v>nottingham-uk</v>
      </c>
      <c r="Y247" s="32" t="str">
        <f t="shared" si="9"/>
        <v>https://steelmanufacturer.in/market-area/electropolished-pipes-manufacturer-in-nottingham-uk/</v>
      </c>
      <c r="Z247" s="15" t="str">
        <f t="shared" si="10"/>
        <v>Electropolished Pipes Manufacturer in Nottingham</v>
      </c>
      <c r="AA247" s="15" t="str">
        <f t="shared" si="11"/>
        <v>OK (48)</v>
      </c>
      <c r="AB247" s="15" t="str">
        <f t="shared" si="12"/>
        <v>EP tube and pipe for pharma &amp; biotech plants around Boots Beeston Campus, Nottingham. Made at our Mumbai works to ASTM A270 and ASME BPE SF1-SF4, with 3.1 MTC.</v>
      </c>
      <c r="AC247" s="15" t="str">
        <f t="shared" si="13"/>
        <v>OK (159)</v>
      </c>
      <c r="AD247" s="15" t="str">
        <f t="shared" si="14"/>
        <v>Electropolished Pipes Manufacturer in Nottingham</v>
      </c>
      <c r="AE247" s="15" t="str">
        <f t="shared" si="15"/>
        <v>Manufacturing Electropolished SS Tube for Nottingham: The Standards We Build To</v>
      </c>
      <c r="AF247" s="15" t="str">
        <f t="shared" si="16"/>
        <v>Electropolished Pipe Supply Into Nottingham - Certification &amp; Transit</v>
      </c>
      <c r="AG247" s="15" t="str">
        <f t="shared" si="17"/>
        <v>Electropolished Pipes Wholesaler in Nottingham - Project Quantities &amp; Terms</v>
      </c>
      <c r="AH247" s="15" t="str">
        <f t="shared" si="18"/>
        <v>electropolished pipes manufacturer in Nottingham, electropolished pipes supplier in Nottingham, electropolished pipes wholesaler in Nottingham, electropolished tube manufacturer Nottingham, EP pipe supplier Nottingham, sanitary tube supplier Nottingham, ASME BPE tubing Nottingham, ASTM A270 tube Nottingham, SS 316L electropolished pipe Nottingham</v>
      </c>
      <c r="AI247" s="15" t="str">
        <f t="shared" si="19"/>
        <v>Electropolished Pipes Manufacturer &amp; Supplier in Nottingham</v>
      </c>
      <c r="AJ247" s="15" t="str">
        <f t="shared" si="20"/>
        <v>EP-finished SS 304/316L pipes and tubes for pharma &amp; biotech plants in Nottingham. ASME BPE SF1-SF4, Ra from 0.25 um, EN 10204 3.1 certificate with every lot.</v>
      </c>
      <c r="AK247" s="15" t="str">
        <f t="shared" si="21"/>
        <v>Electropolished stainless steel pipes supplied by Sakshi Forge to pharma &amp; biotech plants at Boots Beeston Campus, Nottingham</v>
      </c>
      <c r="AL247" s="15" t="str">
        <f t="shared" si="22"/>
        <v>Electropolished SS 316L tube stock for Nottingham - Sakshi Forge</v>
      </c>
      <c r="AM247" s="15" t="str">
        <f t="shared" si="23"/>
        <v>Home &gt; Market Area &gt; UK &gt; East Midlands &gt; Nottingham</v>
      </c>
      <c r="AN247" s="15">
        <f t="shared" si="24"/>
        <v>1400</v>
      </c>
      <c r="AO247" s="15">
        <f t="shared" si="25"/>
        <v>10</v>
      </c>
      <c r="AP247" s="15">
        <f t="shared" si="26"/>
        <v>12</v>
      </c>
      <c r="AQ247" s="15">
        <f t="shared" si="27"/>
        <v>5</v>
      </c>
      <c r="AR247" s="31"/>
      <c r="AS247" s="31"/>
      <c r="AT247" s="35" t="s">
        <v>222</v>
      </c>
      <c r="AU247" s="35"/>
    </row>
    <row r="248" ht="15.75" customHeight="1">
      <c r="A248" s="15" t="s">
        <v>8233</v>
      </c>
      <c r="B248" s="15" t="s">
        <v>234</v>
      </c>
      <c r="C248" s="15" t="s">
        <v>8234</v>
      </c>
      <c r="D248" s="15" t="s">
        <v>8235</v>
      </c>
      <c r="E248" s="15" t="s">
        <v>8235</v>
      </c>
      <c r="F248" s="16" t="s">
        <v>87</v>
      </c>
      <c r="G248" s="17" t="s">
        <v>88</v>
      </c>
      <c r="H248" s="18" t="s">
        <v>8236</v>
      </c>
      <c r="I248" s="18" t="s">
        <v>8237</v>
      </c>
      <c r="J248" s="18" t="s">
        <v>8238</v>
      </c>
      <c r="K248" s="18" t="s">
        <v>4208</v>
      </c>
      <c r="L248" s="18" t="s">
        <v>8177</v>
      </c>
      <c r="M248" s="18" t="s">
        <v>540</v>
      </c>
      <c r="N248" s="18" t="s">
        <v>242</v>
      </c>
      <c r="O248" s="18" t="s">
        <v>98</v>
      </c>
      <c r="P248" s="15" t="str">
        <f t="shared" si="1"/>
        <v>BIOTECH</v>
      </c>
      <c r="Q248" s="15">
        <f t="shared" si="2"/>
        <v>5</v>
      </c>
      <c r="R248" s="15">
        <f t="shared" si="3"/>
        <v>7</v>
      </c>
      <c r="S248" s="15">
        <f t="shared" si="4"/>
        <v>5</v>
      </c>
      <c r="T248" s="15" t="str">
        <f t="shared" si="5"/>
        <v>A-5</v>
      </c>
      <c r="U248" s="15" t="str">
        <f t="shared" si="6"/>
        <v>T5-M7-H5-FA-5-BIOTECH</v>
      </c>
      <c r="V248" s="15">
        <f t="shared" si="7"/>
        <v>0</v>
      </c>
      <c r="W248" s="31"/>
      <c r="X248" s="15" t="str">
        <f t="shared" si="8"/>
        <v>swindon-uk</v>
      </c>
      <c r="Y248" s="32" t="str">
        <f t="shared" si="9"/>
        <v>https://steelmanufacturer.in/market-area/electropolished-pipes-manufacturer-in-swindon-uk/</v>
      </c>
      <c r="Z248" s="15" t="str">
        <f t="shared" si="10"/>
        <v>Electropolished Pipes Manufacturer in Swindon</v>
      </c>
      <c r="AA248" s="15" t="str">
        <f t="shared" si="11"/>
        <v>OK (45)</v>
      </c>
      <c r="AB248" s="15" t="str">
        <f t="shared" si="12"/>
        <v>Electropolished pipes in Swindon: 304, 304L, 316 and 316L in SF1-SF4. 22-28 days sea from Nhava Sheva to Felixstowe. Mill certified.</v>
      </c>
      <c r="AC248" s="15" t="str">
        <f t="shared" si="13"/>
        <v>OK (132)</v>
      </c>
      <c r="AD248" s="15" t="str">
        <f t="shared" si="14"/>
        <v>Electropolished Pipes Manufacturer in Swindon</v>
      </c>
      <c r="AE248" s="15" t="str">
        <f t="shared" si="15"/>
        <v>Electropolished Tube Manufacturing Capability Serving Swindon</v>
      </c>
      <c r="AF248" s="15" t="str">
        <f t="shared" si="16"/>
        <v>Electropolished Pipes Supplier in Swindon - From Order to Delivery</v>
      </c>
      <c r="AG248" s="15" t="str">
        <f t="shared" si="17"/>
        <v>Stockist &amp; Wholesale Supply of Electropolished Pipes in Swindon</v>
      </c>
      <c r="AH248" s="15" t="str">
        <f t="shared" si="18"/>
        <v>electropolished pipes manufacturer in Swindon, electropolished pipes supplier in Swindon, electropolished pipes wholesaler in Swindon, electropolished tube manufacturer Swindon, EP pipe supplier Swindon, sanitary tube supplier Swindon, ASME BPE tubing Swindon, ASTM A270 tube Swindon, SS 316L electropolished pipe Swindon</v>
      </c>
      <c r="AI248" s="15" t="str">
        <f t="shared" si="19"/>
        <v>Electropolished Pipes Manufacturer &amp; Supplier in Swindon</v>
      </c>
      <c r="AJ248" s="15" t="str">
        <f t="shared" si="20"/>
        <v>EP-finished SS 304/316L pipes and tubes for pharma &amp; biotech plants in Swindon. ASME BPE SF1-SF4, Ra from 0.25 um, EN 10204 3.1 certificate with every lot.</v>
      </c>
      <c r="AK248" s="15" t="str">
        <f t="shared" si="21"/>
        <v>Electropolished stainless steel pipes supplied by Sakshi Forge to pharma &amp; biotech plants at Swindon Pharma Corridor, Swindon</v>
      </c>
      <c r="AL248" s="15" t="str">
        <f t="shared" si="22"/>
        <v>Electropolished SS 316L tube stock for Swindon - Sakshi Forge</v>
      </c>
      <c r="AM248" s="15" t="str">
        <f t="shared" si="23"/>
        <v>Home &gt; Market Area &gt; UK &gt; South West &gt; Swindon</v>
      </c>
      <c r="AN248" s="15">
        <f t="shared" si="24"/>
        <v>1400</v>
      </c>
      <c r="AO248" s="15">
        <f t="shared" si="25"/>
        <v>10</v>
      </c>
      <c r="AP248" s="15">
        <f t="shared" si="26"/>
        <v>12</v>
      </c>
      <c r="AQ248" s="15">
        <f t="shared" si="27"/>
        <v>5</v>
      </c>
      <c r="AR248" s="31"/>
      <c r="AS248" s="31"/>
      <c r="AT248" s="35" t="s">
        <v>222</v>
      </c>
      <c r="AU248" s="35"/>
    </row>
    <row r="249" ht="15.75" customHeight="1">
      <c r="A249" s="15" t="s">
        <v>8239</v>
      </c>
      <c r="B249" s="15" t="s">
        <v>234</v>
      </c>
      <c r="C249" s="15" t="s">
        <v>8240</v>
      </c>
      <c r="D249" s="15" t="s">
        <v>8241</v>
      </c>
      <c r="E249" s="15" t="s">
        <v>8241</v>
      </c>
      <c r="F249" s="16" t="s">
        <v>87</v>
      </c>
      <c r="G249" s="17" t="s">
        <v>88</v>
      </c>
      <c r="H249" s="18" t="s">
        <v>8242</v>
      </c>
      <c r="I249" s="18" t="s">
        <v>8243</v>
      </c>
      <c r="J249" s="18" t="s">
        <v>8244</v>
      </c>
      <c r="K249" s="18" t="s">
        <v>2009</v>
      </c>
      <c r="L249" s="18" t="s">
        <v>8245</v>
      </c>
      <c r="M249" s="18" t="s">
        <v>540</v>
      </c>
      <c r="N249" s="18" t="s">
        <v>242</v>
      </c>
      <c r="O249" s="18" t="s">
        <v>98</v>
      </c>
      <c r="P249" s="15" t="str">
        <f t="shared" si="1"/>
        <v>BIOTECH</v>
      </c>
      <c r="Q249" s="15">
        <f t="shared" si="2"/>
        <v>6</v>
      </c>
      <c r="R249" s="15">
        <f t="shared" si="3"/>
        <v>1</v>
      </c>
      <c r="S249" s="15">
        <f t="shared" si="4"/>
        <v>1</v>
      </c>
      <c r="T249" s="15" t="str">
        <f t="shared" si="5"/>
        <v>A-6</v>
      </c>
      <c r="U249" s="15" t="str">
        <f t="shared" si="6"/>
        <v>T6-M1-H1-FA-6-BIOTECH</v>
      </c>
      <c r="V249" s="15">
        <f t="shared" si="7"/>
        <v>0</v>
      </c>
      <c r="W249" s="31"/>
      <c r="X249" s="15" t="str">
        <f t="shared" si="8"/>
        <v>teesside-uk</v>
      </c>
      <c r="Y249" s="32" t="str">
        <f t="shared" si="9"/>
        <v>https://steelmanufacturer.in/market-area/electropolished-pipes-manufacturer-in-teesside-uk/</v>
      </c>
      <c r="Z249" s="15" t="str">
        <f t="shared" si="10"/>
        <v>Electropolished Pipes Manufacturer in Teesside</v>
      </c>
      <c r="AA249" s="15" t="str">
        <f t="shared" si="11"/>
        <v>OK (46)</v>
      </c>
      <c r="AB249" s="15" t="str">
        <f t="shared" si="12"/>
        <v>EP-finished SS 304/316L pipes &amp; tubes for pharma &amp; API &amp; biotech plants in Teesside. ASTM A270, ASME BPE SF1-SF4, EN 10204 3.1 MTC. PMI tested.</v>
      </c>
      <c r="AC249" s="15" t="str">
        <f t="shared" si="13"/>
        <v>OK (143)</v>
      </c>
      <c r="AD249" s="15" t="str">
        <f t="shared" si="14"/>
        <v>Electropolished Pipes Manufacturer in Teesside</v>
      </c>
      <c r="AE249" s="15" t="str">
        <f t="shared" si="15"/>
        <v>Electropolished Pipe &amp; Tube Manufacturing for Teesside - Grades, Finishes &amp; Certification</v>
      </c>
      <c r="AF249" s="15" t="str">
        <f t="shared" si="16"/>
        <v>Electropolished Pipes Supplier in Teesside - Stock Sizes, Lead Time &amp; Delivery</v>
      </c>
      <c r="AG249" s="15" t="str">
        <f t="shared" si="17"/>
        <v>Electropolished Pipes Wholesaler &amp; Stockist in Teesside - Bulk &amp; Project Pricing</v>
      </c>
      <c r="AH249" s="15" t="str">
        <f t="shared" si="18"/>
        <v>electropolished pipes manufacturer in Teesside, electropolished pipes supplier in Teesside, electropolished pipes wholesaler in Teesside, electropolished tube manufacturer Teesside, EP pipe supplier Teesside, sanitary tube supplier Teesside, ASME BPE tubing Teesside, ASTM A270 tube Teesside, SS 316L electropolished pipe Teesside</v>
      </c>
      <c r="AI249" s="15" t="str">
        <f t="shared" si="19"/>
        <v>Electropolished Pipes Manufacturer &amp; Supplier in Teesside</v>
      </c>
      <c r="AJ249" s="15" t="str">
        <f t="shared" si="20"/>
        <v>EP-finished SS 304/316L pipes and tubes for pharma &amp; API &amp; biotech plants in Teesside. ASME BPE SF1-SF4, Ra from 0.25 um, EN 10204 3.1 certificate with every lot.</v>
      </c>
      <c r="AK249" s="15" t="str">
        <f t="shared" si="21"/>
        <v>Electropolished stainless steel pipes supplied by Sakshi Forge to pharma &amp; API &amp; biotech plants at Wilton International, Teesside</v>
      </c>
      <c r="AL249" s="15" t="str">
        <f t="shared" si="22"/>
        <v>Electropolished SS 316L tube stock for Teesside - Sakshi Forge</v>
      </c>
      <c r="AM249" s="15" t="str">
        <f t="shared" si="23"/>
        <v>Home &gt; Market Area &gt; UK &gt; North East &gt; Teesside</v>
      </c>
      <c r="AN249" s="15">
        <f t="shared" si="24"/>
        <v>1400</v>
      </c>
      <c r="AO249" s="15">
        <f t="shared" si="25"/>
        <v>10</v>
      </c>
      <c r="AP249" s="15">
        <f t="shared" si="26"/>
        <v>12</v>
      </c>
      <c r="AQ249" s="15">
        <f t="shared" si="27"/>
        <v>5</v>
      </c>
      <c r="AR249" s="31"/>
      <c r="AS249" s="31"/>
      <c r="AT249" s="35" t="s">
        <v>222</v>
      </c>
      <c r="AU249" s="35"/>
    </row>
    <row r="250" ht="15.75" customHeight="1">
      <c r="A250" s="15" t="s">
        <v>8246</v>
      </c>
      <c r="B250" s="15" t="s">
        <v>221</v>
      </c>
      <c r="C250" s="15" t="s">
        <v>8247</v>
      </c>
      <c r="D250" s="15" t="s">
        <v>8248</v>
      </c>
      <c r="E250" s="15" t="s">
        <v>8248</v>
      </c>
      <c r="F250" s="16" t="s">
        <v>87</v>
      </c>
      <c r="G250" s="17" t="s">
        <v>88</v>
      </c>
      <c r="H250" s="18" t="s">
        <v>8249</v>
      </c>
      <c r="I250" s="18" t="s">
        <v>8250</v>
      </c>
      <c r="J250" s="18" t="s">
        <v>8251</v>
      </c>
      <c r="K250" s="18" t="s">
        <v>4868</v>
      </c>
      <c r="L250" s="18" t="s">
        <v>8252</v>
      </c>
      <c r="M250" s="18" t="s">
        <v>530</v>
      </c>
      <c r="N250" s="18" t="s">
        <v>233</v>
      </c>
      <c r="O250" s="18" t="s">
        <v>98</v>
      </c>
      <c r="P250" s="15" t="str">
        <f t="shared" si="1"/>
        <v>SEMI</v>
      </c>
      <c r="Q250" s="15">
        <f t="shared" si="2"/>
        <v>7</v>
      </c>
      <c r="R250" s="15">
        <f t="shared" si="3"/>
        <v>2</v>
      </c>
      <c r="S250" s="15">
        <f t="shared" si="4"/>
        <v>2</v>
      </c>
      <c r="T250" s="15" t="str">
        <f t="shared" si="5"/>
        <v>A-1</v>
      </c>
      <c r="U250" s="15" t="str">
        <f t="shared" si="6"/>
        <v>T7-M2-H2-FA-1-SEMI</v>
      </c>
      <c r="V250" s="15">
        <f t="shared" si="7"/>
        <v>0</v>
      </c>
      <c r="W250" s="31"/>
      <c r="X250" s="15" t="str">
        <f t="shared" si="8"/>
        <v>austin-usa</v>
      </c>
      <c r="Y250" s="32" t="str">
        <f t="shared" si="9"/>
        <v>https://steelmanufacturer.in/market-area/electropolished-pipes-manufacturer-in-austin-usa/</v>
      </c>
      <c r="Z250" s="15" t="str">
        <f t="shared" si="10"/>
        <v>Electropolished Pipes Manufacturer in Austin | ASME BPE SF1-SF4</v>
      </c>
      <c r="AA250" s="15" t="str">
        <f t="shared" si="11"/>
        <v>OK (63)</v>
      </c>
      <c r="AB250" s="15" t="str">
        <f t="shared" si="12"/>
        <v>Electropolished tube supply to Samsung Taylor Campus, Austin. Ra from 0.25 um, SF4 finish, mill test certificate with every lot.</v>
      </c>
      <c r="AC250" s="15" t="str">
        <f t="shared" si="13"/>
        <v>OK (128)</v>
      </c>
      <c r="AD250" s="15" t="str">
        <f t="shared" si="14"/>
        <v>Electropolished Pipes Manufacturer in Austin</v>
      </c>
      <c r="AE250" s="15" t="str">
        <f t="shared" si="15"/>
        <v>How We Manufacture Electropolished Tube for Austin Plants</v>
      </c>
      <c r="AF250" s="15" t="str">
        <f t="shared" si="16"/>
        <v>Supplying Electropolished Pipes in Austin: Availability, Sizes &amp; Dispatch</v>
      </c>
      <c r="AG250" s="15" t="str">
        <f t="shared" si="17"/>
        <v>Wholesale Electropolished Pipe Supply for Austin Projects</v>
      </c>
      <c r="AH250" s="15" t="str">
        <f t="shared" si="18"/>
        <v>electropolished pipes manufacturer in Austin, electropolished pipes supplier in Austin, electropolished pipes wholesaler in Austin, electropolished tube manufacturer Austin, EP pipe supplier Austin, sanitary tube supplier Austin, ASME BPE tubing Austin, ASTM A270 tube Austin, SS 316L electropolished pipe Austin</v>
      </c>
      <c r="AI250" s="15" t="str">
        <f t="shared" si="19"/>
        <v>Electropolished Pipes Manufacturer &amp; Supplier in Austin</v>
      </c>
      <c r="AJ250" s="15" t="str">
        <f t="shared" si="20"/>
        <v>EP-finished SS 304/316L pipes and tubes for semiconductor plants in Austin. ASME BPE SF1-SF4, Ra from 0.25 um, EN 10204 3.1 certificate with every lot.</v>
      </c>
      <c r="AK250" s="15" t="str">
        <f t="shared" si="21"/>
        <v>Electropolished stainless steel pipes supplied by Sakshi Forge to semiconductor plants at Samsung Taylor Campus, Austin</v>
      </c>
      <c r="AL250" s="15" t="str">
        <f t="shared" si="22"/>
        <v>Electropolished SS 316L tube stock for Austin - Sakshi Forge</v>
      </c>
      <c r="AM250" s="15" t="str">
        <f t="shared" si="23"/>
        <v>Home &gt; Market Area &gt; USA &gt; Texas &gt; Austin</v>
      </c>
      <c r="AN250" s="15">
        <f t="shared" si="24"/>
        <v>1400</v>
      </c>
      <c r="AO250" s="15">
        <f t="shared" si="25"/>
        <v>10</v>
      </c>
      <c r="AP250" s="15">
        <f t="shared" si="26"/>
        <v>12</v>
      </c>
      <c r="AQ250" s="15">
        <f t="shared" si="27"/>
        <v>5</v>
      </c>
      <c r="AR250" s="31"/>
      <c r="AS250" s="31"/>
      <c r="AT250" s="35" t="s">
        <v>222</v>
      </c>
      <c r="AU250" s="35"/>
    </row>
    <row r="251" ht="15.75" customHeight="1">
      <c r="A251" s="15" t="s">
        <v>8253</v>
      </c>
      <c r="B251" s="15" t="s">
        <v>221</v>
      </c>
      <c r="C251" s="15" t="s">
        <v>8254</v>
      </c>
      <c r="D251" s="15" t="s">
        <v>8255</v>
      </c>
      <c r="E251" s="15" t="s">
        <v>8255</v>
      </c>
      <c r="F251" s="16" t="s">
        <v>87</v>
      </c>
      <c r="G251" s="17" t="s">
        <v>88</v>
      </c>
      <c r="H251" s="18" t="s">
        <v>8256</v>
      </c>
      <c r="I251" s="18" t="s">
        <v>8257</v>
      </c>
      <c r="J251" s="18" t="s">
        <v>8258</v>
      </c>
      <c r="K251" s="18" t="s">
        <v>1320</v>
      </c>
      <c r="L251" s="18" t="s">
        <v>8259</v>
      </c>
      <c r="M251" s="18" t="s">
        <v>530</v>
      </c>
      <c r="N251" s="18" t="s">
        <v>233</v>
      </c>
      <c r="O251" s="18" t="s">
        <v>98</v>
      </c>
      <c r="P251" s="15" t="str">
        <f t="shared" si="1"/>
        <v>BIOTECH</v>
      </c>
      <c r="Q251" s="15">
        <f t="shared" si="2"/>
        <v>8</v>
      </c>
      <c r="R251" s="15">
        <f t="shared" si="3"/>
        <v>3</v>
      </c>
      <c r="S251" s="15">
        <f t="shared" si="4"/>
        <v>3</v>
      </c>
      <c r="T251" s="15" t="str">
        <f t="shared" si="5"/>
        <v>A-2</v>
      </c>
      <c r="U251" s="15" t="str">
        <f t="shared" si="6"/>
        <v>T8-M3-H3-FA-2-BIOTECH</v>
      </c>
      <c r="V251" s="15">
        <f t="shared" si="7"/>
        <v>0</v>
      </c>
      <c r="W251" s="31"/>
      <c r="X251" s="15" t="str">
        <f t="shared" si="8"/>
        <v>boston-usa</v>
      </c>
      <c r="Y251" s="32" t="str">
        <f t="shared" si="9"/>
        <v>https://steelmanufacturer.in/market-area/electropolished-pipes-manufacturer-in-boston-usa/</v>
      </c>
      <c r="Z251" s="15" t="str">
        <f t="shared" si="10"/>
        <v>Electropolished Pipes Manufacturer in Boston - EP Tube Stockist</v>
      </c>
      <c r="AA251" s="15" t="str">
        <f t="shared" si="11"/>
        <v>OK (63)</v>
      </c>
      <c r="AB251" s="15" t="str">
        <f t="shared" si="12"/>
        <v>EP stainless tube for biotech lines in Boston. 28-35 days sea from Nhava Sheva to US East Coast. ASTM A270 S2, PMI tested, EN 10204 3.1.</v>
      </c>
      <c r="AC251" s="15" t="str">
        <f t="shared" si="13"/>
        <v>OK (136)</v>
      </c>
      <c r="AD251" s="15" t="str">
        <f t="shared" si="14"/>
        <v>Electropolished Pipes Manufacturer in Boston</v>
      </c>
      <c r="AE251" s="15" t="str">
        <f t="shared" si="15"/>
        <v>Electropolished Pipes Manufacturer in Boston - Our Process &amp; Capability</v>
      </c>
      <c r="AF251" s="15" t="str">
        <f t="shared" si="16"/>
        <v>Electropolished Pipes Supplier in Boston - What We Hold in Stock</v>
      </c>
      <c r="AG251" s="15" t="str">
        <f t="shared" si="17"/>
        <v>Bulk &amp; Wholesale Electropolished Pipe Rates for Boston Buyers</v>
      </c>
      <c r="AH251" s="15" t="str">
        <f t="shared" si="18"/>
        <v>electropolished pipes manufacturer in Boston, electropolished pipes supplier in Boston, electropolished pipes wholesaler in Boston, electropolished tube manufacturer Boston, EP pipe supplier Boston, sanitary tube supplier Boston, ASME BPE tubing Boston, ASTM A270 tube Boston, SS 316L electropolished pipe Boston</v>
      </c>
      <c r="AI251" s="15" t="str">
        <f t="shared" si="19"/>
        <v>Electropolished Pipes Manufacturer &amp; Supplier in Boston</v>
      </c>
      <c r="AJ251" s="15" t="str">
        <f t="shared" si="20"/>
        <v>EP-finished SS 304/316L pipes and tubes for biotech plants in Boston. ASME BPE SF1-SF4, Ra from 0.25 um, EN 10204 3.1 certificate with every lot.</v>
      </c>
      <c r="AK251" s="15" t="str">
        <f t="shared" si="21"/>
        <v>Electropolished stainless steel pipes supplied by Sakshi Forge to biotech plants at Cambridge Kendall Square, Boston</v>
      </c>
      <c r="AL251" s="15" t="str">
        <f t="shared" si="22"/>
        <v>Electropolished SS 316L tube stock for Boston - Sakshi Forge</v>
      </c>
      <c r="AM251" s="15" t="str">
        <f t="shared" si="23"/>
        <v>Home &gt; Market Area &gt; USA &gt; Massachusetts &gt; Boston</v>
      </c>
      <c r="AN251" s="15">
        <f t="shared" si="24"/>
        <v>1400</v>
      </c>
      <c r="AO251" s="15">
        <f t="shared" si="25"/>
        <v>10</v>
      </c>
      <c r="AP251" s="15">
        <f t="shared" si="26"/>
        <v>12</v>
      </c>
      <c r="AQ251" s="15">
        <f t="shared" si="27"/>
        <v>5</v>
      </c>
      <c r="AR251" s="31"/>
      <c r="AS251" s="31"/>
      <c r="AT251" s="35" t="s">
        <v>222</v>
      </c>
      <c r="AU251" s="35"/>
    </row>
    <row r="252" ht="15.75" customHeight="1">
      <c r="A252" s="15" t="s">
        <v>8260</v>
      </c>
      <c r="B252" s="15" t="s">
        <v>221</v>
      </c>
      <c r="C252" s="15" t="s">
        <v>8261</v>
      </c>
      <c r="D252" s="15" t="s">
        <v>8262</v>
      </c>
      <c r="E252" s="15" t="s">
        <v>8262</v>
      </c>
      <c r="F252" s="16" t="s">
        <v>87</v>
      </c>
      <c r="G252" s="17" t="s">
        <v>88</v>
      </c>
      <c r="H252" s="18" t="s">
        <v>8263</v>
      </c>
      <c r="I252" s="18" t="s">
        <v>8264</v>
      </c>
      <c r="J252" s="18" t="s">
        <v>4746</v>
      </c>
      <c r="K252" s="18" t="s">
        <v>229</v>
      </c>
      <c r="L252" s="18" t="s">
        <v>8265</v>
      </c>
      <c r="M252" s="18" t="s">
        <v>530</v>
      </c>
      <c r="N252" s="18" t="s">
        <v>233</v>
      </c>
      <c r="O252" s="18" t="s">
        <v>98</v>
      </c>
      <c r="P252" s="15" t="str">
        <f t="shared" si="1"/>
        <v>PHARMA</v>
      </c>
      <c r="Q252" s="15">
        <f t="shared" si="2"/>
        <v>1</v>
      </c>
      <c r="R252" s="15">
        <f t="shared" si="3"/>
        <v>4</v>
      </c>
      <c r="S252" s="15">
        <f t="shared" si="4"/>
        <v>4</v>
      </c>
      <c r="T252" s="15" t="str">
        <f t="shared" si="5"/>
        <v>A-3</v>
      </c>
      <c r="U252" s="15" t="str">
        <f t="shared" si="6"/>
        <v>T1-M4-H4-FA-3-PHARMA</v>
      </c>
      <c r="V252" s="15">
        <f t="shared" si="7"/>
        <v>0</v>
      </c>
      <c r="W252" s="31"/>
      <c r="X252" s="15" t="str">
        <f t="shared" si="8"/>
        <v>chicago-usa</v>
      </c>
      <c r="Y252" s="32" t="str">
        <f t="shared" si="9"/>
        <v>https://steelmanufacturer.in/market-area/electropolished-pipes-manufacturer-in-chicago-usa/</v>
      </c>
      <c r="Z252" s="15" t="str">
        <f t="shared" si="10"/>
        <v>Electropolished Pipes Manufacturer in Chicago | Sakshi Forge</v>
      </c>
      <c r="AA252" s="15" t="str">
        <f t="shared" si="11"/>
        <v>OK (60)</v>
      </c>
      <c r="AB252" s="15" t="str">
        <f t="shared" si="12"/>
        <v>Sanitary electropolished pipes in Chicago for pharma plants. ASME BPE SF1-SF4, orbital-weld ready, 3.1 MTC. Mumbai-made.</v>
      </c>
      <c r="AC252" s="15" t="str">
        <f t="shared" si="13"/>
        <v>OK (120)</v>
      </c>
      <c r="AD252" s="15" t="str">
        <f t="shared" si="14"/>
        <v>Electropolished Pipes Manufacturer in Chicago</v>
      </c>
      <c r="AE252" s="15" t="str">
        <f t="shared" si="15"/>
        <v>Manufacturing Electropolished SS Tube for Chicago: The Standards We Build To</v>
      </c>
      <c r="AF252" s="15" t="str">
        <f t="shared" si="16"/>
        <v>Electropolished Pipe Supply Into Chicago - Certification &amp; Transit</v>
      </c>
      <c r="AG252" s="15" t="str">
        <f t="shared" si="17"/>
        <v>Electropolished Pipes Wholesaler in Chicago - Project Quantities &amp; Terms</v>
      </c>
      <c r="AH252" s="15" t="str">
        <f t="shared" si="18"/>
        <v>electropolished pipes manufacturer in Chicago, electropolished pipes supplier in Chicago, electropolished pipes wholesaler in Chicago, electropolished tube manufacturer Chicago, EP pipe supplier Chicago, sanitary tube supplier Chicago, ASME BPE tubing Chicago, ASTM A270 tube Chicago, SS 316L electropolished pipe Chicago</v>
      </c>
      <c r="AI252" s="15" t="str">
        <f t="shared" si="19"/>
        <v>Electropolished Pipes Manufacturer &amp; Supplier in Chicago</v>
      </c>
      <c r="AJ252" s="15" t="str">
        <f t="shared" si="20"/>
        <v>EP-finished SS 304/316L pipes and tubes for pharma plants in Chicago. ASME BPE SF1-SF4, Ra from 0.25 um, EN 10204 3.1 certificate with every lot.</v>
      </c>
      <c r="AK252" s="15" t="str">
        <f t="shared" si="21"/>
        <v>Electropolished stainless steel pipes supplied by Sakshi Forge to pharma plants at Lake County Pharma Corridor, Chicago</v>
      </c>
      <c r="AL252" s="15" t="str">
        <f t="shared" si="22"/>
        <v>Electropolished SS 316L tube stock for Chicago - Sakshi Forge</v>
      </c>
      <c r="AM252" s="15" t="str">
        <f t="shared" si="23"/>
        <v>Home &gt; Market Area &gt; USA &gt; Illinois &gt; Chicago</v>
      </c>
      <c r="AN252" s="15">
        <f t="shared" si="24"/>
        <v>1400</v>
      </c>
      <c r="AO252" s="15">
        <f t="shared" si="25"/>
        <v>10</v>
      </c>
      <c r="AP252" s="15">
        <f t="shared" si="26"/>
        <v>12</v>
      </c>
      <c r="AQ252" s="15">
        <f t="shared" si="27"/>
        <v>5</v>
      </c>
      <c r="AR252" s="31"/>
      <c r="AS252" s="31"/>
      <c r="AT252" s="35" t="s">
        <v>222</v>
      </c>
      <c r="AU252" s="35"/>
    </row>
    <row r="253" ht="15.75" customHeight="1">
      <c r="A253" s="15" t="s">
        <v>8266</v>
      </c>
      <c r="B253" s="15" t="s">
        <v>221</v>
      </c>
      <c r="C253" s="15" t="s">
        <v>8267</v>
      </c>
      <c r="D253" s="15" t="s">
        <v>8268</v>
      </c>
      <c r="E253" s="15" t="s">
        <v>8268</v>
      </c>
      <c r="F253" s="16" t="s">
        <v>87</v>
      </c>
      <c r="G253" s="17" t="s">
        <v>88</v>
      </c>
      <c r="H253" s="18" t="s">
        <v>8269</v>
      </c>
      <c r="I253" s="18" t="s">
        <v>8270</v>
      </c>
      <c r="J253" s="18" t="s">
        <v>8271</v>
      </c>
      <c r="K253" s="18" t="s">
        <v>1320</v>
      </c>
      <c r="L253" s="18" t="s">
        <v>8272</v>
      </c>
      <c r="M253" s="18" t="s">
        <v>530</v>
      </c>
      <c r="N253" s="18" t="s">
        <v>233</v>
      </c>
      <c r="O253" s="18" t="s">
        <v>98</v>
      </c>
      <c r="P253" s="15" t="str">
        <f t="shared" si="1"/>
        <v>BIOTECH</v>
      </c>
      <c r="Q253" s="15">
        <f t="shared" si="2"/>
        <v>2</v>
      </c>
      <c r="R253" s="15">
        <f t="shared" si="3"/>
        <v>5</v>
      </c>
      <c r="S253" s="15">
        <f t="shared" si="4"/>
        <v>5</v>
      </c>
      <c r="T253" s="15" t="str">
        <f t="shared" si="5"/>
        <v>A-4</v>
      </c>
      <c r="U253" s="15" t="str">
        <f t="shared" si="6"/>
        <v>T2-M5-H5-FA-4-BIOTECH</v>
      </c>
      <c r="V253" s="15">
        <f t="shared" si="7"/>
        <v>0</v>
      </c>
      <c r="W253" s="31"/>
      <c r="X253" s="15" t="str">
        <f t="shared" si="8"/>
        <v>denver-usa</v>
      </c>
      <c r="Y253" s="32" t="str">
        <f t="shared" si="9"/>
        <v>https://steelmanufacturer.in/market-area/electropolished-pipes-manufacturer-in-denver-usa/</v>
      </c>
      <c r="Z253" s="15" t="str">
        <f t="shared" si="10"/>
        <v>Electropolished Pipes Manufacturer in Denver</v>
      </c>
      <c r="AA253" s="15" t="str">
        <f t="shared" si="11"/>
        <v>OK (44)</v>
      </c>
      <c r="AB253" s="15" t="str">
        <f t="shared" si="12"/>
        <v>Manufacturer of electropolished SS 316L tube serving Denver. 28-35 days sea from Nhava Sheva to US East Coast. Ra 0.25-0.5 um, EN 10204 3.1 MTC.</v>
      </c>
      <c r="AC253" s="15" t="str">
        <f t="shared" si="13"/>
        <v>OK (144)</v>
      </c>
      <c r="AD253" s="15" t="str">
        <f t="shared" si="14"/>
        <v>Electropolished Pipes Manufacturer in Denver</v>
      </c>
      <c r="AE253" s="15" t="str">
        <f t="shared" si="15"/>
        <v>Electropolished Tube Manufacturing Capability Serving Denver</v>
      </c>
      <c r="AF253" s="15" t="str">
        <f t="shared" si="16"/>
        <v>Electropolished Pipes Supplier in Denver - From Order to Delivery</v>
      </c>
      <c r="AG253" s="15" t="str">
        <f t="shared" si="17"/>
        <v>Stockist &amp; Wholesale Supply of Electropolished Pipes in Denver</v>
      </c>
      <c r="AH253" s="15" t="str">
        <f t="shared" si="18"/>
        <v>electropolished pipes manufacturer in Denver, electropolished pipes supplier in Denver, electropolished pipes wholesaler in Denver, electropolished tube manufacturer Denver, EP pipe supplier Denver, sanitary tube supplier Denver, ASME BPE tubing Denver, ASTM A270 tube Denver, SS 316L electropolished pipe Denver</v>
      </c>
      <c r="AI253" s="15" t="str">
        <f t="shared" si="19"/>
        <v>Electropolished Pipes Manufacturer &amp; Supplier in Denver</v>
      </c>
      <c r="AJ253" s="15" t="str">
        <f t="shared" si="20"/>
        <v>EP-finished SS 304/316L pipes and tubes for biotech plants in Denver. ASME BPE SF1-SF4, Ra from 0.25 um, EN 10204 3.1 certificate with every lot.</v>
      </c>
      <c r="AK253" s="15" t="str">
        <f t="shared" si="21"/>
        <v>Electropolished stainless steel pipes supplied by Sakshi Forge to biotech plants at Boulder Biotech Corridor, Denver</v>
      </c>
      <c r="AL253" s="15" t="str">
        <f t="shared" si="22"/>
        <v>Electropolished SS 316L tube stock for Denver - Sakshi Forge</v>
      </c>
      <c r="AM253" s="15" t="str">
        <f t="shared" si="23"/>
        <v>Home &gt; Market Area &gt; USA &gt; Colorado &gt; Denver</v>
      </c>
      <c r="AN253" s="15">
        <f t="shared" si="24"/>
        <v>1400</v>
      </c>
      <c r="AO253" s="15">
        <f t="shared" si="25"/>
        <v>10</v>
      </c>
      <c r="AP253" s="15">
        <f t="shared" si="26"/>
        <v>12</v>
      </c>
      <c r="AQ253" s="15">
        <f t="shared" si="27"/>
        <v>5</v>
      </c>
      <c r="AR253" s="31"/>
      <c r="AS253" s="31"/>
      <c r="AT253" s="35" t="s">
        <v>222</v>
      </c>
      <c r="AU253" s="35"/>
    </row>
    <row r="254" ht="15.75" customHeight="1">
      <c r="A254" s="15" t="s">
        <v>8273</v>
      </c>
      <c r="B254" s="15" t="s">
        <v>221</v>
      </c>
      <c r="C254" s="15" t="s">
        <v>8247</v>
      </c>
      <c r="D254" s="15" t="s">
        <v>8274</v>
      </c>
      <c r="E254" s="15" t="s">
        <v>8274</v>
      </c>
      <c r="F254" s="16" t="s">
        <v>87</v>
      </c>
      <c r="G254" s="17" t="s">
        <v>88</v>
      </c>
      <c r="H254" s="18" t="s">
        <v>8275</v>
      </c>
      <c r="I254" s="18" t="s">
        <v>8276</v>
      </c>
      <c r="J254" s="18" t="s">
        <v>8277</v>
      </c>
      <c r="K254" s="18" t="s">
        <v>1084</v>
      </c>
      <c r="L254" s="18" t="s">
        <v>8252</v>
      </c>
      <c r="M254" s="18" t="s">
        <v>530</v>
      </c>
      <c r="N254" s="18" t="s">
        <v>233</v>
      </c>
      <c r="O254" s="18" t="s">
        <v>98</v>
      </c>
      <c r="P254" s="15" t="str">
        <f t="shared" si="1"/>
        <v>CHEM</v>
      </c>
      <c r="Q254" s="15">
        <f t="shared" si="2"/>
        <v>3</v>
      </c>
      <c r="R254" s="15">
        <f t="shared" si="3"/>
        <v>6</v>
      </c>
      <c r="S254" s="15">
        <f t="shared" si="4"/>
        <v>1</v>
      </c>
      <c r="T254" s="15" t="str">
        <f t="shared" si="5"/>
        <v>A-5</v>
      </c>
      <c r="U254" s="15" t="str">
        <f t="shared" si="6"/>
        <v>T3-M6-H1-FA-5-CHEM</v>
      </c>
      <c r="V254" s="15">
        <f t="shared" si="7"/>
        <v>0</v>
      </c>
      <c r="W254" s="31"/>
      <c r="X254" s="15" t="str">
        <f t="shared" si="8"/>
        <v>houston-usa</v>
      </c>
      <c r="Y254" s="32" t="str">
        <f t="shared" si="9"/>
        <v>https://steelmanufacturer.in/market-area/electropolished-pipes-manufacturer-in-houston-usa/</v>
      </c>
      <c r="Z254" s="15" t="str">
        <f t="shared" si="10"/>
        <v>Electropolished Pipes Manufacturer in Houston | EP Tube Supplier</v>
      </c>
      <c r="AA254" s="15" t="str">
        <f t="shared" si="11"/>
        <v>OK (64)</v>
      </c>
      <c r="AB254" s="15" t="str">
        <f t="shared" si="12"/>
        <v>EP tube and pipe for petrochemical plants around Bayport Industrial District, Houston. Made at our Mumbai works to ASTM A270 and ASME BPE SF1-SF4, with 3.1 MTC.</v>
      </c>
      <c r="AC254" s="15" t="str">
        <f t="shared" si="13"/>
        <v>OK (160)</v>
      </c>
      <c r="AD254" s="15" t="str">
        <f t="shared" si="14"/>
        <v>Electropolished Pipes Manufacturer in Houston</v>
      </c>
      <c r="AE254" s="15" t="str">
        <f t="shared" si="15"/>
        <v>Electropolished Pipe &amp; Tube Manufacturing for Houston - Grades, Finishes &amp; Certification</v>
      </c>
      <c r="AF254" s="15" t="str">
        <f t="shared" si="16"/>
        <v>Electropolished Pipes Supplier in Houston - Stock Sizes, Lead Time &amp; Delivery</v>
      </c>
      <c r="AG254" s="15" t="str">
        <f t="shared" si="17"/>
        <v>Electropolished Pipes Wholesaler &amp; Stockist in Houston - Bulk &amp; Project Pricing</v>
      </c>
      <c r="AH254" s="15" t="str">
        <f t="shared" si="18"/>
        <v>electropolished pipes manufacturer in Houston, electropolished pipes supplier in Houston, electropolished pipes wholesaler in Houston, electropolished tube manufacturer Houston, EP pipe supplier Houston, sanitary tube supplier Houston, ASME BPE tubing Houston, ASTM A270 tube Houston, SS 316L electropolished pipe Houston</v>
      </c>
      <c r="AI254" s="15" t="str">
        <f t="shared" si="19"/>
        <v>Electropolished Pipes Manufacturer &amp; Supplier in Houston</v>
      </c>
      <c r="AJ254" s="15" t="str">
        <f t="shared" si="20"/>
        <v>EP-finished SS 304/316L pipes and tubes for petrochemical plants in Houston. ASME BPE SF1-SF4, Ra from 0.25 um, EN 10204 3.1 certificate with every lot.</v>
      </c>
      <c r="AK254" s="15" t="str">
        <f t="shared" si="21"/>
        <v>Electropolished stainless steel pipes supplied by Sakshi Forge to petrochemical plants at Bayport Industrial District, Houston</v>
      </c>
      <c r="AL254" s="15" t="str">
        <f t="shared" si="22"/>
        <v>Electropolished SS 316L tube stock for Houston - Sakshi Forge</v>
      </c>
      <c r="AM254" s="15" t="str">
        <f t="shared" si="23"/>
        <v>Home &gt; Market Area &gt; USA &gt; Texas &gt; Houston</v>
      </c>
      <c r="AN254" s="15">
        <f t="shared" si="24"/>
        <v>1400</v>
      </c>
      <c r="AO254" s="15">
        <f t="shared" si="25"/>
        <v>10</v>
      </c>
      <c r="AP254" s="15">
        <f t="shared" si="26"/>
        <v>12</v>
      </c>
      <c r="AQ254" s="15">
        <f t="shared" si="27"/>
        <v>5</v>
      </c>
      <c r="AR254" s="31"/>
      <c r="AS254" s="31"/>
      <c r="AT254" s="35" t="s">
        <v>222</v>
      </c>
      <c r="AU254" s="35"/>
    </row>
    <row r="255" ht="15.75" customHeight="1">
      <c r="A255" s="15" t="s">
        <v>8278</v>
      </c>
      <c r="B255" s="15" t="s">
        <v>221</v>
      </c>
      <c r="C255" s="15" t="s">
        <v>8279</v>
      </c>
      <c r="D255" s="15" t="s">
        <v>8280</v>
      </c>
      <c r="E255" s="15" t="s">
        <v>8280</v>
      </c>
      <c r="F255" s="16" t="s">
        <v>87</v>
      </c>
      <c r="G255" s="17" t="s">
        <v>88</v>
      </c>
      <c r="H255" s="18" t="s">
        <v>8281</v>
      </c>
      <c r="I255" s="18" t="s">
        <v>8282</v>
      </c>
      <c r="J255" s="18" t="s">
        <v>6329</v>
      </c>
      <c r="K255" s="18" t="s">
        <v>3605</v>
      </c>
      <c r="L255" s="18" t="s">
        <v>8283</v>
      </c>
      <c r="M255" s="18" t="s">
        <v>530</v>
      </c>
      <c r="N255" s="18" t="s">
        <v>233</v>
      </c>
      <c r="O255" s="18" t="s">
        <v>98</v>
      </c>
      <c r="P255" s="15" t="str">
        <f t="shared" si="1"/>
        <v>PHARMA</v>
      </c>
      <c r="Q255" s="15">
        <f t="shared" si="2"/>
        <v>4</v>
      </c>
      <c r="R255" s="15">
        <f t="shared" si="3"/>
        <v>7</v>
      </c>
      <c r="S255" s="15">
        <f t="shared" si="4"/>
        <v>2</v>
      </c>
      <c r="T255" s="15" t="str">
        <f t="shared" si="5"/>
        <v>A-6</v>
      </c>
      <c r="U255" s="15" t="str">
        <f t="shared" si="6"/>
        <v>T4-M7-H2-FA-6-PHARMA</v>
      </c>
      <c r="V255" s="15">
        <f t="shared" si="7"/>
        <v>0</v>
      </c>
      <c r="W255" s="31"/>
      <c r="X255" s="15" t="str">
        <f t="shared" si="8"/>
        <v>indianapolis-usa</v>
      </c>
      <c r="Y255" s="32" t="str">
        <f t="shared" si="9"/>
        <v>https://steelmanufacturer.in/market-area/electropolished-pipes-manufacturer-in-indianapolis-usa/</v>
      </c>
      <c r="Z255" s="15" t="str">
        <f t="shared" si="10"/>
        <v>Electropolished Pipes Manufacturer in Indianapolis</v>
      </c>
      <c r="AA255" s="15" t="str">
        <f t="shared" si="11"/>
        <v>OK (50)</v>
      </c>
      <c r="AB255" s="15" t="str">
        <f t="shared" si="12"/>
        <v>Electropolished pipes in Indianapolis: 304, 304L, 316 and 316L in SF1-SF4. 28-35 days sea from Nhava Sheva to US East Coast. Mill certified.</v>
      </c>
      <c r="AC255" s="15" t="str">
        <f t="shared" si="13"/>
        <v>OK (140)</v>
      </c>
      <c r="AD255" s="15" t="str">
        <f t="shared" si="14"/>
        <v>Electropolished Pipes Manufacturer in Indianapolis</v>
      </c>
      <c r="AE255" s="15" t="str">
        <f t="shared" si="15"/>
        <v>How We Manufacture Electropolished Tube for Indianapolis Plants</v>
      </c>
      <c r="AF255" s="15" t="str">
        <f t="shared" si="16"/>
        <v>Supplying Electropolished Pipes in Indianapolis: Availability, Sizes &amp; Dispatch</v>
      </c>
      <c r="AG255" s="15" t="str">
        <f t="shared" si="17"/>
        <v>Wholesale Electropolished Pipe Supply for Indianapolis Projects</v>
      </c>
      <c r="AH255" s="15" t="str">
        <f t="shared" si="18"/>
        <v>electropolished pipes manufacturer in Indianapolis, electropolished pipes supplier in Indianapolis, electropolished pipes wholesaler in Indianapolis, electropolished tube manufacturer Indianapolis, EP pipe supplier Indianapolis, sanitary tube supplier Indianapolis, ASME BPE tubing Indianapolis, ASTM A270 tube Indianapolis, SS 316L electropolished pipe Indianapolis</v>
      </c>
      <c r="AI255" s="15" t="str">
        <f t="shared" si="19"/>
        <v>Electropolished Pipes Manufacturer &amp; Supplier in Indianapolis</v>
      </c>
      <c r="AJ255" s="15" t="str">
        <f t="shared" si="20"/>
        <v>EP-finished SS 304/316L pipes and tubes for pharma &amp; API &amp; pharma plants in Indianapolis. ASME BPE SF1-SF4, Ra from 0.25 um, EN 10204 3.1 certificate with every lot.</v>
      </c>
      <c r="AK255" s="15" t="str">
        <f t="shared" si="21"/>
        <v>Electropolished stainless steel pipes supplied by Sakshi Forge to pharma &amp; API &amp; pharma plants at Indianapolis Pharma Corridor, Indianapolis</v>
      </c>
      <c r="AL255" s="15" t="str">
        <f t="shared" si="22"/>
        <v>Electropolished SS 316L tube stock for Indianapolis - Sakshi Forge</v>
      </c>
      <c r="AM255" s="15" t="str">
        <f t="shared" si="23"/>
        <v>Home &gt; Market Area &gt; USA &gt; Indiana &gt; Indianapolis</v>
      </c>
      <c r="AN255" s="15">
        <f t="shared" si="24"/>
        <v>1400</v>
      </c>
      <c r="AO255" s="15">
        <f t="shared" si="25"/>
        <v>10</v>
      </c>
      <c r="AP255" s="15">
        <f t="shared" si="26"/>
        <v>12</v>
      </c>
      <c r="AQ255" s="15">
        <f t="shared" si="27"/>
        <v>5</v>
      </c>
      <c r="AR255" s="31"/>
      <c r="AS255" s="31"/>
      <c r="AT255" s="35" t="s">
        <v>222</v>
      </c>
      <c r="AU255" s="35"/>
    </row>
    <row r="256" ht="15.75" customHeight="1">
      <c r="A256" s="15" t="s">
        <v>8284</v>
      </c>
      <c r="B256" s="15" t="s">
        <v>221</v>
      </c>
      <c r="C256" s="15" t="s">
        <v>8285</v>
      </c>
      <c r="D256" s="15" t="s">
        <v>8286</v>
      </c>
      <c r="E256" s="15" t="s">
        <v>8286</v>
      </c>
      <c r="F256" s="16" t="s">
        <v>87</v>
      </c>
      <c r="G256" s="17" t="s">
        <v>88</v>
      </c>
      <c r="H256" s="18" t="s">
        <v>8287</v>
      </c>
      <c r="I256" s="18" t="s">
        <v>8288</v>
      </c>
      <c r="J256" s="18" t="s">
        <v>8289</v>
      </c>
      <c r="K256" s="18" t="s">
        <v>5794</v>
      </c>
      <c r="L256" s="18" t="s">
        <v>8272</v>
      </c>
      <c r="M256" s="18" t="s">
        <v>530</v>
      </c>
      <c r="N256" s="18" t="s">
        <v>233</v>
      </c>
      <c r="O256" s="18" t="s">
        <v>98</v>
      </c>
      <c r="P256" s="15" t="str">
        <f t="shared" si="1"/>
        <v>BREWERY</v>
      </c>
      <c r="Q256" s="15">
        <f t="shared" si="2"/>
        <v>5</v>
      </c>
      <c r="R256" s="15">
        <f t="shared" si="3"/>
        <v>1</v>
      </c>
      <c r="S256" s="15">
        <f t="shared" si="4"/>
        <v>3</v>
      </c>
      <c r="T256" s="15" t="str">
        <f t="shared" si="5"/>
        <v>A-1</v>
      </c>
      <c r="U256" s="15" t="str">
        <f t="shared" si="6"/>
        <v>T5-M1-H3-FA-1-BREWERY</v>
      </c>
      <c r="V256" s="15">
        <f t="shared" si="7"/>
        <v>0</v>
      </c>
      <c r="W256" s="31"/>
      <c r="X256" s="15" t="str">
        <f t="shared" si="8"/>
        <v>los-angeles-usa</v>
      </c>
      <c r="Y256" s="32" t="str">
        <f t="shared" si="9"/>
        <v>https://steelmanufacturer.in/market-area/electropolished-pipes-manufacturer-in-los-angeles-usa/</v>
      </c>
      <c r="Z256" s="15" t="str">
        <f t="shared" si="10"/>
        <v>Electropolished Pipes Manufacturer in Los Angeles</v>
      </c>
      <c r="AA256" s="15" t="str">
        <f t="shared" si="11"/>
        <v>OK (49)</v>
      </c>
      <c r="AB256" s="15" t="str">
        <f t="shared" si="12"/>
        <v>EP-finished SS 304/316L pipes &amp; tubes for brewery &amp; food plants in Los Angeles. ASTM A270, ASME BPE SF1-SF4, EN 10204 3.1 MTC. PMI tested.</v>
      </c>
      <c r="AC256" s="15" t="str">
        <f t="shared" si="13"/>
        <v>OK (138)</v>
      </c>
      <c r="AD256" s="15" t="str">
        <f t="shared" si="14"/>
        <v>Electropolished Pipes Manufacturer in Los Angeles</v>
      </c>
      <c r="AE256" s="15" t="str">
        <f t="shared" si="15"/>
        <v>Electropolished Pipes Manufacturer in Los Angeles - Our Process &amp; Capability</v>
      </c>
      <c r="AF256" s="15" t="str">
        <f t="shared" si="16"/>
        <v>Electropolished Pipes Supplier in Los Angeles - What We Hold in Stock</v>
      </c>
      <c r="AG256" s="15" t="str">
        <f t="shared" si="17"/>
        <v>Bulk &amp; Wholesale Electropolished Pipe Rates for Los Angeles Buyers</v>
      </c>
      <c r="AH256" s="15" t="str">
        <f t="shared" si="18"/>
        <v>electropolished pipes manufacturer in Los Angeles, electropolished pipes supplier in Los Angeles, electropolished pipes wholesaler in Los Angeles, electropolished tube manufacturer Los Angeles, EP pipe supplier Los Angeles, sanitary tube supplier Los Angeles, ASME BPE tubing Los Angeles, ASTM A270 tube Los Angeles, SS 316L electropolished pipe Los Angeles</v>
      </c>
      <c r="AI256" s="15" t="str">
        <f t="shared" si="19"/>
        <v>Electropolished Pipes Manufacturer &amp; Supplier in Los Angeles</v>
      </c>
      <c r="AJ256" s="15" t="str">
        <f t="shared" si="20"/>
        <v>EP-finished SS 304/316L pipes and tubes for brewery &amp; food plants in Los Angeles. ASME BPE SF1-SF4, Ra from 0.25 um, EN 10204 3.1 certificate with every lot.</v>
      </c>
      <c r="AK256" s="15" t="str">
        <f t="shared" si="21"/>
        <v>Electropolished stainless steel pipes supplied by Sakshi Forge to brewery &amp; food plants at Vernon Industrial District, Los Angeles</v>
      </c>
      <c r="AL256" s="15" t="str">
        <f t="shared" si="22"/>
        <v>Electropolished SS 316L tube stock for Los Angeles - Sakshi Forge</v>
      </c>
      <c r="AM256" s="15" t="str">
        <f t="shared" si="23"/>
        <v>Home &gt; Market Area &gt; USA &gt; California &gt; Los Angeles</v>
      </c>
      <c r="AN256" s="15">
        <f t="shared" si="24"/>
        <v>1400</v>
      </c>
      <c r="AO256" s="15">
        <f t="shared" si="25"/>
        <v>10</v>
      </c>
      <c r="AP256" s="15">
        <f t="shared" si="26"/>
        <v>12</v>
      </c>
      <c r="AQ256" s="15">
        <f t="shared" si="27"/>
        <v>5</v>
      </c>
      <c r="AR256" s="31"/>
      <c r="AS256" s="31"/>
      <c r="AT256" s="35" t="s">
        <v>222</v>
      </c>
      <c r="AU256" s="35"/>
    </row>
    <row r="257" ht="15.75" customHeight="1">
      <c r="A257" s="15" t="s">
        <v>8290</v>
      </c>
      <c r="B257" s="15" t="s">
        <v>221</v>
      </c>
      <c r="C257" s="15" t="s">
        <v>8291</v>
      </c>
      <c r="D257" s="15" t="s">
        <v>8292</v>
      </c>
      <c r="E257" s="15" t="s">
        <v>8292</v>
      </c>
      <c r="F257" s="16" t="s">
        <v>87</v>
      </c>
      <c r="G257" s="17" t="s">
        <v>88</v>
      </c>
      <c r="H257" s="18" t="s">
        <v>8293</v>
      </c>
      <c r="I257" s="18" t="s">
        <v>8294</v>
      </c>
      <c r="J257" s="18" t="s">
        <v>8295</v>
      </c>
      <c r="K257" s="18" t="s">
        <v>579</v>
      </c>
      <c r="L257" s="18" t="s">
        <v>8296</v>
      </c>
      <c r="M257" s="18" t="s">
        <v>530</v>
      </c>
      <c r="N257" s="18" t="s">
        <v>233</v>
      </c>
      <c r="O257" s="18" t="s">
        <v>98</v>
      </c>
      <c r="P257" s="15" t="str">
        <f t="shared" si="1"/>
        <v>DAIRY</v>
      </c>
      <c r="Q257" s="15">
        <f t="shared" si="2"/>
        <v>6</v>
      </c>
      <c r="R257" s="15">
        <f t="shared" si="3"/>
        <v>2</v>
      </c>
      <c r="S257" s="15">
        <f t="shared" si="4"/>
        <v>4</v>
      </c>
      <c r="T257" s="15" t="str">
        <f t="shared" si="5"/>
        <v>A-2</v>
      </c>
      <c r="U257" s="15" t="str">
        <f t="shared" si="6"/>
        <v>T6-M2-H4-FA-2-DAIRY</v>
      </c>
      <c r="V257" s="15">
        <f t="shared" si="7"/>
        <v>0</v>
      </c>
      <c r="W257" s="31"/>
      <c r="X257" s="15" t="str">
        <f t="shared" si="8"/>
        <v>minneapolis-st-paul-usa</v>
      </c>
      <c r="Y257" s="32" t="str">
        <f t="shared" si="9"/>
        <v>https://steelmanufacturer.in/market-area/electropolished-pipes-manufacturer-in-minneapolis-st-paul-usa/</v>
      </c>
      <c r="Z257" s="15" t="str">
        <f t="shared" si="10"/>
        <v>Electropolished Pipes Manufacturer in Minneapolis-St Paul</v>
      </c>
      <c r="AA257" s="15" t="str">
        <f t="shared" si="11"/>
        <v>OK (57)</v>
      </c>
      <c r="AB257" s="15" t="str">
        <f t="shared" si="12"/>
        <v>Electropolished tube supply to Medical Alley, Minneapolis-St Paul. Ra from 0.25 um, SF4 finish, mill test certificate with every lot.</v>
      </c>
      <c r="AC257" s="15" t="str">
        <f t="shared" si="13"/>
        <v>OK (133)</v>
      </c>
      <c r="AD257" s="15" t="str">
        <f t="shared" si="14"/>
        <v>Electropolished Pipes Manufacturer in Minneapolis-St Paul</v>
      </c>
      <c r="AE257" s="15" t="str">
        <f t="shared" si="15"/>
        <v>Manufacturing Electropolished SS Tube for Minneapolis-St Paul: The Standards We Build To</v>
      </c>
      <c r="AF257" s="15" t="str">
        <f t="shared" si="16"/>
        <v>Electropolished Pipe Supply Into Minneapolis-St Paul - Certification &amp; Transit</v>
      </c>
      <c r="AG257" s="15" t="str">
        <f t="shared" si="17"/>
        <v>Electropolished Pipes Wholesaler in Minneapolis-St Paul - Project Quantities &amp; Terms</v>
      </c>
      <c r="AH257" s="15" t="str">
        <f t="shared" si="18"/>
        <v>electropolished pipes manufacturer in Minneapolis-St Paul, electropolished pipes supplier in Minneapolis-St Paul, electropolished pipes wholesaler in Minneapolis-St Paul, electropolished tube manufacturer Minneapolis-St Paul, EP pipe supplier Minneapolis-St Paul, sanitary tube supplier Minneapolis-St Paul, ASME BPE tubing Minneapolis-St Paul, ASTM A270 tube Minneapolis-St Paul, SS 316L electropolished pipe Minneapolis-St Paul</v>
      </c>
      <c r="AI257" s="15" t="str">
        <f t="shared" si="19"/>
        <v>Electropolished Pipes Manufacturer &amp; Supplier in Minneapolis-St Paul</v>
      </c>
      <c r="AJ257" s="15" t="str">
        <f t="shared" si="20"/>
        <v>EP-finished SS 304/316L pipes and tubes for food &amp; dairy plants in Minneapolis-St Paul. ASME BPE SF1-SF4, Ra from 0.25 um, EN 10204 3.1 certificate with every lot.</v>
      </c>
      <c r="AK257" s="15" t="str">
        <f t="shared" si="21"/>
        <v>Electropolished stainless steel pipes supplied by Sakshi Forge to food &amp; dairy plants at Medical Alley, Minneapolis-St Paul</v>
      </c>
      <c r="AL257" s="15" t="str">
        <f t="shared" si="22"/>
        <v>Electropolished SS 316L tube stock for Minneapolis-St Paul - Sakshi Forge</v>
      </c>
      <c r="AM257" s="15" t="str">
        <f t="shared" si="23"/>
        <v>Home &gt; Market Area &gt; USA &gt; Minnesota &gt; Minneapolis-St Paul</v>
      </c>
      <c r="AN257" s="15">
        <f t="shared" si="24"/>
        <v>1400</v>
      </c>
      <c r="AO257" s="15">
        <f t="shared" si="25"/>
        <v>10</v>
      </c>
      <c r="AP257" s="15">
        <f t="shared" si="26"/>
        <v>12</v>
      </c>
      <c r="AQ257" s="15">
        <f t="shared" si="27"/>
        <v>5</v>
      </c>
      <c r="AR257" s="31"/>
      <c r="AS257" s="31"/>
      <c r="AT257" s="35" t="s">
        <v>222</v>
      </c>
      <c r="AU257" s="35"/>
    </row>
    <row r="258" ht="15.75" customHeight="1">
      <c r="A258" s="15" t="s">
        <v>8297</v>
      </c>
      <c r="B258" s="15" t="s">
        <v>221</v>
      </c>
      <c r="C258" s="15" t="s">
        <v>8298</v>
      </c>
      <c r="D258" s="15" t="s">
        <v>8299</v>
      </c>
      <c r="E258" s="15" t="s">
        <v>8299</v>
      </c>
      <c r="F258" s="16" t="s">
        <v>87</v>
      </c>
      <c r="G258" s="17" t="s">
        <v>88</v>
      </c>
      <c r="H258" s="18" t="s">
        <v>8300</v>
      </c>
      <c r="I258" s="18" t="s">
        <v>8301</v>
      </c>
      <c r="J258" s="18" t="s">
        <v>6925</v>
      </c>
      <c r="K258" s="18" t="s">
        <v>3605</v>
      </c>
      <c r="L258" s="18" t="s">
        <v>8302</v>
      </c>
      <c r="M258" s="18" t="s">
        <v>530</v>
      </c>
      <c r="N258" s="18" t="s">
        <v>233</v>
      </c>
      <c r="O258" s="18" t="s">
        <v>98</v>
      </c>
      <c r="P258" s="15" t="str">
        <f t="shared" si="1"/>
        <v>PHARMA</v>
      </c>
      <c r="Q258" s="15">
        <f t="shared" si="2"/>
        <v>7</v>
      </c>
      <c r="R258" s="15">
        <f t="shared" si="3"/>
        <v>3</v>
      </c>
      <c r="S258" s="15">
        <f t="shared" si="4"/>
        <v>5</v>
      </c>
      <c r="T258" s="15" t="str">
        <f t="shared" si="5"/>
        <v>A-3</v>
      </c>
      <c r="U258" s="15" t="str">
        <f t="shared" si="6"/>
        <v>T7-M3-H5-FA-3-PHARMA</v>
      </c>
      <c r="V258" s="15">
        <f t="shared" si="7"/>
        <v>0</v>
      </c>
      <c r="W258" s="31"/>
      <c r="X258" s="15" t="str">
        <f t="shared" si="8"/>
        <v>newark-nj-usa</v>
      </c>
      <c r="Y258" s="32" t="str">
        <f t="shared" si="9"/>
        <v>https://steelmanufacturer.in/market-area/electropolished-pipes-manufacturer-in-newark-nj-usa/</v>
      </c>
      <c r="Z258" s="15" t="str">
        <f t="shared" si="10"/>
        <v>Electropolished Pipes Manufacturer in Newark-NJ</v>
      </c>
      <c r="AA258" s="15" t="str">
        <f t="shared" si="11"/>
        <v>OK (47)</v>
      </c>
      <c r="AB258" s="15" t="str">
        <f t="shared" si="12"/>
        <v>EP stainless tube for pharma &amp; API &amp; pharma lines in Newark-NJ. 28-35 days sea from Nhava Sheva to US East Coast. ASTM A270 S2, PMI tested, EN 10204 3.1.</v>
      </c>
      <c r="AC258" s="15" t="str">
        <f t="shared" si="13"/>
        <v>OK (153)</v>
      </c>
      <c r="AD258" s="15" t="str">
        <f t="shared" si="14"/>
        <v>Electropolished Pipes Manufacturer in Newark-NJ</v>
      </c>
      <c r="AE258" s="15" t="str">
        <f t="shared" si="15"/>
        <v>Electropolished Tube Manufacturing Capability Serving Newark-NJ</v>
      </c>
      <c r="AF258" s="15" t="str">
        <f t="shared" si="16"/>
        <v>Electropolished Pipes Supplier in Newark-NJ - From Order to Delivery</v>
      </c>
      <c r="AG258" s="15" t="str">
        <f t="shared" si="17"/>
        <v>Stockist &amp; Wholesale Supply of Electropolished Pipes in Newark-NJ</v>
      </c>
      <c r="AH258" s="15" t="str">
        <f t="shared" si="18"/>
        <v>electropolished pipes manufacturer in Newark-NJ, electropolished pipes supplier in Newark-NJ, electropolished pipes wholesaler in Newark-NJ, electropolished tube manufacturer Newark-NJ, EP pipe supplier Newark-NJ, sanitary tube supplier Newark-NJ, ASME BPE tubing Newark-NJ, ASTM A270 tube Newark-NJ, SS 316L electropolished pipe Newark-NJ</v>
      </c>
      <c r="AI258" s="15" t="str">
        <f t="shared" si="19"/>
        <v>Electropolished Pipes Manufacturer &amp; Supplier in Newark-NJ</v>
      </c>
      <c r="AJ258" s="15" t="str">
        <f t="shared" si="20"/>
        <v>EP-finished SS 304/316L pipes and tubes for pharma &amp; API &amp; pharma plants in Newark-NJ. ASME BPE SF1-SF4, Ra from 0.25 um, EN 10204 3.1 certificate with every lot.</v>
      </c>
      <c r="AK258" s="15" t="str">
        <f t="shared" si="21"/>
        <v>Electropolished stainless steel pipes supplied by Sakshi Forge to pharma &amp; API &amp; pharma plants at Route 1 Pharma Corridor, Newark-NJ</v>
      </c>
      <c r="AL258" s="15" t="str">
        <f t="shared" si="22"/>
        <v>Electropolished SS 316L tube stock for Newark-NJ - Sakshi Forge</v>
      </c>
      <c r="AM258" s="15" t="str">
        <f t="shared" si="23"/>
        <v>Home &gt; Market Area &gt; USA &gt; New Jersey &gt; Newark-NJ</v>
      </c>
      <c r="AN258" s="15">
        <f t="shared" si="24"/>
        <v>1400</v>
      </c>
      <c r="AO258" s="15">
        <f t="shared" si="25"/>
        <v>10</v>
      </c>
      <c r="AP258" s="15">
        <f t="shared" si="26"/>
        <v>12</v>
      </c>
      <c r="AQ258" s="15">
        <f t="shared" si="27"/>
        <v>5</v>
      </c>
      <c r="AR258" s="31"/>
      <c r="AS258" s="31"/>
      <c r="AT258" s="35" t="s">
        <v>222</v>
      </c>
      <c r="AU258" s="35"/>
    </row>
    <row r="259" ht="15.75" customHeight="1">
      <c r="A259" s="15" t="s">
        <v>8303</v>
      </c>
      <c r="B259" s="15" t="s">
        <v>221</v>
      </c>
      <c r="C259" s="15" t="s">
        <v>8304</v>
      </c>
      <c r="D259" s="15" t="s">
        <v>8305</v>
      </c>
      <c r="E259" s="15" t="s">
        <v>8305</v>
      </c>
      <c r="F259" s="16" t="s">
        <v>87</v>
      </c>
      <c r="G259" s="17" t="s">
        <v>88</v>
      </c>
      <c r="H259" s="18" t="s">
        <v>8306</v>
      </c>
      <c r="I259" s="18" t="s">
        <v>8307</v>
      </c>
      <c r="J259" s="18" t="s">
        <v>8308</v>
      </c>
      <c r="K259" s="18" t="s">
        <v>1320</v>
      </c>
      <c r="L259" s="18" t="s">
        <v>8309</v>
      </c>
      <c r="M259" s="18" t="s">
        <v>530</v>
      </c>
      <c r="N259" s="18" t="s">
        <v>233</v>
      </c>
      <c r="O259" s="18" t="s">
        <v>98</v>
      </c>
      <c r="P259" s="15" t="str">
        <f t="shared" si="1"/>
        <v>BIOTECH</v>
      </c>
      <c r="Q259" s="15">
        <f t="shared" si="2"/>
        <v>8</v>
      </c>
      <c r="R259" s="15">
        <f t="shared" si="3"/>
        <v>4</v>
      </c>
      <c r="S259" s="15">
        <f t="shared" si="4"/>
        <v>1</v>
      </c>
      <c r="T259" s="15" t="str">
        <f t="shared" si="5"/>
        <v>A-4</v>
      </c>
      <c r="U259" s="15" t="str">
        <f t="shared" si="6"/>
        <v>T8-M4-H1-FA-4-BIOTECH</v>
      </c>
      <c r="V259" s="15">
        <f t="shared" si="7"/>
        <v>0</v>
      </c>
      <c r="W259" s="31"/>
      <c r="X259" s="15" t="str">
        <f t="shared" si="8"/>
        <v>philadelphia-usa</v>
      </c>
      <c r="Y259" s="32" t="str">
        <f t="shared" si="9"/>
        <v>https://steelmanufacturer.in/market-area/electropolished-pipes-manufacturer-in-philadelphia-usa/</v>
      </c>
      <c r="Z259" s="15" t="str">
        <f t="shared" si="10"/>
        <v>Electropolished Pipes Manufacturer in Philadelphia</v>
      </c>
      <c r="AA259" s="15" t="str">
        <f t="shared" si="11"/>
        <v>OK (50)</v>
      </c>
      <c r="AB259" s="15" t="str">
        <f t="shared" si="12"/>
        <v>Sanitary electropolished pipes in Philadelphia for biotech plants. ASME BPE SF1-SF4, orbital-weld ready, 3.1 MTC. Mumbai-made.</v>
      </c>
      <c r="AC259" s="15" t="str">
        <f t="shared" si="13"/>
        <v>OK (126)</v>
      </c>
      <c r="AD259" s="15" t="str">
        <f t="shared" si="14"/>
        <v>Electropolished Pipes Manufacturer in Philadelphia</v>
      </c>
      <c r="AE259" s="15" t="str">
        <f t="shared" si="15"/>
        <v>Electropolished Pipe &amp; Tube Manufacturing for Philadelphia - Grades, Finishes &amp; Certification</v>
      </c>
      <c r="AF259" s="15" t="str">
        <f t="shared" si="16"/>
        <v>Electropolished Pipes Supplier in Philadelphia - Stock Sizes, Lead Time &amp; Delivery</v>
      </c>
      <c r="AG259" s="15" t="str">
        <f t="shared" si="17"/>
        <v>Electropolished Pipes Wholesaler &amp; Stockist in Philadelphia - Bulk &amp; Project Pricing</v>
      </c>
      <c r="AH259" s="15" t="str">
        <f t="shared" si="18"/>
        <v>electropolished pipes manufacturer in Philadelphia, electropolished pipes supplier in Philadelphia, electropolished pipes wholesaler in Philadelphia, electropolished tube manufacturer Philadelphia, EP pipe supplier Philadelphia, sanitary tube supplier Philadelphia, ASME BPE tubing Philadelphia, ASTM A270 tube Philadelphia, SS 316L electropolished pipe Philadelphia</v>
      </c>
      <c r="AI259" s="15" t="str">
        <f t="shared" si="19"/>
        <v>Electropolished Pipes Manufacturer &amp; Supplier in Philadelphia</v>
      </c>
      <c r="AJ259" s="15" t="str">
        <f t="shared" si="20"/>
        <v>EP-finished SS 304/316L pipes and tubes for biotech plants in Philadelphia. ASME BPE SF1-SF4, Ra from 0.25 um, EN 10204 3.1 certificate with every lot.</v>
      </c>
      <c r="AK259" s="15" t="str">
        <f t="shared" si="21"/>
        <v>Electropolished stainless steel pipes supplied by Sakshi Forge to biotech plants at Navy Yard Philadelphia, Philadelphia</v>
      </c>
      <c r="AL259" s="15" t="str">
        <f t="shared" si="22"/>
        <v>Electropolished SS 316L tube stock for Philadelphia - Sakshi Forge</v>
      </c>
      <c r="AM259" s="15" t="str">
        <f t="shared" si="23"/>
        <v>Home &gt; Market Area &gt; USA &gt; Pennsylvania &gt; Philadelphia</v>
      </c>
      <c r="AN259" s="15">
        <f t="shared" si="24"/>
        <v>1400</v>
      </c>
      <c r="AO259" s="15">
        <f t="shared" si="25"/>
        <v>10</v>
      </c>
      <c r="AP259" s="15">
        <f t="shared" si="26"/>
        <v>12</v>
      </c>
      <c r="AQ259" s="15">
        <f t="shared" si="27"/>
        <v>5</v>
      </c>
      <c r="AR259" s="31"/>
      <c r="AS259" s="31"/>
      <c r="AT259" s="35" t="s">
        <v>222</v>
      </c>
      <c r="AU259" s="35"/>
    </row>
    <row r="260" ht="15.75" customHeight="1">
      <c r="A260" s="15" t="s">
        <v>8310</v>
      </c>
      <c r="B260" s="15" t="s">
        <v>221</v>
      </c>
      <c r="C260" s="15" t="s">
        <v>8311</v>
      </c>
      <c r="D260" s="15" t="s">
        <v>8312</v>
      </c>
      <c r="E260" s="15" t="s">
        <v>8312</v>
      </c>
      <c r="F260" s="16" t="s">
        <v>87</v>
      </c>
      <c r="G260" s="17" t="s">
        <v>88</v>
      </c>
      <c r="H260" s="18" t="s">
        <v>8313</v>
      </c>
      <c r="I260" s="18" t="s">
        <v>8314</v>
      </c>
      <c r="J260" s="18" t="s">
        <v>8315</v>
      </c>
      <c r="K260" s="18" t="s">
        <v>4868</v>
      </c>
      <c r="L260" s="18" t="s">
        <v>8272</v>
      </c>
      <c r="M260" s="18" t="s">
        <v>530</v>
      </c>
      <c r="N260" s="18" t="s">
        <v>233</v>
      </c>
      <c r="O260" s="18" t="s">
        <v>98</v>
      </c>
      <c r="P260" s="15" t="str">
        <f t="shared" si="1"/>
        <v>SEMI</v>
      </c>
      <c r="Q260" s="15">
        <f t="shared" si="2"/>
        <v>1</v>
      </c>
      <c r="R260" s="15">
        <f t="shared" si="3"/>
        <v>5</v>
      </c>
      <c r="S260" s="15">
        <f t="shared" si="4"/>
        <v>2</v>
      </c>
      <c r="T260" s="15" t="str">
        <f t="shared" si="5"/>
        <v>A-5</v>
      </c>
      <c r="U260" s="15" t="str">
        <f t="shared" si="6"/>
        <v>T1-M5-H2-FA-5-SEMI</v>
      </c>
      <c r="V260" s="15">
        <f t="shared" si="7"/>
        <v>0</v>
      </c>
      <c r="W260" s="31"/>
      <c r="X260" s="15" t="str">
        <f t="shared" si="8"/>
        <v>phoenix-usa</v>
      </c>
      <c r="Y260" s="32" t="str">
        <f t="shared" si="9"/>
        <v>https://steelmanufacturer.in/market-area/electropolished-pipes-manufacturer-in-phoenix-usa/</v>
      </c>
      <c r="Z260" s="15" t="str">
        <f t="shared" si="10"/>
        <v>Electropolished Pipes Manufacturer in Phoenix | Sakshi Forge</v>
      </c>
      <c r="AA260" s="15" t="str">
        <f t="shared" si="11"/>
        <v>OK (60)</v>
      </c>
      <c r="AB260" s="15" t="str">
        <f t="shared" si="12"/>
        <v>Manufacturer of electropolished SS 316L tube serving Phoenix. 28-35 days sea from Nhava Sheva to US East Coast. Ra 0.25-0.5 um, EN 10204 3.1 MTC.</v>
      </c>
      <c r="AC260" s="15" t="str">
        <f t="shared" si="13"/>
        <v>OK (145)</v>
      </c>
      <c r="AD260" s="15" t="str">
        <f t="shared" si="14"/>
        <v>Electropolished Pipes Manufacturer in Phoenix</v>
      </c>
      <c r="AE260" s="15" t="str">
        <f t="shared" si="15"/>
        <v>How We Manufacture Electropolished Tube for Phoenix Plants</v>
      </c>
      <c r="AF260" s="15" t="str">
        <f t="shared" si="16"/>
        <v>Supplying Electropolished Pipes in Phoenix: Availability, Sizes &amp; Dispatch</v>
      </c>
      <c r="AG260" s="15" t="str">
        <f t="shared" si="17"/>
        <v>Wholesale Electropolished Pipe Supply for Phoenix Projects</v>
      </c>
      <c r="AH260" s="15" t="str">
        <f t="shared" si="18"/>
        <v>electropolished pipes manufacturer in Phoenix, electropolished pipes supplier in Phoenix, electropolished pipes wholesaler in Phoenix, electropolished tube manufacturer Phoenix, EP pipe supplier Phoenix, sanitary tube supplier Phoenix, ASME BPE tubing Phoenix, ASTM A270 tube Phoenix, SS 316L electropolished pipe Phoenix</v>
      </c>
      <c r="AI260" s="15" t="str">
        <f t="shared" si="19"/>
        <v>Electropolished Pipes Manufacturer &amp; Supplier in Phoenix</v>
      </c>
      <c r="AJ260" s="15" t="str">
        <f t="shared" si="20"/>
        <v>EP-finished SS 304/316L pipes and tubes for semiconductor plants in Phoenix. ASME BPE SF1-SF4, Ra from 0.25 um, EN 10204 3.1 certificate with every lot.</v>
      </c>
      <c r="AK260" s="15" t="str">
        <f t="shared" si="21"/>
        <v>Electropolished stainless steel pipes supplied by Sakshi Forge to semiconductor plants at Deer Valley, Phoenix</v>
      </c>
      <c r="AL260" s="15" t="str">
        <f t="shared" si="22"/>
        <v>Electropolished SS 316L tube stock for Phoenix - Sakshi Forge</v>
      </c>
      <c r="AM260" s="15" t="str">
        <f t="shared" si="23"/>
        <v>Home &gt; Market Area &gt; USA &gt; Arizona &gt; Phoenix</v>
      </c>
      <c r="AN260" s="15">
        <f t="shared" si="24"/>
        <v>1400</v>
      </c>
      <c r="AO260" s="15">
        <f t="shared" si="25"/>
        <v>10</v>
      </c>
      <c r="AP260" s="15">
        <f t="shared" si="26"/>
        <v>12</v>
      </c>
      <c r="AQ260" s="15">
        <f t="shared" si="27"/>
        <v>5</v>
      </c>
      <c r="AR260" s="31"/>
      <c r="AS260" s="31"/>
      <c r="AT260" s="35" t="s">
        <v>222</v>
      </c>
      <c r="AU260" s="35"/>
    </row>
    <row r="261" ht="15.75" customHeight="1">
      <c r="A261" s="15" t="s">
        <v>8316</v>
      </c>
      <c r="B261" s="15" t="s">
        <v>221</v>
      </c>
      <c r="C261" s="15" t="s">
        <v>8317</v>
      </c>
      <c r="D261" s="15" t="s">
        <v>8318</v>
      </c>
      <c r="E261" s="15" t="s">
        <v>8318</v>
      </c>
      <c r="F261" s="16" t="s">
        <v>87</v>
      </c>
      <c r="G261" s="17" t="s">
        <v>88</v>
      </c>
      <c r="H261" s="18" t="s">
        <v>8319</v>
      </c>
      <c r="I261" s="18" t="s">
        <v>8320</v>
      </c>
      <c r="J261" s="18" t="s">
        <v>8321</v>
      </c>
      <c r="K261" s="18" t="s">
        <v>4868</v>
      </c>
      <c r="L261" s="18" t="s">
        <v>8322</v>
      </c>
      <c r="M261" s="18" t="s">
        <v>530</v>
      </c>
      <c r="N261" s="18" t="s">
        <v>233</v>
      </c>
      <c r="O261" s="18" t="s">
        <v>98</v>
      </c>
      <c r="P261" s="15" t="str">
        <f t="shared" si="1"/>
        <v>SEMI</v>
      </c>
      <c r="Q261" s="15">
        <f t="shared" si="2"/>
        <v>2</v>
      </c>
      <c r="R261" s="15">
        <f t="shared" si="3"/>
        <v>6</v>
      </c>
      <c r="S261" s="15">
        <f t="shared" si="4"/>
        <v>3</v>
      </c>
      <c r="T261" s="15" t="str">
        <f t="shared" si="5"/>
        <v>A-6</v>
      </c>
      <c r="U261" s="15" t="str">
        <f t="shared" si="6"/>
        <v>T2-M6-H3-FA-6-SEMI</v>
      </c>
      <c r="V261" s="15">
        <f t="shared" si="7"/>
        <v>0</v>
      </c>
      <c r="W261" s="31"/>
      <c r="X261" s="15" t="str">
        <f t="shared" si="8"/>
        <v>portland-usa</v>
      </c>
      <c r="Y261" s="32" t="str">
        <f t="shared" si="9"/>
        <v>https://steelmanufacturer.in/market-area/electropolished-pipes-manufacturer-in-portland-usa/</v>
      </c>
      <c r="Z261" s="15" t="str">
        <f t="shared" si="10"/>
        <v>Electropolished Pipes Manufacturer in Portland</v>
      </c>
      <c r="AA261" s="15" t="str">
        <f t="shared" si="11"/>
        <v>OK (46)</v>
      </c>
      <c r="AB261" s="15" t="str">
        <f t="shared" si="12"/>
        <v>EP tube and pipe for semiconductor plants around Hillsboro Silicon Forest, Portland. Made at our Mumbai works to ASTM A270 and ASME BPE SF1-SF4, with 3.1 MTC.</v>
      </c>
      <c r="AC261" s="15" t="str">
        <f t="shared" si="13"/>
        <v>OK (158)</v>
      </c>
      <c r="AD261" s="15" t="str">
        <f t="shared" si="14"/>
        <v>Electropolished Pipes Manufacturer in Portland</v>
      </c>
      <c r="AE261" s="15" t="str">
        <f t="shared" si="15"/>
        <v>Electropolished Pipes Manufacturer in Portland - Our Process &amp; Capability</v>
      </c>
      <c r="AF261" s="15" t="str">
        <f t="shared" si="16"/>
        <v>Electropolished Pipes Supplier in Portland - What We Hold in Stock</v>
      </c>
      <c r="AG261" s="15" t="str">
        <f t="shared" si="17"/>
        <v>Bulk &amp; Wholesale Electropolished Pipe Rates for Portland Buyers</v>
      </c>
      <c r="AH261" s="15" t="str">
        <f t="shared" si="18"/>
        <v>electropolished pipes manufacturer in Portland, electropolished pipes supplier in Portland, electropolished pipes wholesaler in Portland, electropolished tube manufacturer Portland, EP pipe supplier Portland, sanitary tube supplier Portland, ASME BPE tubing Portland, ASTM A270 tube Portland, SS 316L electropolished pipe Portland</v>
      </c>
      <c r="AI261" s="15" t="str">
        <f t="shared" si="19"/>
        <v>Electropolished Pipes Manufacturer &amp; Supplier in Portland</v>
      </c>
      <c r="AJ261" s="15" t="str">
        <f t="shared" si="20"/>
        <v>EP-finished SS 304/316L pipes and tubes for semiconductor plants in Portland. ASME BPE SF1-SF4, Ra from 0.25 um, EN 10204 3.1 certificate with every lot.</v>
      </c>
      <c r="AK261" s="15" t="str">
        <f t="shared" si="21"/>
        <v>Electropolished stainless steel pipes supplied by Sakshi Forge to semiconductor plants at Hillsboro Silicon Forest, Portland</v>
      </c>
      <c r="AL261" s="15" t="str">
        <f t="shared" si="22"/>
        <v>Electropolished SS 316L tube stock for Portland - Sakshi Forge</v>
      </c>
      <c r="AM261" s="15" t="str">
        <f t="shared" si="23"/>
        <v>Home &gt; Market Area &gt; USA &gt; Oregon &gt; Portland</v>
      </c>
      <c r="AN261" s="15">
        <f t="shared" si="24"/>
        <v>1400</v>
      </c>
      <c r="AO261" s="15">
        <f t="shared" si="25"/>
        <v>10</v>
      </c>
      <c r="AP261" s="15">
        <f t="shared" si="26"/>
        <v>12</v>
      </c>
      <c r="AQ261" s="15">
        <f t="shared" si="27"/>
        <v>5</v>
      </c>
      <c r="AR261" s="31"/>
      <c r="AS261" s="31"/>
      <c r="AT261" s="35" t="s">
        <v>222</v>
      </c>
      <c r="AU261" s="35"/>
    </row>
    <row r="262" ht="15.75" customHeight="1">
      <c r="A262" s="15" t="s">
        <v>8323</v>
      </c>
      <c r="B262" s="15" t="s">
        <v>221</v>
      </c>
      <c r="C262" s="15" t="s">
        <v>8324</v>
      </c>
      <c r="D262" s="15" t="s">
        <v>8325</v>
      </c>
      <c r="E262" s="15" t="s">
        <v>8325</v>
      </c>
      <c r="F262" s="16" t="s">
        <v>87</v>
      </c>
      <c r="G262" s="17" t="s">
        <v>88</v>
      </c>
      <c r="H262" s="18" t="s">
        <v>8326</v>
      </c>
      <c r="I262" s="18" t="s">
        <v>8327</v>
      </c>
      <c r="J262" s="18" t="s">
        <v>8328</v>
      </c>
      <c r="K262" s="18" t="s">
        <v>1320</v>
      </c>
      <c r="L262" s="18" t="s">
        <v>8329</v>
      </c>
      <c r="M262" s="18" t="s">
        <v>530</v>
      </c>
      <c r="N262" s="18" t="s">
        <v>233</v>
      </c>
      <c r="O262" s="18" t="s">
        <v>98</v>
      </c>
      <c r="P262" s="15" t="str">
        <f t="shared" si="1"/>
        <v>BIOTECH</v>
      </c>
      <c r="Q262" s="15">
        <f t="shared" si="2"/>
        <v>3</v>
      </c>
      <c r="R262" s="15">
        <f t="shared" si="3"/>
        <v>7</v>
      </c>
      <c r="S262" s="15">
        <f t="shared" si="4"/>
        <v>4</v>
      </c>
      <c r="T262" s="15" t="str">
        <f t="shared" si="5"/>
        <v>A-1</v>
      </c>
      <c r="U262" s="15" t="str">
        <f t="shared" si="6"/>
        <v>T3-M7-H4-FA-1-BIOTECH</v>
      </c>
      <c r="V262" s="15">
        <f t="shared" si="7"/>
        <v>0</v>
      </c>
      <c r="W262" s="31"/>
      <c r="X262" s="15" t="str">
        <f t="shared" si="8"/>
        <v>raleigh-durham-usa</v>
      </c>
      <c r="Y262" s="32" t="str">
        <f t="shared" si="9"/>
        <v>https://steelmanufacturer.in/market-area/electropolished-pipes-manufacturer-in-raleigh-durham-usa/</v>
      </c>
      <c r="Z262" s="15" t="str">
        <f t="shared" si="10"/>
        <v>Electropolished Pipes Manufacturer in Raleigh-Durham</v>
      </c>
      <c r="AA262" s="15" t="str">
        <f t="shared" si="11"/>
        <v>OK (52)</v>
      </c>
      <c r="AB262" s="15" t="str">
        <f t="shared" si="12"/>
        <v>Electropolished pipes in Raleigh-Durham: 304, 304L, 316 and 316L in SF1-SF4. 28-35 days sea from Nhava Sheva to US East Coast. Mill certified.</v>
      </c>
      <c r="AC262" s="15" t="str">
        <f t="shared" si="13"/>
        <v>OK (142)</v>
      </c>
      <c r="AD262" s="15" t="str">
        <f t="shared" si="14"/>
        <v>Electropolished Pipes Manufacturer in Raleigh-Durham</v>
      </c>
      <c r="AE262" s="15" t="str">
        <f t="shared" si="15"/>
        <v>Manufacturing Electropolished SS Tube for Raleigh-Durham: The Standards We Build To</v>
      </c>
      <c r="AF262" s="15" t="str">
        <f t="shared" si="16"/>
        <v>Electropolished Pipe Supply Into Raleigh-Durham - Certification &amp; Transit</v>
      </c>
      <c r="AG262" s="15" t="str">
        <f t="shared" si="17"/>
        <v>Electropolished Pipes Wholesaler in Raleigh-Durham - Project Quantities &amp; Terms</v>
      </c>
      <c r="AH262" s="15" t="str">
        <f t="shared" si="18"/>
        <v>electropolished pipes manufacturer in Raleigh-Durham, electropolished pipes supplier in Raleigh-Durham, electropolished pipes wholesaler in Raleigh-Durham, electropolished tube manufacturer Raleigh-Durham, EP pipe supplier Raleigh-Durham, sanitary tube supplier Raleigh-Durham, ASME BPE tubing Raleigh-Durham, ASTM A270 tube Raleigh-Durham, SS 316L electropolished pipe Raleigh-Durham</v>
      </c>
      <c r="AI262" s="15" t="str">
        <f t="shared" si="19"/>
        <v>Electropolished Pipes Manufacturer &amp; Supplier in Raleigh-Durham</v>
      </c>
      <c r="AJ262" s="15" t="str">
        <f t="shared" si="20"/>
        <v>EP-finished SS 304/316L pipes and tubes for biotech plants in Raleigh-Durham. ASME BPE SF1-SF4, Ra from 0.25 um, EN 10204 3.1 certificate with every lot.</v>
      </c>
      <c r="AK262" s="15" t="str">
        <f t="shared" si="21"/>
        <v>Electropolished stainless steel pipes supplied by Sakshi Forge to biotech plants at Research Triangle Park, Raleigh-Durham</v>
      </c>
      <c r="AL262" s="15" t="str">
        <f t="shared" si="22"/>
        <v>Electropolished SS 316L tube stock for Raleigh-Durham - Sakshi Forge</v>
      </c>
      <c r="AM262" s="15" t="str">
        <f t="shared" si="23"/>
        <v>Home &gt; Market Area &gt; USA &gt; North Carolina &gt; Raleigh-Durham</v>
      </c>
      <c r="AN262" s="15">
        <f t="shared" si="24"/>
        <v>1400</v>
      </c>
      <c r="AO262" s="15">
        <f t="shared" si="25"/>
        <v>10</v>
      </c>
      <c r="AP262" s="15">
        <f t="shared" si="26"/>
        <v>12</v>
      </c>
      <c r="AQ262" s="15">
        <f t="shared" si="27"/>
        <v>5</v>
      </c>
      <c r="AR262" s="31"/>
      <c r="AS262" s="31"/>
      <c r="AT262" s="35" t="s">
        <v>222</v>
      </c>
      <c r="AU262" s="35"/>
    </row>
    <row r="263" ht="15.75" customHeight="1">
      <c r="A263" s="15" t="s">
        <v>8330</v>
      </c>
      <c r="B263" s="15" t="s">
        <v>221</v>
      </c>
      <c r="C263" s="15" t="s">
        <v>8285</v>
      </c>
      <c r="D263" s="15" t="s">
        <v>8331</v>
      </c>
      <c r="E263" s="15" t="s">
        <v>8331</v>
      </c>
      <c r="F263" s="16" t="s">
        <v>87</v>
      </c>
      <c r="G263" s="17" t="s">
        <v>88</v>
      </c>
      <c r="H263" s="18" t="s">
        <v>8332</v>
      </c>
      <c r="I263" s="18" t="s">
        <v>8333</v>
      </c>
      <c r="J263" s="18" t="s">
        <v>6491</v>
      </c>
      <c r="K263" s="18" t="s">
        <v>1320</v>
      </c>
      <c r="L263" s="18" t="s">
        <v>8334</v>
      </c>
      <c r="M263" s="18" t="s">
        <v>530</v>
      </c>
      <c r="N263" s="18" t="s">
        <v>233</v>
      </c>
      <c r="O263" s="18" t="s">
        <v>98</v>
      </c>
      <c r="P263" s="15" t="str">
        <f t="shared" si="1"/>
        <v>BIOTECH</v>
      </c>
      <c r="Q263" s="15">
        <f t="shared" si="2"/>
        <v>4</v>
      </c>
      <c r="R263" s="15">
        <f t="shared" si="3"/>
        <v>1</v>
      </c>
      <c r="S263" s="15">
        <f t="shared" si="4"/>
        <v>5</v>
      </c>
      <c r="T263" s="15" t="str">
        <f t="shared" si="5"/>
        <v>A-2</v>
      </c>
      <c r="U263" s="15" t="str">
        <f t="shared" si="6"/>
        <v>T4-M1-H5-FA-2-BIOTECH</v>
      </c>
      <c r="V263" s="15">
        <f t="shared" si="7"/>
        <v>0</v>
      </c>
      <c r="W263" s="31"/>
      <c r="X263" s="15" t="str">
        <f t="shared" si="8"/>
        <v>san-diego-usa</v>
      </c>
      <c r="Y263" s="32" t="str">
        <f t="shared" si="9"/>
        <v>https://steelmanufacturer.in/market-area/electropolished-pipes-manufacturer-in-san-diego-usa/</v>
      </c>
      <c r="Z263" s="15" t="str">
        <f t="shared" si="10"/>
        <v>Electropolished Pipes Manufacturer in San Diego</v>
      </c>
      <c r="AA263" s="15" t="str">
        <f t="shared" si="11"/>
        <v>OK (47)</v>
      </c>
      <c r="AB263" s="15" t="str">
        <f t="shared" si="12"/>
        <v>EP-finished SS 304/316L pipes &amp; tubes for biotech plants in San Diego. ASTM A270, ASME BPE SF1-SF4, EN 10204 3.1 MTC. PMI tested.</v>
      </c>
      <c r="AC263" s="15" t="str">
        <f t="shared" si="13"/>
        <v>OK (129)</v>
      </c>
      <c r="AD263" s="15" t="str">
        <f t="shared" si="14"/>
        <v>Electropolished Pipes Manufacturer in San Diego</v>
      </c>
      <c r="AE263" s="15" t="str">
        <f t="shared" si="15"/>
        <v>Electropolished Tube Manufacturing Capability Serving San Diego</v>
      </c>
      <c r="AF263" s="15" t="str">
        <f t="shared" si="16"/>
        <v>Electropolished Pipes Supplier in San Diego - From Order to Delivery</v>
      </c>
      <c r="AG263" s="15" t="str">
        <f t="shared" si="17"/>
        <v>Stockist &amp; Wholesale Supply of Electropolished Pipes in San Diego</v>
      </c>
      <c r="AH263" s="15" t="str">
        <f t="shared" si="18"/>
        <v>electropolished pipes manufacturer in San Diego, electropolished pipes supplier in San Diego, electropolished pipes wholesaler in San Diego, electropolished tube manufacturer San Diego, EP pipe supplier San Diego, sanitary tube supplier San Diego, ASME BPE tubing San Diego, ASTM A270 tube San Diego, SS 316L electropolished pipe San Diego</v>
      </c>
      <c r="AI263" s="15" t="str">
        <f t="shared" si="19"/>
        <v>Electropolished Pipes Manufacturer &amp; Supplier in San Diego</v>
      </c>
      <c r="AJ263" s="15" t="str">
        <f t="shared" si="20"/>
        <v>EP-finished SS 304/316L pipes and tubes for biotech plants in San Diego. ASME BPE SF1-SF4, Ra from 0.25 um, EN 10204 3.1 certificate with every lot.</v>
      </c>
      <c r="AK263" s="15" t="str">
        <f t="shared" si="21"/>
        <v>Electropolished stainless steel pipes supplied by Sakshi Forge to biotech plants at Torrey Pines Mesa, San Diego</v>
      </c>
      <c r="AL263" s="15" t="str">
        <f t="shared" si="22"/>
        <v>Electropolished SS 316L tube stock for San Diego - Sakshi Forge</v>
      </c>
      <c r="AM263" s="15" t="str">
        <f t="shared" si="23"/>
        <v>Home &gt; Market Area &gt; USA &gt; California &gt; San Diego</v>
      </c>
      <c r="AN263" s="15">
        <f t="shared" si="24"/>
        <v>1400</v>
      </c>
      <c r="AO263" s="15">
        <f t="shared" si="25"/>
        <v>10</v>
      </c>
      <c r="AP263" s="15">
        <f t="shared" si="26"/>
        <v>12</v>
      </c>
      <c r="AQ263" s="15">
        <f t="shared" si="27"/>
        <v>5</v>
      </c>
      <c r="AR263" s="31"/>
      <c r="AS263" s="31"/>
      <c r="AT263" s="35" t="s">
        <v>222</v>
      </c>
      <c r="AU263" s="35"/>
    </row>
    <row r="264" ht="15.75" customHeight="1">
      <c r="A264" s="15" t="s">
        <v>8335</v>
      </c>
      <c r="B264" s="15" t="s">
        <v>221</v>
      </c>
      <c r="C264" s="15" t="s">
        <v>8285</v>
      </c>
      <c r="D264" s="15" t="s">
        <v>8336</v>
      </c>
      <c r="E264" s="15" t="s">
        <v>8336</v>
      </c>
      <c r="F264" s="16" t="s">
        <v>87</v>
      </c>
      <c r="G264" s="17" t="s">
        <v>88</v>
      </c>
      <c r="H264" s="18" t="s">
        <v>8337</v>
      </c>
      <c r="I264" s="18" t="s">
        <v>8338</v>
      </c>
      <c r="J264" s="18" t="s">
        <v>8339</v>
      </c>
      <c r="K264" s="18" t="s">
        <v>4868</v>
      </c>
      <c r="L264" s="18" t="s">
        <v>8340</v>
      </c>
      <c r="M264" s="18" t="s">
        <v>530</v>
      </c>
      <c r="N264" s="18" t="s">
        <v>233</v>
      </c>
      <c r="O264" s="18" t="s">
        <v>98</v>
      </c>
      <c r="P264" s="15" t="str">
        <f t="shared" si="1"/>
        <v>SEMI</v>
      </c>
      <c r="Q264" s="15">
        <f t="shared" si="2"/>
        <v>5</v>
      </c>
      <c r="R264" s="15">
        <f t="shared" si="3"/>
        <v>2</v>
      </c>
      <c r="S264" s="15">
        <f t="shared" si="4"/>
        <v>1</v>
      </c>
      <c r="T264" s="15" t="str">
        <f t="shared" si="5"/>
        <v>A-3</v>
      </c>
      <c r="U264" s="15" t="str">
        <f t="shared" si="6"/>
        <v>T5-M2-H1-FA-3-SEMI</v>
      </c>
      <c r="V264" s="15">
        <f t="shared" si="7"/>
        <v>0</v>
      </c>
      <c r="W264" s="31"/>
      <c r="X264" s="15" t="str">
        <f t="shared" si="8"/>
        <v>san-francisco-bay-area-usa</v>
      </c>
      <c r="Y264" s="32" t="str">
        <f t="shared" si="9"/>
        <v>https://steelmanufacturer.in/market-area/electropolished-pipes-manufacturer-in-san-francisco-bay-area-usa/</v>
      </c>
      <c r="Z264" s="15" t="str">
        <f t="shared" si="10"/>
        <v>Electropolished Pipes Manufacturer in San Francisco Bay Area</v>
      </c>
      <c r="AA264" s="15" t="str">
        <f t="shared" si="11"/>
        <v>OK (60)</v>
      </c>
      <c r="AB264" s="15" t="str">
        <f t="shared" si="12"/>
        <v>Electropolished tube supply to South San Francisco Biotech Cluster, San Francisco Bay Area. Ra from 0.25 um, SF4 finish, mill test certificate with every lot.</v>
      </c>
      <c r="AC264" s="15" t="str">
        <f t="shared" si="13"/>
        <v>OK (158)</v>
      </c>
      <c r="AD264" s="15" t="str">
        <f t="shared" si="14"/>
        <v>Electropolished Pipes Manufacturer in San Francisco Bay Area</v>
      </c>
      <c r="AE264" s="15" t="str">
        <f t="shared" si="15"/>
        <v>Electropolished Pipe &amp; Tube Manufacturing for San Francisco Bay Area - Grades, Finishes &amp; Certification</v>
      </c>
      <c r="AF264" s="15" t="str">
        <f t="shared" si="16"/>
        <v>Electropolished Pipes Supplier in San Francisco Bay Area - Stock Sizes, Lead Time &amp; Delivery</v>
      </c>
      <c r="AG264" s="15" t="str">
        <f t="shared" si="17"/>
        <v>Electropolished Pipes Wholesaler &amp; Stockist in San Francisco Bay Area - Bulk &amp; Project Pricing</v>
      </c>
      <c r="AH264" s="15" t="str">
        <f t="shared" si="18"/>
        <v>electropolished pipes manufacturer in San Francisco Bay Area, electropolished pipes supplier in San Francisco Bay Area, electropolished pipes wholesaler in San Francisco Bay Area, electropolished tube manufacturer San Francisco Bay Area, EP pipe supplier San Francisco Bay Area, sanitary tube supplier San Francisco Bay Area, ASME BPE tubing San Francisco Bay Area, ASTM A270 tube San Francisco Bay Area, SS 316L electropolished pipe San Francisco Bay Area</v>
      </c>
      <c r="AI264" s="15" t="str">
        <f t="shared" si="19"/>
        <v>Electropolished Pipes Manufacturer &amp; Supplier in San Francisco Bay Area</v>
      </c>
      <c r="AJ264" s="15" t="str">
        <f t="shared" si="20"/>
        <v>EP-finished SS 304/316L pipes and tubes for semiconductor plants in San Francisco Bay Area. ASME BPE SF1-SF4, Ra from 0.25 um, EN 10204 3.1 certificate with every lot.</v>
      </c>
      <c r="AK264" s="15" t="str">
        <f t="shared" si="21"/>
        <v>Electropolished stainless steel pipes supplied by Sakshi Forge to semiconductor plants at South San Francisco Biotech Cluster, San Francisco Bay Area</v>
      </c>
      <c r="AL264" s="15" t="str">
        <f t="shared" si="22"/>
        <v>Electropolished SS 316L tube stock for San Francisco Bay Area - Sakshi Forge</v>
      </c>
      <c r="AM264" s="15" t="str">
        <f t="shared" si="23"/>
        <v>Home &gt; Market Area &gt; USA &gt; California &gt; San Francisco Bay Area</v>
      </c>
      <c r="AN264" s="15">
        <f t="shared" si="24"/>
        <v>1400</v>
      </c>
      <c r="AO264" s="15">
        <f t="shared" si="25"/>
        <v>10</v>
      </c>
      <c r="AP264" s="15">
        <f t="shared" si="26"/>
        <v>12</v>
      </c>
      <c r="AQ264" s="15">
        <f t="shared" si="27"/>
        <v>5</v>
      </c>
      <c r="AR264" s="31"/>
      <c r="AS264" s="31"/>
      <c r="AT264" s="35" t="s">
        <v>222</v>
      </c>
      <c r="AU264" s="35"/>
    </row>
    <row r="265" ht="15.75" customHeight="1">
      <c r="A265" s="15" t="s">
        <v>8341</v>
      </c>
      <c r="B265" s="15" t="s">
        <v>221</v>
      </c>
      <c r="C265" s="15" t="s">
        <v>8342</v>
      </c>
      <c r="D265" s="15" t="s">
        <v>8343</v>
      </c>
      <c r="E265" s="15" t="s">
        <v>8343</v>
      </c>
      <c r="F265" s="16" t="s">
        <v>87</v>
      </c>
      <c r="G265" s="17" t="s">
        <v>88</v>
      </c>
      <c r="H265" s="18" t="s">
        <v>8344</v>
      </c>
      <c r="I265" s="18" t="s">
        <v>8345</v>
      </c>
      <c r="J265" s="18" t="s">
        <v>8346</v>
      </c>
      <c r="K265" s="18" t="s">
        <v>1320</v>
      </c>
      <c r="L265" s="18" t="s">
        <v>8347</v>
      </c>
      <c r="M265" s="18" t="s">
        <v>530</v>
      </c>
      <c r="N265" s="18" t="s">
        <v>233</v>
      </c>
      <c r="O265" s="18" t="s">
        <v>98</v>
      </c>
      <c r="P265" s="15" t="str">
        <f t="shared" si="1"/>
        <v>BIOTECH</v>
      </c>
      <c r="Q265" s="15">
        <f t="shared" si="2"/>
        <v>6</v>
      </c>
      <c r="R265" s="15">
        <f t="shared" si="3"/>
        <v>3</v>
      </c>
      <c r="S265" s="15">
        <f t="shared" si="4"/>
        <v>2</v>
      </c>
      <c r="T265" s="15" t="str">
        <f t="shared" si="5"/>
        <v>A-4</v>
      </c>
      <c r="U265" s="15" t="str">
        <f t="shared" si="6"/>
        <v>T6-M3-H2-FA-4-BIOTECH</v>
      </c>
      <c r="V265" s="15">
        <f t="shared" si="7"/>
        <v>0</v>
      </c>
      <c r="W265" s="31"/>
      <c r="X265" s="15" t="str">
        <f t="shared" si="8"/>
        <v>seattle-usa</v>
      </c>
      <c r="Y265" s="32" t="str">
        <f t="shared" si="9"/>
        <v>https://steelmanufacturer.in/market-area/electropolished-pipes-manufacturer-in-seattle-usa/</v>
      </c>
      <c r="Z265" s="15" t="str">
        <f t="shared" si="10"/>
        <v>Electropolished Pipes Manufacturer in Seattle</v>
      </c>
      <c r="AA265" s="15" t="str">
        <f t="shared" si="11"/>
        <v>OK (45)</v>
      </c>
      <c r="AB265" s="15" t="str">
        <f t="shared" si="12"/>
        <v>EP stainless tube for biotech lines in Seattle. 28-35 days sea from Nhava Sheva to US East Coast. ASTM A270 S2, PMI tested, EN 10204 3.1.</v>
      </c>
      <c r="AC265" s="15" t="str">
        <f t="shared" si="13"/>
        <v>OK (137)</v>
      </c>
      <c r="AD265" s="15" t="str">
        <f t="shared" si="14"/>
        <v>Electropolished Pipes Manufacturer in Seattle</v>
      </c>
      <c r="AE265" s="15" t="str">
        <f t="shared" si="15"/>
        <v>How We Manufacture Electropolished Tube for Seattle Plants</v>
      </c>
      <c r="AF265" s="15" t="str">
        <f t="shared" si="16"/>
        <v>Supplying Electropolished Pipes in Seattle: Availability, Sizes &amp; Dispatch</v>
      </c>
      <c r="AG265" s="15" t="str">
        <f t="shared" si="17"/>
        <v>Wholesale Electropolished Pipe Supply for Seattle Projects</v>
      </c>
      <c r="AH265" s="15" t="str">
        <f t="shared" si="18"/>
        <v>electropolished pipes manufacturer in Seattle, electropolished pipes supplier in Seattle, electropolished pipes wholesaler in Seattle, electropolished tube manufacturer Seattle, EP pipe supplier Seattle, sanitary tube supplier Seattle, ASME BPE tubing Seattle, ASTM A270 tube Seattle, SS 316L electropolished pipe Seattle</v>
      </c>
      <c r="AI265" s="15" t="str">
        <f t="shared" si="19"/>
        <v>Electropolished Pipes Manufacturer &amp; Supplier in Seattle</v>
      </c>
      <c r="AJ265" s="15" t="str">
        <f t="shared" si="20"/>
        <v>EP-finished SS 304/316L pipes and tubes for biotech plants in Seattle. ASME BPE SF1-SF4, Ra from 0.25 um, EN 10204 3.1 certificate with every lot.</v>
      </c>
      <c r="AK265" s="15" t="str">
        <f t="shared" si="21"/>
        <v>Electropolished stainless steel pipes supplied by Sakshi Forge to biotech plants at Bothell Biotech Corridor, Seattle</v>
      </c>
      <c r="AL265" s="15" t="str">
        <f t="shared" si="22"/>
        <v>Electropolished SS 316L tube stock for Seattle - Sakshi Forge</v>
      </c>
      <c r="AM265" s="15" t="str">
        <f t="shared" si="23"/>
        <v>Home &gt; Market Area &gt; USA &gt; Washington &gt; Seattle</v>
      </c>
      <c r="AN265" s="15">
        <f t="shared" si="24"/>
        <v>1400</v>
      </c>
      <c r="AO265" s="15">
        <f t="shared" si="25"/>
        <v>10</v>
      </c>
      <c r="AP265" s="15">
        <f t="shared" si="26"/>
        <v>12</v>
      </c>
      <c r="AQ265" s="15">
        <f t="shared" si="27"/>
        <v>5</v>
      </c>
      <c r="AR265" s="31"/>
      <c r="AS265" s="31"/>
      <c r="AT265" s="35" t="s">
        <v>222</v>
      </c>
      <c r="AU265" s="35"/>
    </row>
    <row r="266" ht="15.75" customHeight="1">
      <c r="A266" s="15" t="s">
        <v>8348</v>
      </c>
      <c r="B266" s="15" t="s">
        <v>454</v>
      </c>
      <c r="C266" s="15" t="s">
        <v>8349</v>
      </c>
      <c r="D266" s="15" t="s">
        <v>8350</v>
      </c>
      <c r="E266" s="15" t="s">
        <v>8350</v>
      </c>
      <c r="F266" s="16" t="s">
        <v>87</v>
      </c>
      <c r="G266" s="17" t="s">
        <v>88</v>
      </c>
      <c r="H266" s="18" t="s">
        <v>8351</v>
      </c>
      <c r="I266" s="18" t="s">
        <v>8352</v>
      </c>
      <c r="J266" s="18" t="s">
        <v>8353</v>
      </c>
      <c r="K266" s="18" t="s">
        <v>4868</v>
      </c>
      <c r="L266" s="18" t="s">
        <v>8354</v>
      </c>
      <c r="M266" s="18" t="s">
        <v>660</v>
      </c>
      <c r="N266" s="18" t="s">
        <v>461</v>
      </c>
      <c r="O266" s="18" t="s">
        <v>98</v>
      </c>
      <c r="P266" s="15" t="str">
        <f t="shared" si="1"/>
        <v>SEMI</v>
      </c>
      <c r="Q266" s="15">
        <f t="shared" si="2"/>
        <v>7</v>
      </c>
      <c r="R266" s="15">
        <f t="shared" si="3"/>
        <v>4</v>
      </c>
      <c r="S266" s="15">
        <f t="shared" si="4"/>
        <v>3</v>
      </c>
      <c r="T266" s="15" t="str">
        <f t="shared" si="5"/>
        <v>A-5</v>
      </c>
      <c r="U266" s="15" t="str">
        <f t="shared" si="6"/>
        <v>T7-M4-H3-FA-5-SEMI</v>
      </c>
      <c r="V266" s="15">
        <f t="shared" si="7"/>
        <v>0</v>
      </c>
      <c r="W266" s="31"/>
      <c r="X266" s="15" t="str">
        <f t="shared" si="8"/>
        <v>bac-giang-vietnam</v>
      </c>
      <c r="Y266" s="32" t="str">
        <f t="shared" si="9"/>
        <v>https://steelmanufacturer.in/market-area/electropolished-pipes-manufacturer-in-bac-giang-vietnam/</v>
      </c>
      <c r="Z266" s="15" t="str">
        <f t="shared" si="10"/>
        <v>Electropolished Pipes Manufacturer in Bac Giang</v>
      </c>
      <c r="AA266" s="15" t="str">
        <f t="shared" si="11"/>
        <v>OK (47)</v>
      </c>
      <c r="AB266" s="15" t="str">
        <f t="shared" si="12"/>
        <v>Sanitary electropolished pipes in Bac Giang for semiconductor plants. ASME BPE SF1-SF4, orbital-weld ready, 3.1 MTC. Mumbai-made.</v>
      </c>
      <c r="AC266" s="15" t="str">
        <f t="shared" si="13"/>
        <v>OK (129)</v>
      </c>
      <c r="AD266" s="15" t="str">
        <f t="shared" si="14"/>
        <v>Electropolished Pipes Manufacturer in Bac Giang</v>
      </c>
      <c r="AE266" s="15" t="str">
        <f t="shared" si="15"/>
        <v>Electropolished Pipes Manufacturer in Bac Giang - Our Process &amp; Capability</v>
      </c>
      <c r="AF266" s="15" t="str">
        <f t="shared" si="16"/>
        <v>Electropolished Pipes Supplier in Bac Giang - What We Hold in Stock</v>
      </c>
      <c r="AG266" s="15" t="str">
        <f t="shared" si="17"/>
        <v>Bulk &amp; Wholesale Electropolished Pipe Rates for Bac Giang Buyers</v>
      </c>
      <c r="AH266" s="15" t="str">
        <f t="shared" si="18"/>
        <v>electropolished pipes manufacturer in Bac Giang, electropolished pipes supplier in Bac Giang, electropolished pipes wholesaler in Bac Giang, electropolished tube manufacturer Bac Giang, EP pipe supplier Bac Giang, sanitary tube supplier Bac Giang, ASME BPE tubing Bac Giang, ASTM A270 tube Bac Giang, SS 316L electropolished pipe Bac Giang</v>
      </c>
      <c r="AI266" s="15" t="str">
        <f t="shared" si="19"/>
        <v>Electropolished Pipes Manufacturer &amp; Supplier in Bac Giang</v>
      </c>
      <c r="AJ266" s="15" t="str">
        <f t="shared" si="20"/>
        <v>EP-finished SS 304/316L pipes and tubes for semiconductor plants in Bac Giang. ASME BPE SF1-SF4, Ra from 0.25 um, EN 10204 3.1 certificate with every lot.</v>
      </c>
      <c r="AK266" s="15" t="str">
        <f t="shared" si="21"/>
        <v>Electropolished stainless steel pipes supplied by Sakshi Forge to semiconductor plants at Van Trung IP, Bac Giang</v>
      </c>
      <c r="AL266" s="15" t="str">
        <f t="shared" si="22"/>
        <v>Electropolished SS 316L tube stock for Bac Giang - Sakshi Forge</v>
      </c>
      <c r="AM266" s="15" t="str">
        <f t="shared" si="23"/>
        <v>Home &gt; Market Area &gt; Vietnam &gt; Northeast &gt; Bac Giang</v>
      </c>
      <c r="AN266" s="15">
        <f t="shared" si="24"/>
        <v>1400</v>
      </c>
      <c r="AO266" s="15">
        <f t="shared" si="25"/>
        <v>10</v>
      </c>
      <c r="AP266" s="15">
        <f t="shared" si="26"/>
        <v>12</v>
      </c>
      <c r="AQ266" s="15">
        <f t="shared" si="27"/>
        <v>5</v>
      </c>
      <c r="AR266" s="31"/>
      <c r="AS266" s="31"/>
      <c r="AT266" s="35" t="s">
        <v>222</v>
      </c>
      <c r="AU266" s="35"/>
    </row>
    <row r="267" ht="15.75" customHeight="1">
      <c r="A267" s="15" t="s">
        <v>8355</v>
      </c>
      <c r="B267" s="15" t="s">
        <v>454</v>
      </c>
      <c r="C267" s="15" t="s">
        <v>8356</v>
      </c>
      <c r="D267" s="15" t="s">
        <v>8357</v>
      </c>
      <c r="E267" s="15" t="s">
        <v>8357</v>
      </c>
      <c r="F267" s="16" t="s">
        <v>87</v>
      </c>
      <c r="G267" s="17" t="s">
        <v>88</v>
      </c>
      <c r="H267" s="18" t="s">
        <v>8358</v>
      </c>
      <c r="I267" s="18" t="s">
        <v>8359</v>
      </c>
      <c r="J267" s="18" t="s">
        <v>8360</v>
      </c>
      <c r="K267" s="18" t="s">
        <v>4868</v>
      </c>
      <c r="L267" s="18" t="s">
        <v>8354</v>
      </c>
      <c r="M267" s="18" t="s">
        <v>660</v>
      </c>
      <c r="N267" s="18" t="s">
        <v>461</v>
      </c>
      <c r="O267" s="18" t="s">
        <v>98</v>
      </c>
      <c r="P267" s="15" t="str">
        <f t="shared" si="1"/>
        <v>SEMI</v>
      </c>
      <c r="Q267" s="15">
        <f t="shared" si="2"/>
        <v>8</v>
      </c>
      <c r="R267" s="15">
        <f t="shared" si="3"/>
        <v>5</v>
      </c>
      <c r="S267" s="15">
        <f t="shared" si="4"/>
        <v>4</v>
      </c>
      <c r="T267" s="15" t="str">
        <f t="shared" si="5"/>
        <v>A-6</v>
      </c>
      <c r="U267" s="15" t="str">
        <f t="shared" si="6"/>
        <v>T8-M5-H4-FA-6-SEMI</v>
      </c>
      <c r="V267" s="15">
        <f t="shared" si="7"/>
        <v>0</v>
      </c>
      <c r="W267" s="31"/>
      <c r="X267" s="15" t="str">
        <f t="shared" si="8"/>
        <v>bac-ninh-vietnam</v>
      </c>
      <c r="Y267" s="32" t="str">
        <f t="shared" si="9"/>
        <v>https://steelmanufacturer.in/market-area/electropolished-pipes-manufacturer-in-bac-ninh-vietnam/</v>
      </c>
      <c r="Z267" s="15" t="str">
        <f t="shared" si="10"/>
        <v>Electropolished Pipes Manufacturer in Bac Ninh - EP Tube Stockist</v>
      </c>
      <c r="AA267" s="15" t="str">
        <f t="shared" si="11"/>
        <v>OK (65)</v>
      </c>
      <c r="AB267" s="15" t="str">
        <f t="shared" si="12"/>
        <v>Manufacturer of electropolished SS 316L tube serving Bac Ninh. 12-16 days sea from Nhava Sheva to Hai Phong. Ra 0.25-0.5 um, EN 10204 3.1 MTC.</v>
      </c>
      <c r="AC267" s="15" t="str">
        <f t="shared" si="13"/>
        <v>OK (142)</v>
      </c>
      <c r="AD267" s="15" t="str">
        <f t="shared" si="14"/>
        <v>Electropolished Pipes Manufacturer in Bac Ninh</v>
      </c>
      <c r="AE267" s="15" t="str">
        <f t="shared" si="15"/>
        <v>Manufacturing Electropolished SS Tube for Bac Ninh: The Standards We Build To</v>
      </c>
      <c r="AF267" s="15" t="str">
        <f t="shared" si="16"/>
        <v>Electropolished Pipe Supply Into Bac Ninh - Certification &amp; Transit</v>
      </c>
      <c r="AG267" s="15" t="str">
        <f t="shared" si="17"/>
        <v>Electropolished Pipes Wholesaler in Bac Ninh - Project Quantities &amp; Terms</v>
      </c>
      <c r="AH267" s="15" t="str">
        <f t="shared" si="18"/>
        <v>electropolished pipes manufacturer in Bac Ninh, electropolished pipes supplier in Bac Ninh, electropolished pipes wholesaler in Bac Ninh, electropolished tube manufacturer Bac Ninh, EP pipe supplier Bac Ninh, sanitary tube supplier Bac Ninh, ASME BPE tubing Bac Ninh, ASTM A270 tube Bac Ninh, SS 316L electropolished pipe Bac Ninh</v>
      </c>
      <c r="AI267" s="15" t="str">
        <f t="shared" si="19"/>
        <v>Electropolished Pipes Manufacturer &amp; Supplier in Bac Ninh</v>
      </c>
      <c r="AJ267" s="15" t="str">
        <f t="shared" si="20"/>
        <v>EP-finished SS 304/316L pipes and tubes for semiconductor plants in Bac Ninh. ASME BPE SF1-SF4, Ra from 0.25 um, EN 10204 3.1 certificate with every lot.</v>
      </c>
      <c r="AK267" s="15" t="str">
        <f t="shared" si="21"/>
        <v>Electropolished stainless steel pipes supplied by Sakshi Forge to semiconductor plants at VSIP Bac Ninh, Bac Ninh</v>
      </c>
      <c r="AL267" s="15" t="str">
        <f t="shared" si="22"/>
        <v>Electropolished SS 316L tube stock for Bac Ninh - Sakshi Forge</v>
      </c>
      <c r="AM267" s="15" t="str">
        <f t="shared" si="23"/>
        <v>Home &gt; Market Area &gt; Vietnam &gt; Red River Delta &gt; Bac Ninh</v>
      </c>
      <c r="AN267" s="15">
        <f t="shared" si="24"/>
        <v>1400</v>
      </c>
      <c r="AO267" s="15">
        <f t="shared" si="25"/>
        <v>10</v>
      </c>
      <c r="AP267" s="15">
        <f t="shared" si="26"/>
        <v>12</v>
      </c>
      <c r="AQ267" s="15">
        <f t="shared" si="27"/>
        <v>5</v>
      </c>
      <c r="AR267" s="31"/>
      <c r="AS267" s="31"/>
      <c r="AT267" s="35" t="s">
        <v>222</v>
      </c>
      <c r="AU267" s="35"/>
    </row>
    <row r="268" ht="15.75" customHeight="1">
      <c r="A268" s="15" t="s">
        <v>8361</v>
      </c>
      <c r="B268" s="15" t="s">
        <v>454</v>
      </c>
      <c r="C268" s="15" t="s">
        <v>8362</v>
      </c>
      <c r="D268" s="15" t="s">
        <v>8363</v>
      </c>
      <c r="E268" s="15" t="s">
        <v>8363</v>
      </c>
      <c r="F268" s="16" t="s">
        <v>87</v>
      </c>
      <c r="G268" s="17" t="s">
        <v>88</v>
      </c>
      <c r="H268" s="18" t="s">
        <v>8364</v>
      </c>
      <c r="I268" s="18" t="s">
        <v>8365</v>
      </c>
      <c r="J268" s="18" t="s">
        <v>7353</v>
      </c>
      <c r="K268" s="18" t="s">
        <v>969</v>
      </c>
      <c r="L268" s="18" t="s">
        <v>8366</v>
      </c>
      <c r="M268" s="18" t="s">
        <v>660</v>
      </c>
      <c r="N268" s="18" t="s">
        <v>461</v>
      </c>
      <c r="O268" s="18" t="s">
        <v>98</v>
      </c>
      <c r="P268" s="15" t="str">
        <f t="shared" si="1"/>
        <v>SEMI</v>
      </c>
      <c r="Q268" s="15">
        <f t="shared" si="2"/>
        <v>1</v>
      </c>
      <c r="R268" s="15">
        <f t="shared" si="3"/>
        <v>6</v>
      </c>
      <c r="S268" s="15">
        <f t="shared" si="4"/>
        <v>5</v>
      </c>
      <c r="T268" s="15" t="str">
        <f t="shared" si="5"/>
        <v>A-1</v>
      </c>
      <c r="U268" s="15" t="str">
        <f t="shared" si="6"/>
        <v>T1-M6-H5-FA-1-SEMI</v>
      </c>
      <c r="V268" s="15">
        <f t="shared" si="7"/>
        <v>0</v>
      </c>
      <c r="W268" s="31"/>
      <c r="X268" s="15" t="str">
        <f t="shared" si="8"/>
        <v>binh-duong-vietnam</v>
      </c>
      <c r="Y268" s="32" t="str">
        <f t="shared" si="9"/>
        <v>https://steelmanufacturer.in/market-area/electropolished-pipes-manufacturer-in-binh-duong-vietnam/</v>
      </c>
      <c r="Z268" s="15" t="str">
        <f t="shared" si="10"/>
        <v>Electropolished Pipes Manufacturer in Binh Duong | Sakshi Forge</v>
      </c>
      <c r="AA268" s="15" t="str">
        <f t="shared" si="11"/>
        <v>OK (63)</v>
      </c>
      <c r="AB268" s="15" t="str">
        <f t="shared" si="12"/>
        <v>EP tube and pipe for electronics &amp; pharma plants around VSIP I and II, Binh Duong. Made at our Mumbai works to ASTM A270 and ASME BPE SF1-SF4, with 3.1 MTC.</v>
      </c>
      <c r="AC268" s="15" t="str">
        <f t="shared" si="13"/>
        <v>OK (156)</v>
      </c>
      <c r="AD268" s="15" t="str">
        <f t="shared" si="14"/>
        <v>Electropolished Pipes Manufacturer in Binh Duong</v>
      </c>
      <c r="AE268" s="15" t="str">
        <f t="shared" si="15"/>
        <v>Electropolished Tube Manufacturing Capability Serving Binh Duong</v>
      </c>
      <c r="AF268" s="15" t="str">
        <f t="shared" si="16"/>
        <v>Electropolished Pipes Supplier in Binh Duong - From Order to Delivery</v>
      </c>
      <c r="AG268" s="15" t="str">
        <f t="shared" si="17"/>
        <v>Stockist &amp; Wholesale Supply of Electropolished Pipes in Binh Duong</v>
      </c>
      <c r="AH268" s="15" t="str">
        <f t="shared" si="18"/>
        <v>electropolished pipes manufacturer in Binh Duong, electropolished pipes supplier in Binh Duong, electropolished pipes wholesaler in Binh Duong, electropolished tube manufacturer Binh Duong, EP pipe supplier Binh Duong, sanitary tube supplier Binh Duong, ASME BPE tubing Binh Duong, ASTM A270 tube Binh Duong, SS 316L electropolished pipe Binh Duong</v>
      </c>
      <c r="AI268" s="15" t="str">
        <f t="shared" si="19"/>
        <v>Electropolished Pipes Manufacturer &amp; Supplier in Binh Duong</v>
      </c>
      <c r="AJ268" s="15" t="str">
        <f t="shared" si="20"/>
        <v>EP-finished SS 304/316L pipes and tubes for electronics &amp; pharma plants in Binh Duong. ASME BPE SF1-SF4, Ra from 0.25 um, EN 10204 3.1 certificate with every lot.</v>
      </c>
      <c r="AK268" s="15" t="str">
        <f t="shared" si="21"/>
        <v>Electropolished stainless steel pipes supplied by Sakshi Forge to electronics &amp; pharma plants at VSIP I and II, Binh Duong</v>
      </c>
      <c r="AL268" s="15" t="str">
        <f t="shared" si="22"/>
        <v>Electropolished SS 316L tube stock for Binh Duong - Sakshi Forge</v>
      </c>
      <c r="AM268" s="15" t="str">
        <f t="shared" si="23"/>
        <v>Home &gt; Market Area &gt; Vietnam &gt; Southeast &gt; Binh Duong</v>
      </c>
      <c r="AN268" s="15">
        <f t="shared" si="24"/>
        <v>1400</v>
      </c>
      <c r="AO268" s="15">
        <f t="shared" si="25"/>
        <v>10</v>
      </c>
      <c r="AP268" s="15">
        <f t="shared" si="26"/>
        <v>12</v>
      </c>
      <c r="AQ268" s="15">
        <f t="shared" si="27"/>
        <v>5</v>
      </c>
      <c r="AR268" s="31"/>
      <c r="AS268" s="31"/>
      <c r="AT268" s="35" t="s">
        <v>222</v>
      </c>
      <c r="AU268" s="35"/>
    </row>
    <row r="269" ht="15.75" customHeight="1">
      <c r="A269" s="15" t="s">
        <v>8367</v>
      </c>
      <c r="B269" s="15" t="s">
        <v>454</v>
      </c>
      <c r="C269" s="15" t="s">
        <v>8362</v>
      </c>
      <c r="D269" s="15" t="s">
        <v>8368</v>
      </c>
      <c r="E269" s="15" t="s">
        <v>8368</v>
      </c>
      <c r="F269" s="16" t="s">
        <v>87</v>
      </c>
      <c r="G269" s="17" t="s">
        <v>88</v>
      </c>
      <c r="H269" s="18" t="s">
        <v>8369</v>
      </c>
      <c r="I269" s="18" t="s">
        <v>8370</v>
      </c>
      <c r="J269" s="18" t="s">
        <v>8371</v>
      </c>
      <c r="K269" s="18" t="s">
        <v>229</v>
      </c>
      <c r="L269" s="18" t="s">
        <v>8366</v>
      </c>
      <c r="M269" s="18" t="s">
        <v>660</v>
      </c>
      <c r="N269" s="18" t="s">
        <v>461</v>
      </c>
      <c r="O269" s="18" t="s">
        <v>98</v>
      </c>
      <c r="P269" s="15" t="str">
        <f t="shared" si="1"/>
        <v>PHARMA</v>
      </c>
      <c r="Q269" s="15">
        <f t="shared" si="2"/>
        <v>2</v>
      </c>
      <c r="R269" s="15">
        <f t="shared" si="3"/>
        <v>7</v>
      </c>
      <c r="S269" s="15">
        <f t="shared" si="4"/>
        <v>1</v>
      </c>
      <c r="T269" s="15" t="str">
        <f t="shared" si="5"/>
        <v>A-2</v>
      </c>
      <c r="U269" s="15" t="str">
        <f t="shared" si="6"/>
        <v>T2-M7-H1-FA-2-PHARMA</v>
      </c>
      <c r="V269" s="15">
        <f t="shared" si="7"/>
        <v>0</v>
      </c>
      <c r="W269" s="31"/>
      <c r="X269" s="15" t="str">
        <f t="shared" si="8"/>
        <v>dong-nai-vietnam</v>
      </c>
      <c r="Y269" s="32" t="str">
        <f t="shared" si="9"/>
        <v>https://steelmanufacturer.in/market-area/electropolished-pipes-manufacturer-in-dong-nai-vietnam/</v>
      </c>
      <c r="Z269" s="15" t="str">
        <f t="shared" si="10"/>
        <v>Electropolished Pipes Manufacturer in Dong Nai</v>
      </c>
      <c r="AA269" s="15" t="str">
        <f t="shared" si="11"/>
        <v>OK (46)</v>
      </c>
      <c r="AB269" s="15" t="str">
        <f t="shared" si="12"/>
        <v>Electropolished pipes in Dong Nai: 304, 304L, 316 and 316L in SF1-SF4. 12-16 days sea from Nhava Sheva to Hai Phong. Mill certified.</v>
      </c>
      <c r="AC269" s="15" t="str">
        <f t="shared" si="13"/>
        <v>OK (132)</v>
      </c>
      <c r="AD269" s="15" t="str">
        <f t="shared" si="14"/>
        <v>Electropolished Pipes Manufacturer in Dong Nai</v>
      </c>
      <c r="AE269" s="15" t="str">
        <f t="shared" si="15"/>
        <v>Electropolished Pipe &amp; Tube Manufacturing for Dong Nai - Grades, Finishes &amp; Certification</v>
      </c>
      <c r="AF269" s="15" t="str">
        <f t="shared" si="16"/>
        <v>Electropolished Pipes Supplier in Dong Nai - Stock Sizes, Lead Time &amp; Delivery</v>
      </c>
      <c r="AG269" s="15" t="str">
        <f t="shared" si="17"/>
        <v>Electropolished Pipes Wholesaler &amp; Stockist in Dong Nai - Bulk &amp; Project Pricing</v>
      </c>
      <c r="AH269" s="15" t="str">
        <f t="shared" si="18"/>
        <v>electropolished pipes manufacturer in Dong Nai, electropolished pipes supplier in Dong Nai, electropolished pipes wholesaler in Dong Nai, electropolished tube manufacturer Dong Nai, EP pipe supplier Dong Nai, sanitary tube supplier Dong Nai, ASME BPE tubing Dong Nai, ASTM A270 tube Dong Nai, SS 316L electropolished pipe Dong Nai</v>
      </c>
      <c r="AI269" s="15" t="str">
        <f t="shared" si="19"/>
        <v>Electropolished Pipes Manufacturer &amp; Supplier in Dong Nai</v>
      </c>
      <c r="AJ269" s="15" t="str">
        <f t="shared" si="20"/>
        <v>EP-finished SS 304/316L pipes and tubes for pharma plants in Dong Nai. ASME BPE SF1-SF4, Ra from 0.25 um, EN 10204 3.1 certificate with every lot.</v>
      </c>
      <c r="AK269" s="15" t="str">
        <f t="shared" si="21"/>
        <v>Electropolished stainless steel pipes supplied by Sakshi Forge to pharma plants at Bien Hoa II Industrial Zone, Dong Nai</v>
      </c>
      <c r="AL269" s="15" t="str">
        <f t="shared" si="22"/>
        <v>Electropolished SS 316L tube stock for Dong Nai - Sakshi Forge</v>
      </c>
      <c r="AM269" s="15" t="str">
        <f t="shared" si="23"/>
        <v>Home &gt; Market Area &gt; Vietnam &gt; Southeast &gt; Dong Nai</v>
      </c>
      <c r="AN269" s="15">
        <f t="shared" si="24"/>
        <v>1400</v>
      </c>
      <c r="AO269" s="15">
        <f t="shared" si="25"/>
        <v>10</v>
      </c>
      <c r="AP269" s="15">
        <f t="shared" si="26"/>
        <v>12</v>
      </c>
      <c r="AQ269" s="15">
        <f t="shared" si="27"/>
        <v>5</v>
      </c>
      <c r="AR269" s="31"/>
      <c r="AS269" s="31"/>
      <c r="AT269" s="35" t="s">
        <v>222</v>
      </c>
      <c r="AU269" s="35"/>
    </row>
    <row r="270" ht="15.75" customHeight="1">
      <c r="A270" s="15" t="s">
        <v>8372</v>
      </c>
      <c r="B270" s="15" t="s">
        <v>454</v>
      </c>
      <c r="C270" s="15" t="s">
        <v>8356</v>
      </c>
      <c r="D270" s="15" t="s">
        <v>8373</v>
      </c>
      <c r="E270" s="15" t="s">
        <v>8373</v>
      </c>
      <c r="F270" s="16" t="s">
        <v>87</v>
      </c>
      <c r="G270" s="17" t="s">
        <v>88</v>
      </c>
      <c r="H270" s="18" t="s">
        <v>8374</v>
      </c>
      <c r="I270" s="18" t="s">
        <v>8375</v>
      </c>
      <c r="J270" s="18" t="s">
        <v>8376</v>
      </c>
      <c r="K270" s="18" t="s">
        <v>1730</v>
      </c>
      <c r="L270" s="18" t="s">
        <v>8354</v>
      </c>
      <c r="M270" s="18" t="s">
        <v>660</v>
      </c>
      <c r="N270" s="18" t="s">
        <v>461</v>
      </c>
      <c r="O270" s="18" t="s">
        <v>98</v>
      </c>
      <c r="P270" s="15" t="str">
        <f t="shared" si="1"/>
        <v>SEMI</v>
      </c>
      <c r="Q270" s="15">
        <f t="shared" si="2"/>
        <v>3</v>
      </c>
      <c r="R270" s="15">
        <f t="shared" si="3"/>
        <v>1</v>
      </c>
      <c r="S270" s="15">
        <f t="shared" si="4"/>
        <v>2</v>
      </c>
      <c r="T270" s="15" t="str">
        <f t="shared" si="5"/>
        <v>A-3</v>
      </c>
      <c r="U270" s="15" t="str">
        <f t="shared" si="6"/>
        <v>T3-M1-H2-FA-3-SEMI</v>
      </c>
      <c r="V270" s="15">
        <f t="shared" si="7"/>
        <v>0</v>
      </c>
      <c r="W270" s="31"/>
      <c r="X270" s="15" t="str">
        <f t="shared" si="8"/>
        <v>hai-phong-vietnam</v>
      </c>
      <c r="Y270" s="32" t="str">
        <f t="shared" si="9"/>
        <v>https://steelmanufacturer.in/market-area/electropolished-pipes-manufacturer-in-hai-phong-vietnam/</v>
      </c>
      <c r="Z270" s="15" t="str">
        <f t="shared" si="10"/>
        <v>Electropolished Pipes Manufacturer in Hai Phong</v>
      </c>
      <c r="AA270" s="15" t="str">
        <f t="shared" si="11"/>
        <v>OK (47)</v>
      </c>
      <c r="AB270" s="15" t="str">
        <f t="shared" si="12"/>
        <v>EP-finished SS 304/316L pipes &amp; tubes for electronics plants in Hai Phong. ASTM A270, ASME BPE SF1-SF4, EN 10204 3.1 MTC. PMI tested.</v>
      </c>
      <c r="AC270" s="15" t="str">
        <f t="shared" si="13"/>
        <v>OK (133)</v>
      </c>
      <c r="AD270" s="15" t="str">
        <f t="shared" si="14"/>
        <v>Electropolished Pipes Manufacturer in Hai Phong</v>
      </c>
      <c r="AE270" s="15" t="str">
        <f t="shared" si="15"/>
        <v>How We Manufacture Electropolished Tube for Hai Phong Plants</v>
      </c>
      <c r="AF270" s="15" t="str">
        <f t="shared" si="16"/>
        <v>Supplying Electropolished Pipes in Hai Phong: Availability, Sizes &amp; Dispatch</v>
      </c>
      <c r="AG270" s="15" t="str">
        <f t="shared" si="17"/>
        <v>Wholesale Electropolished Pipe Supply for Hai Phong Projects</v>
      </c>
      <c r="AH270" s="15" t="str">
        <f t="shared" si="18"/>
        <v>electropolished pipes manufacturer in Hai Phong, electropolished pipes supplier in Hai Phong, electropolished pipes wholesaler in Hai Phong, electropolished tube manufacturer Hai Phong, EP pipe supplier Hai Phong, sanitary tube supplier Hai Phong, ASME BPE tubing Hai Phong, ASTM A270 tube Hai Phong, SS 316L electropolished pipe Hai Phong</v>
      </c>
      <c r="AI270" s="15" t="str">
        <f t="shared" si="19"/>
        <v>Electropolished Pipes Manufacturer &amp; Supplier in Hai Phong</v>
      </c>
      <c r="AJ270" s="15" t="str">
        <f t="shared" si="20"/>
        <v>EP-finished SS 304/316L pipes and tubes for electronics plants in Hai Phong. ASME BPE SF1-SF4, Ra from 0.25 um, EN 10204 3.1 certificate with every lot.</v>
      </c>
      <c r="AK270" s="15" t="str">
        <f t="shared" si="21"/>
        <v>Electropolished stainless steel pipes supplied by Sakshi Forge to electronics plants at Dinh Vu Industrial Zone, Hai Phong</v>
      </c>
      <c r="AL270" s="15" t="str">
        <f t="shared" si="22"/>
        <v>Electropolished SS 316L tube stock for Hai Phong - Sakshi Forge</v>
      </c>
      <c r="AM270" s="15" t="str">
        <f t="shared" si="23"/>
        <v>Home &gt; Market Area &gt; Vietnam &gt; Red River Delta &gt; Hai Phong</v>
      </c>
      <c r="AN270" s="15">
        <f t="shared" si="24"/>
        <v>1400</v>
      </c>
      <c r="AO270" s="15">
        <f t="shared" si="25"/>
        <v>10</v>
      </c>
      <c r="AP270" s="15">
        <f t="shared" si="26"/>
        <v>12</v>
      </c>
      <c r="AQ270" s="15">
        <f t="shared" si="27"/>
        <v>5</v>
      </c>
      <c r="AR270" s="31"/>
      <c r="AS270" s="31"/>
      <c r="AT270" s="35" t="s">
        <v>222</v>
      </c>
      <c r="AU270" s="35"/>
    </row>
    <row r="271" ht="15.75" customHeight="1">
      <c r="A271" s="15" t="s">
        <v>8377</v>
      </c>
      <c r="B271" s="15" t="s">
        <v>454</v>
      </c>
      <c r="C271" s="15" t="s">
        <v>8356</v>
      </c>
      <c r="D271" s="15" t="s">
        <v>8378</v>
      </c>
      <c r="E271" s="15" t="s">
        <v>8378</v>
      </c>
      <c r="F271" s="16" t="s">
        <v>87</v>
      </c>
      <c r="G271" s="17" t="s">
        <v>88</v>
      </c>
      <c r="H271" s="18" t="s">
        <v>8379</v>
      </c>
      <c r="I271" s="18" t="s">
        <v>8380</v>
      </c>
      <c r="J271" s="18" t="s">
        <v>7353</v>
      </c>
      <c r="K271" s="18" t="s">
        <v>969</v>
      </c>
      <c r="L271" s="18" t="s">
        <v>8354</v>
      </c>
      <c r="M271" s="18" t="s">
        <v>660</v>
      </c>
      <c r="N271" s="18" t="s">
        <v>461</v>
      </c>
      <c r="O271" s="18" t="s">
        <v>98</v>
      </c>
      <c r="P271" s="15" t="str">
        <f t="shared" si="1"/>
        <v>SEMI</v>
      </c>
      <c r="Q271" s="15">
        <f t="shared" si="2"/>
        <v>4</v>
      </c>
      <c r="R271" s="15">
        <f t="shared" si="3"/>
        <v>2</v>
      </c>
      <c r="S271" s="15">
        <f t="shared" si="4"/>
        <v>3</v>
      </c>
      <c r="T271" s="15" t="str">
        <f t="shared" si="5"/>
        <v>A-4</v>
      </c>
      <c r="U271" s="15" t="str">
        <f t="shared" si="6"/>
        <v>T4-M2-H3-FA-4-SEMI</v>
      </c>
      <c r="V271" s="15">
        <f t="shared" si="7"/>
        <v>0</v>
      </c>
      <c r="W271" s="31"/>
      <c r="X271" s="15" t="str">
        <f t="shared" si="8"/>
        <v>hanoi-vietnam</v>
      </c>
      <c r="Y271" s="32" t="str">
        <f t="shared" si="9"/>
        <v>https://steelmanufacturer.in/market-area/electropolished-pipes-manufacturer-in-hanoi-vietnam/</v>
      </c>
      <c r="Z271" s="15" t="str">
        <f t="shared" si="10"/>
        <v>Electropolished Pipes Manufacturer in Hanoi - SS 304/316L EP Tube</v>
      </c>
      <c r="AA271" s="15" t="str">
        <f t="shared" si="11"/>
        <v>OK (65)</v>
      </c>
      <c r="AB271" s="15" t="str">
        <f t="shared" si="12"/>
        <v>Electropolished tube supply to Thang Long Industrial Park, Hanoi. Ra from 0.25 um, SF4 finish, mill test certificate with every lot.</v>
      </c>
      <c r="AC271" s="15" t="str">
        <f t="shared" si="13"/>
        <v>OK (132)</v>
      </c>
      <c r="AD271" s="15" t="str">
        <f t="shared" si="14"/>
        <v>Electropolished Pipes Manufacturer in Hanoi</v>
      </c>
      <c r="AE271" s="15" t="str">
        <f t="shared" si="15"/>
        <v>Electropolished Pipes Manufacturer in Hanoi - Our Process &amp; Capability</v>
      </c>
      <c r="AF271" s="15" t="str">
        <f t="shared" si="16"/>
        <v>Electropolished Pipes Supplier in Hanoi - What We Hold in Stock</v>
      </c>
      <c r="AG271" s="15" t="str">
        <f t="shared" si="17"/>
        <v>Bulk &amp; Wholesale Electropolished Pipe Rates for Hanoi Buyers</v>
      </c>
      <c r="AH271" s="15" t="str">
        <f t="shared" si="18"/>
        <v>electropolished pipes manufacturer in Hanoi, electropolished pipes supplier in Hanoi, electropolished pipes wholesaler in Hanoi, electropolished tube manufacturer Hanoi, EP pipe supplier Hanoi, sanitary tube supplier Hanoi, ASME BPE tubing Hanoi, ASTM A270 tube Hanoi, SS 316L electropolished pipe Hanoi</v>
      </c>
      <c r="AI271" s="15" t="str">
        <f t="shared" si="19"/>
        <v>Electropolished Pipes Manufacturer &amp; Supplier in Hanoi</v>
      </c>
      <c r="AJ271" s="15" t="str">
        <f t="shared" si="20"/>
        <v>EP-finished SS 304/316L pipes and tubes for electronics &amp; pharma plants in Hanoi. ASME BPE SF1-SF4, Ra from 0.25 um, EN 10204 3.1 certificate with every lot.</v>
      </c>
      <c r="AK271" s="15" t="str">
        <f t="shared" si="21"/>
        <v>Electropolished stainless steel pipes supplied by Sakshi Forge to electronics &amp; pharma plants at Thang Long Industrial Park, Hanoi</v>
      </c>
      <c r="AL271" s="15" t="str">
        <f t="shared" si="22"/>
        <v>Electropolished SS 316L tube stock for Hanoi - Sakshi Forge</v>
      </c>
      <c r="AM271" s="15" t="str">
        <f t="shared" si="23"/>
        <v>Home &gt; Market Area &gt; Vietnam &gt; Red River Delta &gt; Hanoi</v>
      </c>
      <c r="AN271" s="15">
        <f t="shared" si="24"/>
        <v>1400</v>
      </c>
      <c r="AO271" s="15">
        <f t="shared" si="25"/>
        <v>10</v>
      </c>
      <c r="AP271" s="15">
        <f t="shared" si="26"/>
        <v>12</v>
      </c>
      <c r="AQ271" s="15">
        <f t="shared" si="27"/>
        <v>5</v>
      </c>
      <c r="AR271" s="31"/>
      <c r="AS271" s="31"/>
      <c r="AT271" s="35" t="s">
        <v>222</v>
      </c>
      <c r="AU271" s="35"/>
    </row>
    <row r="272" ht="15.75" customHeight="1">
      <c r="A272" s="15" t="s">
        <v>8381</v>
      </c>
      <c r="B272" s="15" t="s">
        <v>454</v>
      </c>
      <c r="C272" s="15" t="s">
        <v>8362</v>
      </c>
      <c r="D272" s="15" t="s">
        <v>8382</v>
      </c>
      <c r="E272" s="15" t="s">
        <v>8382</v>
      </c>
      <c r="F272" s="16" t="s">
        <v>87</v>
      </c>
      <c r="G272" s="17" t="s">
        <v>88</v>
      </c>
      <c r="H272" s="18" t="s">
        <v>8383</v>
      </c>
      <c r="I272" s="18" t="s">
        <v>8384</v>
      </c>
      <c r="J272" s="18" t="s">
        <v>1143</v>
      </c>
      <c r="K272" s="18" t="s">
        <v>969</v>
      </c>
      <c r="L272" s="18" t="s">
        <v>8366</v>
      </c>
      <c r="M272" s="18" t="s">
        <v>660</v>
      </c>
      <c r="N272" s="18" t="s">
        <v>461</v>
      </c>
      <c r="O272" s="18" t="s">
        <v>98</v>
      </c>
      <c r="P272" s="15" t="str">
        <f t="shared" si="1"/>
        <v>SEMI</v>
      </c>
      <c r="Q272" s="15">
        <f t="shared" si="2"/>
        <v>5</v>
      </c>
      <c r="R272" s="15">
        <f t="shared" si="3"/>
        <v>3</v>
      </c>
      <c r="S272" s="15">
        <f t="shared" si="4"/>
        <v>4</v>
      </c>
      <c r="T272" s="15" t="str">
        <f t="shared" si="5"/>
        <v>A-5</v>
      </c>
      <c r="U272" s="15" t="str">
        <f t="shared" si="6"/>
        <v>T5-M3-H4-FA-5-SEMI</v>
      </c>
      <c r="V272" s="15">
        <f t="shared" si="7"/>
        <v>0</v>
      </c>
      <c r="W272" s="31"/>
      <c r="X272" s="15" t="str">
        <f t="shared" si="8"/>
        <v>ho-chi-minh-city-vietnam</v>
      </c>
      <c r="Y272" s="32" t="str">
        <f t="shared" si="9"/>
        <v>https://steelmanufacturer.in/market-area/electropolished-pipes-manufacturer-in-ho-chi-minh-city-vietnam/</v>
      </c>
      <c r="Z272" s="15" t="str">
        <f t="shared" si="10"/>
        <v>Electropolished Pipes Manufacturer in Ho Chi Minh City</v>
      </c>
      <c r="AA272" s="15" t="str">
        <f t="shared" si="11"/>
        <v>OK (54)</v>
      </c>
      <c r="AB272" s="15" t="str">
        <f t="shared" si="12"/>
        <v>EP stainless tube for electronics &amp; pharma lines in Ho Chi Minh City. 12-16 days sea from Nhava Sheva to Hai Phong. ASTM A270 S2, PMI tested, EN 10204 3.1.</v>
      </c>
      <c r="AC272" s="15" t="str">
        <f t="shared" si="13"/>
        <v>OK (155)</v>
      </c>
      <c r="AD272" s="15" t="str">
        <f t="shared" si="14"/>
        <v>Electropolished Pipes Manufacturer in Ho Chi Minh City</v>
      </c>
      <c r="AE272" s="15" t="str">
        <f t="shared" si="15"/>
        <v>Manufacturing Electropolished SS Tube for Ho Chi Minh City: The Standards We Build To</v>
      </c>
      <c r="AF272" s="15" t="str">
        <f t="shared" si="16"/>
        <v>Electropolished Pipe Supply Into Ho Chi Minh City - Certification &amp; Transit</v>
      </c>
      <c r="AG272" s="15" t="str">
        <f t="shared" si="17"/>
        <v>Electropolished Pipes Wholesaler in Ho Chi Minh City - Project Quantities &amp; Terms</v>
      </c>
      <c r="AH272" s="15" t="str">
        <f t="shared" si="18"/>
        <v>electropolished pipes manufacturer in Ho Chi Minh City, electropolished pipes supplier in Ho Chi Minh City, electropolished pipes wholesaler in Ho Chi Minh City, electropolished tube manufacturer Ho Chi Minh City, EP pipe supplier Ho Chi Minh City, sanitary tube supplier Ho Chi Minh City, ASME BPE tubing Ho Chi Minh City, ASTM A270 tube Ho Chi Minh City, SS 316L electropolished pipe Ho Chi Minh City</v>
      </c>
      <c r="AI272" s="15" t="str">
        <f t="shared" si="19"/>
        <v>Electropolished Pipes Manufacturer &amp; Supplier in Ho Chi Minh City</v>
      </c>
      <c r="AJ272" s="15" t="str">
        <f t="shared" si="20"/>
        <v>EP-finished SS 304/316L pipes and tubes for electronics &amp; pharma plants in Ho Chi Minh City. ASME BPE SF1-SF4, Ra from 0.25 um, EN 10204 3.1 certificate with every lot.</v>
      </c>
      <c r="AK272" s="15" t="str">
        <f t="shared" si="21"/>
        <v>Electropolished stainless steel pipes supplied by Sakshi Forge to electronics &amp; pharma plants at Tan Thuan EPZ, Ho Chi Minh City</v>
      </c>
      <c r="AL272" s="15" t="str">
        <f t="shared" si="22"/>
        <v>Electropolished SS 316L tube stock for Ho Chi Minh City - Sakshi Forge</v>
      </c>
      <c r="AM272" s="15" t="str">
        <f t="shared" si="23"/>
        <v>Home &gt; Market Area &gt; Vietnam &gt; Southeast &gt; Ho Chi Minh City</v>
      </c>
      <c r="AN272" s="15">
        <f t="shared" si="24"/>
        <v>1400</v>
      </c>
      <c r="AO272" s="15">
        <f t="shared" si="25"/>
        <v>10</v>
      </c>
      <c r="AP272" s="15">
        <f t="shared" si="26"/>
        <v>12</v>
      </c>
      <c r="AQ272" s="15">
        <f t="shared" si="27"/>
        <v>5</v>
      </c>
      <c r="AR272" s="31"/>
      <c r="AS272" s="31"/>
      <c r="AT272" s="35" t="s">
        <v>222</v>
      </c>
      <c r="AU272" s="35"/>
    </row>
    <row r="273" ht="15.75" customHeight="1">
      <c r="A273" s="15" t="s">
        <v>8385</v>
      </c>
      <c r="B273" s="15" t="s">
        <v>454</v>
      </c>
      <c r="C273" s="15" t="s">
        <v>8386</v>
      </c>
      <c r="D273" s="15" t="s">
        <v>8387</v>
      </c>
      <c r="E273" s="15" t="s">
        <v>8387</v>
      </c>
      <c r="F273" s="16" t="s">
        <v>87</v>
      </c>
      <c r="G273" s="17" t="s">
        <v>88</v>
      </c>
      <c r="H273" s="18" t="s">
        <v>8388</v>
      </c>
      <c r="I273" s="18" t="s">
        <v>8389</v>
      </c>
      <c r="J273" s="18" t="s">
        <v>8390</v>
      </c>
      <c r="K273" s="18" t="s">
        <v>229</v>
      </c>
      <c r="L273" s="18" t="s">
        <v>8366</v>
      </c>
      <c r="M273" s="18" t="s">
        <v>660</v>
      </c>
      <c r="N273" s="18" t="s">
        <v>461</v>
      </c>
      <c r="O273" s="18" t="s">
        <v>98</v>
      </c>
      <c r="P273" s="15" t="str">
        <f t="shared" si="1"/>
        <v>PHARMA</v>
      </c>
      <c r="Q273" s="15">
        <f t="shared" si="2"/>
        <v>6</v>
      </c>
      <c r="R273" s="15">
        <f t="shared" si="3"/>
        <v>4</v>
      </c>
      <c r="S273" s="15">
        <f t="shared" si="4"/>
        <v>5</v>
      </c>
      <c r="T273" s="15" t="str">
        <f t="shared" si="5"/>
        <v>A-6</v>
      </c>
      <c r="U273" s="15" t="str">
        <f t="shared" si="6"/>
        <v>T6-M4-H5-FA-6-PHARMA</v>
      </c>
      <c r="V273" s="15">
        <f t="shared" si="7"/>
        <v>0</v>
      </c>
      <c r="W273" s="31"/>
      <c r="X273" s="15" t="str">
        <f t="shared" si="8"/>
        <v>long-an-vietnam</v>
      </c>
      <c r="Y273" s="32" t="str">
        <f t="shared" si="9"/>
        <v>https://steelmanufacturer.in/market-area/electropolished-pipes-manufacturer-in-long-an-vietnam/</v>
      </c>
      <c r="Z273" s="15" t="str">
        <f t="shared" si="10"/>
        <v>Electropolished Pipes Manufacturer in Long An</v>
      </c>
      <c r="AA273" s="15" t="str">
        <f t="shared" si="11"/>
        <v>OK (45)</v>
      </c>
      <c r="AB273" s="15" t="str">
        <f t="shared" si="12"/>
        <v>Sanitary electropolished pipes in Long An for pharma plants. ASME BPE SF1-SF4, orbital-weld ready, 3.1 MTC. Mumbai-made.</v>
      </c>
      <c r="AC273" s="15" t="str">
        <f t="shared" si="13"/>
        <v>OK (120)</v>
      </c>
      <c r="AD273" s="15" t="str">
        <f t="shared" si="14"/>
        <v>Electropolished Pipes Manufacturer in Long An</v>
      </c>
      <c r="AE273" s="15" t="str">
        <f t="shared" si="15"/>
        <v>Electropolished Tube Manufacturing Capability Serving Long An</v>
      </c>
      <c r="AF273" s="15" t="str">
        <f t="shared" si="16"/>
        <v>Electropolished Pipes Supplier in Long An - From Order to Delivery</v>
      </c>
      <c r="AG273" s="15" t="str">
        <f t="shared" si="17"/>
        <v>Stockist &amp; Wholesale Supply of Electropolished Pipes in Long An</v>
      </c>
      <c r="AH273" s="15" t="str">
        <f t="shared" si="18"/>
        <v>electropolished pipes manufacturer in Long An, electropolished pipes supplier in Long An, electropolished pipes wholesaler in Long An, electropolished tube manufacturer Long An, EP pipe supplier Long An, sanitary tube supplier Long An, ASME BPE tubing Long An, ASTM A270 tube Long An, SS 316L electropolished pipe Long An</v>
      </c>
      <c r="AI273" s="15" t="str">
        <f t="shared" si="19"/>
        <v>Electropolished Pipes Manufacturer &amp; Supplier in Long An</v>
      </c>
      <c r="AJ273" s="15" t="str">
        <f t="shared" si="20"/>
        <v>EP-finished SS 304/316L pipes and tubes for pharma plants in Long An. ASME BPE SF1-SF4, Ra from 0.25 um, EN 10204 3.1 certificate with every lot.</v>
      </c>
      <c r="AK273" s="15" t="str">
        <f t="shared" si="21"/>
        <v>Electropolished stainless steel pipes supplied by Sakshi Forge to pharma plants at Tan Duc IP, Long An</v>
      </c>
      <c r="AL273" s="15" t="str">
        <f t="shared" si="22"/>
        <v>Electropolished SS 316L tube stock for Long An - Sakshi Forge</v>
      </c>
      <c r="AM273" s="15" t="str">
        <f t="shared" si="23"/>
        <v>Home &gt; Market Area &gt; Vietnam &gt; Mekong Delta &gt; Long An</v>
      </c>
      <c r="AN273" s="15">
        <f t="shared" si="24"/>
        <v>1400</v>
      </c>
      <c r="AO273" s="15">
        <f t="shared" si="25"/>
        <v>10</v>
      </c>
      <c r="AP273" s="15">
        <f t="shared" si="26"/>
        <v>12</v>
      </c>
      <c r="AQ273" s="15">
        <f t="shared" si="27"/>
        <v>5</v>
      </c>
      <c r="AR273" s="31"/>
      <c r="AS273" s="31"/>
      <c r="AT273" s="35" t="s">
        <v>222</v>
      </c>
      <c r="AU273" s="35"/>
    </row>
    <row r="274" ht="15.75" customHeight="1">
      <c r="A274" s="15" t="s">
        <v>1568</v>
      </c>
      <c r="B274" s="15" t="s">
        <v>60</v>
      </c>
      <c r="C274" s="15" t="s">
        <v>236</v>
      </c>
      <c r="D274" s="15" t="s">
        <v>1577</v>
      </c>
      <c r="E274" s="15" t="s">
        <v>1577</v>
      </c>
      <c r="F274" s="65" t="s">
        <v>788</v>
      </c>
      <c r="G274" s="66" t="s">
        <v>98</v>
      </c>
      <c r="H274" s="18" t="s">
        <v>1583</v>
      </c>
      <c r="I274" s="18" t="s">
        <v>8391</v>
      </c>
      <c r="J274" s="18" t="s">
        <v>98</v>
      </c>
      <c r="K274" s="18" t="s">
        <v>98</v>
      </c>
      <c r="L274" s="18" t="s">
        <v>98</v>
      </c>
      <c r="M274" s="18" t="s">
        <v>98</v>
      </c>
      <c r="N274" s="18" t="s">
        <v>98</v>
      </c>
      <c r="O274" s="18" t="s">
        <v>98</v>
      </c>
      <c r="P274" s="15" t="str">
        <f t="shared" si="1"/>
        <v>VERIFY</v>
      </c>
      <c r="Q274" s="15">
        <f t="shared" si="2"/>
        <v>7</v>
      </c>
      <c r="R274" s="15">
        <f t="shared" si="3"/>
        <v>5</v>
      </c>
      <c r="S274" s="15">
        <f t="shared" si="4"/>
        <v>1</v>
      </c>
      <c r="T274" s="15" t="str">
        <f t="shared" si="5"/>
        <v>B-1</v>
      </c>
      <c r="U274" s="15" t="str">
        <f t="shared" si="6"/>
        <v>T7-M5-H1-FB-1-VERIFY</v>
      </c>
      <c r="V274" s="15">
        <f t="shared" si="7"/>
        <v>0</v>
      </c>
      <c r="W274" s="31"/>
      <c r="X274" s="15" t="str">
        <f t="shared" si="8"/>
        <v>abu-road</v>
      </c>
      <c r="Y274" s="32" t="str">
        <f t="shared" si="9"/>
        <v>https://steelmanufacturer.in/market-area/electropolished-pipes-manufacturer-in-abu-road/</v>
      </c>
      <c r="Z274" s="15" t="str">
        <f t="shared" si="10"/>
        <v>Electropolished Pipes Manufacturer in Abu Road | ASME BPE SF1-SF4</v>
      </c>
      <c r="AA274" s="15" t="str">
        <f t="shared" si="11"/>
        <v>OK (65)</v>
      </c>
      <c r="AB274" s="15" t="str">
        <f t="shared" si="12"/>
        <v>Manufacturer of electropolished SS 316L tube serving Abu Road. VERIFY. Ra 0.25-0.5 um, EN 10204 3.1 MTC.</v>
      </c>
      <c r="AC274" s="15" t="str">
        <f t="shared" si="13"/>
        <v>PENDING RESEARCH</v>
      </c>
      <c r="AD274" s="15" t="str">
        <f t="shared" si="14"/>
        <v>Electropolished Pipes Manufacturer in Abu Road</v>
      </c>
      <c r="AE274" s="15" t="str">
        <f t="shared" si="15"/>
        <v>Electropolished Pipe &amp; Tube Manufacturing for Abu Road - Grades, Finishes &amp; Certification</v>
      </c>
      <c r="AF274" s="15" t="str">
        <f t="shared" si="16"/>
        <v>Electropolished Pipes Supplier in Abu Road - Stock Sizes, Lead Time &amp; Delivery</v>
      </c>
      <c r="AG274" s="15" t="str">
        <f t="shared" si="17"/>
        <v>Electropolished Pipes Wholesaler &amp; Stockist in Abu Road - Bulk &amp; Project Pricing</v>
      </c>
      <c r="AH274" s="15" t="str">
        <f t="shared" si="18"/>
        <v>electropolished pipes manufacturer in Abu Road, electropolished pipes supplier in Abu Road, electropolished pipes wholesaler in Abu Road, electropolished tube manufacturer Abu Road, EP pipe supplier Abu Road, sanitary tube supplier Abu Road, ASME BPE tubing Abu Road, ASTM A270 tube Abu Road, SS 316L electropolished pipe Abu Road</v>
      </c>
      <c r="AI274" s="15" t="str">
        <f t="shared" si="19"/>
        <v>Electropolished Pipes Manufacturer &amp; Supplier in Abu Road</v>
      </c>
      <c r="AJ274" s="15" t="str">
        <f t="shared" si="20"/>
        <v>EP-finished SS 304/316L pipes and tubes for VERIFY plants in Abu Road. ASME BPE SF1-SF4, Ra from 0.25 um, EN 10204 3.1 certificate with every lot.</v>
      </c>
      <c r="AK274" s="15" t="str">
        <f t="shared" si="21"/>
        <v>Electropolished stainless steel pipes supplied by Sakshi Forge to VERIFY plants at RIICO Industrial Area, Abu Road</v>
      </c>
      <c r="AL274" s="15" t="str">
        <f t="shared" si="22"/>
        <v>Electropolished SS 316L tube stock for Abu Road - Sakshi Forge</v>
      </c>
      <c r="AM274" s="15" t="str">
        <f t="shared" si="23"/>
        <v>Home &gt; Market Area &gt; India &gt; Rajasthan &gt; Abu Road</v>
      </c>
      <c r="AN274" s="15">
        <f t="shared" si="24"/>
        <v>1000</v>
      </c>
      <c r="AO274" s="15">
        <f t="shared" si="25"/>
        <v>8</v>
      </c>
      <c r="AP274" s="15">
        <f t="shared" si="26"/>
        <v>8</v>
      </c>
      <c r="AQ274" s="15">
        <f t="shared" si="27"/>
        <v>5</v>
      </c>
      <c r="AR274" s="31"/>
      <c r="AS274" s="31"/>
      <c r="AT274" s="35" t="s">
        <v>222</v>
      </c>
      <c r="AU274" s="35"/>
    </row>
    <row r="275" ht="15.75" customHeight="1">
      <c r="A275" s="15" t="s">
        <v>1590</v>
      </c>
      <c r="B275" s="15" t="s">
        <v>60</v>
      </c>
      <c r="C275" s="15" t="s">
        <v>1312</v>
      </c>
      <c r="D275" s="15" t="s">
        <v>1595</v>
      </c>
      <c r="E275" s="15" t="s">
        <v>1595</v>
      </c>
      <c r="F275" s="65" t="s">
        <v>788</v>
      </c>
      <c r="G275" s="66" t="s">
        <v>98</v>
      </c>
      <c r="H275" s="18" t="s">
        <v>1604</v>
      </c>
      <c r="I275" s="18" t="s">
        <v>8392</v>
      </c>
      <c r="J275" s="18" t="s">
        <v>98</v>
      </c>
      <c r="K275" s="18" t="s">
        <v>98</v>
      </c>
      <c r="L275" s="18" t="s">
        <v>98</v>
      </c>
      <c r="M275" s="18" t="s">
        <v>98</v>
      </c>
      <c r="N275" s="18" t="s">
        <v>98</v>
      </c>
      <c r="O275" s="18" t="s">
        <v>98</v>
      </c>
      <c r="P275" s="15" t="str">
        <f t="shared" si="1"/>
        <v>VERIFY</v>
      </c>
      <c r="Q275" s="15">
        <f t="shared" si="2"/>
        <v>8</v>
      </c>
      <c r="R275" s="15">
        <f t="shared" si="3"/>
        <v>6</v>
      </c>
      <c r="S275" s="15">
        <f t="shared" si="4"/>
        <v>2</v>
      </c>
      <c r="T275" s="15" t="str">
        <f t="shared" si="5"/>
        <v>B-2</v>
      </c>
      <c r="U275" s="15" t="str">
        <f t="shared" si="6"/>
        <v>T8-M6-H2-FB-2-VERIFY</v>
      </c>
      <c r="V275" s="15">
        <f t="shared" si="7"/>
        <v>0</v>
      </c>
      <c r="W275" s="31"/>
      <c r="X275" s="15" t="str">
        <f t="shared" si="8"/>
        <v>adilabad</v>
      </c>
      <c r="Y275" s="32" t="str">
        <f t="shared" si="9"/>
        <v>https://steelmanufacturer.in/market-area/electropolished-pipes-manufacturer-in-adilabad/</v>
      </c>
      <c r="Z275" s="15" t="str">
        <f t="shared" si="10"/>
        <v>Electropolished Pipes Manufacturer in Adilabad - EP Tube Stockist</v>
      </c>
      <c r="AA275" s="15" t="str">
        <f t="shared" si="11"/>
        <v>OK (65)</v>
      </c>
      <c r="AB275" s="15" t="str">
        <f t="shared" si="12"/>
        <v>EP tube and pipe for VERIFY plants around TSIIC Industrial Area, Adilabad. Made at our Mumbai works to ASTM A270 and ASME BPE SF1-SF4, with 3.1 MTC.</v>
      </c>
      <c r="AC275" s="15" t="str">
        <f t="shared" si="13"/>
        <v>PENDING RESEARCH</v>
      </c>
      <c r="AD275" s="15" t="str">
        <f t="shared" si="14"/>
        <v>Electropolished Pipes Manufacturer in Adilabad</v>
      </c>
      <c r="AE275" s="15" t="str">
        <f t="shared" si="15"/>
        <v>How We Manufacture Electropolished Tube for Adilabad Plants</v>
      </c>
      <c r="AF275" s="15" t="str">
        <f t="shared" si="16"/>
        <v>Supplying Electropolished Pipes in Adilabad: Availability, Sizes &amp; Dispatch</v>
      </c>
      <c r="AG275" s="15" t="str">
        <f t="shared" si="17"/>
        <v>Wholesale Electropolished Pipe Supply for Adilabad Projects</v>
      </c>
      <c r="AH275" s="15" t="str">
        <f t="shared" si="18"/>
        <v>electropolished pipes manufacturer in Adilabad, electropolished pipes supplier in Adilabad, electropolished pipes wholesaler in Adilabad, electropolished tube manufacturer Adilabad, EP pipe supplier Adilabad, sanitary tube supplier Adilabad, ASME BPE tubing Adilabad, ASTM A270 tube Adilabad, SS 316L electropolished pipe Adilabad</v>
      </c>
      <c r="AI275" s="15" t="str">
        <f t="shared" si="19"/>
        <v>Electropolished Pipes Manufacturer &amp; Supplier in Adilabad</v>
      </c>
      <c r="AJ275" s="15" t="str">
        <f t="shared" si="20"/>
        <v>EP-finished SS 304/316L pipes and tubes for VERIFY plants in Adilabad. ASME BPE SF1-SF4, Ra from 0.25 um, EN 10204 3.1 certificate with every lot.</v>
      </c>
      <c r="AK275" s="15" t="str">
        <f t="shared" si="21"/>
        <v>Electropolished stainless steel pipes supplied by Sakshi Forge to VERIFY plants at TSIIC Industrial Area, Adilabad</v>
      </c>
      <c r="AL275" s="15" t="str">
        <f t="shared" si="22"/>
        <v>Electropolished SS 316L tube stock for Adilabad - Sakshi Forge</v>
      </c>
      <c r="AM275" s="15" t="str">
        <f t="shared" si="23"/>
        <v>Home &gt; Market Area &gt; India &gt; Telangana &gt; Adilabad</v>
      </c>
      <c r="AN275" s="15">
        <f t="shared" si="24"/>
        <v>1000</v>
      </c>
      <c r="AO275" s="15">
        <f t="shared" si="25"/>
        <v>8</v>
      </c>
      <c r="AP275" s="15">
        <f t="shared" si="26"/>
        <v>8</v>
      </c>
      <c r="AQ275" s="15">
        <f t="shared" si="27"/>
        <v>5</v>
      </c>
      <c r="AR275" s="31"/>
      <c r="AS275" s="31"/>
      <c r="AT275" s="35" t="s">
        <v>222</v>
      </c>
      <c r="AU275" s="35"/>
    </row>
    <row r="276" ht="15.75" customHeight="1">
      <c r="A276" s="15" t="s">
        <v>1609</v>
      </c>
      <c r="B276" s="15" t="s">
        <v>60</v>
      </c>
      <c r="C276" s="15" t="s">
        <v>413</v>
      </c>
      <c r="D276" s="15" t="s">
        <v>1611</v>
      </c>
      <c r="E276" s="15" t="s">
        <v>1611</v>
      </c>
      <c r="F276" s="65" t="s">
        <v>788</v>
      </c>
      <c r="G276" s="66" t="s">
        <v>98</v>
      </c>
      <c r="H276" s="18" t="s">
        <v>1615</v>
      </c>
      <c r="I276" s="18" t="s">
        <v>8393</v>
      </c>
      <c r="J276" s="18" t="s">
        <v>98</v>
      </c>
      <c r="K276" s="18" t="s">
        <v>98</v>
      </c>
      <c r="L276" s="18" t="s">
        <v>98</v>
      </c>
      <c r="M276" s="18" t="s">
        <v>98</v>
      </c>
      <c r="N276" s="18" t="s">
        <v>98</v>
      </c>
      <c r="O276" s="18" t="s">
        <v>98</v>
      </c>
      <c r="P276" s="15" t="str">
        <f t="shared" si="1"/>
        <v>VERIFY</v>
      </c>
      <c r="Q276" s="15">
        <f t="shared" si="2"/>
        <v>1</v>
      </c>
      <c r="R276" s="15">
        <f t="shared" si="3"/>
        <v>7</v>
      </c>
      <c r="S276" s="15">
        <f t="shared" si="4"/>
        <v>3</v>
      </c>
      <c r="T276" s="15" t="str">
        <f t="shared" si="5"/>
        <v>B-3</v>
      </c>
      <c r="U276" s="15" t="str">
        <f t="shared" si="6"/>
        <v>T1-M7-H3-FB-3-VERIFY</v>
      </c>
      <c r="V276" s="15">
        <f t="shared" si="7"/>
        <v>0</v>
      </c>
      <c r="W276" s="31"/>
      <c r="X276" s="15" t="str">
        <f t="shared" si="8"/>
        <v>adoni</v>
      </c>
      <c r="Y276" s="32" t="str">
        <f t="shared" si="9"/>
        <v>https://steelmanufacturer.in/market-area/electropolished-pipes-manufacturer-in-adoni/</v>
      </c>
      <c r="Z276" s="15" t="str">
        <f t="shared" si="10"/>
        <v>Electropolished Pipes Manufacturer in Adoni | Sakshi Forge</v>
      </c>
      <c r="AA276" s="15" t="str">
        <f t="shared" si="11"/>
        <v>OK (58)</v>
      </c>
      <c r="AB276" s="15" t="str">
        <f t="shared" si="12"/>
        <v>Electropolished pipes in Adoni: 304, 304L, 316 and 316L in SF1-SF4. VERIFY. Mill certified.</v>
      </c>
      <c r="AC276" s="15" t="str">
        <f t="shared" si="13"/>
        <v>PENDING RESEARCH</v>
      </c>
      <c r="AD276" s="15" t="str">
        <f t="shared" si="14"/>
        <v>Electropolished Pipes Manufacturer in Adoni</v>
      </c>
      <c r="AE276" s="15" t="str">
        <f t="shared" si="15"/>
        <v>Electropolished Pipes Manufacturer in Adoni - Our Process &amp; Capability</v>
      </c>
      <c r="AF276" s="15" t="str">
        <f t="shared" si="16"/>
        <v>Electropolished Pipes Supplier in Adoni - What We Hold in Stock</v>
      </c>
      <c r="AG276" s="15" t="str">
        <f t="shared" si="17"/>
        <v>Bulk &amp; Wholesale Electropolished Pipe Rates for Adoni Buyers</v>
      </c>
      <c r="AH276" s="15" t="str">
        <f t="shared" si="18"/>
        <v>electropolished pipes manufacturer in Adoni, electropolished pipes supplier in Adoni, electropolished pipes wholesaler in Adoni, electropolished tube manufacturer Adoni, EP pipe supplier Adoni, sanitary tube supplier Adoni, ASME BPE tubing Adoni, ASTM A270 tube Adoni, SS 316L electropolished pipe Adoni</v>
      </c>
      <c r="AI276" s="15" t="str">
        <f t="shared" si="19"/>
        <v>Electropolished Pipes Manufacturer &amp; Supplier in Adoni</v>
      </c>
      <c r="AJ276" s="15" t="str">
        <f t="shared" si="20"/>
        <v>EP-finished SS 304/316L pipes and tubes for VERIFY plants in Adoni. ASME BPE SF1-SF4, Ra from 0.25 um, EN 10204 3.1 certificate with every lot.</v>
      </c>
      <c r="AK276" s="15" t="str">
        <f t="shared" si="21"/>
        <v>Electropolished stainless steel pipes supplied by Sakshi Forge to VERIFY plants at APIIC Industrial Area, Adoni</v>
      </c>
      <c r="AL276" s="15" t="str">
        <f t="shared" si="22"/>
        <v>Electropolished SS 316L tube stock for Adoni - Sakshi Forge</v>
      </c>
      <c r="AM276" s="15" t="str">
        <f t="shared" si="23"/>
        <v>Home &gt; Market Area &gt; India &gt; Andhra Pradesh &gt; Adoni</v>
      </c>
      <c r="AN276" s="15">
        <f t="shared" si="24"/>
        <v>1000</v>
      </c>
      <c r="AO276" s="15">
        <f t="shared" si="25"/>
        <v>8</v>
      </c>
      <c r="AP276" s="15">
        <f t="shared" si="26"/>
        <v>8</v>
      </c>
      <c r="AQ276" s="15">
        <f t="shared" si="27"/>
        <v>5</v>
      </c>
      <c r="AR276" s="31"/>
      <c r="AS276" s="31"/>
      <c r="AT276" s="35" t="s">
        <v>222</v>
      </c>
      <c r="AU276" s="35"/>
    </row>
    <row r="277" ht="15.75" customHeight="1">
      <c r="A277" s="15" t="s">
        <v>1619</v>
      </c>
      <c r="B277" s="15" t="s">
        <v>60</v>
      </c>
      <c r="C277" s="15" t="s">
        <v>1621</v>
      </c>
      <c r="D277" s="15" t="s">
        <v>1623</v>
      </c>
      <c r="E277" s="15" t="s">
        <v>1623</v>
      </c>
      <c r="F277" s="65" t="s">
        <v>788</v>
      </c>
      <c r="G277" s="66" t="s">
        <v>98</v>
      </c>
      <c r="H277" s="18" t="s">
        <v>1627</v>
      </c>
      <c r="I277" s="18" t="s">
        <v>8394</v>
      </c>
      <c r="J277" s="18" t="s">
        <v>98</v>
      </c>
      <c r="K277" s="18" t="s">
        <v>98</v>
      </c>
      <c r="L277" s="18" t="s">
        <v>98</v>
      </c>
      <c r="M277" s="18" t="s">
        <v>98</v>
      </c>
      <c r="N277" s="18" t="s">
        <v>98</v>
      </c>
      <c r="O277" s="18" t="s">
        <v>98</v>
      </c>
      <c r="P277" s="15" t="str">
        <f t="shared" si="1"/>
        <v>VERIFY</v>
      </c>
      <c r="Q277" s="15">
        <f t="shared" si="2"/>
        <v>2</v>
      </c>
      <c r="R277" s="15">
        <f t="shared" si="3"/>
        <v>1</v>
      </c>
      <c r="S277" s="15">
        <f t="shared" si="4"/>
        <v>4</v>
      </c>
      <c r="T277" s="15" t="str">
        <f t="shared" si="5"/>
        <v>B-4</v>
      </c>
      <c r="U277" s="15" t="str">
        <f t="shared" si="6"/>
        <v>T2-M1-H4-FB-4-VERIFY</v>
      </c>
      <c r="V277" s="15">
        <f t="shared" si="7"/>
        <v>0</v>
      </c>
      <c r="W277" s="31"/>
      <c r="X277" s="15" t="str">
        <f t="shared" si="8"/>
        <v>agartala</v>
      </c>
      <c r="Y277" s="32" t="str">
        <f t="shared" si="9"/>
        <v>https://steelmanufacturer.in/market-area/electropolished-pipes-manufacturer-in-agartala/</v>
      </c>
      <c r="Z277" s="15" t="str">
        <f t="shared" si="10"/>
        <v>Electropolished Pipes Manufacturer in Agartala</v>
      </c>
      <c r="AA277" s="15" t="str">
        <f t="shared" si="11"/>
        <v>OK (46)</v>
      </c>
      <c r="AB277" s="15" t="str">
        <f t="shared" si="12"/>
        <v>EP-finished SS 304/316L pipes &amp; tubes for VERIFY plants in Agartala. ASTM A270, ASME BPE SF1-SF4, EN 10204 3.1 MTC. PMI tested.</v>
      </c>
      <c r="AC277" s="15" t="str">
        <f t="shared" si="13"/>
        <v>PENDING RESEARCH</v>
      </c>
      <c r="AD277" s="15" t="str">
        <f t="shared" si="14"/>
        <v>Electropolished Pipes Manufacturer in Agartala</v>
      </c>
      <c r="AE277" s="15" t="str">
        <f t="shared" si="15"/>
        <v>Manufacturing Electropolished SS Tube for Agartala: The Standards We Build To</v>
      </c>
      <c r="AF277" s="15" t="str">
        <f t="shared" si="16"/>
        <v>Electropolished Pipe Supply Into Agartala - Certification &amp; Transit</v>
      </c>
      <c r="AG277" s="15" t="str">
        <f t="shared" si="17"/>
        <v>Electropolished Pipes Wholesaler in Agartala - Project Quantities &amp; Terms</v>
      </c>
      <c r="AH277" s="15" t="str">
        <f t="shared" si="18"/>
        <v>electropolished pipes manufacturer in Agartala, electropolished pipes supplier in Agartala, electropolished pipes wholesaler in Agartala, electropolished tube manufacturer Agartala, EP pipe supplier Agartala, sanitary tube supplier Agartala, ASME BPE tubing Agartala, ASTM A270 tube Agartala, SS 316L electropolished pipe Agartala</v>
      </c>
      <c r="AI277" s="15" t="str">
        <f t="shared" si="19"/>
        <v>Electropolished Pipes Manufacturer &amp; Supplier in Agartala</v>
      </c>
      <c r="AJ277" s="15" t="str">
        <f t="shared" si="20"/>
        <v>EP-finished SS 304/316L pipes and tubes for VERIFY plants in Agartala. ASME BPE SF1-SF4, Ra from 0.25 um, EN 10204 3.1 certificate with every lot.</v>
      </c>
      <c r="AK277" s="15" t="str">
        <f t="shared" si="21"/>
        <v>Electropolished stainless steel pipes supplied by Sakshi Forge to VERIFY plants at TIDC Industrial Area, Agartala</v>
      </c>
      <c r="AL277" s="15" t="str">
        <f t="shared" si="22"/>
        <v>Electropolished SS 316L tube stock for Agartala - Sakshi Forge</v>
      </c>
      <c r="AM277" s="15" t="str">
        <f t="shared" si="23"/>
        <v>Home &gt; Market Area &gt; India &gt; Tripura &gt; Agartala</v>
      </c>
      <c r="AN277" s="15">
        <f t="shared" si="24"/>
        <v>1000</v>
      </c>
      <c r="AO277" s="15">
        <f t="shared" si="25"/>
        <v>8</v>
      </c>
      <c r="AP277" s="15">
        <f t="shared" si="26"/>
        <v>8</v>
      </c>
      <c r="AQ277" s="15">
        <f t="shared" si="27"/>
        <v>5</v>
      </c>
      <c r="AR277" s="31"/>
      <c r="AS277" s="31"/>
      <c r="AT277" s="35" t="s">
        <v>222</v>
      </c>
      <c r="AU277" s="35"/>
    </row>
    <row r="278" ht="15.75" customHeight="1">
      <c r="A278" s="15" t="s">
        <v>1631</v>
      </c>
      <c r="B278" s="15" t="s">
        <v>60</v>
      </c>
      <c r="C278" s="15" t="s">
        <v>264</v>
      </c>
      <c r="D278" s="15" t="s">
        <v>1634</v>
      </c>
      <c r="E278" s="15" t="s">
        <v>1634</v>
      </c>
      <c r="F278" s="65" t="s">
        <v>788</v>
      </c>
      <c r="G278" s="66" t="s">
        <v>98</v>
      </c>
      <c r="H278" s="18" t="s">
        <v>1639</v>
      </c>
      <c r="I278" s="18" t="s">
        <v>8395</v>
      </c>
      <c r="J278" s="18" t="s">
        <v>98</v>
      </c>
      <c r="K278" s="18" t="s">
        <v>98</v>
      </c>
      <c r="L278" s="18" t="s">
        <v>98</v>
      </c>
      <c r="M278" s="18" t="s">
        <v>98</v>
      </c>
      <c r="N278" s="18" t="s">
        <v>98</v>
      </c>
      <c r="O278" s="18" t="s">
        <v>98</v>
      </c>
      <c r="P278" s="15" t="str">
        <f t="shared" si="1"/>
        <v>VERIFY</v>
      </c>
      <c r="Q278" s="15">
        <f t="shared" si="2"/>
        <v>3</v>
      </c>
      <c r="R278" s="15">
        <f t="shared" si="3"/>
        <v>2</v>
      </c>
      <c r="S278" s="15">
        <f t="shared" si="4"/>
        <v>5</v>
      </c>
      <c r="T278" s="15" t="str">
        <f t="shared" si="5"/>
        <v>B-5</v>
      </c>
      <c r="U278" s="15" t="str">
        <f t="shared" si="6"/>
        <v>T3-M2-H5-FB-5-VERIFY</v>
      </c>
      <c r="V278" s="15">
        <f t="shared" si="7"/>
        <v>0</v>
      </c>
      <c r="W278" s="31"/>
      <c r="X278" s="15" t="str">
        <f t="shared" si="8"/>
        <v>ahmednagar</v>
      </c>
      <c r="Y278" s="32" t="str">
        <f t="shared" si="9"/>
        <v>https://steelmanufacturer.in/market-area/electropolished-pipes-manufacturer-in-ahmednagar/</v>
      </c>
      <c r="Z278" s="15" t="str">
        <f t="shared" si="10"/>
        <v>Electropolished Pipes Manufacturer in Ahmednagar</v>
      </c>
      <c r="AA278" s="15" t="str">
        <f t="shared" si="11"/>
        <v>OK (48)</v>
      </c>
      <c r="AB278" s="15" t="str">
        <f t="shared" si="12"/>
        <v>Electropolished tube supply to MIDC Industrial Area, Ahmednagar. Ra from 0.25 um, SF4 finish, mill test certificate with every lot.</v>
      </c>
      <c r="AC278" s="15" t="str">
        <f t="shared" si="13"/>
        <v>PENDING RESEARCH</v>
      </c>
      <c r="AD278" s="15" t="str">
        <f t="shared" si="14"/>
        <v>Electropolished Pipes Manufacturer in Ahmednagar</v>
      </c>
      <c r="AE278" s="15" t="str">
        <f t="shared" si="15"/>
        <v>Electropolished Tube Manufacturing Capability Serving Ahmednagar</v>
      </c>
      <c r="AF278" s="15" t="str">
        <f t="shared" si="16"/>
        <v>Electropolished Pipes Supplier in Ahmednagar - From Order to Delivery</v>
      </c>
      <c r="AG278" s="15" t="str">
        <f t="shared" si="17"/>
        <v>Stockist &amp; Wholesale Supply of Electropolished Pipes in Ahmednagar</v>
      </c>
      <c r="AH278" s="15" t="str">
        <f t="shared" si="18"/>
        <v>electropolished pipes manufacturer in Ahmednagar, electropolished pipes supplier in Ahmednagar, electropolished pipes wholesaler in Ahmednagar, electropolished tube manufacturer Ahmednagar, EP pipe supplier Ahmednagar, sanitary tube supplier Ahmednagar, ASME BPE tubing Ahmednagar, ASTM A270 tube Ahmednagar, SS 316L electropolished pipe Ahmednagar</v>
      </c>
      <c r="AI278" s="15" t="str">
        <f t="shared" si="19"/>
        <v>Electropolished Pipes Manufacturer &amp; Supplier in Ahmednagar</v>
      </c>
      <c r="AJ278" s="15" t="str">
        <f t="shared" si="20"/>
        <v>EP-finished SS 304/316L pipes and tubes for VERIFY plants in Ahmednagar. ASME BPE SF1-SF4, Ra from 0.25 um, EN 10204 3.1 certificate with every lot.</v>
      </c>
      <c r="AK278" s="15" t="str">
        <f t="shared" si="21"/>
        <v>Electropolished stainless steel pipes supplied by Sakshi Forge to VERIFY plants at MIDC Industrial Area, Ahmednagar</v>
      </c>
      <c r="AL278" s="15" t="str">
        <f t="shared" si="22"/>
        <v>Electropolished SS 316L tube stock for Ahmednagar - Sakshi Forge</v>
      </c>
      <c r="AM278" s="15" t="str">
        <f t="shared" si="23"/>
        <v>Home &gt; Market Area &gt; India &gt; Maharashtra &gt; Ahmednagar</v>
      </c>
      <c r="AN278" s="15">
        <f t="shared" si="24"/>
        <v>1000</v>
      </c>
      <c r="AO278" s="15">
        <f t="shared" si="25"/>
        <v>8</v>
      </c>
      <c r="AP278" s="15">
        <f t="shared" si="26"/>
        <v>8</v>
      </c>
      <c r="AQ278" s="15">
        <f t="shared" si="27"/>
        <v>5</v>
      </c>
      <c r="AR278" s="31"/>
      <c r="AS278" s="31"/>
      <c r="AT278" s="35" t="s">
        <v>222</v>
      </c>
      <c r="AU278" s="35"/>
    </row>
    <row r="279" ht="15.75" customHeight="1">
      <c r="A279" s="15" t="s">
        <v>1643</v>
      </c>
      <c r="B279" s="15" t="s">
        <v>60</v>
      </c>
      <c r="C279" s="15" t="s">
        <v>1645</v>
      </c>
      <c r="D279" s="15" t="s">
        <v>1648</v>
      </c>
      <c r="E279" s="15" t="s">
        <v>1648</v>
      </c>
      <c r="F279" s="65" t="s">
        <v>788</v>
      </c>
      <c r="G279" s="66" t="s">
        <v>98</v>
      </c>
      <c r="H279" s="18" t="s">
        <v>1652</v>
      </c>
      <c r="I279" s="18" t="s">
        <v>8396</v>
      </c>
      <c r="J279" s="18" t="s">
        <v>98</v>
      </c>
      <c r="K279" s="18" t="s">
        <v>98</v>
      </c>
      <c r="L279" s="18" t="s">
        <v>98</v>
      </c>
      <c r="M279" s="18" t="s">
        <v>98</v>
      </c>
      <c r="N279" s="18" t="s">
        <v>98</v>
      </c>
      <c r="O279" s="18" t="s">
        <v>98</v>
      </c>
      <c r="P279" s="15" t="str">
        <f t="shared" si="1"/>
        <v>VERIFY</v>
      </c>
      <c r="Q279" s="15">
        <f t="shared" si="2"/>
        <v>4</v>
      </c>
      <c r="R279" s="15">
        <f t="shared" si="3"/>
        <v>3</v>
      </c>
      <c r="S279" s="15">
        <f t="shared" si="4"/>
        <v>1</v>
      </c>
      <c r="T279" s="15" t="str">
        <f t="shared" si="5"/>
        <v>B-6</v>
      </c>
      <c r="U279" s="15" t="str">
        <f t="shared" si="6"/>
        <v>T4-M3-H1-FB-6-VERIFY</v>
      </c>
      <c r="V279" s="15">
        <f t="shared" si="7"/>
        <v>0</v>
      </c>
      <c r="W279" s="31"/>
      <c r="X279" s="15" t="str">
        <f t="shared" si="8"/>
        <v>aizawl</v>
      </c>
      <c r="Y279" s="32" t="str">
        <f t="shared" si="9"/>
        <v>https://steelmanufacturer.in/market-area/electropolished-pipes-manufacturer-in-aizawl/</v>
      </c>
      <c r="Z279" s="15" t="str">
        <f t="shared" si="10"/>
        <v>Electropolished Pipes Manufacturer in Aizawl</v>
      </c>
      <c r="AA279" s="15" t="str">
        <f t="shared" si="11"/>
        <v>OK (44)</v>
      </c>
      <c r="AB279" s="15" t="str">
        <f t="shared" si="12"/>
        <v>EP stainless tube for VERIFY lines in Aizawl. VERIFY. ASTM A270 S2, PMI tested, EN 10204 3.1.</v>
      </c>
      <c r="AC279" s="15" t="str">
        <f t="shared" si="13"/>
        <v>PENDING RESEARCH</v>
      </c>
      <c r="AD279" s="15" t="str">
        <f t="shared" si="14"/>
        <v>Electropolished Pipes Manufacturer in Aizawl</v>
      </c>
      <c r="AE279" s="15" t="str">
        <f t="shared" si="15"/>
        <v>Electropolished Pipe &amp; Tube Manufacturing for Aizawl - Grades, Finishes &amp; Certification</v>
      </c>
      <c r="AF279" s="15" t="str">
        <f t="shared" si="16"/>
        <v>Electropolished Pipes Supplier in Aizawl - Stock Sizes, Lead Time &amp; Delivery</v>
      </c>
      <c r="AG279" s="15" t="str">
        <f t="shared" si="17"/>
        <v>Electropolished Pipes Wholesaler &amp; Stockist in Aizawl - Bulk &amp; Project Pricing</v>
      </c>
      <c r="AH279" s="15" t="str">
        <f t="shared" si="18"/>
        <v>electropolished pipes manufacturer in Aizawl, electropolished pipes supplier in Aizawl, electropolished pipes wholesaler in Aizawl, electropolished tube manufacturer Aizawl, EP pipe supplier Aizawl, sanitary tube supplier Aizawl, ASME BPE tubing Aizawl, ASTM A270 tube Aizawl, SS 316L electropolished pipe Aizawl</v>
      </c>
      <c r="AI279" s="15" t="str">
        <f t="shared" si="19"/>
        <v>Electropolished Pipes Manufacturer &amp; Supplier in Aizawl</v>
      </c>
      <c r="AJ279" s="15" t="str">
        <f t="shared" si="20"/>
        <v>EP-finished SS 304/316L pipes and tubes for VERIFY plants in Aizawl. ASME BPE SF1-SF4, Ra from 0.25 um, EN 10204 3.1 certificate with every lot.</v>
      </c>
      <c r="AK279" s="15" t="str">
        <f t="shared" si="21"/>
        <v>Electropolished stainless steel pipes supplied by Sakshi Forge to VERIFY plants at ZIDCO Industrial Area, Aizawl</v>
      </c>
      <c r="AL279" s="15" t="str">
        <f t="shared" si="22"/>
        <v>Electropolished SS 316L tube stock for Aizawl - Sakshi Forge</v>
      </c>
      <c r="AM279" s="15" t="str">
        <f t="shared" si="23"/>
        <v>Home &gt; Market Area &gt; India &gt; Mizoram &gt; Aizawl</v>
      </c>
      <c r="AN279" s="15">
        <f t="shared" si="24"/>
        <v>1000</v>
      </c>
      <c r="AO279" s="15">
        <f t="shared" si="25"/>
        <v>8</v>
      </c>
      <c r="AP279" s="15">
        <f t="shared" si="26"/>
        <v>8</v>
      </c>
      <c r="AQ279" s="15">
        <f t="shared" si="27"/>
        <v>5</v>
      </c>
      <c r="AR279" s="31"/>
      <c r="AS279" s="31"/>
      <c r="AT279" s="35" t="s">
        <v>222</v>
      </c>
      <c r="AU279" s="35"/>
    </row>
    <row r="280" ht="15.75" customHeight="1">
      <c r="A280" s="15" t="s">
        <v>1656</v>
      </c>
      <c r="B280" s="15" t="s">
        <v>60</v>
      </c>
      <c r="C280" s="15" t="s">
        <v>236</v>
      </c>
      <c r="D280" s="15" t="s">
        <v>1660</v>
      </c>
      <c r="E280" s="15" t="s">
        <v>1660</v>
      </c>
      <c r="F280" s="65" t="s">
        <v>788</v>
      </c>
      <c r="G280" s="66" t="s">
        <v>98</v>
      </c>
      <c r="H280" s="18" t="s">
        <v>1669</v>
      </c>
      <c r="I280" s="18" t="s">
        <v>8391</v>
      </c>
      <c r="J280" s="18" t="s">
        <v>98</v>
      </c>
      <c r="K280" s="18" t="s">
        <v>98</v>
      </c>
      <c r="L280" s="18" t="s">
        <v>98</v>
      </c>
      <c r="M280" s="18" t="s">
        <v>98</v>
      </c>
      <c r="N280" s="18" t="s">
        <v>98</v>
      </c>
      <c r="O280" s="18" t="s">
        <v>98</v>
      </c>
      <c r="P280" s="15" t="str">
        <f t="shared" si="1"/>
        <v>VERIFY</v>
      </c>
      <c r="Q280" s="15">
        <f t="shared" si="2"/>
        <v>5</v>
      </c>
      <c r="R280" s="15">
        <f t="shared" si="3"/>
        <v>4</v>
      </c>
      <c r="S280" s="15">
        <f t="shared" si="4"/>
        <v>2</v>
      </c>
      <c r="T280" s="15" t="str">
        <f t="shared" si="5"/>
        <v>B-1</v>
      </c>
      <c r="U280" s="15" t="str">
        <f t="shared" si="6"/>
        <v>T5-M4-H2-FB-1-VERIFY</v>
      </c>
      <c r="V280" s="15">
        <f t="shared" si="7"/>
        <v>0</v>
      </c>
      <c r="W280" s="31"/>
      <c r="X280" s="15" t="str">
        <f t="shared" si="8"/>
        <v>ajmer</v>
      </c>
      <c r="Y280" s="32" t="str">
        <f t="shared" si="9"/>
        <v>https://steelmanufacturer.in/market-area/electropolished-pipes-manufacturer-in-ajmer/</v>
      </c>
      <c r="Z280" s="15" t="str">
        <f t="shared" si="10"/>
        <v>Electropolished Pipes Manufacturer in Ajmer</v>
      </c>
      <c r="AA280" s="15" t="str">
        <f t="shared" si="11"/>
        <v>OK (43)</v>
      </c>
      <c r="AB280" s="15" t="str">
        <f t="shared" si="12"/>
        <v>Sanitary electropolished pipes in Ajmer for VERIFY plants. ASME BPE SF1-SF4, orbital-weld ready, 3.1 MTC. Mumbai-made.</v>
      </c>
      <c r="AC280" s="15" t="str">
        <f t="shared" si="13"/>
        <v>PENDING RESEARCH</v>
      </c>
      <c r="AD280" s="15" t="str">
        <f t="shared" si="14"/>
        <v>Electropolished Pipes Manufacturer in Ajmer</v>
      </c>
      <c r="AE280" s="15" t="str">
        <f t="shared" si="15"/>
        <v>How We Manufacture Electropolished Tube for Ajmer Plants</v>
      </c>
      <c r="AF280" s="15" t="str">
        <f t="shared" si="16"/>
        <v>Supplying Electropolished Pipes in Ajmer: Availability, Sizes &amp; Dispatch</v>
      </c>
      <c r="AG280" s="15" t="str">
        <f t="shared" si="17"/>
        <v>Wholesale Electropolished Pipe Supply for Ajmer Projects</v>
      </c>
      <c r="AH280" s="15" t="str">
        <f t="shared" si="18"/>
        <v>electropolished pipes manufacturer in Ajmer, electropolished pipes supplier in Ajmer, electropolished pipes wholesaler in Ajmer, electropolished tube manufacturer Ajmer, EP pipe supplier Ajmer, sanitary tube supplier Ajmer, ASME BPE tubing Ajmer, ASTM A270 tube Ajmer, SS 316L electropolished pipe Ajmer</v>
      </c>
      <c r="AI280" s="15" t="str">
        <f t="shared" si="19"/>
        <v>Electropolished Pipes Manufacturer &amp; Supplier in Ajmer</v>
      </c>
      <c r="AJ280" s="15" t="str">
        <f t="shared" si="20"/>
        <v>EP-finished SS 304/316L pipes and tubes for VERIFY plants in Ajmer. ASME BPE SF1-SF4, Ra from 0.25 um, EN 10204 3.1 certificate with every lot.</v>
      </c>
      <c r="AK280" s="15" t="str">
        <f t="shared" si="21"/>
        <v>Electropolished stainless steel pipes supplied by Sakshi Forge to VERIFY plants at RIICO Industrial Area, Ajmer</v>
      </c>
      <c r="AL280" s="15" t="str">
        <f t="shared" si="22"/>
        <v>Electropolished SS 316L tube stock for Ajmer - Sakshi Forge</v>
      </c>
      <c r="AM280" s="15" t="str">
        <f t="shared" si="23"/>
        <v>Home &gt; Market Area &gt; India &gt; Rajasthan &gt; Ajmer</v>
      </c>
      <c r="AN280" s="15">
        <f t="shared" si="24"/>
        <v>1000</v>
      </c>
      <c r="AO280" s="15">
        <f t="shared" si="25"/>
        <v>8</v>
      </c>
      <c r="AP280" s="15">
        <f t="shared" si="26"/>
        <v>8</v>
      </c>
      <c r="AQ280" s="15">
        <f t="shared" si="27"/>
        <v>5</v>
      </c>
      <c r="AR280" s="31"/>
      <c r="AS280" s="31"/>
      <c r="AT280" s="35" t="s">
        <v>222</v>
      </c>
      <c r="AU280" s="35"/>
    </row>
    <row r="281" ht="15.75" customHeight="1">
      <c r="A281" s="15" t="s">
        <v>1673</v>
      </c>
      <c r="B281" s="15" t="s">
        <v>60</v>
      </c>
      <c r="C281" s="15" t="s">
        <v>264</v>
      </c>
      <c r="D281" s="15" t="s">
        <v>1677</v>
      </c>
      <c r="E281" s="15" t="s">
        <v>1677</v>
      </c>
      <c r="F281" s="65" t="s">
        <v>788</v>
      </c>
      <c r="G281" s="66" t="s">
        <v>98</v>
      </c>
      <c r="H281" s="18" t="s">
        <v>1681</v>
      </c>
      <c r="I281" s="18" t="s">
        <v>8395</v>
      </c>
      <c r="J281" s="18" t="s">
        <v>98</v>
      </c>
      <c r="K281" s="18" t="s">
        <v>98</v>
      </c>
      <c r="L281" s="18" t="s">
        <v>98</v>
      </c>
      <c r="M281" s="18" t="s">
        <v>98</v>
      </c>
      <c r="N281" s="18" t="s">
        <v>98</v>
      </c>
      <c r="O281" s="18" t="s">
        <v>98</v>
      </c>
      <c r="P281" s="15" t="str">
        <f t="shared" si="1"/>
        <v>VERIFY</v>
      </c>
      <c r="Q281" s="15">
        <f t="shared" si="2"/>
        <v>6</v>
      </c>
      <c r="R281" s="15">
        <f t="shared" si="3"/>
        <v>5</v>
      </c>
      <c r="S281" s="15">
        <f t="shared" si="4"/>
        <v>3</v>
      </c>
      <c r="T281" s="15" t="str">
        <f t="shared" si="5"/>
        <v>B-2</v>
      </c>
      <c r="U281" s="15" t="str">
        <f t="shared" si="6"/>
        <v>T6-M5-H3-FB-2-VERIFY</v>
      </c>
      <c r="V281" s="15">
        <f t="shared" si="7"/>
        <v>0</v>
      </c>
      <c r="W281" s="31"/>
      <c r="X281" s="15" t="str">
        <f t="shared" si="8"/>
        <v>akola</v>
      </c>
      <c r="Y281" s="32" t="str">
        <f t="shared" si="9"/>
        <v>https://steelmanufacturer.in/market-area/electropolished-pipes-manufacturer-in-akola/</v>
      </c>
      <c r="Z281" s="15" t="str">
        <f t="shared" si="10"/>
        <v>Electropolished Pipes Manufacturer in Akola</v>
      </c>
      <c r="AA281" s="15" t="str">
        <f t="shared" si="11"/>
        <v>OK (43)</v>
      </c>
      <c r="AB281" s="15" t="str">
        <f t="shared" si="12"/>
        <v>Manufacturer of electropolished SS 316L tube serving Akola. VERIFY. Ra 0.25-0.5 um, EN 10204 3.1 MTC.</v>
      </c>
      <c r="AC281" s="15" t="str">
        <f t="shared" si="13"/>
        <v>PENDING RESEARCH</v>
      </c>
      <c r="AD281" s="15" t="str">
        <f t="shared" si="14"/>
        <v>Electropolished Pipes Manufacturer in Akola</v>
      </c>
      <c r="AE281" s="15" t="str">
        <f t="shared" si="15"/>
        <v>Electropolished Pipes Manufacturer in Akola - Our Process &amp; Capability</v>
      </c>
      <c r="AF281" s="15" t="str">
        <f t="shared" si="16"/>
        <v>Electropolished Pipes Supplier in Akola - What We Hold in Stock</v>
      </c>
      <c r="AG281" s="15" t="str">
        <f t="shared" si="17"/>
        <v>Bulk &amp; Wholesale Electropolished Pipe Rates for Akola Buyers</v>
      </c>
      <c r="AH281" s="15" t="str">
        <f t="shared" si="18"/>
        <v>electropolished pipes manufacturer in Akola, electropolished pipes supplier in Akola, electropolished pipes wholesaler in Akola, electropolished tube manufacturer Akola, EP pipe supplier Akola, sanitary tube supplier Akola, ASME BPE tubing Akola, ASTM A270 tube Akola, SS 316L electropolished pipe Akola</v>
      </c>
      <c r="AI281" s="15" t="str">
        <f t="shared" si="19"/>
        <v>Electropolished Pipes Manufacturer &amp; Supplier in Akola</v>
      </c>
      <c r="AJ281" s="15" t="str">
        <f t="shared" si="20"/>
        <v>EP-finished SS 304/316L pipes and tubes for VERIFY plants in Akola. ASME BPE SF1-SF4, Ra from 0.25 um, EN 10204 3.1 certificate with every lot.</v>
      </c>
      <c r="AK281" s="15" t="str">
        <f t="shared" si="21"/>
        <v>Electropolished stainless steel pipes supplied by Sakshi Forge to VERIFY plants at MIDC Industrial Area, Akola</v>
      </c>
      <c r="AL281" s="15" t="str">
        <f t="shared" si="22"/>
        <v>Electropolished SS 316L tube stock for Akola - Sakshi Forge</v>
      </c>
      <c r="AM281" s="15" t="str">
        <f t="shared" si="23"/>
        <v>Home &gt; Market Area &gt; India &gt; Maharashtra &gt; Akola</v>
      </c>
      <c r="AN281" s="15">
        <f t="shared" si="24"/>
        <v>1000</v>
      </c>
      <c r="AO281" s="15">
        <f t="shared" si="25"/>
        <v>8</v>
      </c>
      <c r="AP281" s="15">
        <f t="shared" si="26"/>
        <v>8</v>
      </c>
      <c r="AQ281" s="15">
        <f t="shared" si="27"/>
        <v>5</v>
      </c>
      <c r="AR281" s="31"/>
      <c r="AS281" s="31"/>
      <c r="AT281" s="35" t="s">
        <v>222</v>
      </c>
      <c r="AU281" s="35"/>
    </row>
    <row r="282" ht="15.75" customHeight="1">
      <c r="A282" s="15" t="s">
        <v>1684</v>
      </c>
      <c r="B282" s="15" t="s">
        <v>60</v>
      </c>
      <c r="C282" s="15" t="s">
        <v>1687</v>
      </c>
      <c r="D282" s="15" t="s">
        <v>1688</v>
      </c>
      <c r="E282" s="15" t="s">
        <v>1688</v>
      </c>
      <c r="F282" s="65" t="s">
        <v>788</v>
      </c>
      <c r="G282" s="66" t="s">
        <v>98</v>
      </c>
      <c r="H282" s="18" t="s">
        <v>1700</v>
      </c>
      <c r="I282" s="18" t="s">
        <v>8397</v>
      </c>
      <c r="J282" s="18" t="s">
        <v>98</v>
      </c>
      <c r="K282" s="18" t="s">
        <v>98</v>
      </c>
      <c r="L282" s="18" t="s">
        <v>98</v>
      </c>
      <c r="M282" s="18" t="s">
        <v>98</v>
      </c>
      <c r="N282" s="18" t="s">
        <v>98</v>
      </c>
      <c r="O282" s="18" t="s">
        <v>98</v>
      </c>
      <c r="P282" s="15" t="str">
        <f t="shared" si="1"/>
        <v>VERIFY</v>
      </c>
      <c r="Q282" s="15">
        <f t="shared" si="2"/>
        <v>7</v>
      </c>
      <c r="R282" s="15">
        <f t="shared" si="3"/>
        <v>6</v>
      </c>
      <c r="S282" s="15">
        <f t="shared" si="4"/>
        <v>4</v>
      </c>
      <c r="T282" s="15" t="str">
        <f t="shared" si="5"/>
        <v>B-3</v>
      </c>
      <c r="U282" s="15" t="str">
        <f t="shared" si="6"/>
        <v>T7-M6-H4-FB-3-VERIFY</v>
      </c>
      <c r="V282" s="15">
        <f t="shared" si="7"/>
        <v>0</v>
      </c>
      <c r="W282" s="31"/>
      <c r="X282" s="15" t="str">
        <f t="shared" si="8"/>
        <v>alappuzha</v>
      </c>
      <c r="Y282" s="32" t="str">
        <f t="shared" si="9"/>
        <v>https://steelmanufacturer.in/market-area/electropolished-pipes-manufacturer-in-alappuzha/</v>
      </c>
      <c r="Z282" s="15" t="str">
        <f t="shared" si="10"/>
        <v>Electropolished Pipes Manufacturer in Alappuzha</v>
      </c>
      <c r="AA282" s="15" t="str">
        <f t="shared" si="11"/>
        <v>OK (47)</v>
      </c>
      <c r="AB282" s="15" t="str">
        <f t="shared" si="12"/>
        <v>EP tube and pipe for VERIFY plants around KINFRA Industrial Area, Alappuzha. Made at our Mumbai works to ASTM A270 and ASME BPE SF1-SF4, with 3.1 MTC.</v>
      </c>
      <c r="AC282" s="15" t="str">
        <f t="shared" si="13"/>
        <v>PENDING RESEARCH</v>
      </c>
      <c r="AD282" s="15" t="str">
        <f t="shared" si="14"/>
        <v>Electropolished Pipes Manufacturer in Alappuzha</v>
      </c>
      <c r="AE282" s="15" t="str">
        <f t="shared" si="15"/>
        <v>Manufacturing Electropolished SS Tube for Alappuzha: The Standards We Build To</v>
      </c>
      <c r="AF282" s="15" t="str">
        <f t="shared" si="16"/>
        <v>Electropolished Pipe Supply Into Alappuzha - Certification &amp; Transit</v>
      </c>
      <c r="AG282" s="15" t="str">
        <f t="shared" si="17"/>
        <v>Electropolished Pipes Wholesaler in Alappuzha - Project Quantities &amp; Terms</v>
      </c>
      <c r="AH282" s="15" t="str">
        <f t="shared" si="18"/>
        <v>electropolished pipes manufacturer in Alappuzha, electropolished pipes supplier in Alappuzha, electropolished pipes wholesaler in Alappuzha, electropolished tube manufacturer Alappuzha, EP pipe supplier Alappuzha, sanitary tube supplier Alappuzha, ASME BPE tubing Alappuzha, ASTM A270 tube Alappuzha, SS 316L electropolished pipe Alappuzha</v>
      </c>
      <c r="AI282" s="15" t="str">
        <f t="shared" si="19"/>
        <v>Electropolished Pipes Manufacturer &amp; Supplier in Alappuzha</v>
      </c>
      <c r="AJ282" s="15" t="str">
        <f t="shared" si="20"/>
        <v>EP-finished SS 304/316L pipes and tubes for VERIFY plants in Alappuzha. ASME BPE SF1-SF4, Ra from 0.25 um, EN 10204 3.1 certificate with every lot.</v>
      </c>
      <c r="AK282" s="15" t="str">
        <f t="shared" si="21"/>
        <v>Electropolished stainless steel pipes supplied by Sakshi Forge to VERIFY plants at KINFRA Industrial Area, Alappuzha</v>
      </c>
      <c r="AL282" s="15" t="str">
        <f t="shared" si="22"/>
        <v>Electropolished SS 316L tube stock for Alappuzha - Sakshi Forge</v>
      </c>
      <c r="AM282" s="15" t="str">
        <f t="shared" si="23"/>
        <v>Home &gt; Market Area &gt; India &gt; Kerala &gt; Alappuzha</v>
      </c>
      <c r="AN282" s="15">
        <f t="shared" si="24"/>
        <v>1000</v>
      </c>
      <c r="AO282" s="15">
        <f t="shared" si="25"/>
        <v>8</v>
      </c>
      <c r="AP282" s="15">
        <f t="shared" si="26"/>
        <v>8</v>
      </c>
      <c r="AQ282" s="15">
        <f t="shared" si="27"/>
        <v>5</v>
      </c>
      <c r="AR282" s="31"/>
      <c r="AS282" s="31"/>
      <c r="AT282" s="35" t="s">
        <v>222</v>
      </c>
      <c r="AU282" s="35"/>
    </row>
    <row r="283" ht="15.75" customHeight="1">
      <c r="A283" s="15" t="s">
        <v>1704</v>
      </c>
      <c r="B283" s="15" t="s">
        <v>60</v>
      </c>
      <c r="C283" s="15" t="s">
        <v>85</v>
      </c>
      <c r="D283" s="15" t="s">
        <v>1707</v>
      </c>
      <c r="E283" s="15" t="s">
        <v>1707</v>
      </c>
      <c r="F283" s="65" t="s">
        <v>788</v>
      </c>
      <c r="G283" s="66" t="s">
        <v>98</v>
      </c>
      <c r="H283" s="18" t="s">
        <v>1712</v>
      </c>
      <c r="I283" s="18" t="s">
        <v>8398</v>
      </c>
      <c r="J283" s="18" t="s">
        <v>98</v>
      </c>
      <c r="K283" s="18" t="s">
        <v>98</v>
      </c>
      <c r="L283" s="18" t="s">
        <v>98</v>
      </c>
      <c r="M283" s="18" t="s">
        <v>98</v>
      </c>
      <c r="N283" s="18" t="s">
        <v>98</v>
      </c>
      <c r="O283" s="18" t="s">
        <v>98</v>
      </c>
      <c r="P283" s="15" t="str">
        <f t="shared" si="1"/>
        <v>VERIFY</v>
      </c>
      <c r="Q283" s="15">
        <f t="shared" si="2"/>
        <v>8</v>
      </c>
      <c r="R283" s="15">
        <f t="shared" si="3"/>
        <v>7</v>
      </c>
      <c r="S283" s="15">
        <f t="shared" si="4"/>
        <v>5</v>
      </c>
      <c r="T283" s="15" t="str">
        <f t="shared" si="5"/>
        <v>B-4</v>
      </c>
      <c r="U283" s="15" t="str">
        <f t="shared" si="6"/>
        <v>T8-M7-H5-FB-4-VERIFY</v>
      </c>
      <c r="V283" s="15">
        <f t="shared" si="7"/>
        <v>0</v>
      </c>
      <c r="W283" s="31"/>
      <c r="X283" s="15" t="str">
        <f t="shared" si="8"/>
        <v>aligarh</v>
      </c>
      <c r="Y283" s="32" t="str">
        <f t="shared" si="9"/>
        <v>https://steelmanufacturer.in/market-area/electropolished-pipes-manufacturer-in-aligarh/</v>
      </c>
      <c r="Z283" s="15" t="str">
        <f t="shared" si="10"/>
        <v>Electropolished Pipes Manufacturer in Aligarh - EP Tube Stockist</v>
      </c>
      <c r="AA283" s="15" t="str">
        <f t="shared" si="11"/>
        <v>OK (64)</v>
      </c>
      <c r="AB283" s="15" t="str">
        <f t="shared" si="12"/>
        <v>Electropolished pipes in Aligarh: 304, 304L, 316 and 316L in SF1-SF4. VERIFY. Mill certified.</v>
      </c>
      <c r="AC283" s="15" t="str">
        <f t="shared" si="13"/>
        <v>PENDING RESEARCH</v>
      </c>
      <c r="AD283" s="15" t="str">
        <f t="shared" si="14"/>
        <v>Electropolished Pipes Manufacturer in Aligarh</v>
      </c>
      <c r="AE283" s="15" t="str">
        <f t="shared" si="15"/>
        <v>Electropolished Tube Manufacturing Capability Serving Aligarh</v>
      </c>
      <c r="AF283" s="15" t="str">
        <f t="shared" si="16"/>
        <v>Electropolished Pipes Supplier in Aligarh - From Order to Delivery</v>
      </c>
      <c r="AG283" s="15" t="str">
        <f t="shared" si="17"/>
        <v>Stockist &amp; Wholesale Supply of Electropolished Pipes in Aligarh</v>
      </c>
      <c r="AH283" s="15" t="str">
        <f t="shared" si="18"/>
        <v>electropolished pipes manufacturer in Aligarh, electropolished pipes supplier in Aligarh, electropolished pipes wholesaler in Aligarh, electropolished tube manufacturer Aligarh, EP pipe supplier Aligarh, sanitary tube supplier Aligarh, ASME BPE tubing Aligarh, ASTM A270 tube Aligarh, SS 316L electropolished pipe Aligarh</v>
      </c>
      <c r="AI283" s="15" t="str">
        <f t="shared" si="19"/>
        <v>Electropolished Pipes Manufacturer &amp; Supplier in Aligarh</v>
      </c>
      <c r="AJ283" s="15" t="str">
        <f t="shared" si="20"/>
        <v>EP-finished SS 304/316L pipes and tubes for VERIFY plants in Aligarh. ASME BPE SF1-SF4, Ra from 0.25 um, EN 10204 3.1 certificate with every lot.</v>
      </c>
      <c r="AK283" s="15" t="str">
        <f t="shared" si="21"/>
        <v>Electropolished stainless steel pipes supplied by Sakshi Forge to VERIFY plants at UPSIDA Industrial Area, Aligarh</v>
      </c>
      <c r="AL283" s="15" t="str">
        <f t="shared" si="22"/>
        <v>Electropolished SS 316L tube stock for Aligarh - Sakshi Forge</v>
      </c>
      <c r="AM283" s="15" t="str">
        <f t="shared" si="23"/>
        <v>Home &gt; Market Area &gt; India &gt; Uttar Pradesh &gt; Aligarh</v>
      </c>
      <c r="AN283" s="15">
        <f t="shared" si="24"/>
        <v>1000</v>
      </c>
      <c r="AO283" s="15">
        <f t="shared" si="25"/>
        <v>8</v>
      </c>
      <c r="AP283" s="15">
        <f t="shared" si="26"/>
        <v>8</v>
      </c>
      <c r="AQ283" s="15">
        <f t="shared" si="27"/>
        <v>5</v>
      </c>
      <c r="AR283" s="31"/>
      <c r="AS283" s="31"/>
      <c r="AT283" s="35" t="s">
        <v>222</v>
      </c>
      <c r="AU283" s="35"/>
    </row>
    <row r="284" ht="15.75" customHeight="1">
      <c r="A284" s="15" t="s">
        <v>1716</v>
      </c>
      <c r="B284" s="15" t="s">
        <v>60</v>
      </c>
      <c r="C284" s="15" t="s">
        <v>1687</v>
      </c>
      <c r="D284" s="15" t="s">
        <v>1722</v>
      </c>
      <c r="E284" s="15" t="s">
        <v>1722</v>
      </c>
      <c r="F284" s="65" t="s">
        <v>788</v>
      </c>
      <c r="G284" s="66" t="s">
        <v>98</v>
      </c>
      <c r="H284" s="18" t="s">
        <v>1731</v>
      </c>
      <c r="I284" s="18" t="s">
        <v>8397</v>
      </c>
      <c r="J284" s="18" t="s">
        <v>98</v>
      </c>
      <c r="K284" s="18" t="s">
        <v>98</v>
      </c>
      <c r="L284" s="18" t="s">
        <v>98</v>
      </c>
      <c r="M284" s="18" t="s">
        <v>98</v>
      </c>
      <c r="N284" s="18" t="s">
        <v>98</v>
      </c>
      <c r="O284" s="18" t="s">
        <v>98</v>
      </c>
      <c r="P284" s="15" t="str">
        <f t="shared" si="1"/>
        <v>VERIFY</v>
      </c>
      <c r="Q284" s="15">
        <f t="shared" si="2"/>
        <v>1</v>
      </c>
      <c r="R284" s="15">
        <f t="shared" si="3"/>
        <v>1</v>
      </c>
      <c r="S284" s="15">
        <f t="shared" si="4"/>
        <v>1</v>
      </c>
      <c r="T284" s="15" t="str">
        <f t="shared" si="5"/>
        <v>B-5</v>
      </c>
      <c r="U284" s="15" t="str">
        <f t="shared" si="6"/>
        <v>T1-M1-H1-FB-5-VERIFY</v>
      </c>
      <c r="V284" s="15">
        <f t="shared" si="7"/>
        <v>0</v>
      </c>
      <c r="W284" s="31"/>
      <c r="X284" s="15" t="str">
        <f t="shared" si="8"/>
        <v>aluva</v>
      </c>
      <c r="Y284" s="32" t="str">
        <f t="shared" si="9"/>
        <v>https://steelmanufacturer.in/market-area/electropolished-pipes-manufacturer-in-aluva/</v>
      </c>
      <c r="Z284" s="15" t="str">
        <f t="shared" si="10"/>
        <v>Electropolished Pipes Manufacturer in Aluva | Sakshi Forge</v>
      </c>
      <c r="AA284" s="15" t="str">
        <f t="shared" si="11"/>
        <v>OK (58)</v>
      </c>
      <c r="AB284" s="15" t="str">
        <f t="shared" si="12"/>
        <v>EP-finished SS 304/316L pipes &amp; tubes for VERIFY plants in Aluva. ASTM A270, ASME BPE SF1-SF4, EN 10204 3.1 MTC. PMI tested.</v>
      </c>
      <c r="AC284" s="15" t="str">
        <f t="shared" si="13"/>
        <v>PENDING RESEARCH</v>
      </c>
      <c r="AD284" s="15" t="str">
        <f t="shared" si="14"/>
        <v>Electropolished Pipes Manufacturer in Aluva</v>
      </c>
      <c r="AE284" s="15" t="str">
        <f t="shared" si="15"/>
        <v>Electropolished Pipe &amp; Tube Manufacturing for Aluva - Grades, Finishes &amp; Certification</v>
      </c>
      <c r="AF284" s="15" t="str">
        <f t="shared" si="16"/>
        <v>Electropolished Pipes Supplier in Aluva - Stock Sizes, Lead Time &amp; Delivery</v>
      </c>
      <c r="AG284" s="15" t="str">
        <f t="shared" si="17"/>
        <v>Electropolished Pipes Wholesaler &amp; Stockist in Aluva - Bulk &amp; Project Pricing</v>
      </c>
      <c r="AH284" s="15" t="str">
        <f t="shared" si="18"/>
        <v>electropolished pipes manufacturer in Aluva, electropolished pipes supplier in Aluva, electropolished pipes wholesaler in Aluva, electropolished tube manufacturer Aluva, EP pipe supplier Aluva, sanitary tube supplier Aluva, ASME BPE tubing Aluva, ASTM A270 tube Aluva, SS 316L electropolished pipe Aluva</v>
      </c>
      <c r="AI284" s="15" t="str">
        <f t="shared" si="19"/>
        <v>Electropolished Pipes Manufacturer &amp; Supplier in Aluva</v>
      </c>
      <c r="AJ284" s="15" t="str">
        <f t="shared" si="20"/>
        <v>EP-finished SS 304/316L pipes and tubes for VERIFY plants in Aluva. ASME BPE SF1-SF4, Ra from 0.25 um, EN 10204 3.1 certificate with every lot.</v>
      </c>
      <c r="AK284" s="15" t="str">
        <f t="shared" si="21"/>
        <v>Electropolished stainless steel pipes supplied by Sakshi Forge to VERIFY plants at KINFRA Industrial Area, Aluva</v>
      </c>
      <c r="AL284" s="15" t="str">
        <f t="shared" si="22"/>
        <v>Electropolished SS 316L tube stock for Aluva - Sakshi Forge</v>
      </c>
      <c r="AM284" s="15" t="str">
        <f t="shared" si="23"/>
        <v>Home &gt; Market Area &gt; India &gt; Kerala &gt; Aluva</v>
      </c>
      <c r="AN284" s="15">
        <f t="shared" si="24"/>
        <v>1000</v>
      </c>
      <c r="AO284" s="15">
        <f t="shared" si="25"/>
        <v>8</v>
      </c>
      <c r="AP284" s="15">
        <f t="shared" si="26"/>
        <v>8</v>
      </c>
      <c r="AQ284" s="15">
        <f t="shared" si="27"/>
        <v>5</v>
      </c>
      <c r="AR284" s="31"/>
      <c r="AS284" s="31"/>
      <c r="AT284" s="35" t="s">
        <v>222</v>
      </c>
      <c r="AU284" s="35"/>
    </row>
    <row r="285" ht="15.75" customHeight="1">
      <c r="A285" s="15" t="s">
        <v>1737</v>
      </c>
      <c r="B285" s="15" t="s">
        <v>60</v>
      </c>
      <c r="C285" s="15" t="s">
        <v>775</v>
      </c>
      <c r="D285" s="15" t="s">
        <v>1739</v>
      </c>
      <c r="E285" s="15" t="s">
        <v>1739</v>
      </c>
      <c r="F285" s="65" t="s">
        <v>788</v>
      </c>
      <c r="G285" s="66" t="s">
        <v>98</v>
      </c>
      <c r="H285" s="18" t="s">
        <v>1743</v>
      </c>
      <c r="I285" s="18" t="s">
        <v>8399</v>
      </c>
      <c r="J285" s="18" t="s">
        <v>98</v>
      </c>
      <c r="K285" s="18" t="s">
        <v>98</v>
      </c>
      <c r="L285" s="18" t="s">
        <v>98</v>
      </c>
      <c r="M285" s="18" t="s">
        <v>98</v>
      </c>
      <c r="N285" s="18" t="s">
        <v>98</v>
      </c>
      <c r="O285" s="18" t="s">
        <v>98</v>
      </c>
      <c r="P285" s="15" t="str">
        <f t="shared" si="1"/>
        <v>VERIFY</v>
      </c>
      <c r="Q285" s="15">
        <f t="shared" si="2"/>
        <v>2</v>
      </c>
      <c r="R285" s="15">
        <f t="shared" si="3"/>
        <v>2</v>
      </c>
      <c r="S285" s="15">
        <f t="shared" si="4"/>
        <v>2</v>
      </c>
      <c r="T285" s="15" t="str">
        <f t="shared" si="5"/>
        <v>B-6</v>
      </c>
      <c r="U285" s="15" t="str">
        <f t="shared" si="6"/>
        <v>T2-M2-H2-FB-6-VERIFY</v>
      </c>
      <c r="V285" s="15">
        <f t="shared" si="7"/>
        <v>0</v>
      </c>
      <c r="W285" s="31"/>
      <c r="X285" s="15" t="str">
        <f t="shared" si="8"/>
        <v>ambikapur</v>
      </c>
      <c r="Y285" s="32" t="str">
        <f t="shared" si="9"/>
        <v>https://steelmanufacturer.in/market-area/electropolished-pipes-manufacturer-in-ambikapur/</v>
      </c>
      <c r="Z285" s="15" t="str">
        <f t="shared" si="10"/>
        <v>Electropolished Pipes Manufacturer in Ambikapur</v>
      </c>
      <c r="AA285" s="15" t="str">
        <f t="shared" si="11"/>
        <v>OK (47)</v>
      </c>
      <c r="AB285" s="15" t="str">
        <f t="shared" si="12"/>
        <v>Electropolished tube supply to CSIDC Industrial Area, Ambikapur. Ra from 0.25 um, SF4 finish, mill test certificate with every lot.</v>
      </c>
      <c r="AC285" s="15" t="str">
        <f t="shared" si="13"/>
        <v>PENDING RESEARCH</v>
      </c>
      <c r="AD285" s="15" t="str">
        <f t="shared" si="14"/>
        <v>Electropolished Pipes Manufacturer in Ambikapur</v>
      </c>
      <c r="AE285" s="15" t="str">
        <f t="shared" si="15"/>
        <v>How We Manufacture Electropolished Tube for Ambikapur Plants</v>
      </c>
      <c r="AF285" s="15" t="str">
        <f t="shared" si="16"/>
        <v>Supplying Electropolished Pipes in Ambikapur: Availability, Sizes &amp; Dispatch</v>
      </c>
      <c r="AG285" s="15" t="str">
        <f t="shared" si="17"/>
        <v>Wholesale Electropolished Pipe Supply for Ambikapur Projects</v>
      </c>
      <c r="AH285" s="15" t="str">
        <f t="shared" si="18"/>
        <v>electropolished pipes manufacturer in Ambikapur, electropolished pipes supplier in Ambikapur, electropolished pipes wholesaler in Ambikapur, electropolished tube manufacturer Ambikapur, EP pipe supplier Ambikapur, sanitary tube supplier Ambikapur, ASME BPE tubing Ambikapur, ASTM A270 tube Ambikapur, SS 316L electropolished pipe Ambikapur</v>
      </c>
      <c r="AI285" s="15" t="str">
        <f t="shared" si="19"/>
        <v>Electropolished Pipes Manufacturer &amp; Supplier in Ambikapur</v>
      </c>
      <c r="AJ285" s="15" t="str">
        <f t="shared" si="20"/>
        <v>EP-finished SS 304/316L pipes and tubes for VERIFY plants in Ambikapur. ASME BPE SF1-SF4, Ra from 0.25 um, EN 10204 3.1 certificate with every lot.</v>
      </c>
      <c r="AK285" s="15" t="str">
        <f t="shared" si="21"/>
        <v>Electropolished stainless steel pipes supplied by Sakshi Forge to VERIFY plants at CSIDC Industrial Area, Ambikapur</v>
      </c>
      <c r="AL285" s="15" t="str">
        <f t="shared" si="22"/>
        <v>Electropolished SS 316L tube stock for Ambikapur - Sakshi Forge</v>
      </c>
      <c r="AM285" s="15" t="str">
        <f t="shared" si="23"/>
        <v>Home &gt; Market Area &gt; India &gt; Chhattisgarh &gt; Ambikapur</v>
      </c>
      <c r="AN285" s="15">
        <f t="shared" si="24"/>
        <v>1000</v>
      </c>
      <c r="AO285" s="15">
        <f t="shared" si="25"/>
        <v>8</v>
      </c>
      <c r="AP285" s="15">
        <f t="shared" si="26"/>
        <v>8</v>
      </c>
      <c r="AQ285" s="15">
        <f t="shared" si="27"/>
        <v>5</v>
      </c>
      <c r="AR285" s="31"/>
      <c r="AS285" s="31"/>
      <c r="AT285" s="35" t="s">
        <v>222</v>
      </c>
      <c r="AU285" s="35"/>
    </row>
    <row r="286" ht="15.75" customHeight="1">
      <c r="A286" s="15" t="s">
        <v>1749</v>
      </c>
      <c r="B286" s="15" t="s">
        <v>60</v>
      </c>
      <c r="C286" s="15" t="s">
        <v>264</v>
      </c>
      <c r="D286" s="15" t="s">
        <v>1755</v>
      </c>
      <c r="E286" s="15" t="s">
        <v>1755</v>
      </c>
      <c r="F286" s="65" t="s">
        <v>788</v>
      </c>
      <c r="G286" s="66" t="s">
        <v>98</v>
      </c>
      <c r="H286" s="18" t="s">
        <v>1760</v>
      </c>
      <c r="I286" s="18" t="s">
        <v>8395</v>
      </c>
      <c r="J286" s="18" t="s">
        <v>98</v>
      </c>
      <c r="K286" s="18" t="s">
        <v>98</v>
      </c>
      <c r="L286" s="18" t="s">
        <v>98</v>
      </c>
      <c r="M286" s="18" t="s">
        <v>98</v>
      </c>
      <c r="N286" s="18" t="s">
        <v>98</v>
      </c>
      <c r="O286" s="18" t="s">
        <v>98</v>
      </c>
      <c r="P286" s="15" t="str">
        <f t="shared" si="1"/>
        <v>VERIFY</v>
      </c>
      <c r="Q286" s="15">
        <f t="shared" si="2"/>
        <v>3</v>
      </c>
      <c r="R286" s="15">
        <f t="shared" si="3"/>
        <v>3</v>
      </c>
      <c r="S286" s="15">
        <f t="shared" si="4"/>
        <v>3</v>
      </c>
      <c r="T286" s="15" t="str">
        <f t="shared" si="5"/>
        <v>B-1</v>
      </c>
      <c r="U286" s="15" t="str">
        <f t="shared" si="6"/>
        <v>T3-M3-H3-FB-1-VERIFY</v>
      </c>
      <c r="V286" s="15">
        <f t="shared" si="7"/>
        <v>0</v>
      </c>
      <c r="W286" s="31"/>
      <c r="X286" s="15" t="str">
        <f t="shared" si="8"/>
        <v>amravati</v>
      </c>
      <c r="Y286" s="32" t="str">
        <f t="shared" si="9"/>
        <v>https://steelmanufacturer.in/market-area/electropolished-pipes-manufacturer-in-amravati/</v>
      </c>
      <c r="Z286" s="15" t="str">
        <f t="shared" si="10"/>
        <v>Electropolished Pipes Manufacturer in Amravati | EP Tube Supplier</v>
      </c>
      <c r="AA286" s="15" t="str">
        <f t="shared" si="11"/>
        <v>OK (65)</v>
      </c>
      <c r="AB286" s="15" t="str">
        <f t="shared" si="12"/>
        <v>EP stainless tube for VERIFY lines in Amravati. VERIFY. ASTM A270 S2, PMI tested, EN 10204 3.1.</v>
      </c>
      <c r="AC286" s="15" t="str">
        <f t="shared" si="13"/>
        <v>PENDING RESEARCH</v>
      </c>
      <c r="AD286" s="15" t="str">
        <f t="shared" si="14"/>
        <v>Electropolished Pipes Manufacturer in Amravati</v>
      </c>
      <c r="AE286" s="15" t="str">
        <f t="shared" si="15"/>
        <v>Electropolished Pipes Manufacturer in Amravati - Our Process &amp; Capability</v>
      </c>
      <c r="AF286" s="15" t="str">
        <f t="shared" si="16"/>
        <v>Electropolished Pipes Supplier in Amravati - What We Hold in Stock</v>
      </c>
      <c r="AG286" s="15" t="str">
        <f t="shared" si="17"/>
        <v>Bulk &amp; Wholesale Electropolished Pipe Rates for Amravati Buyers</v>
      </c>
      <c r="AH286" s="15" t="str">
        <f t="shared" si="18"/>
        <v>electropolished pipes manufacturer in Amravati, electropolished pipes supplier in Amravati, electropolished pipes wholesaler in Amravati, electropolished tube manufacturer Amravati, EP pipe supplier Amravati, sanitary tube supplier Amravati, ASME BPE tubing Amravati, ASTM A270 tube Amravati, SS 316L electropolished pipe Amravati</v>
      </c>
      <c r="AI286" s="15" t="str">
        <f t="shared" si="19"/>
        <v>Electropolished Pipes Manufacturer &amp; Supplier in Amravati</v>
      </c>
      <c r="AJ286" s="15" t="str">
        <f t="shared" si="20"/>
        <v>EP-finished SS 304/316L pipes and tubes for VERIFY plants in Amravati. ASME BPE SF1-SF4, Ra from 0.25 um, EN 10204 3.1 certificate with every lot.</v>
      </c>
      <c r="AK286" s="15" t="str">
        <f t="shared" si="21"/>
        <v>Electropolished stainless steel pipes supplied by Sakshi Forge to VERIFY plants at MIDC Industrial Area, Amravati</v>
      </c>
      <c r="AL286" s="15" t="str">
        <f t="shared" si="22"/>
        <v>Electropolished SS 316L tube stock for Amravati - Sakshi Forge</v>
      </c>
      <c r="AM286" s="15" t="str">
        <f t="shared" si="23"/>
        <v>Home &gt; Market Area &gt; India &gt; Maharashtra &gt; Amravati</v>
      </c>
      <c r="AN286" s="15">
        <f t="shared" si="24"/>
        <v>1000</v>
      </c>
      <c r="AO286" s="15">
        <f t="shared" si="25"/>
        <v>8</v>
      </c>
      <c r="AP286" s="15">
        <f t="shared" si="26"/>
        <v>8</v>
      </c>
      <c r="AQ286" s="15">
        <f t="shared" si="27"/>
        <v>5</v>
      </c>
      <c r="AR286" s="31"/>
      <c r="AS286" s="31"/>
      <c r="AT286" s="35" t="s">
        <v>222</v>
      </c>
      <c r="AU286" s="35"/>
    </row>
    <row r="287" ht="15.75" customHeight="1">
      <c r="A287" s="15" t="s">
        <v>1764</v>
      </c>
      <c r="B287" s="15" t="s">
        <v>60</v>
      </c>
      <c r="C287" s="15" t="s">
        <v>224</v>
      </c>
      <c r="D287" s="15" t="s">
        <v>1768</v>
      </c>
      <c r="E287" s="15" t="s">
        <v>1768</v>
      </c>
      <c r="F287" s="65" t="s">
        <v>788</v>
      </c>
      <c r="G287" s="66" t="s">
        <v>98</v>
      </c>
      <c r="H287" s="18" t="s">
        <v>1774</v>
      </c>
      <c r="I287" s="18" t="s">
        <v>8400</v>
      </c>
      <c r="J287" s="18" t="s">
        <v>98</v>
      </c>
      <c r="K287" s="18" t="s">
        <v>98</v>
      </c>
      <c r="L287" s="18" t="s">
        <v>98</v>
      </c>
      <c r="M287" s="18" t="s">
        <v>98</v>
      </c>
      <c r="N287" s="18" t="s">
        <v>98</v>
      </c>
      <c r="O287" s="18" t="s">
        <v>98</v>
      </c>
      <c r="P287" s="15" t="str">
        <f t="shared" si="1"/>
        <v>VERIFY</v>
      </c>
      <c r="Q287" s="15">
        <f t="shared" si="2"/>
        <v>4</v>
      </c>
      <c r="R287" s="15">
        <f t="shared" si="3"/>
        <v>4</v>
      </c>
      <c r="S287" s="15">
        <f t="shared" si="4"/>
        <v>4</v>
      </c>
      <c r="T287" s="15" t="str">
        <f t="shared" si="5"/>
        <v>B-2</v>
      </c>
      <c r="U287" s="15" t="str">
        <f t="shared" si="6"/>
        <v>T4-M4-H4-FB-2-VERIFY</v>
      </c>
      <c r="V287" s="15">
        <f t="shared" si="7"/>
        <v>0</v>
      </c>
      <c r="W287" s="31"/>
      <c r="X287" s="15" t="str">
        <f t="shared" si="8"/>
        <v>amreli</v>
      </c>
      <c r="Y287" s="32" t="str">
        <f t="shared" si="9"/>
        <v>https://steelmanufacturer.in/market-area/electropolished-pipes-manufacturer-in-amreli/</v>
      </c>
      <c r="Z287" s="15" t="str">
        <f t="shared" si="10"/>
        <v>Electropolished Pipes Manufacturer in Amreli</v>
      </c>
      <c r="AA287" s="15" t="str">
        <f t="shared" si="11"/>
        <v>OK (44)</v>
      </c>
      <c r="AB287" s="15" t="str">
        <f t="shared" si="12"/>
        <v>Sanitary electropolished pipes in Amreli for VERIFY plants. ASME BPE SF1-SF4, orbital-weld ready, 3.1 MTC. Mumbai-made.</v>
      </c>
      <c r="AC287" s="15" t="str">
        <f t="shared" si="13"/>
        <v>PENDING RESEARCH</v>
      </c>
      <c r="AD287" s="15" t="str">
        <f t="shared" si="14"/>
        <v>Electropolished Pipes Manufacturer in Amreli</v>
      </c>
      <c r="AE287" s="15" t="str">
        <f t="shared" si="15"/>
        <v>Manufacturing Electropolished SS Tube for Amreli: The Standards We Build To</v>
      </c>
      <c r="AF287" s="15" t="str">
        <f t="shared" si="16"/>
        <v>Electropolished Pipe Supply Into Amreli - Certification &amp; Transit</v>
      </c>
      <c r="AG287" s="15" t="str">
        <f t="shared" si="17"/>
        <v>Electropolished Pipes Wholesaler in Amreli - Project Quantities &amp; Terms</v>
      </c>
      <c r="AH287" s="15" t="str">
        <f t="shared" si="18"/>
        <v>electropolished pipes manufacturer in Amreli, electropolished pipes supplier in Amreli, electropolished pipes wholesaler in Amreli, electropolished tube manufacturer Amreli, EP pipe supplier Amreli, sanitary tube supplier Amreli, ASME BPE tubing Amreli, ASTM A270 tube Amreli, SS 316L electropolished pipe Amreli</v>
      </c>
      <c r="AI287" s="15" t="str">
        <f t="shared" si="19"/>
        <v>Electropolished Pipes Manufacturer &amp; Supplier in Amreli</v>
      </c>
      <c r="AJ287" s="15" t="str">
        <f t="shared" si="20"/>
        <v>EP-finished SS 304/316L pipes and tubes for VERIFY plants in Amreli. ASME BPE SF1-SF4, Ra from 0.25 um, EN 10204 3.1 certificate with every lot.</v>
      </c>
      <c r="AK287" s="15" t="str">
        <f t="shared" si="21"/>
        <v>Electropolished stainless steel pipes supplied by Sakshi Forge to VERIFY plants at GIDC Industrial Area, Amreli</v>
      </c>
      <c r="AL287" s="15" t="str">
        <f t="shared" si="22"/>
        <v>Electropolished SS 316L tube stock for Amreli - Sakshi Forge</v>
      </c>
      <c r="AM287" s="15" t="str">
        <f t="shared" si="23"/>
        <v>Home &gt; Market Area &gt; India &gt; Gujarat &gt; Amreli</v>
      </c>
      <c r="AN287" s="15">
        <f t="shared" si="24"/>
        <v>1000</v>
      </c>
      <c r="AO287" s="15">
        <f t="shared" si="25"/>
        <v>8</v>
      </c>
      <c r="AP287" s="15">
        <f t="shared" si="26"/>
        <v>8</v>
      </c>
      <c r="AQ287" s="15">
        <f t="shared" si="27"/>
        <v>5</v>
      </c>
      <c r="AR287" s="31"/>
      <c r="AS287" s="31"/>
      <c r="AT287" s="35" t="s">
        <v>222</v>
      </c>
      <c r="AU287" s="35"/>
    </row>
    <row r="288" ht="15.75" customHeight="1">
      <c r="A288" s="15" t="s">
        <v>1778</v>
      </c>
      <c r="B288" s="15" t="s">
        <v>60</v>
      </c>
      <c r="C288" s="15" t="s">
        <v>1780</v>
      </c>
      <c r="D288" s="15" t="s">
        <v>1783</v>
      </c>
      <c r="E288" s="15" t="s">
        <v>1783</v>
      </c>
      <c r="F288" s="65" t="s">
        <v>788</v>
      </c>
      <c r="G288" s="66" t="s">
        <v>98</v>
      </c>
      <c r="H288" s="18" t="s">
        <v>1790</v>
      </c>
      <c r="I288" s="18" t="s">
        <v>8401</v>
      </c>
      <c r="J288" s="18" t="s">
        <v>98</v>
      </c>
      <c r="K288" s="18" t="s">
        <v>98</v>
      </c>
      <c r="L288" s="18" t="s">
        <v>98</v>
      </c>
      <c r="M288" s="18" t="s">
        <v>98</v>
      </c>
      <c r="N288" s="18" t="s">
        <v>98</v>
      </c>
      <c r="O288" s="18" t="s">
        <v>98</v>
      </c>
      <c r="P288" s="15" t="str">
        <f t="shared" si="1"/>
        <v>VERIFY</v>
      </c>
      <c r="Q288" s="15">
        <f t="shared" si="2"/>
        <v>5</v>
      </c>
      <c r="R288" s="15">
        <f t="shared" si="3"/>
        <v>5</v>
      </c>
      <c r="S288" s="15">
        <f t="shared" si="4"/>
        <v>5</v>
      </c>
      <c r="T288" s="15" t="str">
        <f t="shared" si="5"/>
        <v>B-3</v>
      </c>
      <c r="U288" s="15" t="str">
        <f t="shared" si="6"/>
        <v>T5-M5-H5-FB-3-VERIFY</v>
      </c>
      <c r="V288" s="15">
        <f t="shared" si="7"/>
        <v>0</v>
      </c>
      <c r="W288" s="31"/>
      <c r="X288" s="15" t="str">
        <f t="shared" si="8"/>
        <v>anantnag</v>
      </c>
      <c r="Y288" s="32" t="str">
        <f t="shared" si="9"/>
        <v>https://steelmanufacturer.in/market-area/electropolished-pipes-manufacturer-in-anantnag/</v>
      </c>
      <c r="Z288" s="15" t="str">
        <f t="shared" si="10"/>
        <v>Electropolished Pipes Manufacturer in Anantnag</v>
      </c>
      <c r="AA288" s="15" t="str">
        <f t="shared" si="11"/>
        <v>OK (46)</v>
      </c>
      <c r="AB288" s="15" t="str">
        <f t="shared" si="12"/>
        <v>Manufacturer of electropolished SS 316L tube serving Anantnag. VERIFY. Ra 0.25-0.5 um, EN 10204 3.1 MTC.</v>
      </c>
      <c r="AC288" s="15" t="str">
        <f t="shared" si="13"/>
        <v>PENDING RESEARCH</v>
      </c>
      <c r="AD288" s="15" t="str">
        <f t="shared" si="14"/>
        <v>Electropolished Pipes Manufacturer in Anantnag</v>
      </c>
      <c r="AE288" s="15" t="str">
        <f t="shared" si="15"/>
        <v>Electropolished Tube Manufacturing Capability Serving Anantnag</v>
      </c>
      <c r="AF288" s="15" t="str">
        <f t="shared" si="16"/>
        <v>Electropolished Pipes Supplier in Anantnag - From Order to Delivery</v>
      </c>
      <c r="AG288" s="15" t="str">
        <f t="shared" si="17"/>
        <v>Stockist &amp; Wholesale Supply of Electropolished Pipes in Anantnag</v>
      </c>
      <c r="AH288" s="15" t="str">
        <f t="shared" si="18"/>
        <v>electropolished pipes manufacturer in Anantnag, electropolished pipes supplier in Anantnag, electropolished pipes wholesaler in Anantnag, electropolished tube manufacturer Anantnag, EP pipe supplier Anantnag, sanitary tube supplier Anantnag, ASME BPE tubing Anantnag, ASTM A270 tube Anantnag, SS 316L electropolished pipe Anantnag</v>
      </c>
      <c r="AI288" s="15" t="str">
        <f t="shared" si="19"/>
        <v>Electropolished Pipes Manufacturer &amp; Supplier in Anantnag</v>
      </c>
      <c r="AJ288" s="15" t="str">
        <f t="shared" si="20"/>
        <v>EP-finished SS 304/316L pipes and tubes for VERIFY plants in Anantnag. ASME BPE SF1-SF4, Ra from 0.25 um, EN 10204 3.1 certificate with every lot.</v>
      </c>
      <c r="AK288" s="15" t="str">
        <f t="shared" si="21"/>
        <v>Electropolished stainless steel pipes supplied by Sakshi Forge to VERIFY plants at SIDCO Industrial Area, Anantnag</v>
      </c>
      <c r="AL288" s="15" t="str">
        <f t="shared" si="22"/>
        <v>Electropolished SS 316L tube stock for Anantnag - Sakshi Forge</v>
      </c>
      <c r="AM288" s="15" t="str">
        <f t="shared" si="23"/>
        <v>Home &gt; Market Area &gt; India &gt; Jammu &amp; Kashmir &gt; Anantnag</v>
      </c>
      <c r="AN288" s="15">
        <f t="shared" si="24"/>
        <v>1000</v>
      </c>
      <c r="AO288" s="15">
        <f t="shared" si="25"/>
        <v>8</v>
      </c>
      <c r="AP288" s="15">
        <f t="shared" si="26"/>
        <v>8</v>
      </c>
      <c r="AQ288" s="15">
        <f t="shared" si="27"/>
        <v>5</v>
      </c>
      <c r="AR288" s="31"/>
      <c r="AS288" s="31"/>
      <c r="AT288" s="35" t="s">
        <v>222</v>
      </c>
      <c r="AU288" s="35"/>
    </row>
    <row r="289" ht="15.75" customHeight="1">
      <c r="A289" s="15" t="s">
        <v>1795</v>
      </c>
      <c r="B289" s="15" t="s">
        <v>60</v>
      </c>
      <c r="C289" s="15" t="s">
        <v>1687</v>
      </c>
      <c r="D289" s="15" t="s">
        <v>1800</v>
      </c>
      <c r="E289" s="15" t="s">
        <v>1800</v>
      </c>
      <c r="F289" s="65" t="s">
        <v>788</v>
      </c>
      <c r="G289" s="66" t="s">
        <v>98</v>
      </c>
      <c r="H289" s="18" t="s">
        <v>1808</v>
      </c>
      <c r="I289" s="18" t="s">
        <v>8397</v>
      </c>
      <c r="J289" s="18" t="s">
        <v>98</v>
      </c>
      <c r="K289" s="18" t="s">
        <v>98</v>
      </c>
      <c r="L289" s="18" t="s">
        <v>98</v>
      </c>
      <c r="M289" s="18" t="s">
        <v>98</v>
      </c>
      <c r="N289" s="18" t="s">
        <v>98</v>
      </c>
      <c r="O289" s="18" t="s">
        <v>98</v>
      </c>
      <c r="P289" s="15" t="str">
        <f t="shared" si="1"/>
        <v>VERIFY</v>
      </c>
      <c r="Q289" s="15">
        <f t="shared" si="2"/>
        <v>6</v>
      </c>
      <c r="R289" s="15">
        <f t="shared" si="3"/>
        <v>6</v>
      </c>
      <c r="S289" s="15">
        <f t="shared" si="4"/>
        <v>1</v>
      </c>
      <c r="T289" s="15" t="str">
        <f t="shared" si="5"/>
        <v>B-4</v>
      </c>
      <c r="U289" s="15" t="str">
        <f t="shared" si="6"/>
        <v>T6-M6-H1-FB-4-VERIFY</v>
      </c>
      <c r="V289" s="15">
        <f t="shared" si="7"/>
        <v>0</v>
      </c>
      <c r="W289" s="31"/>
      <c r="X289" s="15" t="str">
        <f t="shared" si="8"/>
        <v>angamaly</v>
      </c>
      <c r="Y289" s="32" t="str">
        <f t="shared" si="9"/>
        <v>https://steelmanufacturer.in/market-area/electropolished-pipes-manufacturer-in-angamaly/</v>
      </c>
      <c r="Z289" s="15" t="str">
        <f t="shared" si="10"/>
        <v>Electropolished Pipes Manufacturer in Angamaly</v>
      </c>
      <c r="AA289" s="15" t="str">
        <f t="shared" si="11"/>
        <v>OK (46)</v>
      </c>
      <c r="AB289" s="15" t="str">
        <f t="shared" si="12"/>
        <v>EP tube and pipe for VERIFY plants around KINFRA Industrial Area, Angamaly. Made at our Mumbai works to ASTM A270 and ASME BPE SF1-SF4, with 3.1 MTC.</v>
      </c>
      <c r="AC289" s="15" t="str">
        <f t="shared" si="13"/>
        <v>PENDING RESEARCH</v>
      </c>
      <c r="AD289" s="15" t="str">
        <f t="shared" si="14"/>
        <v>Electropolished Pipes Manufacturer in Angamaly</v>
      </c>
      <c r="AE289" s="15" t="str">
        <f t="shared" si="15"/>
        <v>Electropolished Pipe &amp; Tube Manufacturing for Angamaly - Grades, Finishes &amp; Certification</v>
      </c>
      <c r="AF289" s="15" t="str">
        <f t="shared" si="16"/>
        <v>Electropolished Pipes Supplier in Angamaly - Stock Sizes, Lead Time &amp; Delivery</v>
      </c>
      <c r="AG289" s="15" t="str">
        <f t="shared" si="17"/>
        <v>Electropolished Pipes Wholesaler &amp; Stockist in Angamaly - Bulk &amp; Project Pricing</v>
      </c>
      <c r="AH289" s="15" t="str">
        <f t="shared" si="18"/>
        <v>electropolished pipes manufacturer in Angamaly, electropolished pipes supplier in Angamaly, electropolished pipes wholesaler in Angamaly, electropolished tube manufacturer Angamaly, EP pipe supplier Angamaly, sanitary tube supplier Angamaly, ASME BPE tubing Angamaly, ASTM A270 tube Angamaly, SS 316L electropolished pipe Angamaly</v>
      </c>
      <c r="AI289" s="15" t="str">
        <f t="shared" si="19"/>
        <v>Electropolished Pipes Manufacturer &amp; Supplier in Angamaly</v>
      </c>
      <c r="AJ289" s="15" t="str">
        <f t="shared" si="20"/>
        <v>EP-finished SS 304/316L pipes and tubes for VERIFY plants in Angamaly. ASME BPE SF1-SF4, Ra from 0.25 um, EN 10204 3.1 certificate with every lot.</v>
      </c>
      <c r="AK289" s="15" t="str">
        <f t="shared" si="21"/>
        <v>Electropolished stainless steel pipes supplied by Sakshi Forge to VERIFY plants at KINFRA Industrial Area, Angamaly</v>
      </c>
      <c r="AL289" s="15" t="str">
        <f t="shared" si="22"/>
        <v>Electropolished SS 316L tube stock for Angamaly - Sakshi Forge</v>
      </c>
      <c r="AM289" s="15" t="str">
        <f t="shared" si="23"/>
        <v>Home &gt; Market Area &gt; India &gt; Kerala &gt; Angamaly</v>
      </c>
      <c r="AN289" s="15">
        <f t="shared" si="24"/>
        <v>1000</v>
      </c>
      <c r="AO289" s="15">
        <f t="shared" si="25"/>
        <v>8</v>
      </c>
      <c r="AP289" s="15">
        <f t="shared" si="26"/>
        <v>8</v>
      </c>
      <c r="AQ289" s="15">
        <f t="shared" si="27"/>
        <v>5</v>
      </c>
      <c r="AR289" s="31"/>
      <c r="AS289" s="31"/>
      <c r="AT289" s="35" t="s">
        <v>222</v>
      </c>
      <c r="AU289" s="35"/>
    </row>
    <row r="290" ht="15.75" customHeight="1">
      <c r="A290" s="15" t="s">
        <v>1815</v>
      </c>
      <c r="B290" s="15" t="s">
        <v>60</v>
      </c>
      <c r="C290" s="15" t="s">
        <v>1818</v>
      </c>
      <c r="D290" s="15" t="s">
        <v>1823</v>
      </c>
      <c r="E290" s="15" t="s">
        <v>1823</v>
      </c>
      <c r="F290" s="65" t="s">
        <v>788</v>
      </c>
      <c r="G290" s="66" t="s">
        <v>98</v>
      </c>
      <c r="H290" s="18" t="s">
        <v>1831</v>
      </c>
      <c r="I290" s="18" t="s">
        <v>8402</v>
      </c>
      <c r="J290" s="18" t="s">
        <v>98</v>
      </c>
      <c r="K290" s="18" t="s">
        <v>98</v>
      </c>
      <c r="L290" s="18" t="s">
        <v>98</v>
      </c>
      <c r="M290" s="18" t="s">
        <v>98</v>
      </c>
      <c r="N290" s="18" t="s">
        <v>98</v>
      </c>
      <c r="O290" s="18" t="s">
        <v>98</v>
      </c>
      <c r="P290" s="15" t="str">
        <f t="shared" si="1"/>
        <v>VERIFY</v>
      </c>
      <c r="Q290" s="15">
        <f t="shared" si="2"/>
        <v>7</v>
      </c>
      <c r="R290" s="15">
        <f t="shared" si="3"/>
        <v>7</v>
      </c>
      <c r="S290" s="15">
        <f t="shared" si="4"/>
        <v>2</v>
      </c>
      <c r="T290" s="15" t="str">
        <f t="shared" si="5"/>
        <v>B-5</v>
      </c>
      <c r="U290" s="15" t="str">
        <f t="shared" si="6"/>
        <v>T7-M7-H2-FB-5-VERIFY</v>
      </c>
      <c r="V290" s="15">
        <f t="shared" si="7"/>
        <v>0</v>
      </c>
      <c r="W290" s="31"/>
      <c r="X290" s="15" t="str">
        <f t="shared" si="8"/>
        <v>ara</v>
      </c>
      <c r="Y290" s="32" t="str">
        <f t="shared" si="9"/>
        <v>https://steelmanufacturer.in/market-area/electropolished-pipes-manufacturer-in-ara/</v>
      </c>
      <c r="Z290" s="15" t="str">
        <f t="shared" si="10"/>
        <v>Electropolished Pipes Manufacturer in Ara | ASME BPE SF1-SF4</v>
      </c>
      <c r="AA290" s="15" t="str">
        <f t="shared" si="11"/>
        <v>OK (60)</v>
      </c>
      <c r="AB290" s="15" t="str">
        <f t="shared" si="12"/>
        <v>Electropolished pipes in Ara: 304, 304L, 316 and 316L in SF1-SF4. VERIFY. Mill certified.</v>
      </c>
      <c r="AC290" s="15" t="str">
        <f t="shared" si="13"/>
        <v>PENDING RESEARCH</v>
      </c>
      <c r="AD290" s="15" t="str">
        <f t="shared" si="14"/>
        <v>Electropolished Pipes Manufacturer in Ara</v>
      </c>
      <c r="AE290" s="15" t="str">
        <f t="shared" si="15"/>
        <v>How We Manufacture Electropolished Tube for Ara Plants</v>
      </c>
      <c r="AF290" s="15" t="str">
        <f t="shared" si="16"/>
        <v>Supplying Electropolished Pipes in Ara: Availability, Sizes &amp; Dispatch</v>
      </c>
      <c r="AG290" s="15" t="str">
        <f t="shared" si="17"/>
        <v>Wholesale Electropolished Pipe Supply for Ara Projects</v>
      </c>
      <c r="AH290" s="15" t="str">
        <f t="shared" si="18"/>
        <v>electropolished pipes manufacturer in Ara, electropolished pipes supplier in Ara, electropolished pipes wholesaler in Ara, electropolished tube manufacturer Ara, EP pipe supplier Ara, sanitary tube supplier Ara, ASME BPE tubing Ara, ASTM A270 tube Ara, SS 316L electropolished pipe Ara</v>
      </c>
      <c r="AI290" s="15" t="str">
        <f t="shared" si="19"/>
        <v>Electropolished Pipes Manufacturer &amp; Supplier in Ara</v>
      </c>
      <c r="AJ290" s="15" t="str">
        <f t="shared" si="20"/>
        <v>EP-finished SS 304/316L pipes and tubes for VERIFY plants in Ara. ASME BPE SF1-SF4, Ra from 0.25 um, EN 10204 3.1 certificate with every lot.</v>
      </c>
      <c r="AK290" s="15" t="str">
        <f t="shared" si="21"/>
        <v>Electropolished stainless steel pipes supplied by Sakshi Forge to VERIFY plants at BIADA Industrial Area, Ara</v>
      </c>
      <c r="AL290" s="15" t="str">
        <f t="shared" si="22"/>
        <v>Electropolished SS 316L tube stock for Ara - Sakshi Forge</v>
      </c>
      <c r="AM290" s="15" t="str">
        <f t="shared" si="23"/>
        <v>Home &gt; Market Area &gt; India &gt; Bihar &gt; Ara</v>
      </c>
      <c r="AN290" s="15">
        <f t="shared" si="24"/>
        <v>1000</v>
      </c>
      <c r="AO290" s="15">
        <f t="shared" si="25"/>
        <v>8</v>
      </c>
      <c r="AP290" s="15">
        <f t="shared" si="26"/>
        <v>8</v>
      </c>
      <c r="AQ290" s="15">
        <f t="shared" si="27"/>
        <v>5</v>
      </c>
      <c r="AR290" s="31"/>
      <c r="AS290" s="31"/>
      <c r="AT290" s="35" t="s">
        <v>222</v>
      </c>
      <c r="AU290" s="35"/>
    </row>
    <row r="291" ht="15.75" customHeight="1">
      <c r="A291" s="15" t="s">
        <v>1839</v>
      </c>
      <c r="B291" s="15" t="s">
        <v>60</v>
      </c>
      <c r="C291" s="15" t="s">
        <v>958</v>
      </c>
      <c r="D291" s="15" t="s">
        <v>1847</v>
      </c>
      <c r="E291" s="15" t="s">
        <v>1847</v>
      </c>
      <c r="F291" s="65" t="s">
        <v>788</v>
      </c>
      <c r="G291" s="66" t="s">
        <v>98</v>
      </c>
      <c r="H291" s="18" t="s">
        <v>1853</v>
      </c>
      <c r="I291" s="18" t="s">
        <v>8403</v>
      </c>
      <c r="J291" s="18" t="s">
        <v>98</v>
      </c>
      <c r="K291" s="18" t="s">
        <v>98</v>
      </c>
      <c r="L291" s="18" t="s">
        <v>98</v>
      </c>
      <c r="M291" s="18" t="s">
        <v>98</v>
      </c>
      <c r="N291" s="18" t="s">
        <v>98</v>
      </c>
      <c r="O291" s="18" t="s">
        <v>98</v>
      </c>
      <c r="P291" s="15" t="str">
        <f t="shared" si="1"/>
        <v>VERIFY</v>
      </c>
      <c r="Q291" s="15">
        <f t="shared" si="2"/>
        <v>8</v>
      </c>
      <c r="R291" s="15">
        <f t="shared" si="3"/>
        <v>1</v>
      </c>
      <c r="S291" s="15">
        <f t="shared" si="4"/>
        <v>3</v>
      </c>
      <c r="T291" s="15" t="str">
        <f t="shared" si="5"/>
        <v>B-6</v>
      </c>
      <c r="U291" s="15" t="str">
        <f t="shared" si="6"/>
        <v>T8-M1-H3-FB-6-VERIFY</v>
      </c>
      <c r="V291" s="15">
        <f t="shared" si="7"/>
        <v>0</v>
      </c>
      <c r="W291" s="31"/>
      <c r="X291" s="15" t="str">
        <f t="shared" si="8"/>
        <v>ariyalur</v>
      </c>
      <c r="Y291" s="32" t="str">
        <f t="shared" si="9"/>
        <v>https://steelmanufacturer.in/market-area/electropolished-pipes-manufacturer-in-ariyalur/</v>
      </c>
      <c r="Z291" s="15" t="str">
        <f t="shared" si="10"/>
        <v>Electropolished Pipes Manufacturer in Ariyalur - EP Tube Stockist</v>
      </c>
      <c r="AA291" s="15" t="str">
        <f t="shared" si="11"/>
        <v>OK (65)</v>
      </c>
      <c r="AB291" s="15" t="str">
        <f t="shared" si="12"/>
        <v>EP-finished SS 304/316L pipes &amp; tubes for VERIFY plants in Ariyalur. ASTM A270, ASME BPE SF1-SF4, EN 10204 3.1 MTC. PMI tested.</v>
      </c>
      <c r="AC291" s="15" t="str">
        <f t="shared" si="13"/>
        <v>PENDING RESEARCH</v>
      </c>
      <c r="AD291" s="15" t="str">
        <f t="shared" si="14"/>
        <v>Electropolished Pipes Manufacturer in Ariyalur</v>
      </c>
      <c r="AE291" s="15" t="str">
        <f t="shared" si="15"/>
        <v>Electropolished Pipes Manufacturer in Ariyalur - Our Process &amp; Capability</v>
      </c>
      <c r="AF291" s="15" t="str">
        <f t="shared" si="16"/>
        <v>Electropolished Pipes Supplier in Ariyalur - What We Hold in Stock</v>
      </c>
      <c r="AG291" s="15" t="str">
        <f t="shared" si="17"/>
        <v>Bulk &amp; Wholesale Electropolished Pipe Rates for Ariyalur Buyers</v>
      </c>
      <c r="AH291" s="15" t="str">
        <f t="shared" si="18"/>
        <v>electropolished pipes manufacturer in Ariyalur, electropolished pipes supplier in Ariyalur, electropolished pipes wholesaler in Ariyalur, electropolished tube manufacturer Ariyalur, EP pipe supplier Ariyalur, sanitary tube supplier Ariyalur, ASME BPE tubing Ariyalur, ASTM A270 tube Ariyalur, SS 316L electropolished pipe Ariyalur</v>
      </c>
      <c r="AI291" s="15" t="str">
        <f t="shared" si="19"/>
        <v>Electropolished Pipes Manufacturer &amp; Supplier in Ariyalur</v>
      </c>
      <c r="AJ291" s="15" t="str">
        <f t="shared" si="20"/>
        <v>EP-finished SS 304/316L pipes and tubes for VERIFY plants in Ariyalur. ASME BPE SF1-SF4, Ra from 0.25 um, EN 10204 3.1 certificate with every lot.</v>
      </c>
      <c r="AK291" s="15" t="str">
        <f t="shared" si="21"/>
        <v>Electropolished stainless steel pipes supplied by Sakshi Forge to VERIFY plants at SIPCOT Industrial Area, Ariyalur</v>
      </c>
      <c r="AL291" s="15" t="str">
        <f t="shared" si="22"/>
        <v>Electropolished SS 316L tube stock for Ariyalur - Sakshi Forge</v>
      </c>
      <c r="AM291" s="15" t="str">
        <f t="shared" si="23"/>
        <v>Home &gt; Market Area &gt; India &gt; Tamil Nadu &gt; Ariyalur</v>
      </c>
      <c r="AN291" s="15">
        <f t="shared" si="24"/>
        <v>1000</v>
      </c>
      <c r="AO291" s="15">
        <f t="shared" si="25"/>
        <v>8</v>
      </c>
      <c r="AP291" s="15">
        <f t="shared" si="26"/>
        <v>8</v>
      </c>
      <c r="AQ291" s="15">
        <f t="shared" si="27"/>
        <v>5</v>
      </c>
      <c r="AR291" s="31"/>
      <c r="AS291" s="31"/>
      <c r="AT291" s="35" t="s">
        <v>222</v>
      </c>
      <c r="AU291" s="35"/>
    </row>
    <row r="292" ht="15.75" customHeight="1">
      <c r="A292" s="15" t="s">
        <v>1856</v>
      </c>
      <c r="B292" s="15" t="s">
        <v>60</v>
      </c>
      <c r="C292" s="15" t="s">
        <v>1165</v>
      </c>
      <c r="D292" s="15" t="s">
        <v>1858</v>
      </c>
      <c r="E292" s="15" t="s">
        <v>1858</v>
      </c>
      <c r="F292" s="65" t="s">
        <v>788</v>
      </c>
      <c r="G292" s="66" t="s">
        <v>98</v>
      </c>
      <c r="H292" s="18" t="s">
        <v>1863</v>
      </c>
      <c r="I292" s="18" t="s">
        <v>8404</v>
      </c>
      <c r="J292" s="18" t="s">
        <v>98</v>
      </c>
      <c r="K292" s="18" t="s">
        <v>98</v>
      </c>
      <c r="L292" s="18" t="s">
        <v>98</v>
      </c>
      <c r="M292" s="18" t="s">
        <v>98</v>
      </c>
      <c r="N292" s="18" t="s">
        <v>98</v>
      </c>
      <c r="O292" s="18" t="s">
        <v>98</v>
      </c>
      <c r="P292" s="15" t="str">
        <f t="shared" si="1"/>
        <v>VERIFY</v>
      </c>
      <c r="Q292" s="15">
        <f t="shared" si="2"/>
        <v>1</v>
      </c>
      <c r="R292" s="15">
        <f t="shared" si="3"/>
        <v>2</v>
      </c>
      <c r="S292" s="15">
        <f t="shared" si="4"/>
        <v>4</v>
      </c>
      <c r="T292" s="15" t="str">
        <f t="shared" si="5"/>
        <v>B-1</v>
      </c>
      <c r="U292" s="15" t="str">
        <f t="shared" si="6"/>
        <v>T1-M2-H4-FB-1-VERIFY</v>
      </c>
      <c r="V292" s="15">
        <f t="shared" si="7"/>
        <v>0</v>
      </c>
      <c r="W292" s="31"/>
      <c r="X292" s="15" t="str">
        <f t="shared" si="8"/>
        <v>asansol</v>
      </c>
      <c r="Y292" s="32" t="str">
        <f t="shared" si="9"/>
        <v>https://steelmanufacturer.in/market-area/electropolished-pipes-manufacturer-in-asansol/</v>
      </c>
      <c r="Z292" s="15" t="str">
        <f t="shared" si="10"/>
        <v>Electropolished Pipes Manufacturer in Asansol | Sakshi Forge</v>
      </c>
      <c r="AA292" s="15" t="str">
        <f t="shared" si="11"/>
        <v>OK (60)</v>
      </c>
      <c r="AB292" s="15" t="str">
        <f t="shared" si="12"/>
        <v>Electropolished tube supply to WBIDC Industrial Area, Asansol. Ra from 0.25 um, SF4 finish, mill test certificate with every lot.</v>
      </c>
      <c r="AC292" s="15" t="str">
        <f t="shared" si="13"/>
        <v>PENDING RESEARCH</v>
      </c>
      <c r="AD292" s="15" t="str">
        <f t="shared" si="14"/>
        <v>Electropolished Pipes Manufacturer in Asansol</v>
      </c>
      <c r="AE292" s="15" t="str">
        <f t="shared" si="15"/>
        <v>Manufacturing Electropolished SS Tube for Asansol: The Standards We Build To</v>
      </c>
      <c r="AF292" s="15" t="str">
        <f t="shared" si="16"/>
        <v>Electropolished Pipe Supply Into Asansol - Certification &amp; Transit</v>
      </c>
      <c r="AG292" s="15" t="str">
        <f t="shared" si="17"/>
        <v>Electropolished Pipes Wholesaler in Asansol - Project Quantities &amp; Terms</v>
      </c>
      <c r="AH292" s="15" t="str">
        <f t="shared" si="18"/>
        <v>electropolished pipes manufacturer in Asansol, electropolished pipes supplier in Asansol, electropolished pipes wholesaler in Asansol, electropolished tube manufacturer Asansol, EP pipe supplier Asansol, sanitary tube supplier Asansol, ASME BPE tubing Asansol, ASTM A270 tube Asansol, SS 316L electropolished pipe Asansol</v>
      </c>
      <c r="AI292" s="15" t="str">
        <f t="shared" si="19"/>
        <v>Electropolished Pipes Manufacturer &amp; Supplier in Asansol</v>
      </c>
      <c r="AJ292" s="15" t="str">
        <f t="shared" si="20"/>
        <v>EP-finished SS 304/316L pipes and tubes for VERIFY plants in Asansol. ASME BPE SF1-SF4, Ra from 0.25 um, EN 10204 3.1 certificate with every lot.</v>
      </c>
      <c r="AK292" s="15" t="str">
        <f t="shared" si="21"/>
        <v>Electropolished stainless steel pipes supplied by Sakshi Forge to VERIFY plants at WBIDC Industrial Area, Asansol</v>
      </c>
      <c r="AL292" s="15" t="str">
        <f t="shared" si="22"/>
        <v>Electropolished SS 316L tube stock for Asansol - Sakshi Forge</v>
      </c>
      <c r="AM292" s="15" t="str">
        <f t="shared" si="23"/>
        <v>Home &gt; Market Area &gt; India &gt; West Bengal &gt; Asansol</v>
      </c>
      <c r="AN292" s="15">
        <f t="shared" si="24"/>
        <v>1000</v>
      </c>
      <c r="AO292" s="15">
        <f t="shared" si="25"/>
        <v>8</v>
      </c>
      <c r="AP292" s="15">
        <f t="shared" si="26"/>
        <v>8</v>
      </c>
      <c r="AQ292" s="15">
        <f t="shared" si="27"/>
        <v>5</v>
      </c>
      <c r="AR292" s="31"/>
      <c r="AS292" s="31"/>
      <c r="AT292" s="35" t="s">
        <v>222</v>
      </c>
      <c r="AU292" s="35"/>
    </row>
    <row r="293" ht="15.75" customHeight="1">
      <c r="A293" s="15" t="s">
        <v>1867</v>
      </c>
      <c r="B293" s="15" t="s">
        <v>60</v>
      </c>
      <c r="C293" s="15" t="s">
        <v>85</v>
      </c>
      <c r="D293" s="15" t="s">
        <v>1871</v>
      </c>
      <c r="E293" s="15" t="s">
        <v>1871</v>
      </c>
      <c r="F293" s="65" t="s">
        <v>788</v>
      </c>
      <c r="G293" s="66" t="s">
        <v>98</v>
      </c>
      <c r="H293" s="18" t="s">
        <v>1876</v>
      </c>
      <c r="I293" s="18" t="s">
        <v>8398</v>
      </c>
      <c r="J293" s="18" t="s">
        <v>98</v>
      </c>
      <c r="K293" s="18" t="s">
        <v>98</v>
      </c>
      <c r="L293" s="18" t="s">
        <v>98</v>
      </c>
      <c r="M293" s="18" t="s">
        <v>98</v>
      </c>
      <c r="N293" s="18" t="s">
        <v>98</v>
      </c>
      <c r="O293" s="18" t="s">
        <v>98</v>
      </c>
      <c r="P293" s="15" t="str">
        <f t="shared" si="1"/>
        <v>VERIFY</v>
      </c>
      <c r="Q293" s="15">
        <f t="shared" si="2"/>
        <v>2</v>
      </c>
      <c r="R293" s="15">
        <f t="shared" si="3"/>
        <v>3</v>
      </c>
      <c r="S293" s="15">
        <f t="shared" si="4"/>
        <v>5</v>
      </c>
      <c r="T293" s="15" t="str">
        <f t="shared" si="5"/>
        <v>B-2</v>
      </c>
      <c r="U293" s="15" t="str">
        <f t="shared" si="6"/>
        <v>T2-M3-H5-FB-2-VERIFY</v>
      </c>
      <c r="V293" s="15">
        <f t="shared" si="7"/>
        <v>0</v>
      </c>
      <c r="W293" s="31"/>
      <c r="X293" s="15" t="str">
        <f t="shared" si="8"/>
        <v>ayodhya</v>
      </c>
      <c r="Y293" s="32" t="str">
        <f t="shared" si="9"/>
        <v>https://steelmanufacturer.in/market-area/electropolished-pipes-manufacturer-in-ayodhya/</v>
      </c>
      <c r="Z293" s="15" t="str">
        <f t="shared" si="10"/>
        <v>Electropolished Pipes Manufacturer in Ayodhya</v>
      </c>
      <c r="AA293" s="15" t="str">
        <f t="shared" si="11"/>
        <v>OK (45)</v>
      </c>
      <c r="AB293" s="15" t="str">
        <f t="shared" si="12"/>
        <v>EP stainless tube for VERIFY lines in Ayodhya. VERIFY. ASTM A270 S2, PMI tested, EN 10204 3.1.</v>
      </c>
      <c r="AC293" s="15" t="str">
        <f t="shared" si="13"/>
        <v>PENDING RESEARCH</v>
      </c>
      <c r="AD293" s="15" t="str">
        <f t="shared" si="14"/>
        <v>Electropolished Pipes Manufacturer in Ayodhya</v>
      </c>
      <c r="AE293" s="15" t="str">
        <f t="shared" si="15"/>
        <v>Electropolished Tube Manufacturing Capability Serving Ayodhya</v>
      </c>
      <c r="AF293" s="15" t="str">
        <f t="shared" si="16"/>
        <v>Electropolished Pipes Supplier in Ayodhya - From Order to Delivery</v>
      </c>
      <c r="AG293" s="15" t="str">
        <f t="shared" si="17"/>
        <v>Stockist &amp; Wholesale Supply of Electropolished Pipes in Ayodhya</v>
      </c>
      <c r="AH293" s="15" t="str">
        <f t="shared" si="18"/>
        <v>electropolished pipes manufacturer in Ayodhya, electropolished pipes supplier in Ayodhya, electropolished pipes wholesaler in Ayodhya, electropolished tube manufacturer Ayodhya, EP pipe supplier Ayodhya, sanitary tube supplier Ayodhya, ASME BPE tubing Ayodhya, ASTM A270 tube Ayodhya, SS 316L electropolished pipe Ayodhya</v>
      </c>
      <c r="AI293" s="15" t="str">
        <f t="shared" si="19"/>
        <v>Electropolished Pipes Manufacturer &amp; Supplier in Ayodhya</v>
      </c>
      <c r="AJ293" s="15" t="str">
        <f t="shared" si="20"/>
        <v>EP-finished SS 304/316L pipes and tubes for VERIFY plants in Ayodhya. ASME BPE SF1-SF4, Ra from 0.25 um, EN 10204 3.1 certificate with every lot.</v>
      </c>
      <c r="AK293" s="15" t="str">
        <f t="shared" si="21"/>
        <v>Electropolished stainless steel pipes supplied by Sakshi Forge to VERIFY plants at UPSIDA Industrial Area, Ayodhya</v>
      </c>
      <c r="AL293" s="15" t="str">
        <f t="shared" si="22"/>
        <v>Electropolished SS 316L tube stock for Ayodhya - Sakshi Forge</v>
      </c>
      <c r="AM293" s="15" t="str">
        <f t="shared" si="23"/>
        <v>Home &gt; Market Area &gt; India &gt; Uttar Pradesh &gt; Ayodhya</v>
      </c>
      <c r="AN293" s="15">
        <f t="shared" si="24"/>
        <v>1000</v>
      </c>
      <c r="AO293" s="15">
        <f t="shared" si="25"/>
        <v>8</v>
      </c>
      <c r="AP293" s="15">
        <f t="shared" si="26"/>
        <v>8</v>
      </c>
      <c r="AQ293" s="15">
        <f t="shared" si="27"/>
        <v>5</v>
      </c>
      <c r="AR293" s="31"/>
      <c r="AS293" s="31"/>
      <c r="AT293" s="35" t="s">
        <v>222</v>
      </c>
      <c r="AU293" s="35"/>
    </row>
    <row r="294" ht="15.75" customHeight="1">
      <c r="A294" s="15" t="s">
        <v>1879</v>
      </c>
      <c r="B294" s="15" t="s">
        <v>60</v>
      </c>
      <c r="C294" s="15" t="s">
        <v>85</v>
      </c>
      <c r="D294" s="15" t="s">
        <v>1883</v>
      </c>
      <c r="E294" s="15" t="s">
        <v>1883</v>
      </c>
      <c r="F294" s="65" t="s">
        <v>788</v>
      </c>
      <c r="G294" s="66" t="s">
        <v>98</v>
      </c>
      <c r="H294" s="18" t="s">
        <v>1891</v>
      </c>
      <c r="I294" s="18" t="s">
        <v>8398</v>
      </c>
      <c r="J294" s="18" t="s">
        <v>98</v>
      </c>
      <c r="K294" s="18" t="s">
        <v>98</v>
      </c>
      <c r="L294" s="18" t="s">
        <v>98</v>
      </c>
      <c r="M294" s="18" t="s">
        <v>98</v>
      </c>
      <c r="N294" s="18" t="s">
        <v>98</v>
      </c>
      <c r="O294" s="18" t="s">
        <v>98</v>
      </c>
      <c r="P294" s="15" t="str">
        <f t="shared" si="1"/>
        <v>VERIFY</v>
      </c>
      <c r="Q294" s="15">
        <f t="shared" si="2"/>
        <v>3</v>
      </c>
      <c r="R294" s="15">
        <f t="shared" si="3"/>
        <v>4</v>
      </c>
      <c r="S294" s="15">
        <f t="shared" si="4"/>
        <v>1</v>
      </c>
      <c r="T294" s="15" t="str">
        <f t="shared" si="5"/>
        <v>B-3</v>
      </c>
      <c r="U294" s="15" t="str">
        <f t="shared" si="6"/>
        <v>T3-M4-H1-FB-3-VERIFY</v>
      </c>
      <c r="V294" s="15">
        <f t="shared" si="7"/>
        <v>0</v>
      </c>
      <c r="W294" s="31"/>
      <c r="X294" s="15" t="str">
        <f t="shared" si="8"/>
        <v>azamgarh</v>
      </c>
      <c r="Y294" s="32" t="str">
        <f t="shared" si="9"/>
        <v>https://steelmanufacturer.in/market-area/electropolished-pipes-manufacturer-in-azamgarh/</v>
      </c>
      <c r="Z294" s="15" t="str">
        <f t="shared" si="10"/>
        <v>Electropolished Pipes Manufacturer in Azamgarh | EP Tube Supplier</v>
      </c>
      <c r="AA294" s="15" t="str">
        <f t="shared" si="11"/>
        <v>OK (65)</v>
      </c>
      <c r="AB294" s="15" t="str">
        <f t="shared" si="12"/>
        <v>Sanitary electropolished pipes in Azamgarh for VERIFY plants. ASME BPE SF1-SF4, orbital-weld ready, 3.1 MTC. Mumbai-made.</v>
      </c>
      <c r="AC294" s="15" t="str">
        <f t="shared" si="13"/>
        <v>PENDING RESEARCH</v>
      </c>
      <c r="AD294" s="15" t="str">
        <f t="shared" si="14"/>
        <v>Electropolished Pipes Manufacturer in Azamgarh</v>
      </c>
      <c r="AE294" s="15" t="str">
        <f t="shared" si="15"/>
        <v>Electropolished Pipe &amp; Tube Manufacturing for Azamgarh - Grades, Finishes &amp; Certification</v>
      </c>
      <c r="AF294" s="15" t="str">
        <f t="shared" si="16"/>
        <v>Electropolished Pipes Supplier in Azamgarh - Stock Sizes, Lead Time &amp; Delivery</v>
      </c>
      <c r="AG294" s="15" t="str">
        <f t="shared" si="17"/>
        <v>Electropolished Pipes Wholesaler &amp; Stockist in Azamgarh - Bulk &amp; Project Pricing</v>
      </c>
      <c r="AH294" s="15" t="str">
        <f t="shared" si="18"/>
        <v>electropolished pipes manufacturer in Azamgarh, electropolished pipes supplier in Azamgarh, electropolished pipes wholesaler in Azamgarh, electropolished tube manufacturer Azamgarh, EP pipe supplier Azamgarh, sanitary tube supplier Azamgarh, ASME BPE tubing Azamgarh, ASTM A270 tube Azamgarh, SS 316L electropolished pipe Azamgarh</v>
      </c>
      <c r="AI294" s="15" t="str">
        <f t="shared" si="19"/>
        <v>Electropolished Pipes Manufacturer &amp; Supplier in Azamgarh</v>
      </c>
      <c r="AJ294" s="15" t="str">
        <f t="shared" si="20"/>
        <v>EP-finished SS 304/316L pipes and tubes for VERIFY plants in Azamgarh. ASME BPE SF1-SF4, Ra from 0.25 um, EN 10204 3.1 certificate with every lot.</v>
      </c>
      <c r="AK294" s="15" t="str">
        <f t="shared" si="21"/>
        <v>Electropolished stainless steel pipes supplied by Sakshi Forge to VERIFY plants at UPSIDA Industrial Area, Azamgarh</v>
      </c>
      <c r="AL294" s="15" t="str">
        <f t="shared" si="22"/>
        <v>Electropolished SS 316L tube stock for Azamgarh - Sakshi Forge</v>
      </c>
      <c r="AM294" s="15" t="str">
        <f t="shared" si="23"/>
        <v>Home &gt; Market Area &gt; India &gt; Uttar Pradesh &gt; Azamgarh</v>
      </c>
      <c r="AN294" s="15">
        <f t="shared" si="24"/>
        <v>1000</v>
      </c>
      <c r="AO294" s="15">
        <f t="shared" si="25"/>
        <v>8</v>
      </c>
      <c r="AP294" s="15">
        <f t="shared" si="26"/>
        <v>8</v>
      </c>
      <c r="AQ294" s="15">
        <f t="shared" si="27"/>
        <v>5</v>
      </c>
      <c r="AR294" s="31"/>
      <c r="AS294" s="31"/>
      <c r="AT294" s="35" t="s">
        <v>222</v>
      </c>
      <c r="AU294" s="35"/>
    </row>
    <row r="295" ht="15.75" customHeight="1">
      <c r="A295" s="15" t="s">
        <v>1898</v>
      </c>
      <c r="B295" s="15" t="s">
        <v>60</v>
      </c>
      <c r="C295" s="15" t="s">
        <v>570</v>
      </c>
      <c r="D295" s="15" t="s">
        <v>1902</v>
      </c>
      <c r="E295" s="15" t="s">
        <v>1902</v>
      </c>
      <c r="F295" s="65" t="s">
        <v>788</v>
      </c>
      <c r="G295" s="66" t="s">
        <v>98</v>
      </c>
      <c r="H295" s="18" t="s">
        <v>1910</v>
      </c>
      <c r="I295" s="18" t="s">
        <v>8405</v>
      </c>
      <c r="J295" s="18" t="s">
        <v>98</v>
      </c>
      <c r="K295" s="18" t="s">
        <v>98</v>
      </c>
      <c r="L295" s="18" t="s">
        <v>98</v>
      </c>
      <c r="M295" s="18" t="s">
        <v>98</v>
      </c>
      <c r="N295" s="18" t="s">
        <v>98</v>
      </c>
      <c r="O295" s="18" t="s">
        <v>98</v>
      </c>
      <c r="P295" s="15" t="str">
        <f t="shared" si="1"/>
        <v>VERIFY</v>
      </c>
      <c r="Q295" s="15">
        <f t="shared" si="2"/>
        <v>4</v>
      </c>
      <c r="R295" s="15">
        <f t="shared" si="3"/>
        <v>5</v>
      </c>
      <c r="S295" s="15">
        <f t="shared" si="4"/>
        <v>2</v>
      </c>
      <c r="T295" s="15" t="str">
        <f t="shared" si="5"/>
        <v>B-4</v>
      </c>
      <c r="U295" s="15" t="str">
        <f t="shared" si="6"/>
        <v>T4-M5-H2-FB-4-VERIFY</v>
      </c>
      <c r="V295" s="15">
        <f t="shared" si="7"/>
        <v>0</v>
      </c>
      <c r="W295" s="31"/>
      <c r="X295" s="15" t="str">
        <f t="shared" si="8"/>
        <v>bagalkot</v>
      </c>
      <c r="Y295" s="32" t="str">
        <f t="shared" si="9"/>
        <v>https://steelmanufacturer.in/market-area/electropolished-pipes-manufacturer-in-bagalkot/</v>
      </c>
      <c r="Z295" s="15" t="str">
        <f t="shared" si="10"/>
        <v>Electropolished Pipes Manufacturer in Bagalkot</v>
      </c>
      <c r="AA295" s="15" t="str">
        <f t="shared" si="11"/>
        <v>OK (46)</v>
      </c>
      <c r="AB295" s="15" t="str">
        <f t="shared" si="12"/>
        <v>Manufacturer of electropolished SS 316L tube serving Bagalkot. VERIFY. Ra 0.25-0.5 um, EN 10204 3.1 MTC.</v>
      </c>
      <c r="AC295" s="15" t="str">
        <f t="shared" si="13"/>
        <v>PENDING RESEARCH</v>
      </c>
      <c r="AD295" s="15" t="str">
        <f t="shared" si="14"/>
        <v>Electropolished Pipes Manufacturer in Bagalkot</v>
      </c>
      <c r="AE295" s="15" t="str">
        <f t="shared" si="15"/>
        <v>How We Manufacture Electropolished Tube for Bagalkot Plants</v>
      </c>
      <c r="AF295" s="15" t="str">
        <f t="shared" si="16"/>
        <v>Supplying Electropolished Pipes in Bagalkot: Availability, Sizes &amp; Dispatch</v>
      </c>
      <c r="AG295" s="15" t="str">
        <f t="shared" si="17"/>
        <v>Wholesale Electropolished Pipe Supply for Bagalkot Projects</v>
      </c>
      <c r="AH295" s="15" t="str">
        <f t="shared" si="18"/>
        <v>electropolished pipes manufacturer in Bagalkot, electropolished pipes supplier in Bagalkot, electropolished pipes wholesaler in Bagalkot, electropolished tube manufacturer Bagalkot, EP pipe supplier Bagalkot, sanitary tube supplier Bagalkot, ASME BPE tubing Bagalkot, ASTM A270 tube Bagalkot, SS 316L electropolished pipe Bagalkot</v>
      </c>
      <c r="AI295" s="15" t="str">
        <f t="shared" si="19"/>
        <v>Electropolished Pipes Manufacturer &amp; Supplier in Bagalkot</v>
      </c>
      <c r="AJ295" s="15" t="str">
        <f t="shared" si="20"/>
        <v>EP-finished SS 304/316L pipes and tubes for VERIFY plants in Bagalkot. ASME BPE SF1-SF4, Ra from 0.25 um, EN 10204 3.1 certificate with every lot.</v>
      </c>
      <c r="AK295" s="15" t="str">
        <f t="shared" si="21"/>
        <v>Electropolished stainless steel pipes supplied by Sakshi Forge to VERIFY plants at KIADB Industrial Area, Bagalkot</v>
      </c>
      <c r="AL295" s="15" t="str">
        <f t="shared" si="22"/>
        <v>Electropolished SS 316L tube stock for Bagalkot - Sakshi Forge</v>
      </c>
      <c r="AM295" s="15" t="str">
        <f t="shared" si="23"/>
        <v>Home &gt; Market Area &gt; India &gt; Karnataka &gt; Bagalkot</v>
      </c>
      <c r="AN295" s="15">
        <f t="shared" si="24"/>
        <v>1000</v>
      </c>
      <c r="AO295" s="15">
        <f t="shared" si="25"/>
        <v>8</v>
      </c>
      <c r="AP295" s="15">
        <f t="shared" si="26"/>
        <v>8</v>
      </c>
      <c r="AQ295" s="15">
        <f t="shared" si="27"/>
        <v>5</v>
      </c>
      <c r="AR295" s="31"/>
      <c r="AS295" s="31"/>
      <c r="AT295" s="35" t="s">
        <v>222</v>
      </c>
      <c r="AU295" s="35"/>
    </row>
    <row r="296" ht="15.75" customHeight="1">
      <c r="A296" s="15" t="s">
        <v>1918</v>
      </c>
      <c r="B296" s="15" t="s">
        <v>60</v>
      </c>
      <c r="C296" s="15" t="s">
        <v>85</v>
      </c>
      <c r="D296" s="15" t="s">
        <v>1924</v>
      </c>
      <c r="E296" s="15" t="s">
        <v>1924</v>
      </c>
      <c r="F296" s="65" t="s">
        <v>788</v>
      </c>
      <c r="G296" s="66" t="s">
        <v>98</v>
      </c>
      <c r="H296" s="18" t="s">
        <v>1930</v>
      </c>
      <c r="I296" s="18" t="s">
        <v>8398</v>
      </c>
      <c r="J296" s="18" t="s">
        <v>98</v>
      </c>
      <c r="K296" s="18" t="s">
        <v>98</v>
      </c>
      <c r="L296" s="18" t="s">
        <v>98</v>
      </c>
      <c r="M296" s="18" t="s">
        <v>98</v>
      </c>
      <c r="N296" s="18" t="s">
        <v>98</v>
      </c>
      <c r="O296" s="18" t="s">
        <v>98</v>
      </c>
      <c r="P296" s="15" t="str">
        <f t="shared" si="1"/>
        <v>VERIFY</v>
      </c>
      <c r="Q296" s="15">
        <f t="shared" si="2"/>
        <v>5</v>
      </c>
      <c r="R296" s="15">
        <f t="shared" si="3"/>
        <v>6</v>
      </c>
      <c r="S296" s="15">
        <f t="shared" si="4"/>
        <v>3</v>
      </c>
      <c r="T296" s="15" t="str">
        <f t="shared" si="5"/>
        <v>B-5</v>
      </c>
      <c r="U296" s="15" t="str">
        <f t="shared" si="6"/>
        <v>T5-M6-H3-FB-5-VERIFY</v>
      </c>
      <c r="V296" s="15">
        <f t="shared" si="7"/>
        <v>0</v>
      </c>
      <c r="W296" s="31"/>
      <c r="X296" s="15" t="str">
        <f t="shared" si="8"/>
        <v>bahraich</v>
      </c>
      <c r="Y296" s="32" t="str">
        <f t="shared" si="9"/>
        <v>https://steelmanufacturer.in/market-area/electropolished-pipes-manufacturer-in-bahraich/</v>
      </c>
      <c r="Z296" s="15" t="str">
        <f t="shared" si="10"/>
        <v>Electropolished Pipes Manufacturer in Bahraich</v>
      </c>
      <c r="AA296" s="15" t="str">
        <f t="shared" si="11"/>
        <v>OK (46)</v>
      </c>
      <c r="AB296" s="15" t="str">
        <f t="shared" si="12"/>
        <v>EP tube and pipe for VERIFY plants around UPSIDA Industrial Area, Bahraich. Made at our Mumbai works to ASTM A270 and ASME BPE SF1-SF4, with 3.1 MTC.</v>
      </c>
      <c r="AC296" s="15" t="str">
        <f t="shared" si="13"/>
        <v>PENDING RESEARCH</v>
      </c>
      <c r="AD296" s="15" t="str">
        <f t="shared" si="14"/>
        <v>Electropolished Pipes Manufacturer in Bahraich</v>
      </c>
      <c r="AE296" s="15" t="str">
        <f t="shared" si="15"/>
        <v>Electropolished Pipes Manufacturer in Bahraich - Our Process &amp; Capability</v>
      </c>
      <c r="AF296" s="15" t="str">
        <f t="shared" si="16"/>
        <v>Electropolished Pipes Supplier in Bahraich - What We Hold in Stock</v>
      </c>
      <c r="AG296" s="15" t="str">
        <f t="shared" si="17"/>
        <v>Bulk &amp; Wholesale Electropolished Pipe Rates for Bahraich Buyers</v>
      </c>
      <c r="AH296" s="15" t="str">
        <f t="shared" si="18"/>
        <v>electropolished pipes manufacturer in Bahraich, electropolished pipes supplier in Bahraich, electropolished pipes wholesaler in Bahraich, electropolished tube manufacturer Bahraich, EP pipe supplier Bahraich, sanitary tube supplier Bahraich, ASME BPE tubing Bahraich, ASTM A270 tube Bahraich, SS 316L electropolished pipe Bahraich</v>
      </c>
      <c r="AI296" s="15" t="str">
        <f t="shared" si="19"/>
        <v>Electropolished Pipes Manufacturer &amp; Supplier in Bahraich</v>
      </c>
      <c r="AJ296" s="15" t="str">
        <f t="shared" si="20"/>
        <v>EP-finished SS 304/316L pipes and tubes for VERIFY plants in Bahraich. ASME BPE SF1-SF4, Ra from 0.25 um, EN 10204 3.1 certificate with every lot.</v>
      </c>
      <c r="AK296" s="15" t="str">
        <f t="shared" si="21"/>
        <v>Electropolished stainless steel pipes supplied by Sakshi Forge to VERIFY plants at UPSIDA Industrial Area, Bahraich</v>
      </c>
      <c r="AL296" s="15" t="str">
        <f t="shared" si="22"/>
        <v>Electropolished SS 316L tube stock for Bahraich - Sakshi Forge</v>
      </c>
      <c r="AM296" s="15" t="str">
        <f t="shared" si="23"/>
        <v>Home &gt; Market Area &gt; India &gt; Uttar Pradesh &gt; Bahraich</v>
      </c>
      <c r="AN296" s="15">
        <f t="shared" si="24"/>
        <v>1000</v>
      </c>
      <c r="AO296" s="15">
        <f t="shared" si="25"/>
        <v>8</v>
      </c>
      <c r="AP296" s="15">
        <f t="shared" si="26"/>
        <v>8</v>
      </c>
      <c r="AQ296" s="15">
        <f t="shared" si="27"/>
        <v>5</v>
      </c>
      <c r="AR296" s="31"/>
      <c r="AS296" s="31"/>
      <c r="AT296" s="35" t="s">
        <v>222</v>
      </c>
      <c r="AU296" s="35"/>
    </row>
    <row r="297" ht="15.75" customHeight="1">
      <c r="A297" s="15" t="s">
        <v>1936</v>
      </c>
      <c r="B297" s="15" t="s">
        <v>60</v>
      </c>
      <c r="C297" s="15" t="s">
        <v>424</v>
      </c>
      <c r="D297" s="15" t="s">
        <v>1942</v>
      </c>
      <c r="E297" s="15" t="s">
        <v>1942</v>
      </c>
      <c r="F297" s="65" t="s">
        <v>788</v>
      </c>
      <c r="G297" s="66" t="s">
        <v>98</v>
      </c>
      <c r="H297" s="18" t="s">
        <v>1946</v>
      </c>
      <c r="I297" s="18" t="s">
        <v>8406</v>
      </c>
      <c r="J297" s="18" t="s">
        <v>98</v>
      </c>
      <c r="K297" s="18" t="s">
        <v>98</v>
      </c>
      <c r="L297" s="18" t="s">
        <v>98</v>
      </c>
      <c r="M297" s="18" t="s">
        <v>98</v>
      </c>
      <c r="N297" s="18" t="s">
        <v>98</v>
      </c>
      <c r="O297" s="18" t="s">
        <v>98</v>
      </c>
      <c r="P297" s="15" t="str">
        <f t="shared" si="1"/>
        <v>VERIFY</v>
      </c>
      <c r="Q297" s="15">
        <f t="shared" si="2"/>
        <v>6</v>
      </c>
      <c r="R297" s="15">
        <f t="shared" si="3"/>
        <v>7</v>
      </c>
      <c r="S297" s="15">
        <f t="shared" si="4"/>
        <v>4</v>
      </c>
      <c r="T297" s="15" t="str">
        <f t="shared" si="5"/>
        <v>B-6</v>
      </c>
      <c r="U297" s="15" t="str">
        <f t="shared" si="6"/>
        <v>T6-M7-H4-FB-6-VERIFY</v>
      </c>
      <c r="V297" s="15">
        <f t="shared" si="7"/>
        <v>0</v>
      </c>
      <c r="W297" s="31"/>
      <c r="X297" s="15" t="str">
        <f t="shared" si="8"/>
        <v>balasore</v>
      </c>
      <c r="Y297" s="32" t="str">
        <f t="shared" si="9"/>
        <v>https://steelmanufacturer.in/market-area/electropolished-pipes-manufacturer-in-balasore/</v>
      </c>
      <c r="Z297" s="15" t="str">
        <f t="shared" si="10"/>
        <v>Electropolished Pipes Manufacturer in Balasore</v>
      </c>
      <c r="AA297" s="15" t="str">
        <f t="shared" si="11"/>
        <v>OK (46)</v>
      </c>
      <c r="AB297" s="15" t="str">
        <f t="shared" si="12"/>
        <v>Electropolished pipes in Balasore: 304, 304L, 316 and 316L in SF1-SF4. VERIFY. Mill certified.</v>
      </c>
      <c r="AC297" s="15" t="str">
        <f t="shared" si="13"/>
        <v>PENDING RESEARCH</v>
      </c>
      <c r="AD297" s="15" t="str">
        <f t="shared" si="14"/>
        <v>Electropolished Pipes Manufacturer in Balasore</v>
      </c>
      <c r="AE297" s="15" t="str">
        <f t="shared" si="15"/>
        <v>Manufacturing Electropolished SS Tube for Balasore: The Standards We Build To</v>
      </c>
      <c r="AF297" s="15" t="str">
        <f t="shared" si="16"/>
        <v>Electropolished Pipe Supply Into Balasore - Certification &amp; Transit</v>
      </c>
      <c r="AG297" s="15" t="str">
        <f t="shared" si="17"/>
        <v>Electropolished Pipes Wholesaler in Balasore - Project Quantities &amp; Terms</v>
      </c>
      <c r="AH297" s="15" t="str">
        <f t="shared" si="18"/>
        <v>electropolished pipes manufacturer in Balasore, electropolished pipes supplier in Balasore, electropolished pipes wholesaler in Balasore, electropolished tube manufacturer Balasore, EP pipe supplier Balasore, sanitary tube supplier Balasore, ASME BPE tubing Balasore, ASTM A270 tube Balasore, SS 316L electropolished pipe Balasore</v>
      </c>
      <c r="AI297" s="15" t="str">
        <f t="shared" si="19"/>
        <v>Electropolished Pipes Manufacturer &amp; Supplier in Balasore</v>
      </c>
      <c r="AJ297" s="15" t="str">
        <f t="shared" si="20"/>
        <v>EP-finished SS 304/316L pipes and tubes for VERIFY plants in Balasore. ASME BPE SF1-SF4, Ra from 0.25 um, EN 10204 3.1 certificate with every lot.</v>
      </c>
      <c r="AK297" s="15" t="str">
        <f t="shared" si="21"/>
        <v>Electropolished stainless steel pipes supplied by Sakshi Forge to VERIFY plants at IDCO Industrial Area, Balasore</v>
      </c>
      <c r="AL297" s="15" t="str">
        <f t="shared" si="22"/>
        <v>Electropolished SS 316L tube stock for Balasore - Sakshi Forge</v>
      </c>
      <c r="AM297" s="15" t="str">
        <f t="shared" si="23"/>
        <v>Home &gt; Market Area &gt; India &gt; Odisha &gt; Balasore</v>
      </c>
      <c r="AN297" s="15">
        <f t="shared" si="24"/>
        <v>1000</v>
      </c>
      <c r="AO297" s="15">
        <f t="shared" si="25"/>
        <v>8</v>
      </c>
      <c r="AP297" s="15">
        <f t="shared" si="26"/>
        <v>8</v>
      </c>
      <c r="AQ297" s="15">
        <f t="shared" si="27"/>
        <v>5</v>
      </c>
      <c r="AR297" s="31"/>
      <c r="AS297" s="31"/>
      <c r="AT297" s="35" t="s">
        <v>222</v>
      </c>
      <c r="AU297" s="35"/>
    </row>
    <row r="298" ht="15.75" customHeight="1">
      <c r="A298" s="15" t="s">
        <v>1953</v>
      </c>
      <c r="B298" s="15" t="s">
        <v>60</v>
      </c>
      <c r="C298" s="15" t="s">
        <v>570</v>
      </c>
      <c r="D298" s="15" t="s">
        <v>1958</v>
      </c>
      <c r="E298" s="15" t="s">
        <v>1958</v>
      </c>
      <c r="F298" s="65" t="s">
        <v>788</v>
      </c>
      <c r="G298" s="66" t="s">
        <v>98</v>
      </c>
      <c r="H298" s="18" t="s">
        <v>1964</v>
      </c>
      <c r="I298" s="18" t="s">
        <v>8405</v>
      </c>
      <c r="J298" s="18" t="s">
        <v>98</v>
      </c>
      <c r="K298" s="18" t="s">
        <v>98</v>
      </c>
      <c r="L298" s="18" t="s">
        <v>98</v>
      </c>
      <c r="M298" s="18" t="s">
        <v>98</v>
      </c>
      <c r="N298" s="18" t="s">
        <v>98</v>
      </c>
      <c r="O298" s="18" t="s">
        <v>98</v>
      </c>
      <c r="P298" s="15" t="str">
        <f t="shared" si="1"/>
        <v>VERIFY</v>
      </c>
      <c r="Q298" s="15">
        <f t="shared" si="2"/>
        <v>7</v>
      </c>
      <c r="R298" s="15">
        <f t="shared" si="3"/>
        <v>1</v>
      </c>
      <c r="S298" s="15">
        <f t="shared" si="4"/>
        <v>5</v>
      </c>
      <c r="T298" s="15" t="str">
        <f t="shared" si="5"/>
        <v>B-1</v>
      </c>
      <c r="U298" s="15" t="str">
        <f t="shared" si="6"/>
        <v>T7-M1-H5-FB-1-VERIFY</v>
      </c>
      <c r="V298" s="15">
        <f t="shared" si="7"/>
        <v>0</v>
      </c>
      <c r="W298" s="31"/>
      <c r="X298" s="15" t="str">
        <f t="shared" si="8"/>
        <v>ballari</v>
      </c>
      <c r="Y298" s="32" t="str">
        <f t="shared" si="9"/>
        <v>https://steelmanufacturer.in/market-area/electropolished-pipes-manufacturer-in-ballari/</v>
      </c>
      <c r="Z298" s="15" t="str">
        <f t="shared" si="10"/>
        <v>Electropolished Pipes Manufacturer in Ballari | ASME BPE SF1-SF4</v>
      </c>
      <c r="AA298" s="15" t="str">
        <f t="shared" si="11"/>
        <v>OK (64)</v>
      </c>
      <c r="AB298" s="15" t="str">
        <f t="shared" si="12"/>
        <v>EP-finished SS 304/316L pipes &amp; tubes for VERIFY plants in Ballari. ASTM A270, ASME BPE SF1-SF4, EN 10204 3.1 MTC. PMI tested.</v>
      </c>
      <c r="AC298" s="15" t="str">
        <f t="shared" si="13"/>
        <v>PENDING RESEARCH</v>
      </c>
      <c r="AD298" s="15" t="str">
        <f t="shared" si="14"/>
        <v>Electropolished Pipes Manufacturer in Ballari</v>
      </c>
      <c r="AE298" s="15" t="str">
        <f t="shared" si="15"/>
        <v>Electropolished Tube Manufacturing Capability Serving Ballari</v>
      </c>
      <c r="AF298" s="15" t="str">
        <f t="shared" si="16"/>
        <v>Electropolished Pipes Supplier in Ballari - From Order to Delivery</v>
      </c>
      <c r="AG298" s="15" t="str">
        <f t="shared" si="17"/>
        <v>Stockist &amp; Wholesale Supply of Electropolished Pipes in Ballari</v>
      </c>
      <c r="AH298" s="15" t="str">
        <f t="shared" si="18"/>
        <v>electropolished pipes manufacturer in Ballari, electropolished pipes supplier in Ballari, electropolished pipes wholesaler in Ballari, electropolished tube manufacturer Ballari, EP pipe supplier Ballari, sanitary tube supplier Ballari, ASME BPE tubing Ballari, ASTM A270 tube Ballari, SS 316L electropolished pipe Ballari</v>
      </c>
      <c r="AI298" s="15" t="str">
        <f t="shared" si="19"/>
        <v>Electropolished Pipes Manufacturer &amp; Supplier in Ballari</v>
      </c>
      <c r="AJ298" s="15" t="str">
        <f t="shared" si="20"/>
        <v>EP-finished SS 304/316L pipes and tubes for VERIFY plants in Ballari. ASME BPE SF1-SF4, Ra from 0.25 um, EN 10204 3.1 certificate with every lot.</v>
      </c>
      <c r="AK298" s="15" t="str">
        <f t="shared" si="21"/>
        <v>Electropolished stainless steel pipes supplied by Sakshi Forge to VERIFY plants at KIADB Industrial Area, Ballari</v>
      </c>
      <c r="AL298" s="15" t="str">
        <f t="shared" si="22"/>
        <v>Electropolished SS 316L tube stock for Ballari - Sakshi Forge</v>
      </c>
      <c r="AM298" s="15" t="str">
        <f t="shared" si="23"/>
        <v>Home &gt; Market Area &gt; India &gt; Karnataka &gt; Ballari</v>
      </c>
      <c r="AN298" s="15">
        <f t="shared" si="24"/>
        <v>1000</v>
      </c>
      <c r="AO298" s="15">
        <f t="shared" si="25"/>
        <v>8</v>
      </c>
      <c r="AP298" s="15">
        <f t="shared" si="26"/>
        <v>8</v>
      </c>
      <c r="AQ298" s="15">
        <f t="shared" si="27"/>
        <v>5</v>
      </c>
      <c r="AR298" s="31"/>
      <c r="AS298" s="31"/>
      <c r="AT298" s="35" t="s">
        <v>222</v>
      </c>
      <c r="AU298" s="35"/>
    </row>
    <row r="299" ht="15.75" customHeight="1">
      <c r="A299" s="15" t="s">
        <v>1969</v>
      </c>
      <c r="B299" s="15" t="s">
        <v>60</v>
      </c>
      <c r="C299" s="15" t="s">
        <v>85</v>
      </c>
      <c r="D299" s="15" t="s">
        <v>1972</v>
      </c>
      <c r="E299" s="15" t="s">
        <v>1972</v>
      </c>
      <c r="F299" s="65" t="s">
        <v>788</v>
      </c>
      <c r="G299" s="66" t="s">
        <v>98</v>
      </c>
      <c r="H299" s="18" t="s">
        <v>1979</v>
      </c>
      <c r="I299" s="18" t="s">
        <v>8398</v>
      </c>
      <c r="J299" s="18" t="s">
        <v>98</v>
      </c>
      <c r="K299" s="18" t="s">
        <v>98</v>
      </c>
      <c r="L299" s="18" t="s">
        <v>98</v>
      </c>
      <c r="M299" s="18" t="s">
        <v>98</v>
      </c>
      <c r="N299" s="18" t="s">
        <v>98</v>
      </c>
      <c r="O299" s="18" t="s">
        <v>98</v>
      </c>
      <c r="P299" s="15" t="str">
        <f t="shared" si="1"/>
        <v>VERIFY</v>
      </c>
      <c r="Q299" s="15">
        <f t="shared" si="2"/>
        <v>8</v>
      </c>
      <c r="R299" s="15">
        <f t="shared" si="3"/>
        <v>2</v>
      </c>
      <c r="S299" s="15">
        <f t="shared" si="4"/>
        <v>1</v>
      </c>
      <c r="T299" s="15" t="str">
        <f t="shared" si="5"/>
        <v>B-2</v>
      </c>
      <c r="U299" s="15" t="str">
        <f t="shared" si="6"/>
        <v>T8-M2-H1-FB-2-VERIFY</v>
      </c>
      <c r="V299" s="15">
        <f t="shared" si="7"/>
        <v>0</v>
      </c>
      <c r="W299" s="31"/>
      <c r="X299" s="15" t="str">
        <f t="shared" si="8"/>
        <v>banda</v>
      </c>
      <c r="Y299" s="32" t="str">
        <f t="shared" si="9"/>
        <v>https://steelmanufacturer.in/market-area/electropolished-pipes-manufacturer-in-banda/</v>
      </c>
      <c r="Z299" s="15" t="str">
        <f t="shared" si="10"/>
        <v>Electropolished Pipes Manufacturer in Banda - EP Tube Stockist</v>
      </c>
      <c r="AA299" s="15" t="str">
        <f t="shared" si="11"/>
        <v>OK (62)</v>
      </c>
      <c r="AB299" s="15" t="str">
        <f t="shared" si="12"/>
        <v>Electropolished tube supply to UPSIDA Industrial Area, Banda. Ra from 0.25 um, SF4 finish, mill test certificate with every lot.</v>
      </c>
      <c r="AC299" s="15" t="str">
        <f t="shared" si="13"/>
        <v>PENDING RESEARCH</v>
      </c>
      <c r="AD299" s="15" t="str">
        <f t="shared" si="14"/>
        <v>Electropolished Pipes Manufacturer in Banda</v>
      </c>
      <c r="AE299" s="15" t="str">
        <f t="shared" si="15"/>
        <v>Electropolished Pipe &amp; Tube Manufacturing for Banda - Grades, Finishes &amp; Certification</v>
      </c>
      <c r="AF299" s="15" t="str">
        <f t="shared" si="16"/>
        <v>Electropolished Pipes Supplier in Banda - Stock Sizes, Lead Time &amp; Delivery</v>
      </c>
      <c r="AG299" s="15" t="str">
        <f t="shared" si="17"/>
        <v>Electropolished Pipes Wholesaler &amp; Stockist in Banda - Bulk &amp; Project Pricing</v>
      </c>
      <c r="AH299" s="15" t="str">
        <f t="shared" si="18"/>
        <v>electropolished pipes manufacturer in Banda, electropolished pipes supplier in Banda, electropolished pipes wholesaler in Banda, electropolished tube manufacturer Banda, EP pipe supplier Banda, sanitary tube supplier Banda, ASME BPE tubing Banda, ASTM A270 tube Banda, SS 316L electropolished pipe Banda</v>
      </c>
      <c r="AI299" s="15" t="str">
        <f t="shared" si="19"/>
        <v>Electropolished Pipes Manufacturer &amp; Supplier in Banda</v>
      </c>
      <c r="AJ299" s="15" t="str">
        <f t="shared" si="20"/>
        <v>EP-finished SS 304/316L pipes and tubes for VERIFY plants in Banda. ASME BPE SF1-SF4, Ra from 0.25 um, EN 10204 3.1 certificate with every lot.</v>
      </c>
      <c r="AK299" s="15" t="str">
        <f t="shared" si="21"/>
        <v>Electropolished stainless steel pipes supplied by Sakshi Forge to VERIFY plants at UPSIDA Industrial Area, Banda</v>
      </c>
      <c r="AL299" s="15" t="str">
        <f t="shared" si="22"/>
        <v>Electropolished SS 316L tube stock for Banda - Sakshi Forge</v>
      </c>
      <c r="AM299" s="15" t="str">
        <f t="shared" si="23"/>
        <v>Home &gt; Market Area &gt; India &gt; Uttar Pradesh &gt; Banda</v>
      </c>
      <c r="AN299" s="15">
        <f t="shared" si="24"/>
        <v>1000</v>
      </c>
      <c r="AO299" s="15">
        <f t="shared" si="25"/>
        <v>8</v>
      </c>
      <c r="AP299" s="15">
        <f t="shared" si="26"/>
        <v>8</v>
      </c>
      <c r="AQ299" s="15">
        <f t="shared" si="27"/>
        <v>5</v>
      </c>
      <c r="AR299" s="31"/>
      <c r="AS299" s="31"/>
      <c r="AT299" s="35" t="s">
        <v>222</v>
      </c>
      <c r="AU299" s="35"/>
    </row>
    <row r="300" ht="15.75" customHeight="1">
      <c r="A300" s="15" t="s">
        <v>1984</v>
      </c>
      <c r="B300" s="15" t="s">
        <v>60</v>
      </c>
      <c r="C300" s="15" t="s">
        <v>1165</v>
      </c>
      <c r="D300" s="15" t="s">
        <v>1988</v>
      </c>
      <c r="E300" s="15" t="s">
        <v>1988</v>
      </c>
      <c r="F300" s="65" t="s">
        <v>788</v>
      </c>
      <c r="G300" s="66" t="s">
        <v>98</v>
      </c>
      <c r="H300" s="18" t="s">
        <v>1995</v>
      </c>
      <c r="I300" s="18" t="s">
        <v>8404</v>
      </c>
      <c r="J300" s="18" t="s">
        <v>98</v>
      </c>
      <c r="K300" s="18" t="s">
        <v>98</v>
      </c>
      <c r="L300" s="18" t="s">
        <v>98</v>
      </c>
      <c r="M300" s="18" t="s">
        <v>98</v>
      </c>
      <c r="N300" s="18" t="s">
        <v>98</v>
      </c>
      <c r="O300" s="18" t="s">
        <v>98</v>
      </c>
      <c r="P300" s="15" t="str">
        <f t="shared" si="1"/>
        <v>VERIFY</v>
      </c>
      <c r="Q300" s="15">
        <f t="shared" si="2"/>
        <v>1</v>
      </c>
      <c r="R300" s="15">
        <f t="shared" si="3"/>
        <v>3</v>
      </c>
      <c r="S300" s="15">
        <f t="shared" si="4"/>
        <v>2</v>
      </c>
      <c r="T300" s="15" t="str">
        <f t="shared" si="5"/>
        <v>B-3</v>
      </c>
      <c r="U300" s="15" t="str">
        <f t="shared" si="6"/>
        <v>T1-M3-H2-FB-3-VERIFY</v>
      </c>
      <c r="V300" s="15">
        <f t="shared" si="7"/>
        <v>0</v>
      </c>
      <c r="W300" s="31"/>
      <c r="X300" s="15" t="str">
        <f t="shared" si="8"/>
        <v>bankura</v>
      </c>
      <c r="Y300" s="32" t="str">
        <f t="shared" si="9"/>
        <v>https://steelmanufacturer.in/market-area/electropolished-pipes-manufacturer-in-bankura/</v>
      </c>
      <c r="Z300" s="15" t="str">
        <f t="shared" si="10"/>
        <v>Electropolished Pipes Manufacturer in Bankura | Sakshi Forge</v>
      </c>
      <c r="AA300" s="15" t="str">
        <f t="shared" si="11"/>
        <v>OK (60)</v>
      </c>
      <c r="AB300" s="15" t="str">
        <f t="shared" si="12"/>
        <v>EP stainless tube for VERIFY lines in Bankura. VERIFY. ASTM A270 S2, PMI tested, EN 10204 3.1.</v>
      </c>
      <c r="AC300" s="15" t="str">
        <f t="shared" si="13"/>
        <v>PENDING RESEARCH</v>
      </c>
      <c r="AD300" s="15" t="str">
        <f t="shared" si="14"/>
        <v>Electropolished Pipes Manufacturer in Bankura</v>
      </c>
      <c r="AE300" s="15" t="str">
        <f t="shared" si="15"/>
        <v>How We Manufacture Electropolished Tube for Bankura Plants</v>
      </c>
      <c r="AF300" s="15" t="str">
        <f t="shared" si="16"/>
        <v>Supplying Electropolished Pipes in Bankura: Availability, Sizes &amp; Dispatch</v>
      </c>
      <c r="AG300" s="15" t="str">
        <f t="shared" si="17"/>
        <v>Wholesale Electropolished Pipe Supply for Bankura Projects</v>
      </c>
      <c r="AH300" s="15" t="str">
        <f t="shared" si="18"/>
        <v>electropolished pipes manufacturer in Bankura, electropolished pipes supplier in Bankura, electropolished pipes wholesaler in Bankura, electropolished tube manufacturer Bankura, EP pipe supplier Bankura, sanitary tube supplier Bankura, ASME BPE tubing Bankura, ASTM A270 tube Bankura, SS 316L electropolished pipe Bankura</v>
      </c>
      <c r="AI300" s="15" t="str">
        <f t="shared" si="19"/>
        <v>Electropolished Pipes Manufacturer &amp; Supplier in Bankura</v>
      </c>
      <c r="AJ300" s="15" t="str">
        <f t="shared" si="20"/>
        <v>EP-finished SS 304/316L pipes and tubes for VERIFY plants in Bankura. ASME BPE SF1-SF4, Ra from 0.25 um, EN 10204 3.1 certificate with every lot.</v>
      </c>
      <c r="AK300" s="15" t="str">
        <f t="shared" si="21"/>
        <v>Electropolished stainless steel pipes supplied by Sakshi Forge to VERIFY plants at WBIDC Industrial Area, Bankura</v>
      </c>
      <c r="AL300" s="15" t="str">
        <f t="shared" si="22"/>
        <v>Electropolished SS 316L tube stock for Bankura - Sakshi Forge</v>
      </c>
      <c r="AM300" s="15" t="str">
        <f t="shared" si="23"/>
        <v>Home &gt; Market Area &gt; India &gt; West Bengal &gt; Bankura</v>
      </c>
      <c r="AN300" s="15">
        <f t="shared" si="24"/>
        <v>1000</v>
      </c>
      <c r="AO300" s="15">
        <f t="shared" si="25"/>
        <v>8</v>
      </c>
      <c r="AP300" s="15">
        <f t="shared" si="26"/>
        <v>8</v>
      </c>
      <c r="AQ300" s="15">
        <f t="shared" si="27"/>
        <v>5</v>
      </c>
      <c r="AR300" s="31"/>
      <c r="AS300" s="31"/>
      <c r="AT300" s="35" t="s">
        <v>222</v>
      </c>
      <c r="AU300" s="35"/>
    </row>
    <row r="301" ht="15.75" customHeight="1">
      <c r="A301" s="15" t="s">
        <v>2001</v>
      </c>
      <c r="B301" s="15" t="s">
        <v>60</v>
      </c>
      <c r="C301" s="15" t="s">
        <v>264</v>
      </c>
      <c r="D301" s="15" t="s">
        <v>2010</v>
      </c>
      <c r="E301" s="15" t="s">
        <v>2010</v>
      </c>
      <c r="F301" s="65" t="s">
        <v>788</v>
      </c>
      <c r="G301" s="66" t="s">
        <v>98</v>
      </c>
      <c r="H301" s="18" t="s">
        <v>2018</v>
      </c>
      <c r="I301" s="18" t="s">
        <v>8395</v>
      </c>
      <c r="J301" s="18" t="s">
        <v>98</v>
      </c>
      <c r="K301" s="18" t="s">
        <v>98</v>
      </c>
      <c r="L301" s="18" t="s">
        <v>98</v>
      </c>
      <c r="M301" s="18" t="s">
        <v>98</v>
      </c>
      <c r="N301" s="18" t="s">
        <v>98</v>
      </c>
      <c r="O301" s="18" t="s">
        <v>98</v>
      </c>
      <c r="P301" s="15" t="str">
        <f t="shared" si="1"/>
        <v>VERIFY</v>
      </c>
      <c r="Q301" s="15">
        <f t="shared" si="2"/>
        <v>2</v>
      </c>
      <c r="R301" s="15">
        <f t="shared" si="3"/>
        <v>4</v>
      </c>
      <c r="S301" s="15">
        <f t="shared" si="4"/>
        <v>3</v>
      </c>
      <c r="T301" s="15" t="str">
        <f t="shared" si="5"/>
        <v>B-4</v>
      </c>
      <c r="U301" s="15" t="str">
        <f t="shared" si="6"/>
        <v>T2-M4-H3-FB-4-VERIFY</v>
      </c>
      <c r="V301" s="15">
        <f t="shared" si="7"/>
        <v>0</v>
      </c>
      <c r="W301" s="31"/>
      <c r="X301" s="15" t="str">
        <f t="shared" si="8"/>
        <v>baramati</v>
      </c>
      <c r="Y301" s="32" t="str">
        <f t="shared" si="9"/>
        <v>https://steelmanufacturer.in/market-area/electropolished-pipes-manufacturer-in-baramati/</v>
      </c>
      <c r="Z301" s="15" t="str">
        <f t="shared" si="10"/>
        <v>Electropolished Pipes Manufacturer in Baramati</v>
      </c>
      <c r="AA301" s="15" t="str">
        <f t="shared" si="11"/>
        <v>OK (46)</v>
      </c>
      <c r="AB301" s="15" t="str">
        <f t="shared" si="12"/>
        <v>Sanitary electropolished pipes in Baramati for VERIFY plants. ASME BPE SF1-SF4, orbital-weld ready, 3.1 MTC. Mumbai-made.</v>
      </c>
      <c r="AC301" s="15" t="str">
        <f t="shared" si="13"/>
        <v>PENDING RESEARCH</v>
      </c>
      <c r="AD301" s="15" t="str">
        <f t="shared" si="14"/>
        <v>Electropolished Pipes Manufacturer in Baramati</v>
      </c>
      <c r="AE301" s="15" t="str">
        <f t="shared" si="15"/>
        <v>Electropolished Pipes Manufacturer in Baramati - Our Process &amp; Capability</v>
      </c>
      <c r="AF301" s="15" t="str">
        <f t="shared" si="16"/>
        <v>Electropolished Pipes Supplier in Baramati - What We Hold in Stock</v>
      </c>
      <c r="AG301" s="15" t="str">
        <f t="shared" si="17"/>
        <v>Bulk &amp; Wholesale Electropolished Pipe Rates for Baramati Buyers</v>
      </c>
      <c r="AH301" s="15" t="str">
        <f t="shared" si="18"/>
        <v>electropolished pipes manufacturer in Baramati, electropolished pipes supplier in Baramati, electropolished pipes wholesaler in Baramati, electropolished tube manufacturer Baramati, EP pipe supplier Baramati, sanitary tube supplier Baramati, ASME BPE tubing Baramati, ASTM A270 tube Baramati, SS 316L electropolished pipe Baramati</v>
      </c>
      <c r="AI301" s="15" t="str">
        <f t="shared" si="19"/>
        <v>Electropolished Pipes Manufacturer &amp; Supplier in Baramati</v>
      </c>
      <c r="AJ301" s="15" t="str">
        <f t="shared" si="20"/>
        <v>EP-finished SS 304/316L pipes and tubes for VERIFY plants in Baramati. ASME BPE SF1-SF4, Ra from 0.25 um, EN 10204 3.1 certificate with every lot.</v>
      </c>
      <c r="AK301" s="15" t="str">
        <f t="shared" si="21"/>
        <v>Electropolished stainless steel pipes supplied by Sakshi Forge to VERIFY plants at MIDC Industrial Area, Baramati</v>
      </c>
      <c r="AL301" s="15" t="str">
        <f t="shared" si="22"/>
        <v>Electropolished SS 316L tube stock for Baramati - Sakshi Forge</v>
      </c>
      <c r="AM301" s="15" t="str">
        <f t="shared" si="23"/>
        <v>Home &gt; Market Area &gt; India &gt; Maharashtra &gt; Baramati</v>
      </c>
      <c r="AN301" s="15">
        <f t="shared" si="24"/>
        <v>1000</v>
      </c>
      <c r="AO301" s="15">
        <f t="shared" si="25"/>
        <v>8</v>
      </c>
      <c r="AP301" s="15">
        <f t="shared" si="26"/>
        <v>8</v>
      </c>
      <c r="AQ301" s="15">
        <f t="shared" si="27"/>
        <v>5</v>
      </c>
      <c r="AR301" s="31"/>
      <c r="AS301" s="31"/>
      <c r="AT301" s="35" t="s">
        <v>222</v>
      </c>
      <c r="AU301" s="35"/>
    </row>
    <row r="302" ht="15.75" customHeight="1">
      <c r="A302" s="15" t="s">
        <v>2023</v>
      </c>
      <c r="B302" s="15" t="s">
        <v>60</v>
      </c>
      <c r="C302" s="15" t="s">
        <v>1780</v>
      </c>
      <c r="D302" s="15" t="s">
        <v>2027</v>
      </c>
      <c r="E302" s="15" t="s">
        <v>2027</v>
      </c>
      <c r="F302" s="65" t="s">
        <v>788</v>
      </c>
      <c r="G302" s="66" t="s">
        <v>98</v>
      </c>
      <c r="H302" s="18" t="s">
        <v>2035</v>
      </c>
      <c r="I302" s="18" t="s">
        <v>8401</v>
      </c>
      <c r="J302" s="18" t="s">
        <v>98</v>
      </c>
      <c r="K302" s="18" t="s">
        <v>98</v>
      </c>
      <c r="L302" s="18" t="s">
        <v>98</v>
      </c>
      <c r="M302" s="18" t="s">
        <v>98</v>
      </c>
      <c r="N302" s="18" t="s">
        <v>98</v>
      </c>
      <c r="O302" s="18" t="s">
        <v>98</v>
      </c>
      <c r="P302" s="15" t="str">
        <f t="shared" si="1"/>
        <v>VERIFY</v>
      </c>
      <c r="Q302" s="15">
        <f t="shared" si="2"/>
        <v>3</v>
      </c>
      <c r="R302" s="15">
        <f t="shared" si="3"/>
        <v>5</v>
      </c>
      <c r="S302" s="15">
        <f t="shared" si="4"/>
        <v>4</v>
      </c>
      <c r="T302" s="15" t="str">
        <f t="shared" si="5"/>
        <v>B-5</v>
      </c>
      <c r="U302" s="15" t="str">
        <f t="shared" si="6"/>
        <v>T3-M5-H4-FB-5-VERIFY</v>
      </c>
      <c r="V302" s="15">
        <f t="shared" si="7"/>
        <v>0</v>
      </c>
      <c r="W302" s="31"/>
      <c r="X302" s="15" t="str">
        <f t="shared" si="8"/>
        <v>baramulla</v>
      </c>
      <c r="Y302" s="32" t="str">
        <f t="shared" si="9"/>
        <v>https://steelmanufacturer.in/market-area/electropolished-pipes-manufacturer-in-baramulla/</v>
      </c>
      <c r="Z302" s="15" t="str">
        <f t="shared" si="10"/>
        <v>Electropolished Pipes Manufacturer in Baramulla</v>
      </c>
      <c r="AA302" s="15" t="str">
        <f t="shared" si="11"/>
        <v>OK (47)</v>
      </c>
      <c r="AB302" s="15" t="str">
        <f t="shared" si="12"/>
        <v>Manufacturer of electropolished SS 316L tube serving Baramulla. VERIFY. Ra 0.25-0.5 um, EN 10204 3.1 MTC.</v>
      </c>
      <c r="AC302" s="15" t="str">
        <f t="shared" si="13"/>
        <v>PENDING RESEARCH</v>
      </c>
      <c r="AD302" s="15" t="str">
        <f t="shared" si="14"/>
        <v>Electropolished Pipes Manufacturer in Baramulla</v>
      </c>
      <c r="AE302" s="15" t="str">
        <f t="shared" si="15"/>
        <v>Manufacturing Electropolished SS Tube for Baramulla: The Standards We Build To</v>
      </c>
      <c r="AF302" s="15" t="str">
        <f t="shared" si="16"/>
        <v>Electropolished Pipe Supply Into Baramulla - Certification &amp; Transit</v>
      </c>
      <c r="AG302" s="15" t="str">
        <f t="shared" si="17"/>
        <v>Electropolished Pipes Wholesaler in Baramulla - Project Quantities &amp; Terms</v>
      </c>
      <c r="AH302" s="15" t="str">
        <f t="shared" si="18"/>
        <v>electropolished pipes manufacturer in Baramulla, electropolished pipes supplier in Baramulla, electropolished pipes wholesaler in Baramulla, electropolished tube manufacturer Baramulla, EP pipe supplier Baramulla, sanitary tube supplier Baramulla, ASME BPE tubing Baramulla, ASTM A270 tube Baramulla, SS 316L electropolished pipe Baramulla</v>
      </c>
      <c r="AI302" s="15" t="str">
        <f t="shared" si="19"/>
        <v>Electropolished Pipes Manufacturer &amp; Supplier in Baramulla</v>
      </c>
      <c r="AJ302" s="15" t="str">
        <f t="shared" si="20"/>
        <v>EP-finished SS 304/316L pipes and tubes for VERIFY plants in Baramulla. ASME BPE SF1-SF4, Ra from 0.25 um, EN 10204 3.1 certificate with every lot.</v>
      </c>
      <c r="AK302" s="15" t="str">
        <f t="shared" si="21"/>
        <v>Electropolished stainless steel pipes supplied by Sakshi Forge to VERIFY plants at SIDCO Industrial Area, Baramulla</v>
      </c>
      <c r="AL302" s="15" t="str">
        <f t="shared" si="22"/>
        <v>Electropolished SS 316L tube stock for Baramulla - Sakshi Forge</v>
      </c>
      <c r="AM302" s="15" t="str">
        <f t="shared" si="23"/>
        <v>Home &gt; Market Area &gt; India &gt; Jammu &amp; Kashmir &gt; Baramulla</v>
      </c>
      <c r="AN302" s="15">
        <f t="shared" si="24"/>
        <v>1000</v>
      </c>
      <c r="AO302" s="15">
        <f t="shared" si="25"/>
        <v>8</v>
      </c>
      <c r="AP302" s="15">
        <f t="shared" si="26"/>
        <v>8</v>
      </c>
      <c r="AQ302" s="15">
        <f t="shared" si="27"/>
        <v>5</v>
      </c>
      <c r="AR302" s="31"/>
      <c r="AS302" s="31"/>
      <c r="AT302" s="35" t="s">
        <v>222</v>
      </c>
      <c r="AU302" s="35"/>
    </row>
    <row r="303" ht="15.75" customHeight="1">
      <c r="A303" s="15" t="s">
        <v>2043</v>
      </c>
      <c r="B303" s="15" t="s">
        <v>60</v>
      </c>
      <c r="C303" s="15" t="s">
        <v>236</v>
      </c>
      <c r="D303" s="15" t="s">
        <v>2050</v>
      </c>
      <c r="E303" s="15" t="s">
        <v>2050</v>
      </c>
      <c r="F303" s="65" t="s">
        <v>788</v>
      </c>
      <c r="G303" s="66" t="s">
        <v>98</v>
      </c>
      <c r="H303" s="18" t="s">
        <v>2057</v>
      </c>
      <c r="I303" s="18" t="s">
        <v>8391</v>
      </c>
      <c r="J303" s="18" t="s">
        <v>98</v>
      </c>
      <c r="K303" s="18" t="s">
        <v>98</v>
      </c>
      <c r="L303" s="18" t="s">
        <v>98</v>
      </c>
      <c r="M303" s="18" t="s">
        <v>98</v>
      </c>
      <c r="N303" s="18" t="s">
        <v>98</v>
      </c>
      <c r="O303" s="18" t="s">
        <v>98</v>
      </c>
      <c r="P303" s="15" t="str">
        <f t="shared" si="1"/>
        <v>VERIFY</v>
      </c>
      <c r="Q303" s="15">
        <f t="shared" si="2"/>
        <v>4</v>
      </c>
      <c r="R303" s="15">
        <f t="shared" si="3"/>
        <v>6</v>
      </c>
      <c r="S303" s="15">
        <f t="shared" si="4"/>
        <v>5</v>
      </c>
      <c r="T303" s="15" t="str">
        <f t="shared" si="5"/>
        <v>B-6</v>
      </c>
      <c r="U303" s="15" t="str">
        <f t="shared" si="6"/>
        <v>T4-M6-H5-FB-6-VERIFY</v>
      </c>
      <c r="V303" s="15">
        <f t="shared" si="7"/>
        <v>0</v>
      </c>
      <c r="W303" s="31"/>
      <c r="X303" s="15" t="str">
        <f t="shared" si="8"/>
        <v>baran</v>
      </c>
      <c r="Y303" s="32" t="str">
        <f t="shared" si="9"/>
        <v>https://steelmanufacturer.in/market-area/electropolished-pipes-manufacturer-in-baran/</v>
      </c>
      <c r="Z303" s="15" t="str">
        <f t="shared" si="10"/>
        <v>Electropolished Pipes Manufacturer in Baran - SS 304/316L EP Tube</v>
      </c>
      <c r="AA303" s="15" t="str">
        <f t="shared" si="11"/>
        <v>OK (65)</v>
      </c>
      <c r="AB303" s="15" t="str">
        <f t="shared" si="12"/>
        <v>EP tube and pipe for VERIFY plants around RIICO Industrial Area, Baran. Made at our Mumbai works to ASTM A270 and ASME BPE SF1-SF4, with 3.1 MTC.</v>
      </c>
      <c r="AC303" s="15" t="str">
        <f t="shared" si="13"/>
        <v>PENDING RESEARCH</v>
      </c>
      <c r="AD303" s="15" t="str">
        <f t="shared" si="14"/>
        <v>Electropolished Pipes Manufacturer in Baran</v>
      </c>
      <c r="AE303" s="15" t="str">
        <f t="shared" si="15"/>
        <v>Electropolished Tube Manufacturing Capability Serving Baran</v>
      </c>
      <c r="AF303" s="15" t="str">
        <f t="shared" si="16"/>
        <v>Electropolished Pipes Supplier in Baran - From Order to Delivery</v>
      </c>
      <c r="AG303" s="15" t="str">
        <f t="shared" si="17"/>
        <v>Stockist &amp; Wholesale Supply of Electropolished Pipes in Baran</v>
      </c>
      <c r="AH303" s="15" t="str">
        <f t="shared" si="18"/>
        <v>electropolished pipes manufacturer in Baran, electropolished pipes supplier in Baran, electropolished pipes wholesaler in Baran, electropolished tube manufacturer Baran, EP pipe supplier Baran, sanitary tube supplier Baran, ASME BPE tubing Baran, ASTM A270 tube Baran, SS 316L electropolished pipe Baran</v>
      </c>
      <c r="AI303" s="15" t="str">
        <f t="shared" si="19"/>
        <v>Electropolished Pipes Manufacturer &amp; Supplier in Baran</v>
      </c>
      <c r="AJ303" s="15" t="str">
        <f t="shared" si="20"/>
        <v>EP-finished SS 304/316L pipes and tubes for VERIFY plants in Baran. ASME BPE SF1-SF4, Ra from 0.25 um, EN 10204 3.1 certificate with every lot.</v>
      </c>
      <c r="AK303" s="15" t="str">
        <f t="shared" si="21"/>
        <v>Electropolished stainless steel pipes supplied by Sakshi Forge to VERIFY plants at RIICO Industrial Area, Baran</v>
      </c>
      <c r="AL303" s="15" t="str">
        <f t="shared" si="22"/>
        <v>Electropolished SS 316L tube stock for Baran - Sakshi Forge</v>
      </c>
      <c r="AM303" s="15" t="str">
        <f t="shared" si="23"/>
        <v>Home &gt; Market Area &gt; India &gt; Rajasthan &gt; Baran</v>
      </c>
      <c r="AN303" s="15">
        <f t="shared" si="24"/>
        <v>1000</v>
      </c>
      <c r="AO303" s="15">
        <f t="shared" si="25"/>
        <v>8</v>
      </c>
      <c r="AP303" s="15">
        <f t="shared" si="26"/>
        <v>8</v>
      </c>
      <c r="AQ303" s="15">
        <f t="shared" si="27"/>
        <v>5</v>
      </c>
      <c r="AR303" s="31"/>
      <c r="AS303" s="31"/>
      <c r="AT303" s="35" t="s">
        <v>222</v>
      </c>
      <c r="AU303" s="35"/>
    </row>
    <row r="304" ht="15.75" customHeight="1">
      <c r="A304" s="15" t="s">
        <v>2061</v>
      </c>
      <c r="B304" s="15" t="s">
        <v>60</v>
      </c>
      <c r="C304" s="15" t="s">
        <v>1165</v>
      </c>
      <c r="D304" s="15" t="s">
        <v>2064</v>
      </c>
      <c r="E304" s="15" t="s">
        <v>2064</v>
      </c>
      <c r="F304" s="65" t="s">
        <v>788</v>
      </c>
      <c r="G304" s="66" t="s">
        <v>98</v>
      </c>
      <c r="H304" s="18" t="s">
        <v>2071</v>
      </c>
      <c r="I304" s="18" t="s">
        <v>8404</v>
      </c>
      <c r="J304" s="18" t="s">
        <v>98</v>
      </c>
      <c r="K304" s="18" t="s">
        <v>98</v>
      </c>
      <c r="L304" s="18" t="s">
        <v>98</v>
      </c>
      <c r="M304" s="18" t="s">
        <v>98</v>
      </c>
      <c r="N304" s="18" t="s">
        <v>98</v>
      </c>
      <c r="O304" s="18" t="s">
        <v>98</v>
      </c>
      <c r="P304" s="15" t="str">
        <f t="shared" si="1"/>
        <v>VERIFY</v>
      </c>
      <c r="Q304" s="15">
        <f t="shared" si="2"/>
        <v>5</v>
      </c>
      <c r="R304" s="15">
        <f t="shared" si="3"/>
        <v>7</v>
      </c>
      <c r="S304" s="15">
        <f t="shared" si="4"/>
        <v>1</v>
      </c>
      <c r="T304" s="15" t="str">
        <f t="shared" si="5"/>
        <v>B-1</v>
      </c>
      <c r="U304" s="15" t="str">
        <f t="shared" si="6"/>
        <v>T5-M7-H1-FB-1-VERIFY</v>
      </c>
      <c r="V304" s="15">
        <f t="shared" si="7"/>
        <v>0</v>
      </c>
      <c r="W304" s="31"/>
      <c r="X304" s="15" t="str">
        <f t="shared" si="8"/>
        <v>bardhaman</v>
      </c>
      <c r="Y304" s="32" t="str">
        <f t="shared" si="9"/>
        <v>https://steelmanufacturer.in/market-area/electropolished-pipes-manufacturer-in-bardhaman/</v>
      </c>
      <c r="Z304" s="15" t="str">
        <f t="shared" si="10"/>
        <v>Electropolished Pipes Manufacturer in Bardhaman</v>
      </c>
      <c r="AA304" s="15" t="str">
        <f t="shared" si="11"/>
        <v>OK (47)</v>
      </c>
      <c r="AB304" s="15" t="str">
        <f t="shared" si="12"/>
        <v>Electropolished pipes in Bardhaman: 304, 304L, 316 and 316L in SF1-SF4. VERIFY. Mill certified.</v>
      </c>
      <c r="AC304" s="15" t="str">
        <f t="shared" si="13"/>
        <v>PENDING RESEARCH</v>
      </c>
      <c r="AD304" s="15" t="str">
        <f t="shared" si="14"/>
        <v>Electropolished Pipes Manufacturer in Bardhaman</v>
      </c>
      <c r="AE304" s="15" t="str">
        <f t="shared" si="15"/>
        <v>Electropolished Pipe &amp; Tube Manufacturing for Bardhaman - Grades, Finishes &amp; Certification</v>
      </c>
      <c r="AF304" s="15" t="str">
        <f t="shared" si="16"/>
        <v>Electropolished Pipes Supplier in Bardhaman - Stock Sizes, Lead Time &amp; Delivery</v>
      </c>
      <c r="AG304" s="15" t="str">
        <f t="shared" si="17"/>
        <v>Electropolished Pipes Wholesaler &amp; Stockist in Bardhaman - Bulk &amp; Project Pricing</v>
      </c>
      <c r="AH304" s="15" t="str">
        <f t="shared" si="18"/>
        <v>electropolished pipes manufacturer in Bardhaman, electropolished pipes supplier in Bardhaman, electropolished pipes wholesaler in Bardhaman, electropolished tube manufacturer Bardhaman, EP pipe supplier Bardhaman, sanitary tube supplier Bardhaman, ASME BPE tubing Bardhaman, ASTM A270 tube Bardhaman, SS 316L electropolished pipe Bardhaman</v>
      </c>
      <c r="AI304" s="15" t="str">
        <f t="shared" si="19"/>
        <v>Electropolished Pipes Manufacturer &amp; Supplier in Bardhaman</v>
      </c>
      <c r="AJ304" s="15" t="str">
        <f t="shared" si="20"/>
        <v>EP-finished SS 304/316L pipes and tubes for VERIFY plants in Bardhaman. ASME BPE SF1-SF4, Ra from 0.25 um, EN 10204 3.1 certificate with every lot.</v>
      </c>
      <c r="AK304" s="15" t="str">
        <f t="shared" si="21"/>
        <v>Electropolished stainless steel pipes supplied by Sakshi Forge to VERIFY plants at WBIDC Industrial Area, Bardhaman</v>
      </c>
      <c r="AL304" s="15" t="str">
        <f t="shared" si="22"/>
        <v>Electropolished SS 316L tube stock for Bardhaman - Sakshi Forge</v>
      </c>
      <c r="AM304" s="15" t="str">
        <f t="shared" si="23"/>
        <v>Home &gt; Market Area &gt; India &gt; West Bengal &gt; Bardhaman</v>
      </c>
      <c r="AN304" s="15">
        <f t="shared" si="24"/>
        <v>1000</v>
      </c>
      <c r="AO304" s="15">
        <f t="shared" si="25"/>
        <v>8</v>
      </c>
      <c r="AP304" s="15">
        <f t="shared" si="26"/>
        <v>8</v>
      </c>
      <c r="AQ304" s="15">
        <f t="shared" si="27"/>
        <v>6</v>
      </c>
      <c r="AR304" s="31"/>
      <c r="AS304" s="31"/>
      <c r="AT304" s="35" t="s">
        <v>222</v>
      </c>
      <c r="AU304" s="35"/>
    </row>
    <row r="305" ht="15.75" customHeight="1">
      <c r="A305" s="15" t="s">
        <v>2079</v>
      </c>
      <c r="B305" s="15" t="s">
        <v>60</v>
      </c>
      <c r="C305" s="15" t="s">
        <v>224</v>
      </c>
      <c r="D305" s="15" t="s">
        <v>2084</v>
      </c>
      <c r="E305" s="15" t="s">
        <v>2084</v>
      </c>
      <c r="F305" s="65" t="s">
        <v>788</v>
      </c>
      <c r="G305" s="66" t="s">
        <v>98</v>
      </c>
      <c r="H305" s="18" t="s">
        <v>2091</v>
      </c>
      <c r="I305" s="18" t="s">
        <v>8400</v>
      </c>
      <c r="J305" s="18" t="s">
        <v>98</v>
      </c>
      <c r="K305" s="18" t="s">
        <v>98</v>
      </c>
      <c r="L305" s="18" t="s">
        <v>98</v>
      </c>
      <c r="M305" s="18" t="s">
        <v>98</v>
      </c>
      <c r="N305" s="18" t="s">
        <v>98</v>
      </c>
      <c r="O305" s="18" t="s">
        <v>98</v>
      </c>
      <c r="P305" s="15" t="str">
        <f t="shared" si="1"/>
        <v>VERIFY</v>
      </c>
      <c r="Q305" s="15">
        <f t="shared" si="2"/>
        <v>6</v>
      </c>
      <c r="R305" s="15">
        <f t="shared" si="3"/>
        <v>1</v>
      </c>
      <c r="S305" s="15">
        <f t="shared" si="4"/>
        <v>2</v>
      </c>
      <c r="T305" s="15" t="str">
        <f t="shared" si="5"/>
        <v>B-2</v>
      </c>
      <c r="U305" s="15" t="str">
        <f t="shared" si="6"/>
        <v>T6-M1-H2-FB-2-VERIFY</v>
      </c>
      <c r="V305" s="15">
        <f t="shared" si="7"/>
        <v>0</v>
      </c>
      <c r="W305" s="31"/>
      <c r="X305" s="15" t="str">
        <f t="shared" si="8"/>
        <v>bardoli</v>
      </c>
      <c r="Y305" s="32" t="str">
        <f t="shared" si="9"/>
        <v>https://steelmanufacturer.in/market-area/electropolished-pipes-manufacturer-in-bardoli/</v>
      </c>
      <c r="Z305" s="15" t="str">
        <f t="shared" si="10"/>
        <v>Electropolished Pipes Manufacturer in Bardoli</v>
      </c>
      <c r="AA305" s="15" t="str">
        <f t="shared" si="11"/>
        <v>OK (45)</v>
      </c>
      <c r="AB305" s="15" t="str">
        <f t="shared" si="12"/>
        <v>EP-finished SS 304/316L pipes &amp; tubes for VERIFY plants in Bardoli. ASTM A270, ASME BPE SF1-SF4, EN 10204 3.1 MTC. PMI tested.</v>
      </c>
      <c r="AC305" s="15" t="str">
        <f t="shared" si="13"/>
        <v>PENDING RESEARCH</v>
      </c>
      <c r="AD305" s="15" t="str">
        <f t="shared" si="14"/>
        <v>Electropolished Pipes Manufacturer in Bardoli</v>
      </c>
      <c r="AE305" s="15" t="str">
        <f t="shared" si="15"/>
        <v>How We Manufacture Electropolished Tube for Bardoli Plants</v>
      </c>
      <c r="AF305" s="15" t="str">
        <f t="shared" si="16"/>
        <v>Supplying Electropolished Pipes in Bardoli: Availability, Sizes &amp; Dispatch</v>
      </c>
      <c r="AG305" s="15" t="str">
        <f t="shared" si="17"/>
        <v>Wholesale Electropolished Pipe Supply for Bardoli Projects</v>
      </c>
      <c r="AH305" s="15" t="str">
        <f t="shared" si="18"/>
        <v>electropolished pipes manufacturer in Bardoli, electropolished pipes supplier in Bardoli, electropolished pipes wholesaler in Bardoli, electropolished tube manufacturer Bardoli, EP pipe supplier Bardoli, sanitary tube supplier Bardoli, ASME BPE tubing Bardoli, ASTM A270 tube Bardoli, SS 316L electropolished pipe Bardoli</v>
      </c>
      <c r="AI305" s="15" t="str">
        <f t="shared" si="19"/>
        <v>Electropolished Pipes Manufacturer &amp; Supplier in Bardoli</v>
      </c>
      <c r="AJ305" s="15" t="str">
        <f t="shared" si="20"/>
        <v>EP-finished SS 304/316L pipes and tubes for VERIFY plants in Bardoli. ASME BPE SF1-SF4, Ra from 0.25 um, EN 10204 3.1 certificate with every lot.</v>
      </c>
      <c r="AK305" s="15" t="str">
        <f t="shared" si="21"/>
        <v>Electropolished stainless steel pipes supplied by Sakshi Forge to VERIFY plants at GIDC Industrial Area, Bardoli</v>
      </c>
      <c r="AL305" s="15" t="str">
        <f t="shared" si="22"/>
        <v>Electropolished SS 316L tube stock for Bardoli - Sakshi Forge</v>
      </c>
      <c r="AM305" s="15" t="str">
        <f t="shared" si="23"/>
        <v>Home &gt; Market Area &gt; India &gt; Gujarat &gt; Bardoli</v>
      </c>
      <c r="AN305" s="15">
        <f t="shared" si="24"/>
        <v>1000</v>
      </c>
      <c r="AO305" s="15">
        <f t="shared" si="25"/>
        <v>8</v>
      </c>
      <c r="AP305" s="15">
        <f t="shared" si="26"/>
        <v>8</v>
      </c>
      <c r="AQ305" s="15">
        <f t="shared" si="27"/>
        <v>6</v>
      </c>
      <c r="AR305" s="31"/>
      <c r="AS305" s="31"/>
      <c r="AT305" s="35" t="s">
        <v>222</v>
      </c>
      <c r="AU305" s="35"/>
    </row>
    <row r="306" ht="15.75" customHeight="1">
      <c r="A306" s="15" t="s">
        <v>2100</v>
      </c>
      <c r="B306" s="15" t="s">
        <v>60</v>
      </c>
      <c r="C306" s="15" t="s">
        <v>85</v>
      </c>
      <c r="D306" s="15" t="s">
        <v>2108</v>
      </c>
      <c r="E306" s="15" t="s">
        <v>2108</v>
      </c>
      <c r="F306" s="65" t="s">
        <v>788</v>
      </c>
      <c r="G306" s="66" t="s">
        <v>98</v>
      </c>
      <c r="H306" s="18" t="s">
        <v>2115</v>
      </c>
      <c r="I306" s="18" t="s">
        <v>8398</v>
      </c>
      <c r="J306" s="18" t="s">
        <v>98</v>
      </c>
      <c r="K306" s="18" t="s">
        <v>98</v>
      </c>
      <c r="L306" s="18" t="s">
        <v>98</v>
      </c>
      <c r="M306" s="18" t="s">
        <v>98</v>
      </c>
      <c r="N306" s="18" t="s">
        <v>98</v>
      </c>
      <c r="O306" s="18" t="s">
        <v>98</v>
      </c>
      <c r="P306" s="15" t="str">
        <f t="shared" si="1"/>
        <v>VERIFY</v>
      </c>
      <c r="Q306" s="15">
        <f t="shared" si="2"/>
        <v>7</v>
      </c>
      <c r="R306" s="15">
        <f t="shared" si="3"/>
        <v>2</v>
      </c>
      <c r="S306" s="15">
        <f t="shared" si="4"/>
        <v>3</v>
      </c>
      <c r="T306" s="15" t="str">
        <f t="shared" si="5"/>
        <v>B-3</v>
      </c>
      <c r="U306" s="15" t="str">
        <f t="shared" si="6"/>
        <v>T7-M2-H3-FB-3-VERIFY</v>
      </c>
      <c r="V306" s="15">
        <f t="shared" si="7"/>
        <v>0</v>
      </c>
      <c r="W306" s="31"/>
      <c r="X306" s="15" t="str">
        <f t="shared" si="8"/>
        <v>bareilly</v>
      </c>
      <c r="Y306" s="32" t="str">
        <f t="shared" si="9"/>
        <v>https://steelmanufacturer.in/market-area/electropolished-pipes-manufacturer-in-bareilly/</v>
      </c>
      <c r="Z306" s="15" t="str">
        <f t="shared" si="10"/>
        <v>Electropolished Pipes Manufacturer in Bareilly | ASME BPE SF1-SF4</v>
      </c>
      <c r="AA306" s="15" t="str">
        <f t="shared" si="11"/>
        <v>OK (65)</v>
      </c>
      <c r="AB306" s="15" t="str">
        <f t="shared" si="12"/>
        <v>Electropolished tube supply to UPSIDA Industrial Area, Bareilly. Ra from 0.25 um, SF4 finish, mill test certificate with every lot.</v>
      </c>
      <c r="AC306" s="15" t="str">
        <f t="shared" si="13"/>
        <v>PENDING RESEARCH</v>
      </c>
      <c r="AD306" s="15" t="str">
        <f t="shared" si="14"/>
        <v>Electropolished Pipes Manufacturer in Bareilly</v>
      </c>
      <c r="AE306" s="15" t="str">
        <f t="shared" si="15"/>
        <v>Electropolished Pipes Manufacturer in Bareilly - Our Process &amp; Capability</v>
      </c>
      <c r="AF306" s="15" t="str">
        <f t="shared" si="16"/>
        <v>Electropolished Pipes Supplier in Bareilly - What We Hold in Stock</v>
      </c>
      <c r="AG306" s="15" t="str">
        <f t="shared" si="17"/>
        <v>Bulk &amp; Wholesale Electropolished Pipe Rates for Bareilly Buyers</v>
      </c>
      <c r="AH306" s="15" t="str">
        <f t="shared" si="18"/>
        <v>electropolished pipes manufacturer in Bareilly, electropolished pipes supplier in Bareilly, electropolished pipes wholesaler in Bareilly, electropolished tube manufacturer Bareilly, EP pipe supplier Bareilly, sanitary tube supplier Bareilly, ASME BPE tubing Bareilly, ASTM A270 tube Bareilly, SS 316L electropolished pipe Bareilly</v>
      </c>
      <c r="AI306" s="15" t="str">
        <f t="shared" si="19"/>
        <v>Electropolished Pipes Manufacturer &amp; Supplier in Bareilly</v>
      </c>
      <c r="AJ306" s="15" t="str">
        <f t="shared" si="20"/>
        <v>EP-finished SS 304/316L pipes and tubes for VERIFY plants in Bareilly. ASME BPE SF1-SF4, Ra from 0.25 um, EN 10204 3.1 certificate with every lot.</v>
      </c>
      <c r="AK306" s="15" t="str">
        <f t="shared" si="21"/>
        <v>Electropolished stainless steel pipes supplied by Sakshi Forge to VERIFY plants at UPSIDA Industrial Area, Bareilly</v>
      </c>
      <c r="AL306" s="15" t="str">
        <f t="shared" si="22"/>
        <v>Electropolished SS 316L tube stock for Bareilly - Sakshi Forge</v>
      </c>
      <c r="AM306" s="15" t="str">
        <f t="shared" si="23"/>
        <v>Home &gt; Market Area &gt; India &gt; Uttar Pradesh &gt; Bareilly</v>
      </c>
      <c r="AN306" s="15">
        <f t="shared" si="24"/>
        <v>1000</v>
      </c>
      <c r="AO306" s="15">
        <f t="shared" si="25"/>
        <v>8</v>
      </c>
      <c r="AP306" s="15">
        <f t="shared" si="26"/>
        <v>8</v>
      </c>
      <c r="AQ306" s="15">
        <f t="shared" si="27"/>
        <v>6</v>
      </c>
      <c r="AR306" s="31"/>
      <c r="AS306" s="31"/>
      <c r="AT306" s="35" t="s">
        <v>222</v>
      </c>
      <c r="AU306" s="35"/>
    </row>
    <row r="307" ht="15.75" customHeight="1">
      <c r="A307" s="15" t="s">
        <v>2123</v>
      </c>
      <c r="B307" s="15" t="s">
        <v>60</v>
      </c>
      <c r="C307" s="15" t="s">
        <v>245</v>
      </c>
      <c r="D307" s="15" t="s">
        <v>2129</v>
      </c>
      <c r="E307" s="15" t="s">
        <v>2129</v>
      </c>
      <c r="F307" s="65" t="s">
        <v>788</v>
      </c>
      <c r="G307" s="66" t="s">
        <v>98</v>
      </c>
      <c r="H307" s="18" t="s">
        <v>2132</v>
      </c>
      <c r="I307" s="18" t="s">
        <v>8407</v>
      </c>
      <c r="J307" s="18" t="s">
        <v>98</v>
      </c>
      <c r="K307" s="18" t="s">
        <v>98</v>
      </c>
      <c r="L307" s="18" t="s">
        <v>98</v>
      </c>
      <c r="M307" s="18" t="s">
        <v>98</v>
      </c>
      <c r="N307" s="18" t="s">
        <v>98</v>
      </c>
      <c r="O307" s="18" t="s">
        <v>98</v>
      </c>
      <c r="P307" s="15" t="str">
        <f t="shared" si="1"/>
        <v>VERIFY</v>
      </c>
      <c r="Q307" s="15">
        <f t="shared" si="2"/>
        <v>8</v>
      </c>
      <c r="R307" s="15">
        <f t="shared" si="3"/>
        <v>3</v>
      </c>
      <c r="S307" s="15">
        <f t="shared" si="4"/>
        <v>4</v>
      </c>
      <c r="T307" s="15" t="str">
        <f t="shared" si="5"/>
        <v>B-4</v>
      </c>
      <c r="U307" s="15" t="str">
        <f t="shared" si="6"/>
        <v>T8-M3-H4-FB-4-VERIFY</v>
      </c>
      <c r="V307" s="15">
        <f t="shared" si="7"/>
        <v>0</v>
      </c>
      <c r="W307" s="31"/>
      <c r="X307" s="15" t="str">
        <f t="shared" si="8"/>
        <v>barhi</v>
      </c>
      <c r="Y307" s="32" t="str">
        <f t="shared" si="9"/>
        <v>https://steelmanufacturer.in/market-area/electropolished-pipes-manufacturer-in-barhi/</v>
      </c>
      <c r="Z307" s="15" t="str">
        <f t="shared" si="10"/>
        <v>Electropolished Pipes Manufacturer in Barhi - EP Tube Stockist</v>
      </c>
      <c r="AA307" s="15" t="str">
        <f t="shared" si="11"/>
        <v>OK (62)</v>
      </c>
      <c r="AB307" s="15" t="str">
        <f t="shared" si="12"/>
        <v>EP stainless tube for VERIFY lines in Barhi. VERIFY. ASTM A270 S2, PMI tested, EN 10204 3.1.</v>
      </c>
      <c r="AC307" s="15" t="str">
        <f t="shared" si="13"/>
        <v>PENDING RESEARCH</v>
      </c>
      <c r="AD307" s="15" t="str">
        <f t="shared" si="14"/>
        <v>Electropolished Pipes Manufacturer in Barhi</v>
      </c>
      <c r="AE307" s="15" t="str">
        <f t="shared" si="15"/>
        <v>Manufacturing Electropolished SS Tube for Barhi: The Standards We Build To</v>
      </c>
      <c r="AF307" s="15" t="str">
        <f t="shared" si="16"/>
        <v>Electropolished Pipe Supply Into Barhi - Certification &amp; Transit</v>
      </c>
      <c r="AG307" s="15" t="str">
        <f t="shared" si="17"/>
        <v>Electropolished Pipes Wholesaler in Barhi - Project Quantities &amp; Terms</v>
      </c>
      <c r="AH307" s="15" t="str">
        <f t="shared" si="18"/>
        <v>electropolished pipes manufacturer in Barhi, electropolished pipes supplier in Barhi, electropolished pipes wholesaler in Barhi, electropolished tube manufacturer Barhi, EP pipe supplier Barhi, sanitary tube supplier Barhi, ASME BPE tubing Barhi, ASTM A270 tube Barhi, SS 316L electropolished pipe Barhi</v>
      </c>
      <c r="AI307" s="15" t="str">
        <f t="shared" si="19"/>
        <v>Electropolished Pipes Manufacturer &amp; Supplier in Barhi</v>
      </c>
      <c r="AJ307" s="15" t="str">
        <f t="shared" si="20"/>
        <v>EP-finished SS 304/316L pipes and tubes for VERIFY plants in Barhi. ASME BPE SF1-SF4, Ra from 0.25 um, EN 10204 3.1 certificate with every lot.</v>
      </c>
      <c r="AK307" s="15" t="str">
        <f t="shared" si="21"/>
        <v>Electropolished stainless steel pipes supplied by Sakshi Forge to VERIFY plants at HSIIDC Industrial Area, Barhi</v>
      </c>
      <c r="AL307" s="15" t="str">
        <f t="shared" si="22"/>
        <v>Electropolished SS 316L tube stock for Barhi - Sakshi Forge</v>
      </c>
      <c r="AM307" s="15" t="str">
        <f t="shared" si="23"/>
        <v>Home &gt; Market Area &gt; India &gt; Haryana &gt; Barhi</v>
      </c>
      <c r="AN307" s="15">
        <f t="shared" si="24"/>
        <v>1000</v>
      </c>
      <c r="AO307" s="15">
        <f t="shared" si="25"/>
        <v>8</v>
      </c>
      <c r="AP307" s="15">
        <f t="shared" si="26"/>
        <v>8</v>
      </c>
      <c r="AQ307" s="15">
        <f t="shared" si="27"/>
        <v>6</v>
      </c>
      <c r="AR307" s="31"/>
      <c r="AS307" s="31"/>
      <c r="AT307" s="35" t="s">
        <v>222</v>
      </c>
      <c r="AU307" s="35"/>
    </row>
    <row r="308" ht="15.75" customHeight="1">
      <c r="A308" s="15" t="s">
        <v>2136</v>
      </c>
      <c r="B308" s="15" t="s">
        <v>60</v>
      </c>
      <c r="C308" s="15" t="s">
        <v>236</v>
      </c>
      <c r="D308" s="15" t="s">
        <v>2140</v>
      </c>
      <c r="E308" s="15" t="s">
        <v>2140</v>
      </c>
      <c r="F308" s="65" t="s">
        <v>788</v>
      </c>
      <c r="G308" s="66" t="s">
        <v>98</v>
      </c>
      <c r="H308" s="18" t="s">
        <v>2145</v>
      </c>
      <c r="I308" s="18" t="s">
        <v>8391</v>
      </c>
      <c r="J308" s="18" t="s">
        <v>98</v>
      </c>
      <c r="K308" s="18" t="s">
        <v>98</v>
      </c>
      <c r="L308" s="18" t="s">
        <v>98</v>
      </c>
      <c r="M308" s="18" t="s">
        <v>98</v>
      </c>
      <c r="N308" s="18" t="s">
        <v>98</v>
      </c>
      <c r="O308" s="18" t="s">
        <v>98</v>
      </c>
      <c r="P308" s="15" t="str">
        <f t="shared" si="1"/>
        <v>VERIFY</v>
      </c>
      <c r="Q308" s="15">
        <f t="shared" si="2"/>
        <v>1</v>
      </c>
      <c r="R308" s="15">
        <f t="shared" si="3"/>
        <v>4</v>
      </c>
      <c r="S308" s="15">
        <f t="shared" si="4"/>
        <v>5</v>
      </c>
      <c r="T308" s="15" t="str">
        <f t="shared" si="5"/>
        <v>B-5</v>
      </c>
      <c r="U308" s="15" t="str">
        <f t="shared" si="6"/>
        <v>T1-M4-H5-FB-5-VERIFY</v>
      </c>
      <c r="V308" s="15">
        <f t="shared" si="7"/>
        <v>0</v>
      </c>
      <c r="W308" s="31"/>
      <c r="X308" s="15" t="str">
        <f t="shared" si="8"/>
        <v>barmer</v>
      </c>
      <c r="Y308" s="32" t="str">
        <f t="shared" si="9"/>
        <v>https://steelmanufacturer.in/market-area/electropolished-pipes-manufacturer-in-barmer/</v>
      </c>
      <c r="Z308" s="15" t="str">
        <f t="shared" si="10"/>
        <v>Electropolished Pipes Manufacturer in Barmer | Sakshi Forge</v>
      </c>
      <c r="AA308" s="15" t="str">
        <f t="shared" si="11"/>
        <v>OK (59)</v>
      </c>
      <c r="AB308" s="15" t="str">
        <f t="shared" si="12"/>
        <v>Sanitary electropolished pipes in Barmer for VERIFY plants. ASME BPE SF1-SF4, orbital-weld ready, 3.1 MTC. Mumbai-made.</v>
      </c>
      <c r="AC308" s="15" t="str">
        <f t="shared" si="13"/>
        <v>PENDING RESEARCH</v>
      </c>
      <c r="AD308" s="15" t="str">
        <f t="shared" si="14"/>
        <v>Electropolished Pipes Manufacturer in Barmer</v>
      </c>
      <c r="AE308" s="15" t="str">
        <f t="shared" si="15"/>
        <v>Electropolished Tube Manufacturing Capability Serving Barmer</v>
      </c>
      <c r="AF308" s="15" t="str">
        <f t="shared" si="16"/>
        <v>Electropolished Pipes Supplier in Barmer - From Order to Delivery</v>
      </c>
      <c r="AG308" s="15" t="str">
        <f t="shared" si="17"/>
        <v>Stockist &amp; Wholesale Supply of Electropolished Pipes in Barmer</v>
      </c>
      <c r="AH308" s="15" t="str">
        <f t="shared" si="18"/>
        <v>electropolished pipes manufacturer in Barmer, electropolished pipes supplier in Barmer, electropolished pipes wholesaler in Barmer, electropolished tube manufacturer Barmer, EP pipe supplier Barmer, sanitary tube supplier Barmer, ASME BPE tubing Barmer, ASTM A270 tube Barmer, SS 316L electropolished pipe Barmer</v>
      </c>
      <c r="AI308" s="15" t="str">
        <f t="shared" si="19"/>
        <v>Electropolished Pipes Manufacturer &amp; Supplier in Barmer</v>
      </c>
      <c r="AJ308" s="15" t="str">
        <f t="shared" si="20"/>
        <v>EP-finished SS 304/316L pipes and tubes for VERIFY plants in Barmer. ASME BPE SF1-SF4, Ra from 0.25 um, EN 10204 3.1 certificate with every lot.</v>
      </c>
      <c r="AK308" s="15" t="str">
        <f t="shared" si="21"/>
        <v>Electropolished stainless steel pipes supplied by Sakshi Forge to VERIFY plants at RIICO Industrial Area, Barmer</v>
      </c>
      <c r="AL308" s="15" t="str">
        <f t="shared" si="22"/>
        <v>Electropolished SS 316L tube stock for Barmer - Sakshi Forge</v>
      </c>
      <c r="AM308" s="15" t="str">
        <f t="shared" si="23"/>
        <v>Home &gt; Market Area &gt; India &gt; Rajasthan &gt; Barmer</v>
      </c>
      <c r="AN308" s="15">
        <f t="shared" si="24"/>
        <v>1000</v>
      </c>
      <c r="AO308" s="15">
        <f t="shared" si="25"/>
        <v>8</v>
      </c>
      <c r="AP308" s="15">
        <f t="shared" si="26"/>
        <v>8</v>
      </c>
      <c r="AQ308" s="15">
        <f t="shared" si="27"/>
        <v>6</v>
      </c>
      <c r="AR308" s="31"/>
      <c r="AS308" s="31"/>
      <c r="AT308" s="35" t="s">
        <v>222</v>
      </c>
      <c r="AU308" s="35"/>
    </row>
    <row r="309" ht="15.75" customHeight="1">
      <c r="A309" s="15" t="s">
        <v>2148</v>
      </c>
      <c r="B309" s="15" t="s">
        <v>60</v>
      </c>
      <c r="C309" s="15" t="s">
        <v>354</v>
      </c>
      <c r="D309" s="15" t="s">
        <v>2151</v>
      </c>
      <c r="E309" s="15" t="s">
        <v>2151</v>
      </c>
      <c r="F309" s="65" t="s">
        <v>788</v>
      </c>
      <c r="G309" s="66" t="s">
        <v>98</v>
      </c>
      <c r="H309" s="18" t="s">
        <v>2156</v>
      </c>
      <c r="I309" s="18" t="s">
        <v>8408</v>
      </c>
      <c r="J309" s="18" t="s">
        <v>98</v>
      </c>
      <c r="K309" s="18" t="s">
        <v>98</v>
      </c>
      <c r="L309" s="18" t="s">
        <v>98</v>
      </c>
      <c r="M309" s="18" t="s">
        <v>98</v>
      </c>
      <c r="N309" s="18" t="s">
        <v>98</v>
      </c>
      <c r="O309" s="18" t="s">
        <v>98</v>
      </c>
      <c r="P309" s="15" t="str">
        <f t="shared" si="1"/>
        <v>VERIFY</v>
      </c>
      <c r="Q309" s="15">
        <f t="shared" si="2"/>
        <v>2</v>
      </c>
      <c r="R309" s="15">
        <f t="shared" si="3"/>
        <v>5</v>
      </c>
      <c r="S309" s="15">
        <f t="shared" si="4"/>
        <v>1</v>
      </c>
      <c r="T309" s="15" t="str">
        <f t="shared" si="5"/>
        <v>B-6</v>
      </c>
      <c r="U309" s="15" t="str">
        <f t="shared" si="6"/>
        <v>T2-M5-H1-FB-6-VERIFY</v>
      </c>
      <c r="V309" s="15">
        <f t="shared" si="7"/>
        <v>0</v>
      </c>
      <c r="W309" s="31"/>
      <c r="X309" s="15" t="str">
        <f t="shared" si="8"/>
        <v>barnala</v>
      </c>
      <c r="Y309" s="32" t="str">
        <f t="shared" si="9"/>
        <v>https://steelmanufacturer.in/market-area/electropolished-pipes-manufacturer-in-barnala/</v>
      </c>
      <c r="Z309" s="15" t="str">
        <f t="shared" si="10"/>
        <v>Electropolished Pipes Manufacturer in Barnala</v>
      </c>
      <c r="AA309" s="15" t="str">
        <f t="shared" si="11"/>
        <v>OK (45)</v>
      </c>
      <c r="AB309" s="15" t="str">
        <f t="shared" si="12"/>
        <v>Manufacturer of electropolished SS 316L tube serving Barnala. VERIFY. Ra 0.25-0.5 um, EN 10204 3.1 MTC.</v>
      </c>
      <c r="AC309" s="15" t="str">
        <f t="shared" si="13"/>
        <v>PENDING RESEARCH</v>
      </c>
      <c r="AD309" s="15" t="str">
        <f t="shared" si="14"/>
        <v>Electropolished Pipes Manufacturer in Barnala</v>
      </c>
      <c r="AE309" s="15" t="str">
        <f t="shared" si="15"/>
        <v>Electropolished Pipe &amp; Tube Manufacturing for Barnala - Grades, Finishes &amp; Certification</v>
      </c>
      <c r="AF309" s="15" t="str">
        <f t="shared" si="16"/>
        <v>Electropolished Pipes Supplier in Barnala - Stock Sizes, Lead Time &amp; Delivery</v>
      </c>
      <c r="AG309" s="15" t="str">
        <f t="shared" si="17"/>
        <v>Electropolished Pipes Wholesaler &amp; Stockist in Barnala - Bulk &amp; Project Pricing</v>
      </c>
      <c r="AH309" s="15" t="str">
        <f t="shared" si="18"/>
        <v>electropolished pipes manufacturer in Barnala, electropolished pipes supplier in Barnala, electropolished pipes wholesaler in Barnala, electropolished tube manufacturer Barnala, EP pipe supplier Barnala, sanitary tube supplier Barnala, ASME BPE tubing Barnala, ASTM A270 tube Barnala, SS 316L electropolished pipe Barnala</v>
      </c>
      <c r="AI309" s="15" t="str">
        <f t="shared" si="19"/>
        <v>Electropolished Pipes Manufacturer &amp; Supplier in Barnala</v>
      </c>
      <c r="AJ309" s="15" t="str">
        <f t="shared" si="20"/>
        <v>EP-finished SS 304/316L pipes and tubes for VERIFY plants in Barnala. ASME BPE SF1-SF4, Ra from 0.25 um, EN 10204 3.1 certificate with every lot.</v>
      </c>
      <c r="AK309" s="15" t="str">
        <f t="shared" si="21"/>
        <v>Electropolished stainless steel pipes supplied by Sakshi Forge to VERIFY plants at PSIEC Industrial Area, Barnala</v>
      </c>
      <c r="AL309" s="15" t="str">
        <f t="shared" si="22"/>
        <v>Electropolished SS 316L tube stock for Barnala - Sakshi Forge</v>
      </c>
      <c r="AM309" s="15" t="str">
        <f t="shared" si="23"/>
        <v>Home &gt; Market Area &gt; India &gt; Punjab &gt; Barnala</v>
      </c>
      <c r="AN309" s="15">
        <f t="shared" si="24"/>
        <v>1000</v>
      </c>
      <c r="AO309" s="15">
        <f t="shared" si="25"/>
        <v>8</v>
      </c>
      <c r="AP309" s="15">
        <f t="shared" si="26"/>
        <v>8</v>
      </c>
      <c r="AQ309" s="15">
        <f t="shared" si="27"/>
        <v>6</v>
      </c>
      <c r="AR309" s="31"/>
      <c r="AS309" s="31"/>
      <c r="AT309" s="35" t="s">
        <v>222</v>
      </c>
      <c r="AU309" s="35"/>
    </row>
    <row r="310" ht="15.75" customHeight="1">
      <c r="A310" s="15" t="s">
        <v>2160</v>
      </c>
      <c r="B310" s="15" t="s">
        <v>60</v>
      </c>
      <c r="C310" s="15" t="s">
        <v>1165</v>
      </c>
      <c r="D310" s="15" t="s">
        <v>2163</v>
      </c>
      <c r="E310" s="15" t="s">
        <v>2163</v>
      </c>
      <c r="F310" s="65" t="s">
        <v>788</v>
      </c>
      <c r="G310" s="66" t="s">
        <v>98</v>
      </c>
      <c r="H310" s="18" t="s">
        <v>2168</v>
      </c>
      <c r="I310" s="18" t="s">
        <v>8404</v>
      </c>
      <c r="J310" s="18" t="s">
        <v>98</v>
      </c>
      <c r="K310" s="18" t="s">
        <v>98</v>
      </c>
      <c r="L310" s="18" t="s">
        <v>98</v>
      </c>
      <c r="M310" s="18" t="s">
        <v>98</v>
      </c>
      <c r="N310" s="18" t="s">
        <v>98</v>
      </c>
      <c r="O310" s="18" t="s">
        <v>98</v>
      </c>
      <c r="P310" s="15" t="str">
        <f t="shared" si="1"/>
        <v>VERIFY</v>
      </c>
      <c r="Q310" s="15">
        <f t="shared" si="2"/>
        <v>3</v>
      </c>
      <c r="R310" s="15">
        <f t="shared" si="3"/>
        <v>6</v>
      </c>
      <c r="S310" s="15">
        <f t="shared" si="4"/>
        <v>2</v>
      </c>
      <c r="T310" s="15" t="str">
        <f t="shared" si="5"/>
        <v>B-1</v>
      </c>
      <c r="U310" s="15" t="str">
        <f t="shared" si="6"/>
        <v>T3-M6-H2-FB-1-VERIFY</v>
      </c>
      <c r="V310" s="15">
        <f t="shared" si="7"/>
        <v>0</v>
      </c>
      <c r="W310" s="31"/>
      <c r="X310" s="15" t="str">
        <f t="shared" si="8"/>
        <v>barrackpore</v>
      </c>
      <c r="Y310" s="32" t="str">
        <f t="shared" si="9"/>
        <v>https://steelmanufacturer.in/market-area/electropolished-pipes-manufacturer-in-barrackpore/</v>
      </c>
      <c r="Z310" s="15" t="str">
        <f t="shared" si="10"/>
        <v>Electropolished Pipes Manufacturer in Barrackpore</v>
      </c>
      <c r="AA310" s="15" t="str">
        <f t="shared" si="11"/>
        <v>OK (49)</v>
      </c>
      <c r="AB310" s="15" t="str">
        <f t="shared" si="12"/>
        <v>EP tube and pipe for VERIFY plants around WBIDC Industrial Area, Barrackpore. Made at our Mumbai works to ASTM A270 and ASME BPE SF1-SF4, with 3.1 MTC.</v>
      </c>
      <c r="AC310" s="15" t="str">
        <f t="shared" si="13"/>
        <v>PENDING RESEARCH</v>
      </c>
      <c r="AD310" s="15" t="str">
        <f t="shared" si="14"/>
        <v>Electropolished Pipes Manufacturer in Barrackpore</v>
      </c>
      <c r="AE310" s="15" t="str">
        <f t="shared" si="15"/>
        <v>How We Manufacture Electropolished Tube for Barrackpore Plants</v>
      </c>
      <c r="AF310" s="15" t="str">
        <f t="shared" si="16"/>
        <v>Supplying Electropolished Pipes in Barrackpore: Availability, Sizes &amp; Dispatch</v>
      </c>
      <c r="AG310" s="15" t="str">
        <f t="shared" si="17"/>
        <v>Wholesale Electropolished Pipe Supply for Barrackpore Projects</v>
      </c>
      <c r="AH310" s="15" t="str">
        <f t="shared" si="18"/>
        <v>electropolished pipes manufacturer in Barrackpore, electropolished pipes supplier in Barrackpore, electropolished pipes wholesaler in Barrackpore, electropolished tube manufacturer Barrackpore, EP pipe supplier Barrackpore, sanitary tube supplier Barrackpore, ASME BPE tubing Barrackpore, ASTM A270 tube Barrackpore, SS 316L electropolished pipe Barrackpore</v>
      </c>
      <c r="AI310" s="15" t="str">
        <f t="shared" si="19"/>
        <v>Electropolished Pipes Manufacturer &amp; Supplier in Barrackpore</v>
      </c>
      <c r="AJ310" s="15" t="str">
        <f t="shared" si="20"/>
        <v>EP-finished SS 304/316L pipes and tubes for VERIFY plants in Barrackpore. ASME BPE SF1-SF4, Ra from 0.25 um, EN 10204 3.1 certificate with every lot.</v>
      </c>
      <c r="AK310" s="15" t="str">
        <f t="shared" si="21"/>
        <v>Electropolished stainless steel pipes supplied by Sakshi Forge to VERIFY plants at WBIDC Industrial Area, Barrackpore</v>
      </c>
      <c r="AL310" s="15" t="str">
        <f t="shared" si="22"/>
        <v>Electropolished SS 316L tube stock for Barrackpore - Sakshi Forge</v>
      </c>
      <c r="AM310" s="15" t="str">
        <f t="shared" si="23"/>
        <v>Home &gt; Market Area &gt; India &gt; West Bengal &gt; Barrackpore</v>
      </c>
      <c r="AN310" s="15">
        <f t="shared" si="24"/>
        <v>1000</v>
      </c>
      <c r="AO310" s="15">
        <f t="shared" si="25"/>
        <v>8</v>
      </c>
      <c r="AP310" s="15">
        <f t="shared" si="26"/>
        <v>8</v>
      </c>
      <c r="AQ310" s="15">
        <f t="shared" si="27"/>
        <v>6</v>
      </c>
      <c r="AR310" s="31"/>
      <c r="AS310" s="31"/>
      <c r="AT310" s="35" t="s">
        <v>222</v>
      </c>
      <c r="AU310" s="35"/>
    </row>
    <row r="311" ht="15.75" customHeight="1">
      <c r="A311" s="15" t="s">
        <v>2172</v>
      </c>
      <c r="B311" s="15" t="s">
        <v>60</v>
      </c>
      <c r="C311" s="15" t="s">
        <v>85</v>
      </c>
      <c r="D311" s="15" t="s">
        <v>2177</v>
      </c>
      <c r="E311" s="15" t="s">
        <v>2177</v>
      </c>
      <c r="F311" s="65" t="s">
        <v>788</v>
      </c>
      <c r="G311" s="66" t="s">
        <v>98</v>
      </c>
      <c r="H311" s="18" t="s">
        <v>2183</v>
      </c>
      <c r="I311" s="18" t="s">
        <v>8398</v>
      </c>
      <c r="J311" s="18" t="s">
        <v>98</v>
      </c>
      <c r="K311" s="18" t="s">
        <v>98</v>
      </c>
      <c r="L311" s="18" t="s">
        <v>98</v>
      </c>
      <c r="M311" s="18" t="s">
        <v>98</v>
      </c>
      <c r="N311" s="18" t="s">
        <v>98</v>
      </c>
      <c r="O311" s="18" t="s">
        <v>98</v>
      </c>
      <c r="P311" s="15" t="str">
        <f t="shared" si="1"/>
        <v>VERIFY</v>
      </c>
      <c r="Q311" s="15">
        <f t="shared" si="2"/>
        <v>4</v>
      </c>
      <c r="R311" s="15">
        <f t="shared" si="3"/>
        <v>7</v>
      </c>
      <c r="S311" s="15">
        <f t="shared" si="4"/>
        <v>3</v>
      </c>
      <c r="T311" s="15" t="str">
        <f t="shared" si="5"/>
        <v>B-2</v>
      </c>
      <c r="U311" s="15" t="str">
        <f t="shared" si="6"/>
        <v>T4-M7-H3-FB-2-VERIFY</v>
      </c>
      <c r="V311" s="15">
        <f t="shared" si="7"/>
        <v>0</v>
      </c>
      <c r="W311" s="31"/>
      <c r="X311" s="15" t="str">
        <f t="shared" si="8"/>
        <v>basti</v>
      </c>
      <c r="Y311" s="32" t="str">
        <f t="shared" si="9"/>
        <v>https://steelmanufacturer.in/market-area/electropolished-pipes-manufacturer-in-basti/</v>
      </c>
      <c r="Z311" s="15" t="str">
        <f t="shared" si="10"/>
        <v>Electropolished Pipes Manufacturer in Basti - SS 304/316L EP Tube</v>
      </c>
      <c r="AA311" s="15" t="str">
        <f t="shared" si="11"/>
        <v>OK (65)</v>
      </c>
      <c r="AB311" s="15" t="str">
        <f t="shared" si="12"/>
        <v>Electropolished pipes in Basti: 304, 304L, 316 and 316L in SF1-SF4. VERIFY. Mill certified.</v>
      </c>
      <c r="AC311" s="15" t="str">
        <f t="shared" si="13"/>
        <v>PENDING RESEARCH</v>
      </c>
      <c r="AD311" s="15" t="str">
        <f t="shared" si="14"/>
        <v>Electropolished Pipes Manufacturer in Basti</v>
      </c>
      <c r="AE311" s="15" t="str">
        <f t="shared" si="15"/>
        <v>Electropolished Pipes Manufacturer in Basti - Our Process &amp; Capability</v>
      </c>
      <c r="AF311" s="15" t="str">
        <f t="shared" si="16"/>
        <v>Electropolished Pipes Supplier in Basti - What We Hold in Stock</v>
      </c>
      <c r="AG311" s="15" t="str">
        <f t="shared" si="17"/>
        <v>Bulk &amp; Wholesale Electropolished Pipe Rates for Basti Buyers</v>
      </c>
      <c r="AH311" s="15" t="str">
        <f t="shared" si="18"/>
        <v>electropolished pipes manufacturer in Basti, electropolished pipes supplier in Basti, electropolished pipes wholesaler in Basti, electropolished tube manufacturer Basti, EP pipe supplier Basti, sanitary tube supplier Basti, ASME BPE tubing Basti, ASTM A270 tube Basti, SS 316L electropolished pipe Basti</v>
      </c>
      <c r="AI311" s="15" t="str">
        <f t="shared" si="19"/>
        <v>Electropolished Pipes Manufacturer &amp; Supplier in Basti</v>
      </c>
      <c r="AJ311" s="15" t="str">
        <f t="shared" si="20"/>
        <v>EP-finished SS 304/316L pipes and tubes for VERIFY plants in Basti. ASME BPE SF1-SF4, Ra from 0.25 um, EN 10204 3.1 certificate with every lot.</v>
      </c>
      <c r="AK311" s="15" t="str">
        <f t="shared" si="21"/>
        <v>Electropolished stainless steel pipes supplied by Sakshi Forge to VERIFY plants at UPSIDA Industrial Area, Basti</v>
      </c>
      <c r="AL311" s="15" t="str">
        <f t="shared" si="22"/>
        <v>Electropolished SS 316L tube stock for Basti - Sakshi Forge</v>
      </c>
      <c r="AM311" s="15" t="str">
        <f t="shared" si="23"/>
        <v>Home &gt; Market Area &gt; India &gt; Uttar Pradesh &gt; Basti</v>
      </c>
      <c r="AN311" s="15">
        <f t="shared" si="24"/>
        <v>1000</v>
      </c>
      <c r="AO311" s="15">
        <f t="shared" si="25"/>
        <v>8</v>
      </c>
      <c r="AP311" s="15">
        <f t="shared" si="26"/>
        <v>8</v>
      </c>
      <c r="AQ311" s="15">
        <f t="shared" si="27"/>
        <v>6</v>
      </c>
      <c r="AR311" s="31"/>
      <c r="AS311" s="31"/>
      <c r="AT311" s="35" t="s">
        <v>222</v>
      </c>
      <c r="AU311" s="35"/>
    </row>
    <row r="312" ht="15.75" customHeight="1">
      <c r="A312" s="15" t="s">
        <v>2188</v>
      </c>
      <c r="B312" s="15" t="s">
        <v>60</v>
      </c>
      <c r="C312" s="15" t="s">
        <v>354</v>
      </c>
      <c r="D312" s="15" t="s">
        <v>2192</v>
      </c>
      <c r="E312" s="15" t="s">
        <v>2192</v>
      </c>
      <c r="F312" s="65" t="s">
        <v>788</v>
      </c>
      <c r="G312" s="66" t="s">
        <v>98</v>
      </c>
      <c r="H312" s="18" t="s">
        <v>2197</v>
      </c>
      <c r="I312" s="18" t="s">
        <v>8408</v>
      </c>
      <c r="J312" s="18" t="s">
        <v>98</v>
      </c>
      <c r="K312" s="18" t="s">
        <v>98</v>
      </c>
      <c r="L312" s="18" t="s">
        <v>98</v>
      </c>
      <c r="M312" s="18" t="s">
        <v>98</v>
      </c>
      <c r="N312" s="18" t="s">
        <v>98</v>
      </c>
      <c r="O312" s="18" t="s">
        <v>98</v>
      </c>
      <c r="P312" s="15" t="str">
        <f t="shared" si="1"/>
        <v>VERIFY</v>
      </c>
      <c r="Q312" s="15">
        <f t="shared" si="2"/>
        <v>5</v>
      </c>
      <c r="R312" s="15">
        <f t="shared" si="3"/>
        <v>1</v>
      </c>
      <c r="S312" s="15">
        <f t="shared" si="4"/>
        <v>4</v>
      </c>
      <c r="T312" s="15" t="str">
        <f t="shared" si="5"/>
        <v>B-3</v>
      </c>
      <c r="U312" s="15" t="str">
        <f t="shared" si="6"/>
        <v>T5-M1-H4-FB-3-VERIFY</v>
      </c>
      <c r="V312" s="15">
        <f t="shared" si="7"/>
        <v>0</v>
      </c>
      <c r="W312" s="31"/>
      <c r="X312" s="15" t="str">
        <f t="shared" si="8"/>
        <v>bathinda</v>
      </c>
      <c r="Y312" s="32" t="str">
        <f t="shared" si="9"/>
        <v>https://steelmanufacturer.in/market-area/electropolished-pipes-manufacturer-in-bathinda/</v>
      </c>
      <c r="Z312" s="15" t="str">
        <f t="shared" si="10"/>
        <v>Electropolished Pipes Manufacturer in Bathinda</v>
      </c>
      <c r="AA312" s="15" t="str">
        <f t="shared" si="11"/>
        <v>OK (46)</v>
      </c>
      <c r="AB312" s="15" t="str">
        <f t="shared" si="12"/>
        <v>EP-finished SS 304/316L pipes &amp; tubes for VERIFY plants in Bathinda. ASTM A270, ASME BPE SF1-SF4, EN 10204 3.1 MTC. PMI tested.</v>
      </c>
      <c r="AC312" s="15" t="str">
        <f t="shared" si="13"/>
        <v>PENDING RESEARCH</v>
      </c>
      <c r="AD312" s="15" t="str">
        <f t="shared" si="14"/>
        <v>Electropolished Pipes Manufacturer in Bathinda</v>
      </c>
      <c r="AE312" s="15" t="str">
        <f t="shared" si="15"/>
        <v>Manufacturing Electropolished SS Tube for Bathinda: The Standards We Build To</v>
      </c>
      <c r="AF312" s="15" t="str">
        <f t="shared" si="16"/>
        <v>Electropolished Pipe Supply Into Bathinda - Certification &amp; Transit</v>
      </c>
      <c r="AG312" s="15" t="str">
        <f t="shared" si="17"/>
        <v>Electropolished Pipes Wholesaler in Bathinda - Project Quantities &amp; Terms</v>
      </c>
      <c r="AH312" s="15" t="str">
        <f t="shared" si="18"/>
        <v>electropolished pipes manufacturer in Bathinda, electropolished pipes supplier in Bathinda, electropolished pipes wholesaler in Bathinda, electropolished tube manufacturer Bathinda, EP pipe supplier Bathinda, sanitary tube supplier Bathinda, ASME BPE tubing Bathinda, ASTM A270 tube Bathinda, SS 316L electropolished pipe Bathinda</v>
      </c>
      <c r="AI312" s="15" t="str">
        <f t="shared" si="19"/>
        <v>Electropolished Pipes Manufacturer &amp; Supplier in Bathinda</v>
      </c>
      <c r="AJ312" s="15" t="str">
        <f t="shared" si="20"/>
        <v>EP-finished SS 304/316L pipes and tubes for VERIFY plants in Bathinda. ASME BPE SF1-SF4, Ra from 0.25 um, EN 10204 3.1 certificate with every lot.</v>
      </c>
      <c r="AK312" s="15" t="str">
        <f t="shared" si="21"/>
        <v>Electropolished stainless steel pipes supplied by Sakshi Forge to VERIFY plants at PSIEC Industrial Area, Bathinda</v>
      </c>
      <c r="AL312" s="15" t="str">
        <f t="shared" si="22"/>
        <v>Electropolished SS 316L tube stock for Bathinda - Sakshi Forge</v>
      </c>
      <c r="AM312" s="15" t="str">
        <f t="shared" si="23"/>
        <v>Home &gt; Market Area &gt; India &gt; Punjab &gt; Bathinda</v>
      </c>
      <c r="AN312" s="15">
        <f t="shared" si="24"/>
        <v>1000</v>
      </c>
      <c r="AO312" s="15">
        <f t="shared" si="25"/>
        <v>8</v>
      </c>
      <c r="AP312" s="15">
        <f t="shared" si="26"/>
        <v>8</v>
      </c>
      <c r="AQ312" s="15">
        <f t="shared" si="27"/>
        <v>6</v>
      </c>
      <c r="AR312" s="31"/>
      <c r="AS312" s="31"/>
      <c r="AT312" s="35" t="s">
        <v>222</v>
      </c>
      <c r="AU312" s="35"/>
    </row>
    <row r="313" ht="15.75" customHeight="1">
      <c r="A313" s="15" t="s">
        <v>2201</v>
      </c>
      <c r="B313" s="15" t="s">
        <v>60</v>
      </c>
      <c r="C313" s="15" t="s">
        <v>2202</v>
      </c>
      <c r="D313" s="15" t="s">
        <v>2204</v>
      </c>
      <c r="E313" s="15" t="s">
        <v>2204</v>
      </c>
      <c r="F313" s="65" t="s">
        <v>788</v>
      </c>
      <c r="G313" s="66" t="s">
        <v>98</v>
      </c>
      <c r="H313" s="18" t="s">
        <v>2208</v>
      </c>
      <c r="I313" s="18" t="s">
        <v>8409</v>
      </c>
      <c r="J313" s="18" t="s">
        <v>98</v>
      </c>
      <c r="K313" s="18" t="s">
        <v>98</v>
      </c>
      <c r="L313" s="18" t="s">
        <v>98</v>
      </c>
      <c r="M313" s="18" t="s">
        <v>98</v>
      </c>
      <c r="N313" s="18" t="s">
        <v>98</v>
      </c>
      <c r="O313" s="18" t="s">
        <v>98</v>
      </c>
      <c r="P313" s="15" t="str">
        <f t="shared" si="1"/>
        <v>VERIFY</v>
      </c>
      <c r="Q313" s="15">
        <f t="shared" si="2"/>
        <v>6</v>
      </c>
      <c r="R313" s="15">
        <f t="shared" si="3"/>
        <v>2</v>
      </c>
      <c r="S313" s="15">
        <f t="shared" si="4"/>
        <v>5</v>
      </c>
      <c r="T313" s="15" t="str">
        <f t="shared" si="5"/>
        <v>B-4</v>
      </c>
      <c r="U313" s="15" t="str">
        <f t="shared" si="6"/>
        <v>T6-M2-H5-FB-4-VERIFY</v>
      </c>
      <c r="V313" s="15">
        <f t="shared" si="7"/>
        <v>0</v>
      </c>
      <c r="W313" s="31"/>
      <c r="X313" s="15" t="str">
        <f t="shared" si="8"/>
        <v>bawana</v>
      </c>
      <c r="Y313" s="32" t="str">
        <f t="shared" si="9"/>
        <v>https://steelmanufacturer.in/market-area/electropolished-pipes-manufacturer-in-bawana/</v>
      </c>
      <c r="Z313" s="15" t="str">
        <f t="shared" si="10"/>
        <v>Electropolished Pipes Manufacturer in Bawana</v>
      </c>
      <c r="AA313" s="15" t="str">
        <f t="shared" si="11"/>
        <v>OK (44)</v>
      </c>
      <c r="AB313" s="15" t="str">
        <f t="shared" si="12"/>
        <v>Electropolished tube supply to DSIIDC Industrial Area, Bawana. Ra from 0.25 um, SF4 finish, mill test certificate with every lot.</v>
      </c>
      <c r="AC313" s="15" t="str">
        <f t="shared" si="13"/>
        <v>PENDING RESEARCH</v>
      </c>
      <c r="AD313" s="15" t="str">
        <f t="shared" si="14"/>
        <v>Electropolished Pipes Manufacturer in Bawana</v>
      </c>
      <c r="AE313" s="15" t="str">
        <f t="shared" si="15"/>
        <v>Electropolished Tube Manufacturing Capability Serving Bawana</v>
      </c>
      <c r="AF313" s="15" t="str">
        <f t="shared" si="16"/>
        <v>Electropolished Pipes Supplier in Bawana - From Order to Delivery</v>
      </c>
      <c r="AG313" s="15" t="str">
        <f t="shared" si="17"/>
        <v>Stockist &amp; Wholesale Supply of Electropolished Pipes in Bawana</v>
      </c>
      <c r="AH313" s="15" t="str">
        <f t="shared" si="18"/>
        <v>electropolished pipes manufacturer in Bawana, electropolished pipes supplier in Bawana, electropolished pipes wholesaler in Bawana, electropolished tube manufacturer Bawana, EP pipe supplier Bawana, sanitary tube supplier Bawana, ASME BPE tubing Bawana, ASTM A270 tube Bawana, SS 316L electropolished pipe Bawana</v>
      </c>
      <c r="AI313" s="15" t="str">
        <f t="shared" si="19"/>
        <v>Electropolished Pipes Manufacturer &amp; Supplier in Bawana</v>
      </c>
      <c r="AJ313" s="15" t="str">
        <f t="shared" si="20"/>
        <v>EP-finished SS 304/316L pipes and tubes for VERIFY plants in Bawana. ASME BPE SF1-SF4, Ra from 0.25 um, EN 10204 3.1 certificate with every lot.</v>
      </c>
      <c r="AK313" s="15" t="str">
        <f t="shared" si="21"/>
        <v>Electropolished stainless steel pipes supplied by Sakshi Forge to VERIFY plants at DSIIDC Industrial Area, Bawana</v>
      </c>
      <c r="AL313" s="15" t="str">
        <f t="shared" si="22"/>
        <v>Electropolished SS 316L tube stock for Bawana - Sakshi Forge</v>
      </c>
      <c r="AM313" s="15" t="str">
        <f t="shared" si="23"/>
        <v>Home &gt; Market Area &gt; India &gt; Delhi &gt; Bawana</v>
      </c>
      <c r="AN313" s="15">
        <f t="shared" si="24"/>
        <v>1000</v>
      </c>
      <c r="AO313" s="15">
        <f t="shared" si="25"/>
        <v>8</v>
      </c>
      <c r="AP313" s="15">
        <f t="shared" si="26"/>
        <v>8</v>
      </c>
      <c r="AQ313" s="15">
        <f t="shared" si="27"/>
        <v>6</v>
      </c>
      <c r="AR313" s="31"/>
      <c r="AS313" s="31"/>
      <c r="AT313" s="35" t="s">
        <v>222</v>
      </c>
      <c r="AU313" s="35"/>
    </row>
    <row r="314" ht="15.75" customHeight="1">
      <c r="A314" s="15" t="s">
        <v>2212</v>
      </c>
      <c r="B314" s="15" t="s">
        <v>60</v>
      </c>
      <c r="C314" s="15" t="s">
        <v>1139</v>
      </c>
      <c r="D314" s="15" t="s">
        <v>2216</v>
      </c>
      <c r="E314" s="15" t="s">
        <v>2216</v>
      </c>
      <c r="F314" s="65" t="s">
        <v>788</v>
      </c>
      <c r="G314" s="66" t="s">
        <v>98</v>
      </c>
      <c r="H314" s="18" t="s">
        <v>2221</v>
      </c>
      <c r="I314" s="18" t="s">
        <v>8410</v>
      </c>
      <c r="J314" s="18" t="s">
        <v>98</v>
      </c>
      <c r="K314" s="18" t="s">
        <v>98</v>
      </c>
      <c r="L314" s="18" t="s">
        <v>98</v>
      </c>
      <c r="M314" s="18" t="s">
        <v>98</v>
      </c>
      <c r="N314" s="18" t="s">
        <v>98</v>
      </c>
      <c r="O314" s="18" t="s">
        <v>98</v>
      </c>
      <c r="P314" s="15" t="str">
        <f t="shared" si="1"/>
        <v>VERIFY</v>
      </c>
      <c r="Q314" s="15">
        <f t="shared" si="2"/>
        <v>7</v>
      </c>
      <c r="R314" s="15">
        <f t="shared" si="3"/>
        <v>3</v>
      </c>
      <c r="S314" s="15">
        <f t="shared" si="4"/>
        <v>1</v>
      </c>
      <c r="T314" s="15" t="str">
        <f t="shared" si="5"/>
        <v>B-5</v>
      </c>
      <c r="U314" s="15" t="str">
        <f t="shared" si="6"/>
        <v>T7-M3-H1-FB-5-VERIFY</v>
      </c>
      <c r="V314" s="15">
        <f t="shared" si="7"/>
        <v>0</v>
      </c>
      <c r="W314" s="31"/>
      <c r="X314" s="15" t="str">
        <f t="shared" si="8"/>
        <v>bazpur</v>
      </c>
      <c r="Y314" s="32" t="str">
        <f t="shared" si="9"/>
        <v>https://steelmanufacturer.in/market-area/electropolished-pipes-manufacturer-in-bazpur/</v>
      </c>
      <c r="Z314" s="15" t="str">
        <f t="shared" si="10"/>
        <v>Electropolished Pipes Manufacturer in Bazpur | ASME BPE SF1-SF4</v>
      </c>
      <c r="AA314" s="15" t="str">
        <f t="shared" si="11"/>
        <v>OK (63)</v>
      </c>
      <c r="AB314" s="15" t="str">
        <f t="shared" si="12"/>
        <v>EP stainless tube for VERIFY lines in Bazpur. VERIFY. ASTM A270 S2, PMI tested, EN 10204 3.1.</v>
      </c>
      <c r="AC314" s="15" t="str">
        <f t="shared" si="13"/>
        <v>PENDING RESEARCH</v>
      </c>
      <c r="AD314" s="15" t="str">
        <f t="shared" si="14"/>
        <v>Electropolished Pipes Manufacturer in Bazpur</v>
      </c>
      <c r="AE314" s="15" t="str">
        <f t="shared" si="15"/>
        <v>Electropolished Pipe &amp; Tube Manufacturing for Bazpur - Grades, Finishes &amp; Certification</v>
      </c>
      <c r="AF314" s="15" t="str">
        <f t="shared" si="16"/>
        <v>Electropolished Pipes Supplier in Bazpur - Stock Sizes, Lead Time &amp; Delivery</v>
      </c>
      <c r="AG314" s="15" t="str">
        <f t="shared" si="17"/>
        <v>Electropolished Pipes Wholesaler &amp; Stockist in Bazpur - Bulk &amp; Project Pricing</v>
      </c>
      <c r="AH314" s="15" t="str">
        <f t="shared" si="18"/>
        <v>electropolished pipes manufacturer in Bazpur, electropolished pipes supplier in Bazpur, electropolished pipes wholesaler in Bazpur, electropolished tube manufacturer Bazpur, EP pipe supplier Bazpur, sanitary tube supplier Bazpur, ASME BPE tubing Bazpur, ASTM A270 tube Bazpur, SS 316L electropolished pipe Bazpur</v>
      </c>
      <c r="AI314" s="15" t="str">
        <f t="shared" si="19"/>
        <v>Electropolished Pipes Manufacturer &amp; Supplier in Bazpur</v>
      </c>
      <c r="AJ314" s="15" t="str">
        <f t="shared" si="20"/>
        <v>EP-finished SS 304/316L pipes and tubes for VERIFY plants in Bazpur. ASME BPE SF1-SF4, Ra from 0.25 um, EN 10204 3.1 certificate with every lot.</v>
      </c>
      <c r="AK314" s="15" t="str">
        <f t="shared" si="21"/>
        <v>Electropolished stainless steel pipes supplied by Sakshi Forge to VERIFY plants at SIIDCUL Industrial Area, Bazpur</v>
      </c>
      <c r="AL314" s="15" t="str">
        <f t="shared" si="22"/>
        <v>Electropolished SS 316L tube stock for Bazpur - Sakshi Forge</v>
      </c>
      <c r="AM314" s="15" t="str">
        <f t="shared" si="23"/>
        <v>Home &gt; Market Area &gt; India &gt; Uttarakhand &gt; Bazpur</v>
      </c>
      <c r="AN314" s="15">
        <f t="shared" si="24"/>
        <v>1000</v>
      </c>
      <c r="AO314" s="15">
        <f t="shared" si="25"/>
        <v>8</v>
      </c>
      <c r="AP314" s="15">
        <f t="shared" si="26"/>
        <v>8</v>
      </c>
      <c r="AQ314" s="15">
        <f t="shared" si="27"/>
        <v>6</v>
      </c>
      <c r="AR314" s="31"/>
      <c r="AS314" s="31"/>
      <c r="AT314" s="35" t="s">
        <v>222</v>
      </c>
      <c r="AU314" s="35"/>
    </row>
    <row r="315" ht="15.75" customHeight="1">
      <c r="A315" s="15" t="s">
        <v>2224</v>
      </c>
      <c r="B315" s="15" t="s">
        <v>60</v>
      </c>
      <c r="C315" s="15" t="s">
        <v>236</v>
      </c>
      <c r="D315" s="15" t="s">
        <v>2226</v>
      </c>
      <c r="E315" s="15" t="s">
        <v>2226</v>
      </c>
      <c r="F315" s="65" t="s">
        <v>788</v>
      </c>
      <c r="G315" s="66" t="s">
        <v>98</v>
      </c>
      <c r="H315" s="18" t="s">
        <v>2231</v>
      </c>
      <c r="I315" s="18" t="s">
        <v>8391</v>
      </c>
      <c r="J315" s="18" t="s">
        <v>98</v>
      </c>
      <c r="K315" s="18" t="s">
        <v>98</v>
      </c>
      <c r="L315" s="18" t="s">
        <v>98</v>
      </c>
      <c r="M315" s="18" t="s">
        <v>98</v>
      </c>
      <c r="N315" s="18" t="s">
        <v>98</v>
      </c>
      <c r="O315" s="18" t="s">
        <v>98</v>
      </c>
      <c r="P315" s="15" t="str">
        <f t="shared" si="1"/>
        <v>VERIFY</v>
      </c>
      <c r="Q315" s="15">
        <f t="shared" si="2"/>
        <v>8</v>
      </c>
      <c r="R315" s="15">
        <f t="shared" si="3"/>
        <v>4</v>
      </c>
      <c r="S315" s="15">
        <f t="shared" si="4"/>
        <v>2</v>
      </c>
      <c r="T315" s="15" t="str">
        <f t="shared" si="5"/>
        <v>B-6</v>
      </c>
      <c r="U315" s="15" t="str">
        <f t="shared" si="6"/>
        <v>T8-M4-H2-FB-6-VERIFY</v>
      </c>
      <c r="V315" s="15">
        <f t="shared" si="7"/>
        <v>0</v>
      </c>
      <c r="W315" s="31"/>
      <c r="X315" s="15" t="str">
        <f t="shared" si="8"/>
        <v>beawar</v>
      </c>
      <c r="Y315" s="32" t="str">
        <f t="shared" si="9"/>
        <v>https://steelmanufacturer.in/market-area/electropolished-pipes-manufacturer-in-beawar/</v>
      </c>
      <c r="Z315" s="15" t="str">
        <f t="shared" si="10"/>
        <v>Electropolished Pipes Manufacturer in Beawar - EP Tube Stockist</v>
      </c>
      <c r="AA315" s="15" t="str">
        <f t="shared" si="11"/>
        <v>OK (63)</v>
      </c>
      <c r="AB315" s="15" t="str">
        <f t="shared" si="12"/>
        <v>Sanitary electropolished pipes in Beawar for VERIFY plants. ASME BPE SF1-SF4, orbital-weld ready, 3.1 MTC. Mumbai-made.</v>
      </c>
      <c r="AC315" s="15" t="str">
        <f t="shared" si="13"/>
        <v>PENDING RESEARCH</v>
      </c>
      <c r="AD315" s="15" t="str">
        <f t="shared" si="14"/>
        <v>Electropolished Pipes Manufacturer in Beawar</v>
      </c>
      <c r="AE315" s="15" t="str">
        <f t="shared" si="15"/>
        <v>How We Manufacture Electropolished Tube for Beawar Plants</v>
      </c>
      <c r="AF315" s="15" t="str">
        <f t="shared" si="16"/>
        <v>Supplying Electropolished Pipes in Beawar: Availability, Sizes &amp; Dispatch</v>
      </c>
      <c r="AG315" s="15" t="str">
        <f t="shared" si="17"/>
        <v>Wholesale Electropolished Pipe Supply for Beawar Projects</v>
      </c>
      <c r="AH315" s="15" t="str">
        <f t="shared" si="18"/>
        <v>electropolished pipes manufacturer in Beawar, electropolished pipes supplier in Beawar, electropolished pipes wholesaler in Beawar, electropolished tube manufacturer Beawar, EP pipe supplier Beawar, sanitary tube supplier Beawar, ASME BPE tubing Beawar, ASTM A270 tube Beawar, SS 316L electropolished pipe Beawar</v>
      </c>
      <c r="AI315" s="15" t="str">
        <f t="shared" si="19"/>
        <v>Electropolished Pipes Manufacturer &amp; Supplier in Beawar</v>
      </c>
      <c r="AJ315" s="15" t="str">
        <f t="shared" si="20"/>
        <v>EP-finished SS 304/316L pipes and tubes for VERIFY plants in Beawar. ASME BPE SF1-SF4, Ra from 0.25 um, EN 10204 3.1 certificate with every lot.</v>
      </c>
      <c r="AK315" s="15" t="str">
        <f t="shared" si="21"/>
        <v>Electropolished stainless steel pipes supplied by Sakshi Forge to VERIFY plants at RIICO Industrial Area, Beawar</v>
      </c>
      <c r="AL315" s="15" t="str">
        <f t="shared" si="22"/>
        <v>Electropolished SS 316L tube stock for Beawar - Sakshi Forge</v>
      </c>
      <c r="AM315" s="15" t="str">
        <f t="shared" si="23"/>
        <v>Home &gt; Market Area &gt; India &gt; Rajasthan &gt; Beawar</v>
      </c>
      <c r="AN315" s="15">
        <f t="shared" si="24"/>
        <v>1000</v>
      </c>
      <c r="AO315" s="15">
        <f t="shared" si="25"/>
        <v>8</v>
      </c>
      <c r="AP315" s="15">
        <f t="shared" si="26"/>
        <v>8</v>
      </c>
      <c r="AQ315" s="15">
        <f t="shared" si="27"/>
        <v>6</v>
      </c>
      <c r="AR315" s="31"/>
      <c r="AS315" s="31"/>
      <c r="AT315" s="35" t="s">
        <v>222</v>
      </c>
      <c r="AU315" s="35"/>
    </row>
    <row r="316" ht="15.75" customHeight="1">
      <c r="A316" s="15" t="s">
        <v>2233</v>
      </c>
      <c r="B316" s="15" t="s">
        <v>60</v>
      </c>
      <c r="C316" s="15" t="s">
        <v>264</v>
      </c>
      <c r="D316" s="15" t="s">
        <v>2237</v>
      </c>
      <c r="E316" s="15" t="s">
        <v>2237</v>
      </c>
      <c r="F316" s="65" t="s">
        <v>788</v>
      </c>
      <c r="G316" s="66" t="s">
        <v>98</v>
      </c>
      <c r="H316" s="18" t="s">
        <v>2243</v>
      </c>
      <c r="I316" s="18" t="s">
        <v>8395</v>
      </c>
      <c r="J316" s="18" t="s">
        <v>98</v>
      </c>
      <c r="K316" s="18" t="s">
        <v>98</v>
      </c>
      <c r="L316" s="18" t="s">
        <v>98</v>
      </c>
      <c r="M316" s="18" t="s">
        <v>98</v>
      </c>
      <c r="N316" s="18" t="s">
        <v>98</v>
      </c>
      <c r="O316" s="18" t="s">
        <v>98</v>
      </c>
      <c r="P316" s="15" t="str">
        <f t="shared" si="1"/>
        <v>VERIFY</v>
      </c>
      <c r="Q316" s="15">
        <f t="shared" si="2"/>
        <v>1</v>
      </c>
      <c r="R316" s="15">
        <f t="shared" si="3"/>
        <v>5</v>
      </c>
      <c r="S316" s="15">
        <f t="shared" si="4"/>
        <v>3</v>
      </c>
      <c r="T316" s="15" t="str">
        <f t="shared" si="5"/>
        <v>B-1</v>
      </c>
      <c r="U316" s="15" t="str">
        <f t="shared" si="6"/>
        <v>T1-M5-H3-FB-1-VERIFY</v>
      </c>
      <c r="V316" s="15">
        <f t="shared" si="7"/>
        <v>0</v>
      </c>
      <c r="W316" s="31"/>
      <c r="X316" s="15" t="str">
        <f t="shared" si="8"/>
        <v>beed</v>
      </c>
      <c r="Y316" s="32" t="str">
        <f t="shared" si="9"/>
        <v>https://steelmanufacturer.in/market-area/electropolished-pipes-manufacturer-in-beed/</v>
      </c>
      <c r="Z316" s="15" t="str">
        <f t="shared" si="10"/>
        <v>Electropolished Pipes Manufacturer in Beed | Sakshi Forge</v>
      </c>
      <c r="AA316" s="15" t="str">
        <f t="shared" si="11"/>
        <v>OK (57)</v>
      </c>
      <c r="AB316" s="15" t="str">
        <f t="shared" si="12"/>
        <v>Manufacturer of electropolished SS 316L tube serving Beed. VERIFY. Ra 0.25-0.5 um, EN 10204 3.1 MTC.</v>
      </c>
      <c r="AC316" s="15" t="str">
        <f t="shared" si="13"/>
        <v>PENDING RESEARCH</v>
      </c>
      <c r="AD316" s="15" t="str">
        <f t="shared" si="14"/>
        <v>Electropolished Pipes Manufacturer in Beed</v>
      </c>
      <c r="AE316" s="15" t="str">
        <f t="shared" si="15"/>
        <v>Electropolished Pipes Manufacturer in Beed - Our Process &amp; Capability</v>
      </c>
      <c r="AF316" s="15" t="str">
        <f t="shared" si="16"/>
        <v>Electropolished Pipes Supplier in Beed - What We Hold in Stock</v>
      </c>
      <c r="AG316" s="15" t="str">
        <f t="shared" si="17"/>
        <v>Bulk &amp; Wholesale Electropolished Pipe Rates for Beed Buyers</v>
      </c>
      <c r="AH316" s="15" t="str">
        <f t="shared" si="18"/>
        <v>electropolished pipes manufacturer in Beed, electropolished pipes supplier in Beed, electropolished pipes wholesaler in Beed, electropolished tube manufacturer Beed, EP pipe supplier Beed, sanitary tube supplier Beed, ASME BPE tubing Beed, ASTM A270 tube Beed, SS 316L electropolished pipe Beed</v>
      </c>
      <c r="AI316" s="15" t="str">
        <f t="shared" si="19"/>
        <v>Electropolished Pipes Manufacturer &amp; Supplier in Beed</v>
      </c>
      <c r="AJ316" s="15" t="str">
        <f t="shared" si="20"/>
        <v>EP-finished SS 304/316L pipes and tubes for VERIFY plants in Beed. ASME BPE SF1-SF4, Ra from 0.25 um, EN 10204 3.1 certificate with every lot.</v>
      </c>
      <c r="AK316" s="15" t="str">
        <f t="shared" si="21"/>
        <v>Electropolished stainless steel pipes supplied by Sakshi Forge to VERIFY plants at MIDC Industrial Area, Beed</v>
      </c>
      <c r="AL316" s="15" t="str">
        <f t="shared" si="22"/>
        <v>Electropolished SS 316L tube stock for Beed - Sakshi Forge</v>
      </c>
      <c r="AM316" s="15" t="str">
        <f t="shared" si="23"/>
        <v>Home &gt; Market Area &gt; India &gt; Maharashtra &gt; Beed</v>
      </c>
      <c r="AN316" s="15">
        <f t="shared" si="24"/>
        <v>1000</v>
      </c>
      <c r="AO316" s="15">
        <f t="shared" si="25"/>
        <v>8</v>
      </c>
      <c r="AP316" s="15">
        <f t="shared" si="26"/>
        <v>8</v>
      </c>
      <c r="AQ316" s="15">
        <f t="shared" si="27"/>
        <v>6</v>
      </c>
      <c r="AR316" s="31"/>
      <c r="AS316" s="31"/>
      <c r="AT316" s="35" t="s">
        <v>222</v>
      </c>
      <c r="AU316" s="35"/>
    </row>
    <row r="317" ht="15.75" customHeight="1">
      <c r="A317" s="15" t="s">
        <v>2248</v>
      </c>
      <c r="B317" s="15" t="s">
        <v>60</v>
      </c>
      <c r="C317" s="15" t="s">
        <v>1818</v>
      </c>
      <c r="D317" s="15" t="s">
        <v>2252</v>
      </c>
      <c r="E317" s="15" t="s">
        <v>2252</v>
      </c>
      <c r="F317" s="65" t="s">
        <v>788</v>
      </c>
      <c r="G317" s="66" t="s">
        <v>98</v>
      </c>
      <c r="H317" s="18" t="s">
        <v>2257</v>
      </c>
      <c r="I317" s="18" t="s">
        <v>8402</v>
      </c>
      <c r="J317" s="18" t="s">
        <v>98</v>
      </c>
      <c r="K317" s="18" t="s">
        <v>98</v>
      </c>
      <c r="L317" s="18" t="s">
        <v>98</v>
      </c>
      <c r="M317" s="18" t="s">
        <v>98</v>
      </c>
      <c r="N317" s="18" t="s">
        <v>98</v>
      </c>
      <c r="O317" s="18" t="s">
        <v>98</v>
      </c>
      <c r="P317" s="15" t="str">
        <f t="shared" si="1"/>
        <v>VERIFY</v>
      </c>
      <c r="Q317" s="15">
        <f t="shared" si="2"/>
        <v>2</v>
      </c>
      <c r="R317" s="15">
        <f t="shared" si="3"/>
        <v>6</v>
      </c>
      <c r="S317" s="15">
        <f t="shared" si="4"/>
        <v>4</v>
      </c>
      <c r="T317" s="15" t="str">
        <f t="shared" si="5"/>
        <v>B-2</v>
      </c>
      <c r="U317" s="15" t="str">
        <f t="shared" si="6"/>
        <v>T2-M6-H4-FB-2-VERIFY</v>
      </c>
      <c r="V317" s="15">
        <f t="shared" si="7"/>
        <v>0</v>
      </c>
      <c r="W317" s="31"/>
      <c r="X317" s="15" t="str">
        <f t="shared" si="8"/>
        <v>begusarai</v>
      </c>
      <c r="Y317" s="32" t="str">
        <f t="shared" si="9"/>
        <v>https://steelmanufacturer.in/market-area/electropolished-pipes-manufacturer-in-begusarai/</v>
      </c>
      <c r="Z317" s="15" t="str">
        <f t="shared" si="10"/>
        <v>Electropolished Pipes Manufacturer in Begusarai</v>
      </c>
      <c r="AA317" s="15" t="str">
        <f t="shared" si="11"/>
        <v>OK (47)</v>
      </c>
      <c r="AB317" s="15" t="str">
        <f t="shared" si="12"/>
        <v>EP tube and pipe for VERIFY plants around BIADA Industrial Area, Begusarai. Made at our Mumbai works to ASTM A270 and ASME BPE SF1-SF4, with 3.1 MTC.</v>
      </c>
      <c r="AC317" s="15" t="str">
        <f t="shared" si="13"/>
        <v>PENDING RESEARCH</v>
      </c>
      <c r="AD317" s="15" t="str">
        <f t="shared" si="14"/>
        <v>Electropolished Pipes Manufacturer in Begusarai</v>
      </c>
      <c r="AE317" s="15" t="str">
        <f t="shared" si="15"/>
        <v>Manufacturing Electropolished SS Tube for Begusarai: The Standards We Build To</v>
      </c>
      <c r="AF317" s="15" t="str">
        <f t="shared" si="16"/>
        <v>Electropolished Pipe Supply Into Begusarai - Certification &amp; Transit</v>
      </c>
      <c r="AG317" s="15" t="str">
        <f t="shared" si="17"/>
        <v>Electropolished Pipes Wholesaler in Begusarai - Project Quantities &amp; Terms</v>
      </c>
      <c r="AH317" s="15" t="str">
        <f t="shared" si="18"/>
        <v>electropolished pipes manufacturer in Begusarai, electropolished pipes supplier in Begusarai, electropolished pipes wholesaler in Begusarai, electropolished tube manufacturer Begusarai, EP pipe supplier Begusarai, sanitary tube supplier Begusarai, ASME BPE tubing Begusarai, ASTM A270 tube Begusarai, SS 316L electropolished pipe Begusarai</v>
      </c>
      <c r="AI317" s="15" t="str">
        <f t="shared" si="19"/>
        <v>Electropolished Pipes Manufacturer &amp; Supplier in Begusarai</v>
      </c>
      <c r="AJ317" s="15" t="str">
        <f t="shared" si="20"/>
        <v>EP-finished SS 304/316L pipes and tubes for VERIFY plants in Begusarai. ASME BPE SF1-SF4, Ra from 0.25 um, EN 10204 3.1 certificate with every lot.</v>
      </c>
      <c r="AK317" s="15" t="str">
        <f t="shared" si="21"/>
        <v>Electropolished stainless steel pipes supplied by Sakshi Forge to VERIFY plants at BIADA Industrial Area, Begusarai</v>
      </c>
      <c r="AL317" s="15" t="str">
        <f t="shared" si="22"/>
        <v>Electropolished SS 316L tube stock for Begusarai - Sakshi Forge</v>
      </c>
      <c r="AM317" s="15" t="str">
        <f t="shared" si="23"/>
        <v>Home &gt; Market Area &gt; India &gt; Bihar &gt; Begusarai</v>
      </c>
      <c r="AN317" s="15">
        <f t="shared" si="24"/>
        <v>1000</v>
      </c>
      <c r="AO317" s="15">
        <f t="shared" si="25"/>
        <v>8</v>
      </c>
      <c r="AP317" s="15">
        <f t="shared" si="26"/>
        <v>8</v>
      </c>
      <c r="AQ317" s="15">
        <f t="shared" si="27"/>
        <v>6</v>
      </c>
      <c r="AR317" s="31"/>
      <c r="AS317" s="31"/>
      <c r="AT317" s="35" t="s">
        <v>222</v>
      </c>
      <c r="AU317" s="35"/>
    </row>
    <row r="318" ht="15.75" customHeight="1">
      <c r="A318" s="15" t="s">
        <v>2258</v>
      </c>
      <c r="B318" s="15" t="s">
        <v>60</v>
      </c>
      <c r="C318" s="15" t="s">
        <v>236</v>
      </c>
      <c r="D318" s="15" t="s">
        <v>2262</v>
      </c>
      <c r="E318" s="15" t="s">
        <v>2262</v>
      </c>
      <c r="F318" s="65" t="s">
        <v>788</v>
      </c>
      <c r="G318" s="66" t="s">
        <v>98</v>
      </c>
      <c r="H318" s="18" t="s">
        <v>2264</v>
      </c>
      <c r="I318" s="18" t="s">
        <v>8391</v>
      </c>
      <c r="J318" s="18" t="s">
        <v>98</v>
      </c>
      <c r="K318" s="18" t="s">
        <v>98</v>
      </c>
      <c r="L318" s="18" t="s">
        <v>98</v>
      </c>
      <c r="M318" s="18" t="s">
        <v>98</v>
      </c>
      <c r="N318" s="18" t="s">
        <v>98</v>
      </c>
      <c r="O318" s="18" t="s">
        <v>98</v>
      </c>
      <c r="P318" s="15" t="str">
        <f t="shared" si="1"/>
        <v>VERIFY</v>
      </c>
      <c r="Q318" s="15">
        <f t="shared" si="2"/>
        <v>3</v>
      </c>
      <c r="R318" s="15">
        <f t="shared" si="3"/>
        <v>7</v>
      </c>
      <c r="S318" s="15">
        <f t="shared" si="4"/>
        <v>5</v>
      </c>
      <c r="T318" s="15" t="str">
        <f t="shared" si="5"/>
        <v>B-3</v>
      </c>
      <c r="U318" s="15" t="str">
        <f t="shared" si="6"/>
        <v>T3-M7-H5-FB-3-VERIFY</v>
      </c>
      <c r="V318" s="15">
        <f t="shared" si="7"/>
        <v>0</v>
      </c>
      <c r="W318" s="31"/>
      <c r="X318" s="15" t="str">
        <f t="shared" si="8"/>
        <v>behror</v>
      </c>
      <c r="Y318" s="32" t="str">
        <f t="shared" si="9"/>
        <v>https://steelmanufacturer.in/market-area/electropolished-pipes-manufacturer-in-behror/</v>
      </c>
      <c r="Z318" s="15" t="str">
        <f t="shared" si="10"/>
        <v>Electropolished Pipes Manufacturer in Behror | EP Tube Supplier</v>
      </c>
      <c r="AA318" s="15" t="str">
        <f t="shared" si="11"/>
        <v>OK (63)</v>
      </c>
      <c r="AB318" s="15" t="str">
        <f t="shared" si="12"/>
        <v>Electropolished pipes in Behror: 304, 304L, 316 and 316L in SF1-SF4. VERIFY. Mill certified.</v>
      </c>
      <c r="AC318" s="15" t="str">
        <f t="shared" si="13"/>
        <v>PENDING RESEARCH</v>
      </c>
      <c r="AD318" s="15" t="str">
        <f t="shared" si="14"/>
        <v>Electropolished Pipes Manufacturer in Behror</v>
      </c>
      <c r="AE318" s="15" t="str">
        <f t="shared" si="15"/>
        <v>Electropolished Tube Manufacturing Capability Serving Behror</v>
      </c>
      <c r="AF318" s="15" t="str">
        <f t="shared" si="16"/>
        <v>Electropolished Pipes Supplier in Behror - From Order to Delivery</v>
      </c>
      <c r="AG318" s="15" t="str">
        <f t="shared" si="17"/>
        <v>Stockist &amp; Wholesale Supply of Electropolished Pipes in Behror</v>
      </c>
      <c r="AH318" s="15" t="str">
        <f t="shared" si="18"/>
        <v>electropolished pipes manufacturer in Behror, electropolished pipes supplier in Behror, electropolished pipes wholesaler in Behror, electropolished tube manufacturer Behror, EP pipe supplier Behror, sanitary tube supplier Behror, ASME BPE tubing Behror, ASTM A270 tube Behror, SS 316L electropolished pipe Behror</v>
      </c>
      <c r="AI318" s="15" t="str">
        <f t="shared" si="19"/>
        <v>Electropolished Pipes Manufacturer &amp; Supplier in Behror</v>
      </c>
      <c r="AJ318" s="15" t="str">
        <f t="shared" si="20"/>
        <v>EP-finished SS 304/316L pipes and tubes for VERIFY plants in Behror. ASME BPE SF1-SF4, Ra from 0.25 um, EN 10204 3.1 certificate with every lot.</v>
      </c>
      <c r="AK318" s="15" t="str">
        <f t="shared" si="21"/>
        <v>Electropolished stainless steel pipes supplied by Sakshi Forge to VERIFY plants at RIICO Industrial Area, Behror</v>
      </c>
      <c r="AL318" s="15" t="str">
        <f t="shared" si="22"/>
        <v>Electropolished SS 316L tube stock for Behror - Sakshi Forge</v>
      </c>
      <c r="AM318" s="15" t="str">
        <f t="shared" si="23"/>
        <v>Home &gt; Market Area &gt; India &gt; Rajasthan &gt; Behror</v>
      </c>
      <c r="AN318" s="15">
        <f t="shared" si="24"/>
        <v>1000</v>
      </c>
      <c r="AO318" s="15">
        <f t="shared" si="25"/>
        <v>8</v>
      </c>
      <c r="AP318" s="15">
        <f t="shared" si="26"/>
        <v>8</v>
      </c>
      <c r="AQ318" s="15">
        <f t="shared" si="27"/>
        <v>6</v>
      </c>
      <c r="AR318" s="31"/>
      <c r="AS318" s="31"/>
      <c r="AT318" s="35" t="s">
        <v>222</v>
      </c>
      <c r="AU318" s="35"/>
    </row>
    <row r="319" ht="15.75" customHeight="1">
      <c r="A319" s="15" t="s">
        <v>2268</v>
      </c>
      <c r="B319" s="15" t="s">
        <v>60</v>
      </c>
      <c r="C319" s="15" t="s">
        <v>1165</v>
      </c>
      <c r="D319" s="15" t="s">
        <v>2271</v>
      </c>
      <c r="E319" s="15" t="s">
        <v>2271</v>
      </c>
      <c r="F319" s="65" t="s">
        <v>788</v>
      </c>
      <c r="G319" s="66" t="s">
        <v>98</v>
      </c>
      <c r="H319" s="18" t="s">
        <v>2275</v>
      </c>
      <c r="I319" s="18" t="s">
        <v>8404</v>
      </c>
      <c r="J319" s="18" t="s">
        <v>98</v>
      </c>
      <c r="K319" s="18" t="s">
        <v>98</v>
      </c>
      <c r="L319" s="18" t="s">
        <v>98</v>
      </c>
      <c r="M319" s="18" t="s">
        <v>98</v>
      </c>
      <c r="N319" s="18" t="s">
        <v>98</v>
      </c>
      <c r="O319" s="18" t="s">
        <v>98</v>
      </c>
      <c r="P319" s="15" t="str">
        <f t="shared" si="1"/>
        <v>VERIFY</v>
      </c>
      <c r="Q319" s="15">
        <f t="shared" si="2"/>
        <v>4</v>
      </c>
      <c r="R319" s="15">
        <f t="shared" si="3"/>
        <v>1</v>
      </c>
      <c r="S319" s="15">
        <f t="shared" si="4"/>
        <v>1</v>
      </c>
      <c r="T319" s="15" t="str">
        <f t="shared" si="5"/>
        <v>B-4</v>
      </c>
      <c r="U319" s="15" t="str">
        <f t="shared" si="6"/>
        <v>T4-M1-H1-FB-4-VERIFY</v>
      </c>
      <c r="V319" s="15">
        <f t="shared" si="7"/>
        <v>0</v>
      </c>
      <c r="W319" s="31"/>
      <c r="X319" s="15" t="str">
        <f t="shared" si="8"/>
        <v>berhampore</v>
      </c>
      <c r="Y319" s="32" t="str">
        <f t="shared" si="9"/>
        <v>https://steelmanufacturer.in/market-area/electropolished-pipes-manufacturer-in-berhampore/</v>
      </c>
      <c r="Z319" s="15" t="str">
        <f t="shared" si="10"/>
        <v>Electropolished Pipes Manufacturer in Berhampore</v>
      </c>
      <c r="AA319" s="15" t="str">
        <f t="shared" si="11"/>
        <v>OK (48)</v>
      </c>
      <c r="AB319" s="15" t="str">
        <f t="shared" si="12"/>
        <v>EP-finished SS 304/316L pipes &amp; tubes for VERIFY plants in Berhampore. ASTM A270, ASME BPE SF1-SF4, EN 10204 3.1 MTC. PMI tested.</v>
      </c>
      <c r="AC319" s="15" t="str">
        <f t="shared" si="13"/>
        <v>PENDING RESEARCH</v>
      </c>
      <c r="AD319" s="15" t="str">
        <f t="shared" si="14"/>
        <v>Electropolished Pipes Manufacturer in Berhampore</v>
      </c>
      <c r="AE319" s="15" t="str">
        <f t="shared" si="15"/>
        <v>Electropolished Pipe &amp; Tube Manufacturing for Berhampore - Grades, Finishes &amp; Certification</v>
      </c>
      <c r="AF319" s="15" t="str">
        <f t="shared" si="16"/>
        <v>Electropolished Pipes Supplier in Berhampore - Stock Sizes, Lead Time &amp; Delivery</v>
      </c>
      <c r="AG319" s="15" t="str">
        <f t="shared" si="17"/>
        <v>Electropolished Pipes Wholesaler &amp; Stockist in Berhampore - Bulk &amp; Project Pricing</v>
      </c>
      <c r="AH319" s="15" t="str">
        <f t="shared" si="18"/>
        <v>electropolished pipes manufacturer in Berhampore, electropolished pipes supplier in Berhampore, electropolished pipes wholesaler in Berhampore, electropolished tube manufacturer Berhampore, EP pipe supplier Berhampore, sanitary tube supplier Berhampore, ASME BPE tubing Berhampore, ASTM A270 tube Berhampore, SS 316L electropolished pipe Berhampore</v>
      </c>
      <c r="AI319" s="15" t="str">
        <f t="shared" si="19"/>
        <v>Electropolished Pipes Manufacturer &amp; Supplier in Berhampore</v>
      </c>
      <c r="AJ319" s="15" t="str">
        <f t="shared" si="20"/>
        <v>EP-finished SS 304/316L pipes and tubes for VERIFY plants in Berhampore. ASME BPE SF1-SF4, Ra from 0.25 um, EN 10204 3.1 certificate with every lot.</v>
      </c>
      <c r="AK319" s="15" t="str">
        <f t="shared" si="21"/>
        <v>Electropolished stainless steel pipes supplied by Sakshi Forge to VERIFY plants at WBIDC Industrial Area, Berhampore</v>
      </c>
      <c r="AL319" s="15" t="str">
        <f t="shared" si="22"/>
        <v>Electropolished SS 316L tube stock for Berhampore - Sakshi Forge</v>
      </c>
      <c r="AM319" s="15" t="str">
        <f t="shared" si="23"/>
        <v>Home &gt; Market Area &gt; India &gt; West Bengal &gt; Berhampore</v>
      </c>
      <c r="AN319" s="15">
        <f t="shared" si="24"/>
        <v>1000</v>
      </c>
      <c r="AO319" s="15">
        <f t="shared" si="25"/>
        <v>8</v>
      </c>
      <c r="AP319" s="15">
        <f t="shared" si="26"/>
        <v>8</v>
      </c>
      <c r="AQ319" s="15">
        <f t="shared" si="27"/>
        <v>6</v>
      </c>
      <c r="AR319" s="31"/>
      <c r="AS319" s="31"/>
      <c r="AT319" s="35" t="s">
        <v>222</v>
      </c>
      <c r="AU319" s="35"/>
    </row>
    <row r="320" ht="15.75" customHeight="1">
      <c r="A320" s="15" t="s">
        <v>2278</v>
      </c>
      <c r="B320" s="15" t="s">
        <v>60</v>
      </c>
      <c r="C320" s="15" t="s">
        <v>424</v>
      </c>
      <c r="D320" s="15" t="s">
        <v>2282</v>
      </c>
      <c r="E320" s="15" t="s">
        <v>2282</v>
      </c>
      <c r="F320" s="65" t="s">
        <v>788</v>
      </c>
      <c r="G320" s="66" t="s">
        <v>98</v>
      </c>
      <c r="H320" s="18" t="s">
        <v>2286</v>
      </c>
      <c r="I320" s="18" t="s">
        <v>8406</v>
      </c>
      <c r="J320" s="18" t="s">
        <v>98</v>
      </c>
      <c r="K320" s="18" t="s">
        <v>98</v>
      </c>
      <c r="L320" s="18" t="s">
        <v>98</v>
      </c>
      <c r="M320" s="18" t="s">
        <v>98</v>
      </c>
      <c r="N320" s="18" t="s">
        <v>98</v>
      </c>
      <c r="O320" s="18" t="s">
        <v>98</v>
      </c>
      <c r="P320" s="15" t="str">
        <f t="shared" si="1"/>
        <v>VERIFY</v>
      </c>
      <c r="Q320" s="15">
        <f t="shared" si="2"/>
        <v>5</v>
      </c>
      <c r="R320" s="15">
        <f t="shared" si="3"/>
        <v>2</v>
      </c>
      <c r="S320" s="15">
        <f t="shared" si="4"/>
        <v>2</v>
      </c>
      <c r="T320" s="15" t="str">
        <f t="shared" si="5"/>
        <v>B-5</v>
      </c>
      <c r="U320" s="15" t="str">
        <f t="shared" si="6"/>
        <v>T5-M2-H2-FB-5-VERIFY</v>
      </c>
      <c r="V320" s="15">
        <f t="shared" si="7"/>
        <v>0</v>
      </c>
      <c r="W320" s="31"/>
      <c r="X320" s="15" t="str">
        <f t="shared" si="8"/>
        <v>berhampur</v>
      </c>
      <c r="Y320" s="32" t="str">
        <f t="shared" si="9"/>
        <v>https://steelmanufacturer.in/market-area/electropolished-pipes-manufacturer-in-berhampur/</v>
      </c>
      <c r="Z320" s="15" t="str">
        <f t="shared" si="10"/>
        <v>Electropolished Pipes Manufacturer in Berhampur</v>
      </c>
      <c r="AA320" s="15" t="str">
        <f t="shared" si="11"/>
        <v>OK (47)</v>
      </c>
      <c r="AB320" s="15" t="str">
        <f t="shared" si="12"/>
        <v>Electropolished tube supply to IDCO Industrial Area, Berhampur. Ra from 0.25 um, SF4 finish, mill test certificate with every lot.</v>
      </c>
      <c r="AC320" s="15" t="str">
        <f t="shared" si="13"/>
        <v>PENDING RESEARCH</v>
      </c>
      <c r="AD320" s="15" t="str">
        <f t="shared" si="14"/>
        <v>Electropolished Pipes Manufacturer in Berhampur</v>
      </c>
      <c r="AE320" s="15" t="str">
        <f t="shared" si="15"/>
        <v>How We Manufacture Electropolished Tube for Berhampur Plants</v>
      </c>
      <c r="AF320" s="15" t="str">
        <f t="shared" si="16"/>
        <v>Supplying Electropolished Pipes in Berhampur: Availability, Sizes &amp; Dispatch</v>
      </c>
      <c r="AG320" s="15" t="str">
        <f t="shared" si="17"/>
        <v>Wholesale Electropolished Pipe Supply for Berhampur Projects</v>
      </c>
      <c r="AH320" s="15" t="str">
        <f t="shared" si="18"/>
        <v>electropolished pipes manufacturer in Berhampur, electropolished pipes supplier in Berhampur, electropolished pipes wholesaler in Berhampur, electropolished tube manufacturer Berhampur, EP pipe supplier Berhampur, sanitary tube supplier Berhampur, ASME BPE tubing Berhampur, ASTM A270 tube Berhampur, SS 316L electropolished pipe Berhampur</v>
      </c>
      <c r="AI320" s="15" t="str">
        <f t="shared" si="19"/>
        <v>Electropolished Pipes Manufacturer &amp; Supplier in Berhampur</v>
      </c>
      <c r="AJ320" s="15" t="str">
        <f t="shared" si="20"/>
        <v>EP-finished SS 304/316L pipes and tubes for VERIFY plants in Berhampur. ASME BPE SF1-SF4, Ra from 0.25 um, EN 10204 3.1 certificate with every lot.</v>
      </c>
      <c r="AK320" s="15" t="str">
        <f t="shared" si="21"/>
        <v>Electropolished stainless steel pipes supplied by Sakshi Forge to VERIFY plants at IDCO Industrial Area, Berhampur</v>
      </c>
      <c r="AL320" s="15" t="str">
        <f t="shared" si="22"/>
        <v>Electropolished SS 316L tube stock for Berhampur - Sakshi Forge</v>
      </c>
      <c r="AM320" s="15" t="str">
        <f t="shared" si="23"/>
        <v>Home &gt; Market Area &gt; India &gt; Odisha &gt; Berhampur</v>
      </c>
      <c r="AN320" s="15">
        <f t="shared" si="24"/>
        <v>1000</v>
      </c>
      <c r="AO320" s="15">
        <f t="shared" si="25"/>
        <v>8</v>
      </c>
      <c r="AP320" s="15">
        <f t="shared" si="26"/>
        <v>8</v>
      </c>
      <c r="AQ320" s="15">
        <f t="shared" si="27"/>
        <v>6</v>
      </c>
      <c r="AR320" s="31"/>
      <c r="AS320" s="31"/>
      <c r="AT320" s="35" t="s">
        <v>222</v>
      </c>
      <c r="AU320" s="35"/>
    </row>
    <row r="321" ht="15.75" customHeight="1">
      <c r="A321" s="15" t="s">
        <v>2288</v>
      </c>
      <c r="B321" s="15" t="s">
        <v>60</v>
      </c>
      <c r="C321" s="15" t="s">
        <v>1818</v>
      </c>
      <c r="D321" s="15" t="s">
        <v>2292</v>
      </c>
      <c r="E321" s="15" t="s">
        <v>2292</v>
      </c>
      <c r="F321" s="65" t="s">
        <v>788</v>
      </c>
      <c r="G321" s="66" t="s">
        <v>98</v>
      </c>
      <c r="H321" s="18" t="s">
        <v>2295</v>
      </c>
      <c r="I321" s="18" t="s">
        <v>8402</v>
      </c>
      <c r="J321" s="18" t="s">
        <v>98</v>
      </c>
      <c r="K321" s="18" t="s">
        <v>98</v>
      </c>
      <c r="L321" s="18" t="s">
        <v>98</v>
      </c>
      <c r="M321" s="18" t="s">
        <v>98</v>
      </c>
      <c r="N321" s="18" t="s">
        <v>98</v>
      </c>
      <c r="O321" s="18" t="s">
        <v>98</v>
      </c>
      <c r="P321" s="15" t="str">
        <f t="shared" si="1"/>
        <v>VERIFY</v>
      </c>
      <c r="Q321" s="15">
        <f t="shared" si="2"/>
        <v>6</v>
      </c>
      <c r="R321" s="15">
        <f t="shared" si="3"/>
        <v>3</v>
      </c>
      <c r="S321" s="15">
        <f t="shared" si="4"/>
        <v>3</v>
      </c>
      <c r="T321" s="15" t="str">
        <f t="shared" si="5"/>
        <v>B-6</v>
      </c>
      <c r="U321" s="15" t="str">
        <f t="shared" si="6"/>
        <v>T6-M3-H3-FB-6-VERIFY</v>
      </c>
      <c r="V321" s="15">
        <f t="shared" si="7"/>
        <v>0</v>
      </c>
      <c r="W321" s="31"/>
      <c r="X321" s="15" t="str">
        <f t="shared" si="8"/>
        <v>bettiah</v>
      </c>
      <c r="Y321" s="32" t="str">
        <f t="shared" si="9"/>
        <v>https://steelmanufacturer.in/market-area/electropolished-pipes-manufacturer-in-bettiah/</v>
      </c>
      <c r="Z321" s="15" t="str">
        <f t="shared" si="10"/>
        <v>Electropolished Pipes Manufacturer in Bettiah</v>
      </c>
      <c r="AA321" s="15" t="str">
        <f t="shared" si="11"/>
        <v>OK (45)</v>
      </c>
      <c r="AB321" s="15" t="str">
        <f t="shared" si="12"/>
        <v>EP stainless tube for VERIFY lines in Bettiah. VERIFY. ASTM A270 S2, PMI tested, EN 10204 3.1.</v>
      </c>
      <c r="AC321" s="15" t="str">
        <f t="shared" si="13"/>
        <v>PENDING RESEARCH</v>
      </c>
      <c r="AD321" s="15" t="str">
        <f t="shared" si="14"/>
        <v>Electropolished Pipes Manufacturer in Bettiah</v>
      </c>
      <c r="AE321" s="15" t="str">
        <f t="shared" si="15"/>
        <v>Electropolished Pipes Manufacturer in Bettiah - Our Process &amp; Capability</v>
      </c>
      <c r="AF321" s="15" t="str">
        <f t="shared" si="16"/>
        <v>Electropolished Pipes Supplier in Bettiah - What We Hold in Stock</v>
      </c>
      <c r="AG321" s="15" t="str">
        <f t="shared" si="17"/>
        <v>Bulk &amp; Wholesale Electropolished Pipe Rates for Bettiah Buyers</v>
      </c>
      <c r="AH321" s="15" t="str">
        <f t="shared" si="18"/>
        <v>electropolished pipes manufacturer in Bettiah, electropolished pipes supplier in Bettiah, electropolished pipes wholesaler in Bettiah, electropolished tube manufacturer Bettiah, EP pipe supplier Bettiah, sanitary tube supplier Bettiah, ASME BPE tubing Bettiah, ASTM A270 tube Bettiah, SS 316L electropolished pipe Bettiah</v>
      </c>
      <c r="AI321" s="15" t="str">
        <f t="shared" si="19"/>
        <v>Electropolished Pipes Manufacturer &amp; Supplier in Bettiah</v>
      </c>
      <c r="AJ321" s="15" t="str">
        <f t="shared" si="20"/>
        <v>EP-finished SS 304/316L pipes and tubes for VERIFY plants in Bettiah. ASME BPE SF1-SF4, Ra from 0.25 um, EN 10204 3.1 certificate with every lot.</v>
      </c>
      <c r="AK321" s="15" t="str">
        <f t="shared" si="21"/>
        <v>Electropolished stainless steel pipes supplied by Sakshi Forge to VERIFY plants at BIADA Industrial Area, Bettiah</v>
      </c>
      <c r="AL321" s="15" t="str">
        <f t="shared" si="22"/>
        <v>Electropolished SS 316L tube stock for Bettiah - Sakshi Forge</v>
      </c>
      <c r="AM321" s="15" t="str">
        <f t="shared" si="23"/>
        <v>Home &gt; Market Area &gt; India &gt; Bihar &gt; Bettiah</v>
      </c>
      <c r="AN321" s="15">
        <f t="shared" si="24"/>
        <v>1000</v>
      </c>
      <c r="AO321" s="15">
        <f t="shared" si="25"/>
        <v>8</v>
      </c>
      <c r="AP321" s="15">
        <f t="shared" si="26"/>
        <v>8</v>
      </c>
      <c r="AQ321" s="15">
        <f t="shared" si="27"/>
        <v>6</v>
      </c>
      <c r="AR321" s="31"/>
      <c r="AS321" s="31"/>
      <c r="AT321" s="35" t="s">
        <v>222</v>
      </c>
      <c r="AU321" s="35"/>
    </row>
    <row r="322" ht="15.75" customHeight="1">
      <c r="A322" s="15" t="s">
        <v>2302</v>
      </c>
      <c r="B322" s="15" t="s">
        <v>60</v>
      </c>
      <c r="C322" s="15" t="s">
        <v>424</v>
      </c>
      <c r="D322" s="15" t="s">
        <v>2305</v>
      </c>
      <c r="E322" s="15" t="s">
        <v>2305</v>
      </c>
      <c r="F322" s="65" t="s">
        <v>788</v>
      </c>
      <c r="G322" s="66" t="s">
        <v>98</v>
      </c>
      <c r="H322" s="18" t="s">
        <v>2310</v>
      </c>
      <c r="I322" s="18" t="s">
        <v>8406</v>
      </c>
      <c r="J322" s="18" t="s">
        <v>98</v>
      </c>
      <c r="K322" s="18" t="s">
        <v>98</v>
      </c>
      <c r="L322" s="18" t="s">
        <v>98</v>
      </c>
      <c r="M322" s="18" t="s">
        <v>98</v>
      </c>
      <c r="N322" s="18" t="s">
        <v>98</v>
      </c>
      <c r="O322" s="18" t="s">
        <v>98</v>
      </c>
      <c r="P322" s="15" t="str">
        <f t="shared" si="1"/>
        <v>VERIFY</v>
      </c>
      <c r="Q322" s="15">
        <f t="shared" si="2"/>
        <v>7</v>
      </c>
      <c r="R322" s="15">
        <f t="shared" si="3"/>
        <v>4</v>
      </c>
      <c r="S322" s="15">
        <f t="shared" si="4"/>
        <v>4</v>
      </c>
      <c r="T322" s="15" t="str">
        <f t="shared" si="5"/>
        <v>B-1</v>
      </c>
      <c r="U322" s="15" t="str">
        <f t="shared" si="6"/>
        <v>T7-M4-H4-FB-1-VERIFY</v>
      </c>
      <c r="V322" s="15">
        <f t="shared" si="7"/>
        <v>0</v>
      </c>
      <c r="W322" s="31"/>
      <c r="X322" s="15" t="str">
        <f t="shared" si="8"/>
        <v>bhadrak</v>
      </c>
      <c r="Y322" s="32" t="str">
        <f t="shared" si="9"/>
        <v>https://steelmanufacturer.in/market-area/electropolished-pipes-manufacturer-in-bhadrak/</v>
      </c>
      <c r="Z322" s="15" t="str">
        <f t="shared" si="10"/>
        <v>Electropolished Pipes Manufacturer in Bhadrak | ASME BPE SF1-SF4</v>
      </c>
      <c r="AA322" s="15" t="str">
        <f t="shared" si="11"/>
        <v>OK (64)</v>
      </c>
      <c r="AB322" s="15" t="str">
        <f t="shared" si="12"/>
        <v>Sanitary electropolished pipes in Bhadrak for VERIFY plants. ASME BPE SF1-SF4, orbital-weld ready, 3.1 MTC. Mumbai-made.</v>
      </c>
      <c r="AC322" s="15" t="str">
        <f t="shared" si="13"/>
        <v>PENDING RESEARCH</v>
      </c>
      <c r="AD322" s="15" t="str">
        <f t="shared" si="14"/>
        <v>Electropolished Pipes Manufacturer in Bhadrak</v>
      </c>
      <c r="AE322" s="15" t="str">
        <f t="shared" si="15"/>
        <v>Manufacturing Electropolished SS Tube for Bhadrak: The Standards We Build To</v>
      </c>
      <c r="AF322" s="15" t="str">
        <f t="shared" si="16"/>
        <v>Electropolished Pipe Supply Into Bhadrak - Certification &amp; Transit</v>
      </c>
      <c r="AG322" s="15" t="str">
        <f t="shared" si="17"/>
        <v>Electropolished Pipes Wholesaler in Bhadrak - Project Quantities &amp; Terms</v>
      </c>
      <c r="AH322" s="15" t="str">
        <f t="shared" si="18"/>
        <v>electropolished pipes manufacturer in Bhadrak, electropolished pipes supplier in Bhadrak, electropolished pipes wholesaler in Bhadrak, electropolished tube manufacturer Bhadrak, EP pipe supplier Bhadrak, sanitary tube supplier Bhadrak, ASME BPE tubing Bhadrak, ASTM A270 tube Bhadrak, SS 316L electropolished pipe Bhadrak</v>
      </c>
      <c r="AI322" s="15" t="str">
        <f t="shared" si="19"/>
        <v>Electropolished Pipes Manufacturer &amp; Supplier in Bhadrak</v>
      </c>
      <c r="AJ322" s="15" t="str">
        <f t="shared" si="20"/>
        <v>EP-finished SS 304/316L pipes and tubes for VERIFY plants in Bhadrak. ASME BPE SF1-SF4, Ra from 0.25 um, EN 10204 3.1 certificate with every lot.</v>
      </c>
      <c r="AK322" s="15" t="str">
        <f t="shared" si="21"/>
        <v>Electropolished stainless steel pipes supplied by Sakshi Forge to VERIFY plants at IDCO Industrial Area, Bhadrak</v>
      </c>
      <c r="AL322" s="15" t="str">
        <f t="shared" si="22"/>
        <v>Electropolished SS 316L tube stock for Bhadrak - Sakshi Forge</v>
      </c>
      <c r="AM322" s="15" t="str">
        <f t="shared" si="23"/>
        <v>Home &gt; Market Area &gt; India &gt; Odisha &gt; Bhadrak</v>
      </c>
      <c r="AN322" s="15">
        <f t="shared" si="24"/>
        <v>1000</v>
      </c>
      <c r="AO322" s="15">
        <f t="shared" si="25"/>
        <v>8</v>
      </c>
      <c r="AP322" s="15">
        <f t="shared" si="26"/>
        <v>8</v>
      </c>
      <c r="AQ322" s="15">
        <f t="shared" si="27"/>
        <v>6</v>
      </c>
      <c r="AR322" s="31"/>
      <c r="AS322" s="31"/>
      <c r="AT322" s="35" t="s">
        <v>222</v>
      </c>
      <c r="AU322" s="35"/>
    </row>
    <row r="323" ht="15.75" customHeight="1">
      <c r="A323" s="15" t="s">
        <v>2314</v>
      </c>
      <c r="B323" s="15" t="s">
        <v>60</v>
      </c>
      <c r="C323" s="15" t="s">
        <v>1818</v>
      </c>
      <c r="D323" s="15" t="s">
        <v>2316</v>
      </c>
      <c r="E323" s="15" t="s">
        <v>2316</v>
      </c>
      <c r="F323" s="65" t="s">
        <v>788</v>
      </c>
      <c r="G323" s="66" t="s">
        <v>98</v>
      </c>
      <c r="H323" s="18" t="s">
        <v>2320</v>
      </c>
      <c r="I323" s="18" t="s">
        <v>8402</v>
      </c>
      <c r="J323" s="18" t="s">
        <v>98</v>
      </c>
      <c r="K323" s="18" t="s">
        <v>98</v>
      </c>
      <c r="L323" s="18" t="s">
        <v>98</v>
      </c>
      <c r="M323" s="18" t="s">
        <v>98</v>
      </c>
      <c r="N323" s="18" t="s">
        <v>98</v>
      </c>
      <c r="O323" s="18" t="s">
        <v>98</v>
      </c>
      <c r="P323" s="15" t="str">
        <f t="shared" si="1"/>
        <v>VERIFY</v>
      </c>
      <c r="Q323" s="15">
        <f t="shared" si="2"/>
        <v>8</v>
      </c>
      <c r="R323" s="15">
        <f t="shared" si="3"/>
        <v>5</v>
      </c>
      <c r="S323" s="15">
        <f t="shared" si="4"/>
        <v>5</v>
      </c>
      <c r="T323" s="15" t="str">
        <f t="shared" si="5"/>
        <v>B-2</v>
      </c>
      <c r="U323" s="15" t="str">
        <f t="shared" si="6"/>
        <v>T8-M5-H5-FB-2-VERIFY</v>
      </c>
      <c r="V323" s="15">
        <f t="shared" si="7"/>
        <v>0</v>
      </c>
      <c r="W323" s="31"/>
      <c r="X323" s="15" t="str">
        <f t="shared" si="8"/>
        <v>bhagalpur</v>
      </c>
      <c r="Y323" s="32" t="str">
        <f t="shared" si="9"/>
        <v>https://steelmanufacturer.in/market-area/electropolished-pipes-manufacturer-in-bhagalpur/</v>
      </c>
      <c r="Z323" s="15" t="str">
        <f t="shared" si="10"/>
        <v>Electropolished Pipes Manufacturer in Bhagalpur</v>
      </c>
      <c r="AA323" s="15" t="str">
        <f t="shared" si="11"/>
        <v>OK (47)</v>
      </c>
      <c r="AB323" s="15" t="str">
        <f t="shared" si="12"/>
        <v>Manufacturer of electropolished SS 316L tube serving Bhagalpur. VERIFY. Ra 0.25-0.5 um, EN 10204 3.1 MTC.</v>
      </c>
      <c r="AC323" s="15" t="str">
        <f t="shared" si="13"/>
        <v>PENDING RESEARCH</v>
      </c>
      <c r="AD323" s="15" t="str">
        <f t="shared" si="14"/>
        <v>Electropolished Pipes Manufacturer in Bhagalpur</v>
      </c>
      <c r="AE323" s="15" t="str">
        <f t="shared" si="15"/>
        <v>Electropolished Tube Manufacturing Capability Serving Bhagalpur</v>
      </c>
      <c r="AF323" s="15" t="str">
        <f t="shared" si="16"/>
        <v>Electropolished Pipes Supplier in Bhagalpur - From Order to Delivery</v>
      </c>
      <c r="AG323" s="15" t="str">
        <f t="shared" si="17"/>
        <v>Stockist &amp; Wholesale Supply of Electropolished Pipes in Bhagalpur</v>
      </c>
      <c r="AH323" s="15" t="str">
        <f t="shared" si="18"/>
        <v>electropolished pipes manufacturer in Bhagalpur, electropolished pipes supplier in Bhagalpur, electropolished pipes wholesaler in Bhagalpur, electropolished tube manufacturer Bhagalpur, EP pipe supplier Bhagalpur, sanitary tube supplier Bhagalpur, ASME BPE tubing Bhagalpur, ASTM A270 tube Bhagalpur, SS 316L electropolished pipe Bhagalpur</v>
      </c>
      <c r="AI323" s="15" t="str">
        <f t="shared" si="19"/>
        <v>Electropolished Pipes Manufacturer &amp; Supplier in Bhagalpur</v>
      </c>
      <c r="AJ323" s="15" t="str">
        <f t="shared" si="20"/>
        <v>EP-finished SS 304/316L pipes and tubes for VERIFY plants in Bhagalpur. ASME BPE SF1-SF4, Ra from 0.25 um, EN 10204 3.1 certificate with every lot.</v>
      </c>
      <c r="AK323" s="15" t="str">
        <f t="shared" si="21"/>
        <v>Electropolished stainless steel pipes supplied by Sakshi Forge to VERIFY plants at BIADA Industrial Area, Bhagalpur</v>
      </c>
      <c r="AL323" s="15" t="str">
        <f t="shared" si="22"/>
        <v>Electropolished SS 316L tube stock for Bhagalpur - Sakshi Forge</v>
      </c>
      <c r="AM323" s="15" t="str">
        <f t="shared" si="23"/>
        <v>Home &gt; Market Area &gt; India &gt; Bihar &gt; Bhagalpur</v>
      </c>
      <c r="AN323" s="15">
        <f t="shared" si="24"/>
        <v>1000</v>
      </c>
      <c r="AO323" s="15">
        <f t="shared" si="25"/>
        <v>8</v>
      </c>
      <c r="AP323" s="15">
        <f t="shared" si="26"/>
        <v>8</v>
      </c>
      <c r="AQ323" s="15">
        <f t="shared" si="27"/>
        <v>6</v>
      </c>
      <c r="AR323" s="31"/>
      <c r="AS323" s="31"/>
      <c r="AT323" s="35" t="s">
        <v>222</v>
      </c>
      <c r="AU323" s="35"/>
    </row>
    <row r="324" ht="15.75" customHeight="1">
      <c r="A324" s="15" t="s">
        <v>2324</v>
      </c>
      <c r="B324" s="15" t="s">
        <v>60</v>
      </c>
      <c r="C324" s="15" t="s">
        <v>264</v>
      </c>
      <c r="D324" s="15" t="s">
        <v>2328</v>
      </c>
      <c r="E324" s="15" t="s">
        <v>2328</v>
      </c>
      <c r="F324" s="65" t="s">
        <v>788</v>
      </c>
      <c r="G324" s="66" t="s">
        <v>98</v>
      </c>
      <c r="H324" s="18" t="s">
        <v>2333</v>
      </c>
      <c r="I324" s="18" t="s">
        <v>8395</v>
      </c>
      <c r="J324" s="18" t="s">
        <v>98</v>
      </c>
      <c r="K324" s="18" t="s">
        <v>98</v>
      </c>
      <c r="L324" s="18" t="s">
        <v>98</v>
      </c>
      <c r="M324" s="18" t="s">
        <v>98</v>
      </c>
      <c r="N324" s="18" t="s">
        <v>98</v>
      </c>
      <c r="O324" s="18" t="s">
        <v>98</v>
      </c>
      <c r="P324" s="15" t="str">
        <f t="shared" si="1"/>
        <v>VERIFY</v>
      </c>
      <c r="Q324" s="15">
        <f t="shared" si="2"/>
        <v>1</v>
      </c>
      <c r="R324" s="15">
        <f t="shared" si="3"/>
        <v>6</v>
      </c>
      <c r="S324" s="15">
        <f t="shared" si="4"/>
        <v>1</v>
      </c>
      <c r="T324" s="15" t="str">
        <f t="shared" si="5"/>
        <v>B-3</v>
      </c>
      <c r="U324" s="15" t="str">
        <f t="shared" si="6"/>
        <v>T1-M6-H1-FB-3-VERIFY</v>
      </c>
      <c r="V324" s="15">
        <f t="shared" si="7"/>
        <v>0</v>
      </c>
      <c r="W324" s="31"/>
      <c r="X324" s="15" t="str">
        <f t="shared" si="8"/>
        <v>bhandara</v>
      </c>
      <c r="Y324" s="32" t="str">
        <f t="shared" si="9"/>
        <v>https://steelmanufacturer.in/market-area/electropolished-pipes-manufacturer-in-bhandara/</v>
      </c>
      <c r="Z324" s="15" t="str">
        <f t="shared" si="10"/>
        <v>Electropolished Pipes Manufacturer in Bhandara | Sakshi Forge</v>
      </c>
      <c r="AA324" s="15" t="str">
        <f t="shared" si="11"/>
        <v>OK (61)</v>
      </c>
      <c r="AB324" s="15" t="str">
        <f t="shared" si="12"/>
        <v>EP tube and pipe for VERIFY plants around MIDC Industrial Area, Bhandara. Made at our Mumbai works to ASTM A270 and ASME BPE SF1-SF4, with 3.1 MTC.</v>
      </c>
      <c r="AC324" s="15" t="str">
        <f t="shared" si="13"/>
        <v>PENDING RESEARCH</v>
      </c>
      <c r="AD324" s="15" t="str">
        <f t="shared" si="14"/>
        <v>Electropolished Pipes Manufacturer in Bhandara</v>
      </c>
      <c r="AE324" s="15" t="str">
        <f t="shared" si="15"/>
        <v>Electropolished Pipe &amp; Tube Manufacturing for Bhandara - Grades, Finishes &amp; Certification</v>
      </c>
      <c r="AF324" s="15" t="str">
        <f t="shared" si="16"/>
        <v>Electropolished Pipes Supplier in Bhandara - Stock Sizes, Lead Time &amp; Delivery</v>
      </c>
      <c r="AG324" s="15" t="str">
        <f t="shared" si="17"/>
        <v>Electropolished Pipes Wholesaler &amp; Stockist in Bhandara - Bulk &amp; Project Pricing</v>
      </c>
      <c r="AH324" s="15" t="str">
        <f t="shared" si="18"/>
        <v>electropolished pipes manufacturer in Bhandara, electropolished pipes supplier in Bhandara, electropolished pipes wholesaler in Bhandara, electropolished tube manufacturer Bhandara, EP pipe supplier Bhandara, sanitary tube supplier Bhandara, ASME BPE tubing Bhandara, ASTM A270 tube Bhandara, SS 316L electropolished pipe Bhandara</v>
      </c>
      <c r="AI324" s="15" t="str">
        <f t="shared" si="19"/>
        <v>Electropolished Pipes Manufacturer &amp; Supplier in Bhandara</v>
      </c>
      <c r="AJ324" s="15" t="str">
        <f t="shared" si="20"/>
        <v>EP-finished SS 304/316L pipes and tubes for VERIFY plants in Bhandara. ASME BPE SF1-SF4, Ra from 0.25 um, EN 10204 3.1 certificate with every lot.</v>
      </c>
      <c r="AK324" s="15" t="str">
        <f t="shared" si="21"/>
        <v>Electropolished stainless steel pipes supplied by Sakshi Forge to VERIFY plants at MIDC Industrial Area, Bhandara</v>
      </c>
      <c r="AL324" s="15" t="str">
        <f t="shared" si="22"/>
        <v>Electropolished SS 316L tube stock for Bhandara - Sakshi Forge</v>
      </c>
      <c r="AM324" s="15" t="str">
        <f t="shared" si="23"/>
        <v>Home &gt; Market Area &gt; India &gt; Maharashtra &gt; Bhandara</v>
      </c>
      <c r="AN324" s="15">
        <f t="shared" si="24"/>
        <v>1000</v>
      </c>
      <c r="AO324" s="15">
        <f t="shared" si="25"/>
        <v>8</v>
      </c>
      <c r="AP324" s="15">
        <f t="shared" si="26"/>
        <v>8</v>
      </c>
      <c r="AQ324" s="15">
        <f t="shared" si="27"/>
        <v>6</v>
      </c>
      <c r="AR324" s="31"/>
      <c r="AS324" s="31"/>
      <c r="AT324" s="35" t="s">
        <v>222</v>
      </c>
      <c r="AU324" s="35"/>
    </row>
    <row r="325" ht="15.75" customHeight="1">
      <c r="A325" s="15" t="s">
        <v>2337</v>
      </c>
      <c r="B325" s="15" t="s">
        <v>60</v>
      </c>
      <c r="C325" s="15" t="s">
        <v>413</v>
      </c>
      <c r="D325" s="15" t="s">
        <v>2340</v>
      </c>
      <c r="E325" s="15" t="s">
        <v>2340</v>
      </c>
      <c r="F325" s="65" t="s">
        <v>788</v>
      </c>
      <c r="G325" s="66" t="s">
        <v>98</v>
      </c>
      <c r="H325" s="18" t="s">
        <v>2343</v>
      </c>
      <c r="I325" s="18" t="s">
        <v>8393</v>
      </c>
      <c r="J325" s="18" t="s">
        <v>98</v>
      </c>
      <c r="K325" s="18" t="s">
        <v>98</v>
      </c>
      <c r="L325" s="18" t="s">
        <v>98</v>
      </c>
      <c r="M325" s="18" t="s">
        <v>98</v>
      </c>
      <c r="N325" s="18" t="s">
        <v>98</v>
      </c>
      <c r="O325" s="18" t="s">
        <v>98</v>
      </c>
      <c r="P325" s="15" t="str">
        <f t="shared" si="1"/>
        <v>VERIFY</v>
      </c>
      <c r="Q325" s="15">
        <f t="shared" si="2"/>
        <v>2</v>
      </c>
      <c r="R325" s="15">
        <f t="shared" si="3"/>
        <v>7</v>
      </c>
      <c r="S325" s="15">
        <f t="shared" si="4"/>
        <v>2</v>
      </c>
      <c r="T325" s="15" t="str">
        <f t="shared" si="5"/>
        <v>B-4</v>
      </c>
      <c r="U325" s="15" t="str">
        <f t="shared" si="6"/>
        <v>T2-M7-H2-FB-4-VERIFY</v>
      </c>
      <c r="V325" s="15">
        <f t="shared" si="7"/>
        <v>0</v>
      </c>
      <c r="W325" s="31"/>
      <c r="X325" s="15" t="str">
        <f t="shared" si="8"/>
        <v>bhimavaram</v>
      </c>
      <c r="Y325" s="32" t="str">
        <f t="shared" si="9"/>
        <v>https://steelmanufacturer.in/market-area/electropolished-pipes-manufacturer-in-bhimavaram/</v>
      </c>
      <c r="Z325" s="15" t="str">
        <f t="shared" si="10"/>
        <v>Electropolished Pipes Manufacturer in Bhimavaram</v>
      </c>
      <c r="AA325" s="15" t="str">
        <f t="shared" si="11"/>
        <v>OK (48)</v>
      </c>
      <c r="AB325" s="15" t="str">
        <f t="shared" si="12"/>
        <v>Electropolished pipes in Bhimavaram: 304, 304L, 316 and 316L in SF1-SF4. VERIFY. Mill certified.</v>
      </c>
      <c r="AC325" s="15" t="str">
        <f t="shared" si="13"/>
        <v>PENDING RESEARCH</v>
      </c>
      <c r="AD325" s="15" t="str">
        <f t="shared" si="14"/>
        <v>Electropolished Pipes Manufacturer in Bhimavaram</v>
      </c>
      <c r="AE325" s="15" t="str">
        <f t="shared" si="15"/>
        <v>How We Manufacture Electropolished Tube for Bhimavaram Plants</v>
      </c>
      <c r="AF325" s="15" t="str">
        <f t="shared" si="16"/>
        <v>Supplying Electropolished Pipes in Bhimavaram: Availability, Sizes &amp; Dispatch</v>
      </c>
      <c r="AG325" s="15" t="str">
        <f t="shared" si="17"/>
        <v>Wholesale Electropolished Pipe Supply for Bhimavaram Projects</v>
      </c>
      <c r="AH325" s="15" t="str">
        <f t="shared" si="18"/>
        <v>electropolished pipes manufacturer in Bhimavaram, electropolished pipes supplier in Bhimavaram, electropolished pipes wholesaler in Bhimavaram, electropolished tube manufacturer Bhimavaram, EP pipe supplier Bhimavaram, sanitary tube supplier Bhimavaram, ASME BPE tubing Bhimavaram, ASTM A270 tube Bhimavaram, SS 316L electropolished pipe Bhimavaram</v>
      </c>
      <c r="AI325" s="15" t="str">
        <f t="shared" si="19"/>
        <v>Electropolished Pipes Manufacturer &amp; Supplier in Bhimavaram</v>
      </c>
      <c r="AJ325" s="15" t="str">
        <f t="shared" si="20"/>
        <v>EP-finished SS 304/316L pipes and tubes for VERIFY plants in Bhimavaram. ASME BPE SF1-SF4, Ra from 0.25 um, EN 10204 3.1 certificate with every lot.</v>
      </c>
      <c r="AK325" s="15" t="str">
        <f t="shared" si="21"/>
        <v>Electropolished stainless steel pipes supplied by Sakshi Forge to VERIFY plants at APIIC Industrial Area, Bhimavaram</v>
      </c>
      <c r="AL325" s="15" t="str">
        <f t="shared" si="22"/>
        <v>Electropolished SS 316L tube stock for Bhimavaram - Sakshi Forge</v>
      </c>
      <c r="AM325" s="15" t="str">
        <f t="shared" si="23"/>
        <v>Home &gt; Market Area &gt; India &gt; Andhra Pradesh &gt; Bhimavaram</v>
      </c>
      <c r="AN325" s="15">
        <f t="shared" si="24"/>
        <v>1000</v>
      </c>
      <c r="AO325" s="15">
        <f t="shared" si="25"/>
        <v>8</v>
      </c>
      <c r="AP325" s="15">
        <f t="shared" si="26"/>
        <v>8</v>
      </c>
      <c r="AQ325" s="15">
        <f t="shared" si="27"/>
        <v>6</v>
      </c>
      <c r="AR325" s="31"/>
      <c r="AS325" s="31"/>
      <c r="AT325" s="35" t="s">
        <v>222</v>
      </c>
      <c r="AU325" s="35"/>
    </row>
    <row r="326" ht="15.75" customHeight="1">
      <c r="A326" s="15" t="s">
        <v>2347</v>
      </c>
      <c r="B326" s="15" t="s">
        <v>60</v>
      </c>
      <c r="C326" s="15" t="s">
        <v>264</v>
      </c>
      <c r="D326" s="15" t="s">
        <v>2351</v>
      </c>
      <c r="E326" s="15" t="s">
        <v>2351</v>
      </c>
      <c r="F326" s="65" t="s">
        <v>788</v>
      </c>
      <c r="G326" s="66" t="s">
        <v>98</v>
      </c>
      <c r="H326" s="18" t="s">
        <v>2356</v>
      </c>
      <c r="I326" s="18" t="s">
        <v>8395</v>
      </c>
      <c r="J326" s="18" t="s">
        <v>98</v>
      </c>
      <c r="K326" s="18" t="s">
        <v>98</v>
      </c>
      <c r="L326" s="18" t="s">
        <v>98</v>
      </c>
      <c r="M326" s="18" t="s">
        <v>98</v>
      </c>
      <c r="N326" s="18" t="s">
        <v>98</v>
      </c>
      <c r="O326" s="18" t="s">
        <v>98</v>
      </c>
      <c r="P326" s="15" t="str">
        <f t="shared" si="1"/>
        <v>VERIFY</v>
      </c>
      <c r="Q326" s="15">
        <f t="shared" si="2"/>
        <v>3</v>
      </c>
      <c r="R326" s="15">
        <f t="shared" si="3"/>
        <v>1</v>
      </c>
      <c r="S326" s="15">
        <f t="shared" si="4"/>
        <v>3</v>
      </c>
      <c r="T326" s="15" t="str">
        <f t="shared" si="5"/>
        <v>B-5</v>
      </c>
      <c r="U326" s="15" t="str">
        <f t="shared" si="6"/>
        <v>T3-M1-H3-FB-5-VERIFY</v>
      </c>
      <c r="V326" s="15">
        <f t="shared" si="7"/>
        <v>0</v>
      </c>
      <c r="W326" s="31"/>
      <c r="X326" s="15" t="str">
        <f t="shared" si="8"/>
        <v>bhiwandi</v>
      </c>
      <c r="Y326" s="32" t="str">
        <f t="shared" si="9"/>
        <v>https://steelmanufacturer.in/market-area/electropolished-pipes-manufacturer-in-bhiwandi/</v>
      </c>
      <c r="Z326" s="15" t="str">
        <f t="shared" si="10"/>
        <v>Electropolished Pipes Manufacturer in Bhiwandi | EP Tube Supplier</v>
      </c>
      <c r="AA326" s="15" t="str">
        <f t="shared" si="11"/>
        <v>OK (65)</v>
      </c>
      <c r="AB326" s="15" t="str">
        <f t="shared" si="12"/>
        <v>EP-finished SS 304/316L pipes &amp; tubes for VERIFY plants in Bhiwandi. ASTM A270, ASME BPE SF1-SF4, EN 10204 3.1 MTC. PMI tested.</v>
      </c>
      <c r="AC326" s="15" t="str">
        <f t="shared" si="13"/>
        <v>PENDING RESEARCH</v>
      </c>
      <c r="AD326" s="15" t="str">
        <f t="shared" si="14"/>
        <v>Electropolished Pipes Manufacturer in Bhiwandi</v>
      </c>
      <c r="AE326" s="15" t="str">
        <f t="shared" si="15"/>
        <v>Electropolished Pipes Manufacturer in Bhiwandi - Our Process &amp; Capability</v>
      </c>
      <c r="AF326" s="15" t="str">
        <f t="shared" si="16"/>
        <v>Electropolished Pipes Supplier in Bhiwandi - What We Hold in Stock</v>
      </c>
      <c r="AG326" s="15" t="str">
        <f t="shared" si="17"/>
        <v>Bulk &amp; Wholesale Electropolished Pipe Rates for Bhiwandi Buyers</v>
      </c>
      <c r="AH326" s="15" t="str">
        <f t="shared" si="18"/>
        <v>electropolished pipes manufacturer in Bhiwandi, electropolished pipes supplier in Bhiwandi, electropolished pipes wholesaler in Bhiwandi, electropolished tube manufacturer Bhiwandi, EP pipe supplier Bhiwandi, sanitary tube supplier Bhiwandi, ASME BPE tubing Bhiwandi, ASTM A270 tube Bhiwandi, SS 316L electropolished pipe Bhiwandi</v>
      </c>
      <c r="AI326" s="15" t="str">
        <f t="shared" si="19"/>
        <v>Electropolished Pipes Manufacturer &amp; Supplier in Bhiwandi</v>
      </c>
      <c r="AJ326" s="15" t="str">
        <f t="shared" si="20"/>
        <v>EP-finished SS 304/316L pipes and tubes for VERIFY plants in Bhiwandi. ASME BPE SF1-SF4, Ra from 0.25 um, EN 10204 3.1 certificate with every lot.</v>
      </c>
      <c r="AK326" s="15" t="str">
        <f t="shared" si="21"/>
        <v>Electropolished stainless steel pipes supplied by Sakshi Forge to VERIFY plants at MIDC Industrial Area, Bhiwandi</v>
      </c>
      <c r="AL326" s="15" t="str">
        <f t="shared" si="22"/>
        <v>Electropolished SS 316L tube stock for Bhiwandi - Sakshi Forge</v>
      </c>
      <c r="AM326" s="15" t="str">
        <f t="shared" si="23"/>
        <v>Home &gt; Market Area &gt; India &gt; Maharashtra &gt; Bhiwandi</v>
      </c>
      <c r="AN326" s="15">
        <f t="shared" si="24"/>
        <v>1000</v>
      </c>
      <c r="AO326" s="15">
        <f t="shared" si="25"/>
        <v>8</v>
      </c>
      <c r="AP326" s="15">
        <f t="shared" si="26"/>
        <v>8</v>
      </c>
      <c r="AQ326" s="15">
        <f t="shared" si="27"/>
        <v>6</v>
      </c>
      <c r="AR326" s="31"/>
      <c r="AS326" s="31"/>
      <c r="AT326" s="35" t="s">
        <v>222</v>
      </c>
      <c r="AU326" s="35"/>
    </row>
    <row r="327" ht="15.75" customHeight="1">
      <c r="A327" s="15" t="s">
        <v>2362</v>
      </c>
      <c r="B327" s="15" t="s">
        <v>60</v>
      </c>
      <c r="C327" s="15" t="s">
        <v>245</v>
      </c>
      <c r="D327" s="15" t="s">
        <v>2368</v>
      </c>
      <c r="E327" s="15" t="s">
        <v>2368</v>
      </c>
      <c r="F327" s="65" t="s">
        <v>788</v>
      </c>
      <c r="G327" s="66" t="s">
        <v>98</v>
      </c>
      <c r="H327" s="18" t="s">
        <v>2373</v>
      </c>
      <c r="I327" s="18" t="s">
        <v>8407</v>
      </c>
      <c r="J327" s="18" t="s">
        <v>98</v>
      </c>
      <c r="K327" s="18" t="s">
        <v>98</v>
      </c>
      <c r="L327" s="18" t="s">
        <v>98</v>
      </c>
      <c r="M327" s="18" t="s">
        <v>98</v>
      </c>
      <c r="N327" s="18" t="s">
        <v>98</v>
      </c>
      <c r="O327" s="18" t="s">
        <v>98</v>
      </c>
      <c r="P327" s="15" t="str">
        <f t="shared" si="1"/>
        <v>VERIFY</v>
      </c>
      <c r="Q327" s="15">
        <f t="shared" si="2"/>
        <v>4</v>
      </c>
      <c r="R327" s="15">
        <f t="shared" si="3"/>
        <v>2</v>
      </c>
      <c r="S327" s="15">
        <f t="shared" si="4"/>
        <v>4</v>
      </c>
      <c r="T327" s="15" t="str">
        <f t="shared" si="5"/>
        <v>B-6</v>
      </c>
      <c r="U327" s="15" t="str">
        <f t="shared" si="6"/>
        <v>T4-M2-H4-FB-6-VERIFY</v>
      </c>
      <c r="V327" s="15">
        <f t="shared" si="7"/>
        <v>0</v>
      </c>
      <c r="W327" s="31"/>
      <c r="X327" s="15" t="str">
        <f t="shared" si="8"/>
        <v>bhiwani</v>
      </c>
      <c r="Y327" s="32" t="str">
        <f t="shared" si="9"/>
        <v>https://steelmanufacturer.in/market-area/electropolished-pipes-manufacturer-in-bhiwani/</v>
      </c>
      <c r="Z327" s="15" t="str">
        <f t="shared" si="10"/>
        <v>Electropolished Pipes Manufacturer in Bhiwani</v>
      </c>
      <c r="AA327" s="15" t="str">
        <f t="shared" si="11"/>
        <v>OK (45)</v>
      </c>
      <c r="AB327" s="15" t="str">
        <f t="shared" si="12"/>
        <v>Electropolished tube supply to HSIIDC Industrial Area, Bhiwani. Ra from 0.25 um, SF4 finish, mill test certificate with every lot.</v>
      </c>
      <c r="AC327" s="15" t="str">
        <f t="shared" si="13"/>
        <v>PENDING RESEARCH</v>
      </c>
      <c r="AD327" s="15" t="str">
        <f t="shared" si="14"/>
        <v>Electropolished Pipes Manufacturer in Bhiwani</v>
      </c>
      <c r="AE327" s="15" t="str">
        <f t="shared" si="15"/>
        <v>Manufacturing Electropolished SS Tube for Bhiwani: The Standards We Build To</v>
      </c>
      <c r="AF327" s="15" t="str">
        <f t="shared" si="16"/>
        <v>Electropolished Pipe Supply Into Bhiwani - Certification &amp; Transit</v>
      </c>
      <c r="AG327" s="15" t="str">
        <f t="shared" si="17"/>
        <v>Electropolished Pipes Wholesaler in Bhiwani - Project Quantities &amp; Terms</v>
      </c>
      <c r="AH327" s="15" t="str">
        <f t="shared" si="18"/>
        <v>electropolished pipes manufacturer in Bhiwani, electropolished pipes supplier in Bhiwani, electropolished pipes wholesaler in Bhiwani, electropolished tube manufacturer Bhiwani, EP pipe supplier Bhiwani, sanitary tube supplier Bhiwani, ASME BPE tubing Bhiwani, ASTM A270 tube Bhiwani, SS 316L electropolished pipe Bhiwani</v>
      </c>
      <c r="AI327" s="15" t="str">
        <f t="shared" si="19"/>
        <v>Electropolished Pipes Manufacturer &amp; Supplier in Bhiwani</v>
      </c>
      <c r="AJ327" s="15" t="str">
        <f t="shared" si="20"/>
        <v>EP-finished SS 304/316L pipes and tubes for VERIFY plants in Bhiwani. ASME BPE SF1-SF4, Ra from 0.25 um, EN 10204 3.1 certificate with every lot.</v>
      </c>
      <c r="AK327" s="15" t="str">
        <f t="shared" si="21"/>
        <v>Electropolished stainless steel pipes supplied by Sakshi Forge to VERIFY plants at HSIIDC Industrial Area, Bhiwani</v>
      </c>
      <c r="AL327" s="15" t="str">
        <f t="shared" si="22"/>
        <v>Electropolished SS 316L tube stock for Bhiwani - Sakshi Forge</v>
      </c>
      <c r="AM327" s="15" t="str">
        <f t="shared" si="23"/>
        <v>Home &gt; Market Area &gt; India &gt; Haryana &gt; Bhiwani</v>
      </c>
      <c r="AN327" s="15">
        <f t="shared" si="24"/>
        <v>1000</v>
      </c>
      <c r="AO327" s="15">
        <f t="shared" si="25"/>
        <v>8</v>
      </c>
      <c r="AP327" s="15">
        <f t="shared" si="26"/>
        <v>8</v>
      </c>
      <c r="AQ327" s="15">
        <f t="shared" si="27"/>
        <v>6</v>
      </c>
      <c r="AR327" s="31"/>
      <c r="AS327" s="31"/>
      <c r="AT327" s="35" t="s">
        <v>222</v>
      </c>
      <c r="AU327" s="35"/>
    </row>
    <row r="328" ht="15.75" customHeight="1">
      <c r="A328" s="15" t="s">
        <v>2377</v>
      </c>
      <c r="B328" s="15" t="s">
        <v>60</v>
      </c>
      <c r="C328" s="15" t="s">
        <v>1312</v>
      </c>
      <c r="D328" s="15" t="s">
        <v>2380</v>
      </c>
      <c r="E328" s="15" t="s">
        <v>2380</v>
      </c>
      <c r="F328" s="65" t="s">
        <v>788</v>
      </c>
      <c r="G328" s="66" t="s">
        <v>98</v>
      </c>
      <c r="H328" s="18" t="s">
        <v>2384</v>
      </c>
      <c r="I328" s="18" t="s">
        <v>8392</v>
      </c>
      <c r="J328" s="18" t="s">
        <v>98</v>
      </c>
      <c r="K328" s="18" t="s">
        <v>98</v>
      </c>
      <c r="L328" s="18" t="s">
        <v>98</v>
      </c>
      <c r="M328" s="18" t="s">
        <v>98</v>
      </c>
      <c r="N328" s="18" t="s">
        <v>98</v>
      </c>
      <c r="O328" s="18" t="s">
        <v>98</v>
      </c>
      <c r="P328" s="15" t="str">
        <f t="shared" si="1"/>
        <v>VERIFY</v>
      </c>
      <c r="Q328" s="15">
        <f t="shared" si="2"/>
        <v>5</v>
      </c>
      <c r="R328" s="15">
        <f t="shared" si="3"/>
        <v>3</v>
      </c>
      <c r="S328" s="15">
        <f t="shared" si="4"/>
        <v>5</v>
      </c>
      <c r="T328" s="15" t="str">
        <f t="shared" si="5"/>
        <v>B-1</v>
      </c>
      <c r="U328" s="15" t="str">
        <f t="shared" si="6"/>
        <v>T5-M3-H5-FB-1-VERIFY</v>
      </c>
      <c r="V328" s="15">
        <f t="shared" si="7"/>
        <v>0</v>
      </c>
      <c r="W328" s="31"/>
      <c r="X328" s="15" t="str">
        <f t="shared" si="8"/>
        <v>bhongir</v>
      </c>
      <c r="Y328" s="32" t="str">
        <f t="shared" si="9"/>
        <v>https://steelmanufacturer.in/market-area/electropolished-pipes-manufacturer-in-bhongir/</v>
      </c>
      <c r="Z328" s="15" t="str">
        <f t="shared" si="10"/>
        <v>Electropolished Pipes Manufacturer in Bhongir</v>
      </c>
      <c r="AA328" s="15" t="str">
        <f t="shared" si="11"/>
        <v>OK (45)</v>
      </c>
      <c r="AB328" s="15" t="str">
        <f t="shared" si="12"/>
        <v>EP stainless tube for VERIFY lines in Bhongir. VERIFY. ASTM A270 S2, PMI tested, EN 10204 3.1.</v>
      </c>
      <c r="AC328" s="15" t="str">
        <f t="shared" si="13"/>
        <v>PENDING RESEARCH</v>
      </c>
      <c r="AD328" s="15" t="str">
        <f t="shared" si="14"/>
        <v>Electropolished Pipes Manufacturer in Bhongir</v>
      </c>
      <c r="AE328" s="15" t="str">
        <f t="shared" si="15"/>
        <v>Electropolished Tube Manufacturing Capability Serving Bhongir</v>
      </c>
      <c r="AF328" s="15" t="str">
        <f t="shared" si="16"/>
        <v>Electropolished Pipes Supplier in Bhongir - From Order to Delivery</v>
      </c>
      <c r="AG328" s="15" t="str">
        <f t="shared" si="17"/>
        <v>Stockist &amp; Wholesale Supply of Electropolished Pipes in Bhongir</v>
      </c>
      <c r="AH328" s="15" t="str">
        <f t="shared" si="18"/>
        <v>electropolished pipes manufacturer in Bhongir, electropolished pipes supplier in Bhongir, electropolished pipes wholesaler in Bhongir, electropolished tube manufacturer Bhongir, EP pipe supplier Bhongir, sanitary tube supplier Bhongir, ASME BPE tubing Bhongir, ASTM A270 tube Bhongir, SS 316L electropolished pipe Bhongir</v>
      </c>
      <c r="AI328" s="15" t="str">
        <f t="shared" si="19"/>
        <v>Electropolished Pipes Manufacturer &amp; Supplier in Bhongir</v>
      </c>
      <c r="AJ328" s="15" t="str">
        <f t="shared" si="20"/>
        <v>EP-finished SS 304/316L pipes and tubes for VERIFY plants in Bhongir. ASME BPE SF1-SF4, Ra from 0.25 um, EN 10204 3.1 certificate with every lot.</v>
      </c>
      <c r="AK328" s="15" t="str">
        <f t="shared" si="21"/>
        <v>Electropolished stainless steel pipes supplied by Sakshi Forge to VERIFY plants at TSIIC Industrial Area, Bhongir</v>
      </c>
      <c r="AL328" s="15" t="str">
        <f t="shared" si="22"/>
        <v>Electropolished SS 316L tube stock for Bhongir - Sakshi Forge</v>
      </c>
      <c r="AM328" s="15" t="str">
        <f t="shared" si="23"/>
        <v>Home &gt; Market Area &gt; India &gt; Telangana &gt; Bhongir</v>
      </c>
      <c r="AN328" s="15">
        <f t="shared" si="24"/>
        <v>1000</v>
      </c>
      <c r="AO328" s="15">
        <f t="shared" si="25"/>
        <v>8</v>
      </c>
      <c r="AP328" s="15">
        <f t="shared" si="26"/>
        <v>8</v>
      </c>
      <c r="AQ328" s="15">
        <f t="shared" si="27"/>
        <v>6</v>
      </c>
      <c r="AR328" s="31"/>
      <c r="AS328" s="31"/>
      <c r="AT328" s="35" t="s">
        <v>222</v>
      </c>
      <c r="AU328" s="35"/>
    </row>
    <row r="329" ht="15.75" customHeight="1">
      <c r="A329" s="15" t="s">
        <v>2388</v>
      </c>
      <c r="B329" s="15" t="s">
        <v>60</v>
      </c>
      <c r="C329" s="15" t="s">
        <v>2391</v>
      </c>
      <c r="D329" s="15" t="s">
        <v>2392</v>
      </c>
      <c r="E329" s="15" t="s">
        <v>2392</v>
      </c>
      <c r="F329" s="65" t="s">
        <v>788</v>
      </c>
      <c r="G329" s="66" t="s">
        <v>98</v>
      </c>
      <c r="H329" s="18" t="s">
        <v>2396</v>
      </c>
      <c r="I329" s="18" t="s">
        <v>8400</v>
      </c>
      <c r="J329" s="18" t="s">
        <v>98</v>
      </c>
      <c r="K329" s="18" t="s">
        <v>98</v>
      </c>
      <c r="L329" s="18" t="s">
        <v>98</v>
      </c>
      <c r="M329" s="18" t="s">
        <v>98</v>
      </c>
      <c r="N329" s="18" t="s">
        <v>98</v>
      </c>
      <c r="O329" s="18" t="s">
        <v>98</v>
      </c>
      <c r="P329" s="15" t="str">
        <f t="shared" si="1"/>
        <v>VERIFY</v>
      </c>
      <c r="Q329" s="15">
        <f t="shared" si="2"/>
        <v>6</v>
      </c>
      <c r="R329" s="15">
        <f t="shared" si="3"/>
        <v>4</v>
      </c>
      <c r="S329" s="15">
        <f t="shared" si="4"/>
        <v>1</v>
      </c>
      <c r="T329" s="15" t="str">
        <f t="shared" si="5"/>
        <v>B-2</v>
      </c>
      <c r="U329" s="15" t="str">
        <f t="shared" si="6"/>
        <v>T6-M4-H1-FB-2-VERIFY</v>
      </c>
      <c r="V329" s="15">
        <f t="shared" si="7"/>
        <v>0</v>
      </c>
      <c r="W329" s="31"/>
      <c r="X329" s="15" t="str">
        <f t="shared" si="8"/>
        <v>bicholim</v>
      </c>
      <c r="Y329" s="32" t="str">
        <f t="shared" si="9"/>
        <v>https://steelmanufacturer.in/market-area/electropolished-pipes-manufacturer-in-bicholim/</v>
      </c>
      <c r="Z329" s="15" t="str">
        <f t="shared" si="10"/>
        <v>Electropolished Pipes Manufacturer in Bicholim</v>
      </c>
      <c r="AA329" s="15" t="str">
        <f t="shared" si="11"/>
        <v>OK (46)</v>
      </c>
      <c r="AB329" s="15" t="str">
        <f t="shared" si="12"/>
        <v>Sanitary electropolished pipes in Bicholim for VERIFY plants. ASME BPE SF1-SF4, orbital-weld ready, 3.1 MTC. Mumbai-made.</v>
      </c>
      <c r="AC329" s="15" t="str">
        <f t="shared" si="13"/>
        <v>PENDING RESEARCH</v>
      </c>
      <c r="AD329" s="15" t="str">
        <f t="shared" si="14"/>
        <v>Electropolished Pipes Manufacturer in Bicholim</v>
      </c>
      <c r="AE329" s="15" t="str">
        <f t="shared" si="15"/>
        <v>Electropolished Pipe &amp; Tube Manufacturing for Bicholim - Grades, Finishes &amp; Certification</v>
      </c>
      <c r="AF329" s="15" t="str">
        <f t="shared" si="16"/>
        <v>Electropolished Pipes Supplier in Bicholim - Stock Sizes, Lead Time &amp; Delivery</v>
      </c>
      <c r="AG329" s="15" t="str">
        <f t="shared" si="17"/>
        <v>Electropolished Pipes Wholesaler &amp; Stockist in Bicholim - Bulk &amp; Project Pricing</v>
      </c>
      <c r="AH329" s="15" t="str">
        <f t="shared" si="18"/>
        <v>electropolished pipes manufacturer in Bicholim, electropolished pipes supplier in Bicholim, electropolished pipes wholesaler in Bicholim, electropolished tube manufacturer Bicholim, EP pipe supplier Bicholim, sanitary tube supplier Bicholim, ASME BPE tubing Bicholim, ASTM A270 tube Bicholim, SS 316L electropolished pipe Bicholim</v>
      </c>
      <c r="AI329" s="15" t="str">
        <f t="shared" si="19"/>
        <v>Electropolished Pipes Manufacturer &amp; Supplier in Bicholim</v>
      </c>
      <c r="AJ329" s="15" t="str">
        <f t="shared" si="20"/>
        <v>EP-finished SS 304/316L pipes and tubes for VERIFY plants in Bicholim. ASME BPE SF1-SF4, Ra from 0.25 um, EN 10204 3.1 certificate with every lot.</v>
      </c>
      <c r="AK329" s="15" t="str">
        <f t="shared" si="21"/>
        <v>Electropolished stainless steel pipes supplied by Sakshi Forge to VERIFY plants at GIDC Industrial Area, Bicholim</v>
      </c>
      <c r="AL329" s="15" t="str">
        <f t="shared" si="22"/>
        <v>Electropolished SS 316L tube stock for Bicholim - Sakshi Forge</v>
      </c>
      <c r="AM329" s="15" t="str">
        <f t="shared" si="23"/>
        <v>Home &gt; Market Area &gt; India &gt; Goa &gt; Bicholim</v>
      </c>
      <c r="AN329" s="15">
        <f t="shared" si="24"/>
        <v>1000</v>
      </c>
      <c r="AO329" s="15">
        <f t="shared" si="25"/>
        <v>8</v>
      </c>
      <c r="AP329" s="15">
        <f t="shared" si="26"/>
        <v>8</v>
      </c>
      <c r="AQ329" s="15">
        <f t="shared" si="27"/>
        <v>6</v>
      </c>
      <c r="AR329" s="31"/>
      <c r="AS329" s="31"/>
      <c r="AT329" s="35" t="s">
        <v>222</v>
      </c>
      <c r="AU329" s="35"/>
    </row>
    <row r="330" ht="15.75" customHeight="1">
      <c r="A330" s="15" t="s">
        <v>2398</v>
      </c>
      <c r="B330" s="15" t="s">
        <v>60</v>
      </c>
      <c r="C330" s="15" t="s">
        <v>570</v>
      </c>
      <c r="D330" s="15" t="s">
        <v>2402</v>
      </c>
      <c r="E330" s="15" t="s">
        <v>2402</v>
      </c>
      <c r="F330" s="65" t="s">
        <v>788</v>
      </c>
      <c r="G330" s="66" t="s">
        <v>98</v>
      </c>
      <c r="H330" s="18" t="s">
        <v>2406</v>
      </c>
      <c r="I330" s="18" t="s">
        <v>8405</v>
      </c>
      <c r="J330" s="18" t="s">
        <v>98</v>
      </c>
      <c r="K330" s="18" t="s">
        <v>98</v>
      </c>
      <c r="L330" s="18" t="s">
        <v>98</v>
      </c>
      <c r="M330" s="18" t="s">
        <v>98</v>
      </c>
      <c r="N330" s="18" t="s">
        <v>98</v>
      </c>
      <c r="O330" s="18" t="s">
        <v>98</v>
      </c>
      <c r="P330" s="15" t="str">
        <f t="shared" si="1"/>
        <v>VERIFY</v>
      </c>
      <c r="Q330" s="15">
        <f t="shared" si="2"/>
        <v>7</v>
      </c>
      <c r="R330" s="15">
        <f t="shared" si="3"/>
        <v>5</v>
      </c>
      <c r="S330" s="15">
        <f t="shared" si="4"/>
        <v>2</v>
      </c>
      <c r="T330" s="15" t="str">
        <f t="shared" si="5"/>
        <v>B-3</v>
      </c>
      <c r="U330" s="15" t="str">
        <f t="shared" si="6"/>
        <v>T7-M5-H2-FB-3-VERIFY</v>
      </c>
      <c r="V330" s="15">
        <f t="shared" si="7"/>
        <v>0</v>
      </c>
      <c r="W330" s="31"/>
      <c r="X330" s="15" t="str">
        <f t="shared" si="8"/>
        <v>bidar</v>
      </c>
      <c r="Y330" s="32" t="str">
        <f t="shared" si="9"/>
        <v>https://steelmanufacturer.in/market-area/electropolished-pipes-manufacturer-in-bidar/</v>
      </c>
      <c r="Z330" s="15" t="str">
        <f t="shared" si="10"/>
        <v>Electropolished Pipes Manufacturer in Bidar | ASME BPE SF1-SF4</v>
      </c>
      <c r="AA330" s="15" t="str">
        <f t="shared" si="11"/>
        <v>OK (62)</v>
      </c>
      <c r="AB330" s="15" t="str">
        <f t="shared" si="12"/>
        <v>Manufacturer of electropolished SS 316L tube serving Bidar. VERIFY. Ra 0.25-0.5 um, EN 10204 3.1 MTC.</v>
      </c>
      <c r="AC330" s="15" t="str">
        <f t="shared" si="13"/>
        <v>PENDING RESEARCH</v>
      </c>
      <c r="AD330" s="15" t="str">
        <f t="shared" si="14"/>
        <v>Electropolished Pipes Manufacturer in Bidar</v>
      </c>
      <c r="AE330" s="15" t="str">
        <f t="shared" si="15"/>
        <v>How We Manufacture Electropolished Tube for Bidar Plants</v>
      </c>
      <c r="AF330" s="15" t="str">
        <f t="shared" si="16"/>
        <v>Supplying Electropolished Pipes in Bidar: Availability, Sizes &amp; Dispatch</v>
      </c>
      <c r="AG330" s="15" t="str">
        <f t="shared" si="17"/>
        <v>Wholesale Electropolished Pipe Supply for Bidar Projects</v>
      </c>
      <c r="AH330" s="15" t="str">
        <f t="shared" si="18"/>
        <v>electropolished pipes manufacturer in Bidar, electropolished pipes supplier in Bidar, electropolished pipes wholesaler in Bidar, electropolished tube manufacturer Bidar, EP pipe supplier Bidar, sanitary tube supplier Bidar, ASME BPE tubing Bidar, ASTM A270 tube Bidar, SS 316L electropolished pipe Bidar</v>
      </c>
      <c r="AI330" s="15" t="str">
        <f t="shared" si="19"/>
        <v>Electropolished Pipes Manufacturer &amp; Supplier in Bidar</v>
      </c>
      <c r="AJ330" s="15" t="str">
        <f t="shared" si="20"/>
        <v>EP-finished SS 304/316L pipes and tubes for VERIFY plants in Bidar. ASME BPE SF1-SF4, Ra from 0.25 um, EN 10204 3.1 certificate with every lot.</v>
      </c>
      <c r="AK330" s="15" t="str">
        <f t="shared" si="21"/>
        <v>Electropolished stainless steel pipes supplied by Sakshi Forge to VERIFY plants at KIADB Industrial Area, Bidar</v>
      </c>
      <c r="AL330" s="15" t="str">
        <f t="shared" si="22"/>
        <v>Electropolished SS 316L tube stock for Bidar - Sakshi Forge</v>
      </c>
      <c r="AM330" s="15" t="str">
        <f t="shared" si="23"/>
        <v>Home &gt; Market Area &gt; India &gt; Karnataka &gt; Bidar</v>
      </c>
      <c r="AN330" s="15">
        <f t="shared" si="24"/>
        <v>1000</v>
      </c>
      <c r="AO330" s="15">
        <f t="shared" si="25"/>
        <v>8</v>
      </c>
      <c r="AP330" s="15">
        <f t="shared" si="26"/>
        <v>8</v>
      </c>
      <c r="AQ330" s="15">
        <f t="shared" si="27"/>
        <v>6</v>
      </c>
      <c r="AR330" s="31"/>
      <c r="AS330" s="31"/>
      <c r="AT330" s="35" t="s">
        <v>222</v>
      </c>
      <c r="AU330" s="35"/>
    </row>
    <row r="331" ht="15.75" customHeight="1">
      <c r="A331" s="15" t="s">
        <v>2410</v>
      </c>
      <c r="B331" s="15" t="s">
        <v>60</v>
      </c>
      <c r="C331" s="15" t="s">
        <v>1818</v>
      </c>
      <c r="D331" s="15" t="s">
        <v>2412</v>
      </c>
      <c r="E331" s="15" t="s">
        <v>2412</v>
      </c>
      <c r="F331" s="65" t="s">
        <v>788</v>
      </c>
      <c r="G331" s="66" t="s">
        <v>98</v>
      </c>
      <c r="H331" s="18" t="s">
        <v>2418</v>
      </c>
      <c r="I331" s="18" t="s">
        <v>8402</v>
      </c>
      <c r="J331" s="18" t="s">
        <v>98</v>
      </c>
      <c r="K331" s="18" t="s">
        <v>98</v>
      </c>
      <c r="L331" s="18" t="s">
        <v>98</v>
      </c>
      <c r="M331" s="18" t="s">
        <v>98</v>
      </c>
      <c r="N331" s="18" t="s">
        <v>98</v>
      </c>
      <c r="O331" s="18" t="s">
        <v>98</v>
      </c>
      <c r="P331" s="15" t="str">
        <f t="shared" si="1"/>
        <v>VERIFY</v>
      </c>
      <c r="Q331" s="15">
        <f t="shared" si="2"/>
        <v>8</v>
      </c>
      <c r="R331" s="15">
        <f t="shared" si="3"/>
        <v>6</v>
      </c>
      <c r="S331" s="15">
        <f t="shared" si="4"/>
        <v>3</v>
      </c>
      <c r="T331" s="15" t="str">
        <f t="shared" si="5"/>
        <v>B-4</v>
      </c>
      <c r="U331" s="15" t="str">
        <f t="shared" si="6"/>
        <v>T8-M6-H3-FB-4-VERIFY</v>
      </c>
      <c r="V331" s="15">
        <f t="shared" si="7"/>
        <v>0</v>
      </c>
      <c r="W331" s="31"/>
      <c r="X331" s="15" t="str">
        <f t="shared" si="8"/>
        <v>bihar-sharif</v>
      </c>
      <c r="Y331" s="32" t="str">
        <f t="shared" si="9"/>
        <v>https://steelmanufacturer.in/market-area/electropolished-pipes-manufacturer-in-bihar-sharif/</v>
      </c>
      <c r="Z331" s="15" t="str">
        <f t="shared" si="10"/>
        <v>Electropolished Pipes Manufacturer in Bihar Sharif</v>
      </c>
      <c r="AA331" s="15" t="str">
        <f t="shared" si="11"/>
        <v>OK (50)</v>
      </c>
      <c r="AB331" s="15" t="str">
        <f t="shared" si="12"/>
        <v>EP tube and pipe for VERIFY plants around BIADA Industrial Area, Bihar Sharif. Made at our Mumbai works to ASTM A270 and ASME BPE SF1-SF4, with 3.1 MTC.</v>
      </c>
      <c r="AC331" s="15" t="str">
        <f t="shared" si="13"/>
        <v>PENDING RESEARCH</v>
      </c>
      <c r="AD331" s="15" t="str">
        <f t="shared" si="14"/>
        <v>Electropolished Pipes Manufacturer in Bihar Sharif</v>
      </c>
      <c r="AE331" s="15" t="str">
        <f t="shared" si="15"/>
        <v>Electropolished Pipes Manufacturer in Bihar Sharif - Our Process &amp; Capability</v>
      </c>
      <c r="AF331" s="15" t="str">
        <f t="shared" si="16"/>
        <v>Electropolished Pipes Supplier in Bihar Sharif - What We Hold in Stock</v>
      </c>
      <c r="AG331" s="15" t="str">
        <f t="shared" si="17"/>
        <v>Bulk &amp; Wholesale Electropolished Pipe Rates for Bihar Sharif Buyers</v>
      </c>
      <c r="AH331" s="15" t="str">
        <f t="shared" si="18"/>
        <v>electropolished pipes manufacturer in Bihar Sharif, electropolished pipes supplier in Bihar Sharif, electropolished pipes wholesaler in Bihar Sharif, electropolished tube manufacturer Bihar Sharif, EP pipe supplier Bihar Sharif, sanitary tube supplier Bihar Sharif, ASME BPE tubing Bihar Sharif, ASTM A270 tube Bihar Sharif, SS 316L electropolished pipe Bihar Sharif</v>
      </c>
      <c r="AI331" s="15" t="str">
        <f t="shared" si="19"/>
        <v>Electropolished Pipes Manufacturer &amp; Supplier in Bihar Sharif</v>
      </c>
      <c r="AJ331" s="15" t="str">
        <f t="shared" si="20"/>
        <v>EP-finished SS 304/316L pipes and tubes for VERIFY plants in Bihar Sharif. ASME BPE SF1-SF4, Ra from 0.25 um, EN 10204 3.1 certificate with every lot.</v>
      </c>
      <c r="AK331" s="15" t="str">
        <f t="shared" si="21"/>
        <v>Electropolished stainless steel pipes supplied by Sakshi Forge to VERIFY plants at BIADA Industrial Area, Bihar Sharif</v>
      </c>
      <c r="AL331" s="15" t="str">
        <f t="shared" si="22"/>
        <v>Electropolished SS 316L tube stock for Bihar Sharif - Sakshi Forge</v>
      </c>
      <c r="AM331" s="15" t="str">
        <f t="shared" si="23"/>
        <v>Home &gt; Market Area &gt; India &gt; Bihar &gt; Bihar Sharif</v>
      </c>
      <c r="AN331" s="15">
        <f t="shared" si="24"/>
        <v>1000</v>
      </c>
      <c r="AO331" s="15">
        <f t="shared" si="25"/>
        <v>8</v>
      </c>
      <c r="AP331" s="15">
        <f t="shared" si="26"/>
        <v>8</v>
      </c>
      <c r="AQ331" s="15">
        <f t="shared" si="27"/>
        <v>6</v>
      </c>
      <c r="AR331" s="31"/>
      <c r="AS331" s="31"/>
      <c r="AT331" s="35" t="s">
        <v>222</v>
      </c>
      <c r="AU331" s="35"/>
    </row>
    <row r="332" ht="15.75" customHeight="1">
      <c r="A332" s="15" t="s">
        <v>2424</v>
      </c>
      <c r="B332" s="15" t="s">
        <v>60</v>
      </c>
      <c r="C332" s="15" t="s">
        <v>236</v>
      </c>
      <c r="D332" s="15" t="s">
        <v>2430</v>
      </c>
      <c r="E332" s="15" t="s">
        <v>2430</v>
      </c>
      <c r="F332" s="65" t="s">
        <v>788</v>
      </c>
      <c r="G332" s="66" t="s">
        <v>98</v>
      </c>
      <c r="H332" s="18" t="s">
        <v>2433</v>
      </c>
      <c r="I332" s="18" t="s">
        <v>8391</v>
      </c>
      <c r="J332" s="18" t="s">
        <v>98</v>
      </c>
      <c r="K332" s="18" t="s">
        <v>98</v>
      </c>
      <c r="L332" s="18" t="s">
        <v>98</v>
      </c>
      <c r="M332" s="18" t="s">
        <v>98</v>
      </c>
      <c r="N332" s="18" t="s">
        <v>98</v>
      </c>
      <c r="O332" s="18" t="s">
        <v>98</v>
      </c>
      <c r="P332" s="15" t="str">
        <f t="shared" si="1"/>
        <v>VERIFY</v>
      </c>
      <c r="Q332" s="15">
        <f t="shared" si="2"/>
        <v>1</v>
      </c>
      <c r="R332" s="15">
        <f t="shared" si="3"/>
        <v>7</v>
      </c>
      <c r="S332" s="15">
        <f t="shared" si="4"/>
        <v>4</v>
      </c>
      <c r="T332" s="15" t="str">
        <f t="shared" si="5"/>
        <v>B-5</v>
      </c>
      <c r="U332" s="15" t="str">
        <f t="shared" si="6"/>
        <v>T1-M7-H4-FB-5-VERIFY</v>
      </c>
      <c r="V332" s="15">
        <f t="shared" si="7"/>
        <v>0</v>
      </c>
      <c r="W332" s="31"/>
      <c r="X332" s="15" t="str">
        <f t="shared" si="8"/>
        <v>bikaner</v>
      </c>
      <c r="Y332" s="32" t="str">
        <f t="shared" si="9"/>
        <v>https://steelmanufacturer.in/market-area/electropolished-pipes-manufacturer-in-bikaner/</v>
      </c>
      <c r="Z332" s="15" t="str">
        <f t="shared" si="10"/>
        <v>Electropolished Pipes Manufacturer in Bikaner | Sakshi Forge</v>
      </c>
      <c r="AA332" s="15" t="str">
        <f t="shared" si="11"/>
        <v>OK (60)</v>
      </c>
      <c r="AB332" s="15" t="str">
        <f t="shared" si="12"/>
        <v>Electropolished pipes in Bikaner: 304, 304L, 316 and 316L in SF1-SF4. VERIFY. Mill certified.</v>
      </c>
      <c r="AC332" s="15" t="str">
        <f t="shared" si="13"/>
        <v>PENDING RESEARCH</v>
      </c>
      <c r="AD332" s="15" t="str">
        <f t="shared" si="14"/>
        <v>Electropolished Pipes Manufacturer in Bikaner</v>
      </c>
      <c r="AE332" s="15" t="str">
        <f t="shared" si="15"/>
        <v>Manufacturing Electropolished SS Tube for Bikaner: The Standards We Build To</v>
      </c>
      <c r="AF332" s="15" t="str">
        <f t="shared" si="16"/>
        <v>Electropolished Pipe Supply Into Bikaner - Certification &amp; Transit</v>
      </c>
      <c r="AG332" s="15" t="str">
        <f t="shared" si="17"/>
        <v>Electropolished Pipes Wholesaler in Bikaner - Project Quantities &amp; Terms</v>
      </c>
      <c r="AH332" s="15" t="str">
        <f t="shared" si="18"/>
        <v>electropolished pipes manufacturer in Bikaner, electropolished pipes supplier in Bikaner, electropolished pipes wholesaler in Bikaner, electropolished tube manufacturer Bikaner, EP pipe supplier Bikaner, sanitary tube supplier Bikaner, ASME BPE tubing Bikaner, ASTM A270 tube Bikaner, SS 316L electropolished pipe Bikaner</v>
      </c>
      <c r="AI332" s="15" t="str">
        <f t="shared" si="19"/>
        <v>Electropolished Pipes Manufacturer &amp; Supplier in Bikaner</v>
      </c>
      <c r="AJ332" s="15" t="str">
        <f t="shared" si="20"/>
        <v>EP-finished SS 304/316L pipes and tubes for VERIFY plants in Bikaner. ASME BPE SF1-SF4, Ra from 0.25 um, EN 10204 3.1 certificate with every lot.</v>
      </c>
      <c r="AK332" s="15" t="str">
        <f t="shared" si="21"/>
        <v>Electropolished stainless steel pipes supplied by Sakshi Forge to VERIFY plants at RIICO Industrial Area, Bikaner</v>
      </c>
      <c r="AL332" s="15" t="str">
        <f t="shared" si="22"/>
        <v>Electropolished SS 316L tube stock for Bikaner - Sakshi Forge</v>
      </c>
      <c r="AM332" s="15" t="str">
        <f t="shared" si="23"/>
        <v>Home &gt; Market Area &gt; India &gt; Rajasthan &gt; Bikaner</v>
      </c>
      <c r="AN332" s="15">
        <f t="shared" si="24"/>
        <v>1000</v>
      </c>
      <c r="AO332" s="15">
        <f t="shared" si="25"/>
        <v>8</v>
      </c>
      <c r="AP332" s="15">
        <f t="shared" si="26"/>
        <v>8</v>
      </c>
      <c r="AQ332" s="15">
        <f t="shared" si="27"/>
        <v>6</v>
      </c>
      <c r="AR332" s="31"/>
      <c r="AS332" s="31"/>
      <c r="AT332" s="35" t="s">
        <v>222</v>
      </c>
      <c r="AU332" s="35"/>
    </row>
    <row r="333" ht="15.75" customHeight="1">
      <c r="A333" s="15" t="s">
        <v>2437</v>
      </c>
      <c r="B333" s="15" t="s">
        <v>60</v>
      </c>
      <c r="C333" s="15" t="s">
        <v>775</v>
      </c>
      <c r="D333" s="15" t="s">
        <v>2441</v>
      </c>
      <c r="E333" s="15" t="s">
        <v>2441</v>
      </c>
      <c r="F333" s="65" t="s">
        <v>788</v>
      </c>
      <c r="G333" s="66" t="s">
        <v>98</v>
      </c>
      <c r="H333" s="18" t="s">
        <v>2446</v>
      </c>
      <c r="I333" s="18" t="s">
        <v>8399</v>
      </c>
      <c r="J333" s="18" t="s">
        <v>98</v>
      </c>
      <c r="K333" s="18" t="s">
        <v>98</v>
      </c>
      <c r="L333" s="18" t="s">
        <v>98</v>
      </c>
      <c r="M333" s="18" t="s">
        <v>98</v>
      </c>
      <c r="N333" s="18" t="s">
        <v>98</v>
      </c>
      <c r="O333" s="18" t="s">
        <v>98</v>
      </c>
      <c r="P333" s="15" t="str">
        <f t="shared" si="1"/>
        <v>VERIFY</v>
      </c>
      <c r="Q333" s="15">
        <f t="shared" si="2"/>
        <v>2</v>
      </c>
      <c r="R333" s="15">
        <f t="shared" si="3"/>
        <v>1</v>
      </c>
      <c r="S333" s="15">
        <f t="shared" si="4"/>
        <v>5</v>
      </c>
      <c r="T333" s="15" t="str">
        <f t="shared" si="5"/>
        <v>B-6</v>
      </c>
      <c r="U333" s="15" t="str">
        <f t="shared" si="6"/>
        <v>T2-M1-H5-FB-6-VERIFY</v>
      </c>
      <c r="V333" s="15">
        <f t="shared" si="7"/>
        <v>0</v>
      </c>
      <c r="W333" s="31"/>
      <c r="X333" s="15" t="str">
        <f t="shared" si="8"/>
        <v>bilaspur</v>
      </c>
      <c r="Y333" s="32" t="str">
        <f t="shared" si="9"/>
        <v>https://steelmanufacturer.in/market-area/electropolished-pipes-manufacturer-in-bilaspur/</v>
      </c>
      <c r="Z333" s="15" t="str">
        <f t="shared" si="10"/>
        <v>Electropolished Pipes Manufacturer in Bilaspur</v>
      </c>
      <c r="AA333" s="15" t="str">
        <f t="shared" si="11"/>
        <v>OK (46)</v>
      </c>
      <c r="AB333" s="15" t="str">
        <f t="shared" si="12"/>
        <v>EP-finished SS 304/316L pipes &amp; tubes for VERIFY plants in Bilaspur. ASTM A270, ASME BPE SF1-SF4, EN 10204 3.1 MTC. PMI tested.</v>
      </c>
      <c r="AC333" s="15" t="str">
        <f t="shared" si="13"/>
        <v>PENDING RESEARCH</v>
      </c>
      <c r="AD333" s="15" t="str">
        <f t="shared" si="14"/>
        <v>Electropolished Pipes Manufacturer in Bilaspur</v>
      </c>
      <c r="AE333" s="15" t="str">
        <f t="shared" si="15"/>
        <v>Electropolished Tube Manufacturing Capability Serving Bilaspur</v>
      </c>
      <c r="AF333" s="15" t="str">
        <f t="shared" si="16"/>
        <v>Electropolished Pipes Supplier in Bilaspur - From Order to Delivery</v>
      </c>
      <c r="AG333" s="15" t="str">
        <f t="shared" si="17"/>
        <v>Stockist &amp; Wholesale Supply of Electropolished Pipes in Bilaspur</v>
      </c>
      <c r="AH333" s="15" t="str">
        <f t="shared" si="18"/>
        <v>electropolished pipes manufacturer in Bilaspur, electropolished pipes supplier in Bilaspur, electropolished pipes wholesaler in Bilaspur, electropolished tube manufacturer Bilaspur, EP pipe supplier Bilaspur, sanitary tube supplier Bilaspur, ASME BPE tubing Bilaspur, ASTM A270 tube Bilaspur, SS 316L electropolished pipe Bilaspur</v>
      </c>
      <c r="AI333" s="15" t="str">
        <f t="shared" si="19"/>
        <v>Electropolished Pipes Manufacturer &amp; Supplier in Bilaspur</v>
      </c>
      <c r="AJ333" s="15" t="str">
        <f t="shared" si="20"/>
        <v>EP-finished SS 304/316L pipes and tubes for VERIFY plants in Bilaspur. ASME BPE SF1-SF4, Ra from 0.25 um, EN 10204 3.1 certificate with every lot.</v>
      </c>
      <c r="AK333" s="15" t="str">
        <f t="shared" si="21"/>
        <v>Electropolished stainless steel pipes supplied by Sakshi Forge to VERIFY plants at CSIDC Industrial Area, Bilaspur</v>
      </c>
      <c r="AL333" s="15" t="str">
        <f t="shared" si="22"/>
        <v>Electropolished SS 316L tube stock for Bilaspur - Sakshi Forge</v>
      </c>
      <c r="AM333" s="15" t="str">
        <f t="shared" si="23"/>
        <v>Home &gt; Market Area &gt; India &gt; Chhattisgarh &gt; Bilaspur</v>
      </c>
      <c r="AN333" s="15">
        <f t="shared" si="24"/>
        <v>1000</v>
      </c>
      <c r="AO333" s="15">
        <f t="shared" si="25"/>
        <v>8</v>
      </c>
      <c r="AP333" s="15">
        <f t="shared" si="26"/>
        <v>8</v>
      </c>
      <c r="AQ333" s="15">
        <f t="shared" si="27"/>
        <v>6</v>
      </c>
      <c r="AR333" s="31"/>
      <c r="AS333" s="31"/>
      <c r="AT333" s="35" t="s">
        <v>222</v>
      </c>
      <c r="AU333" s="35"/>
    </row>
    <row r="334" ht="15.75" customHeight="1">
      <c r="A334" s="15" t="s">
        <v>2450</v>
      </c>
      <c r="B334" s="15" t="s">
        <v>60</v>
      </c>
      <c r="C334" s="15" t="s">
        <v>447</v>
      </c>
      <c r="D334" s="15" t="s">
        <v>2452</v>
      </c>
      <c r="E334" s="15" t="s">
        <v>2452</v>
      </c>
      <c r="F334" s="65" t="s">
        <v>788</v>
      </c>
      <c r="G334" s="66" t="s">
        <v>98</v>
      </c>
      <c r="H334" s="18" t="s">
        <v>2456</v>
      </c>
      <c r="I334" s="18" t="s">
        <v>8411</v>
      </c>
      <c r="J334" s="18" t="s">
        <v>98</v>
      </c>
      <c r="K334" s="18" t="s">
        <v>98</v>
      </c>
      <c r="L334" s="18" t="s">
        <v>98</v>
      </c>
      <c r="M334" s="18" t="s">
        <v>98</v>
      </c>
      <c r="N334" s="18" t="s">
        <v>98</v>
      </c>
      <c r="O334" s="18" t="s">
        <v>98</v>
      </c>
      <c r="P334" s="15" t="str">
        <f t="shared" si="1"/>
        <v>VERIFY</v>
      </c>
      <c r="Q334" s="15">
        <f t="shared" si="2"/>
        <v>3</v>
      </c>
      <c r="R334" s="15">
        <f t="shared" si="3"/>
        <v>2</v>
      </c>
      <c r="S334" s="15">
        <f t="shared" si="4"/>
        <v>1</v>
      </c>
      <c r="T334" s="15" t="str">
        <f t="shared" si="5"/>
        <v>B-1</v>
      </c>
      <c r="U334" s="15" t="str">
        <f t="shared" si="6"/>
        <v>T3-M2-H1-FB-1-VERIFY</v>
      </c>
      <c r="V334" s="15">
        <f t="shared" si="7"/>
        <v>0</v>
      </c>
      <c r="W334" s="31"/>
      <c r="X334" s="15" t="str">
        <f t="shared" si="8"/>
        <v>bilaspur-hp</v>
      </c>
      <c r="Y334" s="32" t="str">
        <f t="shared" si="9"/>
        <v>https://steelmanufacturer.in/market-area/electropolished-pipes-manufacturer-in-bilaspur-hp/</v>
      </c>
      <c r="Z334" s="15" t="str">
        <f t="shared" si="10"/>
        <v>Electropolished Pipes Manufacturer in Bilaspur-HP</v>
      </c>
      <c r="AA334" s="15" t="str">
        <f t="shared" si="11"/>
        <v>OK (49)</v>
      </c>
      <c r="AB334" s="15" t="str">
        <f t="shared" si="12"/>
        <v>Electropolished tube supply to HPSIDC Industrial Area, Bilaspur-HP. Ra from 0.25 um, SF4 finish, mill test certificate with every lot.</v>
      </c>
      <c r="AC334" s="15" t="str">
        <f t="shared" si="13"/>
        <v>PENDING RESEARCH</v>
      </c>
      <c r="AD334" s="15" t="str">
        <f t="shared" si="14"/>
        <v>Electropolished Pipes Manufacturer in Bilaspur-HP</v>
      </c>
      <c r="AE334" s="15" t="str">
        <f t="shared" si="15"/>
        <v>Electropolished Pipe &amp; Tube Manufacturing for Bilaspur-HP - Grades, Finishes &amp; Certification</v>
      </c>
      <c r="AF334" s="15" t="str">
        <f t="shared" si="16"/>
        <v>Electropolished Pipes Supplier in Bilaspur-HP - Stock Sizes, Lead Time &amp; Delivery</v>
      </c>
      <c r="AG334" s="15" t="str">
        <f t="shared" si="17"/>
        <v>Electropolished Pipes Wholesaler &amp; Stockist in Bilaspur-HP - Bulk &amp; Project Pricing</v>
      </c>
      <c r="AH334" s="15" t="str">
        <f t="shared" si="18"/>
        <v>electropolished pipes manufacturer in Bilaspur-HP, electropolished pipes supplier in Bilaspur-HP, electropolished pipes wholesaler in Bilaspur-HP, electropolished tube manufacturer Bilaspur-HP, EP pipe supplier Bilaspur-HP, sanitary tube supplier Bilaspur-HP, ASME BPE tubing Bilaspur-HP, ASTM A270 tube Bilaspur-HP, SS 316L electropolished pipe Bilaspur-HP</v>
      </c>
      <c r="AI334" s="15" t="str">
        <f t="shared" si="19"/>
        <v>Electropolished Pipes Manufacturer &amp; Supplier in Bilaspur-HP</v>
      </c>
      <c r="AJ334" s="15" t="str">
        <f t="shared" si="20"/>
        <v>EP-finished SS 304/316L pipes and tubes for VERIFY plants in Bilaspur-HP. ASME BPE SF1-SF4, Ra from 0.25 um, EN 10204 3.1 certificate with every lot.</v>
      </c>
      <c r="AK334" s="15" t="str">
        <f t="shared" si="21"/>
        <v>Electropolished stainless steel pipes supplied by Sakshi Forge to VERIFY plants at HPSIDC Industrial Area, Bilaspur-HP</v>
      </c>
      <c r="AL334" s="15" t="str">
        <f t="shared" si="22"/>
        <v>Electropolished SS 316L tube stock for Bilaspur-HP - Sakshi Forge</v>
      </c>
      <c r="AM334" s="15" t="str">
        <f t="shared" si="23"/>
        <v>Home &gt; Market Area &gt; India &gt; Himachal Pradesh &gt; Bilaspur-HP</v>
      </c>
      <c r="AN334" s="15">
        <f t="shared" si="24"/>
        <v>1000</v>
      </c>
      <c r="AO334" s="15">
        <f t="shared" si="25"/>
        <v>8</v>
      </c>
      <c r="AP334" s="15">
        <f t="shared" si="26"/>
        <v>8</v>
      </c>
      <c r="AQ334" s="15">
        <f t="shared" si="27"/>
        <v>6</v>
      </c>
      <c r="AR334" s="31"/>
      <c r="AS334" s="31"/>
      <c r="AT334" s="35" t="s">
        <v>222</v>
      </c>
      <c r="AU334" s="35"/>
    </row>
    <row r="335" ht="15.75" customHeight="1">
      <c r="A335" s="15" t="s">
        <v>2460</v>
      </c>
      <c r="B335" s="15" t="s">
        <v>60</v>
      </c>
      <c r="C335" s="15" t="s">
        <v>1155</v>
      </c>
      <c r="D335" s="15" t="s">
        <v>2464</v>
      </c>
      <c r="E335" s="15" t="s">
        <v>2464</v>
      </c>
      <c r="F335" s="65" t="s">
        <v>788</v>
      </c>
      <c r="G335" s="66" t="s">
        <v>98</v>
      </c>
      <c r="H335" s="18" t="s">
        <v>2469</v>
      </c>
      <c r="I335" s="18" t="s">
        <v>8412</v>
      </c>
      <c r="J335" s="18" t="s">
        <v>98</v>
      </c>
      <c r="K335" s="18" t="s">
        <v>98</v>
      </c>
      <c r="L335" s="18" t="s">
        <v>98</v>
      </c>
      <c r="M335" s="18" t="s">
        <v>98</v>
      </c>
      <c r="N335" s="18" t="s">
        <v>98</v>
      </c>
      <c r="O335" s="18" t="s">
        <v>98</v>
      </c>
      <c r="P335" s="15" t="str">
        <f t="shared" si="1"/>
        <v>VERIFY</v>
      </c>
      <c r="Q335" s="15">
        <f t="shared" si="2"/>
        <v>4</v>
      </c>
      <c r="R335" s="15">
        <f t="shared" si="3"/>
        <v>3</v>
      </c>
      <c r="S335" s="15">
        <f t="shared" si="4"/>
        <v>2</v>
      </c>
      <c r="T335" s="15" t="str">
        <f t="shared" si="5"/>
        <v>B-2</v>
      </c>
      <c r="U335" s="15" t="str">
        <f t="shared" si="6"/>
        <v>T4-M3-H2-FB-2-VERIFY</v>
      </c>
      <c r="V335" s="15">
        <f t="shared" si="7"/>
        <v>0</v>
      </c>
      <c r="W335" s="31"/>
      <c r="X335" s="15" t="str">
        <f t="shared" si="8"/>
        <v>bongaigaon</v>
      </c>
      <c r="Y335" s="32" t="str">
        <f t="shared" si="9"/>
        <v>https://steelmanufacturer.in/market-area/electropolished-pipes-manufacturer-in-bongaigaon/</v>
      </c>
      <c r="Z335" s="15" t="str">
        <f t="shared" si="10"/>
        <v>Electropolished Pipes Manufacturer in Bongaigaon</v>
      </c>
      <c r="AA335" s="15" t="str">
        <f t="shared" si="11"/>
        <v>OK (48)</v>
      </c>
      <c r="AB335" s="15" t="str">
        <f t="shared" si="12"/>
        <v>EP stainless tube for VERIFY lines in Bongaigaon. VERIFY. ASTM A270 S2, PMI tested, EN 10204 3.1.</v>
      </c>
      <c r="AC335" s="15" t="str">
        <f t="shared" si="13"/>
        <v>PENDING RESEARCH</v>
      </c>
      <c r="AD335" s="15" t="str">
        <f t="shared" si="14"/>
        <v>Electropolished Pipes Manufacturer in Bongaigaon</v>
      </c>
      <c r="AE335" s="15" t="str">
        <f t="shared" si="15"/>
        <v>How We Manufacture Electropolished Tube for Bongaigaon Plants</v>
      </c>
      <c r="AF335" s="15" t="str">
        <f t="shared" si="16"/>
        <v>Supplying Electropolished Pipes in Bongaigaon: Availability, Sizes &amp; Dispatch</v>
      </c>
      <c r="AG335" s="15" t="str">
        <f t="shared" si="17"/>
        <v>Wholesale Electropolished Pipe Supply for Bongaigaon Projects</v>
      </c>
      <c r="AH335" s="15" t="str">
        <f t="shared" si="18"/>
        <v>electropolished pipes manufacturer in Bongaigaon, electropolished pipes supplier in Bongaigaon, electropolished pipes wholesaler in Bongaigaon, electropolished tube manufacturer Bongaigaon, EP pipe supplier Bongaigaon, sanitary tube supplier Bongaigaon, ASME BPE tubing Bongaigaon, ASTM A270 tube Bongaigaon, SS 316L electropolished pipe Bongaigaon</v>
      </c>
      <c r="AI335" s="15" t="str">
        <f t="shared" si="19"/>
        <v>Electropolished Pipes Manufacturer &amp; Supplier in Bongaigaon</v>
      </c>
      <c r="AJ335" s="15" t="str">
        <f t="shared" si="20"/>
        <v>EP-finished SS 304/316L pipes and tubes for VERIFY plants in Bongaigaon. ASME BPE SF1-SF4, Ra from 0.25 um, EN 10204 3.1 certificate with every lot.</v>
      </c>
      <c r="AK335" s="15" t="str">
        <f t="shared" si="21"/>
        <v>Electropolished stainless steel pipes supplied by Sakshi Forge to VERIFY plants at AIDC Industrial Area, Bongaigaon</v>
      </c>
      <c r="AL335" s="15" t="str">
        <f t="shared" si="22"/>
        <v>Electropolished SS 316L tube stock for Bongaigaon - Sakshi Forge</v>
      </c>
      <c r="AM335" s="15" t="str">
        <f t="shared" si="23"/>
        <v>Home &gt; Market Area &gt; India &gt; Assam &gt; Bongaigaon</v>
      </c>
      <c r="AN335" s="15">
        <f t="shared" si="24"/>
        <v>1000</v>
      </c>
      <c r="AO335" s="15">
        <f t="shared" si="25"/>
        <v>8</v>
      </c>
      <c r="AP335" s="15">
        <f t="shared" si="26"/>
        <v>8</v>
      </c>
      <c r="AQ335" s="15">
        <f t="shared" si="27"/>
        <v>6</v>
      </c>
      <c r="AR335" s="31"/>
      <c r="AS335" s="31"/>
      <c r="AT335" s="35" t="s">
        <v>222</v>
      </c>
      <c r="AU335" s="35"/>
    </row>
    <row r="336" ht="15.75" customHeight="1">
      <c r="A336" s="15" t="s">
        <v>2472</v>
      </c>
      <c r="B336" s="15" t="s">
        <v>60</v>
      </c>
      <c r="C336" s="15" t="s">
        <v>224</v>
      </c>
      <c r="D336" s="15" t="s">
        <v>2474</v>
      </c>
      <c r="E336" s="15" t="s">
        <v>2474</v>
      </c>
      <c r="F336" s="65" t="s">
        <v>788</v>
      </c>
      <c r="G336" s="66" t="s">
        <v>98</v>
      </c>
      <c r="H336" s="18" t="s">
        <v>2480</v>
      </c>
      <c r="I336" s="18" t="s">
        <v>8400</v>
      </c>
      <c r="J336" s="18" t="s">
        <v>98</v>
      </c>
      <c r="K336" s="18" t="s">
        <v>98</v>
      </c>
      <c r="L336" s="18" t="s">
        <v>98</v>
      </c>
      <c r="M336" s="18" t="s">
        <v>98</v>
      </c>
      <c r="N336" s="18" t="s">
        <v>98</v>
      </c>
      <c r="O336" s="18" t="s">
        <v>98</v>
      </c>
      <c r="P336" s="15" t="str">
        <f t="shared" si="1"/>
        <v>VERIFY</v>
      </c>
      <c r="Q336" s="15">
        <f t="shared" si="2"/>
        <v>5</v>
      </c>
      <c r="R336" s="15">
        <f t="shared" si="3"/>
        <v>4</v>
      </c>
      <c r="S336" s="15">
        <f t="shared" si="4"/>
        <v>3</v>
      </c>
      <c r="T336" s="15" t="str">
        <f t="shared" si="5"/>
        <v>B-3</v>
      </c>
      <c r="U336" s="15" t="str">
        <f t="shared" si="6"/>
        <v>T5-M4-H3-FB-3-VERIFY</v>
      </c>
      <c r="V336" s="15">
        <f t="shared" si="7"/>
        <v>0</v>
      </c>
      <c r="W336" s="31"/>
      <c r="X336" s="15" t="str">
        <f t="shared" si="8"/>
        <v>botad</v>
      </c>
      <c r="Y336" s="32" t="str">
        <f t="shared" si="9"/>
        <v>https://steelmanufacturer.in/market-area/electropolished-pipes-manufacturer-in-botad/</v>
      </c>
      <c r="Z336" s="15" t="str">
        <f t="shared" si="10"/>
        <v>Electropolished Pipes Manufacturer in Botad</v>
      </c>
      <c r="AA336" s="15" t="str">
        <f t="shared" si="11"/>
        <v>OK (43)</v>
      </c>
      <c r="AB336" s="15" t="str">
        <f t="shared" si="12"/>
        <v>Sanitary electropolished pipes in Botad for VERIFY plants. ASME BPE SF1-SF4, orbital-weld ready, 3.1 MTC. Mumbai-made.</v>
      </c>
      <c r="AC336" s="15" t="str">
        <f t="shared" si="13"/>
        <v>PENDING RESEARCH</v>
      </c>
      <c r="AD336" s="15" t="str">
        <f t="shared" si="14"/>
        <v>Electropolished Pipes Manufacturer in Botad</v>
      </c>
      <c r="AE336" s="15" t="str">
        <f t="shared" si="15"/>
        <v>Electropolished Pipes Manufacturer in Botad - Our Process &amp; Capability</v>
      </c>
      <c r="AF336" s="15" t="str">
        <f t="shared" si="16"/>
        <v>Electropolished Pipes Supplier in Botad - What We Hold in Stock</v>
      </c>
      <c r="AG336" s="15" t="str">
        <f t="shared" si="17"/>
        <v>Bulk &amp; Wholesale Electropolished Pipe Rates for Botad Buyers</v>
      </c>
      <c r="AH336" s="15" t="str">
        <f t="shared" si="18"/>
        <v>electropolished pipes manufacturer in Botad, electropolished pipes supplier in Botad, electropolished pipes wholesaler in Botad, electropolished tube manufacturer Botad, EP pipe supplier Botad, sanitary tube supplier Botad, ASME BPE tubing Botad, ASTM A270 tube Botad, SS 316L electropolished pipe Botad</v>
      </c>
      <c r="AI336" s="15" t="str">
        <f t="shared" si="19"/>
        <v>Electropolished Pipes Manufacturer &amp; Supplier in Botad</v>
      </c>
      <c r="AJ336" s="15" t="str">
        <f t="shared" si="20"/>
        <v>EP-finished SS 304/316L pipes and tubes for VERIFY plants in Botad. ASME BPE SF1-SF4, Ra from 0.25 um, EN 10204 3.1 certificate with every lot.</v>
      </c>
      <c r="AK336" s="15" t="str">
        <f t="shared" si="21"/>
        <v>Electropolished stainless steel pipes supplied by Sakshi Forge to VERIFY plants at GIDC Industrial Area, Botad</v>
      </c>
      <c r="AL336" s="15" t="str">
        <f t="shared" si="22"/>
        <v>Electropolished SS 316L tube stock for Botad - Sakshi Forge</v>
      </c>
      <c r="AM336" s="15" t="str">
        <f t="shared" si="23"/>
        <v>Home &gt; Market Area &gt; India &gt; Gujarat &gt; Botad</v>
      </c>
      <c r="AN336" s="15">
        <f t="shared" si="24"/>
        <v>1000</v>
      </c>
      <c r="AO336" s="15">
        <f t="shared" si="25"/>
        <v>8</v>
      </c>
      <c r="AP336" s="15">
        <f t="shared" si="26"/>
        <v>8</v>
      </c>
      <c r="AQ336" s="15">
        <f t="shared" si="27"/>
        <v>6</v>
      </c>
      <c r="AR336" s="31"/>
      <c r="AS336" s="31"/>
      <c r="AT336" s="35" t="s">
        <v>222</v>
      </c>
      <c r="AU336" s="35"/>
    </row>
    <row r="337" ht="15.75" customHeight="1">
      <c r="A337" s="15" t="s">
        <v>2491</v>
      </c>
      <c r="B337" s="15" t="s">
        <v>60</v>
      </c>
      <c r="C337" s="15" t="s">
        <v>1165</v>
      </c>
      <c r="D337" s="15" t="s">
        <v>2493</v>
      </c>
      <c r="E337" s="15" t="s">
        <v>2493</v>
      </c>
      <c r="F337" s="65" t="s">
        <v>788</v>
      </c>
      <c r="G337" s="66" t="s">
        <v>98</v>
      </c>
      <c r="H337" s="18" t="s">
        <v>2498</v>
      </c>
      <c r="I337" s="18" t="s">
        <v>8404</v>
      </c>
      <c r="J337" s="18" t="s">
        <v>98</v>
      </c>
      <c r="K337" s="18" t="s">
        <v>98</v>
      </c>
      <c r="L337" s="18" t="s">
        <v>98</v>
      </c>
      <c r="M337" s="18" t="s">
        <v>98</v>
      </c>
      <c r="N337" s="18" t="s">
        <v>98</v>
      </c>
      <c r="O337" s="18" t="s">
        <v>98</v>
      </c>
      <c r="P337" s="15" t="str">
        <f t="shared" si="1"/>
        <v>VERIFY</v>
      </c>
      <c r="Q337" s="15">
        <f t="shared" si="2"/>
        <v>6</v>
      </c>
      <c r="R337" s="15">
        <f t="shared" si="3"/>
        <v>5</v>
      </c>
      <c r="S337" s="15">
        <f t="shared" si="4"/>
        <v>4</v>
      </c>
      <c r="T337" s="15" t="str">
        <f t="shared" si="5"/>
        <v>B-4</v>
      </c>
      <c r="U337" s="15" t="str">
        <f t="shared" si="6"/>
        <v>T6-M5-H4-FB-4-VERIFY</v>
      </c>
      <c r="V337" s="15">
        <f t="shared" si="7"/>
        <v>0</v>
      </c>
      <c r="W337" s="31"/>
      <c r="X337" s="15" t="str">
        <f t="shared" si="8"/>
        <v>budge-budge</v>
      </c>
      <c r="Y337" s="32" t="str">
        <f t="shared" si="9"/>
        <v>https://steelmanufacturer.in/market-area/electropolished-pipes-manufacturer-in-budge-budge/</v>
      </c>
      <c r="Z337" s="15" t="str">
        <f t="shared" si="10"/>
        <v>Electropolished Pipes Manufacturer in Budge Budge</v>
      </c>
      <c r="AA337" s="15" t="str">
        <f t="shared" si="11"/>
        <v>OK (49)</v>
      </c>
      <c r="AB337" s="15" t="str">
        <f t="shared" si="12"/>
        <v>Manufacturer of electropolished SS 316L tube serving Budge Budge. VERIFY. Ra 0.25-0.5 um, EN 10204 3.1 MTC.</v>
      </c>
      <c r="AC337" s="15" t="str">
        <f t="shared" si="13"/>
        <v>PENDING RESEARCH</v>
      </c>
      <c r="AD337" s="15" t="str">
        <f t="shared" si="14"/>
        <v>Electropolished Pipes Manufacturer in Budge Budge</v>
      </c>
      <c r="AE337" s="15" t="str">
        <f t="shared" si="15"/>
        <v>Manufacturing Electropolished SS Tube for Budge Budge: The Standards We Build To</v>
      </c>
      <c r="AF337" s="15" t="str">
        <f t="shared" si="16"/>
        <v>Electropolished Pipe Supply Into Budge Budge - Certification &amp; Transit</v>
      </c>
      <c r="AG337" s="15" t="str">
        <f t="shared" si="17"/>
        <v>Electropolished Pipes Wholesaler in Budge Budge - Project Quantities &amp; Terms</v>
      </c>
      <c r="AH337" s="15" t="str">
        <f t="shared" si="18"/>
        <v>electropolished pipes manufacturer in Budge Budge, electropolished pipes supplier in Budge Budge, electropolished pipes wholesaler in Budge Budge, electropolished tube manufacturer Budge Budge, EP pipe supplier Budge Budge, sanitary tube supplier Budge Budge, ASME BPE tubing Budge Budge, ASTM A270 tube Budge Budge, SS 316L electropolished pipe Budge Budge</v>
      </c>
      <c r="AI337" s="15" t="str">
        <f t="shared" si="19"/>
        <v>Electropolished Pipes Manufacturer &amp; Supplier in Budge Budge</v>
      </c>
      <c r="AJ337" s="15" t="str">
        <f t="shared" si="20"/>
        <v>EP-finished SS 304/316L pipes and tubes for VERIFY plants in Budge Budge. ASME BPE SF1-SF4, Ra from 0.25 um, EN 10204 3.1 certificate with every lot.</v>
      </c>
      <c r="AK337" s="15" t="str">
        <f t="shared" si="21"/>
        <v>Electropolished stainless steel pipes supplied by Sakshi Forge to VERIFY plants at WBIDC Industrial Area, Budge Budge</v>
      </c>
      <c r="AL337" s="15" t="str">
        <f t="shared" si="22"/>
        <v>Electropolished SS 316L tube stock for Budge Budge - Sakshi Forge</v>
      </c>
      <c r="AM337" s="15" t="str">
        <f t="shared" si="23"/>
        <v>Home &gt; Market Area &gt; India &gt; West Bengal &gt; Budge Budge</v>
      </c>
      <c r="AN337" s="15">
        <f t="shared" si="24"/>
        <v>1000</v>
      </c>
      <c r="AO337" s="15">
        <f t="shared" si="25"/>
        <v>8</v>
      </c>
      <c r="AP337" s="15">
        <f t="shared" si="26"/>
        <v>8</v>
      </c>
      <c r="AQ337" s="15">
        <f t="shared" si="27"/>
        <v>6</v>
      </c>
      <c r="AR337" s="31"/>
      <c r="AS337" s="31"/>
      <c r="AT337" s="35" t="s">
        <v>222</v>
      </c>
      <c r="AU337" s="35"/>
    </row>
    <row r="338" ht="15.75" customHeight="1">
      <c r="A338" s="15" t="s">
        <v>2502</v>
      </c>
      <c r="B338" s="15" t="s">
        <v>60</v>
      </c>
      <c r="C338" s="15" t="s">
        <v>85</v>
      </c>
      <c r="D338" s="15" t="s">
        <v>2504</v>
      </c>
      <c r="E338" s="15" t="s">
        <v>2504</v>
      </c>
      <c r="F338" s="65" t="s">
        <v>788</v>
      </c>
      <c r="G338" s="66" t="s">
        <v>98</v>
      </c>
      <c r="H338" s="18" t="s">
        <v>2508</v>
      </c>
      <c r="I338" s="18" t="s">
        <v>8398</v>
      </c>
      <c r="J338" s="18" t="s">
        <v>98</v>
      </c>
      <c r="K338" s="18" t="s">
        <v>98</v>
      </c>
      <c r="L338" s="18" t="s">
        <v>98</v>
      </c>
      <c r="M338" s="18" t="s">
        <v>98</v>
      </c>
      <c r="N338" s="18" t="s">
        <v>98</v>
      </c>
      <c r="O338" s="18" t="s">
        <v>98</v>
      </c>
      <c r="P338" s="15" t="str">
        <f t="shared" si="1"/>
        <v>VERIFY</v>
      </c>
      <c r="Q338" s="15">
        <f t="shared" si="2"/>
        <v>7</v>
      </c>
      <c r="R338" s="15">
        <f t="shared" si="3"/>
        <v>6</v>
      </c>
      <c r="S338" s="15">
        <f t="shared" si="4"/>
        <v>5</v>
      </c>
      <c r="T338" s="15" t="str">
        <f t="shared" si="5"/>
        <v>B-5</v>
      </c>
      <c r="U338" s="15" t="str">
        <f t="shared" si="6"/>
        <v>T7-M6-H5-FB-5-VERIFY</v>
      </c>
      <c r="V338" s="15">
        <f t="shared" si="7"/>
        <v>0</v>
      </c>
      <c r="W338" s="31"/>
      <c r="X338" s="15" t="str">
        <f t="shared" si="8"/>
        <v>bulandshahr</v>
      </c>
      <c r="Y338" s="32" t="str">
        <f t="shared" si="9"/>
        <v>https://steelmanufacturer.in/market-area/electropolished-pipes-manufacturer-in-bulandshahr/</v>
      </c>
      <c r="Z338" s="15" t="str">
        <f t="shared" si="10"/>
        <v>Electropolished Pipes Manufacturer in Bulandshahr</v>
      </c>
      <c r="AA338" s="15" t="str">
        <f t="shared" si="11"/>
        <v>OK (49)</v>
      </c>
      <c r="AB338" s="15" t="str">
        <f t="shared" si="12"/>
        <v>EP tube and pipe for VERIFY plants around UPSIDA Industrial Area, Bulandshahr. Made at our Mumbai works to ASTM A270 and ASME BPE SF1-SF4, with 3.1 MTC.</v>
      </c>
      <c r="AC338" s="15" t="str">
        <f t="shared" si="13"/>
        <v>PENDING RESEARCH</v>
      </c>
      <c r="AD338" s="15" t="str">
        <f t="shared" si="14"/>
        <v>Electropolished Pipes Manufacturer in Bulandshahr</v>
      </c>
      <c r="AE338" s="15" t="str">
        <f t="shared" si="15"/>
        <v>Electropolished Tube Manufacturing Capability Serving Bulandshahr</v>
      </c>
      <c r="AF338" s="15" t="str">
        <f t="shared" si="16"/>
        <v>Electropolished Pipes Supplier in Bulandshahr - From Order to Delivery</v>
      </c>
      <c r="AG338" s="15" t="str">
        <f t="shared" si="17"/>
        <v>Stockist &amp; Wholesale Supply of Electropolished Pipes in Bulandshahr</v>
      </c>
      <c r="AH338" s="15" t="str">
        <f t="shared" si="18"/>
        <v>electropolished pipes manufacturer in Bulandshahr, electropolished pipes supplier in Bulandshahr, electropolished pipes wholesaler in Bulandshahr, electropolished tube manufacturer Bulandshahr, EP pipe supplier Bulandshahr, sanitary tube supplier Bulandshahr, ASME BPE tubing Bulandshahr, ASTM A270 tube Bulandshahr, SS 316L electropolished pipe Bulandshahr</v>
      </c>
      <c r="AI338" s="15" t="str">
        <f t="shared" si="19"/>
        <v>Electropolished Pipes Manufacturer &amp; Supplier in Bulandshahr</v>
      </c>
      <c r="AJ338" s="15" t="str">
        <f t="shared" si="20"/>
        <v>EP-finished SS 304/316L pipes and tubes for VERIFY plants in Bulandshahr. ASME BPE SF1-SF4, Ra from 0.25 um, EN 10204 3.1 certificate with every lot.</v>
      </c>
      <c r="AK338" s="15" t="str">
        <f t="shared" si="21"/>
        <v>Electropolished stainless steel pipes supplied by Sakshi Forge to VERIFY plants at UPSIDA Industrial Area, Bulandshahr</v>
      </c>
      <c r="AL338" s="15" t="str">
        <f t="shared" si="22"/>
        <v>Electropolished SS 316L tube stock for Bulandshahr - Sakshi Forge</v>
      </c>
      <c r="AM338" s="15" t="str">
        <f t="shared" si="23"/>
        <v>Home &gt; Market Area &gt; India &gt; Uttar Pradesh &gt; Bulandshahr</v>
      </c>
      <c r="AN338" s="15">
        <f t="shared" si="24"/>
        <v>1000</v>
      </c>
      <c r="AO338" s="15">
        <f t="shared" si="25"/>
        <v>8</v>
      </c>
      <c r="AP338" s="15">
        <f t="shared" si="26"/>
        <v>8</v>
      </c>
      <c r="AQ338" s="15">
        <f t="shared" si="27"/>
        <v>6</v>
      </c>
      <c r="AR338" s="31"/>
      <c r="AS338" s="31"/>
      <c r="AT338" s="35" t="s">
        <v>222</v>
      </c>
      <c r="AU338" s="35"/>
    </row>
    <row r="339" ht="15.75" customHeight="1">
      <c r="A339" s="15" t="s">
        <v>2512</v>
      </c>
      <c r="B339" s="15" t="s">
        <v>60</v>
      </c>
      <c r="C339" s="15" t="s">
        <v>264</v>
      </c>
      <c r="D339" s="15" t="s">
        <v>2513</v>
      </c>
      <c r="E339" s="15" t="s">
        <v>2513</v>
      </c>
      <c r="F339" s="65" t="s">
        <v>788</v>
      </c>
      <c r="G339" s="66" t="s">
        <v>98</v>
      </c>
      <c r="H339" s="18" t="s">
        <v>2518</v>
      </c>
      <c r="I339" s="18" t="s">
        <v>8395</v>
      </c>
      <c r="J339" s="18" t="s">
        <v>98</v>
      </c>
      <c r="K339" s="18" t="s">
        <v>98</v>
      </c>
      <c r="L339" s="18" t="s">
        <v>98</v>
      </c>
      <c r="M339" s="18" t="s">
        <v>98</v>
      </c>
      <c r="N339" s="18" t="s">
        <v>98</v>
      </c>
      <c r="O339" s="18" t="s">
        <v>98</v>
      </c>
      <c r="P339" s="15" t="str">
        <f t="shared" si="1"/>
        <v>VERIFY</v>
      </c>
      <c r="Q339" s="15">
        <f t="shared" si="2"/>
        <v>8</v>
      </c>
      <c r="R339" s="15">
        <f t="shared" si="3"/>
        <v>7</v>
      </c>
      <c r="S339" s="15">
        <f t="shared" si="4"/>
        <v>1</v>
      </c>
      <c r="T339" s="15" t="str">
        <f t="shared" si="5"/>
        <v>B-6</v>
      </c>
      <c r="U339" s="15" t="str">
        <f t="shared" si="6"/>
        <v>T8-M7-H1-FB-6-VERIFY</v>
      </c>
      <c r="V339" s="15">
        <f t="shared" si="7"/>
        <v>0</v>
      </c>
      <c r="W339" s="31"/>
      <c r="X339" s="15" t="str">
        <f t="shared" si="8"/>
        <v>buldhana</v>
      </c>
      <c r="Y339" s="32" t="str">
        <f t="shared" si="9"/>
        <v>https://steelmanufacturer.in/market-area/electropolished-pipes-manufacturer-in-buldhana/</v>
      </c>
      <c r="Z339" s="15" t="str">
        <f t="shared" si="10"/>
        <v>Electropolished Pipes Manufacturer in Buldhana - EP Tube Stockist</v>
      </c>
      <c r="AA339" s="15" t="str">
        <f t="shared" si="11"/>
        <v>OK (65)</v>
      </c>
      <c r="AB339" s="15" t="str">
        <f t="shared" si="12"/>
        <v>Electropolished pipes in Buldhana: 304, 304L, 316 and 316L in SF1-SF4. VERIFY. Mill certified.</v>
      </c>
      <c r="AC339" s="15" t="str">
        <f t="shared" si="13"/>
        <v>PENDING RESEARCH</v>
      </c>
      <c r="AD339" s="15" t="str">
        <f t="shared" si="14"/>
        <v>Electropolished Pipes Manufacturer in Buldhana</v>
      </c>
      <c r="AE339" s="15" t="str">
        <f t="shared" si="15"/>
        <v>Electropolished Pipe &amp; Tube Manufacturing for Buldhana - Grades, Finishes &amp; Certification</v>
      </c>
      <c r="AF339" s="15" t="str">
        <f t="shared" si="16"/>
        <v>Electropolished Pipes Supplier in Buldhana - Stock Sizes, Lead Time &amp; Delivery</v>
      </c>
      <c r="AG339" s="15" t="str">
        <f t="shared" si="17"/>
        <v>Electropolished Pipes Wholesaler &amp; Stockist in Buldhana - Bulk &amp; Project Pricing</v>
      </c>
      <c r="AH339" s="15" t="str">
        <f t="shared" si="18"/>
        <v>electropolished pipes manufacturer in Buldhana, electropolished pipes supplier in Buldhana, electropolished pipes wholesaler in Buldhana, electropolished tube manufacturer Buldhana, EP pipe supplier Buldhana, sanitary tube supplier Buldhana, ASME BPE tubing Buldhana, ASTM A270 tube Buldhana, SS 316L electropolished pipe Buldhana</v>
      </c>
      <c r="AI339" s="15" t="str">
        <f t="shared" si="19"/>
        <v>Electropolished Pipes Manufacturer &amp; Supplier in Buldhana</v>
      </c>
      <c r="AJ339" s="15" t="str">
        <f t="shared" si="20"/>
        <v>EP-finished SS 304/316L pipes and tubes for VERIFY plants in Buldhana. ASME BPE SF1-SF4, Ra from 0.25 um, EN 10204 3.1 certificate with every lot.</v>
      </c>
      <c r="AK339" s="15" t="str">
        <f t="shared" si="21"/>
        <v>Electropolished stainless steel pipes supplied by Sakshi Forge to VERIFY plants at MIDC Industrial Area, Buldhana</v>
      </c>
      <c r="AL339" s="15" t="str">
        <f t="shared" si="22"/>
        <v>Electropolished SS 316L tube stock for Buldhana - Sakshi Forge</v>
      </c>
      <c r="AM339" s="15" t="str">
        <f t="shared" si="23"/>
        <v>Home &gt; Market Area &gt; India &gt; Maharashtra &gt; Buldhana</v>
      </c>
      <c r="AN339" s="15">
        <f t="shared" si="24"/>
        <v>1000</v>
      </c>
      <c r="AO339" s="15">
        <f t="shared" si="25"/>
        <v>8</v>
      </c>
      <c r="AP339" s="15">
        <f t="shared" si="26"/>
        <v>8</v>
      </c>
      <c r="AQ339" s="15">
        <f t="shared" si="27"/>
        <v>6</v>
      </c>
      <c r="AR339" s="31"/>
      <c r="AS339" s="31"/>
      <c r="AT339" s="35" t="s">
        <v>222</v>
      </c>
      <c r="AU339" s="35"/>
    </row>
    <row r="340" ht="15.75" customHeight="1">
      <c r="A340" s="15" t="s">
        <v>2522</v>
      </c>
      <c r="B340" s="15" t="s">
        <v>60</v>
      </c>
      <c r="C340" s="15" t="s">
        <v>236</v>
      </c>
      <c r="D340" s="15" t="s">
        <v>2524</v>
      </c>
      <c r="E340" s="15" t="s">
        <v>2524</v>
      </c>
      <c r="F340" s="65" t="s">
        <v>788</v>
      </c>
      <c r="G340" s="66" t="s">
        <v>98</v>
      </c>
      <c r="H340" s="18" t="s">
        <v>2528</v>
      </c>
      <c r="I340" s="18" t="s">
        <v>8391</v>
      </c>
      <c r="J340" s="18" t="s">
        <v>98</v>
      </c>
      <c r="K340" s="18" t="s">
        <v>98</v>
      </c>
      <c r="L340" s="18" t="s">
        <v>98</v>
      </c>
      <c r="M340" s="18" t="s">
        <v>98</v>
      </c>
      <c r="N340" s="18" t="s">
        <v>98</v>
      </c>
      <c r="O340" s="18" t="s">
        <v>98</v>
      </c>
      <c r="P340" s="15" t="str">
        <f t="shared" si="1"/>
        <v>VERIFY</v>
      </c>
      <c r="Q340" s="15">
        <f t="shared" si="2"/>
        <v>1</v>
      </c>
      <c r="R340" s="15">
        <f t="shared" si="3"/>
        <v>1</v>
      </c>
      <c r="S340" s="15">
        <f t="shared" si="4"/>
        <v>2</v>
      </c>
      <c r="T340" s="15" t="str">
        <f t="shared" si="5"/>
        <v>B-1</v>
      </c>
      <c r="U340" s="15" t="str">
        <f t="shared" si="6"/>
        <v>T1-M1-H2-FB-1-VERIFY</v>
      </c>
      <c r="V340" s="15">
        <f t="shared" si="7"/>
        <v>0</v>
      </c>
      <c r="W340" s="31"/>
      <c r="X340" s="15" t="str">
        <f t="shared" si="8"/>
        <v>bundi</v>
      </c>
      <c r="Y340" s="32" t="str">
        <f t="shared" si="9"/>
        <v>https://steelmanufacturer.in/market-area/electropolished-pipes-manufacturer-in-bundi/</v>
      </c>
      <c r="Z340" s="15" t="str">
        <f t="shared" si="10"/>
        <v>Electropolished Pipes Manufacturer in Bundi | Sakshi Forge</v>
      </c>
      <c r="AA340" s="15" t="str">
        <f t="shared" si="11"/>
        <v>OK (58)</v>
      </c>
      <c r="AB340" s="15" t="str">
        <f t="shared" si="12"/>
        <v>EP-finished SS 304/316L pipes &amp; tubes for VERIFY plants in Bundi. ASTM A270, ASME BPE SF1-SF4, EN 10204 3.1 MTC. PMI tested.</v>
      </c>
      <c r="AC340" s="15" t="str">
        <f t="shared" si="13"/>
        <v>PENDING RESEARCH</v>
      </c>
      <c r="AD340" s="15" t="str">
        <f t="shared" si="14"/>
        <v>Electropolished Pipes Manufacturer in Bundi</v>
      </c>
      <c r="AE340" s="15" t="str">
        <f t="shared" si="15"/>
        <v>How We Manufacture Electropolished Tube for Bundi Plants</v>
      </c>
      <c r="AF340" s="15" t="str">
        <f t="shared" si="16"/>
        <v>Supplying Electropolished Pipes in Bundi: Availability, Sizes &amp; Dispatch</v>
      </c>
      <c r="AG340" s="15" t="str">
        <f t="shared" si="17"/>
        <v>Wholesale Electropolished Pipe Supply for Bundi Projects</v>
      </c>
      <c r="AH340" s="15" t="str">
        <f t="shared" si="18"/>
        <v>electropolished pipes manufacturer in Bundi, electropolished pipes supplier in Bundi, electropolished pipes wholesaler in Bundi, electropolished tube manufacturer Bundi, EP pipe supplier Bundi, sanitary tube supplier Bundi, ASME BPE tubing Bundi, ASTM A270 tube Bundi, SS 316L electropolished pipe Bundi</v>
      </c>
      <c r="AI340" s="15" t="str">
        <f t="shared" si="19"/>
        <v>Electropolished Pipes Manufacturer &amp; Supplier in Bundi</v>
      </c>
      <c r="AJ340" s="15" t="str">
        <f t="shared" si="20"/>
        <v>EP-finished SS 304/316L pipes and tubes for VERIFY plants in Bundi. ASME BPE SF1-SF4, Ra from 0.25 um, EN 10204 3.1 certificate with every lot.</v>
      </c>
      <c r="AK340" s="15" t="str">
        <f t="shared" si="21"/>
        <v>Electropolished stainless steel pipes supplied by Sakshi Forge to VERIFY plants at RIICO Industrial Area, Bundi</v>
      </c>
      <c r="AL340" s="15" t="str">
        <f t="shared" si="22"/>
        <v>Electropolished SS 316L tube stock for Bundi - Sakshi Forge</v>
      </c>
      <c r="AM340" s="15" t="str">
        <f t="shared" si="23"/>
        <v>Home &gt; Market Area &gt; India &gt; Rajasthan &gt; Bundi</v>
      </c>
      <c r="AN340" s="15">
        <f t="shared" si="24"/>
        <v>1000</v>
      </c>
      <c r="AO340" s="15">
        <f t="shared" si="25"/>
        <v>8</v>
      </c>
      <c r="AP340" s="15">
        <f t="shared" si="26"/>
        <v>8</v>
      </c>
      <c r="AQ340" s="15">
        <f t="shared" si="27"/>
        <v>6</v>
      </c>
      <c r="AR340" s="31"/>
      <c r="AS340" s="31"/>
      <c r="AT340" s="35" t="s">
        <v>222</v>
      </c>
      <c r="AU340" s="35"/>
    </row>
    <row r="341" ht="15.75" customHeight="1">
      <c r="A341" s="15" t="s">
        <v>2530</v>
      </c>
      <c r="B341" s="15" t="s">
        <v>60</v>
      </c>
      <c r="C341" s="15" t="s">
        <v>842</v>
      </c>
      <c r="D341" s="15" t="s">
        <v>2531</v>
      </c>
      <c r="E341" s="15" t="s">
        <v>2531</v>
      </c>
      <c r="F341" s="65" t="s">
        <v>788</v>
      </c>
      <c r="G341" s="66" t="s">
        <v>98</v>
      </c>
      <c r="H341" s="18" t="s">
        <v>2535</v>
      </c>
      <c r="I341" s="18" t="s">
        <v>8413</v>
      </c>
      <c r="J341" s="18" t="s">
        <v>98</v>
      </c>
      <c r="K341" s="18" t="s">
        <v>98</v>
      </c>
      <c r="L341" s="18" t="s">
        <v>98</v>
      </c>
      <c r="M341" s="18" t="s">
        <v>98</v>
      </c>
      <c r="N341" s="18" t="s">
        <v>98</v>
      </c>
      <c r="O341" s="18" t="s">
        <v>98</v>
      </c>
      <c r="P341" s="15" t="str">
        <f t="shared" si="1"/>
        <v>VERIFY</v>
      </c>
      <c r="Q341" s="15">
        <f t="shared" si="2"/>
        <v>2</v>
      </c>
      <c r="R341" s="15">
        <f t="shared" si="3"/>
        <v>2</v>
      </c>
      <c r="S341" s="15">
        <f t="shared" si="4"/>
        <v>3</v>
      </c>
      <c r="T341" s="15" t="str">
        <f t="shared" si="5"/>
        <v>B-2</v>
      </c>
      <c r="U341" s="15" t="str">
        <f t="shared" si="6"/>
        <v>T2-M2-H3-FB-2-VERIFY</v>
      </c>
      <c r="V341" s="15">
        <f t="shared" si="7"/>
        <v>0</v>
      </c>
      <c r="W341" s="31"/>
      <c r="X341" s="15" t="str">
        <f t="shared" si="8"/>
        <v>burhanpur</v>
      </c>
      <c r="Y341" s="32" t="str">
        <f t="shared" si="9"/>
        <v>https://steelmanufacturer.in/market-area/electropolished-pipes-manufacturer-in-burhanpur/</v>
      </c>
      <c r="Z341" s="15" t="str">
        <f t="shared" si="10"/>
        <v>Electropolished Pipes Manufacturer in Burhanpur</v>
      </c>
      <c r="AA341" s="15" t="str">
        <f t="shared" si="11"/>
        <v>OK (47)</v>
      </c>
      <c r="AB341" s="15" t="str">
        <f t="shared" si="12"/>
        <v>Electropolished tube supply to MPIDC Industrial Area, Burhanpur. Ra from 0.25 um, SF4 finish, mill test certificate with every lot.</v>
      </c>
      <c r="AC341" s="15" t="str">
        <f t="shared" si="13"/>
        <v>PENDING RESEARCH</v>
      </c>
      <c r="AD341" s="15" t="str">
        <f t="shared" si="14"/>
        <v>Electropolished Pipes Manufacturer in Burhanpur</v>
      </c>
      <c r="AE341" s="15" t="str">
        <f t="shared" si="15"/>
        <v>Electropolished Pipes Manufacturer in Burhanpur - Our Process &amp; Capability</v>
      </c>
      <c r="AF341" s="15" t="str">
        <f t="shared" si="16"/>
        <v>Electropolished Pipes Supplier in Burhanpur - What We Hold in Stock</v>
      </c>
      <c r="AG341" s="15" t="str">
        <f t="shared" si="17"/>
        <v>Bulk &amp; Wholesale Electropolished Pipe Rates for Burhanpur Buyers</v>
      </c>
      <c r="AH341" s="15" t="str">
        <f t="shared" si="18"/>
        <v>electropolished pipes manufacturer in Burhanpur, electropolished pipes supplier in Burhanpur, electropolished pipes wholesaler in Burhanpur, electropolished tube manufacturer Burhanpur, EP pipe supplier Burhanpur, sanitary tube supplier Burhanpur, ASME BPE tubing Burhanpur, ASTM A270 tube Burhanpur, SS 316L electropolished pipe Burhanpur</v>
      </c>
      <c r="AI341" s="15" t="str">
        <f t="shared" si="19"/>
        <v>Electropolished Pipes Manufacturer &amp; Supplier in Burhanpur</v>
      </c>
      <c r="AJ341" s="15" t="str">
        <f t="shared" si="20"/>
        <v>EP-finished SS 304/316L pipes and tubes for VERIFY plants in Burhanpur. ASME BPE SF1-SF4, Ra from 0.25 um, EN 10204 3.1 certificate with every lot.</v>
      </c>
      <c r="AK341" s="15" t="str">
        <f t="shared" si="21"/>
        <v>Electropolished stainless steel pipes supplied by Sakshi Forge to VERIFY plants at MPIDC Industrial Area, Burhanpur</v>
      </c>
      <c r="AL341" s="15" t="str">
        <f t="shared" si="22"/>
        <v>Electropolished SS 316L tube stock for Burhanpur - Sakshi Forge</v>
      </c>
      <c r="AM341" s="15" t="str">
        <f t="shared" si="23"/>
        <v>Home &gt; Market Area &gt; India &gt; Madhya Pradesh &gt; Burhanpur</v>
      </c>
      <c r="AN341" s="15">
        <f t="shared" si="24"/>
        <v>1000</v>
      </c>
      <c r="AO341" s="15">
        <f t="shared" si="25"/>
        <v>8</v>
      </c>
      <c r="AP341" s="15">
        <f t="shared" si="26"/>
        <v>8</v>
      </c>
      <c r="AQ341" s="15">
        <f t="shared" si="27"/>
        <v>6</v>
      </c>
      <c r="AR341" s="31"/>
      <c r="AS341" s="31"/>
      <c r="AT341" s="35" t="s">
        <v>222</v>
      </c>
      <c r="AU341" s="35"/>
    </row>
    <row r="342" ht="15.75" customHeight="1">
      <c r="A342" s="15" t="s">
        <v>2540</v>
      </c>
      <c r="B342" s="15" t="s">
        <v>60</v>
      </c>
      <c r="C342" s="15" t="s">
        <v>2545</v>
      </c>
      <c r="D342" s="15" t="s">
        <v>2549</v>
      </c>
      <c r="E342" s="15" t="s">
        <v>2549</v>
      </c>
      <c r="F342" s="65" t="s">
        <v>788</v>
      </c>
      <c r="G342" s="66" t="s">
        <v>98</v>
      </c>
      <c r="H342" s="18" t="s">
        <v>2553</v>
      </c>
      <c r="I342" s="18" t="s">
        <v>8414</v>
      </c>
      <c r="J342" s="18" t="s">
        <v>98</v>
      </c>
      <c r="K342" s="18" t="s">
        <v>98</v>
      </c>
      <c r="L342" s="18" t="s">
        <v>98</v>
      </c>
      <c r="M342" s="18" t="s">
        <v>98</v>
      </c>
      <c r="N342" s="18" t="s">
        <v>98</v>
      </c>
      <c r="O342" s="18" t="s">
        <v>98</v>
      </c>
      <c r="P342" s="15" t="str">
        <f t="shared" si="1"/>
        <v>VERIFY</v>
      </c>
      <c r="Q342" s="15">
        <f t="shared" si="2"/>
        <v>3</v>
      </c>
      <c r="R342" s="15">
        <f t="shared" si="3"/>
        <v>3</v>
      </c>
      <c r="S342" s="15">
        <f t="shared" si="4"/>
        <v>4</v>
      </c>
      <c r="T342" s="15" t="str">
        <f t="shared" si="5"/>
        <v>B-3</v>
      </c>
      <c r="U342" s="15" t="str">
        <f t="shared" si="6"/>
        <v>T3-M3-H4-FB-3-VERIFY</v>
      </c>
      <c r="V342" s="15">
        <f t="shared" si="7"/>
        <v>0</v>
      </c>
      <c r="W342" s="31"/>
      <c r="X342" s="15" t="str">
        <f t="shared" si="8"/>
        <v>byrnihat</v>
      </c>
      <c r="Y342" s="32" t="str">
        <f t="shared" si="9"/>
        <v>https://steelmanufacturer.in/market-area/electropolished-pipes-manufacturer-in-byrnihat/</v>
      </c>
      <c r="Z342" s="15" t="str">
        <f t="shared" si="10"/>
        <v>Electropolished Pipes Manufacturer in Byrnihat | EP Tube Supplier</v>
      </c>
      <c r="AA342" s="15" t="str">
        <f t="shared" si="11"/>
        <v>OK (65)</v>
      </c>
      <c r="AB342" s="15" t="str">
        <f t="shared" si="12"/>
        <v>EP stainless tube for VERIFY lines in Byrnihat. VERIFY. ASTM A270 S2, PMI tested, EN 10204 3.1.</v>
      </c>
      <c r="AC342" s="15" t="str">
        <f t="shared" si="13"/>
        <v>PENDING RESEARCH</v>
      </c>
      <c r="AD342" s="15" t="str">
        <f t="shared" si="14"/>
        <v>Electropolished Pipes Manufacturer in Byrnihat</v>
      </c>
      <c r="AE342" s="15" t="str">
        <f t="shared" si="15"/>
        <v>Manufacturing Electropolished SS Tube for Byrnihat: The Standards We Build To</v>
      </c>
      <c r="AF342" s="15" t="str">
        <f t="shared" si="16"/>
        <v>Electropolished Pipe Supply Into Byrnihat - Certification &amp; Transit</v>
      </c>
      <c r="AG342" s="15" t="str">
        <f t="shared" si="17"/>
        <v>Electropolished Pipes Wholesaler in Byrnihat - Project Quantities &amp; Terms</v>
      </c>
      <c r="AH342" s="15" t="str">
        <f t="shared" si="18"/>
        <v>electropolished pipes manufacturer in Byrnihat, electropolished pipes supplier in Byrnihat, electropolished pipes wholesaler in Byrnihat, electropolished tube manufacturer Byrnihat, EP pipe supplier Byrnihat, sanitary tube supplier Byrnihat, ASME BPE tubing Byrnihat, ASTM A270 tube Byrnihat, SS 316L electropolished pipe Byrnihat</v>
      </c>
      <c r="AI342" s="15" t="str">
        <f t="shared" si="19"/>
        <v>Electropolished Pipes Manufacturer &amp; Supplier in Byrnihat</v>
      </c>
      <c r="AJ342" s="15" t="str">
        <f t="shared" si="20"/>
        <v>EP-finished SS 304/316L pipes and tubes for VERIFY plants in Byrnihat. ASME BPE SF1-SF4, Ra from 0.25 um, EN 10204 3.1 certificate with every lot.</v>
      </c>
      <c r="AK342" s="15" t="str">
        <f t="shared" si="21"/>
        <v>Electropolished stainless steel pipes supplied by Sakshi Forge to VERIFY plants at MIDC-Meg Industrial Area, Byrnihat</v>
      </c>
      <c r="AL342" s="15" t="str">
        <f t="shared" si="22"/>
        <v>Electropolished SS 316L tube stock for Byrnihat - Sakshi Forge</v>
      </c>
      <c r="AM342" s="15" t="str">
        <f t="shared" si="23"/>
        <v>Home &gt; Market Area &gt; India &gt; Meghalaya &gt; Byrnihat</v>
      </c>
      <c r="AN342" s="15">
        <f t="shared" si="24"/>
        <v>1000</v>
      </c>
      <c r="AO342" s="15">
        <f t="shared" si="25"/>
        <v>8</v>
      </c>
      <c r="AP342" s="15">
        <f t="shared" si="26"/>
        <v>8</v>
      </c>
      <c r="AQ342" s="15">
        <f t="shared" si="27"/>
        <v>6</v>
      </c>
      <c r="AR342" s="31"/>
      <c r="AS342" s="31"/>
      <c r="AT342" s="35" t="s">
        <v>222</v>
      </c>
      <c r="AU342" s="35"/>
    </row>
    <row r="343" ht="15.75" customHeight="1">
      <c r="A343" s="15" t="s">
        <v>2555</v>
      </c>
      <c r="B343" s="15" t="s">
        <v>60</v>
      </c>
      <c r="C343" s="15" t="s">
        <v>2391</v>
      </c>
      <c r="D343" s="15" t="s">
        <v>2558</v>
      </c>
      <c r="E343" s="15" t="s">
        <v>2558</v>
      </c>
      <c r="F343" s="65" t="s">
        <v>788</v>
      </c>
      <c r="G343" s="66" t="s">
        <v>98</v>
      </c>
      <c r="H343" s="18" t="s">
        <v>2562</v>
      </c>
      <c r="I343" s="18" t="s">
        <v>8400</v>
      </c>
      <c r="J343" s="18" t="s">
        <v>98</v>
      </c>
      <c r="K343" s="18" t="s">
        <v>98</v>
      </c>
      <c r="L343" s="18" t="s">
        <v>98</v>
      </c>
      <c r="M343" s="18" t="s">
        <v>98</v>
      </c>
      <c r="N343" s="18" t="s">
        <v>98</v>
      </c>
      <c r="O343" s="18" t="s">
        <v>98</v>
      </c>
      <c r="P343" s="15" t="str">
        <f t="shared" si="1"/>
        <v>VERIFY</v>
      </c>
      <c r="Q343" s="15">
        <f t="shared" si="2"/>
        <v>4</v>
      </c>
      <c r="R343" s="15">
        <f t="shared" si="3"/>
        <v>4</v>
      </c>
      <c r="S343" s="15">
        <f t="shared" si="4"/>
        <v>5</v>
      </c>
      <c r="T343" s="15" t="str">
        <f t="shared" si="5"/>
        <v>B-4</v>
      </c>
      <c r="U343" s="15" t="str">
        <f t="shared" si="6"/>
        <v>T4-M4-H5-FB-4-VERIFY</v>
      </c>
      <c r="V343" s="15">
        <f t="shared" si="7"/>
        <v>0</v>
      </c>
      <c r="W343" s="31"/>
      <c r="X343" s="15" t="str">
        <f t="shared" si="8"/>
        <v>canacona</v>
      </c>
      <c r="Y343" s="32" t="str">
        <f t="shared" si="9"/>
        <v>https://steelmanufacturer.in/market-area/electropolished-pipes-manufacturer-in-canacona/</v>
      </c>
      <c r="Z343" s="15" t="str">
        <f t="shared" si="10"/>
        <v>Electropolished Pipes Manufacturer in Canacona</v>
      </c>
      <c r="AA343" s="15" t="str">
        <f t="shared" si="11"/>
        <v>OK (46)</v>
      </c>
      <c r="AB343" s="15" t="str">
        <f t="shared" si="12"/>
        <v>Sanitary electropolished pipes in Canacona for VERIFY plants. ASME BPE SF1-SF4, orbital-weld ready, 3.1 MTC. Mumbai-made.</v>
      </c>
      <c r="AC343" s="15" t="str">
        <f t="shared" si="13"/>
        <v>PENDING RESEARCH</v>
      </c>
      <c r="AD343" s="15" t="str">
        <f t="shared" si="14"/>
        <v>Electropolished Pipes Manufacturer in Canacona</v>
      </c>
      <c r="AE343" s="15" t="str">
        <f t="shared" si="15"/>
        <v>Electropolished Tube Manufacturing Capability Serving Canacona</v>
      </c>
      <c r="AF343" s="15" t="str">
        <f t="shared" si="16"/>
        <v>Electropolished Pipes Supplier in Canacona - From Order to Delivery</v>
      </c>
      <c r="AG343" s="15" t="str">
        <f t="shared" si="17"/>
        <v>Stockist &amp; Wholesale Supply of Electropolished Pipes in Canacona</v>
      </c>
      <c r="AH343" s="15" t="str">
        <f t="shared" si="18"/>
        <v>electropolished pipes manufacturer in Canacona, electropolished pipes supplier in Canacona, electropolished pipes wholesaler in Canacona, electropolished tube manufacturer Canacona, EP pipe supplier Canacona, sanitary tube supplier Canacona, ASME BPE tubing Canacona, ASTM A270 tube Canacona, SS 316L electropolished pipe Canacona</v>
      </c>
      <c r="AI343" s="15" t="str">
        <f t="shared" si="19"/>
        <v>Electropolished Pipes Manufacturer &amp; Supplier in Canacona</v>
      </c>
      <c r="AJ343" s="15" t="str">
        <f t="shared" si="20"/>
        <v>EP-finished SS 304/316L pipes and tubes for VERIFY plants in Canacona. ASME BPE SF1-SF4, Ra from 0.25 um, EN 10204 3.1 certificate with every lot.</v>
      </c>
      <c r="AK343" s="15" t="str">
        <f t="shared" si="21"/>
        <v>Electropolished stainless steel pipes supplied by Sakshi Forge to VERIFY plants at GIDC Industrial Area, Canacona</v>
      </c>
      <c r="AL343" s="15" t="str">
        <f t="shared" si="22"/>
        <v>Electropolished SS 316L tube stock for Canacona - Sakshi Forge</v>
      </c>
      <c r="AM343" s="15" t="str">
        <f t="shared" si="23"/>
        <v>Home &gt; Market Area &gt; India &gt; Goa &gt; Canacona</v>
      </c>
      <c r="AN343" s="15">
        <f t="shared" si="24"/>
        <v>1000</v>
      </c>
      <c r="AO343" s="15">
        <f t="shared" si="25"/>
        <v>8</v>
      </c>
      <c r="AP343" s="15">
        <f t="shared" si="26"/>
        <v>8</v>
      </c>
      <c r="AQ343" s="15">
        <f t="shared" si="27"/>
        <v>6</v>
      </c>
      <c r="AR343" s="31"/>
      <c r="AS343" s="31"/>
      <c r="AT343" s="35" t="s">
        <v>222</v>
      </c>
      <c r="AU343" s="35"/>
    </row>
    <row r="344" ht="15.75" customHeight="1">
      <c r="A344" s="15" t="s">
        <v>2567</v>
      </c>
      <c r="B344" s="15" t="s">
        <v>60</v>
      </c>
      <c r="C344" s="15" t="s">
        <v>878</v>
      </c>
      <c r="D344" s="15" t="s">
        <v>2569</v>
      </c>
      <c r="E344" s="15" t="s">
        <v>2569</v>
      </c>
      <c r="F344" s="65" t="s">
        <v>788</v>
      </c>
      <c r="G344" s="66" t="s">
        <v>98</v>
      </c>
      <c r="H344" s="18" t="s">
        <v>2573</v>
      </c>
      <c r="I344" s="18" t="s">
        <v>8415</v>
      </c>
      <c r="J344" s="18" t="s">
        <v>98</v>
      </c>
      <c r="K344" s="18" t="s">
        <v>98</v>
      </c>
      <c r="L344" s="18" t="s">
        <v>98</v>
      </c>
      <c r="M344" s="18" t="s">
        <v>98</v>
      </c>
      <c r="N344" s="18" t="s">
        <v>98</v>
      </c>
      <c r="O344" s="18" t="s">
        <v>98</v>
      </c>
      <c r="P344" s="15" t="str">
        <f t="shared" si="1"/>
        <v>VERIFY</v>
      </c>
      <c r="Q344" s="15">
        <f t="shared" si="2"/>
        <v>5</v>
      </c>
      <c r="R344" s="15">
        <f t="shared" si="3"/>
        <v>5</v>
      </c>
      <c r="S344" s="15">
        <f t="shared" si="4"/>
        <v>1</v>
      </c>
      <c r="T344" s="15" t="str">
        <f t="shared" si="5"/>
        <v>B-5</v>
      </c>
      <c r="U344" s="15" t="str">
        <f t="shared" si="6"/>
        <v>T5-M5-H1-FB-5-VERIFY</v>
      </c>
      <c r="V344" s="15">
        <f t="shared" si="7"/>
        <v>0</v>
      </c>
      <c r="W344" s="31"/>
      <c r="X344" s="15" t="str">
        <f t="shared" si="8"/>
        <v>chaibasa</v>
      </c>
      <c r="Y344" s="32" t="str">
        <f t="shared" si="9"/>
        <v>https://steelmanufacturer.in/market-area/electropolished-pipes-manufacturer-in-chaibasa/</v>
      </c>
      <c r="Z344" s="15" t="str">
        <f t="shared" si="10"/>
        <v>Electropolished Pipes Manufacturer in Chaibasa</v>
      </c>
      <c r="AA344" s="15" t="str">
        <f t="shared" si="11"/>
        <v>OK (46)</v>
      </c>
      <c r="AB344" s="15" t="str">
        <f t="shared" si="12"/>
        <v>Manufacturer of electropolished SS 316L tube serving Chaibasa. VERIFY. Ra 0.25-0.5 um, EN 10204 3.1 MTC.</v>
      </c>
      <c r="AC344" s="15" t="str">
        <f t="shared" si="13"/>
        <v>PENDING RESEARCH</v>
      </c>
      <c r="AD344" s="15" t="str">
        <f t="shared" si="14"/>
        <v>Electropolished Pipes Manufacturer in Chaibasa</v>
      </c>
      <c r="AE344" s="15" t="str">
        <f t="shared" si="15"/>
        <v>Electropolished Pipe &amp; Tube Manufacturing for Chaibasa - Grades, Finishes &amp; Certification</v>
      </c>
      <c r="AF344" s="15" t="str">
        <f t="shared" si="16"/>
        <v>Electropolished Pipes Supplier in Chaibasa - Stock Sizes, Lead Time &amp; Delivery</v>
      </c>
      <c r="AG344" s="15" t="str">
        <f t="shared" si="17"/>
        <v>Electropolished Pipes Wholesaler &amp; Stockist in Chaibasa - Bulk &amp; Project Pricing</v>
      </c>
      <c r="AH344" s="15" t="str">
        <f t="shared" si="18"/>
        <v>electropolished pipes manufacturer in Chaibasa, electropolished pipes supplier in Chaibasa, electropolished pipes wholesaler in Chaibasa, electropolished tube manufacturer Chaibasa, EP pipe supplier Chaibasa, sanitary tube supplier Chaibasa, ASME BPE tubing Chaibasa, ASTM A270 tube Chaibasa, SS 316L electropolished pipe Chaibasa</v>
      </c>
      <c r="AI344" s="15" t="str">
        <f t="shared" si="19"/>
        <v>Electropolished Pipes Manufacturer &amp; Supplier in Chaibasa</v>
      </c>
      <c r="AJ344" s="15" t="str">
        <f t="shared" si="20"/>
        <v>EP-finished SS 304/316L pipes and tubes for VERIFY plants in Chaibasa. ASME BPE SF1-SF4, Ra from 0.25 um, EN 10204 3.1 certificate with every lot.</v>
      </c>
      <c r="AK344" s="15" t="str">
        <f t="shared" si="21"/>
        <v>Electropolished stainless steel pipes supplied by Sakshi Forge to VERIFY plants at JIADA Industrial Area, Chaibasa</v>
      </c>
      <c r="AL344" s="15" t="str">
        <f t="shared" si="22"/>
        <v>Electropolished SS 316L tube stock for Chaibasa - Sakshi Forge</v>
      </c>
      <c r="AM344" s="15" t="str">
        <f t="shared" si="23"/>
        <v>Home &gt; Market Area &gt; India &gt; Jharkhand &gt; Chaibasa</v>
      </c>
      <c r="AN344" s="15">
        <f t="shared" si="24"/>
        <v>1000</v>
      </c>
      <c r="AO344" s="15">
        <f t="shared" si="25"/>
        <v>8</v>
      </c>
      <c r="AP344" s="15">
        <f t="shared" si="26"/>
        <v>8</v>
      </c>
      <c r="AQ344" s="15">
        <f t="shared" si="27"/>
        <v>6</v>
      </c>
      <c r="AR344" s="31"/>
      <c r="AS344" s="31"/>
      <c r="AT344" s="35" t="s">
        <v>222</v>
      </c>
      <c r="AU344" s="35"/>
    </row>
    <row r="345" ht="15.75" customHeight="1">
      <c r="A345" s="15" t="s">
        <v>2578</v>
      </c>
      <c r="B345" s="15" t="s">
        <v>60</v>
      </c>
      <c r="C345" s="15" t="s">
        <v>1687</v>
      </c>
      <c r="D345" s="15" t="s">
        <v>2581</v>
      </c>
      <c r="E345" s="15" t="s">
        <v>2581</v>
      </c>
      <c r="F345" s="65" t="s">
        <v>788</v>
      </c>
      <c r="G345" s="66" t="s">
        <v>98</v>
      </c>
      <c r="H345" s="18" t="s">
        <v>2586</v>
      </c>
      <c r="I345" s="18" t="s">
        <v>8397</v>
      </c>
      <c r="J345" s="18" t="s">
        <v>98</v>
      </c>
      <c r="K345" s="18" t="s">
        <v>98</v>
      </c>
      <c r="L345" s="18" t="s">
        <v>98</v>
      </c>
      <c r="M345" s="18" t="s">
        <v>98</v>
      </c>
      <c r="N345" s="18" t="s">
        <v>98</v>
      </c>
      <c r="O345" s="18" t="s">
        <v>98</v>
      </c>
      <c r="P345" s="15" t="str">
        <f t="shared" si="1"/>
        <v>VERIFY</v>
      </c>
      <c r="Q345" s="15">
        <f t="shared" si="2"/>
        <v>6</v>
      </c>
      <c r="R345" s="15">
        <f t="shared" si="3"/>
        <v>6</v>
      </c>
      <c r="S345" s="15">
        <f t="shared" si="4"/>
        <v>2</v>
      </c>
      <c r="T345" s="15" t="str">
        <f t="shared" si="5"/>
        <v>B-6</v>
      </c>
      <c r="U345" s="15" t="str">
        <f t="shared" si="6"/>
        <v>T6-M6-H2-FB-6-VERIFY</v>
      </c>
      <c r="V345" s="15">
        <f t="shared" si="7"/>
        <v>0</v>
      </c>
      <c r="W345" s="31"/>
      <c r="X345" s="15" t="str">
        <f t="shared" si="8"/>
        <v>chalakudy</v>
      </c>
      <c r="Y345" s="32" t="str">
        <f t="shared" si="9"/>
        <v>https://steelmanufacturer.in/market-area/electropolished-pipes-manufacturer-in-chalakudy/</v>
      </c>
      <c r="Z345" s="15" t="str">
        <f t="shared" si="10"/>
        <v>Electropolished Pipes Manufacturer in Chalakudy</v>
      </c>
      <c r="AA345" s="15" t="str">
        <f t="shared" si="11"/>
        <v>OK (47)</v>
      </c>
      <c r="AB345" s="15" t="str">
        <f t="shared" si="12"/>
        <v>EP tube and pipe for VERIFY plants around KINFRA Industrial Area, Chalakudy. Made at our Mumbai works to ASTM A270 and ASME BPE SF1-SF4, with 3.1 MTC.</v>
      </c>
      <c r="AC345" s="15" t="str">
        <f t="shared" si="13"/>
        <v>PENDING RESEARCH</v>
      </c>
      <c r="AD345" s="15" t="str">
        <f t="shared" si="14"/>
        <v>Electropolished Pipes Manufacturer in Chalakudy</v>
      </c>
      <c r="AE345" s="15" t="str">
        <f t="shared" si="15"/>
        <v>How We Manufacture Electropolished Tube for Chalakudy Plants</v>
      </c>
      <c r="AF345" s="15" t="str">
        <f t="shared" si="16"/>
        <v>Supplying Electropolished Pipes in Chalakudy: Availability, Sizes &amp; Dispatch</v>
      </c>
      <c r="AG345" s="15" t="str">
        <f t="shared" si="17"/>
        <v>Wholesale Electropolished Pipe Supply for Chalakudy Projects</v>
      </c>
      <c r="AH345" s="15" t="str">
        <f t="shared" si="18"/>
        <v>electropolished pipes manufacturer in Chalakudy, electropolished pipes supplier in Chalakudy, electropolished pipes wholesaler in Chalakudy, electropolished tube manufacturer Chalakudy, EP pipe supplier Chalakudy, sanitary tube supplier Chalakudy, ASME BPE tubing Chalakudy, ASTM A270 tube Chalakudy, SS 316L electropolished pipe Chalakudy</v>
      </c>
      <c r="AI345" s="15" t="str">
        <f t="shared" si="19"/>
        <v>Electropolished Pipes Manufacturer &amp; Supplier in Chalakudy</v>
      </c>
      <c r="AJ345" s="15" t="str">
        <f t="shared" si="20"/>
        <v>EP-finished SS 304/316L pipes and tubes for VERIFY plants in Chalakudy. ASME BPE SF1-SF4, Ra from 0.25 um, EN 10204 3.1 certificate with every lot.</v>
      </c>
      <c r="AK345" s="15" t="str">
        <f t="shared" si="21"/>
        <v>Electropolished stainless steel pipes supplied by Sakshi Forge to VERIFY plants at KINFRA Industrial Area, Chalakudy</v>
      </c>
      <c r="AL345" s="15" t="str">
        <f t="shared" si="22"/>
        <v>Electropolished SS 316L tube stock for Chalakudy - Sakshi Forge</v>
      </c>
      <c r="AM345" s="15" t="str">
        <f t="shared" si="23"/>
        <v>Home &gt; Market Area &gt; India &gt; Kerala &gt; Chalakudy</v>
      </c>
      <c r="AN345" s="15">
        <f t="shared" si="24"/>
        <v>1000</v>
      </c>
      <c r="AO345" s="15">
        <f t="shared" si="25"/>
        <v>8</v>
      </c>
      <c r="AP345" s="15">
        <f t="shared" si="26"/>
        <v>8</v>
      </c>
      <c r="AQ345" s="15">
        <f t="shared" si="27"/>
        <v>6</v>
      </c>
      <c r="AR345" s="31"/>
      <c r="AS345" s="31"/>
      <c r="AT345" s="35" t="s">
        <v>222</v>
      </c>
      <c r="AU345" s="35"/>
    </row>
    <row r="346" ht="15.75" customHeight="1">
      <c r="A346" s="15" t="s">
        <v>2589</v>
      </c>
      <c r="B346" s="15" t="s">
        <v>60</v>
      </c>
      <c r="C346" s="15" t="s">
        <v>447</v>
      </c>
      <c r="D346" s="15" t="s">
        <v>2591</v>
      </c>
      <c r="E346" s="15" t="s">
        <v>2591</v>
      </c>
      <c r="F346" s="65" t="s">
        <v>788</v>
      </c>
      <c r="G346" s="66" t="s">
        <v>98</v>
      </c>
      <c r="H346" s="18" t="s">
        <v>2599</v>
      </c>
      <c r="I346" s="18" t="s">
        <v>8411</v>
      </c>
      <c r="J346" s="18" t="s">
        <v>98</v>
      </c>
      <c r="K346" s="18" t="s">
        <v>98</v>
      </c>
      <c r="L346" s="18" t="s">
        <v>98</v>
      </c>
      <c r="M346" s="18" t="s">
        <v>98</v>
      </c>
      <c r="N346" s="18" t="s">
        <v>98</v>
      </c>
      <c r="O346" s="18" t="s">
        <v>98</v>
      </c>
      <c r="P346" s="15" t="str">
        <f t="shared" si="1"/>
        <v>VERIFY</v>
      </c>
      <c r="Q346" s="15">
        <f t="shared" si="2"/>
        <v>7</v>
      </c>
      <c r="R346" s="15">
        <f t="shared" si="3"/>
        <v>7</v>
      </c>
      <c r="S346" s="15">
        <f t="shared" si="4"/>
        <v>3</v>
      </c>
      <c r="T346" s="15" t="str">
        <f t="shared" si="5"/>
        <v>B-1</v>
      </c>
      <c r="U346" s="15" t="str">
        <f t="shared" si="6"/>
        <v>T7-M7-H3-FB-1-VERIFY</v>
      </c>
      <c r="V346" s="15">
        <f t="shared" si="7"/>
        <v>0</v>
      </c>
      <c r="W346" s="31"/>
      <c r="X346" s="15" t="str">
        <f t="shared" si="8"/>
        <v>chamba</v>
      </c>
      <c r="Y346" s="32" t="str">
        <f t="shared" si="9"/>
        <v>https://steelmanufacturer.in/market-area/electropolished-pipes-manufacturer-in-chamba/</v>
      </c>
      <c r="Z346" s="15" t="str">
        <f t="shared" si="10"/>
        <v>Electropolished Pipes Manufacturer in Chamba | ASME BPE SF1-SF4</v>
      </c>
      <c r="AA346" s="15" t="str">
        <f t="shared" si="11"/>
        <v>OK (63)</v>
      </c>
      <c r="AB346" s="15" t="str">
        <f t="shared" si="12"/>
        <v>Electropolished pipes in Chamba: 304, 304L, 316 and 316L in SF1-SF4. VERIFY. Mill certified.</v>
      </c>
      <c r="AC346" s="15" t="str">
        <f t="shared" si="13"/>
        <v>PENDING RESEARCH</v>
      </c>
      <c r="AD346" s="15" t="str">
        <f t="shared" si="14"/>
        <v>Electropolished Pipes Manufacturer in Chamba</v>
      </c>
      <c r="AE346" s="15" t="str">
        <f t="shared" si="15"/>
        <v>Electropolished Pipes Manufacturer in Chamba - Our Process &amp; Capability</v>
      </c>
      <c r="AF346" s="15" t="str">
        <f t="shared" si="16"/>
        <v>Electropolished Pipes Supplier in Chamba - What We Hold in Stock</v>
      </c>
      <c r="AG346" s="15" t="str">
        <f t="shared" si="17"/>
        <v>Bulk &amp; Wholesale Electropolished Pipe Rates for Chamba Buyers</v>
      </c>
      <c r="AH346" s="15" t="str">
        <f t="shared" si="18"/>
        <v>electropolished pipes manufacturer in Chamba, electropolished pipes supplier in Chamba, electropolished pipes wholesaler in Chamba, electropolished tube manufacturer Chamba, EP pipe supplier Chamba, sanitary tube supplier Chamba, ASME BPE tubing Chamba, ASTM A270 tube Chamba, SS 316L electropolished pipe Chamba</v>
      </c>
      <c r="AI346" s="15" t="str">
        <f t="shared" si="19"/>
        <v>Electropolished Pipes Manufacturer &amp; Supplier in Chamba</v>
      </c>
      <c r="AJ346" s="15" t="str">
        <f t="shared" si="20"/>
        <v>EP-finished SS 304/316L pipes and tubes for VERIFY plants in Chamba. ASME BPE SF1-SF4, Ra from 0.25 um, EN 10204 3.1 certificate with every lot.</v>
      </c>
      <c r="AK346" s="15" t="str">
        <f t="shared" si="21"/>
        <v>Electropolished stainless steel pipes supplied by Sakshi Forge to VERIFY plants at HPSIDC Industrial Area, Chamba</v>
      </c>
      <c r="AL346" s="15" t="str">
        <f t="shared" si="22"/>
        <v>Electropolished SS 316L tube stock for Chamba - Sakshi Forge</v>
      </c>
      <c r="AM346" s="15" t="str">
        <f t="shared" si="23"/>
        <v>Home &gt; Market Area &gt; India &gt; Himachal Pradesh &gt; Chamba</v>
      </c>
      <c r="AN346" s="15">
        <f t="shared" si="24"/>
        <v>1000</v>
      </c>
      <c r="AO346" s="15">
        <f t="shared" si="25"/>
        <v>8</v>
      </c>
      <c r="AP346" s="15">
        <f t="shared" si="26"/>
        <v>8</v>
      </c>
      <c r="AQ346" s="15">
        <f t="shared" si="27"/>
        <v>6</v>
      </c>
      <c r="AR346" s="31"/>
      <c r="AS346" s="31"/>
      <c r="AT346" s="35" t="s">
        <v>222</v>
      </c>
      <c r="AU346" s="35"/>
    </row>
    <row r="347" ht="15.75" customHeight="1">
      <c r="A347" s="15" t="s">
        <v>2605</v>
      </c>
      <c r="B347" s="15" t="s">
        <v>60</v>
      </c>
      <c r="C347" s="15" t="s">
        <v>85</v>
      </c>
      <c r="D347" s="15" t="s">
        <v>2613</v>
      </c>
      <c r="E347" s="15" t="s">
        <v>2613</v>
      </c>
      <c r="F347" s="65" t="s">
        <v>788</v>
      </c>
      <c r="G347" s="66" t="s">
        <v>98</v>
      </c>
      <c r="H347" s="18" t="s">
        <v>2619</v>
      </c>
      <c r="I347" s="18" t="s">
        <v>8398</v>
      </c>
      <c r="J347" s="18" t="s">
        <v>98</v>
      </c>
      <c r="K347" s="18" t="s">
        <v>98</v>
      </c>
      <c r="L347" s="18" t="s">
        <v>98</v>
      </c>
      <c r="M347" s="18" t="s">
        <v>98</v>
      </c>
      <c r="N347" s="18" t="s">
        <v>98</v>
      </c>
      <c r="O347" s="18" t="s">
        <v>98</v>
      </c>
      <c r="P347" s="15" t="str">
        <f t="shared" si="1"/>
        <v>VERIFY</v>
      </c>
      <c r="Q347" s="15">
        <f t="shared" si="2"/>
        <v>8</v>
      </c>
      <c r="R347" s="15">
        <f t="shared" si="3"/>
        <v>1</v>
      </c>
      <c r="S347" s="15">
        <f t="shared" si="4"/>
        <v>4</v>
      </c>
      <c r="T347" s="15" t="str">
        <f t="shared" si="5"/>
        <v>B-2</v>
      </c>
      <c r="U347" s="15" t="str">
        <f t="shared" si="6"/>
        <v>T8-M1-H4-FB-2-VERIFY</v>
      </c>
      <c r="V347" s="15">
        <f t="shared" si="7"/>
        <v>0</v>
      </c>
      <c r="W347" s="31"/>
      <c r="X347" s="15" t="str">
        <f t="shared" si="8"/>
        <v>chandauli</v>
      </c>
      <c r="Y347" s="32" t="str">
        <f t="shared" si="9"/>
        <v>https://steelmanufacturer.in/market-area/electropolished-pipes-manufacturer-in-chandauli/</v>
      </c>
      <c r="Z347" s="15" t="str">
        <f t="shared" si="10"/>
        <v>Electropolished Pipes Manufacturer in Chandauli</v>
      </c>
      <c r="AA347" s="15" t="str">
        <f t="shared" si="11"/>
        <v>OK (47)</v>
      </c>
      <c r="AB347" s="15" t="str">
        <f t="shared" si="12"/>
        <v>EP-finished SS 304/316L pipes &amp; tubes for VERIFY plants in Chandauli. ASTM A270, ASME BPE SF1-SF4, EN 10204 3.1 MTC. PMI tested.</v>
      </c>
      <c r="AC347" s="15" t="str">
        <f t="shared" si="13"/>
        <v>PENDING RESEARCH</v>
      </c>
      <c r="AD347" s="15" t="str">
        <f t="shared" si="14"/>
        <v>Electropolished Pipes Manufacturer in Chandauli</v>
      </c>
      <c r="AE347" s="15" t="str">
        <f t="shared" si="15"/>
        <v>Manufacturing Electropolished SS Tube for Chandauli: The Standards We Build To</v>
      </c>
      <c r="AF347" s="15" t="str">
        <f t="shared" si="16"/>
        <v>Electropolished Pipe Supply Into Chandauli - Certification &amp; Transit</v>
      </c>
      <c r="AG347" s="15" t="str">
        <f t="shared" si="17"/>
        <v>Electropolished Pipes Wholesaler in Chandauli - Project Quantities &amp; Terms</v>
      </c>
      <c r="AH347" s="15" t="str">
        <f t="shared" si="18"/>
        <v>electropolished pipes manufacturer in Chandauli, electropolished pipes supplier in Chandauli, electropolished pipes wholesaler in Chandauli, electropolished tube manufacturer Chandauli, EP pipe supplier Chandauli, sanitary tube supplier Chandauli, ASME BPE tubing Chandauli, ASTM A270 tube Chandauli, SS 316L electropolished pipe Chandauli</v>
      </c>
      <c r="AI347" s="15" t="str">
        <f t="shared" si="19"/>
        <v>Electropolished Pipes Manufacturer &amp; Supplier in Chandauli</v>
      </c>
      <c r="AJ347" s="15" t="str">
        <f t="shared" si="20"/>
        <v>EP-finished SS 304/316L pipes and tubes for VERIFY plants in Chandauli. ASME BPE SF1-SF4, Ra from 0.25 um, EN 10204 3.1 certificate with every lot.</v>
      </c>
      <c r="AK347" s="15" t="str">
        <f t="shared" si="21"/>
        <v>Electropolished stainless steel pipes supplied by Sakshi Forge to VERIFY plants at UPSIDA Industrial Area, Chandauli</v>
      </c>
      <c r="AL347" s="15" t="str">
        <f t="shared" si="22"/>
        <v>Electropolished SS 316L tube stock for Chandauli - Sakshi Forge</v>
      </c>
      <c r="AM347" s="15" t="str">
        <f t="shared" si="23"/>
        <v>Home &gt; Market Area &gt; India &gt; Uttar Pradesh &gt; Chandauli</v>
      </c>
      <c r="AN347" s="15">
        <f t="shared" si="24"/>
        <v>1000</v>
      </c>
      <c r="AO347" s="15">
        <f t="shared" si="25"/>
        <v>8</v>
      </c>
      <c r="AP347" s="15">
        <f t="shared" si="26"/>
        <v>8</v>
      </c>
      <c r="AQ347" s="15">
        <f t="shared" si="27"/>
        <v>6</v>
      </c>
      <c r="AR347" s="31"/>
      <c r="AS347" s="31"/>
      <c r="AT347" s="35" t="s">
        <v>222</v>
      </c>
      <c r="AU347" s="35"/>
    </row>
    <row r="348" ht="15.75" customHeight="1">
      <c r="A348" s="15" t="s">
        <v>2624</v>
      </c>
      <c r="B348" s="15" t="s">
        <v>60</v>
      </c>
      <c r="C348" s="15" t="s">
        <v>2630</v>
      </c>
      <c r="D348" s="15" t="s">
        <v>2630</v>
      </c>
      <c r="E348" s="15" t="s">
        <v>2630</v>
      </c>
      <c r="F348" s="65" t="s">
        <v>788</v>
      </c>
      <c r="G348" s="66" t="s">
        <v>98</v>
      </c>
      <c r="H348" s="18" t="s">
        <v>2637</v>
      </c>
      <c r="I348" s="18" t="s">
        <v>8416</v>
      </c>
      <c r="J348" s="18" t="s">
        <v>98</v>
      </c>
      <c r="K348" s="18" t="s">
        <v>98</v>
      </c>
      <c r="L348" s="18" t="s">
        <v>98</v>
      </c>
      <c r="M348" s="18" t="s">
        <v>98</v>
      </c>
      <c r="N348" s="18" t="s">
        <v>98</v>
      </c>
      <c r="O348" s="18" t="s">
        <v>98</v>
      </c>
      <c r="P348" s="15" t="str">
        <f t="shared" si="1"/>
        <v>VERIFY</v>
      </c>
      <c r="Q348" s="15">
        <f t="shared" si="2"/>
        <v>1</v>
      </c>
      <c r="R348" s="15">
        <f t="shared" si="3"/>
        <v>2</v>
      </c>
      <c r="S348" s="15">
        <f t="shared" si="4"/>
        <v>5</v>
      </c>
      <c r="T348" s="15" t="str">
        <f t="shared" si="5"/>
        <v>B-3</v>
      </c>
      <c r="U348" s="15" t="str">
        <f t="shared" si="6"/>
        <v>T1-M2-H5-FB-3-VERIFY</v>
      </c>
      <c r="V348" s="15">
        <f t="shared" si="7"/>
        <v>0</v>
      </c>
      <c r="W348" s="31"/>
      <c r="X348" s="15" t="str">
        <f t="shared" si="8"/>
        <v>chandigarh</v>
      </c>
      <c r="Y348" s="32" t="str">
        <f t="shared" si="9"/>
        <v>https://steelmanufacturer.in/market-area/electropolished-pipes-manufacturer-in-chandigarh/</v>
      </c>
      <c r="Z348" s="15" t="str">
        <f t="shared" si="10"/>
        <v>Electropolished Pipes Manufacturer in Chandigarh | Sakshi Forge</v>
      </c>
      <c r="AA348" s="15" t="str">
        <f t="shared" si="11"/>
        <v>OK (63)</v>
      </c>
      <c r="AB348" s="15" t="str">
        <f t="shared" si="12"/>
        <v>Electropolished tube supply to CHDIDC Industrial Area, Chandigarh. Ra from 0.25 um, SF4 finish, mill test certificate with every lot.</v>
      </c>
      <c r="AC348" s="15" t="str">
        <f t="shared" si="13"/>
        <v>PENDING RESEARCH</v>
      </c>
      <c r="AD348" s="15" t="str">
        <f t="shared" si="14"/>
        <v>Electropolished Pipes Manufacturer in Chandigarh</v>
      </c>
      <c r="AE348" s="15" t="str">
        <f t="shared" si="15"/>
        <v>Electropolished Tube Manufacturing Capability Serving Chandigarh</v>
      </c>
      <c r="AF348" s="15" t="str">
        <f t="shared" si="16"/>
        <v>Electropolished Pipes Supplier in Chandigarh - From Order to Delivery</v>
      </c>
      <c r="AG348" s="15" t="str">
        <f t="shared" si="17"/>
        <v>Stockist &amp; Wholesale Supply of Electropolished Pipes in Chandigarh</v>
      </c>
      <c r="AH348" s="15" t="str">
        <f t="shared" si="18"/>
        <v>electropolished pipes manufacturer in Chandigarh, electropolished pipes supplier in Chandigarh, electropolished pipes wholesaler in Chandigarh, electropolished tube manufacturer Chandigarh, EP pipe supplier Chandigarh, sanitary tube supplier Chandigarh, ASME BPE tubing Chandigarh, ASTM A270 tube Chandigarh, SS 316L electropolished pipe Chandigarh</v>
      </c>
      <c r="AI348" s="15" t="str">
        <f t="shared" si="19"/>
        <v>Electropolished Pipes Manufacturer &amp; Supplier in Chandigarh</v>
      </c>
      <c r="AJ348" s="15" t="str">
        <f t="shared" si="20"/>
        <v>EP-finished SS 304/316L pipes and tubes for VERIFY plants in Chandigarh. ASME BPE SF1-SF4, Ra from 0.25 um, EN 10204 3.1 certificate with every lot.</v>
      </c>
      <c r="AK348" s="15" t="str">
        <f t="shared" si="21"/>
        <v>Electropolished stainless steel pipes supplied by Sakshi Forge to VERIFY plants at CHDIDC Industrial Area, Chandigarh</v>
      </c>
      <c r="AL348" s="15" t="str">
        <f t="shared" si="22"/>
        <v>Electropolished SS 316L tube stock for Chandigarh - Sakshi Forge</v>
      </c>
      <c r="AM348" s="15" t="str">
        <f t="shared" si="23"/>
        <v>Home &gt; Market Area &gt; India &gt; Chandigarh &gt; Chandigarh</v>
      </c>
      <c r="AN348" s="15">
        <f t="shared" si="24"/>
        <v>1000</v>
      </c>
      <c r="AO348" s="15">
        <f t="shared" si="25"/>
        <v>8</v>
      </c>
      <c r="AP348" s="15">
        <f t="shared" si="26"/>
        <v>8</v>
      </c>
      <c r="AQ348" s="15">
        <f t="shared" si="27"/>
        <v>6</v>
      </c>
      <c r="AR348" s="31"/>
      <c r="AS348" s="31"/>
      <c r="AT348" s="35" t="s">
        <v>222</v>
      </c>
      <c r="AU348" s="35"/>
    </row>
    <row r="349" ht="15.75" customHeight="1">
      <c r="A349" s="15" t="s">
        <v>2640</v>
      </c>
      <c r="B349" s="15" t="s">
        <v>60</v>
      </c>
      <c r="C349" s="15" t="s">
        <v>264</v>
      </c>
      <c r="D349" s="15" t="s">
        <v>2644</v>
      </c>
      <c r="E349" s="15" t="s">
        <v>2644</v>
      </c>
      <c r="F349" s="65" t="s">
        <v>788</v>
      </c>
      <c r="G349" s="66" t="s">
        <v>98</v>
      </c>
      <c r="H349" s="18" t="s">
        <v>2649</v>
      </c>
      <c r="I349" s="18" t="s">
        <v>8395</v>
      </c>
      <c r="J349" s="18" t="s">
        <v>98</v>
      </c>
      <c r="K349" s="18" t="s">
        <v>98</v>
      </c>
      <c r="L349" s="18" t="s">
        <v>98</v>
      </c>
      <c r="M349" s="18" t="s">
        <v>98</v>
      </c>
      <c r="N349" s="18" t="s">
        <v>98</v>
      </c>
      <c r="O349" s="18" t="s">
        <v>98</v>
      </c>
      <c r="P349" s="15" t="str">
        <f t="shared" si="1"/>
        <v>VERIFY</v>
      </c>
      <c r="Q349" s="15">
        <f t="shared" si="2"/>
        <v>2</v>
      </c>
      <c r="R349" s="15">
        <f t="shared" si="3"/>
        <v>3</v>
      </c>
      <c r="S349" s="15">
        <f t="shared" si="4"/>
        <v>1</v>
      </c>
      <c r="T349" s="15" t="str">
        <f t="shared" si="5"/>
        <v>B-4</v>
      </c>
      <c r="U349" s="15" t="str">
        <f t="shared" si="6"/>
        <v>T2-M3-H1-FB-4-VERIFY</v>
      </c>
      <c r="V349" s="15">
        <f t="shared" si="7"/>
        <v>0</v>
      </c>
      <c r="W349" s="31"/>
      <c r="X349" s="15" t="str">
        <f t="shared" si="8"/>
        <v>chandrapur</v>
      </c>
      <c r="Y349" s="32" t="str">
        <f t="shared" si="9"/>
        <v>https://steelmanufacturer.in/market-area/electropolished-pipes-manufacturer-in-chandrapur/</v>
      </c>
      <c r="Z349" s="15" t="str">
        <f t="shared" si="10"/>
        <v>Electropolished Pipes Manufacturer in Chandrapur</v>
      </c>
      <c r="AA349" s="15" t="str">
        <f t="shared" si="11"/>
        <v>OK (48)</v>
      </c>
      <c r="AB349" s="15" t="str">
        <f t="shared" si="12"/>
        <v>EP stainless tube for VERIFY lines in Chandrapur. VERIFY. ASTM A270 S2, PMI tested, EN 10204 3.1.</v>
      </c>
      <c r="AC349" s="15" t="str">
        <f t="shared" si="13"/>
        <v>PENDING RESEARCH</v>
      </c>
      <c r="AD349" s="15" t="str">
        <f t="shared" si="14"/>
        <v>Electropolished Pipes Manufacturer in Chandrapur</v>
      </c>
      <c r="AE349" s="15" t="str">
        <f t="shared" si="15"/>
        <v>Electropolished Pipe &amp; Tube Manufacturing for Chandrapur - Grades, Finishes &amp; Certification</v>
      </c>
      <c r="AF349" s="15" t="str">
        <f t="shared" si="16"/>
        <v>Electropolished Pipes Supplier in Chandrapur - Stock Sizes, Lead Time &amp; Delivery</v>
      </c>
      <c r="AG349" s="15" t="str">
        <f t="shared" si="17"/>
        <v>Electropolished Pipes Wholesaler &amp; Stockist in Chandrapur - Bulk &amp; Project Pricing</v>
      </c>
      <c r="AH349" s="15" t="str">
        <f t="shared" si="18"/>
        <v>electropolished pipes manufacturer in Chandrapur, electropolished pipes supplier in Chandrapur, electropolished pipes wholesaler in Chandrapur, electropolished tube manufacturer Chandrapur, EP pipe supplier Chandrapur, sanitary tube supplier Chandrapur, ASME BPE tubing Chandrapur, ASTM A270 tube Chandrapur, SS 316L electropolished pipe Chandrapur</v>
      </c>
      <c r="AI349" s="15" t="str">
        <f t="shared" si="19"/>
        <v>Electropolished Pipes Manufacturer &amp; Supplier in Chandrapur</v>
      </c>
      <c r="AJ349" s="15" t="str">
        <f t="shared" si="20"/>
        <v>EP-finished SS 304/316L pipes and tubes for VERIFY plants in Chandrapur. ASME BPE SF1-SF4, Ra from 0.25 um, EN 10204 3.1 certificate with every lot.</v>
      </c>
      <c r="AK349" s="15" t="str">
        <f t="shared" si="21"/>
        <v>Electropolished stainless steel pipes supplied by Sakshi Forge to VERIFY plants at MIDC Industrial Area, Chandrapur</v>
      </c>
      <c r="AL349" s="15" t="str">
        <f t="shared" si="22"/>
        <v>Electropolished SS 316L tube stock for Chandrapur - Sakshi Forge</v>
      </c>
      <c r="AM349" s="15" t="str">
        <f t="shared" si="23"/>
        <v>Home &gt; Market Area &gt; India &gt; Maharashtra &gt; Chandrapur</v>
      </c>
      <c r="AN349" s="15">
        <f t="shared" si="24"/>
        <v>1000</v>
      </c>
      <c r="AO349" s="15">
        <f t="shared" si="25"/>
        <v>8</v>
      </c>
      <c r="AP349" s="15">
        <f t="shared" si="26"/>
        <v>8</v>
      </c>
      <c r="AQ349" s="15">
        <f t="shared" si="27"/>
        <v>6</v>
      </c>
      <c r="AR349" s="31"/>
      <c r="AS349" s="31"/>
      <c r="AT349" s="35" t="s">
        <v>222</v>
      </c>
      <c r="AU349" s="35"/>
    </row>
    <row r="350" ht="15.75" customHeight="1">
      <c r="A350" s="15" t="s">
        <v>2656</v>
      </c>
      <c r="B350" s="15" t="s">
        <v>60</v>
      </c>
      <c r="C350" s="15" t="s">
        <v>1818</v>
      </c>
      <c r="D350" s="15" t="s">
        <v>2663</v>
      </c>
      <c r="E350" s="15" t="s">
        <v>2663</v>
      </c>
      <c r="F350" s="65" t="s">
        <v>788</v>
      </c>
      <c r="G350" s="66" t="s">
        <v>98</v>
      </c>
      <c r="H350" s="18" t="s">
        <v>2668</v>
      </c>
      <c r="I350" s="18" t="s">
        <v>8402</v>
      </c>
      <c r="J350" s="18" t="s">
        <v>98</v>
      </c>
      <c r="K350" s="18" t="s">
        <v>98</v>
      </c>
      <c r="L350" s="18" t="s">
        <v>98</v>
      </c>
      <c r="M350" s="18" t="s">
        <v>98</v>
      </c>
      <c r="N350" s="18" t="s">
        <v>98</v>
      </c>
      <c r="O350" s="18" t="s">
        <v>98</v>
      </c>
      <c r="P350" s="15" t="str">
        <f t="shared" si="1"/>
        <v>VERIFY</v>
      </c>
      <c r="Q350" s="15">
        <f t="shared" si="2"/>
        <v>3</v>
      </c>
      <c r="R350" s="15">
        <f t="shared" si="3"/>
        <v>4</v>
      </c>
      <c r="S350" s="15">
        <f t="shared" si="4"/>
        <v>2</v>
      </c>
      <c r="T350" s="15" t="str">
        <f t="shared" si="5"/>
        <v>B-5</v>
      </c>
      <c r="U350" s="15" t="str">
        <f t="shared" si="6"/>
        <v>T3-M4-H2-FB-5-VERIFY</v>
      </c>
      <c r="V350" s="15">
        <f t="shared" si="7"/>
        <v>0</v>
      </c>
      <c r="W350" s="31"/>
      <c r="X350" s="15" t="str">
        <f t="shared" si="8"/>
        <v>chhapra</v>
      </c>
      <c r="Y350" s="32" t="str">
        <f t="shared" si="9"/>
        <v>https://steelmanufacturer.in/market-area/electropolished-pipes-manufacturer-in-chhapra/</v>
      </c>
      <c r="Z350" s="15" t="str">
        <f t="shared" si="10"/>
        <v>Electropolished Pipes Manufacturer in Chhapra | EP Tube Supplier</v>
      </c>
      <c r="AA350" s="15" t="str">
        <f t="shared" si="11"/>
        <v>OK (64)</v>
      </c>
      <c r="AB350" s="15" t="str">
        <f t="shared" si="12"/>
        <v>Sanitary electropolished pipes in Chhapra for VERIFY plants. ASME BPE SF1-SF4, orbital-weld ready, 3.1 MTC. Mumbai-made.</v>
      </c>
      <c r="AC350" s="15" t="str">
        <f t="shared" si="13"/>
        <v>PENDING RESEARCH</v>
      </c>
      <c r="AD350" s="15" t="str">
        <f t="shared" si="14"/>
        <v>Electropolished Pipes Manufacturer in Chhapra</v>
      </c>
      <c r="AE350" s="15" t="str">
        <f t="shared" si="15"/>
        <v>How We Manufacture Electropolished Tube for Chhapra Plants</v>
      </c>
      <c r="AF350" s="15" t="str">
        <f t="shared" si="16"/>
        <v>Supplying Electropolished Pipes in Chhapra: Availability, Sizes &amp; Dispatch</v>
      </c>
      <c r="AG350" s="15" t="str">
        <f t="shared" si="17"/>
        <v>Wholesale Electropolished Pipe Supply for Chhapra Projects</v>
      </c>
      <c r="AH350" s="15" t="str">
        <f t="shared" si="18"/>
        <v>electropolished pipes manufacturer in Chhapra, electropolished pipes supplier in Chhapra, electropolished pipes wholesaler in Chhapra, electropolished tube manufacturer Chhapra, EP pipe supplier Chhapra, sanitary tube supplier Chhapra, ASME BPE tubing Chhapra, ASTM A270 tube Chhapra, SS 316L electropolished pipe Chhapra</v>
      </c>
      <c r="AI350" s="15" t="str">
        <f t="shared" si="19"/>
        <v>Electropolished Pipes Manufacturer &amp; Supplier in Chhapra</v>
      </c>
      <c r="AJ350" s="15" t="str">
        <f t="shared" si="20"/>
        <v>EP-finished SS 304/316L pipes and tubes for VERIFY plants in Chhapra. ASME BPE SF1-SF4, Ra from 0.25 um, EN 10204 3.1 certificate with every lot.</v>
      </c>
      <c r="AK350" s="15" t="str">
        <f t="shared" si="21"/>
        <v>Electropolished stainless steel pipes supplied by Sakshi Forge to VERIFY plants at BIADA Industrial Area, Chhapra</v>
      </c>
      <c r="AL350" s="15" t="str">
        <f t="shared" si="22"/>
        <v>Electropolished SS 316L tube stock for Chhapra - Sakshi Forge</v>
      </c>
      <c r="AM350" s="15" t="str">
        <f t="shared" si="23"/>
        <v>Home &gt; Market Area &gt; India &gt; Bihar &gt; Chhapra</v>
      </c>
      <c r="AN350" s="15">
        <f t="shared" si="24"/>
        <v>1000</v>
      </c>
      <c r="AO350" s="15">
        <f t="shared" si="25"/>
        <v>8</v>
      </c>
      <c r="AP350" s="15">
        <f t="shared" si="26"/>
        <v>8</v>
      </c>
      <c r="AQ350" s="15">
        <f t="shared" si="27"/>
        <v>6</v>
      </c>
      <c r="AR350" s="31"/>
      <c r="AS350" s="31"/>
      <c r="AT350" s="35" t="s">
        <v>222</v>
      </c>
      <c r="AU350" s="35"/>
    </row>
    <row r="351" ht="15.75" customHeight="1">
      <c r="A351" s="15" t="s">
        <v>2672</v>
      </c>
      <c r="B351" s="15" t="s">
        <v>60</v>
      </c>
      <c r="C351" s="15" t="s">
        <v>224</v>
      </c>
      <c r="D351" s="15" t="s">
        <v>2676</v>
      </c>
      <c r="E351" s="15" t="s">
        <v>2676</v>
      </c>
      <c r="F351" s="65" t="s">
        <v>788</v>
      </c>
      <c r="G351" s="66" t="s">
        <v>98</v>
      </c>
      <c r="H351" s="18" t="s">
        <v>2679</v>
      </c>
      <c r="I351" s="18" t="s">
        <v>8400</v>
      </c>
      <c r="J351" s="18" t="s">
        <v>98</v>
      </c>
      <c r="K351" s="18" t="s">
        <v>98</v>
      </c>
      <c r="L351" s="18" t="s">
        <v>98</v>
      </c>
      <c r="M351" s="18" t="s">
        <v>98</v>
      </c>
      <c r="N351" s="18" t="s">
        <v>98</v>
      </c>
      <c r="O351" s="18" t="s">
        <v>98</v>
      </c>
      <c r="P351" s="15" t="str">
        <f t="shared" si="1"/>
        <v>VERIFY</v>
      </c>
      <c r="Q351" s="15">
        <f t="shared" si="2"/>
        <v>4</v>
      </c>
      <c r="R351" s="15">
        <f t="shared" si="3"/>
        <v>5</v>
      </c>
      <c r="S351" s="15">
        <f t="shared" si="4"/>
        <v>3</v>
      </c>
      <c r="T351" s="15" t="str">
        <f t="shared" si="5"/>
        <v>B-6</v>
      </c>
      <c r="U351" s="15" t="str">
        <f t="shared" si="6"/>
        <v>T4-M5-H3-FB-6-VERIFY</v>
      </c>
      <c r="V351" s="15">
        <f t="shared" si="7"/>
        <v>0</v>
      </c>
      <c r="W351" s="31"/>
      <c r="X351" s="15" t="str">
        <f t="shared" si="8"/>
        <v>chhatral</v>
      </c>
      <c r="Y351" s="32" t="str">
        <f t="shared" si="9"/>
        <v>https://steelmanufacturer.in/market-area/electropolished-pipes-manufacturer-in-chhatral/</v>
      </c>
      <c r="Z351" s="15" t="str">
        <f t="shared" si="10"/>
        <v>Electropolished Pipes Manufacturer in Chhatral</v>
      </c>
      <c r="AA351" s="15" t="str">
        <f t="shared" si="11"/>
        <v>OK (46)</v>
      </c>
      <c r="AB351" s="15" t="str">
        <f t="shared" si="12"/>
        <v>Manufacturer of electropolished SS 316L tube serving Chhatral. VERIFY. Ra 0.25-0.5 um, EN 10204 3.1 MTC.</v>
      </c>
      <c r="AC351" s="15" t="str">
        <f t="shared" si="13"/>
        <v>PENDING RESEARCH</v>
      </c>
      <c r="AD351" s="15" t="str">
        <f t="shared" si="14"/>
        <v>Electropolished Pipes Manufacturer in Chhatral</v>
      </c>
      <c r="AE351" s="15" t="str">
        <f t="shared" si="15"/>
        <v>Electropolished Pipes Manufacturer in Chhatral - Our Process &amp; Capability</v>
      </c>
      <c r="AF351" s="15" t="str">
        <f t="shared" si="16"/>
        <v>Electropolished Pipes Supplier in Chhatral - What We Hold in Stock</v>
      </c>
      <c r="AG351" s="15" t="str">
        <f t="shared" si="17"/>
        <v>Bulk &amp; Wholesale Electropolished Pipe Rates for Chhatral Buyers</v>
      </c>
      <c r="AH351" s="15" t="str">
        <f t="shared" si="18"/>
        <v>electropolished pipes manufacturer in Chhatral, electropolished pipes supplier in Chhatral, electropolished pipes wholesaler in Chhatral, electropolished tube manufacturer Chhatral, EP pipe supplier Chhatral, sanitary tube supplier Chhatral, ASME BPE tubing Chhatral, ASTM A270 tube Chhatral, SS 316L electropolished pipe Chhatral</v>
      </c>
      <c r="AI351" s="15" t="str">
        <f t="shared" si="19"/>
        <v>Electropolished Pipes Manufacturer &amp; Supplier in Chhatral</v>
      </c>
      <c r="AJ351" s="15" t="str">
        <f t="shared" si="20"/>
        <v>EP-finished SS 304/316L pipes and tubes for VERIFY plants in Chhatral. ASME BPE SF1-SF4, Ra from 0.25 um, EN 10204 3.1 certificate with every lot.</v>
      </c>
      <c r="AK351" s="15" t="str">
        <f t="shared" si="21"/>
        <v>Electropolished stainless steel pipes supplied by Sakshi Forge to VERIFY plants at GIDC Industrial Area, Chhatral</v>
      </c>
      <c r="AL351" s="15" t="str">
        <f t="shared" si="22"/>
        <v>Electropolished SS 316L tube stock for Chhatral - Sakshi Forge</v>
      </c>
      <c r="AM351" s="15" t="str">
        <f t="shared" si="23"/>
        <v>Home &gt; Market Area &gt; India &gt; Gujarat &gt; Chhatral</v>
      </c>
      <c r="AN351" s="15">
        <f t="shared" si="24"/>
        <v>1000</v>
      </c>
      <c r="AO351" s="15">
        <f t="shared" si="25"/>
        <v>8</v>
      </c>
      <c r="AP351" s="15">
        <f t="shared" si="26"/>
        <v>8</v>
      </c>
      <c r="AQ351" s="15">
        <f t="shared" si="27"/>
        <v>6</v>
      </c>
      <c r="AR351" s="31"/>
      <c r="AS351" s="31"/>
      <c r="AT351" s="35" t="s">
        <v>222</v>
      </c>
      <c r="AU351" s="35"/>
    </row>
    <row r="352" ht="15.75" customHeight="1">
      <c r="A352" s="15" t="s">
        <v>2685</v>
      </c>
      <c r="B352" s="15" t="s">
        <v>60</v>
      </c>
      <c r="C352" s="15" t="s">
        <v>842</v>
      </c>
      <c r="D352" s="15" t="s">
        <v>2689</v>
      </c>
      <c r="E352" s="15" t="s">
        <v>2689</v>
      </c>
      <c r="F352" s="65" t="s">
        <v>788</v>
      </c>
      <c r="G352" s="66" t="s">
        <v>98</v>
      </c>
      <c r="H352" s="18" t="s">
        <v>2699</v>
      </c>
      <c r="I352" s="18" t="s">
        <v>8413</v>
      </c>
      <c r="J352" s="18" t="s">
        <v>98</v>
      </c>
      <c r="K352" s="18" t="s">
        <v>98</v>
      </c>
      <c r="L352" s="18" t="s">
        <v>98</v>
      </c>
      <c r="M352" s="18" t="s">
        <v>98</v>
      </c>
      <c r="N352" s="18" t="s">
        <v>98</v>
      </c>
      <c r="O352" s="18" t="s">
        <v>98</v>
      </c>
      <c r="P352" s="15" t="str">
        <f t="shared" si="1"/>
        <v>VERIFY</v>
      </c>
      <c r="Q352" s="15">
        <f t="shared" si="2"/>
        <v>5</v>
      </c>
      <c r="R352" s="15">
        <f t="shared" si="3"/>
        <v>6</v>
      </c>
      <c r="S352" s="15">
        <f t="shared" si="4"/>
        <v>4</v>
      </c>
      <c r="T352" s="15" t="str">
        <f t="shared" si="5"/>
        <v>B-1</v>
      </c>
      <c r="U352" s="15" t="str">
        <f t="shared" si="6"/>
        <v>T5-M6-H4-FB-1-VERIFY</v>
      </c>
      <c r="V352" s="15">
        <f t="shared" si="7"/>
        <v>0</v>
      </c>
      <c r="W352" s="31"/>
      <c r="X352" s="15" t="str">
        <f t="shared" si="8"/>
        <v>chhindwara</v>
      </c>
      <c r="Y352" s="32" t="str">
        <f t="shared" si="9"/>
        <v>https://steelmanufacturer.in/market-area/electropolished-pipes-manufacturer-in-chhindwara/</v>
      </c>
      <c r="Z352" s="15" t="str">
        <f t="shared" si="10"/>
        <v>Electropolished Pipes Manufacturer in Chhindwara</v>
      </c>
      <c r="AA352" s="15" t="str">
        <f t="shared" si="11"/>
        <v>OK (48)</v>
      </c>
      <c r="AB352" s="15" t="str">
        <f t="shared" si="12"/>
        <v>EP tube and pipe for VERIFY plants around MPIDC Industrial Area, Chhindwara. Made at our Mumbai works to ASTM A270 and ASME BPE SF1-SF4, with 3.1 MTC.</v>
      </c>
      <c r="AC352" s="15" t="str">
        <f t="shared" si="13"/>
        <v>PENDING RESEARCH</v>
      </c>
      <c r="AD352" s="15" t="str">
        <f t="shared" si="14"/>
        <v>Electropolished Pipes Manufacturer in Chhindwara</v>
      </c>
      <c r="AE352" s="15" t="str">
        <f t="shared" si="15"/>
        <v>Manufacturing Electropolished SS Tube for Chhindwara: The Standards We Build To</v>
      </c>
      <c r="AF352" s="15" t="str">
        <f t="shared" si="16"/>
        <v>Electropolished Pipe Supply Into Chhindwara - Certification &amp; Transit</v>
      </c>
      <c r="AG352" s="15" t="str">
        <f t="shared" si="17"/>
        <v>Electropolished Pipes Wholesaler in Chhindwara - Project Quantities &amp; Terms</v>
      </c>
      <c r="AH352" s="15" t="str">
        <f t="shared" si="18"/>
        <v>electropolished pipes manufacturer in Chhindwara, electropolished pipes supplier in Chhindwara, electropolished pipes wholesaler in Chhindwara, electropolished tube manufacturer Chhindwara, EP pipe supplier Chhindwara, sanitary tube supplier Chhindwara, ASME BPE tubing Chhindwara, ASTM A270 tube Chhindwara, SS 316L electropolished pipe Chhindwara</v>
      </c>
      <c r="AI352" s="15" t="str">
        <f t="shared" si="19"/>
        <v>Electropolished Pipes Manufacturer &amp; Supplier in Chhindwara</v>
      </c>
      <c r="AJ352" s="15" t="str">
        <f t="shared" si="20"/>
        <v>EP-finished SS 304/316L pipes and tubes for VERIFY plants in Chhindwara. ASME BPE SF1-SF4, Ra from 0.25 um, EN 10204 3.1 certificate with every lot.</v>
      </c>
      <c r="AK352" s="15" t="str">
        <f t="shared" si="21"/>
        <v>Electropolished stainless steel pipes supplied by Sakshi Forge to VERIFY plants at MPIDC Industrial Area, Chhindwara</v>
      </c>
      <c r="AL352" s="15" t="str">
        <f t="shared" si="22"/>
        <v>Electropolished SS 316L tube stock for Chhindwara - Sakshi Forge</v>
      </c>
      <c r="AM352" s="15" t="str">
        <f t="shared" si="23"/>
        <v>Home &gt; Market Area &gt; India &gt; Madhya Pradesh &gt; Chhindwara</v>
      </c>
      <c r="AN352" s="15">
        <f t="shared" si="24"/>
        <v>1000</v>
      </c>
      <c r="AO352" s="15">
        <f t="shared" si="25"/>
        <v>8</v>
      </c>
      <c r="AP352" s="15">
        <f t="shared" si="26"/>
        <v>8</v>
      </c>
      <c r="AQ352" s="15">
        <f t="shared" si="27"/>
        <v>6</v>
      </c>
      <c r="AR352" s="31"/>
      <c r="AS352" s="31"/>
      <c r="AT352" s="35" t="s">
        <v>222</v>
      </c>
      <c r="AU352" s="35"/>
    </row>
    <row r="353" ht="15.75" customHeight="1">
      <c r="A353" s="15" t="s">
        <v>2707</v>
      </c>
      <c r="B353" s="15" t="s">
        <v>60</v>
      </c>
      <c r="C353" s="15" t="s">
        <v>570</v>
      </c>
      <c r="D353" s="15" t="s">
        <v>2712</v>
      </c>
      <c r="E353" s="15" t="s">
        <v>2712</v>
      </c>
      <c r="F353" s="65" t="s">
        <v>788</v>
      </c>
      <c r="G353" s="66" t="s">
        <v>98</v>
      </c>
      <c r="H353" s="18" t="s">
        <v>2723</v>
      </c>
      <c r="I353" s="18" t="s">
        <v>8405</v>
      </c>
      <c r="J353" s="18" t="s">
        <v>98</v>
      </c>
      <c r="K353" s="18" t="s">
        <v>98</v>
      </c>
      <c r="L353" s="18" t="s">
        <v>98</v>
      </c>
      <c r="M353" s="18" t="s">
        <v>98</v>
      </c>
      <c r="N353" s="18" t="s">
        <v>98</v>
      </c>
      <c r="O353" s="18" t="s">
        <v>98</v>
      </c>
      <c r="P353" s="15" t="str">
        <f t="shared" si="1"/>
        <v>VERIFY</v>
      </c>
      <c r="Q353" s="15">
        <f t="shared" si="2"/>
        <v>6</v>
      </c>
      <c r="R353" s="15">
        <f t="shared" si="3"/>
        <v>7</v>
      </c>
      <c r="S353" s="15">
        <f t="shared" si="4"/>
        <v>5</v>
      </c>
      <c r="T353" s="15" t="str">
        <f t="shared" si="5"/>
        <v>B-2</v>
      </c>
      <c r="U353" s="15" t="str">
        <f t="shared" si="6"/>
        <v>T6-M7-H5-FB-2-VERIFY</v>
      </c>
      <c r="V353" s="15">
        <f t="shared" si="7"/>
        <v>0</v>
      </c>
      <c r="W353" s="31"/>
      <c r="X353" s="15" t="str">
        <f t="shared" si="8"/>
        <v>chikkaballapur</v>
      </c>
      <c r="Y353" s="32" t="str">
        <f t="shared" si="9"/>
        <v>https://steelmanufacturer.in/market-area/electropolished-pipes-manufacturer-in-chikkaballapur/</v>
      </c>
      <c r="Z353" s="15" t="str">
        <f t="shared" si="10"/>
        <v>Electropolished Pipes Manufacturer in Chikkaballapur</v>
      </c>
      <c r="AA353" s="15" t="str">
        <f t="shared" si="11"/>
        <v>OK (52)</v>
      </c>
      <c r="AB353" s="15" t="str">
        <f t="shared" si="12"/>
        <v>Electropolished pipes in Chikkaballapur: 304, 304L, 316 and 316L in SF1-SF4. VERIFY. Mill certified.</v>
      </c>
      <c r="AC353" s="15" t="str">
        <f t="shared" si="13"/>
        <v>PENDING RESEARCH</v>
      </c>
      <c r="AD353" s="15" t="str">
        <f t="shared" si="14"/>
        <v>Electropolished Pipes Manufacturer in Chikkaballapur</v>
      </c>
      <c r="AE353" s="15" t="str">
        <f t="shared" si="15"/>
        <v>Electropolished Tube Manufacturing Capability Serving Chikkaballapur</v>
      </c>
      <c r="AF353" s="15" t="str">
        <f t="shared" si="16"/>
        <v>Electropolished Pipes Supplier in Chikkaballapur - From Order to Delivery</v>
      </c>
      <c r="AG353" s="15" t="str">
        <f t="shared" si="17"/>
        <v>Stockist &amp; Wholesale Supply of Electropolished Pipes in Chikkaballapur</v>
      </c>
      <c r="AH353" s="15" t="str">
        <f t="shared" si="18"/>
        <v>electropolished pipes manufacturer in Chikkaballapur, electropolished pipes supplier in Chikkaballapur, electropolished pipes wholesaler in Chikkaballapur, electropolished tube manufacturer Chikkaballapur, EP pipe supplier Chikkaballapur, sanitary tube supplier Chikkaballapur, ASME BPE tubing Chikkaballapur, ASTM A270 tube Chikkaballapur, SS 316L electropolished pipe Chikkaballapur</v>
      </c>
      <c r="AI353" s="15" t="str">
        <f t="shared" si="19"/>
        <v>Electropolished Pipes Manufacturer &amp; Supplier in Chikkaballapur</v>
      </c>
      <c r="AJ353" s="15" t="str">
        <f t="shared" si="20"/>
        <v>EP-finished SS 304/316L pipes and tubes for VERIFY plants in Chikkaballapur. ASME BPE SF1-SF4, Ra from 0.25 um, EN 10204 3.1 certificate with every lot.</v>
      </c>
      <c r="AK353" s="15" t="str">
        <f t="shared" si="21"/>
        <v>Electropolished stainless steel pipes supplied by Sakshi Forge to VERIFY plants at KIADB Industrial Area, Chikkaballapur</v>
      </c>
      <c r="AL353" s="15" t="str">
        <f t="shared" si="22"/>
        <v>Electropolished SS 316L tube stock for Chikkaballapur - Sakshi Forge</v>
      </c>
      <c r="AM353" s="15" t="str">
        <f t="shared" si="23"/>
        <v>Home &gt; Market Area &gt; India &gt; Karnataka &gt; Chikkaballapur</v>
      </c>
      <c r="AN353" s="15">
        <f t="shared" si="24"/>
        <v>1000</v>
      </c>
      <c r="AO353" s="15">
        <f t="shared" si="25"/>
        <v>8</v>
      </c>
      <c r="AP353" s="15">
        <f t="shared" si="26"/>
        <v>8</v>
      </c>
      <c r="AQ353" s="15">
        <f t="shared" si="27"/>
        <v>6</v>
      </c>
      <c r="AR353" s="31"/>
      <c r="AS353" s="31"/>
      <c r="AT353" s="35" t="s">
        <v>222</v>
      </c>
      <c r="AU353" s="35"/>
    </row>
    <row r="354" ht="15.75" customHeight="1">
      <c r="A354" s="15" t="s">
        <v>2729</v>
      </c>
      <c r="B354" s="15" t="s">
        <v>60</v>
      </c>
      <c r="C354" s="15" t="s">
        <v>570</v>
      </c>
      <c r="D354" s="15" t="s">
        <v>2733</v>
      </c>
      <c r="E354" s="15" t="s">
        <v>2733</v>
      </c>
      <c r="F354" s="65" t="s">
        <v>788</v>
      </c>
      <c r="G354" s="66" t="s">
        <v>98</v>
      </c>
      <c r="H354" s="18" t="s">
        <v>2737</v>
      </c>
      <c r="I354" s="18" t="s">
        <v>8405</v>
      </c>
      <c r="J354" s="18" t="s">
        <v>98</v>
      </c>
      <c r="K354" s="18" t="s">
        <v>98</v>
      </c>
      <c r="L354" s="18" t="s">
        <v>98</v>
      </c>
      <c r="M354" s="18" t="s">
        <v>98</v>
      </c>
      <c r="N354" s="18" t="s">
        <v>98</v>
      </c>
      <c r="O354" s="18" t="s">
        <v>98</v>
      </c>
      <c r="P354" s="15" t="str">
        <f t="shared" si="1"/>
        <v>VERIFY</v>
      </c>
      <c r="Q354" s="15">
        <f t="shared" si="2"/>
        <v>7</v>
      </c>
      <c r="R354" s="15">
        <f t="shared" si="3"/>
        <v>1</v>
      </c>
      <c r="S354" s="15">
        <f t="shared" si="4"/>
        <v>1</v>
      </c>
      <c r="T354" s="15" t="str">
        <f t="shared" si="5"/>
        <v>B-3</v>
      </c>
      <c r="U354" s="15" t="str">
        <f t="shared" si="6"/>
        <v>T7-M1-H1-FB-3-VERIFY</v>
      </c>
      <c r="V354" s="15">
        <f t="shared" si="7"/>
        <v>0</v>
      </c>
      <c r="W354" s="31"/>
      <c r="X354" s="15" t="str">
        <f t="shared" si="8"/>
        <v>chitradurga</v>
      </c>
      <c r="Y354" s="32" t="str">
        <f t="shared" si="9"/>
        <v>https://steelmanufacturer.in/market-area/electropolished-pipes-manufacturer-in-chitradurga/</v>
      </c>
      <c r="Z354" s="15" t="str">
        <f t="shared" si="10"/>
        <v>Electropolished Pipes Manufacturer in Chitradurga</v>
      </c>
      <c r="AA354" s="15" t="str">
        <f t="shared" si="11"/>
        <v>OK (49)</v>
      </c>
      <c r="AB354" s="15" t="str">
        <f t="shared" si="12"/>
        <v>EP-finished SS 304/316L pipes &amp; tubes for VERIFY plants in Chitradurga. ASTM A270, ASME BPE SF1-SF4, EN 10204 3.1 MTC. PMI tested.</v>
      </c>
      <c r="AC354" s="15" t="str">
        <f t="shared" si="13"/>
        <v>PENDING RESEARCH</v>
      </c>
      <c r="AD354" s="15" t="str">
        <f t="shared" si="14"/>
        <v>Electropolished Pipes Manufacturer in Chitradurga</v>
      </c>
      <c r="AE354" s="15" t="str">
        <f t="shared" si="15"/>
        <v>Electropolished Pipe &amp; Tube Manufacturing for Chitradurga - Grades, Finishes &amp; Certification</v>
      </c>
      <c r="AF354" s="15" t="str">
        <f t="shared" si="16"/>
        <v>Electropolished Pipes Supplier in Chitradurga - Stock Sizes, Lead Time &amp; Delivery</v>
      </c>
      <c r="AG354" s="15" t="str">
        <f t="shared" si="17"/>
        <v>Electropolished Pipes Wholesaler &amp; Stockist in Chitradurga - Bulk &amp; Project Pricing</v>
      </c>
      <c r="AH354" s="15" t="str">
        <f t="shared" si="18"/>
        <v>electropolished pipes manufacturer in Chitradurga, electropolished pipes supplier in Chitradurga, electropolished pipes wholesaler in Chitradurga, electropolished tube manufacturer Chitradurga, EP pipe supplier Chitradurga, sanitary tube supplier Chitradurga, ASME BPE tubing Chitradurga, ASTM A270 tube Chitradurga, SS 316L electropolished pipe Chitradurga</v>
      </c>
      <c r="AI354" s="15" t="str">
        <f t="shared" si="19"/>
        <v>Electropolished Pipes Manufacturer &amp; Supplier in Chitradurga</v>
      </c>
      <c r="AJ354" s="15" t="str">
        <f t="shared" si="20"/>
        <v>EP-finished SS 304/316L pipes and tubes for VERIFY plants in Chitradurga. ASME BPE SF1-SF4, Ra from 0.25 um, EN 10204 3.1 certificate with every lot.</v>
      </c>
      <c r="AK354" s="15" t="str">
        <f t="shared" si="21"/>
        <v>Electropolished stainless steel pipes supplied by Sakshi Forge to VERIFY plants at KIADB Industrial Area, Chitradurga</v>
      </c>
      <c r="AL354" s="15" t="str">
        <f t="shared" si="22"/>
        <v>Electropolished SS 316L tube stock for Chitradurga - Sakshi Forge</v>
      </c>
      <c r="AM354" s="15" t="str">
        <f t="shared" si="23"/>
        <v>Home &gt; Market Area &gt; India &gt; Karnataka &gt; Chitradurga</v>
      </c>
      <c r="AN354" s="15">
        <f t="shared" si="24"/>
        <v>1000</v>
      </c>
      <c r="AO354" s="15">
        <f t="shared" si="25"/>
        <v>8</v>
      </c>
      <c r="AP354" s="15">
        <f t="shared" si="26"/>
        <v>8</v>
      </c>
      <c r="AQ354" s="15">
        <f t="shared" si="27"/>
        <v>6</v>
      </c>
      <c r="AR354" s="31"/>
      <c r="AS354" s="31"/>
      <c r="AT354" s="35" t="s">
        <v>222</v>
      </c>
      <c r="AU354" s="35"/>
    </row>
    <row r="355" ht="15.75" customHeight="1">
      <c r="A355" s="15" t="s">
        <v>2743</v>
      </c>
      <c r="B355" s="15" t="s">
        <v>60</v>
      </c>
      <c r="C355" s="15" t="s">
        <v>413</v>
      </c>
      <c r="D355" s="15" t="s">
        <v>2749</v>
      </c>
      <c r="E355" s="15" t="s">
        <v>2749</v>
      </c>
      <c r="F355" s="65" t="s">
        <v>788</v>
      </c>
      <c r="G355" s="66" t="s">
        <v>98</v>
      </c>
      <c r="H355" s="18" t="s">
        <v>2757</v>
      </c>
      <c r="I355" s="18" t="s">
        <v>8393</v>
      </c>
      <c r="J355" s="18" t="s">
        <v>98</v>
      </c>
      <c r="K355" s="18" t="s">
        <v>98</v>
      </c>
      <c r="L355" s="18" t="s">
        <v>98</v>
      </c>
      <c r="M355" s="18" t="s">
        <v>98</v>
      </c>
      <c r="N355" s="18" t="s">
        <v>98</v>
      </c>
      <c r="O355" s="18" t="s">
        <v>98</v>
      </c>
      <c r="P355" s="15" t="str">
        <f t="shared" si="1"/>
        <v>VERIFY</v>
      </c>
      <c r="Q355" s="15">
        <f t="shared" si="2"/>
        <v>8</v>
      </c>
      <c r="R355" s="15">
        <f t="shared" si="3"/>
        <v>2</v>
      </c>
      <c r="S355" s="15">
        <f t="shared" si="4"/>
        <v>2</v>
      </c>
      <c r="T355" s="15" t="str">
        <f t="shared" si="5"/>
        <v>B-4</v>
      </c>
      <c r="U355" s="15" t="str">
        <f t="shared" si="6"/>
        <v>T8-M2-H2-FB-4-VERIFY</v>
      </c>
      <c r="V355" s="15">
        <f t="shared" si="7"/>
        <v>0</v>
      </c>
      <c r="W355" s="31"/>
      <c r="X355" s="15" t="str">
        <f t="shared" si="8"/>
        <v>chittoor</v>
      </c>
      <c r="Y355" s="32" t="str">
        <f t="shared" si="9"/>
        <v>https://steelmanufacturer.in/market-area/electropolished-pipes-manufacturer-in-chittoor/</v>
      </c>
      <c r="Z355" s="15" t="str">
        <f t="shared" si="10"/>
        <v>Electropolished Pipes Manufacturer in Chittoor - EP Tube Stockist</v>
      </c>
      <c r="AA355" s="15" t="str">
        <f t="shared" si="11"/>
        <v>OK (65)</v>
      </c>
      <c r="AB355" s="15" t="str">
        <f t="shared" si="12"/>
        <v>Electropolished tube supply to APIIC Industrial Area, Chittoor. Ra from 0.25 um, SF4 finish, mill test certificate with every lot.</v>
      </c>
      <c r="AC355" s="15" t="str">
        <f t="shared" si="13"/>
        <v>PENDING RESEARCH</v>
      </c>
      <c r="AD355" s="15" t="str">
        <f t="shared" si="14"/>
        <v>Electropolished Pipes Manufacturer in Chittoor</v>
      </c>
      <c r="AE355" s="15" t="str">
        <f t="shared" si="15"/>
        <v>How We Manufacture Electropolished Tube for Chittoor Plants</v>
      </c>
      <c r="AF355" s="15" t="str">
        <f t="shared" si="16"/>
        <v>Supplying Electropolished Pipes in Chittoor: Availability, Sizes &amp; Dispatch</v>
      </c>
      <c r="AG355" s="15" t="str">
        <f t="shared" si="17"/>
        <v>Wholesale Electropolished Pipe Supply for Chittoor Projects</v>
      </c>
      <c r="AH355" s="15" t="str">
        <f t="shared" si="18"/>
        <v>electropolished pipes manufacturer in Chittoor, electropolished pipes supplier in Chittoor, electropolished pipes wholesaler in Chittoor, electropolished tube manufacturer Chittoor, EP pipe supplier Chittoor, sanitary tube supplier Chittoor, ASME BPE tubing Chittoor, ASTM A270 tube Chittoor, SS 316L electropolished pipe Chittoor</v>
      </c>
      <c r="AI355" s="15" t="str">
        <f t="shared" si="19"/>
        <v>Electropolished Pipes Manufacturer &amp; Supplier in Chittoor</v>
      </c>
      <c r="AJ355" s="15" t="str">
        <f t="shared" si="20"/>
        <v>EP-finished SS 304/316L pipes and tubes for VERIFY plants in Chittoor. ASME BPE SF1-SF4, Ra from 0.25 um, EN 10204 3.1 certificate with every lot.</v>
      </c>
      <c r="AK355" s="15" t="str">
        <f t="shared" si="21"/>
        <v>Electropolished stainless steel pipes supplied by Sakshi Forge to VERIFY plants at APIIC Industrial Area, Chittoor</v>
      </c>
      <c r="AL355" s="15" t="str">
        <f t="shared" si="22"/>
        <v>Electropolished SS 316L tube stock for Chittoor - Sakshi Forge</v>
      </c>
      <c r="AM355" s="15" t="str">
        <f t="shared" si="23"/>
        <v>Home &gt; Market Area &gt; India &gt; Andhra Pradesh &gt; Chittoor</v>
      </c>
      <c r="AN355" s="15">
        <f t="shared" si="24"/>
        <v>1000</v>
      </c>
      <c r="AO355" s="15">
        <f t="shared" si="25"/>
        <v>8</v>
      </c>
      <c r="AP355" s="15">
        <f t="shared" si="26"/>
        <v>8</v>
      </c>
      <c r="AQ355" s="15">
        <f t="shared" si="27"/>
        <v>6</v>
      </c>
      <c r="AR355" s="31"/>
      <c r="AS355" s="31"/>
      <c r="AT355" s="35" t="s">
        <v>222</v>
      </c>
      <c r="AU355" s="35"/>
    </row>
    <row r="356" ht="15.75" customHeight="1">
      <c r="A356" s="15" t="s">
        <v>2764</v>
      </c>
      <c r="B356" s="15" t="s">
        <v>60</v>
      </c>
      <c r="C356" s="15" t="s">
        <v>236</v>
      </c>
      <c r="D356" s="15" t="s">
        <v>2770</v>
      </c>
      <c r="E356" s="15" t="s">
        <v>2770</v>
      </c>
      <c r="F356" s="65" t="s">
        <v>788</v>
      </c>
      <c r="G356" s="66" t="s">
        <v>98</v>
      </c>
      <c r="H356" s="18" t="s">
        <v>2777</v>
      </c>
      <c r="I356" s="18" t="s">
        <v>8391</v>
      </c>
      <c r="J356" s="18" t="s">
        <v>98</v>
      </c>
      <c r="K356" s="18" t="s">
        <v>98</v>
      </c>
      <c r="L356" s="18" t="s">
        <v>98</v>
      </c>
      <c r="M356" s="18" t="s">
        <v>98</v>
      </c>
      <c r="N356" s="18" t="s">
        <v>98</v>
      </c>
      <c r="O356" s="18" t="s">
        <v>98</v>
      </c>
      <c r="P356" s="15" t="str">
        <f t="shared" si="1"/>
        <v>VERIFY</v>
      </c>
      <c r="Q356" s="15">
        <f t="shared" si="2"/>
        <v>1</v>
      </c>
      <c r="R356" s="15">
        <f t="shared" si="3"/>
        <v>3</v>
      </c>
      <c r="S356" s="15">
        <f t="shared" si="4"/>
        <v>3</v>
      </c>
      <c r="T356" s="15" t="str">
        <f t="shared" si="5"/>
        <v>B-5</v>
      </c>
      <c r="U356" s="15" t="str">
        <f t="shared" si="6"/>
        <v>T1-M3-H3-FB-5-VERIFY</v>
      </c>
      <c r="V356" s="15">
        <f t="shared" si="7"/>
        <v>0</v>
      </c>
      <c r="W356" s="31"/>
      <c r="X356" s="15" t="str">
        <f t="shared" si="8"/>
        <v>chittorgarh</v>
      </c>
      <c r="Y356" s="32" t="str">
        <f t="shared" si="9"/>
        <v>https://steelmanufacturer.in/market-area/electropolished-pipes-manufacturer-in-chittorgarh/</v>
      </c>
      <c r="Z356" s="15" t="str">
        <f t="shared" si="10"/>
        <v>Electropolished Pipes Manufacturer in Chittorgarh | Sakshi Forge</v>
      </c>
      <c r="AA356" s="15" t="str">
        <f t="shared" si="11"/>
        <v>OK (64)</v>
      </c>
      <c r="AB356" s="15" t="str">
        <f t="shared" si="12"/>
        <v>EP stainless tube for VERIFY lines in Chittorgarh. VERIFY. ASTM A270 S2, PMI tested, EN 10204 3.1.</v>
      </c>
      <c r="AC356" s="15" t="str">
        <f t="shared" si="13"/>
        <v>PENDING RESEARCH</v>
      </c>
      <c r="AD356" s="15" t="str">
        <f t="shared" si="14"/>
        <v>Electropolished Pipes Manufacturer in Chittorgarh</v>
      </c>
      <c r="AE356" s="15" t="str">
        <f t="shared" si="15"/>
        <v>Electropolished Pipes Manufacturer in Chittorgarh - Our Process &amp; Capability</v>
      </c>
      <c r="AF356" s="15" t="str">
        <f t="shared" si="16"/>
        <v>Electropolished Pipes Supplier in Chittorgarh - What We Hold in Stock</v>
      </c>
      <c r="AG356" s="15" t="str">
        <f t="shared" si="17"/>
        <v>Bulk &amp; Wholesale Electropolished Pipe Rates for Chittorgarh Buyers</v>
      </c>
      <c r="AH356" s="15" t="str">
        <f t="shared" si="18"/>
        <v>electropolished pipes manufacturer in Chittorgarh, electropolished pipes supplier in Chittorgarh, electropolished pipes wholesaler in Chittorgarh, electropolished tube manufacturer Chittorgarh, EP pipe supplier Chittorgarh, sanitary tube supplier Chittorgarh, ASME BPE tubing Chittorgarh, ASTM A270 tube Chittorgarh, SS 316L electropolished pipe Chittorgarh</v>
      </c>
      <c r="AI356" s="15" t="str">
        <f t="shared" si="19"/>
        <v>Electropolished Pipes Manufacturer &amp; Supplier in Chittorgarh</v>
      </c>
      <c r="AJ356" s="15" t="str">
        <f t="shared" si="20"/>
        <v>EP-finished SS 304/316L pipes and tubes for VERIFY plants in Chittorgarh. ASME BPE SF1-SF4, Ra from 0.25 um, EN 10204 3.1 certificate with every lot.</v>
      </c>
      <c r="AK356" s="15" t="str">
        <f t="shared" si="21"/>
        <v>Electropolished stainless steel pipes supplied by Sakshi Forge to VERIFY plants at RIICO Industrial Area, Chittorgarh</v>
      </c>
      <c r="AL356" s="15" t="str">
        <f t="shared" si="22"/>
        <v>Electropolished SS 316L tube stock for Chittorgarh - Sakshi Forge</v>
      </c>
      <c r="AM356" s="15" t="str">
        <f t="shared" si="23"/>
        <v>Home &gt; Market Area &gt; India &gt; Rajasthan &gt; Chittorgarh</v>
      </c>
      <c r="AN356" s="15">
        <f t="shared" si="24"/>
        <v>1000</v>
      </c>
      <c r="AO356" s="15">
        <f t="shared" si="25"/>
        <v>8</v>
      </c>
      <c r="AP356" s="15">
        <f t="shared" si="26"/>
        <v>8</v>
      </c>
      <c r="AQ356" s="15">
        <f t="shared" si="27"/>
        <v>6</v>
      </c>
      <c r="AR356" s="31"/>
      <c r="AS356" s="31"/>
      <c r="AT356" s="35" t="s">
        <v>222</v>
      </c>
      <c r="AU356" s="35"/>
    </row>
    <row r="357" ht="15.75" customHeight="1">
      <c r="A357" s="15" t="s">
        <v>2784</v>
      </c>
      <c r="B357" s="15" t="s">
        <v>60</v>
      </c>
      <c r="C357" s="15" t="s">
        <v>1312</v>
      </c>
      <c r="D357" s="15" t="s">
        <v>2789</v>
      </c>
      <c r="E357" s="15" t="s">
        <v>2789</v>
      </c>
      <c r="F357" s="65" t="s">
        <v>788</v>
      </c>
      <c r="G357" s="66" t="s">
        <v>98</v>
      </c>
      <c r="H357" s="18" t="s">
        <v>2797</v>
      </c>
      <c r="I357" s="18" t="s">
        <v>8392</v>
      </c>
      <c r="J357" s="18" t="s">
        <v>98</v>
      </c>
      <c r="K357" s="18" t="s">
        <v>98</v>
      </c>
      <c r="L357" s="18" t="s">
        <v>98</v>
      </c>
      <c r="M357" s="18" t="s">
        <v>98</v>
      </c>
      <c r="N357" s="18" t="s">
        <v>98</v>
      </c>
      <c r="O357" s="18" t="s">
        <v>98</v>
      </c>
      <c r="P357" s="15" t="str">
        <f t="shared" si="1"/>
        <v>VERIFY</v>
      </c>
      <c r="Q357" s="15">
        <f t="shared" si="2"/>
        <v>2</v>
      </c>
      <c r="R357" s="15">
        <f t="shared" si="3"/>
        <v>4</v>
      </c>
      <c r="S357" s="15">
        <f t="shared" si="4"/>
        <v>4</v>
      </c>
      <c r="T357" s="15" t="str">
        <f t="shared" si="5"/>
        <v>B-6</v>
      </c>
      <c r="U357" s="15" t="str">
        <f t="shared" si="6"/>
        <v>T2-M4-H4-FB-6-VERIFY</v>
      </c>
      <c r="V357" s="15">
        <f t="shared" si="7"/>
        <v>0</v>
      </c>
      <c r="W357" s="31"/>
      <c r="X357" s="15" t="str">
        <f t="shared" si="8"/>
        <v>choutuppal</v>
      </c>
      <c r="Y357" s="32" t="str">
        <f t="shared" si="9"/>
        <v>https://steelmanufacturer.in/market-area/electropolished-pipes-manufacturer-in-choutuppal/</v>
      </c>
      <c r="Z357" s="15" t="str">
        <f t="shared" si="10"/>
        <v>Electropolished Pipes Manufacturer in Choutuppal</v>
      </c>
      <c r="AA357" s="15" t="str">
        <f t="shared" si="11"/>
        <v>OK (48)</v>
      </c>
      <c r="AB357" s="15" t="str">
        <f t="shared" si="12"/>
        <v>Sanitary electropolished pipes in Choutuppal for VERIFY plants. ASME BPE SF1-SF4, orbital-weld ready, 3.1 MTC. Mumbai-made.</v>
      </c>
      <c r="AC357" s="15" t="str">
        <f t="shared" si="13"/>
        <v>PENDING RESEARCH</v>
      </c>
      <c r="AD357" s="15" t="str">
        <f t="shared" si="14"/>
        <v>Electropolished Pipes Manufacturer in Choutuppal</v>
      </c>
      <c r="AE357" s="15" t="str">
        <f t="shared" si="15"/>
        <v>Manufacturing Electropolished SS Tube for Choutuppal: The Standards We Build To</v>
      </c>
      <c r="AF357" s="15" t="str">
        <f t="shared" si="16"/>
        <v>Electropolished Pipe Supply Into Choutuppal - Certification &amp; Transit</v>
      </c>
      <c r="AG357" s="15" t="str">
        <f t="shared" si="17"/>
        <v>Electropolished Pipes Wholesaler in Choutuppal - Project Quantities &amp; Terms</v>
      </c>
      <c r="AH357" s="15" t="str">
        <f t="shared" si="18"/>
        <v>electropolished pipes manufacturer in Choutuppal, electropolished pipes supplier in Choutuppal, electropolished pipes wholesaler in Choutuppal, electropolished tube manufacturer Choutuppal, EP pipe supplier Choutuppal, sanitary tube supplier Choutuppal, ASME BPE tubing Choutuppal, ASTM A270 tube Choutuppal, SS 316L electropolished pipe Choutuppal</v>
      </c>
      <c r="AI357" s="15" t="str">
        <f t="shared" si="19"/>
        <v>Electropolished Pipes Manufacturer &amp; Supplier in Choutuppal</v>
      </c>
      <c r="AJ357" s="15" t="str">
        <f t="shared" si="20"/>
        <v>EP-finished SS 304/316L pipes and tubes for VERIFY plants in Choutuppal. ASME BPE SF1-SF4, Ra from 0.25 um, EN 10204 3.1 certificate with every lot.</v>
      </c>
      <c r="AK357" s="15" t="str">
        <f t="shared" si="21"/>
        <v>Electropolished stainless steel pipes supplied by Sakshi Forge to VERIFY plants at TSIIC Industrial Area, Choutuppal</v>
      </c>
      <c r="AL357" s="15" t="str">
        <f t="shared" si="22"/>
        <v>Electropolished SS 316L tube stock for Choutuppal - Sakshi Forge</v>
      </c>
      <c r="AM357" s="15" t="str">
        <f t="shared" si="23"/>
        <v>Home &gt; Market Area &gt; India &gt; Telangana &gt; Choutuppal</v>
      </c>
      <c r="AN357" s="15">
        <f t="shared" si="24"/>
        <v>1000</v>
      </c>
      <c r="AO357" s="15">
        <f t="shared" si="25"/>
        <v>8</v>
      </c>
      <c r="AP357" s="15">
        <f t="shared" si="26"/>
        <v>8</v>
      </c>
      <c r="AQ357" s="15">
        <f t="shared" si="27"/>
        <v>6</v>
      </c>
      <c r="AR357" s="31"/>
      <c r="AS357" s="31"/>
      <c r="AT357" s="35" t="s">
        <v>222</v>
      </c>
      <c r="AU357" s="35"/>
    </row>
    <row r="358" ht="15.75" customHeight="1">
      <c r="A358" s="15" t="s">
        <v>2801</v>
      </c>
      <c r="B358" s="15" t="s">
        <v>60</v>
      </c>
      <c r="C358" s="15" t="s">
        <v>1165</v>
      </c>
      <c r="D358" s="15" t="s">
        <v>2804</v>
      </c>
      <c r="E358" s="15" t="s">
        <v>2804</v>
      </c>
      <c r="F358" s="65" t="s">
        <v>788</v>
      </c>
      <c r="G358" s="66" t="s">
        <v>98</v>
      </c>
      <c r="H358" s="18" t="s">
        <v>2808</v>
      </c>
      <c r="I358" s="18" t="s">
        <v>8404</v>
      </c>
      <c r="J358" s="18" t="s">
        <v>98</v>
      </c>
      <c r="K358" s="18" t="s">
        <v>98</v>
      </c>
      <c r="L358" s="18" t="s">
        <v>98</v>
      </c>
      <c r="M358" s="18" t="s">
        <v>98</v>
      </c>
      <c r="N358" s="18" t="s">
        <v>98</v>
      </c>
      <c r="O358" s="18" t="s">
        <v>98</v>
      </c>
      <c r="P358" s="15" t="str">
        <f t="shared" si="1"/>
        <v>VERIFY</v>
      </c>
      <c r="Q358" s="15">
        <f t="shared" si="2"/>
        <v>3</v>
      </c>
      <c r="R358" s="15">
        <f t="shared" si="3"/>
        <v>5</v>
      </c>
      <c r="S358" s="15">
        <f t="shared" si="4"/>
        <v>5</v>
      </c>
      <c r="T358" s="15" t="str">
        <f t="shared" si="5"/>
        <v>B-1</v>
      </c>
      <c r="U358" s="15" t="str">
        <f t="shared" si="6"/>
        <v>T3-M5-H5-FB-1-VERIFY</v>
      </c>
      <c r="V358" s="15">
        <f t="shared" si="7"/>
        <v>0</v>
      </c>
      <c r="W358" s="31"/>
      <c r="X358" s="15" t="str">
        <f t="shared" si="8"/>
        <v>cooch-behar</v>
      </c>
      <c r="Y358" s="32" t="str">
        <f t="shared" si="9"/>
        <v>https://steelmanufacturer.in/market-area/electropolished-pipes-manufacturer-in-cooch-behar/</v>
      </c>
      <c r="Z358" s="15" t="str">
        <f t="shared" si="10"/>
        <v>Electropolished Pipes Manufacturer in Cooch Behar</v>
      </c>
      <c r="AA358" s="15" t="str">
        <f t="shared" si="11"/>
        <v>OK (49)</v>
      </c>
      <c r="AB358" s="15" t="str">
        <f t="shared" si="12"/>
        <v>Manufacturer of electropolished SS 316L tube serving Cooch Behar. VERIFY. Ra 0.25-0.5 um, EN 10204 3.1 MTC.</v>
      </c>
      <c r="AC358" s="15" t="str">
        <f t="shared" si="13"/>
        <v>PENDING RESEARCH</v>
      </c>
      <c r="AD358" s="15" t="str">
        <f t="shared" si="14"/>
        <v>Electropolished Pipes Manufacturer in Cooch Behar</v>
      </c>
      <c r="AE358" s="15" t="str">
        <f t="shared" si="15"/>
        <v>Electropolished Tube Manufacturing Capability Serving Cooch Behar</v>
      </c>
      <c r="AF358" s="15" t="str">
        <f t="shared" si="16"/>
        <v>Electropolished Pipes Supplier in Cooch Behar - From Order to Delivery</v>
      </c>
      <c r="AG358" s="15" t="str">
        <f t="shared" si="17"/>
        <v>Stockist &amp; Wholesale Supply of Electropolished Pipes in Cooch Behar</v>
      </c>
      <c r="AH358" s="15" t="str">
        <f t="shared" si="18"/>
        <v>electropolished pipes manufacturer in Cooch Behar, electropolished pipes supplier in Cooch Behar, electropolished pipes wholesaler in Cooch Behar, electropolished tube manufacturer Cooch Behar, EP pipe supplier Cooch Behar, sanitary tube supplier Cooch Behar, ASME BPE tubing Cooch Behar, ASTM A270 tube Cooch Behar, SS 316L electropolished pipe Cooch Behar</v>
      </c>
      <c r="AI358" s="15" t="str">
        <f t="shared" si="19"/>
        <v>Electropolished Pipes Manufacturer &amp; Supplier in Cooch Behar</v>
      </c>
      <c r="AJ358" s="15" t="str">
        <f t="shared" si="20"/>
        <v>EP-finished SS 304/316L pipes and tubes for VERIFY plants in Cooch Behar. ASME BPE SF1-SF4, Ra from 0.25 um, EN 10204 3.1 certificate with every lot.</v>
      </c>
      <c r="AK358" s="15" t="str">
        <f t="shared" si="21"/>
        <v>Electropolished stainless steel pipes supplied by Sakshi Forge to VERIFY plants at WBIDC Industrial Area, Cooch Behar</v>
      </c>
      <c r="AL358" s="15" t="str">
        <f t="shared" si="22"/>
        <v>Electropolished SS 316L tube stock for Cooch Behar - Sakshi Forge</v>
      </c>
      <c r="AM358" s="15" t="str">
        <f t="shared" si="23"/>
        <v>Home &gt; Market Area &gt; India &gt; West Bengal &gt; Cooch Behar</v>
      </c>
      <c r="AN358" s="15">
        <f t="shared" si="24"/>
        <v>1000</v>
      </c>
      <c r="AO358" s="15">
        <f t="shared" si="25"/>
        <v>8</v>
      </c>
      <c r="AP358" s="15">
        <f t="shared" si="26"/>
        <v>8</v>
      </c>
      <c r="AQ358" s="15">
        <f t="shared" si="27"/>
        <v>6</v>
      </c>
      <c r="AR358" s="31"/>
      <c r="AS358" s="31"/>
      <c r="AT358" s="35" t="s">
        <v>222</v>
      </c>
      <c r="AU358" s="35"/>
    </row>
    <row r="359" ht="15.75" customHeight="1">
      <c r="A359" s="15" t="s">
        <v>2811</v>
      </c>
      <c r="B359" s="15" t="s">
        <v>60</v>
      </c>
      <c r="C359" s="15" t="s">
        <v>958</v>
      </c>
      <c r="D359" s="15" t="s">
        <v>2815</v>
      </c>
      <c r="E359" s="15" t="s">
        <v>2815</v>
      </c>
      <c r="F359" s="65" t="s">
        <v>788</v>
      </c>
      <c r="G359" s="66" t="s">
        <v>98</v>
      </c>
      <c r="H359" s="18" t="s">
        <v>2820</v>
      </c>
      <c r="I359" s="18" t="s">
        <v>8403</v>
      </c>
      <c r="J359" s="18" t="s">
        <v>98</v>
      </c>
      <c r="K359" s="18" t="s">
        <v>98</v>
      </c>
      <c r="L359" s="18" t="s">
        <v>98</v>
      </c>
      <c r="M359" s="18" t="s">
        <v>98</v>
      </c>
      <c r="N359" s="18" t="s">
        <v>98</v>
      </c>
      <c r="O359" s="18" t="s">
        <v>98</v>
      </c>
      <c r="P359" s="15" t="str">
        <f t="shared" si="1"/>
        <v>VERIFY</v>
      </c>
      <c r="Q359" s="15">
        <f t="shared" si="2"/>
        <v>4</v>
      </c>
      <c r="R359" s="15">
        <f t="shared" si="3"/>
        <v>6</v>
      </c>
      <c r="S359" s="15">
        <f t="shared" si="4"/>
        <v>1</v>
      </c>
      <c r="T359" s="15" t="str">
        <f t="shared" si="5"/>
        <v>B-2</v>
      </c>
      <c r="U359" s="15" t="str">
        <f t="shared" si="6"/>
        <v>T4-M6-H1-FB-2-VERIFY</v>
      </c>
      <c r="V359" s="15">
        <f t="shared" si="7"/>
        <v>0</v>
      </c>
      <c r="W359" s="31"/>
      <c r="X359" s="15" t="str">
        <f t="shared" si="8"/>
        <v>cuddalore-sipcot-ii</v>
      </c>
      <c r="Y359" s="32" t="str">
        <f t="shared" si="9"/>
        <v>https://steelmanufacturer.in/market-area/electropolished-pipes-manufacturer-in-cuddalore-sipcot-ii/</v>
      </c>
      <c r="Z359" s="15" t="str">
        <f t="shared" si="10"/>
        <v>Electropolished Pipes Manufacturer in Cuddalore-SIPCOT II</v>
      </c>
      <c r="AA359" s="15" t="str">
        <f t="shared" si="11"/>
        <v>OK (57)</v>
      </c>
      <c r="AB359" s="15" t="str">
        <f t="shared" si="12"/>
        <v>EP tube and pipe for VERIFY plants around SIPCOT Industrial Area, Cuddalore-SIPCOT II. Made at our Mumbai works to ASTM A270 and ASME BPE SF1-SF4, with 3.1 MTC.</v>
      </c>
      <c r="AC359" s="15" t="str">
        <f t="shared" si="13"/>
        <v>PENDING RESEARCH</v>
      </c>
      <c r="AD359" s="15" t="str">
        <f t="shared" si="14"/>
        <v>Electropolished Pipes Manufacturer in Cuddalore-SIPCOT II</v>
      </c>
      <c r="AE359" s="15" t="str">
        <f t="shared" si="15"/>
        <v>Electropolished Pipe &amp; Tube Manufacturing for Cuddalore-SIPCOT II - Grades, Finishes &amp; Certification</v>
      </c>
      <c r="AF359" s="15" t="str">
        <f t="shared" si="16"/>
        <v>Electropolished Pipes Supplier in Cuddalore-SIPCOT II - Stock Sizes, Lead Time &amp; Delivery</v>
      </c>
      <c r="AG359" s="15" t="str">
        <f t="shared" si="17"/>
        <v>Electropolished Pipes Wholesaler &amp; Stockist in Cuddalore-SIPCOT II - Bulk &amp; Project Pricing</v>
      </c>
      <c r="AH359" s="15" t="str">
        <f t="shared" si="18"/>
        <v>electropolished pipes manufacturer in Cuddalore-SIPCOT II, electropolished pipes supplier in Cuddalore-SIPCOT II, electropolished pipes wholesaler in Cuddalore-SIPCOT II, electropolished tube manufacturer Cuddalore-SIPCOT II, EP pipe supplier Cuddalore-SIPCOT II, sanitary tube supplier Cuddalore-SIPCOT II, ASME BPE tubing Cuddalore-SIPCOT II, ASTM A270 tube Cuddalore-SIPCOT II, SS 316L electropolished pipe Cuddalore-SIPCOT II</v>
      </c>
      <c r="AI359" s="15" t="str">
        <f t="shared" si="19"/>
        <v>Electropolished Pipes Manufacturer &amp; Supplier in Cuddalore-SIPCOT II</v>
      </c>
      <c r="AJ359" s="15" t="str">
        <f t="shared" si="20"/>
        <v>EP-finished SS 304/316L pipes and tubes for VERIFY plants in Cuddalore-SIPCOT II. ASME BPE SF1-SF4, Ra from 0.25 um, EN 10204 3.1 certificate with every lot.</v>
      </c>
      <c r="AK359" s="15" t="str">
        <f t="shared" si="21"/>
        <v>Electropolished stainless steel pipes supplied by Sakshi Forge to VERIFY plants at SIPCOT Industrial Area, Cuddalore-SIPCOT II</v>
      </c>
      <c r="AL359" s="15" t="str">
        <f t="shared" si="22"/>
        <v>Electropolished SS 316L tube stock for Cuddalore-SIPCOT II - Sakshi Forge</v>
      </c>
      <c r="AM359" s="15" t="str">
        <f t="shared" si="23"/>
        <v>Home &gt; Market Area &gt; India &gt; Tamil Nadu &gt; Cuddalore-SIPCOT II</v>
      </c>
      <c r="AN359" s="15">
        <f t="shared" si="24"/>
        <v>1000</v>
      </c>
      <c r="AO359" s="15">
        <f t="shared" si="25"/>
        <v>8</v>
      </c>
      <c r="AP359" s="15">
        <f t="shared" si="26"/>
        <v>8</v>
      </c>
      <c r="AQ359" s="15">
        <f t="shared" si="27"/>
        <v>6</v>
      </c>
      <c r="AR359" s="31"/>
      <c r="AS359" s="31"/>
      <c r="AT359" s="35" t="s">
        <v>222</v>
      </c>
      <c r="AU359" s="35"/>
    </row>
    <row r="360" ht="15.75" customHeight="1">
      <c r="A360" s="15" t="s">
        <v>2824</v>
      </c>
      <c r="B360" s="15" t="s">
        <v>60</v>
      </c>
      <c r="C360" s="15" t="s">
        <v>424</v>
      </c>
      <c r="D360" s="15" t="s">
        <v>2825</v>
      </c>
      <c r="E360" s="15" t="s">
        <v>2825</v>
      </c>
      <c r="F360" s="65" t="s">
        <v>788</v>
      </c>
      <c r="G360" s="66" t="s">
        <v>98</v>
      </c>
      <c r="H360" s="18" t="s">
        <v>2830</v>
      </c>
      <c r="I360" s="18" t="s">
        <v>8406</v>
      </c>
      <c r="J360" s="18" t="s">
        <v>98</v>
      </c>
      <c r="K360" s="18" t="s">
        <v>98</v>
      </c>
      <c r="L360" s="18" t="s">
        <v>98</v>
      </c>
      <c r="M360" s="18" t="s">
        <v>98</v>
      </c>
      <c r="N360" s="18" t="s">
        <v>98</v>
      </c>
      <c r="O360" s="18" t="s">
        <v>98</v>
      </c>
      <c r="P360" s="15" t="str">
        <f t="shared" si="1"/>
        <v>VERIFY</v>
      </c>
      <c r="Q360" s="15">
        <f t="shared" si="2"/>
        <v>5</v>
      </c>
      <c r="R360" s="15">
        <f t="shared" si="3"/>
        <v>7</v>
      </c>
      <c r="S360" s="15">
        <f t="shared" si="4"/>
        <v>2</v>
      </c>
      <c r="T360" s="15" t="str">
        <f t="shared" si="5"/>
        <v>B-3</v>
      </c>
      <c r="U360" s="15" t="str">
        <f t="shared" si="6"/>
        <v>T5-M7-H2-FB-3-VERIFY</v>
      </c>
      <c r="V360" s="15">
        <f t="shared" si="7"/>
        <v>0</v>
      </c>
      <c r="W360" s="31"/>
      <c r="X360" s="15" t="str">
        <f t="shared" si="8"/>
        <v>cuttack</v>
      </c>
      <c r="Y360" s="32" t="str">
        <f t="shared" si="9"/>
        <v>https://steelmanufacturer.in/market-area/electropolished-pipes-manufacturer-in-cuttack/</v>
      </c>
      <c r="Z360" s="15" t="str">
        <f t="shared" si="10"/>
        <v>Electropolished Pipes Manufacturer in Cuttack</v>
      </c>
      <c r="AA360" s="15" t="str">
        <f t="shared" si="11"/>
        <v>OK (45)</v>
      </c>
      <c r="AB360" s="15" t="str">
        <f t="shared" si="12"/>
        <v>Electropolished pipes in Cuttack: 304, 304L, 316 and 316L in SF1-SF4. VERIFY. Mill certified.</v>
      </c>
      <c r="AC360" s="15" t="str">
        <f t="shared" si="13"/>
        <v>PENDING RESEARCH</v>
      </c>
      <c r="AD360" s="15" t="str">
        <f t="shared" si="14"/>
        <v>Electropolished Pipes Manufacturer in Cuttack</v>
      </c>
      <c r="AE360" s="15" t="str">
        <f t="shared" si="15"/>
        <v>How We Manufacture Electropolished Tube for Cuttack Plants</v>
      </c>
      <c r="AF360" s="15" t="str">
        <f t="shared" si="16"/>
        <v>Supplying Electropolished Pipes in Cuttack: Availability, Sizes &amp; Dispatch</v>
      </c>
      <c r="AG360" s="15" t="str">
        <f t="shared" si="17"/>
        <v>Wholesale Electropolished Pipe Supply for Cuttack Projects</v>
      </c>
      <c r="AH360" s="15" t="str">
        <f t="shared" si="18"/>
        <v>electropolished pipes manufacturer in Cuttack, electropolished pipes supplier in Cuttack, electropolished pipes wholesaler in Cuttack, electropolished tube manufacturer Cuttack, EP pipe supplier Cuttack, sanitary tube supplier Cuttack, ASME BPE tubing Cuttack, ASTM A270 tube Cuttack, SS 316L electropolished pipe Cuttack</v>
      </c>
      <c r="AI360" s="15" t="str">
        <f t="shared" si="19"/>
        <v>Electropolished Pipes Manufacturer &amp; Supplier in Cuttack</v>
      </c>
      <c r="AJ360" s="15" t="str">
        <f t="shared" si="20"/>
        <v>EP-finished SS 304/316L pipes and tubes for VERIFY plants in Cuttack. ASME BPE SF1-SF4, Ra from 0.25 um, EN 10204 3.1 certificate with every lot.</v>
      </c>
      <c r="AK360" s="15" t="str">
        <f t="shared" si="21"/>
        <v>Electropolished stainless steel pipes supplied by Sakshi Forge to VERIFY plants at IDCO Industrial Area, Cuttack</v>
      </c>
      <c r="AL360" s="15" t="str">
        <f t="shared" si="22"/>
        <v>Electropolished SS 316L tube stock for Cuttack - Sakshi Forge</v>
      </c>
      <c r="AM360" s="15" t="str">
        <f t="shared" si="23"/>
        <v>Home &gt; Market Area &gt; India &gt; Odisha &gt; Cuttack</v>
      </c>
      <c r="AN360" s="15">
        <f t="shared" si="24"/>
        <v>1000</v>
      </c>
      <c r="AO360" s="15">
        <f t="shared" si="25"/>
        <v>8</v>
      </c>
      <c r="AP360" s="15">
        <f t="shared" si="26"/>
        <v>8</v>
      </c>
      <c r="AQ360" s="15">
        <f t="shared" si="27"/>
        <v>6</v>
      </c>
      <c r="AR360" s="31"/>
      <c r="AS360" s="31"/>
      <c r="AT360" s="35" t="s">
        <v>222</v>
      </c>
      <c r="AU360" s="35"/>
    </row>
    <row r="361" ht="15.75" customHeight="1">
      <c r="A361" s="15" t="s">
        <v>2834</v>
      </c>
      <c r="B361" s="15" t="s">
        <v>60</v>
      </c>
      <c r="C361" s="15" t="s">
        <v>224</v>
      </c>
      <c r="D361" s="15" t="s">
        <v>2837</v>
      </c>
      <c r="E361" s="15" t="s">
        <v>2837</v>
      </c>
      <c r="F361" s="65" t="s">
        <v>788</v>
      </c>
      <c r="G361" s="66" t="s">
        <v>98</v>
      </c>
      <c r="H361" s="18" t="s">
        <v>2841</v>
      </c>
      <c r="I361" s="18" t="s">
        <v>8400</v>
      </c>
      <c r="J361" s="18" t="s">
        <v>98</v>
      </c>
      <c r="K361" s="18" t="s">
        <v>98</v>
      </c>
      <c r="L361" s="18" t="s">
        <v>98</v>
      </c>
      <c r="M361" s="18" t="s">
        <v>98</v>
      </c>
      <c r="N361" s="18" t="s">
        <v>98</v>
      </c>
      <c r="O361" s="18" t="s">
        <v>98</v>
      </c>
      <c r="P361" s="15" t="str">
        <f t="shared" si="1"/>
        <v>VERIFY</v>
      </c>
      <c r="Q361" s="15">
        <f t="shared" si="2"/>
        <v>6</v>
      </c>
      <c r="R361" s="15">
        <f t="shared" si="3"/>
        <v>1</v>
      </c>
      <c r="S361" s="15">
        <f t="shared" si="4"/>
        <v>3</v>
      </c>
      <c r="T361" s="15" t="str">
        <f t="shared" si="5"/>
        <v>B-4</v>
      </c>
      <c r="U361" s="15" t="str">
        <f t="shared" si="6"/>
        <v>T6-M1-H3-FB-4-VERIFY</v>
      </c>
      <c r="V361" s="15">
        <f t="shared" si="7"/>
        <v>0</v>
      </c>
      <c r="W361" s="31"/>
      <c r="X361" s="15" t="str">
        <f t="shared" si="8"/>
        <v>dahod</v>
      </c>
      <c r="Y361" s="32" t="str">
        <f t="shared" si="9"/>
        <v>https://steelmanufacturer.in/market-area/electropolished-pipes-manufacturer-in-dahod/</v>
      </c>
      <c r="Z361" s="15" t="str">
        <f t="shared" si="10"/>
        <v>Electropolished Pipes Manufacturer in Dahod</v>
      </c>
      <c r="AA361" s="15" t="str">
        <f t="shared" si="11"/>
        <v>OK (43)</v>
      </c>
      <c r="AB361" s="15" t="str">
        <f t="shared" si="12"/>
        <v>EP-finished SS 304/316L pipes &amp; tubes for VERIFY plants in Dahod. ASTM A270, ASME BPE SF1-SF4, EN 10204 3.1 MTC. PMI tested.</v>
      </c>
      <c r="AC361" s="15" t="str">
        <f t="shared" si="13"/>
        <v>PENDING RESEARCH</v>
      </c>
      <c r="AD361" s="15" t="str">
        <f t="shared" si="14"/>
        <v>Electropolished Pipes Manufacturer in Dahod</v>
      </c>
      <c r="AE361" s="15" t="str">
        <f t="shared" si="15"/>
        <v>Electropolished Pipes Manufacturer in Dahod - Our Process &amp; Capability</v>
      </c>
      <c r="AF361" s="15" t="str">
        <f t="shared" si="16"/>
        <v>Electropolished Pipes Supplier in Dahod - What We Hold in Stock</v>
      </c>
      <c r="AG361" s="15" t="str">
        <f t="shared" si="17"/>
        <v>Bulk &amp; Wholesale Electropolished Pipe Rates for Dahod Buyers</v>
      </c>
      <c r="AH361" s="15" t="str">
        <f t="shared" si="18"/>
        <v>electropolished pipes manufacturer in Dahod, electropolished pipes supplier in Dahod, electropolished pipes wholesaler in Dahod, electropolished tube manufacturer Dahod, EP pipe supplier Dahod, sanitary tube supplier Dahod, ASME BPE tubing Dahod, ASTM A270 tube Dahod, SS 316L electropolished pipe Dahod</v>
      </c>
      <c r="AI361" s="15" t="str">
        <f t="shared" si="19"/>
        <v>Electropolished Pipes Manufacturer &amp; Supplier in Dahod</v>
      </c>
      <c r="AJ361" s="15" t="str">
        <f t="shared" si="20"/>
        <v>EP-finished SS 304/316L pipes and tubes for VERIFY plants in Dahod. ASME BPE SF1-SF4, Ra from 0.25 um, EN 10204 3.1 certificate with every lot.</v>
      </c>
      <c r="AK361" s="15" t="str">
        <f t="shared" si="21"/>
        <v>Electropolished stainless steel pipes supplied by Sakshi Forge to VERIFY plants at GIDC Industrial Area, Dahod</v>
      </c>
      <c r="AL361" s="15" t="str">
        <f t="shared" si="22"/>
        <v>Electropolished SS 316L tube stock for Dahod - Sakshi Forge</v>
      </c>
      <c r="AM361" s="15" t="str">
        <f t="shared" si="23"/>
        <v>Home &gt; Market Area &gt; India &gt; Gujarat &gt; Dahod</v>
      </c>
      <c r="AN361" s="15">
        <f t="shared" si="24"/>
        <v>1000</v>
      </c>
      <c r="AO361" s="15">
        <f t="shared" si="25"/>
        <v>8</v>
      </c>
      <c r="AP361" s="15">
        <f t="shared" si="26"/>
        <v>8</v>
      </c>
      <c r="AQ361" s="15">
        <f t="shared" si="27"/>
        <v>6</v>
      </c>
      <c r="AR361" s="31"/>
      <c r="AS361" s="31"/>
      <c r="AT361" s="35" t="s">
        <v>222</v>
      </c>
      <c r="AU361" s="35"/>
    </row>
    <row r="362" ht="15.75" customHeight="1">
      <c r="A362" s="15" t="s">
        <v>2845</v>
      </c>
      <c r="B362" s="15" t="s">
        <v>60</v>
      </c>
      <c r="C362" s="15" t="s">
        <v>842</v>
      </c>
      <c r="D362" s="15" t="s">
        <v>2850</v>
      </c>
      <c r="E362" s="15" t="s">
        <v>2850</v>
      </c>
      <c r="F362" s="65" t="s">
        <v>788</v>
      </c>
      <c r="G362" s="66" t="s">
        <v>98</v>
      </c>
      <c r="H362" s="18" t="s">
        <v>2857</v>
      </c>
      <c r="I362" s="18" t="s">
        <v>8413</v>
      </c>
      <c r="J362" s="18" t="s">
        <v>98</v>
      </c>
      <c r="K362" s="18" t="s">
        <v>98</v>
      </c>
      <c r="L362" s="18" t="s">
        <v>98</v>
      </c>
      <c r="M362" s="18" t="s">
        <v>98</v>
      </c>
      <c r="N362" s="18" t="s">
        <v>98</v>
      </c>
      <c r="O362" s="18" t="s">
        <v>98</v>
      </c>
      <c r="P362" s="15" t="str">
        <f t="shared" si="1"/>
        <v>VERIFY</v>
      </c>
      <c r="Q362" s="15">
        <f t="shared" si="2"/>
        <v>7</v>
      </c>
      <c r="R362" s="15">
        <f t="shared" si="3"/>
        <v>2</v>
      </c>
      <c r="S362" s="15">
        <f t="shared" si="4"/>
        <v>4</v>
      </c>
      <c r="T362" s="15" t="str">
        <f t="shared" si="5"/>
        <v>B-5</v>
      </c>
      <c r="U362" s="15" t="str">
        <f t="shared" si="6"/>
        <v>T7-M2-H4-FB-5-VERIFY</v>
      </c>
      <c r="V362" s="15">
        <f t="shared" si="7"/>
        <v>0</v>
      </c>
      <c r="W362" s="31"/>
      <c r="X362" s="15" t="str">
        <f t="shared" si="8"/>
        <v>damoh</v>
      </c>
      <c r="Y362" s="32" t="str">
        <f t="shared" si="9"/>
        <v>https://steelmanufacturer.in/market-area/electropolished-pipes-manufacturer-in-damoh/</v>
      </c>
      <c r="Z362" s="15" t="str">
        <f t="shared" si="10"/>
        <v>Electropolished Pipes Manufacturer in Damoh | ASME BPE SF1-SF4</v>
      </c>
      <c r="AA362" s="15" t="str">
        <f t="shared" si="11"/>
        <v>OK (62)</v>
      </c>
      <c r="AB362" s="15" t="str">
        <f t="shared" si="12"/>
        <v>Electropolished tube supply to MPIDC Industrial Area, Damoh. Ra from 0.25 um, SF4 finish, mill test certificate with every lot.</v>
      </c>
      <c r="AC362" s="15" t="str">
        <f t="shared" si="13"/>
        <v>PENDING RESEARCH</v>
      </c>
      <c r="AD362" s="15" t="str">
        <f t="shared" si="14"/>
        <v>Electropolished Pipes Manufacturer in Damoh</v>
      </c>
      <c r="AE362" s="15" t="str">
        <f t="shared" si="15"/>
        <v>Manufacturing Electropolished SS Tube for Damoh: The Standards We Build To</v>
      </c>
      <c r="AF362" s="15" t="str">
        <f t="shared" si="16"/>
        <v>Electropolished Pipe Supply Into Damoh - Certification &amp; Transit</v>
      </c>
      <c r="AG362" s="15" t="str">
        <f t="shared" si="17"/>
        <v>Electropolished Pipes Wholesaler in Damoh - Project Quantities &amp; Terms</v>
      </c>
      <c r="AH362" s="15" t="str">
        <f t="shared" si="18"/>
        <v>electropolished pipes manufacturer in Damoh, electropolished pipes supplier in Damoh, electropolished pipes wholesaler in Damoh, electropolished tube manufacturer Damoh, EP pipe supplier Damoh, sanitary tube supplier Damoh, ASME BPE tubing Damoh, ASTM A270 tube Damoh, SS 316L electropolished pipe Damoh</v>
      </c>
      <c r="AI362" s="15" t="str">
        <f t="shared" si="19"/>
        <v>Electropolished Pipes Manufacturer &amp; Supplier in Damoh</v>
      </c>
      <c r="AJ362" s="15" t="str">
        <f t="shared" si="20"/>
        <v>EP-finished SS 304/316L pipes and tubes for VERIFY plants in Damoh. ASME BPE SF1-SF4, Ra from 0.25 um, EN 10204 3.1 certificate with every lot.</v>
      </c>
      <c r="AK362" s="15" t="str">
        <f t="shared" si="21"/>
        <v>Electropolished stainless steel pipes supplied by Sakshi Forge to VERIFY plants at MPIDC Industrial Area, Damoh</v>
      </c>
      <c r="AL362" s="15" t="str">
        <f t="shared" si="22"/>
        <v>Electropolished SS 316L tube stock for Damoh - Sakshi Forge</v>
      </c>
      <c r="AM362" s="15" t="str">
        <f t="shared" si="23"/>
        <v>Home &gt; Market Area &gt; India &gt; Madhya Pradesh &gt; Damoh</v>
      </c>
      <c r="AN362" s="15">
        <f t="shared" si="24"/>
        <v>1000</v>
      </c>
      <c r="AO362" s="15">
        <f t="shared" si="25"/>
        <v>8</v>
      </c>
      <c r="AP362" s="15">
        <f t="shared" si="26"/>
        <v>8</v>
      </c>
      <c r="AQ362" s="15">
        <f t="shared" si="27"/>
        <v>6</v>
      </c>
      <c r="AR362" s="31"/>
      <c r="AS362" s="31"/>
      <c r="AT362" s="35" t="s">
        <v>222</v>
      </c>
      <c r="AU362" s="35"/>
    </row>
    <row r="363" ht="15.75" customHeight="1">
      <c r="A363" s="15" t="s">
        <v>2864</v>
      </c>
      <c r="B363" s="15" t="s">
        <v>60</v>
      </c>
      <c r="C363" s="15" t="s">
        <v>1818</v>
      </c>
      <c r="D363" s="15" t="s">
        <v>2866</v>
      </c>
      <c r="E363" s="15" t="s">
        <v>2866</v>
      </c>
      <c r="F363" s="65" t="s">
        <v>788</v>
      </c>
      <c r="G363" s="66" t="s">
        <v>98</v>
      </c>
      <c r="H363" s="18" t="s">
        <v>2870</v>
      </c>
      <c r="I363" s="18" t="s">
        <v>8402</v>
      </c>
      <c r="J363" s="18" t="s">
        <v>98</v>
      </c>
      <c r="K363" s="18" t="s">
        <v>98</v>
      </c>
      <c r="L363" s="18" t="s">
        <v>98</v>
      </c>
      <c r="M363" s="18" t="s">
        <v>98</v>
      </c>
      <c r="N363" s="18" t="s">
        <v>98</v>
      </c>
      <c r="O363" s="18" t="s">
        <v>98</v>
      </c>
      <c r="P363" s="15" t="str">
        <f t="shared" si="1"/>
        <v>VERIFY</v>
      </c>
      <c r="Q363" s="15">
        <f t="shared" si="2"/>
        <v>8</v>
      </c>
      <c r="R363" s="15">
        <f t="shared" si="3"/>
        <v>3</v>
      </c>
      <c r="S363" s="15">
        <f t="shared" si="4"/>
        <v>5</v>
      </c>
      <c r="T363" s="15" t="str">
        <f t="shared" si="5"/>
        <v>B-6</v>
      </c>
      <c r="U363" s="15" t="str">
        <f t="shared" si="6"/>
        <v>T8-M3-H5-FB-6-VERIFY</v>
      </c>
      <c r="V363" s="15">
        <f t="shared" si="7"/>
        <v>0</v>
      </c>
      <c r="W363" s="31"/>
      <c r="X363" s="15" t="str">
        <f t="shared" si="8"/>
        <v>darbhanga</v>
      </c>
      <c r="Y363" s="32" t="str">
        <f t="shared" si="9"/>
        <v>https://steelmanufacturer.in/market-area/electropolished-pipes-manufacturer-in-darbhanga/</v>
      </c>
      <c r="Z363" s="15" t="str">
        <f t="shared" si="10"/>
        <v>Electropolished Pipes Manufacturer in Darbhanga</v>
      </c>
      <c r="AA363" s="15" t="str">
        <f t="shared" si="11"/>
        <v>OK (47)</v>
      </c>
      <c r="AB363" s="15" t="str">
        <f t="shared" si="12"/>
        <v>EP stainless tube for VERIFY lines in Darbhanga. VERIFY. ASTM A270 S2, PMI tested, EN 10204 3.1.</v>
      </c>
      <c r="AC363" s="15" t="str">
        <f t="shared" si="13"/>
        <v>PENDING RESEARCH</v>
      </c>
      <c r="AD363" s="15" t="str">
        <f t="shared" si="14"/>
        <v>Electropolished Pipes Manufacturer in Darbhanga</v>
      </c>
      <c r="AE363" s="15" t="str">
        <f t="shared" si="15"/>
        <v>Electropolished Tube Manufacturing Capability Serving Darbhanga</v>
      </c>
      <c r="AF363" s="15" t="str">
        <f t="shared" si="16"/>
        <v>Electropolished Pipes Supplier in Darbhanga - From Order to Delivery</v>
      </c>
      <c r="AG363" s="15" t="str">
        <f t="shared" si="17"/>
        <v>Stockist &amp; Wholesale Supply of Electropolished Pipes in Darbhanga</v>
      </c>
      <c r="AH363" s="15" t="str">
        <f t="shared" si="18"/>
        <v>electropolished pipes manufacturer in Darbhanga, electropolished pipes supplier in Darbhanga, electropolished pipes wholesaler in Darbhanga, electropolished tube manufacturer Darbhanga, EP pipe supplier Darbhanga, sanitary tube supplier Darbhanga, ASME BPE tubing Darbhanga, ASTM A270 tube Darbhanga, SS 316L electropolished pipe Darbhanga</v>
      </c>
      <c r="AI363" s="15" t="str">
        <f t="shared" si="19"/>
        <v>Electropolished Pipes Manufacturer &amp; Supplier in Darbhanga</v>
      </c>
      <c r="AJ363" s="15" t="str">
        <f t="shared" si="20"/>
        <v>EP-finished SS 304/316L pipes and tubes for VERIFY plants in Darbhanga. ASME BPE SF1-SF4, Ra from 0.25 um, EN 10204 3.1 certificate with every lot.</v>
      </c>
      <c r="AK363" s="15" t="str">
        <f t="shared" si="21"/>
        <v>Electropolished stainless steel pipes supplied by Sakshi Forge to VERIFY plants at BIADA Industrial Area, Darbhanga</v>
      </c>
      <c r="AL363" s="15" t="str">
        <f t="shared" si="22"/>
        <v>Electropolished SS 316L tube stock for Darbhanga - Sakshi Forge</v>
      </c>
      <c r="AM363" s="15" t="str">
        <f t="shared" si="23"/>
        <v>Home &gt; Market Area &gt; India &gt; Bihar &gt; Darbhanga</v>
      </c>
      <c r="AN363" s="15">
        <f t="shared" si="24"/>
        <v>1000</v>
      </c>
      <c r="AO363" s="15">
        <f t="shared" si="25"/>
        <v>8</v>
      </c>
      <c r="AP363" s="15">
        <f t="shared" si="26"/>
        <v>8</v>
      </c>
      <c r="AQ363" s="15">
        <f t="shared" si="27"/>
        <v>6</v>
      </c>
      <c r="AR363" s="31"/>
      <c r="AS363" s="31"/>
      <c r="AT363" s="35" t="s">
        <v>222</v>
      </c>
      <c r="AU363" s="35"/>
    </row>
    <row r="364" ht="15.75" customHeight="1">
      <c r="A364" s="15" t="s">
        <v>2872</v>
      </c>
      <c r="B364" s="15" t="s">
        <v>60</v>
      </c>
      <c r="C364" s="15" t="s">
        <v>236</v>
      </c>
      <c r="D364" s="15" t="s">
        <v>2876</v>
      </c>
      <c r="E364" s="15" t="s">
        <v>2876</v>
      </c>
      <c r="F364" s="65" t="s">
        <v>788</v>
      </c>
      <c r="G364" s="66" t="s">
        <v>98</v>
      </c>
      <c r="H364" s="18" t="s">
        <v>2878</v>
      </c>
      <c r="I364" s="18" t="s">
        <v>8391</v>
      </c>
      <c r="J364" s="18" t="s">
        <v>98</v>
      </c>
      <c r="K364" s="18" t="s">
        <v>98</v>
      </c>
      <c r="L364" s="18" t="s">
        <v>98</v>
      </c>
      <c r="M364" s="18" t="s">
        <v>98</v>
      </c>
      <c r="N364" s="18" t="s">
        <v>98</v>
      </c>
      <c r="O364" s="18" t="s">
        <v>98</v>
      </c>
      <c r="P364" s="15" t="str">
        <f t="shared" si="1"/>
        <v>VERIFY</v>
      </c>
      <c r="Q364" s="15">
        <f t="shared" si="2"/>
        <v>1</v>
      </c>
      <c r="R364" s="15">
        <f t="shared" si="3"/>
        <v>4</v>
      </c>
      <c r="S364" s="15">
        <f t="shared" si="4"/>
        <v>1</v>
      </c>
      <c r="T364" s="15" t="str">
        <f t="shared" si="5"/>
        <v>B-1</v>
      </c>
      <c r="U364" s="15" t="str">
        <f t="shared" si="6"/>
        <v>T1-M4-H1-FB-1-VERIFY</v>
      </c>
      <c r="V364" s="15">
        <f t="shared" si="7"/>
        <v>0</v>
      </c>
      <c r="W364" s="31"/>
      <c r="X364" s="15" t="str">
        <f t="shared" si="8"/>
        <v>dausa</v>
      </c>
      <c r="Y364" s="32" t="str">
        <f t="shared" si="9"/>
        <v>https://steelmanufacturer.in/market-area/electropolished-pipes-manufacturer-in-dausa/</v>
      </c>
      <c r="Z364" s="15" t="str">
        <f t="shared" si="10"/>
        <v>Electropolished Pipes Manufacturer in Dausa | Sakshi Forge</v>
      </c>
      <c r="AA364" s="15" t="str">
        <f t="shared" si="11"/>
        <v>OK (58)</v>
      </c>
      <c r="AB364" s="15" t="str">
        <f t="shared" si="12"/>
        <v>Sanitary electropolished pipes in Dausa for VERIFY plants. ASME BPE SF1-SF4, orbital-weld ready, 3.1 MTC. Mumbai-made.</v>
      </c>
      <c r="AC364" s="15" t="str">
        <f t="shared" si="13"/>
        <v>PENDING RESEARCH</v>
      </c>
      <c r="AD364" s="15" t="str">
        <f t="shared" si="14"/>
        <v>Electropolished Pipes Manufacturer in Dausa</v>
      </c>
      <c r="AE364" s="15" t="str">
        <f t="shared" si="15"/>
        <v>Electropolished Pipe &amp; Tube Manufacturing for Dausa - Grades, Finishes &amp; Certification</v>
      </c>
      <c r="AF364" s="15" t="str">
        <f t="shared" si="16"/>
        <v>Electropolished Pipes Supplier in Dausa - Stock Sizes, Lead Time &amp; Delivery</v>
      </c>
      <c r="AG364" s="15" t="str">
        <f t="shared" si="17"/>
        <v>Electropolished Pipes Wholesaler &amp; Stockist in Dausa - Bulk &amp; Project Pricing</v>
      </c>
      <c r="AH364" s="15" t="str">
        <f t="shared" si="18"/>
        <v>electropolished pipes manufacturer in Dausa, electropolished pipes supplier in Dausa, electropolished pipes wholesaler in Dausa, electropolished tube manufacturer Dausa, EP pipe supplier Dausa, sanitary tube supplier Dausa, ASME BPE tubing Dausa, ASTM A270 tube Dausa, SS 316L electropolished pipe Dausa</v>
      </c>
      <c r="AI364" s="15" t="str">
        <f t="shared" si="19"/>
        <v>Electropolished Pipes Manufacturer &amp; Supplier in Dausa</v>
      </c>
      <c r="AJ364" s="15" t="str">
        <f t="shared" si="20"/>
        <v>EP-finished SS 304/316L pipes and tubes for VERIFY plants in Dausa. ASME BPE SF1-SF4, Ra from 0.25 um, EN 10204 3.1 certificate with every lot.</v>
      </c>
      <c r="AK364" s="15" t="str">
        <f t="shared" si="21"/>
        <v>Electropolished stainless steel pipes supplied by Sakshi Forge to VERIFY plants at RIICO Industrial Area, Dausa</v>
      </c>
      <c r="AL364" s="15" t="str">
        <f t="shared" si="22"/>
        <v>Electropolished SS 316L tube stock for Dausa - Sakshi Forge</v>
      </c>
      <c r="AM364" s="15" t="str">
        <f t="shared" si="23"/>
        <v>Home &gt; Market Area &gt; India &gt; Rajasthan &gt; Dausa</v>
      </c>
      <c r="AN364" s="15">
        <f t="shared" si="24"/>
        <v>1000</v>
      </c>
      <c r="AO364" s="15">
        <f t="shared" si="25"/>
        <v>8</v>
      </c>
      <c r="AP364" s="15">
        <f t="shared" si="26"/>
        <v>8</v>
      </c>
      <c r="AQ364" s="15">
        <f t="shared" si="27"/>
        <v>7</v>
      </c>
      <c r="AR364" s="31"/>
      <c r="AS364" s="31"/>
      <c r="AT364" s="35" t="s">
        <v>222</v>
      </c>
      <c r="AU364" s="35"/>
    </row>
    <row r="365" ht="15.75" customHeight="1">
      <c r="A365" s="15" t="s">
        <v>2882</v>
      </c>
      <c r="B365" s="15" t="s">
        <v>60</v>
      </c>
      <c r="C365" s="15" t="s">
        <v>570</v>
      </c>
      <c r="D365" s="15" t="s">
        <v>2884</v>
      </c>
      <c r="E365" s="15" t="s">
        <v>2884</v>
      </c>
      <c r="F365" s="65" t="s">
        <v>788</v>
      </c>
      <c r="G365" s="66" t="s">
        <v>98</v>
      </c>
      <c r="H365" s="18" t="s">
        <v>2888</v>
      </c>
      <c r="I365" s="18" t="s">
        <v>8405</v>
      </c>
      <c r="J365" s="18" t="s">
        <v>98</v>
      </c>
      <c r="K365" s="18" t="s">
        <v>98</v>
      </c>
      <c r="L365" s="18" t="s">
        <v>98</v>
      </c>
      <c r="M365" s="18" t="s">
        <v>98</v>
      </c>
      <c r="N365" s="18" t="s">
        <v>98</v>
      </c>
      <c r="O365" s="18" t="s">
        <v>98</v>
      </c>
      <c r="P365" s="15" t="str">
        <f t="shared" si="1"/>
        <v>VERIFY</v>
      </c>
      <c r="Q365" s="15">
        <f t="shared" si="2"/>
        <v>2</v>
      </c>
      <c r="R365" s="15">
        <f t="shared" si="3"/>
        <v>5</v>
      </c>
      <c r="S365" s="15">
        <f t="shared" si="4"/>
        <v>2</v>
      </c>
      <c r="T365" s="15" t="str">
        <f t="shared" si="5"/>
        <v>B-2</v>
      </c>
      <c r="U365" s="15" t="str">
        <f t="shared" si="6"/>
        <v>T2-M5-H2-FB-2-VERIFY</v>
      </c>
      <c r="V365" s="15">
        <f t="shared" si="7"/>
        <v>0</v>
      </c>
      <c r="W365" s="31"/>
      <c r="X365" s="15" t="str">
        <f t="shared" si="8"/>
        <v>davanagere</v>
      </c>
      <c r="Y365" s="32" t="str">
        <f t="shared" si="9"/>
        <v>https://steelmanufacturer.in/market-area/electropolished-pipes-manufacturer-in-davanagere/</v>
      </c>
      <c r="Z365" s="15" t="str">
        <f t="shared" si="10"/>
        <v>Electropolished Pipes Manufacturer in Davanagere</v>
      </c>
      <c r="AA365" s="15" t="str">
        <f t="shared" si="11"/>
        <v>OK (48)</v>
      </c>
      <c r="AB365" s="15" t="str">
        <f t="shared" si="12"/>
        <v>Manufacturer of electropolished SS 316L tube serving Davanagere. VERIFY. Ra 0.25-0.5 um, EN 10204 3.1 MTC.</v>
      </c>
      <c r="AC365" s="15" t="str">
        <f t="shared" si="13"/>
        <v>PENDING RESEARCH</v>
      </c>
      <c r="AD365" s="15" t="str">
        <f t="shared" si="14"/>
        <v>Electropolished Pipes Manufacturer in Davanagere</v>
      </c>
      <c r="AE365" s="15" t="str">
        <f t="shared" si="15"/>
        <v>How We Manufacture Electropolished Tube for Davanagere Plants</v>
      </c>
      <c r="AF365" s="15" t="str">
        <f t="shared" si="16"/>
        <v>Supplying Electropolished Pipes in Davanagere: Availability, Sizes &amp; Dispatch</v>
      </c>
      <c r="AG365" s="15" t="str">
        <f t="shared" si="17"/>
        <v>Wholesale Electropolished Pipe Supply for Davanagere Projects</v>
      </c>
      <c r="AH365" s="15" t="str">
        <f t="shared" si="18"/>
        <v>electropolished pipes manufacturer in Davanagere, electropolished pipes supplier in Davanagere, electropolished pipes wholesaler in Davanagere, electropolished tube manufacturer Davanagere, EP pipe supplier Davanagere, sanitary tube supplier Davanagere, ASME BPE tubing Davanagere, ASTM A270 tube Davanagere, SS 316L electropolished pipe Davanagere</v>
      </c>
      <c r="AI365" s="15" t="str">
        <f t="shared" si="19"/>
        <v>Electropolished Pipes Manufacturer &amp; Supplier in Davanagere</v>
      </c>
      <c r="AJ365" s="15" t="str">
        <f t="shared" si="20"/>
        <v>EP-finished SS 304/316L pipes and tubes for VERIFY plants in Davanagere. ASME BPE SF1-SF4, Ra from 0.25 um, EN 10204 3.1 certificate with every lot.</v>
      </c>
      <c r="AK365" s="15" t="str">
        <f t="shared" si="21"/>
        <v>Electropolished stainless steel pipes supplied by Sakshi Forge to VERIFY plants at KIADB Industrial Area, Davanagere</v>
      </c>
      <c r="AL365" s="15" t="str">
        <f t="shared" si="22"/>
        <v>Electropolished SS 316L tube stock for Davanagere - Sakshi Forge</v>
      </c>
      <c r="AM365" s="15" t="str">
        <f t="shared" si="23"/>
        <v>Home &gt; Market Area &gt; India &gt; Karnataka &gt; Davanagere</v>
      </c>
      <c r="AN365" s="15">
        <f t="shared" si="24"/>
        <v>1000</v>
      </c>
      <c r="AO365" s="15">
        <f t="shared" si="25"/>
        <v>8</v>
      </c>
      <c r="AP365" s="15">
        <f t="shared" si="26"/>
        <v>8</v>
      </c>
      <c r="AQ365" s="15">
        <f t="shared" si="27"/>
        <v>7</v>
      </c>
      <c r="AR365" s="31"/>
      <c r="AS365" s="31"/>
      <c r="AT365" s="35" t="s">
        <v>222</v>
      </c>
      <c r="AU365" s="35"/>
    </row>
    <row r="366" ht="15.75" customHeight="1">
      <c r="A366" s="15" t="s">
        <v>2892</v>
      </c>
      <c r="B366" s="15" t="s">
        <v>60</v>
      </c>
      <c r="C366" s="15" t="s">
        <v>224</v>
      </c>
      <c r="D366" s="15" t="s">
        <v>2894</v>
      </c>
      <c r="E366" s="15" t="s">
        <v>2894</v>
      </c>
      <c r="F366" s="65" t="s">
        <v>788</v>
      </c>
      <c r="G366" s="66" t="s">
        <v>98</v>
      </c>
      <c r="H366" s="18" t="s">
        <v>2898</v>
      </c>
      <c r="I366" s="18" t="s">
        <v>8400</v>
      </c>
      <c r="J366" s="18" t="s">
        <v>98</v>
      </c>
      <c r="K366" s="18" t="s">
        <v>98</v>
      </c>
      <c r="L366" s="18" t="s">
        <v>98</v>
      </c>
      <c r="M366" s="18" t="s">
        <v>98</v>
      </c>
      <c r="N366" s="18" t="s">
        <v>98</v>
      </c>
      <c r="O366" s="18" t="s">
        <v>98</v>
      </c>
      <c r="P366" s="15" t="str">
        <f t="shared" si="1"/>
        <v>VERIFY</v>
      </c>
      <c r="Q366" s="15">
        <f t="shared" si="2"/>
        <v>3</v>
      </c>
      <c r="R366" s="15">
        <f t="shared" si="3"/>
        <v>6</v>
      </c>
      <c r="S366" s="15">
        <f t="shared" si="4"/>
        <v>3</v>
      </c>
      <c r="T366" s="15" t="str">
        <f t="shared" si="5"/>
        <v>B-3</v>
      </c>
      <c r="U366" s="15" t="str">
        <f t="shared" si="6"/>
        <v>T3-M6-H3-FB-3-VERIFY</v>
      </c>
      <c r="V366" s="15">
        <f t="shared" si="7"/>
        <v>0</v>
      </c>
      <c r="W366" s="31"/>
      <c r="X366" s="15" t="str">
        <f t="shared" si="8"/>
        <v>deesa</v>
      </c>
      <c r="Y366" s="32" t="str">
        <f t="shared" si="9"/>
        <v>https://steelmanufacturer.in/market-area/electropolished-pipes-manufacturer-in-deesa/</v>
      </c>
      <c r="Z366" s="15" t="str">
        <f t="shared" si="10"/>
        <v>Electropolished Pipes Manufacturer in Deesa | EP Tube Supplier</v>
      </c>
      <c r="AA366" s="15" t="str">
        <f t="shared" si="11"/>
        <v>OK (62)</v>
      </c>
      <c r="AB366" s="15" t="str">
        <f t="shared" si="12"/>
        <v>EP tube and pipe for VERIFY plants around GIDC Industrial Area, Deesa. Made at our Mumbai works to ASTM A270 and ASME BPE SF1-SF4, with 3.1 MTC.</v>
      </c>
      <c r="AC366" s="15" t="str">
        <f t="shared" si="13"/>
        <v>PENDING RESEARCH</v>
      </c>
      <c r="AD366" s="15" t="str">
        <f t="shared" si="14"/>
        <v>Electropolished Pipes Manufacturer in Deesa</v>
      </c>
      <c r="AE366" s="15" t="str">
        <f t="shared" si="15"/>
        <v>Electropolished Pipes Manufacturer in Deesa - Our Process &amp; Capability</v>
      </c>
      <c r="AF366" s="15" t="str">
        <f t="shared" si="16"/>
        <v>Electropolished Pipes Supplier in Deesa - What We Hold in Stock</v>
      </c>
      <c r="AG366" s="15" t="str">
        <f t="shared" si="17"/>
        <v>Bulk &amp; Wholesale Electropolished Pipe Rates for Deesa Buyers</v>
      </c>
      <c r="AH366" s="15" t="str">
        <f t="shared" si="18"/>
        <v>electropolished pipes manufacturer in Deesa, electropolished pipes supplier in Deesa, electropolished pipes wholesaler in Deesa, electropolished tube manufacturer Deesa, EP pipe supplier Deesa, sanitary tube supplier Deesa, ASME BPE tubing Deesa, ASTM A270 tube Deesa, SS 316L electropolished pipe Deesa</v>
      </c>
      <c r="AI366" s="15" t="str">
        <f t="shared" si="19"/>
        <v>Electropolished Pipes Manufacturer &amp; Supplier in Deesa</v>
      </c>
      <c r="AJ366" s="15" t="str">
        <f t="shared" si="20"/>
        <v>EP-finished SS 304/316L pipes and tubes for VERIFY plants in Deesa. ASME BPE SF1-SF4, Ra from 0.25 um, EN 10204 3.1 certificate with every lot.</v>
      </c>
      <c r="AK366" s="15" t="str">
        <f t="shared" si="21"/>
        <v>Electropolished stainless steel pipes supplied by Sakshi Forge to VERIFY plants at GIDC Industrial Area, Deesa</v>
      </c>
      <c r="AL366" s="15" t="str">
        <f t="shared" si="22"/>
        <v>Electropolished SS 316L tube stock for Deesa - Sakshi Forge</v>
      </c>
      <c r="AM366" s="15" t="str">
        <f t="shared" si="23"/>
        <v>Home &gt; Market Area &gt; India &gt; Gujarat &gt; Deesa</v>
      </c>
      <c r="AN366" s="15">
        <f t="shared" si="24"/>
        <v>1000</v>
      </c>
      <c r="AO366" s="15">
        <f t="shared" si="25"/>
        <v>8</v>
      </c>
      <c r="AP366" s="15">
        <f t="shared" si="26"/>
        <v>8</v>
      </c>
      <c r="AQ366" s="15">
        <f t="shared" si="27"/>
        <v>7</v>
      </c>
      <c r="AR366" s="31"/>
      <c r="AS366" s="31"/>
      <c r="AT366" s="35" t="s">
        <v>222</v>
      </c>
      <c r="AU366" s="35"/>
    </row>
    <row r="367" ht="15.75" customHeight="1">
      <c r="A367" s="15" t="s">
        <v>2902</v>
      </c>
      <c r="B367" s="15" t="s">
        <v>60</v>
      </c>
      <c r="C367" s="15" t="s">
        <v>878</v>
      </c>
      <c r="D367" s="15" t="s">
        <v>2905</v>
      </c>
      <c r="E367" s="15" t="s">
        <v>2905</v>
      </c>
      <c r="F367" s="65" t="s">
        <v>788</v>
      </c>
      <c r="G367" s="66" t="s">
        <v>98</v>
      </c>
      <c r="H367" s="18" t="s">
        <v>2910</v>
      </c>
      <c r="I367" s="18" t="s">
        <v>8415</v>
      </c>
      <c r="J367" s="18" t="s">
        <v>98</v>
      </c>
      <c r="K367" s="18" t="s">
        <v>98</v>
      </c>
      <c r="L367" s="18" t="s">
        <v>98</v>
      </c>
      <c r="M367" s="18" t="s">
        <v>98</v>
      </c>
      <c r="N367" s="18" t="s">
        <v>98</v>
      </c>
      <c r="O367" s="18" t="s">
        <v>98</v>
      </c>
      <c r="P367" s="15" t="str">
        <f t="shared" si="1"/>
        <v>VERIFY</v>
      </c>
      <c r="Q367" s="15">
        <f t="shared" si="2"/>
        <v>4</v>
      </c>
      <c r="R367" s="15">
        <f t="shared" si="3"/>
        <v>7</v>
      </c>
      <c r="S367" s="15">
        <f t="shared" si="4"/>
        <v>4</v>
      </c>
      <c r="T367" s="15" t="str">
        <f t="shared" si="5"/>
        <v>B-4</v>
      </c>
      <c r="U367" s="15" t="str">
        <f t="shared" si="6"/>
        <v>T4-M7-H4-FB-4-VERIFY</v>
      </c>
      <c r="V367" s="15">
        <f t="shared" si="7"/>
        <v>0</v>
      </c>
      <c r="W367" s="31"/>
      <c r="X367" s="15" t="str">
        <f t="shared" si="8"/>
        <v>deoghar</v>
      </c>
      <c r="Y367" s="32" t="str">
        <f t="shared" si="9"/>
        <v>https://steelmanufacturer.in/market-area/electropolished-pipes-manufacturer-in-deoghar/</v>
      </c>
      <c r="Z367" s="15" t="str">
        <f t="shared" si="10"/>
        <v>Electropolished Pipes Manufacturer in Deoghar</v>
      </c>
      <c r="AA367" s="15" t="str">
        <f t="shared" si="11"/>
        <v>OK (45)</v>
      </c>
      <c r="AB367" s="15" t="str">
        <f t="shared" si="12"/>
        <v>Electropolished pipes in Deoghar: 304, 304L, 316 and 316L in SF1-SF4. VERIFY. Mill certified.</v>
      </c>
      <c r="AC367" s="15" t="str">
        <f t="shared" si="13"/>
        <v>PENDING RESEARCH</v>
      </c>
      <c r="AD367" s="15" t="str">
        <f t="shared" si="14"/>
        <v>Electropolished Pipes Manufacturer in Deoghar</v>
      </c>
      <c r="AE367" s="15" t="str">
        <f t="shared" si="15"/>
        <v>Manufacturing Electropolished SS Tube for Deoghar: The Standards We Build To</v>
      </c>
      <c r="AF367" s="15" t="str">
        <f t="shared" si="16"/>
        <v>Electropolished Pipe Supply Into Deoghar - Certification &amp; Transit</v>
      </c>
      <c r="AG367" s="15" t="str">
        <f t="shared" si="17"/>
        <v>Electropolished Pipes Wholesaler in Deoghar - Project Quantities &amp; Terms</v>
      </c>
      <c r="AH367" s="15" t="str">
        <f t="shared" si="18"/>
        <v>electropolished pipes manufacturer in Deoghar, electropolished pipes supplier in Deoghar, electropolished pipes wholesaler in Deoghar, electropolished tube manufacturer Deoghar, EP pipe supplier Deoghar, sanitary tube supplier Deoghar, ASME BPE tubing Deoghar, ASTM A270 tube Deoghar, SS 316L electropolished pipe Deoghar</v>
      </c>
      <c r="AI367" s="15" t="str">
        <f t="shared" si="19"/>
        <v>Electropolished Pipes Manufacturer &amp; Supplier in Deoghar</v>
      </c>
      <c r="AJ367" s="15" t="str">
        <f t="shared" si="20"/>
        <v>EP-finished SS 304/316L pipes and tubes for VERIFY plants in Deoghar. ASME BPE SF1-SF4, Ra from 0.25 um, EN 10204 3.1 certificate with every lot.</v>
      </c>
      <c r="AK367" s="15" t="str">
        <f t="shared" si="21"/>
        <v>Electropolished stainless steel pipes supplied by Sakshi Forge to VERIFY plants at JIADA Industrial Area, Deoghar</v>
      </c>
      <c r="AL367" s="15" t="str">
        <f t="shared" si="22"/>
        <v>Electropolished SS 316L tube stock for Deoghar - Sakshi Forge</v>
      </c>
      <c r="AM367" s="15" t="str">
        <f t="shared" si="23"/>
        <v>Home &gt; Market Area &gt; India &gt; Jharkhand &gt; Deoghar</v>
      </c>
      <c r="AN367" s="15">
        <f t="shared" si="24"/>
        <v>1000</v>
      </c>
      <c r="AO367" s="15">
        <f t="shared" si="25"/>
        <v>8</v>
      </c>
      <c r="AP367" s="15">
        <f t="shared" si="26"/>
        <v>8</v>
      </c>
      <c r="AQ367" s="15">
        <f t="shared" si="27"/>
        <v>7</v>
      </c>
      <c r="AR367" s="31"/>
      <c r="AS367" s="31"/>
      <c r="AT367" s="35" t="s">
        <v>222</v>
      </c>
      <c r="AU367" s="35"/>
    </row>
    <row r="368" ht="15.75" customHeight="1">
      <c r="A368" s="15" t="s">
        <v>2915</v>
      </c>
      <c r="B368" s="15" t="s">
        <v>60</v>
      </c>
      <c r="C368" s="15" t="s">
        <v>85</v>
      </c>
      <c r="D368" s="15" t="s">
        <v>2918</v>
      </c>
      <c r="E368" s="15" t="s">
        <v>2918</v>
      </c>
      <c r="F368" s="65" t="s">
        <v>788</v>
      </c>
      <c r="G368" s="66" t="s">
        <v>98</v>
      </c>
      <c r="H368" s="18" t="s">
        <v>2925</v>
      </c>
      <c r="I368" s="18" t="s">
        <v>8398</v>
      </c>
      <c r="J368" s="18" t="s">
        <v>98</v>
      </c>
      <c r="K368" s="18" t="s">
        <v>98</v>
      </c>
      <c r="L368" s="18" t="s">
        <v>98</v>
      </c>
      <c r="M368" s="18" t="s">
        <v>98</v>
      </c>
      <c r="N368" s="18" t="s">
        <v>98</v>
      </c>
      <c r="O368" s="18" t="s">
        <v>98</v>
      </c>
      <c r="P368" s="15" t="str">
        <f t="shared" si="1"/>
        <v>VERIFY</v>
      </c>
      <c r="Q368" s="15">
        <f t="shared" si="2"/>
        <v>5</v>
      </c>
      <c r="R368" s="15">
        <f t="shared" si="3"/>
        <v>1</v>
      </c>
      <c r="S368" s="15">
        <f t="shared" si="4"/>
        <v>5</v>
      </c>
      <c r="T368" s="15" t="str">
        <f t="shared" si="5"/>
        <v>B-5</v>
      </c>
      <c r="U368" s="15" t="str">
        <f t="shared" si="6"/>
        <v>T5-M1-H5-FB-5-VERIFY</v>
      </c>
      <c r="V368" s="15">
        <f t="shared" si="7"/>
        <v>0</v>
      </c>
      <c r="W368" s="31"/>
      <c r="X368" s="15" t="str">
        <f t="shared" si="8"/>
        <v>deoria</v>
      </c>
      <c r="Y368" s="32" t="str">
        <f t="shared" si="9"/>
        <v>https://steelmanufacturer.in/market-area/electropolished-pipes-manufacturer-in-deoria/</v>
      </c>
      <c r="Z368" s="15" t="str">
        <f t="shared" si="10"/>
        <v>Electropolished Pipes Manufacturer in Deoria</v>
      </c>
      <c r="AA368" s="15" t="str">
        <f t="shared" si="11"/>
        <v>OK (44)</v>
      </c>
      <c r="AB368" s="15" t="str">
        <f t="shared" si="12"/>
        <v>EP-finished SS 304/316L pipes &amp; tubes for VERIFY plants in Deoria. ASTM A270, ASME BPE SF1-SF4, EN 10204 3.1 MTC. PMI tested.</v>
      </c>
      <c r="AC368" s="15" t="str">
        <f t="shared" si="13"/>
        <v>PENDING RESEARCH</v>
      </c>
      <c r="AD368" s="15" t="str">
        <f t="shared" si="14"/>
        <v>Electropolished Pipes Manufacturer in Deoria</v>
      </c>
      <c r="AE368" s="15" t="str">
        <f t="shared" si="15"/>
        <v>Electropolished Tube Manufacturing Capability Serving Deoria</v>
      </c>
      <c r="AF368" s="15" t="str">
        <f t="shared" si="16"/>
        <v>Electropolished Pipes Supplier in Deoria - From Order to Delivery</v>
      </c>
      <c r="AG368" s="15" t="str">
        <f t="shared" si="17"/>
        <v>Stockist &amp; Wholesale Supply of Electropolished Pipes in Deoria</v>
      </c>
      <c r="AH368" s="15" t="str">
        <f t="shared" si="18"/>
        <v>electropolished pipes manufacturer in Deoria, electropolished pipes supplier in Deoria, electropolished pipes wholesaler in Deoria, electropolished tube manufacturer Deoria, EP pipe supplier Deoria, sanitary tube supplier Deoria, ASME BPE tubing Deoria, ASTM A270 tube Deoria, SS 316L electropolished pipe Deoria</v>
      </c>
      <c r="AI368" s="15" t="str">
        <f t="shared" si="19"/>
        <v>Electropolished Pipes Manufacturer &amp; Supplier in Deoria</v>
      </c>
      <c r="AJ368" s="15" t="str">
        <f t="shared" si="20"/>
        <v>EP-finished SS 304/316L pipes and tubes for VERIFY plants in Deoria. ASME BPE SF1-SF4, Ra from 0.25 um, EN 10204 3.1 certificate with every lot.</v>
      </c>
      <c r="AK368" s="15" t="str">
        <f t="shared" si="21"/>
        <v>Electropolished stainless steel pipes supplied by Sakshi Forge to VERIFY plants at UPSIDA Industrial Area, Deoria</v>
      </c>
      <c r="AL368" s="15" t="str">
        <f t="shared" si="22"/>
        <v>Electropolished SS 316L tube stock for Deoria - Sakshi Forge</v>
      </c>
      <c r="AM368" s="15" t="str">
        <f t="shared" si="23"/>
        <v>Home &gt; Market Area &gt; India &gt; Uttar Pradesh &gt; Deoria</v>
      </c>
      <c r="AN368" s="15">
        <f t="shared" si="24"/>
        <v>1000</v>
      </c>
      <c r="AO368" s="15">
        <f t="shared" si="25"/>
        <v>8</v>
      </c>
      <c r="AP368" s="15">
        <f t="shared" si="26"/>
        <v>8</v>
      </c>
      <c r="AQ368" s="15">
        <f t="shared" si="27"/>
        <v>7</v>
      </c>
      <c r="AR368" s="31"/>
      <c r="AS368" s="31"/>
      <c r="AT368" s="35" t="s">
        <v>222</v>
      </c>
      <c r="AU368" s="35"/>
    </row>
    <row r="369" ht="15.75" customHeight="1">
      <c r="A369" s="15" t="s">
        <v>2930</v>
      </c>
      <c r="B369" s="15" t="s">
        <v>60</v>
      </c>
      <c r="C369" s="15" t="s">
        <v>354</v>
      </c>
      <c r="D369" s="15" t="s">
        <v>2931</v>
      </c>
      <c r="E369" s="15" t="s">
        <v>2931</v>
      </c>
      <c r="F369" s="65" t="s">
        <v>788</v>
      </c>
      <c r="G369" s="66" t="s">
        <v>98</v>
      </c>
      <c r="H369" s="18" t="s">
        <v>2936</v>
      </c>
      <c r="I369" s="18" t="s">
        <v>8408</v>
      </c>
      <c r="J369" s="18" t="s">
        <v>98</v>
      </c>
      <c r="K369" s="18" t="s">
        <v>98</v>
      </c>
      <c r="L369" s="18" t="s">
        <v>98</v>
      </c>
      <c r="M369" s="18" t="s">
        <v>98</v>
      </c>
      <c r="N369" s="18" t="s">
        <v>98</v>
      </c>
      <c r="O369" s="18" t="s">
        <v>98</v>
      </c>
      <c r="P369" s="15" t="str">
        <f t="shared" si="1"/>
        <v>VERIFY</v>
      </c>
      <c r="Q369" s="15">
        <f t="shared" si="2"/>
        <v>6</v>
      </c>
      <c r="R369" s="15">
        <f t="shared" si="3"/>
        <v>2</v>
      </c>
      <c r="S369" s="15">
        <f t="shared" si="4"/>
        <v>1</v>
      </c>
      <c r="T369" s="15" t="str">
        <f t="shared" si="5"/>
        <v>B-6</v>
      </c>
      <c r="U369" s="15" t="str">
        <f t="shared" si="6"/>
        <v>T6-M2-H1-FB-6-VERIFY</v>
      </c>
      <c r="V369" s="15">
        <f t="shared" si="7"/>
        <v>0</v>
      </c>
      <c r="W369" s="31"/>
      <c r="X369" s="15" t="str">
        <f t="shared" si="8"/>
        <v>derabassi</v>
      </c>
      <c r="Y369" s="32" t="str">
        <f t="shared" si="9"/>
        <v>https://steelmanufacturer.in/market-area/electropolished-pipes-manufacturer-in-derabassi/</v>
      </c>
      <c r="Z369" s="15" t="str">
        <f t="shared" si="10"/>
        <v>Electropolished Pipes Manufacturer in Derabassi</v>
      </c>
      <c r="AA369" s="15" t="str">
        <f t="shared" si="11"/>
        <v>OK (47)</v>
      </c>
      <c r="AB369" s="15" t="str">
        <f t="shared" si="12"/>
        <v>Electropolished tube supply to PSIEC Industrial Area, Derabassi. Ra from 0.25 um, SF4 finish, mill test certificate with every lot.</v>
      </c>
      <c r="AC369" s="15" t="str">
        <f t="shared" si="13"/>
        <v>PENDING RESEARCH</v>
      </c>
      <c r="AD369" s="15" t="str">
        <f t="shared" si="14"/>
        <v>Electropolished Pipes Manufacturer in Derabassi</v>
      </c>
      <c r="AE369" s="15" t="str">
        <f t="shared" si="15"/>
        <v>Electropolished Pipe &amp; Tube Manufacturing for Derabassi - Grades, Finishes &amp; Certification</v>
      </c>
      <c r="AF369" s="15" t="str">
        <f t="shared" si="16"/>
        <v>Electropolished Pipes Supplier in Derabassi - Stock Sizes, Lead Time &amp; Delivery</v>
      </c>
      <c r="AG369" s="15" t="str">
        <f t="shared" si="17"/>
        <v>Electropolished Pipes Wholesaler &amp; Stockist in Derabassi - Bulk &amp; Project Pricing</v>
      </c>
      <c r="AH369" s="15" t="str">
        <f t="shared" si="18"/>
        <v>electropolished pipes manufacturer in Derabassi, electropolished pipes supplier in Derabassi, electropolished pipes wholesaler in Derabassi, electropolished tube manufacturer Derabassi, EP pipe supplier Derabassi, sanitary tube supplier Derabassi, ASME BPE tubing Derabassi, ASTM A270 tube Derabassi, SS 316L electropolished pipe Derabassi</v>
      </c>
      <c r="AI369" s="15" t="str">
        <f t="shared" si="19"/>
        <v>Electropolished Pipes Manufacturer &amp; Supplier in Derabassi</v>
      </c>
      <c r="AJ369" s="15" t="str">
        <f t="shared" si="20"/>
        <v>EP-finished SS 304/316L pipes and tubes for VERIFY plants in Derabassi. ASME BPE SF1-SF4, Ra from 0.25 um, EN 10204 3.1 certificate with every lot.</v>
      </c>
      <c r="AK369" s="15" t="str">
        <f t="shared" si="21"/>
        <v>Electropolished stainless steel pipes supplied by Sakshi Forge to VERIFY plants at PSIEC Industrial Area, Derabassi</v>
      </c>
      <c r="AL369" s="15" t="str">
        <f t="shared" si="22"/>
        <v>Electropolished SS 316L tube stock for Derabassi - Sakshi Forge</v>
      </c>
      <c r="AM369" s="15" t="str">
        <f t="shared" si="23"/>
        <v>Home &gt; Market Area &gt; India &gt; Punjab &gt; Derabassi</v>
      </c>
      <c r="AN369" s="15">
        <f t="shared" si="24"/>
        <v>1000</v>
      </c>
      <c r="AO369" s="15">
        <f t="shared" si="25"/>
        <v>8</v>
      </c>
      <c r="AP369" s="15">
        <f t="shared" si="26"/>
        <v>8</v>
      </c>
      <c r="AQ369" s="15">
        <f t="shared" si="27"/>
        <v>7</v>
      </c>
      <c r="AR369" s="31"/>
      <c r="AS369" s="31"/>
      <c r="AT369" s="35" t="s">
        <v>222</v>
      </c>
      <c r="AU369" s="35"/>
    </row>
    <row r="370" ht="15.75" customHeight="1">
      <c r="A370" s="15" t="s">
        <v>2940</v>
      </c>
      <c r="B370" s="15" t="s">
        <v>60</v>
      </c>
      <c r="C370" s="15" t="s">
        <v>775</v>
      </c>
      <c r="D370" s="15" t="s">
        <v>2943</v>
      </c>
      <c r="E370" s="15" t="s">
        <v>2943</v>
      </c>
      <c r="F370" s="65" t="s">
        <v>788</v>
      </c>
      <c r="G370" s="66" t="s">
        <v>98</v>
      </c>
      <c r="H370" s="18" t="s">
        <v>2947</v>
      </c>
      <c r="I370" s="18" t="s">
        <v>8399</v>
      </c>
      <c r="J370" s="18" t="s">
        <v>98</v>
      </c>
      <c r="K370" s="18" t="s">
        <v>98</v>
      </c>
      <c r="L370" s="18" t="s">
        <v>98</v>
      </c>
      <c r="M370" s="18" t="s">
        <v>98</v>
      </c>
      <c r="N370" s="18" t="s">
        <v>98</v>
      </c>
      <c r="O370" s="18" t="s">
        <v>98</v>
      </c>
      <c r="P370" s="15" t="str">
        <f t="shared" si="1"/>
        <v>VERIFY</v>
      </c>
      <c r="Q370" s="15">
        <f t="shared" si="2"/>
        <v>7</v>
      </c>
      <c r="R370" s="15">
        <f t="shared" si="3"/>
        <v>3</v>
      </c>
      <c r="S370" s="15">
        <f t="shared" si="4"/>
        <v>2</v>
      </c>
      <c r="T370" s="15" t="str">
        <f t="shared" si="5"/>
        <v>B-1</v>
      </c>
      <c r="U370" s="15" t="str">
        <f t="shared" si="6"/>
        <v>T7-M3-H2-FB-1-VERIFY</v>
      </c>
      <c r="V370" s="15">
        <f t="shared" si="7"/>
        <v>0</v>
      </c>
      <c r="W370" s="31"/>
      <c r="X370" s="15" t="str">
        <f t="shared" si="8"/>
        <v>dhamtari</v>
      </c>
      <c r="Y370" s="32" t="str">
        <f t="shared" si="9"/>
        <v>https://steelmanufacturer.in/market-area/electropolished-pipes-manufacturer-in-dhamtari/</v>
      </c>
      <c r="Z370" s="15" t="str">
        <f t="shared" si="10"/>
        <v>Electropolished Pipes Manufacturer in Dhamtari | ASME BPE SF1-SF4</v>
      </c>
      <c r="AA370" s="15" t="str">
        <f t="shared" si="11"/>
        <v>OK (65)</v>
      </c>
      <c r="AB370" s="15" t="str">
        <f t="shared" si="12"/>
        <v>EP stainless tube for VERIFY lines in Dhamtari. VERIFY. ASTM A270 S2, PMI tested, EN 10204 3.1.</v>
      </c>
      <c r="AC370" s="15" t="str">
        <f t="shared" si="13"/>
        <v>PENDING RESEARCH</v>
      </c>
      <c r="AD370" s="15" t="str">
        <f t="shared" si="14"/>
        <v>Electropolished Pipes Manufacturer in Dhamtari</v>
      </c>
      <c r="AE370" s="15" t="str">
        <f t="shared" si="15"/>
        <v>How We Manufacture Electropolished Tube for Dhamtari Plants</v>
      </c>
      <c r="AF370" s="15" t="str">
        <f t="shared" si="16"/>
        <v>Supplying Electropolished Pipes in Dhamtari: Availability, Sizes &amp; Dispatch</v>
      </c>
      <c r="AG370" s="15" t="str">
        <f t="shared" si="17"/>
        <v>Wholesale Electropolished Pipe Supply for Dhamtari Projects</v>
      </c>
      <c r="AH370" s="15" t="str">
        <f t="shared" si="18"/>
        <v>electropolished pipes manufacturer in Dhamtari, electropolished pipes supplier in Dhamtari, electropolished pipes wholesaler in Dhamtari, electropolished tube manufacturer Dhamtari, EP pipe supplier Dhamtari, sanitary tube supplier Dhamtari, ASME BPE tubing Dhamtari, ASTM A270 tube Dhamtari, SS 316L electropolished pipe Dhamtari</v>
      </c>
      <c r="AI370" s="15" t="str">
        <f t="shared" si="19"/>
        <v>Electropolished Pipes Manufacturer &amp; Supplier in Dhamtari</v>
      </c>
      <c r="AJ370" s="15" t="str">
        <f t="shared" si="20"/>
        <v>EP-finished SS 304/316L pipes and tubes for VERIFY plants in Dhamtari. ASME BPE SF1-SF4, Ra from 0.25 um, EN 10204 3.1 certificate with every lot.</v>
      </c>
      <c r="AK370" s="15" t="str">
        <f t="shared" si="21"/>
        <v>Electropolished stainless steel pipes supplied by Sakshi Forge to VERIFY plants at CSIDC Industrial Area, Dhamtari</v>
      </c>
      <c r="AL370" s="15" t="str">
        <f t="shared" si="22"/>
        <v>Electropolished SS 316L tube stock for Dhamtari - Sakshi Forge</v>
      </c>
      <c r="AM370" s="15" t="str">
        <f t="shared" si="23"/>
        <v>Home &gt; Market Area &gt; India &gt; Chhattisgarh &gt; Dhamtari</v>
      </c>
      <c r="AN370" s="15">
        <f t="shared" si="24"/>
        <v>1000</v>
      </c>
      <c r="AO370" s="15">
        <f t="shared" si="25"/>
        <v>8</v>
      </c>
      <c r="AP370" s="15">
        <f t="shared" si="26"/>
        <v>8</v>
      </c>
      <c r="AQ370" s="15">
        <f t="shared" si="27"/>
        <v>7</v>
      </c>
      <c r="AR370" s="31"/>
      <c r="AS370" s="31"/>
      <c r="AT370" s="35" t="s">
        <v>222</v>
      </c>
      <c r="AU370" s="35"/>
    </row>
    <row r="371" ht="15.75" customHeight="1">
      <c r="A371" s="15" t="s">
        <v>2951</v>
      </c>
      <c r="B371" s="15" t="s">
        <v>60</v>
      </c>
      <c r="C371" s="15" t="s">
        <v>878</v>
      </c>
      <c r="D371" s="15" t="s">
        <v>2954</v>
      </c>
      <c r="E371" s="15" t="s">
        <v>2954</v>
      </c>
      <c r="F371" s="65" t="s">
        <v>788</v>
      </c>
      <c r="G371" s="66" t="s">
        <v>98</v>
      </c>
      <c r="H371" s="18" t="s">
        <v>2959</v>
      </c>
      <c r="I371" s="18" t="s">
        <v>8415</v>
      </c>
      <c r="J371" s="18" t="s">
        <v>98</v>
      </c>
      <c r="K371" s="18" t="s">
        <v>98</v>
      </c>
      <c r="L371" s="18" t="s">
        <v>98</v>
      </c>
      <c r="M371" s="18" t="s">
        <v>98</v>
      </c>
      <c r="N371" s="18" t="s">
        <v>98</v>
      </c>
      <c r="O371" s="18" t="s">
        <v>98</v>
      </c>
      <c r="P371" s="15" t="str">
        <f t="shared" si="1"/>
        <v>VERIFY</v>
      </c>
      <c r="Q371" s="15">
        <f t="shared" si="2"/>
        <v>8</v>
      </c>
      <c r="R371" s="15">
        <f t="shared" si="3"/>
        <v>4</v>
      </c>
      <c r="S371" s="15">
        <f t="shared" si="4"/>
        <v>3</v>
      </c>
      <c r="T371" s="15" t="str">
        <f t="shared" si="5"/>
        <v>B-2</v>
      </c>
      <c r="U371" s="15" t="str">
        <f t="shared" si="6"/>
        <v>T8-M4-H3-FB-2-VERIFY</v>
      </c>
      <c r="V371" s="15">
        <f t="shared" si="7"/>
        <v>0</v>
      </c>
      <c r="W371" s="31"/>
      <c r="X371" s="15" t="str">
        <f t="shared" si="8"/>
        <v>dhanbad</v>
      </c>
      <c r="Y371" s="32" t="str">
        <f t="shared" si="9"/>
        <v>https://steelmanufacturer.in/market-area/electropolished-pipes-manufacturer-in-dhanbad/</v>
      </c>
      <c r="Z371" s="15" t="str">
        <f t="shared" si="10"/>
        <v>Electropolished Pipes Manufacturer in Dhanbad - EP Tube Stockist</v>
      </c>
      <c r="AA371" s="15" t="str">
        <f t="shared" si="11"/>
        <v>OK (64)</v>
      </c>
      <c r="AB371" s="15" t="str">
        <f t="shared" si="12"/>
        <v>Sanitary electropolished pipes in Dhanbad for VERIFY plants. ASME BPE SF1-SF4, orbital-weld ready, 3.1 MTC. Mumbai-made.</v>
      </c>
      <c r="AC371" s="15" t="str">
        <f t="shared" si="13"/>
        <v>PENDING RESEARCH</v>
      </c>
      <c r="AD371" s="15" t="str">
        <f t="shared" si="14"/>
        <v>Electropolished Pipes Manufacturer in Dhanbad</v>
      </c>
      <c r="AE371" s="15" t="str">
        <f t="shared" si="15"/>
        <v>Electropolished Pipes Manufacturer in Dhanbad - Our Process &amp; Capability</v>
      </c>
      <c r="AF371" s="15" t="str">
        <f t="shared" si="16"/>
        <v>Electropolished Pipes Supplier in Dhanbad - What We Hold in Stock</v>
      </c>
      <c r="AG371" s="15" t="str">
        <f t="shared" si="17"/>
        <v>Bulk &amp; Wholesale Electropolished Pipe Rates for Dhanbad Buyers</v>
      </c>
      <c r="AH371" s="15" t="str">
        <f t="shared" si="18"/>
        <v>electropolished pipes manufacturer in Dhanbad, electropolished pipes supplier in Dhanbad, electropolished pipes wholesaler in Dhanbad, electropolished tube manufacturer Dhanbad, EP pipe supplier Dhanbad, sanitary tube supplier Dhanbad, ASME BPE tubing Dhanbad, ASTM A270 tube Dhanbad, SS 316L electropolished pipe Dhanbad</v>
      </c>
      <c r="AI371" s="15" t="str">
        <f t="shared" si="19"/>
        <v>Electropolished Pipes Manufacturer &amp; Supplier in Dhanbad</v>
      </c>
      <c r="AJ371" s="15" t="str">
        <f t="shared" si="20"/>
        <v>EP-finished SS 304/316L pipes and tubes for VERIFY plants in Dhanbad. ASME BPE SF1-SF4, Ra from 0.25 um, EN 10204 3.1 certificate with every lot.</v>
      </c>
      <c r="AK371" s="15" t="str">
        <f t="shared" si="21"/>
        <v>Electropolished stainless steel pipes supplied by Sakshi Forge to VERIFY plants at JIADA Industrial Area, Dhanbad</v>
      </c>
      <c r="AL371" s="15" t="str">
        <f t="shared" si="22"/>
        <v>Electropolished SS 316L tube stock for Dhanbad - Sakshi Forge</v>
      </c>
      <c r="AM371" s="15" t="str">
        <f t="shared" si="23"/>
        <v>Home &gt; Market Area &gt; India &gt; Jharkhand &gt; Dhanbad</v>
      </c>
      <c r="AN371" s="15">
        <f t="shared" si="24"/>
        <v>1000</v>
      </c>
      <c r="AO371" s="15">
        <f t="shared" si="25"/>
        <v>8</v>
      </c>
      <c r="AP371" s="15">
        <f t="shared" si="26"/>
        <v>8</v>
      </c>
      <c r="AQ371" s="15">
        <f t="shared" si="27"/>
        <v>7</v>
      </c>
      <c r="AR371" s="31"/>
      <c r="AS371" s="31"/>
      <c r="AT371" s="35" t="s">
        <v>222</v>
      </c>
      <c r="AU371" s="35"/>
    </row>
    <row r="372" ht="15.75" customHeight="1">
      <c r="A372" s="15" t="s">
        <v>2963</v>
      </c>
      <c r="B372" s="15" t="s">
        <v>60</v>
      </c>
      <c r="C372" s="15" t="s">
        <v>1621</v>
      </c>
      <c r="D372" s="15" t="s">
        <v>2966</v>
      </c>
      <c r="E372" s="15" t="s">
        <v>2966</v>
      </c>
      <c r="F372" s="65" t="s">
        <v>788</v>
      </c>
      <c r="G372" s="66" t="s">
        <v>98</v>
      </c>
      <c r="H372" s="18" t="s">
        <v>2969</v>
      </c>
      <c r="I372" s="18" t="s">
        <v>8394</v>
      </c>
      <c r="J372" s="18" t="s">
        <v>98</v>
      </c>
      <c r="K372" s="18" t="s">
        <v>98</v>
      </c>
      <c r="L372" s="18" t="s">
        <v>98</v>
      </c>
      <c r="M372" s="18" t="s">
        <v>98</v>
      </c>
      <c r="N372" s="18" t="s">
        <v>98</v>
      </c>
      <c r="O372" s="18" t="s">
        <v>98</v>
      </c>
      <c r="P372" s="15" t="str">
        <f t="shared" si="1"/>
        <v>VERIFY</v>
      </c>
      <c r="Q372" s="15">
        <f t="shared" si="2"/>
        <v>1</v>
      </c>
      <c r="R372" s="15">
        <f t="shared" si="3"/>
        <v>5</v>
      </c>
      <c r="S372" s="15">
        <f t="shared" si="4"/>
        <v>4</v>
      </c>
      <c r="T372" s="15" t="str">
        <f t="shared" si="5"/>
        <v>B-3</v>
      </c>
      <c r="U372" s="15" t="str">
        <f t="shared" si="6"/>
        <v>T1-M5-H4-FB-3-VERIFY</v>
      </c>
      <c r="V372" s="15">
        <f t="shared" si="7"/>
        <v>0</v>
      </c>
      <c r="W372" s="31"/>
      <c r="X372" s="15" t="str">
        <f t="shared" si="8"/>
        <v>dharmanagar</v>
      </c>
      <c r="Y372" s="32" t="str">
        <f t="shared" si="9"/>
        <v>https://steelmanufacturer.in/market-area/electropolished-pipes-manufacturer-in-dharmanagar/</v>
      </c>
      <c r="Z372" s="15" t="str">
        <f t="shared" si="10"/>
        <v>Electropolished Pipes Manufacturer in Dharmanagar | Sakshi Forge</v>
      </c>
      <c r="AA372" s="15" t="str">
        <f t="shared" si="11"/>
        <v>OK (64)</v>
      </c>
      <c r="AB372" s="15" t="str">
        <f t="shared" si="12"/>
        <v>Manufacturer of electropolished SS 316L tube serving Dharmanagar. VERIFY. Ra 0.25-0.5 um, EN 10204 3.1 MTC.</v>
      </c>
      <c r="AC372" s="15" t="str">
        <f t="shared" si="13"/>
        <v>PENDING RESEARCH</v>
      </c>
      <c r="AD372" s="15" t="str">
        <f t="shared" si="14"/>
        <v>Electropolished Pipes Manufacturer in Dharmanagar</v>
      </c>
      <c r="AE372" s="15" t="str">
        <f t="shared" si="15"/>
        <v>Manufacturing Electropolished SS Tube for Dharmanagar: The Standards We Build To</v>
      </c>
      <c r="AF372" s="15" t="str">
        <f t="shared" si="16"/>
        <v>Electropolished Pipe Supply Into Dharmanagar - Certification &amp; Transit</v>
      </c>
      <c r="AG372" s="15" t="str">
        <f t="shared" si="17"/>
        <v>Electropolished Pipes Wholesaler in Dharmanagar - Project Quantities &amp; Terms</v>
      </c>
      <c r="AH372" s="15" t="str">
        <f t="shared" si="18"/>
        <v>electropolished pipes manufacturer in Dharmanagar, electropolished pipes supplier in Dharmanagar, electropolished pipes wholesaler in Dharmanagar, electropolished tube manufacturer Dharmanagar, EP pipe supplier Dharmanagar, sanitary tube supplier Dharmanagar, ASME BPE tubing Dharmanagar, ASTM A270 tube Dharmanagar, SS 316L electropolished pipe Dharmanagar</v>
      </c>
      <c r="AI372" s="15" t="str">
        <f t="shared" si="19"/>
        <v>Electropolished Pipes Manufacturer &amp; Supplier in Dharmanagar</v>
      </c>
      <c r="AJ372" s="15" t="str">
        <f t="shared" si="20"/>
        <v>EP-finished SS 304/316L pipes and tubes for VERIFY plants in Dharmanagar. ASME BPE SF1-SF4, Ra from 0.25 um, EN 10204 3.1 certificate with every lot.</v>
      </c>
      <c r="AK372" s="15" t="str">
        <f t="shared" si="21"/>
        <v>Electropolished stainless steel pipes supplied by Sakshi Forge to VERIFY plants at TIDC Industrial Area, Dharmanagar</v>
      </c>
      <c r="AL372" s="15" t="str">
        <f t="shared" si="22"/>
        <v>Electropolished SS 316L tube stock for Dharmanagar - Sakshi Forge</v>
      </c>
      <c r="AM372" s="15" t="str">
        <f t="shared" si="23"/>
        <v>Home &gt; Market Area &gt; India &gt; Tripura &gt; Dharmanagar</v>
      </c>
      <c r="AN372" s="15">
        <f t="shared" si="24"/>
        <v>1000</v>
      </c>
      <c r="AO372" s="15">
        <f t="shared" si="25"/>
        <v>8</v>
      </c>
      <c r="AP372" s="15">
        <f t="shared" si="26"/>
        <v>8</v>
      </c>
      <c r="AQ372" s="15">
        <f t="shared" si="27"/>
        <v>7</v>
      </c>
      <c r="AR372" s="31"/>
      <c r="AS372" s="31"/>
      <c r="AT372" s="35" t="s">
        <v>222</v>
      </c>
      <c r="AU372" s="35"/>
    </row>
    <row r="373" ht="15.75" customHeight="1">
      <c r="A373" s="15" t="s">
        <v>2973</v>
      </c>
      <c r="B373" s="15" t="s">
        <v>60</v>
      </c>
      <c r="C373" s="15" t="s">
        <v>958</v>
      </c>
      <c r="D373" s="15" t="s">
        <v>2977</v>
      </c>
      <c r="E373" s="15" t="s">
        <v>2977</v>
      </c>
      <c r="F373" s="65" t="s">
        <v>788</v>
      </c>
      <c r="G373" s="66" t="s">
        <v>98</v>
      </c>
      <c r="H373" s="18" t="s">
        <v>2982</v>
      </c>
      <c r="I373" s="18" t="s">
        <v>8403</v>
      </c>
      <c r="J373" s="18" t="s">
        <v>98</v>
      </c>
      <c r="K373" s="18" t="s">
        <v>98</v>
      </c>
      <c r="L373" s="18" t="s">
        <v>98</v>
      </c>
      <c r="M373" s="18" t="s">
        <v>98</v>
      </c>
      <c r="N373" s="18" t="s">
        <v>98</v>
      </c>
      <c r="O373" s="18" t="s">
        <v>98</v>
      </c>
      <c r="P373" s="15" t="str">
        <f t="shared" si="1"/>
        <v>VERIFY</v>
      </c>
      <c r="Q373" s="15">
        <f t="shared" si="2"/>
        <v>2</v>
      </c>
      <c r="R373" s="15">
        <f t="shared" si="3"/>
        <v>6</v>
      </c>
      <c r="S373" s="15">
        <f t="shared" si="4"/>
        <v>5</v>
      </c>
      <c r="T373" s="15" t="str">
        <f t="shared" si="5"/>
        <v>B-4</v>
      </c>
      <c r="U373" s="15" t="str">
        <f t="shared" si="6"/>
        <v>T2-M6-H5-FB-4-VERIFY</v>
      </c>
      <c r="V373" s="15">
        <f t="shared" si="7"/>
        <v>0</v>
      </c>
      <c r="W373" s="31"/>
      <c r="X373" s="15" t="str">
        <f t="shared" si="8"/>
        <v>dharmapuri</v>
      </c>
      <c r="Y373" s="32" t="str">
        <f t="shared" si="9"/>
        <v>https://steelmanufacturer.in/market-area/electropolished-pipes-manufacturer-in-dharmapuri/</v>
      </c>
      <c r="Z373" s="15" t="str">
        <f t="shared" si="10"/>
        <v>Electropolished Pipes Manufacturer in Dharmapuri</v>
      </c>
      <c r="AA373" s="15" t="str">
        <f t="shared" si="11"/>
        <v>OK (48)</v>
      </c>
      <c r="AB373" s="15" t="str">
        <f t="shared" si="12"/>
        <v>EP tube and pipe for VERIFY plants around SIPCOT Industrial Area, Dharmapuri. Made at our Mumbai works to ASTM A270 and ASME BPE SF1-SF4, with 3.1 MTC.</v>
      </c>
      <c r="AC373" s="15" t="str">
        <f t="shared" si="13"/>
        <v>PENDING RESEARCH</v>
      </c>
      <c r="AD373" s="15" t="str">
        <f t="shared" si="14"/>
        <v>Electropolished Pipes Manufacturer in Dharmapuri</v>
      </c>
      <c r="AE373" s="15" t="str">
        <f t="shared" si="15"/>
        <v>Electropolished Tube Manufacturing Capability Serving Dharmapuri</v>
      </c>
      <c r="AF373" s="15" t="str">
        <f t="shared" si="16"/>
        <v>Electropolished Pipes Supplier in Dharmapuri - From Order to Delivery</v>
      </c>
      <c r="AG373" s="15" t="str">
        <f t="shared" si="17"/>
        <v>Stockist &amp; Wholesale Supply of Electropolished Pipes in Dharmapuri</v>
      </c>
      <c r="AH373" s="15" t="str">
        <f t="shared" si="18"/>
        <v>electropolished pipes manufacturer in Dharmapuri, electropolished pipes supplier in Dharmapuri, electropolished pipes wholesaler in Dharmapuri, electropolished tube manufacturer Dharmapuri, EP pipe supplier Dharmapuri, sanitary tube supplier Dharmapuri, ASME BPE tubing Dharmapuri, ASTM A270 tube Dharmapuri, SS 316L electropolished pipe Dharmapuri</v>
      </c>
      <c r="AI373" s="15" t="str">
        <f t="shared" si="19"/>
        <v>Electropolished Pipes Manufacturer &amp; Supplier in Dharmapuri</v>
      </c>
      <c r="AJ373" s="15" t="str">
        <f t="shared" si="20"/>
        <v>EP-finished SS 304/316L pipes and tubes for VERIFY plants in Dharmapuri. ASME BPE SF1-SF4, Ra from 0.25 um, EN 10204 3.1 certificate with every lot.</v>
      </c>
      <c r="AK373" s="15" t="str">
        <f t="shared" si="21"/>
        <v>Electropolished stainless steel pipes supplied by Sakshi Forge to VERIFY plants at SIPCOT Industrial Area, Dharmapuri</v>
      </c>
      <c r="AL373" s="15" t="str">
        <f t="shared" si="22"/>
        <v>Electropolished SS 316L tube stock for Dharmapuri - Sakshi Forge</v>
      </c>
      <c r="AM373" s="15" t="str">
        <f t="shared" si="23"/>
        <v>Home &gt; Market Area &gt; India &gt; Tamil Nadu &gt; Dharmapuri</v>
      </c>
      <c r="AN373" s="15">
        <f t="shared" si="24"/>
        <v>1000</v>
      </c>
      <c r="AO373" s="15">
        <f t="shared" si="25"/>
        <v>8</v>
      </c>
      <c r="AP373" s="15">
        <f t="shared" si="26"/>
        <v>8</v>
      </c>
      <c r="AQ373" s="15">
        <f t="shared" si="27"/>
        <v>7</v>
      </c>
      <c r="AR373" s="31"/>
      <c r="AS373" s="31"/>
      <c r="AT373" s="35" t="s">
        <v>222</v>
      </c>
      <c r="AU373" s="35"/>
    </row>
    <row r="374" ht="15.75" customHeight="1">
      <c r="A374" s="15" t="s">
        <v>2988</v>
      </c>
      <c r="B374" s="15" t="s">
        <v>60</v>
      </c>
      <c r="C374" s="15" t="s">
        <v>245</v>
      </c>
      <c r="D374" s="15" t="s">
        <v>2994</v>
      </c>
      <c r="E374" s="15" t="s">
        <v>2994</v>
      </c>
      <c r="F374" s="65" t="s">
        <v>788</v>
      </c>
      <c r="G374" s="66" t="s">
        <v>98</v>
      </c>
      <c r="H374" s="18" t="s">
        <v>2998</v>
      </c>
      <c r="I374" s="18" t="s">
        <v>8407</v>
      </c>
      <c r="J374" s="18" t="s">
        <v>98</v>
      </c>
      <c r="K374" s="18" t="s">
        <v>98</v>
      </c>
      <c r="L374" s="18" t="s">
        <v>98</v>
      </c>
      <c r="M374" s="18" t="s">
        <v>98</v>
      </c>
      <c r="N374" s="18" t="s">
        <v>98</v>
      </c>
      <c r="O374" s="18" t="s">
        <v>98</v>
      </c>
      <c r="P374" s="15" t="str">
        <f t="shared" si="1"/>
        <v>VERIFY</v>
      </c>
      <c r="Q374" s="15">
        <f t="shared" si="2"/>
        <v>3</v>
      </c>
      <c r="R374" s="15">
        <f t="shared" si="3"/>
        <v>7</v>
      </c>
      <c r="S374" s="15">
        <f t="shared" si="4"/>
        <v>1</v>
      </c>
      <c r="T374" s="15" t="str">
        <f t="shared" si="5"/>
        <v>B-5</v>
      </c>
      <c r="U374" s="15" t="str">
        <f t="shared" si="6"/>
        <v>T3-M7-H1-FB-5-VERIFY</v>
      </c>
      <c r="V374" s="15">
        <f t="shared" si="7"/>
        <v>0</v>
      </c>
      <c r="W374" s="31"/>
      <c r="X374" s="15" t="str">
        <f t="shared" si="8"/>
        <v>dharuhera</v>
      </c>
      <c r="Y374" s="32" t="str">
        <f t="shared" si="9"/>
        <v>https://steelmanufacturer.in/market-area/electropolished-pipes-manufacturer-in-dharuhera/</v>
      </c>
      <c r="Z374" s="15" t="str">
        <f t="shared" si="10"/>
        <v>Electropolished Pipes Manufacturer in Dharuhera</v>
      </c>
      <c r="AA374" s="15" t="str">
        <f t="shared" si="11"/>
        <v>OK (47)</v>
      </c>
      <c r="AB374" s="15" t="str">
        <f t="shared" si="12"/>
        <v>Electropolished pipes in Dharuhera: 304, 304L, 316 and 316L in SF1-SF4. VERIFY. Mill certified.</v>
      </c>
      <c r="AC374" s="15" t="str">
        <f t="shared" si="13"/>
        <v>PENDING RESEARCH</v>
      </c>
      <c r="AD374" s="15" t="str">
        <f t="shared" si="14"/>
        <v>Electropolished Pipes Manufacturer in Dharuhera</v>
      </c>
      <c r="AE374" s="15" t="str">
        <f t="shared" si="15"/>
        <v>Electropolished Pipe &amp; Tube Manufacturing for Dharuhera - Grades, Finishes &amp; Certification</v>
      </c>
      <c r="AF374" s="15" t="str">
        <f t="shared" si="16"/>
        <v>Electropolished Pipes Supplier in Dharuhera - Stock Sizes, Lead Time &amp; Delivery</v>
      </c>
      <c r="AG374" s="15" t="str">
        <f t="shared" si="17"/>
        <v>Electropolished Pipes Wholesaler &amp; Stockist in Dharuhera - Bulk &amp; Project Pricing</v>
      </c>
      <c r="AH374" s="15" t="str">
        <f t="shared" si="18"/>
        <v>electropolished pipes manufacturer in Dharuhera, electropolished pipes supplier in Dharuhera, electropolished pipes wholesaler in Dharuhera, electropolished tube manufacturer Dharuhera, EP pipe supplier Dharuhera, sanitary tube supplier Dharuhera, ASME BPE tubing Dharuhera, ASTM A270 tube Dharuhera, SS 316L electropolished pipe Dharuhera</v>
      </c>
      <c r="AI374" s="15" t="str">
        <f t="shared" si="19"/>
        <v>Electropolished Pipes Manufacturer &amp; Supplier in Dharuhera</v>
      </c>
      <c r="AJ374" s="15" t="str">
        <f t="shared" si="20"/>
        <v>EP-finished SS 304/316L pipes and tubes for VERIFY plants in Dharuhera. ASME BPE SF1-SF4, Ra from 0.25 um, EN 10204 3.1 certificate with every lot.</v>
      </c>
      <c r="AK374" s="15" t="str">
        <f t="shared" si="21"/>
        <v>Electropolished stainless steel pipes supplied by Sakshi Forge to VERIFY plants at HSIIDC Industrial Area, Dharuhera</v>
      </c>
      <c r="AL374" s="15" t="str">
        <f t="shared" si="22"/>
        <v>Electropolished SS 316L tube stock for Dharuhera - Sakshi Forge</v>
      </c>
      <c r="AM374" s="15" t="str">
        <f t="shared" si="23"/>
        <v>Home &gt; Market Area &gt; India &gt; Haryana &gt; Dharuhera</v>
      </c>
      <c r="AN374" s="15">
        <f t="shared" si="24"/>
        <v>1000</v>
      </c>
      <c r="AO374" s="15">
        <f t="shared" si="25"/>
        <v>8</v>
      </c>
      <c r="AP374" s="15">
        <f t="shared" si="26"/>
        <v>8</v>
      </c>
      <c r="AQ374" s="15">
        <f t="shared" si="27"/>
        <v>7</v>
      </c>
      <c r="AR374" s="31"/>
      <c r="AS374" s="31"/>
      <c r="AT374" s="35" t="s">
        <v>222</v>
      </c>
      <c r="AU374" s="35"/>
    </row>
    <row r="375" ht="15.75" customHeight="1">
      <c r="A375" s="15" t="s">
        <v>3002</v>
      </c>
      <c r="B375" s="15" t="s">
        <v>60</v>
      </c>
      <c r="C375" s="15" t="s">
        <v>424</v>
      </c>
      <c r="D375" s="15" t="s">
        <v>3005</v>
      </c>
      <c r="E375" s="15" t="s">
        <v>3005</v>
      </c>
      <c r="F375" s="65" t="s">
        <v>788</v>
      </c>
      <c r="G375" s="66" t="s">
        <v>98</v>
      </c>
      <c r="H375" s="18" t="s">
        <v>3010</v>
      </c>
      <c r="I375" s="18" t="s">
        <v>8406</v>
      </c>
      <c r="J375" s="18" t="s">
        <v>98</v>
      </c>
      <c r="K375" s="18" t="s">
        <v>98</v>
      </c>
      <c r="L375" s="18" t="s">
        <v>98</v>
      </c>
      <c r="M375" s="18" t="s">
        <v>98</v>
      </c>
      <c r="N375" s="18" t="s">
        <v>98</v>
      </c>
      <c r="O375" s="18" t="s">
        <v>98</v>
      </c>
      <c r="P375" s="15" t="str">
        <f t="shared" si="1"/>
        <v>VERIFY</v>
      </c>
      <c r="Q375" s="15">
        <f t="shared" si="2"/>
        <v>4</v>
      </c>
      <c r="R375" s="15">
        <f t="shared" si="3"/>
        <v>1</v>
      </c>
      <c r="S375" s="15">
        <f t="shared" si="4"/>
        <v>2</v>
      </c>
      <c r="T375" s="15" t="str">
        <f t="shared" si="5"/>
        <v>B-6</v>
      </c>
      <c r="U375" s="15" t="str">
        <f t="shared" si="6"/>
        <v>T4-M1-H2-FB-6-VERIFY</v>
      </c>
      <c r="V375" s="15">
        <f t="shared" si="7"/>
        <v>0</v>
      </c>
      <c r="W375" s="31"/>
      <c r="X375" s="15" t="str">
        <f t="shared" si="8"/>
        <v>dhenkanal</v>
      </c>
      <c r="Y375" s="32" t="str">
        <f t="shared" si="9"/>
        <v>https://steelmanufacturer.in/market-area/electropolished-pipes-manufacturer-in-dhenkanal/</v>
      </c>
      <c r="Z375" s="15" t="str">
        <f t="shared" si="10"/>
        <v>Electropolished Pipes Manufacturer in Dhenkanal</v>
      </c>
      <c r="AA375" s="15" t="str">
        <f t="shared" si="11"/>
        <v>OK (47)</v>
      </c>
      <c r="AB375" s="15" t="str">
        <f t="shared" si="12"/>
        <v>EP-finished SS 304/316L pipes &amp; tubes for VERIFY plants in Dhenkanal. ASTM A270, ASME BPE SF1-SF4, EN 10204 3.1 MTC. PMI tested.</v>
      </c>
      <c r="AC375" s="15" t="str">
        <f t="shared" si="13"/>
        <v>PENDING RESEARCH</v>
      </c>
      <c r="AD375" s="15" t="str">
        <f t="shared" si="14"/>
        <v>Electropolished Pipes Manufacturer in Dhenkanal</v>
      </c>
      <c r="AE375" s="15" t="str">
        <f t="shared" si="15"/>
        <v>How We Manufacture Electropolished Tube for Dhenkanal Plants</v>
      </c>
      <c r="AF375" s="15" t="str">
        <f t="shared" si="16"/>
        <v>Supplying Electropolished Pipes in Dhenkanal: Availability, Sizes &amp; Dispatch</v>
      </c>
      <c r="AG375" s="15" t="str">
        <f t="shared" si="17"/>
        <v>Wholesale Electropolished Pipe Supply for Dhenkanal Projects</v>
      </c>
      <c r="AH375" s="15" t="str">
        <f t="shared" si="18"/>
        <v>electropolished pipes manufacturer in Dhenkanal, electropolished pipes supplier in Dhenkanal, electropolished pipes wholesaler in Dhenkanal, electropolished tube manufacturer Dhenkanal, EP pipe supplier Dhenkanal, sanitary tube supplier Dhenkanal, ASME BPE tubing Dhenkanal, ASTM A270 tube Dhenkanal, SS 316L electropolished pipe Dhenkanal</v>
      </c>
      <c r="AI375" s="15" t="str">
        <f t="shared" si="19"/>
        <v>Electropolished Pipes Manufacturer &amp; Supplier in Dhenkanal</v>
      </c>
      <c r="AJ375" s="15" t="str">
        <f t="shared" si="20"/>
        <v>EP-finished SS 304/316L pipes and tubes for VERIFY plants in Dhenkanal. ASME BPE SF1-SF4, Ra from 0.25 um, EN 10204 3.1 certificate with every lot.</v>
      </c>
      <c r="AK375" s="15" t="str">
        <f t="shared" si="21"/>
        <v>Electropolished stainless steel pipes supplied by Sakshi Forge to VERIFY plants at IDCO Industrial Area, Dhenkanal</v>
      </c>
      <c r="AL375" s="15" t="str">
        <f t="shared" si="22"/>
        <v>Electropolished SS 316L tube stock for Dhenkanal - Sakshi Forge</v>
      </c>
      <c r="AM375" s="15" t="str">
        <f t="shared" si="23"/>
        <v>Home &gt; Market Area &gt; India &gt; Odisha &gt; Dhenkanal</v>
      </c>
      <c r="AN375" s="15">
        <f t="shared" si="24"/>
        <v>1000</v>
      </c>
      <c r="AO375" s="15">
        <f t="shared" si="25"/>
        <v>8</v>
      </c>
      <c r="AP375" s="15">
        <f t="shared" si="26"/>
        <v>8</v>
      </c>
      <c r="AQ375" s="15">
        <f t="shared" si="27"/>
        <v>7</v>
      </c>
      <c r="AR375" s="31"/>
      <c r="AS375" s="31"/>
      <c r="AT375" s="35" t="s">
        <v>222</v>
      </c>
      <c r="AU375" s="35"/>
    </row>
    <row r="376" ht="15.75" customHeight="1">
      <c r="A376" s="15" t="s">
        <v>3014</v>
      </c>
      <c r="B376" s="15" t="s">
        <v>60</v>
      </c>
      <c r="C376" s="15" t="s">
        <v>1155</v>
      </c>
      <c r="D376" s="15" t="s">
        <v>3017</v>
      </c>
      <c r="E376" s="15" t="s">
        <v>3017</v>
      </c>
      <c r="F376" s="65" t="s">
        <v>788</v>
      </c>
      <c r="G376" s="66" t="s">
        <v>98</v>
      </c>
      <c r="H376" s="18" t="s">
        <v>3022</v>
      </c>
      <c r="I376" s="18" t="s">
        <v>8412</v>
      </c>
      <c r="J376" s="18" t="s">
        <v>98</v>
      </c>
      <c r="K376" s="18" t="s">
        <v>98</v>
      </c>
      <c r="L376" s="18" t="s">
        <v>98</v>
      </c>
      <c r="M376" s="18" t="s">
        <v>98</v>
      </c>
      <c r="N376" s="18" t="s">
        <v>98</v>
      </c>
      <c r="O376" s="18" t="s">
        <v>98</v>
      </c>
      <c r="P376" s="15" t="str">
        <f t="shared" si="1"/>
        <v>VERIFY</v>
      </c>
      <c r="Q376" s="15">
        <f t="shared" si="2"/>
        <v>5</v>
      </c>
      <c r="R376" s="15">
        <f t="shared" si="3"/>
        <v>2</v>
      </c>
      <c r="S376" s="15">
        <f t="shared" si="4"/>
        <v>3</v>
      </c>
      <c r="T376" s="15" t="str">
        <f t="shared" si="5"/>
        <v>B-1</v>
      </c>
      <c r="U376" s="15" t="str">
        <f t="shared" si="6"/>
        <v>T5-M2-H3-FB-1-VERIFY</v>
      </c>
      <c r="V376" s="15">
        <f t="shared" si="7"/>
        <v>0</v>
      </c>
      <c r="W376" s="31"/>
      <c r="X376" s="15" t="str">
        <f t="shared" si="8"/>
        <v>dhubri</v>
      </c>
      <c r="Y376" s="32" t="str">
        <f t="shared" si="9"/>
        <v>https://steelmanufacturer.in/market-area/electropolished-pipes-manufacturer-in-dhubri/</v>
      </c>
      <c r="Z376" s="15" t="str">
        <f t="shared" si="10"/>
        <v>Electropolished Pipes Manufacturer in Dhubri</v>
      </c>
      <c r="AA376" s="15" t="str">
        <f t="shared" si="11"/>
        <v>OK (44)</v>
      </c>
      <c r="AB376" s="15" t="str">
        <f t="shared" si="12"/>
        <v>Electropolished tube supply to AIDC Industrial Area, Dhubri. Ra from 0.25 um, SF4 finish, mill test certificate with every lot.</v>
      </c>
      <c r="AC376" s="15" t="str">
        <f t="shared" si="13"/>
        <v>PENDING RESEARCH</v>
      </c>
      <c r="AD376" s="15" t="str">
        <f t="shared" si="14"/>
        <v>Electropolished Pipes Manufacturer in Dhubri</v>
      </c>
      <c r="AE376" s="15" t="str">
        <f t="shared" si="15"/>
        <v>Electropolished Pipes Manufacturer in Dhubri - Our Process &amp; Capability</v>
      </c>
      <c r="AF376" s="15" t="str">
        <f t="shared" si="16"/>
        <v>Electropolished Pipes Supplier in Dhubri - What We Hold in Stock</v>
      </c>
      <c r="AG376" s="15" t="str">
        <f t="shared" si="17"/>
        <v>Bulk &amp; Wholesale Electropolished Pipe Rates for Dhubri Buyers</v>
      </c>
      <c r="AH376" s="15" t="str">
        <f t="shared" si="18"/>
        <v>electropolished pipes manufacturer in Dhubri, electropolished pipes supplier in Dhubri, electropolished pipes wholesaler in Dhubri, electropolished tube manufacturer Dhubri, EP pipe supplier Dhubri, sanitary tube supplier Dhubri, ASME BPE tubing Dhubri, ASTM A270 tube Dhubri, SS 316L electropolished pipe Dhubri</v>
      </c>
      <c r="AI376" s="15" t="str">
        <f t="shared" si="19"/>
        <v>Electropolished Pipes Manufacturer &amp; Supplier in Dhubri</v>
      </c>
      <c r="AJ376" s="15" t="str">
        <f t="shared" si="20"/>
        <v>EP-finished SS 304/316L pipes and tubes for VERIFY plants in Dhubri. ASME BPE SF1-SF4, Ra from 0.25 um, EN 10204 3.1 certificate with every lot.</v>
      </c>
      <c r="AK376" s="15" t="str">
        <f t="shared" si="21"/>
        <v>Electropolished stainless steel pipes supplied by Sakshi Forge to VERIFY plants at AIDC Industrial Area, Dhubri</v>
      </c>
      <c r="AL376" s="15" t="str">
        <f t="shared" si="22"/>
        <v>Electropolished SS 316L tube stock for Dhubri - Sakshi Forge</v>
      </c>
      <c r="AM376" s="15" t="str">
        <f t="shared" si="23"/>
        <v>Home &gt; Market Area &gt; India &gt; Assam &gt; Dhubri</v>
      </c>
      <c r="AN376" s="15">
        <f t="shared" si="24"/>
        <v>1000</v>
      </c>
      <c r="AO376" s="15">
        <f t="shared" si="25"/>
        <v>8</v>
      </c>
      <c r="AP376" s="15">
        <f t="shared" si="26"/>
        <v>8</v>
      </c>
      <c r="AQ376" s="15">
        <f t="shared" si="27"/>
        <v>7</v>
      </c>
      <c r="AR376" s="31"/>
      <c r="AS376" s="31"/>
      <c r="AT376" s="35" t="s">
        <v>222</v>
      </c>
      <c r="AU376" s="35"/>
    </row>
    <row r="377" ht="15.75" customHeight="1">
      <c r="A377" s="15" t="s">
        <v>3026</v>
      </c>
      <c r="B377" s="15" t="s">
        <v>60</v>
      </c>
      <c r="C377" s="15" t="s">
        <v>264</v>
      </c>
      <c r="D377" s="15" t="s">
        <v>3029</v>
      </c>
      <c r="E377" s="15" t="s">
        <v>3029</v>
      </c>
      <c r="F377" s="65" t="s">
        <v>788</v>
      </c>
      <c r="G377" s="66" t="s">
        <v>98</v>
      </c>
      <c r="H377" s="18" t="s">
        <v>3033</v>
      </c>
      <c r="I377" s="18" t="s">
        <v>8395</v>
      </c>
      <c r="J377" s="18" t="s">
        <v>98</v>
      </c>
      <c r="K377" s="18" t="s">
        <v>98</v>
      </c>
      <c r="L377" s="18" t="s">
        <v>98</v>
      </c>
      <c r="M377" s="18" t="s">
        <v>98</v>
      </c>
      <c r="N377" s="18" t="s">
        <v>98</v>
      </c>
      <c r="O377" s="18" t="s">
        <v>98</v>
      </c>
      <c r="P377" s="15" t="str">
        <f t="shared" si="1"/>
        <v>VERIFY</v>
      </c>
      <c r="Q377" s="15">
        <f t="shared" si="2"/>
        <v>6</v>
      </c>
      <c r="R377" s="15">
        <f t="shared" si="3"/>
        <v>3</v>
      </c>
      <c r="S377" s="15">
        <f t="shared" si="4"/>
        <v>4</v>
      </c>
      <c r="T377" s="15" t="str">
        <f t="shared" si="5"/>
        <v>B-2</v>
      </c>
      <c r="U377" s="15" t="str">
        <f t="shared" si="6"/>
        <v>T6-M3-H4-FB-2-VERIFY</v>
      </c>
      <c r="V377" s="15">
        <f t="shared" si="7"/>
        <v>0</v>
      </c>
      <c r="W377" s="31"/>
      <c r="X377" s="15" t="str">
        <f t="shared" si="8"/>
        <v>dhule</v>
      </c>
      <c r="Y377" s="32" t="str">
        <f t="shared" si="9"/>
        <v>https://steelmanufacturer.in/market-area/electropolished-pipes-manufacturer-in-dhule/</v>
      </c>
      <c r="Z377" s="15" t="str">
        <f t="shared" si="10"/>
        <v>Electropolished Pipes Manufacturer in Dhule</v>
      </c>
      <c r="AA377" s="15" t="str">
        <f t="shared" si="11"/>
        <v>OK (43)</v>
      </c>
      <c r="AB377" s="15" t="str">
        <f t="shared" si="12"/>
        <v>EP stainless tube for VERIFY lines in Dhule. VERIFY. ASTM A270 S2, PMI tested, EN 10204 3.1.</v>
      </c>
      <c r="AC377" s="15" t="str">
        <f t="shared" si="13"/>
        <v>PENDING RESEARCH</v>
      </c>
      <c r="AD377" s="15" t="str">
        <f t="shared" si="14"/>
        <v>Electropolished Pipes Manufacturer in Dhule</v>
      </c>
      <c r="AE377" s="15" t="str">
        <f t="shared" si="15"/>
        <v>Manufacturing Electropolished SS Tube for Dhule: The Standards We Build To</v>
      </c>
      <c r="AF377" s="15" t="str">
        <f t="shared" si="16"/>
        <v>Electropolished Pipe Supply Into Dhule - Certification &amp; Transit</v>
      </c>
      <c r="AG377" s="15" t="str">
        <f t="shared" si="17"/>
        <v>Electropolished Pipes Wholesaler in Dhule - Project Quantities &amp; Terms</v>
      </c>
      <c r="AH377" s="15" t="str">
        <f t="shared" si="18"/>
        <v>electropolished pipes manufacturer in Dhule, electropolished pipes supplier in Dhule, electropolished pipes wholesaler in Dhule, electropolished tube manufacturer Dhule, EP pipe supplier Dhule, sanitary tube supplier Dhule, ASME BPE tubing Dhule, ASTM A270 tube Dhule, SS 316L electropolished pipe Dhule</v>
      </c>
      <c r="AI377" s="15" t="str">
        <f t="shared" si="19"/>
        <v>Electropolished Pipes Manufacturer &amp; Supplier in Dhule</v>
      </c>
      <c r="AJ377" s="15" t="str">
        <f t="shared" si="20"/>
        <v>EP-finished SS 304/316L pipes and tubes for VERIFY plants in Dhule. ASME BPE SF1-SF4, Ra from 0.25 um, EN 10204 3.1 certificate with every lot.</v>
      </c>
      <c r="AK377" s="15" t="str">
        <f t="shared" si="21"/>
        <v>Electropolished stainless steel pipes supplied by Sakshi Forge to VERIFY plants at MIDC Industrial Area, Dhule</v>
      </c>
      <c r="AL377" s="15" t="str">
        <f t="shared" si="22"/>
        <v>Electropolished SS 316L tube stock for Dhule - Sakshi Forge</v>
      </c>
      <c r="AM377" s="15" t="str">
        <f t="shared" si="23"/>
        <v>Home &gt; Market Area &gt; India &gt; Maharashtra &gt; Dhule</v>
      </c>
      <c r="AN377" s="15">
        <f t="shared" si="24"/>
        <v>1000</v>
      </c>
      <c r="AO377" s="15">
        <f t="shared" si="25"/>
        <v>8</v>
      </c>
      <c r="AP377" s="15">
        <f t="shared" si="26"/>
        <v>8</v>
      </c>
      <c r="AQ377" s="15">
        <f t="shared" si="27"/>
        <v>7</v>
      </c>
      <c r="AR377" s="31"/>
      <c r="AS377" s="31"/>
      <c r="AT377" s="35" t="s">
        <v>222</v>
      </c>
      <c r="AU377" s="35"/>
    </row>
    <row r="378" ht="15.75" customHeight="1">
      <c r="A378" s="15" t="s">
        <v>3037</v>
      </c>
      <c r="B378" s="15" t="s">
        <v>60</v>
      </c>
      <c r="C378" s="15" t="s">
        <v>3040</v>
      </c>
      <c r="D378" s="15" t="s">
        <v>3041</v>
      </c>
      <c r="E378" s="15" t="s">
        <v>3041</v>
      </c>
      <c r="F378" s="65" t="s">
        <v>788</v>
      </c>
      <c r="G378" s="66" t="s">
        <v>98</v>
      </c>
      <c r="H378" s="18" t="s">
        <v>3046</v>
      </c>
      <c r="I378" s="18" t="s">
        <v>8417</v>
      </c>
      <c r="J378" s="18" t="s">
        <v>98</v>
      </c>
      <c r="K378" s="18" t="s">
        <v>98</v>
      </c>
      <c r="L378" s="18" t="s">
        <v>98</v>
      </c>
      <c r="M378" s="18" t="s">
        <v>98</v>
      </c>
      <c r="N378" s="18" t="s">
        <v>98</v>
      </c>
      <c r="O378" s="18" t="s">
        <v>98</v>
      </c>
      <c r="P378" s="15" t="str">
        <f t="shared" si="1"/>
        <v>VERIFY</v>
      </c>
      <c r="Q378" s="15">
        <f t="shared" si="2"/>
        <v>7</v>
      </c>
      <c r="R378" s="15">
        <f t="shared" si="3"/>
        <v>4</v>
      </c>
      <c r="S378" s="15">
        <f t="shared" si="4"/>
        <v>5</v>
      </c>
      <c r="T378" s="15" t="str">
        <f t="shared" si="5"/>
        <v>B-3</v>
      </c>
      <c r="U378" s="15" t="str">
        <f t="shared" si="6"/>
        <v>T7-M4-H5-FB-3-VERIFY</v>
      </c>
      <c r="V378" s="15">
        <f t="shared" si="7"/>
        <v>0</v>
      </c>
      <c r="W378" s="31"/>
      <c r="X378" s="15" t="str">
        <f t="shared" si="8"/>
        <v>dimapur</v>
      </c>
      <c r="Y378" s="32" t="str">
        <f t="shared" si="9"/>
        <v>https://steelmanufacturer.in/market-area/electropolished-pipes-manufacturer-in-dimapur/</v>
      </c>
      <c r="Z378" s="15" t="str">
        <f t="shared" si="10"/>
        <v>Electropolished Pipes Manufacturer in Dimapur | ASME BPE SF1-SF4</v>
      </c>
      <c r="AA378" s="15" t="str">
        <f t="shared" si="11"/>
        <v>OK (64)</v>
      </c>
      <c r="AB378" s="15" t="str">
        <f t="shared" si="12"/>
        <v>Sanitary electropolished pipes in Dimapur for VERIFY plants. ASME BPE SF1-SF4, orbital-weld ready, 3.1 MTC. Mumbai-made.</v>
      </c>
      <c r="AC378" s="15" t="str">
        <f t="shared" si="13"/>
        <v>PENDING RESEARCH</v>
      </c>
      <c r="AD378" s="15" t="str">
        <f t="shared" si="14"/>
        <v>Electropolished Pipes Manufacturer in Dimapur</v>
      </c>
      <c r="AE378" s="15" t="str">
        <f t="shared" si="15"/>
        <v>Electropolished Tube Manufacturing Capability Serving Dimapur</v>
      </c>
      <c r="AF378" s="15" t="str">
        <f t="shared" si="16"/>
        <v>Electropolished Pipes Supplier in Dimapur - From Order to Delivery</v>
      </c>
      <c r="AG378" s="15" t="str">
        <f t="shared" si="17"/>
        <v>Stockist &amp; Wholesale Supply of Electropolished Pipes in Dimapur</v>
      </c>
      <c r="AH378" s="15" t="str">
        <f t="shared" si="18"/>
        <v>electropolished pipes manufacturer in Dimapur, electropolished pipes supplier in Dimapur, electropolished pipes wholesaler in Dimapur, electropolished tube manufacturer Dimapur, EP pipe supplier Dimapur, sanitary tube supplier Dimapur, ASME BPE tubing Dimapur, ASTM A270 tube Dimapur, SS 316L electropolished pipe Dimapur</v>
      </c>
      <c r="AI378" s="15" t="str">
        <f t="shared" si="19"/>
        <v>Electropolished Pipes Manufacturer &amp; Supplier in Dimapur</v>
      </c>
      <c r="AJ378" s="15" t="str">
        <f t="shared" si="20"/>
        <v>EP-finished SS 304/316L pipes and tubes for VERIFY plants in Dimapur. ASME BPE SF1-SF4, Ra from 0.25 um, EN 10204 3.1 certificate with every lot.</v>
      </c>
      <c r="AK378" s="15" t="str">
        <f t="shared" si="21"/>
        <v>Electropolished stainless steel pipes supplied by Sakshi Forge to VERIFY plants at NIDC Industrial Area, Dimapur</v>
      </c>
      <c r="AL378" s="15" t="str">
        <f t="shared" si="22"/>
        <v>Electropolished SS 316L tube stock for Dimapur - Sakshi Forge</v>
      </c>
      <c r="AM378" s="15" t="str">
        <f t="shared" si="23"/>
        <v>Home &gt; Market Area &gt; India &gt; Nagaland &gt; Dimapur</v>
      </c>
      <c r="AN378" s="15">
        <f t="shared" si="24"/>
        <v>1000</v>
      </c>
      <c r="AO378" s="15">
        <f t="shared" si="25"/>
        <v>8</v>
      </c>
      <c r="AP378" s="15">
        <f t="shared" si="26"/>
        <v>8</v>
      </c>
      <c r="AQ378" s="15">
        <f t="shared" si="27"/>
        <v>7</v>
      </c>
      <c r="AR378" s="31"/>
      <c r="AS378" s="31"/>
      <c r="AT378" s="35" t="s">
        <v>222</v>
      </c>
      <c r="AU378" s="35"/>
    </row>
    <row r="379" ht="15.75" customHeight="1">
      <c r="A379" s="15" t="s">
        <v>3053</v>
      </c>
      <c r="B379" s="15" t="s">
        <v>60</v>
      </c>
      <c r="C379" s="15" t="s">
        <v>958</v>
      </c>
      <c r="D379" s="15" t="s">
        <v>3057</v>
      </c>
      <c r="E379" s="15" t="s">
        <v>3057</v>
      </c>
      <c r="F379" s="65" t="s">
        <v>788</v>
      </c>
      <c r="G379" s="66" t="s">
        <v>98</v>
      </c>
      <c r="H379" s="18" t="s">
        <v>3062</v>
      </c>
      <c r="I379" s="18" t="s">
        <v>8403</v>
      </c>
      <c r="J379" s="18" t="s">
        <v>98</v>
      </c>
      <c r="K379" s="18" t="s">
        <v>98</v>
      </c>
      <c r="L379" s="18" t="s">
        <v>98</v>
      </c>
      <c r="M379" s="18" t="s">
        <v>98</v>
      </c>
      <c r="N379" s="18" t="s">
        <v>98</v>
      </c>
      <c r="O379" s="18" t="s">
        <v>98</v>
      </c>
      <c r="P379" s="15" t="str">
        <f t="shared" si="1"/>
        <v>VERIFY</v>
      </c>
      <c r="Q379" s="15">
        <f t="shared" si="2"/>
        <v>8</v>
      </c>
      <c r="R379" s="15">
        <f t="shared" si="3"/>
        <v>5</v>
      </c>
      <c r="S379" s="15">
        <f t="shared" si="4"/>
        <v>1</v>
      </c>
      <c r="T379" s="15" t="str">
        <f t="shared" si="5"/>
        <v>B-4</v>
      </c>
      <c r="U379" s="15" t="str">
        <f t="shared" si="6"/>
        <v>T8-M5-H1-FB-4-VERIFY</v>
      </c>
      <c r="V379" s="15">
        <f t="shared" si="7"/>
        <v>0</v>
      </c>
      <c r="W379" s="31"/>
      <c r="X379" s="15" t="str">
        <f t="shared" si="8"/>
        <v>dindigul</v>
      </c>
      <c r="Y379" s="32" t="str">
        <f t="shared" si="9"/>
        <v>https://steelmanufacturer.in/market-area/electropolished-pipes-manufacturer-in-dindigul/</v>
      </c>
      <c r="Z379" s="15" t="str">
        <f t="shared" si="10"/>
        <v>Electropolished Pipes Manufacturer in Dindigul - EP Tube Stockist</v>
      </c>
      <c r="AA379" s="15" t="str">
        <f t="shared" si="11"/>
        <v>OK (65)</v>
      </c>
      <c r="AB379" s="15" t="str">
        <f t="shared" si="12"/>
        <v>Manufacturer of electropolished SS 316L tube serving Dindigul. VERIFY. Ra 0.25-0.5 um, EN 10204 3.1 MTC.</v>
      </c>
      <c r="AC379" s="15" t="str">
        <f t="shared" si="13"/>
        <v>PENDING RESEARCH</v>
      </c>
      <c r="AD379" s="15" t="str">
        <f t="shared" si="14"/>
        <v>Electropolished Pipes Manufacturer in Dindigul</v>
      </c>
      <c r="AE379" s="15" t="str">
        <f t="shared" si="15"/>
        <v>Electropolished Pipe &amp; Tube Manufacturing for Dindigul - Grades, Finishes &amp; Certification</v>
      </c>
      <c r="AF379" s="15" t="str">
        <f t="shared" si="16"/>
        <v>Electropolished Pipes Supplier in Dindigul - Stock Sizes, Lead Time &amp; Delivery</v>
      </c>
      <c r="AG379" s="15" t="str">
        <f t="shared" si="17"/>
        <v>Electropolished Pipes Wholesaler &amp; Stockist in Dindigul - Bulk &amp; Project Pricing</v>
      </c>
      <c r="AH379" s="15" t="str">
        <f t="shared" si="18"/>
        <v>electropolished pipes manufacturer in Dindigul, electropolished pipes supplier in Dindigul, electropolished pipes wholesaler in Dindigul, electropolished tube manufacturer Dindigul, EP pipe supplier Dindigul, sanitary tube supplier Dindigul, ASME BPE tubing Dindigul, ASTM A270 tube Dindigul, SS 316L electropolished pipe Dindigul</v>
      </c>
      <c r="AI379" s="15" t="str">
        <f t="shared" si="19"/>
        <v>Electropolished Pipes Manufacturer &amp; Supplier in Dindigul</v>
      </c>
      <c r="AJ379" s="15" t="str">
        <f t="shared" si="20"/>
        <v>EP-finished SS 304/316L pipes and tubes for VERIFY plants in Dindigul. ASME BPE SF1-SF4, Ra from 0.25 um, EN 10204 3.1 certificate with every lot.</v>
      </c>
      <c r="AK379" s="15" t="str">
        <f t="shared" si="21"/>
        <v>Electropolished stainless steel pipes supplied by Sakshi Forge to VERIFY plants at SIPCOT Industrial Area, Dindigul</v>
      </c>
      <c r="AL379" s="15" t="str">
        <f t="shared" si="22"/>
        <v>Electropolished SS 316L tube stock for Dindigul - Sakshi Forge</v>
      </c>
      <c r="AM379" s="15" t="str">
        <f t="shared" si="23"/>
        <v>Home &gt; Market Area &gt; India &gt; Tamil Nadu &gt; Dindigul</v>
      </c>
      <c r="AN379" s="15">
        <f t="shared" si="24"/>
        <v>1000</v>
      </c>
      <c r="AO379" s="15">
        <f t="shared" si="25"/>
        <v>8</v>
      </c>
      <c r="AP379" s="15">
        <f t="shared" si="26"/>
        <v>8</v>
      </c>
      <c r="AQ379" s="15">
        <f t="shared" si="27"/>
        <v>7</v>
      </c>
      <c r="AR379" s="31"/>
      <c r="AS379" s="31"/>
      <c r="AT379" s="35" t="s">
        <v>222</v>
      </c>
      <c r="AU379" s="35"/>
    </row>
    <row r="380" ht="15.75" customHeight="1">
      <c r="A380" s="15" t="s">
        <v>3066</v>
      </c>
      <c r="B380" s="15" t="s">
        <v>60</v>
      </c>
      <c r="C380" s="15" t="s">
        <v>570</v>
      </c>
      <c r="D380" s="15" t="s">
        <v>3069</v>
      </c>
      <c r="E380" s="15" t="s">
        <v>3069</v>
      </c>
      <c r="F380" s="65" t="s">
        <v>788</v>
      </c>
      <c r="G380" s="66" t="s">
        <v>98</v>
      </c>
      <c r="H380" s="18" t="s">
        <v>3075</v>
      </c>
      <c r="I380" s="18" t="s">
        <v>8405</v>
      </c>
      <c r="J380" s="18" t="s">
        <v>98</v>
      </c>
      <c r="K380" s="18" t="s">
        <v>98</v>
      </c>
      <c r="L380" s="18" t="s">
        <v>98</v>
      </c>
      <c r="M380" s="18" t="s">
        <v>98</v>
      </c>
      <c r="N380" s="18" t="s">
        <v>98</v>
      </c>
      <c r="O380" s="18" t="s">
        <v>98</v>
      </c>
      <c r="P380" s="15" t="str">
        <f t="shared" si="1"/>
        <v>VERIFY</v>
      </c>
      <c r="Q380" s="15">
        <f t="shared" si="2"/>
        <v>1</v>
      </c>
      <c r="R380" s="15">
        <f t="shared" si="3"/>
        <v>6</v>
      </c>
      <c r="S380" s="15">
        <f t="shared" si="4"/>
        <v>2</v>
      </c>
      <c r="T380" s="15" t="str">
        <f t="shared" si="5"/>
        <v>B-5</v>
      </c>
      <c r="U380" s="15" t="str">
        <f t="shared" si="6"/>
        <v>T1-M6-H2-FB-5-VERIFY</v>
      </c>
      <c r="V380" s="15">
        <f t="shared" si="7"/>
        <v>0</v>
      </c>
      <c r="W380" s="31"/>
      <c r="X380" s="15" t="str">
        <f t="shared" si="8"/>
        <v>dobbaspet</v>
      </c>
      <c r="Y380" s="32" t="str">
        <f t="shared" si="9"/>
        <v>https://steelmanufacturer.in/market-area/electropolished-pipes-manufacturer-in-dobbaspet/</v>
      </c>
      <c r="Z380" s="15" t="str">
        <f t="shared" si="10"/>
        <v>Electropolished Pipes Manufacturer in Dobbaspet | Sakshi Forge</v>
      </c>
      <c r="AA380" s="15" t="str">
        <f t="shared" si="11"/>
        <v>OK (62)</v>
      </c>
      <c r="AB380" s="15" t="str">
        <f t="shared" si="12"/>
        <v>EP tube and pipe for VERIFY plants around KIADB Industrial Area, Dobbaspet. Made at our Mumbai works to ASTM A270 and ASME BPE SF1-SF4, with 3.1 MTC.</v>
      </c>
      <c r="AC380" s="15" t="str">
        <f t="shared" si="13"/>
        <v>PENDING RESEARCH</v>
      </c>
      <c r="AD380" s="15" t="str">
        <f t="shared" si="14"/>
        <v>Electropolished Pipes Manufacturer in Dobbaspet</v>
      </c>
      <c r="AE380" s="15" t="str">
        <f t="shared" si="15"/>
        <v>How We Manufacture Electropolished Tube for Dobbaspet Plants</v>
      </c>
      <c r="AF380" s="15" t="str">
        <f t="shared" si="16"/>
        <v>Supplying Electropolished Pipes in Dobbaspet: Availability, Sizes &amp; Dispatch</v>
      </c>
      <c r="AG380" s="15" t="str">
        <f t="shared" si="17"/>
        <v>Wholesale Electropolished Pipe Supply for Dobbaspet Projects</v>
      </c>
      <c r="AH380" s="15" t="str">
        <f t="shared" si="18"/>
        <v>electropolished pipes manufacturer in Dobbaspet, electropolished pipes supplier in Dobbaspet, electropolished pipes wholesaler in Dobbaspet, electropolished tube manufacturer Dobbaspet, EP pipe supplier Dobbaspet, sanitary tube supplier Dobbaspet, ASME BPE tubing Dobbaspet, ASTM A270 tube Dobbaspet, SS 316L electropolished pipe Dobbaspet</v>
      </c>
      <c r="AI380" s="15" t="str">
        <f t="shared" si="19"/>
        <v>Electropolished Pipes Manufacturer &amp; Supplier in Dobbaspet</v>
      </c>
      <c r="AJ380" s="15" t="str">
        <f t="shared" si="20"/>
        <v>EP-finished SS 304/316L pipes and tubes for VERIFY plants in Dobbaspet. ASME BPE SF1-SF4, Ra from 0.25 um, EN 10204 3.1 certificate with every lot.</v>
      </c>
      <c r="AK380" s="15" t="str">
        <f t="shared" si="21"/>
        <v>Electropolished stainless steel pipes supplied by Sakshi Forge to VERIFY plants at KIADB Industrial Area, Dobbaspet</v>
      </c>
      <c r="AL380" s="15" t="str">
        <f t="shared" si="22"/>
        <v>Electropolished SS 316L tube stock for Dobbaspet - Sakshi Forge</v>
      </c>
      <c r="AM380" s="15" t="str">
        <f t="shared" si="23"/>
        <v>Home &gt; Market Area &gt; India &gt; Karnataka &gt; Dobbaspet</v>
      </c>
      <c r="AN380" s="15">
        <f t="shared" si="24"/>
        <v>1000</v>
      </c>
      <c r="AO380" s="15">
        <f t="shared" si="25"/>
        <v>8</v>
      </c>
      <c r="AP380" s="15">
        <f t="shared" si="26"/>
        <v>8</v>
      </c>
      <c r="AQ380" s="15">
        <f t="shared" si="27"/>
        <v>7</v>
      </c>
      <c r="AR380" s="31"/>
      <c r="AS380" s="31"/>
      <c r="AT380" s="35" t="s">
        <v>222</v>
      </c>
      <c r="AU380" s="35"/>
    </row>
    <row r="381" ht="15.75" customHeight="1">
      <c r="A381" s="15" t="s">
        <v>3079</v>
      </c>
      <c r="B381" s="15" t="s">
        <v>60</v>
      </c>
      <c r="C381" s="15" t="s">
        <v>264</v>
      </c>
      <c r="D381" s="15" t="s">
        <v>3083</v>
      </c>
      <c r="E381" s="15" t="s">
        <v>3083</v>
      </c>
      <c r="F381" s="65" t="s">
        <v>788</v>
      </c>
      <c r="G381" s="66" t="s">
        <v>98</v>
      </c>
      <c r="H381" s="18" t="s">
        <v>3089</v>
      </c>
      <c r="I381" s="18" t="s">
        <v>8395</v>
      </c>
      <c r="J381" s="18" t="s">
        <v>98</v>
      </c>
      <c r="K381" s="18" t="s">
        <v>98</v>
      </c>
      <c r="L381" s="18" t="s">
        <v>98</v>
      </c>
      <c r="M381" s="18" t="s">
        <v>98</v>
      </c>
      <c r="N381" s="18" t="s">
        <v>98</v>
      </c>
      <c r="O381" s="18" t="s">
        <v>98</v>
      </c>
      <c r="P381" s="15" t="str">
        <f t="shared" si="1"/>
        <v>VERIFY</v>
      </c>
      <c r="Q381" s="15">
        <f t="shared" si="2"/>
        <v>2</v>
      </c>
      <c r="R381" s="15">
        <f t="shared" si="3"/>
        <v>7</v>
      </c>
      <c r="S381" s="15">
        <f t="shared" si="4"/>
        <v>3</v>
      </c>
      <c r="T381" s="15" t="str">
        <f t="shared" si="5"/>
        <v>B-6</v>
      </c>
      <c r="U381" s="15" t="str">
        <f t="shared" si="6"/>
        <v>T2-M7-H3-FB-6-VERIFY</v>
      </c>
      <c r="V381" s="15">
        <f t="shared" si="7"/>
        <v>0</v>
      </c>
      <c r="W381" s="31"/>
      <c r="X381" s="15" t="str">
        <f t="shared" si="8"/>
        <v>dombivli</v>
      </c>
      <c r="Y381" s="32" t="str">
        <f t="shared" si="9"/>
        <v>https://steelmanufacturer.in/market-area/electropolished-pipes-manufacturer-in-dombivli/</v>
      </c>
      <c r="Z381" s="15" t="str">
        <f t="shared" si="10"/>
        <v>Electropolished Pipes Manufacturer in Dombivli</v>
      </c>
      <c r="AA381" s="15" t="str">
        <f t="shared" si="11"/>
        <v>OK (46)</v>
      </c>
      <c r="AB381" s="15" t="str">
        <f t="shared" si="12"/>
        <v>Electropolished pipes in Dombivli: 304, 304L, 316 and 316L in SF1-SF4. VERIFY. Mill certified.</v>
      </c>
      <c r="AC381" s="15" t="str">
        <f t="shared" si="13"/>
        <v>PENDING RESEARCH</v>
      </c>
      <c r="AD381" s="15" t="str">
        <f t="shared" si="14"/>
        <v>Electropolished Pipes Manufacturer in Dombivli</v>
      </c>
      <c r="AE381" s="15" t="str">
        <f t="shared" si="15"/>
        <v>Electropolished Pipes Manufacturer in Dombivli - Our Process &amp; Capability</v>
      </c>
      <c r="AF381" s="15" t="str">
        <f t="shared" si="16"/>
        <v>Electropolished Pipes Supplier in Dombivli - What We Hold in Stock</v>
      </c>
      <c r="AG381" s="15" t="str">
        <f t="shared" si="17"/>
        <v>Bulk &amp; Wholesale Electropolished Pipe Rates for Dombivli Buyers</v>
      </c>
      <c r="AH381" s="15" t="str">
        <f t="shared" si="18"/>
        <v>electropolished pipes manufacturer in Dombivli, electropolished pipes supplier in Dombivli, electropolished pipes wholesaler in Dombivli, electropolished tube manufacturer Dombivli, EP pipe supplier Dombivli, sanitary tube supplier Dombivli, ASME BPE tubing Dombivli, ASTM A270 tube Dombivli, SS 316L electropolished pipe Dombivli</v>
      </c>
      <c r="AI381" s="15" t="str">
        <f t="shared" si="19"/>
        <v>Electropolished Pipes Manufacturer &amp; Supplier in Dombivli</v>
      </c>
      <c r="AJ381" s="15" t="str">
        <f t="shared" si="20"/>
        <v>EP-finished SS 304/316L pipes and tubes for VERIFY plants in Dombivli. ASME BPE SF1-SF4, Ra from 0.25 um, EN 10204 3.1 certificate with every lot.</v>
      </c>
      <c r="AK381" s="15" t="str">
        <f t="shared" si="21"/>
        <v>Electropolished stainless steel pipes supplied by Sakshi Forge to VERIFY plants at MIDC Industrial Area, Dombivli</v>
      </c>
      <c r="AL381" s="15" t="str">
        <f t="shared" si="22"/>
        <v>Electropolished SS 316L tube stock for Dombivli - Sakshi Forge</v>
      </c>
      <c r="AM381" s="15" t="str">
        <f t="shared" si="23"/>
        <v>Home &gt; Market Area &gt; India &gt; Maharashtra &gt; Dombivli</v>
      </c>
      <c r="AN381" s="15">
        <f t="shared" si="24"/>
        <v>1000</v>
      </c>
      <c r="AO381" s="15">
        <f t="shared" si="25"/>
        <v>8</v>
      </c>
      <c r="AP381" s="15">
        <f t="shared" si="26"/>
        <v>8</v>
      </c>
      <c r="AQ381" s="15">
        <f t="shared" si="27"/>
        <v>7</v>
      </c>
      <c r="AR381" s="31"/>
      <c r="AS381" s="31"/>
      <c r="AT381" s="35" t="s">
        <v>222</v>
      </c>
      <c r="AU381" s="35"/>
    </row>
    <row r="382" ht="15.75" customHeight="1">
      <c r="A382" s="15" t="s">
        <v>3094</v>
      </c>
      <c r="B382" s="15" t="s">
        <v>60</v>
      </c>
      <c r="C382" s="15" t="s">
        <v>878</v>
      </c>
      <c r="D382" s="15" t="s">
        <v>3103</v>
      </c>
      <c r="E382" s="15" t="s">
        <v>3103</v>
      </c>
      <c r="F382" s="65" t="s">
        <v>788</v>
      </c>
      <c r="G382" s="66" t="s">
        <v>98</v>
      </c>
      <c r="H382" s="18" t="s">
        <v>3107</v>
      </c>
      <c r="I382" s="18" t="s">
        <v>8415</v>
      </c>
      <c r="J382" s="18" t="s">
        <v>98</v>
      </c>
      <c r="K382" s="18" t="s">
        <v>98</v>
      </c>
      <c r="L382" s="18" t="s">
        <v>98</v>
      </c>
      <c r="M382" s="18" t="s">
        <v>98</v>
      </c>
      <c r="N382" s="18" t="s">
        <v>98</v>
      </c>
      <c r="O382" s="18" t="s">
        <v>98</v>
      </c>
      <c r="P382" s="15" t="str">
        <f t="shared" si="1"/>
        <v>VERIFY</v>
      </c>
      <c r="Q382" s="15">
        <f t="shared" si="2"/>
        <v>3</v>
      </c>
      <c r="R382" s="15">
        <f t="shared" si="3"/>
        <v>1</v>
      </c>
      <c r="S382" s="15">
        <f t="shared" si="4"/>
        <v>4</v>
      </c>
      <c r="T382" s="15" t="str">
        <f t="shared" si="5"/>
        <v>B-1</v>
      </c>
      <c r="U382" s="15" t="str">
        <f t="shared" si="6"/>
        <v>T3-M1-H4-FB-1-VERIFY</v>
      </c>
      <c r="V382" s="15">
        <f t="shared" si="7"/>
        <v>0</v>
      </c>
      <c r="W382" s="31"/>
      <c r="X382" s="15" t="str">
        <f t="shared" si="8"/>
        <v>dumka</v>
      </c>
      <c r="Y382" s="32" t="str">
        <f t="shared" si="9"/>
        <v>https://steelmanufacturer.in/market-area/electropolished-pipes-manufacturer-in-dumka/</v>
      </c>
      <c r="Z382" s="15" t="str">
        <f t="shared" si="10"/>
        <v>Electropolished Pipes Manufacturer in Dumka | EP Tube Supplier</v>
      </c>
      <c r="AA382" s="15" t="str">
        <f t="shared" si="11"/>
        <v>OK (62)</v>
      </c>
      <c r="AB382" s="15" t="str">
        <f t="shared" si="12"/>
        <v>EP-finished SS 304/316L pipes &amp; tubes for VERIFY plants in Dumka. ASTM A270, ASME BPE SF1-SF4, EN 10204 3.1 MTC. PMI tested.</v>
      </c>
      <c r="AC382" s="15" t="str">
        <f t="shared" si="13"/>
        <v>PENDING RESEARCH</v>
      </c>
      <c r="AD382" s="15" t="str">
        <f t="shared" si="14"/>
        <v>Electropolished Pipes Manufacturer in Dumka</v>
      </c>
      <c r="AE382" s="15" t="str">
        <f t="shared" si="15"/>
        <v>Manufacturing Electropolished SS Tube for Dumka: The Standards We Build To</v>
      </c>
      <c r="AF382" s="15" t="str">
        <f t="shared" si="16"/>
        <v>Electropolished Pipe Supply Into Dumka - Certification &amp; Transit</v>
      </c>
      <c r="AG382" s="15" t="str">
        <f t="shared" si="17"/>
        <v>Electropolished Pipes Wholesaler in Dumka - Project Quantities &amp; Terms</v>
      </c>
      <c r="AH382" s="15" t="str">
        <f t="shared" si="18"/>
        <v>electropolished pipes manufacturer in Dumka, electropolished pipes supplier in Dumka, electropolished pipes wholesaler in Dumka, electropolished tube manufacturer Dumka, EP pipe supplier Dumka, sanitary tube supplier Dumka, ASME BPE tubing Dumka, ASTM A270 tube Dumka, SS 316L electropolished pipe Dumka</v>
      </c>
      <c r="AI382" s="15" t="str">
        <f t="shared" si="19"/>
        <v>Electropolished Pipes Manufacturer &amp; Supplier in Dumka</v>
      </c>
      <c r="AJ382" s="15" t="str">
        <f t="shared" si="20"/>
        <v>EP-finished SS 304/316L pipes and tubes for VERIFY plants in Dumka. ASME BPE SF1-SF4, Ra from 0.25 um, EN 10204 3.1 certificate with every lot.</v>
      </c>
      <c r="AK382" s="15" t="str">
        <f t="shared" si="21"/>
        <v>Electropolished stainless steel pipes supplied by Sakshi Forge to VERIFY plants at JIADA Industrial Area, Dumka</v>
      </c>
      <c r="AL382" s="15" t="str">
        <f t="shared" si="22"/>
        <v>Electropolished SS 316L tube stock for Dumka - Sakshi Forge</v>
      </c>
      <c r="AM382" s="15" t="str">
        <f t="shared" si="23"/>
        <v>Home &gt; Market Area &gt; India &gt; Jharkhand &gt; Dumka</v>
      </c>
      <c r="AN382" s="15">
        <f t="shared" si="24"/>
        <v>1000</v>
      </c>
      <c r="AO382" s="15">
        <f t="shared" si="25"/>
        <v>8</v>
      </c>
      <c r="AP382" s="15">
        <f t="shared" si="26"/>
        <v>8</v>
      </c>
      <c r="AQ382" s="15">
        <f t="shared" si="27"/>
        <v>7</v>
      </c>
      <c r="AR382" s="31"/>
      <c r="AS382" s="31"/>
      <c r="AT382" s="35" t="s">
        <v>222</v>
      </c>
      <c r="AU382" s="35"/>
    </row>
    <row r="383" ht="15.75" customHeight="1">
      <c r="A383" s="15" t="s">
        <v>3111</v>
      </c>
      <c r="B383" s="15" t="s">
        <v>60</v>
      </c>
      <c r="C383" s="15" t="s">
        <v>775</v>
      </c>
      <c r="D383" s="15" t="s">
        <v>3115</v>
      </c>
      <c r="E383" s="15" t="s">
        <v>3115</v>
      </c>
      <c r="F383" s="65" t="s">
        <v>788</v>
      </c>
      <c r="G383" s="66" t="s">
        <v>98</v>
      </c>
      <c r="H383" s="18" t="s">
        <v>3119</v>
      </c>
      <c r="I383" s="18" t="s">
        <v>8399</v>
      </c>
      <c r="J383" s="18" t="s">
        <v>98</v>
      </c>
      <c r="K383" s="18" t="s">
        <v>98</v>
      </c>
      <c r="L383" s="18" t="s">
        <v>98</v>
      </c>
      <c r="M383" s="18" t="s">
        <v>98</v>
      </c>
      <c r="N383" s="18" t="s">
        <v>98</v>
      </c>
      <c r="O383" s="18" t="s">
        <v>98</v>
      </c>
      <c r="P383" s="15" t="str">
        <f t="shared" si="1"/>
        <v>VERIFY</v>
      </c>
      <c r="Q383" s="15">
        <f t="shared" si="2"/>
        <v>4</v>
      </c>
      <c r="R383" s="15">
        <f t="shared" si="3"/>
        <v>2</v>
      </c>
      <c r="S383" s="15">
        <f t="shared" si="4"/>
        <v>5</v>
      </c>
      <c r="T383" s="15" t="str">
        <f t="shared" si="5"/>
        <v>B-2</v>
      </c>
      <c r="U383" s="15" t="str">
        <f t="shared" si="6"/>
        <v>T4-M2-H5-FB-2-VERIFY</v>
      </c>
      <c r="V383" s="15">
        <f t="shared" si="7"/>
        <v>0</v>
      </c>
      <c r="W383" s="31"/>
      <c r="X383" s="15" t="str">
        <f t="shared" si="8"/>
        <v>durg</v>
      </c>
      <c r="Y383" s="32" t="str">
        <f t="shared" si="9"/>
        <v>https://steelmanufacturer.in/market-area/electropolished-pipes-manufacturer-in-durg/</v>
      </c>
      <c r="Z383" s="15" t="str">
        <f t="shared" si="10"/>
        <v>Electropolished Pipes Manufacturer in Durg - SS 304/316L EP Tube</v>
      </c>
      <c r="AA383" s="15" t="str">
        <f t="shared" si="11"/>
        <v>OK (64)</v>
      </c>
      <c r="AB383" s="15" t="str">
        <f t="shared" si="12"/>
        <v>Electropolished tube supply to CSIDC Industrial Area, Durg. Ra from 0.25 um, SF4 finish, mill test certificate with every lot.</v>
      </c>
      <c r="AC383" s="15" t="str">
        <f t="shared" si="13"/>
        <v>PENDING RESEARCH</v>
      </c>
      <c r="AD383" s="15" t="str">
        <f t="shared" si="14"/>
        <v>Electropolished Pipes Manufacturer in Durg</v>
      </c>
      <c r="AE383" s="15" t="str">
        <f t="shared" si="15"/>
        <v>Electropolished Tube Manufacturing Capability Serving Durg</v>
      </c>
      <c r="AF383" s="15" t="str">
        <f t="shared" si="16"/>
        <v>Electropolished Pipes Supplier in Durg - From Order to Delivery</v>
      </c>
      <c r="AG383" s="15" t="str">
        <f t="shared" si="17"/>
        <v>Stockist &amp; Wholesale Supply of Electropolished Pipes in Durg</v>
      </c>
      <c r="AH383" s="15" t="str">
        <f t="shared" si="18"/>
        <v>electropolished pipes manufacturer in Durg, electropolished pipes supplier in Durg, electropolished pipes wholesaler in Durg, electropolished tube manufacturer Durg, EP pipe supplier Durg, sanitary tube supplier Durg, ASME BPE tubing Durg, ASTM A270 tube Durg, SS 316L electropolished pipe Durg</v>
      </c>
      <c r="AI383" s="15" t="str">
        <f t="shared" si="19"/>
        <v>Electropolished Pipes Manufacturer &amp; Supplier in Durg</v>
      </c>
      <c r="AJ383" s="15" t="str">
        <f t="shared" si="20"/>
        <v>EP-finished SS 304/316L pipes and tubes for VERIFY plants in Durg. ASME BPE SF1-SF4, Ra from 0.25 um, EN 10204 3.1 certificate with every lot.</v>
      </c>
      <c r="AK383" s="15" t="str">
        <f t="shared" si="21"/>
        <v>Electropolished stainless steel pipes supplied by Sakshi Forge to VERIFY plants at CSIDC Industrial Area, Durg</v>
      </c>
      <c r="AL383" s="15" t="str">
        <f t="shared" si="22"/>
        <v>Electropolished SS 316L tube stock for Durg - Sakshi Forge</v>
      </c>
      <c r="AM383" s="15" t="str">
        <f t="shared" si="23"/>
        <v>Home &gt; Market Area &gt; India &gt; Chhattisgarh &gt; Durg</v>
      </c>
      <c r="AN383" s="15">
        <f t="shared" si="24"/>
        <v>1000</v>
      </c>
      <c r="AO383" s="15">
        <f t="shared" si="25"/>
        <v>8</v>
      </c>
      <c r="AP383" s="15">
        <f t="shared" si="26"/>
        <v>8</v>
      </c>
      <c r="AQ383" s="15">
        <f t="shared" si="27"/>
        <v>7</v>
      </c>
      <c r="AR383" s="31"/>
      <c r="AS383" s="31"/>
      <c r="AT383" s="35" t="s">
        <v>222</v>
      </c>
      <c r="AU383" s="35"/>
    </row>
    <row r="384" ht="15.75" customHeight="1">
      <c r="A384" s="15" t="s">
        <v>3124</v>
      </c>
      <c r="B384" s="15" t="s">
        <v>60</v>
      </c>
      <c r="C384" s="15" t="s">
        <v>413</v>
      </c>
      <c r="D384" s="15" t="s">
        <v>3129</v>
      </c>
      <c r="E384" s="15" t="s">
        <v>3129</v>
      </c>
      <c r="F384" s="65" t="s">
        <v>788</v>
      </c>
      <c r="G384" s="66" t="s">
        <v>98</v>
      </c>
      <c r="H384" s="18" t="s">
        <v>3134</v>
      </c>
      <c r="I384" s="18" t="s">
        <v>8393</v>
      </c>
      <c r="J384" s="18" t="s">
        <v>98</v>
      </c>
      <c r="K384" s="18" t="s">
        <v>98</v>
      </c>
      <c r="L384" s="18" t="s">
        <v>98</v>
      </c>
      <c r="M384" s="18" t="s">
        <v>98</v>
      </c>
      <c r="N384" s="18" t="s">
        <v>98</v>
      </c>
      <c r="O384" s="18" t="s">
        <v>98</v>
      </c>
      <c r="P384" s="15" t="str">
        <f t="shared" si="1"/>
        <v>VERIFY</v>
      </c>
      <c r="Q384" s="15">
        <f t="shared" si="2"/>
        <v>5</v>
      </c>
      <c r="R384" s="15">
        <f t="shared" si="3"/>
        <v>3</v>
      </c>
      <c r="S384" s="15">
        <f t="shared" si="4"/>
        <v>1</v>
      </c>
      <c r="T384" s="15" t="str">
        <f t="shared" si="5"/>
        <v>B-3</v>
      </c>
      <c r="U384" s="15" t="str">
        <f t="shared" si="6"/>
        <v>T5-M3-H1-FB-3-VERIFY</v>
      </c>
      <c r="V384" s="15">
        <f t="shared" si="7"/>
        <v>0</v>
      </c>
      <c r="W384" s="31"/>
      <c r="X384" s="15" t="str">
        <f t="shared" si="8"/>
        <v>eluru</v>
      </c>
      <c r="Y384" s="32" t="str">
        <f t="shared" si="9"/>
        <v>https://steelmanufacturer.in/market-area/electropolished-pipes-manufacturer-in-eluru/</v>
      </c>
      <c r="Z384" s="15" t="str">
        <f t="shared" si="10"/>
        <v>Electropolished Pipes Manufacturer in Eluru</v>
      </c>
      <c r="AA384" s="15" t="str">
        <f t="shared" si="11"/>
        <v>OK (43)</v>
      </c>
      <c r="AB384" s="15" t="str">
        <f t="shared" si="12"/>
        <v>EP stainless tube for VERIFY lines in Eluru. VERIFY. ASTM A270 S2, PMI tested, EN 10204 3.1.</v>
      </c>
      <c r="AC384" s="15" t="str">
        <f t="shared" si="13"/>
        <v>PENDING RESEARCH</v>
      </c>
      <c r="AD384" s="15" t="str">
        <f t="shared" si="14"/>
        <v>Electropolished Pipes Manufacturer in Eluru</v>
      </c>
      <c r="AE384" s="15" t="str">
        <f t="shared" si="15"/>
        <v>Electropolished Pipe &amp; Tube Manufacturing for Eluru - Grades, Finishes &amp; Certification</v>
      </c>
      <c r="AF384" s="15" t="str">
        <f t="shared" si="16"/>
        <v>Electropolished Pipes Supplier in Eluru - Stock Sizes, Lead Time &amp; Delivery</v>
      </c>
      <c r="AG384" s="15" t="str">
        <f t="shared" si="17"/>
        <v>Electropolished Pipes Wholesaler &amp; Stockist in Eluru - Bulk &amp; Project Pricing</v>
      </c>
      <c r="AH384" s="15" t="str">
        <f t="shared" si="18"/>
        <v>electropolished pipes manufacturer in Eluru, electropolished pipes supplier in Eluru, electropolished pipes wholesaler in Eluru, electropolished tube manufacturer Eluru, EP pipe supplier Eluru, sanitary tube supplier Eluru, ASME BPE tubing Eluru, ASTM A270 tube Eluru, SS 316L electropolished pipe Eluru</v>
      </c>
      <c r="AI384" s="15" t="str">
        <f t="shared" si="19"/>
        <v>Electropolished Pipes Manufacturer &amp; Supplier in Eluru</v>
      </c>
      <c r="AJ384" s="15" t="str">
        <f t="shared" si="20"/>
        <v>EP-finished SS 304/316L pipes and tubes for VERIFY plants in Eluru. ASME BPE SF1-SF4, Ra from 0.25 um, EN 10204 3.1 certificate with every lot.</v>
      </c>
      <c r="AK384" s="15" t="str">
        <f t="shared" si="21"/>
        <v>Electropolished stainless steel pipes supplied by Sakshi Forge to VERIFY plants at APIIC Industrial Area, Eluru</v>
      </c>
      <c r="AL384" s="15" t="str">
        <f t="shared" si="22"/>
        <v>Electropolished SS 316L tube stock for Eluru - Sakshi Forge</v>
      </c>
      <c r="AM384" s="15" t="str">
        <f t="shared" si="23"/>
        <v>Home &gt; Market Area &gt; India &gt; Andhra Pradesh &gt; Eluru</v>
      </c>
      <c r="AN384" s="15">
        <f t="shared" si="24"/>
        <v>1000</v>
      </c>
      <c r="AO384" s="15">
        <f t="shared" si="25"/>
        <v>8</v>
      </c>
      <c r="AP384" s="15">
        <f t="shared" si="26"/>
        <v>8</v>
      </c>
      <c r="AQ384" s="15">
        <f t="shared" si="27"/>
        <v>7</v>
      </c>
      <c r="AR384" s="31"/>
      <c r="AS384" s="31"/>
      <c r="AT384" s="35" t="s">
        <v>222</v>
      </c>
      <c r="AU384" s="35"/>
    </row>
    <row r="385" ht="15.75" customHeight="1">
      <c r="A385" s="15" t="s">
        <v>3139</v>
      </c>
      <c r="B385" s="15" t="s">
        <v>60</v>
      </c>
      <c r="C385" s="15" t="s">
        <v>85</v>
      </c>
      <c r="D385" s="15" t="s">
        <v>3143</v>
      </c>
      <c r="E385" s="15" t="s">
        <v>3143</v>
      </c>
      <c r="F385" s="65" t="s">
        <v>788</v>
      </c>
      <c r="G385" s="66" t="s">
        <v>98</v>
      </c>
      <c r="H385" s="18" t="s">
        <v>3151</v>
      </c>
      <c r="I385" s="18" t="s">
        <v>8398</v>
      </c>
      <c r="J385" s="18" t="s">
        <v>98</v>
      </c>
      <c r="K385" s="18" t="s">
        <v>98</v>
      </c>
      <c r="L385" s="18" t="s">
        <v>98</v>
      </c>
      <c r="M385" s="18" t="s">
        <v>98</v>
      </c>
      <c r="N385" s="18" t="s">
        <v>98</v>
      </c>
      <c r="O385" s="18" t="s">
        <v>98</v>
      </c>
      <c r="P385" s="15" t="str">
        <f t="shared" si="1"/>
        <v>VERIFY</v>
      </c>
      <c r="Q385" s="15">
        <f t="shared" si="2"/>
        <v>6</v>
      </c>
      <c r="R385" s="15">
        <f t="shared" si="3"/>
        <v>4</v>
      </c>
      <c r="S385" s="15">
        <f t="shared" si="4"/>
        <v>2</v>
      </c>
      <c r="T385" s="15" t="str">
        <f t="shared" si="5"/>
        <v>B-4</v>
      </c>
      <c r="U385" s="15" t="str">
        <f t="shared" si="6"/>
        <v>T6-M4-H2-FB-4-VERIFY</v>
      </c>
      <c r="V385" s="15">
        <f t="shared" si="7"/>
        <v>0</v>
      </c>
      <c r="W385" s="31"/>
      <c r="X385" s="15" t="str">
        <f t="shared" si="8"/>
        <v>etawah</v>
      </c>
      <c r="Y385" s="32" t="str">
        <f t="shared" si="9"/>
        <v>https://steelmanufacturer.in/market-area/electropolished-pipes-manufacturer-in-etawah/</v>
      </c>
      <c r="Z385" s="15" t="str">
        <f t="shared" si="10"/>
        <v>Electropolished Pipes Manufacturer in Etawah</v>
      </c>
      <c r="AA385" s="15" t="str">
        <f t="shared" si="11"/>
        <v>OK (44)</v>
      </c>
      <c r="AB385" s="15" t="str">
        <f t="shared" si="12"/>
        <v>Sanitary electropolished pipes in Etawah for VERIFY plants. ASME BPE SF1-SF4, orbital-weld ready, 3.1 MTC. Mumbai-made.</v>
      </c>
      <c r="AC385" s="15" t="str">
        <f t="shared" si="13"/>
        <v>PENDING RESEARCH</v>
      </c>
      <c r="AD385" s="15" t="str">
        <f t="shared" si="14"/>
        <v>Electropolished Pipes Manufacturer in Etawah</v>
      </c>
      <c r="AE385" s="15" t="str">
        <f t="shared" si="15"/>
        <v>How We Manufacture Electropolished Tube for Etawah Plants</v>
      </c>
      <c r="AF385" s="15" t="str">
        <f t="shared" si="16"/>
        <v>Supplying Electropolished Pipes in Etawah: Availability, Sizes &amp; Dispatch</v>
      </c>
      <c r="AG385" s="15" t="str">
        <f t="shared" si="17"/>
        <v>Wholesale Electropolished Pipe Supply for Etawah Projects</v>
      </c>
      <c r="AH385" s="15" t="str">
        <f t="shared" si="18"/>
        <v>electropolished pipes manufacturer in Etawah, electropolished pipes supplier in Etawah, electropolished pipes wholesaler in Etawah, electropolished tube manufacturer Etawah, EP pipe supplier Etawah, sanitary tube supplier Etawah, ASME BPE tubing Etawah, ASTM A270 tube Etawah, SS 316L electropolished pipe Etawah</v>
      </c>
      <c r="AI385" s="15" t="str">
        <f t="shared" si="19"/>
        <v>Electropolished Pipes Manufacturer &amp; Supplier in Etawah</v>
      </c>
      <c r="AJ385" s="15" t="str">
        <f t="shared" si="20"/>
        <v>EP-finished SS 304/316L pipes and tubes for VERIFY plants in Etawah. ASME BPE SF1-SF4, Ra from 0.25 um, EN 10204 3.1 certificate with every lot.</v>
      </c>
      <c r="AK385" s="15" t="str">
        <f t="shared" si="21"/>
        <v>Electropolished stainless steel pipes supplied by Sakshi Forge to VERIFY plants at UPSIDA Industrial Area, Etawah</v>
      </c>
      <c r="AL385" s="15" t="str">
        <f t="shared" si="22"/>
        <v>Electropolished SS 316L tube stock for Etawah - Sakshi Forge</v>
      </c>
      <c r="AM385" s="15" t="str">
        <f t="shared" si="23"/>
        <v>Home &gt; Market Area &gt; India &gt; Uttar Pradesh &gt; Etawah</v>
      </c>
      <c r="AN385" s="15">
        <f t="shared" si="24"/>
        <v>1000</v>
      </c>
      <c r="AO385" s="15">
        <f t="shared" si="25"/>
        <v>8</v>
      </c>
      <c r="AP385" s="15">
        <f t="shared" si="26"/>
        <v>8</v>
      </c>
      <c r="AQ385" s="15">
        <f t="shared" si="27"/>
        <v>7</v>
      </c>
      <c r="AR385" s="31"/>
      <c r="AS385" s="31"/>
      <c r="AT385" s="35" t="s">
        <v>222</v>
      </c>
      <c r="AU385" s="35"/>
    </row>
    <row r="386" ht="15.75" customHeight="1">
      <c r="A386" s="15" t="s">
        <v>3157</v>
      </c>
      <c r="B386" s="15" t="s">
        <v>60</v>
      </c>
      <c r="C386" s="15" t="s">
        <v>85</v>
      </c>
      <c r="D386" s="15" t="s">
        <v>3164</v>
      </c>
      <c r="E386" s="15" t="s">
        <v>3164</v>
      </c>
      <c r="F386" s="65" t="s">
        <v>788</v>
      </c>
      <c r="G386" s="66" t="s">
        <v>98</v>
      </c>
      <c r="H386" s="18" t="s">
        <v>3172</v>
      </c>
      <c r="I386" s="18" t="s">
        <v>8398</v>
      </c>
      <c r="J386" s="18" t="s">
        <v>98</v>
      </c>
      <c r="K386" s="18" t="s">
        <v>98</v>
      </c>
      <c r="L386" s="18" t="s">
        <v>98</v>
      </c>
      <c r="M386" s="18" t="s">
        <v>98</v>
      </c>
      <c r="N386" s="18" t="s">
        <v>98</v>
      </c>
      <c r="O386" s="18" t="s">
        <v>98</v>
      </c>
      <c r="P386" s="15" t="str">
        <f t="shared" si="1"/>
        <v>VERIFY</v>
      </c>
      <c r="Q386" s="15">
        <f t="shared" si="2"/>
        <v>7</v>
      </c>
      <c r="R386" s="15">
        <f t="shared" si="3"/>
        <v>5</v>
      </c>
      <c r="S386" s="15">
        <f t="shared" si="4"/>
        <v>3</v>
      </c>
      <c r="T386" s="15" t="str">
        <f t="shared" si="5"/>
        <v>B-5</v>
      </c>
      <c r="U386" s="15" t="str">
        <f t="shared" si="6"/>
        <v>T7-M5-H3-FB-5-VERIFY</v>
      </c>
      <c r="V386" s="15">
        <f t="shared" si="7"/>
        <v>0</v>
      </c>
      <c r="W386" s="31"/>
      <c r="X386" s="15" t="str">
        <f t="shared" si="8"/>
        <v>farrukhabad</v>
      </c>
      <c r="Y386" s="32" t="str">
        <f t="shared" si="9"/>
        <v>https://steelmanufacturer.in/market-area/electropolished-pipes-manufacturer-in-farrukhabad/</v>
      </c>
      <c r="Z386" s="15" t="str">
        <f t="shared" si="10"/>
        <v>Electropolished Pipes Manufacturer in Farrukhabad</v>
      </c>
      <c r="AA386" s="15" t="str">
        <f t="shared" si="11"/>
        <v>OK (49)</v>
      </c>
      <c r="AB386" s="15" t="str">
        <f t="shared" si="12"/>
        <v>Manufacturer of electropolished SS 316L tube serving Farrukhabad. VERIFY. Ra 0.25-0.5 um, EN 10204 3.1 MTC.</v>
      </c>
      <c r="AC386" s="15" t="str">
        <f t="shared" si="13"/>
        <v>PENDING RESEARCH</v>
      </c>
      <c r="AD386" s="15" t="str">
        <f t="shared" si="14"/>
        <v>Electropolished Pipes Manufacturer in Farrukhabad</v>
      </c>
      <c r="AE386" s="15" t="str">
        <f t="shared" si="15"/>
        <v>Electropolished Pipes Manufacturer in Farrukhabad - Our Process &amp; Capability</v>
      </c>
      <c r="AF386" s="15" t="str">
        <f t="shared" si="16"/>
        <v>Electropolished Pipes Supplier in Farrukhabad - What We Hold in Stock</v>
      </c>
      <c r="AG386" s="15" t="str">
        <f t="shared" si="17"/>
        <v>Bulk &amp; Wholesale Electropolished Pipe Rates for Farrukhabad Buyers</v>
      </c>
      <c r="AH386" s="15" t="str">
        <f t="shared" si="18"/>
        <v>electropolished pipes manufacturer in Farrukhabad, electropolished pipes supplier in Farrukhabad, electropolished pipes wholesaler in Farrukhabad, electropolished tube manufacturer Farrukhabad, EP pipe supplier Farrukhabad, sanitary tube supplier Farrukhabad, ASME BPE tubing Farrukhabad, ASTM A270 tube Farrukhabad, SS 316L electropolished pipe Farrukhabad</v>
      </c>
      <c r="AI386" s="15" t="str">
        <f t="shared" si="19"/>
        <v>Electropolished Pipes Manufacturer &amp; Supplier in Farrukhabad</v>
      </c>
      <c r="AJ386" s="15" t="str">
        <f t="shared" si="20"/>
        <v>EP-finished SS 304/316L pipes and tubes for VERIFY plants in Farrukhabad. ASME BPE SF1-SF4, Ra from 0.25 um, EN 10204 3.1 certificate with every lot.</v>
      </c>
      <c r="AK386" s="15" t="str">
        <f t="shared" si="21"/>
        <v>Electropolished stainless steel pipes supplied by Sakshi Forge to VERIFY plants at UPSIDA Industrial Area, Farrukhabad</v>
      </c>
      <c r="AL386" s="15" t="str">
        <f t="shared" si="22"/>
        <v>Electropolished SS 316L tube stock for Farrukhabad - Sakshi Forge</v>
      </c>
      <c r="AM386" s="15" t="str">
        <f t="shared" si="23"/>
        <v>Home &gt; Market Area &gt; India &gt; Uttar Pradesh &gt; Farrukhabad</v>
      </c>
      <c r="AN386" s="15">
        <f t="shared" si="24"/>
        <v>1000</v>
      </c>
      <c r="AO386" s="15">
        <f t="shared" si="25"/>
        <v>8</v>
      </c>
      <c r="AP386" s="15">
        <f t="shared" si="26"/>
        <v>8</v>
      </c>
      <c r="AQ386" s="15">
        <f t="shared" si="27"/>
        <v>7</v>
      </c>
      <c r="AR386" s="31"/>
      <c r="AS386" s="31"/>
      <c r="AT386" s="35" t="s">
        <v>222</v>
      </c>
      <c r="AU386" s="35"/>
    </row>
    <row r="387" ht="15.75" customHeight="1">
      <c r="A387" s="15" t="s">
        <v>3180</v>
      </c>
      <c r="B387" s="15" t="s">
        <v>60</v>
      </c>
      <c r="C387" s="15" t="s">
        <v>245</v>
      </c>
      <c r="D387" s="15" t="s">
        <v>3185</v>
      </c>
      <c r="E387" s="15" t="s">
        <v>3185</v>
      </c>
      <c r="F387" s="65" t="s">
        <v>788</v>
      </c>
      <c r="G387" s="66" t="s">
        <v>98</v>
      </c>
      <c r="H387" s="18" t="s">
        <v>3192</v>
      </c>
      <c r="I387" s="18" t="s">
        <v>8407</v>
      </c>
      <c r="J387" s="18" t="s">
        <v>98</v>
      </c>
      <c r="K387" s="18" t="s">
        <v>98</v>
      </c>
      <c r="L387" s="18" t="s">
        <v>98</v>
      </c>
      <c r="M387" s="18" t="s">
        <v>98</v>
      </c>
      <c r="N387" s="18" t="s">
        <v>98</v>
      </c>
      <c r="O387" s="18" t="s">
        <v>98</v>
      </c>
      <c r="P387" s="15" t="str">
        <f t="shared" si="1"/>
        <v>VERIFY</v>
      </c>
      <c r="Q387" s="15">
        <f t="shared" si="2"/>
        <v>8</v>
      </c>
      <c r="R387" s="15">
        <f t="shared" si="3"/>
        <v>6</v>
      </c>
      <c r="S387" s="15">
        <f t="shared" si="4"/>
        <v>4</v>
      </c>
      <c r="T387" s="15" t="str">
        <f t="shared" si="5"/>
        <v>B-6</v>
      </c>
      <c r="U387" s="15" t="str">
        <f t="shared" si="6"/>
        <v>T8-M6-H4-FB-6-VERIFY</v>
      </c>
      <c r="V387" s="15">
        <f t="shared" si="7"/>
        <v>0</v>
      </c>
      <c r="W387" s="31"/>
      <c r="X387" s="15" t="str">
        <f t="shared" si="8"/>
        <v>fatehabad</v>
      </c>
      <c r="Y387" s="32" t="str">
        <f t="shared" si="9"/>
        <v>https://steelmanufacturer.in/market-area/electropolished-pipes-manufacturer-in-fatehabad/</v>
      </c>
      <c r="Z387" s="15" t="str">
        <f t="shared" si="10"/>
        <v>Electropolished Pipes Manufacturer in Fatehabad</v>
      </c>
      <c r="AA387" s="15" t="str">
        <f t="shared" si="11"/>
        <v>OK (47)</v>
      </c>
      <c r="AB387" s="15" t="str">
        <f t="shared" si="12"/>
        <v>EP tube and pipe for VERIFY plants around HSIIDC Industrial Area, Fatehabad. Made at our Mumbai works to ASTM A270 and ASME BPE SF1-SF4, with 3.1 MTC.</v>
      </c>
      <c r="AC387" s="15" t="str">
        <f t="shared" si="13"/>
        <v>PENDING RESEARCH</v>
      </c>
      <c r="AD387" s="15" t="str">
        <f t="shared" si="14"/>
        <v>Electropolished Pipes Manufacturer in Fatehabad</v>
      </c>
      <c r="AE387" s="15" t="str">
        <f t="shared" si="15"/>
        <v>Manufacturing Electropolished SS Tube for Fatehabad: The Standards We Build To</v>
      </c>
      <c r="AF387" s="15" t="str">
        <f t="shared" si="16"/>
        <v>Electropolished Pipe Supply Into Fatehabad - Certification &amp; Transit</v>
      </c>
      <c r="AG387" s="15" t="str">
        <f t="shared" si="17"/>
        <v>Electropolished Pipes Wholesaler in Fatehabad - Project Quantities &amp; Terms</v>
      </c>
      <c r="AH387" s="15" t="str">
        <f t="shared" si="18"/>
        <v>electropolished pipes manufacturer in Fatehabad, electropolished pipes supplier in Fatehabad, electropolished pipes wholesaler in Fatehabad, electropolished tube manufacturer Fatehabad, EP pipe supplier Fatehabad, sanitary tube supplier Fatehabad, ASME BPE tubing Fatehabad, ASTM A270 tube Fatehabad, SS 316L electropolished pipe Fatehabad</v>
      </c>
      <c r="AI387" s="15" t="str">
        <f t="shared" si="19"/>
        <v>Electropolished Pipes Manufacturer &amp; Supplier in Fatehabad</v>
      </c>
      <c r="AJ387" s="15" t="str">
        <f t="shared" si="20"/>
        <v>EP-finished SS 304/316L pipes and tubes for VERIFY plants in Fatehabad. ASME BPE SF1-SF4, Ra from 0.25 um, EN 10204 3.1 certificate with every lot.</v>
      </c>
      <c r="AK387" s="15" t="str">
        <f t="shared" si="21"/>
        <v>Electropolished stainless steel pipes supplied by Sakshi Forge to VERIFY plants at HSIIDC Industrial Area, Fatehabad</v>
      </c>
      <c r="AL387" s="15" t="str">
        <f t="shared" si="22"/>
        <v>Electropolished SS 316L tube stock for Fatehabad - Sakshi Forge</v>
      </c>
      <c r="AM387" s="15" t="str">
        <f t="shared" si="23"/>
        <v>Home &gt; Market Area &gt; India &gt; Haryana &gt; Fatehabad</v>
      </c>
      <c r="AN387" s="15">
        <f t="shared" si="24"/>
        <v>1000</v>
      </c>
      <c r="AO387" s="15">
        <f t="shared" si="25"/>
        <v>8</v>
      </c>
      <c r="AP387" s="15">
        <f t="shared" si="26"/>
        <v>8</v>
      </c>
      <c r="AQ387" s="15">
        <f t="shared" si="27"/>
        <v>7</v>
      </c>
      <c r="AR387" s="31"/>
      <c r="AS387" s="31"/>
      <c r="AT387" s="35" t="s">
        <v>222</v>
      </c>
      <c r="AU387" s="35"/>
    </row>
    <row r="388" ht="15.75" customHeight="1">
      <c r="A388" s="15" t="s">
        <v>3199</v>
      </c>
      <c r="B388" s="15" t="s">
        <v>60</v>
      </c>
      <c r="C388" s="15" t="s">
        <v>85</v>
      </c>
      <c r="D388" s="15" t="s">
        <v>3205</v>
      </c>
      <c r="E388" s="15" t="s">
        <v>3205</v>
      </c>
      <c r="F388" s="65" t="s">
        <v>788</v>
      </c>
      <c r="G388" s="66" t="s">
        <v>98</v>
      </c>
      <c r="H388" s="18" t="s">
        <v>3214</v>
      </c>
      <c r="I388" s="18" t="s">
        <v>8398</v>
      </c>
      <c r="J388" s="18" t="s">
        <v>98</v>
      </c>
      <c r="K388" s="18" t="s">
        <v>98</v>
      </c>
      <c r="L388" s="18" t="s">
        <v>98</v>
      </c>
      <c r="M388" s="18" t="s">
        <v>98</v>
      </c>
      <c r="N388" s="18" t="s">
        <v>98</v>
      </c>
      <c r="O388" s="18" t="s">
        <v>98</v>
      </c>
      <c r="P388" s="15" t="str">
        <f t="shared" si="1"/>
        <v>VERIFY</v>
      </c>
      <c r="Q388" s="15">
        <f t="shared" si="2"/>
        <v>1</v>
      </c>
      <c r="R388" s="15">
        <f t="shared" si="3"/>
        <v>7</v>
      </c>
      <c r="S388" s="15">
        <f t="shared" si="4"/>
        <v>5</v>
      </c>
      <c r="T388" s="15" t="str">
        <f t="shared" si="5"/>
        <v>B-1</v>
      </c>
      <c r="U388" s="15" t="str">
        <f t="shared" si="6"/>
        <v>T1-M7-H5-FB-1-VERIFY</v>
      </c>
      <c r="V388" s="15">
        <f t="shared" si="7"/>
        <v>0</v>
      </c>
      <c r="W388" s="31"/>
      <c r="X388" s="15" t="str">
        <f t="shared" si="8"/>
        <v>firozabad</v>
      </c>
      <c r="Y388" s="32" t="str">
        <f t="shared" si="9"/>
        <v>https://steelmanufacturer.in/market-area/electropolished-pipes-manufacturer-in-firozabad/</v>
      </c>
      <c r="Z388" s="15" t="str">
        <f t="shared" si="10"/>
        <v>Electropolished Pipes Manufacturer in Firozabad | Sakshi Forge</v>
      </c>
      <c r="AA388" s="15" t="str">
        <f t="shared" si="11"/>
        <v>OK (62)</v>
      </c>
      <c r="AB388" s="15" t="str">
        <f t="shared" si="12"/>
        <v>Electropolished pipes in Firozabad: 304, 304L, 316 and 316L in SF1-SF4. VERIFY. Mill certified.</v>
      </c>
      <c r="AC388" s="15" t="str">
        <f t="shared" si="13"/>
        <v>PENDING RESEARCH</v>
      </c>
      <c r="AD388" s="15" t="str">
        <f t="shared" si="14"/>
        <v>Electropolished Pipes Manufacturer in Firozabad</v>
      </c>
      <c r="AE388" s="15" t="str">
        <f t="shared" si="15"/>
        <v>Electropolished Tube Manufacturing Capability Serving Firozabad</v>
      </c>
      <c r="AF388" s="15" t="str">
        <f t="shared" si="16"/>
        <v>Electropolished Pipes Supplier in Firozabad - From Order to Delivery</v>
      </c>
      <c r="AG388" s="15" t="str">
        <f t="shared" si="17"/>
        <v>Stockist &amp; Wholesale Supply of Electropolished Pipes in Firozabad</v>
      </c>
      <c r="AH388" s="15" t="str">
        <f t="shared" si="18"/>
        <v>electropolished pipes manufacturer in Firozabad, electropolished pipes supplier in Firozabad, electropolished pipes wholesaler in Firozabad, electropolished tube manufacturer Firozabad, EP pipe supplier Firozabad, sanitary tube supplier Firozabad, ASME BPE tubing Firozabad, ASTM A270 tube Firozabad, SS 316L electropolished pipe Firozabad</v>
      </c>
      <c r="AI388" s="15" t="str">
        <f t="shared" si="19"/>
        <v>Electropolished Pipes Manufacturer &amp; Supplier in Firozabad</v>
      </c>
      <c r="AJ388" s="15" t="str">
        <f t="shared" si="20"/>
        <v>EP-finished SS 304/316L pipes and tubes for VERIFY plants in Firozabad. ASME BPE SF1-SF4, Ra from 0.25 um, EN 10204 3.1 certificate with every lot.</v>
      </c>
      <c r="AK388" s="15" t="str">
        <f t="shared" si="21"/>
        <v>Electropolished stainless steel pipes supplied by Sakshi Forge to VERIFY plants at UPSIDA Industrial Area, Firozabad</v>
      </c>
      <c r="AL388" s="15" t="str">
        <f t="shared" si="22"/>
        <v>Electropolished SS 316L tube stock for Firozabad - Sakshi Forge</v>
      </c>
      <c r="AM388" s="15" t="str">
        <f t="shared" si="23"/>
        <v>Home &gt; Market Area &gt; India &gt; Uttar Pradesh &gt; Firozabad</v>
      </c>
      <c r="AN388" s="15">
        <f t="shared" si="24"/>
        <v>1000</v>
      </c>
      <c r="AO388" s="15">
        <f t="shared" si="25"/>
        <v>8</v>
      </c>
      <c r="AP388" s="15">
        <f t="shared" si="26"/>
        <v>8</v>
      </c>
      <c r="AQ388" s="15">
        <f t="shared" si="27"/>
        <v>7</v>
      </c>
      <c r="AR388" s="31"/>
      <c r="AS388" s="31"/>
      <c r="AT388" s="35" t="s">
        <v>222</v>
      </c>
      <c r="AU388" s="35"/>
    </row>
    <row r="389" ht="15.75" customHeight="1">
      <c r="A389" s="15" t="s">
        <v>3220</v>
      </c>
      <c r="B389" s="15" t="s">
        <v>60</v>
      </c>
      <c r="C389" s="15" t="s">
        <v>354</v>
      </c>
      <c r="D389" s="15" t="s">
        <v>3224</v>
      </c>
      <c r="E389" s="15" t="s">
        <v>3224</v>
      </c>
      <c r="F389" s="65" t="s">
        <v>788</v>
      </c>
      <c r="G389" s="66" t="s">
        <v>98</v>
      </c>
      <c r="H389" s="18" t="s">
        <v>3230</v>
      </c>
      <c r="I389" s="18" t="s">
        <v>8408</v>
      </c>
      <c r="J389" s="18" t="s">
        <v>98</v>
      </c>
      <c r="K389" s="18" t="s">
        <v>98</v>
      </c>
      <c r="L389" s="18" t="s">
        <v>98</v>
      </c>
      <c r="M389" s="18" t="s">
        <v>98</v>
      </c>
      <c r="N389" s="18" t="s">
        <v>98</v>
      </c>
      <c r="O389" s="18" t="s">
        <v>98</v>
      </c>
      <c r="P389" s="15" t="str">
        <f t="shared" si="1"/>
        <v>VERIFY</v>
      </c>
      <c r="Q389" s="15">
        <f t="shared" si="2"/>
        <v>2</v>
      </c>
      <c r="R389" s="15">
        <f t="shared" si="3"/>
        <v>1</v>
      </c>
      <c r="S389" s="15">
        <f t="shared" si="4"/>
        <v>1</v>
      </c>
      <c r="T389" s="15" t="str">
        <f t="shared" si="5"/>
        <v>B-2</v>
      </c>
      <c r="U389" s="15" t="str">
        <f t="shared" si="6"/>
        <v>T2-M1-H1-FB-2-VERIFY</v>
      </c>
      <c r="V389" s="15">
        <f t="shared" si="7"/>
        <v>0</v>
      </c>
      <c r="W389" s="31"/>
      <c r="X389" s="15" t="str">
        <f t="shared" si="8"/>
        <v>firozpur</v>
      </c>
      <c r="Y389" s="32" t="str">
        <f t="shared" si="9"/>
        <v>https://steelmanufacturer.in/market-area/electropolished-pipes-manufacturer-in-firozpur/</v>
      </c>
      <c r="Z389" s="15" t="str">
        <f t="shared" si="10"/>
        <v>Electropolished Pipes Manufacturer in Firozpur</v>
      </c>
      <c r="AA389" s="15" t="str">
        <f t="shared" si="11"/>
        <v>OK (46)</v>
      </c>
      <c r="AB389" s="15" t="str">
        <f t="shared" si="12"/>
        <v>EP-finished SS 304/316L pipes &amp; tubes for VERIFY plants in Firozpur. ASTM A270, ASME BPE SF1-SF4, EN 10204 3.1 MTC. PMI tested.</v>
      </c>
      <c r="AC389" s="15" t="str">
        <f t="shared" si="13"/>
        <v>PENDING RESEARCH</v>
      </c>
      <c r="AD389" s="15" t="str">
        <f t="shared" si="14"/>
        <v>Electropolished Pipes Manufacturer in Firozpur</v>
      </c>
      <c r="AE389" s="15" t="str">
        <f t="shared" si="15"/>
        <v>Electropolished Pipe &amp; Tube Manufacturing for Firozpur - Grades, Finishes &amp; Certification</v>
      </c>
      <c r="AF389" s="15" t="str">
        <f t="shared" si="16"/>
        <v>Electropolished Pipes Supplier in Firozpur - Stock Sizes, Lead Time &amp; Delivery</v>
      </c>
      <c r="AG389" s="15" t="str">
        <f t="shared" si="17"/>
        <v>Electropolished Pipes Wholesaler &amp; Stockist in Firozpur - Bulk &amp; Project Pricing</v>
      </c>
      <c r="AH389" s="15" t="str">
        <f t="shared" si="18"/>
        <v>electropolished pipes manufacturer in Firozpur, electropolished pipes supplier in Firozpur, electropolished pipes wholesaler in Firozpur, electropolished tube manufacturer Firozpur, EP pipe supplier Firozpur, sanitary tube supplier Firozpur, ASME BPE tubing Firozpur, ASTM A270 tube Firozpur, SS 316L electropolished pipe Firozpur</v>
      </c>
      <c r="AI389" s="15" t="str">
        <f t="shared" si="19"/>
        <v>Electropolished Pipes Manufacturer &amp; Supplier in Firozpur</v>
      </c>
      <c r="AJ389" s="15" t="str">
        <f t="shared" si="20"/>
        <v>EP-finished SS 304/316L pipes and tubes for VERIFY plants in Firozpur. ASME BPE SF1-SF4, Ra from 0.25 um, EN 10204 3.1 certificate with every lot.</v>
      </c>
      <c r="AK389" s="15" t="str">
        <f t="shared" si="21"/>
        <v>Electropolished stainless steel pipes supplied by Sakshi Forge to VERIFY plants at PSIEC Industrial Area, Firozpur</v>
      </c>
      <c r="AL389" s="15" t="str">
        <f t="shared" si="22"/>
        <v>Electropolished SS 316L tube stock for Firozpur - Sakshi Forge</v>
      </c>
      <c r="AM389" s="15" t="str">
        <f t="shared" si="23"/>
        <v>Home &gt; Market Area &gt; India &gt; Punjab &gt; Firozpur</v>
      </c>
      <c r="AN389" s="15">
        <f t="shared" si="24"/>
        <v>1000</v>
      </c>
      <c r="AO389" s="15">
        <f t="shared" si="25"/>
        <v>8</v>
      </c>
      <c r="AP389" s="15">
        <f t="shared" si="26"/>
        <v>8</v>
      </c>
      <c r="AQ389" s="15">
        <f t="shared" si="27"/>
        <v>7</v>
      </c>
      <c r="AR389" s="31"/>
      <c r="AS389" s="31"/>
      <c r="AT389" s="35" t="s">
        <v>222</v>
      </c>
      <c r="AU389" s="35"/>
    </row>
    <row r="390" ht="15.75" customHeight="1">
      <c r="A390" s="15" t="s">
        <v>3236</v>
      </c>
      <c r="B390" s="15" t="s">
        <v>60</v>
      </c>
      <c r="C390" s="15" t="s">
        <v>570</v>
      </c>
      <c r="D390" s="15" t="s">
        <v>3241</v>
      </c>
      <c r="E390" s="15" t="s">
        <v>3241</v>
      </c>
      <c r="F390" s="65" t="s">
        <v>788</v>
      </c>
      <c r="G390" s="66" t="s">
        <v>98</v>
      </c>
      <c r="H390" s="18" t="s">
        <v>3245</v>
      </c>
      <c r="I390" s="18" t="s">
        <v>8405</v>
      </c>
      <c r="J390" s="18" t="s">
        <v>98</v>
      </c>
      <c r="K390" s="18" t="s">
        <v>98</v>
      </c>
      <c r="L390" s="18" t="s">
        <v>98</v>
      </c>
      <c r="M390" s="18" t="s">
        <v>98</v>
      </c>
      <c r="N390" s="18" t="s">
        <v>98</v>
      </c>
      <c r="O390" s="18" t="s">
        <v>98</v>
      </c>
      <c r="P390" s="15" t="str">
        <f t="shared" si="1"/>
        <v>VERIFY</v>
      </c>
      <c r="Q390" s="15">
        <f t="shared" si="2"/>
        <v>3</v>
      </c>
      <c r="R390" s="15">
        <f t="shared" si="3"/>
        <v>2</v>
      </c>
      <c r="S390" s="15">
        <f t="shared" si="4"/>
        <v>2</v>
      </c>
      <c r="T390" s="15" t="str">
        <f t="shared" si="5"/>
        <v>B-3</v>
      </c>
      <c r="U390" s="15" t="str">
        <f t="shared" si="6"/>
        <v>T3-M2-H2-FB-3-VERIFY</v>
      </c>
      <c r="V390" s="15">
        <f t="shared" si="7"/>
        <v>0</v>
      </c>
      <c r="W390" s="31"/>
      <c r="X390" s="15" t="str">
        <f t="shared" si="8"/>
        <v>gadag</v>
      </c>
      <c r="Y390" s="32" t="str">
        <f t="shared" si="9"/>
        <v>https://steelmanufacturer.in/market-area/electropolished-pipes-manufacturer-in-gadag/</v>
      </c>
      <c r="Z390" s="15" t="str">
        <f t="shared" si="10"/>
        <v>Electropolished Pipes Manufacturer in Gadag | EP Tube Supplier</v>
      </c>
      <c r="AA390" s="15" t="str">
        <f t="shared" si="11"/>
        <v>OK (62)</v>
      </c>
      <c r="AB390" s="15" t="str">
        <f t="shared" si="12"/>
        <v>Electropolished tube supply to KIADB Industrial Area, Gadag. Ra from 0.25 um, SF4 finish, mill test certificate with every lot.</v>
      </c>
      <c r="AC390" s="15" t="str">
        <f t="shared" si="13"/>
        <v>PENDING RESEARCH</v>
      </c>
      <c r="AD390" s="15" t="str">
        <f t="shared" si="14"/>
        <v>Electropolished Pipes Manufacturer in Gadag</v>
      </c>
      <c r="AE390" s="15" t="str">
        <f t="shared" si="15"/>
        <v>How We Manufacture Electropolished Tube for Gadag Plants</v>
      </c>
      <c r="AF390" s="15" t="str">
        <f t="shared" si="16"/>
        <v>Supplying Electropolished Pipes in Gadag: Availability, Sizes &amp; Dispatch</v>
      </c>
      <c r="AG390" s="15" t="str">
        <f t="shared" si="17"/>
        <v>Wholesale Electropolished Pipe Supply for Gadag Projects</v>
      </c>
      <c r="AH390" s="15" t="str">
        <f t="shared" si="18"/>
        <v>electropolished pipes manufacturer in Gadag, electropolished pipes supplier in Gadag, electropolished pipes wholesaler in Gadag, electropolished tube manufacturer Gadag, EP pipe supplier Gadag, sanitary tube supplier Gadag, ASME BPE tubing Gadag, ASTM A270 tube Gadag, SS 316L electropolished pipe Gadag</v>
      </c>
      <c r="AI390" s="15" t="str">
        <f t="shared" si="19"/>
        <v>Electropolished Pipes Manufacturer &amp; Supplier in Gadag</v>
      </c>
      <c r="AJ390" s="15" t="str">
        <f t="shared" si="20"/>
        <v>EP-finished SS 304/316L pipes and tubes for VERIFY plants in Gadag. ASME BPE SF1-SF4, Ra from 0.25 um, EN 10204 3.1 certificate with every lot.</v>
      </c>
      <c r="AK390" s="15" t="str">
        <f t="shared" si="21"/>
        <v>Electropolished stainless steel pipes supplied by Sakshi Forge to VERIFY plants at KIADB Industrial Area, Gadag</v>
      </c>
      <c r="AL390" s="15" t="str">
        <f t="shared" si="22"/>
        <v>Electropolished SS 316L tube stock for Gadag - Sakshi Forge</v>
      </c>
      <c r="AM390" s="15" t="str">
        <f t="shared" si="23"/>
        <v>Home &gt; Market Area &gt; India &gt; Karnataka &gt; Gadag</v>
      </c>
      <c r="AN390" s="15">
        <f t="shared" si="24"/>
        <v>1000</v>
      </c>
      <c r="AO390" s="15">
        <f t="shared" si="25"/>
        <v>8</v>
      </c>
      <c r="AP390" s="15">
        <f t="shared" si="26"/>
        <v>8</v>
      </c>
      <c r="AQ390" s="15">
        <f t="shared" si="27"/>
        <v>7</v>
      </c>
      <c r="AR390" s="31"/>
      <c r="AS390" s="31"/>
      <c r="AT390" s="35" t="s">
        <v>222</v>
      </c>
      <c r="AU390" s="35"/>
    </row>
    <row r="391" ht="15.75" customHeight="1">
      <c r="A391" s="15" t="s">
        <v>3247</v>
      </c>
      <c r="B391" s="15" t="s">
        <v>60</v>
      </c>
      <c r="C391" s="15" t="s">
        <v>224</v>
      </c>
      <c r="D391" s="15" t="s">
        <v>3248</v>
      </c>
      <c r="E391" s="15" t="s">
        <v>3248</v>
      </c>
      <c r="F391" s="65" t="s">
        <v>788</v>
      </c>
      <c r="G391" s="66" t="s">
        <v>98</v>
      </c>
      <c r="H391" s="18" t="s">
        <v>3251</v>
      </c>
      <c r="I391" s="18" t="s">
        <v>8400</v>
      </c>
      <c r="J391" s="18" t="s">
        <v>98</v>
      </c>
      <c r="K391" s="18" t="s">
        <v>98</v>
      </c>
      <c r="L391" s="18" t="s">
        <v>98</v>
      </c>
      <c r="M391" s="18" t="s">
        <v>98</v>
      </c>
      <c r="N391" s="18" t="s">
        <v>98</v>
      </c>
      <c r="O391" s="18" t="s">
        <v>98</v>
      </c>
      <c r="P391" s="15" t="str">
        <f t="shared" si="1"/>
        <v>VERIFY</v>
      </c>
      <c r="Q391" s="15">
        <f t="shared" si="2"/>
        <v>4</v>
      </c>
      <c r="R391" s="15">
        <f t="shared" si="3"/>
        <v>3</v>
      </c>
      <c r="S391" s="15">
        <f t="shared" si="4"/>
        <v>3</v>
      </c>
      <c r="T391" s="15" t="str">
        <f t="shared" si="5"/>
        <v>B-4</v>
      </c>
      <c r="U391" s="15" t="str">
        <f t="shared" si="6"/>
        <v>T4-M3-H3-FB-4-VERIFY</v>
      </c>
      <c r="V391" s="15">
        <f t="shared" si="7"/>
        <v>0</v>
      </c>
      <c r="W391" s="31"/>
      <c r="X391" s="15" t="str">
        <f t="shared" si="8"/>
        <v>gandhidham</v>
      </c>
      <c r="Y391" s="32" t="str">
        <f t="shared" si="9"/>
        <v>https://steelmanufacturer.in/market-area/electropolished-pipes-manufacturer-in-gandhidham/</v>
      </c>
      <c r="Z391" s="15" t="str">
        <f t="shared" si="10"/>
        <v>Electropolished Pipes Manufacturer in Gandhidham</v>
      </c>
      <c r="AA391" s="15" t="str">
        <f t="shared" si="11"/>
        <v>OK (48)</v>
      </c>
      <c r="AB391" s="15" t="str">
        <f t="shared" si="12"/>
        <v>EP stainless tube for VERIFY lines in Gandhidham. VERIFY. ASTM A270 S2, PMI tested, EN 10204 3.1.</v>
      </c>
      <c r="AC391" s="15" t="str">
        <f t="shared" si="13"/>
        <v>PENDING RESEARCH</v>
      </c>
      <c r="AD391" s="15" t="str">
        <f t="shared" si="14"/>
        <v>Electropolished Pipes Manufacturer in Gandhidham</v>
      </c>
      <c r="AE391" s="15" t="str">
        <f t="shared" si="15"/>
        <v>Electropolished Pipes Manufacturer in Gandhidham - Our Process &amp; Capability</v>
      </c>
      <c r="AF391" s="15" t="str">
        <f t="shared" si="16"/>
        <v>Electropolished Pipes Supplier in Gandhidham - What We Hold in Stock</v>
      </c>
      <c r="AG391" s="15" t="str">
        <f t="shared" si="17"/>
        <v>Bulk &amp; Wholesale Electropolished Pipe Rates for Gandhidham Buyers</v>
      </c>
      <c r="AH391" s="15" t="str">
        <f t="shared" si="18"/>
        <v>electropolished pipes manufacturer in Gandhidham, electropolished pipes supplier in Gandhidham, electropolished pipes wholesaler in Gandhidham, electropolished tube manufacturer Gandhidham, EP pipe supplier Gandhidham, sanitary tube supplier Gandhidham, ASME BPE tubing Gandhidham, ASTM A270 tube Gandhidham, SS 316L electropolished pipe Gandhidham</v>
      </c>
      <c r="AI391" s="15" t="str">
        <f t="shared" si="19"/>
        <v>Electropolished Pipes Manufacturer &amp; Supplier in Gandhidham</v>
      </c>
      <c r="AJ391" s="15" t="str">
        <f t="shared" si="20"/>
        <v>EP-finished SS 304/316L pipes and tubes for VERIFY plants in Gandhidham. ASME BPE SF1-SF4, Ra from 0.25 um, EN 10204 3.1 certificate with every lot.</v>
      </c>
      <c r="AK391" s="15" t="str">
        <f t="shared" si="21"/>
        <v>Electropolished stainless steel pipes supplied by Sakshi Forge to VERIFY plants at GIDC Industrial Area, Gandhidham</v>
      </c>
      <c r="AL391" s="15" t="str">
        <f t="shared" si="22"/>
        <v>Electropolished SS 316L tube stock for Gandhidham - Sakshi Forge</v>
      </c>
      <c r="AM391" s="15" t="str">
        <f t="shared" si="23"/>
        <v>Home &gt; Market Area &gt; India &gt; Gujarat &gt; Gandhidham</v>
      </c>
      <c r="AN391" s="15">
        <f t="shared" si="24"/>
        <v>1000</v>
      </c>
      <c r="AO391" s="15">
        <f t="shared" si="25"/>
        <v>8</v>
      </c>
      <c r="AP391" s="15">
        <f t="shared" si="26"/>
        <v>8</v>
      </c>
      <c r="AQ391" s="15">
        <f t="shared" si="27"/>
        <v>7</v>
      </c>
      <c r="AR391" s="31"/>
      <c r="AS391" s="31"/>
      <c r="AT391" s="35" t="s">
        <v>222</v>
      </c>
      <c r="AU391" s="35"/>
    </row>
    <row r="392" ht="15.75" customHeight="1">
      <c r="A392" s="15" t="s">
        <v>3252</v>
      </c>
      <c r="B392" s="15" t="s">
        <v>60</v>
      </c>
      <c r="C392" s="15" t="s">
        <v>3253</v>
      </c>
      <c r="D392" s="15" t="s">
        <v>3254</v>
      </c>
      <c r="E392" s="15" t="s">
        <v>3254</v>
      </c>
      <c r="F392" s="65" t="s">
        <v>788</v>
      </c>
      <c r="G392" s="66" t="s">
        <v>98</v>
      </c>
      <c r="H392" s="18" t="s">
        <v>3256</v>
      </c>
      <c r="I392" s="18" t="s">
        <v>8418</v>
      </c>
      <c r="J392" s="18" t="s">
        <v>98</v>
      </c>
      <c r="K392" s="18" t="s">
        <v>98</v>
      </c>
      <c r="L392" s="18" t="s">
        <v>98</v>
      </c>
      <c r="M392" s="18" t="s">
        <v>98</v>
      </c>
      <c r="N392" s="18" t="s">
        <v>98</v>
      </c>
      <c r="O392" s="18" t="s">
        <v>98</v>
      </c>
      <c r="P392" s="15" t="str">
        <f t="shared" si="1"/>
        <v>VERIFY</v>
      </c>
      <c r="Q392" s="15">
        <f t="shared" si="2"/>
        <v>5</v>
      </c>
      <c r="R392" s="15">
        <f t="shared" si="3"/>
        <v>4</v>
      </c>
      <c r="S392" s="15">
        <f t="shared" si="4"/>
        <v>4</v>
      </c>
      <c r="T392" s="15" t="str">
        <f t="shared" si="5"/>
        <v>B-5</v>
      </c>
      <c r="U392" s="15" t="str">
        <f t="shared" si="6"/>
        <v>T5-M4-H4-FB-5-VERIFY</v>
      </c>
      <c r="V392" s="15">
        <f t="shared" si="7"/>
        <v>0</v>
      </c>
      <c r="W392" s="31"/>
      <c r="X392" s="15" t="str">
        <f t="shared" si="8"/>
        <v>gangtok</v>
      </c>
      <c r="Y392" s="32" t="str">
        <f t="shared" si="9"/>
        <v>https://steelmanufacturer.in/market-area/electropolished-pipes-manufacturer-in-gangtok/</v>
      </c>
      <c r="Z392" s="15" t="str">
        <f t="shared" si="10"/>
        <v>Electropolished Pipes Manufacturer in Gangtok</v>
      </c>
      <c r="AA392" s="15" t="str">
        <f t="shared" si="11"/>
        <v>OK (45)</v>
      </c>
      <c r="AB392" s="15" t="str">
        <f t="shared" si="12"/>
        <v>Sanitary electropolished pipes in Gangtok for VERIFY plants. ASME BPE SF1-SF4, orbital-weld ready, 3.1 MTC. Mumbai-made.</v>
      </c>
      <c r="AC392" s="15" t="str">
        <f t="shared" si="13"/>
        <v>PENDING RESEARCH</v>
      </c>
      <c r="AD392" s="15" t="str">
        <f t="shared" si="14"/>
        <v>Electropolished Pipes Manufacturer in Gangtok</v>
      </c>
      <c r="AE392" s="15" t="str">
        <f t="shared" si="15"/>
        <v>Manufacturing Electropolished SS Tube for Gangtok: The Standards We Build To</v>
      </c>
      <c r="AF392" s="15" t="str">
        <f t="shared" si="16"/>
        <v>Electropolished Pipe Supply Into Gangtok - Certification &amp; Transit</v>
      </c>
      <c r="AG392" s="15" t="str">
        <f t="shared" si="17"/>
        <v>Electropolished Pipes Wholesaler in Gangtok - Project Quantities &amp; Terms</v>
      </c>
      <c r="AH392" s="15" t="str">
        <f t="shared" si="18"/>
        <v>electropolished pipes manufacturer in Gangtok, electropolished pipes supplier in Gangtok, electropolished pipes wholesaler in Gangtok, electropolished tube manufacturer Gangtok, EP pipe supplier Gangtok, sanitary tube supplier Gangtok, ASME BPE tubing Gangtok, ASTM A270 tube Gangtok, SS 316L electropolished pipe Gangtok</v>
      </c>
      <c r="AI392" s="15" t="str">
        <f t="shared" si="19"/>
        <v>Electropolished Pipes Manufacturer &amp; Supplier in Gangtok</v>
      </c>
      <c r="AJ392" s="15" t="str">
        <f t="shared" si="20"/>
        <v>EP-finished SS 304/316L pipes and tubes for VERIFY plants in Gangtok. ASME BPE SF1-SF4, Ra from 0.25 um, EN 10204 3.1 certificate with every lot.</v>
      </c>
      <c r="AK392" s="15" t="str">
        <f t="shared" si="21"/>
        <v>Electropolished stainless steel pipes supplied by Sakshi Forge to VERIFY plants at SIDICO Industrial Area, Gangtok</v>
      </c>
      <c r="AL392" s="15" t="str">
        <f t="shared" si="22"/>
        <v>Electropolished SS 316L tube stock for Gangtok - Sakshi Forge</v>
      </c>
      <c r="AM392" s="15" t="str">
        <f t="shared" si="23"/>
        <v>Home &gt; Market Area &gt; India &gt; Sikkim &gt; Gangtok</v>
      </c>
      <c r="AN392" s="15">
        <f t="shared" si="24"/>
        <v>1000</v>
      </c>
      <c r="AO392" s="15">
        <f t="shared" si="25"/>
        <v>8</v>
      </c>
      <c r="AP392" s="15">
        <f t="shared" si="26"/>
        <v>8</v>
      </c>
      <c r="AQ392" s="15">
        <f t="shared" si="27"/>
        <v>7</v>
      </c>
      <c r="AR392" s="31"/>
      <c r="AS392" s="31"/>
      <c r="AT392" s="35" t="s">
        <v>222</v>
      </c>
      <c r="AU392" s="35"/>
    </row>
    <row r="393" ht="15.75" customHeight="1">
      <c r="A393" s="15" t="s">
        <v>3257</v>
      </c>
      <c r="B393" s="15" t="s">
        <v>60</v>
      </c>
      <c r="C393" s="15" t="s">
        <v>1818</v>
      </c>
      <c r="D393" s="15" t="s">
        <v>3260</v>
      </c>
      <c r="E393" s="15" t="s">
        <v>3260</v>
      </c>
      <c r="F393" s="65" t="s">
        <v>788</v>
      </c>
      <c r="G393" s="66" t="s">
        <v>98</v>
      </c>
      <c r="H393" s="18" t="s">
        <v>3266</v>
      </c>
      <c r="I393" s="18" t="s">
        <v>8402</v>
      </c>
      <c r="J393" s="18" t="s">
        <v>98</v>
      </c>
      <c r="K393" s="18" t="s">
        <v>98</v>
      </c>
      <c r="L393" s="18" t="s">
        <v>98</v>
      </c>
      <c r="M393" s="18" t="s">
        <v>98</v>
      </c>
      <c r="N393" s="18" t="s">
        <v>98</v>
      </c>
      <c r="O393" s="18" t="s">
        <v>98</v>
      </c>
      <c r="P393" s="15" t="str">
        <f t="shared" si="1"/>
        <v>VERIFY</v>
      </c>
      <c r="Q393" s="15">
        <f t="shared" si="2"/>
        <v>6</v>
      </c>
      <c r="R393" s="15">
        <f t="shared" si="3"/>
        <v>5</v>
      </c>
      <c r="S393" s="15">
        <f t="shared" si="4"/>
        <v>5</v>
      </c>
      <c r="T393" s="15" t="str">
        <f t="shared" si="5"/>
        <v>B-6</v>
      </c>
      <c r="U393" s="15" t="str">
        <f t="shared" si="6"/>
        <v>T6-M5-H5-FB-6-VERIFY</v>
      </c>
      <c r="V393" s="15">
        <f t="shared" si="7"/>
        <v>0</v>
      </c>
      <c r="W393" s="31"/>
      <c r="X393" s="15" t="str">
        <f t="shared" si="8"/>
        <v>gaya</v>
      </c>
      <c r="Y393" s="32" t="str">
        <f t="shared" si="9"/>
        <v>https://steelmanufacturer.in/market-area/electropolished-pipes-manufacturer-in-gaya/</v>
      </c>
      <c r="Z393" s="15" t="str">
        <f t="shared" si="10"/>
        <v>Electropolished Pipes Manufacturer in Gaya</v>
      </c>
      <c r="AA393" s="15" t="str">
        <f t="shared" si="11"/>
        <v>OK (42)</v>
      </c>
      <c r="AB393" s="15" t="str">
        <f t="shared" si="12"/>
        <v>Manufacturer of electropolished SS 316L tube serving Gaya. VERIFY. Ra 0.25-0.5 um, EN 10204 3.1 MTC.</v>
      </c>
      <c r="AC393" s="15" t="str">
        <f t="shared" si="13"/>
        <v>PENDING RESEARCH</v>
      </c>
      <c r="AD393" s="15" t="str">
        <f t="shared" si="14"/>
        <v>Electropolished Pipes Manufacturer in Gaya</v>
      </c>
      <c r="AE393" s="15" t="str">
        <f t="shared" si="15"/>
        <v>Electropolished Tube Manufacturing Capability Serving Gaya</v>
      </c>
      <c r="AF393" s="15" t="str">
        <f t="shared" si="16"/>
        <v>Electropolished Pipes Supplier in Gaya - From Order to Delivery</v>
      </c>
      <c r="AG393" s="15" t="str">
        <f t="shared" si="17"/>
        <v>Stockist &amp; Wholesale Supply of Electropolished Pipes in Gaya</v>
      </c>
      <c r="AH393" s="15" t="str">
        <f t="shared" si="18"/>
        <v>electropolished pipes manufacturer in Gaya, electropolished pipes supplier in Gaya, electropolished pipes wholesaler in Gaya, electropolished tube manufacturer Gaya, EP pipe supplier Gaya, sanitary tube supplier Gaya, ASME BPE tubing Gaya, ASTM A270 tube Gaya, SS 316L electropolished pipe Gaya</v>
      </c>
      <c r="AI393" s="15" t="str">
        <f t="shared" si="19"/>
        <v>Electropolished Pipes Manufacturer &amp; Supplier in Gaya</v>
      </c>
      <c r="AJ393" s="15" t="str">
        <f t="shared" si="20"/>
        <v>EP-finished SS 304/316L pipes and tubes for VERIFY plants in Gaya. ASME BPE SF1-SF4, Ra from 0.25 um, EN 10204 3.1 certificate with every lot.</v>
      </c>
      <c r="AK393" s="15" t="str">
        <f t="shared" si="21"/>
        <v>Electropolished stainless steel pipes supplied by Sakshi Forge to VERIFY plants at BIADA Industrial Area, Gaya</v>
      </c>
      <c r="AL393" s="15" t="str">
        <f t="shared" si="22"/>
        <v>Electropolished SS 316L tube stock for Gaya - Sakshi Forge</v>
      </c>
      <c r="AM393" s="15" t="str">
        <f t="shared" si="23"/>
        <v>Home &gt; Market Area &gt; India &gt; Bihar &gt; Gaya</v>
      </c>
      <c r="AN393" s="15">
        <f t="shared" si="24"/>
        <v>1000</v>
      </c>
      <c r="AO393" s="15">
        <f t="shared" si="25"/>
        <v>8</v>
      </c>
      <c r="AP393" s="15">
        <f t="shared" si="26"/>
        <v>8</v>
      </c>
      <c r="AQ393" s="15">
        <f t="shared" si="27"/>
        <v>7</v>
      </c>
      <c r="AR393" s="31"/>
      <c r="AS393" s="31"/>
      <c r="AT393" s="35" t="s">
        <v>222</v>
      </c>
      <c r="AU393" s="35"/>
    </row>
    <row r="394" ht="15.75" customHeight="1">
      <c r="A394" s="15" t="s">
        <v>3267</v>
      </c>
      <c r="B394" s="15" t="s">
        <v>60</v>
      </c>
      <c r="C394" s="15" t="s">
        <v>878</v>
      </c>
      <c r="D394" s="15" t="s">
        <v>3268</v>
      </c>
      <c r="E394" s="15" t="s">
        <v>3268</v>
      </c>
      <c r="F394" s="65" t="s">
        <v>788</v>
      </c>
      <c r="G394" s="66" t="s">
        <v>98</v>
      </c>
      <c r="H394" s="18" t="s">
        <v>3270</v>
      </c>
      <c r="I394" s="18" t="s">
        <v>8415</v>
      </c>
      <c r="J394" s="18" t="s">
        <v>98</v>
      </c>
      <c r="K394" s="18" t="s">
        <v>98</v>
      </c>
      <c r="L394" s="18" t="s">
        <v>98</v>
      </c>
      <c r="M394" s="18" t="s">
        <v>98</v>
      </c>
      <c r="N394" s="18" t="s">
        <v>98</v>
      </c>
      <c r="O394" s="18" t="s">
        <v>98</v>
      </c>
      <c r="P394" s="15" t="str">
        <f t="shared" si="1"/>
        <v>VERIFY</v>
      </c>
      <c r="Q394" s="15">
        <f t="shared" si="2"/>
        <v>7</v>
      </c>
      <c r="R394" s="15">
        <f t="shared" si="3"/>
        <v>6</v>
      </c>
      <c r="S394" s="15">
        <f t="shared" si="4"/>
        <v>1</v>
      </c>
      <c r="T394" s="15" t="str">
        <f t="shared" si="5"/>
        <v>B-1</v>
      </c>
      <c r="U394" s="15" t="str">
        <f t="shared" si="6"/>
        <v>T7-M6-H1-FB-1-VERIFY</v>
      </c>
      <c r="V394" s="15">
        <f t="shared" si="7"/>
        <v>0</v>
      </c>
      <c r="W394" s="31"/>
      <c r="X394" s="15" t="str">
        <f t="shared" si="8"/>
        <v>giridih</v>
      </c>
      <c r="Y394" s="32" t="str">
        <f t="shared" si="9"/>
        <v>https://steelmanufacturer.in/market-area/electropolished-pipes-manufacturer-in-giridih/</v>
      </c>
      <c r="Z394" s="15" t="str">
        <f t="shared" si="10"/>
        <v>Electropolished Pipes Manufacturer in Giridih | ASME BPE SF1-SF4</v>
      </c>
      <c r="AA394" s="15" t="str">
        <f t="shared" si="11"/>
        <v>OK (64)</v>
      </c>
      <c r="AB394" s="15" t="str">
        <f t="shared" si="12"/>
        <v>EP tube and pipe for VERIFY plants around JIADA Industrial Area, Giridih. Made at our Mumbai works to ASTM A270 and ASME BPE SF1-SF4, with 3.1 MTC.</v>
      </c>
      <c r="AC394" s="15" t="str">
        <f t="shared" si="13"/>
        <v>PENDING RESEARCH</v>
      </c>
      <c r="AD394" s="15" t="str">
        <f t="shared" si="14"/>
        <v>Electropolished Pipes Manufacturer in Giridih</v>
      </c>
      <c r="AE394" s="15" t="str">
        <f t="shared" si="15"/>
        <v>Electropolished Pipe &amp; Tube Manufacturing for Giridih - Grades, Finishes &amp; Certification</v>
      </c>
      <c r="AF394" s="15" t="str">
        <f t="shared" si="16"/>
        <v>Electropolished Pipes Supplier in Giridih - Stock Sizes, Lead Time &amp; Delivery</v>
      </c>
      <c r="AG394" s="15" t="str">
        <f t="shared" si="17"/>
        <v>Electropolished Pipes Wholesaler &amp; Stockist in Giridih - Bulk &amp; Project Pricing</v>
      </c>
      <c r="AH394" s="15" t="str">
        <f t="shared" si="18"/>
        <v>electropolished pipes manufacturer in Giridih, electropolished pipes supplier in Giridih, electropolished pipes wholesaler in Giridih, electropolished tube manufacturer Giridih, EP pipe supplier Giridih, sanitary tube supplier Giridih, ASME BPE tubing Giridih, ASTM A270 tube Giridih, SS 316L electropolished pipe Giridih</v>
      </c>
      <c r="AI394" s="15" t="str">
        <f t="shared" si="19"/>
        <v>Electropolished Pipes Manufacturer &amp; Supplier in Giridih</v>
      </c>
      <c r="AJ394" s="15" t="str">
        <f t="shared" si="20"/>
        <v>EP-finished SS 304/316L pipes and tubes for VERIFY plants in Giridih. ASME BPE SF1-SF4, Ra from 0.25 um, EN 10204 3.1 certificate with every lot.</v>
      </c>
      <c r="AK394" s="15" t="str">
        <f t="shared" si="21"/>
        <v>Electropolished stainless steel pipes supplied by Sakshi Forge to VERIFY plants at JIADA Industrial Area, Giridih</v>
      </c>
      <c r="AL394" s="15" t="str">
        <f t="shared" si="22"/>
        <v>Electropolished SS 316L tube stock for Giridih - Sakshi Forge</v>
      </c>
      <c r="AM394" s="15" t="str">
        <f t="shared" si="23"/>
        <v>Home &gt; Market Area &gt; India &gt; Jharkhand &gt; Giridih</v>
      </c>
      <c r="AN394" s="15">
        <f t="shared" si="24"/>
        <v>1000</v>
      </c>
      <c r="AO394" s="15">
        <f t="shared" si="25"/>
        <v>8</v>
      </c>
      <c r="AP394" s="15">
        <f t="shared" si="26"/>
        <v>8</v>
      </c>
      <c r="AQ394" s="15">
        <f t="shared" si="27"/>
        <v>7</v>
      </c>
      <c r="AR394" s="31"/>
      <c r="AS394" s="31"/>
      <c r="AT394" s="35" t="s">
        <v>222</v>
      </c>
      <c r="AU394" s="35"/>
    </row>
    <row r="395" ht="15.75" customHeight="1">
      <c r="A395" s="15" t="s">
        <v>3271</v>
      </c>
      <c r="B395" s="15" t="s">
        <v>60</v>
      </c>
      <c r="C395" s="15" t="s">
        <v>224</v>
      </c>
      <c r="D395" s="15" t="s">
        <v>3272</v>
      </c>
      <c r="E395" s="15" t="s">
        <v>3272</v>
      </c>
      <c r="F395" s="65" t="s">
        <v>788</v>
      </c>
      <c r="G395" s="66" t="s">
        <v>98</v>
      </c>
      <c r="H395" s="18" t="s">
        <v>3274</v>
      </c>
      <c r="I395" s="18" t="s">
        <v>8400</v>
      </c>
      <c r="J395" s="18" t="s">
        <v>98</v>
      </c>
      <c r="K395" s="18" t="s">
        <v>98</v>
      </c>
      <c r="L395" s="18" t="s">
        <v>98</v>
      </c>
      <c r="M395" s="18" t="s">
        <v>98</v>
      </c>
      <c r="N395" s="18" t="s">
        <v>98</v>
      </c>
      <c r="O395" s="18" t="s">
        <v>98</v>
      </c>
      <c r="P395" s="15" t="str">
        <f t="shared" si="1"/>
        <v>VERIFY</v>
      </c>
      <c r="Q395" s="15">
        <f t="shared" si="2"/>
        <v>8</v>
      </c>
      <c r="R395" s="15">
        <f t="shared" si="3"/>
        <v>7</v>
      </c>
      <c r="S395" s="15">
        <f t="shared" si="4"/>
        <v>2</v>
      </c>
      <c r="T395" s="15" t="str">
        <f t="shared" si="5"/>
        <v>B-2</v>
      </c>
      <c r="U395" s="15" t="str">
        <f t="shared" si="6"/>
        <v>T8-M7-H2-FB-2-VERIFY</v>
      </c>
      <c r="V395" s="15">
        <f t="shared" si="7"/>
        <v>0</v>
      </c>
      <c r="W395" s="31"/>
      <c r="X395" s="15" t="str">
        <f t="shared" si="8"/>
        <v>godhra</v>
      </c>
      <c r="Y395" s="32" t="str">
        <f t="shared" si="9"/>
        <v>https://steelmanufacturer.in/market-area/electropolished-pipes-manufacturer-in-godhra/</v>
      </c>
      <c r="Z395" s="15" t="str">
        <f t="shared" si="10"/>
        <v>Electropolished Pipes Manufacturer in Godhra - EP Tube Stockist</v>
      </c>
      <c r="AA395" s="15" t="str">
        <f t="shared" si="11"/>
        <v>OK (63)</v>
      </c>
      <c r="AB395" s="15" t="str">
        <f t="shared" si="12"/>
        <v>Electropolished pipes in Godhra: 304, 304L, 316 and 316L in SF1-SF4. VERIFY. Mill certified.</v>
      </c>
      <c r="AC395" s="15" t="str">
        <f t="shared" si="13"/>
        <v>PENDING RESEARCH</v>
      </c>
      <c r="AD395" s="15" t="str">
        <f t="shared" si="14"/>
        <v>Electropolished Pipes Manufacturer in Godhra</v>
      </c>
      <c r="AE395" s="15" t="str">
        <f t="shared" si="15"/>
        <v>How We Manufacture Electropolished Tube for Godhra Plants</v>
      </c>
      <c r="AF395" s="15" t="str">
        <f t="shared" si="16"/>
        <v>Supplying Electropolished Pipes in Godhra: Availability, Sizes &amp; Dispatch</v>
      </c>
      <c r="AG395" s="15" t="str">
        <f t="shared" si="17"/>
        <v>Wholesale Electropolished Pipe Supply for Godhra Projects</v>
      </c>
      <c r="AH395" s="15" t="str">
        <f t="shared" si="18"/>
        <v>electropolished pipes manufacturer in Godhra, electropolished pipes supplier in Godhra, electropolished pipes wholesaler in Godhra, electropolished tube manufacturer Godhra, EP pipe supplier Godhra, sanitary tube supplier Godhra, ASME BPE tubing Godhra, ASTM A270 tube Godhra, SS 316L electropolished pipe Godhra</v>
      </c>
      <c r="AI395" s="15" t="str">
        <f t="shared" si="19"/>
        <v>Electropolished Pipes Manufacturer &amp; Supplier in Godhra</v>
      </c>
      <c r="AJ395" s="15" t="str">
        <f t="shared" si="20"/>
        <v>EP-finished SS 304/316L pipes and tubes for VERIFY plants in Godhra. ASME BPE SF1-SF4, Ra from 0.25 um, EN 10204 3.1 certificate with every lot.</v>
      </c>
      <c r="AK395" s="15" t="str">
        <f t="shared" si="21"/>
        <v>Electropolished stainless steel pipes supplied by Sakshi Forge to VERIFY plants at GIDC Industrial Area, Godhra</v>
      </c>
      <c r="AL395" s="15" t="str">
        <f t="shared" si="22"/>
        <v>Electropolished SS 316L tube stock for Godhra - Sakshi Forge</v>
      </c>
      <c r="AM395" s="15" t="str">
        <f t="shared" si="23"/>
        <v>Home &gt; Market Area &gt; India &gt; Gujarat &gt; Godhra</v>
      </c>
      <c r="AN395" s="15">
        <f t="shared" si="24"/>
        <v>1000</v>
      </c>
      <c r="AO395" s="15">
        <f t="shared" si="25"/>
        <v>8</v>
      </c>
      <c r="AP395" s="15">
        <f t="shared" si="26"/>
        <v>8</v>
      </c>
      <c r="AQ395" s="15">
        <f t="shared" si="27"/>
        <v>7</v>
      </c>
      <c r="AR395" s="31"/>
      <c r="AS395" s="31"/>
      <c r="AT395" s="35" t="s">
        <v>222</v>
      </c>
      <c r="AU395" s="35"/>
    </row>
    <row r="396" ht="15.75" customHeight="1">
      <c r="A396" s="15" t="s">
        <v>3275</v>
      </c>
      <c r="B396" s="15" t="s">
        <v>60</v>
      </c>
      <c r="C396" s="15" t="s">
        <v>1155</v>
      </c>
      <c r="D396" s="15" t="s">
        <v>3276</v>
      </c>
      <c r="E396" s="15" t="s">
        <v>3276</v>
      </c>
      <c r="F396" s="65" t="s">
        <v>788</v>
      </c>
      <c r="G396" s="66" t="s">
        <v>98</v>
      </c>
      <c r="H396" s="18" t="s">
        <v>3278</v>
      </c>
      <c r="I396" s="18" t="s">
        <v>8412</v>
      </c>
      <c r="J396" s="18" t="s">
        <v>98</v>
      </c>
      <c r="K396" s="18" t="s">
        <v>98</v>
      </c>
      <c r="L396" s="18" t="s">
        <v>98</v>
      </c>
      <c r="M396" s="18" t="s">
        <v>98</v>
      </c>
      <c r="N396" s="18" t="s">
        <v>98</v>
      </c>
      <c r="O396" s="18" t="s">
        <v>98</v>
      </c>
      <c r="P396" s="15" t="str">
        <f t="shared" si="1"/>
        <v>VERIFY</v>
      </c>
      <c r="Q396" s="15">
        <f t="shared" si="2"/>
        <v>1</v>
      </c>
      <c r="R396" s="15">
        <f t="shared" si="3"/>
        <v>1</v>
      </c>
      <c r="S396" s="15">
        <f t="shared" si="4"/>
        <v>3</v>
      </c>
      <c r="T396" s="15" t="str">
        <f t="shared" si="5"/>
        <v>B-3</v>
      </c>
      <c r="U396" s="15" t="str">
        <f t="shared" si="6"/>
        <v>T1-M1-H3-FB-3-VERIFY</v>
      </c>
      <c r="V396" s="15">
        <f t="shared" si="7"/>
        <v>0</v>
      </c>
      <c r="W396" s="31"/>
      <c r="X396" s="15" t="str">
        <f t="shared" si="8"/>
        <v>golaghat</v>
      </c>
      <c r="Y396" s="32" t="str">
        <f t="shared" si="9"/>
        <v>https://steelmanufacturer.in/market-area/electropolished-pipes-manufacturer-in-golaghat/</v>
      </c>
      <c r="Z396" s="15" t="str">
        <f t="shared" si="10"/>
        <v>Electropolished Pipes Manufacturer in Golaghat | Sakshi Forge</v>
      </c>
      <c r="AA396" s="15" t="str">
        <f t="shared" si="11"/>
        <v>OK (61)</v>
      </c>
      <c r="AB396" s="15" t="str">
        <f t="shared" si="12"/>
        <v>EP-finished SS 304/316L pipes &amp; tubes for VERIFY plants in Golaghat. ASTM A270, ASME BPE SF1-SF4, EN 10204 3.1 MTC. PMI tested.</v>
      </c>
      <c r="AC396" s="15" t="str">
        <f t="shared" si="13"/>
        <v>PENDING RESEARCH</v>
      </c>
      <c r="AD396" s="15" t="str">
        <f t="shared" si="14"/>
        <v>Electropolished Pipes Manufacturer in Golaghat</v>
      </c>
      <c r="AE396" s="15" t="str">
        <f t="shared" si="15"/>
        <v>Electropolished Pipes Manufacturer in Golaghat - Our Process &amp; Capability</v>
      </c>
      <c r="AF396" s="15" t="str">
        <f t="shared" si="16"/>
        <v>Electropolished Pipes Supplier in Golaghat - What We Hold in Stock</v>
      </c>
      <c r="AG396" s="15" t="str">
        <f t="shared" si="17"/>
        <v>Bulk &amp; Wholesale Electropolished Pipe Rates for Golaghat Buyers</v>
      </c>
      <c r="AH396" s="15" t="str">
        <f t="shared" si="18"/>
        <v>electropolished pipes manufacturer in Golaghat, electropolished pipes supplier in Golaghat, electropolished pipes wholesaler in Golaghat, electropolished tube manufacturer Golaghat, EP pipe supplier Golaghat, sanitary tube supplier Golaghat, ASME BPE tubing Golaghat, ASTM A270 tube Golaghat, SS 316L electropolished pipe Golaghat</v>
      </c>
      <c r="AI396" s="15" t="str">
        <f t="shared" si="19"/>
        <v>Electropolished Pipes Manufacturer &amp; Supplier in Golaghat</v>
      </c>
      <c r="AJ396" s="15" t="str">
        <f t="shared" si="20"/>
        <v>EP-finished SS 304/316L pipes and tubes for VERIFY plants in Golaghat. ASME BPE SF1-SF4, Ra from 0.25 um, EN 10204 3.1 certificate with every lot.</v>
      </c>
      <c r="AK396" s="15" t="str">
        <f t="shared" si="21"/>
        <v>Electropolished stainless steel pipes supplied by Sakshi Forge to VERIFY plants at AIDC Industrial Area, Golaghat</v>
      </c>
      <c r="AL396" s="15" t="str">
        <f t="shared" si="22"/>
        <v>Electropolished SS 316L tube stock for Golaghat - Sakshi Forge</v>
      </c>
      <c r="AM396" s="15" t="str">
        <f t="shared" si="23"/>
        <v>Home &gt; Market Area &gt; India &gt; Assam &gt; Golaghat</v>
      </c>
      <c r="AN396" s="15">
        <f t="shared" si="24"/>
        <v>1000</v>
      </c>
      <c r="AO396" s="15">
        <f t="shared" si="25"/>
        <v>8</v>
      </c>
      <c r="AP396" s="15">
        <f t="shared" si="26"/>
        <v>8</v>
      </c>
      <c r="AQ396" s="15">
        <f t="shared" si="27"/>
        <v>7</v>
      </c>
      <c r="AR396" s="31"/>
      <c r="AS396" s="31"/>
      <c r="AT396" s="35" t="s">
        <v>222</v>
      </c>
      <c r="AU396" s="35"/>
    </row>
    <row r="397" ht="15.75" customHeight="1">
      <c r="A397" s="15" t="s">
        <v>3279</v>
      </c>
      <c r="B397" s="15" t="s">
        <v>60</v>
      </c>
      <c r="C397" s="15" t="s">
        <v>264</v>
      </c>
      <c r="D397" s="15" t="s">
        <v>3280</v>
      </c>
      <c r="E397" s="15" t="s">
        <v>3280</v>
      </c>
      <c r="F397" s="65" t="s">
        <v>788</v>
      </c>
      <c r="G397" s="66" t="s">
        <v>98</v>
      </c>
      <c r="H397" s="18" t="s">
        <v>3282</v>
      </c>
      <c r="I397" s="18" t="s">
        <v>8395</v>
      </c>
      <c r="J397" s="18" t="s">
        <v>98</v>
      </c>
      <c r="K397" s="18" t="s">
        <v>98</v>
      </c>
      <c r="L397" s="18" t="s">
        <v>98</v>
      </c>
      <c r="M397" s="18" t="s">
        <v>98</v>
      </c>
      <c r="N397" s="18" t="s">
        <v>98</v>
      </c>
      <c r="O397" s="18" t="s">
        <v>98</v>
      </c>
      <c r="P397" s="15" t="str">
        <f t="shared" si="1"/>
        <v>VERIFY</v>
      </c>
      <c r="Q397" s="15">
        <f t="shared" si="2"/>
        <v>2</v>
      </c>
      <c r="R397" s="15">
        <f t="shared" si="3"/>
        <v>2</v>
      </c>
      <c r="S397" s="15">
        <f t="shared" si="4"/>
        <v>4</v>
      </c>
      <c r="T397" s="15" t="str">
        <f t="shared" si="5"/>
        <v>B-4</v>
      </c>
      <c r="U397" s="15" t="str">
        <f t="shared" si="6"/>
        <v>T2-M2-H4-FB-4-VERIFY</v>
      </c>
      <c r="V397" s="15">
        <f t="shared" si="7"/>
        <v>0</v>
      </c>
      <c r="W397" s="31"/>
      <c r="X397" s="15" t="str">
        <f t="shared" si="8"/>
        <v>gondia</v>
      </c>
      <c r="Y397" s="32" t="str">
        <f t="shared" si="9"/>
        <v>https://steelmanufacturer.in/market-area/electropolished-pipes-manufacturer-in-gondia/</v>
      </c>
      <c r="Z397" s="15" t="str">
        <f t="shared" si="10"/>
        <v>Electropolished Pipes Manufacturer in Gondia</v>
      </c>
      <c r="AA397" s="15" t="str">
        <f t="shared" si="11"/>
        <v>OK (44)</v>
      </c>
      <c r="AB397" s="15" t="str">
        <f t="shared" si="12"/>
        <v>Electropolished tube supply to MIDC Industrial Area, Gondia. Ra from 0.25 um, SF4 finish, mill test certificate with every lot.</v>
      </c>
      <c r="AC397" s="15" t="str">
        <f t="shared" si="13"/>
        <v>PENDING RESEARCH</v>
      </c>
      <c r="AD397" s="15" t="str">
        <f t="shared" si="14"/>
        <v>Electropolished Pipes Manufacturer in Gondia</v>
      </c>
      <c r="AE397" s="15" t="str">
        <f t="shared" si="15"/>
        <v>Manufacturing Electropolished SS Tube for Gondia: The Standards We Build To</v>
      </c>
      <c r="AF397" s="15" t="str">
        <f t="shared" si="16"/>
        <v>Electropolished Pipe Supply Into Gondia - Certification &amp; Transit</v>
      </c>
      <c r="AG397" s="15" t="str">
        <f t="shared" si="17"/>
        <v>Electropolished Pipes Wholesaler in Gondia - Project Quantities &amp; Terms</v>
      </c>
      <c r="AH397" s="15" t="str">
        <f t="shared" si="18"/>
        <v>electropolished pipes manufacturer in Gondia, electropolished pipes supplier in Gondia, electropolished pipes wholesaler in Gondia, electropolished tube manufacturer Gondia, EP pipe supplier Gondia, sanitary tube supplier Gondia, ASME BPE tubing Gondia, ASTM A270 tube Gondia, SS 316L electropolished pipe Gondia</v>
      </c>
      <c r="AI397" s="15" t="str">
        <f t="shared" si="19"/>
        <v>Electropolished Pipes Manufacturer &amp; Supplier in Gondia</v>
      </c>
      <c r="AJ397" s="15" t="str">
        <f t="shared" si="20"/>
        <v>EP-finished SS 304/316L pipes and tubes for VERIFY plants in Gondia. ASME BPE SF1-SF4, Ra from 0.25 um, EN 10204 3.1 certificate with every lot.</v>
      </c>
      <c r="AK397" s="15" t="str">
        <f t="shared" si="21"/>
        <v>Electropolished stainless steel pipes supplied by Sakshi Forge to VERIFY plants at MIDC Industrial Area, Gondia</v>
      </c>
      <c r="AL397" s="15" t="str">
        <f t="shared" si="22"/>
        <v>Electropolished SS 316L tube stock for Gondia - Sakshi Forge</v>
      </c>
      <c r="AM397" s="15" t="str">
        <f t="shared" si="23"/>
        <v>Home &gt; Market Area &gt; India &gt; Maharashtra &gt; Gondia</v>
      </c>
      <c r="AN397" s="15">
        <f t="shared" si="24"/>
        <v>1000</v>
      </c>
      <c r="AO397" s="15">
        <f t="shared" si="25"/>
        <v>8</v>
      </c>
      <c r="AP397" s="15">
        <f t="shared" si="26"/>
        <v>8</v>
      </c>
      <c r="AQ397" s="15">
        <f t="shared" si="27"/>
        <v>7</v>
      </c>
      <c r="AR397" s="31"/>
      <c r="AS397" s="31"/>
      <c r="AT397" s="35" t="s">
        <v>222</v>
      </c>
      <c r="AU397" s="35"/>
    </row>
    <row r="398" ht="15.75" customHeight="1">
      <c r="A398" s="15" t="s">
        <v>3283</v>
      </c>
      <c r="B398" s="15" t="s">
        <v>60</v>
      </c>
      <c r="C398" s="15" t="s">
        <v>85</v>
      </c>
      <c r="D398" s="15" t="s">
        <v>3286</v>
      </c>
      <c r="E398" s="15" t="s">
        <v>3286</v>
      </c>
      <c r="F398" s="65" t="s">
        <v>788</v>
      </c>
      <c r="G398" s="66" t="s">
        <v>98</v>
      </c>
      <c r="H398" s="18" t="s">
        <v>3291</v>
      </c>
      <c r="I398" s="18" t="s">
        <v>8398</v>
      </c>
      <c r="J398" s="18" t="s">
        <v>98</v>
      </c>
      <c r="K398" s="18" t="s">
        <v>98</v>
      </c>
      <c r="L398" s="18" t="s">
        <v>98</v>
      </c>
      <c r="M398" s="18" t="s">
        <v>98</v>
      </c>
      <c r="N398" s="18" t="s">
        <v>98</v>
      </c>
      <c r="O398" s="18" t="s">
        <v>98</v>
      </c>
      <c r="P398" s="15" t="str">
        <f t="shared" si="1"/>
        <v>VERIFY</v>
      </c>
      <c r="Q398" s="15">
        <f t="shared" si="2"/>
        <v>3</v>
      </c>
      <c r="R398" s="15">
        <f t="shared" si="3"/>
        <v>3</v>
      </c>
      <c r="S398" s="15">
        <f t="shared" si="4"/>
        <v>5</v>
      </c>
      <c r="T398" s="15" t="str">
        <f t="shared" si="5"/>
        <v>B-5</v>
      </c>
      <c r="U398" s="15" t="str">
        <f t="shared" si="6"/>
        <v>T3-M3-H5-FB-5-VERIFY</v>
      </c>
      <c r="V398" s="15">
        <f t="shared" si="7"/>
        <v>0</v>
      </c>
      <c r="W398" s="31"/>
      <c r="X398" s="15" t="str">
        <f t="shared" si="8"/>
        <v>gorakhpur</v>
      </c>
      <c r="Y398" s="32" t="str">
        <f t="shared" si="9"/>
        <v>https://steelmanufacturer.in/market-area/electropolished-pipes-manufacturer-in-gorakhpur/</v>
      </c>
      <c r="Z398" s="15" t="str">
        <f t="shared" si="10"/>
        <v>Electropolished Pipes Manufacturer in Gorakhpur</v>
      </c>
      <c r="AA398" s="15" t="str">
        <f t="shared" si="11"/>
        <v>OK (47)</v>
      </c>
      <c r="AB398" s="15" t="str">
        <f t="shared" si="12"/>
        <v>EP stainless tube for VERIFY lines in Gorakhpur. VERIFY. ASTM A270 S2, PMI tested, EN 10204 3.1.</v>
      </c>
      <c r="AC398" s="15" t="str">
        <f t="shared" si="13"/>
        <v>PENDING RESEARCH</v>
      </c>
      <c r="AD398" s="15" t="str">
        <f t="shared" si="14"/>
        <v>Electropolished Pipes Manufacturer in Gorakhpur</v>
      </c>
      <c r="AE398" s="15" t="str">
        <f t="shared" si="15"/>
        <v>Electropolished Tube Manufacturing Capability Serving Gorakhpur</v>
      </c>
      <c r="AF398" s="15" t="str">
        <f t="shared" si="16"/>
        <v>Electropolished Pipes Supplier in Gorakhpur - From Order to Delivery</v>
      </c>
      <c r="AG398" s="15" t="str">
        <f t="shared" si="17"/>
        <v>Stockist &amp; Wholesale Supply of Electropolished Pipes in Gorakhpur</v>
      </c>
      <c r="AH398" s="15" t="str">
        <f t="shared" si="18"/>
        <v>electropolished pipes manufacturer in Gorakhpur, electropolished pipes supplier in Gorakhpur, electropolished pipes wholesaler in Gorakhpur, electropolished tube manufacturer Gorakhpur, EP pipe supplier Gorakhpur, sanitary tube supplier Gorakhpur, ASME BPE tubing Gorakhpur, ASTM A270 tube Gorakhpur, SS 316L electropolished pipe Gorakhpur</v>
      </c>
      <c r="AI398" s="15" t="str">
        <f t="shared" si="19"/>
        <v>Electropolished Pipes Manufacturer &amp; Supplier in Gorakhpur</v>
      </c>
      <c r="AJ398" s="15" t="str">
        <f t="shared" si="20"/>
        <v>EP-finished SS 304/316L pipes and tubes for VERIFY plants in Gorakhpur. ASME BPE SF1-SF4, Ra from 0.25 um, EN 10204 3.1 certificate with every lot.</v>
      </c>
      <c r="AK398" s="15" t="str">
        <f t="shared" si="21"/>
        <v>Electropolished stainless steel pipes supplied by Sakshi Forge to VERIFY plants at UPSIDA Industrial Area, Gorakhpur</v>
      </c>
      <c r="AL398" s="15" t="str">
        <f t="shared" si="22"/>
        <v>Electropolished SS 316L tube stock for Gorakhpur - Sakshi Forge</v>
      </c>
      <c r="AM398" s="15" t="str">
        <f t="shared" si="23"/>
        <v>Home &gt; Market Area &gt; India &gt; Uttar Pradesh &gt; Gorakhpur</v>
      </c>
      <c r="AN398" s="15">
        <f t="shared" si="24"/>
        <v>1000</v>
      </c>
      <c r="AO398" s="15">
        <f t="shared" si="25"/>
        <v>8</v>
      </c>
      <c r="AP398" s="15">
        <f t="shared" si="26"/>
        <v>8</v>
      </c>
      <c r="AQ398" s="15">
        <f t="shared" si="27"/>
        <v>7</v>
      </c>
      <c r="AR398" s="31"/>
      <c r="AS398" s="31"/>
      <c r="AT398" s="35" t="s">
        <v>222</v>
      </c>
      <c r="AU398" s="35"/>
    </row>
    <row r="399" ht="15.75" customHeight="1">
      <c r="A399" s="15" t="s">
        <v>3292</v>
      </c>
      <c r="B399" s="15" t="s">
        <v>60</v>
      </c>
      <c r="C399" s="15" t="s">
        <v>413</v>
      </c>
      <c r="D399" s="15" t="s">
        <v>3293</v>
      </c>
      <c r="E399" s="15" t="s">
        <v>3293</v>
      </c>
      <c r="F399" s="65" t="s">
        <v>788</v>
      </c>
      <c r="G399" s="66" t="s">
        <v>98</v>
      </c>
      <c r="H399" s="18" t="s">
        <v>3295</v>
      </c>
      <c r="I399" s="18" t="s">
        <v>8393</v>
      </c>
      <c r="J399" s="18" t="s">
        <v>98</v>
      </c>
      <c r="K399" s="18" t="s">
        <v>98</v>
      </c>
      <c r="L399" s="18" t="s">
        <v>98</v>
      </c>
      <c r="M399" s="18" t="s">
        <v>98</v>
      </c>
      <c r="N399" s="18" t="s">
        <v>98</v>
      </c>
      <c r="O399" s="18" t="s">
        <v>98</v>
      </c>
      <c r="P399" s="15" t="str">
        <f t="shared" si="1"/>
        <v>VERIFY</v>
      </c>
      <c r="Q399" s="15">
        <f t="shared" si="2"/>
        <v>4</v>
      </c>
      <c r="R399" s="15">
        <f t="shared" si="3"/>
        <v>4</v>
      </c>
      <c r="S399" s="15">
        <f t="shared" si="4"/>
        <v>1</v>
      </c>
      <c r="T399" s="15" t="str">
        <f t="shared" si="5"/>
        <v>B-6</v>
      </c>
      <c r="U399" s="15" t="str">
        <f t="shared" si="6"/>
        <v>T4-M4-H1-FB-6-VERIFY</v>
      </c>
      <c r="V399" s="15">
        <f t="shared" si="7"/>
        <v>0</v>
      </c>
      <c r="W399" s="31"/>
      <c r="X399" s="15" t="str">
        <f t="shared" si="8"/>
        <v>gudivada</v>
      </c>
      <c r="Y399" s="32" t="str">
        <f t="shared" si="9"/>
        <v>https://steelmanufacturer.in/market-area/electropolished-pipes-manufacturer-in-gudivada/</v>
      </c>
      <c r="Z399" s="15" t="str">
        <f t="shared" si="10"/>
        <v>Electropolished Pipes Manufacturer in Gudivada</v>
      </c>
      <c r="AA399" s="15" t="str">
        <f t="shared" si="11"/>
        <v>OK (46)</v>
      </c>
      <c r="AB399" s="15" t="str">
        <f t="shared" si="12"/>
        <v>Sanitary electropolished pipes in Gudivada for VERIFY plants. ASME BPE SF1-SF4, orbital-weld ready, 3.1 MTC. Mumbai-made.</v>
      </c>
      <c r="AC399" s="15" t="str">
        <f t="shared" si="13"/>
        <v>PENDING RESEARCH</v>
      </c>
      <c r="AD399" s="15" t="str">
        <f t="shared" si="14"/>
        <v>Electropolished Pipes Manufacturer in Gudivada</v>
      </c>
      <c r="AE399" s="15" t="str">
        <f t="shared" si="15"/>
        <v>Electropolished Pipe &amp; Tube Manufacturing for Gudivada - Grades, Finishes &amp; Certification</v>
      </c>
      <c r="AF399" s="15" t="str">
        <f t="shared" si="16"/>
        <v>Electropolished Pipes Supplier in Gudivada - Stock Sizes, Lead Time &amp; Delivery</v>
      </c>
      <c r="AG399" s="15" t="str">
        <f t="shared" si="17"/>
        <v>Electropolished Pipes Wholesaler &amp; Stockist in Gudivada - Bulk &amp; Project Pricing</v>
      </c>
      <c r="AH399" s="15" t="str">
        <f t="shared" si="18"/>
        <v>electropolished pipes manufacturer in Gudivada, electropolished pipes supplier in Gudivada, electropolished pipes wholesaler in Gudivada, electropolished tube manufacturer Gudivada, EP pipe supplier Gudivada, sanitary tube supplier Gudivada, ASME BPE tubing Gudivada, ASTM A270 tube Gudivada, SS 316L electropolished pipe Gudivada</v>
      </c>
      <c r="AI399" s="15" t="str">
        <f t="shared" si="19"/>
        <v>Electropolished Pipes Manufacturer &amp; Supplier in Gudivada</v>
      </c>
      <c r="AJ399" s="15" t="str">
        <f t="shared" si="20"/>
        <v>EP-finished SS 304/316L pipes and tubes for VERIFY plants in Gudivada. ASME BPE SF1-SF4, Ra from 0.25 um, EN 10204 3.1 certificate with every lot.</v>
      </c>
      <c r="AK399" s="15" t="str">
        <f t="shared" si="21"/>
        <v>Electropolished stainless steel pipes supplied by Sakshi Forge to VERIFY plants at APIIC Industrial Area, Gudivada</v>
      </c>
      <c r="AL399" s="15" t="str">
        <f t="shared" si="22"/>
        <v>Electropolished SS 316L tube stock for Gudivada - Sakshi Forge</v>
      </c>
      <c r="AM399" s="15" t="str">
        <f t="shared" si="23"/>
        <v>Home &gt; Market Area &gt; India &gt; Andhra Pradesh &gt; Gudivada</v>
      </c>
      <c r="AN399" s="15">
        <f t="shared" si="24"/>
        <v>1000</v>
      </c>
      <c r="AO399" s="15">
        <f t="shared" si="25"/>
        <v>8</v>
      </c>
      <c r="AP399" s="15">
        <f t="shared" si="26"/>
        <v>8</v>
      </c>
      <c r="AQ399" s="15">
        <f t="shared" si="27"/>
        <v>7</v>
      </c>
      <c r="AR399" s="31"/>
      <c r="AS399" s="31"/>
      <c r="AT399" s="35" t="s">
        <v>222</v>
      </c>
      <c r="AU399" s="35"/>
    </row>
    <row r="400" ht="15.75" customHeight="1">
      <c r="A400" s="15" t="s">
        <v>3296</v>
      </c>
      <c r="B400" s="15" t="s">
        <v>60</v>
      </c>
      <c r="C400" s="15" t="s">
        <v>958</v>
      </c>
      <c r="D400" s="15" t="s">
        <v>3297</v>
      </c>
      <c r="E400" s="15" t="s">
        <v>3297</v>
      </c>
      <c r="F400" s="65" t="s">
        <v>788</v>
      </c>
      <c r="G400" s="66" t="s">
        <v>98</v>
      </c>
      <c r="H400" s="18" t="s">
        <v>3299</v>
      </c>
      <c r="I400" s="18" t="s">
        <v>8403</v>
      </c>
      <c r="J400" s="18" t="s">
        <v>98</v>
      </c>
      <c r="K400" s="18" t="s">
        <v>98</v>
      </c>
      <c r="L400" s="18" t="s">
        <v>98</v>
      </c>
      <c r="M400" s="18" t="s">
        <v>98</v>
      </c>
      <c r="N400" s="18" t="s">
        <v>98</v>
      </c>
      <c r="O400" s="18" t="s">
        <v>98</v>
      </c>
      <c r="P400" s="15" t="str">
        <f t="shared" si="1"/>
        <v>VERIFY</v>
      </c>
      <c r="Q400" s="15">
        <f t="shared" si="2"/>
        <v>5</v>
      </c>
      <c r="R400" s="15">
        <f t="shared" si="3"/>
        <v>5</v>
      </c>
      <c r="S400" s="15">
        <f t="shared" si="4"/>
        <v>2</v>
      </c>
      <c r="T400" s="15" t="str">
        <f t="shared" si="5"/>
        <v>B-1</v>
      </c>
      <c r="U400" s="15" t="str">
        <f t="shared" si="6"/>
        <v>T5-M5-H2-FB-1-VERIFY</v>
      </c>
      <c r="V400" s="15">
        <f t="shared" si="7"/>
        <v>0</v>
      </c>
      <c r="W400" s="31"/>
      <c r="X400" s="15" t="str">
        <f t="shared" si="8"/>
        <v>gummidipoondi</v>
      </c>
      <c r="Y400" s="32" t="str">
        <f t="shared" si="9"/>
        <v>https://steelmanufacturer.in/market-area/electropolished-pipes-manufacturer-in-gummidipoondi/</v>
      </c>
      <c r="Z400" s="15" t="str">
        <f t="shared" si="10"/>
        <v>Electropolished Pipes Manufacturer in Gummidipoondi</v>
      </c>
      <c r="AA400" s="15" t="str">
        <f t="shared" si="11"/>
        <v>OK (51)</v>
      </c>
      <c r="AB400" s="15" t="str">
        <f t="shared" si="12"/>
        <v>Manufacturer of electropolished SS 316L tube serving Gummidipoondi. VERIFY. Ra 0.25-0.5 um, EN 10204 3.1 MTC.</v>
      </c>
      <c r="AC400" s="15" t="str">
        <f t="shared" si="13"/>
        <v>PENDING RESEARCH</v>
      </c>
      <c r="AD400" s="15" t="str">
        <f t="shared" si="14"/>
        <v>Electropolished Pipes Manufacturer in Gummidipoondi</v>
      </c>
      <c r="AE400" s="15" t="str">
        <f t="shared" si="15"/>
        <v>How We Manufacture Electropolished Tube for Gummidipoondi Plants</v>
      </c>
      <c r="AF400" s="15" t="str">
        <f t="shared" si="16"/>
        <v>Supplying Electropolished Pipes in Gummidipoondi: Availability, Sizes &amp; Dispatch</v>
      </c>
      <c r="AG400" s="15" t="str">
        <f t="shared" si="17"/>
        <v>Wholesale Electropolished Pipe Supply for Gummidipoondi Projects</v>
      </c>
      <c r="AH400" s="15" t="str">
        <f t="shared" si="18"/>
        <v>electropolished pipes manufacturer in Gummidipoondi, electropolished pipes supplier in Gummidipoondi, electropolished pipes wholesaler in Gummidipoondi, electropolished tube manufacturer Gummidipoondi, EP pipe supplier Gummidipoondi, sanitary tube supplier Gummidipoondi, ASME BPE tubing Gummidipoondi, ASTM A270 tube Gummidipoondi, SS 316L electropolished pipe Gummidipoondi</v>
      </c>
      <c r="AI400" s="15" t="str">
        <f t="shared" si="19"/>
        <v>Electropolished Pipes Manufacturer &amp; Supplier in Gummidipoondi</v>
      </c>
      <c r="AJ400" s="15" t="str">
        <f t="shared" si="20"/>
        <v>EP-finished SS 304/316L pipes and tubes for VERIFY plants in Gummidipoondi. ASME BPE SF1-SF4, Ra from 0.25 um, EN 10204 3.1 certificate with every lot.</v>
      </c>
      <c r="AK400" s="15" t="str">
        <f t="shared" si="21"/>
        <v>Electropolished stainless steel pipes supplied by Sakshi Forge to VERIFY plants at SIPCOT Industrial Area, Gummidipoondi</v>
      </c>
      <c r="AL400" s="15" t="str">
        <f t="shared" si="22"/>
        <v>Electropolished SS 316L tube stock for Gummidipoondi - Sakshi Forge</v>
      </c>
      <c r="AM400" s="15" t="str">
        <f t="shared" si="23"/>
        <v>Home &gt; Market Area &gt; India &gt; Tamil Nadu &gt; Gummidipoondi</v>
      </c>
      <c r="AN400" s="15">
        <f t="shared" si="24"/>
        <v>1000</v>
      </c>
      <c r="AO400" s="15">
        <f t="shared" si="25"/>
        <v>8</v>
      </c>
      <c r="AP400" s="15">
        <f t="shared" si="26"/>
        <v>8</v>
      </c>
      <c r="AQ400" s="15">
        <f t="shared" si="27"/>
        <v>7</v>
      </c>
      <c r="AR400" s="31"/>
      <c r="AS400" s="31"/>
      <c r="AT400" s="35" t="s">
        <v>222</v>
      </c>
      <c r="AU400" s="35"/>
    </row>
    <row r="401" ht="15.75" customHeight="1">
      <c r="A401" s="15" t="s">
        <v>3300</v>
      </c>
      <c r="B401" s="15" t="s">
        <v>60</v>
      </c>
      <c r="C401" s="15" t="s">
        <v>842</v>
      </c>
      <c r="D401" s="15" t="s">
        <v>3301</v>
      </c>
      <c r="E401" s="15" t="s">
        <v>3301</v>
      </c>
      <c r="F401" s="65" t="s">
        <v>788</v>
      </c>
      <c r="G401" s="66" t="s">
        <v>98</v>
      </c>
      <c r="H401" s="18" t="s">
        <v>3303</v>
      </c>
      <c r="I401" s="18" t="s">
        <v>8413</v>
      </c>
      <c r="J401" s="18" t="s">
        <v>98</v>
      </c>
      <c r="K401" s="18" t="s">
        <v>98</v>
      </c>
      <c r="L401" s="18" t="s">
        <v>98</v>
      </c>
      <c r="M401" s="18" t="s">
        <v>98</v>
      </c>
      <c r="N401" s="18" t="s">
        <v>98</v>
      </c>
      <c r="O401" s="18" t="s">
        <v>98</v>
      </c>
      <c r="P401" s="15" t="str">
        <f t="shared" si="1"/>
        <v>VERIFY</v>
      </c>
      <c r="Q401" s="15">
        <f t="shared" si="2"/>
        <v>6</v>
      </c>
      <c r="R401" s="15">
        <f t="shared" si="3"/>
        <v>6</v>
      </c>
      <c r="S401" s="15">
        <f t="shared" si="4"/>
        <v>3</v>
      </c>
      <c r="T401" s="15" t="str">
        <f t="shared" si="5"/>
        <v>B-2</v>
      </c>
      <c r="U401" s="15" t="str">
        <f t="shared" si="6"/>
        <v>T6-M6-H3-FB-2-VERIFY</v>
      </c>
      <c r="V401" s="15">
        <f t="shared" si="7"/>
        <v>0</v>
      </c>
      <c r="W401" s="31"/>
      <c r="X401" s="15" t="str">
        <f t="shared" si="8"/>
        <v>guna</v>
      </c>
      <c r="Y401" s="32" t="str">
        <f t="shared" si="9"/>
        <v>https://steelmanufacturer.in/market-area/electropolished-pipes-manufacturer-in-guna/</v>
      </c>
      <c r="Z401" s="15" t="str">
        <f t="shared" si="10"/>
        <v>Electropolished Pipes Manufacturer in Guna</v>
      </c>
      <c r="AA401" s="15" t="str">
        <f t="shared" si="11"/>
        <v>OK (42)</v>
      </c>
      <c r="AB401" s="15" t="str">
        <f t="shared" si="12"/>
        <v>EP tube and pipe for VERIFY plants around MPIDC Industrial Area, Guna. Made at our Mumbai works to ASTM A270 and ASME BPE SF1-SF4, with 3.1 MTC.</v>
      </c>
      <c r="AC401" s="15" t="str">
        <f t="shared" si="13"/>
        <v>PENDING RESEARCH</v>
      </c>
      <c r="AD401" s="15" t="str">
        <f t="shared" si="14"/>
        <v>Electropolished Pipes Manufacturer in Guna</v>
      </c>
      <c r="AE401" s="15" t="str">
        <f t="shared" si="15"/>
        <v>Electropolished Pipes Manufacturer in Guna - Our Process &amp; Capability</v>
      </c>
      <c r="AF401" s="15" t="str">
        <f t="shared" si="16"/>
        <v>Electropolished Pipes Supplier in Guna - What We Hold in Stock</v>
      </c>
      <c r="AG401" s="15" t="str">
        <f t="shared" si="17"/>
        <v>Bulk &amp; Wholesale Electropolished Pipe Rates for Guna Buyers</v>
      </c>
      <c r="AH401" s="15" t="str">
        <f t="shared" si="18"/>
        <v>electropolished pipes manufacturer in Guna, electropolished pipes supplier in Guna, electropolished pipes wholesaler in Guna, electropolished tube manufacturer Guna, EP pipe supplier Guna, sanitary tube supplier Guna, ASME BPE tubing Guna, ASTM A270 tube Guna, SS 316L electropolished pipe Guna</v>
      </c>
      <c r="AI401" s="15" t="str">
        <f t="shared" si="19"/>
        <v>Electropolished Pipes Manufacturer &amp; Supplier in Guna</v>
      </c>
      <c r="AJ401" s="15" t="str">
        <f t="shared" si="20"/>
        <v>EP-finished SS 304/316L pipes and tubes for VERIFY plants in Guna. ASME BPE SF1-SF4, Ra from 0.25 um, EN 10204 3.1 certificate with every lot.</v>
      </c>
      <c r="AK401" s="15" t="str">
        <f t="shared" si="21"/>
        <v>Electropolished stainless steel pipes supplied by Sakshi Forge to VERIFY plants at MPIDC Industrial Area, Guna</v>
      </c>
      <c r="AL401" s="15" t="str">
        <f t="shared" si="22"/>
        <v>Electropolished SS 316L tube stock for Guna - Sakshi Forge</v>
      </c>
      <c r="AM401" s="15" t="str">
        <f t="shared" si="23"/>
        <v>Home &gt; Market Area &gt; India &gt; Madhya Pradesh &gt; Guna</v>
      </c>
      <c r="AN401" s="15">
        <f t="shared" si="24"/>
        <v>1000</v>
      </c>
      <c r="AO401" s="15">
        <f t="shared" si="25"/>
        <v>8</v>
      </c>
      <c r="AP401" s="15">
        <f t="shared" si="26"/>
        <v>8</v>
      </c>
      <c r="AQ401" s="15">
        <f t="shared" si="27"/>
        <v>7</v>
      </c>
      <c r="AR401" s="31"/>
      <c r="AS401" s="31"/>
      <c r="AT401" s="35" t="s">
        <v>222</v>
      </c>
      <c r="AU401" s="35"/>
    </row>
    <row r="402" ht="15.75" customHeight="1">
      <c r="A402" s="15" t="s">
        <v>3304</v>
      </c>
      <c r="B402" s="15" t="s">
        <v>60</v>
      </c>
      <c r="C402" s="15" t="s">
        <v>413</v>
      </c>
      <c r="D402" s="15" t="s">
        <v>3305</v>
      </c>
      <c r="E402" s="15" t="s">
        <v>3305</v>
      </c>
      <c r="F402" s="65" t="s">
        <v>788</v>
      </c>
      <c r="G402" s="66" t="s">
        <v>98</v>
      </c>
      <c r="H402" s="18" t="s">
        <v>3307</v>
      </c>
      <c r="I402" s="18" t="s">
        <v>8393</v>
      </c>
      <c r="J402" s="18" t="s">
        <v>98</v>
      </c>
      <c r="K402" s="18" t="s">
        <v>98</v>
      </c>
      <c r="L402" s="18" t="s">
        <v>98</v>
      </c>
      <c r="M402" s="18" t="s">
        <v>98</v>
      </c>
      <c r="N402" s="18" t="s">
        <v>98</v>
      </c>
      <c r="O402" s="18" t="s">
        <v>98</v>
      </c>
      <c r="P402" s="15" t="str">
        <f t="shared" si="1"/>
        <v>VERIFY</v>
      </c>
      <c r="Q402" s="15">
        <f t="shared" si="2"/>
        <v>7</v>
      </c>
      <c r="R402" s="15">
        <f t="shared" si="3"/>
        <v>7</v>
      </c>
      <c r="S402" s="15">
        <f t="shared" si="4"/>
        <v>4</v>
      </c>
      <c r="T402" s="15" t="str">
        <f t="shared" si="5"/>
        <v>B-3</v>
      </c>
      <c r="U402" s="15" t="str">
        <f t="shared" si="6"/>
        <v>T7-M7-H4-FB-3-VERIFY</v>
      </c>
      <c r="V402" s="15">
        <f t="shared" si="7"/>
        <v>0</v>
      </c>
      <c r="W402" s="31"/>
      <c r="X402" s="15" t="str">
        <f t="shared" si="8"/>
        <v>guntur</v>
      </c>
      <c r="Y402" s="32" t="str">
        <f t="shared" si="9"/>
        <v>https://steelmanufacturer.in/market-area/electropolished-pipes-manufacturer-in-guntur/</v>
      </c>
      <c r="Z402" s="15" t="str">
        <f t="shared" si="10"/>
        <v>Electropolished Pipes Manufacturer in Guntur | ASME BPE SF1-SF4</v>
      </c>
      <c r="AA402" s="15" t="str">
        <f t="shared" si="11"/>
        <v>OK (63)</v>
      </c>
      <c r="AB402" s="15" t="str">
        <f t="shared" si="12"/>
        <v>Electropolished pipes in Guntur: 304, 304L, 316 and 316L in SF1-SF4. VERIFY. Mill certified.</v>
      </c>
      <c r="AC402" s="15" t="str">
        <f t="shared" si="13"/>
        <v>PENDING RESEARCH</v>
      </c>
      <c r="AD402" s="15" t="str">
        <f t="shared" si="14"/>
        <v>Electropolished Pipes Manufacturer in Guntur</v>
      </c>
      <c r="AE402" s="15" t="str">
        <f t="shared" si="15"/>
        <v>Manufacturing Electropolished SS Tube for Guntur: The Standards We Build To</v>
      </c>
      <c r="AF402" s="15" t="str">
        <f t="shared" si="16"/>
        <v>Electropolished Pipe Supply Into Guntur - Certification &amp; Transit</v>
      </c>
      <c r="AG402" s="15" t="str">
        <f t="shared" si="17"/>
        <v>Electropolished Pipes Wholesaler in Guntur - Project Quantities &amp; Terms</v>
      </c>
      <c r="AH402" s="15" t="str">
        <f t="shared" si="18"/>
        <v>electropolished pipes manufacturer in Guntur, electropolished pipes supplier in Guntur, electropolished pipes wholesaler in Guntur, electropolished tube manufacturer Guntur, EP pipe supplier Guntur, sanitary tube supplier Guntur, ASME BPE tubing Guntur, ASTM A270 tube Guntur, SS 316L electropolished pipe Guntur</v>
      </c>
      <c r="AI402" s="15" t="str">
        <f t="shared" si="19"/>
        <v>Electropolished Pipes Manufacturer &amp; Supplier in Guntur</v>
      </c>
      <c r="AJ402" s="15" t="str">
        <f t="shared" si="20"/>
        <v>EP-finished SS 304/316L pipes and tubes for VERIFY plants in Guntur. ASME BPE SF1-SF4, Ra from 0.25 um, EN 10204 3.1 certificate with every lot.</v>
      </c>
      <c r="AK402" s="15" t="str">
        <f t="shared" si="21"/>
        <v>Electropolished stainless steel pipes supplied by Sakshi Forge to VERIFY plants at APIIC Industrial Area, Guntur</v>
      </c>
      <c r="AL402" s="15" t="str">
        <f t="shared" si="22"/>
        <v>Electropolished SS 316L tube stock for Guntur - Sakshi Forge</v>
      </c>
      <c r="AM402" s="15" t="str">
        <f t="shared" si="23"/>
        <v>Home &gt; Market Area &gt; India &gt; Andhra Pradesh &gt; Guntur</v>
      </c>
      <c r="AN402" s="15">
        <f t="shared" si="24"/>
        <v>1000</v>
      </c>
      <c r="AO402" s="15">
        <f t="shared" si="25"/>
        <v>8</v>
      </c>
      <c r="AP402" s="15">
        <f t="shared" si="26"/>
        <v>8</v>
      </c>
      <c r="AQ402" s="15">
        <f t="shared" si="27"/>
        <v>7</v>
      </c>
      <c r="AR402" s="31"/>
      <c r="AS402" s="31"/>
      <c r="AT402" s="35" t="s">
        <v>222</v>
      </c>
      <c r="AU402" s="35"/>
    </row>
    <row r="403" ht="15.75" customHeight="1">
      <c r="A403" s="15" t="s">
        <v>3308</v>
      </c>
      <c r="B403" s="15" t="s">
        <v>60</v>
      </c>
      <c r="C403" s="15" t="s">
        <v>842</v>
      </c>
      <c r="D403" s="15" t="s">
        <v>3311</v>
      </c>
      <c r="E403" s="15" t="s">
        <v>3311</v>
      </c>
      <c r="F403" s="65" t="s">
        <v>788</v>
      </c>
      <c r="G403" s="66" t="s">
        <v>98</v>
      </c>
      <c r="H403" s="18" t="s">
        <v>3317</v>
      </c>
      <c r="I403" s="18" t="s">
        <v>8413</v>
      </c>
      <c r="J403" s="18" t="s">
        <v>98</v>
      </c>
      <c r="K403" s="18" t="s">
        <v>98</v>
      </c>
      <c r="L403" s="18" t="s">
        <v>98</v>
      </c>
      <c r="M403" s="18" t="s">
        <v>98</v>
      </c>
      <c r="N403" s="18" t="s">
        <v>98</v>
      </c>
      <c r="O403" s="18" t="s">
        <v>98</v>
      </c>
      <c r="P403" s="15" t="str">
        <f t="shared" si="1"/>
        <v>VERIFY</v>
      </c>
      <c r="Q403" s="15">
        <f t="shared" si="2"/>
        <v>8</v>
      </c>
      <c r="R403" s="15">
        <f t="shared" si="3"/>
        <v>1</v>
      </c>
      <c r="S403" s="15">
        <f t="shared" si="4"/>
        <v>5</v>
      </c>
      <c r="T403" s="15" t="str">
        <f t="shared" si="5"/>
        <v>B-4</v>
      </c>
      <c r="U403" s="15" t="str">
        <f t="shared" si="6"/>
        <v>T8-M1-H5-FB-4-VERIFY</v>
      </c>
      <c r="V403" s="15">
        <f t="shared" si="7"/>
        <v>0</v>
      </c>
      <c r="W403" s="31"/>
      <c r="X403" s="15" t="str">
        <f t="shared" si="8"/>
        <v>gwalior</v>
      </c>
      <c r="Y403" s="32" t="str">
        <f t="shared" si="9"/>
        <v>https://steelmanufacturer.in/market-area/electropolished-pipes-manufacturer-in-gwalior/</v>
      </c>
      <c r="Z403" s="15" t="str">
        <f t="shared" si="10"/>
        <v>Electropolished Pipes Manufacturer in Gwalior - EP Tube Stockist</v>
      </c>
      <c r="AA403" s="15" t="str">
        <f t="shared" si="11"/>
        <v>OK (64)</v>
      </c>
      <c r="AB403" s="15" t="str">
        <f t="shared" si="12"/>
        <v>EP-finished SS 304/316L pipes &amp; tubes for VERIFY plants in Gwalior. ASTM A270, ASME BPE SF1-SF4, EN 10204 3.1 MTC. PMI tested.</v>
      </c>
      <c r="AC403" s="15" t="str">
        <f t="shared" si="13"/>
        <v>PENDING RESEARCH</v>
      </c>
      <c r="AD403" s="15" t="str">
        <f t="shared" si="14"/>
        <v>Electropolished Pipes Manufacturer in Gwalior</v>
      </c>
      <c r="AE403" s="15" t="str">
        <f t="shared" si="15"/>
        <v>Electropolished Tube Manufacturing Capability Serving Gwalior</v>
      </c>
      <c r="AF403" s="15" t="str">
        <f t="shared" si="16"/>
        <v>Electropolished Pipes Supplier in Gwalior - From Order to Delivery</v>
      </c>
      <c r="AG403" s="15" t="str">
        <f t="shared" si="17"/>
        <v>Stockist &amp; Wholesale Supply of Electropolished Pipes in Gwalior</v>
      </c>
      <c r="AH403" s="15" t="str">
        <f t="shared" si="18"/>
        <v>electropolished pipes manufacturer in Gwalior, electropolished pipes supplier in Gwalior, electropolished pipes wholesaler in Gwalior, electropolished tube manufacturer Gwalior, EP pipe supplier Gwalior, sanitary tube supplier Gwalior, ASME BPE tubing Gwalior, ASTM A270 tube Gwalior, SS 316L electropolished pipe Gwalior</v>
      </c>
      <c r="AI403" s="15" t="str">
        <f t="shared" si="19"/>
        <v>Electropolished Pipes Manufacturer &amp; Supplier in Gwalior</v>
      </c>
      <c r="AJ403" s="15" t="str">
        <f t="shared" si="20"/>
        <v>EP-finished SS 304/316L pipes and tubes for VERIFY plants in Gwalior. ASME BPE SF1-SF4, Ra from 0.25 um, EN 10204 3.1 certificate with every lot.</v>
      </c>
      <c r="AK403" s="15" t="str">
        <f t="shared" si="21"/>
        <v>Electropolished stainless steel pipes supplied by Sakshi Forge to VERIFY plants at MPIDC Industrial Area, Gwalior</v>
      </c>
      <c r="AL403" s="15" t="str">
        <f t="shared" si="22"/>
        <v>Electropolished SS 316L tube stock for Gwalior - Sakshi Forge</v>
      </c>
      <c r="AM403" s="15" t="str">
        <f t="shared" si="23"/>
        <v>Home &gt; Market Area &gt; India &gt; Madhya Pradesh &gt; Gwalior</v>
      </c>
      <c r="AN403" s="15">
        <f t="shared" si="24"/>
        <v>1000</v>
      </c>
      <c r="AO403" s="15">
        <f t="shared" si="25"/>
        <v>8</v>
      </c>
      <c r="AP403" s="15">
        <f t="shared" si="26"/>
        <v>8</v>
      </c>
      <c r="AQ403" s="15">
        <f t="shared" si="27"/>
        <v>7</v>
      </c>
      <c r="AR403" s="31"/>
      <c r="AS403" s="31"/>
      <c r="AT403" s="35" t="s">
        <v>222</v>
      </c>
      <c r="AU403" s="35"/>
    </row>
    <row r="404" ht="15.75" customHeight="1">
      <c r="A404" s="15" t="s">
        <v>3318</v>
      </c>
      <c r="B404" s="15" t="s">
        <v>60</v>
      </c>
      <c r="C404" s="15" t="s">
        <v>1818</v>
      </c>
      <c r="D404" s="15" t="s">
        <v>3319</v>
      </c>
      <c r="E404" s="15" t="s">
        <v>3319</v>
      </c>
      <c r="F404" s="65" t="s">
        <v>788</v>
      </c>
      <c r="G404" s="66" t="s">
        <v>98</v>
      </c>
      <c r="H404" s="18" t="s">
        <v>3322</v>
      </c>
      <c r="I404" s="18" t="s">
        <v>8402</v>
      </c>
      <c r="J404" s="18" t="s">
        <v>98</v>
      </c>
      <c r="K404" s="18" t="s">
        <v>98</v>
      </c>
      <c r="L404" s="18" t="s">
        <v>98</v>
      </c>
      <c r="M404" s="18" t="s">
        <v>98</v>
      </c>
      <c r="N404" s="18" t="s">
        <v>98</v>
      </c>
      <c r="O404" s="18" t="s">
        <v>98</v>
      </c>
      <c r="P404" s="15" t="str">
        <f t="shared" si="1"/>
        <v>VERIFY</v>
      </c>
      <c r="Q404" s="15">
        <f t="shared" si="2"/>
        <v>1</v>
      </c>
      <c r="R404" s="15">
        <f t="shared" si="3"/>
        <v>2</v>
      </c>
      <c r="S404" s="15">
        <f t="shared" si="4"/>
        <v>1</v>
      </c>
      <c r="T404" s="15" t="str">
        <f t="shared" si="5"/>
        <v>B-5</v>
      </c>
      <c r="U404" s="15" t="str">
        <f t="shared" si="6"/>
        <v>T1-M2-H1-FB-5-VERIFY</v>
      </c>
      <c r="V404" s="15">
        <f t="shared" si="7"/>
        <v>0</v>
      </c>
      <c r="W404" s="31"/>
      <c r="X404" s="15" t="str">
        <f t="shared" si="8"/>
        <v>hajipur</v>
      </c>
      <c r="Y404" s="32" t="str">
        <f t="shared" si="9"/>
        <v>https://steelmanufacturer.in/market-area/electropolished-pipes-manufacturer-in-hajipur/</v>
      </c>
      <c r="Z404" s="15" t="str">
        <f t="shared" si="10"/>
        <v>Electropolished Pipes Manufacturer in Hajipur | Sakshi Forge</v>
      </c>
      <c r="AA404" s="15" t="str">
        <f t="shared" si="11"/>
        <v>OK (60)</v>
      </c>
      <c r="AB404" s="15" t="str">
        <f t="shared" si="12"/>
        <v>Electropolished tube supply to BIADA Industrial Area, Hajipur. Ra from 0.25 um, SF4 finish, mill test certificate with every lot.</v>
      </c>
      <c r="AC404" s="15" t="str">
        <f t="shared" si="13"/>
        <v>PENDING RESEARCH</v>
      </c>
      <c r="AD404" s="15" t="str">
        <f t="shared" si="14"/>
        <v>Electropolished Pipes Manufacturer in Hajipur</v>
      </c>
      <c r="AE404" s="15" t="str">
        <f t="shared" si="15"/>
        <v>Electropolished Pipe &amp; Tube Manufacturing for Hajipur - Grades, Finishes &amp; Certification</v>
      </c>
      <c r="AF404" s="15" t="str">
        <f t="shared" si="16"/>
        <v>Electropolished Pipes Supplier in Hajipur - Stock Sizes, Lead Time &amp; Delivery</v>
      </c>
      <c r="AG404" s="15" t="str">
        <f t="shared" si="17"/>
        <v>Electropolished Pipes Wholesaler &amp; Stockist in Hajipur - Bulk &amp; Project Pricing</v>
      </c>
      <c r="AH404" s="15" t="str">
        <f t="shared" si="18"/>
        <v>electropolished pipes manufacturer in Hajipur, electropolished pipes supplier in Hajipur, electropolished pipes wholesaler in Hajipur, electropolished tube manufacturer Hajipur, EP pipe supplier Hajipur, sanitary tube supplier Hajipur, ASME BPE tubing Hajipur, ASTM A270 tube Hajipur, SS 316L electropolished pipe Hajipur</v>
      </c>
      <c r="AI404" s="15" t="str">
        <f t="shared" si="19"/>
        <v>Electropolished Pipes Manufacturer &amp; Supplier in Hajipur</v>
      </c>
      <c r="AJ404" s="15" t="str">
        <f t="shared" si="20"/>
        <v>EP-finished SS 304/316L pipes and tubes for VERIFY plants in Hajipur. ASME BPE SF1-SF4, Ra from 0.25 um, EN 10204 3.1 certificate with every lot.</v>
      </c>
      <c r="AK404" s="15" t="str">
        <f t="shared" si="21"/>
        <v>Electropolished stainless steel pipes supplied by Sakshi Forge to VERIFY plants at BIADA Industrial Area, Hajipur</v>
      </c>
      <c r="AL404" s="15" t="str">
        <f t="shared" si="22"/>
        <v>Electropolished SS 316L tube stock for Hajipur - Sakshi Forge</v>
      </c>
      <c r="AM404" s="15" t="str">
        <f t="shared" si="23"/>
        <v>Home &gt; Market Area &gt; India &gt; Bihar &gt; Hajipur</v>
      </c>
      <c r="AN404" s="15">
        <f t="shared" si="24"/>
        <v>1000</v>
      </c>
      <c r="AO404" s="15">
        <f t="shared" si="25"/>
        <v>8</v>
      </c>
      <c r="AP404" s="15">
        <f t="shared" si="26"/>
        <v>8</v>
      </c>
      <c r="AQ404" s="15">
        <f t="shared" si="27"/>
        <v>7</v>
      </c>
      <c r="AR404" s="31"/>
      <c r="AS404" s="31"/>
      <c r="AT404" s="35" t="s">
        <v>222</v>
      </c>
      <c r="AU404" s="35"/>
    </row>
    <row r="405" ht="15.75" customHeight="1">
      <c r="A405" s="15" t="s">
        <v>3324</v>
      </c>
      <c r="B405" s="15" t="s">
        <v>60</v>
      </c>
      <c r="C405" s="15" t="s">
        <v>1139</v>
      </c>
      <c r="D405" s="15" t="s">
        <v>3325</v>
      </c>
      <c r="E405" s="15" t="s">
        <v>3325</v>
      </c>
      <c r="F405" s="65" t="s">
        <v>788</v>
      </c>
      <c r="G405" s="66" t="s">
        <v>98</v>
      </c>
      <c r="H405" s="18" t="s">
        <v>3327</v>
      </c>
      <c r="I405" s="18" t="s">
        <v>8410</v>
      </c>
      <c r="J405" s="18" t="s">
        <v>98</v>
      </c>
      <c r="K405" s="18" t="s">
        <v>98</v>
      </c>
      <c r="L405" s="18" t="s">
        <v>98</v>
      </c>
      <c r="M405" s="18" t="s">
        <v>98</v>
      </c>
      <c r="N405" s="18" t="s">
        <v>98</v>
      </c>
      <c r="O405" s="18" t="s">
        <v>98</v>
      </c>
      <c r="P405" s="15" t="str">
        <f t="shared" si="1"/>
        <v>VERIFY</v>
      </c>
      <c r="Q405" s="15">
        <f t="shared" si="2"/>
        <v>2</v>
      </c>
      <c r="R405" s="15">
        <f t="shared" si="3"/>
        <v>3</v>
      </c>
      <c r="S405" s="15">
        <f t="shared" si="4"/>
        <v>2</v>
      </c>
      <c r="T405" s="15" t="str">
        <f t="shared" si="5"/>
        <v>B-6</v>
      </c>
      <c r="U405" s="15" t="str">
        <f t="shared" si="6"/>
        <v>T2-M3-H2-FB-6-VERIFY</v>
      </c>
      <c r="V405" s="15">
        <f t="shared" si="7"/>
        <v>0</v>
      </c>
      <c r="W405" s="31"/>
      <c r="X405" s="15" t="str">
        <f t="shared" si="8"/>
        <v>haldwani</v>
      </c>
      <c r="Y405" s="32" t="str">
        <f t="shared" si="9"/>
        <v>https://steelmanufacturer.in/market-area/electropolished-pipes-manufacturer-in-haldwani/</v>
      </c>
      <c r="Z405" s="15" t="str">
        <f t="shared" si="10"/>
        <v>Electropolished Pipes Manufacturer in Haldwani</v>
      </c>
      <c r="AA405" s="15" t="str">
        <f t="shared" si="11"/>
        <v>OK (46)</v>
      </c>
      <c r="AB405" s="15" t="str">
        <f t="shared" si="12"/>
        <v>EP stainless tube for VERIFY lines in Haldwani. VERIFY. ASTM A270 S2, PMI tested, EN 10204 3.1.</v>
      </c>
      <c r="AC405" s="15" t="str">
        <f t="shared" si="13"/>
        <v>PENDING RESEARCH</v>
      </c>
      <c r="AD405" s="15" t="str">
        <f t="shared" si="14"/>
        <v>Electropolished Pipes Manufacturer in Haldwani</v>
      </c>
      <c r="AE405" s="15" t="str">
        <f t="shared" si="15"/>
        <v>How We Manufacture Electropolished Tube for Haldwani Plants</v>
      </c>
      <c r="AF405" s="15" t="str">
        <f t="shared" si="16"/>
        <v>Supplying Electropolished Pipes in Haldwani: Availability, Sizes &amp; Dispatch</v>
      </c>
      <c r="AG405" s="15" t="str">
        <f t="shared" si="17"/>
        <v>Wholesale Electropolished Pipe Supply for Haldwani Projects</v>
      </c>
      <c r="AH405" s="15" t="str">
        <f t="shared" si="18"/>
        <v>electropolished pipes manufacturer in Haldwani, electropolished pipes supplier in Haldwani, electropolished pipes wholesaler in Haldwani, electropolished tube manufacturer Haldwani, EP pipe supplier Haldwani, sanitary tube supplier Haldwani, ASME BPE tubing Haldwani, ASTM A270 tube Haldwani, SS 316L electropolished pipe Haldwani</v>
      </c>
      <c r="AI405" s="15" t="str">
        <f t="shared" si="19"/>
        <v>Electropolished Pipes Manufacturer &amp; Supplier in Haldwani</v>
      </c>
      <c r="AJ405" s="15" t="str">
        <f t="shared" si="20"/>
        <v>EP-finished SS 304/316L pipes and tubes for VERIFY plants in Haldwani. ASME BPE SF1-SF4, Ra from 0.25 um, EN 10204 3.1 certificate with every lot.</v>
      </c>
      <c r="AK405" s="15" t="str">
        <f t="shared" si="21"/>
        <v>Electropolished stainless steel pipes supplied by Sakshi Forge to VERIFY plants at SIIDCUL Industrial Area, Haldwani</v>
      </c>
      <c r="AL405" s="15" t="str">
        <f t="shared" si="22"/>
        <v>Electropolished SS 316L tube stock for Haldwani - Sakshi Forge</v>
      </c>
      <c r="AM405" s="15" t="str">
        <f t="shared" si="23"/>
        <v>Home &gt; Market Area &gt; India &gt; Uttarakhand &gt; Haldwani</v>
      </c>
      <c r="AN405" s="15">
        <f t="shared" si="24"/>
        <v>1000</v>
      </c>
      <c r="AO405" s="15">
        <f t="shared" si="25"/>
        <v>8</v>
      </c>
      <c r="AP405" s="15">
        <f t="shared" si="26"/>
        <v>8</v>
      </c>
      <c r="AQ405" s="15">
        <f t="shared" si="27"/>
        <v>7</v>
      </c>
      <c r="AR405" s="31"/>
      <c r="AS405" s="31"/>
      <c r="AT405" s="35" t="s">
        <v>222</v>
      </c>
      <c r="AU405" s="35"/>
    </row>
    <row r="406" ht="15.75" customHeight="1">
      <c r="A406" s="15" t="s">
        <v>3328</v>
      </c>
      <c r="B406" s="15" t="s">
        <v>60</v>
      </c>
      <c r="C406" s="15" t="s">
        <v>447</v>
      </c>
      <c r="D406" s="15" t="s">
        <v>3329</v>
      </c>
      <c r="E406" s="15" t="s">
        <v>3329</v>
      </c>
      <c r="F406" s="65" t="s">
        <v>788</v>
      </c>
      <c r="G406" s="66" t="s">
        <v>98</v>
      </c>
      <c r="H406" s="18" t="s">
        <v>3331</v>
      </c>
      <c r="I406" s="18" t="s">
        <v>8411</v>
      </c>
      <c r="J406" s="18" t="s">
        <v>98</v>
      </c>
      <c r="K406" s="18" t="s">
        <v>98</v>
      </c>
      <c r="L406" s="18" t="s">
        <v>98</v>
      </c>
      <c r="M406" s="18" t="s">
        <v>98</v>
      </c>
      <c r="N406" s="18" t="s">
        <v>98</v>
      </c>
      <c r="O406" s="18" t="s">
        <v>98</v>
      </c>
      <c r="P406" s="15" t="str">
        <f t="shared" si="1"/>
        <v>VERIFY</v>
      </c>
      <c r="Q406" s="15">
        <f t="shared" si="2"/>
        <v>3</v>
      </c>
      <c r="R406" s="15">
        <f t="shared" si="3"/>
        <v>4</v>
      </c>
      <c r="S406" s="15">
        <f t="shared" si="4"/>
        <v>3</v>
      </c>
      <c r="T406" s="15" t="str">
        <f t="shared" si="5"/>
        <v>B-1</v>
      </c>
      <c r="U406" s="15" t="str">
        <f t="shared" si="6"/>
        <v>T3-M4-H3-FB-1-VERIFY</v>
      </c>
      <c r="V406" s="15">
        <f t="shared" si="7"/>
        <v>0</v>
      </c>
      <c r="W406" s="31"/>
      <c r="X406" s="15" t="str">
        <f t="shared" si="8"/>
        <v>hamirpur</v>
      </c>
      <c r="Y406" s="32" t="str">
        <f t="shared" si="9"/>
        <v>https://steelmanufacturer.in/market-area/electropolished-pipes-manufacturer-in-hamirpur/</v>
      </c>
      <c r="Z406" s="15" t="str">
        <f t="shared" si="10"/>
        <v>Electropolished Pipes Manufacturer in Hamirpur | EP Tube Supplier</v>
      </c>
      <c r="AA406" s="15" t="str">
        <f t="shared" si="11"/>
        <v>OK (65)</v>
      </c>
      <c r="AB406" s="15" t="str">
        <f t="shared" si="12"/>
        <v>Sanitary electropolished pipes in Hamirpur for VERIFY plants. ASME BPE SF1-SF4, orbital-weld ready, 3.1 MTC. Mumbai-made.</v>
      </c>
      <c r="AC406" s="15" t="str">
        <f t="shared" si="13"/>
        <v>PENDING RESEARCH</v>
      </c>
      <c r="AD406" s="15" t="str">
        <f t="shared" si="14"/>
        <v>Electropolished Pipes Manufacturer in Hamirpur</v>
      </c>
      <c r="AE406" s="15" t="str">
        <f t="shared" si="15"/>
        <v>Electropolished Pipes Manufacturer in Hamirpur - Our Process &amp; Capability</v>
      </c>
      <c r="AF406" s="15" t="str">
        <f t="shared" si="16"/>
        <v>Electropolished Pipes Supplier in Hamirpur - What We Hold in Stock</v>
      </c>
      <c r="AG406" s="15" t="str">
        <f t="shared" si="17"/>
        <v>Bulk &amp; Wholesale Electropolished Pipe Rates for Hamirpur Buyers</v>
      </c>
      <c r="AH406" s="15" t="str">
        <f t="shared" si="18"/>
        <v>electropolished pipes manufacturer in Hamirpur, electropolished pipes supplier in Hamirpur, electropolished pipes wholesaler in Hamirpur, electropolished tube manufacturer Hamirpur, EP pipe supplier Hamirpur, sanitary tube supplier Hamirpur, ASME BPE tubing Hamirpur, ASTM A270 tube Hamirpur, SS 316L electropolished pipe Hamirpur</v>
      </c>
      <c r="AI406" s="15" t="str">
        <f t="shared" si="19"/>
        <v>Electropolished Pipes Manufacturer &amp; Supplier in Hamirpur</v>
      </c>
      <c r="AJ406" s="15" t="str">
        <f t="shared" si="20"/>
        <v>EP-finished SS 304/316L pipes and tubes for VERIFY plants in Hamirpur. ASME BPE SF1-SF4, Ra from 0.25 um, EN 10204 3.1 certificate with every lot.</v>
      </c>
      <c r="AK406" s="15" t="str">
        <f t="shared" si="21"/>
        <v>Electropolished stainless steel pipes supplied by Sakshi Forge to VERIFY plants at HPSIDC Industrial Area, Hamirpur</v>
      </c>
      <c r="AL406" s="15" t="str">
        <f t="shared" si="22"/>
        <v>Electropolished SS 316L tube stock for Hamirpur - Sakshi Forge</v>
      </c>
      <c r="AM406" s="15" t="str">
        <f t="shared" si="23"/>
        <v>Home &gt; Market Area &gt; India &gt; Himachal Pradesh &gt; Hamirpur</v>
      </c>
      <c r="AN406" s="15">
        <f t="shared" si="24"/>
        <v>1000</v>
      </c>
      <c r="AO406" s="15">
        <f t="shared" si="25"/>
        <v>8</v>
      </c>
      <c r="AP406" s="15">
        <f t="shared" si="26"/>
        <v>8</v>
      </c>
      <c r="AQ406" s="15">
        <f t="shared" si="27"/>
        <v>7</v>
      </c>
      <c r="AR406" s="31"/>
      <c r="AS406" s="31"/>
      <c r="AT406" s="35" t="s">
        <v>222</v>
      </c>
      <c r="AU406" s="35"/>
    </row>
    <row r="407" ht="15.75" customHeight="1">
      <c r="A407" s="15" t="s">
        <v>3332</v>
      </c>
      <c r="B407" s="15" t="s">
        <v>60</v>
      </c>
      <c r="C407" s="15" t="s">
        <v>236</v>
      </c>
      <c r="D407" s="15" t="s">
        <v>3333</v>
      </c>
      <c r="E407" s="15" t="s">
        <v>3333</v>
      </c>
      <c r="F407" s="65" t="s">
        <v>788</v>
      </c>
      <c r="G407" s="66" t="s">
        <v>98</v>
      </c>
      <c r="H407" s="18" t="s">
        <v>3335</v>
      </c>
      <c r="I407" s="18" t="s">
        <v>8391</v>
      </c>
      <c r="J407" s="18" t="s">
        <v>98</v>
      </c>
      <c r="K407" s="18" t="s">
        <v>98</v>
      </c>
      <c r="L407" s="18" t="s">
        <v>98</v>
      </c>
      <c r="M407" s="18" t="s">
        <v>98</v>
      </c>
      <c r="N407" s="18" t="s">
        <v>98</v>
      </c>
      <c r="O407" s="18" t="s">
        <v>98</v>
      </c>
      <c r="P407" s="15" t="str">
        <f t="shared" si="1"/>
        <v>VERIFY</v>
      </c>
      <c r="Q407" s="15">
        <f t="shared" si="2"/>
        <v>4</v>
      </c>
      <c r="R407" s="15">
        <f t="shared" si="3"/>
        <v>5</v>
      </c>
      <c r="S407" s="15">
        <f t="shared" si="4"/>
        <v>4</v>
      </c>
      <c r="T407" s="15" t="str">
        <f t="shared" si="5"/>
        <v>B-2</v>
      </c>
      <c r="U407" s="15" t="str">
        <f t="shared" si="6"/>
        <v>T4-M5-H4-FB-2-VERIFY</v>
      </c>
      <c r="V407" s="15">
        <f t="shared" si="7"/>
        <v>0</v>
      </c>
      <c r="W407" s="31"/>
      <c r="X407" s="15" t="str">
        <f t="shared" si="8"/>
        <v>hanumangarh</v>
      </c>
      <c r="Y407" s="32" t="str">
        <f t="shared" si="9"/>
        <v>https://steelmanufacturer.in/market-area/electropolished-pipes-manufacturer-in-hanumangarh/</v>
      </c>
      <c r="Z407" s="15" t="str">
        <f t="shared" si="10"/>
        <v>Electropolished Pipes Manufacturer in Hanumangarh</v>
      </c>
      <c r="AA407" s="15" t="str">
        <f t="shared" si="11"/>
        <v>OK (49)</v>
      </c>
      <c r="AB407" s="15" t="str">
        <f t="shared" si="12"/>
        <v>Manufacturer of electropolished SS 316L tube serving Hanumangarh. VERIFY. Ra 0.25-0.5 um, EN 10204 3.1 MTC.</v>
      </c>
      <c r="AC407" s="15" t="str">
        <f t="shared" si="13"/>
        <v>PENDING RESEARCH</v>
      </c>
      <c r="AD407" s="15" t="str">
        <f t="shared" si="14"/>
        <v>Electropolished Pipes Manufacturer in Hanumangarh</v>
      </c>
      <c r="AE407" s="15" t="str">
        <f t="shared" si="15"/>
        <v>Manufacturing Electropolished SS Tube for Hanumangarh: The Standards We Build To</v>
      </c>
      <c r="AF407" s="15" t="str">
        <f t="shared" si="16"/>
        <v>Electropolished Pipe Supply Into Hanumangarh - Certification &amp; Transit</v>
      </c>
      <c r="AG407" s="15" t="str">
        <f t="shared" si="17"/>
        <v>Electropolished Pipes Wholesaler in Hanumangarh - Project Quantities &amp; Terms</v>
      </c>
      <c r="AH407" s="15" t="str">
        <f t="shared" si="18"/>
        <v>electropolished pipes manufacturer in Hanumangarh, electropolished pipes supplier in Hanumangarh, electropolished pipes wholesaler in Hanumangarh, electropolished tube manufacturer Hanumangarh, EP pipe supplier Hanumangarh, sanitary tube supplier Hanumangarh, ASME BPE tubing Hanumangarh, ASTM A270 tube Hanumangarh, SS 316L electropolished pipe Hanumangarh</v>
      </c>
      <c r="AI407" s="15" t="str">
        <f t="shared" si="19"/>
        <v>Electropolished Pipes Manufacturer &amp; Supplier in Hanumangarh</v>
      </c>
      <c r="AJ407" s="15" t="str">
        <f t="shared" si="20"/>
        <v>EP-finished SS 304/316L pipes and tubes for VERIFY plants in Hanumangarh. ASME BPE SF1-SF4, Ra from 0.25 um, EN 10204 3.1 certificate with every lot.</v>
      </c>
      <c r="AK407" s="15" t="str">
        <f t="shared" si="21"/>
        <v>Electropolished stainless steel pipes supplied by Sakshi Forge to VERIFY plants at RIICO Industrial Area, Hanumangarh</v>
      </c>
      <c r="AL407" s="15" t="str">
        <f t="shared" si="22"/>
        <v>Electropolished SS 316L tube stock for Hanumangarh - Sakshi Forge</v>
      </c>
      <c r="AM407" s="15" t="str">
        <f t="shared" si="23"/>
        <v>Home &gt; Market Area &gt; India &gt; Rajasthan &gt; Hanumangarh</v>
      </c>
      <c r="AN407" s="15">
        <f t="shared" si="24"/>
        <v>1000</v>
      </c>
      <c r="AO407" s="15">
        <f t="shared" si="25"/>
        <v>8</v>
      </c>
      <c r="AP407" s="15">
        <f t="shared" si="26"/>
        <v>8</v>
      </c>
      <c r="AQ407" s="15">
        <f t="shared" si="27"/>
        <v>7</v>
      </c>
      <c r="AR407" s="31"/>
      <c r="AS407" s="31"/>
      <c r="AT407" s="35" t="s">
        <v>222</v>
      </c>
      <c r="AU407" s="35"/>
    </row>
    <row r="408" ht="15.75" customHeight="1">
      <c r="A408" s="15" t="s">
        <v>3336</v>
      </c>
      <c r="B408" s="15" t="s">
        <v>60</v>
      </c>
      <c r="C408" s="15" t="s">
        <v>85</v>
      </c>
      <c r="D408" s="15" t="s">
        <v>3338</v>
      </c>
      <c r="E408" s="15" t="s">
        <v>3338</v>
      </c>
      <c r="F408" s="65" t="s">
        <v>788</v>
      </c>
      <c r="G408" s="66" t="s">
        <v>98</v>
      </c>
      <c r="H408" s="18" t="s">
        <v>3343</v>
      </c>
      <c r="I408" s="18" t="s">
        <v>8398</v>
      </c>
      <c r="J408" s="18" t="s">
        <v>98</v>
      </c>
      <c r="K408" s="18" t="s">
        <v>98</v>
      </c>
      <c r="L408" s="18" t="s">
        <v>98</v>
      </c>
      <c r="M408" s="18" t="s">
        <v>98</v>
      </c>
      <c r="N408" s="18" t="s">
        <v>98</v>
      </c>
      <c r="O408" s="18" t="s">
        <v>98</v>
      </c>
      <c r="P408" s="15" t="str">
        <f t="shared" si="1"/>
        <v>VERIFY</v>
      </c>
      <c r="Q408" s="15">
        <f t="shared" si="2"/>
        <v>5</v>
      </c>
      <c r="R408" s="15">
        <f t="shared" si="3"/>
        <v>6</v>
      </c>
      <c r="S408" s="15">
        <f t="shared" si="4"/>
        <v>5</v>
      </c>
      <c r="T408" s="15" t="str">
        <f t="shared" si="5"/>
        <v>B-3</v>
      </c>
      <c r="U408" s="15" t="str">
        <f t="shared" si="6"/>
        <v>T5-M6-H5-FB-3-VERIFY</v>
      </c>
      <c r="V408" s="15">
        <f t="shared" si="7"/>
        <v>0</v>
      </c>
      <c r="W408" s="31"/>
      <c r="X408" s="15" t="str">
        <f t="shared" si="8"/>
        <v>hapur</v>
      </c>
      <c r="Y408" s="32" t="str">
        <f t="shared" si="9"/>
        <v>https://steelmanufacturer.in/market-area/electropolished-pipes-manufacturer-in-hapur/</v>
      </c>
      <c r="Z408" s="15" t="str">
        <f t="shared" si="10"/>
        <v>Electropolished Pipes Manufacturer in Hapur</v>
      </c>
      <c r="AA408" s="15" t="str">
        <f t="shared" si="11"/>
        <v>OK (43)</v>
      </c>
      <c r="AB408" s="15" t="str">
        <f t="shared" si="12"/>
        <v>EP tube and pipe for VERIFY plants around UPSIDA Industrial Area, Hapur. Made at our Mumbai works to ASTM A270 and ASME BPE SF1-SF4, with 3.1 MTC.</v>
      </c>
      <c r="AC408" s="15" t="str">
        <f t="shared" si="13"/>
        <v>PENDING RESEARCH</v>
      </c>
      <c r="AD408" s="15" t="str">
        <f t="shared" si="14"/>
        <v>Electropolished Pipes Manufacturer in Hapur</v>
      </c>
      <c r="AE408" s="15" t="str">
        <f t="shared" si="15"/>
        <v>Electropolished Tube Manufacturing Capability Serving Hapur</v>
      </c>
      <c r="AF408" s="15" t="str">
        <f t="shared" si="16"/>
        <v>Electropolished Pipes Supplier in Hapur - From Order to Delivery</v>
      </c>
      <c r="AG408" s="15" t="str">
        <f t="shared" si="17"/>
        <v>Stockist &amp; Wholesale Supply of Electropolished Pipes in Hapur</v>
      </c>
      <c r="AH408" s="15" t="str">
        <f t="shared" si="18"/>
        <v>electropolished pipes manufacturer in Hapur, electropolished pipes supplier in Hapur, electropolished pipes wholesaler in Hapur, electropolished tube manufacturer Hapur, EP pipe supplier Hapur, sanitary tube supplier Hapur, ASME BPE tubing Hapur, ASTM A270 tube Hapur, SS 316L electropolished pipe Hapur</v>
      </c>
      <c r="AI408" s="15" t="str">
        <f t="shared" si="19"/>
        <v>Electropolished Pipes Manufacturer &amp; Supplier in Hapur</v>
      </c>
      <c r="AJ408" s="15" t="str">
        <f t="shared" si="20"/>
        <v>EP-finished SS 304/316L pipes and tubes for VERIFY plants in Hapur. ASME BPE SF1-SF4, Ra from 0.25 um, EN 10204 3.1 certificate with every lot.</v>
      </c>
      <c r="AK408" s="15" t="str">
        <f t="shared" si="21"/>
        <v>Electropolished stainless steel pipes supplied by Sakshi Forge to VERIFY plants at UPSIDA Industrial Area, Hapur</v>
      </c>
      <c r="AL408" s="15" t="str">
        <f t="shared" si="22"/>
        <v>Electropolished SS 316L tube stock for Hapur - Sakshi Forge</v>
      </c>
      <c r="AM408" s="15" t="str">
        <f t="shared" si="23"/>
        <v>Home &gt; Market Area &gt; India &gt; Uttar Pradesh &gt; Hapur</v>
      </c>
      <c r="AN408" s="15">
        <f t="shared" si="24"/>
        <v>1000</v>
      </c>
      <c r="AO408" s="15">
        <f t="shared" si="25"/>
        <v>8</v>
      </c>
      <c r="AP408" s="15">
        <f t="shared" si="26"/>
        <v>8</v>
      </c>
      <c r="AQ408" s="15">
        <f t="shared" si="27"/>
        <v>7</v>
      </c>
      <c r="AR408" s="31"/>
      <c r="AS408" s="31"/>
      <c r="AT408" s="35" t="s">
        <v>222</v>
      </c>
      <c r="AU408" s="35"/>
    </row>
    <row r="409" ht="15.75" customHeight="1">
      <c r="A409" s="15" t="s">
        <v>3345</v>
      </c>
      <c r="B409" s="15" t="s">
        <v>60</v>
      </c>
      <c r="C409" s="15" t="s">
        <v>570</v>
      </c>
      <c r="D409" s="15" t="s">
        <v>3346</v>
      </c>
      <c r="E409" s="15" t="s">
        <v>3346</v>
      </c>
      <c r="F409" s="65" t="s">
        <v>788</v>
      </c>
      <c r="G409" s="66" t="s">
        <v>98</v>
      </c>
      <c r="H409" s="18" t="s">
        <v>3348</v>
      </c>
      <c r="I409" s="18" t="s">
        <v>8405</v>
      </c>
      <c r="J409" s="18" t="s">
        <v>98</v>
      </c>
      <c r="K409" s="18" t="s">
        <v>98</v>
      </c>
      <c r="L409" s="18" t="s">
        <v>98</v>
      </c>
      <c r="M409" s="18" t="s">
        <v>98</v>
      </c>
      <c r="N409" s="18" t="s">
        <v>98</v>
      </c>
      <c r="O409" s="18" t="s">
        <v>98</v>
      </c>
      <c r="P409" s="15" t="str">
        <f t="shared" si="1"/>
        <v>VERIFY</v>
      </c>
      <c r="Q409" s="15">
        <f t="shared" si="2"/>
        <v>6</v>
      </c>
      <c r="R409" s="15">
        <f t="shared" si="3"/>
        <v>7</v>
      </c>
      <c r="S409" s="15">
        <f t="shared" si="4"/>
        <v>1</v>
      </c>
      <c r="T409" s="15" t="str">
        <f t="shared" si="5"/>
        <v>B-4</v>
      </c>
      <c r="U409" s="15" t="str">
        <f t="shared" si="6"/>
        <v>T6-M7-H1-FB-4-VERIFY</v>
      </c>
      <c r="V409" s="15">
        <f t="shared" si="7"/>
        <v>0</v>
      </c>
      <c r="W409" s="31"/>
      <c r="X409" s="15" t="str">
        <f t="shared" si="8"/>
        <v>harohalli</v>
      </c>
      <c r="Y409" s="32" t="str">
        <f t="shared" si="9"/>
        <v>https://steelmanufacturer.in/market-area/electropolished-pipes-manufacturer-in-harohalli/</v>
      </c>
      <c r="Z409" s="15" t="str">
        <f t="shared" si="10"/>
        <v>Electropolished Pipes Manufacturer in Harohalli</v>
      </c>
      <c r="AA409" s="15" t="str">
        <f t="shared" si="11"/>
        <v>OK (47)</v>
      </c>
      <c r="AB409" s="15" t="str">
        <f t="shared" si="12"/>
        <v>Electropolished pipes in Harohalli: 304, 304L, 316 and 316L in SF1-SF4. VERIFY. Mill certified.</v>
      </c>
      <c r="AC409" s="15" t="str">
        <f t="shared" si="13"/>
        <v>PENDING RESEARCH</v>
      </c>
      <c r="AD409" s="15" t="str">
        <f t="shared" si="14"/>
        <v>Electropolished Pipes Manufacturer in Harohalli</v>
      </c>
      <c r="AE409" s="15" t="str">
        <f t="shared" si="15"/>
        <v>Electropolished Pipe &amp; Tube Manufacturing for Harohalli - Grades, Finishes &amp; Certification</v>
      </c>
      <c r="AF409" s="15" t="str">
        <f t="shared" si="16"/>
        <v>Electropolished Pipes Supplier in Harohalli - Stock Sizes, Lead Time &amp; Delivery</v>
      </c>
      <c r="AG409" s="15" t="str">
        <f t="shared" si="17"/>
        <v>Electropolished Pipes Wholesaler &amp; Stockist in Harohalli - Bulk &amp; Project Pricing</v>
      </c>
      <c r="AH409" s="15" t="str">
        <f t="shared" si="18"/>
        <v>electropolished pipes manufacturer in Harohalli, electropolished pipes supplier in Harohalli, electropolished pipes wholesaler in Harohalli, electropolished tube manufacturer Harohalli, EP pipe supplier Harohalli, sanitary tube supplier Harohalli, ASME BPE tubing Harohalli, ASTM A270 tube Harohalli, SS 316L electropolished pipe Harohalli</v>
      </c>
      <c r="AI409" s="15" t="str">
        <f t="shared" si="19"/>
        <v>Electropolished Pipes Manufacturer &amp; Supplier in Harohalli</v>
      </c>
      <c r="AJ409" s="15" t="str">
        <f t="shared" si="20"/>
        <v>EP-finished SS 304/316L pipes and tubes for VERIFY plants in Harohalli. ASME BPE SF1-SF4, Ra from 0.25 um, EN 10204 3.1 certificate with every lot.</v>
      </c>
      <c r="AK409" s="15" t="str">
        <f t="shared" si="21"/>
        <v>Electropolished stainless steel pipes supplied by Sakshi Forge to VERIFY plants at KIADB Industrial Area, Harohalli</v>
      </c>
      <c r="AL409" s="15" t="str">
        <f t="shared" si="22"/>
        <v>Electropolished SS 316L tube stock for Harohalli - Sakshi Forge</v>
      </c>
      <c r="AM409" s="15" t="str">
        <f t="shared" si="23"/>
        <v>Home &gt; Market Area &gt; India &gt; Karnataka &gt; Harohalli</v>
      </c>
      <c r="AN409" s="15">
        <f t="shared" si="24"/>
        <v>1000</v>
      </c>
      <c r="AO409" s="15">
        <f t="shared" si="25"/>
        <v>8</v>
      </c>
      <c r="AP409" s="15">
        <f t="shared" si="26"/>
        <v>8</v>
      </c>
      <c r="AQ409" s="15">
        <f t="shared" si="27"/>
        <v>7</v>
      </c>
      <c r="AR409" s="31"/>
      <c r="AS409" s="31"/>
      <c r="AT409" s="35" t="s">
        <v>222</v>
      </c>
      <c r="AU409" s="35"/>
    </row>
    <row r="410" ht="15.75" customHeight="1">
      <c r="A410" s="15" t="s">
        <v>3349</v>
      </c>
      <c r="B410" s="15" t="s">
        <v>60</v>
      </c>
      <c r="C410" s="15" t="s">
        <v>570</v>
      </c>
      <c r="D410" s="15" t="s">
        <v>3350</v>
      </c>
      <c r="E410" s="15" t="s">
        <v>3350</v>
      </c>
      <c r="F410" s="65" t="s">
        <v>788</v>
      </c>
      <c r="G410" s="66" t="s">
        <v>98</v>
      </c>
      <c r="H410" s="18" t="s">
        <v>3352</v>
      </c>
      <c r="I410" s="18" t="s">
        <v>8405</v>
      </c>
      <c r="J410" s="18" t="s">
        <v>98</v>
      </c>
      <c r="K410" s="18" t="s">
        <v>98</v>
      </c>
      <c r="L410" s="18" t="s">
        <v>98</v>
      </c>
      <c r="M410" s="18" t="s">
        <v>98</v>
      </c>
      <c r="N410" s="18" t="s">
        <v>98</v>
      </c>
      <c r="O410" s="18" t="s">
        <v>98</v>
      </c>
      <c r="P410" s="15" t="str">
        <f t="shared" si="1"/>
        <v>VERIFY</v>
      </c>
      <c r="Q410" s="15">
        <f t="shared" si="2"/>
        <v>7</v>
      </c>
      <c r="R410" s="15">
        <f t="shared" si="3"/>
        <v>1</v>
      </c>
      <c r="S410" s="15">
        <f t="shared" si="4"/>
        <v>2</v>
      </c>
      <c r="T410" s="15" t="str">
        <f t="shared" si="5"/>
        <v>B-5</v>
      </c>
      <c r="U410" s="15" t="str">
        <f t="shared" si="6"/>
        <v>T7-M1-H2-FB-5-VERIFY</v>
      </c>
      <c r="V410" s="15">
        <f t="shared" si="7"/>
        <v>0</v>
      </c>
      <c r="W410" s="31"/>
      <c r="X410" s="15" t="str">
        <f t="shared" si="8"/>
        <v>hassan</v>
      </c>
      <c r="Y410" s="32" t="str">
        <f t="shared" si="9"/>
        <v>https://steelmanufacturer.in/market-area/electropolished-pipes-manufacturer-in-hassan/</v>
      </c>
      <c r="Z410" s="15" t="str">
        <f t="shared" si="10"/>
        <v>Electropolished Pipes Manufacturer in Hassan | ASME BPE SF1-SF4</v>
      </c>
      <c r="AA410" s="15" t="str">
        <f t="shared" si="11"/>
        <v>OK (63)</v>
      </c>
      <c r="AB410" s="15" t="str">
        <f t="shared" si="12"/>
        <v>EP-finished SS 304/316L pipes &amp; tubes for VERIFY plants in Hassan. ASTM A270, ASME BPE SF1-SF4, EN 10204 3.1 MTC. PMI tested.</v>
      </c>
      <c r="AC410" s="15" t="str">
        <f t="shared" si="13"/>
        <v>PENDING RESEARCH</v>
      </c>
      <c r="AD410" s="15" t="str">
        <f t="shared" si="14"/>
        <v>Electropolished Pipes Manufacturer in Hassan</v>
      </c>
      <c r="AE410" s="15" t="str">
        <f t="shared" si="15"/>
        <v>How We Manufacture Electropolished Tube for Hassan Plants</v>
      </c>
      <c r="AF410" s="15" t="str">
        <f t="shared" si="16"/>
        <v>Supplying Electropolished Pipes in Hassan: Availability, Sizes &amp; Dispatch</v>
      </c>
      <c r="AG410" s="15" t="str">
        <f t="shared" si="17"/>
        <v>Wholesale Electropolished Pipe Supply for Hassan Projects</v>
      </c>
      <c r="AH410" s="15" t="str">
        <f t="shared" si="18"/>
        <v>electropolished pipes manufacturer in Hassan, electropolished pipes supplier in Hassan, electropolished pipes wholesaler in Hassan, electropolished tube manufacturer Hassan, EP pipe supplier Hassan, sanitary tube supplier Hassan, ASME BPE tubing Hassan, ASTM A270 tube Hassan, SS 316L electropolished pipe Hassan</v>
      </c>
      <c r="AI410" s="15" t="str">
        <f t="shared" si="19"/>
        <v>Electropolished Pipes Manufacturer &amp; Supplier in Hassan</v>
      </c>
      <c r="AJ410" s="15" t="str">
        <f t="shared" si="20"/>
        <v>EP-finished SS 304/316L pipes and tubes for VERIFY plants in Hassan. ASME BPE SF1-SF4, Ra from 0.25 um, EN 10204 3.1 certificate with every lot.</v>
      </c>
      <c r="AK410" s="15" t="str">
        <f t="shared" si="21"/>
        <v>Electropolished stainless steel pipes supplied by Sakshi Forge to VERIFY plants at KIADB Industrial Area, Hassan</v>
      </c>
      <c r="AL410" s="15" t="str">
        <f t="shared" si="22"/>
        <v>Electropolished SS 316L tube stock for Hassan - Sakshi Forge</v>
      </c>
      <c r="AM410" s="15" t="str">
        <f t="shared" si="23"/>
        <v>Home &gt; Market Area &gt; India &gt; Karnataka &gt; Hassan</v>
      </c>
      <c r="AN410" s="15">
        <f t="shared" si="24"/>
        <v>1000</v>
      </c>
      <c r="AO410" s="15">
        <f t="shared" si="25"/>
        <v>8</v>
      </c>
      <c r="AP410" s="15">
        <f t="shared" si="26"/>
        <v>8</v>
      </c>
      <c r="AQ410" s="15">
        <f t="shared" si="27"/>
        <v>7</v>
      </c>
      <c r="AR410" s="31"/>
      <c r="AS410" s="31"/>
      <c r="AT410" s="35" t="s">
        <v>222</v>
      </c>
      <c r="AU410" s="35"/>
    </row>
    <row r="411" ht="15.75" customHeight="1">
      <c r="A411" s="15" t="s">
        <v>3353</v>
      </c>
      <c r="B411" s="15" t="s">
        <v>60</v>
      </c>
      <c r="C411" s="15" t="s">
        <v>570</v>
      </c>
      <c r="D411" s="15" t="s">
        <v>3354</v>
      </c>
      <c r="E411" s="15" t="s">
        <v>3354</v>
      </c>
      <c r="F411" s="65" t="s">
        <v>788</v>
      </c>
      <c r="G411" s="66" t="s">
        <v>98</v>
      </c>
      <c r="H411" s="18" t="s">
        <v>3356</v>
      </c>
      <c r="I411" s="18" t="s">
        <v>8405</v>
      </c>
      <c r="J411" s="18" t="s">
        <v>98</v>
      </c>
      <c r="K411" s="18" t="s">
        <v>98</v>
      </c>
      <c r="L411" s="18" t="s">
        <v>98</v>
      </c>
      <c r="M411" s="18" t="s">
        <v>98</v>
      </c>
      <c r="N411" s="18" t="s">
        <v>98</v>
      </c>
      <c r="O411" s="18" t="s">
        <v>98</v>
      </c>
      <c r="P411" s="15" t="str">
        <f t="shared" si="1"/>
        <v>VERIFY</v>
      </c>
      <c r="Q411" s="15">
        <f t="shared" si="2"/>
        <v>8</v>
      </c>
      <c r="R411" s="15">
        <f t="shared" si="3"/>
        <v>2</v>
      </c>
      <c r="S411" s="15">
        <f t="shared" si="4"/>
        <v>3</v>
      </c>
      <c r="T411" s="15" t="str">
        <f t="shared" si="5"/>
        <v>B-6</v>
      </c>
      <c r="U411" s="15" t="str">
        <f t="shared" si="6"/>
        <v>T8-M2-H3-FB-6-VERIFY</v>
      </c>
      <c r="V411" s="15">
        <f t="shared" si="7"/>
        <v>0</v>
      </c>
      <c r="W411" s="31"/>
      <c r="X411" s="15" t="str">
        <f t="shared" si="8"/>
        <v>haveri</v>
      </c>
      <c r="Y411" s="32" t="str">
        <f t="shared" si="9"/>
        <v>https://steelmanufacturer.in/market-area/electropolished-pipes-manufacturer-in-haveri/</v>
      </c>
      <c r="Z411" s="15" t="str">
        <f t="shared" si="10"/>
        <v>Electropolished Pipes Manufacturer in Haveri - EP Tube Stockist</v>
      </c>
      <c r="AA411" s="15" t="str">
        <f t="shared" si="11"/>
        <v>OK (63)</v>
      </c>
      <c r="AB411" s="15" t="str">
        <f t="shared" si="12"/>
        <v>Electropolished tube supply to KIADB Industrial Area, Haveri. Ra from 0.25 um, SF4 finish, mill test certificate with every lot.</v>
      </c>
      <c r="AC411" s="15" t="str">
        <f t="shared" si="13"/>
        <v>PENDING RESEARCH</v>
      </c>
      <c r="AD411" s="15" t="str">
        <f t="shared" si="14"/>
        <v>Electropolished Pipes Manufacturer in Haveri</v>
      </c>
      <c r="AE411" s="15" t="str">
        <f t="shared" si="15"/>
        <v>Electropolished Pipes Manufacturer in Haveri - Our Process &amp; Capability</v>
      </c>
      <c r="AF411" s="15" t="str">
        <f t="shared" si="16"/>
        <v>Electropolished Pipes Supplier in Haveri - What We Hold in Stock</v>
      </c>
      <c r="AG411" s="15" t="str">
        <f t="shared" si="17"/>
        <v>Bulk &amp; Wholesale Electropolished Pipe Rates for Haveri Buyers</v>
      </c>
      <c r="AH411" s="15" t="str">
        <f t="shared" si="18"/>
        <v>electropolished pipes manufacturer in Haveri, electropolished pipes supplier in Haveri, electropolished pipes wholesaler in Haveri, electropolished tube manufacturer Haveri, EP pipe supplier Haveri, sanitary tube supplier Haveri, ASME BPE tubing Haveri, ASTM A270 tube Haveri, SS 316L electropolished pipe Haveri</v>
      </c>
      <c r="AI411" s="15" t="str">
        <f t="shared" si="19"/>
        <v>Electropolished Pipes Manufacturer &amp; Supplier in Haveri</v>
      </c>
      <c r="AJ411" s="15" t="str">
        <f t="shared" si="20"/>
        <v>EP-finished SS 304/316L pipes and tubes for VERIFY plants in Haveri. ASME BPE SF1-SF4, Ra from 0.25 um, EN 10204 3.1 certificate with every lot.</v>
      </c>
      <c r="AK411" s="15" t="str">
        <f t="shared" si="21"/>
        <v>Electropolished stainless steel pipes supplied by Sakshi Forge to VERIFY plants at KIADB Industrial Area, Haveri</v>
      </c>
      <c r="AL411" s="15" t="str">
        <f t="shared" si="22"/>
        <v>Electropolished SS 316L tube stock for Haveri - Sakshi Forge</v>
      </c>
      <c r="AM411" s="15" t="str">
        <f t="shared" si="23"/>
        <v>Home &gt; Market Area &gt; India &gt; Karnataka &gt; Haveri</v>
      </c>
      <c r="AN411" s="15">
        <f t="shared" si="24"/>
        <v>1000</v>
      </c>
      <c r="AO411" s="15">
        <f t="shared" si="25"/>
        <v>8</v>
      </c>
      <c r="AP411" s="15">
        <f t="shared" si="26"/>
        <v>8</v>
      </c>
      <c r="AQ411" s="15">
        <f t="shared" si="27"/>
        <v>7</v>
      </c>
      <c r="AR411" s="31"/>
      <c r="AS411" s="31"/>
      <c r="AT411" s="35" t="s">
        <v>222</v>
      </c>
      <c r="AU411" s="35"/>
    </row>
    <row r="412" ht="15.75" customHeight="1">
      <c r="A412" s="15" t="s">
        <v>3357</v>
      </c>
      <c r="B412" s="15" t="s">
        <v>60</v>
      </c>
      <c r="C412" s="15" t="s">
        <v>878</v>
      </c>
      <c r="D412" s="15" t="s">
        <v>3358</v>
      </c>
      <c r="E412" s="15" t="s">
        <v>3358</v>
      </c>
      <c r="F412" s="65" t="s">
        <v>788</v>
      </c>
      <c r="G412" s="66" t="s">
        <v>98</v>
      </c>
      <c r="H412" s="18" t="s">
        <v>3360</v>
      </c>
      <c r="I412" s="18" t="s">
        <v>8415</v>
      </c>
      <c r="J412" s="18" t="s">
        <v>98</v>
      </c>
      <c r="K412" s="18" t="s">
        <v>98</v>
      </c>
      <c r="L412" s="18" t="s">
        <v>98</v>
      </c>
      <c r="M412" s="18" t="s">
        <v>98</v>
      </c>
      <c r="N412" s="18" t="s">
        <v>98</v>
      </c>
      <c r="O412" s="18" t="s">
        <v>98</v>
      </c>
      <c r="P412" s="15" t="str">
        <f t="shared" si="1"/>
        <v>VERIFY</v>
      </c>
      <c r="Q412" s="15">
        <f t="shared" si="2"/>
        <v>1</v>
      </c>
      <c r="R412" s="15">
        <f t="shared" si="3"/>
        <v>3</v>
      </c>
      <c r="S412" s="15">
        <f t="shared" si="4"/>
        <v>4</v>
      </c>
      <c r="T412" s="15" t="str">
        <f t="shared" si="5"/>
        <v>B-1</v>
      </c>
      <c r="U412" s="15" t="str">
        <f t="shared" si="6"/>
        <v>T1-M3-H4-FB-1-VERIFY</v>
      </c>
      <c r="V412" s="15">
        <f t="shared" si="7"/>
        <v>0</v>
      </c>
      <c r="W412" s="31"/>
      <c r="X412" s="15" t="str">
        <f t="shared" si="8"/>
        <v>hazaribagh</v>
      </c>
      <c r="Y412" s="32" t="str">
        <f t="shared" si="9"/>
        <v>https://steelmanufacturer.in/market-area/electropolished-pipes-manufacturer-in-hazaribagh/</v>
      </c>
      <c r="Z412" s="15" t="str">
        <f t="shared" si="10"/>
        <v>Electropolished Pipes Manufacturer in Hazaribagh | Sakshi Forge</v>
      </c>
      <c r="AA412" s="15" t="str">
        <f t="shared" si="11"/>
        <v>OK (63)</v>
      </c>
      <c r="AB412" s="15" t="str">
        <f t="shared" si="12"/>
        <v>EP stainless tube for VERIFY lines in Hazaribagh. VERIFY. ASTM A270 S2, PMI tested, EN 10204 3.1.</v>
      </c>
      <c r="AC412" s="15" t="str">
        <f t="shared" si="13"/>
        <v>PENDING RESEARCH</v>
      </c>
      <c r="AD412" s="15" t="str">
        <f t="shared" si="14"/>
        <v>Electropolished Pipes Manufacturer in Hazaribagh</v>
      </c>
      <c r="AE412" s="15" t="str">
        <f t="shared" si="15"/>
        <v>Manufacturing Electropolished SS Tube for Hazaribagh: The Standards We Build To</v>
      </c>
      <c r="AF412" s="15" t="str">
        <f t="shared" si="16"/>
        <v>Electropolished Pipe Supply Into Hazaribagh - Certification &amp; Transit</v>
      </c>
      <c r="AG412" s="15" t="str">
        <f t="shared" si="17"/>
        <v>Electropolished Pipes Wholesaler in Hazaribagh - Project Quantities &amp; Terms</v>
      </c>
      <c r="AH412" s="15" t="str">
        <f t="shared" si="18"/>
        <v>electropolished pipes manufacturer in Hazaribagh, electropolished pipes supplier in Hazaribagh, electropolished pipes wholesaler in Hazaribagh, electropolished tube manufacturer Hazaribagh, EP pipe supplier Hazaribagh, sanitary tube supplier Hazaribagh, ASME BPE tubing Hazaribagh, ASTM A270 tube Hazaribagh, SS 316L electropolished pipe Hazaribagh</v>
      </c>
      <c r="AI412" s="15" t="str">
        <f t="shared" si="19"/>
        <v>Electropolished Pipes Manufacturer &amp; Supplier in Hazaribagh</v>
      </c>
      <c r="AJ412" s="15" t="str">
        <f t="shared" si="20"/>
        <v>EP-finished SS 304/316L pipes and tubes for VERIFY plants in Hazaribagh. ASME BPE SF1-SF4, Ra from 0.25 um, EN 10204 3.1 certificate with every lot.</v>
      </c>
      <c r="AK412" s="15" t="str">
        <f t="shared" si="21"/>
        <v>Electropolished stainless steel pipes supplied by Sakshi Forge to VERIFY plants at JIADA Industrial Area, Hazaribagh</v>
      </c>
      <c r="AL412" s="15" t="str">
        <f t="shared" si="22"/>
        <v>Electropolished SS 316L tube stock for Hazaribagh - Sakshi Forge</v>
      </c>
      <c r="AM412" s="15" t="str">
        <f t="shared" si="23"/>
        <v>Home &gt; Market Area &gt; India &gt; Jharkhand &gt; Hazaribagh</v>
      </c>
      <c r="AN412" s="15">
        <f t="shared" si="24"/>
        <v>1000</v>
      </c>
      <c r="AO412" s="15">
        <f t="shared" si="25"/>
        <v>8</v>
      </c>
      <c r="AP412" s="15">
        <f t="shared" si="26"/>
        <v>8</v>
      </c>
      <c r="AQ412" s="15">
        <f t="shared" si="27"/>
        <v>7</v>
      </c>
      <c r="AR412" s="31"/>
      <c r="AS412" s="31"/>
      <c r="AT412" s="35" t="s">
        <v>222</v>
      </c>
      <c r="AU412" s="35"/>
    </row>
    <row r="413" ht="15.75" customHeight="1">
      <c r="A413" s="15" t="s">
        <v>3361</v>
      </c>
      <c r="B413" s="15" t="s">
        <v>60</v>
      </c>
      <c r="C413" s="15" t="s">
        <v>224</v>
      </c>
      <c r="D413" s="15" t="s">
        <v>3362</v>
      </c>
      <c r="E413" s="15" t="s">
        <v>3362</v>
      </c>
      <c r="F413" s="65" t="s">
        <v>788</v>
      </c>
      <c r="G413" s="66" t="s">
        <v>98</v>
      </c>
      <c r="H413" s="18" t="s">
        <v>3364</v>
      </c>
      <c r="I413" s="18" t="s">
        <v>8400</v>
      </c>
      <c r="J413" s="18" t="s">
        <v>98</v>
      </c>
      <c r="K413" s="18" t="s">
        <v>98</v>
      </c>
      <c r="L413" s="18" t="s">
        <v>98</v>
      </c>
      <c r="M413" s="18" t="s">
        <v>98</v>
      </c>
      <c r="N413" s="18" t="s">
        <v>98</v>
      </c>
      <c r="O413" s="18" t="s">
        <v>98</v>
      </c>
      <c r="P413" s="15" t="str">
        <f t="shared" si="1"/>
        <v>VERIFY</v>
      </c>
      <c r="Q413" s="15">
        <f t="shared" si="2"/>
        <v>2</v>
      </c>
      <c r="R413" s="15">
        <f t="shared" si="3"/>
        <v>4</v>
      </c>
      <c r="S413" s="15">
        <f t="shared" si="4"/>
        <v>5</v>
      </c>
      <c r="T413" s="15" t="str">
        <f t="shared" si="5"/>
        <v>B-2</v>
      </c>
      <c r="U413" s="15" t="str">
        <f t="shared" si="6"/>
        <v>T2-M4-H5-FB-2-VERIFY</v>
      </c>
      <c r="V413" s="15">
        <f t="shared" si="7"/>
        <v>0</v>
      </c>
      <c r="W413" s="31"/>
      <c r="X413" s="15" t="str">
        <f t="shared" si="8"/>
        <v>himatnagar</v>
      </c>
      <c r="Y413" s="32" t="str">
        <f t="shared" si="9"/>
        <v>https://steelmanufacturer.in/market-area/electropolished-pipes-manufacturer-in-himatnagar/</v>
      </c>
      <c r="Z413" s="15" t="str">
        <f t="shared" si="10"/>
        <v>Electropolished Pipes Manufacturer in Himatnagar</v>
      </c>
      <c r="AA413" s="15" t="str">
        <f t="shared" si="11"/>
        <v>OK (48)</v>
      </c>
      <c r="AB413" s="15" t="str">
        <f t="shared" si="12"/>
        <v>Sanitary electropolished pipes in Himatnagar for VERIFY plants. ASME BPE SF1-SF4, orbital-weld ready, 3.1 MTC. Mumbai-made.</v>
      </c>
      <c r="AC413" s="15" t="str">
        <f t="shared" si="13"/>
        <v>PENDING RESEARCH</v>
      </c>
      <c r="AD413" s="15" t="str">
        <f t="shared" si="14"/>
        <v>Electropolished Pipes Manufacturer in Himatnagar</v>
      </c>
      <c r="AE413" s="15" t="str">
        <f t="shared" si="15"/>
        <v>Electropolished Tube Manufacturing Capability Serving Himatnagar</v>
      </c>
      <c r="AF413" s="15" t="str">
        <f t="shared" si="16"/>
        <v>Electropolished Pipes Supplier in Himatnagar - From Order to Delivery</v>
      </c>
      <c r="AG413" s="15" t="str">
        <f t="shared" si="17"/>
        <v>Stockist &amp; Wholesale Supply of Electropolished Pipes in Himatnagar</v>
      </c>
      <c r="AH413" s="15" t="str">
        <f t="shared" si="18"/>
        <v>electropolished pipes manufacturer in Himatnagar, electropolished pipes supplier in Himatnagar, electropolished pipes wholesaler in Himatnagar, electropolished tube manufacturer Himatnagar, EP pipe supplier Himatnagar, sanitary tube supplier Himatnagar, ASME BPE tubing Himatnagar, ASTM A270 tube Himatnagar, SS 316L electropolished pipe Himatnagar</v>
      </c>
      <c r="AI413" s="15" t="str">
        <f t="shared" si="19"/>
        <v>Electropolished Pipes Manufacturer &amp; Supplier in Himatnagar</v>
      </c>
      <c r="AJ413" s="15" t="str">
        <f t="shared" si="20"/>
        <v>EP-finished SS 304/316L pipes and tubes for VERIFY plants in Himatnagar. ASME BPE SF1-SF4, Ra from 0.25 um, EN 10204 3.1 certificate with every lot.</v>
      </c>
      <c r="AK413" s="15" t="str">
        <f t="shared" si="21"/>
        <v>Electropolished stainless steel pipes supplied by Sakshi Forge to VERIFY plants at GIDC Industrial Area, Himatnagar</v>
      </c>
      <c r="AL413" s="15" t="str">
        <f t="shared" si="22"/>
        <v>Electropolished SS 316L tube stock for Himatnagar - Sakshi Forge</v>
      </c>
      <c r="AM413" s="15" t="str">
        <f t="shared" si="23"/>
        <v>Home &gt; Market Area &gt; India &gt; Gujarat &gt; Himatnagar</v>
      </c>
      <c r="AN413" s="15">
        <f t="shared" si="24"/>
        <v>1000</v>
      </c>
      <c r="AO413" s="15">
        <f t="shared" si="25"/>
        <v>8</v>
      </c>
      <c r="AP413" s="15">
        <f t="shared" si="26"/>
        <v>8</v>
      </c>
      <c r="AQ413" s="15">
        <f t="shared" si="27"/>
        <v>7</v>
      </c>
      <c r="AR413" s="31"/>
      <c r="AS413" s="31"/>
      <c r="AT413" s="35" t="s">
        <v>222</v>
      </c>
      <c r="AU413" s="35"/>
    </row>
    <row r="414" ht="15.75" customHeight="1">
      <c r="A414" s="15" t="s">
        <v>3367</v>
      </c>
      <c r="B414" s="15" t="s">
        <v>60</v>
      </c>
      <c r="C414" s="15" t="s">
        <v>413</v>
      </c>
      <c r="D414" s="15" t="s">
        <v>3369</v>
      </c>
      <c r="E414" s="15" t="s">
        <v>3369</v>
      </c>
      <c r="F414" s="65" t="s">
        <v>788</v>
      </c>
      <c r="G414" s="66" t="s">
        <v>98</v>
      </c>
      <c r="H414" s="18" t="s">
        <v>3373</v>
      </c>
      <c r="I414" s="18" t="s">
        <v>8393</v>
      </c>
      <c r="J414" s="18" t="s">
        <v>98</v>
      </c>
      <c r="K414" s="18" t="s">
        <v>98</v>
      </c>
      <c r="L414" s="18" t="s">
        <v>98</v>
      </c>
      <c r="M414" s="18" t="s">
        <v>98</v>
      </c>
      <c r="N414" s="18" t="s">
        <v>98</v>
      </c>
      <c r="O414" s="18" t="s">
        <v>98</v>
      </c>
      <c r="P414" s="15" t="str">
        <f t="shared" si="1"/>
        <v>VERIFY</v>
      </c>
      <c r="Q414" s="15">
        <f t="shared" si="2"/>
        <v>3</v>
      </c>
      <c r="R414" s="15">
        <f t="shared" si="3"/>
        <v>5</v>
      </c>
      <c r="S414" s="15">
        <f t="shared" si="4"/>
        <v>1</v>
      </c>
      <c r="T414" s="15" t="str">
        <f t="shared" si="5"/>
        <v>B-3</v>
      </c>
      <c r="U414" s="15" t="str">
        <f t="shared" si="6"/>
        <v>T3-M5-H1-FB-3-VERIFY</v>
      </c>
      <c r="V414" s="15">
        <f t="shared" si="7"/>
        <v>0</v>
      </c>
      <c r="W414" s="31"/>
      <c r="X414" s="15" t="str">
        <f t="shared" si="8"/>
        <v>hindupur</v>
      </c>
      <c r="Y414" s="32" t="str">
        <f t="shared" si="9"/>
        <v>https://steelmanufacturer.in/market-area/electropolished-pipes-manufacturer-in-hindupur/</v>
      </c>
      <c r="Z414" s="15" t="str">
        <f t="shared" si="10"/>
        <v>Electropolished Pipes Manufacturer in Hindupur | EP Tube Supplier</v>
      </c>
      <c r="AA414" s="15" t="str">
        <f t="shared" si="11"/>
        <v>OK (65)</v>
      </c>
      <c r="AB414" s="15" t="str">
        <f t="shared" si="12"/>
        <v>Manufacturer of electropolished SS 316L tube serving Hindupur. VERIFY. Ra 0.25-0.5 um, EN 10204 3.1 MTC.</v>
      </c>
      <c r="AC414" s="15" t="str">
        <f t="shared" si="13"/>
        <v>PENDING RESEARCH</v>
      </c>
      <c r="AD414" s="15" t="str">
        <f t="shared" si="14"/>
        <v>Electropolished Pipes Manufacturer in Hindupur</v>
      </c>
      <c r="AE414" s="15" t="str">
        <f t="shared" si="15"/>
        <v>Electropolished Pipe &amp; Tube Manufacturing for Hindupur - Grades, Finishes &amp; Certification</v>
      </c>
      <c r="AF414" s="15" t="str">
        <f t="shared" si="16"/>
        <v>Electropolished Pipes Supplier in Hindupur - Stock Sizes, Lead Time &amp; Delivery</v>
      </c>
      <c r="AG414" s="15" t="str">
        <f t="shared" si="17"/>
        <v>Electropolished Pipes Wholesaler &amp; Stockist in Hindupur - Bulk &amp; Project Pricing</v>
      </c>
      <c r="AH414" s="15" t="str">
        <f t="shared" si="18"/>
        <v>electropolished pipes manufacturer in Hindupur, electropolished pipes supplier in Hindupur, electropolished pipes wholesaler in Hindupur, electropolished tube manufacturer Hindupur, EP pipe supplier Hindupur, sanitary tube supplier Hindupur, ASME BPE tubing Hindupur, ASTM A270 tube Hindupur, SS 316L electropolished pipe Hindupur</v>
      </c>
      <c r="AI414" s="15" t="str">
        <f t="shared" si="19"/>
        <v>Electropolished Pipes Manufacturer &amp; Supplier in Hindupur</v>
      </c>
      <c r="AJ414" s="15" t="str">
        <f t="shared" si="20"/>
        <v>EP-finished SS 304/316L pipes and tubes for VERIFY plants in Hindupur. ASME BPE SF1-SF4, Ra from 0.25 um, EN 10204 3.1 certificate with every lot.</v>
      </c>
      <c r="AK414" s="15" t="str">
        <f t="shared" si="21"/>
        <v>Electropolished stainless steel pipes supplied by Sakshi Forge to VERIFY plants at APIIC Industrial Area, Hindupur</v>
      </c>
      <c r="AL414" s="15" t="str">
        <f t="shared" si="22"/>
        <v>Electropolished SS 316L tube stock for Hindupur - Sakshi Forge</v>
      </c>
      <c r="AM414" s="15" t="str">
        <f t="shared" si="23"/>
        <v>Home &gt; Market Area &gt; India &gt; Andhra Pradesh &gt; Hindupur</v>
      </c>
      <c r="AN414" s="15">
        <f t="shared" si="24"/>
        <v>1000</v>
      </c>
      <c r="AO414" s="15">
        <f t="shared" si="25"/>
        <v>8</v>
      </c>
      <c r="AP414" s="15">
        <f t="shared" si="26"/>
        <v>8</v>
      </c>
      <c r="AQ414" s="15">
        <f t="shared" si="27"/>
        <v>7</v>
      </c>
      <c r="AR414" s="31"/>
      <c r="AS414" s="31"/>
      <c r="AT414" s="35" t="s">
        <v>222</v>
      </c>
      <c r="AU414" s="35"/>
    </row>
    <row r="415" ht="15.75" customHeight="1">
      <c r="A415" s="15" t="s">
        <v>3374</v>
      </c>
      <c r="B415" s="15" t="s">
        <v>60</v>
      </c>
      <c r="C415" s="15" t="s">
        <v>264</v>
      </c>
      <c r="D415" s="15" t="s">
        <v>3375</v>
      </c>
      <c r="E415" s="15" t="s">
        <v>3375</v>
      </c>
      <c r="F415" s="65" t="s">
        <v>788</v>
      </c>
      <c r="G415" s="66" t="s">
        <v>98</v>
      </c>
      <c r="H415" s="18" t="s">
        <v>3377</v>
      </c>
      <c r="I415" s="18" t="s">
        <v>8395</v>
      </c>
      <c r="J415" s="18" t="s">
        <v>98</v>
      </c>
      <c r="K415" s="18" t="s">
        <v>98</v>
      </c>
      <c r="L415" s="18" t="s">
        <v>98</v>
      </c>
      <c r="M415" s="18" t="s">
        <v>98</v>
      </c>
      <c r="N415" s="18" t="s">
        <v>98</v>
      </c>
      <c r="O415" s="18" t="s">
        <v>98</v>
      </c>
      <c r="P415" s="15" t="str">
        <f t="shared" si="1"/>
        <v>VERIFY</v>
      </c>
      <c r="Q415" s="15">
        <f t="shared" si="2"/>
        <v>4</v>
      </c>
      <c r="R415" s="15">
        <f t="shared" si="3"/>
        <v>6</v>
      </c>
      <c r="S415" s="15">
        <f t="shared" si="4"/>
        <v>2</v>
      </c>
      <c r="T415" s="15" t="str">
        <f t="shared" si="5"/>
        <v>B-4</v>
      </c>
      <c r="U415" s="15" t="str">
        <f t="shared" si="6"/>
        <v>T4-M6-H2-FB-4-VERIFY</v>
      </c>
      <c r="V415" s="15">
        <f t="shared" si="7"/>
        <v>0</v>
      </c>
      <c r="W415" s="31"/>
      <c r="X415" s="15" t="str">
        <f t="shared" si="8"/>
        <v>hingoli</v>
      </c>
      <c r="Y415" s="32" t="str">
        <f t="shared" si="9"/>
        <v>https://steelmanufacturer.in/market-area/electropolished-pipes-manufacturer-in-hingoli/</v>
      </c>
      <c r="Z415" s="15" t="str">
        <f t="shared" si="10"/>
        <v>Electropolished Pipes Manufacturer in Hingoli</v>
      </c>
      <c r="AA415" s="15" t="str">
        <f t="shared" si="11"/>
        <v>OK (45)</v>
      </c>
      <c r="AB415" s="15" t="str">
        <f t="shared" si="12"/>
        <v>EP tube and pipe for VERIFY plants around MIDC Industrial Area, Hingoli. Made at our Mumbai works to ASTM A270 and ASME BPE SF1-SF4, with 3.1 MTC.</v>
      </c>
      <c r="AC415" s="15" t="str">
        <f t="shared" si="13"/>
        <v>PENDING RESEARCH</v>
      </c>
      <c r="AD415" s="15" t="str">
        <f t="shared" si="14"/>
        <v>Electropolished Pipes Manufacturer in Hingoli</v>
      </c>
      <c r="AE415" s="15" t="str">
        <f t="shared" si="15"/>
        <v>How We Manufacture Electropolished Tube for Hingoli Plants</v>
      </c>
      <c r="AF415" s="15" t="str">
        <f t="shared" si="16"/>
        <v>Supplying Electropolished Pipes in Hingoli: Availability, Sizes &amp; Dispatch</v>
      </c>
      <c r="AG415" s="15" t="str">
        <f t="shared" si="17"/>
        <v>Wholesale Electropolished Pipe Supply for Hingoli Projects</v>
      </c>
      <c r="AH415" s="15" t="str">
        <f t="shared" si="18"/>
        <v>electropolished pipes manufacturer in Hingoli, electropolished pipes supplier in Hingoli, electropolished pipes wholesaler in Hingoli, electropolished tube manufacturer Hingoli, EP pipe supplier Hingoli, sanitary tube supplier Hingoli, ASME BPE tubing Hingoli, ASTM A270 tube Hingoli, SS 316L electropolished pipe Hingoli</v>
      </c>
      <c r="AI415" s="15" t="str">
        <f t="shared" si="19"/>
        <v>Electropolished Pipes Manufacturer &amp; Supplier in Hingoli</v>
      </c>
      <c r="AJ415" s="15" t="str">
        <f t="shared" si="20"/>
        <v>EP-finished SS 304/316L pipes and tubes for VERIFY plants in Hingoli. ASME BPE SF1-SF4, Ra from 0.25 um, EN 10204 3.1 certificate with every lot.</v>
      </c>
      <c r="AK415" s="15" t="str">
        <f t="shared" si="21"/>
        <v>Electropolished stainless steel pipes supplied by Sakshi Forge to VERIFY plants at MIDC Industrial Area, Hingoli</v>
      </c>
      <c r="AL415" s="15" t="str">
        <f t="shared" si="22"/>
        <v>Electropolished SS 316L tube stock for Hingoli - Sakshi Forge</v>
      </c>
      <c r="AM415" s="15" t="str">
        <f t="shared" si="23"/>
        <v>Home &gt; Market Area &gt; India &gt; Maharashtra &gt; Hingoli</v>
      </c>
      <c r="AN415" s="15">
        <f t="shared" si="24"/>
        <v>1000</v>
      </c>
      <c r="AO415" s="15">
        <f t="shared" si="25"/>
        <v>8</v>
      </c>
      <c r="AP415" s="15">
        <f t="shared" si="26"/>
        <v>8</v>
      </c>
      <c r="AQ415" s="15">
        <f t="shared" si="27"/>
        <v>7</v>
      </c>
      <c r="AR415" s="31"/>
      <c r="AS415" s="31"/>
      <c r="AT415" s="35" t="s">
        <v>222</v>
      </c>
      <c r="AU415" s="35"/>
    </row>
    <row r="416" ht="15.75" customHeight="1">
      <c r="A416" s="15" t="s">
        <v>3378</v>
      </c>
      <c r="B416" s="15" t="s">
        <v>60</v>
      </c>
      <c r="C416" s="15" t="s">
        <v>245</v>
      </c>
      <c r="D416" s="15" t="s">
        <v>3379</v>
      </c>
      <c r="E416" s="15" t="s">
        <v>3379</v>
      </c>
      <c r="F416" s="65" t="s">
        <v>788</v>
      </c>
      <c r="G416" s="66" t="s">
        <v>98</v>
      </c>
      <c r="H416" s="18" t="s">
        <v>3382</v>
      </c>
      <c r="I416" s="18" t="s">
        <v>8407</v>
      </c>
      <c r="J416" s="18" t="s">
        <v>98</v>
      </c>
      <c r="K416" s="18" t="s">
        <v>98</v>
      </c>
      <c r="L416" s="18" t="s">
        <v>98</v>
      </c>
      <c r="M416" s="18" t="s">
        <v>98</v>
      </c>
      <c r="N416" s="18" t="s">
        <v>98</v>
      </c>
      <c r="O416" s="18" t="s">
        <v>98</v>
      </c>
      <c r="P416" s="15" t="str">
        <f t="shared" si="1"/>
        <v>VERIFY</v>
      </c>
      <c r="Q416" s="15">
        <f t="shared" si="2"/>
        <v>5</v>
      </c>
      <c r="R416" s="15">
        <f t="shared" si="3"/>
        <v>7</v>
      </c>
      <c r="S416" s="15">
        <f t="shared" si="4"/>
        <v>3</v>
      </c>
      <c r="T416" s="15" t="str">
        <f t="shared" si="5"/>
        <v>B-5</v>
      </c>
      <c r="U416" s="15" t="str">
        <f t="shared" si="6"/>
        <v>T5-M7-H3-FB-5-VERIFY</v>
      </c>
      <c r="V416" s="15">
        <f t="shared" si="7"/>
        <v>0</v>
      </c>
      <c r="W416" s="31"/>
      <c r="X416" s="15" t="str">
        <f t="shared" si="8"/>
        <v>hisar</v>
      </c>
      <c r="Y416" s="32" t="str">
        <f t="shared" si="9"/>
        <v>https://steelmanufacturer.in/market-area/electropolished-pipes-manufacturer-in-hisar/</v>
      </c>
      <c r="Z416" s="15" t="str">
        <f t="shared" si="10"/>
        <v>Electropolished Pipes Manufacturer in Hisar</v>
      </c>
      <c r="AA416" s="15" t="str">
        <f t="shared" si="11"/>
        <v>OK (43)</v>
      </c>
      <c r="AB416" s="15" t="str">
        <f t="shared" si="12"/>
        <v>Electropolished pipes in Hisar: 304, 304L, 316 and 316L in SF1-SF4. VERIFY. Mill certified.</v>
      </c>
      <c r="AC416" s="15" t="str">
        <f t="shared" si="13"/>
        <v>PENDING RESEARCH</v>
      </c>
      <c r="AD416" s="15" t="str">
        <f t="shared" si="14"/>
        <v>Electropolished Pipes Manufacturer in Hisar</v>
      </c>
      <c r="AE416" s="15" t="str">
        <f t="shared" si="15"/>
        <v>Electropolished Pipes Manufacturer in Hisar - Our Process &amp; Capability</v>
      </c>
      <c r="AF416" s="15" t="str">
        <f t="shared" si="16"/>
        <v>Electropolished Pipes Supplier in Hisar - What We Hold in Stock</v>
      </c>
      <c r="AG416" s="15" t="str">
        <f t="shared" si="17"/>
        <v>Bulk &amp; Wholesale Electropolished Pipe Rates for Hisar Buyers</v>
      </c>
      <c r="AH416" s="15" t="str">
        <f t="shared" si="18"/>
        <v>electropolished pipes manufacturer in Hisar, electropolished pipes supplier in Hisar, electropolished pipes wholesaler in Hisar, electropolished tube manufacturer Hisar, EP pipe supplier Hisar, sanitary tube supplier Hisar, ASME BPE tubing Hisar, ASTM A270 tube Hisar, SS 316L electropolished pipe Hisar</v>
      </c>
      <c r="AI416" s="15" t="str">
        <f t="shared" si="19"/>
        <v>Electropolished Pipes Manufacturer &amp; Supplier in Hisar</v>
      </c>
      <c r="AJ416" s="15" t="str">
        <f t="shared" si="20"/>
        <v>EP-finished SS 304/316L pipes and tubes for VERIFY plants in Hisar. ASME BPE SF1-SF4, Ra from 0.25 um, EN 10204 3.1 certificate with every lot.</v>
      </c>
      <c r="AK416" s="15" t="str">
        <f t="shared" si="21"/>
        <v>Electropolished stainless steel pipes supplied by Sakshi Forge to VERIFY plants at HSIIDC Industrial Area, Hisar</v>
      </c>
      <c r="AL416" s="15" t="str">
        <f t="shared" si="22"/>
        <v>Electropolished SS 316L tube stock for Hisar - Sakshi Forge</v>
      </c>
      <c r="AM416" s="15" t="str">
        <f t="shared" si="23"/>
        <v>Home &gt; Market Area &gt; India &gt; Haryana &gt; Hisar</v>
      </c>
      <c r="AN416" s="15">
        <f t="shared" si="24"/>
        <v>1000</v>
      </c>
      <c r="AO416" s="15">
        <f t="shared" si="25"/>
        <v>8</v>
      </c>
      <c r="AP416" s="15">
        <f t="shared" si="26"/>
        <v>8</v>
      </c>
      <c r="AQ416" s="15">
        <f t="shared" si="27"/>
        <v>7</v>
      </c>
      <c r="AR416" s="31"/>
      <c r="AS416" s="31"/>
      <c r="AT416" s="35" t="s">
        <v>222</v>
      </c>
      <c r="AU416" s="35"/>
    </row>
    <row r="417" ht="15.75" customHeight="1">
      <c r="A417" s="15" t="s">
        <v>3383</v>
      </c>
      <c r="B417" s="15" t="s">
        <v>60</v>
      </c>
      <c r="C417" s="15" t="s">
        <v>842</v>
      </c>
      <c r="D417" s="15" t="s">
        <v>3385</v>
      </c>
      <c r="E417" s="15" t="s">
        <v>3385</v>
      </c>
      <c r="F417" s="65" t="s">
        <v>788</v>
      </c>
      <c r="G417" s="66" t="s">
        <v>98</v>
      </c>
      <c r="H417" s="18" t="s">
        <v>3387</v>
      </c>
      <c r="I417" s="18" t="s">
        <v>8413</v>
      </c>
      <c r="J417" s="18" t="s">
        <v>98</v>
      </c>
      <c r="K417" s="18" t="s">
        <v>98</v>
      </c>
      <c r="L417" s="18" t="s">
        <v>98</v>
      </c>
      <c r="M417" s="18" t="s">
        <v>98</v>
      </c>
      <c r="N417" s="18" t="s">
        <v>98</v>
      </c>
      <c r="O417" s="18" t="s">
        <v>98</v>
      </c>
      <c r="P417" s="15" t="str">
        <f t="shared" si="1"/>
        <v>VERIFY</v>
      </c>
      <c r="Q417" s="15">
        <f t="shared" si="2"/>
        <v>6</v>
      </c>
      <c r="R417" s="15">
        <f t="shared" si="3"/>
        <v>1</v>
      </c>
      <c r="S417" s="15">
        <f t="shared" si="4"/>
        <v>4</v>
      </c>
      <c r="T417" s="15" t="str">
        <f t="shared" si="5"/>
        <v>B-6</v>
      </c>
      <c r="U417" s="15" t="str">
        <f t="shared" si="6"/>
        <v>T6-M1-H4-FB-6-VERIFY</v>
      </c>
      <c r="V417" s="15">
        <f t="shared" si="7"/>
        <v>0</v>
      </c>
      <c r="W417" s="31"/>
      <c r="X417" s="15" t="str">
        <f t="shared" si="8"/>
        <v>hoshangabad</v>
      </c>
      <c r="Y417" s="32" t="str">
        <f t="shared" si="9"/>
        <v>https://steelmanufacturer.in/market-area/electropolished-pipes-manufacturer-in-hoshangabad/</v>
      </c>
      <c r="Z417" s="15" t="str">
        <f t="shared" si="10"/>
        <v>Electropolished Pipes Manufacturer in Hoshangabad</v>
      </c>
      <c r="AA417" s="15" t="str">
        <f t="shared" si="11"/>
        <v>OK (49)</v>
      </c>
      <c r="AB417" s="15" t="str">
        <f t="shared" si="12"/>
        <v>EP-finished SS 304/316L pipes &amp; tubes for VERIFY plants in Hoshangabad. ASTM A270, ASME BPE SF1-SF4, EN 10204 3.1 MTC. PMI tested.</v>
      </c>
      <c r="AC417" s="15" t="str">
        <f t="shared" si="13"/>
        <v>PENDING RESEARCH</v>
      </c>
      <c r="AD417" s="15" t="str">
        <f t="shared" si="14"/>
        <v>Electropolished Pipes Manufacturer in Hoshangabad</v>
      </c>
      <c r="AE417" s="15" t="str">
        <f t="shared" si="15"/>
        <v>Manufacturing Electropolished SS Tube for Hoshangabad: The Standards We Build To</v>
      </c>
      <c r="AF417" s="15" t="str">
        <f t="shared" si="16"/>
        <v>Electropolished Pipe Supply Into Hoshangabad - Certification &amp; Transit</v>
      </c>
      <c r="AG417" s="15" t="str">
        <f t="shared" si="17"/>
        <v>Electropolished Pipes Wholesaler in Hoshangabad - Project Quantities &amp; Terms</v>
      </c>
      <c r="AH417" s="15" t="str">
        <f t="shared" si="18"/>
        <v>electropolished pipes manufacturer in Hoshangabad, electropolished pipes supplier in Hoshangabad, electropolished pipes wholesaler in Hoshangabad, electropolished tube manufacturer Hoshangabad, EP pipe supplier Hoshangabad, sanitary tube supplier Hoshangabad, ASME BPE tubing Hoshangabad, ASTM A270 tube Hoshangabad, SS 316L electropolished pipe Hoshangabad</v>
      </c>
      <c r="AI417" s="15" t="str">
        <f t="shared" si="19"/>
        <v>Electropolished Pipes Manufacturer &amp; Supplier in Hoshangabad</v>
      </c>
      <c r="AJ417" s="15" t="str">
        <f t="shared" si="20"/>
        <v>EP-finished SS 304/316L pipes and tubes for VERIFY plants in Hoshangabad. ASME BPE SF1-SF4, Ra from 0.25 um, EN 10204 3.1 certificate with every lot.</v>
      </c>
      <c r="AK417" s="15" t="str">
        <f t="shared" si="21"/>
        <v>Electropolished stainless steel pipes supplied by Sakshi Forge to VERIFY plants at MPIDC Industrial Area, Hoshangabad</v>
      </c>
      <c r="AL417" s="15" t="str">
        <f t="shared" si="22"/>
        <v>Electropolished SS 316L tube stock for Hoshangabad - Sakshi Forge</v>
      </c>
      <c r="AM417" s="15" t="str">
        <f t="shared" si="23"/>
        <v>Home &gt; Market Area &gt; India &gt; Madhya Pradesh &gt; Hoshangabad</v>
      </c>
      <c r="AN417" s="15">
        <f t="shared" si="24"/>
        <v>1000</v>
      </c>
      <c r="AO417" s="15">
        <f t="shared" si="25"/>
        <v>8</v>
      </c>
      <c r="AP417" s="15">
        <f t="shared" si="26"/>
        <v>8</v>
      </c>
      <c r="AQ417" s="15">
        <f t="shared" si="27"/>
        <v>7</v>
      </c>
      <c r="AR417" s="31"/>
      <c r="AS417" s="31"/>
      <c r="AT417" s="35" t="s">
        <v>222</v>
      </c>
      <c r="AU417" s="35"/>
    </row>
    <row r="418" ht="15.75" customHeight="1">
      <c r="A418" s="15" t="s">
        <v>3388</v>
      </c>
      <c r="B418" s="15" t="s">
        <v>60</v>
      </c>
      <c r="C418" s="15" t="s">
        <v>354</v>
      </c>
      <c r="D418" s="15" t="s">
        <v>3390</v>
      </c>
      <c r="E418" s="15" t="s">
        <v>3390</v>
      </c>
      <c r="F418" s="65" t="s">
        <v>788</v>
      </c>
      <c r="G418" s="66" t="s">
        <v>98</v>
      </c>
      <c r="H418" s="18" t="s">
        <v>3392</v>
      </c>
      <c r="I418" s="18" t="s">
        <v>8408</v>
      </c>
      <c r="J418" s="18" t="s">
        <v>98</v>
      </c>
      <c r="K418" s="18" t="s">
        <v>98</v>
      </c>
      <c r="L418" s="18" t="s">
        <v>98</v>
      </c>
      <c r="M418" s="18" t="s">
        <v>98</v>
      </c>
      <c r="N418" s="18" t="s">
        <v>98</v>
      </c>
      <c r="O418" s="18" t="s">
        <v>98</v>
      </c>
      <c r="P418" s="15" t="str">
        <f t="shared" si="1"/>
        <v>VERIFY</v>
      </c>
      <c r="Q418" s="15">
        <f t="shared" si="2"/>
        <v>7</v>
      </c>
      <c r="R418" s="15">
        <f t="shared" si="3"/>
        <v>2</v>
      </c>
      <c r="S418" s="15">
        <f t="shared" si="4"/>
        <v>5</v>
      </c>
      <c r="T418" s="15" t="str">
        <f t="shared" si="5"/>
        <v>B-1</v>
      </c>
      <c r="U418" s="15" t="str">
        <f t="shared" si="6"/>
        <v>T7-M2-H5-FB-1-VERIFY</v>
      </c>
      <c r="V418" s="15">
        <f t="shared" si="7"/>
        <v>0</v>
      </c>
      <c r="W418" s="31"/>
      <c r="X418" s="15" t="str">
        <f t="shared" si="8"/>
        <v>hoshiarpur</v>
      </c>
      <c r="Y418" s="32" t="str">
        <f t="shared" si="9"/>
        <v>https://steelmanufacturer.in/market-area/electropolished-pipes-manufacturer-in-hoshiarpur/</v>
      </c>
      <c r="Z418" s="15" t="str">
        <f t="shared" si="10"/>
        <v>Electropolished Pipes Manufacturer in Hoshiarpur</v>
      </c>
      <c r="AA418" s="15" t="str">
        <f t="shared" si="11"/>
        <v>OK (48)</v>
      </c>
      <c r="AB418" s="15" t="str">
        <f t="shared" si="12"/>
        <v>Electropolished tube supply to PSIEC Industrial Area, Hoshiarpur. Ra from 0.25 um, SF4 finish, mill test certificate with every lot.</v>
      </c>
      <c r="AC418" s="15" t="str">
        <f t="shared" si="13"/>
        <v>PENDING RESEARCH</v>
      </c>
      <c r="AD418" s="15" t="str">
        <f t="shared" si="14"/>
        <v>Electropolished Pipes Manufacturer in Hoshiarpur</v>
      </c>
      <c r="AE418" s="15" t="str">
        <f t="shared" si="15"/>
        <v>Electropolished Tube Manufacturing Capability Serving Hoshiarpur</v>
      </c>
      <c r="AF418" s="15" t="str">
        <f t="shared" si="16"/>
        <v>Electropolished Pipes Supplier in Hoshiarpur - From Order to Delivery</v>
      </c>
      <c r="AG418" s="15" t="str">
        <f t="shared" si="17"/>
        <v>Stockist &amp; Wholesale Supply of Electropolished Pipes in Hoshiarpur</v>
      </c>
      <c r="AH418" s="15" t="str">
        <f t="shared" si="18"/>
        <v>electropolished pipes manufacturer in Hoshiarpur, electropolished pipes supplier in Hoshiarpur, electropolished pipes wholesaler in Hoshiarpur, electropolished tube manufacturer Hoshiarpur, EP pipe supplier Hoshiarpur, sanitary tube supplier Hoshiarpur, ASME BPE tubing Hoshiarpur, ASTM A270 tube Hoshiarpur, SS 316L electropolished pipe Hoshiarpur</v>
      </c>
      <c r="AI418" s="15" t="str">
        <f t="shared" si="19"/>
        <v>Electropolished Pipes Manufacturer &amp; Supplier in Hoshiarpur</v>
      </c>
      <c r="AJ418" s="15" t="str">
        <f t="shared" si="20"/>
        <v>EP-finished SS 304/316L pipes and tubes for VERIFY plants in Hoshiarpur. ASME BPE SF1-SF4, Ra from 0.25 um, EN 10204 3.1 certificate with every lot.</v>
      </c>
      <c r="AK418" s="15" t="str">
        <f t="shared" si="21"/>
        <v>Electropolished stainless steel pipes supplied by Sakshi Forge to VERIFY plants at PSIEC Industrial Area, Hoshiarpur</v>
      </c>
      <c r="AL418" s="15" t="str">
        <f t="shared" si="22"/>
        <v>Electropolished SS 316L tube stock for Hoshiarpur - Sakshi Forge</v>
      </c>
      <c r="AM418" s="15" t="str">
        <f t="shared" si="23"/>
        <v>Home &gt; Market Area &gt; India &gt; Punjab &gt; Hoshiarpur</v>
      </c>
      <c r="AN418" s="15">
        <f t="shared" si="24"/>
        <v>1000</v>
      </c>
      <c r="AO418" s="15">
        <f t="shared" si="25"/>
        <v>8</v>
      </c>
      <c r="AP418" s="15">
        <f t="shared" si="26"/>
        <v>8</v>
      </c>
      <c r="AQ418" s="15">
        <f t="shared" si="27"/>
        <v>7</v>
      </c>
      <c r="AR418" s="31"/>
      <c r="AS418" s="31"/>
      <c r="AT418" s="35" t="s">
        <v>222</v>
      </c>
      <c r="AU418" s="35"/>
    </row>
    <row r="419" ht="15.75" customHeight="1">
      <c r="A419" s="15" t="s">
        <v>3396</v>
      </c>
      <c r="B419" s="15" t="s">
        <v>60</v>
      </c>
      <c r="C419" s="15" t="s">
        <v>264</v>
      </c>
      <c r="D419" s="15" t="s">
        <v>3399</v>
      </c>
      <c r="E419" s="15" t="s">
        <v>3399</v>
      </c>
      <c r="F419" s="65" t="s">
        <v>788</v>
      </c>
      <c r="G419" s="66" t="s">
        <v>98</v>
      </c>
      <c r="H419" s="18" t="s">
        <v>3402</v>
      </c>
      <c r="I419" s="18" t="s">
        <v>8395</v>
      </c>
      <c r="J419" s="18" t="s">
        <v>98</v>
      </c>
      <c r="K419" s="18" t="s">
        <v>98</v>
      </c>
      <c r="L419" s="18" t="s">
        <v>98</v>
      </c>
      <c r="M419" s="18" t="s">
        <v>98</v>
      </c>
      <c r="N419" s="18" t="s">
        <v>98</v>
      </c>
      <c r="O419" s="18" t="s">
        <v>98</v>
      </c>
      <c r="P419" s="15" t="str">
        <f t="shared" si="1"/>
        <v>VERIFY</v>
      </c>
      <c r="Q419" s="15">
        <f t="shared" si="2"/>
        <v>8</v>
      </c>
      <c r="R419" s="15">
        <f t="shared" si="3"/>
        <v>3</v>
      </c>
      <c r="S419" s="15">
        <f t="shared" si="4"/>
        <v>1</v>
      </c>
      <c r="T419" s="15" t="str">
        <f t="shared" si="5"/>
        <v>B-2</v>
      </c>
      <c r="U419" s="15" t="str">
        <f t="shared" si="6"/>
        <v>T8-M3-H1-FB-2-VERIFY</v>
      </c>
      <c r="V419" s="15">
        <f t="shared" si="7"/>
        <v>0</v>
      </c>
      <c r="W419" s="31"/>
      <c r="X419" s="15" t="str">
        <f t="shared" si="8"/>
        <v>ichalkaranji</v>
      </c>
      <c r="Y419" s="32" t="str">
        <f t="shared" si="9"/>
        <v>https://steelmanufacturer.in/market-area/electropolished-pipes-manufacturer-in-ichalkaranji/</v>
      </c>
      <c r="Z419" s="15" t="str">
        <f t="shared" si="10"/>
        <v>Electropolished Pipes Manufacturer in Ichalkaranji</v>
      </c>
      <c r="AA419" s="15" t="str">
        <f t="shared" si="11"/>
        <v>OK (50)</v>
      </c>
      <c r="AB419" s="15" t="str">
        <f t="shared" si="12"/>
        <v>EP stainless tube for VERIFY lines in Ichalkaranji. VERIFY. ASTM A270 S2, PMI tested, EN 10204 3.1.</v>
      </c>
      <c r="AC419" s="15" t="str">
        <f t="shared" si="13"/>
        <v>PENDING RESEARCH</v>
      </c>
      <c r="AD419" s="15" t="str">
        <f t="shared" si="14"/>
        <v>Electropolished Pipes Manufacturer in Ichalkaranji</v>
      </c>
      <c r="AE419" s="15" t="str">
        <f t="shared" si="15"/>
        <v>Electropolished Pipe &amp; Tube Manufacturing for Ichalkaranji - Grades, Finishes &amp; Certification</v>
      </c>
      <c r="AF419" s="15" t="str">
        <f t="shared" si="16"/>
        <v>Electropolished Pipes Supplier in Ichalkaranji - Stock Sizes, Lead Time &amp; Delivery</v>
      </c>
      <c r="AG419" s="15" t="str">
        <f t="shared" si="17"/>
        <v>Electropolished Pipes Wholesaler &amp; Stockist in Ichalkaranji - Bulk &amp; Project Pricing</v>
      </c>
      <c r="AH419" s="15" t="str">
        <f t="shared" si="18"/>
        <v>electropolished pipes manufacturer in Ichalkaranji, electropolished pipes supplier in Ichalkaranji, electropolished pipes wholesaler in Ichalkaranji, electropolished tube manufacturer Ichalkaranji, EP pipe supplier Ichalkaranji, sanitary tube supplier Ichalkaranji, ASME BPE tubing Ichalkaranji, ASTM A270 tube Ichalkaranji, SS 316L electropolished pipe Ichalkaranji</v>
      </c>
      <c r="AI419" s="15" t="str">
        <f t="shared" si="19"/>
        <v>Electropolished Pipes Manufacturer &amp; Supplier in Ichalkaranji</v>
      </c>
      <c r="AJ419" s="15" t="str">
        <f t="shared" si="20"/>
        <v>EP-finished SS 304/316L pipes and tubes for VERIFY plants in Ichalkaranji. ASME BPE SF1-SF4, Ra from 0.25 um, EN 10204 3.1 certificate with every lot.</v>
      </c>
      <c r="AK419" s="15" t="str">
        <f t="shared" si="21"/>
        <v>Electropolished stainless steel pipes supplied by Sakshi Forge to VERIFY plants at MIDC Industrial Area, Ichalkaranji</v>
      </c>
      <c r="AL419" s="15" t="str">
        <f t="shared" si="22"/>
        <v>Electropolished SS 316L tube stock for Ichalkaranji - Sakshi Forge</v>
      </c>
      <c r="AM419" s="15" t="str">
        <f t="shared" si="23"/>
        <v>Home &gt; Market Area &gt; India &gt; Maharashtra &gt; Ichalkaranji</v>
      </c>
      <c r="AN419" s="15">
        <f t="shared" si="24"/>
        <v>1000</v>
      </c>
      <c r="AO419" s="15">
        <f t="shared" si="25"/>
        <v>8</v>
      </c>
      <c r="AP419" s="15">
        <f t="shared" si="26"/>
        <v>8</v>
      </c>
      <c r="AQ419" s="15">
        <f t="shared" si="27"/>
        <v>7</v>
      </c>
      <c r="AR419" s="31"/>
      <c r="AS419" s="31"/>
      <c r="AT419" s="35" t="s">
        <v>222</v>
      </c>
      <c r="AU419" s="35"/>
    </row>
    <row r="420" ht="15.75" customHeight="1">
      <c r="A420" s="15" t="s">
        <v>3403</v>
      </c>
      <c r="B420" s="15" t="s">
        <v>60</v>
      </c>
      <c r="C420" s="15" t="s">
        <v>1687</v>
      </c>
      <c r="D420" s="15" t="s">
        <v>3404</v>
      </c>
      <c r="E420" s="15" t="s">
        <v>3404</v>
      </c>
      <c r="F420" s="65" t="s">
        <v>788</v>
      </c>
      <c r="G420" s="66" t="s">
        <v>98</v>
      </c>
      <c r="H420" s="18" t="s">
        <v>3407</v>
      </c>
      <c r="I420" s="18" t="s">
        <v>8397</v>
      </c>
      <c r="J420" s="18" t="s">
        <v>98</v>
      </c>
      <c r="K420" s="18" t="s">
        <v>98</v>
      </c>
      <c r="L420" s="18" t="s">
        <v>98</v>
      </c>
      <c r="M420" s="18" t="s">
        <v>98</v>
      </c>
      <c r="N420" s="18" t="s">
        <v>98</v>
      </c>
      <c r="O420" s="18" t="s">
        <v>98</v>
      </c>
      <c r="P420" s="15" t="str">
        <f t="shared" si="1"/>
        <v>VERIFY</v>
      </c>
      <c r="Q420" s="15">
        <f t="shared" si="2"/>
        <v>1</v>
      </c>
      <c r="R420" s="15">
        <f t="shared" si="3"/>
        <v>4</v>
      </c>
      <c r="S420" s="15">
        <f t="shared" si="4"/>
        <v>2</v>
      </c>
      <c r="T420" s="15" t="str">
        <f t="shared" si="5"/>
        <v>B-3</v>
      </c>
      <c r="U420" s="15" t="str">
        <f t="shared" si="6"/>
        <v>T1-M4-H2-FB-3-VERIFY</v>
      </c>
      <c r="V420" s="15">
        <f t="shared" si="7"/>
        <v>0</v>
      </c>
      <c r="W420" s="31"/>
      <c r="X420" s="15" t="str">
        <f t="shared" si="8"/>
        <v>idukki</v>
      </c>
      <c r="Y420" s="32" t="str">
        <f t="shared" si="9"/>
        <v>https://steelmanufacturer.in/market-area/electropolished-pipes-manufacturer-in-idukki/</v>
      </c>
      <c r="Z420" s="15" t="str">
        <f t="shared" si="10"/>
        <v>Electropolished Pipes Manufacturer in Idukki | Sakshi Forge</v>
      </c>
      <c r="AA420" s="15" t="str">
        <f t="shared" si="11"/>
        <v>OK (59)</v>
      </c>
      <c r="AB420" s="15" t="str">
        <f t="shared" si="12"/>
        <v>Sanitary electropolished pipes in Idukki for VERIFY plants. ASME BPE SF1-SF4, orbital-weld ready, 3.1 MTC. Mumbai-made.</v>
      </c>
      <c r="AC420" s="15" t="str">
        <f t="shared" si="13"/>
        <v>PENDING RESEARCH</v>
      </c>
      <c r="AD420" s="15" t="str">
        <f t="shared" si="14"/>
        <v>Electropolished Pipes Manufacturer in Idukki</v>
      </c>
      <c r="AE420" s="15" t="str">
        <f t="shared" si="15"/>
        <v>How We Manufacture Electropolished Tube for Idukki Plants</v>
      </c>
      <c r="AF420" s="15" t="str">
        <f t="shared" si="16"/>
        <v>Supplying Electropolished Pipes in Idukki: Availability, Sizes &amp; Dispatch</v>
      </c>
      <c r="AG420" s="15" t="str">
        <f t="shared" si="17"/>
        <v>Wholesale Electropolished Pipe Supply for Idukki Projects</v>
      </c>
      <c r="AH420" s="15" t="str">
        <f t="shared" si="18"/>
        <v>electropolished pipes manufacturer in Idukki, electropolished pipes supplier in Idukki, electropolished pipes wholesaler in Idukki, electropolished tube manufacturer Idukki, EP pipe supplier Idukki, sanitary tube supplier Idukki, ASME BPE tubing Idukki, ASTM A270 tube Idukki, SS 316L electropolished pipe Idukki</v>
      </c>
      <c r="AI420" s="15" t="str">
        <f t="shared" si="19"/>
        <v>Electropolished Pipes Manufacturer &amp; Supplier in Idukki</v>
      </c>
      <c r="AJ420" s="15" t="str">
        <f t="shared" si="20"/>
        <v>EP-finished SS 304/316L pipes and tubes for VERIFY plants in Idukki. ASME BPE SF1-SF4, Ra from 0.25 um, EN 10204 3.1 certificate with every lot.</v>
      </c>
      <c r="AK420" s="15" t="str">
        <f t="shared" si="21"/>
        <v>Electropolished stainless steel pipes supplied by Sakshi Forge to VERIFY plants at KINFRA Industrial Area, Idukki</v>
      </c>
      <c r="AL420" s="15" t="str">
        <f t="shared" si="22"/>
        <v>Electropolished SS 316L tube stock for Idukki - Sakshi Forge</v>
      </c>
      <c r="AM420" s="15" t="str">
        <f t="shared" si="23"/>
        <v>Home &gt; Market Area &gt; India &gt; Kerala &gt; Idukki</v>
      </c>
      <c r="AN420" s="15">
        <f t="shared" si="24"/>
        <v>1000</v>
      </c>
      <c r="AO420" s="15">
        <f t="shared" si="25"/>
        <v>8</v>
      </c>
      <c r="AP420" s="15">
        <f t="shared" si="26"/>
        <v>8</v>
      </c>
      <c r="AQ420" s="15">
        <f t="shared" si="27"/>
        <v>7</v>
      </c>
      <c r="AR420" s="31"/>
      <c r="AS420" s="31"/>
      <c r="AT420" s="35" t="s">
        <v>222</v>
      </c>
      <c r="AU420" s="35"/>
    </row>
    <row r="421" ht="15.75" customHeight="1">
      <c r="A421" s="15" t="s">
        <v>3409</v>
      </c>
      <c r="B421" s="15" t="s">
        <v>60</v>
      </c>
      <c r="C421" s="15" t="s">
        <v>264</v>
      </c>
      <c r="D421" s="15" t="s">
        <v>3411</v>
      </c>
      <c r="E421" s="15" t="s">
        <v>3411</v>
      </c>
      <c r="F421" s="65" t="s">
        <v>788</v>
      </c>
      <c r="G421" s="66" t="s">
        <v>98</v>
      </c>
      <c r="H421" s="18" t="s">
        <v>3413</v>
      </c>
      <c r="I421" s="18" t="s">
        <v>8395</v>
      </c>
      <c r="J421" s="18" t="s">
        <v>98</v>
      </c>
      <c r="K421" s="18" t="s">
        <v>98</v>
      </c>
      <c r="L421" s="18" t="s">
        <v>98</v>
      </c>
      <c r="M421" s="18" t="s">
        <v>98</v>
      </c>
      <c r="N421" s="18" t="s">
        <v>98</v>
      </c>
      <c r="O421" s="18" t="s">
        <v>98</v>
      </c>
      <c r="P421" s="15" t="str">
        <f t="shared" si="1"/>
        <v>VERIFY</v>
      </c>
      <c r="Q421" s="15">
        <f t="shared" si="2"/>
        <v>2</v>
      </c>
      <c r="R421" s="15">
        <f t="shared" si="3"/>
        <v>5</v>
      </c>
      <c r="S421" s="15">
        <f t="shared" si="4"/>
        <v>3</v>
      </c>
      <c r="T421" s="15" t="str">
        <f t="shared" si="5"/>
        <v>B-4</v>
      </c>
      <c r="U421" s="15" t="str">
        <f t="shared" si="6"/>
        <v>T2-M5-H3-FB-4-VERIFY</v>
      </c>
      <c r="V421" s="15">
        <f t="shared" si="7"/>
        <v>0</v>
      </c>
      <c r="W421" s="31"/>
      <c r="X421" s="15" t="str">
        <f t="shared" si="8"/>
        <v>igatpuri</v>
      </c>
      <c r="Y421" s="32" t="str">
        <f t="shared" si="9"/>
        <v>https://steelmanufacturer.in/market-area/electropolished-pipes-manufacturer-in-igatpuri/</v>
      </c>
      <c r="Z421" s="15" t="str">
        <f t="shared" si="10"/>
        <v>Electropolished Pipes Manufacturer in Igatpuri</v>
      </c>
      <c r="AA421" s="15" t="str">
        <f t="shared" si="11"/>
        <v>OK (46)</v>
      </c>
      <c r="AB421" s="15" t="str">
        <f t="shared" si="12"/>
        <v>Manufacturer of electropolished SS 316L tube serving Igatpuri. VERIFY. Ra 0.25-0.5 um, EN 10204 3.1 MTC.</v>
      </c>
      <c r="AC421" s="15" t="str">
        <f t="shared" si="13"/>
        <v>PENDING RESEARCH</v>
      </c>
      <c r="AD421" s="15" t="str">
        <f t="shared" si="14"/>
        <v>Electropolished Pipes Manufacturer in Igatpuri</v>
      </c>
      <c r="AE421" s="15" t="str">
        <f t="shared" si="15"/>
        <v>Electropolished Pipes Manufacturer in Igatpuri - Our Process &amp; Capability</v>
      </c>
      <c r="AF421" s="15" t="str">
        <f t="shared" si="16"/>
        <v>Electropolished Pipes Supplier in Igatpuri - What We Hold in Stock</v>
      </c>
      <c r="AG421" s="15" t="str">
        <f t="shared" si="17"/>
        <v>Bulk &amp; Wholesale Electropolished Pipe Rates for Igatpuri Buyers</v>
      </c>
      <c r="AH421" s="15" t="str">
        <f t="shared" si="18"/>
        <v>electropolished pipes manufacturer in Igatpuri, electropolished pipes supplier in Igatpuri, electropolished pipes wholesaler in Igatpuri, electropolished tube manufacturer Igatpuri, EP pipe supplier Igatpuri, sanitary tube supplier Igatpuri, ASME BPE tubing Igatpuri, ASTM A270 tube Igatpuri, SS 316L electropolished pipe Igatpuri</v>
      </c>
      <c r="AI421" s="15" t="str">
        <f t="shared" si="19"/>
        <v>Electropolished Pipes Manufacturer &amp; Supplier in Igatpuri</v>
      </c>
      <c r="AJ421" s="15" t="str">
        <f t="shared" si="20"/>
        <v>EP-finished SS 304/316L pipes and tubes for VERIFY plants in Igatpuri. ASME BPE SF1-SF4, Ra from 0.25 um, EN 10204 3.1 certificate with every lot.</v>
      </c>
      <c r="AK421" s="15" t="str">
        <f t="shared" si="21"/>
        <v>Electropolished stainless steel pipes supplied by Sakshi Forge to VERIFY plants at MIDC Industrial Area, Igatpuri</v>
      </c>
      <c r="AL421" s="15" t="str">
        <f t="shared" si="22"/>
        <v>Electropolished SS 316L tube stock for Igatpuri - Sakshi Forge</v>
      </c>
      <c r="AM421" s="15" t="str">
        <f t="shared" si="23"/>
        <v>Home &gt; Market Area &gt; India &gt; Maharashtra &gt; Igatpuri</v>
      </c>
      <c r="AN421" s="15">
        <f t="shared" si="24"/>
        <v>1000</v>
      </c>
      <c r="AO421" s="15">
        <f t="shared" si="25"/>
        <v>8</v>
      </c>
      <c r="AP421" s="15">
        <f t="shared" si="26"/>
        <v>8</v>
      </c>
      <c r="AQ421" s="15">
        <f t="shared" si="27"/>
        <v>7</v>
      </c>
      <c r="AR421" s="31"/>
      <c r="AS421" s="31"/>
      <c r="AT421" s="35" t="s">
        <v>222</v>
      </c>
      <c r="AU421" s="35"/>
    </row>
    <row r="422" ht="15.75" customHeight="1">
      <c r="A422" s="15" t="s">
        <v>3414</v>
      </c>
      <c r="B422" s="15" t="s">
        <v>60</v>
      </c>
      <c r="C422" s="15" t="s">
        <v>3415</v>
      </c>
      <c r="D422" s="15" t="s">
        <v>3416</v>
      </c>
      <c r="E422" s="15" t="s">
        <v>3416</v>
      </c>
      <c r="F422" s="65" t="s">
        <v>788</v>
      </c>
      <c r="G422" s="66" t="s">
        <v>98</v>
      </c>
      <c r="H422" s="18" t="s">
        <v>3418</v>
      </c>
      <c r="I422" s="18" t="s">
        <v>8419</v>
      </c>
      <c r="J422" s="18" t="s">
        <v>98</v>
      </c>
      <c r="K422" s="18" t="s">
        <v>98</v>
      </c>
      <c r="L422" s="18" t="s">
        <v>98</v>
      </c>
      <c r="M422" s="18" t="s">
        <v>98</v>
      </c>
      <c r="N422" s="18" t="s">
        <v>98</v>
      </c>
      <c r="O422" s="18" t="s">
        <v>98</v>
      </c>
      <c r="P422" s="15" t="str">
        <f t="shared" si="1"/>
        <v>VERIFY</v>
      </c>
      <c r="Q422" s="15">
        <f t="shared" si="2"/>
        <v>3</v>
      </c>
      <c r="R422" s="15">
        <f t="shared" si="3"/>
        <v>6</v>
      </c>
      <c r="S422" s="15">
        <f t="shared" si="4"/>
        <v>4</v>
      </c>
      <c r="T422" s="15" t="str">
        <f t="shared" si="5"/>
        <v>B-5</v>
      </c>
      <c r="U422" s="15" t="str">
        <f t="shared" si="6"/>
        <v>T3-M6-H4-FB-5-VERIFY</v>
      </c>
      <c r="V422" s="15">
        <f t="shared" si="7"/>
        <v>0</v>
      </c>
      <c r="W422" s="31"/>
      <c r="X422" s="15" t="str">
        <f t="shared" si="8"/>
        <v>imphal</v>
      </c>
      <c r="Y422" s="32" t="str">
        <f t="shared" si="9"/>
        <v>https://steelmanufacturer.in/market-area/electropolished-pipes-manufacturer-in-imphal/</v>
      </c>
      <c r="Z422" s="15" t="str">
        <f t="shared" si="10"/>
        <v>Electropolished Pipes Manufacturer in Imphal | EP Tube Supplier</v>
      </c>
      <c r="AA422" s="15" t="str">
        <f t="shared" si="11"/>
        <v>OK (63)</v>
      </c>
      <c r="AB422" s="15" t="str">
        <f t="shared" si="12"/>
        <v>EP tube and pipe for VERIFY plants around MANIDCO Industrial Area, Imphal. Made at our Mumbai works to ASTM A270 and ASME BPE SF1-SF4, with 3.1 MTC.</v>
      </c>
      <c r="AC422" s="15" t="str">
        <f t="shared" si="13"/>
        <v>PENDING RESEARCH</v>
      </c>
      <c r="AD422" s="15" t="str">
        <f t="shared" si="14"/>
        <v>Electropolished Pipes Manufacturer in Imphal</v>
      </c>
      <c r="AE422" s="15" t="str">
        <f t="shared" si="15"/>
        <v>Manufacturing Electropolished SS Tube for Imphal: The Standards We Build To</v>
      </c>
      <c r="AF422" s="15" t="str">
        <f t="shared" si="16"/>
        <v>Electropolished Pipe Supply Into Imphal - Certification &amp; Transit</v>
      </c>
      <c r="AG422" s="15" t="str">
        <f t="shared" si="17"/>
        <v>Electropolished Pipes Wholesaler in Imphal - Project Quantities &amp; Terms</v>
      </c>
      <c r="AH422" s="15" t="str">
        <f t="shared" si="18"/>
        <v>electropolished pipes manufacturer in Imphal, electropolished pipes supplier in Imphal, electropolished pipes wholesaler in Imphal, electropolished tube manufacturer Imphal, EP pipe supplier Imphal, sanitary tube supplier Imphal, ASME BPE tubing Imphal, ASTM A270 tube Imphal, SS 316L electropolished pipe Imphal</v>
      </c>
      <c r="AI422" s="15" t="str">
        <f t="shared" si="19"/>
        <v>Electropolished Pipes Manufacturer &amp; Supplier in Imphal</v>
      </c>
      <c r="AJ422" s="15" t="str">
        <f t="shared" si="20"/>
        <v>EP-finished SS 304/316L pipes and tubes for VERIFY plants in Imphal. ASME BPE SF1-SF4, Ra from 0.25 um, EN 10204 3.1 certificate with every lot.</v>
      </c>
      <c r="AK422" s="15" t="str">
        <f t="shared" si="21"/>
        <v>Electropolished stainless steel pipes supplied by Sakshi Forge to VERIFY plants at MANIDCO Industrial Area, Imphal</v>
      </c>
      <c r="AL422" s="15" t="str">
        <f t="shared" si="22"/>
        <v>Electropolished SS 316L tube stock for Imphal - Sakshi Forge</v>
      </c>
      <c r="AM422" s="15" t="str">
        <f t="shared" si="23"/>
        <v>Home &gt; Market Area &gt; India &gt; Manipur &gt; Imphal</v>
      </c>
      <c r="AN422" s="15">
        <f t="shared" si="24"/>
        <v>1000</v>
      </c>
      <c r="AO422" s="15">
        <f t="shared" si="25"/>
        <v>8</v>
      </c>
      <c r="AP422" s="15">
        <f t="shared" si="26"/>
        <v>8</v>
      </c>
      <c r="AQ422" s="15">
        <f t="shared" si="27"/>
        <v>7</v>
      </c>
      <c r="AR422" s="31"/>
      <c r="AS422" s="31"/>
      <c r="AT422" s="35" t="s">
        <v>222</v>
      </c>
      <c r="AU422" s="35"/>
    </row>
    <row r="423" ht="15.75" customHeight="1">
      <c r="A423" s="15" t="s">
        <v>3419</v>
      </c>
      <c r="B423" s="15" t="s">
        <v>60</v>
      </c>
      <c r="C423" s="15" t="s">
        <v>958</v>
      </c>
      <c r="D423" s="15" t="s">
        <v>3420</v>
      </c>
      <c r="E423" s="15" t="s">
        <v>3420</v>
      </c>
      <c r="F423" s="65" t="s">
        <v>788</v>
      </c>
      <c r="G423" s="66" t="s">
        <v>98</v>
      </c>
      <c r="H423" s="18" t="s">
        <v>3422</v>
      </c>
      <c r="I423" s="18" t="s">
        <v>8403</v>
      </c>
      <c r="J423" s="18" t="s">
        <v>98</v>
      </c>
      <c r="K423" s="18" t="s">
        <v>98</v>
      </c>
      <c r="L423" s="18" t="s">
        <v>98</v>
      </c>
      <c r="M423" s="18" t="s">
        <v>98</v>
      </c>
      <c r="N423" s="18" t="s">
        <v>98</v>
      </c>
      <c r="O423" s="18" t="s">
        <v>98</v>
      </c>
      <c r="P423" s="15" t="str">
        <f t="shared" si="1"/>
        <v>VERIFY</v>
      </c>
      <c r="Q423" s="15">
        <f t="shared" si="2"/>
        <v>4</v>
      </c>
      <c r="R423" s="15">
        <f t="shared" si="3"/>
        <v>7</v>
      </c>
      <c r="S423" s="15">
        <f t="shared" si="4"/>
        <v>5</v>
      </c>
      <c r="T423" s="15" t="str">
        <f t="shared" si="5"/>
        <v>B-6</v>
      </c>
      <c r="U423" s="15" t="str">
        <f t="shared" si="6"/>
        <v>T4-M7-H5-FB-6-VERIFY</v>
      </c>
      <c r="V423" s="15">
        <f t="shared" si="7"/>
        <v>0</v>
      </c>
      <c r="W423" s="31"/>
      <c r="X423" s="15" t="str">
        <f t="shared" si="8"/>
        <v>irungattukottai</v>
      </c>
      <c r="Y423" s="32" t="str">
        <f t="shared" si="9"/>
        <v>https://steelmanufacturer.in/market-area/electropolished-pipes-manufacturer-in-irungattukottai/</v>
      </c>
      <c r="Z423" s="15" t="str">
        <f t="shared" si="10"/>
        <v>Electropolished Pipes Manufacturer in Irungattukottai</v>
      </c>
      <c r="AA423" s="15" t="str">
        <f t="shared" si="11"/>
        <v>OK (53)</v>
      </c>
      <c r="AB423" s="15" t="str">
        <f t="shared" si="12"/>
        <v>Electropolished pipes in Irungattukottai: 304, 304L, 316 and 316L in SF1-SF4. VERIFY. Mill certified.</v>
      </c>
      <c r="AC423" s="15" t="str">
        <f t="shared" si="13"/>
        <v>PENDING RESEARCH</v>
      </c>
      <c r="AD423" s="15" t="str">
        <f t="shared" si="14"/>
        <v>Electropolished Pipes Manufacturer in Irungattukottai</v>
      </c>
      <c r="AE423" s="15" t="str">
        <f t="shared" si="15"/>
        <v>Electropolished Tube Manufacturing Capability Serving Irungattukottai</v>
      </c>
      <c r="AF423" s="15" t="str">
        <f t="shared" si="16"/>
        <v>Electropolished Pipes Supplier in Irungattukottai - From Order to Delivery</v>
      </c>
      <c r="AG423" s="15" t="str">
        <f t="shared" si="17"/>
        <v>Stockist &amp; Wholesale Supply of Electropolished Pipes in Irungattukottai</v>
      </c>
      <c r="AH423" s="15" t="str">
        <f t="shared" si="18"/>
        <v>electropolished pipes manufacturer in Irungattukottai, electropolished pipes supplier in Irungattukottai, electropolished pipes wholesaler in Irungattukottai, electropolished tube manufacturer Irungattukottai, EP pipe supplier Irungattukottai, sanitary tube supplier Irungattukottai, ASME BPE tubing Irungattukottai, ASTM A270 tube Irungattukottai, SS 316L electropolished pipe Irungattukottai</v>
      </c>
      <c r="AI423" s="15" t="str">
        <f t="shared" si="19"/>
        <v>Electropolished Pipes Manufacturer &amp; Supplier in Irungattukottai</v>
      </c>
      <c r="AJ423" s="15" t="str">
        <f t="shared" si="20"/>
        <v>EP-finished SS 304/316L pipes and tubes for VERIFY plants in Irungattukottai. ASME BPE SF1-SF4, Ra from 0.25 um, EN 10204 3.1 certificate with every lot.</v>
      </c>
      <c r="AK423" s="15" t="str">
        <f t="shared" si="21"/>
        <v>Electropolished stainless steel pipes supplied by Sakshi Forge to VERIFY plants at SIPCOT Industrial Area, Irungattukottai</v>
      </c>
      <c r="AL423" s="15" t="str">
        <f t="shared" si="22"/>
        <v>Electropolished SS 316L tube stock for Irungattukottai - Sakshi Forge</v>
      </c>
      <c r="AM423" s="15" t="str">
        <f t="shared" si="23"/>
        <v>Home &gt; Market Area &gt; India &gt; Tamil Nadu &gt; Irungattukottai</v>
      </c>
      <c r="AN423" s="15">
        <f t="shared" si="24"/>
        <v>1000</v>
      </c>
      <c r="AO423" s="15">
        <f t="shared" si="25"/>
        <v>8</v>
      </c>
      <c r="AP423" s="15">
        <f t="shared" si="26"/>
        <v>8</v>
      </c>
      <c r="AQ423" s="15">
        <f t="shared" si="27"/>
        <v>7</v>
      </c>
      <c r="AR423" s="31"/>
      <c r="AS423" s="31"/>
      <c r="AT423" s="35" t="s">
        <v>222</v>
      </c>
      <c r="AU423" s="35"/>
    </row>
    <row r="424" ht="15.75" customHeight="1">
      <c r="A424" s="15" t="s">
        <v>3426</v>
      </c>
      <c r="B424" s="15" t="s">
        <v>60</v>
      </c>
      <c r="C424" s="15" t="s">
        <v>3430</v>
      </c>
      <c r="D424" s="15" t="s">
        <v>3431</v>
      </c>
      <c r="E424" s="15" t="s">
        <v>3431</v>
      </c>
      <c r="F424" s="65" t="s">
        <v>788</v>
      </c>
      <c r="G424" s="66" t="s">
        <v>98</v>
      </c>
      <c r="H424" s="18" t="s">
        <v>3433</v>
      </c>
      <c r="I424" s="18" t="s">
        <v>8420</v>
      </c>
      <c r="J424" s="18" t="s">
        <v>98</v>
      </c>
      <c r="K424" s="18" t="s">
        <v>98</v>
      </c>
      <c r="L424" s="18" t="s">
        <v>98</v>
      </c>
      <c r="M424" s="18" t="s">
        <v>98</v>
      </c>
      <c r="N424" s="18" t="s">
        <v>98</v>
      </c>
      <c r="O424" s="18" t="s">
        <v>98</v>
      </c>
      <c r="P424" s="15" t="str">
        <f t="shared" si="1"/>
        <v>VERIFY</v>
      </c>
      <c r="Q424" s="15">
        <f t="shared" si="2"/>
        <v>5</v>
      </c>
      <c r="R424" s="15">
        <f t="shared" si="3"/>
        <v>1</v>
      </c>
      <c r="S424" s="15">
        <f t="shared" si="4"/>
        <v>1</v>
      </c>
      <c r="T424" s="15" t="str">
        <f t="shared" si="5"/>
        <v>B-1</v>
      </c>
      <c r="U424" s="15" t="str">
        <f t="shared" si="6"/>
        <v>T5-M1-H1-FB-1-VERIFY</v>
      </c>
      <c r="V424" s="15">
        <f t="shared" si="7"/>
        <v>0</v>
      </c>
      <c r="W424" s="31"/>
      <c r="X424" s="15" t="str">
        <f t="shared" si="8"/>
        <v>itanagar</v>
      </c>
      <c r="Y424" s="32" t="str">
        <f t="shared" si="9"/>
        <v>https://steelmanufacturer.in/market-area/electropolished-pipes-manufacturer-in-itanagar/</v>
      </c>
      <c r="Z424" s="15" t="str">
        <f t="shared" si="10"/>
        <v>Electropolished Pipes Manufacturer in Itanagar</v>
      </c>
      <c r="AA424" s="15" t="str">
        <f t="shared" si="11"/>
        <v>OK (46)</v>
      </c>
      <c r="AB424" s="15" t="str">
        <f t="shared" si="12"/>
        <v>EP-finished SS 304/316L pipes &amp; tubes for VERIFY plants in Itanagar. ASTM A270, ASME BPE SF1-SF4, EN 10204 3.1 MTC. PMI tested.</v>
      </c>
      <c r="AC424" s="15" t="str">
        <f t="shared" si="13"/>
        <v>PENDING RESEARCH</v>
      </c>
      <c r="AD424" s="15" t="str">
        <f t="shared" si="14"/>
        <v>Electropolished Pipes Manufacturer in Itanagar</v>
      </c>
      <c r="AE424" s="15" t="str">
        <f t="shared" si="15"/>
        <v>Electropolished Pipe &amp; Tube Manufacturing for Itanagar - Grades, Finishes &amp; Certification</v>
      </c>
      <c r="AF424" s="15" t="str">
        <f t="shared" si="16"/>
        <v>Electropolished Pipes Supplier in Itanagar - Stock Sizes, Lead Time &amp; Delivery</v>
      </c>
      <c r="AG424" s="15" t="str">
        <f t="shared" si="17"/>
        <v>Electropolished Pipes Wholesaler &amp; Stockist in Itanagar - Bulk &amp; Project Pricing</v>
      </c>
      <c r="AH424" s="15" t="str">
        <f t="shared" si="18"/>
        <v>electropolished pipes manufacturer in Itanagar, electropolished pipes supplier in Itanagar, electropolished pipes wholesaler in Itanagar, electropolished tube manufacturer Itanagar, EP pipe supplier Itanagar, sanitary tube supplier Itanagar, ASME BPE tubing Itanagar, ASTM A270 tube Itanagar, SS 316L electropolished pipe Itanagar</v>
      </c>
      <c r="AI424" s="15" t="str">
        <f t="shared" si="19"/>
        <v>Electropolished Pipes Manufacturer &amp; Supplier in Itanagar</v>
      </c>
      <c r="AJ424" s="15" t="str">
        <f t="shared" si="20"/>
        <v>EP-finished SS 304/316L pipes and tubes for VERIFY plants in Itanagar. ASME BPE SF1-SF4, Ra from 0.25 um, EN 10204 3.1 certificate with every lot.</v>
      </c>
      <c r="AK424" s="15" t="str">
        <f t="shared" si="21"/>
        <v>Electropolished stainless steel pipes supplied by Sakshi Forge to VERIFY plants at APIDFC Industrial Area, Itanagar</v>
      </c>
      <c r="AL424" s="15" t="str">
        <f t="shared" si="22"/>
        <v>Electropolished SS 316L tube stock for Itanagar - Sakshi Forge</v>
      </c>
      <c r="AM424" s="15" t="str">
        <f t="shared" si="23"/>
        <v>Home &gt; Market Area &gt; India &gt; Arunachal Pradesh &gt; Itanagar</v>
      </c>
      <c r="AN424" s="15">
        <f t="shared" si="24"/>
        <v>1000</v>
      </c>
      <c r="AO424" s="15">
        <f t="shared" si="25"/>
        <v>8</v>
      </c>
      <c r="AP424" s="15">
        <f t="shared" si="26"/>
        <v>8</v>
      </c>
      <c r="AQ424" s="15">
        <f t="shared" si="27"/>
        <v>8</v>
      </c>
      <c r="AR424" s="31"/>
      <c r="AS424" s="31"/>
      <c r="AT424" s="35" t="s">
        <v>222</v>
      </c>
      <c r="AU424" s="35"/>
    </row>
    <row r="425" ht="15.75" customHeight="1">
      <c r="A425" s="15" t="s">
        <v>3435</v>
      </c>
      <c r="B425" s="15" t="s">
        <v>60</v>
      </c>
      <c r="C425" s="15" t="s">
        <v>842</v>
      </c>
      <c r="D425" s="15" t="s">
        <v>3436</v>
      </c>
      <c r="E425" s="15" t="s">
        <v>3436</v>
      </c>
      <c r="F425" s="65" t="s">
        <v>788</v>
      </c>
      <c r="G425" s="66" t="s">
        <v>98</v>
      </c>
      <c r="H425" s="18" t="s">
        <v>3438</v>
      </c>
      <c r="I425" s="18" t="s">
        <v>8413</v>
      </c>
      <c r="J425" s="18" t="s">
        <v>98</v>
      </c>
      <c r="K425" s="18" t="s">
        <v>98</v>
      </c>
      <c r="L425" s="18" t="s">
        <v>98</v>
      </c>
      <c r="M425" s="18" t="s">
        <v>98</v>
      </c>
      <c r="N425" s="18" t="s">
        <v>98</v>
      </c>
      <c r="O425" s="18" t="s">
        <v>98</v>
      </c>
      <c r="P425" s="15" t="str">
        <f t="shared" si="1"/>
        <v>VERIFY</v>
      </c>
      <c r="Q425" s="15">
        <f t="shared" si="2"/>
        <v>6</v>
      </c>
      <c r="R425" s="15">
        <f t="shared" si="3"/>
        <v>2</v>
      </c>
      <c r="S425" s="15">
        <f t="shared" si="4"/>
        <v>2</v>
      </c>
      <c r="T425" s="15" t="str">
        <f t="shared" si="5"/>
        <v>B-2</v>
      </c>
      <c r="U425" s="15" t="str">
        <f t="shared" si="6"/>
        <v>T6-M2-H2-FB-2-VERIFY</v>
      </c>
      <c r="V425" s="15">
        <f t="shared" si="7"/>
        <v>0</v>
      </c>
      <c r="W425" s="31"/>
      <c r="X425" s="15" t="str">
        <f t="shared" si="8"/>
        <v>itarsi</v>
      </c>
      <c r="Y425" s="32" t="str">
        <f t="shared" si="9"/>
        <v>https://steelmanufacturer.in/market-area/electropolished-pipes-manufacturer-in-itarsi/</v>
      </c>
      <c r="Z425" s="15" t="str">
        <f t="shared" si="10"/>
        <v>Electropolished Pipes Manufacturer in Itarsi</v>
      </c>
      <c r="AA425" s="15" t="str">
        <f t="shared" si="11"/>
        <v>OK (44)</v>
      </c>
      <c r="AB425" s="15" t="str">
        <f t="shared" si="12"/>
        <v>Electropolished tube supply to MPIDC Industrial Area, Itarsi. Ra from 0.25 um, SF4 finish, mill test certificate with every lot.</v>
      </c>
      <c r="AC425" s="15" t="str">
        <f t="shared" si="13"/>
        <v>PENDING RESEARCH</v>
      </c>
      <c r="AD425" s="15" t="str">
        <f t="shared" si="14"/>
        <v>Electropolished Pipes Manufacturer in Itarsi</v>
      </c>
      <c r="AE425" s="15" t="str">
        <f t="shared" si="15"/>
        <v>How We Manufacture Electropolished Tube for Itarsi Plants</v>
      </c>
      <c r="AF425" s="15" t="str">
        <f t="shared" si="16"/>
        <v>Supplying Electropolished Pipes in Itarsi: Availability, Sizes &amp; Dispatch</v>
      </c>
      <c r="AG425" s="15" t="str">
        <f t="shared" si="17"/>
        <v>Wholesale Electropolished Pipe Supply for Itarsi Projects</v>
      </c>
      <c r="AH425" s="15" t="str">
        <f t="shared" si="18"/>
        <v>electropolished pipes manufacturer in Itarsi, electropolished pipes supplier in Itarsi, electropolished pipes wholesaler in Itarsi, electropolished tube manufacturer Itarsi, EP pipe supplier Itarsi, sanitary tube supplier Itarsi, ASME BPE tubing Itarsi, ASTM A270 tube Itarsi, SS 316L electropolished pipe Itarsi</v>
      </c>
      <c r="AI425" s="15" t="str">
        <f t="shared" si="19"/>
        <v>Electropolished Pipes Manufacturer &amp; Supplier in Itarsi</v>
      </c>
      <c r="AJ425" s="15" t="str">
        <f t="shared" si="20"/>
        <v>EP-finished SS 304/316L pipes and tubes for VERIFY plants in Itarsi. ASME BPE SF1-SF4, Ra from 0.25 um, EN 10204 3.1 certificate with every lot.</v>
      </c>
      <c r="AK425" s="15" t="str">
        <f t="shared" si="21"/>
        <v>Electropolished stainless steel pipes supplied by Sakshi Forge to VERIFY plants at MPIDC Industrial Area, Itarsi</v>
      </c>
      <c r="AL425" s="15" t="str">
        <f t="shared" si="22"/>
        <v>Electropolished SS 316L tube stock for Itarsi - Sakshi Forge</v>
      </c>
      <c r="AM425" s="15" t="str">
        <f t="shared" si="23"/>
        <v>Home &gt; Market Area &gt; India &gt; Madhya Pradesh &gt; Itarsi</v>
      </c>
      <c r="AN425" s="15">
        <f t="shared" si="24"/>
        <v>1000</v>
      </c>
      <c r="AO425" s="15">
        <f t="shared" si="25"/>
        <v>8</v>
      </c>
      <c r="AP425" s="15">
        <f t="shared" si="26"/>
        <v>8</v>
      </c>
      <c r="AQ425" s="15">
        <f t="shared" si="27"/>
        <v>8</v>
      </c>
      <c r="AR425" s="31"/>
      <c r="AS425" s="31"/>
      <c r="AT425" s="35" t="s">
        <v>222</v>
      </c>
      <c r="AU425" s="35"/>
    </row>
    <row r="426" ht="15.75" customHeight="1">
      <c r="A426" s="15" t="s">
        <v>3439</v>
      </c>
      <c r="B426" s="15" t="s">
        <v>60</v>
      </c>
      <c r="C426" s="15" t="s">
        <v>842</v>
      </c>
      <c r="D426" s="15" t="s">
        <v>3440</v>
      </c>
      <c r="E426" s="15" t="s">
        <v>3440</v>
      </c>
      <c r="F426" s="65" t="s">
        <v>788</v>
      </c>
      <c r="G426" s="66" t="s">
        <v>98</v>
      </c>
      <c r="H426" s="18" t="s">
        <v>3442</v>
      </c>
      <c r="I426" s="18" t="s">
        <v>8413</v>
      </c>
      <c r="J426" s="18" t="s">
        <v>98</v>
      </c>
      <c r="K426" s="18" t="s">
        <v>98</v>
      </c>
      <c r="L426" s="18" t="s">
        <v>98</v>
      </c>
      <c r="M426" s="18" t="s">
        <v>98</v>
      </c>
      <c r="N426" s="18" t="s">
        <v>98</v>
      </c>
      <c r="O426" s="18" t="s">
        <v>98</v>
      </c>
      <c r="P426" s="15" t="str">
        <f t="shared" si="1"/>
        <v>VERIFY</v>
      </c>
      <c r="Q426" s="15">
        <f t="shared" si="2"/>
        <v>7</v>
      </c>
      <c r="R426" s="15">
        <f t="shared" si="3"/>
        <v>3</v>
      </c>
      <c r="S426" s="15">
        <f t="shared" si="4"/>
        <v>3</v>
      </c>
      <c r="T426" s="15" t="str">
        <f t="shared" si="5"/>
        <v>B-3</v>
      </c>
      <c r="U426" s="15" t="str">
        <f t="shared" si="6"/>
        <v>T7-M3-H3-FB-3-VERIFY</v>
      </c>
      <c r="V426" s="15">
        <f t="shared" si="7"/>
        <v>0</v>
      </c>
      <c r="W426" s="31"/>
      <c r="X426" s="15" t="str">
        <f t="shared" si="8"/>
        <v>jabalpur</v>
      </c>
      <c r="Y426" s="32" t="str">
        <f t="shared" si="9"/>
        <v>https://steelmanufacturer.in/market-area/electropolished-pipes-manufacturer-in-jabalpur/</v>
      </c>
      <c r="Z426" s="15" t="str">
        <f t="shared" si="10"/>
        <v>Electropolished Pipes Manufacturer in Jabalpur | ASME BPE SF1-SF4</v>
      </c>
      <c r="AA426" s="15" t="str">
        <f t="shared" si="11"/>
        <v>OK (65)</v>
      </c>
      <c r="AB426" s="15" t="str">
        <f t="shared" si="12"/>
        <v>EP stainless tube for VERIFY lines in Jabalpur. VERIFY. ASTM A270 S2, PMI tested, EN 10204 3.1.</v>
      </c>
      <c r="AC426" s="15" t="str">
        <f t="shared" si="13"/>
        <v>PENDING RESEARCH</v>
      </c>
      <c r="AD426" s="15" t="str">
        <f t="shared" si="14"/>
        <v>Electropolished Pipes Manufacturer in Jabalpur</v>
      </c>
      <c r="AE426" s="15" t="str">
        <f t="shared" si="15"/>
        <v>Electropolished Pipes Manufacturer in Jabalpur - Our Process &amp; Capability</v>
      </c>
      <c r="AF426" s="15" t="str">
        <f t="shared" si="16"/>
        <v>Electropolished Pipes Supplier in Jabalpur - What We Hold in Stock</v>
      </c>
      <c r="AG426" s="15" t="str">
        <f t="shared" si="17"/>
        <v>Bulk &amp; Wholesale Electropolished Pipe Rates for Jabalpur Buyers</v>
      </c>
      <c r="AH426" s="15" t="str">
        <f t="shared" si="18"/>
        <v>electropolished pipes manufacturer in Jabalpur, electropolished pipes supplier in Jabalpur, electropolished pipes wholesaler in Jabalpur, electropolished tube manufacturer Jabalpur, EP pipe supplier Jabalpur, sanitary tube supplier Jabalpur, ASME BPE tubing Jabalpur, ASTM A270 tube Jabalpur, SS 316L electropolished pipe Jabalpur</v>
      </c>
      <c r="AI426" s="15" t="str">
        <f t="shared" si="19"/>
        <v>Electropolished Pipes Manufacturer &amp; Supplier in Jabalpur</v>
      </c>
      <c r="AJ426" s="15" t="str">
        <f t="shared" si="20"/>
        <v>EP-finished SS 304/316L pipes and tubes for VERIFY plants in Jabalpur. ASME BPE SF1-SF4, Ra from 0.25 um, EN 10204 3.1 certificate with every lot.</v>
      </c>
      <c r="AK426" s="15" t="str">
        <f t="shared" si="21"/>
        <v>Electropolished stainless steel pipes supplied by Sakshi Forge to VERIFY plants at MPIDC Industrial Area, Jabalpur</v>
      </c>
      <c r="AL426" s="15" t="str">
        <f t="shared" si="22"/>
        <v>Electropolished SS 316L tube stock for Jabalpur - Sakshi Forge</v>
      </c>
      <c r="AM426" s="15" t="str">
        <f t="shared" si="23"/>
        <v>Home &gt; Market Area &gt; India &gt; Madhya Pradesh &gt; Jabalpur</v>
      </c>
      <c r="AN426" s="15">
        <f t="shared" si="24"/>
        <v>1000</v>
      </c>
      <c r="AO426" s="15">
        <f t="shared" si="25"/>
        <v>8</v>
      </c>
      <c r="AP426" s="15">
        <f t="shared" si="26"/>
        <v>8</v>
      </c>
      <c r="AQ426" s="15">
        <f t="shared" si="27"/>
        <v>8</v>
      </c>
      <c r="AR426" s="31"/>
      <c r="AS426" s="31"/>
      <c r="AT426" s="35" t="s">
        <v>222</v>
      </c>
      <c r="AU426" s="35"/>
    </row>
    <row r="427" ht="15.75" customHeight="1">
      <c r="A427" s="15" t="s">
        <v>3444</v>
      </c>
      <c r="B427" s="15" t="s">
        <v>60</v>
      </c>
      <c r="C427" s="15" t="s">
        <v>775</v>
      </c>
      <c r="D427" s="15" t="s">
        <v>3445</v>
      </c>
      <c r="E427" s="15" t="s">
        <v>3445</v>
      </c>
      <c r="F427" s="65" t="s">
        <v>788</v>
      </c>
      <c r="G427" s="66" t="s">
        <v>98</v>
      </c>
      <c r="H427" s="18" t="s">
        <v>3447</v>
      </c>
      <c r="I427" s="18" t="s">
        <v>8399</v>
      </c>
      <c r="J427" s="18" t="s">
        <v>98</v>
      </c>
      <c r="K427" s="18" t="s">
        <v>98</v>
      </c>
      <c r="L427" s="18" t="s">
        <v>98</v>
      </c>
      <c r="M427" s="18" t="s">
        <v>98</v>
      </c>
      <c r="N427" s="18" t="s">
        <v>98</v>
      </c>
      <c r="O427" s="18" t="s">
        <v>98</v>
      </c>
      <c r="P427" s="15" t="str">
        <f t="shared" si="1"/>
        <v>VERIFY</v>
      </c>
      <c r="Q427" s="15">
        <f t="shared" si="2"/>
        <v>8</v>
      </c>
      <c r="R427" s="15">
        <f t="shared" si="3"/>
        <v>4</v>
      </c>
      <c r="S427" s="15">
        <f t="shared" si="4"/>
        <v>4</v>
      </c>
      <c r="T427" s="15" t="str">
        <f t="shared" si="5"/>
        <v>B-4</v>
      </c>
      <c r="U427" s="15" t="str">
        <f t="shared" si="6"/>
        <v>T8-M4-H4-FB-4-VERIFY</v>
      </c>
      <c r="V427" s="15">
        <f t="shared" si="7"/>
        <v>0</v>
      </c>
      <c r="W427" s="31"/>
      <c r="X427" s="15" t="str">
        <f t="shared" si="8"/>
        <v>jagdalpur</v>
      </c>
      <c r="Y427" s="32" t="str">
        <f t="shared" si="9"/>
        <v>https://steelmanufacturer.in/market-area/electropolished-pipes-manufacturer-in-jagdalpur/</v>
      </c>
      <c r="Z427" s="15" t="str">
        <f t="shared" si="10"/>
        <v>Electropolished Pipes Manufacturer in Jagdalpur</v>
      </c>
      <c r="AA427" s="15" t="str">
        <f t="shared" si="11"/>
        <v>OK (47)</v>
      </c>
      <c r="AB427" s="15" t="str">
        <f t="shared" si="12"/>
        <v>Sanitary electropolished pipes in Jagdalpur for VERIFY plants. ASME BPE SF1-SF4, orbital-weld ready, 3.1 MTC. Mumbai-made.</v>
      </c>
      <c r="AC427" s="15" t="str">
        <f t="shared" si="13"/>
        <v>PENDING RESEARCH</v>
      </c>
      <c r="AD427" s="15" t="str">
        <f t="shared" si="14"/>
        <v>Electropolished Pipes Manufacturer in Jagdalpur</v>
      </c>
      <c r="AE427" s="15" t="str">
        <f t="shared" si="15"/>
        <v>Manufacturing Electropolished SS Tube for Jagdalpur: The Standards We Build To</v>
      </c>
      <c r="AF427" s="15" t="str">
        <f t="shared" si="16"/>
        <v>Electropolished Pipe Supply Into Jagdalpur - Certification &amp; Transit</v>
      </c>
      <c r="AG427" s="15" t="str">
        <f t="shared" si="17"/>
        <v>Electropolished Pipes Wholesaler in Jagdalpur - Project Quantities &amp; Terms</v>
      </c>
      <c r="AH427" s="15" t="str">
        <f t="shared" si="18"/>
        <v>electropolished pipes manufacturer in Jagdalpur, electropolished pipes supplier in Jagdalpur, electropolished pipes wholesaler in Jagdalpur, electropolished tube manufacturer Jagdalpur, EP pipe supplier Jagdalpur, sanitary tube supplier Jagdalpur, ASME BPE tubing Jagdalpur, ASTM A270 tube Jagdalpur, SS 316L electropolished pipe Jagdalpur</v>
      </c>
      <c r="AI427" s="15" t="str">
        <f t="shared" si="19"/>
        <v>Electropolished Pipes Manufacturer &amp; Supplier in Jagdalpur</v>
      </c>
      <c r="AJ427" s="15" t="str">
        <f t="shared" si="20"/>
        <v>EP-finished SS 304/316L pipes and tubes for VERIFY plants in Jagdalpur. ASME BPE SF1-SF4, Ra from 0.25 um, EN 10204 3.1 certificate with every lot.</v>
      </c>
      <c r="AK427" s="15" t="str">
        <f t="shared" si="21"/>
        <v>Electropolished stainless steel pipes supplied by Sakshi Forge to VERIFY plants at CSIDC Industrial Area, Jagdalpur</v>
      </c>
      <c r="AL427" s="15" t="str">
        <f t="shared" si="22"/>
        <v>Electropolished SS 316L tube stock for Jagdalpur - Sakshi Forge</v>
      </c>
      <c r="AM427" s="15" t="str">
        <f t="shared" si="23"/>
        <v>Home &gt; Market Area &gt; India &gt; Chhattisgarh &gt; Jagdalpur</v>
      </c>
      <c r="AN427" s="15">
        <f t="shared" si="24"/>
        <v>1000</v>
      </c>
      <c r="AO427" s="15">
        <f t="shared" si="25"/>
        <v>8</v>
      </c>
      <c r="AP427" s="15">
        <f t="shared" si="26"/>
        <v>8</v>
      </c>
      <c r="AQ427" s="15">
        <f t="shared" si="27"/>
        <v>8</v>
      </c>
      <c r="AR427" s="31"/>
      <c r="AS427" s="31"/>
      <c r="AT427" s="35" t="s">
        <v>222</v>
      </c>
      <c r="AU427" s="35"/>
    </row>
    <row r="428" ht="15.75" customHeight="1">
      <c r="A428" s="15" t="s">
        <v>3449</v>
      </c>
      <c r="B428" s="15" t="s">
        <v>60</v>
      </c>
      <c r="C428" s="15" t="s">
        <v>1312</v>
      </c>
      <c r="D428" s="15" t="s">
        <v>3450</v>
      </c>
      <c r="E428" s="15" t="s">
        <v>3450</v>
      </c>
      <c r="F428" s="65" t="s">
        <v>788</v>
      </c>
      <c r="G428" s="66" t="s">
        <v>98</v>
      </c>
      <c r="H428" s="18" t="s">
        <v>3452</v>
      </c>
      <c r="I428" s="18" t="s">
        <v>8392</v>
      </c>
      <c r="J428" s="18" t="s">
        <v>98</v>
      </c>
      <c r="K428" s="18" t="s">
        <v>98</v>
      </c>
      <c r="L428" s="18" t="s">
        <v>98</v>
      </c>
      <c r="M428" s="18" t="s">
        <v>98</v>
      </c>
      <c r="N428" s="18" t="s">
        <v>98</v>
      </c>
      <c r="O428" s="18" t="s">
        <v>98</v>
      </c>
      <c r="P428" s="15" t="str">
        <f t="shared" si="1"/>
        <v>VERIFY</v>
      </c>
      <c r="Q428" s="15">
        <f t="shared" si="2"/>
        <v>1</v>
      </c>
      <c r="R428" s="15">
        <f t="shared" si="3"/>
        <v>5</v>
      </c>
      <c r="S428" s="15">
        <f t="shared" si="4"/>
        <v>5</v>
      </c>
      <c r="T428" s="15" t="str">
        <f t="shared" si="5"/>
        <v>B-5</v>
      </c>
      <c r="U428" s="15" t="str">
        <f t="shared" si="6"/>
        <v>T1-M5-H5-FB-5-VERIFY</v>
      </c>
      <c r="V428" s="15">
        <f t="shared" si="7"/>
        <v>0</v>
      </c>
      <c r="W428" s="31"/>
      <c r="X428" s="15" t="str">
        <f t="shared" si="8"/>
        <v>jagtial</v>
      </c>
      <c r="Y428" s="32" t="str">
        <f t="shared" si="9"/>
        <v>https://steelmanufacturer.in/market-area/electropolished-pipes-manufacturer-in-jagtial/</v>
      </c>
      <c r="Z428" s="15" t="str">
        <f t="shared" si="10"/>
        <v>Electropolished Pipes Manufacturer in Jagtial | Sakshi Forge</v>
      </c>
      <c r="AA428" s="15" t="str">
        <f t="shared" si="11"/>
        <v>OK (60)</v>
      </c>
      <c r="AB428" s="15" t="str">
        <f t="shared" si="12"/>
        <v>Manufacturer of electropolished SS 316L tube serving Jagtial. VERIFY. Ra 0.25-0.5 um, EN 10204 3.1 MTC.</v>
      </c>
      <c r="AC428" s="15" t="str">
        <f t="shared" si="13"/>
        <v>PENDING RESEARCH</v>
      </c>
      <c r="AD428" s="15" t="str">
        <f t="shared" si="14"/>
        <v>Electropolished Pipes Manufacturer in Jagtial</v>
      </c>
      <c r="AE428" s="15" t="str">
        <f t="shared" si="15"/>
        <v>Electropolished Tube Manufacturing Capability Serving Jagtial</v>
      </c>
      <c r="AF428" s="15" t="str">
        <f t="shared" si="16"/>
        <v>Electropolished Pipes Supplier in Jagtial - From Order to Delivery</v>
      </c>
      <c r="AG428" s="15" t="str">
        <f t="shared" si="17"/>
        <v>Stockist &amp; Wholesale Supply of Electropolished Pipes in Jagtial</v>
      </c>
      <c r="AH428" s="15" t="str">
        <f t="shared" si="18"/>
        <v>electropolished pipes manufacturer in Jagtial, electropolished pipes supplier in Jagtial, electropolished pipes wholesaler in Jagtial, electropolished tube manufacturer Jagtial, EP pipe supplier Jagtial, sanitary tube supplier Jagtial, ASME BPE tubing Jagtial, ASTM A270 tube Jagtial, SS 316L electropolished pipe Jagtial</v>
      </c>
      <c r="AI428" s="15" t="str">
        <f t="shared" si="19"/>
        <v>Electropolished Pipes Manufacturer &amp; Supplier in Jagtial</v>
      </c>
      <c r="AJ428" s="15" t="str">
        <f t="shared" si="20"/>
        <v>EP-finished SS 304/316L pipes and tubes for VERIFY plants in Jagtial. ASME BPE SF1-SF4, Ra from 0.25 um, EN 10204 3.1 certificate with every lot.</v>
      </c>
      <c r="AK428" s="15" t="str">
        <f t="shared" si="21"/>
        <v>Electropolished stainless steel pipes supplied by Sakshi Forge to VERIFY plants at TSIIC Industrial Area, Jagtial</v>
      </c>
      <c r="AL428" s="15" t="str">
        <f t="shared" si="22"/>
        <v>Electropolished SS 316L tube stock for Jagtial - Sakshi Forge</v>
      </c>
      <c r="AM428" s="15" t="str">
        <f t="shared" si="23"/>
        <v>Home &gt; Market Area &gt; India &gt; Telangana &gt; Jagtial</v>
      </c>
      <c r="AN428" s="15">
        <f t="shared" si="24"/>
        <v>1000</v>
      </c>
      <c r="AO428" s="15">
        <f t="shared" si="25"/>
        <v>8</v>
      </c>
      <c r="AP428" s="15">
        <f t="shared" si="26"/>
        <v>8</v>
      </c>
      <c r="AQ428" s="15">
        <f t="shared" si="27"/>
        <v>8</v>
      </c>
      <c r="AR428" s="31"/>
      <c r="AS428" s="31"/>
      <c r="AT428" s="35" t="s">
        <v>222</v>
      </c>
      <c r="AU428" s="35"/>
    </row>
    <row r="429" ht="15.75" customHeight="1">
      <c r="A429" s="15" t="s">
        <v>3455</v>
      </c>
      <c r="B429" s="15" t="s">
        <v>60</v>
      </c>
      <c r="C429" s="15" t="s">
        <v>424</v>
      </c>
      <c r="D429" s="15" t="s">
        <v>3459</v>
      </c>
      <c r="E429" s="15" t="s">
        <v>3459</v>
      </c>
      <c r="F429" s="65" t="s">
        <v>788</v>
      </c>
      <c r="G429" s="66" t="s">
        <v>98</v>
      </c>
      <c r="H429" s="18" t="s">
        <v>3463</v>
      </c>
      <c r="I429" s="18" t="s">
        <v>8406</v>
      </c>
      <c r="J429" s="18" t="s">
        <v>98</v>
      </c>
      <c r="K429" s="18" t="s">
        <v>98</v>
      </c>
      <c r="L429" s="18" t="s">
        <v>98</v>
      </c>
      <c r="M429" s="18" t="s">
        <v>98</v>
      </c>
      <c r="N429" s="18" t="s">
        <v>98</v>
      </c>
      <c r="O429" s="18" t="s">
        <v>98</v>
      </c>
      <c r="P429" s="15" t="str">
        <f t="shared" si="1"/>
        <v>VERIFY</v>
      </c>
      <c r="Q429" s="15">
        <f t="shared" si="2"/>
        <v>2</v>
      </c>
      <c r="R429" s="15">
        <f t="shared" si="3"/>
        <v>6</v>
      </c>
      <c r="S429" s="15">
        <f t="shared" si="4"/>
        <v>1</v>
      </c>
      <c r="T429" s="15" t="str">
        <f t="shared" si="5"/>
        <v>B-6</v>
      </c>
      <c r="U429" s="15" t="str">
        <f t="shared" si="6"/>
        <v>T2-M6-H1-FB-6-VERIFY</v>
      </c>
      <c r="V429" s="15">
        <f t="shared" si="7"/>
        <v>0</v>
      </c>
      <c r="W429" s="31"/>
      <c r="X429" s="15" t="str">
        <f t="shared" si="8"/>
        <v>jajpur</v>
      </c>
      <c r="Y429" s="32" t="str">
        <f t="shared" si="9"/>
        <v>https://steelmanufacturer.in/market-area/electropolished-pipes-manufacturer-in-jajpur/</v>
      </c>
      <c r="Z429" s="15" t="str">
        <f t="shared" si="10"/>
        <v>Electropolished Pipes Manufacturer in Jajpur</v>
      </c>
      <c r="AA429" s="15" t="str">
        <f t="shared" si="11"/>
        <v>OK (44)</v>
      </c>
      <c r="AB429" s="15" t="str">
        <f t="shared" si="12"/>
        <v>EP tube and pipe for VERIFY plants around IDCO Industrial Area, Jajpur. Made at our Mumbai works to ASTM A270 and ASME BPE SF1-SF4, with 3.1 MTC.</v>
      </c>
      <c r="AC429" s="15" t="str">
        <f t="shared" si="13"/>
        <v>PENDING RESEARCH</v>
      </c>
      <c r="AD429" s="15" t="str">
        <f t="shared" si="14"/>
        <v>Electropolished Pipes Manufacturer in Jajpur</v>
      </c>
      <c r="AE429" s="15" t="str">
        <f t="shared" si="15"/>
        <v>Electropolished Pipe &amp; Tube Manufacturing for Jajpur - Grades, Finishes &amp; Certification</v>
      </c>
      <c r="AF429" s="15" t="str">
        <f t="shared" si="16"/>
        <v>Electropolished Pipes Supplier in Jajpur - Stock Sizes, Lead Time &amp; Delivery</v>
      </c>
      <c r="AG429" s="15" t="str">
        <f t="shared" si="17"/>
        <v>Electropolished Pipes Wholesaler &amp; Stockist in Jajpur - Bulk &amp; Project Pricing</v>
      </c>
      <c r="AH429" s="15" t="str">
        <f t="shared" si="18"/>
        <v>electropolished pipes manufacturer in Jajpur, electropolished pipes supplier in Jajpur, electropolished pipes wholesaler in Jajpur, electropolished tube manufacturer Jajpur, EP pipe supplier Jajpur, sanitary tube supplier Jajpur, ASME BPE tubing Jajpur, ASTM A270 tube Jajpur, SS 316L electropolished pipe Jajpur</v>
      </c>
      <c r="AI429" s="15" t="str">
        <f t="shared" si="19"/>
        <v>Electropolished Pipes Manufacturer &amp; Supplier in Jajpur</v>
      </c>
      <c r="AJ429" s="15" t="str">
        <f t="shared" si="20"/>
        <v>EP-finished SS 304/316L pipes and tubes for VERIFY plants in Jajpur. ASME BPE SF1-SF4, Ra from 0.25 um, EN 10204 3.1 certificate with every lot.</v>
      </c>
      <c r="AK429" s="15" t="str">
        <f t="shared" si="21"/>
        <v>Electropolished stainless steel pipes supplied by Sakshi Forge to VERIFY plants at IDCO Industrial Area, Jajpur</v>
      </c>
      <c r="AL429" s="15" t="str">
        <f t="shared" si="22"/>
        <v>Electropolished SS 316L tube stock for Jajpur - Sakshi Forge</v>
      </c>
      <c r="AM429" s="15" t="str">
        <f t="shared" si="23"/>
        <v>Home &gt; Market Area &gt; India &gt; Odisha &gt; Jajpur</v>
      </c>
      <c r="AN429" s="15">
        <f t="shared" si="24"/>
        <v>1000</v>
      </c>
      <c r="AO429" s="15">
        <f t="shared" si="25"/>
        <v>8</v>
      </c>
      <c r="AP429" s="15">
        <f t="shared" si="26"/>
        <v>8</v>
      </c>
      <c r="AQ429" s="15">
        <f t="shared" si="27"/>
        <v>8</v>
      </c>
      <c r="AR429" s="31"/>
      <c r="AS429" s="31"/>
      <c r="AT429" s="35" t="s">
        <v>222</v>
      </c>
      <c r="AU429" s="35"/>
    </row>
    <row r="430" ht="15.75" customHeight="1">
      <c r="A430" s="15" t="s">
        <v>3464</v>
      </c>
      <c r="B430" s="15" t="s">
        <v>60</v>
      </c>
      <c r="C430" s="15" t="s">
        <v>264</v>
      </c>
      <c r="D430" s="15" t="s">
        <v>3465</v>
      </c>
      <c r="E430" s="15" t="s">
        <v>3465</v>
      </c>
      <c r="F430" s="65" t="s">
        <v>788</v>
      </c>
      <c r="G430" s="66" t="s">
        <v>98</v>
      </c>
      <c r="H430" s="18" t="s">
        <v>3467</v>
      </c>
      <c r="I430" s="18" t="s">
        <v>8395</v>
      </c>
      <c r="J430" s="18" t="s">
        <v>98</v>
      </c>
      <c r="K430" s="18" t="s">
        <v>98</v>
      </c>
      <c r="L430" s="18" t="s">
        <v>98</v>
      </c>
      <c r="M430" s="18" t="s">
        <v>98</v>
      </c>
      <c r="N430" s="18" t="s">
        <v>98</v>
      </c>
      <c r="O430" s="18" t="s">
        <v>98</v>
      </c>
      <c r="P430" s="15" t="str">
        <f t="shared" si="1"/>
        <v>VERIFY</v>
      </c>
      <c r="Q430" s="15">
        <f t="shared" si="2"/>
        <v>3</v>
      </c>
      <c r="R430" s="15">
        <f t="shared" si="3"/>
        <v>7</v>
      </c>
      <c r="S430" s="15">
        <f t="shared" si="4"/>
        <v>2</v>
      </c>
      <c r="T430" s="15" t="str">
        <f t="shared" si="5"/>
        <v>B-1</v>
      </c>
      <c r="U430" s="15" t="str">
        <f t="shared" si="6"/>
        <v>T3-M7-H2-FB-1-VERIFY</v>
      </c>
      <c r="V430" s="15">
        <f t="shared" si="7"/>
        <v>0</v>
      </c>
      <c r="W430" s="31"/>
      <c r="X430" s="15" t="str">
        <f t="shared" si="8"/>
        <v>jalna</v>
      </c>
      <c r="Y430" s="32" t="str">
        <f t="shared" si="9"/>
        <v>https://steelmanufacturer.in/market-area/electropolished-pipes-manufacturer-in-jalna/</v>
      </c>
      <c r="Z430" s="15" t="str">
        <f t="shared" si="10"/>
        <v>Electropolished Pipes Manufacturer in Jalna | EP Tube Supplier</v>
      </c>
      <c r="AA430" s="15" t="str">
        <f t="shared" si="11"/>
        <v>OK (62)</v>
      </c>
      <c r="AB430" s="15" t="str">
        <f t="shared" si="12"/>
        <v>Electropolished pipes in Jalna: 304, 304L, 316 and 316L in SF1-SF4. VERIFY. Mill certified.</v>
      </c>
      <c r="AC430" s="15" t="str">
        <f t="shared" si="13"/>
        <v>PENDING RESEARCH</v>
      </c>
      <c r="AD430" s="15" t="str">
        <f t="shared" si="14"/>
        <v>Electropolished Pipes Manufacturer in Jalna</v>
      </c>
      <c r="AE430" s="15" t="str">
        <f t="shared" si="15"/>
        <v>How We Manufacture Electropolished Tube for Jalna Plants</v>
      </c>
      <c r="AF430" s="15" t="str">
        <f t="shared" si="16"/>
        <v>Supplying Electropolished Pipes in Jalna: Availability, Sizes &amp; Dispatch</v>
      </c>
      <c r="AG430" s="15" t="str">
        <f t="shared" si="17"/>
        <v>Wholesale Electropolished Pipe Supply for Jalna Projects</v>
      </c>
      <c r="AH430" s="15" t="str">
        <f t="shared" si="18"/>
        <v>electropolished pipes manufacturer in Jalna, electropolished pipes supplier in Jalna, electropolished pipes wholesaler in Jalna, electropolished tube manufacturer Jalna, EP pipe supplier Jalna, sanitary tube supplier Jalna, ASME BPE tubing Jalna, ASTM A270 tube Jalna, SS 316L electropolished pipe Jalna</v>
      </c>
      <c r="AI430" s="15" t="str">
        <f t="shared" si="19"/>
        <v>Electropolished Pipes Manufacturer &amp; Supplier in Jalna</v>
      </c>
      <c r="AJ430" s="15" t="str">
        <f t="shared" si="20"/>
        <v>EP-finished SS 304/316L pipes and tubes for VERIFY plants in Jalna. ASME BPE SF1-SF4, Ra from 0.25 um, EN 10204 3.1 certificate with every lot.</v>
      </c>
      <c r="AK430" s="15" t="str">
        <f t="shared" si="21"/>
        <v>Electropolished stainless steel pipes supplied by Sakshi Forge to VERIFY plants at MIDC Industrial Area, Jalna</v>
      </c>
      <c r="AL430" s="15" t="str">
        <f t="shared" si="22"/>
        <v>Electropolished SS 316L tube stock for Jalna - Sakshi Forge</v>
      </c>
      <c r="AM430" s="15" t="str">
        <f t="shared" si="23"/>
        <v>Home &gt; Market Area &gt; India &gt; Maharashtra &gt; Jalna</v>
      </c>
      <c r="AN430" s="15">
        <f t="shared" si="24"/>
        <v>1000</v>
      </c>
      <c r="AO430" s="15">
        <f t="shared" si="25"/>
        <v>8</v>
      </c>
      <c r="AP430" s="15">
        <f t="shared" si="26"/>
        <v>8</v>
      </c>
      <c r="AQ430" s="15">
        <f t="shared" si="27"/>
        <v>8</v>
      </c>
      <c r="AR430" s="31"/>
      <c r="AS430" s="31"/>
      <c r="AT430" s="35" t="s">
        <v>222</v>
      </c>
      <c r="AU430" s="35"/>
    </row>
    <row r="431" ht="15.75" customHeight="1">
      <c r="A431" s="15" t="s">
        <v>3469</v>
      </c>
      <c r="B431" s="15" t="s">
        <v>60</v>
      </c>
      <c r="C431" s="15" t="s">
        <v>1165</v>
      </c>
      <c r="D431" s="15" t="s">
        <v>3470</v>
      </c>
      <c r="E431" s="15" t="s">
        <v>3470</v>
      </c>
      <c r="F431" s="65" t="s">
        <v>788</v>
      </c>
      <c r="G431" s="66" t="s">
        <v>98</v>
      </c>
      <c r="H431" s="18" t="s">
        <v>3472</v>
      </c>
      <c r="I431" s="18" t="s">
        <v>8404</v>
      </c>
      <c r="J431" s="18" t="s">
        <v>98</v>
      </c>
      <c r="K431" s="18" t="s">
        <v>98</v>
      </c>
      <c r="L431" s="18" t="s">
        <v>98</v>
      </c>
      <c r="M431" s="18" t="s">
        <v>98</v>
      </c>
      <c r="N431" s="18" t="s">
        <v>98</v>
      </c>
      <c r="O431" s="18" t="s">
        <v>98</v>
      </c>
      <c r="P431" s="15" t="str">
        <f t="shared" si="1"/>
        <v>VERIFY</v>
      </c>
      <c r="Q431" s="15">
        <f t="shared" si="2"/>
        <v>4</v>
      </c>
      <c r="R431" s="15">
        <f t="shared" si="3"/>
        <v>1</v>
      </c>
      <c r="S431" s="15">
        <f t="shared" si="4"/>
        <v>3</v>
      </c>
      <c r="T431" s="15" t="str">
        <f t="shared" si="5"/>
        <v>B-2</v>
      </c>
      <c r="U431" s="15" t="str">
        <f t="shared" si="6"/>
        <v>T4-M1-H3-FB-2-VERIFY</v>
      </c>
      <c r="V431" s="15">
        <f t="shared" si="7"/>
        <v>0</v>
      </c>
      <c r="W431" s="31"/>
      <c r="X431" s="15" t="str">
        <f t="shared" si="8"/>
        <v>jalpaiguri</v>
      </c>
      <c r="Y431" s="32" t="str">
        <f t="shared" si="9"/>
        <v>https://steelmanufacturer.in/market-area/electropolished-pipes-manufacturer-in-jalpaiguri/</v>
      </c>
      <c r="Z431" s="15" t="str">
        <f t="shared" si="10"/>
        <v>Electropolished Pipes Manufacturer in Jalpaiguri</v>
      </c>
      <c r="AA431" s="15" t="str">
        <f t="shared" si="11"/>
        <v>OK (48)</v>
      </c>
      <c r="AB431" s="15" t="str">
        <f t="shared" si="12"/>
        <v>EP-finished SS 304/316L pipes &amp; tubes for VERIFY plants in Jalpaiguri. ASTM A270, ASME BPE SF1-SF4, EN 10204 3.1 MTC. PMI tested.</v>
      </c>
      <c r="AC431" s="15" t="str">
        <f t="shared" si="13"/>
        <v>PENDING RESEARCH</v>
      </c>
      <c r="AD431" s="15" t="str">
        <f t="shared" si="14"/>
        <v>Electropolished Pipes Manufacturer in Jalpaiguri</v>
      </c>
      <c r="AE431" s="15" t="str">
        <f t="shared" si="15"/>
        <v>Electropolished Pipes Manufacturer in Jalpaiguri - Our Process &amp; Capability</v>
      </c>
      <c r="AF431" s="15" t="str">
        <f t="shared" si="16"/>
        <v>Electropolished Pipes Supplier in Jalpaiguri - What We Hold in Stock</v>
      </c>
      <c r="AG431" s="15" t="str">
        <f t="shared" si="17"/>
        <v>Bulk &amp; Wholesale Electropolished Pipe Rates for Jalpaiguri Buyers</v>
      </c>
      <c r="AH431" s="15" t="str">
        <f t="shared" si="18"/>
        <v>electropolished pipes manufacturer in Jalpaiguri, electropolished pipes supplier in Jalpaiguri, electropolished pipes wholesaler in Jalpaiguri, electropolished tube manufacturer Jalpaiguri, EP pipe supplier Jalpaiguri, sanitary tube supplier Jalpaiguri, ASME BPE tubing Jalpaiguri, ASTM A270 tube Jalpaiguri, SS 316L electropolished pipe Jalpaiguri</v>
      </c>
      <c r="AI431" s="15" t="str">
        <f t="shared" si="19"/>
        <v>Electropolished Pipes Manufacturer &amp; Supplier in Jalpaiguri</v>
      </c>
      <c r="AJ431" s="15" t="str">
        <f t="shared" si="20"/>
        <v>EP-finished SS 304/316L pipes and tubes for VERIFY plants in Jalpaiguri. ASME BPE SF1-SF4, Ra from 0.25 um, EN 10204 3.1 certificate with every lot.</v>
      </c>
      <c r="AK431" s="15" t="str">
        <f t="shared" si="21"/>
        <v>Electropolished stainless steel pipes supplied by Sakshi Forge to VERIFY plants at WBIDC Industrial Area, Jalpaiguri</v>
      </c>
      <c r="AL431" s="15" t="str">
        <f t="shared" si="22"/>
        <v>Electropolished SS 316L tube stock for Jalpaiguri - Sakshi Forge</v>
      </c>
      <c r="AM431" s="15" t="str">
        <f t="shared" si="23"/>
        <v>Home &gt; Market Area &gt; India &gt; West Bengal &gt; Jalpaiguri</v>
      </c>
      <c r="AN431" s="15">
        <f t="shared" si="24"/>
        <v>1000</v>
      </c>
      <c r="AO431" s="15">
        <f t="shared" si="25"/>
        <v>8</v>
      </c>
      <c r="AP431" s="15">
        <f t="shared" si="26"/>
        <v>8</v>
      </c>
      <c r="AQ431" s="15">
        <f t="shared" si="27"/>
        <v>8</v>
      </c>
      <c r="AR431" s="31"/>
      <c r="AS431" s="31"/>
      <c r="AT431" s="35" t="s">
        <v>222</v>
      </c>
      <c r="AU431" s="35"/>
    </row>
    <row r="432" ht="15.75" customHeight="1">
      <c r="A432" s="15" t="s">
        <v>3473</v>
      </c>
      <c r="B432" s="15" t="s">
        <v>60</v>
      </c>
      <c r="C432" s="15" t="s">
        <v>1780</v>
      </c>
      <c r="D432" s="15" t="s">
        <v>3475</v>
      </c>
      <c r="E432" s="15" t="s">
        <v>3475</v>
      </c>
      <c r="F432" s="65" t="s">
        <v>788</v>
      </c>
      <c r="G432" s="66" t="s">
        <v>98</v>
      </c>
      <c r="H432" s="18" t="s">
        <v>3477</v>
      </c>
      <c r="I432" s="18" t="s">
        <v>8401</v>
      </c>
      <c r="J432" s="18" t="s">
        <v>98</v>
      </c>
      <c r="K432" s="18" t="s">
        <v>98</v>
      </c>
      <c r="L432" s="18" t="s">
        <v>98</v>
      </c>
      <c r="M432" s="18" t="s">
        <v>98</v>
      </c>
      <c r="N432" s="18" t="s">
        <v>98</v>
      </c>
      <c r="O432" s="18" t="s">
        <v>98</v>
      </c>
      <c r="P432" s="15" t="str">
        <f t="shared" si="1"/>
        <v>VERIFY</v>
      </c>
      <c r="Q432" s="15">
        <f t="shared" si="2"/>
        <v>5</v>
      </c>
      <c r="R432" s="15">
        <f t="shared" si="3"/>
        <v>2</v>
      </c>
      <c r="S432" s="15">
        <f t="shared" si="4"/>
        <v>4</v>
      </c>
      <c r="T432" s="15" t="str">
        <f t="shared" si="5"/>
        <v>B-3</v>
      </c>
      <c r="U432" s="15" t="str">
        <f t="shared" si="6"/>
        <v>T5-M2-H4-FB-3-VERIFY</v>
      </c>
      <c r="V432" s="15">
        <f t="shared" si="7"/>
        <v>0</v>
      </c>
      <c r="W432" s="31"/>
      <c r="X432" s="15" t="str">
        <f t="shared" si="8"/>
        <v>jammu</v>
      </c>
      <c r="Y432" s="32" t="str">
        <f t="shared" si="9"/>
        <v>https://steelmanufacturer.in/market-area/electropolished-pipes-manufacturer-in-jammu/</v>
      </c>
      <c r="Z432" s="15" t="str">
        <f t="shared" si="10"/>
        <v>Electropolished Pipes Manufacturer in Jammu</v>
      </c>
      <c r="AA432" s="15" t="str">
        <f t="shared" si="11"/>
        <v>OK (43)</v>
      </c>
      <c r="AB432" s="15" t="str">
        <f t="shared" si="12"/>
        <v>Electropolished tube supply to SIDCO Industrial Area, Jammu. Ra from 0.25 um, SF4 finish, mill test certificate with every lot.</v>
      </c>
      <c r="AC432" s="15" t="str">
        <f t="shared" si="13"/>
        <v>PENDING RESEARCH</v>
      </c>
      <c r="AD432" s="15" t="str">
        <f t="shared" si="14"/>
        <v>Electropolished Pipes Manufacturer in Jammu</v>
      </c>
      <c r="AE432" s="15" t="str">
        <f t="shared" si="15"/>
        <v>Manufacturing Electropolished SS Tube for Jammu: The Standards We Build To</v>
      </c>
      <c r="AF432" s="15" t="str">
        <f t="shared" si="16"/>
        <v>Electropolished Pipe Supply Into Jammu - Certification &amp; Transit</v>
      </c>
      <c r="AG432" s="15" t="str">
        <f t="shared" si="17"/>
        <v>Electropolished Pipes Wholesaler in Jammu - Project Quantities &amp; Terms</v>
      </c>
      <c r="AH432" s="15" t="str">
        <f t="shared" si="18"/>
        <v>electropolished pipes manufacturer in Jammu, electropolished pipes supplier in Jammu, electropolished pipes wholesaler in Jammu, electropolished tube manufacturer Jammu, EP pipe supplier Jammu, sanitary tube supplier Jammu, ASME BPE tubing Jammu, ASTM A270 tube Jammu, SS 316L electropolished pipe Jammu</v>
      </c>
      <c r="AI432" s="15" t="str">
        <f t="shared" si="19"/>
        <v>Electropolished Pipes Manufacturer &amp; Supplier in Jammu</v>
      </c>
      <c r="AJ432" s="15" t="str">
        <f t="shared" si="20"/>
        <v>EP-finished SS 304/316L pipes and tubes for VERIFY plants in Jammu. ASME BPE SF1-SF4, Ra from 0.25 um, EN 10204 3.1 certificate with every lot.</v>
      </c>
      <c r="AK432" s="15" t="str">
        <f t="shared" si="21"/>
        <v>Electropolished stainless steel pipes supplied by Sakshi Forge to VERIFY plants at SIDCO Industrial Area, Jammu</v>
      </c>
      <c r="AL432" s="15" t="str">
        <f t="shared" si="22"/>
        <v>Electropolished SS 316L tube stock for Jammu - Sakshi Forge</v>
      </c>
      <c r="AM432" s="15" t="str">
        <f t="shared" si="23"/>
        <v>Home &gt; Market Area &gt; India &gt; Jammu &amp; Kashmir &gt; Jammu</v>
      </c>
      <c r="AN432" s="15">
        <f t="shared" si="24"/>
        <v>1000</v>
      </c>
      <c r="AO432" s="15">
        <f t="shared" si="25"/>
        <v>8</v>
      </c>
      <c r="AP432" s="15">
        <f t="shared" si="26"/>
        <v>8</v>
      </c>
      <c r="AQ432" s="15">
        <f t="shared" si="27"/>
        <v>8</v>
      </c>
      <c r="AR432" s="31"/>
      <c r="AS432" s="31"/>
      <c r="AT432" s="35" t="s">
        <v>222</v>
      </c>
      <c r="AU432" s="35"/>
    </row>
    <row r="433" ht="15.75" customHeight="1">
      <c r="A433" s="15" t="s">
        <v>3478</v>
      </c>
      <c r="B433" s="15" t="s">
        <v>60</v>
      </c>
      <c r="C433" s="15" t="s">
        <v>775</v>
      </c>
      <c r="D433" s="15" t="s">
        <v>3480</v>
      </c>
      <c r="E433" s="15" t="s">
        <v>3480</v>
      </c>
      <c r="F433" s="65" t="s">
        <v>788</v>
      </c>
      <c r="G433" s="66" t="s">
        <v>98</v>
      </c>
      <c r="H433" s="18" t="s">
        <v>3483</v>
      </c>
      <c r="I433" s="18" t="s">
        <v>8399</v>
      </c>
      <c r="J433" s="18" t="s">
        <v>98</v>
      </c>
      <c r="K433" s="18" t="s">
        <v>98</v>
      </c>
      <c r="L433" s="18" t="s">
        <v>98</v>
      </c>
      <c r="M433" s="18" t="s">
        <v>98</v>
      </c>
      <c r="N433" s="18" t="s">
        <v>98</v>
      </c>
      <c r="O433" s="18" t="s">
        <v>98</v>
      </c>
      <c r="P433" s="15" t="str">
        <f t="shared" si="1"/>
        <v>VERIFY</v>
      </c>
      <c r="Q433" s="15">
        <f t="shared" si="2"/>
        <v>6</v>
      </c>
      <c r="R433" s="15">
        <f t="shared" si="3"/>
        <v>3</v>
      </c>
      <c r="S433" s="15">
        <f t="shared" si="4"/>
        <v>5</v>
      </c>
      <c r="T433" s="15" t="str">
        <f t="shared" si="5"/>
        <v>B-4</v>
      </c>
      <c r="U433" s="15" t="str">
        <f t="shared" si="6"/>
        <v>T6-M3-H5-FB-4-VERIFY</v>
      </c>
      <c r="V433" s="15">
        <f t="shared" si="7"/>
        <v>0</v>
      </c>
      <c r="W433" s="31"/>
      <c r="X433" s="15" t="str">
        <f t="shared" si="8"/>
        <v>janjgir</v>
      </c>
      <c r="Y433" s="32" t="str">
        <f t="shared" si="9"/>
        <v>https://steelmanufacturer.in/market-area/electropolished-pipes-manufacturer-in-janjgir/</v>
      </c>
      <c r="Z433" s="15" t="str">
        <f t="shared" si="10"/>
        <v>Electropolished Pipes Manufacturer in Janjgir</v>
      </c>
      <c r="AA433" s="15" t="str">
        <f t="shared" si="11"/>
        <v>OK (45)</v>
      </c>
      <c r="AB433" s="15" t="str">
        <f t="shared" si="12"/>
        <v>EP stainless tube for VERIFY lines in Janjgir. VERIFY. ASTM A270 S2, PMI tested, EN 10204 3.1.</v>
      </c>
      <c r="AC433" s="15" t="str">
        <f t="shared" si="13"/>
        <v>PENDING RESEARCH</v>
      </c>
      <c r="AD433" s="15" t="str">
        <f t="shared" si="14"/>
        <v>Electropolished Pipes Manufacturer in Janjgir</v>
      </c>
      <c r="AE433" s="15" t="str">
        <f t="shared" si="15"/>
        <v>Electropolished Tube Manufacturing Capability Serving Janjgir</v>
      </c>
      <c r="AF433" s="15" t="str">
        <f t="shared" si="16"/>
        <v>Electropolished Pipes Supplier in Janjgir - From Order to Delivery</v>
      </c>
      <c r="AG433" s="15" t="str">
        <f t="shared" si="17"/>
        <v>Stockist &amp; Wholesale Supply of Electropolished Pipes in Janjgir</v>
      </c>
      <c r="AH433" s="15" t="str">
        <f t="shared" si="18"/>
        <v>electropolished pipes manufacturer in Janjgir, electropolished pipes supplier in Janjgir, electropolished pipes wholesaler in Janjgir, electropolished tube manufacturer Janjgir, EP pipe supplier Janjgir, sanitary tube supplier Janjgir, ASME BPE tubing Janjgir, ASTM A270 tube Janjgir, SS 316L electropolished pipe Janjgir</v>
      </c>
      <c r="AI433" s="15" t="str">
        <f t="shared" si="19"/>
        <v>Electropolished Pipes Manufacturer &amp; Supplier in Janjgir</v>
      </c>
      <c r="AJ433" s="15" t="str">
        <f t="shared" si="20"/>
        <v>EP-finished SS 304/316L pipes and tubes for VERIFY plants in Janjgir. ASME BPE SF1-SF4, Ra from 0.25 um, EN 10204 3.1 certificate with every lot.</v>
      </c>
      <c r="AK433" s="15" t="str">
        <f t="shared" si="21"/>
        <v>Electropolished stainless steel pipes supplied by Sakshi Forge to VERIFY plants at CSIDC Industrial Area, Janjgir</v>
      </c>
      <c r="AL433" s="15" t="str">
        <f t="shared" si="22"/>
        <v>Electropolished SS 316L tube stock for Janjgir - Sakshi Forge</v>
      </c>
      <c r="AM433" s="15" t="str">
        <f t="shared" si="23"/>
        <v>Home &gt; Market Area &gt; India &gt; Chhattisgarh &gt; Janjgir</v>
      </c>
      <c r="AN433" s="15">
        <f t="shared" si="24"/>
        <v>1000</v>
      </c>
      <c r="AO433" s="15">
        <f t="shared" si="25"/>
        <v>8</v>
      </c>
      <c r="AP433" s="15">
        <f t="shared" si="26"/>
        <v>8</v>
      </c>
      <c r="AQ433" s="15">
        <f t="shared" si="27"/>
        <v>8</v>
      </c>
      <c r="AR433" s="31"/>
      <c r="AS433" s="31"/>
      <c r="AT433" s="35" t="s">
        <v>222</v>
      </c>
      <c r="AU433" s="35"/>
    </row>
    <row r="434" ht="15.75" customHeight="1">
      <c r="A434" s="15" t="s">
        <v>3484</v>
      </c>
      <c r="B434" s="15" t="s">
        <v>60</v>
      </c>
      <c r="C434" s="15" t="s">
        <v>85</v>
      </c>
      <c r="D434" s="15" t="s">
        <v>3486</v>
      </c>
      <c r="E434" s="15" t="s">
        <v>3486</v>
      </c>
      <c r="F434" s="65" t="s">
        <v>788</v>
      </c>
      <c r="G434" s="66" t="s">
        <v>98</v>
      </c>
      <c r="H434" s="18" t="s">
        <v>3489</v>
      </c>
      <c r="I434" s="18" t="s">
        <v>8398</v>
      </c>
      <c r="J434" s="18" t="s">
        <v>98</v>
      </c>
      <c r="K434" s="18" t="s">
        <v>98</v>
      </c>
      <c r="L434" s="18" t="s">
        <v>98</v>
      </c>
      <c r="M434" s="18" t="s">
        <v>98</v>
      </c>
      <c r="N434" s="18" t="s">
        <v>98</v>
      </c>
      <c r="O434" s="18" t="s">
        <v>98</v>
      </c>
      <c r="P434" s="15" t="str">
        <f t="shared" si="1"/>
        <v>VERIFY</v>
      </c>
      <c r="Q434" s="15">
        <f t="shared" si="2"/>
        <v>7</v>
      </c>
      <c r="R434" s="15">
        <f t="shared" si="3"/>
        <v>4</v>
      </c>
      <c r="S434" s="15">
        <f t="shared" si="4"/>
        <v>1</v>
      </c>
      <c r="T434" s="15" t="str">
        <f t="shared" si="5"/>
        <v>B-5</v>
      </c>
      <c r="U434" s="15" t="str">
        <f t="shared" si="6"/>
        <v>T7-M4-H1-FB-5-VERIFY</v>
      </c>
      <c r="V434" s="15">
        <f t="shared" si="7"/>
        <v>0</v>
      </c>
      <c r="W434" s="31"/>
      <c r="X434" s="15" t="str">
        <f t="shared" si="8"/>
        <v>jaunpur</v>
      </c>
      <c r="Y434" s="32" t="str">
        <f t="shared" si="9"/>
        <v>https://steelmanufacturer.in/market-area/electropolished-pipes-manufacturer-in-jaunpur/</v>
      </c>
      <c r="Z434" s="15" t="str">
        <f t="shared" si="10"/>
        <v>Electropolished Pipes Manufacturer in Jaunpur | ASME BPE SF1-SF4</v>
      </c>
      <c r="AA434" s="15" t="str">
        <f t="shared" si="11"/>
        <v>OK (64)</v>
      </c>
      <c r="AB434" s="15" t="str">
        <f t="shared" si="12"/>
        <v>Sanitary electropolished pipes in Jaunpur for VERIFY plants. ASME BPE SF1-SF4, orbital-weld ready, 3.1 MTC. Mumbai-made.</v>
      </c>
      <c r="AC434" s="15" t="str">
        <f t="shared" si="13"/>
        <v>PENDING RESEARCH</v>
      </c>
      <c r="AD434" s="15" t="str">
        <f t="shared" si="14"/>
        <v>Electropolished Pipes Manufacturer in Jaunpur</v>
      </c>
      <c r="AE434" s="15" t="str">
        <f t="shared" si="15"/>
        <v>Electropolished Pipe &amp; Tube Manufacturing for Jaunpur - Grades, Finishes &amp; Certification</v>
      </c>
      <c r="AF434" s="15" t="str">
        <f t="shared" si="16"/>
        <v>Electropolished Pipes Supplier in Jaunpur - Stock Sizes, Lead Time &amp; Delivery</v>
      </c>
      <c r="AG434" s="15" t="str">
        <f t="shared" si="17"/>
        <v>Electropolished Pipes Wholesaler &amp; Stockist in Jaunpur - Bulk &amp; Project Pricing</v>
      </c>
      <c r="AH434" s="15" t="str">
        <f t="shared" si="18"/>
        <v>electropolished pipes manufacturer in Jaunpur, electropolished pipes supplier in Jaunpur, electropolished pipes wholesaler in Jaunpur, electropolished tube manufacturer Jaunpur, EP pipe supplier Jaunpur, sanitary tube supplier Jaunpur, ASME BPE tubing Jaunpur, ASTM A270 tube Jaunpur, SS 316L electropolished pipe Jaunpur</v>
      </c>
      <c r="AI434" s="15" t="str">
        <f t="shared" si="19"/>
        <v>Electropolished Pipes Manufacturer &amp; Supplier in Jaunpur</v>
      </c>
      <c r="AJ434" s="15" t="str">
        <f t="shared" si="20"/>
        <v>EP-finished SS 304/316L pipes and tubes for VERIFY plants in Jaunpur. ASME BPE SF1-SF4, Ra from 0.25 um, EN 10204 3.1 certificate with every lot.</v>
      </c>
      <c r="AK434" s="15" t="str">
        <f t="shared" si="21"/>
        <v>Electropolished stainless steel pipes supplied by Sakshi Forge to VERIFY plants at UPSIDA Industrial Area, Jaunpur</v>
      </c>
      <c r="AL434" s="15" t="str">
        <f t="shared" si="22"/>
        <v>Electropolished SS 316L tube stock for Jaunpur - Sakshi Forge</v>
      </c>
      <c r="AM434" s="15" t="str">
        <f t="shared" si="23"/>
        <v>Home &gt; Market Area &gt; India &gt; Uttar Pradesh &gt; Jaunpur</v>
      </c>
      <c r="AN434" s="15">
        <f t="shared" si="24"/>
        <v>1000</v>
      </c>
      <c r="AO434" s="15">
        <f t="shared" si="25"/>
        <v>8</v>
      </c>
      <c r="AP434" s="15">
        <f t="shared" si="26"/>
        <v>8</v>
      </c>
      <c r="AQ434" s="15">
        <f t="shared" si="27"/>
        <v>8</v>
      </c>
      <c r="AR434" s="31"/>
      <c r="AS434" s="31"/>
      <c r="AT434" s="35" t="s">
        <v>222</v>
      </c>
      <c r="AU434" s="35"/>
    </row>
    <row r="435" ht="15.75" customHeight="1">
      <c r="A435" s="15" t="s">
        <v>3494</v>
      </c>
      <c r="B435" s="15" t="s">
        <v>60</v>
      </c>
      <c r="C435" s="15" t="s">
        <v>224</v>
      </c>
      <c r="D435" s="15" t="s">
        <v>3495</v>
      </c>
      <c r="E435" s="15" t="s">
        <v>3495</v>
      </c>
      <c r="F435" s="65" t="s">
        <v>788</v>
      </c>
      <c r="G435" s="66" t="s">
        <v>98</v>
      </c>
      <c r="H435" s="18" t="s">
        <v>3497</v>
      </c>
      <c r="I435" s="18" t="s">
        <v>8400</v>
      </c>
      <c r="J435" s="18" t="s">
        <v>98</v>
      </c>
      <c r="K435" s="18" t="s">
        <v>98</v>
      </c>
      <c r="L435" s="18" t="s">
        <v>98</v>
      </c>
      <c r="M435" s="18" t="s">
        <v>98</v>
      </c>
      <c r="N435" s="18" t="s">
        <v>98</v>
      </c>
      <c r="O435" s="18" t="s">
        <v>98</v>
      </c>
      <c r="P435" s="15" t="str">
        <f t="shared" si="1"/>
        <v>VERIFY</v>
      </c>
      <c r="Q435" s="15">
        <f t="shared" si="2"/>
        <v>8</v>
      </c>
      <c r="R435" s="15">
        <f t="shared" si="3"/>
        <v>5</v>
      </c>
      <c r="S435" s="15">
        <f t="shared" si="4"/>
        <v>2</v>
      </c>
      <c r="T435" s="15" t="str">
        <f t="shared" si="5"/>
        <v>B-6</v>
      </c>
      <c r="U435" s="15" t="str">
        <f t="shared" si="6"/>
        <v>T8-M5-H2-FB-6-VERIFY</v>
      </c>
      <c r="V435" s="15">
        <f t="shared" si="7"/>
        <v>0</v>
      </c>
      <c r="W435" s="31"/>
      <c r="X435" s="15" t="str">
        <f t="shared" si="8"/>
        <v>jhagadia</v>
      </c>
      <c r="Y435" s="32" t="str">
        <f t="shared" si="9"/>
        <v>https://steelmanufacturer.in/market-area/electropolished-pipes-manufacturer-in-jhagadia/</v>
      </c>
      <c r="Z435" s="15" t="str">
        <f t="shared" si="10"/>
        <v>Electropolished Pipes Manufacturer in Jhagadia - EP Tube Stockist</v>
      </c>
      <c r="AA435" s="15" t="str">
        <f t="shared" si="11"/>
        <v>OK (65)</v>
      </c>
      <c r="AB435" s="15" t="str">
        <f t="shared" si="12"/>
        <v>Manufacturer of electropolished SS 316L tube serving Jhagadia. VERIFY. Ra 0.25-0.5 um, EN 10204 3.1 MTC.</v>
      </c>
      <c r="AC435" s="15" t="str">
        <f t="shared" si="13"/>
        <v>PENDING RESEARCH</v>
      </c>
      <c r="AD435" s="15" t="str">
        <f t="shared" si="14"/>
        <v>Electropolished Pipes Manufacturer in Jhagadia</v>
      </c>
      <c r="AE435" s="15" t="str">
        <f t="shared" si="15"/>
        <v>How We Manufacture Electropolished Tube for Jhagadia Plants</v>
      </c>
      <c r="AF435" s="15" t="str">
        <f t="shared" si="16"/>
        <v>Supplying Electropolished Pipes in Jhagadia: Availability, Sizes &amp; Dispatch</v>
      </c>
      <c r="AG435" s="15" t="str">
        <f t="shared" si="17"/>
        <v>Wholesale Electropolished Pipe Supply for Jhagadia Projects</v>
      </c>
      <c r="AH435" s="15" t="str">
        <f t="shared" si="18"/>
        <v>electropolished pipes manufacturer in Jhagadia, electropolished pipes supplier in Jhagadia, electropolished pipes wholesaler in Jhagadia, electropolished tube manufacturer Jhagadia, EP pipe supplier Jhagadia, sanitary tube supplier Jhagadia, ASME BPE tubing Jhagadia, ASTM A270 tube Jhagadia, SS 316L electropolished pipe Jhagadia</v>
      </c>
      <c r="AI435" s="15" t="str">
        <f t="shared" si="19"/>
        <v>Electropolished Pipes Manufacturer &amp; Supplier in Jhagadia</v>
      </c>
      <c r="AJ435" s="15" t="str">
        <f t="shared" si="20"/>
        <v>EP-finished SS 304/316L pipes and tubes for VERIFY plants in Jhagadia. ASME BPE SF1-SF4, Ra from 0.25 um, EN 10204 3.1 certificate with every lot.</v>
      </c>
      <c r="AK435" s="15" t="str">
        <f t="shared" si="21"/>
        <v>Electropolished stainless steel pipes supplied by Sakshi Forge to VERIFY plants at GIDC Industrial Area, Jhagadia</v>
      </c>
      <c r="AL435" s="15" t="str">
        <f t="shared" si="22"/>
        <v>Electropolished SS 316L tube stock for Jhagadia - Sakshi Forge</v>
      </c>
      <c r="AM435" s="15" t="str">
        <f t="shared" si="23"/>
        <v>Home &gt; Market Area &gt; India &gt; Gujarat &gt; Jhagadia</v>
      </c>
      <c r="AN435" s="15">
        <f t="shared" si="24"/>
        <v>1000</v>
      </c>
      <c r="AO435" s="15">
        <f t="shared" si="25"/>
        <v>8</v>
      </c>
      <c r="AP435" s="15">
        <f t="shared" si="26"/>
        <v>8</v>
      </c>
      <c r="AQ435" s="15">
        <f t="shared" si="27"/>
        <v>8</v>
      </c>
      <c r="AR435" s="31"/>
      <c r="AS435" s="31"/>
      <c r="AT435" s="35" t="s">
        <v>222</v>
      </c>
      <c r="AU435" s="35"/>
    </row>
    <row r="436" ht="15.75" customHeight="1">
      <c r="A436" s="15" t="s">
        <v>3498</v>
      </c>
      <c r="B436" s="15" t="s">
        <v>60</v>
      </c>
      <c r="C436" s="15" t="s">
        <v>245</v>
      </c>
      <c r="D436" s="15" t="s">
        <v>3499</v>
      </c>
      <c r="E436" s="15" t="s">
        <v>3499</v>
      </c>
      <c r="F436" s="65" t="s">
        <v>788</v>
      </c>
      <c r="G436" s="66" t="s">
        <v>98</v>
      </c>
      <c r="H436" s="18" t="s">
        <v>3501</v>
      </c>
      <c r="I436" s="18" t="s">
        <v>8407</v>
      </c>
      <c r="J436" s="18" t="s">
        <v>98</v>
      </c>
      <c r="K436" s="18" t="s">
        <v>98</v>
      </c>
      <c r="L436" s="18" t="s">
        <v>98</v>
      </c>
      <c r="M436" s="18" t="s">
        <v>98</v>
      </c>
      <c r="N436" s="18" t="s">
        <v>98</v>
      </c>
      <c r="O436" s="18" t="s">
        <v>98</v>
      </c>
      <c r="P436" s="15" t="str">
        <f t="shared" si="1"/>
        <v>VERIFY</v>
      </c>
      <c r="Q436" s="15">
        <f t="shared" si="2"/>
        <v>1</v>
      </c>
      <c r="R436" s="15">
        <f t="shared" si="3"/>
        <v>6</v>
      </c>
      <c r="S436" s="15">
        <f t="shared" si="4"/>
        <v>3</v>
      </c>
      <c r="T436" s="15" t="str">
        <f t="shared" si="5"/>
        <v>B-1</v>
      </c>
      <c r="U436" s="15" t="str">
        <f t="shared" si="6"/>
        <v>T1-M6-H3-FB-1-VERIFY</v>
      </c>
      <c r="V436" s="15">
        <f t="shared" si="7"/>
        <v>0</v>
      </c>
      <c r="W436" s="31"/>
      <c r="X436" s="15" t="str">
        <f t="shared" si="8"/>
        <v>jhajjar</v>
      </c>
      <c r="Y436" s="32" t="str">
        <f t="shared" si="9"/>
        <v>https://steelmanufacturer.in/market-area/electropolished-pipes-manufacturer-in-jhajjar/</v>
      </c>
      <c r="Z436" s="15" t="str">
        <f t="shared" si="10"/>
        <v>Electropolished Pipes Manufacturer in Jhajjar | Sakshi Forge</v>
      </c>
      <c r="AA436" s="15" t="str">
        <f t="shared" si="11"/>
        <v>OK (60)</v>
      </c>
      <c r="AB436" s="15" t="str">
        <f t="shared" si="12"/>
        <v>EP tube and pipe for VERIFY plants around HSIIDC Industrial Area, Jhajjar. Made at our Mumbai works to ASTM A270 and ASME BPE SF1-SF4, with 3.1 MTC.</v>
      </c>
      <c r="AC436" s="15" t="str">
        <f t="shared" si="13"/>
        <v>PENDING RESEARCH</v>
      </c>
      <c r="AD436" s="15" t="str">
        <f t="shared" si="14"/>
        <v>Electropolished Pipes Manufacturer in Jhajjar</v>
      </c>
      <c r="AE436" s="15" t="str">
        <f t="shared" si="15"/>
        <v>Electropolished Pipes Manufacturer in Jhajjar - Our Process &amp; Capability</v>
      </c>
      <c r="AF436" s="15" t="str">
        <f t="shared" si="16"/>
        <v>Electropolished Pipes Supplier in Jhajjar - What We Hold in Stock</v>
      </c>
      <c r="AG436" s="15" t="str">
        <f t="shared" si="17"/>
        <v>Bulk &amp; Wholesale Electropolished Pipe Rates for Jhajjar Buyers</v>
      </c>
      <c r="AH436" s="15" t="str">
        <f t="shared" si="18"/>
        <v>electropolished pipes manufacturer in Jhajjar, electropolished pipes supplier in Jhajjar, electropolished pipes wholesaler in Jhajjar, electropolished tube manufacturer Jhajjar, EP pipe supplier Jhajjar, sanitary tube supplier Jhajjar, ASME BPE tubing Jhajjar, ASTM A270 tube Jhajjar, SS 316L electropolished pipe Jhajjar</v>
      </c>
      <c r="AI436" s="15" t="str">
        <f t="shared" si="19"/>
        <v>Electropolished Pipes Manufacturer &amp; Supplier in Jhajjar</v>
      </c>
      <c r="AJ436" s="15" t="str">
        <f t="shared" si="20"/>
        <v>EP-finished SS 304/316L pipes and tubes for VERIFY plants in Jhajjar. ASME BPE SF1-SF4, Ra from 0.25 um, EN 10204 3.1 certificate with every lot.</v>
      </c>
      <c r="AK436" s="15" t="str">
        <f t="shared" si="21"/>
        <v>Electropolished stainless steel pipes supplied by Sakshi Forge to VERIFY plants at HSIIDC Industrial Area, Jhajjar</v>
      </c>
      <c r="AL436" s="15" t="str">
        <f t="shared" si="22"/>
        <v>Electropolished SS 316L tube stock for Jhajjar - Sakshi Forge</v>
      </c>
      <c r="AM436" s="15" t="str">
        <f t="shared" si="23"/>
        <v>Home &gt; Market Area &gt; India &gt; Haryana &gt; Jhajjar</v>
      </c>
      <c r="AN436" s="15">
        <f t="shared" si="24"/>
        <v>1000</v>
      </c>
      <c r="AO436" s="15">
        <f t="shared" si="25"/>
        <v>8</v>
      </c>
      <c r="AP436" s="15">
        <f t="shared" si="26"/>
        <v>8</v>
      </c>
      <c r="AQ436" s="15">
        <f t="shared" si="27"/>
        <v>8</v>
      </c>
      <c r="AR436" s="31"/>
      <c r="AS436" s="31"/>
      <c r="AT436" s="35" t="s">
        <v>222</v>
      </c>
      <c r="AU436" s="35"/>
    </row>
    <row r="437" ht="15.75" customHeight="1">
      <c r="A437" s="15" t="s">
        <v>3502</v>
      </c>
      <c r="B437" s="15" t="s">
        <v>60</v>
      </c>
      <c r="C437" s="15" t="s">
        <v>85</v>
      </c>
      <c r="D437" s="15" t="s">
        <v>3503</v>
      </c>
      <c r="E437" s="15" t="s">
        <v>3503</v>
      </c>
      <c r="F437" s="65" t="s">
        <v>788</v>
      </c>
      <c r="G437" s="66" t="s">
        <v>98</v>
      </c>
      <c r="H437" s="18" t="s">
        <v>3505</v>
      </c>
      <c r="I437" s="18" t="s">
        <v>8398</v>
      </c>
      <c r="J437" s="18" t="s">
        <v>98</v>
      </c>
      <c r="K437" s="18" t="s">
        <v>98</v>
      </c>
      <c r="L437" s="18" t="s">
        <v>98</v>
      </c>
      <c r="M437" s="18" t="s">
        <v>98</v>
      </c>
      <c r="N437" s="18" t="s">
        <v>98</v>
      </c>
      <c r="O437" s="18" t="s">
        <v>98</v>
      </c>
      <c r="P437" s="15" t="str">
        <f t="shared" si="1"/>
        <v>VERIFY</v>
      </c>
      <c r="Q437" s="15">
        <f t="shared" si="2"/>
        <v>2</v>
      </c>
      <c r="R437" s="15">
        <f t="shared" si="3"/>
        <v>7</v>
      </c>
      <c r="S437" s="15">
        <f t="shared" si="4"/>
        <v>4</v>
      </c>
      <c r="T437" s="15" t="str">
        <f t="shared" si="5"/>
        <v>B-2</v>
      </c>
      <c r="U437" s="15" t="str">
        <f t="shared" si="6"/>
        <v>T2-M7-H4-FB-2-VERIFY</v>
      </c>
      <c r="V437" s="15">
        <f t="shared" si="7"/>
        <v>0</v>
      </c>
      <c r="W437" s="31"/>
      <c r="X437" s="15" t="str">
        <f t="shared" si="8"/>
        <v>jhansi</v>
      </c>
      <c r="Y437" s="32" t="str">
        <f t="shared" si="9"/>
        <v>https://steelmanufacturer.in/market-area/electropolished-pipes-manufacturer-in-jhansi/</v>
      </c>
      <c r="Z437" s="15" t="str">
        <f t="shared" si="10"/>
        <v>Electropolished Pipes Manufacturer in Jhansi</v>
      </c>
      <c r="AA437" s="15" t="str">
        <f t="shared" si="11"/>
        <v>OK (44)</v>
      </c>
      <c r="AB437" s="15" t="str">
        <f t="shared" si="12"/>
        <v>Electropolished pipes in Jhansi: 304, 304L, 316 and 316L in SF1-SF4. VERIFY. Mill certified.</v>
      </c>
      <c r="AC437" s="15" t="str">
        <f t="shared" si="13"/>
        <v>PENDING RESEARCH</v>
      </c>
      <c r="AD437" s="15" t="str">
        <f t="shared" si="14"/>
        <v>Electropolished Pipes Manufacturer in Jhansi</v>
      </c>
      <c r="AE437" s="15" t="str">
        <f t="shared" si="15"/>
        <v>Manufacturing Electropolished SS Tube for Jhansi: The Standards We Build To</v>
      </c>
      <c r="AF437" s="15" t="str">
        <f t="shared" si="16"/>
        <v>Electropolished Pipe Supply Into Jhansi - Certification &amp; Transit</v>
      </c>
      <c r="AG437" s="15" t="str">
        <f t="shared" si="17"/>
        <v>Electropolished Pipes Wholesaler in Jhansi - Project Quantities &amp; Terms</v>
      </c>
      <c r="AH437" s="15" t="str">
        <f t="shared" si="18"/>
        <v>electropolished pipes manufacturer in Jhansi, electropolished pipes supplier in Jhansi, electropolished pipes wholesaler in Jhansi, electropolished tube manufacturer Jhansi, EP pipe supplier Jhansi, sanitary tube supplier Jhansi, ASME BPE tubing Jhansi, ASTM A270 tube Jhansi, SS 316L electropolished pipe Jhansi</v>
      </c>
      <c r="AI437" s="15" t="str">
        <f t="shared" si="19"/>
        <v>Electropolished Pipes Manufacturer &amp; Supplier in Jhansi</v>
      </c>
      <c r="AJ437" s="15" t="str">
        <f t="shared" si="20"/>
        <v>EP-finished SS 304/316L pipes and tubes for VERIFY plants in Jhansi. ASME BPE SF1-SF4, Ra from 0.25 um, EN 10204 3.1 certificate with every lot.</v>
      </c>
      <c r="AK437" s="15" t="str">
        <f t="shared" si="21"/>
        <v>Electropolished stainless steel pipes supplied by Sakshi Forge to VERIFY plants at UPSIDA Industrial Area, Jhansi</v>
      </c>
      <c r="AL437" s="15" t="str">
        <f t="shared" si="22"/>
        <v>Electropolished SS 316L tube stock for Jhansi - Sakshi Forge</v>
      </c>
      <c r="AM437" s="15" t="str">
        <f t="shared" si="23"/>
        <v>Home &gt; Market Area &gt; India &gt; Uttar Pradesh &gt; Jhansi</v>
      </c>
      <c r="AN437" s="15">
        <f t="shared" si="24"/>
        <v>1000</v>
      </c>
      <c r="AO437" s="15">
        <f t="shared" si="25"/>
        <v>8</v>
      </c>
      <c r="AP437" s="15">
        <f t="shared" si="26"/>
        <v>8</v>
      </c>
      <c r="AQ437" s="15">
        <f t="shared" si="27"/>
        <v>8</v>
      </c>
      <c r="AR437" s="31"/>
      <c r="AS437" s="31"/>
      <c r="AT437" s="35" t="s">
        <v>222</v>
      </c>
      <c r="AU437" s="35"/>
    </row>
    <row r="438" ht="15.75" customHeight="1">
      <c r="A438" s="15" t="s">
        <v>3506</v>
      </c>
      <c r="B438" s="15" t="s">
        <v>60</v>
      </c>
      <c r="C438" s="15" t="s">
        <v>424</v>
      </c>
      <c r="D438" s="15" t="s">
        <v>3507</v>
      </c>
      <c r="E438" s="15" t="s">
        <v>3507</v>
      </c>
      <c r="F438" s="65" t="s">
        <v>788</v>
      </c>
      <c r="G438" s="66" t="s">
        <v>98</v>
      </c>
      <c r="H438" s="18" t="s">
        <v>3509</v>
      </c>
      <c r="I438" s="18" t="s">
        <v>8406</v>
      </c>
      <c r="J438" s="18" t="s">
        <v>98</v>
      </c>
      <c r="K438" s="18" t="s">
        <v>98</v>
      </c>
      <c r="L438" s="18" t="s">
        <v>98</v>
      </c>
      <c r="M438" s="18" t="s">
        <v>98</v>
      </c>
      <c r="N438" s="18" t="s">
        <v>98</v>
      </c>
      <c r="O438" s="18" t="s">
        <v>98</v>
      </c>
      <c r="P438" s="15" t="str">
        <f t="shared" si="1"/>
        <v>VERIFY</v>
      </c>
      <c r="Q438" s="15">
        <f t="shared" si="2"/>
        <v>3</v>
      </c>
      <c r="R438" s="15">
        <f t="shared" si="3"/>
        <v>1</v>
      </c>
      <c r="S438" s="15">
        <f t="shared" si="4"/>
        <v>5</v>
      </c>
      <c r="T438" s="15" t="str">
        <f t="shared" si="5"/>
        <v>B-3</v>
      </c>
      <c r="U438" s="15" t="str">
        <f t="shared" si="6"/>
        <v>T3-M1-H5-FB-3-VERIFY</v>
      </c>
      <c r="V438" s="15">
        <f t="shared" si="7"/>
        <v>0</v>
      </c>
      <c r="W438" s="31"/>
      <c r="X438" s="15" t="str">
        <f t="shared" si="8"/>
        <v>jharsuguda</v>
      </c>
      <c r="Y438" s="32" t="str">
        <f t="shared" si="9"/>
        <v>https://steelmanufacturer.in/market-area/electropolished-pipes-manufacturer-in-jharsuguda/</v>
      </c>
      <c r="Z438" s="15" t="str">
        <f t="shared" si="10"/>
        <v>Electropolished Pipes Manufacturer in Jharsuguda</v>
      </c>
      <c r="AA438" s="15" t="str">
        <f t="shared" si="11"/>
        <v>OK (48)</v>
      </c>
      <c r="AB438" s="15" t="str">
        <f t="shared" si="12"/>
        <v>EP-finished SS 304/316L pipes &amp; tubes for VERIFY plants in Jharsuguda. ASTM A270, ASME BPE SF1-SF4, EN 10204 3.1 MTC. PMI tested.</v>
      </c>
      <c r="AC438" s="15" t="str">
        <f t="shared" si="13"/>
        <v>PENDING RESEARCH</v>
      </c>
      <c r="AD438" s="15" t="str">
        <f t="shared" si="14"/>
        <v>Electropolished Pipes Manufacturer in Jharsuguda</v>
      </c>
      <c r="AE438" s="15" t="str">
        <f t="shared" si="15"/>
        <v>Electropolished Tube Manufacturing Capability Serving Jharsuguda</v>
      </c>
      <c r="AF438" s="15" t="str">
        <f t="shared" si="16"/>
        <v>Electropolished Pipes Supplier in Jharsuguda - From Order to Delivery</v>
      </c>
      <c r="AG438" s="15" t="str">
        <f t="shared" si="17"/>
        <v>Stockist &amp; Wholesale Supply of Electropolished Pipes in Jharsuguda</v>
      </c>
      <c r="AH438" s="15" t="str">
        <f t="shared" si="18"/>
        <v>electropolished pipes manufacturer in Jharsuguda, electropolished pipes supplier in Jharsuguda, electropolished pipes wholesaler in Jharsuguda, electropolished tube manufacturer Jharsuguda, EP pipe supplier Jharsuguda, sanitary tube supplier Jharsuguda, ASME BPE tubing Jharsuguda, ASTM A270 tube Jharsuguda, SS 316L electropolished pipe Jharsuguda</v>
      </c>
      <c r="AI438" s="15" t="str">
        <f t="shared" si="19"/>
        <v>Electropolished Pipes Manufacturer &amp; Supplier in Jharsuguda</v>
      </c>
      <c r="AJ438" s="15" t="str">
        <f t="shared" si="20"/>
        <v>EP-finished SS 304/316L pipes and tubes for VERIFY plants in Jharsuguda. ASME BPE SF1-SF4, Ra from 0.25 um, EN 10204 3.1 certificate with every lot.</v>
      </c>
      <c r="AK438" s="15" t="str">
        <f t="shared" si="21"/>
        <v>Electropolished stainless steel pipes supplied by Sakshi Forge to VERIFY plants at IDCO Industrial Area, Jharsuguda</v>
      </c>
      <c r="AL438" s="15" t="str">
        <f t="shared" si="22"/>
        <v>Electropolished SS 316L tube stock for Jharsuguda - Sakshi Forge</v>
      </c>
      <c r="AM438" s="15" t="str">
        <f t="shared" si="23"/>
        <v>Home &gt; Market Area &gt; India &gt; Odisha &gt; Jharsuguda</v>
      </c>
      <c r="AN438" s="15">
        <f t="shared" si="24"/>
        <v>1000</v>
      </c>
      <c r="AO438" s="15">
        <f t="shared" si="25"/>
        <v>8</v>
      </c>
      <c r="AP438" s="15">
        <f t="shared" si="26"/>
        <v>8</v>
      </c>
      <c r="AQ438" s="15">
        <f t="shared" si="27"/>
        <v>8</v>
      </c>
      <c r="AR438" s="31"/>
      <c r="AS438" s="31"/>
      <c r="AT438" s="35" t="s">
        <v>222</v>
      </c>
      <c r="AU438" s="35"/>
    </row>
    <row r="439" ht="15.75" customHeight="1">
      <c r="A439" s="15" t="s">
        <v>3510</v>
      </c>
      <c r="B439" s="15" t="s">
        <v>60</v>
      </c>
      <c r="C439" s="15" t="s">
        <v>2202</v>
      </c>
      <c r="D439" s="15" t="s">
        <v>3511</v>
      </c>
      <c r="E439" s="15" t="s">
        <v>3511</v>
      </c>
      <c r="F439" s="65" t="s">
        <v>788</v>
      </c>
      <c r="G439" s="66" t="s">
        <v>98</v>
      </c>
      <c r="H439" s="18" t="s">
        <v>3514</v>
      </c>
      <c r="I439" s="18" t="s">
        <v>8409</v>
      </c>
      <c r="J439" s="18" t="s">
        <v>98</v>
      </c>
      <c r="K439" s="18" t="s">
        <v>98</v>
      </c>
      <c r="L439" s="18" t="s">
        <v>98</v>
      </c>
      <c r="M439" s="18" t="s">
        <v>98</v>
      </c>
      <c r="N439" s="18" t="s">
        <v>98</v>
      </c>
      <c r="O439" s="18" t="s">
        <v>98</v>
      </c>
      <c r="P439" s="15" t="str">
        <f t="shared" si="1"/>
        <v>VERIFY</v>
      </c>
      <c r="Q439" s="15">
        <f t="shared" si="2"/>
        <v>4</v>
      </c>
      <c r="R439" s="15">
        <f t="shared" si="3"/>
        <v>2</v>
      </c>
      <c r="S439" s="15">
        <f t="shared" si="4"/>
        <v>1</v>
      </c>
      <c r="T439" s="15" t="str">
        <f t="shared" si="5"/>
        <v>B-4</v>
      </c>
      <c r="U439" s="15" t="str">
        <f t="shared" si="6"/>
        <v>T4-M2-H1-FB-4-VERIFY</v>
      </c>
      <c r="V439" s="15">
        <f t="shared" si="7"/>
        <v>0</v>
      </c>
      <c r="W439" s="31"/>
      <c r="X439" s="15" t="str">
        <f t="shared" si="8"/>
        <v>jhilmil</v>
      </c>
      <c r="Y439" s="32" t="str">
        <f t="shared" si="9"/>
        <v>https://steelmanufacturer.in/market-area/electropolished-pipes-manufacturer-in-jhilmil/</v>
      </c>
      <c r="Z439" s="15" t="str">
        <f t="shared" si="10"/>
        <v>Electropolished Pipes Manufacturer in Jhilmil</v>
      </c>
      <c r="AA439" s="15" t="str">
        <f t="shared" si="11"/>
        <v>OK (45)</v>
      </c>
      <c r="AB439" s="15" t="str">
        <f t="shared" si="12"/>
        <v>Electropolished tube supply to DSIIDC Industrial Area, Jhilmil. Ra from 0.25 um, SF4 finish, mill test certificate with every lot.</v>
      </c>
      <c r="AC439" s="15" t="str">
        <f t="shared" si="13"/>
        <v>PENDING RESEARCH</v>
      </c>
      <c r="AD439" s="15" t="str">
        <f t="shared" si="14"/>
        <v>Electropolished Pipes Manufacturer in Jhilmil</v>
      </c>
      <c r="AE439" s="15" t="str">
        <f t="shared" si="15"/>
        <v>Electropolished Pipe &amp; Tube Manufacturing for Jhilmil - Grades, Finishes &amp; Certification</v>
      </c>
      <c r="AF439" s="15" t="str">
        <f t="shared" si="16"/>
        <v>Electropolished Pipes Supplier in Jhilmil - Stock Sizes, Lead Time &amp; Delivery</v>
      </c>
      <c r="AG439" s="15" t="str">
        <f t="shared" si="17"/>
        <v>Electropolished Pipes Wholesaler &amp; Stockist in Jhilmil - Bulk &amp; Project Pricing</v>
      </c>
      <c r="AH439" s="15" t="str">
        <f t="shared" si="18"/>
        <v>electropolished pipes manufacturer in Jhilmil, electropolished pipes supplier in Jhilmil, electropolished pipes wholesaler in Jhilmil, electropolished tube manufacturer Jhilmil, EP pipe supplier Jhilmil, sanitary tube supplier Jhilmil, ASME BPE tubing Jhilmil, ASTM A270 tube Jhilmil, SS 316L electropolished pipe Jhilmil</v>
      </c>
      <c r="AI439" s="15" t="str">
        <f t="shared" si="19"/>
        <v>Electropolished Pipes Manufacturer &amp; Supplier in Jhilmil</v>
      </c>
      <c r="AJ439" s="15" t="str">
        <f t="shared" si="20"/>
        <v>EP-finished SS 304/316L pipes and tubes for VERIFY plants in Jhilmil. ASME BPE SF1-SF4, Ra from 0.25 um, EN 10204 3.1 certificate with every lot.</v>
      </c>
      <c r="AK439" s="15" t="str">
        <f t="shared" si="21"/>
        <v>Electropolished stainless steel pipes supplied by Sakshi Forge to VERIFY plants at DSIIDC Industrial Area, Jhilmil</v>
      </c>
      <c r="AL439" s="15" t="str">
        <f t="shared" si="22"/>
        <v>Electropolished SS 316L tube stock for Jhilmil - Sakshi Forge</v>
      </c>
      <c r="AM439" s="15" t="str">
        <f t="shared" si="23"/>
        <v>Home &gt; Market Area &gt; India &gt; Delhi &gt; Jhilmil</v>
      </c>
      <c r="AN439" s="15">
        <f t="shared" si="24"/>
        <v>1000</v>
      </c>
      <c r="AO439" s="15">
        <f t="shared" si="25"/>
        <v>8</v>
      </c>
      <c r="AP439" s="15">
        <f t="shared" si="26"/>
        <v>8</v>
      </c>
      <c r="AQ439" s="15">
        <f t="shared" si="27"/>
        <v>8</v>
      </c>
      <c r="AR439" s="31"/>
      <c r="AS439" s="31"/>
      <c r="AT439" s="35" t="s">
        <v>222</v>
      </c>
      <c r="AU439" s="35"/>
    </row>
    <row r="440" ht="15.75" customHeight="1">
      <c r="A440" s="15" t="s">
        <v>3518</v>
      </c>
      <c r="B440" s="15" t="s">
        <v>60</v>
      </c>
      <c r="C440" s="15" t="s">
        <v>236</v>
      </c>
      <c r="D440" s="15" t="s">
        <v>3521</v>
      </c>
      <c r="E440" s="15" t="s">
        <v>3521</v>
      </c>
      <c r="F440" s="65" t="s">
        <v>788</v>
      </c>
      <c r="G440" s="66" t="s">
        <v>98</v>
      </c>
      <c r="H440" s="18" t="s">
        <v>3523</v>
      </c>
      <c r="I440" s="18" t="s">
        <v>8391</v>
      </c>
      <c r="J440" s="18" t="s">
        <v>98</v>
      </c>
      <c r="K440" s="18" t="s">
        <v>98</v>
      </c>
      <c r="L440" s="18" t="s">
        <v>98</v>
      </c>
      <c r="M440" s="18" t="s">
        <v>98</v>
      </c>
      <c r="N440" s="18" t="s">
        <v>98</v>
      </c>
      <c r="O440" s="18" t="s">
        <v>98</v>
      </c>
      <c r="P440" s="15" t="str">
        <f t="shared" si="1"/>
        <v>VERIFY</v>
      </c>
      <c r="Q440" s="15">
        <f t="shared" si="2"/>
        <v>5</v>
      </c>
      <c r="R440" s="15">
        <f t="shared" si="3"/>
        <v>3</v>
      </c>
      <c r="S440" s="15">
        <f t="shared" si="4"/>
        <v>2</v>
      </c>
      <c r="T440" s="15" t="str">
        <f t="shared" si="5"/>
        <v>B-5</v>
      </c>
      <c r="U440" s="15" t="str">
        <f t="shared" si="6"/>
        <v>T5-M3-H2-FB-5-VERIFY</v>
      </c>
      <c r="V440" s="15">
        <f t="shared" si="7"/>
        <v>0</v>
      </c>
      <c r="W440" s="31"/>
      <c r="X440" s="15" t="str">
        <f t="shared" si="8"/>
        <v>jhunjhunu</v>
      </c>
      <c r="Y440" s="32" t="str">
        <f t="shared" si="9"/>
        <v>https://steelmanufacturer.in/market-area/electropolished-pipes-manufacturer-in-jhunjhunu/</v>
      </c>
      <c r="Z440" s="15" t="str">
        <f t="shared" si="10"/>
        <v>Electropolished Pipes Manufacturer in Jhunjhunu</v>
      </c>
      <c r="AA440" s="15" t="str">
        <f t="shared" si="11"/>
        <v>OK (47)</v>
      </c>
      <c r="AB440" s="15" t="str">
        <f t="shared" si="12"/>
        <v>EP stainless tube for VERIFY lines in Jhunjhunu. VERIFY. ASTM A270 S2, PMI tested, EN 10204 3.1.</v>
      </c>
      <c r="AC440" s="15" t="str">
        <f t="shared" si="13"/>
        <v>PENDING RESEARCH</v>
      </c>
      <c r="AD440" s="15" t="str">
        <f t="shared" si="14"/>
        <v>Electropolished Pipes Manufacturer in Jhunjhunu</v>
      </c>
      <c r="AE440" s="15" t="str">
        <f t="shared" si="15"/>
        <v>How We Manufacture Electropolished Tube for Jhunjhunu Plants</v>
      </c>
      <c r="AF440" s="15" t="str">
        <f t="shared" si="16"/>
        <v>Supplying Electropolished Pipes in Jhunjhunu: Availability, Sizes &amp; Dispatch</v>
      </c>
      <c r="AG440" s="15" t="str">
        <f t="shared" si="17"/>
        <v>Wholesale Electropolished Pipe Supply for Jhunjhunu Projects</v>
      </c>
      <c r="AH440" s="15" t="str">
        <f t="shared" si="18"/>
        <v>electropolished pipes manufacturer in Jhunjhunu, electropolished pipes supplier in Jhunjhunu, electropolished pipes wholesaler in Jhunjhunu, electropolished tube manufacturer Jhunjhunu, EP pipe supplier Jhunjhunu, sanitary tube supplier Jhunjhunu, ASME BPE tubing Jhunjhunu, ASTM A270 tube Jhunjhunu, SS 316L electropolished pipe Jhunjhunu</v>
      </c>
      <c r="AI440" s="15" t="str">
        <f t="shared" si="19"/>
        <v>Electropolished Pipes Manufacturer &amp; Supplier in Jhunjhunu</v>
      </c>
      <c r="AJ440" s="15" t="str">
        <f t="shared" si="20"/>
        <v>EP-finished SS 304/316L pipes and tubes for VERIFY plants in Jhunjhunu. ASME BPE SF1-SF4, Ra from 0.25 um, EN 10204 3.1 certificate with every lot.</v>
      </c>
      <c r="AK440" s="15" t="str">
        <f t="shared" si="21"/>
        <v>Electropolished stainless steel pipes supplied by Sakshi Forge to VERIFY plants at RIICO Industrial Area, Jhunjhunu</v>
      </c>
      <c r="AL440" s="15" t="str">
        <f t="shared" si="22"/>
        <v>Electropolished SS 316L tube stock for Jhunjhunu - Sakshi Forge</v>
      </c>
      <c r="AM440" s="15" t="str">
        <f t="shared" si="23"/>
        <v>Home &gt; Market Area &gt; India &gt; Rajasthan &gt; Jhunjhunu</v>
      </c>
      <c r="AN440" s="15">
        <f t="shared" si="24"/>
        <v>1000</v>
      </c>
      <c r="AO440" s="15">
        <f t="shared" si="25"/>
        <v>8</v>
      </c>
      <c r="AP440" s="15">
        <f t="shared" si="26"/>
        <v>8</v>
      </c>
      <c r="AQ440" s="15">
        <f t="shared" si="27"/>
        <v>8</v>
      </c>
      <c r="AR440" s="31"/>
      <c r="AS440" s="31"/>
      <c r="AT440" s="35" t="s">
        <v>222</v>
      </c>
      <c r="AU440" s="35"/>
    </row>
    <row r="441" ht="15.75" customHeight="1">
      <c r="A441" s="15" t="s">
        <v>3524</v>
      </c>
      <c r="B441" s="15" t="s">
        <v>60</v>
      </c>
      <c r="C441" s="15" t="s">
        <v>245</v>
      </c>
      <c r="D441" s="15" t="s">
        <v>3525</v>
      </c>
      <c r="E441" s="15" t="s">
        <v>3525</v>
      </c>
      <c r="F441" s="65" t="s">
        <v>788</v>
      </c>
      <c r="G441" s="66" t="s">
        <v>98</v>
      </c>
      <c r="H441" s="18" t="s">
        <v>3527</v>
      </c>
      <c r="I441" s="18" t="s">
        <v>8407</v>
      </c>
      <c r="J441" s="18" t="s">
        <v>98</v>
      </c>
      <c r="K441" s="18" t="s">
        <v>98</v>
      </c>
      <c r="L441" s="18" t="s">
        <v>98</v>
      </c>
      <c r="M441" s="18" t="s">
        <v>98</v>
      </c>
      <c r="N441" s="18" t="s">
        <v>98</v>
      </c>
      <c r="O441" s="18" t="s">
        <v>98</v>
      </c>
      <c r="P441" s="15" t="str">
        <f t="shared" si="1"/>
        <v>VERIFY</v>
      </c>
      <c r="Q441" s="15">
        <f t="shared" si="2"/>
        <v>6</v>
      </c>
      <c r="R441" s="15">
        <f t="shared" si="3"/>
        <v>4</v>
      </c>
      <c r="S441" s="15">
        <f t="shared" si="4"/>
        <v>3</v>
      </c>
      <c r="T441" s="15" t="str">
        <f t="shared" si="5"/>
        <v>B-6</v>
      </c>
      <c r="U441" s="15" t="str">
        <f t="shared" si="6"/>
        <v>T6-M4-H3-FB-6-VERIFY</v>
      </c>
      <c r="V441" s="15">
        <f t="shared" si="7"/>
        <v>0</v>
      </c>
      <c r="W441" s="31"/>
      <c r="X441" s="15" t="str">
        <f t="shared" si="8"/>
        <v>jind</v>
      </c>
      <c r="Y441" s="32" t="str">
        <f t="shared" si="9"/>
        <v>https://steelmanufacturer.in/market-area/electropolished-pipes-manufacturer-in-jind/</v>
      </c>
      <c r="Z441" s="15" t="str">
        <f t="shared" si="10"/>
        <v>Electropolished Pipes Manufacturer in Jind</v>
      </c>
      <c r="AA441" s="15" t="str">
        <f t="shared" si="11"/>
        <v>OK (42)</v>
      </c>
      <c r="AB441" s="15" t="str">
        <f t="shared" si="12"/>
        <v>Sanitary electropolished pipes in Jind for VERIFY plants. ASME BPE SF1-SF4, orbital-weld ready, 3.1 MTC. Mumbai-made.</v>
      </c>
      <c r="AC441" s="15" t="str">
        <f t="shared" si="13"/>
        <v>PENDING RESEARCH</v>
      </c>
      <c r="AD441" s="15" t="str">
        <f t="shared" si="14"/>
        <v>Electropolished Pipes Manufacturer in Jind</v>
      </c>
      <c r="AE441" s="15" t="str">
        <f t="shared" si="15"/>
        <v>Electropolished Pipes Manufacturer in Jind - Our Process &amp; Capability</v>
      </c>
      <c r="AF441" s="15" t="str">
        <f t="shared" si="16"/>
        <v>Electropolished Pipes Supplier in Jind - What We Hold in Stock</v>
      </c>
      <c r="AG441" s="15" t="str">
        <f t="shared" si="17"/>
        <v>Bulk &amp; Wholesale Electropolished Pipe Rates for Jind Buyers</v>
      </c>
      <c r="AH441" s="15" t="str">
        <f t="shared" si="18"/>
        <v>electropolished pipes manufacturer in Jind, electropolished pipes supplier in Jind, electropolished pipes wholesaler in Jind, electropolished tube manufacturer Jind, EP pipe supplier Jind, sanitary tube supplier Jind, ASME BPE tubing Jind, ASTM A270 tube Jind, SS 316L electropolished pipe Jind</v>
      </c>
      <c r="AI441" s="15" t="str">
        <f t="shared" si="19"/>
        <v>Electropolished Pipes Manufacturer &amp; Supplier in Jind</v>
      </c>
      <c r="AJ441" s="15" t="str">
        <f t="shared" si="20"/>
        <v>EP-finished SS 304/316L pipes and tubes for VERIFY plants in Jind. ASME BPE SF1-SF4, Ra from 0.25 um, EN 10204 3.1 certificate with every lot.</v>
      </c>
      <c r="AK441" s="15" t="str">
        <f t="shared" si="21"/>
        <v>Electropolished stainless steel pipes supplied by Sakshi Forge to VERIFY plants at HSIIDC Industrial Area, Jind</v>
      </c>
      <c r="AL441" s="15" t="str">
        <f t="shared" si="22"/>
        <v>Electropolished SS 316L tube stock for Jind - Sakshi Forge</v>
      </c>
      <c r="AM441" s="15" t="str">
        <f t="shared" si="23"/>
        <v>Home &gt; Market Area &gt; India &gt; Haryana &gt; Jind</v>
      </c>
      <c r="AN441" s="15">
        <f t="shared" si="24"/>
        <v>1000</v>
      </c>
      <c r="AO441" s="15">
        <f t="shared" si="25"/>
        <v>8</v>
      </c>
      <c r="AP441" s="15">
        <f t="shared" si="26"/>
        <v>8</v>
      </c>
      <c r="AQ441" s="15">
        <f t="shared" si="27"/>
        <v>8</v>
      </c>
      <c r="AR441" s="31"/>
      <c r="AS441" s="31"/>
      <c r="AT441" s="35" t="s">
        <v>222</v>
      </c>
      <c r="AU441" s="35"/>
    </row>
    <row r="442" ht="15.75" customHeight="1">
      <c r="A442" s="15" t="s">
        <v>3528</v>
      </c>
      <c r="B442" s="15" t="s">
        <v>60</v>
      </c>
      <c r="C442" s="15" t="s">
        <v>1155</v>
      </c>
      <c r="D442" s="15" t="s">
        <v>3529</v>
      </c>
      <c r="E442" s="15" t="s">
        <v>3529</v>
      </c>
      <c r="F442" s="65" t="s">
        <v>788</v>
      </c>
      <c r="G442" s="66" t="s">
        <v>98</v>
      </c>
      <c r="H442" s="18" t="s">
        <v>3531</v>
      </c>
      <c r="I442" s="18" t="s">
        <v>8412</v>
      </c>
      <c r="J442" s="18" t="s">
        <v>98</v>
      </c>
      <c r="K442" s="18" t="s">
        <v>98</v>
      </c>
      <c r="L442" s="18" t="s">
        <v>98</v>
      </c>
      <c r="M442" s="18" t="s">
        <v>98</v>
      </c>
      <c r="N442" s="18" t="s">
        <v>98</v>
      </c>
      <c r="O442" s="18" t="s">
        <v>98</v>
      </c>
      <c r="P442" s="15" t="str">
        <f t="shared" si="1"/>
        <v>VERIFY</v>
      </c>
      <c r="Q442" s="15">
        <f t="shared" si="2"/>
        <v>7</v>
      </c>
      <c r="R442" s="15">
        <f t="shared" si="3"/>
        <v>5</v>
      </c>
      <c r="S442" s="15">
        <f t="shared" si="4"/>
        <v>4</v>
      </c>
      <c r="T442" s="15" t="str">
        <f t="shared" si="5"/>
        <v>B-1</v>
      </c>
      <c r="U442" s="15" t="str">
        <f t="shared" si="6"/>
        <v>T7-M5-H4-FB-1-VERIFY</v>
      </c>
      <c r="V442" s="15">
        <f t="shared" si="7"/>
        <v>0</v>
      </c>
      <c r="W442" s="31"/>
      <c r="X442" s="15" t="str">
        <f t="shared" si="8"/>
        <v>jorhat</v>
      </c>
      <c r="Y442" s="32" t="str">
        <f t="shared" si="9"/>
        <v>https://steelmanufacturer.in/market-area/electropolished-pipes-manufacturer-in-jorhat/</v>
      </c>
      <c r="Z442" s="15" t="str">
        <f t="shared" si="10"/>
        <v>Electropolished Pipes Manufacturer in Jorhat | ASME BPE SF1-SF4</v>
      </c>
      <c r="AA442" s="15" t="str">
        <f t="shared" si="11"/>
        <v>OK (63)</v>
      </c>
      <c r="AB442" s="15" t="str">
        <f t="shared" si="12"/>
        <v>Manufacturer of electropolished SS 316L tube serving Jorhat. VERIFY. Ra 0.25-0.5 um, EN 10204 3.1 MTC.</v>
      </c>
      <c r="AC442" s="15" t="str">
        <f t="shared" si="13"/>
        <v>PENDING RESEARCH</v>
      </c>
      <c r="AD442" s="15" t="str">
        <f t="shared" si="14"/>
        <v>Electropolished Pipes Manufacturer in Jorhat</v>
      </c>
      <c r="AE442" s="15" t="str">
        <f t="shared" si="15"/>
        <v>Manufacturing Electropolished SS Tube for Jorhat: The Standards We Build To</v>
      </c>
      <c r="AF442" s="15" t="str">
        <f t="shared" si="16"/>
        <v>Electropolished Pipe Supply Into Jorhat - Certification &amp; Transit</v>
      </c>
      <c r="AG442" s="15" t="str">
        <f t="shared" si="17"/>
        <v>Electropolished Pipes Wholesaler in Jorhat - Project Quantities &amp; Terms</v>
      </c>
      <c r="AH442" s="15" t="str">
        <f t="shared" si="18"/>
        <v>electropolished pipes manufacturer in Jorhat, electropolished pipes supplier in Jorhat, electropolished pipes wholesaler in Jorhat, electropolished tube manufacturer Jorhat, EP pipe supplier Jorhat, sanitary tube supplier Jorhat, ASME BPE tubing Jorhat, ASTM A270 tube Jorhat, SS 316L electropolished pipe Jorhat</v>
      </c>
      <c r="AI442" s="15" t="str">
        <f t="shared" si="19"/>
        <v>Electropolished Pipes Manufacturer &amp; Supplier in Jorhat</v>
      </c>
      <c r="AJ442" s="15" t="str">
        <f t="shared" si="20"/>
        <v>EP-finished SS 304/316L pipes and tubes for VERIFY plants in Jorhat. ASME BPE SF1-SF4, Ra from 0.25 um, EN 10204 3.1 certificate with every lot.</v>
      </c>
      <c r="AK442" s="15" t="str">
        <f t="shared" si="21"/>
        <v>Electropolished stainless steel pipes supplied by Sakshi Forge to VERIFY plants at AIDC Industrial Area, Jorhat</v>
      </c>
      <c r="AL442" s="15" t="str">
        <f t="shared" si="22"/>
        <v>Electropolished SS 316L tube stock for Jorhat - Sakshi Forge</v>
      </c>
      <c r="AM442" s="15" t="str">
        <f t="shared" si="23"/>
        <v>Home &gt; Market Area &gt; India &gt; Assam &gt; Jorhat</v>
      </c>
      <c r="AN442" s="15">
        <f t="shared" si="24"/>
        <v>1000</v>
      </c>
      <c r="AO442" s="15">
        <f t="shared" si="25"/>
        <v>8</v>
      </c>
      <c r="AP442" s="15">
        <f t="shared" si="26"/>
        <v>8</v>
      </c>
      <c r="AQ442" s="15">
        <f t="shared" si="27"/>
        <v>8</v>
      </c>
      <c r="AR442" s="31"/>
      <c r="AS442" s="31"/>
      <c r="AT442" s="35" t="s">
        <v>222</v>
      </c>
      <c r="AU442" s="35"/>
    </row>
    <row r="443" ht="15.75" customHeight="1">
      <c r="A443" s="15" t="s">
        <v>3532</v>
      </c>
      <c r="B443" s="15" t="s">
        <v>60</v>
      </c>
      <c r="C443" s="15" t="s">
        <v>224</v>
      </c>
      <c r="D443" s="15" t="s">
        <v>3533</v>
      </c>
      <c r="E443" s="15" t="s">
        <v>3533</v>
      </c>
      <c r="F443" s="65" t="s">
        <v>788</v>
      </c>
      <c r="G443" s="66" t="s">
        <v>98</v>
      </c>
      <c r="H443" s="18" t="s">
        <v>3535</v>
      </c>
      <c r="I443" s="18" t="s">
        <v>8400</v>
      </c>
      <c r="J443" s="18" t="s">
        <v>98</v>
      </c>
      <c r="K443" s="18" t="s">
        <v>98</v>
      </c>
      <c r="L443" s="18" t="s">
        <v>98</v>
      </c>
      <c r="M443" s="18" t="s">
        <v>98</v>
      </c>
      <c r="N443" s="18" t="s">
        <v>98</v>
      </c>
      <c r="O443" s="18" t="s">
        <v>98</v>
      </c>
      <c r="P443" s="15" t="str">
        <f t="shared" si="1"/>
        <v>VERIFY</v>
      </c>
      <c r="Q443" s="15">
        <f t="shared" si="2"/>
        <v>8</v>
      </c>
      <c r="R443" s="15">
        <f t="shared" si="3"/>
        <v>6</v>
      </c>
      <c r="S443" s="15">
        <f t="shared" si="4"/>
        <v>5</v>
      </c>
      <c r="T443" s="15" t="str">
        <f t="shared" si="5"/>
        <v>B-2</v>
      </c>
      <c r="U443" s="15" t="str">
        <f t="shared" si="6"/>
        <v>T8-M6-H5-FB-2-VERIFY</v>
      </c>
      <c r="V443" s="15">
        <f t="shared" si="7"/>
        <v>0</v>
      </c>
      <c r="W443" s="31"/>
      <c r="X443" s="15" t="str">
        <f t="shared" si="8"/>
        <v>junagadh</v>
      </c>
      <c r="Y443" s="32" t="str">
        <f t="shared" si="9"/>
        <v>https://steelmanufacturer.in/market-area/electropolished-pipes-manufacturer-in-junagadh/</v>
      </c>
      <c r="Z443" s="15" t="str">
        <f t="shared" si="10"/>
        <v>Electropolished Pipes Manufacturer in Junagadh - EP Tube Stockist</v>
      </c>
      <c r="AA443" s="15" t="str">
        <f t="shared" si="11"/>
        <v>OK (65)</v>
      </c>
      <c r="AB443" s="15" t="str">
        <f t="shared" si="12"/>
        <v>EP tube and pipe for VERIFY plants around GIDC Industrial Area, Junagadh. Made at our Mumbai works to ASTM A270 and ASME BPE SF1-SF4, with 3.1 MTC.</v>
      </c>
      <c r="AC443" s="15" t="str">
        <f t="shared" si="13"/>
        <v>PENDING RESEARCH</v>
      </c>
      <c r="AD443" s="15" t="str">
        <f t="shared" si="14"/>
        <v>Electropolished Pipes Manufacturer in Junagadh</v>
      </c>
      <c r="AE443" s="15" t="str">
        <f t="shared" si="15"/>
        <v>Electropolished Tube Manufacturing Capability Serving Junagadh</v>
      </c>
      <c r="AF443" s="15" t="str">
        <f t="shared" si="16"/>
        <v>Electropolished Pipes Supplier in Junagadh - From Order to Delivery</v>
      </c>
      <c r="AG443" s="15" t="str">
        <f t="shared" si="17"/>
        <v>Stockist &amp; Wholesale Supply of Electropolished Pipes in Junagadh</v>
      </c>
      <c r="AH443" s="15" t="str">
        <f t="shared" si="18"/>
        <v>electropolished pipes manufacturer in Junagadh, electropolished pipes supplier in Junagadh, electropolished pipes wholesaler in Junagadh, electropolished tube manufacturer Junagadh, EP pipe supplier Junagadh, sanitary tube supplier Junagadh, ASME BPE tubing Junagadh, ASTM A270 tube Junagadh, SS 316L electropolished pipe Junagadh</v>
      </c>
      <c r="AI443" s="15" t="str">
        <f t="shared" si="19"/>
        <v>Electropolished Pipes Manufacturer &amp; Supplier in Junagadh</v>
      </c>
      <c r="AJ443" s="15" t="str">
        <f t="shared" si="20"/>
        <v>EP-finished SS 304/316L pipes and tubes for VERIFY plants in Junagadh. ASME BPE SF1-SF4, Ra from 0.25 um, EN 10204 3.1 certificate with every lot.</v>
      </c>
      <c r="AK443" s="15" t="str">
        <f t="shared" si="21"/>
        <v>Electropolished stainless steel pipes supplied by Sakshi Forge to VERIFY plants at GIDC Industrial Area, Junagadh</v>
      </c>
      <c r="AL443" s="15" t="str">
        <f t="shared" si="22"/>
        <v>Electropolished SS 316L tube stock for Junagadh - Sakshi Forge</v>
      </c>
      <c r="AM443" s="15" t="str">
        <f t="shared" si="23"/>
        <v>Home &gt; Market Area &gt; India &gt; Gujarat &gt; Junagadh</v>
      </c>
      <c r="AN443" s="15">
        <f t="shared" si="24"/>
        <v>1000</v>
      </c>
      <c r="AO443" s="15">
        <f t="shared" si="25"/>
        <v>8</v>
      </c>
      <c r="AP443" s="15">
        <f t="shared" si="26"/>
        <v>8</v>
      </c>
      <c r="AQ443" s="15">
        <f t="shared" si="27"/>
        <v>8</v>
      </c>
      <c r="AR443" s="31"/>
      <c r="AS443" s="31"/>
      <c r="AT443" s="35" t="s">
        <v>222</v>
      </c>
      <c r="AU443" s="35"/>
    </row>
    <row r="444" ht="15.75" customHeight="1">
      <c r="A444" s="15" t="s">
        <v>3536</v>
      </c>
      <c r="B444" s="15" t="s">
        <v>60</v>
      </c>
      <c r="C444" s="15" t="s">
        <v>413</v>
      </c>
      <c r="D444" s="15" t="s">
        <v>3537</v>
      </c>
      <c r="E444" s="15" t="s">
        <v>3537</v>
      </c>
      <c r="F444" s="65" t="s">
        <v>788</v>
      </c>
      <c r="G444" s="66" t="s">
        <v>98</v>
      </c>
      <c r="H444" s="18" t="s">
        <v>3539</v>
      </c>
      <c r="I444" s="18" t="s">
        <v>8393</v>
      </c>
      <c r="J444" s="18" t="s">
        <v>98</v>
      </c>
      <c r="K444" s="18" t="s">
        <v>98</v>
      </c>
      <c r="L444" s="18" t="s">
        <v>98</v>
      </c>
      <c r="M444" s="18" t="s">
        <v>98</v>
      </c>
      <c r="N444" s="18" t="s">
        <v>98</v>
      </c>
      <c r="O444" s="18" t="s">
        <v>98</v>
      </c>
      <c r="P444" s="15" t="str">
        <f t="shared" si="1"/>
        <v>VERIFY</v>
      </c>
      <c r="Q444" s="15">
        <f t="shared" si="2"/>
        <v>1</v>
      </c>
      <c r="R444" s="15">
        <f t="shared" si="3"/>
        <v>7</v>
      </c>
      <c r="S444" s="15">
        <f t="shared" si="4"/>
        <v>1</v>
      </c>
      <c r="T444" s="15" t="str">
        <f t="shared" si="5"/>
        <v>B-3</v>
      </c>
      <c r="U444" s="15" t="str">
        <f t="shared" si="6"/>
        <v>T1-M7-H1-FB-3-VERIFY</v>
      </c>
      <c r="V444" s="15">
        <f t="shared" si="7"/>
        <v>0</v>
      </c>
      <c r="W444" s="31"/>
      <c r="X444" s="15" t="str">
        <f t="shared" si="8"/>
        <v>kadapa</v>
      </c>
      <c r="Y444" s="32" t="str">
        <f t="shared" si="9"/>
        <v>https://steelmanufacturer.in/market-area/electropolished-pipes-manufacturer-in-kadapa/</v>
      </c>
      <c r="Z444" s="15" t="str">
        <f t="shared" si="10"/>
        <v>Electropolished Pipes Manufacturer in Kadapa | Sakshi Forge</v>
      </c>
      <c r="AA444" s="15" t="str">
        <f t="shared" si="11"/>
        <v>OK (59)</v>
      </c>
      <c r="AB444" s="15" t="str">
        <f t="shared" si="12"/>
        <v>Electropolished pipes in Kadapa: 304, 304L, 316 and 316L in SF1-SF4. VERIFY. Mill certified.</v>
      </c>
      <c r="AC444" s="15" t="str">
        <f t="shared" si="13"/>
        <v>PENDING RESEARCH</v>
      </c>
      <c r="AD444" s="15" t="str">
        <f t="shared" si="14"/>
        <v>Electropolished Pipes Manufacturer in Kadapa</v>
      </c>
      <c r="AE444" s="15" t="str">
        <f t="shared" si="15"/>
        <v>Electropolished Pipe &amp; Tube Manufacturing for Kadapa - Grades, Finishes &amp; Certification</v>
      </c>
      <c r="AF444" s="15" t="str">
        <f t="shared" si="16"/>
        <v>Electropolished Pipes Supplier in Kadapa - Stock Sizes, Lead Time &amp; Delivery</v>
      </c>
      <c r="AG444" s="15" t="str">
        <f t="shared" si="17"/>
        <v>Electropolished Pipes Wholesaler &amp; Stockist in Kadapa - Bulk &amp; Project Pricing</v>
      </c>
      <c r="AH444" s="15" t="str">
        <f t="shared" si="18"/>
        <v>electropolished pipes manufacturer in Kadapa, electropolished pipes supplier in Kadapa, electropolished pipes wholesaler in Kadapa, electropolished tube manufacturer Kadapa, EP pipe supplier Kadapa, sanitary tube supplier Kadapa, ASME BPE tubing Kadapa, ASTM A270 tube Kadapa, SS 316L electropolished pipe Kadapa</v>
      </c>
      <c r="AI444" s="15" t="str">
        <f t="shared" si="19"/>
        <v>Electropolished Pipes Manufacturer &amp; Supplier in Kadapa</v>
      </c>
      <c r="AJ444" s="15" t="str">
        <f t="shared" si="20"/>
        <v>EP-finished SS 304/316L pipes and tubes for VERIFY plants in Kadapa. ASME BPE SF1-SF4, Ra from 0.25 um, EN 10204 3.1 certificate with every lot.</v>
      </c>
      <c r="AK444" s="15" t="str">
        <f t="shared" si="21"/>
        <v>Electropolished stainless steel pipes supplied by Sakshi Forge to VERIFY plants at APIIC Industrial Area, Kadapa</v>
      </c>
      <c r="AL444" s="15" t="str">
        <f t="shared" si="22"/>
        <v>Electropolished SS 316L tube stock for Kadapa - Sakshi Forge</v>
      </c>
      <c r="AM444" s="15" t="str">
        <f t="shared" si="23"/>
        <v>Home &gt; Market Area &gt; India &gt; Andhra Pradesh &gt; Kadapa</v>
      </c>
      <c r="AN444" s="15">
        <f t="shared" si="24"/>
        <v>1000</v>
      </c>
      <c r="AO444" s="15">
        <f t="shared" si="25"/>
        <v>8</v>
      </c>
      <c r="AP444" s="15">
        <f t="shared" si="26"/>
        <v>8</v>
      </c>
      <c r="AQ444" s="15">
        <f t="shared" si="27"/>
        <v>8</v>
      </c>
      <c r="AR444" s="31"/>
      <c r="AS444" s="31"/>
      <c r="AT444" s="35" t="s">
        <v>222</v>
      </c>
      <c r="AU444" s="35"/>
    </row>
    <row r="445" ht="15.75" customHeight="1">
      <c r="A445" s="15" t="s">
        <v>3540</v>
      </c>
      <c r="B445" s="15" t="s">
        <v>60</v>
      </c>
      <c r="C445" s="15" t="s">
        <v>224</v>
      </c>
      <c r="D445" s="15" t="s">
        <v>3543</v>
      </c>
      <c r="E445" s="15" t="s">
        <v>3543</v>
      </c>
      <c r="F445" s="65" t="s">
        <v>788</v>
      </c>
      <c r="G445" s="66" t="s">
        <v>98</v>
      </c>
      <c r="H445" s="18" t="s">
        <v>3547</v>
      </c>
      <c r="I445" s="18" t="s">
        <v>8400</v>
      </c>
      <c r="J445" s="18" t="s">
        <v>98</v>
      </c>
      <c r="K445" s="18" t="s">
        <v>98</v>
      </c>
      <c r="L445" s="18" t="s">
        <v>98</v>
      </c>
      <c r="M445" s="18" t="s">
        <v>98</v>
      </c>
      <c r="N445" s="18" t="s">
        <v>98</v>
      </c>
      <c r="O445" s="18" t="s">
        <v>98</v>
      </c>
      <c r="P445" s="15" t="str">
        <f t="shared" si="1"/>
        <v>VERIFY</v>
      </c>
      <c r="Q445" s="15">
        <f t="shared" si="2"/>
        <v>2</v>
      </c>
      <c r="R445" s="15">
        <f t="shared" si="3"/>
        <v>1</v>
      </c>
      <c r="S445" s="15">
        <f t="shared" si="4"/>
        <v>2</v>
      </c>
      <c r="T445" s="15" t="str">
        <f t="shared" si="5"/>
        <v>B-4</v>
      </c>
      <c r="U445" s="15" t="str">
        <f t="shared" si="6"/>
        <v>T2-M1-H2-FB-4-VERIFY</v>
      </c>
      <c r="V445" s="15">
        <f t="shared" si="7"/>
        <v>0</v>
      </c>
      <c r="W445" s="31"/>
      <c r="X445" s="15" t="str">
        <f t="shared" si="8"/>
        <v>kadi</v>
      </c>
      <c r="Y445" s="32" t="str">
        <f t="shared" si="9"/>
        <v>https://steelmanufacturer.in/market-area/electropolished-pipes-manufacturer-in-kadi/</v>
      </c>
      <c r="Z445" s="15" t="str">
        <f t="shared" si="10"/>
        <v>Electropolished Pipes Manufacturer in Kadi - ASTM A270 &amp; ASME BPE</v>
      </c>
      <c r="AA445" s="15" t="str">
        <f t="shared" si="11"/>
        <v>OK (65)</v>
      </c>
      <c r="AB445" s="15" t="str">
        <f t="shared" si="12"/>
        <v>EP-finished SS 304/316L pipes &amp; tubes for VERIFY plants in Kadi. ASTM A270, ASME BPE SF1-SF4, EN 10204 3.1 MTC. PMI tested.</v>
      </c>
      <c r="AC445" s="15" t="str">
        <f t="shared" si="13"/>
        <v>PENDING RESEARCH</v>
      </c>
      <c r="AD445" s="15" t="str">
        <f t="shared" si="14"/>
        <v>Electropolished Pipes Manufacturer in Kadi</v>
      </c>
      <c r="AE445" s="15" t="str">
        <f t="shared" si="15"/>
        <v>How We Manufacture Electropolished Tube for Kadi Plants</v>
      </c>
      <c r="AF445" s="15" t="str">
        <f t="shared" si="16"/>
        <v>Supplying Electropolished Pipes in Kadi: Availability, Sizes &amp; Dispatch</v>
      </c>
      <c r="AG445" s="15" t="str">
        <f t="shared" si="17"/>
        <v>Wholesale Electropolished Pipe Supply for Kadi Projects</v>
      </c>
      <c r="AH445" s="15" t="str">
        <f t="shared" si="18"/>
        <v>electropolished pipes manufacturer in Kadi, electropolished pipes supplier in Kadi, electropolished pipes wholesaler in Kadi, electropolished tube manufacturer Kadi, EP pipe supplier Kadi, sanitary tube supplier Kadi, ASME BPE tubing Kadi, ASTM A270 tube Kadi, SS 316L electropolished pipe Kadi</v>
      </c>
      <c r="AI445" s="15" t="str">
        <f t="shared" si="19"/>
        <v>Electropolished Pipes Manufacturer &amp; Supplier in Kadi</v>
      </c>
      <c r="AJ445" s="15" t="str">
        <f t="shared" si="20"/>
        <v>EP-finished SS 304/316L pipes and tubes for VERIFY plants in Kadi. ASME BPE SF1-SF4, Ra from 0.25 um, EN 10204 3.1 certificate with every lot.</v>
      </c>
      <c r="AK445" s="15" t="str">
        <f t="shared" si="21"/>
        <v>Electropolished stainless steel pipes supplied by Sakshi Forge to VERIFY plants at GIDC Industrial Area, Kadi</v>
      </c>
      <c r="AL445" s="15" t="str">
        <f t="shared" si="22"/>
        <v>Electropolished SS 316L tube stock for Kadi - Sakshi Forge</v>
      </c>
      <c r="AM445" s="15" t="str">
        <f t="shared" si="23"/>
        <v>Home &gt; Market Area &gt; India &gt; Gujarat &gt; Kadi</v>
      </c>
      <c r="AN445" s="15">
        <f t="shared" si="24"/>
        <v>1000</v>
      </c>
      <c r="AO445" s="15">
        <f t="shared" si="25"/>
        <v>8</v>
      </c>
      <c r="AP445" s="15">
        <f t="shared" si="26"/>
        <v>8</v>
      </c>
      <c r="AQ445" s="15">
        <f t="shared" si="27"/>
        <v>8</v>
      </c>
      <c r="AR445" s="31"/>
      <c r="AS445" s="31"/>
      <c r="AT445" s="35" t="s">
        <v>222</v>
      </c>
      <c r="AU445" s="35"/>
    </row>
    <row r="446" ht="15.75" customHeight="1">
      <c r="A446" s="15" t="s">
        <v>3549</v>
      </c>
      <c r="B446" s="15" t="s">
        <v>60</v>
      </c>
      <c r="C446" s="15" t="s">
        <v>245</v>
      </c>
      <c r="D446" s="15" t="s">
        <v>3550</v>
      </c>
      <c r="E446" s="15" t="s">
        <v>3550</v>
      </c>
      <c r="F446" s="65" t="s">
        <v>788</v>
      </c>
      <c r="G446" s="66" t="s">
        <v>98</v>
      </c>
      <c r="H446" s="18" t="s">
        <v>3552</v>
      </c>
      <c r="I446" s="18" t="s">
        <v>8407</v>
      </c>
      <c r="J446" s="18" t="s">
        <v>98</v>
      </c>
      <c r="K446" s="18" t="s">
        <v>98</v>
      </c>
      <c r="L446" s="18" t="s">
        <v>98</v>
      </c>
      <c r="M446" s="18" t="s">
        <v>98</v>
      </c>
      <c r="N446" s="18" t="s">
        <v>98</v>
      </c>
      <c r="O446" s="18" t="s">
        <v>98</v>
      </c>
      <c r="P446" s="15" t="str">
        <f t="shared" si="1"/>
        <v>VERIFY</v>
      </c>
      <c r="Q446" s="15">
        <f t="shared" si="2"/>
        <v>3</v>
      </c>
      <c r="R446" s="15">
        <f t="shared" si="3"/>
        <v>2</v>
      </c>
      <c r="S446" s="15">
        <f t="shared" si="4"/>
        <v>3</v>
      </c>
      <c r="T446" s="15" t="str">
        <f t="shared" si="5"/>
        <v>B-5</v>
      </c>
      <c r="U446" s="15" t="str">
        <f t="shared" si="6"/>
        <v>T3-M2-H3-FB-5-VERIFY</v>
      </c>
      <c r="V446" s="15">
        <f t="shared" si="7"/>
        <v>0</v>
      </c>
      <c r="W446" s="31"/>
      <c r="X446" s="15" t="str">
        <f t="shared" si="8"/>
        <v>kaithal</v>
      </c>
      <c r="Y446" s="32" t="str">
        <f t="shared" si="9"/>
        <v>https://steelmanufacturer.in/market-area/electropolished-pipes-manufacturer-in-kaithal/</v>
      </c>
      <c r="Z446" s="15" t="str">
        <f t="shared" si="10"/>
        <v>Electropolished Pipes Manufacturer in Kaithal | EP Tube Supplier</v>
      </c>
      <c r="AA446" s="15" t="str">
        <f t="shared" si="11"/>
        <v>OK (64)</v>
      </c>
      <c r="AB446" s="15" t="str">
        <f t="shared" si="12"/>
        <v>Electropolished tube supply to HSIIDC Industrial Area, Kaithal. Ra from 0.25 um, SF4 finish, mill test certificate with every lot.</v>
      </c>
      <c r="AC446" s="15" t="str">
        <f t="shared" si="13"/>
        <v>PENDING RESEARCH</v>
      </c>
      <c r="AD446" s="15" t="str">
        <f t="shared" si="14"/>
        <v>Electropolished Pipes Manufacturer in Kaithal</v>
      </c>
      <c r="AE446" s="15" t="str">
        <f t="shared" si="15"/>
        <v>Electropolished Pipes Manufacturer in Kaithal - Our Process &amp; Capability</v>
      </c>
      <c r="AF446" s="15" t="str">
        <f t="shared" si="16"/>
        <v>Electropolished Pipes Supplier in Kaithal - What We Hold in Stock</v>
      </c>
      <c r="AG446" s="15" t="str">
        <f t="shared" si="17"/>
        <v>Bulk &amp; Wholesale Electropolished Pipe Rates for Kaithal Buyers</v>
      </c>
      <c r="AH446" s="15" t="str">
        <f t="shared" si="18"/>
        <v>electropolished pipes manufacturer in Kaithal, electropolished pipes supplier in Kaithal, electropolished pipes wholesaler in Kaithal, electropolished tube manufacturer Kaithal, EP pipe supplier Kaithal, sanitary tube supplier Kaithal, ASME BPE tubing Kaithal, ASTM A270 tube Kaithal, SS 316L electropolished pipe Kaithal</v>
      </c>
      <c r="AI446" s="15" t="str">
        <f t="shared" si="19"/>
        <v>Electropolished Pipes Manufacturer &amp; Supplier in Kaithal</v>
      </c>
      <c r="AJ446" s="15" t="str">
        <f t="shared" si="20"/>
        <v>EP-finished SS 304/316L pipes and tubes for VERIFY plants in Kaithal. ASME BPE SF1-SF4, Ra from 0.25 um, EN 10204 3.1 certificate with every lot.</v>
      </c>
      <c r="AK446" s="15" t="str">
        <f t="shared" si="21"/>
        <v>Electropolished stainless steel pipes supplied by Sakshi Forge to VERIFY plants at HSIIDC Industrial Area, Kaithal</v>
      </c>
      <c r="AL446" s="15" t="str">
        <f t="shared" si="22"/>
        <v>Electropolished SS 316L tube stock for Kaithal - Sakshi Forge</v>
      </c>
      <c r="AM446" s="15" t="str">
        <f t="shared" si="23"/>
        <v>Home &gt; Market Area &gt; India &gt; Haryana &gt; Kaithal</v>
      </c>
      <c r="AN446" s="15">
        <f t="shared" si="24"/>
        <v>1000</v>
      </c>
      <c r="AO446" s="15">
        <f t="shared" si="25"/>
        <v>8</v>
      </c>
      <c r="AP446" s="15">
        <f t="shared" si="26"/>
        <v>8</v>
      </c>
      <c r="AQ446" s="15">
        <f t="shared" si="27"/>
        <v>8</v>
      </c>
      <c r="AR446" s="31"/>
      <c r="AS446" s="31"/>
      <c r="AT446" s="35" t="s">
        <v>222</v>
      </c>
      <c r="AU446" s="35"/>
    </row>
    <row r="447" ht="15.75" customHeight="1">
      <c r="A447" s="15" t="s">
        <v>3553</v>
      </c>
      <c r="B447" s="15" t="s">
        <v>60</v>
      </c>
      <c r="C447" s="15" t="s">
        <v>447</v>
      </c>
      <c r="D447" s="15" t="s">
        <v>3554</v>
      </c>
      <c r="E447" s="15" t="s">
        <v>3554</v>
      </c>
      <c r="F447" s="65" t="s">
        <v>788</v>
      </c>
      <c r="G447" s="66" t="s">
        <v>98</v>
      </c>
      <c r="H447" s="18" t="s">
        <v>3556</v>
      </c>
      <c r="I447" s="18" t="s">
        <v>8411</v>
      </c>
      <c r="J447" s="18" t="s">
        <v>98</v>
      </c>
      <c r="K447" s="18" t="s">
        <v>98</v>
      </c>
      <c r="L447" s="18" t="s">
        <v>98</v>
      </c>
      <c r="M447" s="18" t="s">
        <v>98</v>
      </c>
      <c r="N447" s="18" t="s">
        <v>98</v>
      </c>
      <c r="O447" s="18" t="s">
        <v>98</v>
      </c>
      <c r="P447" s="15" t="str">
        <f t="shared" si="1"/>
        <v>VERIFY</v>
      </c>
      <c r="Q447" s="15">
        <f t="shared" si="2"/>
        <v>4</v>
      </c>
      <c r="R447" s="15">
        <f t="shared" si="3"/>
        <v>3</v>
      </c>
      <c r="S447" s="15">
        <f t="shared" si="4"/>
        <v>4</v>
      </c>
      <c r="T447" s="15" t="str">
        <f t="shared" si="5"/>
        <v>B-6</v>
      </c>
      <c r="U447" s="15" t="str">
        <f t="shared" si="6"/>
        <v>T4-M3-H4-FB-6-VERIFY</v>
      </c>
      <c r="V447" s="15">
        <f t="shared" si="7"/>
        <v>0</v>
      </c>
      <c r="W447" s="31"/>
      <c r="X447" s="15" t="str">
        <f t="shared" si="8"/>
        <v>kala-amb</v>
      </c>
      <c r="Y447" s="32" t="str">
        <f t="shared" si="9"/>
        <v>https://steelmanufacturer.in/market-area/electropolished-pipes-manufacturer-in-kala-amb/</v>
      </c>
      <c r="Z447" s="15" t="str">
        <f t="shared" si="10"/>
        <v>Electropolished Pipes Manufacturer in Kala Amb</v>
      </c>
      <c r="AA447" s="15" t="str">
        <f t="shared" si="11"/>
        <v>OK (46)</v>
      </c>
      <c r="AB447" s="15" t="str">
        <f t="shared" si="12"/>
        <v>EP stainless tube for VERIFY lines in Kala Amb. VERIFY. ASTM A270 S2, PMI tested, EN 10204 3.1.</v>
      </c>
      <c r="AC447" s="15" t="str">
        <f t="shared" si="13"/>
        <v>PENDING RESEARCH</v>
      </c>
      <c r="AD447" s="15" t="str">
        <f t="shared" si="14"/>
        <v>Electropolished Pipes Manufacturer in Kala Amb</v>
      </c>
      <c r="AE447" s="15" t="str">
        <f t="shared" si="15"/>
        <v>Manufacturing Electropolished SS Tube for Kala Amb: The Standards We Build To</v>
      </c>
      <c r="AF447" s="15" t="str">
        <f t="shared" si="16"/>
        <v>Electropolished Pipe Supply Into Kala Amb - Certification &amp; Transit</v>
      </c>
      <c r="AG447" s="15" t="str">
        <f t="shared" si="17"/>
        <v>Electropolished Pipes Wholesaler in Kala Amb - Project Quantities &amp; Terms</v>
      </c>
      <c r="AH447" s="15" t="str">
        <f t="shared" si="18"/>
        <v>electropolished pipes manufacturer in Kala Amb, electropolished pipes supplier in Kala Amb, electropolished pipes wholesaler in Kala Amb, electropolished tube manufacturer Kala Amb, EP pipe supplier Kala Amb, sanitary tube supplier Kala Amb, ASME BPE tubing Kala Amb, ASTM A270 tube Kala Amb, SS 316L electropolished pipe Kala Amb</v>
      </c>
      <c r="AI447" s="15" t="str">
        <f t="shared" si="19"/>
        <v>Electropolished Pipes Manufacturer &amp; Supplier in Kala Amb</v>
      </c>
      <c r="AJ447" s="15" t="str">
        <f t="shared" si="20"/>
        <v>EP-finished SS 304/316L pipes and tubes for VERIFY plants in Kala Amb. ASME BPE SF1-SF4, Ra from 0.25 um, EN 10204 3.1 certificate with every lot.</v>
      </c>
      <c r="AK447" s="15" t="str">
        <f t="shared" si="21"/>
        <v>Electropolished stainless steel pipes supplied by Sakshi Forge to VERIFY plants at HPSIDC Industrial Area, Kala Amb</v>
      </c>
      <c r="AL447" s="15" t="str">
        <f t="shared" si="22"/>
        <v>Electropolished SS 316L tube stock for Kala Amb - Sakshi Forge</v>
      </c>
      <c r="AM447" s="15" t="str">
        <f t="shared" si="23"/>
        <v>Home &gt; Market Area &gt; India &gt; Himachal Pradesh &gt; Kala Amb</v>
      </c>
      <c r="AN447" s="15">
        <f t="shared" si="24"/>
        <v>1000</v>
      </c>
      <c r="AO447" s="15">
        <f t="shared" si="25"/>
        <v>8</v>
      </c>
      <c r="AP447" s="15">
        <f t="shared" si="26"/>
        <v>8</v>
      </c>
      <c r="AQ447" s="15">
        <f t="shared" si="27"/>
        <v>8</v>
      </c>
      <c r="AR447" s="31"/>
      <c r="AS447" s="31"/>
      <c r="AT447" s="35" t="s">
        <v>222</v>
      </c>
      <c r="AU447" s="35"/>
    </row>
    <row r="448" ht="15.75" customHeight="1">
      <c r="A448" s="15" t="s">
        <v>3557</v>
      </c>
      <c r="B448" s="15" t="s">
        <v>60</v>
      </c>
      <c r="C448" s="15" t="s">
        <v>570</v>
      </c>
      <c r="D448" s="15" t="s">
        <v>3558</v>
      </c>
      <c r="E448" s="15" t="s">
        <v>3558</v>
      </c>
      <c r="F448" s="65" t="s">
        <v>788</v>
      </c>
      <c r="G448" s="66" t="s">
        <v>98</v>
      </c>
      <c r="H448" s="18" t="s">
        <v>3560</v>
      </c>
      <c r="I448" s="18" t="s">
        <v>8405</v>
      </c>
      <c r="J448" s="18" t="s">
        <v>98</v>
      </c>
      <c r="K448" s="18" t="s">
        <v>98</v>
      </c>
      <c r="L448" s="18" t="s">
        <v>98</v>
      </c>
      <c r="M448" s="18" t="s">
        <v>98</v>
      </c>
      <c r="N448" s="18" t="s">
        <v>98</v>
      </c>
      <c r="O448" s="18" t="s">
        <v>98</v>
      </c>
      <c r="P448" s="15" t="str">
        <f t="shared" si="1"/>
        <v>VERIFY</v>
      </c>
      <c r="Q448" s="15">
        <f t="shared" si="2"/>
        <v>5</v>
      </c>
      <c r="R448" s="15">
        <f t="shared" si="3"/>
        <v>4</v>
      </c>
      <c r="S448" s="15">
        <f t="shared" si="4"/>
        <v>5</v>
      </c>
      <c r="T448" s="15" t="str">
        <f t="shared" si="5"/>
        <v>B-1</v>
      </c>
      <c r="U448" s="15" t="str">
        <f t="shared" si="6"/>
        <v>T5-M4-H5-FB-1-VERIFY</v>
      </c>
      <c r="V448" s="15">
        <f t="shared" si="7"/>
        <v>0</v>
      </c>
      <c r="W448" s="31"/>
      <c r="X448" s="15" t="str">
        <f t="shared" si="8"/>
        <v>kalaburagi</v>
      </c>
      <c r="Y448" s="32" t="str">
        <f t="shared" si="9"/>
        <v>https://steelmanufacturer.in/market-area/electropolished-pipes-manufacturer-in-kalaburagi/</v>
      </c>
      <c r="Z448" s="15" t="str">
        <f t="shared" si="10"/>
        <v>Electropolished Pipes Manufacturer in Kalaburagi</v>
      </c>
      <c r="AA448" s="15" t="str">
        <f t="shared" si="11"/>
        <v>OK (48)</v>
      </c>
      <c r="AB448" s="15" t="str">
        <f t="shared" si="12"/>
        <v>Sanitary electropolished pipes in Kalaburagi for VERIFY plants. ASME BPE SF1-SF4, orbital-weld ready, 3.1 MTC. Mumbai-made.</v>
      </c>
      <c r="AC448" s="15" t="str">
        <f t="shared" si="13"/>
        <v>PENDING RESEARCH</v>
      </c>
      <c r="AD448" s="15" t="str">
        <f t="shared" si="14"/>
        <v>Electropolished Pipes Manufacturer in Kalaburagi</v>
      </c>
      <c r="AE448" s="15" t="str">
        <f t="shared" si="15"/>
        <v>Electropolished Tube Manufacturing Capability Serving Kalaburagi</v>
      </c>
      <c r="AF448" s="15" t="str">
        <f t="shared" si="16"/>
        <v>Electropolished Pipes Supplier in Kalaburagi - From Order to Delivery</v>
      </c>
      <c r="AG448" s="15" t="str">
        <f t="shared" si="17"/>
        <v>Stockist &amp; Wholesale Supply of Electropolished Pipes in Kalaburagi</v>
      </c>
      <c r="AH448" s="15" t="str">
        <f t="shared" si="18"/>
        <v>electropolished pipes manufacturer in Kalaburagi, electropolished pipes supplier in Kalaburagi, electropolished pipes wholesaler in Kalaburagi, electropolished tube manufacturer Kalaburagi, EP pipe supplier Kalaburagi, sanitary tube supplier Kalaburagi, ASME BPE tubing Kalaburagi, ASTM A270 tube Kalaburagi, SS 316L electropolished pipe Kalaburagi</v>
      </c>
      <c r="AI448" s="15" t="str">
        <f t="shared" si="19"/>
        <v>Electropolished Pipes Manufacturer &amp; Supplier in Kalaburagi</v>
      </c>
      <c r="AJ448" s="15" t="str">
        <f t="shared" si="20"/>
        <v>EP-finished SS 304/316L pipes and tubes for VERIFY plants in Kalaburagi. ASME BPE SF1-SF4, Ra from 0.25 um, EN 10204 3.1 certificate with every lot.</v>
      </c>
      <c r="AK448" s="15" t="str">
        <f t="shared" si="21"/>
        <v>Electropolished stainless steel pipes supplied by Sakshi Forge to VERIFY plants at KIADB Industrial Area, Kalaburagi</v>
      </c>
      <c r="AL448" s="15" t="str">
        <f t="shared" si="22"/>
        <v>Electropolished SS 316L tube stock for Kalaburagi - Sakshi Forge</v>
      </c>
      <c r="AM448" s="15" t="str">
        <f t="shared" si="23"/>
        <v>Home &gt; Market Area &gt; India &gt; Karnataka &gt; Kalaburagi</v>
      </c>
      <c r="AN448" s="15">
        <f t="shared" si="24"/>
        <v>1000</v>
      </c>
      <c r="AO448" s="15">
        <f t="shared" si="25"/>
        <v>8</v>
      </c>
      <c r="AP448" s="15">
        <f t="shared" si="26"/>
        <v>8</v>
      </c>
      <c r="AQ448" s="15">
        <f t="shared" si="27"/>
        <v>8</v>
      </c>
      <c r="AR448" s="31"/>
      <c r="AS448" s="31"/>
      <c r="AT448" s="35" t="s">
        <v>222</v>
      </c>
      <c r="AU448" s="35"/>
    </row>
    <row r="449" ht="15.75" customHeight="1">
      <c r="A449" s="15" t="s">
        <v>3561</v>
      </c>
      <c r="B449" s="15" t="s">
        <v>60</v>
      </c>
      <c r="C449" s="15" t="s">
        <v>224</v>
      </c>
      <c r="D449" s="15" t="s">
        <v>3562</v>
      </c>
      <c r="E449" s="15" t="s">
        <v>3562</v>
      </c>
      <c r="F449" s="65" t="s">
        <v>788</v>
      </c>
      <c r="G449" s="66" t="s">
        <v>98</v>
      </c>
      <c r="H449" s="18" t="s">
        <v>3564</v>
      </c>
      <c r="I449" s="18" t="s">
        <v>8400</v>
      </c>
      <c r="J449" s="18" t="s">
        <v>98</v>
      </c>
      <c r="K449" s="18" t="s">
        <v>98</v>
      </c>
      <c r="L449" s="18" t="s">
        <v>98</v>
      </c>
      <c r="M449" s="18" t="s">
        <v>98</v>
      </c>
      <c r="N449" s="18" t="s">
        <v>98</v>
      </c>
      <c r="O449" s="18" t="s">
        <v>98</v>
      </c>
      <c r="P449" s="15" t="str">
        <f t="shared" si="1"/>
        <v>VERIFY</v>
      </c>
      <c r="Q449" s="15">
        <f t="shared" si="2"/>
        <v>6</v>
      </c>
      <c r="R449" s="15">
        <f t="shared" si="3"/>
        <v>5</v>
      </c>
      <c r="S449" s="15">
        <f t="shared" si="4"/>
        <v>1</v>
      </c>
      <c r="T449" s="15" t="str">
        <f t="shared" si="5"/>
        <v>B-2</v>
      </c>
      <c r="U449" s="15" t="str">
        <f t="shared" si="6"/>
        <v>T6-M5-H1-FB-2-VERIFY</v>
      </c>
      <c r="V449" s="15">
        <f t="shared" si="7"/>
        <v>0</v>
      </c>
      <c r="W449" s="31"/>
      <c r="X449" s="15" t="str">
        <f t="shared" si="8"/>
        <v>kalol</v>
      </c>
      <c r="Y449" s="32" t="str">
        <f t="shared" si="9"/>
        <v>https://steelmanufacturer.in/market-area/electropolished-pipes-manufacturer-in-kalol/</v>
      </c>
      <c r="Z449" s="15" t="str">
        <f t="shared" si="10"/>
        <v>Electropolished Pipes Manufacturer in Kalol</v>
      </c>
      <c r="AA449" s="15" t="str">
        <f t="shared" si="11"/>
        <v>OK (43)</v>
      </c>
      <c r="AB449" s="15" t="str">
        <f t="shared" si="12"/>
        <v>Manufacturer of electropolished SS 316L tube serving Kalol. VERIFY. Ra 0.25-0.5 um, EN 10204 3.1 MTC.</v>
      </c>
      <c r="AC449" s="15" t="str">
        <f t="shared" si="13"/>
        <v>PENDING RESEARCH</v>
      </c>
      <c r="AD449" s="15" t="str">
        <f t="shared" si="14"/>
        <v>Electropolished Pipes Manufacturer in Kalol</v>
      </c>
      <c r="AE449" s="15" t="str">
        <f t="shared" si="15"/>
        <v>Electropolished Pipe &amp; Tube Manufacturing for Kalol - Grades, Finishes &amp; Certification</v>
      </c>
      <c r="AF449" s="15" t="str">
        <f t="shared" si="16"/>
        <v>Electropolished Pipes Supplier in Kalol - Stock Sizes, Lead Time &amp; Delivery</v>
      </c>
      <c r="AG449" s="15" t="str">
        <f t="shared" si="17"/>
        <v>Electropolished Pipes Wholesaler &amp; Stockist in Kalol - Bulk &amp; Project Pricing</v>
      </c>
      <c r="AH449" s="15" t="str">
        <f t="shared" si="18"/>
        <v>electropolished pipes manufacturer in Kalol, electropolished pipes supplier in Kalol, electropolished pipes wholesaler in Kalol, electropolished tube manufacturer Kalol, EP pipe supplier Kalol, sanitary tube supplier Kalol, ASME BPE tubing Kalol, ASTM A270 tube Kalol, SS 316L electropolished pipe Kalol</v>
      </c>
      <c r="AI449" s="15" t="str">
        <f t="shared" si="19"/>
        <v>Electropolished Pipes Manufacturer &amp; Supplier in Kalol</v>
      </c>
      <c r="AJ449" s="15" t="str">
        <f t="shared" si="20"/>
        <v>EP-finished SS 304/316L pipes and tubes for VERIFY plants in Kalol. ASME BPE SF1-SF4, Ra from 0.25 um, EN 10204 3.1 certificate with every lot.</v>
      </c>
      <c r="AK449" s="15" t="str">
        <f t="shared" si="21"/>
        <v>Electropolished stainless steel pipes supplied by Sakshi Forge to VERIFY plants at GIDC Industrial Area, Kalol</v>
      </c>
      <c r="AL449" s="15" t="str">
        <f t="shared" si="22"/>
        <v>Electropolished SS 316L tube stock for Kalol - Sakshi Forge</v>
      </c>
      <c r="AM449" s="15" t="str">
        <f t="shared" si="23"/>
        <v>Home &gt; Market Area &gt; India &gt; Gujarat &gt; Kalol</v>
      </c>
      <c r="AN449" s="15">
        <f t="shared" si="24"/>
        <v>1000</v>
      </c>
      <c r="AO449" s="15">
        <f t="shared" si="25"/>
        <v>8</v>
      </c>
      <c r="AP449" s="15">
        <f t="shared" si="26"/>
        <v>8</v>
      </c>
      <c r="AQ449" s="15">
        <f t="shared" si="27"/>
        <v>8</v>
      </c>
      <c r="AR449" s="31"/>
      <c r="AS449" s="31"/>
      <c r="AT449" s="35" t="s">
        <v>222</v>
      </c>
      <c r="AU449" s="35"/>
    </row>
    <row r="450" ht="15.75" customHeight="1">
      <c r="A450" s="15" t="s">
        <v>3566</v>
      </c>
      <c r="B450" s="15" t="s">
        <v>60</v>
      </c>
      <c r="C450" s="15" t="s">
        <v>264</v>
      </c>
      <c r="D450" s="15" t="s">
        <v>3567</v>
      </c>
      <c r="E450" s="15" t="s">
        <v>3567</v>
      </c>
      <c r="F450" s="65" t="s">
        <v>788</v>
      </c>
      <c r="G450" s="66" t="s">
        <v>98</v>
      </c>
      <c r="H450" s="18" t="s">
        <v>3570</v>
      </c>
      <c r="I450" s="18" t="s">
        <v>8395</v>
      </c>
      <c r="J450" s="18" t="s">
        <v>98</v>
      </c>
      <c r="K450" s="18" t="s">
        <v>98</v>
      </c>
      <c r="L450" s="18" t="s">
        <v>98</v>
      </c>
      <c r="M450" s="18" t="s">
        <v>98</v>
      </c>
      <c r="N450" s="18" t="s">
        <v>98</v>
      </c>
      <c r="O450" s="18" t="s">
        <v>98</v>
      </c>
      <c r="P450" s="15" t="str">
        <f t="shared" si="1"/>
        <v>VERIFY</v>
      </c>
      <c r="Q450" s="15">
        <f t="shared" si="2"/>
        <v>7</v>
      </c>
      <c r="R450" s="15">
        <f t="shared" si="3"/>
        <v>6</v>
      </c>
      <c r="S450" s="15">
        <f t="shared" si="4"/>
        <v>2</v>
      </c>
      <c r="T450" s="15" t="str">
        <f t="shared" si="5"/>
        <v>B-3</v>
      </c>
      <c r="U450" s="15" t="str">
        <f t="shared" si="6"/>
        <v>T7-M6-H2-FB-3-VERIFY</v>
      </c>
      <c r="V450" s="15">
        <f t="shared" si="7"/>
        <v>0</v>
      </c>
      <c r="W450" s="31"/>
      <c r="X450" s="15" t="str">
        <f t="shared" si="8"/>
        <v>kalyan</v>
      </c>
      <c r="Y450" s="32" t="str">
        <f t="shared" si="9"/>
        <v>https://steelmanufacturer.in/market-area/electropolished-pipes-manufacturer-in-kalyan/</v>
      </c>
      <c r="Z450" s="15" t="str">
        <f t="shared" si="10"/>
        <v>Electropolished Pipes Manufacturer in Kalyan | ASME BPE SF1-SF4</v>
      </c>
      <c r="AA450" s="15" t="str">
        <f t="shared" si="11"/>
        <v>OK (63)</v>
      </c>
      <c r="AB450" s="15" t="str">
        <f t="shared" si="12"/>
        <v>EP tube and pipe for VERIFY plants around MIDC Industrial Area, Kalyan. Made at our Mumbai works to ASTM A270 and ASME BPE SF1-SF4, with 3.1 MTC.</v>
      </c>
      <c r="AC450" s="15" t="str">
        <f t="shared" si="13"/>
        <v>PENDING RESEARCH</v>
      </c>
      <c r="AD450" s="15" t="str">
        <f t="shared" si="14"/>
        <v>Electropolished Pipes Manufacturer in Kalyan</v>
      </c>
      <c r="AE450" s="15" t="str">
        <f t="shared" si="15"/>
        <v>How We Manufacture Electropolished Tube for Kalyan Plants</v>
      </c>
      <c r="AF450" s="15" t="str">
        <f t="shared" si="16"/>
        <v>Supplying Electropolished Pipes in Kalyan: Availability, Sizes &amp; Dispatch</v>
      </c>
      <c r="AG450" s="15" t="str">
        <f t="shared" si="17"/>
        <v>Wholesale Electropolished Pipe Supply for Kalyan Projects</v>
      </c>
      <c r="AH450" s="15" t="str">
        <f t="shared" si="18"/>
        <v>electropolished pipes manufacturer in Kalyan, electropolished pipes supplier in Kalyan, electropolished pipes wholesaler in Kalyan, electropolished tube manufacturer Kalyan, EP pipe supplier Kalyan, sanitary tube supplier Kalyan, ASME BPE tubing Kalyan, ASTM A270 tube Kalyan, SS 316L electropolished pipe Kalyan</v>
      </c>
      <c r="AI450" s="15" t="str">
        <f t="shared" si="19"/>
        <v>Electropolished Pipes Manufacturer &amp; Supplier in Kalyan</v>
      </c>
      <c r="AJ450" s="15" t="str">
        <f t="shared" si="20"/>
        <v>EP-finished SS 304/316L pipes and tubes for VERIFY plants in Kalyan. ASME BPE SF1-SF4, Ra from 0.25 um, EN 10204 3.1 certificate with every lot.</v>
      </c>
      <c r="AK450" s="15" t="str">
        <f t="shared" si="21"/>
        <v>Electropolished stainless steel pipes supplied by Sakshi Forge to VERIFY plants at MIDC Industrial Area, Kalyan</v>
      </c>
      <c r="AL450" s="15" t="str">
        <f t="shared" si="22"/>
        <v>Electropolished SS 316L tube stock for Kalyan - Sakshi Forge</v>
      </c>
      <c r="AM450" s="15" t="str">
        <f t="shared" si="23"/>
        <v>Home &gt; Market Area &gt; India &gt; Maharashtra &gt; Kalyan</v>
      </c>
      <c r="AN450" s="15">
        <f t="shared" si="24"/>
        <v>1000</v>
      </c>
      <c r="AO450" s="15">
        <f t="shared" si="25"/>
        <v>8</v>
      </c>
      <c r="AP450" s="15">
        <f t="shared" si="26"/>
        <v>8</v>
      </c>
      <c r="AQ450" s="15">
        <f t="shared" si="27"/>
        <v>8</v>
      </c>
      <c r="AR450" s="31"/>
      <c r="AS450" s="31"/>
      <c r="AT450" s="35" t="s">
        <v>222</v>
      </c>
      <c r="AU450" s="35"/>
    </row>
    <row r="451" ht="15.75" customHeight="1">
      <c r="A451" s="15" t="s">
        <v>3574</v>
      </c>
      <c r="B451" s="15" t="s">
        <v>60</v>
      </c>
      <c r="C451" s="15" t="s">
        <v>958</v>
      </c>
      <c r="D451" s="15" t="s">
        <v>3577</v>
      </c>
      <c r="E451" s="15" t="s">
        <v>3577</v>
      </c>
      <c r="F451" s="65" t="s">
        <v>788</v>
      </c>
      <c r="G451" s="66" t="s">
        <v>98</v>
      </c>
      <c r="H451" s="18" t="s">
        <v>3580</v>
      </c>
      <c r="I451" s="18" t="s">
        <v>8403</v>
      </c>
      <c r="J451" s="18" t="s">
        <v>98</v>
      </c>
      <c r="K451" s="18" t="s">
        <v>98</v>
      </c>
      <c r="L451" s="18" t="s">
        <v>98</v>
      </c>
      <c r="M451" s="18" t="s">
        <v>98</v>
      </c>
      <c r="N451" s="18" t="s">
        <v>98</v>
      </c>
      <c r="O451" s="18" t="s">
        <v>98</v>
      </c>
      <c r="P451" s="15" t="str">
        <f t="shared" si="1"/>
        <v>VERIFY</v>
      </c>
      <c r="Q451" s="15">
        <f t="shared" si="2"/>
        <v>8</v>
      </c>
      <c r="R451" s="15">
        <f t="shared" si="3"/>
        <v>7</v>
      </c>
      <c r="S451" s="15">
        <f t="shared" si="4"/>
        <v>3</v>
      </c>
      <c r="T451" s="15" t="str">
        <f t="shared" si="5"/>
        <v>B-4</v>
      </c>
      <c r="U451" s="15" t="str">
        <f t="shared" si="6"/>
        <v>T8-M7-H3-FB-4-VERIFY</v>
      </c>
      <c r="V451" s="15">
        <f t="shared" si="7"/>
        <v>0</v>
      </c>
      <c r="W451" s="31"/>
      <c r="X451" s="15" t="str">
        <f t="shared" si="8"/>
        <v>kanchipuram</v>
      </c>
      <c r="Y451" s="32" t="str">
        <f t="shared" si="9"/>
        <v>https://steelmanufacturer.in/market-area/electropolished-pipes-manufacturer-in-kanchipuram/</v>
      </c>
      <c r="Z451" s="15" t="str">
        <f t="shared" si="10"/>
        <v>Electropolished Pipes Manufacturer in Kanchipuram</v>
      </c>
      <c r="AA451" s="15" t="str">
        <f t="shared" si="11"/>
        <v>OK (49)</v>
      </c>
      <c r="AB451" s="15" t="str">
        <f t="shared" si="12"/>
        <v>Electropolished pipes in Kanchipuram: 304, 304L, 316 and 316L in SF1-SF4. VERIFY. Mill certified.</v>
      </c>
      <c r="AC451" s="15" t="str">
        <f t="shared" si="13"/>
        <v>PENDING RESEARCH</v>
      </c>
      <c r="AD451" s="15" t="str">
        <f t="shared" si="14"/>
        <v>Electropolished Pipes Manufacturer in Kanchipuram</v>
      </c>
      <c r="AE451" s="15" t="str">
        <f t="shared" si="15"/>
        <v>Electropolished Pipes Manufacturer in Kanchipuram - Our Process &amp; Capability</v>
      </c>
      <c r="AF451" s="15" t="str">
        <f t="shared" si="16"/>
        <v>Electropolished Pipes Supplier in Kanchipuram - What We Hold in Stock</v>
      </c>
      <c r="AG451" s="15" t="str">
        <f t="shared" si="17"/>
        <v>Bulk &amp; Wholesale Electropolished Pipe Rates for Kanchipuram Buyers</v>
      </c>
      <c r="AH451" s="15" t="str">
        <f t="shared" si="18"/>
        <v>electropolished pipes manufacturer in Kanchipuram, electropolished pipes supplier in Kanchipuram, electropolished pipes wholesaler in Kanchipuram, electropolished tube manufacturer Kanchipuram, EP pipe supplier Kanchipuram, sanitary tube supplier Kanchipuram, ASME BPE tubing Kanchipuram, ASTM A270 tube Kanchipuram, SS 316L electropolished pipe Kanchipuram</v>
      </c>
      <c r="AI451" s="15" t="str">
        <f t="shared" si="19"/>
        <v>Electropolished Pipes Manufacturer &amp; Supplier in Kanchipuram</v>
      </c>
      <c r="AJ451" s="15" t="str">
        <f t="shared" si="20"/>
        <v>EP-finished SS 304/316L pipes and tubes for VERIFY plants in Kanchipuram. ASME BPE SF1-SF4, Ra from 0.25 um, EN 10204 3.1 certificate with every lot.</v>
      </c>
      <c r="AK451" s="15" t="str">
        <f t="shared" si="21"/>
        <v>Electropolished stainless steel pipes supplied by Sakshi Forge to VERIFY plants at SIPCOT Industrial Area, Kanchipuram</v>
      </c>
      <c r="AL451" s="15" t="str">
        <f t="shared" si="22"/>
        <v>Electropolished SS 316L tube stock for Kanchipuram - Sakshi Forge</v>
      </c>
      <c r="AM451" s="15" t="str">
        <f t="shared" si="23"/>
        <v>Home &gt; Market Area &gt; India &gt; Tamil Nadu &gt; Kanchipuram</v>
      </c>
      <c r="AN451" s="15">
        <f t="shared" si="24"/>
        <v>1000</v>
      </c>
      <c r="AO451" s="15">
        <f t="shared" si="25"/>
        <v>8</v>
      </c>
      <c r="AP451" s="15">
        <f t="shared" si="26"/>
        <v>8</v>
      </c>
      <c r="AQ451" s="15">
        <f t="shared" si="27"/>
        <v>8</v>
      </c>
      <c r="AR451" s="31"/>
      <c r="AS451" s="31"/>
      <c r="AT451" s="35" t="s">
        <v>222</v>
      </c>
      <c r="AU451" s="35"/>
    </row>
    <row r="452" ht="15.75" customHeight="1">
      <c r="A452" s="15" t="s">
        <v>3581</v>
      </c>
      <c r="B452" s="15" t="s">
        <v>60</v>
      </c>
      <c r="C452" s="15" t="s">
        <v>447</v>
      </c>
      <c r="D452" s="15" t="s">
        <v>3582</v>
      </c>
      <c r="E452" s="15" t="s">
        <v>3582</v>
      </c>
      <c r="F452" s="65" t="s">
        <v>788</v>
      </c>
      <c r="G452" s="66" t="s">
        <v>98</v>
      </c>
      <c r="H452" s="18" t="s">
        <v>3584</v>
      </c>
      <c r="I452" s="18" t="s">
        <v>8411</v>
      </c>
      <c r="J452" s="18" t="s">
        <v>98</v>
      </c>
      <c r="K452" s="18" t="s">
        <v>98</v>
      </c>
      <c r="L452" s="18" t="s">
        <v>98</v>
      </c>
      <c r="M452" s="18" t="s">
        <v>98</v>
      </c>
      <c r="N452" s="18" t="s">
        <v>98</v>
      </c>
      <c r="O452" s="18" t="s">
        <v>98</v>
      </c>
      <c r="P452" s="15" t="str">
        <f t="shared" si="1"/>
        <v>VERIFY</v>
      </c>
      <c r="Q452" s="15">
        <f t="shared" si="2"/>
        <v>1</v>
      </c>
      <c r="R452" s="15">
        <f t="shared" si="3"/>
        <v>1</v>
      </c>
      <c r="S452" s="15">
        <f t="shared" si="4"/>
        <v>4</v>
      </c>
      <c r="T452" s="15" t="str">
        <f t="shared" si="5"/>
        <v>B-5</v>
      </c>
      <c r="U452" s="15" t="str">
        <f t="shared" si="6"/>
        <v>T1-M1-H4-FB-5-VERIFY</v>
      </c>
      <c r="V452" s="15">
        <f t="shared" si="7"/>
        <v>0</v>
      </c>
      <c r="W452" s="31"/>
      <c r="X452" s="15" t="str">
        <f t="shared" si="8"/>
        <v>kangra</v>
      </c>
      <c r="Y452" s="32" t="str">
        <f t="shared" si="9"/>
        <v>https://steelmanufacturer.in/market-area/electropolished-pipes-manufacturer-in-kangra/</v>
      </c>
      <c r="Z452" s="15" t="str">
        <f t="shared" si="10"/>
        <v>Electropolished Pipes Manufacturer in Kangra | Sakshi Forge</v>
      </c>
      <c r="AA452" s="15" t="str">
        <f t="shared" si="11"/>
        <v>OK (59)</v>
      </c>
      <c r="AB452" s="15" t="str">
        <f t="shared" si="12"/>
        <v>EP-finished SS 304/316L pipes &amp; tubes for VERIFY plants in Kangra. ASTM A270, ASME BPE SF1-SF4, EN 10204 3.1 MTC. PMI tested.</v>
      </c>
      <c r="AC452" s="15" t="str">
        <f t="shared" si="13"/>
        <v>PENDING RESEARCH</v>
      </c>
      <c r="AD452" s="15" t="str">
        <f t="shared" si="14"/>
        <v>Electropolished Pipes Manufacturer in Kangra</v>
      </c>
      <c r="AE452" s="15" t="str">
        <f t="shared" si="15"/>
        <v>Manufacturing Electropolished SS Tube for Kangra: The Standards We Build To</v>
      </c>
      <c r="AF452" s="15" t="str">
        <f t="shared" si="16"/>
        <v>Electropolished Pipe Supply Into Kangra - Certification &amp; Transit</v>
      </c>
      <c r="AG452" s="15" t="str">
        <f t="shared" si="17"/>
        <v>Electropolished Pipes Wholesaler in Kangra - Project Quantities &amp; Terms</v>
      </c>
      <c r="AH452" s="15" t="str">
        <f t="shared" si="18"/>
        <v>electropolished pipes manufacturer in Kangra, electropolished pipes supplier in Kangra, electropolished pipes wholesaler in Kangra, electropolished tube manufacturer Kangra, EP pipe supplier Kangra, sanitary tube supplier Kangra, ASME BPE tubing Kangra, ASTM A270 tube Kangra, SS 316L electropolished pipe Kangra</v>
      </c>
      <c r="AI452" s="15" t="str">
        <f t="shared" si="19"/>
        <v>Electropolished Pipes Manufacturer &amp; Supplier in Kangra</v>
      </c>
      <c r="AJ452" s="15" t="str">
        <f t="shared" si="20"/>
        <v>EP-finished SS 304/316L pipes and tubes for VERIFY plants in Kangra. ASME BPE SF1-SF4, Ra from 0.25 um, EN 10204 3.1 certificate with every lot.</v>
      </c>
      <c r="AK452" s="15" t="str">
        <f t="shared" si="21"/>
        <v>Electropolished stainless steel pipes supplied by Sakshi Forge to VERIFY plants at HPSIDC Industrial Area, Kangra</v>
      </c>
      <c r="AL452" s="15" t="str">
        <f t="shared" si="22"/>
        <v>Electropolished SS 316L tube stock for Kangra - Sakshi Forge</v>
      </c>
      <c r="AM452" s="15" t="str">
        <f t="shared" si="23"/>
        <v>Home &gt; Market Area &gt; India &gt; Himachal Pradesh &gt; Kangra</v>
      </c>
      <c r="AN452" s="15">
        <f t="shared" si="24"/>
        <v>1000</v>
      </c>
      <c r="AO452" s="15">
        <f t="shared" si="25"/>
        <v>8</v>
      </c>
      <c r="AP452" s="15">
        <f t="shared" si="26"/>
        <v>8</v>
      </c>
      <c r="AQ452" s="15">
        <f t="shared" si="27"/>
        <v>8</v>
      </c>
      <c r="AR452" s="31"/>
      <c r="AS452" s="31"/>
      <c r="AT452" s="35" t="s">
        <v>222</v>
      </c>
      <c r="AU452" s="35"/>
    </row>
    <row r="453" ht="15.75" customHeight="1">
      <c r="A453" s="15" t="s">
        <v>3585</v>
      </c>
      <c r="B453" s="15" t="s">
        <v>60</v>
      </c>
      <c r="C453" s="15" t="s">
        <v>1687</v>
      </c>
      <c r="D453" s="15" t="s">
        <v>3586</v>
      </c>
      <c r="E453" s="15" t="s">
        <v>3586</v>
      </c>
      <c r="F453" s="65" t="s">
        <v>788</v>
      </c>
      <c r="G453" s="66" t="s">
        <v>98</v>
      </c>
      <c r="H453" s="18" t="s">
        <v>3588</v>
      </c>
      <c r="I453" s="18" t="s">
        <v>8397</v>
      </c>
      <c r="J453" s="18" t="s">
        <v>98</v>
      </c>
      <c r="K453" s="18" t="s">
        <v>98</v>
      </c>
      <c r="L453" s="18" t="s">
        <v>98</v>
      </c>
      <c r="M453" s="18" t="s">
        <v>98</v>
      </c>
      <c r="N453" s="18" t="s">
        <v>98</v>
      </c>
      <c r="O453" s="18" t="s">
        <v>98</v>
      </c>
      <c r="P453" s="15" t="str">
        <f t="shared" si="1"/>
        <v>VERIFY</v>
      </c>
      <c r="Q453" s="15">
        <f t="shared" si="2"/>
        <v>2</v>
      </c>
      <c r="R453" s="15">
        <f t="shared" si="3"/>
        <v>2</v>
      </c>
      <c r="S453" s="15">
        <f t="shared" si="4"/>
        <v>5</v>
      </c>
      <c r="T453" s="15" t="str">
        <f t="shared" si="5"/>
        <v>B-6</v>
      </c>
      <c r="U453" s="15" t="str">
        <f t="shared" si="6"/>
        <v>T2-M2-H5-FB-6-VERIFY</v>
      </c>
      <c r="V453" s="15">
        <f t="shared" si="7"/>
        <v>0</v>
      </c>
      <c r="W453" s="31"/>
      <c r="X453" s="15" t="str">
        <f t="shared" si="8"/>
        <v>kannur</v>
      </c>
      <c r="Y453" s="32" t="str">
        <f t="shared" si="9"/>
        <v>https://steelmanufacturer.in/market-area/electropolished-pipes-manufacturer-in-kannur/</v>
      </c>
      <c r="Z453" s="15" t="str">
        <f t="shared" si="10"/>
        <v>Electropolished Pipes Manufacturer in Kannur</v>
      </c>
      <c r="AA453" s="15" t="str">
        <f t="shared" si="11"/>
        <v>OK (44)</v>
      </c>
      <c r="AB453" s="15" t="str">
        <f t="shared" si="12"/>
        <v>Electropolished tube supply to KINFRA Industrial Area, Kannur. Ra from 0.25 um, SF4 finish, mill test certificate with every lot.</v>
      </c>
      <c r="AC453" s="15" t="str">
        <f t="shared" si="13"/>
        <v>PENDING RESEARCH</v>
      </c>
      <c r="AD453" s="15" t="str">
        <f t="shared" si="14"/>
        <v>Electropolished Pipes Manufacturer in Kannur</v>
      </c>
      <c r="AE453" s="15" t="str">
        <f t="shared" si="15"/>
        <v>Electropolished Tube Manufacturing Capability Serving Kannur</v>
      </c>
      <c r="AF453" s="15" t="str">
        <f t="shared" si="16"/>
        <v>Electropolished Pipes Supplier in Kannur - From Order to Delivery</v>
      </c>
      <c r="AG453" s="15" t="str">
        <f t="shared" si="17"/>
        <v>Stockist &amp; Wholesale Supply of Electropolished Pipes in Kannur</v>
      </c>
      <c r="AH453" s="15" t="str">
        <f t="shared" si="18"/>
        <v>electropolished pipes manufacturer in Kannur, electropolished pipes supplier in Kannur, electropolished pipes wholesaler in Kannur, electropolished tube manufacturer Kannur, EP pipe supplier Kannur, sanitary tube supplier Kannur, ASME BPE tubing Kannur, ASTM A270 tube Kannur, SS 316L electropolished pipe Kannur</v>
      </c>
      <c r="AI453" s="15" t="str">
        <f t="shared" si="19"/>
        <v>Electropolished Pipes Manufacturer &amp; Supplier in Kannur</v>
      </c>
      <c r="AJ453" s="15" t="str">
        <f t="shared" si="20"/>
        <v>EP-finished SS 304/316L pipes and tubes for VERIFY plants in Kannur. ASME BPE SF1-SF4, Ra from 0.25 um, EN 10204 3.1 certificate with every lot.</v>
      </c>
      <c r="AK453" s="15" t="str">
        <f t="shared" si="21"/>
        <v>Electropolished stainless steel pipes supplied by Sakshi Forge to VERIFY plants at KINFRA Industrial Area, Kannur</v>
      </c>
      <c r="AL453" s="15" t="str">
        <f t="shared" si="22"/>
        <v>Electropolished SS 316L tube stock for Kannur - Sakshi Forge</v>
      </c>
      <c r="AM453" s="15" t="str">
        <f t="shared" si="23"/>
        <v>Home &gt; Market Area &gt; India &gt; Kerala &gt; Kannur</v>
      </c>
      <c r="AN453" s="15">
        <f t="shared" si="24"/>
        <v>1000</v>
      </c>
      <c r="AO453" s="15">
        <f t="shared" si="25"/>
        <v>8</v>
      </c>
      <c r="AP453" s="15">
        <f t="shared" si="26"/>
        <v>8</v>
      </c>
      <c r="AQ453" s="15">
        <f t="shared" si="27"/>
        <v>8</v>
      </c>
      <c r="AR453" s="31"/>
      <c r="AS453" s="31"/>
      <c r="AT453" s="35" t="s">
        <v>222</v>
      </c>
      <c r="AU453" s="35"/>
    </row>
    <row r="454" ht="15.75" customHeight="1">
      <c r="A454" s="15" t="s">
        <v>3589</v>
      </c>
      <c r="B454" s="15" t="s">
        <v>60</v>
      </c>
      <c r="C454" s="15" t="s">
        <v>958</v>
      </c>
      <c r="D454" s="15" t="s">
        <v>3590</v>
      </c>
      <c r="E454" s="15" t="s">
        <v>3590</v>
      </c>
      <c r="F454" s="65" t="s">
        <v>788</v>
      </c>
      <c r="G454" s="66" t="s">
        <v>98</v>
      </c>
      <c r="H454" s="18" t="s">
        <v>3592</v>
      </c>
      <c r="I454" s="18" t="s">
        <v>8403</v>
      </c>
      <c r="J454" s="18" t="s">
        <v>98</v>
      </c>
      <c r="K454" s="18" t="s">
        <v>98</v>
      </c>
      <c r="L454" s="18" t="s">
        <v>98</v>
      </c>
      <c r="M454" s="18" t="s">
        <v>98</v>
      </c>
      <c r="N454" s="18" t="s">
        <v>98</v>
      </c>
      <c r="O454" s="18" t="s">
        <v>98</v>
      </c>
      <c r="P454" s="15" t="str">
        <f t="shared" si="1"/>
        <v>VERIFY</v>
      </c>
      <c r="Q454" s="15">
        <f t="shared" si="2"/>
        <v>3</v>
      </c>
      <c r="R454" s="15">
        <f t="shared" si="3"/>
        <v>3</v>
      </c>
      <c r="S454" s="15">
        <f t="shared" si="4"/>
        <v>1</v>
      </c>
      <c r="T454" s="15" t="str">
        <f t="shared" si="5"/>
        <v>B-1</v>
      </c>
      <c r="U454" s="15" t="str">
        <f t="shared" si="6"/>
        <v>T3-M3-H1-FB-1-VERIFY</v>
      </c>
      <c r="V454" s="15">
        <f t="shared" si="7"/>
        <v>0</v>
      </c>
      <c r="W454" s="31"/>
      <c r="X454" s="15" t="str">
        <f t="shared" si="8"/>
        <v>kanyakumari</v>
      </c>
      <c r="Y454" s="32" t="str">
        <f t="shared" si="9"/>
        <v>https://steelmanufacturer.in/market-area/electropolished-pipes-manufacturer-in-kanyakumari/</v>
      </c>
      <c r="Z454" s="15" t="str">
        <f t="shared" si="10"/>
        <v>Electropolished Pipes Manufacturer in Kanyakumari</v>
      </c>
      <c r="AA454" s="15" t="str">
        <f t="shared" si="11"/>
        <v>OK (49)</v>
      </c>
      <c r="AB454" s="15" t="str">
        <f t="shared" si="12"/>
        <v>EP stainless tube for VERIFY lines in Kanyakumari. VERIFY. ASTM A270 S2, PMI tested, EN 10204 3.1.</v>
      </c>
      <c r="AC454" s="15" t="str">
        <f t="shared" si="13"/>
        <v>PENDING RESEARCH</v>
      </c>
      <c r="AD454" s="15" t="str">
        <f t="shared" si="14"/>
        <v>Electropolished Pipes Manufacturer in Kanyakumari</v>
      </c>
      <c r="AE454" s="15" t="str">
        <f t="shared" si="15"/>
        <v>Electropolished Pipe &amp; Tube Manufacturing for Kanyakumari - Grades, Finishes &amp; Certification</v>
      </c>
      <c r="AF454" s="15" t="str">
        <f t="shared" si="16"/>
        <v>Electropolished Pipes Supplier in Kanyakumari - Stock Sizes, Lead Time &amp; Delivery</v>
      </c>
      <c r="AG454" s="15" t="str">
        <f t="shared" si="17"/>
        <v>Electropolished Pipes Wholesaler &amp; Stockist in Kanyakumari - Bulk &amp; Project Pricing</v>
      </c>
      <c r="AH454" s="15" t="str">
        <f t="shared" si="18"/>
        <v>electropolished pipes manufacturer in Kanyakumari, electropolished pipes supplier in Kanyakumari, electropolished pipes wholesaler in Kanyakumari, electropolished tube manufacturer Kanyakumari, EP pipe supplier Kanyakumari, sanitary tube supplier Kanyakumari, ASME BPE tubing Kanyakumari, ASTM A270 tube Kanyakumari, SS 316L electropolished pipe Kanyakumari</v>
      </c>
      <c r="AI454" s="15" t="str">
        <f t="shared" si="19"/>
        <v>Electropolished Pipes Manufacturer &amp; Supplier in Kanyakumari</v>
      </c>
      <c r="AJ454" s="15" t="str">
        <f t="shared" si="20"/>
        <v>EP-finished SS 304/316L pipes and tubes for VERIFY plants in Kanyakumari. ASME BPE SF1-SF4, Ra from 0.25 um, EN 10204 3.1 certificate with every lot.</v>
      </c>
      <c r="AK454" s="15" t="str">
        <f t="shared" si="21"/>
        <v>Electropolished stainless steel pipes supplied by Sakshi Forge to VERIFY plants at SIPCOT Industrial Area, Kanyakumari</v>
      </c>
      <c r="AL454" s="15" t="str">
        <f t="shared" si="22"/>
        <v>Electropolished SS 316L tube stock for Kanyakumari - Sakshi Forge</v>
      </c>
      <c r="AM454" s="15" t="str">
        <f t="shared" si="23"/>
        <v>Home &gt; Market Area &gt; India &gt; Tamil Nadu &gt; Kanyakumari</v>
      </c>
      <c r="AN454" s="15">
        <f t="shared" si="24"/>
        <v>1000</v>
      </c>
      <c r="AO454" s="15">
        <f t="shared" si="25"/>
        <v>8</v>
      </c>
      <c r="AP454" s="15">
        <f t="shared" si="26"/>
        <v>8</v>
      </c>
      <c r="AQ454" s="15">
        <f t="shared" si="27"/>
        <v>8</v>
      </c>
      <c r="AR454" s="31"/>
      <c r="AS454" s="31"/>
      <c r="AT454" s="35" t="s">
        <v>222</v>
      </c>
      <c r="AU454" s="35"/>
    </row>
    <row r="455" ht="15.75" customHeight="1">
      <c r="A455" s="15" t="s">
        <v>3593</v>
      </c>
      <c r="B455" s="15" t="s">
        <v>60</v>
      </c>
      <c r="C455" s="15" t="s">
        <v>354</v>
      </c>
      <c r="D455" s="15" t="s">
        <v>3594</v>
      </c>
      <c r="E455" s="15" t="s">
        <v>3594</v>
      </c>
      <c r="F455" s="65" t="s">
        <v>788</v>
      </c>
      <c r="G455" s="66" t="s">
        <v>98</v>
      </c>
      <c r="H455" s="18" t="s">
        <v>3596</v>
      </c>
      <c r="I455" s="18" t="s">
        <v>8408</v>
      </c>
      <c r="J455" s="18" t="s">
        <v>98</v>
      </c>
      <c r="K455" s="18" t="s">
        <v>98</v>
      </c>
      <c r="L455" s="18" t="s">
        <v>98</v>
      </c>
      <c r="M455" s="18" t="s">
        <v>98</v>
      </c>
      <c r="N455" s="18" t="s">
        <v>98</v>
      </c>
      <c r="O455" s="18" t="s">
        <v>98</v>
      </c>
      <c r="P455" s="15" t="str">
        <f t="shared" si="1"/>
        <v>VERIFY</v>
      </c>
      <c r="Q455" s="15">
        <f t="shared" si="2"/>
        <v>4</v>
      </c>
      <c r="R455" s="15">
        <f t="shared" si="3"/>
        <v>4</v>
      </c>
      <c r="S455" s="15">
        <f t="shared" si="4"/>
        <v>2</v>
      </c>
      <c r="T455" s="15" t="str">
        <f t="shared" si="5"/>
        <v>B-2</v>
      </c>
      <c r="U455" s="15" t="str">
        <f t="shared" si="6"/>
        <v>T4-M4-H2-FB-2-VERIFY</v>
      </c>
      <c r="V455" s="15">
        <f t="shared" si="7"/>
        <v>0</v>
      </c>
      <c r="W455" s="31"/>
      <c r="X455" s="15" t="str">
        <f t="shared" si="8"/>
        <v>kapurthala</v>
      </c>
      <c r="Y455" s="32" t="str">
        <f t="shared" si="9"/>
        <v>https://steelmanufacturer.in/market-area/electropolished-pipes-manufacturer-in-kapurthala/</v>
      </c>
      <c r="Z455" s="15" t="str">
        <f t="shared" si="10"/>
        <v>Electropolished Pipes Manufacturer in Kapurthala</v>
      </c>
      <c r="AA455" s="15" t="str">
        <f t="shared" si="11"/>
        <v>OK (48)</v>
      </c>
      <c r="AB455" s="15" t="str">
        <f t="shared" si="12"/>
        <v>Sanitary electropolished pipes in Kapurthala for VERIFY plants. ASME BPE SF1-SF4, orbital-weld ready, 3.1 MTC. Mumbai-made.</v>
      </c>
      <c r="AC455" s="15" t="str">
        <f t="shared" si="13"/>
        <v>PENDING RESEARCH</v>
      </c>
      <c r="AD455" s="15" t="str">
        <f t="shared" si="14"/>
        <v>Electropolished Pipes Manufacturer in Kapurthala</v>
      </c>
      <c r="AE455" s="15" t="str">
        <f t="shared" si="15"/>
        <v>How We Manufacture Electropolished Tube for Kapurthala Plants</v>
      </c>
      <c r="AF455" s="15" t="str">
        <f t="shared" si="16"/>
        <v>Supplying Electropolished Pipes in Kapurthala: Availability, Sizes &amp; Dispatch</v>
      </c>
      <c r="AG455" s="15" t="str">
        <f t="shared" si="17"/>
        <v>Wholesale Electropolished Pipe Supply for Kapurthala Projects</v>
      </c>
      <c r="AH455" s="15" t="str">
        <f t="shared" si="18"/>
        <v>electropolished pipes manufacturer in Kapurthala, electropolished pipes supplier in Kapurthala, electropolished pipes wholesaler in Kapurthala, electropolished tube manufacturer Kapurthala, EP pipe supplier Kapurthala, sanitary tube supplier Kapurthala, ASME BPE tubing Kapurthala, ASTM A270 tube Kapurthala, SS 316L electropolished pipe Kapurthala</v>
      </c>
      <c r="AI455" s="15" t="str">
        <f t="shared" si="19"/>
        <v>Electropolished Pipes Manufacturer &amp; Supplier in Kapurthala</v>
      </c>
      <c r="AJ455" s="15" t="str">
        <f t="shared" si="20"/>
        <v>EP-finished SS 304/316L pipes and tubes for VERIFY plants in Kapurthala. ASME BPE SF1-SF4, Ra from 0.25 um, EN 10204 3.1 certificate with every lot.</v>
      </c>
      <c r="AK455" s="15" t="str">
        <f t="shared" si="21"/>
        <v>Electropolished stainless steel pipes supplied by Sakshi Forge to VERIFY plants at PSIEC Industrial Area, Kapurthala</v>
      </c>
      <c r="AL455" s="15" t="str">
        <f t="shared" si="22"/>
        <v>Electropolished SS 316L tube stock for Kapurthala - Sakshi Forge</v>
      </c>
      <c r="AM455" s="15" t="str">
        <f t="shared" si="23"/>
        <v>Home &gt; Market Area &gt; India &gt; Punjab &gt; Kapurthala</v>
      </c>
      <c r="AN455" s="15">
        <f t="shared" si="24"/>
        <v>1000</v>
      </c>
      <c r="AO455" s="15">
        <f t="shared" si="25"/>
        <v>8</v>
      </c>
      <c r="AP455" s="15">
        <f t="shared" si="26"/>
        <v>8</v>
      </c>
      <c r="AQ455" s="15">
        <f t="shared" si="27"/>
        <v>8</v>
      </c>
      <c r="AR455" s="31"/>
      <c r="AS455" s="31"/>
      <c r="AT455" s="35" t="s">
        <v>222</v>
      </c>
      <c r="AU455" s="35"/>
    </row>
    <row r="456" ht="15.75" customHeight="1">
      <c r="A456" s="15" t="s">
        <v>3598</v>
      </c>
      <c r="B456" s="15" t="s">
        <v>60</v>
      </c>
      <c r="C456" s="15" t="s">
        <v>264</v>
      </c>
      <c r="D456" s="15" t="s">
        <v>3601</v>
      </c>
      <c r="E456" s="15" t="s">
        <v>3601</v>
      </c>
      <c r="F456" s="65" t="s">
        <v>788</v>
      </c>
      <c r="G456" s="66" t="s">
        <v>98</v>
      </c>
      <c r="H456" s="18" t="s">
        <v>3609</v>
      </c>
      <c r="I456" s="18" t="s">
        <v>8395</v>
      </c>
      <c r="J456" s="18" t="s">
        <v>98</v>
      </c>
      <c r="K456" s="18" t="s">
        <v>98</v>
      </c>
      <c r="L456" s="18" t="s">
        <v>98</v>
      </c>
      <c r="M456" s="18" t="s">
        <v>98</v>
      </c>
      <c r="N456" s="18" t="s">
        <v>98</v>
      </c>
      <c r="O456" s="18" t="s">
        <v>98</v>
      </c>
      <c r="P456" s="15" t="str">
        <f t="shared" si="1"/>
        <v>VERIFY</v>
      </c>
      <c r="Q456" s="15">
        <f t="shared" si="2"/>
        <v>5</v>
      </c>
      <c r="R456" s="15">
        <f t="shared" si="3"/>
        <v>5</v>
      </c>
      <c r="S456" s="15">
        <f t="shared" si="4"/>
        <v>3</v>
      </c>
      <c r="T456" s="15" t="str">
        <f t="shared" si="5"/>
        <v>B-3</v>
      </c>
      <c r="U456" s="15" t="str">
        <f t="shared" si="6"/>
        <v>T5-M5-H3-FB-3-VERIFY</v>
      </c>
      <c r="V456" s="15">
        <f t="shared" si="7"/>
        <v>0</v>
      </c>
      <c r="W456" s="31"/>
      <c r="X456" s="15" t="str">
        <f t="shared" si="8"/>
        <v>karad</v>
      </c>
      <c r="Y456" s="32" t="str">
        <f t="shared" si="9"/>
        <v>https://steelmanufacturer.in/market-area/electropolished-pipes-manufacturer-in-karad/</v>
      </c>
      <c r="Z456" s="15" t="str">
        <f t="shared" si="10"/>
        <v>Electropolished Pipes Manufacturer in Karad</v>
      </c>
      <c r="AA456" s="15" t="str">
        <f t="shared" si="11"/>
        <v>OK (43)</v>
      </c>
      <c r="AB456" s="15" t="str">
        <f t="shared" si="12"/>
        <v>Manufacturer of electropolished SS 316L tube serving Karad. VERIFY. Ra 0.25-0.5 um, EN 10204 3.1 MTC.</v>
      </c>
      <c r="AC456" s="15" t="str">
        <f t="shared" si="13"/>
        <v>PENDING RESEARCH</v>
      </c>
      <c r="AD456" s="15" t="str">
        <f t="shared" si="14"/>
        <v>Electropolished Pipes Manufacturer in Karad</v>
      </c>
      <c r="AE456" s="15" t="str">
        <f t="shared" si="15"/>
        <v>Electropolished Pipes Manufacturer in Karad - Our Process &amp; Capability</v>
      </c>
      <c r="AF456" s="15" t="str">
        <f t="shared" si="16"/>
        <v>Electropolished Pipes Supplier in Karad - What We Hold in Stock</v>
      </c>
      <c r="AG456" s="15" t="str">
        <f t="shared" si="17"/>
        <v>Bulk &amp; Wholesale Electropolished Pipe Rates for Karad Buyers</v>
      </c>
      <c r="AH456" s="15" t="str">
        <f t="shared" si="18"/>
        <v>electropolished pipes manufacturer in Karad, electropolished pipes supplier in Karad, electropolished pipes wholesaler in Karad, electropolished tube manufacturer Karad, EP pipe supplier Karad, sanitary tube supplier Karad, ASME BPE tubing Karad, ASTM A270 tube Karad, SS 316L electropolished pipe Karad</v>
      </c>
      <c r="AI456" s="15" t="str">
        <f t="shared" si="19"/>
        <v>Electropolished Pipes Manufacturer &amp; Supplier in Karad</v>
      </c>
      <c r="AJ456" s="15" t="str">
        <f t="shared" si="20"/>
        <v>EP-finished SS 304/316L pipes and tubes for VERIFY plants in Karad. ASME BPE SF1-SF4, Ra from 0.25 um, EN 10204 3.1 certificate with every lot.</v>
      </c>
      <c r="AK456" s="15" t="str">
        <f t="shared" si="21"/>
        <v>Electropolished stainless steel pipes supplied by Sakshi Forge to VERIFY plants at MIDC Industrial Area, Karad</v>
      </c>
      <c r="AL456" s="15" t="str">
        <f t="shared" si="22"/>
        <v>Electropolished SS 316L tube stock for Karad - Sakshi Forge</v>
      </c>
      <c r="AM456" s="15" t="str">
        <f t="shared" si="23"/>
        <v>Home &gt; Market Area &gt; India &gt; Maharashtra &gt; Karad</v>
      </c>
      <c r="AN456" s="15">
        <f t="shared" si="24"/>
        <v>1000</v>
      </c>
      <c r="AO456" s="15">
        <f t="shared" si="25"/>
        <v>8</v>
      </c>
      <c r="AP456" s="15">
        <f t="shared" si="26"/>
        <v>8</v>
      </c>
      <c r="AQ456" s="15">
        <f t="shared" si="27"/>
        <v>8</v>
      </c>
      <c r="AR456" s="31"/>
      <c r="AS456" s="31"/>
      <c r="AT456" s="35" t="s">
        <v>222</v>
      </c>
      <c r="AU456" s="35"/>
    </row>
    <row r="457" ht="15.75" customHeight="1">
      <c r="A457" s="15" t="s">
        <v>3610</v>
      </c>
      <c r="B457" s="15" t="s">
        <v>60</v>
      </c>
      <c r="C457" s="15" t="s">
        <v>1155</v>
      </c>
      <c r="D457" s="15" t="s">
        <v>3611</v>
      </c>
      <c r="E457" s="15" t="s">
        <v>3611</v>
      </c>
      <c r="F457" s="65" t="s">
        <v>788</v>
      </c>
      <c r="G457" s="66" t="s">
        <v>98</v>
      </c>
      <c r="H457" s="18" t="s">
        <v>3613</v>
      </c>
      <c r="I457" s="18" t="s">
        <v>8412</v>
      </c>
      <c r="J457" s="18" t="s">
        <v>98</v>
      </c>
      <c r="K457" s="18" t="s">
        <v>98</v>
      </c>
      <c r="L457" s="18" t="s">
        <v>98</v>
      </c>
      <c r="M457" s="18" t="s">
        <v>98</v>
      </c>
      <c r="N457" s="18" t="s">
        <v>98</v>
      </c>
      <c r="O457" s="18" t="s">
        <v>98</v>
      </c>
      <c r="P457" s="15" t="str">
        <f t="shared" si="1"/>
        <v>VERIFY</v>
      </c>
      <c r="Q457" s="15">
        <f t="shared" si="2"/>
        <v>6</v>
      </c>
      <c r="R457" s="15">
        <f t="shared" si="3"/>
        <v>6</v>
      </c>
      <c r="S457" s="15">
        <f t="shared" si="4"/>
        <v>4</v>
      </c>
      <c r="T457" s="15" t="str">
        <f t="shared" si="5"/>
        <v>B-4</v>
      </c>
      <c r="U457" s="15" t="str">
        <f t="shared" si="6"/>
        <v>T6-M6-H4-FB-4-VERIFY</v>
      </c>
      <c r="V457" s="15">
        <f t="shared" si="7"/>
        <v>0</v>
      </c>
      <c r="W457" s="31"/>
      <c r="X457" s="15" t="str">
        <f t="shared" si="8"/>
        <v>karimganj</v>
      </c>
      <c r="Y457" s="32" t="str">
        <f t="shared" si="9"/>
        <v>https://steelmanufacturer.in/market-area/electropolished-pipes-manufacturer-in-karimganj/</v>
      </c>
      <c r="Z457" s="15" t="str">
        <f t="shared" si="10"/>
        <v>Electropolished Pipes Manufacturer in Karimganj</v>
      </c>
      <c r="AA457" s="15" t="str">
        <f t="shared" si="11"/>
        <v>OK (47)</v>
      </c>
      <c r="AB457" s="15" t="str">
        <f t="shared" si="12"/>
        <v>EP tube and pipe for VERIFY plants around AIDC Industrial Area, Karimganj. Made at our Mumbai works to ASTM A270 and ASME BPE SF1-SF4, with 3.1 MTC.</v>
      </c>
      <c r="AC457" s="15" t="str">
        <f t="shared" si="13"/>
        <v>PENDING RESEARCH</v>
      </c>
      <c r="AD457" s="15" t="str">
        <f t="shared" si="14"/>
        <v>Electropolished Pipes Manufacturer in Karimganj</v>
      </c>
      <c r="AE457" s="15" t="str">
        <f t="shared" si="15"/>
        <v>Manufacturing Electropolished SS Tube for Karimganj: The Standards We Build To</v>
      </c>
      <c r="AF457" s="15" t="str">
        <f t="shared" si="16"/>
        <v>Electropolished Pipe Supply Into Karimganj - Certification &amp; Transit</v>
      </c>
      <c r="AG457" s="15" t="str">
        <f t="shared" si="17"/>
        <v>Electropolished Pipes Wholesaler in Karimganj - Project Quantities &amp; Terms</v>
      </c>
      <c r="AH457" s="15" t="str">
        <f t="shared" si="18"/>
        <v>electropolished pipes manufacturer in Karimganj, electropolished pipes supplier in Karimganj, electropolished pipes wholesaler in Karimganj, electropolished tube manufacturer Karimganj, EP pipe supplier Karimganj, sanitary tube supplier Karimganj, ASME BPE tubing Karimganj, ASTM A270 tube Karimganj, SS 316L electropolished pipe Karimganj</v>
      </c>
      <c r="AI457" s="15" t="str">
        <f t="shared" si="19"/>
        <v>Electropolished Pipes Manufacturer &amp; Supplier in Karimganj</v>
      </c>
      <c r="AJ457" s="15" t="str">
        <f t="shared" si="20"/>
        <v>EP-finished SS 304/316L pipes and tubes for VERIFY plants in Karimganj. ASME BPE SF1-SF4, Ra from 0.25 um, EN 10204 3.1 certificate with every lot.</v>
      </c>
      <c r="AK457" s="15" t="str">
        <f t="shared" si="21"/>
        <v>Electropolished stainless steel pipes supplied by Sakshi Forge to VERIFY plants at AIDC Industrial Area, Karimganj</v>
      </c>
      <c r="AL457" s="15" t="str">
        <f t="shared" si="22"/>
        <v>Electropolished SS 316L tube stock for Karimganj - Sakshi Forge</v>
      </c>
      <c r="AM457" s="15" t="str">
        <f t="shared" si="23"/>
        <v>Home &gt; Market Area &gt; India &gt; Assam &gt; Karimganj</v>
      </c>
      <c r="AN457" s="15">
        <f t="shared" si="24"/>
        <v>1000</v>
      </c>
      <c r="AO457" s="15">
        <f t="shared" si="25"/>
        <v>8</v>
      </c>
      <c r="AP457" s="15">
        <f t="shared" si="26"/>
        <v>8</v>
      </c>
      <c r="AQ457" s="15">
        <f t="shared" si="27"/>
        <v>8</v>
      </c>
      <c r="AR457" s="31"/>
      <c r="AS457" s="31"/>
      <c r="AT457" s="35" t="s">
        <v>222</v>
      </c>
      <c r="AU457" s="35"/>
    </row>
    <row r="458" ht="15.75" customHeight="1">
      <c r="A458" s="15" t="s">
        <v>3614</v>
      </c>
      <c r="B458" s="15" t="s">
        <v>60</v>
      </c>
      <c r="C458" s="15" t="s">
        <v>1312</v>
      </c>
      <c r="D458" s="15" t="s">
        <v>3615</v>
      </c>
      <c r="E458" s="15" t="s">
        <v>3615</v>
      </c>
      <c r="F458" s="65" t="s">
        <v>788</v>
      </c>
      <c r="G458" s="66" t="s">
        <v>98</v>
      </c>
      <c r="H458" s="18" t="s">
        <v>3617</v>
      </c>
      <c r="I458" s="18" t="s">
        <v>8392</v>
      </c>
      <c r="J458" s="18" t="s">
        <v>98</v>
      </c>
      <c r="K458" s="18" t="s">
        <v>98</v>
      </c>
      <c r="L458" s="18" t="s">
        <v>98</v>
      </c>
      <c r="M458" s="18" t="s">
        <v>98</v>
      </c>
      <c r="N458" s="18" t="s">
        <v>98</v>
      </c>
      <c r="O458" s="18" t="s">
        <v>98</v>
      </c>
      <c r="P458" s="15" t="str">
        <f t="shared" si="1"/>
        <v>VERIFY</v>
      </c>
      <c r="Q458" s="15">
        <f t="shared" si="2"/>
        <v>7</v>
      </c>
      <c r="R458" s="15">
        <f t="shared" si="3"/>
        <v>7</v>
      </c>
      <c r="S458" s="15">
        <f t="shared" si="4"/>
        <v>5</v>
      </c>
      <c r="T458" s="15" t="str">
        <f t="shared" si="5"/>
        <v>B-5</v>
      </c>
      <c r="U458" s="15" t="str">
        <f t="shared" si="6"/>
        <v>T7-M7-H5-FB-5-VERIFY</v>
      </c>
      <c r="V458" s="15">
        <f t="shared" si="7"/>
        <v>0</v>
      </c>
      <c r="W458" s="31"/>
      <c r="X458" s="15" t="str">
        <f t="shared" si="8"/>
        <v>karimnagar</v>
      </c>
      <c r="Y458" s="32" t="str">
        <f t="shared" si="9"/>
        <v>https://steelmanufacturer.in/market-area/electropolished-pipes-manufacturer-in-karimnagar/</v>
      </c>
      <c r="Z458" s="15" t="str">
        <f t="shared" si="10"/>
        <v>Electropolished Pipes Manufacturer in Karimnagar</v>
      </c>
      <c r="AA458" s="15" t="str">
        <f t="shared" si="11"/>
        <v>OK (48)</v>
      </c>
      <c r="AB458" s="15" t="str">
        <f t="shared" si="12"/>
        <v>Electropolished pipes in Karimnagar: 304, 304L, 316 and 316L in SF1-SF4. VERIFY. Mill certified.</v>
      </c>
      <c r="AC458" s="15" t="str">
        <f t="shared" si="13"/>
        <v>PENDING RESEARCH</v>
      </c>
      <c r="AD458" s="15" t="str">
        <f t="shared" si="14"/>
        <v>Electropolished Pipes Manufacturer in Karimnagar</v>
      </c>
      <c r="AE458" s="15" t="str">
        <f t="shared" si="15"/>
        <v>Electropolished Tube Manufacturing Capability Serving Karimnagar</v>
      </c>
      <c r="AF458" s="15" t="str">
        <f t="shared" si="16"/>
        <v>Electropolished Pipes Supplier in Karimnagar - From Order to Delivery</v>
      </c>
      <c r="AG458" s="15" t="str">
        <f t="shared" si="17"/>
        <v>Stockist &amp; Wholesale Supply of Electropolished Pipes in Karimnagar</v>
      </c>
      <c r="AH458" s="15" t="str">
        <f t="shared" si="18"/>
        <v>electropolished pipes manufacturer in Karimnagar, electropolished pipes supplier in Karimnagar, electropolished pipes wholesaler in Karimnagar, electropolished tube manufacturer Karimnagar, EP pipe supplier Karimnagar, sanitary tube supplier Karimnagar, ASME BPE tubing Karimnagar, ASTM A270 tube Karimnagar, SS 316L electropolished pipe Karimnagar</v>
      </c>
      <c r="AI458" s="15" t="str">
        <f t="shared" si="19"/>
        <v>Electropolished Pipes Manufacturer &amp; Supplier in Karimnagar</v>
      </c>
      <c r="AJ458" s="15" t="str">
        <f t="shared" si="20"/>
        <v>EP-finished SS 304/316L pipes and tubes for VERIFY plants in Karimnagar. ASME BPE SF1-SF4, Ra from 0.25 um, EN 10204 3.1 certificate with every lot.</v>
      </c>
      <c r="AK458" s="15" t="str">
        <f t="shared" si="21"/>
        <v>Electropolished stainless steel pipes supplied by Sakshi Forge to VERIFY plants at TSIIC Industrial Area, Karimnagar</v>
      </c>
      <c r="AL458" s="15" t="str">
        <f t="shared" si="22"/>
        <v>Electropolished SS 316L tube stock for Karimnagar - Sakshi Forge</v>
      </c>
      <c r="AM458" s="15" t="str">
        <f t="shared" si="23"/>
        <v>Home &gt; Market Area &gt; India &gt; Telangana &gt; Karimnagar</v>
      </c>
      <c r="AN458" s="15">
        <f t="shared" si="24"/>
        <v>1000</v>
      </c>
      <c r="AO458" s="15">
        <f t="shared" si="25"/>
        <v>8</v>
      </c>
      <c r="AP458" s="15">
        <f t="shared" si="26"/>
        <v>8</v>
      </c>
      <c r="AQ458" s="15">
        <f t="shared" si="27"/>
        <v>8</v>
      </c>
      <c r="AR458" s="31"/>
      <c r="AS458" s="31"/>
      <c r="AT458" s="35" t="s">
        <v>222</v>
      </c>
      <c r="AU458" s="35"/>
    </row>
    <row r="459" ht="15.75" customHeight="1">
      <c r="A459" s="15" t="s">
        <v>3618</v>
      </c>
      <c r="B459" s="15" t="s">
        <v>60</v>
      </c>
      <c r="C459" s="15" t="s">
        <v>245</v>
      </c>
      <c r="D459" s="15" t="s">
        <v>3619</v>
      </c>
      <c r="E459" s="15" t="s">
        <v>3619</v>
      </c>
      <c r="F459" s="65" t="s">
        <v>788</v>
      </c>
      <c r="G459" s="66" t="s">
        <v>98</v>
      </c>
      <c r="H459" s="18" t="s">
        <v>3621</v>
      </c>
      <c r="I459" s="18" t="s">
        <v>8407</v>
      </c>
      <c r="J459" s="18" t="s">
        <v>98</v>
      </c>
      <c r="K459" s="18" t="s">
        <v>98</v>
      </c>
      <c r="L459" s="18" t="s">
        <v>98</v>
      </c>
      <c r="M459" s="18" t="s">
        <v>98</v>
      </c>
      <c r="N459" s="18" t="s">
        <v>98</v>
      </c>
      <c r="O459" s="18" t="s">
        <v>98</v>
      </c>
      <c r="P459" s="15" t="str">
        <f t="shared" si="1"/>
        <v>VERIFY</v>
      </c>
      <c r="Q459" s="15">
        <f t="shared" si="2"/>
        <v>8</v>
      </c>
      <c r="R459" s="15">
        <f t="shared" si="3"/>
        <v>1</v>
      </c>
      <c r="S459" s="15">
        <f t="shared" si="4"/>
        <v>1</v>
      </c>
      <c r="T459" s="15" t="str">
        <f t="shared" si="5"/>
        <v>B-6</v>
      </c>
      <c r="U459" s="15" t="str">
        <f t="shared" si="6"/>
        <v>T8-M1-H1-FB-6-VERIFY</v>
      </c>
      <c r="V459" s="15">
        <f t="shared" si="7"/>
        <v>0</v>
      </c>
      <c r="W459" s="31"/>
      <c r="X459" s="15" t="str">
        <f t="shared" si="8"/>
        <v>karnal</v>
      </c>
      <c r="Y459" s="32" t="str">
        <f t="shared" si="9"/>
        <v>https://steelmanufacturer.in/market-area/electropolished-pipes-manufacturer-in-karnal/</v>
      </c>
      <c r="Z459" s="15" t="str">
        <f t="shared" si="10"/>
        <v>Electropolished Pipes Manufacturer in Karnal - EP Tube Stockist</v>
      </c>
      <c r="AA459" s="15" t="str">
        <f t="shared" si="11"/>
        <v>OK (63)</v>
      </c>
      <c r="AB459" s="15" t="str">
        <f t="shared" si="12"/>
        <v>EP-finished SS 304/316L pipes &amp; tubes for VERIFY plants in Karnal. ASTM A270, ASME BPE SF1-SF4, EN 10204 3.1 MTC. PMI tested.</v>
      </c>
      <c r="AC459" s="15" t="str">
        <f t="shared" si="13"/>
        <v>PENDING RESEARCH</v>
      </c>
      <c r="AD459" s="15" t="str">
        <f t="shared" si="14"/>
        <v>Electropolished Pipes Manufacturer in Karnal</v>
      </c>
      <c r="AE459" s="15" t="str">
        <f t="shared" si="15"/>
        <v>Electropolished Pipe &amp; Tube Manufacturing for Karnal - Grades, Finishes &amp; Certification</v>
      </c>
      <c r="AF459" s="15" t="str">
        <f t="shared" si="16"/>
        <v>Electropolished Pipes Supplier in Karnal - Stock Sizes, Lead Time &amp; Delivery</v>
      </c>
      <c r="AG459" s="15" t="str">
        <f t="shared" si="17"/>
        <v>Electropolished Pipes Wholesaler &amp; Stockist in Karnal - Bulk &amp; Project Pricing</v>
      </c>
      <c r="AH459" s="15" t="str">
        <f t="shared" si="18"/>
        <v>electropolished pipes manufacturer in Karnal, electropolished pipes supplier in Karnal, electropolished pipes wholesaler in Karnal, electropolished tube manufacturer Karnal, EP pipe supplier Karnal, sanitary tube supplier Karnal, ASME BPE tubing Karnal, ASTM A270 tube Karnal, SS 316L electropolished pipe Karnal</v>
      </c>
      <c r="AI459" s="15" t="str">
        <f t="shared" si="19"/>
        <v>Electropolished Pipes Manufacturer &amp; Supplier in Karnal</v>
      </c>
      <c r="AJ459" s="15" t="str">
        <f t="shared" si="20"/>
        <v>EP-finished SS 304/316L pipes and tubes for VERIFY plants in Karnal. ASME BPE SF1-SF4, Ra from 0.25 um, EN 10204 3.1 certificate with every lot.</v>
      </c>
      <c r="AK459" s="15" t="str">
        <f t="shared" si="21"/>
        <v>Electropolished stainless steel pipes supplied by Sakshi Forge to VERIFY plants at HSIIDC Industrial Area, Karnal</v>
      </c>
      <c r="AL459" s="15" t="str">
        <f t="shared" si="22"/>
        <v>Electropolished SS 316L tube stock for Karnal - Sakshi Forge</v>
      </c>
      <c r="AM459" s="15" t="str">
        <f t="shared" si="23"/>
        <v>Home &gt; Market Area &gt; India &gt; Haryana &gt; Karnal</v>
      </c>
      <c r="AN459" s="15">
        <f t="shared" si="24"/>
        <v>1000</v>
      </c>
      <c r="AO459" s="15">
        <f t="shared" si="25"/>
        <v>8</v>
      </c>
      <c r="AP459" s="15">
        <f t="shared" si="26"/>
        <v>8</v>
      </c>
      <c r="AQ459" s="15">
        <f t="shared" si="27"/>
        <v>8</v>
      </c>
      <c r="AR459" s="31"/>
      <c r="AS459" s="31"/>
      <c r="AT459" s="35" t="s">
        <v>222</v>
      </c>
      <c r="AU459" s="35"/>
    </row>
    <row r="460" ht="15.75" customHeight="1">
      <c r="A460" s="15" t="s">
        <v>3623</v>
      </c>
      <c r="B460" s="15" t="s">
        <v>60</v>
      </c>
      <c r="C460" s="15" t="s">
        <v>958</v>
      </c>
      <c r="D460" s="15" t="s">
        <v>3625</v>
      </c>
      <c r="E460" s="15" t="s">
        <v>3625</v>
      </c>
      <c r="F460" s="65" t="s">
        <v>788</v>
      </c>
      <c r="G460" s="66" t="s">
        <v>98</v>
      </c>
      <c r="H460" s="18" t="s">
        <v>3627</v>
      </c>
      <c r="I460" s="18" t="s">
        <v>8403</v>
      </c>
      <c r="J460" s="18" t="s">
        <v>98</v>
      </c>
      <c r="K460" s="18" t="s">
        <v>98</v>
      </c>
      <c r="L460" s="18" t="s">
        <v>98</v>
      </c>
      <c r="M460" s="18" t="s">
        <v>98</v>
      </c>
      <c r="N460" s="18" t="s">
        <v>98</v>
      </c>
      <c r="O460" s="18" t="s">
        <v>98</v>
      </c>
      <c r="P460" s="15" t="str">
        <f t="shared" si="1"/>
        <v>VERIFY</v>
      </c>
      <c r="Q460" s="15">
        <f t="shared" si="2"/>
        <v>1</v>
      </c>
      <c r="R460" s="15">
        <f t="shared" si="3"/>
        <v>2</v>
      </c>
      <c r="S460" s="15">
        <f t="shared" si="4"/>
        <v>2</v>
      </c>
      <c r="T460" s="15" t="str">
        <f t="shared" si="5"/>
        <v>B-1</v>
      </c>
      <c r="U460" s="15" t="str">
        <f t="shared" si="6"/>
        <v>T1-M2-H2-FB-1-VERIFY</v>
      </c>
      <c r="V460" s="15">
        <f t="shared" si="7"/>
        <v>0</v>
      </c>
      <c r="W460" s="31"/>
      <c r="X460" s="15" t="str">
        <f t="shared" si="8"/>
        <v>karur</v>
      </c>
      <c r="Y460" s="32" t="str">
        <f t="shared" si="9"/>
        <v>https://steelmanufacturer.in/market-area/electropolished-pipes-manufacturer-in-karur/</v>
      </c>
      <c r="Z460" s="15" t="str">
        <f t="shared" si="10"/>
        <v>Electropolished Pipes Manufacturer in Karur | Sakshi Forge</v>
      </c>
      <c r="AA460" s="15" t="str">
        <f t="shared" si="11"/>
        <v>OK (58)</v>
      </c>
      <c r="AB460" s="15" t="str">
        <f t="shared" si="12"/>
        <v>Electropolished tube supply to SIPCOT Industrial Area, Karur. Ra from 0.25 um, SF4 finish, mill test certificate with every lot.</v>
      </c>
      <c r="AC460" s="15" t="str">
        <f t="shared" si="13"/>
        <v>PENDING RESEARCH</v>
      </c>
      <c r="AD460" s="15" t="str">
        <f t="shared" si="14"/>
        <v>Electropolished Pipes Manufacturer in Karur</v>
      </c>
      <c r="AE460" s="15" t="str">
        <f t="shared" si="15"/>
        <v>How We Manufacture Electropolished Tube for Karur Plants</v>
      </c>
      <c r="AF460" s="15" t="str">
        <f t="shared" si="16"/>
        <v>Supplying Electropolished Pipes in Karur: Availability, Sizes &amp; Dispatch</v>
      </c>
      <c r="AG460" s="15" t="str">
        <f t="shared" si="17"/>
        <v>Wholesale Electropolished Pipe Supply for Karur Projects</v>
      </c>
      <c r="AH460" s="15" t="str">
        <f t="shared" si="18"/>
        <v>electropolished pipes manufacturer in Karur, electropolished pipes supplier in Karur, electropolished pipes wholesaler in Karur, electropolished tube manufacturer Karur, EP pipe supplier Karur, sanitary tube supplier Karur, ASME BPE tubing Karur, ASTM A270 tube Karur, SS 316L electropolished pipe Karur</v>
      </c>
      <c r="AI460" s="15" t="str">
        <f t="shared" si="19"/>
        <v>Electropolished Pipes Manufacturer &amp; Supplier in Karur</v>
      </c>
      <c r="AJ460" s="15" t="str">
        <f t="shared" si="20"/>
        <v>EP-finished SS 304/316L pipes and tubes for VERIFY plants in Karur. ASME BPE SF1-SF4, Ra from 0.25 um, EN 10204 3.1 certificate with every lot.</v>
      </c>
      <c r="AK460" s="15" t="str">
        <f t="shared" si="21"/>
        <v>Electropolished stainless steel pipes supplied by Sakshi Forge to VERIFY plants at SIPCOT Industrial Area, Karur</v>
      </c>
      <c r="AL460" s="15" t="str">
        <f t="shared" si="22"/>
        <v>Electropolished SS 316L tube stock for Karur - Sakshi Forge</v>
      </c>
      <c r="AM460" s="15" t="str">
        <f t="shared" si="23"/>
        <v>Home &gt; Market Area &gt; India &gt; Tamil Nadu &gt; Karur</v>
      </c>
      <c r="AN460" s="15">
        <f t="shared" si="24"/>
        <v>1000</v>
      </c>
      <c r="AO460" s="15">
        <f t="shared" si="25"/>
        <v>8</v>
      </c>
      <c r="AP460" s="15">
        <f t="shared" si="26"/>
        <v>8</v>
      </c>
      <c r="AQ460" s="15">
        <f t="shared" si="27"/>
        <v>8</v>
      </c>
      <c r="AR460" s="31"/>
      <c r="AS460" s="31"/>
      <c r="AT460" s="35" t="s">
        <v>222</v>
      </c>
      <c r="AU460" s="35"/>
    </row>
    <row r="461" ht="15.75" customHeight="1">
      <c r="A461" s="15" t="s">
        <v>3628</v>
      </c>
      <c r="B461" s="15" t="s">
        <v>60</v>
      </c>
      <c r="C461" s="15" t="s">
        <v>570</v>
      </c>
      <c r="D461" s="15" t="s">
        <v>3630</v>
      </c>
      <c r="E461" s="15" t="s">
        <v>3630</v>
      </c>
      <c r="F461" s="65" t="s">
        <v>788</v>
      </c>
      <c r="G461" s="66" t="s">
        <v>98</v>
      </c>
      <c r="H461" s="18" t="s">
        <v>3635</v>
      </c>
      <c r="I461" s="18" t="s">
        <v>8405</v>
      </c>
      <c r="J461" s="18" t="s">
        <v>98</v>
      </c>
      <c r="K461" s="18" t="s">
        <v>98</v>
      </c>
      <c r="L461" s="18" t="s">
        <v>98</v>
      </c>
      <c r="M461" s="18" t="s">
        <v>98</v>
      </c>
      <c r="N461" s="18" t="s">
        <v>98</v>
      </c>
      <c r="O461" s="18" t="s">
        <v>98</v>
      </c>
      <c r="P461" s="15" t="str">
        <f t="shared" si="1"/>
        <v>VERIFY</v>
      </c>
      <c r="Q461" s="15">
        <f t="shared" si="2"/>
        <v>2</v>
      </c>
      <c r="R461" s="15">
        <f t="shared" si="3"/>
        <v>3</v>
      </c>
      <c r="S461" s="15">
        <f t="shared" si="4"/>
        <v>3</v>
      </c>
      <c r="T461" s="15" t="str">
        <f t="shared" si="5"/>
        <v>B-2</v>
      </c>
      <c r="U461" s="15" t="str">
        <f t="shared" si="6"/>
        <v>T2-M3-H3-FB-2-VERIFY</v>
      </c>
      <c r="V461" s="15">
        <f t="shared" si="7"/>
        <v>0</v>
      </c>
      <c r="W461" s="31"/>
      <c r="X461" s="15" t="str">
        <f t="shared" si="8"/>
        <v>karwar</v>
      </c>
      <c r="Y461" s="32" t="str">
        <f t="shared" si="9"/>
        <v>https://steelmanufacturer.in/market-area/electropolished-pipes-manufacturer-in-karwar/</v>
      </c>
      <c r="Z461" s="15" t="str">
        <f t="shared" si="10"/>
        <v>Electropolished Pipes Manufacturer in Karwar</v>
      </c>
      <c r="AA461" s="15" t="str">
        <f t="shared" si="11"/>
        <v>OK (44)</v>
      </c>
      <c r="AB461" s="15" t="str">
        <f t="shared" si="12"/>
        <v>EP stainless tube for VERIFY lines in Karwar. VERIFY. ASTM A270 S2, PMI tested, EN 10204 3.1.</v>
      </c>
      <c r="AC461" s="15" t="str">
        <f t="shared" si="13"/>
        <v>PENDING RESEARCH</v>
      </c>
      <c r="AD461" s="15" t="str">
        <f t="shared" si="14"/>
        <v>Electropolished Pipes Manufacturer in Karwar</v>
      </c>
      <c r="AE461" s="15" t="str">
        <f t="shared" si="15"/>
        <v>Electropolished Pipes Manufacturer in Karwar - Our Process &amp; Capability</v>
      </c>
      <c r="AF461" s="15" t="str">
        <f t="shared" si="16"/>
        <v>Electropolished Pipes Supplier in Karwar - What We Hold in Stock</v>
      </c>
      <c r="AG461" s="15" t="str">
        <f t="shared" si="17"/>
        <v>Bulk &amp; Wholesale Electropolished Pipe Rates for Karwar Buyers</v>
      </c>
      <c r="AH461" s="15" t="str">
        <f t="shared" si="18"/>
        <v>electropolished pipes manufacturer in Karwar, electropolished pipes supplier in Karwar, electropolished pipes wholesaler in Karwar, electropolished tube manufacturer Karwar, EP pipe supplier Karwar, sanitary tube supplier Karwar, ASME BPE tubing Karwar, ASTM A270 tube Karwar, SS 316L electropolished pipe Karwar</v>
      </c>
      <c r="AI461" s="15" t="str">
        <f t="shared" si="19"/>
        <v>Electropolished Pipes Manufacturer &amp; Supplier in Karwar</v>
      </c>
      <c r="AJ461" s="15" t="str">
        <f t="shared" si="20"/>
        <v>EP-finished SS 304/316L pipes and tubes for VERIFY plants in Karwar. ASME BPE SF1-SF4, Ra from 0.25 um, EN 10204 3.1 certificate with every lot.</v>
      </c>
      <c r="AK461" s="15" t="str">
        <f t="shared" si="21"/>
        <v>Electropolished stainless steel pipes supplied by Sakshi Forge to VERIFY plants at KIADB Industrial Area, Karwar</v>
      </c>
      <c r="AL461" s="15" t="str">
        <f t="shared" si="22"/>
        <v>Electropolished SS 316L tube stock for Karwar - Sakshi Forge</v>
      </c>
      <c r="AM461" s="15" t="str">
        <f t="shared" si="23"/>
        <v>Home &gt; Market Area &gt; India &gt; Karnataka &gt; Karwar</v>
      </c>
      <c r="AN461" s="15">
        <f t="shared" si="24"/>
        <v>1000</v>
      </c>
      <c r="AO461" s="15">
        <f t="shared" si="25"/>
        <v>8</v>
      </c>
      <c r="AP461" s="15">
        <f t="shared" si="26"/>
        <v>8</v>
      </c>
      <c r="AQ461" s="15">
        <f t="shared" si="27"/>
        <v>8</v>
      </c>
      <c r="AR461" s="31"/>
      <c r="AS461" s="31"/>
      <c r="AT461" s="35" t="s">
        <v>222</v>
      </c>
      <c r="AU461" s="35"/>
    </row>
    <row r="462" ht="15.75" customHeight="1">
      <c r="A462" s="15" t="s">
        <v>3637</v>
      </c>
      <c r="B462" s="15" t="s">
        <v>60</v>
      </c>
      <c r="C462" s="15" t="s">
        <v>1687</v>
      </c>
      <c r="D462" s="15" t="s">
        <v>3638</v>
      </c>
      <c r="E462" s="15" t="s">
        <v>3638</v>
      </c>
      <c r="F462" s="65" t="s">
        <v>788</v>
      </c>
      <c r="G462" s="66" t="s">
        <v>98</v>
      </c>
      <c r="H462" s="18" t="s">
        <v>3640</v>
      </c>
      <c r="I462" s="18" t="s">
        <v>8397</v>
      </c>
      <c r="J462" s="18" t="s">
        <v>98</v>
      </c>
      <c r="K462" s="18" t="s">
        <v>98</v>
      </c>
      <c r="L462" s="18" t="s">
        <v>98</v>
      </c>
      <c r="M462" s="18" t="s">
        <v>98</v>
      </c>
      <c r="N462" s="18" t="s">
        <v>98</v>
      </c>
      <c r="O462" s="18" t="s">
        <v>98</v>
      </c>
      <c r="P462" s="15" t="str">
        <f t="shared" si="1"/>
        <v>VERIFY</v>
      </c>
      <c r="Q462" s="15">
        <f t="shared" si="2"/>
        <v>3</v>
      </c>
      <c r="R462" s="15">
        <f t="shared" si="3"/>
        <v>4</v>
      </c>
      <c r="S462" s="15">
        <f t="shared" si="4"/>
        <v>4</v>
      </c>
      <c r="T462" s="15" t="str">
        <f t="shared" si="5"/>
        <v>B-3</v>
      </c>
      <c r="U462" s="15" t="str">
        <f t="shared" si="6"/>
        <v>T3-M4-H4-FB-3-VERIFY</v>
      </c>
      <c r="V462" s="15">
        <f t="shared" si="7"/>
        <v>0</v>
      </c>
      <c r="W462" s="31"/>
      <c r="X462" s="15" t="str">
        <f t="shared" si="8"/>
        <v>kasaragod</v>
      </c>
      <c r="Y462" s="32" t="str">
        <f t="shared" si="9"/>
        <v>https://steelmanufacturer.in/market-area/electropolished-pipes-manufacturer-in-kasaragod/</v>
      </c>
      <c r="Z462" s="15" t="str">
        <f t="shared" si="10"/>
        <v>Electropolished Pipes Manufacturer in Kasaragod</v>
      </c>
      <c r="AA462" s="15" t="str">
        <f t="shared" si="11"/>
        <v>OK (47)</v>
      </c>
      <c r="AB462" s="15" t="str">
        <f t="shared" si="12"/>
        <v>Sanitary electropolished pipes in Kasaragod for VERIFY plants. ASME BPE SF1-SF4, orbital-weld ready, 3.1 MTC. Mumbai-made.</v>
      </c>
      <c r="AC462" s="15" t="str">
        <f t="shared" si="13"/>
        <v>PENDING RESEARCH</v>
      </c>
      <c r="AD462" s="15" t="str">
        <f t="shared" si="14"/>
        <v>Electropolished Pipes Manufacturer in Kasaragod</v>
      </c>
      <c r="AE462" s="15" t="str">
        <f t="shared" si="15"/>
        <v>Manufacturing Electropolished SS Tube for Kasaragod: The Standards We Build To</v>
      </c>
      <c r="AF462" s="15" t="str">
        <f t="shared" si="16"/>
        <v>Electropolished Pipe Supply Into Kasaragod - Certification &amp; Transit</v>
      </c>
      <c r="AG462" s="15" t="str">
        <f t="shared" si="17"/>
        <v>Electropolished Pipes Wholesaler in Kasaragod - Project Quantities &amp; Terms</v>
      </c>
      <c r="AH462" s="15" t="str">
        <f t="shared" si="18"/>
        <v>electropolished pipes manufacturer in Kasaragod, electropolished pipes supplier in Kasaragod, electropolished pipes wholesaler in Kasaragod, electropolished tube manufacturer Kasaragod, EP pipe supplier Kasaragod, sanitary tube supplier Kasaragod, ASME BPE tubing Kasaragod, ASTM A270 tube Kasaragod, SS 316L electropolished pipe Kasaragod</v>
      </c>
      <c r="AI462" s="15" t="str">
        <f t="shared" si="19"/>
        <v>Electropolished Pipes Manufacturer &amp; Supplier in Kasaragod</v>
      </c>
      <c r="AJ462" s="15" t="str">
        <f t="shared" si="20"/>
        <v>EP-finished SS 304/316L pipes and tubes for VERIFY plants in Kasaragod. ASME BPE SF1-SF4, Ra from 0.25 um, EN 10204 3.1 certificate with every lot.</v>
      </c>
      <c r="AK462" s="15" t="str">
        <f t="shared" si="21"/>
        <v>Electropolished stainless steel pipes supplied by Sakshi Forge to VERIFY plants at KINFRA Industrial Area, Kasaragod</v>
      </c>
      <c r="AL462" s="15" t="str">
        <f t="shared" si="22"/>
        <v>Electropolished SS 316L tube stock for Kasaragod - Sakshi Forge</v>
      </c>
      <c r="AM462" s="15" t="str">
        <f t="shared" si="23"/>
        <v>Home &gt; Market Area &gt; India &gt; Kerala &gt; Kasaragod</v>
      </c>
      <c r="AN462" s="15">
        <f t="shared" si="24"/>
        <v>1000</v>
      </c>
      <c r="AO462" s="15">
        <f t="shared" si="25"/>
        <v>8</v>
      </c>
      <c r="AP462" s="15">
        <f t="shared" si="26"/>
        <v>8</v>
      </c>
      <c r="AQ462" s="15">
        <f t="shared" si="27"/>
        <v>8</v>
      </c>
      <c r="AR462" s="31"/>
      <c r="AS462" s="31"/>
      <c r="AT462" s="35" t="s">
        <v>222</v>
      </c>
      <c r="AU462" s="35"/>
    </row>
    <row r="463" ht="15.75" customHeight="1">
      <c r="A463" s="15" t="s">
        <v>3641</v>
      </c>
      <c r="B463" s="15" t="s">
        <v>60</v>
      </c>
      <c r="C463" s="15" t="s">
        <v>1780</v>
      </c>
      <c r="D463" s="15" t="s">
        <v>3642</v>
      </c>
      <c r="E463" s="15" t="s">
        <v>3642</v>
      </c>
      <c r="F463" s="65" t="s">
        <v>788</v>
      </c>
      <c r="G463" s="66" t="s">
        <v>98</v>
      </c>
      <c r="H463" s="18" t="s">
        <v>3644</v>
      </c>
      <c r="I463" s="18" t="s">
        <v>8401</v>
      </c>
      <c r="J463" s="18" t="s">
        <v>98</v>
      </c>
      <c r="K463" s="18" t="s">
        <v>98</v>
      </c>
      <c r="L463" s="18" t="s">
        <v>98</v>
      </c>
      <c r="M463" s="18" t="s">
        <v>98</v>
      </c>
      <c r="N463" s="18" t="s">
        <v>98</v>
      </c>
      <c r="O463" s="18" t="s">
        <v>98</v>
      </c>
      <c r="P463" s="15" t="str">
        <f t="shared" si="1"/>
        <v>VERIFY</v>
      </c>
      <c r="Q463" s="15">
        <f t="shared" si="2"/>
        <v>4</v>
      </c>
      <c r="R463" s="15">
        <f t="shared" si="3"/>
        <v>5</v>
      </c>
      <c r="S463" s="15">
        <f t="shared" si="4"/>
        <v>5</v>
      </c>
      <c r="T463" s="15" t="str">
        <f t="shared" si="5"/>
        <v>B-4</v>
      </c>
      <c r="U463" s="15" t="str">
        <f t="shared" si="6"/>
        <v>T4-M5-H5-FB-4-VERIFY</v>
      </c>
      <c r="V463" s="15">
        <f t="shared" si="7"/>
        <v>0</v>
      </c>
      <c r="W463" s="31"/>
      <c r="X463" s="15" t="str">
        <f t="shared" si="8"/>
        <v>kathua</v>
      </c>
      <c r="Y463" s="32" t="str">
        <f t="shared" si="9"/>
        <v>https://steelmanufacturer.in/market-area/electropolished-pipes-manufacturer-in-kathua/</v>
      </c>
      <c r="Z463" s="15" t="str">
        <f t="shared" si="10"/>
        <v>Electropolished Pipes Manufacturer in Kathua</v>
      </c>
      <c r="AA463" s="15" t="str">
        <f t="shared" si="11"/>
        <v>OK (44)</v>
      </c>
      <c r="AB463" s="15" t="str">
        <f t="shared" si="12"/>
        <v>Manufacturer of electropolished SS 316L tube serving Kathua. VERIFY. Ra 0.25-0.5 um, EN 10204 3.1 MTC.</v>
      </c>
      <c r="AC463" s="15" t="str">
        <f t="shared" si="13"/>
        <v>PENDING RESEARCH</v>
      </c>
      <c r="AD463" s="15" t="str">
        <f t="shared" si="14"/>
        <v>Electropolished Pipes Manufacturer in Kathua</v>
      </c>
      <c r="AE463" s="15" t="str">
        <f t="shared" si="15"/>
        <v>Electropolished Tube Manufacturing Capability Serving Kathua</v>
      </c>
      <c r="AF463" s="15" t="str">
        <f t="shared" si="16"/>
        <v>Electropolished Pipes Supplier in Kathua - From Order to Delivery</v>
      </c>
      <c r="AG463" s="15" t="str">
        <f t="shared" si="17"/>
        <v>Stockist &amp; Wholesale Supply of Electropolished Pipes in Kathua</v>
      </c>
      <c r="AH463" s="15" t="str">
        <f t="shared" si="18"/>
        <v>electropolished pipes manufacturer in Kathua, electropolished pipes supplier in Kathua, electropolished pipes wholesaler in Kathua, electropolished tube manufacturer Kathua, EP pipe supplier Kathua, sanitary tube supplier Kathua, ASME BPE tubing Kathua, ASTM A270 tube Kathua, SS 316L electropolished pipe Kathua</v>
      </c>
      <c r="AI463" s="15" t="str">
        <f t="shared" si="19"/>
        <v>Electropolished Pipes Manufacturer &amp; Supplier in Kathua</v>
      </c>
      <c r="AJ463" s="15" t="str">
        <f t="shared" si="20"/>
        <v>EP-finished SS 304/316L pipes and tubes for VERIFY plants in Kathua. ASME BPE SF1-SF4, Ra from 0.25 um, EN 10204 3.1 certificate with every lot.</v>
      </c>
      <c r="AK463" s="15" t="str">
        <f t="shared" si="21"/>
        <v>Electropolished stainless steel pipes supplied by Sakshi Forge to VERIFY plants at SIDCO Industrial Area, Kathua</v>
      </c>
      <c r="AL463" s="15" t="str">
        <f t="shared" si="22"/>
        <v>Electropolished SS 316L tube stock for Kathua - Sakshi Forge</v>
      </c>
      <c r="AM463" s="15" t="str">
        <f t="shared" si="23"/>
        <v>Home &gt; Market Area &gt; India &gt; Jammu &amp; Kashmir &gt; Kathua</v>
      </c>
      <c r="AN463" s="15">
        <f t="shared" si="24"/>
        <v>1000</v>
      </c>
      <c r="AO463" s="15">
        <f t="shared" si="25"/>
        <v>8</v>
      </c>
      <c r="AP463" s="15">
        <f t="shared" si="26"/>
        <v>8</v>
      </c>
      <c r="AQ463" s="15">
        <f t="shared" si="27"/>
        <v>8</v>
      </c>
      <c r="AR463" s="31"/>
      <c r="AS463" s="31"/>
      <c r="AT463" s="35" t="s">
        <v>222</v>
      </c>
      <c r="AU463" s="35"/>
    </row>
    <row r="464" ht="15.75" customHeight="1">
      <c r="A464" s="15" t="s">
        <v>3645</v>
      </c>
      <c r="B464" s="15" t="s">
        <v>60</v>
      </c>
      <c r="C464" s="15" t="s">
        <v>1818</v>
      </c>
      <c r="D464" s="15" t="s">
        <v>3646</v>
      </c>
      <c r="E464" s="15" t="s">
        <v>3646</v>
      </c>
      <c r="F464" s="65" t="s">
        <v>788</v>
      </c>
      <c r="G464" s="66" t="s">
        <v>98</v>
      </c>
      <c r="H464" s="18" t="s">
        <v>3648</v>
      </c>
      <c r="I464" s="18" t="s">
        <v>8402</v>
      </c>
      <c r="J464" s="18" t="s">
        <v>98</v>
      </c>
      <c r="K464" s="18" t="s">
        <v>98</v>
      </c>
      <c r="L464" s="18" t="s">
        <v>98</v>
      </c>
      <c r="M464" s="18" t="s">
        <v>98</v>
      </c>
      <c r="N464" s="18" t="s">
        <v>98</v>
      </c>
      <c r="O464" s="18" t="s">
        <v>98</v>
      </c>
      <c r="P464" s="15" t="str">
        <f t="shared" si="1"/>
        <v>VERIFY</v>
      </c>
      <c r="Q464" s="15">
        <f t="shared" si="2"/>
        <v>5</v>
      </c>
      <c r="R464" s="15">
        <f t="shared" si="3"/>
        <v>6</v>
      </c>
      <c r="S464" s="15">
        <f t="shared" si="4"/>
        <v>1</v>
      </c>
      <c r="T464" s="15" t="str">
        <f t="shared" si="5"/>
        <v>B-5</v>
      </c>
      <c r="U464" s="15" t="str">
        <f t="shared" si="6"/>
        <v>T5-M6-H1-FB-5-VERIFY</v>
      </c>
      <c r="V464" s="15">
        <f t="shared" si="7"/>
        <v>0</v>
      </c>
      <c r="W464" s="31"/>
      <c r="X464" s="15" t="str">
        <f t="shared" si="8"/>
        <v>katihar</v>
      </c>
      <c r="Y464" s="32" t="str">
        <f t="shared" si="9"/>
        <v>https://steelmanufacturer.in/market-area/electropolished-pipes-manufacturer-in-katihar/</v>
      </c>
      <c r="Z464" s="15" t="str">
        <f t="shared" si="10"/>
        <v>Electropolished Pipes Manufacturer in Katihar</v>
      </c>
      <c r="AA464" s="15" t="str">
        <f t="shared" si="11"/>
        <v>OK (45)</v>
      </c>
      <c r="AB464" s="15" t="str">
        <f t="shared" si="12"/>
        <v>EP tube and pipe for VERIFY plants around BIADA Industrial Area, Katihar. Made at our Mumbai works to ASTM A270 and ASME BPE SF1-SF4, with 3.1 MTC.</v>
      </c>
      <c r="AC464" s="15" t="str">
        <f t="shared" si="13"/>
        <v>PENDING RESEARCH</v>
      </c>
      <c r="AD464" s="15" t="str">
        <f t="shared" si="14"/>
        <v>Electropolished Pipes Manufacturer in Katihar</v>
      </c>
      <c r="AE464" s="15" t="str">
        <f t="shared" si="15"/>
        <v>Electropolished Pipe &amp; Tube Manufacturing for Katihar - Grades, Finishes &amp; Certification</v>
      </c>
      <c r="AF464" s="15" t="str">
        <f t="shared" si="16"/>
        <v>Electropolished Pipes Supplier in Katihar - Stock Sizes, Lead Time &amp; Delivery</v>
      </c>
      <c r="AG464" s="15" t="str">
        <f t="shared" si="17"/>
        <v>Electropolished Pipes Wholesaler &amp; Stockist in Katihar - Bulk &amp; Project Pricing</v>
      </c>
      <c r="AH464" s="15" t="str">
        <f t="shared" si="18"/>
        <v>electropolished pipes manufacturer in Katihar, electropolished pipes supplier in Katihar, electropolished pipes wholesaler in Katihar, electropolished tube manufacturer Katihar, EP pipe supplier Katihar, sanitary tube supplier Katihar, ASME BPE tubing Katihar, ASTM A270 tube Katihar, SS 316L electropolished pipe Katihar</v>
      </c>
      <c r="AI464" s="15" t="str">
        <f t="shared" si="19"/>
        <v>Electropolished Pipes Manufacturer &amp; Supplier in Katihar</v>
      </c>
      <c r="AJ464" s="15" t="str">
        <f t="shared" si="20"/>
        <v>EP-finished SS 304/316L pipes and tubes for VERIFY plants in Katihar. ASME BPE SF1-SF4, Ra from 0.25 um, EN 10204 3.1 certificate with every lot.</v>
      </c>
      <c r="AK464" s="15" t="str">
        <f t="shared" si="21"/>
        <v>Electropolished stainless steel pipes supplied by Sakshi Forge to VERIFY plants at BIADA Industrial Area, Katihar</v>
      </c>
      <c r="AL464" s="15" t="str">
        <f t="shared" si="22"/>
        <v>Electropolished SS 316L tube stock for Katihar - Sakshi Forge</v>
      </c>
      <c r="AM464" s="15" t="str">
        <f t="shared" si="23"/>
        <v>Home &gt; Market Area &gt; India &gt; Bihar &gt; Katihar</v>
      </c>
      <c r="AN464" s="15">
        <f t="shared" si="24"/>
        <v>1000</v>
      </c>
      <c r="AO464" s="15">
        <f t="shared" si="25"/>
        <v>8</v>
      </c>
      <c r="AP464" s="15">
        <f t="shared" si="26"/>
        <v>8</v>
      </c>
      <c r="AQ464" s="15">
        <f t="shared" si="27"/>
        <v>8</v>
      </c>
      <c r="AR464" s="31"/>
      <c r="AS464" s="31"/>
      <c r="AT464" s="35" t="s">
        <v>222</v>
      </c>
      <c r="AU464" s="35"/>
    </row>
    <row r="465" ht="15.75" customHeight="1">
      <c r="A465" s="15" t="s">
        <v>3649</v>
      </c>
      <c r="B465" s="15" t="s">
        <v>60</v>
      </c>
      <c r="C465" s="15" t="s">
        <v>842</v>
      </c>
      <c r="D465" s="15" t="s">
        <v>3650</v>
      </c>
      <c r="E465" s="15" t="s">
        <v>3650</v>
      </c>
      <c r="F465" s="65" t="s">
        <v>788</v>
      </c>
      <c r="G465" s="66" t="s">
        <v>98</v>
      </c>
      <c r="H465" s="18" t="s">
        <v>3652</v>
      </c>
      <c r="I465" s="18" t="s">
        <v>8413</v>
      </c>
      <c r="J465" s="18" t="s">
        <v>98</v>
      </c>
      <c r="K465" s="18" t="s">
        <v>98</v>
      </c>
      <c r="L465" s="18" t="s">
        <v>98</v>
      </c>
      <c r="M465" s="18" t="s">
        <v>98</v>
      </c>
      <c r="N465" s="18" t="s">
        <v>98</v>
      </c>
      <c r="O465" s="18" t="s">
        <v>98</v>
      </c>
      <c r="P465" s="15" t="str">
        <f t="shared" si="1"/>
        <v>VERIFY</v>
      </c>
      <c r="Q465" s="15">
        <f t="shared" si="2"/>
        <v>6</v>
      </c>
      <c r="R465" s="15">
        <f t="shared" si="3"/>
        <v>7</v>
      </c>
      <c r="S465" s="15">
        <f t="shared" si="4"/>
        <v>2</v>
      </c>
      <c r="T465" s="15" t="str">
        <f t="shared" si="5"/>
        <v>B-6</v>
      </c>
      <c r="U465" s="15" t="str">
        <f t="shared" si="6"/>
        <v>T6-M7-H2-FB-6-VERIFY</v>
      </c>
      <c r="V465" s="15">
        <f t="shared" si="7"/>
        <v>0</v>
      </c>
      <c r="W465" s="31"/>
      <c r="X465" s="15" t="str">
        <f t="shared" si="8"/>
        <v>katni</v>
      </c>
      <c r="Y465" s="32" t="str">
        <f t="shared" si="9"/>
        <v>https://steelmanufacturer.in/market-area/electropolished-pipes-manufacturer-in-katni/</v>
      </c>
      <c r="Z465" s="15" t="str">
        <f t="shared" si="10"/>
        <v>Electropolished Pipes Manufacturer in Katni</v>
      </c>
      <c r="AA465" s="15" t="str">
        <f t="shared" si="11"/>
        <v>OK (43)</v>
      </c>
      <c r="AB465" s="15" t="str">
        <f t="shared" si="12"/>
        <v>Electropolished pipes in Katni: 304, 304L, 316 and 316L in SF1-SF4. VERIFY. Mill certified.</v>
      </c>
      <c r="AC465" s="15" t="str">
        <f t="shared" si="13"/>
        <v>PENDING RESEARCH</v>
      </c>
      <c r="AD465" s="15" t="str">
        <f t="shared" si="14"/>
        <v>Electropolished Pipes Manufacturer in Katni</v>
      </c>
      <c r="AE465" s="15" t="str">
        <f t="shared" si="15"/>
        <v>How We Manufacture Electropolished Tube for Katni Plants</v>
      </c>
      <c r="AF465" s="15" t="str">
        <f t="shared" si="16"/>
        <v>Supplying Electropolished Pipes in Katni: Availability, Sizes &amp; Dispatch</v>
      </c>
      <c r="AG465" s="15" t="str">
        <f t="shared" si="17"/>
        <v>Wholesale Electropolished Pipe Supply for Katni Projects</v>
      </c>
      <c r="AH465" s="15" t="str">
        <f t="shared" si="18"/>
        <v>electropolished pipes manufacturer in Katni, electropolished pipes supplier in Katni, electropolished pipes wholesaler in Katni, electropolished tube manufacturer Katni, EP pipe supplier Katni, sanitary tube supplier Katni, ASME BPE tubing Katni, ASTM A270 tube Katni, SS 316L electropolished pipe Katni</v>
      </c>
      <c r="AI465" s="15" t="str">
        <f t="shared" si="19"/>
        <v>Electropolished Pipes Manufacturer &amp; Supplier in Katni</v>
      </c>
      <c r="AJ465" s="15" t="str">
        <f t="shared" si="20"/>
        <v>EP-finished SS 304/316L pipes and tubes for VERIFY plants in Katni. ASME BPE SF1-SF4, Ra from 0.25 um, EN 10204 3.1 certificate with every lot.</v>
      </c>
      <c r="AK465" s="15" t="str">
        <f t="shared" si="21"/>
        <v>Electropolished stainless steel pipes supplied by Sakshi Forge to VERIFY plants at MPIDC Industrial Area, Katni</v>
      </c>
      <c r="AL465" s="15" t="str">
        <f t="shared" si="22"/>
        <v>Electropolished SS 316L tube stock for Katni - Sakshi Forge</v>
      </c>
      <c r="AM465" s="15" t="str">
        <f t="shared" si="23"/>
        <v>Home &gt; Market Area &gt; India &gt; Madhya Pradesh &gt; Katni</v>
      </c>
      <c r="AN465" s="15">
        <f t="shared" si="24"/>
        <v>1000</v>
      </c>
      <c r="AO465" s="15">
        <f t="shared" si="25"/>
        <v>8</v>
      </c>
      <c r="AP465" s="15">
        <f t="shared" si="26"/>
        <v>8</v>
      </c>
      <c r="AQ465" s="15">
        <f t="shared" si="27"/>
        <v>8</v>
      </c>
      <c r="AR465" s="31"/>
      <c r="AS465" s="31"/>
      <c r="AT465" s="35" t="s">
        <v>222</v>
      </c>
      <c r="AU465" s="35"/>
    </row>
    <row r="466" ht="15.75" customHeight="1">
      <c r="A466" s="15" t="s">
        <v>3655</v>
      </c>
      <c r="B466" s="15" t="s">
        <v>60</v>
      </c>
      <c r="C466" s="15" t="s">
        <v>424</v>
      </c>
      <c r="D466" s="15" t="s">
        <v>3656</v>
      </c>
      <c r="E466" s="15" t="s">
        <v>3656</v>
      </c>
      <c r="F466" s="65" t="s">
        <v>788</v>
      </c>
      <c r="G466" s="66" t="s">
        <v>98</v>
      </c>
      <c r="H466" s="18" t="s">
        <v>3660</v>
      </c>
      <c r="I466" s="18" t="s">
        <v>8406</v>
      </c>
      <c r="J466" s="18" t="s">
        <v>98</v>
      </c>
      <c r="K466" s="18" t="s">
        <v>98</v>
      </c>
      <c r="L466" s="18" t="s">
        <v>98</v>
      </c>
      <c r="M466" s="18" t="s">
        <v>98</v>
      </c>
      <c r="N466" s="18" t="s">
        <v>98</v>
      </c>
      <c r="O466" s="18" t="s">
        <v>98</v>
      </c>
      <c r="P466" s="15" t="str">
        <f t="shared" si="1"/>
        <v>VERIFY</v>
      </c>
      <c r="Q466" s="15">
        <f t="shared" si="2"/>
        <v>7</v>
      </c>
      <c r="R466" s="15">
        <f t="shared" si="3"/>
        <v>1</v>
      </c>
      <c r="S466" s="15">
        <f t="shared" si="4"/>
        <v>3</v>
      </c>
      <c r="T466" s="15" t="str">
        <f t="shared" si="5"/>
        <v>B-1</v>
      </c>
      <c r="U466" s="15" t="str">
        <f t="shared" si="6"/>
        <v>T7-M1-H3-FB-1-VERIFY</v>
      </c>
      <c r="V466" s="15">
        <f t="shared" si="7"/>
        <v>0</v>
      </c>
      <c r="W466" s="31"/>
      <c r="X466" s="15" t="str">
        <f t="shared" si="8"/>
        <v>kendrapara</v>
      </c>
      <c r="Y466" s="32" t="str">
        <f t="shared" si="9"/>
        <v>https://steelmanufacturer.in/market-area/electropolished-pipes-manufacturer-in-kendrapara/</v>
      </c>
      <c r="Z466" s="15" t="str">
        <f t="shared" si="10"/>
        <v>Electropolished Pipes Manufacturer in Kendrapara</v>
      </c>
      <c r="AA466" s="15" t="str">
        <f t="shared" si="11"/>
        <v>OK (48)</v>
      </c>
      <c r="AB466" s="15" t="str">
        <f t="shared" si="12"/>
        <v>EP-finished SS 304/316L pipes &amp; tubes for VERIFY plants in Kendrapara. ASTM A270, ASME BPE SF1-SF4, EN 10204 3.1 MTC. PMI tested.</v>
      </c>
      <c r="AC466" s="15" t="str">
        <f t="shared" si="13"/>
        <v>PENDING RESEARCH</v>
      </c>
      <c r="AD466" s="15" t="str">
        <f t="shared" si="14"/>
        <v>Electropolished Pipes Manufacturer in Kendrapara</v>
      </c>
      <c r="AE466" s="15" t="str">
        <f t="shared" si="15"/>
        <v>Electropolished Pipes Manufacturer in Kendrapara - Our Process &amp; Capability</v>
      </c>
      <c r="AF466" s="15" t="str">
        <f t="shared" si="16"/>
        <v>Electropolished Pipes Supplier in Kendrapara - What We Hold in Stock</v>
      </c>
      <c r="AG466" s="15" t="str">
        <f t="shared" si="17"/>
        <v>Bulk &amp; Wholesale Electropolished Pipe Rates for Kendrapara Buyers</v>
      </c>
      <c r="AH466" s="15" t="str">
        <f t="shared" si="18"/>
        <v>electropolished pipes manufacturer in Kendrapara, electropolished pipes supplier in Kendrapara, electropolished pipes wholesaler in Kendrapara, electropolished tube manufacturer Kendrapara, EP pipe supplier Kendrapara, sanitary tube supplier Kendrapara, ASME BPE tubing Kendrapara, ASTM A270 tube Kendrapara, SS 316L electropolished pipe Kendrapara</v>
      </c>
      <c r="AI466" s="15" t="str">
        <f t="shared" si="19"/>
        <v>Electropolished Pipes Manufacturer &amp; Supplier in Kendrapara</v>
      </c>
      <c r="AJ466" s="15" t="str">
        <f t="shared" si="20"/>
        <v>EP-finished SS 304/316L pipes and tubes for VERIFY plants in Kendrapara. ASME BPE SF1-SF4, Ra from 0.25 um, EN 10204 3.1 certificate with every lot.</v>
      </c>
      <c r="AK466" s="15" t="str">
        <f t="shared" si="21"/>
        <v>Electropolished stainless steel pipes supplied by Sakshi Forge to VERIFY plants at IDCO Industrial Area, Kendrapara</v>
      </c>
      <c r="AL466" s="15" t="str">
        <f t="shared" si="22"/>
        <v>Electropolished SS 316L tube stock for Kendrapara - Sakshi Forge</v>
      </c>
      <c r="AM466" s="15" t="str">
        <f t="shared" si="23"/>
        <v>Home &gt; Market Area &gt; India &gt; Odisha &gt; Kendrapara</v>
      </c>
      <c r="AN466" s="15">
        <f t="shared" si="24"/>
        <v>1000</v>
      </c>
      <c r="AO466" s="15">
        <f t="shared" si="25"/>
        <v>8</v>
      </c>
      <c r="AP466" s="15">
        <f t="shared" si="26"/>
        <v>8</v>
      </c>
      <c r="AQ466" s="15">
        <f t="shared" si="27"/>
        <v>8</v>
      </c>
      <c r="AR466" s="31"/>
      <c r="AS466" s="31"/>
      <c r="AT466" s="35" t="s">
        <v>222</v>
      </c>
      <c r="AU466" s="35"/>
    </row>
    <row r="467" ht="15.75" customHeight="1">
      <c r="A467" s="15" t="s">
        <v>3665</v>
      </c>
      <c r="B467" s="15" t="s">
        <v>60</v>
      </c>
      <c r="C467" s="15" t="s">
        <v>424</v>
      </c>
      <c r="D467" s="15" t="s">
        <v>3666</v>
      </c>
      <c r="E467" s="15" t="s">
        <v>3666</v>
      </c>
      <c r="F467" s="65" t="s">
        <v>788</v>
      </c>
      <c r="G467" s="66" t="s">
        <v>98</v>
      </c>
      <c r="H467" s="18" t="s">
        <v>3668</v>
      </c>
      <c r="I467" s="18" t="s">
        <v>8406</v>
      </c>
      <c r="J467" s="18" t="s">
        <v>98</v>
      </c>
      <c r="K467" s="18" t="s">
        <v>98</v>
      </c>
      <c r="L467" s="18" t="s">
        <v>98</v>
      </c>
      <c r="M467" s="18" t="s">
        <v>98</v>
      </c>
      <c r="N467" s="18" t="s">
        <v>98</v>
      </c>
      <c r="O467" s="18" t="s">
        <v>98</v>
      </c>
      <c r="P467" s="15" t="str">
        <f t="shared" si="1"/>
        <v>VERIFY</v>
      </c>
      <c r="Q467" s="15">
        <f t="shared" si="2"/>
        <v>8</v>
      </c>
      <c r="R467" s="15">
        <f t="shared" si="3"/>
        <v>2</v>
      </c>
      <c r="S467" s="15">
        <f t="shared" si="4"/>
        <v>4</v>
      </c>
      <c r="T467" s="15" t="str">
        <f t="shared" si="5"/>
        <v>B-2</v>
      </c>
      <c r="U467" s="15" t="str">
        <f t="shared" si="6"/>
        <v>T8-M2-H4-FB-2-VERIFY</v>
      </c>
      <c r="V467" s="15">
        <f t="shared" si="7"/>
        <v>0</v>
      </c>
      <c r="W467" s="31"/>
      <c r="X467" s="15" t="str">
        <f t="shared" si="8"/>
        <v>keonjhar</v>
      </c>
      <c r="Y467" s="32" t="str">
        <f t="shared" si="9"/>
        <v>https://steelmanufacturer.in/market-area/electropolished-pipes-manufacturer-in-keonjhar/</v>
      </c>
      <c r="Z467" s="15" t="str">
        <f t="shared" si="10"/>
        <v>Electropolished Pipes Manufacturer in Keonjhar - EP Tube Stockist</v>
      </c>
      <c r="AA467" s="15" t="str">
        <f t="shared" si="11"/>
        <v>OK (65)</v>
      </c>
      <c r="AB467" s="15" t="str">
        <f t="shared" si="12"/>
        <v>Electropolished tube supply to IDCO Industrial Area, Keonjhar. Ra from 0.25 um, SF4 finish, mill test certificate with every lot.</v>
      </c>
      <c r="AC467" s="15" t="str">
        <f t="shared" si="13"/>
        <v>PENDING RESEARCH</v>
      </c>
      <c r="AD467" s="15" t="str">
        <f t="shared" si="14"/>
        <v>Electropolished Pipes Manufacturer in Keonjhar</v>
      </c>
      <c r="AE467" s="15" t="str">
        <f t="shared" si="15"/>
        <v>Manufacturing Electropolished SS Tube for Keonjhar: The Standards We Build To</v>
      </c>
      <c r="AF467" s="15" t="str">
        <f t="shared" si="16"/>
        <v>Electropolished Pipe Supply Into Keonjhar - Certification &amp; Transit</v>
      </c>
      <c r="AG467" s="15" t="str">
        <f t="shared" si="17"/>
        <v>Electropolished Pipes Wholesaler in Keonjhar - Project Quantities &amp; Terms</v>
      </c>
      <c r="AH467" s="15" t="str">
        <f t="shared" si="18"/>
        <v>electropolished pipes manufacturer in Keonjhar, electropolished pipes supplier in Keonjhar, electropolished pipes wholesaler in Keonjhar, electropolished tube manufacturer Keonjhar, EP pipe supplier Keonjhar, sanitary tube supplier Keonjhar, ASME BPE tubing Keonjhar, ASTM A270 tube Keonjhar, SS 316L electropolished pipe Keonjhar</v>
      </c>
      <c r="AI467" s="15" t="str">
        <f t="shared" si="19"/>
        <v>Electropolished Pipes Manufacturer &amp; Supplier in Keonjhar</v>
      </c>
      <c r="AJ467" s="15" t="str">
        <f t="shared" si="20"/>
        <v>EP-finished SS 304/316L pipes and tubes for VERIFY plants in Keonjhar. ASME BPE SF1-SF4, Ra from 0.25 um, EN 10204 3.1 certificate with every lot.</v>
      </c>
      <c r="AK467" s="15" t="str">
        <f t="shared" si="21"/>
        <v>Electropolished stainless steel pipes supplied by Sakshi Forge to VERIFY plants at IDCO Industrial Area, Keonjhar</v>
      </c>
      <c r="AL467" s="15" t="str">
        <f t="shared" si="22"/>
        <v>Electropolished SS 316L tube stock for Keonjhar - Sakshi Forge</v>
      </c>
      <c r="AM467" s="15" t="str">
        <f t="shared" si="23"/>
        <v>Home &gt; Market Area &gt; India &gt; Odisha &gt; Keonjhar</v>
      </c>
      <c r="AN467" s="15">
        <f t="shared" si="24"/>
        <v>1000</v>
      </c>
      <c r="AO467" s="15">
        <f t="shared" si="25"/>
        <v>8</v>
      </c>
      <c r="AP467" s="15">
        <f t="shared" si="26"/>
        <v>8</v>
      </c>
      <c r="AQ467" s="15">
        <f t="shared" si="27"/>
        <v>8</v>
      </c>
      <c r="AR467" s="31"/>
      <c r="AS467" s="31"/>
      <c r="AT467" s="35" t="s">
        <v>222</v>
      </c>
      <c r="AU467" s="35"/>
    </row>
    <row r="468" ht="15.75" customHeight="1">
      <c r="A468" s="15" t="s">
        <v>3669</v>
      </c>
      <c r="B468" s="15" t="s">
        <v>60</v>
      </c>
      <c r="C468" s="15" t="s">
        <v>1312</v>
      </c>
      <c r="D468" s="15" t="s">
        <v>3670</v>
      </c>
      <c r="E468" s="15" t="s">
        <v>3670</v>
      </c>
      <c r="F468" s="65" t="s">
        <v>788</v>
      </c>
      <c r="G468" s="66" t="s">
        <v>98</v>
      </c>
      <c r="H468" s="18" t="s">
        <v>3672</v>
      </c>
      <c r="I468" s="18" t="s">
        <v>8392</v>
      </c>
      <c r="J468" s="18" t="s">
        <v>98</v>
      </c>
      <c r="K468" s="18" t="s">
        <v>98</v>
      </c>
      <c r="L468" s="18" t="s">
        <v>98</v>
      </c>
      <c r="M468" s="18" t="s">
        <v>98</v>
      </c>
      <c r="N468" s="18" t="s">
        <v>98</v>
      </c>
      <c r="O468" s="18" t="s">
        <v>98</v>
      </c>
      <c r="P468" s="15" t="str">
        <f t="shared" si="1"/>
        <v>VERIFY</v>
      </c>
      <c r="Q468" s="15">
        <f t="shared" si="2"/>
        <v>1</v>
      </c>
      <c r="R468" s="15">
        <f t="shared" si="3"/>
        <v>3</v>
      </c>
      <c r="S468" s="15">
        <f t="shared" si="4"/>
        <v>5</v>
      </c>
      <c r="T468" s="15" t="str">
        <f t="shared" si="5"/>
        <v>B-3</v>
      </c>
      <c r="U468" s="15" t="str">
        <f t="shared" si="6"/>
        <v>T1-M3-H5-FB-3-VERIFY</v>
      </c>
      <c r="V468" s="15">
        <f t="shared" si="7"/>
        <v>0</v>
      </c>
      <c r="W468" s="31"/>
      <c r="X468" s="15" t="str">
        <f t="shared" si="8"/>
        <v>khammam</v>
      </c>
      <c r="Y468" s="32" t="str">
        <f t="shared" si="9"/>
        <v>https://steelmanufacturer.in/market-area/electropolished-pipes-manufacturer-in-khammam/</v>
      </c>
      <c r="Z468" s="15" t="str">
        <f t="shared" si="10"/>
        <v>Electropolished Pipes Manufacturer in Khammam | Sakshi Forge</v>
      </c>
      <c r="AA468" s="15" t="str">
        <f t="shared" si="11"/>
        <v>OK (60)</v>
      </c>
      <c r="AB468" s="15" t="str">
        <f t="shared" si="12"/>
        <v>EP stainless tube for VERIFY lines in Khammam. VERIFY. ASTM A270 S2, PMI tested, EN 10204 3.1.</v>
      </c>
      <c r="AC468" s="15" t="str">
        <f t="shared" si="13"/>
        <v>PENDING RESEARCH</v>
      </c>
      <c r="AD468" s="15" t="str">
        <f t="shared" si="14"/>
        <v>Electropolished Pipes Manufacturer in Khammam</v>
      </c>
      <c r="AE468" s="15" t="str">
        <f t="shared" si="15"/>
        <v>Electropolished Tube Manufacturing Capability Serving Khammam</v>
      </c>
      <c r="AF468" s="15" t="str">
        <f t="shared" si="16"/>
        <v>Electropolished Pipes Supplier in Khammam - From Order to Delivery</v>
      </c>
      <c r="AG468" s="15" t="str">
        <f t="shared" si="17"/>
        <v>Stockist &amp; Wholesale Supply of Electropolished Pipes in Khammam</v>
      </c>
      <c r="AH468" s="15" t="str">
        <f t="shared" si="18"/>
        <v>electropolished pipes manufacturer in Khammam, electropolished pipes supplier in Khammam, electropolished pipes wholesaler in Khammam, electropolished tube manufacturer Khammam, EP pipe supplier Khammam, sanitary tube supplier Khammam, ASME BPE tubing Khammam, ASTM A270 tube Khammam, SS 316L electropolished pipe Khammam</v>
      </c>
      <c r="AI468" s="15" t="str">
        <f t="shared" si="19"/>
        <v>Electropolished Pipes Manufacturer &amp; Supplier in Khammam</v>
      </c>
      <c r="AJ468" s="15" t="str">
        <f t="shared" si="20"/>
        <v>EP-finished SS 304/316L pipes and tubes for VERIFY plants in Khammam. ASME BPE SF1-SF4, Ra from 0.25 um, EN 10204 3.1 certificate with every lot.</v>
      </c>
      <c r="AK468" s="15" t="str">
        <f t="shared" si="21"/>
        <v>Electropolished stainless steel pipes supplied by Sakshi Forge to VERIFY plants at TSIIC Industrial Area, Khammam</v>
      </c>
      <c r="AL468" s="15" t="str">
        <f t="shared" si="22"/>
        <v>Electropolished SS 316L tube stock for Khammam - Sakshi Forge</v>
      </c>
      <c r="AM468" s="15" t="str">
        <f t="shared" si="23"/>
        <v>Home &gt; Market Area &gt; India &gt; Telangana &gt; Khammam</v>
      </c>
      <c r="AN468" s="15">
        <f t="shared" si="24"/>
        <v>1000</v>
      </c>
      <c r="AO468" s="15">
        <f t="shared" si="25"/>
        <v>8</v>
      </c>
      <c r="AP468" s="15">
        <f t="shared" si="26"/>
        <v>8</v>
      </c>
      <c r="AQ468" s="15">
        <f t="shared" si="27"/>
        <v>8</v>
      </c>
      <c r="AR468" s="31"/>
      <c r="AS468" s="31"/>
      <c r="AT468" s="35" t="s">
        <v>222</v>
      </c>
      <c r="AU468" s="35"/>
    </row>
    <row r="469" ht="15.75" customHeight="1">
      <c r="A469" s="15" t="s">
        <v>3674</v>
      </c>
      <c r="B469" s="15" t="s">
        <v>60</v>
      </c>
      <c r="C469" s="15" t="s">
        <v>842</v>
      </c>
      <c r="D469" s="15" t="s">
        <v>3676</v>
      </c>
      <c r="E469" s="15" t="s">
        <v>3676</v>
      </c>
      <c r="F469" s="65" t="s">
        <v>788</v>
      </c>
      <c r="G469" s="66" t="s">
        <v>98</v>
      </c>
      <c r="H469" s="18" t="s">
        <v>3678</v>
      </c>
      <c r="I469" s="18" t="s">
        <v>8413</v>
      </c>
      <c r="J469" s="18" t="s">
        <v>98</v>
      </c>
      <c r="K469" s="18" t="s">
        <v>98</v>
      </c>
      <c r="L469" s="18" t="s">
        <v>98</v>
      </c>
      <c r="M469" s="18" t="s">
        <v>98</v>
      </c>
      <c r="N469" s="18" t="s">
        <v>98</v>
      </c>
      <c r="O469" s="18" t="s">
        <v>98</v>
      </c>
      <c r="P469" s="15" t="str">
        <f t="shared" si="1"/>
        <v>VERIFY</v>
      </c>
      <c r="Q469" s="15">
        <f t="shared" si="2"/>
        <v>2</v>
      </c>
      <c r="R469" s="15">
        <f t="shared" si="3"/>
        <v>4</v>
      </c>
      <c r="S469" s="15">
        <f t="shared" si="4"/>
        <v>1</v>
      </c>
      <c r="T469" s="15" t="str">
        <f t="shared" si="5"/>
        <v>B-4</v>
      </c>
      <c r="U469" s="15" t="str">
        <f t="shared" si="6"/>
        <v>T2-M4-H1-FB-4-VERIFY</v>
      </c>
      <c r="V469" s="15">
        <f t="shared" si="7"/>
        <v>0</v>
      </c>
      <c r="W469" s="31"/>
      <c r="X469" s="15" t="str">
        <f t="shared" si="8"/>
        <v>khandwa</v>
      </c>
      <c r="Y469" s="32" t="str">
        <f t="shared" si="9"/>
        <v>https://steelmanufacturer.in/market-area/electropolished-pipes-manufacturer-in-khandwa/</v>
      </c>
      <c r="Z469" s="15" t="str">
        <f t="shared" si="10"/>
        <v>Electropolished Pipes Manufacturer in Khandwa</v>
      </c>
      <c r="AA469" s="15" t="str">
        <f t="shared" si="11"/>
        <v>OK (45)</v>
      </c>
      <c r="AB469" s="15" t="str">
        <f t="shared" si="12"/>
        <v>Sanitary electropolished pipes in Khandwa for VERIFY plants. ASME BPE SF1-SF4, orbital-weld ready, 3.1 MTC. Mumbai-made.</v>
      </c>
      <c r="AC469" s="15" t="str">
        <f t="shared" si="13"/>
        <v>PENDING RESEARCH</v>
      </c>
      <c r="AD469" s="15" t="str">
        <f t="shared" si="14"/>
        <v>Electropolished Pipes Manufacturer in Khandwa</v>
      </c>
      <c r="AE469" s="15" t="str">
        <f t="shared" si="15"/>
        <v>Electropolished Pipe &amp; Tube Manufacturing for Khandwa - Grades, Finishes &amp; Certification</v>
      </c>
      <c r="AF469" s="15" t="str">
        <f t="shared" si="16"/>
        <v>Electropolished Pipes Supplier in Khandwa - Stock Sizes, Lead Time &amp; Delivery</v>
      </c>
      <c r="AG469" s="15" t="str">
        <f t="shared" si="17"/>
        <v>Electropolished Pipes Wholesaler &amp; Stockist in Khandwa - Bulk &amp; Project Pricing</v>
      </c>
      <c r="AH469" s="15" t="str">
        <f t="shared" si="18"/>
        <v>electropolished pipes manufacturer in Khandwa, electropolished pipes supplier in Khandwa, electropolished pipes wholesaler in Khandwa, electropolished tube manufacturer Khandwa, EP pipe supplier Khandwa, sanitary tube supplier Khandwa, ASME BPE tubing Khandwa, ASTM A270 tube Khandwa, SS 316L electropolished pipe Khandwa</v>
      </c>
      <c r="AI469" s="15" t="str">
        <f t="shared" si="19"/>
        <v>Electropolished Pipes Manufacturer &amp; Supplier in Khandwa</v>
      </c>
      <c r="AJ469" s="15" t="str">
        <f t="shared" si="20"/>
        <v>EP-finished SS 304/316L pipes and tubes for VERIFY plants in Khandwa. ASME BPE SF1-SF4, Ra from 0.25 um, EN 10204 3.1 certificate with every lot.</v>
      </c>
      <c r="AK469" s="15" t="str">
        <f t="shared" si="21"/>
        <v>Electropolished stainless steel pipes supplied by Sakshi Forge to VERIFY plants at MPIDC Industrial Area, Khandwa</v>
      </c>
      <c r="AL469" s="15" t="str">
        <f t="shared" si="22"/>
        <v>Electropolished SS 316L tube stock for Khandwa - Sakshi Forge</v>
      </c>
      <c r="AM469" s="15" t="str">
        <f t="shared" si="23"/>
        <v>Home &gt; Market Area &gt; India &gt; Madhya Pradesh &gt; Khandwa</v>
      </c>
      <c r="AN469" s="15">
        <f t="shared" si="24"/>
        <v>1000</v>
      </c>
      <c r="AO469" s="15">
        <f t="shared" si="25"/>
        <v>8</v>
      </c>
      <c r="AP469" s="15">
        <f t="shared" si="26"/>
        <v>8</v>
      </c>
      <c r="AQ469" s="15">
        <f t="shared" si="27"/>
        <v>8</v>
      </c>
      <c r="AR469" s="31"/>
      <c r="AS469" s="31"/>
      <c r="AT469" s="35" t="s">
        <v>222</v>
      </c>
      <c r="AU469" s="35"/>
    </row>
    <row r="470" ht="15.75" customHeight="1">
      <c r="A470" s="15" t="s">
        <v>3679</v>
      </c>
      <c r="B470" s="15" t="s">
        <v>60</v>
      </c>
      <c r="C470" s="15" t="s">
        <v>354</v>
      </c>
      <c r="D470" s="15" t="s">
        <v>3680</v>
      </c>
      <c r="E470" s="15" t="s">
        <v>3680</v>
      </c>
      <c r="F470" s="65" t="s">
        <v>788</v>
      </c>
      <c r="G470" s="66" t="s">
        <v>98</v>
      </c>
      <c r="H470" s="18" t="s">
        <v>3682</v>
      </c>
      <c r="I470" s="18" t="s">
        <v>8408</v>
      </c>
      <c r="J470" s="18" t="s">
        <v>98</v>
      </c>
      <c r="K470" s="18" t="s">
        <v>98</v>
      </c>
      <c r="L470" s="18" t="s">
        <v>98</v>
      </c>
      <c r="M470" s="18" t="s">
        <v>98</v>
      </c>
      <c r="N470" s="18" t="s">
        <v>98</v>
      </c>
      <c r="O470" s="18" t="s">
        <v>98</v>
      </c>
      <c r="P470" s="15" t="str">
        <f t="shared" si="1"/>
        <v>VERIFY</v>
      </c>
      <c r="Q470" s="15">
        <f t="shared" si="2"/>
        <v>3</v>
      </c>
      <c r="R470" s="15">
        <f t="shared" si="3"/>
        <v>5</v>
      </c>
      <c r="S470" s="15">
        <f t="shared" si="4"/>
        <v>2</v>
      </c>
      <c r="T470" s="15" t="str">
        <f t="shared" si="5"/>
        <v>B-5</v>
      </c>
      <c r="U470" s="15" t="str">
        <f t="shared" si="6"/>
        <v>T3-M5-H2-FB-5-VERIFY</v>
      </c>
      <c r="V470" s="15">
        <f t="shared" si="7"/>
        <v>0</v>
      </c>
      <c r="W470" s="31"/>
      <c r="X470" s="15" t="str">
        <f t="shared" si="8"/>
        <v>khanna</v>
      </c>
      <c r="Y470" s="32" t="str">
        <f t="shared" si="9"/>
        <v>https://steelmanufacturer.in/market-area/electropolished-pipes-manufacturer-in-khanna/</v>
      </c>
      <c r="Z470" s="15" t="str">
        <f t="shared" si="10"/>
        <v>Electropolished Pipes Manufacturer in Khanna | EP Tube Supplier</v>
      </c>
      <c r="AA470" s="15" t="str">
        <f t="shared" si="11"/>
        <v>OK (63)</v>
      </c>
      <c r="AB470" s="15" t="str">
        <f t="shared" si="12"/>
        <v>Manufacturer of electropolished SS 316L tube serving Khanna. VERIFY. Ra 0.25-0.5 um, EN 10204 3.1 MTC.</v>
      </c>
      <c r="AC470" s="15" t="str">
        <f t="shared" si="13"/>
        <v>PENDING RESEARCH</v>
      </c>
      <c r="AD470" s="15" t="str">
        <f t="shared" si="14"/>
        <v>Electropolished Pipes Manufacturer in Khanna</v>
      </c>
      <c r="AE470" s="15" t="str">
        <f t="shared" si="15"/>
        <v>How We Manufacture Electropolished Tube for Khanna Plants</v>
      </c>
      <c r="AF470" s="15" t="str">
        <f t="shared" si="16"/>
        <v>Supplying Electropolished Pipes in Khanna: Availability, Sizes &amp; Dispatch</v>
      </c>
      <c r="AG470" s="15" t="str">
        <f t="shared" si="17"/>
        <v>Wholesale Electropolished Pipe Supply for Khanna Projects</v>
      </c>
      <c r="AH470" s="15" t="str">
        <f t="shared" si="18"/>
        <v>electropolished pipes manufacturer in Khanna, electropolished pipes supplier in Khanna, electropolished pipes wholesaler in Khanna, electropolished tube manufacturer Khanna, EP pipe supplier Khanna, sanitary tube supplier Khanna, ASME BPE tubing Khanna, ASTM A270 tube Khanna, SS 316L electropolished pipe Khanna</v>
      </c>
      <c r="AI470" s="15" t="str">
        <f t="shared" si="19"/>
        <v>Electropolished Pipes Manufacturer &amp; Supplier in Khanna</v>
      </c>
      <c r="AJ470" s="15" t="str">
        <f t="shared" si="20"/>
        <v>EP-finished SS 304/316L pipes and tubes for VERIFY plants in Khanna. ASME BPE SF1-SF4, Ra from 0.25 um, EN 10204 3.1 certificate with every lot.</v>
      </c>
      <c r="AK470" s="15" t="str">
        <f t="shared" si="21"/>
        <v>Electropolished stainless steel pipes supplied by Sakshi Forge to VERIFY plants at PSIEC Industrial Area, Khanna</v>
      </c>
      <c r="AL470" s="15" t="str">
        <f t="shared" si="22"/>
        <v>Electropolished SS 316L tube stock for Khanna - Sakshi Forge</v>
      </c>
      <c r="AM470" s="15" t="str">
        <f t="shared" si="23"/>
        <v>Home &gt; Market Area &gt; India &gt; Punjab &gt; Khanna</v>
      </c>
      <c r="AN470" s="15">
        <f t="shared" si="24"/>
        <v>1000</v>
      </c>
      <c r="AO470" s="15">
        <f t="shared" si="25"/>
        <v>8</v>
      </c>
      <c r="AP470" s="15">
        <f t="shared" si="26"/>
        <v>8</v>
      </c>
      <c r="AQ470" s="15">
        <f t="shared" si="27"/>
        <v>8</v>
      </c>
      <c r="AR470" s="31"/>
      <c r="AS470" s="31"/>
      <c r="AT470" s="35" t="s">
        <v>222</v>
      </c>
      <c r="AU470" s="35"/>
    </row>
    <row r="471" ht="15.75" customHeight="1">
      <c r="A471" s="15" t="s">
        <v>3683</v>
      </c>
      <c r="B471" s="15" t="s">
        <v>60</v>
      </c>
      <c r="C471" s="15" t="s">
        <v>1165</v>
      </c>
      <c r="D471" s="15" t="s">
        <v>3684</v>
      </c>
      <c r="E471" s="15" t="s">
        <v>3684</v>
      </c>
      <c r="F471" s="65" t="s">
        <v>788</v>
      </c>
      <c r="G471" s="66" t="s">
        <v>98</v>
      </c>
      <c r="H471" s="18" t="s">
        <v>3686</v>
      </c>
      <c r="I471" s="18" t="s">
        <v>8404</v>
      </c>
      <c r="J471" s="18" t="s">
        <v>98</v>
      </c>
      <c r="K471" s="18" t="s">
        <v>98</v>
      </c>
      <c r="L471" s="18" t="s">
        <v>98</v>
      </c>
      <c r="M471" s="18" t="s">
        <v>98</v>
      </c>
      <c r="N471" s="18" t="s">
        <v>98</v>
      </c>
      <c r="O471" s="18" t="s">
        <v>98</v>
      </c>
      <c r="P471" s="15" t="str">
        <f t="shared" si="1"/>
        <v>VERIFY</v>
      </c>
      <c r="Q471" s="15">
        <f t="shared" si="2"/>
        <v>4</v>
      </c>
      <c r="R471" s="15">
        <f t="shared" si="3"/>
        <v>6</v>
      </c>
      <c r="S471" s="15">
        <f t="shared" si="4"/>
        <v>3</v>
      </c>
      <c r="T471" s="15" t="str">
        <f t="shared" si="5"/>
        <v>B-6</v>
      </c>
      <c r="U471" s="15" t="str">
        <f t="shared" si="6"/>
        <v>T4-M6-H3-FB-6-VERIFY</v>
      </c>
      <c r="V471" s="15">
        <f t="shared" si="7"/>
        <v>0</v>
      </c>
      <c r="W471" s="31"/>
      <c r="X471" s="15" t="str">
        <f t="shared" si="8"/>
        <v>kharagpur</v>
      </c>
      <c r="Y471" s="32" t="str">
        <f t="shared" si="9"/>
        <v>https://steelmanufacturer.in/market-area/electropolished-pipes-manufacturer-in-kharagpur/</v>
      </c>
      <c r="Z471" s="15" t="str">
        <f t="shared" si="10"/>
        <v>Electropolished Pipes Manufacturer in Kharagpur</v>
      </c>
      <c r="AA471" s="15" t="str">
        <f t="shared" si="11"/>
        <v>OK (47)</v>
      </c>
      <c r="AB471" s="15" t="str">
        <f t="shared" si="12"/>
        <v>EP tube and pipe for VERIFY plants around WBIDC Industrial Area, Kharagpur. Made at our Mumbai works to ASTM A270 and ASME BPE SF1-SF4, with 3.1 MTC.</v>
      </c>
      <c r="AC471" s="15" t="str">
        <f t="shared" si="13"/>
        <v>PENDING RESEARCH</v>
      </c>
      <c r="AD471" s="15" t="str">
        <f t="shared" si="14"/>
        <v>Electropolished Pipes Manufacturer in Kharagpur</v>
      </c>
      <c r="AE471" s="15" t="str">
        <f t="shared" si="15"/>
        <v>Electropolished Pipes Manufacturer in Kharagpur - Our Process &amp; Capability</v>
      </c>
      <c r="AF471" s="15" t="str">
        <f t="shared" si="16"/>
        <v>Electropolished Pipes Supplier in Kharagpur - What We Hold in Stock</v>
      </c>
      <c r="AG471" s="15" t="str">
        <f t="shared" si="17"/>
        <v>Bulk &amp; Wholesale Electropolished Pipe Rates for Kharagpur Buyers</v>
      </c>
      <c r="AH471" s="15" t="str">
        <f t="shared" si="18"/>
        <v>electropolished pipes manufacturer in Kharagpur, electropolished pipes supplier in Kharagpur, electropolished pipes wholesaler in Kharagpur, electropolished tube manufacturer Kharagpur, EP pipe supplier Kharagpur, sanitary tube supplier Kharagpur, ASME BPE tubing Kharagpur, ASTM A270 tube Kharagpur, SS 316L electropolished pipe Kharagpur</v>
      </c>
      <c r="AI471" s="15" t="str">
        <f t="shared" si="19"/>
        <v>Electropolished Pipes Manufacturer &amp; Supplier in Kharagpur</v>
      </c>
      <c r="AJ471" s="15" t="str">
        <f t="shared" si="20"/>
        <v>EP-finished SS 304/316L pipes and tubes for VERIFY plants in Kharagpur. ASME BPE SF1-SF4, Ra from 0.25 um, EN 10204 3.1 certificate with every lot.</v>
      </c>
      <c r="AK471" s="15" t="str">
        <f t="shared" si="21"/>
        <v>Electropolished stainless steel pipes supplied by Sakshi Forge to VERIFY plants at WBIDC Industrial Area, Kharagpur</v>
      </c>
      <c r="AL471" s="15" t="str">
        <f t="shared" si="22"/>
        <v>Electropolished SS 316L tube stock for Kharagpur - Sakshi Forge</v>
      </c>
      <c r="AM471" s="15" t="str">
        <f t="shared" si="23"/>
        <v>Home &gt; Market Area &gt; India &gt; West Bengal &gt; Kharagpur</v>
      </c>
      <c r="AN471" s="15">
        <f t="shared" si="24"/>
        <v>1000</v>
      </c>
      <c r="AO471" s="15">
        <f t="shared" si="25"/>
        <v>8</v>
      </c>
      <c r="AP471" s="15">
        <f t="shared" si="26"/>
        <v>8</v>
      </c>
      <c r="AQ471" s="15">
        <f t="shared" si="27"/>
        <v>8</v>
      </c>
      <c r="AR471" s="31"/>
      <c r="AS471" s="31"/>
      <c r="AT471" s="35" t="s">
        <v>222</v>
      </c>
      <c r="AU471" s="35"/>
    </row>
    <row r="472" ht="15.75" customHeight="1">
      <c r="A472" s="15" t="s">
        <v>3688</v>
      </c>
      <c r="B472" s="15" t="s">
        <v>60</v>
      </c>
      <c r="C472" s="15" t="s">
        <v>264</v>
      </c>
      <c r="D472" s="15" t="s">
        <v>3690</v>
      </c>
      <c r="E472" s="15" t="s">
        <v>3690</v>
      </c>
      <c r="F472" s="65" t="s">
        <v>788</v>
      </c>
      <c r="G472" s="66" t="s">
        <v>98</v>
      </c>
      <c r="H472" s="18" t="s">
        <v>3695</v>
      </c>
      <c r="I472" s="18" t="s">
        <v>8395</v>
      </c>
      <c r="J472" s="18" t="s">
        <v>98</v>
      </c>
      <c r="K472" s="18" t="s">
        <v>98</v>
      </c>
      <c r="L472" s="18" t="s">
        <v>98</v>
      </c>
      <c r="M472" s="18" t="s">
        <v>98</v>
      </c>
      <c r="N472" s="18" t="s">
        <v>98</v>
      </c>
      <c r="O472" s="18" t="s">
        <v>98</v>
      </c>
      <c r="P472" s="15" t="str">
        <f t="shared" si="1"/>
        <v>VERIFY</v>
      </c>
      <c r="Q472" s="15">
        <f t="shared" si="2"/>
        <v>5</v>
      </c>
      <c r="R472" s="15">
        <f t="shared" si="3"/>
        <v>7</v>
      </c>
      <c r="S472" s="15">
        <f t="shared" si="4"/>
        <v>4</v>
      </c>
      <c r="T472" s="15" t="str">
        <f t="shared" si="5"/>
        <v>B-1</v>
      </c>
      <c r="U472" s="15" t="str">
        <f t="shared" si="6"/>
        <v>T5-M7-H4-FB-1-VERIFY</v>
      </c>
      <c r="V472" s="15">
        <f t="shared" si="7"/>
        <v>0</v>
      </c>
      <c r="W472" s="31"/>
      <c r="X472" s="15" t="str">
        <f t="shared" si="8"/>
        <v>khopoli</v>
      </c>
      <c r="Y472" s="32" t="str">
        <f t="shared" si="9"/>
        <v>https://steelmanufacturer.in/market-area/electropolished-pipes-manufacturer-in-khopoli/</v>
      </c>
      <c r="Z472" s="15" t="str">
        <f t="shared" si="10"/>
        <v>Electropolished Pipes Manufacturer in Khopoli</v>
      </c>
      <c r="AA472" s="15" t="str">
        <f t="shared" si="11"/>
        <v>OK (45)</v>
      </c>
      <c r="AB472" s="15" t="str">
        <f t="shared" si="12"/>
        <v>Electropolished pipes in Khopoli: 304, 304L, 316 and 316L in SF1-SF4. VERIFY. Mill certified.</v>
      </c>
      <c r="AC472" s="15" t="str">
        <f t="shared" si="13"/>
        <v>PENDING RESEARCH</v>
      </c>
      <c r="AD472" s="15" t="str">
        <f t="shared" si="14"/>
        <v>Electropolished Pipes Manufacturer in Khopoli</v>
      </c>
      <c r="AE472" s="15" t="str">
        <f t="shared" si="15"/>
        <v>Manufacturing Electropolished SS Tube for Khopoli: The Standards We Build To</v>
      </c>
      <c r="AF472" s="15" t="str">
        <f t="shared" si="16"/>
        <v>Electropolished Pipe Supply Into Khopoli - Certification &amp; Transit</v>
      </c>
      <c r="AG472" s="15" t="str">
        <f t="shared" si="17"/>
        <v>Electropolished Pipes Wholesaler in Khopoli - Project Quantities &amp; Terms</v>
      </c>
      <c r="AH472" s="15" t="str">
        <f t="shared" si="18"/>
        <v>electropolished pipes manufacturer in Khopoli, electropolished pipes supplier in Khopoli, electropolished pipes wholesaler in Khopoli, electropolished tube manufacturer Khopoli, EP pipe supplier Khopoli, sanitary tube supplier Khopoli, ASME BPE tubing Khopoli, ASTM A270 tube Khopoli, SS 316L electropolished pipe Khopoli</v>
      </c>
      <c r="AI472" s="15" t="str">
        <f t="shared" si="19"/>
        <v>Electropolished Pipes Manufacturer &amp; Supplier in Khopoli</v>
      </c>
      <c r="AJ472" s="15" t="str">
        <f t="shared" si="20"/>
        <v>EP-finished SS 304/316L pipes and tubes for VERIFY plants in Khopoli. ASME BPE SF1-SF4, Ra from 0.25 um, EN 10204 3.1 certificate with every lot.</v>
      </c>
      <c r="AK472" s="15" t="str">
        <f t="shared" si="21"/>
        <v>Electropolished stainless steel pipes supplied by Sakshi Forge to VERIFY plants at MIDC Industrial Area, Khopoli</v>
      </c>
      <c r="AL472" s="15" t="str">
        <f t="shared" si="22"/>
        <v>Electropolished SS 316L tube stock for Khopoli - Sakshi Forge</v>
      </c>
      <c r="AM472" s="15" t="str">
        <f t="shared" si="23"/>
        <v>Home &gt; Market Area &gt; India &gt; Maharashtra &gt; Khopoli</v>
      </c>
      <c r="AN472" s="15">
        <f t="shared" si="24"/>
        <v>1000</v>
      </c>
      <c r="AO472" s="15">
        <f t="shared" si="25"/>
        <v>8</v>
      </c>
      <c r="AP472" s="15">
        <f t="shared" si="26"/>
        <v>8</v>
      </c>
      <c r="AQ472" s="15">
        <f t="shared" si="27"/>
        <v>8</v>
      </c>
      <c r="AR472" s="31"/>
      <c r="AS472" s="31"/>
      <c r="AT472" s="35" t="s">
        <v>222</v>
      </c>
      <c r="AU472" s="35"/>
    </row>
    <row r="473" ht="15.75" customHeight="1">
      <c r="A473" s="15" t="s">
        <v>3699</v>
      </c>
      <c r="B473" s="15" t="s">
        <v>60</v>
      </c>
      <c r="C473" s="15" t="s">
        <v>1139</v>
      </c>
      <c r="D473" s="15" t="s">
        <v>3701</v>
      </c>
      <c r="E473" s="15" t="s">
        <v>3701</v>
      </c>
      <c r="F473" s="65" t="s">
        <v>788</v>
      </c>
      <c r="G473" s="66" t="s">
        <v>98</v>
      </c>
      <c r="H473" s="18" t="s">
        <v>3703</v>
      </c>
      <c r="I473" s="18" t="s">
        <v>8410</v>
      </c>
      <c r="J473" s="18" t="s">
        <v>98</v>
      </c>
      <c r="K473" s="18" t="s">
        <v>98</v>
      </c>
      <c r="L473" s="18" t="s">
        <v>98</v>
      </c>
      <c r="M473" s="18" t="s">
        <v>98</v>
      </c>
      <c r="N473" s="18" t="s">
        <v>98</v>
      </c>
      <c r="O473" s="18" t="s">
        <v>98</v>
      </c>
      <c r="P473" s="15" t="str">
        <f t="shared" si="1"/>
        <v>VERIFY</v>
      </c>
      <c r="Q473" s="15">
        <f t="shared" si="2"/>
        <v>6</v>
      </c>
      <c r="R473" s="15">
        <f t="shared" si="3"/>
        <v>1</v>
      </c>
      <c r="S473" s="15">
        <f t="shared" si="4"/>
        <v>5</v>
      </c>
      <c r="T473" s="15" t="str">
        <f t="shared" si="5"/>
        <v>B-2</v>
      </c>
      <c r="U473" s="15" t="str">
        <f t="shared" si="6"/>
        <v>T6-M1-H5-FB-2-VERIFY</v>
      </c>
      <c r="V473" s="15">
        <f t="shared" si="7"/>
        <v>0</v>
      </c>
      <c r="W473" s="31"/>
      <c r="X473" s="15" t="str">
        <f t="shared" si="8"/>
        <v>kichha</v>
      </c>
      <c r="Y473" s="32" t="str">
        <f t="shared" si="9"/>
        <v>https://steelmanufacturer.in/market-area/electropolished-pipes-manufacturer-in-kichha/</v>
      </c>
      <c r="Z473" s="15" t="str">
        <f t="shared" si="10"/>
        <v>Electropolished Pipes Manufacturer in Kichha</v>
      </c>
      <c r="AA473" s="15" t="str">
        <f t="shared" si="11"/>
        <v>OK (44)</v>
      </c>
      <c r="AB473" s="15" t="str">
        <f t="shared" si="12"/>
        <v>EP-finished SS 304/316L pipes &amp; tubes for VERIFY plants in Kichha. ASTM A270, ASME BPE SF1-SF4, EN 10204 3.1 MTC. PMI tested.</v>
      </c>
      <c r="AC473" s="15" t="str">
        <f t="shared" si="13"/>
        <v>PENDING RESEARCH</v>
      </c>
      <c r="AD473" s="15" t="str">
        <f t="shared" si="14"/>
        <v>Electropolished Pipes Manufacturer in Kichha</v>
      </c>
      <c r="AE473" s="15" t="str">
        <f t="shared" si="15"/>
        <v>Electropolished Tube Manufacturing Capability Serving Kichha</v>
      </c>
      <c r="AF473" s="15" t="str">
        <f t="shared" si="16"/>
        <v>Electropolished Pipes Supplier in Kichha - From Order to Delivery</v>
      </c>
      <c r="AG473" s="15" t="str">
        <f t="shared" si="17"/>
        <v>Stockist &amp; Wholesale Supply of Electropolished Pipes in Kichha</v>
      </c>
      <c r="AH473" s="15" t="str">
        <f t="shared" si="18"/>
        <v>electropolished pipes manufacturer in Kichha, electropolished pipes supplier in Kichha, electropolished pipes wholesaler in Kichha, electropolished tube manufacturer Kichha, EP pipe supplier Kichha, sanitary tube supplier Kichha, ASME BPE tubing Kichha, ASTM A270 tube Kichha, SS 316L electropolished pipe Kichha</v>
      </c>
      <c r="AI473" s="15" t="str">
        <f t="shared" si="19"/>
        <v>Electropolished Pipes Manufacturer &amp; Supplier in Kichha</v>
      </c>
      <c r="AJ473" s="15" t="str">
        <f t="shared" si="20"/>
        <v>EP-finished SS 304/316L pipes and tubes for VERIFY plants in Kichha. ASME BPE SF1-SF4, Ra from 0.25 um, EN 10204 3.1 certificate with every lot.</v>
      </c>
      <c r="AK473" s="15" t="str">
        <f t="shared" si="21"/>
        <v>Electropolished stainless steel pipes supplied by Sakshi Forge to VERIFY plants at SIIDCUL Industrial Area, Kichha</v>
      </c>
      <c r="AL473" s="15" t="str">
        <f t="shared" si="22"/>
        <v>Electropolished SS 316L tube stock for Kichha - Sakshi Forge</v>
      </c>
      <c r="AM473" s="15" t="str">
        <f t="shared" si="23"/>
        <v>Home &gt; Market Area &gt; India &gt; Uttarakhand &gt; Kichha</v>
      </c>
      <c r="AN473" s="15">
        <f t="shared" si="24"/>
        <v>1000</v>
      </c>
      <c r="AO473" s="15">
        <f t="shared" si="25"/>
        <v>8</v>
      </c>
      <c r="AP473" s="15">
        <f t="shared" si="26"/>
        <v>8</v>
      </c>
      <c r="AQ473" s="15">
        <f t="shared" si="27"/>
        <v>8</v>
      </c>
      <c r="AR473" s="31"/>
      <c r="AS473" s="31"/>
      <c r="AT473" s="35" t="s">
        <v>222</v>
      </c>
      <c r="AU473" s="35"/>
    </row>
    <row r="474" ht="15.75" customHeight="1">
      <c r="A474" s="15" t="s">
        <v>3704</v>
      </c>
      <c r="B474" s="15" t="s">
        <v>60</v>
      </c>
      <c r="C474" s="15" t="s">
        <v>236</v>
      </c>
      <c r="D474" s="15" t="s">
        <v>3706</v>
      </c>
      <c r="E474" s="15" t="s">
        <v>3706</v>
      </c>
      <c r="F474" s="65" t="s">
        <v>788</v>
      </c>
      <c r="G474" s="66" t="s">
        <v>98</v>
      </c>
      <c r="H474" s="18" t="s">
        <v>3708</v>
      </c>
      <c r="I474" s="18" t="s">
        <v>8391</v>
      </c>
      <c r="J474" s="18" t="s">
        <v>98</v>
      </c>
      <c r="K474" s="18" t="s">
        <v>98</v>
      </c>
      <c r="L474" s="18" t="s">
        <v>98</v>
      </c>
      <c r="M474" s="18" t="s">
        <v>98</v>
      </c>
      <c r="N474" s="18" t="s">
        <v>98</v>
      </c>
      <c r="O474" s="18" t="s">
        <v>98</v>
      </c>
      <c r="P474" s="15" t="str">
        <f t="shared" si="1"/>
        <v>VERIFY</v>
      </c>
      <c r="Q474" s="15">
        <f t="shared" si="2"/>
        <v>7</v>
      </c>
      <c r="R474" s="15">
        <f t="shared" si="3"/>
        <v>2</v>
      </c>
      <c r="S474" s="15">
        <f t="shared" si="4"/>
        <v>1</v>
      </c>
      <c r="T474" s="15" t="str">
        <f t="shared" si="5"/>
        <v>B-3</v>
      </c>
      <c r="U474" s="15" t="str">
        <f t="shared" si="6"/>
        <v>T7-M2-H1-FB-3-VERIFY</v>
      </c>
      <c r="V474" s="15">
        <f t="shared" si="7"/>
        <v>0</v>
      </c>
      <c r="W474" s="31"/>
      <c r="X474" s="15" t="str">
        <f t="shared" si="8"/>
        <v>kishangarh</v>
      </c>
      <c r="Y474" s="32" t="str">
        <f t="shared" si="9"/>
        <v>https://steelmanufacturer.in/market-area/electropolished-pipes-manufacturer-in-kishangarh/</v>
      </c>
      <c r="Z474" s="15" t="str">
        <f t="shared" si="10"/>
        <v>Electropolished Pipes Manufacturer in Kishangarh</v>
      </c>
      <c r="AA474" s="15" t="str">
        <f t="shared" si="11"/>
        <v>OK (48)</v>
      </c>
      <c r="AB474" s="15" t="str">
        <f t="shared" si="12"/>
        <v>Electropolished tube supply to RIICO Industrial Area, Kishangarh. Ra from 0.25 um, SF4 finish, mill test certificate with every lot.</v>
      </c>
      <c r="AC474" s="15" t="str">
        <f t="shared" si="13"/>
        <v>PENDING RESEARCH</v>
      </c>
      <c r="AD474" s="15" t="str">
        <f t="shared" si="14"/>
        <v>Electropolished Pipes Manufacturer in Kishangarh</v>
      </c>
      <c r="AE474" s="15" t="str">
        <f t="shared" si="15"/>
        <v>Electropolished Pipe &amp; Tube Manufacturing for Kishangarh - Grades, Finishes &amp; Certification</v>
      </c>
      <c r="AF474" s="15" t="str">
        <f t="shared" si="16"/>
        <v>Electropolished Pipes Supplier in Kishangarh - Stock Sizes, Lead Time &amp; Delivery</v>
      </c>
      <c r="AG474" s="15" t="str">
        <f t="shared" si="17"/>
        <v>Electropolished Pipes Wholesaler &amp; Stockist in Kishangarh - Bulk &amp; Project Pricing</v>
      </c>
      <c r="AH474" s="15" t="str">
        <f t="shared" si="18"/>
        <v>electropolished pipes manufacturer in Kishangarh, electropolished pipes supplier in Kishangarh, electropolished pipes wholesaler in Kishangarh, electropolished tube manufacturer Kishangarh, EP pipe supplier Kishangarh, sanitary tube supplier Kishangarh, ASME BPE tubing Kishangarh, ASTM A270 tube Kishangarh, SS 316L electropolished pipe Kishangarh</v>
      </c>
      <c r="AI474" s="15" t="str">
        <f t="shared" si="19"/>
        <v>Electropolished Pipes Manufacturer &amp; Supplier in Kishangarh</v>
      </c>
      <c r="AJ474" s="15" t="str">
        <f t="shared" si="20"/>
        <v>EP-finished SS 304/316L pipes and tubes for VERIFY plants in Kishangarh. ASME BPE SF1-SF4, Ra from 0.25 um, EN 10204 3.1 certificate with every lot.</v>
      </c>
      <c r="AK474" s="15" t="str">
        <f t="shared" si="21"/>
        <v>Electropolished stainless steel pipes supplied by Sakshi Forge to VERIFY plants at RIICO Industrial Area, Kishangarh</v>
      </c>
      <c r="AL474" s="15" t="str">
        <f t="shared" si="22"/>
        <v>Electropolished SS 316L tube stock for Kishangarh - Sakshi Forge</v>
      </c>
      <c r="AM474" s="15" t="str">
        <f t="shared" si="23"/>
        <v>Home &gt; Market Area &gt; India &gt; Rajasthan &gt; Kishangarh</v>
      </c>
      <c r="AN474" s="15">
        <f t="shared" si="24"/>
        <v>1000</v>
      </c>
      <c r="AO474" s="15">
        <f t="shared" si="25"/>
        <v>8</v>
      </c>
      <c r="AP474" s="15">
        <f t="shared" si="26"/>
        <v>8</v>
      </c>
      <c r="AQ474" s="15">
        <f t="shared" si="27"/>
        <v>8</v>
      </c>
      <c r="AR474" s="31"/>
      <c r="AS474" s="31"/>
      <c r="AT474" s="35" t="s">
        <v>222</v>
      </c>
      <c r="AU474" s="35"/>
    </row>
    <row r="475" ht="15.75" customHeight="1">
      <c r="A475" s="15" t="s">
        <v>3709</v>
      </c>
      <c r="B475" s="15" t="s">
        <v>60</v>
      </c>
      <c r="C475" s="15" t="s">
        <v>3040</v>
      </c>
      <c r="D475" s="15" t="s">
        <v>3712</v>
      </c>
      <c r="E475" s="15" t="s">
        <v>3712</v>
      </c>
      <c r="F475" s="65" t="s">
        <v>788</v>
      </c>
      <c r="G475" s="66" t="s">
        <v>98</v>
      </c>
      <c r="H475" s="18" t="s">
        <v>3714</v>
      </c>
      <c r="I475" s="18" t="s">
        <v>8417</v>
      </c>
      <c r="J475" s="18" t="s">
        <v>98</v>
      </c>
      <c r="K475" s="18" t="s">
        <v>98</v>
      </c>
      <c r="L475" s="18" t="s">
        <v>98</v>
      </c>
      <c r="M475" s="18" t="s">
        <v>98</v>
      </c>
      <c r="N475" s="18" t="s">
        <v>98</v>
      </c>
      <c r="O475" s="18" t="s">
        <v>98</v>
      </c>
      <c r="P475" s="15" t="str">
        <f t="shared" si="1"/>
        <v>VERIFY</v>
      </c>
      <c r="Q475" s="15">
        <f t="shared" si="2"/>
        <v>8</v>
      </c>
      <c r="R475" s="15">
        <f t="shared" si="3"/>
        <v>3</v>
      </c>
      <c r="S475" s="15">
        <f t="shared" si="4"/>
        <v>2</v>
      </c>
      <c r="T475" s="15" t="str">
        <f t="shared" si="5"/>
        <v>B-4</v>
      </c>
      <c r="U475" s="15" t="str">
        <f t="shared" si="6"/>
        <v>T8-M3-H2-FB-4-VERIFY</v>
      </c>
      <c r="V475" s="15">
        <f t="shared" si="7"/>
        <v>0</v>
      </c>
      <c r="W475" s="31"/>
      <c r="X475" s="15" t="str">
        <f t="shared" si="8"/>
        <v>kohima</v>
      </c>
      <c r="Y475" s="32" t="str">
        <f t="shared" si="9"/>
        <v>https://steelmanufacturer.in/market-area/electropolished-pipes-manufacturer-in-kohima/</v>
      </c>
      <c r="Z475" s="15" t="str">
        <f t="shared" si="10"/>
        <v>Electropolished Pipes Manufacturer in Kohima - EP Tube Stockist</v>
      </c>
      <c r="AA475" s="15" t="str">
        <f t="shared" si="11"/>
        <v>OK (63)</v>
      </c>
      <c r="AB475" s="15" t="str">
        <f t="shared" si="12"/>
        <v>EP stainless tube for VERIFY lines in Kohima. VERIFY. ASTM A270 S2, PMI tested, EN 10204 3.1.</v>
      </c>
      <c r="AC475" s="15" t="str">
        <f t="shared" si="13"/>
        <v>PENDING RESEARCH</v>
      </c>
      <c r="AD475" s="15" t="str">
        <f t="shared" si="14"/>
        <v>Electropolished Pipes Manufacturer in Kohima</v>
      </c>
      <c r="AE475" s="15" t="str">
        <f t="shared" si="15"/>
        <v>How We Manufacture Electropolished Tube for Kohima Plants</v>
      </c>
      <c r="AF475" s="15" t="str">
        <f t="shared" si="16"/>
        <v>Supplying Electropolished Pipes in Kohima: Availability, Sizes &amp; Dispatch</v>
      </c>
      <c r="AG475" s="15" t="str">
        <f t="shared" si="17"/>
        <v>Wholesale Electropolished Pipe Supply for Kohima Projects</v>
      </c>
      <c r="AH475" s="15" t="str">
        <f t="shared" si="18"/>
        <v>electropolished pipes manufacturer in Kohima, electropolished pipes supplier in Kohima, electropolished pipes wholesaler in Kohima, electropolished tube manufacturer Kohima, EP pipe supplier Kohima, sanitary tube supplier Kohima, ASME BPE tubing Kohima, ASTM A270 tube Kohima, SS 316L electropolished pipe Kohima</v>
      </c>
      <c r="AI475" s="15" t="str">
        <f t="shared" si="19"/>
        <v>Electropolished Pipes Manufacturer &amp; Supplier in Kohima</v>
      </c>
      <c r="AJ475" s="15" t="str">
        <f t="shared" si="20"/>
        <v>EP-finished SS 304/316L pipes and tubes for VERIFY plants in Kohima. ASME BPE SF1-SF4, Ra from 0.25 um, EN 10204 3.1 certificate with every lot.</v>
      </c>
      <c r="AK475" s="15" t="str">
        <f t="shared" si="21"/>
        <v>Electropolished stainless steel pipes supplied by Sakshi Forge to VERIFY plants at NIDC Industrial Area, Kohima</v>
      </c>
      <c r="AL475" s="15" t="str">
        <f t="shared" si="22"/>
        <v>Electropolished SS 316L tube stock for Kohima - Sakshi Forge</v>
      </c>
      <c r="AM475" s="15" t="str">
        <f t="shared" si="23"/>
        <v>Home &gt; Market Area &gt; India &gt; Nagaland &gt; Kohima</v>
      </c>
      <c r="AN475" s="15">
        <f t="shared" si="24"/>
        <v>1000</v>
      </c>
      <c r="AO475" s="15">
        <f t="shared" si="25"/>
        <v>8</v>
      </c>
      <c r="AP475" s="15">
        <f t="shared" si="26"/>
        <v>8</v>
      </c>
      <c r="AQ475" s="15">
        <f t="shared" si="27"/>
        <v>8</v>
      </c>
      <c r="AR475" s="31"/>
      <c r="AS475" s="31"/>
      <c r="AT475" s="35" t="s">
        <v>222</v>
      </c>
      <c r="AU475" s="35"/>
    </row>
    <row r="476" ht="15.75" customHeight="1">
      <c r="A476" s="15" t="s">
        <v>3715</v>
      </c>
      <c r="B476" s="15" t="s">
        <v>60</v>
      </c>
      <c r="C476" s="15" t="s">
        <v>570</v>
      </c>
      <c r="D476" s="15" t="s">
        <v>3716</v>
      </c>
      <c r="E476" s="15" t="s">
        <v>3716</v>
      </c>
      <c r="F476" s="65" t="s">
        <v>788</v>
      </c>
      <c r="G476" s="66" t="s">
        <v>98</v>
      </c>
      <c r="H476" s="18" t="s">
        <v>3718</v>
      </c>
      <c r="I476" s="18" t="s">
        <v>8405</v>
      </c>
      <c r="J476" s="18" t="s">
        <v>98</v>
      </c>
      <c r="K476" s="18" t="s">
        <v>98</v>
      </c>
      <c r="L476" s="18" t="s">
        <v>98</v>
      </c>
      <c r="M476" s="18" t="s">
        <v>98</v>
      </c>
      <c r="N476" s="18" t="s">
        <v>98</v>
      </c>
      <c r="O476" s="18" t="s">
        <v>98</v>
      </c>
      <c r="P476" s="15" t="str">
        <f t="shared" si="1"/>
        <v>VERIFY</v>
      </c>
      <c r="Q476" s="15">
        <f t="shared" si="2"/>
        <v>1</v>
      </c>
      <c r="R476" s="15">
        <f t="shared" si="3"/>
        <v>4</v>
      </c>
      <c r="S476" s="15">
        <f t="shared" si="4"/>
        <v>3</v>
      </c>
      <c r="T476" s="15" t="str">
        <f t="shared" si="5"/>
        <v>B-5</v>
      </c>
      <c r="U476" s="15" t="str">
        <f t="shared" si="6"/>
        <v>T1-M4-H3-FB-5-VERIFY</v>
      </c>
      <c r="V476" s="15">
        <f t="shared" si="7"/>
        <v>0</v>
      </c>
      <c r="W476" s="31"/>
      <c r="X476" s="15" t="str">
        <f t="shared" si="8"/>
        <v>kolar</v>
      </c>
      <c r="Y476" s="32" t="str">
        <f t="shared" si="9"/>
        <v>https://steelmanufacturer.in/market-area/electropolished-pipes-manufacturer-in-kolar/</v>
      </c>
      <c r="Z476" s="15" t="str">
        <f t="shared" si="10"/>
        <v>Electropolished Pipes Manufacturer in Kolar | Sakshi Forge</v>
      </c>
      <c r="AA476" s="15" t="str">
        <f t="shared" si="11"/>
        <v>OK (58)</v>
      </c>
      <c r="AB476" s="15" t="str">
        <f t="shared" si="12"/>
        <v>Sanitary electropolished pipes in Kolar for VERIFY plants. ASME BPE SF1-SF4, orbital-weld ready, 3.1 MTC. Mumbai-made.</v>
      </c>
      <c r="AC476" s="15" t="str">
        <f t="shared" si="13"/>
        <v>PENDING RESEARCH</v>
      </c>
      <c r="AD476" s="15" t="str">
        <f t="shared" si="14"/>
        <v>Electropolished Pipes Manufacturer in Kolar</v>
      </c>
      <c r="AE476" s="15" t="str">
        <f t="shared" si="15"/>
        <v>Electropolished Pipes Manufacturer in Kolar - Our Process &amp; Capability</v>
      </c>
      <c r="AF476" s="15" t="str">
        <f t="shared" si="16"/>
        <v>Electropolished Pipes Supplier in Kolar - What We Hold in Stock</v>
      </c>
      <c r="AG476" s="15" t="str">
        <f t="shared" si="17"/>
        <v>Bulk &amp; Wholesale Electropolished Pipe Rates for Kolar Buyers</v>
      </c>
      <c r="AH476" s="15" t="str">
        <f t="shared" si="18"/>
        <v>electropolished pipes manufacturer in Kolar, electropolished pipes supplier in Kolar, electropolished pipes wholesaler in Kolar, electropolished tube manufacturer Kolar, EP pipe supplier Kolar, sanitary tube supplier Kolar, ASME BPE tubing Kolar, ASTM A270 tube Kolar, SS 316L electropolished pipe Kolar</v>
      </c>
      <c r="AI476" s="15" t="str">
        <f t="shared" si="19"/>
        <v>Electropolished Pipes Manufacturer &amp; Supplier in Kolar</v>
      </c>
      <c r="AJ476" s="15" t="str">
        <f t="shared" si="20"/>
        <v>EP-finished SS 304/316L pipes and tubes for VERIFY plants in Kolar. ASME BPE SF1-SF4, Ra from 0.25 um, EN 10204 3.1 certificate with every lot.</v>
      </c>
      <c r="AK476" s="15" t="str">
        <f t="shared" si="21"/>
        <v>Electropolished stainless steel pipes supplied by Sakshi Forge to VERIFY plants at KIADB Industrial Area, Kolar</v>
      </c>
      <c r="AL476" s="15" t="str">
        <f t="shared" si="22"/>
        <v>Electropolished SS 316L tube stock for Kolar - Sakshi Forge</v>
      </c>
      <c r="AM476" s="15" t="str">
        <f t="shared" si="23"/>
        <v>Home &gt; Market Area &gt; India &gt; Karnataka &gt; Kolar</v>
      </c>
      <c r="AN476" s="15">
        <f t="shared" si="24"/>
        <v>1000</v>
      </c>
      <c r="AO476" s="15">
        <f t="shared" si="25"/>
        <v>8</v>
      </c>
      <c r="AP476" s="15">
        <f t="shared" si="26"/>
        <v>8</v>
      </c>
      <c r="AQ476" s="15">
        <f t="shared" si="27"/>
        <v>8</v>
      </c>
      <c r="AR476" s="31"/>
      <c r="AS476" s="31"/>
      <c r="AT476" s="35" t="s">
        <v>222</v>
      </c>
      <c r="AU476" s="35"/>
    </row>
    <row r="477" ht="15.75" customHeight="1">
      <c r="A477" s="15" t="s">
        <v>3719</v>
      </c>
      <c r="B477" s="15" t="s">
        <v>60</v>
      </c>
      <c r="C477" s="15" t="s">
        <v>1687</v>
      </c>
      <c r="D477" s="15" t="s">
        <v>3721</v>
      </c>
      <c r="E477" s="15" t="s">
        <v>3721</v>
      </c>
      <c r="F477" s="65" t="s">
        <v>788</v>
      </c>
      <c r="G477" s="66" t="s">
        <v>98</v>
      </c>
      <c r="H477" s="18" t="s">
        <v>3725</v>
      </c>
      <c r="I477" s="18" t="s">
        <v>8397</v>
      </c>
      <c r="J477" s="18" t="s">
        <v>98</v>
      </c>
      <c r="K477" s="18" t="s">
        <v>98</v>
      </c>
      <c r="L477" s="18" t="s">
        <v>98</v>
      </c>
      <c r="M477" s="18" t="s">
        <v>98</v>
      </c>
      <c r="N477" s="18" t="s">
        <v>98</v>
      </c>
      <c r="O477" s="18" t="s">
        <v>98</v>
      </c>
      <c r="P477" s="15" t="str">
        <f t="shared" si="1"/>
        <v>VERIFY</v>
      </c>
      <c r="Q477" s="15">
        <f t="shared" si="2"/>
        <v>2</v>
      </c>
      <c r="R477" s="15">
        <f t="shared" si="3"/>
        <v>5</v>
      </c>
      <c r="S477" s="15">
        <f t="shared" si="4"/>
        <v>4</v>
      </c>
      <c r="T477" s="15" t="str">
        <f t="shared" si="5"/>
        <v>B-6</v>
      </c>
      <c r="U477" s="15" t="str">
        <f t="shared" si="6"/>
        <v>T2-M5-H4-FB-6-VERIFY</v>
      </c>
      <c r="V477" s="15">
        <f t="shared" si="7"/>
        <v>0</v>
      </c>
      <c r="W477" s="31"/>
      <c r="X477" s="15" t="str">
        <f t="shared" si="8"/>
        <v>kollam</v>
      </c>
      <c r="Y477" s="32" t="str">
        <f t="shared" si="9"/>
        <v>https://steelmanufacturer.in/market-area/electropolished-pipes-manufacturer-in-kollam/</v>
      </c>
      <c r="Z477" s="15" t="str">
        <f t="shared" si="10"/>
        <v>Electropolished Pipes Manufacturer in Kollam</v>
      </c>
      <c r="AA477" s="15" t="str">
        <f t="shared" si="11"/>
        <v>OK (44)</v>
      </c>
      <c r="AB477" s="15" t="str">
        <f t="shared" si="12"/>
        <v>Manufacturer of electropolished SS 316L tube serving Kollam. VERIFY. Ra 0.25-0.5 um, EN 10204 3.1 MTC.</v>
      </c>
      <c r="AC477" s="15" t="str">
        <f t="shared" si="13"/>
        <v>PENDING RESEARCH</v>
      </c>
      <c r="AD477" s="15" t="str">
        <f t="shared" si="14"/>
        <v>Electropolished Pipes Manufacturer in Kollam</v>
      </c>
      <c r="AE477" s="15" t="str">
        <f t="shared" si="15"/>
        <v>Manufacturing Electropolished SS Tube for Kollam: The Standards We Build To</v>
      </c>
      <c r="AF477" s="15" t="str">
        <f t="shared" si="16"/>
        <v>Electropolished Pipe Supply Into Kollam - Certification &amp; Transit</v>
      </c>
      <c r="AG477" s="15" t="str">
        <f t="shared" si="17"/>
        <v>Electropolished Pipes Wholesaler in Kollam - Project Quantities &amp; Terms</v>
      </c>
      <c r="AH477" s="15" t="str">
        <f t="shared" si="18"/>
        <v>electropolished pipes manufacturer in Kollam, electropolished pipes supplier in Kollam, electropolished pipes wholesaler in Kollam, electropolished tube manufacturer Kollam, EP pipe supplier Kollam, sanitary tube supplier Kollam, ASME BPE tubing Kollam, ASTM A270 tube Kollam, SS 316L electropolished pipe Kollam</v>
      </c>
      <c r="AI477" s="15" t="str">
        <f t="shared" si="19"/>
        <v>Electropolished Pipes Manufacturer &amp; Supplier in Kollam</v>
      </c>
      <c r="AJ477" s="15" t="str">
        <f t="shared" si="20"/>
        <v>EP-finished SS 304/316L pipes and tubes for VERIFY plants in Kollam. ASME BPE SF1-SF4, Ra from 0.25 um, EN 10204 3.1 certificate with every lot.</v>
      </c>
      <c r="AK477" s="15" t="str">
        <f t="shared" si="21"/>
        <v>Electropolished stainless steel pipes supplied by Sakshi Forge to VERIFY plants at KINFRA Industrial Area, Kollam</v>
      </c>
      <c r="AL477" s="15" t="str">
        <f t="shared" si="22"/>
        <v>Electropolished SS 316L tube stock for Kollam - Sakshi Forge</v>
      </c>
      <c r="AM477" s="15" t="str">
        <f t="shared" si="23"/>
        <v>Home &gt; Market Area &gt; India &gt; Kerala &gt; Kollam</v>
      </c>
      <c r="AN477" s="15">
        <f t="shared" si="24"/>
        <v>1000</v>
      </c>
      <c r="AO477" s="15">
        <f t="shared" si="25"/>
        <v>8</v>
      </c>
      <c r="AP477" s="15">
        <f t="shared" si="26"/>
        <v>8</v>
      </c>
      <c r="AQ477" s="15">
        <f t="shared" si="27"/>
        <v>8</v>
      </c>
      <c r="AR477" s="31"/>
      <c r="AS477" s="31"/>
      <c r="AT477" s="35" t="s">
        <v>222</v>
      </c>
      <c r="AU477" s="35"/>
    </row>
    <row r="478" ht="15.75" customHeight="1">
      <c r="A478" s="15" t="s">
        <v>3729</v>
      </c>
      <c r="B478" s="15" t="s">
        <v>60</v>
      </c>
      <c r="C478" s="15" t="s">
        <v>570</v>
      </c>
      <c r="D478" s="15" t="s">
        <v>3731</v>
      </c>
      <c r="E478" s="15" t="s">
        <v>3731</v>
      </c>
      <c r="F478" s="65" t="s">
        <v>788</v>
      </c>
      <c r="G478" s="66" t="s">
        <v>98</v>
      </c>
      <c r="H478" s="18" t="s">
        <v>3733</v>
      </c>
      <c r="I478" s="18" t="s">
        <v>8405</v>
      </c>
      <c r="J478" s="18" t="s">
        <v>98</v>
      </c>
      <c r="K478" s="18" t="s">
        <v>98</v>
      </c>
      <c r="L478" s="18" t="s">
        <v>98</v>
      </c>
      <c r="M478" s="18" t="s">
        <v>98</v>
      </c>
      <c r="N478" s="18" t="s">
        <v>98</v>
      </c>
      <c r="O478" s="18" t="s">
        <v>98</v>
      </c>
      <c r="P478" s="15" t="str">
        <f t="shared" si="1"/>
        <v>VERIFY</v>
      </c>
      <c r="Q478" s="15">
        <f t="shared" si="2"/>
        <v>3</v>
      </c>
      <c r="R478" s="15">
        <f t="shared" si="3"/>
        <v>6</v>
      </c>
      <c r="S478" s="15">
        <f t="shared" si="4"/>
        <v>5</v>
      </c>
      <c r="T478" s="15" t="str">
        <f t="shared" si="5"/>
        <v>B-1</v>
      </c>
      <c r="U478" s="15" t="str">
        <f t="shared" si="6"/>
        <v>T3-M6-H5-FB-1-VERIFY</v>
      </c>
      <c r="V478" s="15">
        <f t="shared" si="7"/>
        <v>0</v>
      </c>
      <c r="W478" s="31"/>
      <c r="X478" s="15" t="str">
        <f t="shared" si="8"/>
        <v>koppal</v>
      </c>
      <c r="Y478" s="32" t="str">
        <f t="shared" si="9"/>
        <v>https://steelmanufacturer.in/market-area/electropolished-pipes-manufacturer-in-koppal/</v>
      </c>
      <c r="Z478" s="15" t="str">
        <f t="shared" si="10"/>
        <v>Electropolished Pipes Manufacturer in Koppal | EP Tube Supplier</v>
      </c>
      <c r="AA478" s="15" t="str">
        <f t="shared" si="11"/>
        <v>OK (63)</v>
      </c>
      <c r="AB478" s="15" t="str">
        <f t="shared" si="12"/>
        <v>EP tube and pipe for VERIFY plants around KIADB Industrial Area, Koppal. Made at our Mumbai works to ASTM A270 and ASME BPE SF1-SF4, with 3.1 MTC.</v>
      </c>
      <c r="AC478" s="15" t="str">
        <f t="shared" si="13"/>
        <v>PENDING RESEARCH</v>
      </c>
      <c r="AD478" s="15" t="str">
        <f t="shared" si="14"/>
        <v>Electropolished Pipes Manufacturer in Koppal</v>
      </c>
      <c r="AE478" s="15" t="str">
        <f t="shared" si="15"/>
        <v>Electropolished Tube Manufacturing Capability Serving Koppal</v>
      </c>
      <c r="AF478" s="15" t="str">
        <f t="shared" si="16"/>
        <v>Electropolished Pipes Supplier in Koppal - From Order to Delivery</v>
      </c>
      <c r="AG478" s="15" t="str">
        <f t="shared" si="17"/>
        <v>Stockist &amp; Wholesale Supply of Electropolished Pipes in Koppal</v>
      </c>
      <c r="AH478" s="15" t="str">
        <f t="shared" si="18"/>
        <v>electropolished pipes manufacturer in Koppal, electropolished pipes supplier in Koppal, electropolished pipes wholesaler in Koppal, electropolished tube manufacturer Koppal, EP pipe supplier Koppal, sanitary tube supplier Koppal, ASME BPE tubing Koppal, ASTM A270 tube Koppal, SS 316L electropolished pipe Koppal</v>
      </c>
      <c r="AI478" s="15" t="str">
        <f t="shared" si="19"/>
        <v>Electropolished Pipes Manufacturer &amp; Supplier in Koppal</v>
      </c>
      <c r="AJ478" s="15" t="str">
        <f t="shared" si="20"/>
        <v>EP-finished SS 304/316L pipes and tubes for VERIFY plants in Koppal. ASME BPE SF1-SF4, Ra from 0.25 um, EN 10204 3.1 certificate with every lot.</v>
      </c>
      <c r="AK478" s="15" t="str">
        <f t="shared" si="21"/>
        <v>Electropolished stainless steel pipes supplied by Sakshi Forge to VERIFY plants at KIADB Industrial Area, Koppal</v>
      </c>
      <c r="AL478" s="15" t="str">
        <f t="shared" si="22"/>
        <v>Electropolished SS 316L tube stock for Koppal - Sakshi Forge</v>
      </c>
      <c r="AM478" s="15" t="str">
        <f t="shared" si="23"/>
        <v>Home &gt; Market Area &gt; India &gt; Karnataka &gt; Koppal</v>
      </c>
      <c r="AN478" s="15">
        <f t="shared" si="24"/>
        <v>1000</v>
      </c>
      <c r="AO478" s="15">
        <f t="shared" si="25"/>
        <v>8</v>
      </c>
      <c r="AP478" s="15">
        <f t="shared" si="26"/>
        <v>8</v>
      </c>
      <c r="AQ478" s="15">
        <f t="shared" si="27"/>
        <v>8</v>
      </c>
      <c r="AR478" s="31"/>
      <c r="AS478" s="31"/>
      <c r="AT478" s="35" t="s">
        <v>222</v>
      </c>
      <c r="AU478" s="35"/>
    </row>
    <row r="479" ht="15.75" customHeight="1">
      <c r="A479" s="15" t="s">
        <v>3734</v>
      </c>
      <c r="B479" s="15" t="s">
        <v>60</v>
      </c>
      <c r="C479" s="15" t="s">
        <v>424</v>
      </c>
      <c r="D479" s="15" t="s">
        <v>3736</v>
      </c>
      <c r="E479" s="15" t="s">
        <v>3736</v>
      </c>
      <c r="F479" s="65" t="s">
        <v>788</v>
      </c>
      <c r="G479" s="66" t="s">
        <v>98</v>
      </c>
      <c r="H479" s="18" t="s">
        <v>3739</v>
      </c>
      <c r="I479" s="18" t="s">
        <v>8406</v>
      </c>
      <c r="J479" s="18" t="s">
        <v>98</v>
      </c>
      <c r="K479" s="18" t="s">
        <v>98</v>
      </c>
      <c r="L479" s="18" t="s">
        <v>98</v>
      </c>
      <c r="M479" s="18" t="s">
        <v>98</v>
      </c>
      <c r="N479" s="18" t="s">
        <v>98</v>
      </c>
      <c r="O479" s="18" t="s">
        <v>98</v>
      </c>
      <c r="P479" s="15" t="str">
        <f t="shared" si="1"/>
        <v>VERIFY</v>
      </c>
      <c r="Q479" s="15">
        <f t="shared" si="2"/>
        <v>4</v>
      </c>
      <c r="R479" s="15">
        <f t="shared" si="3"/>
        <v>7</v>
      </c>
      <c r="S479" s="15">
        <f t="shared" si="4"/>
        <v>1</v>
      </c>
      <c r="T479" s="15" t="str">
        <f t="shared" si="5"/>
        <v>B-2</v>
      </c>
      <c r="U479" s="15" t="str">
        <f t="shared" si="6"/>
        <v>T4-M7-H1-FB-2-VERIFY</v>
      </c>
      <c r="V479" s="15">
        <f t="shared" si="7"/>
        <v>0</v>
      </c>
      <c r="W479" s="31"/>
      <c r="X479" s="15" t="str">
        <f t="shared" si="8"/>
        <v>koraput</v>
      </c>
      <c r="Y479" s="32" t="str">
        <f t="shared" si="9"/>
        <v>https://steelmanufacturer.in/market-area/electropolished-pipes-manufacturer-in-koraput/</v>
      </c>
      <c r="Z479" s="15" t="str">
        <f t="shared" si="10"/>
        <v>Electropolished Pipes Manufacturer in Koraput</v>
      </c>
      <c r="AA479" s="15" t="str">
        <f t="shared" si="11"/>
        <v>OK (45)</v>
      </c>
      <c r="AB479" s="15" t="str">
        <f t="shared" si="12"/>
        <v>Electropolished pipes in Koraput: 304, 304L, 316 and 316L in SF1-SF4. VERIFY. Mill certified.</v>
      </c>
      <c r="AC479" s="15" t="str">
        <f t="shared" si="13"/>
        <v>PENDING RESEARCH</v>
      </c>
      <c r="AD479" s="15" t="str">
        <f t="shared" si="14"/>
        <v>Electropolished Pipes Manufacturer in Koraput</v>
      </c>
      <c r="AE479" s="15" t="str">
        <f t="shared" si="15"/>
        <v>Electropolished Pipe &amp; Tube Manufacturing for Koraput - Grades, Finishes &amp; Certification</v>
      </c>
      <c r="AF479" s="15" t="str">
        <f t="shared" si="16"/>
        <v>Electropolished Pipes Supplier in Koraput - Stock Sizes, Lead Time &amp; Delivery</v>
      </c>
      <c r="AG479" s="15" t="str">
        <f t="shared" si="17"/>
        <v>Electropolished Pipes Wholesaler &amp; Stockist in Koraput - Bulk &amp; Project Pricing</v>
      </c>
      <c r="AH479" s="15" t="str">
        <f t="shared" si="18"/>
        <v>electropolished pipes manufacturer in Koraput, electropolished pipes supplier in Koraput, electropolished pipes wholesaler in Koraput, electropolished tube manufacturer Koraput, EP pipe supplier Koraput, sanitary tube supplier Koraput, ASME BPE tubing Koraput, ASTM A270 tube Koraput, SS 316L electropolished pipe Koraput</v>
      </c>
      <c r="AI479" s="15" t="str">
        <f t="shared" si="19"/>
        <v>Electropolished Pipes Manufacturer &amp; Supplier in Koraput</v>
      </c>
      <c r="AJ479" s="15" t="str">
        <f t="shared" si="20"/>
        <v>EP-finished SS 304/316L pipes and tubes for VERIFY plants in Koraput. ASME BPE SF1-SF4, Ra from 0.25 um, EN 10204 3.1 certificate with every lot.</v>
      </c>
      <c r="AK479" s="15" t="str">
        <f t="shared" si="21"/>
        <v>Electropolished stainless steel pipes supplied by Sakshi Forge to VERIFY plants at IDCO Industrial Area, Koraput</v>
      </c>
      <c r="AL479" s="15" t="str">
        <f t="shared" si="22"/>
        <v>Electropolished SS 316L tube stock for Koraput - Sakshi Forge</v>
      </c>
      <c r="AM479" s="15" t="str">
        <f t="shared" si="23"/>
        <v>Home &gt; Market Area &gt; India &gt; Odisha &gt; Koraput</v>
      </c>
      <c r="AN479" s="15">
        <f t="shared" si="24"/>
        <v>1000</v>
      </c>
      <c r="AO479" s="15">
        <f t="shared" si="25"/>
        <v>8</v>
      </c>
      <c r="AP479" s="15">
        <f t="shared" si="26"/>
        <v>8</v>
      </c>
      <c r="AQ479" s="15">
        <f t="shared" si="27"/>
        <v>8</v>
      </c>
      <c r="AR479" s="31"/>
      <c r="AS479" s="31"/>
      <c r="AT479" s="35" t="s">
        <v>222</v>
      </c>
      <c r="AU479" s="35"/>
    </row>
    <row r="480" ht="15.75" customHeight="1">
      <c r="A480" s="15" t="s">
        <v>3740</v>
      </c>
      <c r="B480" s="15" t="s">
        <v>60</v>
      </c>
      <c r="C480" s="15" t="s">
        <v>775</v>
      </c>
      <c r="D480" s="15" t="s">
        <v>3741</v>
      </c>
      <c r="E480" s="15" t="s">
        <v>3741</v>
      </c>
      <c r="F480" s="65" t="s">
        <v>788</v>
      </c>
      <c r="G480" s="66" t="s">
        <v>98</v>
      </c>
      <c r="H480" s="18" t="s">
        <v>3743</v>
      </c>
      <c r="I480" s="18" t="s">
        <v>8399</v>
      </c>
      <c r="J480" s="18" t="s">
        <v>98</v>
      </c>
      <c r="K480" s="18" t="s">
        <v>98</v>
      </c>
      <c r="L480" s="18" t="s">
        <v>98</v>
      </c>
      <c r="M480" s="18" t="s">
        <v>98</v>
      </c>
      <c r="N480" s="18" t="s">
        <v>98</v>
      </c>
      <c r="O480" s="18" t="s">
        <v>98</v>
      </c>
      <c r="P480" s="15" t="str">
        <f t="shared" si="1"/>
        <v>VERIFY</v>
      </c>
      <c r="Q480" s="15">
        <f t="shared" si="2"/>
        <v>5</v>
      </c>
      <c r="R480" s="15">
        <f t="shared" si="3"/>
        <v>1</v>
      </c>
      <c r="S480" s="15">
        <f t="shared" si="4"/>
        <v>2</v>
      </c>
      <c r="T480" s="15" t="str">
        <f t="shared" si="5"/>
        <v>B-3</v>
      </c>
      <c r="U480" s="15" t="str">
        <f t="shared" si="6"/>
        <v>T5-M1-H2-FB-3-VERIFY</v>
      </c>
      <c r="V480" s="15">
        <f t="shared" si="7"/>
        <v>0</v>
      </c>
      <c r="W480" s="31"/>
      <c r="X480" s="15" t="str">
        <f t="shared" si="8"/>
        <v>korba</v>
      </c>
      <c r="Y480" s="32" t="str">
        <f t="shared" si="9"/>
        <v>https://steelmanufacturer.in/market-area/electropolished-pipes-manufacturer-in-korba/</v>
      </c>
      <c r="Z480" s="15" t="str">
        <f t="shared" si="10"/>
        <v>Electropolished Pipes Manufacturer in Korba</v>
      </c>
      <c r="AA480" s="15" t="str">
        <f t="shared" si="11"/>
        <v>OK (43)</v>
      </c>
      <c r="AB480" s="15" t="str">
        <f t="shared" si="12"/>
        <v>EP-finished SS 304/316L pipes &amp; tubes for VERIFY plants in Korba. ASTM A270, ASME BPE SF1-SF4, EN 10204 3.1 MTC. PMI tested.</v>
      </c>
      <c r="AC480" s="15" t="str">
        <f t="shared" si="13"/>
        <v>PENDING RESEARCH</v>
      </c>
      <c r="AD480" s="15" t="str">
        <f t="shared" si="14"/>
        <v>Electropolished Pipes Manufacturer in Korba</v>
      </c>
      <c r="AE480" s="15" t="str">
        <f t="shared" si="15"/>
        <v>How We Manufacture Electropolished Tube for Korba Plants</v>
      </c>
      <c r="AF480" s="15" t="str">
        <f t="shared" si="16"/>
        <v>Supplying Electropolished Pipes in Korba: Availability, Sizes &amp; Dispatch</v>
      </c>
      <c r="AG480" s="15" t="str">
        <f t="shared" si="17"/>
        <v>Wholesale Electropolished Pipe Supply for Korba Projects</v>
      </c>
      <c r="AH480" s="15" t="str">
        <f t="shared" si="18"/>
        <v>electropolished pipes manufacturer in Korba, electropolished pipes supplier in Korba, electropolished pipes wholesaler in Korba, electropolished tube manufacturer Korba, EP pipe supplier Korba, sanitary tube supplier Korba, ASME BPE tubing Korba, ASTM A270 tube Korba, SS 316L electropolished pipe Korba</v>
      </c>
      <c r="AI480" s="15" t="str">
        <f t="shared" si="19"/>
        <v>Electropolished Pipes Manufacturer &amp; Supplier in Korba</v>
      </c>
      <c r="AJ480" s="15" t="str">
        <f t="shared" si="20"/>
        <v>EP-finished SS 304/316L pipes and tubes for VERIFY plants in Korba. ASME BPE SF1-SF4, Ra from 0.25 um, EN 10204 3.1 certificate with every lot.</v>
      </c>
      <c r="AK480" s="15" t="str">
        <f t="shared" si="21"/>
        <v>Electropolished stainless steel pipes supplied by Sakshi Forge to VERIFY plants at CSIDC Industrial Area, Korba</v>
      </c>
      <c r="AL480" s="15" t="str">
        <f t="shared" si="22"/>
        <v>Electropolished SS 316L tube stock for Korba - Sakshi Forge</v>
      </c>
      <c r="AM480" s="15" t="str">
        <f t="shared" si="23"/>
        <v>Home &gt; Market Area &gt; India &gt; Chhattisgarh &gt; Korba</v>
      </c>
      <c r="AN480" s="15">
        <f t="shared" si="24"/>
        <v>1000</v>
      </c>
      <c r="AO480" s="15">
        <f t="shared" si="25"/>
        <v>8</v>
      </c>
      <c r="AP480" s="15">
        <f t="shared" si="26"/>
        <v>8</v>
      </c>
      <c r="AQ480" s="15">
        <f t="shared" si="27"/>
        <v>8</v>
      </c>
      <c r="AR480" s="31"/>
      <c r="AS480" s="31"/>
      <c r="AT480" s="35" t="s">
        <v>222</v>
      </c>
      <c r="AU480" s="35"/>
    </row>
    <row r="481" ht="15.75" customHeight="1">
      <c r="A481" s="15" t="s">
        <v>3744</v>
      </c>
      <c r="B481" s="15" t="s">
        <v>60</v>
      </c>
      <c r="C481" s="15" t="s">
        <v>236</v>
      </c>
      <c r="D481" s="15" t="s">
        <v>3745</v>
      </c>
      <c r="E481" s="15" t="s">
        <v>3745</v>
      </c>
      <c r="F481" s="65" t="s">
        <v>788</v>
      </c>
      <c r="G481" s="66" t="s">
        <v>98</v>
      </c>
      <c r="H481" s="18" t="s">
        <v>3747</v>
      </c>
      <c r="I481" s="18" t="s">
        <v>8391</v>
      </c>
      <c r="J481" s="18" t="s">
        <v>98</v>
      </c>
      <c r="K481" s="18" t="s">
        <v>98</v>
      </c>
      <c r="L481" s="18" t="s">
        <v>98</v>
      </c>
      <c r="M481" s="18" t="s">
        <v>98</v>
      </c>
      <c r="N481" s="18" t="s">
        <v>98</v>
      </c>
      <c r="O481" s="18" t="s">
        <v>98</v>
      </c>
      <c r="P481" s="15" t="str">
        <f t="shared" si="1"/>
        <v>VERIFY</v>
      </c>
      <c r="Q481" s="15">
        <f t="shared" si="2"/>
        <v>6</v>
      </c>
      <c r="R481" s="15">
        <f t="shared" si="3"/>
        <v>2</v>
      </c>
      <c r="S481" s="15">
        <f t="shared" si="4"/>
        <v>3</v>
      </c>
      <c r="T481" s="15" t="str">
        <f t="shared" si="5"/>
        <v>B-4</v>
      </c>
      <c r="U481" s="15" t="str">
        <f t="shared" si="6"/>
        <v>T6-M2-H3-FB-4-VERIFY</v>
      </c>
      <c r="V481" s="15">
        <f t="shared" si="7"/>
        <v>0</v>
      </c>
      <c r="W481" s="31"/>
      <c r="X481" s="15" t="str">
        <f t="shared" si="8"/>
        <v>kota</v>
      </c>
      <c r="Y481" s="32" t="str">
        <f t="shared" si="9"/>
        <v>https://steelmanufacturer.in/market-area/electropolished-pipes-manufacturer-in-kota/</v>
      </c>
      <c r="Z481" s="15" t="str">
        <f t="shared" si="10"/>
        <v>Electropolished Pipes Manufacturer in Kota</v>
      </c>
      <c r="AA481" s="15" t="str">
        <f t="shared" si="11"/>
        <v>OK (42)</v>
      </c>
      <c r="AB481" s="15" t="str">
        <f t="shared" si="12"/>
        <v>Electropolished tube supply to RIICO Industrial Area, Kota. Ra from 0.25 um, SF4 finish, mill test certificate with every lot.</v>
      </c>
      <c r="AC481" s="15" t="str">
        <f t="shared" si="13"/>
        <v>PENDING RESEARCH</v>
      </c>
      <c r="AD481" s="15" t="str">
        <f t="shared" si="14"/>
        <v>Electropolished Pipes Manufacturer in Kota</v>
      </c>
      <c r="AE481" s="15" t="str">
        <f t="shared" si="15"/>
        <v>Electropolished Pipes Manufacturer in Kota - Our Process &amp; Capability</v>
      </c>
      <c r="AF481" s="15" t="str">
        <f t="shared" si="16"/>
        <v>Electropolished Pipes Supplier in Kota - What We Hold in Stock</v>
      </c>
      <c r="AG481" s="15" t="str">
        <f t="shared" si="17"/>
        <v>Bulk &amp; Wholesale Electropolished Pipe Rates for Kota Buyers</v>
      </c>
      <c r="AH481" s="15" t="str">
        <f t="shared" si="18"/>
        <v>electropolished pipes manufacturer in Kota, electropolished pipes supplier in Kota, electropolished pipes wholesaler in Kota, electropolished tube manufacturer Kota, EP pipe supplier Kota, sanitary tube supplier Kota, ASME BPE tubing Kota, ASTM A270 tube Kota, SS 316L electropolished pipe Kota</v>
      </c>
      <c r="AI481" s="15" t="str">
        <f t="shared" si="19"/>
        <v>Electropolished Pipes Manufacturer &amp; Supplier in Kota</v>
      </c>
      <c r="AJ481" s="15" t="str">
        <f t="shared" si="20"/>
        <v>EP-finished SS 304/316L pipes and tubes for VERIFY plants in Kota. ASME BPE SF1-SF4, Ra from 0.25 um, EN 10204 3.1 certificate with every lot.</v>
      </c>
      <c r="AK481" s="15" t="str">
        <f t="shared" si="21"/>
        <v>Electropolished stainless steel pipes supplied by Sakshi Forge to VERIFY plants at RIICO Industrial Area, Kota</v>
      </c>
      <c r="AL481" s="15" t="str">
        <f t="shared" si="22"/>
        <v>Electropolished SS 316L tube stock for Kota - Sakshi Forge</v>
      </c>
      <c r="AM481" s="15" t="str">
        <f t="shared" si="23"/>
        <v>Home &gt; Market Area &gt; India &gt; Rajasthan &gt; Kota</v>
      </c>
      <c r="AN481" s="15">
        <f t="shared" si="24"/>
        <v>1000</v>
      </c>
      <c r="AO481" s="15">
        <f t="shared" si="25"/>
        <v>8</v>
      </c>
      <c r="AP481" s="15">
        <f t="shared" si="26"/>
        <v>8</v>
      </c>
      <c r="AQ481" s="15">
        <f t="shared" si="27"/>
        <v>8</v>
      </c>
      <c r="AR481" s="31"/>
      <c r="AS481" s="31"/>
      <c r="AT481" s="35" t="s">
        <v>222</v>
      </c>
      <c r="AU481" s="35"/>
    </row>
    <row r="482" ht="15.75" customHeight="1">
      <c r="A482" s="15" t="s">
        <v>3748</v>
      </c>
      <c r="B482" s="15" t="s">
        <v>60</v>
      </c>
      <c r="C482" s="15" t="s">
        <v>1139</v>
      </c>
      <c r="D482" s="15" t="s">
        <v>3750</v>
      </c>
      <c r="E482" s="15" t="s">
        <v>3750</v>
      </c>
      <c r="F482" s="65" t="s">
        <v>788</v>
      </c>
      <c r="G482" s="66" t="s">
        <v>98</v>
      </c>
      <c r="H482" s="18" t="s">
        <v>3752</v>
      </c>
      <c r="I482" s="18" t="s">
        <v>8410</v>
      </c>
      <c r="J482" s="18" t="s">
        <v>98</v>
      </c>
      <c r="K482" s="18" t="s">
        <v>98</v>
      </c>
      <c r="L482" s="18" t="s">
        <v>98</v>
      </c>
      <c r="M482" s="18" t="s">
        <v>98</v>
      </c>
      <c r="N482" s="18" t="s">
        <v>98</v>
      </c>
      <c r="O482" s="18" t="s">
        <v>98</v>
      </c>
      <c r="P482" s="15" t="str">
        <f t="shared" si="1"/>
        <v>VERIFY</v>
      </c>
      <c r="Q482" s="15">
        <f t="shared" si="2"/>
        <v>7</v>
      </c>
      <c r="R482" s="15">
        <f t="shared" si="3"/>
        <v>3</v>
      </c>
      <c r="S482" s="15">
        <f t="shared" si="4"/>
        <v>4</v>
      </c>
      <c r="T482" s="15" t="str">
        <f t="shared" si="5"/>
        <v>B-5</v>
      </c>
      <c r="U482" s="15" t="str">
        <f t="shared" si="6"/>
        <v>T7-M3-H4-FB-5-VERIFY</v>
      </c>
      <c r="V482" s="15">
        <f t="shared" si="7"/>
        <v>0</v>
      </c>
      <c r="W482" s="31"/>
      <c r="X482" s="15" t="str">
        <f t="shared" si="8"/>
        <v>kotdwar</v>
      </c>
      <c r="Y482" s="32" t="str">
        <f t="shared" si="9"/>
        <v>https://steelmanufacturer.in/market-area/electropolished-pipes-manufacturer-in-kotdwar/</v>
      </c>
      <c r="Z482" s="15" t="str">
        <f t="shared" si="10"/>
        <v>Electropolished Pipes Manufacturer in Kotdwar | ASME BPE SF1-SF4</v>
      </c>
      <c r="AA482" s="15" t="str">
        <f t="shared" si="11"/>
        <v>OK (64)</v>
      </c>
      <c r="AB482" s="15" t="str">
        <f t="shared" si="12"/>
        <v>EP stainless tube for VERIFY lines in Kotdwar. VERIFY. ASTM A270 S2, PMI tested, EN 10204 3.1.</v>
      </c>
      <c r="AC482" s="15" t="str">
        <f t="shared" si="13"/>
        <v>PENDING RESEARCH</v>
      </c>
      <c r="AD482" s="15" t="str">
        <f t="shared" si="14"/>
        <v>Electropolished Pipes Manufacturer in Kotdwar</v>
      </c>
      <c r="AE482" s="15" t="str">
        <f t="shared" si="15"/>
        <v>Manufacturing Electropolished SS Tube for Kotdwar: The Standards We Build To</v>
      </c>
      <c r="AF482" s="15" t="str">
        <f t="shared" si="16"/>
        <v>Electropolished Pipe Supply Into Kotdwar - Certification &amp; Transit</v>
      </c>
      <c r="AG482" s="15" t="str">
        <f t="shared" si="17"/>
        <v>Electropolished Pipes Wholesaler in Kotdwar - Project Quantities &amp; Terms</v>
      </c>
      <c r="AH482" s="15" t="str">
        <f t="shared" si="18"/>
        <v>electropolished pipes manufacturer in Kotdwar, electropolished pipes supplier in Kotdwar, electropolished pipes wholesaler in Kotdwar, electropolished tube manufacturer Kotdwar, EP pipe supplier Kotdwar, sanitary tube supplier Kotdwar, ASME BPE tubing Kotdwar, ASTM A270 tube Kotdwar, SS 316L electropolished pipe Kotdwar</v>
      </c>
      <c r="AI482" s="15" t="str">
        <f t="shared" si="19"/>
        <v>Electropolished Pipes Manufacturer &amp; Supplier in Kotdwar</v>
      </c>
      <c r="AJ482" s="15" t="str">
        <f t="shared" si="20"/>
        <v>EP-finished SS 304/316L pipes and tubes for VERIFY plants in Kotdwar. ASME BPE SF1-SF4, Ra from 0.25 um, EN 10204 3.1 certificate with every lot.</v>
      </c>
      <c r="AK482" s="15" t="str">
        <f t="shared" si="21"/>
        <v>Electropolished stainless steel pipes supplied by Sakshi Forge to VERIFY plants at SIIDCUL Industrial Area, Kotdwar</v>
      </c>
      <c r="AL482" s="15" t="str">
        <f t="shared" si="22"/>
        <v>Electropolished SS 316L tube stock for Kotdwar - Sakshi Forge</v>
      </c>
      <c r="AM482" s="15" t="str">
        <f t="shared" si="23"/>
        <v>Home &gt; Market Area &gt; India &gt; Uttarakhand &gt; Kotdwar</v>
      </c>
      <c r="AN482" s="15">
        <f t="shared" si="24"/>
        <v>1000</v>
      </c>
      <c r="AO482" s="15">
        <f t="shared" si="25"/>
        <v>8</v>
      </c>
      <c r="AP482" s="15">
        <f t="shared" si="26"/>
        <v>8</v>
      </c>
      <c r="AQ482" s="15">
        <f t="shared" si="27"/>
        <v>8</v>
      </c>
      <c r="AR482" s="31"/>
      <c r="AS482" s="31"/>
      <c r="AT482" s="35" t="s">
        <v>222</v>
      </c>
      <c r="AU482" s="35"/>
    </row>
    <row r="483" ht="15.75" customHeight="1">
      <c r="A483" s="15" t="s">
        <v>3754</v>
      </c>
      <c r="B483" s="15" t="s">
        <v>60</v>
      </c>
      <c r="C483" s="15" t="s">
        <v>1312</v>
      </c>
      <c r="D483" s="15" t="s">
        <v>3756</v>
      </c>
      <c r="E483" s="15" t="s">
        <v>3756</v>
      </c>
      <c r="F483" s="65" t="s">
        <v>788</v>
      </c>
      <c r="G483" s="66" t="s">
        <v>98</v>
      </c>
      <c r="H483" s="18" t="s">
        <v>3760</v>
      </c>
      <c r="I483" s="18" t="s">
        <v>8392</v>
      </c>
      <c r="J483" s="18" t="s">
        <v>98</v>
      </c>
      <c r="K483" s="18" t="s">
        <v>98</v>
      </c>
      <c r="L483" s="18" t="s">
        <v>98</v>
      </c>
      <c r="M483" s="18" t="s">
        <v>98</v>
      </c>
      <c r="N483" s="18" t="s">
        <v>98</v>
      </c>
      <c r="O483" s="18" t="s">
        <v>98</v>
      </c>
      <c r="P483" s="15" t="str">
        <f t="shared" si="1"/>
        <v>VERIFY</v>
      </c>
      <c r="Q483" s="15">
        <f t="shared" si="2"/>
        <v>8</v>
      </c>
      <c r="R483" s="15">
        <f t="shared" si="3"/>
        <v>4</v>
      </c>
      <c r="S483" s="15">
        <f t="shared" si="4"/>
        <v>5</v>
      </c>
      <c r="T483" s="15" t="str">
        <f t="shared" si="5"/>
        <v>B-6</v>
      </c>
      <c r="U483" s="15" t="str">
        <f t="shared" si="6"/>
        <v>T8-M4-H5-FB-6-VERIFY</v>
      </c>
      <c r="V483" s="15">
        <f t="shared" si="7"/>
        <v>0</v>
      </c>
      <c r="W483" s="31"/>
      <c r="X483" s="15" t="str">
        <f t="shared" si="8"/>
        <v>kothagudem</v>
      </c>
      <c r="Y483" s="32" t="str">
        <f t="shared" si="9"/>
        <v>https://steelmanufacturer.in/market-area/electropolished-pipes-manufacturer-in-kothagudem/</v>
      </c>
      <c r="Z483" s="15" t="str">
        <f t="shared" si="10"/>
        <v>Electropolished Pipes Manufacturer in Kothagudem</v>
      </c>
      <c r="AA483" s="15" t="str">
        <f t="shared" si="11"/>
        <v>OK (48)</v>
      </c>
      <c r="AB483" s="15" t="str">
        <f t="shared" si="12"/>
        <v>Sanitary electropolished pipes in Kothagudem for VERIFY plants. ASME BPE SF1-SF4, orbital-weld ready, 3.1 MTC. Mumbai-made.</v>
      </c>
      <c r="AC483" s="15" t="str">
        <f t="shared" si="13"/>
        <v>PENDING RESEARCH</v>
      </c>
      <c r="AD483" s="15" t="str">
        <f t="shared" si="14"/>
        <v>Electropolished Pipes Manufacturer in Kothagudem</v>
      </c>
      <c r="AE483" s="15" t="str">
        <f t="shared" si="15"/>
        <v>Electropolished Tube Manufacturing Capability Serving Kothagudem</v>
      </c>
      <c r="AF483" s="15" t="str">
        <f t="shared" si="16"/>
        <v>Electropolished Pipes Supplier in Kothagudem - From Order to Delivery</v>
      </c>
      <c r="AG483" s="15" t="str">
        <f t="shared" si="17"/>
        <v>Stockist &amp; Wholesale Supply of Electropolished Pipes in Kothagudem</v>
      </c>
      <c r="AH483" s="15" t="str">
        <f t="shared" si="18"/>
        <v>electropolished pipes manufacturer in Kothagudem, electropolished pipes supplier in Kothagudem, electropolished pipes wholesaler in Kothagudem, electropolished tube manufacturer Kothagudem, EP pipe supplier Kothagudem, sanitary tube supplier Kothagudem, ASME BPE tubing Kothagudem, ASTM A270 tube Kothagudem, SS 316L electropolished pipe Kothagudem</v>
      </c>
      <c r="AI483" s="15" t="str">
        <f t="shared" si="19"/>
        <v>Electropolished Pipes Manufacturer &amp; Supplier in Kothagudem</v>
      </c>
      <c r="AJ483" s="15" t="str">
        <f t="shared" si="20"/>
        <v>EP-finished SS 304/316L pipes and tubes for VERIFY plants in Kothagudem. ASME BPE SF1-SF4, Ra from 0.25 um, EN 10204 3.1 certificate with every lot.</v>
      </c>
      <c r="AK483" s="15" t="str">
        <f t="shared" si="21"/>
        <v>Electropolished stainless steel pipes supplied by Sakshi Forge to VERIFY plants at TSIIC Industrial Area, Kothagudem</v>
      </c>
      <c r="AL483" s="15" t="str">
        <f t="shared" si="22"/>
        <v>Electropolished SS 316L tube stock for Kothagudem - Sakshi Forge</v>
      </c>
      <c r="AM483" s="15" t="str">
        <f t="shared" si="23"/>
        <v>Home &gt; Market Area &gt; India &gt; Telangana &gt; Kothagudem</v>
      </c>
      <c r="AN483" s="15">
        <f t="shared" si="24"/>
        <v>1000</v>
      </c>
      <c r="AO483" s="15">
        <f t="shared" si="25"/>
        <v>8</v>
      </c>
      <c r="AP483" s="15">
        <f t="shared" si="26"/>
        <v>8</v>
      </c>
      <c r="AQ483" s="15">
        <f t="shared" si="27"/>
        <v>8</v>
      </c>
      <c r="AR483" s="31"/>
      <c r="AS483" s="31"/>
      <c r="AT483" s="35" t="s">
        <v>222</v>
      </c>
      <c r="AU483" s="35"/>
    </row>
    <row r="484" ht="15.75" customHeight="1">
      <c r="A484" s="15" t="s">
        <v>3765</v>
      </c>
      <c r="B484" s="15" t="s">
        <v>60</v>
      </c>
      <c r="C484" s="15" t="s">
        <v>1687</v>
      </c>
      <c r="D484" s="15" t="s">
        <v>3766</v>
      </c>
      <c r="E484" s="15" t="s">
        <v>3766</v>
      </c>
      <c r="F484" s="65" t="s">
        <v>788</v>
      </c>
      <c r="G484" s="66" t="s">
        <v>98</v>
      </c>
      <c r="H484" s="18" t="s">
        <v>3768</v>
      </c>
      <c r="I484" s="18" t="s">
        <v>8397</v>
      </c>
      <c r="J484" s="18" t="s">
        <v>98</v>
      </c>
      <c r="K484" s="18" t="s">
        <v>98</v>
      </c>
      <c r="L484" s="18" t="s">
        <v>98</v>
      </c>
      <c r="M484" s="18" t="s">
        <v>98</v>
      </c>
      <c r="N484" s="18" t="s">
        <v>98</v>
      </c>
      <c r="O484" s="18" t="s">
        <v>98</v>
      </c>
      <c r="P484" s="15" t="str">
        <f t="shared" si="1"/>
        <v>VERIFY</v>
      </c>
      <c r="Q484" s="15">
        <f t="shared" si="2"/>
        <v>1</v>
      </c>
      <c r="R484" s="15">
        <f t="shared" si="3"/>
        <v>5</v>
      </c>
      <c r="S484" s="15">
        <f t="shared" si="4"/>
        <v>1</v>
      </c>
      <c r="T484" s="15" t="str">
        <f t="shared" si="5"/>
        <v>B-1</v>
      </c>
      <c r="U484" s="15" t="str">
        <f t="shared" si="6"/>
        <v>T1-M5-H1-FB-1-VERIFY</v>
      </c>
      <c r="V484" s="15">
        <f t="shared" si="7"/>
        <v>0</v>
      </c>
      <c r="W484" s="31"/>
      <c r="X484" s="15" t="str">
        <f t="shared" si="8"/>
        <v>kottayam</v>
      </c>
      <c r="Y484" s="32" t="str">
        <f t="shared" si="9"/>
        <v>https://steelmanufacturer.in/market-area/electropolished-pipes-manufacturer-in-kottayam/</v>
      </c>
      <c r="Z484" s="15" t="str">
        <f t="shared" si="10"/>
        <v>Electropolished Pipes Manufacturer in Kottayam | Sakshi Forge</v>
      </c>
      <c r="AA484" s="15" t="str">
        <f t="shared" si="11"/>
        <v>OK (61)</v>
      </c>
      <c r="AB484" s="15" t="str">
        <f t="shared" si="12"/>
        <v>Manufacturer of electropolished SS 316L tube serving Kottayam. VERIFY. Ra 0.25-0.5 um, EN 10204 3.1 MTC.</v>
      </c>
      <c r="AC484" s="15" t="str">
        <f t="shared" si="13"/>
        <v>PENDING RESEARCH</v>
      </c>
      <c r="AD484" s="15" t="str">
        <f t="shared" si="14"/>
        <v>Electropolished Pipes Manufacturer in Kottayam</v>
      </c>
      <c r="AE484" s="15" t="str">
        <f t="shared" si="15"/>
        <v>Electropolished Pipe &amp; Tube Manufacturing for Kottayam - Grades, Finishes &amp; Certification</v>
      </c>
      <c r="AF484" s="15" t="str">
        <f t="shared" si="16"/>
        <v>Electropolished Pipes Supplier in Kottayam - Stock Sizes, Lead Time &amp; Delivery</v>
      </c>
      <c r="AG484" s="15" t="str">
        <f t="shared" si="17"/>
        <v>Electropolished Pipes Wholesaler &amp; Stockist in Kottayam - Bulk &amp; Project Pricing</v>
      </c>
      <c r="AH484" s="15" t="str">
        <f t="shared" si="18"/>
        <v>electropolished pipes manufacturer in Kottayam, electropolished pipes supplier in Kottayam, electropolished pipes wholesaler in Kottayam, electropolished tube manufacturer Kottayam, EP pipe supplier Kottayam, sanitary tube supplier Kottayam, ASME BPE tubing Kottayam, ASTM A270 tube Kottayam, SS 316L electropolished pipe Kottayam</v>
      </c>
      <c r="AI484" s="15" t="str">
        <f t="shared" si="19"/>
        <v>Electropolished Pipes Manufacturer &amp; Supplier in Kottayam</v>
      </c>
      <c r="AJ484" s="15" t="str">
        <f t="shared" si="20"/>
        <v>EP-finished SS 304/316L pipes and tubes for VERIFY plants in Kottayam. ASME BPE SF1-SF4, Ra from 0.25 um, EN 10204 3.1 certificate with every lot.</v>
      </c>
      <c r="AK484" s="15" t="str">
        <f t="shared" si="21"/>
        <v>Electropolished stainless steel pipes supplied by Sakshi Forge to VERIFY plants at KINFRA Industrial Area, Kottayam</v>
      </c>
      <c r="AL484" s="15" t="str">
        <f t="shared" si="22"/>
        <v>Electropolished SS 316L tube stock for Kottayam - Sakshi Forge</v>
      </c>
      <c r="AM484" s="15" t="str">
        <f t="shared" si="23"/>
        <v>Home &gt; Market Area &gt; India &gt; Kerala &gt; Kottayam</v>
      </c>
      <c r="AN484" s="15">
        <f t="shared" si="24"/>
        <v>1000</v>
      </c>
      <c r="AO484" s="15">
        <f t="shared" si="25"/>
        <v>8</v>
      </c>
      <c r="AP484" s="15">
        <f t="shared" si="26"/>
        <v>8</v>
      </c>
      <c r="AQ484" s="15">
        <f t="shared" si="27"/>
        <v>9</v>
      </c>
      <c r="AR484" s="31"/>
      <c r="AS484" s="31"/>
      <c r="AT484" s="35" t="s">
        <v>222</v>
      </c>
      <c r="AU484" s="35"/>
    </row>
    <row r="485" ht="15.75" customHeight="1">
      <c r="A485" s="15" t="s">
        <v>3769</v>
      </c>
      <c r="B485" s="15" t="s">
        <v>60</v>
      </c>
      <c r="C485" s="15" t="s">
        <v>958</v>
      </c>
      <c r="D485" s="15" t="s">
        <v>3770</v>
      </c>
      <c r="E485" s="15" t="s">
        <v>3770</v>
      </c>
      <c r="F485" s="65" t="s">
        <v>788</v>
      </c>
      <c r="G485" s="66" t="s">
        <v>98</v>
      </c>
      <c r="H485" s="18" t="s">
        <v>3772</v>
      </c>
      <c r="I485" s="18" t="s">
        <v>8403</v>
      </c>
      <c r="J485" s="18" t="s">
        <v>98</v>
      </c>
      <c r="K485" s="18" t="s">
        <v>98</v>
      </c>
      <c r="L485" s="18" t="s">
        <v>98</v>
      </c>
      <c r="M485" s="18" t="s">
        <v>98</v>
      </c>
      <c r="N485" s="18" t="s">
        <v>98</v>
      </c>
      <c r="O485" s="18" t="s">
        <v>98</v>
      </c>
      <c r="P485" s="15" t="str">
        <f t="shared" si="1"/>
        <v>VERIFY</v>
      </c>
      <c r="Q485" s="15">
        <f t="shared" si="2"/>
        <v>2</v>
      </c>
      <c r="R485" s="15">
        <f t="shared" si="3"/>
        <v>6</v>
      </c>
      <c r="S485" s="15">
        <f t="shared" si="4"/>
        <v>2</v>
      </c>
      <c r="T485" s="15" t="str">
        <f t="shared" si="5"/>
        <v>B-2</v>
      </c>
      <c r="U485" s="15" t="str">
        <f t="shared" si="6"/>
        <v>T2-M6-H2-FB-2-VERIFY</v>
      </c>
      <c r="V485" s="15">
        <f t="shared" si="7"/>
        <v>0</v>
      </c>
      <c r="W485" s="31"/>
      <c r="X485" s="15" t="str">
        <f t="shared" si="8"/>
        <v>krishnagiri</v>
      </c>
      <c r="Y485" s="32" t="str">
        <f t="shared" si="9"/>
        <v>https://steelmanufacturer.in/market-area/electropolished-pipes-manufacturer-in-krishnagiri/</v>
      </c>
      <c r="Z485" s="15" t="str">
        <f t="shared" si="10"/>
        <v>Electropolished Pipes Manufacturer in Krishnagiri</v>
      </c>
      <c r="AA485" s="15" t="str">
        <f t="shared" si="11"/>
        <v>OK (49)</v>
      </c>
      <c r="AB485" s="15" t="str">
        <f t="shared" si="12"/>
        <v>EP tube and pipe for VERIFY plants around SIPCOT Industrial Area, Krishnagiri. Made at our Mumbai works to ASTM A270 and ASME BPE SF1-SF4, with 3.1 MTC.</v>
      </c>
      <c r="AC485" s="15" t="str">
        <f t="shared" si="13"/>
        <v>PENDING RESEARCH</v>
      </c>
      <c r="AD485" s="15" t="str">
        <f t="shared" si="14"/>
        <v>Electropolished Pipes Manufacturer in Krishnagiri</v>
      </c>
      <c r="AE485" s="15" t="str">
        <f t="shared" si="15"/>
        <v>How We Manufacture Electropolished Tube for Krishnagiri Plants</v>
      </c>
      <c r="AF485" s="15" t="str">
        <f t="shared" si="16"/>
        <v>Supplying Electropolished Pipes in Krishnagiri: Availability, Sizes &amp; Dispatch</v>
      </c>
      <c r="AG485" s="15" t="str">
        <f t="shared" si="17"/>
        <v>Wholesale Electropolished Pipe Supply for Krishnagiri Projects</v>
      </c>
      <c r="AH485" s="15" t="str">
        <f t="shared" si="18"/>
        <v>electropolished pipes manufacturer in Krishnagiri, electropolished pipes supplier in Krishnagiri, electropolished pipes wholesaler in Krishnagiri, electropolished tube manufacturer Krishnagiri, EP pipe supplier Krishnagiri, sanitary tube supplier Krishnagiri, ASME BPE tubing Krishnagiri, ASTM A270 tube Krishnagiri, SS 316L electropolished pipe Krishnagiri</v>
      </c>
      <c r="AI485" s="15" t="str">
        <f t="shared" si="19"/>
        <v>Electropolished Pipes Manufacturer &amp; Supplier in Krishnagiri</v>
      </c>
      <c r="AJ485" s="15" t="str">
        <f t="shared" si="20"/>
        <v>EP-finished SS 304/316L pipes and tubes for VERIFY plants in Krishnagiri. ASME BPE SF1-SF4, Ra from 0.25 um, EN 10204 3.1 certificate with every lot.</v>
      </c>
      <c r="AK485" s="15" t="str">
        <f t="shared" si="21"/>
        <v>Electropolished stainless steel pipes supplied by Sakshi Forge to VERIFY plants at SIPCOT Industrial Area, Krishnagiri</v>
      </c>
      <c r="AL485" s="15" t="str">
        <f t="shared" si="22"/>
        <v>Electropolished SS 316L tube stock for Krishnagiri - Sakshi Forge</v>
      </c>
      <c r="AM485" s="15" t="str">
        <f t="shared" si="23"/>
        <v>Home &gt; Market Area &gt; India &gt; Tamil Nadu &gt; Krishnagiri</v>
      </c>
      <c r="AN485" s="15">
        <f t="shared" si="24"/>
        <v>1000</v>
      </c>
      <c r="AO485" s="15">
        <f t="shared" si="25"/>
        <v>8</v>
      </c>
      <c r="AP485" s="15">
        <f t="shared" si="26"/>
        <v>8</v>
      </c>
      <c r="AQ485" s="15">
        <f t="shared" si="27"/>
        <v>9</v>
      </c>
      <c r="AR485" s="31"/>
      <c r="AS485" s="31"/>
      <c r="AT485" s="35" t="s">
        <v>222</v>
      </c>
      <c r="AU485" s="35"/>
    </row>
    <row r="486" ht="15.75" customHeight="1">
      <c r="A486" s="15" t="s">
        <v>3773</v>
      </c>
      <c r="B486" s="15" t="s">
        <v>60</v>
      </c>
      <c r="C486" s="15" t="s">
        <v>1165</v>
      </c>
      <c r="D486" s="15" t="s">
        <v>3774</v>
      </c>
      <c r="E486" s="15" t="s">
        <v>3774</v>
      </c>
      <c r="F486" s="65" t="s">
        <v>788</v>
      </c>
      <c r="G486" s="66" t="s">
        <v>98</v>
      </c>
      <c r="H486" s="18" t="s">
        <v>3777</v>
      </c>
      <c r="I486" s="18" t="s">
        <v>8404</v>
      </c>
      <c r="J486" s="18" t="s">
        <v>98</v>
      </c>
      <c r="K486" s="18" t="s">
        <v>98</v>
      </c>
      <c r="L486" s="18" t="s">
        <v>98</v>
      </c>
      <c r="M486" s="18" t="s">
        <v>98</v>
      </c>
      <c r="N486" s="18" t="s">
        <v>98</v>
      </c>
      <c r="O486" s="18" t="s">
        <v>98</v>
      </c>
      <c r="P486" s="15" t="str">
        <f t="shared" si="1"/>
        <v>VERIFY</v>
      </c>
      <c r="Q486" s="15">
        <f t="shared" si="2"/>
        <v>3</v>
      </c>
      <c r="R486" s="15">
        <f t="shared" si="3"/>
        <v>7</v>
      </c>
      <c r="S486" s="15">
        <f t="shared" si="4"/>
        <v>3</v>
      </c>
      <c r="T486" s="15" t="str">
        <f t="shared" si="5"/>
        <v>B-3</v>
      </c>
      <c r="U486" s="15" t="str">
        <f t="shared" si="6"/>
        <v>T3-M7-H3-FB-3-VERIFY</v>
      </c>
      <c r="V486" s="15">
        <f t="shared" si="7"/>
        <v>0</v>
      </c>
      <c r="W486" s="31"/>
      <c r="X486" s="15" t="str">
        <f t="shared" si="8"/>
        <v>krishnanagar</v>
      </c>
      <c r="Y486" s="32" t="str">
        <f t="shared" si="9"/>
        <v>https://steelmanufacturer.in/market-area/electropolished-pipes-manufacturer-in-krishnanagar/</v>
      </c>
      <c r="Z486" s="15" t="str">
        <f t="shared" si="10"/>
        <v>Electropolished Pipes Manufacturer in Krishnanagar</v>
      </c>
      <c r="AA486" s="15" t="str">
        <f t="shared" si="11"/>
        <v>OK (50)</v>
      </c>
      <c r="AB486" s="15" t="str">
        <f t="shared" si="12"/>
        <v>Electropolished pipes in Krishnanagar: 304, 304L, 316 and 316L in SF1-SF4. VERIFY. Mill certified.</v>
      </c>
      <c r="AC486" s="15" t="str">
        <f t="shared" si="13"/>
        <v>PENDING RESEARCH</v>
      </c>
      <c r="AD486" s="15" t="str">
        <f t="shared" si="14"/>
        <v>Electropolished Pipes Manufacturer in Krishnanagar</v>
      </c>
      <c r="AE486" s="15" t="str">
        <f t="shared" si="15"/>
        <v>Electropolished Pipes Manufacturer in Krishnanagar - Our Process &amp; Capability</v>
      </c>
      <c r="AF486" s="15" t="str">
        <f t="shared" si="16"/>
        <v>Electropolished Pipes Supplier in Krishnanagar - What We Hold in Stock</v>
      </c>
      <c r="AG486" s="15" t="str">
        <f t="shared" si="17"/>
        <v>Bulk &amp; Wholesale Electropolished Pipe Rates for Krishnanagar Buyers</v>
      </c>
      <c r="AH486" s="15" t="str">
        <f t="shared" si="18"/>
        <v>electropolished pipes manufacturer in Krishnanagar, electropolished pipes supplier in Krishnanagar, electropolished pipes wholesaler in Krishnanagar, electropolished tube manufacturer Krishnanagar, EP pipe supplier Krishnanagar, sanitary tube supplier Krishnanagar, ASME BPE tubing Krishnanagar, ASTM A270 tube Krishnanagar, SS 316L electropolished pipe Krishnanagar</v>
      </c>
      <c r="AI486" s="15" t="str">
        <f t="shared" si="19"/>
        <v>Electropolished Pipes Manufacturer &amp; Supplier in Krishnanagar</v>
      </c>
      <c r="AJ486" s="15" t="str">
        <f t="shared" si="20"/>
        <v>EP-finished SS 304/316L pipes and tubes for VERIFY plants in Krishnanagar. ASME BPE SF1-SF4, Ra from 0.25 um, EN 10204 3.1 certificate with every lot.</v>
      </c>
      <c r="AK486" s="15" t="str">
        <f t="shared" si="21"/>
        <v>Electropolished stainless steel pipes supplied by Sakshi Forge to VERIFY plants at WBIDC Industrial Area, Krishnanagar</v>
      </c>
      <c r="AL486" s="15" t="str">
        <f t="shared" si="22"/>
        <v>Electropolished SS 316L tube stock for Krishnanagar - Sakshi Forge</v>
      </c>
      <c r="AM486" s="15" t="str">
        <f t="shared" si="23"/>
        <v>Home &gt; Market Area &gt; India &gt; West Bengal &gt; Krishnanagar</v>
      </c>
      <c r="AN486" s="15">
        <f t="shared" si="24"/>
        <v>1000</v>
      </c>
      <c r="AO486" s="15">
        <f t="shared" si="25"/>
        <v>8</v>
      </c>
      <c r="AP486" s="15">
        <f t="shared" si="26"/>
        <v>8</v>
      </c>
      <c r="AQ486" s="15">
        <f t="shared" si="27"/>
        <v>9</v>
      </c>
      <c r="AR486" s="31"/>
      <c r="AS486" s="31"/>
      <c r="AT486" s="35" t="s">
        <v>222</v>
      </c>
      <c r="AU486" s="35"/>
    </row>
    <row r="487" ht="15.75" customHeight="1">
      <c r="A487" s="15" t="s">
        <v>3778</v>
      </c>
      <c r="B487" s="15" t="s">
        <v>60</v>
      </c>
      <c r="C487" s="15" t="s">
        <v>447</v>
      </c>
      <c r="D487" s="15" t="s">
        <v>3779</v>
      </c>
      <c r="E487" s="15" t="s">
        <v>3779</v>
      </c>
      <c r="F487" s="65" t="s">
        <v>788</v>
      </c>
      <c r="G487" s="66" t="s">
        <v>98</v>
      </c>
      <c r="H487" s="18" t="s">
        <v>3782</v>
      </c>
      <c r="I487" s="18" t="s">
        <v>8411</v>
      </c>
      <c r="J487" s="18" t="s">
        <v>98</v>
      </c>
      <c r="K487" s="18" t="s">
        <v>98</v>
      </c>
      <c r="L487" s="18" t="s">
        <v>98</v>
      </c>
      <c r="M487" s="18" t="s">
        <v>98</v>
      </c>
      <c r="N487" s="18" t="s">
        <v>98</v>
      </c>
      <c r="O487" s="18" t="s">
        <v>98</v>
      </c>
      <c r="P487" s="15" t="str">
        <f t="shared" si="1"/>
        <v>VERIFY</v>
      </c>
      <c r="Q487" s="15">
        <f t="shared" si="2"/>
        <v>4</v>
      </c>
      <c r="R487" s="15">
        <f t="shared" si="3"/>
        <v>1</v>
      </c>
      <c r="S487" s="15">
        <f t="shared" si="4"/>
        <v>4</v>
      </c>
      <c r="T487" s="15" t="str">
        <f t="shared" si="5"/>
        <v>B-4</v>
      </c>
      <c r="U487" s="15" t="str">
        <f t="shared" si="6"/>
        <v>T4-M1-H4-FB-4-VERIFY</v>
      </c>
      <c r="V487" s="15">
        <f t="shared" si="7"/>
        <v>0</v>
      </c>
      <c r="W487" s="31"/>
      <c r="X487" s="15" t="str">
        <f t="shared" si="8"/>
        <v>kullu</v>
      </c>
      <c r="Y487" s="32" t="str">
        <f t="shared" si="9"/>
        <v>https://steelmanufacturer.in/market-area/electropolished-pipes-manufacturer-in-kullu/</v>
      </c>
      <c r="Z487" s="15" t="str">
        <f t="shared" si="10"/>
        <v>Electropolished Pipes Manufacturer in Kullu - SS 304/316L EP Tube</v>
      </c>
      <c r="AA487" s="15" t="str">
        <f t="shared" si="11"/>
        <v>OK (65)</v>
      </c>
      <c r="AB487" s="15" t="str">
        <f t="shared" si="12"/>
        <v>EP-finished SS 304/316L pipes &amp; tubes for VERIFY plants in Kullu. ASTM A270, ASME BPE SF1-SF4, EN 10204 3.1 MTC. PMI tested.</v>
      </c>
      <c r="AC487" s="15" t="str">
        <f t="shared" si="13"/>
        <v>PENDING RESEARCH</v>
      </c>
      <c r="AD487" s="15" t="str">
        <f t="shared" si="14"/>
        <v>Electropolished Pipes Manufacturer in Kullu</v>
      </c>
      <c r="AE487" s="15" t="str">
        <f t="shared" si="15"/>
        <v>Manufacturing Electropolished SS Tube for Kullu: The Standards We Build To</v>
      </c>
      <c r="AF487" s="15" t="str">
        <f t="shared" si="16"/>
        <v>Electropolished Pipe Supply Into Kullu - Certification &amp; Transit</v>
      </c>
      <c r="AG487" s="15" t="str">
        <f t="shared" si="17"/>
        <v>Electropolished Pipes Wholesaler in Kullu - Project Quantities &amp; Terms</v>
      </c>
      <c r="AH487" s="15" t="str">
        <f t="shared" si="18"/>
        <v>electropolished pipes manufacturer in Kullu, electropolished pipes supplier in Kullu, electropolished pipes wholesaler in Kullu, electropolished tube manufacturer Kullu, EP pipe supplier Kullu, sanitary tube supplier Kullu, ASME BPE tubing Kullu, ASTM A270 tube Kullu, SS 316L electropolished pipe Kullu</v>
      </c>
      <c r="AI487" s="15" t="str">
        <f t="shared" si="19"/>
        <v>Electropolished Pipes Manufacturer &amp; Supplier in Kullu</v>
      </c>
      <c r="AJ487" s="15" t="str">
        <f t="shared" si="20"/>
        <v>EP-finished SS 304/316L pipes and tubes for VERIFY plants in Kullu. ASME BPE SF1-SF4, Ra from 0.25 um, EN 10204 3.1 certificate with every lot.</v>
      </c>
      <c r="AK487" s="15" t="str">
        <f t="shared" si="21"/>
        <v>Electropolished stainless steel pipes supplied by Sakshi Forge to VERIFY plants at HPSIDC Industrial Area, Kullu</v>
      </c>
      <c r="AL487" s="15" t="str">
        <f t="shared" si="22"/>
        <v>Electropolished SS 316L tube stock for Kullu - Sakshi Forge</v>
      </c>
      <c r="AM487" s="15" t="str">
        <f t="shared" si="23"/>
        <v>Home &gt; Market Area &gt; India &gt; Himachal Pradesh &gt; Kullu</v>
      </c>
      <c r="AN487" s="15">
        <f t="shared" si="24"/>
        <v>1000</v>
      </c>
      <c r="AO487" s="15">
        <f t="shared" si="25"/>
        <v>8</v>
      </c>
      <c r="AP487" s="15">
        <f t="shared" si="26"/>
        <v>8</v>
      </c>
      <c r="AQ487" s="15">
        <f t="shared" si="27"/>
        <v>9</v>
      </c>
      <c r="AR487" s="31"/>
      <c r="AS487" s="31"/>
      <c r="AT487" s="35" t="s">
        <v>222</v>
      </c>
      <c r="AU487" s="35"/>
    </row>
    <row r="488" ht="15.75" customHeight="1">
      <c r="A488" s="15" t="s">
        <v>3786</v>
      </c>
      <c r="B488" s="15" t="s">
        <v>60</v>
      </c>
      <c r="C488" s="15" t="s">
        <v>264</v>
      </c>
      <c r="D488" s="15" t="s">
        <v>3791</v>
      </c>
      <c r="E488" s="15" t="s">
        <v>3791</v>
      </c>
      <c r="F488" s="65" t="s">
        <v>788</v>
      </c>
      <c r="G488" s="66" t="s">
        <v>98</v>
      </c>
      <c r="H488" s="18" t="s">
        <v>3793</v>
      </c>
      <c r="I488" s="18" t="s">
        <v>8395</v>
      </c>
      <c r="J488" s="18" t="s">
        <v>98</v>
      </c>
      <c r="K488" s="18" t="s">
        <v>98</v>
      </c>
      <c r="L488" s="18" t="s">
        <v>98</v>
      </c>
      <c r="M488" s="18" t="s">
        <v>98</v>
      </c>
      <c r="N488" s="18" t="s">
        <v>98</v>
      </c>
      <c r="O488" s="18" t="s">
        <v>98</v>
      </c>
      <c r="P488" s="15" t="str">
        <f t="shared" si="1"/>
        <v>VERIFY</v>
      </c>
      <c r="Q488" s="15">
        <f t="shared" si="2"/>
        <v>5</v>
      </c>
      <c r="R488" s="15">
        <f t="shared" si="3"/>
        <v>2</v>
      </c>
      <c r="S488" s="15">
        <f t="shared" si="4"/>
        <v>5</v>
      </c>
      <c r="T488" s="15" t="str">
        <f t="shared" si="5"/>
        <v>B-5</v>
      </c>
      <c r="U488" s="15" t="str">
        <f t="shared" si="6"/>
        <v>T5-M2-H5-FB-5-VERIFY</v>
      </c>
      <c r="V488" s="15">
        <f t="shared" si="7"/>
        <v>0</v>
      </c>
      <c r="W488" s="31"/>
      <c r="X488" s="15" t="str">
        <f t="shared" si="8"/>
        <v>kurkumbh</v>
      </c>
      <c r="Y488" s="32" t="str">
        <f t="shared" si="9"/>
        <v>https://steelmanufacturer.in/market-area/electropolished-pipes-manufacturer-in-kurkumbh/</v>
      </c>
      <c r="Z488" s="15" t="str">
        <f t="shared" si="10"/>
        <v>Electropolished Pipes Manufacturer in Kurkumbh</v>
      </c>
      <c r="AA488" s="15" t="str">
        <f t="shared" si="11"/>
        <v>OK (46)</v>
      </c>
      <c r="AB488" s="15" t="str">
        <f t="shared" si="12"/>
        <v>Electropolished tube supply to MIDC Industrial Area, Kurkumbh. Ra from 0.25 um, SF4 finish, mill test certificate with every lot.</v>
      </c>
      <c r="AC488" s="15" t="str">
        <f t="shared" si="13"/>
        <v>PENDING RESEARCH</v>
      </c>
      <c r="AD488" s="15" t="str">
        <f t="shared" si="14"/>
        <v>Electropolished Pipes Manufacturer in Kurkumbh</v>
      </c>
      <c r="AE488" s="15" t="str">
        <f t="shared" si="15"/>
        <v>Electropolished Tube Manufacturing Capability Serving Kurkumbh</v>
      </c>
      <c r="AF488" s="15" t="str">
        <f t="shared" si="16"/>
        <v>Electropolished Pipes Supplier in Kurkumbh - From Order to Delivery</v>
      </c>
      <c r="AG488" s="15" t="str">
        <f t="shared" si="17"/>
        <v>Stockist &amp; Wholesale Supply of Electropolished Pipes in Kurkumbh</v>
      </c>
      <c r="AH488" s="15" t="str">
        <f t="shared" si="18"/>
        <v>electropolished pipes manufacturer in Kurkumbh, electropolished pipes supplier in Kurkumbh, electropolished pipes wholesaler in Kurkumbh, electropolished tube manufacturer Kurkumbh, EP pipe supplier Kurkumbh, sanitary tube supplier Kurkumbh, ASME BPE tubing Kurkumbh, ASTM A270 tube Kurkumbh, SS 316L electropolished pipe Kurkumbh</v>
      </c>
      <c r="AI488" s="15" t="str">
        <f t="shared" si="19"/>
        <v>Electropolished Pipes Manufacturer &amp; Supplier in Kurkumbh</v>
      </c>
      <c r="AJ488" s="15" t="str">
        <f t="shared" si="20"/>
        <v>EP-finished SS 304/316L pipes and tubes for VERIFY plants in Kurkumbh. ASME BPE SF1-SF4, Ra from 0.25 um, EN 10204 3.1 certificate with every lot.</v>
      </c>
      <c r="AK488" s="15" t="str">
        <f t="shared" si="21"/>
        <v>Electropolished stainless steel pipes supplied by Sakshi Forge to VERIFY plants at MIDC Industrial Area, Kurkumbh</v>
      </c>
      <c r="AL488" s="15" t="str">
        <f t="shared" si="22"/>
        <v>Electropolished SS 316L tube stock for Kurkumbh - Sakshi Forge</v>
      </c>
      <c r="AM488" s="15" t="str">
        <f t="shared" si="23"/>
        <v>Home &gt; Market Area &gt; India &gt; Maharashtra &gt; Kurkumbh</v>
      </c>
      <c r="AN488" s="15">
        <f t="shared" si="24"/>
        <v>1000</v>
      </c>
      <c r="AO488" s="15">
        <f t="shared" si="25"/>
        <v>8</v>
      </c>
      <c r="AP488" s="15">
        <f t="shared" si="26"/>
        <v>8</v>
      </c>
      <c r="AQ488" s="15">
        <f t="shared" si="27"/>
        <v>9</v>
      </c>
      <c r="AR488" s="31"/>
      <c r="AS488" s="31"/>
      <c r="AT488" s="35" t="s">
        <v>222</v>
      </c>
      <c r="AU488" s="35"/>
    </row>
    <row r="489" ht="15.75" customHeight="1">
      <c r="A489" s="15" t="s">
        <v>3794</v>
      </c>
      <c r="B489" s="15" t="s">
        <v>60</v>
      </c>
      <c r="C489" s="15" t="s">
        <v>413</v>
      </c>
      <c r="D489" s="15" t="s">
        <v>3795</v>
      </c>
      <c r="E489" s="15" t="s">
        <v>3795</v>
      </c>
      <c r="F489" s="65" t="s">
        <v>788</v>
      </c>
      <c r="G489" s="66" t="s">
        <v>98</v>
      </c>
      <c r="H489" s="18" t="s">
        <v>3797</v>
      </c>
      <c r="I489" s="18" t="s">
        <v>8393</v>
      </c>
      <c r="J489" s="18" t="s">
        <v>98</v>
      </c>
      <c r="K489" s="18" t="s">
        <v>98</v>
      </c>
      <c r="L489" s="18" t="s">
        <v>98</v>
      </c>
      <c r="M489" s="18" t="s">
        <v>98</v>
      </c>
      <c r="N489" s="18" t="s">
        <v>98</v>
      </c>
      <c r="O489" s="18" t="s">
        <v>98</v>
      </c>
      <c r="P489" s="15" t="str">
        <f t="shared" si="1"/>
        <v>VERIFY</v>
      </c>
      <c r="Q489" s="15">
        <f t="shared" si="2"/>
        <v>6</v>
      </c>
      <c r="R489" s="15">
        <f t="shared" si="3"/>
        <v>3</v>
      </c>
      <c r="S489" s="15">
        <f t="shared" si="4"/>
        <v>1</v>
      </c>
      <c r="T489" s="15" t="str">
        <f t="shared" si="5"/>
        <v>B-6</v>
      </c>
      <c r="U489" s="15" t="str">
        <f t="shared" si="6"/>
        <v>T6-M3-H1-FB-6-VERIFY</v>
      </c>
      <c r="V489" s="15">
        <f t="shared" si="7"/>
        <v>0</v>
      </c>
      <c r="W489" s="31"/>
      <c r="X489" s="15" t="str">
        <f t="shared" si="8"/>
        <v>kurnool</v>
      </c>
      <c r="Y489" s="32" t="str">
        <f t="shared" si="9"/>
        <v>https://steelmanufacturer.in/market-area/electropolished-pipes-manufacturer-in-kurnool/</v>
      </c>
      <c r="Z489" s="15" t="str">
        <f t="shared" si="10"/>
        <v>Electropolished Pipes Manufacturer in Kurnool</v>
      </c>
      <c r="AA489" s="15" t="str">
        <f t="shared" si="11"/>
        <v>OK (45)</v>
      </c>
      <c r="AB489" s="15" t="str">
        <f t="shared" si="12"/>
        <v>EP stainless tube for VERIFY lines in Kurnool. VERIFY. ASTM A270 S2, PMI tested, EN 10204 3.1.</v>
      </c>
      <c r="AC489" s="15" t="str">
        <f t="shared" si="13"/>
        <v>PENDING RESEARCH</v>
      </c>
      <c r="AD489" s="15" t="str">
        <f t="shared" si="14"/>
        <v>Electropolished Pipes Manufacturer in Kurnool</v>
      </c>
      <c r="AE489" s="15" t="str">
        <f t="shared" si="15"/>
        <v>Electropolished Pipe &amp; Tube Manufacturing for Kurnool - Grades, Finishes &amp; Certification</v>
      </c>
      <c r="AF489" s="15" t="str">
        <f t="shared" si="16"/>
        <v>Electropolished Pipes Supplier in Kurnool - Stock Sizes, Lead Time &amp; Delivery</v>
      </c>
      <c r="AG489" s="15" t="str">
        <f t="shared" si="17"/>
        <v>Electropolished Pipes Wholesaler &amp; Stockist in Kurnool - Bulk &amp; Project Pricing</v>
      </c>
      <c r="AH489" s="15" t="str">
        <f t="shared" si="18"/>
        <v>electropolished pipes manufacturer in Kurnool, electropolished pipes supplier in Kurnool, electropolished pipes wholesaler in Kurnool, electropolished tube manufacturer Kurnool, EP pipe supplier Kurnool, sanitary tube supplier Kurnool, ASME BPE tubing Kurnool, ASTM A270 tube Kurnool, SS 316L electropolished pipe Kurnool</v>
      </c>
      <c r="AI489" s="15" t="str">
        <f t="shared" si="19"/>
        <v>Electropolished Pipes Manufacturer &amp; Supplier in Kurnool</v>
      </c>
      <c r="AJ489" s="15" t="str">
        <f t="shared" si="20"/>
        <v>EP-finished SS 304/316L pipes and tubes for VERIFY plants in Kurnool. ASME BPE SF1-SF4, Ra from 0.25 um, EN 10204 3.1 certificate with every lot.</v>
      </c>
      <c r="AK489" s="15" t="str">
        <f t="shared" si="21"/>
        <v>Electropolished stainless steel pipes supplied by Sakshi Forge to VERIFY plants at APIIC Industrial Area, Kurnool</v>
      </c>
      <c r="AL489" s="15" t="str">
        <f t="shared" si="22"/>
        <v>Electropolished SS 316L tube stock for Kurnool - Sakshi Forge</v>
      </c>
      <c r="AM489" s="15" t="str">
        <f t="shared" si="23"/>
        <v>Home &gt; Market Area &gt; India &gt; Andhra Pradesh &gt; Kurnool</v>
      </c>
      <c r="AN489" s="15">
        <f t="shared" si="24"/>
        <v>1000</v>
      </c>
      <c r="AO489" s="15">
        <f t="shared" si="25"/>
        <v>8</v>
      </c>
      <c r="AP489" s="15">
        <f t="shared" si="26"/>
        <v>8</v>
      </c>
      <c r="AQ489" s="15">
        <f t="shared" si="27"/>
        <v>9</v>
      </c>
      <c r="AR489" s="31"/>
      <c r="AS489" s="31"/>
      <c r="AT489" s="35" t="s">
        <v>222</v>
      </c>
      <c r="AU489" s="35"/>
    </row>
    <row r="490" ht="15.75" customHeight="1">
      <c r="A490" s="15" t="s">
        <v>3798</v>
      </c>
      <c r="B490" s="15" t="s">
        <v>60</v>
      </c>
      <c r="C490" s="15" t="s">
        <v>245</v>
      </c>
      <c r="D490" s="15" t="s">
        <v>3799</v>
      </c>
      <c r="E490" s="15" t="s">
        <v>3799</v>
      </c>
      <c r="F490" s="65" t="s">
        <v>788</v>
      </c>
      <c r="G490" s="66" t="s">
        <v>98</v>
      </c>
      <c r="H490" s="18" t="s">
        <v>3802</v>
      </c>
      <c r="I490" s="18" t="s">
        <v>8407</v>
      </c>
      <c r="J490" s="18" t="s">
        <v>98</v>
      </c>
      <c r="K490" s="18" t="s">
        <v>98</v>
      </c>
      <c r="L490" s="18" t="s">
        <v>98</v>
      </c>
      <c r="M490" s="18" t="s">
        <v>98</v>
      </c>
      <c r="N490" s="18" t="s">
        <v>98</v>
      </c>
      <c r="O490" s="18" t="s">
        <v>98</v>
      </c>
      <c r="P490" s="15" t="str">
        <f t="shared" si="1"/>
        <v>VERIFY</v>
      </c>
      <c r="Q490" s="15">
        <f t="shared" si="2"/>
        <v>7</v>
      </c>
      <c r="R490" s="15">
        <f t="shared" si="3"/>
        <v>4</v>
      </c>
      <c r="S490" s="15">
        <f t="shared" si="4"/>
        <v>2</v>
      </c>
      <c r="T490" s="15" t="str">
        <f t="shared" si="5"/>
        <v>B-1</v>
      </c>
      <c r="U490" s="15" t="str">
        <f t="shared" si="6"/>
        <v>T7-M4-H2-FB-1-VERIFY</v>
      </c>
      <c r="V490" s="15">
        <f t="shared" si="7"/>
        <v>0</v>
      </c>
      <c r="W490" s="31"/>
      <c r="X490" s="15" t="str">
        <f t="shared" si="8"/>
        <v>kurukshetra</v>
      </c>
      <c r="Y490" s="32" t="str">
        <f t="shared" si="9"/>
        <v>https://steelmanufacturer.in/market-area/electropolished-pipes-manufacturer-in-kurukshetra/</v>
      </c>
      <c r="Z490" s="15" t="str">
        <f t="shared" si="10"/>
        <v>Electropolished Pipes Manufacturer in Kurukshetra</v>
      </c>
      <c r="AA490" s="15" t="str">
        <f t="shared" si="11"/>
        <v>OK (49)</v>
      </c>
      <c r="AB490" s="15" t="str">
        <f t="shared" si="12"/>
        <v>Sanitary electropolished pipes in Kurukshetra for VERIFY plants. ASME BPE SF1-SF4, orbital-weld ready, 3.1 MTC. Mumbai-made.</v>
      </c>
      <c r="AC490" s="15" t="str">
        <f t="shared" si="13"/>
        <v>PENDING RESEARCH</v>
      </c>
      <c r="AD490" s="15" t="str">
        <f t="shared" si="14"/>
        <v>Electropolished Pipes Manufacturer in Kurukshetra</v>
      </c>
      <c r="AE490" s="15" t="str">
        <f t="shared" si="15"/>
        <v>How We Manufacture Electropolished Tube for Kurukshetra Plants</v>
      </c>
      <c r="AF490" s="15" t="str">
        <f t="shared" si="16"/>
        <v>Supplying Electropolished Pipes in Kurukshetra: Availability, Sizes &amp; Dispatch</v>
      </c>
      <c r="AG490" s="15" t="str">
        <f t="shared" si="17"/>
        <v>Wholesale Electropolished Pipe Supply for Kurukshetra Projects</v>
      </c>
      <c r="AH490" s="15" t="str">
        <f t="shared" si="18"/>
        <v>electropolished pipes manufacturer in Kurukshetra, electropolished pipes supplier in Kurukshetra, electropolished pipes wholesaler in Kurukshetra, electropolished tube manufacturer Kurukshetra, EP pipe supplier Kurukshetra, sanitary tube supplier Kurukshetra, ASME BPE tubing Kurukshetra, ASTM A270 tube Kurukshetra, SS 316L electropolished pipe Kurukshetra</v>
      </c>
      <c r="AI490" s="15" t="str">
        <f t="shared" si="19"/>
        <v>Electropolished Pipes Manufacturer &amp; Supplier in Kurukshetra</v>
      </c>
      <c r="AJ490" s="15" t="str">
        <f t="shared" si="20"/>
        <v>EP-finished SS 304/316L pipes and tubes for VERIFY plants in Kurukshetra. ASME BPE SF1-SF4, Ra from 0.25 um, EN 10204 3.1 certificate with every lot.</v>
      </c>
      <c r="AK490" s="15" t="str">
        <f t="shared" si="21"/>
        <v>Electropolished stainless steel pipes supplied by Sakshi Forge to VERIFY plants at HSIIDC Industrial Area, Kurukshetra</v>
      </c>
      <c r="AL490" s="15" t="str">
        <f t="shared" si="22"/>
        <v>Electropolished SS 316L tube stock for Kurukshetra - Sakshi Forge</v>
      </c>
      <c r="AM490" s="15" t="str">
        <f t="shared" si="23"/>
        <v>Home &gt; Market Area &gt; India &gt; Haryana &gt; Kurukshetra</v>
      </c>
      <c r="AN490" s="15">
        <f t="shared" si="24"/>
        <v>1000</v>
      </c>
      <c r="AO490" s="15">
        <f t="shared" si="25"/>
        <v>8</v>
      </c>
      <c r="AP490" s="15">
        <f t="shared" si="26"/>
        <v>8</v>
      </c>
      <c r="AQ490" s="15">
        <f t="shared" si="27"/>
        <v>9</v>
      </c>
      <c r="AR490" s="31"/>
      <c r="AS490" s="31"/>
      <c r="AT490" s="35" t="s">
        <v>222</v>
      </c>
      <c r="AU490" s="35"/>
    </row>
    <row r="491" ht="15.75" customHeight="1">
      <c r="A491" s="15" t="s">
        <v>3804</v>
      </c>
      <c r="B491" s="15" t="s">
        <v>60</v>
      </c>
      <c r="C491" s="15" t="s">
        <v>354</v>
      </c>
      <c r="D491" s="15" t="s">
        <v>3805</v>
      </c>
      <c r="E491" s="15" t="s">
        <v>3805</v>
      </c>
      <c r="F491" s="65" t="s">
        <v>788</v>
      </c>
      <c r="G491" s="66" t="s">
        <v>98</v>
      </c>
      <c r="H491" s="18" t="s">
        <v>3807</v>
      </c>
      <c r="I491" s="18" t="s">
        <v>8408</v>
      </c>
      <c r="J491" s="18" t="s">
        <v>98</v>
      </c>
      <c r="K491" s="18" t="s">
        <v>98</v>
      </c>
      <c r="L491" s="18" t="s">
        <v>98</v>
      </c>
      <c r="M491" s="18" t="s">
        <v>98</v>
      </c>
      <c r="N491" s="18" t="s">
        <v>98</v>
      </c>
      <c r="O491" s="18" t="s">
        <v>98</v>
      </c>
      <c r="P491" s="15" t="str">
        <f t="shared" si="1"/>
        <v>VERIFY</v>
      </c>
      <c r="Q491" s="15">
        <f t="shared" si="2"/>
        <v>8</v>
      </c>
      <c r="R491" s="15">
        <f t="shared" si="3"/>
        <v>5</v>
      </c>
      <c r="S491" s="15">
        <f t="shared" si="4"/>
        <v>3</v>
      </c>
      <c r="T491" s="15" t="str">
        <f t="shared" si="5"/>
        <v>B-2</v>
      </c>
      <c r="U491" s="15" t="str">
        <f t="shared" si="6"/>
        <v>T8-M5-H3-FB-2-VERIFY</v>
      </c>
      <c r="V491" s="15">
        <f t="shared" si="7"/>
        <v>0</v>
      </c>
      <c r="W491" s="31"/>
      <c r="X491" s="15" t="str">
        <f t="shared" si="8"/>
        <v>lalru</v>
      </c>
      <c r="Y491" s="32" t="str">
        <f t="shared" si="9"/>
        <v>https://steelmanufacturer.in/market-area/electropolished-pipes-manufacturer-in-lalru/</v>
      </c>
      <c r="Z491" s="15" t="str">
        <f t="shared" si="10"/>
        <v>Electropolished Pipes Manufacturer in Lalru - EP Tube Stockist</v>
      </c>
      <c r="AA491" s="15" t="str">
        <f t="shared" si="11"/>
        <v>OK (62)</v>
      </c>
      <c r="AB491" s="15" t="str">
        <f t="shared" si="12"/>
        <v>Manufacturer of electropolished SS 316L tube serving Lalru. VERIFY. Ra 0.25-0.5 um, EN 10204 3.1 MTC.</v>
      </c>
      <c r="AC491" s="15" t="str">
        <f t="shared" si="13"/>
        <v>PENDING RESEARCH</v>
      </c>
      <c r="AD491" s="15" t="str">
        <f t="shared" si="14"/>
        <v>Electropolished Pipes Manufacturer in Lalru</v>
      </c>
      <c r="AE491" s="15" t="str">
        <f t="shared" si="15"/>
        <v>Electropolished Pipes Manufacturer in Lalru - Our Process &amp; Capability</v>
      </c>
      <c r="AF491" s="15" t="str">
        <f t="shared" si="16"/>
        <v>Electropolished Pipes Supplier in Lalru - What We Hold in Stock</v>
      </c>
      <c r="AG491" s="15" t="str">
        <f t="shared" si="17"/>
        <v>Bulk &amp; Wholesale Electropolished Pipe Rates for Lalru Buyers</v>
      </c>
      <c r="AH491" s="15" t="str">
        <f t="shared" si="18"/>
        <v>electropolished pipes manufacturer in Lalru, electropolished pipes supplier in Lalru, electropolished pipes wholesaler in Lalru, electropolished tube manufacturer Lalru, EP pipe supplier Lalru, sanitary tube supplier Lalru, ASME BPE tubing Lalru, ASTM A270 tube Lalru, SS 316L electropolished pipe Lalru</v>
      </c>
      <c r="AI491" s="15" t="str">
        <f t="shared" si="19"/>
        <v>Electropolished Pipes Manufacturer &amp; Supplier in Lalru</v>
      </c>
      <c r="AJ491" s="15" t="str">
        <f t="shared" si="20"/>
        <v>EP-finished SS 304/316L pipes and tubes for VERIFY plants in Lalru. ASME BPE SF1-SF4, Ra from 0.25 um, EN 10204 3.1 certificate with every lot.</v>
      </c>
      <c r="AK491" s="15" t="str">
        <f t="shared" si="21"/>
        <v>Electropolished stainless steel pipes supplied by Sakshi Forge to VERIFY plants at PSIEC Industrial Area, Lalru</v>
      </c>
      <c r="AL491" s="15" t="str">
        <f t="shared" si="22"/>
        <v>Electropolished SS 316L tube stock for Lalru - Sakshi Forge</v>
      </c>
      <c r="AM491" s="15" t="str">
        <f t="shared" si="23"/>
        <v>Home &gt; Market Area &gt; India &gt; Punjab &gt; Lalru</v>
      </c>
      <c r="AN491" s="15">
        <f t="shared" si="24"/>
        <v>1000</v>
      </c>
      <c r="AO491" s="15">
        <f t="shared" si="25"/>
        <v>8</v>
      </c>
      <c r="AP491" s="15">
        <f t="shared" si="26"/>
        <v>8</v>
      </c>
      <c r="AQ491" s="15">
        <f t="shared" si="27"/>
        <v>9</v>
      </c>
      <c r="AR491" s="31"/>
      <c r="AS491" s="31"/>
      <c r="AT491" s="35" t="s">
        <v>222</v>
      </c>
      <c r="AU491" s="35"/>
    </row>
    <row r="492" ht="15.75" customHeight="1">
      <c r="A492" s="15" t="s">
        <v>3809</v>
      </c>
      <c r="B492" s="15" t="s">
        <v>60</v>
      </c>
      <c r="C492" s="15" t="s">
        <v>264</v>
      </c>
      <c r="D492" s="15" t="s">
        <v>3810</v>
      </c>
      <c r="E492" s="15" t="s">
        <v>3810</v>
      </c>
      <c r="F492" s="65" t="s">
        <v>788</v>
      </c>
      <c r="G492" s="66" t="s">
        <v>98</v>
      </c>
      <c r="H492" s="18" t="s">
        <v>3812</v>
      </c>
      <c r="I492" s="18" t="s">
        <v>8395</v>
      </c>
      <c r="J492" s="18" t="s">
        <v>98</v>
      </c>
      <c r="K492" s="18" t="s">
        <v>98</v>
      </c>
      <c r="L492" s="18" t="s">
        <v>98</v>
      </c>
      <c r="M492" s="18" t="s">
        <v>98</v>
      </c>
      <c r="N492" s="18" t="s">
        <v>98</v>
      </c>
      <c r="O492" s="18" t="s">
        <v>98</v>
      </c>
      <c r="P492" s="15" t="str">
        <f t="shared" si="1"/>
        <v>VERIFY</v>
      </c>
      <c r="Q492" s="15">
        <f t="shared" si="2"/>
        <v>1</v>
      </c>
      <c r="R492" s="15">
        <f t="shared" si="3"/>
        <v>6</v>
      </c>
      <c r="S492" s="15">
        <f t="shared" si="4"/>
        <v>4</v>
      </c>
      <c r="T492" s="15" t="str">
        <f t="shared" si="5"/>
        <v>B-3</v>
      </c>
      <c r="U492" s="15" t="str">
        <f t="shared" si="6"/>
        <v>T1-M6-H4-FB-3-VERIFY</v>
      </c>
      <c r="V492" s="15">
        <f t="shared" si="7"/>
        <v>0</v>
      </c>
      <c r="W492" s="31"/>
      <c r="X492" s="15" t="str">
        <f t="shared" si="8"/>
        <v>latur</v>
      </c>
      <c r="Y492" s="32" t="str">
        <f t="shared" si="9"/>
        <v>https://steelmanufacturer.in/market-area/electropolished-pipes-manufacturer-in-latur/</v>
      </c>
      <c r="Z492" s="15" t="str">
        <f t="shared" si="10"/>
        <v>Electropolished Pipes Manufacturer in Latur | Sakshi Forge</v>
      </c>
      <c r="AA492" s="15" t="str">
        <f t="shared" si="11"/>
        <v>OK (58)</v>
      </c>
      <c r="AB492" s="15" t="str">
        <f t="shared" si="12"/>
        <v>EP tube and pipe for VERIFY plants around MIDC Industrial Area, Latur. Made at our Mumbai works to ASTM A270 and ASME BPE SF1-SF4, with 3.1 MTC.</v>
      </c>
      <c r="AC492" s="15" t="str">
        <f t="shared" si="13"/>
        <v>PENDING RESEARCH</v>
      </c>
      <c r="AD492" s="15" t="str">
        <f t="shared" si="14"/>
        <v>Electropolished Pipes Manufacturer in Latur</v>
      </c>
      <c r="AE492" s="15" t="str">
        <f t="shared" si="15"/>
        <v>Manufacturing Electropolished SS Tube for Latur: The Standards We Build To</v>
      </c>
      <c r="AF492" s="15" t="str">
        <f t="shared" si="16"/>
        <v>Electropolished Pipe Supply Into Latur - Certification &amp; Transit</v>
      </c>
      <c r="AG492" s="15" t="str">
        <f t="shared" si="17"/>
        <v>Electropolished Pipes Wholesaler in Latur - Project Quantities &amp; Terms</v>
      </c>
      <c r="AH492" s="15" t="str">
        <f t="shared" si="18"/>
        <v>electropolished pipes manufacturer in Latur, electropolished pipes supplier in Latur, electropolished pipes wholesaler in Latur, electropolished tube manufacturer Latur, EP pipe supplier Latur, sanitary tube supplier Latur, ASME BPE tubing Latur, ASTM A270 tube Latur, SS 316L electropolished pipe Latur</v>
      </c>
      <c r="AI492" s="15" t="str">
        <f t="shared" si="19"/>
        <v>Electropolished Pipes Manufacturer &amp; Supplier in Latur</v>
      </c>
      <c r="AJ492" s="15" t="str">
        <f t="shared" si="20"/>
        <v>EP-finished SS 304/316L pipes and tubes for VERIFY plants in Latur. ASME BPE SF1-SF4, Ra from 0.25 um, EN 10204 3.1 certificate with every lot.</v>
      </c>
      <c r="AK492" s="15" t="str">
        <f t="shared" si="21"/>
        <v>Electropolished stainless steel pipes supplied by Sakshi Forge to VERIFY plants at MIDC Industrial Area, Latur</v>
      </c>
      <c r="AL492" s="15" t="str">
        <f t="shared" si="22"/>
        <v>Electropolished SS 316L tube stock for Latur - Sakshi Forge</v>
      </c>
      <c r="AM492" s="15" t="str">
        <f t="shared" si="23"/>
        <v>Home &gt; Market Area &gt; India &gt; Maharashtra &gt; Latur</v>
      </c>
      <c r="AN492" s="15">
        <f t="shared" si="24"/>
        <v>1000</v>
      </c>
      <c r="AO492" s="15">
        <f t="shared" si="25"/>
        <v>8</v>
      </c>
      <c r="AP492" s="15">
        <f t="shared" si="26"/>
        <v>8</v>
      </c>
      <c r="AQ492" s="15">
        <f t="shared" si="27"/>
        <v>9</v>
      </c>
      <c r="AR492" s="31"/>
      <c r="AS492" s="31"/>
      <c r="AT492" s="35" t="s">
        <v>222</v>
      </c>
      <c r="AU492" s="35"/>
    </row>
    <row r="493" ht="15.75" customHeight="1">
      <c r="A493" s="15" t="s">
        <v>3814</v>
      </c>
      <c r="B493" s="15" t="s">
        <v>60</v>
      </c>
      <c r="C493" s="15" t="s">
        <v>3816</v>
      </c>
      <c r="D493" s="15" t="s">
        <v>3818</v>
      </c>
      <c r="E493" s="15" t="s">
        <v>3818</v>
      </c>
      <c r="F493" s="65" t="s">
        <v>788</v>
      </c>
      <c r="G493" s="66" t="s">
        <v>98</v>
      </c>
      <c r="H493" s="18" t="s">
        <v>3824</v>
      </c>
      <c r="I493" s="18" t="s">
        <v>8421</v>
      </c>
      <c r="J493" s="18" t="s">
        <v>98</v>
      </c>
      <c r="K493" s="18" t="s">
        <v>98</v>
      </c>
      <c r="L493" s="18" t="s">
        <v>98</v>
      </c>
      <c r="M493" s="18" t="s">
        <v>98</v>
      </c>
      <c r="N493" s="18" t="s">
        <v>98</v>
      </c>
      <c r="O493" s="18" t="s">
        <v>98</v>
      </c>
      <c r="P493" s="15" t="str">
        <f t="shared" si="1"/>
        <v>VERIFY</v>
      </c>
      <c r="Q493" s="15">
        <f t="shared" si="2"/>
        <v>2</v>
      </c>
      <c r="R493" s="15">
        <f t="shared" si="3"/>
        <v>7</v>
      </c>
      <c r="S493" s="15">
        <f t="shared" si="4"/>
        <v>5</v>
      </c>
      <c r="T493" s="15" t="str">
        <f t="shared" si="5"/>
        <v>B-4</v>
      </c>
      <c r="U493" s="15" t="str">
        <f t="shared" si="6"/>
        <v>T2-M7-H5-FB-4-VERIFY</v>
      </c>
      <c r="V493" s="15">
        <f t="shared" si="7"/>
        <v>0</v>
      </c>
      <c r="W493" s="31"/>
      <c r="X493" s="15" t="str">
        <f t="shared" si="8"/>
        <v>leh</v>
      </c>
      <c r="Y493" s="32" t="str">
        <f t="shared" si="9"/>
        <v>https://steelmanufacturer.in/market-area/electropolished-pipes-manufacturer-in-leh/</v>
      </c>
      <c r="Z493" s="15" t="str">
        <f t="shared" si="10"/>
        <v>Electropolished Pipes Manufacturer in Leh - ASTM A270 &amp; ASME BPE</v>
      </c>
      <c r="AA493" s="15" t="str">
        <f t="shared" si="11"/>
        <v>OK (64)</v>
      </c>
      <c r="AB493" s="15" t="str">
        <f t="shared" si="12"/>
        <v>Electropolished pipes in Leh: 304, 304L, 316 and 316L in SF1-SF4. VERIFY. Mill certified.</v>
      </c>
      <c r="AC493" s="15" t="str">
        <f t="shared" si="13"/>
        <v>PENDING RESEARCH</v>
      </c>
      <c r="AD493" s="15" t="str">
        <f t="shared" si="14"/>
        <v>Electropolished Pipes Manufacturer in Leh</v>
      </c>
      <c r="AE493" s="15" t="str">
        <f t="shared" si="15"/>
        <v>Electropolished Tube Manufacturing Capability Serving Leh</v>
      </c>
      <c r="AF493" s="15" t="str">
        <f t="shared" si="16"/>
        <v>Electropolished Pipes Supplier in Leh - From Order to Delivery</v>
      </c>
      <c r="AG493" s="15" t="str">
        <f t="shared" si="17"/>
        <v>Stockist &amp; Wholesale Supply of Electropolished Pipes in Leh</v>
      </c>
      <c r="AH493" s="15" t="str">
        <f t="shared" si="18"/>
        <v>electropolished pipes manufacturer in Leh, electropolished pipes supplier in Leh, electropolished pipes wholesaler in Leh, electropolished tube manufacturer Leh, EP pipe supplier Leh, sanitary tube supplier Leh, ASME BPE tubing Leh, ASTM A270 tube Leh, SS 316L electropolished pipe Leh</v>
      </c>
      <c r="AI493" s="15" t="str">
        <f t="shared" si="19"/>
        <v>Electropolished Pipes Manufacturer &amp; Supplier in Leh</v>
      </c>
      <c r="AJ493" s="15" t="str">
        <f t="shared" si="20"/>
        <v>EP-finished SS 304/316L pipes and tubes for VERIFY plants in Leh. ASME BPE SF1-SF4, Ra from 0.25 um, EN 10204 3.1 certificate with every lot.</v>
      </c>
      <c r="AK493" s="15" t="str">
        <f t="shared" si="21"/>
        <v>Electropolished stainless steel pipes supplied by Sakshi Forge to VERIFY plants at LIDCO Industrial Area, Leh</v>
      </c>
      <c r="AL493" s="15" t="str">
        <f t="shared" si="22"/>
        <v>Electropolished SS 316L tube stock for Leh - Sakshi Forge</v>
      </c>
      <c r="AM493" s="15" t="str">
        <f t="shared" si="23"/>
        <v>Home &gt; Market Area &gt; India &gt; Ladakh &gt; Leh</v>
      </c>
      <c r="AN493" s="15">
        <f t="shared" si="24"/>
        <v>1000</v>
      </c>
      <c r="AO493" s="15">
        <f t="shared" si="25"/>
        <v>8</v>
      </c>
      <c r="AP493" s="15">
        <f t="shared" si="26"/>
        <v>8</v>
      </c>
      <c r="AQ493" s="15">
        <f t="shared" si="27"/>
        <v>9</v>
      </c>
      <c r="AR493" s="31"/>
      <c r="AS493" s="31"/>
      <c r="AT493" s="35" t="s">
        <v>222</v>
      </c>
      <c r="AU493" s="35"/>
    </row>
    <row r="494" ht="15.75" customHeight="1">
      <c r="A494" s="15" t="s">
        <v>3826</v>
      </c>
      <c r="B494" s="15" t="s">
        <v>60</v>
      </c>
      <c r="C494" s="15" t="s">
        <v>1645</v>
      </c>
      <c r="D494" s="15" t="s">
        <v>3827</v>
      </c>
      <c r="E494" s="15" t="s">
        <v>3827</v>
      </c>
      <c r="F494" s="65" t="s">
        <v>788</v>
      </c>
      <c r="G494" s="66" t="s">
        <v>98</v>
      </c>
      <c r="H494" s="18" t="s">
        <v>3829</v>
      </c>
      <c r="I494" s="18" t="s">
        <v>8396</v>
      </c>
      <c r="J494" s="18" t="s">
        <v>98</v>
      </c>
      <c r="K494" s="18" t="s">
        <v>98</v>
      </c>
      <c r="L494" s="18" t="s">
        <v>98</v>
      </c>
      <c r="M494" s="18" t="s">
        <v>98</v>
      </c>
      <c r="N494" s="18" t="s">
        <v>98</v>
      </c>
      <c r="O494" s="18" t="s">
        <v>98</v>
      </c>
      <c r="P494" s="15" t="str">
        <f t="shared" si="1"/>
        <v>VERIFY</v>
      </c>
      <c r="Q494" s="15">
        <f t="shared" si="2"/>
        <v>3</v>
      </c>
      <c r="R494" s="15">
        <f t="shared" si="3"/>
        <v>1</v>
      </c>
      <c r="S494" s="15">
        <f t="shared" si="4"/>
        <v>1</v>
      </c>
      <c r="T494" s="15" t="str">
        <f t="shared" si="5"/>
        <v>B-5</v>
      </c>
      <c r="U494" s="15" t="str">
        <f t="shared" si="6"/>
        <v>T3-M1-H1-FB-5-VERIFY</v>
      </c>
      <c r="V494" s="15">
        <f t="shared" si="7"/>
        <v>0</v>
      </c>
      <c r="W494" s="31"/>
      <c r="X494" s="15" t="str">
        <f t="shared" si="8"/>
        <v>lunglei</v>
      </c>
      <c r="Y494" s="32" t="str">
        <f t="shared" si="9"/>
        <v>https://steelmanufacturer.in/market-area/electropolished-pipes-manufacturer-in-lunglei/</v>
      </c>
      <c r="Z494" s="15" t="str">
        <f t="shared" si="10"/>
        <v>Electropolished Pipes Manufacturer in Lunglei | EP Tube Supplier</v>
      </c>
      <c r="AA494" s="15" t="str">
        <f t="shared" si="11"/>
        <v>OK (64)</v>
      </c>
      <c r="AB494" s="15" t="str">
        <f t="shared" si="12"/>
        <v>EP-finished SS 304/316L pipes &amp; tubes for VERIFY plants in Lunglei. ASTM A270, ASME BPE SF1-SF4, EN 10204 3.1 MTC. PMI tested.</v>
      </c>
      <c r="AC494" s="15" t="str">
        <f t="shared" si="13"/>
        <v>PENDING RESEARCH</v>
      </c>
      <c r="AD494" s="15" t="str">
        <f t="shared" si="14"/>
        <v>Electropolished Pipes Manufacturer in Lunglei</v>
      </c>
      <c r="AE494" s="15" t="str">
        <f t="shared" si="15"/>
        <v>Electropolished Pipe &amp; Tube Manufacturing for Lunglei - Grades, Finishes &amp; Certification</v>
      </c>
      <c r="AF494" s="15" t="str">
        <f t="shared" si="16"/>
        <v>Electropolished Pipes Supplier in Lunglei - Stock Sizes, Lead Time &amp; Delivery</v>
      </c>
      <c r="AG494" s="15" t="str">
        <f t="shared" si="17"/>
        <v>Electropolished Pipes Wholesaler &amp; Stockist in Lunglei - Bulk &amp; Project Pricing</v>
      </c>
      <c r="AH494" s="15" t="str">
        <f t="shared" si="18"/>
        <v>electropolished pipes manufacturer in Lunglei, electropolished pipes supplier in Lunglei, electropolished pipes wholesaler in Lunglei, electropolished tube manufacturer Lunglei, EP pipe supplier Lunglei, sanitary tube supplier Lunglei, ASME BPE tubing Lunglei, ASTM A270 tube Lunglei, SS 316L electropolished pipe Lunglei</v>
      </c>
      <c r="AI494" s="15" t="str">
        <f t="shared" si="19"/>
        <v>Electropolished Pipes Manufacturer &amp; Supplier in Lunglei</v>
      </c>
      <c r="AJ494" s="15" t="str">
        <f t="shared" si="20"/>
        <v>EP-finished SS 304/316L pipes and tubes for VERIFY plants in Lunglei. ASME BPE SF1-SF4, Ra from 0.25 um, EN 10204 3.1 certificate with every lot.</v>
      </c>
      <c r="AK494" s="15" t="str">
        <f t="shared" si="21"/>
        <v>Electropolished stainless steel pipes supplied by Sakshi Forge to VERIFY plants at ZIDCO Industrial Area, Lunglei</v>
      </c>
      <c r="AL494" s="15" t="str">
        <f t="shared" si="22"/>
        <v>Electropolished SS 316L tube stock for Lunglei - Sakshi Forge</v>
      </c>
      <c r="AM494" s="15" t="str">
        <f t="shared" si="23"/>
        <v>Home &gt; Market Area &gt; India &gt; Mizoram &gt; Lunglei</v>
      </c>
      <c r="AN494" s="15">
        <f t="shared" si="24"/>
        <v>1000</v>
      </c>
      <c r="AO494" s="15">
        <f t="shared" si="25"/>
        <v>8</v>
      </c>
      <c r="AP494" s="15">
        <f t="shared" si="26"/>
        <v>8</v>
      </c>
      <c r="AQ494" s="15">
        <f t="shared" si="27"/>
        <v>9</v>
      </c>
      <c r="AR494" s="31"/>
      <c r="AS494" s="31"/>
      <c r="AT494" s="35" t="s">
        <v>222</v>
      </c>
      <c r="AU494" s="35"/>
    </row>
    <row r="495" ht="15.75" customHeight="1">
      <c r="A495" s="15" t="s">
        <v>3831</v>
      </c>
      <c r="B495" s="15" t="s">
        <v>60</v>
      </c>
      <c r="C495" s="15" t="s">
        <v>413</v>
      </c>
      <c r="D495" s="15" t="s">
        <v>3833</v>
      </c>
      <c r="E495" s="15" t="s">
        <v>3833</v>
      </c>
      <c r="F495" s="65" t="s">
        <v>788</v>
      </c>
      <c r="G495" s="66" t="s">
        <v>98</v>
      </c>
      <c r="H495" s="18" t="s">
        <v>3835</v>
      </c>
      <c r="I495" s="18" t="s">
        <v>8393</v>
      </c>
      <c r="J495" s="18" t="s">
        <v>98</v>
      </c>
      <c r="K495" s="18" t="s">
        <v>98</v>
      </c>
      <c r="L495" s="18" t="s">
        <v>98</v>
      </c>
      <c r="M495" s="18" t="s">
        <v>98</v>
      </c>
      <c r="N495" s="18" t="s">
        <v>98</v>
      </c>
      <c r="O495" s="18" t="s">
        <v>98</v>
      </c>
      <c r="P495" s="15" t="str">
        <f t="shared" si="1"/>
        <v>VERIFY</v>
      </c>
      <c r="Q495" s="15">
        <f t="shared" si="2"/>
        <v>4</v>
      </c>
      <c r="R495" s="15">
        <f t="shared" si="3"/>
        <v>2</v>
      </c>
      <c r="S495" s="15">
        <f t="shared" si="4"/>
        <v>2</v>
      </c>
      <c r="T495" s="15" t="str">
        <f t="shared" si="5"/>
        <v>B-6</v>
      </c>
      <c r="U495" s="15" t="str">
        <f t="shared" si="6"/>
        <v>T4-M2-H2-FB-6-VERIFY</v>
      </c>
      <c r="V495" s="15">
        <f t="shared" si="7"/>
        <v>0</v>
      </c>
      <c r="W495" s="31"/>
      <c r="X495" s="15" t="str">
        <f t="shared" si="8"/>
        <v>machilipatnam</v>
      </c>
      <c r="Y495" s="32" t="str">
        <f t="shared" si="9"/>
        <v>https://steelmanufacturer.in/market-area/electropolished-pipes-manufacturer-in-machilipatnam/</v>
      </c>
      <c r="Z495" s="15" t="str">
        <f t="shared" si="10"/>
        <v>Electropolished Pipes Manufacturer in Machilipatnam</v>
      </c>
      <c r="AA495" s="15" t="str">
        <f t="shared" si="11"/>
        <v>OK (51)</v>
      </c>
      <c r="AB495" s="15" t="str">
        <f t="shared" si="12"/>
        <v>Electropolished tube supply to APIIC Industrial Area, Machilipatnam. Ra from 0.25 um, SF4 finish, mill test certificate with every lot.</v>
      </c>
      <c r="AC495" s="15" t="str">
        <f t="shared" si="13"/>
        <v>PENDING RESEARCH</v>
      </c>
      <c r="AD495" s="15" t="str">
        <f t="shared" si="14"/>
        <v>Electropolished Pipes Manufacturer in Machilipatnam</v>
      </c>
      <c r="AE495" s="15" t="str">
        <f t="shared" si="15"/>
        <v>How We Manufacture Electropolished Tube for Machilipatnam Plants</v>
      </c>
      <c r="AF495" s="15" t="str">
        <f t="shared" si="16"/>
        <v>Supplying Electropolished Pipes in Machilipatnam: Availability, Sizes &amp; Dispatch</v>
      </c>
      <c r="AG495" s="15" t="str">
        <f t="shared" si="17"/>
        <v>Wholesale Electropolished Pipe Supply for Machilipatnam Projects</v>
      </c>
      <c r="AH495" s="15" t="str">
        <f t="shared" si="18"/>
        <v>electropolished pipes manufacturer in Machilipatnam, electropolished pipes supplier in Machilipatnam, electropolished pipes wholesaler in Machilipatnam, electropolished tube manufacturer Machilipatnam, EP pipe supplier Machilipatnam, sanitary tube supplier Machilipatnam, ASME BPE tubing Machilipatnam, ASTM A270 tube Machilipatnam, SS 316L electropolished pipe Machilipatnam</v>
      </c>
      <c r="AI495" s="15" t="str">
        <f t="shared" si="19"/>
        <v>Electropolished Pipes Manufacturer &amp; Supplier in Machilipatnam</v>
      </c>
      <c r="AJ495" s="15" t="str">
        <f t="shared" si="20"/>
        <v>EP-finished SS 304/316L pipes and tubes for VERIFY plants in Machilipatnam. ASME BPE SF1-SF4, Ra from 0.25 um, EN 10204 3.1 certificate with every lot.</v>
      </c>
      <c r="AK495" s="15" t="str">
        <f t="shared" si="21"/>
        <v>Electropolished stainless steel pipes supplied by Sakshi Forge to VERIFY plants at APIIC Industrial Area, Machilipatnam</v>
      </c>
      <c r="AL495" s="15" t="str">
        <f t="shared" si="22"/>
        <v>Electropolished SS 316L tube stock for Machilipatnam - Sakshi Forge</v>
      </c>
      <c r="AM495" s="15" t="str">
        <f t="shared" si="23"/>
        <v>Home &gt; Market Area &gt; India &gt; Andhra Pradesh &gt; Machilipatnam</v>
      </c>
      <c r="AN495" s="15">
        <f t="shared" si="24"/>
        <v>1000</v>
      </c>
      <c r="AO495" s="15">
        <f t="shared" si="25"/>
        <v>8</v>
      </c>
      <c r="AP495" s="15">
        <f t="shared" si="26"/>
        <v>8</v>
      </c>
      <c r="AQ495" s="15">
        <f t="shared" si="27"/>
        <v>9</v>
      </c>
      <c r="AR495" s="31"/>
      <c r="AS495" s="31"/>
      <c r="AT495" s="35" t="s">
        <v>222</v>
      </c>
      <c r="AU495" s="35"/>
    </row>
    <row r="496" ht="15.75" customHeight="1">
      <c r="A496" s="15" t="s">
        <v>3836</v>
      </c>
      <c r="B496" s="15" t="s">
        <v>60</v>
      </c>
      <c r="C496" s="15" t="s">
        <v>413</v>
      </c>
      <c r="D496" s="15" t="s">
        <v>3837</v>
      </c>
      <c r="E496" s="15" t="s">
        <v>3837</v>
      </c>
      <c r="F496" s="65" t="s">
        <v>788</v>
      </c>
      <c r="G496" s="66" t="s">
        <v>98</v>
      </c>
      <c r="H496" s="18" t="s">
        <v>3839</v>
      </c>
      <c r="I496" s="18" t="s">
        <v>8393</v>
      </c>
      <c r="J496" s="18" t="s">
        <v>98</v>
      </c>
      <c r="K496" s="18" t="s">
        <v>98</v>
      </c>
      <c r="L496" s="18" t="s">
        <v>98</v>
      </c>
      <c r="M496" s="18" t="s">
        <v>98</v>
      </c>
      <c r="N496" s="18" t="s">
        <v>98</v>
      </c>
      <c r="O496" s="18" t="s">
        <v>98</v>
      </c>
      <c r="P496" s="15" t="str">
        <f t="shared" si="1"/>
        <v>VERIFY</v>
      </c>
      <c r="Q496" s="15">
        <f t="shared" si="2"/>
        <v>5</v>
      </c>
      <c r="R496" s="15">
        <f t="shared" si="3"/>
        <v>3</v>
      </c>
      <c r="S496" s="15">
        <f t="shared" si="4"/>
        <v>3</v>
      </c>
      <c r="T496" s="15" t="str">
        <f t="shared" si="5"/>
        <v>B-1</v>
      </c>
      <c r="U496" s="15" t="str">
        <f t="shared" si="6"/>
        <v>T5-M3-H3-FB-1-VERIFY</v>
      </c>
      <c r="V496" s="15">
        <f t="shared" si="7"/>
        <v>0</v>
      </c>
      <c r="W496" s="31"/>
      <c r="X496" s="15" t="str">
        <f t="shared" si="8"/>
        <v>madanapalle</v>
      </c>
      <c r="Y496" s="32" t="str">
        <f t="shared" si="9"/>
        <v>https://steelmanufacturer.in/market-area/electropolished-pipes-manufacturer-in-madanapalle/</v>
      </c>
      <c r="Z496" s="15" t="str">
        <f t="shared" si="10"/>
        <v>Electropolished Pipes Manufacturer in Madanapalle</v>
      </c>
      <c r="AA496" s="15" t="str">
        <f t="shared" si="11"/>
        <v>OK (49)</v>
      </c>
      <c r="AB496" s="15" t="str">
        <f t="shared" si="12"/>
        <v>EP stainless tube for VERIFY lines in Madanapalle. VERIFY. ASTM A270 S2, PMI tested, EN 10204 3.1.</v>
      </c>
      <c r="AC496" s="15" t="str">
        <f t="shared" si="13"/>
        <v>PENDING RESEARCH</v>
      </c>
      <c r="AD496" s="15" t="str">
        <f t="shared" si="14"/>
        <v>Electropolished Pipes Manufacturer in Madanapalle</v>
      </c>
      <c r="AE496" s="15" t="str">
        <f t="shared" si="15"/>
        <v>Electropolished Pipes Manufacturer in Madanapalle - Our Process &amp; Capability</v>
      </c>
      <c r="AF496" s="15" t="str">
        <f t="shared" si="16"/>
        <v>Electropolished Pipes Supplier in Madanapalle - What We Hold in Stock</v>
      </c>
      <c r="AG496" s="15" t="str">
        <f t="shared" si="17"/>
        <v>Bulk &amp; Wholesale Electropolished Pipe Rates for Madanapalle Buyers</v>
      </c>
      <c r="AH496" s="15" t="str">
        <f t="shared" si="18"/>
        <v>electropolished pipes manufacturer in Madanapalle, electropolished pipes supplier in Madanapalle, electropolished pipes wholesaler in Madanapalle, electropolished tube manufacturer Madanapalle, EP pipe supplier Madanapalle, sanitary tube supplier Madanapalle, ASME BPE tubing Madanapalle, ASTM A270 tube Madanapalle, SS 316L electropolished pipe Madanapalle</v>
      </c>
      <c r="AI496" s="15" t="str">
        <f t="shared" si="19"/>
        <v>Electropolished Pipes Manufacturer &amp; Supplier in Madanapalle</v>
      </c>
      <c r="AJ496" s="15" t="str">
        <f t="shared" si="20"/>
        <v>EP-finished SS 304/316L pipes and tubes for VERIFY plants in Madanapalle. ASME BPE SF1-SF4, Ra from 0.25 um, EN 10204 3.1 certificate with every lot.</v>
      </c>
      <c r="AK496" s="15" t="str">
        <f t="shared" si="21"/>
        <v>Electropolished stainless steel pipes supplied by Sakshi Forge to VERIFY plants at APIIC Industrial Area, Madanapalle</v>
      </c>
      <c r="AL496" s="15" t="str">
        <f t="shared" si="22"/>
        <v>Electropolished SS 316L tube stock for Madanapalle - Sakshi Forge</v>
      </c>
      <c r="AM496" s="15" t="str">
        <f t="shared" si="23"/>
        <v>Home &gt; Market Area &gt; India &gt; Andhra Pradesh &gt; Madanapalle</v>
      </c>
      <c r="AN496" s="15">
        <f t="shared" si="24"/>
        <v>1000</v>
      </c>
      <c r="AO496" s="15">
        <f t="shared" si="25"/>
        <v>8</v>
      </c>
      <c r="AP496" s="15">
        <f t="shared" si="26"/>
        <v>8</v>
      </c>
      <c r="AQ496" s="15">
        <f t="shared" si="27"/>
        <v>9</v>
      </c>
      <c r="AR496" s="31"/>
      <c r="AS496" s="31"/>
      <c r="AT496" s="35" t="s">
        <v>222</v>
      </c>
      <c r="AU496" s="35"/>
    </row>
    <row r="497" ht="15.75" customHeight="1">
      <c r="A497" s="15" t="s">
        <v>3841</v>
      </c>
      <c r="B497" s="15" t="s">
        <v>60</v>
      </c>
      <c r="C497" s="15" t="s">
        <v>775</v>
      </c>
      <c r="D497" s="15" t="s">
        <v>3842</v>
      </c>
      <c r="E497" s="15" t="s">
        <v>3842</v>
      </c>
      <c r="F497" s="65" t="s">
        <v>788</v>
      </c>
      <c r="G497" s="66" t="s">
        <v>98</v>
      </c>
      <c r="H497" s="18" t="s">
        <v>3845</v>
      </c>
      <c r="I497" s="18" t="s">
        <v>8399</v>
      </c>
      <c r="J497" s="18" t="s">
        <v>98</v>
      </c>
      <c r="K497" s="18" t="s">
        <v>98</v>
      </c>
      <c r="L497" s="18" t="s">
        <v>98</v>
      </c>
      <c r="M497" s="18" t="s">
        <v>98</v>
      </c>
      <c r="N497" s="18" t="s">
        <v>98</v>
      </c>
      <c r="O497" s="18" t="s">
        <v>98</v>
      </c>
      <c r="P497" s="15" t="str">
        <f t="shared" si="1"/>
        <v>VERIFY</v>
      </c>
      <c r="Q497" s="15">
        <f t="shared" si="2"/>
        <v>6</v>
      </c>
      <c r="R497" s="15">
        <f t="shared" si="3"/>
        <v>4</v>
      </c>
      <c r="S497" s="15">
        <f t="shared" si="4"/>
        <v>4</v>
      </c>
      <c r="T497" s="15" t="str">
        <f t="shared" si="5"/>
        <v>B-2</v>
      </c>
      <c r="U497" s="15" t="str">
        <f t="shared" si="6"/>
        <v>T6-M4-H4-FB-2-VERIFY</v>
      </c>
      <c r="V497" s="15">
        <f t="shared" si="7"/>
        <v>0</v>
      </c>
      <c r="W497" s="31"/>
      <c r="X497" s="15" t="str">
        <f t="shared" si="8"/>
        <v>mahasamund</v>
      </c>
      <c r="Y497" s="32" t="str">
        <f t="shared" si="9"/>
        <v>https://steelmanufacturer.in/market-area/electropolished-pipes-manufacturer-in-mahasamund/</v>
      </c>
      <c r="Z497" s="15" t="str">
        <f t="shared" si="10"/>
        <v>Electropolished Pipes Manufacturer in Mahasamund</v>
      </c>
      <c r="AA497" s="15" t="str">
        <f t="shared" si="11"/>
        <v>OK (48)</v>
      </c>
      <c r="AB497" s="15" t="str">
        <f t="shared" si="12"/>
        <v>Sanitary electropolished pipes in Mahasamund for VERIFY plants. ASME BPE SF1-SF4, orbital-weld ready, 3.1 MTC. Mumbai-made.</v>
      </c>
      <c r="AC497" s="15" t="str">
        <f t="shared" si="13"/>
        <v>PENDING RESEARCH</v>
      </c>
      <c r="AD497" s="15" t="str">
        <f t="shared" si="14"/>
        <v>Electropolished Pipes Manufacturer in Mahasamund</v>
      </c>
      <c r="AE497" s="15" t="str">
        <f t="shared" si="15"/>
        <v>Manufacturing Electropolished SS Tube for Mahasamund: The Standards We Build To</v>
      </c>
      <c r="AF497" s="15" t="str">
        <f t="shared" si="16"/>
        <v>Electropolished Pipe Supply Into Mahasamund - Certification &amp; Transit</v>
      </c>
      <c r="AG497" s="15" t="str">
        <f t="shared" si="17"/>
        <v>Electropolished Pipes Wholesaler in Mahasamund - Project Quantities &amp; Terms</v>
      </c>
      <c r="AH497" s="15" t="str">
        <f t="shared" si="18"/>
        <v>electropolished pipes manufacturer in Mahasamund, electropolished pipes supplier in Mahasamund, electropolished pipes wholesaler in Mahasamund, electropolished tube manufacturer Mahasamund, EP pipe supplier Mahasamund, sanitary tube supplier Mahasamund, ASME BPE tubing Mahasamund, ASTM A270 tube Mahasamund, SS 316L electropolished pipe Mahasamund</v>
      </c>
      <c r="AI497" s="15" t="str">
        <f t="shared" si="19"/>
        <v>Electropolished Pipes Manufacturer &amp; Supplier in Mahasamund</v>
      </c>
      <c r="AJ497" s="15" t="str">
        <f t="shared" si="20"/>
        <v>EP-finished SS 304/316L pipes and tubes for VERIFY plants in Mahasamund. ASME BPE SF1-SF4, Ra from 0.25 um, EN 10204 3.1 certificate with every lot.</v>
      </c>
      <c r="AK497" s="15" t="str">
        <f t="shared" si="21"/>
        <v>Electropolished stainless steel pipes supplied by Sakshi Forge to VERIFY plants at CSIDC Industrial Area, Mahasamund</v>
      </c>
      <c r="AL497" s="15" t="str">
        <f t="shared" si="22"/>
        <v>Electropolished SS 316L tube stock for Mahasamund - Sakshi Forge</v>
      </c>
      <c r="AM497" s="15" t="str">
        <f t="shared" si="23"/>
        <v>Home &gt; Market Area &gt; India &gt; Chhattisgarh &gt; Mahasamund</v>
      </c>
      <c r="AN497" s="15">
        <f t="shared" si="24"/>
        <v>1000</v>
      </c>
      <c r="AO497" s="15">
        <f t="shared" si="25"/>
        <v>8</v>
      </c>
      <c r="AP497" s="15">
        <f t="shared" si="26"/>
        <v>8</v>
      </c>
      <c r="AQ497" s="15">
        <f t="shared" si="27"/>
        <v>9</v>
      </c>
      <c r="AR497" s="31"/>
      <c r="AS497" s="31"/>
      <c r="AT497" s="35" t="s">
        <v>222</v>
      </c>
      <c r="AU497" s="35"/>
    </row>
    <row r="498" ht="15.75" customHeight="1">
      <c r="A498" s="15" t="s">
        <v>3847</v>
      </c>
      <c r="B498" s="15" t="s">
        <v>60</v>
      </c>
      <c r="C498" s="15" t="s">
        <v>1312</v>
      </c>
      <c r="D498" s="15" t="s">
        <v>3848</v>
      </c>
      <c r="E498" s="15" t="s">
        <v>3848</v>
      </c>
      <c r="F498" s="65" t="s">
        <v>788</v>
      </c>
      <c r="G498" s="66" t="s">
        <v>98</v>
      </c>
      <c r="H498" s="18" t="s">
        <v>3851</v>
      </c>
      <c r="I498" s="18" t="s">
        <v>8392</v>
      </c>
      <c r="J498" s="18" t="s">
        <v>98</v>
      </c>
      <c r="K498" s="18" t="s">
        <v>98</v>
      </c>
      <c r="L498" s="18" t="s">
        <v>98</v>
      </c>
      <c r="M498" s="18" t="s">
        <v>98</v>
      </c>
      <c r="N498" s="18" t="s">
        <v>98</v>
      </c>
      <c r="O498" s="18" t="s">
        <v>98</v>
      </c>
      <c r="P498" s="15" t="str">
        <f t="shared" si="1"/>
        <v>VERIFY</v>
      </c>
      <c r="Q498" s="15">
        <f t="shared" si="2"/>
        <v>7</v>
      </c>
      <c r="R498" s="15">
        <f t="shared" si="3"/>
        <v>5</v>
      </c>
      <c r="S498" s="15">
        <f t="shared" si="4"/>
        <v>5</v>
      </c>
      <c r="T498" s="15" t="str">
        <f t="shared" si="5"/>
        <v>B-3</v>
      </c>
      <c r="U498" s="15" t="str">
        <f t="shared" si="6"/>
        <v>T7-M5-H5-FB-3-VERIFY</v>
      </c>
      <c r="V498" s="15">
        <f t="shared" si="7"/>
        <v>0</v>
      </c>
      <c r="W498" s="31"/>
      <c r="X498" s="15" t="str">
        <f t="shared" si="8"/>
        <v>mahbubnagar</v>
      </c>
      <c r="Y498" s="32" t="str">
        <f t="shared" si="9"/>
        <v>https://steelmanufacturer.in/market-area/electropolished-pipes-manufacturer-in-mahbubnagar/</v>
      </c>
      <c r="Z498" s="15" t="str">
        <f t="shared" si="10"/>
        <v>Electropolished Pipes Manufacturer in Mahbubnagar</v>
      </c>
      <c r="AA498" s="15" t="str">
        <f t="shared" si="11"/>
        <v>OK (49)</v>
      </c>
      <c r="AB498" s="15" t="str">
        <f t="shared" si="12"/>
        <v>Manufacturer of electropolished SS 316L tube serving Mahbubnagar. VERIFY. Ra 0.25-0.5 um, EN 10204 3.1 MTC.</v>
      </c>
      <c r="AC498" s="15" t="str">
        <f t="shared" si="13"/>
        <v>PENDING RESEARCH</v>
      </c>
      <c r="AD498" s="15" t="str">
        <f t="shared" si="14"/>
        <v>Electropolished Pipes Manufacturer in Mahbubnagar</v>
      </c>
      <c r="AE498" s="15" t="str">
        <f t="shared" si="15"/>
        <v>Electropolished Tube Manufacturing Capability Serving Mahbubnagar</v>
      </c>
      <c r="AF498" s="15" t="str">
        <f t="shared" si="16"/>
        <v>Electropolished Pipes Supplier in Mahbubnagar - From Order to Delivery</v>
      </c>
      <c r="AG498" s="15" t="str">
        <f t="shared" si="17"/>
        <v>Stockist &amp; Wholesale Supply of Electropolished Pipes in Mahbubnagar</v>
      </c>
      <c r="AH498" s="15" t="str">
        <f t="shared" si="18"/>
        <v>electropolished pipes manufacturer in Mahbubnagar, electropolished pipes supplier in Mahbubnagar, electropolished pipes wholesaler in Mahbubnagar, electropolished tube manufacturer Mahbubnagar, EP pipe supplier Mahbubnagar, sanitary tube supplier Mahbubnagar, ASME BPE tubing Mahbubnagar, ASTM A270 tube Mahbubnagar, SS 316L electropolished pipe Mahbubnagar</v>
      </c>
      <c r="AI498" s="15" t="str">
        <f t="shared" si="19"/>
        <v>Electropolished Pipes Manufacturer &amp; Supplier in Mahbubnagar</v>
      </c>
      <c r="AJ498" s="15" t="str">
        <f t="shared" si="20"/>
        <v>EP-finished SS 304/316L pipes and tubes for VERIFY plants in Mahbubnagar. ASME BPE SF1-SF4, Ra from 0.25 um, EN 10204 3.1 certificate with every lot.</v>
      </c>
      <c r="AK498" s="15" t="str">
        <f t="shared" si="21"/>
        <v>Electropolished stainless steel pipes supplied by Sakshi Forge to VERIFY plants at TSIIC Industrial Area, Mahbubnagar</v>
      </c>
      <c r="AL498" s="15" t="str">
        <f t="shared" si="22"/>
        <v>Electropolished SS 316L tube stock for Mahbubnagar - Sakshi Forge</v>
      </c>
      <c r="AM498" s="15" t="str">
        <f t="shared" si="23"/>
        <v>Home &gt; Market Area &gt; India &gt; Telangana &gt; Mahbubnagar</v>
      </c>
      <c r="AN498" s="15">
        <f t="shared" si="24"/>
        <v>1000</v>
      </c>
      <c r="AO498" s="15">
        <f t="shared" si="25"/>
        <v>8</v>
      </c>
      <c r="AP498" s="15">
        <f t="shared" si="26"/>
        <v>8</v>
      </c>
      <c r="AQ498" s="15">
        <f t="shared" si="27"/>
        <v>9</v>
      </c>
      <c r="AR498" s="31"/>
      <c r="AS498" s="31"/>
      <c r="AT498" s="35" t="s">
        <v>222</v>
      </c>
      <c r="AU498" s="35"/>
    </row>
    <row r="499" ht="15.75" customHeight="1">
      <c r="A499" s="15" t="s">
        <v>3858</v>
      </c>
      <c r="B499" s="15" t="s">
        <v>60</v>
      </c>
      <c r="C499" s="15" t="s">
        <v>1687</v>
      </c>
      <c r="D499" s="15" t="s">
        <v>3860</v>
      </c>
      <c r="E499" s="15" t="s">
        <v>3860</v>
      </c>
      <c r="F499" s="65" t="s">
        <v>788</v>
      </c>
      <c r="G499" s="66" t="s">
        <v>98</v>
      </c>
      <c r="H499" s="18" t="s">
        <v>3862</v>
      </c>
      <c r="I499" s="18" t="s">
        <v>8397</v>
      </c>
      <c r="J499" s="18" t="s">
        <v>98</v>
      </c>
      <c r="K499" s="18" t="s">
        <v>98</v>
      </c>
      <c r="L499" s="18" t="s">
        <v>98</v>
      </c>
      <c r="M499" s="18" t="s">
        <v>98</v>
      </c>
      <c r="N499" s="18" t="s">
        <v>98</v>
      </c>
      <c r="O499" s="18" t="s">
        <v>98</v>
      </c>
      <c r="P499" s="15" t="str">
        <f t="shared" si="1"/>
        <v>VERIFY</v>
      </c>
      <c r="Q499" s="15">
        <f t="shared" si="2"/>
        <v>8</v>
      </c>
      <c r="R499" s="15">
        <f t="shared" si="3"/>
        <v>6</v>
      </c>
      <c r="S499" s="15">
        <f t="shared" si="4"/>
        <v>1</v>
      </c>
      <c r="T499" s="15" t="str">
        <f t="shared" si="5"/>
        <v>B-4</v>
      </c>
      <c r="U499" s="15" t="str">
        <f t="shared" si="6"/>
        <v>T8-M6-H1-FB-4-VERIFY</v>
      </c>
      <c r="V499" s="15">
        <f t="shared" si="7"/>
        <v>0</v>
      </c>
      <c r="W499" s="31"/>
      <c r="X499" s="15" t="str">
        <f t="shared" si="8"/>
        <v>malappuram</v>
      </c>
      <c r="Y499" s="32" t="str">
        <f t="shared" si="9"/>
        <v>https://steelmanufacturer.in/market-area/electropolished-pipes-manufacturer-in-malappuram/</v>
      </c>
      <c r="Z499" s="15" t="str">
        <f t="shared" si="10"/>
        <v>Electropolished Pipes Manufacturer in Malappuram</v>
      </c>
      <c r="AA499" s="15" t="str">
        <f t="shared" si="11"/>
        <v>OK (48)</v>
      </c>
      <c r="AB499" s="15" t="str">
        <f t="shared" si="12"/>
        <v>EP tube and pipe for VERIFY plants around KINFRA Industrial Area, Malappuram. Made at our Mumbai works to ASTM A270 and ASME BPE SF1-SF4, with 3.1 MTC.</v>
      </c>
      <c r="AC499" s="15" t="str">
        <f t="shared" si="13"/>
        <v>PENDING RESEARCH</v>
      </c>
      <c r="AD499" s="15" t="str">
        <f t="shared" si="14"/>
        <v>Electropolished Pipes Manufacturer in Malappuram</v>
      </c>
      <c r="AE499" s="15" t="str">
        <f t="shared" si="15"/>
        <v>Electropolished Pipe &amp; Tube Manufacturing for Malappuram - Grades, Finishes &amp; Certification</v>
      </c>
      <c r="AF499" s="15" t="str">
        <f t="shared" si="16"/>
        <v>Electropolished Pipes Supplier in Malappuram - Stock Sizes, Lead Time &amp; Delivery</v>
      </c>
      <c r="AG499" s="15" t="str">
        <f t="shared" si="17"/>
        <v>Electropolished Pipes Wholesaler &amp; Stockist in Malappuram - Bulk &amp; Project Pricing</v>
      </c>
      <c r="AH499" s="15" t="str">
        <f t="shared" si="18"/>
        <v>electropolished pipes manufacturer in Malappuram, electropolished pipes supplier in Malappuram, electropolished pipes wholesaler in Malappuram, electropolished tube manufacturer Malappuram, EP pipe supplier Malappuram, sanitary tube supplier Malappuram, ASME BPE tubing Malappuram, ASTM A270 tube Malappuram, SS 316L electropolished pipe Malappuram</v>
      </c>
      <c r="AI499" s="15" t="str">
        <f t="shared" si="19"/>
        <v>Electropolished Pipes Manufacturer &amp; Supplier in Malappuram</v>
      </c>
      <c r="AJ499" s="15" t="str">
        <f t="shared" si="20"/>
        <v>EP-finished SS 304/316L pipes and tubes for VERIFY plants in Malappuram. ASME BPE SF1-SF4, Ra from 0.25 um, EN 10204 3.1 certificate with every lot.</v>
      </c>
      <c r="AK499" s="15" t="str">
        <f t="shared" si="21"/>
        <v>Electropolished stainless steel pipes supplied by Sakshi Forge to VERIFY plants at KINFRA Industrial Area, Malappuram</v>
      </c>
      <c r="AL499" s="15" t="str">
        <f t="shared" si="22"/>
        <v>Electropolished SS 316L tube stock for Malappuram - Sakshi Forge</v>
      </c>
      <c r="AM499" s="15" t="str">
        <f t="shared" si="23"/>
        <v>Home &gt; Market Area &gt; India &gt; Kerala &gt; Malappuram</v>
      </c>
      <c r="AN499" s="15">
        <f t="shared" si="24"/>
        <v>1000</v>
      </c>
      <c r="AO499" s="15">
        <f t="shared" si="25"/>
        <v>8</v>
      </c>
      <c r="AP499" s="15">
        <f t="shared" si="26"/>
        <v>8</v>
      </c>
      <c r="AQ499" s="15">
        <f t="shared" si="27"/>
        <v>9</v>
      </c>
      <c r="AR499" s="31"/>
      <c r="AS499" s="31"/>
      <c r="AT499" s="35" t="s">
        <v>222</v>
      </c>
      <c r="AU499" s="35"/>
    </row>
    <row r="500" ht="15.75" customHeight="1">
      <c r="A500" s="15" t="s">
        <v>3863</v>
      </c>
      <c r="B500" s="15" t="s">
        <v>60</v>
      </c>
      <c r="C500" s="15" t="s">
        <v>1165</v>
      </c>
      <c r="D500" s="15" t="s">
        <v>3864</v>
      </c>
      <c r="E500" s="15" t="s">
        <v>3864</v>
      </c>
      <c r="F500" s="65" t="s">
        <v>788</v>
      </c>
      <c r="G500" s="66" t="s">
        <v>98</v>
      </c>
      <c r="H500" s="18" t="s">
        <v>3866</v>
      </c>
      <c r="I500" s="18" t="s">
        <v>8404</v>
      </c>
      <c r="J500" s="18" t="s">
        <v>98</v>
      </c>
      <c r="K500" s="18" t="s">
        <v>98</v>
      </c>
      <c r="L500" s="18" t="s">
        <v>98</v>
      </c>
      <c r="M500" s="18" t="s">
        <v>98</v>
      </c>
      <c r="N500" s="18" t="s">
        <v>98</v>
      </c>
      <c r="O500" s="18" t="s">
        <v>98</v>
      </c>
      <c r="P500" s="15" t="str">
        <f t="shared" si="1"/>
        <v>VERIFY</v>
      </c>
      <c r="Q500" s="15">
        <f t="shared" si="2"/>
        <v>1</v>
      </c>
      <c r="R500" s="15">
        <f t="shared" si="3"/>
        <v>7</v>
      </c>
      <c r="S500" s="15">
        <f t="shared" si="4"/>
        <v>2</v>
      </c>
      <c r="T500" s="15" t="str">
        <f t="shared" si="5"/>
        <v>B-5</v>
      </c>
      <c r="U500" s="15" t="str">
        <f t="shared" si="6"/>
        <v>T1-M7-H2-FB-5-VERIFY</v>
      </c>
      <c r="V500" s="15">
        <f t="shared" si="7"/>
        <v>0</v>
      </c>
      <c r="W500" s="31"/>
      <c r="X500" s="15" t="str">
        <f t="shared" si="8"/>
        <v>malda</v>
      </c>
      <c r="Y500" s="32" t="str">
        <f t="shared" si="9"/>
        <v>https://steelmanufacturer.in/market-area/electropolished-pipes-manufacturer-in-malda/</v>
      </c>
      <c r="Z500" s="15" t="str">
        <f t="shared" si="10"/>
        <v>Electropolished Pipes Manufacturer in Malda | Sakshi Forge</v>
      </c>
      <c r="AA500" s="15" t="str">
        <f t="shared" si="11"/>
        <v>OK (58)</v>
      </c>
      <c r="AB500" s="15" t="str">
        <f t="shared" si="12"/>
        <v>Electropolished pipes in Malda: 304, 304L, 316 and 316L in SF1-SF4. VERIFY. Mill certified.</v>
      </c>
      <c r="AC500" s="15" t="str">
        <f t="shared" si="13"/>
        <v>PENDING RESEARCH</v>
      </c>
      <c r="AD500" s="15" t="str">
        <f t="shared" si="14"/>
        <v>Electropolished Pipes Manufacturer in Malda</v>
      </c>
      <c r="AE500" s="15" t="str">
        <f t="shared" si="15"/>
        <v>How We Manufacture Electropolished Tube for Malda Plants</v>
      </c>
      <c r="AF500" s="15" t="str">
        <f t="shared" si="16"/>
        <v>Supplying Electropolished Pipes in Malda: Availability, Sizes &amp; Dispatch</v>
      </c>
      <c r="AG500" s="15" t="str">
        <f t="shared" si="17"/>
        <v>Wholesale Electropolished Pipe Supply for Malda Projects</v>
      </c>
      <c r="AH500" s="15" t="str">
        <f t="shared" si="18"/>
        <v>electropolished pipes manufacturer in Malda, electropolished pipes supplier in Malda, electropolished pipes wholesaler in Malda, electropolished tube manufacturer Malda, EP pipe supplier Malda, sanitary tube supplier Malda, ASME BPE tubing Malda, ASTM A270 tube Malda, SS 316L electropolished pipe Malda</v>
      </c>
      <c r="AI500" s="15" t="str">
        <f t="shared" si="19"/>
        <v>Electropolished Pipes Manufacturer &amp; Supplier in Malda</v>
      </c>
      <c r="AJ500" s="15" t="str">
        <f t="shared" si="20"/>
        <v>EP-finished SS 304/316L pipes and tubes for VERIFY plants in Malda. ASME BPE SF1-SF4, Ra from 0.25 um, EN 10204 3.1 certificate with every lot.</v>
      </c>
      <c r="AK500" s="15" t="str">
        <f t="shared" si="21"/>
        <v>Electropolished stainless steel pipes supplied by Sakshi Forge to VERIFY plants at WBIDC Industrial Area, Malda</v>
      </c>
      <c r="AL500" s="15" t="str">
        <f t="shared" si="22"/>
        <v>Electropolished SS 316L tube stock for Malda - Sakshi Forge</v>
      </c>
      <c r="AM500" s="15" t="str">
        <f t="shared" si="23"/>
        <v>Home &gt; Market Area &gt; India &gt; West Bengal &gt; Malda</v>
      </c>
      <c r="AN500" s="15">
        <f t="shared" si="24"/>
        <v>1000</v>
      </c>
      <c r="AO500" s="15">
        <f t="shared" si="25"/>
        <v>8</v>
      </c>
      <c r="AP500" s="15">
        <f t="shared" si="26"/>
        <v>8</v>
      </c>
      <c r="AQ500" s="15">
        <f t="shared" si="27"/>
        <v>9</v>
      </c>
      <c r="AR500" s="31"/>
      <c r="AS500" s="31"/>
      <c r="AT500" s="35" t="s">
        <v>222</v>
      </c>
      <c r="AU500" s="35"/>
    </row>
    <row r="501" ht="15.75" customHeight="1">
      <c r="A501" s="15" t="s">
        <v>3867</v>
      </c>
      <c r="B501" s="15" t="s">
        <v>60</v>
      </c>
      <c r="C501" s="15" t="s">
        <v>264</v>
      </c>
      <c r="D501" s="15" t="s">
        <v>3868</v>
      </c>
      <c r="E501" s="15" t="s">
        <v>3868</v>
      </c>
      <c r="F501" s="65" t="s">
        <v>788</v>
      </c>
      <c r="G501" s="66" t="s">
        <v>98</v>
      </c>
      <c r="H501" s="18" t="s">
        <v>3870</v>
      </c>
      <c r="I501" s="18" t="s">
        <v>8395</v>
      </c>
      <c r="J501" s="18" t="s">
        <v>98</v>
      </c>
      <c r="K501" s="18" t="s">
        <v>98</v>
      </c>
      <c r="L501" s="18" t="s">
        <v>98</v>
      </c>
      <c r="M501" s="18" t="s">
        <v>98</v>
      </c>
      <c r="N501" s="18" t="s">
        <v>98</v>
      </c>
      <c r="O501" s="18" t="s">
        <v>98</v>
      </c>
      <c r="P501" s="15" t="str">
        <f t="shared" si="1"/>
        <v>VERIFY</v>
      </c>
      <c r="Q501" s="15">
        <f t="shared" si="2"/>
        <v>2</v>
      </c>
      <c r="R501" s="15">
        <f t="shared" si="3"/>
        <v>1</v>
      </c>
      <c r="S501" s="15">
        <f t="shared" si="4"/>
        <v>3</v>
      </c>
      <c r="T501" s="15" t="str">
        <f t="shared" si="5"/>
        <v>B-6</v>
      </c>
      <c r="U501" s="15" t="str">
        <f t="shared" si="6"/>
        <v>T2-M1-H3-FB-6-VERIFY</v>
      </c>
      <c r="V501" s="15">
        <f t="shared" si="7"/>
        <v>0</v>
      </c>
      <c r="W501" s="31"/>
      <c r="X501" s="15" t="str">
        <f t="shared" si="8"/>
        <v>malegaon</v>
      </c>
      <c r="Y501" s="32" t="str">
        <f t="shared" si="9"/>
        <v>https://steelmanufacturer.in/market-area/electropolished-pipes-manufacturer-in-malegaon/</v>
      </c>
      <c r="Z501" s="15" t="str">
        <f t="shared" si="10"/>
        <v>Electropolished Pipes Manufacturer in Malegaon</v>
      </c>
      <c r="AA501" s="15" t="str">
        <f t="shared" si="11"/>
        <v>OK (46)</v>
      </c>
      <c r="AB501" s="15" t="str">
        <f t="shared" si="12"/>
        <v>EP-finished SS 304/316L pipes &amp; tubes for VERIFY plants in Malegaon. ASTM A270, ASME BPE SF1-SF4, EN 10204 3.1 MTC. PMI tested.</v>
      </c>
      <c r="AC501" s="15" t="str">
        <f t="shared" si="13"/>
        <v>PENDING RESEARCH</v>
      </c>
      <c r="AD501" s="15" t="str">
        <f t="shared" si="14"/>
        <v>Electropolished Pipes Manufacturer in Malegaon</v>
      </c>
      <c r="AE501" s="15" t="str">
        <f t="shared" si="15"/>
        <v>Electropolished Pipes Manufacturer in Malegaon - Our Process &amp; Capability</v>
      </c>
      <c r="AF501" s="15" t="str">
        <f t="shared" si="16"/>
        <v>Electropolished Pipes Supplier in Malegaon - What We Hold in Stock</v>
      </c>
      <c r="AG501" s="15" t="str">
        <f t="shared" si="17"/>
        <v>Bulk &amp; Wholesale Electropolished Pipe Rates for Malegaon Buyers</v>
      </c>
      <c r="AH501" s="15" t="str">
        <f t="shared" si="18"/>
        <v>electropolished pipes manufacturer in Malegaon, electropolished pipes supplier in Malegaon, electropolished pipes wholesaler in Malegaon, electropolished tube manufacturer Malegaon, EP pipe supplier Malegaon, sanitary tube supplier Malegaon, ASME BPE tubing Malegaon, ASTM A270 tube Malegaon, SS 316L electropolished pipe Malegaon</v>
      </c>
      <c r="AI501" s="15" t="str">
        <f t="shared" si="19"/>
        <v>Electropolished Pipes Manufacturer &amp; Supplier in Malegaon</v>
      </c>
      <c r="AJ501" s="15" t="str">
        <f t="shared" si="20"/>
        <v>EP-finished SS 304/316L pipes and tubes for VERIFY plants in Malegaon. ASME BPE SF1-SF4, Ra from 0.25 um, EN 10204 3.1 certificate with every lot.</v>
      </c>
      <c r="AK501" s="15" t="str">
        <f t="shared" si="21"/>
        <v>Electropolished stainless steel pipes supplied by Sakshi Forge to VERIFY plants at MIDC Industrial Area, Malegaon</v>
      </c>
      <c r="AL501" s="15" t="str">
        <f t="shared" si="22"/>
        <v>Electropolished SS 316L tube stock for Malegaon - Sakshi Forge</v>
      </c>
      <c r="AM501" s="15" t="str">
        <f t="shared" si="23"/>
        <v>Home &gt; Market Area &gt; India &gt; Maharashtra &gt; Malegaon</v>
      </c>
      <c r="AN501" s="15">
        <f t="shared" si="24"/>
        <v>1000</v>
      </c>
      <c r="AO501" s="15">
        <f t="shared" si="25"/>
        <v>8</v>
      </c>
      <c r="AP501" s="15">
        <f t="shared" si="26"/>
        <v>8</v>
      </c>
      <c r="AQ501" s="15">
        <f t="shared" si="27"/>
        <v>9</v>
      </c>
      <c r="AR501" s="31"/>
      <c r="AS501" s="31"/>
      <c r="AT501" s="35" t="s">
        <v>222</v>
      </c>
      <c r="AU501" s="35"/>
    </row>
    <row r="502" ht="15.75" customHeight="1">
      <c r="A502" s="15" t="s">
        <v>3871</v>
      </c>
      <c r="B502" s="15" t="s">
        <v>60</v>
      </c>
      <c r="C502" s="15" t="s">
        <v>570</v>
      </c>
      <c r="D502" s="15" t="s">
        <v>3872</v>
      </c>
      <c r="E502" s="15" t="s">
        <v>3872</v>
      </c>
      <c r="F502" s="65" t="s">
        <v>788</v>
      </c>
      <c r="G502" s="66" t="s">
        <v>98</v>
      </c>
      <c r="H502" s="18" t="s">
        <v>3874</v>
      </c>
      <c r="I502" s="18" t="s">
        <v>8405</v>
      </c>
      <c r="J502" s="18" t="s">
        <v>98</v>
      </c>
      <c r="K502" s="18" t="s">
        <v>98</v>
      </c>
      <c r="L502" s="18" t="s">
        <v>98</v>
      </c>
      <c r="M502" s="18" t="s">
        <v>98</v>
      </c>
      <c r="N502" s="18" t="s">
        <v>98</v>
      </c>
      <c r="O502" s="18" t="s">
        <v>98</v>
      </c>
      <c r="P502" s="15" t="str">
        <f t="shared" si="1"/>
        <v>VERIFY</v>
      </c>
      <c r="Q502" s="15">
        <f t="shared" si="2"/>
        <v>3</v>
      </c>
      <c r="R502" s="15">
        <f t="shared" si="3"/>
        <v>2</v>
      </c>
      <c r="S502" s="15">
        <f t="shared" si="4"/>
        <v>4</v>
      </c>
      <c r="T502" s="15" t="str">
        <f t="shared" si="5"/>
        <v>B-1</v>
      </c>
      <c r="U502" s="15" t="str">
        <f t="shared" si="6"/>
        <v>T3-M2-H4-FB-1-VERIFY</v>
      </c>
      <c r="V502" s="15">
        <f t="shared" si="7"/>
        <v>0</v>
      </c>
      <c r="W502" s="31"/>
      <c r="X502" s="15" t="str">
        <f t="shared" si="8"/>
        <v>malur</v>
      </c>
      <c r="Y502" s="32" t="str">
        <f t="shared" si="9"/>
        <v>https://steelmanufacturer.in/market-area/electropolished-pipes-manufacturer-in-malur/</v>
      </c>
      <c r="Z502" s="15" t="str">
        <f t="shared" si="10"/>
        <v>Electropolished Pipes Manufacturer in Malur | EP Tube Supplier</v>
      </c>
      <c r="AA502" s="15" t="str">
        <f t="shared" si="11"/>
        <v>OK (62)</v>
      </c>
      <c r="AB502" s="15" t="str">
        <f t="shared" si="12"/>
        <v>Electropolished tube supply to KIADB Industrial Area, Malur. Ra from 0.25 um, SF4 finish, mill test certificate with every lot.</v>
      </c>
      <c r="AC502" s="15" t="str">
        <f t="shared" si="13"/>
        <v>PENDING RESEARCH</v>
      </c>
      <c r="AD502" s="15" t="str">
        <f t="shared" si="14"/>
        <v>Electropolished Pipes Manufacturer in Malur</v>
      </c>
      <c r="AE502" s="15" t="str">
        <f t="shared" si="15"/>
        <v>Manufacturing Electropolished SS Tube for Malur: The Standards We Build To</v>
      </c>
      <c r="AF502" s="15" t="str">
        <f t="shared" si="16"/>
        <v>Electropolished Pipe Supply Into Malur - Certification &amp; Transit</v>
      </c>
      <c r="AG502" s="15" t="str">
        <f t="shared" si="17"/>
        <v>Electropolished Pipes Wholesaler in Malur - Project Quantities &amp; Terms</v>
      </c>
      <c r="AH502" s="15" t="str">
        <f t="shared" si="18"/>
        <v>electropolished pipes manufacturer in Malur, electropolished pipes supplier in Malur, electropolished pipes wholesaler in Malur, electropolished tube manufacturer Malur, EP pipe supplier Malur, sanitary tube supplier Malur, ASME BPE tubing Malur, ASTM A270 tube Malur, SS 316L electropolished pipe Malur</v>
      </c>
      <c r="AI502" s="15" t="str">
        <f t="shared" si="19"/>
        <v>Electropolished Pipes Manufacturer &amp; Supplier in Malur</v>
      </c>
      <c r="AJ502" s="15" t="str">
        <f t="shared" si="20"/>
        <v>EP-finished SS 304/316L pipes and tubes for VERIFY plants in Malur. ASME BPE SF1-SF4, Ra from 0.25 um, EN 10204 3.1 certificate with every lot.</v>
      </c>
      <c r="AK502" s="15" t="str">
        <f t="shared" si="21"/>
        <v>Electropolished stainless steel pipes supplied by Sakshi Forge to VERIFY plants at KIADB Industrial Area, Malur</v>
      </c>
      <c r="AL502" s="15" t="str">
        <f t="shared" si="22"/>
        <v>Electropolished SS 316L tube stock for Malur - Sakshi Forge</v>
      </c>
      <c r="AM502" s="15" t="str">
        <f t="shared" si="23"/>
        <v>Home &gt; Market Area &gt; India &gt; Karnataka &gt; Malur</v>
      </c>
      <c r="AN502" s="15">
        <f t="shared" si="24"/>
        <v>1000</v>
      </c>
      <c r="AO502" s="15">
        <f t="shared" si="25"/>
        <v>8</v>
      </c>
      <c r="AP502" s="15">
        <f t="shared" si="26"/>
        <v>8</v>
      </c>
      <c r="AQ502" s="15">
        <f t="shared" si="27"/>
        <v>9</v>
      </c>
      <c r="AR502" s="31"/>
      <c r="AS502" s="31"/>
      <c r="AT502" s="35" t="s">
        <v>222</v>
      </c>
      <c r="AU502" s="35"/>
    </row>
    <row r="503" ht="15.75" customHeight="1">
      <c r="A503" s="15" t="s">
        <v>3875</v>
      </c>
      <c r="B503" s="15" t="s">
        <v>60</v>
      </c>
      <c r="C503" s="15" t="s">
        <v>958</v>
      </c>
      <c r="D503" s="15" t="s">
        <v>3876</v>
      </c>
      <c r="E503" s="15" t="s">
        <v>3876</v>
      </c>
      <c r="F503" s="65" t="s">
        <v>788</v>
      </c>
      <c r="G503" s="66" t="s">
        <v>98</v>
      </c>
      <c r="H503" s="18" t="s">
        <v>3878</v>
      </c>
      <c r="I503" s="18" t="s">
        <v>8403</v>
      </c>
      <c r="J503" s="18" t="s">
        <v>98</v>
      </c>
      <c r="K503" s="18" t="s">
        <v>98</v>
      </c>
      <c r="L503" s="18" t="s">
        <v>98</v>
      </c>
      <c r="M503" s="18" t="s">
        <v>98</v>
      </c>
      <c r="N503" s="18" t="s">
        <v>98</v>
      </c>
      <c r="O503" s="18" t="s">
        <v>98</v>
      </c>
      <c r="P503" s="15" t="str">
        <f t="shared" si="1"/>
        <v>VERIFY</v>
      </c>
      <c r="Q503" s="15">
        <f t="shared" si="2"/>
        <v>4</v>
      </c>
      <c r="R503" s="15">
        <f t="shared" si="3"/>
        <v>3</v>
      </c>
      <c r="S503" s="15">
        <f t="shared" si="4"/>
        <v>5</v>
      </c>
      <c r="T503" s="15" t="str">
        <f t="shared" si="5"/>
        <v>B-2</v>
      </c>
      <c r="U503" s="15" t="str">
        <f t="shared" si="6"/>
        <v>T4-M3-H5-FB-2-VERIFY</v>
      </c>
      <c r="V503" s="15">
        <f t="shared" si="7"/>
        <v>0</v>
      </c>
      <c r="W503" s="31"/>
      <c r="X503" s="15" t="str">
        <f t="shared" si="8"/>
        <v>manali-chennai</v>
      </c>
      <c r="Y503" s="32" t="str">
        <f t="shared" si="9"/>
        <v>https://steelmanufacturer.in/market-area/electropolished-pipes-manufacturer-in-manali-chennai/</v>
      </c>
      <c r="Z503" s="15" t="str">
        <f t="shared" si="10"/>
        <v>Electropolished Pipes Manufacturer in Manali-Chennai</v>
      </c>
      <c r="AA503" s="15" t="str">
        <f t="shared" si="11"/>
        <v>OK (52)</v>
      </c>
      <c r="AB503" s="15" t="str">
        <f t="shared" si="12"/>
        <v>EP stainless tube for VERIFY lines in Manali-Chennai. VERIFY. ASTM A270 S2, PMI tested, EN 10204 3.1.</v>
      </c>
      <c r="AC503" s="15" t="str">
        <f t="shared" si="13"/>
        <v>PENDING RESEARCH</v>
      </c>
      <c r="AD503" s="15" t="str">
        <f t="shared" si="14"/>
        <v>Electropolished Pipes Manufacturer in Manali-Chennai</v>
      </c>
      <c r="AE503" s="15" t="str">
        <f t="shared" si="15"/>
        <v>Electropolished Tube Manufacturing Capability Serving Manali-Chennai</v>
      </c>
      <c r="AF503" s="15" t="str">
        <f t="shared" si="16"/>
        <v>Electropolished Pipes Supplier in Manali-Chennai - From Order to Delivery</v>
      </c>
      <c r="AG503" s="15" t="str">
        <f t="shared" si="17"/>
        <v>Stockist &amp; Wholesale Supply of Electropolished Pipes in Manali-Chennai</v>
      </c>
      <c r="AH503" s="15" t="str">
        <f t="shared" si="18"/>
        <v>electropolished pipes manufacturer in Manali-Chennai, electropolished pipes supplier in Manali-Chennai, electropolished pipes wholesaler in Manali-Chennai, electropolished tube manufacturer Manali-Chennai, EP pipe supplier Manali-Chennai, sanitary tube supplier Manali-Chennai, ASME BPE tubing Manali-Chennai, ASTM A270 tube Manali-Chennai, SS 316L electropolished pipe Manali-Chennai</v>
      </c>
      <c r="AI503" s="15" t="str">
        <f t="shared" si="19"/>
        <v>Electropolished Pipes Manufacturer &amp; Supplier in Manali-Chennai</v>
      </c>
      <c r="AJ503" s="15" t="str">
        <f t="shared" si="20"/>
        <v>EP-finished SS 304/316L pipes and tubes for VERIFY plants in Manali-Chennai. ASME BPE SF1-SF4, Ra from 0.25 um, EN 10204 3.1 certificate with every lot.</v>
      </c>
      <c r="AK503" s="15" t="str">
        <f t="shared" si="21"/>
        <v>Electropolished stainless steel pipes supplied by Sakshi Forge to VERIFY plants at SIPCOT Industrial Area, Manali-Chennai</v>
      </c>
      <c r="AL503" s="15" t="str">
        <f t="shared" si="22"/>
        <v>Electropolished SS 316L tube stock for Manali-Chennai - Sakshi Forge</v>
      </c>
      <c r="AM503" s="15" t="str">
        <f t="shared" si="23"/>
        <v>Home &gt; Market Area &gt; India &gt; Tamil Nadu &gt; Manali-Chennai</v>
      </c>
      <c r="AN503" s="15">
        <f t="shared" si="24"/>
        <v>1000</v>
      </c>
      <c r="AO503" s="15">
        <f t="shared" si="25"/>
        <v>8</v>
      </c>
      <c r="AP503" s="15">
        <f t="shared" si="26"/>
        <v>8</v>
      </c>
      <c r="AQ503" s="15">
        <f t="shared" si="27"/>
        <v>9</v>
      </c>
      <c r="AR503" s="31"/>
      <c r="AS503" s="31"/>
      <c r="AT503" s="35" t="s">
        <v>222</v>
      </c>
      <c r="AU503" s="35"/>
    </row>
    <row r="504" ht="15.75" customHeight="1">
      <c r="A504" s="15" t="s">
        <v>3879</v>
      </c>
      <c r="B504" s="15" t="s">
        <v>60</v>
      </c>
      <c r="C504" s="15" t="s">
        <v>447</v>
      </c>
      <c r="D504" s="15" t="s">
        <v>3880</v>
      </c>
      <c r="E504" s="15" t="s">
        <v>3880</v>
      </c>
      <c r="F504" s="65" t="s">
        <v>788</v>
      </c>
      <c r="G504" s="66" t="s">
        <v>98</v>
      </c>
      <c r="H504" s="18" t="s">
        <v>3882</v>
      </c>
      <c r="I504" s="18" t="s">
        <v>8411</v>
      </c>
      <c r="J504" s="18" t="s">
        <v>98</v>
      </c>
      <c r="K504" s="18" t="s">
        <v>98</v>
      </c>
      <c r="L504" s="18" t="s">
        <v>98</v>
      </c>
      <c r="M504" s="18" t="s">
        <v>98</v>
      </c>
      <c r="N504" s="18" t="s">
        <v>98</v>
      </c>
      <c r="O504" s="18" t="s">
        <v>98</v>
      </c>
      <c r="P504" s="15" t="str">
        <f t="shared" si="1"/>
        <v>VERIFY</v>
      </c>
      <c r="Q504" s="15">
        <f t="shared" si="2"/>
        <v>5</v>
      </c>
      <c r="R504" s="15">
        <f t="shared" si="3"/>
        <v>4</v>
      </c>
      <c r="S504" s="15">
        <f t="shared" si="4"/>
        <v>1</v>
      </c>
      <c r="T504" s="15" t="str">
        <f t="shared" si="5"/>
        <v>B-3</v>
      </c>
      <c r="U504" s="15" t="str">
        <f t="shared" si="6"/>
        <v>T5-M4-H1-FB-3-VERIFY</v>
      </c>
      <c r="V504" s="15">
        <f t="shared" si="7"/>
        <v>0</v>
      </c>
      <c r="W504" s="31"/>
      <c r="X504" s="15" t="str">
        <f t="shared" si="8"/>
        <v>mandi</v>
      </c>
      <c r="Y504" s="32" t="str">
        <f t="shared" si="9"/>
        <v>https://steelmanufacturer.in/market-area/electropolished-pipes-manufacturer-in-mandi/</v>
      </c>
      <c r="Z504" s="15" t="str">
        <f t="shared" si="10"/>
        <v>Electropolished Pipes Manufacturer in Mandi</v>
      </c>
      <c r="AA504" s="15" t="str">
        <f t="shared" si="11"/>
        <v>OK (43)</v>
      </c>
      <c r="AB504" s="15" t="str">
        <f t="shared" si="12"/>
        <v>Sanitary electropolished pipes in Mandi for VERIFY plants. ASME BPE SF1-SF4, orbital-weld ready, 3.1 MTC. Mumbai-made.</v>
      </c>
      <c r="AC504" s="15" t="str">
        <f t="shared" si="13"/>
        <v>PENDING RESEARCH</v>
      </c>
      <c r="AD504" s="15" t="str">
        <f t="shared" si="14"/>
        <v>Electropolished Pipes Manufacturer in Mandi</v>
      </c>
      <c r="AE504" s="15" t="str">
        <f t="shared" si="15"/>
        <v>Electropolished Pipe &amp; Tube Manufacturing for Mandi - Grades, Finishes &amp; Certification</v>
      </c>
      <c r="AF504" s="15" t="str">
        <f t="shared" si="16"/>
        <v>Electropolished Pipes Supplier in Mandi - Stock Sizes, Lead Time &amp; Delivery</v>
      </c>
      <c r="AG504" s="15" t="str">
        <f t="shared" si="17"/>
        <v>Electropolished Pipes Wholesaler &amp; Stockist in Mandi - Bulk &amp; Project Pricing</v>
      </c>
      <c r="AH504" s="15" t="str">
        <f t="shared" si="18"/>
        <v>electropolished pipes manufacturer in Mandi, electropolished pipes supplier in Mandi, electropolished pipes wholesaler in Mandi, electropolished tube manufacturer Mandi, EP pipe supplier Mandi, sanitary tube supplier Mandi, ASME BPE tubing Mandi, ASTM A270 tube Mandi, SS 316L electropolished pipe Mandi</v>
      </c>
      <c r="AI504" s="15" t="str">
        <f t="shared" si="19"/>
        <v>Electropolished Pipes Manufacturer &amp; Supplier in Mandi</v>
      </c>
      <c r="AJ504" s="15" t="str">
        <f t="shared" si="20"/>
        <v>EP-finished SS 304/316L pipes and tubes for VERIFY plants in Mandi. ASME BPE SF1-SF4, Ra from 0.25 um, EN 10204 3.1 certificate with every lot.</v>
      </c>
      <c r="AK504" s="15" t="str">
        <f t="shared" si="21"/>
        <v>Electropolished stainless steel pipes supplied by Sakshi Forge to VERIFY plants at HPSIDC Industrial Area, Mandi</v>
      </c>
      <c r="AL504" s="15" t="str">
        <f t="shared" si="22"/>
        <v>Electropolished SS 316L tube stock for Mandi - Sakshi Forge</v>
      </c>
      <c r="AM504" s="15" t="str">
        <f t="shared" si="23"/>
        <v>Home &gt; Market Area &gt; India &gt; Himachal Pradesh &gt; Mandi</v>
      </c>
      <c r="AN504" s="15">
        <f t="shared" si="24"/>
        <v>1000</v>
      </c>
      <c r="AO504" s="15">
        <f t="shared" si="25"/>
        <v>8</v>
      </c>
      <c r="AP504" s="15">
        <f t="shared" si="26"/>
        <v>8</v>
      </c>
      <c r="AQ504" s="15">
        <f t="shared" si="27"/>
        <v>9</v>
      </c>
      <c r="AR504" s="31"/>
      <c r="AS504" s="31"/>
      <c r="AT504" s="35" t="s">
        <v>222</v>
      </c>
      <c r="AU504" s="35"/>
    </row>
    <row r="505" ht="15.75" customHeight="1">
      <c r="A505" s="15" t="s">
        <v>3885</v>
      </c>
      <c r="B505" s="15" t="s">
        <v>60</v>
      </c>
      <c r="C505" s="15" t="s">
        <v>354</v>
      </c>
      <c r="D505" s="15" t="s">
        <v>3888</v>
      </c>
      <c r="E505" s="15" t="s">
        <v>3888</v>
      </c>
      <c r="F505" s="65" t="s">
        <v>788</v>
      </c>
      <c r="G505" s="66" t="s">
        <v>98</v>
      </c>
      <c r="H505" s="18" t="s">
        <v>3891</v>
      </c>
      <c r="I505" s="18" t="s">
        <v>8408</v>
      </c>
      <c r="J505" s="18" t="s">
        <v>98</v>
      </c>
      <c r="K505" s="18" t="s">
        <v>98</v>
      </c>
      <c r="L505" s="18" t="s">
        <v>98</v>
      </c>
      <c r="M505" s="18" t="s">
        <v>98</v>
      </c>
      <c r="N505" s="18" t="s">
        <v>98</v>
      </c>
      <c r="O505" s="18" t="s">
        <v>98</v>
      </c>
      <c r="P505" s="15" t="str">
        <f t="shared" si="1"/>
        <v>VERIFY</v>
      </c>
      <c r="Q505" s="15">
        <f t="shared" si="2"/>
        <v>6</v>
      </c>
      <c r="R505" s="15">
        <f t="shared" si="3"/>
        <v>5</v>
      </c>
      <c r="S505" s="15">
        <f t="shared" si="4"/>
        <v>2</v>
      </c>
      <c r="T505" s="15" t="str">
        <f t="shared" si="5"/>
        <v>B-4</v>
      </c>
      <c r="U505" s="15" t="str">
        <f t="shared" si="6"/>
        <v>T6-M5-H2-FB-4-VERIFY</v>
      </c>
      <c r="V505" s="15">
        <f t="shared" si="7"/>
        <v>0</v>
      </c>
      <c r="W505" s="31"/>
      <c r="X505" s="15" t="str">
        <f t="shared" si="8"/>
        <v>mandi-gobindgarh</v>
      </c>
      <c r="Y505" s="32" t="str">
        <f t="shared" si="9"/>
        <v>https://steelmanufacturer.in/market-area/electropolished-pipes-manufacturer-in-mandi-gobindgarh/</v>
      </c>
      <c r="Z505" s="15" t="str">
        <f t="shared" si="10"/>
        <v>Electropolished Pipes Manufacturer in Mandi Gobindgarh</v>
      </c>
      <c r="AA505" s="15" t="str">
        <f t="shared" si="11"/>
        <v>OK (54)</v>
      </c>
      <c r="AB505" s="15" t="str">
        <f t="shared" si="12"/>
        <v>Manufacturer of electropolished SS 316L tube serving Mandi Gobindgarh. VERIFY. Ra 0.25-0.5 um, EN 10204 3.1 MTC.</v>
      </c>
      <c r="AC505" s="15" t="str">
        <f t="shared" si="13"/>
        <v>PENDING RESEARCH</v>
      </c>
      <c r="AD505" s="15" t="str">
        <f t="shared" si="14"/>
        <v>Electropolished Pipes Manufacturer in Mandi Gobindgarh</v>
      </c>
      <c r="AE505" s="15" t="str">
        <f t="shared" si="15"/>
        <v>How We Manufacture Electropolished Tube for Mandi Gobindgarh Plants</v>
      </c>
      <c r="AF505" s="15" t="str">
        <f t="shared" si="16"/>
        <v>Supplying Electropolished Pipes in Mandi Gobindgarh: Availability, Sizes &amp; Dispatch</v>
      </c>
      <c r="AG505" s="15" t="str">
        <f t="shared" si="17"/>
        <v>Wholesale Electropolished Pipe Supply for Mandi Gobindgarh Projects</v>
      </c>
      <c r="AH505" s="15" t="str">
        <f t="shared" si="18"/>
        <v>electropolished pipes manufacturer in Mandi Gobindgarh, electropolished pipes supplier in Mandi Gobindgarh, electropolished pipes wholesaler in Mandi Gobindgarh, electropolished tube manufacturer Mandi Gobindgarh, EP pipe supplier Mandi Gobindgarh, sanitary tube supplier Mandi Gobindgarh, ASME BPE tubing Mandi Gobindgarh, ASTM A270 tube Mandi Gobindgarh, SS 316L electropolished pipe Mandi Gobindgarh</v>
      </c>
      <c r="AI505" s="15" t="str">
        <f t="shared" si="19"/>
        <v>Electropolished Pipes Manufacturer &amp; Supplier in Mandi Gobindgarh</v>
      </c>
      <c r="AJ505" s="15" t="str">
        <f t="shared" si="20"/>
        <v>EP-finished SS 304/316L pipes and tubes for VERIFY plants in Mandi Gobindgarh. ASME BPE SF1-SF4, Ra from 0.25 um, EN 10204 3.1 certificate with every lot.</v>
      </c>
      <c r="AK505" s="15" t="str">
        <f t="shared" si="21"/>
        <v>Electropolished stainless steel pipes supplied by Sakshi Forge to VERIFY plants at PSIEC Industrial Area, Mandi Gobindgarh</v>
      </c>
      <c r="AL505" s="15" t="str">
        <f t="shared" si="22"/>
        <v>Electropolished SS 316L tube stock for Mandi Gobindgarh - Sakshi Forge</v>
      </c>
      <c r="AM505" s="15" t="str">
        <f t="shared" si="23"/>
        <v>Home &gt; Market Area &gt; India &gt; Punjab &gt; Mandi Gobindgarh</v>
      </c>
      <c r="AN505" s="15">
        <f t="shared" si="24"/>
        <v>1000</v>
      </c>
      <c r="AO505" s="15">
        <f t="shared" si="25"/>
        <v>8</v>
      </c>
      <c r="AP505" s="15">
        <f t="shared" si="26"/>
        <v>8</v>
      </c>
      <c r="AQ505" s="15">
        <f t="shared" si="27"/>
        <v>9</v>
      </c>
      <c r="AR505" s="31"/>
      <c r="AS505" s="31"/>
      <c r="AT505" s="35" t="s">
        <v>222</v>
      </c>
      <c r="AU505" s="35"/>
    </row>
    <row r="506" ht="15.75" customHeight="1">
      <c r="A506" s="15" t="s">
        <v>3892</v>
      </c>
      <c r="B506" s="15" t="s">
        <v>60</v>
      </c>
      <c r="C506" s="15" t="s">
        <v>842</v>
      </c>
      <c r="D506" s="15" t="s">
        <v>3893</v>
      </c>
      <c r="E506" s="15" t="s">
        <v>3893</v>
      </c>
      <c r="F506" s="65" t="s">
        <v>788</v>
      </c>
      <c r="G506" s="66" t="s">
        <v>98</v>
      </c>
      <c r="H506" s="18" t="s">
        <v>3895</v>
      </c>
      <c r="I506" s="18" t="s">
        <v>8413</v>
      </c>
      <c r="J506" s="18" t="s">
        <v>98</v>
      </c>
      <c r="K506" s="18" t="s">
        <v>98</v>
      </c>
      <c r="L506" s="18" t="s">
        <v>98</v>
      </c>
      <c r="M506" s="18" t="s">
        <v>98</v>
      </c>
      <c r="N506" s="18" t="s">
        <v>98</v>
      </c>
      <c r="O506" s="18" t="s">
        <v>98</v>
      </c>
      <c r="P506" s="15" t="str">
        <f t="shared" si="1"/>
        <v>VERIFY</v>
      </c>
      <c r="Q506" s="15">
        <f t="shared" si="2"/>
        <v>7</v>
      </c>
      <c r="R506" s="15">
        <f t="shared" si="3"/>
        <v>6</v>
      </c>
      <c r="S506" s="15">
        <f t="shared" si="4"/>
        <v>3</v>
      </c>
      <c r="T506" s="15" t="str">
        <f t="shared" si="5"/>
        <v>B-5</v>
      </c>
      <c r="U506" s="15" t="str">
        <f t="shared" si="6"/>
        <v>T7-M6-H3-FB-5-VERIFY</v>
      </c>
      <c r="V506" s="15">
        <f t="shared" si="7"/>
        <v>0</v>
      </c>
      <c r="W506" s="31"/>
      <c r="X506" s="15" t="str">
        <f t="shared" si="8"/>
        <v>mandsaur</v>
      </c>
      <c r="Y506" s="32" t="str">
        <f t="shared" si="9"/>
        <v>https://steelmanufacturer.in/market-area/electropolished-pipes-manufacturer-in-mandsaur/</v>
      </c>
      <c r="Z506" s="15" t="str">
        <f t="shared" si="10"/>
        <v>Electropolished Pipes Manufacturer in Mandsaur | ASME BPE SF1-SF4</v>
      </c>
      <c r="AA506" s="15" t="str">
        <f t="shared" si="11"/>
        <v>OK (65)</v>
      </c>
      <c r="AB506" s="15" t="str">
        <f t="shared" si="12"/>
        <v>EP tube and pipe for VERIFY plants around MPIDC Industrial Area, Mandsaur. Made at our Mumbai works to ASTM A270 and ASME BPE SF1-SF4, with 3.1 MTC.</v>
      </c>
      <c r="AC506" s="15" t="str">
        <f t="shared" si="13"/>
        <v>PENDING RESEARCH</v>
      </c>
      <c r="AD506" s="15" t="str">
        <f t="shared" si="14"/>
        <v>Electropolished Pipes Manufacturer in Mandsaur</v>
      </c>
      <c r="AE506" s="15" t="str">
        <f t="shared" si="15"/>
        <v>Electropolished Pipes Manufacturer in Mandsaur - Our Process &amp; Capability</v>
      </c>
      <c r="AF506" s="15" t="str">
        <f t="shared" si="16"/>
        <v>Electropolished Pipes Supplier in Mandsaur - What We Hold in Stock</v>
      </c>
      <c r="AG506" s="15" t="str">
        <f t="shared" si="17"/>
        <v>Bulk &amp; Wholesale Electropolished Pipe Rates for Mandsaur Buyers</v>
      </c>
      <c r="AH506" s="15" t="str">
        <f t="shared" si="18"/>
        <v>electropolished pipes manufacturer in Mandsaur, electropolished pipes supplier in Mandsaur, electropolished pipes wholesaler in Mandsaur, electropolished tube manufacturer Mandsaur, EP pipe supplier Mandsaur, sanitary tube supplier Mandsaur, ASME BPE tubing Mandsaur, ASTM A270 tube Mandsaur, SS 316L electropolished pipe Mandsaur</v>
      </c>
      <c r="AI506" s="15" t="str">
        <f t="shared" si="19"/>
        <v>Electropolished Pipes Manufacturer &amp; Supplier in Mandsaur</v>
      </c>
      <c r="AJ506" s="15" t="str">
        <f t="shared" si="20"/>
        <v>EP-finished SS 304/316L pipes and tubes for VERIFY plants in Mandsaur. ASME BPE SF1-SF4, Ra from 0.25 um, EN 10204 3.1 certificate with every lot.</v>
      </c>
      <c r="AK506" s="15" t="str">
        <f t="shared" si="21"/>
        <v>Electropolished stainless steel pipes supplied by Sakshi Forge to VERIFY plants at MPIDC Industrial Area, Mandsaur</v>
      </c>
      <c r="AL506" s="15" t="str">
        <f t="shared" si="22"/>
        <v>Electropolished SS 316L tube stock for Mandsaur - Sakshi Forge</v>
      </c>
      <c r="AM506" s="15" t="str">
        <f t="shared" si="23"/>
        <v>Home &gt; Market Area &gt; India &gt; Madhya Pradesh &gt; Mandsaur</v>
      </c>
      <c r="AN506" s="15">
        <f t="shared" si="24"/>
        <v>1000</v>
      </c>
      <c r="AO506" s="15">
        <f t="shared" si="25"/>
        <v>8</v>
      </c>
      <c r="AP506" s="15">
        <f t="shared" si="26"/>
        <v>8</v>
      </c>
      <c r="AQ506" s="15">
        <f t="shared" si="27"/>
        <v>9</v>
      </c>
      <c r="AR506" s="31"/>
      <c r="AS506" s="31"/>
      <c r="AT506" s="35" t="s">
        <v>222</v>
      </c>
      <c r="AU506" s="35"/>
    </row>
    <row r="507" ht="15.75" customHeight="1">
      <c r="A507" s="15" t="s">
        <v>3896</v>
      </c>
      <c r="B507" s="15" t="s">
        <v>60</v>
      </c>
      <c r="C507" s="15" t="s">
        <v>570</v>
      </c>
      <c r="D507" s="15" t="s">
        <v>3897</v>
      </c>
      <c r="E507" s="15" t="s">
        <v>3897</v>
      </c>
      <c r="F507" s="65" t="s">
        <v>788</v>
      </c>
      <c r="G507" s="66" t="s">
        <v>98</v>
      </c>
      <c r="H507" s="18" t="s">
        <v>3899</v>
      </c>
      <c r="I507" s="18" t="s">
        <v>8405</v>
      </c>
      <c r="J507" s="18" t="s">
        <v>98</v>
      </c>
      <c r="K507" s="18" t="s">
        <v>98</v>
      </c>
      <c r="L507" s="18" t="s">
        <v>98</v>
      </c>
      <c r="M507" s="18" t="s">
        <v>98</v>
      </c>
      <c r="N507" s="18" t="s">
        <v>98</v>
      </c>
      <c r="O507" s="18" t="s">
        <v>98</v>
      </c>
      <c r="P507" s="15" t="str">
        <f t="shared" si="1"/>
        <v>VERIFY</v>
      </c>
      <c r="Q507" s="15">
        <f t="shared" si="2"/>
        <v>8</v>
      </c>
      <c r="R507" s="15">
        <f t="shared" si="3"/>
        <v>7</v>
      </c>
      <c r="S507" s="15">
        <f t="shared" si="4"/>
        <v>4</v>
      </c>
      <c r="T507" s="15" t="str">
        <f t="shared" si="5"/>
        <v>B-6</v>
      </c>
      <c r="U507" s="15" t="str">
        <f t="shared" si="6"/>
        <v>T8-M7-H4-FB-6-VERIFY</v>
      </c>
      <c r="V507" s="15">
        <f t="shared" si="7"/>
        <v>0</v>
      </c>
      <c r="W507" s="31"/>
      <c r="X507" s="15" t="str">
        <f t="shared" si="8"/>
        <v>mandya</v>
      </c>
      <c r="Y507" s="32" t="str">
        <f t="shared" si="9"/>
        <v>https://steelmanufacturer.in/market-area/electropolished-pipes-manufacturer-in-mandya/</v>
      </c>
      <c r="Z507" s="15" t="str">
        <f t="shared" si="10"/>
        <v>Electropolished Pipes Manufacturer in Mandya - EP Tube Stockist</v>
      </c>
      <c r="AA507" s="15" t="str">
        <f t="shared" si="11"/>
        <v>OK (63)</v>
      </c>
      <c r="AB507" s="15" t="str">
        <f t="shared" si="12"/>
        <v>Electropolished pipes in Mandya: 304, 304L, 316 and 316L in SF1-SF4. VERIFY. Mill certified.</v>
      </c>
      <c r="AC507" s="15" t="str">
        <f t="shared" si="13"/>
        <v>PENDING RESEARCH</v>
      </c>
      <c r="AD507" s="15" t="str">
        <f t="shared" si="14"/>
        <v>Electropolished Pipes Manufacturer in Mandya</v>
      </c>
      <c r="AE507" s="15" t="str">
        <f t="shared" si="15"/>
        <v>Manufacturing Electropolished SS Tube for Mandya: The Standards We Build To</v>
      </c>
      <c r="AF507" s="15" t="str">
        <f t="shared" si="16"/>
        <v>Electropolished Pipe Supply Into Mandya - Certification &amp; Transit</v>
      </c>
      <c r="AG507" s="15" t="str">
        <f t="shared" si="17"/>
        <v>Electropolished Pipes Wholesaler in Mandya - Project Quantities &amp; Terms</v>
      </c>
      <c r="AH507" s="15" t="str">
        <f t="shared" si="18"/>
        <v>electropolished pipes manufacturer in Mandya, electropolished pipes supplier in Mandya, electropolished pipes wholesaler in Mandya, electropolished tube manufacturer Mandya, EP pipe supplier Mandya, sanitary tube supplier Mandya, ASME BPE tubing Mandya, ASTM A270 tube Mandya, SS 316L electropolished pipe Mandya</v>
      </c>
      <c r="AI507" s="15" t="str">
        <f t="shared" si="19"/>
        <v>Electropolished Pipes Manufacturer &amp; Supplier in Mandya</v>
      </c>
      <c r="AJ507" s="15" t="str">
        <f t="shared" si="20"/>
        <v>EP-finished SS 304/316L pipes and tubes for VERIFY plants in Mandya. ASME BPE SF1-SF4, Ra from 0.25 um, EN 10204 3.1 certificate with every lot.</v>
      </c>
      <c r="AK507" s="15" t="str">
        <f t="shared" si="21"/>
        <v>Electropolished stainless steel pipes supplied by Sakshi Forge to VERIFY plants at KIADB Industrial Area, Mandya</v>
      </c>
      <c r="AL507" s="15" t="str">
        <f t="shared" si="22"/>
        <v>Electropolished SS 316L tube stock for Mandya - Sakshi Forge</v>
      </c>
      <c r="AM507" s="15" t="str">
        <f t="shared" si="23"/>
        <v>Home &gt; Market Area &gt; India &gt; Karnataka &gt; Mandya</v>
      </c>
      <c r="AN507" s="15">
        <f t="shared" si="24"/>
        <v>1000</v>
      </c>
      <c r="AO507" s="15">
        <f t="shared" si="25"/>
        <v>8</v>
      </c>
      <c r="AP507" s="15">
        <f t="shared" si="26"/>
        <v>8</v>
      </c>
      <c r="AQ507" s="15">
        <f t="shared" si="27"/>
        <v>9</v>
      </c>
      <c r="AR507" s="31"/>
      <c r="AS507" s="31"/>
      <c r="AT507" s="35" t="s">
        <v>222</v>
      </c>
      <c r="AU507" s="35"/>
    </row>
    <row r="508" ht="15.75" customHeight="1">
      <c r="A508" s="15" t="s">
        <v>3900</v>
      </c>
      <c r="B508" s="15" t="s">
        <v>60</v>
      </c>
      <c r="C508" s="15" t="s">
        <v>245</v>
      </c>
      <c r="D508" s="15" t="s">
        <v>3901</v>
      </c>
      <c r="E508" s="15" t="s">
        <v>3901</v>
      </c>
      <c r="F508" s="65" t="s">
        <v>788</v>
      </c>
      <c r="G508" s="66" t="s">
        <v>98</v>
      </c>
      <c r="H508" s="18" t="s">
        <v>3903</v>
      </c>
      <c r="I508" s="18" t="s">
        <v>8407</v>
      </c>
      <c r="J508" s="18" t="s">
        <v>98</v>
      </c>
      <c r="K508" s="18" t="s">
        <v>98</v>
      </c>
      <c r="L508" s="18" t="s">
        <v>98</v>
      </c>
      <c r="M508" s="18" t="s">
        <v>98</v>
      </c>
      <c r="N508" s="18" t="s">
        <v>98</v>
      </c>
      <c r="O508" s="18" t="s">
        <v>98</v>
      </c>
      <c r="P508" s="15" t="str">
        <f t="shared" si="1"/>
        <v>VERIFY</v>
      </c>
      <c r="Q508" s="15">
        <f t="shared" si="2"/>
        <v>1</v>
      </c>
      <c r="R508" s="15">
        <f t="shared" si="3"/>
        <v>1</v>
      </c>
      <c r="S508" s="15">
        <f t="shared" si="4"/>
        <v>5</v>
      </c>
      <c r="T508" s="15" t="str">
        <f t="shared" si="5"/>
        <v>B-1</v>
      </c>
      <c r="U508" s="15" t="str">
        <f t="shared" si="6"/>
        <v>T1-M1-H5-FB-1-VERIFY</v>
      </c>
      <c r="V508" s="15">
        <f t="shared" si="7"/>
        <v>0</v>
      </c>
      <c r="W508" s="31"/>
      <c r="X508" s="15" t="str">
        <f t="shared" si="8"/>
        <v>manesar</v>
      </c>
      <c r="Y508" s="32" t="str">
        <f t="shared" si="9"/>
        <v>https://steelmanufacturer.in/market-area/electropolished-pipes-manufacturer-in-manesar/</v>
      </c>
      <c r="Z508" s="15" t="str">
        <f t="shared" si="10"/>
        <v>Electropolished Pipes Manufacturer in Manesar | Sakshi Forge</v>
      </c>
      <c r="AA508" s="15" t="str">
        <f t="shared" si="11"/>
        <v>OK (60)</v>
      </c>
      <c r="AB508" s="15" t="str">
        <f t="shared" si="12"/>
        <v>EP-finished SS 304/316L pipes &amp; tubes for VERIFY plants in Manesar. ASTM A270, ASME BPE SF1-SF4, EN 10204 3.1 MTC. PMI tested.</v>
      </c>
      <c r="AC508" s="15" t="str">
        <f t="shared" si="13"/>
        <v>PENDING RESEARCH</v>
      </c>
      <c r="AD508" s="15" t="str">
        <f t="shared" si="14"/>
        <v>Electropolished Pipes Manufacturer in Manesar</v>
      </c>
      <c r="AE508" s="15" t="str">
        <f t="shared" si="15"/>
        <v>Electropolished Tube Manufacturing Capability Serving Manesar</v>
      </c>
      <c r="AF508" s="15" t="str">
        <f t="shared" si="16"/>
        <v>Electropolished Pipes Supplier in Manesar - From Order to Delivery</v>
      </c>
      <c r="AG508" s="15" t="str">
        <f t="shared" si="17"/>
        <v>Stockist &amp; Wholesale Supply of Electropolished Pipes in Manesar</v>
      </c>
      <c r="AH508" s="15" t="str">
        <f t="shared" si="18"/>
        <v>electropolished pipes manufacturer in Manesar, electropolished pipes supplier in Manesar, electropolished pipes wholesaler in Manesar, electropolished tube manufacturer Manesar, EP pipe supplier Manesar, sanitary tube supplier Manesar, ASME BPE tubing Manesar, ASTM A270 tube Manesar, SS 316L electropolished pipe Manesar</v>
      </c>
      <c r="AI508" s="15" t="str">
        <f t="shared" si="19"/>
        <v>Electropolished Pipes Manufacturer &amp; Supplier in Manesar</v>
      </c>
      <c r="AJ508" s="15" t="str">
        <f t="shared" si="20"/>
        <v>EP-finished SS 304/316L pipes and tubes for VERIFY plants in Manesar. ASME BPE SF1-SF4, Ra from 0.25 um, EN 10204 3.1 certificate with every lot.</v>
      </c>
      <c r="AK508" s="15" t="str">
        <f t="shared" si="21"/>
        <v>Electropolished stainless steel pipes supplied by Sakshi Forge to VERIFY plants at HSIIDC Industrial Area, Manesar</v>
      </c>
      <c r="AL508" s="15" t="str">
        <f t="shared" si="22"/>
        <v>Electropolished SS 316L tube stock for Manesar - Sakshi Forge</v>
      </c>
      <c r="AM508" s="15" t="str">
        <f t="shared" si="23"/>
        <v>Home &gt; Market Area &gt; India &gt; Haryana &gt; Manesar</v>
      </c>
      <c r="AN508" s="15">
        <f t="shared" si="24"/>
        <v>1000</v>
      </c>
      <c r="AO508" s="15">
        <f t="shared" si="25"/>
        <v>8</v>
      </c>
      <c r="AP508" s="15">
        <f t="shared" si="26"/>
        <v>8</v>
      </c>
      <c r="AQ508" s="15">
        <f t="shared" si="27"/>
        <v>9</v>
      </c>
      <c r="AR508" s="31"/>
      <c r="AS508" s="31"/>
      <c r="AT508" s="35" t="s">
        <v>222</v>
      </c>
      <c r="AU508" s="35"/>
    </row>
    <row r="509" ht="15.75" customHeight="1">
      <c r="A509" s="15" t="s">
        <v>3904</v>
      </c>
      <c r="B509" s="15" t="s">
        <v>60</v>
      </c>
      <c r="C509" s="15" t="s">
        <v>2391</v>
      </c>
      <c r="D509" s="15" t="s">
        <v>3905</v>
      </c>
      <c r="E509" s="15" t="s">
        <v>3905</v>
      </c>
      <c r="F509" s="65" t="s">
        <v>788</v>
      </c>
      <c r="G509" s="66" t="s">
        <v>98</v>
      </c>
      <c r="H509" s="18" t="s">
        <v>3907</v>
      </c>
      <c r="I509" s="18" t="s">
        <v>8400</v>
      </c>
      <c r="J509" s="18" t="s">
        <v>98</v>
      </c>
      <c r="K509" s="18" t="s">
        <v>98</v>
      </c>
      <c r="L509" s="18" t="s">
        <v>98</v>
      </c>
      <c r="M509" s="18" t="s">
        <v>98</v>
      </c>
      <c r="N509" s="18" t="s">
        <v>98</v>
      </c>
      <c r="O509" s="18" t="s">
        <v>98</v>
      </c>
      <c r="P509" s="15" t="str">
        <f t="shared" si="1"/>
        <v>VERIFY</v>
      </c>
      <c r="Q509" s="15">
        <f t="shared" si="2"/>
        <v>2</v>
      </c>
      <c r="R509" s="15">
        <f t="shared" si="3"/>
        <v>2</v>
      </c>
      <c r="S509" s="15">
        <f t="shared" si="4"/>
        <v>1</v>
      </c>
      <c r="T509" s="15" t="str">
        <f t="shared" si="5"/>
        <v>B-2</v>
      </c>
      <c r="U509" s="15" t="str">
        <f t="shared" si="6"/>
        <v>T2-M2-H1-FB-2-VERIFY</v>
      </c>
      <c r="V509" s="15">
        <f t="shared" si="7"/>
        <v>0</v>
      </c>
      <c r="W509" s="31"/>
      <c r="X509" s="15" t="str">
        <f t="shared" si="8"/>
        <v>mapusa</v>
      </c>
      <c r="Y509" s="32" t="str">
        <f t="shared" si="9"/>
        <v>https://steelmanufacturer.in/market-area/electropolished-pipes-manufacturer-in-mapusa/</v>
      </c>
      <c r="Z509" s="15" t="str">
        <f t="shared" si="10"/>
        <v>Electropolished Pipes Manufacturer in Mapusa</v>
      </c>
      <c r="AA509" s="15" t="str">
        <f t="shared" si="11"/>
        <v>OK (44)</v>
      </c>
      <c r="AB509" s="15" t="str">
        <f t="shared" si="12"/>
        <v>Electropolished tube supply to GIDC Industrial Area, Mapusa. Ra from 0.25 um, SF4 finish, mill test certificate with every lot.</v>
      </c>
      <c r="AC509" s="15" t="str">
        <f t="shared" si="13"/>
        <v>PENDING RESEARCH</v>
      </c>
      <c r="AD509" s="15" t="str">
        <f t="shared" si="14"/>
        <v>Electropolished Pipes Manufacturer in Mapusa</v>
      </c>
      <c r="AE509" s="15" t="str">
        <f t="shared" si="15"/>
        <v>Electropolished Pipe &amp; Tube Manufacturing for Mapusa - Grades, Finishes &amp; Certification</v>
      </c>
      <c r="AF509" s="15" t="str">
        <f t="shared" si="16"/>
        <v>Electropolished Pipes Supplier in Mapusa - Stock Sizes, Lead Time &amp; Delivery</v>
      </c>
      <c r="AG509" s="15" t="str">
        <f t="shared" si="17"/>
        <v>Electropolished Pipes Wholesaler &amp; Stockist in Mapusa - Bulk &amp; Project Pricing</v>
      </c>
      <c r="AH509" s="15" t="str">
        <f t="shared" si="18"/>
        <v>electropolished pipes manufacturer in Mapusa, electropolished pipes supplier in Mapusa, electropolished pipes wholesaler in Mapusa, electropolished tube manufacturer Mapusa, EP pipe supplier Mapusa, sanitary tube supplier Mapusa, ASME BPE tubing Mapusa, ASTM A270 tube Mapusa, SS 316L electropolished pipe Mapusa</v>
      </c>
      <c r="AI509" s="15" t="str">
        <f t="shared" si="19"/>
        <v>Electropolished Pipes Manufacturer &amp; Supplier in Mapusa</v>
      </c>
      <c r="AJ509" s="15" t="str">
        <f t="shared" si="20"/>
        <v>EP-finished SS 304/316L pipes and tubes for VERIFY plants in Mapusa. ASME BPE SF1-SF4, Ra from 0.25 um, EN 10204 3.1 certificate with every lot.</v>
      </c>
      <c r="AK509" s="15" t="str">
        <f t="shared" si="21"/>
        <v>Electropolished stainless steel pipes supplied by Sakshi Forge to VERIFY plants at GIDC Industrial Area, Mapusa</v>
      </c>
      <c r="AL509" s="15" t="str">
        <f t="shared" si="22"/>
        <v>Electropolished SS 316L tube stock for Mapusa - Sakshi Forge</v>
      </c>
      <c r="AM509" s="15" t="str">
        <f t="shared" si="23"/>
        <v>Home &gt; Market Area &gt; India &gt; Goa &gt; Mapusa</v>
      </c>
      <c r="AN509" s="15">
        <f t="shared" si="24"/>
        <v>1000</v>
      </c>
      <c r="AO509" s="15">
        <f t="shared" si="25"/>
        <v>8</v>
      </c>
      <c r="AP509" s="15">
        <f t="shared" si="26"/>
        <v>8</v>
      </c>
      <c r="AQ509" s="15">
        <f t="shared" si="27"/>
        <v>9</v>
      </c>
      <c r="AR509" s="31"/>
      <c r="AS509" s="31"/>
      <c r="AT509" s="35" t="s">
        <v>222</v>
      </c>
      <c r="AU509" s="35"/>
    </row>
    <row r="510" ht="15.75" customHeight="1">
      <c r="A510" s="15" t="s">
        <v>3908</v>
      </c>
      <c r="B510" s="15" t="s">
        <v>60</v>
      </c>
      <c r="C510" s="15" t="s">
        <v>2391</v>
      </c>
      <c r="D510" s="15" t="s">
        <v>3910</v>
      </c>
      <c r="E510" s="15" t="s">
        <v>3910</v>
      </c>
      <c r="F510" s="65" t="s">
        <v>788</v>
      </c>
      <c r="G510" s="66" t="s">
        <v>98</v>
      </c>
      <c r="H510" s="18" t="s">
        <v>3916</v>
      </c>
      <c r="I510" s="18" t="s">
        <v>8400</v>
      </c>
      <c r="J510" s="18" t="s">
        <v>98</v>
      </c>
      <c r="K510" s="18" t="s">
        <v>98</v>
      </c>
      <c r="L510" s="18" t="s">
        <v>98</v>
      </c>
      <c r="M510" s="18" t="s">
        <v>98</v>
      </c>
      <c r="N510" s="18" t="s">
        <v>98</v>
      </c>
      <c r="O510" s="18" t="s">
        <v>98</v>
      </c>
      <c r="P510" s="15" t="str">
        <f t="shared" si="1"/>
        <v>VERIFY</v>
      </c>
      <c r="Q510" s="15">
        <f t="shared" si="2"/>
        <v>3</v>
      </c>
      <c r="R510" s="15">
        <f t="shared" si="3"/>
        <v>3</v>
      </c>
      <c r="S510" s="15">
        <f t="shared" si="4"/>
        <v>2</v>
      </c>
      <c r="T510" s="15" t="str">
        <f t="shared" si="5"/>
        <v>B-3</v>
      </c>
      <c r="U510" s="15" t="str">
        <f t="shared" si="6"/>
        <v>T3-M3-H2-FB-3-VERIFY</v>
      </c>
      <c r="V510" s="15">
        <f t="shared" si="7"/>
        <v>0</v>
      </c>
      <c r="W510" s="31"/>
      <c r="X510" s="15" t="str">
        <f t="shared" si="8"/>
        <v>margao</v>
      </c>
      <c r="Y510" s="32" t="str">
        <f t="shared" si="9"/>
        <v>https://steelmanufacturer.in/market-area/electropolished-pipes-manufacturer-in-margao/</v>
      </c>
      <c r="Z510" s="15" t="str">
        <f t="shared" si="10"/>
        <v>Electropolished Pipes Manufacturer in Margao | EP Tube Supplier</v>
      </c>
      <c r="AA510" s="15" t="str">
        <f t="shared" si="11"/>
        <v>OK (63)</v>
      </c>
      <c r="AB510" s="15" t="str">
        <f t="shared" si="12"/>
        <v>EP stainless tube for VERIFY lines in Margao. VERIFY. ASTM A270 S2, PMI tested, EN 10204 3.1.</v>
      </c>
      <c r="AC510" s="15" t="str">
        <f t="shared" si="13"/>
        <v>PENDING RESEARCH</v>
      </c>
      <c r="AD510" s="15" t="str">
        <f t="shared" si="14"/>
        <v>Electropolished Pipes Manufacturer in Margao</v>
      </c>
      <c r="AE510" s="15" t="str">
        <f t="shared" si="15"/>
        <v>How We Manufacture Electropolished Tube for Margao Plants</v>
      </c>
      <c r="AF510" s="15" t="str">
        <f t="shared" si="16"/>
        <v>Supplying Electropolished Pipes in Margao: Availability, Sizes &amp; Dispatch</v>
      </c>
      <c r="AG510" s="15" t="str">
        <f t="shared" si="17"/>
        <v>Wholesale Electropolished Pipe Supply for Margao Projects</v>
      </c>
      <c r="AH510" s="15" t="str">
        <f t="shared" si="18"/>
        <v>electropolished pipes manufacturer in Margao, electropolished pipes supplier in Margao, electropolished pipes wholesaler in Margao, electropolished tube manufacturer Margao, EP pipe supplier Margao, sanitary tube supplier Margao, ASME BPE tubing Margao, ASTM A270 tube Margao, SS 316L electropolished pipe Margao</v>
      </c>
      <c r="AI510" s="15" t="str">
        <f t="shared" si="19"/>
        <v>Electropolished Pipes Manufacturer &amp; Supplier in Margao</v>
      </c>
      <c r="AJ510" s="15" t="str">
        <f t="shared" si="20"/>
        <v>EP-finished SS 304/316L pipes and tubes for VERIFY plants in Margao. ASME BPE SF1-SF4, Ra from 0.25 um, EN 10204 3.1 certificate with every lot.</v>
      </c>
      <c r="AK510" s="15" t="str">
        <f t="shared" si="21"/>
        <v>Electropolished stainless steel pipes supplied by Sakshi Forge to VERIFY plants at GIDC Industrial Area, Margao</v>
      </c>
      <c r="AL510" s="15" t="str">
        <f t="shared" si="22"/>
        <v>Electropolished SS 316L tube stock for Margao - Sakshi Forge</v>
      </c>
      <c r="AM510" s="15" t="str">
        <f t="shared" si="23"/>
        <v>Home &gt; Market Area &gt; India &gt; Goa &gt; Margao</v>
      </c>
      <c r="AN510" s="15">
        <f t="shared" si="24"/>
        <v>1000</v>
      </c>
      <c r="AO510" s="15">
        <f t="shared" si="25"/>
        <v>8</v>
      </c>
      <c r="AP510" s="15">
        <f t="shared" si="26"/>
        <v>8</v>
      </c>
      <c r="AQ510" s="15">
        <f t="shared" si="27"/>
        <v>9</v>
      </c>
      <c r="AR510" s="31"/>
      <c r="AS510" s="31"/>
      <c r="AT510" s="35" t="s">
        <v>222</v>
      </c>
      <c r="AU510" s="35"/>
    </row>
    <row r="511" ht="15.75" customHeight="1">
      <c r="A511" s="15" t="s">
        <v>3918</v>
      </c>
      <c r="B511" s="15" t="s">
        <v>60</v>
      </c>
      <c r="C511" s="15" t="s">
        <v>85</v>
      </c>
      <c r="D511" s="15" t="s">
        <v>3919</v>
      </c>
      <c r="E511" s="15" t="s">
        <v>3919</v>
      </c>
      <c r="F511" s="65" t="s">
        <v>788</v>
      </c>
      <c r="G511" s="66" t="s">
        <v>98</v>
      </c>
      <c r="H511" s="18" t="s">
        <v>3921</v>
      </c>
      <c r="I511" s="18" t="s">
        <v>8398</v>
      </c>
      <c r="J511" s="18" t="s">
        <v>98</v>
      </c>
      <c r="K511" s="18" t="s">
        <v>98</v>
      </c>
      <c r="L511" s="18" t="s">
        <v>98</v>
      </c>
      <c r="M511" s="18" t="s">
        <v>98</v>
      </c>
      <c r="N511" s="18" t="s">
        <v>98</v>
      </c>
      <c r="O511" s="18" t="s">
        <v>98</v>
      </c>
      <c r="P511" s="15" t="str">
        <f t="shared" si="1"/>
        <v>VERIFY</v>
      </c>
      <c r="Q511" s="15">
        <f t="shared" si="2"/>
        <v>4</v>
      </c>
      <c r="R511" s="15">
        <f t="shared" si="3"/>
        <v>4</v>
      </c>
      <c r="S511" s="15">
        <f t="shared" si="4"/>
        <v>3</v>
      </c>
      <c r="T511" s="15" t="str">
        <f t="shared" si="5"/>
        <v>B-4</v>
      </c>
      <c r="U511" s="15" t="str">
        <f t="shared" si="6"/>
        <v>T4-M4-H3-FB-4-VERIFY</v>
      </c>
      <c r="V511" s="15">
        <f t="shared" si="7"/>
        <v>0</v>
      </c>
      <c r="W511" s="31"/>
      <c r="X511" s="15" t="str">
        <f t="shared" si="8"/>
        <v>mathura</v>
      </c>
      <c r="Y511" s="32" t="str">
        <f t="shared" si="9"/>
        <v>https://steelmanufacturer.in/market-area/electropolished-pipes-manufacturer-in-mathura/</v>
      </c>
      <c r="Z511" s="15" t="str">
        <f t="shared" si="10"/>
        <v>Electropolished Pipes Manufacturer in Mathura</v>
      </c>
      <c r="AA511" s="15" t="str">
        <f t="shared" si="11"/>
        <v>OK (45)</v>
      </c>
      <c r="AB511" s="15" t="str">
        <f t="shared" si="12"/>
        <v>Sanitary electropolished pipes in Mathura for VERIFY plants. ASME BPE SF1-SF4, orbital-weld ready, 3.1 MTC. Mumbai-made.</v>
      </c>
      <c r="AC511" s="15" t="str">
        <f t="shared" si="13"/>
        <v>PENDING RESEARCH</v>
      </c>
      <c r="AD511" s="15" t="str">
        <f t="shared" si="14"/>
        <v>Electropolished Pipes Manufacturer in Mathura</v>
      </c>
      <c r="AE511" s="15" t="str">
        <f t="shared" si="15"/>
        <v>Electropolished Pipes Manufacturer in Mathura - Our Process &amp; Capability</v>
      </c>
      <c r="AF511" s="15" t="str">
        <f t="shared" si="16"/>
        <v>Electropolished Pipes Supplier in Mathura - What We Hold in Stock</v>
      </c>
      <c r="AG511" s="15" t="str">
        <f t="shared" si="17"/>
        <v>Bulk &amp; Wholesale Electropolished Pipe Rates for Mathura Buyers</v>
      </c>
      <c r="AH511" s="15" t="str">
        <f t="shared" si="18"/>
        <v>electropolished pipes manufacturer in Mathura, electropolished pipes supplier in Mathura, electropolished pipes wholesaler in Mathura, electropolished tube manufacturer Mathura, EP pipe supplier Mathura, sanitary tube supplier Mathura, ASME BPE tubing Mathura, ASTM A270 tube Mathura, SS 316L electropolished pipe Mathura</v>
      </c>
      <c r="AI511" s="15" t="str">
        <f t="shared" si="19"/>
        <v>Electropolished Pipes Manufacturer &amp; Supplier in Mathura</v>
      </c>
      <c r="AJ511" s="15" t="str">
        <f t="shared" si="20"/>
        <v>EP-finished SS 304/316L pipes and tubes for VERIFY plants in Mathura. ASME BPE SF1-SF4, Ra from 0.25 um, EN 10204 3.1 certificate with every lot.</v>
      </c>
      <c r="AK511" s="15" t="str">
        <f t="shared" si="21"/>
        <v>Electropolished stainless steel pipes supplied by Sakshi Forge to VERIFY plants at UPSIDA Industrial Area, Mathura</v>
      </c>
      <c r="AL511" s="15" t="str">
        <f t="shared" si="22"/>
        <v>Electropolished SS 316L tube stock for Mathura - Sakshi Forge</v>
      </c>
      <c r="AM511" s="15" t="str">
        <f t="shared" si="23"/>
        <v>Home &gt; Market Area &gt; India &gt; Uttar Pradesh &gt; Mathura</v>
      </c>
      <c r="AN511" s="15">
        <f t="shared" si="24"/>
        <v>1000</v>
      </c>
      <c r="AO511" s="15">
        <f t="shared" si="25"/>
        <v>8</v>
      </c>
      <c r="AP511" s="15">
        <f t="shared" si="26"/>
        <v>8</v>
      </c>
      <c r="AQ511" s="15">
        <f t="shared" si="27"/>
        <v>9</v>
      </c>
      <c r="AR511" s="31"/>
      <c r="AS511" s="31"/>
      <c r="AT511" s="35" t="s">
        <v>222</v>
      </c>
      <c r="AU511" s="35"/>
    </row>
    <row r="512" ht="15.75" customHeight="1">
      <c r="A512" s="15" t="s">
        <v>3922</v>
      </c>
      <c r="B512" s="15" t="s">
        <v>60</v>
      </c>
      <c r="C512" s="15" t="s">
        <v>2202</v>
      </c>
      <c r="D512" s="15" t="s">
        <v>3923</v>
      </c>
      <c r="E512" s="15" t="s">
        <v>3923</v>
      </c>
      <c r="F512" s="65" t="s">
        <v>788</v>
      </c>
      <c r="G512" s="66" t="s">
        <v>98</v>
      </c>
      <c r="H512" s="18" t="s">
        <v>3925</v>
      </c>
      <c r="I512" s="18" t="s">
        <v>8409</v>
      </c>
      <c r="J512" s="18" t="s">
        <v>98</v>
      </c>
      <c r="K512" s="18" t="s">
        <v>98</v>
      </c>
      <c r="L512" s="18" t="s">
        <v>98</v>
      </c>
      <c r="M512" s="18" t="s">
        <v>98</v>
      </c>
      <c r="N512" s="18" t="s">
        <v>98</v>
      </c>
      <c r="O512" s="18" t="s">
        <v>98</v>
      </c>
      <c r="P512" s="15" t="str">
        <f t="shared" si="1"/>
        <v>VERIFY</v>
      </c>
      <c r="Q512" s="15">
        <f t="shared" si="2"/>
        <v>5</v>
      </c>
      <c r="R512" s="15">
        <f t="shared" si="3"/>
        <v>5</v>
      </c>
      <c r="S512" s="15">
        <f t="shared" si="4"/>
        <v>4</v>
      </c>
      <c r="T512" s="15" t="str">
        <f t="shared" si="5"/>
        <v>B-5</v>
      </c>
      <c r="U512" s="15" t="str">
        <f t="shared" si="6"/>
        <v>T5-M5-H4-FB-5-VERIFY</v>
      </c>
      <c r="V512" s="15">
        <f t="shared" si="7"/>
        <v>0</v>
      </c>
      <c r="W512" s="31"/>
      <c r="X512" s="15" t="str">
        <f t="shared" si="8"/>
        <v>mayapuri</v>
      </c>
      <c r="Y512" s="32" t="str">
        <f t="shared" si="9"/>
        <v>https://steelmanufacturer.in/market-area/electropolished-pipes-manufacturer-in-mayapuri/</v>
      </c>
      <c r="Z512" s="15" t="str">
        <f t="shared" si="10"/>
        <v>Electropolished Pipes Manufacturer in Mayapuri</v>
      </c>
      <c r="AA512" s="15" t="str">
        <f t="shared" si="11"/>
        <v>OK (46)</v>
      </c>
      <c r="AB512" s="15" t="str">
        <f t="shared" si="12"/>
        <v>Manufacturer of electropolished SS 316L tube serving Mayapuri. VERIFY. Ra 0.25-0.5 um, EN 10204 3.1 MTC.</v>
      </c>
      <c r="AC512" s="15" t="str">
        <f t="shared" si="13"/>
        <v>PENDING RESEARCH</v>
      </c>
      <c r="AD512" s="15" t="str">
        <f t="shared" si="14"/>
        <v>Electropolished Pipes Manufacturer in Mayapuri</v>
      </c>
      <c r="AE512" s="15" t="str">
        <f t="shared" si="15"/>
        <v>Manufacturing Electropolished SS Tube for Mayapuri: The Standards We Build To</v>
      </c>
      <c r="AF512" s="15" t="str">
        <f t="shared" si="16"/>
        <v>Electropolished Pipe Supply Into Mayapuri - Certification &amp; Transit</v>
      </c>
      <c r="AG512" s="15" t="str">
        <f t="shared" si="17"/>
        <v>Electropolished Pipes Wholesaler in Mayapuri - Project Quantities &amp; Terms</v>
      </c>
      <c r="AH512" s="15" t="str">
        <f t="shared" si="18"/>
        <v>electropolished pipes manufacturer in Mayapuri, electropolished pipes supplier in Mayapuri, electropolished pipes wholesaler in Mayapuri, electropolished tube manufacturer Mayapuri, EP pipe supplier Mayapuri, sanitary tube supplier Mayapuri, ASME BPE tubing Mayapuri, ASTM A270 tube Mayapuri, SS 316L electropolished pipe Mayapuri</v>
      </c>
      <c r="AI512" s="15" t="str">
        <f t="shared" si="19"/>
        <v>Electropolished Pipes Manufacturer &amp; Supplier in Mayapuri</v>
      </c>
      <c r="AJ512" s="15" t="str">
        <f t="shared" si="20"/>
        <v>EP-finished SS 304/316L pipes and tubes for VERIFY plants in Mayapuri. ASME BPE SF1-SF4, Ra from 0.25 um, EN 10204 3.1 certificate with every lot.</v>
      </c>
      <c r="AK512" s="15" t="str">
        <f t="shared" si="21"/>
        <v>Electropolished stainless steel pipes supplied by Sakshi Forge to VERIFY plants at DSIIDC Industrial Area, Mayapuri</v>
      </c>
      <c r="AL512" s="15" t="str">
        <f t="shared" si="22"/>
        <v>Electropolished SS 316L tube stock for Mayapuri - Sakshi Forge</v>
      </c>
      <c r="AM512" s="15" t="str">
        <f t="shared" si="23"/>
        <v>Home &gt; Market Area &gt; India &gt; Delhi &gt; Mayapuri</v>
      </c>
      <c r="AN512" s="15">
        <f t="shared" si="24"/>
        <v>1000</v>
      </c>
      <c r="AO512" s="15">
        <f t="shared" si="25"/>
        <v>8</v>
      </c>
      <c r="AP512" s="15">
        <f t="shared" si="26"/>
        <v>8</v>
      </c>
      <c r="AQ512" s="15">
        <f t="shared" si="27"/>
        <v>9</v>
      </c>
      <c r="AR512" s="31"/>
      <c r="AS512" s="31"/>
      <c r="AT512" s="35" t="s">
        <v>222</v>
      </c>
      <c r="AU512" s="35"/>
    </row>
    <row r="513" ht="15.75" customHeight="1">
      <c r="A513" s="15" t="s">
        <v>3926</v>
      </c>
      <c r="B513" s="15" t="s">
        <v>60</v>
      </c>
      <c r="C513" s="15" t="s">
        <v>878</v>
      </c>
      <c r="D513" s="15" t="s">
        <v>3927</v>
      </c>
      <c r="E513" s="15" t="s">
        <v>3927</v>
      </c>
      <c r="F513" s="65" t="s">
        <v>788</v>
      </c>
      <c r="G513" s="66" t="s">
        <v>98</v>
      </c>
      <c r="H513" s="18" t="s">
        <v>3929</v>
      </c>
      <c r="I513" s="18" t="s">
        <v>8415</v>
      </c>
      <c r="J513" s="18" t="s">
        <v>98</v>
      </c>
      <c r="K513" s="18" t="s">
        <v>98</v>
      </c>
      <c r="L513" s="18" t="s">
        <v>98</v>
      </c>
      <c r="M513" s="18" t="s">
        <v>98</v>
      </c>
      <c r="N513" s="18" t="s">
        <v>98</v>
      </c>
      <c r="O513" s="18" t="s">
        <v>98</v>
      </c>
      <c r="P513" s="15" t="str">
        <f t="shared" si="1"/>
        <v>VERIFY</v>
      </c>
      <c r="Q513" s="15">
        <f t="shared" si="2"/>
        <v>6</v>
      </c>
      <c r="R513" s="15">
        <f t="shared" si="3"/>
        <v>6</v>
      </c>
      <c r="S513" s="15">
        <f t="shared" si="4"/>
        <v>5</v>
      </c>
      <c r="T513" s="15" t="str">
        <f t="shared" si="5"/>
        <v>B-6</v>
      </c>
      <c r="U513" s="15" t="str">
        <f t="shared" si="6"/>
        <v>T6-M6-H5-FB-6-VERIFY</v>
      </c>
      <c r="V513" s="15">
        <f t="shared" si="7"/>
        <v>0</v>
      </c>
      <c r="W513" s="31"/>
      <c r="X513" s="15" t="str">
        <f t="shared" si="8"/>
        <v>medininagar</v>
      </c>
      <c r="Y513" s="32" t="str">
        <f t="shared" si="9"/>
        <v>https://steelmanufacturer.in/market-area/electropolished-pipes-manufacturer-in-medininagar/</v>
      </c>
      <c r="Z513" s="15" t="str">
        <f t="shared" si="10"/>
        <v>Electropolished Pipes Manufacturer in Medininagar</v>
      </c>
      <c r="AA513" s="15" t="str">
        <f t="shared" si="11"/>
        <v>OK (49)</v>
      </c>
      <c r="AB513" s="15" t="str">
        <f t="shared" si="12"/>
        <v>EP tube and pipe for VERIFY plants around JIADA Industrial Area, Medininagar. Made at our Mumbai works to ASTM A270 and ASME BPE SF1-SF4, with 3.1 MTC.</v>
      </c>
      <c r="AC513" s="15" t="str">
        <f t="shared" si="13"/>
        <v>PENDING RESEARCH</v>
      </c>
      <c r="AD513" s="15" t="str">
        <f t="shared" si="14"/>
        <v>Electropolished Pipes Manufacturer in Medininagar</v>
      </c>
      <c r="AE513" s="15" t="str">
        <f t="shared" si="15"/>
        <v>Electropolished Tube Manufacturing Capability Serving Medininagar</v>
      </c>
      <c r="AF513" s="15" t="str">
        <f t="shared" si="16"/>
        <v>Electropolished Pipes Supplier in Medininagar - From Order to Delivery</v>
      </c>
      <c r="AG513" s="15" t="str">
        <f t="shared" si="17"/>
        <v>Stockist &amp; Wholesale Supply of Electropolished Pipes in Medininagar</v>
      </c>
      <c r="AH513" s="15" t="str">
        <f t="shared" si="18"/>
        <v>electropolished pipes manufacturer in Medininagar, electropolished pipes supplier in Medininagar, electropolished pipes wholesaler in Medininagar, electropolished tube manufacturer Medininagar, EP pipe supplier Medininagar, sanitary tube supplier Medininagar, ASME BPE tubing Medininagar, ASTM A270 tube Medininagar, SS 316L electropolished pipe Medininagar</v>
      </c>
      <c r="AI513" s="15" t="str">
        <f t="shared" si="19"/>
        <v>Electropolished Pipes Manufacturer &amp; Supplier in Medininagar</v>
      </c>
      <c r="AJ513" s="15" t="str">
        <f t="shared" si="20"/>
        <v>EP-finished SS 304/316L pipes and tubes for VERIFY plants in Medininagar. ASME BPE SF1-SF4, Ra from 0.25 um, EN 10204 3.1 certificate with every lot.</v>
      </c>
      <c r="AK513" s="15" t="str">
        <f t="shared" si="21"/>
        <v>Electropolished stainless steel pipes supplied by Sakshi Forge to VERIFY plants at JIADA Industrial Area, Medininagar</v>
      </c>
      <c r="AL513" s="15" t="str">
        <f t="shared" si="22"/>
        <v>Electropolished SS 316L tube stock for Medininagar - Sakshi Forge</v>
      </c>
      <c r="AM513" s="15" t="str">
        <f t="shared" si="23"/>
        <v>Home &gt; Market Area &gt; India &gt; Jharkhand &gt; Medininagar</v>
      </c>
      <c r="AN513" s="15">
        <f t="shared" si="24"/>
        <v>1000</v>
      </c>
      <c r="AO513" s="15">
        <f t="shared" si="25"/>
        <v>8</v>
      </c>
      <c r="AP513" s="15">
        <f t="shared" si="26"/>
        <v>8</v>
      </c>
      <c r="AQ513" s="15">
        <f t="shared" si="27"/>
        <v>9</v>
      </c>
      <c r="AR513" s="31"/>
      <c r="AS513" s="31"/>
      <c r="AT513" s="35" t="s">
        <v>222</v>
      </c>
      <c r="AU513" s="35"/>
    </row>
    <row r="514" ht="15.75" customHeight="1">
      <c r="A514" s="15" t="s">
        <v>3930</v>
      </c>
      <c r="B514" s="15" t="s">
        <v>60</v>
      </c>
      <c r="C514" s="15" t="s">
        <v>1165</v>
      </c>
      <c r="D514" s="15" t="s">
        <v>3931</v>
      </c>
      <c r="E514" s="15" t="s">
        <v>3931</v>
      </c>
      <c r="F514" s="65" t="s">
        <v>788</v>
      </c>
      <c r="G514" s="66" t="s">
        <v>98</v>
      </c>
      <c r="H514" s="18" t="s">
        <v>3933</v>
      </c>
      <c r="I514" s="18" t="s">
        <v>8404</v>
      </c>
      <c r="J514" s="18" t="s">
        <v>98</v>
      </c>
      <c r="K514" s="18" t="s">
        <v>98</v>
      </c>
      <c r="L514" s="18" t="s">
        <v>98</v>
      </c>
      <c r="M514" s="18" t="s">
        <v>98</v>
      </c>
      <c r="N514" s="18" t="s">
        <v>98</v>
      </c>
      <c r="O514" s="18" t="s">
        <v>98</v>
      </c>
      <c r="P514" s="15" t="str">
        <f t="shared" si="1"/>
        <v>VERIFY</v>
      </c>
      <c r="Q514" s="15">
        <f t="shared" si="2"/>
        <v>7</v>
      </c>
      <c r="R514" s="15">
        <f t="shared" si="3"/>
        <v>7</v>
      </c>
      <c r="S514" s="15">
        <f t="shared" si="4"/>
        <v>1</v>
      </c>
      <c r="T514" s="15" t="str">
        <f t="shared" si="5"/>
        <v>B-1</v>
      </c>
      <c r="U514" s="15" t="str">
        <f t="shared" si="6"/>
        <v>T7-M7-H1-FB-1-VERIFY</v>
      </c>
      <c r="V514" s="15">
        <f t="shared" si="7"/>
        <v>0</v>
      </c>
      <c r="W514" s="31"/>
      <c r="X514" s="15" t="str">
        <f t="shared" si="8"/>
        <v>midnapore</v>
      </c>
      <c r="Y514" s="32" t="str">
        <f t="shared" si="9"/>
        <v>https://steelmanufacturer.in/market-area/electropolished-pipes-manufacturer-in-midnapore/</v>
      </c>
      <c r="Z514" s="15" t="str">
        <f t="shared" si="10"/>
        <v>Electropolished Pipes Manufacturer in Midnapore</v>
      </c>
      <c r="AA514" s="15" t="str">
        <f t="shared" si="11"/>
        <v>OK (47)</v>
      </c>
      <c r="AB514" s="15" t="str">
        <f t="shared" si="12"/>
        <v>Electropolished pipes in Midnapore: 304, 304L, 316 and 316L in SF1-SF4. VERIFY. Mill certified.</v>
      </c>
      <c r="AC514" s="15" t="str">
        <f t="shared" si="13"/>
        <v>PENDING RESEARCH</v>
      </c>
      <c r="AD514" s="15" t="str">
        <f t="shared" si="14"/>
        <v>Electropolished Pipes Manufacturer in Midnapore</v>
      </c>
      <c r="AE514" s="15" t="str">
        <f t="shared" si="15"/>
        <v>Electropolished Pipe &amp; Tube Manufacturing for Midnapore - Grades, Finishes &amp; Certification</v>
      </c>
      <c r="AF514" s="15" t="str">
        <f t="shared" si="16"/>
        <v>Electropolished Pipes Supplier in Midnapore - Stock Sizes, Lead Time &amp; Delivery</v>
      </c>
      <c r="AG514" s="15" t="str">
        <f t="shared" si="17"/>
        <v>Electropolished Pipes Wholesaler &amp; Stockist in Midnapore - Bulk &amp; Project Pricing</v>
      </c>
      <c r="AH514" s="15" t="str">
        <f t="shared" si="18"/>
        <v>electropolished pipes manufacturer in Midnapore, electropolished pipes supplier in Midnapore, electropolished pipes wholesaler in Midnapore, electropolished tube manufacturer Midnapore, EP pipe supplier Midnapore, sanitary tube supplier Midnapore, ASME BPE tubing Midnapore, ASTM A270 tube Midnapore, SS 316L electropolished pipe Midnapore</v>
      </c>
      <c r="AI514" s="15" t="str">
        <f t="shared" si="19"/>
        <v>Electropolished Pipes Manufacturer &amp; Supplier in Midnapore</v>
      </c>
      <c r="AJ514" s="15" t="str">
        <f t="shared" si="20"/>
        <v>EP-finished SS 304/316L pipes and tubes for VERIFY plants in Midnapore. ASME BPE SF1-SF4, Ra from 0.25 um, EN 10204 3.1 certificate with every lot.</v>
      </c>
      <c r="AK514" s="15" t="str">
        <f t="shared" si="21"/>
        <v>Electropolished stainless steel pipes supplied by Sakshi Forge to VERIFY plants at WBIDC Industrial Area, Midnapore</v>
      </c>
      <c r="AL514" s="15" t="str">
        <f t="shared" si="22"/>
        <v>Electropolished SS 316L tube stock for Midnapore - Sakshi Forge</v>
      </c>
      <c r="AM514" s="15" t="str">
        <f t="shared" si="23"/>
        <v>Home &gt; Market Area &gt; India &gt; West Bengal &gt; Midnapore</v>
      </c>
      <c r="AN514" s="15">
        <f t="shared" si="24"/>
        <v>1000</v>
      </c>
      <c r="AO514" s="15">
        <f t="shared" si="25"/>
        <v>8</v>
      </c>
      <c r="AP514" s="15">
        <f t="shared" si="26"/>
        <v>8</v>
      </c>
      <c r="AQ514" s="15">
        <f t="shared" si="27"/>
        <v>9</v>
      </c>
      <c r="AR514" s="31"/>
      <c r="AS514" s="31"/>
      <c r="AT514" s="35" t="s">
        <v>222</v>
      </c>
      <c r="AU514" s="35"/>
    </row>
    <row r="515" ht="15.75" customHeight="1">
      <c r="A515" s="15" t="s">
        <v>3934</v>
      </c>
      <c r="B515" s="15" t="s">
        <v>60</v>
      </c>
      <c r="C515" s="15" t="s">
        <v>1312</v>
      </c>
      <c r="D515" s="15" t="s">
        <v>3935</v>
      </c>
      <c r="E515" s="15" t="s">
        <v>3935</v>
      </c>
      <c r="F515" s="65" t="s">
        <v>788</v>
      </c>
      <c r="G515" s="66" t="s">
        <v>98</v>
      </c>
      <c r="H515" s="18" t="s">
        <v>3939</v>
      </c>
      <c r="I515" s="18" t="s">
        <v>8392</v>
      </c>
      <c r="J515" s="18" t="s">
        <v>98</v>
      </c>
      <c r="K515" s="18" t="s">
        <v>98</v>
      </c>
      <c r="L515" s="18" t="s">
        <v>98</v>
      </c>
      <c r="M515" s="18" t="s">
        <v>98</v>
      </c>
      <c r="N515" s="18" t="s">
        <v>98</v>
      </c>
      <c r="O515" s="18" t="s">
        <v>98</v>
      </c>
      <c r="P515" s="15" t="str">
        <f t="shared" si="1"/>
        <v>VERIFY</v>
      </c>
      <c r="Q515" s="15">
        <f t="shared" si="2"/>
        <v>8</v>
      </c>
      <c r="R515" s="15">
        <f t="shared" si="3"/>
        <v>1</v>
      </c>
      <c r="S515" s="15">
        <f t="shared" si="4"/>
        <v>2</v>
      </c>
      <c r="T515" s="15" t="str">
        <f t="shared" si="5"/>
        <v>B-2</v>
      </c>
      <c r="U515" s="15" t="str">
        <f t="shared" si="6"/>
        <v>T8-M1-H2-FB-2-VERIFY</v>
      </c>
      <c r="V515" s="15">
        <f t="shared" si="7"/>
        <v>0</v>
      </c>
      <c r="W515" s="31"/>
      <c r="X515" s="15" t="str">
        <f t="shared" si="8"/>
        <v>miryalaguda</v>
      </c>
      <c r="Y515" s="32" t="str">
        <f t="shared" si="9"/>
        <v>https://steelmanufacturer.in/market-area/electropolished-pipes-manufacturer-in-miryalaguda/</v>
      </c>
      <c r="Z515" s="15" t="str">
        <f t="shared" si="10"/>
        <v>Electropolished Pipes Manufacturer in Miryalaguda</v>
      </c>
      <c r="AA515" s="15" t="str">
        <f t="shared" si="11"/>
        <v>OK (49)</v>
      </c>
      <c r="AB515" s="15" t="str">
        <f t="shared" si="12"/>
        <v>EP-finished SS 304/316L pipes &amp; tubes for VERIFY plants in Miryalaguda. ASTM A270, ASME BPE SF1-SF4, EN 10204 3.1 MTC. PMI tested.</v>
      </c>
      <c r="AC515" s="15" t="str">
        <f t="shared" si="13"/>
        <v>PENDING RESEARCH</v>
      </c>
      <c r="AD515" s="15" t="str">
        <f t="shared" si="14"/>
        <v>Electropolished Pipes Manufacturer in Miryalaguda</v>
      </c>
      <c r="AE515" s="15" t="str">
        <f t="shared" si="15"/>
        <v>How We Manufacture Electropolished Tube for Miryalaguda Plants</v>
      </c>
      <c r="AF515" s="15" t="str">
        <f t="shared" si="16"/>
        <v>Supplying Electropolished Pipes in Miryalaguda: Availability, Sizes &amp; Dispatch</v>
      </c>
      <c r="AG515" s="15" t="str">
        <f t="shared" si="17"/>
        <v>Wholesale Electropolished Pipe Supply for Miryalaguda Projects</v>
      </c>
      <c r="AH515" s="15" t="str">
        <f t="shared" si="18"/>
        <v>electropolished pipes manufacturer in Miryalaguda, electropolished pipes supplier in Miryalaguda, electropolished pipes wholesaler in Miryalaguda, electropolished tube manufacturer Miryalaguda, EP pipe supplier Miryalaguda, sanitary tube supplier Miryalaguda, ASME BPE tubing Miryalaguda, ASTM A270 tube Miryalaguda, SS 316L electropolished pipe Miryalaguda</v>
      </c>
      <c r="AI515" s="15" t="str">
        <f t="shared" si="19"/>
        <v>Electropolished Pipes Manufacturer &amp; Supplier in Miryalaguda</v>
      </c>
      <c r="AJ515" s="15" t="str">
        <f t="shared" si="20"/>
        <v>EP-finished SS 304/316L pipes and tubes for VERIFY plants in Miryalaguda. ASME BPE SF1-SF4, Ra from 0.25 um, EN 10204 3.1 certificate with every lot.</v>
      </c>
      <c r="AK515" s="15" t="str">
        <f t="shared" si="21"/>
        <v>Electropolished stainless steel pipes supplied by Sakshi Forge to VERIFY plants at TSIIC Industrial Area, Miryalaguda</v>
      </c>
      <c r="AL515" s="15" t="str">
        <f t="shared" si="22"/>
        <v>Electropolished SS 316L tube stock for Miryalaguda - Sakshi Forge</v>
      </c>
      <c r="AM515" s="15" t="str">
        <f t="shared" si="23"/>
        <v>Home &gt; Market Area &gt; India &gt; Telangana &gt; Miryalaguda</v>
      </c>
      <c r="AN515" s="15">
        <f t="shared" si="24"/>
        <v>1000</v>
      </c>
      <c r="AO515" s="15">
        <f t="shared" si="25"/>
        <v>8</v>
      </c>
      <c r="AP515" s="15">
        <f t="shared" si="26"/>
        <v>8</v>
      </c>
      <c r="AQ515" s="15">
        <f t="shared" si="27"/>
        <v>9</v>
      </c>
      <c r="AR515" s="31"/>
      <c r="AS515" s="31"/>
      <c r="AT515" s="35" t="s">
        <v>222</v>
      </c>
      <c r="AU515" s="35"/>
    </row>
    <row r="516" ht="15.75" customHeight="1">
      <c r="A516" s="15" t="s">
        <v>3944</v>
      </c>
      <c r="B516" s="15" t="s">
        <v>60</v>
      </c>
      <c r="C516" s="15" t="s">
        <v>85</v>
      </c>
      <c r="D516" s="15" t="s">
        <v>3945</v>
      </c>
      <c r="E516" s="15" t="s">
        <v>3945</v>
      </c>
      <c r="F516" s="65" t="s">
        <v>788</v>
      </c>
      <c r="G516" s="66" t="s">
        <v>98</v>
      </c>
      <c r="H516" s="18" t="s">
        <v>3947</v>
      </c>
      <c r="I516" s="18" t="s">
        <v>8398</v>
      </c>
      <c r="J516" s="18" t="s">
        <v>98</v>
      </c>
      <c r="K516" s="18" t="s">
        <v>98</v>
      </c>
      <c r="L516" s="18" t="s">
        <v>98</v>
      </c>
      <c r="M516" s="18" t="s">
        <v>98</v>
      </c>
      <c r="N516" s="18" t="s">
        <v>98</v>
      </c>
      <c r="O516" s="18" t="s">
        <v>98</v>
      </c>
      <c r="P516" s="15" t="str">
        <f t="shared" si="1"/>
        <v>VERIFY</v>
      </c>
      <c r="Q516" s="15">
        <f t="shared" si="2"/>
        <v>1</v>
      </c>
      <c r="R516" s="15">
        <f t="shared" si="3"/>
        <v>2</v>
      </c>
      <c r="S516" s="15">
        <f t="shared" si="4"/>
        <v>3</v>
      </c>
      <c r="T516" s="15" t="str">
        <f t="shared" si="5"/>
        <v>B-3</v>
      </c>
      <c r="U516" s="15" t="str">
        <f t="shared" si="6"/>
        <v>T1-M2-H3-FB-3-VERIFY</v>
      </c>
      <c r="V516" s="15">
        <f t="shared" si="7"/>
        <v>0</v>
      </c>
      <c r="W516" s="31"/>
      <c r="X516" s="15" t="str">
        <f t="shared" si="8"/>
        <v>mirzapur</v>
      </c>
      <c r="Y516" s="32" t="str">
        <f t="shared" si="9"/>
        <v>https://steelmanufacturer.in/market-area/electropolished-pipes-manufacturer-in-mirzapur/</v>
      </c>
      <c r="Z516" s="15" t="str">
        <f t="shared" si="10"/>
        <v>Electropolished Pipes Manufacturer in Mirzapur | Sakshi Forge</v>
      </c>
      <c r="AA516" s="15" t="str">
        <f t="shared" si="11"/>
        <v>OK (61)</v>
      </c>
      <c r="AB516" s="15" t="str">
        <f t="shared" si="12"/>
        <v>Electropolished tube supply to UPSIDA Industrial Area, Mirzapur. Ra from 0.25 um, SF4 finish, mill test certificate with every lot.</v>
      </c>
      <c r="AC516" s="15" t="str">
        <f t="shared" si="13"/>
        <v>PENDING RESEARCH</v>
      </c>
      <c r="AD516" s="15" t="str">
        <f t="shared" si="14"/>
        <v>Electropolished Pipes Manufacturer in Mirzapur</v>
      </c>
      <c r="AE516" s="15" t="str">
        <f t="shared" si="15"/>
        <v>Electropolished Pipes Manufacturer in Mirzapur - Our Process &amp; Capability</v>
      </c>
      <c r="AF516" s="15" t="str">
        <f t="shared" si="16"/>
        <v>Electropolished Pipes Supplier in Mirzapur - What We Hold in Stock</v>
      </c>
      <c r="AG516" s="15" t="str">
        <f t="shared" si="17"/>
        <v>Bulk &amp; Wholesale Electropolished Pipe Rates for Mirzapur Buyers</v>
      </c>
      <c r="AH516" s="15" t="str">
        <f t="shared" si="18"/>
        <v>electropolished pipes manufacturer in Mirzapur, electropolished pipes supplier in Mirzapur, electropolished pipes wholesaler in Mirzapur, electropolished tube manufacturer Mirzapur, EP pipe supplier Mirzapur, sanitary tube supplier Mirzapur, ASME BPE tubing Mirzapur, ASTM A270 tube Mirzapur, SS 316L electropolished pipe Mirzapur</v>
      </c>
      <c r="AI516" s="15" t="str">
        <f t="shared" si="19"/>
        <v>Electropolished Pipes Manufacturer &amp; Supplier in Mirzapur</v>
      </c>
      <c r="AJ516" s="15" t="str">
        <f t="shared" si="20"/>
        <v>EP-finished SS 304/316L pipes and tubes for VERIFY plants in Mirzapur. ASME BPE SF1-SF4, Ra from 0.25 um, EN 10204 3.1 certificate with every lot.</v>
      </c>
      <c r="AK516" s="15" t="str">
        <f t="shared" si="21"/>
        <v>Electropolished stainless steel pipes supplied by Sakshi Forge to VERIFY plants at UPSIDA Industrial Area, Mirzapur</v>
      </c>
      <c r="AL516" s="15" t="str">
        <f t="shared" si="22"/>
        <v>Electropolished SS 316L tube stock for Mirzapur - Sakshi Forge</v>
      </c>
      <c r="AM516" s="15" t="str">
        <f t="shared" si="23"/>
        <v>Home &gt; Market Area &gt; India &gt; Uttar Pradesh &gt; Mirzapur</v>
      </c>
      <c r="AN516" s="15">
        <f t="shared" si="24"/>
        <v>1000</v>
      </c>
      <c r="AO516" s="15">
        <f t="shared" si="25"/>
        <v>8</v>
      </c>
      <c r="AP516" s="15">
        <f t="shared" si="26"/>
        <v>8</v>
      </c>
      <c r="AQ516" s="15">
        <f t="shared" si="27"/>
        <v>9</v>
      </c>
      <c r="AR516" s="31"/>
      <c r="AS516" s="31"/>
      <c r="AT516" s="35" t="s">
        <v>222</v>
      </c>
      <c r="AU516" s="35"/>
    </row>
    <row r="517" ht="15.75" customHeight="1">
      <c r="A517" s="15" t="s">
        <v>3948</v>
      </c>
      <c r="B517" s="15" t="s">
        <v>60</v>
      </c>
      <c r="C517" s="15" t="s">
        <v>354</v>
      </c>
      <c r="D517" s="15" t="s">
        <v>3949</v>
      </c>
      <c r="E517" s="15" t="s">
        <v>3949</v>
      </c>
      <c r="F517" s="65" t="s">
        <v>788</v>
      </c>
      <c r="G517" s="66" t="s">
        <v>98</v>
      </c>
      <c r="H517" s="18" t="s">
        <v>3951</v>
      </c>
      <c r="I517" s="18" t="s">
        <v>8408</v>
      </c>
      <c r="J517" s="18" t="s">
        <v>98</v>
      </c>
      <c r="K517" s="18" t="s">
        <v>98</v>
      </c>
      <c r="L517" s="18" t="s">
        <v>98</v>
      </c>
      <c r="M517" s="18" t="s">
        <v>98</v>
      </c>
      <c r="N517" s="18" t="s">
        <v>98</v>
      </c>
      <c r="O517" s="18" t="s">
        <v>98</v>
      </c>
      <c r="P517" s="15" t="str">
        <f t="shared" si="1"/>
        <v>VERIFY</v>
      </c>
      <c r="Q517" s="15">
        <f t="shared" si="2"/>
        <v>2</v>
      </c>
      <c r="R517" s="15">
        <f t="shared" si="3"/>
        <v>3</v>
      </c>
      <c r="S517" s="15">
        <f t="shared" si="4"/>
        <v>4</v>
      </c>
      <c r="T517" s="15" t="str">
        <f t="shared" si="5"/>
        <v>B-4</v>
      </c>
      <c r="U517" s="15" t="str">
        <f t="shared" si="6"/>
        <v>T2-M3-H4-FB-4-VERIFY</v>
      </c>
      <c r="V517" s="15">
        <f t="shared" si="7"/>
        <v>0</v>
      </c>
      <c r="W517" s="31"/>
      <c r="X517" s="15" t="str">
        <f t="shared" si="8"/>
        <v>moga</v>
      </c>
      <c r="Y517" s="32" t="str">
        <f t="shared" si="9"/>
        <v>https://steelmanufacturer.in/market-area/electropolished-pipes-manufacturer-in-moga/</v>
      </c>
      <c r="Z517" s="15" t="str">
        <f t="shared" si="10"/>
        <v>Electropolished Pipes Manufacturer in Moga - ASTM A270 &amp; ASME BPE</v>
      </c>
      <c r="AA517" s="15" t="str">
        <f t="shared" si="11"/>
        <v>OK (65)</v>
      </c>
      <c r="AB517" s="15" t="str">
        <f t="shared" si="12"/>
        <v>EP stainless tube for VERIFY lines in Moga. VERIFY. ASTM A270 S2, PMI tested, EN 10204 3.1.</v>
      </c>
      <c r="AC517" s="15" t="str">
        <f t="shared" si="13"/>
        <v>PENDING RESEARCH</v>
      </c>
      <c r="AD517" s="15" t="str">
        <f t="shared" si="14"/>
        <v>Electropolished Pipes Manufacturer in Moga</v>
      </c>
      <c r="AE517" s="15" t="str">
        <f t="shared" si="15"/>
        <v>Manufacturing Electropolished SS Tube for Moga: The Standards We Build To</v>
      </c>
      <c r="AF517" s="15" t="str">
        <f t="shared" si="16"/>
        <v>Electropolished Pipe Supply Into Moga - Certification &amp; Transit</v>
      </c>
      <c r="AG517" s="15" t="str">
        <f t="shared" si="17"/>
        <v>Electropolished Pipes Wholesaler in Moga - Project Quantities &amp; Terms</v>
      </c>
      <c r="AH517" s="15" t="str">
        <f t="shared" si="18"/>
        <v>electropolished pipes manufacturer in Moga, electropolished pipes supplier in Moga, electropolished pipes wholesaler in Moga, electropolished tube manufacturer Moga, EP pipe supplier Moga, sanitary tube supplier Moga, ASME BPE tubing Moga, ASTM A270 tube Moga, SS 316L electropolished pipe Moga</v>
      </c>
      <c r="AI517" s="15" t="str">
        <f t="shared" si="19"/>
        <v>Electropolished Pipes Manufacturer &amp; Supplier in Moga</v>
      </c>
      <c r="AJ517" s="15" t="str">
        <f t="shared" si="20"/>
        <v>EP-finished SS 304/316L pipes and tubes for VERIFY plants in Moga. ASME BPE SF1-SF4, Ra from 0.25 um, EN 10204 3.1 certificate with every lot.</v>
      </c>
      <c r="AK517" s="15" t="str">
        <f t="shared" si="21"/>
        <v>Electropolished stainless steel pipes supplied by Sakshi Forge to VERIFY plants at PSIEC Industrial Area, Moga</v>
      </c>
      <c r="AL517" s="15" t="str">
        <f t="shared" si="22"/>
        <v>Electropolished SS 316L tube stock for Moga - Sakshi Forge</v>
      </c>
      <c r="AM517" s="15" t="str">
        <f t="shared" si="23"/>
        <v>Home &gt; Market Area &gt; India &gt; Punjab &gt; Moga</v>
      </c>
      <c r="AN517" s="15">
        <f t="shared" si="24"/>
        <v>1000</v>
      </c>
      <c r="AO517" s="15">
        <f t="shared" si="25"/>
        <v>8</v>
      </c>
      <c r="AP517" s="15">
        <f t="shared" si="26"/>
        <v>8</v>
      </c>
      <c r="AQ517" s="15">
        <f t="shared" si="27"/>
        <v>9</v>
      </c>
      <c r="AR517" s="31"/>
      <c r="AS517" s="31"/>
      <c r="AT517" s="35" t="s">
        <v>222</v>
      </c>
      <c r="AU517" s="35"/>
    </row>
    <row r="518" ht="15.75" customHeight="1">
      <c r="A518" s="15" t="s">
        <v>3952</v>
      </c>
      <c r="B518" s="15" t="s">
        <v>60</v>
      </c>
      <c r="C518" s="15" t="s">
        <v>224</v>
      </c>
      <c r="D518" s="15" t="s">
        <v>3953</v>
      </c>
      <c r="E518" s="15" t="s">
        <v>3953</v>
      </c>
      <c r="F518" s="65" t="s">
        <v>788</v>
      </c>
      <c r="G518" s="66" t="s">
        <v>98</v>
      </c>
      <c r="H518" s="18" t="s">
        <v>3955</v>
      </c>
      <c r="I518" s="18" t="s">
        <v>8400</v>
      </c>
      <c r="J518" s="18" t="s">
        <v>98</v>
      </c>
      <c r="K518" s="18" t="s">
        <v>98</v>
      </c>
      <c r="L518" s="18" t="s">
        <v>98</v>
      </c>
      <c r="M518" s="18" t="s">
        <v>98</v>
      </c>
      <c r="N518" s="18" t="s">
        <v>98</v>
      </c>
      <c r="O518" s="18" t="s">
        <v>98</v>
      </c>
      <c r="P518" s="15" t="str">
        <f t="shared" si="1"/>
        <v>VERIFY</v>
      </c>
      <c r="Q518" s="15">
        <f t="shared" si="2"/>
        <v>3</v>
      </c>
      <c r="R518" s="15">
        <f t="shared" si="3"/>
        <v>4</v>
      </c>
      <c r="S518" s="15">
        <f t="shared" si="4"/>
        <v>5</v>
      </c>
      <c r="T518" s="15" t="str">
        <f t="shared" si="5"/>
        <v>B-5</v>
      </c>
      <c r="U518" s="15" t="str">
        <f t="shared" si="6"/>
        <v>T3-M4-H5-FB-5-VERIFY</v>
      </c>
      <c r="V518" s="15">
        <f t="shared" si="7"/>
        <v>0</v>
      </c>
      <c r="W518" s="31"/>
      <c r="X518" s="15" t="str">
        <f t="shared" si="8"/>
        <v>morbi</v>
      </c>
      <c r="Y518" s="32" t="str">
        <f t="shared" si="9"/>
        <v>https://steelmanufacturer.in/market-area/electropolished-pipes-manufacturer-in-morbi/</v>
      </c>
      <c r="Z518" s="15" t="str">
        <f t="shared" si="10"/>
        <v>Electropolished Pipes Manufacturer in Morbi | EP Tube Supplier</v>
      </c>
      <c r="AA518" s="15" t="str">
        <f t="shared" si="11"/>
        <v>OK (62)</v>
      </c>
      <c r="AB518" s="15" t="str">
        <f t="shared" si="12"/>
        <v>Sanitary electropolished pipes in Morbi for VERIFY plants. ASME BPE SF1-SF4, orbital-weld ready, 3.1 MTC. Mumbai-made.</v>
      </c>
      <c r="AC518" s="15" t="str">
        <f t="shared" si="13"/>
        <v>PENDING RESEARCH</v>
      </c>
      <c r="AD518" s="15" t="str">
        <f t="shared" si="14"/>
        <v>Electropolished Pipes Manufacturer in Morbi</v>
      </c>
      <c r="AE518" s="15" t="str">
        <f t="shared" si="15"/>
        <v>Electropolished Tube Manufacturing Capability Serving Morbi</v>
      </c>
      <c r="AF518" s="15" t="str">
        <f t="shared" si="16"/>
        <v>Electropolished Pipes Supplier in Morbi - From Order to Delivery</v>
      </c>
      <c r="AG518" s="15" t="str">
        <f t="shared" si="17"/>
        <v>Stockist &amp; Wholesale Supply of Electropolished Pipes in Morbi</v>
      </c>
      <c r="AH518" s="15" t="str">
        <f t="shared" si="18"/>
        <v>electropolished pipes manufacturer in Morbi, electropolished pipes supplier in Morbi, electropolished pipes wholesaler in Morbi, electropolished tube manufacturer Morbi, EP pipe supplier Morbi, sanitary tube supplier Morbi, ASME BPE tubing Morbi, ASTM A270 tube Morbi, SS 316L electropolished pipe Morbi</v>
      </c>
      <c r="AI518" s="15" t="str">
        <f t="shared" si="19"/>
        <v>Electropolished Pipes Manufacturer &amp; Supplier in Morbi</v>
      </c>
      <c r="AJ518" s="15" t="str">
        <f t="shared" si="20"/>
        <v>EP-finished SS 304/316L pipes and tubes for VERIFY plants in Morbi. ASME BPE SF1-SF4, Ra from 0.25 um, EN 10204 3.1 certificate with every lot.</v>
      </c>
      <c r="AK518" s="15" t="str">
        <f t="shared" si="21"/>
        <v>Electropolished stainless steel pipes supplied by Sakshi Forge to VERIFY plants at GIDC Industrial Area, Morbi</v>
      </c>
      <c r="AL518" s="15" t="str">
        <f t="shared" si="22"/>
        <v>Electropolished SS 316L tube stock for Morbi - Sakshi Forge</v>
      </c>
      <c r="AM518" s="15" t="str">
        <f t="shared" si="23"/>
        <v>Home &gt; Market Area &gt; India &gt; Gujarat &gt; Morbi</v>
      </c>
      <c r="AN518" s="15">
        <f t="shared" si="24"/>
        <v>1000</v>
      </c>
      <c r="AO518" s="15">
        <f t="shared" si="25"/>
        <v>8</v>
      </c>
      <c r="AP518" s="15">
        <f t="shared" si="26"/>
        <v>8</v>
      </c>
      <c r="AQ518" s="15">
        <f t="shared" si="27"/>
        <v>9</v>
      </c>
      <c r="AR518" s="31"/>
      <c r="AS518" s="31"/>
      <c r="AT518" s="35" t="s">
        <v>222</v>
      </c>
      <c r="AU518" s="35"/>
    </row>
    <row r="519" ht="15.75" customHeight="1">
      <c r="A519" s="15" t="s">
        <v>3956</v>
      </c>
      <c r="B519" s="15" t="s">
        <v>60</v>
      </c>
      <c r="C519" s="15" t="s">
        <v>1818</v>
      </c>
      <c r="D519" s="15" t="s">
        <v>3957</v>
      </c>
      <c r="E519" s="15" t="s">
        <v>3957</v>
      </c>
      <c r="F519" s="65" t="s">
        <v>788</v>
      </c>
      <c r="G519" s="66" t="s">
        <v>98</v>
      </c>
      <c r="H519" s="18" t="s">
        <v>3959</v>
      </c>
      <c r="I519" s="18" t="s">
        <v>8402</v>
      </c>
      <c r="J519" s="18" t="s">
        <v>98</v>
      </c>
      <c r="K519" s="18" t="s">
        <v>98</v>
      </c>
      <c r="L519" s="18" t="s">
        <v>98</v>
      </c>
      <c r="M519" s="18" t="s">
        <v>98</v>
      </c>
      <c r="N519" s="18" t="s">
        <v>98</v>
      </c>
      <c r="O519" s="18" t="s">
        <v>98</v>
      </c>
      <c r="P519" s="15" t="str">
        <f t="shared" si="1"/>
        <v>VERIFY</v>
      </c>
      <c r="Q519" s="15">
        <f t="shared" si="2"/>
        <v>4</v>
      </c>
      <c r="R519" s="15">
        <f t="shared" si="3"/>
        <v>5</v>
      </c>
      <c r="S519" s="15">
        <f t="shared" si="4"/>
        <v>1</v>
      </c>
      <c r="T519" s="15" t="str">
        <f t="shared" si="5"/>
        <v>B-6</v>
      </c>
      <c r="U519" s="15" t="str">
        <f t="shared" si="6"/>
        <v>T4-M5-H1-FB-6-VERIFY</v>
      </c>
      <c r="V519" s="15">
        <f t="shared" si="7"/>
        <v>0</v>
      </c>
      <c r="W519" s="31"/>
      <c r="X519" s="15" t="str">
        <f t="shared" si="8"/>
        <v>motihari</v>
      </c>
      <c r="Y519" s="32" t="str">
        <f t="shared" si="9"/>
        <v>https://steelmanufacturer.in/market-area/electropolished-pipes-manufacturer-in-motihari/</v>
      </c>
      <c r="Z519" s="15" t="str">
        <f t="shared" si="10"/>
        <v>Electropolished Pipes Manufacturer in Motihari</v>
      </c>
      <c r="AA519" s="15" t="str">
        <f t="shared" si="11"/>
        <v>OK (46)</v>
      </c>
      <c r="AB519" s="15" t="str">
        <f t="shared" si="12"/>
        <v>Manufacturer of electropolished SS 316L tube serving Motihari. VERIFY. Ra 0.25-0.5 um, EN 10204 3.1 MTC.</v>
      </c>
      <c r="AC519" s="15" t="str">
        <f t="shared" si="13"/>
        <v>PENDING RESEARCH</v>
      </c>
      <c r="AD519" s="15" t="str">
        <f t="shared" si="14"/>
        <v>Electropolished Pipes Manufacturer in Motihari</v>
      </c>
      <c r="AE519" s="15" t="str">
        <f t="shared" si="15"/>
        <v>Electropolished Pipe &amp; Tube Manufacturing for Motihari - Grades, Finishes &amp; Certification</v>
      </c>
      <c r="AF519" s="15" t="str">
        <f t="shared" si="16"/>
        <v>Electropolished Pipes Supplier in Motihari - Stock Sizes, Lead Time &amp; Delivery</v>
      </c>
      <c r="AG519" s="15" t="str">
        <f t="shared" si="17"/>
        <v>Electropolished Pipes Wholesaler &amp; Stockist in Motihari - Bulk &amp; Project Pricing</v>
      </c>
      <c r="AH519" s="15" t="str">
        <f t="shared" si="18"/>
        <v>electropolished pipes manufacturer in Motihari, electropolished pipes supplier in Motihari, electropolished pipes wholesaler in Motihari, electropolished tube manufacturer Motihari, EP pipe supplier Motihari, sanitary tube supplier Motihari, ASME BPE tubing Motihari, ASTM A270 tube Motihari, SS 316L electropolished pipe Motihari</v>
      </c>
      <c r="AI519" s="15" t="str">
        <f t="shared" si="19"/>
        <v>Electropolished Pipes Manufacturer &amp; Supplier in Motihari</v>
      </c>
      <c r="AJ519" s="15" t="str">
        <f t="shared" si="20"/>
        <v>EP-finished SS 304/316L pipes and tubes for VERIFY plants in Motihari. ASME BPE SF1-SF4, Ra from 0.25 um, EN 10204 3.1 certificate with every lot.</v>
      </c>
      <c r="AK519" s="15" t="str">
        <f t="shared" si="21"/>
        <v>Electropolished stainless steel pipes supplied by Sakshi Forge to VERIFY plants at BIADA Industrial Area, Motihari</v>
      </c>
      <c r="AL519" s="15" t="str">
        <f t="shared" si="22"/>
        <v>Electropolished SS 316L tube stock for Motihari - Sakshi Forge</v>
      </c>
      <c r="AM519" s="15" t="str">
        <f t="shared" si="23"/>
        <v>Home &gt; Market Area &gt; India &gt; Bihar &gt; Motihari</v>
      </c>
      <c r="AN519" s="15">
        <f t="shared" si="24"/>
        <v>1000</v>
      </c>
      <c r="AO519" s="15">
        <f t="shared" si="25"/>
        <v>8</v>
      </c>
      <c r="AP519" s="15">
        <f t="shared" si="26"/>
        <v>8</v>
      </c>
      <c r="AQ519" s="15">
        <f t="shared" si="27"/>
        <v>9</v>
      </c>
      <c r="AR519" s="31"/>
      <c r="AS519" s="31"/>
      <c r="AT519" s="35" t="s">
        <v>222</v>
      </c>
      <c r="AU519" s="35"/>
    </row>
    <row r="520" ht="15.75" customHeight="1">
      <c r="A520" s="15" t="s">
        <v>3960</v>
      </c>
      <c r="B520" s="15" t="s">
        <v>60</v>
      </c>
      <c r="C520" s="15" t="s">
        <v>1818</v>
      </c>
      <c r="D520" s="15" t="s">
        <v>3961</v>
      </c>
      <c r="E520" s="15" t="s">
        <v>3961</v>
      </c>
      <c r="F520" s="65" t="s">
        <v>788</v>
      </c>
      <c r="G520" s="66" t="s">
        <v>98</v>
      </c>
      <c r="H520" s="18" t="s">
        <v>3963</v>
      </c>
      <c r="I520" s="18" t="s">
        <v>8402</v>
      </c>
      <c r="J520" s="18" t="s">
        <v>98</v>
      </c>
      <c r="K520" s="18" t="s">
        <v>98</v>
      </c>
      <c r="L520" s="18" t="s">
        <v>98</v>
      </c>
      <c r="M520" s="18" t="s">
        <v>98</v>
      </c>
      <c r="N520" s="18" t="s">
        <v>98</v>
      </c>
      <c r="O520" s="18" t="s">
        <v>98</v>
      </c>
      <c r="P520" s="15" t="str">
        <f t="shared" si="1"/>
        <v>VERIFY</v>
      </c>
      <c r="Q520" s="15">
        <f t="shared" si="2"/>
        <v>5</v>
      </c>
      <c r="R520" s="15">
        <f t="shared" si="3"/>
        <v>6</v>
      </c>
      <c r="S520" s="15">
        <f t="shared" si="4"/>
        <v>2</v>
      </c>
      <c r="T520" s="15" t="str">
        <f t="shared" si="5"/>
        <v>B-1</v>
      </c>
      <c r="U520" s="15" t="str">
        <f t="shared" si="6"/>
        <v>T5-M6-H2-FB-1-VERIFY</v>
      </c>
      <c r="V520" s="15">
        <f t="shared" si="7"/>
        <v>0</v>
      </c>
      <c r="W520" s="31"/>
      <c r="X520" s="15" t="str">
        <f t="shared" si="8"/>
        <v>munger</v>
      </c>
      <c r="Y520" s="32" t="str">
        <f t="shared" si="9"/>
        <v>https://steelmanufacturer.in/market-area/electropolished-pipes-manufacturer-in-munger/</v>
      </c>
      <c r="Z520" s="15" t="str">
        <f t="shared" si="10"/>
        <v>Electropolished Pipes Manufacturer in Munger</v>
      </c>
      <c r="AA520" s="15" t="str">
        <f t="shared" si="11"/>
        <v>OK (44)</v>
      </c>
      <c r="AB520" s="15" t="str">
        <f t="shared" si="12"/>
        <v>EP tube and pipe for VERIFY plants around BIADA Industrial Area, Munger. Made at our Mumbai works to ASTM A270 and ASME BPE SF1-SF4, with 3.1 MTC.</v>
      </c>
      <c r="AC520" s="15" t="str">
        <f t="shared" si="13"/>
        <v>PENDING RESEARCH</v>
      </c>
      <c r="AD520" s="15" t="str">
        <f t="shared" si="14"/>
        <v>Electropolished Pipes Manufacturer in Munger</v>
      </c>
      <c r="AE520" s="15" t="str">
        <f t="shared" si="15"/>
        <v>How We Manufacture Electropolished Tube for Munger Plants</v>
      </c>
      <c r="AF520" s="15" t="str">
        <f t="shared" si="16"/>
        <v>Supplying Electropolished Pipes in Munger: Availability, Sizes &amp; Dispatch</v>
      </c>
      <c r="AG520" s="15" t="str">
        <f t="shared" si="17"/>
        <v>Wholesale Electropolished Pipe Supply for Munger Projects</v>
      </c>
      <c r="AH520" s="15" t="str">
        <f t="shared" si="18"/>
        <v>electropolished pipes manufacturer in Munger, electropolished pipes supplier in Munger, electropolished pipes wholesaler in Munger, electropolished tube manufacturer Munger, EP pipe supplier Munger, sanitary tube supplier Munger, ASME BPE tubing Munger, ASTM A270 tube Munger, SS 316L electropolished pipe Munger</v>
      </c>
      <c r="AI520" s="15" t="str">
        <f t="shared" si="19"/>
        <v>Electropolished Pipes Manufacturer &amp; Supplier in Munger</v>
      </c>
      <c r="AJ520" s="15" t="str">
        <f t="shared" si="20"/>
        <v>EP-finished SS 304/316L pipes and tubes for VERIFY plants in Munger. ASME BPE SF1-SF4, Ra from 0.25 um, EN 10204 3.1 certificate with every lot.</v>
      </c>
      <c r="AK520" s="15" t="str">
        <f t="shared" si="21"/>
        <v>Electropolished stainless steel pipes supplied by Sakshi Forge to VERIFY plants at BIADA Industrial Area, Munger</v>
      </c>
      <c r="AL520" s="15" t="str">
        <f t="shared" si="22"/>
        <v>Electropolished SS 316L tube stock for Munger - Sakshi Forge</v>
      </c>
      <c r="AM520" s="15" t="str">
        <f t="shared" si="23"/>
        <v>Home &gt; Market Area &gt; India &gt; Bihar &gt; Munger</v>
      </c>
      <c r="AN520" s="15">
        <f t="shared" si="24"/>
        <v>1000</v>
      </c>
      <c r="AO520" s="15">
        <f t="shared" si="25"/>
        <v>8</v>
      </c>
      <c r="AP520" s="15">
        <f t="shared" si="26"/>
        <v>8</v>
      </c>
      <c r="AQ520" s="15">
        <f t="shared" si="27"/>
        <v>9</v>
      </c>
      <c r="AR520" s="31"/>
      <c r="AS520" s="31"/>
      <c r="AT520" s="35" t="s">
        <v>222</v>
      </c>
      <c r="AU520" s="35"/>
    </row>
    <row r="521" ht="15.75" customHeight="1">
      <c r="A521" s="15" t="s">
        <v>3969</v>
      </c>
      <c r="B521" s="15" t="s">
        <v>60</v>
      </c>
      <c r="C521" s="15" t="s">
        <v>85</v>
      </c>
      <c r="D521" s="15" t="s">
        <v>3971</v>
      </c>
      <c r="E521" s="15" t="s">
        <v>3971</v>
      </c>
      <c r="F521" s="65" t="s">
        <v>788</v>
      </c>
      <c r="G521" s="66" t="s">
        <v>98</v>
      </c>
      <c r="H521" s="18" t="s">
        <v>3973</v>
      </c>
      <c r="I521" s="18" t="s">
        <v>8398</v>
      </c>
      <c r="J521" s="18" t="s">
        <v>98</v>
      </c>
      <c r="K521" s="18" t="s">
        <v>98</v>
      </c>
      <c r="L521" s="18" t="s">
        <v>98</v>
      </c>
      <c r="M521" s="18" t="s">
        <v>98</v>
      </c>
      <c r="N521" s="18" t="s">
        <v>98</v>
      </c>
      <c r="O521" s="18" t="s">
        <v>98</v>
      </c>
      <c r="P521" s="15" t="str">
        <f t="shared" si="1"/>
        <v>VERIFY</v>
      </c>
      <c r="Q521" s="15">
        <f t="shared" si="2"/>
        <v>6</v>
      </c>
      <c r="R521" s="15">
        <f t="shared" si="3"/>
        <v>7</v>
      </c>
      <c r="S521" s="15">
        <f t="shared" si="4"/>
        <v>3</v>
      </c>
      <c r="T521" s="15" t="str">
        <f t="shared" si="5"/>
        <v>B-2</v>
      </c>
      <c r="U521" s="15" t="str">
        <f t="shared" si="6"/>
        <v>T6-M7-H3-FB-2-VERIFY</v>
      </c>
      <c r="V521" s="15">
        <f t="shared" si="7"/>
        <v>0</v>
      </c>
      <c r="W521" s="31"/>
      <c r="X521" s="15" t="str">
        <f t="shared" si="8"/>
        <v>muzaffarnagar</v>
      </c>
      <c r="Y521" s="32" t="str">
        <f t="shared" si="9"/>
        <v>https://steelmanufacturer.in/market-area/electropolished-pipes-manufacturer-in-muzaffarnagar/</v>
      </c>
      <c r="Z521" s="15" t="str">
        <f t="shared" si="10"/>
        <v>Electropolished Pipes Manufacturer in Muzaffarnagar</v>
      </c>
      <c r="AA521" s="15" t="str">
        <f t="shared" si="11"/>
        <v>OK (51)</v>
      </c>
      <c r="AB521" s="15" t="str">
        <f t="shared" si="12"/>
        <v>Electropolished pipes in Muzaffarnagar: 304, 304L, 316 and 316L in SF1-SF4. VERIFY. Mill certified.</v>
      </c>
      <c r="AC521" s="15" t="str">
        <f t="shared" si="13"/>
        <v>PENDING RESEARCH</v>
      </c>
      <c r="AD521" s="15" t="str">
        <f t="shared" si="14"/>
        <v>Electropolished Pipes Manufacturer in Muzaffarnagar</v>
      </c>
      <c r="AE521" s="15" t="str">
        <f t="shared" si="15"/>
        <v>Electropolished Pipes Manufacturer in Muzaffarnagar - Our Process &amp; Capability</v>
      </c>
      <c r="AF521" s="15" t="str">
        <f t="shared" si="16"/>
        <v>Electropolished Pipes Supplier in Muzaffarnagar - What We Hold in Stock</v>
      </c>
      <c r="AG521" s="15" t="str">
        <f t="shared" si="17"/>
        <v>Bulk &amp; Wholesale Electropolished Pipe Rates for Muzaffarnagar Buyers</v>
      </c>
      <c r="AH521" s="15" t="str">
        <f t="shared" si="18"/>
        <v>electropolished pipes manufacturer in Muzaffarnagar, electropolished pipes supplier in Muzaffarnagar, electropolished pipes wholesaler in Muzaffarnagar, electropolished tube manufacturer Muzaffarnagar, EP pipe supplier Muzaffarnagar, sanitary tube supplier Muzaffarnagar, ASME BPE tubing Muzaffarnagar, ASTM A270 tube Muzaffarnagar, SS 316L electropolished pipe Muzaffarnagar</v>
      </c>
      <c r="AI521" s="15" t="str">
        <f t="shared" si="19"/>
        <v>Electropolished Pipes Manufacturer &amp; Supplier in Muzaffarnagar</v>
      </c>
      <c r="AJ521" s="15" t="str">
        <f t="shared" si="20"/>
        <v>EP-finished SS 304/316L pipes and tubes for VERIFY plants in Muzaffarnagar. ASME BPE SF1-SF4, Ra from 0.25 um, EN 10204 3.1 certificate with every lot.</v>
      </c>
      <c r="AK521" s="15" t="str">
        <f t="shared" si="21"/>
        <v>Electropolished stainless steel pipes supplied by Sakshi Forge to VERIFY plants at UPSIDA Industrial Area, Muzaffarnagar</v>
      </c>
      <c r="AL521" s="15" t="str">
        <f t="shared" si="22"/>
        <v>Electropolished SS 316L tube stock for Muzaffarnagar - Sakshi Forge</v>
      </c>
      <c r="AM521" s="15" t="str">
        <f t="shared" si="23"/>
        <v>Home &gt; Market Area &gt; India &gt; Uttar Pradesh &gt; Muzaffarnagar</v>
      </c>
      <c r="AN521" s="15">
        <f t="shared" si="24"/>
        <v>1000</v>
      </c>
      <c r="AO521" s="15">
        <f t="shared" si="25"/>
        <v>8</v>
      </c>
      <c r="AP521" s="15">
        <f t="shared" si="26"/>
        <v>8</v>
      </c>
      <c r="AQ521" s="15">
        <f t="shared" si="27"/>
        <v>9</v>
      </c>
      <c r="AR521" s="31"/>
      <c r="AS521" s="31"/>
      <c r="AT521" s="35" t="s">
        <v>222</v>
      </c>
      <c r="AU521" s="35"/>
    </row>
    <row r="522" ht="15.75" customHeight="1">
      <c r="A522" s="15" t="s">
        <v>3974</v>
      </c>
      <c r="B522" s="15" t="s">
        <v>60</v>
      </c>
      <c r="C522" s="15" t="s">
        <v>224</v>
      </c>
      <c r="D522" s="15" t="s">
        <v>3975</v>
      </c>
      <c r="E522" s="15" t="s">
        <v>3975</v>
      </c>
      <c r="F522" s="65" t="s">
        <v>788</v>
      </c>
      <c r="G522" s="66" t="s">
        <v>98</v>
      </c>
      <c r="H522" s="18" t="s">
        <v>3977</v>
      </c>
      <c r="I522" s="18" t="s">
        <v>8400</v>
      </c>
      <c r="J522" s="18" t="s">
        <v>98</v>
      </c>
      <c r="K522" s="18" t="s">
        <v>98</v>
      </c>
      <c r="L522" s="18" t="s">
        <v>98</v>
      </c>
      <c r="M522" s="18" t="s">
        <v>98</v>
      </c>
      <c r="N522" s="18" t="s">
        <v>98</v>
      </c>
      <c r="O522" s="18" t="s">
        <v>98</v>
      </c>
      <c r="P522" s="15" t="str">
        <f t="shared" si="1"/>
        <v>VERIFY</v>
      </c>
      <c r="Q522" s="15">
        <f t="shared" si="2"/>
        <v>7</v>
      </c>
      <c r="R522" s="15">
        <f t="shared" si="3"/>
        <v>1</v>
      </c>
      <c r="S522" s="15">
        <f t="shared" si="4"/>
        <v>4</v>
      </c>
      <c r="T522" s="15" t="str">
        <f t="shared" si="5"/>
        <v>B-3</v>
      </c>
      <c r="U522" s="15" t="str">
        <f t="shared" si="6"/>
        <v>T7-M1-H4-FB-3-VERIFY</v>
      </c>
      <c r="V522" s="15">
        <f t="shared" si="7"/>
        <v>0</v>
      </c>
      <c r="W522" s="31"/>
      <c r="X522" s="15" t="str">
        <f t="shared" si="8"/>
        <v>nadiad</v>
      </c>
      <c r="Y522" s="32" t="str">
        <f t="shared" si="9"/>
        <v>https://steelmanufacturer.in/market-area/electropolished-pipes-manufacturer-in-nadiad/</v>
      </c>
      <c r="Z522" s="15" t="str">
        <f t="shared" si="10"/>
        <v>Electropolished Pipes Manufacturer in Nadiad | ASME BPE SF1-SF4</v>
      </c>
      <c r="AA522" s="15" t="str">
        <f t="shared" si="11"/>
        <v>OK (63)</v>
      </c>
      <c r="AB522" s="15" t="str">
        <f t="shared" si="12"/>
        <v>EP-finished SS 304/316L pipes &amp; tubes for VERIFY plants in Nadiad. ASTM A270, ASME BPE SF1-SF4, EN 10204 3.1 MTC. PMI tested.</v>
      </c>
      <c r="AC522" s="15" t="str">
        <f t="shared" si="13"/>
        <v>PENDING RESEARCH</v>
      </c>
      <c r="AD522" s="15" t="str">
        <f t="shared" si="14"/>
        <v>Electropolished Pipes Manufacturer in Nadiad</v>
      </c>
      <c r="AE522" s="15" t="str">
        <f t="shared" si="15"/>
        <v>Manufacturing Electropolished SS Tube for Nadiad: The Standards We Build To</v>
      </c>
      <c r="AF522" s="15" t="str">
        <f t="shared" si="16"/>
        <v>Electropolished Pipe Supply Into Nadiad - Certification &amp; Transit</v>
      </c>
      <c r="AG522" s="15" t="str">
        <f t="shared" si="17"/>
        <v>Electropolished Pipes Wholesaler in Nadiad - Project Quantities &amp; Terms</v>
      </c>
      <c r="AH522" s="15" t="str">
        <f t="shared" si="18"/>
        <v>electropolished pipes manufacturer in Nadiad, electropolished pipes supplier in Nadiad, electropolished pipes wholesaler in Nadiad, electropolished tube manufacturer Nadiad, EP pipe supplier Nadiad, sanitary tube supplier Nadiad, ASME BPE tubing Nadiad, ASTM A270 tube Nadiad, SS 316L electropolished pipe Nadiad</v>
      </c>
      <c r="AI522" s="15" t="str">
        <f t="shared" si="19"/>
        <v>Electropolished Pipes Manufacturer &amp; Supplier in Nadiad</v>
      </c>
      <c r="AJ522" s="15" t="str">
        <f t="shared" si="20"/>
        <v>EP-finished SS 304/316L pipes and tubes for VERIFY plants in Nadiad. ASME BPE SF1-SF4, Ra from 0.25 um, EN 10204 3.1 certificate with every lot.</v>
      </c>
      <c r="AK522" s="15" t="str">
        <f t="shared" si="21"/>
        <v>Electropolished stainless steel pipes supplied by Sakshi Forge to VERIFY plants at GIDC Industrial Area, Nadiad</v>
      </c>
      <c r="AL522" s="15" t="str">
        <f t="shared" si="22"/>
        <v>Electropolished SS 316L tube stock for Nadiad - Sakshi Forge</v>
      </c>
      <c r="AM522" s="15" t="str">
        <f t="shared" si="23"/>
        <v>Home &gt; Market Area &gt; India &gt; Gujarat &gt; Nadiad</v>
      </c>
      <c r="AN522" s="15">
        <f t="shared" si="24"/>
        <v>1000</v>
      </c>
      <c r="AO522" s="15">
        <f t="shared" si="25"/>
        <v>8</v>
      </c>
      <c r="AP522" s="15">
        <f t="shared" si="26"/>
        <v>8</v>
      </c>
      <c r="AQ522" s="15">
        <f t="shared" si="27"/>
        <v>9</v>
      </c>
      <c r="AR522" s="31"/>
      <c r="AS522" s="31"/>
      <c r="AT522" s="35" t="s">
        <v>222</v>
      </c>
      <c r="AU522" s="35"/>
    </row>
    <row r="523" ht="15.75" customHeight="1">
      <c r="A523" s="15" t="s">
        <v>3978</v>
      </c>
      <c r="B523" s="15" t="s">
        <v>60</v>
      </c>
      <c r="C523" s="15" t="s">
        <v>1155</v>
      </c>
      <c r="D523" s="15" t="s">
        <v>3979</v>
      </c>
      <c r="E523" s="15" t="s">
        <v>3979</v>
      </c>
      <c r="F523" s="65" t="s">
        <v>788</v>
      </c>
      <c r="G523" s="66" t="s">
        <v>98</v>
      </c>
      <c r="H523" s="18" t="s">
        <v>3981</v>
      </c>
      <c r="I523" s="18" t="s">
        <v>8412</v>
      </c>
      <c r="J523" s="18" t="s">
        <v>98</v>
      </c>
      <c r="K523" s="18" t="s">
        <v>98</v>
      </c>
      <c r="L523" s="18" t="s">
        <v>98</v>
      </c>
      <c r="M523" s="18" t="s">
        <v>98</v>
      </c>
      <c r="N523" s="18" t="s">
        <v>98</v>
      </c>
      <c r="O523" s="18" t="s">
        <v>98</v>
      </c>
      <c r="P523" s="15" t="str">
        <f t="shared" si="1"/>
        <v>VERIFY</v>
      </c>
      <c r="Q523" s="15">
        <f t="shared" si="2"/>
        <v>8</v>
      </c>
      <c r="R523" s="15">
        <f t="shared" si="3"/>
        <v>2</v>
      </c>
      <c r="S523" s="15">
        <f t="shared" si="4"/>
        <v>5</v>
      </c>
      <c r="T523" s="15" t="str">
        <f t="shared" si="5"/>
        <v>B-4</v>
      </c>
      <c r="U523" s="15" t="str">
        <f t="shared" si="6"/>
        <v>T8-M2-H5-FB-4-VERIFY</v>
      </c>
      <c r="V523" s="15">
        <f t="shared" si="7"/>
        <v>0</v>
      </c>
      <c r="W523" s="31"/>
      <c r="X523" s="15" t="str">
        <f t="shared" si="8"/>
        <v>nagaon</v>
      </c>
      <c r="Y523" s="32" t="str">
        <f t="shared" si="9"/>
        <v>https://steelmanufacturer.in/market-area/electropolished-pipes-manufacturer-in-nagaon/</v>
      </c>
      <c r="Z523" s="15" t="str">
        <f t="shared" si="10"/>
        <v>Electropolished Pipes Manufacturer in Nagaon - EP Tube Stockist</v>
      </c>
      <c r="AA523" s="15" t="str">
        <f t="shared" si="11"/>
        <v>OK (63)</v>
      </c>
      <c r="AB523" s="15" t="str">
        <f t="shared" si="12"/>
        <v>Electropolished tube supply to AIDC Industrial Area, Nagaon. Ra from 0.25 um, SF4 finish, mill test certificate with every lot.</v>
      </c>
      <c r="AC523" s="15" t="str">
        <f t="shared" si="13"/>
        <v>PENDING RESEARCH</v>
      </c>
      <c r="AD523" s="15" t="str">
        <f t="shared" si="14"/>
        <v>Electropolished Pipes Manufacturer in Nagaon</v>
      </c>
      <c r="AE523" s="15" t="str">
        <f t="shared" si="15"/>
        <v>Electropolished Tube Manufacturing Capability Serving Nagaon</v>
      </c>
      <c r="AF523" s="15" t="str">
        <f t="shared" si="16"/>
        <v>Electropolished Pipes Supplier in Nagaon - From Order to Delivery</v>
      </c>
      <c r="AG523" s="15" t="str">
        <f t="shared" si="17"/>
        <v>Stockist &amp; Wholesale Supply of Electropolished Pipes in Nagaon</v>
      </c>
      <c r="AH523" s="15" t="str">
        <f t="shared" si="18"/>
        <v>electropolished pipes manufacturer in Nagaon, electropolished pipes supplier in Nagaon, electropolished pipes wholesaler in Nagaon, electropolished tube manufacturer Nagaon, EP pipe supplier Nagaon, sanitary tube supplier Nagaon, ASME BPE tubing Nagaon, ASTM A270 tube Nagaon, SS 316L electropolished pipe Nagaon</v>
      </c>
      <c r="AI523" s="15" t="str">
        <f t="shared" si="19"/>
        <v>Electropolished Pipes Manufacturer &amp; Supplier in Nagaon</v>
      </c>
      <c r="AJ523" s="15" t="str">
        <f t="shared" si="20"/>
        <v>EP-finished SS 304/316L pipes and tubes for VERIFY plants in Nagaon. ASME BPE SF1-SF4, Ra from 0.25 um, EN 10204 3.1 certificate with every lot.</v>
      </c>
      <c r="AK523" s="15" t="str">
        <f t="shared" si="21"/>
        <v>Electropolished stainless steel pipes supplied by Sakshi Forge to VERIFY plants at AIDC Industrial Area, Nagaon</v>
      </c>
      <c r="AL523" s="15" t="str">
        <f t="shared" si="22"/>
        <v>Electropolished SS 316L tube stock for Nagaon - Sakshi Forge</v>
      </c>
      <c r="AM523" s="15" t="str">
        <f t="shared" si="23"/>
        <v>Home &gt; Market Area &gt; India &gt; Assam &gt; Nagaon</v>
      </c>
      <c r="AN523" s="15">
        <f t="shared" si="24"/>
        <v>1000</v>
      </c>
      <c r="AO523" s="15">
        <f t="shared" si="25"/>
        <v>8</v>
      </c>
      <c r="AP523" s="15">
        <f t="shared" si="26"/>
        <v>8</v>
      </c>
      <c r="AQ523" s="15">
        <f t="shared" si="27"/>
        <v>9</v>
      </c>
      <c r="AR523" s="31"/>
      <c r="AS523" s="31"/>
      <c r="AT523" s="35" t="s">
        <v>222</v>
      </c>
      <c r="AU523" s="35"/>
    </row>
    <row r="524" ht="15.75" customHeight="1">
      <c r="A524" s="15" t="s">
        <v>3982</v>
      </c>
      <c r="B524" s="15" t="s">
        <v>60</v>
      </c>
      <c r="C524" s="15" t="s">
        <v>958</v>
      </c>
      <c r="D524" s="15" t="s">
        <v>3983</v>
      </c>
      <c r="E524" s="15" t="s">
        <v>3983</v>
      </c>
      <c r="F524" s="65" t="s">
        <v>788</v>
      </c>
      <c r="G524" s="66" t="s">
        <v>98</v>
      </c>
      <c r="H524" s="18" t="s">
        <v>3985</v>
      </c>
      <c r="I524" s="18" t="s">
        <v>8403</v>
      </c>
      <c r="J524" s="18" t="s">
        <v>98</v>
      </c>
      <c r="K524" s="18" t="s">
        <v>98</v>
      </c>
      <c r="L524" s="18" t="s">
        <v>98</v>
      </c>
      <c r="M524" s="18" t="s">
        <v>98</v>
      </c>
      <c r="N524" s="18" t="s">
        <v>98</v>
      </c>
      <c r="O524" s="18" t="s">
        <v>98</v>
      </c>
      <c r="P524" s="15" t="str">
        <f t="shared" si="1"/>
        <v>VERIFY</v>
      </c>
      <c r="Q524" s="15">
        <f t="shared" si="2"/>
        <v>1</v>
      </c>
      <c r="R524" s="15">
        <f t="shared" si="3"/>
        <v>3</v>
      </c>
      <c r="S524" s="15">
        <f t="shared" si="4"/>
        <v>1</v>
      </c>
      <c r="T524" s="15" t="str">
        <f t="shared" si="5"/>
        <v>B-5</v>
      </c>
      <c r="U524" s="15" t="str">
        <f t="shared" si="6"/>
        <v>T1-M3-H1-FB-5-VERIFY</v>
      </c>
      <c r="V524" s="15">
        <f t="shared" si="7"/>
        <v>0</v>
      </c>
      <c r="W524" s="31"/>
      <c r="X524" s="15" t="str">
        <f t="shared" si="8"/>
        <v>nagapattinam</v>
      </c>
      <c r="Y524" s="32" t="str">
        <f t="shared" si="9"/>
        <v>https://steelmanufacturer.in/market-area/electropolished-pipes-manufacturer-in-nagapattinam/</v>
      </c>
      <c r="Z524" s="15" t="str">
        <f t="shared" si="10"/>
        <v>Electropolished Pipes Manufacturer in Nagapattinam | Sakshi Forge</v>
      </c>
      <c r="AA524" s="15" t="str">
        <f t="shared" si="11"/>
        <v>OK (65)</v>
      </c>
      <c r="AB524" s="15" t="str">
        <f t="shared" si="12"/>
        <v>EP stainless tube for VERIFY lines in Nagapattinam. VERIFY. ASTM A270 S2, PMI tested, EN 10204 3.1.</v>
      </c>
      <c r="AC524" s="15" t="str">
        <f t="shared" si="13"/>
        <v>PENDING RESEARCH</v>
      </c>
      <c r="AD524" s="15" t="str">
        <f t="shared" si="14"/>
        <v>Electropolished Pipes Manufacturer in Nagapattinam</v>
      </c>
      <c r="AE524" s="15" t="str">
        <f t="shared" si="15"/>
        <v>Electropolished Pipe &amp; Tube Manufacturing for Nagapattinam - Grades, Finishes &amp; Certification</v>
      </c>
      <c r="AF524" s="15" t="str">
        <f t="shared" si="16"/>
        <v>Electropolished Pipes Supplier in Nagapattinam - Stock Sizes, Lead Time &amp; Delivery</v>
      </c>
      <c r="AG524" s="15" t="str">
        <f t="shared" si="17"/>
        <v>Electropolished Pipes Wholesaler &amp; Stockist in Nagapattinam - Bulk &amp; Project Pricing</v>
      </c>
      <c r="AH524" s="15" t="str">
        <f t="shared" si="18"/>
        <v>electropolished pipes manufacturer in Nagapattinam, electropolished pipes supplier in Nagapattinam, electropolished pipes wholesaler in Nagapattinam, electropolished tube manufacturer Nagapattinam, EP pipe supplier Nagapattinam, sanitary tube supplier Nagapattinam, ASME BPE tubing Nagapattinam, ASTM A270 tube Nagapattinam, SS 316L electropolished pipe Nagapattinam</v>
      </c>
      <c r="AI524" s="15" t="str">
        <f t="shared" si="19"/>
        <v>Electropolished Pipes Manufacturer &amp; Supplier in Nagapattinam</v>
      </c>
      <c r="AJ524" s="15" t="str">
        <f t="shared" si="20"/>
        <v>EP-finished SS 304/316L pipes and tubes for VERIFY plants in Nagapattinam. ASME BPE SF1-SF4, Ra from 0.25 um, EN 10204 3.1 certificate with every lot.</v>
      </c>
      <c r="AK524" s="15" t="str">
        <f t="shared" si="21"/>
        <v>Electropolished stainless steel pipes supplied by Sakshi Forge to VERIFY plants at SIPCOT Industrial Area, Nagapattinam</v>
      </c>
      <c r="AL524" s="15" t="str">
        <f t="shared" si="22"/>
        <v>Electropolished SS 316L tube stock for Nagapattinam - Sakshi Forge</v>
      </c>
      <c r="AM524" s="15" t="str">
        <f t="shared" si="23"/>
        <v>Home &gt; Market Area &gt; India &gt; Tamil Nadu &gt; Nagapattinam</v>
      </c>
      <c r="AN524" s="15">
        <f t="shared" si="24"/>
        <v>1000</v>
      </c>
      <c r="AO524" s="15">
        <f t="shared" si="25"/>
        <v>8</v>
      </c>
      <c r="AP524" s="15">
        <f t="shared" si="26"/>
        <v>8</v>
      </c>
      <c r="AQ524" s="15">
        <f t="shared" si="27"/>
        <v>9</v>
      </c>
      <c r="AR524" s="31"/>
      <c r="AS524" s="31"/>
      <c r="AT524" s="35" t="s">
        <v>222</v>
      </c>
      <c r="AU524" s="35"/>
    </row>
    <row r="525" ht="15.75" customHeight="1">
      <c r="A525" s="15" t="s">
        <v>3986</v>
      </c>
      <c r="B525" s="15" t="s">
        <v>60</v>
      </c>
      <c r="C525" s="15" t="s">
        <v>236</v>
      </c>
      <c r="D525" s="15" t="s">
        <v>3987</v>
      </c>
      <c r="E525" s="15" t="s">
        <v>3987</v>
      </c>
      <c r="F525" s="65" t="s">
        <v>788</v>
      </c>
      <c r="G525" s="66" t="s">
        <v>98</v>
      </c>
      <c r="H525" s="18" t="s">
        <v>3989</v>
      </c>
      <c r="I525" s="18" t="s">
        <v>8391</v>
      </c>
      <c r="J525" s="18" t="s">
        <v>98</v>
      </c>
      <c r="K525" s="18" t="s">
        <v>98</v>
      </c>
      <c r="L525" s="18" t="s">
        <v>98</v>
      </c>
      <c r="M525" s="18" t="s">
        <v>98</v>
      </c>
      <c r="N525" s="18" t="s">
        <v>98</v>
      </c>
      <c r="O525" s="18" t="s">
        <v>98</v>
      </c>
      <c r="P525" s="15" t="str">
        <f t="shared" si="1"/>
        <v>VERIFY</v>
      </c>
      <c r="Q525" s="15">
        <f t="shared" si="2"/>
        <v>2</v>
      </c>
      <c r="R525" s="15">
        <f t="shared" si="3"/>
        <v>4</v>
      </c>
      <c r="S525" s="15">
        <f t="shared" si="4"/>
        <v>2</v>
      </c>
      <c r="T525" s="15" t="str">
        <f t="shared" si="5"/>
        <v>B-6</v>
      </c>
      <c r="U525" s="15" t="str">
        <f t="shared" si="6"/>
        <v>T2-M4-H2-FB-6-VERIFY</v>
      </c>
      <c r="V525" s="15">
        <f t="shared" si="7"/>
        <v>0</v>
      </c>
      <c r="W525" s="31"/>
      <c r="X525" s="15" t="str">
        <f t="shared" si="8"/>
        <v>nagaur</v>
      </c>
      <c r="Y525" s="32" t="str">
        <f t="shared" si="9"/>
        <v>https://steelmanufacturer.in/market-area/electropolished-pipes-manufacturer-in-nagaur/</v>
      </c>
      <c r="Z525" s="15" t="str">
        <f t="shared" si="10"/>
        <v>Electropolished Pipes Manufacturer in Nagaur</v>
      </c>
      <c r="AA525" s="15" t="str">
        <f t="shared" si="11"/>
        <v>OK (44)</v>
      </c>
      <c r="AB525" s="15" t="str">
        <f t="shared" si="12"/>
        <v>Sanitary electropolished pipes in Nagaur for VERIFY plants. ASME BPE SF1-SF4, orbital-weld ready, 3.1 MTC. Mumbai-made.</v>
      </c>
      <c r="AC525" s="15" t="str">
        <f t="shared" si="13"/>
        <v>PENDING RESEARCH</v>
      </c>
      <c r="AD525" s="15" t="str">
        <f t="shared" si="14"/>
        <v>Electropolished Pipes Manufacturer in Nagaur</v>
      </c>
      <c r="AE525" s="15" t="str">
        <f t="shared" si="15"/>
        <v>How We Manufacture Electropolished Tube for Nagaur Plants</v>
      </c>
      <c r="AF525" s="15" t="str">
        <f t="shared" si="16"/>
        <v>Supplying Electropolished Pipes in Nagaur: Availability, Sizes &amp; Dispatch</v>
      </c>
      <c r="AG525" s="15" t="str">
        <f t="shared" si="17"/>
        <v>Wholesale Electropolished Pipe Supply for Nagaur Projects</v>
      </c>
      <c r="AH525" s="15" t="str">
        <f t="shared" si="18"/>
        <v>electropolished pipes manufacturer in Nagaur, electropolished pipes supplier in Nagaur, electropolished pipes wholesaler in Nagaur, electropolished tube manufacturer Nagaur, EP pipe supplier Nagaur, sanitary tube supplier Nagaur, ASME BPE tubing Nagaur, ASTM A270 tube Nagaur, SS 316L electropolished pipe Nagaur</v>
      </c>
      <c r="AI525" s="15" t="str">
        <f t="shared" si="19"/>
        <v>Electropolished Pipes Manufacturer &amp; Supplier in Nagaur</v>
      </c>
      <c r="AJ525" s="15" t="str">
        <f t="shared" si="20"/>
        <v>EP-finished SS 304/316L pipes and tubes for VERIFY plants in Nagaur. ASME BPE SF1-SF4, Ra from 0.25 um, EN 10204 3.1 certificate with every lot.</v>
      </c>
      <c r="AK525" s="15" t="str">
        <f t="shared" si="21"/>
        <v>Electropolished stainless steel pipes supplied by Sakshi Forge to VERIFY plants at RIICO Industrial Area, Nagaur</v>
      </c>
      <c r="AL525" s="15" t="str">
        <f t="shared" si="22"/>
        <v>Electropolished SS 316L tube stock for Nagaur - Sakshi Forge</v>
      </c>
      <c r="AM525" s="15" t="str">
        <f t="shared" si="23"/>
        <v>Home &gt; Market Area &gt; India &gt; Rajasthan &gt; Nagaur</v>
      </c>
      <c r="AN525" s="15">
        <f t="shared" si="24"/>
        <v>1000</v>
      </c>
      <c r="AO525" s="15">
        <f t="shared" si="25"/>
        <v>8</v>
      </c>
      <c r="AP525" s="15">
        <f t="shared" si="26"/>
        <v>8</v>
      </c>
      <c r="AQ525" s="15">
        <f t="shared" si="27"/>
        <v>9</v>
      </c>
      <c r="AR525" s="31"/>
      <c r="AS525" s="31"/>
      <c r="AT525" s="35" t="s">
        <v>222</v>
      </c>
      <c r="AU525" s="35"/>
    </row>
    <row r="526" ht="15.75" customHeight="1">
      <c r="A526" s="15" t="s">
        <v>3992</v>
      </c>
      <c r="B526" s="15" t="s">
        <v>60</v>
      </c>
      <c r="C526" s="15" t="s">
        <v>3430</v>
      </c>
      <c r="D526" s="15" t="s">
        <v>3997</v>
      </c>
      <c r="E526" s="15" t="s">
        <v>3997</v>
      </c>
      <c r="F526" s="65" t="s">
        <v>788</v>
      </c>
      <c r="G526" s="66" t="s">
        <v>98</v>
      </c>
      <c r="H526" s="18" t="s">
        <v>3999</v>
      </c>
      <c r="I526" s="18" t="s">
        <v>8420</v>
      </c>
      <c r="J526" s="18" t="s">
        <v>98</v>
      </c>
      <c r="K526" s="18" t="s">
        <v>98</v>
      </c>
      <c r="L526" s="18" t="s">
        <v>98</v>
      </c>
      <c r="M526" s="18" t="s">
        <v>98</v>
      </c>
      <c r="N526" s="18" t="s">
        <v>98</v>
      </c>
      <c r="O526" s="18" t="s">
        <v>98</v>
      </c>
      <c r="P526" s="15" t="str">
        <f t="shared" si="1"/>
        <v>VERIFY</v>
      </c>
      <c r="Q526" s="15">
        <f t="shared" si="2"/>
        <v>3</v>
      </c>
      <c r="R526" s="15">
        <f t="shared" si="3"/>
        <v>5</v>
      </c>
      <c r="S526" s="15">
        <f t="shared" si="4"/>
        <v>3</v>
      </c>
      <c r="T526" s="15" t="str">
        <f t="shared" si="5"/>
        <v>B-1</v>
      </c>
      <c r="U526" s="15" t="str">
        <f t="shared" si="6"/>
        <v>T3-M5-H3-FB-1-VERIFY</v>
      </c>
      <c r="V526" s="15">
        <f t="shared" si="7"/>
        <v>0</v>
      </c>
      <c r="W526" s="31"/>
      <c r="X526" s="15" t="str">
        <f t="shared" si="8"/>
        <v>naharlagun</v>
      </c>
      <c r="Y526" s="32" t="str">
        <f t="shared" si="9"/>
        <v>https://steelmanufacturer.in/market-area/electropolished-pipes-manufacturer-in-naharlagun/</v>
      </c>
      <c r="Z526" s="15" t="str">
        <f t="shared" si="10"/>
        <v>Electropolished Pipes Manufacturer in Naharlagun</v>
      </c>
      <c r="AA526" s="15" t="str">
        <f t="shared" si="11"/>
        <v>OK (48)</v>
      </c>
      <c r="AB526" s="15" t="str">
        <f t="shared" si="12"/>
        <v>Manufacturer of electropolished SS 316L tube serving Naharlagun. VERIFY. Ra 0.25-0.5 um, EN 10204 3.1 MTC.</v>
      </c>
      <c r="AC526" s="15" t="str">
        <f t="shared" si="13"/>
        <v>PENDING RESEARCH</v>
      </c>
      <c r="AD526" s="15" t="str">
        <f t="shared" si="14"/>
        <v>Electropolished Pipes Manufacturer in Naharlagun</v>
      </c>
      <c r="AE526" s="15" t="str">
        <f t="shared" si="15"/>
        <v>Electropolished Pipes Manufacturer in Naharlagun - Our Process &amp; Capability</v>
      </c>
      <c r="AF526" s="15" t="str">
        <f t="shared" si="16"/>
        <v>Electropolished Pipes Supplier in Naharlagun - What We Hold in Stock</v>
      </c>
      <c r="AG526" s="15" t="str">
        <f t="shared" si="17"/>
        <v>Bulk &amp; Wholesale Electropolished Pipe Rates for Naharlagun Buyers</v>
      </c>
      <c r="AH526" s="15" t="str">
        <f t="shared" si="18"/>
        <v>electropolished pipes manufacturer in Naharlagun, electropolished pipes supplier in Naharlagun, electropolished pipes wholesaler in Naharlagun, electropolished tube manufacturer Naharlagun, EP pipe supplier Naharlagun, sanitary tube supplier Naharlagun, ASME BPE tubing Naharlagun, ASTM A270 tube Naharlagun, SS 316L electropolished pipe Naharlagun</v>
      </c>
      <c r="AI526" s="15" t="str">
        <f t="shared" si="19"/>
        <v>Electropolished Pipes Manufacturer &amp; Supplier in Naharlagun</v>
      </c>
      <c r="AJ526" s="15" t="str">
        <f t="shared" si="20"/>
        <v>EP-finished SS 304/316L pipes and tubes for VERIFY plants in Naharlagun. ASME BPE SF1-SF4, Ra from 0.25 um, EN 10204 3.1 certificate with every lot.</v>
      </c>
      <c r="AK526" s="15" t="str">
        <f t="shared" si="21"/>
        <v>Electropolished stainless steel pipes supplied by Sakshi Forge to VERIFY plants at APIDFC Industrial Area, Naharlagun</v>
      </c>
      <c r="AL526" s="15" t="str">
        <f t="shared" si="22"/>
        <v>Electropolished SS 316L tube stock for Naharlagun - Sakshi Forge</v>
      </c>
      <c r="AM526" s="15" t="str">
        <f t="shared" si="23"/>
        <v>Home &gt; Market Area &gt; India &gt; Arunachal Pradesh &gt; Naharlagun</v>
      </c>
      <c r="AN526" s="15">
        <f t="shared" si="24"/>
        <v>1000</v>
      </c>
      <c r="AO526" s="15">
        <f t="shared" si="25"/>
        <v>8</v>
      </c>
      <c r="AP526" s="15">
        <f t="shared" si="26"/>
        <v>8</v>
      </c>
      <c r="AQ526" s="15">
        <f t="shared" si="27"/>
        <v>9</v>
      </c>
      <c r="AR526" s="31"/>
      <c r="AS526" s="31"/>
      <c r="AT526" s="35" t="s">
        <v>222</v>
      </c>
      <c r="AU526" s="35"/>
    </row>
    <row r="527" ht="15.75" customHeight="1">
      <c r="A527" s="15" t="s">
        <v>4000</v>
      </c>
      <c r="B527" s="15" t="s">
        <v>60</v>
      </c>
      <c r="C527" s="15" t="s">
        <v>1312</v>
      </c>
      <c r="D527" s="15" t="s">
        <v>4001</v>
      </c>
      <c r="E527" s="15" t="s">
        <v>4001</v>
      </c>
      <c r="F527" s="65" t="s">
        <v>788</v>
      </c>
      <c r="G527" s="66" t="s">
        <v>98</v>
      </c>
      <c r="H527" s="18" t="s">
        <v>4003</v>
      </c>
      <c r="I527" s="18" t="s">
        <v>8392</v>
      </c>
      <c r="J527" s="18" t="s">
        <v>98</v>
      </c>
      <c r="K527" s="18" t="s">
        <v>98</v>
      </c>
      <c r="L527" s="18" t="s">
        <v>98</v>
      </c>
      <c r="M527" s="18" t="s">
        <v>98</v>
      </c>
      <c r="N527" s="18" t="s">
        <v>98</v>
      </c>
      <c r="O527" s="18" t="s">
        <v>98</v>
      </c>
      <c r="P527" s="15" t="str">
        <f t="shared" si="1"/>
        <v>VERIFY</v>
      </c>
      <c r="Q527" s="15">
        <f t="shared" si="2"/>
        <v>4</v>
      </c>
      <c r="R527" s="15">
        <f t="shared" si="3"/>
        <v>6</v>
      </c>
      <c r="S527" s="15">
        <f t="shared" si="4"/>
        <v>4</v>
      </c>
      <c r="T527" s="15" t="str">
        <f t="shared" si="5"/>
        <v>B-2</v>
      </c>
      <c r="U527" s="15" t="str">
        <f t="shared" si="6"/>
        <v>T4-M6-H4-FB-2-VERIFY</v>
      </c>
      <c r="V527" s="15">
        <f t="shared" si="7"/>
        <v>0</v>
      </c>
      <c r="W527" s="31"/>
      <c r="X527" s="15" t="str">
        <f t="shared" si="8"/>
        <v>nalgonda</v>
      </c>
      <c r="Y527" s="32" t="str">
        <f t="shared" si="9"/>
        <v>https://steelmanufacturer.in/market-area/electropolished-pipes-manufacturer-in-nalgonda/</v>
      </c>
      <c r="Z527" s="15" t="str">
        <f t="shared" si="10"/>
        <v>Electropolished Pipes Manufacturer in Nalgonda</v>
      </c>
      <c r="AA527" s="15" t="str">
        <f t="shared" si="11"/>
        <v>OK (46)</v>
      </c>
      <c r="AB527" s="15" t="str">
        <f t="shared" si="12"/>
        <v>EP tube and pipe for VERIFY plants around TSIIC Industrial Area, Nalgonda. Made at our Mumbai works to ASTM A270 and ASME BPE SF1-SF4, with 3.1 MTC.</v>
      </c>
      <c r="AC527" s="15" t="str">
        <f t="shared" si="13"/>
        <v>PENDING RESEARCH</v>
      </c>
      <c r="AD527" s="15" t="str">
        <f t="shared" si="14"/>
        <v>Electropolished Pipes Manufacturer in Nalgonda</v>
      </c>
      <c r="AE527" s="15" t="str">
        <f t="shared" si="15"/>
        <v>Manufacturing Electropolished SS Tube for Nalgonda: The Standards We Build To</v>
      </c>
      <c r="AF527" s="15" t="str">
        <f t="shared" si="16"/>
        <v>Electropolished Pipe Supply Into Nalgonda - Certification &amp; Transit</v>
      </c>
      <c r="AG527" s="15" t="str">
        <f t="shared" si="17"/>
        <v>Electropolished Pipes Wholesaler in Nalgonda - Project Quantities &amp; Terms</v>
      </c>
      <c r="AH527" s="15" t="str">
        <f t="shared" si="18"/>
        <v>electropolished pipes manufacturer in Nalgonda, electropolished pipes supplier in Nalgonda, electropolished pipes wholesaler in Nalgonda, electropolished tube manufacturer Nalgonda, EP pipe supplier Nalgonda, sanitary tube supplier Nalgonda, ASME BPE tubing Nalgonda, ASTM A270 tube Nalgonda, SS 316L electropolished pipe Nalgonda</v>
      </c>
      <c r="AI527" s="15" t="str">
        <f t="shared" si="19"/>
        <v>Electropolished Pipes Manufacturer &amp; Supplier in Nalgonda</v>
      </c>
      <c r="AJ527" s="15" t="str">
        <f t="shared" si="20"/>
        <v>EP-finished SS 304/316L pipes and tubes for VERIFY plants in Nalgonda. ASME BPE SF1-SF4, Ra from 0.25 um, EN 10204 3.1 certificate with every lot.</v>
      </c>
      <c r="AK527" s="15" t="str">
        <f t="shared" si="21"/>
        <v>Electropolished stainless steel pipes supplied by Sakshi Forge to VERIFY plants at TSIIC Industrial Area, Nalgonda</v>
      </c>
      <c r="AL527" s="15" t="str">
        <f t="shared" si="22"/>
        <v>Electropolished SS 316L tube stock for Nalgonda - Sakshi Forge</v>
      </c>
      <c r="AM527" s="15" t="str">
        <f t="shared" si="23"/>
        <v>Home &gt; Market Area &gt; India &gt; Telangana &gt; Nalgonda</v>
      </c>
      <c r="AN527" s="15">
        <f t="shared" si="24"/>
        <v>1000</v>
      </c>
      <c r="AO527" s="15">
        <f t="shared" si="25"/>
        <v>8</v>
      </c>
      <c r="AP527" s="15">
        <f t="shared" si="26"/>
        <v>8</v>
      </c>
      <c r="AQ527" s="15">
        <f t="shared" si="27"/>
        <v>9</v>
      </c>
      <c r="AR527" s="31"/>
      <c r="AS527" s="31"/>
      <c r="AT527" s="35" t="s">
        <v>222</v>
      </c>
      <c r="AU527" s="35"/>
    </row>
    <row r="528" ht="15.75" customHeight="1">
      <c r="A528" s="15" t="s">
        <v>4004</v>
      </c>
      <c r="B528" s="15" t="s">
        <v>60</v>
      </c>
      <c r="C528" s="15" t="s">
        <v>958</v>
      </c>
      <c r="D528" s="15" t="s">
        <v>4005</v>
      </c>
      <c r="E528" s="15" t="s">
        <v>4005</v>
      </c>
      <c r="F528" s="65" t="s">
        <v>788</v>
      </c>
      <c r="G528" s="66" t="s">
        <v>98</v>
      </c>
      <c r="H528" s="18" t="s">
        <v>4007</v>
      </c>
      <c r="I528" s="18" t="s">
        <v>8403</v>
      </c>
      <c r="J528" s="18" t="s">
        <v>98</v>
      </c>
      <c r="K528" s="18" t="s">
        <v>98</v>
      </c>
      <c r="L528" s="18" t="s">
        <v>98</v>
      </c>
      <c r="M528" s="18" t="s">
        <v>98</v>
      </c>
      <c r="N528" s="18" t="s">
        <v>98</v>
      </c>
      <c r="O528" s="18" t="s">
        <v>98</v>
      </c>
      <c r="P528" s="15" t="str">
        <f t="shared" si="1"/>
        <v>VERIFY</v>
      </c>
      <c r="Q528" s="15">
        <f t="shared" si="2"/>
        <v>5</v>
      </c>
      <c r="R528" s="15">
        <f t="shared" si="3"/>
        <v>7</v>
      </c>
      <c r="S528" s="15">
        <f t="shared" si="4"/>
        <v>5</v>
      </c>
      <c r="T528" s="15" t="str">
        <f t="shared" si="5"/>
        <v>B-3</v>
      </c>
      <c r="U528" s="15" t="str">
        <f t="shared" si="6"/>
        <v>T5-M7-H5-FB-3-VERIFY</v>
      </c>
      <c r="V528" s="15">
        <f t="shared" si="7"/>
        <v>0</v>
      </c>
      <c r="W528" s="31"/>
      <c r="X528" s="15" t="str">
        <f t="shared" si="8"/>
        <v>namakkal</v>
      </c>
      <c r="Y528" s="32" t="str">
        <f t="shared" si="9"/>
        <v>https://steelmanufacturer.in/market-area/electropolished-pipes-manufacturer-in-namakkal/</v>
      </c>
      <c r="Z528" s="15" t="str">
        <f t="shared" si="10"/>
        <v>Electropolished Pipes Manufacturer in Namakkal</v>
      </c>
      <c r="AA528" s="15" t="str">
        <f t="shared" si="11"/>
        <v>OK (46)</v>
      </c>
      <c r="AB528" s="15" t="str">
        <f t="shared" si="12"/>
        <v>Electropolished pipes in Namakkal: 304, 304L, 316 and 316L in SF1-SF4. VERIFY. Mill certified.</v>
      </c>
      <c r="AC528" s="15" t="str">
        <f t="shared" si="13"/>
        <v>PENDING RESEARCH</v>
      </c>
      <c r="AD528" s="15" t="str">
        <f t="shared" si="14"/>
        <v>Electropolished Pipes Manufacturer in Namakkal</v>
      </c>
      <c r="AE528" s="15" t="str">
        <f t="shared" si="15"/>
        <v>Electropolished Tube Manufacturing Capability Serving Namakkal</v>
      </c>
      <c r="AF528" s="15" t="str">
        <f t="shared" si="16"/>
        <v>Electropolished Pipes Supplier in Namakkal - From Order to Delivery</v>
      </c>
      <c r="AG528" s="15" t="str">
        <f t="shared" si="17"/>
        <v>Stockist &amp; Wholesale Supply of Electropolished Pipes in Namakkal</v>
      </c>
      <c r="AH528" s="15" t="str">
        <f t="shared" si="18"/>
        <v>electropolished pipes manufacturer in Namakkal, electropolished pipes supplier in Namakkal, electropolished pipes wholesaler in Namakkal, electropolished tube manufacturer Namakkal, EP pipe supplier Namakkal, sanitary tube supplier Namakkal, ASME BPE tubing Namakkal, ASTM A270 tube Namakkal, SS 316L electropolished pipe Namakkal</v>
      </c>
      <c r="AI528" s="15" t="str">
        <f t="shared" si="19"/>
        <v>Electropolished Pipes Manufacturer &amp; Supplier in Namakkal</v>
      </c>
      <c r="AJ528" s="15" t="str">
        <f t="shared" si="20"/>
        <v>EP-finished SS 304/316L pipes and tubes for VERIFY plants in Namakkal. ASME BPE SF1-SF4, Ra from 0.25 um, EN 10204 3.1 certificate with every lot.</v>
      </c>
      <c r="AK528" s="15" t="str">
        <f t="shared" si="21"/>
        <v>Electropolished stainless steel pipes supplied by Sakshi Forge to VERIFY plants at SIPCOT Industrial Area, Namakkal</v>
      </c>
      <c r="AL528" s="15" t="str">
        <f t="shared" si="22"/>
        <v>Electropolished SS 316L tube stock for Namakkal - Sakshi Forge</v>
      </c>
      <c r="AM528" s="15" t="str">
        <f t="shared" si="23"/>
        <v>Home &gt; Market Area &gt; India &gt; Tamil Nadu &gt; Namakkal</v>
      </c>
      <c r="AN528" s="15">
        <f t="shared" si="24"/>
        <v>1000</v>
      </c>
      <c r="AO528" s="15">
        <f t="shared" si="25"/>
        <v>8</v>
      </c>
      <c r="AP528" s="15">
        <f t="shared" si="26"/>
        <v>8</v>
      </c>
      <c r="AQ528" s="15">
        <f t="shared" si="27"/>
        <v>9</v>
      </c>
      <c r="AR528" s="31"/>
      <c r="AS528" s="31"/>
      <c r="AT528" s="35" t="s">
        <v>222</v>
      </c>
      <c r="AU528" s="35"/>
    </row>
    <row r="529" ht="15.75" customHeight="1">
      <c r="A529" s="15" t="s">
        <v>4008</v>
      </c>
      <c r="B529" s="15" t="s">
        <v>60</v>
      </c>
      <c r="C529" s="15" t="s">
        <v>3253</v>
      </c>
      <c r="D529" s="15" t="s">
        <v>4009</v>
      </c>
      <c r="E529" s="15" t="s">
        <v>4009</v>
      </c>
      <c r="F529" s="65" t="s">
        <v>788</v>
      </c>
      <c r="G529" s="66" t="s">
        <v>98</v>
      </c>
      <c r="H529" s="18" t="s">
        <v>4011</v>
      </c>
      <c r="I529" s="18" t="s">
        <v>8418</v>
      </c>
      <c r="J529" s="18" t="s">
        <v>98</v>
      </c>
      <c r="K529" s="18" t="s">
        <v>98</v>
      </c>
      <c r="L529" s="18" t="s">
        <v>98</v>
      </c>
      <c r="M529" s="18" t="s">
        <v>98</v>
      </c>
      <c r="N529" s="18" t="s">
        <v>98</v>
      </c>
      <c r="O529" s="18" t="s">
        <v>98</v>
      </c>
      <c r="P529" s="15" t="str">
        <f t="shared" si="1"/>
        <v>VERIFY</v>
      </c>
      <c r="Q529" s="15">
        <f t="shared" si="2"/>
        <v>6</v>
      </c>
      <c r="R529" s="15">
        <f t="shared" si="3"/>
        <v>1</v>
      </c>
      <c r="S529" s="15">
        <f t="shared" si="4"/>
        <v>1</v>
      </c>
      <c r="T529" s="15" t="str">
        <f t="shared" si="5"/>
        <v>B-4</v>
      </c>
      <c r="U529" s="15" t="str">
        <f t="shared" si="6"/>
        <v>T6-M1-H1-FB-4-VERIFY</v>
      </c>
      <c r="V529" s="15">
        <f t="shared" si="7"/>
        <v>0</v>
      </c>
      <c r="W529" s="31"/>
      <c r="X529" s="15" t="str">
        <f t="shared" si="8"/>
        <v>namchi</v>
      </c>
      <c r="Y529" s="32" t="str">
        <f t="shared" si="9"/>
        <v>https://steelmanufacturer.in/market-area/electropolished-pipes-manufacturer-in-namchi/</v>
      </c>
      <c r="Z529" s="15" t="str">
        <f t="shared" si="10"/>
        <v>Electropolished Pipes Manufacturer in Namchi</v>
      </c>
      <c r="AA529" s="15" t="str">
        <f t="shared" si="11"/>
        <v>OK (44)</v>
      </c>
      <c r="AB529" s="15" t="str">
        <f t="shared" si="12"/>
        <v>EP-finished SS 304/316L pipes &amp; tubes for VERIFY plants in Namchi. ASTM A270, ASME BPE SF1-SF4, EN 10204 3.1 MTC. PMI tested.</v>
      </c>
      <c r="AC529" s="15" t="str">
        <f t="shared" si="13"/>
        <v>PENDING RESEARCH</v>
      </c>
      <c r="AD529" s="15" t="str">
        <f t="shared" si="14"/>
        <v>Electropolished Pipes Manufacturer in Namchi</v>
      </c>
      <c r="AE529" s="15" t="str">
        <f t="shared" si="15"/>
        <v>Electropolished Pipe &amp; Tube Manufacturing for Namchi - Grades, Finishes &amp; Certification</v>
      </c>
      <c r="AF529" s="15" t="str">
        <f t="shared" si="16"/>
        <v>Electropolished Pipes Supplier in Namchi - Stock Sizes, Lead Time &amp; Delivery</v>
      </c>
      <c r="AG529" s="15" t="str">
        <f t="shared" si="17"/>
        <v>Electropolished Pipes Wholesaler &amp; Stockist in Namchi - Bulk &amp; Project Pricing</v>
      </c>
      <c r="AH529" s="15" t="str">
        <f t="shared" si="18"/>
        <v>electropolished pipes manufacturer in Namchi, electropolished pipes supplier in Namchi, electropolished pipes wholesaler in Namchi, electropolished tube manufacturer Namchi, EP pipe supplier Namchi, sanitary tube supplier Namchi, ASME BPE tubing Namchi, ASTM A270 tube Namchi, SS 316L electropolished pipe Namchi</v>
      </c>
      <c r="AI529" s="15" t="str">
        <f t="shared" si="19"/>
        <v>Electropolished Pipes Manufacturer &amp; Supplier in Namchi</v>
      </c>
      <c r="AJ529" s="15" t="str">
        <f t="shared" si="20"/>
        <v>EP-finished SS 304/316L pipes and tubes for VERIFY plants in Namchi. ASME BPE SF1-SF4, Ra from 0.25 um, EN 10204 3.1 certificate with every lot.</v>
      </c>
      <c r="AK529" s="15" t="str">
        <f t="shared" si="21"/>
        <v>Electropolished stainless steel pipes supplied by Sakshi Forge to VERIFY plants at SIDICO Industrial Area, Namchi</v>
      </c>
      <c r="AL529" s="15" t="str">
        <f t="shared" si="22"/>
        <v>Electropolished SS 316L tube stock for Namchi - Sakshi Forge</v>
      </c>
      <c r="AM529" s="15" t="str">
        <f t="shared" si="23"/>
        <v>Home &gt; Market Area &gt; India &gt; Sikkim &gt; Namchi</v>
      </c>
      <c r="AN529" s="15">
        <f t="shared" si="24"/>
        <v>1000</v>
      </c>
      <c r="AO529" s="15">
        <f t="shared" si="25"/>
        <v>8</v>
      </c>
      <c r="AP529" s="15">
        <f t="shared" si="26"/>
        <v>8</v>
      </c>
      <c r="AQ529" s="15">
        <f t="shared" si="27"/>
        <v>9</v>
      </c>
      <c r="AR529" s="31"/>
      <c r="AS529" s="31"/>
      <c r="AT529" s="35" t="s">
        <v>222</v>
      </c>
      <c r="AU529" s="35"/>
    </row>
    <row r="530" ht="15.75" customHeight="1">
      <c r="A530" s="15" t="s">
        <v>4012</v>
      </c>
      <c r="B530" s="15" t="s">
        <v>60</v>
      </c>
      <c r="C530" s="15" t="s">
        <v>264</v>
      </c>
      <c r="D530" s="15" t="s">
        <v>4013</v>
      </c>
      <c r="E530" s="15" t="s">
        <v>4013</v>
      </c>
      <c r="F530" s="65" t="s">
        <v>788</v>
      </c>
      <c r="G530" s="66" t="s">
        <v>98</v>
      </c>
      <c r="H530" s="18" t="s">
        <v>4015</v>
      </c>
      <c r="I530" s="18" t="s">
        <v>8395</v>
      </c>
      <c r="J530" s="18" t="s">
        <v>98</v>
      </c>
      <c r="K530" s="18" t="s">
        <v>98</v>
      </c>
      <c r="L530" s="18" t="s">
        <v>98</v>
      </c>
      <c r="M530" s="18" t="s">
        <v>98</v>
      </c>
      <c r="N530" s="18" t="s">
        <v>98</v>
      </c>
      <c r="O530" s="18" t="s">
        <v>98</v>
      </c>
      <c r="P530" s="15" t="str">
        <f t="shared" si="1"/>
        <v>VERIFY</v>
      </c>
      <c r="Q530" s="15">
        <f t="shared" si="2"/>
        <v>7</v>
      </c>
      <c r="R530" s="15">
        <f t="shared" si="3"/>
        <v>2</v>
      </c>
      <c r="S530" s="15">
        <f t="shared" si="4"/>
        <v>2</v>
      </c>
      <c r="T530" s="15" t="str">
        <f t="shared" si="5"/>
        <v>B-5</v>
      </c>
      <c r="U530" s="15" t="str">
        <f t="shared" si="6"/>
        <v>T7-M2-H2-FB-5-VERIFY</v>
      </c>
      <c r="V530" s="15">
        <f t="shared" si="7"/>
        <v>0</v>
      </c>
      <c r="W530" s="31"/>
      <c r="X530" s="15" t="str">
        <f t="shared" si="8"/>
        <v>nanded</v>
      </c>
      <c r="Y530" s="32" t="str">
        <f t="shared" si="9"/>
        <v>https://steelmanufacturer.in/market-area/electropolished-pipes-manufacturer-in-nanded/</v>
      </c>
      <c r="Z530" s="15" t="str">
        <f t="shared" si="10"/>
        <v>Electropolished Pipes Manufacturer in Nanded | ASME BPE SF1-SF4</v>
      </c>
      <c r="AA530" s="15" t="str">
        <f t="shared" si="11"/>
        <v>OK (63)</v>
      </c>
      <c r="AB530" s="15" t="str">
        <f t="shared" si="12"/>
        <v>Electropolished tube supply to MIDC Industrial Area, Nanded. Ra from 0.25 um, SF4 finish, mill test certificate with every lot.</v>
      </c>
      <c r="AC530" s="15" t="str">
        <f t="shared" si="13"/>
        <v>PENDING RESEARCH</v>
      </c>
      <c r="AD530" s="15" t="str">
        <f t="shared" si="14"/>
        <v>Electropolished Pipes Manufacturer in Nanded</v>
      </c>
      <c r="AE530" s="15" t="str">
        <f t="shared" si="15"/>
        <v>How We Manufacture Electropolished Tube for Nanded Plants</v>
      </c>
      <c r="AF530" s="15" t="str">
        <f t="shared" si="16"/>
        <v>Supplying Electropolished Pipes in Nanded: Availability, Sizes &amp; Dispatch</v>
      </c>
      <c r="AG530" s="15" t="str">
        <f t="shared" si="17"/>
        <v>Wholesale Electropolished Pipe Supply for Nanded Projects</v>
      </c>
      <c r="AH530" s="15" t="str">
        <f t="shared" si="18"/>
        <v>electropolished pipes manufacturer in Nanded, electropolished pipes supplier in Nanded, electropolished pipes wholesaler in Nanded, electropolished tube manufacturer Nanded, EP pipe supplier Nanded, sanitary tube supplier Nanded, ASME BPE tubing Nanded, ASTM A270 tube Nanded, SS 316L electropolished pipe Nanded</v>
      </c>
      <c r="AI530" s="15" t="str">
        <f t="shared" si="19"/>
        <v>Electropolished Pipes Manufacturer &amp; Supplier in Nanded</v>
      </c>
      <c r="AJ530" s="15" t="str">
        <f t="shared" si="20"/>
        <v>EP-finished SS 304/316L pipes and tubes for VERIFY plants in Nanded. ASME BPE SF1-SF4, Ra from 0.25 um, EN 10204 3.1 certificate with every lot.</v>
      </c>
      <c r="AK530" s="15" t="str">
        <f t="shared" si="21"/>
        <v>Electropolished stainless steel pipes supplied by Sakshi Forge to VERIFY plants at MIDC Industrial Area, Nanded</v>
      </c>
      <c r="AL530" s="15" t="str">
        <f t="shared" si="22"/>
        <v>Electropolished SS 316L tube stock for Nanded - Sakshi Forge</v>
      </c>
      <c r="AM530" s="15" t="str">
        <f t="shared" si="23"/>
        <v>Home &gt; Market Area &gt; India &gt; Maharashtra &gt; Nanded</v>
      </c>
      <c r="AN530" s="15">
        <f t="shared" si="24"/>
        <v>1000</v>
      </c>
      <c r="AO530" s="15">
        <f t="shared" si="25"/>
        <v>8</v>
      </c>
      <c r="AP530" s="15">
        <f t="shared" si="26"/>
        <v>8</v>
      </c>
      <c r="AQ530" s="15">
        <f t="shared" si="27"/>
        <v>9</v>
      </c>
      <c r="AR530" s="31"/>
      <c r="AS530" s="31"/>
      <c r="AT530" s="35" t="s">
        <v>222</v>
      </c>
      <c r="AU530" s="35"/>
    </row>
    <row r="531" ht="15.75" customHeight="1">
      <c r="A531" s="15" t="s">
        <v>4018</v>
      </c>
      <c r="B531" s="15" t="s">
        <v>60</v>
      </c>
      <c r="C531" s="15" t="s">
        <v>264</v>
      </c>
      <c r="D531" s="15" t="s">
        <v>4021</v>
      </c>
      <c r="E531" s="15" t="s">
        <v>4021</v>
      </c>
      <c r="F531" s="65" t="s">
        <v>788</v>
      </c>
      <c r="G531" s="66" t="s">
        <v>98</v>
      </c>
      <c r="H531" s="18" t="s">
        <v>4023</v>
      </c>
      <c r="I531" s="18" t="s">
        <v>8395</v>
      </c>
      <c r="J531" s="18" t="s">
        <v>98</v>
      </c>
      <c r="K531" s="18" t="s">
        <v>98</v>
      </c>
      <c r="L531" s="18" t="s">
        <v>98</v>
      </c>
      <c r="M531" s="18" t="s">
        <v>98</v>
      </c>
      <c r="N531" s="18" t="s">
        <v>98</v>
      </c>
      <c r="O531" s="18" t="s">
        <v>98</v>
      </c>
      <c r="P531" s="15" t="str">
        <f t="shared" si="1"/>
        <v>VERIFY</v>
      </c>
      <c r="Q531" s="15">
        <f t="shared" si="2"/>
        <v>8</v>
      </c>
      <c r="R531" s="15">
        <f t="shared" si="3"/>
        <v>3</v>
      </c>
      <c r="S531" s="15">
        <f t="shared" si="4"/>
        <v>3</v>
      </c>
      <c r="T531" s="15" t="str">
        <f t="shared" si="5"/>
        <v>B-6</v>
      </c>
      <c r="U531" s="15" t="str">
        <f t="shared" si="6"/>
        <v>T8-M3-H3-FB-6-VERIFY</v>
      </c>
      <c r="V531" s="15">
        <f t="shared" si="7"/>
        <v>0</v>
      </c>
      <c r="W531" s="31"/>
      <c r="X531" s="15" t="str">
        <f t="shared" si="8"/>
        <v>nandurbar</v>
      </c>
      <c r="Y531" s="32" t="str">
        <f t="shared" si="9"/>
        <v>https://steelmanufacturer.in/market-area/electropolished-pipes-manufacturer-in-nandurbar/</v>
      </c>
      <c r="Z531" s="15" t="str">
        <f t="shared" si="10"/>
        <v>Electropolished Pipes Manufacturer in Nandurbar</v>
      </c>
      <c r="AA531" s="15" t="str">
        <f t="shared" si="11"/>
        <v>OK (47)</v>
      </c>
      <c r="AB531" s="15" t="str">
        <f t="shared" si="12"/>
        <v>EP stainless tube for VERIFY lines in Nandurbar. VERIFY. ASTM A270 S2, PMI tested, EN 10204 3.1.</v>
      </c>
      <c r="AC531" s="15" t="str">
        <f t="shared" si="13"/>
        <v>PENDING RESEARCH</v>
      </c>
      <c r="AD531" s="15" t="str">
        <f t="shared" si="14"/>
        <v>Electropolished Pipes Manufacturer in Nandurbar</v>
      </c>
      <c r="AE531" s="15" t="str">
        <f t="shared" si="15"/>
        <v>Electropolished Pipes Manufacturer in Nandurbar - Our Process &amp; Capability</v>
      </c>
      <c r="AF531" s="15" t="str">
        <f t="shared" si="16"/>
        <v>Electropolished Pipes Supplier in Nandurbar - What We Hold in Stock</v>
      </c>
      <c r="AG531" s="15" t="str">
        <f t="shared" si="17"/>
        <v>Bulk &amp; Wholesale Electropolished Pipe Rates for Nandurbar Buyers</v>
      </c>
      <c r="AH531" s="15" t="str">
        <f t="shared" si="18"/>
        <v>electropolished pipes manufacturer in Nandurbar, electropolished pipes supplier in Nandurbar, electropolished pipes wholesaler in Nandurbar, electropolished tube manufacturer Nandurbar, EP pipe supplier Nandurbar, sanitary tube supplier Nandurbar, ASME BPE tubing Nandurbar, ASTM A270 tube Nandurbar, SS 316L electropolished pipe Nandurbar</v>
      </c>
      <c r="AI531" s="15" t="str">
        <f t="shared" si="19"/>
        <v>Electropolished Pipes Manufacturer &amp; Supplier in Nandurbar</v>
      </c>
      <c r="AJ531" s="15" t="str">
        <f t="shared" si="20"/>
        <v>EP-finished SS 304/316L pipes and tubes for VERIFY plants in Nandurbar. ASME BPE SF1-SF4, Ra from 0.25 um, EN 10204 3.1 certificate with every lot.</v>
      </c>
      <c r="AK531" s="15" t="str">
        <f t="shared" si="21"/>
        <v>Electropolished stainless steel pipes supplied by Sakshi Forge to VERIFY plants at MIDC Industrial Area, Nandurbar</v>
      </c>
      <c r="AL531" s="15" t="str">
        <f t="shared" si="22"/>
        <v>Electropolished SS 316L tube stock for Nandurbar - Sakshi Forge</v>
      </c>
      <c r="AM531" s="15" t="str">
        <f t="shared" si="23"/>
        <v>Home &gt; Market Area &gt; India &gt; Maharashtra &gt; Nandurbar</v>
      </c>
      <c r="AN531" s="15">
        <f t="shared" si="24"/>
        <v>1000</v>
      </c>
      <c r="AO531" s="15">
        <f t="shared" si="25"/>
        <v>8</v>
      </c>
      <c r="AP531" s="15">
        <f t="shared" si="26"/>
        <v>8</v>
      </c>
      <c r="AQ531" s="15">
        <f t="shared" si="27"/>
        <v>9</v>
      </c>
      <c r="AR531" s="31"/>
      <c r="AS531" s="31"/>
      <c r="AT531" s="35" t="s">
        <v>222</v>
      </c>
      <c r="AU531" s="35"/>
    </row>
    <row r="532" ht="15.75" customHeight="1">
      <c r="A532" s="15" t="s">
        <v>4024</v>
      </c>
      <c r="B532" s="15" t="s">
        <v>60</v>
      </c>
      <c r="C532" s="15" t="s">
        <v>413</v>
      </c>
      <c r="D532" s="15" t="s">
        <v>4025</v>
      </c>
      <c r="E532" s="15" t="s">
        <v>4025</v>
      </c>
      <c r="F532" s="65" t="s">
        <v>788</v>
      </c>
      <c r="G532" s="66" t="s">
        <v>98</v>
      </c>
      <c r="H532" s="18" t="s">
        <v>4027</v>
      </c>
      <c r="I532" s="18" t="s">
        <v>8393</v>
      </c>
      <c r="J532" s="18" t="s">
        <v>98</v>
      </c>
      <c r="K532" s="18" t="s">
        <v>98</v>
      </c>
      <c r="L532" s="18" t="s">
        <v>98</v>
      </c>
      <c r="M532" s="18" t="s">
        <v>98</v>
      </c>
      <c r="N532" s="18" t="s">
        <v>98</v>
      </c>
      <c r="O532" s="18" t="s">
        <v>98</v>
      </c>
      <c r="P532" s="15" t="str">
        <f t="shared" si="1"/>
        <v>VERIFY</v>
      </c>
      <c r="Q532" s="15">
        <f t="shared" si="2"/>
        <v>1</v>
      </c>
      <c r="R532" s="15">
        <f t="shared" si="3"/>
        <v>4</v>
      </c>
      <c r="S532" s="15">
        <f t="shared" si="4"/>
        <v>4</v>
      </c>
      <c r="T532" s="15" t="str">
        <f t="shared" si="5"/>
        <v>B-1</v>
      </c>
      <c r="U532" s="15" t="str">
        <f t="shared" si="6"/>
        <v>T1-M4-H4-FB-1-VERIFY</v>
      </c>
      <c r="V532" s="15">
        <f t="shared" si="7"/>
        <v>0</v>
      </c>
      <c r="W532" s="31"/>
      <c r="X532" s="15" t="str">
        <f t="shared" si="8"/>
        <v>nandyal</v>
      </c>
      <c r="Y532" s="32" t="str">
        <f t="shared" si="9"/>
        <v>https://steelmanufacturer.in/market-area/electropolished-pipes-manufacturer-in-nandyal/</v>
      </c>
      <c r="Z532" s="15" t="str">
        <f t="shared" si="10"/>
        <v>Electropolished Pipes Manufacturer in Nandyal | Sakshi Forge</v>
      </c>
      <c r="AA532" s="15" t="str">
        <f t="shared" si="11"/>
        <v>OK (60)</v>
      </c>
      <c r="AB532" s="15" t="str">
        <f t="shared" si="12"/>
        <v>Sanitary electropolished pipes in Nandyal for VERIFY plants. ASME BPE SF1-SF4, orbital-weld ready, 3.1 MTC. Mumbai-made.</v>
      </c>
      <c r="AC532" s="15" t="str">
        <f t="shared" si="13"/>
        <v>PENDING RESEARCH</v>
      </c>
      <c r="AD532" s="15" t="str">
        <f t="shared" si="14"/>
        <v>Electropolished Pipes Manufacturer in Nandyal</v>
      </c>
      <c r="AE532" s="15" t="str">
        <f t="shared" si="15"/>
        <v>Manufacturing Electropolished SS Tube for Nandyal: The Standards We Build To</v>
      </c>
      <c r="AF532" s="15" t="str">
        <f t="shared" si="16"/>
        <v>Electropolished Pipe Supply Into Nandyal - Certification &amp; Transit</v>
      </c>
      <c r="AG532" s="15" t="str">
        <f t="shared" si="17"/>
        <v>Electropolished Pipes Wholesaler in Nandyal - Project Quantities &amp; Terms</v>
      </c>
      <c r="AH532" s="15" t="str">
        <f t="shared" si="18"/>
        <v>electropolished pipes manufacturer in Nandyal, electropolished pipes supplier in Nandyal, electropolished pipes wholesaler in Nandyal, electropolished tube manufacturer Nandyal, EP pipe supplier Nandyal, sanitary tube supplier Nandyal, ASME BPE tubing Nandyal, ASTM A270 tube Nandyal, SS 316L electropolished pipe Nandyal</v>
      </c>
      <c r="AI532" s="15" t="str">
        <f t="shared" si="19"/>
        <v>Electropolished Pipes Manufacturer &amp; Supplier in Nandyal</v>
      </c>
      <c r="AJ532" s="15" t="str">
        <f t="shared" si="20"/>
        <v>EP-finished SS 304/316L pipes and tubes for VERIFY plants in Nandyal. ASME BPE SF1-SF4, Ra from 0.25 um, EN 10204 3.1 certificate with every lot.</v>
      </c>
      <c r="AK532" s="15" t="str">
        <f t="shared" si="21"/>
        <v>Electropolished stainless steel pipes supplied by Sakshi Forge to VERIFY plants at APIIC Industrial Area, Nandyal</v>
      </c>
      <c r="AL532" s="15" t="str">
        <f t="shared" si="22"/>
        <v>Electropolished SS 316L tube stock for Nandyal - Sakshi Forge</v>
      </c>
      <c r="AM532" s="15" t="str">
        <f t="shared" si="23"/>
        <v>Home &gt; Market Area &gt; India &gt; Andhra Pradesh &gt; Nandyal</v>
      </c>
      <c r="AN532" s="15">
        <f t="shared" si="24"/>
        <v>1000</v>
      </c>
      <c r="AO532" s="15">
        <f t="shared" si="25"/>
        <v>8</v>
      </c>
      <c r="AP532" s="15">
        <f t="shared" si="26"/>
        <v>8</v>
      </c>
      <c r="AQ532" s="15">
        <f t="shared" si="27"/>
        <v>9</v>
      </c>
      <c r="AR532" s="31"/>
      <c r="AS532" s="31"/>
      <c r="AT532" s="35" t="s">
        <v>222</v>
      </c>
      <c r="AU532" s="35"/>
    </row>
    <row r="533" ht="15.75" customHeight="1">
      <c r="A533" s="15" t="s">
        <v>4028</v>
      </c>
      <c r="B533" s="15" t="s">
        <v>60</v>
      </c>
      <c r="C533" s="15" t="s">
        <v>413</v>
      </c>
      <c r="D533" s="15" t="s">
        <v>4029</v>
      </c>
      <c r="E533" s="15" t="s">
        <v>4029</v>
      </c>
      <c r="F533" s="65" t="s">
        <v>788</v>
      </c>
      <c r="G533" s="66" t="s">
        <v>98</v>
      </c>
      <c r="H533" s="18" t="s">
        <v>4031</v>
      </c>
      <c r="I533" s="18" t="s">
        <v>8393</v>
      </c>
      <c r="J533" s="18" t="s">
        <v>98</v>
      </c>
      <c r="K533" s="18" t="s">
        <v>98</v>
      </c>
      <c r="L533" s="18" t="s">
        <v>98</v>
      </c>
      <c r="M533" s="18" t="s">
        <v>98</v>
      </c>
      <c r="N533" s="18" t="s">
        <v>98</v>
      </c>
      <c r="O533" s="18" t="s">
        <v>98</v>
      </c>
      <c r="P533" s="15" t="str">
        <f t="shared" si="1"/>
        <v>VERIFY</v>
      </c>
      <c r="Q533" s="15">
        <f t="shared" si="2"/>
        <v>2</v>
      </c>
      <c r="R533" s="15">
        <f t="shared" si="3"/>
        <v>5</v>
      </c>
      <c r="S533" s="15">
        <f t="shared" si="4"/>
        <v>5</v>
      </c>
      <c r="T533" s="15" t="str">
        <f t="shared" si="5"/>
        <v>B-2</v>
      </c>
      <c r="U533" s="15" t="str">
        <f t="shared" si="6"/>
        <v>T2-M5-H5-FB-2-VERIFY</v>
      </c>
      <c r="V533" s="15">
        <f t="shared" si="7"/>
        <v>0</v>
      </c>
      <c r="W533" s="31"/>
      <c r="X533" s="15" t="str">
        <f t="shared" si="8"/>
        <v>narasaraopet</v>
      </c>
      <c r="Y533" s="32" t="str">
        <f t="shared" si="9"/>
        <v>https://steelmanufacturer.in/market-area/electropolished-pipes-manufacturer-in-narasaraopet/</v>
      </c>
      <c r="Z533" s="15" t="str">
        <f t="shared" si="10"/>
        <v>Electropolished Pipes Manufacturer in Narasaraopet</v>
      </c>
      <c r="AA533" s="15" t="str">
        <f t="shared" si="11"/>
        <v>OK (50)</v>
      </c>
      <c r="AB533" s="15" t="str">
        <f t="shared" si="12"/>
        <v>Manufacturer of electropolished SS 316L tube serving Narasaraopet. VERIFY. Ra 0.25-0.5 um, EN 10204 3.1 MTC.</v>
      </c>
      <c r="AC533" s="15" t="str">
        <f t="shared" si="13"/>
        <v>PENDING RESEARCH</v>
      </c>
      <c r="AD533" s="15" t="str">
        <f t="shared" si="14"/>
        <v>Electropolished Pipes Manufacturer in Narasaraopet</v>
      </c>
      <c r="AE533" s="15" t="str">
        <f t="shared" si="15"/>
        <v>Electropolished Tube Manufacturing Capability Serving Narasaraopet</v>
      </c>
      <c r="AF533" s="15" t="str">
        <f t="shared" si="16"/>
        <v>Electropolished Pipes Supplier in Narasaraopet - From Order to Delivery</v>
      </c>
      <c r="AG533" s="15" t="str">
        <f t="shared" si="17"/>
        <v>Stockist &amp; Wholesale Supply of Electropolished Pipes in Narasaraopet</v>
      </c>
      <c r="AH533" s="15" t="str">
        <f t="shared" si="18"/>
        <v>electropolished pipes manufacturer in Narasaraopet, electropolished pipes supplier in Narasaraopet, electropolished pipes wholesaler in Narasaraopet, electropolished tube manufacturer Narasaraopet, EP pipe supplier Narasaraopet, sanitary tube supplier Narasaraopet, ASME BPE tubing Narasaraopet, ASTM A270 tube Narasaraopet, SS 316L electropolished pipe Narasaraopet</v>
      </c>
      <c r="AI533" s="15" t="str">
        <f t="shared" si="19"/>
        <v>Electropolished Pipes Manufacturer &amp; Supplier in Narasaraopet</v>
      </c>
      <c r="AJ533" s="15" t="str">
        <f t="shared" si="20"/>
        <v>EP-finished SS 304/316L pipes and tubes for VERIFY plants in Narasaraopet. ASME BPE SF1-SF4, Ra from 0.25 um, EN 10204 3.1 certificate with every lot.</v>
      </c>
      <c r="AK533" s="15" t="str">
        <f t="shared" si="21"/>
        <v>Electropolished stainless steel pipes supplied by Sakshi Forge to VERIFY plants at APIIC Industrial Area, Narasaraopet</v>
      </c>
      <c r="AL533" s="15" t="str">
        <f t="shared" si="22"/>
        <v>Electropolished SS 316L tube stock for Narasaraopet - Sakshi Forge</v>
      </c>
      <c r="AM533" s="15" t="str">
        <f t="shared" si="23"/>
        <v>Home &gt; Market Area &gt; India &gt; Andhra Pradesh &gt; Narasaraopet</v>
      </c>
      <c r="AN533" s="15">
        <f t="shared" si="24"/>
        <v>1000</v>
      </c>
      <c r="AO533" s="15">
        <f t="shared" si="25"/>
        <v>8</v>
      </c>
      <c r="AP533" s="15">
        <f t="shared" si="26"/>
        <v>8</v>
      </c>
      <c r="AQ533" s="15">
        <f t="shared" si="27"/>
        <v>9</v>
      </c>
      <c r="AR533" s="31"/>
      <c r="AS533" s="31"/>
      <c r="AT533" s="35" t="s">
        <v>222</v>
      </c>
      <c r="AU533" s="35"/>
    </row>
    <row r="534" ht="15.75" customHeight="1">
      <c r="A534" s="15" t="s">
        <v>4032</v>
      </c>
      <c r="B534" s="15" t="s">
        <v>60</v>
      </c>
      <c r="C534" s="15" t="s">
        <v>2202</v>
      </c>
      <c r="D534" s="15" t="s">
        <v>4033</v>
      </c>
      <c r="E534" s="15" t="s">
        <v>4033</v>
      </c>
      <c r="F534" s="65" t="s">
        <v>788</v>
      </c>
      <c r="G534" s="66" t="s">
        <v>98</v>
      </c>
      <c r="H534" s="18" t="s">
        <v>4035</v>
      </c>
      <c r="I534" s="18" t="s">
        <v>8409</v>
      </c>
      <c r="J534" s="18" t="s">
        <v>98</v>
      </c>
      <c r="K534" s="18" t="s">
        <v>98</v>
      </c>
      <c r="L534" s="18" t="s">
        <v>98</v>
      </c>
      <c r="M534" s="18" t="s">
        <v>98</v>
      </c>
      <c r="N534" s="18" t="s">
        <v>98</v>
      </c>
      <c r="O534" s="18" t="s">
        <v>98</v>
      </c>
      <c r="P534" s="15" t="str">
        <f t="shared" si="1"/>
        <v>VERIFY</v>
      </c>
      <c r="Q534" s="15">
        <f t="shared" si="2"/>
        <v>3</v>
      </c>
      <c r="R534" s="15">
        <f t="shared" si="3"/>
        <v>6</v>
      </c>
      <c r="S534" s="15">
        <f t="shared" si="4"/>
        <v>1</v>
      </c>
      <c r="T534" s="15" t="str">
        <f t="shared" si="5"/>
        <v>B-3</v>
      </c>
      <c r="U534" s="15" t="str">
        <f t="shared" si="6"/>
        <v>T3-M6-H1-FB-3-VERIFY</v>
      </c>
      <c r="V534" s="15">
        <f t="shared" si="7"/>
        <v>0</v>
      </c>
      <c r="W534" s="31"/>
      <c r="X534" s="15" t="str">
        <f t="shared" si="8"/>
        <v>narela</v>
      </c>
      <c r="Y534" s="32" t="str">
        <f t="shared" si="9"/>
        <v>https://steelmanufacturer.in/market-area/electropolished-pipes-manufacturer-in-narela/</v>
      </c>
      <c r="Z534" s="15" t="str">
        <f t="shared" si="10"/>
        <v>Electropolished Pipes Manufacturer in Narela | EP Tube Supplier</v>
      </c>
      <c r="AA534" s="15" t="str">
        <f t="shared" si="11"/>
        <v>OK (63)</v>
      </c>
      <c r="AB534" s="15" t="str">
        <f t="shared" si="12"/>
        <v>EP tube and pipe for VERIFY plants around DSIIDC Industrial Area, Narela. Made at our Mumbai works to ASTM A270 and ASME BPE SF1-SF4, with 3.1 MTC.</v>
      </c>
      <c r="AC534" s="15" t="str">
        <f t="shared" si="13"/>
        <v>PENDING RESEARCH</v>
      </c>
      <c r="AD534" s="15" t="str">
        <f t="shared" si="14"/>
        <v>Electropolished Pipes Manufacturer in Narela</v>
      </c>
      <c r="AE534" s="15" t="str">
        <f t="shared" si="15"/>
        <v>Electropolished Pipe &amp; Tube Manufacturing for Narela - Grades, Finishes &amp; Certification</v>
      </c>
      <c r="AF534" s="15" t="str">
        <f t="shared" si="16"/>
        <v>Electropolished Pipes Supplier in Narela - Stock Sizes, Lead Time &amp; Delivery</v>
      </c>
      <c r="AG534" s="15" t="str">
        <f t="shared" si="17"/>
        <v>Electropolished Pipes Wholesaler &amp; Stockist in Narela - Bulk &amp; Project Pricing</v>
      </c>
      <c r="AH534" s="15" t="str">
        <f t="shared" si="18"/>
        <v>electropolished pipes manufacturer in Narela, electropolished pipes supplier in Narela, electropolished pipes wholesaler in Narela, electropolished tube manufacturer Narela, EP pipe supplier Narela, sanitary tube supplier Narela, ASME BPE tubing Narela, ASTM A270 tube Narela, SS 316L electropolished pipe Narela</v>
      </c>
      <c r="AI534" s="15" t="str">
        <f t="shared" si="19"/>
        <v>Electropolished Pipes Manufacturer &amp; Supplier in Narela</v>
      </c>
      <c r="AJ534" s="15" t="str">
        <f t="shared" si="20"/>
        <v>EP-finished SS 304/316L pipes and tubes for VERIFY plants in Narela. ASME BPE SF1-SF4, Ra from 0.25 um, EN 10204 3.1 certificate with every lot.</v>
      </c>
      <c r="AK534" s="15" t="str">
        <f t="shared" si="21"/>
        <v>Electropolished stainless steel pipes supplied by Sakshi Forge to VERIFY plants at DSIIDC Industrial Area, Narela</v>
      </c>
      <c r="AL534" s="15" t="str">
        <f t="shared" si="22"/>
        <v>Electropolished SS 316L tube stock for Narela - Sakshi Forge</v>
      </c>
      <c r="AM534" s="15" t="str">
        <f t="shared" si="23"/>
        <v>Home &gt; Market Area &gt; India &gt; Delhi &gt; Narela</v>
      </c>
      <c r="AN534" s="15">
        <f t="shared" si="24"/>
        <v>1000</v>
      </c>
      <c r="AO534" s="15">
        <f t="shared" si="25"/>
        <v>8</v>
      </c>
      <c r="AP534" s="15">
        <f t="shared" si="26"/>
        <v>8</v>
      </c>
      <c r="AQ534" s="15">
        <f t="shared" si="27"/>
        <v>9</v>
      </c>
      <c r="AR534" s="31"/>
      <c r="AS534" s="31"/>
      <c r="AT534" s="35" t="s">
        <v>222</v>
      </c>
      <c r="AU534" s="35"/>
    </row>
    <row r="535" ht="15.75" customHeight="1">
      <c r="A535" s="15" t="s">
        <v>4036</v>
      </c>
      <c r="B535" s="15" t="s">
        <v>60</v>
      </c>
      <c r="C535" s="15" t="s">
        <v>245</v>
      </c>
      <c r="D535" s="15" t="s">
        <v>4037</v>
      </c>
      <c r="E535" s="15" t="s">
        <v>4037</v>
      </c>
      <c r="F535" s="65" t="s">
        <v>788</v>
      </c>
      <c r="G535" s="66" t="s">
        <v>98</v>
      </c>
      <c r="H535" s="18" t="s">
        <v>4039</v>
      </c>
      <c r="I535" s="18" t="s">
        <v>8407</v>
      </c>
      <c r="J535" s="18" t="s">
        <v>98</v>
      </c>
      <c r="K535" s="18" t="s">
        <v>98</v>
      </c>
      <c r="L535" s="18" t="s">
        <v>98</v>
      </c>
      <c r="M535" s="18" t="s">
        <v>98</v>
      </c>
      <c r="N535" s="18" t="s">
        <v>98</v>
      </c>
      <c r="O535" s="18" t="s">
        <v>98</v>
      </c>
      <c r="P535" s="15" t="str">
        <f t="shared" si="1"/>
        <v>VERIFY</v>
      </c>
      <c r="Q535" s="15">
        <f t="shared" si="2"/>
        <v>4</v>
      </c>
      <c r="R535" s="15">
        <f t="shared" si="3"/>
        <v>7</v>
      </c>
      <c r="S535" s="15">
        <f t="shared" si="4"/>
        <v>2</v>
      </c>
      <c r="T535" s="15" t="str">
        <f t="shared" si="5"/>
        <v>B-4</v>
      </c>
      <c r="U535" s="15" t="str">
        <f t="shared" si="6"/>
        <v>T4-M7-H2-FB-4-VERIFY</v>
      </c>
      <c r="V535" s="15">
        <f t="shared" si="7"/>
        <v>0</v>
      </c>
      <c r="W535" s="31"/>
      <c r="X535" s="15" t="str">
        <f t="shared" si="8"/>
        <v>narnaul</v>
      </c>
      <c r="Y535" s="32" t="str">
        <f t="shared" si="9"/>
        <v>https://steelmanufacturer.in/market-area/electropolished-pipes-manufacturer-in-narnaul/</v>
      </c>
      <c r="Z535" s="15" t="str">
        <f t="shared" si="10"/>
        <v>Electropolished Pipes Manufacturer in Narnaul</v>
      </c>
      <c r="AA535" s="15" t="str">
        <f t="shared" si="11"/>
        <v>OK (45)</v>
      </c>
      <c r="AB535" s="15" t="str">
        <f t="shared" si="12"/>
        <v>Electropolished pipes in Narnaul: 304, 304L, 316 and 316L in SF1-SF4. VERIFY. Mill certified.</v>
      </c>
      <c r="AC535" s="15" t="str">
        <f t="shared" si="13"/>
        <v>PENDING RESEARCH</v>
      </c>
      <c r="AD535" s="15" t="str">
        <f t="shared" si="14"/>
        <v>Electropolished Pipes Manufacturer in Narnaul</v>
      </c>
      <c r="AE535" s="15" t="str">
        <f t="shared" si="15"/>
        <v>How We Manufacture Electropolished Tube for Narnaul Plants</v>
      </c>
      <c r="AF535" s="15" t="str">
        <f t="shared" si="16"/>
        <v>Supplying Electropolished Pipes in Narnaul: Availability, Sizes &amp; Dispatch</v>
      </c>
      <c r="AG535" s="15" t="str">
        <f t="shared" si="17"/>
        <v>Wholesale Electropolished Pipe Supply for Narnaul Projects</v>
      </c>
      <c r="AH535" s="15" t="str">
        <f t="shared" si="18"/>
        <v>electropolished pipes manufacturer in Narnaul, electropolished pipes supplier in Narnaul, electropolished pipes wholesaler in Narnaul, electropolished tube manufacturer Narnaul, EP pipe supplier Narnaul, sanitary tube supplier Narnaul, ASME BPE tubing Narnaul, ASTM A270 tube Narnaul, SS 316L electropolished pipe Narnaul</v>
      </c>
      <c r="AI535" s="15" t="str">
        <f t="shared" si="19"/>
        <v>Electropolished Pipes Manufacturer &amp; Supplier in Narnaul</v>
      </c>
      <c r="AJ535" s="15" t="str">
        <f t="shared" si="20"/>
        <v>EP-finished SS 304/316L pipes and tubes for VERIFY plants in Narnaul. ASME BPE SF1-SF4, Ra from 0.25 um, EN 10204 3.1 certificate with every lot.</v>
      </c>
      <c r="AK535" s="15" t="str">
        <f t="shared" si="21"/>
        <v>Electropolished stainless steel pipes supplied by Sakshi Forge to VERIFY plants at HSIIDC Industrial Area, Narnaul</v>
      </c>
      <c r="AL535" s="15" t="str">
        <f t="shared" si="22"/>
        <v>Electropolished SS 316L tube stock for Narnaul - Sakshi Forge</v>
      </c>
      <c r="AM535" s="15" t="str">
        <f t="shared" si="23"/>
        <v>Home &gt; Market Area &gt; India &gt; Haryana &gt; Narnaul</v>
      </c>
      <c r="AN535" s="15">
        <f t="shared" si="24"/>
        <v>1000</v>
      </c>
      <c r="AO535" s="15">
        <f t="shared" si="25"/>
        <v>8</v>
      </c>
      <c r="AP535" s="15">
        <f t="shared" si="26"/>
        <v>8</v>
      </c>
      <c r="AQ535" s="15">
        <f t="shared" si="27"/>
        <v>9</v>
      </c>
      <c r="AR535" s="31"/>
      <c r="AS535" s="31"/>
      <c r="AT535" s="35" t="s">
        <v>222</v>
      </c>
      <c r="AU535" s="35"/>
    </row>
    <row r="536" ht="15.75" customHeight="1">
      <c r="A536" s="15" t="s">
        <v>4040</v>
      </c>
      <c r="B536" s="15" t="s">
        <v>60</v>
      </c>
      <c r="C536" s="15" t="s">
        <v>224</v>
      </c>
      <c r="D536" s="15" t="s">
        <v>4043</v>
      </c>
      <c r="E536" s="15" t="s">
        <v>4043</v>
      </c>
      <c r="F536" s="65" t="s">
        <v>788</v>
      </c>
      <c r="G536" s="66" t="s">
        <v>98</v>
      </c>
      <c r="H536" s="18" t="s">
        <v>4047</v>
      </c>
      <c r="I536" s="18" t="s">
        <v>8400</v>
      </c>
      <c r="J536" s="18" t="s">
        <v>98</v>
      </c>
      <c r="K536" s="18" t="s">
        <v>98</v>
      </c>
      <c r="L536" s="18" t="s">
        <v>98</v>
      </c>
      <c r="M536" s="18" t="s">
        <v>98</v>
      </c>
      <c r="N536" s="18" t="s">
        <v>98</v>
      </c>
      <c r="O536" s="18" t="s">
        <v>98</v>
      </c>
      <c r="P536" s="15" t="str">
        <f t="shared" si="1"/>
        <v>VERIFY</v>
      </c>
      <c r="Q536" s="15">
        <f t="shared" si="2"/>
        <v>5</v>
      </c>
      <c r="R536" s="15">
        <f t="shared" si="3"/>
        <v>1</v>
      </c>
      <c r="S536" s="15">
        <f t="shared" si="4"/>
        <v>3</v>
      </c>
      <c r="T536" s="15" t="str">
        <f t="shared" si="5"/>
        <v>B-5</v>
      </c>
      <c r="U536" s="15" t="str">
        <f t="shared" si="6"/>
        <v>T5-M1-H3-FB-5-VERIFY</v>
      </c>
      <c r="V536" s="15">
        <f t="shared" si="7"/>
        <v>0</v>
      </c>
      <c r="W536" s="31"/>
      <c r="X536" s="15" t="str">
        <f t="shared" si="8"/>
        <v>navsari</v>
      </c>
      <c r="Y536" s="32" t="str">
        <f t="shared" si="9"/>
        <v>https://steelmanufacturer.in/market-area/electropolished-pipes-manufacturer-in-navsari/</v>
      </c>
      <c r="Z536" s="15" t="str">
        <f t="shared" si="10"/>
        <v>Electropolished Pipes Manufacturer in Navsari</v>
      </c>
      <c r="AA536" s="15" t="str">
        <f t="shared" si="11"/>
        <v>OK (45)</v>
      </c>
      <c r="AB536" s="15" t="str">
        <f t="shared" si="12"/>
        <v>EP-finished SS 304/316L pipes &amp; tubes for VERIFY plants in Navsari. ASTM A270, ASME BPE SF1-SF4, EN 10204 3.1 MTC. PMI tested.</v>
      </c>
      <c r="AC536" s="15" t="str">
        <f t="shared" si="13"/>
        <v>PENDING RESEARCH</v>
      </c>
      <c r="AD536" s="15" t="str">
        <f t="shared" si="14"/>
        <v>Electropolished Pipes Manufacturer in Navsari</v>
      </c>
      <c r="AE536" s="15" t="str">
        <f t="shared" si="15"/>
        <v>Electropolished Pipes Manufacturer in Navsari - Our Process &amp; Capability</v>
      </c>
      <c r="AF536" s="15" t="str">
        <f t="shared" si="16"/>
        <v>Electropolished Pipes Supplier in Navsari - What We Hold in Stock</v>
      </c>
      <c r="AG536" s="15" t="str">
        <f t="shared" si="17"/>
        <v>Bulk &amp; Wholesale Electropolished Pipe Rates for Navsari Buyers</v>
      </c>
      <c r="AH536" s="15" t="str">
        <f t="shared" si="18"/>
        <v>electropolished pipes manufacturer in Navsari, electropolished pipes supplier in Navsari, electropolished pipes wholesaler in Navsari, electropolished tube manufacturer Navsari, EP pipe supplier Navsari, sanitary tube supplier Navsari, ASME BPE tubing Navsari, ASTM A270 tube Navsari, SS 316L electropolished pipe Navsari</v>
      </c>
      <c r="AI536" s="15" t="str">
        <f t="shared" si="19"/>
        <v>Electropolished Pipes Manufacturer &amp; Supplier in Navsari</v>
      </c>
      <c r="AJ536" s="15" t="str">
        <f t="shared" si="20"/>
        <v>EP-finished SS 304/316L pipes and tubes for VERIFY plants in Navsari. ASME BPE SF1-SF4, Ra from 0.25 um, EN 10204 3.1 certificate with every lot.</v>
      </c>
      <c r="AK536" s="15" t="str">
        <f t="shared" si="21"/>
        <v>Electropolished stainless steel pipes supplied by Sakshi Forge to VERIFY plants at GIDC Industrial Area, Navsari</v>
      </c>
      <c r="AL536" s="15" t="str">
        <f t="shared" si="22"/>
        <v>Electropolished SS 316L tube stock for Navsari - Sakshi Forge</v>
      </c>
      <c r="AM536" s="15" t="str">
        <f t="shared" si="23"/>
        <v>Home &gt; Market Area &gt; India &gt; Gujarat &gt; Navsari</v>
      </c>
      <c r="AN536" s="15">
        <f t="shared" si="24"/>
        <v>1000</v>
      </c>
      <c r="AO536" s="15">
        <f t="shared" si="25"/>
        <v>8</v>
      </c>
      <c r="AP536" s="15">
        <f t="shared" si="26"/>
        <v>8</v>
      </c>
      <c r="AQ536" s="15">
        <f t="shared" si="27"/>
        <v>9</v>
      </c>
      <c r="AR536" s="31"/>
      <c r="AS536" s="31"/>
      <c r="AT536" s="35" t="s">
        <v>222</v>
      </c>
      <c r="AU536" s="35"/>
    </row>
    <row r="537" ht="15.75" customHeight="1">
      <c r="A537" s="15" t="s">
        <v>4049</v>
      </c>
      <c r="B537" s="15" t="s">
        <v>60</v>
      </c>
      <c r="C537" s="15" t="s">
        <v>354</v>
      </c>
      <c r="D537" s="15" t="s">
        <v>4050</v>
      </c>
      <c r="E537" s="15" t="s">
        <v>4050</v>
      </c>
      <c r="F537" s="65" t="s">
        <v>788</v>
      </c>
      <c r="G537" s="66" t="s">
        <v>98</v>
      </c>
      <c r="H537" s="18" t="s">
        <v>4052</v>
      </c>
      <c r="I537" s="18" t="s">
        <v>8408</v>
      </c>
      <c r="J537" s="18" t="s">
        <v>98</v>
      </c>
      <c r="K537" s="18" t="s">
        <v>98</v>
      </c>
      <c r="L537" s="18" t="s">
        <v>98</v>
      </c>
      <c r="M537" s="18" t="s">
        <v>98</v>
      </c>
      <c r="N537" s="18" t="s">
        <v>98</v>
      </c>
      <c r="O537" s="18" t="s">
        <v>98</v>
      </c>
      <c r="P537" s="15" t="str">
        <f t="shared" si="1"/>
        <v>VERIFY</v>
      </c>
      <c r="Q537" s="15">
        <f t="shared" si="2"/>
        <v>6</v>
      </c>
      <c r="R537" s="15">
        <f t="shared" si="3"/>
        <v>2</v>
      </c>
      <c r="S537" s="15">
        <f t="shared" si="4"/>
        <v>4</v>
      </c>
      <c r="T537" s="15" t="str">
        <f t="shared" si="5"/>
        <v>B-6</v>
      </c>
      <c r="U537" s="15" t="str">
        <f t="shared" si="6"/>
        <v>T6-M2-H4-FB-6-VERIFY</v>
      </c>
      <c r="V537" s="15">
        <f t="shared" si="7"/>
        <v>0</v>
      </c>
      <c r="W537" s="31"/>
      <c r="X537" s="15" t="str">
        <f t="shared" si="8"/>
        <v>nawanshahr</v>
      </c>
      <c r="Y537" s="32" t="str">
        <f t="shared" si="9"/>
        <v>https://steelmanufacturer.in/market-area/electropolished-pipes-manufacturer-in-nawanshahr/</v>
      </c>
      <c r="Z537" s="15" t="str">
        <f t="shared" si="10"/>
        <v>Electropolished Pipes Manufacturer in Nawanshahr</v>
      </c>
      <c r="AA537" s="15" t="str">
        <f t="shared" si="11"/>
        <v>OK (48)</v>
      </c>
      <c r="AB537" s="15" t="str">
        <f t="shared" si="12"/>
        <v>Electropolished tube supply to PSIEC Industrial Area, Nawanshahr. Ra from 0.25 um, SF4 finish, mill test certificate with every lot.</v>
      </c>
      <c r="AC537" s="15" t="str">
        <f t="shared" si="13"/>
        <v>PENDING RESEARCH</v>
      </c>
      <c r="AD537" s="15" t="str">
        <f t="shared" si="14"/>
        <v>Electropolished Pipes Manufacturer in Nawanshahr</v>
      </c>
      <c r="AE537" s="15" t="str">
        <f t="shared" si="15"/>
        <v>Manufacturing Electropolished SS Tube for Nawanshahr: The Standards We Build To</v>
      </c>
      <c r="AF537" s="15" t="str">
        <f t="shared" si="16"/>
        <v>Electropolished Pipe Supply Into Nawanshahr - Certification &amp; Transit</v>
      </c>
      <c r="AG537" s="15" t="str">
        <f t="shared" si="17"/>
        <v>Electropolished Pipes Wholesaler in Nawanshahr - Project Quantities &amp; Terms</v>
      </c>
      <c r="AH537" s="15" t="str">
        <f t="shared" si="18"/>
        <v>electropolished pipes manufacturer in Nawanshahr, electropolished pipes supplier in Nawanshahr, electropolished pipes wholesaler in Nawanshahr, electropolished tube manufacturer Nawanshahr, EP pipe supplier Nawanshahr, sanitary tube supplier Nawanshahr, ASME BPE tubing Nawanshahr, ASTM A270 tube Nawanshahr, SS 316L electropolished pipe Nawanshahr</v>
      </c>
      <c r="AI537" s="15" t="str">
        <f t="shared" si="19"/>
        <v>Electropolished Pipes Manufacturer &amp; Supplier in Nawanshahr</v>
      </c>
      <c r="AJ537" s="15" t="str">
        <f t="shared" si="20"/>
        <v>EP-finished SS 304/316L pipes and tubes for VERIFY plants in Nawanshahr. ASME BPE SF1-SF4, Ra from 0.25 um, EN 10204 3.1 certificate with every lot.</v>
      </c>
      <c r="AK537" s="15" t="str">
        <f t="shared" si="21"/>
        <v>Electropolished stainless steel pipes supplied by Sakshi Forge to VERIFY plants at PSIEC Industrial Area, Nawanshahr</v>
      </c>
      <c r="AL537" s="15" t="str">
        <f t="shared" si="22"/>
        <v>Electropolished SS 316L tube stock for Nawanshahr - Sakshi Forge</v>
      </c>
      <c r="AM537" s="15" t="str">
        <f t="shared" si="23"/>
        <v>Home &gt; Market Area &gt; India &gt; Punjab &gt; Nawanshahr</v>
      </c>
      <c r="AN537" s="15">
        <f t="shared" si="24"/>
        <v>1000</v>
      </c>
      <c r="AO537" s="15">
        <f t="shared" si="25"/>
        <v>8</v>
      </c>
      <c r="AP537" s="15">
        <f t="shared" si="26"/>
        <v>8</v>
      </c>
      <c r="AQ537" s="15">
        <f t="shared" si="27"/>
        <v>9</v>
      </c>
      <c r="AR537" s="31"/>
      <c r="AS537" s="31"/>
      <c r="AT537" s="35" t="s">
        <v>222</v>
      </c>
      <c r="AU537" s="35"/>
    </row>
    <row r="538" ht="15.75" customHeight="1">
      <c r="A538" s="15" t="s">
        <v>4053</v>
      </c>
      <c r="B538" s="15" t="s">
        <v>60</v>
      </c>
      <c r="C538" s="15" t="s">
        <v>236</v>
      </c>
      <c r="D538" s="15" t="s">
        <v>4054</v>
      </c>
      <c r="E538" s="15" t="s">
        <v>4054</v>
      </c>
      <c r="F538" s="65" t="s">
        <v>788</v>
      </c>
      <c r="G538" s="66" t="s">
        <v>98</v>
      </c>
      <c r="H538" s="18" t="s">
        <v>4056</v>
      </c>
      <c r="I538" s="18" t="s">
        <v>8391</v>
      </c>
      <c r="J538" s="18" t="s">
        <v>98</v>
      </c>
      <c r="K538" s="18" t="s">
        <v>98</v>
      </c>
      <c r="L538" s="18" t="s">
        <v>98</v>
      </c>
      <c r="M538" s="18" t="s">
        <v>98</v>
      </c>
      <c r="N538" s="18" t="s">
        <v>98</v>
      </c>
      <c r="O538" s="18" t="s">
        <v>98</v>
      </c>
      <c r="P538" s="15" t="str">
        <f t="shared" si="1"/>
        <v>VERIFY</v>
      </c>
      <c r="Q538" s="15">
        <f t="shared" si="2"/>
        <v>7</v>
      </c>
      <c r="R538" s="15">
        <f t="shared" si="3"/>
        <v>3</v>
      </c>
      <c r="S538" s="15">
        <f t="shared" si="4"/>
        <v>5</v>
      </c>
      <c r="T538" s="15" t="str">
        <f t="shared" si="5"/>
        <v>B-1</v>
      </c>
      <c r="U538" s="15" t="str">
        <f t="shared" si="6"/>
        <v>T7-M3-H5-FB-1-VERIFY</v>
      </c>
      <c r="V538" s="15">
        <f t="shared" si="7"/>
        <v>0</v>
      </c>
      <c r="W538" s="31"/>
      <c r="X538" s="15" t="str">
        <f t="shared" si="8"/>
        <v>neemrana</v>
      </c>
      <c r="Y538" s="32" t="str">
        <f t="shared" si="9"/>
        <v>https://steelmanufacturer.in/market-area/electropolished-pipes-manufacturer-in-neemrana/</v>
      </c>
      <c r="Z538" s="15" t="str">
        <f t="shared" si="10"/>
        <v>Electropolished Pipes Manufacturer in Neemrana | ASME BPE SF1-SF4</v>
      </c>
      <c r="AA538" s="15" t="str">
        <f t="shared" si="11"/>
        <v>OK (65)</v>
      </c>
      <c r="AB538" s="15" t="str">
        <f t="shared" si="12"/>
        <v>EP stainless tube for VERIFY lines in Neemrana. VERIFY. ASTM A270 S2, PMI tested, EN 10204 3.1.</v>
      </c>
      <c r="AC538" s="15" t="str">
        <f t="shared" si="13"/>
        <v>PENDING RESEARCH</v>
      </c>
      <c r="AD538" s="15" t="str">
        <f t="shared" si="14"/>
        <v>Electropolished Pipes Manufacturer in Neemrana</v>
      </c>
      <c r="AE538" s="15" t="str">
        <f t="shared" si="15"/>
        <v>Electropolished Tube Manufacturing Capability Serving Neemrana</v>
      </c>
      <c r="AF538" s="15" t="str">
        <f t="shared" si="16"/>
        <v>Electropolished Pipes Supplier in Neemrana - From Order to Delivery</v>
      </c>
      <c r="AG538" s="15" t="str">
        <f t="shared" si="17"/>
        <v>Stockist &amp; Wholesale Supply of Electropolished Pipes in Neemrana</v>
      </c>
      <c r="AH538" s="15" t="str">
        <f t="shared" si="18"/>
        <v>electropolished pipes manufacturer in Neemrana, electropolished pipes supplier in Neemrana, electropolished pipes wholesaler in Neemrana, electropolished tube manufacturer Neemrana, EP pipe supplier Neemrana, sanitary tube supplier Neemrana, ASME BPE tubing Neemrana, ASTM A270 tube Neemrana, SS 316L electropolished pipe Neemrana</v>
      </c>
      <c r="AI538" s="15" t="str">
        <f t="shared" si="19"/>
        <v>Electropolished Pipes Manufacturer &amp; Supplier in Neemrana</v>
      </c>
      <c r="AJ538" s="15" t="str">
        <f t="shared" si="20"/>
        <v>EP-finished SS 304/316L pipes and tubes for VERIFY plants in Neemrana. ASME BPE SF1-SF4, Ra from 0.25 um, EN 10204 3.1 certificate with every lot.</v>
      </c>
      <c r="AK538" s="15" t="str">
        <f t="shared" si="21"/>
        <v>Electropolished stainless steel pipes supplied by Sakshi Forge to VERIFY plants at RIICO Industrial Area, Neemrana</v>
      </c>
      <c r="AL538" s="15" t="str">
        <f t="shared" si="22"/>
        <v>Electropolished SS 316L tube stock for Neemrana - Sakshi Forge</v>
      </c>
      <c r="AM538" s="15" t="str">
        <f t="shared" si="23"/>
        <v>Home &gt; Market Area &gt; India &gt; Rajasthan &gt; Neemrana</v>
      </c>
      <c r="AN538" s="15">
        <f t="shared" si="24"/>
        <v>1000</v>
      </c>
      <c r="AO538" s="15">
        <f t="shared" si="25"/>
        <v>8</v>
      </c>
      <c r="AP538" s="15">
        <f t="shared" si="26"/>
        <v>8</v>
      </c>
      <c r="AQ538" s="15">
        <f t="shared" si="27"/>
        <v>9</v>
      </c>
      <c r="AR538" s="31"/>
      <c r="AS538" s="31"/>
      <c r="AT538" s="35" t="s">
        <v>222</v>
      </c>
      <c r="AU538" s="35"/>
    </row>
    <row r="539" ht="15.75" customHeight="1">
      <c r="A539" s="15" t="s">
        <v>4057</v>
      </c>
      <c r="B539" s="15" t="s">
        <v>60</v>
      </c>
      <c r="C539" s="15" t="s">
        <v>842</v>
      </c>
      <c r="D539" s="15" t="s">
        <v>4058</v>
      </c>
      <c r="E539" s="15" t="s">
        <v>4058</v>
      </c>
      <c r="F539" s="65" t="s">
        <v>788</v>
      </c>
      <c r="G539" s="66" t="s">
        <v>98</v>
      </c>
      <c r="H539" s="18" t="s">
        <v>4060</v>
      </c>
      <c r="I539" s="18" t="s">
        <v>8413</v>
      </c>
      <c r="J539" s="18" t="s">
        <v>98</v>
      </c>
      <c r="K539" s="18" t="s">
        <v>98</v>
      </c>
      <c r="L539" s="18" t="s">
        <v>98</v>
      </c>
      <c r="M539" s="18" t="s">
        <v>98</v>
      </c>
      <c r="N539" s="18" t="s">
        <v>98</v>
      </c>
      <c r="O539" s="18" t="s">
        <v>98</v>
      </c>
      <c r="P539" s="15" t="str">
        <f t="shared" si="1"/>
        <v>VERIFY</v>
      </c>
      <c r="Q539" s="15">
        <f t="shared" si="2"/>
        <v>8</v>
      </c>
      <c r="R539" s="15">
        <f t="shared" si="3"/>
        <v>4</v>
      </c>
      <c r="S539" s="15">
        <f t="shared" si="4"/>
        <v>1</v>
      </c>
      <c r="T539" s="15" t="str">
        <f t="shared" si="5"/>
        <v>B-2</v>
      </c>
      <c r="U539" s="15" t="str">
        <f t="shared" si="6"/>
        <v>T8-M4-H1-FB-2-VERIFY</v>
      </c>
      <c r="V539" s="15">
        <f t="shared" si="7"/>
        <v>0</v>
      </c>
      <c r="W539" s="31"/>
      <c r="X539" s="15" t="str">
        <f t="shared" si="8"/>
        <v>neemuch</v>
      </c>
      <c r="Y539" s="32" t="str">
        <f t="shared" si="9"/>
        <v>https://steelmanufacturer.in/market-area/electropolished-pipes-manufacturer-in-neemuch/</v>
      </c>
      <c r="Z539" s="15" t="str">
        <f t="shared" si="10"/>
        <v>Electropolished Pipes Manufacturer in Neemuch - EP Tube Stockist</v>
      </c>
      <c r="AA539" s="15" t="str">
        <f t="shared" si="11"/>
        <v>OK (64)</v>
      </c>
      <c r="AB539" s="15" t="str">
        <f t="shared" si="12"/>
        <v>Sanitary electropolished pipes in Neemuch for VERIFY plants. ASME BPE SF1-SF4, orbital-weld ready, 3.1 MTC. Mumbai-made.</v>
      </c>
      <c r="AC539" s="15" t="str">
        <f t="shared" si="13"/>
        <v>PENDING RESEARCH</v>
      </c>
      <c r="AD539" s="15" t="str">
        <f t="shared" si="14"/>
        <v>Electropolished Pipes Manufacturer in Neemuch</v>
      </c>
      <c r="AE539" s="15" t="str">
        <f t="shared" si="15"/>
        <v>Electropolished Pipe &amp; Tube Manufacturing for Neemuch - Grades, Finishes &amp; Certification</v>
      </c>
      <c r="AF539" s="15" t="str">
        <f t="shared" si="16"/>
        <v>Electropolished Pipes Supplier in Neemuch - Stock Sizes, Lead Time &amp; Delivery</v>
      </c>
      <c r="AG539" s="15" t="str">
        <f t="shared" si="17"/>
        <v>Electropolished Pipes Wholesaler &amp; Stockist in Neemuch - Bulk &amp; Project Pricing</v>
      </c>
      <c r="AH539" s="15" t="str">
        <f t="shared" si="18"/>
        <v>electropolished pipes manufacturer in Neemuch, electropolished pipes supplier in Neemuch, electropolished pipes wholesaler in Neemuch, electropolished tube manufacturer Neemuch, EP pipe supplier Neemuch, sanitary tube supplier Neemuch, ASME BPE tubing Neemuch, ASTM A270 tube Neemuch, SS 316L electropolished pipe Neemuch</v>
      </c>
      <c r="AI539" s="15" t="str">
        <f t="shared" si="19"/>
        <v>Electropolished Pipes Manufacturer &amp; Supplier in Neemuch</v>
      </c>
      <c r="AJ539" s="15" t="str">
        <f t="shared" si="20"/>
        <v>EP-finished SS 304/316L pipes and tubes for VERIFY plants in Neemuch. ASME BPE SF1-SF4, Ra from 0.25 um, EN 10204 3.1 certificate with every lot.</v>
      </c>
      <c r="AK539" s="15" t="str">
        <f t="shared" si="21"/>
        <v>Electropolished stainless steel pipes supplied by Sakshi Forge to VERIFY plants at MPIDC Industrial Area, Neemuch</v>
      </c>
      <c r="AL539" s="15" t="str">
        <f t="shared" si="22"/>
        <v>Electropolished SS 316L tube stock for Neemuch - Sakshi Forge</v>
      </c>
      <c r="AM539" s="15" t="str">
        <f t="shared" si="23"/>
        <v>Home &gt; Market Area &gt; India &gt; Madhya Pradesh &gt; Neemuch</v>
      </c>
      <c r="AN539" s="15">
        <f t="shared" si="24"/>
        <v>1000</v>
      </c>
      <c r="AO539" s="15">
        <f t="shared" si="25"/>
        <v>8</v>
      </c>
      <c r="AP539" s="15">
        <f t="shared" si="26"/>
        <v>8</v>
      </c>
      <c r="AQ539" s="15">
        <f t="shared" si="27"/>
        <v>9</v>
      </c>
      <c r="AR539" s="31"/>
      <c r="AS539" s="31"/>
      <c r="AT539" s="35" t="s">
        <v>222</v>
      </c>
      <c r="AU539" s="35"/>
    </row>
    <row r="540" ht="15.75" customHeight="1">
      <c r="A540" s="15" t="s">
        <v>4061</v>
      </c>
      <c r="B540" s="15" t="s">
        <v>60</v>
      </c>
      <c r="C540" s="15" t="s">
        <v>570</v>
      </c>
      <c r="D540" s="15" t="s">
        <v>4062</v>
      </c>
      <c r="E540" s="15" t="s">
        <v>4062</v>
      </c>
      <c r="F540" s="65" t="s">
        <v>788</v>
      </c>
      <c r="G540" s="66" t="s">
        <v>98</v>
      </c>
      <c r="H540" s="18" t="s">
        <v>4064</v>
      </c>
      <c r="I540" s="18" t="s">
        <v>8405</v>
      </c>
      <c r="J540" s="18" t="s">
        <v>98</v>
      </c>
      <c r="K540" s="18" t="s">
        <v>98</v>
      </c>
      <c r="L540" s="18" t="s">
        <v>98</v>
      </c>
      <c r="M540" s="18" t="s">
        <v>98</v>
      </c>
      <c r="N540" s="18" t="s">
        <v>98</v>
      </c>
      <c r="O540" s="18" t="s">
        <v>98</v>
      </c>
      <c r="P540" s="15" t="str">
        <f t="shared" si="1"/>
        <v>VERIFY</v>
      </c>
      <c r="Q540" s="15">
        <f t="shared" si="2"/>
        <v>1</v>
      </c>
      <c r="R540" s="15">
        <f t="shared" si="3"/>
        <v>5</v>
      </c>
      <c r="S540" s="15">
        <f t="shared" si="4"/>
        <v>2</v>
      </c>
      <c r="T540" s="15" t="str">
        <f t="shared" si="5"/>
        <v>B-3</v>
      </c>
      <c r="U540" s="15" t="str">
        <f t="shared" si="6"/>
        <v>T1-M5-H2-FB-3-VERIFY</v>
      </c>
      <c r="V540" s="15">
        <f t="shared" si="7"/>
        <v>0</v>
      </c>
      <c r="W540" s="31"/>
      <c r="X540" s="15" t="str">
        <f t="shared" si="8"/>
        <v>nelamangala</v>
      </c>
      <c r="Y540" s="32" t="str">
        <f t="shared" si="9"/>
        <v>https://steelmanufacturer.in/market-area/electropolished-pipes-manufacturer-in-nelamangala/</v>
      </c>
      <c r="Z540" s="15" t="str">
        <f t="shared" si="10"/>
        <v>Electropolished Pipes Manufacturer in Nelamangala | Sakshi Forge</v>
      </c>
      <c r="AA540" s="15" t="str">
        <f t="shared" si="11"/>
        <v>OK (64)</v>
      </c>
      <c r="AB540" s="15" t="str">
        <f t="shared" si="12"/>
        <v>Manufacturer of electropolished SS 316L tube serving Nelamangala. VERIFY. Ra 0.25-0.5 um, EN 10204 3.1 MTC.</v>
      </c>
      <c r="AC540" s="15" t="str">
        <f t="shared" si="13"/>
        <v>PENDING RESEARCH</v>
      </c>
      <c r="AD540" s="15" t="str">
        <f t="shared" si="14"/>
        <v>Electropolished Pipes Manufacturer in Nelamangala</v>
      </c>
      <c r="AE540" s="15" t="str">
        <f t="shared" si="15"/>
        <v>How We Manufacture Electropolished Tube for Nelamangala Plants</v>
      </c>
      <c r="AF540" s="15" t="str">
        <f t="shared" si="16"/>
        <v>Supplying Electropolished Pipes in Nelamangala: Availability, Sizes &amp; Dispatch</v>
      </c>
      <c r="AG540" s="15" t="str">
        <f t="shared" si="17"/>
        <v>Wholesale Electropolished Pipe Supply for Nelamangala Projects</v>
      </c>
      <c r="AH540" s="15" t="str">
        <f t="shared" si="18"/>
        <v>electropolished pipes manufacturer in Nelamangala, electropolished pipes supplier in Nelamangala, electropolished pipes wholesaler in Nelamangala, electropolished tube manufacturer Nelamangala, EP pipe supplier Nelamangala, sanitary tube supplier Nelamangala, ASME BPE tubing Nelamangala, ASTM A270 tube Nelamangala, SS 316L electropolished pipe Nelamangala</v>
      </c>
      <c r="AI540" s="15" t="str">
        <f t="shared" si="19"/>
        <v>Electropolished Pipes Manufacturer &amp; Supplier in Nelamangala</v>
      </c>
      <c r="AJ540" s="15" t="str">
        <f t="shared" si="20"/>
        <v>EP-finished SS 304/316L pipes and tubes for VERIFY plants in Nelamangala. ASME BPE SF1-SF4, Ra from 0.25 um, EN 10204 3.1 certificate with every lot.</v>
      </c>
      <c r="AK540" s="15" t="str">
        <f t="shared" si="21"/>
        <v>Electropolished stainless steel pipes supplied by Sakshi Forge to VERIFY plants at KIADB Industrial Area, Nelamangala</v>
      </c>
      <c r="AL540" s="15" t="str">
        <f t="shared" si="22"/>
        <v>Electropolished SS 316L tube stock for Nelamangala - Sakshi Forge</v>
      </c>
      <c r="AM540" s="15" t="str">
        <f t="shared" si="23"/>
        <v>Home &gt; Market Area &gt; India &gt; Karnataka &gt; Nelamangala</v>
      </c>
      <c r="AN540" s="15">
        <f t="shared" si="24"/>
        <v>1000</v>
      </c>
      <c r="AO540" s="15">
        <f t="shared" si="25"/>
        <v>8</v>
      </c>
      <c r="AP540" s="15">
        <f t="shared" si="26"/>
        <v>8</v>
      </c>
      <c r="AQ540" s="15">
        <f t="shared" si="27"/>
        <v>9</v>
      </c>
      <c r="AR540" s="31"/>
      <c r="AS540" s="31"/>
      <c r="AT540" s="35" t="s">
        <v>222</v>
      </c>
      <c r="AU540" s="35"/>
    </row>
    <row r="541" ht="15.75" customHeight="1">
      <c r="A541" s="15" t="s">
        <v>4065</v>
      </c>
      <c r="B541" s="15" t="s">
        <v>60</v>
      </c>
      <c r="C541" s="15" t="s">
        <v>2202</v>
      </c>
      <c r="D541" s="15" t="s">
        <v>4066</v>
      </c>
      <c r="E541" s="15" t="s">
        <v>4066</v>
      </c>
      <c r="F541" s="65" t="s">
        <v>788</v>
      </c>
      <c r="G541" s="66" t="s">
        <v>98</v>
      </c>
      <c r="H541" s="18" t="s">
        <v>4070</v>
      </c>
      <c r="I541" s="18" t="s">
        <v>8409</v>
      </c>
      <c r="J541" s="18" t="s">
        <v>98</v>
      </c>
      <c r="K541" s="18" t="s">
        <v>98</v>
      </c>
      <c r="L541" s="18" t="s">
        <v>98</v>
      </c>
      <c r="M541" s="18" t="s">
        <v>98</v>
      </c>
      <c r="N541" s="18" t="s">
        <v>98</v>
      </c>
      <c r="O541" s="18" t="s">
        <v>98</v>
      </c>
      <c r="P541" s="15" t="str">
        <f t="shared" si="1"/>
        <v>VERIFY</v>
      </c>
      <c r="Q541" s="15">
        <f t="shared" si="2"/>
        <v>2</v>
      </c>
      <c r="R541" s="15">
        <f t="shared" si="3"/>
        <v>6</v>
      </c>
      <c r="S541" s="15">
        <f t="shared" si="4"/>
        <v>3</v>
      </c>
      <c r="T541" s="15" t="str">
        <f t="shared" si="5"/>
        <v>B-4</v>
      </c>
      <c r="U541" s="15" t="str">
        <f t="shared" si="6"/>
        <v>T2-M6-H3-FB-4-VERIFY</v>
      </c>
      <c r="V541" s="15">
        <f t="shared" si="7"/>
        <v>0</v>
      </c>
      <c r="W541" s="31"/>
      <c r="X541" s="15" t="str">
        <f t="shared" si="8"/>
        <v>okhla</v>
      </c>
      <c r="Y541" s="32" t="str">
        <f t="shared" si="9"/>
        <v>https://steelmanufacturer.in/market-area/electropolished-pipes-manufacturer-in-okhla/</v>
      </c>
      <c r="Z541" s="15" t="str">
        <f t="shared" si="10"/>
        <v>Electropolished Pipes Manufacturer in Okhla</v>
      </c>
      <c r="AA541" s="15" t="str">
        <f t="shared" si="11"/>
        <v>OK (43)</v>
      </c>
      <c r="AB541" s="15" t="str">
        <f t="shared" si="12"/>
        <v>EP tube and pipe for VERIFY plants around DSIIDC Industrial Area, Okhla. Made at our Mumbai works to ASTM A270 and ASME BPE SF1-SF4, with 3.1 MTC.</v>
      </c>
      <c r="AC541" s="15" t="str">
        <f t="shared" si="13"/>
        <v>PENDING RESEARCH</v>
      </c>
      <c r="AD541" s="15" t="str">
        <f t="shared" si="14"/>
        <v>Electropolished Pipes Manufacturer in Okhla</v>
      </c>
      <c r="AE541" s="15" t="str">
        <f t="shared" si="15"/>
        <v>Electropolished Pipes Manufacturer in Okhla - Our Process &amp; Capability</v>
      </c>
      <c r="AF541" s="15" t="str">
        <f t="shared" si="16"/>
        <v>Electropolished Pipes Supplier in Okhla - What We Hold in Stock</v>
      </c>
      <c r="AG541" s="15" t="str">
        <f t="shared" si="17"/>
        <v>Bulk &amp; Wholesale Electropolished Pipe Rates for Okhla Buyers</v>
      </c>
      <c r="AH541" s="15" t="str">
        <f t="shared" si="18"/>
        <v>electropolished pipes manufacturer in Okhla, electropolished pipes supplier in Okhla, electropolished pipes wholesaler in Okhla, electropolished tube manufacturer Okhla, EP pipe supplier Okhla, sanitary tube supplier Okhla, ASME BPE tubing Okhla, ASTM A270 tube Okhla, SS 316L electropolished pipe Okhla</v>
      </c>
      <c r="AI541" s="15" t="str">
        <f t="shared" si="19"/>
        <v>Electropolished Pipes Manufacturer &amp; Supplier in Okhla</v>
      </c>
      <c r="AJ541" s="15" t="str">
        <f t="shared" si="20"/>
        <v>EP-finished SS 304/316L pipes and tubes for VERIFY plants in Okhla. ASME BPE SF1-SF4, Ra from 0.25 um, EN 10204 3.1 certificate with every lot.</v>
      </c>
      <c r="AK541" s="15" t="str">
        <f t="shared" si="21"/>
        <v>Electropolished stainless steel pipes supplied by Sakshi Forge to VERIFY plants at DSIIDC Industrial Area, Okhla</v>
      </c>
      <c r="AL541" s="15" t="str">
        <f t="shared" si="22"/>
        <v>Electropolished SS 316L tube stock for Okhla - Sakshi Forge</v>
      </c>
      <c r="AM541" s="15" t="str">
        <f t="shared" si="23"/>
        <v>Home &gt; Market Area &gt; India &gt; Delhi &gt; Okhla</v>
      </c>
      <c r="AN541" s="15">
        <f t="shared" si="24"/>
        <v>1000</v>
      </c>
      <c r="AO541" s="15">
        <f t="shared" si="25"/>
        <v>8</v>
      </c>
      <c r="AP541" s="15">
        <f t="shared" si="26"/>
        <v>8</v>
      </c>
      <c r="AQ541" s="15">
        <f t="shared" si="27"/>
        <v>9</v>
      </c>
      <c r="AR541" s="31"/>
      <c r="AS541" s="31"/>
      <c r="AT541" s="35" t="s">
        <v>222</v>
      </c>
      <c r="AU541" s="35"/>
    </row>
    <row r="542" ht="15.75" customHeight="1">
      <c r="A542" s="15" t="s">
        <v>4075</v>
      </c>
      <c r="B542" s="15" t="s">
        <v>60</v>
      </c>
      <c r="C542" s="15" t="s">
        <v>224</v>
      </c>
      <c r="D542" s="15" t="s">
        <v>4076</v>
      </c>
      <c r="E542" s="15" t="s">
        <v>4076</v>
      </c>
      <c r="F542" s="65" t="s">
        <v>788</v>
      </c>
      <c r="G542" s="66" t="s">
        <v>98</v>
      </c>
      <c r="H542" s="18" t="s">
        <v>4078</v>
      </c>
      <c r="I542" s="18" t="s">
        <v>8400</v>
      </c>
      <c r="J542" s="18" t="s">
        <v>98</v>
      </c>
      <c r="K542" s="18" t="s">
        <v>98</v>
      </c>
      <c r="L542" s="18" t="s">
        <v>98</v>
      </c>
      <c r="M542" s="18" t="s">
        <v>98</v>
      </c>
      <c r="N542" s="18" t="s">
        <v>98</v>
      </c>
      <c r="O542" s="18" t="s">
        <v>98</v>
      </c>
      <c r="P542" s="15" t="str">
        <f t="shared" si="1"/>
        <v>VERIFY</v>
      </c>
      <c r="Q542" s="15">
        <f t="shared" si="2"/>
        <v>3</v>
      </c>
      <c r="R542" s="15">
        <f t="shared" si="3"/>
        <v>7</v>
      </c>
      <c r="S542" s="15">
        <f t="shared" si="4"/>
        <v>4</v>
      </c>
      <c r="T542" s="15" t="str">
        <f t="shared" si="5"/>
        <v>B-5</v>
      </c>
      <c r="U542" s="15" t="str">
        <f t="shared" si="6"/>
        <v>T3-M7-H4-FB-5-VERIFY</v>
      </c>
      <c r="V542" s="15">
        <f t="shared" si="7"/>
        <v>0</v>
      </c>
      <c r="W542" s="31"/>
      <c r="X542" s="15" t="str">
        <f t="shared" si="8"/>
        <v>olpad</v>
      </c>
      <c r="Y542" s="32" t="str">
        <f t="shared" si="9"/>
        <v>https://steelmanufacturer.in/market-area/electropolished-pipes-manufacturer-in-olpad/</v>
      </c>
      <c r="Z542" s="15" t="str">
        <f t="shared" si="10"/>
        <v>Electropolished Pipes Manufacturer in Olpad | EP Tube Supplier</v>
      </c>
      <c r="AA542" s="15" t="str">
        <f t="shared" si="11"/>
        <v>OK (62)</v>
      </c>
      <c r="AB542" s="15" t="str">
        <f t="shared" si="12"/>
        <v>Electropolished pipes in Olpad: 304, 304L, 316 and 316L in SF1-SF4. VERIFY. Mill certified.</v>
      </c>
      <c r="AC542" s="15" t="str">
        <f t="shared" si="13"/>
        <v>PENDING RESEARCH</v>
      </c>
      <c r="AD542" s="15" t="str">
        <f t="shared" si="14"/>
        <v>Electropolished Pipes Manufacturer in Olpad</v>
      </c>
      <c r="AE542" s="15" t="str">
        <f t="shared" si="15"/>
        <v>Manufacturing Electropolished SS Tube for Olpad: The Standards We Build To</v>
      </c>
      <c r="AF542" s="15" t="str">
        <f t="shared" si="16"/>
        <v>Electropolished Pipe Supply Into Olpad - Certification &amp; Transit</v>
      </c>
      <c r="AG542" s="15" t="str">
        <f t="shared" si="17"/>
        <v>Electropolished Pipes Wholesaler in Olpad - Project Quantities &amp; Terms</v>
      </c>
      <c r="AH542" s="15" t="str">
        <f t="shared" si="18"/>
        <v>electropolished pipes manufacturer in Olpad, electropolished pipes supplier in Olpad, electropolished pipes wholesaler in Olpad, electropolished tube manufacturer Olpad, EP pipe supplier Olpad, sanitary tube supplier Olpad, ASME BPE tubing Olpad, ASTM A270 tube Olpad, SS 316L electropolished pipe Olpad</v>
      </c>
      <c r="AI542" s="15" t="str">
        <f t="shared" si="19"/>
        <v>Electropolished Pipes Manufacturer &amp; Supplier in Olpad</v>
      </c>
      <c r="AJ542" s="15" t="str">
        <f t="shared" si="20"/>
        <v>EP-finished SS 304/316L pipes and tubes for VERIFY plants in Olpad. ASME BPE SF1-SF4, Ra from 0.25 um, EN 10204 3.1 certificate with every lot.</v>
      </c>
      <c r="AK542" s="15" t="str">
        <f t="shared" si="21"/>
        <v>Electropolished stainless steel pipes supplied by Sakshi Forge to VERIFY plants at GIDC Industrial Area, Olpad</v>
      </c>
      <c r="AL542" s="15" t="str">
        <f t="shared" si="22"/>
        <v>Electropolished SS 316L tube stock for Olpad - Sakshi Forge</v>
      </c>
      <c r="AM542" s="15" t="str">
        <f t="shared" si="23"/>
        <v>Home &gt; Market Area &gt; India &gt; Gujarat &gt; Olpad</v>
      </c>
      <c r="AN542" s="15">
        <f t="shared" si="24"/>
        <v>1000</v>
      </c>
      <c r="AO542" s="15">
        <f t="shared" si="25"/>
        <v>8</v>
      </c>
      <c r="AP542" s="15">
        <f t="shared" si="26"/>
        <v>8</v>
      </c>
      <c r="AQ542" s="15">
        <f t="shared" si="27"/>
        <v>9</v>
      </c>
      <c r="AR542" s="31"/>
      <c r="AS542" s="31"/>
      <c r="AT542" s="35" t="s">
        <v>222</v>
      </c>
      <c r="AU542" s="35"/>
    </row>
    <row r="543" ht="15.75" customHeight="1">
      <c r="A543" s="15" t="s">
        <v>4079</v>
      </c>
      <c r="B543" s="15" t="s">
        <v>60</v>
      </c>
      <c r="C543" s="15" t="s">
        <v>413</v>
      </c>
      <c r="D543" s="15" t="s">
        <v>4080</v>
      </c>
      <c r="E543" s="15" t="s">
        <v>4080</v>
      </c>
      <c r="F543" s="65" t="s">
        <v>788</v>
      </c>
      <c r="G543" s="66" t="s">
        <v>98</v>
      </c>
      <c r="H543" s="18" t="s">
        <v>4082</v>
      </c>
      <c r="I543" s="18" t="s">
        <v>8393</v>
      </c>
      <c r="J543" s="18" t="s">
        <v>98</v>
      </c>
      <c r="K543" s="18" t="s">
        <v>98</v>
      </c>
      <c r="L543" s="18" t="s">
        <v>98</v>
      </c>
      <c r="M543" s="18" t="s">
        <v>98</v>
      </c>
      <c r="N543" s="18" t="s">
        <v>98</v>
      </c>
      <c r="O543" s="18" t="s">
        <v>98</v>
      </c>
      <c r="P543" s="15" t="str">
        <f t="shared" si="1"/>
        <v>VERIFY</v>
      </c>
      <c r="Q543" s="15">
        <f t="shared" si="2"/>
        <v>4</v>
      </c>
      <c r="R543" s="15">
        <f t="shared" si="3"/>
        <v>1</v>
      </c>
      <c r="S543" s="15">
        <f t="shared" si="4"/>
        <v>5</v>
      </c>
      <c r="T543" s="15" t="str">
        <f t="shared" si="5"/>
        <v>B-6</v>
      </c>
      <c r="U543" s="15" t="str">
        <f t="shared" si="6"/>
        <v>T4-M1-H5-FB-6-VERIFY</v>
      </c>
      <c r="V543" s="15">
        <f t="shared" si="7"/>
        <v>0</v>
      </c>
      <c r="W543" s="31"/>
      <c r="X543" s="15" t="str">
        <f t="shared" si="8"/>
        <v>ongole</v>
      </c>
      <c r="Y543" s="32" t="str">
        <f t="shared" si="9"/>
        <v>https://steelmanufacturer.in/market-area/electropolished-pipes-manufacturer-in-ongole/</v>
      </c>
      <c r="Z543" s="15" t="str">
        <f t="shared" si="10"/>
        <v>Electropolished Pipes Manufacturer in Ongole</v>
      </c>
      <c r="AA543" s="15" t="str">
        <f t="shared" si="11"/>
        <v>OK (44)</v>
      </c>
      <c r="AB543" s="15" t="str">
        <f t="shared" si="12"/>
        <v>EP-finished SS 304/316L pipes &amp; tubes for VERIFY plants in Ongole. ASTM A270, ASME BPE SF1-SF4, EN 10204 3.1 MTC. PMI tested.</v>
      </c>
      <c r="AC543" s="15" t="str">
        <f t="shared" si="13"/>
        <v>PENDING RESEARCH</v>
      </c>
      <c r="AD543" s="15" t="str">
        <f t="shared" si="14"/>
        <v>Electropolished Pipes Manufacturer in Ongole</v>
      </c>
      <c r="AE543" s="15" t="str">
        <f t="shared" si="15"/>
        <v>Electropolished Tube Manufacturing Capability Serving Ongole</v>
      </c>
      <c r="AF543" s="15" t="str">
        <f t="shared" si="16"/>
        <v>Electropolished Pipes Supplier in Ongole - From Order to Delivery</v>
      </c>
      <c r="AG543" s="15" t="str">
        <f t="shared" si="17"/>
        <v>Stockist &amp; Wholesale Supply of Electropolished Pipes in Ongole</v>
      </c>
      <c r="AH543" s="15" t="str">
        <f t="shared" si="18"/>
        <v>electropolished pipes manufacturer in Ongole, electropolished pipes supplier in Ongole, electropolished pipes wholesaler in Ongole, electropolished tube manufacturer Ongole, EP pipe supplier Ongole, sanitary tube supplier Ongole, ASME BPE tubing Ongole, ASTM A270 tube Ongole, SS 316L electropolished pipe Ongole</v>
      </c>
      <c r="AI543" s="15" t="str">
        <f t="shared" si="19"/>
        <v>Electropolished Pipes Manufacturer &amp; Supplier in Ongole</v>
      </c>
      <c r="AJ543" s="15" t="str">
        <f t="shared" si="20"/>
        <v>EP-finished SS 304/316L pipes and tubes for VERIFY plants in Ongole. ASME BPE SF1-SF4, Ra from 0.25 um, EN 10204 3.1 certificate with every lot.</v>
      </c>
      <c r="AK543" s="15" t="str">
        <f t="shared" si="21"/>
        <v>Electropolished stainless steel pipes supplied by Sakshi Forge to VERIFY plants at APIIC Industrial Area, Ongole</v>
      </c>
      <c r="AL543" s="15" t="str">
        <f t="shared" si="22"/>
        <v>Electropolished SS 316L tube stock for Ongole - Sakshi Forge</v>
      </c>
      <c r="AM543" s="15" t="str">
        <f t="shared" si="23"/>
        <v>Home &gt; Market Area &gt; India &gt; Andhra Pradesh &gt; Ongole</v>
      </c>
      <c r="AN543" s="15">
        <f t="shared" si="24"/>
        <v>1000</v>
      </c>
      <c r="AO543" s="15">
        <f t="shared" si="25"/>
        <v>8</v>
      </c>
      <c r="AP543" s="15">
        <f t="shared" si="26"/>
        <v>8</v>
      </c>
      <c r="AQ543" s="15">
        <f t="shared" si="27"/>
        <v>9</v>
      </c>
      <c r="AR543" s="31"/>
      <c r="AS543" s="31"/>
      <c r="AT543" s="35" t="s">
        <v>222</v>
      </c>
      <c r="AU543" s="35"/>
    </row>
    <row r="544" ht="15.75" customHeight="1">
      <c r="A544" s="15" t="s">
        <v>4083</v>
      </c>
      <c r="B544" s="15" t="s">
        <v>60</v>
      </c>
      <c r="C544" s="15" t="s">
        <v>264</v>
      </c>
      <c r="D544" s="15" t="s">
        <v>4084</v>
      </c>
      <c r="E544" s="15" t="s">
        <v>4084</v>
      </c>
      <c r="F544" s="65" t="s">
        <v>788</v>
      </c>
      <c r="G544" s="66" t="s">
        <v>98</v>
      </c>
      <c r="H544" s="18" t="s">
        <v>4086</v>
      </c>
      <c r="I544" s="18" t="s">
        <v>8395</v>
      </c>
      <c r="J544" s="18" t="s">
        <v>98</v>
      </c>
      <c r="K544" s="18" t="s">
        <v>98</v>
      </c>
      <c r="L544" s="18" t="s">
        <v>98</v>
      </c>
      <c r="M544" s="18" t="s">
        <v>98</v>
      </c>
      <c r="N544" s="18" t="s">
        <v>98</v>
      </c>
      <c r="O544" s="18" t="s">
        <v>98</v>
      </c>
      <c r="P544" s="15" t="str">
        <f t="shared" si="1"/>
        <v>VERIFY</v>
      </c>
      <c r="Q544" s="15">
        <f t="shared" si="2"/>
        <v>5</v>
      </c>
      <c r="R544" s="15">
        <f t="shared" si="3"/>
        <v>2</v>
      </c>
      <c r="S544" s="15">
        <f t="shared" si="4"/>
        <v>1</v>
      </c>
      <c r="T544" s="15" t="str">
        <f t="shared" si="5"/>
        <v>B-1</v>
      </c>
      <c r="U544" s="15" t="str">
        <f t="shared" si="6"/>
        <v>T5-M2-H1-FB-1-VERIFY</v>
      </c>
      <c r="V544" s="15">
        <f t="shared" si="7"/>
        <v>0</v>
      </c>
      <c r="W544" s="31"/>
      <c r="X544" s="15" t="str">
        <f t="shared" si="8"/>
        <v>osmanabad</v>
      </c>
      <c r="Y544" s="32" t="str">
        <f t="shared" si="9"/>
        <v>https://steelmanufacturer.in/market-area/electropolished-pipes-manufacturer-in-osmanabad/</v>
      </c>
      <c r="Z544" s="15" t="str">
        <f t="shared" si="10"/>
        <v>Electropolished Pipes Manufacturer in Osmanabad</v>
      </c>
      <c r="AA544" s="15" t="str">
        <f t="shared" si="11"/>
        <v>OK (47)</v>
      </c>
      <c r="AB544" s="15" t="str">
        <f t="shared" si="12"/>
        <v>Electropolished tube supply to MIDC Industrial Area, Osmanabad. Ra from 0.25 um, SF4 finish, mill test certificate with every lot.</v>
      </c>
      <c r="AC544" s="15" t="str">
        <f t="shared" si="13"/>
        <v>PENDING RESEARCH</v>
      </c>
      <c r="AD544" s="15" t="str">
        <f t="shared" si="14"/>
        <v>Electropolished Pipes Manufacturer in Osmanabad</v>
      </c>
      <c r="AE544" s="15" t="str">
        <f t="shared" si="15"/>
        <v>Electropolished Pipe &amp; Tube Manufacturing for Osmanabad - Grades, Finishes &amp; Certification</v>
      </c>
      <c r="AF544" s="15" t="str">
        <f t="shared" si="16"/>
        <v>Electropolished Pipes Supplier in Osmanabad - Stock Sizes, Lead Time &amp; Delivery</v>
      </c>
      <c r="AG544" s="15" t="str">
        <f t="shared" si="17"/>
        <v>Electropolished Pipes Wholesaler &amp; Stockist in Osmanabad - Bulk &amp; Project Pricing</v>
      </c>
      <c r="AH544" s="15" t="str">
        <f t="shared" si="18"/>
        <v>electropolished pipes manufacturer in Osmanabad, electropolished pipes supplier in Osmanabad, electropolished pipes wholesaler in Osmanabad, electropolished tube manufacturer Osmanabad, EP pipe supplier Osmanabad, sanitary tube supplier Osmanabad, ASME BPE tubing Osmanabad, ASTM A270 tube Osmanabad, SS 316L electropolished pipe Osmanabad</v>
      </c>
      <c r="AI544" s="15" t="str">
        <f t="shared" si="19"/>
        <v>Electropolished Pipes Manufacturer &amp; Supplier in Osmanabad</v>
      </c>
      <c r="AJ544" s="15" t="str">
        <f t="shared" si="20"/>
        <v>EP-finished SS 304/316L pipes and tubes for VERIFY plants in Osmanabad. ASME BPE SF1-SF4, Ra from 0.25 um, EN 10204 3.1 certificate with every lot.</v>
      </c>
      <c r="AK544" s="15" t="str">
        <f t="shared" si="21"/>
        <v>Electropolished stainless steel pipes supplied by Sakshi Forge to VERIFY plants at MIDC Industrial Area, Osmanabad</v>
      </c>
      <c r="AL544" s="15" t="str">
        <f t="shared" si="22"/>
        <v>Electropolished SS 316L tube stock for Osmanabad - Sakshi Forge</v>
      </c>
      <c r="AM544" s="15" t="str">
        <f t="shared" si="23"/>
        <v>Home &gt; Market Area &gt; India &gt; Maharashtra &gt; Osmanabad</v>
      </c>
      <c r="AN544" s="15">
        <f t="shared" si="24"/>
        <v>1000</v>
      </c>
      <c r="AO544" s="15">
        <f t="shared" si="25"/>
        <v>8</v>
      </c>
      <c r="AP544" s="15">
        <f t="shared" si="26"/>
        <v>8</v>
      </c>
      <c r="AQ544" s="15">
        <f t="shared" si="27"/>
        <v>10</v>
      </c>
      <c r="AR544" s="31"/>
      <c r="AS544" s="31"/>
      <c r="AT544" s="35" t="s">
        <v>222</v>
      </c>
      <c r="AU544" s="35"/>
    </row>
    <row r="545" ht="15.75" customHeight="1">
      <c r="A545" s="15" t="s">
        <v>4087</v>
      </c>
      <c r="B545" s="15" t="s">
        <v>60</v>
      </c>
      <c r="C545" s="15" t="s">
        <v>1687</v>
      </c>
      <c r="D545" s="15" t="s">
        <v>4088</v>
      </c>
      <c r="E545" s="15" t="s">
        <v>4088</v>
      </c>
      <c r="F545" s="65" t="s">
        <v>788</v>
      </c>
      <c r="G545" s="66" t="s">
        <v>98</v>
      </c>
      <c r="H545" s="18" t="s">
        <v>4090</v>
      </c>
      <c r="I545" s="18" t="s">
        <v>8397</v>
      </c>
      <c r="J545" s="18" t="s">
        <v>98</v>
      </c>
      <c r="K545" s="18" t="s">
        <v>98</v>
      </c>
      <c r="L545" s="18" t="s">
        <v>98</v>
      </c>
      <c r="M545" s="18" t="s">
        <v>98</v>
      </c>
      <c r="N545" s="18" t="s">
        <v>98</v>
      </c>
      <c r="O545" s="18" t="s">
        <v>98</v>
      </c>
      <c r="P545" s="15" t="str">
        <f t="shared" si="1"/>
        <v>VERIFY</v>
      </c>
      <c r="Q545" s="15">
        <f t="shared" si="2"/>
        <v>6</v>
      </c>
      <c r="R545" s="15">
        <f t="shared" si="3"/>
        <v>3</v>
      </c>
      <c r="S545" s="15">
        <f t="shared" si="4"/>
        <v>2</v>
      </c>
      <c r="T545" s="15" t="str">
        <f t="shared" si="5"/>
        <v>B-2</v>
      </c>
      <c r="U545" s="15" t="str">
        <f t="shared" si="6"/>
        <v>T6-M3-H2-FB-2-VERIFY</v>
      </c>
      <c r="V545" s="15">
        <f t="shared" si="7"/>
        <v>0</v>
      </c>
      <c r="W545" s="31"/>
      <c r="X545" s="15" t="str">
        <f t="shared" si="8"/>
        <v>palakkad</v>
      </c>
      <c r="Y545" s="32" t="str">
        <f t="shared" si="9"/>
        <v>https://steelmanufacturer.in/market-area/electropolished-pipes-manufacturer-in-palakkad/</v>
      </c>
      <c r="Z545" s="15" t="str">
        <f t="shared" si="10"/>
        <v>Electropolished Pipes Manufacturer in Palakkad</v>
      </c>
      <c r="AA545" s="15" t="str">
        <f t="shared" si="11"/>
        <v>OK (46)</v>
      </c>
      <c r="AB545" s="15" t="str">
        <f t="shared" si="12"/>
        <v>EP stainless tube for VERIFY lines in Palakkad. VERIFY. ASTM A270 S2, PMI tested, EN 10204 3.1.</v>
      </c>
      <c r="AC545" s="15" t="str">
        <f t="shared" si="13"/>
        <v>PENDING RESEARCH</v>
      </c>
      <c r="AD545" s="15" t="str">
        <f t="shared" si="14"/>
        <v>Electropolished Pipes Manufacturer in Palakkad</v>
      </c>
      <c r="AE545" s="15" t="str">
        <f t="shared" si="15"/>
        <v>How We Manufacture Electropolished Tube for Palakkad Plants</v>
      </c>
      <c r="AF545" s="15" t="str">
        <f t="shared" si="16"/>
        <v>Supplying Electropolished Pipes in Palakkad: Availability, Sizes &amp; Dispatch</v>
      </c>
      <c r="AG545" s="15" t="str">
        <f t="shared" si="17"/>
        <v>Wholesale Electropolished Pipe Supply for Palakkad Projects</v>
      </c>
      <c r="AH545" s="15" t="str">
        <f t="shared" si="18"/>
        <v>electropolished pipes manufacturer in Palakkad, electropolished pipes supplier in Palakkad, electropolished pipes wholesaler in Palakkad, electropolished tube manufacturer Palakkad, EP pipe supplier Palakkad, sanitary tube supplier Palakkad, ASME BPE tubing Palakkad, ASTM A270 tube Palakkad, SS 316L electropolished pipe Palakkad</v>
      </c>
      <c r="AI545" s="15" t="str">
        <f t="shared" si="19"/>
        <v>Electropolished Pipes Manufacturer &amp; Supplier in Palakkad</v>
      </c>
      <c r="AJ545" s="15" t="str">
        <f t="shared" si="20"/>
        <v>EP-finished SS 304/316L pipes and tubes for VERIFY plants in Palakkad. ASME BPE SF1-SF4, Ra from 0.25 um, EN 10204 3.1 certificate with every lot.</v>
      </c>
      <c r="AK545" s="15" t="str">
        <f t="shared" si="21"/>
        <v>Electropolished stainless steel pipes supplied by Sakshi Forge to VERIFY plants at KINFRA Industrial Area, Palakkad</v>
      </c>
      <c r="AL545" s="15" t="str">
        <f t="shared" si="22"/>
        <v>Electropolished SS 316L tube stock for Palakkad - Sakshi Forge</v>
      </c>
      <c r="AM545" s="15" t="str">
        <f t="shared" si="23"/>
        <v>Home &gt; Market Area &gt; India &gt; Kerala &gt; Palakkad</v>
      </c>
      <c r="AN545" s="15">
        <f t="shared" si="24"/>
        <v>1000</v>
      </c>
      <c r="AO545" s="15">
        <f t="shared" si="25"/>
        <v>8</v>
      </c>
      <c r="AP545" s="15">
        <f t="shared" si="26"/>
        <v>8</v>
      </c>
      <c r="AQ545" s="15">
        <f t="shared" si="27"/>
        <v>10</v>
      </c>
      <c r="AR545" s="31"/>
      <c r="AS545" s="31"/>
      <c r="AT545" s="35" t="s">
        <v>222</v>
      </c>
      <c r="AU545" s="35"/>
    </row>
    <row r="546" ht="15.75" customHeight="1">
      <c r="A546" s="15" t="s">
        <v>4091</v>
      </c>
      <c r="B546" s="15" t="s">
        <v>60</v>
      </c>
      <c r="C546" s="15" t="s">
        <v>224</v>
      </c>
      <c r="D546" s="15" t="s">
        <v>4092</v>
      </c>
      <c r="E546" s="15" t="s">
        <v>4092</v>
      </c>
      <c r="F546" s="65" t="s">
        <v>788</v>
      </c>
      <c r="G546" s="66" t="s">
        <v>98</v>
      </c>
      <c r="H546" s="18" t="s">
        <v>4094</v>
      </c>
      <c r="I546" s="18" t="s">
        <v>8400</v>
      </c>
      <c r="J546" s="18" t="s">
        <v>98</v>
      </c>
      <c r="K546" s="18" t="s">
        <v>98</v>
      </c>
      <c r="L546" s="18" t="s">
        <v>98</v>
      </c>
      <c r="M546" s="18" t="s">
        <v>98</v>
      </c>
      <c r="N546" s="18" t="s">
        <v>98</v>
      </c>
      <c r="O546" s="18" t="s">
        <v>98</v>
      </c>
      <c r="P546" s="15" t="str">
        <f t="shared" si="1"/>
        <v>VERIFY</v>
      </c>
      <c r="Q546" s="15">
        <f t="shared" si="2"/>
        <v>7</v>
      </c>
      <c r="R546" s="15">
        <f t="shared" si="3"/>
        <v>4</v>
      </c>
      <c r="S546" s="15">
        <f t="shared" si="4"/>
        <v>3</v>
      </c>
      <c r="T546" s="15" t="str">
        <f t="shared" si="5"/>
        <v>B-3</v>
      </c>
      <c r="U546" s="15" t="str">
        <f t="shared" si="6"/>
        <v>T7-M4-H3-FB-3-VERIFY</v>
      </c>
      <c r="V546" s="15">
        <f t="shared" si="7"/>
        <v>0</v>
      </c>
      <c r="W546" s="31"/>
      <c r="X546" s="15" t="str">
        <f t="shared" si="8"/>
        <v>palanpur</v>
      </c>
      <c r="Y546" s="32" t="str">
        <f t="shared" si="9"/>
        <v>https://steelmanufacturer.in/market-area/electropolished-pipes-manufacturer-in-palanpur/</v>
      </c>
      <c r="Z546" s="15" t="str">
        <f t="shared" si="10"/>
        <v>Electropolished Pipes Manufacturer in Palanpur | ASME BPE SF1-SF4</v>
      </c>
      <c r="AA546" s="15" t="str">
        <f t="shared" si="11"/>
        <v>OK (65)</v>
      </c>
      <c r="AB546" s="15" t="str">
        <f t="shared" si="12"/>
        <v>Sanitary electropolished pipes in Palanpur for VERIFY plants. ASME BPE SF1-SF4, orbital-weld ready, 3.1 MTC. Mumbai-made.</v>
      </c>
      <c r="AC546" s="15" t="str">
        <f t="shared" si="13"/>
        <v>PENDING RESEARCH</v>
      </c>
      <c r="AD546" s="15" t="str">
        <f t="shared" si="14"/>
        <v>Electropolished Pipes Manufacturer in Palanpur</v>
      </c>
      <c r="AE546" s="15" t="str">
        <f t="shared" si="15"/>
        <v>Electropolished Pipes Manufacturer in Palanpur - Our Process &amp; Capability</v>
      </c>
      <c r="AF546" s="15" t="str">
        <f t="shared" si="16"/>
        <v>Electropolished Pipes Supplier in Palanpur - What We Hold in Stock</v>
      </c>
      <c r="AG546" s="15" t="str">
        <f t="shared" si="17"/>
        <v>Bulk &amp; Wholesale Electropolished Pipe Rates for Palanpur Buyers</v>
      </c>
      <c r="AH546" s="15" t="str">
        <f t="shared" si="18"/>
        <v>electropolished pipes manufacturer in Palanpur, electropolished pipes supplier in Palanpur, electropolished pipes wholesaler in Palanpur, electropolished tube manufacturer Palanpur, EP pipe supplier Palanpur, sanitary tube supplier Palanpur, ASME BPE tubing Palanpur, ASTM A270 tube Palanpur, SS 316L electropolished pipe Palanpur</v>
      </c>
      <c r="AI546" s="15" t="str">
        <f t="shared" si="19"/>
        <v>Electropolished Pipes Manufacturer &amp; Supplier in Palanpur</v>
      </c>
      <c r="AJ546" s="15" t="str">
        <f t="shared" si="20"/>
        <v>EP-finished SS 304/316L pipes and tubes for VERIFY plants in Palanpur. ASME BPE SF1-SF4, Ra from 0.25 um, EN 10204 3.1 certificate with every lot.</v>
      </c>
      <c r="AK546" s="15" t="str">
        <f t="shared" si="21"/>
        <v>Electropolished stainless steel pipes supplied by Sakshi Forge to VERIFY plants at GIDC Industrial Area, Palanpur</v>
      </c>
      <c r="AL546" s="15" t="str">
        <f t="shared" si="22"/>
        <v>Electropolished SS 316L tube stock for Palanpur - Sakshi Forge</v>
      </c>
      <c r="AM546" s="15" t="str">
        <f t="shared" si="23"/>
        <v>Home &gt; Market Area &gt; India &gt; Gujarat &gt; Palanpur</v>
      </c>
      <c r="AN546" s="15">
        <f t="shared" si="24"/>
        <v>1000</v>
      </c>
      <c r="AO546" s="15">
        <f t="shared" si="25"/>
        <v>8</v>
      </c>
      <c r="AP546" s="15">
        <f t="shared" si="26"/>
        <v>8</v>
      </c>
      <c r="AQ546" s="15">
        <f t="shared" si="27"/>
        <v>10</v>
      </c>
      <c r="AR546" s="31"/>
      <c r="AS546" s="31"/>
      <c r="AT546" s="35" t="s">
        <v>222</v>
      </c>
      <c r="AU546" s="35"/>
    </row>
    <row r="547" ht="15.75" customHeight="1">
      <c r="A547" s="15" t="s">
        <v>4098</v>
      </c>
      <c r="B547" s="15" t="s">
        <v>60</v>
      </c>
      <c r="C547" s="15" t="s">
        <v>264</v>
      </c>
      <c r="D547" s="15" t="s">
        <v>4101</v>
      </c>
      <c r="E547" s="15" t="s">
        <v>4101</v>
      </c>
      <c r="F547" s="65" t="s">
        <v>788</v>
      </c>
      <c r="G547" s="66" t="s">
        <v>98</v>
      </c>
      <c r="H547" s="18" t="s">
        <v>4104</v>
      </c>
      <c r="I547" s="18" t="s">
        <v>8395</v>
      </c>
      <c r="J547" s="18" t="s">
        <v>98</v>
      </c>
      <c r="K547" s="18" t="s">
        <v>98</v>
      </c>
      <c r="L547" s="18" t="s">
        <v>98</v>
      </c>
      <c r="M547" s="18" t="s">
        <v>98</v>
      </c>
      <c r="N547" s="18" t="s">
        <v>98</v>
      </c>
      <c r="O547" s="18" t="s">
        <v>98</v>
      </c>
      <c r="P547" s="15" t="str">
        <f t="shared" si="1"/>
        <v>VERIFY</v>
      </c>
      <c r="Q547" s="15">
        <f t="shared" si="2"/>
        <v>8</v>
      </c>
      <c r="R547" s="15">
        <f t="shared" si="3"/>
        <v>5</v>
      </c>
      <c r="S547" s="15">
        <f t="shared" si="4"/>
        <v>4</v>
      </c>
      <c r="T547" s="15" t="str">
        <f t="shared" si="5"/>
        <v>B-4</v>
      </c>
      <c r="U547" s="15" t="str">
        <f t="shared" si="6"/>
        <v>T8-M5-H4-FB-4-VERIFY</v>
      </c>
      <c r="V547" s="15">
        <f t="shared" si="7"/>
        <v>0</v>
      </c>
      <c r="W547" s="31"/>
      <c r="X547" s="15" t="str">
        <f t="shared" si="8"/>
        <v>palghar</v>
      </c>
      <c r="Y547" s="32" t="str">
        <f t="shared" si="9"/>
        <v>https://steelmanufacturer.in/market-area/electropolished-pipes-manufacturer-in-palghar/</v>
      </c>
      <c r="Z547" s="15" t="str">
        <f t="shared" si="10"/>
        <v>Electropolished Pipes Manufacturer in Palghar - EP Tube Stockist</v>
      </c>
      <c r="AA547" s="15" t="str">
        <f t="shared" si="11"/>
        <v>OK (64)</v>
      </c>
      <c r="AB547" s="15" t="str">
        <f t="shared" si="12"/>
        <v>Manufacturer of electropolished SS 316L tube serving Palghar. VERIFY. Ra 0.25-0.5 um, EN 10204 3.1 MTC.</v>
      </c>
      <c r="AC547" s="15" t="str">
        <f t="shared" si="13"/>
        <v>PENDING RESEARCH</v>
      </c>
      <c r="AD547" s="15" t="str">
        <f t="shared" si="14"/>
        <v>Electropolished Pipes Manufacturer in Palghar</v>
      </c>
      <c r="AE547" s="15" t="str">
        <f t="shared" si="15"/>
        <v>Manufacturing Electropolished SS Tube for Palghar: The Standards We Build To</v>
      </c>
      <c r="AF547" s="15" t="str">
        <f t="shared" si="16"/>
        <v>Electropolished Pipe Supply Into Palghar - Certification &amp; Transit</v>
      </c>
      <c r="AG547" s="15" t="str">
        <f t="shared" si="17"/>
        <v>Electropolished Pipes Wholesaler in Palghar - Project Quantities &amp; Terms</v>
      </c>
      <c r="AH547" s="15" t="str">
        <f t="shared" si="18"/>
        <v>electropolished pipes manufacturer in Palghar, electropolished pipes supplier in Palghar, electropolished pipes wholesaler in Palghar, electropolished tube manufacturer Palghar, EP pipe supplier Palghar, sanitary tube supplier Palghar, ASME BPE tubing Palghar, ASTM A270 tube Palghar, SS 316L electropolished pipe Palghar</v>
      </c>
      <c r="AI547" s="15" t="str">
        <f t="shared" si="19"/>
        <v>Electropolished Pipes Manufacturer &amp; Supplier in Palghar</v>
      </c>
      <c r="AJ547" s="15" t="str">
        <f t="shared" si="20"/>
        <v>EP-finished SS 304/316L pipes and tubes for VERIFY plants in Palghar. ASME BPE SF1-SF4, Ra from 0.25 um, EN 10204 3.1 certificate with every lot.</v>
      </c>
      <c r="AK547" s="15" t="str">
        <f t="shared" si="21"/>
        <v>Electropolished stainless steel pipes supplied by Sakshi Forge to VERIFY plants at MIDC Industrial Area, Palghar</v>
      </c>
      <c r="AL547" s="15" t="str">
        <f t="shared" si="22"/>
        <v>Electropolished SS 316L tube stock for Palghar - Sakshi Forge</v>
      </c>
      <c r="AM547" s="15" t="str">
        <f t="shared" si="23"/>
        <v>Home &gt; Market Area &gt; India &gt; Maharashtra &gt; Palghar</v>
      </c>
      <c r="AN547" s="15">
        <f t="shared" si="24"/>
        <v>1000</v>
      </c>
      <c r="AO547" s="15">
        <f t="shared" si="25"/>
        <v>8</v>
      </c>
      <c r="AP547" s="15">
        <f t="shared" si="26"/>
        <v>8</v>
      </c>
      <c r="AQ547" s="15">
        <f t="shared" si="27"/>
        <v>10</v>
      </c>
      <c r="AR547" s="31"/>
      <c r="AS547" s="31"/>
      <c r="AT547" s="35" t="s">
        <v>222</v>
      </c>
      <c r="AU547" s="35"/>
    </row>
    <row r="548" ht="15.75" customHeight="1">
      <c r="A548" s="15" t="s">
        <v>4105</v>
      </c>
      <c r="B548" s="15" t="s">
        <v>60</v>
      </c>
      <c r="C548" s="15" t="s">
        <v>236</v>
      </c>
      <c r="D548" s="15" t="s">
        <v>4106</v>
      </c>
      <c r="E548" s="15" t="s">
        <v>4106</v>
      </c>
      <c r="F548" s="65" t="s">
        <v>788</v>
      </c>
      <c r="G548" s="66" t="s">
        <v>98</v>
      </c>
      <c r="H548" s="18" t="s">
        <v>4108</v>
      </c>
      <c r="I548" s="18" t="s">
        <v>8391</v>
      </c>
      <c r="J548" s="18" t="s">
        <v>98</v>
      </c>
      <c r="K548" s="18" t="s">
        <v>98</v>
      </c>
      <c r="L548" s="18" t="s">
        <v>98</v>
      </c>
      <c r="M548" s="18" t="s">
        <v>98</v>
      </c>
      <c r="N548" s="18" t="s">
        <v>98</v>
      </c>
      <c r="O548" s="18" t="s">
        <v>98</v>
      </c>
      <c r="P548" s="15" t="str">
        <f t="shared" si="1"/>
        <v>VERIFY</v>
      </c>
      <c r="Q548" s="15">
        <f t="shared" si="2"/>
        <v>1</v>
      </c>
      <c r="R548" s="15">
        <f t="shared" si="3"/>
        <v>6</v>
      </c>
      <c r="S548" s="15">
        <f t="shared" si="4"/>
        <v>5</v>
      </c>
      <c r="T548" s="15" t="str">
        <f t="shared" si="5"/>
        <v>B-5</v>
      </c>
      <c r="U548" s="15" t="str">
        <f t="shared" si="6"/>
        <v>T1-M6-H5-FB-5-VERIFY</v>
      </c>
      <c r="V548" s="15">
        <f t="shared" si="7"/>
        <v>0</v>
      </c>
      <c r="W548" s="31"/>
      <c r="X548" s="15" t="str">
        <f t="shared" si="8"/>
        <v>pali</v>
      </c>
      <c r="Y548" s="32" t="str">
        <f t="shared" si="9"/>
        <v>https://steelmanufacturer.in/market-area/electropolished-pipes-manufacturer-in-pali/</v>
      </c>
      <c r="Z548" s="15" t="str">
        <f t="shared" si="10"/>
        <v>Electropolished Pipes Manufacturer in Pali | Sakshi Forge</v>
      </c>
      <c r="AA548" s="15" t="str">
        <f t="shared" si="11"/>
        <v>OK (57)</v>
      </c>
      <c r="AB548" s="15" t="str">
        <f t="shared" si="12"/>
        <v>EP tube and pipe for VERIFY plants around RIICO Industrial Area, Pali. Made at our Mumbai works to ASTM A270 and ASME BPE SF1-SF4, with 3.1 MTC.</v>
      </c>
      <c r="AC548" s="15" t="str">
        <f t="shared" si="13"/>
        <v>PENDING RESEARCH</v>
      </c>
      <c r="AD548" s="15" t="str">
        <f t="shared" si="14"/>
        <v>Electropolished Pipes Manufacturer in Pali</v>
      </c>
      <c r="AE548" s="15" t="str">
        <f t="shared" si="15"/>
        <v>Electropolished Tube Manufacturing Capability Serving Pali</v>
      </c>
      <c r="AF548" s="15" t="str">
        <f t="shared" si="16"/>
        <v>Electropolished Pipes Supplier in Pali - From Order to Delivery</v>
      </c>
      <c r="AG548" s="15" t="str">
        <f t="shared" si="17"/>
        <v>Stockist &amp; Wholesale Supply of Electropolished Pipes in Pali</v>
      </c>
      <c r="AH548" s="15" t="str">
        <f t="shared" si="18"/>
        <v>electropolished pipes manufacturer in Pali, electropolished pipes supplier in Pali, electropolished pipes wholesaler in Pali, electropolished tube manufacturer Pali, EP pipe supplier Pali, sanitary tube supplier Pali, ASME BPE tubing Pali, ASTM A270 tube Pali, SS 316L electropolished pipe Pali</v>
      </c>
      <c r="AI548" s="15" t="str">
        <f t="shared" si="19"/>
        <v>Electropolished Pipes Manufacturer &amp; Supplier in Pali</v>
      </c>
      <c r="AJ548" s="15" t="str">
        <f t="shared" si="20"/>
        <v>EP-finished SS 304/316L pipes and tubes for VERIFY plants in Pali. ASME BPE SF1-SF4, Ra from 0.25 um, EN 10204 3.1 certificate with every lot.</v>
      </c>
      <c r="AK548" s="15" t="str">
        <f t="shared" si="21"/>
        <v>Electropolished stainless steel pipes supplied by Sakshi Forge to VERIFY plants at RIICO Industrial Area, Pali</v>
      </c>
      <c r="AL548" s="15" t="str">
        <f t="shared" si="22"/>
        <v>Electropolished SS 316L tube stock for Pali - Sakshi Forge</v>
      </c>
      <c r="AM548" s="15" t="str">
        <f t="shared" si="23"/>
        <v>Home &gt; Market Area &gt; India &gt; Rajasthan &gt; Pali</v>
      </c>
      <c r="AN548" s="15">
        <f t="shared" si="24"/>
        <v>1000</v>
      </c>
      <c r="AO548" s="15">
        <f t="shared" si="25"/>
        <v>8</v>
      </c>
      <c r="AP548" s="15">
        <f t="shared" si="26"/>
        <v>8</v>
      </c>
      <c r="AQ548" s="15">
        <f t="shared" si="27"/>
        <v>10</v>
      </c>
      <c r="AR548" s="31"/>
      <c r="AS548" s="31"/>
      <c r="AT548" s="35" t="s">
        <v>222</v>
      </c>
      <c r="AU548" s="35"/>
    </row>
    <row r="549" ht="15.75" customHeight="1">
      <c r="A549" s="15" t="s">
        <v>4109</v>
      </c>
      <c r="B549" s="15" t="s">
        <v>60</v>
      </c>
      <c r="C549" s="15" t="s">
        <v>245</v>
      </c>
      <c r="D549" s="15" t="s">
        <v>4110</v>
      </c>
      <c r="E549" s="15" t="s">
        <v>4110</v>
      </c>
      <c r="F549" s="65" t="s">
        <v>788</v>
      </c>
      <c r="G549" s="66" t="s">
        <v>98</v>
      </c>
      <c r="H549" s="18" t="s">
        <v>4112</v>
      </c>
      <c r="I549" s="18" t="s">
        <v>8407</v>
      </c>
      <c r="J549" s="18" t="s">
        <v>98</v>
      </c>
      <c r="K549" s="18" t="s">
        <v>98</v>
      </c>
      <c r="L549" s="18" t="s">
        <v>98</v>
      </c>
      <c r="M549" s="18" t="s">
        <v>98</v>
      </c>
      <c r="N549" s="18" t="s">
        <v>98</v>
      </c>
      <c r="O549" s="18" t="s">
        <v>98</v>
      </c>
      <c r="P549" s="15" t="str">
        <f t="shared" si="1"/>
        <v>VERIFY</v>
      </c>
      <c r="Q549" s="15">
        <f t="shared" si="2"/>
        <v>2</v>
      </c>
      <c r="R549" s="15">
        <f t="shared" si="3"/>
        <v>7</v>
      </c>
      <c r="S549" s="15">
        <f t="shared" si="4"/>
        <v>1</v>
      </c>
      <c r="T549" s="15" t="str">
        <f t="shared" si="5"/>
        <v>B-6</v>
      </c>
      <c r="U549" s="15" t="str">
        <f t="shared" si="6"/>
        <v>T2-M7-H1-FB-6-VERIFY</v>
      </c>
      <c r="V549" s="15">
        <f t="shared" si="7"/>
        <v>0</v>
      </c>
      <c r="W549" s="31"/>
      <c r="X549" s="15" t="str">
        <f t="shared" si="8"/>
        <v>palwal</v>
      </c>
      <c r="Y549" s="32" t="str">
        <f t="shared" si="9"/>
        <v>https://steelmanufacturer.in/market-area/electropolished-pipes-manufacturer-in-palwal/</v>
      </c>
      <c r="Z549" s="15" t="str">
        <f t="shared" si="10"/>
        <v>Electropolished Pipes Manufacturer in Palwal</v>
      </c>
      <c r="AA549" s="15" t="str">
        <f t="shared" si="11"/>
        <v>OK (44)</v>
      </c>
      <c r="AB549" s="15" t="str">
        <f t="shared" si="12"/>
        <v>Electropolished pipes in Palwal: 304, 304L, 316 and 316L in SF1-SF4. VERIFY. Mill certified.</v>
      </c>
      <c r="AC549" s="15" t="str">
        <f t="shared" si="13"/>
        <v>PENDING RESEARCH</v>
      </c>
      <c r="AD549" s="15" t="str">
        <f t="shared" si="14"/>
        <v>Electropolished Pipes Manufacturer in Palwal</v>
      </c>
      <c r="AE549" s="15" t="str">
        <f t="shared" si="15"/>
        <v>Electropolished Pipe &amp; Tube Manufacturing for Palwal - Grades, Finishes &amp; Certification</v>
      </c>
      <c r="AF549" s="15" t="str">
        <f t="shared" si="16"/>
        <v>Electropolished Pipes Supplier in Palwal - Stock Sizes, Lead Time &amp; Delivery</v>
      </c>
      <c r="AG549" s="15" t="str">
        <f t="shared" si="17"/>
        <v>Electropolished Pipes Wholesaler &amp; Stockist in Palwal - Bulk &amp; Project Pricing</v>
      </c>
      <c r="AH549" s="15" t="str">
        <f t="shared" si="18"/>
        <v>electropolished pipes manufacturer in Palwal, electropolished pipes supplier in Palwal, electropolished pipes wholesaler in Palwal, electropolished tube manufacturer Palwal, EP pipe supplier Palwal, sanitary tube supplier Palwal, ASME BPE tubing Palwal, ASTM A270 tube Palwal, SS 316L electropolished pipe Palwal</v>
      </c>
      <c r="AI549" s="15" t="str">
        <f t="shared" si="19"/>
        <v>Electropolished Pipes Manufacturer &amp; Supplier in Palwal</v>
      </c>
      <c r="AJ549" s="15" t="str">
        <f t="shared" si="20"/>
        <v>EP-finished SS 304/316L pipes and tubes for VERIFY plants in Palwal. ASME BPE SF1-SF4, Ra from 0.25 um, EN 10204 3.1 certificate with every lot.</v>
      </c>
      <c r="AK549" s="15" t="str">
        <f t="shared" si="21"/>
        <v>Electropolished stainless steel pipes supplied by Sakshi Forge to VERIFY plants at HSIIDC Industrial Area, Palwal</v>
      </c>
      <c r="AL549" s="15" t="str">
        <f t="shared" si="22"/>
        <v>Electropolished SS 316L tube stock for Palwal - Sakshi Forge</v>
      </c>
      <c r="AM549" s="15" t="str">
        <f t="shared" si="23"/>
        <v>Home &gt; Market Area &gt; India &gt; Haryana &gt; Palwal</v>
      </c>
      <c r="AN549" s="15">
        <f t="shared" si="24"/>
        <v>1000</v>
      </c>
      <c r="AO549" s="15">
        <f t="shared" si="25"/>
        <v>8</v>
      </c>
      <c r="AP549" s="15">
        <f t="shared" si="26"/>
        <v>8</v>
      </c>
      <c r="AQ549" s="15">
        <f t="shared" si="27"/>
        <v>10</v>
      </c>
      <c r="AR549" s="31"/>
      <c r="AS549" s="31"/>
      <c r="AT549" s="35" t="s">
        <v>222</v>
      </c>
      <c r="AU549" s="35"/>
    </row>
    <row r="550" ht="15.75" customHeight="1">
      <c r="A550" s="15" t="s">
        <v>4113</v>
      </c>
      <c r="B550" s="15" t="s">
        <v>60</v>
      </c>
      <c r="C550" s="15" t="s">
        <v>224</v>
      </c>
      <c r="D550" s="15" t="s">
        <v>4114</v>
      </c>
      <c r="E550" s="15" t="s">
        <v>4114</v>
      </c>
      <c r="F550" s="65" t="s">
        <v>788</v>
      </c>
      <c r="G550" s="66" t="s">
        <v>98</v>
      </c>
      <c r="H550" s="18" t="s">
        <v>4116</v>
      </c>
      <c r="I550" s="18" t="s">
        <v>8400</v>
      </c>
      <c r="J550" s="18" t="s">
        <v>98</v>
      </c>
      <c r="K550" s="18" t="s">
        <v>98</v>
      </c>
      <c r="L550" s="18" t="s">
        <v>98</v>
      </c>
      <c r="M550" s="18" t="s">
        <v>98</v>
      </c>
      <c r="N550" s="18" t="s">
        <v>98</v>
      </c>
      <c r="O550" s="18" t="s">
        <v>98</v>
      </c>
      <c r="P550" s="15" t="str">
        <f t="shared" si="1"/>
        <v>VERIFY</v>
      </c>
      <c r="Q550" s="15">
        <f t="shared" si="2"/>
        <v>3</v>
      </c>
      <c r="R550" s="15">
        <f t="shared" si="3"/>
        <v>1</v>
      </c>
      <c r="S550" s="15">
        <f t="shared" si="4"/>
        <v>2</v>
      </c>
      <c r="T550" s="15" t="str">
        <f t="shared" si="5"/>
        <v>B-1</v>
      </c>
      <c r="U550" s="15" t="str">
        <f t="shared" si="6"/>
        <v>T3-M1-H2-FB-1-VERIFY</v>
      </c>
      <c r="V550" s="15">
        <f t="shared" si="7"/>
        <v>0</v>
      </c>
      <c r="W550" s="31"/>
      <c r="X550" s="15" t="str">
        <f t="shared" si="8"/>
        <v>panoli</v>
      </c>
      <c r="Y550" s="32" t="str">
        <f t="shared" si="9"/>
        <v>https://steelmanufacturer.in/market-area/electropolished-pipes-manufacturer-in-panoli/</v>
      </c>
      <c r="Z550" s="15" t="str">
        <f t="shared" si="10"/>
        <v>Electropolished Pipes Manufacturer in Panoli | EP Tube Supplier</v>
      </c>
      <c r="AA550" s="15" t="str">
        <f t="shared" si="11"/>
        <v>OK (63)</v>
      </c>
      <c r="AB550" s="15" t="str">
        <f t="shared" si="12"/>
        <v>EP-finished SS 304/316L pipes &amp; tubes for VERIFY plants in Panoli. ASTM A270, ASME BPE SF1-SF4, EN 10204 3.1 MTC. PMI tested.</v>
      </c>
      <c r="AC550" s="15" t="str">
        <f t="shared" si="13"/>
        <v>PENDING RESEARCH</v>
      </c>
      <c r="AD550" s="15" t="str">
        <f t="shared" si="14"/>
        <v>Electropolished Pipes Manufacturer in Panoli</v>
      </c>
      <c r="AE550" s="15" t="str">
        <f t="shared" si="15"/>
        <v>How We Manufacture Electropolished Tube for Panoli Plants</v>
      </c>
      <c r="AF550" s="15" t="str">
        <f t="shared" si="16"/>
        <v>Supplying Electropolished Pipes in Panoli: Availability, Sizes &amp; Dispatch</v>
      </c>
      <c r="AG550" s="15" t="str">
        <f t="shared" si="17"/>
        <v>Wholesale Electropolished Pipe Supply for Panoli Projects</v>
      </c>
      <c r="AH550" s="15" t="str">
        <f t="shared" si="18"/>
        <v>electropolished pipes manufacturer in Panoli, electropolished pipes supplier in Panoli, electropolished pipes wholesaler in Panoli, electropolished tube manufacturer Panoli, EP pipe supplier Panoli, sanitary tube supplier Panoli, ASME BPE tubing Panoli, ASTM A270 tube Panoli, SS 316L electropolished pipe Panoli</v>
      </c>
      <c r="AI550" s="15" t="str">
        <f t="shared" si="19"/>
        <v>Electropolished Pipes Manufacturer &amp; Supplier in Panoli</v>
      </c>
      <c r="AJ550" s="15" t="str">
        <f t="shared" si="20"/>
        <v>EP-finished SS 304/316L pipes and tubes for VERIFY plants in Panoli. ASME BPE SF1-SF4, Ra from 0.25 um, EN 10204 3.1 certificate with every lot.</v>
      </c>
      <c r="AK550" s="15" t="str">
        <f t="shared" si="21"/>
        <v>Electropolished stainless steel pipes supplied by Sakshi Forge to VERIFY plants at GIDC Industrial Area, Panoli</v>
      </c>
      <c r="AL550" s="15" t="str">
        <f t="shared" si="22"/>
        <v>Electropolished SS 316L tube stock for Panoli - Sakshi Forge</v>
      </c>
      <c r="AM550" s="15" t="str">
        <f t="shared" si="23"/>
        <v>Home &gt; Market Area &gt; India &gt; Gujarat &gt; Panoli</v>
      </c>
      <c r="AN550" s="15">
        <f t="shared" si="24"/>
        <v>1000</v>
      </c>
      <c r="AO550" s="15">
        <f t="shared" si="25"/>
        <v>8</v>
      </c>
      <c r="AP550" s="15">
        <f t="shared" si="26"/>
        <v>8</v>
      </c>
      <c r="AQ550" s="15">
        <f t="shared" si="27"/>
        <v>10</v>
      </c>
      <c r="AR550" s="31"/>
      <c r="AS550" s="31"/>
      <c r="AT550" s="35" t="s">
        <v>222</v>
      </c>
      <c r="AU550" s="35"/>
    </row>
    <row r="551" ht="15.75" customHeight="1">
      <c r="A551" s="15" t="s">
        <v>4117</v>
      </c>
      <c r="B551" s="15" t="s">
        <v>60</v>
      </c>
      <c r="C551" s="15" t="s">
        <v>264</v>
      </c>
      <c r="D551" s="15" t="s">
        <v>4118</v>
      </c>
      <c r="E551" s="15" t="s">
        <v>4118</v>
      </c>
      <c r="F551" s="65" t="s">
        <v>788</v>
      </c>
      <c r="G551" s="66" t="s">
        <v>98</v>
      </c>
      <c r="H551" s="18" t="s">
        <v>4120</v>
      </c>
      <c r="I551" s="18" t="s">
        <v>8395</v>
      </c>
      <c r="J551" s="18" t="s">
        <v>98</v>
      </c>
      <c r="K551" s="18" t="s">
        <v>98</v>
      </c>
      <c r="L551" s="18" t="s">
        <v>98</v>
      </c>
      <c r="M551" s="18" t="s">
        <v>98</v>
      </c>
      <c r="N551" s="18" t="s">
        <v>98</v>
      </c>
      <c r="O551" s="18" t="s">
        <v>98</v>
      </c>
      <c r="P551" s="15" t="str">
        <f t="shared" si="1"/>
        <v>VERIFY</v>
      </c>
      <c r="Q551" s="15">
        <f t="shared" si="2"/>
        <v>4</v>
      </c>
      <c r="R551" s="15">
        <f t="shared" si="3"/>
        <v>2</v>
      </c>
      <c r="S551" s="15">
        <f t="shared" si="4"/>
        <v>3</v>
      </c>
      <c r="T551" s="15" t="str">
        <f t="shared" si="5"/>
        <v>B-2</v>
      </c>
      <c r="U551" s="15" t="str">
        <f t="shared" si="6"/>
        <v>T4-M2-H3-FB-2-VERIFY</v>
      </c>
      <c r="V551" s="15">
        <f t="shared" si="7"/>
        <v>0</v>
      </c>
      <c r="W551" s="31"/>
      <c r="X551" s="15" t="str">
        <f t="shared" si="8"/>
        <v>parbhani</v>
      </c>
      <c r="Y551" s="32" t="str">
        <f t="shared" si="9"/>
        <v>https://steelmanufacturer.in/market-area/electropolished-pipes-manufacturer-in-parbhani/</v>
      </c>
      <c r="Z551" s="15" t="str">
        <f t="shared" si="10"/>
        <v>Electropolished Pipes Manufacturer in Parbhani</v>
      </c>
      <c r="AA551" s="15" t="str">
        <f t="shared" si="11"/>
        <v>OK (46)</v>
      </c>
      <c r="AB551" s="15" t="str">
        <f t="shared" si="12"/>
        <v>Electropolished tube supply to MIDC Industrial Area, Parbhani. Ra from 0.25 um, SF4 finish, mill test certificate with every lot.</v>
      </c>
      <c r="AC551" s="15" t="str">
        <f t="shared" si="13"/>
        <v>PENDING RESEARCH</v>
      </c>
      <c r="AD551" s="15" t="str">
        <f t="shared" si="14"/>
        <v>Electropolished Pipes Manufacturer in Parbhani</v>
      </c>
      <c r="AE551" s="15" t="str">
        <f t="shared" si="15"/>
        <v>Electropolished Pipes Manufacturer in Parbhani - Our Process &amp; Capability</v>
      </c>
      <c r="AF551" s="15" t="str">
        <f t="shared" si="16"/>
        <v>Electropolished Pipes Supplier in Parbhani - What We Hold in Stock</v>
      </c>
      <c r="AG551" s="15" t="str">
        <f t="shared" si="17"/>
        <v>Bulk &amp; Wholesale Electropolished Pipe Rates for Parbhani Buyers</v>
      </c>
      <c r="AH551" s="15" t="str">
        <f t="shared" si="18"/>
        <v>electropolished pipes manufacturer in Parbhani, electropolished pipes supplier in Parbhani, electropolished pipes wholesaler in Parbhani, electropolished tube manufacturer Parbhani, EP pipe supplier Parbhani, sanitary tube supplier Parbhani, ASME BPE tubing Parbhani, ASTM A270 tube Parbhani, SS 316L electropolished pipe Parbhani</v>
      </c>
      <c r="AI551" s="15" t="str">
        <f t="shared" si="19"/>
        <v>Electropolished Pipes Manufacturer &amp; Supplier in Parbhani</v>
      </c>
      <c r="AJ551" s="15" t="str">
        <f t="shared" si="20"/>
        <v>EP-finished SS 304/316L pipes and tubes for VERIFY plants in Parbhani. ASME BPE SF1-SF4, Ra from 0.25 um, EN 10204 3.1 certificate with every lot.</v>
      </c>
      <c r="AK551" s="15" t="str">
        <f t="shared" si="21"/>
        <v>Electropolished stainless steel pipes supplied by Sakshi Forge to VERIFY plants at MIDC Industrial Area, Parbhani</v>
      </c>
      <c r="AL551" s="15" t="str">
        <f t="shared" si="22"/>
        <v>Electropolished SS 316L tube stock for Parbhani - Sakshi Forge</v>
      </c>
      <c r="AM551" s="15" t="str">
        <f t="shared" si="23"/>
        <v>Home &gt; Market Area &gt; India &gt; Maharashtra &gt; Parbhani</v>
      </c>
      <c r="AN551" s="15">
        <f t="shared" si="24"/>
        <v>1000</v>
      </c>
      <c r="AO551" s="15">
        <f t="shared" si="25"/>
        <v>8</v>
      </c>
      <c r="AP551" s="15">
        <f t="shared" si="26"/>
        <v>8</v>
      </c>
      <c r="AQ551" s="15">
        <f t="shared" si="27"/>
        <v>10</v>
      </c>
      <c r="AR551" s="31"/>
      <c r="AS551" s="31"/>
      <c r="AT551" s="35" t="s">
        <v>222</v>
      </c>
      <c r="AU551" s="35"/>
    </row>
    <row r="552" ht="15.75" customHeight="1">
      <c r="A552" s="15" t="s">
        <v>4121</v>
      </c>
      <c r="B552" s="15" t="s">
        <v>60</v>
      </c>
      <c r="C552" s="15" t="s">
        <v>447</v>
      </c>
      <c r="D552" s="15" t="s">
        <v>4123</v>
      </c>
      <c r="E552" s="15" t="s">
        <v>4123</v>
      </c>
      <c r="F552" s="65" t="s">
        <v>788</v>
      </c>
      <c r="G552" s="66" t="s">
        <v>98</v>
      </c>
      <c r="H552" s="18" t="s">
        <v>4127</v>
      </c>
      <c r="I552" s="18" t="s">
        <v>8411</v>
      </c>
      <c r="J552" s="18" t="s">
        <v>98</v>
      </c>
      <c r="K552" s="18" t="s">
        <v>98</v>
      </c>
      <c r="L552" s="18" t="s">
        <v>98</v>
      </c>
      <c r="M552" s="18" t="s">
        <v>98</v>
      </c>
      <c r="N552" s="18" t="s">
        <v>98</v>
      </c>
      <c r="O552" s="18" t="s">
        <v>98</v>
      </c>
      <c r="P552" s="15" t="str">
        <f t="shared" si="1"/>
        <v>VERIFY</v>
      </c>
      <c r="Q552" s="15">
        <f t="shared" si="2"/>
        <v>5</v>
      </c>
      <c r="R552" s="15">
        <f t="shared" si="3"/>
        <v>3</v>
      </c>
      <c r="S552" s="15">
        <f t="shared" si="4"/>
        <v>4</v>
      </c>
      <c r="T552" s="15" t="str">
        <f t="shared" si="5"/>
        <v>B-3</v>
      </c>
      <c r="U552" s="15" t="str">
        <f t="shared" si="6"/>
        <v>T5-M3-H4-FB-3-VERIFY</v>
      </c>
      <c r="V552" s="15">
        <f t="shared" si="7"/>
        <v>0</v>
      </c>
      <c r="W552" s="31"/>
      <c r="X552" s="15" t="str">
        <f t="shared" si="8"/>
        <v>parwanoo</v>
      </c>
      <c r="Y552" s="32" t="str">
        <f t="shared" si="9"/>
        <v>https://steelmanufacturer.in/market-area/electropolished-pipes-manufacturer-in-parwanoo/</v>
      </c>
      <c r="Z552" s="15" t="str">
        <f t="shared" si="10"/>
        <v>Electropolished Pipes Manufacturer in Parwanoo</v>
      </c>
      <c r="AA552" s="15" t="str">
        <f t="shared" si="11"/>
        <v>OK (46)</v>
      </c>
      <c r="AB552" s="15" t="str">
        <f t="shared" si="12"/>
        <v>EP stainless tube for VERIFY lines in Parwanoo. VERIFY. ASTM A270 S2, PMI tested, EN 10204 3.1.</v>
      </c>
      <c r="AC552" s="15" t="str">
        <f t="shared" si="13"/>
        <v>PENDING RESEARCH</v>
      </c>
      <c r="AD552" s="15" t="str">
        <f t="shared" si="14"/>
        <v>Electropolished Pipes Manufacturer in Parwanoo</v>
      </c>
      <c r="AE552" s="15" t="str">
        <f t="shared" si="15"/>
        <v>Manufacturing Electropolished SS Tube for Parwanoo: The Standards We Build To</v>
      </c>
      <c r="AF552" s="15" t="str">
        <f t="shared" si="16"/>
        <v>Electropolished Pipe Supply Into Parwanoo - Certification &amp; Transit</v>
      </c>
      <c r="AG552" s="15" t="str">
        <f t="shared" si="17"/>
        <v>Electropolished Pipes Wholesaler in Parwanoo - Project Quantities &amp; Terms</v>
      </c>
      <c r="AH552" s="15" t="str">
        <f t="shared" si="18"/>
        <v>electropolished pipes manufacturer in Parwanoo, electropolished pipes supplier in Parwanoo, electropolished pipes wholesaler in Parwanoo, electropolished tube manufacturer Parwanoo, EP pipe supplier Parwanoo, sanitary tube supplier Parwanoo, ASME BPE tubing Parwanoo, ASTM A270 tube Parwanoo, SS 316L electropolished pipe Parwanoo</v>
      </c>
      <c r="AI552" s="15" t="str">
        <f t="shared" si="19"/>
        <v>Electropolished Pipes Manufacturer &amp; Supplier in Parwanoo</v>
      </c>
      <c r="AJ552" s="15" t="str">
        <f t="shared" si="20"/>
        <v>EP-finished SS 304/316L pipes and tubes for VERIFY plants in Parwanoo. ASME BPE SF1-SF4, Ra from 0.25 um, EN 10204 3.1 certificate with every lot.</v>
      </c>
      <c r="AK552" s="15" t="str">
        <f t="shared" si="21"/>
        <v>Electropolished stainless steel pipes supplied by Sakshi Forge to VERIFY plants at HPSIDC Industrial Area, Parwanoo</v>
      </c>
      <c r="AL552" s="15" t="str">
        <f t="shared" si="22"/>
        <v>Electropolished SS 316L tube stock for Parwanoo - Sakshi Forge</v>
      </c>
      <c r="AM552" s="15" t="str">
        <f t="shared" si="23"/>
        <v>Home &gt; Market Area &gt; India &gt; Himachal Pradesh &gt; Parwanoo</v>
      </c>
      <c r="AN552" s="15">
        <f t="shared" si="24"/>
        <v>1000</v>
      </c>
      <c r="AO552" s="15">
        <f t="shared" si="25"/>
        <v>8</v>
      </c>
      <c r="AP552" s="15">
        <f t="shared" si="26"/>
        <v>8</v>
      </c>
      <c r="AQ552" s="15">
        <f t="shared" si="27"/>
        <v>10</v>
      </c>
      <c r="AR552" s="31"/>
      <c r="AS552" s="31"/>
      <c r="AT552" s="35" t="s">
        <v>222</v>
      </c>
      <c r="AU552" s="35"/>
    </row>
    <row r="553" ht="15.75" customHeight="1">
      <c r="A553" s="15" t="s">
        <v>4131</v>
      </c>
      <c r="B553" s="15" t="s">
        <v>60</v>
      </c>
      <c r="C553" s="15" t="s">
        <v>224</v>
      </c>
      <c r="D553" s="15" t="s">
        <v>4132</v>
      </c>
      <c r="E553" s="15" t="s">
        <v>4132</v>
      </c>
      <c r="F553" s="65" t="s">
        <v>788</v>
      </c>
      <c r="G553" s="66" t="s">
        <v>98</v>
      </c>
      <c r="H553" s="18" t="s">
        <v>4134</v>
      </c>
      <c r="I553" s="18" t="s">
        <v>8400</v>
      </c>
      <c r="J553" s="18" t="s">
        <v>98</v>
      </c>
      <c r="K553" s="18" t="s">
        <v>98</v>
      </c>
      <c r="L553" s="18" t="s">
        <v>98</v>
      </c>
      <c r="M553" s="18" t="s">
        <v>98</v>
      </c>
      <c r="N553" s="18" t="s">
        <v>98</v>
      </c>
      <c r="O553" s="18" t="s">
        <v>98</v>
      </c>
      <c r="P553" s="15" t="str">
        <f t="shared" si="1"/>
        <v>VERIFY</v>
      </c>
      <c r="Q553" s="15">
        <f t="shared" si="2"/>
        <v>6</v>
      </c>
      <c r="R553" s="15">
        <f t="shared" si="3"/>
        <v>4</v>
      </c>
      <c r="S553" s="15">
        <f t="shared" si="4"/>
        <v>5</v>
      </c>
      <c r="T553" s="15" t="str">
        <f t="shared" si="5"/>
        <v>B-4</v>
      </c>
      <c r="U553" s="15" t="str">
        <f t="shared" si="6"/>
        <v>T6-M4-H5-FB-4-VERIFY</v>
      </c>
      <c r="V553" s="15">
        <f t="shared" si="7"/>
        <v>0</v>
      </c>
      <c r="W553" s="31"/>
      <c r="X553" s="15" t="str">
        <f t="shared" si="8"/>
        <v>patan</v>
      </c>
      <c r="Y553" s="32" t="str">
        <f t="shared" si="9"/>
        <v>https://steelmanufacturer.in/market-area/electropolished-pipes-manufacturer-in-patan/</v>
      </c>
      <c r="Z553" s="15" t="str">
        <f t="shared" si="10"/>
        <v>Electropolished Pipes Manufacturer in Patan</v>
      </c>
      <c r="AA553" s="15" t="str">
        <f t="shared" si="11"/>
        <v>OK (43)</v>
      </c>
      <c r="AB553" s="15" t="str">
        <f t="shared" si="12"/>
        <v>Sanitary electropolished pipes in Patan for VERIFY plants. ASME BPE SF1-SF4, orbital-weld ready, 3.1 MTC. Mumbai-made.</v>
      </c>
      <c r="AC553" s="15" t="str">
        <f t="shared" si="13"/>
        <v>PENDING RESEARCH</v>
      </c>
      <c r="AD553" s="15" t="str">
        <f t="shared" si="14"/>
        <v>Electropolished Pipes Manufacturer in Patan</v>
      </c>
      <c r="AE553" s="15" t="str">
        <f t="shared" si="15"/>
        <v>Electropolished Tube Manufacturing Capability Serving Patan</v>
      </c>
      <c r="AF553" s="15" t="str">
        <f t="shared" si="16"/>
        <v>Electropolished Pipes Supplier in Patan - From Order to Delivery</v>
      </c>
      <c r="AG553" s="15" t="str">
        <f t="shared" si="17"/>
        <v>Stockist &amp; Wholesale Supply of Electropolished Pipes in Patan</v>
      </c>
      <c r="AH553" s="15" t="str">
        <f t="shared" si="18"/>
        <v>electropolished pipes manufacturer in Patan, electropolished pipes supplier in Patan, electropolished pipes wholesaler in Patan, electropolished tube manufacturer Patan, EP pipe supplier Patan, sanitary tube supplier Patan, ASME BPE tubing Patan, ASTM A270 tube Patan, SS 316L electropolished pipe Patan</v>
      </c>
      <c r="AI553" s="15" t="str">
        <f t="shared" si="19"/>
        <v>Electropolished Pipes Manufacturer &amp; Supplier in Patan</v>
      </c>
      <c r="AJ553" s="15" t="str">
        <f t="shared" si="20"/>
        <v>EP-finished SS 304/316L pipes and tubes for VERIFY plants in Patan. ASME BPE SF1-SF4, Ra from 0.25 um, EN 10204 3.1 certificate with every lot.</v>
      </c>
      <c r="AK553" s="15" t="str">
        <f t="shared" si="21"/>
        <v>Electropolished stainless steel pipes supplied by Sakshi Forge to VERIFY plants at GIDC Industrial Area, Patan</v>
      </c>
      <c r="AL553" s="15" t="str">
        <f t="shared" si="22"/>
        <v>Electropolished SS 316L tube stock for Patan - Sakshi Forge</v>
      </c>
      <c r="AM553" s="15" t="str">
        <f t="shared" si="23"/>
        <v>Home &gt; Market Area &gt; India &gt; Gujarat &gt; Patan</v>
      </c>
      <c r="AN553" s="15">
        <f t="shared" si="24"/>
        <v>1000</v>
      </c>
      <c r="AO553" s="15">
        <f t="shared" si="25"/>
        <v>8</v>
      </c>
      <c r="AP553" s="15">
        <f t="shared" si="26"/>
        <v>8</v>
      </c>
      <c r="AQ553" s="15">
        <f t="shared" si="27"/>
        <v>10</v>
      </c>
      <c r="AR553" s="31"/>
      <c r="AS553" s="31"/>
      <c r="AT553" s="35" t="s">
        <v>222</v>
      </c>
      <c r="AU553" s="35"/>
    </row>
    <row r="554" ht="15.75" customHeight="1">
      <c r="A554" s="15" t="s">
        <v>4135</v>
      </c>
      <c r="B554" s="15" t="s">
        <v>60</v>
      </c>
      <c r="C554" s="15" t="s">
        <v>1687</v>
      </c>
      <c r="D554" s="15" t="s">
        <v>4136</v>
      </c>
      <c r="E554" s="15" t="s">
        <v>4136</v>
      </c>
      <c r="F554" s="65" t="s">
        <v>788</v>
      </c>
      <c r="G554" s="66" t="s">
        <v>98</v>
      </c>
      <c r="H554" s="18" t="s">
        <v>4138</v>
      </c>
      <c r="I554" s="18" t="s">
        <v>8397</v>
      </c>
      <c r="J554" s="18" t="s">
        <v>98</v>
      </c>
      <c r="K554" s="18" t="s">
        <v>98</v>
      </c>
      <c r="L554" s="18" t="s">
        <v>98</v>
      </c>
      <c r="M554" s="18" t="s">
        <v>98</v>
      </c>
      <c r="N554" s="18" t="s">
        <v>98</v>
      </c>
      <c r="O554" s="18" t="s">
        <v>98</v>
      </c>
      <c r="P554" s="15" t="str">
        <f t="shared" si="1"/>
        <v>VERIFY</v>
      </c>
      <c r="Q554" s="15">
        <f t="shared" si="2"/>
        <v>7</v>
      </c>
      <c r="R554" s="15">
        <f t="shared" si="3"/>
        <v>5</v>
      </c>
      <c r="S554" s="15">
        <f t="shared" si="4"/>
        <v>1</v>
      </c>
      <c r="T554" s="15" t="str">
        <f t="shared" si="5"/>
        <v>B-5</v>
      </c>
      <c r="U554" s="15" t="str">
        <f t="shared" si="6"/>
        <v>T7-M5-H1-FB-5-VERIFY</v>
      </c>
      <c r="V554" s="15">
        <f t="shared" si="7"/>
        <v>0</v>
      </c>
      <c r="W554" s="31"/>
      <c r="X554" s="15" t="str">
        <f t="shared" si="8"/>
        <v>pathanamthitta</v>
      </c>
      <c r="Y554" s="32" t="str">
        <f t="shared" si="9"/>
        <v>https://steelmanufacturer.in/market-area/electropolished-pipes-manufacturer-in-pathanamthitta/</v>
      </c>
      <c r="Z554" s="15" t="str">
        <f t="shared" si="10"/>
        <v>Electropolished Pipes Manufacturer in Pathanamthitta</v>
      </c>
      <c r="AA554" s="15" t="str">
        <f t="shared" si="11"/>
        <v>OK (52)</v>
      </c>
      <c r="AB554" s="15" t="str">
        <f t="shared" si="12"/>
        <v>Manufacturer of electropolished SS 316L tube serving Pathanamthitta. VERIFY. Ra 0.25-0.5 um, EN 10204 3.1 MTC.</v>
      </c>
      <c r="AC554" s="15" t="str">
        <f t="shared" si="13"/>
        <v>PENDING RESEARCH</v>
      </c>
      <c r="AD554" s="15" t="str">
        <f t="shared" si="14"/>
        <v>Electropolished Pipes Manufacturer in Pathanamthitta</v>
      </c>
      <c r="AE554" s="15" t="str">
        <f t="shared" si="15"/>
        <v>Electropolished Pipe &amp; Tube Manufacturing for Pathanamthitta - Grades, Finishes &amp; Certification</v>
      </c>
      <c r="AF554" s="15" t="str">
        <f t="shared" si="16"/>
        <v>Electropolished Pipes Supplier in Pathanamthitta - Stock Sizes, Lead Time &amp; Delivery</v>
      </c>
      <c r="AG554" s="15" t="str">
        <f t="shared" si="17"/>
        <v>Electropolished Pipes Wholesaler &amp; Stockist in Pathanamthitta - Bulk &amp; Project Pricing</v>
      </c>
      <c r="AH554" s="15" t="str">
        <f t="shared" si="18"/>
        <v>electropolished pipes manufacturer in Pathanamthitta, electropolished pipes supplier in Pathanamthitta, electropolished pipes wholesaler in Pathanamthitta, electropolished tube manufacturer Pathanamthitta, EP pipe supplier Pathanamthitta, sanitary tube supplier Pathanamthitta, ASME BPE tubing Pathanamthitta, ASTM A270 tube Pathanamthitta, SS 316L electropolished pipe Pathanamthitta</v>
      </c>
      <c r="AI554" s="15" t="str">
        <f t="shared" si="19"/>
        <v>Electropolished Pipes Manufacturer &amp; Supplier in Pathanamthitta</v>
      </c>
      <c r="AJ554" s="15" t="str">
        <f t="shared" si="20"/>
        <v>EP-finished SS 304/316L pipes and tubes for VERIFY plants in Pathanamthitta. ASME BPE SF1-SF4, Ra from 0.25 um, EN 10204 3.1 certificate with every lot.</v>
      </c>
      <c r="AK554" s="15" t="str">
        <f t="shared" si="21"/>
        <v>Electropolished stainless steel pipes supplied by Sakshi Forge to VERIFY plants at KINFRA Industrial Area, Pathanamthitta</v>
      </c>
      <c r="AL554" s="15" t="str">
        <f t="shared" si="22"/>
        <v>Electropolished SS 316L tube stock for Pathanamthitta - Sakshi Forge</v>
      </c>
      <c r="AM554" s="15" t="str">
        <f t="shared" si="23"/>
        <v>Home &gt; Market Area &gt; India &gt; Kerala &gt; Pathanamthitta</v>
      </c>
      <c r="AN554" s="15">
        <f t="shared" si="24"/>
        <v>1000</v>
      </c>
      <c r="AO554" s="15">
        <f t="shared" si="25"/>
        <v>8</v>
      </c>
      <c r="AP554" s="15">
        <f t="shared" si="26"/>
        <v>8</v>
      </c>
      <c r="AQ554" s="15">
        <f t="shared" si="27"/>
        <v>10</v>
      </c>
      <c r="AR554" s="31"/>
      <c r="AS554" s="31"/>
      <c r="AT554" s="35" t="s">
        <v>222</v>
      </c>
      <c r="AU554" s="35"/>
    </row>
    <row r="555" ht="15.75" customHeight="1">
      <c r="A555" s="15" t="s">
        <v>4139</v>
      </c>
      <c r="B555" s="15" t="s">
        <v>60</v>
      </c>
      <c r="C555" s="15" t="s">
        <v>354</v>
      </c>
      <c r="D555" s="15" t="s">
        <v>4140</v>
      </c>
      <c r="E555" s="15" t="s">
        <v>4140</v>
      </c>
      <c r="F555" s="65" t="s">
        <v>788</v>
      </c>
      <c r="G555" s="66" t="s">
        <v>98</v>
      </c>
      <c r="H555" s="18" t="s">
        <v>4142</v>
      </c>
      <c r="I555" s="18" t="s">
        <v>8408</v>
      </c>
      <c r="J555" s="18" t="s">
        <v>98</v>
      </c>
      <c r="K555" s="18" t="s">
        <v>98</v>
      </c>
      <c r="L555" s="18" t="s">
        <v>98</v>
      </c>
      <c r="M555" s="18" t="s">
        <v>98</v>
      </c>
      <c r="N555" s="18" t="s">
        <v>98</v>
      </c>
      <c r="O555" s="18" t="s">
        <v>98</v>
      </c>
      <c r="P555" s="15" t="str">
        <f t="shared" si="1"/>
        <v>VERIFY</v>
      </c>
      <c r="Q555" s="15">
        <f t="shared" si="2"/>
        <v>8</v>
      </c>
      <c r="R555" s="15">
        <f t="shared" si="3"/>
        <v>6</v>
      </c>
      <c r="S555" s="15">
        <f t="shared" si="4"/>
        <v>2</v>
      </c>
      <c r="T555" s="15" t="str">
        <f t="shared" si="5"/>
        <v>B-6</v>
      </c>
      <c r="U555" s="15" t="str">
        <f t="shared" si="6"/>
        <v>T8-M6-H2-FB-6-VERIFY</v>
      </c>
      <c r="V555" s="15">
        <f t="shared" si="7"/>
        <v>0</v>
      </c>
      <c r="W555" s="31"/>
      <c r="X555" s="15" t="str">
        <f t="shared" si="8"/>
        <v>pathankot</v>
      </c>
      <c r="Y555" s="32" t="str">
        <f t="shared" si="9"/>
        <v>https://steelmanufacturer.in/market-area/electropolished-pipes-manufacturer-in-pathankot/</v>
      </c>
      <c r="Z555" s="15" t="str">
        <f t="shared" si="10"/>
        <v>Electropolished Pipes Manufacturer in Pathankot</v>
      </c>
      <c r="AA555" s="15" t="str">
        <f t="shared" si="11"/>
        <v>OK (47)</v>
      </c>
      <c r="AB555" s="15" t="str">
        <f t="shared" si="12"/>
        <v>EP tube and pipe for VERIFY plants around PSIEC Industrial Area, Pathankot. Made at our Mumbai works to ASTM A270 and ASME BPE SF1-SF4, with 3.1 MTC.</v>
      </c>
      <c r="AC555" s="15" t="str">
        <f t="shared" si="13"/>
        <v>PENDING RESEARCH</v>
      </c>
      <c r="AD555" s="15" t="str">
        <f t="shared" si="14"/>
        <v>Electropolished Pipes Manufacturer in Pathankot</v>
      </c>
      <c r="AE555" s="15" t="str">
        <f t="shared" si="15"/>
        <v>How We Manufacture Electropolished Tube for Pathankot Plants</v>
      </c>
      <c r="AF555" s="15" t="str">
        <f t="shared" si="16"/>
        <v>Supplying Electropolished Pipes in Pathankot: Availability, Sizes &amp; Dispatch</v>
      </c>
      <c r="AG555" s="15" t="str">
        <f t="shared" si="17"/>
        <v>Wholesale Electropolished Pipe Supply for Pathankot Projects</v>
      </c>
      <c r="AH555" s="15" t="str">
        <f t="shared" si="18"/>
        <v>electropolished pipes manufacturer in Pathankot, electropolished pipes supplier in Pathankot, electropolished pipes wholesaler in Pathankot, electropolished tube manufacturer Pathankot, EP pipe supplier Pathankot, sanitary tube supplier Pathankot, ASME BPE tubing Pathankot, ASTM A270 tube Pathankot, SS 316L electropolished pipe Pathankot</v>
      </c>
      <c r="AI555" s="15" t="str">
        <f t="shared" si="19"/>
        <v>Electropolished Pipes Manufacturer &amp; Supplier in Pathankot</v>
      </c>
      <c r="AJ555" s="15" t="str">
        <f t="shared" si="20"/>
        <v>EP-finished SS 304/316L pipes and tubes for VERIFY plants in Pathankot. ASME BPE SF1-SF4, Ra from 0.25 um, EN 10204 3.1 certificate with every lot.</v>
      </c>
      <c r="AK555" s="15" t="str">
        <f t="shared" si="21"/>
        <v>Electropolished stainless steel pipes supplied by Sakshi Forge to VERIFY plants at PSIEC Industrial Area, Pathankot</v>
      </c>
      <c r="AL555" s="15" t="str">
        <f t="shared" si="22"/>
        <v>Electropolished SS 316L tube stock for Pathankot - Sakshi Forge</v>
      </c>
      <c r="AM555" s="15" t="str">
        <f t="shared" si="23"/>
        <v>Home &gt; Market Area &gt; India &gt; Punjab &gt; Pathankot</v>
      </c>
      <c r="AN555" s="15">
        <f t="shared" si="24"/>
        <v>1000</v>
      </c>
      <c r="AO555" s="15">
        <f t="shared" si="25"/>
        <v>8</v>
      </c>
      <c r="AP555" s="15">
        <f t="shared" si="26"/>
        <v>8</v>
      </c>
      <c r="AQ555" s="15">
        <f t="shared" si="27"/>
        <v>10</v>
      </c>
      <c r="AR555" s="31"/>
      <c r="AS555" s="31"/>
      <c r="AT555" s="35" t="s">
        <v>222</v>
      </c>
      <c r="AU555" s="35"/>
    </row>
    <row r="556" ht="15.75" customHeight="1">
      <c r="A556" s="15" t="s">
        <v>4143</v>
      </c>
      <c r="B556" s="15" t="s">
        <v>60</v>
      </c>
      <c r="C556" s="15" t="s">
        <v>354</v>
      </c>
      <c r="D556" s="15" t="s">
        <v>4144</v>
      </c>
      <c r="E556" s="15" t="s">
        <v>4144</v>
      </c>
      <c r="F556" s="65" t="s">
        <v>788</v>
      </c>
      <c r="G556" s="66" t="s">
        <v>98</v>
      </c>
      <c r="H556" s="18" t="s">
        <v>4146</v>
      </c>
      <c r="I556" s="18" t="s">
        <v>8408</v>
      </c>
      <c r="J556" s="18" t="s">
        <v>98</v>
      </c>
      <c r="K556" s="18" t="s">
        <v>98</v>
      </c>
      <c r="L556" s="18" t="s">
        <v>98</v>
      </c>
      <c r="M556" s="18" t="s">
        <v>98</v>
      </c>
      <c r="N556" s="18" t="s">
        <v>98</v>
      </c>
      <c r="O556" s="18" t="s">
        <v>98</v>
      </c>
      <c r="P556" s="15" t="str">
        <f t="shared" si="1"/>
        <v>VERIFY</v>
      </c>
      <c r="Q556" s="15">
        <f t="shared" si="2"/>
        <v>1</v>
      </c>
      <c r="R556" s="15">
        <f t="shared" si="3"/>
        <v>7</v>
      </c>
      <c r="S556" s="15">
        <f t="shared" si="4"/>
        <v>3</v>
      </c>
      <c r="T556" s="15" t="str">
        <f t="shared" si="5"/>
        <v>B-1</v>
      </c>
      <c r="U556" s="15" t="str">
        <f t="shared" si="6"/>
        <v>T1-M7-H3-FB-1-VERIFY</v>
      </c>
      <c r="V556" s="15">
        <f t="shared" si="7"/>
        <v>0</v>
      </c>
      <c r="W556" s="31"/>
      <c r="X556" s="15" t="str">
        <f t="shared" si="8"/>
        <v>patiala</v>
      </c>
      <c r="Y556" s="32" t="str">
        <f t="shared" si="9"/>
        <v>https://steelmanufacturer.in/market-area/electropolished-pipes-manufacturer-in-patiala/</v>
      </c>
      <c r="Z556" s="15" t="str">
        <f t="shared" si="10"/>
        <v>Electropolished Pipes Manufacturer in Patiala | Sakshi Forge</v>
      </c>
      <c r="AA556" s="15" t="str">
        <f t="shared" si="11"/>
        <v>OK (60)</v>
      </c>
      <c r="AB556" s="15" t="str">
        <f t="shared" si="12"/>
        <v>Electropolished pipes in Patiala: 304, 304L, 316 and 316L in SF1-SF4. VERIFY. Mill certified.</v>
      </c>
      <c r="AC556" s="15" t="str">
        <f t="shared" si="13"/>
        <v>PENDING RESEARCH</v>
      </c>
      <c r="AD556" s="15" t="str">
        <f t="shared" si="14"/>
        <v>Electropolished Pipes Manufacturer in Patiala</v>
      </c>
      <c r="AE556" s="15" t="str">
        <f t="shared" si="15"/>
        <v>Electropolished Pipes Manufacturer in Patiala - Our Process &amp; Capability</v>
      </c>
      <c r="AF556" s="15" t="str">
        <f t="shared" si="16"/>
        <v>Electropolished Pipes Supplier in Patiala - What We Hold in Stock</v>
      </c>
      <c r="AG556" s="15" t="str">
        <f t="shared" si="17"/>
        <v>Bulk &amp; Wholesale Electropolished Pipe Rates for Patiala Buyers</v>
      </c>
      <c r="AH556" s="15" t="str">
        <f t="shared" si="18"/>
        <v>electropolished pipes manufacturer in Patiala, electropolished pipes supplier in Patiala, electropolished pipes wholesaler in Patiala, electropolished tube manufacturer Patiala, EP pipe supplier Patiala, sanitary tube supplier Patiala, ASME BPE tubing Patiala, ASTM A270 tube Patiala, SS 316L electropolished pipe Patiala</v>
      </c>
      <c r="AI556" s="15" t="str">
        <f t="shared" si="19"/>
        <v>Electropolished Pipes Manufacturer &amp; Supplier in Patiala</v>
      </c>
      <c r="AJ556" s="15" t="str">
        <f t="shared" si="20"/>
        <v>EP-finished SS 304/316L pipes and tubes for VERIFY plants in Patiala. ASME BPE SF1-SF4, Ra from 0.25 um, EN 10204 3.1 certificate with every lot.</v>
      </c>
      <c r="AK556" s="15" t="str">
        <f t="shared" si="21"/>
        <v>Electropolished stainless steel pipes supplied by Sakshi Forge to VERIFY plants at PSIEC Industrial Area, Patiala</v>
      </c>
      <c r="AL556" s="15" t="str">
        <f t="shared" si="22"/>
        <v>Electropolished SS 316L tube stock for Patiala - Sakshi Forge</v>
      </c>
      <c r="AM556" s="15" t="str">
        <f t="shared" si="23"/>
        <v>Home &gt; Market Area &gt; India &gt; Punjab &gt; Patiala</v>
      </c>
      <c r="AN556" s="15">
        <f t="shared" si="24"/>
        <v>1000</v>
      </c>
      <c r="AO556" s="15">
        <f t="shared" si="25"/>
        <v>8</v>
      </c>
      <c r="AP556" s="15">
        <f t="shared" si="26"/>
        <v>8</v>
      </c>
      <c r="AQ556" s="15">
        <f t="shared" si="27"/>
        <v>10</v>
      </c>
      <c r="AR556" s="31"/>
      <c r="AS556" s="31"/>
      <c r="AT556" s="35" t="s">
        <v>222</v>
      </c>
      <c r="AU556" s="35"/>
    </row>
    <row r="557" ht="15.75" customHeight="1">
      <c r="A557" s="15" t="s">
        <v>4147</v>
      </c>
      <c r="B557" s="15" t="s">
        <v>60</v>
      </c>
      <c r="C557" s="15" t="s">
        <v>2202</v>
      </c>
      <c r="D557" s="15" t="s">
        <v>4148</v>
      </c>
      <c r="E557" s="15" t="s">
        <v>4148</v>
      </c>
      <c r="F557" s="65" t="s">
        <v>788</v>
      </c>
      <c r="G557" s="66" t="s">
        <v>98</v>
      </c>
      <c r="H557" s="18" t="s">
        <v>4150</v>
      </c>
      <c r="I557" s="18" t="s">
        <v>8409</v>
      </c>
      <c r="J557" s="18" t="s">
        <v>98</v>
      </c>
      <c r="K557" s="18" t="s">
        <v>98</v>
      </c>
      <c r="L557" s="18" t="s">
        <v>98</v>
      </c>
      <c r="M557" s="18" t="s">
        <v>98</v>
      </c>
      <c r="N557" s="18" t="s">
        <v>98</v>
      </c>
      <c r="O557" s="18" t="s">
        <v>98</v>
      </c>
      <c r="P557" s="15" t="str">
        <f t="shared" si="1"/>
        <v>VERIFY</v>
      </c>
      <c r="Q557" s="15">
        <f t="shared" si="2"/>
        <v>2</v>
      </c>
      <c r="R557" s="15">
        <f t="shared" si="3"/>
        <v>1</v>
      </c>
      <c r="S557" s="15">
        <f t="shared" si="4"/>
        <v>4</v>
      </c>
      <c r="T557" s="15" t="str">
        <f t="shared" si="5"/>
        <v>B-2</v>
      </c>
      <c r="U557" s="15" t="str">
        <f t="shared" si="6"/>
        <v>T2-M1-H4-FB-2-VERIFY</v>
      </c>
      <c r="V557" s="15">
        <f t="shared" si="7"/>
        <v>0</v>
      </c>
      <c r="W557" s="31"/>
      <c r="X557" s="15" t="str">
        <f t="shared" si="8"/>
        <v>patparganj</v>
      </c>
      <c r="Y557" s="32" t="str">
        <f t="shared" si="9"/>
        <v>https://steelmanufacturer.in/market-area/electropolished-pipes-manufacturer-in-patparganj/</v>
      </c>
      <c r="Z557" s="15" t="str">
        <f t="shared" si="10"/>
        <v>Electropolished Pipes Manufacturer in Patparganj</v>
      </c>
      <c r="AA557" s="15" t="str">
        <f t="shared" si="11"/>
        <v>OK (48)</v>
      </c>
      <c r="AB557" s="15" t="str">
        <f t="shared" si="12"/>
        <v>EP-finished SS 304/316L pipes &amp; tubes for VERIFY plants in Patparganj. ASTM A270, ASME BPE SF1-SF4, EN 10204 3.1 MTC. PMI tested.</v>
      </c>
      <c r="AC557" s="15" t="str">
        <f t="shared" si="13"/>
        <v>PENDING RESEARCH</v>
      </c>
      <c r="AD557" s="15" t="str">
        <f t="shared" si="14"/>
        <v>Electropolished Pipes Manufacturer in Patparganj</v>
      </c>
      <c r="AE557" s="15" t="str">
        <f t="shared" si="15"/>
        <v>Manufacturing Electropolished SS Tube for Patparganj: The Standards We Build To</v>
      </c>
      <c r="AF557" s="15" t="str">
        <f t="shared" si="16"/>
        <v>Electropolished Pipe Supply Into Patparganj - Certification &amp; Transit</v>
      </c>
      <c r="AG557" s="15" t="str">
        <f t="shared" si="17"/>
        <v>Electropolished Pipes Wholesaler in Patparganj - Project Quantities &amp; Terms</v>
      </c>
      <c r="AH557" s="15" t="str">
        <f t="shared" si="18"/>
        <v>electropolished pipes manufacturer in Patparganj, electropolished pipes supplier in Patparganj, electropolished pipes wholesaler in Patparganj, electropolished tube manufacturer Patparganj, EP pipe supplier Patparganj, sanitary tube supplier Patparganj, ASME BPE tubing Patparganj, ASTM A270 tube Patparganj, SS 316L electropolished pipe Patparganj</v>
      </c>
      <c r="AI557" s="15" t="str">
        <f t="shared" si="19"/>
        <v>Electropolished Pipes Manufacturer &amp; Supplier in Patparganj</v>
      </c>
      <c r="AJ557" s="15" t="str">
        <f t="shared" si="20"/>
        <v>EP-finished SS 304/316L pipes and tubes for VERIFY plants in Patparganj. ASME BPE SF1-SF4, Ra from 0.25 um, EN 10204 3.1 certificate with every lot.</v>
      </c>
      <c r="AK557" s="15" t="str">
        <f t="shared" si="21"/>
        <v>Electropolished stainless steel pipes supplied by Sakshi Forge to VERIFY plants at DSIIDC Industrial Area, Patparganj</v>
      </c>
      <c r="AL557" s="15" t="str">
        <f t="shared" si="22"/>
        <v>Electropolished SS 316L tube stock for Patparganj - Sakshi Forge</v>
      </c>
      <c r="AM557" s="15" t="str">
        <f t="shared" si="23"/>
        <v>Home &gt; Market Area &gt; India &gt; Delhi &gt; Patparganj</v>
      </c>
      <c r="AN557" s="15">
        <f t="shared" si="24"/>
        <v>1000</v>
      </c>
      <c r="AO557" s="15">
        <f t="shared" si="25"/>
        <v>8</v>
      </c>
      <c r="AP557" s="15">
        <f t="shared" si="26"/>
        <v>8</v>
      </c>
      <c r="AQ557" s="15">
        <f t="shared" si="27"/>
        <v>10</v>
      </c>
      <c r="AR557" s="31"/>
      <c r="AS557" s="31"/>
      <c r="AT557" s="35" t="s">
        <v>222</v>
      </c>
      <c r="AU557" s="35"/>
    </row>
    <row r="558" ht="15.75" customHeight="1">
      <c r="A558" s="15" t="s">
        <v>4154</v>
      </c>
      <c r="B558" s="15" t="s">
        <v>60</v>
      </c>
      <c r="C558" s="15" t="s">
        <v>264</v>
      </c>
      <c r="D558" s="15" t="s">
        <v>4157</v>
      </c>
      <c r="E558" s="15" t="s">
        <v>4157</v>
      </c>
      <c r="F558" s="65" t="s">
        <v>788</v>
      </c>
      <c r="G558" s="66" t="s">
        <v>98</v>
      </c>
      <c r="H558" s="18" t="s">
        <v>4159</v>
      </c>
      <c r="I558" s="18" t="s">
        <v>8395</v>
      </c>
      <c r="J558" s="18" t="s">
        <v>98</v>
      </c>
      <c r="K558" s="18" t="s">
        <v>98</v>
      </c>
      <c r="L558" s="18" t="s">
        <v>98</v>
      </c>
      <c r="M558" s="18" t="s">
        <v>98</v>
      </c>
      <c r="N558" s="18" t="s">
        <v>98</v>
      </c>
      <c r="O558" s="18" t="s">
        <v>98</v>
      </c>
      <c r="P558" s="15" t="str">
        <f t="shared" si="1"/>
        <v>VERIFY</v>
      </c>
      <c r="Q558" s="15">
        <f t="shared" si="2"/>
        <v>3</v>
      </c>
      <c r="R558" s="15">
        <f t="shared" si="3"/>
        <v>2</v>
      </c>
      <c r="S558" s="15">
        <f t="shared" si="4"/>
        <v>5</v>
      </c>
      <c r="T558" s="15" t="str">
        <f t="shared" si="5"/>
        <v>B-3</v>
      </c>
      <c r="U558" s="15" t="str">
        <f t="shared" si="6"/>
        <v>T3-M2-H5-FB-3-VERIFY</v>
      </c>
      <c r="V558" s="15">
        <f t="shared" si="7"/>
        <v>0</v>
      </c>
      <c r="W558" s="31"/>
      <c r="X558" s="15" t="str">
        <f t="shared" si="8"/>
        <v>pen</v>
      </c>
      <c r="Y558" s="32" t="str">
        <f t="shared" si="9"/>
        <v>https://steelmanufacturer.in/market-area/electropolished-pipes-manufacturer-in-pen/</v>
      </c>
      <c r="Z558" s="15" t="str">
        <f t="shared" si="10"/>
        <v>Electropolished Pipes Manufacturer in Pen | EP Tube Supplier</v>
      </c>
      <c r="AA558" s="15" t="str">
        <f t="shared" si="11"/>
        <v>OK (60)</v>
      </c>
      <c r="AB558" s="15" t="str">
        <f t="shared" si="12"/>
        <v>Electropolished tube supply to MIDC Industrial Area, Pen. Ra from 0.25 um, SF4 finish, mill test certificate with every lot.</v>
      </c>
      <c r="AC558" s="15" t="str">
        <f t="shared" si="13"/>
        <v>PENDING RESEARCH</v>
      </c>
      <c r="AD558" s="15" t="str">
        <f t="shared" si="14"/>
        <v>Electropolished Pipes Manufacturer in Pen</v>
      </c>
      <c r="AE558" s="15" t="str">
        <f t="shared" si="15"/>
        <v>Electropolished Tube Manufacturing Capability Serving Pen</v>
      </c>
      <c r="AF558" s="15" t="str">
        <f t="shared" si="16"/>
        <v>Electropolished Pipes Supplier in Pen - From Order to Delivery</v>
      </c>
      <c r="AG558" s="15" t="str">
        <f t="shared" si="17"/>
        <v>Stockist &amp; Wholesale Supply of Electropolished Pipes in Pen</v>
      </c>
      <c r="AH558" s="15" t="str">
        <f t="shared" si="18"/>
        <v>electropolished pipes manufacturer in Pen, electropolished pipes supplier in Pen, electropolished pipes wholesaler in Pen, electropolished tube manufacturer Pen, EP pipe supplier Pen, sanitary tube supplier Pen, ASME BPE tubing Pen, ASTM A270 tube Pen, SS 316L electropolished pipe Pen</v>
      </c>
      <c r="AI558" s="15" t="str">
        <f t="shared" si="19"/>
        <v>Electropolished Pipes Manufacturer &amp; Supplier in Pen</v>
      </c>
      <c r="AJ558" s="15" t="str">
        <f t="shared" si="20"/>
        <v>EP-finished SS 304/316L pipes and tubes for VERIFY plants in Pen. ASME BPE SF1-SF4, Ra from 0.25 um, EN 10204 3.1 certificate with every lot.</v>
      </c>
      <c r="AK558" s="15" t="str">
        <f t="shared" si="21"/>
        <v>Electropolished stainless steel pipes supplied by Sakshi Forge to VERIFY plants at MIDC Industrial Area, Pen</v>
      </c>
      <c r="AL558" s="15" t="str">
        <f t="shared" si="22"/>
        <v>Electropolished SS 316L tube stock for Pen - Sakshi Forge</v>
      </c>
      <c r="AM558" s="15" t="str">
        <f t="shared" si="23"/>
        <v>Home &gt; Market Area &gt; India &gt; Maharashtra &gt; Pen</v>
      </c>
      <c r="AN558" s="15">
        <f t="shared" si="24"/>
        <v>1000</v>
      </c>
      <c r="AO558" s="15">
        <f t="shared" si="25"/>
        <v>8</v>
      </c>
      <c r="AP558" s="15">
        <f t="shared" si="26"/>
        <v>8</v>
      </c>
      <c r="AQ558" s="15">
        <f t="shared" si="27"/>
        <v>10</v>
      </c>
      <c r="AR558" s="31"/>
      <c r="AS558" s="31"/>
      <c r="AT558" s="35" t="s">
        <v>222</v>
      </c>
      <c r="AU558" s="35"/>
    </row>
    <row r="559" ht="15.75" customHeight="1">
      <c r="A559" s="15" t="s">
        <v>4160</v>
      </c>
      <c r="B559" s="15" t="s">
        <v>60</v>
      </c>
      <c r="C559" s="15" t="s">
        <v>958</v>
      </c>
      <c r="D559" s="15" t="s">
        <v>4161</v>
      </c>
      <c r="E559" s="15" t="s">
        <v>4161</v>
      </c>
      <c r="F559" s="65" t="s">
        <v>788</v>
      </c>
      <c r="G559" s="66" t="s">
        <v>98</v>
      </c>
      <c r="H559" s="18" t="s">
        <v>4163</v>
      </c>
      <c r="I559" s="18" t="s">
        <v>8403</v>
      </c>
      <c r="J559" s="18" t="s">
        <v>98</v>
      </c>
      <c r="K559" s="18" t="s">
        <v>98</v>
      </c>
      <c r="L559" s="18" t="s">
        <v>98</v>
      </c>
      <c r="M559" s="18" t="s">
        <v>98</v>
      </c>
      <c r="N559" s="18" t="s">
        <v>98</v>
      </c>
      <c r="O559" s="18" t="s">
        <v>98</v>
      </c>
      <c r="P559" s="15" t="str">
        <f t="shared" si="1"/>
        <v>VERIFY</v>
      </c>
      <c r="Q559" s="15">
        <f t="shared" si="2"/>
        <v>4</v>
      </c>
      <c r="R559" s="15">
        <f t="shared" si="3"/>
        <v>3</v>
      </c>
      <c r="S559" s="15">
        <f t="shared" si="4"/>
        <v>1</v>
      </c>
      <c r="T559" s="15" t="str">
        <f t="shared" si="5"/>
        <v>B-4</v>
      </c>
      <c r="U559" s="15" t="str">
        <f t="shared" si="6"/>
        <v>T4-M3-H1-FB-4-VERIFY</v>
      </c>
      <c r="V559" s="15">
        <f t="shared" si="7"/>
        <v>0</v>
      </c>
      <c r="W559" s="31"/>
      <c r="X559" s="15" t="str">
        <f t="shared" si="8"/>
        <v>perambalur</v>
      </c>
      <c r="Y559" s="32" t="str">
        <f t="shared" si="9"/>
        <v>https://steelmanufacturer.in/market-area/electropolished-pipes-manufacturer-in-perambalur/</v>
      </c>
      <c r="Z559" s="15" t="str">
        <f t="shared" si="10"/>
        <v>Electropolished Pipes Manufacturer in Perambalur</v>
      </c>
      <c r="AA559" s="15" t="str">
        <f t="shared" si="11"/>
        <v>OK (48)</v>
      </c>
      <c r="AB559" s="15" t="str">
        <f t="shared" si="12"/>
        <v>EP stainless tube for VERIFY lines in Perambalur. VERIFY. ASTM A270 S2, PMI tested, EN 10204 3.1.</v>
      </c>
      <c r="AC559" s="15" t="str">
        <f t="shared" si="13"/>
        <v>PENDING RESEARCH</v>
      </c>
      <c r="AD559" s="15" t="str">
        <f t="shared" si="14"/>
        <v>Electropolished Pipes Manufacturer in Perambalur</v>
      </c>
      <c r="AE559" s="15" t="str">
        <f t="shared" si="15"/>
        <v>Electropolished Pipe &amp; Tube Manufacturing for Perambalur - Grades, Finishes &amp; Certification</v>
      </c>
      <c r="AF559" s="15" t="str">
        <f t="shared" si="16"/>
        <v>Electropolished Pipes Supplier in Perambalur - Stock Sizes, Lead Time &amp; Delivery</v>
      </c>
      <c r="AG559" s="15" t="str">
        <f t="shared" si="17"/>
        <v>Electropolished Pipes Wholesaler &amp; Stockist in Perambalur - Bulk &amp; Project Pricing</v>
      </c>
      <c r="AH559" s="15" t="str">
        <f t="shared" si="18"/>
        <v>electropolished pipes manufacturer in Perambalur, electropolished pipes supplier in Perambalur, electropolished pipes wholesaler in Perambalur, electropolished tube manufacturer Perambalur, EP pipe supplier Perambalur, sanitary tube supplier Perambalur, ASME BPE tubing Perambalur, ASTM A270 tube Perambalur, SS 316L electropolished pipe Perambalur</v>
      </c>
      <c r="AI559" s="15" t="str">
        <f t="shared" si="19"/>
        <v>Electropolished Pipes Manufacturer &amp; Supplier in Perambalur</v>
      </c>
      <c r="AJ559" s="15" t="str">
        <f t="shared" si="20"/>
        <v>EP-finished SS 304/316L pipes and tubes for VERIFY plants in Perambalur. ASME BPE SF1-SF4, Ra from 0.25 um, EN 10204 3.1 certificate with every lot.</v>
      </c>
      <c r="AK559" s="15" t="str">
        <f t="shared" si="21"/>
        <v>Electropolished stainless steel pipes supplied by Sakshi Forge to VERIFY plants at SIPCOT Industrial Area, Perambalur</v>
      </c>
      <c r="AL559" s="15" t="str">
        <f t="shared" si="22"/>
        <v>Electropolished SS 316L tube stock for Perambalur - Sakshi Forge</v>
      </c>
      <c r="AM559" s="15" t="str">
        <f t="shared" si="23"/>
        <v>Home &gt; Market Area &gt; India &gt; Tamil Nadu &gt; Perambalur</v>
      </c>
      <c r="AN559" s="15">
        <f t="shared" si="24"/>
        <v>1000</v>
      </c>
      <c r="AO559" s="15">
        <f t="shared" si="25"/>
        <v>8</v>
      </c>
      <c r="AP559" s="15">
        <f t="shared" si="26"/>
        <v>8</v>
      </c>
      <c r="AQ559" s="15">
        <f t="shared" si="27"/>
        <v>10</v>
      </c>
      <c r="AR559" s="31"/>
      <c r="AS559" s="31"/>
      <c r="AT559" s="35" t="s">
        <v>222</v>
      </c>
      <c r="AU559" s="35"/>
    </row>
    <row r="560" ht="15.75" customHeight="1">
      <c r="A560" s="15" t="s">
        <v>4164</v>
      </c>
      <c r="B560" s="15" t="s">
        <v>60</v>
      </c>
      <c r="C560" s="15" t="s">
        <v>1687</v>
      </c>
      <c r="D560" s="15" t="s">
        <v>4165</v>
      </c>
      <c r="E560" s="15" t="s">
        <v>4165</v>
      </c>
      <c r="F560" s="65" t="s">
        <v>788</v>
      </c>
      <c r="G560" s="66" t="s">
        <v>98</v>
      </c>
      <c r="H560" s="18" t="s">
        <v>4167</v>
      </c>
      <c r="I560" s="18" t="s">
        <v>8397</v>
      </c>
      <c r="J560" s="18" t="s">
        <v>98</v>
      </c>
      <c r="K560" s="18" t="s">
        <v>98</v>
      </c>
      <c r="L560" s="18" t="s">
        <v>98</v>
      </c>
      <c r="M560" s="18" t="s">
        <v>98</v>
      </c>
      <c r="N560" s="18" t="s">
        <v>98</v>
      </c>
      <c r="O560" s="18" t="s">
        <v>98</v>
      </c>
      <c r="P560" s="15" t="str">
        <f t="shared" si="1"/>
        <v>VERIFY</v>
      </c>
      <c r="Q560" s="15">
        <f t="shared" si="2"/>
        <v>5</v>
      </c>
      <c r="R560" s="15">
        <f t="shared" si="3"/>
        <v>4</v>
      </c>
      <c r="S560" s="15">
        <f t="shared" si="4"/>
        <v>2</v>
      </c>
      <c r="T560" s="15" t="str">
        <f t="shared" si="5"/>
        <v>B-5</v>
      </c>
      <c r="U560" s="15" t="str">
        <f t="shared" si="6"/>
        <v>T5-M4-H2-FB-5-VERIFY</v>
      </c>
      <c r="V560" s="15">
        <f t="shared" si="7"/>
        <v>0</v>
      </c>
      <c r="W560" s="31"/>
      <c r="X560" s="15" t="str">
        <f t="shared" si="8"/>
        <v>perinthalmanna</v>
      </c>
      <c r="Y560" s="32" t="str">
        <f t="shared" si="9"/>
        <v>https://steelmanufacturer.in/market-area/electropolished-pipes-manufacturer-in-perinthalmanna/</v>
      </c>
      <c r="Z560" s="15" t="str">
        <f t="shared" si="10"/>
        <v>Electropolished Pipes Manufacturer in Perinthalmanna</v>
      </c>
      <c r="AA560" s="15" t="str">
        <f t="shared" si="11"/>
        <v>OK (52)</v>
      </c>
      <c r="AB560" s="15" t="str">
        <f t="shared" si="12"/>
        <v>Sanitary electropolished pipes in Perinthalmanna for VERIFY plants. ASME BPE SF1-SF4, orbital-weld ready, 3.1 MTC. Mumbai-made.</v>
      </c>
      <c r="AC560" s="15" t="str">
        <f t="shared" si="13"/>
        <v>PENDING RESEARCH</v>
      </c>
      <c r="AD560" s="15" t="str">
        <f t="shared" si="14"/>
        <v>Electropolished Pipes Manufacturer in Perinthalmanna</v>
      </c>
      <c r="AE560" s="15" t="str">
        <f t="shared" si="15"/>
        <v>How We Manufacture Electropolished Tube for Perinthalmanna Plants</v>
      </c>
      <c r="AF560" s="15" t="str">
        <f t="shared" si="16"/>
        <v>Supplying Electropolished Pipes in Perinthalmanna: Availability, Sizes &amp; Dispatch</v>
      </c>
      <c r="AG560" s="15" t="str">
        <f t="shared" si="17"/>
        <v>Wholesale Electropolished Pipe Supply for Perinthalmanna Projects</v>
      </c>
      <c r="AH560" s="15" t="str">
        <f t="shared" si="18"/>
        <v>electropolished pipes manufacturer in Perinthalmanna, electropolished pipes supplier in Perinthalmanna, electropolished pipes wholesaler in Perinthalmanna, electropolished tube manufacturer Perinthalmanna, EP pipe supplier Perinthalmanna, sanitary tube supplier Perinthalmanna, ASME BPE tubing Perinthalmanna, ASTM A270 tube Perinthalmanna, SS 316L electropolished pipe Perinthalmanna</v>
      </c>
      <c r="AI560" s="15" t="str">
        <f t="shared" si="19"/>
        <v>Electropolished Pipes Manufacturer &amp; Supplier in Perinthalmanna</v>
      </c>
      <c r="AJ560" s="15" t="str">
        <f t="shared" si="20"/>
        <v>EP-finished SS 304/316L pipes and tubes for VERIFY plants in Perinthalmanna. ASME BPE SF1-SF4, Ra from 0.25 um, EN 10204 3.1 certificate with every lot.</v>
      </c>
      <c r="AK560" s="15" t="str">
        <f t="shared" si="21"/>
        <v>Electropolished stainless steel pipes supplied by Sakshi Forge to VERIFY plants at KINFRA Industrial Area, Perinthalmanna</v>
      </c>
      <c r="AL560" s="15" t="str">
        <f t="shared" si="22"/>
        <v>Electropolished SS 316L tube stock for Perinthalmanna - Sakshi Forge</v>
      </c>
      <c r="AM560" s="15" t="str">
        <f t="shared" si="23"/>
        <v>Home &gt; Market Area &gt; India &gt; Kerala &gt; Perinthalmanna</v>
      </c>
      <c r="AN560" s="15">
        <f t="shared" si="24"/>
        <v>1000</v>
      </c>
      <c r="AO560" s="15">
        <f t="shared" si="25"/>
        <v>8</v>
      </c>
      <c r="AP560" s="15">
        <f t="shared" si="26"/>
        <v>8</v>
      </c>
      <c r="AQ560" s="15">
        <f t="shared" si="27"/>
        <v>10</v>
      </c>
      <c r="AR560" s="31"/>
      <c r="AS560" s="31"/>
      <c r="AT560" s="35" t="s">
        <v>222</v>
      </c>
      <c r="AU560" s="35"/>
    </row>
    <row r="561" ht="15.75" customHeight="1">
      <c r="A561" s="15" t="s">
        <v>4168</v>
      </c>
      <c r="B561" s="15" t="s">
        <v>60</v>
      </c>
      <c r="C561" s="15" t="s">
        <v>354</v>
      </c>
      <c r="D561" s="15" t="s">
        <v>4169</v>
      </c>
      <c r="E561" s="15" t="s">
        <v>4169</v>
      </c>
      <c r="F561" s="65" t="s">
        <v>788</v>
      </c>
      <c r="G561" s="66" t="s">
        <v>98</v>
      </c>
      <c r="H561" s="18" t="s">
        <v>4171</v>
      </c>
      <c r="I561" s="18" t="s">
        <v>8408</v>
      </c>
      <c r="J561" s="18" t="s">
        <v>98</v>
      </c>
      <c r="K561" s="18" t="s">
        <v>98</v>
      </c>
      <c r="L561" s="18" t="s">
        <v>98</v>
      </c>
      <c r="M561" s="18" t="s">
        <v>98</v>
      </c>
      <c r="N561" s="18" t="s">
        <v>98</v>
      </c>
      <c r="O561" s="18" t="s">
        <v>98</v>
      </c>
      <c r="P561" s="15" t="str">
        <f t="shared" si="1"/>
        <v>VERIFY</v>
      </c>
      <c r="Q561" s="15">
        <f t="shared" si="2"/>
        <v>6</v>
      </c>
      <c r="R561" s="15">
        <f t="shared" si="3"/>
        <v>5</v>
      </c>
      <c r="S561" s="15">
        <f t="shared" si="4"/>
        <v>3</v>
      </c>
      <c r="T561" s="15" t="str">
        <f t="shared" si="5"/>
        <v>B-6</v>
      </c>
      <c r="U561" s="15" t="str">
        <f t="shared" si="6"/>
        <v>T6-M5-H3-FB-6-VERIFY</v>
      </c>
      <c r="V561" s="15">
        <f t="shared" si="7"/>
        <v>0</v>
      </c>
      <c r="W561" s="31"/>
      <c r="X561" s="15" t="str">
        <f t="shared" si="8"/>
        <v>phagwara</v>
      </c>
      <c r="Y561" s="32" t="str">
        <f t="shared" si="9"/>
        <v>https://steelmanufacturer.in/market-area/electropolished-pipes-manufacturer-in-phagwara/</v>
      </c>
      <c r="Z561" s="15" t="str">
        <f t="shared" si="10"/>
        <v>Electropolished Pipes Manufacturer in Phagwara</v>
      </c>
      <c r="AA561" s="15" t="str">
        <f t="shared" si="11"/>
        <v>OK (46)</v>
      </c>
      <c r="AB561" s="15" t="str">
        <f t="shared" si="12"/>
        <v>Manufacturer of electropolished SS 316L tube serving Phagwara. VERIFY. Ra 0.25-0.5 um, EN 10204 3.1 MTC.</v>
      </c>
      <c r="AC561" s="15" t="str">
        <f t="shared" si="13"/>
        <v>PENDING RESEARCH</v>
      </c>
      <c r="AD561" s="15" t="str">
        <f t="shared" si="14"/>
        <v>Electropolished Pipes Manufacturer in Phagwara</v>
      </c>
      <c r="AE561" s="15" t="str">
        <f t="shared" si="15"/>
        <v>Electropolished Pipes Manufacturer in Phagwara - Our Process &amp; Capability</v>
      </c>
      <c r="AF561" s="15" t="str">
        <f t="shared" si="16"/>
        <v>Electropolished Pipes Supplier in Phagwara - What We Hold in Stock</v>
      </c>
      <c r="AG561" s="15" t="str">
        <f t="shared" si="17"/>
        <v>Bulk &amp; Wholesale Electropolished Pipe Rates for Phagwara Buyers</v>
      </c>
      <c r="AH561" s="15" t="str">
        <f t="shared" si="18"/>
        <v>electropolished pipes manufacturer in Phagwara, electropolished pipes supplier in Phagwara, electropolished pipes wholesaler in Phagwara, electropolished tube manufacturer Phagwara, EP pipe supplier Phagwara, sanitary tube supplier Phagwara, ASME BPE tubing Phagwara, ASTM A270 tube Phagwara, SS 316L electropolished pipe Phagwara</v>
      </c>
      <c r="AI561" s="15" t="str">
        <f t="shared" si="19"/>
        <v>Electropolished Pipes Manufacturer &amp; Supplier in Phagwara</v>
      </c>
      <c r="AJ561" s="15" t="str">
        <f t="shared" si="20"/>
        <v>EP-finished SS 304/316L pipes and tubes for VERIFY plants in Phagwara. ASME BPE SF1-SF4, Ra from 0.25 um, EN 10204 3.1 certificate with every lot.</v>
      </c>
      <c r="AK561" s="15" t="str">
        <f t="shared" si="21"/>
        <v>Electropolished stainless steel pipes supplied by Sakshi Forge to VERIFY plants at PSIEC Industrial Area, Phagwara</v>
      </c>
      <c r="AL561" s="15" t="str">
        <f t="shared" si="22"/>
        <v>Electropolished SS 316L tube stock for Phagwara - Sakshi Forge</v>
      </c>
      <c r="AM561" s="15" t="str">
        <f t="shared" si="23"/>
        <v>Home &gt; Market Area &gt; India &gt; Punjab &gt; Phagwara</v>
      </c>
      <c r="AN561" s="15">
        <f t="shared" si="24"/>
        <v>1000</v>
      </c>
      <c r="AO561" s="15">
        <f t="shared" si="25"/>
        <v>8</v>
      </c>
      <c r="AP561" s="15">
        <f t="shared" si="26"/>
        <v>8</v>
      </c>
      <c r="AQ561" s="15">
        <f t="shared" si="27"/>
        <v>10</v>
      </c>
      <c r="AR561" s="31"/>
      <c r="AS561" s="31"/>
      <c r="AT561" s="35" t="s">
        <v>222</v>
      </c>
      <c r="AU561" s="35"/>
    </row>
    <row r="562" ht="15.75" customHeight="1">
      <c r="A562" s="15" t="s">
        <v>4172</v>
      </c>
      <c r="B562" s="15" t="s">
        <v>60</v>
      </c>
      <c r="C562" s="15" t="s">
        <v>878</v>
      </c>
      <c r="D562" s="15" t="s">
        <v>4173</v>
      </c>
      <c r="E562" s="15" t="s">
        <v>4173</v>
      </c>
      <c r="F562" s="65" t="s">
        <v>788</v>
      </c>
      <c r="G562" s="66" t="s">
        <v>98</v>
      </c>
      <c r="H562" s="18" t="s">
        <v>4175</v>
      </c>
      <c r="I562" s="18" t="s">
        <v>8415</v>
      </c>
      <c r="J562" s="18" t="s">
        <v>98</v>
      </c>
      <c r="K562" s="18" t="s">
        <v>98</v>
      </c>
      <c r="L562" s="18" t="s">
        <v>98</v>
      </c>
      <c r="M562" s="18" t="s">
        <v>98</v>
      </c>
      <c r="N562" s="18" t="s">
        <v>98</v>
      </c>
      <c r="O562" s="18" t="s">
        <v>98</v>
      </c>
      <c r="P562" s="15" t="str">
        <f t="shared" si="1"/>
        <v>VERIFY</v>
      </c>
      <c r="Q562" s="15">
        <f t="shared" si="2"/>
        <v>7</v>
      </c>
      <c r="R562" s="15">
        <f t="shared" si="3"/>
        <v>6</v>
      </c>
      <c r="S562" s="15">
        <f t="shared" si="4"/>
        <v>4</v>
      </c>
      <c r="T562" s="15" t="str">
        <f t="shared" si="5"/>
        <v>B-1</v>
      </c>
      <c r="U562" s="15" t="str">
        <f t="shared" si="6"/>
        <v>T7-M6-H4-FB-1-VERIFY</v>
      </c>
      <c r="V562" s="15">
        <f t="shared" si="7"/>
        <v>0</v>
      </c>
      <c r="W562" s="31"/>
      <c r="X562" s="15" t="str">
        <f t="shared" si="8"/>
        <v>phusro</v>
      </c>
      <c r="Y562" s="32" t="str">
        <f t="shared" si="9"/>
        <v>https://steelmanufacturer.in/market-area/electropolished-pipes-manufacturer-in-phusro/</v>
      </c>
      <c r="Z562" s="15" t="str">
        <f t="shared" si="10"/>
        <v>Electropolished Pipes Manufacturer in Phusro | ASME BPE SF1-SF4</v>
      </c>
      <c r="AA562" s="15" t="str">
        <f t="shared" si="11"/>
        <v>OK (63)</v>
      </c>
      <c r="AB562" s="15" t="str">
        <f t="shared" si="12"/>
        <v>EP tube and pipe for VERIFY plants around JIADA Industrial Area, Phusro. Made at our Mumbai works to ASTM A270 and ASME BPE SF1-SF4, with 3.1 MTC.</v>
      </c>
      <c r="AC562" s="15" t="str">
        <f t="shared" si="13"/>
        <v>PENDING RESEARCH</v>
      </c>
      <c r="AD562" s="15" t="str">
        <f t="shared" si="14"/>
        <v>Electropolished Pipes Manufacturer in Phusro</v>
      </c>
      <c r="AE562" s="15" t="str">
        <f t="shared" si="15"/>
        <v>Manufacturing Electropolished SS Tube for Phusro: The Standards We Build To</v>
      </c>
      <c r="AF562" s="15" t="str">
        <f t="shared" si="16"/>
        <v>Electropolished Pipe Supply Into Phusro - Certification &amp; Transit</v>
      </c>
      <c r="AG562" s="15" t="str">
        <f t="shared" si="17"/>
        <v>Electropolished Pipes Wholesaler in Phusro - Project Quantities &amp; Terms</v>
      </c>
      <c r="AH562" s="15" t="str">
        <f t="shared" si="18"/>
        <v>electropolished pipes manufacturer in Phusro, electropolished pipes supplier in Phusro, electropolished pipes wholesaler in Phusro, electropolished tube manufacturer Phusro, EP pipe supplier Phusro, sanitary tube supplier Phusro, ASME BPE tubing Phusro, ASTM A270 tube Phusro, SS 316L electropolished pipe Phusro</v>
      </c>
      <c r="AI562" s="15" t="str">
        <f t="shared" si="19"/>
        <v>Electropolished Pipes Manufacturer &amp; Supplier in Phusro</v>
      </c>
      <c r="AJ562" s="15" t="str">
        <f t="shared" si="20"/>
        <v>EP-finished SS 304/316L pipes and tubes for VERIFY plants in Phusro. ASME BPE SF1-SF4, Ra from 0.25 um, EN 10204 3.1 certificate with every lot.</v>
      </c>
      <c r="AK562" s="15" t="str">
        <f t="shared" si="21"/>
        <v>Electropolished stainless steel pipes supplied by Sakshi Forge to VERIFY plants at JIADA Industrial Area, Phusro</v>
      </c>
      <c r="AL562" s="15" t="str">
        <f t="shared" si="22"/>
        <v>Electropolished SS 316L tube stock for Phusro - Sakshi Forge</v>
      </c>
      <c r="AM562" s="15" t="str">
        <f t="shared" si="23"/>
        <v>Home &gt; Market Area &gt; India &gt; Jharkhand &gt; Phusro</v>
      </c>
      <c r="AN562" s="15">
        <f t="shared" si="24"/>
        <v>1000</v>
      </c>
      <c r="AO562" s="15">
        <f t="shared" si="25"/>
        <v>8</v>
      </c>
      <c r="AP562" s="15">
        <f t="shared" si="26"/>
        <v>8</v>
      </c>
      <c r="AQ562" s="15">
        <f t="shared" si="27"/>
        <v>10</v>
      </c>
      <c r="AR562" s="31"/>
      <c r="AS562" s="31"/>
      <c r="AT562" s="35" t="s">
        <v>222</v>
      </c>
      <c r="AU562" s="35"/>
    </row>
    <row r="563" ht="15.75" customHeight="1">
      <c r="A563" s="15" t="s">
        <v>4177</v>
      </c>
      <c r="B563" s="15" t="s">
        <v>60</v>
      </c>
      <c r="C563" s="15" t="s">
        <v>224</v>
      </c>
      <c r="D563" s="15" t="s">
        <v>4180</v>
      </c>
      <c r="E563" s="15" t="s">
        <v>4180</v>
      </c>
      <c r="F563" s="65" t="s">
        <v>788</v>
      </c>
      <c r="G563" s="66" t="s">
        <v>98</v>
      </c>
      <c r="H563" s="18" t="s">
        <v>4185</v>
      </c>
      <c r="I563" s="18" t="s">
        <v>8400</v>
      </c>
      <c r="J563" s="18" t="s">
        <v>98</v>
      </c>
      <c r="K563" s="18" t="s">
        <v>98</v>
      </c>
      <c r="L563" s="18" t="s">
        <v>98</v>
      </c>
      <c r="M563" s="18" t="s">
        <v>98</v>
      </c>
      <c r="N563" s="18" t="s">
        <v>98</v>
      </c>
      <c r="O563" s="18" t="s">
        <v>98</v>
      </c>
      <c r="P563" s="15" t="str">
        <f t="shared" si="1"/>
        <v>VERIFY</v>
      </c>
      <c r="Q563" s="15">
        <f t="shared" si="2"/>
        <v>8</v>
      </c>
      <c r="R563" s="15">
        <f t="shared" si="3"/>
        <v>7</v>
      </c>
      <c r="S563" s="15">
        <f t="shared" si="4"/>
        <v>5</v>
      </c>
      <c r="T563" s="15" t="str">
        <f t="shared" si="5"/>
        <v>B-2</v>
      </c>
      <c r="U563" s="15" t="str">
        <f t="shared" si="6"/>
        <v>T8-M7-H5-FB-2-VERIFY</v>
      </c>
      <c r="V563" s="15">
        <f t="shared" si="7"/>
        <v>0</v>
      </c>
      <c r="W563" s="31"/>
      <c r="X563" s="15" t="str">
        <f t="shared" si="8"/>
        <v>porbandar</v>
      </c>
      <c r="Y563" s="32" t="str">
        <f t="shared" si="9"/>
        <v>https://steelmanufacturer.in/market-area/electropolished-pipes-manufacturer-in-porbandar/</v>
      </c>
      <c r="Z563" s="15" t="str">
        <f t="shared" si="10"/>
        <v>Electropolished Pipes Manufacturer in Porbandar</v>
      </c>
      <c r="AA563" s="15" t="str">
        <f t="shared" si="11"/>
        <v>OK (47)</v>
      </c>
      <c r="AB563" s="15" t="str">
        <f t="shared" si="12"/>
        <v>Electropolished pipes in Porbandar: 304, 304L, 316 and 316L in SF1-SF4. VERIFY. Mill certified.</v>
      </c>
      <c r="AC563" s="15" t="str">
        <f t="shared" si="13"/>
        <v>PENDING RESEARCH</v>
      </c>
      <c r="AD563" s="15" t="str">
        <f t="shared" si="14"/>
        <v>Electropolished Pipes Manufacturer in Porbandar</v>
      </c>
      <c r="AE563" s="15" t="str">
        <f t="shared" si="15"/>
        <v>Electropolished Tube Manufacturing Capability Serving Porbandar</v>
      </c>
      <c r="AF563" s="15" t="str">
        <f t="shared" si="16"/>
        <v>Electropolished Pipes Supplier in Porbandar - From Order to Delivery</v>
      </c>
      <c r="AG563" s="15" t="str">
        <f t="shared" si="17"/>
        <v>Stockist &amp; Wholesale Supply of Electropolished Pipes in Porbandar</v>
      </c>
      <c r="AH563" s="15" t="str">
        <f t="shared" si="18"/>
        <v>electropolished pipes manufacturer in Porbandar, electropolished pipes supplier in Porbandar, electropolished pipes wholesaler in Porbandar, electropolished tube manufacturer Porbandar, EP pipe supplier Porbandar, sanitary tube supplier Porbandar, ASME BPE tubing Porbandar, ASTM A270 tube Porbandar, SS 316L electropolished pipe Porbandar</v>
      </c>
      <c r="AI563" s="15" t="str">
        <f t="shared" si="19"/>
        <v>Electropolished Pipes Manufacturer &amp; Supplier in Porbandar</v>
      </c>
      <c r="AJ563" s="15" t="str">
        <f t="shared" si="20"/>
        <v>EP-finished SS 304/316L pipes and tubes for VERIFY plants in Porbandar. ASME BPE SF1-SF4, Ra from 0.25 um, EN 10204 3.1 certificate with every lot.</v>
      </c>
      <c r="AK563" s="15" t="str">
        <f t="shared" si="21"/>
        <v>Electropolished stainless steel pipes supplied by Sakshi Forge to VERIFY plants at GIDC Industrial Area, Porbandar</v>
      </c>
      <c r="AL563" s="15" t="str">
        <f t="shared" si="22"/>
        <v>Electropolished SS 316L tube stock for Porbandar - Sakshi Forge</v>
      </c>
      <c r="AM563" s="15" t="str">
        <f t="shared" si="23"/>
        <v>Home &gt; Market Area &gt; India &gt; Gujarat &gt; Porbandar</v>
      </c>
      <c r="AN563" s="15">
        <f t="shared" si="24"/>
        <v>1000</v>
      </c>
      <c r="AO563" s="15">
        <f t="shared" si="25"/>
        <v>8</v>
      </c>
      <c r="AP563" s="15">
        <f t="shared" si="26"/>
        <v>8</v>
      </c>
      <c r="AQ563" s="15">
        <f t="shared" si="27"/>
        <v>10</v>
      </c>
      <c r="AR563" s="31"/>
      <c r="AS563" s="31"/>
      <c r="AT563" s="35" t="s">
        <v>222</v>
      </c>
      <c r="AU563" s="35"/>
    </row>
    <row r="564" ht="15.75" customHeight="1">
      <c r="A564" s="15" t="s">
        <v>4186</v>
      </c>
      <c r="B564" s="15" t="s">
        <v>60</v>
      </c>
      <c r="C564" s="15" t="s">
        <v>4187</v>
      </c>
      <c r="D564" s="15" t="s">
        <v>4188</v>
      </c>
      <c r="E564" s="15" t="s">
        <v>4188</v>
      </c>
      <c r="F564" s="65" t="s">
        <v>788</v>
      </c>
      <c r="G564" s="66" t="s">
        <v>98</v>
      </c>
      <c r="H564" s="18" t="s">
        <v>4190</v>
      </c>
      <c r="I564" s="18" t="s">
        <v>8422</v>
      </c>
      <c r="J564" s="18" t="s">
        <v>98</v>
      </c>
      <c r="K564" s="18" t="s">
        <v>98</v>
      </c>
      <c r="L564" s="18" t="s">
        <v>98</v>
      </c>
      <c r="M564" s="18" t="s">
        <v>98</v>
      </c>
      <c r="N564" s="18" t="s">
        <v>98</v>
      </c>
      <c r="O564" s="18" t="s">
        <v>98</v>
      </c>
      <c r="P564" s="15" t="str">
        <f t="shared" si="1"/>
        <v>VERIFY</v>
      </c>
      <c r="Q564" s="15">
        <f t="shared" si="2"/>
        <v>1</v>
      </c>
      <c r="R564" s="15">
        <f t="shared" si="3"/>
        <v>1</v>
      </c>
      <c r="S564" s="15">
        <f t="shared" si="4"/>
        <v>1</v>
      </c>
      <c r="T564" s="15" t="str">
        <f t="shared" si="5"/>
        <v>B-3</v>
      </c>
      <c r="U564" s="15" t="str">
        <f t="shared" si="6"/>
        <v>T1-M1-H1-FB-3-VERIFY</v>
      </c>
      <c r="V564" s="15">
        <f t="shared" si="7"/>
        <v>0</v>
      </c>
      <c r="W564" s="31"/>
      <c r="X564" s="15" t="str">
        <f t="shared" si="8"/>
        <v>port-blair</v>
      </c>
      <c r="Y564" s="32" t="str">
        <f t="shared" si="9"/>
        <v>https://steelmanufacturer.in/market-area/electropolished-pipes-manufacturer-in-port-blair/</v>
      </c>
      <c r="Z564" s="15" t="str">
        <f t="shared" si="10"/>
        <v>Electropolished Pipes Manufacturer in Port Blair | Sakshi Forge</v>
      </c>
      <c r="AA564" s="15" t="str">
        <f t="shared" si="11"/>
        <v>OK (63)</v>
      </c>
      <c r="AB564" s="15" t="str">
        <f t="shared" si="12"/>
        <v>EP-finished SS 304/316L pipes &amp; tubes for VERIFY plants in Port Blair. ASTM A270, ASME BPE SF1-SF4, EN 10204 3.1 MTC. PMI tested.</v>
      </c>
      <c r="AC564" s="15" t="str">
        <f t="shared" si="13"/>
        <v>PENDING RESEARCH</v>
      </c>
      <c r="AD564" s="15" t="str">
        <f t="shared" si="14"/>
        <v>Electropolished Pipes Manufacturer in Port Blair</v>
      </c>
      <c r="AE564" s="15" t="str">
        <f t="shared" si="15"/>
        <v>Electropolished Pipe &amp; Tube Manufacturing for Port Blair - Grades, Finishes &amp; Certification</v>
      </c>
      <c r="AF564" s="15" t="str">
        <f t="shared" si="16"/>
        <v>Electropolished Pipes Supplier in Port Blair - Stock Sizes, Lead Time &amp; Delivery</v>
      </c>
      <c r="AG564" s="15" t="str">
        <f t="shared" si="17"/>
        <v>Electropolished Pipes Wholesaler &amp; Stockist in Port Blair - Bulk &amp; Project Pricing</v>
      </c>
      <c r="AH564" s="15" t="str">
        <f t="shared" si="18"/>
        <v>electropolished pipes manufacturer in Port Blair, electropolished pipes supplier in Port Blair, electropolished pipes wholesaler in Port Blair, electropolished tube manufacturer Port Blair, EP pipe supplier Port Blair, sanitary tube supplier Port Blair, ASME BPE tubing Port Blair, ASTM A270 tube Port Blair, SS 316L electropolished pipe Port Blair</v>
      </c>
      <c r="AI564" s="15" t="str">
        <f t="shared" si="19"/>
        <v>Electropolished Pipes Manufacturer &amp; Supplier in Port Blair</v>
      </c>
      <c r="AJ564" s="15" t="str">
        <f t="shared" si="20"/>
        <v>EP-finished SS 304/316L pipes and tubes for VERIFY plants in Port Blair. ASME BPE SF1-SF4, Ra from 0.25 um, EN 10204 3.1 certificate with every lot.</v>
      </c>
      <c r="AK564" s="15" t="str">
        <f t="shared" si="21"/>
        <v>Electropolished stainless steel pipes supplied by Sakshi Forge to VERIFY plants at ANIIDCO Industrial Area, Port Blair</v>
      </c>
      <c r="AL564" s="15" t="str">
        <f t="shared" si="22"/>
        <v>Electropolished SS 316L tube stock for Port Blair - Sakshi Forge</v>
      </c>
      <c r="AM564" s="15" t="str">
        <f t="shared" si="23"/>
        <v>Home &gt; Market Area &gt; India &gt; Andaman &amp; Nicobar &gt; Port Blair</v>
      </c>
      <c r="AN564" s="15">
        <f t="shared" si="24"/>
        <v>1000</v>
      </c>
      <c r="AO564" s="15">
        <f t="shared" si="25"/>
        <v>8</v>
      </c>
      <c r="AP564" s="15">
        <f t="shared" si="26"/>
        <v>8</v>
      </c>
      <c r="AQ564" s="15">
        <f t="shared" si="27"/>
        <v>10</v>
      </c>
      <c r="AR564" s="31"/>
      <c r="AS564" s="31"/>
      <c r="AT564" s="35" t="s">
        <v>222</v>
      </c>
      <c r="AU564" s="35"/>
    </row>
    <row r="565" ht="15.75" customHeight="1">
      <c r="A565" s="15" t="s">
        <v>4191</v>
      </c>
      <c r="B565" s="15" t="s">
        <v>60</v>
      </c>
      <c r="C565" s="15" t="s">
        <v>85</v>
      </c>
      <c r="D565" s="15" t="s">
        <v>4192</v>
      </c>
      <c r="E565" s="15" t="s">
        <v>4192</v>
      </c>
      <c r="F565" s="65" t="s">
        <v>788</v>
      </c>
      <c r="G565" s="66" t="s">
        <v>98</v>
      </c>
      <c r="H565" s="18" t="s">
        <v>4194</v>
      </c>
      <c r="I565" s="18" t="s">
        <v>8398</v>
      </c>
      <c r="J565" s="18" t="s">
        <v>98</v>
      </c>
      <c r="K565" s="18" t="s">
        <v>98</v>
      </c>
      <c r="L565" s="18" t="s">
        <v>98</v>
      </c>
      <c r="M565" s="18" t="s">
        <v>98</v>
      </c>
      <c r="N565" s="18" t="s">
        <v>98</v>
      </c>
      <c r="O565" s="18" t="s">
        <v>98</v>
      </c>
      <c r="P565" s="15" t="str">
        <f t="shared" si="1"/>
        <v>VERIFY</v>
      </c>
      <c r="Q565" s="15">
        <f t="shared" si="2"/>
        <v>2</v>
      </c>
      <c r="R565" s="15">
        <f t="shared" si="3"/>
        <v>2</v>
      </c>
      <c r="S565" s="15">
        <f t="shared" si="4"/>
        <v>2</v>
      </c>
      <c r="T565" s="15" t="str">
        <f t="shared" si="5"/>
        <v>B-4</v>
      </c>
      <c r="U565" s="15" t="str">
        <f t="shared" si="6"/>
        <v>T2-M2-H2-FB-4-VERIFY</v>
      </c>
      <c r="V565" s="15">
        <f t="shared" si="7"/>
        <v>0</v>
      </c>
      <c r="W565" s="31"/>
      <c r="X565" s="15" t="str">
        <f t="shared" si="8"/>
        <v>prayagraj</v>
      </c>
      <c r="Y565" s="32" t="str">
        <f t="shared" si="9"/>
        <v>https://steelmanufacturer.in/market-area/electropolished-pipes-manufacturer-in-prayagraj/</v>
      </c>
      <c r="Z565" s="15" t="str">
        <f t="shared" si="10"/>
        <v>Electropolished Pipes Manufacturer in Prayagraj</v>
      </c>
      <c r="AA565" s="15" t="str">
        <f t="shared" si="11"/>
        <v>OK (47)</v>
      </c>
      <c r="AB565" s="15" t="str">
        <f t="shared" si="12"/>
        <v>Electropolished tube supply to UPSIDA Industrial Area, Prayagraj. Ra from 0.25 um, SF4 finish, mill test certificate with every lot.</v>
      </c>
      <c r="AC565" s="15" t="str">
        <f t="shared" si="13"/>
        <v>PENDING RESEARCH</v>
      </c>
      <c r="AD565" s="15" t="str">
        <f t="shared" si="14"/>
        <v>Electropolished Pipes Manufacturer in Prayagraj</v>
      </c>
      <c r="AE565" s="15" t="str">
        <f t="shared" si="15"/>
        <v>How We Manufacture Electropolished Tube for Prayagraj Plants</v>
      </c>
      <c r="AF565" s="15" t="str">
        <f t="shared" si="16"/>
        <v>Supplying Electropolished Pipes in Prayagraj: Availability, Sizes &amp; Dispatch</v>
      </c>
      <c r="AG565" s="15" t="str">
        <f t="shared" si="17"/>
        <v>Wholesale Electropolished Pipe Supply for Prayagraj Projects</v>
      </c>
      <c r="AH565" s="15" t="str">
        <f t="shared" si="18"/>
        <v>electropolished pipes manufacturer in Prayagraj, electropolished pipes supplier in Prayagraj, electropolished pipes wholesaler in Prayagraj, electropolished tube manufacturer Prayagraj, EP pipe supplier Prayagraj, sanitary tube supplier Prayagraj, ASME BPE tubing Prayagraj, ASTM A270 tube Prayagraj, SS 316L electropolished pipe Prayagraj</v>
      </c>
      <c r="AI565" s="15" t="str">
        <f t="shared" si="19"/>
        <v>Electropolished Pipes Manufacturer &amp; Supplier in Prayagraj</v>
      </c>
      <c r="AJ565" s="15" t="str">
        <f t="shared" si="20"/>
        <v>EP-finished SS 304/316L pipes and tubes for VERIFY plants in Prayagraj. ASME BPE SF1-SF4, Ra from 0.25 um, EN 10204 3.1 certificate with every lot.</v>
      </c>
      <c r="AK565" s="15" t="str">
        <f t="shared" si="21"/>
        <v>Electropolished stainless steel pipes supplied by Sakshi Forge to VERIFY plants at UPSIDA Industrial Area, Prayagraj</v>
      </c>
      <c r="AL565" s="15" t="str">
        <f t="shared" si="22"/>
        <v>Electropolished SS 316L tube stock for Prayagraj - Sakshi Forge</v>
      </c>
      <c r="AM565" s="15" t="str">
        <f t="shared" si="23"/>
        <v>Home &gt; Market Area &gt; India &gt; Uttar Pradesh &gt; Prayagraj</v>
      </c>
      <c r="AN565" s="15">
        <f t="shared" si="24"/>
        <v>1000</v>
      </c>
      <c r="AO565" s="15">
        <f t="shared" si="25"/>
        <v>8</v>
      </c>
      <c r="AP565" s="15">
        <f t="shared" si="26"/>
        <v>8</v>
      </c>
      <c r="AQ565" s="15">
        <f t="shared" si="27"/>
        <v>10</v>
      </c>
      <c r="AR565" s="31"/>
      <c r="AS565" s="31"/>
      <c r="AT565" s="35" t="s">
        <v>222</v>
      </c>
      <c r="AU565" s="35"/>
    </row>
    <row r="566" ht="15.75" customHeight="1">
      <c r="A566" s="15" t="s">
        <v>4195</v>
      </c>
      <c r="B566" s="15" t="s">
        <v>60</v>
      </c>
      <c r="C566" s="15" t="s">
        <v>413</v>
      </c>
      <c r="D566" s="15" t="s">
        <v>4196</v>
      </c>
      <c r="E566" s="15" t="s">
        <v>4196</v>
      </c>
      <c r="F566" s="65" t="s">
        <v>788</v>
      </c>
      <c r="G566" s="66" t="s">
        <v>98</v>
      </c>
      <c r="H566" s="18" t="s">
        <v>4198</v>
      </c>
      <c r="I566" s="18" t="s">
        <v>8393</v>
      </c>
      <c r="J566" s="18" t="s">
        <v>98</v>
      </c>
      <c r="K566" s="18" t="s">
        <v>98</v>
      </c>
      <c r="L566" s="18" t="s">
        <v>98</v>
      </c>
      <c r="M566" s="18" t="s">
        <v>98</v>
      </c>
      <c r="N566" s="18" t="s">
        <v>98</v>
      </c>
      <c r="O566" s="18" t="s">
        <v>98</v>
      </c>
      <c r="P566" s="15" t="str">
        <f t="shared" si="1"/>
        <v>VERIFY</v>
      </c>
      <c r="Q566" s="15">
        <f t="shared" si="2"/>
        <v>3</v>
      </c>
      <c r="R566" s="15">
        <f t="shared" si="3"/>
        <v>3</v>
      </c>
      <c r="S566" s="15">
        <f t="shared" si="4"/>
        <v>3</v>
      </c>
      <c r="T566" s="15" t="str">
        <f t="shared" si="5"/>
        <v>B-5</v>
      </c>
      <c r="U566" s="15" t="str">
        <f t="shared" si="6"/>
        <v>T3-M3-H3-FB-5-VERIFY</v>
      </c>
      <c r="V566" s="15">
        <f t="shared" si="7"/>
        <v>0</v>
      </c>
      <c r="W566" s="31"/>
      <c r="X566" s="15" t="str">
        <f t="shared" si="8"/>
        <v>proddatur</v>
      </c>
      <c r="Y566" s="32" t="str">
        <f t="shared" si="9"/>
        <v>https://steelmanufacturer.in/market-area/electropolished-pipes-manufacturer-in-proddatur/</v>
      </c>
      <c r="Z566" s="15" t="str">
        <f t="shared" si="10"/>
        <v>Electropolished Pipes Manufacturer in Proddatur</v>
      </c>
      <c r="AA566" s="15" t="str">
        <f t="shared" si="11"/>
        <v>OK (47)</v>
      </c>
      <c r="AB566" s="15" t="str">
        <f t="shared" si="12"/>
        <v>EP stainless tube for VERIFY lines in Proddatur. VERIFY. ASTM A270 S2, PMI tested, EN 10204 3.1.</v>
      </c>
      <c r="AC566" s="15" t="str">
        <f t="shared" si="13"/>
        <v>PENDING RESEARCH</v>
      </c>
      <c r="AD566" s="15" t="str">
        <f t="shared" si="14"/>
        <v>Electropolished Pipes Manufacturer in Proddatur</v>
      </c>
      <c r="AE566" s="15" t="str">
        <f t="shared" si="15"/>
        <v>Electropolished Pipes Manufacturer in Proddatur - Our Process &amp; Capability</v>
      </c>
      <c r="AF566" s="15" t="str">
        <f t="shared" si="16"/>
        <v>Electropolished Pipes Supplier in Proddatur - What We Hold in Stock</v>
      </c>
      <c r="AG566" s="15" t="str">
        <f t="shared" si="17"/>
        <v>Bulk &amp; Wholesale Electropolished Pipe Rates for Proddatur Buyers</v>
      </c>
      <c r="AH566" s="15" t="str">
        <f t="shared" si="18"/>
        <v>electropolished pipes manufacturer in Proddatur, electropolished pipes supplier in Proddatur, electropolished pipes wholesaler in Proddatur, electropolished tube manufacturer Proddatur, EP pipe supplier Proddatur, sanitary tube supplier Proddatur, ASME BPE tubing Proddatur, ASTM A270 tube Proddatur, SS 316L electropolished pipe Proddatur</v>
      </c>
      <c r="AI566" s="15" t="str">
        <f t="shared" si="19"/>
        <v>Electropolished Pipes Manufacturer &amp; Supplier in Proddatur</v>
      </c>
      <c r="AJ566" s="15" t="str">
        <f t="shared" si="20"/>
        <v>EP-finished SS 304/316L pipes and tubes for VERIFY plants in Proddatur. ASME BPE SF1-SF4, Ra from 0.25 um, EN 10204 3.1 certificate with every lot.</v>
      </c>
      <c r="AK566" s="15" t="str">
        <f t="shared" si="21"/>
        <v>Electropolished stainless steel pipes supplied by Sakshi Forge to VERIFY plants at APIIC Industrial Area, Proddatur</v>
      </c>
      <c r="AL566" s="15" t="str">
        <f t="shared" si="22"/>
        <v>Electropolished SS 316L tube stock for Proddatur - Sakshi Forge</v>
      </c>
      <c r="AM566" s="15" t="str">
        <f t="shared" si="23"/>
        <v>Home &gt; Market Area &gt; India &gt; Andhra Pradesh &gt; Proddatur</v>
      </c>
      <c r="AN566" s="15">
        <f t="shared" si="24"/>
        <v>1000</v>
      </c>
      <c r="AO566" s="15">
        <f t="shared" si="25"/>
        <v>8</v>
      </c>
      <c r="AP566" s="15">
        <f t="shared" si="26"/>
        <v>8</v>
      </c>
      <c r="AQ566" s="15">
        <f t="shared" si="27"/>
        <v>10</v>
      </c>
      <c r="AR566" s="31"/>
      <c r="AS566" s="31"/>
      <c r="AT566" s="35" t="s">
        <v>222</v>
      </c>
      <c r="AU566" s="35"/>
    </row>
    <row r="567" ht="15.75" customHeight="1">
      <c r="A567" s="15" t="s">
        <v>4199</v>
      </c>
      <c r="B567" s="15" t="s">
        <v>60</v>
      </c>
      <c r="C567" s="15" t="s">
        <v>958</v>
      </c>
      <c r="D567" s="15" t="s">
        <v>4200</v>
      </c>
      <c r="E567" s="15" t="s">
        <v>4200</v>
      </c>
      <c r="F567" s="65" t="s">
        <v>788</v>
      </c>
      <c r="G567" s="66" t="s">
        <v>98</v>
      </c>
      <c r="H567" s="18" t="s">
        <v>4202</v>
      </c>
      <c r="I567" s="18" t="s">
        <v>8403</v>
      </c>
      <c r="J567" s="18" t="s">
        <v>98</v>
      </c>
      <c r="K567" s="18" t="s">
        <v>98</v>
      </c>
      <c r="L567" s="18" t="s">
        <v>98</v>
      </c>
      <c r="M567" s="18" t="s">
        <v>98</v>
      </c>
      <c r="N567" s="18" t="s">
        <v>98</v>
      </c>
      <c r="O567" s="18" t="s">
        <v>98</v>
      </c>
      <c r="P567" s="15" t="str">
        <f t="shared" si="1"/>
        <v>VERIFY</v>
      </c>
      <c r="Q567" s="15">
        <f t="shared" si="2"/>
        <v>4</v>
      </c>
      <c r="R567" s="15">
        <f t="shared" si="3"/>
        <v>4</v>
      </c>
      <c r="S567" s="15">
        <f t="shared" si="4"/>
        <v>4</v>
      </c>
      <c r="T567" s="15" t="str">
        <f t="shared" si="5"/>
        <v>B-6</v>
      </c>
      <c r="U567" s="15" t="str">
        <f t="shared" si="6"/>
        <v>T4-M4-H4-FB-6-VERIFY</v>
      </c>
      <c r="V567" s="15">
        <f t="shared" si="7"/>
        <v>0</v>
      </c>
      <c r="W567" s="31"/>
      <c r="X567" s="15" t="str">
        <f t="shared" si="8"/>
        <v>pudukkottai</v>
      </c>
      <c r="Y567" s="32" t="str">
        <f t="shared" si="9"/>
        <v>https://steelmanufacturer.in/market-area/electropolished-pipes-manufacturer-in-pudukkottai/</v>
      </c>
      <c r="Z567" s="15" t="str">
        <f t="shared" si="10"/>
        <v>Electropolished Pipes Manufacturer in Pudukkottai</v>
      </c>
      <c r="AA567" s="15" t="str">
        <f t="shared" si="11"/>
        <v>OK (49)</v>
      </c>
      <c r="AB567" s="15" t="str">
        <f t="shared" si="12"/>
        <v>Sanitary electropolished pipes in Pudukkottai for VERIFY plants. ASME BPE SF1-SF4, orbital-weld ready, 3.1 MTC. Mumbai-made.</v>
      </c>
      <c r="AC567" s="15" t="str">
        <f t="shared" si="13"/>
        <v>PENDING RESEARCH</v>
      </c>
      <c r="AD567" s="15" t="str">
        <f t="shared" si="14"/>
        <v>Electropolished Pipes Manufacturer in Pudukkottai</v>
      </c>
      <c r="AE567" s="15" t="str">
        <f t="shared" si="15"/>
        <v>Manufacturing Electropolished SS Tube for Pudukkottai: The Standards We Build To</v>
      </c>
      <c r="AF567" s="15" t="str">
        <f t="shared" si="16"/>
        <v>Electropolished Pipe Supply Into Pudukkottai - Certification &amp; Transit</v>
      </c>
      <c r="AG567" s="15" t="str">
        <f t="shared" si="17"/>
        <v>Electropolished Pipes Wholesaler in Pudukkottai - Project Quantities &amp; Terms</v>
      </c>
      <c r="AH567" s="15" t="str">
        <f t="shared" si="18"/>
        <v>electropolished pipes manufacturer in Pudukkottai, electropolished pipes supplier in Pudukkottai, electropolished pipes wholesaler in Pudukkottai, electropolished tube manufacturer Pudukkottai, EP pipe supplier Pudukkottai, sanitary tube supplier Pudukkottai, ASME BPE tubing Pudukkottai, ASTM A270 tube Pudukkottai, SS 316L electropolished pipe Pudukkottai</v>
      </c>
      <c r="AI567" s="15" t="str">
        <f t="shared" si="19"/>
        <v>Electropolished Pipes Manufacturer &amp; Supplier in Pudukkottai</v>
      </c>
      <c r="AJ567" s="15" t="str">
        <f t="shared" si="20"/>
        <v>EP-finished SS 304/316L pipes and tubes for VERIFY plants in Pudukkottai. ASME BPE SF1-SF4, Ra from 0.25 um, EN 10204 3.1 certificate with every lot.</v>
      </c>
      <c r="AK567" s="15" t="str">
        <f t="shared" si="21"/>
        <v>Electropolished stainless steel pipes supplied by Sakshi Forge to VERIFY plants at SIPCOT Industrial Area, Pudukkottai</v>
      </c>
      <c r="AL567" s="15" t="str">
        <f t="shared" si="22"/>
        <v>Electropolished SS 316L tube stock for Pudukkottai - Sakshi Forge</v>
      </c>
      <c r="AM567" s="15" t="str">
        <f t="shared" si="23"/>
        <v>Home &gt; Market Area &gt; India &gt; Tamil Nadu &gt; Pudukkottai</v>
      </c>
      <c r="AN567" s="15">
        <f t="shared" si="24"/>
        <v>1000</v>
      </c>
      <c r="AO567" s="15">
        <f t="shared" si="25"/>
        <v>8</v>
      </c>
      <c r="AP567" s="15">
        <f t="shared" si="26"/>
        <v>8</v>
      </c>
      <c r="AQ567" s="15">
        <f t="shared" si="27"/>
        <v>10</v>
      </c>
      <c r="AR567" s="31"/>
      <c r="AS567" s="31"/>
      <c r="AT567" s="35" t="s">
        <v>222</v>
      </c>
      <c r="AU567" s="35"/>
    </row>
    <row r="568" ht="15.75" customHeight="1">
      <c r="A568" s="15" t="s">
        <v>4206</v>
      </c>
      <c r="B568" s="15" t="s">
        <v>60</v>
      </c>
      <c r="C568" s="15" t="s">
        <v>424</v>
      </c>
      <c r="D568" s="15" t="s">
        <v>4210</v>
      </c>
      <c r="E568" s="15" t="s">
        <v>4210</v>
      </c>
      <c r="F568" s="65" t="s">
        <v>788</v>
      </c>
      <c r="G568" s="66" t="s">
        <v>98</v>
      </c>
      <c r="H568" s="18" t="s">
        <v>4212</v>
      </c>
      <c r="I568" s="18" t="s">
        <v>8406</v>
      </c>
      <c r="J568" s="18" t="s">
        <v>98</v>
      </c>
      <c r="K568" s="18" t="s">
        <v>98</v>
      </c>
      <c r="L568" s="18" t="s">
        <v>98</v>
      </c>
      <c r="M568" s="18" t="s">
        <v>98</v>
      </c>
      <c r="N568" s="18" t="s">
        <v>98</v>
      </c>
      <c r="O568" s="18" t="s">
        <v>98</v>
      </c>
      <c r="P568" s="15" t="str">
        <f t="shared" si="1"/>
        <v>VERIFY</v>
      </c>
      <c r="Q568" s="15">
        <f t="shared" si="2"/>
        <v>5</v>
      </c>
      <c r="R568" s="15">
        <f t="shared" si="3"/>
        <v>5</v>
      </c>
      <c r="S568" s="15">
        <f t="shared" si="4"/>
        <v>5</v>
      </c>
      <c r="T568" s="15" t="str">
        <f t="shared" si="5"/>
        <v>B-1</v>
      </c>
      <c r="U568" s="15" t="str">
        <f t="shared" si="6"/>
        <v>T5-M5-H5-FB-1-VERIFY</v>
      </c>
      <c r="V568" s="15">
        <f t="shared" si="7"/>
        <v>0</v>
      </c>
      <c r="W568" s="31"/>
      <c r="X568" s="15" t="str">
        <f t="shared" si="8"/>
        <v>puri</v>
      </c>
      <c r="Y568" s="32" t="str">
        <f t="shared" si="9"/>
        <v>https://steelmanufacturer.in/market-area/electropolished-pipes-manufacturer-in-puri/</v>
      </c>
      <c r="Z568" s="15" t="str">
        <f t="shared" si="10"/>
        <v>Electropolished Pipes Manufacturer in Puri | Sanitary Tube Supply</v>
      </c>
      <c r="AA568" s="15" t="str">
        <f t="shared" si="11"/>
        <v>OK (65)</v>
      </c>
      <c r="AB568" s="15" t="str">
        <f t="shared" si="12"/>
        <v>Manufacturer of electropolished SS 316L tube serving Puri. VERIFY. Ra 0.25-0.5 um, EN 10204 3.1 MTC.</v>
      </c>
      <c r="AC568" s="15" t="str">
        <f t="shared" si="13"/>
        <v>PENDING RESEARCH</v>
      </c>
      <c r="AD568" s="15" t="str">
        <f t="shared" si="14"/>
        <v>Electropolished Pipes Manufacturer in Puri</v>
      </c>
      <c r="AE568" s="15" t="str">
        <f t="shared" si="15"/>
        <v>Electropolished Tube Manufacturing Capability Serving Puri</v>
      </c>
      <c r="AF568" s="15" t="str">
        <f t="shared" si="16"/>
        <v>Electropolished Pipes Supplier in Puri - From Order to Delivery</v>
      </c>
      <c r="AG568" s="15" t="str">
        <f t="shared" si="17"/>
        <v>Stockist &amp; Wholesale Supply of Electropolished Pipes in Puri</v>
      </c>
      <c r="AH568" s="15" t="str">
        <f t="shared" si="18"/>
        <v>electropolished pipes manufacturer in Puri, electropolished pipes supplier in Puri, electropolished pipes wholesaler in Puri, electropolished tube manufacturer Puri, EP pipe supplier Puri, sanitary tube supplier Puri, ASME BPE tubing Puri, ASTM A270 tube Puri, SS 316L electropolished pipe Puri</v>
      </c>
      <c r="AI568" s="15" t="str">
        <f t="shared" si="19"/>
        <v>Electropolished Pipes Manufacturer &amp; Supplier in Puri</v>
      </c>
      <c r="AJ568" s="15" t="str">
        <f t="shared" si="20"/>
        <v>EP-finished SS 304/316L pipes and tubes for VERIFY plants in Puri. ASME BPE SF1-SF4, Ra from 0.25 um, EN 10204 3.1 certificate with every lot.</v>
      </c>
      <c r="AK568" s="15" t="str">
        <f t="shared" si="21"/>
        <v>Electropolished stainless steel pipes supplied by Sakshi Forge to VERIFY plants at IDCO Industrial Area, Puri</v>
      </c>
      <c r="AL568" s="15" t="str">
        <f t="shared" si="22"/>
        <v>Electropolished SS 316L tube stock for Puri - Sakshi Forge</v>
      </c>
      <c r="AM568" s="15" t="str">
        <f t="shared" si="23"/>
        <v>Home &gt; Market Area &gt; India &gt; Odisha &gt; Puri</v>
      </c>
      <c r="AN568" s="15">
        <f t="shared" si="24"/>
        <v>1000</v>
      </c>
      <c r="AO568" s="15">
        <f t="shared" si="25"/>
        <v>8</v>
      </c>
      <c r="AP568" s="15">
        <f t="shared" si="26"/>
        <v>8</v>
      </c>
      <c r="AQ568" s="15">
        <f t="shared" si="27"/>
        <v>10</v>
      </c>
      <c r="AR568" s="31"/>
      <c r="AS568" s="31"/>
      <c r="AT568" s="35" t="s">
        <v>222</v>
      </c>
      <c r="AU568" s="35"/>
    </row>
    <row r="569" ht="15.75" customHeight="1">
      <c r="A569" s="15" t="s">
        <v>4213</v>
      </c>
      <c r="B569" s="15" t="s">
        <v>60</v>
      </c>
      <c r="C569" s="15" t="s">
        <v>1818</v>
      </c>
      <c r="D569" s="15" t="s">
        <v>4214</v>
      </c>
      <c r="E569" s="15" t="s">
        <v>4214</v>
      </c>
      <c r="F569" s="65" t="s">
        <v>788</v>
      </c>
      <c r="G569" s="66" t="s">
        <v>98</v>
      </c>
      <c r="H569" s="18" t="s">
        <v>4216</v>
      </c>
      <c r="I569" s="18" t="s">
        <v>8402</v>
      </c>
      <c r="J569" s="18" t="s">
        <v>98</v>
      </c>
      <c r="K569" s="18" t="s">
        <v>98</v>
      </c>
      <c r="L569" s="18" t="s">
        <v>98</v>
      </c>
      <c r="M569" s="18" t="s">
        <v>98</v>
      </c>
      <c r="N569" s="18" t="s">
        <v>98</v>
      </c>
      <c r="O569" s="18" t="s">
        <v>98</v>
      </c>
      <c r="P569" s="15" t="str">
        <f t="shared" si="1"/>
        <v>VERIFY</v>
      </c>
      <c r="Q569" s="15">
        <f t="shared" si="2"/>
        <v>6</v>
      </c>
      <c r="R569" s="15">
        <f t="shared" si="3"/>
        <v>6</v>
      </c>
      <c r="S569" s="15">
        <f t="shared" si="4"/>
        <v>1</v>
      </c>
      <c r="T569" s="15" t="str">
        <f t="shared" si="5"/>
        <v>B-2</v>
      </c>
      <c r="U569" s="15" t="str">
        <f t="shared" si="6"/>
        <v>T6-M6-H1-FB-2-VERIFY</v>
      </c>
      <c r="V569" s="15">
        <f t="shared" si="7"/>
        <v>0</v>
      </c>
      <c r="W569" s="31"/>
      <c r="X569" s="15" t="str">
        <f t="shared" si="8"/>
        <v>purnia</v>
      </c>
      <c r="Y569" s="32" t="str">
        <f t="shared" si="9"/>
        <v>https://steelmanufacturer.in/market-area/electropolished-pipes-manufacturer-in-purnia/</v>
      </c>
      <c r="Z569" s="15" t="str">
        <f t="shared" si="10"/>
        <v>Electropolished Pipes Manufacturer in Purnia</v>
      </c>
      <c r="AA569" s="15" t="str">
        <f t="shared" si="11"/>
        <v>OK (44)</v>
      </c>
      <c r="AB569" s="15" t="str">
        <f t="shared" si="12"/>
        <v>EP tube and pipe for VERIFY plants around BIADA Industrial Area, Purnia. Made at our Mumbai works to ASTM A270 and ASME BPE SF1-SF4, with 3.1 MTC.</v>
      </c>
      <c r="AC569" s="15" t="str">
        <f t="shared" si="13"/>
        <v>PENDING RESEARCH</v>
      </c>
      <c r="AD569" s="15" t="str">
        <f t="shared" si="14"/>
        <v>Electropolished Pipes Manufacturer in Purnia</v>
      </c>
      <c r="AE569" s="15" t="str">
        <f t="shared" si="15"/>
        <v>Electropolished Pipe &amp; Tube Manufacturing for Purnia - Grades, Finishes &amp; Certification</v>
      </c>
      <c r="AF569" s="15" t="str">
        <f t="shared" si="16"/>
        <v>Electropolished Pipes Supplier in Purnia - Stock Sizes, Lead Time &amp; Delivery</v>
      </c>
      <c r="AG569" s="15" t="str">
        <f t="shared" si="17"/>
        <v>Electropolished Pipes Wholesaler &amp; Stockist in Purnia - Bulk &amp; Project Pricing</v>
      </c>
      <c r="AH569" s="15" t="str">
        <f t="shared" si="18"/>
        <v>electropolished pipes manufacturer in Purnia, electropolished pipes supplier in Purnia, electropolished pipes wholesaler in Purnia, electropolished tube manufacturer Purnia, EP pipe supplier Purnia, sanitary tube supplier Purnia, ASME BPE tubing Purnia, ASTM A270 tube Purnia, SS 316L electropolished pipe Purnia</v>
      </c>
      <c r="AI569" s="15" t="str">
        <f t="shared" si="19"/>
        <v>Electropolished Pipes Manufacturer &amp; Supplier in Purnia</v>
      </c>
      <c r="AJ569" s="15" t="str">
        <f t="shared" si="20"/>
        <v>EP-finished SS 304/316L pipes and tubes for VERIFY plants in Purnia. ASME BPE SF1-SF4, Ra from 0.25 um, EN 10204 3.1 certificate with every lot.</v>
      </c>
      <c r="AK569" s="15" t="str">
        <f t="shared" si="21"/>
        <v>Electropolished stainless steel pipes supplied by Sakshi Forge to VERIFY plants at BIADA Industrial Area, Purnia</v>
      </c>
      <c r="AL569" s="15" t="str">
        <f t="shared" si="22"/>
        <v>Electropolished SS 316L tube stock for Purnia - Sakshi Forge</v>
      </c>
      <c r="AM569" s="15" t="str">
        <f t="shared" si="23"/>
        <v>Home &gt; Market Area &gt; India &gt; Bihar &gt; Purnia</v>
      </c>
      <c r="AN569" s="15">
        <f t="shared" si="24"/>
        <v>1000</v>
      </c>
      <c r="AO569" s="15">
        <f t="shared" si="25"/>
        <v>8</v>
      </c>
      <c r="AP569" s="15">
        <f t="shared" si="26"/>
        <v>8</v>
      </c>
      <c r="AQ569" s="15">
        <f t="shared" si="27"/>
        <v>10</v>
      </c>
      <c r="AR569" s="31"/>
      <c r="AS569" s="31"/>
      <c r="AT569" s="35" t="s">
        <v>222</v>
      </c>
      <c r="AU569" s="35"/>
    </row>
    <row r="570" ht="15.75" customHeight="1">
      <c r="A570" s="15" t="s">
        <v>4217</v>
      </c>
      <c r="B570" s="15" t="s">
        <v>60</v>
      </c>
      <c r="C570" s="15" t="s">
        <v>1165</v>
      </c>
      <c r="D570" s="15" t="s">
        <v>4218</v>
      </c>
      <c r="E570" s="15" t="s">
        <v>4218</v>
      </c>
      <c r="F570" s="65" t="s">
        <v>788</v>
      </c>
      <c r="G570" s="66" t="s">
        <v>98</v>
      </c>
      <c r="H570" s="18" t="s">
        <v>4220</v>
      </c>
      <c r="I570" s="18" t="s">
        <v>8404</v>
      </c>
      <c r="J570" s="18" t="s">
        <v>98</v>
      </c>
      <c r="K570" s="18" t="s">
        <v>98</v>
      </c>
      <c r="L570" s="18" t="s">
        <v>98</v>
      </c>
      <c r="M570" s="18" t="s">
        <v>98</v>
      </c>
      <c r="N570" s="18" t="s">
        <v>98</v>
      </c>
      <c r="O570" s="18" t="s">
        <v>98</v>
      </c>
      <c r="P570" s="15" t="str">
        <f t="shared" si="1"/>
        <v>VERIFY</v>
      </c>
      <c r="Q570" s="15">
        <f t="shared" si="2"/>
        <v>7</v>
      </c>
      <c r="R570" s="15">
        <f t="shared" si="3"/>
        <v>7</v>
      </c>
      <c r="S570" s="15">
        <f t="shared" si="4"/>
        <v>2</v>
      </c>
      <c r="T570" s="15" t="str">
        <f t="shared" si="5"/>
        <v>B-3</v>
      </c>
      <c r="U570" s="15" t="str">
        <f t="shared" si="6"/>
        <v>T7-M7-H2-FB-3-VERIFY</v>
      </c>
      <c r="V570" s="15">
        <f t="shared" si="7"/>
        <v>0</v>
      </c>
      <c r="W570" s="31"/>
      <c r="X570" s="15" t="str">
        <f t="shared" si="8"/>
        <v>purulia</v>
      </c>
      <c r="Y570" s="32" t="str">
        <f t="shared" si="9"/>
        <v>https://steelmanufacturer.in/market-area/electropolished-pipes-manufacturer-in-purulia/</v>
      </c>
      <c r="Z570" s="15" t="str">
        <f t="shared" si="10"/>
        <v>Electropolished Pipes Manufacturer in Purulia | ASME BPE SF1-SF4</v>
      </c>
      <c r="AA570" s="15" t="str">
        <f t="shared" si="11"/>
        <v>OK (64)</v>
      </c>
      <c r="AB570" s="15" t="str">
        <f t="shared" si="12"/>
        <v>Electropolished pipes in Purulia: 304, 304L, 316 and 316L in SF1-SF4. VERIFY. Mill certified.</v>
      </c>
      <c r="AC570" s="15" t="str">
        <f t="shared" si="13"/>
        <v>PENDING RESEARCH</v>
      </c>
      <c r="AD570" s="15" t="str">
        <f t="shared" si="14"/>
        <v>Electropolished Pipes Manufacturer in Purulia</v>
      </c>
      <c r="AE570" s="15" t="str">
        <f t="shared" si="15"/>
        <v>How We Manufacture Electropolished Tube for Purulia Plants</v>
      </c>
      <c r="AF570" s="15" t="str">
        <f t="shared" si="16"/>
        <v>Supplying Electropolished Pipes in Purulia: Availability, Sizes &amp; Dispatch</v>
      </c>
      <c r="AG570" s="15" t="str">
        <f t="shared" si="17"/>
        <v>Wholesale Electropolished Pipe Supply for Purulia Projects</v>
      </c>
      <c r="AH570" s="15" t="str">
        <f t="shared" si="18"/>
        <v>electropolished pipes manufacturer in Purulia, electropolished pipes supplier in Purulia, electropolished pipes wholesaler in Purulia, electropolished tube manufacturer Purulia, EP pipe supplier Purulia, sanitary tube supplier Purulia, ASME BPE tubing Purulia, ASTM A270 tube Purulia, SS 316L electropolished pipe Purulia</v>
      </c>
      <c r="AI570" s="15" t="str">
        <f t="shared" si="19"/>
        <v>Electropolished Pipes Manufacturer &amp; Supplier in Purulia</v>
      </c>
      <c r="AJ570" s="15" t="str">
        <f t="shared" si="20"/>
        <v>EP-finished SS 304/316L pipes and tubes for VERIFY plants in Purulia. ASME BPE SF1-SF4, Ra from 0.25 um, EN 10204 3.1 certificate with every lot.</v>
      </c>
      <c r="AK570" s="15" t="str">
        <f t="shared" si="21"/>
        <v>Electropolished stainless steel pipes supplied by Sakshi Forge to VERIFY plants at WBIDC Industrial Area, Purulia</v>
      </c>
      <c r="AL570" s="15" t="str">
        <f t="shared" si="22"/>
        <v>Electropolished SS 316L tube stock for Purulia - Sakshi Forge</v>
      </c>
      <c r="AM570" s="15" t="str">
        <f t="shared" si="23"/>
        <v>Home &gt; Market Area &gt; India &gt; West Bengal &gt; Purulia</v>
      </c>
      <c r="AN570" s="15">
        <f t="shared" si="24"/>
        <v>1000</v>
      </c>
      <c r="AO570" s="15">
        <f t="shared" si="25"/>
        <v>8</v>
      </c>
      <c r="AP570" s="15">
        <f t="shared" si="26"/>
        <v>8</v>
      </c>
      <c r="AQ570" s="15">
        <f t="shared" si="27"/>
        <v>10</v>
      </c>
      <c r="AR570" s="31"/>
      <c r="AS570" s="31"/>
      <c r="AT570" s="35" t="s">
        <v>222</v>
      </c>
      <c r="AU570" s="35"/>
    </row>
    <row r="571" ht="15.75" customHeight="1">
      <c r="A571" s="15" t="s">
        <v>4221</v>
      </c>
      <c r="B571" s="15" t="s">
        <v>60</v>
      </c>
      <c r="C571" s="15" t="s">
        <v>85</v>
      </c>
      <c r="D571" s="15" t="s">
        <v>4222</v>
      </c>
      <c r="E571" s="15" t="s">
        <v>4222</v>
      </c>
      <c r="F571" s="65" t="s">
        <v>788</v>
      </c>
      <c r="G571" s="66" t="s">
        <v>98</v>
      </c>
      <c r="H571" s="18" t="s">
        <v>4224</v>
      </c>
      <c r="I571" s="18" t="s">
        <v>8398</v>
      </c>
      <c r="J571" s="18" t="s">
        <v>98</v>
      </c>
      <c r="K571" s="18" t="s">
        <v>98</v>
      </c>
      <c r="L571" s="18" t="s">
        <v>98</v>
      </c>
      <c r="M571" s="18" t="s">
        <v>98</v>
      </c>
      <c r="N571" s="18" t="s">
        <v>98</v>
      </c>
      <c r="O571" s="18" t="s">
        <v>98</v>
      </c>
      <c r="P571" s="15" t="str">
        <f t="shared" si="1"/>
        <v>VERIFY</v>
      </c>
      <c r="Q571" s="15">
        <f t="shared" si="2"/>
        <v>8</v>
      </c>
      <c r="R571" s="15">
        <f t="shared" si="3"/>
        <v>1</v>
      </c>
      <c r="S571" s="15">
        <f t="shared" si="4"/>
        <v>3</v>
      </c>
      <c r="T571" s="15" t="str">
        <f t="shared" si="5"/>
        <v>B-4</v>
      </c>
      <c r="U571" s="15" t="str">
        <f t="shared" si="6"/>
        <v>T8-M1-H3-FB-4-VERIFY</v>
      </c>
      <c r="V571" s="15">
        <f t="shared" si="7"/>
        <v>0</v>
      </c>
      <c r="W571" s="31"/>
      <c r="X571" s="15" t="str">
        <f t="shared" si="8"/>
        <v>raebareli</v>
      </c>
      <c r="Y571" s="32" t="str">
        <f t="shared" si="9"/>
        <v>https://steelmanufacturer.in/market-area/electropolished-pipes-manufacturer-in-raebareli/</v>
      </c>
      <c r="Z571" s="15" t="str">
        <f t="shared" si="10"/>
        <v>Electropolished Pipes Manufacturer in Raebareli</v>
      </c>
      <c r="AA571" s="15" t="str">
        <f t="shared" si="11"/>
        <v>OK (47)</v>
      </c>
      <c r="AB571" s="15" t="str">
        <f t="shared" si="12"/>
        <v>EP-finished SS 304/316L pipes &amp; tubes for VERIFY plants in Raebareli. ASTM A270, ASME BPE SF1-SF4, EN 10204 3.1 MTC. PMI tested.</v>
      </c>
      <c r="AC571" s="15" t="str">
        <f t="shared" si="13"/>
        <v>PENDING RESEARCH</v>
      </c>
      <c r="AD571" s="15" t="str">
        <f t="shared" si="14"/>
        <v>Electropolished Pipes Manufacturer in Raebareli</v>
      </c>
      <c r="AE571" s="15" t="str">
        <f t="shared" si="15"/>
        <v>Electropolished Pipes Manufacturer in Raebareli - Our Process &amp; Capability</v>
      </c>
      <c r="AF571" s="15" t="str">
        <f t="shared" si="16"/>
        <v>Electropolished Pipes Supplier in Raebareli - What We Hold in Stock</v>
      </c>
      <c r="AG571" s="15" t="str">
        <f t="shared" si="17"/>
        <v>Bulk &amp; Wholesale Electropolished Pipe Rates for Raebareli Buyers</v>
      </c>
      <c r="AH571" s="15" t="str">
        <f t="shared" si="18"/>
        <v>electropolished pipes manufacturer in Raebareli, electropolished pipes supplier in Raebareli, electropolished pipes wholesaler in Raebareli, electropolished tube manufacturer Raebareli, EP pipe supplier Raebareli, sanitary tube supplier Raebareli, ASME BPE tubing Raebareli, ASTM A270 tube Raebareli, SS 316L electropolished pipe Raebareli</v>
      </c>
      <c r="AI571" s="15" t="str">
        <f t="shared" si="19"/>
        <v>Electropolished Pipes Manufacturer &amp; Supplier in Raebareli</v>
      </c>
      <c r="AJ571" s="15" t="str">
        <f t="shared" si="20"/>
        <v>EP-finished SS 304/316L pipes and tubes for VERIFY plants in Raebareli. ASME BPE SF1-SF4, Ra from 0.25 um, EN 10204 3.1 certificate with every lot.</v>
      </c>
      <c r="AK571" s="15" t="str">
        <f t="shared" si="21"/>
        <v>Electropolished stainless steel pipes supplied by Sakshi Forge to VERIFY plants at UPSIDA Industrial Area, Raebareli</v>
      </c>
      <c r="AL571" s="15" t="str">
        <f t="shared" si="22"/>
        <v>Electropolished SS 316L tube stock for Raebareli - Sakshi Forge</v>
      </c>
      <c r="AM571" s="15" t="str">
        <f t="shared" si="23"/>
        <v>Home &gt; Market Area &gt; India &gt; Uttar Pradesh &gt; Raebareli</v>
      </c>
      <c r="AN571" s="15">
        <f t="shared" si="24"/>
        <v>1000</v>
      </c>
      <c r="AO571" s="15">
        <f t="shared" si="25"/>
        <v>8</v>
      </c>
      <c r="AP571" s="15">
        <f t="shared" si="26"/>
        <v>8</v>
      </c>
      <c r="AQ571" s="15">
        <f t="shared" si="27"/>
        <v>10</v>
      </c>
      <c r="AR571" s="31"/>
      <c r="AS571" s="31"/>
      <c r="AT571" s="35" t="s">
        <v>222</v>
      </c>
      <c r="AU571" s="35"/>
    </row>
    <row r="572" ht="15.75" customHeight="1">
      <c r="A572" s="15" t="s">
        <v>4225</v>
      </c>
      <c r="B572" s="15" t="s">
        <v>60</v>
      </c>
      <c r="C572" s="15" t="s">
        <v>570</v>
      </c>
      <c r="D572" s="15" t="s">
        <v>4226</v>
      </c>
      <c r="E572" s="15" t="s">
        <v>4226</v>
      </c>
      <c r="F572" s="65" t="s">
        <v>788</v>
      </c>
      <c r="G572" s="66" t="s">
        <v>98</v>
      </c>
      <c r="H572" s="18" t="s">
        <v>4228</v>
      </c>
      <c r="I572" s="18" t="s">
        <v>8405</v>
      </c>
      <c r="J572" s="18" t="s">
        <v>98</v>
      </c>
      <c r="K572" s="18" t="s">
        <v>98</v>
      </c>
      <c r="L572" s="18" t="s">
        <v>98</v>
      </c>
      <c r="M572" s="18" t="s">
        <v>98</v>
      </c>
      <c r="N572" s="18" t="s">
        <v>98</v>
      </c>
      <c r="O572" s="18" t="s">
        <v>98</v>
      </c>
      <c r="P572" s="15" t="str">
        <f t="shared" si="1"/>
        <v>VERIFY</v>
      </c>
      <c r="Q572" s="15">
        <f t="shared" si="2"/>
        <v>1</v>
      </c>
      <c r="R572" s="15">
        <f t="shared" si="3"/>
        <v>2</v>
      </c>
      <c r="S572" s="15">
        <f t="shared" si="4"/>
        <v>4</v>
      </c>
      <c r="T572" s="15" t="str">
        <f t="shared" si="5"/>
        <v>B-5</v>
      </c>
      <c r="U572" s="15" t="str">
        <f t="shared" si="6"/>
        <v>T1-M2-H4-FB-5-VERIFY</v>
      </c>
      <c r="V572" s="15">
        <f t="shared" si="7"/>
        <v>0</v>
      </c>
      <c r="W572" s="31"/>
      <c r="X572" s="15" t="str">
        <f t="shared" si="8"/>
        <v>raichur</v>
      </c>
      <c r="Y572" s="32" t="str">
        <f t="shared" si="9"/>
        <v>https://steelmanufacturer.in/market-area/electropolished-pipes-manufacturer-in-raichur/</v>
      </c>
      <c r="Z572" s="15" t="str">
        <f t="shared" si="10"/>
        <v>Electropolished Pipes Manufacturer in Raichur | Sakshi Forge</v>
      </c>
      <c r="AA572" s="15" t="str">
        <f t="shared" si="11"/>
        <v>OK (60)</v>
      </c>
      <c r="AB572" s="15" t="str">
        <f t="shared" si="12"/>
        <v>Electropolished tube supply to KIADB Industrial Area, Raichur. Ra from 0.25 um, SF4 finish, mill test certificate with every lot.</v>
      </c>
      <c r="AC572" s="15" t="str">
        <f t="shared" si="13"/>
        <v>PENDING RESEARCH</v>
      </c>
      <c r="AD572" s="15" t="str">
        <f t="shared" si="14"/>
        <v>Electropolished Pipes Manufacturer in Raichur</v>
      </c>
      <c r="AE572" s="15" t="str">
        <f t="shared" si="15"/>
        <v>Manufacturing Electropolished SS Tube for Raichur: The Standards We Build To</v>
      </c>
      <c r="AF572" s="15" t="str">
        <f t="shared" si="16"/>
        <v>Electropolished Pipe Supply Into Raichur - Certification &amp; Transit</v>
      </c>
      <c r="AG572" s="15" t="str">
        <f t="shared" si="17"/>
        <v>Electropolished Pipes Wholesaler in Raichur - Project Quantities &amp; Terms</v>
      </c>
      <c r="AH572" s="15" t="str">
        <f t="shared" si="18"/>
        <v>electropolished pipes manufacturer in Raichur, electropolished pipes supplier in Raichur, electropolished pipes wholesaler in Raichur, electropolished tube manufacturer Raichur, EP pipe supplier Raichur, sanitary tube supplier Raichur, ASME BPE tubing Raichur, ASTM A270 tube Raichur, SS 316L electropolished pipe Raichur</v>
      </c>
      <c r="AI572" s="15" t="str">
        <f t="shared" si="19"/>
        <v>Electropolished Pipes Manufacturer &amp; Supplier in Raichur</v>
      </c>
      <c r="AJ572" s="15" t="str">
        <f t="shared" si="20"/>
        <v>EP-finished SS 304/316L pipes and tubes for VERIFY plants in Raichur. ASME BPE SF1-SF4, Ra from 0.25 um, EN 10204 3.1 certificate with every lot.</v>
      </c>
      <c r="AK572" s="15" t="str">
        <f t="shared" si="21"/>
        <v>Electropolished stainless steel pipes supplied by Sakshi Forge to VERIFY plants at KIADB Industrial Area, Raichur</v>
      </c>
      <c r="AL572" s="15" t="str">
        <f t="shared" si="22"/>
        <v>Electropolished SS 316L tube stock for Raichur - Sakshi Forge</v>
      </c>
      <c r="AM572" s="15" t="str">
        <f t="shared" si="23"/>
        <v>Home &gt; Market Area &gt; India &gt; Karnataka &gt; Raichur</v>
      </c>
      <c r="AN572" s="15">
        <f t="shared" si="24"/>
        <v>1000</v>
      </c>
      <c r="AO572" s="15">
        <f t="shared" si="25"/>
        <v>8</v>
      </c>
      <c r="AP572" s="15">
        <f t="shared" si="26"/>
        <v>8</v>
      </c>
      <c r="AQ572" s="15">
        <f t="shared" si="27"/>
        <v>10</v>
      </c>
      <c r="AR572" s="31"/>
      <c r="AS572" s="31"/>
      <c r="AT572" s="35" t="s">
        <v>222</v>
      </c>
      <c r="AU572" s="35"/>
    </row>
    <row r="573" ht="15.75" customHeight="1">
      <c r="A573" s="15" t="s">
        <v>4230</v>
      </c>
      <c r="B573" s="15" t="s">
        <v>60</v>
      </c>
      <c r="C573" s="15" t="s">
        <v>264</v>
      </c>
      <c r="D573" s="15" t="s">
        <v>4233</v>
      </c>
      <c r="E573" s="15" t="s">
        <v>4233</v>
      </c>
      <c r="F573" s="65" t="s">
        <v>788</v>
      </c>
      <c r="G573" s="66" t="s">
        <v>98</v>
      </c>
      <c r="H573" s="18" t="s">
        <v>4238</v>
      </c>
      <c r="I573" s="18" t="s">
        <v>8395</v>
      </c>
      <c r="J573" s="18" t="s">
        <v>98</v>
      </c>
      <c r="K573" s="18" t="s">
        <v>98</v>
      </c>
      <c r="L573" s="18" t="s">
        <v>98</v>
      </c>
      <c r="M573" s="18" t="s">
        <v>98</v>
      </c>
      <c r="N573" s="18" t="s">
        <v>98</v>
      </c>
      <c r="O573" s="18" t="s">
        <v>98</v>
      </c>
      <c r="P573" s="15" t="str">
        <f t="shared" si="1"/>
        <v>VERIFY</v>
      </c>
      <c r="Q573" s="15">
        <f t="shared" si="2"/>
        <v>2</v>
      </c>
      <c r="R573" s="15">
        <f t="shared" si="3"/>
        <v>3</v>
      </c>
      <c r="S573" s="15">
        <f t="shared" si="4"/>
        <v>5</v>
      </c>
      <c r="T573" s="15" t="str">
        <f t="shared" si="5"/>
        <v>B-6</v>
      </c>
      <c r="U573" s="15" t="str">
        <f t="shared" si="6"/>
        <v>T2-M3-H5-FB-6-VERIFY</v>
      </c>
      <c r="V573" s="15">
        <f t="shared" si="7"/>
        <v>0</v>
      </c>
      <c r="W573" s="31"/>
      <c r="X573" s="15" t="str">
        <f t="shared" si="8"/>
        <v>raigad-alibag</v>
      </c>
      <c r="Y573" s="32" t="str">
        <f t="shared" si="9"/>
        <v>https://steelmanufacturer.in/market-area/electropolished-pipes-manufacturer-in-raigad-alibag/</v>
      </c>
      <c r="Z573" s="15" t="str">
        <f t="shared" si="10"/>
        <v>Electropolished Pipes Manufacturer in Raigad-Alibag</v>
      </c>
      <c r="AA573" s="15" t="str">
        <f t="shared" si="11"/>
        <v>OK (51)</v>
      </c>
      <c r="AB573" s="15" t="str">
        <f t="shared" si="12"/>
        <v>EP stainless tube for VERIFY lines in Raigad-Alibag. VERIFY. ASTM A270 S2, PMI tested, EN 10204 3.1.</v>
      </c>
      <c r="AC573" s="15" t="str">
        <f t="shared" si="13"/>
        <v>PENDING RESEARCH</v>
      </c>
      <c r="AD573" s="15" t="str">
        <f t="shared" si="14"/>
        <v>Electropolished Pipes Manufacturer in Raigad-Alibag</v>
      </c>
      <c r="AE573" s="15" t="str">
        <f t="shared" si="15"/>
        <v>Electropolished Tube Manufacturing Capability Serving Raigad-Alibag</v>
      </c>
      <c r="AF573" s="15" t="str">
        <f t="shared" si="16"/>
        <v>Electropolished Pipes Supplier in Raigad-Alibag - From Order to Delivery</v>
      </c>
      <c r="AG573" s="15" t="str">
        <f t="shared" si="17"/>
        <v>Stockist &amp; Wholesale Supply of Electropolished Pipes in Raigad-Alibag</v>
      </c>
      <c r="AH573" s="15" t="str">
        <f t="shared" si="18"/>
        <v>electropolished pipes manufacturer in Raigad-Alibag, electropolished pipes supplier in Raigad-Alibag, electropolished pipes wholesaler in Raigad-Alibag, electropolished tube manufacturer Raigad-Alibag, EP pipe supplier Raigad-Alibag, sanitary tube supplier Raigad-Alibag, ASME BPE tubing Raigad-Alibag, ASTM A270 tube Raigad-Alibag, SS 316L electropolished pipe Raigad-Alibag</v>
      </c>
      <c r="AI573" s="15" t="str">
        <f t="shared" si="19"/>
        <v>Electropolished Pipes Manufacturer &amp; Supplier in Raigad-Alibag</v>
      </c>
      <c r="AJ573" s="15" t="str">
        <f t="shared" si="20"/>
        <v>EP-finished SS 304/316L pipes and tubes for VERIFY plants in Raigad-Alibag. ASME BPE SF1-SF4, Ra from 0.25 um, EN 10204 3.1 certificate with every lot.</v>
      </c>
      <c r="AK573" s="15" t="str">
        <f t="shared" si="21"/>
        <v>Electropolished stainless steel pipes supplied by Sakshi Forge to VERIFY plants at MIDC Industrial Area, Raigad-Alibag</v>
      </c>
      <c r="AL573" s="15" t="str">
        <f t="shared" si="22"/>
        <v>Electropolished SS 316L tube stock for Raigad-Alibag - Sakshi Forge</v>
      </c>
      <c r="AM573" s="15" t="str">
        <f t="shared" si="23"/>
        <v>Home &gt; Market Area &gt; India &gt; Maharashtra &gt; Raigad-Alibag</v>
      </c>
      <c r="AN573" s="15">
        <f t="shared" si="24"/>
        <v>1000</v>
      </c>
      <c r="AO573" s="15">
        <f t="shared" si="25"/>
        <v>8</v>
      </c>
      <c r="AP573" s="15">
        <f t="shared" si="26"/>
        <v>8</v>
      </c>
      <c r="AQ573" s="15">
        <f t="shared" si="27"/>
        <v>10</v>
      </c>
      <c r="AR573" s="31"/>
      <c r="AS573" s="31"/>
      <c r="AT573" s="35" t="s">
        <v>222</v>
      </c>
      <c r="AU573" s="35"/>
    </row>
    <row r="574" ht="15.75" customHeight="1">
      <c r="A574" s="15" t="s">
        <v>4239</v>
      </c>
      <c r="B574" s="15" t="s">
        <v>60</v>
      </c>
      <c r="C574" s="15" t="s">
        <v>775</v>
      </c>
      <c r="D574" s="15" t="s">
        <v>4240</v>
      </c>
      <c r="E574" s="15" t="s">
        <v>4240</v>
      </c>
      <c r="F574" s="65" t="s">
        <v>788</v>
      </c>
      <c r="G574" s="66" t="s">
        <v>98</v>
      </c>
      <c r="H574" s="18" t="s">
        <v>4242</v>
      </c>
      <c r="I574" s="18" t="s">
        <v>8399</v>
      </c>
      <c r="J574" s="18" t="s">
        <v>98</v>
      </c>
      <c r="K574" s="18" t="s">
        <v>98</v>
      </c>
      <c r="L574" s="18" t="s">
        <v>98</v>
      </c>
      <c r="M574" s="18" t="s">
        <v>98</v>
      </c>
      <c r="N574" s="18" t="s">
        <v>98</v>
      </c>
      <c r="O574" s="18" t="s">
        <v>98</v>
      </c>
      <c r="P574" s="15" t="str">
        <f t="shared" si="1"/>
        <v>VERIFY</v>
      </c>
      <c r="Q574" s="15">
        <f t="shared" si="2"/>
        <v>3</v>
      </c>
      <c r="R574" s="15">
        <f t="shared" si="3"/>
        <v>4</v>
      </c>
      <c r="S574" s="15">
        <f t="shared" si="4"/>
        <v>1</v>
      </c>
      <c r="T574" s="15" t="str">
        <f t="shared" si="5"/>
        <v>B-1</v>
      </c>
      <c r="U574" s="15" t="str">
        <f t="shared" si="6"/>
        <v>T3-M4-H1-FB-1-VERIFY</v>
      </c>
      <c r="V574" s="15">
        <f t="shared" si="7"/>
        <v>0</v>
      </c>
      <c r="W574" s="31"/>
      <c r="X574" s="15" t="str">
        <f t="shared" si="8"/>
        <v>raigarh</v>
      </c>
      <c r="Y574" s="32" t="str">
        <f t="shared" si="9"/>
        <v>https://steelmanufacturer.in/market-area/electropolished-pipes-manufacturer-in-raigarh/</v>
      </c>
      <c r="Z574" s="15" t="str">
        <f t="shared" si="10"/>
        <v>Electropolished Pipes Manufacturer in Raigarh | EP Tube Supplier</v>
      </c>
      <c r="AA574" s="15" t="str">
        <f t="shared" si="11"/>
        <v>OK (64)</v>
      </c>
      <c r="AB574" s="15" t="str">
        <f t="shared" si="12"/>
        <v>Sanitary electropolished pipes in Raigarh for VERIFY plants. ASME BPE SF1-SF4, orbital-weld ready, 3.1 MTC. Mumbai-made.</v>
      </c>
      <c r="AC574" s="15" t="str">
        <f t="shared" si="13"/>
        <v>PENDING RESEARCH</v>
      </c>
      <c r="AD574" s="15" t="str">
        <f t="shared" si="14"/>
        <v>Electropolished Pipes Manufacturer in Raigarh</v>
      </c>
      <c r="AE574" s="15" t="str">
        <f t="shared" si="15"/>
        <v>Electropolished Pipe &amp; Tube Manufacturing for Raigarh - Grades, Finishes &amp; Certification</v>
      </c>
      <c r="AF574" s="15" t="str">
        <f t="shared" si="16"/>
        <v>Electropolished Pipes Supplier in Raigarh - Stock Sizes, Lead Time &amp; Delivery</v>
      </c>
      <c r="AG574" s="15" t="str">
        <f t="shared" si="17"/>
        <v>Electropolished Pipes Wholesaler &amp; Stockist in Raigarh - Bulk &amp; Project Pricing</v>
      </c>
      <c r="AH574" s="15" t="str">
        <f t="shared" si="18"/>
        <v>electropolished pipes manufacturer in Raigarh, electropolished pipes supplier in Raigarh, electropolished pipes wholesaler in Raigarh, electropolished tube manufacturer Raigarh, EP pipe supplier Raigarh, sanitary tube supplier Raigarh, ASME BPE tubing Raigarh, ASTM A270 tube Raigarh, SS 316L electropolished pipe Raigarh</v>
      </c>
      <c r="AI574" s="15" t="str">
        <f t="shared" si="19"/>
        <v>Electropolished Pipes Manufacturer &amp; Supplier in Raigarh</v>
      </c>
      <c r="AJ574" s="15" t="str">
        <f t="shared" si="20"/>
        <v>EP-finished SS 304/316L pipes and tubes for VERIFY plants in Raigarh. ASME BPE SF1-SF4, Ra from 0.25 um, EN 10204 3.1 certificate with every lot.</v>
      </c>
      <c r="AK574" s="15" t="str">
        <f t="shared" si="21"/>
        <v>Electropolished stainless steel pipes supplied by Sakshi Forge to VERIFY plants at CSIDC Industrial Area, Raigarh</v>
      </c>
      <c r="AL574" s="15" t="str">
        <f t="shared" si="22"/>
        <v>Electropolished SS 316L tube stock for Raigarh - Sakshi Forge</v>
      </c>
      <c r="AM574" s="15" t="str">
        <f t="shared" si="23"/>
        <v>Home &gt; Market Area &gt; India &gt; Chhattisgarh &gt; Raigarh</v>
      </c>
      <c r="AN574" s="15">
        <f t="shared" si="24"/>
        <v>1000</v>
      </c>
      <c r="AO574" s="15">
        <f t="shared" si="25"/>
        <v>8</v>
      </c>
      <c r="AP574" s="15">
        <f t="shared" si="26"/>
        <v>8</v>
      </c>
      <c r="AQ574" s="15">
        <f t="shared" si="27"/>
        <v>10</v>
      </c>
      <c r="AR574" s="31"/>
      <c r="AS574" s="31"/>
      <c r="AT574" s="35" t="s">
        <v>222</v>
      </c>
      <c r="AU574" s="35"/>
    </row>
    <row r="575" ht="15.75" customHeight="1">
      <c r="A575" s="15" t="s">
        <v>4243</v>
      </c>
      <c r="B575" s="15" t="s">
        <v>60</v>
      </c>
      <c r="C575" s="15" t="s">
        <v>413</v>
      </c>
      <c r="D575" s="15" t="s">
        <v>4244</v>
      </c>
      <c r="E575" s="15" t="s">
        <v>4244</v>
      </c>
      <c r="F575" s="65" t="s">
        <v>788</v>
      </c>
      <c r="G575" s="66" t="s">
        <v>98</v>
      </c>
      <c r="H575" s="18" t="s">
        <v>4246</v>
      </c>
      <c r="I575" s="18" t="s">
        <v>8393</v>
      </c>
      <c r="J575" s="18" t="s">
        <v>98</v>
      </c>
      <c r="K575" s="18" t="s">
        <v>98</v>
      </c>
      <c r="L575" s="18" t="s">
        <v>98</v>
      </c>
      <c r="M575" s="18" t="s">
        <v>98</v>
      </c>
      <c r="N575" s="18" t="s">
        <v>98</v>
      </c>
      <c r="O575" s="18" t="s">
        <v>98</v>
      </c>
      <c r="P575" s="15" t="str">
        <f t="shared" si="1"/>
        <v>VERIFY</v>
      </c>
      <c r="Q575" s="15">
        <f t="shared" si="2"/>
        <v>4</v>
      </c>
      <c r="R575" s="15">
        <f t="shared" si="3"/>
        <v>5</v>
      </c>
      <c r="S575" s="15">
        <f t="shared" si="4"/>
        <v>2</v>
      </c>
      <c r="T575" s="15" t="str">
        <f t="shared" si="5"/>
        <v>B-2</v>
      </c>
      <c r="U575" s="15" t="str">
        <f t="shared" si="6"/>
        <v>T4-M5-H2-FB-2-VERIFY</v>
      </c>
      <c r="V575" s="15">
        <f t="shared" si="7"/>
        <v>0</v>
      </c>
      <c r="W575" s="31"/>
      <c r="X575" s="15" t="str">
        <f t="shared" si="8"/>
        <v>rajahmundry</v>
      </c>
      <c r="Y575" s="32" t="str">
        <f t="shared" si="9"/>
        <v>https://steelmanufacturer.in/market-area/electropolished-pipes-manufacturer-in-rajahmundry/</v>
      </c>
      <c r="Z575" s="15" t="str">
        <f t="shared" si="10"/>
        <v>Electropolished Pipes Manufacturer in Rajahmundry</v>
      </c>
      <c r="AA575" s="15" t="str">
        <f t="shared" si="11"/>
        <v>OK (49)</v>
      </c>
      <c r="AB575" s="15" t="str">
        <f t="shared" si="12"/>
        <v>Manufacturer of electropolished SS 316L tube serving Rajahmundry. VERIFY. Ra 0.25-0.5 um, EN 10204 3.1 MTC.</v>
      </c>
      <c r="AC575" s="15" t="str">
        <f t="shared" si="13"/>
        <v>PENDING RESEARCH</v>
      </c>
      <c r="AD575" s="15" t="str">
        <f t="shared" si="14"/>
        <v>Electropolished Pipes Manufacturer in Rajahmundry</v>
      </c>
      <c r="AE575" s="15" t="str">
        <f t="shared" si="15"/>
        <v>How We Manufacture Electropolished Tube for Rajahmundry Plants</v>
      </c>
      <c r="AF575" s="15" t="str">
        <f t="shared" si="16"/>
        <v>Supplying Electropolished Pipes in Rajahmundry: Availability, Sizes &amp; Dispatch</v>
      </c>
      <c r="AG575" s="15" t="str">
        <f t="shared" si="17"/>
        <v>Wholesale Electropolished Pipe Supply for Rajahmundry Projects</v>
      </c>
      <c r="AH575" s="15" t="str">
        <f t="shared" si="18"/>
        <v>electropolished pipes manufacturer in Rajahmundry, electropolished pipes supplier in Rajahmundry, electropolished pipes wholesaler in Rajahmundry, electropolished tube manufacturer Rajahmundry, EP pipe supplier Rajahmundry, sanitary tube supplier Rajahmundry, ASME BPE tubing Rajahmundry, ASTM A270 tube Rajahmundry, SS 316L electropolished pipe Rajahmundry</v>
      </c>
      <c r="AI575" s="15" t="str">
        <f t="shared" si="19"/>
        <v>Electropolished Pipes Manufacturer &amp; Supplier in Rajahmundry</v>
      </c>
      <c r="AJ575" s="15" t="str">
        <f t="shared" si="20"/>
        <v>EP-finished SS 304/316L pipes and tubes for VERIFY plants in Rajahmundry. ASME BPE SF1-SF4, Ra from 0.25 um, EN 10204 3.1 certificate with every lot.</v>
      </c>
      <c r="AK575" s="15" t="str">
        <f t="shared" si="21"/>
        <v>Electropolished stainless steel pipes supplied by Sakshi Forge to VERIFY plants at APIIC Industrial Area, Rajahmundry</v>
      </c>
      <c r="AL575" s="15" t="str">
        <f t="shared" si="22"/>
        <v>Electropolished SS 316L tube stock for Rajahmundry - Sakshi Forge</v>
      </c>
      <c r="AM575" s="15" t="str">
        <f t="shared" si="23"/>
        <v>Home &gt; Market Area &gt; India &gt; Andhra Pradesh &gt; Rajahmundry</v>
      </c>
      <c r="AN575" s="15">
        <f t="shared" si="24"/>
        <v>1000</v>
      </c>
      <c r="AO575" s="15">
        <f t="shared" si="25"/>
        <v>8</v>
      </c>
      <c r="AP575" s="15">
        <f t="shared" si="26"/>
        <v>8</v>
      </c>
      <c r="AQ575" s="15">
        <f t="shared" si="27"/>
        <v>10</v>
      </c>
      <c r="AR575" s="31"/>
      <c r="AS575" s="31"/>
      <c r="AT575" s="35" t="s">
        <v>222</v>
      </c>
      <c r="AU575" s="35"/>
    </row>
    <row r="576" ht="15.75" customHeight="1">
      <c r="A576" s="15" t="s">
        <v>4247</v>
      </c>
      <c r="B576" s="15" t="s">
        <v>60</v>
      </c>
      <c r="C576" s="15" t="s">
        <v>775</v>
      </c>
      <c r="D576" s="15" t="s">
        <v>4248</v>
      </c>
      <c r="E576" s="15" t="s">
        <v>4248</v>
      </c>
      <c r="F576" s="65" t="s">
        <v>788</v>
      </c>
      <c r="G576" s="66" t="s">
        <v>98</v>
      </c>
      <c r="H576" s="18" t="s">
        <v>4250</v>
      </c>
      <c r="I576" s="18" t="s">
        <v>8399</v>
      </c>
      <c r="J576" s="18" t="s">
        <v>98</v>
      </c>
      <c r="K576" s="18" t="s">
        <v>98</v>
      </c>
      <c r="L576" s="18" t="s">
        <v>98</v>
      </c>
      <c r="M576" s="18" t="s">
        <v>98</v>
      </c>
      <c r="N576" s="18" t="s">
        <v>98</v>
      </c>
      <c r="O576" s="18" t="s">
        <v>98</v>
      </c>
      <c r="P576" s="15" t="str">
        <f t="shared" si="1"/>
        <v>VERIFY</v>
      </c>
      <c r="Q576" s="15">
        <f t="shared" si="2"/>
        <v>5</v>
      </c>
      <c r="R576" s="15">
        <f t="shared" si="3"/>
        <v>6</v>
      </c>
      <c r="S576" s="15">
        <f t="shared" si="4"/>
        <v>3</v>
      </c>
      <c r="T576" s="15" t="str">
        <f t="shared" si="5"/>
        <v>B-3</v>
      </c>
      <c r="U576" s="15" t="str">
        <f t="shared" si="6"/>
        <v>T5-M6-H3-FB-3-VERIFY</v>
      </c>
      <c r="V576" s="15">
        <f t="shared" si="7"/>
        <v>0</v>
      </c>
      <c r="W576" s="31"/>
      <c r="X576" s="15" t="str">
        <f t="shared" si="8"/>
        <v>rajnandgaon</v>
      </c>
      <c r="Y576" s="32" t="str">
        <f t="shared" si="9"/>
        <v>https://steelmanufacturer.in/market-area/electropolished-pipes-manufacturer-in-rajnandgaon/</v>
      </c>
      <c r="Z576" s="15" t="str">
        <f t="shared" si="10"/>
        <v>Electropolished Pipes Manufacturer in Rajnandgaon</v>
      </c>
      <c r="AA576" s="15" t="str">
        <f t="shared" si="11"/>
        <v>OK (49)</v>
      </c>
      <c r="AB576" s="15" t="str">
        <f t="shared" si="12"/>
        <v>EP tube and pipe for VERIFY plants around CSIDC Industrial Area, Rajnandgaon. Made at our Mumbai works to ASTM A270 and ASME BPE SF1-SF4, with 3.1 MTC.</v>
      </c>
      <c r="AC576" s="15" t="str">
        <f t="shared" si="13"/>
        <v>PENDING RESEARCH</v>
      </c>
      <c r="AD576" s="15" t="str">
        <f t="shared" si="14"/>
        <v>Electropolished Pipes Manufacturer in Rajnandgaon</v>
      </c>
      <c r="AE576" s="15" t="str">
        <f t="shared" si="15"/>
        <v>Electropolished Pipes Manufacturer in Rajnandgaon - Our Process &amp; Capability</v>
      </c>
      <c r="AF576" s="15" t="str">
        <f t="shared" si="16"/>
        <v>Electropolished Pipes Supplier in Rajnandgaon - What We Hold in Stock</v>
      </c>
      <c r="AG576" s="15" t="str">
        <f t="shared" si="17"/>
        <v>Bulk &amp; Wholesale Electropolished Pipe Rates for Rajnandgaon Buyers</v>
      </c>
      <c r="AH576" s="15" t="str">
        <f t="shared" si="18"/>
        <v>electropolished pipes manufacturer in Rajnandgaon, electropolished pipes supplier in Rajnandgaon, electropolished pipes wholesaler in Rajnandgaon, electropolished tube manufacturer Rajnandgaon, EP pipe supplier Rajnandgaon, sanitary tube supplier Rajnandgaon, ASME BPE tubing Rajnandgaon, ASTM A270 tube Rajnandgaon, SS 316L electropolished pipe Rajnandgaon</v>
      </c>
      <c r="AI576" s="15" t="str">
        <f t="shared" si="19"/>
        <v>Electropolished Pipes Manufacturer &amp; Supplier in Rajnandgaon</v>
      </c>
      <c r="AJ576" s="15" t="str">
        <f t="shared" si="20"/>
        <v>EP-finished SS 304/316L pipes and tubes for VERIFY plants in Rajnandgaon. ASME BPE SF1-SF4, Ra from 0.25 um, EN 10204 3.1 certificate with every lot.</v>
      </c>
      <c r="AK576" s="15" t="str">
        <f t="shared" si="21"/>
        <v>Electropolished stainless steel pipes supplied by Sakshi Forge to VERIFY plants at CSIDC Industrial Area, Rajnandgaon</v>
      </c>
      <c r="AL576" s="15" t="str">
        <f t="shared" si="22"/>
        <v>Electropolished SS 316L tube stock for Rajnandgaon - Sakshi Forge</v>
      </c>
      <c r="AM576" s="15" t="str">
        <f t="shared" si="23"/>
        <v>Home &gt; Market Area &gt; India &gt; Chhattisgarh &gt; Rajnandgaon</v>
      </c>
      <c r="AN576" s="15">
        <f t="shared" si="24"/>
        <v>1000</v>
      </c>
      <c r="AO576" s="15">
        <f t="shared" si="25"/>
        <v>8</v>
      </c>
      <c r="AP576" s="15">
        <f t="shared" si="26"/>
        <v>8</v>
      </c>
      <c r="AQ576" s="15">
        <f t="shared" si="27"/>
        <v>10</v>
      </c>
      <c r="AR576" s="31"/>
      <c r="AS576" s="31"/>
      <c r="AT576" s="35" t="s">
        <v>222</v>
      </c>
      <c r="AU576" s="35"/>
    </row>
    <row r="577" ht="15.75" customHeight="1">
      <c r="A577" s="15" t="s">
        <v>4251</v>
      </c>
      <c r="B577" s="15" t="s">
        <v>60</v>
      </c>
      <c r="C577" s="15" t="s">
        <v>354</v>
      </c>
      <c r="D577" s="15" t="s">
        <v>4252</v>
      </c>
      <c r="E577" s="15" t="s">
        <v>4252</v>
      </c>
      <c r="F577" s="65" t="s">
        <v>788</v>
      </c>
      <c r="G577" s="66" t="s">
        <v>98</v>
      </c>
      <c r="H577" s="18" t="s">
        <v>4254</v>
      </c>
      <c r="I577" s="18" t="s">
        <v>8408</v>
      </c>
      <c r="J577" s="18" t="s">
        <v>98</v>
      </c>
      <c r="K577" s="18" t="s">
        <v>98</v>
      </c>
      <c r="L577" s="18" t="s">
        <v>98</v>
      </c>
      <c r="M577" s="18" t="s">
        <v>98</v>
      </c>
      <c r="N577" s="18" t="s">
        <v>98</v>
      </c>
      <c r="O577" s="18" t="s">
        <v>98</v>
      </c>
      <c r="P577" s="15" t="str">
        <f t="shared" si="1"/>
        <v>VERIFY</v>
      </c>
      <c r="Q577" s="15">
        <f t="shared" si="2"/>
        <v>6</v>
      </c>
      <c r="R577" s="15">
        <f t="shared" si="3"/>
        <v>7</v>
      </c>
      <c r="S577" s="15">
        <f t="shared" si="4"/>
        <v>4</v>
      </c>
      <c r="T577" s="15" t="str">
        <f t="shared" si="5"/>
        <v>B-4</v>
      </c>
      <c r="U577" s="15" t="str">
        <f t="shared" si="6"/>
        <v>T6-M7-H4-FB-4-VERIFY</v>
      </c>
      <c r="V577" s="15">
        <f t="shared" si="7"/>
        <v>0</v>
      </c>
      <c r="W577" s="31"/>
      <c r="X577" s="15" t="str">
        <f t="shared" si="8"/>
        <v>rajpura</v>
      </c>
      <c r="Y577" s="32" t="str">
        <f t="shared" si="9"/>
        <v>https://steelmanufacturer.in/market-area/electropolished-pipes-manufacturer-in-rajpura/</v>
      </c>
      <c r="Z577" s="15" t="str">
        <f t="shared" si="10"/>
        <v>Electropolished Pipes Manufacturer in Rajpura</v>
      </c>
      <c r="AA577" s="15" t="str">
        <f t="shared" si="11"/>
        <v>OK (45)</v>
      </c>
      <c r="AB577" s="15" t="str">
        <f t="shared" si="12"/>
        <v>Electropolished pipes in Rajpura: 304, 304L, 316 and 316L in SF1-SF4. VERIFY. Mill certified.</v>
      </c>
      <c r="AC577" s="15" t="str">
        <f t="shared" si="13"/>
        <v>PENDING RESEARCH</v>
      </c>
      <c r="AD577" s="15" t="str">
        <f t="shared" si="14"/>
        <v>Electropolished Pipes Manufacturer in Rajpura</v>
      </c>
      <c r="AE577" s="15" t="str">
        <f t="shared" si="15"/>
        <v>Manufacturing Electropolished SS Tube for Rajpura: The Standards We Build To</v>
      </c>
      <c r="AF577" s="15" t="str">
        <f t="shared" si="16"/>
        <v>Electropolished Pipe Supply Into Rajpura - Certification &amp; Transit</v>
      </c>
      <c r="AG577" s="15" t="str">
        <f t="shared" si="17"/>
        <v>Electropolished Pipes Wholesaler in Rajpura - Project Quantities &amp; Terms</v>
      </c>
      <c r="AH577" s="15" t="str">
        <f t="shared" si="18"/>
        <v>electropolished pipes manufacturer in Rajpura, electropolished pipes supplier in Rajpura, electropolished pipes wholesaler in Rajpura, electropolished tube manufacturer Rajpura, EP pipe supplier Rajpura, sanitary tube supplier Rajpura, ASME BPE tubing Rajpura, ASTM A270 tube Rajpura, SS 316L electropolished pipe Rajpura</v>
      </c>
      <c r="AI577" s="15" t="str">
        <f t="shared" si="19"/>
        <v>Electropolished Pipes Manufacturer &amp; Supplier in Rajpura</v>
      </c>
      <c r="AJ577" s="15" t="str">
        <f t="shared" si="20"/>
        <v>EP-finished SS 304/316L pipes and tubes for VERIFY plants in Rajpura. ASME BPE SF1-SF4, Ra from 0.25 um, EN 10204 3.1 certificate with every lot.</v>
      </c>
      <c r="AK577" s="15" t="str">
        <f t="shared" si="21"/>
        <v>Electropolished stainless steel pipes supplied by Sakshi Forge to VERIFY plants at PSIEC Industrial Area, Rajpura</v>
      </c>
      <c r="AL577" s="15" t="str">
        <f t="shared" si="22"/>
        <v>Electropolished SS 316L tube stock for Rajpura - Sakshi Forge</v>
      </c>
      <c r="AM577" s="15" t="str">
        <f t="shared" si="23"/>
        <v>Home &gt; Market Area &gt; India &gt; Punjab &gt; Rajpura</v>
      </c>
      <c r="AN577" s="15">
        <f t="shared" si="24"/>
        <v>1000</v>
      </c>
      <c r="AO577" s="15">
        <f t="shared" si="25"/>
        <v>8</v>
      </c>
      <c r="AP577" s="15">
        <f t="shared" si="26"/>
        <v>8</v>
      </c>
      <c r="AQ577" s="15">
        <f t="shared" si="27"/>
        <v>10</v>
      </c>
      <c r="AR577" s="31"/>
      <c r="AS577" s="31"/>
      <c r="AT577" s="35" t="s">
        <v>222</v>
      </c>
      <c r="AU577" s="35"/>
    </row>
    <row r="578" ht="15.75" customHeight="1">
      <c r="A578" s="15" t="s">
        <v>4255</v>
      </c>
      <c r="B578" s="15" t="s">
        <v>60</v>
      </c>
      <c r="C578" s="15" t="s">
        <v>1312</v>
      </c>
      <c r="D578" s="15" t="s">
        <v>4257</v>
      </c>
      <c r="E578" s="15" t="s">
        <v>4257</v>
      </c>
      <c r="F578" s="65" t="s">
        <v>788</v>
      </c>
      <c r="G578" s="66" t="s">
        <v>98</v>
      </c>
      <c r="H578" s="18" t="s">
        <v>4261</v>
      </c>
      <c r="I578" s="18" t="s">
        <v>8392</v>
      </c>
      <c r="J578" s="18" t="s">
        <v>98</v>
      </c>
      <c r="K578" s="18" t="s">
        <v>98</v>
      </c>
      <c r="L578" s="18" t="s">
        <v>98</v>
      </c>
      <c r="M578" s="18" t="s">
        <v>98</v>
      </c>
      <c r="N578" s="18" t="s">
        <v>98</v>
      </c>
      <c r="O578" s="18" t="s">
        <v>98</v>
      </c>
      <c r="P578" s="15" t="str">
        <f t="shared" si="1"/>
        <v>VERIFY</v>
      </c>
      <c r="Q578" s="15">
        <f t="shared" si="2"/>
        <v>7</v>
      </c>
      <c r="R578" s="15">
        <f t="shared" si="3"/>
        <v>1</v>
      </c>
      <c r="S578" s="15">
        <f t="shared" si="4"/>
        <v>5</v>
      </c>
      <c r="T578" s="15" t="str">
        <f t="shared" si="5"/>
        <v>B-5</v>
      </c>
      <c r="U578" s="15" t="str">
        <f t="shared" si="6"/>
        <v>T7-M1-H5-FB-5-VERIFY</v>
      </c>
      <c r="V578" s="15">
        <f t="shared" si="7"/>
        <v>0</v>
      </c>
      <c r="W578" s="31"/>
      <c r="X578" s="15" t="str">
        <f t="shared" si="8"/>
        <v>ramagundam</v>
      </c>
      <c r="Y578" s="32" t="str">
        <f t="shared" si="9"/>
        <v>https://steelmanufacturer.in/market-area/electropolished-pipes-manufacturer-in-ramagundam/</v>
      </c>
      <c r="Z578" s="15" t="str">
        <f t="shared" si="10"/>
        <v>Electropolished Pipes Manufacturer in Ramagundam</v>
      </c>
      <c r="AA578" s="15" t="str">
        <f t="shared" si="11"/>
        <v>OK (48)</v>
      </c>
      <c r="AB578" s="15" t="str">
        <f t="shared" si="12"/>
        <v>EP-finished SS 304/316L pipes &amp; tubes for VERIFY plants in Ramagundam. ASTM A270, ASME BPE SF1-SF4, EN 10204 3.1 MTC. PMI tested.</v>
      </c>
      <c r="AC578" s="15" t="str">
        <f t="shared" si="13"/>
        <v>PENDING RESEARCH</v>
      </c>
      <c r="AD578" s="15" t="str">
        <f t="shared" si="14"/>
        <v>Electropolished Pipes Manufacturer in Ramagundam</v>
      </c>
      <c r="AE578" s="15" t="str">
        <f t="shared" si="15"/>
        <v>Electropolished Tube Manufacturing Capability Serving Ramagundam</v>
      </c>
      <c r="AF578" s="15" t="str">
        <f t="shared" si="16"/>
        <v>Electropolished Pipes Supplier in Ramagundam - From Order to Delivery</v>
      </c>
      <c r="AG578" s="15" t="str">
        <f t="shared" si="17"/>
        <v>Stockist &amp; Wholesale Supply of Electropolished Pipes in Ramagundam</v>
      </c>
      <c r="AH578" s="15" t="str">
        <f t="shared" si="18"/>
        <v>electropolished pipes manufacturer in Ramagundam, electropolished pipes supplier in Ramagundam, electropolished pipes wholesaler in Ramagundam, electropolished tube manufacturer Ramagundam, EP pipe supplier Ramagundam, sanitary tube supplier Ramagundam, ASME BPE tubing Ramagundam, ASTM A270 tube Ramagundam, SS 316L electropolished pipe Ramagundam</v>
      </c>
      <c r="AI578" s="15" t="str">
        <f t="shared" si="19"/>
        <v>Electropolished Pipes Manufacturer &amp; Supplier in Ramagundam</v>
      </c>
      <c r="AJ578" s="15" t="str">
        <f t="shared" si="20"/>
        <v>EP-finished SS 304/316L pipes and tubes for VERIFY plants in Ramagundam. ASME BPE SF1-SF4, Ra from 0.25 um, EN 10204 3.1 certificate with every lot.</v>
      </c>
      <c r="AK578" s="15" t="str">
        <f t="shared" si="21"/>
        <v>Electropolished stainless steel pipes supplied by Sakshi Forge to VERIFY plants at TSIIC Industrial Area, Ramagundam</v>
      </c>
      <c r="AL578" s="15" t="str">
        <f t="shared" si="22"/>
        <v>Electropolished SS 316L tube stock for Ramagundam - Sakshi Forge</v>
      </c>
      <c r="AM578" s="15" t="str">
        <f t="shared" si="23"/>
        <v>Home &gt; Market Area &gt; India &gt; Telangana &gt; Ramagundam</v>
      </c>
      <c r="AN578" s="15">
        <f t="shared" si="24"/>
        <v>1000</v>
      </c>
      <c r="AO578" s="15">
        <f t="shared" si="25"/>
        <v>8</v>
      </c>
      <c r="AP578" s="15">
        <f t="shared" si="26"/>
        <v>8</v>
      </c>
      <c r="AQ578" s="15">
        <f t="shared" si="27"/>
        <v>10</v>
      </c>
      <c r="AR578" s="31"/>
      <c r="AS578" s="31"/>
      <c r="AT578" s="35" t="s">
        <v>222</v>
      </c>
      <c r="AU578" s="35"/>
    </row>
    <row r="579" ht="15.75" customHeight="1">
      <c r="A579" s="15" t="s">
        <v>4265</v>
      </c>
      <c r="B579" s="15" t="s">
        <v>60</v>
      </c>
      <c r="C579" s="15" t="s">
        <v>570</v>
      </c>
      <c r="D579" s="15" t="s">
        <v>4266</v>
      </c>
      <c r="E579" s="15" t="s">
        <v>4266</v>
      </c>
      <c r="F579" s="65" t="s">
        <v>788</v>
      </c>
      <c r="G579" s="66" t="s">
        <v>98</v>
      </c>
      <c r="H579" s="18" t="s">
        <v>4268</v>
      </c>
      <c r="I579" s="18" t="s">
        <v>8405</v>
      </c>
      <c r="J579" s="18" t="s">
        <v>98</v>
      </c>
      <c r="K579" s="18" t="s">
        <v>98</v>
      </c>
      <c r="L579" s="18" t="s">
        <v>98</v>
      </c>
      <c r="M579" s="18" t="s">
        <v>98</v>
      </c>
      <c r="N579" s="18" t="s">
        <v>98</v>
      </c>
      <c r="O579" s="18" t="s">
        <v>98</v>
      </c>
      <c r="P579" s="15" t="str">
        <f t="shared" si="1"/>
        <v>VERIFY</v>
      </c>
      <c r="Q579" s="15">
        <f t="shared" si="2"/>
        <v>8</v>
      </c>
      <c r="R579" s="15">
        <f t="shared" si="3"/>
        <v>2</v>
      </c>
      <c r="S579" s="15">
        <f t="shared" si="4"/>
        <v>1</v>
      </c>
      <c r="T579" s="15" t="str">
        <f t="shared" si="5"/>
        <v>B-6</v>
      </c>
      <c r="U579" s="15" t="str">
        <f t="shared" si="6"/>
        <v>T8-M2-H1-FB-6-VERIFY</v>
      </c>
      <c r="V579" s="15">
        <f t="shared" si="7"/>
        <v>0</v>
      </c>
      <c r="W579" s="31"/>
      <c r="X579" s="15" t="str">
        <f t="shared" si="8"/>
        <v>ramanagara</v>
      </c>
      <c r="Y579" s="32" t="str">
        <f t="shared" si="9"/>
        <v>https://steelmanufacturer.in/market-area/electropolished-pipes-manufacturer-in-ramanagara/</v>
      </c>
      <c r="Z579" s="15" t="str">
        <f t="shared" si="10"/>
        <v>Electropolished Pipes Manufacturer in Ramanagara</v>
      </c>
      <c r="AA579" s="15" t="str">
        <f t="shared" si="11"/>
        <v>OK (48)</v>
      </c>
      <c r="AB579" s="15" t="str">
        <f t="shared" si="12"/>
        <v>Electropolished tube supply to KIADB Industrial Area, Ramanagara. Ra from 0.25 um, SF4 finish, mill test certificate with every lot.</v>
      </c>
      <c r="AC579" s="15" t="str">
        <f t="shared" si="13"/>
        <v>PENDING RESEARCH</v>
      </c>
      <c r="AD579" s="15" t="str">
        <f t="shared" si="14"/>
        <v>Electropolished Pipes Manufacturer in Ramanagara</v>
      </c>
      <c r="AE579" s="15" t="str">
        <f t="shared" si="15"/>
        <v>Electropolished Pipe &amp; Tube Manufacturing for Ramanagara - Grades, Finishes &amp; Certification</v>
      </c>
      <c r="AF579" s="15" t="str">
        <f t="shared" si="16"/>
        <v>Electropolished Pipes Supplier in Ramanagara - Stock Sizes, Lead Time &amp; Delivery</v>
      </c>
      <c r="AG579" s="15" t="str">
        <f t="shared" si="17"/>
        <v>Electropolished Pipes Wholesaler &amp; Stockist in Ramanagara - Bulk &amp; Project Pricing</v>
      </c>
      <c r="AH579" s="15" t="str">
        <f t="shared" si="18"/>
        <v>electropolished pipes manufacturer in Ramanagara, electropolished pipes supplier in Ramanagara, electropolished pipes wholesaler in Ramanagara, electropolished tube manufacturer Ramanagara, EP pipe supplier Ramanagara, sanitary tube supplier Ramanagara, ASME BPE tubing Ramanagara, ASTM A270 tube Ramanagara, SS 316L electropolished pipe Ramanagara</v>
      </c>
      <c r="AI579" s="15" t="str">
        <f t="shared" si="19"/>
        <v>Electropolished Pipes Manufacturer &amp; Supplier in Ramanagara</v>
      </c>
      <c r="AJ579" s="15" t="str">
        <f t="shared" si="20"/>
        <v>EP-finished SS 304/316L pipes and tubes for VERIFY plants in Ramanagara. ASME BPE SF1-SF4, Ra from 0.25 um, EN 10204 3.1 certificate with every lot.</v>
      </c>
      <c r="AK579" s="15" t="str">
        <f t="shared" si="21"/>
        <v>Electropolished stainless steel pipes supplied by Sakshi Forge to VERIFY plants at KIADB Industrial Area, Ramanagara</v>
      </c>
      <c r="AL579" s="15" t="str">
        <f t="shared" si="22"/>
        <v>Electropolished SS 316L tube stock for Ramanagara - Sakshi Forge</v>
      </c>
      <c r="AM579" s="15" t="str">
        <f t="shared" si="23"/>
        <v>Home &gt; Market Area &gt; India &gt; Karnataka &gt; Ramanagara</v>
      </c>
      <c r="AN579" s="15">
        <f t="shared" si="24"/>
        <v>1000</v>
      </c>
      <c r="AO579" s="15">
        <f t="shared" si="25"/>
        <v>8</v>
      </c>
      <c r="AP579" s="15">
        <f t="shared" si="26"/>
        <v>8</v>
      </c>
      <c r="AQ579" s="15">
        <f t="shared" si="27"/>
        <v>10</v>
      </c>
      <c r="AR579" s="31"/>
      <c r="AS579" s="31"/>
      <c r="AT579" s="35" t="s">
        <v>222</v>
      </c>
      <c r="AU579" s="35"/>
    </row>
    <row r="580" ht="15.75" customHeight="1">
      <c r="A580" s="15" t="s">
        <v>4269</v>
      </c>
      <c r="B580" s="15" t="s">
        <v>60</v>
      </c>
      <c r="C580" s="15" t="s">
        <v>878</v>
      </c>
      <c r="D580" s="15" t="s">
        <v>4270</v>
      </c>
      <c r="E580" s="15" t="s">
        <v>4270</v>
      </c>
      <c r="F580" s="65" t="s">
        <v>788</v>
      </c>
      <c r="G580" s="66" t="s">
        <v>98</v>
      </c>
      <c r="H580" s="18" t="s">
        <v>4272</v>
      </c>
      <c r="I580" s="18" t="s">
        <v>8415</v>
      </c>
      <c r="J580" s="18" t="s">
        <v>98</v>
      </c>
      <c r="K580" s="18" t="s">
        <v>98</v>
      </c>
      <c r="L580" s="18" t="s">
        <v>98</v>
      </c>
      <c r="M580" s="18" t="s">
        <v>98</v>
      </c>
      <c r="N580" s="18" t="s">
        <v>98</v>
      </c>
      <c r="O580" s="18" t="s">
        <v>98</v>
      </c>
      <c r="P580" s="15" t="str">
        <f t="shared" si="1"/>
        <v>VERIFY</v>
      </c>
      <c r="Q580" s="15">
        <f t="shared" si="2"/>
        <v>1</v>
      </c>
      <c r="R580" s="15">
        <f t="shared" si="3"/>
        <v>3</v>
      </c>
      <c r="S580" s="15">
        <f t="shared" si="4"/>
        <v>2</v>
      </c>
      <c r="T580" s="15" t="str">
        <f t="shared" si="5"/>
        <v>B-1</v>
      </c>
      <c r="U580" s="15" t="str">
        <f t="shared" si="6"/>
        <v>T1-M3-H2-FB-1-VERIFY</v>
      </c>
      <c r="V580" s="15">
        <f t="shared" si="7"/>
        <v>0</v>
      </c>
      <c r="W580" s="31"/>
      <c r="X580" s="15" t="str">
        <f t="shared" si="8"/>
        <v>ramgarh</v>
      </c>
      <c r="Y580" s="32" t="str">
        <f t="shared" si="9"/>
        <v>https://steelmanufacturer.in/market-area/electropolished-pipes-manufacturer-in-ramgarh/</v>
      </c>
      <c r="Z580" s="15" t="str">
        <f t="shared" si="10"/>
        <v>Electropolished Pipes Manufacturer in Ramgarh | Sakshi Forge</v>
      </c>
      <c r="AA580" s="15" t="str">
        <f t="shared" si="11"/>
        <v>OK (60)</v>
      </c>
      <c r="AB580" s="15" t="str">
        <f t="shared" si="12"/>
        <v>EP stainless tube for VERIFY lines in Ramgarh. VERIFY. ASTM A270 S2, PMI tested, EN 10204 3.1.</v>
      </c>
      <c r="AC580" s="15" t="str">
        <f t="shared" si="13"/>
        <v>PENDING RESEARCH</v>
      </c>
      <c r="AD580" s="15" t="str">
        <f t="shared" si="14"/>
        <v>Electropolished Pipes Manufacturer in Ramgarh</v>
      </c>
      <c r="AE580" s="15" t="str">
        <f t="shared" si="15"/>
        <v>How We Manufacture Electropolished Tube for Ramgarh Plants</v>
      </c>
      <c r="AF580" s="15" t="str">
        <f t="shared" si="16"/>
        <v>Supplying Electropolished Pipes in Ramgarh: Availability, Sizes &amp; Dispatch</v>
      </c>
      <c r="AG580" s="15" t="str">
        <f t="shared" si="17"/>
        <v>Wholesale Electropolished Pipe Supply for Ramgarh Projects</v>
      </c>
      <c r="AH580" s="15" t="str">
        <f t="shared" si="18"/>
        <v>electropolished pipes manufacturer in Ramgarh, electropolished pipes supplier in Ramgarh, electropolished pipes wholesaler in Ramgarh, electropolished tube manufacturer Ramgarh, EP pipe supplier Ramgarh, sanitary tube supplier Ramgarh, ASME BPE tubing Ramgarh, ASTM A270 tube Ramgarh, SS 316L electropolished pipe Ramgarh</v>
      </c>
      <c r="AI580" s="15" t="str">
        <f t="shared" si="19"/>
        <v>Electropolished Pipes Manufacturer &amp; Supplier in Ramgarh</v>
      </c>
      <c r="AJ580" s="15" t="str">
        <f t="shared" si="20"/>
        <v>EP-finished SS 304/316L pipes and tubes for VERIFY plants in Ramgarh. ASME BPE SF1-SF4, Ra from 0.25 um, EN 10204 3.1 certificate with every lot.</v>
      </c>
      <c r="AK580" s="15" t="str">
        <f t="shared" si="21"/>
        <v>Electropolished stainless steel pipes supplied by Sakshi Forge to VERIFY plants at JIADA Industrial Area, Ramgarh</v>
      </c>
      <c r="AL580" s="15" t="str">
        <f t="shared" si="22"/>
        <v>Electropolished SS 316L tube stock for Ramgarh - Sakshi Forge</v>
      </c>
      <c r="AM580" s="15" t="str">
        <f t="shared" si="23"/>
        <v>Home &gt; Market Area &gt; India &gt; Jharkhand &gt; Ramgarh</v>
      </c>
      <c r="AN580" s="15">
        <f t="shared" si="24"/>
        <v>1000</v>
      </c>
      <c r="AO580" s="15">
        <f t="shared" si="25"/>
        <v>8</v>
      </c>
      <c r="AP580" s="15">
        <f t="shared" si="26"/>
        <v>8</v>
      </c>
      <c r="AQ580" s="15">
        <f t="shared" si="27"/>
        <v>10</v>
      </c>
      <c r="AR580" s="31"/>
      <c r="AS580" s="31"/>
      <c r="AT580" s="35" t="s">
        <v>222</v>
      </c>
      <c r="AU580" s="35"/>
    </row>
    <row r="581" ht="15.75" customHeight="1">
      <c r="A581" s="15" t="s">
        <v>4273</v>
      </c>
      <c r="B581" s="15" t="s">
        <v>60</v>
      </c>
      <c r="C581" s="15" t="s">
        <v>85</v>
      </c>
      <c r="D581" s="15" t="s">
        <v>4274</v>
      </c>
      <c r="E581" s="15" t="s">
        <v>4274</v>
      </c>
      <c r="F581" s="65" t="s">
        <v>788</v>
      </c>
      <c r="G581" s="66" t="s">
        <v>98</v>
      </c>
      <c r="H581" s="18" t="s">
        <v>4276</v>
      </c>
      <c r="I581" s="18" t="s">
        <v>8398</v>
      </c>
      <c r="J581" s="18" t="s">
        <v>98</v>
      </c>
      <c r="K581" s="18" t="s">
        <v>98</v>
      </c>
      <c r="L581" s="18" t="s">
        <v>98</v>
      </c>
      <c r="M581" s="18" t="s">
        <v>98</v>
      </c>
      <c r="N581" s="18" t="s">
        <v>98</v>
      </c>
      <c r="O581" s="18" t="s">
        <v>98</v>
      </c>
      <c r="P581" s="15" t="str">
        <f t="shared" si="1"/>
        <v>VERIFY</v>
      </c>
      <c r="Q581" s="15">
        <f t="shared" si="2"/>
        <v>2</v>
      </c>
      <c r="R581" s="15">
        <f t="shared" si="3"/>
        <v>4</v>
      </c>
      <c r="S581" s="15">
        <f t="shared" si="4"/>
        <v>3</v>
      </c>
      <c r="T581" s="15" t="str">
        <f t="shared" si="5"/>
        <v>B-2</v>
      </c>
      <c r="U581" s="15" t="str">
        <f t="shared" si="6"/>
        <v>T2-M4-H3-FB-2-VERIFY</v>
      </c>
      <c r="V581" s="15">
        <f t="shared" si="7"/>
        <v>0</v>
      </c>
      <c r="W581" s="31"/>
      <c r="X581" s="15" t="str">
        <f t="shared" si="8"/>
        <v>rampur</v>
      </c>
      <c r="Y581" s="32" t="str">
        <f t="shared" si="9"/>
        <v>https://steelmanufacturer.in/market-area/electropolished-pipes-manufacturer-in-rampur/</v>
      </c>
      <c r="Z581" s="15" t="str">
        <f t="shared" si="10"/>
        <v>Electropolished Pipes Manufacturer in Rampur</v>
      </c>
      <c r="AA581" s="15" t="str">
        <f t="shared" si="11"/>
        <v>OK (44)</v>
      </c>
      <c r="AB581" s="15" t="str">
        <f t="shared" si="12"/>
        <v>Sanitary electropolished pipes in Rampur for VERIFY plants. ASME BPE SF1-SF4, orbital-weld ready, 3.1 MTC. Mumbai-made.</v>
      </c>
      <c r="AC581" s="15" t="str">
        <f t="shared" si="13"/>
        <v>PENDING RESEARCH</v>
      </c>
      <c r="AD581" s="15" t="str">
        <f t="shared" si="14"/>
        <v>Electropolished Pipes Manufacturer in Rampur</v>
      </c>
      <c r="AE581" s="15" t="str">
        <f t="shared" si="15"/>
        <v>Electropolished Pipes Manufacturer in Rampur - Our Process &amp; Capability</v>
      </c>
      <c r="AF581" s="15" t="str">
        <f t="shared" si="16"/>
        <v>Electropolished Pipes Supplier in Rampur - What We Hold in Stock</v>
      </c>
      <c r="AG581" s="15" t="str">
        <f t="shared" si="17"/>
        <v>Bulk &amp; Wholesale Electropolished Pipe Rates for Rampur Buyers</v>
      </c>
      <c r="AH581" s="15" t="str">
        <f t="shared" si="18"/>
        <v>electropolished pipes manufacturer in Rampur, electropolished pipes supplier in Rampur, electropolished pipes wholesaler in Rampur, electropolished tube manufacturer Rampur, EP pipe supplier Rampur, sanitary tube supplier Rampur, ASME BPE tubing Rampur, ASTM A270 tube Rampur, SS 316L electropolished pipe Rampur</v>
      </c>
      <c r="AI581" s="15" t="str">
        <f t="shared" si="19"/>
        <v>Electropolished Pipes Manufacturer &amp; Supplier in Rampur</v>
      </c>
      <c r="AJ581" s="15" t="str">
        <f t="shared" si="20"/>
        <v>EP-finished SS 304/316L pipes and tubes for VERIFY plants in Rampur. ASME BPE SF1-SF4, Ra from 0.25 um, EN 10204 3.1 certificate with every lot.</v>
      </c>
      <c r="AK581" s="15" t="str">
        <f t="shared" si="21"/>
        <v>Electropolished stainless steel pipes supplied by Sakshi Forge to VERIFY plants at UPSIDA Industrial Area, Rampur</v>
      </c>
      <c r="AL581" s="15" t="str">
        <f t="shared" si="22"/>
        <v>Electropolished SS 316L tube stock for Rampur - Sakshi Forge</v>
      </c>
      <c r="AM581" s="15" t="str">
        <f t="shared" si="23"/>
        <v>Home &gt; Market Area &gt; India &gt; Uttar Pradesh &gt; Rampur</v>
      </c>
      <c r="AN581" s="15">
        <f t="shared" si="24"/>
        <v>1000</v>
      </c>
      <c r="AO581" s="15">
        <f t="shared" si="25"/>
        <v>8</v>
      </c>
      <c r="AP581" s="15">
        <f t="shared" si="26"/>
        <v>8</v>
      </c>
      <c r="AQ581" s="15">
        <f t="shared" si="27"/>
        <v>10</v>
      </c>
      <c r="AR581" s="31"/>
      <c r="AS581" s="31"/>
      <c r="AT581" s="35" t="s">
        <v>222</v>
      </c>
      <c r="AU581" s="35"/>
    </row>
    <row r="582" ht="15.75" customHeight="1">
      <c r="A582" s="15" t="s">
        <v>4277</v>
      </c>
      <c r="B582" s="15" t="s">
        <v>60</v>
      </c>
      <c r="C582" s="15" t="s">
        <v>3253</v>
      </c>
      <c r="D582" s="15" t="s">
        <v>4278</v>
      </c>
      <c r="E582" s="15" t="s">
        <v>4278</v>
      </c>
      <c r="F582" s="65" t="s">
        <v>788</v>
      </c>
      <c r="G582" s="66" t="s">
        <v>98</v>
      </c>
      <c r="H582" s="18" t="s">
        <v>4280</v>
      </c>
      <c r="I582" s="18" t="s">
        <v>8418</v>
      </c>
      <c r="J582" s="18" t="s">
        <v>98</v>
      </c>
      <c r="K582" s="18" t="s">
        <v>98</v>
      </c>
      <c r="L582" s="18" t="s">
        <v>98</v>
      </c>
      <c r="M582" s="18" t="s">
        <v>98</v>
      </c>
      <c r="N582" s="18" t="s">
        <v>98</v>
      </c>
      <c r="O582" s="18" t="s">
        <v>98</v>
      </c>
      <c r="P582" s="15" t="str">
        <f t="shared" si="1"/>
        <v>VERIFY</v>
      </c>
      <c r="Q582" s="15">
        <f t="shared" si="2"/>
        <v>3</v>
      </c>
      <c r="R582" s="15">
        <f t="shared" si="3"/>
        <v>5</v>
      </c>
      <c r="S582" s="15">
        <f t="shared" si="4"/>
        <v>4</v>
      </c>
      <c r="T582" s="15" t="str">
        <f t="shared" si="5"/>
        <v>B-3</v>
      </c>
      <c r="U582" s="15" t="str">
        <f t="shared" si="6"/>
        <v>T3-M5-H4-FB-3-VERIFY</v>
      </c>
      <c r="V582" s="15">
        <f t="shared" si="7"/>
        <v>0</v>
      </c>
      <c r="W582" s="31"/>
      <c r="X582" s="15" t="str">
        <f t="shared" si="8"/>
        <v>rangpo</v>
      </c>
      <c r="Y582" s="32" t="str">
        <f t="shared" si="9"/>
        <v>https://steelmanufacturer.in/market-area/electropolished-pipes-manufacturer-in-rangpo/</v>
      </c>
      <c r="Z582" s="15" t="str">
        <f t="shared" si="10"/>
        <v>Electropolished Pipes Manufacturer in Rangpo | EP Tube Supplier</v>
      </c>
      <c r="AA582" s="15" t="str">
        <f t="shared" si="11"/>
        <v>OK (63)</v>
      </c>
      <c r="AB582" s="15" t="str">
        <f t="shared" si="12"/>
        <v>Manufacturer of electropolished SS 316L tube serving Rangpo. VERIFY. Ra 0.25-0.5 um, EN 10204 3.1 MTC.</v>
      </c>
      <c r="AC582" s="15" t="str">
        <f t="shared" si="13"/>
        <v>PENDING RESEARCH</v>
      </c>
      <c r="AD582" s="15" t="str">
        <f t="shared" si="14"/>
        <v>Electropolished Pipes Manufacturer in Rangpo</v>
      </c>
      <c r="AE582" s="15" t="str">
        <f t="shared" si="15"/>
        <v>Manufacturing Electropolished SS Tube for Rangpo: The Standards We Build To</v>
      </c>
      <c r="AF582" s="15" t="str">
        <f t="shared" si="16"/>
        <v>Electropolished Pipe Supply Into Rangpo - Certification &amp; Transit</v>
      </c>
      <c r="AG582" s="15" t="str">
        <f t="shared" si="17"/>
        <v>Electropolished Pipes Wholesaler in Rangpo - Project Quantities &amp; Terms</v>
      </c>
      <c r="AH582" s="15" t="str">
        <f t="shared" si="18"/>
        <v>electropolished pipes manufacturer in Rangpo, electropolished pipes supplier in Rangpo, electropolished pipes wholesaler in Rangpo, electropolished tube manufacturer Rangpo, EP pipe supplier Rangpo, sanitary tube supplier Rangpo, ASME BPE tubing Rangpo, ASTM A270 tube Rangpo, SS 316L electropolished pipe Rangpo</v>
      </c>
      <c r="AI582" s="15" t="str">
        <f t="shared" si="19"/>
        <v>Electropolished Pipes Manufacturer &amp; Supplier in Rangpo</v>
      </c>
      <c r="AJ582" s="15" t="str">
        <f t="shared" si="20"/>
        <v>EP-finished SS 304/316L pipes and tubes for VERIFY plants in Rangpo. ASME BPE SF1-SF4, Ra from 0.25 um, EN 10204 3.1 certificate with every lot.</v>
      </c>
      <c r="AK582" s="15" t="str">
        <f t="shared" si="21"/>
        <v>Electropolished stainless steel pipes supplied by Sakshi Forge to VERIFY plants at SIDICO Industrial Area, Rangpo</v>
      </c>
      <c r="AL582" s="15" t="str">
        <f t="shared" si="22"/>
        <v>Electropolished SS 316L tube stock for Rangpo - Sakshi Forge</v>
      </c>
      <c r="AM582" s="15" t="str">
        <f t="shared" si="23"/>
        <v>Home &gt; Market Area &gt; India &gt; Sikkim &gt; Rangpo</v>
      </c>
      <c r="AN582" s="15">
        <f t="shared" si="24"/>
        <v>1000</v>
      </c>
      <c r="AO582" s="15">
        <f t="shared" si="25"/>
        <v>8</v>
      </c>
      <c r="AP582" s="15">
        <f t="shared" si="26"/>
        <v>8</v>
      </c>
      <c r="AQ582" s="15">
        <f t="shared" si="27"/>
        <v>10</v>
      </c>
      <c r="AR582" s="31"/>
      <c r="AS582" s="31"/>
      <c r="AT582" s="35" t="s">
        <v>222</v>
      </c>
      <c r="AU582" s="35"/>
    </row>
    <row r="583" ht="15.75" customHeight="1">
      <c r="A583" s="15" t="s">
        <v>4281</v>
      </c>
      <c r="B583" s="15" t="s">
        <v>60</v>
      </c>
      <c r="C583" s="15" t="s">
        <v>1165</v>
      </c>
      <c r="D583" s="15" t="s">
        <v>4282</v>
      </c>
      <c r="E583" s="15" t="s">
        <v>4282</v>
      </c>
      <c r="F583" s="65" t="s">
        <v>788</v>
      </c>
      <c r="G583" s="66" t="s">
        <v>98</v>
      </c>
      <c r="H583" s="18" t="s">
        <v>4286</v>
      </c>
      <c r="I583" s="18" t="s">
        <v>8404</v>
      </c>
      <c r="J583" s="18" t="s">
        <v>98</v>
      </c>
      <c r="K583" s="18" t="s">
        <v>98</v>
      </c>
      <c r="L583" s="18" t="s">
        <v>98</v>
      </c>
      <c r="M583" s="18" t="s">
        <v>98</v>
      </c>
      <c r="N583" s="18" t="s">
        <v>98</v>
      </c>
      <c r="O583" s="18" t="s">
        <v>98</v>
      </c>
      <c r="P583" s="15" t="str">
        <f t="shared" si="1"/>
        <v>VERIFY</v>
      </c>
      <c r="Q583" s="15">
        <f t="shared" si="2"/>
        <v>4</v>
      </c>
      <c r="R583" s="15">
        <f t="shared" si="3"/>
        <v>6</v>
      </c>
      <c r="S583" s="15">
        <f t="shared" si="4"/>
        <v>5</v>
      </c>
      <c r="T583" s="15" t="str">
        <f t="shared" si="5"/>
        <v>B-4</v>
      </c>
      <c r="U583" s="15" t="str">
        <f t="shared" si="6"/>
        <v>T4-M6-H5-FB-4-VERIFY</v>
      </c>
      <c r="V583" s="15">
        <f t="shared" si="7"/>
        <v>0</v>
      </c>
      <c r="W583" s="31"/>
      <c r="X583" s="15" t="str">
        <f t="shared" si="8"/>
        <v>raniganj</v>
      </c>
      <c r="Y583" s="32" t="str">
        <f t="shared" si="9"/>
        <v>https://steelmanufacturer.in/market-area/electropolished-pipes-manufacturer-in-raniganj/</v>
      </c>
      <c r="Z583" s="15" t="str">
        <f t="shared" si="10"/>
        <v>Electropolished Pipes Manufacturer in Raniganj</v>
      </c>
      <c r="AA583" s="15" t="str">
        <f t="shared" si="11"/>
        <v>OK (46)</v>
      </c>
      <c r="AB583" s="15" t="str">
        <f t="shared" si="12"/>
        <v>EP tube and pipe for VERIFY plants around WBIDC Industrial Area, Raniganj. Made at our Mumbai works to ASTM A270 and ASME BPE SF1-SF4, with 3.1 MTC.</v>
      </c>
      <c r="AC583" s="15" t="str">
        <f t="shared" si="13"/>
        <v>PENDING RESEARCH</v>
      </c>
      <c r="AD583" s="15" t="str">
        <f t="shared" si="14"/>
        <v>Electropolished Pipes Manufacturer in Raniganj</v>
      </c>
      <c r="AE583" s="15" t="str">
        <f t="shared" si="15"/>
        <v>Electropolished Tube Manufacturing Capability Serving Raniganj</v>
      </c>
      <c r="AF583" s="15" t="str">
        <f t="shared" si="16"/>
        <v>Electropolished Pipes Supplier in Raniganj - From Order to Delivery</v>
      </c>
      <c r="AG583" s="15" t="str">
        <f t="shared" si="17"/>
        <v>Stockist &amp; Wholesale Supply of Electropolished Pipes in Raniganj</v>
      </c>
      <c r="AH583" s="15" t="str">
        <f t="shared" si="18"/>
        <v>electropolished pipes manufacturer in Raniganj, electropolished pipes supplier in Raniganj, electropolished pipes wholesaler in Raniganj, electropolished tube manufacturer Raniganj, EP pipe supplier Raniganj, sanitary tube supplier Raniganj, ASME BPE tubing Raniganj, ASTM A270 tube Raniganj, SS 316L electropolished pipe Raniganj</v>
      </c>
      <c r="AI583" s="15" t="str">
        <f t="shared" si="19"/>
        <v>Electropolished Pipes Manufacturer &amp; Supplier in Raniganj</v>
      </c>
      <c r="AJ583" s="15" t="str">
        <f t="shared" si="20"/>
        <v>EP-finished SS 304/316L pipes and tubes for VERIFY plants in Raniganj. ASME BPE SF1-SF4, Ra from 0.25 um, EN 10204 3.1 certificate with every lot.</v>
      </c>
      <c r="AK583" s="15" t="str">
        <f t="shared" si="21"/>
        <v>Electropolished stainless steel pipes supplied by Sakshi Forge to VERIFY plants at WBIDC Industrial Area, Raniganj</v>
      </c>
      <c r="AL583" s="15" t="str">
        <f t="shared" si="22"/>
        <v>Electropolished SS 316L tube stock for Raniganj - Sakshi Forge</v>
      </c>
      <c r="AM583" s="15" t="str">
        <f t="shared" si="23"/>
        <v>Home &gt; Market Area &gt; India &gt; West Bengal &gt; Raniganj</v>
      </c>
      <c r="AN583" s="15">
        <f t="shared" si="24"/>
        <v>1000</v>
      </c>
      <c r="AO583" s="15">
        <f t="shared" si="25"/>
        <v>8</v>
      </c>
      <c r="AP583" s="15">
        <f t="shared" si="26"/>
        <v>8</v>
      </c>
      <c r="AQ583" s="15">
        <f t="shared" si="27"/>
        <v>10</v>
      </c>
      <c r="AR583" s="31"/>
      <c r="AS583" s="31"/>
      <c r="AT583" s="35" t="s">
        <v>222</v>
      </c>
      <c r="AU583" s="35"/>
    </row>
    <row r="584" ht="15.75" customHeight="1">
      <c r="A584" s="15" t="s">
        <v>4291</v>
      </c>
      <c r="B584" s="15" t="s">
        <v>60</v>
      </c>
      <c r="C584" s="15" t="s">
        <v>842</v>
      </c>
      <c r="D584" s="15" t="s">
        <v>4292</v>
      </c>
      <c r="E584" s="15" t="s">
        <v>4292</v>
      </c>
      <c r="F584" s="65" t="s">
        <v>788</v>
      </c>
      <c r="G584" s="66" t="s">
        <v>98</v>
      </c>
      <c r="H584" s="18" t="s">
        <v>4294</v>
      </c>
      <c r="I584" s="18" t="s">
        <v>8413</v>
      </c>
      <c r="J584" s="18" t="s">
        <v>98</v>
      </c>
      <c r="K584" s="18" t="s">
        <v>98</v>
      </c>
      <c r="L584" s="18" t="s">
        <v>98</v>
      </c>
      <c r="M584" s="18" t="s">
        <v>98</v>
      </c>
      <c r="N584" s="18" t="s">
        <v>98</v>
      </c>
      <c r="O584" s="18" t="s">
        <v>98</v>
      </c>
      <c r="P584" s="15" t="str">
        <f t="shared" si="1"/>
        <v>VERIFY</v>
      </c>
      <c r="Q584" s="15">
        <f t="shared" si="2"/>
        <v>5</v>
      </c>
      <c r="R584" s="15">
        <f t="shared" si="3"/>
        <v>7</v>
      </c>
      <c r="S584" s="15">
        <f t="shared" si="4"/>
        <v>1</v>
      </c>
      <c r="T584" s="15" t="str">
        <f t="shared" si="5"/>
        <v>B-5</v>
      </c>
      <c r="U584" s="15" t="str">
        <f t="shared" si="6"/>
        <v>T5-M7-H1-FB-5-VERIFY</v>
      </c>
      <c r="V584" s="15">
        <f t="shared" si="7"/>
        <v>0</v>
      </c>
      <c r="W584" s="31"/>
      <c r="X584" s="15" t="str">
        <f t="shared" si="8"/>
        <v>ratlam</v>
      </c>
      <c r="Y584" s="32" t="str">
        <f t="shared" si="9"/>
        <v>https://steelmanufacturer.in/market-area/electropolished-pipes-manufacturer-in-ratlam/</v>
      </c>
      <c r="Z584" s="15" t="str">
        <f t="shared" si="10"/>
        <v>Electropolished Pipes Manufacturer in Ratlam</v>
      </c>
      <c r="AA584" s="15" t="str">
        <f t="shared" si="11"/>
        <v>OK (44)</v>
      </c>
      <c r="AB584" s="15" t="str">
        <f t="shared" si="12"/>
        <v>Electropolished pipes in Ratlam: 304, 304L, 316 and 316L in SF1-SF4. VERIFY. Mill certified.</v>
      </c>
      <c r="AC584" s="15" t="str">
        <f t="shared" si="13"/>
        <v>PENDING RESEARCH</v>
      </c>
      <c r="AD584" s="15" t="str">
        <f t="shared" si="14"/>
        <v>Electropolished Pipes Manufacturer in Ratlam</v>
      </c>
      <c r="AE584" s="15" t="str">
        <f t="shared" si="15"/>
        <v>Electropolished Pipe &amp; Tube Manufacturing for Ratlam - Grades, Finishes &amp; Certification</v>
      </c>
      <c r="AF584" s="15" t="str">
        <f t="shared" si="16"/>
        <v>Electropolished Pipes Supplier in Ratlam - Stock Sizes, Lead Time &amp; Delivery</v>
      </c>
      <c r="AG584" s="15" t="str">
        <f t="shared" si="17"/>
        <v>Electropolished Pipes Wholesaler &amp; Stockist in Ratlam - Bulk &amp; Project Pricing</v>
      </c>
      <c r="AH584" s="15" t="str">
        <f t="shared" si="18"/>
        <v>electropolished pipes manufacturer in Ratlam, electropolished pipes supplier in Ratlam, electropolished pipes wholesaler in Ratlam, electropolished tube manufacturer Ratlam, EP pipe supplier Ratlam, sanitary tube supplier Ratlam, ASME BPE tubing Ratlam, ASTM A270 tube Ratlam, SS 316L electropolished pipe Ratlam</v>
      </c>
      <c r="AI584" s="15" t="str">
        <f t="shared" si="19"/>
        <v>Electropolished Pipes Manufacturer &amp; Supplier in Ratlam</v>
      </c>
      <c r="AJ584" s="15" t="str">
        <f t="shared" si="20"/>
        <v>EP-finished SS 304/316L pipes and tubes for VERIFY plants in Ratlam. ASME BPE SF1-SF4, Ra from 0.25 um, EN 10204 3.1 certificate with every lot.</v>
      </c>
      <c r="AK584" s="15" t="str">
        <f t="shared" si="21"/>
        <v>Electropolished stainless steel pipes supplied by Sakshi Forge to VERIFY plants at MPIDC Industrial Area, Ratlam</v>
      </c>
      <c r="AL584" s="15" t="str">
        <f t="shared" si="22"/>
        <v>Electropolished SS 316L tube stock for Ratlam - Sakshi Forge</v>
      </c>
      <c r="AM584" s="15" t="str">
        <f t="shared" si="23"/>
        <v>Home &gt; Market Area &gt; India &gt; Madhya Pradesh &gt; Ratlam</v>
      </c>
      <c r="AN584" s="15">
        <f t="shared" si="24"/>
        <v>1000</v>
      </c>
      <c r="AO584" s="15">
        <f t="shared" si="25"/>
        <v>8</v>
      </c>
      <c r="AP584" s="15">
        <f t="shared" si="26"/>
        <v>8</v>
      </c>
      <c r="AQ584" s="15">
        <f t="shared" si="27"/>
        <v>10</v>
      </c>
      <c r="AR584" s="31"/>
      <c r="AS584" s="31"/>
      <c r="AT584" s="35" t="s">
        <v>222</v>
      </c>
      <c r="AU584" s="35"/>
    </row>
    <row r="585" ht="15.75" customHeight="1">
      <c r="A585" s="15" t="s">
        <v>4295</v>
      </c>
      <c r="B585" s="15" t="s">
        <v>60</v>
      </c>
      <c r="C585" s="15" t="s">
        <v>264</v>
      </c>
      <c r="D585" s="15" t="s">
        <v>4296</v>
      </c>
      <c r="E585" s="15" t="s">
        <v>4296</v>
      </c>
      <c r="F585" s="65" t="s">
        <v>788</v>
      </c>
      <c r="G585" s="66" t="s">
        <v>98</v>
      </c>
      <c r="H585" s="18" t="s">
        <v>4298</v>
      </c>
      <c r="I585" s="18" t="s">
        <v>8395</v>
      </c>
      <c r="J585" s="18" t="s">
        <v>98</v>
      </c>
      <c r="K585" s="18" t="s">
        <v>98</v>
      </c>
      <c r="L585" s="18" t="s">
        <v>98</v>
      </c>
      <c r="M585" s="18" t="s">
        <v>98</v>
      </c>
      <c r="N585" s="18" t="s">
        <v>98</v>
      </c>
      <c r="O585" s="18" t="s">
        <v>98</v>
      </c>
      <c r="P585" s="15" t="str">
        <f t="shared" si="1"/>
        <v>VERIFY</v>
      </c>
      <c r="Q585" s="15">
        <f t="shared" si="2"/>
        <v>6</v>
      </c>
      <c r="R585" s="15">
        <f t="shared" si="3"/>
        <v>1</v>
      </c>
      <c r="S585" s="15">
        <f t="shared" si="4"/>
        <v>2</v>
      </c>
      <c r="T585" s="15" t="str">
        <f t="shared" si="5"/>
        <v>B-6</v>
      </c>
      <c r="U585" s="15" t="str">
        <f t="shared" si="6"/>
        <v>T6-M1-H2-FB-6-VERIFY</v>
      </c>
      <c r="V585" s="15">
        <f t="shared" si="7"/>
        <v>0</v>
      </c>
      <c r="W585" s="31"/>
      <c r="X585" s="15" t="str">
        <f t="shared" si="8"/>
        <v>ratnagiri</v>
      </c>
      <c r="Y585" s="32" t="str">
        <f t="shared" si="9"/>
        <v>https://steelmanufacturer.in/market-area/electropolished-pipes-manufacturer-in-ratnagiri/</v>
      </c>
      <c r="Z585" s="15" t="str">
        <f t="shared" si="10"/>
        <v>Electropolished Pipes Manufacturer in Ratnagiri</v>
      </c>
      <c r="AA585" s="15" t="str">
        <f t="shared" si="11"/>
        <v>OK (47)</v>
      </c>
      <c r="AB585" s="15" t="str">
        <f t="shared" si="12"/>
        <v>EP-finished SS 304/316L pipes &amp; tubes for VERIFY plants in Ratnagiri. ASTM A270, ASME BPE SF1-SF4, EN 10204 3.1 MTC. PMI tested.</v>
      </c>
      <c r="AC585" s="15" t="str">
        <f t="shared" si="13"/>
        <v>PENDING RESEARCH</v>
      </c>
      <c r="AD585" s="15" t="str">
        <f t="shared" si="14"/>
        <v>Electropolished Pipes Manufacturer in Ratnagiri</v>
      </c>
      <c r="AE585" s="15" t="str">
        <f t="shared" si="15"/>
        <v>How We Manufacture Electropolished Tube for Ratnagiri Plants</v>
      </c>
      <c r="AF585" s="15" t="str">
        <f t="shared" si="16"/>
        <v>Supplying Electropolished Pipes in Ratnagiri: Availability, Sizes &amp; Dispatch</v>
      </c>
      <c r="AG585" s="15" t="str">
        <f t="shared" si="17"/>
        <v>Wholesale Electropolished Pipe Supply for Ratnagiri Projects</v>
      </c>
      <c r="AH585" s="15" t="str">
        <f t="shared" si="18"/>
        <v>electropolished pipes manufacturer in Ratnagiri, electropolished pipes supplier in Ratnagiri, electropolished pipes wholesaler in Ratnagiri, electropolished tube manufacturer Ratnagiri, EP pipe supplier Ratnagiri, sanitary tube supplier Ratnagiri, ASME BPE tubing Ratnagiri, ASTM A270 tube Ratnagiri, SS 316L electropolished pipe Ratnagiri</v>
      </c>
      <c r="AI585" s="15" t="str">
        <f t="shared" si="19"/>
        <v>Electropolished Pipes Manufacturer &amp; Supplier in Ratnagiri</v>
      </c>
      <c r="AJ585" s="15" t="str">
        <f t="shared" si="20"/>
        <v>EP-finished SS 304/316L pipes and tubes for VERIFY plants in Ratnagiri. ASME BPE SF1-SF4, Ra from 0.25 um, EN 10204 3.1 certificate with every lot.</v>
      </c>
      <c r="AK585" s="15" t="str">
        <f t="shared" si="21"/>
        <v>Electropolished stainless steel pipes supplied by Sakshi Forge to VERIFY plants at MIDC Industrial Area, Ratnagiri</v>
      </c>
      <c r="AL585" s="15" t="str">
        <f t="shared" si="22"/>
        <v>Electropolished SS 316L tube stock for Ratnagiri - Sakshi Forge</v>
      </c>
      <c r="AM585" s="15" t="str">
        <f t="shared" si="23"/>
        <v>Home &gt; Market Area &gt; India &gt; Maharashtra &gt; Ratnagiri</v>
      </c>
      <c r="AN585" s="15">
        <f t="shared" si="24"/>
        <v>1000</v>
      </c>
      <c r="AO585" s="15">
        <f t="shared" si="25"/>
        <v>8</v>
      </c>
      <c r="AP585" s="15">
        <f t="shared" si="26"/>
        <v>8</v>
      </c>
      <c r="AQ585" s="15">
        <f t="shared" si="27"/>
        <v>10</v>
      </c>
      <c r="AR585" s="31"/>
      <c r="AS585" s="31"/>
      <c r="AT585" s="35" t="s">
        <v>222</v>
      </c>
      <c r="AU585" s="35"/>
    </row>
    <row r="586" ht="15.75" customHeight="1">
      <c r="A586" s="15" t="s">
        <v>4299</v>
      </c>
      <c r="B586" s="15" t="s">
        <v>60</v>
      </c>
      <c r="C586" s="15" t="s">
        <v>424</v>
      </c>
      <c r="D586" s="15" t="s">
        <v>4300</v>
      </c>
      <c r="E586" s="15" t="s">
        <v>4300</v>
      </c>
      <c r="F586" s="65" t="s">
        <v>788</v>
      </c>
      <c r="G586" s="66" t="s">
        <v>98</v>
      </c>
      <c r="H586" s="18" t="s">
        <v>4302</v>
      </c>
      <c r="I586" s="18" t="s">
        <v>8406</v>
      </c>
      <c r="J586" s="18" t="s">
        <v>98</v>
      </c>
      <c r="K586" s="18" t="s">
        <v>98</v>
      </c>
      <c r="L586" s="18" t="s">
        <v>98</v>
      </c>
      <c r="M586" s="18" t="s">
        <v>98</v>
      </c>
      <c r="N586" s="18" t="s">
        <v>98</v>
      </c>
      <c r="O586" s="18" t="s">
        <v>98</v>
      </c>
      <c r="P586" s="15" t="str">
        <f t="shared" si="1"/>
        <v>VERIFY</v>
      </c>
      <c r="Q586" s="15">
        <f t="shared" si="2"/>
        <v>7</v>
      </c>
      <c r="R586" s="15">
        <f t="shared" si="3"/>
        <v>2</v>
      </c>
      <c r="S586" s="15">
        <f t="shared" si="4"/>
        <v>3</v>
      </c>
      <c r="T586" s="15" t="str">
        <f t="shared" si="5"/>
        <v>B-1</v>
      </c>
      <c r="U586" s="15" t="str">
        <f t="shared" si="6"/>
        <v>T7-M2-H3-FB-1-VERIFY</v>
      </c>
      <c r="V586" s="15">
        <f t="shared" si="7"/>
        <v>0</v>
      </c>
      <c r="W586" s="31"/>
      <c r="X586" s="15" t="str">
        <f t="shared" si="8"/>
        <v>rayagada</v>
      </c>
      <c r="Y586" s="32" t="str">
        <f t="shared" si="9"/>
        <v>https://steelmanufacturer.in/market-area/electropolished-pipes-manufacturer-in-rayagada/</v>
      </c>
      <c r="Z586" s="15" t="str">
        <f t="shared" si="10"/>
        <v>Electropolished Pipes Manufacturer in Rayagada | ASME BPE SF1-SF4</v>
      </c>
      <c r="AA586" s="15" t="str">
        <f t="shared" si="11"/>
        <v>OK (65)</v>
      </c>
      <c r="AB586" s="15" t="str">
        <f t="shared" si="12"/>
        <v>Electropolished tube supply to IDCO Industrial Area, Rayagada. Ra from 0.25 um, SF4 finish, mill test certificate with every lot.</v>
      </c>
      <c r="AC586" s="15" t="str">
        <f t="shared" si="13"/>
        <v>PENDING RESEARCH</v>
      </c>
      <c r="AD586" s="15" t="str">
        <f t="shared" si="14"/>
        <v>Electropolished Pipes Manufacturer in Rayagada</v>
      </c>
      <c r="AE586" s="15" t="str">
        <f t="shared" si="15"/>
        <v>Electropolished Pipes Manufacturer in Rayagada - Our Process &amp; Capability</v>
      </c>
      <c r="AF586" s="15" t="str">
        <f t="shared" si="16"/>
        <v>Electropolished Pipes Supplier in Rayagada - What We Hold in Stock</v>
      </c>
      <c r="AG586" s="15" t="str">
        <f t="shared" si="17"/>
        <v>Bulk &amp; Wholesale Electropolished Pipe Rates for Rayagada Buyers</v>
      </c>
      <c r="AH586" s="15" t="str">
        <f t="shared" si="18"/>
        <v>electropolished pipes manufacturer in Rayagada, electropolished pipes supplier in Rayagada, electropolished pipes wholesaler in Rayagada, electropolished tube manufacturer Rayagada, EP pipe supplier Rayagada, sanitary tube supplier Rayagada, ASME BPE tubing Rayagada, ASTM A270 tube Rayagada, SS 316L electropolished pipe Rayagada</v>
      </c>
      <c r="AI586" s="15" t="str">
        <f t="shared" si="19"/>
        <v>Electropolished Pipes Manufacturer &amp; Supplier in Rayagada</v>
      </c>
      <c r="AJ586" s="15" t="str">
        <f t="shared" si="20"/>
        <v>EP-finished SS 304/316L pipes and tubes for VERIFY plants in Rayagada. ASME BPE SF1-SF4, Ra from 0.25 um, EN 10204 3.1 certificate with every lot.</v>
      </c>
      <c r="AK586" s="15" t="str">
        <f t="shared" si="21"/>
        <v>Electropolished stainless steel pipes supplied by Sakshi Forge to VERIFY plants at IDCO Industrial Area, Rayagada</v>
      </c>
      <c r="AL586" s="15" t="str">
        <f t="shared" si="22"/>
        <v>Electropolished SS 316L tube stock for Rayagada - Sakshi Forge</v>
      </c>
      <c r="AM586" s="15" t="str">
        <f t="shared" si="23"/>
        <v>Home &gt; Market Area &gt; India &gt; Odisha &gt; Rayagada</v>
      </c>
      <c r="AN586" s="15">
        <f t="shared" si="24"/>
        <v>1000</v>
      </c>
      <c r="AO586" s="15">
        <f t="shared" si="25"/>
        <v>8</v>
      </c>
      <c r="AP586" s="15">
        <f t="shared" si="26"/>
        <v>8</v>
      </c>
      <c r="AQ586" s="15">
        <f t="shared" si="27"/>
        <v>10</v>
      </c>
      <c r="AR586" s="31"/>
      <c r="AS586" s="31"/>
      <c r="AT586" s="35" t="s">
        <v>222</v>
      </c>
      <c r="AU586" s="35"/>
    </row>
    <row r="587" ht="15.75" customHeight="1">
      <c r="A587" s="15" t="s">
        <v>4303</v>
      </c>
      <c r="B587" s="15" t="s">
        <v>60</v>
      </c>
      <c r="C587" s="15" t="s">
        <v>842</v>
      </c>
      <c r="D587" s="15" t="s">
        <v>4304</v>
      </c>
      <c r="E587" s="15" t="s">
        <v>4304</v>
      </c>
      <c r="F587" s="65" t="s">
        <v>788</v>
      </c>
      <c r="G587" s="66" t="s">
        <v>98</v>
      </c>
      <c r="H587" s="18" t="s">
        <v>4306</v>
      </c>
      <c r="I587" s="18" t="s">
        <v>8413</v>
      </c>
      <c r="J587" s="18" t="s">
        <v>98</v>
      </c>
      <c r="K587" s="18" t="s">
        <v>98</v>
      </c>
      <c r="L587" s="18" t="s">
        <v>98</v>
      </c>
      <c r="M587" s="18" t="s">
        <v>98</v>
      </c>
      <c r="N587" s="18" t="s">
        <v>98</v>
      </c>
      <c r="O587" s="18" t="s">
        <v>98</v>
      </c>
      <c r="P587" s="15" t="str">
        <f t="shared" si="1"/>
        <v>VERIFY</v>
      </c>
      <c r="Q587" s="15">
        <f t="shared" si="2"/>
        <v>8</v>
      </c>
      <c r="R587" s="15">
        <f t="shared" si="3"/>
        <v>3</v>
      </c>
      <c r="S587" s="15">
        <f t="shared" si="4"/>
        <v>4</v>
      </c>
      <c r="T587" s="15" t="str">
        <f t="shared" si="5"/>
        <v>B-2</v>
      </c>
      <c r="U587" s="15" t="str">
        <f t="shared" si="6"/>
        <v>T8-M3-H4-FB-2-VERIFY</v>
      </c>
      <c r="V587" s="15">
        <f t="shared" si="7"/>
        <v>0</v>
      </c>
      <c r="W587" s="31"/>
      <c r="X587" s="15" t="str">
        <f t="shared" si="8"/>
        <v>rewa</v>
      </c>
      <c r="Y587" s="32" t="str">
        <f t="shared" si="9"/>
        <v>https://steelmanufacturer.in/market-area/electropolished-pipes-manufacturer-in-rewa/</v>
      </c>
      <c r="Z587" s="15" t="str">
        <f t="shared" si="10"/>
        <v>Electropolished Pipes Manufacturer in Rewa - EP Tube Stockist</v>
      </c>
      <c r="AA587" s="15" t="str">
        <f t="shared" si="11"/>
        <v>OK (61)</v>
      </c>
      <c r="AB587" s="15" t="str">
        <f t="shared" si="12"/>
        <v>EP stainless tube for VERIFY lines in Rewa. VERIFY. ASTM A270 S2, PMI tested, EN 10204 3.1.</v>
      </c>
      <c r="AC587" s="15" t="str">
        <f t="shared" si="13"/>
        <v>PENDING RESEARCH</v>
      </c>
      <c r="AD587" s="15" t="str">
        <f t="shared" si="14"/>
        <v>Electropolished Pipes Manufacturer in Rewa</v>
      </c>
      <c r="AE587" s="15" t="str">
        <f t="shared" si="15"/>
        <v>Manufacturing Electropolished SS Tube for Rewa: The Standards We Build To</v>
      </c>
      <c r="AF587" s="15" t="str">
        <f t="shared" si="16"/>
        <v>Electropolished Pipe Supply Into Rewa - Certification &amp; Transit</v>
      </c>
      <c r="AG587" s="15" t="str">
        <f t="shared" si="17"/>
        <v>Electropolished Pipes Wholesaler in Rewa - Project Quantities &amp; Terms</v>
      </c>
      <c r="AH587" s="15" t="str">
        <f t="shared" si="18"/>
        <v>electropolished pipes manufacturer in Rewa, electropolished pipes supplier in Rewa, electropolished pipes wholesaler in Rewa, electropolished tube manufacturer Rewa, EP pipe supplier Rewa, sanitary tube supplier Rewa, ASME BPE tubing Rewa, ASTM A270 tube Rewa, SS 316L electropolished pipe Rewa</v>
      </c>
      <c r="AI587" s="15" t="str">
        <f t="shared" si="19"/>
        <v>Electropolished Pipes Manufacturer &amp; Supplier in Rewa</v>
      </c>
      <c r="AJ587" s="15" t="str">
        <f t="shared" si="20"/>
        <v>EP-finished SS 304/316L pipes and tubes for VERIFY plants in Rewa. ASME BPE SF1-SF4, Ra from 0.25 um, EN 10204 3.1 certificate with every lot.</v>
      </c>
      <c r="AK587" s="15" t="str">
        <f t="shared" si="21"/>
        <v>Electropolished stainless steel pipes supplied by Sakshi Forge to VERIFY plants at MPIDC Industrial Area, Rewa</v>
      </c>
      <c r="AL587" s="15" t="str">
        <f t="shared" si="22"/>
        <v>Electropolished SS 316L tube stock for Rewa - Sakshi Forge</v>
      </c>
      <c r="AM587" s="15" t="str">
        <f t="shared" si="23"/>
        <v>Home &gt; Market Area &gt; India &gt; Madhya Pradesh &gt; Rewa</v>
      </c>
      <c r="AN587" s="15">
        <f t="shared" si="24"/>
        <v>1000</v>
      </c>
      <c r="AO587" s="15">
        <f t="shared" si="25"/>
        <v>8</v>
      </c>
      <c r="AP587" s="15">
        <f t="shared" si="26"/>
        <v>8</v>
      </c>
      <c r="AQ587" s="15">
        <f t="shared" si="27"/>
        <v>10</v>
      </c>
      <c r="AR587" s="31"/>
      <c r="AS587" s="31"/>
      <c r="AT587" s="35" t="s">
        <v>222</v>
      </c>
      <c r="AU587" s="35"/>
    </row>
    <row r="588" ht="15.75" customHeight="1">
      <c r="A588" s="15" t="s">
        <v>4307</v>
      </c>
      <c r="B588" s="15" t="s">
        <v>60</v>
      </c>
      <c r="C588" s="15" t="s">
        <v>245</v>
      </c>
      <c r="D588" s="15" t="s">
        <v>4308</v>
      </c>
      <c r="E588" s="15" t="s">
        <v>4308</v>
      </c>
      <c r="F588" s="65" t="s">
        <v>788</v>
      </c>
      <c r="G588" s="66" t="s">
        <v>98</v>
      </c>
      <c r="H588" s="18" t="s">
        <v>4310</v>
      </c>
      <c r="I588" s="18" t="s">
        <v>8407</v>
      </c>
      <c r="J588" s="18" t="s">
        <v>98</v>
      </c>
      <c r="K588" s="18" t="s">
        <v>98</v>
      </c>
      <c r="L588" s="18" t="s">
        <v>98</v>
      </c>
      <c r="M588" s="18" t="s">
        <v>98</v>
      </c>
      <c r="N588" s="18" t="s">
        <v>98</v>
      </c>
      <c r="O588" s="18" t="s">
        <v>98</v>
      </c>
      <c r="P588" s="15" t="str">
        <f t="shared" si="1"/>
        <v>VERIFY</v>
      </c>
      <c r="Q588" s="15">
        <f t="shared" si="2"/>
        <v>1</v>
      </c>
      <c r="R588" s="15">
        <f t="shared" si="3"/>
        <v>4</v>
      </c>
      <c r="S588" s="15">
        <f t="shared" si="4"/>
        <v>5</v>
      </c>
      <c r="T588" s="15" t="str">
        <f t="shared" si="5"/>
        <v>B-3</v>
      </c>
      <c r="U588" s="15" t="str">
        <f t="shared" si="6"/>
        <v>T1-M4-H5-FB-3-VERIFY</v>
      </c>
      <c r="V588" s="15">
        <f t="shared" si="7"/>
        <v>0</v>
      </c>
      <c r="W588" s="31"/>
      <c r="X588" s="15" t="str">
        <f t="shared" si="8"/>
        <v>rewari</v>
      </c>
      <c r="Y588" s="32" t="str">
        <f t="shared" si="9"/>
        <v>https://steelmanufacturer.in/market-area/electropolished-pipes-manufacturer-in-rewari/</v>
      </c>
      <c r="Z588" s="15" t="str">
        <f t="shared" si="10"/>
        <v>Electropolished Pipes Manufacturer in Rewari | Sakshi Forge</v>
      </c>
      <c r="AA588" s="15" t="str">
        <f t="shared" si="11"/>
        <v>OK (59)</v>
      </c>
      <c r="AB588" s="15" t="str">
        <f t="shared" si="12"/>
        <v>Sanitary electropolished pipes in Rewari for VERIFY plants. ASME BPE SF1-SF4, orbital-weld ready, 3.1 MTC. Mumbai-made.</v>
      </c>
      <c r="AC588" s="15" t="str">
        <f t="shared" si="13"/>
        <v>PENDING RESEARCH</v>
      </c>
      <c r="AD588" s="15" t="str">
        <f t="shared" si="14"/>
        <v>Electropolished Pipes Manufacturer in Rewari</v>
      </c>
      <c r="AE588" s="15" t="str">
        <f t="shared" si="15"/>
        <v>Electropolished Tube Manufacturing Capability Serving Rewari</v>
      </c>
      <c r="AF588" s="15" t="str">
        <f t="shared" si="16"/>
        <v>Electropolished Pipes Supplier in Rewari - From Order to Delivery</v>
      </c>
      <c r="AG588" s="15" t="str">
        <f t="shared" si="17"/>
        <v>Stockist &amp; Wholesale Supply of Electropolished Pipes in Rewari</v>
      </c>
      <c r="AH588" s="15" t="str">
        <f t="shared" si="18"/>
        <v>electropolished pipes manufacturer in Rewari, electropolished pipes supplier in Rewari, electropolished pipes wholesaler in Rewari, electropolished tube manufacturer Rewari, EP pipe supplier Rewari, sanitary tube supplier Rewari, ASME BPE tubing Rewari, ASTM A270 tube Rewari, SS 316L electropolished pipe Rewari</v>
      </c>
      <c r="AI588" s="15" t="str">
        <f t="shared" si="19"/>
        <v>Electropolished Pipes Manufacturer &amp; Supplier in Rewari</v>
      </c>
      <c r="AJ588" s="15" t="str">
        <f t="shared" si="20"/>
        <v>EP-finished SS 304/316L pipes and tubes for VERIFY plants in Rewari. ASME BPE SF1-SF4, Ra from 0.25 um, EN 10204 3.1 certificate with every lot.</v>
      </c>
      <c r="AK588" s="15" t="str">
        <f t="shared" si="21"/>
        <v>Electropolished stainless steel pipes supplied by Sakshi Forge to VERIFY plants at HSIIDC Industrial Area, Rewari</v>
      </c>
      <c r="AL588" s="15" t="str">
        <f t="shared" si="22"/>
        <v>Electropolished SS 316L tube stock for Rewari - Sakshi Forge</v>
      </c>
      <c r="AM588" s="15" t="str">
        <f t="shared" si="23"/>
        <v>Home &gt; Market Area &gt; India &gt; Haryana &gt; Rewari</v>
      </c>
      <c r="AN588" s="15">
        <f t="shared" si="24"/>
        <v>1000</v>
      </c>
      <c r="AO588" s="15">
        <f t="shared" si="25"/>
        <v>8</v>
      </c>
      <c r="AP588" s="15">
        <f t="shared" si="26"/>
        <v>8</v>
      </c>
      <c r="AQ588" s="15">
        <f t="shared" si="27"/>
        <v>10</v>
      </c>
      <c r="AR588" s="31"/>
      <c r="AS588" s="31"/>
      <c r="AT588" s="35" t="s">
        <v>222</v>
      </c>
      <c r="AU588" s="35"/>
    </row>
    <row r="589" ht="15.75" customHeight="1">
      <c r="A589" s="15" t="s">
        <v>4315</v>
      </c>
      <c r="B589" s="15" t="s">
        <v>60</v>
      </c>
      <c r="C589" s="15" t="s">
        <v>1139</v>
      </c>
      <c r="D589" s="15" t="s">
        <v>4318</v>
      </c>
      <c r="E589" s="15" t="s">
        <v>4318</v>
      </c>
      <c r="F589" s="65" t="s">
        <v>788</v>
      </c>
      <c r="G589" s="66" t="s">
        <v>98</v>
      </c>
      <c r="H589" s="18" t="s">
        <v>4320</v>
      </c>
      <c r="I589" s="18" t="s">
        <v>8410</v>
      </c>
      <c r="J589" s="18" t="s">
        <v>98</v>
      </c>
      <c r="K589" s="18" t="s">
        <v>98</v>
      </c>
      <c r="L589" s="18" t="s">
        <v>98</v>
      </c>
      <c r="M589" s="18" t="s">
        <v>98</v>
      </c>
      <c r="N589" s="18" t="s">
        <v>98</v>
      </c>
      <c r="O589" s="18" t="s">
        <v>98</v>
      </c>
      <c r="P589" s="15" t="str">
        <f t="shared" si="1"/>
        <v>VERIFY</v>
      </c>
      <c r="Q589" s="15">
        <f t="shared" si="2"/>
        <v>2</v>
      </c>
      <c r="R589" s="15">
        <f t="shared" si="3"/>
        <v>5</v>
      </c>
      <c r="S589" s="15">
        <f t="shared" si="4"/>
        <v>1</v>
      </c>
      <c r="T589" s="15" t="str">
        <f t="shared" si="5"/>
        <v>B-4</v>
      </c>
      <c r="U589" s="15" t="str">
        <f t="shared" si="6"/>
        <v>T2-M5-H1-FB-4-VERIFY</v>
      </c>
      <c r="V589" s="15">
        <f t="shared" si="7"/>
        <v>0</v>
      </c>
      <c r="W589" s="31"/>
      <c r="X589" s="15" t="str">
        <f t="shared" si="8"/>
        <v>rishikesh</v>
      </c>
      <c r="Y589" s="32" t="str">
        <f t="shared" si="9"/>
        <v>https://steelmanufacturer.in/market-area/electropolished-pipes-manufacturer-in-rishikesh/</v>
      </c>
      <c r="Z589" s="15" t="str">
        <f t="shared" si="10"/>
        <v>Electropolished Pipes Manufacturer in Rishikesh</v>
      </c>
      <c r="AA589" s="15" t="str">
        <f t="shared" si="11"/>
        <v>OK (47)</v>
      </c>
      <c r="AB589" s="15" t="str">
        <f t="shared" si="12"/>
        <v>Manufacturer of electropolished SS 316L tube serving Rishikesh. VERIFY. Ra 0.25-0.5 um, EN 10204 3.1 MTC.</v>
      </c>
      <c r="AC589" s="15" t="str">
        <f t="shared" si="13"/>
        <v>PENDING RESEARCH</v>
      </c>
      <c r="AD589" s="15" t="str">
        <f t="shared" si="14"/>
        <v>Electropolished Pipes Manufacturer in Rishikesh</v>
      </c>
      <c r="AE589" s="15" t="str">
        <f t="shared" si="15"/>
        <v>Electropolished Pipe &amp; Tube Manufacturing for Rishikesh - Grades, Finishes &amp; Certification</v>
      </c>
      <c r="AF589" s="15" t="str">
        <f t="shared" si="16"/>
        <v>Electropolished Pipes Supplier in Rishikesh - Stock Sizes, Lead Time &amp; Delivery</v>
      </c>
      <c r="AG589" s="15" t="str">
        <f t="shared" si="17"/>
        <v>Electropolished Pipes Wholesaler &amp; Stockist in Rishikesh - Bulk &amp; Project Pricing</v>
      </c>
      <c r="AH589" s="15" t="str">
        <f t="shared" si="18"/>
        <v>electropolished pipes manufacturer in Rishikesh, electropolished pipes supplier in Rishikesh, electropolished pipes wholesaler in Rishikesh, electropolished tube manufacturer Rishikesh, EP pipe supplier Rishikesh, sanitary tube supplier Rishikesh, ASME BPE tubing Rishikesh, ASTM A270 tube Rishikesh, SS 316L electropolished pipe Rishikesh</v>
      </c>
      <c r="AI589" s="15" t="str">
        <f t="shared" si="19"/>
        <v>Electropolished Pipes Manufacturer &amp; Supplier in Rishikesh</v>
      </c>
      <c r="AJ589" s="15" t="str">
        <f t="shared" si="20"/>
        <v>EP-finished SS 304/316L pipes and tubes for VERIFY plants in Rishikesh. ASME BPE SF1-SF4, Ra from 0.25 um, EN 10204 3.1 certificate with every lot.</v>
      </c>
      <c r="AK589" s="15" t="str">
        <f t="shared" si="21"/>
        <v>Electropolished stainless steel pipes supplied by Sakshi Forge to VERIFY plants at SIIDCUL Industrial Area, Rishikesh</v>
      </c>
      <c r="AL589" s="15" t="str">
        <f t="shared" si="22"/>
        <v>Electropolished SS 316L tube stock for Rishikesh - Sakshi Forge</v>
      </c>
      <c r="AM589" s="15" t="str">
        <f t="shared" si="23"/>
        <v>Home &gt; Market Area &gt; India &gt; Uttarakhand &gt; Rishikesh</v>
      </c>
      <c r="AN589" s="15">
        <f t="shared" si="24"/>
        <v>1000</v>
      </c>
      <c r="AO589" s="15">
        <f t="shared" si="25"/>
        <v>8</v>
      </c>
      <c r="AP589" s="15">
        <f t="shared" si="26"/>
        <v>8</v>
      </c>
      <c r="AQ589" s="15">
        <f t="shared" si="27"/>
        <v>10</v>
      </c>
      <c r="AR589" s="31"/>
      <c r="AS589" s="31"/>
      <c r="AT589" s="35" t="s">
        <v>222</v>
      </c>
      <c r="AU589" s="35"/>
    </row>
    <row r="590" ht="15.75" customHeight="1">
      <c r="A590" s="15" t="s">
        <v>4321</v>
      </c>
      <c r="B590" s="15" t="s">
        <v>60</v>
      </c>
      <c r="C590" s="15" t="s">
        <v>245</v>
      </c>
      <c r="D590" s="15" t="s">
        <v>4322</v>
      </c>
      <c r="E590" s="15" t="s">
        <v>4322</v>
      </c>
      <c r="F590" s="65" t="s">
        <v>788</v>
      </c>
      <c r="G590" s="66" t="s">
        <v>98</v>
      </c>
      <c r="H590" s="18" t="s">
        <v>4324</v>
      </c>
      <c r="I590" s="18" t="s">
        <v>8407</v>
      </c>
      <c r="J590" s="18" t="s">
        <v>98</v>
      </c>
      <c r="K590" s="18" t="s">
        <v>98</v>
      </c>
      <c r="L590" s="18" t="s">
        <v>98</v>
      </c>
      <c r="M590" s="18" t="s">
        <v>98</v>
      </c>
      <c r="N590" s="18" t="s">
        <v>98</v>
      </c>
      <c r="O590" s="18" t="s">
        <v>98</v>
      </c>
      <c r="P590" s="15" t="str">
        <f t="shared" si="1"/>
        <v>VERIFY</v>
      </c>
      <c r="Q590" s="15">
        <f t="shared" si="2"/>
        <v>3</v>
      </c>
      <c r="R590" s="15">
        <f t="shared" si="3"/>
        <v>6</v>
      </c>
      <c r="S590" s="15">
        <f t="shared" si="4"/>
        <v>2</v>
      </c>
      <c r="T590" s="15" t="str">
        <f t="shared" si="5"/>
        <v>B-5</v>
      </c>
      <c r="U590" s="15" t="str">
        <f t="shared" si="6"/>
        <v>T3-M6-H2-FB-5-VERIFY</v>
      </c>
      <c r="V590" s="15">
        <f t="shared" si="7"/>
        <v>0</v>
      </c>
      <c r="W590" s="31"/>
      <c r="X590" s="15" t="str">
        <f t="shared" si="8"/>
        <v>rohtak</v>
      </c>
      <c r="Y590" s="32" t="str">
        <f t="shared" si="9"/>
        <v>https://steelmanufacturer.in/market-area/electropolished-pipes-manufacturer-in-rohtak/</v>
      </c>
      <c r="Z590" s="15" t="str">
        <f t="shared" si="10"/>
        <v>Electropolished Pipes Manufacturer in Rohtak | EP Tube Supplier</v>
      </c>
      <c r="AA590" s="15" t="str">
        <f t="shared" si="11"/>
        <v>OK (63)</v>
      </c>
      <c r="AB590" s="15" t="str">
        <f t="shared" si="12"/>
        <v>EP tube and pipe for VERIFY plants around HSIIDC Industrial Area, Rohtak. Made at our Mumbai works to ASTM A270 and ASME BPE SF1-SF4, with 3.1 MTC.</v>
      </c>
      <c r="AC590" s="15" t="str">
        <f t="shared" si="13"/>
        <v>PENDING RESEARCH</v>
      </c>
      <c r="AD590" s="15" t="str">
        <f t="shared" si="14"/>
        <v>Electropolished Pipes Manufacturer in Rohtak</v>
      </c>
      <c r="AE590" s="15" t="str">
        <f t="shared" si="15"/>
        <v>How We Manufacture Electropolished Tube for Rohtak Plants</v>
      </c>
      <c r="AF590" s="15" t="str">
        <f t="shared" si="16"/>
        <v>Supplying Electropolished Pipes in Rohtak: Availability, Sizes &amp; Dispatch</v>
      </c>
      <c r="AG590" s="15" t="str">
        <f t="shared" si="17"/>
        <v>Wholesale Electropolished Pipe Supply for Rohtak Projects</v>
      </c>
      <c r="AH590" s="15" t="str">
        <f t="shared" si="18"/>
        <v>electropolished pipes manufacturer in Rohtak, electropolished pipes supplier in Rohtak, electropolished pipes wholesaler in Rohtak, electropolished tube manufacturer Rohtak, EP pipe supplier Rohtak, sanitary tube supplier Rohtak, ASME BPE tubing Rohtak, ASTM A270 tube Rohtak, SS 316L electropolished pipe Rohtak</v>
      </c>
      <c r="AI590" s="15" t="str">
        <f t="shared" si="19"/>
        <v>Electropolished Pipes Manufacturer &amp; Supplier in Rohtak</v>
      </c>
      <c r="AJ590" s="15" t="str">
        <f t="shared" si="20"/>
        <v>EP-finished SS 304/316L pipes and tubes for VERIFY plants in Rohtak. ASME BPE SF1-SF4, Ra from 0.25 um, EN 10204 3.1 certificate with every lot.</v>
      </c>
      <c r="AK590" s="15" t="str">
        <f t="shared" si="21"/>
        <v>Electropolished stainless steel pipes supplied by Sakshi Forge to VERIFY plants at HSIIDC Industrial Area, Rohtak</v>
      </c>
      <c r="AL590" s="15" t="str">
        <f t="shared" si="22"/>
        <v>Electropolished SS 316L tube stock for Rohtak - Sakshi Forge</v>
      </c>
      <c r="AM590" s="15" t="str">
        <f t="shared" si="23"/>
        <v>Home &gt; Market Area &gt; India &gt; Haryana &gt; Rohtak</v>
      </c>
      <c r="AN590" s="15">
        <f t="shared" si="24"/>
        <v>1000</v>
      </c>
      <c r="AO590" s="15">
        <f t="shared" si="25"/>
        <v>8</v>
      </c>
      <c r="AP590" s="15">
        <f t="shared" si="26"/>
        <v>8</v>
      </c>
      <c r="AQ590" s="15">
        <f t="shared" si="27"/>
        <v>10</v>
      </c>
      <c r="AR590" s="31"/>
      <c r="AS590" s="31"/>
      <c r="AT590" s="35" t="s">
        <v>222</v>
      </c>
      <c r="AU590" s="35"/>
    </row>
    <row r="591" ht="15.75" customHeight="1">
      <c r="A591" s="15" t="s">
        <v>4325</v>
      </c>
      <c r="B591" s="15" t="s">
        <v>60</v>
      </c>
      <c r="C591" s="15" t="s">
        <v>1139</v>
      </c>
      <c r="D591" s="15" t="s">
        <v>4326</v>
      </c>
      <c r="E591" s="15" t="s">
        <v>4326</v>
      </c>
      <c r="F591" s="65" t="s">
        <v>788</v>
      </c>
      <c r="G591" s="66" t="s">
        <v>98</v>
      </c>
      <c r="H591" s="18" t="s">
        <v>4328</v>
      </c>
      <c r="I591" s="18" t="s">
        <v>8410</v>
      </c>
      <c r="J591" s="18" t="s">
        <v>98</v>
      </c>
      <c r="K591" s="18" t="s">
        <v>98</v>
      </c>
      <c r="L591" s="18" t="s">
        <v>98</v>
      </c>
      <c r="M591" s="18" t="s">
        <v>98</v>
      </c>
      <c r="N591" s="18" t="s">
        <v>98</v>
      </c>
      <c r="O591" s="18" t="s">
        <v>98</v>
      </c>
      <c r="P591" s="15" t="str">
        <f t="shared" si="1"/>
        <v>VERIFY</v>
      </c>
      <c r="Q591" s="15">
        <f t="shared" si="2"/>
        <v>4</v>
      </c>
      <c r="R591" s="15">
        <f t="shared" si="3"/>
        <v>7</v>
      </c>
      <c r="S591" s="15">
        <f t="shared" si="4"/>
        <v>3</v>
      </c>
      <c r="T591" s="15" t="str">
        <f t="shared" si="5"/>
        <v>B-6</v>
      </c>
      <c r="U591" s="15" t="str">
        <f t="shared" si="6"/>
        <v>T4-M7-H3-FB-6-VERIFY</v>
      </c>
      <c r="V591" s="15">
        <f t="shared" si="7"/>
        <v>0</v>
      </c>
      <c r="W591" s="31"/>
      <c r="X591" s="15" t="str">
        <f t="shared" si="8"/>
        <v>roorkee</v>
      </c>
      <c r="Y591" s="32" t="str">
        <f t="shared" si="9"/>
        <v>https://steelmanufacturer.in/market-area/electropolished-pipes-manufacturer-in-roorkee/</v>
      </c>
      <c r="Z591" s="15" t="str">
        <f t="shared" si="10"/>
        <v>Electropolished Pipes Manufacturer in Roorkee</v>
      </c>
      <c r="AA591" s="15" t="str">
        <f t="shared" si="11"/>
        <v>OK (45)</v>
      </c>
      <c r="AB591" s="15" t="str">
        <f t="shared" si="12"/>
        <v>Electropolished pipes in Roorkee: 304, 304L, 316 and 316L in SF1-SF4. VERIFY. Mill certified.</v>
      </c>
      <c r="AC591" s="15" t="str">
        <f t="shared" si="13"/>
        <v>PENDING RESEARCH</v>
      </c>
      <c r="AD591" s="15" t="str">
        <f t="shared" si="14"/>
        <v>Electropolished Pipes Manufacturer in Roorkee</v>
      </c>
      <c r="AE591" s="15" t="str">
        <f t="shared" si="15"/>
        <v>Electropolished Pipes Manufacturer in Roorkee - Our Process &amp; Capability</v>
      </c>
      <c r="AF591" s="15" t="str">
        <f t="shared" si="16"/>
        <v>Electropolished Pipes Supplier in Roorkee - What We Hold in Stock</v>
      </c>
      <c r="AG591" s="15" t="str">
        <f t="shared" si="17"/>
        <v>Bulk &amp; Wholesale Electropolished Pipe Rates for Roorkee Buyers</v>
      </c>
      <c r="AH591" s="15" t="str">
        <f t="shared" si="18"/>
        <v>electropolished pipes manufacturer in Roorkee, electropolished pipes supplier in Roorkee, electropolished pipes wholesaler in Roorkee, electropolished tube manufacturer Roorkee, EP pipe supplier Roorkee, sanitary tube supplier Roorkee, ASME BPE tubing Roorkee, ASTM A270 tube Roorkee, SS 316L electropolished pipe Roorkee</v>
      </c>
      <c r="AI591" s="15" t="str">
        <f t="shared" si="19"/>
        <v>Electropolished Pipes Manufacturer &amp; Supplier in Roorkee</v>
      </c>
      <c r="AJ591" s="15" t="str">
        <f t="shared" si="20"/>
        <v>EP-finished SS 304/316L pipes and tubes for VERIFY plants in Roorkee. ASME BPE SF1-SF4, Ra from 0.25 um, EN 10204 3.1 certificate with every lot.</v>
      </c>
      <c r="AK591" s="15" t="str">
        <f t="shared" si="21"/>
        <v>Electropolished stainless steel pipes supplied by Sakshi Forge to VERIFY plants at SIIDCUL Industrial Area, Roorkee</v>
      </c>
      <c r="AL591" s="15" t="str">
        <f t="shared" si="22"/>
        <v>Electropolished SS 316L tube stock for Roorkee - Sakshi Forge</v>
      </c>
      <c r="AM591" s="15" t="str">
        <f t="shared" si="23"/>
        <v>Home &gt; Market Area &gt; India &gt; Uttarakhand &gt; Roorkee</v>
      </c>
      <c r="AN591" s="15">
        <f t="shared" si="24"/>
        <v>1000</v>
      </c>
      <c r="AO591" s="15">
        <f t="shared" si="25"/>
        <v>8</v>
      </c>
      <c r="AP591" s="15">
        <f t="shared" si="26"/>
        <v>8</v>
      </c>
      <c r="AQ591" s="15">
        <f t="shared" si="27"/>
        <v>10</v>
      </c>
      <c r="AR591" s="31"/>
      <c r="AS591" s="31"/>
      <c r="AT591" s="35" t="s">
        <v>222</v>
      </c>
      <c r="AU591" s="35"/>
    </row>
    <row r="592" ht="15.75" customHeight="1">
      <c r="A592" s="15" t="s">
        <v>4329</v>
      </c>
      <c r="B592" s="15" t="s">
        <v>60</v>
      </c>
      <c r="C592" s="15" t="s">
        <v>842</v>
      </c>
      <c r="D592" s="15" t="s">
        <v>4330</v>
      </c>
      <c r="E592" s="15" t="s">
        <v>4330</v>
      </c>
      <c r="F592" s="65" t="s">
        <v>788</v>
      </c>
      <c r="G592" s="66" t="s">
        <v>98</v>
      </c>
      <c r="H592" s="18" t="s">
        <v>4332</v>
      </c>
      <c r="I592" s="18" t="s">
        <v>8413</v>
      </c>
      <c r="J592" s="18" t="s">
        <v>98</v>
      </c>
      <c r="K592" s="18" t="s">
        <v>98</v>
      </c>
      <c r="L592" s="18" t="s">
        <v>98</v>
      </c>
      <c r="M592" s="18" t="s">
        <v>98</v>
      </c>
      <c r="N592" s="18" t="s">
        <v>98</v>
      </c>
      <c r="O592" s="18" t="s">
        <v>98</v>
      </c>
      <c r="P592" s="15" t="str">
        <f t="shared" si="1"/>
        <v>VERIFY</v>
      </c>
      <c r="Q592" s="15">
        <f t="shared" si="2"/>
        <v>5</v>
      </c>
      <c r="R592" s="15">
        <f t="shared" si="3"/>
        <v>1</v>
      </c>
      <c r="S592" s="15">
        <f t="shared" si="4"/>
        <v>4</v>
      </c>
      <c r="T592" s="15" t="str">
        <f t="shared" si="5"/>
        <v>B-1</v>
      </c>
      <c r="U592" s="15" t="str">
        <f t="shared" si="6"/>
        <v>T5-M1-H4-FB-1-VERIFY</v>
      </c>
      <c r="V592" s="15">
        <f t="shared" si="7"/>
        <v>0</v>
      </c>
      <c r="W592" s="31"/>
      <c r="X592" s="15" t="str">
        <f t="shared" si="8"/>
        <v>sagar</v>
      </c>
      <c r="Y592" s="32" t="str">
        <f t="shared" si="9"/>
        <v>https://steelmanufacturer.in/market-area/electropolished-pipes-manufacturer-in-sagar/</v>
      </c>
      <c r="Z592" s="15" t="str">
        <f t="shared" si="10"/>
        <v>Electropolished Pipes Manufacturer in Sagar</v>
      </c>
      <c r="AA592" s="15" t="str">
        <f t="shared" si="11"/>
        <v>OK (43)</v>
      </c>
      <c r="AB592" s="15" t="str">
        <f t="shared" si="12"/>
        <v>EP-finished SS 304/316L pipes &amp; tubes for VERIFY plants in Sagar. ASTM A270, ASME BPE SF1-SF4, EN 10204 3.1 MTC. PMI tested.</v>
      </c>
      <c r="AC592" s="15" t="str">
        <f t="shared" si="13"/>
        <v>PENDING RESEARCH</v>
      </c>
      <c r="AD592" s="15" t="str">
        <f t="shared" si="14"/>
        <v>Electropolished Pipes Manufacturer in Sagar</v>
      </c>
      <c r="AE592" s="15" t="str">
        <f t="shared" si="15"/>
        <v>Manufacturing Electropolished SS Tube for Sagar: The Standards We Build To</v>
      </c>
      <c r="AF592" s="15" t="str">
        <f t="shared" si="16"/>
        <v>Electropolished Pipe Supply Into Sagar - Certification &amp; Transit</v>
      </c>
      <c r="AG592" s="15" t="str">
        <f t="shared" si="17"/>
        <v>Electropolished Pipes Wholesaler in Sagar - Project Quantities &amp; Terms</v>
      </c>
      <c r="AH592" s="15" t="str">
        <f t="shared" si="18"/>
        <v>electropolished pipes manufacturer in Sagar, electropolished pipes supplier in Sagar, electropolished pipes wholesaler in Sagar, electropolished tube manufacturer Sagar, EP pipe supplier Sagar, sanitary tube supplier Sagar, ASME BPE tubing Sagar, ASTM A270 tube Sagar, SS 316L electropolished pipe Sagar</v>
      </c>
      <c r="AI592" s="15" t="str">
        <f t="shared" si="19"/>
        <v>Electropolished Pipes Manufacturer &amp; Supplier in Sagar</v>
      </c>
      <c r="AJ592" s="15" t="str">
        <f t="shared" si="20"/>
        <v>EP-finished SS 304/316L pipes and tubes for VERIFY plants in Sagar. ASME BPE SF1-SF4, Ra from 0.25 um, EN 10204 3.1 certificate with every lot.</v>
      </c>
      <c r="AK592" s="15" t="str">
        <f t="shared" si="21"/>
        <v>Electropolished stainless steel pipes supplied by Sakshi Forge to VERIFY plants at MPIDC Industrial Area, Sagar</v>
      </c>
      <c r="AL592" s="15" t="str">
        <f t="shared" si="22"/>
        <v>Electropolished SS 316L tube stock for Sagar - Sakshi Forge</v>
      </c>
      <c r="AM592" s="15" t="str">
        <f t="shared" si="23"/>
        <v>Home &gt; Market Area &gt; India &gt; Madhya Pradesh &gt; Sagar</v>
      </c>
      <c r="AN592" s="15">
        <f t="shared" si="24"/>
        <v>1000</v>
      </c>
      <c r="AO592" s="15">
        <f t="shared" si="25"/>
        <v>8</v>
      </c>
      <c r="AP592" s="15">
        <f t="shared" si="26"/>
        <v>8</v>
      </c>
      <c r="AQ592" s="15">
        <f t="shared" si="27"/>
        <v>10</v>
      </c>
      <c r="AR592" s="31"/>
      <c r="AS592" s="31"/>
      <c r="AT592" s="35" t="s">
        <v>222</v>
      </c>
      <c r="AU592" s="35"/>
    </row>
    <row r="593" ht="15.75" customHeight="1">
      <c r="A593" s="15" t="s">
        <v>4333</v>
      </c>
      <c r="B593" s="15" t="s">
        <v>60</v>
      </c>
      <c r="C593" s="15" t="s">
        <v>85</v>
      </c>
      <c r="D593" s="15" t="s">
        <v>4334</v>
      </c>
      <c r="E593" s="15" t="s">
        <v>4334</v>
      </c>
      <c r="F593" s="65" t="s">
        <v>788</v>
      </c>
      <c r="G593" s="66" t="s">
        <v>98</v>
      </c>
      <c r="H593" s="18" t="s">
        <v>4336</v>
      </c>
      <c r="I593" s="18" t="s">
        <v>8398</v>
      </c>
      <c r="J593" s="18" t="s">
        <v>98</v>
      </c>
      <c r="K593" s="18" t="s">
        <v>98</v>
      </c>
      <c r="L593" s="18" t="s">
        <v>98</v>
      </c>
      <c r="M593" s="18" t="s">
        <v>98</v>
      </c>
      <c r="N593" s="18" t="s">
        <v>98</v>
      </c>
      <c r="O593" s="18" t="s">
        <v>98</v>
      </c>
      <c r="P593" s="15" t="str">
        <f t="shared" si="1"/>
        <v>VERIFY</v>
      </c>
      <c r="Q593" s="15">
        <f t="shared" si="2"/>
        <v>6</v>
      </c>
      <c r="R593" s="15">
        <f t="shared" si="3"/>
        <v>2</v>
      </c>
      <c r="S593" s="15">
        <f t="shared" si="4"/>
        <v>5</v>
      </c>
      <c r="T593" s="15" t="str">
        <f t="shared" si="5"/>
        <v>B-2</v>
      </c>
      <c r="U593" s="15" t="str">
        <f t="shared" si="6"/>
        <v>T6-M2-H5-FB-2-VERIFY</v>
      </c>
      <c r="V593" s="15">
        <f t="shared" si="7"/>
        <v>0</v>
      </c>
      <c r="W593" s="31"/>
      <c r="X593" s="15" t="str">
        <f t="shared" si="8"/>
        <v>saharanpur</v>
      </c>
      <c r="Y593" s="32" t="str">
        <f t="shared" si="9"/>
        <v>https://steelmanufacturer.in/market-area/electropolished-pipes-manufacturer-in-saharanpur/</v>
      </c>
      <c r="Z593" s="15" t="str">
        <f t="shared" si="10"/>
        <v>Electropolished Pipes Manufacturer in Saharanpur</v>
      </c>
      <c r="AA593" s="15" t="str">
        <f t="shared" si="11"/>
        <v>OK (48)</v>
      </c>
      <c r="AB593" s="15" t="str">
        <f t="shared" si="12"/>
        <v>Electropolished tube supply to UPSIDA Industrial Area, Saharanpur. Ra from 0.25 um, SF4 finish, mill test certificate with every lot.</v>
      </c>
      <c r="AC593" s="15" t="str">
        <f t="shared" si="13"/>
        <v>PENDING RESEARCH</v>
      </c>
      <c r="AD593" s="15" t="str">
        <f t="shared" si="14"/>
        <v>Electropolished Pipes Manufacturer in Saharanpur</v>
      </c>
      <c r="AE593" s="15" t="str">
        <f t="shared" si="15"/>
        <v>Electropolished Tube Manufacturing Capability Serving Saharanpur</v>
      </c>
      <c r="AF593" s="15" t="str">
        <f t="shared" si="16"/>
        <v>Electropolished Pipes Supplier in Saharanpur - From Order to Delivery</v>
      </c>
      <c r="AG593" s="15" t="str">
        <f t="shared" si="17"/>
        <v>Stockist &amp; Wholesale Supply of Electropolished Pipes in Saharanpur</v>
      </c>
      <c r="AH593" s="15" t="str">
        <f t="shared" si="18"/>
        <v>electropolished pipes manufacturer in Saharanpur, electropolished pipes supplier in Saharanpur, electropolished pipes wholesaler in Saharanpur, electropolished tube manufacturer Saharanpur, EP pipe supplier Saharanpur, sanitary tube supplier Saharanpur, ASME BPE tubing Saharanpur, ASTM A270 tube Saharanpur, SS 316L electropolished pipe Saharanpur</v>
      </c>
      <c r="AI593" s="15" t="str">
        <f t="shared" si="19"/>
        <v>Electropolished Pipes Manufacturer &amp; Supplier in Saharanpur</v>
      </c>
      <c r="AJ593" s="15" t="str">
        <f t="shared" si="20"/>
        <v>EP-finished SS 304/316L pipes and tubes for VERIFY plants in Saharanpur. ASME BPE SF1-SF4, Ra from 0.25 um, EN 10204 3.1 certificate with every lot.</v>
      </c>
      <c r="AK593" s="15" t="str">
        <f t="shared" si="21"/>
        <v>Electropolished stainless steel pipes supplied by Sakshi Forge to VERIFY plants at UPSIDA Industrial Area, Saharanpur</v>
      </c>
      <c r="AL593" s="15" t="str">
        <f t="shared" si="22"/>
        <v>Electropolished SS 316L tube stock for Saharanpur - Sakshi Forge</v>
      </c>
      <c r="AM593" s="15" t="str">
        <f t="shared" si="23"/>
        <v>Home &gt; Market Area &gt; India &gt; Uttar Pradesh &gt; Saharanpur</v>
      </c>
      <c r="AN593" s="15">
        <f t="shared" si="24"/>
        <v>1000</v>
      </c>
      <c r="AO593" s="15">
        <f t="shared" si="25"/>
        <v>8</v>
      </c>
      <c r="AP593" s="15">
        <f t="shared" si="26"/>
        <v>8</v>
      </c>
      <c r="AQ593" s="15">
        <f t="shared" si="27"/>
        <v>10</v>
      </c>
      <c r="AR593" s="31"/>
      <c r="AS593" s="31"/>
      <c r="AT593" s="35" t="s">
        <v>222</v>
      </c>
      <c r="AU593" s="35"/>
    </row>
    <row r="594" ht="15.75" customHeight="1">
      <c r="A594" s="15" t="s">
        <v>4339</v>
      </c>
      <c r="B594" s="15" t="s">
        <v>60</v>
      </c>
      <c r="C594" s="15" t="s">
        <v>878</v>
      </c>
      <c r="D594" s="15" t="s">
        <v>4343</v>
      </c>
      <c r="E594" s="15" t="s">
        <v>4343</v>
      </c>
      <c r="F594" s="65" t="s">
        <v>788</v>
      </c>
      <c r="G594" s="66" t="s">
        <v>98</v>
      </c>
      <c r="H594" s="18" t="s">
        <v>4346</v>
      </c>
      <c r="I594" s="18" t="s">
        <v>8415</v>
      </c>
      <c r="J594" s="18" t="s">
        <v>98</v>
      </c>
      <c r="K594" s="18" t="s">
        <v>98</v>
      </c>
      <c r="L594" s="18" t="s">
        <v>98</v>
      </c>
      <c r="M594" s="18" t="s">
        <v>98</v>
      </c>
      <c r="N594" s="18" t="s">
        <v>98</v>
      </c>
      <c r="O594" s="18" t="s">
        <v>98</v>
      </c>
      <c r="P594" s="15" t="str">
        <f t="shared" si="1"/>
        <v>VERIFY</v>
      </c>
      <c r="Q594" s="15">
        <f t="shared" si="2"/>
        <v>7</v>
      </c>
      <c r="R594" s="15">
        <f t="shared" si="3"/>
        <v>3</v>
      </c>
      <c r="S594" s="15">
        <f t="shared" si="4"/>
        <v>1</v>
      </c>
      <c r="T594" s="15" t="str">
        <f t="shared" si="5"/>
        <v>B-3</v>
      </c>
      <c r="U594" s="15" t="str">
        <f t="shared" si="6"/>
        <v>T7-M3-H1-FB-3-VERIFY</v>
      </c>
      <c r="V594" s="15">
        <f t="shared" si="7"/>
        <v>0</v>
      </c>
      <c r="W594" s="31"/>
      <c r="X594" s="15" t="str">
        <f t="shared" si="8"/>
        <v>sahibganj</v>
      </c>
      <c r="Y594" s="32" t="str">
        <f t="shared" si="9"/>
        <v>https://steelmanufacturer.in/market-area/electropolished-pipes-manufacturer-in-sahibganj/</v>
      </c>
      <c r="Z594" s="15" t="str">
        <f t="shared" si="10"/>
        <v>Electropolished Pipes Manufacturer in Sahibganj</v>
      </c>
      <c r="AA594" s="15" t="str">
        <f t="shared" si="11"/>
        <v>OK (47)</v>
      </c>
      <c r="AB594" s="15" t="str">
        <f t="shared" si="12"/>
        <v>EP stainless tube for VERIFY lines in Sahibganj. VERIFY. ASTM A270 S2, PMI tested, EN 10204 3.1.</v>
      </c>
      <c r="AC594" s="15" t="str">
        <f t="shared" si="13"/>
        <v>PENDING RESEARCH</v>
      </c>
      <c r="AD594" s="15" t="str">
        <f t="shared" si="14"/>
        <v>Electropolished Pipes Manufacturer in Sahibganj</v>
      </c>
      <c r="AE594" s="15" t="str">
        <f t="shared" si="15"/>
        <v>Electropolished Pipe &amp; Tube Manufacturing for Sahibganj - Grades, Finishes &amp; Certification</v>
      </c>
      <c r="AF594" s="15" t="str">
        <f t="shared" si="16"/>
        <v>Electropolished Pipes Supplier in Sahibganj - Stock Sizes, Lead Time &amp; Delivery</v>
      </c>
      <c r="AG594" s="15" t="str">
        <f t="shared" si="17"/>
        <v>Electropolished Pipes Wholesaler &amp; Stockist in Sahibganj - Bulk &amp; Project Pricing</v>
      </c>
      <c r="AH594" s="15" t="str">
        <f t="shared" si="18"/>
        <v>electropolished pipes manufacturer in Sahibganj, electropolished pipes supplier in Sahibganj, electropolished pipes wholesaler in Sahibganj, electropolished tube manufacturer Sahibganj, EP pipe supplier Sahibganj, sanitary tube supplier Sahibganj, ASME BPE tubing Sahibganj, ASTM A270 tube Sahibganj, SS 316L electropolished pipe Sahibganj</v>
      </c>
      <c r="AI594" s="15" t="str">
        <f t="shared" si="19"/>
        <v>Electropolished Pipes Manufacturer &amp; Supplier in Sahibganj</v>
      </c>
      <c r="AJ594" s="15" t="str">
        <f t="shared" si="20"/>
        <v>EP-finished SS 304/316L pipes and tubes for VERIFY plants in Sahibganj. ASME BPE SF1-SF4, Ra from 0.25 um, EN 10204 3.1 certificate with every lot.</v>
      </c>
      <c r="AK594" s="15" t="str">
        <f t="shared" si="21"/>
        <v>Electropolished stainless steel pipes supplied by Sakshi Forge to VERIFY plants at JIADA Industrial Area, Sahibganj</v>
      </c>
      <c r="AL594" s="15" t="str">
        <f t="shared" si="22"/>
        <v>Electropolished SS 316L tube stock for Sahibganj - Sakshi Forge</v>
      </c>
      <c r="AM594" s="15" t="str">
        <f t="shared" si="23"/>
        <v>Home &gt; Market Area &gt; India &gt; Jharkhand &gt; Sahibganj</v>
      </c>
      <c r="AN594" s="15">
        <f t="shared" si="24"/>
        <v>1000</v>
      </c>
      <c r="AO594" s="15">
        <f t="shared" si="25"/>
        <v>8</v>
      </c>
      <c r="AP594" s="15">
        <f t="shared" si="26"/>
        <v>8</v>
      </c>
      <c r="AQ594" s="15">
        <f t="shared" si="27"/>
        <v>10</v>
      </c>
      <c r="AR594" s="31"/>
      <c r="AS594" s="31"/>
      <c r="AT594" s="35" t="s">
        <v>222</v>
      </c>
      <c r="AU594" s="35"/>
    </row>
    <row r="595" ht="15.75" customHeight="1">
      <c r="A595" s="15" t="s">
        <v>4347</v>
      </c>
      <c r="B595" s="15" t="s">
        <v>60</v>
      </c>
      <c r="C595" s="15" t="s">
        <v>1780</v>
      </c>
      <c r="D595" s="15" t="s">
        <v>4348</v>
      </c>
      <c r="E595" s="15" t="s">
        <v>4348</v>
      </c>
      <c r="F595" s="65" t="s">
        <v>788</v>
      </c>
      <c r="G595" s="66" t="s">
        <v>98</v>
      </c>
      <c r="H595" s="18" t="s">
        <v>4350</v>
      </c>
      <c r="I595" s="18" t="s">
        <v>8401</v>
      </c>
      <c r="J595" s="18" t="s">
        <v>98</v>
      </c>
      <c r="K595" s="18" t="s">
        <v>98</v>
      </c>
      <c r="L595" s="18" t="s">
        <v>98</v>
      </c>
      <c r="M595" s="18" t="s">
        <v>98</v>
      </c>
      <c r="N595" s="18" t="s">
        <v>98</v>
      </c>
      <c r="O595" s="18" t="s">
        <v>98</v>
      </c>
      <c r="P595" s="15" t="str">
        <f t="shared" si="1"/>
        <v>VERIFY</v>
      </c>
      <c r="Q595" s="15">
        <f t="shared" si="2"/>
        <v>8</v>
      </c>
      <c r="R595" s="15">
        <f t="shared" si="3"/>
        <v>4</v>
      </c>
      <c r="S595" s="15">
        <f t="shared" si="4"/>
        <v>2</v>
      </c>
      <c r="T595" s="15" t="str">
        <f t="shared" si="5"/>
        <v>B-4</v>
      </c>
      <c r="U595" s="15" t="str">
        <f t="shared" si="6"/>
        <v>T8-M4-H2-FB-4-VERIFY</v>
      </c>
      <c r="V595" s="15">
        <f t="shared" si="7"/>
        <v>0</v>
      </c>
      <c r="W595" s="31"/>
      <c r="X595" s="15" t="str">
        <f t="shared" si="8"/>
        <v>samba</v>
      </c>
      <c r="Y595" s="32" t="str">
        <f t="shared" si="9"/>
        <v>https://steelmanufacturer.in/market-area/electropolished-pipes-manufacturer-in-samba/</v>
      </c>
      <c r="Z595" s="15" t="str">
        <f t="shared" si="10"/>
        <v>Electropolished Pipes Manufacturer in Samba - EP Tube Stockist</v>
      </c>
      <c r="AA595" s="15" t="str">
        <f t="shared" si="11"/>
        <v>OK (62)</v>
      </c>
      <c r="AB595" s="15" t="str">
        <f t="shared" si="12"/>
        <v>Sanitary electropolished pipes in Samba for VERIFY plants. ASME BPE SF1-SF4, orbital-weld ready, 3.1 MTC. Mumbai-made.</v>
      </c>
      <c r="AC595" s="15" t="str">
        <f t="shared" si="13"/>
        <v>PENDING RESEARCH</v>
      </c>
      <c r="AD595" s="15" t="str">
        <f t="shared" si="14"/>
        <v>Electropolished Pipes Manufacturer in Samba</v>
      </c>
      <c r="AE595" s="15" t="str">
        <f t="shared" si="15"/>
        <v>How We Manufacture Electropolished Tube for Samba Plants</v>
      </c>
      <c r="AF595" s="15" t="str">
        <f t="shared" si="16"/>
        <v>Supplying Electropolished Pipes in Samba: Availability, Sizes &amp; Dispatch</v>
      </c>
      <c r="AG595" s="15" t="str">
        <f t="shared" si="17"/>
        <v>Wholesale Electropolished Pipe Supply for Samba Projects</v>
      </c>
      <c r="AH595" s="15" t="str">
        <f t="shared" si="18"/>
        <v>electropolished pipes manufacturer in Samba, electropolished pipes supplier in Samba, electropolished pipes wholesaler in Samba, electropolished tube manufacturer Samba, EP pipe supplier Samba, sanitary tube supplier Samba, ASME BPE tubing Samba, ASTM A270 tube Samba, SS 316L electropolished pipe Samba</v>
      </c>
      <c r="AI595" s="15" t="str">
        <f t="shared" si="19"/>
        <v>Electropolished Pipes Manufacturer &amp; Supplier in Samba</v>
      </c>
      <c r="AJ595" s="15" t="str">
        <f t="shared" si="20"/>
        <v>EP-finished SS 304/316L pipes and tubes for VERIFY plants in Samba. ASME BPE SF1-SF4, Ra from 0.25 um, EN 10204 3.1 certificate with every lot.</v>
      </c>
      <c r="AK595" s="15" t="str">
        <f t="shared" si="21"/>
        <v>Electropolished stainless steel pipes supplied by Sakshi Forge to VERIFY plants at SIDCO Industrial Area, Samba</v>
      </c>
      <c r="AL595" s="15" t="str">
        <f t="shared" si="22"/>
        <v>Electropolished SS 316L tube stock for Samba - Sakshi Forge</v>
      </c>
      <c r="AM595" s="15" t="str">
        <f t="shared" si="23"/>
        <v>Home &gt; Market Area &gt; India &gt; Jammu &amp; Kashmir &gt; Samba</v>
      </c>
      <c r="AN595" s="15">
        <f t="shared" si="24"/>
        <v>1000</v>
      </c>
      <c r="AO595" s="15">
        <f t="shared" si="25"/>
        <v>8</v>
      </c>
      <c r="AP595" s="15">
        <f t="shared" si="26"/>
        <v>8</v>
      </c>
      <c r="AQ595" s="15">
        <f t="shared" si="27"/>
        <v>10</v>
      </c>
      <c r="AR595" s="31"/>
      <c r="AS595" s="31"/>
      <c r="AT595" s="35" t="s">
        <v>222</v>
      </c>
      <c r="AU595" s="35"/>
    </row>
    <row r="596" ht="15.75" customHeight="1">
      <c r="A596" s="15" t="s">
        <v>4351</v>
      </c>
      <c r="B596" s="15" t="s">
        <v>60</v>
      </c>
      <c r="C596" s="15" t="s">
        <v>424</v>
      </c>
      <c r="D596" s="15" t="s">
        <v>4352</v>
      </c>
      <c r="E596" s="15" t="s">
        <v>4352</v>
      </c>
      <c r="F596" s="65" t="s">
        <v>788</v>
      </c>
      <c r="G596" s="66" t="s">
        <v>98</v>
      </c>
      <c r="H596" s="18" t="s">
        <v>4354</v>
      </c>
      <c r="I596" s="18" t="s">
        <v>8406</v>
      </c>
      <c r="J596" s="18" t="s">
        <v>98</v>
      </c>
      <c r="K596" s="18" t="s">
        <v>98</v>
      </c>
      <c r="L596" s="18" t="s">
        <v>98</v>
      </c>
      <c r="M596" s="18" t="s">
        <v>98</v>
      </c>
      <c r="N596" s="18" t="s">
        <v>98</v>
      </c>
      <c r="O596" s="18" t="s">
        <v>98</v>
      </c>
      <c r="P596" s="15" t="str">
        <f t="shared" si="1"/>
        <v>VERIFY</v>
      </c>
      <c r="Q596" s="15">
        <f t="shared" si="2"/>
        <v>1</v>
      </c>
      <c r="R596" s="15">
        <f t="shared" si="3"/>
        <v>5</v>
      </c>
      <c r="S596" s="15">
        <f t="shared" si="4"/>
        <v>3</v>
      </c>
      <c r="T596" s="15" t="str">
        <f t="shared" si="5"/>
        <v>B-5</v>
      </c>
      <c r="U596" s="15" t="str">
        <f t="shared" si="6"/>
        <v>T1-M5-H3-FB-5-VERIFY</v>
      </c>
      <c r="V596" s="15">
        <f t="shared" si="7"/>
        <v>0</v>
      </c>
      <c r="W596" s="31"/>
      <c r="X596" s="15" t="str">
        <f t="shared" si="8"/>
        <v>sambalpur</v>
      </c>
      <c r="Y596" s="32" t="str">
        <f t="shared" si="9"/>
        <v>https://steelmanufacturer.in/market-area/electropolished-pipes-manufacturer-in-sambalpur/</v>
      </c>
      <c r="Z596" s="15" t="str">
        <f t="shared" si="10"/>
        <v>Electropolished Pipes Manufacturer in Sambalpur | Sakshi Forge</v>
      </c>
      <c r="AA596" s="15" t="str">
        <f t="shared" si="11"/>
        <v>OK (62)</v>
      </c>
      <c r="AB596" s="15" t="str">
        <f t="shared" si="12"/>
        <v>Manufacturer of electropolished SS 316L tube serving Sambalpur. VERIFY. Ra 0.25-0.5 um, EN 10204 3.1 MTC.</v>
      </c>
      <c r="AC596" s="15" t="str">
        <f t="shared" si="13"/>
        <v>PENDING RESEARCH</v>
      </c>
      <c r="AD596" s="15" t="str">
        <f t="shared" si="14"/>
        <v>Electropolished Pipes Manufacturer in Sambalpur</v>
      </c>
      <c r="AE596" s="15" t="str">
        <f t="shared" si="15"/>
        <v>Electropolished Pipes Manufacturer in Sambalpur - Our Process &amp; Capability</v>
      </c>
      <c r="AF596" s="15" t="str">
        <f t="shared" si="16"/>
        <v>Electropolished Pipes Supplier in Sambalpur - What We Hold in Stock</v>
      </c>
      <c r="AG596" s="15" t="str">
        <f t="shared" si="17"/>
        <v>Bulk &amp; Wholesale Electropolished Pipe Rates for Sambalpur Buyers</v>
      </c>
      <c r="AH596" s="15" t="str">
        <f t="shared" si="18"/>
        <v>electropolished pipes manufacturer in Sambalpur, electropolished pipes supplier in Sambalpur, electropolished pipes wholesaler in Sambalpur, electropolished tube manufacturer Sambalpur, EP pipe supplier Sambalpur, sanitary tube supplier Sambalpur, ASME BPE tubing Sambalpur, ASTM A270 tube Sambalpur, SS 316L electropolished pipe Sambalpur</v>
      </c>
      <c r="AI596" s="15" t="str">
        <f t="shared" si="19"/>
        <v>Electropolished Pipes Manufacturer &amp; Supplier in Sambalpur</v>
      </c>
      <c r="AJ596" s="15" t="str">
        <f t="shared" si="20"/>
        <v>EP-finished SS 304/316L pipes and tubes for VERIFY plants in Sambalpur. ASME BPE SF1-SF4, Ra from 0.25 um, EN 10204 3.1 certificate with every lot.</v>
      </c>
      <c r="AK596" s="15" t="str">
        <f t="shared" si="21"/>
        <v>Electropolished stainless steel pipes supplied by Sakshi Forge to VERIFY plants at IDCO Industrial Area, Sambalpur</v>
      </c>
      <c r="AL596" s="15" t="str">
        <f t="shared" si="22"/>
        <v>Electropolished SS 316L tube stock for Sambalpur - Sakshi Forge</v>
      </c>
      <c r="AM596" s="15" t="str">
        <f t="shared" si="23"/>
        <v>Home &gt; Market Area &gt; India &gt; Odisha &gt; Sambalpur</v>
      </c>
      <c r="AN596" s="15">
        <f t="shared" si="24"/>
        <v>1000</v>
      </c>
      <c r="AO596" s="15">
        <f t="shared" si="25"/>
        <v>8</v>
      </c>
      <c r="AP596" s="15">
        <f t="shared" si="26"/>
        <v>8</v>
      </c>
      <c r="AQ596" s="15">
        <f t="shared" si="27"/>
        <v>10</v>
      </c>
      <c r="AR596" s="31"/>
      <c r="AS596" s="31"/>
      <c r="AT596" s="35" t="s">
        <v>222</v>
      </c>
      <c r="AU596" s="35"/>
    </row>
    <row r="597" ht="15.75" customHeight="1">
      <c r="A597" s="15" t="s">
        <v>4355</v>
      </c>
      <c r="B597" s="15" t="s">
        <v>60</v>
      </c>
      <c r="C597" s="15" t="s">
        <v>354</v>
      </c>
      <c r="D597" s="15" t="s">
        <v>4356</v>
      </c>
      <c r="E597" s="15" t="s">
        <v>4356</v>
      </c>
      <c r="F597" s="65" t="s">
        <v>788</v>
      </c>
      <c r="G597" s="66" t="s">
        <v>98</v>
      </c>
      <c r="H597" s="18" t="s">
        <v>4358</v>
      </c>
      <c r="I597" s="18" t="s">
        <v>8408</v>
      </c>
      <c r="J597" s="18" t="s">
        <v>98</v>
      </c>
      <c r="K597" s="18" t="s">
        <v>98</v>
      </c>
      <c r="L597" s="18" t="s">
        <v>98</v>
      </c>
      <c r="M597" s="18" t="s">
        <v>98</v>
      </c>
      <c r="N597" s="18" t="s">
        <v>98</v>
      </c>
      <c r="O597" s="18" t="s">
        <v>98</v>
      </c>
      <c r="P597" s="15" t="str">
        <f t="shared" si="1"/>
        <v>VERIFY</v>
      </c>
      <c r="Q597" s="15">
        <f t="shared" si="2"/>
        <v>2</v>
      </c>
      <c r="R597" s="15">
        <f t="shared" si="3"/>
        <v>6</v>
      </c>
      <c r="S597" s="15">
        <f t="shared" si="4"/>
        <v>4</v>
      </c>
      <c r="T597" s="15" t="str">
        <f t="shared" si="5"/>
        <v>B-6</v>
      </c>
      <c r="U597" s="15" t="str">
        <f t="shared" si="6"/>
        <v>T2-M6-H4-FB-6-VERIFY</v>
      </c>
      <c r="V597" s="15">
        <f t="shared" si="7"/>
        <v>0</v>
      </c>
      <c r="W597" s="31"/>
      <c r="X597" s="15" t="str">
        <f t="shared" si="8"/>
        <v>sangrur</v>
      </c>
      <c r="Y597" s="32" t="str">
        <f t="shared" si="9"/>
        <v>https://steelmanufacturer.in/market-area/electropolished-pipes-manufacturer-in-sangrur/</v>
      </c>
      <c r="Z597" s="15" t="str">
        <f t="shared" si="10"/>
        <v>Electropolished Pipes Manufacturer in Sangrur</v>
      </c>
      <c r="AA597" s="15" t="str">
        <f t="shared" si="11"/>
        <v>OK (45)</v>
      </c>
      <c r="AB597" s="15" t="str">
        <f t="shared" si="12"/>
        <v>EP tube and pipe for VERIFY plants around PSIEC Industrial Area, Sangrur. Made at our Mumbai works to ASTM A270 and ASME BPE SF1-SF4, with 3.1 MTC.</v>
      </c>
      <c r="AC597" s="15" t="str">
        <f t="shared" si="13"/>
        <v>PENDING RESEARCH</v>
      </c>
      <c r="AD597" s="15" t="str">
        <f t="shared" si="14"/>
        <v>Electropolished Pipes Manufacturer in Sangrur</v>
      </c>
      <c r="AE597" s="15" t="str">
        <f t="shared" si="15"/>
        <v>Manufacturing Electropolished SS Tube for Sangrur: The Standards We Build To</v>
      </c>
      <c r="AF597" s="15" t="str">
        <f t="shared" si="16"/>
        <v>Electropolished Pipe Supply Into Sangrur - Certification &amp; Transit</v>
      </c>
      <c r="AG597" s="15" t="str">
        <f t="shared" si="17"/>
        <v>Electropolished Pipes Wholesaler in Sangrur - Project Quantities &amp; Terms</v>
      </c>
      <c r="AH597" s="15" t="str">
        <f t="shared" si="18"/>
        <v>electropolished pipes manufacturer in Sangrur, electropolished pipes supplier in Sangrur, electropolished pipes wholesaler in Sangrur, electropolished tube manufacturer Sangrur, EP pipe supplier Sangrur, sanitary tube supplier Sangrur, ASME BPE tubing Sangrur, ASTM A270 tube Sangrur, SS 316L electropolished pipe Sangrur</v>
      </c>
      <c r="AI597" s="15" t="str">
        <f t="shared" si="19"/>
        <v>Electropolished Pipes Manufacturer &amp; Supplier in Sangrur</v>
      </c>
      <c r="AJ597" s="15" t="str">
        <f t="shared" si="20"/>
        <v>EP-finished SS 304/316L pipes and tubes for VERIFY plants in Sangrur. ASME BPE SF1-SF4, Ra from 0.25 um, EN 10204 3.1 certificate with every lot.</v>
      </c>
      <c r="AK597" s="15" t="str">
        <f t="shared" si="21"/>
        <v>Electropolished stainless steel pipes supplied by Sakshi Forge to VERIFY plants at PSIEC Industrial Area, Sangrur</v>
      </c>
      <c r="AL597" s="15" t="str">
        <f t="shared" si="22"/>
        <v>Electropolished SS 316L tube stock for Sangrur - Sakshi Forge</v>
      </c>
      <c r="AM597" s="15" t="str">
        <f t="shared" si="23"/>
        <v>Home &gt; Market Area &gt; India &gt; Punjab &gt; Sangrur</v>
      </c>
      <c r="AN597" s="15">
        <f t="shared" si="24"/>
        <v>1000</v>
      </c>
      <c r="AO597" s="15">
        <f t="shared" si="25"/>
        <v>8</v>
      </c>
      <c r="AP597" s="15">
        <f t="shared" si="26"/>
        <v>8</v>
      </c>
      <c r="AQ597" s="15">
        <f t="shared" si="27"/>
        <v>10</v>
      </c>
      <c r="AR597" s="31"/>
      <c r="AS597" s="31"/>
      <c r="AT597" s="35" t="s">
        <v>222</v>
      </c>
      <c r="AU597" s="35"/>
    </row>
    <row r="598" ht="15.75" customHeight="1">
      <c r="A598" s="15" t="s">
        <v>4359</v>
      </c>
      <c r="B598" s="15" t="s">
        <v>60</v>
      </c>
      <c r="C598" s="15" t="s">
        <v>2391</v>
      </c>
      <c r="D598" s="15" t="s">
        <v>4360</v>
      </c>
      <c r="E598" s="15" t="s">
        <v>4360</v>
      </c>
      <c r="F598" s="65" t="s">
        <v>788</v>
      </c>
      <c r="G598" s="66" t="s">
        <v>98</v>
      </c>
      <c r="H598" s="18" t="s">
        <v>4362</v>
      </c>
      <c r="I598" s="18" t="s">
        <v>8400</v>
      </c>
      <c r="J598" s="18" t="s">
        <v>98</v>
      </c>
      <c r="K598" s="18" t="s">
        <v>98</v>
      </c>
      <c r="L598" s="18" t="s">
        <v>98</v>
      </c>
      <c r="M598" s="18" t="s">
        <v>98</v>
      </c>
      <c r="N598" s="18" t="s">
        <v>98</v>
      </c>
      <c r="O598" s="18" t="s">
        <v>98</v>
      </c>
      <c r="P598" s="15" t="str">
        <f t="shared" si="1"/>
        <v>VERIFY</v>
      </c>
      <c r="Q598" s="15">
        <f t="shared" si="2"/>
        <v>3</v>
      </c>
      <c r="R598" s="15">
        <f t="shared" si="3"/>
        <v>7</v>
      </c>
      <c r="S598" s="15">
        <f t="shared" si="4"/>
        <v>5</v>
      </c>
      <c r="T598" s="15" t="str">
        <f t="shared" si="5"/>
        <v>B-1</v>
      </c>
      <c r="U598" s="15" t="str">
        <f t="shared" si="6"/>
        <v>T3-M7-H5-FB-1-VERIFY</v>
      </c>
      <c r="V598" s="15">
        <f t="shared" si="7"/>
        <v>0</v>
      </c>
      <c r="W598" s="31"/>
      <c r="X598" s="15" t="str">
        <f t="shared" si="8"/>
        <v>sanguem</v>
      </c>
      <c r="Y598" s="32" t="str">
        <f t="shared" si="9"/>
        <v>https://steelmanufacturer.in/market-area/electropolished-pipes-manufacturer-in-sanguem/</v>
      </c>
      <c r="Z598" s="15" t="str">
        <f t="shared" si="10"/>
        <v>Electropolished Pipes Manufacturer in Sanguem | EP Tube Supplier</v>
      </c>
      <c r="AA598" s="15" t="str">
        <f t="shared" si="11"/>
        <v>OK (64)</v>
      </c>
      <c r="AB598" s="15" t="str">
        <f t="shared" si="12"/>
        <v>Electropolished pipes in Sanguem: 304, 304L, 316 and 316L in SF1-SF4. VERIFY. Mill certified.</v>
      </c>
      <c r="AC598" s="15" t="str">
        <f t="shared" si="13"/>
        <v>PENDING RESEARCH</v>
      </c>
      <c r="AD598" s="15" t="str">
        <f t="shared" si="14"/>
        <v>Electropolished Pipes Manufacturer in Sanguem</v>
      </c>
      <c r="AE598" s="15" t="str">
        <f t="shared" si="15"/>
        <v>Electropolished Tube Manufacturing Capability Serving Sanguem</v>
      </c>
      <c r="AF598" s="15" t="str">
        <f t="shared" si="16"/>
        <v>Electropolished Pipes Supplier in Sanguem - From Order to Delivery</v>
      </c>
      <c r="AG598" s="15" t="str">
        <f t="shared" si="17"/>
        <v>Stockist &amp; Wholesale Supply of Electropolished Pipes in Sanguem</v>
      </c>
      <c r="AH598" s="15" t="str">
        <f t="shared" si="18"/>
        <v>electropolished pipes manufacturer in Sanguem, electropolished pipes supplier in Sanguem, electropolished pipes wholesaler in Sanguem, electropolished tube manufacturer Sanguem, EP pipe supplier Sanguem, sanitary tube supplier Sanguem, ASME BPE tubing Sanguem, ASTM A270 tube Sanguem, SS 316L electropolished pipe Sanguem</v>
      </c>
      <c r="AI598" s="15" t="str">
        <f t="shared" si="19"/>
        <v>Electropolished Pipes Manufacturer &amp; Supplier in Sanguem</v>
      </c>
      <c r="AJ598" s="15" t="str">
        <f t="shared" si="20"/>
        <v>EP-finished SS 304/316L pipes and tubes for VERIFY plants in Sanguem. ASME BPE SF1-SF4, Ra from 0.25 um, EN 10204 3.1 certificate with every lot.</v>
      </c>
      <c r="AK598" s="15" t="str">
        <f t="shared" si="21"/>
        <v>Electropolished stainless steel pipes supplied by Sakshi Forge to VERIFY plants at GIDC Industrial Area, Sanguem</v>
      </c>
      <c r="AL598" s="15" t="str">
        <f t="shared" si="22"/>
        <v>Electropolished SS 316L tube stock for Sanguem - Sakshi Forge</v>
      </c>
      <c r="AM598" s="15" t="str">
        <f t="shared" si="23"/>
        <v>Home &gt; Market Area &gt; India &gt; Goa &gt; Sanguem</v>
      </c>
      <c r="AN598" s="15">
        <f t="shared" si="24"/>
        <v>1000</v>
      </c>
      <c r="AO598" s="15">
        <f t="shared" si="25"/>
        <v>8</v>
      </c>
      <c r="AP598" s="15">
        <f t="shared" si="26"/>
        <v>8</v>
      </c>
      <c r="AQ598" s="15">
        <f t="shared" si="27"/>
        <v>10</v>
      </c>
      <c r="AR598" s="31"/>
      <c r="AS598" s="31"/>
      <c r="AT598" s="35" t="s">
        <v>222</v>
      </c>
      <c r="AU598" s="35"/>
    </row>
    <row r="599" ht="15.75" customHeight="1">
      <c r="A599" s="15" t="s">
        <v>4363</v>
      </c>
      <c r="B599" s="15" t="s">
        <v>60</v>
      </c>
      <c r="C599" s="15" t="s">
        <v>1818</v>
      </c>
      <c r="D599" s="15" t="s">
        <v>4364</v>
      </c>
      <c r="E599" s="15" t="s">
        <v>4364</v>
      </c>
      <c r="F599" s="65" t="s">
        <v>788</v>
      </c>
      <c r="G599" s="66" t="s">
        <v>98</v>
      </c>
      <c r="H599" s="18" t="s">
        <v>4366</v>
      </c>
      <c r="I599" s="18" t="s">
        <v>8402</v>
      </c>
      <c r="J599" s="18" t="s">
        <v>98</v>
      </c>
      <c r="K599" s="18" t="s">
        <v>98</v>
      </c>
      <c r="L599" s="18" t="s">
        <v>98</v>
      </c>
      <c r="M599" s="18" t="s">
        <v>98</v>
      </c>
      <c r="N599" s="18" t="s">
        <v>98</v>
      </c>
      <c r="O599" s="18" t="s">
        <v>98</v>
      </c>
      <c r="P599" s="15" t="str">
        <f t="shared" si="1"/>
        <v>VERIFY</v>
      </c>
      <c r="Q599" s="15">
        <f t="shared" si="2"/>
        <v>4</v>
      </c>
      <c r="R599" s="15">
        <f t="shared" si="3"/>
        <v>1</v>
      </c>
      <c r="S599" s="15">
        <f t="shared" si="4"/>
        <v>1</v>
      </c>
      <c r="T599" s="15" t="str">
        <f t="shared" si="5"/>
        <v>B-2</v>
      </c>
      <c r="U599" s="15" t="str">
        <f t="shared" si="6"/>
        <v>T4-M1-H1-FB-2-VERIFY</v>
      </c>
      <c r="V599" s="15">
        <f t="shared" si="7"/>
        <v>0</v>
      </c>
      <c r="W599" s="31"/>
      <c r="X599" s="15" t="str">
        <f t="shared" si="8"/>
        <v>sasaram</v>
      </c>
      <c r="Y599" s="32" t="str">
        <f t="shared" si="9"/>
        <v>https://steelmanufacturer.in/market-area/electropolished-pipes-manufacturer-in-sasaram/</v>
      </c>
      <c r="Z599" s="15" t="str">
        <f t="shared" si="10"/>
        <v>Electropolished Pipes Manufacturer in Sasaram</v>
      </c>
      <c r="AA599" s="15" t="str">
        <f t="shared" si="11"/>
        <v>OK (45)</v>
      </c>
      <c r="AB599" s="15" t="str">
        <f t="shared" si="12"/>
        <v>EP-finished SS 304/316L pipes &amp; tubes for VERIFY plants in Sasaram. ASTM A270, ASME BPE SF1-SF4, EN 10204 3.1 MTC. PMI tested.</v>
      </c>
      <c r="AC599" s="15" t="str">
        <f t="shared" si="13"/>
        <v>PENDING RESEARCH</v>
      </c>
      <c r="AD599" s="15" t="str">
        <f t="shared" si="14"/>
        <v>Electropolished Pipes Manufacturer in Sasaram</v>
      </c>
      <c r="AE599" s="15" t="str">
        <f t="shared" si="15"/>
        <v>Electropolished Pipe &amp; Tube Manufacturing for Sasaram - Grades, Finishes &amp; Certification</v>
      </c>
      <c r="AF599" s="15" t="str">
        <f t="shared" si="16"/>
        <v>Electropolished Pipes Supplier in Sasaram - Stock Sizes, Lead Time &amp; Delivery</v>
      </c>
      <c r="AG599" s="15" t="str">
        <f t="shared" si="17"/>
        <v>Electropolished Pipes Wholesaler &amp; Stockist in Sasaram - Bulk &amp; Project Pricing</v>
      </c>
      <c r="AH599" s="15" t="str">
        <f t="shared" si="18"/>
        <v>electropolished pipes manufacturer in Sasaram, electropolished pipes supplier in Sasaram, electropolished pipes wholesaler in Sasaram, electropolished tube manufacturer Sasaram, EP pipe supplier Sasaram, sanitary tube supplier Sasaram, ASME BPE tubing Sasaram, ASTM A270 tube Sasaram, SS 316L electropolished pipe Sasaram</v>
      </c>
      <c r="AI599" s="15" t="str">
        <f t="shared" si="19"/>
        <v>Electropolished Pipes Manufacturer &amp; Supplier in Sasaram</v>
      </c>
      <c r="AJ599" s="15" t="str">
        <f t="shared" si="20"/>
        <v>EP-finished SS 304/316L pipes and tubes for VERIFY plants in Sasaram. ASME BPE SF1-SF4, Ra from 0.25 um, EN 10204 3.1 certificate with every lot.</v>
      </c>
      <c r="AK599" s="15" t="str">
        <f t="shared" si="21"/>
        <v>Electropolished stainless steel pipes supplied by Sakshi Forge to VERIFY plants at BIADA Industrial Area, Sasaram</v>
      </c>
      <c r="AL599" s="15" t="str">
        <f t="shared" si="22"/>
        <v>Electropolished SS 316L tube stock for Sasaram - Sakshi Forge</v>
      </c>
      <c r="AM599" s="15" t="str">
        <f t="shared" si="23"/>
        <v>Home &gt; Market Area &gt; India &gt; Bihar &gt; Sasaram</v>
      </c>
      <c r="AN599" s="15">
        <f t="shared" si="24"/>
        <v>1000</v>
      </c>
      <c r="AO599" s="15">
        <f t="shared" si="25"/>
        <v>8</v>
      </c>
      <c r="AP599" s="15">
        <f t="shared" si="26"/>
        <v>8</v>
      </c>
      <c r="AQ599" s="15">
        <f t="shared" si="27"/>
        <v>10</v>
      </c>
      <c r="AR599" s="31"/>
      <c r="AS599" s="31"/>
      <c r="AT599" s="35" t="s">
        <v>222</v>
      </c>
      <c r="AU599" s="35"/>
    </row>
    <row r="600" ht="15.75" customHeight="1">
      <c r="A600" s="15" t="s">
        <v>4368</v>
      </c>
      <c r="B600" s="15" t="s">
        <v>60</v>
      </c>
      <c r="C600" s="15" t="s">
        <v>842</v>
      </c>
      <c r="D600" s="15" t="s">
        <v>4371</v>
      </c>
      <c r="E600" s="15" t="s">
        <v>4371</v>
      </c>
      <c r="F600" s="65" t="s">
        <v>788</v>
      </c>
      <c r="G600" s="66" t="s">
        <v>98</v>
      </c>
      <c r="H600" s="18" t="s">
        <v>4376</v>
      </c>
      <c r="I600" s="18" t="s">
        <v>8413</v>
      </c>
      <c r="J600" s="18" t="s">
        <v>98</v>
      </c>
      <c r="K600" s="18" t="s">
        <v>98</v>
      </c>
      <c r="L600" s="18" t="s">
        <v>98</v>
      </c>
      <c r="M600" s="18" t="s">
        <v>98</v>
      </c>
      <c r="N600" s="18" t="s">
        <v>98</v>
      </c>
      <c r="O600" s="18" t="s">
        <v>98</v>
      </c>
      <c r="P600" s="15" t="str">
        <f t="shared" si="1"/>
        <v>VERIFY</v>
      </c>
      <c r="Q600" s="15">
        <f t="shared" si="2"/>
        <v>5</v>
      </c>
      <c r="R600" s="15">
        <f t="shared" si="3"/>
        <v>2</v>
      </c>
      <c r="S600" s="15">
        <f t="shared" si="4"/>
        <v>2</v>
      </c>
      <c r="T600" s="15" t="str">
        <f t="shared" si="5"/>
        <v>B-3</v>
      </c>
      <c r="U600" s="15" t="str">
        <f t="shared" si="6"/>
        <v>T5-M2-H2-FB-3-VERIFY</v>
      </c>
      <c r="V600" s="15">
        <f t="shared" si="7"/>
        <v>0</v>
      </c>
      <c r="W600" s="31"/>
      <c r="X600" s="15" t="str">
        <f t="shared" si="8"/>
        <v>satna</v>
      </c>
      <c r="Y600" s="32" t="str">
        <f t="shared" si="9"/>
        <v>https://steelmanufacturer.in/market-area/electropolished-pipes-manufacturer-in-satna/</v>
      </c>
      <c r="Z600" s="15" t="str">
        <f t="shared" si="10"/>
        <v>Electropolished Pipes Manufacturer in Satna</v>
      </c>
      <c r="AA600" s="15" t="str">
        <f t="shared" si="11"/>
        <v>OK (43)</v>
      </c>
      <c r="AB600" s="15" t="str">
        <f t="shared" si="12"/>
        <v>Electropolished tube supply to MPIDC Industrial Area, Satna. Ra from 0.25 um, SF4 finish, mill test certificate with every lot.</v>
      </c>
      <c r="AC600" s="15" t="str">
        <f t="shared" si="13"/>
        <v>PENDING RESEARCH</v>
      </c>
      <c r="AD600" s="15" t="str">
        <f t="shared" si="14"/>
        <v>Electropolished Pipes Manufacturer in Satna</v>
      </c>
      <c r="AE600" s="15" t="str">
        <f t="shared" si="15"/>
        <v>How We Manufacture Electropolished Tube for Satna Plants</v>
      </c>
      <c r="AF600" s="15" t="str">
        <f t="shared" si="16"/>
        <v>Supplying Electropolished Pipes in Satna: Availability, Sizes &amp; Dispatch</v>
      </c>
      <c r="AG600" s="15" t="str">
        <f t="shared" si="17"/>
        <v>Wholesale Electropolished Pipe Supply for Satna Projects</v>
      </c>
      <c r="AH600" s="15" t="str">
        <f t="shared" si="18"/>
        <v>electropolished pipes manufacturer in Satna, electropolished pipes supplier in Satna, electropolished pipes wholesaler in Satna, electropolished tube manufacturer Satna, EP pipe supplier Satna, sanitary tube supplier Satna, ASME BPE tubing Satna, ASTM A270 tube Satna, SS 316L electropolished pipe Satna</v>
      </c>
      <c r="AI600" s="15" t="str">
        <f t="shared" si="19"/>
        <v>Electropolished Pipes Manufacturer &amp; Supplier in Satna</v>
      </c>
      <c r="AJ600" s="15" t="str">
        <f t="shared" si="20"/>
        <v>EP-finished SS 304/316L pipes and tubes for VERIFY plants in Satna. ASME BPE SF1-SF4, Ra from 0.25 um, EN 10204 3.1 certificate with every lot.</v>
      </c>
      <c r="AK600" s="15" t="str">
        <f t="shared" si="21"/>
        <v>Electropolished stainless steel pipes supplied by Sakshi Forge to VERIFY plants at MPIDC Industrial Area, Satna</v>
      </c>
      <c r="AL600" s="15" t="str">
        <f t="shared" si="22"/>
        <v>Electropolished SS 316L tube stock for Satna - Sakshi Forge</v>
      </c>
      <c r="AM600" s="15" t="str">
        <f t="shared" si="23"/>
        <v>Home &gt; Market Area &gt; India &gt; Madhya Pradesh &gt; Satna</v>
      </c>
      <c r="AN600" s="15">
        <f t="shared" si="24"/>
        <v>1000</v>
      </c>
      <c r="AO600" s="15">
        <f t="shared" si="25"/>
        <v>8</v>
      </c>
      <c r="AP600" s="15">
        <f t="shared" si="26"/>
        <v>8</v>
      </c>
      <c r="AQ600" s="15">
        <f t="shared" si="27"/>
        <v>10</v>
      </c>
      <c r="AR600" s="31"/>
      <c r="AS600" s="31"/>
      <c r="AT600" s="35" t="s">
        <v>222</v>
      </c>
      <c r="AU600" s="35"/>
    </row>
    <row r="601" ht="15.75" customHeight="1">
      <c r="A601" s="15" t="s">
        <v>4377</v>
      </c>
      <c r="B601" s="15" t="s">
        <v>60</v>
      </c>
      <c r="C601" s="15" t="s">
        <v>85</v>
      </c>
      <c r="D601" s="15" t="s">
        <v>4378</v>
      </c>
      <c r="E601" s="15" t="s">
        <v>4378</v>
      </c>
      <c r="F601" s="65" t="s">
        <v>788</v>
      </c>
      <c r="G601" s="66" t="s">
        <v>98</v>
      </c>
      <c r="H601" s="18" t="s">
        <v>4380</v>
      </c>
      <c r="I601" s="18" t="s">
        <v>8398</v>
      </c>
      <c r="J601" s="18" t="s">
        <v>98</v>
      </c>
      <c r="K601" s="18" t="s">
        <v>98</v>
      </c>
      <c r="L601" s="18" t="s">
        <v>98</v>
      </c>
      <c r="M601" s="18" t="s">
        <v>98</v>
      </c>
      <c r="N601" s="18" t="s">
        <v>98</v>
      </c>
      <c r="O601" s="18" t="s">
        <v>98</v>
      </c>
      <c r="P601" s="15" t="str">
        <f t="shared" si="1"/>
        <v>VERIFY</v>
      </c>
      <c r="Q601" s="15">
        <f t="shared" si="2"/>
        <v>6</v>
      </c>
      <c r="R601" s="15">
        <f t="shared" si="3"/>
        <v>3</v>
      </c>
      <c r="S601" s="15">
        <f t="shared" si="4"/>
        <v>3</v>
      </c>
      <c r="T601" s="15" t="str">
        <f t="shared" si="5"/>
        <v>B-4</v>
      </c>
      <c r="U601" s="15" t="str">
        <f t="shared" si="6"/>
        <v>T6-M3-H3-FB-4-VERIFY</v>
      </c>
      <c r="V601" s="15">
        <f t="shared" si="7"/>
        <v>0</v>
      </c>
      <c r="W601" s="31"/>
      <c r="X601" s="15" t="str">
        <f t="shared" si="8"/>
        <v>shahjahanpur</v>
      </c>
      <c r="Y601" s="32" t="str">
        <f t="shared" si="9"/>
        <v>https://steelmanufacturer.in/market-area/electropolished-pipes-manufacturer-in-shahjahanpur/</v>
      </c>
      <c r="Z601" s="15" t="str">
        <f t="shared" si="10"/>
        <v>Electropolished Pipes Manufacturer in Shahjahanpur</v>
      </c>
      <c r="AA601" s="15" t="str">
        <f t="shared" si="11"/>
        <v>OK (50)</v>
      </c>
      <c r="AB601" s="15" t="str">
        <f t="shared" si="12"/>
        <v>EP stainless tube for VERIFY lines in Shahjahanpur. VERIFY. ASTM A270 S2, PMI tested, EN 10204 3.1.</v>
      </c>
      <c r="AC601" s="15" t="str">
        <f t="shared" si="13"/>
        <v>PENDING RESEARCH</v>
      </c>
      <c r="AD601" s="15" t="str">
        <f t="shared" si="14"/>
        <v>Electropolished Pipes Manufacturer in Shahjahanpur</v>
      </c>
      <c r="AE601" s="15" t="str">
        <f t="shared" si="15"/>
        <v>Electropolished Pipes Manufacturer in Shahjahanpur - Our Process &amp; Capability</v>
      </c>
      <c r="AF601" s="15" t="str">
        <f t="shared" si="16"/>
        <v>Electropolished Pipes Supplier in Shahjahanpur - What We Hold in Stock</v>
      </c>
      <c r="AG601" s="15" t="str">
        <f t="shared" si="17"/>
        <v>Bulk &amp; Wholesale Electropolished Pipe Rates for Shahjahanpur Buyers</v>
      </c>
      <c r="AH601" s="15" t="str">
        <f t="shared" si="18"/>
        <v>electropolished pipes manufacturer in Shahjahanpur, electropolished pipes supplier in Shahjahanpur, electropolished pipes wholesaler in Shahjahanpur, electropolished tube manufacturer Shahjahanpur, EP pipe supplier Shahjahanpur, sanitary tube supplier Shahjahanpur, ASME BPE tubing Shahjahanpur, ASTM A270 tube Shahjahanpur, SS 316L electropolished pipe Shahjahanpur</v>
      </c>
      <c r="AI601" s="15" t="str">
        <f t="shared" si="19"/>
        <v>Electropolished Pipes Manufacturer &amp; Supplier in Shahjahanpur</v>
      </c>
      <c r="AJ601" s="15" t="str">
        <f t="shared" si="20"/>
        <v>EP-finished SS 304/316L pipes and tubes for VERIFY plants in Shahjahanpur. ASME BPE SF1-SF4, Ra from 0.25 um, EN 10204 3.1 certificate with every lot.</v>
      </c>
      <c r="AK601" s="15" t="str">
        <f t="shared" si="21"/>
        <v>Electropolished stainless steel pipes supplied by Sakshi Forge to VERIFY plants at UPSIDA Industrial Area, Shahjahanpur</v>
      </c>
      <c r="AL601" s="15" t="str">
        <f t="shared" si="22"/>
        <v>Electropolished SS 316L tube stock for Shahjahanpur - Sakshi Forge</v>
      </c>
      <c r="AM601" s="15" t="str">
        <f t="shared" si="23"/>
        <v>Home &gt; Market Area &gt; India &gt; Uttar Pradesh &gt; Shahjahanpur</v>
      </c>
      <c r="AN601" s="15">
        <f t="shared" si="24"/>
        <v>1000</v>
      </c>
      <c r="AO601" s="15">
        <f t="shared" si="25"/>
        <v>8</v>
      </c>
      <c r="AP601" s="15">
        <f t="shared" si="26"/>
        <v>8</v>
      </c>
      <c r="AQ601" s="15">
        <f t="shared" si="27"/>
        <v>10</v>
      </c>
      <c r="AR601" s="31"/>
      <c r="AS601" s="31"/>
      <c r="AT601" s="35" t="s">
        <v>222</v>
      </c>
      <c r="AU601" s="35"/>
    </row>
    <row r="602" ht="15.75" customHeight="1">
      <c r="A602" s="15" t="s">
        <v>4381</v>
      </c>
      <c r="B602" s="15" t="s">
        <v>60</v>
      </c>
      <c r="C602" s="15" t="s">
        <v>2545</v>
      </c>
      <c r="D602" s="15" t="s">
        <v>4382</v>
      </c>
      <c r="E602" s="15" t="s">
        <v>4382</v>
      </c>
      <c r="F602" s="65" t="s">
        <v>788</v>
      </c>
      <c r="G602" s="66" t="s">
        <v>98</v>
      </c>
      <c r="H602" s="18" t="s">
        <v>4384</v>
      </c>
      <c r="I602" s="18" t="s">
        <v>8414</v>
      </c>
      <c r="J602" s="18" t="s">
        <v>98</v>
      </c>
      <c r="K602" s="18" t="s">
        <v>98</v>
      </c>
      <c r="L602" s="18" t="s">
        <v>98</v>
      </c>
      <c r="M602" s="18" t="s">
        <v>98</v>
      </c>
      <c r="N602" s="18" t="s">
        <v>98</v>
      </c>
      <c r="O602" s="18" t="s">
        <v>98</v>
      </c>
      <c r="P602" s="15" t="str">
        <f t="shared" si="1"/>
        <v>VERIFY</v>
      </c>
      <c r="Q602" s="15">
        <f t="shared" si="2"/>
        <v>7</v>
      </c>
      <c r="R602" s="15">
        <f t="shared" si="3"/>
        <v>4</v>
      </c>
      <c r="S602" s="15">
        <f t="shared" si="4"/>
        <v>4</v>
      </c>
      <c r="T602" s="15" t="str">
        <f t="shared" si="5"/>
        <v>B-5</v>
      </c>
      <c r="U602" s="15" t="str">
        <f t="shared" si="6"/>
        <v>T7-M4-H4-FB-5-VERIFY</v>
      </c>
      <c r="V602" s="15">
        <f t="shared" si="7"/>
        <v>0</v>
      </c>
      <c r="W602" s="31"/>
      <c r="X602" s="15" t="str">
        <f t="shared" si="8"/>
        <v>shillong</v>
      </c>
      <c r="Y602" s="32" t="str">
        <f t="shared" si="9"/>
        <v>https://steelmanufacturer.in/market-area/electropolished-pipes-manufacturer-in-shillong/</v>
      </c>
      <c r="Z602" s="15" t="str">
        <f t="shared" si="10"/>
        <v>Electropolished Pipes Manufacturer in Shillong | ASME BPE SF1-SF4</v>
      </c>
      <c r="AA602" s="15" t="str">
        <f t="shared" si="11"/>
        <v>OK (65)</v>
      </c>
      <c r="AB602" s="15" t="str">
        <f t="shared" si="12"/>
        <v>Sanitary electropolished pipes in Shillong for VERIFY plants. ASME BPE SF1-SF4, orbital-weld ready, 3.1 MTC. Mumbai-made.</v>
      </c>
      <c r="AC602" s="15" t="str">
        <f t="shared" si="13"/>
        <v>PENDING RESEARCH</v>
      </c>
      <c r="AD602" s="15" t="str">
        <f t="shared" si="14"/>
        <v>Electropolished Pipes Manufacturer in Shillong</v>
      </c>
      <c r="AE602" s="15" t="str">
        <f t="shared" si="15"/>
        <v>Manufacturing Electropolished SS Tube for Shillong: The Standards We Build To</v>
      </c>
      <c r="AF602" s="15" t="str">
        <f t="shared" si="16"/>
        <v>Electropolished Pipe Supply Into Shillong - Certification &amp; Transit</v>
      </c>
      <c r="AG602" s="15" t="str">
        <f t="shared" si="17"/>
        <v>Electropolished Pipes Wholesaler in Shillong - Project Quantities &amp; Terms</v>
      </c>
      <c r="AH602" s="15" t="str">
        <f t="shared" si="18"/>
        <v>electropolished pipes manufacturer in Shillong, electropolished pipes supplier in Shillong, electropolished pipes wholesaler in Shillong, electropolished tube manufacturer Shillong, EP pipe supplier Shillong, sanitary tube supplier Shillong, ASME BPE tubing Shillong, ASTM A270 tube Shillong, SS 316L electropolished pipe Shillong</v>
      </c>
      <c r="AI602" s="15" t="str">
        <f t="shared" si="19"/>
        <v>Electropolished Pipes Manufacturer &amp; Supplier in Shillong</v>
      </c>
      <c r="AJ602" s="15" t="str">
        <f t="shared" si="20"/>
        <v>EP-finished SS 304/316L pipes and tubes for VERIFY plants in Shillong. ASME BPE SF1-SF4, Ra from 0.25 um, EN 10204 3.1 certificate with every lot.</v>
      </c>
      <c r="AK602" s="15" t="str">
        <f t="shared" si="21"/>
        <v>Electropolished stainless steel pipes supplied by Sakshi Forge to VERIFY plants at MIDC-Meg Industrial Area, Shillong</v>
      </c>
      <c r="AL602" s="15" t="str">
        <f t="shared" si="22"/>
        <v>Electropolished SS 316L tube stock for Shillong - Sakshi Forge</v>
      </c>
      <c r="AM602" s="15" t="str">
        <f t="shared" si="23"/>
        <v>Home &gt; Market Area &gt; India &gt; Meghalaya &gt; Shillong</v>
      </c>
      <c r="AN602" s="15">
        <f t="shared" si="24"/>
        <v>1000</v>
      </c>
      <c r="AO602" s="15">
        <f t="shared" si="25"/>
        <v>8</v>
      </c>
      <c r="AP602" s="15">
        <f t="shared" si="26"/>
        <v>8</v>
      </c>
      <c r="AQ602" s="15">
        <f t="shared" si="27"/>
        <v>10</v>
      </c>
      <c r="AR602" s="31"/>
      <c r="AS602" s="31"/>
      <c r="AT602" s="35" t="s">
        <v>222</v>
      </c>
      <c r="AU602" s="35"/>
    </row>
    <row r="603" ht="15.75" customHeight="1">
      <c r="A603" s="15" t="s">
        <v>4385</v>
      </c>
      <c r="B603" s="15" t="s">
        <v>60</v>
      </c>
      <c r="C603" s="15" t="s">
        <v>447</v>
      </c>
      <c r="D603" s="15" t="s">
        <v>4386</v>
      </c>
      <c r="E603" s="15" t="s">
        <v>4386</v>
      </c>
      <c r="F603" s="65" t="s">
        <v>788</v>
      </c>
      <c r="G603" s="66" t="s">
        <v>98</v>
      </c>
      <c r="H603" s="18" t="s">
        <v>4388</v>
      </c>
      <c r="I603" s="18" t="s">
        <v>8411</v>
      </c>
      <c r="J603" s="18" t="s">
        <v>98</v>
      </c>
      <c r="K603" s="18" t="s">
        <v>98</v>
      </c>
      <c r="L603" s="18" t="s">
        <v>98</v>
      </c>
      <c r="M603" s="18" t="s">
        <v>98</v>
      </c>
      <c r="N603" s="18" t="s">
        <v>98</v>
      </c>
      <c r="O603" s="18" t="s">
        <v>98</v>
      </c>
      <c r="P603" s="15" t="str">
        <f t="shared" si="1"/>
        <v>VERIFY</v>
      </c>
      <c r="Q603" s="15">
        <f t="shared" si="2"/>
        <v>8</v>
      </c>
      <c r="R603" s="15">
        <f t="shared" si="3"/>
        <v>5</v>
      </c>
      <c r="S603" s="15">
        <f t="shared" si="4"/>
        <v>5</v>
      </c>
      <c r="T603" s="15" t="str">
        <f t="shared" si="5"/>
        <v>B-6</v>
      </c>
      <c r="U603" s="15" t="str">
        <f t="shared" si="6"/>
        <v>T8-M5-H5-FB-6-VERIFY</v>
      </c>
      <c r="V603" s="15">
        <f t="shared" si="7"/>
        <v>0</v>
      </c>
      <c r="W603" s="31"/>
      <c r="X603" s="15" t="str">
        <f t="shared" si="8"/>
        <v>shimla</v>
      </c>
      <c r="Y603" s="32" t="str">
        <f t="shared" si="9"/>
        <v>https://steelmanufacturer.in/market-area/electropolished-pipes-manufacturer-in-shimla/</v>
      </c>
      <c r="Z603" s="15" t="str">
        <f t="shared" si="10"/>
        <v>Electropolished Pipes Manufacturer in Shimla - EP Tube Stockist</v>
      </c>
      <c r="AA603" s="15" t="str">
        <f t="shared" si="11"/>
        <v>OK (63)</v>
      </c>
      <c r="AB603" s="15" t="str">
        <f t="shared" si="12"/>
        <v>Manufacturer of electropolished SS 316L tube serving Shimla. VERIFY. Ra 0.25-0.5 um, EN 10204 3.1 MTC.</v>
      </c>
      <c r="AC603" s="15" t="str">
        <f t="shared" si="13"/>
        <v>PENDING RESEARCH</v>
      </c>
      <c r="AD603" s="15" t="str">
        <f t="shared" si="14"/>
        <v>Electropolished Pipes Manufacturer in Shimla</v>
      </c>
      <c r="AE603" s="15" t="str">
        <f t="shared" si="15"/>
        <v>Electropolished Tube Manufacturing Capability Serving Shimla</v>
      </c>
      <c r="AF603" s="15" t="str">
        <f t="shared" si="16"/>
        <v>Electropolished Pipes Supplier in Shimla - From Order to Delivery</v>
      </c>
      <c r="AG603" s="15" t="str">
        <f t="shared" si="17"/>
        <v>Stockist &amp; Wholesale Supply of Electropolished Pipes in Shimla</v>
      </c>
      <c r="AH603" s="15" t="str">
        <f t="shared" si="18"/>
        <v>electropolished pipes manufacturer in Shimla, electropolished pipes supplier in Shimla, electropolished pipes wholesaler in Shimla, electropolished tube manufacturer Shimla, EP pipe supplier Shimla, sanitary tube supplier Shimla, ASME BPE tubing Shimla, ASTM A270 tube Shimla, SS 316L electropolished pipe Shimla</v>
      </c>
      <c r="AI603" s="15" t="str">
        <f t="shared" si="19"/>
        <v>Electropolished Pipes Manufacturer &amp; Supplier in Shimla</v>
      </c>
      <c r="AJ603" s="15" t="str">
        <f t="shared" si="20"/>
        <v>EP-finished SS 304/316L pipes and tubes for VERIFY plants in Shimla. ASME BPE SF1-SF4, Ra from 0.25 um, EN 10204 3.1 certificate with every lot.</v>
      </c>
      <c r="AK603" s="15" t="str">
        <f t="shared" si="21"/>
        <v>Electropolished stainless steel pipes supplied by Sakshi Forge to VERIFY plants at HPSIDC Industrial Area, Shimla</v>
      </c>
      <c r="AL603" s="15" t="str">
        <f t="shared" si="22"/>
        <v>Electropolished SS 316L tube stock for Shimla - Sakshi Forge</v>
      </c>
      <c r="AM603" s="15" t="str">
        <f t="shared" si="23"/>
        <v>Home &gt; Market Area &gt; India &gt; Himachal Pradesh &gt; Shimla</v>
      </c>
      <c r="AN603" s="15">
        <f t="shared" si="24"/>
        <v>1000</v>
      </c>
      <c r="AO603" s="15">
        <f t="shared" si="25"/>
        <v>8</v>
      </c>
      <c r="AP603" s="15">
        <f t="shared" si="26"/>
        <v>8</v>
      </c>
      <c r="AQ603" s="15">
        <f t="shared" si="27"/>
        <v>10</v>
      </c>
      <c r="AR603" s="31"/>
      <c r="AS603" s="31"/>
      <c r="AT603" s="35" t="s">
        <v>222</v>
      </c>
      <c r="AU603" s="35"/>
    </row>
    <row r="604" ht="15.75" customHeight="1">
      <c r="A604" s="15" t="s">
        <v>4389</v>
      </c>
      <c r="B604" s="15" t="s">
        <v>60</v>
      </c>
      <c r="C604" s="15" t="s">
        <v>264</v>
      </c>
      <c r="D604" s="15" t="s">
        <v>4390</v>
      </c>
      <c r="E604" s="15" t="s">
        <v>4390</v>
      </c>
      <c r="F604" s="65" t="s">
        <v>788</v>
      </c>
      <c r="G604" s="66" t="s">
        <v>98</v>
      </c>
      <c r="H604" s="18" t="s">
        <v>4392</v>
      </c>
      <c r="I604" s="18" t="s">
        <v>8395</v>
      </c>
      <c r="J604" s="18" t="s">
        <v>98</v>
      </c>
      <c r="K604" s="18" t="s">
        <v>98</v>
      </c>
      <c r="L604" s="18" t="s">
        <v>98</v>
      </c>
      <c r="M604" s="18" t="s">
        <v>98</v>
      </c>
      <c r="N604" s="18" t="s">
        <v>98</v>
      </c>
      <c r="O604" s="18" t="s">
        <v>98</v>
      </c>
      <c r="P604" s="15" t="str">
        <f t="shared" si="1"/>
        <v>VERIFY</v>
      </c>
      <c r="Q604" s="15">
        <f t="shared" si="2"/>
        <v>1</v>
      </c>
      <c r="R604" s="15">
        <f t="shared" si="3"/>
        <v>6</v>
      </c>
      <c r="S604" s="15">
        <f t="shared" si="4"/>
        <v>1</v>
      </c>
      <c r="T604" s="15" t="str">
        <f t="shared" si="5"/>
        <v>B-1</v>
      </c>
      <c r="U604" s="15" t="str">
        <f t="shared" si="6"/>
        <v>T1-M6-H1-FB-1-VERIFY</v>
      </c>
      <c r="V604" s="15">
        <f t="shared" si="7"/>
        <v>0</v>
      </c>
      <c r="W604" s="31"/>
      <c r="X604" s="15" t="str">
        <f t="shared" si="8"/>
        <v>shirwal</v>
      </c>
      <c r="Y604" s="32" t="str">
        <f t="shared" si="9"/>
        <v>https://steelmanufacturer.in/market-area/electropolished-pipes-manufacturer-in-shirwal/</v>
      </c>
      <c r="Z604" s="15" t="str">
        <f t="shared" si="10"/>
        <v>Electropolished Pipes Manufacturer in Shirwal | Sakshi Forge</v>
      </c>
      <c r="AA604" s="15" t="str">
        <f t="shared" si="11"/>
        <v>OK (60)</v>
      </c>
      <c r="AB604" s="15" t="str">
        <f t="shared" si="12"/>
        <v>EP tube and pipe for VERIFY plants around MIDC Industrial Area, Shirwal. Made at our Mumbai works to ASTM A270 and ASME BPE SF1-SF4, with 3.1 MTC.</v>
      </c>
      <c r="AC604" s="15" t="str">
        <f t="shared" si="13"/>
        <v>PENDING RESEARCH</v>
      </c>
      <c r="AD604" s="15" t="str">
        <f t="shared" si="14"/>
        <v>Electropolished Pipes Manufacturer in Shirwal</v>
      </c>
      <c r="AE604" s="15" t="str">
        <f t="shared" si="15"/>
        <v>Electropolished Pipe &amp; Tube Manufacturing for Shirwal - Grades, Finishes &amp; Certification</v>
      </c>
      <c r="AF604" s="15" t="str">
        <f t="shared" si="16"/>
        <v>Electropolished Pipes Supplier in Shirwal - Stock Sizes, Lead Time &amp; Delivery</v>
      </c>
      <c r="AG604" s="15" t="str">
        <f t="shared" si="17"/>
        <v>Electropolished Pipes Wholesaler &amp; Stockist in Shirwal - Bulk &amp; Project Pricing</v>
      </c>
      <c r="AH604" s="15" t="str">
        <f t="shared" si="18"/>
        <v>electropolished pipes manufacturer in Shirwal, electropolished pipes supplier in Shirwal, electropolished pipes wholesaler in Shirwal, electropolished tube manufacturer Shirwal, EP pipe supplier Shirwal, sanitary tube supplier Shirwal, ASME BPE tubing Shirwal, ASTM A270 tube Shirwal, SS 316L electropolished pipe Shirwal</v>
      </c>
      <c r="AI604" s="15" t="str">
        <f t="shared" si="19"/>
        <v>Electropolished Pipes Manufacturer &amp; Supplier in Shirwal</v>
      </c>
      <c r="AJ604" s="15" t="str">
        <f t="shared" si="20"/>
        <v>EP-finished SS 304/316L pipes and tubes for VERIFY plants in Shirwal. ASME BPE SF1-SF4, Ra from 0.25 um, EN 10204 3.1 certificate with every lot.</v>
      </c>
      <c r="AK604" s="15" t="str">
        <f t="shared" si="21"/>
        <v>Electropolished stainless steel pipes supplied by Sakshi Forge to VERIFY plants at MIDC Industrial Area, Shirwal</v>
      </c>
      <c r="AL604" s="15" t="str">
        <f t="shared" si="22"/>
        <v>Electropolished SS 316L tube stock for Shirwal - Sakshi Forge</v>
      </c>
      <c r="AM604" s="15" t="str">
        <f t="shared" si="23"/>
        <v>Home &gt; Market Area &gt; India &gt; Maharashtra &gt; Shirwal</v>
      </c>
      <c r="AN604" s="15">
        <f t="shared" si="24"/>
        <v>1000</v>
      </c>
      <c r="AO604" s="15">
        <f t="shared" si="25"/>
        <v>8</v>
      </c>
      <c r="AP604" s="15">
        <f t="shared" si="26"/>
        <v>8</v>
      </c>
      <c r="AQ604" s="15">
        <f t="shared" si="27"/>
        <v>11</v>
      </c>
      <c r="AR604" s="31"/>
      <c r="AS604" s="31"/>
      <c r="AT604" s="35" t="s">
        <v>222</v>
      </c>
      <c r="AU604" s="35"/>
    </row>
    <row r="605" ht="15.75" customHeight="1">
      <c r="A605" s="15" t="s">
        <v>4393</v>
      </c>
      <c r="B605" s="15" t="s">
        <v>60</v>
      </c>
      <c r="C605" s="15" t="s">
        <v>570</v>
      </c>
      <c r="D605" s="15" t="s">
        <v>4394</v>
      </c>
      <c r="E605" s="15" t="s">
        <v>4394</v>
      </c>
      <c r="F605" s="65" t="s">
        <v>788</v>
      </c>
      <c r="G605" s="66" t="s">
        <v>98</v>
      </c>
      <c r="H605" s="18" t="s">
        <v>4398</v>
      </c>
      <c r="I605" s="18" t="s">
        <v>8405</v>
      </c>
      <c r="J605" s="18" t="s">
        <v>98</v>
      </c>
      <c r="K605" s="18" t="s">
        <v>98</v>
      </c>
      <c r="L605" s="18" t="s">
        <v>98</v>
      </c>
      <c r="M605" s="18" t="s">
        <v>98</v>
      </c>
      <c r="N605" s="18" t="s">
        <v>98</v>
      </c>
      <c r="O605" s="18" t="s">
        <v>98</v>
      </c>
      <c r="P605" s="15" t="str">
        <f t="shared" si="1"/>
        <v>VERIFY</v>
      </c>
      <c r="Q605" s="15">
        <f t="shared" si="2"/>
        <v>2</v>
      </c>
      <c r="R605" s="15">
        <f t="shared" si="3"/>
        <v>7</v>
      </c>
      <c r="S605" s="15">
        <f t="shared" si="4"/>
        <v>2</v>
      </c>
      <c r="T605" s="15" t="str">
        <f t="shared" si="5"/>
        <v>B-2</v>
      </c>
      <c r="U605" s="15" t="str">
        <f t="shared" si="6"/>
        <v>T2-M7-H2-FB-2-VERIFY</v>
      </c>
      <c r="V605" s="15">
        <f t="shared" si="7"/>
        <v>0</v>
      </c>
      <c r="W605" s="31"/>
      <c r="X605" s="15" t="str">
        <f t="shared" si="8"/>
        <v>shivamogga</v>
      </c>
      <c r="Y605" s="32" t="str">
        <f t="shared" si="9"/>
        <v>https://steelmanufacturer.in/market-area/electropolished-pipes-manufacturer-in-shivamogga/</v>
      </c>
      <c r="Z605" s="15" t="str">
        <f t="shared" si="10"/>
        <v>Electropolished Pipes Manufacturer in Shivamogga</v>
      </c>
      <c r="AA605" s="15" t="str">
        <f t="shared" si="11"/>
        <v>OK (48)</v>
      </c>
      <c r="AB605" s="15" t="str">
        <f t="shared" si="12"/>
        <v>Electropolished pipes in Shivamogga: 304, 304L, 316 and 316L in SF1-SF4. VERIFY. Mill certified.</v>
      </c>
      <c r="AC605" s="15" t="str">
        <f t="shared" si="13"/>
        <v>PENDING RESEARCH</v>
      </c>
      <c r="AD605" s="15" t="str">
        <f t="shared" si="14"/>
        <v>Electropolished Pipes Manufacturer in Shivamogga</v>
      </c>
      <c r="AE605" s="15" t="str">
        <f t="shared" si="15"/>
        <v>How We Manufacture Electropolished Tube for Shivamogga Plants</v>
      </c>
      <c r="AF605" s="15" t="str">
        <f t="shared" si="16"/>
        <v>Supplying Electropolished Pipes in Shivamogga: Availability, Sizes &amp; Dispatch</v>
      </c>
      <c r="AG605" s="15" t="str">
        <f t="shared" si="17"/>
        <v>Wholesale Electropolished Pipe Supply for Shivamogga Projects</v>
      </c>
      <c r="AH605" s="15" t="str">
        <f t="shared" si="18"/>
        <v>electropolished pipes manufacturer in Shivamogga, electropolished pipes supplier in Shivamogga, electropolished pipes wholesaler in Shivamogga, electropolished tube manufacturer Shivamogga, EP pipe supplier Shivamogga, sanitary tube supplier Shivamogga, ASME BPE tubing Shivamogga, ASTM A270 tube Shivamogga, SS 316L electropolished pipe Shivamogga</v>
      </c>
      <c r="AI605" s="15" t="str">
        <f t="shared" si="19"/>
        <v>Electropolished Pipes Manufacturer &amp; Supplier in Shivamogga</v>
      </c>
      <c r="AJ605" s="15" t="str">
        <f t="shared" si="20"/>
        <v>EP-finished SS 304/316L pipes and tubes for VERIFY plants in Shivamogga. ASME BPE SF1-SF4, Ra from 0.25 um, EN 10204 3.1 certificate with every lot.</v>
      </c>
      <c r="AK605" s="15" t="str">
        <f t="shared" si="21"/>
        <v>Electropolished stainless steel pipes supplied by Sakshi Forge to VERIFY plants at KIADB Industrial Area, Shivamogga</v>
      </c>
      <c r="AL605" s="15" t="str">
        <f t="shared" si="22"/>
        <v>Electropolished SS 316L tube stock for Shivamogga - Sakshi Forge</v>
      </c>
      <c r="AM605" s="15" t="str">
        <f t="shared" si="23"/>
        <v>Home &gt; Market Area &gt; India &gt; Karnataka &gt; Shivamogga</v>
      </c>
      <c r="AN605" s="15">
        <f t="shared" si="24"/>
        <v>1000</v>
      </c>
      <c r="AO605" s="15">
        <f t="shared" si="25"/>
        <v>8</v>
      </c>
      <c r="AP605" s="15">
        <f t="shared" si="26"/>
        <v>8</v>
      </c>
      <c r="AQ605" s="15">
        <f t="shared" si="27"/>
        <v>11</v>
      </c>
      <c r="AR605" s="31"/>
      <c r="AS605" s="31"/>
      <c r="AT605" s="35" t="s">
        <v>222</v>
      </c>
      <c r="AU605" s="35"/>
    </row>
    <row r="606" ht="15.75" customHeight="1">
      <c r="A606" s="15" t="s">
        <v>4403</v>
      </c>
      <c r="B606" s="15" t="s">
        <v>60</v>
      </c>
      <c r="C606" s="15" t="s">
        <v>842</v>
      </c>
      <c r="D606" s="15" t="s">
        <v>4404</v>
      </c>
      <c r="E606" s="15" t="s">
        <v>4404</v>
      </c>
      <c r="F606" s="65" t="s">
        <v>788</v>
      </c>
      <c r="G606" s="66" t="s">
        <v>98</v>
      </c>
      <c r="H606" s="18" t="s">
        <v>4406</v>
      </c>
      <c r="I606" s="18" t="s">
        <v>8413</v>
      </c>
      <c r="J606" s="18" t="s">
        <v>98</v>
      </c>
      <c r="K606" s="18" t="s">
        <v>98</v>
      </c>
      <c r="L606" s="18" t="s">
        <v>98</v>
      </c>
      <c r="M606" s="18" t="s">
        <v>98</v>
      </c>
      <c r="N606" s="18" t="s">
        <v>98</v>
      </c>
      <c r="O606" s="18" t="s">
        <v>98</v>
      </c>
      <c r="P606" s="15" t="str">
        <f t="shared" si="1"/>
        <v>VERIFY</v>
      </c>
      <c r="Q606" s="15">
        <f t="shared" si="2"/>
        <v>3</v>
      </c>
      <c r="R606" s="15">
        <f t="shared" si="3"/>
        <v>1</v>
      </c>
      <c r="S606" s="15">
        <f t="shared" si="4"/>
        <v>3</v>
      </c>
      <c r="T606" s="15" t="str">
        <f t="shared" si="5"/>
        <v>B-3</v>
      </c>
      <c r="U606" s="15" t="str">
        <f t="shared" si="6"/>
        <v>T3-M1-H3-FB-3-VERIFY</v>
      </c>
      <c r="V606" s="15">
        <f t="shared" si="7"/>
        <v>0</v>
      </c>
      <c r="W606" s="31"/>
      <c r="X606" s="15" t="str">
        <f t="shared" si="8"/>
        <v>shivpuri</v>
      </c>
      <c r="Y606" s="32" t="str">
        <f t="shared" si="9"/>
        <v>https://steelmanufacturer.in/market-area/electropolished-pipes-manufacturer-in-shivpuri/</v>
      </c>
      <c r="Z606" s="15" t="str">
        <f t="shared" si="10"/>
        <v>Electropolished Pipes Manufacturer in Shivpuri | EP Tube Supplier</v>
      </c>
      <c r="AA606" s="15" t="str">
        <f t="shared" si="11"/>
        <v>OK (65)</v>
      </c>
      <c r="AB606" s="15" t="str">
        <f t="shared" si="12"/>
        <v>EP-finished SS 304/316L pipes &amp; tubes for VERIFY plants in Shivpuri. ASTM A270, ASME BPE SF1-SF4, EN 10204 3.1 MTC. PMI tested.</v>
      </c>
      <c r="AC606" s="15" t="str">
        <f t="shared" si="13"/>
        <v>PENDING RESEARCH</v>
      </c>
      <c r="AD606" s="15" t="str">
        <f t="shared" si="14"/>
        <v>Electropolished Pipes Manufacturer in Shivpuri</v>
      </c>
      <c r="AE606" s="15" t="str">
        <f t="shared" si="15"/>
        <v>Electropolished Pipes Manufacturer in Shivpuri - Our Process &amp; Capability</v>
      </c>
      <c r="AF606" s="15" t="str">
        <f t="shared" si="16"/>
        <v>Electropolished Pipes Supplier in Shivpuri - What We Hold in Stock</v>
      </c>
      <c r="AG606" s="15" t="str">
        <f t="shared" si="17"/>
        <v>Bulk &amp; Wholesale Electropolished Pipe Rates for Shivpuri Buyers</v>
      </c>
      <c r="AH606" s="15" t="str">
        <f t="shared" si="18"/>
        <v>electropolished pipes manufacturer in Shivpuri, electropolished pipes supplier in Shivpuri, electropolished pipes wholesaler in Shivpuri, electropolished tube manufacturer Shivpuri, EP pipe supplier Shivpuri, sanitary tube supplier Shivpuri, ASME BPE tubing Shivpuri, ASTM A270 tube Shivpuri, SS 316L electropolished pipe Shivpuri</v>
      </c>
      <c r="AI606" s="15" t="str">
        <f t="shared" si="19"/>
        <v>Electropolished Pipes Manufacturer &amp; Supplier in Shivpuri</v>
      </c>
      <c r="AJ606" s="15" t="str">
        <f t="shared" si="20"/>
        <v>EP-finished SS 304/316L pipes and tubes for VERIFY plants in Shivpuri. ASME BPE SF1-SF4, Ra from 0.25 um, EN 10204 3.1 certificate with every lot.</v>
      </c>
      <c r="AK606" s="15" t="str">
        <f t="shared" si="21"/>
        <v>Electropolished stainless steel pipes supplied by Sakshi Forge to VERIFY plants at MPIDC Industrial Area, Shivpuri</v>
      </c>
      <c r="AL606" s="15" t="str">
        <f t="shared" si="22"/>
        <v>Electropolished SS 316L tube stock for Shivpuri - Sakshi Forge</v>
      </c>
      <c r="AM606" s="15" t="str">
        <f t="shared" si="23"/>
        <v>Home &gt; Market Area &gt; India &gt; Madhya Pradesh &gt; Shivpuri</v>
      </c>
      <c r="AN606" s="15">
        <f t="shared" si="24"/>
        <v>1000</v>
      </c>
      <c r="AO606" s="15">
        <f t="shared" si="25"/>
        <v>8</v>
      </c>
      <c r="AP606" s="15">
        <f t="shared" si="26"/>
        <v>8</v>
      </c>
      <c r="AQ606" s="15">
        <f t="shared" si="27"/>
        <v>11</v>
      </c>
      <c r="AR606" s="31"/>
      <c r="AS606" s="31"/>
      <c r="AT606" s="35" t="s">
        <v>222</v>
      </c>
      <c r="AU606" s="35"/>
    </row>
    <row r="607" ht="15.75" customHeight="1">
      <c r="A607" s="15" t="s">
        <v>4407</v>
      </c>
      <c r="B607" s="15" t="s">
        <v>60</v>
      </c>
      <c r="C607" s="15" t="s">
        <v>1312</v>
      </c>
      <c r="D607" s="15" t="s">
        <v>4408</v>
      </c>
      <c r="E607" s="15" t="s">
        <v>4408</v>
      </c>
      <c r="F607" s="65" t="s">
        <v>788</v>
      </c>
      <c r="G607" s="66" t="s">
        <v>98</v>
      </c>
      <c r="H607" s="18" t="s">
        <v>4410</v>
      </c>
      <c r="I607" s="18" t="s">
        <v>8392</v>
      </c>
      <c r="J607" s="18" t="s">
        <v>98</v>
      </c>
      <c r="K607" s="18" t="s">
        <v>98</v>
      </c>
      <c r="L607" s="18" t="s">
        <v>98</v>
      </c>
      <c r="M607" s="18" t="s">
        <v>98</v>
      </c>
      <c r="N607" s="18" t="s">
        <v>98</v>
      </c>
      <c r="O607" s="18" t="s">
        <v>98</v>
      </c>
      <c r="P607" s="15" t="str">
        <f t="shared" si="1"/>
        <v>VERIFY</v>
      </c>
      <c r="Q607" s="15">
        <f t="shared" si="2"/>
        <v>4</v>
      </c>
      <c r="R607" s="15">
        <f t="shared" si="3"/>
        <v>2</v>
      </c>
      <c r="S607" s="15">
        <f t="shared" si="4"/>
        <v>4</v>
      </c>
      <c r="T607" s="15" t="str">
        <f t="shared" si="5"/>
        <v>B-4</v>
      </c>
      <c r="U607" s="15" t="str">
        <f t="shared" si="6"/>
        <v>T4-M2-H4-FB-4-VERIFY</v>
      </c>
      <c r="V607" s="15">
        <f t="shared" si="7"/>
        <v>0</v>
      </c>
      <c r="W607" s="31"/>
      <c r="X607" s="15" t="str">
        <f t="shared" si="8"/>
        <v>siddipet</v>
      </c>
      <c r="Y607" s="32" t="str">
        <f t="shared" si="9"/>
        <v>https://steelmanufacturer.in/market-area/electropolished-pipes-manufacturer-in-siddipet/</v>
      </c>
      <c r="Z607" s="15" t="str">
        <f t="shared" si="10"/>
        <v>Electropolished Pipes Manufacturer in Siddipet</v>
      </c>
      <c r="AA607" s="15" t="str">
        <f t="shared" si="11"/>
        <v>OK (46)</v>
      </c>
      <c r="AB607" s="15" t="str">
        <f t="shared" si="12"/>
        <v>Electropolished tube supply to TSIIC Industrial Area, Siddipet. Ra from 0.25 um, SF4 finish, mill test certificate with every lot.</v>
      </c>
      <c r="AC607" s="15" t="str">
        <f t="shared" si="13"/>
        <v>PENDING RESEARCH</v>
      </c>
      <c r="AD607" s="15" t="str">
        <f t="shared" si="14"/>
        <v>Electropolished Pipes Manufacturer in Siddipet</v>
      </c>
      <c r="AE607" s="15" t="str">
        <f t="shared" si="15"/>
        <v>Manufacturing Electropolished SS Tube for Siddipet: The Standards We Build To</v>
      </c>
      <c r="AF607" s="15" t="str">
        <f t="shared" si="16"/>
        <v>Electropolished Pipe Supply Into Siddipet - Certification &amp; Transit</v>
      </c>
      <c r="AG607" s="15" t="str">
        <f t="shared" si="17"/>
        <v>Electropolished Pipes Wholesaler in Siddipet - Project Quantities &amp; Terms</v>
      </c>
      <c r="AH607" s="15" t="str">
        <f t="shared" si="18"/>
        <v>electropolished pipes manufacturer in Siddipet, electropolished pipes supplier in Siddipet, electropolished pipes wholesaler in Siddipet, electropolished tube manufacturer Siddipet, EP pipe supplier Siddipet, sanitary tube supplier Siddipet, ASME BPE tubing Siddipet, ASTM A270 tube Siddipet, SS 316L electropolished pipe Siddipet</v>
      </c>
      <c r="AI607" s="15" t="str">
        <f t="shared" si="19"/>
        <v>Electropolished Pipes Manufacturer &amp; Supplier in Siddipet</v>
      </c>
      <c r="AJ607" s="15" t="str">
        <f t="shared" si="20"/>
        <v>EP-finished SS 304/316L pipes and tubes for VERIFY plants in Siddipet. ASME BPE SF1-SF4, Ra from 0.25 um, EN 10204 3.1 certificate with every lot.</v>
      </c>
      <c r="AK607" s="15" t="str">
        <f t="shared" si="21"/>
        <v>Electropolished stainless steel pipes supplied by Sakshi Forge to VERIFY plants at TSIIC Industrial Area, Siddipet</v>
      </c>
      <c r="AL607" s="15" t="str">
        <f t="shared" si="22"/>
        <v>Electropolished SS 316L tube stock for Siddipet - Sakshi Forge</v>
      </c>
      <c r="AM607" s="15" t="str">
        <f t="shared" si="23"/>
        <v>Home &gt; Market Area &gt; India &gt; Telangana &gt; Siddipet</v>
      </c>
      <c r="AN607" s="15">
        <f t="shared" si="24"/>
        <v>1000</v>
      </c>
      <c r="AO607" s="15">
        <f t="shared" si="25"/>
        <v>8</v>
      </c>
      <c r="AP607" s="15">
        <f t="shared" si="26"/>
        <v>8</v>
      </c>
      <c r="AQ607" s="15">
        <f t="shared" si="27"/>
        <v>11</v>
      </c>
      <c r="AR607" s="31"/>
      <c r="AS607" s="31"/>
      <c r="AT607" s="35" t="s">
        <v>222</v>
      </c>
      <c r="AU607" s="35"/>
    </row>
    <row r="608" ht="15.75" customHeight="1">
      <c r="A608" s="15" t="s">
        <v>4411</v>
      </c>
      <c r="B608" s="15" t="s">
        <v>60</v>
      </c>
      <c r="C608" s="15" t="s">
        <v>236</v>
      </c>
      <c r="D608" s="15" t="s">
        <v>4412</v>
      </c>
      <c r="E608" s="15" t="s">
        <v>4412</v>
      </c>
      <c r="F608" s="65" t="s">
        <v>788</v>
      </c>
      <c r="G608" s="66" t="s">
        <v>98</v>
      </c>
      <c r="H608" s="18" t="s">
        <v>4414</v>
      </c>
      <c r="I608" s="18" t="s">
        <v>8391</v>
      </c>
      <c r="J608" s="18" t="s">
        <v>98</v>
      </c>
      <c r="K608" s="18" t="s">
        <v>98</v>
      </c>
      <c r="L608" s="18" t="s">
        <v>98</v>
      </c>
      <c r="M608" s="18" t="s">
        <v>98</v>
      </c>
      <c r="N608" s="18" t="s">
        <v>98</v>
      </c>
      <c r="O608" s="18" t="s">
        <v>98</v>
      </c>
      <c r="P608" s="15" t="str">
        <f t="shared" si="1"/>
        <v>VERIFY</v>
      </c>
      <c r="Q608" s="15">
        <f t="shared" si="2"/>
        <v>5</v>
      </c>
      <c r="R608" s="15">
        <f t="shared" si="3"/>
        <v>3</v>
      </c>
      <c r="S608" s="15">
        <f t="shared" si="4"/>
        <v>5</v>
      </c>
      <c r="T608" s="15" t="str">
        <f t="shared" si="5"/>
        <v>B-5</v>
      </c>
      <c r="U608" s="15" t="str">
        <f t="shared" si="6"/>
        <v>T5-M3-H5-FB-5-VERIFY</v>
      </c>
      <c r="V608" s="15">
        <f t="shared" si="7"/>
        <v>0</v>
      </c>
      <c r="W608" s="31"/>
      <c r="X608" s="15" t="str">
        <f t="shared" si="8"/>
        <v>sikar</v>
      </c>
      <c r="Y608" s="32" t="str">
        <f t="shared" si="9"/>
        <v>https://steelmanufacturer.in/market-area/electropolished-pipes-manufacturer-in-sikar/</v>
      </c>
      <c r="Z608" s="15" t="str">
        <f t="shared" si="10"/>
        <v>Electropolished Pipes Manufacturer in Sikar</v>
      </c>
      <c r="AA608" s="15" t="str">
        <f t="shared" si="11"/>
        <v>OK (43)</v>
      </c>
      <c r="AB608" s="15" t="str">
        <f t="shared" si="12"/>
        <v>EP stainless tube for VERIFY lines in Sikar. VERIFY. ASTM A270 S2, PMI tested, EN 10204 3.1.</v>
      </c>
      <c r="AC608" s="15" t="str">
        <f t="shared" si="13"/>
        <v>PENDING RESEARCH</v>
      </c>
      <c r="AD608" s="15" t="str">
        <f t="shared" si="14"/>
        <v>Electropolished Pipes Manufacturer in Sikar</v>
      </c>
      <c r="AE608" s="15" t="str">
        <f t="shared" si="15"/>
        <v>Electropolished Tube Manufacturing Capability Serving Sikar</v>
      </c>
      <c r="AF608" s="15" t="str">
        <f t="shared" si="16"/>
        <v>Electropolished Pipes Supplier in Sikar - From Order to Delivery</v>
      </c>
      <c r="AG608" s="15" t="str">
        <f t="shared" si="17"/>
        <v>Stockist &amp; Wholesale Supply of Electropolished Pipes in Sikar</v>
      </c>
      <c r="AH608" s="15" t="str">
        <f t="shared" si="18"/>
        <v>electropolished pipes manufacturer in Sikar, electropolished pipes supplier in Sikar, electropolished pipes wholesaler in Sikar, electropolished tube manufacturer Sikar, EP pipe supplier Sikar, sanitary tube supplier Sikar, ASME BPE tubing Sikar, ASTM A270 tube Sikar, SS 316L electropolished pipe Sikar</v>
      </c>
      <c r="AI608" s="15" t="str">
        <f t="shared" si="19"/>
        <v>Electropolished Pipes Manufacturer &amp; Supplier in Sikar</v>
      </c>
      <c r="AJ608" s="15" t="str">
        <f t="shared" si="20"/>
        <v>EP-finished SS 304/316L pipes and tubes for VERIFY plants in Sikar. ASME BPE SF1-SF4, Ra from 0.25 um, EN 10204 3.1 certificate with every lot.</v>
      </c>
      <c r="AK608" s="15" t="str">
        <f t="shared" si="21"/>
        <v>Electropolished stainless steel pipes supplied by Sakshi Forge to VERIFY plants at RIICO Industrial Area, Sikar</v>
      </c>
      <c r="AL608" s="15" t="str">
        <f t="shared" si="22"/>
        <v>Electropolished SS 316L tube stock for Sikar - Sakshi Forge</v>
      </c>
      <c r="AM608" s="15" t="str">
        <f t="shared" si="23"/>
        <v>Home &gt; Market Area &gt; India &gt; Rajasthan &gt; Sikar</v>
      </c>
      <c r="AN608" s="15">
        <f t="shared" si="24"/>
        <v>1000</v>
      </c>
      <c r="AO608" s="15">
        <f t="shared" si="25"/>
        <v>8</v>
      </c>
      <c r="AP608" s="15">
        <f t="shared" si="26"/>
        <v>8</v>
      </c>
      <c r="AQ608" s="15">
        <f t="shared" si="27"/>
        <v>11</v>
      </c>
      <c r="AR608" s="31"/>
      <c r="AS608" s="31"/>
      <c r="AT608" s="35" t="s">
        <v>222</v>
      </c>
      <c r="AU608" s="35"/>
    </row>
    <row r="609" ht="15.75" customHeight="1">
      <c r="A609" s="15" t="s">
        <v>4415</v>
      </c>
      <c r="B609" s="15" t="s">
        <v>60</v>
      </c>
      <c r="C609" s="15" t="s">
        <v>1155</v>
      </c>
      <c r="D609" s="15" t="s">
        <v>4416</v>
      </c>
      <c r="E609" s="15" t="s">
        <v>4416</v>
      </c>
      <c r="F609" s="65" t="s">
        <v>788</v>
      </c>
      <c r="G609" s="66" t="s">
        <v>98</v>
      </c>
      <c r="H609" s="18" t="s">
        <v>4418</v>
      </c>
      <c r="I609" s="18" t="s">
        <v>8412</v>
      </c>
      <c r="J609" s="18" t="s">
        <v>98</v>
      </c>
      <c r="K609" s="18" t="s">
        <v>98</v>
      </c>
      <c r="L609" s="18" t="s">
        <v>98</v>
      </c>
      <c r="M609" s="18" t="s">
        <v>98</v>
      </c>
      <c r="N609" s="18" t="s">
        <v>98</v>
      </c>
      <c r="O609" s="18" t="s">
        <v>98</v>
      </c>
      <c r="P609" s="15" t="str">
        <f t="shared" si="1"/>
        <v>VERIFY</v>
      </c>
      <c r="Q609" s="15">
        <f t="shared" si="2"/>
        <v>6</v>
      </c>
      <c r="R609" s="15">
        <f t="shared" si="3"/>
        <v>4</v>
      </c>
      <c r="S609" s="15">
        <f t="shared" si="4"/>
        <v>1</v>
      </c>
      <c r="T609" s="15" t="str">
        <f t="shared" si="5"/>
        <v>B-6</v>
      </c>
      <c r="U609" s="15" t="str">
        <f t="shared" si="6"/>
        <v>T6-M4-H1-FB-6-VERIFY</v>
      </c>
      <c r="V609" s="15">
        <f t="shared" si="7"/>
        <v>0</v>
      </c>
      <c r="W609" s="31"/>
      <c r="X609" s="15" t="str">
        <f t="shared" si="8"/>
        <v>silchar</v>
      </c>
      <c r="Y609" s="32" t="str">
        <f t="shared" si="9"/>
        <v>https://steelmanufacturer.in/market-area/electropolished-pipes-manufacturer-in-silchar/</v>
      </c>
      <c r="Z609" s="15" t="str">
        <f t="shared" si="10"/>
        <v>Electropolished Pipes Manufacturer in Silchar</v>
      </c>
      <c r="AA609" s="15" t="str">
        <f t="shared" si="11"/>
        <v>OK (45)</v>
      </c>
      <c r="AB609" s="15" t="str">
        <f t="shared" si="12"/>
        <v>Sanitary electropolished pipes in Silchar for VERIFY plants. ASME BPE SF1-SF4, orbital-weld ready, 3.1 MTC. Mumbai-made.</v>
      </c>
      <c r="AC609" s="15" t="str">
        <f t="shared" si="13"/>
        <v>PENDING RESEARCH</v>
      </c>
      <c r="AD609" s="15" t="str">
        <f t="shared" si="14"/>
        <v>Electropolished Pipes Manufacturer in Silchar</v>
      </c>
      <c r="AE609" s="15" t="str">
        <f t="shared" si="15"/>
        <v>Electropolished Pipe &amp; Tube Manufacturing for Silchar - Grades, Finishes &amp; Certification</v>
      </c>
      <c r="AF609" s="15" t="str">
        <f t="shared" si="16"/>
        <v>Electropolished Pipes Supplier in Silchar - Stock Sizes, Lead Time &amp; Delivery</v>
      </c>
      <c r="AG609" s="15" t="str">
        <f t="shared" si="17"/>
        <v>Electropolished Pipes Wholesaler &amp; Stockist in Silchar - Bulk &amp; Project Pricing</v>
      </c>
      <c r="AH609" s="15" t="str">
        <f t="shared" si="18"/>
        <v>electropolished pipes manufacturer in Silchar, electropolished pipes supplier in Silchar, electropolished pipes wholesaler in Silchar, electropolished tube manufacturer Silchar, EP pipe supplier Silchar, sanitary tube supplier Silchar, ASME BPE tubing Silchar, ASTM A270 tube Silchar, SS 316L electropolished pipe Silchar</v>
      </c>
      <c r="AI609" s="15" t="str">
        <f t="shared" si="19"/>
        <v>Electropolished Pipes Manufacturer &amp; Supplier in Silchar</v>
      </c>
      <c r="AJ609" s="15" t="str">
        <f t="shared" si="20"/>
        <v>EP-finished SS 304/316L pipes and tubes for VERIFY plants in Silchar. ASME BPE SF1-SF4, Ra from 0.25 um, EN 10204 3.1 certificate with every lot.</v>
      </c>
      <c r="AK609" s="15" t="str">
        <f t="shared" si="21"/>
        <v>Electropolished stainless steel pipes supplied by Sakshi Forge to VERIFY plants at AIDC Industrial Area, Silchar</v>
      </c>
      <c r="AL609" s="15" t="str">
        <f t="shared" si="22"/>
        <v>Electropolished SS 316L tube stock for Silchar - Sakshi Forge</v>
      </c>
      <c r="AM609" s="15" t="str">
        <f t="shared" si="23"/>
        <v>Home &gt; Market Area &gt; India &gt; Assam &gt; Silchar</v>
      </c>
      <c r="AN609" s="15">
        <f t="shared" si="24"/>
        <v>1000</v>
      </c>
      <c r="AO609" s="15">
        <f t="shared" si="25"/>
        <v>8</v>
      </c>
      <c r="AP609" s="15">
        <f t="shared" si="26"/>
        <v>8</v>
      </c>
      <c r="AQ609" s="15">
        <f t="shared" si="27"/>
        <v>11</v>
      </c>
      <c r="AR609" s="31"/>
      <c r="AS609" s="31"/>
      <c r="AT609" s="35" t="s">
        <v>222</v>
      </c>
      <c r="AU609" s="35"/>
    </row>
    <row r="610" ht="15.75" customHeight="1">
      <c r="A610" s="15" t="s">
        <v>4419</v>
      </c>
      <c r="B610" s="15" t="s">
        <v>60</v>
      </c>
      <c r="C610" s="15" t="s">
        <v>1165</v>
      </c>
      <c r="D610" s="15" t="s">
        <v>4420</v>
      </c>
      <c r="E610" s="15" t="s">
        <v>4420</v>
      </c>
      <c r="F610" s="65" t="s">
        <v>788</v>
      </c>
      <c r="G610" s="66" t="s">
        <v>98</v>
      </c>
      <c r="H610" s="18" t="s">
        <v>4422</v>
      </c>
      <c r="I610" s="18" t="s">
        <v>8404</v>
      </c>
      <c r="J610" s="18" t="s">
        <v>98</v>
      </c>
      <c r="K610" s="18" t="s">
        <v>98</v>
      </c>
      <c r="L610" s="18" t="s">
        <v>98</v>
      </c>
      <c r="M610" s="18" t="s">
        <v>98</v>
      </c>
      <c r="N610" s="18" t="s">
        <v>98</v>
      </c>
      <c r="O610" s="18" t="s">
        <v>98</v>
      </c>
      <c r="P610" s="15" t="str">
        <f t="shared" si="1"/>
        <v>VERIFY</v>
      </c>
      <c r="Q610" s="15">
        <f t="shared" si="2"/>
        <v>7</v>
      </c>
      <c r="R610" s="15">
        <f t="shared" si="3"/>
        <v>5</v>
      </c>
      <c r="S610" s="15">
        <f t="shared" si="4"/>
        <v>2</v>
      </c>
      <c r="T610" s="15" t="str">
        <f t="shared" si="5"/>
        <v>B-1</v>
      </c>
      <c r="U610" s="15" t="str">
        <f t="shared" si="6"/>
        <v>T7-M5-H2-FB-1-VERIFY</v>
      </c>
      <c r="V610" s="15">
        <f t="shared" si="7"/>
        <v>0</v>
      </c>
      <c r="W610" s="31"/>
      <c r="X610" s="15" t="str">
        <f t="shared" si="8"/>
        <v>siliguri</v>
      </c>
      <c r="Y610" s="32" t="str">
        <f t="shared" si="9"/>
        <v>https://steelmanufacturer.in/market-area/electropolished-pipes-manufacturer-in-siliguri/</v>
      </c>
      <c r="Z610" s="15" t="str">
        <f t="shared" si="10"/>
        <v>Electropolished Pipes Manufacturer in Siliguri | ASME BPE SF1-SF4</v>
      </c>
      <c r="AA610" s="15" t="str">
        <f t="shared" si="11"/>
        <v>OK (65)</v>
      </c>
      <c r="AB610" s="15" t="str">
        <f t="shared" si="12"/>
        <v>Manufacturer of electropolished SS 316L tube serving Siliguri. VERIFY. Ra 0.25-0.5 um, EN 10204 3.1 MTC.</v>
      </c>
      <c r="AC610" s="15" t="str">
        <f t="shared" si="13"/>
        <v>PENDING RESEARCH</v>
      </c>
      <c r="AD610" s="15" t="str">
        <f t="shared" si="14"/>
        <v>Electropolished Pipes Manufacturer in Siliguri</v>
      </c>
      <c r="AE610" s="15" t="str">
        <f t="shared" si="15"/>
        <v>How We Manufacture Electropolished Tube for Siliguri Plants</v>
      </c>
      <c r="AF610" s="15" t="str">
        <f t="shared" si="16"/>
        <v>Supplying Electropolished Pipes in Siliguri: Availability, Sizes &amp; Dispatch</v>
      </c>
      <c r="AG610" s="15" t="str">
        <f t="shared" si="17"/>
        <v>Wholesale Electropolished Pipe Supply for Siliguri Projects</v>
      </c>
      <c r="AH610" s="15" t="str">
        <f t="shared" si="18"/>
        <v>electropolished pipes manufacturer in Siliguri, electropolished pipes supplier in Siliguri, electropolished pipes wholesaler in Siliguri, electropolished tube manufacturer Siliguri, EP pipe supplier Siliguri, sanitary tube supplier Siliguri, ASME BPE tubing Siliguri, ASTM A270 tube Siliguri, SS 316L electropolished pipe Siliguri</v>
      </c>
      <c r="AI610" s="15" t="str">
        <f t="shared" si="19"/>
        <v>Electropolished Pipes Manufacturer &amp; Supplier in Siliguri</v>
      </c>
      <c r="AJ610" s="15" t="str">
        <f t="shared" si="20"/>
        <v>EP-finished SS 304/316L pipes and tubes for VERIFY plants in Siliguri. ASME BPE SF1-SF4, Ra from 0.25 um, EN 10204 3.1 certificate with every lot.</v>
      </c>
      <c r="AK610" s="15" t="str">
        <f t="shared" si="21"/>
        <v>Electropolished stainless steel pipes supplied by Sakshi Forge to VERIFY plants at WBIDC Industrial Area, Siliguri</v>
      </c>
      <c r="AL610" s="15" t="str">
        <f t="shared" si="22"/>
        <v>Electropolished SS 316L tube stock for Siliguri - Sakshi Forge</v>
      </c>
      <c r="AM610" s="15" t="str">
        <f t="shared" si="23"/>
        <v>Home &gt; Market Area &gt; India &gt; West Bengal &gt; Siliguri</v>
      </c>
      <c r="AN610" s="15">
        <f t="shared" si="24"/>
        <v>1000</v>
      </c>
      <c r="AO610" s="15">
        <f t="shared" si="25"/>
        <v>8</v>
      </c>
      <c r="AP610" s="15">
        <f t="shared" si="26"/>
        <v>8</v>
      </c>
      <c r="AQ610" s="15">
        <f t="shared" si="27"/>
        <v>11</v>
      </c>
      <c r="AR610" s="31"/>
      <c r="AS610" s="31"/>
      <c r="AT610" s="35" t="s">
        <v>222</v>
      </c>
      <c r="AU610" s="35"/>
    </row>
    <row r="611" ht="15.75" customHeight="1">
      <c r="A611" s="15" t="s">
        <v>4423</v>
      </c>
      <c r="B611" s="15" t="s">
        <v>60</v>
      </c>
      <c r="C611" s="15" t="s">
        <v>264</v>
      </c>
      <c r="D611" s="15" t="s">
        <v>4424</v>
      </c>
      <c r="E611" s="15" t="s">
        <v>4424</v>
      </c>
      <c r="F611" s="65" t="s">
        <v>788</v>
      </c>
      <c r="G611" s="66" t="s">
        <v>98</v>
      </c>
      <c r="H611" s="18" t="s">
        <v>4426</v>
      </c>
      <c r="I611" s="18" t="s">
        <v>8395</v>
      </c>
      <c r="J611" s="18" t="s">
        <v>98</v>
      </c>
      <c r="K611" s="18" t="s">
        <v>98</v>
      </c>
      <c r="L611" s="18" t="s">
        <v>98</v>
      </c>
      <c r="M611" s="18" t="s">
        <v>98</v>
      </c>
      <c r="N611" s="18" t="s">
        <v>98</v>
      </c>
      <c r="O611" s="18" t="s">
        <v>98</v>
      </c>
      <c r="P611" s="15" t="str">
        <f t="shared" si="1"/>
        <v>VERIFY</v>
      </c>
      <c r="Q611" s="15">
        <f t="shared" si="2"/>
        <v>8</v>
      </c>
      <c r="R611" s="15">
        <f t="shared" si="3"/>
        <v>6</v>
      </c>
      <c r="S611" s="15">
        <f t="shared" si="4"/>
        <v>3</v>
      </c>
      <c r="T611" s="15" t="str">
        <f t="shared" si="5"/>
        <v>B-2</v>
      </c>
      <c r="U611" s="15" t="str">
        <f t="shared" si="6"/>
        <v>T8-M6-H3-FB-2-VERIFY</v>
      </c>
      <c r="V611" s="15">
        <f t="shared" si="7"/>
        <v>0</v>
      </c>
      <c r="W611" s="31"/>
      <c r="X611" s="15" t="str">
        <f t="shared" si="8"/>
        <v>sindhudurg</v>
      </c>
      <c r="Y611" s="32" t="str">
        <f t="shared" si="9"/>
        <v>https://steelmanufacturer.in/market-area/electropolished-pipes-manufacturer-in-sindhudurg/</v>
      </c>
      <c r="Z611" s="15" t="str">
        <f t="shared" si="10"/>
        <v>Electropolished Pipes Manufacturer in Sindhudurg</v>
      </c>
      <c r="AA611" s="15" t="str">
        <f t="shared" si="11"/>
        <v>OK (48)</v>
      </c>
      <c r="AB611" s="15" t="str">
        <f t="shared" si="12"/>
        <v>EP tube and pipe for VERIFY plants around MIDC Industrial Area, Sindhudurg. Made at our Mumbai works to ASTM A270 and ASME BPE SF1-SF4, with 3.1 MTC.</v>
      </c>
      <c r="AC611" s="15" t="str">
        <f t="shared" si="13"/>
        <v>PENDING RESEARCH</v>
      </c>
      <c r="AD611" s="15" t="str">
        <f t="shared" si="14"/>
        <v>Electropolished Pipes Manufacturer in Sindhudurg</v>
      </c>
      <c r="AE611" s="15" t="str">
        <f t="shared" si="15"/>
        <v>Electropolished Pipes Manufacturer in Sindhudurg - Our Process &amp; Capability</v>
      </c>
      <c r="AF611" s="15" t="str">
        <f t="shared" si="16"/>
        <v>Electropolished Pipes Supplier in Sindhudurg - What We Hold in Stock</v>
      </c>
      <c r="AG611" s="15" t="str">
        <f t="shared" si="17"/>
        <v>Bulk &amp; Wholesale Electropolished Pipe Rates for Sindhudurg Buyers</v>
      </c>
      <c r="AH611" s="15" t="str">
        <f t="shared" si="18"/>
        <v>electropolished pipes manufacturer in Sindhudurg, electropolished pipes supplier in Sindhudurg, electropolished pipes wholesaler in Sindhudurg, electropolished tube manufacturer Sindhudurg, EP pipe supplier Sindhudurg, sanitary tube supplier Sindhudurg, ASME BPE tubing Sindhudurg, ASTM A270 tube Sindhudurg, SS 316L electropolished pipe Sindhudurg</v>
      </c>
      <c r="AI611" s="15" t="str">
        <f t="shared" si="19"/>
        <v>Electropolished Pipes Manufacturer &amp; Supplier in Sindhudurg</v>
      </c>
      <c r="AJ611" s="15" t="str">
        <f t="shared" si="20"/>
        <v>EP-finished SS 304/316L pipes and tubes for VERIFY plants in Sindhudurg. ASME BPE SF1-SF4, Ra from 0.25 um, EN 10204 3.1 certificate with every lot.</v>
      </c>
      <c r="AK611" s="15" t="str">
        <f t="shared" si="21"/>
        <v>Electropolished stainless steel pipes supplied by Sakshi Forge to VERIFY plants at MIDC Industrial Area, Sindhudurg</v>
      </c>
      <c r="AL611" s="15" t="str">
        <f t="shared" si="22"/>
        <v>Electropolished SS 316L tube stock for Sindhudurg - Sakshi Forge</v>
      </c>
      <c r="AM611" s="15" t="str">
        <f t="shared" si="23"/>
        <v>Home &gt; Market Area &gt; India &gt; Maharashtra &gt; Sindhudurg</v>
      </c>
      <c r="AN611" s="15">
        <f t="shared" si="24"/>
        <v>1000</v>
      </c>
      <c r="AO611" s="15">
        <f t="shared" si="25"/>
        <v>8</v>
      </c>
      <c r="AP611" s="15">
        <f t="shared" si="26"/>
        <v>8</v>
      </c>
      <c r="AQ611" s="15">
        <f t="shared" si="27"/>
        <v>11</v>
      </c>
      <c r="AR611" s="31"/>
      <c r="AS611" s="31"/>
      <c r="AT611" s="35" t="s">
        <v>222</v>
      </c>
      <c r="AU611" s="35"/>
    </row>
    <row r="612" ht="15.75" customHeight="1">
      <c r="A612" s="15" t="s">
        <v>4427</v>
      </c>
      <c r="B612" s="15" t="s">
        <v>60</v>
      </c>
      <c r="C612" s="15" t="s">
        <v>842</v>
      </c>
      <c r="D612" s="15" t="s">
        <v>4429</v>
      </c>
      <c r="E612" s="15" t="s">
        <v>4429</v>
      </c>
      <c r="F612" s="65" t="s">
        <v>788</v>
      </c>
      <c r="G612" s="66" t="s">
        <v>98</v>
      </c>
      <c r="H612" s="18" t="s">
        <v>4432</v>
      </c>
      <c r="I612" s="18" t="s">
        <v>8413</v>
      </c>
      <c r="J612" s="18" t="s">
        <v>98</v>
      </c>
      <c r="K612" s="18" t="s">
        <v>98</v>
      </c>
      <c r="L612" s="18" t="s">
        <v>98</v>
      </c>
      <c r="M612" s="18" t="s">
        <v>98</v>
      </c>
      <c r="N612" s="18" t="s">
        <v>98</v>
      </c>
      <c r="O612" s="18" t="s">
        <v>98</v>
      </c>
      <c r="P612" s="15" t="str">
        <f t="shared" si="1"/>
        <v>VERIFY</v>
      </c>
      <c r="Q612" s="15">
        <f t="shared" si="2"/>
        <v>1</v>
      </c>
      <c r="R612" s="15">
        <f t="shared" si="3"/>
        <v>7</v>
      </c>
      <c r="S612" s="15">
        <f t="shared" si="4"/>
        <v>4</v>
      </c>
      <c r="T612" s="15" t="str">
        <f t="shared" si="5"/>
        <v>B-3</v>
      </c>
      <c r="U612" s="15" t="str">
        <f t="shared" si="6"/>
        <v>T1-M7-H4-FB-3-VERIFY</v>
      </c>
      <c r="V612" s="15">
        <f t="shared" si="7"/>
        <v>0</v>
      </c>
      <c r="W612" s="31"/>
      <c r="X612" s="15" t="str">
        <f t="shared" si="8"/>
        <v>singrauli</v>
      </c>
      <c r="Y612" s="32" t="str">
        <f t="shared" si="9"/>
        <v>https://steelmanufacturer.in/market-area/electropolished-pipes-manufacturer-in-singrauli/</v>
      </c>
      <c r="Z612" s="15" t="str">
        <f t="shared" si="10"/>
        <v>Electropolished Pipes Manufacturer in Singrauli | Sakshi Forge</v>
      </c>
      <c r="AA612" s="15" t="str">
        <f t="shared" si="11"/>
        <v>OK (62)</v>
      </c>
      <c r="AB612" s="15" t="str">
        <f t="shared" si="12"/>
        <v>Electropolished pipes in Singrauli: 304, 304L, 316 and 316L in SF1-SF4. VERIFY. Mill certified.</v>
      </c>
      <c r="AC612" s="15" t="str">
        <f t="shared" si="13"/>
        <v>PENDING RESEARCH</v>
      </c>
      <c r="AD612" s="15" t="str">
        <f t="shared" si="14"/>
        <v>Electropolished Pipes Manufacturer in Singrauli</v>
      </c>
      <c r="AE612" s="15" t="str">
        <f t="shared" si="15"/>
        <v>Manufacturing Electropolished SS Tube for Singrauli: The Standards We Build To</v>
      </c>
      <c r="AF612" s="15" t="str">
        <f t="shared" si="16"/>
        <v>Electropolished Pipe Supply Into Singrauli - Certification &amp; Transit</v>
      </c>
      <c r="AG612" s="15" t="str">
        <f t="shared" si="17"/>
        <v>Electropolished Pipes Wholesaler in Singrauli - Project Quantities &amp; Terms</v>
      </c>
      <c r="AH612" s="15" t="str">
        <f t="shared" si="18"/>
        <v>electropolished pipes manufacturer in Singrauli, electropolished pipes supplier in Singrauli, electropolished pipes wholesaler in Singrauli, electropolished tube manufacturer Singrauli, EP pipe supplier Singrauli, sanitary tube supplier Singrauli, ASME BPE tubing Singrauli, ASTM A270 tube Singrauli, SS 316L electropolished pipe Singrauli</v>
      </c>
      <c r="AI612" s="15" t="str">
        <f t="shared" si="19"/>
        <v>Electropolished Pipes Manufacturer &amp; Supplier in Singrauli</v>
      </c>
      <c r="AJ612" s="15" t="str">
        <f t="shared" si="20"/>
        <v>EP-finished SS 304/316L pipes and tubes for VERIFY plants in Singrauli. ASME BPE SF1-SF4, Ra from 0.25 um, EN 10204 3.1 certificate with every lot.</v>
      </c>
      <c r="AK612" s="15" t="str">
        <f t="shared" si="21"/>
        <v>Electropolished stainless steel pipes supplied by Sakshi Forge to VERIFY plants at MPIDC Industrial Area, Singrauli</v>
      </c>
      <c r="AL612" s="15" t="str">
        <f t="shared" si="22"/>
        <v>Electropolished SS 316L tube stock for Singrauli - Sakshi Forge</v>
      </c>
      <c r="AM612" s="15" t="str">
        <f t="shared" si="23"/>
        <v>Home &gt; Market Area &gt; India &gt; Madhya Pradesh &gt; Singrauli</v>
      </c>
      <c r="AN612" s="15">
        <f t="shared" si="24"/>
        <v>1000</v>
      </c>
      <c r="AO612" s="15">
        <f t="shared" si="25"/>
        <v>8</v>
      </c>
      <c r="AP612" s="15">
        <f t="shared" si="26"/>
        <v>8</v>
      </c>
      <c r="AQ612" s="15">
        <f t="shared" si="27"/>
        <v>11</v>
      </c>
      <c r="AR612" s="31"/>
      <c r="AS612" s="31"/>
      <c r="AT612" s="35" t="s">
        <v>222</v>
      </c>
      <c r="AU612" s="35"/>
    </row>
    <row r="613" ht="15.75" customHeight="1">
      <c r="A613" s="15" t="s">
        <v>4433</v>
      </c>
      <c r="B613" s="15" t="s">
        <v>60</v>
      </c>
      <c r="C613" s="15" t="s">
        <v>264</v>
      </c>
      <c r="D613" s="15" t="s">
        <v>4435</v>
      </c>
      <c r="E613" s="15" t="s">
        <v>4435</v>
      </c>
      <c r="F613" s="65" t="s">
        <v>788</v>
      </c>
      <c r="G613" s="66" t="s">
        <v>98</v>
      </c>
      <c r="H613" s="18" t="s">
        <v>4440</v>
      </c>
      <c r="I613" s="18" t="s">
        <v>8395</v>
      </c>
      <c r="J613" s="18" t="s">
        <v>98</v>
      </c>
      <c r="K613" s="18" t="s">
        <v>98</v>
      </c>
      <c r="L613" s="18" t="s">
        <v>98</v>
      </c>
      <c r="M613" s="18" t="s">
        <v>98</v>
      </c>
      <c r="N613" s="18" t="s">
        <v>98</v>
      </c>
      <c r="O613" s="18" t="s">
        <v>98</v>
      </c>
      <c r="P613" s="15" t="str">
        <f t="shared" si="1"/>
        <v>VERIFY</v>
      </c>
      <c r="Q613" s="15">
        <f t="shared" si="2"/>
        <v>2</v>
      </c>
      <c r="R613" s="15">
        <f t="shared" si="3"/>
        <v>1</v>
      </c>
      <c r="S613" s="15">
        <f t="shared" si="4"/>
        <v>5</v>
      </c>
      <c r="T613" s="15" t="str">
        <f t="shared" si="5"/>
        <v>B-4</v>
      </c>
      <c r="U613" s="15" t="str">
        <f t="shared" si="6"/>
        <v>T2-M1-H5-FB-4-VERIFY</v>
      </c>
      <c r="V613" s="15">
        <f t="shared" si="7"/>
        <v>0</v>
      </c>
      <c r="W613" s="31"/>
      <c r="X613" s="15" t="str">
        <f t="shared" si="8"/>
        <v>sinnar</v>
      </c>
      <c r="Y613" s="32" t="str">
        <f t="shared" si="9"/>
        <v>https://steelmanufacturer.in/market-area/electropolished-pipes-manufacturer-in-sinnar/</v>
      </c>
      <c r="Z613" s="15" t="str">
        <f t="shared" si="10"/>
        <v>Electropolished Pipes Manufacturer in Sinnar</v>
      </c>
      <c r="AA613" s="15" t="str">
        <f t="shared" si="11"/>
        <v>OK (44)</v>
      </c>
      <c r="AB613" s="15" t="str">
        <f t="shared" si="12"/>
        <v>EP-finished SS 304/316L pipes &amp; tubes for VERIFY plants in Sinnar. ASTM A270, ASME BPE SF1-SF4, EN 10204 3.1 MTC. PMI tested.</v>
      </c>
      <c r="AC613" s="15" t="str">
        <f t="shared" si="13"/>
        <v>PENDING RESEARCH</v>
      </c>
      <c r="AD613" s="15" t="str">
        <f t="shared" si="14"/>
        <v>Electropolished Pipes Manufacturer in Sinnar</v>
      </c>
      <c r="AE613" s="15" t="str">
        <f t="shared" si="15"/>
        <v>Electropolished Tube Manufacturing Capability Serving Sinnar</v>
      </c>
      <c r="AF613" s="15" t="str">
        <f t="shared" si="16"/>
        <v>Electropolished Pipes Supplier in Sinnar - From Order to Delivery</v>
      </c>
      <c r="AG613" s="15" t="str">
        <f t="shared" si="17"/>
        <v>Stockist &amp; Wholesale Supply of Electropolished Pipes in Sinnar</v>
      </c>
      <c r="AH613" s="15" t="str">
        <f t="shared" si="18"/>
        <v>electropolished pipes manufacturer in Sinnar, electropolished pipes supplier in Sinnar, electropolished pipes wholesaler in Sinnar, electropolished tube manufacturer Sinnar, EP pipe supplier Sinnar, sanitary tube supplier Sinnar, ASME BPE tubing Sinnar, ASTM A270 tube Sinnar, SS 316L electropolished pipe Sinnar</v>
      </c>
      <c r="AI613" s="15" t="str">
        <f t="shared" si="19"/>
        <v>Electropolished Pipes Manufacturer &amp; Supplier in Sinnar</v>
      </c>
      <c r="AJ613" s="15" t="str">
        <f t="shared" si="20"/>
        <v>EP-finished SS 304/316L pipes and tubes for VERIFY plants in Sinnar. ASME BPE SF1-SF4, Ra from 0.25 um, EN 10204 3.1 certificate with every lot.</v>
      </c>
      <c r="AK613" s="15" t="str">
        <f t="shared" si="21"/>
        <v>Electropolished stainless steel pipes supplied by Sakshi Forge to VERIFY plants at MIDC Industrial Area, Sinnar</v>
      </c>
      <c r="AL613" s="15" t="str">
        <f t="shared" si="22"/>
        <v>Electropolished SS 316L tube stock for Sinnar - Sakshi Forge</v>
      </c>
      <c r="AM613" s="15" t="str">
        <f t="shared" si="23"/>
        <v>Home &gt; Market Area &gt; India &gt; Maharashtra &gt; Sinnar</v>
      </c>
      <c r="AN613" s="15">
        <f t="shared" si="24"/>
        <v>1000</v>
      </c>
      <c r="AO613" s="15">
        <f t="shared" si="25"/>
        <v>8</v>
      </c>
      <c r="AP613" s="15">
        <f t="shared" si="26"/>
        <v>8</v>
      </c>
      <c r="AQ613" s="15">
        <f t="shared" si="27"/>
        <v>11</v>
      </c>
      <c r="AR613" s="31"/>
      <c r="AS613" s="31"/>
      <c r="AT613" s="35" t="s">
        <v>222</v>
      </c>
      <c r="AU613" s="35"/>
    </row>
    <row r="614" ht="15.75" customHeight="1">
      <c r="A614" s="15" t="s">
        <v>4441</v>
      </c>
      <c r="B614" s="15" t="s">
        <v>60</v>
      </c>
      <c r="C614" s="15" t="s">
        <v>447</v>
      </c>
      <c r="D614" s="15" t="s">
        <v>4442</v>
      </c>
      <c r="E614" s="15" t="s">
        <v>4442</v>
      </c>
      <c r="F614" s="65" t="s">
        <v>788</v>
      </c>
      <c r="G614" s="66" t="s">
        <v>98</v>
      </c>
      <c r="H614" s="18" t="s">
        <v>4444</v>
      </c>
      <c r="I614" s="18" t="s">
        <v>8411</v>
      </c>
      <c r="J614" s="18" t="s">
        <v>98</v>
      </c>
      <c r="K614" s="18" t="s">
        <v>98</v>
      </c>
      <c r="L614" s="18" t="s">
        <v>98</v>
      </c>
      <c r="M614" s="18" t="s">
        <v>98</v>
      </c>
      <c r="N614" s="18" t="s">
        <v>98</v>
      </c>
      <c r="O614" s="18" t="s">
        <v>98</v>
      </c>
      <c r="P614" s="15" t="str">
        <f t="shared" si="1"/>
        <v>VERIFY</v>
      </c>
      <c r="Q614" s="15">
        <f t="shared" si="2"/>
        <v>3</v>
      </c>
      <c r="R614" s="15">
        <f t="shared" si="3"/>
        <v>2</v>
      </c>
      <c r="S614" s="15">
        <f t="shared" si="4"/>
        <v>1</v>
      </c>
      <c r="T614" s="15" t="str">
        <f t="shared" si="5"/>
        <v>B-5</v>
      </c>
      <c r="U614" s="15" t="str">
        <f t="shared" si="6"/>
        <v>T3-M2-H1-FB-5-VERIFY</v>
      </c>
      <c r="V614" s="15">
        <f t="shared" si="7"/>
        <v>0</v>
      </c>
      <c r="W614" s="31"/>
      <c r="X614" s="15" t="str">
        <f t="shared" si="8"/>
        <v>sirmaur</v>
      </c>
      <c r="Y614" s="32" t="str">
        <f t="shared" si="9"/>
        <v>https://steelmanufacturer.in/market-area/electropolished-pipes-manufacturer-in-sirmaur/</v>
      </c>
      <c r="Z614" s="15" t="str">
        <f t="shared" si="10"/>
        <v>Electropolished Pipes Manufacturer in Sirmaur | EP Tube Supplier</v>
      </c>
      <c r="AA614" s="15" t="str">
        <f t="shared" si="11"/>
        <v>OK (64)</v>
      </c>
      <c r="AB614" s="15" t="str">
        <f t="shared" si="12"/>
        <v>Electropolished tube supply to HPSIDC Industrial Area, Sirmaur. Ra from 0.25 um, SF4 finish, mill test certificate with every lot.</v>
      </c>
      <c r="AC614" s="15" t="str">
        <f t="shared" si="13"/>
        <v>PENDING RESEARCH</v>
      </c>
      <c r="AD614" s="15" t="str">
        <f t="shared" si="14"/>
        <v>Electropolished Pipes Manufacturer in Sirmaur</v>
      </c>
      <c r="AE614" s="15" t="str">
        <f t="shared" si="15"/>
        <v>Electropolished Pipe &amp; Tube Manufacturing for Sirmaur - Grades, Finishes &amp; Certification</v>
      </c>
      <c r="AF614" s="15" t="str">
        <f t="shared" si="16"/>
        <v>Electropolished Pipes Supplier in Sirmaur - Stock Sizes, Lead Time &amp; Delivery</v>
      </c>
      <c r="AG614" s="15" t="str">
        <f t="shared" si="17"/>
        <v>Electropolished Pipes Wholesaler &amp; Stockist in Sirmaur - Bulk &amp; Project Pricing</v>
      </c>
      <c r="AH614" s="15" t="str">
        <f t="shared" si="18"/>
        <v>electropolished pipes manufacturer in Sirmaur, electropolished pipes supplier in Sirmaur, electropolished pipes wholesaler in Sirmaur, electropolished tube manufacturer Sirmaur, EP pipe supplier Sirmaur, sanitary tube supplier Sirmaur, ASME BPE tubing Sirmaur, ASTM A270 tube Sirmaur, SS 316L electropolished pipe Sirmaur</v>
      </c>
      <c r="AI614" s="15" t="str">
        <f t="shared" si="19"/>
        <v>Electropolished Pipes Manufacturer &amp; Supplier in Sirmaur</v>
      </c>
      <c r="AJ614" s="15" t="str">
        <f t="shared" si="20"/>
        <v>EP-finished SS 304/316L pipes and tubes for VERIFY plants in Sirmaur. ASME BPE SF1-SF4, Ra from 0.25 um, EN 10204 3.1 certificate with every lot.</v>
      </c>
      <c r="AK614" s="15" t="str">
        <f t="shared" si="21"/>
        <v>Electropolished stainless steel pipes supplied by Sakshi Forge to VERIFY plants at HPSIDC Industrial Area, Sirmaur</v>
      </c>
      <c r="AL614" s="15" t="str">
        <f t="shared" si="22"/>
        <v>Electropolished SS 316L tube stock for Sirmaur - Sakshi Forge</v>
      </c>
      <c r="AM614" s="15" t="str">
        <f t="shared" si="23"/>
        <v>Home &gt; Market Area &gt; India &gt; Himachal Pradesh &gt; Sirmaur</v>
      </c>
      <c r="AN614" s="15">
        <f t="shared" si="24"/>
        <v>1000</v>
      </c>
      <c r="AO614" s="15">
        <f t="shared" si="25"/>
        <v>8</v>
      </c>
      <c r="AP614" s="15">
        <f t="shared" si="26"/>
        <v>8</v>
      </c>
      <c r="AQ614" s="15">
        <f t="shared" si="27"/>
        <v>11</v>
      </c>
      <c r="AR614" s="31"/>
      <c r="AS614" s="31"/>
      <c r="AT614" s="35" t="s">
        <v>222</v>
      </c>
      <c r="AU614" s="35"/>
    </row>
    <row r="615" ht="15.75" customHeight="1">
      <c r="A615" s="15" t="s">
        <v>4445</v>
      </c>
      <c r="B615" s="15" t="s">
        <v>60</v>
      </c>
      <c r="C615" s="15" t="s">
        <v>245</v>
      </c>
      <c r="D615" s="15" t="s">
        <v>4446</v>
      </c>
      <c r="E615" s="15" t="s">
        <v>4446</v>
      </c>
      <c r="F615" s="65" t="s">
        <v>788</v>
      </c>
      <c r="G615" s="66" t="s">
        <v>98</v>
      </c>
      <c r="H615" s="18" t="s">
        <v>4448</v>
      </c>
      <c r="I615" s="18" t="s">
        <v>8407</v>
      </c>
      <c r="J615" s="18" t="s">
        <v>98</v>
      </c>
      <c r="K615" s="18" t="s">
        <v>98</v>
      </c>
      <c r="L615" s="18" t="s">
        <v>98</v>
      </c>
      <c r="M615" s="18" t="s">
        <v>98</v>
      </c>
      <c r="N615" s="18" t="s">
        <v>98</v>
      </c>
      <c r="O615" s="18" t="s">
        <v>98</v>
      </c>
      <c r="P615" s="15" t="str">
        <f t="shared" si="1"/>
        <v>VERIFY</v>
      </c>
      <c r="Q615" s="15">
        <f t="shared" si="2"/>
        <v>4</v>
      </c>
      <c r="R615" s="15">
        <f t="shared" si="3"/>
        <v>3</v>
      </c>
      <c r="S615" s="15">
        <f t="shared" si="4"/>
        <v>2</v>
      </c>
      <c r="T615" s="15" t="str">
        <f t="shared" si="5"/>
        <v>B-6</v>
      </c>
      <c r="U615" s="15" t="str">
        <f t="shared" si="6"/>
        <v>T4-M3-H2-FB-6-VERIFY</v>
      </c>
      <c r="V615" s="15">
        <f t="shared" si="7"/>
        <v>0</v>
      </c>
      <c r="W615" s="31"/>
      <c r="X615" s="15" t="str">
        <f t="shared" si="8"/>
        <v>sirsa</v>
      </c>
      <c r="Y615" s="32" t="str">
        <f t="shared" si="9"/>
        <v>https://steelmanufacturer.in/market-area/electropolished-pipes-manufacturer-in-sirsa/</v>
      </c>
      <c r="Z615" s="15" t="str">
        <f t="shared" si="10"/>
        <v>Electropolished Pipes Manufacturer in Sirsa - SS 304/316L EP Tube</v>
      </c>
      <c r="AA615" s="15" t="str">
        <f t="shared" si="11"/>
        <v>OK (65)</v>
      </c>
      <c r="AB615" s="15" t="str">
        <f t="shared" si="12"/>
        <v>EP stainless tube for VERIFY lines in Sirsa. VERIFY. ASTM A270 S2, PMI tested, EN 10204 3.1.</v>
      </c>
      <c r="AC615" s="15" t="str">
        <f t="shared" si="13"/>
        <v>PENDING RESEARCH</v>
      </c>
      <c r="AD615" s="15" t="str">
        <f t="shared" si="14"/>
        <v>Electropolished Pipes Manufacturer in Sirsa</v>
      </c>
      <c r="AE615" s="15" t="str">
        <f t="shared" si="15"/>
        <v>How We Manufacture Electropolished Tube for Sirsa Plants</v>
      </c>
      <c r="AF615" s="15" t="str">
        <f t="shared" si="16"/>
        <v>Supplying Electropolished Pipes in Sirsa: Availability, Sizes &amp; Dispatch</v>
      </c>
      <c r="AG615" s="15" t="str">
        <f t="shared" si="17"/>
        <v>Wholesale Electropolished Pipe Supply for Sirsa Projects</v>
      </c>
      <c r="AH615" s="15" t="str">
        <f t="shared" si="18"/>
        <v>electropolished pipes manufacturer in Sirsa, electropolished pipes supplier in Sirsa, electropolished pipes wholesaler in Sirsa, electropolished tube manufacturer Sirsa, EP pipe supplier Sirsa, sanitary tube supplier Sirsa, ASME BPE tubing Sirsa, ASTM A270 tube Sirsa, SS 316L electropolished pipe Sirsa</v>
      </c>
      <c r="AI615" s="15" t="str">
        <f t="shared" si="19"/>
        <v>Electropolished Pipes Manufacturer &amp; Supplier in Sirsa</v>
      </c>
      <c r="AJ615" s="15" t="str">
        <f t="shared" si="20"/>
        <v>EP-finished SS 304/316L pipes and tubes for VERIFY plants in Sirsa. ASME BPE SF1-SF4, Ra from 0.25 um, EN 10204 3.1 certificate with every lot.</v>
      </c>
      <c r="AK615" s="15" t="str">
        <f t="shared" si="21"/>
        <v>Electropolished stainless steel pipes supplied by Sakshi Forge to VERIFY plants at HSIIDC Industrial Area, Sirsa</v>
      </c>
      <c r="AL615" s="15" t="str">
        <f t="shared" si="22"/>
        <v>Electropolished SS 316L tube stock for Sirsa - Sakshi Forge</v>
      </c>
      <c r="AM615" s="15" t="str">
        <f t="shared" si="23"/>
        <v>Home &gt; Market Area &gt; India &gt; Haryana &gt; Sirsa</v>
      </c>
      <c r="AN615" s="15">
        <f t="shared" si="24"/>
        <v>1000</v>
      </c>
      <c r="AO615" s="15">
        <f t="shared" si="25"/>
        <v>8</v>
      </c>
      <c r="AP615" s="15">
        <f t="shared" si="26"/>
        <v>8</v>
      </c>
      <c r="AQ615" s="15">
        <f t="shared" si="27"/>
        <v>11</v>
      </c>
      <c r="AR615" s="31"/>
      <c r="AS615" s="31"/>
      <c r="AT615" s="35" t="s">
        <v>222</v>
      </c>
      <c r="AU615" s="35"/>
    </row>
    <row r="616" ht="15.75" customHeight="1">
      <c r="A616" s="15" t="s">
        <v>4449</v>
      </c>
      <c r="B616" s="15" t="s">
        <v>60</v>
      </c>
      <c r="C616" s="15" t="s">
        <v>85</v>
      </c>
      <c r="D616" s="15" t="s">
        <v>4450</v>
      </c>
      <c r="E616" s="15" t="s">
        <v>4450</v>
      </c>
      <c r="F616" s="65" t="s">
        <v>788</v>
      </c>
      <c r="G616" s="66" t="s">
        <v>98</v>
      </c>
      <c r="H616" s="18" t="s">
        <v>4452</v>
      </c>
      <c r="I616" s="18" t="s">
        <v>8398</v>
      </c>
      <c r="J616" s="18" t="s">
        <v>98</v>
      </c>
      <c r="K616" s="18" t="s">
        <v>98</v>
      </c>
      <c r="L616" s="18" t="s">
        <v>98</v>
      </c>
      <c r="M616" s="18" t="s">
        <v>98</v>
      </c>
      <c r="N616" s="18" t="s">
        <v>98</v>
      </c>
      <c r="O616" s="18" t="s">
        <v>98</v>
      </c>
      <c r="P616" s="15" t="str">
        <f t="shared" si="1"/>
        <v>VERIFY</v>
      </c>
      <c r="Q616" s="15">
        <f t="shared" si="2"/>
        <v>5</v>
      </c>
      <c r="R616" s="15">
        <f t="shared" si="3"/>
        <v>4</v>
      </c>
      <c r="S616" s="15">
        <f t="shared" si="4"/>
        <v>3</v>
      </c>
      <c r="T616" s="15" t="str">
        <f t="shared" si="5"/>
        <v>B-1</v>
      </c>
      <c r="U616" s="15" t="str">
        <f t="shared" si="6"/>
        <v>T5-M4-H3-FB-1-VERIFY</v>
      </c>
      <c r="V616" s="15">
        <f t="shared" si="7"/>
        <v>0</v>
      </c>
      <c r="W616" s="31"/>
      <c r="X616" s="15" t="str">
        <f t="shared" si="8"/>
        <v>sitapur</v>
      </c>
      <c r="Y616" s="32" t="str">
        <f t="shared" si="9"/>
        <v>https://steelmanufacturer.in/market-area/electropolished-pipes-manufacturer-in-sitapur/</v>
      </c>
      <c r="Z616" s="15" t="str">
        <f t="shared" si="10"/>
        <v>Electropolished Pipes Manufacturer in Sitapur</v>
      </c>
      <c r="AA616" s="15" t="str">
        <f t="shared" si="11"/>
        <v>OK (45)</v>
      </c>
      <c r="AB616" s="15" t="str">
        <f t="shared" si="12"/>
        <v>Sanitary electropolished pipes in Sitapur for VERIFY plants. ASME BPE SF1-SF4, orbital-weld ready, 3.1 MTC. Mumbai-made.</v>
      </c>
      <c r="AC616" s="15" t="str">
        <f t="shared" si="13"/>
        <v>PENDING RESEARCH</v>
      </c>
      <c r="AD616" s="15" t="str">
        <f t="shared" si="14"/>
        <v>Electropolished Pipes Manufacturer in Sitapur</v>
      </c>
      <c r="AE616" s="15" t="str">
        <f t="shared" si="15"/>
        <v>Electropolished Pipes Manufacturer in Sitapur - Our Process &amp; Capability</v>
      </c>
      <c r="AF616" s="15" t="str">
        <f t="shared" si="16"/>
        <v>Electropolished Pipes Supplier in Sitapur - What We Hold in Stock</v>
      </c>
      <c r="AG616" s="15" t="str">
        <f t="shared" si="17"/>
        <v>Bulk &amp; Wholesale Electropolished Pipe Rates for Sitapur Buyers</v>
      </c>
      <c r="AH616" s="15" t="str">
        <f t="shared" si="18"/>
        <v>electropolished pipes manufacturer in Sitapur, electropolished pipes supplier in Sitapur, electropolished pipes wholesaler in Sitapur, electropolished tube manufacturer Sitapur, EP pipe supplier Sitapur, sanitary tube supplier Sitapur, ASME BPE tubing Sitapur, ASTM A270 tube Sitapur, SS 316L electropolished pipe Sitapur</v>
      </c>
      <c r="AI616" s="15" t="str">
        <f t="shared" si="19"/>
        <v>Electropolished Pipes Manufacturer &amp; Supplier in Sitapur</v>
      </c>
      <c r="AJ616" s="15" t="str">
        <f t="shared" si="20"/>
        <v>EP-finished SS 304/316L pipes and tubes for VERIFY plants in Sitapur. ASME BPE SF1-SF4, Ra from 0.25 um, EN 10204 3.1 certificate with every lot.</v>
      </c>
      <c r="AK616" s="15" t="str">
        <f t="shared" si="21"/>
        <v>Electropolished stainless steel pipes supplied by Sakshi Forge to VERIFY plants at UPSIDA Industrial Area, Sitapur</v>
      </c>
      <c r="AL616" s="15" t="str">
        <f t="shared" si="22"/>
        <v>Electropolished SS 316L tube stock for Sitapur - Sakshi Forge</v>
      </c>
      <c r="AM616" s="15" t="str">
        <f t="shared" si="23"/>
        <v>Home &gt; Market Area &gt; India &gt; Uttar Pradesh &gt; Sitapur</v>
      </c>
      <c r="AN616" s="15">
        <f t="shared" si="24"/>
        <v>1000</v>
      </c>
      <c r="AO616" s="15">
        <f t="shared" si="25"/>
        <v>8</v>
      </c>
      <c r="AP616" s="15">
        <f t="shared" si="26"/>
        <v>8</v>
      </c>
      <c r="AQ616" s="15">
        <f t="shared" si="27"/>
        <v>11</v>
      </c>
      <c r="AR616" s="31"/>
      <c r="AS616" s="31"/>
      <c r="AT616" s="35" t="s">
        <v>222</v>
      </c>
      <c r="AU616" s="35"/>
    </row>
    <row r="617" ht="15.75" customHeight="1">
      <c r="A617" s="15" t="s">
        <v>4453</v>
      </c>
      <c r="B617" s="15" t="s">
        <v>60</v>
      </c>
      <c r="C617" s="15" t="s">
        <v>1139</v>
      </c>
      <c r="D617" s="15" t="s">
        <v>4454</v>
      </c>
      <c r="E617" s="15" t="s">
        <v>4454</v>
      </c>
      <c r="F617" s="65" t="s">
        <v>788</v>
      </c>
      <c r="G617" s="66" t="s">
        <v>98</v>
      </c>
      <c r="H617" s="18" t="s">
        <v>4456</v>
      </c>
      <c r="I617" s="18" t="s">
        <v>8410</v>
      </c>
      <c r="J617" s="18" t="s">
        <v>98</v>
      </c>
      <c r="K617" s="18" t="s">
        <v>98</v>
      </c>
      <c r="L617" s="18" t="s">
        <v>98</v>
      </c>
      <c r="M617" s="18" t="s">
        <v>98</v>
      </c>
      <c r="N617" s="18" t="s">
        <v>98</v>
      </c>
      <c r="O617" s="18" t="s">
        <v>98</v>
      </c>
      <c r="P617" s="15" t="str">
        <f t="shared" si="1"/>
        <v>VERIFY</v>
      </c>
      <c r="Q617" s="15">
        <f t="shared" si="2"/>
        <v>6</v>
      </c>
      <c r="R617" s="15">
        <f t="shared" si="3"/>
        <v>5</v>
      </c>
      <c r="S617" s="15">
        <f t="shared" si="4"/>
        <v>4</v>
      </c>
      <c r="T617" s="15" t="str">
        <f t="shared" si="5"/>
        <v>B-2</v>
      </c>
      <c r="U617" s="15" t="str">
        <f t="shared" si="6"/>
        <v>T6-M5-H4-FB-2-VERIFY</v>
      </c>
      <c r="V617" s="15">
        <f t="shared" si="7"/>
        <v>0</v>
      </c>
      <c r="W617" s="31"/>
      <c r="X617" s="15" t="str">
        <f t="shared" si="8"/>
        <v>sitarganj</v>
      </c>
      <c r="Y617" s="32" t="str">
        <f t="shared" si="9"/>
        <v>https://steelmanufacturer.in/market-area/electropolished-pipes-manufacturer-in-sitarganj/</v>
      </c>
      <c r="Z617" s="15" t="str">
        <f t="shared" si="10"/>
        <v>Electropolished Pipes Manufacturer in Sitarganj</v>
      </c>
      <c r="AA617" s="15" t="str">
        <f t="shared" si="11"/>
        <v>OK (47)</v>
      </c>
      <c r="AB617" s="15" t="str">
        <f t="shared" si="12"/>
        <v>Manufacturer of electropolished SS 316L tube serving Sitarganj. VERIFY. Ra 0.25-0.5 um, EN 10204 3.1 MTC.</v>
      </c>
      <c r="AC617" s="15" t="str">
        <f t="shared" si="13"/>
        <v>PENDING RESEARCH</v>
      </c>
      <c r="AD617" s="15" t="str">
        <f t="shared" si="14"/>
        <v>Electropolished Pipes Manufacturer in Sitarganj</v>
      </c>
      <c r="AE617" s="15" t="str">
        <f t="shared" si="15"/>
        <v>Manufacturing Electropolished SS Tube for Sitarganj: The Standards We Build To</v>
      </c>
      <c r="AF617" s="15" t="str">
        <f t="shared" si="16"/>
        <v>Electropolished Pipe Supply Into Sitarganj - Certification &amp; Transit</v>
      </c>
      <c r="AG617" s="15" t="str">
        <f t="shared" si="17"/>
        <v>Electropolished Pipes Wholesaler in Sitarganj - Project Quantities &amp; Terms</v>
      </c>
      <c r="AH617" s="15" t="str">
        <f t="shared" si="18"/>
        <v>electropolished pipes manufacturer in Sitarganj, electropolished pipes supplier in Sitarganj, electropolished pipes wholesaler in Sitarganj, electropolished tube manufacturer Sitarganj, EP pipe supplier Sitarganj, sanitary tube supplier Sitarganj, ASME BPE tubing Sitarganj, ASTM A270 tube Sitarganj, SS 316L electropolished pipe Sitarganj</v>
      </c>
      <c r="AI617" s="15" t="str">
        <f t="shared" si="19"/>
        <v>Electropolished Pipes Manufacturer &amp; Supplier in Sitarganj</v>
      </c>
      <c r="AJ617" s="15" t="str">
        <f t="shared" si="20"/>
        <v>EP-finished SS 304/316L pipes and tubes for VERIFY plants in Sitarganj. ASME BPE SF1-SF4, Ra from 0.25 um, EN 10204 3.1 certificate with every lot.</v>
      </c>
      <c r="AK617" s="15" t="str">
        <f t="shared" si="21"/>
        <v>Electropolished stainless steel pipes supplied by Sakshi Forge to VERIFY plants at SIIDCUL Industrial Area, Sitarganj</v>
      </c>
      <c r="AL617" s="15" t="str">
        <f t="shared" si="22"/>
        <v>Electropolished SS 316L tube stock for Sitarganj - Sakshi Forge</v>
      </c>
      <c r="AM617" s="15" t="str">
        <f t="shared" si="23"/>
        <v>Home &gt; Market Area &gt; India &gt; Uttarakhand &gt; Sitarganj</v>
      </c>
      <c r="AN617" s="15">
        <f t="shared" si="24"/>
        <v>1000</v>
      </c>
      <c r="AO617" s="15">
        <f t="shared" si="25"/>
        <v>8</v>
      </c>
      <c r="AP617" s="15">
        <f t="shared" si="26"/>
        <v>8</v>
      </c>
      <c r="AQ617" s="15">
        <f t="shared" si="27"/>
        <v>11</v>
      </c>
      <c r="AR617" s="31"/>
      <c r="AS617" s="31"/>
      <c r="AT617" s="35" t="s">
        <v>222</v>
      </c>
      <c r="AU617" s="35"/>
    </row>
    <row r="618" ht="15.75" customHeight="1">
      <c r="A618" s="15" t="s">
        <v>4457</v>
      </c>
      <c r="B618" s="15" t="s">
        <v>60</v>
      </c>
      <c r="C618" s="15" t="s">
        <v>958</v>
      </c>
      <c r="D618" s="15" t="s">
        <v>4458</v>
      </c>
      <c r="E618" s="15" t="s">
        <v>4458</v>
      </c>
      <c r="F618" s="65" t="s">
        <v>788</v>
      </c>
      <c r="G618" s="66" t="s">
        <v>98</v>
      </c>
      <c r="H618" s="18" t="s">
        <v>4460</v>
      </c>
      <c r="I618" s="18" t="s">
        <v>8403</v>
      </c>
      <c r="J618" s="18" t="s">
        <v>98</v>
      </c>
      <c r="K618" s="18" t="s">
        <v>98</v>
      </c>
      <c r="L618" s="18" t="s">
        <v>98</v>
      </c>
      <c r="M618" s="18" t="s">
        <v>98</v>
      </c>
      <c r="N618" s="18" t="s">
        <v>98</v>
      </c>
      <c r="O618" s="18" t="s">
        <v>98</v>
      </c>
      <c r="P618" s="15" t="str">
        <f t="shared" si="1"/>
        <v>VERIFY</v>
      </c>
      <c r="Q618" s="15">
        <f t="shared" si="2"/>
        <v>7</v>
      </c>
      <c r="R618" s="15">
        <f t="shared" si="3"/>
        <v>6</v>
      </c>
      <c r="S618" s="15">
        <f t="shared" si="4"/>
        <v>5</v>
      </c>
      <c r="T618" s="15" t="str">
        <f t="shared" si="5"/>
        <v>B-3</v>
      </c>
      <c r="U618" s="15" t="str">
        <f t="shared" si="6"/>
        <v>T7-M6-H5-FB-3-VERIFY</v>
      </c>
      <c r="V618" s="15">
        <f t="shared" si="7"/>
        <v>0</v>
      </c>
      <c r="W618" s="31"/>
      <c r="X618" s="15" t="str">
        <f t="shared" si="8"/>
        <v>sivakasi</v>
      </c>
      <c r="Y618" s="32" t="str">
        <f t="shared" si="9"/>
        <v>https://steelmanufacturer.in/market-area/electropolished-pipes-manufacturer-in-sivakasi/</v>
      </c>
      <c r="Z618" s="15" t="str">
        <f t="shared" si="10"/>
        <v>Electropolished Pipes Manufacturer in Sivakasi | ASME BPE SF1-SF4</v>
      </c>
      <c r="AA618" s="15" t="str">
        <f t="shared" si="11"/>
        <v>OK (65)</v>
      </c>
      <c r="AB618" s="15" t="str">
        <f t="shared" si="12"/>
        <v>EP tube and pipe for VERIFY plants around SIPCOT Industrial Area, Sivakasi. Made at our Mumbai works to ASTM A270 and ASME BPE SF1-SF4, with 3.1 MTC.</v>
      </c>
      <c r="AC618" s="15" t="str">
        <f t="shared" si="13"/>
        <v>PENDING RESEARCH</v>
      </c>
      <c r="AD618" s="15" t="str">
        <f t="shared" si="14"/>
        <v>Electropolished Pipes Manufacturer in Sivakasi</v>
      </c>
      <c r="AE618" s="15" t="str">
        <f t="shared" si="15"/>
        <v>Electropolished Tube Manufacturing Capability Serving Sivakasi</v>
      </c>
      <c r="AF618" s="15" t="str">
        <f t="shared" si="16"/>
        <v>Electropolished Pipes Supplier in Sivakasi - From Order to Delivery</v>
      </c>
      <c r="AG618" s="15" t="str">
        <f t="shared" si="17"/>
        <v>Stockist &amp; Wholesale Supply of Electropolished Pipes in Sivakasi</v>
      </c>
      <c r="AH618" s="15" t="str">
        <f t="shared" si="18"/>
        <v>electropolished pipes manufacturer in Sivakasi, electropolished pipes supplier in Sivakasi, electropolished pipes wholesaler in Sivakasi, electropolished tube manufacturer Sivakasi, EP pipe supplier Sivakasi, sanitary tube supplier Sivakasi, ASME BPE tubing Sivakasi, ASTM A270 tube Sivakasi, SS 316L electropolished pipe Sivakasi</v>
      </c>
      <c r="AI618" s="15" t="str">
        <f t="shared" si="19"/>
        <v>Electropolished Pipes Manufacturer &amp; Supplier in Sivakasi</v>
      </c>
      <c r="AJ618" s="15" t="str">
        <f t="shared" si="20"/>
        <v>EP-finished SS 304/316L pipes and tubes for VERIFY plants in Sivakasi. ASME BPE SF1-SF4, Ra from 0.25 um, EN 10204 3.1 certificate with every lot.</v>
      </c>
      <c r="AK618" s="15" t="str">
        <f t="shared" si="21"/>
        <v>Electropolished stainless steel pipes supplied by Sakshi Forge to VERIFY plants at SIPCOT Industrial Area, Sivakasi</v>
      </c>
      <c r="AL618" s="15" t="str">
        <f t="shared" si="22"/>
        <v>Electropolished SS 316L tube stock for Sivakasi - Sakshi Forge</v>
      </c>
      <c r="AM618" s="15" t="str">
        <f t="shared" si="23"/>
        <v>Home &gt; Market Area &gt; India &gt; Tamil Nadu &gt; Sivakasi</v>
      </c>
      <c r="AN618" s="15">
        <f t="shared" si="24"/>
        <v>1000</v>
      </c>
      <c r="AO618" s="15">
        <f t="shared" si="25"/>
        <v>8</v>
      </c>
      <c r="AP618" s="15">
        <f t="shared" si="26"/>
        <v>8</v>
      </c>
      <c r="AQ618" s="15">
        <f t="shared" si="27"/>
        <v>11</v>
      </c>
      <c r="AR618" s="31"/>
      <c r="AS618" s="31"/>
      <c r="AT618" s="35" t="s">
        <v>222</v>
      </c>
      <c r="AU618" s="35"/>
    </row>
    <row r="619" ht="15.75" customHeight="1">
      <c r="A619" s="15" t="s">
        <v>4461</v>
      </c>
      <c r="B619" s="15" t="s">
        <v>60</v>
      </c>
      <c r="C619" s="15" t="s">
        <v>1155</v>
      </c>
      <c r="D619" s="15" t="s">
        <v>4462</v>
      </c>
      <c r="E619" s="15" t="s">
        <v>4462</v>
      </c>
      <c r="F619" s="65" t="s">
        <v>788</v>
      </c>
      <c r="G619" s="66" t="s">
        <v>98</v>
      </c>
      <c r="H619" s="18" t="s">
        <v>4464</v>
      </c>
      <c r="I619" s="18" t="s">
        <v>8412</v>
      </c>
      <c r="J619" s="18" t="s">
        <v>98</v>
      </c>
      <c r="K619" s="18" t="s">
        <v>98</v>
      </c>
      <c r="L619" s="18" t="s">
        <v>98</v>
      </c>
      <c r="M619" s="18" t="s">
        <v>98</v>
      </c>
      <c r="N619" s="18" t="s">
        <v>98</v>
      </c>
      <c r="O619" s="18" t="s">
        <v>98</v>
      </c>
      <c r="P619" s="15" t="str">
        <f t="shared" si="1"/>
        <v>VERIFY</v>
      </c>
      <c r="Q619" s="15">
        <f t="shared" si="2"/>
        <v>8</v>
      </c>
      <c r="R619" s="15">
        <f t="shared" si="3"/>
        <v>7</v>
      </c>
      <c r="S619" s="15">
        <f t="shared" si="4"/>
        <v>1</v>
      </c>
      <c r="T619" s="15" t="str">
        <f t="shared" si="5"/>
        <v>B-4</v>
      </c>
      <c r="U619" s="15" t="str">
        <f t="shared" si="6"/>
        <v>T8-M7-H1-FB-4-VERIFY</v>
      </c>
      <c r="V619" s="15">
        <f t="shared" si="7"/>
        <v>0</v>
      </c>
      <c r="W619" s="31"/>
      <c r="X619" s="15" t="str">
        <f t="shared" si="8"/>
        <v>sivasagar</v>
      </c>
      <c r="Y619" s="32" t="str">
        <f t="shared" si="9"/>
        <v>https://steelmanufacturer.in/market-area/electropolished-pipes-manufacturer-in-sivasagar/</v>
      </c>
      <c r="Z619" s="15" t="str">
        <f t="shared" si="10"/>
        <v>Electropolished Pipes Manufacturer in Sivasagar</v>
      </c>
      <c r="AA619" s="15" t="str">
        <f t="shared" si="11"/>
        <v>OK (47)</v>
      </c>
      <c r="AB619" s="15" t="str">
        <f t="shared" si="12"/>
        <v>Electropolished pipes in Sivasagar: 304, 304L, 316 and 316L in SF1-SF4. VERIFY. Mill certified.</v>
      </c>
      <c r="AC619" s="15" t="str">
        <f t="shared" si="13"/>
        <v>PENDING RESEARCH</v>
      </c>
      <c r="AD619" s="15" t="str">
        <f t="shared" si="14"/>
        <v>Electropolished Pipes Manufacturer in Sivasagar</v>
      </c>
      <c r="AE619" s="15" t="str">
        <f t="shared" si="15"/>
        <v>Electropolished Pipe &amp; Tube Manufacturing for Sivasagar - Grades, Finishes &amp; Certification</v>
      </c>
      <c r="AF619" s="15" t="str">
        <f t="shared" si="16"/>
        <v>Electropolished Pipes Supplier in Sivasagar - Stock Sizes, Lead Time &amp; Delivery</v>
      </c>
      <c r="AG619" s="15" t="str">
        <f t="shared" si="17"/>
        <v>Electropolished Pipes Wholesaler &amp; Stockist in Sivasagar - Bulk &amp; Project Pricing</v>
      </c>
      <c r="AH619" s="15" t="str">
        <f t="shared" si="18"/>
        <v>electropolished pipes manufacturer in Sivasagar, electropolished pipes supplier in Sivasagar, electropolished pipes wholesaler in Sivasagar, electropolished tube manufacturer Sivasagar, EP pipe supplier Sivasagar, sanitary tube supplier Sivasagar, ASME BPE tubing Sivasagar, ASTM A270 tube Sivasagar, SS 316L electropolished pipe Sivasagar</v>
      </c>
      <c r="AI619" s="15" t="str">
        <f t="shared" si="19"/>
        <v>Electropolished Pipes Manufacturer &amp; Supplier in Sivasagar</v>
      </c>
      <c r="AJ619" s="15" t="str">
        <f t="shared" si="20"/>
        <v>EP-finished SS 304/316L pipes and tubes for VERIFY plants in Sivasagar. ASME BPE SF1-SF4, Ra from 0.25 um, EN 10204 3.1 certificate with every lot.</v>
      </c>
      <c r="AK619" s="15" t="str">
        <f t="shared" si="21"/>
        <v>Electropolished stainless steel pipes supplied by Sakshi Forge to VERIFY plants at AIDC Industrial Area, Sivasagar</v>
      </c>
      <c r="AL619" s="15" t="str">
        <f t="shared" si="22"/>
        <v>Electropolished SS 316L tube stock for Sivasagar - Sakshi Forge</v>
      </c>
      <c r="AM619" s="15" t="str">
        <f t="shared" si="23"/>
        <v>Home &gt; Market Area &gt; India &gt; Assam &gt; Sivasagar</v>
      </c>
      <c r="AN619" s="15">
        <f t="shared" si="24"/>
        <v>1000</v>
      </c>
      <c r="AO619" s="15">
        <f t="shared" si="25"/>
        <v>8</v>
      </c>
      <c r="AP619" s="15">
        <f t="shared" si="26"/>
        <v>8</v>
      </c>
      <c r="AQ619" s="15">
        <f t="shared" si="27"/>
        <v>11</v>
      </c>
      <c r="AR619" s="31"/>
      <c r="AS619" s="31"/>
      <c r="AT619" s="35" t="s">
        <v>222</v>
      </c>
      <c r="AU619" s="35"/>
    </row>
    <row r="620" ht="15.75" customHeight="1">
      <c r="A620" s="15" t="s">
        <v>4465</v>
      </c>
      <c r="B620" s="15" t="s">
        <v>60</v>
      </c>
      <c r="C620" s="15" t="s">
        <v>1818</v>
      </c>
      <c r="D620" s="15" t="s">
        <v>4466</v>
      </c>
      <c r="E620" s="15" t="s">
        <v>4466</v>
      </c>
      <c r="F620" s="65" t="s">
        <v>788</v>
      </c>
      <c r="G620" s="66" t="s">
        <v>98</v>
      </c>
      <c r="H620" s="18" t="s">
        <v>4468</v>
      </c>
      <c r="I620" s="18" t="s">
        <v>8402</v>
      </c>
      <c r="J620" s="18" t="s">
        <v>98</v>
      </c>
      <c r="K620" s="18" t="s">
        <v>98</v>
      </c>
      <c r="L620" s="18" t="s">
        <v>98</v>
      </c>
      <c r="M620" s="18" t="s">
        <v>98</v>
      </c>
      <c r="N620" s="18" t="s">
        <v>98</v>
      </c>
      <c r="O620" s="18" t="s">
        <v>98</v>
      </c>
      <c r="P620" s="15" t="str">
        <f t="shared" si="1"/>
        <v>VERIFY</v>
      </c>
      <c r="Q620" s="15">
        <f t="shared" si="2"/>
        <v>1</v>
      </c>
      <c r="R620" s="15">
        <f t="shared" si="3"/>
        <v>1</v>
      </c>
      <c r="S620" s="15">
        <f t="shared" si="4"/>
        <v>2</v>
      </c>
      <c r="T620" s="15" t="str">
        <f t="shared" si="5"/>
        <v>B-5</v>
      </c>
      <c r="U620" s="15" t="str">
        <f t="shared" si="6"/>
        <v>T1-M1-H2-FB-5-VERIFY</v>
      </c>
      <c r="V620" s="15">
        <f t="shared" si="7"/>
        <v>0</v>
      </c>
      <c r="W620" s="31"/>
      <c r="X620" s="15" t="str">
        <f t="shared" si="8"/>
        <v>siwan</v>
      </c>
      <c r="Y620" s="32" t="str">
        <f t="shared" si="9"/>
        <v>https://steelmanufacturer.in/market-area/electropolished-pipes-manufacturer-in-siwan/</v>
      </c>
      <c r="Z620" s="15" t="str">
        <f t="shared" si="10"/>
        <v>Electropolished Pipes Manufacturer in Siwan | Sakshi Forge</v>
      </c>
      <c r="AA620" s="15" t="str">
        <f t="shared" si="11"/>
        <v>OK (58)</v>
      </c>
      <c r="AB620" s="15" t="str">
        <f t="shared" si="12"/>
        <v>EP-finished SS 304/316L pipes &amp; tubes for VERIFY plants in Siwan. ASTM A270, ASME BPE SF1-SF4, EN 10204 3.1 MTC. PMI tested.</v>
      </c>
      <c r="AC620" s="15" t="str">
        <f t="shared" si="13"/>
        <v>PENDING RESEARCH</v>
      </c>
      <c r="AD620" s="15" t="str">
        <f t="shared" si="14"/>
        <v>Electropolished Pipes Manufacturer in Siwan</v>
      </c>
      <c r="AE620" s="15" t="str">
        <f t="shared" si="15"/>
        <v>How We Manufacture Electropolished Tube for Siwan Plants</v>
      </c>
      <c r="AF620" s="15" t="str">
        <f t="shared" si="16"/>
        <v>Supplying Electropolished Pipes in Siwan: Availability, Sizes &amp; Dispatch</v>
      </c>
      <c r="AG620" s="15" t="str">
        <f t="shared" si="17"/>
        <v>Wholesale Electropolished Pipe Supply for Siwan Projects</v>
      </c>
      <c r="AH620" s="15" t="str">
        <f t="shared" si="18"/>
        <v>electropolished pipes manufacturer in Siwan, electropolished pipes supplier in Siwan, electropolished pipes wholesaler in Siwan, electropolished tube manufacturer Siwan, EP pipe supplier Siwan, sanitary tube supplier Siwan, ASME BPE tubing Siwan, ASTM A270 tube Siwan, SS 316L electropolished pipe Siwan</v>
      </c>
      <c r="AI620" s="15" t="str">
        <f t="shared" si="19"/>
        <v>Electropolished Pipes Manufacturer &amp; Supplier in Siwan</v>
      </c>
      <c r="AJ620" s="15" t="str">
        <f t="shared" si="20"/>
        <v>EP-finished SS 304/316L pipes and tubes for VERIFY plants in Siwan. ASME BPE SF1-SF4, Ra from 0.25 um, EN 10204 3.1 certificate with every lot.</v>
      </c>
      <c r="AK620" s="15" t="str">
        <f t="shared" si="21"/>
        <v>Electropolished stainless steel pipes supplied by Sakshi Forge to VERIFY plants at BIADA Industrial Area, Siwan</v>
      </c>
      <c r="AL620" s="15" t="str">
        <f t="shared" si="22"/>
        <v>Electropolished SS 316L tube stock for Siwan - Sakshi Forge</v>
      </c>
      <c r="AM620" s="15" t="str">
        <f t="shared" si="23"/>
        <v>Home &gt; Market Area &gt; India &gt; Bihar &gt; Siwan</v>
      </c>
      <c r="AN620" s="15">
        <f t="shared" si="24"/>
        <v>1000</v>
      </c>
      <c r="AO620" s="15">
        <f t="shared" si="25"/>
        <v>8</v>
      </c>
      <c r="AP620" s="15">
        <f t="shared" si="26"/>
        <v>8</v>
      </c>
      <c r="AQ620" s="15">
        <f t="shared" si="27"/>
        <v>11</v>
      </c>
      <c r="AR620" s="31"/>
      <c r="AS620" s="31"/>
      <c r="AT620" s="35" t="s">
        <v>222</v>
      </c>
      <c r="AU620" s="35"/>
    </row>
    <row r="621" ht="15.75" customHeight="1">
      <c r="A621" s="15" t="s">
        <v>4469</v>
      </c>
      <c r="B621" s="15" t="s">
        <v>60</v>
      </c>
      <c r="C621" s="15" t="s">
        <v>236</v>
      </c>
      <c r="D621" s="15" t="s">
        <v>4470</v>
      </c>
      <c r="E621" s="15" t="s">
        <v>4470</v>
      </c>
      <c r="F621" s="65" t="s">
        <v>788</v>
      </c>
      <c r="G621" s="66" t="s">
        <v>98</v>
      </c>
      <c r="H621" s="18" t="s">
        <v>4473</v>
      </c>
      <c r="I621" s="18" t="s">
        <v>8391</v>
      </c>
      <c r="J621" s="18" t="s">
        <v>98</v>
      </c>
      <c r="K621" s="18" t="s">
        <v>98</v>
      </c>
      <c r="L621" s="18" t="s">
        <v>98</v>
      </c>
      <c r="M621" s="18" t="s">
        <v>98</v>
      </c>
      <c r="N621" s="18" t="s">
        <v>98</v>
      </c>
      <c r="O621" s="18" t="s">
        <v>98</v>
      </c>
      <c r="P621" s="15" t="str">
        <f t="shared" si="1"/>
        <v>VERIFY</v>
      </c>
      <c r="Q621" s="15">
        <f t="shared" si="2"/>
        <v>2</v>
      </c>
      <c r="R621" s="15">
        <f t="shared" si="3"/>
        <v>2</v>
      </c>
      <c r="S621" s="15">
        <f t="shared" si="4"/>
        <v>3</v>
      </c>
      <c r="T621" s="15" t="str">
        <f t="shared" si="5"/>
        <v>B-6</v>
      </c>
      <c r="U621" s="15" t="str">
        <f t="shared" si="6"/>
        <v>T2-M2-H3-FB-6-VERIFY</v>
      </c>
      <c r="V621" s="15">
        <f t="shared" si="7"/>
        <v>0</v>
      </c>
      <c r="W621" s="31"/>
      <c r="X621" s="15" t="str">
        <f t="shared" si="8"/>
        <v>sri-ganganagar</v>
      </c>
      <c r="Y621" s="32" t="str">
        <f t="shared" si="9"/>
        <v>https://steelmanufacturer.in/market-area/electropolished-pipes-manufacturer-in-sri-ganganagar/</v>
      </c>
      <c r="Z621" s="15" t="str">
        <f t="shared" si="10"/>
        <v>Electropolished Pipes Manufacturer in Sri Ganganagar</v>
      </c>
      <c r="AA621" s="15" t="str">
        <f t="shared" si="11"/>
        <v>OK (52)</v>
      </c>
      <c r="AB621" s="15" t="str">
        <f t="shared" si="12"/>
        <v>Electropolished tube supply to RIICO Industrial Area, Sri Ganganagar. Ra from 0.25 um, SF4 finish, mill test certificate with every lot.</v>
      </c>
      <c r="AC621" s="15" t="str">
        <f t="shared" si="13"/>
        <v>PENDING RESEARCH</v>
      </c>
      <c r="AD621" s="15" t="str">
        <f t="shared" si="14"/>
        <v>Electropolished Pipes Manufacturer in Sri Ganganagar</v>
      </c>
      <c r="AE621" s="15" t="str">
        <f t="shared" si="15"/>
        <v>Electropolished Pipes Manufacturer in Sri Ganganagar - Our Process &amp; Capability</v>
      </c>
      <c r="AF621" s="15" t="str">
        <f t="shared" si="16"/>
        <v>Electropolished Pipes Supplier in Sri Ganganagar - What We Hold in Stock</v>
      </c>
      <c r="AG621" s="15" t="str">
        <f t="shared" si="17"/>
        <v>Bulk &amp; Wholesale Electropolished Pipe Rates for Sri Ganganagar Buyers</v>
      </c>
      <c r="AH621" s="15" t="str">
        <f t="shared" si="18"/>
        <v>electropolished pipes manufacturer in Sri Ganganagar, electropolished pipes supplier in Sri Ganganagar, electropolished pipes wholesaler in Sri Ganganagar, electropolished tube manufacturer Sri Ganganagar, EP pipe supplier Sri Ganganagar, sanitary tube supplier Sri Ganganagar, ASME BPE tubing Sri Ganganagar, ASTM A270 tube Sri Ganganagar, SS 316L electropolished pipe Sri Ganganagar</v>
      </c>
      <c r="AI621" s="15" t="str">
        <f t="shared" si="19"/>
        <v>Electropolished Pipes Manufacturer &amp; Supplier in Sri Ganganagar</v>
      </c>
      <c r="AJ621" s="15" t="str">
        <f t="shared" si="20"/>
        <v>EP-finished SS 304/316L pipes and tubes for VERIFY plants in Sri Ganganagar. ASME BPE SF1-SF4, Ra from 0.25 um, EN 10204 3.1 certificate with every lot.</v>
      </c>
      <c r="AK621" s="15" t="str">
        <f t="shared" si="21"/>
        <v>Electropolished stainless steel pipes supplied by Sakshi Forge to VERIFY plants at RIICO Industrial Area, Sri Ganganagar</v>
      </c>
      <c r="AL621" s="15" t="str">
        <f t="shared" si="22"/>
        <v>Electropolished SS 316L tube stock for Sri Ganganagar - Sakshi Forge</v>
      </c>
      <c r="AM621" s="15" t="str">
        <f t="shared" si="23"/>
        <v>Home &gt; Market Area &gt; India &gt; Rajasthan &gt; Sri Ganganagar</v>
      </c>
      <c r="AN621" s="15">
        <f t="shared" si="24"/>
        <v>1000</v>
      </c>
      <c r="AO621" s="15">
        <f t="shared" si="25"/>
        <v>8</v>
      </c>
      <c r="AP621" s="15">
        <f t="shared" si="26"/>
        <v>8</v>
      </c>
      <c r="AQ621" s="15">
        <f t="shared" si="27"/>
        <v>11</v>
      </c>
      <c r="AR621" s="31"/>
      <c r="AS621" s="31"/>
      <c r="AT621" s="35" t="s">
        <v>222</v>
      </c>
      <c r="AU621" s="35"/>
    </row>
    <row r="622" ht="15.75" customHeight="1">
      <c r="A622" s="15" t="s">
        <v>4476</v>
      </c>
      <c r="B622" s="15" t="s">
        <v>60</v>
      </c>
      <c r="C622" s="15" t="s">
        <v>413</v>
      </c>
      <c r="D622" s="15" t="s">
        <v>4479</v>
      </c>
      <c r="E622" s="15" t="s">
        <v>4479</v>
      </c>
      <c r="F622" s="65" t="s">
        <v>788</v>
      </c>
      <c r="G622" s="66" t="s">
        <v>98</v>
      </c>
      <c r="H622" s="18" t="s">
        <v>4482</v>
      </c>
      <c r="I622" s="18" t="s">
        <v>8393</v>
      </c>
      <c r="J622" s="18" t="s">
        <v>98</v>
      </c>
      <c r="K622" s="18" t="s">
        <v>98</v>
      </c>
      <c r="L622" s="18" t="s">
        <v>98</v>
      </c>
      <c r="M622" s="18" t="s">
        <v>98</v>
      </c>
      <c r="N622" s="18" t="s">
        <v>98</v>
      </c>
      <c r="O622" s="18" t="s">
        <v>98</v>
      </c>
      <c r="P622" s="15" t="str">
        <f t="shared" si="1"/>
        <v>VERIFY</v>
      </c>
      <c r="Q622" s="15">
        <f t="shared" si="2"/>
        <v>3</v>
      </c>
      <c r="R622" s="15">
        <f t="shared" si="3"/>
        <v>3</v>
      </c>
      <c r="S622" s="15">
        <f t="shared" si="4"/>
        <v>4</v>
      </c>
      <c r="T622" s="15" t="str">
        <f t="shared" si="5"/>
        <v>B-1</v>
      </c>
      <c r="U622" s="15" t="str">
        <f t="shared" si="6"/>
        <v>T3-M3-H4-FB-1-VERIFY</v>
      </c>
      <c r="V622" s="15">
        <f t="shared" si="7"/>
        <v>0</v>
      </c>
      <c r="W622" s="31"/>
      <c r="X622" s="15" t="str">
        <f t="shared" si="8"/>
        <v>srikakulam</v>
      </c>
      <c r="Y622" s="32" t="str">
        <f t="shared" si="9"/>
        <v>https://steelmanufacturer.in/market-area/electropolished-pipes-manufacturer-in-srikakulam/</v>
      </c>
      <c r="Z622" s="15" t="str">
        <f t="shared" si="10"/>
        <v>Electropolished Pipes Manufacturer in Srikakulam</v>
      </c>
      <c r="AA622" s="15" t="str">
        <f t="shared" si="11"/>
        <v>OK (48)</v>
      </c>
      <c r="AB622" s="15" t="str">
        <f t="shared" si="12"/>
        <v>EP stainless tube for VERIFY lines in Srikakulam. VERIFY. ASTM A270 S2, PMI tested, EN 10204 3.1.</v>
      </c>
      <c r="AC622" s="15" t="str">
        <f t="shared" si="13"/>
        <v>PENDING RESEARCH</v>
      </c>
      <c r="AD622" s="15" t="str">
        <f t="shared" si="14"/>
        <v>Electropolished Pipes Manufacturer in Srikakulam</v>
      </c>
      <c r="AE622" s="15" t="str">
        <f t="shared" si="15"/>
        <v>Manufacturing Electropolished SS Tube for Srikakulam: The Standards We Build To</v>
      </c>
      <c r="AF622" s="15" t="str">
        <f t="shared" si="16"/>
        <v>Electropolished Pipe Supply Into Srikakulam - Certification &amp; Transit</v>
      </c>
      <c r="AG622" s="15" t="str">
        <f t="shared" si="17"/>
        <v>Electropolished Pipes Wholesaler in Srikakulam - Project Quantities &amp; Terms</v>
      </c>
      <c r="AH622" s="15" t="str">
        <f t="shared" si="18"/>
        <v>electropolished pipes manufacturer in Srikakulam, electropolished pipes supplier in Srikakulam, electropolished pipes wholesaler in Srikakulam, electropolished tube manufacturer Srikakulam, EP pipe supplier Srikakulam, sanitary tube supplier Srikakulam, ASME BPE tubing Srikakulam, ASTM A270 tube Srikakulam, SS 316L electropolished pipe Srikakulam</v>
      </c>
      <c r="AI622" s="15" t="str">
        <f t="shared" si="19"/>
        <v>Electropolished Pipes Manufacturer &amp; Supplier in Srikakulam</v>
      </c>
      <c r="AJ622" s="15" t="str">
        <f t="shared" si="20"/>
        <v>EP-finished SS 304/316L pipes and tubes for VERIFY plants in Srikakulam. ASME BPE SF1-SF4, Ra from 0.25 um, EN 10204 3.1 certificate with every lot.</v>
      </c>
      <c r="AK622" s="15" t="str">
        <f t="shared" si="21"/>
        <v>Electropolished stainless steel pipes supplied by Sakshi Forge to VERIFY plants at APIIC Industrial Area, Srikakulam</v>
      </c>
      <c r="AL622" s="15" t="str">
        <f t="shared" si="22"/>
        <v>Electropolished SS 316L tube stock for Srikakulam - Sakshi Forge</v>
      </c>
      <c r="AM622" s="15" t="str">
        <f t="shared" si="23"/>
        <v>Home &gt; Market Area &gt; India &gt; Andhra Pradesh &gt; Srikakulam</v>
      </c>
      <c r="AN622" s="15">
        <f t="shared" si="24"/>
        <v>1000</v>
      </c>
      <c r="AO622" s="15">
        <f t="shared" si="25"/>
        <v>8</v>
      </c>
      <c r="AP622" s="15">
        <f t="shared" si="26"/>
        <v>8</v>
      </c>
      <c r="AQ622" s="15">
        <f t="shared" si="27"/>
        <v>11</v>
      </c>
      <c r="AR622" s="31"/>
      <c r="AS622" s="31"/>
      <c r="AT622" s="35" t="s">
        <v>222</v>
      </c>
      <c r="AU622" s="35"/>
    </row>
    <row r="623" ht="15.75" customHeight="1">
      <c r="A623" s="15" t="s">
        <v>4483</v>
      </c>
      <c r="B623" s="15" t="s">
        <v>60</v>
      </c>
      <c r="C623" s="15" t="s">
        <v>1780</v>
      </c>
      <c r="D623" s="15" t="s">
        <v>4484</v>
      </c>
      <c r="E623" s="15" t="s">
        <v>4484</v>
      </c>
      <c r="F623" s="65" t="s">
        <v>788</v>
      </c>
      <c r="G623" s="66" t="s">
        <v>98</v>
      </c>
      <c r="H623" s="18" t="s">
        <v>4486</v>
      </c>
      <c r="I623" s="18" t="s">
        <v>8401</v>
      </c>
      <c r="J623" s="18" t="s">
        <v>98</v>
      </c>
      <c r="K623" s="18" t="s">
        <v>98</v>
      </c>
      <c r="L623" s="18" t="s">
        <v>98</v>
      </c>
      <c r="M623" s="18" t="s">
        <v>98</v>
      </c>
      <c r="N623" s="18" t="s">
        <v>98</v>
      </c>
      <c r="O623" s="18" t="s">
        <v>98</v>
      </c>
      <c r="P623" s="15" t="str">
        <f t="shared" si="1"/>
        <v>VERIFY</v>
      </c>
      <c r="Q623" s="15">
        <f t="shared" si="2"/>
        <v>4</v>
      </c>
      <c r="R623" s="15">
        <f t="shared" si="3"/>
        <v>4</v>
      </c>
      <c r="S623" s="15">
        <f t="shared" si="4"/>
        <v>5</v>
      </c>
      <c r="T623" s="15" t="str">
        <f t="shared" si="5"/>
        <v>B-2</v>
      </c>
      <c r="U623" s="15" t="str">
        <f t="shared" si="6"/>
        <v>T4-M4-H5-FB-2-VERIFY</v>
      </c>
      <c r="V623" s="15">
        <f t="shared" si="7"/>
        <v>0</v>
      </c>
      <c r="W623" s="31"/>
      <c r="X623" s="15" t="str">
        <f t="shared" si="8"/>
        <v>srinagar</v>
      </c>
      <c r="Y623" s="32" t="str">
        <f t="shared" si="9"/>
        <v>https://steelmanufacturer.in/market-area/electropolished-pipes-manufacturer-in-srinagar/</v>
      </c>
      <c r="Z623" s="15" t="str">
        <f t="shared" si="10"/>
        <v>Electropolished Pipes Manufacturer in Srinagar</v>
      </c>
      <c r="AA623" s="15" t="str">
        <f t="shared" si="11"/>
        <v>OK (46)</v>
      </c>
      <c r="AB623" s="15" t="str">
        <f t="shared" si="12"/>
        <v>Sanitary electropolished pipes in Srinagar for VERIFY plants. ASME BPE SF1-SF4, orbital-weld ready, 3.1 MTC. Mumbai-made.</v>
      </c>
      <c r="AC623" s="15" t="str">
        <f t="shared" si="13"/>
        <v>PENDING RESEARCH</v>
      </c>
      <c r="AD623" s="15" t="str">
        <f t="shared" si="14"/>
        <v>Electropolished Pipes Manufacturer in Srinagar</v>
      </c>
      <c r="AE623" s="15" t="str">
        <f t="shared" si="15"/>
        <v>Electropolished Tube Manufacturing Capability Serving Srinagar</v>
      </c>
      <c r="AF623" s="15" t="str">
        <f t="shared" si="16"/>
        <v>Electropolished Pipes Supplier in Srinagar - From Order to Delivery</v>
      </c>
      <c r="AG623" s="15" t="str">
        <f t="shared" si="17"/>
        <v>Stockist &amp; Wholesale Supply of Electropolished Pipes in Srinagar</v>
      </c>
      <c r="AH623" s="15" t="str">
        <f t="shared" si="18"/>
        <v>electropolished pipes manufacturer in Srinagar, electropolished pipes supplier in Srinagar, electropolished pipes wholesaler in Srinagar, electropolished tube manufacturer Srinagar, EP pipe supplier Srinagar, sanitary tube supplier Srinagar, ASME BPE tubing Srinagar, ASTM A270 tube Srinagar, SS 316L electropolished pipe Srinagar</v>
      </c>
      <c r="AI623" s="15" t="str">
        <f t="shared" si="19"/>
        <v>Electropolished Pipes Manufacturer &amp; Supplier in Srinagar</v>
      </c>
      <c r="AJ623" s="15" t="str">
        <f t="shared" si="20"/>
        <v>EP-finished SS 304/316L pipes and tubes for VERIFY plants in Srinagar. ASME BPE SF1-SF4, Ra from 0.25 um, EN 10204 3.1 certificate with every lot.</v>
      </c>
      <c r="AK623" s="15" t="str">
        <f t="shared" si="21"/>
        <v>Electropolished stainless steel pipes supplied by Sakshi Forge to VERIFY plants at SIDCO Industrial Area, Srinagar</v>
      </c>
      <c r="AL623" s="15" t="str">
        <f t="shared" si="22"/>
        <v>Electropolished SS 316L tube stock for Srinagar - Sakshi Forge</v>
      </c>
      <c r="AM623" s="15" t="str">
        <f t="shared" si="23"/>
        <v>Home &gt; Market Area &gt; India &gt; Jammu &amp; Kashmir &gt; Srinagar</v>
      </c>
      <c r="AN623" s="15">
        <f t="shared" si="24"/>
        <v>1000</v>
      </c>
      <c r="AO623" s="15">
        <f t="shared" si="25"/>
        <v>8</v>
      </c>
      <c r="AP623" s="15">
        <f t="shared" si="26"/>
        <v>8</v>
      </c>
      <c r="AQ623" s="15">
        <f t="shared" si="27"/>
        <v>11</v>
      </c>
      <c r="AR623" s="31"/>
      <c r="AS623" s="31"/>
      <c r="AT623" s="35" t="s">
        <v>222</v>
      </c>
      <c r="AU623" s="35"/>
    </row>
    <row r="624" ht="15.75" customHeight="1">
      <c r="A624" s="15" t="s">
        <v>4487</v>
      </c>
      <c r="B624" s="15" t="s">
        <v>60</v>
      </c>
      <c r="C624" s="15" t="s">
        <v>85</v>
      </c>
      <c r="D624" s="15" t="s">
        <v>4488</v>
      </c>
      <c r="E624" s="15" t="s">
        <v>4488</v>
      </c>
      <c r="F624" s="65" t="s">
        <v>788</v>
      </c>
      <c r="G624" s="66" t="s">
        <v>98</v>
      </c>
      <c r="H624" s="18" t="s">
        <v>4490</v>
      </c>
      <c r="I624" s="18" t="s">
        <v>8398</v>
      </c>
      <c r="J624" s="18" t="s">
        <v>98</v>
      </c>
      <c r="K624" s="18" t="s">
        <v>98</v>
      </c>
      <c r="L624" s="18" t="s">
        <v>98</v>
      </c>
      <c r="M624" s="18" t="s">
        <v>98</v>
      </c>
      <c r="N624" s="18" t="s">
        <v>98</v>
      </c>
      <c r="O624" s="18" t="s">
        <v>98</v>
      </c>
      <c r="P624" s="15" t="str">
        <f t="shared" si="1"/>
        <v>VERIFY</v>
      </c>
      <c r="Q624" s="15">
        <f t="shared" si="2"/>
        <v>5</v>
      </c>
      <c r="R624" s="15">
        <f t="shared" si="3"/>
        <v>5</v>
      </c>
      <c r="S624" s="15">
        <f t="shared" si="4"/>
        <v>1</v>
      </c>
      <c r="T624" s="15" t="str">
        <f t="shared" si="5"/>
        <v>B-3</v>
      </c>
      <c r="U624" s="15" t="str">
        <f t="shared" si="6"/>
        <v>T5-M5-H1-FB-3-VERIFY</v>
      </c>
      <c r="V624" s="15">
        <f t="shared" si="7"/>
        <v>0</v>
      </c>
      <c r="W624" s="31"/>
      <c r="X624" s="15" t="str">
        <f t="shared" si="8"/>
        <v>sultanpur</v>
      </c>
      <c r="Y624" s="32" t="str">
        <f t="shared" si="9"/>
        <v>https://steelmanufacturer.in/market-area/electropolished-pipes-manufacturer-in-sultanpur/</v>
      </c>
      <c r="Z624" s="15" t="str">
        <f t="shared" si="10"/>
        <v>Electropolished Pipes Manufacturer in Sultanpur</v>
      </c>
      <c r="AA624" s="15" t="str">
        <f t="shared" si="11"/>
        <v>OK (47)</v>
      </c>
      <c r="AB624" s="15" t="str">
        <f t="shared" si="12"/>
        <v>Manufacturer of electropolished SS 316L tube serving Sultanpur. VERIFY. Ra 0.25-0.5 um, EN 10204 3.1 MTC.</v>
      </c>
      <c r="AC624" s="15" t="str">
        <f t="shared" si="13"/>
        <v>PENDING RESEARCH</v>
      </c>
      <c r="AD624" s="15" t="str">
        <f t="shared" si="14"/>
        <v>Electropolished Pipes Manufacturer in Sultanpur</v>
      </c>
      <c r="AE624" s="15" t="str">
        <f t="shared" si="15"/>
        <v>Electropolished Pipe &amp; Tube Manufacturing for Sultanpur - Grades, Finishes &amp; Certification</v>
      </c>
      <c r="AF624" s="15" t="str">
        <f t="shared" si="16"/>
        <v>Electropolished Pipes Supplier in Sultanpur - Stock Sizes, Lead Time &amp; Delivery</v>
      </c>
      <c r="AG624" s="15" t="str">
        <f t="shared" si="17"/>
        <v>Electropolished Pipes Wholesaler &amp; Stockist in Sultanpur - Bulk &amp; Project Pricing</v>
      </c>
      <c r="AH624" s="15" t="str">
        <f t="shared" si="18"/>
        <v>electropolished pipes manufacturer in Sultanpur, electropolished pipes supplier in Sultanpur, electropolished pipes wholesaler in Sultanpur, electropolished tube manufacturer Sultanpur, EP pipe supplier Sultanpur, sanitary tube supplier Sultanpur, ASME BPE tubing Sultanpur, ASTM A270 tube Sultanpur, SS 316L electropolished pipe Sultanpur</v>
      </c>
      <c r="AI624" s="15" t="str">
        <f t="shared" si="19"/>
        <v>Electropolished Pipes Manufacturer &amp; Supplier in Sultanpur</v>
      </c>
      <c r="AJ624" s="15" t="str">
        <f t="shared" si="20"/>
        <v>EP-finished SS 304/316L pipes and tubes for VERIFY plants in Sultanpur. ASME BPE SF1-SF4, Ra from 0.25 um, EN 10204 3.1 certificate with every lot.</v>
      </c>
      <c r="AK624" s="15" t="str">
        <f t="shared" si="21"/>
        <v>Electropolished stainless steel pipes supplied by Sakshi Forge to VERIFY plants at UPSIDA Industrial Area, Sultanpur</v>
      </c>
      <c r="AL624" s="15" t="str">
        <f t="shared" si="22"/>
        <v>Electropolished SS 316L tube stock for Sultanpur - Sakshi Forge</v>
      </c>
      <c r="AM624" s="15" t="str">
        <f t="shared" si="23"/>
        <v>Home &gt; Market Area &gt; India &gt; Uttar Pradesh &gt; Sultanpur</v>
      </c>
      <c r="AN624" s="15">
        <f t="shared" si="24"/>
        <v>1000</v>
      </c>
      <c r="AO624" s="15">
        <f t="shared" si="25"/>
        <v>8</v>
      </c>
      <c r="AP624" s="15">
        <f t="shared" si="26"/>
        <v>8</v>
      </c>
      <c r="AQ624" s="15">
        <f t="shared" si="27"/>
        <v>11</v>
      </c>
      <c r="AR624" s="31"/>
      <c r="AS624" s="31"/>
      <c r="AT624" s="35" t="s">
        <v>222</v>
      </c>
      <c r="AU624" s="35"/>
    </row>
    <row r="625" ht="15.75" customHeight="1">
      <c r="A625" s="15" t="s">
        <v>4491</v>
      </c>
      <c r="B625" s="15" t="s">
        <v>60</v>
      </c>
      <c r="C625" s="15" t="s">
        <v>424</v>
      </c>
      <c r="D625" s="15" t="s">
        <v>4492</v>
      </c>
      <c r="E625" s="15" t="s">
        <v>4492</v>
      </c>
      <c r="F625" s="65" t="s">
        <v>788</v>
      </c>
      <c r="G625" s="66" t="s">
        <v>98</v>
      </c>
      <c r="H625" s="18" t="s">
        <v>4494</v>
      </c>
      <c r="I625" s="18" t="s">
        <v>8406</v>
      </c>
      <c r="J625" s="18" t="s">
        <v>98</v>
      </c>
      <c r="K625" s="18" t="s">
        <v>98</v>
      </c>
      <c r="L625" s="18" t="s">
        <v>98</v>
      </c>
      <c r="M625" s="18" t="s">
        <v>98</v>
      </c>
      <c r="N625" s="18" t="s">
        <v>98</v>
      </c>
      <c r="O625" s="18" t="s">
        <v>98</v>
      </c>
      <c r="P625" s="15" t="str">
        <f t="shared" si="1"/>
        <v>VERIFY</v>
      </c>
      <c r="Q625" s="15">
        <f t="shared" si="2"/>
        <v>6</v>
      </c>
      <c r="R625" s="15">
        <f t="shared" si="3"/>
        <v>6</v>
      </c>
      <c r="S625" s="15">
        <f t="shared" si="4"/>
        <v>2</v>
      </c>
      <c r="T625" s="15" t="str">
        <f t="shared" si="5"/>
        <v>B-4</v>
      </c>
      <c r="U625" s="15" t="str">
        <f t="shared" si="6"/>
        <v>T6-M6-H2-FB-4-VERIFY</v>
      </c>
      <c r="V625" s="15">
        <f t="shared" si="7"/>
        <v>0</v>
      </c>
      <c r="W625" s="31"/>
      <c r="X625" s="15" t="str">
        <f t="shared" si="8"/>
        <v>sundargarh</v>
      </c>
      <c r="Y625" s="32" t="str">
        <f t="shared" si="9"/>
        <v>https://steelmanufacturer.in/market-area/electropolished-pipes-manufacturer-in-sundargarh/</v>
      </c>
      <c r="Z625" s="15" t="str">
        <f t="shared" si="10"/>
        <v>Electropolished Pipes Manufacturer in Sundargarh</v>
      </c>
      <c r="AA625" s="15" t="str">
        <f t="shared" si="11"/>
        <v>OK (48)</v>
      </c>
      <c r="AB625" s="15" t="str">
        <f t="shared" si="12"/>
        <v>EP tube and pipe for VERIFY plants around IDCO Industrial Area, Sundargarh. Made at our Mumbai works to ASTM A270 and ASME BPE SF1-SF4, with 3.1 MTC.</v>
      </c>
      <c r="AC625" s="15" t="str">
        <f t="shared" si="13"/>
        <v>PENDING RESEARCH</v>
      </c>
      <c r="AD625" s="15" t="str">
        <f t="shared" si="14"/>
        <v>Electropolished Pipes Manufacturer in Sundargarh</v>
      </c>
      <c r="AE625" s="15" t="str">
        <f t="shared" si="15"/>
        <v>How We Manufacture Electropolished Tube for Sundargarh Plants</v>
      </c>
      <c r="AF625" s="15" t="str">
        <f t="shared" si="16"/>
        <v>Supplying Electropolished Pipes in Sundargarh: Availability, Sizes &amp; Dispatch</v>
      </c>
      <c r="AG625" s="15" t="str">
        <f t="shared" si="17"/>
        <v>Wholesale Electropolished Pipe Supply for Sundargarh Projects</v>
      </c>
      <c r="AH625" s="15" t="str">
        <f t="shared" si="18"/>
        <v>electropolished pipes manufacturer in Sundargarh, electropolished pipes supplier in Sundargarh, electropolished pipes wholesaler in Sundargarh, electropolished tube manufacturer Sundargarh, EP pipe supplier Sundargarh, sanitary tube supplier Sundargarh, ASME BPE tubing Sundargarh, ASTM A270 tube Sundargarh, SS 316L electropolished pipe Sundargarh</v>
      </c>
      <c r="AI625" s="15" t="str">
        <f t="shared" si="19"/>
        <v>Electropolished Pipes Manufacturer &amp; Supplier in Sundargarh</v>
      </c>
      <c r="AJ625" s="15" t="str">
        <f t="shared" si="20"/>
        <v>EP-finished SS 304/316L pipes and tubes for VERIFY plants in Sundargarh. ASME BPE SF1-SF4, Ra from 0.25 um, EN 10204 3.1 certificate with every lot.</v>
      </c>
      <c r="AK625" s="15" t="str">
        <f t="shared" si="21"/>
        <v>Electropolished stainless steel pipes supplied by Sakshi Forge to VERIFY plants at IDCO Industrial Area, Sundargarh</v>
      </c>
      <c r="AL625" s="15" t="str">
        <f t="shared" si="22"/>
        <v>Electropolished SS 316L tube stock for Sundargarh - Sakshi Forge</v>
      </c>
      <c r="AM625" s="15" t="str">
        <f t="shared" si="23"/>
        <v>Home &gt; Market Area &gt; India &gt; Odisha &gt; Sundargarh</v>
      </c>
      <c r="AN625" s="15">
        <f t="shared" si="24"/>
        <v>1000</v>
      </c>
      <c r="AO625" s="15">
        <f t="shared" si="25"/>
        <v>8</v>
      </c>
      <c r="AP625" s="15">
        <f t="shared" si="26"/>
        <v>8</v>
      </c>
      <c r="AQ625" s="15">
        <f t="shared" si="27"/>
        <v>11</v>
      </c>
      <c r="AR625" s="31"/>
      <c r="AS625" s="31"/>
      <c r="AT625" s="35" t="s">
        <v>222</v>
      </c>
      <c r="AU625" s="35"/>
    </row>
    <row r="626" ht="15.75" customHeight="1">
      <c r="A626" s="15" t="s">
        <v>4495</v>
      </c>
      <c r="B626" s="15" t="s">
        <v>60</v>
      </c>
      <c r="C626" s="15" t="s">
        <v>224</v>
      </c>
      <c r="D626" s="15" t="s">
        <v>4496</v>
      </c>
      <c r="E626" s="15" t="s">
        <v>4496</v>
      </c>
      <c r="F626" s="65" t="s">
        <v>788</v>
      </c>
      <c r="G626" s="66" t="s">
        <v>98</v>
      </c>
      <c r="H626" s="18" t="s">
        <v>4498</v>
      </c>
      <c r="I626" s="18" t="s">
        <v>8400</v>
      </c>
      <c r="J626" s="18" t="s">
        <v>98</v>
      </c>
      <c r="K626" s="18" t="s">
        <v>98</v>
      </c>
      <c r="L626" s="18" t="s">
        <v>98</v>
      </c>
      <c r="M626" s="18" t="s">
        <v>98</v>
      </c>
      <c r="N626" s="18" t="s">
        <v>98</v>
      </c>
      <c r="O626" s="18" t="s">
        <v>98</v>
      </c>
      <c r="P626" s="15" t="str">
        <f t="shared" si="1"/>
        <v>VERIFY</v>
      </c>
      <c r="Q626" s="15">
        <f t="shared" si="2"/>
        <v>7</v>
      </c>
      <c r="R626" s="15">
        <f t="shared" si="3"/>
        <v>7</v>
      </c>
      <c r="S626" s="15">
        <f t="shared" si="4"/>
        <v>3</v>
      </c>
      <c r="T626" s="15" t="str">
        <f t="shared" si="5"/>
        <v>B-5</v>
      </c>
      <c r="U626" s="15" t="str">
        <f t="shared" si="6"/>
        <v>T7-M7-H3-FB-5-VERIFY</v>
      </c>
      <c r="V626" s="15">
        <f t="shared" si="7"/>
        <v>0</v>
      </c>
      <c r="W626" s="31"/>
      <c r="X626" s="15" t="str">
        <f t="shared" si="8"/>
        <v>surendranagar</v>
      </c>
      <c r="Y626" s="32" t="str">
        <f t="shared" si="9"/>
        <v>https://steelmanufacturer.in/market-area/electropolished-pipes-manufacturer-in-surendranagar/</v>
      </c>
      <c r="Z626" s="15" t="str">
        <f t="shared" si="10"/>
        <v>Electropolished Pipes Manufacturer in Surendranagar</v>
      </c>
      <c r="AA626" s="15" t="str">
        <f t="shared" si="11"/>
        <v>OK (51)</v>
      </c>
      <c r="AB626" s="15" t="str">
        <f t="shared" si="12"/>
        <v>Electropolished pipes in Surendranagar: 304, 304L, 316 and 316L in SF1-SF4. VERIFY. Mill certified.</v>
      </c>
      <c r="AC626" s="15" t="str">
        <f t="shared" si="13"/>
        <v>PENDING RESEARCH</v>
      </c>
      <c r="AD626" s="15" t="str">
        <f t="shared" si="14"/>
        <v>Electropolished Pipes Manufacturer in Surendranagar</v>
      </c>
      <c r="AE626" s="15" t="str">
        <f t="shared" si="15"/>
        <v>Electropolished Pipes Manufacturer in Surendranagar - Our Process &amp; Capability</v>
      </c>
      <c r="AF626" s="15" t="str">
        <f t="shared" si="16"/>
        <v>Electropolished Pipes Supplier in Surendranagar - What We Hold in Stock</v>
      </c>
      <c r="AG626" s="15" t="str">
        <f t="shared" si="17"/>
        <v>Bulk &amp; Wholesale Electropolished Pipe Rates for Surendranagar Buyers</v>
      </c>
      <c r="AH626" s="15" t="str">
        <f t="shared" si="18"/>
        <v>electropolished pipes manufacturer in Surendranagar, electropolished pipes supplier in Surendranagar, electropolished pipes wholesaler in Surendranagar, electropolished tube manufacturer Surendranagar, EP pipe supplier Surendranagar, sanitary tube supplier Surendranagar, ASME BPE tubing Surendranagar, ASTM A270 tube Surendranagar, SS 316L electropolished pipe Surendranagar</v>
      </c>
      <c r="AI626" s="15" t="str">
        <f t="shared" si="19"/>
        <v>Electropolished Pipes Manufacturer &amp; Supplier in Surendranagar</v>
      </c>
      <c r="AJ626" s="15" t="str">
        <f t="shared" si="20"/>
        <v>EP-finished SS 304/316L pipes and tubes for VERIFY plants in Surendranagar. ASME BPE SF1-SF4, Ra from 0.25 um, EN 10204 3.1 certificate with every lot.</v>
      </c>
      <c r="AK626" s="15" t="str">
        <f t="shared" si="21"/>
        <v>Electropolished stainless steel pipes supplied by Sakshi Forge to VERIFY plants at GIDC Industrial Area, Surendranagar</v>
      </c>
      <c r="AL626" s="15" t="str">
        <f t="shared" si="22"/>
        <v>Electropolished SS 316L tube stock for Surendranagar - Sakshi Forge</v>
      </c>
      <c r="AM626" s="15" t="str">
        <f t="shared" si="23"/>
        <v>Home &gt; Market Area &gt; India &gt; Gujarat &gt; Surendranagar</v>
      </c>
      <c r="AN626" s="15">
        <f t="shared" si="24"/>
        <v>1000</v>
      </c>
      <c r="AO626" s="15">
        <f t="shared" si="25"/>
        <v>8</v>
      </c>
      <c r="AP626" s="15">
        <f t="shared" si="26"/>
        <v>8</v>
      </c>
      <c r="AQ626" s="15">
        <f t="shared" si="27"/>
        <v>11</v>
      </c>
      <c r="AR626" s="31"/>
      <c r="AS626" s="31"/>
      <c r="AT626" s="35" t="s">
        <v>222</v>
      </c>
      <c r="AU626" s="35"/>
    </row>
    <row r="627" ht="15.75" customHeight="1">
      <c r="A627" s="15" t="s">
        <v>4499</v>
      </c>
      <c r="B627" s="15" t="s">
        <v>60</v>
      </c>
      <c r="C627" s="15" t="s">
        <v>1312</v>
      </c>
      <c r="D627" s="15" t="s">
        <v>4500</v>
      </c>
      <c r="E627" s="15" t="s">
        <v>4500</v>
      </c>
      <c r="F627" s="65" t="s">
        <v>788</v>
      </c>
      <c r="G627" s="66" t="s">
        <v>98</v>
      </c>
      <c r="H627" s="18" t="s">
        <v>4502</v>
      </c>
      <c r="I627" s="18" t="s">
        <v>8392</v>
      </c>
      <c r="J627" s="18" t="s">
        <v>98</v>
      </c>
      <c r="K627" s="18" t="s">
        <v>98</v>
      </c>
      <c r="L627" s="18" t="s">
        <v>98</v>
      </c>
      <c r="M627" s="18" t="s">
        <v>98</v>
      </c>
      <c r="N627" s="18" t="s">
        <v>98</v>
      </c>
      <c r="O627" s="18" t="s">
        <v>98</v>
      </c>
      <c r="P627" s="15" t="str">
        <f t="shared" si="1"/>
        <v>VERIFY</v>
      </c>
      <c r="Q627" s="15">
        <f t="shared" si="2"/>
        <v>8</v>
      </c>
      <c r="R627" s="15">
        <f t="shared" si="3"/>
        <v>1</v>
      </c>
      <c r="S627" s="15">
        <f t="shared" si="4"/>
        <v>4</v>
      </c>
      <c r="T627" s="15" t="str">
        <f t="shared" si="5"/>
        <v>B-6</v>
      </c>
      <c r="U627" s="15" t="str">
        <f t="shared" si="6"/>
        <v>T8-M1-H4-FB-6-VERIFY</v>
      </c>
      <c r="V627" s="15">
        <f t="shared" si="7"/>
        <v>0</v>
      </c>
      <c r="W627" s="31"/>
      <c r="X627" s="15" t="str">
        <f t="shared" si="8"/>
        <v>suryapet</v>
      </c>
      <c r="Y627" s="32" t="str">
        <f t="shared" si="9"/>
        <v>https://steelmanufacturer.in/market-area/electropolished-pipes-manufacturer-in-suryapet/</v>
      </c>
      <c r="Z627" s="15" t="str">
        <f t="shared" si="10"/>
        <v>Electropolished Pipes Manufacturer in Suryapet - EP Tube Stockist</v>
      </c>
      <c r="AA627" s="15" t="str">
        <f t="shared" si="11"/>
        <v>OK (65)</v>
      </c>
      <c r="AB627" s="15" t="str">
        <f t="shared" si="12"/>
        <v>EP-finished SS 304/316L pipes &amp; tubes for VERIFY plants in Suryapet. ASTM A270, ASME BPE SF1-SF4, EN 10204 3.1 MTC. PMI tested.</v>
      </c>
      <c r="AC627" s="15" t="str">
        <f t="shared" si="13"/>
        <v>PENDING RESEARCH</v>
      </c>
      <c r="AD627" s="15" t="str">
        <f t="shared" si="14"/>
        <v>Electropolished Pipes Manufacturer in Suryapet</v>
      </c>
      <c r="AE627" s="15" t="str">
        <f t="shared" si="15"/>
        <v>Manufacturing Electropolished SS Tube for Suryapet: The Standards We Build To</v>
      </c>
      <c r="AF627" s="15" t="str">
        <f t="shared" si="16"/>
        <v>Electropolished Pipe Supply Into Suryapet - Certification &amp; Transit</v>
      </c>
      <c r="AG627" s="15" t="str">
        <f t="shared" si="17"/>
        <v>Electropolished Pipes Wholesaler in Suryapet - Project Quantities &amp; Terms</v>
      </c>
      <c r="AH627" s="15" t="str">
        <f t="shared" si="18"/>
        <v>electropolished pipes manufacturer in Suryapet, electropolished pipes supplier in Suryapet, electropolished pipes wholesaler in Suryapet, electropolished tube manufacturer Suryapet, EP pipe supplier Suryapet, sanitary tube supplier Suryapet, ASME BPE tubing Suryapet, ASTM A270 tube Suryapet, SS 316L electropolished pipe Suryapet</v>
      </c>
      <c r="AI627" s="15" t="str">
        <f t="shared" si="19"/>
        <v>Electropolished Pipes Manufacturer &amp; Supplier in Suryapet</v>
      </c>
      <c r="AJ627" s="15" t="str">
        <f t="shared" si="20"/>
        <v>EP-finished SS 304/316L pipes and tubes for VERIFY plants in Suryapet. ASME BPE SF1-SF4, Ra from 0.25 um, EN 10204 3.1 certificate with every lot.</v>
      </c>
      <c r="AK627" s="15" t="str">
        <f t="shared" si="21"/>
        <v>Electropolished stainless steel pipes supplied by Sakshi Forge to VERIFY plants at TSIIC Industrial Area, Suryapet</v>
      </c>
      <c r="AL627" s="15" t="str">
        <f t="shared" si="22"/>
        <v>Electropolished SS 316L tube stock for Suryapet - Sakshi Forge</v>
      </c>
      <c r="AM627" s="15" t="str">
        <f t="shared" si="23"/>
        <v>Home &gt; Market Area &gt; India &gt; Telangana &gt; Suryapet</v>
      </c>
      <c r="AN627" s="15">
        <f t="shared" si="24"/>
        <v>1000</v>
      </c>
      <c r="AO627" s="15">
        <f t="shared" si="25"/>
        <v>8</v>
      </c>
      <c r="AP627" s="15">
        <f t="shared" si="26"/>
        <v>8</v>
      </c>
      <c r="AQ627" s="15">
        <f t="shared" si="27"/>
        <v>11</v>
      </c>
      <c r="AR627" s="31"/>
      <c r="AS627" s="31"/>
      <c r="AT627" s="35" t="s">
        <v>222</v>
      </c>
      <c r="AU627" s="35"/>
    </row>
    <row r="628" ht="15.75" customHeight="1">
      <c r="A628" s="15" t="s">
        <v>4503</v>
      </c>
      <c r="B628" s="15" t="s">
        <v>60</v>
      </c>
      <c r="C628" s="15" t="s">
        <v>413</v>
      </c>
      <c r="D628" s="15" t="s">
        <v>4504</v>
      </c>
      <c r="E628" s="15" t="s">
        <v>4504</v>
      </c>
      <c r="F628" s="65" t="s">
        <v>788</v>
      </c>
      <c r="G628" s="66" t="s">
        <v>98</v>
      </c>
      <c r="H628" s="18" t="s">
        <v>4506</v>
      </c>
      <c r="I628" s="18" t="s">
        <v>8393</v>
      </c>
      <c r="J628" s="18" t="s">
        <v>98</v>
      </c>
      <c r="K628" s="18" t="s">
        <v>98</v>
      </c>
      <c r="L628" s="18" t="s">
        <v>98</v>
      </c>
      <c r="M628" s="18" t="s">
        <v>98</v>
      </c>
      <c r="N628" s="18" t="s">
        <v>98</v>
      </c>
      <c r="O628" s="18" t="s">
        <v>98</v>
      </c>
      <c r="P628" s="15" t="str">
        <f t="shared" si="1"/>
        <v>VERIFY</v>
      </c>
      <c r="Q628" s="15">
        <f t="shared" si="2"/>
        <v>1</v>
      </c>
      <c r="R628" s="15">
        <f t="shared" si="3"/>
        <v>2</v>
      </c>
      <c r="S628" s="15">
        <f t="shared" si="4"/>
        <v>5</v>
      </c>
      <c r="T628" s="15" t="str">
        <f t="shared" si="5"/>
        <v>B-1</v>
      </c>
      <c r="U628" s="15" t="str">
        <f t="shared" si="6"/>
        <v>T1-M2-H5-FB-1-VERIFY</v>
      </c>
      <c r="V628" s="15">
        <f t="shared" si="7"/>
        <v>0</v>
      </c>
      <c r="W628" s="31"/>
      <c r="X628" s="15" t="str">
        <f t="shared" si="8"/>
        <v>tadepalligudem</v>
      </c>
      <c r="Y628" s="32" t="str">
        <f t="shared" si="9"/>
        <v>https://steelmanufacturer.in/market-area/electropolished-pipes-manufacturer-in-tadepalligudem/</v>
      </c>
      <c r="Z628" s="15" t="str">
        <f t="shared" si="10"/>
        <v>Electropolished Pipes Manufacturer in Tadepalligudem</v>
      </c>
      <c r="AA628" s="15" t="str">
        <f t="shared" si="11"/>
        <v>OK (52)</v>
      </c>
      <c r="AB628" s="15" t="str">
        <f t="shared" si="12"/>
        <v>Electropolished tube supply to APIIC Industrial Area, Tadepalligudem. Ra from 0.25 um, SF4 finish, mill test certificate with every lot.</v>
      </c>
      <c r="AC628" s="15" t="str">
        <f t="shared" si="13"/>
        <v>PENDING RESEARCH</v>
      </c>
      <c r="AD628" s="15" t="str">
        <f t="shared" si="14"/>
        <v>Electropolished Pipes Manufacturer in Tadepalligudem</v>
      </c>
      <c r="AE628" s="15" t="str">
        <f t="shared" si="15"/>
        <v>Electropolished Tube Manufacturing Capability Serving Tadepalligudem</v>
      </c>
      <c r="AF628" s="15" t="str">
        <f t="shared" si="16"/>
        <v>Electropolished Pipes Supplier in Tadepalligudem - From Order to Delivery</v>
      </c>
      <c r="AG628" s="15" t="str">
        <f t="shared" si="17"/>
        <v>Stockist &amp; Wholesale Supply of Electropolished Pipes in Tadepalligudem</v>
      </c>
      <c r="AH628" s="15" t="str">
        <f t="shared" si="18"/>
        <v>electropolished pipes manufacturer in Tadepalligudem, electropolished pipes supplier in Tadepalligudem, electropolished pipes wholesaler in Tadepalligudem, electropolished tube manufacturer Tadepalligudem, EP pipe supplier Tadepalligudem, sanitary tube supplier Tadepalligudem, ASME BPE tubing Tadepalligudem, ASTM A270 tube Tadepalligudem, SS 316L electropolished pipe Tadepalligudem</v>
      </c>
      <c r="AI628" s="15" t="str">
        <f t="shared" si="19"/>
        <v>Electropolished Pipes Manufacturer &amp; Supplier in Tadepalligudem</v>
      </c>
      <c r="AJ628" s="15" t="str">
        <f t="shared" si="20"/>
        <v>EP-finished SS 304/316L pipes and tubes for VERIFY plants in Tadepalligudem. ASME BPE SF1-SF4, Ra from 0.25 um, EN 10204 3.1 certificate with every lot.</v>
      </c>
      <c r="AK628" s="15" t="str">
        <f t="shared" si="21"/>
        <v>Electropolished stainless steel pipes supplied by Sakshi Forge to VERIFY plants at APIIC Industrial Area, Tadepalligudem</v>
      </c>
      <c r="AL628" s="15" t="str">
        <f t="shared" si="22"/>
        <v>Electropolished SS 316L tube stock for Tadepalligudem - Sakshi Forge</v>
      </c>
      <c r="AM628" s="15" t="str">
        <f t="shared" si="23"/>
        <v>Home &gt; Market Area &gt; India &gt; Andhra Pradesh &gt; Tadepalligudem</v>
      </c>
      <c r="AN628" s="15">
        <f t="shared" si="24"/>
        <v>1000</v>
      </c>
      <c r="AO628" s="15">
        <f t="shared" si="25"/>
        <v>8</v>
      </c>
      <c r="AP628" s="15">
        <f t="shared" si="26"/>
        <v>8</v>
      </c>
      <c r="AQ628" s="15">
        <f t="shared" si="27"/>
        <v>11</v>
      </c>
      <c r="AR628" s="31"/>
      <c r="AS628" s="31"/>
      <c r="AT628" s="35" t="s">
        <v>222</v>
      </c>
      <c r="AU628" s="35"/>
    </row>
    <row r="629" ht="15.75" customHeight="1">
      <c r="A629" s="15" t="s">
        <v>4507</v>
      </c>
      <c r="B629" s="15" t="s">
        <v>60</v>
      </c>
      <c r="C629" s="15" t="s">
        <v>264</v>
      </c>
      <c r="D629" s="15" t="s">
        <v>4508</v>
      </c>
      <c r="E629" s="15" t="s">
        <v>4508</v>
      </c>
      <c r="F629" s="65" t="s">
        <v>788</v>
      </c>
      <c r="G629" s="66" t="s">
        <v>98</v>
      </c>
      <c r="H629" s="18" t="s">
        <v>4510</v>
      </c>
      <c r="I629" s="18" t="s">
        <v>8395</v>
      </c>
      <c r="J629" s="18" t="s">
        <v>98</v>
      </c>
      <c r="K629" s="18" t="s">
        <v>98</v>
      </c>
      <c r="L629" s="18" t="s">
        <v>98</v>
      </c>
      <c r="M629" s="18" t="s">
        <v>98</v>
      </c>
      <c r="N629" s="18" t="s">
        <v>98</v>
      </c>
      <c r="O629" s="18" t="s">
        <v>98</v>
      </c>
      <c r="P629" s="15" t="str">
        <f t="shared" si="1"/>
        <v>VERIFY</v>
      </c>
      <c r="Q629" s="15">
        <f t="shared" si="2"/>
        <v>2</v>
      </c>
      <c r="R629" s="15">
        <f t="shared" si="3"/>
        <v>3</v>
      </c>
      <c r="S629" s="15">
        <f t="shared" si="4"/>
        <v>1</v>
      </c>
      <c r="T629" s="15" t="str">
        <f t="shared" si="5"/>
        <v>B-2</v>
      </c>
      <c r="U629" s="15" t="str">
        <f t="shared" si="6"/>
        <v>T2-M3-H1-FB-2-VERIFY</v>
      </c>
      <c r="V629" s="15">
        <f t="shared" si="7"/>
        <v>0</v>
      </c>
      <c r="W629" s="31"/>
      <c r="X629" s="15" t="str">
        <f t="shared" si="8"/>
        <v>talegaon</v>
      </c>
      <c r="Y629" s="32" t="str">
        <f t="shared" si="9"/>
        <v>https://steelmanufacturer.in/market-area/electropolished-pipes-manufacturer-in-talegaon/</v>
      </c>
      <c r="Z629" s="15" t="str">
        <f t="shared" si="10"/>
        <v>Electropolished Pipes Manufacturer in Talegaon</v>
      </c>
      <c r="AA629" s="15" t="str">
        <f t="shared" si="11"/>
        <v>OK (46)</v>
      </c>
      <c r="AB629" s="15" t="str">
        <f t="shared" si="12"/>
        <v>EP stainless tube for VERIFY lines in Talegaon. VERIFY. ASTM A270 S2, PMI tested, EN 10204 3.1.</v>
      </c>
      <c r="AC629" s="15" t="str">
        <f t="shared" si="13"/>
        <v>PENDING RESEARCH</v>
      </c>
      <c r="AD629" s="15" t="str">
        <f t="shared" si="14"/>
        <v>Electropolished Pipes Manufacturer in Talegaon</v>
      </c>
      <c r="AE629" s="15" t="str">
        <f t="shared" si="15"/>
        <v>Electropolished Pipe &amp; Tube Manufacturing for Talegaon - Grades, Finishes &amp; Certification</v>
      </c>
      <c r="AF629" s="15" t="str">
        <f t="shared" si="16"/>
        <v>Electropolished Pipes Supplier in Talegaon - Stock Sizes, Lead Time &amp; Delivery</v>
      </c>
      <c r="AG629" s="15" t="str">
        <f t="shared" si="17"/>
        <v>Electropolished Pipes Wholesaler &amp; Stockist in Talegaon - Bulk &amp; Project Pricing</v>
      </c>
      <c r="AH629" s="15" t="str">
        <f t="shared" si="18"/>
        <v>electropolished pipes manufacturer in Talegaon, electropolished pipes supplier in Talegaon, electropolished pipes wholesaler in Talegaon, electropolished tube manufacturer Talegaon, EP pipe supplier Talegaon, sanitary tube supplier Talegaon, ASME BPE tubing Talegaon, ASTM A270 tube Talegaon, SS 316L electropolished pipe Talegaon</v>
      </c>
      <c r="AI629" s="15" t="str">
        <f t="shared" si="19"/>
        <v>Electropolished Pipes Manufacturer &amp; Supplier in Talegaon</v>
      </c>
      <c r="AJ629" s="15" t="str">
        <f t="shared" si="20"/>
        <v>EP-finished SS 304/316L pipes and tubes for VERIFY plants in Talegaon. ASME BPE SF1-SF4, Ra from 0.25 um, EN 10204 3.1 certificate with every lot.</v>
      </c>
      <c r="AK629" s="15" t="str">
        <f t="shared" si="21"/>
        <v>Electropolished stainless steel pipes supplied by Sakshi Forge to VERIFY plants at MIDC Industrial Area, Talegaon</v>
      </c>
      <c r="AL629" s="15" t="str">
        <f t="shared" si="22"/>
        <v>Electropolished SS 316L tube stock for Talegaon - Sakshi Forge</v>
      </c>
      <c r="AM629" s="15" t="str">
        <f t="shared" si="23"/>
        <v>Home &gt; Market Area &gt; India &gt; Maharashtra &gt; Talegaon</v>
      </c>
      <c r="AN629" s="15">
        <f t="shared" si="24"/>
        <v>1000</v>
      </c>
      <c r="AO629" s="15">
        <f t="shared" si="25"/>
        <v>8</v>
      </c>
      <c r="AP629" s="15">
        <f t="shared" si="26"/>
        <v>8</v>
      </c>
      <c r="AQ629" s="15">
        <f t="shared" si="27"/>
        <v>11</v>
      </c>
      <c r="AR629" s="31"/>
      <c r="AS629" s="31"/>
      <c r="AT629" s="35" t="s">
        <v>222</v>
      </c>
      <c r="AU629" s="35"/>
    </row>
    <row r="630" ht="15.75" customHeight="1">
      <c r="A630" s="15" t="s">
        <v>4511</v>
      </c>
      <c r="B630" s="15" t="s">
        <v>60</v>
      </c>
      <c r="C630" s="15" t="s">
        <v>413</v>
      </c>
      <c r="D630" s="15" t="s">
        <v>4514</v>
      </c>
      <c r="E630" s="15" t="s">
        <v>4514</v>
      </c>
      <c r="F630" s="65" t="s">
        <v>788</v>
      </c>
      <c r="G630" s="66" t="s">
        <v>98</v>
      </c>
      <c r="H630" s="18" t="s">
        <v>4518</v>
      </c>
      <c r="I630" s="18" t="s">
        <v>8393</v>
      </c>
      <c r="J630" s="18" t="s">
        <v>98</v>
      </c>
      <c r="K630" s="18" t="s">
        <v>98</v>
      </c>
      <c r="L630" s="18" t="s">
        <v>98</v>
      </c>
      <c r="M630" s="18" t="s">
        <v>98</v>
      </c>
      <c r="N630" s="18" t="s">
        <v>98</v>
      </c>
      <c r="O630" s="18" t="s">
        <v>98</v>
      </c>
      <c r="P630" s="15" t="str">
        <f t="shared" si="1"/>
        <v>VERIFY</v>
      </c>
      <c r="Q630" s="15">
        <f t="shared" si="2"/>
        <v>3</v>
      </c>
      <c r="R630" s="15">
        <f t="shared" si="3"/>
        <v>4</v>
      </c>
      <c r="S630" s="15">
        <f t="shared" si="4"/>
        <v>2</v>
      </c>
      <c r="T630" s="15" t="str">
        <f t="shared" si="5"/>
        <v>B-3</v>
      </c>
      <c r="U630" s="15" t="str">
        <f t="shared" si="6"/>
        <v>T3-M4-H2-FB-3-VERIFY</v>
      </c>
      <c r="V630" s="15">
        <f t="shared" si="7"/>
        <v>0</v>
      </c>
      <c r="W630" s="31"/>
      <c r="X630" s="15" t="str">
        <f t="shared" si="8"/>
        <v>tanuku</v>
      </c>
      <c r="Y630" s="32" t="str">
        <f t="shared" si="9"/>
        <v>https://steelmanufacturer.in/market-area/electropolished-pipes-manufacturer-in-tanuku/</v>
      </c>
      <c r="Z630" s="15" t="str">
        <f t="shared" si="10"/>
        <v>Electropolished Pipes Manufacturer in Tanuku | EP Tube Supplier</v>
      </c>
      <c r="AA630" s="15" t="str">
        <f t="shared" si="11"/>
        <v>OK (63)</v>
      </c>
      <c r="AB630" s="15" t="str">
        <f t="shared" si="12"/>
        <v>Sanitary electropolished pipes in Tanuku for VERIFY plants. ASME BPE SF1-SF4, orbital-weld ready, 3.1 MTC. Mumbai-made.</v>
      </c>
      <c r="AC630" s="15" t="str">
        <f t="shared" si="13"/>
        <v>PENDING RESEARCH</v>
      </c>
      <c r="AD630" s="15" t="str">
        <f t="shared" si="14"/>
        <v>Electropolished Pipes Manufacturer in Tanuku</v>
      </c>
      <c r="AE630" s="15" t="str">
        <f t="shared" si="15"/>
        <v>How We Manufacture Electropolished Tube for Tanuku Plants</v>
      </c>
      <c r="AF630" s="15" t="str">
        <f t="shared" si="16"/>
        <v>Supplying Electropolished Pipes in Tanuku: Availability, Sizes &amp; Dispatch</v>
      </c>
      <c r="AG630" s="15" t="str">
        <f t="shared" si="17"/>
        <v>Wholesale Electropolished Pipe Supply for Tanuku Projects</v>
      </c>
      <c r="AH630" s="15" t="str">
        <f t="shared" si="18"/>
        <v>electropolished pipes manufacturer in Tanuku, electropolished pipes supplier in Tanuku, electropolished pipes wholesaler in Tanuku, electropolished tube manufacturer Tanuku, EP pipe supplier Tanuku, sanitary tube supplier Tanuku, ASME BPE tubing Tanuku, ASTM A270 tube Tanuku, SS 316L electropolished pipe Tanuku</v>
      </c>
      <c r="AI630" s="15" t="str">
        <f t="shared" si="19"/>
        <v>Electropolished Pipes Manufacturer &amp; Supplier in Tanuku</v>
      </c>
      <c r="AJ630" s="15" t="str">
        <f t="shared" si="20"/>
        <v>EP-finished SS 304/316L pipes and tubes for VERIFY plants in Tanuku. ASME BPE SF1-SF4, Ra from 0.25 um, EN 10204 3.1 certificate with every lot.</v>
      </c>
      <c r="AK630" s="15" t="str">
        <f t="shared" si="21"/>
        <v>Electropolished stainless steel pipes supplied by Sakshi Forge to VERIFY plants at APIIC Industrial Area, Tanuku</v>
      </c>
      <c r="AL630" s="15" t="str">
        <f t="shared" si="22"/>
        <v>Electropolished SS 316L tube stock for Tanuku - Sakshi Forge</v>
      </c>
      <c r="AM630" s="15" t="str">
        <f t="shared" si="23"/>
        <v>Home &gt; Market Area &gt; India &gt; Andhra Pradesh &gt; Tanuku</v>
      </c>
      <c r="AN630" s="15">
        <f t="shared" si="24"/>
        <v>1000</v>
      </c>
      <c r="AO630" s="15">
        <f t="shared" si="25"/>
        <v>8</v>
      </c>
      <c r="AP630" s="15">
        <f t="shared" si="26"/>
        <v>8</v>
      </c>
      <c r="AQ630" s="15">
        <f t="shared" si="27"/>
        <v>11</v>
      </c>
      <c r="AR630" s="31"/>
      <c r="AS630" s="31"/>
      <c r="AT630" s="35" t="s">
        <v>222</v>
      </c>
      <c r="AU630" s="35"/>
    </row>
    <row r="631" ht="15.75" customHeight="1">
      <c r="A631" s="15" t="s">
        <v>4521</v>
      </c>
      <c r="B631" s="15" t="s">
        <v>60</v>
      </c>
      <c r="C631" s="15" t="s">
        <v>958</v>
      </c>
      <c r="D631" s="15" t="s">
        <v>4522</v>
      </c>
      <c r="E631" s="15" t="s">
        <v>4522</v>
      </c>
      <c r="F631" s="65" t="s">
        <v>788</v>
      </c>
      <c r="G631" s="66" t="s">
        <v>98</v>
      </c>
      <c r="H631" s="18" t="s">
        <v>4524</v>
      </c>
      <c r="I631" s="18" t="s">
        <v>8403</v>
      </c>
      <c r="J631" s="18" t="s">
        <v>98</v>
      </c>
      <c r="K631" s="18" t="s">
        <v>98</v>
      </c>
      <c r="L631" s="18" t="s">
        <v>98</v>
      </c>
      <c r="M631" s="18" t="s">
        <v>98</v>
      </c>
      <c r="N631" s="18" t="s">
        <v>98</v>
      </c>
      <c r="O631" s="18" t="s">
        <v>98</v>
      </c>
      <c r="P631" s="15" t="str">
        <f t="shared" si="1"/>
        <v>VERIFY</v>
      </c>
      <c r="Q631" s="15">
        <f t="shared" si="2"/>
        <v>4</v>
      </c>
      <c r="R631" s="15">
        <f t="shared" si="3"/>
        <v>5</v>
      </c>
      <c r="S631" s="15">
        <f t="shared" si="4"/>
        <v>3</v>
      </c>
      <c r="T631" s="15" t="str">
        <f t="shared" si="5"/>
        <v>B-4</v>
      </c>
      <c r="U631" s="15" t="str">
        <f t="shared" si="6"/>
        <v>T4-M5-H3-FB-4-VERIFY</v>
      </c>
      <c r="V631" s="15">
        <f t="shared" si="7"/>
        <v>0</v>
      </c>
      <c r="W631" s="31"/>
      <c r="X631" s="15" t="str">
        <f t="shared" si="8"/>
        <v>tenkasi</v>
      </c>
      <c r="Y631" s="32" t="str">
        <f t="shared" si="9"/>
        <v>https://steelmanufacturer.in/market-area/electropolished-pipes-manufacturer-in-tenkasi/</v>
      </c>
      <c r="Z631" s="15" t="str">
        <f t="shared" si="10"/>
        <v>Electropolished Pipes Manufacturer in Tenkasi</v>
      </c>
      <c r="AA631" s="15" t="str">
        <f t="shared" si="11"/>
        <v>OK (45)</v>
      </c>
      <c r="AB631" s="15" t="str">
        <f t="shared" si="12"/>
        <v>Manufacturer of electropolished SS 316L tube serving Tenkasi. VERIFY. Ra 0.25-0.5 um, EN 10204 3.1 MTC.</v>
      </c>
      <c r="AC631" s="15" t="str">
        <f t="shared" si="13"/>
        <v>PENDING RESEARCH</v>
      </c>
      <c r="AD631" s="15" t="str">
        <f t="shared" si="14"/>
        <v>Electropolished Pipes Manufacturer in Tenkasi</v>
      </c>
      <c r="AE631" s="15" t="str">
        <f t="shared" si="15"/>
        <v>Electropolished Pipes Manufacturer in Tenkasi - Our Process &amp; Capability</v>
      </c>
      <c r="AF631" s="15" t="str">
        <f t="shared" si="16"/>
        <v>Electropolished Pipes Supplier in Tenkasi - What We Hold in Stock</v>
      </c>
      <c r="AG631" s="15" t="str">
        <f t="shared" si="17"/>
        <v>Bulk &amp; Wholesale Electropolished Pipe Rates for Tenkasi Buyers</v>
      </c>
      <c r="AH631" s="15" t="str">
        <f t="shared" si="18"/>
        <v>electropolished pipes manufacturer in Tenkasi, electropolished pipes supplier in Tenkasi, electropolished pipes wholesaler in Tenkasi, electropolished tube manufacturer Tenkasi, EP pipe supplier Tenkasi, sanitary tube supplier Tenkasi, ASME BPE tubing Tenkasi, ASTM A270 tube Tenkasi, SS 316L electropolished pipe Tenkasi</v>
      </c>
      <c r="AI631" s="15" t="str">
        <f t="shared" si="19"/>
        <v>Electropolished Pipes Manufacturer &amp; Supplier in Tenkasi</v>
      </c>
      <c r="AJ631" s="15" t="str">
        <f t="shared" si="20"/>
        <v>EP-finished SS 304/316L pipes and tubes for VERIFY plants in Tenkasi. ASME BPE SF1-SF4, Ra from 0.25 um, EN 10204 3.1 certificate with every lot.</v>
      </c>
      <c r="AK631" s="15" t="str">
        <f t="shared" si="21"/>
        <v>Electropolished stainless steel pipes supplied by Sakshi Forge to VERIFY plants at SIPCOT Industrial Area, Tenkasi</v>
      </c>
      <c r="AL631" s="15" t="str">
        <f t="shared" si="22"/>
        <v>Electropolished SS 316L tube stock for Tenkasi - Sakshi Forge</v>
      </c>
      <c r="AM631" s="15" t="str">
        <f t="shared" si="23"/>
        <v>Home &gt; Market Area &gt; India &gt; Tamil Nadu &gt; Tenkasi</v>
      </c>
      <c r="AN631" s="15">
        <f t="shared" si="24"/>
        <v>1000</v>
      </c>
      <c r="AO631" s="15">
        <f t="shared" si="25"/>
        <v>8</v>
      </c>
      <c r="AP631" s="15">
        <f t="shared" si="26"/>
        <v>8</v>
      </c>
      <c r="AQ631" s="15">
        <f t="shared" si="27"/>
        <v>11</v>
      </c>
      <c r="AR631" s="31"/>
      <c r="AS631" s="31"/>
      <c r="AT631" s="35" t="s">
        <v>222</v>
      </c>
      <c r="AU631" s="35"/>
    </row>
    <row r="632" ht="15.75" customHeight="1">
      <c r="A632" s="15" t="s">
        <v>4525</v>
      </c>
      <c r="B632" s="15" t="s">
        <v>60</v>
      </c>
      <c r="C632" s="15" t="s">
        <v>1155</v>
      </c>
      <c r="D632" s="15" t="s">
        <v>4526</v>
      </c>
      <c r="E632" s="15" t="s">
        <v>4526</v>
      </c>
      <c r="F632" s="65" t="s">
        <v>788</v>
      </c>
      <c r="G632" s="66" t="s">
        <v>98</v>
      </c>
      <c r="H632" s="18" t="s">
        <v>4528</v>
      </c>
      <c r="I632" s="18" t="s">
        <v>8412</v>
      </c>
      <c r="J632" s="18" t="s">
        <v>98</v>
      </c>
      <c r="K632" s="18" t="s">
        <v>98</v>
      </c>
      <c r="L632" s="18" t="s">
        <v>98</v>
      </c>
      <c r="M632" s="18" t="s">
        <v>98</v>
      </c>
      <c r="N632" s="18" t="s">
        <v>98</v>
      </c>
      <c r="O632" s="18" t="s">
        <v>98</v>
      </c>
      <c r="P632" s="15" t="str">
        <f t="shared" si="1"/>
        <v>VERIFY</v>
      </c>
      <c r="Q632" s="15">
        <f t="shared" si="2"/>
        <v>5</v>
      </c>
      <c r="R632" s="15">
        <f t="shared" si="3"/>
        <v>6</v>
      </c>
      <c r="S632" s="15">
        <f t="shared" si="4"/>
        <v>4</v>
      </c>
      <c r="T632" s="15" t="str">
        <f t="shared" si="5"/>
        <v>B-5</v>
      </c>
      <c r="U632" s="15" t="str">
        <f t="shared" si="6"/>
        <v>T5-M6-H4-FB-5-VERIFY</v>
      </c>
      <c r="V632" s="15">
        <f t="shared" si="7"/>
        <v>0</v>
      </c>
      <c r="W632" s="31"/>
      <c r="X632" s="15" t="str">
        <f t="shared" si="8"/>
        <v>tezpur</v>
      </c>
      <c r="Y632" s="32" t="str">
        <f t="shared" si="9"/>
        <v>https://steelmanufacturer.in/market-area/electropolished-pipes-manufacturer-in-tezpur/</v>
      </c>
      <c r="Z632" s="15" t="str">
        <f t="shared" si="10"/>
        <v>Electropolished Pipes Manufacturer in Tezpur</v>
      </c>
      <c r="AA632" s="15" t="str">
        <f t="shared" si="11"/>
        <v>OK (44)</v>
      </c>
      <c r="AB632" s="15" t="str">
        <f t="shared" si="12"/>
        <v>EP tube and pipe for VERIFY plants around AIDC Industrial Area, Tezpur. Made at our Mumbai works to ASTM A270 and ASME BPE SF1-SF4, with 3.1 MTC.</v>
      </c>
      <c r="AC632" s="15" t="str">
        <f t="shared" si="13"/>
        <v>PENDING RESEARCH</v>
      </c>
      <c r="AD632" s="15" t="str">
        <f t="shared" si="14"/>
        <v>Electropolished Pipes Manufacturer in Tezpur</v>
      </c>
      <c r="AE632" s="15" t="str">
        <f t="shared" si="15"/>
        <v>Manufacturing Electropolished SS Tube for Tezpur: The Standards We Build To</v>
      </c>
      <c r="AF632" s="15" t="str">
        <f t="shared" si="16"/>
        <v>Electropolished Pipe Supply Into Tezpur - Certification &amp; Transit</v>
      </c>
      <c r="AG632" s="15" t="str">
        <f t="shared" si="17"/>
        <v>Electropolished Pipes Wholesaler in Tezpur - Project Quantities &amp; Terms</v>
      </c>
      <c r="AH632" s="15" t="str">
        <f t="shared" si="18"/>
        <v>electropolished pipes manufacturer in Tezpur, electropolished pipes supplier in Tezpur, electropolished pipes wholesaler in Tezpur, electropolished tube manufacturer Tezpur, EP pipe supplier Tezpur, sanitary tube supplier Tezpur, ASME BPE tubing Tezpur, ASTM A270 tube Tezpur, SS 316L electropolished pipe Tezpur</v>
      </c>
      <c r="AI632" s="15" t="str">
        <f t="shared" si="19"/>
        <v>Electropolished Pipes Manufacturer &amp; Supplier in Tezpur</v>
      </c>
      <c r="AJ632" s="15" t="str">
        <f t="shared" si="20"/>
        <v>EP-finished SS 304/316L pipes and tubes for VERIFY plants in Tezpur. ASME BPE SF1-SF4, Ra from 0.25 um, EN 10204 3.1 certificate with every lot.</v>
      </c>
      <c r="AK632" s="15" t="str">
        <f t="shared" si="21"/>
        <v>Electropolished stainless steel pipes supplied by Sakshi Forge to VERIFY plants at AIDC Industrial Area, Tezpur</v>
      </c>
      <c r="AL632" s="15" t="str">
        <f t="shared" si="22"/>
        <v>Electropolished SS 316L tube stock for Tezpur - Sakshi Forge</v>
      </c>
      <c r="AM632" s="15" t="str">
        <f t="shared" si="23"/>
        <v>Home &gt; Market Area &gt; India &gt; Assam &gt; Tezpur</v>
      </c>
      <c r="AN632" s="15">
        <f t="shared" si="24"/>
        <v>1000</v>
      </c>
      <c r="AO632" s="15">
        <f t="shared" si="25"/>
        <v>8</v>
      </c>
      <c r="AP632" s="15">
        <f t="shared" si="26"/>
        <v>8</v>
      </c>
      <c r="AQ632" s="15">
        <f t="shared" si="27"/>
        <v>11</v>
      </c>
      <c r="AR632" s="31"/>
      <c r="AS632" s="31"/>
      <c r="AT632" s="35" t="s">
        <v>222</v>
      </c>
      <c r="AU632" s="35"/>
    </row>
    <row r="633" ht="15.75" customHeight="1">
      <c r="A633" s="15" t="s">
        <v>4529</v>
      </c>
      <c r="B633" s="15" t="s">
        <v>60</v>
      </c>
      <c r="C633" s="15" t="s">
        <v>958</v>
      </c>
      <c r="D633" s="15" t="s">
        <v>4530</v>
      </c>
      <c r="E633" s="15" t="s">
        <v>4530</v>
      </c>
      <c r="F633" s="65" t="s">
        <v>788</v>
      </c>
      <c r="G633" s="66" t="s">
        <v>98</v>
      </c>
      <c r="H633" s="18" t="s">
        <v>4532</v>
      </c>
      <c r="I633" s="18" t="s">
        <v>8403</v>
      </c>
      <c r="J633" s="18" t="s">
        <v>98</v>
      </c>
      <c r="K633" s="18" t="s">
        <v>98</v>
      </c>
      <c r="L633" s="18" t="s">
        <v>98</v>
      </c>
      <c r="M633" s="18" t="s">
        <v>98</v>
      </c>
      <c r="N633" s="18" t="s">
        <v>98</v>
      </c>
      <c r="O633" s="18" t="s">
        <v>98</v>
      </c>
      <c r="P633" s="15" t="str">
        <f t="shared" si="1"/>
        <v>VERIFY</v>
      </c>
      <c r="Q633" s="15">
        <f t="shared" si="2"/>
        <v>6</v>
      </c>
      <c r="R633" s="15">
        <f t="shared" si="3"/>
        <v>7</v>
      </c>
      <c r="S633" s="15">
        <f t="shared" si="4"/>
        <v>5</v>
      </c>
      <c r="T633" s="15" t="str">
        <f t="shared" si="5"/>
        <v>B-6</v>
      </c>
      <c r="U633" s="15" t="str">
        <f t="shared" si="6"/>
        <v>T6-M7-H5-FB-6-VERIFY</v>
      </c>
      <c r="V633" s="15">
        <f t="shared" si="7"/>
        <v>0</v>
      </c>
      <c r="W633" s="31"/>
      <c r="X633" s="15" t="str">
        <f t="shared" si="8"/>
        <v>thanjavur</v>
      </c>
      <c r="Y633" s="32" t="str">
        <f t="shared" si="9"/>
        <v>https://steelmanufacturer.in/market-area/electropolished-pipes-manufacturer-in-thanjavur/</v>
      </c>
      <c r="Z633" s="15" t="str">
        <f t="shared" si="10"/>
        <v>Electropolished Pipes Manufacturer in Thanjavur</v>
      </c>
      <c r="AA633" s="15" t="str">
        <f t="shared" si="11"/>
        <v>OK (47)</v>
      </c>
      <c r="AB633" s="15" t="str">
        <f t="shared" si="12"/>
        <v>Electropolished pipes in Thanjavur: 304, 304L, 316 and 316L in SF1-SF4. VERIFY. Mill certified.</v>
      </c>
      <c r="AC633" s="15" t="str">
        <f t="shared" si="13"/>
        <v>PENDING RESEARCH</v>
      </c>
      <c r="AD633" s="15" t="str">
        <f t="shared" si="14"/>
        <v>Electropolished Pipes Manufacturer in Thanjavur</v>
      </c>
      <c r="AE633" s="15" t="str">
        <f t="shared" si="15"/>
        <v>Electropolished Tube Manufacturing Capability Serving Thanjavur</v>
      </c>
      <c r="AF633" s="15" t="str">
        <f t="shared" si="16"/>
        <v>Electropolished Pipes Supplier in Thanjavur - From Order to Delivery</v>
      </c>
      <c r="AG633" s="15" t="str">
        <f t="shared" si="17"/>
        <v>Stockist &amp; Wholesale Supply of Electropolished Pipes in Thanjavur</v>
      </c>
      <c r="AH633" s="15" t="str">
        <f t="shared" si="18"/>
        <v>electropolished pipes manufacturer in Thanjavur, electropolished pipes supplier in Thanjavur, electropolished pipes wholesaler in Thanjavur, electropolished tube manufacturer Thanjavur, EP pipe supplier Thanjavur, sanitary tube supplier Thanjavur, ASME BPE tubing Thanjavur, ASTM A270 tube Thanjavur, SS 316L electropolished pipe Thanjavur</v>
      </c>
      <c r="AI633" s="15" t="str">
        <f t="shared" si="19"/>
        <v>Electropolished Pipes Manufacturer &amp; Supplier in Thanjavur</v>
      </c>
      <c r="AJ633" s="15" t="str">
        <f t="shared" si="20"/>
        <v>EP-finished SS 304/316L pipes and tubes for VERIFY plants in Thanjavur. ASME BPE SF1-SF4, Ra from 0.25 um, EN 10204 3.1 certificate with every lot.</v>
      </c>
      <c r="AK633" s="15" t="str">
        <f t="shared" si="21"/>
        <v>Electropolished stainless steel pipes supplied by Sakshi Forge to VERIFY plants at SIPCOT Industrial Area, Thanjavur</v>
      </c>
      <c r="AL633" s="15" t="str">
        <f t="shared" si="22"/>
        <v>Electropolished SS 316L tube stock for Thanjavur - Sakshi Forge</v>
      </c>
      <c r="AM633" s="15" t="str">
        <f t="shared" si="23"/>
        <v>Home &gt; Market Area &gt; India &gt; Tamil Nadu &gt; Thanjavur</v>
      </c>
      <c r="AN633" s="15">
        <f t="shared" si="24"/>
        <v>1000</v>
      </c>
      <c r="AO633" s="15">
        <f t="shared" si="25"/>
        <v>8</v>
      </c>
      <c r="AP633" s="15">
        <f t="shared" si="26"/>
        <v>8</v>
      </c>
      <c r="AQ633" s="15">
        <f t="shared" si="27"/>
        <v>11</v>
      </c>
      <c r="AR633" s="31"/>
      <c r="AS633" s="31"/>
      <c r="AT633" s="35" t="s">
        <v>222</v>
      </c>
      <c r="AU633" s="35"/>
    </row>
    <row r="634" ht="15.75" customHeight="1">
      <c r="A634" s="15" t="s">
        <v>4533</v>
      </c>
      <c r="B634" s="15" t="s">
        <v>60</v>
      </c>
      <c r="C634" s="15" t="s">
        <v>958</v>
      </c>
      <c r="D634" s="15" t="s">
        <v>4534</v>
      </c>
      <c r="E634" s="15" t="s">
        <v>4534</v>
      </c>
      <c r="F634" s="65" t="s">
        <v>788</v>
      </c>
      <c r="G634" s="66" t="s">
        <v>98</v>
      </c>
      <c r="H634" s="18" t="s">
        <v>4536</v>
      </c>
      <c r="I634" s="18" t="s">
        <v>8403</v>
      </c>
      <c r="J634" s="18" t="s">
        <v>98</v>
      </c>
      <c r="K634" s="18" t="s">
        <v>98</v>
      </c>
      <c r="L634" s="18" t="s">
        <v>98</v>
      </c>
      <c r="M634" s="18" t="s">
        <v>98</v>
      </c>
      <c r="N634" s="18" t="s">
        <v>98</v>
      </c>
      <c r="O634" s="18" t="s">
        <v>98</v>
      </c>
      <c r="P634" s="15" t="str">
        <f t="shared" si="1"/>
        <v>VERIFY</v>
      </c>
      <c r="Q634" s="15">
        <f t="shared" si="2"/>
        <v>7</v>
      </c>
      <c r="R634" s="15">
        <f t="shared" si="3"/>
        <v>1</v>
      </c>
      <c r="S634" s="15">
        <f t="shared" si="4"/>
        <v>1</v>
      </c>
      <c r="T634" s="15" t="str">
        <f t="shared" si="5"/>
        <v>B-1</v>
      </c>
      <c r="U634" s="15" t="str">
        <f t="shared" si="6"/>
        <v>T7-M1-H1-FB-1-VERIFY</v>
      </c>
      <c r="V634" s="15">
        <f t="shared" si="7"/>
        <v>0</v>
      </c>
      <c r="W634" s="31"/>
      <c r="X634" s="15" t="str">
        <f t="shared" si="8"/>
        <v>theni</v>
      </c>
      <c r="Y634" s="32" t="str">
        <f t="shared" si="9"/>
        <v>https://steelmanufacturer.in/market-area/electropolished-pipes-manufacturer-in-theni/</v>
      </c>
      <c r="Z634" s="15" t="str">
        <f t="shared" si="10"/>
        <v>Electropolished Pipes Manufacturer in Theni | ASME BPE SF1-SF4</v>
      </c>
      <c r="AA634" s="15" t="str">
        <f t="shared" si="11"/>
        <v>OK (62)</v>
      </c>
      <c r="AB634" s="15" t="str">
        <f t="shared" si="12"/>
        <v>EP-finished SS 304/316L pipes &amp; tubes for VERIFY plants in Theni. ASTM A270, ASME BPE SF1-SF4, EN 10204 3.1 MTC. PMI tested.</v>
      </c>
      <c r="AC634" s="15" t="str">
        <f t="shared" si="13"/>
        <v>PENDING RESEARCH</v>
      </c>
      <c r="AD634" s="15" t="str">
        <f t="shared" si="14"/>
        <v>Electropolished Pipes Manufacturer in Theni</v>
      </c>
      <c r="AE634" s="15" t="str">
        <f t="shared" si="15"/>
        <v>Electropolished Pipe &amp; Tube Manufacturing for Theni - Grades, Finishes &amp; Certification</v>
      </c>
      <c r="AF634" s="15" t="str">
        <f t="shared" si="16"/>
        <v>Electropolished Pipes Supplier in Theni - Stock Sizes, Lead Time &amp; Delivery</v>
      </c>
      <c r="AG634" s="15" t="str">
        <f t="shared" si="17"/>
        <v>Electropolished Pipes Wholesaler &amp; Stockist in Theni - Bulk &amp; Project Pricing</v>
      </c>
      <c r="AH634" s="15" t="str">
        <f t="shared" si="18"/>
        <v>electropolished pipes manufacturer in Theni, electropolished pipes supplier in Theni, electropolished pipes wholesaler in Theni, electropolished tube manufacturer Theni, EP pipe supplier Theni, sanitary tube supplier Theni, ASME BPE tubing Theni, ASTM A270 tube Theni, SS 316L electropolished pipe Theni</v>
      </c>
      <c r="AI634" s="15" t="str">
        <f t="shared" si="19"/>
        <v>Electropolished Pipes Manufacturer &amp; Supplier in Theni</v>
      </c>
      <c r="AJ634" s="15" t="str">
        <f t="shared" si="20"/>
        <v>EP-finished SS 304/316L pipes and tubes for VERIFY plants in Theni. ASME BPE SF1-SF4, Ra from 0.25 um, EN 10204 3.1 certificate with every lot.</v>
      </c>
      <c r="AK634" s="15" t="str">
        <f t="shared" si="21"/>
        <v>Electropolished stainless steel pipes supplied by Sakshi Forge to VERIFY plants at SIPCOT Industrial Area, Theni</v>
      </c>
      <c r="AL634" s="15" t="str">
        <f t="shared" si="22"/>
        <v>Electropolished SS 316L tube stock for Theni - Sakshi Forge</v>
      </c>
      <c r="AM634" s="15" t="str">
        <f t="shared" si="23"/>
        <v>Home &gt; Market Area &gt; India &gt; Tamil Nadu &gt; Theni</v>
      </c>
      <c r="AN634" s="15">
        <f t="shared" si="24"/>
        <v>1000</v>
      </c>
      <c r="AO634" s="15">
        <f t="shared" si="25"/>
        <v>8</v>
      </c>
      <c r="AP634" s="15">
        <f t="shared" si="26"/>
        <v>8</v>
      </c>
      <c r="AQ634" s="15">
        <f t="shared" si="27"/>
        <v>11</v>
      </c>
      <c r="AR634" s="31"/>
      <c r="AS634" s="31"/>
      <c r="AT634" s="35" t="s">
        <v>222</v>
      </c>
      <c r="AU634" s="35"/>
    </row>
    <row r="635" ht="15.75" customHeight="1">
      <c r="A635" s="15" t="s">
        <v>4537</v>
      </c>
      <c r="B635" s="15" t="s">
        <v>60</v>
      </c>
      <c r="C635" s="15" t="s">
        <v>3415</v>
      </c>
      <c r="D635" s="15" t="s">
        <v>4538</v>
      </c>
      <c r="E635" s="15" t="s">
        <v>4538</v>
      </c>
      <c r="F635" s="65" t="s">
        <v>788</v>
      </c>
      <c r="G635" s="66" t="s">
        <v>98</v>
      </c>
      <c r="H635" s="18" t="s">
        <v>4540</v>
      </c>
      <c r="I635" s="18" t="s">
        <v>8419</v>
      </c>
      <c r="J635" s="18" t="s">
        <v>98</v>
      </c>
      <c r="K635" s="18" t="s">
        <v>98</v>
      </c>
      <c r="L635" s="18" t="s">
        <v>98</v>
      </c>
      <c r="M635" s="18" t="s">
        <v>98</v>
      </c>
      <c r="N635" s="18" t="s">
        <v>98</v>
      </c>
      <c r="O635" s="18" t="s">
        <v>98</v>
      </c>
      <c r="P635" s="15" t="str">
        <f t="shared" si="1"/>
        <v>VERIFY</v>
      </c>
      <c r="Q635" s="15">
        <f t="shared" si="2"/>
        <v>8</v>
      </c>
      <c r="R635" s="15">
        <f t="shared" si="3"/>
        <v>2</v>
      </c>
      <c r="S635" s="15">
        <f t="shared" si="4"/>
        <v>2</v>
      </c>
      <c r="T635" s="15" t="str">
        <f t="shared" si="5"/>
        <v>B-2</v>
      </c>
      <c r="U635" s="15" t="str">
        <f t="shared" si="6"/>
        <v>T8-M2-H2-FB-2-VERIFY</v>
      </c>
      <c r="V635" s="15">
        <f t="shared" si="7"/>
        <v>0</v>
      </c>
      <c r="W635" s="31"/>
      <c r="X635" s="15" t="str">
        <f t="shared" si="8"/>
        <v>thoubal</v>
      </c>
      <c r="Y635" s="32" t="str">
        <f t="shared" si="9"/>
        <v>https://steelmanufacturer.in/market-area/electropolished-pipes-manufacturer-in-thoubal/</v>
      </c>
      <c r="Z635" s="15" t="str">
        <f t="shared" si="10"/>
        <v>Electropolished Pipes Manufacturer in Thoubal - EP Tube Stockist</v>
      </c>
      <c r="AA635" s="15" t="str">
        <f t="shared" si="11"/>
        <v>OK (64)</v>
      </c>
      <c r="AB635" s="15" t="str">
        <f t="shared" si="12"/>
        <v>Electropolished tube supply to MANIDCO Industrial Area, Thoubal. Ra from 0.25 um, SF4 finish, mill test certificate with every lot.</v>
      </c>
      <c r="AC635" s="15" t="str">
        <f t="shared" si="13"/>
        <v>PENDING RESEARCH</v>
      </c>
      <c r="AD635" s="15" t="str">
        <f t="shared" si="14"/>
        <v>Electropolished Pipes Manufacturer in Thoubal</v>
      </c>
      <c r="AE635" s="15" t="str">
        <f t="shared" si="15"/>
        <v>How We Manufacture Electropolished Tube for Thoubal Plants</v>
      </c>
      <c r="AF635" s="15" t="str">
        <f t="shared" si="16"/>
        <v>Supplying Electropolished Pipes in Thoubal: Availability, Sizes &amp; Dispatch</v>
      </c>
      <c r="AG635" s="15" t="str">
        <f t="shared" si="17"/>
        <v>Wholesale Electropolished Pipe Supply for Thoubal Projects</v>
      </c>
      <c r="AH635" s="15" t="str">
        <f t="shared" si="18"/>
        <v>electropolished pipes manufacturer in Thoubal, electropolished pipes supplier in Thoubal, electropolished pipes wholesaler in Thoubal, electropolished tube manufacturer Thoubal, EP pipe supplier Thoubal, sanitary tube supplier Thoubal, ASME BPE tubing Thoubal, ASTM A270 tube Thoubal, SS 316L electropolished pipe Thoubal</v>
      </c>
      <c r="AI635" s="15" t="str">
        <f t="shared" si="19"/>
        <v>Electropolished Pipes Manufacturer &amp; Supplier in Thoubal</v>
      </c>
      <c r="AJ635" s="15" t="str">
        <f t="shared" si="20"/>
        <v>EP-finished SS 304/316L pipes and tubes for VERIFY plants in Thoubal. ASME BPE SF1-SF4, Ra from 0.25 um, EN 10204 3.1 certificate with every lot.</v>
      </c>
      <c r="AK635" s="15" t="str">
        <f t="shared" si="21"/>
        <v>Electropolished stainless steel pipes supplied by Sakshi Forge to VERIFY plants at MANIDCO Industrial Area, Thoubal</v>
      </c>
      <c r="AL635" s="15" t="str">
        <f t="shared" si="22"/>
        <v>Electropolished SS 316L tube stock for Thoubal - Sakshi Forge</v>
      </c>
      <c r="AM635" s="15" t="str">
        <f t="shared" si="23"/>
        <v>Home &gt; Market Area &gt; India &gt; Manipur &gt; Thoubal</v>
      </c>
      <c r="AN635" s="15">
        <f t="shared" si="24"/>
        <v>1000</v>
      </c>
      <c r="AO635" s="15">
        <f t="shared" si="25"/>
        <v>8</v>
      </c>
      <c r="AP635" s="15">
        <f t="shared" si="26"/>
        <v>8</v>
      </c>
      <c r="AQ635" s="15">
        <f t="shared" si="27"/>
        <v>11</v>
      </c>
      <c r="AR635" s="31"/>
      <c r="AS635" s="31"/>
      <c r="AT635" s="35" t="s">
        <v>222</v>
      </c>
      <c r="AU635" s="35"/>
    </row>
    <row r="636" ht="15.75" customHeight="1">
      <c r="A636" s="15" t="s">
        <v>4541</v>
      </c>
      <c r="B636" s="15" t="s">
        <v>60</v>
      </c>
      <c r="C636" s="15" t="s">
        <v>1155</v>
      </c>
      <c r="D636" s="15" t="s">
        <v>4542</v>
      </c>
      <c r="E636" s="15" t="s">
        <v>4542</v>
      </c>
      <c r="F636" s="65" t="s">
        <v>788</v>
      </c>
      <c r="G636" s="66" t="s">
        <v>98</v>
      </c>
      <c r="H636" s="18" t="s">
        <v>4544</v>
      </c>
      <c r="I636" s="18" t="s">
        <v>8412</v>
      </c>
      <c r="J636" s="18" t="s">
        <v>98</v>
      </c>
      <c r="K636" s="18" t="s">
        <v>98</v>
      </c>
      <c r="L636" s="18" t="s">
        <v>98</v>
      </c>
      <c r="M636" s="18" t="s">
        <v>98</v>
      </c>
      <c r="N636" s="18" t="s">
        <v>98</v>
      </c>
      <c r="O636" s="18" t="s">
        <v>98</v>
      </c>
      <c r="P636" s="15" t="str">
        <f t="shared" si="1"/>
        <v>VERIFY</v>
      </c>
      <c r="Q636" s="15">
        <f t="shared" si="2"/>
        <v>1</v>
      </c>
      <c r="R636" s="15">
        <f t="shared" si="3"/>
        <v>3</v>
      </c>
      <c r="S636" s="15">
        <f t="shared" si="4"/>
        <v>3</v>
      </c>
      <c r="T636" s="15" t="str">
        <f t="shared" si="5"/>
        <v>B-3</v>
      </c>
      <c r="U636" s="15" t="str">
        <f t="shared" si="6"/>
        <v>T1-M3-H3-FB-3-VERIFY</v>
      </c>
      <c r="V636" s="15">
        <f t="shared" si="7"/>
        <v>0</v>
      </c>
      <c r="W636" s="31"/>
      <c r="X636" s="15" t="str">
        <f t="shared" si="8"/>
        <v>tinsukia</v>
      </c>
      <c r="Y636" s="32" t="str">
        <f t="shared" si="9"/>
        <v>https://steelmanufacturer.in/market-area/electropolished-pipes-manufacturer-in-tinsukia/</v>
      </c>
      <c r="Z636" s="15" t="str">
        <f t="shared" si="10"/>
        <v>Electropolished Pipes Manufacturer in Tinsukia | Sakshi Forge</v>
      </c>
      <c r="AA636" s="15" t="str">
        <f t="shared" si="11"/>
        <v>OK (61)</v>
      </c>
      <c r="AB636" s="15" t="str">
        <f t="shared" si="12"/>
        <v>EP stainless tube for VERIFY lines in Tinsukia. VERIFY. ASTM A270 S2, PMI tested, EN 10204 3.1.</v>
      </c>
      <c r="AC636" s="15" t="str">
        <f t="shared" si="13"/>
        <v>PENDING RESEARCH</v>
      </c>
      <c r="AD636" s="15" t="str">
        <f t="shared" si="14"/>
        <v>Electropolished Pipes Manufacturer in Tinsukia</v>
      </c>
      <c r="AE636" s="15" t="str">
        <f t="shared" si="15"/>
        <v>Electropolished Pipes Manufacturer in Tinsukia - Our Process &amp; Capability</v>
      </c>
      <c r="AF636" s="15" t="str">
        <f t="shared" si="16"/>
        <v>Electropolished Pipes Supplier in Tinsukia - What We Hold in Stock</v>
      </c>
      <c r="AG636" s="15" t="str">
        <f t="shared" si="17"/>
        <v>Bulk &amp; Wholesale Electropolished Pipe Rates for Tinsukia Buyers</v>
      </c>
      <c r="AH636" s="15" t="str">
        <f t="shared" si="18"/>
        <v>electropolished pipes manufacturer in Tinsukia, electropolished pipes supplier in Tinsukia, electropolished pipes wholesaler in Tinsukia, electropolished tube manufacturer Tinsukia, EP pipe supplier Tinsukia, sanitary tube supplier Tinsukia, ASME BPE tubing Tinsukia, ASTM A270 tube Tinsukia, SS 316L electropolished pipe Tinsukia</v>
      </c>
      <c r="AI636" s="15" t="str">
        <f t="shared" si="19"/>
        <v>Electropolished Pipes Manufacturer &amp; Supplier in Tinsukia</v>
      </c>
      <c r="AJ636" s="15" t="str">
        <f t="shared" si="20"/>
        <v>EP-finished SS 304/316L pipes and tubes for VERIFY plants in Tinsukia. ASME BPE SF1-SF4, Ra from 0.25 um, EN 10204 3.1 certificate with every lot.</v>
      </c>
      <c r="AK636" s="15" t="str">
        <f t="shared" si="21"/>
        <v>Electropolished stainless steel pipes supplied by Sakshi Forge to VERIFY plants at AIDC Industrial Area, Tinsukia</v>
      </c>
      <c r="AL636" s="15" t="str">
        <f t="shared" si="22"/>
        <v>Electropolished SS 316L tube stock for Tinsukia - Sakshi Forge</v>
      </c>
      <c r="AM636" s="15" t="str">
        <f t="shared" si="23"/>
        <v>Home &gt; Market Area &gt; India &gt; Assam &gt; Tinsukia</v>
      </c>
      <c r="AN636" s="15">
        <f t="shared" si="24"/>
        <v>1000</v>
      </c>
      <c r="AO636" s="15">
        <f t="shared" si="25"/>
        <v>8</v>
      </c>
      <c r="AP636" s="15">
        <f t="shared" si="26"/>
        <v>8</v>
      </c>
      <c r="AQ636" s="15">
        <f t="shared" si="27"/>
        <v>11</v>
      </c>
      <c r="AR636" s="31"/>
      <c r="AS636" s="31"/>
      <c r="AT636" s="35" t="s">
        <v>222</v>
      </c>
      <c r="AU636" s="35"/>
    </row>
    <row r="637" ht="15.75" customHeight="1">
      <c r="A637" s="15" t="s">
        <v>4545</v>
      </c>
      <c r="B637" s="15" t="s">
        <v>60</v>
      </c>
      <c r="C637" s="15" t="s">
        <v>958</v>
      </c>
      <c r="D637" s="15" t="s">
        <v>4546</v>
      </c>
      <c r="E637" s="15" t="s">
        <v>4546</v>
      </c>
      <c r="F637" s="65" t="s">
        <v>788</v>
      </c>
      <c r="G637" s="66" t="s">
        <v>98</v>
      </c>
      <c r="H637" s="18" t="s">
        <v>4548</v>
      </c>
      <c r="I637" s="18" t="s">
        <v>8403</v>
      </c>
      <c r="J637" s="18" t="s">
        <v>98</v>
      </c>
      <c r="K637" s="18" t="s">
        <v>98</v>
      </c>
      <c r="L637" s="18" t="s">
        <v>98</v>
      </c>
      <c r="M637" s="18" t="s">
        <v>98</v>
      </c>
      <c r="N637" s="18" t="s">
        <v>98</v>
      </c>
      <c r="O637" s="18" t="s">
        <v>98</v>
      </c>
      <c r="P637" s="15" t="str">
        <f t="shared" si="1"/>
        <v>VERIFY</v>
      </c>
      <c r="Q637" s="15">
        <f t="shared" si="2"/>
        <v>2</v>
      </c>
      <c r="R637" s="15">
        <f t="shared" si="3"/>
        <v>4</v>
      </c>
      <c r="S637" s="15">
        <f t="shared" si="4"/>
        <v>4</v>
      </c>
      <c r="T637" s="15" t="str">
        <f t="shared" si="5"/>
        <v>B-4</v>
      </c>
      <c r="U637" s="15" t="str">
        <f t="shared" si="6"/>
        <v>T2-M4-H4-FB-4-VERIFY</v>
      </c>
      <c r="V637" s="15">
        <f t="shared" si="7"/>
        <v>0</v>
      </c>
      <c r="W637" s="31"/>
      <c r="X637" s="15" t="str">
        <f t="shared" si="8"/>
        <v>tirunelveli</v>
      </c>
      <c r="Y637" s="32" t="str">
        <f t="shared" si="9"/>
        <v>https://steelmanufacturer.in/market-area/electropolished-pipes-manufacturer-in-tirunelveli/</v>
      </c>
      <c r="Z637" s="15" t="str">
        <f t="shared" si="10"/>
        <v>Electropolished Pipes Manufacturer in Tirunelveli</v>
      </c>
      <c r="AA637" s="15" t="str">
        <f t="shared" si="11"/>
        <v>OK (49)</v>
      </c>
      <c r="AB637" s="15" t="str">
        <f t="shared" si="12"/>
        <v>Sanitary electropolished pipes in Tirunelveli for VERIFY plants. ASME BPE SF1-SF4, orbital-weld ready, 3.1 MTC. Mumbai-made.</v>
      </c>
      <c r="AC637" s="15" t="str">
        <f t="shared" si="13"/>
        <v>PENDING RESEARCH</v>
      </c>
      <c r="AD637" s="15" t="str">
        <f t="shared" si="14"/>
        <v>Electropolished Pipes Manufacturer in Tirunelveli</v>
      </c>
      <c r="AE637" s="15" t="str">
        <f t="shared" si="15"/>
        <v>Manufacturing Electropolished SS Tube for Tirunelveli: The Standards We Build To</v>
      </c>
      <c r="AF637" s="15" t="str">
        <f t="shared" si="16"/>
        <v>Electropolished Pipe Supply Into Tirunelveli - Certification &amp; Transit</v>
      </c>
      <c r="AG637" s="15" t="str">
        <f t="shared" si="17"/>
        <v>Electropolished Pipes Wholesaler in Tirunelveli - Project Quantities &amp; Terms</v>
      </c>
      <c r="AH637" s="15" t="str">
        <f t="shared" si="18"/>
        <v>electropolished pipes manufacturer in Tirunelveli, electropolished pipes supplier in Tirunelveli, electropolished pipes wholesaler in Tirunelveli, electropolished tube manufacturer Tirunelveli, EP pipe supplier Tirunelveli, sanitary tube supplier Tirunelveli, ASME BPE tubing Tirunelveli, ASTM A270 tube Tirunelveli, SS 316L electropolished pipe Tirunelveli</v>
      </c>
      <c r="AI637" s="15" t="str">
        <f t="shared" si="19"/>
        <v>Electropolished Pipes Manufacturer &amp; Supplier in Tirunelveli</v>
      </c>
      <c r="AJ637" s="15" t="str">
        <f t="shared" si="20"/>
        <v>EP-finished SS 304/316L pipes and tubes for VERIFY plants in Tirunelveli. ASME BPE SF1-SF4, Ra from 0.25 um, EN 10204 3.1 certificate with every lot.</v>
      </c>
      <c r="AK637" s="15" t="str">
        <f t="shared" si="21"/>
        <v>Electropolished stainless steel pipes supplied by Sakshi Forge to VERIFY plants at SIPCOT Industrial Area, Tirunelveli</v>
      </c>
      <c r="AL637" s="15" t="str">
        <f t="shared" si="22"/>
        <v>Electropolished SS 316L tube stock for Tirunelveli - Sakshi Forge</v>
      </c>
      <c r="AM637" s="15" t="str">
        <f t="shared" si="23"/>
        <v>Home &gt; Market Area &gt; India &gt; Tamil Nadu &gt; Tirunelveli</v>
      </c>
      <c r="AN637" s="15">
        <f t="shared" si="24"/>
        <v>1000</v>
      </c>
      <c r="AO637" s="15">
        <f t="shared" si="25"/>
        <v>8</v>
      </c>
      <c r="AP637" s="15">
        <f t="shared" si="26"/>
        <v>8</v>
      </c>
      <c r="AQ637" s="15">
        <f t="shared" si="27"/>
        <v>11</v>
      </c>
      <c r="AR637" s="31"/>
      <c r="AS637" s="31"/>
      <c r="AT637" s="35" t="s">
        <v>222</v>
      </c>
      <c r="AU637" s="35"/>
    </row>
    <row r="638" ht="15.75" customHeight="1">
      <c r="A638" s="15" t="s">
        <v>4549</v>
      </c>
      <c r="B638" s="15" t="s">
        <v>60</v>
      </c>
      <c r="C638" s="15" t="s">
        <v>958</v>
      </c>
      <c r="D638" s="15" t="s">
        <v>4550</v>
      </c>
      <c r="E638" s="15" t="s">
        <v>4550</v>
      </c>
      <c r="F638" s="65" t="s">
        <v>788</v>
      </c>
      <c r="G638" s="66" t="s">
        <v>98</v>
      </c>
      <c r="H638" s="18" t="s">
        <v>4553</v>
      </c>
      <c r="I638" s="18" t="s">
        <v>8403</v>
      </c>
      <c r="J638" s="18" t="s">
        <v>98</v>
      </c>
      <c r="K638" s="18" t="s">
        <v>98</v>
      </c>
      <c r="L638" s="18" t="s">
        <v>98</v>
      </c>
      <c r="M638" s="18" t="s">
        <v>98</v>
      </c>
      <c r="N638" s="18" t="s">
        <v>98</v>
      </c>
      <c r="O638" s="18" t="s">
        <v>98</v>
      </c>
      <c r="P638" s="15" t="str">
        <f t="shared" si="1"/>
        <v>VERIFY</v>
      </c>
      <c r="Q638" s="15">
        <f t="shared" si="2"/>
        <v>3</v>
      </c>
      <c r="R638" s="15">
        <f t="shared" si="3"/>
        <v>5</v>
      </c>
      <c r="S638" s="15">
        <f t="shared" si="4"/>
        <v>5</v>
      </c>
      <c r="T638" s="15" t="str">
        <f t="shared" si="5"/>
        <v>B-5</v>
      </c>
      <c r="U638" s="15" t="str">
        <f t="shared" si="6"/>
        <v>T3-M5-H5-FB-5-VERIFY</v>
      </c>
      <c r="V638" s="15">
        <f t="shared" si="7"/>
        <v>0</v>
      </c>
      <c r="W638" s="31"/>
      <c r="X638" s="15" t="str">
        <f t="shared" si="8"/>
        <v>tiruvallur</v>
      </c>
      <c r="Y638" s="32" t="str">
        <f t="shared" si="9"/>
        <v>https://steelmanufacturer.in/market-area/electropolished-pipes-manufacturer-in-tiruvallur/</v>
      </c>
      <c r="Z638" s="15" t="str">
        <f t="shared" si="10"/>
        <v>Electropolished Pipes Manufacturer in Tiruvallur</v>
      </c>
      <c r="AA638" s="15" t="str">
        <f t="shared" si="11"/>
        <v>OK (48)</v>
      </c>
      <c r="AB638" s="15" t="str">
        <f t="shared" si="12"/>
        <v>Manufacturer of electropolished SS 316L tube serving Tiruvallur. VERIFY. Ra 0.25-0.5 um, EN 10204 3.1 MTC.</v>
      </c>
      <c r="AC638" s="15" t="str">
        <f t="shared" si="13"/>
        <v>PENDING RESEARCH</v>
      </c>
      <c r="AD638" s="15" t="str">
        <f t="shared" si="14"/>
        <v>Electropolished Pipes Manufacturer in Tiruvallur</v>
      </c>
      <c r="AE638" s="15" t="str">
        <f t="shared" si="15"/>
        <v>Electropolished Tube Manufacturing Capability Serving Tiruvallur</v>
      </c>
      <c r="AF638" s="15" t="str">
        <f t="shared" si="16"/>
        <v>Electropolished Pipes Supplier in Tiruvallur - From Order to Delivery</v>
      </c>
      <c r="AG638" s="15" t="str">
        <f t="shared" si="17"/>
        <v>Stockist &amp; Wholesale Supply of Electropolished Pipes in Tiruvallur</v>
      </c>
      <c r="AH638" s="15" t="str">
        <f t="shared" si="18"/>
        <v>electropolished pipes manufacturer in Tiruvallur, electropolished pipes supplier in Tiruvallur, electropolished pipes wholesaler in Tiruvallur, electropolished tube manufacturer Tiruvallur, EP pipe supplier Tiruvallur, sanitary tube supplier Tiruvallur, ASME BPE tubing Tiruvallur, ASTM A270 tube Tiruvallur, SS 316L electropolished pipe Tiruvallur</v>
      </c>
      <c r="AI638" s="15" t="str">
        <f t="shared" si="19"/>
        <v>Electropolished Pipes Manufacturer &amp; Supplier in Tiruvallur</v>
      </c>
      <c r="AJ638" s="15" t="str">
        <f t="shared" si="20"/>
        <v>EP-finished SS 304/316L pipes and tubes for VERIFY plants in Tiruvallur. ASME BPE SF1-SF4, Ra from 0.25 um, EN 10204 3.1 certificate with every lot.</v>
      </c>
      <c r="AK638" s="15" t="str">
        <f t="shared" si="21"/>
        <v>Electropolished stainless steel pipes supplied by Sakshi Forge to VERIFY plants at SIPCOT Industrial Area, Tiruvallur</v>
      </c>
      <c r="AL638" s="15" t="str">
        <f t="shared" si="22"/>
        <v>Electropolished SS 316L tube stock for Tiruvallur - Sakshi Forge</v>
      </c>
      <c r="AM638" s="15" t="str">
        <f t="shared" si="23"/>
        <v>Home &gt; Market Area &gt; India &gt; Tamil Nadu &gt; Tiruvallur</v>
      </c>
      <c r="AN638" s="15">
        <f t="shared" si="24"/>
        <v>1000</v>
      </c>
      <c r="AO638" s="15">
        <f t="shared" si="25"/>
        <v>8</v>
      </c>
      <c r="AP638" s="15">
        <f t="shared" si="26"/>
        <v>8</v>
      </c>
      <c r="AQ638" s="15">
        <f t="shared" si="27"/>
        <v>11</v>
      </c>
      <c r="AR638" s="31"/>
      <c r="AS638" s="31"/>
      <c r="AT638" s="35" t="s">
        <v>222</v>
      </c>
      <c r="AU638" s="35"/>
    </row>
    <row r="639" ht="15.75" customHeight="1">
      <c r="A639" s="15" t="s">
        <v>4555</v>
      </c>
      <c r="B639" s="15" t="s">
        <v>60</v>
      </c>
      <c r="C639" s="15" t="s">
        <v>236</v>
      </c>
      <c r="D639" s="15" t="s">
        <v>4559</v>
      </c>
      <c r="E639" s="15" t="s">
        <v>4559</v>
      </c>
      <c r="F639" s="65" t="s">
        <v>788</v>
      </c>
      <c r="G639" s="66" t="s">
        <v>98</v>
      </c>
      <c r="H639" s="18" t="s">
        <v>4562</v>
      </c>
      <c r="I639" s="18" t="s">
        <v>8391</v>
      </c>
      <c r="J639" s="18" t="s">
        <v>98</v>
      </c>
      <c r="K639" s="18" t="s">
        <v>98</v>
      </c>
      <c r="L639" s="18" t="s">
        <v>98</v>
      </c>
      <c r="M639" s="18" t="s">
        <v>98</v>
      </c>
      <c r="N639" s="18" t="s">
        <v>98</v>
      </c>
      <c r="O639" s="18" t="s">
        <v>98</v>
      </c>
      <c r="P639" s="15" t="str">
        <f t="shared" si="1"/>
        <v>VERIFY</v>
      </c>
      <c r="Q639" s="15">
        <f t="shared" si="2"/>
        <v>4</v>
      </c>
      <c r="R639" s="15">
        <f t="shared" si="3"/>
        <v>6</v>
      </c>
      <c r="S639" s="15">
        <f t="shared" si="4"/>
        <v>1</v>
      </c>
      <c r="T639" s="15" t="str">
        <f t="shared" si="5"/>
        <v>B-6</v>
      </c>
      <c r="U639" s="15" t="str">
        <f t="shared" si="6"/>
        <v>T4-M6-H1-FB-6-VERIFY</v>
      </c>
      <c r="V639" s="15">
        <f t="shared" si="7"/>
        <v>0</v>
      </c>
      <c r="W639" s="31"/>
      <c r="X639" s="15" t="str">
        <f t="shared" si="8"/>
        <v>tonk</v>
      </c>
      <c r="Y639" s="32" t="str">
        <f t="shared" si="9"/>
        <v>https://steelmanufacturer.in/market-area/electropolished-pipes-manufacturer-in-tonk/</v>
      </c>
      <c r="Z639" s="15" t="str">
        <f t="shared" si="10"/>
        <v>Electropolished Pipes Manufacturer in Tonk - SS 304/316L EP Tube</v>
      </c>
      <c r="AA639" s="15" t="str">
        <f t="shared" si="11"/>
        <v>OK (64)</v>
      </c>
      <c r="AB639" s="15" t="str">
        <f t="shared" si="12"/>
        <v>EP tube and pipe for VERIFY plants around RIICO Industrial Area, Tonk. Made at our Mumbai works to ASTM A270 and ASME BPE SF1-SF4, with 3.1 MTC.</v>
      </c>
      <c r="AC639" s="15" t="str">
        <f t="shared" si="13"/>
        <v>PENDING RESEARCH</v>
      </c>
      <c r="AD639" s="15" t="str">
        <f t="shared" si="14"/>
        <v>Electropolished Pipes Manufacturer in Tonk</v>
      </c>
      <c r="AE639" s="15" t="str">
        <f t="shared" si="15"/>
        <v>Electropolished Pipe &amp; Tube Manufacturing for Tonk - Grades, Finishes &amp; Certification</v>
      </c>
      <c r="AF639" s="15" t="str">
        <f t="shared" si="16"/>
        <v>Electropolished Pipes Supplier in Tonk - Stock Sizes, Lead Time &amp; Delivery</v>
      </c>
      <c r="AG639" s="15" t="str">
        <f t="shared" si="17"/>
        <v>Electropolished Pipes Wholesaler &amp; Stockist in Tonk - Bulk &amp; Project Pricing</v>
      </c>
      <c r="AH639" s="15" t="str">
        <f t="shared" si="18"/>
        <v>electropolished pipes manufacturer in Tonk, electropolished pipes supplier in Tonk, electropolished pipes wholesaler in Tonk, electropolished tube manufacturer Tonk, EP pipe supplier Tonk, sanitary tube supplier Tonk, ASME BPE tubing Tonk, ASTM A270 tube Tonk, SS 316L electropolished pipe Tonk</v>
      </c>
      <c r="AI639" s="15" t="str">
        <f t="shared" si="19"/>
        <v>Electropolished Pipes Manufacturer &amp; Supplier in Tonk</v>
      </c>
      <c r="AJ639" s="15" t="str">
        <f t="shared" si="20"/>
        <v>EP-finished SS 304/316L pipes and tubes for VERIFY plants in Tonk. ASME BPE SF1-SF4, Ra from 0.25 um, EN 10204 3.1 certificate with every lot.</v>
      </c>
      <c r="AK639" s="15" t="str">
        <f t="shared" si="21"/>
        <v>Electropolished stainless steel pipes supplied by Sakshi Forge to VERIFY plants at RIICO Industrial Area, Tonk</v>
      </c>
      <c r="AL639" s="15" t="str">
        <f t="shared" si="22"/>
        <v>Electropolished SS 316L tube stock for Tonk - Sakshi Forge</v>
      </c>
      <c r="AM639" s="15" t="str">
        <f t="shared" si="23"/>
        <v>Home &gt; Market Area &gt; India &gt; Rajasthan &gt; Tonk</v>
      </c>
      <c r="AN639" s="15">
        <f t="shared" si="24"/>
        <v>1000</v>
      </c>
      <c r="AO639" s="15">
        <f t="shared" si="25"/>
        <v>8</v>
      </c>
      <c r="AP639" s="15">
        <f t="shared" si="26"/>
        <v>8</v>
      </c>
      <c r="AQ639" s="15">
        <f t="shared" si="27"/>
        <v>11</v>
      </c>
      <c r="AR639" s="31"/>
      <c r="AS639" s="31"/>
      <c r="AT639" s="35" t="s">
        <v>222</v>
      </c>
      <c r="AU639" s="35"/>
    </row>
    <row r="640" ht="15.75" customHeight="1">
      <c r="A640" s="15" t="s">
        <v>4563</v>
      </c>
      <c r="B640" s="15" t="s">
        <v>60</v>
      </c>
      <c r="C640" s="15" t="s">
        <v>2545</v>
      </c>
      <c r="D640" s="15" t="s">
        <v>4564</v>
      </c>
      <c r="E640" s="15" t="s">
        <v>4564</v>
      </c>
      <c r="F640" s="65" t="s">
        <v>788</v>
      </c>
      <c r="G640" s="66" t="s">
        <v>98</v>
      </c>
      <c r="H640" s="18" t="s">
        <v>4566</v>
      </c>
      <c r="I640" s="18" t="s">
        <v>8414</v>
      </c>
      <c r="J640" s="18" t="s">
        <v>98</v>
      </c>
      <c r="K640" s="18" t="s">
        <v>98</v>
      </c>
      <c r="L640" s="18" t="s">
        <v>98</v>
      </c>
      <c r="M640" s="18" t="s">
        <v>98</v>
      </c>
      <c r="N640" s="18" t="s">
        <v>98</v>
      </c>
      <c r="O640" s="18" t="s">
        <v>98</v>
      </c>
      <c r="P640" s="15" t="str">
        <f t="shared" si="1"/>
        <v>VERIFY</v>
      </c>
      <c r="Q640" s="15">
        <f t="shared" si="2"/>
        <v>5</v>
      </c>
      <c r="R640" s="15">
        <f t="shared" si="3"/>
        <v>7</v>
      </c>
      <c r="S640" s="15">
        <f t="shared" si="4"/>
        <v>2</v>
      </c>
      <c r="T640" s="15" t="str">
        <f t="shared" si="5"/>
        <v>B-1</v>
      </c>
      <c r="U640" s="15" t="str">
        <f t="shared" si="6"/>
        <v>T5-M7-H2-FB-1-VERIFY</v>
      </c>
      <c r="V640" s="15">
        <f t="shared" si="7"/>
        <v>0</v>
      </c>
      <c r="W640" s="31"/>
      <c r="X640" s="15" t="str">
        <f t="shared" si="8"/>
        <v>tura</v>
      </c>
      <c r="Y640" s="32" t="str">
        <f t="shared" si="9"/>
        <v>https://steelmanufacturer.in/market-area/electropolished-pipes-manufacturer-in-tura/</v>
      </c>
      <c r="Z640" s="15" t="str">
        <f t="shared" si="10"/>
        <v>Electropolished Pipes Manufacturer in Tura | Sanitary Tube Supply</v>
      </c>
      <c r="AA640" s="15" t="str">
        <f t="shared" si="11"/>
        <v>OK (65)</v>
      </c>
      <c r="AB640" s="15" t="str">
        <f t="shared" si="12"/>
        <v>Electropolished pipes in Tura: 304, 304L, 316 and 316L in SF1-SF4. VERIFY. Mill certified.</v>
      </c>
      <c r="AC640" s="15" t="str">
        <f t="shared" si="13"/>
        <v>PENDING RESEARCH</v>
      </c>
      <c r="AD640" s="15" t="str">
        <f t="shared" si="14"/>
        <v>Electropolished Pipes Manufacturer in Tura</v>
      </c>
      <c r="AE640" s="15" t="str">
        <f t="shared" si="15"/>
        <v>How We Manufacture Electropolished Tube for Tura Plants</v>
      </c>
      <c r="AF640" s="15" t="str">
        <f t="shared" si="16"/>
        <v>Supplying Electropolished Pipes in Tura: Availability, Sizes &amp; Dispatch</v>
      </c>
      <c r="AG640" s="15" t="str">
        <f t="shared" si="17"/>
        <v>Wholesale Electropolished Pipe Supply for Tura Projects</v>
      </c>
      <c r="AH640" s="15" t="str">
        <f t="shared" si="18"/>
        <v>electropolished pipes manufacturer in Tura, electropolished pipes supplier in Tura, electropolished pipes wholesaler in Tura, electropolished tube manufacturer Tura, EP pipe supplier Tura, sanitary tube supplier Tura, ASME BPE tubing Tura, ASTM A270 tube Tura, SS 316L electropolished pipe Tura</v>
      </c>
      <c r="AI640" s="15" t="str">
        <f t="shared" si="19"/>
        <v>Electropolished Pipes Manufacturer &amp; Supplier in Tura</v>
      </c>
      <c r="AJ640" s="15" t="str">
        <f t="shared" si="20"/>
        <v>EP-finished SS 304/316L pipes and tubes for VERIFY plants in Tura. ASME BPE SF1-SF4, Ra from 0.25 um, EN 10204 3.1 certificate with every lot.</v>
      </c>
      <c r="AK640" s="15" t="str">
        <f t="shared" si="21"/>
        <v>Electropolished stainless steel pipes supplied by Sakshi Forge to VERIFY plants at MIDC-Meg Industrial Area, Tura</v>
      </c>
      <c r="AL640" s="15" t="str">
        <f t="shared" si="22"/>
        <v>Electropolished SS 316L tube stock for Tura - Sakshi Forge</v>
      </c>
      <c r="AM640" s="15" t="str">
        <f t="shared" si="23"/>
        <v>Home &gt; Market Area &gt; India &gt; Meghalaya &gt; Tura</v>
      </c>
      <c r="AN640" s="15">
        <f t="shared" si="24"/>
        <v>1000</v>
      </c>
      <c r="AO640" s="15">
        <f t="shared" si="25"/>
        <v>8</v>
      </c>
      <c r="AP640" s="15">
        <f t="shared" si="26"/>
        <v>8</v>
      </c>
      <c r="AQ640" s="15">
        <f t="shared" si="27"/>
        <v>11</v>
      </c>
      <c r="AR640" s="31"/>
      <c r="AS640" s="31"/>
      <c r="AT640" s="35" t="s">
        <v>222</v>
      </c>
      <c r="AU640" s="35"/>
    </row>
    <row r="641" ht="15.75" customHeight="1">
      <c r="A641" s="15" t="s">
        <v>4567</v>
      </c>
      <c r="B641" s="15" t="s">
        <v>60</v>
      </c>
      <c r="C641" s="15" t="s">
        <v>1621</v>
      </c>
      <c r="D641" s="15" t="s">
        <v>4568</v>
      </c>
      <c r="E641" s="15" t="s">
        <v>4568</v>
      </c>
      <c r="F641" s="65" t="s">
        <v>788</v>
      </c>
      <c r="G641" s="66" t="s">
        <v>98</v>
      </c>
      <c r="H641" s="18" t="s">
        <v>4570</v>
      </c>
      <c r="I641" s="18" t="s">
        <v>8394</v>
      </c>
      <c r="J641" s="18" t="s">
        <v>98</v>
      </c>
      <c r="K641" s="18" t="s">
        <v>98</v>
      </c>
      <c r="L641" s="18" t="s">
        <v>98</v>
      </c>
      <c r="M641" s="18" t="s">
        <v>98</v>
      </c>
      <c r="N641" s="18" t="s">
        <v>98</v>
      </c>
      <c r="O641" s="18" t="s">
        <v>98</v>
      </c>
      <c r="P641" s="15" t="str">
        <f t="shared" si="1"/>
        <v>VERIFY</v>
      </c>
      <c r="Q641" s="15">
        <f t="shared" si="2"/>
        <v>6</v>
      </c>
      <c r="R641" s="15">
        <f t="shared" si="3"/>
        <v>1</v>
      </c>
      <c r="S641" s="15">
        <f t="shared" si="4"/>
        <v>3</v>
      </c>
      <c r="T641" s="15" t="str">
        <f t="shared" si="5"/>
        <v>B-2</v>
      </c>
      <c r="U641" s="15" t="str">
        <f t="shared" si="6"/>
        <v>T6-M1-H3-FB-2-VERIFY</v>
      </c>
      <c r="V641" s="15">
        <f t="shared" si="7"/>
        <v>0</v>
      </c>
      <c r="W641" s="31"/>
      <c r="X641" s="15" t="str">
        <f t="shared" si="8"/>
        <v>udaipur-tripura</v>
      </c>
      <c r="Y641" s="32" t="str">
        <f t="shared" si="9"/>
        <v>https://steelmanufacturer.in/market-area/electropolished-pipes-manufacturer-in-udaipur-tripura/</v>
      </c>
      <c r="Z641" s="15" t="str">
        <f t="shared" si="10"/>
        <v>Electropolished Pipes Manufacturer in Udaipur-Tripura</v>
      </c>
      <c r="AA641" s="15" t="str">
        <f t="shared" si="11"/>
        <v>OK (53)</v>
      </c>
      <c r="AB641" s="15" t="str">
        <f t="shared" si="12"/>
        <v>EP-finished SS 304/316L pipes &amp; tubes for VERIFY plants in Udaipur-Tripura. ASTM A270, ASME BPE SF1-SF4, EN 10204 3.1 MTC. PMI tested.</v>
      </c>
      <c r="AC641" s="15" t="str">
        <f t="shared" si="13"/>
        <v>PENDING RESEARCH</v>
      </c>
      <c r="AD641" s="15" t="str">
        <f t="shared" si="14"/>
        <v>Electropolished Pipes Manufacturer in Udaipur-Tripura</v>
      </c>
      <c r="AE641" s="15" t="str">
        <f t="shared" si="15"/>
        <v>Electropolished Pipes Manufacturer in Udaipur-Tripura - Our Process &amp; Capability</v>
      </c>
      <c r="AF641" s="15" t="str">
        <f t="shared" si="16"/>
        <v>Electropolished Pipes Supplier in Udaipur-Tripura - What We Hold in Stock</v>
      </c>
      <c r="AG641" s="15" t="str">
        <f t="shared" si="17"/>
        <v>Bulk &amp; Wholesale Electropolished Pipe Rates for Udaipur-Tripura Buyers</v>
      </c>
      <c r="AH641" s="15" t="str">
        <f t="shared" si="18"/>
        <v>electropolished pipes manufacturer in Udaipur-Tripura, electropolished pipes supplier in Udaipur-Tripura, electropolished pipes wholesaler in Udaipur-Tripura, electropolished tube manufacturer Udaipur-Tripura, EP pipe supplier Udaipur-Tripura, sanitary tube supplier Udaipur-Tripura, ASME BPE tubing Udaipur-Tripura, ASTM A270 tube Udaipur-Tripura, SS 316L electropolished pipe Udaipur-Tripura</v>
      </c>
      <c r="AI641" s="15" t="str">
        <f t="shared" si="19"/>
        <v>Electropolished Pipes Manufacturer &amp; Supplier in Udaipur-Tripura</v>
      </c>
      <c r="AJ641" s="15" t="str">
        <f t="shared" si="20"/>
        <v>EP-finished SS 304/316L pipes and tubes for VERIFY plants in Udaipur-Tripura. ASME BPE SF1-SF4, Ra from 0.25 um, EN 10204 3.1 certificate with every lot.</v>
      </c>
      <c r="AK641" s="15" t="str">
        <f t="shared" si="21"/>
        <v>Electropolished stainless steel pipes supplied by Sakshi Forge to VERIFY plants at TIDC Industrial Area, Udaipur-Tripura</v>
      </c>
      <c r="AL641" s="15" t="str">
        <f t="shared" si="22"/>
        <v>Electropolished SS 316L tube stock for Udaipur-Tripura - Sakshi Forge</v>
      </c>
      <c r="AM641" s="15" t="str">
        <f t="shared" si="23"/>
        <v>Home &gt; Market Area &gt; India &gt; Tripura &gt; Udaipur-Tripura</v>
      </c>
      <c r="AN641" s="15">
        <f t="shared" si="24"/>
        <v>1000</v>
      </c>
      <c r="AO641" s="15">
        <f t="shared" si="25"/>
        <v>8</v>
      </c>
      <c r="AP641" s="15">
        <f t="shared" si="26"/>
        <v>8</v>
      </c>
      <c r="AQ641" s="15">
        <f t="shared" si="27"/>
        <v>11</v>
      </c>
      <c r="AR641" s="31"/>
      <c r="AS641" s="31"/>
      <c r="AT641" s="35" t="s">
        <v>222</v>
      </c>
      <c r="AU641" s="35"/>
    </row>
    <row r="642" ht="15.75" customHeight="1">
      <c r="A642" s="15" t="s">
        <v>4571</v>
      </c>
      <c r="B642" s="15" t="s">
        <v>60</v>
      </c>
      <c r="C642" s="15" t="s">
        <v>1780</v>
      </c>
      <c r="D642" s="15" t="s">
        <v>4572</v>
      </c>
      <c r="E642" s="15" t="s">
        <v>4572</v>
      </c>
      <c r="F642" s="65" t="s">
        <v>788</v>
      </c>
      <c r="G642" s="66" t="s">
        <v>98</v>
      </c>
      <c r="H642" s="18" t="s">
        <v>4574</v>
      </c>
      <c r="I642" s="18" t="s">
        <v>8401</v>
      </c>
      <c r="J642" s="18" t="s">
        <v>98</v>
      </c>
      <c r="K642" s="18" t="s">
        <v>98</v>
      </c>
      <c r="L642" s="18" t="s">
        <v>98</v>
      </c>
      <c r="M642" s="18" t="s">
        <v>98</v>
      </c>
      <c r="N642" s="18" t="s">
        <v>98</v>
      </c>
      <c r="O642" s="18" t="s">
        <v>98</v>
      </c>
      <c r="P642" s="15" t="str">
        <f t="shared" si="1"/>
        <v>VERIFY</v>
      </c>
      <c r="Q642" s="15">
        <f t="shared" si="2"/>
        <v>7</v>
      </c>
      <c r="R642" s="15">
        <f t="shared" si="3"/>
        <v>2</v>
      </c>
      <c r="S642" s="15">
        <f t="shared" si="4"/>
        <v>4</v>
      </c>
      <c r="T642" s="15" t="str">
        <f t="shared" si="5"/>
        <v>B-3</v>
      </c>
      <c r="U642" s="15" t="str">
        <f t="shared" si="6"/>
        <v>T7-M2-H4-FB-3-VERIFY</v>
      </c>
      <c r="V642" s="15">
        <f t="shared" si="7"/>
        <v>0</v>
      </c>
      <c r="W642" s="31"/>
      <c r="X642" s="15" t="str">
        <f t="shared" si="8"/>
        <v>udhampur</v>
      </c>
      <c r="Y642" s="32" t="str">
        <f t="shared" si="9"/>
        <v>https://steelmanufacturer.in/market-area/electropolished-pipes-manufacturer-in-udhampur/</v>
      </c>
      <c r="Z642" s="15" t="str">
        <f t="shared" si="10"/>
        <v>Electropolished Pipes Manufacturer in Udhampur | ASME BPE SF1-SF4</v>
      </c>
      <c r="AA642" s="15" t="str">
        <f t="shared" si="11"/>
        <v>OK (65)</v>
      </c>
      <c r="AB642" s="15" t="str">
        <f t="shared" si="12"/>
        <v>Electropolished tube supply to SIDCO Industrial Area, Udhampur. Ra from 0.25 um, SF4 finish, mill test certificate with every lot.</v>
      </c>
      <c r="AC642" s="15" t="str">
        <f t="shared" si="13"/>
        <v>PENDING RESEARCH</v>
      </c>
      <c r="AD642" s="15" t="str">
        <f t="shared" si="14"/>
        <v>Electropolished Pipes Manufacturer in Udhampur</v>
      </c>
      <c r="AE642" s="15" t="str">
        <f t="shared" si="15"/>
        <v>Manufacturing Electropolished SS Tube for Udhampur: The Standards We Build To</v>
      </c>
      <c r="AF642" s="15" t="str">
        <f t="shared" si="16"/>
        <v>Electropolished Pipe Supply Into Udhampur - Certification &amp; Transit</v>
      </c>
      <c r="AG642" s="15" t="str">
        <f t="shared" si="17"/>
        <v>Electropolished Pipes Wholesaler in Udhampur - Project Quantities &amp; Terms</v>
      </c>
      <c r="AH642" s="15" t="str">
        <f t="shared" si="18"/>
        <v>electropolished pipes manufacturer in Udhampur, electropolished pipes supplier in Udhampur, electropolished pipes wholesaler in Udhampur, electropolished tube manufacturer Udhampur, EP pipe supplier Udhampur, sanitary tube supplier Udhampur, ASME BPE tubing Udhampur, ASTM A270 tube Udhampur, SS 316L electropolished pipe Udhampur</v>
      </c>
      <c r="AI642" s="15" t="str">
        <f t="shared" si="19"/>
        <v>Electropolished Pipes Manufacturer &amp; Supplier in Udhampur</v>
      </c>
      <c r="AJ642" s="15" t="str">
        <f t="shared" si="20"/>
        <v>EP-finished SS 304/316L pipes and tubes for VERIFY plants in Udhampur. ASME BPE SF1-SF4, Ra from 0.25 um, EN 10204 3.1 certificate with every lot.</v>
      </c>
      <c r="AK642" s="15" t="str">
        <f t="shared" si="21"/>
        <v>Electropolished stainless steel pipes supplied by Sakshi Forge to VERIFY plants at SIDCO Industrial Area, Udhampur</v>
      </c>
      <c r="AL642" s="15" t="str">
        <f t="shared" si="22"/>
        <v>Electropolished SS 316L tube stock for Udhampur - Sakshi Forge</v>
      </c>
      <c r="AM642" s="15" t="str">
        <f t="shared" si="23"/>
        <v>Home &gt; Market Area &gt; India &gt; Jammu &amp; Kashmir &gt; Udhampur</v>
      </c>
      <c r="AN642" s="15">
        <f t="shared" si="24"/>
        <v>1000</v>
      </c>
      <c r="AO642" s="15">
        <f t="shared" si="25"/>
        <v>8</v>
      </c>
      <c r="AP642" s="15">
        <f t="shared" si="26"/>
        <v>8</v>
      </c>
      <c r="AQ642" s="15">
        <f t="shared" si="27"/>
        <v>11</v>
      </c>
      <c r="AR642" s="31"/>
      <c r="AS642" s="31"/>
      <c r="AT642" s="35" t="s">
        <v>222</v>
      </c>
      <c r="AU642" s="35"/>
    </row>
    <row r="643" ht="15.75" customHeight="1">
      <c r="A643" s="15" t="s">
        <v>4575</v>
      </c>
      <c r="B643" s="15" t="s">
        <v>60</v>
      </c>
      <c r="C643" s="15" t="s">
        <v>570</v>
      </c>
      <c r="D643" s="15" t="s">
        <v>4576</v>
      </c>
      <c r="E643" s="15" t="s">
        <v>4576</v>
      </c>
      <c r="F643" s="65" t="s">
        <v>788</v>
      </c>
      <c r="G643" s="66" t="s">
        <v>98</v>
      </c>
      <c r="H643" s="18" t="s">
        <v>4578</v>
      </c>
      <c r="I643" s="18" t="s">
        <v>8405</v>
      </c>
      <c r="J643" s="18" t="s">
        <v>98</v>
      </c>
      <c r="K643" s="18" t="s">
        <v>98</v>
      </c>
      <c r="L643" s="18" t="s">
        <v>98</v>
      </c>
      <c r="M643" s="18" t="s">
        <v>98</v>
      </c>
      <c r="N643" s="18" t="s">
        <v>98</v>
      </c>
      <c r="O643" s="18" t="s">
        <v>98</v>
      </c>
      <c r="P643" s="15" t="str">
        <f t="shared" si="1"/>
        <v>VERIFY</v>
      </c>
      <c r="Q643" s="15">
        <f t="shared" si="2"/>
        <v>8</v>
      </c>
      <c r="R643" s="15">
        <f t="shared" si="3"/>
        <v>3</v>
      </c>
      <c r="S643" s="15">
        <f t="shared" si="4"/>
        <v>5</v>
      </c>
      <c r="T643" s="15" t="str">
        <f t="shared" si="5"/>
        <v>B-4</v>
      </c>
      <c r="U643" s="15" t="str">
        <f t="shared" si="6"/>
        <v>T8-M3-H5-FB-4-VERIFY</v>
      </c>
      <c r="V643" s="15">
        <f t="shared" si="7"/>
        <v>0</v>
      </c>
      <c r="W643" s="31"/>
      <c r="X643" s="15" t="str">
        <f t="shared" si="8"/>
        <v>udupi</v>
      </c>
      <c r="Y643" s="32" t="str">
        <f t="shared" si="9"/>
        <v>https://steelmanufacturer.in/market-area/electropolished-pipes-manufacturer-in-udupi/</v>
      </c>
      <c r="Z643" s="15" t="str">
        <f t="shared" si="10"/>
        <v>Electropolished Pipes Manufacturer in Udupi - EP Tube Stockist</v>
      </c>
      <c r="AA643" s="15" t="str">
        <f t="shared" si="11"/>
        <v>OK (62)</v>
      </c>
      <c r="AB643" s="15" t="str">
        <f t="shared" si="12"/>
        <v>EP stainless tube for VERIFY lines in Udupi. VERIFY. ASTM A270 S2, PMI tested, EN 10204 3.1.</v>
      </c>
      <c r="AC643" s="15" t="str">
        <f t="shared" si="13"/>
        <v>PENDING RESEARCH</v>
      </c>
      <c r="AD643" s="15" t="str">
        <f t="shared" si="14"/>
        <v>Electropolished Pipes Manufacturer in Udupi</v>
      </c>
      <c r="AE643" s="15" t="str">
        <f t="shared" si="15"/>
        <v>Electropolished Tube Manufacturing Capability Serving Udupi</v>
      </c>
      <c r="AF643" s="15" t="str">
        <f t="shared" si="16"/>
        <v>Electropolished Pipes Supplier in Udupi - From Order to Delivery</v>
      </c>
      <c r="AG643" s="15" t="str">
        <f t="shared" si="17"/>
        <v>Stockist &amp; Wholesale Supply of Electropolished Pipes in Udupi</v>
      </c>
      <c r="AH643" s="15" t="str">
        <f t="shared" si="18"/>
        <v>electropolished pipes manufacturer in Udupi, electropolished pipes supplier in Udupi, electropolished pipes wholesaler in Udupi, electropolished tube manufacturer Udupi, EP pipe supplier Udupi, sanitary tube supplier Udupi, ASME BPE tubing Udupi, ASTM A270 tube Udupi, SS 316L electropolished pipe Udupi</v>
      </c>
      <c r="AI643" s="15" t="str">
        <f t="shared" si="19"/>
        <v>Electropolished Pipes Manufacturer &amp; Supplier in Udupi</v>
      </c>
      <c r="AJ643" s="15" t="str">
        <f t="shared" si="20"/>
        <v>EP-finished SS 304/316L pipes and tubes for VERIFY plants in Udupi. ASME BPE SF1-SF4, Ra from 0.25 um, EN 10204 3.1 certificate with every lot.</v>
      </c>
      <c r="AK643" s="15" t="str">
        <f t="shared" si="21"/>
        <v>Electropolished stainless steel pipes supplied by Sakshi Forge to VERIFY plants at KIADB Industrial Area, Udupi</v>
      </c>
      <c r="AL643" s="15" t="str">
        <f t="shared" si="22"/>
        <v>Electropolished SS 316L tube stock for Udupi - Sakshi Forge</v>
      </c>
      <c r="AM643" s="15" t="str">
        <f t="shared" si="23"/>
        <v>Home &gt; Market Area &gt; India &gt; Karnataka &gt; Udupi</v>
      </c>
      <c r="AN643" s="15">
        <f t="shared" si="24"/>
        <v>1000</v>
      </c>
      <c r="AO643" s="15">
        <f t="shared" si="25"/>
        <v>8</v>
      </c>
      <c r="AP643" s="15">
        <f t="shared" si="26"/>
        <v>8</v>
      </c>
      <c r="AQ643" s="15">
        <f t="shared" si="27"/>
        <v>11</v>
      </c>
      <c r="AR643" s="31"/>
      <c r="AS643" s="31"/>
      <c r="AT643" s="35" t="s">
        <v>222</v>
      </c>
      <c r="AU643" s="35"/>
    </row>
    <row r="644" ht="15.75" customHeight="1">
      <c r="A644" s="15" t="s">
        <v>4579</v>
      </c>
      <c r="B644" s="15" t="s">
        <v>60</v>
      </c>
      <c r="C644" s="15" t="s">
        <v>842</v>
      </c>
      <c r="D644" s="15" t="s">
        <v>4580</v>
      </c>
      <c r="E644" s="15" t="s">
        <v>4580</v>
      </c>
      <c r="F644" s="65" t="s">
        <v>788</v>
      </c>
      <c r="G644" s="66" t="s">
        <v>98</v>
      </c>
      <c r="H644" s="18" t="s">
        <v>4582</v>
      </c>
      <c r="I644" s="18" t="s">
        <v>8413</v>
      </c>
      <c r="J644" s="18" t="s">
        <v>98</v>
      </c>
      <c r="K644" s="18" t="s">
        <v>98</v>
      </c>
      <c r="L644" s="18" t="s">
        <v>98</v>
      </c>
      <c r="M644" s="18" t="s">
        <v>98</v>
      </c>
      <c r="N644" s="18" t="s">
        <v>98</v>
      </c>
      <c r="O644" s="18" t="s">
        <v>98</v>
      </c>
      <c r="P644" s="15" t="str">
        <f t="shared" si="1"/>
        <v>VERIFY</v>
      </c>
      <c r="Q644" s="15">
        <f t="shared" si="2"/>
        <v>1</v>
      </c>
      <c r="R644" s="15">
        <f t="shared" si="3"/>
        <v>4</v>
      </c>
      <c r="S644" s="15">
        <f t="shared" si="4"/>
        <v>1</v>
      </c>
      <c r="T644" s="15" t="str">
        <f t="shared" si="5"/>
        <v>B-5</v>
      </c>
      <c r="U644" s="15" t="str">
        <f t="shared" si="6"/>
        <v>T1-M4-H1-FB-5-VERIFY</v>
      </c>
      <c r="V644" s="15">
        <f t="shared" si="7"/>
        <v>0</v>
      </c>
      <c r="W644" s="31"/>
      <c r="X644" s="15" t="str">
        <f t="shared" si="8"/>
        <v>ujjain</v>
      </c>
      <c r="Y644" s="32" t="str">
        <f t="shared" si="9"/>
        <v>https://steelmanufacturer.in/market-area/electropolished-pipes-manufacturer-in-ujjain/</v>
      </c>
      <c r="Z644" s="15" t="str">
        <f t="shared" si="10"/>
        <v>Electropolished Pipes Manufacturer in Ujjain | Sakshi Forge</v>
      </c>
      <c r="AA644" s="15" t="str">
        <f t="shared" si="11"/>
        <v>OK (59)</v>
      </c>
      <c r="AB644" s="15" t="str">
        <f t="shared" si="12"/>
        <v>Sanitary electropolished pipes in Ujjain for VERIFY plants. ASME BPE SF1-SF4, orbital-weld ready, 3.1 MTC. Mumbai-made.</v>
      </c>
      <c r="AC644" s="15" t="str">
        <f t="shared" si="13"/>
        <v>PENDING RESEARCH</v>
      </c>
      <c r="AD644" s="15" t="str">
        <f t="shared" si="14"/>
        <v>Electropolished Pipes Manufacturer in Ujjain</v>
      </c>
      <c r="AE644" s="15" t="str">
        <f t="shared" si="15"/>
        <v>Electropolished Pipe &amp; Tube Manufacturing for Ujjain - Grades, Finishes &amp; Certification</v>
      </c>
      <c r="AF644" s="15" t="str">
        <f t="shared" si="16"/>
        <v>Electropolished Pipes Supplier in Ujjain - Stock Sizes, Lead Time &amp; Delivery</v>
      </c>
      <c r="AG644" s="15" t="str">
        <f t="shared" si="17"/>
        <v>Electropolished Pipes Wholesaler &amp; Stockist in Ujjain - Bulk &amp; Project Pricing</v>
      </c>
      <c r="AH644" s="15" t="str">
        <f t="shared" si="18"/>
        <v>electropolished pipes manufacturer in Ujjain, electropolished pipes supplier in Ujjain, electropolished pipes wholesaler in Ujjain, electropolished tube manufacturer Ujjain, EP pipe supplier Ujjain, sanitary tube supplier Ujjain, ASME BPE tubing Ujjain, ASTM A270 tube Ujjain, SS 316L electropolished pipe Ujjain</v>
      </c>
      <c r="AI644" s="15" t="str">
        <f t="shared" si="19"/>
        <v>Electropolished Pipes Manufacturer &amp; Supplier in Ujjain</v>
      </c>
      <c r="AJ644" s="15" t="str">
        <f t="shared" si="20"/>
        <v>EP-finished SS 304/316L pipes and tubes for VERIFY plants in Ujjain. ASME BPE SF1-SF4, Ra from 0.25 um, EN 10204 3.1 certificate with every lot.</v>
      </c>
      <c r="AK644" s="15" t="str">
        <f t="shared" si="21"/>
        <v>Electropolished stainless steel pipes supplied by Sakshi Forge to VERIFY plants at MPIDC Industrial Area, Ujjain</v>
      </c>
      <c r="AL644" s="15" t="str">
        <f t="shared" si="22"/>
        <v>Electropolished SS 316L tube stock for Ujjain - Sakshi Forge</v>
      </c>
      <c r="AM644" s="15" t="str">
        <f t="shared" si="23"/>
        <v>Home &gt; Market Area &gt; India &gt; Madhya Pradesh &gt; Ujjain</v>
      </c>
      <c r="AN644" s="15">
        <f t="shared" si="24"/>
        <v>1000</v>
      </c>
      <c r="AO644" s="15">
        <f t="shared" si="25"/>
        <v>8</v>
      </c>
      <c r="AP644" s="15">
        <f t="shared" si="26"/>
        <v>8</v>
      </c>
      <c r="AQ644" s="15">
        <f t="shared" si="27"/>
        <v>11</v>
      </c>
      <c r="AR644" s="31"/>
      <c r="AS644" s="31"/>
      <c r="AT644" s="35" t="s">
        <v>222</v>
      </c>
      <c r="AU644" s="35"/>
    </row>
    <row r="645" ht="15.75" customHeight="1">
      <c r="A645" s="15" t="s">
        <v>4583</v>
      </c>
      <c r="B645" s="15" t="s">
        <v>60</v>
      </c>
      <c r="C645" s="15" t="s">
        <v>1165</v>
      </c>
      <c r="D645" s="15" t="s">
        <v>4584</v>
      </c>
      <c r="E645" s="15" t="s">
        <v>4584</v>
      </c>
      <c r="F645" s="65" t="s">
        <v>788</v>
      </c>
      <c r="G645" s="66" t="s">
        <v>98</v>
      </c>
      <c r="H645" s="18" t="s">
        <v>4586</v>
      </c>
      <c r="I645" s="18" t="s">
        <v>8404</v>
      </c>
      <c r="J645" s="18" t="s">
        <v>98</v>
      </c>
      <c r="K645" s="18" t="s">
        <v>98</v>
      </c>
      <c r="L645" s="18" t="s">
        <v>98</v>
      </c>
      <c r="M645" s="18" t="s">
        <v>98</v>
      </c>
      <c r="N645" s="18" t="s">
        <v>98</v>
      </c>
      <c r="O645" s="18" t="s">
        <v>98</v>
      </c>
      <c r="P645" s="15" t="str">
        <f t="shared" si="1"/>
        <v>VERIFY</v>
      </c>
      <c r="Q645" s="15">
        <f t="shared" si="2"/>
        <v>2</v>
      </c>
      <c r="R645" s="15">
        <f t="shared" si="3"/>
        <v>5</v>
      </c>
      <c r="S645" s="15">
        <f t="shared" si="4"/>
        <v>2</v>
      </c>
      <c r="T645" s="15" t="str">
        <f t="shared" si="5"/>
        <v>B-6</v>
      </c>
      <c r="U645" s="15" t="str">
        <f t="shared" si="6"/>
        <v>T2-M5-H2-FB-6-VERIFY</v>
      </c>
      <c r="V645" s="15">
        <f t="shared" si="7"/>
        <v>0</v>
      </c>
      <c r="W645" s="31"/>
      <c r="X645" s="15" t="str">
        <f t="shared" si="8"/>
        <v>uluberia</v>
      </c>
      <c r="Y645" s="32" t="str">
        <f t="shared" si="9"/>
        <v>https://steelmanufacturer.in/market-area/electropolished-pipes-manufacturer-in-uluberia/</v>
      </c>
      <c r="Z645" s="15" t="str">
        <f t="shared" si="10"/>
        <v>Electropolished Pipes Manufacturer in Uluberia</v>
      </c>
      <c r="AA645" s="15" t="str">
        <f t="shared" si="11"/>
        <v>OK (46)</v>
      </c>
      <c r="AB645" s="15" t="str">
        <f t="shared" si="12"/>
        <v>Manufacturer of electropolished SS 316L tube serving Uluberia. VERIFY. Ra 0.25-0.5 um, EN 10204 3.1 MTC.</v>
      </c>
      <c r="AC645" s="15" t="str">
        <f t="shared" si="13"/>
        <v>PENDING RESEARCH</v>
      </c>
      <c r="AD645" s="15" t="str">
        <f t="shared" si="14"/>
        <v>Electropolished Pipes Manufacturer in Uluberia</v>
      </c>
      <c r="AE645" s="15" t="str">
        <f t="shared" si="15"/>
        <v>How We Manufacture Electropolished Tube for Uluberia Plants</v>
      </c>
      <c r="AF645" s="15" t="str">
        <f t="shared" si="16"/>
        <v>Supplying Electropolished Pipes in Uluberia: Availability, Sizes &amp; Dispatch</v>
      </c>
      <c r="AG645" s="15" t="str">
        <f t="shared" si="17"/>
        <v>Wholesale Electropolished Pipe Supply for Uluberia Projects</v>
      </c>
      <c r="AH645" s="15" t="str">
        <f t="shared" si="18"/>
        <v>electropolished pipes manufacturer in Uluberia, electropolished pipes supplier in Uluberia, electropolished pipes wholesaler in Uluberia, electropolished tube manufacturer Uluberia, EP pipe supplier Uluberia, sanitary tube supplier Uluberia, ASME BPE tubing Uluberia, ASTM A270 tube Uluberia, SS 316L electropolished pipe Uluberia</v>
      </c>
      <c r="AI645" s="15" t="str">
        <f t="shared" si="19"/>
        <v>Electropolished Pipes Manufacturer &amp; Supplier in Uluberia</v>
      </c>
      <c r="AJ645" s="15" t="str">
        <f t="shared" si="20"/>
        <v>EP-finished SS 304/316L pipes and tubes for VERIFY plants in Uluberia. ASME BPE SF1-SF4, Ra from 0.25 um, EN 10204 3.1 certificate with every lot.</v>
      </c>
      <c r="AK645" s="15" t="str">
        <f t="shared" si="21"/>
        <v>Electropolished stainless steel pipes supplied by Sakshi Forge to VERIFY plants at WBIDC Industrial Area, Uluberia</v>
      </c>
      <c r="AL645" s="15" t="str">
        <f t="shared" si="22"/>
        <v>Electropolished SS 316L tube stock for Uluberia - Sakshi Forge</v>
      </c>
      <c r="AM645" s="15" t="str">
        <f t="shared" si="23"/>
        <v>Home &gt; Market Area &gt; India &gt; West Bengal &gt; Uluberia</v>
      </c>
      <c r="AN645" s="15">
        <f t="shared" si="24"/>
        <v>1000</v>
      </c>
      <c r="AO645" s="15">
        <f t="shared" si="25"/>
        <v>8</v>
      </c>
      <c r="AP645" s="15">
        <f t="shared" si="26"/>
        <v>8</v>
      </c>
      <c r="AQ645" s="15">
        <f t="shared" si="27"/>
        <v>11</v>
      </c>
      <c r="AR645" s="31"/>
      <c r="AS645" s="31"/>
      <c r="AT645" s="35" t="s">
        <v>222</v>
      </c>
      <c r="AU645" s="35"/>
    </row>
    <row r="646" ht="15.75" customHeight="1">
      <c r="A646" s="15" t="s">
        <v>4587</v>
      </c>
      <c r="B646" s="15" t="s">
        <v>60</v>
      </c>
      <c r="C646" s="15" t="s">
        <v>224</v>
      </c>
      <c r="D646" s="15" t="s">
        <v>4588</v>
      </c>
      <c r="E646" s="15" t="s">
        <v>4588</v>
      </c>
      <c r="F646" s="65" t="s">
        <v>788</v>
      </c>
      <c r="G646" s="66" t="s">
        <v>98</v>
      </c>
      <c r="H646" s="18" t="s">
        <v>4590</v>
      </c>
      <c r="I646" s="18" t="s">
        <v>8400</v>
      </c>
      <c r="J646" s="18" t="s">
        <v>98</v>
      </c>
      <c r="K646" s="18" t="s">
        <v>98</v>
      </c>
      <c r="L646" s="18" t="s">
        <v>98</v>
      </c>
      <c r="M646" s="18" t="s">
        <v>98</v>
      </c>
      <c r="N646" s="18" t="s">
        <v>98</v>
      </c>
      <c r="O646" s="18" t="s">
        <v>98</v>
      </c>
      <c r="P646" s="15" t="str">
        <f t="shared" si="1"/>
        <v>VERIFY</v>
      </c>
      <c r="Q646" s="15">
        <f t="shared" si="2"/>
        <v>3</v>
      </c>
      <c r="R646" s="15">
        <f t="shared" si="3"/>
        <v>6</v>
      </c>
      <c r="S646" s="15">
        <f t="shared" si="4"/>
        <v>3</v>
      </c>
      <c r="T646" s="15" t="str">
        <f t="shared" si="5"/>
        <v>B-1</v>
      </c>
      <c r="U646" s="15" t="str">
        <f t="shared" si="6"/>
        <v>T3-M6-H3-FB-1-VERIFY</v>
      </c>
      <c r="V646" s="15">
        <f t="shared" si="7"/>
        <v>0</v>
      </c>
      <c r="W646" s="31"/>
      <c r="X646" s="15" t="str">
        <f t="shared" si="8"/>
        <v>umbergaon</v>
      </c>
      <c r="Y646" s="32" t="str">
        <f t="shared" si="9"/>
        <v>https://steelmanufacturer.in/market-area/electropolished-pipes-manufacturer-in-umbergaon/</v>
      </c>
      <c r="Z646" s="15" t="str">
        <f t="shared" si="10"/>
        <v>Electropolished Pipes Manufacturer in Umbergaon</v>
      </c>
      <c r="AA646" s="15" t="str">
        <f t="shared" si="11"/>
        <v>OK (47)</v>
      </c>
      <c r="AB646" s="15" t="str">
        <f t="shared" si="12"/>
        <v>EP tube and pipe for VERIFY plants around GIDC Industrial Area, Umbergaon. Made at our Mumbai works to ASTM A270 and ASME BPE SF1-SF4, with 3.1 MTC.</v>
      </c>
      <c r="AC646" s="15" t="str">
        <f t="shared" si="13"/>
        <v>PENDING RESEARCH</v>
      </c>
      <c r="AD646" s="15" t="str">
        <f t="shared" si="14"/>
        <v>Electropolished Pipes Manufacturer in Umbergaon</v>
      </c>
      <c r="AE646" s="15" t="str">
        <f t="shared" si="15"/>
        <v>Electropolished Pipes Manufacturer in Umbergaon - Our Process &amp; Capability</v>
      </c>
      <c r="AF646" s="15" t="str">
        <f t="shared" si="16"/>
        <v>Electropolished Pipes Supplier in Umbergaon - What We Hold in Stock</v>
      </c>
      <c r="AG646" s="15" t="str">
        <f t="shared" si="17"/>
        <v>Bulk &amp; Wholesale Electropolished Pipe Rates for Umbergaon Buyers</v>
      </c>
      <c r="AH646" s="15" t="str">
        <f t="shared" si="18"/>
        <v>electropolished pipes manufacturer in Umbergaon, electropolished pipes supplier in Umbergaon, electropolished pipes wholesaler in Umbergaon, electropolished tube manufacturer Umbergaon, EP pipe supplier Umbergaon, sanitary tube supplier Umbergaon, ASME BPE tubing Umbergaon, ASTM A270 tube Umbergaon, SS 316L electropolished pipe Umbergaon</v>
      </c>
      <c r="AI646" s="15" t="str">
        <f t="shared" si="19"/>
        <v>Electropolished Pipes Manufacturer &amp; Supplier in Umbergaon</v>
      </c>
      <c r="AJ646" s="15" t="str">
        <f t="shared" si="20"/>
        <v>EP-finished SS 304/316L pipes and tubes for VERIFY plants in Umbergaon. ASME BPE SF1-SF4, Ra from 0.25 um, EN 10204 3.1 certificate with every lot.</v>
      </c>
      <c r="AK646" s="15" t="str">
        <f t="shared" si="21"/>
        <v>Electropolished stainless steel pipes supplied by Sakshi Forge to VERIFY plants at GIDC Industrial Area, Umbergaon</v>
      </c>
      <c r="AL646" s="15" t="str">
        <f t="shared" si="22"/>
        <v>Electropolished SS 316L tube stock for Umbergaon - Sakshi Forge</v>
      </c>
      <c r="AM646" s="15" t="str">
        <f t="shared" si="23"/>
        <v>Home &gt; Market Area &gt; India &gt; Gujarat &gt; Umbergaon</v>
      </c>
      <c r="AN646" s="15">
        <f t="shared" si="24"/>
        <v>1000</v>
      </c>
      <c r="AO646" s="15">
        <f t="shared" si="25"/>
        <v>8</v>
      </c>
      <c r="AP646" s="15">
        <f t="shared" si="26"/>
        <v>8</v>
      </c>
      <c r="AQ646" s="15">
        <f t="shared" si="27"/>
        <v>11</v>
      </c>
      <c r="AR646" s="31"/>
      <c r="AS646" s="31"/>
      <c r="AT646" s="35" t="s">
        <v>222</v>
      </c>
      <c r="AU646" s="35"/>
    </row>
    <row r="647" ht="15.75" customHeight="1">
      <c r="A647" s="15" t="s">
        <v>4591</v>
      </c>
      <c r="B647" s="15" t="s">
        <v>60</v>
      </c>
      <c r="C647" s="15" t="s">
        <v>447</v>
      </c>
      <c r="D647" s="15" t="s">
        <v>4593</v>
      </c>
      <c r="E647" s="15" t="s">
        <v>4593</v>
      </c>
      <c r="F647" s="65" t="s">
        <v>788</v>
      </c>
      <c r="G647" s="66" t="s">
        <v>98</v>
      </c>
      <c r="H647" s="18" t="s">
        <v>4596</v>
      </c>
      <c r="I647" s="18" t="s">
        <v>8411</v>
      </c>
      <c r="J647" s="18" t="s">
        <v>98</v>
      </c>
      <c r="K647" s="18" t="s">
        <v>98</v>
      </c>
      <c r="L647" s="18" t="s">
        <v>98</v>
      </c>
      <c r="M647" s="18" t="s">
        <v>98</v>
      </c>
      <c r="N647" s="18" t="s">
        <v>98</v>
      </c>
      <c r="O647" s="18" t="s">
        <v>98</v>
      </c>
      <c r="P647" s="15" t="str">
        <f t="shared" si="1"/>
        <v>VERIFY</v>
      </c>
      <c r="Q647" s="15">
        <f t="shared" si="2"/>
        <v>4</v>
      </c>
      <c r="R647" s="15">
        <f t="shared" si="3"/>
        <v>7</v>
      </c>
      <c r="S647" s="15">
        <f t="shared" si="4"/>
        <v>4</v>
      </c>
      <c r="T647" s="15" t="str">
        <f t="shared" si="5"/>
        <v>B-2</v>
      </c>
      <c r="U647" s="15" t="str">
        <f t="shared" si="6"/>
        <v>T4-M7-H4-FB-2-VERIFY</v>
      </c>
      <c r="V647" s="15">
        <f t="shared" si="7"/>
        <v>0</v>
      </c>
      <c r="W647" s="31"/>
      <c r="X647" s="15" t="str">
        <f t="shared" si="8"/>
        <v>una</v>
      </c>
      <c r="Y647" s="32" t="str">
        <f t="shared" si="9"/>
        <v>https://steelmanufacturer.in/market-area/electropolished-pipes-manufacturer-in-una/</v>
      </c>
      <c r="Z647" s="15" t="str">
        <f t="shared" si="10"/>
        <v>Electropolished Pipes Manufacturer in Una - SS 304/316L EP Tube</v>
      </c>
      <c r="AA647" s="15" t="str">
        <f t="shared" si="11"/>
        <v>OK (63)</v>
      </c>
      <c r="AB647" s="15" t="str">
        <f t="shared" si="12"/>
        <v>Electropolished pipes in Una: 304, 304L, 316 and 316L in SF1-SF4. VERIFY. Mill certified.</v>
      </c>
      <c r="AC647" s="15" t="str">
        <f t="shared" si="13"/>
        <v>PENDING RESEARCH</v>
      </c>
      <c r="AD647" s="15" t="str">
        <f t="shared" si="14"/>
        <v>Electropolished Pipes Manufacturer in Una</v>
      </c>
      <c r="AE647" s="15" t="str">
        <f t="shared" si="15"/>
        <v>Manufacturing Electropolished SS Tube for Una: The Standards We Build To</v>
      </c>
      <c r="AF647" s="15" t="str">
        <f t="shared" si="16"/>
        <v>Electropolished Pipe Supply Into Una - Certification &amp; Transit</v>
      </c>
      <c r="AG647" s="15" t="str">
        <f t="shared" si="17"/>
        <v>Electropolished Pipes Wholesaler in Una - Project Quantities &amp; Terms</v>
      </c>
      <c r="AH647" s="15" t="str">
        <f t="shared" si="18"/>
        <v>electropolished pipes manufacturer in Una, electropolished pipes supplier in Una, electropolished pipes wholesaler in Una, electropolished tube manufacturer Una, EP pipe supplier Una, sanitary tube supplier Una, ASME BPE tubing Una, ASTM A270 tube Una, SS 316L electropolished pipe Una</v>
      </c>
      <c r="AI647" s="15" t="str">
        <f t="shared" si="19"/>
        <v>Electropolished Pipes Manufacturer &amp; Supplier in Una</v>
      </c>
      <c r="AJ647" s="15" t="str">
        <f t="shared" si="20"/>
        <v>EP-finished SS 304/316L pipes and tubes for VERIFY plants in Una. ASME BPE SF1-SF4, Ra from 0.25 um, EN 10204 3.1 certificate with every lot.</v>
      </c>
      <c r="AK647" s="15" t="str">
        <f t="shared" si="21"/>
        <v>Electropolished stainless steel pipes supplied by Sakshi Forge to VERIFY plants at HPSIDC Industrial Area, Una</v>
      </c>
      <c r="AL647" s="15" t="str">
        <f t="shared" si="22"/>
        <v>Electropolished SS 316L tube stock for Una - Sakshi Forge</v>
      </c>
      <c r="AM647" s="15" t="str">
        <f t="shared" si="23"/>
        <v>Home &gt; Market Area &gt; India &gt; Himachal Pradesh &gt; Una</v>
      </c>
      <c r="AN647" s="15">
        <f t="shared" si="24"/>
        <v>1000</v>
      </c>
      <c r="AO647" s="15">
        <f t="shared" si="25"/>
        <v>8</v>
      </c>
      <c r="AP647" s="15">
        <f t="shared" si="26"/>
        <v>8</v>
      </c>
      <c r="AQ647" s="15">
        <f t="shared" si="27"/>
        <v>11</v>
      </c>
      <c r="AR647" s="31"/>
      <c r="AS647" s="31"/>
      <c r="AT647" s="35" t="s">
        <v>222</v>
      </c>
      <c r="AU647" s="35"/>
    </row>
    <row r="648" ht="15.75" customHeight="1">
      <c r="A648" s="15" t="s">
        <v>4600</v>
      </c>
      <c r="B648" s="15" t="s">
        <v>60</v>
      </c>
      <c r="C648" s="15" t="s">
        <v>85</v>
      </c>
      <c r="D648" s="15" t="s">
        <v>4601</v>
      </c>
      <c r="E648" s="15" t="s">
        <v>4601</v>
      </c>
      <c r="F648" s="65" t="s">
        <v>788</v>
      </c>
      <c r="G648" s="66" t="s">
        <v>98</v>
      </c>
      <c r="H648" s="18" t="s">
        <v>4603</v>
      </c>
      <c r="I648" s="18" t="s">
        <v>8398</v>
      </c>
      <c r="J648" s="18" t="s">
        <v>98</v>
      </c>
      <c r="K648" s="18" t="s">
        <v>98</v>
      </c>
      <c r="L648" s="18" t="s">
        <v>98</v>
      </c>
      <c r="M648" s="18" t="s">
        <v>98</v>
      </c>
      <c r="N648" s="18" t="s">
        <v>98</v>
      </c>
      <c r="O648" s="18" t="s">
        <v>98</v>
      </c>
      <c r="P648" s="15" t="str">
        <f t="shared" si="1"/>
        <v>VERIFY</v>
      </c>
      <c r="Q648" s="15">
        <f t="shared" si="2"/>
        <v>5</v>
      </c>
      <c r="R648" s="15">
        <f t="shared" si="3"/>
        <v>1</v>
      </c>
      <c r="S648" s="15">
        <f t="shared" si="4"/>
        <v>5</v>
      </c>
      <c r="T648" s="15" t="str">
        <f t="shared" si="5"/>
        <v>B-3</v>
      </c>
      <c r="U648" s="15" t="str">
        <f t="shared" si="6"/>
        <v>T5-M1-H5-FB-3-VERIFY</v>
      </c>
      <c r="V648" s="15">
        <f t="shared" si="7"/>
        <v>0</v>
      </c>
      <c r="W648" s="31"/>
      <c r="X648" s="15" t="str">
        <f t="shared" si="8"/>
        <v>unnao</v>
      </c>
      <c r="Y648" s="32" t="str">
        <f t="shared" si="9"/>
        <v>https://steelmanufacturer.in/market-area/electropolished-pipes-manufacturer-in-unnao/</v>
      </c>
      <c r="Z648" s="15" t="str">
        <f t="shared" si="10"/>
        <v>Electropolished Pipes Manufacturer in Unnao</v>
      </c>
      <c r="AA648" s="15" t="str">
        <f t="shared" si="11"/>
        <v>OK (43)</v>
      </c>
      <c r="AB648" s="15" t="str">
        <f t="shared" si="12"/>
        <v>EP-finished SS 304/316L pipes &amp; tubes for VERIFY plants in Unnao. ASTM A270, ASME BPE SF1-SF4, EN 10204 3.1 MTC. PMI tested.</v>
      </c>
      <c r="AC648" s="15" t="str">
        <f t="shared" si="13"/>
        <v>PENDING RESEARCH</v>
      </c>
      <c r="AD648" s="15" t="str">
        <f t="shared" si="14"/>
        <v>Electropolished Pipes Manufacturer in Unnao</v>
      </c>
      <c r="AE648" s="15" t="str">
        <f t="shared" si="15"/>
        <v>Electropolished Tube Manufacturing Capability Serving Unnao</v>
      </c>
      <c r="AF648" s="15" t="str">
        <f t="shared" si="16"/>
        <v>Electropolished Pipes Supplier in Unnao - From Order to Delivery</v>
      </c>
      <c r="AG648" s="15" t="str">
        <f t="shared" si="17"/>
        <v>Stockist &amp; Wholesale Supply of Electropolished Pipes in Unnao</v>
      </c>
      <c r="AH648" s="15" t="str">
        <f t="shared" si="18"/>
        <v>electropolished pipes manufacturer in Unnao, electropolished pipes supplier in Unnao, electropolished pipes wholesaler in Unnao, electropolished tube manufacturer Unnao, EP pipe supplier Unnao, sanitary tube supplier Unnao, ASME BPE tubing Unnao, ASTM A270 tube Unnao, SS 316L electropolished pipe Unnao</v>
      </c>
      <c r="AI648" s="15" t="str">
        <f t="shared" si="19"/>
        <v>Electropolished Pipes Manufacturer &amp; Supplier in Unnao</v>
      </c>
      <c r="AJ648" s="15" t="str">
        <f t="shared" si="20"/>
        <v>EP-finished SS 304/316L pipes and tubes for VERIFY plants in Unnao. ASME BPE SF1-SF4, Ra from 0.25 um, EN 10204 3.1 certificate with every lot.</v>
      </c>
      <c r="AK648" s="15" t="str">
        <f t="shared" si="21"/>
        <v>Electropolished stainless steel pipes supplied by Sakshi Forge to VERIFY plants at UPSIDA Industrial Area, Unnao</v>
      </c>
      <c r="AL648" s="15" t="str">
        <f t="shared" si="22"/>
        <v>Electropolished SS 316L tube stock for Unnao - Sakshi Forge</v>
      </c>
      <c r="AM648" s="15" t="str">
        <f t="shared" si="23"/>
        <v>Home &gt; Market Area &gt; India &gt; Uttar Pradesh &gt; Unnao</v>
      </c>
      <c r="AN648" s="15">
        <f t="shared" si="24"/>
        <v>1000</v>
      </c>
      <c r="AO648" s="15">
        <f t="shared" si="25"/>
        <v>8</v>
      </c>
      <c r="AP648" s="15">
        <f t="shared" si="26"/>
        <v>8</v>
      </c>
      <c r="AQ648" s="15">
        <f t="shared" si="27"/>
        <v>11</v>
      </c>
      <c r="AR648" s="31"/>
      <c r="AS648" s="31"/>
      <c r="AT648" s="35" t="s">
        <v>222</v>
      </c>
      <c r="AU648" s="35"/>
    </row>
    <row r="649" ht="15.75" customHeight="1">
      <c r="A649" s="15" t="s">
        <v>4604</v>
      </c>
      <c r="B649" s="15" t="s">
        <v>60</v>
      </c>
      <c r="C649" s="15" t="s">
        <v>264</v>
      </c>
      <c r="D649" s="15" t="s">
        <v>4605</v>
      </c>
      <c r="E649" s="15" t="s">
        <v>4605</v>
      </c>
      <c r="F649" s="65" t="s">
        <v>788</v>
      </c>
      <c r="G649" s="66" t="s">
        <v>98</v>
      </c>
      <c r="H649" s="18" t="s">
        <v>4607</v>
      </c>
      <c r="I649" s="18" t="s">
        <v>8395</v>
      </c>
      <c r="J649" s="18" t="s">
        <v>98</v>
      </c>
      <c r="K649" s="18" t="s">
        <v>98</v>
      </c>
      <c r="L649" s="18" t="s">
        <v>98</v>
      </c>
      <c r="M649" s="18" t="s">
        <v>98</v>
      </c>
      <c r="N649" s="18" t="s">
        <v>98</v>
      </c>
      <c r="O649" s="18" t="s">
        <v>98</v>
      </c>
      <c r="P649" s="15" t="str">
        <f t="shared" si="1"/>
        <v>VERIFY</v>
      </c>
      <c r="Q649" s="15">
        <f t="shared" si="2"/>
        <v>6</v>
      </c>
      <c r="R649" s="15">
        <f t="shared" si="3"/>
        <v>2</v>
      </c>
      <c r="S649" s="15">
        <f t="shared" si="4"/>
        <v>1</v>
      </c>
      <c r="T649" s="15" t="str">
        <f t="shared" si="5"/>
        <v>B-4</v>
      </c>
      <c r="U649" s="15" t="str">
        <f t="shared" si="6"/>
        <v>T6-M2-H1-FB-4-VERIFY</v>
      </c>
      <c r="V649" s="15">
        <f t="shared" si="7"/>
        <v>0</v>
      </c>
      <c r="W649" s="31"/>
      <c r="X649" s="15" t="str">
        <f t="shared" si="8"/>
        <v>uran</v>
      </c>
      <c r="Y649" s="32" t="str">
        <f t="shared" si="9"/>
        <v>https://steelmanufacturer.in/market-area/electropolished-pipes-manufacturer-in-uran/</v>
      </c>
      <c r="Z649" s="15" t="str">
        <f t="shared" si="10"/>
        <v>Electropolished Pipes Manufacturer in Uran</v>
      </c>
      <c r="AA649" s="15" t="str">
        <f t="shared" si="11"/>
        <v>OK (42)</v>
      </c>
      <c r="AB649" s="15" t="str">
        <f t="shared" si="12"/>
        <v>Electropolished tube supply to MIDC Industrial Area, Uran. Ra from 0.25 um, SF4 finish, mill test certificate with every lot.</v>
      </c>
      <c r="AC649" s="15" t="str">
        <f t="shared" si="13"/>
        <v>PENDING RESEARCH</v>
      </c>
      <c r="AD649" s="15" t="str">
        <f t="shared" si="14"/>
        <v>Electropolished Pipes Manufacturer in Uran</v>
      </c>
      <c r="AE649" s="15" t="str">
        <f t="shared" si="15"/>
        <v>Electropolished Pipe &amp; Tube Manufacturing for Uran - Grades, Finishes &amp; Certification</v>
      </c>
      <c r="AF649" s="15" t="str">
        <f t="shared" si="16"/>
        <v>Electropolished Pipes Supplier in Uran - Stock Sizes, Lead Time &amp; Delivery</v>
      </c>
      <c r="AG649" s="15" t="str">
        <f t="shared" si="17"/>
        <v>Electropolished Pipes Wholesaler &amp; Stockist in Uran - Bulk &amp; Project Pricing</v>
      </c>
      <c r="AH649" s="15" t="str">
        <f t="shared" si="18"/>
        <v>electropolished pipes manufacturer in Uran, electropolished pipes supplier in Uran, electropolished pipes wholesaler in Uran, electropolished tube manufacturer Uran, EP pipe supplier Uran, sanitary tube supplier Uran, ASME BPE tubing Uran, ASTM A270 tube Uran, SS 316L electropolished pipe Uran</v>
      </c>
      <c r="AI649" s="15" t="str">
        <f t="shared" si="19"/>
        <v>Electropolished Pipes Manufacturer &amp; Supplier in Uran</v>
      </c>
      <c r="AJ649" s="15" t="str">
        <f t="shared" si="20"/>
        <v>EP-finished SS 304/316L pipes and tubes for VERIFY plants in Uran. ASME BPE SF1-SF4, Ra from 0.25 um, EN 10204 3.1 certificate with every lot.</v>
      </c>
      <c r="AK649" s="15" t="str">
        <f t="shared" si="21"/>
        <v>Electropolished stainless steel pipes supplied by Sakshi Forge to VERIFY plants at MIDC Industrial Area, Uran</v>
      </c>
      <c r="AL649" s="15" t="str">
        <f t="shared" si="22"/>
        <v>Electropolished SS 316L tube stock for Uran - Sakshi Forge</v>
      </c>
      <c r="AM649" s="15" t="str">
        <f t="shared" si="23"/>
        <v>Home &gt; Market Area &gt; India &gt; Maharashtra &gt; Uran</v>
      </c>
      <c r="AN649" s="15">
        <f t="shared" si="24"/>
        <v>1000</v>
      </c>
      <c r="AO649" s="15">
        <f t="shared" si="25"/>
        <v>8</v>
      </c>
      <c r="AP649" s="15">
        <f t="shared" si="26"/>
        <v>8</v>
      </c>
      <c r="AQ649" s="15">
        <f t="shared" si="27"/>
        <v>11</v>
      </c>
      <c r="AR649" s="31"/>
      <c r="AS649" s="31"/>
      <c r="AT649" s="35" t="s">
        <v>222</v>
      </c>
      <c r="AU649" s="35"/>
    </row>
    <row r="650" ht="15.75" customHeight="1">
      <c r="A650" s="15" t="s">
        <v>4608</v>
      </c>
      <c r="B650" s="15" t="s">
        <v>60</v>
      </c>
      <c r="C650" s="15" t="s">
        <v>224</v>
      </c>
      <c r="D650" s="15" t="s">
        <v>4609</v>
      </c>
      <c r="E650" s="15" t="s">
        <v>4609</v>
      </c>
      <c r="F650" s="65" t="s">
        <v>788</v>
      </c>
      <c r="G650" s="66" t="s">
        <v>98</v>
      </c>
      <c r="H650" s="18" t="s">
        <v>4611</v>
      </c>
      <c r="I650" s="18" t="s">
        <v>8400</v>
      </c>
      <c r="J650" s="18" t="s">
        <v>98</v>
      </c>
      <c r="K650" s="18" t="s">
        <v>98</v>
      </c>
      <c r="L650" s="18" t="s">
        <v>98</v>
      </c>
      <c r="M650" s="18" t="s">
        <v>98</v>
      </c>
      <c r="N650" s="18" t="s">
        <v>98</v>
      </c>
      <c r="O650" s="18" t="s">
        <v>98</v>
      </c>
      <c r="P650" s="15" t="str">
        <f t="shared" si="1"/>
        <v>VERIFY</v>
      </c>
      <c r="Q650" s="15">
        <f t="shared" si="2"/>
        <v>7</v>
      </c>
      <c r="R650" s="15">
        <f t="shared" si="3"/>
        <v>3</v>
      </c>
      <c r="S650" s="15">
        <f t="shared" si="4"/>
        <v>2</v>
      </c>
      <c r="T650" s="15" t="str">
        <f t="shared" si="5"/>
        <v>B-5</v>
      </c>
      <c r="U650" s="15" t="str">
        <f t="shared" si="6"/>
        <v>T7-M3-H2-FB-5-VERIFY</v>
      </c>
      <c r="V650" s="15">
        <f t="shared" si="7"/>
        <v>0</v>
      </c>
      <c r="W650" s="31"/>
      <c r="X650" s="15" t="str">
        <f t="shared" si="8"/>
        <v>vagra</v>
      </c>
      <c r="Y650" s="32" t="str">
        <f t="shared" si="9"/>
        <v>https://steelmanufacturer.in/market-area/electropolished-pipes-manufacturer-in-vagra/</v>
      </c>
      <c r="Z650" s="15" t="str">
        <f t="shared" si="10"/>
        <v>Electropolished Pipes Manufacturer in Vagra | ASME BPE SF1-SF4</v>
      </c>
      <c r="AA650" s="15" t="str">
        <f t="shared" si="11"/>
        <v>OK (62)</v>
      </c>
      <c r="AB650" s="15" t="str">
        <f t="shared" si="12"/>
        <v>EP stainless tube for VERIFY lines in Vagra. VERIFY. ASTM A270 S2, PMI tested, EN 10204 3.1.</v>
      </c>
      <c r="AC650" s="15" t="str">
        <f t="shared" si="13"/>
        <v>PENDING RESEARCH</v>
      </c>
      <c r="AD650" s="15" t="str">
        <f t="shared" si="14"/>
        <v>Electropolished Pipes Manufacturer in Vagra</v>
      </c>
      <c r="AE650" s="15" t="str">
        <f t="shared" si="15"/>
        <v>How We Manufacture Electropolished Tube for Vagra Plants</v>
      </c>
      <c r="AF650" s="15" t="str">
        <f t="shared" si="16"/>
        <v>Supplying Electropolished Pipes in Vagra: Availability, Sizes &amp; Dispatch</v>
      </c>
      <c r="AG650" s="15" t="str">
        <f t="shared" si="17"/>
        <v>Wholesale Electropolished Pipe Supply for Vagra Projects</v>
      </c>
      <c r="AH650" s="15" t="str">
        <f t="shared" si="18"/>
        <v>electropolished pipes manufacturer in Vagra, electropolished pipes supplier in Vagra, electropolished pipes wholesaler in Vagra, electropolished tube manufacturer Vagra, EP pipe supplier Vagra, sanitary tube supplier Vagra, ASME BPE tubing Vagra, ASTM A270 tube Vagra, SS 316L electropolished pipe Vagra</v>
      </c>
      <c r="AI650" s="15" t="str">
        <f t="shared" si="19"/>
        <v>Electropolished Pipes Manufacturer &amp; Supplier in Vagra</v>
      </c>
      <c r="AJ650" s="15" t="str">
        <f t="shared" si="20"/>
        <v>EP-finished SS 304/316L pipes and tubes for VERIFY plants in Vagra. ASME BPE SF1-SF4, Ra from 0.25 um, EN 10204 3.1 certificate with every lot.</v>
      </c>
      <c r="AK650" s="15" t="str">
        <f t="shared" si="21"/>
        <v>Electropolished stainless steel pipes supplied by Sakshi Forge to VERIFY plants at GIDC Industrial Area, Vagra</v>
      </c>
      <c r="AL650" s="15" t="str">
        <f t="shared" si="22"/>
        <v>Electropolished SS 316L tube stock for Vagra - Sakshi Forge</v>
      </c>
      <c r="AM650" s="15" t="str">
        <f t="shared" si="23"/>
        <v>Home &gt; Market Area &gt; India &gt; Gujarat &gt; Vagra</v>
      </c>
      <c r="AN650" s="15">
        <f t="shared" si="24"/>
        <v>1000</v>
      </c>
      <c r="AO650" s="15">
        <f t="shared" si="25"/>
        <v>8</v>
      </c>
      <c r="AP650" s="15">
        <f t="shared" si="26"/>
        <v>8</v>
      </c>
      <c r="AQ650" s="15">
        <f t="shared" si="27"/>
        <v>11</v>
      </c>
      <c r="AR650" s="31"/>
      <c r="AS650" s="31"/>
      <c r="AT650" s="35" t="s">
        <v>222</v>
      </c>
      <c r="AU650" s="35"/>
    </row>
    <row r="651" ht="15.75" customHeight="1">
      <c r="A651" s="15" t="s">
        <v>4612</v>
      </c>
      <c r="B651" s="15" t="s">
        <v>60</v>
      </c>
      <c r="C651" s="15" t="s">
        <v>224</v>
      </c>
      <c r="D651" s="15" t="s">
        <v>4613</v>
      </c>
      <c r="E651" s="15" t="s">
        <v>4613</v>
      </c>
      <c r="F651" s="65" t="s">
        <v>788</v>
      </c>
      <c r="G651" s="66" t="s">
        <v>98</v>
      </c>
      <c r="H651" s="18" t="s">
        <v>4615</v>
      </c>
      <c r="I651" s="18" t="s">
        <v>8400</v>
      </c>
      <c r="J651" s="18" t="s">
        <v>98</v>
      </c>
      <c r="K651" s="18" t="s">
        <v>98</v>
      </c>
      <c r="L651" s="18" t="s">
        <v>98</v>
      </c>
      <c r="M651" s="18" t="s">
        <v>98</v>
      </c>
      <c r="N651" s="18" t="s">
        <v>98</v>
      </c>
      <c r="O651" s="18" t="s">
        <v>98</v>
      </c>
      <c r="P651" s="15" t="str">
        <f t="shared" si="1"/>
        <v>VERIFY</v>
      </c>
      <c r="Q651" s="15">
        <f t="shared" si="2"/>
        <v>8</v>
      </c>
      <c r="R651" s="15">
        <f t="shared" si="3"/>
        <v>4</v>
      </c>
      <c r="S651" s="15">
        <f t="shared" si="4"/>
        <v>3</v>
      </c>
      <c r="T651" s="15" t="str">
        <f t="shared" si="5"/>
        <v>B-6</v>
      </c>
      <c r="U651" s="15" t="str">
        <f t="shared" si="6"/>
        <v>T8-M4-H3-FB-6-VERIFY</v>
      </c>
      <c r="V651" s="15">
        <f t="shared" si="7"/>
        <v>0</v>
      </c>
      <c r="W651" s="31"/>
      <c r="X651" s="15" t="str">
        <f t="shared" si="8"/>
        <v>vapi-sarigam</v>
      </c>
      <c r="Y651" s="32" t="str">
        <f t="shared" si="9"/>
        <v>https://steelmanufacturer.in/market-area/electropolished-pipes-manufacturer-in-vapi-sarigam/</v>
      </c>
      <c r="Z651" s="15" t="str">
        <f t="shared" si="10"/>
        <v>Electropolished Pipes Manufacturer in Vapi-Sarigam</v>
      </c>
      <c r="AA651" s="15" t="str">
        <f t="shared" si="11"/>
        <v>OK (50)</v>
      </c>
      <c r="AB651" s="15" t="str">
        <f t="shared" si="12"/>
        <v>Sanitary electropolished pipes in Vapi-Sarigam for VERIFY plants. ASME BPE SF1-SF4, orbital-weld ready, 3.1 MTC. Mumbai-made.</v>
      </c>
      <c r="AC651" s="15" t="str">
        <f t="shared" si="13"/>
        <v>PENDING RESEARCH</v>
      </c>
      <c r="AD651" s="15" t="str">
        <f t="shared" si="14"/>
        <v>Electropolished Pipes Manufacturer in Vapi-Sarigam</v>
      </c>
      <c r="AE651" s="15" t="str">
        <f t="shared" si="15"/>
        <v>Electropolished Pipes Manufacturer in Vapi-Sarigam - Our Process &amp; Capability</v>
      </c>
      <c r="AF651" s="15" t="str">
        <f t="shared" si="16"/>
        <v>Electropolished Pipes Supplier in Vapi-Sarigam - What We Hold in Stock</v>
      </c>
      <c r="AG651" s="15" t="str">
        <f t="shared" si="17"/>
        <v>Bulk &amp; Wholesale Electropolished Pipe Rates for Vapi-Sarigam Buyers</v>
      </c>
      <c r="AH651" s="15" t="str">
        <f t="shared" si="18"/>
        <v>electropolished pipes manufacturer in Vapi-Sarigam, electropolished pipes supplier in Vapi-Sarigam, electropolished pipes wholesaler in Vapi-Sarigam, electropolished tube manufacturer Vapi-Sarigam, EP pipe supplier Vapi-Sarigam, sanitary tube supplier Vapi-Sarigam, ASME BPE tubing Vapi-Sarigam, ASTM A270 tube Vapi-Sarigam, SS 316L electropolished pipe Vapi-Sarigam</v>
      </c>
      <c r="AI651" s="15" t="str">
        <f t="shared" si="19"/>
        <v>Electropolished Pipes Manufacturer &amp; Supplier in Vapi-Sarigam</v>
      </c>
      <c r="AJ651" s="15" t="str">
        <f t="shared" si="20"/>
        <v>EP-finished SS 304/316L pipes and tubes for VERIFY plants in Vapi-Sarigam. ASME BPE SF1-SF4, Ra from 0.25 um, EN 10204 3.1 certificate with every lot.</v>
      </c>
      <c r="AK651" s="15" t="str">
        <f t="shared" si="21"/>
        <v>Electropolished stainless steel pipes supplied by Sakshi Forge to VERIFY plants at GIDC Industrial Area, Vapi-Sarigam</v>
      </c>
      <c r="AL651" s="15" t="str">
        <f t="shared" si="22"/>
        <v>Electropolished SS 316L tube stock for Vapi-Sarigam - Sakshi Forge</v>
      </c>
      <c r="AM651" s="15" t="str">
        <f t="shared" si="23"/>
        <v>Home &gt; Market Area &gt; India &gt; Gujarat &gt; Vapi-Sarigam</v>
      </c>
      <c r="AN651" s="15">
        <f t="shared" si="24"/>
        <v>1000</v>
      </c>
      <c r="AO651" s="15">
        <f t="shared" si="25"/>
        <v>8</v>
      </c>
      <c r="AP651" s="15">
        <f t="shared" si="26"/>
        <v>8</v>
      </c>
      <c r="AQ651" s="15">
        <f t="shared" si="27"/>
        <v>11</v>
      </c>
      <c r="AR651" s="31"/>
      <c r="AS651" s="31"/>
      <c r="AT651" s="35" t="s">
        <v>222</v>
      </c>
      <c r="AU651" s="35"/>
    </row>
    <row r="652" ht="15.75" customHeight="1">
      <c r="A652" s="15" t="s">
        <v>4616</v>
      </c>
      <c r="B652" s="15" t="s">
        <v>60</v>
      </c>
      <c r="C652" s="15" t="s">
        <v>264</v>
      </c>
      <c r="D652" s="15" t="s">
        <v>4617</v>
      </c>
      <c r="E652" s="15" t="s">
        <v>4617</v>
      </c>
      <c r="F652" s="65" t="s">
        <v>788</v>
      </c>
      <c r="G652" s="66" t="s">
        <v>98</v>
      </c>
      <c r="H652" s="18" t="s">
        <v>4619</v>
      </c>
      <c r="I652" s="18" t="s">
        <v>8395</v>
      </c>
      <c r="J652" s="18" t="s">
        <v>98</v>
      </c>
      <c r="K652" s="18" t="s">
        <v>98</v>
      </c>
      <c r="L652" s="18" t="s">
        <v>98</v>
      </c>
      <c r="M652" s="18" t="s">
        <v>98</v>
      </c>
      <c r="N652" s="18" t="s">
        <v>98</v>
      </c>
      <c r="O652" s="18" t="s">
        <v>98</v>
      </c>
      <c r="P652" s="15" t="str">
        <f t="shared" si="1"/>
        <v>VERIFY</v>
      </c>
      <c r="Q652" s="15">
        <f t="shared" si="2"/>
        <v>1</v>
      </c>
      <c r="R652" s="15">
        <f t="shared" si="3"/>
        <v>5</v>
      </c>
      <c r="S652" s="15">
        <f t="shared" si="4"/>
        <v>4</v>
      </c>
      <c r="T652" s="15" t="str">
        <f t="shared" si="5"/>
        <v>B-1</v>
      </c>
      <c r="U652" s="15" t="str">
        <f t="shared" si="6"/>
        <v>T1-M5-H4-FB-1-VERIFY</v>
      </c>
      <c r="V652" s="15">
        <f t="shared" si="7"/>
        <v>0</v>
      </c>
      <c r="W652" s="31"/>
      <c r="X652" s="15" t="str">
        <f t="shared" si="8"/>
        <v>vasai</v>
      </c>
      <c r="Y652" s="32" t="str">
        <f t="shared" si="9"/>
        <v>https://steelmanufacturer.in/market-area/electropolished-pipes-manufacturer-in-vasai/</v>
      </c>
      <c r="Z652" s="15" t="str">
        <f t="shared" si="10"/>
        <v>Electropolished Pipes Manufacturer in Vasai | Sakshi Forge</v>
      </c>
      <c r="AA652" s="15" t="str">
        <f t="shared" si="11"/>
        <v>OK (58)</v>
      </c>
      <c r="AB652" s="15" t="str">
        <f t="shared" si="12"/>
        <v>Manufacturer of electropolished SS 316L tube serving Vasai. VERIFY. Ra 0.25-0.5 um, EN 10204 3.1 MTC.</v>
      </c>
      <c r="AC652" s="15" t="str">
        <f t="shared" si="13"/>
        <v>PENDING RESEARCH</v>
      </c>
      <c r="AD652" s="15" t="str">
        <f t="shared" si="14"/>
        <v>Electropolished Pipes Manufacturer in Vasai</v>
      </c>
      <c r="AE652" s="15" t="str">
        <f t="shared" si="15"/>
        <v>Manufacturing Electropolished SS Tube for Vasai: The Standards We Build To</v>
      </c>
      <c r="AF652" s="15" t="str">
        <f t="shared" si="16"/>
        <v>Electropolished Pipe Supply Into Vasai - Certification &amp; Transit</v>
      </c>
      <c r="AG652" s="15" t="str">
        <f t="shared" si="17"/>
        <v>Electropolished Pipes Wholesaler in Vasai - Project Quantities &amp; Terms</v>
      </c>
      <c r="AH652" s="15" t="str">
        <f t="shared" si="18"/>
        <v>electropolished pipes manufacturer in Vasai, electropolished pipes supplier in Vasai, electropolished pipes wholesaler in Vasai, electropolished tube manufacturer Vasai, EP pipe supplier Vasai, sanitary tube supplier Vasai, ASME BPE tubing Vasai, ASTM A270 tube Vasai, SS 316L electropolished pipe Vasai</v>
      </c>
      <c r="AI652" s="15" t="str">
        <f t="shared" si="19"/>
        <v>Electropolished Pipes Manufacturer &amp; Supplier in Vasai</v>
      </c>
      <c r="AJ652" s="15" t="str">
        <f t="shared" si="20"/>
        <v>EP-finished SS 304/316L pipes and tubes for VERIFY plants in Vasai. ASME BPE SF1-SF4, Ra from 0.25 um, EN 10204 3.1 certificate with every lot.</v>
      </c>
      <c r="AK652" s="15" t="str">
        <f t="shared" si="21"/>
        <v>Electropolished stainless steel pipes supplied by Sakshi Forge to VERIFY plants at MIDC Industrial Area, Vasai</v>
      </c>
      <c r="AL652" s="15" t="str">
        <f t="shared" si="22"/>
        <v>Electropolished SS 316L tube stock for Vasai - Sakshi Forge</v>
      </c>
      <c r="AM652" s="15" t="str">
        <f t="shared" si="23"/>
        <v>Home &gt; Market Area &gt; India &gt; Maharashtra &gt; Vasai</v>
      </c>
      <c r="AN652" s="15">
        <f t="shared" si="24"/>
        <v>1000</v>
      </c>
      <c r="AO652" s="15">
        <f t="shared" si="25"/>
        <v>8</v>
      </c>
      <c r="AP652" s="15">
        <f t="shared" si="26"/>
        <v>8</v>
      </c>
      <c r="AQ652" s="15">
        <f t="shared" si="27"/>
        <v>11</v>
      </c>
      <c r="AR652" s="31"/>
      <c r="AS652" s="31"/>
      <c r="AT652" s="35" t="s">
        <v>222</v>
      </c>
      <c r="AU652" s="35"/>
    </row>
    <row r="653" ht="15.75" customHeight="1">
      <c r="A653" s="15" t="s">
        <v>4620</v>
      </c>
      <c r="B653" s="15" t="s">
        <v>60</v>
      </c>
      <c r="C653" s="15" t="s">
        <v>2391</v>
      </c>
      <c r="D653" s="15" t="s">
        <v>4621</v>
      </c>
      <c r="E653" s="15" t="s">
        <v>4621</v>
      </c>
      <c r="F653" s="65" t="s">
        <v>788</v>
      </c>
      <c r="G653" s="66" t="s">
        <v>98</v>
      </c>
      <c r="H653" s="18" t="s">
        <v>4623</v>
      </c>
      <c r="I653" s="18" t="s">
        <v>8400</v>
      </c>
      <c r="J653" s="18" t="s">
        <v>98</v>
      </c>
      <c r="K653" s="18" t="s">
        <v>98</v>
      </c>
      <c r="L653" s="18" t="s">
        <v>98</v>
      </c>
      <c r="M653" s="18" t="s">
        <v>98</v>
      </c>
      <c r="N653" s="18" t="s">
        <v>98</v>
      </c>
      <c r="O653" s="18" t="s">
        <v>98</v>
      </c>
      <c r="P653" s="15" t="str">
        <f t="shared" si="1"/>
        <v>VERIFY</v>
      </c>
      <c r="Q653" s="15">
        <f t="shared" si="2"/>
        <v>2</v>
      </c>
      <c r="R653" s="15">
        <f t="shared" si="3"/>
        <v>6</v>
      </c>
      <c r="S653" s="15">
        <f t="shared" si="4"/>
        <v>5</v>
      </c>
      <c r="T653" s="15" t="str">
        <f t="shared" si="5"/>
        <v>B-2</v>
      </c>
      <c r="U653" s="15" t="str">
        <f t="shared" si="6"/>
        <v>T2-M6-H5-FB-2-VERIFY</v>
      </c>
      <c r="V653" s="15">
        <f t="shared" si="7"/>
        <v>0</v>
      </c>
      <c r="W653" s="31"/>
      <c r="X653" s="15" t="str">
        <f t="shared" si="8"/>
        <v>vasco-da-gama</v>
      </c>
      <c r="Y653" s="32" t="str">
        <f t="shared" si="9"/>
        <v>https://steelmanufacturer.in/market-area/electropolished-pipes-manufacturer-in-vasco-da-gama/</v>
      </c>
      <c r="Z653" s="15" t="str">
        <f t="shared" si="10"/>
        <v>Electropolished Pipes Manufacturer in Vasco da Gama</v>
      </c>
      <c r="AA653" s="15" t="str">
        <f t="shared" si="11"/>
        <v>OK (51)</v>
      </c>
      <c r="AB653" s="15" t="str">
        <f t="shared" si="12"/>
        <v>EP tube and pipe for VERIFY plants around GIDC Industrial Area, Vasco da Gama. Made at our Mumbai works to ASTM A270 and ASME BPE SF1-SF4, with 3.1 MTC.</v>
      </c>
      <c r="AC653" s="15" t="str">
        <f t="shared" si="13"/>
        <v>PENDING RESEARCH</v>
      </c>
      <c r="AD653" s="15" t="str">
        <f t="shared" si="14"/>
        <v>Electropolished Pipes Manufacturer in Vasco da Gama</v>
      </c>
      <c r="AE653" s="15" t="str">
        <f t="shared" si="15"/>
        <v>Electropolished Tube Manufacturing Capability Serving Vasco da Gama</v>
      </c>
      <c r="AF653" s="15" t="str">
        <f t="shared" si="16"/>
        <v>Electropolished Pipes Supplier in Vasco da Gama - From Order to Delivery</v>
      </c>
      <c r="AG653" s="15" t="str">
        <f t="shared" si="17"/>
        <v>Stockist &amp; Wholesale Supply of Electropolished Pipes in Vasco da Gama</v>
      </c>
      <c r="AH653" s="15" t="str">
        <f t="shared" si="18"/>
        <v>electropolished pipes manufacturer in Vasco da Gama, electropolished pipes supplier in Vasco da Gama, electropolished pipes wholesaler in Vasco da Gama, electropolished tube manufacturer Vasco da Gama, EP pipe supplier Vasco da Gama, sanitary tube supplier Vasco da Gama, ASME BPE tubing Vasco da Gama, ASTM A270 tube Vasco da Gama, SS 316L electropolished pipe Vasco da Gama</v>
      </c>
      <c r="AI653" s="15" t="str">
        <f t="shared" si="19"/>
        <v>Electropolished Pipes Manufacturer &amp; Supplier in Vasco da Gama</v>
      </c>
      <c r="AJ653" s="15" t="str">
        <f t="shared" si="20"/>
        <v>EP-finished SS 304/316L pipes and tubes for VERIFY plants in Vasco da Gama. ASME BPE SF1-SF4, Ra from 0.25 um, EN 10204 3.1 certificate with every lot.</v>
      </c>
      <c r="AK653" s="15" t="str">
        <f t="shared" si="21"/>
        <v>Electropolished stainless steel pipes supplied by Sakshi Forge to VERIFY plants at GIDC Industrial Area, Vasco da Gama</v>
      </c>
      <c r="AL653" s="15" t="str">
        <f t="shared" si="22"/>
        <v>Electropolished SS 316L tube stock for Vasco da Gama - Sakshi Forge</v>
      </c>
      <c r="AM653" s="15" t="str">
        <f t="shared" si="23"/>
        <v>Home &gt; Market Area &gt; India &gt; Goa &gt; Vasco da Gama</v>
      </c>
      <c r="AN653" s="15">
        <f t="shared" si="24"/>
        <v>1000</v>
      </c>
      <c r="AO653" s="15">
        <f t="shared" si="25"/>
        <v>8</v>
      </c>
      <c r="AP653" s="15">
        <f t="shared" si="26"/>
        <v>8</v>
      </c>
      <c r="AQ653" s="15">
        <f t="shared" si="27"/>
        <v>11</v>
      </c>
      <c r="AR653" s="31"/>
      <c r="AS653" s="31"/>
      <c r="AT653" s="35" t="s">
        <v>222</v>
      </c>
      <c r="AU653" s="35"/>
    </row>
    <row r="654" ht="15.75" customHeight="1">
      <c r="A654" s="15" t="s">
        <v>4624</v>
      </c>
      <c r="B654" s="15" t="s">
        <v>60</v>
      </c>
      <c r="C654" s="15" t="s">
        <v>958</v>
      </c>
      <c r="D654" s="15" t="s">
        <v>4625</v>
      </c>
      <c r="E654" s="15" t="s">
        <v>4625</v>
      </c>
      <c r="F654" s="65" t="s">
        <v>788</v>
      </c>
      <c r="G654" s="66" t="s">
        <v>98</v>
      </c>
      <c r="H654" s="18" t="s">
        <v>4629</v>
      </c>
      <c r="I654" s="18" t="s">
        <v>8403</v>
      </c>
      <c r="J654" s="18" t="s">
        <v>98</v>
      </c>
      <c r="K654" s="18" t="s">
        <v>98</v>
      </c>
      <c r="L654" s="18" t="s">
        <v>98</v>
      </c>
      <c r="M654" s="18" t="s">
        <v>98</v>
      </c>
      <c r="N654" s="18" t="s">
        <v>98</v>
      </c>
      <c r="O654" s="18" t="s">
        <v>98</v>
      </c>
      <c r="P654" s="15" t="str">
        <f t="shared" si="1"/>
        <v>VERIFY</v>
      </c>
      <c r="Q654" s="15">
        <f t="shared" si="2"/>
        <v>3</v>
      </c>
      <c r="R654" s="15">
        <f t="shared" si="3"/>
        <v>7</v>
      </c>
      <c r="S654" s="15">
        <f t="shared" si="4"/>
        <v>1</v>
      </c>
      <c r="T654" s="15" t="str">
        <f t="shared" si="5"/>
        <v>B-3</v>
      </c>
      <c r="U654" s="15" t="str">
        <f t="shared" si="6"/>
        <v>T3-M7-H1-FB-3-VERIFY</v>
      </c>
      <c r="V654" s="15">
        <f t="shared" si="7"/>
        <v>0</v>
      </c>
      <c r="W654" s="31"/>
      <c r="X654" s="15" t="str">
        <f t="shared" si="8"/>
        <v>vellore</v>
      </c>
      <c r="Y654" s="32" t="str">
        <f t="shared" si="9"/>
        <v>https://steelmanufacturer.in/market-area/electropolished-pipes-manufacturer-in-vellore/</v>
      </c>
      <c r="Z654" s="15" t="str">
        <f t="shared" si="10"/>
        <v>Electropolished Pipes Manufacturer in Vellore | EP Tube Supplier</v>
      </c>
      <c r="AA654" s="15" t="str">
        <f t="shared" si="11"/>
        <v>OK (64)</v>
      </c>
      <c r="AB654" s="15" t="str">
        <f t="shared" si="12"/>
        <v>Electropolished pipes in Vellore: 304, 304L, 316 and 316L in SF1-SF4. VERIFY. Mill certified.</v>
      </c>
      <c r="AC654" s="15" t="str">
        <f t="shared" si="13"/>
        <v>PENDING RESEARCH</v>
      </c>
      <c r="AD654" s="15" t="str">
        <f t="shared" si="14"/>
        <v>Electropolished Pipes Manufacturer in Vellore</v>
      </c>
      <c r="AE654" s="15" t="str">
        <f t="shared" si="15"/>
        <v>Electropolished Pipe &amp; Tube Manufacturing for Vellore - Grades, Finishes &amp; Certification</v>
      </c>
      <c r="AF654" s="15" t="str">
        <f t="shared" si="16"/>
        <v>Electropolished Pipes Supplier in Vellore - Stock Sizes, Lead Time &amp; Delivery</v>
      </c>
      <c r="AG654" s="15" t="str">
        <f t="shared" si="17"/>
        <v>Electropolished Pipes Wholesaler &amp; Stockist in Vellore - Bulk &amp; Project Pricing</v>
      </c>
      <c r="AH654" s="15" t="str">
        <f t="shared" si="18"/>
        <v>electropolished pipes manufacturer in Vellore, electropolished pipes supplier in Vellore, electropolished pipes wholesaler in Vellore, electropolished tube manufacturer Vellore, EP pipe supplier Vellore, sanitary tube supplier Vellore, ASME BPE tubing Vellore, ASTM A270 tube Vellore, SS 316L electropolished pipe Vellore</v>
      </c>
      <c r="AI654" s="15" t="str">
        <f t="shared" si="19"/>
        <v>Electropolished Pipes Manufacturer &amp; Supplier in Vellore</v>
      </c>
      <c r="AJ654" s="15" t="str">
        <f t="shared" si="20"/>
        <v>EP-finished SS 304/316L pipes and tubes for VERIFY plants in Vellore. ASME BPE SF1-SF4, Ra from 0.25 um, EN 10204 3.1 certificate with every lot.</v>
      </c>
      <c r="AK654" s="15" t="str">
        <f t="shared" si="21"/>
        <v>Electropolished stainless steel pipes supplied by Sakshi Forge to VERIFY plants at SIPCOT Industrial Area, Vellore</v>
      </c>
      <c r="AL654" s="15" t="str">
        <f t="shared" si="22"/>
        <v>Electropolished SS 316L tube stock for Vellore - Sakshi Forge</v>
      </c>
      <c r="AM654" s="15" t="str">
        <f t="shared" si="23"/>
        <v>Home &gt; Market Area &gt; India &gt; Tamil Nadu &gt; Vellore</v>
      </c>
      <c r="AN654" s="15">
        <f t="shared" si="24"/>
        <v>1000</v>
      </c>
      <c r="AO654" s="15">
        <f t="shared" si="25"/>
        <v>8</v>
      </c>
      <c r="AP654" s="15">
        <f t="shared" si="26"/>
        <v>8</v>
      </c>
      <c r="AQ654" s="15">
        <f t="shared" si="27"/>
        <v>11</v>
      </c>
      <c r="AR654" s="31"/>
      <c r="AS654" s="31"/>
      <c r="AT654" s="35" t="s">
        <v>222</v>
      </c>
      <c r="AU654" s="35"/>
    </row>
    <row r="655" ht="15.75" customHeight="1">
      <c r="A655" s="15" t="s">
        <v>4632</v>
      </c>
      <c r="B655" s="15" t="s">
        <v>60</v>
      </c>
      <c r="C655" s="15" t="s">
        <v>224</v>
      </c>
      <c r="D655" s="15" t="s">
        <v>4634</v>
      </c>
      <c r="E655" s="15" t="s">
        <v>4634</v>
      </c>
      <c r="F655" s="65" t="s">
        <v>788</v>
      </c>
      <c r="G655" s="66" t="s">
        <v>98</v>
      </c>
      <c r="H655" s="18" t="s">
        <v>4636</v>
      </c>
      <c r="I655" s="18" t="s">
        <v>8400</v>
      </c>
      <c r="J655" s="18" t="s">
        <v>98</v>
      </c>
      <c r="K655" s="18" t="s">
        <v>98</v>
      </c>
      <c r="L655" s="18" t="s">
        <v>98</v>
      </c>
      <c r="M655" s="18" t="s">
        <v>98</v>
      </c>
      <c r="N655" s="18" t="s">
        <v>98</v>
      </c>
      <c r="O655" s="18" t="s">
        <v>98</v>
      </c>
      <c r="P655" s="15" t="str">
        <f t="shared" si="1"/>
        <v>VERIFY</v>
      </c>
      <c r="Q655" s="15">
        <f t="shared" si="2"/>
        <v>4</v>
      </c>
      <c r="R655" s="15">
        <f t="shared" si="3"/>
        <v>1</v>
      </c>
      <c r="S655" s="15">
        <f t="shared" si="4"/>
        <v>2</v>
      </c>
      <c r="T655" s="15" t="str">
        <f t="shared" si="5"/>
        <v>B-4</v>
      </c>
      <c r="U655" s="15" t="str">
        <f t="shared" si="6"/>
        <v>T4-M1-H2-FB-4-VERIFY</v>
      </c>
      <c r="V655" s="15">
        <f t="shared" si="7"/>
        <v>0</v>
      </c>
      <c r="W655" s="31"/>
      <c r="X655" s="15" t="str">
        <f t="shared" si="8"/>
        <v>veraval</v>
      </c>
      <c r="Y655" s="32" t="str">
        <f t="shared" si="9"/>
        <v>https://steelmanufacturer.in/market-area/electropolished-pipes-manufacturer-in-veraval/</v>
      </c>
      <c r="Z655" s="15" t="str">
        <f t="shared" si="10"/>
        <v>Electropolished Pipes Manufacturer in Veraval</v>
      </c>
      <c r="AA655" s="15" t="str">
        <f t="shared" si="11"/>
        <v>OK (45)</v>
      </c>
      <c r="AB655" s="15" t="str">
        <f t="shared" si="12"/>
        <v>EP-finished SS 304/316L pipes &amp; tubes for VERIFY plants in Veraval. ASTM A270, ASME BPE SF1-SF4, EN 10204 3.1 MTC. PMI tested.</v>
      </c>
      <c r="AC655" s="15" t="str">
        <f t="shared" si="13"/>
        <v>PENDING RESEARCH</v>
      </c>
      <c r="AD655" s="15" t="str">
        <f t="shared" si="14"/>
        <v>Electropolished Pipes Manufacturer in Veraval</v>
      </c>
      <c r="AE655" s="15" t="str">
        <f t="shared" si="15"/>
        <v>How We Manufacture Electropolished Tube for Veraval Plants</v>
      </c>
      <c r="AF655" s="15" t="str">
        <f t="shared" si="16"/>
        <v>Supplying Electropolished Pipes in Veraval: Availability, Sizes &amp; Dispatch</v>
      </c>
      <c r="AG655" s="15" t="str">
        <f t="shared" si="17"/>
        <v>Wholesale Electropolished Pipe Supply for Veraval Projects</v>
      </c>
      <c r="AH655" s="15" t="str">
        <f t="shared" si="18"/>
        <v>electropolished pipes manufacturer in Veraval, electropolished pipes supplier in Veraval, electropolished pipes wholesaler in Veraval, electropolished tube manufacturer Veraval, EP pipe supplier Veraval, sanitary tube supplier Veraval, ASME BPE tubing Veraval, ASTM A270 tube Veraval, SS 316L electropolished pipe Veraval</v>
      </c>
      <c r="AI655" s="15" t="str">
        <f t="shared" si="19"/>
        <v>Electropolished Pipes Manufacturer &amp; Supplier in Veraval</v>
      </c>
      <c r="AJ655" s="15" t="str">
        <f t="shared" si="20"/>
        <v>EP-finished SS 304/316L pipes and tubes for VERIFY plants in Veraval. ASME BPE SF1-SF4, Ra from 0.25 um, EN 10204 3.1 certificate with every lot.</v>
      </c>
      <c r="AK655" s="15" t="str">
        <f t="shared" si="21"/>
        <v>Electropolished stainless steel pipes supplied by Sakshi Forge to VERIFY plants at GIDC Industrial Area, Veraval</v>
      </c>
      <c r="AL655" s="15" t="str">
        <f t="shared" si="22"/>
        <v>Electropolished SS 316L tube stock for Veraval - Sakshi Forge</v>
      </c>
      <c r="AM655" s="15" t="str">
        <f t="shared" si="23"/>
        <v>Home &gt; Market Area &gt; India &gt; Gujarat &gt; Veraval</v>
      </c>
      <c r="AN655" s="15">
        <f t="shared" si="24"/>
        <v>1000</v>
      </c>
      <c r="AO655" s="15">
        <f t="shared" si="25"/>
        <v>8</v>
      </c>
      <c r="AP655" s="15">
        <f t="shared" si="26"/>
        <v>8</v>
      </c>
      <c r="AQ655" s="15">
        <f t="shared" si="27"/>
        <v>11</v>
      </c>
      <c r="AR655" s="31"/>
      <c r="AS655" s="31"/>
      <c r="AT655" s="35" t="s">
        <v>222</v>
      </c>
      <c r="AU655" s="35"/>
    </row>
    <row r="656" ht="15.75" customHeight="1">
      <c r="A656" s="15" t="s">
        <v>4637</v>
      </c>
      <c r="B656" s="15" t="s">
        <v>60</v>
      </c>
      <c r="C656" s="15" t="s">
        <v>842</v>
      </c>
      <c r="D656" s="15" t="s">
        <v>4638</v>
      </c>
      <c r="E656" s="15" t="s">
        <v>4638</v>
      </c>
      <c r="F656" s="65" t="s">
        <v>788</v>
      </c>
      <c r="G656" s="66" t="s">
        <v>98</v>
      </c>
      <c r="H656" s="18" t="s">
        <v>4640</v>
      </c>
      <c r="I656" s="18" t="s">
        <v>8413</v>
      </c>
      <c r="J656" s="18" t="s">
        <v>98</v>
      </c>
      <c r="K656" s="18" t="s">
        <v>98</v>
      </c>
      <c r="L656" s="18" t="s">
        <v>98</v>
      </c>
      <c r="M656" s="18" t="s">
        <v>98</v>
      </c>
      <c r="N656" s="18" t="s">
        <v>98</v>
      </c>
      <c r="O656" s="18" t="s">
        <v>98</v>
      </c>
      <c r="P656" s="15" t="str">
        <f t="shared" si="1"/>
        <v>VERIFY</v>
      </c>
      <c r="Q656" s="15">
        <f t="shared" si="2"/>
        <v>5</v>
      </c>
      <c r="R656" s="15">
        <f t="shared" si="3"/>
        <v>2</v>
      </c>
      <c r="S656" s="15">
        <f t="shared" si="4"/>
        <v>3</v>
      </c>
      <c r="T656" s="15" t="str">
        <f t="shared" si="5"/>
        <v>B-5</v>
      </c>
      <c r="U656" s="15" t="str">
        <f t="shared" si="6"/>
        <v>T5-M2-H3-FB-5-VERIFY</v>
      </c>
      <c r="V656" s="15">
        <f t="shared" si="7"/>
        <v>0</v>
      </c>
      <c r="W656" s="31"/>
      <c r="X656" s="15" t="str">
        <f t="shared" si="8"/>
        <v>vidisha</v>
      </c>
      <c r="Y656" s="32" t="str">
        <f t="shared" si="9"/>
        <v>https://steelmanufacturer.in/market-area/electropolished-pipes-manufacturer-in-vidisha/</v>
      </c>
      <c r="Z656" s="15" t="str">
        <f t="shared" si="10"/>
        <v>Electropolished Pipes Manufacturer in Vidisha</v>
      </c>
      <c r="AA656" s="15" t="str">
        <f t="shared" si="11"/>
        <v>OK (45)</v>
      </c>
      <c r="AB656" s="15" t="str">
        <f t="shared" si="12"/>
        <v>Electropolished tube supply to MPIDC Industrial Area, Vidisha. Ra from 0.25 um, SF4 finish, mill test certificate with every lot.</v>
      </c>
      <c r="AC656" s="15" t="str">
        <f t="shared" si="13"/>
        <v>PENDING RESEARCH</v>
      </c>
      <c r="AD656" s="15" t="str">
        <f t="shared" si="14"/>
        <v>Electropolished Pipes Manufacturer in Vidisha</v>
      </c>
      <c r="AE656" s="15" t="str">
        <f t="shared" si="15"/>
        <v>Electropolished Pipes Manufacturer in Vidisha - Our Process &amp; Capability</v>
      </c>
      <c r="AF656" s="15" t="str">
        <f t="shared" si="16"/>
        <v>Electropolished Pipes Supplier in Vidisha - What We Hold in Stock</v>
      </c>
      <c r="AG656" s="15" t="str">
        <f t="shared" si="17"/>
        <v>Bulk &amp; Wholesale Electropolished Pipe Rates for Vidisha Buyers</v>
      </c>
      <c r="AH656" s="15" t="str">
        <f t="shared" si="18"/>
        <v>electropolished pipes manufacturer in Vidisha, electropolished pipes supplier in Vidisha, electropolished pipes wholesaler in Vidisha, electropolished tube manufacturer Vidisha, EP pipe supplier Vidisha, sanitary tube supplier Vidisha, ASME BPE tubing Vidisha, ASTM A270 tube Vidisha, SS 316L electropolished pipe Vidisha</v>
      </c>
      <c r="AI656" s="15" t="str">
        <f t="shared" si="19"/>
        <v>Electropolished Pipes Manufacturer &amp; Supplier in Vidisha</v>
      </c>
      <c r="AJ656" s="15" t="str">
        <f t="shared" si="20"/>
        <v>EP-finished SS 304/316L pipes and tubes for VERIFY plants in Vidisha. ASME BPE SF1-SF4, Ra from 0.25 um, EN 10204 3.1 certificate with every lot.</v>
      </c>
      <c r="AK656" s="15" t="str">
        <f t="shared" si="21"/>
        <v>Electropolished stainless steel pipes supplied by Sakshi Forge to VERIFY plants at MPIDC Industrial Area, Vidisha</v>
      </c>
      <c r="AL656" s="15" t="str">
        <f t="shared" si="22"/>
        <v>Electropolished SS 316L tube stock for Vidisha - Sakshi Forge</v>
      </c>
      <c r="AM656" s="15" t="str">
        <f t="shared" si="23"/>
        <v>Home &gt; Market Area &gt; India &gt; Madhya Pradesh &gt; Vidisha</v>
      </c>
      <c r="AN656" s="15">
        <f t="shared" si="24"/>
        <v>1000</v>
      </c>
      <c r="AO656" s="15">
        <f t="shared" si="25"/>
        <v>8</v>
      </c>
      <c r="AP656" s="15">
        <f t="shared" si="26"/>
        <v>8</v>
      </c>
      <c r="AQ656" s="15">
        <f t="shared" si="27"/>
        <v>11</v>
      </c>
      <c r="AR656" s="31"/>
      <c r="AS656" s="31"/>
      <c r="AT656" s="35" t="s">
        <v>222</v>
      </c>
      <c r="AU656" s="35"/>
    </row>
    <row r="657" ht="15.75" customHeight="1">
      <c r="A657" s="15" t="s">
        <v>4641</v>
      </c>
      <c r="B657" s="15" t="s">
        <v>60</v>
      </c>
      <c r="C657" s="15" t="s">
        <v>570</v>
      </c>
      <c r="D657" s="15" t="s">
        <v>4642</v>
      </c>
      <c r="E657" s="15" t="s">
        <v>4642</v>
      </c>
      <c r="F657" s="65" t="s">
        <v>788</v>
      </c>
      <c r="G657" s="66" t="s">
        <v>98</v>
      </c>
      <c r="H657" s="18" t="s">
        <v>4644</v>
      </c>
      <c r="I657" s="18" t="s">
        <v>8405</v>
      </c>
      <c r="J657" s="18" t="s">
        <v>98</v>
      </c>
      <c r="K657" s="18" t="s">
        <v>98</v>
      </c>
      <c r="L657" s="18" t="s">
        <v>98</v>
      </c>
      <c r="M657" s="18" t="s">
        <v>98</v>
      </c>
      <c r="N657" s="18" t="s">
        <v>98</v>
      </c>
      <c r="O657" s="18" t="s">
        <v>98</v>
      </c>
      <c r="P657" s="15" t="str">
        <f t="shared" si="1"/>
        <v>VERIFY</v>
      </c>
      <c r="Q657" s="15">
        <f t="shared" si="2"/>
        <v>6</v>
      </c>
      <c r="R657" s="15">
        <f t="shared" si="3"/>
        <v>3</v>
      </c>
      <c r="S657" s="15">
        <f t="shared" si="4"/>
        <v>4</v>
      </c>
      <c r="T657" s="15" t="str">
        <f t="shared" si="5"/>
        <v>B-6</v>
      </c>
      <c r="U657" s="15" t="str">
        <f t="shared" si="6"/>
        <v>T6-M3-H4-FB-6-VERIFY</v>
      </c>
      <c r="V657" s="15">
        <f t="shared" si="7"/>
        <v>0</v>
      </c>
      <c r="W657" s="31"/>
      <c r="X657" s="15" t="str">
        <f t="shared" si="8"/>
        <v>vijayapura</v>
      </c>
      <c r="Y657" s="32" t="str">
        <f t="shared" si="9"/>
        <v>https://steelmanufacturer.in/market-area/electropolished-pipes-manufacturer-in-vijayapura/</v>
      </c>
      <c r="Z657" s="15" t="str">
        <f t="shared" si="10"/>
        <v>Electropolished Pipes Manufacturer in Vijayapura</v>
      </c>
      <c r="AA657" s="15" t="str">
        <f t="shared" si="11"/>
        <v>OK (48)</v>
      </c>
      <c r="AB657" s="15" t="str">
        <f t="shared" si="12"/>
        <v>EP stainless tube for VERIFY lines in Vijayapura. VERIFY. ASTM A270 S2, PMI tested, EN 10204 3.1.</v>
      </c>
      <c r="AC657" s="15" t="str">
        <f t="shared" si="13"/>
        <v>PENDING RESEARCH</v>
      </c>
      <c r="AD657" s="15" t="str">
        <f t="shared" si="14"/>
        <v>Electropolished Pipes Manufacturer in Vijayapura</v>
      </c>
      <c r="AE657" s="15" t="str">
        <f t="shared" si="15"/>
        <v>Manufacturing Electropolished SS Tube for Vijayapura: The Standards We Build To</v>
      </c>
      <c r="AF657" s="15" t="str">
        <f t="shared" si="16"/>
        <v>Electropolished Pipe Supply Into Vijayapura - Certification &amp; Transit</v>
      </c>
      <c r="AG657" s="15" t="str">
        <f t="shared" si="17"/>
        <v>Electropolished Pipes Wholesaler in Vijayapura - Project Quantities &amp; Terms</v>
      </c>
      <c r="AH657" s="15" t="str">
        <f t="shared" si="18"/>
        <v>electropolished pipes manufacturer in Vijayapura, electropolished pipes supplier in Vijayapura, electropolished pipes wholesaler in Vijayapura, electropolished tube manufacturer Vijayapura, EP pipe supplier Vijayapura, sanitary tube supplier Vijayapura, ASME BPE tubing Vijayapura, ASTM A270 tube Vijayapura, SS 316L electropolished pipe Vijayapura</v>
      </c>
      <c r="AI657" s="15" t="str">
        <f t="shared" si="19"/>
        <v>Electropolished Pipes Manufacturer &amp; Supplier in Vijayapura</v>
      </c>
      <c r="AJ657" s="15" t="str">
        <f t="shared" si="20"/>
        <v>EP-finished SS 304/316L pipes and tubes for VERIFY plants in Vijayapura. ASME BPE SF1-SF4, Ra from 0.25 um, EN 10204 3.1 certificate with every lot.</v>
      </c>
      <c r="AK657" s="15" t="str">
        <f t="shared" si="21"/>
        <v>Electropolished stainless steel pipes supplied by Sakshi Forge to VERIFY plants at KIADB Industrial Area, Vijayapura</v>
      </c>
      <c r="AL657" s="15" t="str">
        <f t="shared" si="22"/>
        <v>Electropolished SS 316L tube stock for Vijayapura - Sakshi Forge</v>
      </c>
      <c r="AM657" s="15" t="str">
        <f t="shared" si="23"/>
        <v>Home &gt; Market Area &gt; India &gt; Karnataka &gt; Vijayapura</v>
      </c>
      <c r="AN657" s="15">
        <f t="shared" si="24"/>
        <v>1000</v>
      </c>
      <c r="AO657" s="15">
        <f t="shared" si="25"/>
        <v>8</v>
      </c>
      <c r="AP657" s="15">
        <f t="shared" si="26"/>
        <v>8</v>
      </c>
      <c r="AQ657" s="15">
        <f t="shared" si="27"/>
        <v>11</v>
      </c>
      <c r="AR657" s="31"/>
      <c r="AS657" s="31"/>
      <c r="AT657" s="35" t="s">
        <v>222</v>
      </c>
      <c r="AU657" s="35"/>
    </row>
    <row r="658" ht="15.75" customHeight="1">
      <c r="A658" s="15" t="s">
        <v>4645</v>
      </c>
      <c r="B658" s="15" t="s">
        <v>60</v>
      </c>
      <c r="C658" s="15" t="s">
        <v>958</v>
      </c>
      <c r="D658" s="15" t="s">
        <v>4646</v>
      </c>
      <c r="E658" s="15" t="s">
        <v>4646</v>
      </c>
      <c r="F658" s="65" t="s">
        <v>788</v>
      </c>
      <c r="G658" s="66" t="s">
        <v>98</v>
      </c>
      <c r="H658" s="18" t="s">
        <v>4648</v>
      </c>
      <c r="I658" s="18" t="s">
        <v>8403</v>
      </c>
      <c r="J658" s="18" t="s">
        <v>98</v>
      </c>
      <c r="K658" s="18" t="s">
        <v>98</v>
      </c>
      <c r="L658" s="18" t="s">
        <v>98</v>
      </c>
      <c r="M658" s="18" t="s">
        <v>98</v>
      </c>
      <c r="N658" s="18" t="s">
        <v>98</v>
      </c>
      <c r="O658" s="18" t="s">
        <v>98</v>
      </c>
      <c r="P658" s="15" t="str">
        <f t="shared" si="1"/>
        <v>VERIFY</v>
      </c>
      <c r="Q658" s="15">
        <f t="shared" si="2"/>
        <v>7</v>
      </c>
      <c r="R658" s="15">
        <f t="shared" si="3"/>
        <v>4</v>
      </c>
      <c r="S658" s="15">
        <f t="shared" si="4"/>
        <v>5</v>
      </c>
      <c r="T658" s="15" t="str">
        <f t="shared" si="5"/>
        <v>B-1</v>
      </c>
      <c r="U658" s="15" t="str">
        <f t="shared" si="6"/>
        <v>T7-M4-H5-FB-1-VERIFY</v>
      </c>
      <c r="V658" s="15">
        <f t="shared" si="7"/>
        <v>0</v>
      </c>
      <c r="W658" s="31"/>
      <c r="X658" s="15" t="str">
        <f t="shared" si="8"/>
        <v>villupuram</v>
      </c>
      <c r="Y658" s="32" t="str">
        <f t="shared" si="9"/>
        <v>https://steelmanufacturer.in/market-area/electropolished-pipes-manufacturer-in-villupuram/</v>
      </c>
      <c r="Z658" s="15" t="str">
        <f t="shared" si="10"/>
        <v>Electropolished Pipes Manufacturer in Villupuram</v>
      </c>
      <c r="AA658" s="15" t="str">
        <f t="shared" si="11"/>
        <v>OK (48)</v>
      </c>
      <c r="AB658" s="15" t="str">
        <f t="shared" si="12"/>
        <v>Sanitary electropolished pipes in Villupuram for VERIFY plants. ASME BPE SF1-SF4, orbital-weld ready, 3.1 MTC. Mumbai-made.</v>
      </c>
      <c r="AC658" s="15" t="str">
        <f t="shared" si="13"/>
        <v>PENDING RESEARCH</v>
      </c>
      <c r="AD658" s="15" t="str">
        <f t="shared" si="14"/>
        <v>Electropolished Pipes Manufacturer in Villupuram</v>
      </c>
      <c r="AE658" s="15" t="str">
        <f t="shared" si="15"/>
        <v>Electropolished Tube Manufacturing Capability Serving Villupuram</v>
      </c>
      <c r="AF658" s="15" t="str">
        <f t="shared" si="16"/>
        <v>Electropolished Pipes Supplier in Villupuram - From Order to Delivery</v>
      </c>
      <c r="AG658" s="15" t="str">
        <f t="shared" si="17"/>
        <v>Stockist &amp; Wholesale Supply of Electropolished Pipes in Villupuram</v>
      </c>
      <c r="AH658" s="15" t="str">
        <f t="shared" si="18"/>
        <v>electropolished pipes manufacturer in Villupuram, electropolished pipes supplier in Villupuram, electropolished pipes wholesaler in Villupuram, electropolished tube manufacturer Villupuram, EP pipe supplier Villupuram, sanitary tube supplier Villupuram, ASME BPE tubing Villupuram, ASTM A270 tube Villupuram, SS 316L electropolished pipe Villupuram</v>
      </c>
      <c r="AI658" s="15" t="str">
        <f t="shared" si="19"/>
        <v>Electropolished Pipes Manufacturer &amp; Supplier in Villupuram</v>
      </c>
      <c r="AJ658" s="15" t="str">
        <f t="shared" si="20"/>
        <v>EP-finished SS 304/316L pipes and tubes for VERIFY plants in Villupuram. ASME BPE SF1-SF4, Ra from 0.25 um, EN 10204 3.1 certificate with every lot.</v>
      </c>
      <c r="AK658" s="15" t="str">
        <f t="shared" si="21"/>
        <v>Electropolished stainless steel pipes supplied by Sakshi Forge to VERIFY plants at SIPCOT Industrial Area, Villupuram</v>
      </c>
      <c r="AL658" s="15" t="str">
        <f t="shared" si="22"/>
        <v>Electropolished SS 316L tube stock for Villupuram - Sakshi Forge</v>
      </c>
      <c r="AM658" s="15" t="str">
        <f t="shared" si="23"/>
        <v>Home &gt; Market Area &gt; India &gt; Tamil Nadu &gt; Villupuram</v>
      </c>
      <c r="AN658" s="15">
        <f t="shared" si="24"/>
        <v>1000</v>
      </c>
      <c r="AO658" s="15">
        <f t="shared" si="25"/>
        <v>8</v>
      </c>
      <c r="AP658" s="15">
        <f t="shared" si="26"/>
        <v>8</v>
      </c>
      <c r="AQ658" s="15">
        <f t="shared" si="27"/>
        <v>11</v>
      </c>
      <c r="AR658" s="31"/>
      <c r="AS658" s="31"/>
      <c r="AT658" s="35" t="s">
        <v>222</v>
      </c>
      <c r="AU658" s="35"/>
    </row>
    <row r="659" ht="15.75" customHeight="1">
      <c r="A659" s="15" t="s">
        <v>4649</v>
      </c>
      <c r="B659" s="15" t="s">
        <v>60</v>
      </c>
      <c r="C659" s="15" t="s">
        <v>264</v>
      </c>
      <c r="D659" s="15" t="s">
        <v>4650</v>
      </c>
      <c r="E659" s="15" t="s">
        <v>4650</v>
      </c>
      <c r="F659" s="65" t="s">
        <v>788</v>
      </c>
      <c r="G659" s="66" t="s">
        <v>98</v>
      </c>
      <c r="H659" s="18" t="s">
        <v>4652</v>
      </c>
      <c r="I659" s="18" t="s">
        <v>8395</v>
      </c>
      <c r="J659" s="18" t="s">
        <v>98</v>
      </c>
      <c r="K659" s="18" t="s">
        <v>98</v>
      </c>
      <c r="L659" s="18" t="s">
        <v>98</v>
      </c>
      <c r="M659" s="18" t="s">
        <v>98</v>
      </c>
      <c r="N659" s="18" t="s">
        <v>98</v>
      </c>
      <c r="O659" s="18" t="s">
        <v>98</v>
      </c>
      <c r="P659" s="15" t="str">
        <f t="shared" si="1"/>
        <v>VERIFY</v>
      </c>
      <c r="Q659" s="15">
        <f t="shared" si="2"/>
        <v>8</v>
      </c>
      <c r="R659" s="15">
        <f t="shared" si="3"/>
        <v>5</v>
      </c>
      <c r="S659" s="15">
        <f t="shared" si="4"/>
        <v>1</v>
      </c>
      <c r="T659" s="15" t="str">
        <f t="shared" si="5"/>
        <v>B-2</v>
      </c>
      <c r="U659" s="15" t="str">
        <f t="shared" si="6"/>
        <v>T8-M5-H1-FB-2-VERIFY</v>
      </c>
      <c r="V659" s="15">
        <f t="shared" si="7"/>
        <v>0</v>
      </c>
      <c r="W659" s="31"/>
      <c r="X659" s="15" t="str">
        <f t="shared" si="8"/>
        <v>virar</v>
      </c>
      <c r="Y659" s="32" t="str">
        <f t="shared" si="9"/>
        <v>https://steelmanufacturer.in/market-area/electropolished-pipes-manufacturer-in-virar/</v>
      </c>
      <c r="Z659" s="15" t="str">
        <f t="shared" si="10"/>
        <v>Electropolished Pipes Manufacturer in Virar - EP Tube Stockist</v>
      </c>
      <c r="AA659" s="15" t="str">
        <f t="shared" si="11"/>
        <v>OK (62)</v>
      </c>
      <c r="AB659" s="15" t="str">
        <f t="shared" si="12"/>
        <v>Manufacturer of electropolished SS 316L tube serving Virar. VERIFY. Ra 0.25-0.5 um, EN 10204 3.1 MTC.</v>
      </c>
      <c r="AC659" s="15" t="str">
        <f t="shared" si="13"/>
        <v>PENDING RESEARCH</v>
      </c>
      <c r="AD659" s="15" t="str">
        <f t="shared" si="14"/>
        <v>Electropolished Pipes Manufacturer in Virar</v>
      </c>
      <c r="AE659" s="15" t="str">
        <f t="shared" si="15"/>
        <v>Electropolished Pipe &amp; Tube Manufacturing for Virar - Grades, Finishes &amp; Certification</v>
      </c>
      <c r="AF659" s="15" t="str">
        <f t="shared" si="16"/>
        <v>Electropolished Pipes Supplier in Virar - Stock Sizes, Lead Time &amp; Delivery</v>
      </c>
      <c r="AG659" s="15" t="str">
        <f t="shared" si="17"/>
        <v>Electropolished Pipes Wholesaler &amp; Stockist in Virar - Bulk &amp; Project Pricing</v>
      </c>
      <c r="AH659" s="15" t="str">
        <f t="shared" si="18"/>
        <v>electropolished pipes manufacturer in Virar, electropolished pipes supplier in Virar, electropolished pipes wholesaler in Virar, electropolished tube manufacturer Virar, EP pipe supplier Virar, sanitary tube supplier Virar, ASME BPE tubing Virar, ASTM A270 tube Virar, SS 316L electropolished pipe Virar</v>
      </c>
      <c r="AI659" s="15" t="str">
        <f t="shared" si="19"/>
        <v>Electropolished Pipes Manufacturer &amp; Supplier in Virar</v>
      </c>
      <c r="AJ659" s="15" t="str">
        <f t="shared" si="20"/>
        <v>EP-finished SS 304/316L pipes and tubes for VERIFY plants in Virar. ASME BPE SF1-SF4, Ra from 0.25 um, EN 10204 3.1 certificate with every lot.</v>
      </c>
      <c r="AK659" s="15" t="str">
        <f t="shared" si="21"/>
        <v>Electropolished stainless steel pipes supplied by Sakshi Forge to VERIFY plants at MIDC Industrial Area, Virar</v>
      </c>
      <c r="AL659" s="15" t="str">
        <f t="shared" si="22"/>
        <v>Electropolished SS 316L tube stock for Virar - Sakshi Forge</v>
      </c>
      <c r="AM659" s="15" t="str">
        <f t="shared" si="23"/>
        <v>Home &gt; Market Area &gt; India &gt; Maharashtra &gt; Virar</v>
      </c>
      <c r="AN659" s="15">
        <f t="shared" si="24"/>
        <v>1000</v>
      </c>
      <c r="AO659" s="15">
        <f t="shared" si="25"/>
        <v>8</v>
      </c>
      <c r="AP659" s="15">
        <f t="shared" si="26"/>
        <v>8</v>
      </c>
      <c r="AQ659" s="15">
        <f t="shared" si="27"/>
        <v>11</v>
      </c>
      <c r="AR659" s="31"/>
      <c r="AS659" s="31"/>
      <c r="AT659" s="35" t="s">
        <v>222</v>
      </c>
      <c r="AU659" s="35"/>
    </row>
    <row r="660" ht="15.75" customHeight="1">
      <c r="A660" s="15" t="s">
        <v>4653</v>
      </c>
      <c r="B660" s="15" t="s">
        <v>60</v>
      </c>
      <c r="C660" s="15" t="s">
        <v>958</v>
      </c>
      <c r="D660" s="15" t="s">
        <v>4654</v>
      </c>
      <c r="E660" s="15" t="s">
        <v>4654</v>
      </c>
      <c r="F660" s="65" t="s">
        <v>788</v>
      </c>
      <c r="G660" s="66" t="s">
        <v>98</v>
      </c>
      <c r="H660" s="18" t="s">
        <v>4656</v>
      </c>
      <c r="I660" s="18" t="s">
        <v>8403</v>
      </c>
      <c r="J660" s="18" t="s">
        <v>98</v>
      </c>
      <c r="K660" s="18" t="s">
        <v>98</v>
      </c>
      <c r="L660" s="18" t="s">
        <v>98</v>
      </c>
      <c r="M660" s="18" t="s">
        <v>98</v>
      </c>
      <c r="N660" s="18" t="s">
        <v>98</v>
      </c>
      <c r="O660" s="18" t="s">
        <v>98</v>
      </c>
      <c r="P660" s="15" t="str">
        <f t="shared" si="1"/>
        <v>VERIFY</v>
      </c>
      <c r="Q660" s="15">
        <f t="shared" si="2"/>
        <v>1</v>
      </c>
      <c r="R660" s="15">
        <f t="shared" si="3"/>
        <v>6</v>
      </c>
      <c r="S660" s="15">
        <f t="shared" si="4"/>
        <v>2</v>
      </c>
      <c r="T660" s="15" t="str">
        <f t="shared" si="5"/>
        <v>B-3</v>
      </c>
      <c r="U660" s="15" t="str">
        <f t="shared" si="6"/>
        <v>T1-M6-H2-FB-3-VERIFY</v>
      </c>
      <c r="V660" s="15">
        <f t="shared" si="7"/>
        <v>0</v>
      </c>
      <c r="W660" s="31"/>
      <c r="X660" s="15" t="str">
        <f t="shared" si="8"/>
        <v>virudhunagar</v>
      </c>
      <c r="Y660" s="32" t="str">
        <f t="shared" si="9"/>
        <v>https://steelmanufacturer.in/market-area/electropolished-pipes-manufacturer-in-virudhunagar/</v>
      </c>
      <c r="Z660" s="15" t="str">
        <f t="shared" si="10"/>
        <v>Electropolished Pipes Manufacturer in Virudhunagar | Sakshi Forge</v>
      </c>
      <c r="AA660" s="15" t="str">
        <f t="shared" si="11"/>
        <v>OK (65)</v>
      </c>
      <c r="AB660" s="15" t="str">
        <f t="shared" si="12"/>
        <v>EP tube and pipe for VERIFY plants around SIPCOT Industrial Area, Virudhunagar. Made at our Mumbai works to ASTM A270 and ASME BPE SF1-SF4, with 3.1 MTC.</v>
      </c>
      <c r="AC660" s="15" t="str">
        <f t="shared" si="13"/>
        <v>PENDING RESEARCH</v>
      </c>
      <c r="AD660" s="15" t="str">
        <f t="shared" si="14"/>
        <v>Electropolished Pipes Manufacturer in Virudhunagar</v>
      </c>
      <c r="AE660" s="15" t="str">
        <f t="shared" si="15"/>
        <v>How We Manufacture Electropolished Tube for Virudhunagar Plants</v>
      </c>
      <c r="AF660" s="15" t="str">
        <f t="shared" si="16"/>
        <v>Supplying Electropolished Pipes in Virudhunagar: Availability, Sizes &amp; Dispatch</v>
      </c>
      <c r="AG660" s="15" t="str">
        <f t="shared" si="17"/>
        <v>Wholesale Electropolished Pipe Supply for Virudhunagar Projects</v>
      </c>
      <c r="AH660" s="15" t="str">
        <f t="shared" si="18"/>
        <v>electropolished pipes manufacturer in Virudhunagar, electropolished pipes supplier in Virudhunagar, electropolished pipes wholesaler in Virudhunagar, electropolished tube manufacturer Virudhunagar, EP pipe supplier Virudhunagar, sanitary tube supplier Virudhunagar, ASME BPE tubing Virudhunagar, ASTM A270 tube Virudhunagar, SS 316L electropolished pipe Virudhunagar</v>
      </c>
      <c r="AI660" s="15" t="str">
        <f t="shared" si="19"/>
        <v>Electropolished Pipes Manufacturer &amp; Supplier in Virudhunagar</v>
      </c>
      <c r="AJ660" s="15" t="str">
        <f t="shared" si="20"/>
        <v>EP-finished SS 304/316L pipes and tubes for VERIFY plants in Virudhunagar. ASME BPE SF1-SF4, Ra from 0.25 um, EN 10204 3.1 certificate with every lot.</v>
      </c>
      <c r="AK660" s="15" t="str">
        <f t="shared" si="21"/>
        <v>Electropolished stainless steel pipes supplied by Sakshi Forge to VERIFY plants at SIPCOT Industrial Area, Virudhunagar</v>
      </c>
      <c r="AL660" s="15" t="str">
        <f t="shared" si="22"/>
        <v>Electropolished SS 316L tube stock for Virudhunagar - Sakshi Forge</v>
      </c>
      <c r="AM660" s="15" t="str">
        <f t="shared" si="23"/>
        <v>Home &gt; Market Area &gt; India &gt; Tamil Nadu &gt; Virudhunagar</v>
      </c>
      <c r="AN660" s="15">
        <f t="shared" si="24"/>
        <v>1000</v>
      </c>
      <c r="AO660" s="15">
        <f t="shared" si="25"/>
        <v>8</v>
      </c>
      <c r="AP660" s="15">
        <f t="shared" si="26"/>
        <v>8</v>
      </c>
      <c r="AQ660" s="15">
        <f t="shared" si="27"/>
        <v>11</v>
      </c>
      <c r="AR660" s="31"/>
      <c r="AS660" s="31"/>
      <c r="AT660" s="35" t="s">
        <v>222</v>
      </c>
      <c r="AU660" s="35"/>
    </row>
    <row r="661" ht="15.75" customHeight="1">
      <c r="A661" s="15" t="s">
        <v>4657</v>
      </c>
      <c r="B661" s="15" t="s">
        <v>60</v>
      </c>
      <c r="C661" s="15" t="s">
        <v>413</v>
      </c>
      <c r="D661" s="15" t="s">
        <v>4658</v>
      </c>
      <c r="E661" s="15" t="s">
        <v>4658</v>
      </c>
      <c r="F661" s="65" t="s">
        <v>788</v>
      </c>
      <c r="G661" s="66" t="s">
        <v>98</v>
      </c>
      <c r="H661" s="18" t="s">
        <v>4660</v>
      </c>
      <c r="I661" s="18" t="s">
        <v>8393</v>
      </c>
      <c r="J661" s="18" t="s">
        <v>98</v>
      </c>
      <c r="K661" s="18" t="s">
        <v>98</v>
      </c>
      <c r="L661" s="18" t="s">
        <v>98</v>
      </c>
      <c r="M661" s="18" t="s">
        <v>98</v>
      </c>
      <c r="N661" s="18" t="s">
        <v>98</v>
      </c>
      <c r="O661" s="18" t="s">
        <v>98</v>
      </c>
      <c r="P661" s="15" t="str">
        <f t="shared" si="1"/>
        <v>VERIFY</v>
      </c>
      <c r="Q661" s="15">
        <f t="shared" si="2"/>
        <v>2</v>
      </c>
      <c r="R661" s="15">
        <f t="shared" si="3"/>
        <v>7</v>
      </c>
      <c r="S661" s="15">
        <f t="shared" si="4"/>
        <v>3</v>
      </c>
      <c r="T661" s="15" t="str">
        <f t="shared" si="5"/>
        <v>B-4</v>
      </c>
      <c r="U661" s="15" t="str">
        <f t="shared" si="6"/>
        <v>T2-M7-H3-FB-4-VERIFY</v>
      </c>
      <c r="V661" s="15">
        <f t="shared" si="7"/>
        <v>0</v>
      </c>
      <c r="W661" s="31"/>
      <c r="X661" s="15" t="str">
        <f t="shared" si="8"/>
        <v>vizianagaram</v>
      </c>
      <c r="Y661" s="32" t="str">
        <f t="shared" si="9"/>
        <v>https://steelmanufacturer.in/market-area/electropolished-pipes-manufacturer-in-vizianagaram/</v>
      </c>
      <c r="Z661" s="15" t="str">
        <f t="shared" si="10"/>
        <v>Electropolished Pipes Manufacturer in Vizianagaram</v>
      </c>
      <c r="AA661" s="15" t="str">
        <f t="shared" si="11"/>
        <v>OK (50)</v>
      </c>
      <c r="AB661" s="15" t="str">
        <f t="shared" si="12"/>
        <v>Electropolished pipes in Vizianagaram: 304, 304L, 316 and 316L in SF1-SF4. VERIFY. Mill certified.</v>
      </c>
      <c r="AC661" s="15" t="str">
        <f t="shared" si="13"/>
        <v>PENDING RESEARCH</v>
      </c>
      <c r="AD661" s="15" t="str">
        <f t="shared" si="14"/>
        <v>Electropolished Pipes Manufacturer in Vizianagaram</v>
      </c>
      <c r="AE661" s="15" t="str">
        <f t="shared" si="15"/>
        <v>Electropolished Pipes Manufacturer in Vizianagaram - Our Process &amp; Capability</v>
      </c>
      <c r="AF661" s="15" t="str">
        <f t="shared" si="16"/>
        <v>Electropolished Pipes Supplier in Vizianagaram - What We Hold in Stock</v>
      </c>
      <c r="AG661" s="15" t="str">
        <f t="shared" si="17"/>
        <v>Bulk &amp; Wholesale Electropolished Pipe Rates for Vizianagaram Buyers</v>
      </c>
      <c r="AH661" s="15" t="str">
        <f t="shared" si="18"/>
        <v>electropolished pipes manufacturer in Vizianagaram, electropolished pipes supplier in Vizianagaram, electropolished pipes wholesaler in Vizianagaram, electropolished tube manufacturer Vizianagaram, EP pipe supplier Vizianagaram, sanitary tube supplier Vizianagaram, ASME BPE tubing Vizianagaram, ASTM A270 tube Vizianagaram, SS 316L electropolished pipe Vizianagaram</v>
      </c>
      <c r="AI661" s="15" t="str">
        <f t="shared" si="19"/>
        <v>Electropolished Pipes Manufacturer &amp; Supplier in Vizianagaram</v>
      </c>
      <c r="AJ661" s="15" t="str">
        <f t="shared" si="20"/>
        <v>EP-finished SS 304/316L pipes and tubes for VERIFY plants in Vizianagaram. ASME BPE SF1-SF4, Ra from 0.25 um, EN 10204 3.1 certificate with every lot.</v>
      </c>
      <c r="AK661" s="15" t="str">
        <f t="shared" si="21"/>
        <v>Electropolished stainless steel pipes supplied by Sakshi Forge to VERIFY plants at APIIC Industrial Area, Vizianagaram</v>
      </c>
      <c r="AL661" s="15" t="str">
        <f t="shared" si="22"/>
        <v>Electropolished SS 316L tube stock for Vizianagaram - Sakshi Forge</v>
      </c>
      <c r="AM661" s="15" t="str">
        <f t="shared" si="23"/>
        <v>Home &gt; Market Area &gt; India &gt; Andhra Pradesh &gt; Vizianagaram</v>
      </c>
      <c r="AN661" s="15">
        <f t="shared" si="24"/>
        <v>1000</v>
      </c>
      <c r="AO661" s="15">
        <f t="shared" si="25"/>
        <v>8</v>
      </c>
      <c r="AP661" s="15">
        <f t="shared" si="26"/>
        <v>8</v>
      </c>
      <c r="AQ661" s="15">
        <f t="shared" si="27"/>
        <v>11</v>
      </c>
      <c r="AR661" s="31"/>
      <c r="AS661" s="31"/>
      <c r="AT661" s="35" t="s">
        <v>222</v>
      </c>
      <c r="AU661" s="35"/>
    </row>
    <row r="662" ht="15.75" customHeight="1">
      <c r="A662" s="15" t="s">
        <v>4661</v>
      </c>
      <c r="B662" s="15" t="s">
        <v>60</v>
      </c>
      <c r="C662" s="15" t="s">
        <v>264</v>
      </c>
      <c r="D662" s="15" t="s">
        <v>4662</v>
      </c>
      <c r="E662" s="15" t="s">
        <v>4662</v>
      </c>
      <c r="F662" s="65" t="s">
        <v>788</v>
      </c>
      <c r="G662" s="66" t="s">
        <v>98</v>
      </c>
      <c r="H662" s="18" t="s">
        <v>4664</v>
      </c>
      <c r="I662" s="18" t="s">
        <v>8395</v>
      </c>
      <c r="J662" s="18" t="s">
        <v>98</v>
      </c>
      <c r="K662" s="18" t="s">
        <v>98</v>
      </c>
      <c r="L662" s="18" t="s">
        <v>98</v>
      </c>
      <c r="M662" s="18" t="s">
        <v>98</v>
      </c>
      <c r="N662" s="18" t="s">
        <v>98</v>
      </c>
      <c r="O662" s="18" t="s">
        <v>98</v>
      </c>
      <c r="P662" s="15" t="str">
        <f t="shared" si="1"/>
        <v>VERIFY</v>
      </c>
      <c r="Q662" s="15">
        <f t="shared" si="2"/>
        <v>3</v>
      </c>
      <c r="R662" s="15">
        <f t="shared" si="3"/>
        <v>1</v>
      </c>
      <c r="S662" s="15">
        <f t="shared" si="4"/>
        <v>4</v>
      </c>
      <c r="T662" s="15" t="str">
        <f t="shared" si="5"/>
        <v>B-5</v>
      </c>
      <c r="U662" s="15" t="str">
        <f t="shared" si="6"/>
        <v>T3-M1-H4-FB-5-VERIFY</v>
      </c>
      <c r="V662" s="15">
        <f t="shared" si="7"/>
        <v>0</v>
      </c>
      <c r="W662" s="31"/>
      <c r="X662" s="15" t="str">
        <f t="shared" si="8"/>
        <v>wardha</v>
      </c>
      <c r="Y662" s="32" t="str">
        <f t="shared" si="9"/>
        <v>https://steelmanufacturer.in/market-area/electropolished-pipes-manufacturer-in-wardha/</v>
      </c>
      <c r="Z662" s="15" t="str">
        <f t="shared" si="10"/>
        <v>Electropolished Pipes Manufacturer in Wardha | EP Tube Supplier</v>
      </c>
      <c r="AA662" s="15" t="str">
        <f t="shared" si="11"/>
        <v>OK (63)</v>
      </c>
      <c r="AB662" s="15" t="str">
        <f t="shared" si="12"/>
        <v>EP-finished SS 304/316L pipes &amp; tubes for VERIFY plants in Wardha. ASTM A270, ASME BPE SF1-SF4, EN 10204 3.1 MTC. PMI tested.</v>
      </c>
      <c r="AC662" s="15" t="str">
        <f t="shared" si="13"/>
        <v>PENDING RESEARCH</v>
      </c>
      <c r="AD662" s="15" t="str">
        <f t="shared" si="14"/>
        <v>Electropolished Pipes Manufacturer in Wardha</v>
      </c>
      <c r="AE662" s="15" t="str">
        <f t="shared" si="15"/>
        <v>Manufacturing Electropolished SS Tube for Wardha: The Standards We Build To</v>
      </c>
      <c r="AF662" s="15" t="str">
        <f t="shared" si="16"/>
        <v>Electropolished Pipe Supply Into Wardha - Certification &amp; Transit</v>
      </c>
      <c r="AG662" s="15" t="str">
        <f t="shared" si="17"/>
        <v>Electropolished Pipes Wholesaler in Wardha - Project Quantities &amp; Terms</v>
      </c>
      <c r="AH662" s="15" t="str">
        <f t="shared" si="18"/>
        <v>electropolished pipes manufacturer in Wardha, electropolished pipes supplier in Wardha, electropolished pipes wholesaler in Wardha, electropolished tube manufacturer Wardha, EP pipe supplier Wardha, sanitary tube supplier Wardha, ASME BPE tubing Wardha, ASTM A270 tube Wardha, SS 316L electropolished pipe Wardha</v>
      </c>
      <c r="AI662" s="15" t="str">
        <f t="shared" si="19"/>
        <v>Electropolished Pipes Manufacturer &amp; Supplier in Wardha</v>
      </c>
      <c r="AJ662" s="15" t="str">
        <f t="shared" si="20"/>
        <v>EP-finished SS 304/316L pipes and tubes for VERIFY plants in Wardha. ASME BPE SF1-SF4, Ra from 0.25 um, EN 10204 3.1 certificate with every lot.</v>
      </c>
      <c r="AK662" s="15" t="str">
        <f t="shared" si="21"/>
        <v>Electropolished stainless steel pipes supplied by Sakshi Forge to VERIFY plants at MIDC Industrial Area, Wardha</v>
      </c>
      <c r="AL662" s="15" t="str">
        <f t="shared" si="22"/>
        <v>Electropolished SS 316L tube stock for Wardha - Sakshi Forge</v>
      </c>
      <c r="AM662" s="15" t="str">
        <f t="shared" si="23"/>
        <v>Home &gt; Market Area &gt; India &gt; Maharashtra &gt; Wardha</v>
      </c>
      <c r="AN662" s="15">
        <f t="shared" si="24"/>
        <v>1000</v>
      </c>
      <c r="AO662" s="15">
        <f t="shared" si="25"/>
        <v>8</v>
      </c>
      <c r="AP662" s="15">
        <f t="shared" si="26"/>
        <v>8</v>
      </c>
      <c r="AQ662" s="15">
        <f t="shared" si="27"/>
        <v>11</v>
      </c>
      <c r="AR662" s="31"/>
      <c r="AS662" s="31"/>
      <c r="AT662" s="35" t="s">
        <v>222</v>
      </c>
      <c r="AU662" s="35"/>
    </row>
    <row r="663" ht="15.75" customHeight="1">
      <c r="A663" s="15" t="s">
        <v>4666</v>
      </c>
      <c r="B663" s="15" t="s">
        <v>60</v>
      </c>
      <c r="C663" s="15" t="s">
        <v>264</v>
      </c>
      <c r="D663" s="15" t="s">
        <v>4668</v>
      </c>
      <c r="E663" s="15" t="s">
        <v>4668</v>
      </c>
      <c r="F663" s="65" t="s">
        <v>788</v>
      </c>
      <c r="G663" s="66" t="s">
        <v>98</v>
      </c>
      <c r="H663" s="18" t="s">
        <v>4673</v>
      </c>
      <c r="I663" s="18" t="s">
        <v>8395</v>
      </c>
      <c r="J663" s="18" t="s">
        <v>98</v>
      </c>
      <c r="K663" s="18" t="s">
        <v>98</v>
      </c>
      <c r="L663" s="18" t="s">
        <v>98</v>
      </c>
      <c r="M663" s="18" t="s">
        <v>98</v>
      </c>
      <c r="N663" s="18" t="s">
        <v>98</v>
      </c>
      <c r="O663" s="18" t="s">
        <v>98</v>
      </c>
      <c r="P663" s="15" t="str">
        <f t="shared" si="1"/>
        <v>VERIFY</v>
      </c>
      <c r="Q663" s="15">
        <f t="shared" si="2"/>
        <v>4</v>
      </c>
      <c r="R663" s="15">
        <f t="shared" si="3"/>
        <v>2</v>
      </c>
      <c r="S663" s="15">
        <f t="shared" si="4"/>
        <v>5</v>
      </c>
      <c r="T663" s="15" t="str">
        <f t="shared" si="5"/>
        <v>B-6</v>
      </c>
      <c r="U663" s="15" t="str">
        <f t="shared" si="6"/>
        <v>T4-M2-H5-FB-6-VERIFY</v>
      </c>
      <c r="V663" s="15">
        <f t="shared" si="7"/>
        <v>0</v>
      </c>
      <c r="W663" s="31"/>
      <c r="X663" s="15" t="str">
        <f t="shared" si="8"/>
        <v>washim</v>
      </c>
      <c r="Y663" s="32" t="str">
        <f t="shared" si="9"/>
        <v>https://steelmanufacturer.in/market-area/electropolished-pipes-manufacturer-in-washim/</v>
      </c>
      <c r="Z663" s="15" t="str">
        <f t="shared" si="10"/>
        <v>Electropolished Pipes Manufacturer in Washim</v>
      </c>
      <c r="AA663" s="15" t="str">
        <f t="shared" si="11"/>
        <v>OK (44)</v>
      </c>
      <c r="AB663" s="15" t="str">
        <f t="shared" si="12"/>
        <v>Electropolished tube supply to MIDC Industrial Area, Washim. Ra from 0.25 um, SF4 finish, mill test certificate with every lot.</v>
      </c>
      <c r="AC663" s="15" t="str">
        <f t="shared" si="13"/>
        <v>PENDING RESEARCH</v>
      </c>
      <c r="AD663" s="15" t="str">
        <f t="shared" si="14"/>
        <v>Electropolished Pipes Manufacturer in Washim</v>
      </c>
      <c r="AE663" s="15" t="str">
        <f t="shared" si="15"/>
        <v>Electropolished Tube Manufacturing Capability Serving Washim</v>
      </c>
      <c r="AF663" s="15" t="str">
        <f t="shared" si="16"/>
        <v>Electropolished Pipes Supplier in Washim - From Order to Delivery</v>
      </c>
      <c r="AG663" s="15" t="str">
        <f t="shared" si="17"/>
        <v>Stockist &amp; Wholesale Supply of Electropolished Pipes in Washim</v>
      </c>
      <c r="AH663" s="15" t="str">
        <f t="shared" si="18"/>
        <v>electropolished pipes manufacturer in Washim, electropolished pipes supplier in Washim, electropolished pipes wholesaler in Washim, electropolished tube manufacturer Washim, EP pipe supplier Washim, sanitary tube supplier Washim, ASME BPE tubing Washim, ASTM A270 tube Washim, SS 316L electropolished pipe Washim</v>
      </c>
      <c r="AI663" s="15" t="str">
        <f t="shared" si="19"/>
        <v>Electropolished Pipes Manufacturer &amp; Supplier in Washim</v>
      </c>
      <c r="AJ663" s="15" t="str">
        <f t="shared" si="20"/>
        <v>EP-finished SS 304/316L pipes and tubes for VERIFY plants in Washim. ASME BPE SF1-SF4, Ra from 0.25 um, EN 10204 3.1 certificate with every lot.</v>
      </c>
      <c r="AK663" s="15" t="str">
        <f t="shared" si="21"/>
        <v>Electropolished stainless steel pipes supplied by Sakshi Forge to VERIFY plants at MIDC Industrial Area, Washim</v>
      </c>
      <c r="AL663" s="15" t="str">
        <f t="shared" si="22"/>
        <v>Electropolished SS 316L tube stock for Washim - Sakshi Forge</v>
      </c>
      <c r="AM663" s="15" t="str">
        <f t="shared" si="23"/>
        <v>Home &gt; Market Area &gt; India &gt; Maharashtra &gt; Washim</v>
      </c>
      <c r="AN663" s="15">
        <f t="shared" si="24"/>
        <v>1000</v>
      </c>
      <c r="AO663" s="15">
        <f t="shared" si="25"/>
        <v>8</v>
      </c>
      <c r="AP663" s="15">
        <f t="shared" si="26"/>
        <v>8</v>
      </c>
      <c r="AQ663" s="15">
        <f t="shared" si="27"/>
        <v>11</v>
      </c>
      <c r="AR663" s="31"/>
      <c r="AS663" s="31"/>
      <c r="AT663" s="35" t="s">
        <v>222</v>
      </c>
      <c r="AU663" s="35"/>
    </row>
    <row r="664" ht="15.75" customHeight="1">
      <c r="A664" s="15" t="s">
        <v>4675</v>
      </c>
      <c r="B664" s="15" t="s">
        <v>60</v>
      </c>
      <c r="C664" s="15" t="s">
        <v>1687</v>
      </c>
      <c r="D664" s="15" t="s">
        <v>4676</v>
      </c>
      <c r="E664" s="15" t="s">
        <v>4676</v>
      </c>
      <c r="F664" s="65" t="s">
        <v>788</v>
      </c>
      <c r="G664" s="66" t="s">
        <v>98</v>
      </c>
      <c r="H664" s="18" t="s">
        <v>4678</v>
      </c>
      <c r="I664" s="18" t="s">
        <v>8397</v>
      </c>
      <c r="J664" s="18" t="s">
        <v>98</v>
      </c>
      <c r="K664" s="18" t="s">
        <v>98</v>
      </c>
      <c r="L664" s="18" t="s">
        <v>98</v>
      </c>
      <c r="M664" s="18" t="s">
        <v>98</v>
      </c>
      <c r="N664" s="18" t="s">
        <v>98</v>
      </c>
      <c r="O664" s="18" t="s">
        <v>98</v>
      </c>
      <c r="P664" s="15" t="str">
        <f t="shared" si="1"/>
        <v>VERIFY</v>
      </c>
      <c r="Q664" s="15">
        <f t="shared" si="2"/>
        <v>5</v>
      </c>
      <c r="R664" s="15">
        <f t="shared" si="3"/>
        <v>3</v>
      </c>
      <c r="S664" s="15">
        <f t="shared" si="4"/>
        <v>1</v>
      </c>
      <c r="T664" s="15" t="str">
        <f t="shared" si="5"/>
        <v>B-1</v>
      </c>
      <c r="U664" s="15" t="str">
        <f t="shared" si="6"/>
        <v>T5-M3-H1-FB-1-VERIFY</v>
      </c>
      <c r="V664" s="15">
        <f t="shared" si="7"/>
        <v>0</v>
      </c>
      <c r="W664" s="31"/>
      <c r="X664" s="15" t="str">
        <f t="shared" si="8"/>
        <v>wayanad</v>
      </c>
      <c r="Y664" s="32" t="str">
        <f t="shared" si="9"/>
        <v>https://steelmanufacturer.in/market-area/electropolished-pipes-manufacturer-in-wayanad/</v>
      </c>
      <c r="Z664" s="15" t="str">
        <f t="shared" si="10"/>
        <v>Electropolished Pipes Manufacturer in Wayanad</v>
      </c>
      <c r="AA664" s="15" t="str">
        <f t="shared" si="11"/>
        <v>OK (45)</v>
      </c>
      <c r="AB664" s="15" t="str">
        <f t="shared" si="12"/>
        <v>EP stainless tube for VERIFY lines in Wayanad. VERIFY. ASTM A270 S2, PMI tested, EN 10204 3.1.</v>
      </c>
      <c r="AC664" s="15" t="str">
        <f t="shared" si="13"/>
        <v>PENDING RESEARCH</v>
      </c>
      <c r="AD664" s="15" t="str">
        <f t="shared" si="14"/>
        <v>Electropolished Pipes Manufacturer in Wayanad</v>
      </c>
      <c r="AE664" s="15" t="str">
        <f t="shared" si="15"/>
        <v>Electropolished Pipe &amp; Tube Manufacturing for Wayanad - Grades, Finishes &amp; Certification</v>
      </c>
      <c r="AF664" s="15" t="str">
        <f t="shared" si="16"/>
        <v>Electropolished Pipes Supplier in Wayanad - Stock Sizes, Lead Time &amp; Delivery</v>
      </c>
      <c r="AG664" s="15" t="str">
        <f t="shared" si="17"/>
        <v>Electropolished Pipes Wholesaler &amp; Stockist in Wayanad - Bulk &amp; Project Pricing</v>
      </c>
      <c r="AH664" s="15" t="str">
        <f t="shared" si="18"/>
        <v>electropolished pipes manufacturer in Wayanad, electropolished pipes supplier in Wayanad, electropolished pipes wholesaler in Wayanad, electropolished tube manufacturer Wayanad, EP pipe supplier Wayanad, sanitary tube supplier Wayanad, ASME BPE tubing Wayanad, ASTM A270 tube Wayanad, SS 316L electropolished pipe Wayanad</v>
      </c>
      <c r="AI664" s="15" t="str">
        <f t="shared" si="19"/>
        <v>Electropolished Pipes Manufacturer &amp; Supplier in Wayanad</v>
      </c>
      <c r="AJ664" s="15" t="str">
        <f t="shared" si="20"/>
        <v>EP-finished SS 304/316L pipes and tubes for VERIFY plants in Wayanad. ASME BPE SF1-SF4, Ra from 0.25 um, EN 10204 3.1 certificate with every lot.</v>
      </c>
      <c r="AK664" s="15" t="str">
        <f t="shared" si="21"/>
        <v>Electropolished stainless steel pipes supplied by Sakshi Forge to VERIFY plants at KINFRA Industrial Area, Wayanad</v>
      </c>
      <c r="AL664" s="15" t="str">
        <f t="shared" si="22"/>
        <v>Electropolished SS 316L tube stock for Wayanad - Sakshi Forge</v>
      </c>
      <c r="AM664" s="15" t="str">
        <f t="shared" si="23"/>
        <v>Home &gt; Market Area &gt; India &gt; Kerala &gt; Wayanad</v>
      </c>
      <c r="AN664" s="15">
        <f t="shared" si="24"/>
        <v>1000</v>
      </c>
      <c r="AO664" s="15">
        <f t="shared" si="25"/>
        <v>8</v>
      </c>
      <c r="AP664" s="15">
        <f t="shared" si="26"/>
        <v>8</v>
      </c>
      <c r="AQ664" s="15">
        <f t="shared" si="27"/>
        <v>12</v>
      </c>
      <c r="AR664" s="31"/>
      <c r="AS664" s="31"/>
      <c r="AT664" s="35" t="s">
        <v>222</v>
      </c>
      <c r="AU664" s="35"/>
    </row>
    <row r="665" ht="15.75" customHeight="1">
      <c r="A665" s="15" t="s">
        <v>4679</v>
      </c>
      <c r="B665" s="15" t="s">
        <v>60</v>
      </c>
      <c r="C665" s="15" t="s">
        <v>2202</v>
      </c>
      <c r="D665" s="15" t="s">
        <v>4680</v>
      </c>
      <c r="E665" s="15" t="s">
        <v>4680</v>
      </c>
      <c r="F665" s="65" t="s">
        <v>788</v>
      </c>
      <c r="G665" s="66" t="s">
        <v>98</v>
      </c>
      <c r="H665" s="18" t="s">
        <v>4682</v>
      </c>
      <c r="I665" s="18" t="s">
        <v>8409</v>
      </c>
      <c r="J665" s="18" t="s">
        <v>98</v>
      </c>
      <c r="K665" s="18" t="s">
        <v>98</v>
      </c>
      <c r="L665" s="18" t="s">
        <v>98</v>
      </c>
      <c r="M665" s="18" t="s">
        <v>98</v>
      </c>
      <c r="N665" s="18" t="s">
        <v>98</v>
      </c>
      <c r="O665" s="18" t="s">
        <v>98</v>
      </c>
      <c r="P665" s="15" t="str">
        <f t="shared" si="1"/>
        <v>VERIFY</v>
      </c>
      <c r="Q665" s="15">
        <f t="shared" si="2"/>
        <v>6</v>
      </c>
      <c r="R665" s="15">
        <f t="shared" si="3"/>
        <v>4</v>
      </c>
      <c r="S665" s="15">
        <f t="shared" si="4"/>
        <v>2</v>
      </c>
      <c r="T665" s="15" t="str">
        <f t="shared" si="5"/>
        <v>B-2</v>
      </c>
      <c r="U665" s="15" t="str">
        <f t="shared" si="6"/>
        <v>T6-M4-H2-FB-2-VERIFY</v>
      </c>
      <c r="V665" s="15">
        <f t="shared" si="7"/>
        <v>0</v>
      </c>
      <c r="W665" s="31"/>
      <c r="X665" s="15" t="str">
        <f t="shared" si="8"/>
        <v>wazirpur</v>
      </c>
      <c r="Y665" s="32" t="str">
        <f t="shared" si="9"/>
        <v>https://steelmanufacturer.in/market-area/electropolished-pipes-manufacturer-in-wazirpur/</v>
      </c>
      <c r="Z665" s="15" t="str">
        <f t="shared" si="10"/>
        <v>Electropolished Pipes Manufacturer in Wazirpur</v>
      </c>
      <c r="AA665" s="15" t="str">
        <f t="shared" si="11"/>
        <v>OK (46)</v>
      </c>
      <c r="AB665" s="15" t="str">
        <f t="shared" si="12"/>
        <v>Sanitary electropolished pipes in Wazirpur for VERIFY plants. ASME BPE SF1-SF4, orbital-weld ready, 3.1 MTC. Mumbai-made.</v>
      </c>
      <c r="AC665" s="15" t="str">
        <f t="shared" si="13"/>
        <v>PENDING RESEARCH</v>
      </c>
      <c r="AD665" s="15" t="str">
        <f t="shared" si="14"/>
        <v>Electropolished Pipes Manufacturer in Wazirpur</v>
      </c>
      <c r="AE665" s="15" t="str">
        <f t="shared" si="15"/>
        <v>How We Manufacture Electropolished Tube for Wazirpur Plants</v>
      </c>
      <c r="AF665" s="15" t="str">
        <f t="shared" si="16"/>
        <v>Supplying Electropolished Pipes in Wazirpur: Availability, Sizes &amp; Dispatch</v>
      </c>
      <c r="AG665" s="15" t="str">
        <f t="shared" si="17"/>
        <v>Wholesale Electropolished Pipe Supply for Wazirpur Projects</v>
      </c>
      <c r="AH665" s="15" t="str">
        <f t="shared" si="18"/>
        <v>electropolished pipes manufacturer in Wazirpur, electropolished pipes supplier in Wazirpur, electropolished pipes wholesaler in Wazirpur, electropolished tube manufacturer Wazirpur, EP pipe supplier Wazirpur, sanitary tube supplier Wazirpur, ASME BPE tubing Wazirpur, ASTM A270 tube Wazirpur, SS 316L electropolished pipe Wazirpur</v>
      </c>
      <c r="AI665" s="15" t="str">
        <f t="shared" si="19"/>
        <v>Electropolished Pipes Manufacturer &amp; Supplier in Wazirpur</v>
      </c>
      <c r="AJ665" s="15" t="str">
        <f t="shared" si="20"/>
        <v>EP-finished SS 304/316L pipes and tubes for VERIFY plants in Wazirpur. ASME BPE SF1-SF4, Ra from 0.25 um, EN 10204 3.1 certificate with every lot.</v>
      </c>
      <c r="AK665" s="15" t="str">
        <f t="shared" si="21"/>
        <v>Electropolished stainless steel pipes supplied by Sakshi Forge to VERIFY plants at DSIIDC Industrial Area, Wazirpur</v>
      </c>
      <c r="AL665" s="15" t="str">
        <f t="shared" si="22"/>
        <v>Electropolished SS 316L tube stock for Wazirpur - Sakshi Forge</v>
      </c>
      <c r="AM665" s="15" t="str">
        <f t="shared" si="23"/>
        <v>Home &gt; Market Area &gt; India &gt; Delhi &gt; Wazirpur</v>
      </c>
      <c r="AN665" s="15">
        <f t="shared" si="24"/>
        <v>1000</v>
      </c>
      <c r="AO665" s="15">
        <f t="shared" si="25"/>
        <v>8</v>
      </c>
      <c r="AP665" s="15">
        <f t="shared" si="26"/>
        <v>8</v>
      </c>
      <c r="AQ665" s="15">
        <f t="shared" si="27"/>
        <v>12</v>
      </c>
      <c r="AR665" s="31"/>
      <c r="AS665" s="31"/>
      <c r="AT665" s="35" t="s">
        <v>222</v>
      </c>
      <c r="AU665" s="35"/>
    </row>
    <row r="666" ht="15.75" customHeight="1">
      <c r="A666" s="15" t="s">
        <v>4683</v>
      </c>
      <c r="B666" s="15" t="s">
        <v>60</v>
      </c>
      <c r="C666" s="15" t="s">
        <v>570</v>
      </c>
      <c r="D666" s="15" t="s">
        <v>4684</v>
      </c>
      <c r="E666" s="15" t="s">
        <v>4684</v>
      </c>
      <c r="F666" s="65" t="s">
        <v>788</v>
      </c>
      <c r="G666" s="66" t="s">
        <v>98</v>
      </c>
      <c r="H666" s="18" t="s">
        <v>4686</v>
      </c>
      <c r="I666" s="18" t="s">
        <v>8405</v>
      </c>
      <c r="J666" s="18" t="s">
        <v>98</v>
      </c>
      <c r="K666" s="18" t="s">
        <v>98</v>
      </c>
      <c r="L666" s="18" t="s">
        <v>98</v>
      </c>
      <c r="M666" s="18" t="s">
        <v>98</v>
      </c>
      <c r="N666" s="18" t="s">
        <v>98</v>
      </c>
      <c r="O666" s="18" t="s">
        <v>98</v>
      </c>
      <c r="P666" s="15" t="str">
        <f t="shared" si="1"/>
        <v>VERIFY</v>
      </c>
      <c r="Q666" s="15">
        <f t="shared" si="2"/>
        <v>7</v>
      </c>
      <c r="R666" s="15">
        <f t="shared" si="3"/>
        <v>5</v>
      </c>
      <c r="S666" s="15">
        <f t="shared" si="4"/>
        <v>3</v>
      </c>
      <c r="T666" s="15" t="str">
        <f t="shared" si="5"/>
        <v>B-3</v>
      </c>
      <c r="U666" s="15" t="str">
        <f t="shared" si="6"/>
        <v>T7-M5-H3-FB-3-VERIFY</v>
      </c>
      <c r="V666" s="15">
        <f t="shared" si="7"/>
        <v>0</v>
      </c>
      <c r="W666" s="31"/>
      <c r="X666" s="15" t="str">
        <f t="shared" si="8"/>
        <v>yadgir</v>
      </c>
      <c r="Y666" s="32" t="str">
        <f t="shared" si="9"/>
        <v>https://steelmanufacturer.in/market-area/electropolished-pipes-manufacturer-in-yadgir/</v>
      </c>
      <c r="Z666" s="15" t="str">
        <f t="shared" si="10"/>
        <v>Electropolished Pipes Manufacturer in Yadgir | ASME BPE SF1-SF4</v>
      </c>
      <c r="AA666" s="15" t="str">
        <f t="shared" si="11"/>
        <v>OK (63)</v>
      </c>
      <c r="AB666" s="15" t="str">
        <f t="shared" si="12"/>
        <v>Manufacturer of electropolished SS 316L tube serving Yadgir. VERIFY. Ra 0.25-0.5 um, EN 10204 3.1 MTC.</v>
      </c>
      <c r="AC666" s="15" t="str">
        <f t="shared" si="13"/>
        <v>PENDING RESEARCH</v>
      </c>
      <c r="AD666" s="15" t="str">
        <f t="shared" si="14"/>
        <v>Electropolished Pipes Manufacturer in Yadgir</v>
      </c>
      <c r="AE666" s="15" t="str">
        <f t="shared" si="15"/>
        <v>Electropolished Pipes Manufacturer in Yadgir - Our Process &amp; Capability</v>
      </c>
      <c r="AF666" s="15" t="str">
        <f t="shared" si="16"/>
        <v>Electropolished Pipes Supplier in Yadgir - What We Hold in Stock</v>
      </c>
      <c r="AG666" s="15" t="str">
        <f t="shared" si="17"/>
        <v>Bulk &amp; Wholesale Electropolished Pipe Rates for Yadgir Buyers</v>
      </c>
      <c r="AH666" s="15" t="str">
        <f t="shared" si="18"/>
        <v>electropolished pipes manufacturer in Yadgir, electropolished pipes supplier in Yadgir, electropolished pipes wholesaler in Yadgir, electropolished tube manufacturer Yadgir, EP pipe supplier Yadgir, sanitary tube supplier Yadgir, ASME BPE tubing Yadgir, ASTM A270 tube Yadgir, SS 316L electropolished pipe Yadgir</v>
      </c>
      <c r="AI666" s="15" t="str">
        <f t="shared" si="19"/>
        <v>Electropolished Pipes Manufacturer &amp; Supplier in Yadgir</v>
      </c>
      <c r="AJ666" s="15" t="str">
        <f t="shared" si="20"/>
        <v>EP-finished SS 304/316L pipes and tubes for VERIFY plants in Yadgir. ASME BPE SF1-SF4, Ra from 0.25 um, EN 10204 3.1 certificate with every lot.</v>
      </c>
      <c r="AK666" s="15" t="str">
        <f t="shared" si="21"/>
        <v>Electropolished stainless steel pipes supplied by Sakshi Forge to VERIFY plants at KIADB Industrial Area, Yadgir</v>
      </c>
      <c r="AL666" s="15" t="str">
        <f t="shared" si="22"/>
        <v>Electropolished SS 316L tube stock for Yadgir - Sakshi Forge</v>
      </c>
      <c r="AM666" s="15" t="str">
        <f t="shared" si="23"/>
        <v>Home &gt; Market Area &gt; India &gt; Karnataka &gt; Yadgir</v>
      </c>
      <c r="AN666" s="15">
        <f t="shared" si="24"/>
        <v>1000</v>
      </c>
      <c r="AO666" s="15">
        <f t="shared" si="25"/>
        <v>8</v>
      </c>
      <c r="AP666" s="15">
        <f t="shared" si="26"/>
        <v>8</v>
      </c>
      <c r="AQ666" s="15">
        <f t="shared" si="27"/>
        <v>12</v>
      </c>
      <c r="AR666" s="31"/>
      <c r="AS666" s="31"/>
      <c r="AT666" s="35" t="s">
        <v>222</v>
      </c>
      <c r="AU666" s="35"/>
    </row>
    <row r="667" ht="15.75" customHeight="1">
      <c r="A667" s="15" t="s">
        <v>4687</v>
      </c>
      <c r="B667" s="15" t="s">
        <v>60</v>
      </c>
      <c r="C667" s="15" t="s">
        <v>245</v>
      </c>
      <c r="D667" s="15" t="s">
        <v>4688</v>
      </c>
      <c r="E667" s="15" t="s">
        <v>4688</v>
      </c>
      <c r="F667" s="65" t="s">
        <v>788</v>
      </c>
      <c r="G667" s="66" t="s">
        <v>98</v>
      </c>
      <c r="H667" s="18" t="s">
        <v>4690</v>
      </c>
      <c r="I667" s="18" t="s">
        <v>8407</v>
      </c>
      <c r="J667" s="18" t="s">
        <v>98</v>
      </c>
      <c r="K667" s="18" t="s">
        <v>98</v>
      </c>
      <c r="L667" s="18" t="s">
        <v>98</v>
      </c>
      <c r="M667" s="18" t="s">
        <v>98</v>
      </c>
      <c r="N667" s="18" t="s">
        <v>98</v>
      </c>
      <c r="O667" s="18" t="s">
        <v>98</v>
      </c>
      <c r="P667" s="15" t="str">
        <f t="shared" si="1"/>
        <v>VERIFY</v>
      </c>
      <c r="Q667" s="15">
        <f t="shared" si="2"/>
        <v>8</v>
      </c>
      <c r="R667" s="15">
        <f t="shared" si="3"/>
        <v>6</v>
      </c>
      <c r="S667" s="15">
        <f t="shared" si="4"/>
        <v>4</v>
      </c>
      <c r="T667" s="15" t="str">
        <f t="shared" si="5"/>
        <v>B-4</v>
      </c>
      <c r="U667" s="15" t="str">
        <f t="shared" si="6"/>
        <v>T8-M6-H4-FB-4-VERIFY</v>
      </c>
      <c r="V667" s="15">
        <f t="shared" si="7"/>
        <v>0</v>
      </c>
      <c r="W667" s="31"/>
      <c r="X667" s="15" t="str">
        <f t="shared" si="8"/>
        <v>yamunanagar</v>
      </c>
      <c r="Y667" s="32" t="str">
        <f t="shared" si="9"/>
        <v>https://steelmanufacturer.in/market-area/electropolished-pipes-manufacturer-in-yamunanagar/</v>
      </c>
      <c r="Z667" s="15" t="str">
        <f t="shared" si="10"/>
        <v>Electropolished Pipes Manufacturer in Yamunanagar</v>
      </c>
      <c r="AA667" s="15" t="str">
        <f t="shared" si="11"/>
        <v>OK (49)</v>
      </c>
      <c r="AB667" s="15" t="str">
        <f t="shared" si="12"/>
        <v>EP tube and pipe for VERIFY plants around HSIIDC Industrial Area, Yamunanagar. Made at our Mumbai works to ASTM A270 and ASME BPE SF1-SF4, with 3.1 MTC.</v>
      </c>
      <c r="AC667" s="15" t="str">
        <f t="shared" si="13"/>
        <v>PENDING RESEARCH</v>
      </c>
      <c r="AD667" s="15" t="str">
        <f t="shared" si="14"/>
        <v>Electropolished Pipes Manufacturer in Yamunanagar</v>
      </c>
      <c r="AE667" s="15" t="str">
        <f t="shared" si="15"/>
        <v>Manufacturing Electropolished SS Tube for Yamunanagar: The Standards We Build To</v>
      </c>
      <c r="AF667" s="15" t="str">
        <f t="shared" si="16"/>
        <v>Electropolished Pipe Supply Into Yamunanagar - Certification &amp; Transit</v>
      </c>
      <c r="AG667" s="15" t="str">
        <f t="shared" si="17"/>
        <v>Electropolished Pipes Wholesaler in Yamunanagar - Project Quantities &amp; Terms</v>
      </c>
      <c r="AH667" s="15" t="str">
        <f t="shared" si="18"/>
        <v>electropolished pipes manufacturer in Yamunanagar, electropolished pipes supplier in Yamunanagar, electropolished pipes wholesaler in Yamunanagar, electropolished tube manufacturer Yamunanagar, EP pipe supplier Yamunanagar, sanitary tube supplier Yamunanagar, ASME BPE tubing Yamunanagar, ASTM A270 tube Yamunanagar, SS 316L electropolished pipe Yamunanagar</v>
      </c>
      <c r="AI667" s="15" t="str">
        <f t="shared" si="19"/>
        <v>Electropolished Pipes Manufacturer &amp; Supplier in Yamunanagar</v>
      </c>
      <c r="AJ667" s="15" t="str">
        <f t="shared" si="20"/>
        <v>EP-finished SS 304/316L pipes and tubes for VERIFY plants in Yamunanagar. ASME BPE SF1-SF4, Ra from 0.25 um, EN 10204 3.1 certificate with every lot.</v>
      </c>
      <c r="AK667" s="15" t="str">
        <f t="shared" si="21"/>
        <v>Electropolished stainless steel pipes supplied by Sakshi Forge to VERIFY plants at HSIIDC Industrial Area, Yamunanagar</v>
      </c>
      <c r="AL667" s="15" t="str">
        <f t="shared" si="22"/>
        <v>Electropolished SS 316L tube stock for Yamunanagar - Sakshi Forge</v>
      </c>
      <c r="AM667" s="15" t="str">
        <f t="shared" si="23"/>
        <v>Home &gt; Market Area &gt; India &gt; Haryana &gt; Yamunanagar</v>
      </c>
      <c r="AN667" s="15">
        <f t="shared" si="24"/>
        <v>1000</v>
      </c>
      <c r="AO667" s="15">
        <f t="shared" si="25"/>
        <v>8</v>
      </c>
      <c r="AP667" s="15">
        <f t="shared" si="26"/>
        <v>8</v>
      </c>
      <c r="AQ667" s="15">
        <f t="shared" si="27"/>
        <v>12</v>
      </c>
      <c r="AR667" s="31"/>
      <c r="AS667" s="31"/>
      <c r="AT667" s="35" t="s">
        <v>222</v>
      </c>
      <c r="AU667" s="35"/>
    </row>
    <row r="668" ht="15.75" customHeight="1">
      <c r="A668" s="15" t="s">
        <v>4691</v>
      </c>
      <c r="B668" s="15" t="s">
        <v>60</v>
      </c>
      <c r="C668" s="15" t="s">
        <v>264</v>
      </c>
      <c r="D668" s="15" t="s">
        <v>4692</v>
      </c>
      <c r="E668" s="15" t="s">
        <v>4692</v>
      </c>
      <c r="F668" s="65" t="s">
        <v>788</v>
      </c>
      <c r="G668" s="66" t="s">
        <v>98</v>
      </c>
      <c r="H668" s="18" t="s">
        <v>4694</v>
      </c>
      <c r="I668" s="18" t="s">
        <v>8395</v>
      </c>
      <c r="J668" s="18" t="s">
        <v>98</v>
      </c>
      <c r="K668" s="18" t="s">
        <v>98</v>
      </c>
      <c r="L668" s="18" t="s">
        <v>98</v>
      </c>
      <c r="M668" s="18" t="s">
        <v>98</v>
      </c>
      <c r="N668" s="18" t="s">
        <v>98</v>
      </c>
      <c r="O668" s="18" t="s">
        <v>98</v>
      </c>
      <c r="P668" s="15" t="str">
        <f t="shared" si="1"/>
        <v>VERIFY</v>
      </c>
      <c r="Q668" s="15">
        <f t="shared" si="2"/>
        <v>1</v>
      </c>
      <c r="R668" s="15">
        <f t="shared" si="3"/>
        <v>7</v>
      </c>
      <c r="S668" s="15">
        <f t="shared" si="4"/>
        <v>5</v>
      </c>
      <c r="T668" s="15" t="str">
        <f t="shared" si="5"/>
        <v>B-5</v>
      </c>
      <c r="U668" s="15" t="str">
        <f t="shared" si="6"/>
        <v>T1-M7-H5-FB-5-VERIFY</v>
      </c>
      <c r="V668" s="15">
        <f t="shared" si="7"/>
        <v>0</v>
      </c>
      <c r="W668" s="31"/>
      <c r="X668" s="15" t="str">
        <f t="shared" si="8"/>
        <v>yavatmal</v>
      </c>
      <c r="Y668" s="32" t="str">
        <f t="shared" si="9"/>
        <v>https://steelmanufacturer.in/market-area/electropolished-pipes-manufacturer-in-yavatmal/</v>
      </c>
      <c r="Z668" s="15" t="str">
        <f t="shared" si="10"/>
        <v>Electropolished Pipes Manufacturer in Yavatmal | Sakshi Forge</v>
      </c>
      <c r="AA668" s="15" t="str">
        <f t="shared" si="11"/>
        <v>OK (61)</v>
      </c>
      <c r="AB668" s="15" t="str">
        <f t="shared" si="12"/>
        <v>Electropolished pipes in Yavatmal: 304, 304L, 316 and 316L in SF1-SF4. VERIFY. Mill certified.</v>
      </c>
      <c r="AC668" s="15" t="str">
        <f t="shared" si="13"/>
        <v>PENDING RESEARCH</v>
      </c>
      <c r="AD668" s="15" t="str">
        <f t="shared" si="14"/>
        <v>Electropolished Pipes Manufacturer in Yavatmal</v>
      </c>
      <c r="AE668" s="15" t="str">
        <f t="shared" si="15"/>
        <v>Electropolished Tube Manufacturing Capability Serving Yavatmal</v>
      </c>
      <c r="AF668" s="15" t="str">
        <f t="shared" si="16"/>
        <v>Electropolished Pipes Supplier in Yavatmal - From Order to Delivery</v>
      </c>
      <c r="AG668" s="15" t="str">
        <f t="shared" si="17"/>
        <v>Stockist &amp; Wholesale Supply of Electropolished Pipes in Yavatmal</v>
      </c>
      <c r="AH668" s="15" t="str">
        <f t="shared" si="18"/>
        <v>electropolished pipes manufacturer in Yavatmal, electropolished pipes supplier in Yavatmal, electropolished pipes wholesaler in Yavatmal, electropolished tube manufacturer Yavatmal, EP pipe supplier Yavatmal, sanitary tube supplier Yavatmal, ASME BPE tubing Yavatmal, ASTM A270 tube Yavatmal, SS 316L electropolished pipe Yavatmal</v>
      </c>
      <c r="AI668" s="15" t="str">
        <f t="shared" si="19"/>
        <v>Electropolished Pipes Manufacturer &amp; Supplier in Yavatmal</v>
      </c>
      <c r="AJ668" s="15" t="str">
        <f t="shared" si="20"/>
        <v>EP-finished SS 304/316L pipes and tubes for VERIFY plants in Yavatmal. ASME BPE SF1-SF4, Ra from 0.25 um, EN 10204 3.1 certificate with every lot.</v>
      </c>
      <c r="AK668" s="15" t="str">
        <f t="shared" si="21"/>
        <v>Electropolished stainless steel pipes supplied by Sakshi Forge to VERIFY plants at MIDC Industrial Area, Yavatmal</v>
      </c>
      <c r="AL668" s="15" t="str">
        <f t="shared" si="22"/>
        <v>Electropolished SS 316L tube stock for Yavatmal - Sakshi Forge</v>
      </c>
      <c r="AM668" s="15" t="str">
        <f t="shared" si="23"/>
        <v>Home &gt; Market Area &gt; India &gt; Maharashtra &gt; Yavatmal</v>
      </c>
      <c r="AN668" s="15">
        <f t="shared" si="24"/>
        <v>1000</v>
      </c>
      <c r="AO668" s="15">
        <f t="shared" si="25"/>
        <v>8</v>
      </c>
      <c r="AP668" s="15">
        <f t="shared" si="26"/>
        <v>8</v>
      </c>
      <c r="AQ668" s="15">
        <f t="shared" si="27"/>
        <v>12</v>
      </c>
      <c r="AR668" s="31"/>
      <c r="AS668" s="31"/>
      <c r="AT668" s="35" t="s">
        <v>222</v>
      </c>
      <c r="AU668" s="35"/>
    </row>
    <row r="669" ht="15.75" customHeight="1">
      <c r="A669" s="15" t="s">
        <v>4695</v>
      </c>
      <c r="B669" s="15" t="s">
        <v>60</v>
      </c>
      <c r="C669" s="15" t="s">
        <v>1312</v>
      </c>
      <c r="D669" s="15" t="s">
        <v>4696</v>
      </c>
      <c r="E669" s="15" t="s">
        <v>4696</v>
      </c>
      <c r="F669" s="65" t="s">
        <v>788</v>
      </c>
      <c r="G669" s="66" t="s">
        <v>98</v>
      </c>
      <c r="H669" s="18" t="s">
        <v>4700</v>
      </c>
      <c r="I669" s="18" t="s">
        <v>8392</v>
      </c>
      <c r="J669" s="18" t="s">
        <v>98</v>
      </c>
      <c r="K669" s="18" t="s">
        <v>98</v>
      </c>
      <c r="L669" s="18" t="s">
        <v>98</v>
      </c>
      <c r="M669" s="18" t="s">
        <v>98</v>
      </c>
      <c r="N669" s="18" t="s">
        <v>98</v>
      </c>
      <c r="O669" s="18" t="s">
        <v>98</v>
      </c>
      <c r="P669" s="15" t="str">
        <f t="shared" si="1"/>
        <v>VERIFY</v>
      </c>
      <c r="Q669" s="15">
        <f t="shared" si="2"/>
        <v>2</v>
      </c>
      <c r="R669" s="15">
        <f t="shared" si="3"/>
        <v>1</v>
      </c>
      <c r="S669" s="15">
        <f t="shared" si="4"/>
        <v>1</v>
      </c>
      <c r="T669" s="15" t="str">
        <f t="shared" si="5"/>
        <v>B-6</v>
      </c>
      <c r="U669" s="15" t="str">
        <f t="shared" si="6"/>
        <v>T2-M1-H1-FB-6-VERIFY</v>
      </c>
      <c r="V669" s="15">
        <f t="shared" si="7"/>
        <v>0</v>
      </c>
      <c r="W669" s="31"/>
      <c r="X669" s="15" t="str">
        <f t="shared" si="8"/>
        <v>zaheerabad</v>
      </c>
      <c r="Y669" s="32" t="str">
        <f t="shared" si="9"/>
        <v>https://steelmanufacturer.in/market-area/electropolished-pipes-manufacturer-in-zaheerabad/</v>
      </c>
      <c r="Z669" s="15" t="str">
        <f t="shared" si="10"/>
        <v>Electropolished Pipes Manufacturer in Zaheerabad</v>
      </c>
      <c r="AA669" s="15" t="str">
        <f t="shared" si="11"/>
        <v>OK (48)</v>
      </c>
      <c r="AB669" s="15" t="str">
        <f t="shared" si="12"/>
        <v>EP-finished SS 304/316L pipes &amp; tubes for VERIFY plants in Zaheerabad. ASTM A270, ASME BPE SF1-SF4, EN 10204 3.1 MTC. PMI tested.</v>
      </c>
      <c r="AC669" s="15" t="str">
        <f t="shared" si="13"/>
        <v>PENDING RESEARCH</v>
      </c>
      <c r="AD669" s="15" t="str">
        <f t="shared" si="14"/>
        <v>Electropolished Pipes Manufacturer in Zaheerabad</v>
      </c>
      <c r="AE669" s="15" t="str">
        <f t="shared" si="15"/>
        <v>Electropolished Pipe &amp; Tube Manufacturing for Zaheerabad - Grades, Finishes &amp; Certification</v>
      </c>
      <c r="AF669" s="15" t="str">
        <f t="shared" si="16"/>
        <v>Electropolished Pipes Supplier in Zaheerabad - Stock Sizes, Lead Time &amp; Delivery</v>
      </c>
      <c r="AG669" s="15" t="str">
        <f t="shared" si="17"/>
        <v>Electropolished Pipes Wholesaler &amp; Stockist in Zaheerabad - Bulk &amp; Project Pricing</v>
      </c>
      <c r="AH669" s="15" t="str">
        <f t="shared" si="18"/>
        <v>electropolished pipes manufacturer in Zaheerabad, electropolished pipes supplier in Zaheerabad, electropolished pipes wholesaler in Zaheerabad, electropolished tube manufacturer Zaheerabad, EP pipe supplier Zaheerabad, sanitary tube supplier Zaheerabad, ASME BPE tubing Zaheerabad, ASTM A270 tube Zaheerabad, SS 316L electropolished pipe Zaheerabad</v>
      </c>
      <c r="AI669" s="15" t="str">
        <f t="shared" si="19"/>
        <v>Electropolished Pipes Manufacturer &amp; Supplier in Zaheerabad</v>
      </c>
      <c r="AJ669" s="15" t="str">
        <f t="shared" si="20"/>
        <v>EP-finished SS 304/316L pipes and tubes for VERIFY plants in Zaheerabad. ASME BPE SF1-SF4, Ra from 0.25 um, EN 10204 3.1 certificate with every lot.</v>
      </c>
      <c r="AK669" s="15" t="str">
        <f t="shared" si="21"/>
        <v>Electropolished stainless steel pipes supplied by Sakshi Forge to VERIFY plants at TSIIC Industrial Area, Zaheerabad</v>
      </c>
      <c r="AL669" s="15" t="str">
        <f t="shared" si="22"/>
        <v>Electropolished SS 316L tube stock for Zaheerabad - Sakshi Forge</v>
      </c>
      <c r="AM669" s="15" t="str">
        <f t="shared" si="23"/>
        <v>Home &gt; Market Area &gt; India &gt; Telangana &gt; Zaheerabad</v>
      </c>
      <c r="AN669" s="15">
        <f t="shared" si="24"/>
        <v>1000</v>
      </c>
      <c r="AO669" s="15">
        <f t="shared" si="25"/>
        <v>8</v>
      </c>
      <c r="AP669" s="15">
        <f t="shared" si="26"/>
        <v>8</v>
      </c>
      <c r="AQ669" s="15">
        <f t="shared" si="27"/>
        <v>12</v>
      </c>
      <c r="AR669" s="31"/>
      <c r="AS669" s="31"/>
      <c r="AT669" s="35" t="s">
        <v>222</v>
      </c>
      <c r="AU669" s="35"/>
    </row>
    <row r="670" ht="15.75" customHeight="1">
      <c r="A670" s="15" t="s">
        <v>4703</v>
      </c>
      <c r="B670" s="15" t="s">
        <v>60</v>
      </c>
      <c r="C670" s="15" t="s">
        <v>354</v>
      </c>
      <c r="D670" s="15" t="s">
        <v>4706</v>
      </c>
      <c r="E670" s="15" t="s">
        <v>4706</v>
      </c>
      <c r="F670" s="65" t="s">
        <v>788</v>
      </c>
      <c r="G670" s="66" t="s">
        <v>98</v>
      </c>
      <c r="H670" s="18" t="s">
        <v>4709</v>
      </c>
      <c r="I670" s="18" t="s">
        <v>8408</v>
      </c>
      <c r="J670" s="18" t="s">
        <v>98</v>
      </c>
      <c r="K670" s="18" t="s">
        <v>98</v>
      </c>
      <c r="L670" s="18" t="s">
        <v>98</v>
      </c>
      <c r="M670" s="18" t="s">
        <v>98</v>
      </c>
      <c r="N670" s="18" t="s">
        <v>98</v>
      </c>
      <c r="O670" s="18" t="s">
        <v>98</v>
      </c>
      <c r="P670" s="15" t="str">
        <f t="shared" si="1"/>
        <v>VERIFY</v>
      </c>
      <c r="Q670" s="15">
        <f t="shared" si="2"/>
        <v>3</v>
      </c>
      <c r="R670" s="15">
        <f t="shared" si="3"/>
        <v>2</v>
      </c>
      <c r="S670" s="15">
        <f t="shared" si="4"/>
        <v>2</v>
      </c>
      <c r="T670" s="15" t="str">
        <f t="shared" si="5"/>
        <v>B-1</v>
      </c>
      <c r="U670" s="15" t="str">
        <f t="shared" si="6"/>
        <v>T3-M2-H2-FB-1-VERIFY</v>
      </c>
      <c r="V670" s="15">
        <f t="shared" si="7"/>
        <v>0</v>
      </c>
      <c r="W670" s="31"/>
      <c r="X670" s="15" t="str">
        <f t="shared" si="8"/>
        <v>zirakpur</v>
      </c>
      <c r="Y670" s="32" t="str">
        <f t="shared" si="9"/>
        <v>https://steelmanufacturer.in/market-area/electropolished-pipes-manufacturer-in-zirakpur/</v>
      </c>
      <c r="Z670" s="15" t="str">
        <f t="shared" si="10"/>
        <v>Electropolished Pipes Manufacturer in Zirakpur | EP Tube Supplier</v>
      </c>
      <c r="AA670" s="15" t="str">
        <f t="shared" si="11"/>
        <v>OK (65)</v>
      </c>
      <c r="AB670" s="15" t="str">
        <f t="shared" si="12"/>
        <v>Electropolished tube supply to PSIEC Industrial Area, Zirakpur. Ra from 0.25 um, SF4 finish, mill test certificate with every lot.</v>
      </c>
      <c r="AC670" s="15" t="str">
        <f t="shared" si="13"/>
        <v>PENDING RESEARCH</v>
      </c>
      <c r="AD670" s="15" t="str">
        <f t="shared" si="14"/>
        <v>Electropolished Pipes Manufacturer in Zirakpur</v>
      </c>
      <c r="AE670" s="15" t="str">
        <f t="shared" si="15"/>
        <v>How We Manufacture Electropolished Tube for Zirakpur Plants</v>
      </c>
      <c r="AF670" s="15" t="str">
        <f t="shared" si="16"/>
        <v>Supplying Electropolished Pipes in Zirakpur: Availability, Sizes &amp; Dispatch</v>
      </c>
      <c r="AG670" s="15" t="str">
        <f t="shared" si="17"/>
        <v>Wholesale Electropolished Pipe Supply for Zirakpur Projects</v>
      </c>
      <c r="AH670" s="15" t="str">
        <f t="shared" si="18"/>
        <v>electropolished pipes manufacturer in Zirakpur, electropolished pipes supplier in Zirakpur, electropolished pipes wholesaler in Zirakpur, electropolished tube manufacturer Zirakpur, EP pipe supplier Zirakpur, sanitary tube supplier Zirakpur, ASME BPE tubing Zirakpur, ASTM A270 tube Zirakpur, SS 316L electropolished pipe Zirakpur</v>
      </c>
      <c r="AI670" s="15" t="str">
        <f t="shared" si="19"/>
        <v>Electropolished Pipes Manufacturer &amp; Supplier in Zirakpur</v>
      </c>
      <c r="AJ670" s="15" t="str">
        <f t="shared" si="20"/>
        <v>EP-finished SS 304/316L pipes and tubes for VERIFY plants in Zirakpur. ASME BPE SF1-SF4, Ra from 0.25 um, EN 10204 3.1 certificate with every lot.</v>
      </c>
      <c r="AK670" s="15" t="str">
        <f t="shared" si="21"/>
        <v>Electropolished stainless steel pipes supplied by Sakshi Forge to VERIFY plants at PSIEC Industrial Area, Zirakpur</v>
      </c>
      <c r="AL670" s="15" t="str">
        <f t="shared" si="22"/>
        <v>Electropolished SS 316L tube stock for Zirakpur - Sakshi Forge</v>
      </c>
      <c r="AM670" s="15" t="str">
        <f t="shared" si="23"/>
        <v>Home &gt; Market Area &gt; India &gt; Punjab &gt; Zirakpur</v>
      </c>
      <c r="AN670" s="15">
        <f t="shared" si="24"/>
        <v>1000</v>
      </c>
      <c r="AO670" s="15">
        <f t="shared" si="25"/>
        <v>8</v>
      </c>
      <c r="AP670" s="15">
        <f t="shared" si="26"/>
        <v>8</v>
      </c>
      <c r="AQ670" s="15">
        <f t="shared" si="27"/>
        <v>12</v>
      </c>
      <c r="AR670" s="31"/>
      <c r="AS670" s="31"/>
      <c r="AT670" s="35" t="s">
        <v>222</v>
      </c>
      <c r="AU670" s="35"/>
    </row>
    <row r="671" ht="15.75" customHeight="1">
      <c r="A671" s="15" t="s">
        <v>8423</v>
      </c>
      <c r="B671" s="15" t="s">
        <v>403</v>
      </c>
      <c r="C671" s="15" t="s">
        <v>5916</v>
      </c>
      <c r="D671" s="15" t="s">
        <v>8424</v>
      </c>
      <c r="E671" s="15" t="s">
        <v>8424</v>
      </c>
      <c r="F671" s="65" t="s">
        <v>788</v>
      </c>
      <c r="G671" s="17" t="s">
        <v>88</v>
      </c>
      <c r="H671" s="18" t="s">
        <v>8425</v>
      </c>
      <c r="I671" s="18" t="s">
        <v>8425</v>
      </c>
      <c r="J671" s="18" t="s">
        <v>7732</v>
      </c>
      <c r="K671" s="18" t="s">
        <v>94</v>
      </c>
      <c r="L671" s="18" t="s">
        <v>5838</v>
      </c>
      <c r="M671" s="18" t="s">
        <v>604</v>
      </c>
      <c r="N671" s="18" t="s">
        <v>421</v>
      </c>
      <c r="O671" s="18" t="s">
        <v>98</v>
      </c>
      <c r="P671" s="15" t="str">
        <f t="shared" si="1"/>
        <v>FOOD</v>
      </c>
      <c r="Q671" s="15">
        <f t="shared" si="2"/>
        <v>4</v>
      </c>
      <c r="R671" s="15">
        <f t="shared" si="3"/>
        <v>3</v>
      </c>
      <c r="S671" s="15">
        <f t="shared" si="4"/>
        <v>3</v>
      </c>
      <c r="T671" s="15" t="str">
        <f t="shared" si="5"/>
        <v>B-2</v>
      </c>
      <c r="U671" s="15" t="str">
        <f t="shared" si="6"/>
        <v>T4-M3-H3-FB-2-FOOD</v>
      </c>
      <c r="V671" s="15">
        <f t="shared" si="7"/>
        <v>0</v>
      </c>
      <c r="W671" s="31"/>
      <c r="X671" s="15" t="str">
        <f t="shared" si="8"/>
        <v>albury-wodonga-australia</v>
      </c>
      <c r="Y671" s="32" t="str">
        <f t="shared" si="9"/>
        <v>https://steelmanufacturer.in/market-area/electropolished-pipes-manufacturer-in-albury-wodonga-australia/</v>
      </c>
      <c r="Z671" s="15" t="str">
        <f t="shared" si="10"/>
        <v>Electropolished Pipes Manufacturer in Albury-Wodonga</v>
      </c>
      <c r="AA671" s="15" t="str">
        <f t="shared" si="11"/>
        <v>OK (52)</v>
      </c>
      <c r="AB671" s="15" t="str">
        <f t="shared" si="12"/>
        <v>EP stainless tube for food processing lines in Albury-Wodonga. 18-24 days sea from Nhava Sheva to Melbourne. ASTM A270 S2, PMI tested, EN 10204 3.1.</v>
      </c>
      <c r="AC671" s="15" t="str">
        <f t="shared" si="13"/>
        <v>OK (148)</v>
      </c>
      <c r="AD671" s="15" t="str">
        <f t="shared" si="14"/>
        <v>Electropolished Pipes Manufacturer in Albury-Wodonga</v>
      </c>
      <c r="AE671" s="15" t="str">
        <f t="shared" si="15"/>
        <v>Electropolished Pipes Manufacturer in Albury-Wodonga - Our Process &amp; Capability</v>
      </c>
      <c r="AF671" s="15" t="str">
        <f t="shared" si="16"/>
        <v>Electropolished Pipes Supplier in Albury-Wodonga - What We Hold in Stock</v>
      </c>
      <c r="AG671" s="15" t="str">
        <f t="shared" si="17"/>
        <v>Bulk &amp; Wholesale Electropolished Pipe Rates for Albury-Wodonga Buyers</v>
      </c>
      <c r="AH671" s="15" t="str">
        <f t="shared" si="18"/>
        <v>electropolished pipes manufacturer in Albury-Wodonga, electropolished pipes supplier in Albury-Wodonga, electropolished pipes wholesaler in Albury-Wodonga, electropolished tube manufacturer Albury-Wodonga, EP pipe supplier Albury-Wodonga, sanitary tube supplier Albury-Wodonga, ASME BPE tubing Albury-Wodonga, ASTM A270 tube Albury-Wodonga, SS 316L electropolished pipe Albury-Wodonga</v>
      </c>
      <c r="AI671" s="15" t="str">
        <f t="shared" si="19"/>
        <v>Electropolished Pipes Manufacturer &amp; Supplier in Albury-Wodonga</v>
      </c>
      <c r="AJ671" s="15" t="str">
        <f t="shared" si="20"/>
        <v>EP-finished SS 304/316L pipes and tubes for food processing plants in Albury-Wodonga. ASME BPE SF1-SF4, Ra from 0.25 um, EN 10204 3.1 certificate with every lot.</v>
      </c>
      <c r="AK671" s="15" t="str">
        <f t="shared" si="21"/>
        <v>Electropolished stainless steel pipes supplied by Sakshi Forge to food processing plants at Nexus Industrial Precinct, Albury-Wodonga</v>
      </c>
      <c r="AL671" s="15" t="str">
        <f t="shared" si="22"/>
        <v>Electropolished SS 316L tube stock for Albury-Wodonga - Sakshi Forge</v>
      </c>
      <c r="AM671" s="15" t="str">
        <f t="shared" si="23"/>
        <v>Home &gt; Market Area &gt; Australia &gt; New South Wales &gt; Albury-Wodonga</v>
      </c>
      <c r="AN671" s="15">
        <f t="shared" si="24"/>
        <v>1000</v>
      </c>
      <c r="AO671" s="15">
        <f t="shared" si="25"/>
        <v>8</v>
      </c>
      <c r="AP671" s="15">
        <f t="shared" si="26"/>
        <v>8</v>
      </c>
      <c r="AQ671" s="15">
        <f t="shared" si="27"/>
        <v>12</v>
      </c>
      <c r="AR671" s="31"/>
      <c r="AS671" s="31"/>
      <c r="AT671" s="35" t="s">
        <v>222</v>
      </c>
      <c r="AU671" s="35"/>
    </row>
    <row r="672" ht="15.75" customHeight="1">
      <c r="A672" s="15" t="s">
        <v>8426</v>
      </c>
      <c r="B672" s="15" t="s">
        <v>403</v>
      </c>
      <c r="C672" s="15" t="s">
        <v>5787</v>
      </c>
      <c r="D672" s="15" t="s">
        <v>8427</v>
      </c>
      <c r="E672" s="15" t="s">
        <v>8427</v>
      </c>
      <c r="F672" s="65" t="s">
        <v>788</v>
      </c>
      <c r="G672" s="17" t="s">
        <v>88</v>
      </c>
      <c r="H672" s="18" t="s">
        <v>8428</v>
      </c>
      <c r="I672" s="18" t="s">
        <v>8428</v>
      </c>
      <c r="J672" s="18" t="s">
        <v>8429</v>
      </c>
      <c r="K672" s="18" t="s">
        <v>579</v>
      </c>
      <c r="L672" s="18" t="s">
        <v>5838</v>
      </c>
      <c r="M672" s="18" t="s">
        <v>604</v>
      </c>
      <c r="N672" s="18" t="s">
        <v>421</v>
      </c>
      <c r="O672" s="18" t="s">
        <v>98</v>
      </c>
      <c r="P672" s="15" t="str">
        <f t="shared" si="1"/>
        <v>DAIRY</v>
      </c>
      <c r="Q672" s="15">
        <f t="shared" si="2"/>
        <v>5</v>
      </c>
      <c r="R672" s="15">
        <f t="shared" si="3"/>
        <v>4</v>
      </c>
      <c r="S672" s="15">
        <f t="shared" si="4"/>
        <v>4</v>
      </c>
      <c r="T672" s="15" t="str">
        <f t="shared" si="5"/>
        <v>B-3</v>
      </c>
      <c r="U672" s="15" t="str">
        <f t="shared" si="6"/>
        <v>T5-M4-H4-FB-3-DAIRY</v>
      </c>
      <c r="V672" s="15">
        <f t="shared" si="7"/>
        <v>0</v>
      </c>
      <c r="W672" s="31"/>
      <c r="X672" s="15" t="str">
        <f t="shared" si="8"/>
        <v>ballarat-australia</v>
      </c>
      <c r="Y672" s="32" t="str">
        <f t="shared" si="9"/>
        <v>https://steelmanufacturer.in/market-area/electropolished-pipes-manufacturer-in-ballarat-australia/</v>
      </c>
      <c r="Z672" s="15" t="str">
        <f t="shared" si="10"/>
        <v>Electropolished Pipes Manufacturer in Ballarat</v>
      </c>
      <c r="AA672" s="15" t="str">
        <f t="shared" si="11"/>
        <v>OK (46)</v>
      </c>
      <c r="AB672" s="15" t="str">
        <f t="shared" si="12"/>
        <v>Sanitary electropolished pipes in Ballarat for food &amp; dairy plants. ASME BPE SF1-SF4, orbital-weld ready, 3.1 MTC. Mumbai-made.</v>
      </c>
      <c r="AC672" s="15" t="str">
        <f t="shared" si="13"/>
        <v>OK (127)</v>
      </c>
      <c r="AD672" s="15" t="str">
        <f t="shared" si="14"/>
        <v>Electropolished Pipes Manufacturer in Ballarat</v>
      </c>
      <c r="AE672" s="15" t="str">
        <f t="shared" si="15"/>
        <v>Manufacturing Electropolished SS Tube for Ballarat: The Standards We Build To</v>
      </c>
      <c r="AF672" s="15" t="str">
        <f t="shared" si="16"/>
        <v>Electropolished Pipe Supply Into Ballarat - Certification &amp; Transit</v>
      </c>
      <c r="AG672" s="15" t="str">
        <f t="shared" si="17"/>
        <v>Electropolished Pipes Wholesaler in Ballarat - Project Quantities &amp; Terms</v>
      </c>
      <c r="AH672" s="15" t="str">
        <f t="shared" si="18"/>
        <v>electropolished pipes manufacturer in Ballarat, electropolished pipes supplier in Ballarat, electropolished pipes wholesaler in Ballarat, electropolished tube manufacturer Ballarat, EP pipe supplier Ballarat, sanitary tube supplier Ballarat, ASME BPE tubing Ballarat, ASTM A270 tube Ballarat, SS 316L electropolished pipe Ballarat</v>
      </c>
      <c r="AI672" s="15" t="str">
        <f t="shared" si="19"/>
        <v>Electropolished Pipes Manufacturer &amp; Supplier in Ballarat</v>
      </c>
      <c r="AJ672" s="15" t="str">
        <f t="shared" si="20"/>
        <v>EP-finished SS 304/316L pipes and tubes for food &amp; dairy plants in Ballarat. ASME BPE SF1-SF4, Ra from 0.25 um, EN 10204 3.1 certificate with every lot.</v>
      </c>
      <c r="AK672" s="15" t="str">
        <f t="shared" si="21"/>
        <v>Electropolished stainless steel pipes supplied by Sakshi Forge to food &amp; dairy plants at Ballarat West Employment Zone, Ballarat</v>
      </c>
      <c r="AL672" s="15" t="str">
        <f t="shared" si="22"/>
        <v>Electropolished SS 316L tube stock for Ballarat - Sakshi Forge</v>
      </c>
      <c r="AM672" s="15" t="str">
        <f t="shared" si="23"/>
        <v>Home &gt; Market Area &gt; Australia &gt; Victoria &gt; Ballarat</v>
      </c>
      <c r="AN672" s="15">
        <f t="shared" si="24"/>
        <v>1000</v>
      </c>
      <c r="AO672" s="15">
        <f t="shared" si="25"/>
        <v>8</v>
      </c>
      <c r="AP672" s="15">
        <f t="shared" si="26"/>
        <v>8</v>
      </c>
      <c r="AQ672" s="15">
        <f t="shared" si="27"/>
        <v>12</v>
      </c>
      <c r="AR672" s="31"/>
      <c r="AS672" s="31"/>
      <c r="AT672" s="35" t="s">
        <v>222</v>
      </c>
      <c r="AU672" s="35"/>
    </row>
    <row r="673" ht="15.75" customHeight="1">
      <c r="A673" s="15" t="s">
        <v>8430</v>
      </c>
      <c r="B673" s="15" t="s">
        <v>403</v>
      </c>
      <c r="C673" s="15" t="s">
        <v>5787</v>
      </c>
      <c r="D673" s="15" t="s">
        <v>8431</v>
      </c>
      <c r="E673" s="15" t="s">
        <v>8431</v>
      </c>
      <c r="F673" s="65" t="s">
        <v>788</v>
      </c>
      <c r="G673" s="17" t="s">
        <v>88</v>
      </c>
      <c r="H673" s="18" t="s">
        <v>8432</v>
      </c>
      <c r="I673" s="18" t="s">
        <v>8433</v>
      </c>
      <c r="J673" s="18" t="s">
        <v>8434</v>
      </c>
      <c r="K673" s="18" t="s">
        <v>94</v>
      </c>
      <c r="L673" s="18" t="s">
        <v>5838</v>
      </c>
      <c r="M673" s="18" t="s">
        <v>604</v>
      </c>
      <c r="N673" s="18" t="s">
        <v>421</v>
      </c>
      <c r="O673" s="18" t="s">
        <v>98</v>
      </c>
      <c r="P673" s="15" t="str">
        <f t="shared" si="1"/>
        <v>FOOD</v>
      </c>
      <c r="Q673" s="15">
        <f t="shared" si="2"/>
        <v>6</v>
      </c>
      <c r="R673" s="15">
        <f t="shared" si="3"/>
        <v>5</v>
      </c>
      <c r="S673" s="15">
        <f t="shared" si="4"/>
        <v>5</v>
      </c>
      <c r="T673" s="15" t="str">
        <f t="shared" si="5"/>
        <v>B-4</v>
      </c>
      <c r="U673" s="15" t="str">
        <f t="shared" si="6"/>
        <v>T6-M5-H5-FB-4-FOOD</v>
      </c>
      <c r="V673" s="15">
        <f t="shared" si="7"/>
        <v>0</v>
      </c>
      <c r="W673" s="31"/>
      <c r="X673" s="15" t="str">
        <f t="shared" si="8"/>
        <v>bendigo-australia</v>
      </c>
      <c r="Y673" s="32" t="str">
        <f t="shared" si="9"/>
        <v>https://steelmanufacturer.in/market-area/electropolished-pipes-manufacturer-in-bendigo-australia/</v>
      </c>
      <c r="Z673" s="15" t="str">
        <f t="shared" si="10"/>
        <v>Electropolished Pipes Manufacturer in Bendigo</v>
      </c>
      <c r="AA673" s="15" t="str">
        <f t="shared" si="11"/>
        <v>OK (45)</v>
      </c>
      <c r="AB673" s="15" t="str">
        <f t="shared" si="12"/>
        <v>Manufacturer of electropolished SS 316L tube serving Bendigo. 18-24 days sea from Nhava Sheva to Melbourne. Ra 0.25-0.5 um, EN 10204 3.1 MTC.</v>
      </c>
      <c r="AC673" s="15" t="str">
        <f t="shared" si="13"/>
        <v>OK (141)</v>
      </c>
      <c r="AD673" s="15" t="str">
        <f t="shared" si="14"/>
        <v>Electropolished Pipes Manufacturer in Bendigo</v>
      </c>
      <c r="AE673" s="15" t="str">
        <f t="shared" si="15"/>
        <v>Electropolished Tube Manufacturing Capability Serving Bendigo</v>
      </c>
      <c r="AF673" s="15" t="str">
        <f t="shared" si="16"/>
        <v>Electropolished Pipes Supplier in Bendigo - From Order to Delivery</v>
      </c>
      <c r="AG673" s="15" t="str">
        <f t="shared" si="17"/>
        <v>Stockist &amp; Wholesale Supply of Electropolished Pipes in Bendigo</v>
      </c>
      <c r="AH673" s="15" t="str">
        <f t="shared" si="18"/>
        <v>electropolished pipes manufacturer in Bendigo, electropolished pipes supplier in Bendigo, electropolished pipes wholesaler in Bendigo, electropolished tube manufacturer Bendigo, EP pipe supplier Bendigo, sanitary tube supplier Bendigo, ASME BPE tubing Bendigo, ASTM A270 tube Bendigo, SS 316L electropolished pipe Bendigo</v>
      </c>
      <c r="AI673" s="15" t="str">
        <f t="shared" si="19"/>
        <v>Electropolished Pipes Manufacturer &amp; Supplier in Bendigo</v>
      </c>
      <c r="AJ673" s="15" t="str">
        <f t="shared" si="20"/>
        <v>EP-finished SS 304/316L pipes and tubes for food processing plants in Bendigo. ASME BPE SF1-SF4, Ra from 0.25 um, EN 10204 3.1 certificate with every lot.</v>
      </c>
      <c r="AK673" s="15" t="str">
        <f t="shared" si="21"/>
        <v>Electropolished stainless steel pipes supplied by Sakshi Forge to food processing plants at Bendigo Industrial Estate, Bendigo</v>
      </c>
      <c r="AL673" s="15" t="str">
        <f t="shared" si="22"/>
        <v>Electropolished SS 316L tube stock for Bendigo - Sakshi Forge</v>
      </c>
      <c r="AM673" s="15" t="str">
        <f t="shared" si="23"/>
        <v>Home &gt; Market Area &gt; Australia &gt; Victoria &gt; Bendigo</v>
      </c>
      <c r="AN673" s="15">
        <f t="shared" si="24"/>
        <v>1000</v>
      </c>
      <c r="AO673" s="15">
        <f t="shared" si="25"/>
        <v>8</v>
      </c>
      <c r="AP673" s="15">
        <f t="shared" si="26"/>
        <v>8</v>
      </c>
      <c r="AQ673" s="15">
        <f t="shared" si="27"/>
        <v>12</v>
      </c>
      <c r="AR673" s="31"/>
      <c r="AS673" s="31"/>
      <c r="AT673" s="35" t="s">
        <v>222</v>
      </c>
      <c r="AU673" s="35"/>
    </row>
    <row r="674" ht="15.75" customHeight="1">
      <c r="A674" s="15" t="s">
        <v>8435</v>
      </c>
      <c r="B674" s="15" t="s">
        <v>403</v>
      </c>
      <c r="C674" s="15" t="s">
        <v>5742</v>
      </c>
      <c r="D674" s="15" t="s">
        <v>8436</v>
      </c>
      <c r="E674" s="15" t="s">
        <v>8436</v>
      </c>
      <c r="F674" s="65" t="s">
        <v>788</v>
      </c>
      <c r="G674" s="17" t="s">
        <v>88</v>
      </c>
      <c r="H674" s="18" t="s">
        <v>8437</v>
      </c>
      <c r="I674" s="18" t="s">
        <v>8437</v>
      </c>
      <c r="J674" s="18" t="s">
        <v>8438</v>
      </c>
      <c r="K674" s="18" t="s">
        <v>94</v>
      </c>
      <c r="L674" s="18" t="s">
        <v>8439</v>
      </c>
      <c r="M674" s="18" t="s">
        <v>604</v>
      </c>
      <c r="N674" s="18" t="s">
        <v>421</v>
      </c>
      <c r="O674" s="18" t="s">
        <v>98</v>
      </c>
      <c r="P674" s="15" t="str">
        <f t="shared" si="1"/>
        <v>FOOD</v>
      </c>
      <c r="Q674" s="15">
        <f t="shared" si="2"/>
        <v>7</v>
      </c>
      <c r="R674" s="15">
        <f t="shared" si="3"/>
        <v>6</v>
      </c>
      <c r="S674" s="15">
        <f t="shared" si="4"/>
        <v>1</v>
      </c>
      <c r="T674" s="15" t="str">
        <f t="shared" si="5"/>
        <v>B-5</v>
      </c>
      <c r="U674" s="15" t="str">
        <f t="shared" si="6"/>
        <v>T7-M6-H1-FB-5-FOOD</v>
      </c>
      <c r="V674" s="15">
        <f t="shared" si="7"/>
        <v>0</v>
      </c>
      <c r="W674" s="31"/>
      <c r="X674" s="15" t="str">
        <f t="shared" si="8"/>
        <v>cairns-australia</v>
      </c>
      <c r="Y674" s="32" t="str">
        <f t="shared" si="9"/>
        <v>https://steelmanufacturer.in/market-area/electropolished-pipes-manufacturer-in-cairns-australia/</v>
      </c>
      <c r="Z674" s="15" t="str">
        <f t="shared" si="10"/>
        <v>Electropolished Pipes Manufacturer in Cairns | ASME BPE SF1-SF4</v>
      </c>
      <c r="AA674" s="15" t="str">
        <f t="shared" si="11"/>
        <v>OK (63)</v>
      </c>
      <c r="AB674" s="15" t="str">
        <f t="shared" si="12"/>
        <v>EP tube and pipe for food processing plants around Portsmith Industrial Area, Cairns. Made at our Mumbai works to ASTM A270 and ASME BPE SF1-SF4, with 3.1 MTC.</v>
      </c>
      <c r="AC674" s="15" t="str">
        <f t="shared" si="13"/>
        <v>OK (159)</v>
      </c>
      <c r="AD674" s="15" t="str">
        <f t="shared" si="14"/>
        <v>Electropolished Pipes Manufacturer in Cairns</v>
      </c>
      <c r="AE674" s="15" t="str">
        <f t="shared" si="15"/>
        <v>Electropolished Pipe &amp; Tube Manufacturing for Cairns - Grades, Finishes &amp; Certification</v>
      </c>
      <c r="AF674" s="15" t="str">
        <f t="shared" si="16"/>
        <v>Electropolished Pipes Supplier in Cairns - Stock Sizes, Lead Time &amp; Delivery</v>
      </c>
      <c r="AG674" s="15" t="str">
        <f t="shared" si="17"/>
        <v>Electropolished Pipes Wholesaler &amp; Stockist in Cairns - Bulk &amp; Project Pricing</v>
      </c>
      <c r="AH674" s="15" t="str">
        <f t="shared" si="18"/>
        <v>electropolished pipes manufacturer in Cairns, electropolished pipes supplier in Cairns, electropolished pipes wholesaler in Cairns, electropolished tube manufacturer Cairns, EP pipe supplier Cairns, sanitary tube supplier Cairns, ASME BPE tubing Cairns, ASTM A270 tube Cairns, SS 316L electropolished pipe Cairns</v>
      </c>
      <c r="AI674" s="15" t="str">
        <f t="shared" si="19"/>
        <v>Electropolished Pipes Manufacturer &amp; Supplier in Cairns</v>
      </c>
      <c r="AJ674" s="15" t="str">
        <f t="shared" si="20"/>
        <v>EP-finished SS 304/316L pipes and tubes for food processing plants in Cairns. ASME BPE SF1-SF4, Ra from 0.25 um, EN 10204 3.1 certificate with every lot.</v>
      </c>
      <c r="AK674" s="15" t="str">
        <f t="shared" si="21"/>
        <v>Electropolished stainless steel pipes supplied by Sakshi Forge to food processing plants at Portsmith Industrial Area, Cairns</v>
      </c>
      <c r="AL674" s="15" t="str">
        <f t="shared" si="22"/>
        <v>Electropolished SS 316L tube stock for Cairns - Sakshi Forge</v>
      </c>
      <c r="AM674" s="15" t="str">
        <f t="shared" si="23"/>
        <v>Home &gt; Market Area &gt; Australia &gt; Queensland &gt; Cairns</v>
      </c>
      <c r="AN674" s="15">
        <f t="shared" si="24"/>
        <v>1000</v>
      </c>
      <c r="AO674" s="15">
        <f t="shared" si="25"/>
        <v>8</v>
      </c>
      <c r="AP674" s="15">
        <f t="shared" si="26"/>
        <v>8</v>
      </c>
      <c r="AQ674" s="15">
        <f t="shared" si="27"/>
        <v>12</v>
      </c>
      <c r="AR674" s="31"/>
      <c r="AS674" s="31"/>
      <c r="AT674" s="35" t="s">
        <v>222</v>
      </c>
      <c r="AU674" s="35"/>
    </row>
    <row r="675" ht="15.75" customHeight="1">
      <c r="A675" s="15" t="s">
        <v>8440</v>
      </c>
      <c r="B675" s="15" t="s">
        <v>403</v>
      </c>
      <c r="C675" s="15" t="s">
        <v>8441</v>
      </c>
      <c r="D675" s="15" t="s">
        <v>8442</v>
      </c>
      <c r="E675" s="15" t="s">
        <v>8442</v>
      </c>
      <c r="F675" s="65" t="s">
        <v>788</v>
      </c>
      <c r="G675" s="17" t="s">
        <v>88</v>
      </c>
      <c r="H675" s="18" t="s">
        <v>8443</v>
      </c>
      <c r="I675" s="18" t="s">
        <v>8444</v>
      </c>
      <c r="J675" s="18" t="s">
        <v>8445</v>
      </c>
      <c r="K675" s="18" t="s">
        <v>1320</v>
      </c>
      <c r="L675" s="18" t="s">
        <v>5923</v>
      </c>
      <c r="M675" s="18" t="s">
        <v>604</v>
      </c>
      <c r="N675" s="18" t="s">
        <v>421</v>
      </c>
      <c r="O675" s="18" t="s">
        <v>98</v>
      </c>
      <c r="P675" s="15" t="str">
        <f t="shared" si="1"/>
        <v>BIOTECH</v>
      </c>
      <c r="Q675" s="15">
        <f t="shared" si="2"/>
        <v>8</v>
      </c>
      <c r="R675" s="15">
        <f t="shared" si="3"/>
        <v>7</v>
      </c>
      <c r="S675" s="15">
        <f t="shared" si="4"/>
        <v>2</v>
      </c>
      <c r="T675" s="15" t="str">
        <f t="shared" si="5"/>
        <v>B-6</v>
      </c>
      <c r="U675" s="15" t="str">
        <f t="shared" si="6"/>
        <v>T8-M7-H2-FB-6-BIOTECH</v>
      </c>
      <c r="V675" s="15">
        <f t="shared" si="7"/>
        <v>0</v>
      </c>
      <c r="W675" s="31"/>
      <c r="X675" s="15" t="str">
        <f t="shared" si="8"/>
        <v>canberra-australia</v>
      </c>
      <c r="Y675" s="32" t="str">
        <f t="shared" si="9"/>
        <v>https://steelmanufacturer.in/market-area/electropolished-pipes-manufacturer-in-canberra-australia/</v>
      </c>
      <c r="Z675" s="15" t="str">
        <f t="shared" si="10"/>
        <v>Electropolished Pipes Manufacturer in Canberra - EP Tube Stockist</v>
      </c>
      <c r="AA675" s="15" t="str">
        <f t="shared" si="11"/>
        <v>OK (65)</v>
      </c>
      <c r="AB675" s="15" t="str">
        <f t="shared" si="12"/>
        <v>Electropolished pipes in Canberra: 304, 304L, 316 and 316L in SF1-SF4. 18-24 days sea from Nhava Sheva to Melbourne. Mill certified.</v>
      </c>
      <c r="AC675" s="15" t="str">
        <f t="shared" si="13"/>
        <v>OK (132)</v>
      </c>
      <c r="AD675" s="15" t="str">
        <f t="shared" si="14"/>
        <v>Electropolished Pipes Manufacturer in Canberra</v>
      </c>
      <c r="AE675" s="15" t="str">
        <f t="shared" si="15"/>
        <v>How We Manufacture Electropolished Tube for Canberra Plants</v>
      </c>
      <c r="AF675" s="15" t="str">
        <f t="shared" si="16"/>
        <v>Supplying Electropolished Pipes in Canberra: Availability, Sizes &amp; Dispatch</v>
      </c>
      <c r="AG675" s="15" t="str">
        <f t="shared" si="17"/>
        <v>Wholesale Electropolished Pipe Supply for Canberra Projects</v>
      </c>
      <c r="AH675" s="15" t="str">
        <f t="shared" si="18"/>
        <v>electropolished pipes manufacturer in Canberra, electropolished pipes supplier in Canberra, electropolished pipes wholesaler in Canberra, electropolished tube manufacturer Canberra, EP pipe supplier Canberra, sanitary tube supplier Canberra, ASME BPE tubing Canberra, ASTM A270 tube Canberra, SS 316L electropolished pipe Canberra</v>
      </c>
      <c r="AI675" s="15" t="str">
        <f t="shared" si="19"/>
        <v>Electropolished Pipes Manufacturer &amp; Supplier in Canberra</v>
      </c>
      <c r="AJ675" s="15" t="str">
        <f t="shared" si="20"/>
        <v>EP-finished SS 304/316L pipes and tubes for biotech plants in Canberra. ASME BPE SF1-SF4, Ra from 0.25 um, EN 10204 3.1 certificate with every lot.</v>
      </c>
      <c r="AK675" s="15" t="str">
        <f t="shared" si="21"/>
        <v>Electropolished stainless steel pipes supplied by Sakshi Forge to biotech plants at Hume Industrial, Canberra</v>
      </c>
      <c r="AL675" s="15" t="str">
        <f t="shared" si="22"/>
        <v>Electropolished SS 316L tube stock for Canberra - Sakshi Forge</v>
      </c>
      <c r="AM675" s="15" t="str">
        <f t="shared" si="23"/>
        <v>Home &gt; Market Area &gt; Australia &gt; ACT &gt; Canberra</v>
      </c>
      <c r="AN675" s="15">
        <f t="shared" si="24"/>
        <v>1000</v>
      </c>
      <c r="AO675" s="15">
        <f t="shared" si="25"/>
        <v>8</v>
      </c>
      <c r="AP675" s="15">
        <f t="shared" si="26"/>
        <v>8</v>
      </c>
      <c r="AQ675" s="15">
        <f t="shared" si="27"/>
        <v>12</v>
      </c>
      <c r="AR675" s="31"/>
      <c r="AS675" s="31"/>
      <c r="AT675" s="35" t="s">
        <v>222</v>
      </c>
      <c r="AU675" s="35"/>
    </row>
    <row r="676" ht="15.75" customHeight="1">
      <c r="A676" s="15" t="s">
        <v>8446</v>
      </c>
      <c r="B676" s="15" t="s">
        <v>403</v>
      </c>
      <c r="C676" s="15" t="s">
        <v>8447</v>
      </c>
      <c r="D676" s="15" t="s">
        <v>8448</v>
      </c>
      <c r="E676" s="15" t="s">
        <v>8448</v>
      </c>
      <c r="F676" s="65" t="s">
        <v>788</v>
      </c>
      <c r="G676" s="17" t="s">
        <v>88</v>
      </c>
      <c r="H676" s="18" t="s">
        <v>8449</v>
      </c>
      <c r="I676" s="18" t="s">
        <v>8450</v>
      </c>
      <c r="J676" s="18" t="s">
        <v>8451</v>
      </c>
      <c r="K676" s="18" t="s">
        <v>94</v>
      </c>
      <c r="L676" s="18" t="s">
        <v>8452</v>
      </c>
      <c r="M676" s="18" t="s">
        <v>604</v>
      </c>
      <c r="N676" s="18" t="s">
        <v>421</v>
      </c>
      <c r="O676" s="18" t="s">
        <v>98</v>
      </c>
      <c r="P676" s="15" t="str">
        <f t="shared" si="1"/>
        <v>FOOD</v>
      </c>
      <c r="Q676" s="15">
        <f t="shared" si="2"/>
        <v>1</v>
      </c>
      <c r="R676" s="15">
        <f t="shared" si="3"/>
        <v>1</v>
      </c>
      <c r="S676" s="15">
        <f t="shared" si="4"/>
        <v>3</v>
      </c>
      <c r="T676" s="15" t="str">
        <f t="shared" si="5"/>
        <v>B-1</v>
      </c>
      <c r="U676" s="15" t="str">
        <f t="shared" si="6"/>
        <v>T1-M1-H3-FB-1-FOOD</v>
      </c>
      <c r="V676" s="15">
        <f t="shared" si="7"/>
        <v>0</v>
      </c>
      <c r="W676" s="31"/>
      <c r="X676" s="15" t="str">
        <f t="shared" si="8"/>
        <v>darwin-australia</v>
      </c>
      <c r="Y676" s="32" t="str">
        <f t="shared" si="9"/>
        <v>https://steelmanufacturer.in/market-area/electropolished-pipes-manufacturer-in-darwin-australia/</v>
      </c>
      <c r="Z676" s="15" t="str">
        <f t="shared" si="10"/>
        <v>Electropolished Pipes Manufacturer in Darwin | Sakshi Forge</v>
      </c>
      <c r="AA676" s="15" t="str">
        <f t="shared" si="11"/>
        <v>OK (59)</v>
      </c>
      <c r="AB676" s="15" t="str">
        <f t="shared" si="12"/>
        <v>EP-finished SS 304/316L pipes &amp; tubes for food processing plants in Darwin. ASTM A270, ASME BPE SF1-SF4, EN 10204 3.1 MTC. PMI tested.</v>
      </c>
      <c r="AC676" s="15" t="str">
        <f t="shared" si="13"/>
        <v>OK (134)</v>
      </c>
      <c r="AD676" s="15" t="str">
        <f t="shared" si="14"/>
        <v>Electropolished Pipes Manufacturer in Darwin</v>
      </c>
      <c r="AE676" s="15" t="str">
        <f t="shared" si="15"/>
        <v>Electropolished Pipes Manufacturer in Darwin - Our Process &amp; Capability</v>
      </c>
      <c r="AF676" s="15" t="str">
        <f t="shared" si="16"/>
        <v>Electropolished Pipes Supplier in Darwin - What We Hold in Stock</v>
      </c>
      <c r="AG676" s="15" t="str">
        <f t="shared" si="17"/>
        <v>Bulk &amp; Wholesale Electropolished Pipe Rates for Darwin Buyers</v>
      </c>
      <c r="AH676" s="15" t="str">
        <f t="shared" si="18"/>
        <v>electropolished pipes manufacturer in Darwin, electropolished pipes supplier in Darwin, electropolished pipes wholesaler in Darwin, electropolished tube manufacturer Darwin, EP pipe supplier Darwin, sanitary tube supplier Darwin, ASME BPE tubing Darwin, ASTM A270 tube Darwin, SS 316L electropolished pipe Darwin</v>
      </c>
      <c r="AI676" s="15" t="str">
        <f t="shared" si="19"/>
        <v>Electropolished Pipes Manufacturer &amp; Supplier in Darwin</v>
      </c>
      <c r="AJ676" s="15" t="str">
        <f t="shared" si="20"/>
        <v>EP-finished SS 304/316L pipes and tubes for food processing plants in Darwin. ASME BPE SF1-SF4, Ra from 0.25 um, EN 10204 3.1 certificate with every lot.</v>
      </c>
      <c r="AK676" s="15" t="str">
        <f t="shared" si="21"/>
        <v>Electropolished stainless steel pipes supplied by Sakshi Forge to food processing plants at East Arm Industrial, Darwin</v>
      </c>
      <c r="AL676" s="15" t="str">
        <f t="shared" si="22"/>
        <v>Electropolished SS 316L tube stock for Darwin - Sakshi Forge</v>
      </c>
      <c r="AM676" s="15" t="str">
        <f t="shared" si="23"/>
        <v>Home &gt; Market Area &gt; Australia &gt; Northern Territory &gt; Darwin</v>
      </c>
      <c r="AN676" s="15">
        <f t="shared" si="24"/>
        <v>1000</v>
      </c>
      <c r="AO676" s="15">
        <f t="shared" si="25"/>
        <v>8</v>
      </c>
      <c r="AP676" s="15">
        <f t="shared" si="26"/>
        <v>8</v>
      </c>
      <c r="AQ676" s="15">
        <f t="shared" si="27"/>
        <v>12</v>
      </c>
      <c r="AR676" s="31"/>
      <c r="AS676" s="31"/>
      <c r="AT676" s="35" t="s">
        <v>222</v>
      </c>
      <c r="AU676" s="35"/>
    </row>
    <row r="677" ht="15.75" customHeight="1">
      <c r="A677" s="15" t="s">
        <v>8453</v>
      </c>
      <c r="B677" s="15" t="s">
        <v>403</v>
      </c>
      <c r="C677" s="15" t="s">
        <v>5742</v>
      </c>
      <c r="D677" s="15" t="s">
        <v>8454</v>
      </c>
      <c r="E677" s="15" t="s">
        <v>8454</v>
      </c>
      <c r="F677" s="65" t="s">
        <v>788</v>
      </c>
      <c r="G677" s="17" t="s">
        <v>88</v>
      </c>
      <c r="H677" s="18" t="s">
        <v>8455</v>
      </c>
      <c r="I677" s="18" t="s">
        <v>8456</v>
      </c>
      <c r="J677" s="18" t="s">
        <v>8457</v>
      </c>
      <c r="K677" s="18" t="s">
        <v>5794</v>
      </c>
      <c r="L677" s="18" t="s">
        <v>5751</v>
      </c>
      <c r="M677" s="18" t="s">
        <v>604</v>
      </c>
      <c r="N677" s="18" t="s">
        <v>421</v>
      </c>
      <c r="O677" s="18" t="s">
        <v>98</v>
      </c>
      <c r="P677" s="15" t="str">
        <f t="shared" si="1"/>
        <v>BREWERY</v>
      </c>
      <c r="Q677" s="15">
        <f t="shared" si="2"/>
        <v>2</v>
      </c>
      <c r="R677" s="15">
        <f t="shared" si="3"/>
        <v>2</v>
      </c>
      <c r="S677" s="15">
        <f t="shared" si="4"/>
        <v>4</v>
      </c>
      <c r="T677" s="15" t="str">
        <f t="shared" si="5"/>
        <v>B-2</v>
      </c>
      <c r="U677" s="15" t="str">
        <f t="shared" si="6"/>
        <v>T2-M2-H4-FB-2-BREWERY</v>
      </c>
      <c r="V677" s="15">
        <f t="shared" si="7"/>
        <v>0</v>
      </c>
      <c r="W677" s="31"/>
      <c r="X677" s="15" t="str">
        <f t="shared" si="8"/>
        <v>gold-coast-australia</v>
      </c>
      <c r="Y677" s="32" t="str">
        <f t="shared" si="9"/>
        <v>https://steelmanufacturer.in/market-area/electropolished-pipes-manufacturer-in-gold-coast-australia/</v>
      </c>
      <c r="Z677" s="15" t="str">
        <f t="shared" si="10"/>
        <v>Electropolished Pipes Manufacturer in Gold Coast</v>
      </c>
      <c r="AA677" s="15" t="str">
        <f t="shared" si="11"/>
        <v>OK (48)</v>
      </c>
      <c r="AB677" s="15" t="str">
        <f t="shared" si="12"/>
        <v>Electropolished tube supply to Yatala Enterprise Area, Gold Coast. Ra from 0.25 um, SF4 finish, mill test certificate with every lot.</v>
      </c>
      <c r="AC677" s="15" t="str">
        <f t="shared" si="13"/>
        <v>OK (133)</v>
      </c>
      <c r="AD677" s="15" t="str">
        <f t="shared" si="14"/>
        <v>Electropolished Pipes Manufacturer in Gold Coast</v>
      </c>
      <c r="AE677" s="15" t="str">
        <f t="shared" si="15"/>
        <v>Manufacturing Electropolished SS Tube for Gold Coast: The Standards We Build To</v>
      </c>
      <c r="AF677" s="15" t="str">
        <f t="shared" si="16"/>
        <v>Electropolished Pipe Supply Into Gold Coast - Certification &amp; Transit</v>
      </c>
      <c r="AG677" s="15" t="str">
        <f t="shared" si="17"/>
        <v>Electropolished Pipes Wholesaler in Gold Coast - Project Quantities &amp; Terms</v>
      </c>
      <c r="AH677" s="15" t="str">
        <f t="shared" si="18"/>
        <v>electropolished pipes manufacturer in Gold Coast, electropolished pipes supplier in Gold Coast, electropolished pipes wholesaler in Gold Coast, electropolished tube manufacturer Gold Coast, EP pipe supplier Gold Coast, sanitary tube supplier Gold Coast, ASME BPE tubing Gold Coast, ASTM A270 tube Gold Coast, SS 316L electropolished pipe Gold Coast</v>
      </c>
      <c r="AI677" s="15" t="str">
        <f t="shared" si="19"/>
        <v>Electropolished Pipes Manufacturer &amp; Supplier in Gold Coast</v>
      </c>
      <c r="AJ677" s="15" t="str">
        <f t="shared" si="20"/>
        <v>EP-finished SS 304/316L pipes and tubes for brewery &amp; food plants in Gold Coast. ASME BPE SF1-SF4, Ra from 0.25 um, EN 10204 3.1 certificate with every lot.</v>
      </c>
      <c r="AK677" s="15" t="str">
        <f t="shared" si="21"/>
        <v>Electropolished stainless steel pipes supplied by Sakshi Forge to brewery &amp; food plants at Yatala Enterprise Area, Gold Coast</v>
      </c>
      <c r="AL677" s="15" t="str">
        <f t="shared" si="22"/>
        <v>Electropolished SS 316L tube stock for Gold Coast - Sakshi Forge</v>
      </c>
      <c r="AM677" s="15" t="str">
        <f t="shared" si="23"/>
        <v>Home &gt; Market Area &gt; Australia &gt; Queensland &gt; Gold Coast</v>
      </c>
      <c r="AN677" s="15">
        <f t="shared" si="24"/>
        <v>1000</v>
      </c>
      <c r="AO677" s="15">
        <f t="shared" si="25"/>
        <v>8</v>
      </c>
      <c r="AP677" s="15">
        <f t="shared" si="26"/>
        <v>8</v>
      </c>
      <c r="AQ677" s="15">
        <f t="shared" si="27"/>
        <v>12</v>
      </c>
      <c r="AR677" s="31"/>
      <c r="AS677" s="31"/>
      <c r="AT677" s="35" t="s">
        <v>222</v>
      </c>
      <c r="AU677" s="35"/>
    </row>
    <row r="678" ht="15.75" customHeight="1">
      <c r="A678" s="15" t="s">
        <v>8458</v>
      </c>
      <c r="B678" s="15" t="s">
        <v>403</v>
      </c>
      <c r="C678" s="15" t="s">
        <v>8459</v>
      </c>
      <c r="D678" s="15" t="s">
        <v>8460</v>
      </c>
      <c r="E678" s="15" t="s">
        <v>8460</v>
      </c>
      <c r="F678" s="65" t="s">
        <v>788</v>
      </c>
      <c r="G678" s="17" t="s">
        <v>88</v>
      </c>
      <c r="H678" s="18" t="s">
        <v>8461</v>
      </c>
      <c r="I678" s="18" t="s">
        <v>8462</v>
      </c>
      <c r="J678" s="18" t="s">
        <v>8463</v>
      </c>
      <c r="K678" s="18" t="s">
        <v>5794</v>
      </c>
      <c r="L678" s="18" t="s">
        <v>8464</v>
      </c>
      <c r="M678" s="18" t="s">
        <v>604</v>
      </c>
      <c r="N678" s="18" t="s">
        <v>421</v>
      </c>
      <c r="O678" s="18" t="s">
        <v>98</v>
      </c>
      <c r="P678" s="15" t="str">
        <f t="shared" si="1"/>
        <v>BREWERY</v>
      </c>
      <c r="Q678" s="15">
        <f t="shared" si="2"/>
        <v>3</v>
      </c>
      <c r="R678" s="15">
        <f t="shared" si="3"/>
        <v>3</v>
      </c>
      <c r="S678" s="15">
        <f t="shared" si="4"/>
        <v>5</v>
      </c>
      <c r="T678" s="15" t="str">
        <f t="shared" si="5"/>
        <v>B-3</v>
      </c>
      <c r="U678" s="15" t="str">
        <f t="shared" si="6"/>
        <v>T3-M3-H5-FB-3-BREWERY</v>
      </c>
      <c r="V678" s="15">
        <f t="shared" si="7"/>
        <v>0</v>
      </c>
      <c r="W678" s="31"/>
      <c r="X678" s="15" t="str">
        <f t="shared" si="8"/>
        <v>hobart-australia</v>
      </c>
      <c r="Y678" s="32" t="str">
        <f t="shared" si="9"/>
        <v>https://steelmanufacturer.in/market-area/electropolished-pipes-manufacturer-in-hobart-australia/</v>
      </c>
      <c r="Z678" s="15" t="str">
        <f t="shared" si="10"/>
        <v>Electropolished Pipes Manufacturer in Hobart | EP Tube Supplier</v>
      </c>
      <c r="AA678" s="15" t="str">
        <f t="shared" si="11"/>
        <v>OK (63)</v>
      </c>
      <c r="AB678" s="15" t="str">
        <f t="shared" si="12"/>
        <v>EP stainless tube for brewery &amp; food lines in Hobart. 18-24 days sea from Nhava Sheva to Melbourne. ASTM A270 S2, PMI tested, EN 10204 3.1.</v>
      </c>
      <c r="AC678" s="15" t="str">
        <f t="shared" si="13"/>
        <v>OK (139)</v>
      </c>
      <c r="AD678" s="15" t="str">
        <f t="shared" si="14"/>
        <v>Electropolished Pipes Manufacturer in Hobart</v>
      </c>
      <c r="AE678" s="15" t="str">
        <f t="shared" si="15"/>
        <v>Electropolished Tube Manufacturing Capability Serving Hobart</v>
      </c>
      <c r="AF678" s="15" t="str">
        <f t="shared" si="16"/>
        <v>Electropolished Pipes Supplier in Hobart - From Order to Delivery</v>
      </c>
      <c r="AG678" s="15" t="str">
        <f t="shared" si="17"/>
        <v>Stockist &amp; Wholesale Supply of Electropolished Pipes in Hobart</v>
      </c>
      <c r="AH678" s="15" t="str">
        <f t="shared" si="18"/>
        <v>electropolished pipes manufacturer in Hobart, electropolished pipes supplier in Hobart, electropolished pipes wholesaler in Hobart, electropolished tube manufacturer Hobart, EP pipe supplier Hobart, sanitary tube supplier Hobart, ASME BPE tubing Hobart, ASTM A270 tube Hobart, SS 316L electropolished pipe Hobart</v>
      </c>
      <c r="AI678" s="15" t="str">
        <f t="shared" si="19"/>
        <v>Electropolished Pipes Manufacturer &amp; Supplier in Hobart</v>
      </c>
      <c r="AJ678" s="15" t="str">
        <f t="shared" si="20"/>
        <v>EP-finished SS 304/316L pipes and tubes for brewery &amp; food plants in Hobart. ASME BPE SF1-SF4, Ra from 0.25 um, EN 10204 3.1 certificate with every lot.</v>
      </c>
      <c r="AK678" s="15" t="str">
        <f t="shared" si="21"/>
        <v>Electropolished stainless steel pipes supplied by Sakshi Forge to brewery &amp; food plants at Derwent Park Industrial, Hobart</v>
      </c>
      <c r="AL678" s="15" t="str">
        <f t="shared" si="22"/>
        <v>Electropolished SS 316L tube stock for Hobart - Sakshi Forge</v>
      </c>
      <c r="AM678" s="15" t="str">
        <f t="shared" si="23"/>
        <v>Home &gt; Market Area &gt; Australia &gt; Tasmania &gt; Hobart</v>
      </c>
      <c r="AN678" s="15">
        <f t="shared" si="24"/>
        <v>1000</v>
      </c>
      <c r="AO678" s="15">
        <f t="shared" si="25"/>
        <v>8</v>
      </c>
      <c r="AP678" s="15">
        <f t="shared" si="26"/>
        <v>8</v>
      </c>
      <c r="AQ678" s="15">
        <f t="shared" si="27"/>
        <v>12</v>
      </c>
      <c r="AR678" s="31"/>
      <c r="AS678" s="31"/>
      <c r="AT678" s="35" t="s">
        <v>222</v>
      </c>
      <c r="AU678" s="35"/>
    </row>
    <row r="679" ht="15.75" customHeight="1">
      <c r="A679" s="15" t="s">
        <v>8465</v>
      </c>
      <c r="B679" s="15" t="s">
        <v>403</v>
      </c>
      <c r="C679" s="15" t="s">
        <v>8459</v>
      </c>
      <c r="D679" s="15" t="s">
        <v>8466</v>
      </c>
      <c r="E679" s="15" t="s">
        <v>8466</v>
      </c>
      <c r="F679" s="65" t="s">
        <v>788</v>
      </c>
      <c r="G679" s="17" t="s">
        <v>88</v>
      </c>
      <c r="H679" s="18" t="s">
        <v>8467</v>
      </c>
      <c r="I679" s="18" t="s">
        <v>8467</v>
      </c>
      <c r="J679" s="18" t="s">
        <v>8468</v>
      </c>
      <c r="K679" s="18" t="s">
        <v>579</v>
      </c>
      <c r="L679" s="18" t="s">
        <v>8469</v>
      </c>
      <c r="M679" s="18" t="s">
        <v>604</v>
      </c>
      <c r="N679" s="18" t="s">
        <v>421</v>
      </c>
      <c r="O679" s="18" t="s">
        <v>98</v>
      </c>
      <c r="P679" s="15" t="str">
        <f t="shared" si="1"/>
        <v>DAIRY</v>
      </c>
      <c r="Q679" s="15">
        <f t="shared" si="2"/>
        <v>4</v>
      </c>
      <c r="R679" s="15">
        <f t="shared" si="3"/>
        <v>4</v>
      </c>
      <c r="S679" s="15">
        <f t="shared" si="4"/>
        <v>1</v>
      </c>
      <c r="T679" s="15" t="str">
        <f t="shared" si="5"/>
        <v>B-4</v>
      </c>
      <c r="U679" s="15" t="str">
        <f t="shared" si="6"/>
        <v>T4-M4-H1-FB-4-DAIRY</v>
      </c>
      <c r="V679" s="15">
        <f t="shared" si="7"/>
        <v>0</v>
      </c>
      <c r="W679" s="31"/>
      <c r="X679" s="15" t="str">
        <f t="shared" si="8"/>
        <v>launceston-australia</v>
      </c>
      <c r="Y679" s="32" t="str">
        <f t="shared" si="9"/>
        <v>https://steelmanufacturer.in/market-area/electropolished-pipes-manufacturer-in-launceston-australia/</v>
      </c>
      <c r="Z679" s="15" t="str">
        <f t="shared" si="10"/>
        <v>Electropolished Pipes Manufacturer in Launceston</v>
      </c>
      <c r="AA679" s="15" t="str">
        <f t="shared" si="11"/>
        <v>OK (48)</v>
      </c>
      <c r="AB679" s="15" t="str">
        <f t="shared" si="12"/>
        <v>Sanitary electropolished pipes in Launceston for food &amp; dairy plants. ASME BPE SF1-SF4, orbital-weld ready, 3.1 MTC. Mumbai-made.</v>
      </c>
      <c r="AC679" s="15" t="str">
        <f t="shared" si="13"/>
        <v>OK (129)</v>
      </c>
      <c r="AD679" s="15" t="str">
        <f t="shared" si="14"/>
        <v>Electropolished Pipes Manufacturer in Launceston</v>
      </c>
      <c r="AE679" s="15" t="str">
        <f t="shared" si="15"/>
        <v>Electropolished Pipe &amp; Tube Manufacturing for Launceston - Grades, Finishes &amp; Certification</v>
      </c>
      <c r="AF679" s="15" t="str">
        <f t="shared" si="16"/>
        <v>Electropolished Pipes Supplier in Launceston - Stock Sizes, Lead Time &amp; Delivery</v>
      </c>
      <c r="AG679" s="15" t="str">
        <f t="shared" si="17"/>
        <v>Electropolished Pipes Wholesaler &amp; Stockist in Launceston - Bulk &amp; Project Pricing</v>
      </c>
      <c r="AH679" s="15" t="str">
        <f t="shared" si="18"/>
        <v>electropolished pipes manufacturer in Launceston, electropolished pipes supplier in Launceston, electropolished pipes wholesaler in Launceston, electropolished tube manufacturer Launceston, EP pipe supplier Launceston, sanitary tube supplier Launceston, ASME BPE tubing Launceston, ASTM A270 tube Launceston, SS 316L electropolished pipe Launceston</v>
      </c>
      <c r="AI679" s="15" t="str">
        <f t="shared" si="19"/>
        <v>Electropolished Pipes Manufacturer &amp; Supplier in Launceston</v>
      </c>
      <c r="AJ679" s="15" t="str">
        <f t="shared" si="20"/>
        <v>EP-finished SS 304/316L pipes and tubes for food &amp; dairy plants in Launceston. ASME BPE SF1-SF4, Ra from 0.25 um, EN 10204 3.1 certificate with every lot.</v>
      </c>
      <c r="AK679" s="15" t="str">
        <f t="shared" si="21"/>
        <v>Electropolished stainless steel pipes supplied by Sakshi Forge to food &amp; dairy plants at Bell Bay Industrial Precinct, Launceston</v>
      </c>
      <c r="AL679" s="15" t="str">
        <f t="shared" si="22"/>
        <v>Electropolished SS 316L tube stock for Launceston - Sakshi Forge</v>
      </c>
      <c r="AM679" s="15" t="str">
        <f t="shared" si="23"/>
        <v>Home &gt; Market Area &gt; Australia &gt; Tasmania &gt; Launceston</v>
      </c>
      <c r="AN679" s="15">
        <f t="shared" si="24"/>
        <v>1000</v>
      </c>
      <c r="AO679" s="15">
        <f t="shared" si="25"/>
        <v>8</v>
      </c>
      <c r="AP679" s="15">
        <f t="shared" si="26"/>
        <v>8</v>
      </c>
      <c r="AQ679" s="15">
        <f t="shared" si="27"/>
        <v>12</v>
      </c>
      <c r="AR679" s="31"/>
      <c r="AS679" s="31"/>
      <c r="AT679" s="35" t="s">
        <v>222</v>
      </c>
      <c r="AU679" s="35"/>
    </row>
    <row r="680" ht="15.75" customHeight="1">
      <c r="A680" s="15" t="s">
        <v>8470</v>
      </c>
      <c r="B680" s="15" t="s">
        <v>403</v>
      </c>
      <c r="C680" s="15" t="s">
        <v>5916</v>
      </c>
      <c r="D680" s="15" t="s">
        <v>8471</v>
      </c>
      <c r="E680" s="15" t="s">
        <v>8472</v>
      </c>
      <c r="F680" s="65" t="s">
        <v>788</v>
      </c>
      <c r="G680" s="17" t="s">
        <v>88</v>
      </c>
      <c r="H680" s="18" t="s">
        <v>8473</v>
      </c>
      <c r="I680" s="18" t="s">
        <v>8474</v>
      </c>
      <c r="J680" s="18" t="s">
        <v>8475</v>
      </c>
      <c r="K680" s="18" t="s">
        <v>94</v>
      </c>
      <c r="L680" s="18" t="s">
        <v>8476</v>
      </c>
      <c r="M680" s="18" t="s">
        <v>604</v>
      </c>
      <c r="N680" s="18" t="s">
        <v>421</v>
      </c>
      <c r="O680" s="18" t="s">
        <v>98</v>
      </c>
      <c r="P680" s="15" t="str">
        <f t="shared" si="1"/>
        <v>FOOD</v>
      </c>
      <c r="Q680" s="15">
        <f t="shared" si="2"/>
        <v>5</v>
      </c>
      <c r="R680" s="15">
        <f t="shared" si="3"/>
        <v>5</v>
      </c>
      <c r="S680" s="15">
        <f t="shared" si="4"/>
        <v>2</v>
      </c>
      <c r="T680" s="15" t="str">
        <f t="shared" si="5"/>
        <v>B-5</v>
      </c>
      <c r="U680" s="15" t="str">
        <f t="shared" si="6"/>
        <v>T5-M5-H2-FB-5-FOOD</v>
      </c>
      <c r="V680" s="15">
        <f t="shared" si="7"/>
        <v>0</v>
      </c>
      <c r="W680" s="31"/>
      <c r="X680" s="15" t="str">
        <f t="shared" si="8"/>
        <v>newcastle-australia</v>
      </c>
      <c r="Y680" s="32" t="str">
        <f t="shared" si="9"/>
        <v>https://steelmanufacturer.in/market-area/electropolished-pipes-manufacturer-in-newcastle-australia/</v>
      </c>
      <c r="Z680" s="15" t="str">
        <f t="shared" si="10"/>
        <v>Electropolished Pipes Manufacturer in Newcastle, Australia</v>
      </c>
      <c r="AA680" s="15" t="str">
        <f t="shared" si="11"/>
        <v>OK (58)</v>
      </c>
      <c r="AB680" s="15" t="str">
        <f t="shared" si="12"/>
        <v>Manufacturer of electropolished SS 316L tube serving Newcastle, Australia. 18-24 days sea from Nhava Sheva to Melbourne. Ra 0.25-0.5 um, EN 10204 3.1 MTC.</v>
      </c>
      <c r="AC680" s="15" t="str">
        <f t="shared" si="13"/>
        <v>OK (154)</v>
      </c>
      <c r="AD680" s="15" t="str">
        <f t="shared" si="14"/>
        <v>Electropolished Pipes Manufacturer in Newcastle, Australia</v>
      </c>
      <c r="AE680" s="15" t="str">
        <f t="shared" si="15"/>
        <v>How We Manufacture Electropolished Tube for Newcastle, Australia Plants</v>
      </c>
      <c r="AF680" s="15" t="str">
        <f t="shared" si="16"/>
        <v>Supplying Electropolished Pipes in Newcastle, Australia: Availability, Sizes &amp; Dispatch</v>
      </c>
      <c r="AG680" s="15" t="str">
        <f t="shared" si="17"/>
        <v>Wholesale Electropolished Pipe Supply for Newcastle, Australia Projects</v>
      </c>
      <c r="AH680" s="15" t="str">
        <f t="shared" si="18"/>
        <v>electropolished pipes manufacturer in Newcastle, electropolished pipes supplier in Newcastle, electropolished pipes wholesaler in Newcastle, electropolished tube manufacturer Newcastle, EP pipe supplier Newcastle, sanitary tube supplier Newcastle, ASME BPE tubing Newcastle, ASTM A270 tube Newcastle, SS 316L electropolished pipe Newcastle</v>
      </c>
      <c r="AI680" s="15" t="str">
        <f t="shared" si="19"/>
        <v>Electropolished Pipes Manufacturer &amp; Supplier in Newcastle, Australia</v>
      </c>
      <c r="AJ680" s="15" t="str">
        <f t="shared" si="20"/>
        <v>EP-finished SS 304/316L pipes and tubes for food processing plants in Newcastle, Australia. ASME BPE SF1-SF4, Ra from 0.25 um, EN 10204 3.1 certificate with every lot.</v>
      </c>
      <c r="AK680" s="15" t="str">
        <f t="shared" si="21"/>
        <v>Electropolished stainless steel pipes supplied by Sakshi Forge to food processing plants at Kooragang Industrial, Newcastle, Australia</v>
      </c>
      <c r="AL680" s="15" t="str">
        <f t="shared" si="22"/>
        <v>Electropolished SS 316L tube stock for Newcastle, Australia - Sakshi Forge</v>
      </c>
      <c r="AM680" s="15" t="str">
        <f t="shared" si="23"/>
        <v>Home &gt; Market Area &gt; Australia &gt; New South Wales &gt; Newcastle</v>
      </c>
      <c r="AN680" s="15">
        <f t="shared" si="24"/>
        <v>1000</v>
      </c>
      <c r="AO680" s="15">
        <f t="shared" si="25"/>
        <v>8</v>
      </c>
      <c r="AP680" s="15">
        <f t="shared" si="26"/>
        <v>8</v>
      </c>
      <c r="AQ680" s="15">
        <f t="shared" si="27"/>
        <v>12</v>
      </c>
      <c r="AR680" s="31"/>
      <c r="AS680" s="31"/>
      <c r="AT680" s="35" t="s">
        <v>222</v>
      </c>
      <c r="AU680" s="35"/>
    </row>
    <row r="681" ht="15.75" customHeight="1">
      <c r="A681" s="15" t="s">
        <v>8477</v>
      </c>
      <c r="B681" s="15" t="s">
        <v>403</v>
      </c>
      <c r="C681" s="15" t="s">
        <v>5787</v>
      </c>
      <c r="D681" s="15" t="s">
        <v>8478</v>
      </c>
      <c r="E681" s="15" t="s">
        <v>8478</v>
      </c>
      <c r="F681" s="65" t="s">
        <v>788</v>
      </c>
      <c r="G681" s="17" t="s">
        <v>88</v>
      </c>
      <c r="H681" s="18" t="s">
        <v>8479</v>
      </c>
      <c r="I681" s="18" t="s">
        <v>8479</v>
      </c>
      <c r="J681" s="18" t="s">
        <v>8480</v>
      </c>
      <c r="K681" s="18" t="s">
        <v>579</v>
      </c>
      <c r="L681" s="18" t="s">
        <v>5838</v>
      </c>
      <c r="M681" s="18" t="s">
        <v>604</v>
      </c>
      <c r="N681" s="18" t="s">
        <v>421</v>
      </c>
      <c r="O681" s="18" t="s">
        <v>98</v>
      </c>
      <c r="P681" s="15" t="str">
        <f t="shared" si="1"/>
        <v>DAIRY</v>
      </c>
      <c r="Q681" s="15">
        <f t="shared" si="2"/>
        <v>6</v>
      </c>
      <c r="R681" s="15">
        <f t="shared" si="3"/>
        <v>6</v>
      </c>
      <c r="S681" s="15">
        <f t="shared" si="4"/>
        <v>3</v>
      </c>
      <c r="T681" s="15" t="str">
        <f t="shared" si="5"/>
        <v>B-6</v>
      </c>
      <c r="U681" s="15" t="str">
        <f t="shared" si="6"/>
        <v>T6-M6-H3-FB-6-DAIRY</v>
      </c>
      <c r="V681" s="15">
        <f t="shared" si="7"/>
        <v>0</v>
      </c>
      <c r="W681" s="31"/>
      <c r="X681" s="15" t="str">
        <f t="shared" si="8"/>
        <v>shepparton-australia</v>
      </c>
      <c r="Y681" s="32" t="str">
        <f t="shared" si="9"/>
        <v>https://steelmanufacturer.in/market-area/electropolished-pipes-manufacturer-in-shepparton-australia/</v>
      </c>
      <c r="Z681" s="15" t="str">
        <f t="shared" si="10"/>
        <v>Electropolished Pipes Manufacturer in Shepparton</v>
      </c>
      <c r="AA681" s="15" t="str">
        <f t="shared" si="11"/>
        <v>OK (48)</v>
      </c>
      <c r="AB681" s="15" t="str">
        <f t="shared" si="12"/>
        <v>EP tube and pipe for food &amp; dairy plants around Shepparton Industrial Precinct, Shepparton. ASTM A270, ASME BPE SF1-SF4, EN 10204 3.1 MTC.</v>
      </c>
      <c r="AC681" s="15" t="str">
        <f t="shared" si="13"/>
        <v>OK (138)</v>
      </c>
      <c r="AD681" s="15" t="str">
        <f t="shared" si="14"/>
        <v>Electropolished Pipes Manufacturer in Shepparton</v>
      </c>
      <c r="AE681" s="15" t="str">
        <f t="shared" si="15"/>
        <v>Electropolished Pipes Manufacturer in Shepparton - Our Process &amp; Capability</v>
      </c>
      <c r="AF681" s="15" t="str">
        <f t="shared" si="16"/>
        <v>Electropolished Pipes Supplier in Shepparton - What We Hold in Stock</v>
      </c>
      <c r="AG681" s="15" t="str">
        <f t="shared" si="17"/>
        <v>Bulk &amp; Wholesale Electropolished Pipe Rates for Shepparton Buyers</v>
      </c>
      <c r="AH681" s="15" t="str">
        <f t="shared" si="18"/>
        <v>electropolished pipes manufacturer in Shepparton, electropolished pipes supplier in Shepparton, electropolished pipes wholesaler in Shepparton, electropolished tube manufacturer Shepparton, EP pipe supplier Shepparton, sanitary tube supplier Shepparton, ASME BPE tubing Shepparton, ASTM A270 tube Shepparton, SS 316L electropolished pipe Shepparton</v>
      </c>
      <c r="AI681" s="15" t="str">
        <f t="shared" si="19"/>
        <v>Electropolished Pipes Manufacturer &amp; Supplier in Shepparton</v>
      </c>
      <c r="AJ681" s="15" t="str">
        <f t="shared" si="20"/>
        <v>EP-finished SS 304/316L pipes and tubes for food &amp; dairy plants in Shepparton. ASME BPE SF1-SF4, Ra from 0.25 um, EN 10204 3.1 certificate with every lot.</v>
      </c>
      <c r="AK681" s="15" t="str">
        <f t="shared" si="21"/>
        <v>Electropolished stainless steel pipes supplied by Sakshi Forge to food &amp; dairy plants at Shepparton Industrial Precinct, Shepparton</v>
      </c>
      <c r="AL681" s="15" t="str">
        <f t="shared" si="22"/>
        <v>Electropolished SS 316L tube stock for Shepparton - Sakshi Forge</v>
      </c>
      <c r="AM681" s="15" t="str">
        <f t="shared" si="23"/>
        <v>Home &gt; Market Area &gt; Australia &gt; Victoria &gt; Shepparton</v>
      </c>
      <c r="AN681" s="15">
        <f t="shared" si="24"/>
        <v>1000</v>
      </c>
      <c r="AO681" s="15">
        <f t="shared" si="25"/>
        <v>8</v>
      </c>
      <c r="AP681" s="15">
        <f t="shared" si="26"/>
        <v>8</v>
      </c>
      <c r="AQ681" s="15">
        <f t="shared" si="27"/>
        <v>12</v>
      </c>
      <c r="AR681" s="31"/>
      <c r="AS681" s="31"/>
      <c r="AT681" s="35" t="s">
        <v>222</v>
      </c>
      <c r="AU681" s="35"/>
    </row>
    <row r="682" ht="15.75" customHeight="1">
      <c r="A682" s="15" t="s">
        <v>8481</v>
      </c>
      <c r="B682" s="15" t="s">
        <v>403</v>
      </c>
      <c r="C682" s="15" t="s">
        <v>5742</v>
      </c>
      <c r="D682" s="15" t="s">
        <v>8482</v>
      </c>
      <c r="E682" s="15" t="s">
        <v>8482</v>
      </c>
      <c r="F682" s="65" t="s">
        <v>788</v>
      </c>
      <c r="G682" s="17" t="s">
        <v>88</v>
      </c>
      <c r="H682" s="18" t="s">
        <v>8483</v>
      </c>
      <c r="I682" s="18" t="s">
        <v>8484</v>
      </c>
      <c r="J682" s="18" t="s">
        <v>8485</v>
      </c>
      <c r="K682" s="18" t="s">
        <v>94</v>
      </c>
      <c r="L682" s="18" t="s">
        <v>5751</v>
      </c>
      <c r="M682" s="18" t="s">
        <v>604</v>
      </c>
      <c r="N682" s="18" t="s">
        <v>421</v>
      </c>
      <c r="O682" s="18" t="s">
        <v>98</v>
      </c>
      <c r="P682" s="15" t="str">
        <f t="shared" si="1"/>
        <v>FOOD</v>
      </c>
      <c r="Q682" s="15">
        <f t="shared" si="2"/>
        <v>7</v>
      </c>
      <c r="R682" s="15">
        <f t="shared" si="3"/>
        <v>7</v>
      </c>
      <c r="S682" s="15">
        <f t="shared" si="4"/>
        <v>4</v>
      </c>
      <c r="T682" s="15" t="str">
        <f t="shared" si="5"/>
        <v>B-1</v>
      </c>
      <c r="U682" s="15" t="str">
        <f t="shared" si="6"/>
        <v>T7-M7-H4-FB-1-FOOD</v>
      </c>
      <c r="V682" s="15">
        <f t="shared" si="7"/>
        <v>0</v>
      </c>
      <c r="W682" s="31"/>
      <c r="X682" s="15" t="str">
        <f t="shared" si="8"/>
        <v>toowoomba-australia</v>
      </c>
      <c r="Y682" s="32" t="str">
        <f t="shared" si="9"/>
        <v>https://steelmanufacturer.in/market-area/electropolished-pipes-manufacturer-in-toowoomba-australia/</v>
      </c>
      <c r="Z682" s="15" t="str">
        <f t="shared" si="10"/>
        <v>Electropolished Pipes Manufacturer in Toowoomba</v>
      </c>
      <c r="AA682" s="15" t="str">
        <f t="shared" si="11"/>
        <v>OK (47)</v>
      </c>
      <c r="AB682" s="15" t="str">
        <f t="shared" si="12"/>
        <v>Electropolished pipes in Toowoomba: 304, 304L, 316 and 316L in SF1-SF4. 18-24 days sea from Nhava Sheva to Melbourne. Mill certified.</v>
      </c>
      <c r="AC682" s="15" t="str">
        <f t="shared" si="13"/>
        <v>OK (133)</v>
      </c>
      <c r="AD682" s="15" t="str">
        <f t="shared" si="14"/>
        <v>Electropolished Pipes Manufacturer in Toowoomba</v>
      </c>
      <c r="AE682" s="15" t="str">
        <f t="shared" si="15"/>
        <v>Manufacturing Electropolished SS Tube for Toowoomba: The Standards We Build To</v>
      </c>
      <c r="AF682" s="15" t="str">
        <f t="shared" si="16"/>
        <v>Electropolished Pipe Supply Into Toowoomba - Certification &amp; Transit</v>
      </c>
      <c r="AG682" s="15" t="str">
        <f t="shared" si="17"/>
        <v>Electropolished Pipes Wholesaler in Toowoomba - Project Quantities &amp; Terms</v>
      </c>
      <c r="AH682" s="15" t="str">
        <f t="shared" si="18"/>
        <v>electropolished pipes manufacturer in Toowoomba, electropolished pipes supplier in Toowoomba, electropolished pipes wholesaler in Toowoomba, electropolished tube manufacturer Toowoomba, EP pipe supplier Toowoomba, sanitary tube supplier Toowoomba, ASME BPE tubing Toowoomba, ASTM A270 tube Toowoomba, SS 316L electropolished pipe Toowoomba</v>
      </c>
      <c r="AI682" s="15" t="str">
        <f t="shared" si="19"/>
        <v>Electropolished Pipes Manufacturer &amp; Supplier in Toowoomba</v>
      </c>
      <c r="AJ682" s="15" t="str">
        <f t="shared" si="20"/>
        <v>EP-finished SS 304/316L pipes and tubes for food processing plants in Toowoomba. ASME BPE SF1-SF4, Ra from 0.25 um, EN 10204 3.1 certificate with every lot.</v>
      </c>
      <c r="AK682" s="15" t="str">
        <f t="shared" si="21"/>
        <v>Electropolished stainless steel pipes supplied by Sakshi Forge to food processing plants at Charlton Industrial, Toowoomba</v>
      </c>
      <c r="AL682" s="15" t="str">
        <f t="shared" si="22"/>
        <v>Electropolished SS 316L tube stock for Toowoomba - Sakshi Forge</v>
      </c>
      <c r="AM682" s="15" t="str">
        <f t="shared" si="23"/>
        <v>Home &gt; Market Area &gt; Australia &gt; Queensland &gt; Toowoomba</v>
      </c>
      <c r="AN682" s="15">
        <f t="shared" si="24"/>
        <v>1000</v>
      </c>
      <c r="AO682" s="15">
        <f t="shared" si="25"/>
        <v>8</v>
      </c>
      <c r="AP682" s="15">
        <f t="shared" si="26"/>
        <v>8</v>
      </c>
      <c r="AQ682" s="15">
        <f t="shared" si="27"/>
        <v>12</v>
      </c>
      <c r="AR682" s="31"/>
      <c r="AS682" s="31"/>
      <c r="AT682" s="35" t="s">
        <v>222</v>
      </c>
      <c r="AU682" s="35"/>
    </row>
    <row r="683" ht="15.75" customHeight="1">
      <c r="A683" s="15" t="s">
        <v>8486</v>
      </c>
      <c r="B683" s="15" t="s">
        <v>403</v>
      </c>
      <c r="C683" s="15" t="s">
        <v>5742</v>
      </c>
      <c r="D683" s="15" t="s">
        <v>8487</v>
      </c>
      <c r="E683" s="15" t="s">
        <v>8487</v>
      </c>
      <c r="F683" s="65" t="s">
        <v>788</v>
      </c>
      <c r="G683" s="17" t="s">
        <v>88</v>
      </c>
      <c r="H683" s="18" t="s">
        <v>8488</v>
      </c>
      <c r="I683" s="18" t="s">
        <v>8489</v>
      </c>
      <c r="J683" s="18" t="s">
        <v>8490</v>
      </c>
      <c r="K683" s="18" t="s">
        <v>94</v>
      </c>
      <c r="L683" s="18" t="s">
        <v>8491</v>
      </c>
      <c r="M683" s="18" t="s">
        <v>604</v>
      </c>
      <c r="N683" s="18" t="s">
        <v>421</v>
      </c>
      <c r="O683" s="18" t="s">
        <v>98</v>
      </c>
      <c r="P683" s="15" t="str">
        <f t="shared" si="1"/>
        <v>FOOD</v>
      </c>
      <c r="Q683" s="15">
        <f t="shared" si="2"/>
        <v>8</v>
      </c>
      <c r="R683" s="15">
        <f t="shared" si="3"/>
        <v>1</v>
      </c>
      <c r="S683" s="15">
        <f t="shared" si="4"/>
        <v>5</v>
      </c>
      <c r="T683" s="15" t="str">
        <f t="shared" si="5"/>
        <v>B-2</v>
      </c>
      <c r="U683" s="15" t="str">
        <f t="shared" si="6"/>
        <v>T8-M1-H5-FB-2-FOOD</v>
      </c>
      <c r="V683" s="15">
        <f t="shared" si="7"/>
        <v>0</v>
      </c>
      <c r="W683" s="31"/>
      <c r="X683" s="15" t="str">
        <f t="shared" si="8"/>
        <v>townsville-australia</v>
      </c>
      <c r="Y683" s="32" t="str">
        <f t="shared" si="9"/>
        <v>https://steelmanufacturer.in/market-area/electropolished-pipes-manufacturer-in-townsville-australia/</v>
      </c>
      <c r="Z683" s="15" t="str">
        <f t="shared" si="10"/>
        <v>Electropolished Pipes Manufacturer in Townsville</v>
      </c>
      <c r="AA683" s="15" t="str">
        <f t="shared" si="11"/>
        <v>OK (48)</v>
      </c>
      <c r="AB683" s="15" t="str">
        <f t="shared" si="12"/>
        <v>EP-finished SS 304/316L pipes &amp; tubes for food processing plants in Townsville. ASTM A270, ASME BPE SF1-SF4, EN 10204 3.1 MTC. PMI tested.</v>
      </c>
      <c r="AC683" s="15" t="str">
        <f t="shared" si="13"/>
        <v>OK (138)</v>
      </c>
      <c r="AD683" s="15" t="str">
        <f t="shared" si="14"/>
        <v>Electropolished Pipes Manufacturer in Townsville</v>
      </c>
      <c r="AE683" s="15" t="str">
        <f t="shared" si="15"/>
        <v>Electropolished Tube Manufacturing Capability Serving Townsville</v>
      </c>
      <c r="AF683" s="15" t="str">
        <f t="shared" si="16"/>
        <v>Electropolished Pipes Supplier in Townsville - From Order to Delivery</v>
      </c>
      <c r="AG683" s="15" t="str">
        <f t="shared" si="17"/>
        <v>Stockist &amp; Wholesale Supply of Electropolished Pipes in Townsville</v>
      </c>
      <c r="AH683" s="15" t="str">
        <f t="shared" si="18"/>
        <v>electropolished pipes manufacturer in Townsville, electropolished pipes supplier in Townsville, electropolished pipes wholesaler in Townsville, electropolished tube manufacturer Townsville, EP pipe supplier Townsville, sanitary tube supplier Townsville, ASME BPE tubing Townsville, ASTM A270 tube Townsville, SS 316L electropolished pipe Townsville</v>
      </c>
      <c r="AI683" s="15" t="str">
        <f t="shared" si="19"/>
        <v>Electropolished Pipes Manufacturer &amp; Supplier in Townsville</v>
      </c>
      <c r="AJ683" s="15" t="str">
        <f t="shared" si="20"/>
        <v>EP-finished SS 304/316L pipes and tubes for food processing plants in Townsville. ASME BPE SF1-SF4, Ra from 0.25 um, EN 10204 3.1 certificate with every lot.</v>
      </c>
      <c r="AK683" s="15" t="str">
        <f t="shared" si="21"/>
        <v>Electropolished stainless steel pipes supplied by Sakshi Forge to food processing plants at Townsville Industrial Precinct, Townsville</v>
      </c>
      <c r="AL683" s="15" t="str">
        <f t="shared" si="22"/>
        <v>Electropolished SS 316L tube stock for Townsville - Sakshi Forge</v>
      </c>
      <c r="AM683" s="15" t="str">
        <f t="shared" si="23"/>
        <v>Home &gt; Market Area &gt; Australia &gt; Queensland &gt; Townsville</v>
      </c>
      <c r="AN683" s="15">
        <f t="shared" si="24"/>
        <v>1000</v>
      </c>
      <c r="AO683" s="15">
        <f t="shared" si="25"/>
        <v>8</v>
      </c>
      <c r="AP683" s="15">
        <f t="shared" si="26"/>
        <v>8</v>
      </c>
      <c r="AQ683" s="15">
        <f t="shared" si="27"/>
        <v>12</v>
      </c>
      <c r="AR683" s="31"/>
      <c r="AS683" s="31"/>
      <c r="AT683" s="35" t="s">
        <v>222</v>
      </c>
      <c r="AU683" s="35"/>
    </row>
    <row r="684" ht="15.75" customHeight="1">
      <c r="A684" s="15" t="s">
        <v>8492</v>
      </c>
      <c r="B684" s="15" t="s">
        <v>403</v>
      </c>
      <c r="C684" s="15" t="s">
        <v>5916</v>
      </c>
      <c r="D684" s="15" t="s">
        <v>8493</v>
      </c>
      <c r="E684" s="15" t="s">
        <v>8493</v>
      </c>
      <c r="F684" s="65" t="s">
        <v>788</v>
      </c>
      <c r="G684" s="17" t="s">
        <v>88</v>
      </c>
      <c r="H684" s="18" t="s">
        <v>8494</v>
      </c>
      <c r="I684" s="18" t="s">
        <v>8494</v>
      </c>
      <c r="J684" s="18" t="s">
        <v>8495</v>
      </c>
      <c r="K684" s="18" t="s">
        <v>94</v>
      </c>
      <c r="L684" s="18" t="s">
        <v>5923</v>
      </c>
      <c r="M684" s="18" t="s">
        <v>604</v>
      </c>
      <c r="N684" s="18" t="s">
        <v>421</v>
      </c>
      <c r="O684" s="18" t="s">
        <v>98</v>
      </c>
      <c r="P684" s="15" t="str">
        <f t="shared" si="1"/>
        <v>FOOD</v>
      </c>
      <c r="Q684" s="15">
        <f t="shared" si="2"/>
        <v>1</v>
      </c>
      <c r="R684" s="15">
        <f t="shared" si="3"/>
        <v>2</v>
      </c>
      <c r="S684" s="15">
        <f t="shared" si="4"/>
        <v>1</v>
      </c>
      <c r="T684" s="15" t="str">
        <f t="shared" si="5"/>
        <v>B-3</v>
      </c>
      <c r="U684" s="15" t="str">
        <f t="shared" si="6"/>
        <v>T1-M2-H1-FB-3-FOOD</v>
      </c>
      <c r="V684" s="15">
        <f t="shared" si="7"/>
        <v>0</v>
      </c>
      <c r="W684" s="31"/>
      <c r="X684" s="15" t="str">
        <f t="shared" si="8"/>
        <v>wagga-wagga-australia</v>
      </c>
      <c r="Y684" s="32" t="str">
        <f t="shared" si="9"/>
        <v>https://steelmanufacturer.in/market-area/electropolished-pipes-manufacturer-in-wagga-wagga-australia/</v>
      </c>
      <c r="Z684" s="15" t="str">
        <f t="shared" si="10"/>
        <v>Electropolished Pipes Manufacturer in Wagga Wagga | Sakshi Forge</v>
      </c>
      <c r="AA684" s="15" t="str">
        <f t="shared" si="11"/>
        <v>OK (64)</v>
      </c>
      <c r="AB684" s="15" t="str">
        <f t="shared" si="12"/>
        <v>Electropolished tube supply to Bomen Business Park, Wagga Wagga. Ra from 0.25 um, SF4 finish, mill test certificate with every lot.</v>
      </c>
      <c r="AC684" s="15" t="str">
        <f t="shared" si="13"/>
        <v>OK (131)</v>
      </c>
      <c r="AD684" s="15" t="str">
        <f t="shared" si="14"/>
        <v>Electropolished Pipes Manufacturer in Wagga Wagga</v>
      </c>
      <c r="AE684" s="15" t="str">
        <f t="shared" si="15"/>
        <v>Electropolished Pipe &amp; Tube Manufacturing for Wagga Wagga - Grades, Finishes &amp; Certification</v>
      </c>
      <c r="AF684" s="15" t="str">
        <f t="shared" si="16"/>
        <v>Electropolished Pipes Supplier in Wagga Wagga - Stock Sizes, Lead Time &amp; Delivery</v>
      </c>
      <c r="AG684" s="15" t="str">
        <f t="shared" si="17"/>
        <v>Electropolished Pipes Wholesaler &amp; Stockist in Wagga Wagga - Bulk &amp; Project Pricing</v>
      </c>
      <c r="AH684" s="15" t="str">
        <f t="shared" si="18"/>
        <v>electropolished pipes manufacturer in Wagga Wagga, electropolished pipes supplier in Wagga Wagga, electropolished pipes wholesaler in Wagga Wagga, electropolished tube manufacturer Wagga Wagga, EP pipe supplier Wagga Wagga, sanitary tube supplier Wagga Wagga, ASME BPE tubing Wagga Wagga, ASTM A270 tube Wagga Wagga, SS 316L electropolished pipe Wagga Wagga</v>
      </c>
      <c r="AI684" s="15" t="str">
        <f t="shared" si="19"/>
        <v>Electropolished Pipes Manufacturer &amp; Supplier in Wagga Wagga</v>
      </c>
      <c r="AJ684" s="15" t="str">
        <f t="shared" si="20"/>
        <v>EP-finished SS 304/316L pipes and tubes for food processing plants in Wagga Wagga. ASME BPE SF1-SF4, Ra from 0.25 um, EN 10204 3.1 certificate with every lot.</v>
      </c>
      <c r="AK684" s="15" t="str">
        <f t="shared" si="21"/>
        <v>Electropolished stainless steel pipes supplied by Sakshi Forge to food processing plants at Bomen Business Park, Wagga Wagga</v>
      </c>
      <c r="AL684" s="15" t="str">
        <f t="shared" si="22"/>
        <v>Electropolished SS 316L tube stock for Wagga Wagga - Sakshi Forge</v>
      </c>
      <c r="AM684" s="15" t="str">
        <f t="shared" si="23"/>
        <v>Home &gt; Market Area &gt; Australia &gt; New South Wales &gt; Wagga Wagga</v>
      </c>
      <c r="AN684" s="15">
        <f t="shared" si="24"/>
        <v>1000</v>
      </c>
      <c r="AO684" s="15">
        <f t="shared" si="25"/>
        <v>8</v>
      </c>
      <c r="AP684" s="15">
        <f t="shared" si="26"/>
        <v>8</v>
      </c>
      <c r="AQ684" s="15">
        <f t="shared" si="27"/>
        <v>12</v>
      </c>
      <c r="AR684" s="31"/>
      <c r="AS684" s="31"/>
      <c r="AT684" s="35" t="s">
        <v>222</v>
      </c>
      <c r="AU684" s="35"/>
    </row>
    <row r="685" ht="15.75" customHeight="1">
      <c r="A685" s="15" t="s">
        <v>8496</v>
      </c>
      <c r="B685" s="15" t="s">
        <v>403</v>
      </c>
      <c r="C685" s="15" t="s">
        <v>5787</v>
      </c>
      <c r="D685" s="15" t="s">
        <v>8497</v>
      </c>
      <c r="E685" s="15" t="s">
        <v>8497</v>
      </c>
      <c r="F685" s="65" t="s">
        <v>788</v>
      </c>
      <c r="G685" s="17" t="s">
        <v>88</v>
      </c>
      <c r="H685" s="18" t="s">
        <v>8498</v>
      </c>
      <c r="I685" s="18" t="s">
        <v>8498</v>
      </c>
      <c r="J685" s="18" t="s">
        <v>8499</v>
      </c>
      <c r="K685" s="18" t="s">
        <v>579</v>
      </c>
      <c r="L685" s="18" t="s">
        <v>5838</v>
      </c>
      <c r="M685" s="18" t="s">
        <v>604</v>
      </c>
      <c r="N685" s="18" t="s">
        <v>421</v>
      </c>
      <c r="O685" s="18" t="s">
        <v>98</v>
      </c>
      <c r="P685" s="15" t="str">
        <f t="shared" si="1"/>
        <v>DAIRY</v>
      </c>
      <c r="Q685" s="15">
        <f t="shared" si="2"/>
        <v>2</v>
      </c>
      <c r="R685" s="15">
        <f t="shared" si="3"/>
        <v>3</v>
      </c>
      <c r="S685" s="15">
        <f t="shared" si="4"/>
        <v>2</v>
      </c>
      <c r="T685" s="15" t="str">
        <f t="shared" si="5"/>
        <v>B-4</v>
      </c>
      <c r="U685" s="15" t="str">
        <f t="shared" si="6"/>
        <v>T2-M3-H2-FB-4-DAIRY</v>
      </c>
      <c r="V685" s="15">
        <f t="shared" si="7"/>
        <v>0</v>
      </c>
      <c r="W685" s="31"/>
      <c r="X685" s="15" t="str">
        <f t="shared" si="8"/>
        <v>warrnambool-australia</v>
      </c>
      <c r="Y685" s="32" t="str">
        <f t="shared" si="9"/>
        <v>https://steelmanufacturer.in/market-area/electropolished-pipes-manufacturer-in-warrnambool-australia/</v>
      </c>
      <c r="Z685" s="15" t="str">
        <f t="shared" si="10"/>
        <v>Electropolished Pipes Manufacturer in Warrnambool</v>
      </c>
      <c r="AA685" s="15" t="str">
        <f t="shared" si="11"/>
        <v>OK (49)</v>
      </c>
      <c r="AB685" s="15" t="str">
        <f t="shared" si="12"/>
        <v>EP stainless tube for food &amp; dairy lines in Warrnambool. 18-24 days sea from Nhava Sheva to Melbourne. ASTM A270 S2, PMI tested, EN 10204 3.1.</v>
      </c>
      <c r="AC685" s="15" t="str">
        <f t="shared" si="13"/>
        <v>OK (142)</v>
      </c>
      <c r="AD685" s="15" t="str">
        <f t="shared" si="14"/>
        <v>Electropolished Pipes Manufacturer in Warrnambool</v>
      </c>
      <c r="AE685" s="15" t="str">
        <f t="shared" si="15"/>
        <v>How We Manufacture Electropolished Tube for Warrnambool Plants</v>
      </c>
      <c r="AF685" s="15" t="str">
        <f t="shared" si="16"/>
        <v>Supplying Electropolished Pipes in Warrnambool: Availability, Sizes &amp; Dispatch</v>
      </c>
      <c r="AG685" s="15" t="str">
        <f t="shared" si="17"/>
        <v>Wholesale Electropolished Pipe Supply for Warrnambool Projects</v>
      </c>
      <c r="AH685" s="15" t="str">
        <f t="shared" si="18"/>
        <v>electropolished pipes manufacturer in Warrnambool, electropolished pipes supplier in Warrnambool, electropolished pipes wholesaler in Warrnambool, electropolished tube manufacturer Warrnambool, EP pipe supplier Warrnambool, sanitary tube supplier Warrnambool, ASME BPE tubing Warrnambool, ASTM A270 tube Warrnambool, SS 316L electropolished pipe Warrnambool</v>
      </c>
      <c r="AI685" s="15" t="str">
        <f t="shared" si="19"/>
        <v>Electropolished Pipes Manufacturer &amp; Supplier in Warrnambool</v>
      </c>
      <c r="AJ685" s="15" t="str">
        <f t="shared" si="20"/>
        <v>EP-finished SS 304/316L pipes and tubes for food &amp; dairy plants in Warrnambool. ASME BPE SF1-SF4, Ra from 0.25 um, EN 10204 3.1 certificate with every lot.</v>
      </c>
      <c r="AK685" s="15" t="str">
        <f t="shared" si="21"/>
        <v>Electropolished stainless steel pipes supplied by Sakshi Forge to food &amp; dairy plants at Warrnambool Industrial Estate, Warrnambool</v>
      </c>
      <c r="AL685" s="15" t="str">
        <f t="shared" si="22"/>
        <v>Electropolished SS 316L tube stock for Warrnambool - Sakshi Forge</v>
      </c>
      <c r="AM685" s="15" t="str">
        <f t="shared" si="23"/>
        <v>Home &gt; Market Area &gt; Australia &gt; Victoria &gt; Warrnambool</v>
      </c>
      <c r="AN685" s="15">
        <f t="shared" si="24"/>
        <v>1000</v>
      </c>
      <c r="AO685" s="15">
        <f t="shared" si="25"/>
        <v>8</v>
      </c>
      <c r="AP685" s="15">
        <f t="shared" si="26"/>
        <v>8</v>
      </c>
      <c r="AQ685" s="15">
        <f t="shared" si="27"/>
        <v>12</v>
      </c>
      <c r="AR685" s="31"/>
      <c r="AS685" s="31"/>
      <c r="AT685" s="35" t="s">
        <v>222</v>
      </c>
      <c r="AU685" s="35"/>
    </row>
    <row r="686" ht="15.75" customHeight="1">
      <c r="A686" s="15" t="s">
        <v>8500</v>
      </c>
      <c r="B686" s="15" t="s">
        <v>403</v>
      </c>
      <c r="C686" s="15" t="s">
        <v>5916</v>
      </c>
      <c r="D686" s="15" t="s">
        <v>8501</v>
      </c>
      <c r="E686" s="15" t="s">
        <v>8501</v>
      </c>
      <c r="F686" s="65" t="s">
        <v>788</v>
      </c>
      <c r="G686" s="17" t="s">
        <v>88</v>
      </c>
      <c r="H686" s="18" t="s">
        <v>8502</v>
      </c>
      <c r="I686" s="18" t="s">
        <v>8502</v>
      </c>
      <c r="J686" s="18" t="s">
        <v>8503</v>
      </c>
      <c r="K686" s="18" t="s">
        <v>271</v>
      </c>
      <c r="L686" s="18" t="s">
        <v>8504</v>
      </c>
      <c r="M686" s="18" t="s">
        <v>604</v>
      </c>
      <c r="N686" s="18" t="s">
        <v>421</v>
      </c>
      <c r="O686" s="18" t="s">
        <v>98</v>
      </c>
      <c r="P686" s="15" t="str">
        <f t="shared" si="1"/>
        <v>CHEM</v>
      </c>
      <c r="Q686" s="15">
        <f t="shared" si="2"/>
        <v>3</v>
      </c>
      <c r="R686" s="15">
        <f t="shared" si="3"/>
        <v>4</v>
      </c>
      <c r="S686" s="15">
        <f t="shared" si="4"/>
        <v>3</v>
      </c>
      <c r="T686" s="15" t="str">
        <f t="shared" si="5"/>
        <v>B-5</v>
      </c>
      <c r="U686" s="15" t="str">
        <f t="shared" si="6"/>
        <v>T3-M4-H3-FB-5-CHEM</v>
      </c>
      <c r="V686" s="15">
        <f t="shared" si="7"/>
        <v>0</v>
      </c>
      <c r="W686" s="31"/>
      <c r="X686" s="15" t="str">
        <f t="shared" si="8"/>
        <v>wollongong-australia</v>
      </c>
      <c r="Y686" s="32" t="str">
        <f t="shared" si="9"/>
        <v>https://steelmanufacturer.in/market-area/electropolished-pipes-manufacturer-in-wollongong-australia/</v>
      </c>
      <c r="Z686" s="15" t="str">
        <f t="shared" si="10"/>
        <v>Electropolished Pipes Manufacturer in Wollongong</v>
      </c>
      <c r="AA686" s="15" t="str">
        <f t="shared" si="11"/>
        <v>OK (48)</v>
      </c>
      <c r="AB686" s="15" t="str">
        <f t="shared" si="12"/>
        <v>Sanitary electropolished pipes in Wollongong for chemical plants. ASME BPE SF1-SF4, orbital-weld ready, 3.1 MTC. Mumbai-made.</v>
      </c>
      <c r="AC686" s="15" t="str">
        <f t="shared" si="13"/>
        <v>OK (125)</v>
      </c>
      <c r="AD686" s="15" t="str">
        <f t="shared" si="14"/>
        <v>Electropolished Pipes Manufacturer in Wollongong</v>
      </c>
      <c r="AE686" s="15" t="str">
        <f t="shared" si="15"/>
        <v>Electropolished Pipes Manufacturer in Wollongong - Our Process &amp; Capability</v>
      </c>
      <c r="AF686" s="15" t="str">
        <f t="shared" si="16"/>
        <v>Electropolished Pipes Supplier in Wollongong - What We Hold in Stock</v>
      </c>
      <c r="AG686" s="15" t="str">
        <f t="shared" si="17"/>
        <v>Bulk &amp; Wholesale Electropolished Pipe Rates for Wollongong Buyers</v>
      </c>
      <c r="AH686" s="15" t="str">
        <f t="shared" si="18"/>
        <v>electropolished pipes manufacturer in Wollongong, electropolished pipes supplier in Wollongong, electropolished pipes wholesaler in Wollongong, electropolished tube manufacturer Wollongong, EP pipe supplier Wollongong, sanitary tube supplier Wollongong, ASME BPE tubing Wollongong, ASTM A270 tube Wollongong, SS 316L electropolished pipe Wollongong</v>
      </c>
      <c r="AI686" s="15" t="str">
        <f t="shared" si="19"/>
        <v>Electropolished Pipes Manufacturer &amp; Supplier in Wollongong</v>
      </c>
      <c r="AJ686" s="15" t="str">
        <f t="shared" si="20"/>
        <v>EP-finished SS 304/316L pipes and tubes for chemical plants in Wollongong. ASME BPE SF1-SF4, Ra from 0.25 um, EN 10204 3.1 certificate with every lot.</v>
      </c>
      <c r="AK686" s="15" t="str">
        <f t="shared" si="21"/>
        <v>Electropolished stainless steel pipes supplied by Sakshi Forge to chemical plants at Port Kembla Industrial Area, Wollongong</v>
      </c>
      <c r="AL686" s="15" t="str">
        <f t="shared" si="22"/>
        <v>Electropolished SS 316L tube stock for Wollongong - Sakshi Forge</v>
      </c>
      <c r="AM686" s="15" t="str">
        <f t="shared" si="23"/>
        <v>Home &gt; Market Area &gt; Australia &gt; New South Wales &gt; Wollongong</v>
      </c>
      <c r="AN686" s="15">
        <f t="shared" si="24"/>
        <v>1000</v>
      </c>
      <c r="AO686" s="15">
        <f t="shared" si="25"/>
        <v>8</v>
      </c>
      <c r="AP686" s="15">
        <f t="shared" si="26"/>
        <v>8</v>
      </c>
      <c r="AQ686" s="15">
        <f t="shared" si="27"/>
        <v>12</v>
      </c>
      <c r="AR686" s="31"/>
      <c r="AS686" s="31"/>
      <c r="AT686" s="35" t="s">
        <v>222</v>
      </c>
      <c r="AU686" s="35"/>
    </row>
    <row r="687" ht="15.75" customHeight="1">
      <c r="A687" s="15" t="s">
        <v>8505</v>
      </c>
      <c r="B687" s="15" t="s">
        <v>219</v>
      </c>
      <c r="C687" s="15" t="s">
        <v>8506</v>
      </c>
      <c r="D687" s="15" t="s">
        <v>8507</v>
      </c>
      <c r="E687" s="15" t="s">
        <v>8507</v>
      </c>
      <c r="F687" s="65" t="s">
        <v>788</v>
      </c>
      <c r="G687" s="17" t="s">
        <v>88</v>
      </c>
      <c r="H687" s="18" t="s">
        <v>8508</v>
      </c>
      <c r="I687" s="18" t="s">
        <v>8508</v>
      </c>
      <c r="J687" s="18" t="s">
        <v>8509</v>
      </c>
      <c r="K687" s="18" t="s">
        <v>94</v>
      </c>
      <c r="L687" s="18" t="s">
        <v>519</v>
      </c>
      <c r="M687" s="18" t="s">
        <v>520</v>
      </c>
      <c r="N687" s="18" t="s">
        <v>220</v>
      </c>
      <c r="O687" s="18" t="s">
        <v>98</v>
      </c>
      <c r="P687" s="15" t="str">
        <f t="shared" si="1"/>
        <v>FOOD</v>
      </c>
      <c r="Q687" s="15">
        <f t="shared" si="2"/>
        <v>4</v>
      </c>
      <c r="R687" s="15">
        <f t="shared" si="3"/>
        <v>5</v>
      </c>
      <c r="S687" s="15">
        <f t="shared" si="4"/>
        <v>4</v>
      </c>
      <c r="T687" s="15" t="str">
        <f t="shared" si="5"/>
        <v>B-6</v>
      </c>
      <c r="U687" s="15" t="str">
        <f t="shared" si="6"/>
        <v>T4-M5-H4-FB-6-FOOD</v>
      </c>
      <c r="V687" s="15">
        <f t="shared" si="7"/>
        <v>0</v>
      </c>
      <c r="W687" s="31"/>
      <c r="X687" s="15" t="str">
        <f t="shared" si="8"/>
        <v>isa-town-bahrain</v>
      </c>
      <c r="Y687" s="32" t="str">
        <f t="shared" si="9"/>
        <v>https://steelmanufacturer.in/market-area/electropolished-pipes-manufacturer-in-isa-town-bahrain/</v>
      </c>
      <c r="Z687" s="15" t="str">
        <f t="shared" si="10"/>
        <v>Electropolished Pipes Manufacturer in Isa Town</v>
      </c>
      <c r="AA687" s="15" t="str">
        <f t="shared" si="11"/>
        <v>OK (46)</v>
      </c>
      <c r="AB687" s="15" t="str">
        <f t="shared" si="12"/>
        <v>Manufacturer of electropolished SS 316L tube serving Isa Town. 13-17 days sea from Nhava Sheva to Khalifa Bin Salman Port. Ra 0.25-0.5 um, EN 10204 3.1 MTC.</v>
      </c>
      <c r="AC687" s="15" t="str">
        <f t="shared" si="13"/>
        <v>OK (156)</v>
      </c>
      <c r="AD687" s="15" t="str">
        <f t="shared" si="14"/>
        <v>Electropolished Pipes Manufacturer in Isa Town</v>
      </c>
      <c r="AE687" s="15" t="str">
        <f t="shared" si="15"/>
        <v>Manufacturing Electropolished SS Tube for Isa Town: The Standards We Build To</v>
      </c>
      <c r="AF687" s="15" t="str">
        <f t="shared" si="16"/>
        <v>Electropolished Pipe Supply Into Isa Town - Certification &amp; Transit</v>
      </c>
      <c r="AG687" s="15" t="str">
        <f t="shared" si="17"/>
        <v>Electropolished Pipes Wholesaler in Isa Town - Project Quantities &amp; Terms</v>
      </c>
      <c r="AH687" s="15" t="str">
        <f t="shared" si="18"/>
        <v>electropolished pipes manufacturer in Isa Town, electropolished pipes supplier in Isa Town, electropolished pipes wholesaler in Isa Town, electropolished tube manufacturer Isa Town, EP pipe supplier Isa Town, sanitary tube supplier Isa Town, ASME BPE tubing Isa Town, ASTM A270 tube Isa Town, SS 316L electropolished pipe Isa Town</v>
      </c>
      <c r="AI687" s="15" t="str">
        <f t="shared" si="19"/>
        <v>Electropolished Pipes Manufacturer &amp; Supplier in Isa Town</v>
      </c>
      <c r="AJ687" s="15" t="str">
        <f t="shared" si="20"/>
        <v>EP-finished SS 304/316L pipes and tubes for food processing plants in Isa Town. ASME BPE SF1-SF4, Ra from 0.25 um, EN 10204 3.1 certificate with every lot.</v>
      </c>
      <c r="AK687" s="15" t="str">
        <f t="shared" si="21"/>
        <v>Electropolished stainless steel pipes supplied by Sakshi Forge to food processing plants at Isa Town Industrial Area, Isa Town</v>
      </c>
      <c r="AL687" s="15" t="str">
        <f t="shared" si="22"/>
        <v>Electropolished SS 316L tube stock for Isa Town - Sakshi Forge</v>
      </c>
      <c r="AM687" s="15" t="str">
        <f t="shared" si="23"/>
        <v>Home &gt; Market Area &gt; Bahrain &gt; Northern &gt; Isa Town</v>
      </c>
      <c r="AN687" s="15">
        <f t="shared" si="24"/>
        <v>1000</v>
      </c>
      <c r="AO687" s="15">
        <f t="shared" si="25"/>
        <v>8</v>
      </c>
      <c r="AP687" s="15">
        <f t="shared" si="26"/>
        <v>8</v>
      </c>
      <c r="AQ687" s="15">
        <f t="shared" si="27"/>
        <v>12</v>
      </c>
      <c r="AR687" s="31"/>
      <c r="AS687" s="31"/>
      <c r="AT687" s="35" t="s">
        <v>222</v>
      </c>
      <c r="AU687" s="35"/>
    </row>
    <row r="688" ht="15.75" customHeight="1">
      <c r="A688" s="15" t="s">
        <v>8510</v>
      </c>
      <c r="B688" s="15" t="s">
        <v>219</v>
      </c>
      <c r="C688" s="15" t="s">
        <v>8511</v>
      </c>
      <c r="D688" s="15" t="s">
        <v>8512</v>
      </c>
      <c r="E688" s="15" t="s">
        <v>8512</v>
      </c>
      <c r="F688" s="65" t="s">
        <v>788</v>
      </c>
      <c r="G688" s="17" t="s">
        <v>88</v>
      </c>
      <c r="H688" s="18" t="s">
        <v>8513</v>
      </c>
      <c r="I688" s="18" t="s">
        <v>8513</v>
      </c>
      <c r="J688" s="18" t="s">
        <v>8514</v>
      </c>
      <c r="K688" s="18" t="s">
        <v>94</v>
      </c>
      <c r="L688" s="18" t="s">
        <v>519</v>
      </c>
      <c r="M688" s="18" t="s">
        <v>520</v>
      </c>
      <c r="N688" s="18" t="s">
        <v>220</v>
      </c>
      <c r="O688" s="18" t="s">
        <v>98</v>
      </c>
      <c r="P688" s="15" t="str">
        <f t="shared" si="1"/>
        <v>FOOD</v>
      </c>
      <c r="Q688" s="15">
        <f t="shared" si="2"/>
        <v>5</v>
      </c>
      <c r="R688" s="15">
        <f t="shared" si="3"/>
        <v>6</v>
      </c>
      <c r="S688" s="15">
        <f t="shared" si="4"/>
        <v>5</v>
      </c>
      <c r="T688" s="15" t="str">
        <f t="shared" si="5"/>
        <v>B-1</v>
      </c>
      <c r="U688" s="15" t="str">
        <f t="shared" si="6"/>
        <v>T5-M6-H5-FB-1-FOOD</v>
      </c>
      <c r="V688" s="15">
        <f t="shared" si="7"/>
        <v>0</v>
      </c>
      <c r="W688" s="31"/>
      <c r="X688" s="15" t="str">
        <f t="shared" si="8"/>
        <v>riffa-bahrain</v>
      </c>
      <c r="Y688" s="32" t="str">
        <f t="shared" si="9"/>
        <v>https://steelmanufacturer.in/market-area/electropolished-pipes-manufacturer-in-riffa-bahrain/</v>
      </c>
      <c r="Z688" s="15" t="str">
        <f t="shared" si="10"/>
        <v>Electropolished Pipes Manufacturer in Riffa</v>
      </c>
      <c r="AA688" s="15" t="str">
        <f t="shared" si="11"/>
        <v>OK (43)</v>
      </c>
      <c r="AB688" s="15" t="str">
        <f t="shared" si="12"/>
        <v>EP tube and pipe for food processing plants around Riffa Industrial Zone, Riffa. Made at our Mumbai works to ASTM A270 and ASME BPE SF1-SF4, with 3.1 MTC.</v>
      </c>
      <c r="AC688" s="15" t="str">
        <f t="shared" si="13"/>
        <v>OK (154)</v>
      </c>
      <c r="AD688" s="15" t="str">
        <f t="shared" si="14"/>
        <v>Electropolished Pipes Manufacturer in Riffa</v>
      </c>
      <c r="AE688" s="15" t="str">
        <f t="shared" si="15"/>
        <v>Electropolished Tube Manufacturing Capability Serving Riffa</v>
      </c>
      <c r="AF688" s="15" t="str">
        <f t="shared" si="16"/>
        <v>Electropolished Pipes Supplier in Riffa - From Order to Delivery</v>
      </c>
      <c r="AG688" s="15" t="str">
        <f t="shared" si="17"/>
        <v>Stockist &amp; Wholesale Supply of Electropolished Pipes in Riffa</v>
      </c>
      <c r="AH688" s="15" t="str">
        <f t="shared" si="18"/>
        <v>electropolished pipes manufacturer in Riffa, electropolished pipes supplier in Riffa, electropolished pipes wholesaler in Riffa, electropolished tube manufacturer Riffa, EP pipe supplier Riffa, sanitary tube supplier Riffa, ASME BPE tubing Riffa, ASTM A270 tube Riffa, SS 316L electropolished pipe Riffa</v>
      </c>
      <c r="AI688" s="15" t="str">
        <f t="shared" si="19"/>
        <v>Electropolished Pipes Manufacturer &amp; Supplier in Riffa</v>
      </c>
      <c r="AJ688" s="15" t="str">
        <f t="shared" si="20"/>
        <v>EP-finished SS 304/316L pipes and tubes for food processing plants in Riffa. ASME BPE SF1-SF4, Ra from 0.25 um, EN 10204 3.1 certificate with every lot.</v>
      </c>
      <c r="AK688" s="15" t="str">
        <f t="shared" si="21"/>
        <v>Electropolished stainless steel pipes supplied by Sakshi Forge to food processing plants at Riffa Industrial Zone, Riffa</v>
      </c>
      <c r="AL688" s="15" t="str">
        <f t="shared" si="22"/>
        <v>Electropolished SS 316L tube stock for Riffa - Sakshi Forge</v>
      </c>
      <c r="AM688" s="15" t="str">
        <f t="shared" si="23"/>
        <v>Home &gt; Market Area &gt; Bahrain &gt; Southern &gt; Riffa</v>
      </c>
      <c r="AN688" s="15">
        <f t="shared" si="24"/>
        <v>1000</v>
      </c>
      <c r="AO688" s="15">
        <f t="shared" si="25"/>
        <v>8</v>
      </c>
      <c r="AP688" s="15">
        <f t="shared" si="26"/>
        <v>8</v>
      </c>
      <c r="AQ688" s="15">
        <f t="shared" si="27"/>
        <v>12</v>
      </c>
      <c r="AR688" s="31"/>
      <c r="AS688" s="31"/>
      <c r="AT688" s="35" t="s">
        <v>222</v>
      </c>
      <c r="AU688" s="35"/>
    </row>
    <row r="689" ht="15.75" customHeight="1">
      <c r="A689" s="15" t="s">
        <v>8515</v>
      </c>
      <c r="B689" s="15" t="s">
        <v>219</v>
      </c>
      <c r="C689" s="15" t="s">
        <v>8506</v>
      </c>
      <c r="D689" s="15" t="s">
        <v>8516</v>
      </c>
      <c r="E689" s="15" t="s">
        <v>8516</v>
      </c>
      <c r="F689" s="65" t="s">
        <v>788</v>
      </c>
      <c r="G689" s="17" t="s">
        <v>88</v>
      </c>
      <c r="H689" s="18" t="s">
        <v>8517</v>
      </c>
      <c r="I689" s="18" t="s">
        <v>8517</v>
      </c>
      <c r="J689" s="18" t="s">
        <v>8518</v>
      </c>
      <c r="K689" s="18" t="s">
        <v>250</v>
      </c>
      <c r="L689" s="18" t="s">
        <v>519</v>
      </c>
      <c r="M689" s="18" t="s">
        <v>520</v>
      </c>
      <c r="N689" s="18" t="s">
        <v>220</v>
      </c>
      <c r="O689" s="18" t="s">
        <v>98</v>
      </c>
      <c r="P689" s="15" t="str">
        <f t="shared" si="1"/>
        <v>GENERAL</v>
      </c>
      <c r="Q689" s="15">
        <f t="shared" si="2"/>
        <v>6</v>
      </c>
      <c r="R689" s="15">
        <f t="shared" si="3"/>
        <v>7</v>
      </c>
      <c r="S689" s="15">
        <f t="shared" si="4"/>
        <v>1</v>
      </c>
      <c r="T689" s="15" t="str">
        <f t="shared" si="5"/>
        <v>B-2</v>
      </c>
      <c r="U689" s="15" t="str">
        <f t="shared" si="6"/>
        <v>T6-M7-H1-FB-2-GENERAL</v>
      </c>
      <c r="V689" s="15">
        <f t="shared" si="7"/>
        <v>0</v>
      </c>
      <c r="W689" s="31"/>
      <c r="X689" s="15" t="str">
        <f t="shared" si="8"/>
        <v>salmabad-bahrain</v>
      </c>
      <c r="Y689" s="32" t="str">
        <f t="shared" si="9"/>
        <v>https://steelmanufacturer.in/market-area/electropolished-pipes-manufacturer-in-salmabad-bahrain/</v>
      </c>
      <c r="Z689" s="15" t="str">
        <f t="shared" si="10"/>
        <v>Electropolished Pipes Manufacturer in Salmabad</v>
      </c>
      <c r="AA689" s="15" t="str">
        <f t="shared" si="11"/>
        <v>OK (46)</v>
      </c>
      <c r="AB689" s="15" t="str">
        <f t="shared" si="12"/>
        <v>Electropolished pipes in Salmabad: 304, 304L, 316 and 316L in SF1-SF4. 13-17 days sea from Nhava Sheva to Khalifa Bin Salman Port. Mill certified.</v>
      </c>
      <c r="AC689" s="15" t="str">
        <f t="shared" si="13"/>
        <v>OK (146)</v>
      </c>
      <c r="AD689" s="15" t="str">
        <f t="shared" si="14"/>
        <v>Electropolished Pipes Manufacturer in Salmabad</v>
      </c>
      <c r="AE689" s="15" t="str">
        <f t="shared" si="15"/>
        <v>Electropolished Pipe &amp; Tube Manufacturing for Salmabad - Grades, Finishes &amp; Certification</v>
      </c>
      <c r="AF689" s="15" t="str">
        <f t="shared" si="16"/>
        <v>Electropolished Pipes Supplier in Salmabad - Stock Sizes, Lead Time &amp; Delivery</v>
      </c>
      <c r="AG689" s="15" t="str">
        <f t="shared" si="17"/>
        <v>Electropolished Pipes Wholesaler &amp; Stockist in Salmabad - Bulk &amp; Project Pricing</v>
      </c>
      <c r="AH689" s="15" t="str">
        <f t="shared" si="18"/>
        <v>electropolished pipes manufacturer in Salmabad, electropolished pipes supplier in Salmabad, electropolished pipes wholesaler in Salmabad, electropolished tube manufacturer Salmabad, EP pipe supplier Salmabad, sanitary tube supplier Salmabad, ASME BPE tubing Salmabad, ASTM A270 tube Salmabad, SS 316L electropolished pipe Salmabad</v>
      </c>
      <c r="AI689" s="15" t="str">
        <f t="shared" si="19"/>
        <v>Electropolished Pipes Manufacturer &amp; Supplier in Salmabad</v>
      </c>
      <c r="AJ689" s="15" t="str">
        <f t="shared" si="20"/>
        <v>EP-finished SS 304/316L pipes and tubes for engineering &amp; process plants in Salmabad. ASME BPE SF1-SF4, Ra from 0.25 um, EN 10204 3.1 certificate with every lot.</v>
      </c>
      <c r="AK689" s="15" t="str">
        <f t="shared" si="21"/>
        <v>Electropolished stainless steel pipes supplied by Sakshi Forge to engineering &amp; process plants at Salmabad Industrial Area, Salmabad</v>
      </c>
      <c r="AL689" s="15" t="str">
        <f t="shared" si="22"/>
        <v>Electropolished SS 316L tube stock for Salmabad - Sakshi Forge</v>
      </c>
      <c r="AM689" s="15" t="str">
        <f t="shared" si="23"/>
        <v>Home &gt; Market Area &gt; Bahrain &gt; Northern &gt; Salmabad</v>
      </c>
      <c r="AN689" s="15">
        <f t="shared" si="24"/>
        <v>1000</v>
      </c>
      <c r="AO689" s="15">
        <f t="shared" si="25"/>
        <v>8</v>
      </c>
      <c r="AP689" s="15">
        <f t="shared" si="26"/>
        <v>8</v>
      </c>
      <c r="AQ689" s="15">
        <f t="shared" si="27"/>
        <v>12</v>
      </c>
      <c r="AR689" s="31"/>
      <c r="AS689" s="31"/>
      <c r="AT689" s="35" t="s">
        <v>222</v>
      </c>
      <c r="AU689" s="35"/>
    </row>
    <row r="690" ht="15.75" customHeight="1">
      <c r="A690" s="15" t="s">
        <v>8519</v>
      </c>
      <c r="B690" s="15" t="s">
        <v>243</v>
      </c>
      <c r="C690" s="15" t="s">
        <v>6486</v>
      </c>
      <c r="D690" s="15" t="s">
        <v>8520</v>
      </c>
      <c r="E690" s="15" t="s">
        <v>8520</v>
      </c>
      <c r="F690" s="65" t="s">
        <v>788</v>
      </c>
      <c r="G690" s="17" t="s">
        <v>88</v>
      </c>
      <c r="H690" s="18" t="s">
        <v>8521</v>
      </c>
      <c r="I690" s="18" t="s">
        <v>8522</v>
      </c>
      <c r="J690" s="18" t="s">
        <v>8523</v>
      </c>
      <c r="K690" s="18" t="s">
        <v>94</v>
      </c>
      <c r="L690" s="18" t="s">
        <v>6088</v>
      </c>
      <c r="M690" s="18" t="s">
        <v>550</v>
      </c>
      <c r="N690" s="18" t="s">
        <v>254</v>
      </c>
      <c r="O690" s="18" t="s">
        <v>98</v>
      </c>
      <c r="P690" s="15" t="str">
        <f t="shared" si="1"/>
        <v>FOOD</v>
      </c>
      <c r="Q690" s="15">
        <f t="shared" si="2"/>
        <v>7</v>
      </c>
      <c r="R690" s="15">
        <f t="shared" si="3"/>
        <v>1</v>
      </c>
      <c r="S690" s="15">
        <f t="shared" si="4"/>
        <v>2</v>
      </c>
      <c r="T690" s="15" t="str">
        <f t="shared" si="5"/>
        <v>B-3</v>
      </c>
      <c r="U690" s="15" t="str">
        <f t="shared" si="6"/>
        <v>T7-M1-H2-FB-3-FOOD</v>
      </c>
      <c r="V690" s="15">
        <f t="shared" si="7"/>
        <v>0</v>
      </c>
      <c r="W690" s="31"/>
      <c r="X690" s="15" t="str">
        <f t="shared" si="8"/>
        <v>augsburg-germany</v>
      </c>
      <c r="Y690" s="32" t="str">
        <f t="shared" si="9"/>
        <v>https://steelmanufacturer.in/market-area/electropolished-pipes-manufacturer-in-augsburg-germany/</v>
      </c>
      <c r="Z690" s="15" t="str">
        <f t="shared" si="10"/>
        <v>Electropolished Pipes Manufacturer in Augsburg | ASME BPE SF1-SF4</v>
      </c>
      <c r="AA690" s="15" t="str">
        <f t="shared" si="11"/>
        <v>OK (65)</v>
      </c>
      <c r="AB690" s="15" t="str">
        <f t="shared" si="12"/>
        <v>EP-finished SS 304/316L pipes &amp; tubes for food processing plants in Augsburg. ASTM A270, ASME BPE SF1-SF4, EN 10204 3.1 MTC. PMI tested.</v>
      </c>
      <c r="AC690" s="15" t="str">
        <f t="shared" si="13"/>
        <v>OK (136)</v>
      </c>
      <c r="AD690" s="15" t="str">
        <f t="shared" si="14"/>
        <v>Electropolished Pipes Manufacturer in Augsburg</v>
      </c>
      <c r="AE690" s="15" t="str">
        <f t="shared" si="15"/>
        <v>How We Manufacture Electropolished Tube for Augsburg Plants</v>
      </c>
      <c r="AF690" s="15" t="str">
        <f t="shared" si="16"/>
        <v>Supplying Electropolished Pipes in Augsburg: Availability, Sizes &amp; Dispatch</v>
      </c>
      <c r="AG690" s="15" t="str">
        <f t="shared" si="17"/>
        <v>Wholesale Electropolished Pipe Supply for Augsburg Projects</v>
      </c>
      <c r="AH690" s="15" t="str">
        <f t="shared" si="18"/>
        <v>electropolished pipes manufacturer in Augsburg, electropolished pipes supplier in Augsburg, electropolished pipes wholesaler in Augsburg, electropolished tube manufacturer Augsburg, EP pipe supplier Augsburg, sanitary tube supplier Augsburg, ASME BPE tubing Augsburg, ASTM A270 tube Augsburg, SS 316L electropolished pipe Augsburg</v>
      </c>
      <c r="AI690" s="15" t="str">
        <f t="shared" si="19"/>
        <v>Electropolished Pipes Manufacturer &amp; Supplier in Augsburg</v>
      </c>
      <c r="AJ690" s="15" t="str">
        <f t="shared" si="20"/>
        <v>EP-finished SS 304/316L pipes and tubes for food processing plants in Augsburg. ASME BPE SF1-SF4, Ra from 0.25 um, EN 10204 3.1 certificate with every lot.</v>
      </c>
      <c r="AK690" s="15" t="str">
        <f t="shared" si="21"/>
        <v>Electropolished stainless steel pipes supplied by Sakshi Forge to food processing plants at Augsburg Innovationspark, Augsburg</v>
      </c>
      <c r="AL690" s="15" t="str">
        <f t="shared" si="22"/>
        <v>Electropolished SS 316L tube stock for Augsburg - Sakshi Forge</v>
      </c>
      <c r="AM690" s="15" t="str">
        <f t="shared" si="23"/>
        <v>Home &gt; Market Area &gt; Germany &gt; Bavaria &gt; Augsburg</v>
      </c>
      <c r="AN690" s="15">
        <f t="shared" si="24"/>
        <v>1000</v>
      </c>
      <c r="AO690" s="15">
        <f t="shared" si="25"/>
        <v>8</v>
      </c>
      <c r="AP690" s="15">
        <f t="shared" si="26"/>
        <v>8</v>
      </c>
      <c r="AQ690" s="15">
        <f t="shared" si="27"/>
        <v>12</v>
      </c>
      <c r="AR690" s="31"/>
      <c r="AS690" s="31"/>
      <c r="AT690" s="35" t="s">
        <v>222</v>
      </c>
      <c r="AU690" s="35"/>
    </row>
    <row r="691" ht="15.75" customHeight="1">
      <c r="A691" s="15" t="s">
        <v>8524</v>
      </c>
      <c r="B691" s="15" t="s">
        <v>243</v>
      </c>
      <c r="C691" s="15" t="s">
        <v>6149</v>
      </c>
      <c r="D691" s="15" t="s">
        <v>8525</v>
      </c>
      <c r="E691" s="15" t="s">
        <v>8525</v>
      </c>
      <c r="F691" s="65" t="s">
        <v>788</v>
      </c>
      <c r="G691" s="17" t="s">
        <v>88</v>
      </c>
      <c r="H691" s="18" t="s">
        <v>8526</v>
      </c>
      <c r="I691" s="18" t="s">
        <v>8526</v>
      </c>
      <c r="J691" s="18" t="s">
        <v>8527</v>
      </c>
      <c r="K691" s="18" t="s">
        <v>229</v>
      </c>
      <c r="L691" s="18" t="s">
        <v>8528</v>
      </c>
      <c r="M691" s="18" t="s">
        <v>550</v>
      </c>
      <c r="N691" s="18" t="s">
        <v>254</v>
      </c>
      <c r="O691" s="18" t="s">
        <v>98</v>
      </c>
      <c r="P691" s="15" t="str">
        <f t="shared" si="1"/>
        <v>PHARMA</v>
      </c>
      <c r="Q691" s="15">
        <f t="shared" si="2"/>
        <v>8</v>
      </c>
      <c r="R691" s="15">
        <f t="shared" si="3"/>
        <v>2</v>
      </c>
      <c r="S691" s="15">
        <f t="shared" si="4"/>
        <v>3</v>
      </c>
      <c r="T691" s="15" t="str">
        <f t="shared" si="5"/>
        <v>B-4</v>
      </c>
      <c r="U691" s="15" t="str">
        <f t="shared" si="6"/>
        <v>T8-M2-H3-FB-4-PHARMA</v>
      </c>
      <c r="V691" s="15">
        <f t="shared" si="7"/>
        <v>0</v>
      </c>
      <c r="W691" s="31"/>
      <c r="X691" s="15" t="str">
        <f t="shared" si="8"/>
        <v>bielefeld-germany</v>
      </c>
      <c r="Y691" s="32" t="str">
        <f t="shared" si="9"/>
        <v>https://steelmanufacturer.in/market-area/electropolished-pipes-manufacturer-in-bielefeld-germany/</v>
      </c>
      <c r="Z691" s="15" t="str">
        <f t="shared" si="10"/>
        <v>Electropolished Pipes Manufacturer in Bielefeld</v>
      </c>
      <c r="AA691" s="15" t="str">
        <f t="shared" si="11"/>
        <v>OK (47)</v>
      </c>
      <c r="AB691" s="15" t="str">
        <f t="shared" si="12"/>
        <v>Electropolished tube supply to Bielefeld Industrial Corridor, Bielefeld. Ra from 0.25 um, SF4 finish, mill test certificate with every lot.</v>
      </c>
      <c r="AC691" s="15" t="str">
        <f t="shared" si="13"/>
        <v>OK (139)</v>
      </c>
      <c r="AD691" s="15" t="str">
        <f t="shared" si="14"/>
        <v>Electropolished Pipes Manufacturer in Bielefeld</v>
      </c>
      <c r="AE691" s="15" t="str">
        <f t="shared" si="15"/>
        <v>Electropolished Pipes Manufacturer in Bielefeld - Our Process &amp; Capability</v>
      </c>
      <c r="AF691" s="15" t="str">
        <f t="shared" si="16"/>
        <v>Electropolished Pipes Supplier in Bielefeld - What We Hold in Stock</v>
      </c>
      <c r="AG691" s="15" t="str">
        <f t="shared" si="17"/>
        <v>Bulk &amp; Wholesale Electropolished Pipe Rates for Bielefeld Buyers</v>
      </c>
      <c r="AH691" s="15" t="str">
        <f t="shared" si="18"/>
        <v>electropolished pipes manufacturer in Bielefeld, electropolished pipes supplier in Bielefeld, electropolished pipes wholesaler in Bielefeld, electropolished tube manufacturer Bielefeld, EP pipe supplier Bielefeld, sanitary tube supplier Bielefeld, ASME BPE tubing Bielefeld, ASTM A270 tube Bielefeld, SS 316L electropolished pipe Bielefeld</v>
      </c>
      <c r="AI691" s="15" t="str">
        <f t="shared" si="19"/>
        <v>Electropolished Pipes Manufacturer &amp; Supplier in Bielefeld</v>
      </c>
      <c r="AJ691" s="15" t="str">
        <f t="shared" si="20"/>
        <v>EP-finished SS 304/316L pipes and tubes for pharma plants in Bielefeld. ASME BPE SF1-SF4, Ra from 0.25 um, EN 10204 3.1 certificate with every lot.</v>
      </c>
      <c r="AK691" s="15" t="str">
        <f t="shared" si="21"/>
        <v>Electropolished stainless steel pipes supplied by Sakshi Forge to pharma plants at Bielefeld Industrial Corridor, Bielefeld</v>
      </c>
      <c r="AL691" s="15" t="str">
        <f t="shared" si="22"/>
        <v>Electropolished SS 316L tube stock for Bielefeld - Sakshi Forge</v>
      </c>
      <c r="AM691" s="15" t="str">
        <f t="shared" si="23"/>
        <v>Home &gt; Market Area &gt; Germany &gt; North Rhine-Westphalia &gt; Bielefeld</v>
      </c>
      <c r="AN691" s="15">
        <f t="shared" si="24"/>
        <v>1000</v>
      </c>
      <c r="AO691" s="15">
        <f t="shared" si="25"/>
        <v>8</v>
      </c>
      <c r="AP691" s="15">
        <f t="shared" si="26"/>
        <v>8</v>
      </c>
      <c r="AQ691" s="15">
        <f t="shared" si="27"/>
        <v>12</v>
      </c>
      <c r="AR691" s="31"/>
      <c r="AS691" s="31"/>
      <c r="AT691" s="35" t="s">
        <v>222</v>
      </c>
      <c r="AU691" s="35"/>
    </row>
    <row r="692" ht="15.75" customHeight="1">
      <c r="A692" s="15" t="s">
        <v>8529</v>
      </c>
      <c r="B692" s="15" t="s">
        <v>243</v>
      </c>
      <c r="C692" s="15" t="s">
        <v>8530</v>
      </c>
      <c r="D692" s="15" t="s">
        <v>8530</v>
      </c>
      <c r="E692" s="15" t="s">
        <v>8530</v>
      </c>
      <c r="F692" s="65" t="s">
        <v>788</v>
      </c>
      <c r="G692" s="17" t="s">
        <v>88</v>
      </c>
      <c r="H692" s="18" t="s">
        <v>8531</v>
      </c>
      <c r="I692" s="18" t="s">
        <v>8532</v>
      </c>
      <c r="J692" s="18" t="s">
        <v>8533</v>
      </c>
      <c r="K692" s="18" t="s">
        <v>94</v>
      </c>
      <c r="L692" s="18" t="s">
        <v>8528</v>
      </c>
      <c r="M692" s="18" t="s">
        <v>550</v>
      </c>
      <c r="N692" s="18" t="s">
        <v>254</v>
      </c>
      <c r="O692" s="18" t="s">
        <v>98</v>
      </c>
      <c r="P692" s="15" t="str">
        <f t="shared" si="1"/>
        <v>FOOD</v>
      </c>
      <c r="Q692" s="15">
        <f t="shared" si="2"/>
        <v>1</v>
      </c>
      <c r="R692" s="15">
        <f t="shared" si="3"/>
        <v>3</v>
      </c>
      <c r="S692" s="15">
        <f t="shared" si="4"/>
        <v>4</v>
      </c>
      <c r="T692" s="15" t="str">
        <f t="shared" si="5"/>
        <v>B-5</v>
      </c>
      <c r="U692" s="15" t="str">
        <f t="shared" si="6"/>
        <v>T1-M3-H4-FB-5-FOOD</v>
      </c>
      <c r="V692" s="15">
        <f t="shared" si="7"/>
        <v>0</v>
      </c>
      <c r="W692" s="31"/>
      <c r="X692" s="15" t="str">
        <f t="shared" si="8"/>
        <v>bremen-germany</v>
      </c>
      <c r="Y692" s="32" t="str">
        <f t="shared" si="9"/>
        <v>https://steelmanufacturer.in/market-area/electropolished-pipes-manufacturer-in-bremen-germany/</v>
      </c>
      <c r="Z692" s="15" t="str">
        <f t="shared" si="10"/>
        <v>Electropolished Pipes Manufacturer in Bremen | Sakshi Forge</v>
      </c>
      <c r="AA692" s="15" t="str">
        <f t="shared" si="11"/>
        <v>OK (59)</v>
      </c>
      <c r="AB692" s="15" t="str">
        <f t="shared" si="12"/>
        <v>EP stainless tube for food processing lines in Bremen. 24-30 days sea from Nhava Sheva to Hamburg. ASTM A270 S2, PMI tested, EN 10204 3.1.</v>
      </c>
      <c r="AC692" s="15" t="str">
        <f t="shared" si="13"/>
        <v>OK (138)</v>
      </c>
      <c r="AD692" s="15" t="str">
        <f t="shared" si="14"/>
        <v>Electropolished Pipes Manufacturer in Bremen</v>
      </c>
      <c r="AE692" s="15" t="str">
        <f t="shared" si="15"/>
        <v>Manufacturing Electropolished SS Tube for Bremen: The Standards We Build To</v>
      </c>
      <c r="AF692" s="15" t="str">
        <f t="shared" si="16"/>
        <v>Electropolished Pipe Supply Into Bremen - Certification &amp; Transit</v>
      </c>
      <c r="AG692" s="15" t="str">
        <f t="shared" si="17"/>
        <v>Electropolished Pipes Wholesaler in Bremen - Project Quantities &amp; Terms</v>
      </c>
      <c r="AH692" s="15" t="str">
        <f t="shared" si="18"/>
        <v>electropolished pipes manufacturer in Bremen, electropolished pipes supplier in Bremen, electropolished pipes wholesaler in Bremen, electropolished tube manufacturer Bremen, EP pipe supplier Bremen, sanitary tube supplier Bremen, ASME BPE tubing Bremen, ASTM A270 tube Bremen, SS 316L electropolished pipe Bremen</v>
      </c>
      <c r="AI692" s="15" t="str">
        <f t="shared" si="19"/>
        <v>Electropolished Pipes Manufacturer &amp; Supplier in Bremen</v>
      </c>
      <c r="AJ692" s="15" t="str">
        <f t="shared" si="20"/>
        <v>EP-finished SS 304/316L pipes and tubes for food processing plants in Bremen. ASME BPE SF1-SF4, Ra from 0.25 um, EN 10204 3.1 certificate with every lot.</v>
      </c>
      <c r="AK692" s="15" t="str">
        <f t="shared" si="21"/>
        <v>Electropolished stainless steel pipes supplied by Sakshi Forge to food processing plants at Bremen Industriehafen, Bremen</v>
      </c>
      <c r="AL692" s="15" t="str">
        <f t="shared" si="22"/>
        <v>Electropolished SS 316L tube stock for Bremen - Sakshi Forge</v>
      </c>
      <c r="AM692" s="15" t="str">
        <f t="shared" si="23"/>
        <v>Home &gt; Market Area &gt; Germany &gt; Bremen &gt; Bremen</v>
      </c>
      <c r="AN692" s="15">
        <f t="shared" si="24"/>
        <v>1000</v>
      </c>
      <c r="AO692" s="15">
        <f t="shared" si="25"/>
        <v>8</v>
      </c>
      <c r="AP692" s="15">
        <f t="shared" si="26"/>
        <v>8</v>
      </c>
      <c r="AQ692" s="15">
        <f t="shared" si="27"/>
        <v>12</v>
      </c>
      <c r="AR692" s="31"/>
      <c r="AS692" s="31"/>
      <c r="AT692" s="35" t="s">
        <v>222</v>
      </c>
      <c r="AU692" s="35"/>
    </row>
    <row r="693" ht="15.75" customHeight="1">
      <c r="A693" s="15" t="s">
        <v>8534</v>
      </c>
      <c r="B693" s="15" t="s">
        <v>243</v>
      </c>
      <c r="C693" s="15" t="s">
        <v>6204</v>
      </c>
      <c r="D693" s="15" t="s">
        <v>8535</v>
      </c>
      <c r="E693" s="15" t="s">
        <v>8535</v>
      </c>
      <c r="F693" s="65" t="s">
        <v>788</v>
      </c>
      <c r="G693" s="17" t="s">
        <v>88</v>
      </c>
      <c r="H693" s="18" t="s">
        <v>8536</v>
      </c>
      <c r="I693" s="18" t="s">
        <v>8536</v>
      </c>
      <c r="J693" s="18" t="s">
        <v>8537</v>
      </c>
      <c r="K693" s="18" t="s">
        <v>250</v>
      </c>
      <c r="L693" s="18" t="s">
        <v>6088</v>
      </c>
      <c r="M693" s="18" t="s">
        <v>550</v>
      </c>
      <c r="N693" s="18" t="s">
        <v>254</v>
      </c>
      <c r="O693" s="18" t="s">
        <v>98</v>
      </c>
      <c r="P693" s="15" t="str">
        <f t="shared" si="1"/>
        <v>GENERAL</v>
      </c>
      <c r="Q693" s="15">
        <f t="shared" si="2"/>
        <v>2</v>
      </c>
      <c r="R693" s="15">
        <f t="shared" si="3"/>
        <v>4</v>
      </c>
      <c r="S693" s="15">
        <f t="shared" si="4"/>
        <v>5</v>
      </c>
      <c r="T693" s="15" t="str">
        <f t="shared" si="5"/>
        <v>B-6</v>
      </c>
      <c r="U693" s="15" t="str">
        <f t="shared" si="6"/>
        <v>T2-M4-H5-FB-6-GENERAL</v>
      </c>
      <c r="V693" s="15">
        <f t="shared" si="7"/>
        <v>0</v>
      </c>
      <c r="W693" s="31"/>
      <c r="X693" s="15" t="str">
        <f t="shared" si="8"/>
        <v>chemnitz-germany</v>
      </c>
      <c r="Y693" s="32" t="str">
        <f t="shared" si="9"/>
        <v>https://steelmanufacturer.in/market-area/electropolished-pipes-manufacturer-in-chemnitz-germany/</v>
      </c>
      <c r="Z693" s="15" t="str">
        <f t="shared" si="10"/>
        <v>Electropolished Pipes Manufacturer in Chemnitz</v>
      </c>
      <c r="AA693" s="15" t="str">
        <f t="shared" si="11"/>
        <v>OK (46)</v>
      </c>
      <c r="AB693" s="15" t="str">
        <f t="shared" si="12"/>
        <v>Sanitary electropolished pipes in Chemnitz for engineering &amp; process plants. ASME BPE SF1-SF4, orbital-weld ready, 3.1 MTC. Mumbai-made.</v>
      </c>
      <c r="AC693" s="15" t="str">
        <f t="shared" si="13"/>
        <v>OK (136)</v>
      </c>
      <c r="AD693" s="15" t="str">
        <f t="shared" si="14"/>
        <v>Electropolished Pipes Manufacturer in Chemnitz</v>
      </c>
      <c r="AE693" s="15" t="str">
        <f t="shared" si="15"/>
        <v>Electropolished Tube Manufacturing Capability Serving Chemnitz</v>
      </c>
      <c r="AF693" s="15" t="str">
        <f t="shared" si="16"/>
        <v>Electropolished Pipes Supplier in Chemnitz - From Order to Delivery</v>
      </c>
      <c r="AG693" s="15" t="str">
        <f t="shared" si="17"/>
        <v>Stockist &amp; Wholesale Supply of Electropolished Pipes in Chemnitz</v>
      </c>
      <c r="AH693" s="15" t="str">
        <f t="shared" si="18"/>
        <v>electropolished pipes manufacturer in Chemnitz, electropolished pipes supplier in Chemnitz, electropolished pipes wholesaler in Chemnitz, electropolished tube manufacturer Chemnitz, EP pipe supplier Chemnitz, sanitary tube supplier Chemnitz, ASME BPE tubing Chemnitz, ASTM A270 tube Chemnitz, SS 316L electropolished pipe Chemnitz</v>
      </c>
      <c r="AI693" s="15" t="str">
        <f t="shared" si="19"/>
        <v>Electropolished Pipes Manufacturer &amp; Supplier in Chemnitz</v>
      </c>
      <c r="AJ693" s="15" t="str">
        <f t="shared" si="20"/>
        <v>EP-finished SS 304/316L pipes and tubes for engineering &amp; process plants in Chemnitz. ASME BPE SF1-SF4, Ra from 0.25 um, EN 10204 3.1 certificate with every lot.</v>
      </c>
      <c r="AK693" s="15" t="str">
        <f t="shared" si="21"/>
        <v>Electropolished stainless steel pipes supplied by Sakshi Forge to engineering &amp; process plants at Chemnitz Industrial Corridor, Chemnitz</v>
      </c>
      <c r="AL693" s="15" t="str">
        <f t="shared" si="22"/>
        <v>Electropolished SS 316L tube stock for Chemnitz - Sakshi Forge</v>
      </c>
      <c r="AM693" s="15" t="str">
        <f t="shared" si="23"/>
        <v>Home &gt; Market Area &gt; Germany &gt; Saxony &gt; Chemnitz</v>
      </c>
      <c r="AN693" s="15">
        <f t="shared" si="24"/>
        <v>1000</v>
      </c>
      <c r="AO693" s="15">
        <f t="shared" si="25"/>
        <v>8</v>
      </c>
      <c r="AP693" s="15">
        <f t="shared" si="26"/>
        <v>8</v>
      </c>
      <c r="AQ693" s="15">
        <f t="shared" si="27"/>
        <v>12</v>
      </c>
      <c r="AR693" s="31"/>
      <c r="AS693" s="31"/>
      <c r="AT693" s="35" t="s">
        <v>222</v>
      </c>
      <c r="AU693" s="35"/>
    </row>
    <row r="694" ht="15.75" customHeight="1">
      <c r="A694" s="15" t="s">
        <v>8538</v>
      </c>
      <c r="B694" s="15" t="s">
        <v>243</v>
      </c>
      <c r="C694" s="15" t="s">
        <v>6149</v>
      </c>
      <c r="D694" s="15" t="s">
        <v>8539</v>
      </c>
      <c r="E694" s="15" t="s">
        <v>8539</v>
      </c>
      <c r="F694" s="65" t="s">
        <v>788</v>
      </c>
      <c r="G694" s="17" t="s">
        <v>88</v>
      </c>
      <c r="H694" s="18" t="s">
        <v>8540</v>
      </c>
      <c r="I694" s="18" t="s">
        <v>8541</v>
      </c>
      <c r="J694" s="18" t="s">
        <v>8542</v>
      </c>
      <c r="K694" s="18" t="s">
        <v>5794</v>
      </c>
      <c r="L694" s="18" t="s">
        <v>560</v>
      </c>
      <c r="M694" s="18" t="s">
        <v>550</v>
      </c>
      <c r="N694" s="18" t="s">
        <v>254</v>
      </c>
      <c r="O694" s="18" t="s">
        <v>98</v>
      </c>
      <c r="P694" s="15" t="str">
        <f t="shared" si="1"/>
        <v>BREWERY</v>
      </c>
      <c r="Q694" s="15">
        <f t="shared" si="2"/>
        <v>3</v>
      </c>
      <c r="R694" s="15">
        <f t="shared" si="3"/>
        <v>5</v>
      </c>
      <c r="S694" s="15">
        <f t="shared" si="4"/>
        <v>1</v>
      </c>
      <c r="T694" s="15" t="str">
        <f t="shared" si="5"/>
        <v>B-1</v>
      </c>
      <c r="U694" s="15" t="str">
        <f t="shared" si="6"/>
        <v>T3-M5-H1-FB-1-BREWERY</v>
      </c>
      <c r="V694" s="15">
        <f t="shared" si="7"/>
        <v>0</v>
      </c>
      <c r="W694" s="31"/>
      <c r="X694" s="15" t="str">
        <f t="shared" si="8"/>
        <v>dortmund-germany</v>
      </c>
      <c r="Y694" s="32" t="str">
        <f t="shared" si="9"/>
        <v>https://steelmanufacturer.in/market-area/electropolished-pipes-manufacturer-in-dortmund-germany/</v>
      </c>
      <c r="Z694" s="15" t="str">
        <f t="shared" si="10"/>
        <v>Electropolished Pipes Manufacturer in Dortmund | EP Tube Supplier</v>
      </c>
      <c r="AA694" s="15" t="str">
        <f t="shared" si="11"/>
        <v>OK (65)</v>
      </c>
      <c r="AB694" s="15" t="str">
        <f t="shared" si="12"/>
        <v>Manufacturer of electropolished SS 316L tube serving Dortmund. 24-30 days sea from Nhava Sheva to Hamburg. Ra 0.25-0.5 um, EN 10204 3.1 MTC.</v>
      </c>
      <c r="AC694" s="15" t="str">
        <f t="shared" si="13"/>
        <v>OK (140)</v>
      </c>
      <c r="AD694" s="15" t="str">
        <f t="shared" si="14"/>
        <v>Electropolished Pipes Manufacturer in Dortmund</v>
      </c>
      <c r="AE694" s="15" t="str">
        <f t="shared" si="15"/>
        <v>Electropolished Pipe &amp; Tube Manufacturing for Dortmund - Grades, Finishes &amp; Certification</v>
      </c>
      <c r="AF694" s="15" t="str">
        <f t="shared" si="16"/>
        <v>Electropolished Pipes Supplier in Dortmund - Stock Sizes, Lead Time &amp; Delivery</v>
      </c>
      <c r="AG694" s="15" t="str">
        <f t="shared" si="17"/>
        <v>Electropolished Pipes Wholesaler &amp; Stockist in Dortmund - Bulk &amp; Project Pricing</v>
      </c>
      <c r="AH694" s="15" t="str">
        <f t="shared" si="18"/>
        <v>electropolished pipes manufacturer in Dortmund, electropolished pipes supplier in Dortmund, electropolished pipes wholesaler in Dortmund, electropolished tube manufacturer Dortmund, EP pipe supplier Dortmund, sanitary tube supplier Dortmund, ASME BPE tubing Dortmund, ASTM A270 tube Dortmund, SS 316L electropolished pipe Dortmund</v>
      </c>
      <c r="AI694" s="15" t="str">
        <f t="shared" si="19"/>
        <v>Electropolished Pipes Manufacturer &amp; Supplier in Dortmund</v>
      </c>
      <c r="AJ694" s="15" t="str">
        <f t="shared" si="20"/>
        <v>EP-finished SS 304/316L pipes and tubes for brewery &amp; food plants in Dortmund. ASME BPE SF1-SF4, Ra from 0.25 um, EN 10204 3.1 certificate with every lot.</v>
      </c>
      <c r="AK694" s="15" t="str">
        <f t="shared" si="21"/>
        <v>Electropolished stainless steel pipes supplied by Sakshi Forge to brewery &amp; food plants at Dortmund Technology Park, Dortmund</v>
      </c>
      <c r="AL694" s="15" t="str">
        <f t="shared" si="22"/>
        <v>Electropolished SS 316L tube stock for Dortmund - Sakshi Forge</v>
      </c>
      <c r="AM694" s="15" t="str">
        <f t="shared" si="23"/>
        <v>Home &gt; Market Area &gt; Germany &gt; North Rhine-Westphalia &gt; Dortmund</v>
      </c>
      <c r="AN694" s="15">
        <f t="shared" si="24"/>
        <v>1000</v>
      </c>
      <c r="AO694" s="15">
        <f t="shared" si="25"/>
        <v>8</v>
      </c>
      <c r="AP694" s="15">
        <f t="shared" si="26"/>
        <v>8</v>
      </c>
      <c r="AQ694" s="15">
        <f t="shared" si="27"/>
        <v>12</v>
      </c>
      <c r="AR694" s="31"/>
      <c r="AS694" s="31"/>
      <c r="AT694" s="35" t="s">
        <v>222</v>
      </c>
      <c r="AU694" s="35"/>
    </row>
    <row r="695" ht="15.75" customHeight="1">
      <c r="A695" s="15" t="s">
        <v>8543</v>
      </c>
      <c r="B695" s="15" t="s">
        <v>243</v>
      </c>
      <c r="C695" s="15" t="s">
        <v>6149</v>
      </c>
      <c r="D695" s="15" t="s">
        <v>8544</v>
      </c>
      <c r="E695" s="15" t="s">
        <v>8544</v>
      </c>
      <c r="F695" s="65" t="s">
        <v>788</v>
      </c>
      <c r="G695" s="17" t="s">
        <v>88</v>
      </c>
      <c r="H695" s="18" t="s">
        <v>8545</v>
      </c>
      <c r="I695" s="18" t="s">
        <v>8546</v>
      </c>
      <c r="J695" s="18" t="s">
        <v>8547</v>
      </c>
      <c r="K695" s="18" t="s">
        <v>94</v>
      </c>
      <c r="L695" s="18" t="s">
        <v>560</v>
      </c>
      <c r="M695" s="18" t="s">
        <v>550</v>
      </c>
      <c r="N695" s="18" t="s">
        <v>254</v>
      </c>
      <c r="O695" s="18" t="s">
        <v>98</v>
      </c>
      <c r="P695" s="15" t="str">
        <f t="shared" si="1"/>
        <v>FOOD</v>
      </c>
      <c r="Q695" s="15">
        <f t="shared" si="2"/>
        <v>4</v>
      </c>
      <c r="R695" s="15">
        <f t="shared" si="3"/>
        <v>6</v>
      </c>
      <c r="S695" s="15">
        <f t="shared" si="4"/>
        <v>2</v>
      </c>
      <c r="T695" s="15" t="str">
        <f t="shared" si="5"/>
        <v>B-2</v>
      </c>
      <c r="U695" s="15" t="str">
        <f t="shared" si="6"/>
        <v>T4-M6-H2-FB-2-FOOD</v>
      </c>
      <c r="V695" s="15">
        <f t="shared" si="7"/>
        <v>0</v>
      </c>
      <c r="W695" s="31"/>
      <c r="X695" s="15" t="str">
        <f t="shared" si="8"/>
        <v>dusseldorf-germany</v>
      </c>
      <c r="Y695" s="32" t="str">
        <f t="shared" si="9"/>
        <v>https://steelmanufacturer.in/market-area/electropolished-pipes-manufacturer-in-dusseldorf-germany/</v>
      </c>
      <c r="Z695" s="15" t="str">
        <f t="shared" si="10"/>
        <v>Electropolished Pipes Manufacturer in Dusseldorf</v>
      </c>
      <c r="AA695" s="15" t="str">
        <f t="shared" si="11"/>
        <v>OK (48)</v>
      </c>
      <c r="AB695" s="15" t="str">
        <f t="shared" si="12"/>
        <v>EP tube and pipe for food processing plants around Dusseldorf Reisholz, Dusseldorf. Made at our Mumbai works to ASTM A270 and ASME BPE SF1-SF4, with 3.1 MTC.</v>
      </c>
      <c r="AC695" s="15" t="str">
        <f t="shared" si="13"/>
        <v>OK (157)</v>
      </c>
      <c r="AD695" s="15" t="str">
        <f t="shared" si="14"/>
        <v>Electropolished Pipes Manufacturer in Dusseldorf</v>
      </c>
      <c r="AE695" s="15" t="str">
        <f t="shared" si="15"/>
        <v>How We Manufacture Electropolished Tube for Dusseldorf Plants</v>
      </c>
      <c r="AF695" s="15" t="str">
        <f t="shared" si="16"/>
        <v>Supplying Electropolished Pipes in Dusseldorf: Availability, Sizes &amp; Dispatch</v>
      </c>
      <c r="AG695" s="15" t="str">
        <f t="shared" si="17"/>
        <v>Wholesale Electropolished Pipe Supply for Dusseldorf Projects</v>
      </c>
      <c r="AH695" s="15" t="str">
        <f t="shared" si="18"/>
        <v>electropolished pipes manufacturer in Dusseldorf, electropolished pipes supplier in Dusseldorf, electropolished pipes wholesaler in Dusseldorf, electropolished tube manufacturer Dusseldorf, EP pipe supplier Dusseldorf, sanitary tube supplier Dusseldorf, ASME BPE tubing Dusseldorf, ASTM A270 tube Dusseldorf, SS 316L electropolished pipe Dusseldorf</v>
      </c>
      <c r="AI695" s="15" t="str">
        <f t="shared" si="19"/>
        <v>Electropolished Pipes Manufacturer &amp; Supplier in Dusseldorf</v>
      </c>
      <c r="AJ695" s="15" t="str">
        <f t="shared" si="20"/>
        <v>EP-finished SS 304/316L pipes and tubes for food processing plants in Dusseldorf. ASME BPE SF1-SF4, Ra from 0.25 um, EN 10204 3.1 certificate with every lot.</v>
      </c>
      <c r="AK695" s="15" t="str">
        <f t="shared" si="21"/>
        <v>Electropolished stainless steel pipes supplied by Sakshi Forge to food processing plants at Dusseldorf Reisholz, Dusseldorf</v>
      </c>
      <c r="AL695" s="15" t="str">
        <f t="shared" si="22"/>
        <v>Electropolished SS 316L tube stock for Dusseldorf - Sakshi Forge</v>
      </c>
      <c r="AM695" s="15" t="str">
        <f t="shared" si="23"/>
        <v>Home &gt; Market Area &gt; Germany &gt; North Rhine-Westphalia &gt; Dusseldorf</v>
      </c>
      <c r="AN695" s="15">
        <f t="shared" si="24"/>
        <v>1000</v>
      </c>
      <c r="AO695" s="15">
        <f t="shared" si="25"/>
        <v>8</v>
      </c>
      <c r="AP695" s="15">
        <f t="shared" si="26"/>
        <v>8</v>
      </c>
      <c r="AQ695" s="15">
        <f t="shared" si="27"/>
        <v>12</v>
      </c>
      <c r="AR695" s="31"/>
      <c r="AS695" s="31"/>
      <c r="AT695" s="35" t="s">
        <v>222</v>
      </c>
      <c r="AU695" s="35"/>
    </row>
    <row r="696" ht="15.75" customHeight="1">
      <c r="A696" s="15" t="s">
        <v>8548</v>
      </c>
      <c r="B696" s="15" t="s">
        <v>243</v>
      </c>
      <c r="C696" s="15" t="s">
        <v>6149</v>
      </c>
      <c r="D696" s="15" t="s">
        <v>8549</v>
      </c>
      <c r="E696" s="15" t="s">
        <v>8549</v>
      </c>
      <c r="F696" s="65" t="s">
        <v>788</v>
      </c>
      <c r="G696" s="17" t="s">
        <v>88</v>
      </c>
      <c r="H696" s="18" t="s">
        <v>8550</v>
      </c>
      <c r="I696" s="18" t="s">
        <v>8550</v>
      </c>
      <c r="J696" s="18" t="s">
        <v>8551</v>
      </c>
      <c r="K696" s="18" t="s">
        <v>271</v>
      </c>
      <c r="L696" s="18" t="s">
        <v>560</v>
      </c>
      <c r="M696" s="18" t="s">
        <v>550</v>
      </c>
      <c r="N696" s="18" t="s">
        <v>254</v>
      </c>
      <c r="O696" s="18" t="s">
        <v>98</v>
      </c>
      <c r="P696" s="15" t="str">
        <f t="shared" si="1"/>
        <v>CHEM</v>
      </c>
      <c r="Q696" s="15">
        <f t="shared" si="2"/>
        <v>5</v>
      </c>
      <c r="R696" s="15">
        <f t="shared" si="3"/>
        <v>7</v>
      </c>
      <c r="S696" s="15">
        <f t="shared" si="4"/>
        <v>3</v>
      </c>
      <c r="T696" s="15" t="str">
        <f t="shared" si="5"/>
        <v>B-3</v>
      </c>
      <c r="U696" s="15" t="str">
        <f t="shared" si="6"/>
        <v>T5-M7-H3-FB-3-CHEM</v>
      </c>
      <c r="V696" s="15">
        <f t="shared" si="7"/>
        <v>0</v>
      </c>
      <c r="W696" s="31"/>
      <c r="X696" s="15" t="str">
        <f t="shared" si="8"/>
        <v>essen-germany</v>
      </c>
      <c r="Y696" s="32" t="str">
        <f t="shared" si="9"/>
        <v>https://steelmanufacturer.in/market-area/electropolished-pipes-manufacturer-in-essen-germany/</v>
      </c>
      <c r="Z696" s="15" t="str">
        <f t="shared" si="10"/>
        <v>Electropolished Pipes Manufacturer in Essen</v>
      </c>
      <c r="AA696" s="15" t="str">
        <f t="shared" si="11"/>
        <v>OK (43)</v>
      </c>
      <c r="AB696" s="15" t="str">
        <f t="shared" si="12"/>
        <v>Electropolished pipes in Essen: 304, 304L, 316 and 316L in SF1-SF4. 24-30 days sea from Nhava Sheva to Hamburg. Mill certified.</v>
      </c>
      <c r="AC696" s="15" t="str">
        <f t="shared" si="13"/>
        <v>OK (127)</v>
      </c>
      <c r="AD696" s="15" t="str">
        <f t="shared" si="14"/>
        <v>Electropolished Pipes Manufacturer in Essen</v>
      </c>
      <c r="AE696" s="15" t="str">
        <f t="shared" si="15"/>
        <v>Electropolished Pipes Manufacturer in Essen - Our Process &amp; Capability</v>
      </c>
      <c r="AF696" s="15" t="str">
        <f t="shared" si="16"/>
        <v>Electropolished Pipes Supplier in Essen - What We Hold in Stock</v>
      </c>
      <c r="AG696" s="15" t="str">
        <f t="shared" si="17"/>
        <v>Bulk &amp; Wholesale Electropolished Pipe Rates for Essen Buyers</v>
      </c>
      <c r="AH696" s="15" t="str">
        <f t="shared" si="18"/>
        <v>electropolished pipes manufacturer in Essen, electropolished pipes supplier in Essen, electropolished pipes wholesaler in Essen, electropolished tube manufacturer Essen, EP pipe supplier Essen, sanitary tube supplier Essen, ASME BPE tubing Essen, ASTM A270 tube Essen, SS 316L electropolished pipe Essen</v>
      </c>
      <c r="AI696" s="15" t="str">
        <f t="shared" si="19"/>
        <v>Electropolished Pipes Manufacturer &amp; Supplier in Essen</v>
      </c>
      <c r="AJ696" s="15" t="str">
        <f t="shared" si="20"/>
        <v>EP-finished SS 304/316L pipes and tubes for chemical plants in Essen. ASME BPE SF1-SF4, Ra from 0.25 um, EN 10204 3.1 certificate with every lot.</v>
      </c>
      <c r="AK696" s="15" t="str">
        <f t="shared" si="21"/>
        <v>Electropolished stainless steel pipes supplied by Sakshi Forge to chemical plants at Essen Industrial Corridor, Essen</v>
      </c>
      <c r="AL696" s="15" t="str">
        <f t="shared" si="22"/>
        <v>Electropolished SS 316L tube stock for Essen - Sakshi Forge</v>
      </c>
      <c r="AM696" s="15" t="str">
        <f t="shared" si="23"/>
        <v>Home &gt; Market Area &gt; Germany &gt; North Rhine-Westphalia &gt; Essen</v>
      </c>
      <c r="AN696" s="15">
        <f t="shared" si="24"/>
        <v>1000</v>
      </c>
      <c r="AO696" s="15">
        <f t="shared" si="25"/>
        <v>8</v>
      </c>
      <c r="AP696" s="15">
        <f t="shared" si="26"/>
        <v>8</v>
      </c>
      <c r="AQ696" s="15">
        <f t="shared" si="27"/>
        <v>12</v>
      </c>
      <c r="AR696" s="31"/>
      <c r="AS696" s="31"/>
      <c r="AT696" s="35" t="s">
        <v>222</v>
      </c>
      <c r="AU696" s="35"/>
    </row>
    <row r="697" ht="15.75" customHeight="1">
      <c r="A697" s="15" t="s">
        <v>8552</v>
      </c>
      <c r="B697" s="15" t="s">
        <v>243</v>
      </c>
      <c r="C697" s="15" t="s">
        <v>6133</v>
      </c>
      <c r="D697" s="15" t="s">
        <v>8553</v>
      </c>
      <c r="E697" s="15" t="s">
        <v>8553</v>
      </c>
      <c r="F697" s="65" t="s">
        <v>788</v>
      </c>
      <c r="G697" s="17" t="s">
        <v>88</v>
      </c>
      <c r="H697" s="18" t="s">
        <v>8554</v>
      </c>
      <c r="I697" s="18" t="s">
        <v>8555</v>
      </c>
      <c r="J697" s="18" t="s">
        <v>8556</v>
      </c>
      <c r="K697" s="18" t="s">
        <v>5794</v>
      </c>
      <c r="L697" s="18" t="s">
        <v>560</v>
      </c>
      <c r="M697" s="18" t="s">
        <v>550</v>
      </c>
      <c r="N697" s="18" t="s">
        <v>254</v>
      </c>
      <c r="O697" s="18" t="s">
        <v>98</v>
      </c>
      <c r="P697" s="15" t="str">
        <f t="shared" si="1"/>
        <v>BREWERY</v>
      </c>
      <c r="Q697" s="15">
        <f t="shared" si="2"/>
        <v>6</v>
      </c>
      <c r="R697" s="15">
        <f t="shared" si="3"/>
        <v>1</v>
      </c>
      <c r="S697" s="15">
        <f t="shared" si="4"/>
        <v>4</v>
      </c>
      <c r="T697" s="15" t="str">
        <f t="shared" si="5"/>
        <v>B-4</v>
      </c>
      <c r="U697" s="15" t="str">
        <f t="shared" si="6"/>
        <v>T6-M1-H4-FB-4-BREWERY</v>
      </c>
      <c r="V697" s="15">
        <f t="shared" si="7"/>
        <v>0</v>
      </c>
      <c r="W697" s="31"/>
      <c r="X697" s="15" t="str">
        <f t="shared" si="8"/>
        <v>freiburg-germany</v>
      </c>
      <c r="Y697" s="32" t="str">
        <f t="shared" si="9"/>
        <v>https://steelmanufacturer.in/market-area/electropolished-pipes-manufacturer-in-freiburg-germany/</v>
      </c>
      <c r="Z697" s="15" t="str">
        <f t="shared" si="10"/>
        <v>Electropolished Pipes Manufacturer in Freiburg</v>
      </c>
      <c r="AA697" s="15" t="str">
        <f t="shared" si="11"/>
        <v>OK (46)</v>
      </c>
      <c r="AB697" s="15" t="str">
        <f t="shared" si="12"/>
        <v>EP-finished SS 304/316L pipes &amp; tubes for brewery &amp; food plants in Freiburg. ASTM A270, ASME BPE SF1-SF4, EN 10204 3.1 MTC. PMI tested.</v>
      </c>
      <c r="AC697" s="15" t="str">
        <f t="shared" si="13"/>
        <v>OK (135)</v>
      </c>
      <c r="AD697" s="15" t="str">
        <f t="shared" si="14"/>
        <v>Electropolished Pipes Manufacturer in Freiburg</v>
      </c>
      <c r="AE697" s="15" t="str">
        <f t="shared" si="15"/>
        <v>Manufacturing Electropolished SS Tube for Freiburg: The Standards We Build To</v>
      </c>
      <c r="AF697" s="15" t="str">
        <f t="shared" si="16"/>
        <v>Electropolished Pipe Supply Into Freiburg - Certification &amp; Transit</v>
      </c>
      <c r="AG697" s="15" t="str">
        <f t="shared" si="17"/>
        <v>Electropolished Pipes Wholesaler in Freiburg - Project Quantities &amp; Terms</v>
      </c>
      <c r="AH697" s="15" t="str">
        <f t="shared" si="18"/>
        <v>electropolished pipes manufacturer in Freiburg, electropolished pipes supplier in Freiburg, electropolished pipes wholesaler in Freiburg, electropolished tube manufacturer Freiburg, EP pipe supplier Freiburg, sanitary tube supplier Freiburg, ASME BPE tubing Freiburg, ASTM A270 tube Freiburg, SS 316L electropolished pipe Freiburg</v>
      </c>
      <c r="AI697" s="15" t="str">
        <f t="shared" si="19"/>
        <v>Electropolished Pipes Manufacturer &amp; Supplier in Freiburg</v>
      </c>
      <c r="AJ697" s="15" t="str">
        <f t="shared" si="20"/>
        <v>EP-finished SS 304/316L pipes and tubes for brewery &amp; food plants in Freiburg. ASME BPE SF1-SF4, Ra from 0.25 um, EN 10204 3.1 certificate with every lot.</v>
      </c>
      <c r="AK697" s="15" t="str">
        <f t="shared" si="21"/>
        <v>Electropolished stainless steel pipes supplied by Sakshi Forge to brewery &amp; food plants at Freiburg Nord Industrial, Freiburg</v>
      </c>
      <c r="AL697" s="15" t="str">
        <f t="shared" si="22"/>
        <v>Electropolished SS 316L tube stock for Freiburg - Sakshi Forge</v>
      </c>
      <c r="AM697" s="15" t="str">
        <f t="shared" si="23"/>
        <v>Home &gt; Market Area &gt; Germany &gt; Baden-Wurttemberg &gt; Freiburg</v>
      </c>
      <c r="AN697" s="15">
        <f t="shared" si="24"/>
        <v>1000</v>
      </c>
      <c r="AO697" s="15">
        <f t="shared" si="25"/>
        <v>8</v>
      </c>
      <c r="AP697" s="15">
        <f t="shared" si="26"/>
        <v>8</v>
      </c>
      <c r="AQ697" s="15">
        <f t="shared" si="27"/>
        <v>12</v>
      </c>
      <c r="AR697" s="31"/>
      <c r="AS697" s="31"/>
      <c r="AT697" s="35" t="s">
        <v>222</v>
      </c>
      <c r="AU697" s="35"/>
    </row>
    <row r="698" ht="15.75" customHeight="1">
      <c r="A698" s="15" t="s">
        <v>8557</v>
      </c>
      <c r="B698" s="15" t="s">
        <v>243</v>
      </c>
      <c r="C698" s="15" t="s">
        <v>8558</v>
      </c>
      <c r="D698" s="15" t="s">
        <v>8559</v>
      </c>
      <c r="E698" s="15" t="s">
        <v>8559</v>
      </c>
      <c r="F698" s="65" t="s">
        <v>788</v>
      </c>
      <c r="G698" s="17" t="s">
        <v>88</v>
      </c>
      <c r="H698" s="18" t="s">
        <v>8560</v>
      </c>
      <c r="I698" s="18" t="s">
        <v>8561</v>
      </c>
      <c r="J698" s="18" t="s">
        <v>8123</v>
      </c>
      <c r="K698" s="18" t="s">
        <v>1084</v>
      </c>
      <c r="L698" s="18" t="s">
        <v>6088</v>
      </c>
      <c r="M698" s="18" t="s">
        <v>550</v>
      </c>
      <c r="N698" s="18" t="s">
        <v>254</v>
      </c>
      <c r="O698" s="18" t="s">
        <v>98</v>
      </c>
      <c r="P698" s="15" t="str">
        <f t="shared" si="1"/>
        <v>CHEM</v>
      </c>
      <c r="Q698" s="15">
        <f t="shared" si="2"/>
        <v>7</v>
      </c>
      <c r="R698" s="15">
        <f t="shared" si="3"/>
        <v>2</v>
      </c>
      <c r="S698" s="15">
        <f t="shared" si="4"/>
        <v>5</v>
      </c>
      <c r="T698" s="15" t="str">
        <f t="shared" si="5"/>
        <v>B-5</v>
      </c>
      <c r="U698" s="15" t="str">
        <f t="shared" si="6"/>
        <v>T7-M2-H5-FB-5-CHEM</v>
      </c>
      <c r="V698" s="15">
        <f t="shared" si="7"/>
        <v>0</v>
      </c>
      <c r="W698" s="31"/>
      <c r="X698" s="15" t="str">
        <f t="shared" si="8"/>
        <v>halle-germany</v>
      </c>
      <c r="Y698" s="32" t="str">
        <f t="shared" si="9"/>
        <v>https://steelmanufacturer.in/market-area/electropolished-pipes-manufacturer-in-halle-germany/</v>
      </c>
      <c r="Z698" s="15" t="str">
        <f t="shared" si="10"/>
        <v>Electropolished Pipes Manufacturer in Halle | ASME BPE SF1-SF4</v>
      </c>
      <c r="AA698" s="15" t="str">
        <f t="shared" si="11"/>
        <v>OK (62)</v>
      </c>
      <c r="AB698" s="15" t="str">
        <f t="shared" si="12"/>
        <v>Electropolished tube supply to Leuna Chemical Park, Halle. Ra from 0.25 um, SF4 finish, mill test certificate with every lot.</v>
      </c>
      <c r="AC698" s="15" t="str">
        <f t="shared" si="13"/>
        <v>OK (125)</v>
      </c>
      <c r="AD698" s="15" t="str">
        <f t="shared" si="14"/>
        <v>Electropolished Pipes Manufacturer in Halle</v>
      </c>
      <c r="AE698" s="15" t="str">
        <f t="shared" si="15"/>
        <v>Electropolished Tube Manufacturing Capability Serving Halle</v>
      </c>
      <c r="AF698" s="15" t="str">
        <f t="shared" si="16"/>
        <v>Electropolished Pipes Supplier in Halle - From Order to Delivery</v>
      </c>
      <c r="AG698" s="15" t="str">
        <f t="shared" si="17"/>
        <v>Stockist &amp; Wholesale Supply of Electropolished Pipes in Halle</v>
      </c>
      <c r="AH698" s="15" t="str">
        <f t="shared" si="18"/>
        <v>electropolished pipes manufacturer in Halle, electropolished pipes supplier in Halle, electropolished pipes wholesaler in Halle, electropolished tube manufacturer Halle, EP pipe supplier Halle, sanitary tube supplier Halle, ASME BPE tubing Halle, ASTM A270 tube Halle, SS 316L electropolished pipe Halle</v>
      </c>
      <c r="AI698" s="15" t="str">
        <f t="shared" si="19"/>
        <v>Electropolished Pipes Manufacturer &amp; Supplier in Halle</v>
      </c>
      <c r="AJ698" s="15" t="str">
        <f t="shared" si="20"/>
        <v>EP-finished SS 304/316L pipes and tubes for petrochemical plants in Halle. ASME BPE SF1-SF4, Ra from 0.25 um, EN 10204 3.1 certificate with every lot.</v>
      </c>
      <c r="AK698" s="15" t="str">
        <f t="shared" si="21"/>
        <v>Electropolished stainless steel pipes supplied by Sakshi Forge to petrochemical plants at Leuna Chemical Park, Halle</v>
      </c>
      <c r="AL698" s="15" t="str">
        <f t="shared" si="22"/>
        <v>Electropolished SS 316L tube stock for Halle - Sakshi Forge</v>
      </c>
      <c r="AM698" s="15" t="str">
        <f t="shared" si="23"/>
        <v>Home &gt; Market Area &gt; Germany &gt; Saxony-Anhalt &gt; Halle</v>
      </c>
      <c r="AN698" s="15">
        <f t="shared" si="24"/>
        <v>1000</v>
      </c>
      <c r="AO698" s="15">
        <f t="shared" si="25"/>
        <v>8</v>
      </c>
      <c r="AP698" s="15">
        <f t="shared" si="26"/>
        <v>8</v>
      </c>
      <c r="AQ698" s="15">
        <f t="shared" si="27"/>
        <v>12</v>
      </c>
      <c r="AR698" s="31"/>
      <c r="AS698" s="31"/>
      <c r="AT698" s="35" t="s">
        <v>222</v>
      </c>
      <c r="AU698" s="35"/>
    </row>
    <row r="699" ht="15.75" customHeight="1">
      <c r="A699" s="15" t="s">
        <v>8562</v>
      </c>
      <c r="B699" s="15" t="s">
        <v>243</v>
      </c>
      <c r="C699" s="15" t="s">
        <v>8563</v>
      </c>
      <c r="D699" s="15" t="s">
        <v>8564</v>
      </c>
      <c r="E699" s="15" t="s">
        <v>8564</v>
      </c>
      <c r="F699" s="65" t="s">
        <v>788</v>
      </c>
      <c r="G699" s="17" t="s">
        <v>88</v>
      </c>
      <c r="H699" s="18" t="s">
        <v>8565</v>
      </c>
      <c r="I699" s="18" t="s">
        <v>8566</v>
      </c>
      <c r="J699" s="18" t="s">
        <v>8527</v>
      </c>
      <c r="K699" s="18" t="s">
        <v>229</v>
      </c>
      <c r="L699" s="18" t="s">
        <v>8528</v>
      </c>
      <c r="M699" s="18" t="s">
        <v>550</v>
      </c>
      <c r="N699" s="18" t="s">
        <v>254</v>
      </c>
      <c r="O699" s="18" t="s">
        <v>98</v>
      </c>
      <c r="P699" s="15" t="str">
        <f t="shared" si="1"/>
        <v>PHARMA</v>
      </c>
      <c r="Q699" s="15">
        <f t="shared" si="2"/>
        <v>8</v>
      </c>
      <c r="R699" s="15">
        <f t="shared" si="3"/>
        <v>3</v>
      </c>
      <c r="S699" s="15">
        <f t="shared" si="4"/>
        <v>1</v>
      </c>
      <c r="T699" s="15" t="str">
        <f t="shared" si="5"/>
        <v>B-6</v>
      </c>
      <c r="U699" s="15" t="str">
        <f t="shared" si="6"/>
        <v>T8-M3-H1-FB-6-PHARMA</v>
      </c>
      <c r="V699" s="15">
        <f t="shared" si="7"/>
        <v>0</v>
      </c>
      <c r="W699" s="31"/>
      <c r="X699" s="15" t="str">
        <f t="shared" si="8"/>
        <v>hanover-germany</v>
      </c>
      <c r="Y699" s="32" t="str">
        <f t="shared" si="9"/>
        <v>https://steelmanufacturer.in/market-area/electropolished-pipes-manufacturer-in-hanover-germany/</v>
      </c>
      <c r="Z699" s="15" t="str">
        <f t="shared" si="10"/>
        <v>Electropolished Pipes Manufacturer in Hanover - EP Tube Stockist</v>
      </c>
      <c r="AA699" s="15" t="str">
        <f t="shared" si="11"/>
        <v>OK (64)</v>
      </c>
      <c r="AB699" s="15" t="str">
        <f t="shared" si="12"/>
        <v>EP stainless tube for pharma lines in Hanover. 24-30 days sea from Nhava Sheva to Hamburg. ASTM A270 S2, PMI tested, EN 10204 3.1.</v>
      </c>
      <c r="AC699" s="15" t="str">
        <f t="shared" si="13"/>
        <v>OK (130)</v>
      </c>
      <c r="AD699" s="15" t="str">
        <f t="shared" si="14"/>
        <v>Electropolished Pipes Manufacturer in Hanover</v>
      </c>
      <c r="AE699" s="15" t="str">
        <f t="shared" si="15"/>
        <v>Electropolished Pipe &amp; Tube Manufacturing for Hanover - Grades, Finishes &amp; Certification</v>
      </c>
      <c r="AF699" s="15" t="str">
        <f t="shared" si="16"/>
        <v>Electropolished Pipes Supplier in Hanover - Stock Sizes, Lead Time &amp; Delivery</v>
      </c>
      <c r="AG699" s="15" t="str">
        <f t="shared" si="17"/>
        <v>Electropolished Pipes Wholesaler &amp; Stockist in Hanover - Bulk &amp; Project Pricing</v>
      </c>
      <c r="AH699" s="15" t="str">
        <f t="shared" si="18"/>
        <v>electropolished pipes manufacturer in Hanover, electropolished pipes supplier in Hanover, electropolished pipes wholesaler in Hanover, electropolished tube manufacturer Hanover, EP pipe supplier Hanover, sanitary tube supplier Hanover, ASME BPE tubing Hanover, ASTM A270 tube Hanover, SS 316L electropolished pipe Hanover</v>
      </c>
      <c r="AI699" s="15" t="str">
        <f t="shared" si="19"/>
        <v>Electropolished Pipes Manufacturer &amp; Supplier in Hanover</v>
      </c>
      <c r="AJ699" s="15" t="str">
        <f t="shared" si="20"/>
        <v>EP-finished SS 304/316L pipes and tubes for pharma plants in Hanover. ASME BPE SF1-SF4, Ra from 0.25 um, EN 10204 3.1 certificate with every lot.</v>
      </c>
      <c r="AK699" s="15" t="str">
        <f t="shared" si="21"/>
        <v>Electropolished stainless steel pipes supplied by Sakshi Forge to pharma plants at Hanover Industrial Park, Hanover</v>
      </c>
      <c r="AL699" s="15" t="str">
        <f t="shared" si="22"/>
        <v>Electropolished SS 316L tube stock for Hanover - Sakshi Forge</v>
      </c>
      <c r="AM699" s="15" t="str">
        <f t="shared" si="23"/>
        <v>Home &gt; Market Area &gt; Germany &gt; Lower Saxony &gt; Hanover</v>
      </c>
      <c r="AN699" s="15">
        <f t="shared" si="24"/>
        <v>1000</v>
      </c>
      <c r="AO699" s="15">
        <f t="shared" si="25"/>
        <v>8</v>
      </c>
      <c r="AP699" s="15">
        <f t="shared" si="26"/>
        <v>8</v>
      </c>
      <c r="AQ699" s="15">
        <f t="shared" si="27"/>
        <v>12</v>
      </c>
      <c r="AR699" s="31"/>
      <c r="AS699" s="31"/>
      <c r="AT699" s="35" t="s">
        <v>222</v>
      </c>
      <c r="AU699" s="35"/>
    </row>
    <row r="700" ht="15.75" customHeight="1">
      <c r="A700" s="15" t="s">
        <v>8567</v>
      </c>
      <c r="B700" s="15" t="s">
        <v>243</v>
      </c>
      <c r="C700" s="15" t="s">
        <v>6133</v>
      </c>
      <c r="D700" s="15" t="s">
        <v>8568</v>
      </c>
      <c r="E700" s="15" t="s">
        <v>8568</v>
      </c>
      <c r="F700" s="65" t="s">
        <v>788</v>
      </c>
      <c r="G700" s="17" t="s">
        <v>88</v>
      </c>
      <c r="H700" s="18" t="s">
        <v>8569</v>
      </c>
      <c r="I700" s="18" t="s">
        <v>8570</v>
      </c>
      <c r="J700" s="18" t="s">
        <v>8571</v>
      </c>
      <c r="K700" s="18" t="s">
        <v>8572</v>
      </c>
      <c r="L700" s="18" t="s">
        <v>560</v>
      </c>
      <c r="M700" s="18" t="s">
        <v>550</v>
      </c>
      <c r="N700" s="18" t="s">
        <v>254</v>
      </c>
      <c r="O700" s="18" t="s">
        <v>98</v>
      </c>
      <c r="P700" s="15" t="str">
        <f t="shared" si="1"/>
        <v>CHEM</v>
      </c>
      <c r="Q700" s="15">
        <f t="shared" si="2"/>
        <v>1</v>
      </c>
      <c r="R700" s="15">
        <f t="shared" si="3"/>
        <v>4</v>
      </c>
      <c r="S700" s="15">
        <f t="shared" si="4"/>
        <v>2</v>
      </c>
      <c r="T700" s="15" t="str">
        <f t="shared" si="5"/>
        <v>B-1</v>
      </c>
      <c r="U700" s="15" t="str">
        <f t="shared" si="6"/>
        <v>T1-M4-H2-FB-1-CHEM</v>
      </c>
      <c r="V700" s="15">
        <f t="shared" si="7"/>
        <v>0</v>
      </c>
      <c r="W700" s="31"/>
      <c r="X700" s="15" t="str">
        <f t="shared" si="8"/>
        <v>karlsruhe-germany</v>
      </c>
      <c r="Y700" s="32" t="str">
        <f t="shared" si="9"/>
        <v>https://steelmanufacturer.in/market-area/electropolished-pipes-manufacturer-in-karlsruhe-germany/</v>
      </c>
      <c r="Z700" s="15" t="str">
        <f t="shared" si="10"/>
        <v>Electropolished Pipes Manufacturer in Karlsruhe | Sakshi Forge</v>
      </c>
      <c r="AA700" s="15" t="str">
        <f t="shared" si="11"/>
        <v>OK (62)</v>
      </c>
      <c r="AB700" s="15" t="str">
        <f t="shared" si="12"/>
        <v>Sanitary electropolished pipes in Karlsruhe for refining &amp; chemical plants. ASME BPE SF1-SF4, orbital-weld ready, 3.1 MTC. Mumbai-made.</v>
      </c>
      <c r="AC700" s="15" t="str">
        <f t="shared" si="13"/>
        <v>OK (135)</v>
      </c>
      <c r="AD700" s="15" t="str">
        <f t="shared" si="14"/>
        <v>Electropolished Pipes Manufacturer in Karlsruhe</v>
      </c>
      <c r="AE700" s="15" t="str">
        <f t="shared" si="15"/>
        <v>How We Manufacture Electropolished Tube for Karlsruhe Plants</v>
      </c>
      <c r="AF700" s="15" t="str">
        <f t="shared" si="16"/>
        <v>Supplying Electropolished Pipes in Karlsruhe: Availability, Sizes &amp; Dispatch</v>
      </c>
      <c r="AG700" s="15" t="str">
        <f t="shared" si="17"/>
        <v>Wholesale Electropolished Pipe Supply for Karlsruhe Projects</v>
      </c>
      <c r="AH700" s="15" t="str">
        <f t="shared" si="18"/>
        <v>electropolished pipes manufacturer in Karlsruhe, electropolished pipes supplier in Karlsruhe, electropolished pipes wholesaler in Karlsruhe, electropolished tube manufacturer Karlsruhe, EP pipe supplier Karlsruhe, sanitary tube supplier Karlsruhe, ASME BPE tubing Karlsruhe, ASTM A270 tube Karlsruhe, SS 316L electropolished pipe Karlsruhe</v>
      </c>
      <c r="AI700" s="15" t="str">
        <f t="shared" si="19"/>
        <v>Electropolished Pipes Manufacturer &amp; Supplier in Karlsruhe</v>
      </c>
      <c r="AJ700" s="15" t="str">
        <f t="shared" si="20"/>
        <v>EP-finished SS 304/316L pipes and tubes for refining &amp; chemical plants in Karlsruhe. ASME BPE SF1-SF4, Ra from 0.25 um, EN 10204 3.1 certificate with every lot.</v>
      </c>
      <c r="AK700" s="15" t="str">
        <f t="shared" si="21"/>
        <v>Electropolished stainless steel pipes supplied by Sakshi Forge to refining &amp; chemical plants at Karlsruhe Rheinhafen, Karlsruhe</v>
      </c>
      <c r="AL700" s="15" t="str">
        <f t="shared" si="22"/>
        <v>Electropolished SS 316L tube stock for Karlsruhe - Sakshi Forge</v>
      </c>
      <c r="AM700" s="15" t="str">
        <f t="shared" si="23"/>
        <v>Home &gt; Market Area &gt; Germany &gt; Baden-Wurttemberg &gt; Karlsruhe</v>
      </c>
      <c r="AN700" s="15">
        <f t="shared" si="24"/>
        <v>1000</v>
      </c>
      <c r="AO700" s="15">
        <f t="shared" si="25"/>
        <v>8</v>
      </c>
      <c r="AP700" s="15">
        <f t="shared" si="26"/>
        <v>8</v>
      </c>
      <c r="AQ700" s="15">
        <f t="shared" si="27"/>
        <v>12</v>
      </c>
      <c r="AR700" s="31"/>
      <c r="AS700" s="31"/>
      <c r="AT700" s="35" t="s">
        <v>222</v>
      </c>
      <c r="AU700" s="35"/>
    </row>
    <row r="701" ht="15.75" customHeight="1">
      <c r="A701" s="15" t="s">
        <v>8573</v>
      </c>
      <c r="B701" s="15" t="s">
        <v>243</v>
      </c>
      <c r="C701" s="15" t="s">
        <v>8574</v>
      </c>
      <c r="D701" s="15" t="s">
        <v>8575</v>
      </c>
      <c r="E701" s="15" t="s">
        <v>8575</v>
      </c>
      <c r="F701" s="65" t="s">
        <v>788</v>
      </c>
      <c r="G701" s="17" t="s">
        <v>88</v>
      </c>
      <c r="H701" s="18" t="s">
        <v>8576</v>
      </c>
      <c r="I701" s="18" t="s">
        <v>8576</v>
      </c>
      <c r="J701" s="18" t="s">
        <v>8577</v>
      </c>
      <c r="K701" s="18" t="s">
        <v>94</v>
      </c>
      <c r="L701" s="18" t="s">
        <v>8578</v>
      </c>
      <c r="M701" s="18" t="s">
        <v>550</v>
      </c>
      <c r="N701" s="18" t="s">
        <v>254</v>
      </c>
      <c r="O701" s="18" t="s">
        <v>98</v>
      </c>
      <c r="P701" s="15" t="str">
        <f t="shared" si="1"/>
        <v>FOOD</v>
      </c>
      <c r="Q701" s="15">
        <f t="shared" si="2"/>
        <v>2</v>
      </c>
      <c r="R701" s="15">
        <f t="shared" si="3"/>
        <v>5</v>
      </c>
      <c r="S701" s="15">
        <f t="shared" si="4"/>
        <v>3</v>
      </c>
      <c r="T701" s="15" t="str">
        <f t="shared" si="5"/>
        <v>B-2</v>
      </c>
      <c r="U701" s="15" t="str">
        <f t="shared" si="6"/>
        <v>T2-M5-H3-FB-2-FOOD</v>
      </c>
      <c r="V701" s="15">
        <f t="shared" si="7"/>
        <v>0</v>
      </c>
      <c r="W701" s="31"/>
      <c r="X701" s="15" t="str">
        <f t="shared" si="8"/>
        <v>kiel-germany</v>
      </c>
      <c r="Y701" s="32" t="str">
        <f t="shared" si="9"/>
        <v>https://steelmanufacturer.in/market-area/electropolished-pipes-manufacturer-in-kiel-germany/</v>
      </c>
      <c r="Z701" s="15" t="str">
        <f t="shared" si="10"/>
        <v>Electropolished Pipes Manufacturer in Kiel - ASTM A270 &amp; ASME BPE</v>
      </c>
      <c r="AA701" s="15" t="str">
        <f t="shared" si="11"/>
        <v>OK (65)</v>
      </c>
      <c r="AB701" s="15" t="str">
        <f t="shared" si="12"/>
        <v>Manufacturer of electropolished SS 316L tube serving Kiel. 24-30 days sea from Nhava Sheva to Hamburg. Ra 0.25-0.5 um, EN 10204 3.1 MTC.</v>
      </c>
      <c r="AC701" s="15" t="str">
        <f t="shared" si="13"/>
        <v>OK (136)</v>
      </c>
      <c r="AD701" s="15" t="str">
        <f t="shared" si="14"/>
        <v>Electropolished Pipes Manufacturer in Kiel</v>
      </c>
      <c r="AE701" s="15" t="str">
        <f t="shared" si="15"/>
        <v>Electropolished Pipes Manufacturer in Kiel - Our Process &amp; Capability</v>
      </c>
      <c r="AF701" s="15" t="str">
        <f t="shared" si="16"/>
        <v>Electropolished Pipes Supplier in Kiel - What We Hold in Stock</v>
      </c>
      <c r="AG701" s="15" t="str">
        <f t="shared" si="17"/>
        <v>Bulk &amp; Wholesale Electropolished Pipe Rates for Kiel Buyers</v>
      </c>
      <c r="AH701" s="15" t="str">
        <f t="shared" si="18"/>
        <v>electropolished pipes manufacturer in Kiel, electropolished pipes supplier in Kiel, electropolished pipes wholesaler in Kiel, electropolished tube manufacturer Kiel, EP pipe supplier Kiel, sanitary tube supplier Kiel, ASME BPE tubing Kiel, ASTM A270 tube Kiel, SS 316L electropolished pipe Kiel</v>
      </c>
      <c r="AI701" s="15" t="str">
        <f t="shared" si="19"/>
        <v>Electropolished Pipes Manufacturer &amp; Supplier in Kiel</v>
      </c>
      <c r="AJ701" s="15" t="str">
        <f t="shared" si="20"/>
        <v>EP-finished SS 304/316L pipes and tubes for food processing plants in Kiel. ASME BPE SF1-SF4, Ra from 0.25 um, EN 10204 3.1 certificate with every lot.</v>
      </c>
      <c r="AK701" s="15" t="str">
        <f t="shared" si="21"/>
        <v>Electropolished stainless steel pipes supplied by Sakshi Forge to food processing plants at Kiel Industrial Harbour, Kiel</v>
      </c>
      <c r="AL701" s="15" t="str">
        <f t="shared" si="22"/>
        <v>Electropolished SS 316L tube stock for Kiel - Sakshi Forge</v>
      </c>
      <c r="AM701" s="15" t="str">
        <f t="shared" si="23"/>
        <v>Home &gt; Market Area &gt; Germany &gt; Schleswig-Holstein &gt; Kiel</v>
      </c>
      <c r="AN701" s="15">
        <f t="shared" si="24"/>
        <v>1000</v>
      </c>
      <c r="AO701" s="15">
        <f t="shared" si="25"/>
        <v>8</v>
      </c>
      <c r="AP701" s="15">
        <f t="shared" si="26"/>
        <v>8</v>
      </c>
      <c r="AQ701" s="15">
        <f t="shared" si="27"/>
        <v>12</v>
      </c>
      <c r="AR701" s="31"/>
      <c r="AS701" s="31"/>
      <c r="AT701" s="35" t="s">
        <v>222</v>
      </c>
      <c r="AU701" s="35"/>
    </row>
    <row r="702" ht="15.75" customHeight="1">
      <c r="A702" s="15" t="s">
        <v>8579</v>
      </c>
      <c r="B702" s="15" t="s">
        <v>243</v>
      </c>
      <c r="C702" s="15" t="s">
        <v>6204</v>
      </c>
      <c r="D702" s="15" t="s">
        <v>8580</v>
      </c>
      <c r="E702" s="15" t="s">
        <v>8580</v>
      </c>
      <c r="F702" s="65" t="s">
        <v>788</v>
      </c>
      <c r="G702" s="17" t="s">
        <v>88</v>
      </c>
      <c r="H702" s="18" t="s">
        <v>8581</v>
      </c>
      <c r="I702" s="18" t="s">
        <v>8582</v>
      </c>
      <c r="J702" s="18" t="s">
        <v>8583</v>
      </c>
      <c r="K702" s="18" t="s">
        <v>1320</v>
      </c>
      <c r="L702" s="18" t="s">
        <v>6088</v>
      </c>
      <c r="M702" s="18" t="s">
        <v>550</v>
      </c>
      <c r="N702" s="18" t="s">
        <v>254</v>
      </c>
      <c r="O702" s="18" t="s">
        <v>98</v>
      </c>
      <c r="P702" s="15" t="str">
        <f t="shared" si="1"/>
        <v>BIOTECH</v>
      </c>
      <c r="Q702" s="15">
        <f t="shared" si="2"/>
        <v>3</v>
      </c>
      <c r="R702" s="15">
        <f t="shared" si="3"/>
        <v>6</v>
      </c>
      <c r="S702" s="15">
        <f t="shared" si="4"/>
        <v>4</v>
      </c>
      <c r="T702" s="15" t="str">
        <f t="shared" si="5"/>
        <v>B-3</v>
      </c>
      <c r="U702" s="15" t="str">
        <f t="shared" si="6"/>
        <v>T3-M6-H4-FB-3-BIOTECH</v>
      </c>
      <c r="V702" s="15">
        <f t="shared" si="7"/>
        <v>0</v>
      </c>
      <c r="W702" s="31"/>
      <c r="X702" s="15" t="str">
        <f t="shared" si="8"/>
        <v>leipzig-germany</v>
      </c>
      <c r="Y702" s="32" t="str">
        <f t="shared" si="9"/>
        <v>https://steelmanufacturer.in/market-area/electropolished-pipes-manufacturer-in-leipzig-germany/</v>
      </c>
      <c r="Z702" s="15" t="str">
        <f t="shared" si="10"/>
        <v>Electropolished Pipes Manufacturer in Leipzig | EP Tube Supplier</v>
      </c>
      <c r="AA702" s="15" t="str">
        <f t="shared" si="11"/>
        <v>OK (64)</v>
      </c>
      <c r="AB702" s="15" t="str">
        <f t="shared" si="12"/>
        <v>EP tube and pipe for biotech plants around Leipzig Nordraum Industrial, Leipzig. Made at our Mumbai works to ASTM A270 and ASME BPE SF1-SF4, with 3.1 MTC.</v>
      </c>
      <c r="AC702" s="15" t="str">
        <f t="shared" si="13"/>
        <v>OK (154)</v>
      </c>
      <c r="AD702" s="15" t="str">
        <f t="shared" si="14"/>
        <v>Electropolished Pipes Manufacturer in Leipzig</v>
      </c>
      <c r="AE702" s="15" t="str">
        <f t="shared" si="15"/>
        <v>Manufacturing Electropolished SS Tube for Leipzig: The Standards We Build To</v>
      </c>
      <c r="AF702" s="15" t="str">
        <f t="shared" si="16"/>
        <v>Electropolished Pipe Supply Into Leipzig - Certification &amp; Transit</v>
      </c>
      <c r="AG702" s="15" t="str">
        <f t="shared" si="17"/>
        <v>Electropolished Pipes Wholesaler in Leipzig - Project Quantities &amp; Terms</v>
      </c>
      <c r="AH702" s="15" t="str">
        <f t="shared" si="18"/>
        <v>electropolished pipes manufacturer in Leipzig, electropolished pipes supplier in Leipzig, electropolished pipes wholesaler in Leipzig, electropolished tube manufacturer Leipzig, EP pipe supplier Leipzig, sanitary tube supplier Leipzig, ASME BPE tubing Leipzig, ASTM A270 tube Leipzig, SS 316L electropolished pipe Leipzig</v>
      </c>
      <c r="AI702" s="15" t="str">
        <f t="shared" si="19"/>
        <v>Electropolished Pipes Manufacturer &amp; Supplier in Leipzig</v>
      </c>
      <c r="AJ702" s="15" t="str">
        <f t="shared" si="20"/>
        <v>EP-finished SS 304/316L pipes and tubes for biotech plants in Leipzig. ASME BPE SF1-SF4, Ra from 0.25 um, EN 10204 3.1 certificate with every lot.</v>
      </c>
      <c r="AK702" s="15" t="str">
        <f t="shared" si="21"/>
        <v>Electropolished stainless steel pipes supplied by Sakshi Forge to biotech plants at Leipzig Nordraum Industrial, Leipzig</v>
      </c>
      <c r="AL702" s="15" t="str">
        <f t="shared" si="22"/>
        <v>Electropolished SS 316L tube stock for Leipzig - Sakshi Forge</v>
      </c>
      <c r="AM702" s="15" t="str">
        <f t="shared" si="23"/>
        <v>Home &gt; Market Area &gt; Germany &gt; Saxony &gt; Leipzig</v>
      </c>
      <c r="AN702" s="15">
        <f t="shared" si="24"/>
        <v>1000</v>
      </c>
      <c r="AO702" s="15">
        <f t="shared" si="25"/>
        <v>8</v>
      </c>
      <c r="AP702" s="15">
        <f t="shared" si="26"/>
        <v>8</v>
      </c>
      <c r="AQ702" s="15">
        <f t="shared" si="27"/>
        <v>12</v>
      </c>
      <c r="AR702" s="31"/>
      <c r="AS702" s="31"/>
      <c r="AT702" s="35" t="s">
        <v>222</v>
      </c>
      <c r="AU702" s="35"/>
    </row>
    <row r="703" ht="15.75" customHeight="1">
      <c r="A703" s="15" t="s">
        <v>8584</v>
      </c>
      <c r="B703" s="15" t="s">
        <v>243</v>
      </c>
      <c r="C703" s="15" t="s">
        <v>8558</v>
      </c>
      <c r="D703" s="15" t="s">
        <v>8585</v>
      </c>
      <c r="E703" s="15" t="s">
        <v>8585</v>
      </c>
      <c r="F703" s="65" t="s">
        <v>788</v>
      </c>
      <c r="G703" s="17" t="s">
        <v>88</v>
      </c>
      <c r="H703" s="18" t="s">
        <v>8586</v>
      </c>
      <c r="I703" s="18" t="s">
        <v>8586</v>
      </c>
      <c r="J703" s="18" t="s">
        <v>8587</v>
      </c>
      <c r="K703" s="18" t="s">
        <v>4868</v>
      </c>
      <c r="L703" s="18" t="s">
        <v>6088</v>
      </c>
      <c r="M703" s="18" t="s">
        <v>550</v>
      </c>
      <c r="N703" s="18" t="s">
        <v>254</v>
      </c>
      <c r="O703" s="18" t="s">
        <v>98</v>
      </c>
      <c r="P703" s="15" t="str">
        <f t="shared" si="1"/>
        <v>SEMI</v>
      </c>
      <c r="Q703" s="15">
        <f t="shared" si="2"/>
        <v>4</v>
      </c>
      <c r="R703" s="15">
        <f t="shared" si="3"/>
        <v>7</v>
      </c>
      <c r="S703" s="15">
        <f t="shared" si="4"/>
        <v>5</v>
      </c>
      <c r="T703" s="15" t="str">
        <f t="shared" si="5"/>
        <v>B-4</v>
      </c>
      <c r="U703" s="15" t="str">
        <f t="shared" si="6"/>
        <v>T4-M7-H5-FB-4-SEMI</v>
      </c>
      <c r="V703" s="15">
        <f t="shared" si="7"/>
        <v>0</v>
      </c>
      <c r="W703" s="31"/>
      <c r="X703" s="15" t="str">
        <f t="shared" si="8"/>
        <v>magdeburg-germany</v>
      </c>
      <c r="Y703" s="32" t="str">
        <f t="shared" si="9"/>
        <v>https://steelmanufacturer.in/market-area/electropolished-pipes-manufacturer-in-magdeburg-germany/</v>
      </c>
      <c r="Z703" s="15" t="str">
        <f t="shared" si="10"/>
        <v>Electropolished Pipes Manufacturer in Magdeburg</v>
      </c>
      <c r="AA703" s="15" t="str">
        <f t="shared" si="11"/>
        <v>OK (47)</v>
      </c>
      <c r="AB703" s="15" t="str">
        <f t="shared" si="12"/>
        <v>Electropolished pipes in Magdeburg: 304, 304L, 316 and 316L in SF1-SF4. 24-30 days sea from Nhava Sheva to Hamburg. Mill certified.</v>
      </c>
      <c r="AC703" s="15" t="str">
        <f t="shared" si="13"/>
        <v>OK (131)</v>
      </c>
      <c r="AD703" s="15" t="str">
        <f t="shared" si="14"/>
        <v>Electropolished Pipes Manufacturer in Magdeburg</v>
      </c>
      <c r="AE703" s="15" t="str">
        <f t="shared" si="15"/>
        <v>Electropolished Tube Manufacturing Capability Serving Magdeburg</v>
      </c>
      <c r="AF703" s="15" t="str">
        <f t="shared" si="16"/>
        <v>Electropolished Pipes Supplier in Magdeburg - From Order to Delivery</v>
      </c>
      <c r="AG703" s="15" t="str">
        <f t="shared" si="17"/>
        <v>Stockist &amp; Wholesale Supply of Electropolished Pipes in Magdeburg</v>
      </c>
      <c r="AH703" s="15" t="str">
        <f t="shared" si="18"/>
        <v>electropolished pipes manufacturer in Magdeburg, electropolished pipes supplier in Magdeburg, electropolished pipes wholesaler in Magdeburg, electropolished tube manufacturer Magdeburg, EP pipe supplier Magdeburg, sanitary tube supplier Magdeburg, ASME BPE tubing Magdeburg, ASTM A270 tube Magdeburg, SS 316L electropolished pipe Magdeburg</v>
      </c>
      <c r="AI703" s="15" t="str">
        <f t="shared" si="19"/>
        <v>Electropolished Pipes Manufacturer &amp; Supplier in Magdeburg</v>
      </c>
      <c r="AJ703" s="15" t="str">
        <f t="shared" si="20"/>
        <v>EP-finished SS 304/316L pipes and tubes for semiconductor plants in Magdeburg. ASME BPE SF1-SF4, Ra from 0.25 um, EN 10204 3.1 certificate with every lot.</v>
      </c>
      <c r="AK703" s="15" t="str">
        <f t="shared" si="21"/>
        <v>Electropolished stainless steel pipes supplied by Sakshi Forge to semiconductor plants at Magdeburg Rothensee Industrial, Magdeburg</v>
      </c>
      <c r="AL703" s="15" t="str">
        <f t="shared" si="22"/>
        <v>Electropolished SS 316L tube stock for Magdeburg - Sakshi Forge</v>
      </c>
      <c r="AM703" s="15" t="str">
        <f t="shared" si="23"/>
        <v>Home &gt; Market Area &gt; Germany &gt; Saxony-Anhalt &gt; Magdeburg</v>
      </c>
      <c r="AN703" s="15">
        <f t="shared" si="24"/>
        <v>1000</v>
      </c>
      <c r="AO703" s="15">
        <f t="shared" si="25"/>
        <v>8</v>
      </c>
      <c r="AP703" s="15">
        <f t="shared" si="26"/>
        <v>8</v>
      </c>
      <c r="AQ703" s="15">
        <f t="shared" si="27"/>
        <v>12</v>
      </c>
      <c r="AR703" s="31"/>
      <c r="AS703" s="31"/>
      <c r="AT703" s="35" t="s">
        <v>222</v>
      </c>
      <c r="AU703" s="35"/>
    </row>
    <row r="704" ht="15.75" customHeight="1">
      <c r="A704" s="15" t="s">
        <v>8588</v>
      </c>
      <c r="B704" s="15" t="s">
        <v>243</v>
      </c>
      <c r="C704" s="15" t="s">
        <v>6133</v>
      </c>
      <c r="D704" s="15" t="s">
        <v>8589</v>
      </c>
      <c r="E704" s="15" t="s">
        <v>8589</v>
      </c>
      <c r="F704" s="65" t="s">
        <v>788</v>
      </c>
      <c r="G704" s="17" t="s">
        <v>88</v>
      </c>
      <c r="H704" s="18" t="s">
        <v>8590</v>
      </c>
      <c r="I704" s="18" t="s">
        <v>8591</v>
      </c>
      <c r="J704" s="18" t="s">
        <v>8592</v>
      </c>
      <c r="K704" s="18" t="s">
        <v>838</v>
      </c>
      <c r="L704" s="18" t="s">
        <v>560</v>
      </c>
      <c r="M704" s="18" t="s">
        <v>550</v>
      </c>
      <c r="N704" s="18" t="s">
        <v>254</v>
      </c>
      <c r="O704" s="18" t="s">
        <v>98</v>
      </c>
      <c r="P704" s="15" t="str">
        <f t="shared" si="1"/>
        <v>PHARMA</v>
      </c>
      <c r="Q704" s="15">
        <f t="shared" si="2"/>
        <v>5</v>
      </c>
      <c r="R704" s="15">
        <f t="shared" si="3"/>
        <v>1</v>
      </c>
      <c r="S704" s="15">
        <f t="shared" si="4"/>
        <v>1</v>
      </c>
      <c r="T704" s="15" t="str">
        <f t="shared" si="5"/>
        <v>B-5</v>
      </c>
      <c r="U704" s="15" t="str">
        <f t="shared" si="6"/>
        <v>T5-M1-H1-FB-5-PHARMA</v>
      </c>
      <c r="V704" s="15">
        <f t="shared" si="7"/>
        <v>0</v>
      </c>
      <c r="W704" s="31"/>
      <c r="X704" s="15" t="str">
        <f t="shared" si="8"/>
        <v>mannheim-germany</v>
      </c>
      <c r="Y704" s="32" t="str">
        <f t="shared" si="9"/>
        <v>https://steelmanufacturer.in/market-area/electropolished-pipes-manufacturer-in-mannheim-germany/</v>
      </c>
      <c r="Z704" s="15" t="str">
        <f t="shared" si="10"/>
        <v>Electropolished Pipes Manufacturer in Mannheim</v>
      </c>
      <c r="AA704" s="15" t="str">
        <f t="shared" si="11"/>
        <v>OK (46)</v>
      </c>
      <c r="AB704" s="15" t="str">
        <f t="shared" si="12"/>
        <v>EP-finished SS 304/316L pipes &amp; tubes for pharma &amp; chemical plants in Mannheim. ASTM A270, ASME BPE SF1-SF4, EN 10204 3.1 MTC. PMI tested.</v>
      </c>
      <c r="AC704" s="15" t="str">
        <f t="shared" si="13"/>
        <v>OK (138)</v>
      </c>
      <c r="AD704" s="15" t="str">
        <f t="shared" si="14"/>
        <v>Electropolished Pipes Manufacturer in Mannheim</v>
      </c>
      <c r="AE704" s="15" t="str">
        <f t="shared" si="15"/>
        <v>Electropolished Pipe &amp; Tube Manufacturing for Mannheim - Grades, Finishes &amp; Certification</v>
      </c>
      <c r="AF704" s="15" t="str">
        <f t="shared" si="16"/>
        <v>Electropolished Pipes Supplier in Mannheim - Stock Sizes, Lead Time &amp; Delivery</v>
      </c>
      <c r="AG704" s="15" t="str">
        <f t="shared" si="17"/>
        <v>Electropolished Pipes Wholesaler &amp; Stockist in Mannheim - Bulk &amp; Project Pricing</v>
      </c>
      <c r="AH704" s="15" t="str">
        <f t="shared" si="18"/>
        <v>electropolished pipes manufacturer in Mannheim, electropolished pipes supplier in Mannheim, electropolished pipes wholesaler in Mannheim, electropolished tube manufacturer Mannheim, EP pipe supplier Mannheim, sanitary tube supplier Mannheim, ASME BPE tubing Mannheim, ASTM A270 tube Mannheim, SS 316L electropolished pipe Mannheim</v>
      </c>
      <c r="AI704" s="15" t="str">
        <f t="shared" si="19"/>
        <v>Electropolished Pipes Manufacturer &amp; Supplier in Mannheim</v>
      </c>
      <c r="AJ704" s="15" t="str">
        <f t="shared" si="20"/>
        <v>EP-finished SS 304/316L pipes and tubes for pharma &amp; chemical plants in Mannheim. ASME BPE SF1-SF4, Ra from 0.25 um, EN 10204 3.1 certificate with every lot.</v>
      </c>
      <c r="AK704" s="15" t="str">
        <f t="shared" si="21"/>
        <v>Electropolished stainless steel pipes supplied by Sakshi Forge to pharma &amp; chemical plants at Mannheim Industriehafen, Mannheim</v>
      </c>
      <c r="AL704" s="15" t="str">
        <f t="shared" si="22"/>
        <v>Electropolished SS 316L tube stock for Mannheim - Sakshi Forge</v>
      </c>
      <c r="AM704" s="15" t="str">
        <f t="shared" si="23"/>
        <v>Home &gt; Market Area &gt; Germany &gt; Baden-Wurttemberg &gt; Mannheim</v>
      </c>
      <c r="AN704" s="15">
        <f t="shared" si="24"/>
        <v>1000</v>
      </c>
      <c r="AO704" s="15">
        <f t="shared" si="25"/>
        <v>8</v>
      </c>
      <c r="AP704" s="15">
        <f t="shared" si="26"/>
        <v>8</v>
      </c>
      <c r="AQ704" s="15">
        <f t="shared" si="27"/>
        <v>12</v>
      </c>
      <c r="AR704" s="31"/>
      <c r="AS704" s="31"/>
      <c r="AT704" s="35" t="s">
        <v>222</v>
      </c>
      <c r="AU704" s="35"/>
    </row>
    <row r="705" ht="15.75" customHeight="1">
      <c r="A705" s="15" t="s">
        <v>8593</v>
      </c>
      <c r="B705" s="15" t="s">
        <v>243</v>
      </c>
      <c r="C705" s="15" t="s">
        <v>6486</v>
      </c>
      <c r="D705" s="15" t="s">
        <v>8594</v>
      </c>
      <c r="E705" s="15" t="s">
        <v>8594</v>
      </c>
      <c r="F705" s="65" t="s">
        <v>788</v>
      </c>
      <c r="G705" s="17" t="s">
        <v>88</v>
      </c>
      <c r="H705" s="18" t="s">
        <v>8595</v>
      </c>
      <c r="I705" s="18" t="s">
        <v>8596</v>
      </c>
      <c r="J705" s="18" t="s">
        <v>8597</v>
      </c>
      <c r="K705" s="18" t="s">
        <v>94</v>
      </c>
      <c r="L705" s="18" t="s">
        <v>6088</v>
      </c>
      <c r="M705" s="18" t="s">
        <v>550</v>
      </c>
      <c r="N705" s="18" t="s">
        <v>254</v>
      </c>
      <c r="O705" s="18" t="s">
        <v>98</v>
      </c>
      <c r="P705" s="15" t="str">
        <f t="shared" si="1"/>
        <v>FOOD</v>
      </c>
      <c r="Q705" s="15">
        <f t="shared" si="2"/>
        <v>6</v>
      </c>
      <c r="R705" s="15">
        <f t="shared" si="3"/>
        <v>2</v>
      </c>
      <c r="S705" s="15">
        <f t="shared" si="4"/>
        <v>2</v>
      </c>
      <c r="T705" s="15" t="str">
        <f t="shared" si="5"/>
        <v>B-6</v>
      </c>
      <c r="U705" s="15" t="str">
        <f t="shared" si="6"/>
        <v>T6-M2-H2-FB-6-FOOD</v>
      </c>
      <c r="V705" s="15">
        <f t="shared" si="7"/>
        <v>0</v>
      </c>
      <c r="W705" s="31"/>
      <c r="X705" s="15" t="str">
        <f t="shared" si="8"/>
        <v>nuremberg-germany</v>
      </c>
      <c r="Y705" s="32" t="str">
        <f t="shared" si="9"/>
        <v>https://steelmanufacturer.in/market-area/electropolished-pipes-manufacturer-in-nuremberg-germany/</v>
      </c>
      <c r="Z705" s="15" t="str">
        <f t="shared" si="10"/>
        <v>Electropolished Pipes Manufacturer in Nuremberg</v>
      </c>
      <c r="AA705" s="15" t="str">
        <f t="shared" si="11"/>
        <v>OK (47)</v>
      </c>
      <c r="AB705" s="15" t="str">
        <f t="shared" si="12"/>
        <v>Electropolished tube supply to Nurnberg Hafen Industrial, Nuremberg. Ra from 0.25 um, SF4 finish, mill test certificate with every lot.</v>
      </c>
      <c r="AC705" s="15" t="str">
        <f t="shared" si="13"/>
        <v>OK (135)</v>
      </c>
      <c r="AD705" s="15" t="str">
        <f t="shared" si="14"/>
        <v>Electropolished Pipes Manufacturer in Nuremberg</v>
      </c>
      <c r="AE705" s="15" t="str">
        <f t="shared" si="15"/>
        <v>How We Manufacture Electropolished Tube for Nuremberg Plants</v>
      </c>
      <c r="AF705" s="15" t="str">
        <f t="shared" si="16"/>
        <v>Supplying Electropolished Pipes in Nuremberg: Availability, Sizes &amp; Dispatch</v>
      </c>
      <c r="AG705" s="15" t="str">
        <f t="shared" si="17"/>
        <v>Wholesale Electropolished Pipe Supply for Nuremberg Projects</v>
      </c>
      <c r="AH705" s="15" t="str">
        <f t="shared" si="18"/>
        <v>electropolished pipes manufacturer in Nuremberg, electropolished pipes supplier in Nuremberg, electropolished pipes wholesaler in Nuremberg, electropolished tube manufacturer Nuremberg, EP pipe supplier Nuremberg, sanitary tube supplier Nuremberg, ASME BPE tubing Nuremberg, ASTM A270 tube Nuremberg, SS 316L electropolished pipe Nuremberg</v>
      </c>
      <c r="AI705" s="15" t="str">
        <f t="shared" si="19"/>
        <v>Electropolished Pipes Manufacturer &amp; Supplier in Nuremberg</v>
      </c>
      <c r="AJ705" s="15" t="str">
        <f t="shared" si="20"/>
        <v>EP-finished SS 304/316L pipes and tubes for food processing plants in Nuremberg. ASME BPE SF1-SF4, Ra from 0.25 um, EN 10204 3.1 certificate with every lot.</v>
      </c>
      <c r="AK705" s="15" t="str">
        <f t="shared" si="21"/>
        <v>Electropolished stainless steel pipes supplied by Sakshi Forge to food processing plants at Nurnberg Hafen Industrial, Nuremberg</v>
      </c>
      <c r="AL705" s="15" t="str">
        <f t="shared" si="22"/>
        <v>Electropolished SS 316L tube stock for Nuremberg - Sakshi Forge</v>
      </c>
      <c r="AM705" s="15" t="str">
        <f t="shared" si="23"/>
        <v>Home &gt; Market Area &gt; Germany &gt; Bavaria &gt; Nuremberg</v>
      </c>
      <c r="AN705" s="15">
        <f t="shared" si="24"/>
        <v>1000</v>
      </c>
      <c r="AO705" s="15">
        <f t="shared" si="25"/>
        <v>8</v>
      </c>
      <c r="AP705" s="15">
        <f t="shared" si="26"/>
        <v>8</v>
      </c>
      <c r="AQ705" s="15">
        <f t="shared" si="27"/>
        <v>12</v>
      </c>
      <c r="AR705" s="31"/>
      <c r="AS705" s="31"/>
      <c r="AT705" s="35" t="s">
        <v>222</v>
      </c>
      <c r="AU705" s="35"/>
    </row>
    <row r="706" ht="15.75" customHeight="1">
      <c r="A706" s="15" t="s">
        <v>8598</v>
      </c>
      <c r="B706" s="15" t="s">
        <v>243</v>
      </c>
      <c r="C706" s="15" t="s">
        <v>6486</v>
      </c>
      <c r="D706" s="15" t="s">
        <v>8599</v>
      </c>
      <c r="E706" s="15" t="s">
        <v>8599</v>
      </c>
      <c r="F706" s="65" t="s">
        <v>788</v>
      </c>
      <c r="G706" s="17" t="s">
        <v>88</v>
      </c>
      <c r="H706" s="18" t="s">
        <v>8600</v>
      </c>
      <c r="I706" s="18" t="s">
        <v>8601</v>
      </c>
      <c r="J706" s="18" t="s">
        <v>8602</v>
      </c>
      <c r="K706" s="18" t="s">
        <v>5794</v>
      </c>
      <c r="L706" s="18" t="s">
        <v>6088</v>
      </c>
      <c r="M706" s="18" t="s">
        <v>550</v>
      </c>
      <c r="N706" s="18" t="s">
        <v>254</v>
      </c>
      <c r="O706" s="18" t="s">
        <v>98</v>
      </c>
      <c r="P706" s="15" t="str">
        <f t="shared" si="1"/>
        <v>BREWERY</v>
      </c>
      <c r="Q706" s="15">
        <f t="shared" si="2"/>
        <v>7</v>
      </c>
      <c r="R706" s="15">
        <f t="shared" si="3"/>
        <v>3</v>
      </c>
      <c r="S706" s="15">
        <f t="shared" si="4"/>
        <v>3</v>
      </c>
      <c r="T706" s="15" t="str">
        <f t="shared" si="5"/>
        <v>B-1</v>
      </c>
      <c r="U706" s="15" t="str">
        <f t="shared" si="6"/>
        <v>T7-M3-H3-FB-1-BREWERY</v>
      </c>
      <c r="V706" s="15">
        <f t="shared" si="7"/>
        <v>0</v>
      </c>
      <c r="W706" s="31"/>
      <c r="X706" s="15" t="str">
        <f t="shared" si="8"/>
        <v>regensburg-germany</v>
      </c>
      <c r="Y706" s="32" t="str">
        <f t="shared" si="9"/>
        <v>https://steelmanufacturer.in/market-area/electropolished-pipes-manufacturer-in-regensburg-germany/</v>
      </c>
      <c r="Z706" s="15" t="str">
        <f t="shared" si="10"/>
        <v>Electropolished Pipes Manufacturer in Regensburg</v>
      </c>
      <c r="AA706" s="15" t="str">
        <f t="shared" si="11"/>
        <v>OK (48)</v>
      </c>
      <c r="AB706" s="15" t="str">
        <f t="shared" si="12"/>
        <v>EP stainless tube for brewery &amp; food lines in Regensburg. 24-30 days sea from Nhava Sheva to Hamburg. ASTM A270 S2, PMI tested, EN 10204 3.1.</v>
      </c>
      <c r="AC706" s="15" t="str">
        <f t="shared" si="13"/>
        <v>OK (141)</v>
      </c>
      <c r="AD706" s="15" t="str">
        <f t="shared" si="14"/>
        <v>Electropolished Pipes Manufacturer in Regensburg</v>
      </c>
      <c r="AE706" s="15" t="str">
        <f t="shared" si="15"/>
        <v>Electropolished Pipes Manufacturer in Regensburg - Our Process &amp; Capability</v>
      </c>
      <c r="AF706" s="15" t="str">
        <f t="shared" si="16"/>
        <v>Electropolished Pipes Supplier in Regensburg - What We Hold in Stock</v>
      </c>
      <c r="AG706" s="15" t="str">
        <f t="shared" si="17"/>
        <v>Bulk &amp; Wholesale Electropolished Pipe Rates for Regensburg Buyers</v>
      </c>
      <c r="AH706" s="15" t="str">
        <f t="shared" si="18"/>
        <v>electropolished pipes manufacturer in Regensburg, electropolished pipes supplier in Regensburg, electropolished pipes wholesaler in Regensburg, electropolished tube manufacturer Regensburg, EP pipe supplier Regensburg, sanitary tube supplier Regensburg, ASME BPE tubing Regensburg, ASTM A270 tube Regensburg, SS 316L electropolished pipe Regensburg</v>
      </c>
      <c r="AI706" s="15" t="str">
        <f t="shared" si="19"/>
        <v>Electropolished Pipes Manufacturer &amp; Supplier in Regensburg</v>
      </c>
      <c r="AJ706" s="15" t="str">
        <f t="shared" si="20"/>
        <v>EP-finished SS 304/316L pipes and tubes for brewery &amp; food plants in Regensburg. ASME BPE SF1-SF4, Ra from 0.25 um, EN 10204 3.1 certificate with every lot.</v>
      </c>
      <c r="AK706" s="15" t="str">
        <f t="shared" si="21"/>
        <v>Electropolished stainless steel pipes supplied by Sakshi Forge to brewery &amp; food plants at Regensburg Ost Industrial, Regensburg</v>
      </c>
      <c r="AL706" s="15" t="str">
        <f t="shared" si="22"/>
        <v>Electropolished SS 316L tube stock for Regensburg - Sakshi Forge</v>
      </c>
      <c r="AM706" s="15" t="str">
        <f t="shared" si="23"/>
        <v>Home &gt; Market Area &gt; Germany &gt; Bavaria &gt; Regensburg</v>
      </c>
      <c r="AN706" s="15">
        <f t="shared" si="24"/>
        <v>1000</v>
      </c>
      <c r="AO706" s="15">
        <f t="shared" si="25"/>
        <v>8</v>
      </c>
      <c r="AP706" s="15">
        <f t="shared" si="26"/>
        <v>8</v>
      </c>
      <c r="AQ706" s="15">
        <f t="shared" si="27"/>
        <v>12</v>
      </c>
      <c r="AR706" s="31"/>
      <c r="AS706" s="31"/>
      <c r="AT706" s="35" t="s">
        <v>222</v>
      </c>
      <c r="AU706" s="35"/>
    </row>
    <row r="707" ht="15.75" customHeight="1">
      <c r="A707" s="15" t="s">
        <v>8603</v>
      </c>
      <c r="B707" s="15" t="s">
        <v>243</v>
      </c>
      <c r="C707" s="15" t="s">
        <v>8604</v>
      </c>
      <c r="D707" s="15" t="s">
        <v>8605</v>
      </c>
      <c r="E707" s="15" t="s">
        <v>8605</v>
      </c>
      <c r="F707" s="65" t="s">
        <v>788</v>
      </c>
      <c r="G707" s="17" t="s">
        <v>88</v>
      </c>
      <c r="H707" s="18" t="s">
        <v>8606</v>
      </c>
      <c r="I707" s="18" t="s">
        <v>8606</v>
      </c>
      <c r="J707" s="18" t="s">
        <v>8607</v>
      </c>
      <c r="K707" s="18" t="s">
        <v>94</v>
      </c>
      <c r="L707" s="18" t="s">
        <v>8608</v>
      </c>
      <c r="M707" s="18" t="s">
        <v>550</v>
      </c>
      <c r="N707" s="18" t="s">
        <v>254</v>
      </c>
      <c r="O707" s="18" t="s">
        <v>98</v>
      </c>
      <c r="P707" s="15" t="str">
        <f t="shared" si="1"/>
        <v>FOOD</v>
      </c>
      <c r="Q707" s="15">
        <f t="shared" si="2"/>
        <v>8</v>
      </c>
      <c r="R707" s="15">
        <f t="shared" si="3"/>
        <v>4</v>
      </c>
      <c r="S707" s="15">
        <f t="shared" si="4"/>
        <v>4</v>
      </c>
      <c r="T707" s="15" t="str">
        <f t="shared" si="5"/>
        <v>B-2</v>
      </c>
      <c r="U707" s="15" t="str">
        <f t="shared" si="6"/>
        <v>T8-M4-H4-FB-2-FOOD</v>
      </c>
      <c r="V707" s="15">
        <f t="shared" si="7"/>
        <v>0</v>
      </c>
      <c r="W707" s="31"/>
      <c r="X707" s="15" t="str">
        <f t="shared" si="8"/>
        <v>rostock-germany</v>
      </c>
      <c r="Y707" s="32" t="str">
        <f t="shared" si="9"/>
        <v>https://steelmanufacturer.in/market-area/electropolished-pipes-manufacturer-in-rostock-germany/</v>
      </c>
      <c r="Z707" s="15" t="str">
        <f t="shared" si="10"/>
        <v>Electropolished Pipes Manufacturer in Rostock - EP Tube Stockist</v>
      </c>
      <c r="AA707" s="15" t="str">
        <f t="shared" si="11"/>
        <v>OK (64)</v>
      </c>
      <c r="AB707" s="15" t="str">
        <f t="shared" si="12"/>
        <v>Sanitary electropolished pipes in Rostock for food processing plants. ASME BPE SF1-SF4, orbital-weld ready, 3.1 MTC. Mumbai-made.</v>
      </c>
      <c r="AC707" s="15" t="str">
        <f t="shared" si="13"/>
        <v>OK (129)</v>
      </c>
      <c r="AD707" s="15" t="str">
        <f t="shared" si="14"/>
        <v>Electropolished Pipes Manufacturer in Rostock</v>
      </c>
      <c r="AE707" s="15" t="str">
        <f t="shared" si="15"/>
        <v>Manufacturing Electropolished SS Tube for Rostock: The Standards We Build To</v>
      </c>
      <c r="AF707" s="15" t="str">
        <f t="shared" si="16"/>
        <v>Electropolished Pipe Supply Into Rostock - Certification &amp; Transit</v>
      </c>
      <c r="AG707" s="15" t="str">
        <f t="shared" si="17"/>
        <v>Electropolished Pipes Wholesaler in Rostock - Project Quantities &amp; Terms</v>
      </c>
      <c r="AH707" s="15" t="str">
        <f t="shared" si="18"/>
        <v>electropolished pipes manufacturer in Rostock, electropolished pipes supplier in Rostock, electropolished pipes wholesaler in Rostock, electropolished tube manufacturer Rostock, EP pipe supplier Rostock, sanitary tube supplier Rostock, ASME BPE tubing Rostock, ASTM A270 tube Rostock, SS 316L electropolished pipe Rostock</v>
      </c>
      <c r="AI707" s="15" t="str">
        <f t="shared" si="19"/>
        <v>Electropolished Pipes Manufacturer &amp; Supplier in Rostock</v>
      </c>
      <c r="AJ707" s="15" t="str">
        <f t="shared" si="20"/>
        <v>EP-finished SS 304/316L pipes and tubes for food processing plants in Rostock. ASME BPE SF1-SF4, Ra from 0.25 um, EN 10204 3.1 certificate with every lot.</v>
      </c>
      <c r="AK707" s="15" t="str">
        <f t="shared" si="21"/>
        <v>Electropolished stainless steel pipes supplied by Sakshi Forge to food processing plants at Rostock Uberseehafen Industrial, Rostock</v>
      </c>
      <c r="AL707" s="15" t="str">
        <f t="shared" si="22"/>
        <v>Electropolished SS 316L tube stock for Rostock - Sakshi Forge</v>
      </c>
      <c r="AM707" s="15" t="str">
        <f t="shared" si="23"/>
        <v>Home &gt; Market Area &gt; Germany &gt; Mecklenburg &gt; Rostock</v>
      </c>
      <c r="AN707" s="15">
        <f t="shared" si="24"/>
        <v>1000</v>
      </c>
      <c r="AO707" s="15">
        <f t="shared" si="25"/>
        <v>8</v>
      </c>
      <c r="AP707" s="15">
        <f t="shared" si="26"/>
        <v>8</v>
      </c>
      <c r="AQ707" s="15">
        <f t="shared" si="27"/>
        <v>12</v>
      </c>
      <c r="AR707" s="31"/>
      <c r="AS707" s="31"/>
      <c r="AT707" s="35" t="s">
        <v>222</v>
      </c>
      <c r="AU707" s="35"/>
    </row>
    <row r="708" ht="15.75" customHeight="1">
      <c r="A708" s="15" t="s">
        <v>8609</v>
      </c>
      <c r="B708" s="15" t="s">
        <v>243</v>
      </c>
      <c r="C708" s="15" t="s">
        <v>6133</v>
      </c>
      <c r="D708" s="15" t="s">
        <v>8610</v>
      </c>
      <c r="E708" s="15" t="s">
        <v>8610</v>
      </c>
      <c r="F708" s="65" t="s">
        <v>788</v>
      </c>
      <c r="G708" s="17" t="s">
        <v>88</v>
      </c>
      <c r="H708" s="18" t="s">
        <v>8611</v>
      </c>
      <c r="I708" s="18" t="s">
        <v>8612</v>
      </c>
      <c r="J708" s="18" t="s">
        <v>4156</v>
      </c>
      <c r="K708" s="18" t="s">
        <v>229</v>
      </c>
      <c r="L708" s="18" t="s">
        <v>6088</v>
      </c>
      <c r="M708" s="18" t="s">
        <v>550</v>
      </c>
      <c r="N708" s="18" t="s">
        <v>254</v>
      </c>
      <c r="O708" s="18" t="s">
        <v>98</v>
      </c>
      <c r="P708" s="15" t="str">
        <f t="shared" si="1"/>
        <v>PHARMA</v>
      </c>
      <c r="Q708" s="15">
        <f t="shared" si="2"/>
        <v>1</v>
      </c>
      <c r="R708" s="15">
        <f t="shared" si="3"/>
        <v>5</v>
      </c>
      <c r="S708" s="15">
        <f t="shared" si="4"/>
        <v>5</v>
      </c>
      <c r="T708" s="15" t="str">
        <f t="shared" si="5"/>
        <v>B-3</v>
      </c>
      <c r="U708" s="15" t="str">
        <f t="shared" si="6"/>
        <v>T1-M5-H5-FB-3-PHARMA</v>
      </c>
      <c r="V708" s="15">
        <f t="shared" si="7"/>
        <v>0</v>
      </c>
      <c r="W708" s="31"/>
      <c r="X708" s="15" t="str">
        <f t="shared" si="8"/>
        <v>ulm-germany</v>
      </c>
      <c r="Y708" s="32" t="str">
        <f t="shared" si="9"/>
        <v>https://steelmanufacturer.in/market-area/electropolished-pipes-manufacturer-in-ulm-germany/</v>
      </c>
      <c r="Z708" s="15" t="str">
        <f t="shared" si="10"/>
        <v>Electropolished Pipes Manufacturer in Ulm | Sakshi Forge</v>
      </c>
      <c r="AA708" s="15" t="str">
        <f t="shared" si="11"/>
        <v>OK (56)</v>
      </c>
      <c r="AB708" s="15" t="str">
        <f t="shared" si="12"/>
        <v>Manufacturer of electropolished SS 316L tube serving Ulm. 24-30 days sea from Nhava Sheva to Hamburg. Ra 0.25-0.5 um, EN 10204 3.1 MTC.</v>
      </c>
      <c r="AC708" s="15" t="str">
        <f t="shared" si="13"/>
        <v>OK (135)</v>
      </c>
      <c r="AD708" s="15" t="str">
        <f t="shared" si="14"/>
        <v>Electropolished Pipes Manufacturer in Ulm</v>
      </c>
      <c r="AE708" s="15" t="str">
        <f t="shared" si="15"/>
        <v>Electropolished Tube Manufacturing Capability Serving Ulm</v>
      </c>
      <c r="AF708" s="15" t="str">
        <f t="shared" si="16"/>
        <v>Electropolished Pipes Supplier in Ulm - From Order to Delivery</v>
      </c>
      <c r="AG708" s="15" t="str">
        <f t="shared" si="17"/>
        <v>Stockist &amp; Wholesale Supply of Electropolished Pipes in Ulm</v>
      </c>
      <c r="AH708" s="15" t="str">
        <f t="shared" si="18"/>
        <v>electropolished pipes manufacturer in Ulm, electropolished pipes supplier in Ulm, electropolished pipes wholesaler in Ulm, electropolished tube manufacturer Ulm, EP pipe supplier Ulm, sanitary tube supplier Ulm, ASME BPE tubing Ulm, ASTM A270 tube Ulm, SS 316L electropolished pipe Ulm</v>
      </c>
      <c r="AI708" s="15" t="str">
        <f t="shared" si="19"/>
        <v>Electropolished Pipes Manufacturer &amp; Supplier in Ulm</v>
      </c>
      <c r="AJ708" s="15" t="str">
        <f t="shared" si="20"/>
        <v>EP-finished SS 304/316L pipes and tubes for pharma plants in Ulm. ASME BPE SF1-SF4, Ra from 0.25 um, EN 10204 3.1 certificate with every lot.</v>
      </c>
      <c r="AK708" s="15" t="str">
        <f t="shared" si="21"/>
        <v>Electropolished stainless steel pipes supplied by Sakshi Forge to pharma plants at Ulm Science Park, Ulm</v>
      </c>
      <c r="AL708" s="15" t="str">
        <f t="shared" si="22"/>
        <v>Electropolished SS 316L tube stock for Ulm - Sakshi Forge</v>
      </c>
      <c r="AM708" s="15" t="str">
        <f t="shared" si="23"/>
        <v>Home &gt; Market Area &gt; Germany &gt; Baden-Wurttemberg &gt; Ulm</v>
      </c>
      <c r="AN708" s="15">
        <f t="shared" si="24"/>
        <v>1000</v>
      </c>
      <c r="AO708" s="15">
        <f t="shared" si="25"/>
        <v>8</v>
      </c>
      <c r="AP708" s="15">
        <f t="shared" si="26"/>
        <v>8</v>
      </c>
      <c r="AQ708" s="15">
        <f t="shared" si="27"/>
        <v>12</v>
      </c>
      <c r="AR708" s="31"/>
      <c r="AS708" s="31"/>
      <c r="AT708" s="35" t="s">
        <v>222</v>
      </c>
      <c r="AU708" s="35"/>
    </row>
    <row r="709" ht="15.75" customHeight="1">
      <c r="A709" s="15" t="s">
        <v>8613</v>
      </c>
      <c r="B709" s="15" t="s">
        <v>243</v>
      </c>
      <c r="C709" s="15" t="s">
        <v>6149</v>
      </c>
      <c r="D709" s="15" t="s">
        <v>8614</v>
      </c>
      <c r="E709" s="15" t="s">
        <v>8614</v>
      </c>
      <c r="F709" s="65" t="s">
        <v>788</v>
      </c>
      <c r="G709" s="17" t="s">
        <v>88</v>
      </c>
      <c r="H709" s="18" t="s">
        <v>8615</v>
      </c>
      <c r="I709" s="18" t="s">
        <v>8615</v>
      </c>
      <c r="J709" s="18" t="s">
        <v>8616</v>
      </c>
      <c r="K709" s="18" t="s">
        <v>838</v>
      </c>
      <c r="L709" s="18" t="s">
        <v>560</v>
      </c>
      <c r="M709" s="18" t="s">
        <v>550</v>
      </c>
      <c r="N709" s="18" t="s">
        <v>254</v>
      </c>
      <c r="O709" s="18" t="s">
        <v>98</v>
      </c>
      <c r="P709" s="15" t="str">
        <f t="shared" si="1"/>
        <v>PHARMA</v>
      </c>
      <c r="Q709" s="15">
        <f t="shared" si="2"/>
        <v>2</v>
      </c>
      <c r="R709" s="15">
        <f t="shared" si="3"/>
        <v>6</v>
      </c>
      <c r="S709" s="15">
        <f t="shared" si="4"/>
        <v>1</v>
      </c>
      <c r="T709" s="15" t="str">
        <f t="shared" si="5"/>
        <v>B-4</v>
      </c>
      <c r="U709" s="15" t="str">
        <f t="shared" si="6"/>
        <v>T2-M6-H1-FB-4-PHARMA</v>
      </c>
      <c r="V709" s="15">
        <f t="shared" si="7"/>
        <v>0</v>
      </c>
      <c r="W709" s="31"/>
      <c r="X709" s="15" t="str">
        <f t="shared" si="8"/>
        <v>wuppertal-germany</v>
      </c>
      <c r="Y709" s="32" t="str">
        <f t="shared" si="9"/>
        <v>https://steelmanufacturer.in/market-area/electropolished-pipes-manufacturer-in-wuppertal-germany/</v>
      </c>
      <c r="Z709" s="15" t="str">
        <f t="shared" si="10"/>
        <v>Electropolished Pipes Manufacturer in Wuppertal</v>
      </c>
      <c r="AA709" s="15" t="str">
        <f t="shared" si="11"/>
        <v>OK (47)</v>
      </c>
      <c r="AB709" s="15" t="str">
        <f t="shared" si="12"/>
        <v>EP tube and pipe for pharma &amp; chemical plants around Wuppertal Elberfeld Chemical Site, Wuppertal. ASTM A270, ASME BPE SF1-SF4, EN 10204 3.1 MTC.</v>
      </c>
      <c r="AC709" s="15" t="str">
        <f t="shared" si="13"/>
        <v>OK (145)</v>
      </c>
      <c r="AD709" s="15" t="str">
        <f t="shared" si="14"/>
        <v>Electropolished Pipes Manufacturer in Wuppertal</v>
      </c>
      <c r="AE709" s="15" t="str">
        <f t="shared" si="15"/>
        <v>Electropolished Pipe &amp; Tube Manufacturing for Wuppertal - Grades, Finishes &amp; Certification</v>
      </c>
      <c r="AF709" s="15" t="str">
        <f t="shared" si="16"/>
        <v>Electropolished Pipes Supplier in Wuppertal - Stock Sizes, Lead Time &amp; Delivery</v>
      </c>
      <c r="AG709" s="15" t="str">
        <f t="shared" si="17"/>
        <v>Electropolished Pipes Wholesaler &amp; Stockist in Wuppertal - Bulk &amp; Project Pricing</v>
      </c>
      <c r="AH709" s="15" t="str">
        <f t="shared" si="18"/>
        <v>electropolished pipes manufacturer in Wuppertal, electropolished pipes supplier in Wuppertal, electropolished pipes wholesaler in Wuppertal, electropolished tube manufacturer Wuppertal, EP pipe supplier Wuppertal, sanitary tube supplier Wuppertal, ASME BPE tubing Wuppertal, ASTM A270 tube Wuppertal, SS 316L electropolished pipe Wuppertal</v>
      </c>
      <c r="AI709" s="15" t="str">
        <f t="shared" si="19"/>
        <v>Electropolished Pipes Manufacturer &amp; Supplier in Wuppertal</v>
      </c>
      <c r="AJ709" s="15" t="str">
        <f t="shared" si="20"/>
        <v>EP-finished SS 304/316L pipes and tubes for pharma &amp; chemical plants in Wuppertal. ASME BPE SF1-SF4, Ra from 0.25 um, EN 10204 3.1 certificate with every lot.</v>
      </c>
      <c r="AK709" s="15" t="str">
        <f t="shared" si="21"/>
        <v>Electropolished stainless steel pipes supplied by Sakshi Forge to pharma &amp; chemical plants at Wuppertal Elberfeld Chemical Site, Wuppertal</v>
      </c>
      <c r="AL709" s="15" t="str">
        <f t="shared" si="22"/>
        <v>Electropolished SS 316L tube stock for Wuppertal - Sakshi Forge</v>
      </c>
      <c r="AM709" s="15" t="str">
        <f t="shared" si="23"/>
        <v>Home &gt; Market Area &gt; Germany &gt; North Rhine-Westphalia &gt; Wuppertal</v>
      </c>
      <c r="AN709" s="15">
        <f t="shared" si="24"/>
        <v>1000</v>
      </c>
      <c r="AO709" s="15">
        <f t="shared" si="25"/>
        <v>8</v>
      </c>
      <c r="AP709" s="15">
        <f t="shared" si="26"/>
        <v>8</v>
      </c>
      <c r="AQ709" s="15">
        <f t="shared" si="27"/>
        <v>12</v>
      </c>
      <c r="AR709" s="31"/>
      <c r="AS709" s="31"/>
      <c r="AT709" s="35" t="s">
        <v>222</v>
      </c>
      <c r="AU709" s="35"/>
    </row>
    <row r="710" ht="15.75" customHeight="1">
      <c r="A710" s="15" t="s">
        <v>8617</v>
      </c>
      <c r="B710" s="15" t="s">
        <v>445</v>
      </c>
      <c r="C710" s="15" t="s">
        <v>8618</v>
      </c>
      <c r="D710" s="15" t="s">
        <v>8619</v>
      </c>
      <c r="E710" s="15" t="s">
        <v>8619</v>
      </c>
      <c r="F710" s="65" t="s">
        <v>788</v>
      </c>
      <c r="G710" s="17" t="s">
        <v>88</v>
      </c>
      <c r="H710" s="18" t="s">
        <v>8620</v>
      </c>
      <c r="I710" s="18" t="s">
        <v>8620</v>
      </c>
      <c r="J710" s="18" t="s">
        <v>8621</v>
      </c>
      <c r="K710" s="18" t="s">
        <v>94</v>
      </c>
      <c r="L710" s="18" t="s">
        <v>8622</v>
      </c>
      <c r="M710" s="18" t="s">
        <v>643</v>
      </c>
      <c r="N710" s="18" t="s">
        <v>453</v>
      </c>
      <c r="O710" s="18" t="s">
        <v>98</v>
      </c>
      <c r="P710" s="15" t="str">
        <f t="shared" si="1"/>
        <v>FOOD</v>
      </c>
      <c r="Q710" s="15">
        <f t="shared" si="2"/>
        <v>3</v>
      </c>
      <c r="R710" s="15">
        <f t="shared" si="3"/>
        <v>7</v>
      </c>
      <c r="S710" s="15">
        <f t="shared" si="4"/>
        <v>2</v>
      </c>
      <c r="T710" s="15" t="str">
        <f t="shared" si="5"/>
        <v>B-5</v>
      </c>
      <c r="U710" s="15" t="str">
        <f t="shared" si="6"/>
        <v>T3-M7-H2-FB-5-FOOD</v>
      </c>
      <c r="V710" s="15">
        <f t="shared" si="7"/>
        <v>0</v>
      </c>
      <c r="W710" s="31"/>
      <c r="X710" s="15" t="str">
        <f t="shared" si="8"/>
        <v>balikpapan-indonesia</v>
      </c>
      <c r="Y710" s="32" t="str">
        <f t="shared" si="9"/>
        <v>https://steelmanufacturer.in/market-area/electropolished-pipes-manufacturer-in-balikpapan-indonesia/</v>
      </c>
      <c r="Z710" s="15" t="str">
        <f t="shared" si="10"/>
        <v>Electropolished Pipes Manufacturer in Balikpapan</v>
      </c>
      <c r="AA710" s="15" t="str">
        <f t="shared" si="11"/>
        <v>OK (48)</v>
      </c>
      <c r="AB710" s="15" t="str">
        <f t="shared" si="12"/>
        <v>Electropolished pipes in Balikpapan: 304, 304L, 316 and 316L in SF1-SF4. 10-14 days sea from Nhava Sheva to Tanjung Priok. Mill certified.</v>
      </c>
      <c r="AC710" s="15" t="str">
        <f t="shared" si="13"/>
        <v>OK (138)</v>
      </c>
      <c r="AD710" s="15" t="str">
        <f t="shared" si="14"/>
        <v>Electropolished Pipes Manufacturer in Balikpapan</v>
      </c>
      <c r="AE710" s="15" t="str">
        <f t="shared" si="15"/>
        <v>How We Manufacture Electropolished Tube for Balikpapan Plants</v>
      </c>
      <c r="AF710" s="15" t="str">
        <f t="shared" si="16"/>
        <v>Supplying Electropolished Pipes in Balikpapan: Availability, Sizes &amp; Dispatch</v>
      </c>
      <c r="AG710" s="15" t="str">
        <f t="shared" si="17"/>
        <v>Wholesale Electropolished Pipe Supply for Balikpapan Projects</v>
      </c>
      <c r="AH710" s="15" t="str">
        <f t="shared" si="18"/>
        <v>electropolished pipes manufacturer in Balikpapan, electropolished pipes supplier in Balikpapan, electropolished pipes wholesaler in Balikpapan, electropolished tube manufacturer Balikpapan, EP pipe supplier Balikpapan, sanitary tube supplier Balikpapan, ASME BPE tubing Balikpapan, ASTM A270 tube Balikpapan, SS 316L electropolished pipe Balikpapan</v>
      </c>
      <c r="AI710" s="15" t="str">
        <f t="shared" si="19"/>
        <v>Electropolished Pipes Manufacturer &amp; Supplier in Balikpapan</v>
      </c>
      <c r="AJ710" s="15" t="str">
        <f t="shared" si="20"/>
        <v>EP-finished SS 304/316L pipes and tubes for food processing plants in Balikpapan. ASME BPE SF1-SF4, Ra from 0.25 um, EN 10204 3.1 certificate with every lot.</v>
      </c>
      <c r="AK710" s="15" t="str">
        <f t="shared" si="21"/>
        <v>Electropolished stainless steel pipes supplied by Sakshi Forge to food processing plants at Kariangau Industrial Estate, Balikpapan</v>
      </c>
      <c r="AL710" s="15" t="str">
        <f t="shared" si="22"/>
        <v>Electropolished SS 316L tube stock for Balikpapan - Sakshi Forge</v>
      </c>
      <c r="AM710" s="15" t="str">
        <f t="shared" si="23"/>
        <v>Home &gt; Market Area &gt; Indonesia &gt; East Kalimantan &gt; Balikpapan</v>
      </c>
      <c r="AN710" s="15">
        <f t="shared" si="24"/>
        <v>1000</v>
      </c>
      <c r="AO710" s="15">
        <f t="shared" si="25"/>
        <v>8</v>
      </c>
      <c r="AP710" s="15">
        <f t="shared" si="26"/>
        <v>8</v>
      </c>
      <c r="AQ710" s="15">
        <f t="shared" si="27"/>
        <v>12</v>
      </c>
      <c r="AR710" s="31"/>
      <c r="AS710" s="31"/>
      <c r="AT710" s="35" t="s">
        <v>222</v>
      </c>
      <c r="AU710" s="35"/>
    </row>
    <row r="711" ht="15.75" customHeight="1">
      <c r="A711" s="15" t="s">
        <v>8623</v>
      </c>
      <c r="B711" s="15" t="s">
        <v>445</v>
      </c>
      <c r="C711" s="15" t="s">
        <v>6618</v>
      </c>
      <c r="D711" s="15" t="s">
        <v>8624</v>
      </c>
      <c r="E711" s="15" t="s">
        <v>8624</v>
      </c>
      <c r="F711" s="65" t="s">
        <v>788</v>
      </c>
      <c r="G711" s="17" t="s">
        <v>88</v>
      </c>
      <c r="H711" s="18" t="s">
        <v>8625</v>
      </c>
      <c r="I711" s="18" t="s">
        <v>8626</v>
      </c>
      <c r="J711" s="18" t="s">
        <v>8627</v>
      </c>
      <c r="K711" s="18" t="s">
        <v>229</v>
      </c>
      <c r="L711" s="18" t="s">
        <v>6626</v>
      </c>
      <c r="M711" s="18" t="s">
        <v>643</v>
      </c>
      <c r="N711" s="18" t="s">
        <v>453</v>
      </c>
      <c r="O711" s="18" t="s">
        <v>98</v>
      </c>
      <c r="P711" s="15" t="str">
        <f t="shared" si="1"/>
        <v>PHARMA</v>
      </c>
      <c r="Q711" s="15">
        <f t="shared" si="2"/>
        <v>4</v>
      </c>
      <c r="R711" s="15">
        <f t="shared" si="3"/>
        <v>1</v>
      </c>
      <c r="S711" s="15">
        <f t="shared" si="4"/>
        <v>3</v>
      </c>
      <c r="T711" s="15" t="str">
        <f t="shared" si="5"/>
        <v>B-6</v>
      </c>
      <c r="U711" s="15" t="str">
        <f t="shared" si="6"/>
        <v>T4-M1-H3-FB-6-PHARMA</v>
      </c>
      <c r="V711" s="15">
        <f t="shared" si="7"/>
        <v>0</v>
      </c>
      <c r="W711" s="31"/>
      <c r="X711" s="15" t="str">
        <f t="shared" si="8"/>
        <v>bandung-indonesia</v>
      </c>
      <c r="Y711" s="32" t="str">
        <f t="shared" si="9"/>
        <v>https://steelmanufacturer.in/market-area/electropolished-pipes-manufacturer-in-bandung-indonesia/</v>
      </c>
      <c r="Z711" s="15" t="str">
        <f t="shared" si="10"/>
        <v>Electropolished Pipes Manufacturer in Bandung</v>
      </c>
      <c r="AA711" s="15" t="str">
        <f t="shared" si="11"/>
        <v>OK (45)</v>
      </c>
      <c r="AB711" s="15" t="str">
        <f t="shared" si="12"/>
        <v>EP-finished SS 304/316L pipes &amp; tubes for pharma plants in Bandung. ASTM A270, ASME BPE SF1-SF4, EN 10204 3.1 MTC. PMI tested.</v>
      </c>
      <c r="AC711" s="15" t="str">
        <f t="shared" si="13"/>
        <v>OK (126)</v>
      </c>
      <c r="AD711" s="15" t="str">
        <f t="shared" si="14"/>
        <v>Electropolished Pipes Manufacturer in Bandung</v>
      </c>
      <c r="AE711" s="15" t="str">
        <f t="shared" si="15"/>
        <v>Electropolished Pipes Manufacturer in Bandung - Our Process &amp; Capability</v>
      </c>
      <c r="AF711" s="15" t="str">
        <f t="shared" si="16"/>
        <v>Electropolished Pipes Supplier in Bandung - What We Hold in Stock</v>
      </c>
      <c r="AG711" s="15" t="str">
        <f t="shared" si="17"/>
        <v>Bulk &amp; Wholesale Electropolished Pipe Rates for Bandung Buyers</v>
      </c>
      <c r="AH711" s="15" t="str">
        <f t="shared" si="18"/>
        <v>electropolished pipes manufacturer in Bandung, electropolished pipes supplier in Bandung, electropolished pipes wholesaler in Bandung, electropolished tube manufacturer Bandung, EP pipe supplier Bandung, sanitary tube supplier Bandung, ASME BPE tubing Bandung, ASTM A270 tube Bandung, SS 316L electropolished pipe Bandung</v>
      </c>
      <c r="AI711" s="15" t="str">
        <f t="shared" si="19"/>
        <v>Electropolished Pipes Manufacturer &amp; Supplier in Bandung</v>
      </c>
      <c r="AJ711" s="15" t="str">
        <f t="shared" si="20"/>
        <v>EP-finished SS 304/316L pipes and tubes for pharma plants in Bandung. ASME BPE SF1-SF4, Ra from 0.25 um, EN 10204 3.1 certificate with every lot.</v>
      </c>
      <c r="AK711" s="15" t="str">
        <f t="shared" si="21"/>
        <v>Electropolished stainless steel pipes supplied by Sakshi Forge to pharma plants at Rancaekek Industrial, Bandung</v>
      </c>
      <c r="AL711" s="15" t="str">
        <f t="shared" si="22"/>
        <v>Electropolished SS 316L tube stock for Bandung - Sakshi Forge</v>
      </c>
      <c r="AM711" s="15" t="str">
        <f t="shared" si="23"/>
        <v>Home &gt; Market Area &gt; Indonesia &gt; West Java &gt; Bandung</v>
      </c>
      <c r="AN711" s="15">
        <f t="shared" si="24"/>
        <v>1000</v>
      </c>
      <c r="AO711" s="15">
        <f t="shared" si="25"/>
        <v>8</v>
      </c>
      <c r="AP711" s="15">
        <f t="shared" si="26"/>
        <v>8</v>
      </c>
      <c r="AQ711" s="15">
        <f t="shared" si="27"/>
        <v>12</v>
      </c>
      <c r="AR711" s="31"/>
      <c r="AS711" s="31"/>
      <c r="AT711" s="35" t="s">
        <v>222</v>
      </c>
      <c r="AU711" s="35"/>
    </row>
    <row r="712" ht="15.75" customHeight="1">
      <c r="A712" s="15" t="s">
        <v>8628</v>
      </c>
      <c r="B712" s="15" t="s">
        <v>445</v>
      </c>
      <c r="C712" s="15" t="s">
        <v>6618</v>
      </c>
      <c r="D712" s="15" t="s">
        <v>8629</v>
      </c>
      <c r="E712" s="15" t="s">
        <v>8629</v>
      </c>
      <c r="F712" s="65" t="s">
        <v>788</v>
      </c>
      <c r="G712" s="17" t="s">
        <v>88</v>
      </c>
      <c r="H712" s="18" t="s">
        <v>8630</v>
      </c>
      <c r="I712" s="18" t="s">
        <v>8631</v>
      </c>
      <c r="J712" s="18" t="s">
        <v>8371</v>
      </c>
      <c r="K712" s="18" t="s">
        <v>229</v>
      </c>
      <c r="L712" s="18" t="s">
        <v>6626</v>
      </c>
      <c r="M712" s="18" t="s">
        <v>643</v>
      </c>
      <c r="N712" s="18" t="s">
        <v>453</v>
      </c>
      <c r="O712" s="18" t="s">
        <v>98</v>
      </c>
      <c r="P712" s="15" t="str">
        <f t="shared" si="1"/>
        <v>PHARMA</v>
      </c>
      <c r="Q712" s="15">
        <f t="shared" si="2"/>
        <v>5</v>
      </c>
      <c r="R712" s="15">
        <f t="shared" si="3"/>
        <v>2</v>
      </c>
      <c r="S712" s="15">
        <f t="shared" si="4"/>
        <v>4</v>
      </c>
      <c r="T712" s="15" t="str">
        <f t="shared" si="5"/>
        <v>B-1</v>
      </c>
      <c r="U712" s="15" t="str">
        <f t="shared" si="6"/>
        <v>T5-M2-H4-FB-1-PHARMA</v>
      </c>
      <c r="V712" s="15">
        <f t="shared" si="7"/>
        <v>0</v>
      </c>
      <c r="W712" s="31"/>
      <c r="X712" s="15" t="str">
        <f t="shared" si="8"/>
        <v>bogor-indonesia</v>
      </c>
      <c r="Y712" s="32" t="str">
        <f t="shared" si="9"/>
        <v>https://steelmanufacturer.in/market-area/electropolished-pipes-manufacturer-in-bogor-indonesia/</v>
      </c>
      <c r="Z712" s="15" t="str">
        <f t="shared" si="10"/>
        <v>Electropolished Pipes Manufacturer in Bogor</v>
      </c>
      <c r="AA712" s="15" t="str">
        <f t="shared" si="11"/>
        <v>OK (43)</v>
      </c>
      <c r="AB712" s="15" t="str">
        <f t="shared" si="12"/>
        <v>Electropolished tube supply to Sentul Industrial, Bogor. Ra from 0.25 um, SF4 finish, mill test certificate with every lot.</v>
      </c>
      <c r="AC712" s="15" t="str">
        <f t="shared" si="13"/>
        <v>OK (123)</v>
      </c>
      <c r="AD712" s="15" t="str">
        <f t="shared" si="14"/>
        <v>Electropolished Pipes Manufacturer in Bogor</v>
      </c>
      <c r="AE712" s="15" t="str">
        <f t="shared" si="15"/>
        <v>Manufacturing Electropolished SS Tube for Bogor: The Standards We Build To</v>
      </c>
      <c r="AF712" s="15" t="str">
        <f t="shared" si="16"/>
        <v>Electropolished Pipe Supply Into Bogor - Certification &amp; Transit</v>
      </c>
      <c r="AG712" s="15" t="str">
        <f t="shared" si="17"/>
        <v>Electropolished Pipes Wholesaler in Bogor - Project Quantities &amp; Terms</v>
      </c>
      <c r="AH712" s="15" t="str">
        <f t="shared" si="18"/>
        <v>electropolished pipes manufacturer in Bogor, electropolished pipes supplier in Bogor, electropolished pipes wholesaler in Bogor, electropolished tube manufacturer Bogor, EP pipe supplier Bogor, sanitary tube supplier Bogor, ASME BPE tubing Bogor, ASTM A270 tube Bogor, SS 316L electropolished pipe Bogor</v>
      </c>
      <c r="AI712" s="15" t="str">
        <f t="shared" si="19"/>
        <v>Electropolished Pipes Manufacturer &amp; Supplier in Bogor</v>
      </c>
      <c r="AJ712" s="15" t="str">
        <f t="shared" si="20"/>
        <v>EP-finished SS 304/316L pipes and tubes for pharma plants in Bogor. ASME BPE SF1-SF4, Ra from 0.25 um, EN 10204 3.1 certificate with every lot.</v>
      </c>
      <c r="AK712" s="15" t="str">
        <f t="shared" si="21"/>
        <v>Electropolished stainless steel pipes supplied by Sakshi Forge to pharma plants at Sentul Industrial, Bogor</v>
      </c>
      <c r="AL712" s="15" t="str">
        <f t="shared" si="22"/>
        <v>Electropolished SS 316L tube stock for Bogor - Sakshi Forge</v>
      </c>
      <c r="AM712" s="15" t="str">
        <f t="shared" si="23"/>
        <v>Home &gt; Market Area &gt; Indonesia &gt; West Java &gt; Bogor</v>
      </c>
      <c r="AN712" s="15">
        <f t="shared" si="24"/>
        <v>1000</v>
      </c>
      <c r="AO712" s="15">
        <f t="shared" si="25"/>
        <v>8</v>
      </c>
      <c r="AP712" s="15">
        <f t="shared" si="26"/>
        <v>8</v>
      </c>
      <c r="AQ712" s="15">
        <f t="shared" si="27"/>
        <v>12</v>
      </c>
      <c r="AR712" s="31"/>
      <c r="AS712" s="31"/>
      <c r="AT712" s="35" t="s">
        <v>222</v>
      </c>
      <c r="AU712" s="35"/>
    </row>
    <row r="713" ht="15.75" customHeight="1">
      <c r="A713" s="15" t="s">
        <v>8632</v>
      </c>
      <c r="B713" s="15" t="s">
        <v>445</v>
      </c>
      <c r="C713" s="15" t="s">
        <v>8633</v>
      </c>
      <c r="D713" s="15" t="s">
        <v>8634</v>
      </c>
      <c r="E713" s="15" t="s">
        <v>8634</v>
      </c>
      <c r="F713" s="65" t="s">
        <v>788</v>
      </c>
      <c r="G713" s="17" t="s">
        <v>88</v>
      </c>
      <c r="H713" s="18" t="s">
        <v>8635</v>
      </c>
      <c r="I713" s="18" t="s">
        <v>8635</v>
      </c>
      <c r="J713" s="18" t="s">
        <v>8636</v>
      </c>
      <c r="K713" s="18" t="s">
        <v>94</v>
      </c>
      <c r="L713" s="18" t="s">
        <v>8637</v>
      </c>
      <c r="M713" s="18" t="s">
        <v>643</v>
      </c>
      <c r="N713" s="18" t="s">
        <v>453</v>
      </c>
      <c r="O713" s="18" t="s">
        <v>98</v>
      </c>
      <c r="P713" s="15" t="str">
        <f t="shared" si="1"/>
        <v>FOOD</v>
      </c>
      <c r="Q713" s="15">
        <f t="shared" si="2"/>
        <v>6</v>
      </c>
      <c r="R713" s="15">
        <f t="shared" si="3"/>
        <v>3</v>
      </c>
      <c r="S713" s="15">
        <f t="shared" si="4"/>
        <v>5</v>
      </c>
      <c r="T713" s="15" t="str">
        <f t="shared" si="5"/>
        <v>B-2</v>
      </c>
      <c r="U713" s="15" t="str">
        <f t="shared" si="6"/>
        <v>T6-M3-H5-FB-2-FOOD</v>
      </c>
      <c r="V713" s="15">
        <f t="shared" si="7"/>
        <v>0</v>
      </c>
      <c r="W713" s="31"/>
      <c r="X713" s="15" t="str">
        <f t="shared" si="8"/>
        <v>makassar-indonesia</v>
      </c>
      <c r="Y713" s="32" t="str">
        <f t="shared" si="9"/>
        <v>https://steelmanufacturer.in/market-area/electropolished-pipes-manufacturer-in-makassar-indonesia/</v>
      </c>
      <c r="Z713" s="15" t="str">
        <f t="shared" si="10"/>
        <v>Electropolished Pipes Manufacturer in Makassar</v>
      </c>
      <c r="AA713" s="15" t="str">
        <f t="shared" si="11"/>
        <v>OK (46)</v>
      </c>
      <c r="AB713" s="15" t="str">
        <f t="shared" si="12"/>
        <v>EP stainless tube for food processing lines in Makassar. 10-14 days sea from Nhava Sheva to Tanjung Priok. ASTM A270 S2, PMI tested, EN 10204 3.1.</v>
      </c>
      <c r="AC713" s="15" t="str">
        <f t="shared" si="13"/>
        <v>OK (146)</v>
      </c>
      <c r="AD713" s="15" t="str">
        <f t="shared" si="14"/>
        <v>Electropolished Pipes Manufacturer in Makassar</v>
      </c>
      <c r="AE713" s="15" t="str">
        <f t="shared" si="15"/>
        <v>Electropolished Tube Manufacturing Capability Serving Makassar</v>
      </c>
      <c r="AF713" s="15" t="str">
        <f t="shared" si="16"/>
        <v>Electropolished Pipes Supplier in Makassar - From Order to Delivery</v>
      </c>
      <c r="AG713" s="15" t="str">
        <f t="shared" si="17"/>
        <v>Stockist &amp; Wholesale Supply of Electropolished Pipes in Makassar</v>
      </c>
      <c r="AH713" s="15" t="str">
        <f t="shared" si="18"/>
        <v>electropolished pipes manufacturer in Makassar, electropolished pipes supplier in Makassar, electropolished pipes wholesaler in Makassar, electropolished tube manufacturer Makassar, EP pipe supplier Makassar, sanitary tube supplier Makassar, ASME BPE tubing Makassar, ASTM A270 tube Makassar, SS 316L electropolished pipe Makassar</v>
      </c>
      <c r="AI713" s="15" t="str">
        <f t="shared" si="19"/>
        <v>Electropolished Pipes Manufacturer &amp; Supplier in Makassar</v>
      </c>
      <c r="AJ713" s="15" t="str">
        <f t="shared" si="20"/>
        <v>EP-finished SS 304/316L pipes and tubes for food processing plants in Makassar. ASME BPE SF1-SF4, Ra from 0.25 um, EN 10204 3.1 certificate with every lot.</v>
      </c>
      <c r="AK713" s="15" t="str">
        <f t="shared" si="21"/>
        <v>Electropolished stainless steel pipes supplied by Sakshi Forge to food processing plants at KIMA Makassar Industrial Estate, Makassar</v>
      </c>
      <c r="AL713" s="15" t="str">
        <f t="shared" si="22"/>
        <v>Electropolished SS 316L tube stock for Makassar - Sakshi Forge</v>
      </c>
      <c r="AM713" s="15" t="str">
        <f t="shared" si="23"/>
        <v>Home &gt; Market Area &gt; Indonesia &gt; South Sulawesi &gt; Makassar</v>
      </c>
      <c r="AN713" s="15">
        <f t="shared" si="24"/>
        <v>1000</v>
      </c>
      <c r="AO713" s="15">
        <f t="shared" si="25"/>
        <v>8</v>
      </c>
      <c r="AP713" s="15">
        <f t="shared" si="26"/>
        <v>8</v>
      </c>
      <c r="AQ713" s="15">
        <f t="shared" si="27"/>
        <v>12</v>
      </c>
      <c r="AR713" s="31"/>
      <c r="AS713" s="31"/>
      <c r="AT713" s="35" t="s">
        <v>222</v>
      </c>
      <c r="AU713" s="35"/>
    </row>
    <row r="714" ht="15.75" customHeight="1">
      <c r="A714" s="15" t="s">
        <v>8638</v>
      </c>
      <c r="B714" s="15" t="s">
        <v>445</v>
      </c>
      <c r="C714" s="15" t="s">
        <v>8639</v>
      </c>
      <c r="D714" s="15" t="s">
        <v>8640</v>
      </c>
      <c r="E714" s="15" t="s">
        <v>8640</v>
      </c>
      <c r="F714" s="65" t="s">
        <v>788</v>
      </c>
      <c r="G714" s="17" t="s">
        <v>88</v>
      </c>
      <c r="H714" s="18" t="s">
        <v>8641</v>
      </c>
      <c r="I714" s="18" t="s">
        <v>8642</v>
      </c>
      <c r="J714" s="18" t="s">
        <v>8643</v>
      </c>
      <c r="K714" s="18" t="s">
        <v>94</v>
      </c>
      <c r="L714" s="18" t="s">
        <v>8644</v>
      </c>
      <c r="M714" s="18" t="s">
        <v>643</v>
      </c>
      <c r="N714" s="18" t="s">
        <v>453</v>
      </c>
      <c r="O714" s="18" t="s">
        <v>98</v>
      </c>
      <c r="P714" s="15" t="str">
        <f t="shared" si="1"/>
        <v>FOOD</v>
      </c>
      <c r="Q714" s="15">
        <f t="shared" si="2"/>
        <v>7</v>
      </c>
      <c r="R714" s="15">
        <f t="shared" si="3"/>
        <v>4</v>
      </c>
      <c r="S714" s="15">
        <f t="shared" si="4"/>
        <v>1</v>
      </c>
      <c r="T714" s="15" t="str">
        <f t="shared" si="5"/>
        <v>B-3</v>
      </c>
      <c r="U714" s="15" t="str">
        <f t="shared" si="6"/>
        <v>T7-M4-H1-FB-3-FOOD</v>
      </c>
      <c r="V714" s="15">
        <f t="shared" si="7"/>
        <v>0</v>
      </c>
      <c r="W714" s="31"/>
      <c r="X714" s="15" t="str">
        <f t="shared" si="8"/>
        <v>medan-indonesia</v>
      </c>
      <c r="Y714" s="32" t="str">
        <f t="shared" si="9"/>
        <v>https://steelmanufacturer.in/market-area/electropolished-pipes-manufacturer-in-medan-indonesia/</v>
      </c>
      <c r="Z714" s="15" t="str">
        <f t="shared" si="10"/>
        <v>Electropolished Pipes Manufacturer in Medan | ASME BPE SF1-SF4</v>
      </c>
      <c r="AA714" s="15" t="str">
        <f t="shared" si="11"/>
        <v>OK (62)</v>
      </c>
      <c r="AB714" s="15" t="str">
        <f t="shared" si="12"/>
        <v>Sanitary electropolished pipes in Medan for food processing plants. ASME BPE SF1-SF4, orbital-weld ready, 3.1 MTC. Mumbai-made.</v>
      </c>
      <c r="AC714" s="15" t="str">
        <f t="shared" si="13"/>
        <v>OK (127)</v>
      </c>
      <c r="AD714" s="15" t="str">
        <f t="shared" si="14"/>
        <v>Electropolished Pipes Manufacturer in Medan</v>
      </c>
      <c r="AE714" s="15" t="str">
        <f t="shared" si="15"/>
        <v>Electropolished Pipe &amp; Tube Manufacturing for Medan - Grades, Finishes &amp; Certification</v>
      </c>
      <c r="AF714" s="15" t="str">
        <f t="shared" si="16"/>
        <v>Electropolished Pipes Supplier in Medan - Stock Sizes, Lead Time &amp; Delivery</v>
      </c>
      <c r="AG714" s="15" t="str">
        <f t="shared" si="17"/>
        <v>Electropolished Pipes Wholesaler &amp; Stockist in Medan - Bulk &amp; Project Pricing</v>
      </c>
      <c r="AH714" s="15" t="str">
        <f t="shared" si="18"/>
        <v>electropolished pipes manufacturer in Medan, electropolished pipes supplier in Medan, electropolished pipes wholesaler in Medan, electropolished tube manufacturer Medan, EP pipe supplier Medan, sanitary tube supplier Medan, ASME BPE tubing Medan, ASTM A270 tube Medan, SS 316L electropolished pipe Medan</v>
      </c>
      <c r="AI714" s="15" t="str">
        <f t="shared" si="19"/>
        <v>Electropolished Pipes Manufacturer &amp; Supplier in Medan</v>
      </c>
      <c r="AJ714" s="15" t="str">
        <f t="shared" si="20"/>
        <v>EP-finished SS 304/316L pipes and tubes for food processing plants in Medan. ASME BPE SF1-SF4, Ra from 0.25 um, EN 10204 3.1 certificate with every lot.</v>
      </c>
      <c r="AK714" s="15" t="str">
        <f t="shared" si="21"/>
        <v>Electropolished stainless steel pipes supplied by Sakshi Forge to food processing plants at Kawasan Industri Medan (KIM), Medan</v>
      </c>
      <c r="AL714" s="15" t="str">
        <f t="shared" si="22"/>
        <v>Electropolished SS 316L tube stock for Medan - Sakshi Forge</v>
      </c>
      <c r="AM714" s="15" t="str">
        <f t="shared" si="23"/>
        <v>Home &gt; Market Area &gt; Indonesia &gt; North Sumatra &gt; Medan</v>
      </c>
      <c r="AN714" s="15">
        <f t="shared" si="24"/>
        <v>1000</v>
      </c>
      <c r="AO714" s="15">
        <f t="shared" si="25"/>
        <v>8</v>
      </c>
      <c r="AP714" s="15">
        <f t="shared" si="26"/>
        <v>8</v>
      </c>
      <c r="AQ714" s="15">
        <f t="shared" si="27"/>
        <v>12</v>
      </c>
      <c r="AR714" s="31"/>
      <c r="AS714" s="31"/>
      <c r="AT714" s="35" t="s">
        <v>222</v>
      </c>
      <c r="AU714" s="35"/>
    </row>
    <row r="715" ht="15.75" customHeight="1">
      <c r="A715" s="15" t="s">
        <v>8645</v>
      </c>
      <c r="B715" s="15" t="s">
        <v>445</v>
      </c>
      <c r="C715" s="15" t="s">
        <v>8646</v>
      </c>
      <c r="D715" s="15" t="s">
        <v>8647</v>
      </c>
      <c r="E715" s="15" t="s">
        <v>8647</v>
      </c>
      <c r="F715" s="65" t="s">
        <v>788</v>
      </c>
      <c r="G715" s="17" t="s">
        <v>88</v>
      </c>
      <c r="H715" s="18" t="s">
        <v>8648</v>
      </c>
      <c r="I715" s="18" t="s">
        <v>8649</v>
      </c>
      <c r="J715" s="18" t="s">
        <v>8650</v>
      </c>
      <c r="K715" s="18" t="s">
        <v>94</v>
      </c>
      <c r="L715" s="18" t="s">
        <v>8651</v>
      </c>
      <c r="M715" s="18" t="s">
        <v>643</v>
      </c>
      <c r="N715" s="18" t="s">
        <v>453</v>
      </c>
      <c r="O715" s="18" t="s">
        <v>98</v>
      </c>
      <c r="P715" s="15" t="str">
        <f t="shared" si="1"/>
        <v>FOOD</v>
      </c>
      <c r="Q715" s="15">
        <f t="shared" si="2"/>
        <v>8</v>
      </c>
      <c r="R715" s="15">
        <f t="shared" si="3"/>
        <v>5</v>
      </c>
      <c r="S715" s="15">
        <f t="shared" si="4"/>
        <v>2</v>
      </c>
      <c r="T715" s="15" t="str">
        <f t="shared" si="5"/>
        <v>B-4</v>
      </c>
      <c r="U715" s="15" t="str">
        <f t="shared" si="6"/>
        <v>T8-M5-H2-FB-4-FOOD</v>
      </c>
      <c r="V715" s="15">
        <f t="shared" si="7"/>
        <v>0</v>
      </c>
      <c r="W715" s="31"/>
      <c r="X715" s="15" t="str">
        <f t="shared" si="8"/>
        <v>palembang-indonesia</v>
      </c>
      <c r="Y715" s="32" t="str">
        <f t="shared" si="9"/>
        <v>https://steelmanufacturer.in/market-area/electropolished-pipes-manufacturer-in-palembang-indonesia/</v>
      </c>
      <c r="Z715" s="15" t="str">
        <f t="shared" si="10"/>
        <v>Electropolished Pipes Manufacturer in Palembang</v>
      </c>
      <c r="AA715" s="15" t="str">
        <f t="shared" si="11"/>
        <v>OK (47)</v>
      </c>
      <c r="AB715" s="15" t="str">
        <f t="shared" si="12"/>
        <v>Manufacturer of electropolished SS 316L tube serving Palembang. 10-14 days sea from Nhava Sheva to Tanjung Priok. Ra 0.25-0.5 um, EN 10204 3.1 MTC.</v>
      </c>
      <c r="AC715" s="15" t="str">
        <f t="shared" si="13"/>
        <v>OK (147)</v>
      </c>
      <c r="AD715" s="15" t="str">
        <f t="shared" si="14"/>
        <v>Electropolished Pipes Manufacturer in Palembang</v>
      </c>
      <c r="AE715" s="15" t="str">
        <f t="shared" si="15"/>
        <v>How We Manufacture Electropolished Tube for Palembang Plants</v>
      </c>
      <c r="AF715" s="15" t="str">
        <f t="shared" si="16"/>
        <v>Supplying Electropolished Pipes in Palembang: Availability, Sizes &amp; Dispatch</v>
      </c>
      <c r="AG715" s="15" t="str">
        <f t="shared" si="17"/>
        <v>Wholesale Electropolished Pipe Supply for Palembang Projects</v>
      </c>
      <c r="AH715" s="15" t="str">
        <f t="shared" si="18"/>
        <v>electropolished pipes manufacturer in Palembang, electropolished pipes supplier in Palembang, electropolished pipes wholesaler in Palembang, electropolished tube manufacturer Palembang, EP pipe supplier Palembang, sanitary tube supplier Palembang, ASME BPE tubing Palembang, ASTM A270 tube Palembang, SS 316L electropolished pipe Palembang</v>
      </c>
      <c r="AI715" s="15" t="str">
        <f t="shared" si="19"/>
        <v>Electropolished Pipes Manufacturer &amp; Supplier in Palembang</v>
      </c>
      <c r="AJ715" s="15" t="str">
        <f t="shared" si="20"/>
        <v>EP-finished SS 304/316L pipes and tubes for food processing plants in Palembang. ASME BPE SF1-SF4, Ra from 0.25 um, EN 10204 3.1 certificate with every lot.</v>
      </c>
      <c r="AK715" s="15" t="str">
        <f t="shared" si="21"/>
        <v>Electropolished stainless steel pipes supplied by Sakshi Forge to food processing plants at Kawasan Industri Palembang, Palembang</v>
      </c>
      <c r="AL715" s="15" t="str">
        <f t="shared" si="22"/>
        <v>Electropolished SS 316L tube stock for Palembang - Sakshi Forge</v>
      </c>
      <c r="AM715" s="15" t="str">
        <f t="shared" si="23"/>
        <v>Home &gt; Market Area &gt; Indonesia &gt; South Sumatra &gt; Palembang</v>
      </c>
      <c r="AN715" s="15">
        <f t="shared" si="24"/>
        <v>1000</v>
      </c>
      <c r="AO715" s="15">
        <f t="shared" si="25"/>
        <v>8</v>
      </c>
      <c r="AP715" s="15">
        <f t="shared" si="26"/>
        <v>8</v>
      </c>
      <c r="AQ715" s="15">
        <f t="shared" si="27"/>
        <v>12</v>
      </c>
      <c r="AR715" s="31"/>
      <c r="AS715" s="31"/>
      <c r="AT715" s="35" t="s">
        <v>222</v>
      </c>
      <c r="AU715" s="35"/>
    </row>
    <row r="716" ht="15.75" customHeight="1">
      <c r="A716" s="15" t="s">
        <v>8652</v>
      </c>
      <c r="B716" s="15" t="s">
        <v>445</v>
      </c>
      <c r="C716" s="15" t="s">
        <v>6746</v>
      </c>
      <c r="D716" s="15" t="s">
        <v>8653</v>
      </c>
      <c r="E716" s="15" t="s">
        <v>8653</v>
      </c>
      <c r="F716" s="65" t="s">
        <v>788</v>
      </c>
      <c r="G716" s="17" t="s">
        <v>88</v>
      </c>
      <c r="H716" s="18" t="s">
        <v>8654</v>
      </c>
      <c r="I716" s="18" t="s">
        <v>8654</v>
      </c>
      <c r="J716" s="18" t="s">
        <v>8655</v>
      </c>
      <c r="K716" s="18" t="s">
        <v>579</v>
      </c>
      <c r="L716" s="18" t="s">
        <v>6754</v>
      </c>
      <c r="M716" s="18" t="s">
        <v>643</v>
      </c>
      <c r="N716" s="18" t="s">
        <v>453</v>
      </c>
      <c r="O716" s="18" t="s">
        <v>98</v>
      </c>
      <c r="P716" s="15" t="str">
        <f t="shared" si="1"/>
        <v>DAIRY</v>
      </c>
      <c r="Q716" s="15">
        <f t="shared" si="2"/>
        <v>1</v>
      </c>
      <c r="R716" s="15">
        <f t="shared" si="3"/>
        <v>6</v>
      </c>
      <c r="S716" s="15">
        <f t="shared" si="4"/>
        <v>3</v>
      </c>
      <c r="T716" s="15" t="str">
        <f t="shared" si="5"/>
        <v>B-5</v>
      </c>
      <c r="U716" s="15" t="str">
        <f t="shared" si="6"/>
        <v>T1-M6-H3-FB-5-DAIRY</v>
      </c>
      <c r="V716" s="15">
        <f t="shared" si="7"/>
        <v>0</v>
      </c>
      <c r="W716" s="31"/>
      <c r="X716" s="15" t="str">
        <f t="shared" si="8"/>
        <v>pasuruan-indonesia</v>
      </c>
      <c r="Y716" s="32" t="str">
        <f t="shared" si="9"/>
        <v>https://steelmanufacturer.in/market-area/electropolished-pipes-manufacturer-in-pasuruan-indonesia/</v>
      </c>
      <c r="Z716" s="15" t="str">
        <f t="shared" si="10"/>
        <v>Electropolished Pipes Manufacturer in Pasuruan | Sakshi Forge</v>
      </c>
      <c r="AA716" s="15" t="str">
        <f t="shared" si="11"/>
        <v>OK (61)</v>
      </c>
      <c r="AB716" s="15" t="str">
        <f t="shared" si="12"/>
        <v>EP tube and pipe for food &amp; dairy plants around PIER Pasuruan Industrial Estate Rembang, Pasuruan. ASTM A270, ASME BPE SF1-SF4, EN 10204 3.1 MTC.</v>
      </c>
      <c r="AC716" s="15" t="str">
        <f t="shared" si="13"/>
        <v>OK (145)</v>
      </c>
      <c r="AD716" s="15" t="str">
        <f t="shared" si="14"/>
        <v>Electropolished Pipes Manufacturer in Pasuruan</v>
      </c>
      <c r="AE716" s="15" t="str">
        <f t="shared" si="15"/>
        <v>Electropolished Pipes Manufacturer in Pasuruan - Our Process &amp; Capability</v>
      </c>
      <c r="AF716" s="15" t="str">
        <f t="shared" si="16"/>
        <v>Electropolished Pipes Supplier in Pasuruan - What We Hold in Stock</v>
      </c>
      <c r="AG716" s="15" t="str">
        <f t="shared" si="17"/>
        <v>Bulk &amp; Wholesale Electropolished Pipe Rates for Pasuruan Buyers</v>
      </c>
      <c r="AH716" s="15" t="str">
        <f t="shared" si="18"/>
        <v>electropolished pipes manufacturer in Pasuruan, electropolished pipes supplier in Pasuruan, electropolished pipes wholesaler in Pasuruan, electropolished tube manufacturer Pasuruan, EP pipe supplier Pasuruan, sanitary tube supplier Pasuruan, ASME BPE tubing Pasuruan, ASTM A270 tube Pasuruan, SS 316L electropolished pipe Pasuruan</v>
      </c>
      <c r="AI716" s="15" t="str">
        <f t="shared" si="19"/>
        <v>Electropolished Pipes Manufacturer &amp; Supplier in Pasuruan</v>
      </c>
      <c r="AJ716" s="15" t="str">
        <f t="shared" si="20"/>
        <v>EP-finished SS 304/316L pipes and tubes for food &amp; dairy plants in Pasuruan. ASME BPE SF1-SF4, Ra from 0.25 um, EN 10204 3.1 certificate with every lot.</v>
      </c>
      <c r="AK716" s="15" t="str">
        <f t="shared" si="21"/>
        <v>Electropolished stainless steel pipes supplied by Sakshi Forge to food &amp; dairy plants at PIER Pasuruan Industrial Estate Rembang, Pasuruan</v>
      </c>
      <c r="AL716" s="15" t="str">
        <f t="shared" si="22"/>
        <v>Electropolished SS 316L tube stock for Pasuruan - Sakshi Forge</v>
      </c>
      <c r="AM716" s="15" t="str">
        <f t="shared" si="23"/>
        <v>Home &gt; Market Area &gt; Indonesia &gt; East Java &gt; Pasuruan</v>
      </c>
      <c r="AN716" s="15">
        <f t="shared" si="24"/>
        <v>1000</v>
      </c>
      <c r="AO716" s="15">
        <f t="shared" si="25"/>
        <v>8</v>
      </c>
      <c r="AP716" s="15">
        <f t="shared" si="26"/>
        <v>8</v>
      </c>
      <c r="AQ716" s="15">
        <f t="shared" si="27"/>
        <v>12</v>
      </c>
      <c r="AR716" s="31"/>
      <c r="AS716" s="31"/>
      <c r="AT716" s="35" t="s">
        <v>222</v>
      </c>
      <c r="AU716" s="35"/>
    </row>
    <row r="717" ht="15.75" customHeight="1">
      <c r="A717" s="15" t="s">
        <v>8656</v>
      </c>
      <c r="B717" s="15" t="s">
        <v>445</v>
      </c>
      <c r="C717" s="15" t="s">
        <v>8657</v>
      </c>
      <c r="D717" s="15" t="s">
        <v>8658</v>
      </c>
      <c r="E717" s="15" t="s">
        <v>8658</v>
      </c>
      <c r="F717" s="65" t="s">
        <v>788</v>
      </c>
      <c r="G717" s="17" t="s">
        <v>88</v>
      </c>
      <c r="H717" s="18" t="s">
        <v>8659</v>
      </c>
      <c r="I717" s="18" t="s">
        <v>8660</v>
      </c>
      <c r="J717" s="18" t="s">
        <v>8661</v>
      </c>
      <c r="K717" s="18" t="s">
        <v>94</v>
      </c>
      <c r="L717" s="18" t="s">
        <v>8662</v>
      </c>
      <c r="M717" s="18" t="s">
        <v>643</v>
      </c>
      <c r="N717" s="18" t="s">
        <v>453</v>
      </c>
      <c r="O717" s="18" t="s">
        <v>98</v>
      </c>
      <c r="P717" s="15" t="str">
        <f t="shared" si="1"/>
        <v>FOOD</v>
      </c>
      <c r="Q717" s="15">
        <f t="shared" si="2"/>
        <v>2</v>
      </c>
      <c r="R717" s="15">
        <f t="shared" si="3"/>
        <v>7</v>
      </c>
      <c r="S717" s="15">
        <f t="shared" si="4"/>
        <v>4</v>
      </c>
      <c r="T717" s="15" t="str">
        <f t="shared" si="5"/>
        <v>B-6</v>
      </c>
      <c r="U717" s="15" t="str">
        <f t="shared" si="6"/>
        <v>T2-M7-H4-FB-6-FOOD</v>
      </c>
      <c r="V717" s="15">
        <f t="shared" si="7"/>
        <v>0</v>
      </c>
      <c r="W717" s="31"/>
      <c r="X717" s="15" t="str">
        <f t="shared" si="8"/>
        <v>pekanbaru-indonesia</v>
      </c>
      <c r="Y717" s="32" t="str">
        <f t="shared" si="9"/>
        <v>https://steelmanufacturer.in/market-area/electropolished-pipes-manufacturer-in-pekanbaru-indonesia/</v>
      </c>
      <c r="Z717" s="15" t="str">
        <f t="shared" si="10"/>
        <v>Electropolished Pipes Manufacturer in Pekanbaru</v>
      </c>
      <c r="AA717" s="15" t="str">
        <f t="shared" si="11"/>
        <v>OK (47)</v>
      </c>
      <c r="AB717" s="15" t="str">
        <f t="shared" si="12"/>
        <v>Electropolished pipes in Pekanbaru: 304, 304L, 316 and 316L in SF1-SF4. 10-14 days sea from Nhava Sheva to Tanjung Priok. Mill certified.</v>
      </c>
      <c r="AC717" s="15" t="str">
        <f t="shared" si="13"/>
        <v>OK (137)</v>
      </c>
      <c r="AD717" s="15" t="str">
        <f t="shared" si="14"/>
        <v>Electropolished Pipes Manufacturer in Pekanbaru</v>
      </c>
      <c r="AE717" s="15" t="str">
        <f t="shared" si="15"/>
        <v>Manufacturing Electropolished SS Tube for Pekanbaru: The Standards We Build To</v>
      </c>
      <c r="AF717" s="15" t="str">
        <f t="shared" si="16"/>
        <v>Electropolished Pipe Supply Into Pekanbaru - Certification &amp; Transit</v>
      </c>
      <c r="AG717" s="15" t="str">
        <f t="shared" si="17"/>
        <v>Electropolished Pipes Wholesaler in Pekanbaru - Project Quantities &amp; Terms</v>
      </c>
      <c r="AH717" s="15" t="str">
        <f t="shared" si="18"/>
        <v>electropolished pipes manufacturer in Pekanbaru, electropolished pipes supplier in Pekanbaru, electropolished pipes wholesaler in Pekanbaru, electropolished tube manufacturer Pekanbaru, EP pipe supplier Pekanbaru, sanitary tube supplier Pekanbaru, ASME BPE tubing Pekanbaru, ASTM A270 tube Pekanbaru, SS 316L electropolished pipe Pekanbaru</v>
      </c>
      <c r="AI717" s="15" t="str">
        <f t="shared" si="19"/>
        <v>Electropolished Pipes Manufacturer &amp; Supplier in Pekanbaru</v>
      </c>
      <c r="AJ717" s="15" t="str">
        <f t="shared" si="20"/>
        <v>EP-finished SS 304/316L pipes and tubes for food processing plants in Pekanbaru. ASME BPE SF1-SF4, Ra from 0.25 um, EN 10204 3.1 certificate with every lot.</v>
      </c>
      <c r="AK717" s="15" t="str">
        <f t="shared" si="21"/>
        <v>Electropolished stainless steel pipes supplied by Sakshi Forge to food processing plants at Tenayan Industrial Estate, Pekanbaru</v>
      </c>
      <c r="AL717" s="15" t="str">
        <f t="shared" si="22"/>
        <v>Electropolished SS 316L tube stock for Pekanbaru - Sakshi Forge</v>
      </c>
      <c r="AM717" s="15" t="str">
        <f t="shared" si="23"/>
        <v>Home &gt; Market Area &gt; Indonesia &gt; Riau &gt; Pekanbaru</v>
      </c>
      <c r="AN717" s="15">
        <f t="shared" si="24"/>
        <v>1000</v>
      </c>
      <c r="AO717" s="15">
        <f t="shared" si="25"/>
        <v>8</v>
      </c>
      <c r="AP717" s="15">
        <f t="shared" si="26"/>
        <v>8</v>
      </c>
      <c r="AQ717" s="15">
        <f t="shared" si="27"/>
        <v>12</v>
      </c>
      <c r="AR717" s="31"/>
      <c r="AS717" s="31"/>
      <c r="AT717" s="35" t="s">
        <v>222</v>
      </c>
      <c r="AU717" s="35"/>
    </row>
    <row r="718" ht="15.75" customHeight="1">
      <c r="A718" s="15" t="s">
        <v>8663</v>
      </c>
      <c r="B718" s="15" t="s">
        <v>445</v>
      </c>
      <c r="C718" s="15" t="s">
        <v>8664</v>
      </c>
      <c r="D718" s="15" t="s">
        <v>8665</v>
      </c>
      <c r="E718" s="15" t="s">
        <v>8665</v>
      </c>
      <c r="F718" s="65" t="s">
        <v>788</v>
      </c>
      <c r="G718" s="17" t="s">
        <v>88</v>
      </c>
      <c r="H718" s="18" t="s">
        <v>8666</v>
      </c>
      <c r="I718" s="18" t="s">
        <v>8667</v>
      </c>
      <c r="J718" s="18" t="s">
        <v>8668</v>
      </c>
      <c r="K718" s="18" t="s">
        <v>229</v>
      </c>
      <c r="L718" s="18" t="s">
        <v>8669</v>
      </c>
      <c r="M718" s="18" t="s">
        <v>643</v>
      </c>
      <c r="N718" s="18" t="s">
        <v>453</v>
      </c>
      <c r="O718" s="18" t="s">
        <v>98</v>
      </c>
      <c r="P718" s="15" t="str">
        <f t="shared" si="1"/>
        <v>PHARMA</v>
      </c>
      <c r="Q718" s="15">
        <f t="shared" si="2"/>
        <v>3</v>
      </c>
      <c r="R718" s="15">
        <f t="shared" si="3"/>
        <v>1</v>
      </c>
      <c r="S718" s="15">
        <f t="shared" si="4"/>
        <v>5</v>
      </c>
      <c r="T718" s="15" t="str">
        <f t="shared" si="5"/>
        <v>B-1</v>
      </c>
      <c r="U718" s="15" t="str">
        <f t="shared" si="6"/>
        <v>T3-M1-H5-FB-1-PHARMA</v>
      </c>
      <c r="V718" s="15">
        <f t="shared" si="7"/>
        <v>0</v>
      </c>
      <c r="W718" s="31"/>
      <c r="X718" s="15" t="str">
        <f t="shared" si="8"/>
        <v>semarang-indonesia</v>
      </c>
      <c r="Y718" s="32" t="str">
        <f t="shared" si="9"/>
        <v>https://steelmanufacturer.in/market-area/electropolished-pipes-manufacturer-in-semarang-indonesia/</v>
      </c>
      <c r="Z718" s="15" t="str">
        <f t="shared" si="10"/>
        <v>Electropolished Pipes Manufacturer in Semarang | EP Tube Supplier</v>
      </c>
      <c r="AA718" s="15" t="str">
        <f t="shared" si="11"/>
        <v>OK (65)</v>
      </c>
      <c r="AB718" s="15" t="str">
        <f t="shared" si="12"/>
        <v>EP-finished SS 304/316L pipes &amp; tubes for pharma plants in Semarang. ASTM A270, ASME BPE SF1-SF4, EN 10204 3.1 MTC. PMI tested.</v>
      </c>
      <c r="AC718" s="15" t="str">
        <f t="shared" si="13"/>
        <v>OK (127)</v>
      </c>
      <c r="AD718" s="15" t="str">
        <f t="shared" si="14"/>
        <v>Electropolished Pipes Manufacturer in Semarang</v>
      </c>
      <c r="AE718" s="15" t="str">
        <f t="shared" si="15"/>
        <v>Electropolished Tube Manufacturing Capability Serving Semarang</v>
      </c>
      <c r="AF718" s="15" t="str">
        <f t="shared" si="16"/>
        <v>Electropolished Pipes Supplier in Semarang - From Order to Delivery</v>
      </c>
      <c r="AG718" s="15" t="str">
        <f t="shared" si="17"/>
        <v>Stockist &amp; Wholesale Supply of Electropolished Pipes in Semarang</v>
      </c>
      <c r="AH718" s="15" t="str">
        <f t="shared" si="18"/>
        <v>electropolished pipes manufacturer in Semarang, electropolished pipes supplier in Semarang, electropolished pipes wholesaler in Semarang, electropolished tube manufacturer Semarang, EP pipe supplier Semarang, sanitary tube supplier Semarang, ASME BPE tubing Semarang, ASTM A270 tube Semarang, SS 316L electropolished pipe Semarang</v>
      </c>
      <c r="AI718" s="15" t="str">
        <f t="shared" si="19"/>
        <v>Electropolished Pipes Manufacturer &amp; Supplier in Semarang</v>
      </c>
      <c r="AJ718" s="15" t="str">
        <f t="shared" si="20"/>
        <v>EP-finished SS 304/316L pipes and tubes for pharma plants in Semarang. ASME BPE SF1-SF4, Ra from 0.25 um, EN 10204 3.1 certificate with every lot.</v>
      </c>
      <c r="AK718" s="15" t="str">
        <f t="shared" si="21"/>
        <v>Electropolished stainless steel pipes supplied by Sakshi Forge to pharma plants at Kawasan Industri Wijayakusuma, Semarang</v>
      </c>
      <c r="AL718" s="15" t="str">
        <f t="shared" si="22"/>
        <v>Electropolished SS 316L tube stock for Semarang - Sakshi Forge</v>
      </c>
      <c r="AM718" s="15" t="str">
        <f t="shared" si="23"/>
        <v>Home &gt; Market Area &gt; Indonesia &gt; Central Java &gt; Semarang</v>
      </c>
      <c r="AN718" s="15">
        <f t="shared" si="24"/>
        <v>1000</v>
      </c>
      <c r="AO718" s="15">
        <f t="shared" si="25"/>
        <v>8</v>
      </c>
      <c r="AP718" s="15">
        <f t="shared" si="26"/>
        <v>8</v>
      </c>
      <c r="AQ718" s="15">
        <f t="shared" si="27"/>
        <v>12</v>
      </c>
      <c r="AR718" s="31"/>
      <c r="AS718" s="31"/>
      <c r="AT718" s="35" t="s">
        <v>222</v>
      </c>
      <c r="AU718" s="35"/>
    </row>
    <row r="719" ht="15.75" customHeight="1">
      <c r="A719" s="15" t="s">
        <v>8670</v>
      </c>
      <c r="B719" s="15" t="s">
        <v>445</v>
      </c>
      <c r="C719" s="15" t="s">
        <v>6703</v>
      </c>
      <c r="D719" s="15" t="s">
        <v>8671</v>
      </c>
      <c r="E719" s="15" t="s">
        <v>8671</v>
      </c>
      <c r="F719" s="65" t="s">
        <v>788</v>
      </c>
      <c r="G719" s="17" t="s">
        <v>88</v>
      </c>
      <c r="H719" s="18" t="s">
        <v>8672</v>
      </c>
      <c r="I719" s="18" t="s">
        <v>8672</v>
      </c>
      <c r="J719" s="18" t="s">
        <v>8673</v>
      </c>
      <c r="K719" s="18" t="s">
        <v>94</v>
      </c>
      <c r="L719" s="18" t="s">
        <v>6710</v>
      </c>
      <c r="M719" s="18" t="s">
        <v>643</v>
      </c>
      <c r="N719" s="18" t="s">
        <v>453</v>
      </c>
      <c r="O719" s="18" t="s">
        <v>98</v>
      </c>
      <c r="P719" s="15" t="str">
        <f t="shared" si="1"/>
        <v>FOOD</v>
      </c>
      <c r="Q719" s="15">
        <f t="shared" si="2"/>
        <v>4</v>
      </c>
      <c r="R719" s="15">
        <f t="shared" si="3"/>
        <v>2</v>
      </c>
      <c r="S719" s="15">
        <f t="shared" si="4"/>
        <v>1</v>
      </c>
      <c r="T719" s="15" t="str">
        <f t="shared" si="5"/>
        <v>B-2</v>
      </c>
      <c r="U719" s="15" t="str">
        <f t="shared" si="6"/>
        <v>T4-M2-H1-FB-2-FOOD</v>
      </c>
      <c r="V719" s="15">
        <f t="shared" si="7"/>
        <v>0</v>
      </c>
      <c r="W719" s="31"/>
      <c r="X719" s="15" t="str">
        <f t="shared" si="8"/>
        <v>serang-indonesia</v>
      </c>
      <c r="Y719" s="32" t="str">
        <f t="shared" si="9"/>
        <v>https://steelmanufacturer.in/market-area/electropolished-pipes-manufacturer-in-serang-indonesia/</v>
      </c>
      <c r="Z719" s="15" t="str">
        <f t="shared" si="10"/>
        <v>Electropolished Pipes Manufacturer in Serang</v>
      </c>
      <c r="AA719" s="15" t="str">
        <f t="shared" si="11"/>
        <v>OK (44)</v>
      </c>
      <c r="AB719" s="15" t="str">
        <f t="shared" si="12"/>
        <v>Electropolished tube supply to Modern Cikande Industrial Estate, Serang. Ra from 0.25 um, SF4 finish, mill test certificate with every lot.</v>
      </c>
      <c r="AC719" s="15" t="str">
        <f t="shared" si="13"/>
        <v>OK (139)</v>
      </c>
      <c r="AD719" s="15" t="str">
        <f t="shared" si="14"/>
        <v>Electropolished Pipes Manufacturer in Serang</v>
      </c>
      <c r="AE719" s="15" t="str">
        <f t="shared" si="15"/>
        <v>Electropolished Pipe &amp; Tube Manufacturing for Serang - Grades, Finishes &amp; Certification</v>
      </c>
      <c r="AF719" s="15" t="str">
        <f t="shared" si="16"/>
        <v>Electropolished Pipes Supplier in Serang - Stock Sizes, Lead Time &amp; Delivery</v>
      </c>
      <c r="AG719" s="15" t="str">
        <f t="shared" si="17"/>
        <v>Electropolished Pipes Wholesaler &amp; Stockist in Serang - Bulk &amp; Project Pricing</v>
      </c>
      <c r="AH719" s="15" t="str">
        <f t="shared" si="18"/>
        <v>electropolished pipes manufacturer in Serang, electropolished pipes supplier in Serang, electropolished pipes wholesaler in Serang, electropolished tube manufacturer Serang, EP pipe supplier Serang, sanitary tube supplier Serang, ASME BPE tubing Serang, ASTM A270 tube Serang, SS 316L electropolished pipe Serang</v>
      </c>
      <c r="AI719" s="15" t="str">
        <f t="shared" si="19"/>
        <v>Electropolished Pipes Manufacturer &amp; Supplier in Serang</v>
      </c>
      <c r="AJ719" s="15" t="str">
        <f t="shared" si="20"/>
        <v>EP-finished SS 304/316L pipes and tubes for food processing plants in Serang. ASME BPE SF1-SF4, Ra from 0.25 um, EN 10204 3.1 certificate with every lot.</v>
      </c>
      <c r="AK719" s="15" t="str">
        <f t="shared" si="21"/>
        <v>Electropolished stainless steel pipes supplied by Sakshi Forge to food processing plants at Modern Cikande Industrial Estate, Serang</v>
      </c>
      <c r="AL719" s="15" t="str">
        <f t="shared" si="22"/>
        <v>Electropolished SS 316L tube stock for Serang - Sakshi Forge</v>
      </c>
      <c r="AM719" s="15" t="str">
        <f t="shared" si="23"/>
        <v>Home &gt; Market Area &gt; Indonesia &gt; Banten &gt; Serang</v>
      </c>
      <c r="AN719" s="15">
        <f t="shared" si="24"/>
        <v>1000</v>
      </c>
      <c r="AO719" s="15">
        <f t="shared" si="25"/>
        <v>8</v>
      </c>
      <c r="AP719" s="15">
        <f t="shared" si="26"/>
        <v>8</v>
      </c>
      <c r="AQ719" s="15">
        <f t="shared" si="27"/>
        <v>12</v>
      </c>
      <c r="AR719" s="31"/>
      <c r="AS719" s="31"/>
      <c r="AT719" s="35" t="s">
        <v>222</v>
      </c>
      <c r="AU719" s="35"/>
    </row>
    <row r="720" ht="15.75" customHeight="1">
      <c r="A720" s="15" t="s">
        <v>8674</v>
      </c>
      <c r="B720" s="15" t="s">
        <v>445</v>
      </c>
      <c r="C720" s="15" t="s">
        <v>6746</v>
      </c>
      <c r="D720" s="15" t="s">
        <v>8675</v>
      </c>
      <c r="E720" s="15" t="s">
        <v>8675</v>
      </c>
      <c r="F720" s="65" t="s">
        <v>788</v>
      </c>
      <c r="G720" s="17" t="s">
        <v>88</v>
      </c>
      <c r="H720" s="18" t="s">
        <v>8676</v>
      </c>
      <c r="I720" s="18" t="s">
        <v>8677</v>
      </c>
      <c r="J720" s="18" t="s">
        <v>8678</v>
      </c>
      <c r="K720" s="18" t="s">
        <v>229</v>
      </c>
      <c r="L720" s="18" t="s">
        <v>6754</v>
      </c>
      <c r="M720" s="18" t="s">
        <v>643</v>
      </c>
      <c r="N720" s="18" t="s">
        <v>453</v>
      </c>
      <c r="O720" s="18" t="s">
        <v>98</v>
      </c>
      <c r="P720" s="15" t="str">
        <f t="shared" si="1"/>
        <v>PHARMA</v>
      </c>
      <c r="Q720" s="15">
        <f t="shared" si="2"/>
        <v>5</v>
      </c>
      <c r="R720" s="15">
        <f t="shared" si="3"/>
        <v>3</v>
      </c>
      <c r="S720" s="15">
        <f t="shared" si="4"/>
        <v>2</v>
      </c>
      <c r="T720" s="15" t="str">
        <f t="shared" si="5"/>
        <v>B-3</v>
      </c>
      <c r="U720" s="15" t="str">
        <f t="shared" si="6"/>
        <v>T5-M3-H2-FB-3-PHARMA</v>
      </c>
      <c r="V720" s="15">
        <f t="shared" si="7"/>
        <v>0</v>
      </c>
      <c r="W720" s="31"/>
      <c r="X720" s="15" t="str">
        <f t="shared" si="8"/>
        <v>sidoarjo-indonesia</v>
      </c>
      <c r="Y720" s="32" t="str">
        <f t="shared" si="9"/>
        <v>https://steelmanufacturer.in/market-area/electropolished-pipes-manufacturer-in-sidoarjo-indonesia/</v>
      </c>
      <c r="Z720" s="15" t="str">
        <f t="shared" si="10"/>
        <v>Electropolished Pipes Manufacturer in Sidoarjo</v>
      </c>
      <c r="AA720" s="15" t="str">
        <f t="shared" si="11"/>
        <v>OK (46)</v>
      </c>
      <c r="AB720" s="15" t="str">
        <f t="shared" si="12"/>
        <v>EP stainless tube for pharma lines in Sidoarjo. 10-14 days sea from Nhava Sheva to Tanjung Priok. ASTM A270 S2, PMI tested, EN 10204 3.1.</v>
      </c>
      <c r="AC720" s="15" t="str">
        <f t="shared" si="13"/>
        <v>OK (137)</v>
      </c>
      <c r="AD720" s="15" t="str">
        <f t="shared" si="14"/>
        <v>Electropolished Pipes Manufacturer in Sidoarjo</v>
      </c>
      <c r="AE720" s="15" t="str">
        <f t="shared" si="15"/>
        <v>How We Manufacture Electropolished Tube for Sidoarjo Plants</v>
      </c>
      <c r="AF720" s="15" t="str">
        <f t="shared" si="16"/>
        <v>Supplying Electropolished Pipes in Sidoarjo: Availability, Sizes &amp; Dispatch</v>
      </c>
      <c r="AG720" s="15" t="str">
        <f t="shared" si="17"/>
        <v>Wholesale Electropolished Pipe Supply for Sidoarjo Projects</v>
      </c>
      <c r="AH720" s="15" t="str">
        <f t="shared" si="18"/>
        <v>electropolished pipes manufacturer in Sidoarjo, electropolished pipes supplier in Sidoarjo, electropolished pipes wholesaler in Sidoarjo, electropolished tube manufacturer Sidoarjo, EP pipe supplier Sidoarjo, sanitary tube supplier Sidoarjo, ASME BPE tubing Sidoarjo, ASTM A270 tube Sidoarjo, SS 316L electropolished pipe Sidoarjo</v>
      </c>
      <c r="AI720" s="15" t="str">
        <f t="shared" si="19"/>
        <v>Electropolished Pipes Manufacturer &amp; Supplier in Sidoarjo</v>
      </c>
      <c r="AJ720" s="15" t="str">
        <f t="shared" si="20"/>
        <v>EP-finished SS 304/316L pipes and tubes for pharma plants in Sidoarjo. ASME BPE SF1-SF4, Ra from 0.25 um, EN 10204 3.1 certificate with every lot.</v>
      </c>
      <c r="AK720" s="15" t="str">
        <f t="shared" si="21"/>
        <v>Electropolished stainless steel pipes supplied by Sakshi Forge to pharma plants at Sidoarjo Industrial Estate, Sidoarjo</v>
      </c>
      <c r="AL720" s="15" t="str">
        <f t="shared" si="22"/>
        <v>Electropolished SS 316L tube stock for Sidoarjo - Sakshi Forge</v>
      </c>
      <c r="AM720" s="15" t="str">
        <f t="shared" si="23"/>
        <v>Home &gt; Market Area &gt; Indonesia &gt; East Java &gt; Sidoarjo</v>
      </c>
      <c r="AN720" s="15">
        <f t="shared" si="24"/>
        <v>1000</v>
      </c>
      <c r="AO720" s="15">
        <f t="shared" si="25"/>
        <v>8</v>
      </c>
      <c r="AP720" s="15">
        <f t="shared" si="26"/>
        <v>8</v>
      </c>
      <c r="AQ720" s="15">
        <f t="shared" si="27"/>
        <v>12</v>
      </c>
      <c r="AR720" s="31"/>
      <c r="AS720" s="31"/>
      <c r="AT720" s="35" t="s">
        <v>222</v>
      </c>
      <c r="AU720" s="35"/>
    </row>
    <row r="721" ht="15.75" customHeight="1">
      <c r="A721" s="15" t="s">
        <v>8679</v>
      </c>
      <c r="B721" s="15" t="s">
        <v>445</v>
      </c>
      <c r="C721" s="15" t="s">
        <v>6703</v>
      </c>
      <c r="D721" s="15" t="s">
        <v>8680</v>
      </c>
      <c r="E721" s="15" t="s">
        <v>8680</v>
      </c>
      <c r="F721" s="65" t="s">
        <v>788</v>
      </c>
      <c r="G721" s="17" t="s">
        <v>88</v>
      </c>
      <c r="H721" s="18" t="s">
        <v>8681</v>
      </c>
      <c r="I721" s="18" t="s">
        <v>8682</v>
      </c>
      <c r="J721" s="18" t="s">
        <v>8683</v>
      </c>
      <c r="K721" s="18" t="s">
        <v>229</v>
      </c>
      <c r="L721" s="18" t="s">
        <v>6626</v>
      </c>
      <c r="M721" s="18" t="s">
        <v>643</v>
      </c>
      <c r="N721" s="18" t="s">
        <v>453</v>
      </c>
      <c r="O721" s="18" t="s">
        <v>98</v>
      </c>
      <c r="P721" s="15" t="str">
        <f t="shared" si="1"/>
        <v>PHARMA</v>
      </c>
      <c r="Q721" s="15">
        <f t="shared" si="2"/>
        <v>6</v>
      </c>
      <c r="R721" s="15">
        <f t="shared" si="3"/>
        <v>4</v>
      </c>
      <c r="S721" s="15">
        <f t="shared" si="4"/>
        <v>3</v>
      </c>
      <c r="T721" s="15" t="str">
        <f t="shared" si="5"/>
        <v>B-4</v>
      </c>
      <c r="U721" s="15" t="str">
        <f t="shared" si="6"/>
        <v>T6-M4-H3-FB-4-PHARMA</v>
      </c>
      <c r="V721" s="15">
        <f t="shared" si="7"/>
        <v>0</v>
      </c>
      <c r="W721" s="31"/>
      <c r="X721" s="15" t="str">
        <f t="shared" si="8"/>
        <v>tangerang-indonesia</v>
      </c>
      <c r="Y721" s="32" t="str">
        <f t="shared" si="9"/>
        <v>https://steelmanufacturer.in/market-area/electropolished-pipes-manufacturer-in-tangerang-indonesia/</v>
      </c>
      <c r="Z721" s="15" t="str">
        <f t="shared" si="10"/>
        <v>Electropolished Pipes Manufacturer in Tangerang</v>
      </c>
      <c r="AA721" s="15" t="str">
        <f t="shared" si="11"/>
        <v>OK (47)</v>
      </c>
      <c r="AB721" s="15" t="str">
        <f t="shared" si="12"/>
        <v>Sanitary electropolished pipes in Tangerang for pharma plants. ASME BPE SF1-SF4, orbital-weld ready, 3.1 MTC. Mumbai-made.</v>
      </c>
      <c r="AC721" s="15" t="str">
        <f t="shared" si="13"/>
        <v>OK (122)</v>
      </c>
      <c r="AD721" s="15" t="str">
        <f t="shared" si="14"/>
        <v>Electropolished Pipes Manufacturer in Tangerang</v>
      </c>
      <c r="AE721" s="15" t="str">
        <f t="shared" si="15"/>
        <v>Electropolished Pipes Manufacturer in Tangerang - Our Process &amp; Capability</v>
      </c>
      <c r="AF721" s="15" t="str">
        <f t="shared" si="16"/>
        <v>Electropolished Pipes Supplier in Tangerang - What We Hold in Stock</v>
      </c>
      <c r="AG721" s="15" t="str">
        <f t="shared" si="17"/>
        <v>Bulk &amp; Wholesale Electropolished Pipe Rates for Tangerang Buyers</v>
      </c>
      <c r="AH721" s="15" t="str">
        <f t="shared" si="18"/>
        <v>electropolished pipes manufacturer in Tangerang, electropolished pipes supplier in Tangerang, electropolished pipes wholesaler in Tangerang, electropolished tube manufacturer Tangerang, EP pipe supplier Tangerang, sanitary tube supplier Tangerang, ASME BPE tubing Tangerang, ASTM A270 tube Tangerang, SS 316L electropolished pipe Tangerang</v>
      </c>
      <c r="AI721" s="15" t="str">
        <f t="shared" si="19"/>
        <v>Electropolished Pipes Manufacturer &amp; Supplier in Tangerang</v>
      </c>
      <c r="AJ721" s="15" t="str">
        <f t="shared" si="20"/>
        <v>EP-finished SS 304/316L pipes and tubes for pharma plants in Tangerang. ASME BPE SF1-SF4, Ra from 0.25 um, EN 10204 3.1 certificate with every lot.</v>
      </c>
      <c r="AK721" s="15" t="str">
        <f t="shared" si="21"/>
        <v>Electropolished stainless steel pipes supplied by Sakshi Forge to pharma plants at Jatake Industrial Estate, Tangerang</v>
      </c>
      <c r="AL721" s="15" t="str">
        <f t="shared" si="22"/>
        <v>Electropolished SS 316L tube stock for Tangerang - Sakshi Forge</v>
      </c>
      <c r="AM721" s="15" t="str">
        <f t="shared" si="23"/>
        <v>Home &gt; Market Area &gt; Indonesia &gt; Banten &gt; Tangerang</v>
      </c>
      <c r="AN721" s="15">
        <f t="shared" si="24"/>
        <v>1000</v>
      </c>
      <c r="AO721" s="15">
        <f t="shared" si="25"/>
        <v>8</v>
      </c>
      <c r="AP721" s="15">
        <f t="shared" si="26"/>
        <v>8</v>
      </c>
      <c r="AQ721" s="15">
        <f t="shared" si="27"/>
        <v>12</v>
      </c>
      <c r="AR721" s="31"/>
      <c r="AS721" s="31"/>
      <c r="AT721" s="35" t="s">
        <v>222</v>
      </c>
      <c r="AU721" s="35"/>
    </row>
    <row r="722" ht="15.75" customHeight="1">
      <c r="A722" s="15" t="s">
        <v>8684</v>
      </c>
      <c r="B722" s="15" t="s">
        <v>301</v>
      </c>
      <c r="C722" s="15" t="s">
        <v>8685</v>
      </c>
      <c r="D722" s="15" t="s">
        <v>8686</v>
      </c>
      <c r="E722" s="15" t="s">
        <v>8686</v>
      </c>
      <c r="F722" s="65" t="s">
        <v>788</v>
      </c>
      <c r="G722" s="17" t="s">
        <v>88</v>
      </c>
      <c r="H722" s="18" t="s">
        <v>8687</v>
      </c>
      <c r="I722" s="18" t="s">
        <v>8688</v>
      </c>
      <c r="J722" s="18" t="s">
        <v>8689</v>
      </c>
      <c r="K722" s="18" t="s">
        <v>94</v>
      </c>
      <c r="L722" s="18" t="s">
        <v>8690</v>
      </c>
      <c r="M722" s="18" t="s">
        <v>580</v>
      </c>
      <c r="N722" s="18" t="s">
        <v>378</v>
      </c>
      <c r="O722" s="18" t="s">
        <v>98</v>
      </c>
      <c r="P722" s="15" t="str">
        <f t="shared" si="1"/>
        <v>FOOD</v>
      </c>
      <c r="Q722" s="15">
        <f t="shared" si="2"/>
        <v>7</v>
      </c>
      <c r="R722" s="15">
        <f t="shared" si="3"/>
        <v>5</v>
      </c>
      <c r="S722" s="15">
        <f t="shared" si="4"/>
        <v>4</v>
      </c>
      <c r="T722" s="15" t="str">
        <f t="shared" si="5"/>
        <v>B-5</v>
      </c>
      <c r="U722" s="15" t="str">
        <f t="shared" si="6"/>
        <v>T7-M5-H4-FB-5-FOOD</v>
      </c>
      <c r="V722" s="15">
        <f t="shared" si="7"/>
        <v>0</v>
      </c>
      <c r="W722" s="31"/>
      <c r="X722" s="15" t="str">
        <f t="shared" si="8"/>
        <v>ancona-italy</v>
      </c>
      <c r="Y722" s="32" t="str">
        <f t="shared" si="9"/>
        <v>https://steelmanufacturer.in/market-area/electropolished-pipes-manufacturer-in-ancona-italy/</v>
      </c>
      <c r="Z722" s="15" t="str">
        <f t="shared" si="10"/>
        <v>Electropolished Pipes Manufacturer in Ancona | ASME BPE SF1-SF4</v>
      </c>
      <c r="AA722" s="15" t="str">
        <f t="shared" si="11"/>
        <v>OK (63)</v>
      </c>
      <c r="AB722" s="15" t="str">
        <f t="shared" si="12"/>
        <v>Manufacturer of electropolished SS 316L tube serving Ancona. 18-24 days sea from Nhava Sheva to Genoa. Ra 0.25-0.5 um, EN 10204 3.1 MTC.</v>
      </c>
      <c r="AC722" s="15" t="str">
        <f t="shared" si="13"/>
        <v>OK (136)</v>
      </c>
      <c r="AD722" s="15" t="str">
        <f t="shared" si="14"/>
        <v>Electropolished Pipes Manufacturer in Ancona</v>
      </c>
      <c r="AE722" s="15" t="str">
        <f t="shared" si="15"/>
        <v>Manufacturing Electropolished SS Tube for Ancona: The Standards We Build To</v>
      </c>
      <c r="AF722" s="15" t="str">
        <f t="shared" si="16"/>
        <v>Electropolished Pipe Supply Into Ancona - Certification &amp; Transit</v>
      </c>
      <c r="AG722" s="15" t="str">
        <f t="shared" si="17"/>
        <v>Electropolished Pipes Wholesaler in Ancona - Project Quantities &amp; Terms</v>
      </c>
      <c r="AH722" s="15" t="str">
        <f t="shared" si="18"/>
        <v>electropolished pipes manufacturer in Ancona, electropolished pipes supplier in Ancona, electropolished pipes wholesaler in Ancona, electropolished tube manufacturer Ancona, EP pipe supplier Ancona, sanitary tube supplier Ancona, ASME BPE tubing Ancona, ASTM A270 tube Ancona, SS 316L electropolished pipe Ancona</v>
      </c>
      <c r="AI722" s="15" t="str">
        <f t="shared" si="19"/>
        <v>Electropolished Pipes Manufacturer &amp; Supplier in Ancona</v>
      </c>
      <c r="AJ722" s="15" t="str">
        <f t="shared" si="20"/>
        <v>EP-finished SS 304/316L pipes and tubes for food processing plants in Ancona. ASME BPE SF1-SF4, Ra from 0.25 um, EN 10204 3.1 certificate with every lot.</v>
      </c>
      <c r="AK722" s="15" t="str">
        <f t="shared" si="21"/>
        <v>Electropolished stainless steel pipes supplied by Sakshi Forge to food processing plants at Ancona Industrial Zone, Ancona</v>
      </c>
      <c r="AL722" s="15" t="str">
        <f t="shared" si="22"/>
        <v>Electropolished SS 316L tube stock for Ancona - Sakshi Forge</v>
      </c>
      <c r="AM722" s="15" t="str">
        <f t="shared" si="23"/>
        <v>Home &gt; Market Area &gt; Italy &gt; Marche &gt; Ancona</v>
      </c>
      <c r="AN722" s="15">
        <f t="shared" si="24"/>
        <v>1000</v>
      </c>
      <c r="AO722" s="15">
        <f t="shared" si="25"/>
        <v>8</v>
      </c>
      <c r="AP722" s="15">
        <f t="shared" si="26"/>
        <v>8</v>
      </c>
      <c r="AQ722" s="15">
        <f t="shared" si="27"/>
        <v>12</v>
      </c>
      <c r="AR722" s="31"/>
      <c r="AS722" s="31"/>
      <c r="AT722" s="35" t="s">
        <v>222</v>
      </c>
      <c r="AU722" s="35"/>
    </row>
    <row r="723" ht="15.75" customHeight="1">
      <c r="A723" s="15" t="s">
        <v>8691</v>
      </c>
      <c r="B723" s="15" t="s">
        <v>301</v>
      </c>
      <c r="C723" s="15" t="s">
        <v>8692</v>
      </c>
      <c r="D723" s="15" t="s">
        <v>8693</v>
      </c>
      <c r="E723" s="15" t="s">
        <v>8693</v>
      </c>
      <c r="F723" s="65" t="s">
        <v>788</v>
      </c>
      <c r="G723" s="17" t="s">
        <v>88</v>
      </c>
      <c r="H723" s="18" t="s">
        <v>8694</v>
      </c>
      <c r="I723" s="18" t="s">
        <v>8695</v>
      </c>
      <c r="J723" s="18" t="s">
        <v>8678</v>
      </c>
      <c r="K723" s="18" t="s">
        <v>229</v>
      </c>
      <c r="L723" s="18" t="s">
        <v>8696</v>
      </c>
      <c r="M723" s="18" t="s">
        <v>580</v>
      </c>
      <c r="N723" s="18" t="s">
        <v>378</v>
      </c>
      <c r="O723" s="18" t="s">
        <v>98</v>
      </c>
      <c r="P723" s="15" t="str">
        <f t="shared" si="1"/>
        <v>PHARMA</v>
      </c>
      <c r="Q723" s="15">
        <f t="shared" si="2"/>
        <v>8</v>
      </c>
      <c r="R723" s="15">
        <f t="shared" si="3"/>
        <v>6</v>
      </c>
      <c r="S723" s="15">
        <f t="shared" si="4"/>
        <v>5</v>
      </c>
      <c r="T723" s="15" t="str">
        <f t="shared" si="5"/>
        <v>B-6</v>
      </c>
      <c r="U723" s="15" t="str">
        <f t="shared" si="6"/>
        <v>T8-M6-H5-FB-6-PHARMA</v>
      </c>
      <c r="V723" s="15">
        <f t="shared" si="7"/>
        <v>0</v>
      </c>
      <c r="W723" s="31"/>
      <c r="X723" s="15" t="str">
        <f t="shared" si="8"/>
        <v>bari-italy</v>
      </c>
      <c r="Y723" s="32" t="str">
        <f t="shared" si="9"/>
        <v>https://steelmanufacturer.in/market-area/electropolished-pipes-manufacturer-in-bari-italy/</v>
      </c>
      <c r="Z723" s="15" t="str">
        <f t="shared" si="10"/>
        <v>Electropolished Pipes Manufacturer in Bari - EP Tube Stockist</v>
      </c>
      <c r="AA723" s="15" t="str">
        <f t="shared" si="11"/>
        <v>OK (61)</v>
      </c>
      <c r="AB723" s="15" t="str">
        <f t="shared" si="12"/>
        <v>EP tube and pipe for pharma plants around Bari Industrial Zone, Bari. Made at our Mumbai works to ASTM A270 and ASME BPE SF1-SF4, with 3.1 MTC.</v>
      </c>
      <c r="AC723" s="15" t="str">
        <f t="shared" si="13"/>
        <v>OK (143)</v>
      </c>
      <c r="AD723" s="15" t="str">
        <f t="shared" si="14"/>
        <v>Electropolished Pipes Manufacturer in Bari</v>
      </c>
      <c r="AE723" s="15" t="str">
        <f t="shared" si="15"/>
        <v>Electropolished Tube Manufacturing Capability Serving Bari</v>
      </c>
      <c r="AF723" s="15" t="str">
        <f t="shared" si="16"/>
        <v>Electropolished Pipes Supplier in Bari - From Order to Delivery</v>
      </c>
      <c r="AG723" s="15" t="str">
        <f t="shared" si="17"/>
        <v>Stockist &amp; Wholesale Supply of Electropolished Pipes in Bari</v>
      </c>
      <c r="AH723" s="15" t="str">
        <f t="shared" si="18"/>
        <v>electropolished pipes manufacturer in Bari, electropolished pipes supplier in Bari, electropolished pipes wholesaler in Bari, electropolished tube manufacturer Bari, EP pipe supplier Bari, sanitary tube supplier Bari, ASME BPE tubing Bari, ASTM A270 tube Bari, SS 316L electropolished pipe Bari</v>
      </c>
      <c r="AI723" s="15" t="str">
        <f t="shared" si="19"/>
        <v>Electropolished Pipes Manufacturer &amp; Supplier in Bari</v>
      </c>
      <c r="AJ723" s="15" t="str">
        <f t="shared" si="20"/>
        <v>EP-finished SS 304/316L pipes and tubes for pharma plants in Bari. ASME BPE SF1-SF4, Ra from 0.25 um, EN 10204 3.1 certificate with every lot.</v>
      </c>
      <c r="AK723" s="15" t="str">
        <f t="shared" si="21"/>
        <v>Electropolished stainless steel pipes supplied by Sakshi Forge to pharma plants at Bari Industrial Zone, Bari</v>
      </c>
      <c r="AL723" s="15" t="str">
        <f t="shared" si="22"/>
        <v>Electropolished SS 316L tube stock for Bari - Sakshi Forge</v>
      </c>
      <c r="AM723" s="15" t="str">
        <f t="shared" si="23"/>
        <v>Home &gt; Market Area &gt; Italy &gt; Apulia &gt; Bari</v>
      </c>
      <c r="AN723" s="15">
        <f t="shared" si="24"/>
        <v>1000</v>
      </c>
      <c r="AO723" s="15">
        <f t="shared" si="25"/>
        <v>8</v>
      </c>
      <c r="AP723" s="15">
        <f t="shared" si="26"/>
        <v>8</v>
      </c>
      <c r="AQ723" s="15">
        <f t="shared" si="27"/>
        <v>12</v>
      </c>
      <c r="AR723" s="31"/>
      <c r="AS723" s="31"/>
      <c r="AT723" s="35" t="s">
        <v>222</v>
      </c>
      <c r="AU723" s="35"/>
    </row>
    <row r="724" ht="15.75" customHeight="1">
      <c r="A724" s="15" t="s">
        <v>8697</v>
      </c>
      <c r="B724" s="15" t="s">
        <v>301</v>
      </c>
      <c r="C724" s="15" t="s">
        <v>8698</v>
      </c>
      <c r="D724" s="15" t="s">
        <v>8699</v>
      </c>
      <c r="E724" s="15" t="s">
        <v>8699</v>
      </c>
      <c r="F724" s="65" t="s">
        <v>788</v>
      </c>
      <c r="G724" s="17" t="s">
        <v>88</v>
      </c>
      <c r="H724" s="18" t="s">
        <v>8700</v>
      </c>
      <c r="I724" s="18" t="s">
        <v>8701</v>
      </c>
      <c r="J724" s="18" t="s">
        <v>8702</v>
      </c>
      <c r="K724" s="18" t="s">
        <v>4868</v>
      </c>
      <c r="L724" s="18" t="s">
        <v>8703</v>
      </c>
      <c r="M724" s="18" t="s">
        <v>580</v>
      </c>
      <c r="N724" s="18" t="s">
        <v>378</v>
      </c>
      <c r="O724" s="18" t="s">
        <v>98</v>
      </c>
      <c r="P724" s="15" t="str">
        <f t="shared" si="1"/>
        <v>SEMI</v>
      </c>
      <c r="Q724" s="15">
        <f t="shared" si="2"/>
        <v>1</v>
      </c>
      <c r="R724" s="15">
        <f t="shared" si="3"/>
        <v>7</v>
      </c>
      <c r="S724" s="15">
        <f t="shared" si="4"/>
        <v>1</v>
      </c>
      <c r="T724" s="15" t="str">
        <f t="shared" si="5"/>
        <v>B-1</v>
      </c>
      <c r="U724" s="15" t="str">
        <f t="shared" si="6"/>
        <v>T1-M7-H1-FB-1-SEMI</v>
      </c>
      <c r="V724" s="15">
        <f t="shared" si="7"/>
        <v>0</v>
      </c>
      <c r="W724" s="31"/>
      <c r="X724" s="15" t="str">
        <f t="shared" si="8"/>
        <v>catania-italy</v>
      </c>
      <c r="Y724" s="32" t="str">
        <f t="shared" si="9"/>
        <v>https://steelmanufacturer.in/market-area/electropolished-pipes-manufacturer-in-catania-italy/</v>
      </c>
      <c r="Z724" s="15" t="str">
        <f t="shared" si="10"/>
        <v>Electropolished Pipes Manufacturer in Catania | Sakshi Forge</v>
      </c>
      <c r="AA724" s="15" t="str">
        <f t="shared" si="11"/>
        <v>OK (60)</v>
      </c>
      <c r="AB724" s="15" t="str">
        <f t="shared" si="12"/>
        <v>Electropolished pipes in Catania: 304, 304L, 316 and 316L in SF1-SF4. 18-24 days sea from Nhava Sheva to Genoa. Mill certified.</v>
      </c>
      <c r="AC724" s="15" t="str">
        <f t="shared" si="13"/>
        <v>OK (127)</v>
      </c>
      <c r="AD724" s="15" t="str">
        <f t="shared" si="14"/>
        <v>Electropolished Pipes Manufacturer in Catania</v>
      </c>
      <c r="AE724" s="15" t="str">
        <f t="shared" si="15"/>
        <v>Electropolished Pipe &amp; Tube Manufacturing for Catania - Grades, Finishes &amp; Certification</v>
      </c>
      <c r="AF724" s="15" t="str">
        <f t="shared" si="16"/>
        <v>Electropolished Pipes Supplier in Catania - Stock Sizes, Lead Time &amp; Delivery</v>
      </c>
      <c r="AG724" s="15" t="str">
        <f t="shared" si="17"/>
        <v>Electropolished Pipes Wholesaler &amp; Stockist in Catania - Bulk &amp; Project Pricing</v>
      </c>
      <c r="AH724" s="15" t="str">
        <f t="shared" si="18"/>
        <v>electropolished pipes manufacturer in Catania, electropolished pipes supplier in Catania, electropolished pipes wholesaler in Catania, electropolished tube manufacturer Catania, EP pipe supplier Catania, sanitary tube supplier Catania, ASME BPE tubing Catania, ASTM A270 tube Catania, SS 316L electropolished pipe Catania</v>
      </c>
      <c r="AI724" s="15" t="str">
        <f t="shared" si="19"/>
        <v>Electropolished Pipes Manufacturer &amp; Supplier in Catania</v>
      </c>
      <c r="AJ724" s="15" t="str">
        <f t="shared" si="20"/>
        <v>EP-finished SS 304/316L pipes and tubes for semiconductor plants in Catania. ASME BPE SF1-SF4, Ra from 0.25 um, EN 10204 3.1 certificate with every lot.</v>
      </c>
      <c r="AK724" s="15" t="str">
        <f t="shared" si="21"/>
        <v>Electropolished stainless steel pipes supplied by Sakshi Forge to semiconductor plants at Catania Etna Valley, Catania</v>
      </c>
      <c r="AL724" s="15" t="str">
        <f t="shared" si="22"/>
        <v>Electropolished SS 316L tube stock for Catania - Sakshi Forge</v>
      </c>
      <c r="AM724" s="15" t="str">
        <f t="shared" si="23"/>
        <v>Home &gt; Market Area &gt; Italy &gt; Sicily &gt; Catania</v>
      </c>
      <c r="AN724" s="15">
        <f t="shared" si="24"/>
        <v>1000</v>
      </c>
      <c r="AO724" s="15">
        <f t="shared" si="25"/>
        <v>8</v>
      </c>
      <c r="AP724" s="15">
        <f t="shared" si="26"/>
        <v>8</v>
      </c>
      <c r="AQ724" s="15">
        <f t="shared" si="27"/>
        <v>13</v>
      </c>
      <c r="AR724" s="31"/>
      <c r="AS724" s="31"/>
      <c r="AT724" s="35" t="s">
        <v>222</v>
      </c>
      <c r="AU724" s="35"/>
    </row>
    <row r="725" ht="15.75" customHeight="1">
      <c r="A725" s="15" t="s">
        <v>8704</v>
      </c>
      <c r="B725" s="15" t="s">
        <v>301</v>
      </c>
      <c r="C725" s="15" t="s">
        <v>6843</v>
      </c>
      <c r="D725" s="15" t="s">
        <v>8705</v>
      </c>
      <c r="E725" s="15" t="s">
        <v>8705</v>
      </c>
      <c r="F725" s="65" t="s">
        <v>788</v>
      </c>
      <c r="G725" s="17" t="s">
        <v>88</v>
      </c>
      <c r="H725" s="18" t="s">
        <v>8706</v>
      </c>
      <c r="I725" s="18" t="s">
        <v>8706</v>
      </c>
      <c r="J725" s="18" t="s">
        <v>8707</v>
      </c>
      <c r="K725" s="18" t="s">
        <v>250</v>
      </c>
      <c r="L725" s="18" t="s">
        <v>6850</v>
      </c>
      <c r="M725" s="18" t="s">
        <v>580</v>
      </c>
      <c r="N725" s="18" t="s">
        <v>378</v>
      </c>
      <c r="O725" s="18" t="s">
        <v>98</v>
      </c>
      <c r="P725" s="15" t="str">
        <f t="shared" si="1"/>
        <v>GENERAL</v>
      </c>
      <c r="Q725" s="15">
        <f t="shared" si="2"/>
        <v>2</v>
      </c>
      <c r="R725" s="15">
        <f t="shared" si="3"/>
        <v>1</v>
      </c>
      <c r="S725" s="15">
        <f t="shared" si="4"/>
        <v>2</v>
      </c>
      <c r="T725" s="15" t="str">
        <f t="shared" si="5"/>
        <v>B-2</v>
      </c>
      <c r="U725" s="15" t="str">
        <f t="shared" si="6"/>
        <v>T2-M1-H2-FB-2-GENERAL</v>
      </c>
      <c r="V725" s="15">
        <f t="shared" si="7"/>
        <v>0</v>
      </c>
      <c r="W725" s="31"/>
      <c r="X725" s="15" t="str">
        <f t="shared" si="8"/>
        <v>como-italy</v>
      </c>
      <c r="Y725" s="32" t="str">
        <f t="shared" si="9"/>
        <v>https://steelmanufacturer.in/market-area/electropolished-pipes-manufacturer-in-como-italy/</v>
      </c>
      <c r="Z725" s="15" t="str">
        <f t="shared" si="10"/>
        <v>Electropolished Pipes Manufacturer in Como - ASTM A270 &amp; ASME BPE</v>
      </c>
      <c r="AA725" s="15" t="str">
        <f t="shared" si="11"/>
        <v>OK (65)</v>
      </c>
      <c r="AB725" s="15" t="str">
        <f t="shared" si="12"/>
        <v>EP-finished SS 304/316L pipes &amp; tubes for engineering &amp; process plants in Como. ASTM A270, ASME BPE SF1-SF4, EN 10204 3.1 MTC. PMI tested.</v>
      </c>
      <c r="AC725" s="15" t="str">
        <f t="shared" si="13"/>
        <v>OK (138)</v>
      </c>
      <c r="AD725" s="15" t="str">
        <f t="shared" si="14"/>
        <v>Electropolished Pipes Manufacturer in Como</v>
      </c>
      <c r="AE725" s="15" t="str">
        <f t="shared" si="15"/>
        <v>How We Manufacture Electropolished Tube for Como Plants</v>
      </c>
      <c r="AF725" s="15" t="str">
        <f t="shared" si="16"/>
        <v>Supplying Electropolished Pipes in Como: Availability, Sizes &amp; Dispatch</v>
      </c>
      <c r="AG725" s="15" t="str">
        <f t="shared" si="17"/>
        <v>Wholesale Electropolished Pipe Supply for Como Projects</v>
      </c>
      <c r="AH725" s="15" t="str">
        <f t="shared" si="18"/>
        <v>electropolished pipes manufacturer in Como, electropolished pipes supplier in Como, electropolished pipes wholesaler in Como, electropolished tube manufacturer Como, EP pipe supplier Como, sanitary tube supplier Como, ASME BPE tubing Como, ASTM A270 tube Como, SS 316L electropolished pipe Como</v>
      </c>
      <c r="AI725" s="15" t="str">
        <f t="shared" si="19"/>
        <v>Electropolished Pipes Manufacturer &amp; Supplier in Como</v>
      </c>
      <c r="AJ725" s="15" t="str">
        <f t="shared" si="20"/>
        <v>EP-finished SS 304/316L pipes and tubes for engineering &amp; process plants in Como. ASME BPE SF1-SF4, Ra from 0.25 um, EN 10204 3.1 certificate with every lot.</v>
      </c>
      <c r="AK725" s="15" t="str">
        <f t="shared" si="21"/>
        <v>Electropolished stainless steel pipes supplied by Sakshi Forge to engineering &amp; process plants at Como Industrial District, Como</v>
      </c>
      <c r="AL725" s="15" t="str">
        <f t="shared" si="22"/>
        <v>Electropolished SS 316L tube stock for Como - Sakshi Forge</v>
      </c>
      <c r="AM725" s="15" t="str">
        <f t="shared" si="23"/>
        <v>Home &gt; Market Area &gt; Italy &gt; Lombardy &gt; Como</v>
      </c>
      <c r="AN725" s="15">
        <f t="shared" si="24"/>
        <v>1000</v>
      </c>
      <c r="AO725" s="15">
        <f t="shared" si="25"/>
        <v>8</v>
      </c>
      <c r="AP725" s="15">
        <f t="shared" si="26"/>
        <v>8</v>
      </c>
      <c r="AQ725" s="15">
        <f t="shared" si="27"/>
        <v>13</v>
      </c>
      <c r="AR725" s="31"/>
      <c r="AS725" s="31"/>
      <c r="AT725" s="35" t="s">
        <v>222</v>
      </c>
      <c r="AU725" s="35"/>
    </row>
    <row r="726" ht="15.75" customHeight="1">
      <c r="A726" s="15" t="s">
        <v>8708</v>
      </c>
      <c r="B726" s="15" t="s">
        <v>301</v>
      </c>
      <c r="C726" s="15" t="s">
        <v>6843</v>
      </c>
      <c r="D726" s="15" t="s">
        <v>8709</v>
      </c>
      <c r="E726" s="15" t="s">
        <v>8709</v>
      </c>
      <c r="F726" s="65" t="s">
        <v>788</v>
      </c>
      <c r="G726" s="17" t="s">
        <v>88</v>
      </c>
      <c r="H726" s="18" t="s">
        <v>8710</v>
      </c>
      <c r="I726" s="18" t="s">
        <v>8710</v>
      </c>
      <c r="J726" s="18" t="s">
        <v>8711</v>
      </c>
      <c r="K726" s="18" t="s">
        <v>579</v>
      </c>
      <c r="L726" s="18" t="s">
        <v>6850</v>
      </c>
      <c r="M726" s="18" t="s">
        <v>580</v>
      </c>
      <c r="N726" s="18" t="s">
        <v>378</v>
      </c>
      <c r="O726" s="18" t="s">
        <v>98</v>
      </c>
      <c r="P726" s="15" t="str">
        <f t="shared" si="1"/>
        <v>DAIRY</v>
      </c>
      <c r="Q726" s="15">
        <f t="shared" si="2"/>
        <v>3</v>
      </c>
      <c r="R726" s="15">
        <f t="shared" si="3"/>
        <v>2</v>
      </c>
      <c r="S726" s="15">
        <f t="shared" si="4"/>
        <v>3</v>
      </c>
      <c r="T726" s="15" t="str">
        <f t="shared" si="5"/>
        <v>B-3</v>
      </c>
      <c r="U726" s="15" t="str">
        <f t="shared" si="6"/>
        <v>T3-M2-H3-FB-3-DAIRY</v>
      </c>
      <c r="V726" s="15">
        <f t="shared" si="7"/>
        <v>0</v>
      </c>
      <c r="W726" s="31"/>
      <c r="X726" s="15" t="str">
        <f t="shared" si="8"/>
        <v>cremona-italy</v>
      </c>
      <c r="Y726" s="32" t="str">
        <f t="shared" si="9"/>
        <v>https://steelmanufacturer.in/market-area/electropolished-pipes-manufacturer-in-cremona-italy/</v>
      </c>
      <c r="Z726" s="15" t="str">
        <f t="shared" si="10"/>
        <v>Electropolished Pipes Manufacturer in Cremona | EP Tube Supplier</v>
      </c>
      <c r="AA726" s="15" t="str">
        <f t="shared" si="11"/>
        <v>OK (64)</v>
      </c>
      <c r="AB726" s="15" t="str">
        <f t="shared" si="12"/>
        <v>Electropolished tube supply to Cremona Industrial Zone, Cremona. Ra from 0.25 um, SF4 finish, mill test certificate with every lot.</v>
      </c>
      <c r="AC726" s="15" t="str">
        <f t="shared" si="13"/>
        <v>OK (131)</v>
      </c>
      <c r="AD726" s="15" t="str">
        <f t="shared" si="14"/>
        <v>Electropolished Pipes Manufacturer in Cremona</v>
      </c>
      <c r="AE726" s="15" t="str">
        <f t="shared" si="15"/>
        <v>Electropolished Pipes Manufacturer in Cremona - Our Process &amp; Capability</v>
      </c>
      <c r="AF726" s="15" t="str">
        <f t="shared" si="16"/>
        <v>Electropolished Pipes Supplier in Cremona - What We Hold in Stock</v>
      </c>
      <c r="AG726" s="15" t="str">
        <f t="shared" si="17"/>
        <v>Bulk &amp; Wholesale Electropolished Pipe Rates for Cremona Buyers</v>
      </c>
      <c r="AH726" s="15" t="str">
        <f t="shared" si="18"/>
        <v>electropolished pipes manufacturer in Cremona, electropolished pipes supplier in Cremona, electropolished pipes wholesaler in Cremona, electropolished tube manufacturer Cremona, EP pipe supplier Cremona, sanitary tube supplier Cremona, ASME BPE tubing Cremona, ASTM A270 tube Cremona, SS 316L electropolished pipe Cremona</v>
      </c>
      <c r="AI726" s="15" t="str">
        <f t="shared" si="19"/>
        <v>Electropolished Pipes Manufacturer &amp; Supplier in Cremona</v>
      </c>
      <c r="AJ726" s="15" t="str">
        <f t="shared" si="20"/>
        <v>EP-finished SS 304/316L pipes and tubes for food &amp; dairy plants in Cremona. ASME BPE SF1-SF4, Ra from 0.25 um, EN 10204 3.1 certificate with every lot.</v>
      </c>
      <c r="AK726" s="15" t="str">
        <f t="shared" si="21"/>
        <v>Electropolished stainless steel pipes supplied by Sakshi Forge to food &amp; dairy plants at Cremona Industrial Zone, Cremona</v>
      </c>
      <c r="AL726" s="15" t="str">
        <f t="shared" si="22"/>
        <v>Electropolished SS 316L tube stock for Cremona - Sakshi Forge</v>
      </c>
      <c r="AM726" s="15" t="str">
        <f t="shared" si="23"/>
        <v>Home &gt; Market Area &gt; Italy &gt; Lombardy &gt; Cremona</v>
      </c>
      <c r="AN726" s="15">
        <f t="shared" si="24"/>
        <v>1000</v>
      </c>
      <c r="AO726" s="15">
        <f t="shared" si="25"/>
        <v>8</v>
      </c>
      <c r="AP726" s="15">
        <f t="shared" si="26"/>
        <v>8</v>
      </c>
      <c r="AQ726" s="15">
        <f t="shared" si="27"/>
        <v>13</v>
      </c>
      <c r="AR726" s="31"/>
      <c r="AS726" s="31"/>
      <c r="AT726" s="35" t="s">
        <v>222</v>
      </c>
      <c r="AU726" s="35"/>
    </row>
    <row r="727" ht="15.75" customHeight="1">
      <c r="A727" s="15" t="s">
        <v>8712</v>
      </c>
      <c r="B727" s="15" t="s">
        <v>301</v>
      </c>
      <c r="C727" s="15" t="s">
        <v>6870</v>
      </c>
      <c r="D727" s="15" t="s">
        <v>8713</v>
      </c>
      <c r="E727" s="15" t="s">
        <v>8713</v>
      </c>
      <c r="F727" s="65" t="s">
        <v>788</v>
      </c>
      <c r="G727" s="17" t="s">
        <v>88</v>
      </c>
      <c r="H727" s="18" t="s">
        <v>8714</v>
      </c>
      <c r="I727" s="18" t="s">
        <v>8714</v>
      </c>
      <c r="J727" s="18" t="s">
        <v>8715</v>
      </c>
      <c r="K727" s="18" t="s">
        <v>94</v>
      </c>
      <c r="L727" s="18" t="s">
        <v>6877</v>
      </c>
      <c r="M727" s="18" t="s">
        <v>580</v>
      </c>
      <c r="N727" s="18" t="s">
        <v>378</v>
      </c>
      <c r="O727" s="18" t="s">
        <v>98</v>
      </c>
      <c r="P727" s="15" t="str">
        <f t="shared" si="1"/>
        <v>FOOD</v>
      </c>
      <c r="Q727" s="15">
        <f t="shared" si="2"/>
        <v>4</v>
      </c>
      <c r="R727" s="15">
        <f t="shared" si="3"/>
        <v>3</v>
      </c>
      <c r="S727" s="15">
        <f t="shared" si="4"/>
        <v>4</v>
      </c>
      <c r="T727" s="15" t="str">
        <f t="shared" si="5"/>
        <v>B-4</v>
      </c>
      <c r="U727" s="15" t="str">
        <f t="shared" si="6"/>
        <v>T4-M3-H4-FB-4-FOOD</v>
      </c>
      <c r="V727" s="15">
        <f t="shared" si="7"/>
        <v>0</v>
      </c>
      <c r="W727" s="31"/>
      <c r="X727" s="15" t="str">
        <f t="shared" si="8"/>
        <v>ferrara-italy</v>
      </c>
      <c r="Y727" s="32" t="str">
        <f t="shared" si="9"/>
        <v>https://steelmanufacturer.in/market-area/electropolished-pipes-manufacturer-in-ferrara-italy/</v>
      </c>
      <c r="Z727" s="15" t="str">
        <f t="shared" si="10"/>
        <v>Electropolished Pipes Manufacturer in Ferrara</v>
      </c>
      <c r="AA727" s="15" t="str">
        <f t="shared" si="11"/>
        <v>OK (45)</v>
      </c>
      <c r="AB727" s="15" t="str">
        <f t="shared" si="12"/>
        <v>EP stainless tube for food processing lines in Ferrara. 18-24 days sea from Nhava Sheva to Genoa. ASTM A270 S2, PMI tested, EN 10204 3.1.</v>
      </c>
      <c r="AC727" s="15" t="str">
        <f t="shared" si="13"/>
        <v>OK (137)</v>
      </c>
      <c r="AD727" s="15" t="str">
        <f t="shared" si="14"/>
        <v>Electropolished Pipes Manufacturer in Ferrara</v>
      </c>
      <c r="AE727" s="15" t="str">
        <f t="shared" si="15"/>
        <v>Manufacturing Electropolished SS Tube for Ferrara: The Standards We Build To</v>
      </c>
      <c r="AF727" s="15" t="str">
        <f t="shared" si="16"/>
        <v>Electropolished Pipe Supply Into Ferrara - Certification &amp; Transit</v>
      </c>
      <c r="AG727" s="15" t="str">
        <f t="shared" si="17"/>
        <v>Electropolished Pipes Wholesaler in Ferrara - Project Quantities &amp; Terms</v>
      </c>
      <c r="AH727" s="15" t="str">
        <f t="shared" si="18"/>
        <v>electropolished pipes manufacturer in Ferrara, electropolished pipes supplier in Ferrara, electropolished pipes wholesaler in Ferrara, electropolished tube manufacturer Ferrara, EP pipe supplier Ferrara, sanitary tube supplier Ferrara, ASME BPE tubing Ferrara, ASTM A270 tube Ferrara, SS 316L electropolished pipe Ferrara</v>
      </c>
      <c r="AI727" s="15" t="str">
        <f t="shared" si="19"/>
        <v>Electropolished Pipes Manufacturer &amp; Supplier in Ferrara</v>
      </c>
      <c r="AJ727" s="15" t="str">
        <f t="shared" si="20"/>
        <v>EP-finished SS 304/316L pipes and tubes for food processing plants in Ferrara. ASME BPE SF1-SF4, Ra from 0.25 um, EN 10204 3.1 certificate with every lot.</v>
      </c>
      <c r="AK727" s="15" t="str">
        <f t="shared" si="21"/>
        <v>Electropolished stainless steel pipes supplied by Sakshi Forge to food processing plants at Ferrara Petrolchimico Industrial, Ferrara</v>
      </c>
      <c r="AL727" s="15" t="str">
        <f t="shared" si="22"/>
        <v>Electropolished SS 316L tube stock for Ferrara - Sakshi Forge</v>
      </c>
      <c r="AM727" s="15" t="str">
        <f t="shared" si="23"/>
        <v>Home &gt; Market Area &gt; Italy &gt; Emilia-Romagna &gt; Ferrara</v>
      </c>
      <c r="AN727" s="15">
        <f t="shared" si="24"/>
        <v>1000</v>
      </c>
      <c r="AO727" s="15">
        <f t="shared" si="25"/>
        <v>8</v>
      </c>
      <c r="AP727" s="15">
        <f t="shared" si="26"/>
        <v>8</v>
      </c>
      <c r="AQ727" s="15">
        <f t="shared" si="27"/>
        <v>13</v>
      </c>
      <c r="AR727" s="31"/>
      <c r="AS727" s="31"/>
      <c r="AT727" s="35" t="s">
        <v>222</v>
      </c>
      <c r="AU727" s="35"/>
    </row>
    <row r="728" ht="15.75" customHeight="1">
      <c r="A728" s="15" t="s">
        <v>8716</v>
      </c>
      <c r="B728" s="15" t="s">
        <v>301</v>
      </c>
      <c r="C728" s="15" t="s">
        <v>8717</v>
      </c>
      <c r="D728" s="15" t="s">
        <v>8718</v>
      </c>
      <c r="E728" s="15" t="s">
        <v>8718</v>
      </c>
      <c r="F728" s="65" t="s">
        <v>788</v>
      </c>
      <c r="G728" s="17" t="s">
        <v>88</v>
      </c>
      <c r="H728" s="18" t="s">
        <v>8719</v>
      </c>
      <c r="I728" s="18" t="s">
        <v>8720</v>
      </c>
      <c r="J728" s="18" t="s">
        <v>8721</v>
      </c>
      <c r="K728" s="18" t="s">
        <v>229</v>
      </c>
      <c r="L728" s="18" t="s">
        <v>8722</v>
      </c>
      <c r="M728" s="18" t="s">
        <v>580</v>
      </c>
      <c r="N728" s="18" t="s">
        <v>378</v>
      </c>
      <c r="O728" s="18" t="s">
        <v>98</v>
      </c>
      <c r="P728" s="15" t="str">
        <f t="shared" si="1"/>
        <v>PHARMA</v>
      </c>
      <c r="Q728" s="15">
        <f t="shared" si="2"/>
        <v>5</v>
      </c>
      <c r="R728" s="15">
        <f t="shared" si="3"/>
        <v>4</v>
      </c>
      <c r="S728" s="15">
        <f t="shared" si="4"/>
        <v>5</v>
      </c>
      <c r="T728" s="15" t="str">
        <f t="shared" si="5"/>
        <v>B-5</v>
      </c>
      <c r="U728" s="15" t="str">
        <f t="shared" si="6"/>
        <v>T5-M4-H5-FB-5-PHARMA</v>
      </c>
      <c r="V728" s="15">
        <f t="shared" si="7"/>
        <v>0</v>
      </c>
      <c r="W728" s="31"/>
      <c r="X728" s="15" t="str">
        <f t="shared" si="8"/>
        <v>florence-italy</v>
      </c>
      <c r="Y728" s="32" t="str">
        <f t="shared" si="9"/>
        <v>https://steelmanufacturer.in/market-area/electropolished-pipes-manufacturer-in-florence-italy/</v>
      </c>
      <c r="Z728" s="15" t="str">
        <f t="shared" si="10"/>
        <v>Electropolished Pipes Manufacturer in Florence</v>
      </c>
      <c r="AA728" s="15" t="str">
        <f t="shared" si="11"/>
        <v>OK (46)</v>
      </c>
      <c r="AB728" s="15" t="str">
        <f t="shared" si="12"/>
        <v>Sanitary electropolished pipes in Florence for pharma plants. ASME BPE SF1-SF4, orbital-weld ready, 3.1 MTC. Mumbai-made.</v>
      </c>
      <c r="AC728" s="15" t="str">
        <f t="shared" si="13"/>
        <v>OK (121)</v>
      </c>
      <c r="AD728" s="15" t="str">
        <f t="shared" si="14"/>
        <v>Electropolished Pipes Manufacturer in Florence</v>
      </c>
      <c r="AE728" s="15" t="str">
        <f t="shared" si="15"/>
        <v>Electropolished Tube Manufacturing Capability Serving Florence</v>
      </c>
      <c r="AF728" s="15" t="str">
        <f t="shared" si="16"/>
        <v>Electropolished Pipes Supplier in Florence - From Order to Delivery</v>
      </c>
      <c r="AG728" s="15" t="str">
        <f t="shared" si="17"/>
        <v>Stockist &amp; Wholesale Supply of Electropolished Pipes in Florence</v>
      </c>
      <c r="AH728" s="15" t="str">
        <f t="shared" si="18"/>
        <v>electropolished pipes manufacturer in Florence, electropolished pipes supplier in Florence, electropolished pipes wholesaler in Florence, electropolished tube manufacturer Florence, EP pipe supplier Florence, sanitary tube supplier Florence, ASME BPE tubing Florence, ASTM A270 tube Florence, SS 316L electropolished pipe Florence</v>
      </c>
      <c r="AI728" s="15" t="str">
        <f t="shared" si="19"/>
        <v>Electropolished Pipes Manufacturer &amp; Supplier in Florence</v>
      </c>
      <c r="AJ728" s="15" t="str">
        <f t="shared" si="20"/>
        <v>EP-finished SS 304/316L pipes and tubes for pharma plants in Florence. ASME BPE SF1-SF4, Ra from 0.25 um, EN 10204 3.1 certificate with every lot.</v>
      </c>
      <c r="AK728" s="15" t="str">
        <f t="shared" si="21"/>
        <v>Electropolished stainless steel pipes supplied by Sakshi Forge to pharma plants at Osmannoro Industrial, Florence</v>
      </c>
      <c r="AL728" s="15" t="str">
        <f t="shared" si="22"/>
        <v>Electropolished SS 316L tube stock for Florence - Sakshi Forge</v>
      </c>
      <c r="AM728" s="15" t="str">
        <f t="shared" si="23"/>
        <v>Home &gt; Market Area &gt; Italy &gt; Tuscany &gt; Florence</v>
      </c>
      <c r="AN728" s="15">
        <f t="shared" si="24"/>
        <v>1000</v>
      </c>
      <c r="AO728" s="15">
        <f t="shared" si="25"/>
        <v>8</v>
      </c>
      <c r="AP728" s="15">
        <f t="shared" si="26"/>
        <v>8</v>
      </c>
      <c r="AQ728" s="15">
        <f t="shared" si="27"/>
        <v>13</v>
      </c>
      <c r="AR728" s="31"/>
      <c r="AS728" s="31"/>
      <c r="AT728" s="35" t="s">
        <v>222</v>
      </c>
      <c r="AU728" s="35"/>
    </row>
    <row r="729" ht="15.75" customHeight="1">
      <c r="A729" s="15" t="s">
        <v>8723</v>
      </c>
      <c r="B729" s="15" t="s">
        <v>301</v>
      </c>
      <c r="C729" s="15" t="s">
        <v>8724</v>
      </c>
      <c r="D729" s="15" t="s">
        <v>8725</v>
      </c>
      <c r="E729" s="15" t="s">
        <v>8725</v>
      </c>
      <c r="F729" s="65" t="s">
        <v>788</v>
      </c>
      <c r="G729" s="17" t="s">
        <v>88</v>
      </c>
      <c r="H729" s="18" t="s">
        <v>8726</v>
      </c>
      <c r="I729" s="18" t="s">
        <v>8727</v>
      </c>
      <c r="J729" s="18" t="s">
        <v>8728</v>
      </c>
      <c r="K729" s="18" t="s">
        <v>271</v>
      </c>
      <c r="L729" s="18" t="s">
        <v>6850</v>
      </c>
      <c r="M729" s="18" t="s">
        <v>580</v>
      </c>
      <c r="N729" s="18" t="s">
        <v>378</v>
      </c>
      <c r="O729" s="18" t="s">
        <v>98</v>
      </c>
      <c r="P729" s="15" t="str">
        <f t="shared" si="1"/>
        <v>CHEM</v>
      </c>
      <c r="Q729" s="15">
        <f t="shared" si="2"/>
        <v>6</v>
      </c>
      <c r="R729" s="15">
        <f t="shared" si="3"/>
        <v>5</v>
      </c>
      <c r="S729" s="15">
        <f t="shared" si="4"/>
        <v>1</v>
      </c>
      <c r="T729" s="15" t="str">
        <f t="shared" si="5"/>
        <v>B-6</v>
      </c>
      <c r="U729" s="15" t="str">
        <f t="shared" si="6"/>
        <v>T6-M5-H1-FB-6-CHEM</v>
      </c>
      <c r="V729" s="15">
        <f t="shared" si="7"/>
        <v>0</v>
      </c>
      <c r="W729" s="31"/>
      <c r="X729" s="15" t="str">
        <f t="shared" si="8"/>
        <v>genoa-italy</v>
      </c>
      <c r="Y729" s="32" t="str">
        <f t="shared" si="9"/>
        <v>https://steelmanufacturer.in/market-area/electropolished-pipes-manufacturer-in-genoa-italy/</v>
      </c>
      <c r="Z729" s="15" t="str">
        <f t="shared" si="10"/>
        <v>Electropolished Pipes Manufacturer in Genoa</v>
      </c>
      <c r="AA729" s="15" t="str">
        <f t="shared" si="11"/>
        <v>OK (43)</v>
      </c>
      <c r="AB729" s="15" t="str">
        <f t="shared" si="12"/>
        <v>Manufacturer of electropolished SS 316L tube serving Genoa. 18-24 days sea from Nhava Sheva to Genoa. Ra 0.25-0.5 um, EN 10204 3.1 MTC.</v>
      </c>
      <c r="AC729" s="15" t="str">
        <f t="shared" si="13"/>
        <v>OK (135)</v>
      </c>
      <c r="AD729" s="15" t="str">
        <f t="shared" si="14"/>
        <v>Electropolished Pipes Manufacturer in Genoa</v>
      </c>
      <c r="AE729" s="15" t="str">
        <f t="shared" si="15"/>
        <v>Electropolished Pipe &amp; Tube Manufacturing for Genoa - Grades, Finishes &amp; Certification</v>
      </c>
      <c r="AF729" s="15" t="str">
        <f t="shared" si="16"/>
        <v>Electropolished Pipes Supplier in Genoa - Stock Sizes, Lead Time &amp; Delivery</v>
      </c>
      <c r="AG729" s="15" t="str">
        <f t="shared" si="17"/>
        <v>Electropolished Pipes Wholesaler &amp; Stockist in Genoa - Bulk &amp; Project Pricing</v>
      </c>
      <c r="AH729" s="15" t="str">
        <f t="shared" si="18"/>
        <v>electropolished pipes manufacturer in Genoa, electropolished pipes supplier in Genoa, electropolished pipes wholesaler in Genoa, electropolished tube manufacturer Genoa, EP pipe supplier Genoa, sanitary tube supplier Genoa, ASME BPE tubing Genoa, ASTM A270 tube Genoa, SS 316L electropolished pipe Genoa</v>
      </c>
      <c r="AI729" s="15" t="str">
        <f t="shared" si="19"/>
        <v>Electropolished Pipes Manufacturer &amp; Supplier in Genoa</v>
      </c>
      <c r="AJ729" s="15" t="str">
        <f t="shared" si="20"/>
        <v>EP-finished SS 304/316L pipes and tubes for chemical plants in Genoa. ASME BPE SF1-SF4, Ra from 0.25 um, EN 10204 3.1 certificate with every lot.</v>
      </c>
      <c r="AK729" s="15" t="str">
        <f t="shared" si="21"/>
        <v>Electropolished stainless steel pipes supplied by Sakshi Forge to chemical plants at Genoa Industrial Port Area, Genoa</v>
      </c>
      <c r="AL729" s="15" t="str">
        <f t="shared" si="22"/>
        <v>Electropolished SS 316L tube stock for Genoa - Sakshi Forge</v>
      </c>
      <c r="AM729" s="15" t="str">
        <f t="shared" si="23"/>
        <v>Home &gt; Market Area &gt; Italy &gt; Liguria &gt; Genoa</v>
      </c>
      <c r="AN729" s="15">
        <f t="shared" si="24"/>
        <v>1000</v>
      </c>
      <c r="AO729" s="15">
        <f t="shared" si="25"/>
        <v>8</v>
      </c>
      <c r="AP729" s="15">
        <f t="shared" si="26"/>
        <v>8</v>
      </c>
      <c r="AQ729" s="15">
        <f t="shared" si="27"/>
        <v>13</v>
      </c>
      <c r="AR729" s="31"/>
      <c r="AS729" s="31"/>
      <c r="AT729" s="35" t="s">
        <v>222</v>
      </c>
      <c r="AU729" s="35"/>
    </row>
    <row r="730" ht="15.75" customHeight="1">
      <c r="A730" s="15" t="s">
        <v>8729</v>
      </c>
      <c r="B730" s="15" t="s">
        <v>301</v>
      </c>
      <c r="C730" s="15" t="s">
        <v>6843</v>
      </c>
      <c r="D730" s="15" t="s">
        <v>8730</v>
      </c>
      <c r="E730" s="15" t="s">
        <v>8730</v>
      </c>
      <c r="F730" s="65" t="s">
        <v>788</v>
      </c>
      <c r="G730" s="17" t="s">
        <v>88</v>
      </c>
      <c r="H730" s="18" t="s">
        <v>8731</v>
      </c>
      <c r="I730" s="18" t="s">
        <v>8731</v>
      </c>
      <c r="J730" s="18" t="s">
        <v>8732</v>
      </c>
      <c r="K730" s="18" t="s">
        <v>94</v>
      </c>
      <c r="L730" s="18" t="s">
        <v>6850</v>
      </c>
      <c r="M730" s="18" t="s">
        <v>580</v>
      </c>
      <c r="N730" s="18" t="s">
        <v>378</v>
      </c>
      <c r="O730" s="18" t="s">
        <v>98</v>
      </c>
      <c r="P730" s="15" t="str">
        <f t="shared" si="1"/>
        <v>FOOD</v>
      </c>
      <c r="Q730" s="15">
        <f t="shared" si="2"/>
        <v>7</v>
      </c>
      <c r="R730" s="15">
        <f t="shared" si="3"/>
        <v>6</v>
      </c>
      <c r="S730" s="15">
        <f t="shared" si="4"/>
        <v>2</v>
      </c>
      <c r="T730" s="15" t="str">
        <f t="shared" si="5"/>
        <v>B-1</v>
      </c>
      <c r="U730" s="15" t="str">
        <f t="shared" si="6"/>
        <v>T7-M6-H2-FB-1-FOOD</v>
      </c>
      <c r="V730" s="15">
        <f t="shared" si="7"/>
        <v>0</v>
      </c>
      <c r="W730" s="31"/>
      <c r="X730" s="15" t="str">
        <f t="shared" si="8"/>
        <v>monza-italy</v>
      </c>
      <c r="Y730" s="32" t="str">
        <f t="shared" si="9"/>
        <v>https://steelmanufacturer.in/market-area/electropolished-pipes-manufacturer-in-monza-italy/</v>
      </c>
      <c r="Z730" s="15" t="str">
        <f t="shared" si="10"/>
        <v>Electropolished Pipes Manufacturer in Monza | ASME BPE SF1-SF4</v>
      </c>
      <c r="AA730" s="15" t="str">
        <f t="shared" si="11"/>
        <v>OK (62)</v>
      </c>
      <c r="AB730" s="15" t="str">
        <f t="shared" si="12"/>
        <v>EP tube and pipe for food processing plants around Monza Brianza Industrial District, Monza. ASTM A270, ASME BPE SF1-SF4, EN 10204 3.1 MTC.</v>
      </c>
      <c r="AC730" s="15" t="str">
        <f t="shared" si="13"/>
        <v>OK (139)</v>
      </c>
      <c r="AD730" s="15" t="str">
        <f t="shared" si="14"/>
        <v>Electropolished Pipes Manufacturer in Monza</v>
      </c>
      <c r="AE730" s="15" t="str">
        <f t="shared" si="15"/>
        <v>How We Manufacture Electropolished Tube for Monza Plants</v>
      </c>
      <c r="AF730" s="15" t="str">
        <f t="shared" si="16"/>
        <v>Supplying Electropolished Pipes in Monza: Availability, Sizes &amp; Dispatch</v>
      </c>
      <c r="AG730" s="15" t="str">
        <f t="shared" si="17"/>
        <v>Wholesale Electropolished Pipe Supply for Monza Projects</v>
      </c>
      <c r="AH730" s="15" t="str">
        <f t="shared" si="18"/>
        <v>electropolished pipes manufacturer in Monza, electropolished pipes supplier in Monza, electropolished pipes wholesaler in Monza, electropolished tube manufacturer Monza, EP pipe supplier Monza, sanitary tube supplier Monza, ASME BPE tubing Monza, ASTM A270 tube Monza, SS 316L electropolished pipe Monza</v>
      </c>
      <c r="AI730" s="15" t="str">
        <f t="shared" si="19"/>
        <v>Electropolished Pipes Manufacturer &amp; Supplier in Monza</v>
      </c>
      <c r="AJ730" s="15" t="str">
        <f t="shared" si="20"/>
        <v>EP-finished SS 304/316L pipes and tubes for food processing plants in Monza. ASME BPE SF1-SF4, Ra from 0.25 um, EN 10204 3.1 certificate with every lot.</v>
      </c>
      <c r="AK730" s="15" t="str">
        <f t="shared" si="21"/>
        <v>Electropolished stainless steel pipes supplied by Sakshi Forge to food processing plants at Monza Brianza Industrial District, Monza</v>
      </c>
      <c r="AL730" s="15" t="str">
        <f t="shared" si="22"/>
        <v>Electropolished SS 316L tube stock for Monza - Sakshi Forge</v>
      </c>
      <c r="AM730" s="15" t="str">
        <f t="shared" si="23"/>
        <v>Home &gt; Market Area &gt; Italy &gt; Lombardy &gt; Monza</v>
      </c>
      <c r="AN730" s="15">
        <f t="shared" si="24"/>
        <v>1000</v>
      </c>
      <c r="AO730" s="15">
        <f t="shared" si="25"/>
        <v>8</v>
      </c>
      <c r="AP730" s="15">
        <f t="shared" si="26"/>
        <v>8</v>
      </c>
      <c r="AQ730" s="15">
        <f t="shared" si="27"/>
        <v>13</v>
      </c>
      <c r="AR730" s="31"/>
      <c r="AS730" s="31"/>
      <c r="AT730" s="35" t="s">
        <v>222</v>
      </c>
      <c r="AU730" s="35"/>
    </row>
    <row r="731" ht="15.75" customHeight="1">
      <c r="A731" s="15" t="s">
        <v>8733</v>
      </c>
      <c r="B731" s="15" t="s">
        <v>301</v>
      </c>
      <c r="C731" s="15" t="s">
        <v>8734</v>
      </c>
      <c r="D731" s="15" t="s">
        <v>8735</v>
      </c>
      <c r="E731" s="15" t="s">
        <v>8735</v>
      </c>
      <c r="F731" s="65" t="s">
        <v>788</v>
      </c>
      <c r="G731" s="17" t="s">
        <v>88</v>
      </c>
      <c r="H731" s="18" t="s">
        <v>8736</v>
      </c>
      <c r="I731" s="18" t="s">
        <v>8737</v>
      </c>
      <c r="J731" s="18" t="s">
        <v>8390</v>
      </c>
      <c r="K731" s="18" t="s">
        <v>229</v>
      </c>
      <c r="L731" s="18" t="s">
        <v>8738</v>
      </c>
      <c r="M731" s="18" t="s">
        <v>580</v>
      </c>
      <c r="N731" s="18" t="s">
        <v>378</v>
      </c>
      <c r="O731" s="18" t="s">
        <v>98</v>
      </c>
      <c r="P731" s="15" t="str">
        <f t="shared" si="1"/>
        <v>PHARMA</v>
      </c>
      <c r="Q731" s="15">
        <f t="shared" si="2"/>
        <v>8</v>
      </c>
      <c r="R731" s="15">
        <f t="shared" si="3"/>
        <v>7</v>
      </c>
      <c r="S731" s="15">
        <f t="shared" si="4"/>
        <v>3</v>
      </c>
      <c r="T731" s="15" t="str">
        <f t="shared" si="5"/>
        <v>B-2</v>
      </c>
      <c r="U731" s="15" t="str">
        <f t="shared" si="6"/>
        <v>T8-M7-H3-FB-2-PHARMA</v>
      </c>
      <c r="V731" s="15">
        <f t="shared" si="7"/>
        <v>0</v>
      </c>
      <c r="W731" s="31"/>
      <c r="X731" s="15" t="str">
        <f t="shared" si="8"/>
        <v>naples-italy</v>
      </c>
      <c r="Y731" s="32" t="str">
        <f t="shared" si="9"/>
        <v>https://steelmanufacturer.in/market-area/electropolished-pipes-manufacturer-in-naples-italy/</v>
      </c>
      <c r="Z731" s="15" t="str">
        <f t="shared" si="10"/>
        <v>Electropolished Pipes Manufacturer in Naples - EP Tube Stockist</v>
      </c>
      <c r="AA731" s="15" t="str">
        <f t="shared" si="11"/>
        <v>OK (63)</v>
      </c>
      <c r="AB731" s="15" t="str">
        <f t="shared" si="12"/>
        <v>Electropolished pipes in Naples: 304, 304L, 316 and 316L in SF1-SF4. 18-24 days sea from Nhava Sheva to Genoa. Mill certified.</v>
      </c>
      <c r="AC731" s="15" t="str">
        <f t="shared" si="13"/>
        <v>OK (126)</v>
      </c>
      <c r="AD731" s="15" t="str">
        <f t="shared" si="14"/>
        <v>Electropolished Pipes Manufacturer in Naples</v>
      </c>
      <c r="AE731" s="15" t="str">
        <f t="shared" si="15"/>
        <v>Electropolished Pipes Manufacturer in Naples - Our Process &amp; Capability</v>
      </c>
      <c r="AF731" s="15" t="str">
        <f t="shared" si="16"/>
        <v>Electropolished Pipes Supplier in Naples - What We Hold in Stock</v>
      </c>
      <c r="AG731" s="15" t="str">
        <f t="shared" si="17"/>
        <v>Bulk &amp; Wholesale Electropolished Pipe Rates for Naples Buyers</v>
      </c>
      <c r="AH731" s="15" t="str">
        <f t="shared" si="18"/>
        <v>electropolished pipes manufacturer in Naples, electropolished pipes supplier in Naples, electropolished pipes wholesaler in Naples, electropolished tube manufacturer Naples, EP pipe supplier Naples, sanitary tube supplier Naples, ASME BPE tubing Naples, ASTM A270 tube Naples, SS 316L electropolished pipe Naples</v>
      </c>
      <c r="AI731" s="15" t="str">
        <f t="shared" si="19"/>
        <v>Electropolished Pipes Manufacturer &amp; Supplier in Naples</v>
      </c>
      <c r="AJ731" s="15" t="str">
        <f t="shared" si="20"/>
        <v>EP-finished SS 304/316L pipes and tubes for pharma plants in Naples. ASME BPE SF1-SF4, Ra from 0.25 um, EN 10204 3.1 certificate with every lot.</v>
      </c>
      <c r="AK731" s="15" t="str">
        <f t="shared" si="21"/>
        <v>Electropolished stainless steel pipes supplied by Sakshi Forge to pharma plants at Nola Interporto, Naples</v>
      </c>
      <c r="AL731" s="15" t="str">
        <f t="shared" si="22"/>
        <v>Electropolished SS 316L tube stock for Naples - Sakshi Forge</v>
      </c>
      <c r="AM731" s="15" t="str">
        <f t="shared" si="23"/>
        <v>Home &gt; Market Area &gt; Italy &gt; Campania &gt; Naples</v>
      </c>
      <c r="AN731" s="15">
        <f t="shared" si="24"/>
        <v>1000</v>
      </c>
      <c r="AO731" s="15">
        <f t="shared" si="25"/>
        <v>8</v>
      </c>
      <c r="AP731" s="15">
        <f t="shared" si="26"/>
        <v>8</v>
      </c>
      <c r="AQ731" s="15">
        <f t="shared" si="27"/>
        <v>13</v>
      </c>
      <c r="AR731" s="31"/>
      <c r="AS731" s="31"/>
      <c r="AT731" s="35" t="s">
        <v>222</v>
      </c>
      <c r="AU731" s="35"/>
    </row>
    <row r="732" ht="15.75" customHeight="1">
      <c r="A732" s="15" t="s">
        <v>8739</v>
      </c>
      <c r="B732" s="15" t="s">
        <v>301</v>
      </c>
      <c r="C732" s="15" t="s">
        <v>6843</v>
      </c>
      <c r="D732" s="15" t="s">
        <v>8740</v>
      </c>
      <c r="E732" s="15" t="s">
        <v>8740</v>
      </c>
      <c r="F732" s="65" t="s">
        <v>788</v>
      </c>
      <c r="G732" s="17" t="s">
        <v>88</v>
      </c>
      <c r="H732" s="18" t="s">
        <v>8741</v>
      </c>
      <c r="I732" s="18" t="s">
        <v>8741</v>
      </c>
      <c r="J732" s="18" t="s">
        <v>8742</v>
      </c>
      <c r="K732" s="18" t="s">
        <v>229</v>
      </c>
      <c r="L732" s="18" t="s">
        <v>6850</v>
      </c>
      <c r="M732" s="18" t="s">
        <v>580</v>
      </c>
      <c r="N732" s="18" t="s">
        <v>378</v>
      </c>
      <c r="O732" s="18" t="s">
        <v>98</v>
      </c>
      <c r="P732" s="15" t="str">
        <f t="shared" si="1"/>
        <v>PHARMA</v>
      </c>
      <c r="Q732" s="15">
        <f t="shared" si="2"/>
        <v>1</v>
      </c>
      <c r="R732" s="15">
        <f t="shared" si="3"/>
        <v>1</v>
      </c>
      <c r="S732" s="15">
        <f t="shared" si="4"/>
        <v>4</v>
      </c>
      <c r="T732" s="15" t="str">
        <f t="shared" si="5"/>
        <v>B-3</v>
      </c>
      <c r="U732" s="15" t="str">
        <f t="shared" si="6"/>
        <v>T1-M1-H4-FB-3-PHARMA</v>
      </c>
      <c r="V732" s="15">
        <f t="shared" si="7"/>
        <v>0</v>
      </c>
      <c r="W732" s="31"/>
      <c r="X732" s="15" t="str">
        <f t="shared" si="8"/>
        <v>pavia-italy</v>
      </c>
      <c r="Y732" s="32" t="str">
        <f t="shared" si="9"/>
        <v>https://steelmanufacturer.in/market-area/electropolished-pipes-manufacturer-in-pavia-italy/</v>
      </c>
      <c r="Z732" s="15" t="str">
        <f t="shared" si="10"/>
        <v>Electropolished Pipes Manufacturer in Pavia | Sakshi Forge</v>
      </c>
      <c r="AA732" s="15" t="str">
        <f t="shared" si="11"/>
        <v>OK (58)</v>
      </c>
      <c r="AB732" s="15" t="str">
        <f t="shared" si="12"/>
        <v>EP-finished SS 304/316L pipes &amp; tubes for pharma plants in Pavia. ASTM A270, ASME BPE SF1-SF4, EN 10204 3.1 MTC. PMI tested.</v>
      </c>
      <c r="AC732" s="15" t="str">
        <f t="shared" si="13"/>
        <v>OK (124)</v>
      </c>
      <c r="AD732" s="15" t="str">
        <f t="shared" si="14"/>
        <v>Electropolished Pipes Manufacturer in Pavia</v>
      </c>
      <c r="AE732" s="15" t="str">
        <f t="shared" si="15"/>
        <v>Manufacturing Electropolished SS Tube for Pavia: The Standards We Build To</v>
      </c>
      <c r="AF732" s="15" t="str">
        <f t="shared" si="16"/>
        <v>Electropolished Pipe Supply Into Pavia - Certification &amp; Transit</v>
      </c>
      <c r="AG732" s="15" t="str">
        <f t="shared" si="17"/>
        <v>Electropolished Pipes Wholesaler in Pavia - Project Quantities &amp; Terms</v>
      </c>
      <c r="AH732" s="15" t="str">
        <f t="shared" si="18"/>
        <v>electropolished pipes manufacturer in Pavia, electropolished pipes supplier in Pavia, electropolished pipes wholesaler in Pavia, electropolished tube manufacturer Pavia, EP pipe supplier Pavia, sanitary tube supplier Pavia, ASME BPE tubing Pavia, ASTM A270 tube Pavia, SS 316L electropolished pipe Pavia</v>
      </c>
      <c r="AI732" s="15" t="str">
        <f t="shared" si="19"/>
        <v>Electropolished Pipes Manufacturer &amp; Supplier in Pavia</v>
      </c>
      <c r="AJ732" s="15" t="str">
        <f t="shared" si="20"/>
        <v>EP-finished SS 304/316L pipes and tubes for pharma plants in Pavia. ASME BPE SF1-SF4, Ra from 0.25 um, EN 10204 3.1 certificate with every lot.</v>
      </c>
      <c r="AK732" s="15" t="str">
        <f t="shared" si="21"/>
        <v>Electropolished stainless steel pipes supplied by Sakshi Forge to pharma plants at Pavia Industrial District, Pavia</v>
      </c>
      <c r="AL732" s="15" t="str">
        <f t="shared" si="22"/>
        <v>Electropolished SS 316L tube stock for Pavia - Sakshi Forge</v>
      </c>
      <c r="AM732" s="15" t="str">
        <f t="shared" si="23"/>
        <v>Home &gt; Market Area &gt; Italy &gt; Lombardy &gt; Pavia</v>
      </c>
      <c r="AN732" s="15">
        <f t="shared" si="24"/>
        <v>1000</v>
      </c>
      <c r="AO732" s="15">
        <f t="shared" si="25"/>
        <v>8</v>
      </c>
      <c r="AP732" s="15">
        <f t="shared" si="26"/>
        <v>8</v>
      </c>
      <c r="AQ732" s="15">
        <f t="shared" si="27"/>
        <v>13</v>
      </c>
      <c r="AR732" s="31"/>
      <c r="AS732" s="31"/>
      <c r="AT732" s="35" t="s">
        <v>222</v>
      </c>
      <c r="AU732" s="35"/>
    </row>
    <row r="733" ht="15.75" customHeight="1">
      <c r="A733" s="15" t="s">
        <v>8743</v>
      </c>
      <c r="B733" s="15" t="s">
        <v>301</v>
      </c>
      <c r="C733" s="15" t="s">
        <v>8744</v>
      </c>
      <c r="D733" s="15" t="s">
        <v>8745</v>
      </c>
      <c r="E733" s="15" t="s">
        <v>8745</v>
      </c>
      <c r="F733" s="65" t="s">
        <v>788</v>
      </c>
      <c r="G733" s="17" t="s">
        <v>88</v>
      </c>
      <c r="H733" s="18" t="s">
        <v>8746</v>
      </c>
      <c r="I733" s="18" t="s">
        <v>8747</v>
      </c>
      <c r="J733" s="18" t="s">
        <v>8748</v>
      </c>
      <c r="K733" s="18" t="s">
        <v>94</v>
      </c>
      <c r="L733" s="18" t="s">
        <v>8722</v>
      </c>
      <c r="M733" s="18" t="s">
        <v>580</v>
      </c>
      <c r="N733" s="18" t="s">
        <v>378</v>
      </c>
      <c r="O733" s="18" t="s">
        <v>98</v>
      </c>
      <c r="P733" s="15" t="str">
        <f t="shared" si="1"/>
        <v>FOOD</v>
      </c>
      <c r="Q733" s="15">
        <f t="shared" si="2"/>
        <v>2</v>
      </c>
      <c r="R733" s="15">
        <f t="shared" si="3"/>
        <v>2</v>
      </c>
      <c r="S733" s="15">
        <f t="shared" si="4"/>
        <v>5</v>
      </c>
      <c r="T733" s="15" t="str">
        <f t="shared" si="5"/>
        <v>B-4</v>
      </c>
      <c r="U733" s="15" t="str">
        <f t="shared" si="6"/>
        <v>T2-M2-H5-FB-4-FOOD</v>
      </c>
      <c r="V733" s="15">
        <f t="shared" si="7"/>
        <v>0</v>
      </c>
      <c r="W733" s="31"/>
      <c r="X733" s="15" t="str">
        <f t="shared" si="8"/>
        <v>perugia-italy</v>
      </c>
      <c r="Y733" s="32" t="str">
        <f t="shared" si="9"/>
        <v>https://steelmanufacturer.in/market-area/electropolished-pipes-manufacturer-in-perugia-italy/</v>
      </c>
      <c r="Z733" s="15" t="str">
        <f t="shared" si="10"/>
        <v>Electropolished Pipes Manufacturer in Perugia</v>
      </c>
      <c r="AA733" s="15" t="str">
        <f t="shared" si="11"/>
        <v>OK (45)</v>
      </c>
      <c r="AB733" s="15" t="str">
        <f t="shared" si="12"/>
        <v>Electropolished tube supply to Perugia Industrial Zone, Perugia. Ra from 0.25 um, SF4 finish, mill test certificate with every lot.</v>
      </c>
      <c r="AC733" s="15" t="str">
        <f t="shared" si="13"/>
        <v>OK (131)</v>
      </c>
      <c r="AD733" s="15" t="str">
        <f t="shared" si="14"/>
        <v>Electropolished Pipes Manufacturer in Perugia</v>
      </c>
      <c r="AE733" s="15" t="str">
        <f t="shared" si="15"/>
        <v>Electropolished Tube Manufacturing Capability Serving Perugia</v>
      </c>
      <c r="AF733" s="15" t="str">
        <f t="shared" si="16"/>
        <v>Electropolished Pipes Supplier in Perugia - From Order to Delivery</v>
      </c>
      <c r="AG733" s="15" t="str">
        <f t="shared" si="17"/>
        <v>Stockist &amp; Wholesale Supply of Electropolished Pipes in Perugia</v>
      </c>
      <c r="AH733" s="15" t="str">
        <f t="shared" si="18"/>
        <v>electropolished pipes manufacturer in Perugia, electropolished pipes supplier in Perugia, electropolished pipes wholesaler in Perugia, electropolished tube manufacturer Perugia, EP pipe supplier Perugia, sanitary tube supplier Perugia, ASME BPE tubing Perugia, ASTM A270 tube Perugia, SS 316L electropolished pipe Perugia</v>
      </c>
      <c r="AI733" s="15" t="str">
        <f t="shared" si="19"/>
        <v>Electropolished Pipes Manufacturer &amp; Supplier in Perugia</v>
      </c>
      <c r="AJ733" s="15" t="str">
        <f t="shared" si="20"/>
        <v>EP-finished SS 304/316L pipes and tubes for food processing plants in Perugia. ASME BPE SF1-SF4, Ra from 0.25 um, EN 10204 3.1 certificate with every lot.</v>
      </c>
      <c r="AK733" s="15" t="str">
        <f t="shared" si="21"/>
        <v>Electropolished stainless steel pipes supplied by Sakshi Forge to food processing plants at Perugia Industrial Zone, Perugia</v>
      </c>
      <c r="AL733" s="15" t="str">
        <f t="shared" si="22"/>
        <v>Electropolished SS 316L tube stock for Perugia - Sakshi Forge</v>
      </c>
      <c r="AM733" s="15" t="str">
        <f t="shared" si="23"/>
        <v>Home &gt; Market Area &gt; Italy &gt; Umbria &gt; Perugia</v>
      </c>
      <c r="AN733" s="15">
        <f t="shared" si="24"/>
        <v>1000</v>
      </c>
      <c r="AO733" s="15">
        <f t="shared" si="25"/>
        <v>8</v>
      </c>
      <c r="AP733" s="15">
        <f t="shared" si="26"/>
        <v>8</v>
      </c>
      <c r="AQ733" s="15">
        <f t="shared" si="27"/>
        <v>13</v>
      </c>
      <c r="AR733" s="31"/>
      <c r="AS733" s="31"/>
      <c r="AT733" s="35" t="s">
        <v>222</v>
      </c>
      <c r="AU733" s="35"/>
    </row>
    <row r="734" ht="15.75" customHeight="1">
      <c r="A734" s="15" t="s">
        <v>8749</v>
      </c>
      <c r="B734" s="15" t="s">
        <v>301</v>
      </c>
      <c r="C734" s="15" t="s">
        <v>6870</v>
      </c>
      <c r="D734" s="15" t="s">
        <v>8750</v>
      </c>
      <c r="E734" s="15" t="s">
        <v>8750</v>
      </c>
      <c r="F734" s="65" t="s">
        <v>788</v>
      </c>
      <c r="G734" s="17" t="s">
        <v>88</v>
      </c>
      <c r="H734" s="18" t="s">
        <v>8751</v>
      </c>
      <c r="I734" s="18" t="s">
        <v>8751</v>
      </c>
      <c r="J734" s="18" t="s">
        <v>8752</v>
      </c>
      <c r="K734" s="18" t="s">
        <v>94</v>
      </c>
      <c r="L734" s="18" t="s">
        <v>6850</v>
      </c>
      <c r="M734" s="18" t="s">
        <v>580</v>
      </c>
      <c r="N734" s="18" t="s">
        <v>378</v>
      </c>
      <c r="O734" s="18" t="s">
        <v>98</v>
      </c>
      <c r="P734" s="15" t="str">
        <f t="shared" si="1"/>
        <v>FOOD</v>
      </c>
      <c r="Q734" s="15">
        <f t="shared" si="2"/>
        <v>3</v>
      </c>
      <c r="R734" s="15">
        <f t="shared" si="3"/>
        <v>3</v>
      </c>
      <c r="S734" s="15">
        <f t="shared" si="4"/>
        <v>1</v>
      </c>
      <c r="T734" s="15" t="str">
        <f t="shared" si="5"/>
        <v>B-5</v>
      </c>
      <c r="U734" s="15" t="str">
        <f t="shared" si="6"/>
        <v>T3-M3-H1-FB-5-FOOD</v>
      </c>
      <c r="V734" s="15">
        <f t="shared" si="7"/>
        <v>0</v>
      </c>
      <c r="W734" s="31"/>
      <c r="X734" s="15" t="str">
        <f t="shared" si="8"/>
        <v>piacenza-italy</v>
      </c>
      <c r="Y734" s="32" t="str">
        <f t="shared" si="9"/>
        <v>https://steelmanufacturer.in/market-area/electropolished-pipes-manufacturer-in-piacenza-italy/</v>
      </c>
      <c r="Z734" s="15" t="str">
        <f t="shared" si="10"/>
        <v>Electropolished Pipes Manufacturer in Piacenza | EP Tube Supplier</v>
      </c>
      <c r="AA734" s="15" t="str">
        <f t="shared" si="11"/>
        <v>OK (65)</v>
      </c>
      <c r="AB734" s="15" t="str">
        <f t="shared" si="12"/>
        <v>EP stainless tube for food processing lines in Piacenza. 18-24 days sea from Nhava Sheva to Genoa. ASTM A270 S2, PMI tested, EN 10204 3.1.</v>
      </c>
      <c r="AC734" s="15" t="str">
        <f t="shared" si="13"/>
        <v>OK (138)</v>
      </c>
      <c r="AD734" s="15" t="str">
        <f t="shared" si="14"/>
        <v>Electropolished Pipes Manufacturer in Piacenza</v>
      </c>
      <c r="AE734" s="15" t="str">
        <f t="shared" si="15"/>
        <v>Electropolished Pipe &amp; Tube Manufacturing for Piacenza - Grades, Finishes &amp; Certification</v>
      </c>
      <c r="AF734" s="15" t="str">
        <f t="shared" si="16"/>
        <v>Electropolished Pipes Supplier in Piacenza - Stock Sizes, Lead Time &amp; Delivery</v>
      </c>
      <c r="AG734" s="15" t="str">
        <f t="shared" si="17"/>
        <v>Electropolished Pipes Wholesaler &amp; Stockist in Piacenza - Bulk &amp; Project Pricing</v>
      </c>
      <c r="AH734" s="15" t="str">
        <f t="shared" si="18"/>
        <v>electropolished pipes manufacturer in Piacenza, electropolished pipes supplier in Piacenza, electropolished pipes wholesaler in Piacenza, electropolished tube manufacturer Piacenza, EP pipe supplier Piacenza, sanitary tube supplier Piacenza, ASME BPE tubing Piacenza, ASTM A270 tube Piacenza, SS 316L electropolished pipe Piacenza</v>
      </c>
      <c r="AI734" s="15" t="str">
        <f t="shared" si="19"/>
        <v>Electropolished Pipes Manufacturer &amp; Supplier in Piacenza</v>
      </c>
      <c r="AJ734" s="15" t="str">
        <f t="shared" si="20"/>
        <v>EP-finished SS 304/316L pipes and tubes for food processing plants in Piacenza. ASME BPE SF1-SF4, Ra from 0.25 um, EN 10204 3.1 certificate with every lot.</v>
      </c>
      <c r="AK734" s="15" t="str">
        <f t="shared" si="21"/>
        <v>Electropolished stainless steel pipes supplied by Sakshi Forge to food processing plants at Piacenza Logistics and Industrial Pole, Piacenza</v>
      </c>
      <c r="AL734" s="15" t="str">
        <f t="shared" si="22"/>
        <v>Electropolished SS 316L tube stock for Piacenza - Sakshi Forge</v>
      </c>
      <c r="AM734" s="15" t="str">
        <f t="shared" si="23"/>
        <v>Home &gt; Market Area &gt; Italy &gt; Emilia-Romagna &gt; Piacenza</v>
      </c>
      <c r="AN734" s="15">
        <f t="shared" si="24"/>
        <v>1000</v>
      </c>
      <c r="AO734" s="15">
        <f t="shared" si="25"/>
        <v>8</v>
      </c>
      <c r="AP734" s="15">
        <f t="shared" si="26"/>
        <v>8</v>
      </c>
      <c r="AQ734" s="15">
        <f t="shared" si="27"/>
        <v>13</v>
      </c>
      <c r="AR734" s="31"/>
      <c r="AS734" s="31"/>
      <c r="AT734" s="35" t="s">
        <v>222</v>
      </c>
      <c r="AU734" s="35"/>
    </row>
    <row r="735" ht="15.75" customHeight="1">
      <c r="A735" s="15" t="s">
        <v>8753</v>
      </c>
      <c r="B735" s="15" t="s">
        <v>301</v>
      </c>
      <c r="C735" s="15" t="s">
        <v>6870</v>
      </c>
      <c r="D735" s="15" t="s">
        <v>8754</v>
      </c>
      <c r="E735" s="15" t="s">
        <v>8754</v>
      </c>
      <c r="F735" s="65" t="s">
        <v>788</v>
      </c>
      <c r="G735" s="17" t="s">
        <v>88</v>
      </c>
      <c r="H735" s="18" t="s">
        <v>8755</v>
      </c>
      <c r="I735" s="18" t="s">
        <v>8755</v>
      </c>
      <c r="J735" s="18" t="s">
        <v>8756</v>
      </c>
      <c r="K735" s="18" t="s">
        <v>94</v>
      </c>
      <c r="L735" s="18" t="s">
        <v>6877</v>
      </c>
      <c r="M735" s="18" t="s">
        <v>580</v>
      </c>
      <c r="N735" s="18" t="s">
        <v>378</v>
      </c>
      <c r="O735" s="18" t="s">
        <v>98</v>
      </c>
      <c r="P735" s="15" t="str">
        <f t="shared" si="1"/>
        <v>FOOD</v>
      </c>
      <c r="Q735" s="15">
        <f t="shared" si="2"/>
        <v>4</v>
      </c>
      <c r="R735" s="15">
        <f t="shared" si="3"/>
        <v>4</v>
      </c>
      <c r="S735" s="15">
        <f t="shared" si="4"/>
        <v>2</v>
      </c>
      <c r="T735" s="15" t="str">
        <f t="shared" si="5"/>
        <v>B-6</v>
      </c>
      <c r="U735" s="15" t="str">
        <f t="shared" si="6"/>
        <v>T4-M4-H2-FB-6-FOOD</v>
      </c>
      <c r="V735" s="15">
        <f t="shared" si="7"/>
        <v>0</v>
      </c>
      <c r="W735" s="31"/>
      <c r="X735" s="15" t="str">
        <f t="shared" si="8"/>
        <v>ravenna-italy</v>
      </c>
      <c r="Y735" s="32" t="str">
        <f t="shared" si="9"/>
        <v>https://steelmanufacturer.in/market-area/electropolished-pipes-manufacturer-in-ravenna-italy/</v>
      </c>
      <c r="Z735" s="15" t="str">
        <f t="shared" si="10"/>
        <v>Electropolished Pipes Manufacturer in Ravenna</v>
      </c>
      <c r="AA735" s="15" t="str">
        <f t="shared" si="11"/>
        <v>OK (45)</v>
      </c>
      <c r="AB735" s="15" t="str">
        <f t="shared" si="12"/>
        <v>Sanitary electropolished pipes in Ravenna for food processing plants. ASME BPE SF1-SF4, orbital-weld ready, 3.1 MTC. Mumbai-made.</v>
      </c>
      <c r="AC735" s="15" t="str">
        <f t="shared" si="13"/>
        <v>OK (129)</v>
      </c>
      <c r="AD735" s="15" t="str">
        <f t="shared" si="14"/>
        <v>Electropolished Pipes Manufacturer in Ravenna</v>
      </c>
      <c r="AE735" s="15" t="str">
        <f t="shared" si="15"/>
        <v>How We Manufacture Electropolished Tube for Ravenna Plants</v>
      </c>
      <c r="AF735" s="15" t="str">
        <f t="shared" si="16"/>
        <v>Supplying Electropolished Pipes in Ravenna: Availability, Sizes &amp; Dispatch</v>
      </c>
      <c r="AG735" s="15" t="str">
        <f t="shared" si="17"/>
        <v>Wholesale Electropolished Pipe Supply for Ravenna Projects</v>
      </c>
      <c r="AH735" s="15" t="str">
        <f t="shared" si="18"/>
        <v>electropolished pipes manufacturer in Ravenna, electropolished pipes supplier in Ravenna, electropolished pipes wholesaler in Ravenna, electropolished tube manufacturer Ravenna, EP pipe supplier Ravenna, sanitary tube supplier Ravenna, ASME BPE tubing Ravenna, ASTM A270 tube Ravenna, SS 316L electropolished pipe Ravenna</v>
      </c>
      <c r="AI735" s="15" t="str">
        <f t="shared" si="19"/>
        <v>Electropolished Pipes Manufacturer &amp; Supplier in Ravenna</v>
      </c>
      <c r="AJ735" s="15" t="str">
        <f t="shared" si="20"/>
        <v>EP-finished SS 304/316L pipes and tubes for food processing plants in Ravenna. ASME BPE SF1-SF4, Ra from 0.25 um, EN 10204 3.1 certificate with every lot.</v>
      </c>
      <c r="AK735" s="15" t="str">
        <f t="shared" si="21"/>
        <v>Electropolished stainless steel pipes supplied by Sakshi Forge to food processing plants at Ravenna Petrochemical District, Ravenna</v>
      </c>
      <c r="AL735" s="15" t="str">
        <f t="shared" si="22"/>
        <v>Electropolished SS 316L tube stock for Ravenna - Sakshi Forge</v>
      </c>
      <c r="AM735" s="15" t="str">
        <f t="shared" si="23"/>
        <v>Home &gt; Market Area &gt; Italy &gt; Emilia-Romagna &gt; Ravenna</v>
      </c>
      <c r="AN735" s="15">
        <f t="shared" si="24"/>
        <v>1000</v>
      </c>
      <c r="AO735" s="15">
        <f t="shared" si="25"/>
        <v>8</v>
      </c>
      <c r="AP735" s="15">
        <f t="shared" si="26"/>
        <v>8</v>
      </c>
      <c r="AQ735" s="15">
        <f t="shared" si="27"/>
        <v>13</v>
      </c>
      <c r="AR735" s="31"/>
      <c r="AS735" s="31"/>
      <c r="AT735" s="35" t="s">
        <v>222</v>
      </c>
      <c r="AU735" s="35"/>
    </row>
    <row r="736" ht="15.75" customHeight="1">
      <c r="A736" s="15" t="s">
        <v>8757</v>
      </c>
      <c r="B736" s="15" t="s">
        <v>301</v>
      </c>
      <c r="C736" s="15" t="s">
        <v>6870</v>
      </c>
      <c r="D736" s="15" t="s">
        <v>8758</v>
      </c>
      <c r="E736" s="15" t="s">
        <v>8758</v>
      </c>
      <c r="F736" s="65" t="s">
        <v>788</v>
      </c>
      <c r="G736" s="17" t="s">
        <v>88</v>
      </c>
      <c r="H736" s="18" t="s">
        <v>8759</v>
      </c>
      <c r="I736" s="18" t="s">
        <v>8760</v>
      </c>
      <c r="J736" s="18" t="s">
        <v>8761</v>
      </c>
      <c r="K736" s="18" t="s">
        <v>579</v>
      </c>
      <c r="L736" s="18" t="s">
        <v>6877</v>
      </c>
      <c r="M736" s="18" t="s">
        <v>580</v>
      </c>
      <c r="N736" s="18" t="s">
        <v>378</v>
      </c>
      <c r="O736" s="18" t="s">
        <v>98</v>
      </c>
      <c r="P736" s="15" t="str">
        <f t="shared" si="1"/>
        <v>DAIRY</v>
      </c>
      <c r="Q736" s="15">
        <f t="shared" si="2"/>
        <v>5</v>
      </c>
      <c r="R736" s="15">
        <f t="shared" si="3"/>
        <v>5</v>
      </c>
      <c r="S736" s="15">
        <f t="shared" si="4"/>
        <v>3</v>
      </c>
      <c r="T736" s="15" t="str">
        <f t="shared" si="5"/>
        <v>B-1</v>
      </c>
      <c r="U736" s="15" t="str">
        <f t="shared" si="6"/>
        <v>T5-M5-H3-FB-1-DAIRY</v>
      </c>
      <c r="V736" s="15">
        <f t="shared" si="7"/>
        <v>0</v>
      </c>
      <c r="W736" s="31"/>
      <c r="X736" s="15" t="str">
        <f t="shared" si="8"/>
        <v>reggio-emilia-italy</v>
      </c>
      <c r="Y736" s="32" t="str">
        <f t="shared" si="9"/>
        <v>https://steelmanufacturer.in/market-area/electropolished-pipes-manufacturer-in-reggio-emilia-italy/</v>
      </c>
      <c r="Z736" s="15" t="str">
        <f t="shared" si="10"/>
        <v>Electropolished Pipes Manufacturer in Reggio Emilia</v>
      </c>
      <c r="AA736" s="15" t="str">
        <f t="shared" si="11"/>
        <v>OK (51)</v>
      </c>
      <c r="AB736" s="15" t="str">
        <f t="shared" si="12"/>
        <v>Manufacturer of electropolished SS 316L tube serving Reggio Emilia. 18-24 days sea from Nhava Sheva to Genoa. Ra 0.25-0.5 um, EN 10204 3.1 MTC.</v>
      </c>
      <c r="AC736" s="15" t="str">
        <f t="shared" si="13"/>
        <v>OK (143)</v>
      </c>
      <c r="AD736" s="15" t="str">
        <f t="shared" si="14"/>
        <v>Electropolished Pipes Manufacturer in Reggio Emilia</v>
      </c>
      <c r="AE736" s="15" t="str">
        <f t="shared" si="15"/>
        <v>Electropolished Pipes Manufacturer in Reggio Emilia - Our Process &amp; Capability</v>
      </c>
      <c r="AF736" s="15" t="str">
        <f t="shared" si="16"/>
        <v>Electropolished Pipes Supplier in Reggio Emilia - What We Hold in Stock</v>
      </c>
      <c r="AG736" s="15" t="str">
        <f t="shared" si="17"/>
        <v>Bulk &amp; Wholesale Electropolished Pipe Rates for Reggio Emilia Buyers</v>
      </c>
      <c r="AH736" s="15" t="str">
        <f t="shared" si="18"/>
        <v>electropolished pipes manufacturer in Reggio Emilia, electropolished pipes supplier in Reggio Emilia, electropolished pipes wholesaler in Reggio Emilia, electropolished tube manufacturer Reggio Emilia, EP pipe supplier Reggio Emilia, sanitary tube supplier Reggio Emilia, ASME BPE tubing Reggio Emilia, ASTM A270 tube Reggio Emilia, SS 316L electropolished pipe Reggio Emilia</v>
      </c>
      <c r="AI736" s="15" t="str">
        <f t="shared" si="19"/>
        <v>Electropolished Pipes Manufacturer &amp; Supplier in Reggio Emilia</v>
      </c>
      <c r="AJ736" s="15" t="str">
        <f t="shared" si="20"/>
        <v>EP-finished SS 304/316L pipes and tubes for food &amp; dairy plants in Reggio Emilia. ASME BPE SF1-SF4, Ra from 0.25 um, EN 10204 3.1 certificate with every lot.</v>
      </c>
      <c r="AK736" s="15" t="str">
        <f t="shared" si="21"/>
        <v>Electropolished stainless steel pipes supplied by Sakshi Forge to food &amp; dairy plants at Reggio Emilia Industrial District, Reggio Emilia</v>
      </c>
      <c r="AL736" s="15" t="str">
        <f t="shared" si="22"/>
        <v>Electropolished SS 316L tube stock for Reggio Emilia - Sakshi Forge</v>
      </c>
      <c r="AM736" s="15" t="str">
        <f t="shared" si="23"/>
        <v>Home &gt; Market Area &gt; Italy &gt; Emilia-Romagna &gt; Reggio Emilia</v>
      </c>
      <c r="AN736" s="15">
        <f t="shared" si="24"/>
        <v>1000</v>
      </c>
      <c r="AO736" s="15">
        <f t="shared" si="25"/>
        <v>8</v>
      </c>
      <c r="AP736" s="15">
        <f t="shared" si="26"/>
        <v>8</v>
      </c>
      <c r="AQ736" s="15">
        <f t="shared" si="27"/>
        <v>13</v>
      </c>
      <c r="AR736" s="31"/>
      <c r="AS736" s="31"/>
      <c r="AT736" s="35" t="s">
        <v>222</v>
      </c>
      <c r="AU736" s="35"/>
    </row>
    <row r="737" ht="15.75" customHeight="1">
      <c r="A737" s="15" t="s">
        <v>8762</v>
      </c>
      <c r="B737" s="15" t="s">
        <v>301</v>
      </c>
      <c r="C737" s="15" t="s">
        <v>6920</v>
      </c>
      <c r="D737" s="15" t="s">
        <v>8763</v>
      </c>
      <c r="E737" s="15" t="s">
        <v>8763</v>
      </c>
      <c r="F737" s="65" t="s">
        <v>788</v>
      </c>
      <c r="G737" s="17" t="s">
        <v>88</v>
      </c>
      <c r="H737" s="18" t="s">
        <v>8764</v>
      </c>
      <c r="I737" s="18" t="s">
        <v>8765</v>
      </c>
      <c r="J737" s="18" t="s">
        <v>8232</v>
      </c>
      <c r="K737" s="18" t="s">
        <v>4208</v>
      </c>
      <c r="L737" s="18" t="s">
        <v>6927</v>
      </c>
      <c r="M737" s="18" t="s">
        <v>580</v>
      </c>
      <c r="N737" s="18" t="s">
        <v>378</v>
      </c>
      <c r="O737" s="18" t="s">
        <v>98</v>
      </c>
      <c r="P737" s="15" t="str">
        <f t="shared" si="1"/>
        <v>BIOTECH</v>
      </c>
      <c r="Q737" s="15">
        <f t="shared" si="2"/>
        <v>6</v>
      </c>
      <c r="R737" s="15">
        <f t="shared" si="3"/>
        <v>6</v>
      </c>
      <c r="S737" s="15">
        <f t="shared" si="4"/>
        <v>4</v>
      </c>
      <c r="T737" s="15" t="str">
        <f t="shared" si="5"/>
        <v>B-2</v>
      </c>
      <c r="U737" s="15" t="str">
        <f t="shared" si="6"/>
        <v>T6-M6-H4-FB-2-BIOTECH</v>
      </c>
      <c r="V737" s="15">
        <f t="shared" si="7"/>
        <v>0</v>
      </c>
      <c r="W737" s="31"/>
      <c r="X737" s="15" t="str">
        <f t="shared" si="8"/>
        <v>rome-italy</v>
      </c>
      <c r="Y737" s="32" t="str">
        <f t="shared" si="9"/>
        <v>https://steelmanufacturer.in/market-area/electropolished-pipes-manufacturer-in-rome-italy/</v>
      </c>
      <c r="Z737" s="15" t="str">
        <f t="shared" si="10"/>
        <v>Electropolished Pipes Manufacturer in Rome</v>
      </c>
      <c r="AA737" s="15" t="str">
        <f t="shared" si="11"/>
        <v>OK (42)</v>
      </c>
      <c r="AB737" s="15" t="str">
        <f t="shared" si="12"/>
        <v>EP tube and pipe for pharma &amp; biotech plants around Tiburtina Industrial, Rome. Made at our Mumbai works to ASTM A270 and ASME BPE SF1-SF4, with 3.1 MTC.</v>
      </c>
      <c r="AC737" s="15" t="str">
        <f t="shared" si="13"/>
        <v>OK (153)</v>
      </c>
      <c r="AD737" s="15" t="str">
        <f t="shared" si="14"/>
        <v>Electropolished Pipes Manufacturer in Rome</v>
      </c>
      <c r="AE737" s="15" t="str">
        <f t="shared" si="15"/>
        <v>Manufacturing Electropolished SS Tube for Rome: The Standards We Build To</v>
      </c>
      <c r="AF737" s="15" t="str">
        <f t="shared" si="16"/>
        <v>Electropolished Pipe Supply Into Rome - Certification &amp; Transit</v>
      </c>
      <c r="AG737" s="15" t="str">
        <f t="shared" si="17"/>
        <v>Electropolished Pipes Wholesaler in Rome - Project Quantities &amp; Terms</v>
      </c>
      <c r="AH737" s="15" t="str">
        <f t="shared" si="18"/>
        <v>electropolished pipes manufacturer in Rome, electropolished pipes supplier in Rome, electropolished pipes wholesaler in Rome, electropolished tube manufacturer Rome, EP pipe supplier Rome, sanitary tube supplier Rome, ASME BPE tubing Rome, ASTM A270 tube Rome, SS 316L electropolished pipe Rome</v>
      </c>
      <c r="AI737" s="15" t="str">
        <f t="shared" si="19"/>
        <v>Electropolished Pipes Manufacturer &amp; Supplier in Rome</v>
      </c>
      <c r="AJ737" s="15" t="str">
        <f t="shared" si="20"/>
        <v>EP-finished SS 304/316L pipes and tubes for pharma &amp; biotech plants in Rome. ASME BPE SF1-SF4, Ra from 0.25 um, EN 10204 3.1 certificate with every lot.</v>
      </c>
      <c r="AK737" s="15" t="str">
        <f t="shared" si="21"/>
        <v>Electropolished stainless steel pipes supplied by Sakshi Forge to pharma &amp; biotech plants at Tiburtina Industrial, Rome</v>
      </c>
      <c r="AL737" s="15" t="str">
        <f t="shared" si="22"/>
        <v>Electropolished SS 316L tube stock for Rome - Sakshi Forge</v>
      </c>
      <c r="AM737" s="15" t="str">
        <f t="shared" si="23"/>
        <v>Home &gt; Market Area &gt; Italy &gt; Lazio &gt; Rome</v>
      </c>
      <c r="AN737" s="15">
        <f t="shared" si="24"/>
        <v>1000</v>
      </c>
      <c r="AO737" s="15">
        <f t="shared" si="25"/>
        <v>8</v>
      </c>
      <c r="AP737" s="15">
        <f t="shared" si="26"/>
        <v>8</v>
      </c>
      <c r="AQ737" s="15">
        <f t="shared" si="27"/>
        <v>13</v>
      </c>
      <c r="AR737" s="31"/>
      <c r="AS737" s="31"/>
      <c r="AT737" s="35" t="s">
        <v>222</v>
      </c>
      <c r="AU737" s="35"/>
    </row>
    <row r="738" ht="15.75" customHeight="1">
      <c r="A738" s="15" t="s">
        <v>8766</v>
      </c>
      <c r="B738" s="15" t="s">
        <v>301</v>
      </c>
      <c r="C738" s="15" t="s">
        <v>6996</v>
      </c>
      <c r="D738" s="15" t="s">
        <v>8767</v>
      </c>
      <c r="E738" s="15" t="s">
        <v>8767</v>
      </c>
      <c r="F738" s="65" t="s">
        <v>788</v>
      </c>
      <c r="G738" s="17" t="s">
        <v>88</v>
      </c>
      <c r="H738" s="18" t="s">
        <v>8768</v>
      </c>
      <c r="I738" s="18" t="s">
        <v>8769</v>
      </c>
      <c r="J738" s="18" t="s">
        <v>8770</v>
      </c>
      <c r="K738" s="18" t="s">
        <v>5794</v>
      </c>
      <c r="L738" s="18" t="s">
        <v>7001</v>
      </c>
      <c r="M738" s="18" t="s">
        <v>580</v>
      </c>
      <c r="N738" s="18" t="s">
        <v>378</v>
      </c>
      <c r="O738" s="18" t="s">
        <v>98</v>
      </c>
      <c r="P738" s="15" t="str">
        <f t="shared" si="1"/>
        <v>BREWERY</v>
      </c>
      <c r="Q738" s="15">
        <f t="shared" si="2"/>
        <v>7</v>
      </c>
      <c r="R738" s="15">
        <f t="shared" si="3"/>
        <v>7</v>
      </c>
      <c r="S738" s="15">
        <f t="shared" si="4"/>
        <v>5</v>
      </c>
      <c r="T738" s="15" t="str">
        <f t="shared" si="5"/>
        <v>B-3</v>
      </c>
      <c r="U738" s="15" t="str">
        <f t="shared" si="6"/>
        <v>T7-M7-H5-FB-3-BREWERY</v>
      </c>
      <c r="V738" s="15">
        <f t="shared" si="7"/>
        <v>0</v>
      </c>
      <c r="W738" s="31"/>
      <c r="X738" s="15" t="str">
        <f t="shared" si="8"/>
        <v>treviso-italy</v>
      </c>
      <c r="Y738" s="32" t="str">
        <f t="shared" si="9"/>
        <v>https://steelmanufacturer.in/market-area/electropolished-pipes-manufacturer-in-treviso-italy/</v>
      </c>
      <c r="Z738" s="15" t="str">
        <f t="shared" si="10"/>
        <v>Electropolished Pipes Manufacturer in Treviso | ASME BPE SF1-SF4</v>
      </c>
      <c r="AA738" s="15" t="str">
        <f t="shared" si="11"/>
        <v>OK (64)</v>
      </c>
      <c r="AB738" s="15" t="str">
        <f t="shared" si="12"/>
        <v>Electropolished pipes in Treviso: 304, 304L, 316 and 316L in SF1-SF4. 18-24 days sea from Nhava Sheva to Genoa. Mill certified.</v>
      </c>
      <c r="AC738" s="15" t="str">
        <f t="shared" si="13"/>
        <v>OK (127)</v>
      </c>
      <c r="AD738" s="15" t="str">
        <f t="shared" si="14"/>
        <v>Electropolished Pipes Manufacturer in Treviso</v>
      </c>
      <c r="AE738" s="15" t="str">
        <f t="shared" si="15"/>
        <v>Electropolished Tube Manufacturing Capability Serving Treviso</v>
      </c>
      <c r="AF738" s="15" t="str">
        <f t="shared" si="16"/>
        <v>Electropolished Pipes Supplier in Treviso - From Order to Delivery</v>
      </c>
      <c r="AG738" s="15" t="str">
        <f t="shared" si="17"/>
        <v>Stockist &amp; Wholesale Supply of Electropolished Pipes in Treviso</v>
      </c>
      <c r="AH738" s="15" t="str">
        <f t="shared" si="18"/>
        <v>electropolished pipes manufacturer in Treviso, electropolished pipes supplier in Treviso, electropolished pipes wholesaler in Treviso, electropolished tube manufacturer Treviso, EP pipe supplier Treviso, sanitary tube supplier Treviso, ASME BPE tubing Treviso, ASTM A270 tube Treviso, SS 316L electropolished pipe Treviso</v>
      </c>
      <c r="AI738" s="15" t="str">
        <f t="shared" si="19"/>
        <v>Electropolished Pipes Manufacturer &amp; Supplier in Treviso</v>
      </c>
      <c r="AJ738" s="15" t="str">
        <f t="shared" si="20"/>
        <v>EP-finished SS 304/316L pipes and tubes for brewery &amp; food plants in Treviso. ASME BPE SF1-SF4, Ra from 0.25 um, EN 10204 3.1 certificate with every lot.</v>
      </c>
      <c r="AK738" s="15" t="str">
        <f t="shared" si="21"/>
        <v>Electropolished stainless steel pipes supplied by Sakshi Forge to brewery &amp; food plants at Treviso Industrial Zone, Treviso</v>
      </c>
      <c r="AL738" s="15" t="str">
        <f t="shared" si="22"/>
        <v>Electropolished SS 316L tube stock for Treviso - Sakshi Forge</v>
      </c>
      <c r="AM738" s="15" t="str">
        <f t="shared" si="23"/>
        <v>Home &gt; Market Area &gt; Italy &gt; Veneto &gt; Treviso</v>
      </c>
      <c r="AN738" s="15">
        <f t="shared" si="24"/>
        <v>1000</v>
      </c>
      <c r="AO738" s="15">
        <f t="shared" si="25"/>
        <v>8</v>
      </c>
      <c r="AP738" s="15">
        <f t="shared" si="26"/>
        <v>8</v>
      </c>
      <c r="AQ738" s="15">
        <f t="shared" si="27"/>
        <v>13</v>
      </c>
      <c r="AR738" s="31"/>
      <c r="AS738" s="31"/>
      <c r="AT738" s="35" t="s">
        <v>222</v>
      </c>
      <c r="AU738" s="35"/>
    </row>
    <row r="739" ht="15.75" customHeight="1">
      <c r="A739" s="15" t="s">
        <v>8771</v>
      </c>
      <c r="B739" s="15" t="s">
        <v>301</v>
      </c>
      <c r="C739" s="15" t="s">
        <v>6843</v>
      </c>
      <c r="D739" s="15" t="s">
        <v>8772</v>
      </c>
      <c r="E739" s="15" t="s">
        <v>8772</v>
      </c>
      <c r="F739" s="65" t="s">
        <v>788</v>
      </c>
      <c r="G739" s="17" t="s">
        <v>88</v>
      </c>
      <c r="H739" s="18" t="s">
        <v>8773</v>
      </c>
      <c r="I739" s="18" t="s">
        <v>8774</v>
      </c>
      <c r="J739" s="18" t="s">
        <v>8775</v>
      </c>
      <c r="K739" s="18" t="s">
        <v>229</v>
      </c>
      <c r="L739" s="18" t="s">
        <v>6850</v>
      </c>
      <c r="M739" s="18" t="s">
        <v>580</v>
      </c>
      <c r="N739" s="18" t="s">
        <v>378</v>
      </c>
      <c r="O739" s="18" t="s">
        <v>98</v>
      </c>
      <c r="P739" s="15" t="str">
        <f t="shared" si="1"/>
        <v>PHARMA</v>
      </c>
      <c r="Q739" s="15">
        <f t="shared" si="2"/>
        <v>8</v>
      </c>
      <c r="R739" s="15">
        <f t="shared" si="3"/>
        <v>1</v>
      </c>
      <c r="S739" s="15">
        <f t="shared" si="4"/>
        <v>1</v>
      </c>
      <c r="T739" s="15" t="str">
        <f t="shared" si="5"/>
        <v>B-4</v>
      </c>
      <c r="U739" s="15" t="str">
        <f t="shared" si="6"/>
        <v>T8-M1-H1-FB-4-PHARMA</v>
      </c>
      <c r="V739" s="15">
        <f t="shared" si="7"/>
        <v>0</v>
      </c>
      <c r="W739" s="31"/>
      <c r="X739" s="15" t="str">
        <f t="shared" si="8"/>
        <v>varese-italy</v>
      </c>
      <c r="Y739" s="32" t="str">
        <f t="shared" si="9"/>
        <v>https://steelmanufacturer.in/market-area/electropolished-pipes-manufacturer-in-varese-italy/</v>
      </c>
      <c r="Z739" s="15" t="str">
        <f t="shared" si="10"/>
        <v>Electropolished Pipes Manufacturer in Varese - EP Tube Stockist</v>
      </c>
      <c r="AA739" s="15" t="str">
        <f t="shared" si="11"/>
        <v>OK (63)</v>
      </c>
      <c r="AB739" s="15" t="str">
        <f t="shared" si="12"/>
        <v>EP-finished SS 304/316L pipes &amp; tubes for pharma plants in Varese. ASTM A270, ASME BPE SF1-SF4, EN 10204 3.1 MTC. PMI tested.</v>
      </c>
      <c r="AC739" s="15" t="str">
        <f t="shared" si="13"/>
        <v>OK (125)</v>
      </c>
      <c r="AD739" s="15" t="str">
        <f t="shared" si="14"/>
        <v>Electropolished Pipes Manufacturer in Varese</v>
      </c>
      <c r="AE739" s="15" t="str">
        <f t="shared" si="15"/>
        <v>Electropolished Pipe &amp; Tube Manufacturing for Varese - Grades, Finishes &amp; Certification</v>
      </c>
      <c r="AF739" s="15" t="str">
        <f t="shared" si="16"/>
        <v>Electropolished Pipes Supplier in Varese - Stock Sizes, Lead Time &amp; Delivery</v>
      </c>
      <c r="AG739" s="15" t="str">
        <f t="shared" si="17"/>
        <v>Electropolished Pipes Wholesaler &amp; Stockist in Varese - Bulk &amp; Project Pricing</v>
      </c>
      <c r="AH739" s="15" t="str">
        <f t="shared" si="18"/>
        <v>electropolished pipes manufacturer in Varese, electropolished pipes supplier in Varese, electropolished pipes wholesaler in Varese, electropolished tube manufacturer Varese, EP pipe supplier Varese, sanitary tube supplier Varese, ASME BPE tubing Varese, ASTM A270 tube Varese, SS 316L electropolished pipe Varese</v>
      </c>
      <c r="AI739" s="15" t="str">
        <f t="shared" si="19"/>
        <v>Electropolished Pipes Manufacturer &amp; Supplier in Varese</v>
      </c>
      <c r="AJ739" s="15" t="str">
        <f t="shared" si="20"/>
        <v>EP-finished SS 304/316L pipes and tubes for pharma plants in Varese. ASME BPE SF1-SF4, Ra from 0.25 um, EN 10204 3.1 certificate with every lot.</v>
      </c>
      <c r="AK739" s="15" t="str">
        <f t="shared" si="21"/>
        <v>Electropolished stainless steel pipes supplied by Sakshi Forge to pharma plants at Varese Industrial District, Varese</v>
      </c>
      <c r="AL739" s="15" t="str">
        <f t="shared" si="22"/>
        <v>Electropolished SS 316L tube stock for Varese - Sakshi Forge</v>
      </c>
      <c r="AM739" s="15" t="str">
        <f t="shared" si="23"/>
        <v>Home &gt; Market Area &gt; Italy &gt; Lombardy &gt; Varese</v>
      </c>
      <c r="AN739" s="15">
        <f t="shared" si="24"/>
        <v>1000</v>
      </c>
      <c r="AO739" s="15">
        <f t="shared" si="25"/>
        <v>8</v>
      </c>
      <c r="AP739" s="15">
        <f t="shared" si="26"/>
        <v>8</v>
      </c>
      <c r="AQ739" s="15">
        <f t="shared" si="27"/>
        <v>13</v>
      </c>
      <c r="AR739" s="31"/>
      <c r="AS739" s="31"/>
      <c r="AT739" s="35" t="s">
        <v>222</v>
      </c>
      <c r="AU739" s="35"/>
    </row>
    <row r="740" ht="15.75" customHeight="1">
      <c r="A740" s="15" t="s">
        <v>8776</v>
      </c>
      <c r="B740" s="15" t="s">
        <v>301</v>
      </c>
      <c r="C740" s="15" t="s">
        <v>6996</v>
      </c>
      <c r="D740" s="15" t="s">
        <v>8777</v>
      </c>
      <c r="E740" s="15" t="s">
        <v>8777</v>
      </c>
      <c r="F740" s="65" t="s">
        <v>788</v>
      </c>
      <c r="G740" s="17" t="s">
        <v>88</v>
      </c>
      <c r="H740" s="18" t="s">
        <v>8778</v>
      </c>
      <c r="I740" s="18" t="s">
        <v>8778</v>
      </c>
      <c r="J740" s="18" t="s">
        <v>8779</v>
      </c>
      <c r="K740" s="18" t="s">
        <v>94</v>
      </c>
      <c r="L740" s="18" t="s">
        <v>7001</v>
      </c>
      <c r="M740" s="18" t="s">
        <v>580</v>
      </c>
      <c r="N740" s="18" t="s">
        <v>378</v>
      </c>
      <c r="O740" s="18" t="s">
        <v>98</v>
      </c>
      <c r="P740" s="15" t="str">
        <f t="shared" si="1"/>
        <v>FOOD</v>
      </c>
      <c r="Q740" s="15">
        <f t="shared" si="2"/>
        <v>1</v>
      </c>
      <c r="R740" s="15">
        <f t="shared" si="3"/>
        <v>2</v>
      </c>
      <c r="S740" s="15">
        <f t="shared" si="4"/>
        <v>2</v>
      </c>
      <c r="T740" s="15" t="str">
        <f t="shared" si="5"/>
        <v>B-5</v>
      </c>
      <c r="U740" s="15" t="str">
        <f t="shared" si="6"/>
        <v>T1-M2-H2-FB-5-FOOD</v>
      </c>
      <c r="V740" s="15">
        <f t="shared" si="7"/>
        <v>0</v>
      </c>
      <c r="W740" s="31"/>
      <c r="X740" s="15" t="str">
        <f t="shared" si="8"/>
        <v>venice-marghera-italy</v>
      </c>
      <c r="Y740" s="32" t="str">
        <f t="shared" si="9"/>
        <v>https://steelmanufacturer.in/market-area/electropolished-pipes-manufacturer-in-venice-marghera-italy/</v>
      </c>
      <c r="Z740" s="15" t="str">
        <f t="shared" si="10"/>
        <v>Electropolished Pipes Manufacturer in Venice-Marghera</v>
      </c>
      <c r="AA740" s="15" t="str">
        <f t="shared" si="11"/>
        <v>OK (53)</v>
      </c>
      <c r="AB740" s="15" t="str">
        <f t="shared" si="12"/>
        <v>Electropolished tube supply to Porto Marghera Industrial Zone, Venice-Marghera. Ra from 0.25 um, SF4 finish, mill test certificate with every lot.</v>
      </c>
      <c r="AC740" s="15" t="str">
        <f t="shared" si="13"/>
        <v>OK (146)</v>
      </c>
      <c r="AD740" s="15" t="str">
        <f t="shared" si="14"/>
        <v>Electropolished Pipes Manufacturer in Venice-Marghera</v>
      </c>
      <c r="AE740" s="15" t="str">
        <f t="shared" si="15"/>
        <v>How We Manufacture Electropolished Tube for Venice-Marghera Plants</v>
      </c>
      <c r="AF740" s="15" t="str">
        <f t="shared" si="16"/>
        <v>Supplying Electropolished Pipes in Venice-Marghera: Availability, Sizes &amp; Dispatch</v>
      </c>
      <c r="AG740" s="15" t="str">
        <f t="shared" si="17"/>
        <v>Wholesale Electropolished Pipe Supply for Venice-Marghera Projects</v>
      </c>
      <c r="AH740" s="15" t="str">
        <f t="shared" si="18"/>
        <v>electropolished pipes manufacturer in Venice-Marghera, electropolished pipes supplier in Venice-Marghera, electropolished pipes wholesaler in Venice-Marghera, electropolished tube manufacturer Venice-Marghera, EP pipe supplier Venice-Marghera, sanitary tube supplier Venice-Marghera, ASME BPE tubing Venice-Marghera, ASTM A270 tube Venice-Marghera, SS 316L electropolished pipe Venice-Marghera</v>
      </c>
      <c r="AI740" s="15" t="str">
        <f t="shared" si="19"/>
        <v>Electropolished Pipes Manufacturer &amp; Supplier in Venice-Marghera</v>
      </c>
      <c r="AJ740" s="15" t="str">
        <f t="shared" si="20"/>
        <v>EP-finished SS 304/316L pipes and tubes for food processing plants in Venice-Marghera. ASME BPE SF1-SF4, Ra from 0.25 um, EN 10204 3.1 certificate with every lot.</v>
      </c>
      <c r="AK740" s="15" t="str">
        <f t="shared" si="21"/>
        <v>Electropolished stainless steel pipes supplied by Sakshi Forge to food processing plants at Porto Marghera Industrial Zone, Venice-Marghera</v>
      </c>
      <c r="AL740" s="15" t="str">
        <f t="shared" si="22"/>
        <v>Electropolished SS 316L tube stock for Venice-Marghera - Sakshi Forge</v>
      </c>
      <c r="AM740" s="15" t="str">
        <f t="shared" si="23"/>
        <v>Home &gt; Market Area &gt; Italy &gt; Veneto &gt; Venice-Marghera</v>
      </c>
      <c r="AN740" s="15">
        <f t="shared" si="24"/>
        <v>1000</v>
      </c>
      <c r="AO740" s="15">
        <f t="shared" si="25"/>
        <v>8</v>
      </c>
      <c r="AP740" s="15">
        <f t="shared" si="26"/>
        <v>8</v>
      </c>
      <c r="AQ740" s="15">
        <f t="shared" si="27"/>
        <v>13</v>
      </c>
      <c r="AR740" s="31"/>
      <c r="AS740" s="31"/>
      <c r="AT740" s="35" t="s">
        <v>222</v>
      </c>
      <c r="AU740" s="35"/>
    </row>
    <row r="741" ht="15.75" customHeight="1">
      <c r="A741" s="15" t="s">
        <v>8780</v>
      </c>
      <c r="B741" s="15" t="s">
        <v>301</v>
      </c>
      <c r="C741" s="15" t="s">
        <v>6996</v>
      </c>
      <c r="D741" s="15" t="s">
        <v>8781</v>
      </c>
      <c r="E741" s="15" t="s">
        <v>8781</v>
      </c>
      <c r="F741" s="65" t="s">
        <v>788</v>
      </c>
      <c r="G741" s="17" t="s">
        <v>88</v>
      </c>
      <c r="H741" s="18" t="s">
        <v>8782</v>
      </c>
      <c r="I741" s="18" t="s">
        <v>8783</v>
      </c>
      <c r="J741" s="18" t="s">
        <v>8784</v>
      </c>
      <c r="K741" s="18" t="s">
        <v>94</v>
      </c>
      <c r="L741" s="18" t="s">
        <v>7001</v>
      </c>
      <c r="M741" s="18" t="s">
        <v>580</v>
      </c>
      <c r="N741" s="18" t="s">
        <v>378</v>
      </c>
      <c r="O741" s="18" t="s">
        <v>98</v>
      </c>
      <c r="P741" s="15" t="str">
        <f t="shared" si="1"/>
        <v>FOOD</v>
      </c>
      <c r="Q741" s="15">
        <f t="shared" si="2"/>
        <v>2</v>
      </c>
      <c r="R741" s="15">
        <f t="shared" si="3"/>
        <v>3</v>
      </c>
      <c r="S741" s="15">
        <f t="shared" si="4"/>
        <v>3</v>
      </c>
      <c r="T741" s="15" t="str">
        <f t="shared" si="5"/>
        <v>B-6</v>
      </c>
      <c r="U741" s="15" t="str">
        <f t="shared" si="6"/>
        <v>T2-M3-H3-FB-6-FOOD</v>
      </c>
      <c r="V741" s="15">
        <f t="shared" si="7"/>
        <v>0</v>
      </c>
      <c r="W741" s="31"/>
      <c r="X741" s="15" t="str">
        <f t="shared" si="8"/>
        <v>vicenza-italy</v>
      </c>
      <c r="Y741" s="32" t="str">
        <f t="shared" si="9"/>
        <v>https://steelmanufacturer.in/market-area/electropolished-pipes-manufacturer-in-vicenza-italy/</v>
      </c>
      <c r="Z741" s="15" t="str">
        <f t="shared" si="10"/>
        <v>Electropolished Pipes Manufacturer in Vicenza</v>
      </c>
      <c r="AA741" s="15" t="str">
        <f t="shared" si="11"/>
        <v>OK (45)</v>
      </c>
      <c r="AB741" s="15" t="str">
        <f t="shared" si="12"/>
        <v>EP stainless tube for food processing lines in Vicenza. 18-24 days sea from Nhava Sheva to Genoa. ASTM A270 S2, PMI tested, EN 10204 3.1.</v>
      </c>
      <c r="AC741" s="15" t="str">
        <f t="shared" si="13"/>
        <v>OK (137)</v>
      </c>
      <c r="AD741" s="15" t="str">
        <f t="shared" si="14"/>
        <v>Electropolished Pipes Manufacturer in Vicenza</v>
      </c>
      <c r="AE741" s="15" t="str">
        <f t="shared" si="15"/>
        <v>Electropolished Pipes Manufacturer in Vicenza - Our Process &amp; Capability</v>
      </c>
      <c r="AF741" s="15" t="str">
        <f t="shared" si="16"/>
        <v>Electropolished Pipes Supplier in Vicenza - What We Hold in Stock</v>
      </c>
      <c r="AG741" s="15" t="str">
        <f t="shared" si="17"/>
        <v>Bulk &amp; Wholesale Electropolished Pipe Rates for Vicenza Buyers</v>
      </c>
      <c r="AH741" s="15" t="str">
        <f t="shared" si="18"/>
        <v>electropolished pipes manufacturer in Vicenza, electropolished pipes supplier in Vicenza, electropolished pipes wholesaler in Vicenza, electropolished tube manufacturer Vicenza, EP pipe supplier Vicenza, sanitary tube supplier Vicenza, ASME BPE tubing Vicenza, ASTM A270 tube Vicenza, SS 316L electropolished pipe Vicenza</v>
      </c>
      <c r="AI741" s="15" t="str">
        <f t="shared" si="19"/>
        <v>Electropolished Pipes Manufacturer &amp; Supplier in Vicenza</v>
      </c>
      <c r="AJ741" s="15" t="str">
        <f t="shared" si="20"/>
        <v>EP-finished SS 304/316L pipes and tubes for food processing plants in Vicenza. ASME BPE SF1-SF4, Ra from 0.25 um, EN 10204 3.1 certificate with every lot.</v>
      </c>
      <c r="AK741" s="15" t="str">
        <f t="shared" si="21"/>
        <v>Electropolished stainless steel pipes supplied by Sakshi Forge to food processing plants at Vicenza Industrial Zone, Vicenza</v>
      </c>
      <c r="AL741" s="15" t="str">
        <f t="shared" si="22"/>
        <v>Electropolished SS 316L tube stock for Vicenza - Sakshi Forge</v>
      </c>
      <c r="AM741" s="15" t="str">
        <f t="shared" si="23"/>
        <v>Home &gt; Market Area &gt; Italy &gt; Veneto &gt; Vicenza</v>
      </c>
      <c r="AN741" s="15">
        <f t="shared" si="24"/>
        <v>1000</v>
      </c>
      <c r="AO741" s="15">
        <f t="shared" si="25"/>
        <v>8</v>
      </c>
      <c r="AP741" s="15">
        <f t="shared" si="26"/>
        <v>8</v>
      </c>
      <c r="AQ741" s="15">
        <f t="shared" si="27"/>
        <v>13</v>
      </c>
      <c r="AR741" s="31"/>
      <c r="AS741" s="31"/>
      <c r="AT741" s="35" t="s">
        <v>222</v>
      </c>
      <c r="AU741" s="35"/>
    </row>
    <row r="742" ht="15.75" customHeight="1">
      <c r="A742" s="15" t="s">
        <v>8785</v>
      </c>
      <c r="B742" s="15" t="s">
        <v>217</v>
      </c>
      <c r="C742" s="15" t="s">
        <v>8786</v>
      </c>
      <c r="D742" s="15" t="s">
        <v>8786</v>
      </c>
      <c r="E742" s="15" t="s">
        <v>8786</v>
      </c>
      <c r="F742" s="65" t="s">
        <v>788</v>
      </c>
      <c r="G742" s="17" t="s">
        <v>88</v>
      </c>
      <c r="H742" s="18" t="s">
        <v>8787</v>
      </c>
      <c r="I742" s="18" t="s">
        <v>8787</v>
      </c>
      <c r="J742" s="18" t="s">
        <v>8788</v>
      </c>
      <c r="K742" s="18" t="s">
        <v>94</v>
      </c>
      <c r="L742" s="18" t="s">
        <v>7129</v>
      </c>
      <c r="M742" s="18" t="s">
        <v>513</v>
      </c>
      <c r="N742" s="18" t="s">
        <v>218</v>
      </c>
      <c r="O742" s="18" t="s">
        <v>98</v>
      </c>
      <c r="P742" s="15" t="str">
        <f t="shared" si="1"/>
        <v>FOOD</v>
      </c>
      <c r="Q742" s="15">
        <f t="shared" si="2"/>
        <v>3</v>
      </c>
      <c r="R742" s="15">
        <f t="shared" si="3"/>
        <v>4</v>
      </c>
      <c r="S742" s="15">
        <f t="shared" si="4"/>
        <v>4</v>
      </c>
      <c r="T742" s="15" t="str">
        <f t="shared" si="5"/>
        <v>B-1</v>
      </c>
      <c r="U742" s="15" t="str">
        <f t="shared" si="6"/>
        <v>T3-M4-H4-FB-1-FOOD</v>
      </c>
      <c r="V742" s="15">
        <f t="shared" si="7"/>
        <v>0</v>
      </c>
      <c r="W742" s="31"/>
      <c r="X742" s="15" t="str">
        <f t="shared" si="8"/>
        <v>al-farwaniyah-kuwait</v>
      </c>
      <c r="Y742" s="32" t="str">
        <f t="shared" si="9"/>
        <v>https://steelmanufacturer.in/market-area/electropolished-pipes-manufacturer-in-al-farwaniyah-kuwait/</v>
      </c>
      <c r="Z742" s="15" t="str">
        <f t="shared" si="10"/>
        <v>Electropolished Pipes Manufacturer in Al Farwaniyah</v>
      </c>
      <c r="AA742" s="15" t="str">
        <f t="shared" si="11"/>
        <v>OK (51)</v>
      </c>
      <c r="AB742" s="15" t="str">
        <f t="shared" si="12"/>
        <v>Sanitary electropolished pipes in Al Farwaniyah for food processing plants. ASME BPE SF1-SF4, orbital-weld ready, 3.1 MTC. Mumbai-made.</v>
      </c>
      <c r="AC742" s="15" t="str">
        <f t="shared" si="13"/>
        <v>OK (135)</v>
      </c>
      <c r="AD742" s="15" t="str">
        <f t="shared" si="14"/>
        <v>Electropolished Pipes Manufacturer in Al Farwaniyah</v>
      </c>
      <c r="AE742" s="15" t="str">
        <f t="shared" si="15"/>
        <v>Manufacturing Electropolished SS Tube for Al Farwaniyah: The Standards We Build To</v>
      </c>
      <c r="AF742" s="15" t="str">
        <f t="shared" si="16"/>
        <v>Electropolished Pipe Supply Into Al Farwaniyah - Certification &amp; Transit</v>
      </c>
      <c r="AG742" s="15" t="str">
        <f t="shared" si="17"/>
        <v>Electropolished Pipes Wholesaler in Al Farwaniyah - Project Quantities &amp; Terms</v>
      </c>
      <c r="AH742" s="15" t="str">
        <f t="shared" si="18"/>
        <v>electropolished pipes manufacturer in Al Farwaniyah, electropolished pipes supplier in Al Farwaniyah, electropolished pipes wholesaler in Al Farwaniyah, electropolished tube manufacturer Al Farwaniyah, EP pipe supplier Al Farwaniyah, sanitary tube supplier Al Farwaniyah, ASME BPE tubing Al Farwaniyah, ASTM A270 tube Al Farwaniyah, SS 316L electropolished pipe Al Farwaniyah</v>
      </c>
      <c r="AI742" s="15" t="str">
        <f t="shared" si="19"/>
        <v>Electropolished Pipes Manufacturer &amp; Supplier in Al Farwaniyah</v>
      </c>
      <c r="AJ742" s="15" t="str">
        <f t="shared" si="20"/>
        <v>EP-finished SS 304/316L pipes and tubes for food processing plants in Al Farwaniyah. ASME BPE SF1-SF4, Ra from 0.25 um, EN 10204 3.1 certificate with every lot.</v>
      </c>
      <c r="AK742" s="15" t="str">
        <f t="shared" si="21"/>
        <v>Electropolished stainless steel pipes supplied by Sakshi Forge to food processing plants at Ardiya Industrial Area, Al Farwaniyah</v>
      </c>
      <c r="AL742" s="15" t="str">
        <f t="shared" si="22"/>
        <v>Electropolished SS 316L tube stock for Al Farwaniyah - Sakshi Forge</v>
      </c>
      <c r="AM742" s="15" t="str">
        <f t="shared" si="23"/>
        <v>Home &gt; Market Area &gt; Kuwait &gt; Al Farwaniyah &gt; Al Farwaniyah</v>
      </c>
      <c r="AN742" s="15">
        <f t="shared" si="24"/>
        <v>1000</v>
      </c>
      <c r="AO742" s="15">
        <f t="shared" si="25"/>
        <v>8</v>
      </c>
      <c r="AP742" s="15">
        <f t="shared" si="26"/>
        <v>8</v>
      </c>
      <c r="AQ742" s="15">
        <f t="shared" si="27"/>
        <v>13</v>
      </c>
      <c r="AR742" s="31"/>
      <c r="AS742" s="31"/>
      <c r="AT742" s="35" t="s">
        <v>222</v>
      </c>
      <c r="AU742" s="35"/>
    </row>
    <row r="743" ht="15.75" customHeight="1">
      <c r="A743" s="15" t="s">
        <v>8789</v>
      </c>
      <c r="B743" s="15" t="s">
        <v>217</v>
      </c>
      <c r="C743" s="15" t="s">
        <v>8790</v>
      </c>
      <c r="D743" s="15" t="s">
        <v>8790</v>
      </c>
      <c r="E743" s="15" t="s">
        <v>8790</v>
      </c>
      <c r="F743" s="65" t="s">
        <v>788</v>
      </c>
      <c r="G743" s="17" t="s">
        <v>88</v>
      </c>
      <c r="H743" s="18" t="s">
        <v>8791</v>
      </c>
      <c r="I743" s="18" t="s">
        <v>8791</v>
      </c>
      <c r="J743" s="18" t="s">
        <v>8792</v>
      </c>
      <c r="K743" s="18" t="s">
        <v>94</v>
      </c>
      <c r="L743" s="18" t="s">
        <v>7129</v>
      </c>
      <c r="M743" s="18" t="s">
        <v>513</v>
      </c>
      <c r="N743" s="18" t="s">
        <v>218</v>
      </c>
      <c r="O743" s="18" t="s">
        <v>98</v>
      </c>
      <c r="P743" s="15" t="str">
        <f t="shared" si="1"/>
        <v>FOOD</v>
      </c>
      <c r="Q743" s="15">
        <f t="shared" si="2"/>
        <v>4</v>
      </c>
      <c r="R743" s="15">
        <f t="shared" si="3"/>
        <v>5</v>
      </c>
      <c r="S743" s="15">
        <f t="shared" si="4"/>
        <v>5</v>
      </c>
      <c r="T743" s="15" t="str">
        <f t="shared" si="5"/>
        <v>B-2</v>
      </c>
      <c r="U743" s="15" t="str">
        <f t="shared" si="6"/>
        <v>T4-M5-H5-FB-2-FOOD</v>
      </c>
      <c r="V743" s="15">
        <f t="shared" si="7"/>
        <v>0</v>
      </c>
      <c r="W743" s="31"/>
      <c r="X743" s="15" t="str">
        <f t="shared" si="8"/>
        <v>al-jahra-kuwait</v>
      </c>
      <c r="Y743" s="32" t="str">
        <f t="shared" si="9"/>
        <v>https://steelmanufacturer.in/market-area/electropolished-pipes-manufacturer-in-al-jahra-kuwait/</v>
      </c>
      <c r="Z743" s="15" t="str">
        <f t="shared" si="10"/>
        <v>Electropolished Pipes Manufacturer in Al Jahra</v>
      </c>
      <c r="AA743" s="15" t="str">
        <f t="shared" si="11"/>
        <v>OK (46)</v>
      </c>
      <c r="AB743" s="15" t="str">
        <f t="shared" si="12"/>
        <v>Manufacturer of electropolished SS 316L tube serving Al Jahra. 14-18 days sea from Nhava Sheva to Shuwaikh. Ra 0.25-0.5 um, EN 10204 3.1 MTC.</v>
      </c>
      <c r="AC743" s="15" t="str">
        <f t="shared" si="13"/>
        <v>OK (141)</v>
      </c>
      <c r="AD743" s="15" t="str">
        <f t="shared" si="14"/>
        <v>Electropolished Pipes Manufacturer in Al Jahra</v>
      </c>
      <c r="AE743" s="15" t="str">
        <f t="shared" si="15"/>
        <v>Electropolished Tube Manufacturing Capability Serving Al Jahra</v>
      </c>
      <c r="AF743" s="15" t="str">
        <f t="shared" si="16"/>
        <v>Electropolished Pipes Supplier in Al Jahra - From Order to Delivery</v>
      </c>
      <c r="AG743" s="15" t="str">
        <f t="shared" si="17"/>
        <v>Stockist &amp; Wholesale Supply of Electropolished Pipes in Al Jahra</v>
      </c>
      <c r="AH743" s="15" t="str">
        <f t="shared" si="18"/>
        <v>electropolished pipes manufacturer in Al Jahra, electropolished pipes supplier in Al Jahra, electropolished pipes wholesaler in Al Jahra, electropolished tube manufacturer Al Jahra, EP pipe supplier Al Jahra, sanitary tube supplier Al Jahra, ASME BPE tubing Al Jahra, ASTM A270 tube Al Jahra, SS 316L electropolished pipe Al Jahra</v>
      </c>
      <c r="AI743" s="15" t="str">
        <f t="shared" si="19"/>
        <v>Electropolished Pipes Manufacturer &amp; Supplier in Al Jahra</v>
      </c>
      <c r="AJ743" s="15" t="str">
        <f t="shared" si="20"/>
        <v>EP-finished SS 304/316L pipes and tubes for food processing plants in Al Jahra. ASME BPE SF1-SF4, Ra from 0.25 um, EN 10204 3.1 certificate with every lot.</v>
      </c>
      <c r="AK743" s="15" t="str">
        <f t="shared" si="21"/>
        <v>Electropolished stainless steel pipes supplied by Sakshi Forge to food processing plants at Amghara Industrial Area, Al Jahra</v>
      </c>
      <c r="AL743" s="15" t="str">
        <f t="shared" si="22"/>
        <v>Electropolished SS 316L tube stock for Al Jahra - Sakshi Forge</v>
      </c>
      <c r="AM743" s="15" t="str">
        <f t="shared" si="23"/>
        <v>Home &gt; Market Area &gt; Kuwait &gt; Al Jahra &gt; Al Jahra</v>
      </c>
      <c r="AN743" s="15">
        <f t="shared" si="24"/>
        <v>1000</v>
      </c>
      <c r="AO743" s="15">
        <f t="shared" si="25"/>
        <v>8</v>
      </c>
      <c r="AP743" s="15">
        <f t="shared" si="26"/>
        <v>8</v>
      </c>
      <c r="AQ743" s="15">
        <f t="shared" si="27"/>
        <v>13</v>
      </c>
      <c r="AR743" s="31"/>
      <c r="AS743" s="31"/>
      <c r="AT743" s="35" t="s">
        <v>222</v>
      </c>
      <c r="AU743" s="35"/>
    </row>
    <row r="744" ht="15.75" customHeight="1">
      <c r="A744" s="15" t="s">
        <v>8793</v>
      </c>
      <c r="B744" s="15" t="s">
        <v>217</v>
      </c>
      <c r="C744" s="15" t="s">
        <v>7099</v>
      </c>
      <c r="D744" s="15" t="s">
        <v>8794</v>
      </c>
      <c r="E744" s="15" t="s">
        <v>8794</v>
      </c>
      <c r="F744" s="65" t="s">
        <v>788</v>
      </c>
      <c r="G744" s="17" t="s">
        <v>88</v>
      </c>
      <c r="H744" s="18" t="s">
        <v>8795</v>
      </c>
      <c r="I744" s="18" t="s">
        <v>8795</v>
      </c>
      <c r="J744" s="18" t="s">
        <v>7103</v>
      </c>
      <c r="K744" s="18" t="s">
        <v>1084</v>
      </c>
      <c r="L744" s="18" t="s">
        <v>8796</v>
      </c>
      <c r="M744" s="18" t="s">
        <v>513</v>
      </c>
      <c r="N744" s="18" t="s">
        <v>218</v>
      </c>
      <c r="O744" s="18" t="s">
        <v>98</v>
      </c>
      <c r="P744" s="15" t="str">
        <f t="shared" si="1"/>
        <v>CHEM</v>
      </c>
      <c r="Q744" s="15">
        <f t="shared" si="2"/>
        <v>5</v>
      </c>
      <c r="R744" s="15">
        <f t="shared" si="3"/>
        <v>6</v>
      </c>
      <c r="S744" s="15">
        <f t="shared" si="4"/>
        <v>1</v>
      </c>
      <c r="T744" s="15" t="str">
        <f t="shared" si="5"/>
        <v>B-3</v>
      </c>
      <c r="U744" s="15" t="str">
        <f t="shared" si="6"/>
        <v>T5-M6-H1-FB-3-CHEM</v>
      </c>
      <c r="V744" s="15">
        <f t="shared" si="7"/>
        <v>0</v>
      </c>
      <c r="W744" s="31"/>
      <c r="X744" s="15" t="str">
        <f t="shared" si="8"/>
        <v>mina-abdullah-kuwait</v>
      </c>
      <c r="Y744" s="32" t="str">
        <f t="shared" si="9"/>
        <v>https://steelmanufacturer.in/market-area/electropolished-pipes-manufacturer-in-mina-abdullah-kuwait/</v>
      </c>
      <c r="Z744" s="15" t="str">
        <f t="shared" si="10"/>
        <v>Electropolished Pipes Manufacturer in Mina Abdullah</v>
      </c>
      <c r="AA744" s="15" t="str">
        <f t="shared" si="11"/>
        <v>OK (51)</v>
      </c>
      <c r="AB744" s="15" t="str">
        <f t="shared" si="12"/>
        <v>EP tube and pipe for petrochemical plants around Mina Abdullah Refinery Complex, Mina Abdullah. ASTM A270, ASME BPE SF1-SF4, EN 10204 3.1 MTC.</v>
      </c>
      <c r="AC744" s="15" t="str">
        <f t="shared" si="13"/>
        <v>OK (142)</v>
      </c>
      <c r="AD744" s="15" t="str">
        <f t="shared" si="14"/>
        <v>Electropolished Pipes Manufacturer in Mina Abdullah</v>
      </c>
      <c r="AE744" s="15" t="str">
        <f t="shared" si="15"/>
        <v>Electropolished Pipe &amp; Tube Manufacturing for Mina Abdullah - Grades, Finishes &amp; Certification</v>
      </c>
      <c r="AF744" s="15" t="str">
        <f t="shared" si="16"/>
        <v>Electropolished Pipes Supplier in Mina Abdullah - Stock Sizes, Lead Time &amp; Delivery</v>
      </c>
      <c r="AG744" s="15" t="str">
        <f t="shared" si="17"/>
        <v>Electropolished Pipes Wholesaler &amp; Stockist in Mina Abdullah - Bulk &amp; Project Pricing</v>
      </c>
      <c r="AH744" s="15" t="str">
        <f t="shared" si="18"/>
        <v>electropolished pipes manufacturer in Mina Abdullah, electropolished pipes supplier in Mina Abdullah, electropolished pipes wholesaler in Mina Abdullah, electropolished tube manufacturer Mina Abdullah, EP pipe supplier Mina Abdullah, sanitary tube supplier Mina Abdullah, ASME BPE tubing Mina Abdullah, ASTM A270 tube Mina Abdullah, SS 316L electropolished pipe Mina Abdullah</v>
      </c>
      <c r="AI744" s="15" t="str">
        <f t="shared" si="19"/>
        <v>Electropolished Pipes Manufacturer &amp; Supplier in Mina Abdullah</v>
      </c>
      <c r="AJ744" s="15" t="str">
        <f t="shared" si="20"/>
        <v>EP-finished SS 304/316L pipes and tubes for petrochemical plants in Mina Abdullah. ASME BPE SF1-SF4, Ra from 0.25 um, EN 10204 3.1 certificate with every lot.</v>
      </c>
      <c r="AK744" s="15" t="str">
        <f t="shared" si="21"/>
        <v>Electropolished stainless steel pipes supplied by Sakshi Forge to petrochemical plants at Mina Abdullah Refinery Complex, Mina Abdullah</v>
      </c>
      <c r="AL744" s="15" t="str">
        <f t="shared" si="22"/>
        <v>Electropolished SS 316L tube stock for Mina Abdullah - Sakshi Forge</v>
      </c>
      <c r="AM744" s="15" t="str">
        <f t="shared" si="23"/>
        <v>Home &gt; Market Area &gt; Kuwait &gt; Al Ahmadi &gt; Mina Abdullah</v>
      </c>
      <c r="AN744" s="15">
        <f t="shared" si="24"/>
        <v>1000</v>
      </c>
      <c r="AO744" s="15">
        <f t="shared" si="25"/>
        <v>8</v>
      </c>
      <c r="AP744" s="15">
        <f t="shared" si="26"/>
        <v>8</v>
      </c>
      <c r="AQ744" s="15">
        <f t="shared" si="27"/>
        <v>13</v>
      </c>
      <c r="AR744" s="31"/>
      <c r="AS744" s="31"/>
      <c r="AT744" s="35" t="s">
        <v>222</v>
      </c>
      <c r="AU744" s="35"/>
    </row>
    <row r="745" ht="15.75" customHeight="1">
      <c r="A745" s="15" t="s">
        <v>8797</v>
      </c>
      <c r="B745" s="15" t="s">
        <v>217</v>
      </c>
      <c r="C745" s="15" t="s">
        <v>8790</v>
      </c>
      <c r="D745" s="15" t="s">
        <v>8798</v>
      </c>
      <c r="E745" s="15" t="s">
        <v>8798</v>
      </c>
      <c r="F745" s="65" t="s">
        <v>788</v>
      </c>
      <c r="G745" s="17" t="s">
        <v>88</v>
      </c>
      <c r="H745" s="18" t="s">
        <v>8799</v>
      </c>
      <c r="I745" s="18" t="s">
        <v>8799</v>
      </c>
      <c r="J745" s="18" t="s">
        <v>8800</v>
      </c>
      <c r="K745" s="18" t="s">
        <v>94</v>
      </c>
      <c r="L745" s="18" t="s">
        <v>7129</v>
      </c>
      <c r="M745" s="18" t="s">
        <v>513</v>
      </c>
      <c r="N745" s="18" t="s">
        <v>218</v>
      </c>
      <c r="O745" s="18" t="s">
        <v>98</v>
      </c>
      <c r="P745" s="15" t="str">
        <f t="shared" si="1"/>
        <v>FOOD</v>
      </c>
      <c r="Q745" s="15">
        <f t="shared" si="2"/>
        <v>6</v>
      </c>
      <c r="R745" s="15">
        <f t="shared" si="3"/>
        <v>7</v>
      </c>
      <c r="S745" s="15">
        <f t="shared" si="4"/>
        <v>2</v>
      </c>
      <c r="T745" s="15" t="str">
        <f t="shared" si="5"/>
        <v>B-4</v>
      </c>
      <c r="U745" s="15" t="str">
        <f t="shared" si="6"/>
        <v>T6-M7-H2-FB-4-FOOD</v>
      </c>
      <c r="V745" s="15">
        <f t="shared" si="7"/>
        <v>0</v>
      </c>
      <c r="W745" s="31"/>
      <c r="X745" s="15" t="str">
        <f t="shared" si="8"/>
        <v>sulaibiya-kuwait</v>
      </c>
      <c r="Y745" s="32" t="str">
        <f t="shared" si="9"/>
        <v>https://steelmanufacturer.in/market-area/electropolished-pipes-manufacturer-in-sulaibiya-kuwait/</v>
      </c>
      <c r="Z745" s="15" t="str">
        <f t="shared" si="10"/>
        <v>Electropolished Pipes Manufacturer in Sulaibiya</v>
      </c>
      <c r="AA745" s="15" t="str">
        <f t="shared" si="11"/>
        <v>OK (47)</v>
      </c>
      <c r="AB745" s="15" t="str">
        <f t="shared" si="12"/>
        <v>Electropolished pipes in Sulaibiya: 304, 304L, 316 and 316L in SF1-SF4. 14-18 days sea from Nhava Sheva to Shuwaikh. Mill certified.</v>
      </c>
      <c r="AC745" s="15" t="str">
        <f t="shared" si="13"/>
        <v>OK (132)</v>
      </c>
      <c r="AD745" s="15" t="str">
        <f t="shared" si="14"/>
        <v>Electropolished Pipes Manufacturer in Sulaibiya</v>
      </c>
      <c r="AE745" s="15" t="str">
        <f t="shared" si="15"/>
        <v>How We Manufacture Electropolished Tube for Sulaibiya Plants</v>
      </c>
      <c r="AF745" s="15" t="str">
        <f t="shared" si="16"/>
        <v>Supplying Electropolished Pipes in Sulaibiya: Availability, Sizes &amp; Dispatch</v>
      </c>
      <c r="AG745" s="15" t="str">
        <f t="shared" si="17"/>
        <v>Wholesale Electropolished Pipe Supply for Sulaibiya Projects</v>
      </c>
      <c r="AH745" s="15" t="str">
        <f t="shared" si="18"/>
        <v>electropolished pipes manufacturer in Sulaibiya, electropolished pipes supplier in Sulaibiya, electropolished pipes wholesaler in Sulaibiya, electropolished tube manufacturer Sulaibiya, EP pipe supplier Sulaibiya, sanitary tube supplier Sulaibiya, ASME BPE tubing Sulaibiya, ASTM A270 tube Sulaibiya, SS 316L electropolished pipe Sulaibiya</v>
      </c>
      <c r="AI745" s="15" t="str">
        <f t="shared" si="19"/>
        <v>Electropolished Pipes Manufacturer &amp; Supplier in Sulaibiya</v>
      </c>
      <c r="AJ745" s="15" t="str">
        <f t="shared" si="20"/>
        <v>EP-finished SS 304/316L pipes and tubes for food processing plants in Sulaibiya. ASME BPE SF1-SF4, Ra from 0.25 um, EN 10204 3.1 certificate with every lot.</v>
      </c>
      <c r="AK745" s="15" t="str">
        <f t="shared" si="21"/>
        <v>Electropolished stainless steel pipes supplied by Sakshi Forge to food processing plants at Sulaibiya Industrial Area, Sulaibiya</v>
      </c>
      <c r="AL745" s="15" t="str">
        <f t="shared" si="22"/>
        <v>Electropolished SS 316L tube stock for Sulaibiya - Sakshi Forge</v>
      </c>
      <c r="AM745" s="15" t="str">
        <f t="shared" si="23"/>
        <v>Home &gt; Market Area &gt; Kuwait &gt; Al Jahra &gt; Sulaibiya</v>
      </c>
      <c r="AN745" s="15">
        <f t="shared" si="24"/>
        <v>1000</v>
      </c>
      <c r="AO745" s="15">
        <f t="shared" si="25"/>
        <v>8</v>
      </c>
      <c r="AP745" s="15">
        <f t="shared" si="26"/>
        <v>8</v>
      </c>
      <c r="AQ745" s="15">
        <f t="shared" si="27"/>
        <v>13</v>
      </c>
      <c r="AR745" s="31"/>
      <c r="AS745" s="31"/>
      <c r="AT745" s="35" t="s">
        <v>222</v>
      </c>
      <c r="AU745" s="35"/>
    </row>
    <row r="746" ht="15.75" customHeight="1">
      <c r="A746" s="15" t="s">
        <v>8801</v>
      </c>
      <c r="B746" s="15" t="s">
        <v>430</v>
      </c>
      <c r="C746" s="15" t="s">
        <v>7273</v>
      </c>
      <c r="D746" s="15" t="s">
        <v>8802</v>
      </c>
      <c r="E746" s="15" t="s">
        <v>8802</v>
      </c>
      <c r="F746" s="65" t="s">
        <v>788</v>
      </c>
      <c r="G746" s="17" t="s">
        <v>88</v>
      </c>
      <c r="H746" s="18" t="s">
        <v>8803</v>
      </c>
      <c r="I746" s="18" t="s">
        <v>8803</v>
      </c>
      <c r="J746" s="18" t="s">
        <v>8804</v>
      </c>
      <c r="K746" s="18" t="s">
        <v>94</v>
      </c>
      <c r="L746" s="18" t="s">
        <v>7279</v>
      </c>
      <c r="M746" s="18" t="s">
        <v>627</v>
      </c>
      <c r="N746" s="18" t="s">
        <v>444</v>
      </c>
      <c r="O746" s="18" t="s">
        <v>98</v>
      </c>
      <c r="P746" s="15" t="str">
        <f t="shared" si="1"/>
        <v>FOOD</v>
      </c>
      <c r="Q746" s="15">
        <f t="shared" si="2"/>
        <v>7</v>
      </c>
      <c r="R746" s="15">
        <f t="shared" si="3"/>
        <v>1</v>
      </c>
      <c r="S746" s="15">
        <f t="shared" si="4"/>
        <v>3</v>
      </c>
      <c r="T746" s="15" t="str">
        <f t="shared" si="5"/>
        <v>B-5</v>
      </c>
      <c r="U746" s="15" t="str">
        <f t="shared" si="6"/>
        <v>T7-M1-H3-FB-5-FOOD</v>
      </c>
      <c r="V746" s="15">
        <f t="shared" si="7"/>
        <v>0</v>
      </c>
      <c r="W746" s="31"/>
      <c r="X746" s="15" t="str">
        <f t="shared" si="8"/>
        <v>alor-setar-malaysia</v>
      </c>
      <c r="Y746" s="32" t="str">
        <f t="shared" si="9"/>
        <v>https://steelmanufacturer.in/market-area/electropolished-pipes-manufacturer-in-alor-setar-malaysia/</v>
      </c>
      <c r="Z746" s="15" t="str">
        <f t="shared" si="10"/>
        <v>Electropolished Pipes Manufacturer in Alor Setar</v>
      </c>
      <c r="AA746" s="15" t="str">
        <f t="shared" si="11"/>
        <v>OK (48)</v>
      </c>
      <c r="AB746" s="15" t="str">
        <f t="shared" si="12"/>
        <v>EP-finished SS 304/316L pipes &amp; tubes for food processing plants in Alor Setar. ASTM A270, ASME BPE SF1-SF4, EN 10204 3.1 MTC. PMI tested.</v>
      </c>
      <c r="AC746" s="15" t="str">
        <f t="shared" si="13"/>
        <v>OK (138)</v>
      </c>
      <c r="AD746" s="15" t="str">
        <f t="shared" si="14"/>
        <v>Electropolished Pipes Manufacturer in Alor Setar</v>
      </c>
      <c r="AE746" s="15" t="str">
        <f t="shared" si="15"/>
        <v>Electropolished Pipes Manufacturer in Alor Setar - Our Process &amp; Capability</v>
      </c>
      <c r="AF746" s="15" t="str">
        <f t="shared" si="16"/>
        <v>Electropolished Pipes Supplier in Alor Setar - What We Hold in Stock</v>
      </c>
      <c r="AG746" s="15" t="str">
        <f t="shared" si="17"/>
        <v>Bulk &amp; Wholesale Electropolished Pipe Rates for Alor Setar Buyers</v>
      </c>
      <c r="AH746" s="15" t="str">
        <f t="shared" si="18"/>
        <v>electropolished pipes manufacturer in Alor Setar, electropolished pipes supplier in Alor Setar, electropolished pipes wholesaler in Alor Setar, electropolished tube manufacturer Alor Setar, EP pipe supplier Alor Setar, sanitary tube supplier Alor Setar, ASME BPE tubing Alor Setar, ASTM A270 tube Alor Setar, SS 316L electropolished pipe Alor Setar</v>
      </c>
      <c r="AI746" s="15" t="str">
        <f t="shared" si="19"/>
        <v>Electropolished Pipes Manufacturer &amp; Supplier in Alor Setar</v>
      </c>
      <c r="AJ746" s="15" t="str">
        <f t="shared" si="20"/>
        <v>EP-finished SS 304/316L pipes and tubes for food processing plants in Alor Setar. ASME BPE SF1-SF4, Ra from 0.25 um, EN 10204 3.1 certificate with every lot.</v>
      </c>
      <c r="AK746" s="15" t="str">
        <f t="shared" si="21"/>
        <v>Electropolished stainless steel pipes supplied by Sakshi Forge to food processing plants at Mergong Industrial Estate, Alor Setar</v>
      </c>
      <c r="AL746" s="15" t="str">
        <f t="shared" si="22"/>
        <v>Electropolished SS 316L tube stock for Alor Setar - Sakshi Forge</v>
      </c>
      <c r="AM746" s="15" t="str">
        <f t="shared" si="23"/>
        <v>Home &gt; Market Area &gt; Malaysia &gt; Kedah &gt; Alor Setar</v>
      </c>
      <c r="AN746" s="15">
        <f t="shared" si="24"/>
        <v>1000</v>
      </c>
      <c r="AO746" s="15">
        <f t="shared" si="25"/>
        <v>8</v>
      </c>
      <c r="AP746" s="15">
        <f t="shared" si="26"/>
        <v>8</v>
      </c>
      <c r="AQ746" s="15">
        <f t="shared" si="27"/>
        <v>13</v>
      </c>
      <c r="AR746" s="31"/>
      <c r="AS746" s="31"/>
      <c r="AT746" s="35" t="s">
        <v>222</v>
      </c>
      <c r="AU746" s="35"/>
    </row>
    <row r="747" ht="15.75" customHeight="1">
      <c r="A747" s="15" t="s">
        <v>8805</v>
      </c>
      <c r="B747" s="15" t="s">
        <v>430</v>
      </c>
      <c r="C747" s="15" t="s">
        <v>8806</v>
      </c>
      <c r="D747" s="15" t="s">
        <v>8807</v>
      </c>
      <c r="E747" s="15" t="s">
        <v>8807</v>
      </c>
      <c r="F747" s="65" t="s">
        <v>788</v>
      </c>
      <c r="G747" s="17" t="s">
        <v>88</v>
      </c>
      <c r="H747" s="18" t="s">
        <v>8808</v>
      </c>
      <c r="I747" s="18" t="s">
        <v>8809</v>
      </c>
      <c r="J747" s="18" t="s">
        <v>8810</v>
      </c>
      <c r="K747" s="18" t="s">
        <v>1084</v>
      </c>
      <c r="L747" s="18" t="s">
        <v>8811</v>
      </c>
      <c r="M747" s="18" t="s">
        <v>627</v>
      </c>
      <c r="N747" s="18" t="s">
        <v>444</v>
      </c>
      <c r="O747" s="18" t="s">
        <v>98</v>
      </c>
      <c r="P747" s="15" t="str">
        <f t="shared" si="1"/>
        <v>CHEM</v>
      </c>
      <c r="Q747" s="15">
        <f t="shared" si="2"/>
        <v>8</v>
      </c>
      <c r="R747" s="15">
        <f t="shared" si="3"/>
        <v>2</v>
      </c>
      <c r="S747" s="15">
        <f t="shared" si="4"/>
        <v>4</v>
      </c>
      <c r="T747" s="15" t="str">
        <f t="shared" si="5"/>
        <v>B-6</v>
      </c>
      <c r="U747" s="15" t="str">
        <f t="shared" si="6"/>
        <v>T8-M2-H4-FB-6-CHEM</v>
      </c>
      <c r="V747" s="15">
        <f t="shared" si="7"/>
        <v>0</v>
      </c>
      <c r="W747" s="31"/>
      <c r="X747" s="15" t="str">
        <f t="shared" si="8"/>
        <v>bintulu-malaysia</v>
      </c>
      <c r="Y747" s="32" t="str">
        <f t="shared" si="9"/>
        <v>https://steelmanufacturer.in/market-area/electropolished-pipes-manufacturer-in-bintulu-malaysia/</v>
      </c>
      <c r="Z747" s="15" t="str">
        <f t="shared" si="10"/>
        <v>Electropolished Pipes Manufacturer in Bintulu - EP Tube Stockist</v>
      </c>
      <c r="AA747" s="15" t="str">
        <f t="shared" si="11"/>
        <v>OK (64)</v>
      </c>
      <c r="AB747" s="15" t="str">
        <f t="shared" si="12"/>
        <v>Electropolished tube supply to Kidurong Industrial Area, Bintulu. Ra from 0.25 um, SF4 finish, mill test certificate with every lot.</v>
      </c>
      <c r="AC747" s="15" t="str">
        <f t="shared" si="13"/>
        <v>OK (132)</v>
      </c>
      <c r="AD747" s="15" t="str">
        <f t="shared" si="14"/>
        <v>Electropolished Pipes Manufacturer in Bintulu</v>
      </c>
      <c r="AE747" s="15" t="str">
        <f t="shared" si="15"/>
        <v>Manufacturing Electropolished SS Tube for Bintulu: The Standards We Build To</v>
      </c>
      <c r="AF747" s="15" t="str">
        <f t="shared" si="16"/>
        <v>Electropolished Pipe Supply Into Bintulu - Certification &amp; Transit</v>
      </c>
      <c r="AG747" s="15" t="str">
        <f t="shared" si="17"/>
        <v>Electropolished Pipes Wholesaler in Bintulu - Project Quantities &amp; Terms</v>
      </c>
      <c r="AH747" s="15" t="str">
        <f t="shared" si="18"/>
        <v>electropolished pipes manufacturer in Bintulu, electropolished pipes supplier in Bintulu, electropolished pipes wholesaler in Bintulu, electropolished tube manufacturer Bintulu, EP pipe supplier Bintulu, sanitary tube supplier Bintulu, ASME BPE tubing Bintulu, ASTM A270 tube Bintulu, SS 316L electropolished pipe Bintulu</v>
      </c>
      <c r="AI747" s="15" t="str">
        <f t="shared" si="19"/>
        <v>Electropolished Pipes Manufacturer &amp; Supplier in Bintulu</v>
      </c>
      <c r="AJ747" s="15" t="str">
        <f t="shared" si="20"/>
        <v>EP-finished SS 304/316L pipes and tubes for petrochemical plants in Bintulu. ASME BPE SF1-SF4, Ra from 0.25 um, EN 10204 3.1 certificate with every lot.</v>
      </c>
      <c r="AK747" s="15" t="str">
        <f t="shared" si="21"/>
        <v>Electropolished stainless steel pipes supplied by Sakshi Forge to petrochemical plants at Kidurong Industrial Area, Bintulu</v>
      </c>
      <c r="AL747" s="15" t="str">
        <f t="shared" si="22"/>
        <v>Electropolished SS 316L tube stock for Bintulu - Sakshi Forge</v>
      </c>
      <c r="AM747" s="15" t="str">
        <f t="shared" si="23"/>
        <v>Home &gt; Market Area &gt; Malaysia &gt; Sarawak &gt; Bintulu</v>
      </c>
      <c r="AN747" s="15">
        <f t="shared" si="24"/>
        <v>1000</v>
      </c>
      <c r="AO747" s="15">
        <f t="shared" si="25"/>
        <v>8</v>
      </c>
      <c r="AP747" s="15">
        <f t="shared" si="26"/>
        <v>8</v>
      </c>
      <c r="AQ747" s="15">
        <f t="shared" si="27"/>
        <v>13</v>
      </c>
      <c r="AR747" s="31"/>
      <c r="AS747" s="31"/>
      <c r="AT747" s="35" t="s">
        <v>222</v>
      </c>
      <c r="AU747" s="35"/>
    </row>
    <row r="748" ht="15.75" customHeight="1">
      <c r="A748" s="15" t="s">
        <v>8812</v>
      </c>
      <c r="B748" s="15" t="s">
        <v>430</v>
      </c>
      <c r="C748" s="15" t="s">
        <v>8813</v>
      </c>
      <c r="D748" s="15" t="s">
        <v>8814</v>
      </c>
      <c r="E748" s="15" t="s">
        <v>8814</v>
      </c>
      <c r="F748" s="65" t="s">
        <v>788</v>
      </c>
      <c r="G748" s="17" t="s">
        <v>88</v>
      </c>
      <c r="H748" s="18" t="s">
        <v>8815</v>
      </c>
      <c r="I748" s="18" t="s">
        <v>8816</v>
      </c>
      <c r="J748" s="18" t="s">
        <v>8817</v>
      </c>
      <c r="K748" s="18" t="s">
        <v>94</v>
      </c>
      <c r="L748" s="18" t="s">
        <v>7225</v>
      </c>
      <c r="M748" s="18" t="s">
        <v>627</v>
      </c>
      <c r="N748" s="18" t="s">
        <v>444</v>
      </c>
      <c r="O748" s="18" t="s">
        <v>98</v>
      </c>
      <c r="P748" s="15" t="str">
        <f t="shared" si="1"/>
        <v>FOOD</v>
      </c>
      <c r="Q748" s="15">
        <f t="shared" si="2"/>
        <v>1</v>
      </c>
      <c r="R748" s="15">
        <f t="shared" si="3"/>
        <v>3</v>
      </c>
      <c r="S748" s="15">
        <f t="shared" si="4"/>
        <v>5</v>
      </c>
      <c r="T748" s="15" t="str">
        <f t="shared" si="5"/>
        <v>B-1</v>
      </c>
      <c r="U748" s="15" t="str">
        <f t="shared" si="6"/>
        <v>T1-M3-H5-FB-1-FOOD</v>
      </c>
      <c r="V748" s="15">
        <f t="shared" si="7"/>
        <v>0</v>
      </c>
      <c r="W748" s="31"/>
      <c r="X748" s="15" t="str">
        <f t="shared" si="8"/>
        <v>ipoh-malaysia</v>
      </c>
      <c r="Y748" s="32" t="str">
        <f t="shared" si="9"/>
        <v>https://steelmanufacturer.in/market-area/electropolished-pipes-manufacturer-in-ipoh-malaysia/</v>
      </c>
      <c r="Z748" s="15" t="str">
        <f t="shared" si="10"/>
        <v>Electropolished Pipes Manufacturer in Ipoh | Sakshi Forge</v>
      </c>
      <c r="AA748" s="15" t="str">
        <f t="shared" si="11"/>
        <v>OK (57)</v>
      </c>
      <c r="AB748" s="15" t="str">
        <f t="shared" si="12"/>
        <v>EP stainless tube for food processing lines in Ipoh. 8-12 days sea from Nhava Sheva to Port Klang. ASTM A270 S2, PMI tested, EN 10204 3.1.</v>
      </c>
      <c r="AC748" s="15" t="str">
        <f t="shared" si="13"/>
        <v>OK (138)</v>
      </c>
      <c r="AD748" s="15" t="str">
        <f t="shared" si="14"/>
        <v>Electropolished Pipes Manufacturer in Ipoh</v>
      </c>
      <c r="AE748" s="15" t="str">
        <f t="shared" si="15"/>
        <v>Electropolished Tube Manufacturing Capability Serving Ipoh</v>
      </c>
      <c r="AF748" s="15" t="str">
        <f t="shared" si="16"/>
        <v>Electropolished Pipes Supplier in Ipoh - From Order to Delivery</v>
      </c>
      <c r="AG748" s="15" t="str">
        <f t="shared" si="17"/>
        <v>Stockist &amp; Wholesale Supply of Electropolished Pipes in Ipoh</v>
      </c>
      <c r="AH748" s="15" t="str">
        <f t="shared" si="18"/>
        <v>electropolished pipes manufacturer in Ipoh, electropolished pipes supplier in Ipoh, electropolished pipes wholesaler in Ipoh, electropolished tube manufacturer Ipoh, EP pipe supplier Ipoh, sanitary tube supplier Ipoh, ASME BPE tubing Ipoh, ASTM A270 tube Ipoh, SS 316L electropolished pipe Ipoh</v>
      </c>
      <c r="AI748" s="15" t="str">
        <f t="shared" si="19"/>
        <v>Electropolished Pipes Manufacturer &amp; Supplier in Ipoh</v>
      </c>
      <c r="AJ748" s="15" t="str">
        <f t="shared" si="20"/>
        <v>EP-finished SS 304/316L pipes and tubes for food processing plants in Ipoh. ASME BPE SF1-SF4, Ra from 0.25 um, EN 10204 3.1 certificate with every lot.</v>
      </c>
      <c r="AK748" s="15" t="str">
        <f t="shared" si="21"/>
        <v>Electropolished stainless steel pipes supplied by Sakshi Forge to food processing plants at Tasek Industrial Estate, Ipoh</v>
      </c>
      <c r="AL748" s="15" t="str">
        <f t="shared" si="22"/>
        <v>Electropolished SS 316L tube stock for Ipoh - Sakshi Forge</v>
      </c>
      <c r="AM748" s="15" t="str">
        <f t="shared" si="23"/>
        <v>Home &gt; Market Area &gt; Malaysia &gt; Perak &gt; Ipoh</v>
      </c>
      <c r="AN748" s="15">
        <f t="shared" si="24"/>
        <v>1000</v>
      </c>
      <c r="AO748" s="15">
        <f t="shared" si="25"/>
        <v>8</v>
      </c>
      <c r="AP748" s="15">
        <f t="shared" si="26"/>
        <v>8</v>
      </c>
      <c r="AQ748" s="15">
        <f t="shared" si="27"/>
        <v>13</v>
      </c>
      <c r="AR748" s="31"/>
      <c r="AS748" s="31"/>
      <c r="AT748" s="35" t="s">
        <v>222</v>
      </c>
      <c r="AU748" s="35"/>
    </row>
    <row r="749" ht="15.75" customHeight="1">
      <c r="A749" s="15" t="s">
        <v>8818</v>
      </c>
      <c r="B749" s="15" t="s">
        <v>430</v>
      </c>
      <c r="C749" s="15" t="s">
        <v>8819</v>
      </c>
      <c r="D749" s="15" t="s">
        <v>8820</v>
      </c>
      <c r="E749" s="15" t="s">
        <v>8820</v>
      </c>
      <c r="F749" s="65" t="s">
        <v>788</v>
      </c>
      <c r="G749" s="17" t="s">
        <v>88</v>
      </c>
      <c r="H749" s="18" t="s">
        <v>8821</v>
      </c>
      <c r="I749" s="18" t="s">
        <v>8821</v>
      </c>
      <c r="J749" s="18" t="s">
        <v>8822</v>
      </c>
      <c r="K749" s="18" t="s">
        <v>94</v>
      </c>
      <c r="L749" s="18" t="s">
        <v>8823</v>
      </c>
      <c r="M749" s="18" t="s">
        <v>627</v>
      </c>
      <c r="N749" s="18" t="s">
        <v>444</v>
      </c>
      <c r="O749" s="18" t="s">
        <v>98</v>
      </c>
      <c r="P749" s="15" t="str">
        <f t="shared" si="1"/>
        <v>FOOD</v>
      </c>
      <c r="Q749" s="15">
        <f t="shared" si="2"/>
        <v>2</v>
      </c>
      <c r="R749" s="15">
        <f t="shared" si="3"/>
        <v>4</v>
      </c>
      <c r="S749" s="15">
        <f t="shared" si="4"/>
        <v>1</v>
      </c>
      <c r="T749" s="15" t="str">
        <f t="shared" si="5"/>
        <v>B-2</v>
      </c>
      <c r="U749" s="15" t="str">
        <f t="shared" si="6"/>
        <v>T2-M4-H1-FB-2-FOOD</v>
      </c>
      <c r="V749" s="15">
        <f t="shared" si="7"/>
        <v>0</v>
      </c>
      <c r="W749" s="31"/>
      <c r="X749" s="15" t="str">
        <f t="shared" si="8"/>
        <v>kota-kinabalu-malaysia</v>
      </c>
      <c r="Y749" s="32" t="str">
        <f t="shared" si="9"/>
        <v>https://steelmanufacturer.in/market-area/electropolished-pipes-manufacturer-in-kota-kinabalu-malaysia/</v>
      </c>
      <c r="Z749" s="15" t="str">
        <f t="shared" si="10"/>
        <v>Electropolished Pipes Manufacturer in Kota Kinabalu</v>
      </c>
      <c r="AA749" s="15" t="str">
        <f t="shared" si="11"/>
        <v>OK (51)</v>
      </c>
      <c r="AB749" s="15" t="str">
        <f t="shared" si="12"/>
        <v>Sanitary electropolished pipes in Kota Kinabalu for food processing plants. ASME BPE SF1-SF4, orbital-weld ready, 3.1 MTC. Mumbai-made.</v>
      </c>
      <c r="AC749" s="15" t="str">
        <f t="shared" si="13"/>
        <v>OK (135)</v>
      </c>
      <c r="AD749" s="15" t="str">
        <f t="shared" si="14"/>
        <v>Electropolished Pipes Manufacturer in Kota Kinabalu</v>
      </c>
      <c r="AE749" s="15" t="str">
        <f t="shared" si="15"/>
        <v>Electropolished Pipe &amp; Tube Manufacturing for Kota Kinabalu - Grades, Finishes &amp; Certification</v>
      </c>
      <c r="AF749" s="15" t="str">
        <f t="shared" si="16"/>
        <v>Electropolished Pipes Supplier in Kota Kinabalu - Stock Sizes, Lead Time &amp; Delivery</v>
      </c>
      <c r="AG749" s="15" t="str">
        <f t="shared" si="17"/>
        <v>Electropolished Pipes Wholesaler &amp; Stockist in Kota Kinabalu - Bulk &amp; Project Pricing</v>
      </c>
      <c r="AH749" s="15" t="str">
        <f t="shared" si="18"/>
        <v>electropolished pipes manufacturer in Kota Kinabalu, electropolished pipes supplier in Kota Kinabalu, electropolished pipes wholesaler in Kota Kinabalu, electropolished tube manufacturer Kota Kinabalu, EP pipe supplier Kota Kinabalu, sanitary tube supplier Kota Kinabalu, ASME BPE tubing Kota Kinabalu, ASTM A270 tube Kota Kinabalu, SS 316L electropolished pipe Kota Kinabalu</v>
      </c>
      <c r="AI749" s="15" t="str">
        <f t="shared" si="19"/>
        <v>Electropolished Pipes Manufacturer &amp; Supplier in Kota Kinabalu</v>
      </c>
      <c r="AJ749" s="15" t="str">
        <f t="shared" si="20"/>
        <v>EP-finished SS 304/316L pipes and tubes for food processing plants in Kota Kinabalu. ASME BPE SF1-SF4, Ra from 0.25 um, EN 10204 3.1 certificate with every lot.</v>
      </c>
      <c r="AK749" s="15" t="str">
        <f t="shared" si="21"/>
        <v>Electropolished stainless steel pipes supplied by Sakshi Forge to food processing plants at KKIP Kota Kinabalu Industrial Park, Kota Kinabalu</v>
      </c>
      <c r="AL749" s="15" t="str">
        <f t="shared" si="22"/>
        <v>Electropolished SS 316L tube stock for Kota Kinabalu - Sakshi Forge</v>
      </c>
      <c r="AM749" s="15" t="str">
        <f t="shared" si="23"/>
        <v>Home &gt; Market Area &gt; Malaysia &gt; Sabah &gt; Kota Kinabalu</v>
      </c>
      <c r="AN749" s="15">
        <f t="shared" si="24"/>
        <v>1000</v>
      </c>
      <c r="AO749" s="15">
        <f t="shared" si="25"/>
        <v>8</v>
      </c>
      <c r="AP749" s="15">
        <f t="shared" si="26"/>
        <v>8</v>
      </c>
      <c r="AQ749" s="15">
        <f t="shared" si="27"/>
        <v>13</v>
      </c>
      <c r="AR749" s="31"/>
      <c r="AS749" s="31"/>
      <c r="AT749" s="35" t="s">
        <v>222</v>
      </c>
      <c r="AU749" s="35"/>
    </row>
    <row r="750" ht="15.75" customHeight="1">
      <c r="A750" s="15" t="s">
        <v>8824</v>
      </c>
      <c r="B750" s="15" t="s">
        <v>430</v>
      </c>
      <c r="C750" s="15" t="s">
        <v>8825</v>
      </c>
      <c r="D750" s="15" t="s">
        <v>8826</v>
      </c>
      <c r="E750" s="15" t="s">
        <v>8826</v>
      </c>
      <c r="F750" s="65" t="s">
        <v>788</v>
      </c>
      <c r="G750" s="17" t="s">
        <v>88</v>
      </c>
      <c r="H750" s="18" t="s">
        <v>8827</v>
      </c>
      <c r="I750" s="18" t="s">
        <v>8828</v>
      </c>
      <c r="J750" s="18" t="s">
        <v>8123</v>
      </c>
      <c r="K750" s="18" t="s">
        <v>1084</v>
      </c>
      <c r="L750" s="18" t="s">
        <v>8829</v>
      </c>
      <c r="M750" s="18" t="s">
        <v>627</v>
      </c>
      <c r="N750" s="18" t="s">
        <v>444</v>
      </c>
      <c r="O750" s="18" t="s">
        <v>98</v>
      </c>
      <c r="P750" s="15" t="str">
        <f t="shared" si="1"/>
        <v>CHEM</v>
      </c>
      <c r="Q750" s="15">
        <f t="shared" si="2"/>
        <v>3</v>
      </c>
      <c r="R750" s="15">
        <f t="shared" si="3"/>
        <v>5</v>
      </c>
      <c r="S750" s="15">
        <f t="shared" si="4"/>
        <v>2</v>
      </c>
      <c r="T750" s="15" t="str">
        <f t="shared" si="5"/>
        <v>B-3</v>
      </c>
      <c r="U750" s="15" t="str">
        <f t="shared" si="6"/>
        <v>T3-M5-H2-FB-3-CHEM</v>
      </c>
      <c r="V750" s="15">
        <f t="shared" si="7"/>
        <v>0</v>
      </c>
      <c r="W750" s="31"/>
      <c r="X750" s="15" t="str">
        <f t="shared" si="8"/>
        <v>kuantan-malaysia</v>
      </c>
      <c r="Y750" s="32" t="str">
        <f t="shared" si="9"/>
        <v>https://steelmanufacturer.in/market-area/electropolished-pipes-manufacturer-in-kuantan-malaysia/</v>
      </c>
      <c r="Z750" s="15" t="str">
        <f t="shared" si="10"/>
        <v>Electropolished Pipes Manufacturer in Kuantan | EP Tube Supplier</v>
      </c>
      <c r="AA750" s="15" t="str">
        <f t="shared" si="11"/>
        <v>OK (64)</v>
      </c>
      <c r="AB750" s="15" t="str">
        <f t="shared" si="12"/>
        <v>Manufacturer of electropolished SS 316L tube serving Kuantan. 8-12 days sea from Nhava Sheva to Port Klang. Ra 0.25-0.5 um, EN 10204 3.1 MTC.</v>
      </c>
      <c r="AC750" s="15" t="str">
        <f t="shared" si="13"/>
        <v>OK (141)</v>
      </c>
      <c r="AD750" s="15" t="str">
        <f t="shared" si="14"/>
        <v>Electropolished Pipes Manufacturer in Kuantan</v>
      </c>
      <c r="AE750" s="15" t="str">
        <f t="shared" si="15"/>
        <v>How We Manufacture Electropolished Tube for Kuantan Plants</v>
      </c>
      <c r="AF750" s="15" t="str">
        <f t="shared" si="16"/>
        <v>Supplying Electropolished Pipes in Kuantan: Availability, Sizes &amp; Dispatch</v>
      </c>
      <c r="AG750" s="15" t="str">
        <f t="shared" si="17"/>
        <v>Wholesale Electropolished Pipe Supply for Kuantan Projects</v>
      </c>
      <c r="AH750" s="15" t="str">
        <f t="shared" si="18"/>
        <v>electropolished pipes manufacturer in Kuantan, electropolished pipes supplier in Kuantan, electropolished pipes wholesaler in Kuantan, electropolished tube manufacturer Kuantan, EP pipe supplier Kuantan, sanitary tube supplier Kuantan, ASME BPE tubing Kuantan, ASTM A270 tube Kuantan, SS 316L electropolished pipe Kuantan</v>
      </c>
      <c r="AI750" s="15" t="str">
        <f t="shared" si="19"/>
        <v>Electropolished Pipes Manufacturer &amp; Supplier in Kuantan</v>
      </c>
      <c r="AJ750" s="15" t="str">
        <f t="shared" si="20"/>
        <v>EP-finished SS 304/316L pipes and tubes for petrochemical plants in Kuantan. ASME BPE SF1-SF4, Ra from 0.25 um, EN 10204 3.1 certificate with every lot.</v>
      </c>
      <c r="AK750" s="15" t="str">
        <f t="shared" si="21"/>
        <v>Electropolished stainless steel pipes supplied by Sakshi Forge to petrochemical plants at Gebeng Industrial Estate, Kuantan</v>
      </c>
      <c r="AL750" s="15" t="str">
        <f t="shared" si="22"/>
        <v>Electropolished SS 316L tube stock for Kuantan - Sakshi Forge</v>
      </c>
      <c r="AM750" s="15" t="str">
        <f t="shared" si="23"/>
        <v>Home &gt; Market Area &gt; Malaysia &gt; Pahang &gt; Kuantan</v>
      </c>
      <c r="AN750" s="15">
        <f t="shared" si="24"/>
        <v>1000</v>
      </c>
      <c r="AO750" s="15">
        <f t="shared" si="25"/>
        <v>8</v>
      </c>
      <c r="AP750" s="15">
        <f t="shared" si="26"/>
        <v>8</v>
      </c>
      <c r="AQ750" s="15">
        <f t="shared" si="27"/>
        <v>13</v>
      </c>
      <c r="AR750" s="31"/>
      <c r="AS750" s="31"/>
      <c r="AT750" s="35" t="s">
        <v>222</v>
      </c>
      <c r="AU750" s="35"/>
    </row>
    <row r="751" ht="15.75" customHeight="1">
      <c r="A751" s="15" t="s">
        <v>8830</v>
      </c>
      <c r="B751" s="15" t="s">
        <v>430</v>
      </c>
      <c r="C751" s="15" t="s">
        <v>8806</v>
      </c>
      <c r="D751" s="15" t="s">
        <v>8831</v>
      </c>
      <c r="E751" s="15" t="s">
        <v>8831</v>
      </c>
      <c r="F751" s="65" t="s">
        <v>788</v>
      </c>
      <c r="G751" s="17" t="s">
        <v>88</v>
      </c>
      <c r="H751" s="18" t="s">
        <v>8832</v>
      </c>
      <c r="I751" s="18" t="s">
        <v>8833</v>
      </c>
      <c r="J751" s="18" t="s">
        <v>8834</v>
      </c>
      <c r="K751" s="18" t="s">
        <v>1730</v>
      </c>
      <c r="L751" s="18" t="s">
        <v>8835</v>
      </c>
      <c r="M751" s="18" t="s">
        <v>627</v>
      </c>
      <c r="N751" s="18" t="s">
        <v>444</v>
      </c>
      <c r="O751" s="18" t="s">
        <v>98</v>
      </c>
      <c r="P751" s="15" t="str">
        <f t="shared" si="1"/>
        <v>SEMI</v>
      </c>
      <c r="Q751" s="15">
        <f t="shared" si="2"/>
        <v>4</v>
      </c>
      <c r="R751" s="15">
        <f t="shared" si="3"/>
        <v>6</v>
      </c>
      <c r="S751" s="15">
        <f t="shared" si="4"/>
        <v>3</v>
      </c>
      <c r="T751" s="15" t="str">
        <f t="shared" si="5"/>
        <v>B-4</v>
      </c>
      <c r="U751" s="15" t="str">
        <f t="shared" si="6"/>
        <v>T4-M6-H3-FB-4-SEMI</v>
      </c>
      <c r="V751" s="15">
        <f t="shared" si="7"/>
        <v>0</v>
      </c>
      <c r="W751" s="31"/>
      <c r="X751" s="15" t="str">
        <f t="shared" si="8"/>
        <v>kuching-malaysia</v>
      </c>
      <c r="Y751" s="32" t="str">
        <f t="shared" si="9"/>
        <v>https://steelmanufacturer.in/market-area/electropolished-pipes-manufacturer-in-kuching-malaysia/</v>
      </c>
      <c r="Z751" s="15" t="str">
        <f t="shared" si="10"/>
        <v>Electropolished Pipes Manufacturer in Kuching</v>
      </c>
      <c r="AA751" s="15" t="str">
        <f t="shared" si="11"/>
        <v>OK (45)</v>
      </c>
      <c r="AB751" s="15" t="str">
        <f t="shared" si="12"/>
        <v>EP tube and pipe for electronics plants around Sama Jaya Free Industrial Zone, Kuching. ASTM A270, ASME BPE SF1-SF4, EN 10204 3.1 MTC.</v>
      </c>
      <c r="AC751" s="15" t="str">
        <f t="shared" si="13"/>
        <v>OK (134)</v>
      </c>
      <c r="AD751" s="15" t="str">
        <f t="shared" si="14"/>
        <v>Electropolished Pipes Manufacturer in Kuching</v>
      </c>
      <c r="AE751" s="15" t="str">
        <f t="shared" si="15"/>
        <v>Electropolished Pipes Manufacturer in Kuching - Our Process &amp; Capability</v>
      </c>
      <c r="AF751" s="15" t="str">
        <f t="shared" si="16"/>
        <v>Electropolished Pipes Supplier in Kuching - What We Hold in Stock</v>
      </c>
      <c r="AG751" s="15" t="str">
        <f t="shared" si="17"/>
        <v>Bulk &amp; Wholesale Electropolished Pipe Rates for Kuching Buyers</v>
      </c>
      <c r="AH751" s="15" t="str">
        <f t="shared" si="18"/>
        <v>electropolished pipes manufacturer in Kuching, electropolished pipes supplier in Kuching, electropolished pipes wholesaler in Kuching, electropolished tube manufacturer Kuching, EP pipe supplier Kuching, sanitary tube supplier Kuching, ASME BPE tubing Kuching, ASTM A270 tube Kuching, SS 316L electropolished pipe Kuching</v>
      </c>
      <c r="AI751" s="15" t="str">
        <f t="shared" si="19"/>
        <v>Electropolished Pipes Manufacturer &amp; Supplier in Kuching</v>
      </c>
      <c r="AJ751" s="15" t="str">
        <f t="shared" si="20"/>
        <v>EP-finished SS 304/316L pipes and tubes for electronics plants in Kuching. ASME BPE SF1-SF4, Ra from 0.25 um, EN 10204 3.1 certificate with every lot.</v>
      </c>
      <c r="AK751" s="15" t="str">
        <f t="shared" si="21"/>
        <v>Electropolished stainless steel pipes supplied by Sakshi Forge to electronics plants at Sama Jaya Free Industrial Zone, Kuching</v>
      </c>
      <c r="AL751" s="15" t="str">
        <f t="shared" si="22"/>
        <v>Electropolished SS 316L tube stock for Kuching - Sakshi Forge</v>
      </c>
      <c r="AM751" s="15" t="str">
        <f t="shared" si="23"/>
        <v>Home &gt; Market Area &gt; Malaysia &gt; Sarawak &gt; Kuching</v>
      </c>
      <c r="AN751" s="15">
        <f t="shared" si="24"/>
        <v>1000</v>
      </c>
      <c r="AO751" s="15">
        <f t="shared" si="25"/>
        <v>8</v>
      </c>
      <c r="AP751" s="15">
        <f t="shared" si="26"/>
        <v>8</v>
      </c>
      <c r="AQ751" s="15">
        <f t="shared" si="27"/>
        <v>13</v>
      </c>
      <c r="AR751" s="31"/>
      <c r="AS751" s="31"/>
      <c r="AT751" s="35" t="s">
        <v>222</v>
      </c>
      <c r="AU751" s="35"/>
    </row>
    <row r="752" ht="15.75" customHeight="1">
      <c r="A752" s="15" t="s">
        <v>8836</v>
      </c>
      <c r="B752" s="15" t="s">
        <v>430</v>
      </c>
      <c r="C752" s="15" t="s">
        <v>8837</v>
      </c>
      <c r="D752" s="15" t="s">
        <v>8838</v>
      </c>
      <c r="E752" s="15" t="s">
        <v>8838</v>
      </c>
      <c r="F752" s="65" t="s">
        <v>788</v>
      </c>
      <c r="G752" s="17" t="s">
        <v>88</v>
      </c>
      <c r="H752" s="18" t="s">
        <v>8839</v>
      </c>
      <c r="I752" s="18" t="s">
        <v>8840</v>
      </c>
      <c r="J752" s="18" t="s">
        <v>8841</v>
      </c>
      <c r="K752" s="18" t="s">
        <v>229</v>
      </c>
      <c r="L752" s="18" t="s">
        <v>7225</v>
      </c>
      <c r="M752" s="18" t="s">
        <v>627</v>
      </c>
      <c r="N752" s="18" t="s">
        <v>444</v>
      </c>
      <c r="O752" s="18" t="s">
        <v>98</v>
      </c>
      <c r="P752" s="15" t="str">
        <f t="shared" si="1"/>
        <v>PHARMA</v>
      </c>
      <c r="Q752" s="15">
        <f t="shared" si="2"/>
        <v>5</v>
      </c>
      <c r="R752" s="15">
        <f t="shared" si="3"/>
        <v>7</v>
      </c>
      <c r="S752" s="15">
        <f t="shared" si="4"/>
        <v>4</v>
      </c>
      <c r="T752" s="15" t="str">
        <f t="shared" si="5"/>
        <v>B-5</v>
      </c>
      <c r="U752" s="15" t="str">
        <f t="shared" si="6"/>
        <v>T5-M7-H4-FB-5-PHARMA</v>
      </c>
      <c r="V752" s="15">
        <f t="shared" si="7"/>
        <v>0</v>
      </c>
      <c r="W752" s="31"/>
      <c r="X752" s="15" t="str">
        <f t="shared" si="8"/>
        <v>nilai-malaysia</v>
      </c>
      <c r="Y752" s="32" t="str">
        <f t="shared" si="9"/>
        <v>https://steelmanufacturer.in/market-area/electropolished-pipes-manufacturer-in-nilai-malaysia/</v>
      </c>
      <c r="Z752" s="15" t="str">
        <f t="shared" si="10"/>
        <v>Electropolished Pipes Manufacturer in Nilai</v>
      </c>
      <c r="AA752" s="15" t="str">
        <f t="shared" si="11"/>
        <v>OK (43)</v>
      </c>
      <c r="AB752" s="15" t="str">
        <f t="shared" si="12"/>
        <v>Electropolished pipes in Nilai: 304, 304L, 316 and 316L in SF1-SF4. 8-12 days sea from Nhava Sheva to Port Klang. Mill certified.</v>
      </c>
      <c r="AC752" s="15" t="str">
        <f t="shared" si="13"/>
        <v>OK (129)</v>
      </c>
      <c r="AD752" s="15" t="str">
        <f t="shared" si="14"/>
        <v>Electropolished Pipes Manufacturer in Nilai</v>
      </c>
      <c r="AE752" s="15" t="str">
        <f t="shared" si="15"/>
        <v>Manufacturing Electropolished SS Tube for Nilai: The Standards We Build To</v>
      </c>
      <c r="AF752" s="15" t="str">
        <f t="shared" si="16"/>
        <v>Electropolished Pipe Supply Into Nilai - Certification &amp; Transit</v>
      </c>
      <c r="AG752" s="15" t="str">
        <f t="shared" si="17"/>
        <v>Electropolished Pipes Wholesaler in Nilai - Project Quantities &amp; Terms</v>
      </c>
      <c r="AH752" s="15" t="str">
        <f t="shared" si="18"/>
        <v>electropolished pipes manufacturer in Nilai, electropolished pipes supplier in Nilai, electropolished pipes wholesaler in Nilai, electropolished tube manufacturer Nilai, EP pipe supplier Nilai, sanitary tube supplier Nilai, ASME BPE tubing Nilai, ASTM A270 tube Nilai, SS 316L electropolished pipe Nilai</v>
      </c>
      <c r="AI752" s="15" t="str">
        <f t="shared" si="19"/>
        <v>Electropolished Pipes Manufacturer &amp; Supplier in Nilai</v>
      </c>
      <c r="AJ752" s="15" t="str">
        <f t="shared" si="20"/>
        <v>EP-finished SS 304/316L pipes and tubes for pharma plants in Nilai. ASME BPE SF1-SF4, Ra from 0.25 um, EN 10204 3.1 certificate with every lot.</v>
      </c>
      <c r="AK752" s="15" t="str">
        <f t="shared" si="21"/>
        <v>Electropolished stainless steel pipes supplied by Sakshi Forge to pharma plants at Nilai Industrial Estate, Nilai</v>
      </c>
      <c r="AL752" s="15" t="str">
        <f t="shared" si="22"/>
        <v>Electropolished SS 316L tube stock for Nilai - Sakshi Forge</v>
      </c>
      <c r="AM752" s="15" t="str">
        <f t="shared" si="23"/>
        <v>Home &gt; Market Area &gt; Malaysia &gt; Negeri Sembilan &gt; Nilai</v>
      </c>
      <c r="AN752" s="15">
        <f t="shared" si="24"/>
        <v>1000</v>
      </c>
      <c r="AO752" s="15">
        <f t="shared" si="25"/>
        <v>8</v>
      </c>
      <c r="AP752" s="15">
        <f t="shared" si="26"/>
        <v>8</v>
      </c>
      <c r="AQ752" s="15">
        <f t="shared" si="27"/>
        <v>13</v>
      </c>
      <c r="AR752" s="31"/>
      <c r="AS752" s="31"/>
      <c r="AT752" s="35" t="s">
        <v>222</v>
      </c>
      <c r="AU752" s="35"/>
    </row>
    <row r="753" ht="15.75" customHeight="1">
      <c r="A753" s="15" t="s">
        <v>8842</v>
      </c>
      <c r="B753" s="15" t="s">
        <v>430</v>
      </c>
      <c r="C753" s="15" t="s">
        <v>7192</v>
      </c>
      <c r="D753" s="15" t="s">
        <v>8843</v>
      </c>
      <c r="E753" s="15" t="s">
        <v>8843</v>
      </c>
      <c r="F753" s="65" t="s">
        <v>788</v>
      </c>
      <c r="G753" s="17" t="s">
        <v>88</v>
      </c>
      <c r="H753" s="18" t="s">
        <v>8844</v>
      </c>
      <c r="I753" s="18" t="s">
        <v>8844</v>
      </c>
      <c r="J753" s="18" t="s">
        <v>8845</v>
      </c>
      <c r="K753" s="18" t="s">
        <v>94</v>
      </c>
      <c r="L753" s="18" t="s">
        <v>8846</v>
      </c>
      <c r="M753" s="18" t="s">
        <v>627</v>
      </c>
      <c r="N753" s="18" t="s">
        <v>444</v>
      </c>
      <c r="O753" s="18" t="s">
        <v>98</v>
      </c>
      <c r="P753" s="15" t="str">
        <f t="shared" si="1"/>
        <v>FOOD</v>
      </c>
      <c r="Q753" s="15">
        <f t="shared" si="2"/>
        <v>6</v>
      </c>
      <c r="R753" s="15">
        <f t="shared" si="3"/>
        <v>1</v>
      </c>
      <c r="S753" s="15">
        <f t="shared" si="4"/>
        <v>5</v>
      </c>
      <c r="T753" s="15" t="str">
        <f t="shared" si="5"/>
        <v>B-6</v>
      </c>
      <c r="U753" s="15" t="str">
        <f t="shared" si="6"/>
        <v>T6-M1-H5-FB-6-FOOD</v>
      </c>
      <c r="V753" s="15">
        <f t="shared" si="7"/>
        <v>0</v>
      </c>
      <c r="W753" s="31"/>
      <c r="X753" s="15" t="str">
        <f t="shared" si="8"/>
        <v>pasir-gudang-malaysia</v>
      </c>
      <c r="Y753" s="32" t="str">
        <f t="shared" si="9"/>
        <v>https://steelmanufacturer.in/market-area/electropolished-pipes-manufacturer-in-pasir-gudang-malaysia/</v>
      </c>
      <c r="Z753" s="15" t="str">
        <f t="shared" si="10"/>
        <v>Electropolished Pipes Manufacturer in Pasir Gudang</v>
      </c>
      <c r="AA753" s="15" t="str">
        <f t="shared" si="11"/>
        <v>OK (50)</v>
      </c>
      <c r="AB753" s="15" t="str">
        <f t="shared" si="12"/>
        <v>EP-finished SS 304/316L pipes &amp; tubes for food processing plants in Pasir Gudang. ASTM A270, ASME BPE SF1-SF4, EN 10204 3.1 MTC. PMI tested.</v>
      </c>
      <c r="AC753" s="15" t="str">
        <f t="shared" si="13"/>
        <v>OK (140)</v>
      </c>
      <c r="AD753" s="15" t="str">
        <f t="shared" si="14"/>
        <v>Electropolished Pipes Manufacturer in Pasir Gudang</v>
      </c>
      <c r="AE753" s="15" t="str">
        <f t="shared" si="15"/>
        <v>Electropolished Tube Manufacturing Capability Serving Pasir Gudang</v>
      </c>
      <c r="AF753" s="15" t="str">
        <f t="shared" si="16"/>
        <v>Electropolished Pipes Supplier in Pasir Gudang - From Order to Delivery</v>
      </c>
      <c r="AG753" s="15" t="str">
        <f t="shared" si="17"/>
        <v>Stockist &amp; Wholesale Supply of Electropolished Pipes in Pasir Gudang</v>
      </c>
      <c r="AH753" s="15" t="str">
        <f t="shared" si="18"/>
        <v>electropolished pipes manufacturer in Pasir Gudang, electropolished pipes supplier in Pasir Gudang, electropolished pipes wholesaler in Pasir Gudang, electropolished tube manufacturer Pasir Gudang, EP pipe supplier Pasir Gudang, sanitary tube supplier Pasir Gudang, ASME BPE tubing Pasir Gudang, ASTM A270 tube Pasir Gudang, SS 316L electropolished pipe Pasir Gudang</v>
      </c>
      <c r="AI753" s="15" t="str">
        <f t="shared" si="19"/>
        <v>Electropolished Pipes Manufacturer &amp; Supplier in Pasir Gudang</v>
      </c>
      <c r="AJ753" s="15" t="str">
        <f t="shared" si="20"/>
        <v>EP-finished SS 304/316L pipes and tubes for food processing plants in Pasir Gudang. ASME BPE SF1-SF4, Ra from 0.25 um, EN 10204 3.1 certificate with every lot.</v>
      </c>
      <c r="AK753" s="15" t="str">
        <f t="shared" si="21"/>
        <v>Electropolished stainless steel pipes supplied by Sakshi Forge to food processing plants at Pasir Gudang Industrial Area, Pasir Gudang</v>
      </c>
      <c r="AL753" s="15" t="str">
        <f t="shared" si="22"/>
        <v>Electropolished SS 316L tube stock for Pasir Gudang - Sakshi Forge</v>
      </c>
      <c r="AM753" s="15" t="str">
        <f t="shared" si="23"/>
        <v>Home &gt; Market Area &gt; Malaysia &gt; Johor &gt; Pasir Gudang</v>
      </c>
      <c r="AN753" s="15">
        <f t="shared" si="24"/>
        <v>1000</v>
      </c>
      <c r="AO753" s="15">
        <f t="shared" si="25"/>
        <v>8</v>
      </c>
      <c r="AP753" s="15">
        <f t="shared" si="26"/>
        <v>8</v>
      </c>
      <c r="AQ753" s="15">
        <f t="shared" si="27"/>
        <v>13</v>
      </c>
      <c r="AR753" s="31"/>
      <c r="AS753" s="31"/>
      <c r="AT753" s="35" t="s">
        <v>222</v>
      </c>
      <c r="AU753" s="35"/>
    </row>
    <row r="754" ht="15.75" customHeight="1">
      <c r="A754" s="15" t="s">
        <v>8847</v>
      </c>
      <c r="B754" s="15" t="s">
        <v>430</v>
      </c>
      <c r="C754" s="15" t="s">
        <v>7219</v>
      </c>
      <c r="D754" s="15" t="s">
        <v>8848</v>
      </c>
      <c r="E754" s="15" t="s">
        <v>8848</v>
      </c>
      <c r="F754" s="65" t="s">
        <v>788</v>
      </c>
      <c r="G754" s="17" t="s">
        <v>88</v>
      </c>
      <c r="H754" s="18" t="s">
        <v>8849</v>
      </c>
      <c r="I754" s="18" t="s">
        <v>8849</v>
      </c>
      <c r="J754" s="18" t="s">
        <v>8850</v>
      </c>
      <c r="K754" s="18" t="s">
        <v>94</v>
      </c>
      <c r="L754" s="18" t="s">
        <v>7225</v>
      </c>
      <c r="M754" s="18" t="s">
        <v>627</v>
      </c>
      <c r="N754" s="18" t="s">
        <v>444</v>
      </c>
      <c r="O754" s="18" t="s">
        <v>98</v>
      </c>
      <c r="P754" s="15" t="str">
        <f t="shared" si="1"/>
        <v>FOOD</v>
      </c>
      <c r="Q754" s="15">
        <f t="shared" si="2"/>
        <v>7</v>
      </c>
      <c r="R754" s="15">
        <f t="shared" si="3"/>
        <v>2</v>
      </c>
      <c r="S754" s="15">
        <f t="shared" si="4"/>
        <v>1</v>
      </c>
      <c r="T754" s="15" t="str">
        <f t="shared" si="5"/>
        <v>B-1</v>
      </c>
      <c r="U754" s="15" t="str">
        <f t="shared" si="6"/>
        <v>T7-M2-H1-FB-1-FOOD</v>
      </c>
      <c r="V754" s="15">
        <f t="shared" si="7"/>
        <v>0</v>
      </c>
      <c r="W754" s="31"/>
      <c r="X754" s="15" t="str">
        <f t="shared" si="8"/>
        <v>rawang-malaysia</v>
      </c>
      <c r="Y754" s="32" t="str">
        <f t="shared" si="9"/>
        <v>https://steelmanufacturer.in/market-area/electropolished-pipes-manufacturer-in-rawang-malaysia/</v>
      </c>
      <c r="Z754" s="15" t="str">
        <f t="shared" si="10"/>
        <v>Electropolished Pipes Manufacturer in Rawang | ASME BPE SF1-SF4</v>
      </c>
      <c r="AA754" s="15" t="str">
        <f t="shared" si="11"/>
        <v>OK (63)</v>
      </c>
      <c r="AB754" s="15" t="str">
        <f t="shared" si="12"/>
        <v>Electropolished tube supply to Rawang Integrated Industrial Park, Rawang. Ra from 0.25 um, SF4 finish, mill test certificate with every lot.</v>
      </c>
      <c r="AC754" s="15" t="str">
        <f t="shared" si="13"/>
        <v>OK (140)</v>
      </c>
      <c r="AD754" s="15" t="str">
        <f t="shared" si="14"/>
        <v>Electropolished Pipes Manufacturer in Rawang</v>
      </c>
      <c r="AE754" s="15" t="str">
        <f t="shared" si="15"/>
        <v>Electropolished Pipe &amp; Tube Manufacturing for Rawang - Grades, Finishes &amp; Certification</v>
      </c>
      <c r="AF754" s="15" t="str">
        <f t="shared" si="16"/>
        <v>Electropolished Pipes Supplier in Rawang - Stock Sizes, Lead Time &amp; Delivery</v>
      </c>
      <c r="AG754" s="15" t="str">
        <f t="shared" si="17"/>
        <v>Electropolished Pipes Wholesaler &amp; Stockist in Rawang - Bulk &amp; Project Pricing</v>
      </c>
      <c r="AH754" s="15" t="str">
        <f t="shared" si="18"/>
        <v>electropolished pipes manufacturer in Rawang, electropolished pipes supplier in Rawang, electropolished pipes wholesaler in Rawang, electropolished tube manufacturer Rawang, EP pipe supplier Rawang, sanitary tube supplier Rawang, ASME BPE tubing Rawang, ASTM A270 tube Rawang, SS 316L electropolished pipe Rawang</v>
      </c>
      <c r="AI754" s="15" t="str">
        <f t="shared" si="19"/>
        <v>Electropolished Pipes Manufacturer &amp; Supplier in Rawang</v>
      </c>
      <c r="AJ754" s="15" t="str">
        <f t="shared" si="20"/>
        <v>EP-finished SS 304/316L pipes and tubes for food processing plants in Rawang. ASME BPE SF1-SF4, Ra from 0.25 um, EN 10204 3.1 certificate with every lot.</v>
      </c>
      <c r="AK754" s="15" t="str">
        <f t="shared" si="21"/>
        <v>Electropolished stainless steel pipes supplied by Sakshi Forge to food processing plants at Rawang Integrated Industrial Park, Rawang</v>
      </c>
      <c r="AL754" s="15" t="str">
        <f t="shared" si="22"/>
        <v>Electropolished SS 316L tube stock for Rawang - Sakshi Forge</v>
      </c>
      <c r="AM754" s="15" t="str">
        <f t="shared" si="23"/>
        <v>Home &gt; Market Area &gt; Malaysia &gt; Selangor &gt; Rawang</v>
      </c>
      <c r="AN754" s="15">
        <f t="shared" si="24"/>
        <v>1000</v>
      </c>
      <c r="AO754" s="15">
        <f t="shared" si="25"/>
        <v>8</v>
      </c>
      <c r="AP754" s="15">
        <f t="shared" si="26"/>
        <v>8</v>
      </c>
      <c r="AQ754" s="15">
        <f t="shared" si="27"/>
        <v>13</v>
      </c>
      <c r="AR754" s="31"/>
      <c r="AS754" s="31"/>
      <c r="AT754" s="35" t="s">
        <v>222</v>
      </c>
      <c r="AU754" s="35"/>
    </row>
    <row r="755" ht="15.75" customHeight="1">
      <c r="A755" s="15" t="s">
        <v>8851</v>
      </c>
      <c r="B755" s="15" t="s">
        <v>430</v>
      </c>
      <c r="C755" s="15" t="s">
        <v>8837</v>
      </c>
      <c r="D755" s="15" t="s">
        <v>8852</v>
      </c>
      <c r="E755" s="15" t="s">
        <v>8852</v>
      </c>
      <c r="F755" s="65" t="s">
        <v>788</v>
      </c>
      <c r="G755" s="17" t="s">
        <v>88</v>
      </c>
      <c r="H755" s="18" t="s">
        <v>8853</v>
      </c>
      <c r="I755" s="18" t="s">
        <v>8854</v>
      </c>
      <c r="J755" s="18" t="s">
        <v>8855</v>
      </c>
      <c r="K755" s="18" t="s">
        <v>229</v>
      </c>
      <c r="L755" s="18" t="s">
        <v>7225</v>
      </c>
      <c r="M755" s="18" t="s">
        <v>627</v>
      </c>
      <c r="N755" s="18" t="s">
        <v>444</v>
      </c>
      <c r="O755" s="18" t="s">
        <v>98</v>
      </c>
      <c r="P755" s="15" t="str">
        <f t="shared" si="1"/>
        <v>PHARMA</v>
      </c>
      <c r="Q755" s="15">
        <f t="shared" si="2"/>
        <v>8</v>
      </c>
      <c r="R755" s="15">
        <f t="shared" si="3"/>
        <v>3</v>
      </c>
      <c r="S755" s="15">
        <f t="shared" si="4"/>
        <v>2</v>
      </c>
      <c r="T755" s="15" t="str">
        <f t="shared" si="5"/>
        <v>B-2</v>
      </c>
      <c r="U755" s="15" t="str">
        <f t="shared" si="6"/>
        <v>T8-M3-H2-FB-2-PHARMA</v>
      </c>
      <c r="V755" s="15">
        <f t="shared" si="7"/>
        <v>0</v>
      </c>
      <c r="W755" s="31"/>
      <c r="X755" s="15" t="str">
        <f t="shared" si="8"/>
        <v>seremban-malaysia</v>
      </c>
      <c r="Y755" s="32" t="str">
        <f t="shared" si="9"/>
        <v>https://steelmanufacturer.in/market-area/electropolished-pipes-manufacturer-in-seremban-malaysia/</v>
      </c>
      <c r="Z755" s="15" t="str">
        <f t="shared" si="10"/>
        <v>Electropolished Pipes Manufacturer in Seremban - EP Tube Stockist</v>
      </c>
      <c r="AA755" s="15" t="str">
        <f t="shared" si="11"/>
        <v>OK (65)</v>
      </c>
      <c r="AB755" s="15" t="str">
        <f t="shared" si="12"/>
        <v>EP stainless tube for pharma lines in Seremban. 8-12 days sea from Nhava Sheva to Port Klang. ASTM A270 S2, PMI tested, EN 10204 3.1.</v>
      </c>
      <c r="AC755" s="15" t="str">
        <f t="shared" si="13"/>
        <v>OK (133)</v>
      </c>
      <c r="AD755" s="15" t="str">
        <f t="shared" si="14"/>
        <v>Electropolished Pipes Manufacturer in Seremban</v>
      </c>
      <c r="AE755" s="15" t="str">
        <f t="shared" si="15"/>
        <v>How We Manufacture Electropolished Tube for Seremban Plants</v>
      </c>
      <c r="AF755" s="15" t="str">
        <f t="shared" si="16"/>
        <v>Supplying Electropolished Pipes in Seremban: Availability, Sizes &amp; Dispatch</v>
      </c>
      <c r="AG755" s="15" t="str">
        <f t="shared" si="17"/>
        <v>Wholesale Electropolished Pipe Supply for Seremban Projects</v>
      </c>
      <c r="AH755" s="15" t="str">
        <f t="shared" si="18"/>
        <v>electropolished pipes manufacturer in Seremban, electropolished pipes supplier in Seremban, electropolished pipes wholesaler in Seremban, electropolished tube manufacturer Seremban, EP pipe supplier Seremban, sanitary tube supplier Seremban, ASME BPE tubing Seremban, ASTM A270 tube Seremban, SS 316L electropolished pipe Seremban</v>
      </c>
      <c r="AI755" s="15" t="str">
        <f t="shared" si="19"/>
        <v>Electropolished Pipes Manufacturer &amp; Supplier in Seremban</v>
      </c>
      <c r="AJ755" s="15" t="str">
        <f t="shared" si="20"/>
        <v>EP-finished SS 304/316L pipes and tubes for pharma plants in Seremban. ASME BPE SF1-SF4, Ra from 0.25 um, EN 10204 3.1 certificate with every lot.</v>
      </c>
      <c r="AK755" s="15" t="str">
        <f t="shared" si="21"/>
        <v>Electropolished stainless steel pipes supplied by Sakshi Forge to pharma plants at Senawang Industrial Estate, Seremban</v>
      </c>
      <c r="AL755" s="15" t="str">
        <f t="shared" si="22"/>
        <v>Electropolished SS 316L tube stock for Seremban - Sakshi Forge</v>
      </c>
      <c r="AM755" s="15" t="str">
        <f t="shared" si="23"/>
        <v>Home &gt; Market Area &gt; Malaysia &gt; Negeri Sembilan &gt; Seremban</v>
      </c>
      <c r="AN755" s="15">
        <f t="shared" si="24"/>
        <v>1000</v>
      </c>
      <c r="AO755" s="15">
        <f t="shared" si="25"/>
        <v>8</v>
      </c>
      <c r="AP755" s="15">
        <f t="shared" si="26"/>
        <v>8</v>
      </c>
      <c r="AQ755" s="15">
        <f t="shared" si="27"/>
        <v>13</v>
      </c>
      <c r="AR755" s="31"/>
      <c r="AS755" s="31"/>
      <c r="AT755" s="35" t="s">
        <v>222</v>
      </c>
      <c r="AU755" s="35"/>
    </row>
    <row r="756" ht="15.75" customHeight="1">
      <c r="A756" s="15" t="s">
        <v>8856</v>
      </c>
      <c r="B756" s="15" t="s">
        <v>430</v>
      </c>
      <c r="C756" s="15" t="s">
        <v>7219</v>
      </c>
      <c r="D756" s="15" t="s">
        <v>8857</v>
      </c>
      <c r="E756" s="15" t="s">
        <v>8857</v>
      </c>
      <c r="F756" s="65" t="s">
        <v>788</v>
      </c>
      <c r="G756" s="17" t="s">
        <v>88</v>
      </c>
      <c r="H756" s="18" t="s">
        <v>8858</v>
      </c>
      <c r="I756" s="18" t="s">
        <v>8859</v>
      </c>
      <c r="J756" s="18" t="s">
        <v>8860</v>
      </c>
      <c r="K756" s="18" t="s">
        <v>969</v>
      </c>
      <c r="L756" s="18" t="s">
        <v>7225</v>
      </c>
      <c r="M756" s="18" t="s">
        <v>627</v>
      </c>
      <c r="N756" s="18" t="s">
        <v>444</v>
      </c>
      <c r="O756" s="18" t="s">
        <v>98</v>
      </c>
      <c r="P756" s="15" t="str">
        <f t="shared" si="1"/>
        <v>SEMI</v>
      </c>
      <c r="Q756" s="15">
        <f t="shared" si="2"/>
        <v>1</v>
      </c>
      <c r="R756" s="15">
        <f t="shared" si="3"/>
        <v>4</v>
      </c>
      <c r="S756" s="15">
        <f t="shared" si="4"/>
        <v>3</v>
      </c>
      <c r="T756" s="15" t="str">
        <f t="shared" si="5"/>
        <v>B-3</v>
      </c>
      <c r="U756" s="15" t="str">
        <f t="shared" si="6"/>
        <v>T1-M4-H3-FB-3-SEMI</v>
      </c>
      <c r="V756" s="15">
        <f t="shared" si="7"/>
        <v>0</v>
      </c>
      <c r="W756" s="31"/>
      <c r="X756" s="15" t="str">
        <f t="shared" si="8"/>
        <v>subang-jaya-malaysia</v>
      </c>
      <c r="Y756" s="32" t="str">
        <f t="shared" si="9"/>
        <v>https://steelmanufacturer.in/market-area/electropolished-pipes-manufacturer-in-subang-jaya-malaysia/</v>
      </c>
      <c r="Z756" s="15" t="str">
        <f t="shared" si="10"/>
        <v>Electropolished Pipes Manufacturer in Subang Jaya | Sakshi Forge</v>
      </c>
      <c r="AA756" s="15" t="str">
        <f t="shared" si="11"/>
        <v>OK (64)</v>
      </c>
      <c r="AB756" s="15" t="str">
        <f t="shared" si="12"/>
        <v>Sanitary electropolished pipes in Subang Jaya for electronics &amp; pharma plants. ASME BPE SF1-SF4, orbital-weld ready, 3.1 MTC. Mumbai-made.</v>
      </c>
      <c r="AC756" s="15" t="str">
        <f t="shared" si="13"/>
        <v>OK (138)</v>
      </c>
      <c r="AD756" s="15" t="str">
        <f t="shared" si="14"/>
        <v>Electropolished Pipes Manufacturer in Subang Jaya</v>
      </c>
      <c r="AE756" s="15" t="str">
        <f t="shared" si="15"/>
        <v>Electropolished Pipes Manufacturer in Subang Jaya - Our Process &amp; Capability</v>
      </c>
      <c r="AF756" s="15" t="str">
        <f t="shared" si="16"/>
        <v>Electropolished Pipes Supplier in Subang Jaya - What We Hold in Stock</v>
      </c>
      <c r="AG756" s="15" t="str">
        <f t="shared" si="17"/>
        <v>Bulk &amp; Wholesale Electropolished Pipe Rates for Subang Jaya Buyers</v>
      </c>
      <c r="AH756" s="15" t="str">
        <f t="shared" si="18"/>
        <v>electropolished pipes manufacturer in Subang Jaya, electropolished pipes supplier in Subang Jaya, electropolished pipes wholesaler in Subang Jaya, electropolished tube manufacturer Subang Jaya, EP pipe supplier Subang Jaya, sanitary tube supplier Subang Jaya, ASME BPE tubing Subang Jaya, ASTM A270 tube Subang Jaya, SS 316L electropolished pipe Subang Jaya</v>
      </c>
      <c r="AI756" s="15" t="str">
        <f t="shared" si="19"/>
        <v>Electropolished Pipes Manufacturer &amp; Supplier in Subang Jaya</v>
      </c>
      <c r="AJ756" s="15" t="str">
        <f t="shared" si="20"/>
        <v>EP-finished SS 304/316L pipes and tubes for electronics &amp; pharma plants in Subang Jaya. ASME BPE SF1-SF4, Ra from 0.25 um, EN 10204 3.1 certificate with every lot.</v>
      </c>
      <c r="AK756" s="15" t="str">
        <f t="shared" si="21"/>
        <v>Electropolished stainless steel pipes supplied by Sakshi Forge to electronics &amp; pharma plants at Subang Jaya Industrial Estate, Subang Jaya</v>
      </c>
      <c r="AL756" s="15" t="str">
        <f t="shared" si="22"/>
        <v>Electropolished SS 316L tube stock for Subang Jaya - Sakshi Forge</v>
      </c>
      <c r="AM756" s="15" t="str">
        <f t="shared" si="23"/>
        <v>Home &gt; Market Area &gt; Malaysia &gt; Selangor &gt; Subang Jaya</v>
      </c>
      <c r="AN756" s="15">
        <f t="shared" si="24"/>
        <v>1000</v>
      </c>
      <c r="AO756" s="15">
        <f t="shared" si="25"/>
        <v>8</v>
      </c>
      <c r="AP756" s="15">
        <f t="shared" si="26"/>
        <v>8</v>
      </c>
      <c r="AQ756" s="15">
        <f t="shared" si="27"/>
        <v>13</v>
      </c>
      <c r="AR756" s="31"/>
      <c r="AS756" s="31"/>
      <c r="AT756" s="35" t="s">
        <v>222</v>
      </c>
      <c r="AU756" s="35"/>
    </row>
    <row r="757" ht="15.75" customHeight="1">
      <c r="A757" s="15" t="s">
        <v>8861</v>
      </c>
      <c r="B757" s="15" t="s">
        <v>430</v>
      </c>
      <c r="C757" s="15" t="s">
        <v>7273</v>
      </c>
      <c r="D757" s="15" t="s">
        <v>8862</v>
      </c>
      <c r="E757" s="15" t="s">
        <v>8862</v>
      </c>
      <c r="F757" s="65" t="s">
        <v>788</v>
      </c>
      <c r="G757" s="17" t="s">
        <v>88</v>
      </c>
      <c r="H757" s="18" t="s">
        <v>8863</v>
      </c>
      <c r="I757" s="18" t="s">
        <v>8864</v>
      </c>
      <c r="J757" s="18" t="s">
        <v>8865</v>
      </c>
      <c r="K757" s="18" t="s">
        <v>1730</v>
      </c>
      <c r="L757" s="18" t="s">
        <v>7279</v>
      </c>
      <c r="M757" s="18" t="s">
        <v>627</v>
      </c>
      <c r="N757" s="18" t="s">
        <v>444</v>
      </c>
      <c r="O757" s="18" t="s">
        <v>98</v>
      </c>
      <c r="P757" s="15" t="str">
        <f t="shared" si="1"/>
        <v>SEMI</v>
      </c>
      <c r="Q757" s="15">
        <f t="shared" si="2"/>
        <v>2</v>
      </c>
      <c r="R757" s="15">
        <f t="shared" si="3"/>
        <v>5</v>
      </c>
      <c r="S757" s="15">
        <f t="shared" si="4"/>
        <v>4</v>
      </c>
      <c r="T757" s="15" t="str">
        <f t="shared" si="5"/>
        <v>B-4</v>
      </c>
      <c r="U757" s="15" t="str">
        <f t="shared" si="6"/>
        <v>T2-M5-H4-FB-4-SEMI</v>
      </c>
      <c r="V757" s="15">
        <f t="shared" si="7"/>
        <v>0</v>
      </c>
      <c r="W757" s="31"/>
      <c r="X757" s="15" t="str">
        <f t="shared" si="8"/>
        <v>sungai-petani-malaysia</v>
      </c>
      <c r="Y757" s="32" t="str">
        <f t="shared" si="9"/>
        <v>https://steelmanufacturer.in/market-area/electropolished-pipes-manufacturer-in-sungai-petani-malaysia/</v>
      </c>
      <c r="Z757" s="15" t="str">
        <f t="shared" si="10"/>
        <v>Electropolished Pipes Manufacturer in Sungai Petani</v>
      </c>
      <c r="AA757" s="15" t="str">
        <f t="shared" si="11"/>
        <v>OK (51)</v>
      </c>
      <c r="AB757" s="15" t="str">
        <f t="shared" si="12"/>
        <v>Manufacturer of electropolished SS 316L tube serving Sungai Petani. 8-12 days sea from Nhava Sheva to Port Klang. Ra 0.25-0.5 um, EN 10204 3.1 MTC.</v>
      </c>
      <c r="AC757" s="15" t="str">
        <f t="shared" si="13"/>
        <v>OK (147)</v>
      </c>
      <c r="AD757" s="15" t="str">
        <f t="shared" si="14"/>
        <v>Electropolished Pipes Manufacturer in Sungai Petani</v>
      </c>
      <c r="AE757" s="15" t="str">
        <f t="shared" si="15"/>
        <v>Manufacturing Electropolished SS Tube for Sungai Petani: The Standards We Build To</v>
      </c>
      <c r="AF757" s="15" t="str">
        <f t="shared" si="16"/>
        <v>Electropolished Pipe Supply Into Sungai Petani - Certification &amp; Transit</v>
      </c>
      <c r="AG757" s="15" t="str">
        <f t="shared" si="17"/>
        <v>Electropolished Pipes Wholesaler in Sungai Petani - Project Quantities &amp; Terms</v>
      </c>
      <c r="AH757" s="15" t="str">
        <f t="shared" si="18"/>
        <v>electropolished pipes manufacturer in Sungai Petani, electropolished pipes supplier in Sungai Petani, electropolished pipes wholesaler in Sungai Petani, electropolished tube manufacturer Sungai Petani, EP pipe supplier Sungai Petani, sanitary tube supplier Sungai Petani, ASME BPE tubing Sungai Petani, ASTM A270 tube Sungai Petani, SS 316L electropolished pipe Sungai Petani</v>
      </c>
      <c r="AI757" s="15" t="str">
        <f t="shared" si="19"/>
        <v>Electropolished Pipes Manufacturer &amp; Supplier in Sungai Petani</v>
      </c>
      <c r="AJ757" s="15" t="str">
        <f t="shared" si="20"/>
        <v>EP-finished SS 304/316L pipes and tubes for electronics plants in Sungai Petani. ASME BPE SF1-SF4, Ra from 0.25 um, EN 10204 3.1 certificate with every lot.</v>
      </c>
      <c r="AK757" s="15" t="str">
        <f t="shared" si="21"/>
        <v>Electropolished stainless steel pipes supplied by Sakshi Forge to electronics plants at Sungai Petani Industrial Estate, Sungai Petani</v>
      </c>
      <c r="AL757" s="15" t="str">
        <f t="shared" si="22"/>
        <v>Electropolished SS 316L tube stock for Sungai Petani - Sakshi Forge</v>
      </c>
      <c r="AM757" s="15" t="str">
        <f t="shared" si="23"/>
        <v>Home &gt; Market Area &gt; Malaysia &gt; Kedah &gt; Sungai Petani</v>
      </c>
      <c r="AN757" s="15">
        <f t="shared" si="24"/>
        <v>1000</v>
      </c>
      <c r="AO757" s="15">
        <f t="shared" si="25"/>
        <v>8</v>
      </c>
      <c r="AP757" s="15">
        <f t="shared" si="26"/>
        <v>8</v>
      </c>
      <c r="AQ757" s="15">
        <f t="shared" si="27"/>
        <v>13</v>
      </c>
      <c r="AR757" s="31"/>
      <c r="AS757" s="31"/>
      <c r="AT757" s="35" t="s">
        <v>222</v>
      </c>
      <c r="AU757" s="35"/>
    </row>
    <row r="758" ht="15.75" customHeight="1">
      <c r="A758" s="15" t="s">
        <v>8866</v>
      </c>
      <c r="B758" s="15" t="s">
        <v>255</v>
      </c>
      <c r="C758" s="15" t="s">
        <v>8867</v>
      </c>
      <c r="D758" s="15" t="s">
        <v>8868</v>
      </c>
      <c r="E758" s="15" t="s">
        <v>8868</v>
      </c>
      <c r="F758" s="65" t="s">
        <v>788</v>
      </c>
      <c r="G758" s="17" t="s">
        <v>88</v>
      </c>
      <c r="H758" s="18" t="s">
        <v>8869</v>
      </c>
      <c r="I758" s="18" t="s">
        <v>8870</v>
      </c>
      <c r="J758" s="18" t="s">
        <v>8871</v>
      </c>
      <c r="K758" s="18" t="s">
        <v>271</v>
      </c>
      <c r="L758" s="18" t="s">
        <v>560</v>
      </c>
      <c r="M758" s="18" t="s">
        <v>561</v>
      </c>
      <c r="N758" s="18" t="s">
        <v>297</v>
      </c>
      <c r="O758" s="18" t="s">
        <v>98</v>
      </c>
      <c r="P758" s="15" t="str">
        <f t="shared" si="1"/>
        <v>CHEM</v>
      </c>
      <c r="Q758" s="15">
        <f t="shared" si="2"/>
        <v>3</v>
      </c>
      <c r="R758" s="15">
        <f t="shared" si="3"/>
        <v>6</v>
      </c>
      <c r="S758" s="15">
        <f t="shared" si="4"/>
        <v>5</v>
      </c>
      <c r="T758" s="15" t="str">
        <f t="shared" si="5"/>
        <v>B-5</v>
      </c>
      <c r="U758" s="15" t="str">
        <f t="shared" si="6"/>
        <v>T3-M6-H5-FB-5-CHEM</v>
      </c>
      <c r="V758" s="15">
        <f t="shared" si="7"/>
        <v>0</v>
      </c>
      <c r="W758" s="31"/>
      <c r="X758" s="15" t="str">
        <f t="shared" si="8"/>
        <v>arnhem-netherlands</v>
      </c>
      <c r="Y758" s="32" t="str">
        <f t="shared" si="9"/>
        <v>https://steelmanufacturer.in/market-area/electropolished-pipes-manufacturer-in-arnhem-netherlands/</v>
      </c>
      <c r="Z758" s="15" t="str">
        <f t="shared" si="10"/>
        <v>Electropolished Pipes Manufacturer in Arnhem | EP Tube Supplier</v>
      </c>
      <c r="AA758" s="15" t="str">
        <f t="shared" si="11"/>
        <v>OK (63)</v>
      </c>
      <c r="AB758" s="15" t="str">
        <f t="shared" si="12"/>
        <v>EP tube and pipe for chemical plants around Arnhem IJsseloord, Arnhem. Made at our Mumbai works to ASTM A270 and ASME BPE SF1-SF4, with 3.1 MTC.</v>
      </c>
      <c r="AC758" s="15" t="str">
        <f t="shared" si="13"/>
        <v>OK (144)</v>
      </c>
      <c r="AD758" s="15" t="str">
        <f t="shared" si="14"/>
        <v>Electropolished Pipes Manufacturer in Arnhem</v>
      </c>
      <c r="AE758" s="15" t="str">
        <f t="shared" si="15"/>
        <v>Electropolished Tube Manufacturing Capability Serving Arnhem</v>
      </c>
      <c r="AF758" s="15" t="str">
        <f t="shared" si="16"/>
        <v>Electropolished Pipes Supplier in Arnhem - From Order to Delivery</v>
      </c>
      <c r="AG758" s="15" t="str">
        <f t="shared" si="17"/>
        <v>Stockist &amp; Wholesale Supply of Electropolished Pipes in Arnhem</v>
      </c>
      <c r="AH758" s="15" t="str">
        <f t="shared" si="18"/>
        <v>electropolished pipes manufacturer in Arnhem, electropolished pipes supplier in Arnhem, electropolished pipes wholesaler in Arnhem, electropolished tube manufacturer Arnhem, EP pipe supplier Arnhem, sanitary tube supplier Arnhem, ASME BPE tubing Arnhem, ASTM A270 tube Arnhem, SS 316L electropolished pipe Arnhem</v>
      </c>
      <c r="AI758" s="15" t="str">
        <f t="shared" si="19"/>
        <v>Electropolished Pipes Manufacturer &amp; Supplier in Arnhem</v>
      </c>
      <c r="AJ758" s="15" t="str">
        <f t="shared" si="20"/>
        <v>EP-finished SS 304/316L pipes and tubes for chemical plants in Arnhem. ASME BPE SF1-SF4, Ra from 0.25 um, EN 10204 3.1 certificate with every lot.</v>
      </c>
      <c r="AK758" s="15" t="str">
        <f t="shared" si="21"/>
        <v>Electropolished stainless steel pipes supplied by Sakshi Forge to chemical plants at Arnhem IJsseloord, Arnhem</v>
      </c>
      <c r="AL758" s="15" t="str">
        <f t="shared" si="22"/>
        <v>Electropolished SS 316L tube stock for Arnhem - Sakshi Forge</v>
      </c>
      <c r="AM758" s="15" t="str">
        <f t="shared" si="23"/>
        <v>Home &gt; Market Area &gt; Netherlands &gt; Gelderland &gt; Arnhem</v>
      </c>
      <c r="AN758" s="15">
        <f t="shared" si="24"/>
        <v>1000</v>
      </c>
      <c r="AO758" s="15">
        <f t="shared" si="25"/>
        <v>8</v>
      </c>
      <c r="AP758" s="15">
        <f t="shared" si="26"/>
        <v>8</v>
      </c>
      <c r="AQ758" s="15">
        <f t="shared" si="27"/>
        <v>13</v>
      </c>
      <c r="AR758" s="31"/>
      <c r="AS758" s="31"/>
      <c r="AT758" s="35" t="s">
        <v>222</v>
      </c>
      <c r="AU758" s="35"/>
    </row>
    <row r="759" ht="15.75" customHeight="1">
      <c r="A759" s="15" t="s">
        <v>8872</v>
      </c>
      <c r="B759" s="15" t="s">
        <v>255</v>
      </c>
      <c r="C759" s="15" t="s">
        <v>7451</v>
      </c>
      <c r="D759" s="15" t="s">
        <v>8873</v>
      </c>
      <c r="E759" s="15" t="s">
        <v>8873</v>
      </c>
      <c r="F759" s="65" t="s">
        <v>788</v>
      </c>
      <c r="G759" s="17" t="s">
        <v>88</v>
      </c>
      <c r="H759" s="18" t="s">
        <v>8874</v>
      </c>
      <c r="I759" s="18" t="s">
        <v>8874</v>
      </c>
      <c r="J759" s="18" t="s">
        <v>8875</v>
      </c>
      <c r="K759" s="18" t="s">
        <v>5794</v>
      </c>
      <c r="L759" s="18" t="s">
        <v>560</v>
      </c>
      <c r="M759" s="18" t="s">
        <v>561</v>
      </c>
      <c r="N759" s="18" t="s">
        <v>297</v>
      </c>
      <c r="O759" s="18" t="s">
        <v>98</v>
      </c>
      <c r="P759" s="15" t="str">
        <f t="shared" si="1"/>
        <v>BREWERY</v>
      </c>
      <c r="Q759" s="15">
        <f t="shared" si="2"/>
        <v>4</v>
      </c>
      <c r="R759" s="15">
        <f t="shared" si="3"/>
        <v>7</v>
      </c>
      <c r="S759" s="15">
        <f t="shared" si="4"/>
        <v>1</v>
      </c>
      <c r="T759" s="15" t="str">
        <f t="shared" si="5"/>
        <v>B-6</v>
      </c>
      <c r="U759" s="15" t="str">
        <f t="shared" si="6"/>
        <v>T4-M7-H1-FB-6-BREWERY</v>
      </c>
      <c r="V759" s="15">
        <f t="shared" si="7"/>
        <v>0</v>
      </c>
      <c r="W759" s="31"/>
      <c r="X759" s="15" t="str">
        <f t="shared" si="8"/>
        <v>breda-netherlands</v>
      </c>
      <c r="Y759" s="32" t="str">
        <f t="shared" si="9"/>
        <v>https://steelmanufacturer.in/market-area/electropolished-pipes-manufacturer-in-breda-netherlands/</v>
      </c>
      <c r="Z759" s="15" t="str">
        <f t="shared" si="10"/>
        <v>Electropolished Pipes Manufacturer in Breda - SS 304/316L EP Tube</v>
      </c>
      <c r="AA759" s="15" t="str">
        <f t="shared" si="11"/>
        <v>OK (65)</v>
      </c>
      <c r="AB759" s="15" t="str">
        <f t="shared" si="12"/>
        <v>Electropolished pipes in Breda: 304, 304L, 316 and 316L in SF1-SF4. 23-29 days sea from Nhava Sheva to Rotterdam. Mill certified.</v>
      </c>
      <c r="AC759" s="15" t="str">
        <f t="shared" si="13"/>
        <v>OK (129)</v>
      </c>
      <c r="AD759" s="15" t="str">
        <f t="shared" si="14"/>
        <v>Electropolished Pipes Manufacturer in Breda</v>
      </c>
      <c r="AE759" s="15" t="str">
        <f t="shared" si="15"/>
        <v>Electropolished Pipe &amp; Tube Manufacturing for Breda - Grades, Finishes &amp; Certification</v>
      </c>
      <c r="AF759" s="15" t="str">
        <f t="shared" si="16"/>
        <v>Electropolished Pipes Supplier in Breda - Stock Sizes, Lead Time &amp; Delivery</v>
      </c>
      <c r="AG759" s="15" t="str">
        <f t="shared" si="17"/>
        <v>Electropolished Pipes Wholesaler &amp; Stockist in Breda - Bulk &amp; Project Pricing</v>
      </c>
      <c r="AH759" s="15" t="str">
        <f t="shared" si="18"/>
        <v>electropolished pipes manufacturer in Breda, electropolished pipes supplier in Breda, electropolished pipes wholesaler in Breda, electropolished tube manufacturer Breda, EP pipe supplier Breda, sanitary tube supplier Breda, ASME BPE tubing Breda, ASTM A270 tube Breda, SS 316L electropolished pipe Breda</v>
      </c>
      <c r="AI759" s="15" t="str">
        <f t="shared" si="19"/>
        <v>Electropolished Pipes Manufacturer &amp; Supplier in Breda</v>
      </c>
      <c r="AJ759" s="15" t="str">
        <f t="shared" si="20"/>
        <v>EP-finished SS 304/316L pipes and tubes for brewery &amp; food plants in Breda. ASME BPE SF1-SF4, Ra from 0.25 um, EN 10204 3.1 certificate with every lot.</v>
      </c>
      <c r="AK759" s="15" t="str">
        <f t="shared" si="21"/>
        <v>Electropolished stainless steel pipes supplied by Sakshi Forge to brewery &amp; food plants at Breda Hazeldonk Industrial, Breda</v>
      </c>
      <c r="AL759" s="15" t="str">
        <f t="shared" si="22"/>
        <v>Electropolished SS 316L tube stock for Breda - Sakshi Forge</v>
      </c>
      <c r="AM759" s="15" t="str">
        <f t="shared" si="23"/>
        <v>Home &gt; Market Area &gt; Netherlands &gt; North Brabant &gt; Breda</v>
      </c>
      <c r="AN759" s="15">
        <f t="shared" si="24"/>
        <v>1000</v>
      </c>
      <c r="AO759" s="15">
        <f t="shared" si="25"/>
        <v>8</v>
      </c>
      <c r="AP759" s="15">
        <f t="shared" si="26"/>
        <v>8</v>
      </c>
      <c r="AQ759" s="15">
        <f t="shared" si="27"/>
        <v>13</v>
      </c>
      <c r="AR759" s="31"/>
      <c r="AS759" s="31"/>
      <c r="AT759" s="35" t="s">
        <v>222</v>
      </c>
      <c r="AU759" s="35"/>
    </row>
    <row r="760" ht="15.75" customHeight="1">
      <c r="A760" s="15" t="s">
        <v>8876</v>
      </c>
      <c r="B760" s="15" t="s">
        <v>255</v>
      </c>
      <c r="C760" s="15" t="s">
        <v>8877</v>
      </c>
      <c r="D760" s="15" t="s">
        <v>8878</v>
      </c>
      <c r="E760" s="15" t="s">
        <v>8878</v>
      </c>
      <c r="F760" s="65" t="s">
        <v>788</v>
      </c>
      <c r="G760" s="17" t="s">
        <v>88</v>
      </c>
      <c r="H760" s="18" t="s">
        <v>8879</v>
      </c>
      <c r="I760" s="18" t="s">
        <v>8880</v>
      </c>
      <c r="J760" s="18" t="s">
        <v>8881</v>
      </c>
      <c r="K760" s="18" t="s">
        <v>94</v>
      </c>
      <c r="L760" s="18" t="s">
        <v>560</v>
      </c>
      <c r="M760" s="18" t="s">
        <v>561</v>
      </c>
      <c r="N760" s="18" t="s">
        <v>297</v>
      </c>
      <c r="O760" s="18" t="s">
        <v>98</v>
      </c>
      <c r="P760" s="15" t="str">
        <f t="shared" si="1"/>
        <v>FOOD</v>
      </c>
      <c r="Q760" s="15">
        <f t="shared" si="2"/>
        <v>5</v>
      </c>
      <c r="R760" s="15">
        <f t="shared" si="3"/>
        <v>1</v>
      </c>
      <c r="S760" s="15">
        <f t="shared" si="4"/>
        <v>2</v>
      </c>
      <c r="T760" s="15" t="str">
        <f t="shared" si="5"/>
        <v>B-1</v>
      </c>
      <c r="U760" s="15" t="str">
        <f t="shared" si="6"/>
        <v>T5-M1-H2-FB-1-FOOD</v>
      </c>
      <c r="V760" s="15">
        <f t="shared" si="7"/>
        <v>0</v>
      </c>
      <c r="W760" s="31"/>
      <c r="X760" s="15" t="str">
        <f t="shared" si="8"/>
        <v>enschede-netherlands</v>
      </c>
      <c r="Y760" s="32" t="str">
        <f t="shared" si="9"/>
        <v>https://steelmanufacturer.in/market-area/electropolished-pipes-manufacturer-in-enschede-netherlands/</v>
      </c>
      <c r="Z760" s="15" t="str">
        <f t="shared" si="10"/>
        <v>Electropolished Pipes Manufacturer in Enschede</v>
      </c>
      <c r="AA760" s="15" t="str">
        <f t="shared" si="11"/>
        <v>OK (46)</v>
      </c>
      <c r="AB760" s="15" t="str">
        <f t="shared" si="12"/>
        <v>EP-finished SS 304/316L pipes &amp; tubes for food processing plants in Enschede. ASTM A270, ASME BPE SF1-SF4, EN 10204 3.1 MTC. PMI tested.</v>
      </c>
      <c r="AC760" s="15" t="str">
        <f t="shared" si="13"/>
        <v>OK (136)</v>
      </c>
      <c r="AD760" s="15" t="str">
        <f t="shared" si="14"/>
        <v>Electropolished Pipes Manufacturer in Enschede</v>
      </c>
      <c r="AE760" s="15" t="str">
        <f t="shared" si="15"/>
        <v>How We Manufacture Electropolished Tube for Enschede Plants</v>
      </c>
      <c r="AF760" s="15" t="str">
        <f t="shared" si="16"/>
        <v>Supplying Electropolished Pipes in Enschede: Availability, Sizes &amp; Dispatch</v>
      </c>
      <c r="AG760" s="15" t="str">
        <f t="shared" si="17"/>
        <v>Wholesale Electropolished Pipe Supply for Enschede Projects</v>
      </c>
      <c r="AH760" s="15" t="str">
        <f t="shared" si="18"/>
        <v>electropolished pipes manufacturer in Enschede, electropolished pipes supplier in Enschede, electropolished pipes wholesaler in Enschede, electropolished tube manufacturer Enschede, EP pipe supplier Enschede, sanitary tube supplier Enschede, ASME BPE tubing Enschede, ASTM A270 tube Enschede, SS 316L electropolished pipe Enschede</v>
      </c>
      <c r="AI760" s="15" t="str">
        <f t="shared" si="19"/>
        <v>Electropolished Pipes Manufacturer &amp; Supplier in Enschede</v>
      </c>
      <c r="AJ760" s="15" t="str">
        <f t="shared" si="20"/>
        <v>EP-finished SS 304/316L pipes and tubes for food processing plants in Enschede. ASME BPE SF1-SF4, Ra from 0.25 um, EN 10204 3.1 certificate with every lot.</v>
      </c>
      <c r="AK760" s="15" t="str">
        <f t="shared" si="21"/>
        <v>Electropolished stainless steel pipes supplied by Sakshi Forge to food processing plants at Kennispark Twente, Enschede</v>
      </c>
      <c r="AL760" s="15" t="str">
        <f t="shared" si="22"/>
        <v>Electropolished SS 316L tube stock for Enschede - Sakshi Forge</v>
      </c>
      <c r="AM760" s="15" t="str">
        <f t="shared" si="23"/>
        <v>Home &gt; Market Area &gt; Netherlands &gt; Overijssel &gt; Enschede</v>
      </c>
      <c r="AN760" s="15">
        <f t="shared" si="24"/>
        <v>1000</v>
      </c>
      <c r="AO760" s="15">
        <f t="shared" si="25"/>
        <v>8</v>
      </c>
      <c r="AP760" s="15">
        <f t="shared" si="26"/>
        <v>8</v>
      </c>
      <c r="AQ760" s="15">
        <f t="shared" si="27"/>
        <v>13</v>
      </c>
      <c r="AR760" s="31"/>
      <c r="AS760" s="31"/>
      <c r="AT760" s="35" t="s">
        <v>222</v>
      </c>
      <c r="AU760" s="35"/>
    </row>
    <row r="761" ht="15.75" customHeight="1">
      <c r="A761" s="15" t="s">
        <v>8882</v>
      </c>
      <c r="B761" s="15" t="s">
        <v>255</v>
      </c>
      <c r="C761" s="15" t="s">
        <v>8883</v>
      </c>
      <c r="D761" s="15" t="s">
        <v>8883</v>
      </c>
      <c r="E761" s="15" t="s">
        <v>8883</v>
      </c>
      <c r="F761" s="65" t="s">
        <v>788</v>
      </c>
      <c r="G761" s="17" t="s">
        <v>88</v>
      </c>
      <c r="H761" s="18" t="s">
        <v>8884</v>
      </c>
      <c r="I761" s="18" t="s">
        <v>8885</v>
      </c>
      <c r="J761" s="18" t="s">
        <v>8886</v>
      </c>
      <c r="K761" s="18" t="s">
        <v>1320</v>
      </c>
      <c r="L761" s="18" t="s">
        <v>8887</v>
      </c>
      <c r="M761" s="18" t="s">
        <v>561</v>
      </c>
      <c r="N761" s="18" t="s">
        <v>297</v>
      </c>
      <c r="O761" s="18" t="s">
        <v>98</v>
      </c>
      <c r="P761" s="15" t="str">
        <f t="shared" si="1"/>
        <v>BIOTECH</v>
      </c>
      <c r="Q761" s="15">
        <f t="shared" si="2"/>
        <v>6</v>
      </c>
      <c r="R761" s="15">
        <f t="shared" si="3"/>
        <v>2</v>
      </c>
      <c r="S761" s="15">
        <f t="shared" si="4"/>
        <v>3</v>
      </c>
      <c r="T761" s="15" t="str">
        <f t="shared" si="5"/>
        <v>B-2</v>
      </c>
      <c r="U761" s="15" t="str">
        <f t="shared" si="6"/>
        <v>T6-M2-H3-FB-2-BIOTECH</v>
      </c>
      <c r="V761" s="15">
        <f t="shared" si="7"/>
        <v>0</v>
      </c>
      <c r="W761" s="31"/>
      <c r="X761" s="15" t="str">
        <f t="shared" si="8"/>
        <v>groningen-netherlands</v>
      </c>
      <c r="Y761" s="32" t="str">
        <f t="shared" si="9"/>
        <v>https://steelmanufacturer.in/market-area/electropolished-pipes-manufacturer-in-groningen-netherlands/</v>
      </c>
      <c r="Z761" s="15" t="str">
        <f t="shared" si="10"/>
        <v>Electropolished Pipes Manufacturer in Groningen</v>
      </c>
      <c r="AA761" s="15" t="str">
        <f t="shared" si="11"/>
        <v>OK (47)</v>
      </c>
      <c r="AB761" s="15" t="str">
        <f t="shared" si="12"/>
        <v>Electropolished tube supply to Groningen Zernike Campus, Groningen. Ra from 0.25 um, SF4 finish, mill test certificate with every lot.</v>
      </c>
      <c r="AC761" s="15" t="str">
        <f t="shared" si="13"/>
        <v>OK (134)</v>
      </c>
      <c r="AD761" s="15" t="str">
        <f t="shared" si="14"/>
        <v>Electropolished Pipes Manufacturer in Groningen</v>
      </c>
      <c r="AE761" s="15" t="str">
        <f t="shared" si="15"/>
        <v>Electropolished Pipes Manufacturer in Groningen - Our Process &amp; Capability</v>
      </c>
      <c r="AF761" s="15" t="str">
        <f t="shared" si="16"/>
        <v>Electropolished Pipes Supplier in Groningen - What We Hold in Stock</v>
      </c>
      <c r="AG761" s="15" t="str">
        <f t="shared" si="17"/>
        <v>Bulk &amp; Wholesale Electropolished Pipe Rates for Groningen Buyers</v>
      </c>
      <c r="AH761" s="15" t="str">
        <f t="shared" si="18"/>
        <v>electropolished pipes manufacturer in Groningen, electropolished pipes supplier in Groningen, electropolished pipes wholesaler in Groningen, electropolished tube manufacturer Groningen, EP pipe supplier Groningen, sanitary tube supplier Groningen, ASME BPE tubing Groningen, ASTM A270 tube Groningen, SS 316L electropolished pipe Groningen</v>
      </c>
      <c r="AI761" s="15" t="str">
        <f t="shared" si="19"/>
        <v>Electropolished Pipes Manufacturer &amp; Supplier in Groningen</v>
      </c>
      <c r="AJ761" s="15" t="str">
        <f t="shared" si="20"/>
        <v>EP-finished SS 304/316L pipes and tubes for biotech plants in Groningen. ASME BPE SF1-SF4, Ra from 0.25 um, EN 10204 3.1 certificate with every lot.</v>
      </c>
      <c r="AK761" s="15" t="str">
        <f t="shared" si="21"/>
        <v>Electropolished stainless steel pipes supplied by Sakshi Forge to biotech plants at Groningen Zernike Campus, Groningen</v>
      </c>
      <c r="AL761" s="15" t="str">
        <f t="shared" si="22"/>
        <v>Electropolished SS 316L tube stock for Groningen - Sakshi Forge</v>
      </c>
      <c r="AM761" s="15" t="str">
        <f t="shared" si="23"/>
        <v>Home &gt; Market Area &gt; Netherlands &gt; Groningen &gt; Groningen</v>
      </c>
      <c r="AN761" s="15">
        <f t="shared" si="24"/>
        <v>1000</v>
      </c>
      <c r="AO761" s="15">
        <f t="shared" si="25"/>
        <v>8</v>
      </c>
      <c r="AP761" s="15">
        <f t="shared" si="26"/>
        <v>8</v>
      </c>
      <c r="AQ761" s="15">
        <f t="shared" si="27"/>
        <v>13</v>
      </c>
      <c r="AR761" s="31"/>
      <c r="AS761" s="31"/>
      <c r="AT761" s="35" t="s">
        <v>222</v>
      </c>
      <c r="AU761" s="35"/>
    </row>
    <row r="762" ht="15.75" customHeight="1">
      <c r="A762" s="15" t="s">
        <v>8888</v>
      </c>
      <c r="B762" s="15" t="s">
        <v>255</v>
      </c>
      <c r="C762" s="15" t="s">
        <v>8867</v>
      </c>
      <c r="D762" s="15" t="s">
        <v>8889</v>
      </c>
      <c r="E762" s="15" t="s">
        <v>8889</v>
      </c>
      <c r="F762" s="65" t="s">
        <v>788</v>
      </c>
      <c r="G762" s="17" t="s">
        <v>88</v>
      </c>
      <c r="H762" s="18" t="s">
        <v>8890</v>
      </c>
      <c r="I762" s="18" t="s">
        <v>8891</v>
      </c>
      <c r="J762" s="18" t="s">
        <v>8892</v>
      </c>
      <c r="K762" s="18" t="s">
        <v>4868</v>
      </c>
      <c r="L762" s="18" t="s">
        <v>560</v>
      </c>
      <c r="M762" s="18" t="s">
        <v>561</v>
      </c>
      <c r="N762" s="18" t="s">
        <v>297</v>
      </c>
      <c r="O762" s="18" t="s">
        <v>98</v>
      </c>
      <c r="P762" s="15" t="str">
        <f t="shared" si="1"/>
        <v>SEMI</v>
      </c>
      <c r="Q762" s="15">
        <f t="shared" si="2"/>
        <v>7</v>
      </c>
      <c r="R762" s="15">
        <f t="shared" si="3"/>
        <v>3</v>
      </c>
      <c r="S762" s="15">
        <f t="shared" si="4"/>
        <v>4</v>
      </c>
      <c r="T762" s="15" t="str">
        <f t="shared" si="5"/>
        <v>B-3</v>
      </c>
      <c r="U762" s="15" t="str">
        <f t="shared" si="6"/>
        <v>T7-M3-H4-FB-3-SEMI</v>
      </c>
      <c r="V762" s="15">
        <f t="shared" si="7"/>
        <v>0</v>
      </c>
      <c r="W762" s="31"/>
      <c r="X762" s="15" t="str">
        <f t="shared" si="8"/>
        <v>nijmegen-netherlands</v>
      </c>
      <c r="Y762" s="32" t="str">
        <f t="shared" si="9"/>
        <v>https://steelmanufacturer.in/market-area/electropolished-pipes-manufacturer-in-nijmegen-netherlands/</v>
      </c>
      <c r="Z762" s="15" t="str">
        <f t="shared" si="10"/>
        <v>Electropolished Pipes Manufacturer in Nijmegen | ASME BPE SF1-SF4</v>
      </c>
      <c r="AA762" s="15" t="str">
        <f t="shared" si="11"/>
        <v>OK (65)</v>
      </c>
      <c r="AB762" s="15" t="str">
        <f t="shared" si="12"/>
        <v>EP stainless tube for semiconductor lines in Nijmegen. 23-29 days sea from Nhava Sheva to Rotterdam. ASTM A270 S2, PMI tested, EN 10204 3.1.</v>
      </c>
      <c r="AC762" s="15" t="str">
        <f t="shared" si="13"/>
        <v>OK (140)</v>
      </c>
      <c r="AD762" s="15" t="str">
        <f t="shared" si="14"/>
        <v>Electropolished Pipes Manufacturer in Nijmegen</v>
      </c>
      <c r="AE762" s="15" t="str">
        <f t="shared" si="15"/>
        <v>Manufacturing Electropolished SS Tube for Nijmegen: The Standards We Build To</v>
      </c>
      <c r="AF762" s="15" t="str">
        <f t="shared" si="16"/>
        <v>Electropolished Pipe Supply Into Nijmegen - Certification &amp; Transit</v>
      </c>
      <c r="AG762" s="15" t="str">
        <f t="shared" si="17"/>
        <v>Electropolished Pipes Wholesaler in Nijmegen - Project Quantities &amp; Terms</v>
      </c>
      <c r="AH762" s="15" t="str">
        <f t="shared" si="18"/>
        <v>electropolished pipes manufacturer in Nijmegen, electropolished pipes supplier in Nijmegen, electropolished pipes wholesaler in Nijmegen, electropolished tube manufacturer Nijmegen, EP pipe supplier Nijmegen, sanitary tube supplier Nijmegen, ASME BPE tubing Nijmegen, ASTM A270 tube Nijmegen, SS 316L electropolished pipe Nijmegen</v>
      </c>
      <c r="AI762" s="15" t="str">
        <f t="shared" si="19"/>
        <v>Electropolished Pipes Manufacturer &amp; Supplier in Nijmegen</v>
      </c>
      <c r="AJ762" s="15" t="str">
        <f t="shared" si="20"/>
        <v>EP-finished SS 304/316L pipes and tubes for semiconductor plants in Nijmegen. ASME BPE SF1-SF4, Ra from 0.25 um, EN 10204 3.1 certificate with every lot.</v>
      </c>
      <c r="AK762" s="15" t="str">
        <f t="shared" si="21"/>
        <v>Electropolished stainless steel pipes supplied by Sakshi Forge to semiconductor plants at Nijmegen Industrial Corridor, Nijmegen</v>
      </c>
      <c r="AL762" s="15" t="str">
        <f t="shared" si="22"/>
        <v>Electropolished SS 316L tube stock for Nijmegen - Sakshi Forge</v>
      </c>
      <c r="AM762" s="15" t="str">
        <f t="shared" si="23"/>
        <v>Home &gt; Market Area &gt; Netherlands &gt; Gelderland &gt; Nijmegen</v>
      </c>
      <c r="AN762" s="15">
        <f t="shared" si="24"/>
        <v>1000</v>
      </c>
      <c r="AO762" s="15">
        <f t="shared" si="25"/>
        <v>8</v>
      </c>
      <c r="AP762" s="15">
        <f t="shared" si="26"/>
        <v>8</v>
      </c>
      <c r="AQ762" s="15">
        <f t="shared" si="27"/>
        <v>13</v>
      </c>
      <c r="AR762" s="31"/>
      <c r="AS762" s="31"/>
      <c r="AT762" s="35" t="s">
        <v>222</v>
      </c>
      <c r="AU762" s="35"/>
    </row>
    <row r="763" ht="15.75" customHeight="1">
      <c r="A763" s="15" t="s">
        <v>8893</v>
      </c>
      <c r="B763" s="15" t="s">
        <v>255</v>
      </c>
      <c r="C763" s="15" t="s">
        <v>8894</v>
      </c>
      <c r="D763" s="15" t="s">
        <v>8895</v>
      </c>
      <c r="E763" s="15" t="s">
        <v>8895</v>
      </c>
      <c r="F763" s="65" t="s">
        <v>788</v>
      </c>
      <c r="G763" s="17" t="s">
        <v>88</v>
      </c>
      <c r="H763" s="18" t="s">
        <v>8896</v>
      </c>
      <c r="I763" s="18" t="s">
        <v>8897</v>
      </c>
      <c r="J763" s="18" t="s">
        <v>8123</v>
      </c>
      <c r="K763" s="18" t="s">
        <v>1084</v>
      </c>
      <c r="L763" s="18" t="s">
        <v>8898</v>
      </c>
      <c r="M763" s="18" t="s">
        <v>561</v>
      </c>
      <c r="N763" s="18" t="s">
        <v>297</v>
      </c>
      <c r="O763" s="18" t="s">
        <v>98</v>
      </c>
      <c r="P763" s="15" t="str">
        <f t="shared" si="1"/>
        <v>CHEM</v>
      </c>
      <c r="Q763" s="15">
        <f t="shared" si="2"/>
        <v>8</v>
      </c>
      <c r="R763" s="15">
        <f t="shared" si="3"/>
        <v>4</v>
      </c>
      <c r="S763" s="15">
        <f t="shared" si="4"/>
        <v>5</v>
      </c>
      <c r="T763" s="15" t="str">
        <f t="shared" si="5"/>
        <v>B-4</v>
      </c>
      <c r="U763" s="15" t="str">
        <f t="shared" si="6"/>
        <v>T8-M4-H5-FB-4-CHEM</v>
      </c>
      <c r="V763" s="15">
        <f t="shared" si="7"/>
        <v>0</v>
      </c>
      <c r="W763" s="31"/>
      <c r="X763" s="15" t="str">
        <f t="shared" si="8"/>
        <v>terneuzen-netherlands</v>
      </c>
      <c r="Y763" s="32" t="str">
        <f t="shared" si="9"/>
        <v>https://steelmanufacturer.in/market-area/electropolished-pipes-manufacturer-in-terneuzen-netherlands/</v>
      </c>
      <c r="Z763" s="15" t="str">
        <f t="shared" si="10"/>
        <v>Electropolished Pipes Manufacturer in Terneuzen</v>
      </c>
      <c r="AA763" s="15" t="str">
        <f t="shared" si="11"/>
        <v>OK (47)</v>
      </c>
      <c r="AB763" s="15" t="str">
        <f t="shared" si="12"/>
        <v>Sanitary electropolished pipes in Terneuzen for petrochemical plants. ASME BPE SF1-SF4, orbital-weld ready, 3.1 MTC. Mumbai-made.</v>
      </c>
      <c r="AC763" s="15" t="str">
        <f t="shared" si="13"/>
        <v>OK (129)</v>
      </c>
      <c r="AD763" s="15" t="str">
        <f t="shared" si="14"/>
        <v>Electropolished Pipes Manufacturer in Terneuzen</v>
      </c>
      <c r="AE763" s="15" t="str">
        <f t="shared" si="15"/>
        <v>Electropolished Tube Manufacturing Capability Serving Terneuzen</v>
      </c>
      <c r="AF763" s="15" t="str">
        <f t="shared" si="16"/>
        <v>Electropolished Pipes Supplier in Terneuzen - From Order to Delivery</v>
      </c>
      <c r="AG763" s="15" t="str">
        <f t="shared" si="17"/>
        <v>Stockist &amp; Wholesale Supply of Electropolished Pipes in Terneuzen</v>
      </c>
      <c r="AH763" s="15" t="str">
        <f t="shared" si="18"/>
        <v>electropolished pipes manufacturer in Terneuzen, electropolished pipes supplier in Terneuzen, electropolished pipes wholesaler in Terneuzen, electropolished tube manufacturer Terneuzen, EP pipe supplier Terneuzen, sanitary tube supplier Terneuzen, ASME BPE tubing Terneuzen, ASTM A270 tube Terneuzen, SS 316L electropolished pipe Terneuzen</v>
      </c>
      <c r="AI763" s="15" t="str">
        <f t="shared" si="19"/>
        <v>Electropolished Pipes Manufacturer &amp; Supplier in Terneuzen</v>
      </c>
      <c r="AJ763" s="15" t="str">
        <f t="shared" si="20"/>
        <v>EP-finished SS 304/316L pipes and tubes for petrochemical plants in Terneuzen. ASME BPE SF1-SF4, Ra from 0.25 um, EN 10204 3.1 certificate with every lot.</v>
      </c>
      <c r="AK763" s="15" t="str">
        <f t="shared" si="21"/>
        <v>Electropolished stainless steel pipes supplied by Sakshi Forge to petrochemical plants at Terneuzen Industrial Zone, Terneuzen</v>
      </c>
      <c r="AL763" s="15" t="str">
        <f t="shared" si="22"/>
        <v>Electropolished SS 316L tube stock for Terneuzen - Sakshi Forge</v>
      </c>
      <c r="AM763" s="15" t="str">
        <f t="shared" si="23"/>
        <v>Home &gt; Market Area &gt; Netherlands &gt; Zeeland &gt; Terneuzen</v>
      </c>
      <c r="AN763" s="15">
        <f t="shared" si="24"/>
        <v>1000</v>
      </c>
      <c r="AO763" s="15">
        <f t="shared" si="25"/>
        <v>8</v>
      </c>
      <c r="AP763" s="15">
        <f t="shared" si="26"/>
        <v>8</v>
      </c>
      <c r="AQ763" s="15">
        <f t="shared" si="27"/>
        <v>13</v>
      </c>
      <c r="AR763" s="31"/>
      <c r="AS763" s="31"/>
      <c r="AT763" s="35" t="s">
        <v>222</v>
      </c>
      <c r="AU763" s="35"/>
    </row>
    <row r="764" ht="15.75" customHeight="1">
      <c r="A764" s="15" t="s">
        <v>8899</v>
      </c>
      <c r="B764" s="15" t="s">
        <v>255</v>
      </c>
      <c r="C764" s="15" t="s">
        <v>7424</v>
      </c>
      <c r="D764" s="15" t="s">
        <v>8900</v>
      </c>
      <c r="E764" s="15" t="s">
        <v>8900</v>
      </c>
      <c r="F764" s="65" t="s">
        <v>788</v>
      </c>
      <c r="G764" s="17" t="s">
        <v>88</v>
      </c>
      <c r="H764" s="18" t="s">
        <v>8901</v>
      </c>
      <c r="I764" s="18" t="s">
        <v>8902</v>
      </c>
      <c r="J764" s="18" t="s">
        <v>8903</v>
      </c>
      <c r="K764" s="18" t="s">
        <v>94</v>
      </c>
      <c r="L764" s="18" t="s">
        <v>560</v>
      </c>
      <c r="M764" s="18" t="s">
        <v>561</v>
      </c>
      <c r="N764" s="18" t="s">
        <v>297</v>
      </c>
      <c r="O764" s="18" t="s">
        <v>98</v>
      </c>
      <c r="P764" s="15" t="str">
        <f t="shared" si="1"/>
        <v>FOOD</v>
      </c>
      <c r="Q764" s="15">
        <f t="shared" si="2"/>
        <v>1</v>
      </c>
      <c r="R764" s="15">
        <f t="shared" si="3"/>
        <v>5</v>
      </c>
      <c r="S764" s="15">
        <f t="shared" si="4"/>
        <v>1</v>
      </c>
      <c r="T764" s="15" t="str">
        <f t="shared" si="5"/>
        <v>B-5</v>
      </c>
      <c r="U764" s="15" t="str">
        <f t="shared" si="6"/>
        <v>T1-M5-H1-FB-5-FOOD</v>
      </c>
      <c r="V764" s="15">
        <f t="shared" si="7"/>
        <v>0</v>
      </c>
      <c r="W764" s="31"/>
      <c r="X764" s="15" t="str">
        <f t="shared" si="8"/>
        <v>the-hague-netherlands</v>
      </c>
      <c r="Y764" s="32" t="str">
        <f t="shared" si="9"/>
        <v>https://steelmanufacturer.in/market-area/electropolished-pipes-manufacturer-in-the-hague-netherlands/</v>
      </c>
      <c r="Z764" s="15" t="str">
        <f t="shared" si="10"/>
        <v>Electropolished Pipes Manufacturer in The Hague | Sakshi Forge</v>
      </c>
      <c r="AA764" s="15" t="str">
        <f t="shared" si="11"/>
        <v>OK (62)</v>
      </c>
      <c r="AB764" s="15" t="str">
        <f t="shared" si="12"/>
        <v>Manufacturer of electropolished SS 316L tube serving The Hague. 23-29 days sea from Nhava Sheva to Rotterdam. Ra 0.25-0.5 um, EN 10204 3.1 MTC.</v>
      </c>
      <c r="AC764" s="15" t="str">
        <f t="shared" si="13"/>
        <v>OK (143)</v>
      </c>
      <c r="AD764" s="15" t="str">
        <f t="shared" si="14"/>
        <v>Electropolished Pipes Manufacturer in The Hague</v>
      </c>
      <c r="AE764" s="15" t="str">
        <f t="shared" si="15"/>
        <v>Electropolished Pipe &amp; Tube Manufacturing for The Hague - Grades, Finishes &amp; Certification</v>
      </c>
      <c r="AF764" s="15" t="str">
        <f t="shared" si="16"/>
        <v>Electropolished Pipes Supplier in The Hague - Stock Sizes, Lead Time &amp; Delivery</v>
      </c>
      <c r="AG764" s="15" t="str">
        <f t="shared" si="17"/>
        <v>Electropolished Pipes Wholesaler &amp; Stockist in The Hague - Bulk &amp; Project Pricing</v>
      </c>
      <c r="AH764" s="15" t="str">
        <f t="shared" si="18"/>
        <v>electropolished pipes manufacturer in The Hague, electropolished pipes supplier in The Hague, electropolished pipes wholesaler in The Hague, electropolished tube manufacturer The Hague, EP pipe supplier The Hague, sanitary tube supplier The Hague, ASME BPE tubing The Hague, ASTM A270 tube The Hague, SS 316L electropolished pipe The Hague</v>
      </c>
      <c r="AI764" s="15" t="str">
        <f t="shared" si="19"/>
        <v>Electropolished Pipes Manufacturer &amp; Supplier in The Hague</v>
      </c>
      <c r="AJ764" s="15" t="str">
        <f t="shared" si="20"/>
        <v>EP-finished SS 304/316L pipes and tubes for food processing plants in The Hague. ASME BPE SF1-SF4, Ra from 0.25 um, EN 10204 3.1 certificate with every lot.</v>
      </c>
      <c r="AK764" s="15" t="str">
        <f t="shared" si="21"/>
        <v>Electropolished stainless steel pipes supplied by Sakshi Forge to food processing plants at Binckhorst Industrial, The Hague</v>
      </c>
      <c r="AL764" s="15" t="str">
        <f t="shared" si="22"/>
        <v>Electropolished SS 316L tube stock for The Hague - Sakshi Forge</v>
      </c>
      <c r="AM764" s="15" t="str">
        <f t="shared" si="23"/>
        <v>Home &gt; Market Area &gt; Netherlands &gt; South Holland &gt; The Hague</v>
      </c>
      <c r="AN764" s="15">
        <f t="shared" si="24"/>
        <v>1000</v>
      </c>
      <c r="AO764" s="15">
        <f t="shared" si="25"/>
        <v>8</v>
      </c>
      <c r="AP764" s="15">
        <f t="shared" si="26"/>
        <v>8</v>
      </c>
      <c r="AQ764" s="15">
        <f t="shared" si="27"/>
        <v>13</v>
      </c>
      <c r="AR764" s="31"/>
      <c r="AS764" s="31"/>
      <c r="AT764" s="35" t="s">
        <v>222</v>
      </c>
      <c r="AU764" s="35"/>
    </row>
    <row r="765" ht="15.75" customHeight="1">
      <c r="A765" s="15" t="s">
        <v>8904</v>
      </c>
      <c r="B765" s="15" t="s">
        <v>255</v>
      </c>
      <c r="C765" s="15" t="s">
        <v>7451</v>
      </c>
      <c r="D765" s="15" t="s">
        <v>8905</v>
      </c>
      <c r="E765" s="15" t="s">
        <v>8905</v>
      </c>
      <c r="F765" s="65" t="s">
        <v>788</v>
      </c>
      <c r="G765" s="17" t="s">
        <v>88</v>
      </c>
      <c r="H765" s="18" t="s">
        <v>8906</v>
      </c>
      <c r="I765" s="18" t="s">
        <v>8906</v>
      </c>
      <c r="J765" s="18" t="s">
        <v>8907</v>
      </c>
      <c r="K765" s="18" t="s">
        <v>94</v>
      </c>
      <c r="L765" s="18" t="s">
        <v>560</v>
      </c>
      <c r="M765" s="18" t="s">
        <v>561</v>
      </c>
      <c r="N765" s="18" t="s">
        <v>297</v>
      </c>
      <c r="O765" s="18" t="s">
        <v>98</v>
      </c>
      <c r="P765" s="15" t="str">
        <f t="shared" si="1"/>
        <v>FOOD</v>
      </c>
      <c r="Q765" s="15">
        <f t="shared" si="2"/>
        <v>2</v>
      </c>
      <c r="R765" s="15">
        <f t="shared" si="3"/>
        <v>6</v>
      </c>
      <c r="S765" s="15">
        <f t="shared" si="4"/>
        <v>2</v>
      </c>
      <c r="T765" s="15" t="str">
        <f t="shared" si="5"/>
        <v>B-6</v>
      </c>
      <c r="U765" s="15" t="str">
        <f t="shared" si="6"/>
        <v>T2-M6-H2-FB-6-FOOD</v>
      </c>
      <c r="V765" s="15">
        <f t="shared" si="7"/>
        <v>0</v>
      </c>
      <c r="W765" s="31"/>
      <c r="X765" s="15" t="str">
        <f t="shared" si="8"/>
        <v>tilburg-netherlands</v>
      </c>
      <c r="Y765" s="32" t="str">
        <f t="shared" si="9"/>
        <v>https://steelmanufacturer.in/market-area/electropolished-pipes-manufacturer-in-tilburg-netherlands/</v>
      </c>
      <c r="Z765" s="15" t="str">
        <f t="shared" si="10"/>
        <v>Electropolished Pipes Manufacturer in Tilburg</v>
      </c>
      <c r="AA765" s="15" t="str">
        <f t="shared" si="11"/>
        <v>OK (45)</v>
      </c>
      <c r="AB765" s="15" t="str">
        <f t="shared" si="12"/>
        <v>EP tube and pipe for food processing plants around Tilburg Vossenberg Industrial, Tilburg. ASTM A270, ASME BPE SF1-SF4, EN 10204 3.1 MTC.</v>
      </c>
      <c r="AC765" s="15" t="str">
        <f t="shared" si="13"/>
        <v>OK (137)</v>
      </c>
      <c r="AD765" s="15" t="str">
        <f t="shared" si="14"/>
        <v>Electropolished Pipes Manufacturer in Tilburg</v>
      </c>
      <c r="AE765" s="15" t="str">
        <f t="shared" si="15"/>
        <v>How We Manufacture Electropolished Tube for Tilburg Plants</v>
      </c>
      <c r="AF765" s="15" t="str">
        <f t="shared" si="16"/>
        <v>Supplying Electropolished Pipes in Tilburg: Availability, Sizes &amp; Dispatch</v>
      </c>
      <c r="AG765" s="15" t="str">
        <f t="shared" si="17"/>
        <v>Wholesale Electropolished Pipe Supply for Tilburg Projects</v>
      </c>
      <c r="AH765" s="15" t="str">
        <f t="shared" si="18"/>
        <v>electropolished pipes manufacturer in Tilburg, electropolished pipes supplier in Tilburg, electropolished pipes wholesaler in Tilburg, electropolished tube manufacturer Tilburg, EP pipe supplier Tilburg, sanitary tube supplier Tilburg, ASME BPE tubing Tilburg, ASTM A270 tube Tilburg, SS 316L electropolished pipe Tilburg</v>
      </c>
      <c r="AI765" s="15" t="str">
        <f t="shared" si="19"/>
        <v>Electropolished Pipes Manufacturer &amp; Supplier in Tilburg</v>
      </c>
      <c r="AJ765" s="15" t="str">
        <f t="shared" si="20"/>
        <v>EP-finished SS 304/316L pipes and tubes for food processing plants in Tilburg. ASME BPE SF1-SF4, Ra from 0.25 um, EN 10204 3.1 certificate with every lot.</v>
      </c>
      <c r="AK765" s="15" t="str">
        <f t="shared" si="21"/>
        <v>Electropolished stainless steel pipes supplied by Sakshi Forge to food processing plants at Tilburg Vossenberg Industrial, Tilburg</v>
      </c>
      <c r="AL765" s="15" t="str">
        <f t="shared" si="22"/>
        <v>Electropolished SS 316L tube stock for Tilburg - Sakshi Forge</v>
      </c>
      <c r="AM765" s="15" t="str">
        <f t="shared" si="23"/>
        <v>Home &gt; Market Area &gt; Netherlands &gt; North Brabant &gt; Tilburg</v>
      </c>
      <c r="AN765" s="15">
        <f t="shared" si="24"/>
        <v>1000</v>
      </c>
      <c r="AO765" s="15">
        <f t="shared" si="25"/>
        <v>8</v>
      </c>
      <c r="AP765" s="15">
        <f t="shared" si="26"/>
        <v>8</v>
      </c>
      <c r="AQ765" s="15">
        <f t="shared" si="27"/>
        <v>13</v>
      </c>
      <c r="AR765" s="31"/>
      <c r="AS765" s="31"/>
      <c r="AT765" s="35" t="s">
        <v>222</v>
      </c>
      <c r="AU765" s="35"/>
    </row>
    <row r="766" ht="15.75" customHeight="1">
      <c r="A766" s="15" t="s">
        <v>8908</v>
      </c>
      <c r="B766" s="15" t="s">
        <v>255</v>
      </c>
      <c r="C766" s="15" t="s">
        <v>8909</v>
      </c>
      <c r="D766" s="15" t="s">
        <v>8909</v>
      </c>
      <c r="E766" s="15" t="s">
        <v>8909</v>
      </c>
      <c r="F766" s="65" t="s">
        <v>788</v>
      </c>
      <c r="G766" s="17" t="s">
        <v>88</v>
      </c>
      <c r="H766" s="18" t="s">
        <v>8910</v>
      </c>
      <c r="I766" s="18" t="s">
        <v>8911</v>
      </c>
      <c r="J766" s="18" t="s">
        <v>8912</v>
      </c>
      <c r="K766" s="18" t="s">
        <v>4208</v>
      </c>
      <c r="L766" s="18" t="s">
        <v>560</v>
      </c>
      <c r="M766" s="18" t="s">
        <v>561</v>
      </c>
      <c r="N766" s="18" t="s">
        <v>297</v>
      </c>
      <c r="O766" s="18" t="s">
        <v>98</v>
      </c>
      <c r="P766" s="15" t="str">
        <f t="shared" si="1"/>
        <v>BIOTECH</v>
      </c>
      <c r="Q766" s="15">
        <f t="shared" si="2"/>
        <v>3</v>
      </c>
      <c r="R766" s="15">
        <f t="shared" si="3"/>
        <v>7</v>
      </c>
      <c r="S766" s="15">
        <f t="shared" si="4"/>
        <v>3</v>
      </c>
      <c r="T766" s="15" t="str">
        <f t="shared" si="5"/>
        <v>B-1</v>
      </c>
      <c r="U766" s="15" t="str">
        <f t="shared" si="6"/>
        <v>T3-M7-H3-FB-1-BIOTECH</v>
      </c>
      <c r="V766" s="15">
        <f t="shared" si="7"/>
        <v>0</v>
      </c>
      <c r="W766" s="31"/>
      <c r="X766" s="15" t="str">
        <f t="shared" si="8"/>
        <v>utrecht-netherlands</v>
      </c>
      <c r="Y766" s="32" t="str">
        <f t="shared" si="9"/>
        <v>https://steelmanufacturer.in/market-area/electropolished-pipes-manufacturer-in-utrecht-netherlands/</v>
      </c>
      <c r="Z766" s="15" t="str">
        <f t="shared" si="10"/>
        <v>Electropolished Pipes Manufacturer in Utrecht | EP Tube Supplier</v>
      </c>
      <c r="AA766" s="15" t="str">
        <f t="shared" si="11"/>
        <v>OK (64)</v>
      </c>
      <c r="AB766" s="15" t="str">
        <f t="shared" si="12"/>
        <v>Electropolished pipes in Utrecht: 304, 304L, 316 and 316L in SF1-SF4. 23-29 days sea from Nhava Sheva to Rotterdam. Mill certified.</v>
      </c>
      <c r="AC766" s="15" t="str">
        <f t="shared" si="13"/>
        <v>OK (131)</v>
      </c>
      <c r="AD766" s="15" t="str">
        <f t="shared" si="14"/>
        <v>Electropolished Pipes Manufacturer in Utrecht</v>
      </c>
      <c r="AE766" s="15" t="str">
        <f t="shared" si="15"/>
        <v>Electropolished Pipes Manufacturer in Utrecht - Our Process &amp; Capability</v>
      </c>
      <c r="AF766" s="15" t="str">
        <f t="shared" si="16"/>
        <v>Electropolished Pipes Supplier in Utrecht - What We Hold in Stock</v>
      </c>
      <c r="AG766" s="15" t="str">
        <f t="shared" si="17"/>
        <v>Bulk &amp; Wholesale Electropolished Pipe Rates for Utrecht Buyers</v>
      </c>
      <c r="AH766" s="15" t="str">
        <f t="shared" si="18"/>
        <v>electropolished pipes manufacturer in Utrecht, electropolished pipes supplier in Utrecht, electropolished pipes wholesaler in Utrecht, electropolished tube manufacturer Utrecht, EP pipe supplier Utrecht, sanitary tube supplier Utrecht, ASME BPE tubing Utrecht, ASTM A270 tube Utrecht, SS 316L electropolished pipe Utrecht</v>
      </c>
      <c r="AI766" s="15" t="str">
        <f t="shared" si="19"/>
        <v>Electropolished Pipes Manufacturer &amp; Supplier in Utrecht</v>
      </c>
      <c r="AJ766" s="15" t="str">
        <f t="shared" si="20"/>
        <v>EP-finished SS 304/316L pipes and tubes for pharma &amp; biotech plants in Utrecht. ASME BPE SF1-SF4, Ra from 0.25 um, EN 10204 3.1 certificate with every lot.</v>
      </c>
      <c r="AK766" s="15" t="str">
        <f t="shared" si="21"/>
        <v>Electropolished stainless steel pipes supplied by Sakshi Forge to pharma &amp; biotech plants at Lage Weide Industrial, Utrecht</v>
      </c>
      <c r="AL766" s="15" t="str">
        <f t="shared" si="22"/>
        <v>Electropolished SS 316L tube stock for Utrecht - Sakshi Forge</v>
      </c>
      <c r="AM766" s="15" t="str">
        <f t="shared" si="23"/>
        <v>Home &gt; Market Area &gt; Netherlands &gt; Utrecht &gt; Utrecht</v>
      </c>
      <c r="AN766" s="15">
        <f t="shared" si="24"/>
        <v>1000</v>
      </c>
      <c r="AO766" s="15">
        <f t="shared" si="25"/>
        <v>8</v>
      </c>
      <c r="AP766" s="15">
        <f t="shared" si="26"/>
        <v>8</v>
      </c>
      <c r="AQ766" s="15">
        <f t="shared" si="27"/>
        <v>13</v>
      </c>
      <c r="AR766" s="31"/>
      <c r="AS766" s="31"/>
      <c r="AT766" s="35" t="s">
        <v>222</v>
      </c>
      <c r="AU766" s="35"/>
    </row>
    <row r="767" ht="15.75" customHeight="1">
      <c r="A767" s="15" t="s">
        <v>8913</v>
      </c>
      <c r="B767" s="15" t="s">
        <v>255</v>
      </c>
      <c r="C767" s="15" t="s">
        <v>8894</v>
      </c>
      <c r="D767" s="15" t="s">
        <v>8914</v>
      </c>
      <c r="E767" s="15" t="s">
        <v>8914</v>
      </c>
      <c r="F767" s="65" t="s">
        <v>788</v>
      </c>
      <c r="G767" s="17" t="s">
        <v>88</v>
      </c>
      <c r="H767" s="18" t="s">
        <v>8915</v>
      </c>
      <c r="I767" s="18" t="s">
        <v>8915</v>
      </c>
      <c r="J767" s="18" t="s">
        <v>8916</v>
      </c>
      <c r="K767" s="18" t="s">
        <v>94</v>
      </c>
      <c r="L767" s="18" t="s">
        <v>8898</v>
      </c>
      <c r="M767" s="18" t="s">
        <v>561</v>
      </c>
      <c r="N767" s="18" t="s">
        <v>297</v>
      </c>
      <c r="O767" s="18" t="s">
        <v>98</v>
      </c>
      <c r="P767" s="15" t="str">
        <f t="shared" si="1"/>
        <v>FOOD</v>
      </c>
      <c r="Q767" s="15">
        <f t="shared" si="2"/>
        <v>4</v>
      </c>
      <c r="R767" s="15">
        <f t="shared" si="3"/>
        <v>1</v>
      </c>
      <c r="S767" s="15">
        <f t="shared" si="4"/>
        <v>4</v>
      </c>
      <c r="T767" s="15" t="str">
        <f t="shared" si="5"/>
        <v>B-2</v>
      </c>
      <c r="U767" s="15" t="str">
        <f t="shared" si="6"/>
        <v>T4-M1-H4-FB-2-FOOD</v>
      </c>
      <c r="V767" s="15">
        <f t="shared" si="7"/>
        <v>0</v>
      </c>
      <c r="W767" s="31"/>
      <c r="X767" s="15" t="str">
        <f t="shared" si="8"/>
        <v>vlissingen-netherlands</v>
      </c>
      <c r="Y767" s="32" t="str">
        <f t="shared" si="9"/>
        <v>https://steelmanufacturer.in/market-area/electropolished-pipes-manufacturer-in-vlissingen-netherlands/</v>
      </c>
      <c r="Z767" s="15" t="str">
        <f t="shared" si="10"/>
        <v>Electropolished Pipes Manufacturer in Vlissingen</v>
      </c>
      <c r="AA767" s="15" t="str">
        <f t="shared" si="11"/>
        <v>OK (48)</v>
      </c>
      <c r="AB767" s="15" t="str">
        <f t="shared" si="12"/>
        <v>EP-finished SS 304/316L pipes &amp; tubes for food processing plants in Vlissingen. ASTM A270, ASME BPE SF1-SF4, EN 10204 3.1 MTC. PMI tested.</v>
      </c>
      <c r="AC767" s="15" t="str">
        <f t="shared" si="13"/>
        <v>OK (138)</v>
      </c>
      <c r="AD767" s="15" t="str">
        <f t="shared" si="14"/>
        <v>Electropolished Pipes Manufacturer in Vlissingen</v>
      </c>
      <c r="AE767" s="15" t="str">
        <f t="shared" si="15"/>
        <v>Manufacturing Electropolished SS Tube for Vlissingen: The Standards We Build To</v>
      </c>
      <c r="AF767" s="15" t="str">
        <f t="shared" si="16"/>
        <v>Electropolished Pipe Supply Into Vlissingen - Certification &amp; Transit</v>
      </c>
      <c r="AG767" s="15" t="str">
        <f t="shared" si="17"/>
        <v>Electropolished Pipes Wholesaler in Vlissingen - Project Quantities &amp; Terms</v>
      </c>
      <c r="AH767" s="15" t="str">
        <f t="shared" si="18"/>
        <v>electropolished pipes manufacturer in Vlissingen, electropolished pipes supplier in Vlissingen, electropolished pipes wholesaler in Vlissingen, electropolished tube manufacturer Vlissingen, EP pipe supplier Vlissingen, sanitary tube supplier Vlissingen, ASME BPE tubing Vlissingen, ASTM A270 tube Vlissingen, SS 316L electropolished pipe Vlissingen</v>
      </c>
      <c r="AI767" s="15" t="str">
        <f t="shared" si="19"/>
        <v>Electropolished Pipes Manufacturer &amp; Supplier in Vlissingen</v>
      </c>
      <c r="AJ767" s="15" t="str">
        <f t="shared" si="20"/>
        <v>EP-finished SS 304/316L pipes and tubes for food processing plants in Vlissingen. ASME BPE SF1-SF4, Ra from 0.25 um, EN 10204 3.1 certificate with every lot.</v>
      </c>
      <c r="AK767" s="15" t="str">
        <f t="shared" si="21"/>
        <v>Electropolished stainless steel pipes supplied by Sakshi Forge to food processing plants at Vlissingen-Oost Industrial (Sloegebied), Vlissingen</v>
      </c>
      <c r="AL767" s="15" t="str">
        <f t="shared" si="22"/>
        <v>Electropolished SS 316L tube stock for Vlissingen - Sakshi Forge</v>
      </c>
      <c r="AM767" s="15" t="str">
        <f t="shared" si="23"/>
        <v>Home &gt; Market Area &gt; Netherlands &gt; Zeeland &gt; Vlissingen</v>
      </c>
      <c r="AN767" s="15">
        <f t="shared" si="24"/>
        <v>1000</v>
      </c>
      <c r="AO767" s="15">
        <f t="shared" si="25"/>
        <v>8</v>
      </c>
      <c r="AP767" s="15">
        <f t="shared" si="26"/>
        <v>8</v>
      </c>
      <c r="AQ767" s="15">
        <f t="shared" si="27"/>
        <v>13</v>
      </c>
      <c r="AR767" s="31"/>
      <c r="AS767" s="31"/>
      <c r="AT767" s="35" t="s">
        <v>222</v>
      </c>
      <c r="AU767" s="35"/>
    </row>
    <row r="768" ht="15.75" customHeight="1">
      <c r="A768" s="15" t="s">
        <v>8917</v>
      </c>
      <c r="B768" s="15" t="s">
        <v>255</v>
      </c>
      <c r="C768" s="15" t="s">
        <v>8867</v>
      </c>
      <c r="D768" s="15" t="s">
        <v>8918</v>
      </c>
      <c r="E768" s="15" t="s">
        <v>8918</v>
      </c>
      <c r="F768" s="65" t="s">
        <v>788</v>
      </c>
      <c r="G768" s="17" t="s">
        <v>88</v>
      </c>
      <c r="H768" s="18" t="s">
        <v>8919</v>
      </c>
      <c r="I768" s="18" t="s">
        <v>8919</v>
      </c>
      <c r="J768" s="18" t="s">
        <v>8920</v>
      </c>
      <c r="K768" s="18" t="s">
        <v>579</v>
      </c>
      <c r="L768" s="18" t="s">
        <v>560</v>
      </c>
      <c r="M768" s="18" t="s">
        <v>561</v>
      </c>
      <c r="N768" s="18" t="s">
        <v>297</v>
      </c>
      <c r="O768" s="18" t="s">
        <v>98</v>
      </c>
      <c r="P768" s="15" t="str">
        <f t="shared" si="1"/>
        <v>DAIRY</v>
      </c>
      <c r="Q768" s="15">
        <f t="shared" si="2"/>
        <v>5</v>
      </c>
      <c r="R768" s="15">
        <f t="shared" si="3"/>
        <v>2</v>
      </c>
      <c r="S768" s="15">
        <f t="shared" si="4"/>
        <v>5</v>
      </c>
      <c r="T768" s="15" t="str">
        <f t="shared" si="5"/>
        <v>B-3</v>
      </c>
      <c r="U768" s="15" t="str">
        <f t="shared" si="6"/>
        <v>T5-M2-H5-FB-3-DAIRY</v>
      </c>
      <c r="V768" s="15">
        <f t="shared" si="7"/>
        <v>0</v>
      </c>
      <c r="W768" s="31"/>
      <c r="X768" s="15" t="str">
        <f t="shared" si="8"/>
        <v>wageningen-netherlands</v>
      </c>
      <c r="Y768" s="32" t="str">
        <f t="shared" si="9"/>
        <v>https://steelmanufacturer.in/market-area/electropolished-pipes-manufacturer-in-wageningen-netherlands/</v>
      </c>
      <c r="Z768" s="15" t="str">
        <f t="shared" si="10"/>
        <v>Electropolished Pipes Manufacturer in Wageningen</v>
      </c>
      <c r="AA768" s="15" t="str">
        <f t="shared" si="11"/>
        <v>OK (48)</v>
      </c>
      <c r="AB768" s="15" t="str">
        <f t="shared" si="12"/>
        <v>Electropolished tube supply to Wageningen Food Valley Campus, Wageningen. Ra from 0.25 um, SF4 finish, mill test certificate with every lot.</v>
      </c>
      <c r="AC768" s="15" t="str">
        <f t="shared" si="13"/>
        <v>OK (140)</v>
      </c>
      <c r="AD768" s="15" t="str">
        <f t="shared" si="14"/>
        <v>Electropolished Pipes Manufacturer in Wageningen</v>
      </c>
      <c r="AE768" s="15" t="str">
        <f t="shared" si="15"/>
        <v>Electropolished Tube Manufacturing Capability Serving Wageningen</v>
      </c>
      <c r="AF768" s="15" t="str">
        <f t="shared" si="16"/>
        <v>Electropolished Pipes Supplier in Wageningen - From Order to Delivery</v>
      </c>
      <c r="AG768" s="15" t="str">
        <f t="shared" si="17"/>
        <v>Stockist &amp; Wholesale Supply of Electropolished Pipes in Wageningen</v>
      </c>
      <c r="AH768" s="15" t="str">
        <f t="shared" si="18"/>
        <v>electropolished pipes manufacturer in Wageningen, electropolished pipes supplier in Wageningen, electropolished pipes wholesaler in Wageningen, electropolished tube manufacturer Wageningen, EP pipe supplier Wageningen, sanitary tube supplier Wageningen, ASME BPE tubing Wageningen, ASTM A270 tube Wageningen, SS 316L electropolished pipe Wageningen</v>
      </c>
      <c r="AI768" s="15" t="str">
        <f t="shared" si="19"/>
        <v>Electropolished Pipes Manufacturer &amp; Supplier in Wageningen</v>
      </c>
      <c r="AJ768" s="15" t="str">
        <f t="shared" si="20"/>
        <v>EP-finished SS 304/316L pipes and tubes for food &amp; dairy plants in Wageningen. ASME BPE SF1-SF4, Ra from 0.25 um, EN 10204 3.1 certificate with every lot.</v>
      </c>
      <c r="AK768" s="15" t="str">
        <f t="shared" si="21"/>
        <v>Electropolished stainless steel pipes supplied by Sakshi Forge to food &amp; dairy plants at Wageningen Food Valley Campus, Wageningen</v>
      </c>
      <c r="AL768" s="15" t="str">
        <f t="shared" si="22"/>
        <v>Electropolished SS 316L tube stock for Wageningen - Sakshi Forge</v>
      </c>
      <c r="AM768" s="15" t="str">
        <f t="shared" si="23"/>
        <v>Home &gt; Market Area &gt; Netherlands &gt; Gelderland &gt; Wageningen</v>
      </c>
      <c r="AN768" s="15">
        <f t="shared" si="24"/>
        <v>1000</v>
      </c>
      <c r="AO768" s="15">
        <f t="shared" si="25"/>
        <v>8</v>
      </c>
      <c r="AP768" s="15">
        <f t="shared" si="26"/>
        <v>8</v>
      </c>
      <c r="AQ768" s="15">
        <f t="shared" si="27"/>
        <v>13</v>
      </c>
      <c r="AR768" s="31"/>
      <c r="AS768" s="31"/>
      <c r="AT768" s="35" t="s">
        <v>222</v>
      </c>
      <c r="AU768" s="35"/>
    </row>
    <row r="769" ht="15.75" customHeight="1">
      <c r="A769" s="15" t="s">
        <v>8921</v>
      </c>
      <c r="B769" s="15" t="s">
        <v>255</v>
      </c>
      <c r="C769" s="15" t="s">
        <v>8877</v>
      </c>
      <c r="D769" s="15" t="s">
        <v>8922</v>
      </c>
      <c r="E769" s="15" t="s">
        <v>8922</v>
      </c>
      <c r="F769" s="65" t="s">
        <v>788</v>
      </c>
      <c r="G769" s="17" t="s">
        <v>88</v>
      </c>
      <c r="H769" s="18" t="s">
        <v>8923</v>
      </c>
      <c r="I769" s="18" t="s">
        <v>8923</v>
      </c>
      <c r="J769" s="18" t="s">
        <v>8434</v>
      </c>
      <c r="K769" s="18" t="s">
        <v>94</v>
      </c>
      <c r="L769" s="18" t="s">
        <v>560</v>
      </c>
      <c r="M769" s="18" t="s">
        <v>561</v>
      </c>
      <c r="N769" s="18" t="s">
        <v>297</v>
      </c>
      <c r="O769" s="18" t="s">
        <v>98</v>
      </c>
      <c r="P769" s="15" t="str">
        <f t="shared" si="1"/>
        <v>FOOD</v>
      </c>
      <c r="Q769" s="15">
        <f t="shared" si="2"/>
        <v>6</v>
      </c>
      <c r="R769" s="15">
        <f t="shared" si="3"/>
        <v>3</v>
      </c>
      <c r="S769" s="15">
        <f t="shared" si="4"/>
        <v>1</v>
      </c>
      <c r="T769" s="15" t="str">
        <f t="shared" si="5"/>
        <v>B-4</v>
      </c>
      <c r="U769" s="15" t="str">
        <f t="shared" si="6"/>
        <v>T6-M3-H1-FB-4-FOOD</v>
      </c>
      <c r="V769" s="15">
        <f t="shared" si="7"/>
        <v>0</v>
      </c>
      <c r="W769" s="31"/>
      <c r="X769" s="15" t="str">
        <f t="shared" si="8"/>
        <v>zwolle-netherlands</v>
      </c>
      <c r="Y769" s="32" t="str">
        <f t="shared" si="9"/>
        <v>https://steelmanufacturer.in/market-area/electropolished-pipes-manufacturer-in-zwolle-netherlands/</v>
      </c>
      <c r="Z769" s="15" t="str">
        <f t="shared" si="10"/>
        <v>Electropolished Pipes Manufacturer in Zwolle</v>
      </c>
      <c r="AA769" s="15" t="str">
        <f t="shared" si="11"/>
        <v>OK (44)</v>
      </c>
      <c r="AB769" s="15" t="str">
        <f t="shared" si="12"/>
        <v>EP stainless tube for food processing lines in Zwolle. 23-29 days sea from Nhava Sheva to Rotterdam. ASTM A270 S2, PMI tested, EN 10204 3.1.</v>
      </c>
      <c r="AC769" s="15" t="str">
        <f t="shared" si="13"/>
        <v>OK (140)</v>
      </c>
      <c r="AD769" s="15" t="str">
        <f t="shared" si="14"/>
        <v>Electropolished Pipes Manufacturer in Zwolle</v>
      </c>
      <c r="AE769" s="15" t="str">
        <f t="shared" si="15"/>
        <v>Electropolished Pipe &amp; Tube Manufacturing for Zwolle - Grades, Finishes &amp; Certification</v>
      </c>
      <c r="AF769" s="15" t="str">
        <f t="shared" si="16"/>
        <v>Electropolished Pipes Supplier in Zwolle - Stock Sizes, Lead Time &amp; Delivery</v>
      </c>
      <c r="AG769" s="15" t="str">
        <f t="shared" si="17"/>
        <v>Electropolished Pipes Wholesaler &amp; Stockist in Zwolle - Bulk &amp; Project Pricing</v>
      </c>
      <c r="AH769" s="15" t="str">
        <f t="shared" si="18"/>
        <v>electropolished pipes manufacturer in Zwolle, electropolished pipes supplier in Zwolle, electropolished pipes wholesaler in Zwolle, electropolished tube manufacturer Zwolle, EP pipe supplier Zwolle, sanitary tube supplier Zwolle, ASME BPE tubing Zwolle, ASTM A270 tube Zwolle, SS 316L electropolished pipe Zwolle</v>
      </c>
      <c r="AI769" s="15" t="str">
        <f t="shared" si="19"/>
        <v>Electropolished Pipes Manufacturer &amp; Supplier in Zwolle</v>
      </c>
      <c r="AJ769" s="15" t="str">
        <f t="shared" si="20"/>
        <v>EP-finished SS 304/316L pipes and tubes for food processing plants in Zwolle. ASME BPE SF1-SF4, Ra from 0.25 um, EN 10204 3.1 certificate with every lot.</v>
      </c>
      <c r="AK769" s="15" t="str">
        <f t="shared" si="21"/>
        <v>Electropolished stainless steel pipes supplied by Sakshi Forge to food processing plants at Zwolle Hessenpoort Industrial, Zwolle</v>
      </c>
      <c r="AL769" s="15" t="str">
        <f t="shared" si="22"/>
        <v>Electropolished SS 316L tube stock for Zwolle - Sakshi Forge</v>
      </c>
      <c r="AM769" s="15" t="str">
        <f t="shared" si="23"/>
        <v>Home &gt; Market Area &gt; Netherlands &gt; Overijssel &gt; Zwolle</v>
      </c>
      <c r="AN769" s="15">
        <f t="shared" si="24"/>
        <v>1000</v>
      </c>
      <c r="AO769" s="15">
        <f t="shared" si="25"/>
        <v>8</v>
      </c>
      <c r="AP769" s="15">
        <f t="shared" si="26"/>
        <v>8</v>
      </c>
      <c r="AQ769" s="15">
        <f t="shared" si="27"/>
        <v>13</v>
      </c>
      <c r="AR769" s="31"/>
      <c r="AS769" s="31"/>
      <c r="AT769" s="35" t="s">
        <v>222</v>
      </c>
      <c r="AU769" s="35"/>
    </row>
    <row r="770" ht="15.75" customHeight="1">
      <c r="A770" s="15" t="s">
        <v>8924</v>
      </c>
      <c r="B770" s="15" t="s">
        <v>215</v>
      </c>
      <c r="C770" s="15" t="s">
        <v>8925</v>
      </c>
      <c r="D770" s="15" t="s">
        <v>8926</v>
      </c>
      <c r="E770" s="15" t="s">
        <v>8926</v>
      </c>
      <c r="F770" s="65" t="s">
        <v>788</v>
      </c>
      <c r="G770" s="17" t="s">
        <v>88</v>
      </c>
      <c r="H770" s="18" t="s">
        <v>8927</v>
      </c>
      <c r="I770" s="18" t="s">
        <v>8927</v>
      </c>
      <c r="J770" s="18" t="s">
        <v>8928</v>
      </c>
      <c r="K770" s="18" t="s">
        <v>94</v>
      </c>
      <c r="L770" s="18" t="s">
        <v>7629</v>
      </c>
      <c r="M770" s="18" t="s">
        <v>503</v>
      </c>
      <c r="N770" s="18" t="s">
        <v>216</v>
      </c>
      <c r="O770" s="18" t="s">
        <v>98</v>
      </c>
      <c r="P770" s="15" t="str">
        <f t="shared" si="1"/>
        <v>FOOD</v>
      </c>
      <c r="Q770" s="15">
        <f t="shared" si="2"/>
        <v>7</v>
      </c>
      <c r="R770" s="15">
        <f t="shared" si="3"/>
        <v>4</v>
      </c>
      <c r="S770" s="15">
        <f t="shared" si="4"/>
        <v>2</v>
      </c>
      <c r="T770" s="15" t="str">
        <f t="shared" si="5"/>
        <v>B-5</v>
      </c>
      <c r="U770" s="15" t="str">
        <f t="shared" si="6"/>
        <v>T7-M4-H2-FB-5-FOOD</v>
      </c>
      <c r="V770" s="15">
        <f t="shared" si="7"/>
        <v>0</v>
      </c>
      <c r="W770" s="31"/>
      <c r="X770" s="15" t="str">
        <f t="shared" si="8"/>
        <v>barka-oman</v>
      </c>
      <c r="Y770" s="32" t="str">
        <f t="shared" si="9"/>
        <v>https://steelmanufacturer.in/market-area/electropolished-pipes-manufacturer-in-barka-oman/</v>
      </c>
      <c r="Z770" s="15" t="str">
        <f t="shared" si="10"/>
        <v>Electropolished Pipes Manufacturer in Barka | ASME BPE SF1-SF4</v>
      </c>
      <c r="AA770" s="15" t="str">
        <f t="shared" si="11"/>
        <v>OK (62)</v>
      </c>
      <c r="AB770" s="15" t="str">
        <f t="shared" si="12"/>
        <v>Sanitary electropolished pipes in Barka for food processing plants. ASME BPE SF1-SF4, orbital-weld ready, 3.1 MTC. Mumbai-made.</v>
      </c>
      <c r="AC770" s="15" t="str">
        <f t="shared" si="13"/>
        <v>OK (127)</v>
      </c>
      <c r="AD770" s="15" t="str">
        <f t="shared" si="14"/>
        <v>Electropolished Pipes Manufacturer in Barka</v>
      </c>
      <c r="AE770" s="15" t="str">
        <f t="shared" si="15"/>
        <v>How We Manufacture Electropolished Tube for Barka Plants</v>
      </c>
      <c r="AF770" s="15" t="str">
        <f t="shared" si="16"/>
        <v>Supplying Electropolished Pipes in Barka: Availability, Sizes &amp; Dispatch</v>
      </c>
      <c r="AG770" s="15" t="str">
        <f t="shared" si="17"/>
        <v>Wholesale Electropolished Pipe Supply for Barka Projects</v>
      </c>
      <c r="AH770" s="15" t="str">
        <f t="shared" si="18"/>
        <v>electropolished pipes manufacturer in Barka, electropolished pipes supplier in Barka, electropolished pipes wholesaler in Barka, electropolished tube manufacturer Barka, EP pipe supplier Barka, sanitary tube supplier Barka, ASME BPE tubing Barka, ASTM A270 tube Barka, SS 316L electropolished pipe Barka</v>
      </c>
      <c r="AI770" s="15" t="str">
        <f t="shared" si="19"/>
        <v>Electropolished Pipes Manufacturer &amp; Supplier in Barka</v>
      </c>
      <c r="AJ770" s="15" t="str">
        <f t="shared" si="20"/>
        <v>EP-finished SS 304/316L pipes and tubes for food processing plants in Barka. ASME BPE SF1-SF4, Ra from 0.25 um, EN 10204 3.1 certificate with every lot.</v>
      </c>
      <c r="AK770" s="15" t="str">
        <f t="shared" si="21"/>
        <v>Electropolished stainless steel pipes supplied by Sakshi Forge to food processing plants at Barka Industrial Zone, Barka</v>
      </c>
      <c r="AL770" s="15" t="str">
        <f t="shared" si="22"/>
        <v>Electropolished SS 316L tube stock for Barka - Sakshi Forge</v>
      </c>
      <c r="AM770" s="15" t="str">
        <f t="shared" si="23"/>
        <v>Home &gt; Market Area &gt; Oman &gt; South Al Batinah &gt; Barka</v>
      </c>
      <c r="AN770" s="15">
        <f t="shared" si="24"/>
        <v>1000</v>
      </c>
      <c r="AO770" s="15">
        <f t="shared" si="25"/>
        <v>8</v>
      </c>
      <c r="AP770" s="15">
        <f t="shared" si="26"/>
        <v>8</v>
      </c>
      <c r="AQ770" s="15">
        <f t="shared" si="27"/>
        <v>13</v>
      </c>
      <c r="AR770" s="31"/>
      <c r="AS770" s="31"/>
      <c r="AT770" s="35" t="s">
        <v>222</v>
      </c>
      <c r="AU770" s="35"/>
    </row>
    <row r="771" ht="15.75" customHeight="1">
      <c r="A771" s="15" t="s">
        <v>8929</v>
      </c>
      <c r="B771" s="15" t="s">
        <v>215</v>
      </c>
      <c r="C771" s="15" t="s">
        <v>8930</v>
      </c>
      <c r="D771" s="15" t="s">
        <v>8931</v>
      </c>
      <c r="E771" s="15" t="s">
        <v>8931</v>
      </c>
      <c r="F771" s="65" t="s">
        <v>788</v>
      </c>
      <c r="G771" s="17" t="s">
        <v>88</v>
      </c>
      <c r="H771" s="18" t="s">
        <v>8932</v>
      </c>
      <c r="I771" s="18" t="s">
        <v>8932</v>
      </c>
      <c r="J771" s="18" t="s">
        <v>8514</v>
      </c>
      <c r="K771" s="18" t="s">
        <v>94</v>
      </c>
      <c r="L771" s="18" t="s">
        <v>7629</v>
      </c>
      <c r="M771" s="18" t="s">
        <v>503</v>
      </c>
      <c r="N771" s="18" t="s">
        <v>216</v>
      </c>
      <c r="O771" s="18" t="s">
        <v>98</v>
      </c>
      <c r="P771" s="15" t="str">
        <f t="shared" si="1"/>
        <v>FOOD</v>
      </c>
      <c r="Q771" s="15">
        <f t="shared" si="2"/>
        <v>8</v>
      </c>
      <c r="R771" s="15">
        <f t="shared" si="3"/>
        <v>5</v>
      </c>
      <c r="S771" s="15">
        <f t="shared" si="4"/>
        <v>3</v>
      </c>
      <c r="T771" s="15" t="str">
        <f t="shared" si="5"/>
        <v>B-6</v>
      </c>
      <c r="U771" s="15" t="str">
        <f t="shared" si="6"/>
        <v>T8-M5-H3-FB-6-FOOD</v>
      </c>
      <c r="V771" s="15">
        <f t="shared" si="7"/>
        <v>0</v>
      </c>
      <c r="W771" s="31"/>
      <c r="X771" s="15" t="str">
        <f t="shared" si="8"/>
        <v>buraimi-oman</v>
      </c>
      <c r="Y771" s="32" t="str">
        <f t="shared" si="9"/>
        <v>https://steelmanufacturer.in/market-area/electropolished-pipes-manufacturer-in-buraimi-oman/</v>
      </c>
      <c r="Z771" s="15" t="str">
        <f t="shared" si="10"/>
        <v>Electropolished Pipes Manufacturer in Buraimi - EP Tube Stockist</v>
      </c>
      <c r="AA771" s="15" t="str">
        <f t="shared" si="11"/>
        <v>OK (64)</v>
      </c>
      <c r="AB771" s="15" t="str">
        <f t="shared" si="12"/>
        <v>Manufacturer of electropolished SS 316L tube serving Buraimi. 7-10 days sea from Nhava Sheva to Sohar. Ra 0.25-0.5 um, EN 10204 3.1 MTC.</v>
      </c>
      <c r="AC771" s="15" t="str">
        <f t="shared" si="13"/>
        <v>OK (136)</v>
      </c>
      <c r="AD771" s="15" t="str">
        <f t="shared" si="14"/>
        <v>Electropolished Pipes Manufacturer in Buraimi</v>
      </c>
      <c r="AE771" s="15" t="str">
        <f t="shared" si="15"/>
        <v>Electropolished Pipes Manufacturer in Buraimi - Our Process &amp; Capability</v>
      </c>
      <c r="AF771" s="15" t="str">
        <f t="shared" si="16"/>
        <v>Electropolished Pipes Supplier in Buraimi - What We Hold in Stock</v>
      </c>
      <c r="AG771" s="15" t="str">
        <f t="shared" si="17"/>
        <v>Bulk &amp; Wholesale Electropolished Pipe Rates for Buraimi Buyers</v>
      </c>
      <c r="AH771" s="15" t="str">
        <f t="shared" si="18"/>
        <v>electropolished pipes manufacturer in Buraimi, electropolished pipes supplier in Buraimi, electropolished pipes wholesaler in Buraimi, electropolished tube manufacturer Buraimi, EP pipe supplier Buraimi, sanitary tube supplier Buraimi, ASME BPE tubing Buraimi, ASTM A270 tube Buraimi, SS 316L electropolished pipe Buraimi</v>
      </c>
      <c r="AI771" s="15" t="str">
        <f t="shared" si="19"/>
        <v>Electropolished Pipes Manufacturer &amp; Supplier in Buraimi</v>
      </c>
      <c r="AJ771" s="15" t="str">
        <f t="shared" si="20"/>
        <v>EP-finished SS 304/316L pipes and tubes for food processing plants in Buraimi. ASME BPE SF1-SF4, Ra from 0.25 um, EN 10204 3.1 certificate with every lot.</v>
      </c>
      <c r="AK771" s="15" t="str">
        <f t="shared" si="21"/>
        <v>Electropolished stainless steel pipes supplied by Sakshi Forge to food processing plants at Buraimi Industrial Estate (Madayn), Buraimi</v>
      </c>
      <c r="AL771" s="15" t="str">
        <f t="shared" si="22"/>
        <v>Electropolished SS 316L tube stock for Buraimi - Sakshi Forge</v>
      </c>
      <c r="AM771" s="15" t="str">
        <f t="shared" si="23"/>
        <v>Home &gt; Market Area &gt; Oman &gt; Al Buraimi &gt; Buraimi</v>
      </c>
      <c r="AN771" s="15">
        <f t="shared" si="24"/>
        <v>1000</v>
      </c>
      <c r="AO771" s="15">
        <f t="shared" si="25"/>
        <v>8</v>
      </c>
      <c r="AP771" s="15">
        <f t="shared" si="26"/>
        <v>8</v>
      </c>
      <c r="AQ771" s="15">
        <f t="shared" si="27"/>
        <v>13</v>
      </c>
      <c r="AR771" s="31"/>
      <c r="AS771" s="31"/>
      <c r="AT771" s="35" t="s">
        <v>222</v>
      </c>
      <c r="AU771" s="35"/>
    </row>
    <row r="772" ht="15.75" customHeight="1">
      <c r="A772" s="15" t="s">
        <v>8933</v>
      </c>
      <c r="B772" s="15" t="s">
        <v>215</v>
      </c>
      <c r="C772" s="15" t="s">
        <v>8934</v>
      </c>
      <c r="D772" s="15" t="s">
        <v>8935</v>
      </c>
      <c r="E772" s="15" t="s">
        <v>8935</v>
      </c>
      <c r="F772" s="65" t="s">
        <v>788</v>
      </c>
      <c r="G772" s="17" t="s">
        <v>88</v>
      </c>
      <c r="H772" s="18" t="s">
        <v>8936</v>
      </c>
      <c r="I772" s="18" t="s">
        <v>8936</v>
      </c>
      <c r="J772" s="18" t="s">
        <v>8937</v>
      </c>
      <c r="K772" s="18" t="s">
        <v>94</v>
      </c>
      <c r="L772" s="18" t="s">
        <v>8938</v>
      </c>
      <c r="M772" s="18" t="s">
        <v>503</v>
      </c>
      <c r="N772" s="18" t="s">
        <v>216</v>
      </c>
      <c r="O772" s="18" t="s">
        <v>98</v>
      </c>
      <c r="P772" s="15" t="str">
        <f t="shared" si="1"/>
        <v>FOOD</v>
      </c>
      <c r="Q772" s="15">
        <f t="shared" si="2"/>
        <v>1</v>
      </c>
      <c r="R772" s="15">
        <f t="shared" si="3"/>
        <v>6</v>
      </c>
      <c r="S772" s="15">
        <f t="shared" si="4"/>
        <v>4</v>
      </c>
      <c r="T772" s="15" t="str">
        <f t="shared" si="5"/>
        <v>B-1</v>
      </c>
      <c r="U772" s="15" t="str">
        <f t="shared" si="6"/>
        <v>T1-M6-H4-FB-1-FOOD</v>
      </c>
      <c r="V772" s="15">
        <f t="shared" si="7"/>
        <v>0</v>
      </c>
      <c r="W772" s="31"/>
      <c r="X772" s="15" t="str">
        <f t="shared" si="8"/>
        <v>ibra-oman</v>
      </c>
      <c r="Y772" s="32" t="str">
        <f t="shared" si="9"/>
        <v>https://steelmanufacturer.in/market-area/electropolished-pipes-manufacturer-in-ibra-oman/</v>
      </c>
      <c r="Z772" s="15" t="str">
        <f t="shared" si="10"/>
        <v>Electropolished Pipes Manufacturer in Ibra | Sakshi Forge</v>
      </c>
      <c r="AA772" s="15" t="str">
        <f t="shared" si="11"/>
        <v>OK (57)</v>
      </c>
      <c r="AB772" s="15" t="str">
        <f t="shared" si="12"/>
        <v>EP tube and pipe for food processing plants around Ibra Industrial Estate, Ibra. Made at our Mumbai works to ASTM A270 and ASME BPE SF1-SF4, with 3.1 MTC.</v>
      </c>
      <c r="AC772" s="15" t="str">
        <f t="shared" si="13"/>
        <v>OK (154)</v>
      </c>
      <c r="AD772" s="15" t="str">
        <f t="shared" si="14"/>
        <v>Electropolished Pipes Manufacturer in Ibra</v>
      </c>
      <c r="AE772" s="15" t="str">
        <f t="shared" si="15"/>
        <v>Manufacturing Electropolished SS Tube for Ibra: The Standards We Build To</v>
      </c>
      <c r="AF772" s="15" t="str">
        <f t="shared" si="16"/>
        <v>Electropolished Pipe Supply Into Ibra - Certification &amp; Transit</v>
      </c>
      <c r="AG772" s="15" t="str">
        <f t="shared" si="17"/>
        <v>Electropolished Pipes Wholesaler in Ibra - Project Quantities &amp; Terms</v>
      </c>
      <c r="AH772" s="15" t="str">
        <f t="shared" si="18"/>
        <v>electropolished pipes manufacturer in Ibra, electropolished pipes supplier in Ibra, electropolished pipes wholesaler in Ibra, electropolished tube manufacturer Ibra, EP pipe supplier Ibra, sanitary tube supplier Ibra, ASME BPE tubing Ibra, ASTM A270 tube Ibra, SS 316L electropolished pipe Ibra</v>
      </c>
      <c r="AI772" s="15" t="str">
        <f t="shared" si="19"/>
        <v>Electropolished Pipes Manufacturer &amp; Supplier in Ibra</v>
      </c>
      <c r="AJ772" s="15" t="str">
        <f t="shared" si="20"/>
        <v>EP-finished SS 304/316L pipes and tubes for food processing plants in Ibra. ASME BPE SF1-SF4, Ra from 0.25 um, EN 10204 3.1 certificate with every lot.</v>
      </c>
      <c r="AK772" s="15" t="str">
        <f t="shared" si="21"/>
        <v>Electropolished stainless steel pipes supplied by Sakshi Forge to food processing plants at Ibra Industrial Estate, Ibra</v>
      </c>
      <c r="AL772" s="15" t="str">
        <f t="shared" si="22"/>
        <v>Electropolished SS 316L tube stock for Ibra - Sakshi Forge</v>
      </c>
      <c r="AM772" s="15" t="str">
        <f t="shared" si="23"/>
        <v>Home &gt; Market Area &gt; Oman &gt; North Ash Sharqiyah &gt; Ibra</v>
      </c>
      <c r="AN772" s="15">
        <f t="shared" si="24"/>
        <v>1000</v>
      </c>
      <c r="AO772" s="15">
        <f t="shared" si="25"/>
        <v>8</v>
      </c>
      <c r="AP772" s="15">
        <f t="shared" si="26"/>
        <v>8</v>
      </c>
      <c r="AQ772" s="15">
        <f t="shared" si="27"/>
        <v>13</v>
      </c>
      <c r="AR772" s="31"/>
      <c r="AS772" s="31"/>
      <c r="AT772" s="35" t="s">
        <v>222</v>
      </c>
      <c r="AU772" s="35"/>
    </row>
    <row r="773" ht="15.75" customHeight="1">
      <c r="A773" s="15" t="s">
        <v>8939</v>
      </c>
      <c r="B773" s="15" t="s">
        <v>215</v>
      </c>
      <c r="C773" s="15" t="s">
        <v>8940</v>
      </c>
      <c r="D773" s="15" t="s">
        <v>8941</v>
      </c>
      <c r="E773" s="15" t="s">
        <v>8941</v>
      </c>
      <c r="F773" s="65" t="s">
        <v>788</v>
      </c>
      <c r="G773" s="17" t="s">
        <v>88</v>
      </c>
      <c r="H773" s="18" t="s">
        <v>8942</v>
      </c>
      <c r="I773" s="18" t="s">
        <v>8942</v>
      </c>
      <c r="J773" s="18" t="s">
        <v>8943</v>
      </c>
      <c r="K773" s="18" t="s">
        <v>8944</v>
      </c>
      <c r="L773" s="18" t="s">
        <v>7629</v>
      </c>
      <c r="M773" s="18" t="s">
        <v>503</v>
      </c>
      <c r="N773" s="18" t="s">
        <v>216</v>
      </c>
      <c r="O773" s="18" t="s">
        <v>98</v>
      </c>
      <c r="P773" s="15" t="str">
        <f t="shared" si="1"/>
        <v>GENERAL</v>
      </c>
      <c r="Q773" s="15">
        <f t="shared" si="2"/>
        <v>2</v>
      </c>
      <c r="R773" s="15">
        <f t="shared" si="3"/>
        <v>7</v>
      </c>
      <c r="S773" s="15">
        <f t="shared" si="4"/>
        <v>5</v>
      </c>
      <c r="T773" s="15" t="str">
        <f t="shared" si="5"/>
        <v>B-2</v>
      </c>
      <c r="U773" s="15" t="str">
        <f t="shared" si="6"/>
        <v>T2-M7-H5-FB-2-GENERAL</v>
      </c>
      <c r="V773" s="15">
        <f t="shared" si="7"/>
        <v>0</v>
      </c>
      <c r="W773" s="31"/>
      <c r="X773" s="15" t="str">
        <f t="shared" si="8"/>
        <v>ibri-oman</v>
      </c>
      <c r="Y773" s="32" t="str">
        <f t="shared" si="9"/>
        <v>https://steelmanufacturer.in/market-area/electropolished-pipes-manufacturer-in-ibri-oman/</v>
      </c>
      <c r="Z773" s="15" t="str">
        <f t="shared" si="10"/>
        <v>Electropolished Pipes Manufacturer in Ibri - ASTM A270 &amp; ASME BPE</v>
      </c>
      <c r="AA773" s="15" t="str">
        <f t="shared" si="11"/>
        <v>OK (65)</v>
      </c>
      <c r="AB773" s="15" t="str">
        <f t="shared" si="12"/>
        <v>Electropolished pipes in Ibri: 304, 304L, 316 and 316L in SF1-SF4. 7-10 days sea from Nhava Sheva to Sohar. Mill certified.</v>
      </c>
      <c r="AC773" s="15" t="str">
        <f t="shared" si="13"/>
        <v>OK (123)</v>
      </c>
      <c r="AD773" s="15" t="str">
        <f t="shared" si="14"/>
        <v>Electropolished Pipes Manufacturer in Ibri</v>
      </c>
      <c r="AE773" s="15" t="str">
        <f t="shared" si="15"/>
        <v>Electropolished Tube Manufacturing Capability Serving Ibri</v>
      </c>
      <c r="AF773" s="15" t="str">
        <f t="shared" si="16"/>
        <v>Electropolished Pipes Supplier in Ibri - From Order to Delivery</v>
      </c>
      <c r="AG773" s="15" t="str">
        <f t="shared" si="17"/>
        <v>Stockist &amp; Wholesale Supply of Electropolished Pipes in Ibri</v>
      </c>
      <c r="AH773" s="15" t="str">
        <f t="shared" si="18"/>
        <v>electropolished pipes manufacturer in Ibri, electropolished pipes supplier in Ibri, electropolished pipes wholesaler in Ibri, electropolished tube manufacturer Ibri, EP pipe supplier Ibri, sanitary tube supplier Ibri, ASME BPE tubing Ibri, ASTM A270 tube Ibri, SS 316L electropolished pipe Ibri</v>
      </c>
      <c r="AI773" s="15" t="str">
        <f t="shared" si="19"/>
        <v>Electropolished Pipes Manufacturer &amp; Supplier in Ibri</v>
      </c>
      <c r="AJ773" s="15" t="str">
        <f t="shared" si="20"/>
        <v>EP-finished SS 304/316L pipes and tubes for mining plants in Ibri. ASME BPE SF1-SF4, Ra from 0.25 um, EN 10204 3.1 certificate with every lot.</v>
      </c>
      <c r="AK773" s="15" t="str">
        <f t="shared" si="21"/>
        <v>Electropolished stainless steel pipes supplied by Sakshi Forge to mining plants at Ibri Industrial Estate (Madayn), Ibri</v>
      </c>
      <c r="AL773" s="15" t="str">
        <f t="shared" si="22"/>
        <v>Electropolished SS 316L tube stock for Ibri - Sakshi Forge</v>
      </c>
      <c r="AM773" s="15" t="str">
        <f t="shared" si="23"/>
        <v>Home &gt; Market Area &gt; Oman &gt; Ad Dhahirah &gt; Ibri</v>
      </c>
      <c r="AN773" s="15">
        <f t="shared" si="24"/>
        <v>1000</v>
      </c>
      <c r="AO773" s="15">
        <f t="shared" si="25"/>
        <v>8</v>
      </c>
      <c r="AP773" s="15">
        <f t="shared" si="26"/>
        <v>8</v>
      </c>
      <c r="AQ773" s="15">
        <f t="shared" si="27"/>
        <v>13</v>
      </c>
      <c r="AR773" s="31"/>
      <c r="AS773" s="31"/>
      <c r="AT773" s="35" t="s">
        <v>222</v>
      </c>
      <c r="AU773" s="35"/>
    </row>
    <row r="774" ht="15.75" customHeight="1">
      <c r="A774" s="15" t="s">
        <v>8945</v>
      </c>
      <c r="B774" s="15" t="s">
        <v>215</v>
      </c>
      <c r="C774" s="15" t="s">
        <v>7594</v>
      </c>
      <c r="D774" s="15" t="s">
        <v>8946</v>
      </c>
      <c r="E774" s="15" t="s">
        <v>8946</v>
      </c>
      <c r="F774" s="65" t="s">
        <v>788</v>
      </c>
      <c r="G774" s="17" t="s">
        <v>88</v>
      </c>
      <c r="H774" s="18" t="s">
        <v>8947</v>
      </c>
      <c r="I774" s="18" t="s">
        <v>8947</v>
      </c>
      <c r="J774" s="18" t="s">
        <v>3727</v>
      </c>
      <c r="K774" s="18" t="s">
        <v>229</v>
      </c>
      <c r="L774" s="18" t="s">
        <v>7599</v>
      </c>
      <c r="M774" s="18" t="s">
        <v>503</v>
      </c>
      <c r="N774" s="18" t="s">
        <v>216</v>
      </c>
      <c r="O774" s="18" t="s">
        <v>98</v>
      </c>
      <c r="P774" s="15" t="str">
        <f t="shared" si="1"/>
        <v>PHARMA</v>
      </c>
      <c r="Q774" s="15">
        <f t="shared" si="2"/>
        <v>3</v>
      </c>
      <c r="R774" s="15">
        <f t="shared" si="3"/>
        <v>1</v>
      </c>
      <c r="S774" s="15">
        <f t="shared" si="4"/>
        <v>1</v>
      </c>
      <c r="T774" s="15" t="str">
        <f t="shared" si="5"/>
        <v>B-3</v>
      </c>
      <c r="U774" s="15" t="str">
        <f t="shared" si="6"/>
        <v>T3-M1-H1-FB-3-PHARMA</v>
      </c>
      <c r="V774" s="15">
        <f t="shared" si="7"/>
        <v>0</v>
      </c>
      <c r="W774" s="31"/>
      <c r="X774" s="15" t="str">
        <f t="shared" si="8"/>
        <v>rusayl-oman</v>
      </c>
      <c r="Y774" s="32" t="str">
        <f t="shared" si="9"/>
        <v>https://steelmanufacturer.in/market-area/electropolished-pipes-manufacturer-in-rusayl-oman/</v>
      </c>
      <c r="Z774" s="15" t="str">
        <f t="shared" si="10"/>
        <v>Electropolished Pipes Manufacturer in Rusayl | EP Tube Supplier</v>
      </c>
      <c r="AA774" s="15" t="str">
        <f t="shared" si="11"/>
        <v>OK (63)</v>
      </c>
      <c r="AB774" s="15" t="str">
        <f t="shared" si="12"/>
        <v>EP-finished SS 304/316L pipes &amp; tubes for pharma plants in Rusayl. ASTM A270, ASME BPE SF1-SF4, EN 10204 3.1 MTC. PMI tested.</v>
      </c>
      <c r="AC774" s="15" t="str">
        <f t="shared" si="13"/>
        <v>OK (125)</v>
      </c>
      <c r="AD774" s="15" t="str">
        <f t="shared" si="14"/>
        <v>Electropolished Pipes Manufacturer in Rusayl</v>
      </c>
      <c r="AE774" s="15" t="str">
        <f t="shared" si="15"/>
        <v>Electropolished Pipe &amp; Tube Manufacturing for Rusayl - Grades, Finishes &amp; Certification</v>
      </c>
      <c r="AF774" s="15" t="str">
        <f t="shared" si="16"/>
        <v>Electropolished Pipes Supplier in Rusayl - Stock Sizes, Lead Time &amp; Delivery</v>
      </c>
      <c r="AG774" s="15" t="str">
        <f t="shared" si="17"/>
        <v>Electropolished Pipes Wholesaler &amp; Stockist in Rusayl - Bulk &amp; Project Pricing</v>
      </c>
      <c r="AH774" s="15" t="str">
        <f t="shared" si="18"/>
        <v>electropolished pipes manufacturer in Rusayl, electropolished pipes supplier in Rusayl, electropolished pipes wholesaler in Rusayl, electropolished tube manufacturer Rusayl, EP pipe supplier Rusayl, sanitary tube supplier Rusayl, ASME BPE tubing Rusayl, ASTM A270 tube Rusayl, SS 316L electropolished pipe Rusayl</v>
      </c>
      <c r="AI774" s="15" t="str">
        <f t="shared" si="19"/>
        <v>Electropolished Pipes Manufacturer &amp; Supplier in Rusayl</v>
      </c>
      <c r="AJ774" s="15" t="str">
        <f t="shared" si="20"/>
        <v>EP-finished SS 304/316L pipes and tubes for pharma plants in Rusayl. ASME BPE SF1-SF4, Ra from 0.25 um, EN 10204 3.1 certificate with every lot.</v>
      </c>
      <c r="AK774" s="15" t="str">
        <f t="shared" si="21"/>
        <v>Electropolished stainless steel pipes supplied by Sakshi Forge to pharma plants at Rusayl Industrial Estate Phase I-III, Rusayl</v>
      </c>
      <c r="AL774" s="15" t="str">
        <f t="shared" si="22"/>
        <v>Electropolished SS 316L tube stock for Rusayl - Sakshi Forge</v>
      </c>
      <c r="AM774" s="15" t="str">
        <f t="shared" si="23"/>
        <v>Home &gt; Market Area &gt; Oman &gt; Muscat &gt; Rusayl</v>
      </c>
      <c r="AN774" s="15">
        <f t="shared" si="24"/>
        <v>1000</v>
      </c>
      <c r="AO774" s="15">
        <f t="shared" si="25"/>
        <v>8</v>
      </c>
      <c r="AP774" s="15">
        <f t="shared" si="26"/>
        <v>8</v>
      </c>
      <c r="AQ774" s="15">
        <f t="shared" si="27"/>
        <v>13</v>
      </c>
      <c r="AR774" s="31"/>
      <c r="AS774" s="31"/>
      <c r="AT774" s="35" t="s">
        <v>222</v>
      </c>
      <c r="AU774" s="35"/>
    </row>
    <row r="775" ht="15.75" customHeight="1">
      <c r="A775" s="15" t="s">
        <v>8948</v>
      </c>
      <c r="B775" s="15" t="s">
        <v>215</v>
      </c>
      <c r="C775" s="15" t="s">
        <v>8949</v>
      </c>
      <c r="D775" s="15" t="s">
        <v>8950</v>
      </c>
      <c r="E775" s="15" t="s">
        <v>8950</v>
      </c>
      <c r="F775" s="65" t="s">
        <v>788</v>
      </c>
      <c r="G775" s="17" t="s">
        <v>88</v>
      </c>
      <c r="H775" s="18" t="s">
        <v>8951</v>
      </c>
      <c r="I775" s="18" t="s">
        <v>8951</v>
      </c>
      <c r="J775" s="18" t="s">
        <v>8952</v>
      </c>
      <c r="K775" s="18" t="s">
        <v>94</v>
      </c>
      <c r="L775" s="18" t="s">
        <v>8938</v>
      </c>
      <c r="M775" s="18" t="s">
        <v>503</v>
      </c>
      <c r="N775" s="18" t="s">
        <v>216</v>
      </c>
      <c r="O775" s="18" t="s">
        <v>98</v>
      </c>
      <c r="P775" s="15" t="str">
        <f t="shared" si="1"/>
        <v>FOOD</v>
      </c>
      <c r="Q775" s="15">
        <f t="shared" si="2"/>
        <v>4</v>
      </c>
      <c r="R775" s="15">
        <f t="shared" si="3"/>
        <v>2</v>
      </c>
      <c r="S775" s="15">
        <f t="shared" si="4"/>
        <v>2</v>
      </c>
      <c r="T775" s="15" t="str">
        <f t="shared" si="5"/>
        <v>B-4</v>
      </c>
      <c r="U775" s="15" t="str">
        <f t="shared" si="6"/>
        <v>T4-M2-H2-FB-4-FOOD</v>
      </c>
      <c r="V775" s="15">
        <f t="shared" si="7"/>
        <v>0</v>
      </c>
      <c r="W775" s="31"/>
      <c r="X775" s="15" t="str">
        <f t="shared" si="8"/>
        <v>sur-oman</v>
      </c>
      <c r="Y775" s="32" t="str">
        <f t="shared" si="9"/>
        <v>https://steelmanufacturer.in/market-area/electropolished-pipes-manufacturer-in-sur-oman/</v>
      </c>
      <c r="Z775" s="15" t="str">
        <f t="shared" si="10"/>
        <v>Electropolished Pipes Manufacturer in Sur - SS 304/316L EP Tube</v>
      </c>
      <c r="AA775" s="15" t="str">
        <f t="shared" si="11"/>
        <v>OK (63)</v>
      </c>
      <c r="AB775" s="15" t="str">
        <f t="shared" si="12"/>
        <v>Electropolished tube supply to Sur Industrial Estate (Madayn), Sur. Ra from 0.25 um, SF4 finish, mill test certificate with every lot.</v>
      </c>
      <c r="AC775" s="15" t="str">
        <f t="shared" si="13"/>
        <v>OK (134)</v>
      </c>
      <c r="AD775" s="15" t="str">
        <f t="shared" si="14"/>
        <v>Electropolished Pipes Manufacturer in Sur</v>
      </c>
      <c r="AE775" s="15" t="str">
        <f t="shared" si="15"/>
        <v>How We Manufacture Electropolished Tube for Sur Plants</v>
      </c>
      <c r="AF775" s="15" t="str">
        <f t="shared" si="16"/>
        <v>Supplying Electropolished Pipes in Sur: Availability, Sizes &amp; Dispatch</v>
      </c>
      <c r="AG775" s="15" t="str">
        <f t="shared" si="17"/>
        <v>Wholesale Electropolished Pipe Supply for Sur Projects</v>
      </c>
      <c r="AH775" s="15" t="str">
        <f t="shared" si="18"/>
        <v>electropolished pipes manufacturer in Sur, electropolished pipes supplier in Sur, electropolished pipes wholesaler in Sur, electropolished tube manufacturer Sur, EP pipe supplier Sur, sanitary tube supplier Sur, ASME BPE tubing Sur, ASTM A270 tube Sur, SS 316L electropolished pipe Sur</v>
      </c>
      <c r="AI775" s="15" t="str">
        <f t="shared" si="19"/>
        <v>Electropolished Pipes Manufacturer &amp; Supplier in Sur</v>
      </c>
      <c r="AJ775" s="15" t="str">
        <f t="shared" si="20"/>
        <v>EP-finished SS 304/316L pipes and tubes for food processing plants in Sur. ASME BPE SF1-SF4, Ra from 0.25 um, EN 10204 3.1 certificate with every lot.</v>
      </c>
      <c r="AK775" s="15" t="str">
        <f t="shared" si="21"/>
        <v>Electropolished stainless steel pipes supplied by Sakshi Forge to food processing plants at Sur Industrial Estate (Madayn), Sur</v>
      </c>
      <c r="AL775" s="15" t="str">
        <f t="shared" si="22"/>
        <v>Electropolished SS 316L tube stock for Sur - Sakshi Forge</v>
      </c>
      <c r="AM775" s="15" t="str">
        <f t="shared" si="23"/>
        <v>Home &gt; Market Area &gt; Oman &gt; South Ash Sharqiyah &gt; Sur</v>
      </c>
      <c r="AN775" s="15">
        <f t="shared" si="24"/>
        <v>1000</v>
      </c>
      <c r="AO775" s="15">
        <f t="shared" si="25"/>
        <v>8</v>
      </c>
      <c r="AP775" s="15">
        <f t="shared" si="26"/>
        <v>8</v>
      </c>
      <c r="AQ775" s="15">
        <f t="shared" si="27"/>
        <v>13</v>
      </c>
      <c r="AR775" s="31"/>
      <c r="AS775" s="31"/>
      <c r="AT775" s="35" t="s">
        <v>222</v>
      </c>
      <c r="AU775" s="35"/>
    </row>
    <row r="776" ht="15.75" customHeight="1">
      <c r="A776" s="15" t="s">
        <v>8953</v>
      </c>
      <c r="B776" s="15" t="s">
        <v>210</v>
      </c>
      <c r="C776" s="15" t="s">
        <v>7824</v>
      </c>
      <c r="D776" s="15" t="s">
        <v>7824</v>
      </c>
      <c r="E776" s="15" t="s">
        <v>7824</v>
      </c>
      <c r="F776" s="65" t="s">
        <v>788</v>
      </c>
      <c r="G776" s="17" t="s">
        <v>88</v>
      </c>
      <c r="H776" s="18" t="s">
        <v>8954</v>
      </c>
      <c r="I776" s="18" t="s">
        <v>8954</v>
      </c>
      <c r="J776" s="18" t="s">
        <v>8955</v>
      </c>
      <c r="K776" s="18" t="s">
        <v>94</v>
      </c>
      <c r="L776" s="18" t="s">
        <v>7829</v>
      </c>
      <c r="M776" s="18" t="s">
        <v>491</v>
      </c>
      <c r="N776" s="18" t="s">
        <v>214</v>
      </c>
      <c r="O776" s="18" t="s">
        <v>98</v>
      </c>
      <c r="P776" s="15" t="str">
        <f t="shared" si="1"/>
        <v>FOOD</v>
      </c>
      <c r="Q776" s="15">
        <f t="shared" si="2"/>
        <v>5</v>
      </c>
      <c r="R776" s="15">
        <f t="shared" si="3"/>
        <v>3</v>
      </c>
      <c r="S776" s="15">
        <f t="shared" si="4"/>
        <v>3</v>
      </c>
      <c r="T776" s="15" t="str">
        <f t="shared" si="5"/>
        <v>B-5</v>
      </c>
      <c r="U776" s="15" t="str">
        <f t="shared" si="6"/>
        <v>T5-M3-H3-FB-5-FOOD</v>
      </c>
      <c r="V776" s="15">
        <f t="shared" si="7"/>
        <v>0</v>
      </c>
      <c r="W776" s="31"/>
      <c r="X776" s="15" t="str">
        <f t="shared" si="8"/>
        <v>al-khor-qatar</v>
      </c>
      <c r="Y776" s="32" t="str">
        <f t="shared" si="9"/>
        <v>https://steelmanufacturer.in/market-area/electropolished-pipes-manufacturer-in-al-khor-qatar/</v>
      </c>
      <c r="Z776" s="15" t="str">
        <f t="shared" si="10"/>
        <v>Electropolished Pipes Manufacturer in Al Khor</v>
      </c>
      <c r="AA776" s="15" t="str">
        <f t="shared" si="11"/>
        <v>OK (45)</v>
      </c>
      <c r="AB776" s="15" t="str">
        <f t="shared" si="12"/>
        <v>EP stainless tube for food processing lines in Al Khor. 12-15 days sea from Nhava Sheva to Hamad Port. ASTM A270 S2, PMI tested, EN 10204 3.1.</v>
      </c>
      <c r="AC776" s="15" t="str">
        <f t="shared" si="13"/>
        <v>OK (142)</v>
      </c>
      <c r="AD776" s="15" t="str">
        <f t="shared" si="14"/>
        <v>Electropolished Pipes Manufacturer in Al Khor</v>
      </c>
      <c r="AE776" s="15" t="str">
        <f t="shared" si="15"/>
        <v>Electropolished Pipes Manufacturer in Al Khor - Our Process &amp; Capability</v>
      </c>
      <c r="AF776" s="15" t="str">
        <f t="shared" si="16"/>
        <v>Electropolished Pipes Supplier in Al Khor - What We Hold in Stock</v>
      </c>
      <c r="AG776" s="15" t="str">
        <f t="shared" si="17"/>
        <v>Bulk &amp; Wholesale Electropolished Pipe Rates for Al Khor Buyers</v>
      </c>
      <c r="AH776" s="15" t="str">
        <f t="shared" si="18"/>
        <v>electropolished pipes manufacturer in Al Khor, electropolished pipes supplier in Al Khor, electropolished pipes wholesaler in Al Khor, electropolished tube manufacturer Al Khor, EP pipe supplier Al Khor, sanitary tube supplier Al Khor, ASME BPE tubing Al Khor, ASTM A270 tube Al Khor, SS 316L electropolished pipe Al Khor</v>
      </c>
      <c r="AI776" s="15" t="str">
        <f t="shared" si="19"/>
        <v>Electropolished Pipes Manufacturer &amp; Supplier in Al Khor</v>
      </c>
      <c r="AJ776" s="15" t="str">
        <f t="shared" si="20"/>
        <v>EP-finished SS 304/316L pipes and tubes for food processing plants in Al Khor. ASME BPE SF1-SF4, Ra from 0.25 um, EN 10204 3.1 certificate with every lot.</v>
      </c>
      <c r="AK776" s="15" t="str">
        <f t="shared" si="21"/>
        <v>Electropolished stainless steel pipes supplied by Sakshi Forge to food processing plants at Al Khor Industrial Zone, Al Khor</v>
      </c>
      <c r="AL776" s="15" t="str">
        <f t="shared" si="22"/>
        <v>Electropolished SS 316L tube stock for Al Khor - Sakshi Forge</v>
      </c>
      <c r="AM776" s="15" t="str">
        <f t="shared" si="23"/>
        <v>Home &gt; Market Area &gt; Qatar &gt; Al Khor &gt; Al Khor</v>
      </c>
      <c r="AN776" s="15">
        <f t="shared" si="24"/>
        <v>1000</v>
      </c>
      <c r="AO776" s="15">
        <f t="shared" si="25"/>
        <v>8</v>
      </c>
      <c r="AP776" s="15">
        <f t="shared" si="26"/>
        <v>8</v>
      </c>
      <c r="AQ776" s="15">
        <f t="shared" si="27"/>
        <v>13</v>
      </c>
      <c r="AR776" s="31"/>
      <c r="AS776" s="31"/>
      <c r="AT776" s="35" t="s">
        <v>222</v>
      </c>
      <c r="AU776" s="35"/>
    </row>
    <row r="777" ht="15.75" customHeight="1">
      <c r="A777" s="15" t="s">
        <v>8956</v>
      </c>
      <c r="B777" s="15" t="s">
        <v>210</v>
      </c>
      <c r="C777" s="15" t="s">
        <v>8957</v>
      </c>
      <c r="D777" s="15" t="s">
        <v>8957</v>
      </c>
      <c r="E777" s="15" t="s">
        <v>8957</v>
      </c>
      <c r="F777" s="65" t="s">
        <v>788</v>
      </c>
      <c r="G777" s="17" t="s">
        <v>88</v>
      </c>
      <c r="H777" s="18" t="s">
        <v>8958</v>
      </c>
      <c r="I777" s="18" t="s">
        <v>8958</v>
      </c>
      <c r="J777" s="18" t="s">
        <v>8788</v>
      </c>
      <c r="K777" s="18" t="s">
        <v>94</v>
      </c>
      <c r="L777" s="18" t="s">
        <v>7733</v>
      </c>
      <c r="M777" s="18" t="s">
        <v>491</v>
      </c>
      <c r="N777" s="18" t="s">
        <v>214</v>
      </c>
      <c r="O777" s="18" t="s">
        <v>98</v>
      </c>
      <c r="P777" s="15" t="str">
        <f t="shared" si="1"/>
        <v>FOOD</v>
      </c>
      <c r="Q777" s="15">
        <f t="shared" si="2"/>
        <v>6</v>
      </c>
      <c r="R777" s="15">
        <f t="shared" si="3"/>
        <v>4</v>
      </c>
      <c r="S777" s="15">
        <f t="shared" si="4"/>
        <v>4</v>
      </c>
      <c r="T777" s="15" t="str">
        <f t="shared" si="5"/>
        <v>B-6</v>
      </c>
      <c r="U777" s="15" t="str">
        <f t="shared" si="6"/>
        <v>T6-M4-H4-FB-6-FOOD</v>
      </c>
      <c r="V777" s="15">
        <f t="shared" si="7"/>
        <v>0</v>
      </c>
      <c r="W777" s="31"/>
      <c r="X777" s="15" t="str">
        <f t="shared" si="8"/>
        <v>al-rayyan-qatar</v>
      </c>
      <c r="Y777" s="32" t="str">
        <f t="shared" si="9"/>
        <v>https://steelmanufacturer.in/market-area/electropolished-pipes-manufacturer-in-al-rayyan-qatar/</v>
      </c>
      <c r="Z777" s="15" t="str">
        <f t="shared" si="10"/>
        <v>Electropolished Pipes Manufacturer in Al Rayyan</v>
      </c>
      <c r="AA777" s="15" t="str">
        <f t="shared" si="11"/>
        <v>OK (47)</v>
      </c>
      <c r="AB777" s="15" t="str">
        <f t="shared" si="12"/>
        <v>Sanitary electropolished pipes in Al Rayyan for food processing plants. ASME BPE SF1-SF4, orbital-weld ready, 3.1 MTC. Mumbai-made.</v>
      </c>
      <c r="AC777" s="15" t="str">
        <f t="shared" si="13"/>
        <v>OK (131)</v>
      </c>
      <c r="AD777" s="15" t="str">
        <f t="shared" si="14"/>
        <v>Electropolished Pipes Manufacturer in Al Rayyan</v>
      </c>
      <c r="AE777" s="15" t="str">
        <f t="shared" si="15"/>
        <v>Manufacturing Electropolished SS Tube for Al Rayyan: The Standards We Build To</v>
      </c>
      <c r="AF777" s="15" t="str">
        <f t="shared" si="16"/>
        <v>Electropolished Pipe Supply Into Al Rayyan - Certification &amp; Transit</v>
      </c>
      <c r="AG777" s="15" t="str">
        <f t="shared" si="17"/>
        <v>Electropolished Pipes Wholesaler in Al Rayyan - Project Quantities &amp; Terms</v>
      </c>
      <c r="AH777" s="15" t="str">
        <f t="shared" si="18"/>
        <v>electropolished pipes manufacturer in Al Rayyan, electropolished pipes supplier in Al Rayyan, electropolished pipes wholesaler in Al Rayyan, electropolished tube manufacturer Al Rayyan, EP pipe supplier Al Rayyan, sanitary tube supplier Al Rayyan, ASME BPE tubing Al Rayyan, ASTM A270 tube Al Rayyan, SS 316L electropolished pipe Al Rayyan</v>
      </c>
      <c r="AI777" s="15" t="str">
        <f t="shared" si="19"/>
        <v>Electropolished Pipes Manufacturer &amp; Supplier in Al Rayyan</v>
      </c>
      <c r="AJ777" s="15" t="str">
        <f t="shared" si="20"/>
        <v>EP-finished SS 304/316L pipes and tubes for food processing plants in Al Rayyan. ASME BPE SF1-SF4, Ra from 0.25 um, EN 10204 3.1 certificate with every lot.</v>
      </c>
      <c r="AK777" s="15" t="str">
        <f t="shared" si="21"/>
        <v>Electropolished stainless steel pipes supplied by Sakshi Forge to food processing plants at Al Rayyan Industrial Zone, Al Rayyan</v>
      </c>
      <c r="AL777" s="15" t="str">
        <f t="shared" si="22"/>
        <v>Electropolished SS 316L tube stock for Al Rayyan - Sakshi Forge</v>
      </c>
      <c r="AM777" s="15" t="str">
        <f t="shared" si="23"/>
        <v>Home &gt; Market Area &gt; Qatar &gt; Al Rayyan &gt; Al Rayyan</v>
      </c>
      <c r="AN777" s="15">
        <f t="shared" si="24"/>
        <v>1000</v>
      </c>
      <c r="AO777" s="15">
        <f t="shared" si="25"/>
        <v>8</v>
      </c>
      <c r="AP777" s="15">
        <f t="shared" si="26"/>
        <v>8</v>
      </c>
      <c r="AQ777" s="15">
        <f t="shared" si="27"/>
        <v>13</v>
      </c>
      <c r="AR777" s="31"/>
      <c r="AS777" s="31"/>
      <c r="AT777" s="35" t="s">
        <v>222</v>
      </c>
      <c r="AU777" s="35"/>
    </row>
    <row r="778" ht="15.75" customHeight="1">
      <c r="A778" s="15" t="s">
        <v>8959</v>
      </c>
      <c r="B778" s="15" t="s">
        <v>210</v>
      </c>
      <c r="C778" s="15" t="s">
        <v>8960</v>
      </c>
      <c r="D778" s="15" t="s">
        <v>8961</v>
      </c>
      <c r="E778" s="15" t="s">
        <v>8961</v>
      </c>
      <c r="F778" s="65" t="s">
        <v>788</v>
      </c>
      <c r="G778" s="17" t="s">
        <v>88</v>
      </c>
      <c r="H778" s="18" t="s">
        <v>8962</v>
      </c>
      <c r="I778" s="18" t="s">
        <v>8962</v>
      </c>
      <c r="J778" s="18" t="s">
        <v>8963</v>
      </c>
      <c r="K778" s="18" t="s">
        <v>8964</v>
      </c>
      <c r="L778" s="18" t="s">
        <v>7801</v>
      </c>
      <c r="M778" s="18" t="s">
        <v>491</v>
      </c>
      <c r="N778" s="18" t="s">
        <v>214</v>
      </c>
      <c r="O778" s="18" t="s">
        <v>98</v>
      </c>
      <c r="P778" s="15" t="str">
        <f t="shared" si="1"/>
        <v>GENERAL</v>
      </c>
      <c r="Q778" s="15">
        <f t="shared" si="2"/>
        <v>7</v>
      </c>
      <c r="R778" s="15">
        <f t="shared" si="3"/>
        <v>5</v>
      </c>
      <c r="S778" s="15">
        <f t="shared" si="4"/>
        <v>5</v>
      </c>
      <c r="T778" s="15" t="str">
        <f t="shared" si="5"/>
        <v>B-1</v>
      </c>
      <c r="U778" s="15" t="str">
        <f t="shared" si="6"/>
        <v>T7-M5-H5-FB-1-GENERAL</v>
      </c>
      <c r="V778" s="15">
        <f t="shared" si="7"/>
        <v>0</v>
      </c>
      <c r="W778" s="31"/>
      <c r="X778" s="15" t="str">
        <f t="shared" si="8"/>
        <v>dukhan-qatar</v>
      </c>
      <c r="Y778" s="32" t="str">
        <f t="shared" si="9"/>
        <v>https://steelmanufacturer.in/market-area/electropolished-pipes-manufacturer-in-dukhan-qatar/</v>
      </c>
      <c r="Z778" s="15" t="str">
        <f t="shared" si="10"/>
        <v>Electropolished Pipes Manufacturer in Dukhan | ASME BPE SF1-SF4</v>
      </c>
      <c r="AA778" s="15" t="str">
        <f t="shared" si="11"/>
        <v>OK (63)</v>
      </c>
      <c r="AB778" s="15" t="str">
        <f t="shared" si="12"/>
        <v>Manufacturer of electropolished SS 316L tube serving Dukhan. 12-15 days sea from Nhava Sheva to Hamad Port. Ra 0.25-0.5 um, EN 10204 3.1 MTC.</v>
      </c>
      <c r="AC778" s="15" t="str">
        <f t="shared" si="13"/>
        <v>OK (141)</v>
      </c>
      <c r="AD778" s="15" t="str">
        <f t="shared" si="14"/>
        <v>Electropolished Pipes Manufacturer in Dukhan</v>
      </c>
      <c r="AE778" s="15" t="str">
        <f t="shared" si="15"/>
        <v>Electropolished Tube Manufacturing Capability Serving Dukhan</v>
      </c>
      <c r="AF778" s="15" t="str">
        <f t="shared" si="16"/>
        <v>Electropolished Pipes Supplier in Dukhan - From Order to Delivery</v>
      </c>
      <c r="AG778" s="15" t="str">
        <f t="shared" si="17"/>
        <v>Stockist &amp; Wholesale Supply of Electropolished Pipes in Dukhan</v>
      </c>
      <c r="AH778" s="15" t="str">
        <f t="shared" si="18"/>
        <v>electropolished pipes manufacturer in Dukhan, electropolished pipes supplier in Dukhan, electropolished pipes wholesaler in Dukhan, electropolished tube manufacturer Dukhan, EP pipe supplier Dukhan, sanitary tube supplier Dukhan, ASME BPE tubing Dukhan, ASTM A270 tube Dukhan, SS 316L electropolished pipe Dukhan</v>
      </c>
      <c r="AI778" s="15" t="str">
        <f t="shared" si="19"/>
        <v>Electropolished Pipes Manufacturer &amp; Supplier in Dukhan</v>
      </c>
      <c r="AJ778" s="15" t="str">
        <f t="shared" si="20"/>
        <v>EP-finished SS 304/316L pipes and tubes for oil and gas plants in Dukhan. ASME BPE SF1-SF4, Ra from 0.25 um, EN 10204 3.1 certificate with every lot.</v>
      </c>
      <c r="AK778" s="15" t="str">
        <f t="shared" si="21"/>
        <v>Electropolished stainless steel pipes supplied by Sakshi Forge to oil and gas plants at Dukhan Oil Field Complex, Dukhan</v>
      </c>
      <c r="AL778" s="15" t="str">
        <f t="shared" si="22"/>
        <v>Electropolished SS 316L tube stock for Dukhan - Sakshi Forge</v>
      </c>
      <c r="AM778" s="15" t="str">
        <f t="shared" si="23"/>
        <v>Home &gt; Market Area &gt; Qatar &gt; Al Shahaniya &gt; Dukhan</v>
      </c>
      <c r="AN778" s="15">
        <f t="shared" si="24"/>
        <v>1000</v>
      </c>
      <c r="AO778" s="15">
        <f t="shared" si="25"/>
        <v>8</v>
      </c>
      <c r="AP778" s="15">
        <f t="shared" si="26"/>
        <v>8</v>
      </c>
      <c r="AQ778" s="15">
        <f t="shared" si="27"/>
        <v>13</v>
      </c>
      <c r="AR778" s="31"/>
      <c r="AS778" s="31"/>
      <c r="AT778" s="35" t="s">
        <v>222</v>
      </c>
      <c r="AU778" s="35"/>
    </row>
    <row r="779" ht="15.75" customHeight="1">
      <c r="A779" s="15" t="s">
        <v>8965</v>
      </c>
      <c r="B779" s="15" t="s">
        <v>210</v>
      </c>
      <c r="C779" s="15" t="s">
        <v>8966</v>
      </c>
      <c r="D779" s="15" t="s">
        <v>8966</v>
      </c>
      <c r="E779" s="15" t="s">
        <v>8966</v>
      </c>
      <c r="F779" s="65" t="s">
        <v>788</v>
      </c>
      <c r="G779" s="17" t="s">
        <v>88</v>
      </c>
      <c r="H779" s="18" t="s">
        <v>8967</v>
      </c>
      <c r="I779" s="18" t="s">
        <v>8967</v>
      </c>
      <c r="J779" s="18" t="s">
        <v>8968</v>
      </c>
      <c r="K779" s="18" t="s">
        <v>94</v>
      </c>
      <c r="L779" s="18" t="s">
        <v>7733</v>
      </c>
      <c r="M779" s="18" t="s">
        <v>491</v>
      </c>
      <c r="N779" s="18" t="s">
        <v>214</v>
      </c>
      <c r="O779" s="18" t="s">
        <v>98</v>
      </c>
      <c r="P779" s="15" t="str">
        <f t="shared" si="1"/>
        <v>FOOD</v>
      </c>
      <c r="Q779" s="15">
        <f t="shared" si="2"/>
        <v>8</v>
      </c>
      <c r="R779" s="15">
        <f t="shared" si="3"/>
        <v>6</v>
      </c>
      <c r="S779" s="15">
        <f t="shared" si="4"/>
        <v>1</v>
      </c>
      <c r="T779" s="15" t="str">
        <f t="shared" si="5"/>
        <v>B-2</v>
      </c>
      <c r="U779" s="15" t="str">
        <f t="shared" si="6"/>
        <v>T8-M6-H1-FB-2-FOOD</v>
      </c>
      <c r="V779" s="15">
        <f t="shared" si="7"/>
        <v>0</v>
      </c>
      <c r="W779" s="31"/>
      <c r="X779" s="15" t="str">
        <f t="shared" si="8"/>
        <v>umm-salal-qatar</v>
      </c>
      <c r="Y779" s="32" t="str">
        <f t="shared" si="9"/>
        <v>https://steelmanufacturer.in/market-area/electropolished-pipes-manufacturer-in-umm-salal-qatar/</v>
      </c>
      <c r="Z779" s="15" t="str">
        <f t="shared" si="10"/>
        <v>Electropolished Pipes Manufacturer in Umm Salal</v>
      </c>
      <c r="AA779" s="15" t="str">
        <f t="shared" si="11"/>
        <v>OK (47)</v>
      </c>
      <c r="AB779" s="15" t="str">
        <f t="shared" si="12"/>
        <v>EP tube and pipe for food processing plants around Umm Salal Industrial Area, Umm Salal. ASTM A270, ASME BPE SF1-SF4, EN 10204 3.1 MTC.</v>
      </c>
      <c r="AC779" s="15" t="str">
        <f t="shared" si="13"/>
        <v>OK (135)</v>
      </c>
      <c r="AD779" s="15" t="str">
        <f t="shared" si="14"/>
        <v>Electropolished Pipes Manufacturer in Umm Salal</v>
      </c>
      <c r="AE779" s="15" t="str">
        <f t="shared" si="15"/>
        <v>Electropolished Pipe &amp; Tube Manufacturing for Umm Salal - Grades, Finishes &amp; Certification</v>
      </c>
      <c r="AF779" s="15" t="str">
        <f t="shared" si="16"/>
        <v>Electropolished Pipes Supplier in Umm Salal - Stock Sizes, Lead Time &amp; Delivery</v>
      </c>
      <c r="AG779" s="15" t="str">
        <f t="shared" si="17"/>
        <v>Electropolished Pipes Wholesaler &amp; Stockist in Umm Salal - Bulk &amp; Project Pricing</v>
      </c>
      <c r="AH779" s="15" t="str">
        <f t="shared" si="18"/>
        <v>electropolished pipes manufacturer in Umm Salal, electropolished pipes supplier in Umm Salal, electropolished pipes wholesaler in Umm Salal, electropolished tube manufacturer Umm Salal, EP pipe supplier Umm Salal, sanitary tube supplier Umm Salal, ASME BPE tubing Umm Salal, ASTM A270 tube Umm Salal, SS 316L electropolished pipe Umm Salal</v>
      </c>
      <c r="AI779" s="15" t="str">
        <f t="shared" si="19"/>
        <v>Electropolished Pipes Manufacturer &amp; Supplier in Umm Salal</v>
      </c>
      <c r="AJ779" s="15" t="str">
        <f t="shared" si="20"/>
        <v>EP-finished SS 304/316L pipes and tubes for food processing plants in Umm Salal. ASME BPE SF1-SF4, Ra from 0.25 um, EN 10204 3.1 certificate with every lot.</v>
      </c>
      <c r="AK779" s="15" t="str">
        <f t="shared" si="21"/>
        <v>Electropolished stainless steel pipes supplied by Sakshi Forge to food processing plants at Umm Salal Industrial Area, Umm Salal</v>
      </c>
      <c r="AL779" s="15" t="str">
        <f t="shared" si="22"/>
        <v>Electropolished SS 316L tube stock for Umm Salal - Sakshi Forge</v>
      </c>
      <c r="AM779" s="15" t="str">
        <f t="shared" si="23"/>
        <v>Home &gt; Market Area &gt; Qatar &gt; Umm Salal &gt; Umm Salal</v>
      </c>
      <c r="AN779" s="15">
        <f t="shared" si="24"/>
        <v>1000</v>
      </c>
      <c r="AO779" s="15">
        <f t="shared" si="25"/>
        <v>8</v>
      </c>
      <c r="AP779" s="15">
        <f t="shared" si="26"/>
        <v>8</v>
      </c>
      <c r="AQ779" s="15">
        <f t="shared" si="27"/>
        <v>13</v>
      </c>
      <c r="AR779" s="31"/>
      <c r="AS779" s="31"/>
      <c r="AT779" s="35" t="s">
        <v>222</v>
      </c>
      <c r="AU779" s="35"/>
    </row>
    <row r="780" ht="15.75" customHeight="1">
      <c r="A780" s="15" t="s">
        <v>8969</v>
      </c>
      <c r="B780" s="15" t="s">
        <v>186</v>
      </c>
      <c r="C780" s="15" t="s">
        <v>8970</v>
      </c>
      <c r="D780" s="15" t="s">
        <v>8971</v>
      </c>
      <c r="E780" s="15" t="s">
        <v>8971</v>
      </c>
      <c r="F780" s="65" t="s">
        <v>788</v>
      </c>
      <c r="G780" s="17" t="s">
        <v>88</v>
      </c>
      <c r="H780" s="18" t="s">
        <v>8972</v>
      </c>
      <c r="I780" s="18" t="s">
        <v>8972</v>
      </c>
      <c r="J780" s="18" t="s">
        <v>3634</v>
      </c>
      <c r="K780" s="18" t="s">
        <v>579</v>
      </c>
      <c r="L780" s="18" t="s">
        <v>8973</v>
      </c>
      <c r="M780" s="18" t="s">
        <v>484</v>
      </c>
      <c r="N780" s="18" t="s">
        <v>208</v>
      </c>
      <c r="O780" s="18" t="s">
        <v>98</v>
      </c>
      <c r="P780" s="15" t="str">
        <f t="shared" si="1"/>
        <v>DAIRY</v>
      </c>
      <c r="Q780" s="15">
        <f t="shared" si="2"/>
        <v>1</v>
      </c>
      <c r="R780" s="15">
        <f t="shared" si="3"/>
        <v>7</v>
      </c>
      <c r="S780" s="15">
        <f t="shared" si="4"/>
        <v>2</v>
      </c>
      <c r="T780" s="15" t="str">
        <f t="shared" si="5"/>
        <v>B-3</v>
      </c>
      <c r="U780" s="15" t="str">
        <f t="shared" si="6"/>
        <v>T1-M7-H2-FB-3-DAIRY</v>
      </c>
      <c r="V780" s="15">
        <f t="shared" si="7"/>
        <v>0</v>
      </c>
      <c r="W780" s="31"/>
      <c r="X780" s="15" t="str">
        <f t="shared" si="8"/>
        <v>abha-saudi-arabia</v>
      </c>
      <c r="Y780" s="32" t="str">
        <f t="shared" si="9"/>
        <v>https://steelmanufacturer.in/market-area/electropolished-pipes-manufacturer-in-abha-saudi-arabia/</v>
      </c>
      <c r="Z780" s="15" t="str">
        <f t="shared" si="10"/>
        <v>Electropolished Pipes Manufacturer in Abha | Sakshi Forge</v>
      </c>
      <c r="AA780" s="15" t="str">
        <f t="shared" si="11"/>
        <v>OK (57)</v>
      </c>
      <c r="AB780" s="15" t="str">
        <f t="shared" si="12"/>
        <v>Electropolished pipes in Abha: 304, 304L, 316 and 316L in SF1-SF4. 12-16 days sea from Nhava Sheva to Dammam. Mill certified.</v>
      </c>
      <c r="AC780" s="15" t="str">
        <f t="shared" si="13"/>
        <v>OK (125)</v>
      </c>
      <c r="AD780" s="15" t="str">
        <f t="shared" si="14"/>
        <v>Electropolished Pipes Manufacturer in Abha</v>
      </c>
      <c r="AE780" s="15" t="str">
        <f t="shared" si="15"/>
        <v>How We Manufacture Electropolished Tube for Abha Plants</v>
      </c>
      <c r="AF780" s="15" t="str">
        <f t="shared" si="16"/>
        <v>Supplying Electropolished Pipes in Abha: Availability, Sizes &amp; Dispatch</v>
      </c>
      <c r="AG780" s="15" t="str">
        <f t="shared" si="17"/>
        <v>Wholesale Electropolished Pipe Supply for Abha Projects</v>
      </c>
      <c r="AH780" s="15" t="str">
        <f t="shared" si="18"/>
        <v>electropolished pipes manufacturer in Abha, electropolished pipes supplier in Abha, electropolished pipes wholesaler in Abha, electropolished tube manufacturer Abha, EP pipe supplier Abha, sanitary tube supplier Abha, ASME BPE tubing Abha, ASTM A270 tube Abha, SS 316L electropolished pipe Abha</v>
      </c>
      <c r="AI780" s="15" t="str">
        <f t="shared" si="19"/>
        <v>Electropolished Pipes Manufacturer &amp; Supplier in Abha</v>
      </c>
      <c r="AJ780" s="15" t="str">
        <f t="shared" si="20"/>
        <v>EP-finished SS 304/316L pipes and tubes for food &amp; dairy plants in Abha. ASME BPE SF1-SF4, Ra from 0.25 um, EN 10204 3.1 certificate with every lot.</v>
      </c>
      <c r="AK780" s="15" t="str">
        <f t="shared" si="21"/>
        <v>Electropolished stainless steel pipes supplied by Sakshi Forge to food &amp; dairy plants at Asir Industrial City (MODON), Abha</v>
      </c>
      <c r="AL780" s="15" t="str">
        <f t="shared" si="22"/>
        <v>Electropolished SS 316L tube stock for Abha - Sakshi Forge</v>
      </c>
      <c r="AM780" s="15" t="str">
        <f t="shared" si="23"/>
        <v>Home &gt; Market Area &gt; Saudi Arabia &gt; Asir Province &gt; Abha</v>
      </c>
      <c r="AN780" s="15">
        <f t="shared" si="24"/>
        <v>1000</v>
      </c>
      <c r="AO780" s="15">
        <f t="shared" si="25"/>
        <v>8</v>
      </c>
      <c r="AP780" s="15">
        <f t="shared" si="26"/>
        <v>8</v>
      </c>
      <c r="AQ780" s="15">
        <f t="shared" si="27"/>
        <v>13</v>
      </c>
      <c r="AR780" s="31"/>
      <c r="AS780" s="31"/>
      <c r="AT780" s="35" t="s">
        <v>222</v>
      </c>
      <c r="AU780" s="35"/>
    </row>
    <row r="781" ht="15.75" customHeight="1">
      <c r="A781" s="15" t="s">
        <v>8974</v>
      </c>
      <c r="B781" s="15" t="s">
        <v>186</v>
      </c>
      <c r="C781" s="15" t="s">
        <v>7848</v>
      </c>
      <c r="D781" s="15" t="s">
        <v>8975</v>
      </c>
      <c r="E781" s="15" t="s">
        <v>8975</v>
      </c>
      <c r="F781" s="65" t="s">
        <v>788</v>
      </c>
      <c r="G781" s="17" t="s">
        <v>88</v>
      </c>
      <c r="H781" s="18" t="s">
        <v>8976</v>
      </c>
      <c r="I781" s="18" t="s">
        <v>8976</v>
      </c>
      <c r="J781" s="18" t="s">
        <v>8977</v>
      </c>
      <c r="K781" s="18" t="s">
        <v>94</v>
      </c>
      <c r="L781" s="18" t="s">
        <v>7854</v>
      </c>
      <c r="M781" s="18" t="s">
        <v>484</v>
      </c>
      <c r="N781" s="18" t="s">
        <v>208</v>
      </c>
      <c r="O781" s="18" t="s">
        <v>98</v>
      </c>
      <c r="P781" s="15" t="str">
        <f t="shared" si="1"/>
        <v>FOOD</v>
      </c>
      <c r="Q781" s="15">
        <f t="shared" si="2"/>
        <v>2</v>
      </c>
      <c r="R781" s="15">
        <f t="shared" si="3"/>
        <v>1</v>
      </c>
      <c r="S781" s="15">
        <f t="shared" si="4"/>
        <v>3</v>
      </c>
      <c r="T781" s="15" t="str">
        <f t="shared" si="5"/>
        <v>B-4</v>
      </c>
      <c r="U781" s="15" t="str">
        <f t="shared" si="6"/>
        <v>T2-M1-H3-FB-4-FOOD</v>
      </c>
      <c r="V781" s="15">
        <f t="shared" si="7"/>
        <v>0</v>
      </c>
      <c r="W781" s="31"/>
      <c r="X781" s="15" t="str">
        <f t="shared" si="8"/>
        <v>al-hasa-saudi-arabia</v>
      </c>
      <c r="Y781" s="32" t="str">
        <f t="shared" si="9"/>
        <v>https://steelmanufacturer.in/market-area/electropolished-pipes-manufacturer-in-al-hasa-saudi-arabia/</v>
      </c>
      <c r="Z781" s="15" t="str">
        <f t="shared" si="10"/>
        <v>Electropolished Pipes Manufacturer in Al Hasa</v>
      </c>
      <c r="AA781" s="15" t="str">
        <f t="shared" si="11"/>
        <v>OK (45)</v>
      </c>
      <c r="AB781" s="15" t="str">
        <f t="shared" si="12"/>
        <v>EP-finished SS 304/316L pipes &amp; tubes for food processing plants in Al Hasa. ASTM A270, ASME BPE SF1-SF4, EN 10204 3.1 MTC. PMI tested.</v>
      </c>
      <c r="AC781" s="15" t="str">
        <f t="shared" si="13"/>
        <v>OK (135)</v>
      </c>
      <c r="AD781" s="15" t="str">
        <f t="shared" si="14"/>
        <v>Electropolished Pipes Manufacturer in Al Hasa</v>
      </c>
      <c r="AE781" s="15" t="str">
        <f t="shared" si="15"/>
        <v>Electropolished Pipes Manufacturer in Al Hasa - Our Process &amp; Capability</v>
      </c>
      <c r="AF781" s="15" t="str">
        <f t="shared" si="16"/>
        <v>Electropolished Pipes Supplier in Al Hasa - What We Hold in Stock</v>
      </c>
      <c r="AG781" s="15" t="str">
        <f t="shared" si="17"/>
        <v>Bulk &amp; Wholesale Electropolished Pipe Rates for Al Hasa Buyers</v>
      </c>
      <c r="AH781" s="15" t="str">
        <f t="shared" si="18"/>
        <v>electropolished pipes manufacturer in Al Hasa, electropolished pipes supplier in Al Hasa, electropolished pipes wholesaler in Al Hasa, electropolished tube manufacturer Al Hasa, EP pipe supplier Al Hasa, sanitary tube supplier Al Hasa, ASME BPE tubing Al Hasa, ASTM A270 tube Al Hasa, SS 316L electropolished pipe Al Hasa</v>
      </c>
      <c r="AI781" s="15" t="str">
        <f t="shared" si="19"/>
        <v>Electropolished Pipes Manufacturer &amp; Supplier in Al Hasa</v>
      </c>
      <c r="AJ781" s="15" t="str">
        <f t="shared" si="20"/>
        <v>EP-finished SS 304/316L pipes and tubes for food processing plants in Al Hasa. ASME BPE SF1-SF4, Ra from 0.25 um, EN 10204 3.1 certificate with every lot.</v>
      </c>
      <c r="AK781" s="15" t="str">
        <f t="shared" si="21"/>
        <v>Electropolished stainless steel pipes supplied by Sakshi Forge to food processing plants at Al Ahsa Industrial City (MODON), Al Hasa</v>
      </c>
      <c r="AL781" s="15" t="str">
        <f t="shared" si="22"/>
        <v>Electropolished SS 316L tube stock for Al Hasa - Sakshi Forge</v>
      </c>
      <c r="AM781" s="15" t="str">
        <f t="shared" si="23"/>
        <v>Home &gt; Market Area &gt; Saudi Arabia &gt; Eastern Province &gt; Al Hasa</v>
      </c>
      <c r="AN781" s="15">
        <f t="shared" si="24"/>
        <v>1000</v>
      </c>
      <c r="AO781" s="15">
        <f t="shared" si="25"/>
        <v>8</v>
      </c>
      <c r="AP781" s="15">
        <f t="shared" si="26"/>
        <v>8</v>
      </c>
      <c r="AQ781" s="15">
        <f t="shared" si="27"/>
        <v>13</v>
      </c>
      <c r="AR781" s="31"/>
      <c r="AS781" s="31"/>
      <c r="AT781" s="35" t="s">
        <v>222</v>
      </c>
      <c r="AU781" s="35"/>
    </row>
    <row r="782" ht="15.75" customHeight="1">
      <c r="A782" s="15" t="s">
        <v>8978</v>
      </c>
      <c r="B782" s="15" t="s">
        <v>186</v>
      </c>
      <c r="C782" s="15" t="s">
        <v>7968</v>
      </c>
      <c r="D782" s="15" t="s">
        <v>8979</v>
      </c>
      <c r="E782" s="15" t="s">
        <v>8979</v>
      </c>
      <c r="F782" s="65" t="s">
        <v>788</v>
      </c>
      <c r="G782" s="17" t="s">
        <v>88</v>
      </c>
      <c r="H782" s="18" t="s">
        <v>8980</v>
      </c>
      <c r="I782" s="18" t="s">
        <v>8980</v>
      </c>
      <c r="J782" s="18" t="s">
        <v>8981</v>
      </c>
      <c r="K782" s="18" t="s">
        <v>579</v>
      </c>
      <c r="L782" s="18" t="s">
        <v>7875</v>
      </c>
      <c r="M782" s="18" t="s">
        <v>484</v>
      </c>
      <c r="N782" s="18" t="s">
        <v>208</v>
      </c>
      <c r="O782" s="18" t="s">
        <v>98</v>
      </c>
      <c r="P782" s="15" t="str">
        <f t="shared" si="1"/>
        <v>DAIRY</v>
      </c>
      <c r="Q782" s="15">
        <f t="shared" si="2"/>
        <v>3</v>
      </c>
      <c r="R782" s="15">
        <f t="shared" si="3"/>
        <v>2</v>
      </c>
      <c r="S782" s="15">
        <f t="shared" si="4"/>
        <v>4</v>
      </c>
      <c r="T782" s="15" t="str">
        <f t="shared" si="5"/>
        <v>B-5</v>
      </c>
      <c r="U782" s="15" t="str">
        <f t="shared" si="6"/>
        <v>T3-M2-H4-FB-5-DAIRY</v>
      </c>
      <c r="V782" s="15">
        <f t="shared" si="7"/>
        <v>0</v>
      </c>
      <c r="W782" s="31"/>
      <c r="X782" s="15" t="str">
        <f t="shared" si="8"/>
        <v>al-kharj-saudi-arabia</v>
      </c>
      <c r="Y782" s="32" t="str">
        <f t="shared" si="9"/>
        <v>https://steelmanufacturer.in/market-area/electropolished-pipes-manufacturer-in-al-kharj-saudi-arabia/</v>
      </c>
      <c r="Z782" s="15" t="str">
        <f t="shared" si="10"/>
        <v>Electropolished Pipes Manufacturer in Al Kharj | EP Tube Supplier</v>
      </c>
      <c r="AA782" s="15" t="str">
        <f t="shared" si="11"/>
        <v>OK (65)</v>
      </c>
      <c r="AB782" s="15" t="str">
        <f t="shared" si="12"/>
        <v>Electropolished tube supply to Al Kharj Industrial City, Al Kharj. Ra from 0.25 um, SF4 finish, mill test certificate with every lot.</v>
      </c>
      <c r="AC782" s="15" t="str">
        <f t="shared" si="13"/>
        <v>OK (133)</v>
      </c>
      <c r="AD782" s="15" t="str">
        <f t="shared" si="14"/>
        <v>Electropolished Pipes Manufacturer in Al Kharj</v>
      </c>
      <c r="AE782" s="15" t="str">
        <f t="shared" si="15"/>
        <v>Manufacturing Electropolished SS Tube for Al Kharj: The Standards We Build To</v>
      </c>
      <c r="AF782" s="15" t="str">
        <f t="shared" si="16"/>
        <v>Electropolished Pipe Supply Into Al Kharj - Certification &amp; Transit</v>
      </c>
      <c r="AG782" s="15" t="str">
        <f t="shared" si="17"/>
        <v>Electropolished Pipes Wholesaler in Al Kharj - Project Quantities &amp; Terms</v>
      </c>
      <c r="AH782" s="15" t="str">
        <f t="shared" si="18"/>
        <v>electropolished pipes manufacturer in Al Kharj, electropolished pipes supplier in Al Kharj, electropolished pipes wholesaler in Al Kharj, electropolished tube manufacturer Al Kharj, EP pipe supplier Al Kharj, sanitary tube supplier Al Kharj, ASME BPE tubing Al Kharj, ASTM A270 tube Al Kharj, SS 316L electropolished pipe Al Kharj</v>
      </c>
      <c r="AI782" s="15" t="str">
        <f t="shared" si="19"/>
        <v>Electropolished Pipes Manufacturer &amp; Supplier in Al Kharj</v>
      </c>
      <c r="AJ782" s="15" t="str">
        <f t="shared" si="20"/>
        <v>EP-finished SS 304/316L pipes and tubes for food &amp; dairy plants in Al Kharj. ASME BPE SF1-SF4, Ra from 0.25 um, EN 10204 3.1 certificate with every lot.</v>
      </c>
      <c r="AK782" s="15" t="str">
        <f t="shared" si="21"/>
        <v>Electropolished stainless steel pipes supplied by Sakshi Forge to food &amp; dairy plants at Al Kharj Industrial City, Al Kharj</v>
      </c>
      <c r="AL782" s="15" t="str">
        <f t="shared" si="22"/>
        <v>Electropolished SS 316L tube stock for Al Kharj - Sakshi Forge</v>
      </c>
      <c r="AM782" s="15" t="str">
        <f t="shared" si="23"/>
        <v>Home &gt; Market Area &gt; Saudi Arabia &gt; Riyadh Province &gt; Al Kharj</v>
      </c>
      <c r="AN782" s="15">
        <f t="shared" si="24"/>
        <v>1000</v>
      </c>
      <c r="AO782" s="15">
        <f t="shared" si="25"/>
        <v>8</v>
      </c>
      <c r="AP782" s="15">
        <f t="shared" si="26"/>
        <v>8</v>
      </c>
      <c r="AQ782" s="15">
        <f t="shared" si="27"/>
        <v>13</v>
      </c>
      <c r="AR782" s="31"/>
      <c r="AS782" s="31"/>
      <c r="AT782" s="35" t="s">
        <v>222</v>
      </c>
      <c r="AU782" s="35"/>
    </row>
    <row r="783" ht="15.75" customHeight="1">
      <c r="A783" s="15" t="s">
        <v>8982</v>
      </c>
      <c r="B783" s="15" t="s">
        <v>186</v>
      </c>
      <c r="C783" s="15" t="s">
        <v>7848</v>
      </c>
      <c r="D783" s="15" t="s">
        <v>8983</v>
      </c>
      <c r="E783" s="15" t="s">
        <v>8983</v>
      </c>
      <c r="F783" s="65" t="s">
        <v>788</v>
      </c>
      <c r="G783" s="17" t="s">
        <v>88</v>
      </c>
      <c r="H783" s="18" t="s">
        <v>8984</v>
      </c>
      <c r="I783" s="18" t="s">
        <v>8984</v>
      </c>
      <c r="J783" s="18" t="s">
        <v>8985</v>
      </c>
      <c r="K783" s="18" t="s">
        <v>250</v>
      </c>
      <c r="L783" s="18" t="s">
        <v>7854</v>
      </c>
      <c r="M783" s="18" t="s">
        <v>484</v>
      </c>
      <c r="N783" s="18" t="s">
        <v>208</v>
      </c>
      <c r="O783" s="18" t="s">
        <v>98</v>
      </c>
      <c r="P783" s="15" t="str">
        <f t="shared" si="1"/>
        <v>GENERAL</v>
      </c>
      <c r="Q783" s="15">
        <f t="shared" si="2"/>
        <v>4</v>
      </c>
      <c r="R783" s="15">
        <f t="shared" si="3"/>
        <v>3</v>
      </c>
      <c r="S783" s="15">
        <f t="shared" si="4"/>
        <v>5</v>
      </c>
      <c r="T783" s="15" t="str">
        <f t="shared" si="5"/>
        <v>B-6</v>
      </c>
      <c r="U783" s="15" t="str">
        <f t="shared" si="6"/>
        <v>T4-M3-H5-FB-6-GENERAL</v>
      </c>
      <c r="V783" s="15">
        <f t="shared" si="7"/>
        <v>0</v>
      </c>
      <c r="W783" s="31"/>
      <c r="X783" s="15" t="str">
        <f t="shared" si="8"/>
        <v>dhahran-saudi-arabia</v>
      </c>
      <c r="Y783" s="32" t="str">
        <f t="shared" si="9"/>
        <v>https://steelmanufacturer.in/market-area/electropolished-pipes-manufacturer-in-dhahran-saudi-arabia/</v>
      </c>
      <c r="Z783" s="15" t="str">
        <f t="shared" si="10"/>
        <v>Electropolished Pipes Manufacturer in Dhahran</v>
      </c>
      <c r="AA783" s="15" t="str">
        <f t="shared" si="11"/>
        <v>OK (45)</v>
      </c>
      <c r="AB783" s="15" t="str">
        <f t="shared" si="12"/>
        <v>EP stainless tube for engineering &amp; process lines in Dhahran. 12-16 days sea from Nhava Sheva to Dammam. ASTM A270 S2, PMI tested, EN 10204 3.1.</v>
      </c>
      <c r="AC783" s="15" t="str">
        <f t="shared" si="13"/>
        <v>OK (144)</v>
      </c>
      <c r="AD783" s="15" t="str">
        <f t="shared" si="14"/>
        <v>Electropolished Pipes Manufacturer in Dhahran</v>
      </c>
      <c r="AE783" s="15" t="str">
        <f t="shared" si="15"/>
        <v>Electropolished Tube Manufacturing Capability Serving Dhahran</v>
      </c>
      <c r="AF783" s="15" t="str">
        <f t="shared" si="16"/>
        <v>Electropolished Pipes Supplier in Dhahran - From Order to Delivery</v>
      </c>
      <c r="AG783" s="15" t="str">
        <f t="shared" si="17"/>
        <v>Stockist &amp; Wholesale Supply of Electropolished Pipes in Dhahran</v>
      </c>
      <c r="AH783" s="15" t="str">
        <f t="shared" si="18"/>
        <v>electropolished pipes manufacturer in Dhahran, electropolished pipes supplier in Dhahran, electropolished pipes wholesaler in Dhahran, electropolished tube manufacturer Dhahran, EP pipe supplier Dhahran, sanitary tube supplier Dhahran, ASME BPE tubing Dhahran, ASTM A270 tube Dhahran, SS 316L electropolished pipe Dhahran</v>
      </c>
      <c r="AI783" s="15" t="str">
        <f t="shared" si="19"/>
        <v>Electropolished Pipes Manufacturer &amp; Supplier in Dhahran</v>
      </c>
      <c r="AJ783" s="15" t="str">
        <f t="shared" si="20"/>
        <v>EP-finished SS 304/316L pipes and tubes for engineering &amp; process plants in Dhahran. ASME BPE SF1-SF4, Ra from 0.25 um, EN 10204 3.1 certificate with every lot.</v>
      </c>
      <c r="AK783" s="15" t="str">
        <f t="shared" si="21"/>
        <v>Electropolished stainless steel pipes supplied by Sakshi Forge to engineering &amp; process plants at Dhahran Techno Valley, Dhahran</v>
      </c>
      <c r="AL783" s="15" t="str">
        <f t="shared" si="22"/>
        <v>Electropolished SS 316L tube stock for Dhahran - Sakshi Forge</v>
      </c>
      <c r="AM783" s="15" t="str">
        <f t="shared" si="23"/>
        <v>Home &gt; Market Area &gt; Saudi Arabia &gt; Eastern Province &gt; Dhahran</v>
      </c>
      <c r="AN783" s="15">
        <f t="shared" si="24"/>
        <v>1000</v>
      </c>
      <c r="AO783" s="15">
        <f t="shared" si="25"/>
        <v>8</v>
      </c>
      <c r="AP783" s="15">
        <f t="shared" si="26"/>
        <v>8</v>
      </c>
      <c r="AQ783" s="15">
        <f t="shared" si="27"/>
        <v>13</v>
      </c>
      <c r="AR783" s="31"/>
      <c r="AS783" s="31"/>
      <c r="AT783" s="35" t="s">
        <v>222</v>
      </c>
      <c r="AU783" s="35"/>
    </row>
    <row r="784" ht="15.75" customHeight="1">
      <c r="A784" s="15" t="s">
        <v>8986</v>
      </c>
      <c r="B784" s="15" t="s">
        <v>186</v>
      </c>
      <c r="C784" s="15" t="s">
        <v>8987</v>
      </c>
      <c r="D784" s="15" t="s">
        <v>8988</v>
      </c>
      <c r="E784" s="15" t="s">
        <v>8988</v>
      </c>
      <c r="F784" s="65" t="s">
        <v>788</v>
      </c>
      <c r="G784" s="17" t="s">
        <v>88</v>
      </c>
      <c r="H784" s="18" t="s">
        <v>8989</v>
      </c>
      <c r="I784" s="18" t="s">
        <v>8989</v>
      </c>
      <c r="J784" s="18" t="s">
        <v>8990</v>
      </c>
      <c r="K784" s="18" t="s">
        <v>94</v>
      </c>
      <c r="L784" s="18" t="s">
        <v>7875</v>
      </c>
      <c r="M784" s="18" t="s">
        <v>484</v>
      </c>
      <c r="N784" s="18" t="s">
        <v>208</v>
      </c>
      <c r="O784" s="18" t="s">
        <v>98</v>
      </c>
      <c r="P784" s="15" t="str">
        <f t="shared" si="1"/>
        <v>FOOD</v>
      </c>
      <c r="Q784" s="15">
        <f t="shared" si="2"/>
        <v>5</v>
      </c>
      <c r="R784" s="15">
        <f t="shared" si="3"/>
        <v>4</v>
      </c>
      <c r="S784" s="15">
        <f t="shared" si="4"/>
        <v>1</v>
      </c>
      <c r="T784" s="15" t="str">
        <f t="shared" si="5"/>
        <v>B-1</v>
      </c>
      <c r="U784" s="15" t="str">
        <f t="shared" si="6"/>
        <v>T5-M4-H1-FB-1-FOOD</v>
      </c>
      <c r="V784" s="15">
        <f t="shared" si="7"/>
        <v>0</v>
      </c>
      <c r="W784" s="31"/>
      <c r="X784" s="15" t="str">
        <f t="shared" si="8"/>
        <v>hail-saudi-arabia</v>
      </c>
      <c r="Y784" s="32" t="str">
        <f t="shared" si="9"/>
        <v>https://steelmanufacturer.in/market-area/electropolished-pipes-manufacturer-in-hail-saudi-arabia/</v>
      </c>
      <c r="Z784" s="15" t="str">
        <f t="shared" si="10"/>
        <v>Electropolished Pipes Manufacturer in Hail | Sanitary Tube Supply</v>
      </c>
      <c r="AA784" s="15" t="str">
        <f t="shared" si="11"/>
        <v>OK (65)</v>
      </c>
      <c r="AB784" s="15" t="str">
        <f t="shared" si="12"/>
        <v>Sanitary electropolished pipes in Hail for food processing plants. ASME BPE SF1-SF4, orbital-weld ready, 3.1 MTC. Mumbai-made.</v>
      </c>
      <c r="AC784" s="15" t="str">
        <f t="shared" si="13"/>
        <v>OK (126)</v>
      </c>
      <c r="AD784" s="15" t="str">
        <f t="shared" si="14"/>
        <v>Electropolished Pipes Manufacturer in Hail</v>
      </c>
      <c r="AE784" s="15" t="str">
        <f t="shared" si="15"/>
        <v>Electropolished Pipe &amp; Tube Manufacturing for Hail - Grades, Finishes &amp; Certification</v>
      </c>
      <c r="AF784" s="15" t="str">
        <f t="shared" si="16"/>
        <v>Electropolished Pipes Supplier in Hail - Stock Sizes, Lead Time &amp; Delivery</v>
      </c>
      <c r="AG784" s="15" t="str">
        <f t="shared" si="17"/>
        <v>Electropolished Pipes Wholesaler &amp; Stockist in Hail - Bulk &amp; Project Pricing</v>
      </c>
      <c r="AH784" s="15" t="str">
        <f t="shared" si="18"/>
        <v>electropolished pipes manufacturer in Hail, electropolished pipes supplier in Hail, electropolished pipes wholesaler in Hail, electropolished tube manufacturer Hail, EP pipe supplier Hail, sanitary tube supplier Hail, ASME BPE tubing Hail, ASTM A270 tube Hail, SS 316L electropolished pipe Hail</v>
      </c>
      <c r="AI784" s="15" t="str">
        <f t="shared" si="19"/>
        <v>Electropolished Pipes Manufacturer &amp; Supplier in Hail</v>
      </c>
      <c r="AJ784" s="15" t="str">
        <f t="shared" si="20"/>
        <v>EP-finished SS 304/316L pipes and tubes for food processing plants in Hail. ASME BPE SF1-SF4, Ra from 0.25 um, EN 10204 3.1 certificate with every lot.</v>
      </c>
      <c r="AK784" s="15" t="str">
        <f t="shared" si="21"/>
        <v>Electropolished stainless steel pipes supplied by Sakshi Forge to food processing plants at Hail Industrial City (MODON), Hail</v>
      </c>
      <c r="AL784" s="15" t="str">
        <f t="shared" si="22"/>
        <v>Electropolished SS 316L tube stock for Hail - Sakshi Forge</v>
      </c>
      <c r="AM784" s="15" t="str">
        <f t="shared" si="23"/>
        <v>Home &gt; Market Area &gt; Saudi Arabia &gt; Hail Province &gt; Hail</v>
      </c>
      <c r="AN784" s="15">
        <f t="shared" si="24"/>
        <v>1000</v>
      </c>
      <c r="AO784" s="15">
        <f t="shared" si="25"/>
        <v>8</v>
      </c>
      <c r="AP784" s="15">
        <f t="shared" si="26"/>
        <v>8</v>
      </c>
      <c r="AQ784" s="15">
        <f t="shared" si="27"/>
        <v>14</v>
      </c>
      <c r="AR784" s="31"/>
      <c r="AS784" s="31"/>
      <c r="AT784" s="35" t="s">
        <v>222</v>
      </c>
      <c r="AU784" s="35"/>
    </row>
    <row r="785" ht="15.75" customHeight="1">
      <c r="A785" s="15" t="s">
        <v>8991</v>
      </c>
      <c r="B785" s="15" t="s">
        <v>186</v>
      </c>
      <c r="C785" s="15" t="s">
        <v>8992</v>
      </c>
      <c r="D785" s="15" t="s">
        <v>8993</v>
      </c>
      <c r="E785" s="15" t="s">
        <v>8993</v>
      </c>
      <c r="F785" s="65" t="s">
        <v>788</v>
      </c>
      <c r="G785" s="17" t="s">
        <v>88</v>
      </c>
      <c r="H785" s="18" t="s">
        <v>8994</v>
      </c>
      <c r="I785" s="18" t="s">
        <v>8994</v>
      </c>
      <c r="J785" s="18" t="s">
        <v>8995</v>
      </c>
      <c r="K785" s="18" t="s">
        <v>94</v>
      </c>
      <c r="L785" s="18" t="s">
        <v>8973</v>
      </c>
      <c r="M785" s="18" t="s">
        <v>484</v>
      </c>
      <c r="N785" s="18" t="s">
        <v>208</v>
      </c>
      <c r="O785" s="18" t="s">
        <v>98</v>
      </c>
      <c r="P785" s="15" t="str">
        <f t="shared" si="1"/>
        <v>FOOD</v>
      </c>
      <c r="Q785" s="15">
        <f t="shared" si="2"/>
        <v>6</v>
      </c>
      <c r="R785" s="15">
        <f t="shared" si="3"/>
        <v>5</v>
      </c>
      <c r="S785" s="15">
        <f t="shared" si="4"/>
        <v>2</v>
      </c>
      <c r="T785" s="15" t="str">
        <f t="shared" si="5"/>
        <v>B-2</v>
      </c>
      <c r="U785" s="15" t="str">
        <f t="shared" si="6"/>
        <v>T6-M5-H2-FB-2-FOOD</v>
      </c>
      <c r="V785" s="15">
        <f t="shared" si="7"/>
        <v>0</v>
      </c>
      <c r="W785" s="31"/>
      <c r="X785" s="15" t="str">
        <f t="shared" si="8"/>
        <v>jizan-saudi-arabia</v>
      </c>
      <c r="Y785" s="32" t="str">
        <f t="shared" si="9"/>
        <v>https://steelmanufacturer.in/market-area/electropolished-pipes-manufacturer-in-jizan-saudi-arabia/</v>
      </c>
      <c r="Z785" s="15" t="str">
        <f t="shared" si="10"/>
        <v>Electropolished Pipes Manufacturer in Jizan</v>
      </c>
      <c r="AA785" s="15" t="str">
        <f t="shared" si="11"/>
        <v>OK (43)</v>
      </c>
      <c r="AB785" s="15" t="str">
        <f t="shared" si="12"/>
        <v>Manufacturer of electropolished SS 316L tube serving Jizan. 12-16 days sea from Nhava Sheva to Dammam. Ra 0.25-0.5 um, EN 10204 3.1 MTC.</v>
      </c>
      <c r="AC785" s="15" t="str">
        <f t="shared" si="13"/>
        <v>OK (136)</v>
      </c>
      <c r="AD785" s="15" t="str">
        <f t="shared" si="14"/>
        <v>Electropolished Pipes Manufacturer in Jizan</v>
      </c>
      <c r="AE785" s="15" t="str">
        <f t="shared" si="15"/>
        <v>How We Manufacture Electropolished Tube for Jizan Plants</v>
      </c>
      <c r="AF785" s="15" t="str">
        <f t="shared" si="16"/>
        <v>Supplying Electropolished Pipes in Jizan: Availability, Sizes &amp; Dispatch</v>
      </c>
      <c r="AG785" s="15" t="str">
        <f t="shared" si="17"/>
        <v>Wholesale Electropolished Pipe Supply for Jizan Projects</v>
      </c>
      <c r="AH785" s="15" t="str">
        <f t="shared" si="18"/>
        <v>electropolished pipes manufacturer in Jizan, electropolished pipes supplier in Jizan, electropolished pipes wholesaler in Jizan, electropolished tube manufacturer Jizan, EP pipe supplier Jizan, sanitary tube supplier Jizan, ASME BPE tubing Jizan, ASTM A270 tube Jizan, SS 316L electropolished pipe Jizan</v>
      </c>
      <c r="AI785" s="15" t="str">
        <f t="shared" si="19"/>
        <v>Electropolished Pipes Manufacturer &amp; Supplier in Jizan</v>
      </c>
      <c r="AJ785" s="15" t="str">
        <f t="shared" si="20"/>
        <v>EP-finished SS 304/316L pipes and tubes for food processing plants in Jizan. ASME BPE SF1-SF4, Ra from 0.25 um, EN 10204 3.1 certificate with every lot.</v>
      </c>
      <c r="AK785" s="15" t="str">
        <f t="shared" si="21"/>
        <v>Electropolished stainless steel pipes supplied by Sakshi Forge to food processing plants at Jizan Economic City, Jizan</v>
      </c>
      <c r="AL785" s="15" t="str">
        <f t="shared" si="22"/>
        <v>Electropolished SS 316L tube stock for Jizan - Sakshi Forge</v>
      </c>
      <c r="AM785" s="15" t="str">
        <f t="shared" si="23"/>
        <v>Home &gt; Market Area &gt; Saudi Arabia &gt; Jizan Province &gt; Jizan</v>
      </c>
      <c r="AN785" s="15">
        <f t="shared" si="24"/>
        <v>1000</v>
      </c>
      <c r="AO785" s="15">
        <f t="shared" si="25"/>
        <v>8</v>
      </c>
      <c r="AP785" s="15">
        <f t="shared" si="26"/>
        <v>8</v>
      </c>
      <c r="AQ785" s="15">
        <f t="shared" si="27"/>
        <v>14</v>
      </c>
      <c r="AR785" s="31"/>
      <c r="AS785" s="31"/>
      <c r="AT785" s="35" t="s">
        <v>222</v>
      </c>
      <c r="AU785" s="35"/>
    </row>
    <row r="786" ht="15.75" customHeight="1">
      <c r="A786" s="15" t="s">
        <v>8996</v>
      </c>
      <c r="B786" s="15" t="s">
        <v>186</v>
      </c>
      <c r="C786" s="15" t="s">
        <v>7848</v>
      </c>
      <c r="D786" s="15" t="s">
        <v>8997</v>
      </c>
      <c r="E786" s="15" t="s">
        <v>8997</v>
      </c>
      <c r="F786" s="65" t="s">
        <v>788</v>
      </c>
      <c r="G786" s="17" t="s">
        <v>88</v>
      </c>
      <c r="H786" s="18" t="s">
        <v>8998</v>
      </c>
      <c r="I786" s="18" t="s">
        <v>8998</v>
      </c>
      <c r="J786" s="18" t="s">
        <v>8999</v>
      </c>
      <c r="K786" s="18" t="s">
        <v>94</v>
      </c>
      <c r="L786" s="18" t="s">
        <v>7854</v>
      </c>
      <c r="M786" s="18" t="s">
        <v>484</v>
      </c>
      <c r="N786" s="18" t="s">
        <v>208</v>
      </c>
      <c r="O786" s="18" t="s">
        <v>98</v>
      </c>
      <c r="P786" s="15" t="str">
        <f t="shared" si="1"/>
        <v>FOOD</v>
      </c>
      <c r="Q786" s="15">
        <f t="shared" si="2"/>
        <v>7</v>
      </c>
      <c r="R786" s="15">
        <f t="shared" si="3"/>
        <v>6</v>
      </c>
      <c r="S786" s="15">
        <f t="shared" si="4"/>
        <v>3</v>
      </c>
      <c r="T786" s="15" t="str">
        <f t="shared" si="5"/>
        <v>B-3</v>
      </c>
      <c r="U786" s="15" t="str">
        <f t="shared" si="6"/>
        <v>T7-M6-H3-FB-3-FOOD</v>
      </c>
      <c r="V786" s="15">
        <f t="shared" si="7"/>
        <v>0</v>
      </c>
      <c r="W786" s="31"/>
      <c r="X786" s="15" t="str">
        <f t="shared" si="8"/>
        <v>khobar-saudi-arabia</v>
      </c>
      <c r="Y786" s="32" t="str">
        <f t="shared" si="9"/>
        <v>https://steelmanufacturer.in/market-area/electropolished-pipes-manufacturer-in-khobar-saudi-arabia/</v>
      </c>
      <c r="Z786" s="15" t="str">
        <f t="shared" si="10"/>
        <v>Electropolished Pipes Manufacturer in Khobar | ASME BPE SF1-SF4</v>
      </c>
      <c r="AA786" s="15" t="str">
        <f t="shared" si="11"/>
        <v>OK (63)</v>
      </c>
      <c r="AB786" s="15" t="str">
        <f t="shared" si="12"/>
        <v>EP tube and pipe for food processing plants around Khobar Industrial Belt, Khobar. Made at our Mumbai works to ASTM A270 and ASME BPE SF1-SF4, with 3.1 MTC.</v>
      </c>
      <c r="AC786" s="15" t="str">
        <f t="shared" si="13"/>
        <v>OK (156)</v>
      </c>
      <c r="AD786" s="15" t="str">
        <f t="shared" si="14"/>
        <v>Electropolished Pipes Manufacturer in Khobar</v>
      </c>
      <c r="AE786" s="15" t="str">
        <f t="shared" si="15"/>
        <v>Electropolished Pipes Manufacturer in Khobar - Our Process &amp; Capability</v>
      </c>
      <c r="AF786" s="15" t="str">
        <f t="shared" si="16"/>
        <v>Electropolished Pipes Supplier in Khobar - What We Hold in Stock</v>
      </c>
      <c r="AG786" s="15" t="str">
        <f t="shared" si="17"/>
        <v>Bulk &amp; Wholesale Electropolished Pipe Rates for Khobar Buyers</v>
      </c>
      <c r="AH786" s="15" t="str">
        <f t="shared" si="18"/>
        <v>electropolished pipes manufacturer in Khobar, electropolished pipes supplier in Khobar, electropolished pipes wholesaler in Khobar, electropolished tube manufacturer Khobar, EP pipe supplier Khobar, sanitary tube supplier Khobar, ASME BPE tubing Khobar, ASTM A270 tube Khobar, SS 316L electropolished pipe Khobar</v>
      </c>
      <c r="AI786" s="15" t="str">
        <f t="shared" si="19"/>
        <v>Electropolished Pipes Manufacturer &amp; Supplier in Khobar</v>
      </c>
      <c r="AJ786" s="15" t="str">
        <f t="shared" si="20"/>
        <v>EP-finished SS 304/316L pipes and tubes for food processing plants in Khobar. ASME BPE SF1-SF4, Ra from 0.25 um, EN 10204 3.1 certificate with every lot.</v>
      </c>
      <c r="AK786" s="15" t="str">
        <f t="shared" si="21"/>
        <v>Electropolished stainless steel pipes supplied by Sakshi Forge to food processing plants at Khobar Industrial Belt, Khobar</v>
      </c>
      <c r="AL786" s="15" t="str">
        <f t="shared" si="22"/>
        <v>Electropolished SS 316L tube stock for Khobar - Sakshi Forge</v>
      </c>
      <c r="AM786" s="15" t="str">
        <f t="shared" si="23"/>
        <v>Home &gt; Market Area &gt; Saudi Arabia &gt; Eastern Province &gt; Khobar</v>
      </c>
      <c r="AN786" s="15">
        <f t="shared" si="24"/>
        <v>1000</v>
      </c>
      <c r="AO786" s="15">
        <f t="shared" si="25"/>
        <v>8</v>
      </c>
      <c r="AP786" s="15">
        <f t="shared" si="26"/>
        <v>8</v>
      </c>
      <c r="AQ786" s="15">
        <f t="shared" si="27"/>
        <v>14</v>
      </c>
      <c r="AR786" s="31"/>
      <c r="AS786" s="31"/>
      <c r="AT786" s="35" t="s">
        <v>222</v>
      </c>
      <c r="AU786" s="35"/>
    </row>
    <row r="787" ht="15.75" customHeight="1">
      <c r="A787" s="15" t="s">
        <v>9000</v>
      </c>
      <c r="B787" s="15" t="s">
        <v>186</v>
      </c>
      <c r="C787" s="15" t="s">
        <v>8017</v>
      </c>
      <c r="D787" s="15" t="s">
        <v>9001</v>
      </c>
      <c r="E787" s="15" t="s">
        <v>9001</v>
      </c>
      <c r="F787" s="65" t="s">
        <v>788</v>
      </c>
      <c r="G787" s="17" t="s">
        <v>88</v>
      </c>
      <c r="H787" s="18" t="s">
        <v>9002</v>
      </c>
      <c r="I787" s="18" t="s">
        <v>9002</v>
      </c>
      <c r="J787" s="18" t="s">
        <v>9003</v>
      </c>
      <c r="K787" s="18" t="s">
        <v>94</v>
      </c>
      <c r="L787" s="18" t="s">
        <v>8022</v>
      </c>
      <c r="M787" s="18" t="s">
        <v>484</v>
      </c>
      <c r="N787" s="18" t="s">
        <v>208</v>
      </c>
      <c r="O787" s="18" t="s">
        <v>98</v>
      </c>
      <c r="P787" s="15" t="str">
        <f t="shared" si="1"/>
        <v>FOOD</v>
      </c>
      <c r="Q787" s="15">
        <f t="shared" si="2"/>
        <v>8</v>
      </c>
      <c r="R787" s="15">
        <f t="shared" si="3"/>
        <v>7</v>
      </c>
      <c r="S787" s="15">
        <f t="shared" si="4"/>
        <v>4</v>
      </c>
      <c r="T787" s="15" t="str">
        <f t="shared" si="5"/>
        <v>B-4</v>
      </c>
      <c r="U787" s="15" t="str">
        <f t="shared" si="6"/>
        <v>T8-M7-H4-FB-4-FOOD</v>
      </c>
      <c r="V787" s="15">
        <f t="shared" si="7"/>
        <v>0</v>
      </c>
      <c r="W787" s="31"/>
      <c r="X787" s="15" t="str">
        <f t="shared" si="8"/>
        <v>madinah-saudi-arabia</v>
      </c>
      <c r="Y787" s="32" t="str">
        <f t="shared" si="9"/>
        <v>https://steelmanufacturer.in/market-area/electropolished-pipes-manufacturer-in-madinah-saudi-arabia/</v>
      </c>
      <c r="Z787" s="15" t="str">
        <f t="shared" si="10"/>
        <v>Electropolished Pipes Manufacturer in Madinah - EP Tube Stockist</v>
      </c>
      <c r="AA787" s="15" t="str">
        <f t="shared" si="11"/>
        <v>OK (64)</v>
      </c>
      <c r="AB787" s="15" t="str">
        <f t="shared" si="12"/>
        <v>Electropolished pipes in Madinah: 304, 304L, 316 and 316L in SF1-SF4. 12-16 days sea from Nhava Sheva to Dammam. Mill certified.</v>
      </c>
      <c r="AC787" s="15" t="str">
        <f t="shared" si="13"/>
        <v>OK (128)</v>
      </c>
      <c r="AD787" s="15" t="str">
        <f t="shared" si="14"/>
        <v>Electropolished Pipes Manufacturer in Madinah</v>
      </c>
      <c r="AE787" s="15" t="str">
        <f t="shared" si="15"/>
        <v>Manufacturing Electropolished SS Tube for Madinah: The Standards We Build To</v>
      </c>
      <c r="AF787" s="15" t="str">
        <f t="shared" si="16"/>
        <v>Electropolished Pipe Supply Into Madinah - Certification &amp; Transit</v>
      </c>
      <c r="AG787" s="15" t="str">
        <f t="shared" si="17"/>
        <v>Electropolished Pipes Wholesaler in Madinah - Project Quantities &amp; Terms</v>
      </c>
      <c r="AH787" s="15" t="str">
        <f t="shared" si="18"/>
        <v>electropolished pipes manufacturer in Madinah, electropolished pipes supplier in Madinah, electropolished pipes wholesaler in Madinah, electropolished tube manufacturer Madinah, EP pipe supplier Madinah, sanitary tube supplier Madinah, ASME BPE tubing Madinah, ASTM A270 tube Madinah, SS 316L electropolished pipe Madinah</v>
      </c>
      <c r="AI787" s="15" t="str">
        <f t="shared" si="19"/>
        <v>Electropolished Pipes Manufacturer &amp; Supplier in Madinah</v>
      </c>
      <c r="AJ787" s="15" t="str">
        <f t="shared" si="20"/>
        <v>EP-finished SS 304/316L pipes and tubes for food processing plants in Madinah. ASME BPE SF1-SF4, Ra from 0.25 um, EN 10204 3.1 certificate with every lot.</v>
      </c>
      <c r="AK787" s="15" t="str">
        <f t="shared" si="21"/>
        <v>Electropolished stainless steel pipes supplied by Sakshi Forge to food processing plants at Madinah Industrial City (MODON), Madinah</v>
      </c>
      <c r="AL787" s="15" t="str">
        <f t="shared" si="22"/>
        <v>Electropolished SS 316L tube stock for Madinah - Sakshi Forge</v>
      </c>
      <c r="AM787" s="15" t="str">
        <f t="shared" si="23"/>
        <v>Home &gt; Market Area &gt; Saudi Arabia &gt; Madinah Province &gt; Madinah</v>
      </c>
      <c r="AN787" s="15">
        <f t="shared" si="24"/>
        <v>1000</v>
      </c>
      <c r="AO787" s="15">
        <f t="shared" si="25"/>
        <v>8</v>
      </c>
      <c r="AP787" s="15">
        <f t="shared" si="26"/>
        <v>8</v>
      </c>
      <c r="AQ787" s="15">
        <f t="shared" si="27"/>
        <v>14</v>
      </c>
      <c r="AR787" s="31"/>
      <c r="AS787" s="31"/>
      <c r="AT787" s="35" t="s">
        <v>222</v>
      </c>
      <c r="AU787" s="35"/>
    </row>
    <row r="788" ht="15.75" customHeight="1">
      <c r="A788" s="15" t="s">
        <v>9004</v>
      </c>
      <c r="B788" s="15" t="s">
        <v>186</v>
      </c>
      <c r="C788" s="15" t="s">
        <v>7871</v>
      </c>
      <c r="D788" s="15" t="s">
        <v>9005</v>
      </c>
      <c r="E788" s="15" t="s">
        <v>9005</v>
      </c>
      <c r="F788" s="65" t="s">
        <v>788</v>
      </c>
      <c r="G788" s="17" t="s">
        <v>88</v>
      </c>
      <c r="H788" s="18" t="s">
        <v>9006</v>
      </c>
      <c r="I788" s="18" t="s">
        <v>9006</v>
      </c>
      <c r="J788" s="18" t="s">
        <v>9007</v>
      </c>
      <c r="K788" s="18" t="s">
        <v>94</v>
      </c>
      <c r="L788" s="18" t="s">
        <v>7875</v>
      </c>
      <c r="M788" s="18" t="s">
        <v>484</v>
      </c>
      <c r="N788" s="18" t="s">
        <v>208</v>
      </c>
      <c r="O788" s="18" t="s">
        <v>98</v>
      </c>
      <c r="P788" s="15" t="str">
        <f t="shared" si="1"/>
        <v>FOOD</v>
      </c>
      <c r="Q788" s="15">
        <f t="shared" si="2"/>
        <v>1</v>
      </c>
      <c r="R788" s="15">
        <f t="shared" si="3"/>
        <v>1</v>
      </c>
      <c r="S788" s="15">
        <f t="shared" si="4"/>
        <v>5</v>
      </c>
      <c r="T788" s="15" t="str">
        <f t="shared" si="5"/>
        <v>B-5</v>
      </c>
      <c r="U788" s="15" t="str">
        <f t="shared" si="6"/>
        <v>T1-M1-H5-FB-5-FOOD</v>
      </c>
      <c r="V788" s="15">
        <f t="shared" si="7"/>
        <v>0</v>
      </c>
      <c r="W788" s="31"/>
      <c r="X788" s="15" t="str">
        <f t="shared" si="8"/>
        <v>makkah-saudi-arabia</v>
      </c>
      <c r="Y788" s="32" t="str">
        <f t="shared" si="9"/>
        <v>https://steelmanufacturer.in/market-area/electropolished-pipes-manufacturer-in-makkah-saudi-arabia/</v>
      </c>
      <c r="Z788" s="15" t="str">
        <f t="shared" si="10"/>
        <v>Electropolished Pipes Manufacturer in Makkah | Sakshi Forge</v>
      </c>
      <c r="AA788" s="15" t="str">
        <f t="shared" si="11"/>
        <v>OK (59)</v>
      </c>
      <c r="AB788" s="15" t="str">
        <f t="shared" si="12"/>
        <v>EP-finished SS 304/316L pipes &amp; tubes for food processing plants in Makkah. ASTM A270, ASME BPE SF1-SF4, EN 10204 3.1 MTC. PMI tested.</v>
      </c>
      <c r="AC788" s="15" t="str">
        <f t="shared" si="13"/>
        <v>OK (134)</v>
      </c>
      <c r="AD788" s="15" t="str">
        <f t="shared" si="14"/>
        <v>Electropolished Pipes Manufacturer in Makkah</v>
      </c>
      <c r="AE788" s="15" t="str">
        <f t="shared" si="15"/>
        <v>Electropolished Tube Manufacturing Capability Serving Makkah</v>
      </c>
      <c r="AF788" s="15" t="str">
        <f t="shared" si="16"/>
        <v>Electropolished Pipes Supplier in Makkah - From Order to Delivery</v>
      </c>
      <c r="AG788" s="15" t="str">
        <f t="shared" si="17"/>
        <v>Stockist &amp; Wholesale Supply of Electropolished Pipes in Makkah</v>
      </c>
      <c r="AH788" s="15" t="str">
        <f t="shared" si="18"/>
        <v>electropolished pipes manufacturer in Makkah, electropolished pipes supplier in Makkah, electropolished pipes wholesaler in Makkah, electropolished tube manufacturer Makkah, EP pipe supplier Makkah, sanitary tube supplier Makkah, ASME BPE tubing Makkah, ASTM A270 tube Makkah, SS 316L electropolished pipe Makkah</v>
      </c>
      <c r="AI788" s="15" t="str">
        <f t="shared" si="19"/>
        <v>Electropolished Pipes Manufacturer &amp; Supplier in Makkah</v>
      </c>
      <c r="AJ788" s="15" t="str">
        <f t="shared" si="20"/>
        <v>EP-finished SS 304/316L pipes and tubes for food processing plants in Makkah. ASME BPE SF1-SF4, Ra from 0.25 um, EN 10204 3.1 certificate with every lot.</v>
      </c>
      <c r="AK788" s="15" t="str">
        <f t="shared" si="21"/>
        <v>Electropolished stainless steel pipes supplied by Sakshi Forge to food processing plants at Makkah Industrial Estate, Makkah</v>
      </c>
      <c r="AL788" s="15" t="str">
        <f t="shared" si="22"/>
        <v>Electropolished SS 316L tube stock for Makkah - Sakshi Forge</v>
      </c>
      <c r="AM788" s="15" t="str">
        <f t="shared" si="23"/>
        <v>Home &gt; Market Area &gt; Saudi Arabia &gt; Makkah Province &gt; Makkah</v>
      </c>
      <c r="AN788" s="15">
        <f t="shared" si="24"/>
        <v>1000</v>
      </c>
      <c r="AO788" s="15">
        <f t="shared" si="25"/>
        <v>8</v>
      </c>
      <c r="AP788" s="15">
        <f t="shared" si="26"/>
        <v>8</v>
      </c>
      <c r="AQ788" s="15">
        <f t="shared" si="27"/>
        <v>14</v>
      </c>
      <c r="AR788" s="31"/>
      <c r="AS788" s="31"/>
      <c r="AT788" s="35" t="s">
        <v>222</v>
      </c>
      <c r="AU788" s="35"/>
    </row>
    <row r="789" ht="15.75" customHeight="1">
      <c r="A789" s="15" t="s">
        <v>9008</v>
      </c>
      <c r="B789" s="15" t="s">
        <v>186</v>
      </c>
      <c r="C789" s="15" t="s">
        <v>9009</v>
      </c>
      <c r="D789" s="15" t="s">
        <v>9010</v>
      </c>
      <c r="E789" s="15" t="s">
        <v>9010</v>
      </c>
      <c r="F789" s="65" t="s">
        <v>788</v>
      </c>
      <c r="G789" s="17" t="s">
        <v>88</v>
      </c>
      <c r="H789" s="18" t="s">
        <v>9011</v>
      </c>
      <c r="I789" s="18" t="s">
        <v>9011</v>
      </c>
      <c r="J789" s="18" t="s">
        <v>9012</v>
      </c>
      <c r="K789" s="18" t="s">
        <v>94</v>
      </c>
      <c r="L789" s="18" t="s">
        <v>8973</v>
      </c>
      <c r="M789" s="18" t="s">
        <v>484</v>
      </c>
      <c r="N789" s="18" t="s">
        <v>208</v>
      </c>
      <c r="O789" s="18" t="s">
        <v>98</v>
      </c>
      <c r="P789" s="15" t="str">
        <f t="shared" si="1"/>
        <v>FOOD</v>
      </c>
      <c r="Q789" s="15">
        <f t="shared" si="2"/>
        <v>2</v>
      </c>
      <c r="R789" s="15">
        <f t="shared" si="3"/>
        <v>2</v>
      </c>
      <c r="S789" s="15">
        <f t="shared" si="4"/>
        <v>1</v>
      </c>
      <c r="T789" s="15" t="str">
        <f t="shared" si="5"/>
        <v>B-6</v>
      </c>
      <c r="U789" s="15" t="str">
        <f t="shared" si="6"/>
        <v>T2-M2-H1-FB-6-FOOD</v>
      </c>
      <c r="V789" s="15">
        <f t="shared" si="7"/>
        <v>0</v>
      </c>
      <c r="W789" s="31"/>
      <c r="X789" s="15" t="str">
        <f t="shared" si="8"/>
        <v>najran-saudi-arabia</v>
      </c>
      <c r="Y789" s="32" t="str">
        <f t="shared" si="9"/>
        <v>https://steelmanufacturer.in/market-area/electropolished-pipes-manufacturer-in-najran-saudi-arabia/</v>
      </c>
      <c r="Z789" s="15" t="str">
        <f t="shared" si="10"/>
        <v>Electropolished Pipes Manufacturer in Najran</v>
      </c>
      <c r="AA789" s="15" t="str">
        <f t="shared" si="11"/>
        <v>OK (44)</v>
      </c>
      <c r="AB789" s="15" t="str">
        <f t="shared" si="12"/>
        <v>Electropolished tube supply to Najran Industrial City, Najran. Ra from 0.25 um, SF4 finish, mill test certificate with every lot.</v>
      </c>
      <c r="AC789" s="15" t="str">
        <f t="shared" si="13"/>
        <v>OK (129)</v>
      </c>
      <c r="AD789" s="15" t="str">
        <f t="shared" si="14"/>
        <v>Electropolished Pipes Manufacturer in Najran</v>
      </c>
      <c r="AE789" s="15" t="str">
        <f t="shared" si="15"/>
        <v>Electropolished Pipe &amp; Tube Manufacturing for Najran - Grades, Finishes &amp; Certification</v>
      </c>
      <c r="AF789" s="15" t="str">
        <f t="shared" si="16"/>
        <v>Electropolished Pipes Supplier in Najran - Stock Sizes, Lead Time &amp; Delivery</v>
      </c>
      <c r="AG789" s="15" t="str">
        <f t="shared" si="17"/>
        <v>Electropolished Pipes Wholesaler &amp; Stockist in Najran - Bulk &amp; Project Pricing</v>
      </c>
      <c r="AH789" s="15" t="str">
        <f t="shared" si="18"/>
        <v>electropolished pipes manufacturer in Najran, electropolished pipes supplier in Najran, electropolished pipes wholesaler in Najran, electropolished tube manufacturer Najran, EP pipe supplier Najran, sanitary tube supplier Najran, ASME BPE tubing Najran, ASTM A270 tube Najran, SS 316L electropolished pipe Najran</v>
      </c>
      <c r="AI789" s="15" t="str">
        <f t="shared" si="19"/>
        <v>Electropolished Pipes Manufacturer &amp; Supplier in Najran</v>
      </c>
      <c r="AJ789" s="15" t="str">
        <f t="shared" si="20"/>
        <v>EP-finished SS 304/316L pipes and tubes for food processing plants in Najran. ASME BPE SF1-SF4, Ra from 0.25 um, EN 10204 3.1 certificate with every lot.</v>
      </c>
      <c r="AK789" s="15" t="str">
        <f t="shared" si="21"/>
        <v>Electropolished stainless steel pipes supplied by Sakshi Forge to food processing plants at Najran Industrial City, Najran</v>
      </c>
      <c r="AL789" s="15" t="str">
        <f t="shared" si="22"/>
        <v>Electropolished SS 316L tube stock for Najran - Sakshi Forge</v>
      </c>
      <c r="AM789" s="15" t="str">
        <f t="shared" si="23"/>
        <v>Home &gt; Market Area &gt; Saudi Arabia &gt; Najran Province &gt; Najran</v>
      </c>
      <c r="AN789" s="15">
        <f t="shared" si="24"/>
        <v>1000</v>
      </c>
      <c r="AO789" s="15">
        <f t="shared" si="25"/>
        <v>8</v>
      </c>
      <c r="AP789" s="15">
        <f t="shared" si="26"/>
        <v>8</v>
      </c>
      <c r="AQ789" s="15">
        <f t="shared" si="27"/>
        <v>14</v>
      </c>
      <c r="AR789" s="31"/>
      <c r="AS789" s="31"/>
      <c r="AT789" s="35" t="s">
        <v>222</v>
      </c>
      <c r="AU789" s="35"/>
    </row>
    <row r="790" ht="15.75" customHeight="1">
      <c r="A790" s="15" t="s">
        <v>9013</v>
      </c>
      <c r="B790" s="15" t="s">
        <v>186</v>
      </c>
      <c r="C790" s="15" t="s">
        <v>9014</v>
      </c>
      <c r="D790" s="15" t="s">
        <v>9015</v>
      </c>
      <c r="E790" s="15" t="s">
        <v>9015</v>
      </c>
      <c r="F790" s="65" t="s">
        <v>788</v>
      </c>
      <c r="G790" s="17" t="s">
        <v>88</v>
      </c>
      <c r="H790" s="18" t="s">
        <v>9016</v>
      </c>
      <c r="I790" s="18" t="s">
        <v>9016</v>
      </c>
      <c r="J790" s="18" t="s">
        <v>9017</v>
      </c>
      <c r="K790" s="18" t="s">
        <v>579</v>
      </c>
      <c r="L790" s="18" t="s">
        <v>7875</v>
      </c>
      <c r="M790" s="18" t="s">
        <v>484</v>
      </c>
      <c r="N790" s="18" t="s">
        <v>208</v>
      </c>
      <c r="O790" s="18" t="s">
        <v>98</v>
      </c>
      <c r="P790" s="15" t="str">
        <f t="shared" si="1"/>
        <v>DAIRY</v>
      </c>
      <c r="Q790" s="15">
        <f t="shared" si="2"/>
        <v>3</v>
      </c>
      <c r="R790" s="15">
        <f t="shared" si="3"/>
        <v>3</v>
      </c>
      <c r="S790" s="15">
        <f t="shared" si="4"/>
        <v>2</v>
      </c>
      <c r="T790" s="15" t="str">
        <f t="shared" si="5"/>
        <v>B-1</v>
      </c>
      <c r="U790" s="15" t="str">
        <f t="shared" si="6"/>
        <v>T3-M3-H2-FB-1-DAIRY</v>
      </c>
      <c r="V790" s="15">
        <f t="shared" si="7"/>
        <v>0</v>
      </c>
      <c r="W790" s="31"/>
      <c r="X790" s="15" t="str">
        <f t="shared" si="8"/>
        <v>qassim-buraidah-saudi-arabia</v>
      </c>
      <c r="Y790" s="32" t="str">
        <f t="shared" si="9"/>
        <v>https://steelmanufacturer.in/market-area/electropolished-pipes-manufacturer-in-qassim-buraidah-saudi-arabia/</v>
      </c>
      <c r="Z790" s="15" t="str">
        <f t="shared" si="10"/>
        <v>Electropolished Pipes Manufacturer in Qassim-Buraidah</v>
      </c>
      <c r="AA790" s="15" t="str">
        <f t="shared" si="11"/>
        <v>OK (53)</v>
      </c>
      <c r="AB790" s="15" t="str">
        <f t="shared" si="12"/>
        <v>EP stainless tube for food &amp; dairy lines in Qassim-Buraidah. 12-16 days sea from Nhava Sheva to Dammam. ASTM A270 S2, PMI tested, EN 10204 3.1.</v>
      </c>
      <c r="AC790" s="15" t="str">
        <f t="shared" si="13"/>
        <v>OK (143)</v>
      </c>
      <c r="AD790" s="15" t="str">
        <f t="shared" si="14"/>
        <v>Electropolished Pipes Manufacturer in Qassim-Buraidah</v>
      </c>
      <c r="AE790" s="15" t="str">
        <f t="shared" si="15"/>
        <v>How We Manufacture Electropolished Tube for Qassim-Buraidah Plants</v>
      </c>
      <c r="AF790" s="15" t="str">
        <f t="shared" si="16"/>
        <v>Supplying Electropolished Pipes in Qassim-Buraidah: Availability, Sizes &amp; Dispatch</v>
      </c>
      <c r="AG790" s="15" t="str">
        <f t="shared" si="17"/>
        <v>Wholesale Electropolished Pipe Supply for Qassim-Buraidah Projects</v>
      </c>
      <c r="AH790" s="15" t="str">
        <f t="shared" si="18"/>
        <v>electropolished pipes manufacturer in Qassim-Buraidah, electropolished pipes supplier in Qassim-Buraidah, electropolished pipes wholesaler in Qassim-Buraidah, electropolished tube manufacturer Qassim-Buraidah, EP pipe supplier Qassim-Buraidah, sanitary tube supplier Qassim-Buraidah, ASME BPE tubing Qassim-Buraidah, ASTM A270 tube Qassim-Buraidah, SS 316L electropolished pipe Qassim-Buraidah</v>
      </c>
      <c r="AI790" s="15" t="str">
        <f t="shared" si="19"/>
        <v>Electropolished Pipes Manufacturer &amp; Supplier in Qassim-Buraidah</v>
      </c>
      <c r="AJ790" s="15" t="str">
        <f t="shared" si="20"/>
        <v>EP-finished SS 304/316L pipes and tubes for food &amp; dairy plants in Qassim-Buraidah. ASME BPE SF1-SF4, Ra from 0.25 um, EN 10204 3.1 certificate with every lot.</v>
      </c>
      <c r="AK790" s="15" t="str">
        <f t="shared" si="21"/>
        <v>Electropolished stainless steel pipes supplied by Sakshi Forge to food &amp; dairy plants at Qassim Industrial City (MODON), Qassim-Buraidah</v>
      </c>
      <c r="AL790" s="15" t="str">
        <f t="shared" si="22"/>
        <v>Electropolished SS 316L tube stock for Qassim-Buraidah - Sakshi Forge</v>
      </c>
      <c r="AM790" s="15" t="str">
        <f t="shared" si="23"/>
        <v>Home &gt; Market Area &gt; Saudi Arabia &gt; Qassim Province &gt; Qassim-Buraidah</v>
      </c>
      <c r="AN790" s="15">
        <f t="shared" si="24"/>
        <v>1000</v>
      </c>
      <c r="AO790" s="15">
        <f t="shared" si="25"/>
        <v>8</v>
      </c>
      <c r="AP790" s="15">
        <f t="shared" si="26"/>
        <v>8</v>
      </c>
      <c r="AQ790" s="15">
        <f t="shared" si="27"/>
        <v>14</v>
      </c>
      <c r="AR790" s="31"/>
      <c r="AS790" s="31"/>
      <c r="AT790" s="35" t="s">
        <v>222</v>
      </c>
      <c r="AU790" s="35"/>
    </row>
    <row r="791" ht="15.75" customHeight="1">
      <c r="A791" s="15" t="s">
        <v>9018</v>
      </c>
      <c r="B791" s="15" t="s">
        <v>186</v>
      </c>
      <c r="C791" s="15" t="s">
        <v>9019</v>
      </c>
      <c r="D791" s="15" t="s">
        <v>9020</v>
      </c>
      <c r="E791" s="15" t="s">
        <v>9020</v>
      </c>
      <c r="F791" s="65" t="s">
        <v>788</v>
      </c>
      <c r="G791" s="17" t="s">
        <v>88</v>
      </c>
      <c r="H791" s="18" t="s">
        <v>9021</v>
      </c>
      <c r="I791" s="18" t="s">
        <v>9021</v>
      </c>
      <c r="J791" s="18" t="s">
        <v>9022</v>
      </c>
      <c r="K791" s="18" t="s">
        <v>579</v>
      </c>
      <c r="L791" s="18" t="s">
        <v>9023</v>
      </c>
      <c r="M791" s="18" t="s">
        <v>484</v>
      </c>
      <c r="N791" s="18" t="s">
        <v>208</v>
      </c>
      <c r="O791" s="18" t="s">
        <v>98</v>
      </c>
      <c r="P791" s="15" t="str">
        <f t="shared" si="1"/>
        <v>DAIRY</v>
      </c>
      <c r="Q791" s="15">
        <f t="shared" si="2"/>
        <v>4</v>
      </c>
      <c r="R791" s="15">
        <f t="shared" si="3"/>
        <v>4</v>
      </c>
      <c r="S791" s="15">
        <f t="shared" si="4"/>
        <v>3</v>
      </c>
      <c r="T791" s="15" t="str">
        <f t="shared" si="5"/>
        <v>B-2</v>
      </c>
      <c r="U791" s="15" t="str">
        <f t="shared" si="6"/>
        <v>T4-M4-H3-FB-2-DAIRY</v>
      </c>
      <c r="V791" s="15">
        <f t="shared" si="7"/>
        <v>0</v>
      </c>
      <c r="W791" s="31"/>
      <c r="X791" s="15" t="str">
        <f t="shared" si="8"/>
        <v>tabuk-saudi-arabia</v>
      </c>
      <c r="Y791" s="32" t="str">
        <f t="shared" si="9"/>
        <v>https://steelmanufacturer.in/market-area/electropolished-pipes-manufacturer-in-tabuk-saudi-arabia/</v>
      </c>
      <c r="Z791" s="15" t="str">
        <f t="shared" si="10"/>
        <v>Electropolished Pipes Manufacturer in Tabuk - SS 304/316L EP Tube</v>
      </c>
      <c r="AA791" s="15" t="str">
        <f t="shared" si="11"/>
        <v>OK (65)</v>
      </c>
      <c r="AB791" s="15" t="str">
        <f t="shared" si="12"/>
        <v>Sanitary electropolished pipes in Tabuk for food &amp; dairy plants. ASME BPE SF1-SF4, orbital-weld ready, 3.1 MTC. Mumbai-made.</v>
      </c>
      <c r="AC791" s="15" t="str">
        <f t="shared" si="13"/>
        <v>OK (124)</v>
      </c>
      <c r="AD791" s="15" t="str">
        <f t="shared" si="14"/>
        <v>Electropolished Pipes Manufacturer in Tabuk</v>
      </c>
      <c r="AE791" s="15" t="str">
        <f t="shared" si="15"/>
        <v>Electropolished Pipes Manufacturer in Tabuk - Our Process &amp; Capability</v>
      </c>
      <c r="AF791" s="15" t="str">
        <f t="shared" si="16"/>
        <v>Electropolished Pipes Supplier in Tabuk - What We Hold in Stock</v>
      </c>
      <c r="AG791" s="15" t="str">
        <f t="shared" si="17"/>
        <v>Bulk &amp; Wholesale Electropolished Pipe Rates for Tabuk Buyers</v>
      </c>
      <c r="AH791" s="15" t="str">
        <f t="shared" si="18"/>
        <v>electropolished pipes manufacturer in Tabuk, electropolished pipes supplier in Tabuk, electropolished pipes wholesaler in Tabuk, electropolished tube manufacturer Tabuk, EP pipe supplier Tabuk, sanitary tube supplier Tabuk, ASME BPE tubing Tabuk, ASTM A270 tube Tabuk, SS 316L electropolished pipe Tabuk</v>
      </c>
      <c r="AI791" s="15" t="str">
        <f t="shared" si="19"/>
        <v>Electropolished Pipes Manufacturer &amp; Supplier in Tabuk</v>
      </c>
      <c r="AJ791" s="15" t="str">
        <f t="shared" si="20"/>
        <v>EP-finished SS 304/316L pipes and tubes for food &amp; dairy plants in Tabuk. ASME BPE SF1-SF4, Ra from 0.25 um, EN 10204 3.1 certificate with every lot.</v>
      </c>
      <c r="AK791" s="15" t="str">
        <f t="shared" si="21"/>
        <v>Electropolished stainless steel pipes supplied by Sakshi Forge to food &amp; dairy plants at Tabuk Industrial City (MODON), Tabuk</v>
      </c>
      <c r="AL791" s="15" t="str">
        <f t="shared" si="22"/>
        <v>Electropolished SS 316L tube stock for Tabuk - Sakshi Forge</v>
      </c>
      <c r="AM791" s="15" t="str">
        <f t="shared" si="23"/>
        <v>Home &gt; Market Area &gt; Saudi Arabia &gt; Tabuk Province &gt; Tabuk</v>
      </c>
      <c r="AN791" s="15">
        <f t="shared" si="24"/>
        <v>1000</v>
      </c>
      <c r="AO791" s="15">
        <f t="shared" si="25"/>
        <v>8</v>
      </c>
      <c r="AP791" s="15">
        <f t="shared" si="26"/>
        <v>8</v>
      </c>
      <c r="AQ791" s="15">
        <f t="shared" si="27"/>
        <v>14</v>
      </c>
      <c r="AR791" s="31"/>
      <c r="AS791" s="31"/>
      <c r="AT791" s="35" t="s">
        <v>222</v>
      </c>
      <c r="AU791" s="35"/>
    </row>
    <row r="792" ht="15.75" customHeight="1">
      <c r="A792" s="15" t="s">
        <v>9024</v>
      </c>
      <c r="B792" s="15" t="s">
        <v>422</v>
      </c>
      <c r="C792" s="15" t="s">
        <v>9025</v>
      </c>
      <c r="D792" s="15" t="s">
        <v>9026</v>
      </c>
      <c r="E792" s="15" t="s">
        <v>9026</v>
      </c>
      <c r="F792" s="65" t="s">
        <v>788</v>
      </c>
      <c r="G792" s="17" t="s">
        <v>88</v>
      </c>
      <c r="H792" s="18" t="s">
        <v>9027</v>
      </c>
      <c r="I792" s="18" t="s">
        <v>9027</v>
      </c>
      <c r="J792" s="18" t="s">
        <v>9028</v>
      </c>
      <c r="K792" s="18" t="s">
        <v>4868</v>
      </c>
      <c r="L792" s="18" t="s">
        <v>8047</v>
      </c>
      <c r="M792" s="18" t="s">
        <v>614</v>
      </c>
      <c r="N792" s="18" t="s">
        <v>429</v>
      </c>
      <c r="O792" s="18" t="s">
        <v>98</v>
      </c>
      <c r="P792" s="15" t="str">
        <f t="shared" si="1"/>
        <v>SEMI</v>
      </c>
      <c r="Q792" s="15">
        <f t="shared" si="2"/>
        <v>5</v>
      </c>
      <c r="R792" s="15">
        <f t="shared" si="3"/>
        <v>5</v>
      </c>
      <c r="S792" s="15">
        <f t="shared" si="4"/>
        <v>4</v>
      </c>
      <c r="T792" s="15" t="str">
        <f t="shared" si="5"/>
        <v>B-3</v>
      </c>
      <c r="U792" s="15" t="str">
        <f t="shared" si="6"/>
        <v>T5-M5-H4-FB-3-SEMI</v>
      </c>
      <c r="V792" s="15">
        <f t="shared" si="7"/>
        <v>0</v>
      </c>
      <c r="W792" s="31"/>
      <c r="X792" s="15" t="str">
        <f t="shared" si="8"/>
        <v>ang-mo-kio-singapore</v>
      </c>
      <c r="Y792" s="32" t="str">
        <f t="shared" si="9"/>
        <v>https://steelmanufacturer.in/market-area/electropolished-pipes-manufacturer-in-ang-mo-kio-singapore/</v>
      </c>
      <c r="Z792" s="15" t="str">
        <f t="shared" si="10"/>
        <v>Electropolished Pipes Manufacturer in Ang Mo Kio</v>
      </c>
      <c r="AA792" s="15" t="str">
        <f t="shared" si="11"/>
        <v>OK (48)</v>
      </c>
      <c r="AB792" s="15" t="str">
        <f t="shared" si="12"/>
        <v>Manufacturer of electropolished SS 316L tube serving Ang Mo Kio. 6-9 days sea from Nhava Sheva to Singapore. Ra 0.25-0.5 um, EN 10204 3.1 MTC.</v>
      </c>
      <c r="AC792" s="15" t="str">
        <f t="shared" si="13"/>
        <v>OK (142)</v>
      </c>
      <c r="AD792" s="15" t="str">
        <f t="shared" si="14"/>
        <v>Electropolished Pipes Manufacturer in Ang Mo Kio</v>
      </c>
      <c r="AE792" s="15" t="str">
        <f t="shared" si="15"/>
        <v>Manufacturing Electropolished SS Tube for Ang Mo Kio: The Standards We Build To</v>
      </c>
      <c r="AF792" s="15" t="str">
        <f t="shared" si="16"/>
        <v>Electropolished Pipe Supply Into Ang Mo Kio - Certification &amp; Transit</v>
      </c>
      <c r="AG792" s="15" t="str">
        <f t="shared" si="17"/>
        <v>Electropolished Pipes Wholesaler in Ang Mo Kio - Project Quantities &amp; Terms</v>
      </c>
      <c r="AH792" s="15" t="str">
        <f t="shared" si="18"/>
        <v>electropolished pipes manufacturer in Ang Mo Kio, electropolished pipes supplier in Ang Mo Kio, electropolished pipes wholesaler in Ang Mo Kio, electropolished tube manufacturer Ang Mo Kio, EP pipe supplier Ang Mo Kio, sanitary tube supplier Ang Mo Kio, ASME BPE tubing Ang Mo Kio, ASTM A270 tube Ang Mo Kio, SS 316L electropolished pipe Ang Mo Kio</v>
      </c>
      <c r="AI792" s="15" t="str">
        <f t="shared" si="19"/>
        <v>Electropolished Pipes Manufacturer &amp; Supplier in Ang Mo Kio</v>
      </c>
      <c r="AJ792" s="15" t="str">
        <f t="shared" si="20"/>
        <v>EP-finished SS 304/316L pipes and tubes for semiconductor plants in Ang Mo Kio. ASME BPE SF1-SF4, Ra from 0.25 um, EN 10204 3.1 certificate with every lot.</v>
      </c>
      <c r="AK792" s="15" t="str">
        <f t="shared" si="21"/>
        <v>Electropolished stainless steel pipes supplied by Sakshi Forge to semiconductor plants at Ang Mo Kio Industrial Park, Ang Mo Kio</v>
      </c>
      <c r="AL792" s="15" t="str">
        <f t="shared" si="22"/>
        <v>Electropolished SS 316L tube stock for Ang Mo Kio - Sakshi Forge</v>
      </c>
      <c r="AM792" s="15" t="str">
        <f t="shared" si="23"/>
        <v>Home &gt; Market Area &gt; Singapore &gt; North-East Region &gt; Ang Mo Kio</v>
      </c>
      <c r="AN792" s="15">
        <f t="shared" si="24"/>
        <v>1000</v>
      </c>
      <c r="AO792" s="15">
        <f t="shared" si="25"/>
        <v>8</v>
      </c>
      <c r="AP792" s="15">
        <f t="shared" si="26"/>
        <v>8</v>
      </c>
      <c r="AQ792" s="15">
        <f t="shared" si="27"/>
        <v>14</v>
      </c>
      <c r="AR792" s="31"/>
      <c r="AS792" s="31"/>
      <c r="AT792" s="35" t="s">
        <v>222</v>
      </c>
      <c r="AU792" s="35"/>
    </row>
    <row r="793" ht="15.75" customHeight="1">
      <c r="A793" s="15" t="s">
        <v>9029</v>
      </c>
      <c r="B793" s="15" t="s">
        <v>422</v>
      </c>
      <c r="C793" s="15" t="s">
        <v>8042</v>
      </c>
      <c r="D793" s="15" t="s">
        <v>9030</v>
      </c>
      <c r="E793" s="15" t="s">
        <v>9030</v>
      </c>
      <c r="F793" s="65" t="s">
        <v>788</v>
      </c>
      <c r="G793" s="17" t="s">
        <v>88</v>
      </c>
      <c r="H793" s="18" t="s">
        <v>9031</v>
      </c>
      <c r="I793" s="18" t="s">
        <v>9032</v>
      </c>
      <c r="J793" s="18" t="s">
        <v>9033</v>
      </c>
      <c r="K793" s="18" t="s">
        <v>1730</v>
      </c>
      <c r="L793" s="18" t="s">
        <v>8047</v>
      </c>
      <c r="M793" s="18" t="s">
        <v>614</v>
      </c>
      <c r="N793" s="18" t="s">
        <v>429</v>
      </c>
      <c r="O793" s="18" t="s">
        <v>98</v>
      </c>
      <c r="P793" s="15" t="str">
        <f t="shared" si="1"/>
        <v>SEMI</v>
      </c>
      <c r="Q793" s="15">
        <f t="shared" si="2"/>
        <v>6</v>
      </c>
      <c r="R793" s="15">
        <f t="shared" si="3"/>
        <v>6</v>
      </c>
      <c r="S793" s="15">
        <f t="shared" si="4"/>
        <v>5</v>
      </c>
      <c r="T793" s="15" t="str">
        <f t="shared" si="5"/>
        <v>B-4</v>
      </c>
      <c r="U793" s="15" t="str">
        <f t="shared" si="6"/>
        <v>T6-M6-H5-FB-4-SEMI</v>
      </c>
      <c r="V793" s="15">
        <f t="shared" si="7"/>
        <v>0</v>
      </c>
      <c r="W793" s="31"/>
      <c r="X793" s="15" t="str">
        <f t="shared" si="8"/>
        <v>bedok-singapore</v>
      </c>
      <c r="Y793" s="32" t="str">
        <f t="shared" si="9"/>
        <v>https://steelmanufacturer.in/market-area/electropolished-pipes-manufacturer-in-bedok-singapore/</v>
      </c>
      <c r="Z793" s="15" t="str">
        <f t="shared" si="10"/>
        <v>Electropolished Pipes Manufacturer in Bedok</v>
      </c>
      <c r="AA793" s="15" t="str">
        <f t="shared" si="11"/>
        <v>OK (43)</v>
      </c>
      <c r="AB793" s="15" t="str">
        <f t="shared" si="12"/>
        <v>EP tube and pipe for electronics plants around Bedok Industrial Estate, Bedok. Made at our Mumbai works to ASTM A270 and ASME BPE SF1-SF4, with 3.1 MTC.</v>
      </c>
      <c r="AC793" s="15" t="str">
        <f t="shared" si="13"/>
        <v>OK (152)</v>
      </c>
      <c r="AD793" s="15" t="str">
        <f t="shared" si="14"/>
        <v>Electropolished Pipes Manufacturer in Bedok</v>
      </c>
      <c r="AE793" s="15" t="str">
        <f t="shared" si="15"/>
        <v>Electropolished Tube Manufacturing Capability Serving Bedok</v>
      </c>
      <c r="AF793" s="15" t="str">
        <f t="shared" si="16"/>
        <v>Electropolished Pipes Supplier in Bedok - From Order to Delivery</v>
      </c>
      <c r="AG793" s="15" t="str">
        <f t="shared" si="17"/>
        <v>Stockist &amp; Wholesale Supply of Electropolished Pipes in Bedok</v>
      </c>
      <c r="AH793" s="15" t="str">
        <f t="shared" si="18"/>
        <v>electropolished pipes manufacturer in Bedok, electropolished pipes supplier in Bedok, electropolished pipes wholesaler in Bedok, electropolished tube manufacturer Bedok, EP pipe supplier Bedok, sanitary tube supplier Bedok, ASME BPE tubing Bedok, ASTM A270 tube Bedok, SS 316L electropolished pipe Bedok</v>
      </c>
      <c r="AI793" s="15" t="str">
        <f t="shared" si="19"/>
        <v>Electropolished Pipes Manufacturer &amp; Supplier in Bedok</v>
      </c>
      <c r="AJ793" s="15" t="str">
        <f t="shared" si="20"/>
        <v>EP-finished SS 304/316L pipes and tubes for electronics plants in Bedok. ASME BPE SF1-SF4, Ra from 0.25 um, EN 10204 3.1 certificate with every lot.</v>
      </c>
      <c r="AK793" s="15" t="str">
        <f t="shared" si="21"/>
        <v>Electropolished stainless steel pipes supplied by Sakshi Forge to electronics plants at Bedok Industrial Estate, Bedok</v>
      </c>
      <c r="AL793" s="15" t="str">
        <f t="shared" si="22"/>
        <v>Electropolished SS 316L tube stock for Bedok - Sakshi Forge</v>
      </c>
      <c r="AM793" s="15" t="str">
        <f t="shared" si="23"/>
        <v>Home &gt; Market Area &gt; Singapore &gt; East Region &gt; Bedok</v>
      </c>
      <c r="AN793" s="15">
        <f t="shared" si="24"/>
        <v>1000</v>
      </c>
      <c r="AO793" s="15">
        <f t="shared" si="25"/>
        <v>8</v>
      </c>
      <c r="AP793" s="15">
        <f t="shared" si="26"/>
        <v>8</v>
      </c>
      <c r="AQ793" s="15">
        <f t="shared" si="27"/>
        <v>14</v>
      </c>
      <c r="AR793" s="31"/>
      <c r="AS793" s="31"/>
      <c r="AT793" s="35" t="s">
        <v>222</v>
      </c>
      <c r="AU793" s="35"/>
    </row>
    <row r="794" ht="15.75" customHeight="1">
      <c r="A794" s="15" t="s">
        <v>9034</v>
      </c>
      <c r="B794" s="15" t="s">
        <v>422</v>
      </c>
      <c r="C794" s="15" t="s">
        <v>8082</v>
      </c>
      <c r="D794" s="15" t="s">
        <v>9035</v>
      </c>
      <c r="E794" s="15" t="s">
        <v>9035</v>
      </c>
      <c r="F794" s="65" t="s">
        <v>788</v>
      </c>
      <c r="G794" s="17" t="s">
        <v>88</v>
      </c>
      <c r="H794" s="18" t="s">
        <v>9036</v>
      </c>
      <c r="I794" s="18" t="s">
        <v>9037</v>
      </c>
      <c r="J794" s="18" t="s">
        <v>8434</v>
      </c>
      <c r="K794" s="18" t="s">
        <v>94</v>
      </c>
      <c r="L794" s="18" t="s">
        <v>8047</v>
      </c>
      <c r="M794" s="18" t="s">
        <v>614</v>
      </c>
      <c r="N794" s="18" t="s">
        <v>429</v>
      </c>
      <c r="O794" s="18" t="s">
        <v>98</v>
      </c>
      <c r="P794" s="15" t="str">
        <f t="shared" si="1"/>
        <v>FOOD</v>
      </c>
      <c r="Q794" s="15">
        <f t="shared" si="2"/>
        <v>7</v>
      </c>
      <c r="R794" s="15">
        <f t="shared" si="3"/>
        <v>7</v>
      </c>
      <c r="S794" s="15">
        <f t="shared" si="4"/>
        <v>1</v>
      </c>
      <c r="T794" s="15" t="str">
        <f t="shared" si="5"/>
        <v>B-5</v>
      </c>
      <c r="U794" s="15" t="str">
        <f t="shared" si="6"/>
        <v>T7-M7-H1-FB-5-FOOD</v>
      </c>
      <c r="V794" s="15">
        <f t="shared" si="7"/>
        <v>0</v>
      </c>
      <c r="W794" s="31"/>
      <c r="X794" s="15" t="str">
        <f t="shared" si="8"/>
        <v>kranji-singapore</v>
      </c>
      <c r="Y794" s="32" t="str">
        <f t="shared" si="9"/>
        <v>https://steelmanufacturer.in/market-area/electropolished-pipes-manufacturer-in-kranji-singapore/</v>
      </c>
      <c r="Z794" s="15" t="str">
        <f t="shared" si="10"/>
        <v>Electropolished Pipes Manufacturer in Kranji | ASME BPE SF1-SF4</v>
      </c>
      <c r="AA794" s="15" t="str">
        <f t="shared" si="11"/>
        <v>OK (63)</v>
      </c>
      <c r="AB794" s="15" t="str">
        <f t="shared" si="12"/>
        <v>Electropolished pipes in Kranji: 304, 304L, 316 and 316L in SF1-SF4. 6-9 days sea from Nhava Sheva to Singapore. Mill certified.</v>
      </c>
      <c r="AC794" s="15" t="str">
        <f t="shared" si="13"/>
        <v>OK (128)</v>
      </c>
      <c r="AD794" s="15" t="str">
        <f t="shared" si="14"/>
        <v>Electropolished Pipes Manufacturer in Kranji</v>
      </c>
      <c r="AE794" s="15" t="str">
        <f t="shared" si="15"/>
        <v>Electropolished Pipe &amp; Tube Manufacturing for Kranji - Grades, Finishes &amp; Certification</v>
      </c>
      <c r="AF794" s="15" t="str">
        <f t="shared" si="16"/>
        <v>Electropolished Pipes Supplier in Kranji - Stock Sizes, Lead Time &amp; Delivery</v>
      </c>
      <c r="AG794" s="15" t="str">
        <f t="shared" si="17"/>
        <v>Electropolished Pipes Wholesaler &amp; Stockist in Kranji - Bulk &amp; Project Pricing</v>
      </c>
      <c r="AH794" s="15" t="str">
        <f t="shared" si="18"/>
        <v>electropolished pipes manufacturer in Kranji, electropolished pipes supplier in Kranji, electropolished pipes wholesaler in Kranji, electropolished tube manufacturer Kranji, EP pipe supplier Kranji, sanitary tube supplier Kranji, ASME BPE tubing Kranji, ASTM A270 tube Kranji, SS 316L electropolished pipe Kranji</v>
      </c>
      <c r="AI794" s="15" t="str">
        <f t="shared" si="19"/>
        <v>Electropolished Pipes Manufacturer &amp; Supplier in Kranji</v>
      </c>
      <c r="AJ794" s="15" t="str">
        <f t="shared" si="20"/>
        <v>EP-finished SS 304/316L pipes and tubes for food processing plants in Kranji. ASME BPE SF1-SF4, Ra from 0.25 um, EN 10204 3.1 certificate with every lot.</v>
      </c>
      <c r="AK794" s="15" t="str">
        <f t="shared" si="21"/>
        <v>Electropolished stainless steel pipes supplied by Sakshi Forge to food processing plants at Kranji Industrial Estate, Kranji</v>
      </c>
      <c r="AL794" s="15" t="str">
        <f t="shared" si="22"/>
        <v>Electropolished SS 316L tube stock for Kranji - Sakshi Forge</v>
      </c>
      <c r="AM794" s="15" t="str">
        <f t="shared" si="23"/>
        <v>Home &gt; Market Area &gt; Singapore &gt; North Region &gt; Kranji</v>
      </c>
      <c r="AN794" s="15">
        <f t="shared" si="24"/>
        <v>1000</v>
      </c>
      <c r="AO794" s="15">
        <f t="shared" si="25"/>
        <v>8</v>
      </c>
      <c r="AP794" s="15">
        <f t="shared" si="26"/>
        <v>8</v>
      </c>
      <c r="AQ794" s="15">
        <f t="shared" si="27"/>
        <v>14</v>
      </c>
      <c r="AR794" s="31"/>
      <c r="AS794" s="31"/>
      <c r="AT794" s="35" t="s">
        <v>222</v>
      </c>
      <c r="AU794" s="35"/>
    </row>
    <row r="795" ht="15.75" customHeight="1">
      <c r="A795" s="15" t="s">
        <v>9038</v>
      </c>
      <c r="B795" s="15" t="s">
        <v>380</v>
      </c>
      <c r="C795" s="15" t="s">
        <v>9039</v>
      </c>
      <c r="D795" s="15" t="s">
        <v>9040</v>
      </c>
      <c r="E795" s="15" t="s">
        <v>9040</v>
      </c>
      <c r="F795" s="65" t="s">
        <v>788</v>
      </c>
      <c r="G795" s="17" t="s">
        <v>88</v>
      </c>
      <c r="H795" s="18" t="s">
        <v>9041</v>
      </c>
      <c r="I795" s="18" t="s">
        <v>9042</v>
      </c>
      <c r="J795" s="18" t="s">
        <v>9043</v>
      </c>
      <c r="K795" s="18" t="s">
        <v>94</v>
      </c>
      <c r="L795" s="18" t="s">
        <v>9044</v>
      </c>
      <c r="M795" s="18" t="s">
        <v>596</v>
      </c>
      <c r="N795" s="18" t="s">
        <v>402</v>
      </c>
      <c r="O795" s="18" t="s">
        <v>98</v>
      </c>
      <c r="P795" s="15" t="str">
        <f t="shared" si="1"/>
        <v>FOOD</v>
      </c>
      <c r="Q795" s="15">
        <f t="shared" si="2"/>
        <v>8</v>
      </c>
      <c r="R795" s="15">
        <f t="shared" si="3"/>
        <v>1</v>
      </c>
      <c r="S795" s="15">
        <f t="shared" si="4"/>
        <v>2</v>
      </c>
      <c r="T795" s="15" t="str">
        <f t="shared" si="5"/>
        <v>B-6</v>
      </c>
      <c r="U795" s="15" t="str">
        <f t="shared" si="6"/>
        <v>T8-M1-H2-FB-6-FOOD</v>
      </c>
      <c r="V795" s="15">
        <f t="shared" si="7"/>
        <v>0</v>
      </c>
      <c r="W795" s="31"/>
      <c r="X795" s="15" t="str">
        <f t="shared" si="8"/>
        <v>a-coruna-spain</v>
      </c>
      <c r="Y795" s="32" t="str">
        <f t="shared" si="9"/>
        <v>https://steelmanufacturer.in/market-area/electropolished-pipes-manufacturer-in-a-coruna-spain/</v>
      </c>
      <c r="Z795" s="15" t="str">
        <f t="shared" si="10"/>
        <v>Electropolished Pipes Manufacturer in A Coruna - EP Tube Stockist</v>
      </c>
      <c r="AA795" s="15" t="str">
        <f t="shared" si="11"/>
        <v>OK (65)</v>
      </c>
      <c r="AB795" s="15" t="str">
        <f t="shared" si="12"/>
        <v>EP-finished SS 304/316L pipes &amp; tubes for food processing plants in A Coruna. ASTM A270, ASME BPE SF1-SF4, EN 10204 3.1 MTC. PMI tested.</v>
      </c>
      <c r="AC795" s="15" t="str">
        <f t="shared" si="13"/>
        <v>OK (136)</v>
      </c>
      <c r="AD795" s="15" t="str">
        <f t="shared" si="14"/>
        <v>Electropolished Pipes Manufacturer in A Coruna</v>
      </c>
      <c r="AE795" s="15" t="str">
        <f t="shared" si="15"/>
        <v>How We Manufacture Electropolished Tube for A Coruna Plants</v>
      </c>
      <c r="AF795" s="15" t="str">
        <f t="shared" si="16"/>
        <v>Supplying Electropolished Pipes in A Coruna: Availability, Sizes &amp; Dispatch</v>
      </c>
      <c r="AG795" s="15" t="str">
        <f t="shared" si="17"/>
        <v>Wholesale Electropolished Pipe Supply for A Coruna Projects</v>
      </c>
      <c r="AH795" s="15" t="str">
        <f t="shared" si="18"/>
        <v>electropolished pipes manufacturer in A Coruna, electropolished pipes supplier in A Coruna, electropolished pipes wholesaler in A Coruna, electropolished tube manufacturer A Coruna, EP pipe supplier A Coruna, sanitary tube supplier A Coruna, ASME BPE tubing A Coruna, ASTM A270 tube A Coruna, SS 316L electropolished pipe A Coruna</v>
      </c>
      <c r="AI795" s="15" t="str">
        <f t="shared" si="19"/>
        <v>Electropolished Pipes Manufacturer &amp; Supplier in A Coruna</v>
      </c>
      <c r="AJ795" s="15" t="str">
        <f t="shared" si="20"/>
        <v>EP-finished SS 304/316L pipes and tubes for food processing plants in A Coruna. ASME BPE SF1-SF4, Ra from 0.25 um, EN 10204 3.1 certificate with every lot.</v>
      </c>
      <c r="AK795" s="15" t="str">
        <f t="shared" si="21"/>
        <v>Electropolished stainless steel pipes supplied by Sakshi Forge to food processing plants at Poligono Pocomaco, A Coruna</v>
      </c>
      <c r="AL795" s="15" t="str">
        <f t="shared" si="22"/>
        <v>Electropolished SS 316L tube stock for A Coruna - Sakshi Forge</v>
      </c>
      <c r="AM795" s="15" t="str">
        <f t="shared" si="23"/>
        <v>Home &gt; Market Area &gt; Spain &gt; Galicia &gt; A Coruna</v>
      </c>
      <c r="AN795" s="15">
        <f t="shared" si="24"/>
        <v>1000</v>
      </c>
      <c r="AO795" s="15">
        <f t="shared" si="25"/>
        <v>8</v>
      </c>
      <c r="AP795" s="15">
        <f t="shared" si="26"/>
        <v>8</v>
      </c>
      <c r="AQ795" s="15">
        <f t="shared" si="27"/>
        <v>14</v>
      </c>
      <c r="AR795" s="31"/>
      <c r="AS795" s="31"/>
      <c r="AT795" s="35" t="s">
        <v>222</v>
      </c>
      <c r="AU795" s="35"/>
    </row>
    <row r="796" ht="15.75" customHeight="1">
      <c r="A796" s="15" t="s">
        <v>9045</v>
      </c>
      <c r="B796" s="15" t="s">
        <v>380</v>
      </c>
      <c r="C796" s="15" t="s">
        <v>8126</v>
      </c>
      <c r="D796" s="15" t="s">
        <v>9046</v>
      </c>
      <c r="E796" s="15" t="s">
        <v>9046</v>
      </c>
      <c r="F796" s="65" t="s">
        <v>788</v>
      </c>
      <c r="G796" s="17" t="s">
        <v>88</v>
      </c>
      <c r="H796" s="18" t="s">
        <v>9047</v>
      </c>
      <c r="I796" s="18" t="s">
        <v>9048</v>
      </c>
      <c r="J796" s="18" t="s">
        <v>9049</v>
      </c>
      <c r="K796" s="18" t="s">
        <v>94</v>
      </c>
      <c r="L796" s="18" t="s">
        <v>9050</v>
      </c>
      <c r="M796" s="18" t="s">
        <v>596</v>
      </c>
      <c r="N796" s="18" t="s">
        <v>402</v>
      </c>
      <c r="O796" s="18" t="s">
        <v>98</v>
      </c>
      <c r="P796" s="15" t="str">
        <f t="shared" si="1"/>
        <v>FOOD</v>
      </c>
      <c r="Q796" s="15">
        <f t="shared" si="2"/>
        <v>1</v>
      </c>
      <c r="R796" s="15">
        <f t="shared" si="3"/>
        <v>2</v>
      </c>
      <c r="S796" s="15">
        <f t="shared" si="4"/>
        <v>3</v>
      </c>
      <c r="T796" s="15" t="str">
        <f t="shared" si="5"/>
        <v>B-1</v>
      </c>
      <c r="U796" s="15" t="str">
        <f t="shared" si="6"/>
        <v>T1-M2-H3-FB-1-FOOD</v>
      </c>
      <c r="V796" s="15">
        <f t="shared" si="7"/>
        <v>0</v>
      </c>
      <c r="W796" s="31"/>
      <c r="X796" s="15" t="str">
        <f t="shared" si="8"/>
        <v>alicante-spain</v>
      </c>
      <c r="Y796" s="32" t="str">
        <f t="shared" si="9"/>
        <v>https://steelmanufacturer.in/market-area/electropolished-pipes-manufacturer-in-alicante-spain/</v>
      </c>
      <c r="Z796" s="15" t="str">
        <f t="shared" si="10"/>
        <v>Electropolished Pipes Manufacturer in Alicante | Sakshi Forge</v>
      </c>
      <c r="AA796" s="15" t="str">
        <f t="shared" si="11"/>
        <v>OK (61)</v>
      </c>
      <c r="AB796" s="15" t="str">
        <f t="shared" si="12"/>
        <v>Electropolished tube supply to Poligono Las Atalayas, Alicante. Ra from 0.25 um, SF4 finish, mill test certificate with every lot.</v>
      </c>
      <c r="AC796" s="15" t="str">
        <f t="shared" si="13"/>
        <v>OK (130)</v>
      </c>
      <c r="AD796" s="15" t="str">
        <f t="shared" si="14"/>
        <v>Electropolished Pipes Manufacturer in Alicante</v>
      </c>
      <c r="AE796" s="15" t="str">
        <f t="shared" si="15"/>
        <v>Electropolished Pipes Manufacturer in Alicante - Our Process &amp; Capability</v>
      </c>
      <c r="AF796" s="15" t="str">
        <f t="shared" si="16"/>
        <v>Electropolished Pipes Supplier in Alicante - What We Hold in Stock</v>
      </c>
      <c r="AG796" s="15" t="str">
        <f t="shared" si="17"/>
        <v>Bulk &amp; Wholesale Electropolished Pipe Rates for Alicante Buyers</v>
      </c>
      <c r="AH796" s="15" t="str">
        <f t="shared" si="18"/>
        <v>electropolished pipes manufacturer in Alicante, electropolished pipes supplier in Alicante, electropolished pipes wholesaler in Alicante, electropolished tube manufacturer Alicante, EP pipe supplier Alicante, sanitary tube supplier Alicante, ASME BPE tubing Alicante, ASTM A270 tube Alicante, SS 316L electropolished pipe Alicante</v>
      </c>
      <c r="AI796" s="15" t="str">
        <f t="shared" si="19"/>
        <v>Electropolished Pipes Manufacturer &amp; Supplier in Alicante</v>
      </c>
      <c r="AJ796" s="15" t="str">
        <f t="shared" si="20"/>
        <v>EP-finished SS 304/316L pipes and tubes for food processing plants in Alicante. ASME BPE SF1-SF4, Ra from 0.25 um, EN 10204 3.1 certificate with every lot.</v>
      </c>
      <c r="AK796" s="15" t="str">
        <f t="shared" si="21"/>
        <v>Electropolished stainless steel pipes supplied by Sakshi Forge to food processing plants at Poligono Las Atalayas, Alicante</v>
      </c>
      <c r="AL796" s="15" t="str">
        <f t="shared" si="22"/>
        <v>Electropolished SS 316L tube stock for Alicante - Sakshi Forge</v>
      </c>
      <c r="AM796" s="15" t="str">
        <f t="shared" si="23"/>
        <v>Home &gt; Market Area &gt; Spain &gt; Valencian Community &gt; Alicante</v>
      </c>
      <c r="AN796" s="15">
        <f t="shared" si="24"/>
        <v>1000</v>
      </c>
      <c r="AO796" s="15">
        <f t="shared" si="25"/>
        <v>8</v>
      </c>
      <c r="AP796" s="15">
        <f t="shared" si="26"/>
        <v>8</v>
      </c>
      <c r="AQ796" s="15">
        <f t="shared" si="27"/>
        <v>14</v>
      </c>
      <c r="AR796" s="31"/>
      <c r="AS796" s="31"/>
      <c r="AT796" s="35" t="s">
        <v>222</v>
      </c>
      <c r="AU796" s="35"/>
    </row>
    <row r="797" ht="15.75" customHeight="1">
      <c r="A797" s="15" t="s">
        <v>9051</v>
      </c>
      <c r="B797" s="15" t="s">
        <v>380</v>
      </c>
      <c r="C797" s="15" t="s">
        <v>9052</v>
      </c>
      <c r="D797" s="15" t="s">
        <v>9053</v>
      </c>
      <c r="E797" s="15" t="s">
        <v>9053</v>
      </c>
      <c r="F797" s="65" t="s">
        <v>788</v>
      </c>
      <c r="G797" s="17" t="s">
        <v>88</v>
      </c>
      <c r="H797" s="18" t="s">
        <v>9054</v>
      </c>
      <c r="I797" s="18" t="s">
        <v>9055</v>
      </c>
      <c r="J797" s="18" t="s">
        <v>9056</v>
      </c>
      <c r="K797" s="18" t="s">
        <v>94</v>
      </c>
      <c r="L797" s="18" t="s">
        <v>8100</v>
      </c>
      <c r="M797" s="18" t="s">
        <v>596</v>
      </c>
      <c r="N797" s="18" t="s">
        <v>402</v>
      </c>
      <c r="O797" s="18" t="s">
        <v>98</v>
      </c>
      <c r="P797" s="15" t="str">
        <f t="shared" si="1"/>
        <v>FOOD</v>
      </c>
      <c r="Q797" s="15">
        <f t="shared" si="2"/>
        <v>2</v>
      </c>
      <c r="R797" s="15">
        <f t="shared" si="3"/>
        <v>3</v>
      </c>
      <c r="S797" s="15">
        <f t="shared" si="4"/>
        <v>4</v>
      </c>
      <c r="T797" s="15" t="str">
        <f t="shared" si="5"/>
        <v>B-2</v>
      </c>
      <c r="U797" s="15" t="str">
        <f t="shared" si="6"/>
        <v>T2-M3-H4-FB-2-FOOD</v>
      </c>
      <c r="V797" s="15">
        <f t="shared" si="7"/>
        <v>0</v>
      </c>
      <c r="W797" s="31"/>
      <c r="X797" s="15" t="str">
        <f t="shared" si="8"/>
        <v>burgos-spain</v>
      </c>
      <c r="Y797" s="32" t="str">
        <f t="shared" si="9"/>
        <v>https://steelmanufacturer.in/market-area/electropolished-pipes-manufacturer-in-burgos-spain/</v>
      </c>
      <c r="Z797" s="15" t="str">
        <f t="shared" si="10"/>
        <v>Electropolished Pipes Manufacturer in Burgos</v>
      </c>
      <c r="AA797" s="15" t="str">
        <f t="shared" si="11"/>
        <v>OK (44)</v>
      </c>
      <c r="AB797" s="15" t="str">
        <f t="shared" si="12"/>
        <v>EP stainless tube for food processing lines in Burgos. 19-25 days sea from Nhava Sheva to Valencia. ASTM A270 S2, PMI tested, EN 10204 3.1.</v>
      </c>
      <c r="AC797" s="15" t="str">
        <f t="shared" si="13"/>
        <v>OK (139)</v>
      </c>
      <c r="AD797" s="15" t="str">
        <f t="shared" si="14"/>
        <v>Electropolished Pipes Manufacturer in Burgos</v>
      </c>
      <c r="AE797" s="15" t="str">
        <f t="shared" si="15"/>
        <v>Manufacturing Electropolished SS Tube for Burgos: The Standards We Build To</v>
      </c>
      <c r="AF797" s="15" t="str">
        <f t="shared" si="16"/>
        <v>Electropolished Pipe Supply Into Burgos - Certification &amp; Transit</v>
      </c>
      <c r="AG797" s="15" t="str">
        <f t="shared" si="17"/>
        <v>Electropolished Pipes Wholesaler in Burgos - Project Quantities &amp; Terms</v>
      </c>
      <c r="AH797" s="15" t="str">
        <f t="shared" si="18"/>
        <v>electropolished pipes manufacturer in Burgos, electropolished pipes supplier in Burgos, electropolished pipes wholesaler in Burgos, electropolished tube manufacturer Burgos, EP pipe supplier Burgos, sanitary tube supplier Burgos, ASME BPE tubing Burgos, ASTM A270 tube Burgos, SS 316L electropolished pipe Burgos</v>
      </c>
      <c r="AI797" s="15" t="str">
        <f t="shared" si="19"/>
        <v>Electropolished Pipes Manufacturer &amp; Supplier in Burgos</v>
      </c>
      <c r="AJ797" s="15" t="str">
        <f t="shared" si="20"/>
        <v>EP-finished SS 304/316L pipes and tubes for food processing plants in Burgos. ASME BPE SF1-SF4, Ra from 0.25 um, EN 10204 3.1 certificate with every lot.</v>
      </c>
      <c r="AK797" s="15" t="str">
        <f t="shared" si="21"/>
        <v>Electropolished stainless steel pipes supplied by Sakshi Forge to food processing plants at Poligono Villalonquejar, Burgos</v>
      </c>
      <c r="AL797" s="15" t="str">
        <f t="shared" si="22"/>
        <v>Electropolished SS 316L tube stock for Burgos - Sakshi Forge</v>
      </c>
      <c r="AM797" s="15" t="str">
        <f t="shared" si="23"/>
        <v>Home &gt; Market Area &gt; Spain &gt; Castile and Leon &gt; Burgos</v>
      </c>
      <c r="AN797" s="15">
        <f t="shared" si="24"/>
        <v>1000</v>
      </c>
      <c r="AO797" s="15">
        <f t="shared" si="25"/>
        <v>8</v>
      </c>
      <c r="AP797" s="15">
        <f t="shared" si="26"/>
        <v>8</v>
      </c>
      <c r="AQ797" s="15">
        <f t="shared" si="27"/>
        <v>14</v>
      </c>
      <c r="AR797" s="31"/>
      <c r="AS797" s="31"/>
      <c r="AT797" s="35" t="s">
        <v>222</v>
      </c>
      <c r="AU797" s="35"/>
    </row>
    <row r="798" ht="15.75" customHeight="1">
      <c r="A798" s="15" t="s">
        <v>9057</v>
      </c>
      <c r="B798" s="15" t="s">
        <v>380</v>
      </c>
      <c r="C798" s="15" t="s">
        <v>9058</v>
      </c>
      <c r="D798" s="15" t="s">
        <v>9059</v>
      </c>
      <c r="E798" s="15" t="s">
        <v>9059</v>
      </c>
      <c r="F798" s="65" t="s">
        <v>788</v>
      </c>
      <c r="G798" s="17" t="s">
        <v>88</v>
      </c>
      <c r="H798" s="18" t="s">
        <v>9060</v>
      </c>
      <c r="I798" s="18" t="s">
        <v>9060</v>
      </c>
      <c r="J798" s="18" t="s">
        <v>9061</v>
      </c>
      <c r="K798" s="18" t="s">
        <v>1084</v>
      </c>
      <c r="L798" s="18" t="s">
        <v>9062</v>
      </c>
      <c r="M798" s="18" t="s">
        <v>596</v>
      </c>
      <c r="N798" s="18" t="s">
        <v>402</v>
      </c>
      <c r="O798" s="18" t="s">
        <v>98</v>
      </c>
      <c r="P798" s="15" t="str">
        <f t="shared" si="1"/>
        <v>CHEM</v>
      </c>
      <c r="Q798" s="15">
        <f t="shared" si="2"/>
        <v>3</v>
      </c>
      <c r="R798" s="15">
        <f t="shared" si="3"/>
        <v>4</v>
      </c>
      <c r="S798" s="15">
        <f t="shared" si="4"/>
        <v>5</v>
      </c>
      <c r="T798" s="15" t="str">
        <f t="shared" si="5"/>
        <v>B-3</v>
      </c>
      <c r="U798" s="15" t="str">
        <f t="shared" si="6"/>
        <v>T3-M4-H5-FB-3-CHEM</v>
      </c>
      <c r="V798" s="15">
        <f t="shared" si="7"/>
        <v>0</v>
      </c>
      <c r="W798" s="31"/>
      <c r="X798" s="15" t="str">
        <f t="shared" si="8"/>
        <v>cartagena-spain</v>
      </c>
      <c r="Y798" s="32" t="str">
        <f t="shared" si="9"/>
        <v>https://steelmanufacturer.in/market-area/electropolished-pipes-manufacturer-in-cartagena-spain/</v>
      </c>
      <c r="Z798" s="15" t="str">
        <f t="shared" si="10"/>
        <v>Electropolished Pipes Manufacturer in Cartagena</v>
      </c>
      <c r="AA798" s="15" t="str">
        <f t="shared" si="11"/>
        <v>OK (47)</v>
      </c>
      <c r="AB798" s="15" t="str">
        <f t="shared" si="12"/>
        <v>Sanitary electropolished pipes in Cartagena for petrochemical plants. ASME BPE SF1-SF4, orbital-weld ready, 3.1 MTC. Mumbai-made.</v>
      </c>
      <c r="AC798" s="15" t="str">
        <f t="shared" si="13"/>
        <v>OK (129)</v>
      </c>
      <c r="AD798" s="15" t="str">
        <f t="shared" si="14"/>
        <v>Electropolished Pipes Manufacturer in Cartagena</v>
      </c>
      <c r="AE798" s="15" t="str">
        <f t="shared" si="15"/>
        <v>Electropolished Tube Manufacturing Capability Serving Cartagena</v>
      </c>
      <c r="AF798" s="15" t="str">
        <f t="shared" si="16"/>
        <v>Electropolished Pipes Supplier in Cartagena - From Order to Delivery</v>
      </c>
      <c r="AG798" s="15" t="str">
        <f t="shared" si="17"/>
        <v>Stockist &amp; Wholesale Supply of Electropolished Pipes in Cartagena</v>
      </c>
      <c r="AH798" s="15" t="str">
        <f t="shared" si="18"/>
        <v>electropolished pipes manufacturer in Cartagena, electropolished pipes supplier in Cartagena, electropolished pipes wholesaler in Cartagena, electropolished tube manufacturer Cartagena, EP pipe supplier Cartagena, sanitary tube supplier Cartagena, ASME BPE tubing Cartagena, ASTM A270 tube Cartagena, SS 316L electropolished pipe Cartagena</v>
      </c>
      <c r="AI798" s="15" t="str">
        <f t="shared" si="19"/>
        <v>Electropolished Pipes Manufacturer &amp; Supplier in Cartagena</v>
      </c>
      <c r="AJ798" s="15" t="str">
        <f t="shared" si="20"/>
        <v>EP-finished SS 304/316L pipes and tubes for petrochemical plants in Cartagena. ASME BPE SF1-SF4, Ra from 0.25 um, EN 10204 3.1 certificate with every lot.</v>
      </c>
      <c r="AK798" s="15" t="str">
        <f t="shared" si="21"/>
        <v>Electropolished stainless steel pipes supplied by Sakshi Forge to petrochemical plants at Valle de Escombreras Industrial, Cartagena</v>
      </c>
      <c r="AL798" s="15" t="str">
        <f t="shared" si="22"/>
        <v>Electropolished SS 316L tube stock for Cartagena - Sakshi Forge</v>
      </c>
      <c r="AM798" s="15" t="str">
        <f t="shared" si="23"/>
        <v>Home &gt; Market Area &gt; Spain &gt; Murcia &gt; Cartagena</v>
      </c>
      <c r="AN798" s="15">
        <f t="shared" si="24"/>
        <v>1000</v>
      </c>
      <c r="AO798" s="15">
        <f t="shared" si="25"/>
        <v>8</v>
      </c>
      <c r="AP798" s="15">
        <f t="shared" si="26"/>
        <v>8</v>
      </c>
      <c r="AQ798" s="15">
        <f t="shared" si="27"/>
        <v>14</v>
      </c>
      <c r="AR798" s="31"/>
      <c r="AS798" s="31"/>
      <c r="AT798" s="35" t="s">
        <v>222</v>
      </c>
      <c r="AU798" s="35"/>
    </row>
    <row r="799" ht="15.75" customHeight="1">
      <c r="A799" s="15" t="s">
        <v>9063</v>
      </c>
      <c r="B799" s="15" t="s">
        <v>380</v>
      </c>
      <c r="C799" s="15" t="s">
        <v>8126</v>
      </c>
      <c r="D799" s="15" t="s">
        <v>9064</v>
      </c>
      <c r="E799" s="15" t="s">
        <v>9064</v>
      </c>
      <c r="F799" s="65" t="s">
        <v>788</v>
      </c>
      <c r="G799" s="17" t="s">
        <v>88</v>
      </c>
      <c r="H799" s="18" t="s">
        <v>9065</v>
      </c>
      <c r="I799" s="18" t="s">
        <v>9066</v>
      </c>
      <c r="J799" s="18" t="s">
        <v>9067</v>
      </c>
      <c r="K799" s="18" t="s">
        <v>94</v>
      </c>
      <c r="L799" s="18" t="s">
        <v>9068</v>
      </c>
      <c r="M799" s="18" t="s">
        <v>596</v>
      </c>
      <c r="N799" s="18" t="s">
        <v>402</v>
      </c>
      <c r="O799" s="18" t="s">
        <v>98</v>
      </c>
      <c r="P799" s="15" t="str">
        <f t="shared" si="1"/>
        <v>FOOD</v>
      </c>
      <c r="Q799" s="15">
        <f t="shared" si="2"/>
        <v>4</v>
      </c>
      <c r="R799" s="15">
        <f t="shared" si="3"/>
        <v>5</v>
      </c>
      <c r="S799" s="15">
        <f t="shared" si="4"/>
        <v>1</v>
      </c>
      <c r="T799" s="15" t="str">
        <f t="shared" si="5"/>
        <v>B-4</v>
      </c>
      <c r="U799" s="15" t="str">
        <f t="shared" si="6"/>
        <v>T4-M5-H1-FB-4-FOOD</v>
      </c>
      <c r="V799" s="15">
        <f t="shared" si="7"/>
        <v>0</v>
      </c>
      <c r="W799" s="31"/>
      <c r="X799" s="15" t="str">
        <f t="shared" si="8"/>
        <v>castellon-spain</v>
      </c>
      <c r="Y799" s="32" t="str">
        <f t="shared" si="9"/>
        <v>https://steelmanufacturer.in/market-area/electropolished-pipes-manufacturer-in-castellon-spain/</v>
      </c>
      <c r="Z799" s="15" t="str">
        <f t="shared" si="10"/>
        <v>Electropolished Pipes Manufacturer in Castellon</v>
      </c>
      <c r="AA799" s="15" t="str">
        <f t="shared" si="11"/>
        <v>OK (47)</v>
      </c>
      <c r="AB799" s="15" t="str">
        <f t="shared" si="12"/>
        <v>Manufacturer of electropolished SS 316L tube serving Castellon. 19-25 days sea from Nhava Sheva to Valencia. Ra 0.25-0.5 um, EN 10204 3.1 MTC.</v>
      </c>
      <c r="AC799" s="15" t="str">
        <f t="shared" si="13"/>
        <v>OK (142)</v>
      </c>
      <c r="AD799" s="15" t="str">
        <f t="shared" si="14"/>
        <v>Electropolished Pipes Manufacturer in Castellon</v>
      </c>
      <c r="AE799" s="15" t="str">
        <f t="shared" si="15"/>
        <v>Electropolished Pipe &amp; Tube Manufacturing for Castellon - Grades, Finishes &amp; Certification</v>
      </c>
      <c r="AF799" s="15" t="str">
        <f t="shared" si="16"/>
        <v>Electropolished Pipes Supplier in Castellon - Stock Sizes, Lead Time &amp; Delivery</v>
      </c>
      <c r="AG799" s="15" t="str">
        <f t="shared" si="17"/>
        <v>Electropolished Pipes Wholesaler &amp; Stockist in Castellon - Bulk &amp; Project Pricing</v>
      </c>
      <c r="AH799" s="15" t="str">
        <f t="shared" si="18"/>
        <v>electropolished pipes manufacturer in Castellon, electropolished pipes supplier in Castellon, electropolished pipes wholesaler in Castellon, electropolished tube manufacturer Castellon, EP pipe supplier Castellon, sanitary tube supplier Castellon, ASME BPE tubing Castellon, ASTM A270 tube Castellon, SS 316L electropolished pipe Castellon</v>
      </c>
      <c r="AI799" s="15" t="str">
        <f t="shared" si="19"/>
        <v>Electropolished Pipes Manufacturer &amp; Supplier in Castellon</v>
      </c>
      <c r="AJ799" s="15" t="str">
        <f t="shared" si="20"/>
        <v>EP-finished SS 304/316L pipes and tubes for food processing plants in Castellon. ASME BPE SF1-SF4, Ra from 0.25 um, EN 10204 3.1 certificate with every lot.</v>
      </c>
      <c r="AK799" s="15" t="str">
        <f t="shared" si="21"/>
        <v>Electropolished stainless steel pipes supplied by Sakshi Forge to food processing plants at Poligono Ciudad del Transporte, Castellon</v>
      </c>
      <c r="AL799" s="15" t="str">
        <f t="shared" si="22"/>
        <v>Electropolished SS 316L tube stock for Castellon - Sakshi Forge</v>
      </c>
      <c r="AM799" s="15" t="str">
        <f t="shared" si="23"/>
        <v>Home &gt; Market Area &gt; Spain &gt; Valencian Community &gt; Castellon</v>
      </c>
      <c r="AN799" s="15">
        <f t="shared" si="24"/>
        <v>1000</v>
      </c>
      <c r="AO799" s="15">
        <f t="shared" si="25"/>
        <v>8</v>
      </c>
      <c r="AP799" s="15">
        <f t="shared" si="26"/>
        <v>8</v>
      </c>
      <c r="AQ799" s="15">
        <f t="shared" si="27"/>
        <v>14</v>
      </c>
      <c r="AR799" s="31"/>
      <c r="AS799" s="31"/>
      <c r="AT799" s="35" t="s">
        <v>222</v>
      </c>
      <c r="AU799" s="35"/>
    </row>
    <row r="800" ht="15.75" customHeight="1">
      <c r="A800" s="15" t="s">
        <v>9069</v>
      </c>
      <c r="B800" s="15" t="s">
        <v>380</v>
      </c>
      <c r="C800" s="15" t="s">
        <v>8113</v>
      </c>
      <c r="D800" s="15" t="s">
        <v>9070</v>
      </c>
      <c r="E800" s="15" t="s">
        <v>9070</v>
      </c>
      <c r="F800" s="65" t="s">
        <v>788</v>
      </c>
      <c r="G800" s="17" t="s">
        <v>88</v>
      </c>
      <c r="H800" s="18" t="s">
        <v>9071</v>
      </c>
      <c r="I800" s="18" t="s">
        <v>9072</v>
      </c>
      <c r="J800" s="18" t="s">
        <v>9073</v>
      </c>
      <c r="K800" s="18" t="s">
        <v>94</v>
      </c>
      <c r="L800" s="18" t="s">
        <v>8118</v>
      </c>
      <c r="M800" s="18" t="s">
        <v>596</v>
      </c>
      <c r="N800" s="18" t="s">
        <v>402</v>
      </c>
      <c r="O800" s="18" t="s">
        <v>98</v>
      </c>
      <c r="P800" s="15" t="str">
        <f t="shared" si="1"/>
        <v>FOOD</v>
      </c>
      <c r="Q800" s="15">
        <f t="shared" si="2"/>
        <v>5</v>
      </c>
      <c r="R800" s="15">
        <f t="shared" si="3"/>
        <v>6</v>
      </c>
      <c r="S800" s="15">
        <f t="shared" si="4"/>
        <v>2</v>
      </c>
      <c r="T800" s="15" t="str">
        <f t="shared" si="5"/>
        <v>B-5</v>
      </c>
      <c r="U800" s="15" t="str">
        <f t="shared" si="6"/>
        <v>T5-M6-H2-FB-5-FOOD</v>
      </c>
      <c r="V800" s="15">
        <f t="shared" si="7"/>
        <v>0</v>
      </c>
      <c r="W800" s="31"/>
      <c r="X800" s="15" t="str">
        <f t="shared" si="8"/>
        <v>cordoba-spain</v>
      </c>
      <c r="Y800" s="32" t="str">
        <f t="shared" si="9"/>
        <v>https://steelmanufacturer.in/market-area/electropolished-pipes-manufacturer-in-cordoba-spain/</v>
      </c>
      <c r="Z800" s="15" t="str">
        <f t="shared" si="10"/>
        <v>Electropolished Pipes Manufacturer in Cordoba</v>
      </c>
      <c r="AA800" s="15" t="str">
        <f t="shared" si="11"/>
        <v>OK (45)</v>
      </c>
      <c r="AB800" s="15" t="str">
        <f t="shared" si="12"/>
        <v>EP tube and pipe for food processing plants around Poligono Las Quemadas, Cordoba. Made at our Mumbai works to ASTM A270 and ASME BPE SF1-SF4, with 3.1 MTC.</v>
      </c>
      <c r="AC800" s="15" t="str">
        <f t="shared" si="13"/>
        <v>OK (156)</v>
      </c>
      <c r="AD800" s="15" t="str">
        <f t="shared" si="14"/>
        <v>Electropolished Pipes Manufacturer in Cordoba</v>
      </c>
      <c r="AE800" s="15" t="str">
        <f t="shared" si="15"/>
        <v>How We Manufacture Electropolished Tube for Cordoba Plants</v>
      </c>
      <c r="AF800" s="15" t="str">
        <f t="shared" si="16"/>
        <v>Supplying Electropolished Pipes in Cordoba: Availability, Sizes &amp; Dispatch</v>
      </c>
      <c r="AG800" s="15" t="str">
        <f t="shared" si="17"/>
        <v>Wholesale Electropolished Pipe Supply for Cordoba Projects</v>
      </c>
      <c r="AH800" s="15" t="str">
        <f t="shared" si="18"/>
        <v>electropolished pipes manufacturer in Cordoba, electropolished pipes supplier in Cordoba, electropolished pipes wholesaler in Cordoba, electropolished tube manufacturer Cordoba, EP pipe supplier Cordoba, sanitary tube supplier Cordoba, ASME BPE tubing Cordoba, ASTM A270 tube Cordoba, SS 316L electropolished pipe Cordoba</v>
      </c>
      <c r="AI800" s="15" t="str">
        <f t="shared" si="19"/>
        <v>Electropolished Pipes Manufacturer &amp; Supplier in Cordoba</v>
      </c>
      <c r="AJ800" s="15" t="str">
        <f t="shared" si="20"/>
        <v>EP-finished SS 304/316L pipes and tubes for food processing plants in Cordoba. ASME BPE SF1-SF4, Ra from 0.25 um, EN 10204 3.1 certificate with every lot.</v>
      </c>
      <c r="AK800" s="15" t="str">
        <f t="shared" si="21"/>
        <v>Electropolished stainless steel pipes supplied by Sakshi Forge to food processing plants at Poligono Las Quemadas, Cordoba</v>
      </c>
      <c r="AL800" s="15" t="str">
        <f t="shared" si="22"/>
        <v>Electropolished SS 316L tube stock for Cordoba - Sakshi Forge</v>
      </c>
      <c r="AM800" s="15" t="str">
        <f t="shared" si="23"/>
        <v>Home &gt; Market Area &gt; Spain &gt; Andalusia &gt; Cordoba</v>
      </c>
      <c r="AN800" s="15">
        <f t="shared" si="24"/>
        <v>1000</v>
      </c>
      <c r="AO800" s="15">
        <f t="shared" si="25"/>
        <v>8</v>
      </c>
      <c r="AP800" s="15">
        <f t="shared" si="26"/>
        <v>8</v>
      </c>
      <c r="AQ800" s="15">
        <f t="shared" si="27"/>
        <v>14</v>
      </c>
      <c r="AR800" s="31"/>
      <c r="AS800" s="31"/>
      <c r="AT800" s="35" t="s">
        <v>222</v>
      </c>
      <c r="AU800" s="35"/>
    </row>
    <row r="801" ht="15.75" customHeight="1">
      <c r="A801" s="15" t="s">
        <v>9074</v>
      </c>
      <c r="B801" s="15" t="s">
        <v>380</v>
      </c>
      <c r="C801" s="15" t="s">
        <v>8113</v>
      </c>
      <c r="D801" s="15" t="s">
        <v>9075</v>
      </c>
      <c r="E801" s="15" t="s">
        <v>9075</v>
      </c>
      <c r="F801" s="65" t="s">
        <v>788</v>
      </c>
      <c r="G801" s="17" t="s">
        <v>88</v>
      </c>
      <c r="H801" s="18" t="s">
        <v>9076</v>
      </c>
      <c r="I801" s="18" t="s">
        <v>9077</v>
      </c>
      <c r="J801" s="18" t="s">
        <v>9078</v>
      </c>
      <c r="K801" s="18" t="s">
        <v>229</v>
      </c>
      <c r="L801" s="18" t="s">
        <v>9079</v>
      </c>
      <c r="M801" s="18" t="s">
        <v>596</v>
      </c>
      <c r="N801" s="18" t="s">
        <v>402</v>
      </c>
      <c r="O801" s="18" t="s">
        <v>98</v>
      </c>
      <c r="P801" s="15" t="str">
        <f t="shared" si="1"/>
        <v>PHARMA</v>
      </c>
      <c r="Q801" s="15">
        <f t="shared" si="2"/>
        <v>6</v>
      </c>
      <c r="R801" s="15">
        <f t="shared" si="3"/>
        <v>7</v>
      </c>
      <c r="S801" s="15">
        <f t="shared" si="4"/>
        <v>3</v>
      </c>
      <c r="T801" s="15" t="str">
        <f t="shared" si="5"/>
        <v>B-6</v>
      </c>
      <c r="U801" s="15" t="str">
        <f t="shared" si="6"/>
        <v>T6-M7-H3-FB-6-PHARMA</v>
      </c>
      <c r="V801" s="15">
        <f t="shared" si="7"/>
        <v>0</v>
      </c>
      <c r="W801" s="31"/>
      <c r="X801" s="15" t="str">
        <f t="shared" si="8"/>
        <v>granada-spain</v>
      </c>
      <c r="Y801" s="32" t="str">
        <f t="shared" si="9"/>
        <v>https://steelmanufacturer.in/market-area/electropolished-pipes-manufacturer-in-granada-spain/</v>
      </c>
      <c r="Z801" s="15" t="str">
        <f t="shared" si="10"/>
        <v>Electropolished Pipes Manufacturer in Granada</v>
      </c>
      <c r="AA801" s="15" t="str">
        <f t="shared" si="11"/>
        <v>OK (45)</v>
      </c>
      <c r="AB801" s="15" t="str">
        <f t="shared" si="12"/>
        <v>Electropolished pipes in Granada: 304, 304L, 316 and 316L in SF1-SF4. 19-25 days sea from Nhava Sheva to Valencia. Mill certified.</v>
      </c>
      <c r="AC801" s="15" t="str">
        <f t="shared" si="13"/>
        <v>OK (130)</v>
      </c>
      <c r="AD801" s="15" t="str">
        <f t="shared" si="14"/>
        <v>Electropolished Pipes Manufacturer in Granada</v>
      </c>
      <c r="AE801" s="15" t="str">
        <f t="shared" si="15"/>
        <v>Electropolished Pipes Manufacturer in Granada - Our Process &amp; Capability</v>
      </c>
      <c r="AF801" s="15" t="str">
        <f t="shared" si="16"/>
        <v>Electropolished Pipes Supplier in Granada - What We Hold in Stock</v>
      </c>
      <c r="AG801" s="15" t="str">
        <f t="shared" si="17"/>
        <v>Bulk &amp; Wholesale Electropolished Pipe Rates for Granada Buyers</v>
      </c>
      <c r="AH801" s="15" t="str">
        <f t="shared" si="18"/>
        <v>electropolished pipes manufacturer in Granada, electropolished pipes supplier in Granada, electropolished pipes wholesaler in Granada, electropolished tube manufacturer Granada, EP pipe supplier Granada, sanitary tube supplier Granada, ASME BPE tubing Granada, ASTM A270 tube Granada, SS 316L electropolished pipe Granada</v>
      </c>
      <c r="AI801" s="15" t="str">
        <f t="shared" si="19"/>
        <v>Electropolished Pipes Manufacturer &amp; Supplier in Granada</v>
      </c>
      <c r="AJ801" s="15" t="str">
        <f t="shared" si="20"/>
        <v>EP-finished SS 304/316L pipes and tubes for pharma plants in Granada. ASME BPE SF1-SF4, Ra from 0.25 um, EN 10204 3.1 certificate with every lot.</v>
      </c>
      <c r="AK801" s="15" t="str">
        <f t="shared" si="21"/>
        <v>Electropolished stainless steel pipes supplied by Sakshi Forge to pharma plants at Poligono Juncaril, Granada</v>
      </c>
      <c r="AL801" s="15" t="str">
        <f t="shared" si="22"/>
        <v>Electropolished SS 316L tube stock for Granada - Sakshi Forge</v>
      </c>
      <c r="AM801" s="15" t="str">
        <f t="shared" si="23"/>
        <v>Home &gt; Market Area &gt; Spain &gt; Andalusia &gt; Granada</v>
      </c>
      <c r="AN801" s="15">
        <f t="shared" si="24"/>
        <v>1000</v>
      </c>
      <c r="AO801" s="15">
        <f t="shared" si="25"/>
        <v>8</v>
      </c>
      <c r="AP801" s="15">
        <f t="shared" si="26"/>
        <v>8</v>
      </c>
      <c r="AQ801" s="15">
        <f t="shared" si="27"/>
        <v>14</v>
      </c>
      <c r="AR801" s="31"/>
      <c r="AS801" s="31"/>
      <c r="AT801" s="35" t="s">
        <v>222</v>
      </c>
      <c r="AU801" s="35"/>
    </row>
    <row r="802" ht="15.75" customHeight="1">
      <c r="A802" s="15" t="s">
        <v>9080</v>
      </c>
      <c r="B802" s="15" t="s">
        <v>380</v>
      </c>
      <c r="C802" s="15" t="s">
        <v>8113</v>
      </c>
      <c r="D802" s="15" t="s">
        <v>9081</v>
      </c>
      <c r="E802" s="15" t="s">
        <v>9081</v>
      </c>
      <c r="F802" s="65" t="s">
        <v>788</v>
      </c>
      <c r="G802" s="17" t="s">
        <v>88</v>
      </c>
      <c r="H802" s="18" t="s">
        <v>9082</v>
      </c>
      <c r="I802" s="18" t="s">
        <v>9083</v>
      </c>
      <c r="J802" s="18" t="s">
        <v>9084</v>
      </c>
      <c r="K802" s="18" t="s">
        <v>9085</v>
      </c>
      <c r="L802" s="18" t="s">
        <v>9086</v>
      </c>
      <c r="M802" s="18" t="s">
        <v>596</v>
      </c>
      <c r="N802" s="18" t="s">
        <v>402</v>
      </c>
      <c r="O802" s="18" t="s">
        <v>98</v>
      </c>
      <c r="P802" s="15" t="str">
        <f t="shared" si="1"/>
        <v>CHEM</v>
      </c>
      <c r="Q802" s="15">
        <f t="shared" si="2"/>
        <v>7</v>
      </c>
      <c r="R802" s="15">
        <f t="shared" si="3"/>
        <v>1</v>
      </c>
      <c r="S802" s="15">
        <f t="shared" si="4"/>
        <v>4</v>
      </c>
      <c r="T802" s="15" t="str">
        <f t="shared" si="5"/>
        <v>B-1</v>
      </c>
      <c r="U802" s="15" t="str">
        <f t="shared" si="6"/>
        <v>T7-M1-H4-FB-1-CHEM</v>
      </c>
      <c r="V802" s="15">
        <f t="shared" si="7"/>
        <v>0</v>
      </c>
      <c r="W802" s="31"/>
      <c r="X802" s="15" t="str">
        <f t="shared" si="8"/>
        <v>huelva-spain</v>
      </c>
      <c r="Y802" s="32" t="str">
        <f t="shared" si="9"/>
        <v>https://steelmanufacturer.in/market-area/electropolished-pipes-manufacturer-in-huelva-spain/</v>
      </c>
      <c r="Z802" s="15" t="str">
        <f t="shared" si="10"/>
        <v>Electropolished Pipes Manufacturer in Huelva | ASME BPE SF1-SF4</v>
      </c>
      <c r="AA802" s="15" t="str">
        <f t="shared" si="11"/>
        <v>OK (63)</v>
      </c>
      <c r="AB802" s="15" t="str">
        <f t="shared" si="12"/>
        <v>EP-finished SS 304/316L pipes &amp; tubes for chemical &amp; fertiliser plants in Huelva. ASTM A270, ASME BPE SF1-SF4, EN 10204 3.1 MTC. PMI tested.</v>
      </c>
      <c r="AC802" s="15" t="str">
        <f t="shared" si="13"/>
        <v>OK (140)</v>
      </c>
      <c r="AD802" s="15" t="str">
        <f t="shared" si="14"/>
        <v>Electropolished Pipes Manufacturer in Huelva</v>
      </c>
      <c r="AE802" s="15" t="str">
        <f t="shared" si="15"/>
        <v>Manufacturing Electropolished SS Tube for Huelva: The Standards We Build To</v>
      </c>
      <c r="AF802" s="15" t="str">
        <f t="shared" si="16"/>
        <v>Electropolished Pipe Supply Into Huelva - Certification &amp; Transit</v>
      </c>
      <c r="AG802" s="15" t="str">
        <f t="shared" si="17"/>
        <v>Electropolished Pipes Wholesaler in Huelva - Project Quantities &amp; Terms</v>
      </c>
      <c r="AH802" s="15" t="str">
        <f t="shared" si="18"/>
        <v>electropolished pipes manufacturer in Huelva, electropolished pipes supplier in Huelva, electropolished pipes wholesaler in Huelva, electropolished tube manufacturer Huelva, EP pipe supplier Huelva, sanitary tube supplier Huelva, ASME BPE tubing Huelva, ASTM A270 tube Huelva, SS 316L electropolished pipe Huelva</v>
      </c>
      <c r="AI802" s="15" t="str">
        <f t="shared" si="19"/>
        <v>Electropolished Pipes Manufacturer &amp; Supplier in Huelva</v>
      </c>
      <c r="AJ802" s="15" t="str">
        <f t="shared" si="20"/>
        <v>EP-finished SS 304/316L pipes and tubes for chemical &amp; fertiliser plants in Huelva. ASME BPE SF1-SF4, Ra from 0.25 um, EN 10204 3.1 certificate with every lot.</v>
      </c>
      <c r="AK802" s="15" t="str">
        <f t="shared" si="21"/>
        <v>Electropolished stainless steel pipes supplied by Sakshi Forge to chemical &amp; fertiliser plants at Huelva Chemical Pole, Huelva</v>
      </c>
      <c r="AL802" s="15" t="str">
        <f t="shared" si="22"/>
        <v>Electropolished SS 316L tube stock for Huelva - Sakshi Forge</v>
      </c>
      <c r="AM802" s="15" t="str">
        <f t="shared" si="23"/>
        <v>Home &gt; Market Area &gt; Spain &gt; Andalusia &gt; Huelva</v>
      </c>
      <c r="AN802" s="15">
        <f t="shared" si="24"/>
        <v>1000</v>
      </c>
      <c r="AO802" s="15">
        <f t="shared" si="25"/>
        <v>8</v>
      </c>
      <c r="AP802" s="15">
        <f t="shared" si="26"/>
        <v>8</v>
      </c>
      <c r="AQ802" s="15">
        <f t="shared" si="27"/>
        <v>14</v>
      </c>
      <c r="AR802" s="31"/>
      <c r="AS802" s="31"/>
      <c r="AT802" s="35" t="s">
        <v>222</v>
      </c>
      <c r="AU802" s="35"/>
    </row>
    <row r="803" ht="15.75" customHeight="1">
      <c r="A803" s="15" t="s">
        <v>9087</v>
      </c>
      <c r="B803" s="15" t="s">
        <v>380</v>
      </c>
      <c r="C803" s="15" t="s">
        <v>9052</v>
      </c>
      <c r="D803" s="15" t="s">
        <v>9088</v>
      </c>
      <c r="E803" s="15" t="s">
        <v>9088</v>
      </c>
      <c r="F803" s="65" t="s">
        <v>788</v>
      </c>
      <c r="G803" s="17" t="s">
        <v>88</v>
      </c>
      <c r="H803" s="18" t="s">
        <v>9089</v>
      </c>
      <c r="I803" s="18" t="s">
        <v>9090</v>
      </c>
      <c r="J803" s="18" t="s">
        <v>8742</v>
      </c>
      <c r="K803" s="18" t="s">
        <v>229</v>
      </c>
      <c r="L803" s="18" t="s">
        <v>9091</v>
      </c>
      <c r="M803" s="18" t="s">
        <v>596</v>
      </c>
      <c r="N803" s="18" t="s">
        <v>402</v>
      </c>
      <c r="O803" s="18" t="s">
        <v>98</v>
      </c>
      <c r="P803" s="15" t="str">
        <f t="shared" si="1"/>
        <v>PHARMA</v>
      </c>
      <c r="Q803" s="15">
        <f t="shared" si="2"/>
        <v>8</v>
      </c>
      <c r="R803" s="15">
        <f t="shared" si="3"/>
        <v>2</v>
      </c>
      <c r="S803" s="15">
        <f t="shared" si="4"/>
        <v>5</v>
      </c>
      <c r="T803" s="15" t="str">
        <f t="shared" si="5"/>
        <v>B-2</v>
      </c>
      <c r="U803" s="15" t="str">
        <f t="shared" si="6"/>
        <v>T8-M2-H5-FB-2-PHARMA</v>
      </c>
      <c r="V803" s="15">
        <f t="shared" si="7"/>
        <v>0</v>
      </c>
      <c r="W803" s="31"/>
      <c r="X803" s="15" t="str">
        <f t="shared" si="8"/>
        <v>leon-spain</v>
      </c>
      <c r="Y803" s="32" t="str">
        <f t="shared" si="9"/>
        <v>https://steelmanufacturer.in/market-area/electropolished-pipes-manufacturer-in-leon-spain/</v>
      </c>
      <c r="Z803" s="15" t="str">
        <f t="shared" si="10"/>
        <v>Electropolished Pipes Manufacturer in Leon - EP Tube Stockist</v>
      </c>
      <c r="AA803" s="15" t="str">
        <f t="shared" si="11"/>
        <v>OK (61)</v>
      </c>
      <c r="AB803" s="15" t="str">
        <f t="shared" si="12"/>
        <v>Electropolished tube supply to Poligono Onzonilla, Leon. Ra from 0.25 um, SF4 finish, mill test certificate with every lot.</v>
      </c>
      <c r="AC803" s="15" t="str">
        <f t="shared" si="13"/>
        <v>OK (123)</v>
      </c>
      <c r="AD803" s="15" t="str">
        <f t="shared" si="14"/>
        <v>Electropolished Pipes Manufacturer in Leon</v>
      </c>
      <c r="AE803" s="15" t="str">
        <f t="shared" si="15"/>
        <v>Electropolished Tube Manufacturing Capability Serving Leon</v>
      </c>
      <c r="AF803" s="15" t="str">
        <f t="shared" si="16"/>
        <v>Electropolished Pipes Supplier in Leon - From Order to Delivery</v>
      </c>
      <c r="AG803" s="15" t="str">
        <f t="shared" si="17"/>
        <v>Stockist &amp; Wholesale Supply of Electropolished Pipes in Leon</v>
      </c>
      <c r="AH803" s="15" t="str">
        <f t="shared" si="18"/>
        <v>electropolished pipes manufacturer in Leon, electropolished pipes supplier in Leon, electropolished pipes wholesaler in Leon, electropolished tube manufacturer Leon, EP pipe supplier Leon, sanitary tube supplier Leon, ASME BPE tubing Leon, ASTM A270 tube Leon, SS 316L electropolished pipe Leon</v>
      </c>
      <c r="AI803" s="15" t="str">
        <f t="shared" si="19"/>
        <v>Electropolished Pipes Manufacturer &amp; Supplier in Leon</v>
      </c>
      <c r="AJ803" s="15" t="str">
        <f t="shared" si="20"/>
        <v>EP-finished SS 304/316L pipes and tubes for pharma plants in Leon. ASME BPE SF1-SF4, Ra from 0.25 um, EN 10204 3.1 certificate with every lot.</v>
      </c>
      <c r="AK803" s="15" t="str">
        <f t="shared" si="21"/>
        <v>Electropolished stainless steel pipes supplied by Sakshi Forge to pharma plants at Poligono Onzonilla, Leon</v>
      </c>
      <c r="AL803" s="15" t="str">
        <f t="shared" si="22"/>
        <v>Electropolished SS 316L tube stock for Leon - Sakshi Forge</v>
      </c>
      <c r="AM803" s="15" t="str">
        <f t="shared" si="23"/>
        <v>Home &gt; Market Area &gt; Spain &gt; Castile and Leon &gt; Leon</v>
      </c>
      <c r="AN803" s="15">
        <f t="shared" si="24"/>
        <v>1000</v>
      </c>
      <c r="AO803" s="15">
        <f t="shared" si="25"/>
        <v>8</v>
      </c>
      <c r="AP803" s="15">
        <f t="shared" si="26"/>
        <v>8</v>
      </c>
      <c r="AQ803" s="15">
        <f t="shared" si="27"/>
        <v>14</v>
      </c>
      <c r="AR803" s="31"/>
      <c r="AS803" s="31"/>
      <c r="AT803" s="35" t="s">
        <v>222</v>
      </c>
      <c r="AU803" s="35"/>
    </row>
    <row r="804" ht="15.75" customHeight="1">
      <c r="A804" s="15" t="s">
        <v>9092</v>
      </c>
      <c r="B804" s="15" t="s">
        <v>380</v>
      </c>
      <c r="C804" s="15" t="s">
        <v>8088</v>
      </c>
      <c r="D804" s="15" t="s">
        <v>9093</v>
      </c>
      <c r="E804" s="15" t="s">
        <v>9093</v>
      </c>
      <c r="F804" s="65" t="s">
        <v>788</v>
      </c>
      <c r="G804" s="17" t="s">
        <v>88</v>
      </c>
      <c r="H804" s="18" t="s">
        <v>9094</v>
      </c>
      <c r="I804" s="18" t="s">
        <v>9095</v>
      </c>
      <c r="J804" s="18" t="s">
        <v>9096</v>
      </c>
      <c r="K804" s="18" t="s">
        <v>94</v>
      </c>
      <c r="L804" s="18" t="s">
        <v>8093</v>
      </c>
      <c r="M804" s="18" t="s">
        <v>596</v>
      </c>
      <c r="N804" s="18" t="s">
        <v>402</v>
      </c>
      <c r="O804" s="18" t="s">
        <v>98</v>
      </c>
      <c r="P804" s="15" t="str">
        <f t="shared" si="1"/>
        <v>FOOD</v>
      </c>
      <c r="Q804" s="15">
        <f t="shared" si="2"/>
        <v>1</v>
      </c>
      <c r="R804" s="15">
        <f t="shared" si="3"/>
        <v>3</v>
      </c>
      <c r="S804" s="15">
        <f t="shared" si="4"/>
        <v>1</v>
      </c>
      <c r="T804" s="15" t="str">
        <f t="shared" si="5"/>
        <v>B-3</v>
      </c>
      <c r="U804" s="15" t="str">
        <f t="shared" si="6"/>
        <v>T1-M3-H1-FB-3-FOOD</v>
      </c>
      <c r="V804" s="15">
        <f t="shared" si="7"/>
        <v>0</v>
      </c>
      <c r="W804" s="31"/>
      <c r="X804" s="15" t="str">
        <f t="shared" si="8"/>
        <v>lleida-spain</v>
      </c>
      <c r="Y804" s="32" t="str">
        <f t="shared" si="9"/>
        <v>https://steelmanufacturer.in/market-area/electropolished-pipes-manufacturer-in-lleida-spain/</v>
      </c>
      <c r="Z804" s="15" t="str">
        <f t="shared" si="10"/>
        <v>Electropolished Pipes Manufacturer in Lleida | Sakshi Forge</v>
      </c>
      <c r="AA804" s="15" t="str">
        <f t="shared" si="11"/>
        <v>OK (59)</v>
      </c>
      <c r="AB804" s="15" t="str">
        <f t="shared" si="12"/>
        <v>EP stainless tube for food processing lines in Lleida. 19-25 days sea from Nhava Sheva to Valencia. ASTM A270 S2, PMI tested, EN 10204 3.1.</v>
      </c>
      <c r="AC804" s="15" t="str">
        <f t="shared" si="13"/>
        <v>OK (139)</v>
      </c>
      <c r="AD804" s="15" t="str">
        <f t="shared" si="14"/>
        <v>Electropolished Pipes Manufacturer in Lleida</v>
      </c>
      <c r="AE804" s="15" t="str">
        <f t="shared" si="15"/>
        <v>Electropolished Pipe &amp; Tube Manufacturing for Lleida - Grades, Finishes &amp; Certification</v>
      </c>
      <c r="AF804" s="15" t="str">
        <f t="shared" si="16"/>
        <v>Electropolished Pipes Supplier in Lleida - Stock Sizes, Lead Time &amp; Delivery</v>
      </c>
      <c r="AG804" s="15" t="str">
        <f t="shared" si="17"/>
        <v>Electropolished Pipes Wholesaler &amp; Stockist in Lleida - Bulk &amp; Project Pricing</v>
      </c>
      <c r="AH804" s="15" t="str">
        <f t="shared" si="18"/>
        <v>electropolished pipes manufacturer in Lleida, electropolished pipes supplier in Lleida, electropolished pipes wholesaler in Lleida, electropolished tube manufacturer Lleida, EP pipe supplier Lleida, sanitary tube supplier Lleida, ASME BPE tubing Lleida, ASTM A270 tube Lleida, SS 316L electropolished pipe Lleida</v>
      </c>
      <c r="AI804" s="15" t="str">
        <f t="shared" si="19"/>
        <v>Electropolished Pipes Manufacturer &amp; Supplier in Lleida</v>
      </c>
      <c r="AJ804" s="15" t="str">
        <f t="shared" si="20"/>
        <v>EP-finished SS 304/316L pipes and tubes for food processing plants in Lleida. ASME BPE SF1-SF4, Ra from 0.25 um, EN 10204 3.1 certificate with every lot.</v>
      </c>
      <c r="AK804" s="15" t="str">
        <f t="shared" si="21"/>
        <v>Electropolished stainless steel pipes supplied by Sakshi Forge to food processing plants at Poligono El Segre, Lleida</v>
      </c>
      <c r="AL804" s="15" t="str">
        <f t="shared" si="22"/>
        <v>Electropolished SS 316L tube stock for Lleida - Sakshi Forge</v>
      </c>
      <c r="AM804" s="15" t="str">
        <f t="shared" si="23"/>
        <v>Home &gt; Market Area &gt; Spain &gt; Catalonia &gt; Lleida</v>
      </c>
      <c r="AN804" s="15">
        <f t="shared" si="24"/>
        <v>1000</v>
      </c>
      <c r="AO804" s="15">
        <f t="shared" si="25"/>
        <v>8</v>
      </c>
      <c r="AP804" s="15">
        <f t="shared" si="26"/>
        <v>8</v>
      </c>
      <c r="AQ804" s="15">
        <f t="shared" si="27"/>
        <v>14</v>
      </c>
      <c r="AR804" s="31"/>
      <c r="AS804" s="31"/>
      <c r="AT804" s="35" t="s">
        <v>222</v>
      </c>
      <c r="AU804" s="35"/>
    </row>
    <row r="805" ht="15.75" customHeight="1">
      <c r="A805" s="15" t="s">
        <v>9097</v>
      </c>
      <c r="B805" s="15" t="s">
        <v>380</v>
      </c>
      <c r="C805" s="15" t="s">
        <v>8113</v>
      </c>
      <c r="D805" s="15" t="s">
        <v>9098</v>
      </c>
      <c r="E805" s="15" t="s">
        <v>9098</v>
      </c>
      <c r="F805" s="65" t="s">
        <v>788</v>
      </c>
      <c r="G805" s="17" t="s">
        <v>88</v>
      </c>
      <c r="H805" s="18" t="s">
        <v>9099</v>
      </c>
      <c r="I805" s="18" t="s">
        <v>9100</v>
      </c>
      <c r="J805" s="18" t="s">
        <v>9101</v>
      </c>
      <c r="K805" s="18" t="s">
        <v>94</v>
      </c>
      <c r="L805" s="18" t="s">
        <v>9079</v>
      </c>
      <c r="M805" s="18" t="s">
        <v>596</v>
      </c>
      <c r="N805" s="18" t="s">
        <v>402</v>
      </c>
      <c r="O805" s="18" t="s">
        <v>98</v>
      </c>
      <c r="P805" s="15" t="str">
        <f t="shared" si="1"/>
        <v>FOOD</v>
      </c>
      <c r="Q805" s="15">
        <f t="shared" si="2"/>
        <v>2</v>
      </c>
      <c r="R805" s="15">
        <f t="shared" si="3"/>
        <v>4</v>
      </c>
      <c r="S805" s="15">
        <f t="shared" si="4"/>
        <v>2</v>
      </c>
      <c r="T805" s="15" t="str">
        <f t="shared" si="5"/>
        <v>B-4</v>
      </c>
      <c r="U805" s="15" t="str">
        <f t="shared" si="6"/>
        <v>T2-M4-H2-FB-4-FOOD</v>
      </c>
      <c r="V805" s="15">
        <f t="shared" si="7"/>
        <v>0</v>
      </c>
      <c r="W805" s="31"/>
      <c r="X805" s="15" t="str">
        <f t="shared" si="8"/>
        <v>malaga-spain</v>
      </c>
      <c r="Y805" s="32" t="str">
        <f t="shared" si="9"/>
        <v>https://steelmanufacturer.in/market-area/electropolished-pipes-manufacturer-in-malaga-spain/</v>
      </c>
      <c r="Z805" s="15" t="str">
        <f t="shared" si="10"/>
        <v>Electropolished Pipes Manufacturer in Malaga</v>
      </c>
      <c r="AA805" s="15" t="str">
        <f t="shared" si="11"/>
        <v>OK (44)</v>
      </c>
      <c r="AB805" s="15" t="str">
        <f t="shared" si="12"/>
        <v>Sanitary electropolished pipes in Malaga for food processing plants. ASME BPE SF1-SF4, orbital-weld ready, 3.1 MTC. Mumbai-made.</v>
      </c>
      <c r="AC805" s="15" t="str">
        <f t="shared" si="13"/>
        <v>OK (128)</v>
      </c>
      <c r="AD805" s="15" t="str">
        <f t="shared" si="14"/>
        <v>Electropolished Pipes Manufacturer in Malaga</v>
      </c>
      <c r="AE805" s="15" t="str">
        <f t="shared" si="15"/>
        <v>How We Manufacture Electropolished Tube for Malaga Plants</v>
      </c>
      <c r="AF805" s="15" t="str">
        <f t="shared" si="16"/>
        <v>Supplying Electropolished Pipes in Malaga: Availability, Sizes &amp; Dispatch</v>
      </c>
      <c r="AG805" s="15" t="str">
        <f t="shared" si="17"/>
        <v>Wholesale Electropolished Pipe Supply for Malaga Projects</v>
      </c>
      <c r="AH805" s="15" t="str">
        <f t="shared" si="18"/>
        <v>electropolished pipes manufacturer in Malaga, electropolished pipes supplier in Malaga, electropolished pipes wholesaler in Malaga, electropolished tube manufacturer Malaga, EP pipe supplier Malaga, sanitary tube supplier Malaga, ASME BPE tubing Malaga, ASTM A270 tube Malaga, SS 316L electropolished pipe Malaga</v>
      </c>
      <c r="AI805" s="15" t="str">
        <f t="shared" si="19"/>
        <v>Electropolished Pipes Manufacturer &amp; Supplier in Malaga</v>
      </c>
      <c r="AJ805" s="15" t="str">
        <f t="shared" si="20"/>
        <v>EP-finished SS 304/316L pipes and tubes for food processing plants in Malaga. ASME BPE SF1-SF4, Ra from 0.25 um, EN 10204 3.1 certificate with every lot.</v>
      </c>
      <c r="AK805" s="15" t="str">
        <f t="shared" si="21"/>
        <v>Electropolished stainless steel pipes supplied by Sakshi Forge to food processing plants at Poligono Guadalhorce, Malaga</v>
      </c>
      <c r="AL805" s="15" t="str">
        <f t="shared" si="22"/>
        <v>Electropolished SS 316L tube stock for Malaga - Sakshi Forge</v>
      </c>
      <c r="AM805" s="15" t="str">
        <f t="shared" si="23"/>
        <v>Home &gt; Market Area &gt; Spain &gt; Andalusia &gt; Malaga</v>
      </c>
      <c r="AN805" s="15">
        <f t="shared" si="24"/>
        <v>1000</v>
      </c>
      <c r="AO805" s="15">
        <f t="shared" si="25"/>
        <v>8</v>
      </c>
      <c r="AP805" s="15">
        <f t="shared" si="26"/>
        <v>8</v>
      </c>
      <c r="AQ805" s="15">
        <f t="shared" si="27"/>
        <v>14</v>
      </c>
      <c r="AR805" s="31"/>
      <c r="AS805" s="31"/>
      <c r="AT805" s="35" t="s">
        <v>222</v>
      </c>
      <c r="AU805" s="35"/>
    </row>
    <row r="806" ht="15.75" customHeight="1">
      <c r="A806" s="15" t="s">
        <v>9102</v>
      </c>
      <c r="B806" s="15" t="s">
        <v>380</v>
      </c>
      <c r="C806" s="15" t="s">
        <v>9058</v>
      </c>
      <c r="D806" s="15" t="s">
        <v>9058</v>
      </c>
      <c r="E806" s="15" t="s">
        <v>9058</v>
      </c>
      <c r="F806" s="65" t="s">
        <v>788</v>
      </c>
      <c r="G806" s="17" t="s">
        <v>88</v>
      </c>
      <c r="H806" s="18" t="s">
        <v>9103</v>
      </c>
      <c r="I806" s="18" t="s">
        <v>9104</v>
      </c>
      <c r="J806" s="18" t="s">
        <v>9105</v>
      </c>
      <c r="K806" s="18" t="s">
        <v>94</v>
      </c>
      <c r="L806" s="18" t="s">
        <v>9062</v>
      </c>
      <c r="M806" s="18" t="s">
        <v>596</v>
      </c>
      <c r="N806" s="18" t="s">
        <v>402</v>
      </c>
      <c r="O806" s="18" t="s">
        <v>98</v>
      </c>
      <c r="P806" s="15" t="str">
        <f t="shared" si="1"/>
        <v>FOOD</v>
      </c>
      <c r="Q806" s="15">
        <f t="shared" si="2"/>
        <v>3</v>
      </c>
      <c r="R806" s="15">
        <f t="shared" si="3"/>
        <v>5</v>
      </c>
      <c r="S806" s="15">
        <f t="shared" si="4"/>
        <v>3</v>
      </c>
      <c r="T806" s="15" t="str">
        <f t="shared" si="5"/>
        <v>B-5</v>
      </c>
      <c r="U806" s="15" t="str">
        <f t="shared" si="6"/>
        <v>T3-M5-H3-FB-5-FOOD</v>
      </c>
      <c r="V806" s="15">
        <f t="shared" si="7"/>
        <v>0</v>
      </c>
      <c r="W806" s="31"/>
      <c r="X806" s="15" t="str">
        <f t="shared" si="8"/>
        <v>murcia-spain</v>
      </c>
      <c r="Y806" s="32" t="str">
        <f t="shared" si="9"/>
        <v>https://steelmanufacturer.in/market-area/electropolished-pipes-manufacturer-in-murcia-spain/</v>
      </c>
      <c r="Z806" s="15" t="str">
        <f t="shared" si="10"/>
        <v>Electropolished Pipes Manufacturer in Murcia | EP Tube Supplier</v>
      </c>
      <c r="AA806" s="15" t="str">
        <f t="shared" si="11"/>
        <v>OK (63)</v>
      </c>
      <c r="AB806" s="15" t="str">
        <f t="shared" si="12"/>
        <v>Manufacturer of electropolished SS 316L tube serving Murcia. 19-25 days sea from Nhava Sheva to Valencia. Ra 0.25-0.5 um, EN 10204 3.1 MTC.</v>
      </c>
      <c r="AC806" s="15" t="str">
        <f t="shared" si="13"/>
        <v>OK (139)</v>
      </c>
      <c r="AD806" s="15" t="str">
        <f t="shared" si="14"/>
        <v>Electropolished Pipes Manufacturer in Murcia</v>
      </c>
      <c r="AE806" s="15" t="str">
        <f t="shared" si="15"/>
        <v>Electropolished Pipes Manufacturer in Murcia - Our Process &amp; Capability</v>
      </c>
      <c r="AF806" s="15" t="str">
        <f t="shared" si="16"/>
        <v>Electropolished Pipes Supplier in Murcia - What We Hold in Stock</v>
      </c>
      <c r="AG806" s="15" t="str">
        <f t="shared" si="17"/>
        <v>Bulk &amp; Wholesale Electropolished Pipe Rates for Murcia Buyers</v>
      </c>
      <c r="AH806" s="15" t="str">
        <f t="shared" si="18"/>
        <v>electropolished pipes manufacturer in Murcia, electropolished pipes supplier in Murcia, electropolished pipes wholesaler in Murcia, electropolished tube manufacturer Murcia, EP pipe supplier Murcia, sanitary tube supplier Murcia, ASME BPE tubing Murcia, ASTM A270 tube Murcia, SS 316L electropolished pipe Murcia</v>
      </c>
      <c r="AI806" s="15" t="str">
        <f t="shared" si="19"/>
        <v>Electropolished Pipes Manufacturer &amp; Supplier in Murcia</v>
      </c>
      <c r="AJ806" s="15" t="str">
        <f t="shared" si="20"/>
        <v>EP-finished SS 304/316L pipes and tubes for food processing plants in Murcia. ASME BPE SF1-SF4, Ra from 0.25 um, EN 10204 3.1 certificate with every lot.</v>
      </c>
      <c r="AK806" s="15" t="str">
        <f t="shared" si="21"/>
        <v>Electropolished stainless steel pipes supplied by Sakshi Forge to food processing plants at Poligono Oeste San Gines, Murcia</v>
      </c>
      <c r="AL806" s="15" t="str">
        <f t="shared" si="22"/>
        <v>Electropolished SS 316L tube stock for Murcia - Sakshi Forge</v>
      </c>
      <c r="AM806" s="15" t="str">
        <f t="shared" si="23"/>
        <v>Home &gt; Market Area &gt; Spain &gt; Murcia &gt; Murcia</v>
      </c>
      <c r="AN806" s="15">
        <f t="shared" si="24"/>
        <v>1000</v>
      </c>
      <c r="AO806" s="15">
        <f t="shared" si="25"/>
        <v>8</v>
      </c>
      <c r="AP806" s="15">
        <f t="shared" si="26"/>
        <v>8</v>
      </c>
      <c r="AQ806" s="15">
        <f t="shared" si="27"/>
        <v>14</v>
      </c>
      <c r="AR806" s="31"/>
      <c r="AS806" s="31"/>
      <c r="AT806" s="35" t="s">
        <v>222</v>
      </c>
      <c r="AU806" s="35"/>
    </row>
    <row r="807" ht="15.75" customHeight="1">
      <c r="A807" s="15" t="s">
        <v>9106</v>
      </c>
      <c r="B807" s="15" t="s">
        <v>380</v>
      </c>
      <c r="C807" s="15" t="s">
        <v>9107</v>
      </c>
      <c r="D807" s="15" t="s">
        <v>9108</v>
      </c>
      <c r="E807" s="15" t="s">
        <v>9108</v>
      </c>
      <c r="F807" s="65" t="s">
        <v>788</v>
      </c>
      <c r="G807" s="17" t="s">
        <v>88</v>
      </c>
      <c r="H807" s="18" t="s">
        <v>9109</v>
      </c>
      <c r="I807" s="18" t="s">
        <v>9110</v>
      </c>
      <c r="J807" s="18" t="s">
        <v>9111</v>
      </c>
      <c r="K807" s="18" t="s">
        <v>94</v>
      </c>
      <c r="L807" s="18" t="s">
        <v>9091</v>
      </c>
      <c r="M807" s="18" t="s">
        <v>596</v>
      </c>
      <c r="N807" s="18" t="s">
        <v>402</v>
      </c>
      <c r="O807" s="18" t="s">
        <v>98</v>
      </c>
      <c r="P807" s="15" t="str">
        <f t="shared" si="1"/>
        <v>FOOD</v>
      </c>
      <c r="Q807" s="15">
        <f t="shared" si="2"/>
        <v>4</v>
      </c>
      <c r="R807" s="15">
        <f t="shared" si="3"/>
        <v>6</v>
      </c>
      <c r="S807" s="15">
        <f t="shared" si="4"/>
        <v>4</v>
      </c>
      <c r="T807" s="15" t="str">
        <f t="shared" si="5"/>
        <v>B-6</v>
      </c>
      <c r="U807" s="15" t="str">
        <f t="shared" si="6"/>
        <v>T4-M6-H4-FB-6-FOOD</v>
      </c>
      <c r="V807" s="15">
        <f t="shared" si="7"/>
        <v>0</v>
      </c>
      <c r="W807" s="31"/>
      <c r="X807" s="15" t="str">
        <f t="shared" si="8"/>
        <v>oviedo-gijon-spain</v>
      </c>
      <c r="Y807" s="32" t="str">
        <f t="shared" si="9"/>
        <v>https://steelmanufacturer.in/market-area/electropolished-pipes-manufacturer-in-oviedo-gijon-spain/</v>
      </c>
      <c r="Z807" s="15" t="str">
        <f t="shared" si="10"/>
        <v>Electropolished Pipes Manufacturer in Oviedo-Gijon</v>
      </c>
      <c r="AA807" s="15" t="str">
        <f t="shared" si="11"/>
        <v>OK (50)</v>
      </c>
      <c r="AB807" s="15" t="str">
        <f t="shared" si="12"/>
        <v>EP tube and pipe for food processing plants around Poligono Somonte, Oviedo-Gijon. Made at our Mumbai works to ASTM A270 and ASME BPE SF1-SF4, with 3.1 MTC.</v>
      </c>
      <c r="AC807" s="15" t="str">
        <f t="shared" si="13"/>
        <v>OK (156)</v>
      </c>
      <c r="AD807" s="15" t="str">
        <f t="shared" si="14"/>
        <v>Electropolished Pipes Manufacturer in Oviedo-Gijon</v>
      </c>
      <c r="AE807" s="15" t="str">
        <f t="shared" si="15"/>
        <v>Manufacturing Electropolished SS Tube for Oviedo-Gijon: The Standards We Build To</v>
      </c>
      <c r="AF807" s="15" t="str">
        <f t="shared" si="16"/>
        <v>Electropolished Pipe Supply Into Oviedo-Gijon - Certification &amp; Transit</v>
      </c>
      <c r="AG807" s="15" t="str">
        <f t="shared" si="17"/>
        <v>Electropolished Pipes Wholesaler in Oviedo-Gijon - Project Quantities &amp; Terms</v>
      </c>
      <c r="AH807" s="15" t="str">
        <f t="shared" si="18"/>
        <v>electropolished pipes manufacturer in Oviedo-Gijon, electropolished pipes supplier in Oviedo-Gijon, electropolished pipes wholesaler in Oviedo-Gijon, electropolished tube manufacturer Oviedo-Gijon, EP pipe supplier Oviedo-Gijon, sanitary tube supplier Oviedo-Gijon, ASME BPE tubing Oviedo-Gijon, ASTM A270 tube Oviedo-Gijon, SS 316L electropolished pipe Oviedo-Gijon</v>
      </c>
      <c r="AI807" s="15" t="str">
        <f t="shared" si="19"/>
        <v>Electropolished Pipes Manufacturer &amp; Supplier in Oviedo-Gijon</v>
      </c>
      <c r="AJ807" s="15" t="str">
        <f t="shared" si="20"/>
        <v>EP-finished SS 304/316L pipes and tubes for food processing plants in Oviedo-Gijon. ASME BPE SF1-SF4, Ra from 0.25 um, EN 10204 3.1 certificate with every lot.</v>
      </c>
      <c r="AK807" s="15" t="str">
        <f t="shared" si="21"/>
        <v>Electropolished stainless steel pipes supplied by Sakshi Forge to food processing plants at Poligono Somonte, Oviedo-Gijon</v>
      </c>
      <c r="AL807" s="15" t="str">
        <f t="shared" si="22"/>
        <v>Electropolished SS 316L tube stock for Oviedo-Gijon - Sakshi Forge</v>
      </c>
      <c r="AM807" s="15" t="str">
        <f t="shared" si="23"/>
        <v>Home &gt; Market Area &gt; Spain &gt; Asturias &gt; Oviedo-Gijon</v>
      </c>
      <c r="AN807" s="15">
        <f t="shared" si="24"/>
        <v>1000</v>
      </c>
      <c r="AO807" s="15">
        <f t="shared" si="25"/>
        <v>8</v>
      </c>
      <c r="AP807" s="15">
        <f t="shared" si="26"/>
        <v>8</v>
      </c>
      <c r="AQ807" s="15">
        <f t="shared" si="27"/>
        <v>14</v>
      </c>
      <c r="AR807" s="31"/>
      <c r="AS807" s="31"/>
      <c r="AT807" s="35" t="s">
        <v>222</v>
      </c>
      <c r="AU807" s="35"/>
    </row>
    <row r="808" ht="15.75" customHeight="1">
      <c r="A808" s="15" t="s">
        <v>9112</v>
      </c>
      <c r="B808" s="15" t="s">
        <v>380</v>
      </c>
      <c r="C808" s="15" t="s">
        <v>9113</v>
      </c>
      <c r="D808" s="15" t="s">
        <v>9114</v>
      </c>
      <c r="E808" s="15" t="s">
        <v>9114</v>
      </c>
      <c r="F808" s="65" t="s">
        <v>788</v>
      </c>
      <c r="G808" s="17" t="s">
        <v>88</v>
      </c>
      <c r="H808" s="18" t="s">
        <v>9115</v>
      </c>
      <c r="I808" s="18" t="s">
        <v>9116</v>
      </c>
      <c r="J808" s="18" t="s">
        <v>9117</v>
      </c>
      <c r="K808" s="18" t="s">
        <v>94</v>
      </c>
      <c r="L808" s="18" t="s">
        <v>8100</v>
      </c>
      <c r="M808" s="18" t="s">
        <v>596</v>
      </c>
      <c r="N808" s="18" t="s">
        <v>402</v>
      </c>
      <c r="O808" s="18" t="s">
        <v>98</v>
      </c>
      <c r="P808" s="15" t="str">
        <f t="shared" si="1"/>
        <v>FOOD</v>
      </c>
      <c r="Q808" s="15">
        <f t="shared" si="2"/>
        <v>5</v>
      </c>
      <c r="R808" s="15">
        <f t="shared" si="3"/>
        <v>7</v>
      </c>
      <c r="S808" s="15">
        <f t="shared" si="4"/>
        <v>5</v>
      </c>
      <c r="T808" s="15" t="str">
        <f t="shared" si="5"/>
        <v>B-1</v>
      </c>
      <c r="U808" s="15" t="str">
        <f t="shared" si="6"/>
        <v>T5-M7-H5-FB-1-FOOD</v>
      </c>
      <c r="V808" s="15">
        <f t="shared" si="7"/>
        <v>0</v>
      </c>
      <c r="W808" s="31"/>
      <c r="X808" s="15" t="str">
        <f t="shared" si="8"/>
        <v>pamplona-spain</v>
      </c>
      <c r="Y808" s="32" t="str">
        <f t="shared" si="9"/>
        <v>https://steelmanufacturer.in/market-area/electropolished-pipes-manufacturer-in-pamplona-spain/</v>
      </c>
      <c r="Z808" s="15" t="str">
        <f t="shared" si="10"/>
        <v>Electropolished Pipes Manufacturer in Pamplona</v>
      </c>
      <c r="AA808" s="15" t="str">
        <f t="shared" si="11"/>
        <v>OK (46)</v>
      </c>
      <c r="AB808" s="15" t="str">
        <f t="shared" si="12"/>
        <v>Electropolished pipes in Pamplona: 304, 304L, 316 and 316L in SF1-SF4. 19-25 days sea from Nhava Sheva to Valencia. Mill certified.</v>
      </c>
      <c r="AC808" s="15" t="str">
        <f t="shared" si="13"/>
        <v>OK (131)</v>
      </c>
      <c r="AD808" s="15" t="str">
        <f t="shared" si="14"/>
        <v>Electropolished Pipes Manufacturer in Pamplona</v>
      </c>
      <c r="AE808" s="15" t="str">
        <f t="shared" si="15"/>
        <v>Electropolished Tube Manufacturing Capability Serving Pamplona</v>
      </c>
      <c r="AF808" s="15" t="str">
        <f t="shared" si="16"/>
        <v>Electropolished Pipes Supplier in Pamplona - From Order to Delivery</v>
      </c>
      <c r="AG808" s="15" t="str">
        <f t="shared" si="17"/>
        <v>Stockist &amp; Wholesale Supply of Electropolished Pipes in Pamplona</v>
      </c>
      <c r="AH808" s="15" t="str">
        <f t="shared" si="18"/>
        <v>electropolished pipes manufacturer in Pamplona, electropolished pipes supplier in Pamplona, electropolished pipes wholesaler in Pamplona, electropolished tube manufacturer Pamplona, EP pipe supplier Pamplona, sanitary tube supplier Pamplona, ASME BPE tubing Pamplona, ASTM A270 tube Pamplona, SS 316L electropolished pipe Pamplona</v>
      </c>
      <c r="AI808" s="15" t="str">
        <f t="shared" si="19"/>
        <v>Electropolished Pipes Manufacturer &amp; Supplier in Pamplona</v>
      </c>
      <c r="AJ808" s="15" t="str">
        <f t="shared" si="20"/>
        <v>EP-finished SS 304/316L pipes and tubes for food processing plants in Pamplona. ASME BPE SF1-SF4, Ra from 0.25 um, EN 10204 3.1 certificate with every lot.</v>
      </c>
      <c r="AK808" s="15" t="str">
        <f t="shared" si="21"/>
        <v>Electropolished stainless steel pipes supplied by Sakshi Forge to food processing plants at Poligono Landaben, Pamplona</v>
      </c>
      <c r="AL808" s="15" t="str">
        <f t="shared" si="22"/>
        <v>Electropolished SS 316L tube stock for Pamplona - Sakshi Forge</v>
      </c>
      <c r="AM808" s="15" t="str">
        <f t="shared" si="23"/>
        <v>Home &gt; Market Area &gt; Spain &gt; Navarre &gt; Pamplona</v>
      </c>
      <c r="AN808" s="15">
        <f t="shared" si="24"/>
        <v>1000</v>
      </c>
      <c r="AO808" s="15">
        <f t="shared" si="25"/>
        <v>8</v>
      </c>
      <c r="AP808" s="15">
        <f t="shared" si="26"/>
        <v>8</v>
      </c>
      <c r="AQ808" s="15">
        <f t="shared" si="27"/>
        <v>14</v>
      </c>
      <c r="AR808" s="31"/>
      <c r="AS808" s="31"/>
      <c r="AT808" s="35" t="s">
        <v>222</v>
      </c>
      <c r="AU808" s="35"/>
    </row>
    <row r="809" ht="15.75" customHeight="1">
      <c r="A809" s="15" t="s">
        <v>9118</v>
      </c>
      <c r="B809" s="15" t="s">
        <v>380</v>
      </c>
      <c r="C809" s="15" t="s">
        <v>9052</v>
      </c>
      <c r="D809" s="15" t="s">
        <v>9119</v>
      </c>
      <c r="E809" s="15" t="s">
        <v>9119</v>
      </c>
      <c r="F809" s="65" t="s">
        <v>788</v>
      </c>
      <c r="G809" s="17" t="s">
        <v>88</v>
      </c>
      <c r="H809" s="18" t="s">
        <v>9120</v>
      </c>
      <c r="I809" s="18" t="s">
        <v>9121</v>
      </c>
      <c r="J809" s="18" t="s">
        <v>9122</v>
      </c>
      <c r="K809" s="18" t="s">
        <v>229</v>
      </c>
      <c r="L809" s="18" t="s">
        <v>8100</v>
      </c>
      <c r="M809" s="18" t="s">
        <v>596</v>
      </c>
      <c r="N809" s="18" t="s">
        <v>402</v>
      </c>
      <c r="O809" s="18" t="s">
        <v>98</v>
      </c>
      <c r="P809" s="15" t="str">
        <f t="shared" si="1"/>
        <v>PHARMA</v>
      </c>
      <c r="Q809" s="15">
        <f t="shared" si="2"/>
        <v>6</v>
      </c>
      <c r="R809" s="15">
        <f t="shared" si="3"/>
        <v>1</v>
      </c>
      <c r="S809" s="15">
        <f t="shared" si="4"/>
        <v>1</v>
      </c>
      <c r="T809" s="15" t="str">
        <f t="shared" si="5"/>
        <v>B-2</v>
      </c>
      <c r="U809" s="15" t="str">
        <f t="shared" si="6"/>
        <v>T6-M1-H1-FB-2-PHARMA</v>
      </c>
      <c r="V809" s="15">
        <f t="shared" si="7"/>
        <v>0</v>
      </c>
      <c r="W809" s="31"/>
      <c r="X809" s="15" t="str">
        <f t="shared" si="8"/>
        <v>salamanca-spain</v>
      </c>
      <c r="Y809" s="32" t="str">
        <f t="shared" si="9"/>
        <v>https://steelmanufacturer.in/market-area/electropolished-pipes-manufacturer-in-salamanca-spain/</v>
      </c>
      <c r="Z809" s="15" t="str">
        <f t="shared" si="10"/>
        <v>Electropolished Pipes Manufacturer in Salamanca</v>
      </c>
      <c r="AA809" s="15" t="str">
        <f t="shared" si="11"/>
        <v>OK (47)</v>
      </c>
      <c r="AB809" s="15" t="str">
        <f t="shared" si="12"/>
        <v>EP-finished SS 304/316L pipes &amp; tubes for pharma plants in Salamanca. ASTM A270, ASME BPE SF1-SF4, EN 10204 3.1 MTC. PMI tested.</v>
      </c>
      <c r="AC809" s="15" t="str">
        <f t="shared" si="13"/>
        <v>OK (128)</v>
      </c>
      <c r="AD809" s="15" t="str">
        <f t="shared" si="14"/>
        <v>Electropolished Pipes Manufacturer in Salamanca</v>
      </c>
      <c r="AE809" s="15" t="str">
        <f t="shared" si="15"/>
        <v>Electropolished Pipe &amp; Tube Manufacturing for Salamanca - Grades, Finishes &amp; Certification</v>
      </c>
      <c r="AF809" s="15" t="str">
        <f t="shared" si="16"/>
        <v>Electropolished Pipes Supplier in Salamanca - Stock Sizes, Lead Time &amp; Delivery</v>
      </c>
      <c r="AG809" s="15" t="str">
        <f t="shared" si="17"/>
        <v>Electropolished Pipes Wholesaler &amp; Stockist in Salamanca - Bulk &amp; Project Pricing</v>
      </c>
      <c r="AH809" s="15" t="str">
        <f t="shared" si="18"/>
        <v>electropolished pipes manufacturer in Salamanca, electropolished pipes supplier in Salamanca, electropolished pipes wholesaler in Salamanca, electropolished tube manufacturer Salamanca, EP pipe supplier Salamanca, sanitary tube supplier Salamanca, ASME BPE tubing Salamanca, ASTM A270 tube Salamanca, SS 316L electropolished pipe Salamanca</v>
      </c>
      <c r="AI809" s="15" t="str">
        <f t="shared" si="19"/>
        <v>Electropolished Pipes Manufacturer &amp; Supplier in Salamanca</v>
      </c>
      <c r="AJ809" s="15" t="str">
        <f t="shared" si="20"/>
        <v>EP-finished SS 304/316L pipes and tubes for pharma plants in Salamanca. ASME BPE SF1-SF4, Ra from 0.25 um, EN 10204 3.1 certificate with every lot.</v>
      </c>
      <c r="AK809" s="15" t="str">
        <f t="shared" si="21"/>
        <v>Electropolished stainless steel pipes supplied by Sakshi Forge to pharma plants at Poligono Los Villares, Salamanca</v>
      </c>
      <c r="AL809" s="15" t="str">
        <f t="shared" si="22"/>
        <v>Electropolished SS 316L tube stock for Salamanca - Sakshi Forge</v>
      </c>
      <c r="AM809" s="15" t="str">
        <f t="shared" si="23"/>
        <v>Home &gt; Market Area &gt; Spain &gt; Castile and Leon &gt; Salamanca</v>
      </c>
      <c r="AN809" s="15">
        <f t="shared" si="24"/>
        <v>1000</v>
      </c>
      <c r="AO809" s="15">
        <f t="shared" si="25"/>
        <v>8</v>
      </c>
      <c r="AP809" s="15">
        <f t="shared" si="26"/>
        <v>8</v>
      </c>
      <c r="AQ809" s="15">
        <f t="shared" si="27"/>
        <v>14</v>
      </c>
      <c r="AR809" s="31"/>
      <c r="AS809" s="31"/>
      <c r="AT809" s="35" t="s">
        <v>222</v>
      </c>
      <c r="AU809" s="35"/>
    </row>
    <row r="810" ht="15.75" customHeight="1">
      <c r="A810" s="15" t="s">
        <v>9123</v>
      </c>
      <c r="B810" s="15" t="s">
        <v>380</v>
      </c>
      <c r="C810" s="15" t="s">
        <v>8095</v>
      </c>
      <c r="D810" s="15" t="s">
        <v>9124</v>
      </c>
      <c r="E810" s="15" t="s">
        <v>9124</v>
      </c>
      <c r="F810" s="65" t="s">
        <v>788</v>
      </c>
      <c r="G810" s="17" t="s">
        <v>88</v>
      </c>
      <c r="H810" s="18" t="s">
        <v>9125</v>
      </c>
      <c r="I810" s="18" t="s">
        <v>9126</v>
      </c>
      <c r="J810" s="18" t="s">
        <v>9127</v>
      </c>
      <c r="K810" s="18" t="s">
        <v>94</v>
      </c>
      <c r="L810" s="18" t="s">
        <v>9128</v>
      </c>
      <c r="M810" s="18" t="s">
        <v>596</v>
      </c>
      <c r="N810" s="18" t="s">
        <v>402</v>
      </c>
      <c r="O810" s="18" t="s">
        <v>98</v>
      </c>
      <c r="P810" s="15" t="str">
        <f t="shared" si="1"/>
        <v>FOOD</v>
      </c>
      <c r="Q810" s="15">
        <f t="shared" si="2"/>
        <v>7</v>
      </c>
      <c r="R810" s="15">
        <f t="shared" si="3"/>
        <v>2</v>
      </c>
      <c r="S810" s="15">
        <f t="shared" si="4"/>
        <v>2</v>
      </c>
      <c r="T810" s="15" t="str">
        <f t="shared" si="5"/>
        <v>B-3</v>
      </c>
      <c r="U810" s="15" t="str">
        <f t="shared" si="6"/>
        <v>T7-M2-H2-FB-3-FOOD</v>
      </c>
      <c r="V810" s="15">
        <f t="shared" si="7"/>
        <v>0</v>
      </c>
      <c r="W810" s="31"/>
      <c r="X810" s="15" t="str">
        <f t="shared" si="8"/>
        <v>san-sebastian-spain</v>
      </c>
      <c r="Y810" s="32" t="str">
        <f t="shared" si="9"/>
        <v>https://steelmanufacturer.in/market-area/electropolished-pipes-manufacturer-in-san-sebastian-spain/</v>
      </c>
      <c r="Z810" s="15" t="str">
        <f t="shared" si="10"/>
        <v>Electropolished Pipes Manufacturer in San Sebastian</v>
      </c>
      <c r="AA810" s="15" t="str">
        <f t="shared" si="11"/>
        <v>OK (51)</v>
      </c>
      <c r="AB810" s="15" t="str">
        <f t="shared" si="12"/>
        <v>Electropolished tube supply to Poligono 27 Martutene, San Sebastian. Ra from 0.25 um, SF4 finish, mill test certificate with every lot.</v>
      </c>
      <c r="AC810" s="15" t="str">
        <f t="shared" si="13"/>
        <v>OK (135)</v>
      </c>
      <c r="AD810" s="15" t="str">
        <f t="shared" si="14"/>
        <v>Electropolished Pipes Manufacturer in San Sebastian</v>
      </c>
      <c r="AE810" s="15" t="str">
        <f t="shared" si="15"/>
        <v>How We Manufacture Electropolished Tube for San Sebastian Plants</v>
      </c>
      <c r="AF810" s="15" t="str">
        <f t="shared" si="16"/>
        <v>Supplying Electropolished Pipes in San Sebastian: Availability, Sizes &amp; Dispatch</v>
      </c>
      <c r="AG810" s="15" t="str">
        <f t="shared" si="17"/>
        <v>Wholesale Electropolished Pipe Supply for San Sebastian Projects</v>
      </c>
      <c r="AH810" s="15" t="str">
        <f t="shared" si="18"/>
        <v>electropolished pipes manufacturer in San Sebastian, electropolished pipes supplier in San Sebastian, electropolished pipes wholesaler in San Sebastian, electropolished tube manufacturer San Sebastian, EP pipe supplier San Sebastian, sanitary tube supplier San Sebastian, ASME BPE tubing San Sebastian, ASTM A270 tube San Sebastian, SS 316L electropolished pipe San Sebastian</v>
      </c>
      <c r="AI810" s="15" t="str">
        <f t="shared" si="19"/>
        <v>Electropolished Pipes Manufacturer &amp; Supplier in San Sebastian</v>
      </c>
      <c r="AJ810" s="15" t="str">
        <f t="shared" si="20"/>
        <v>EP-finished SS 304/316L pipes and tubes for food processing plants in San Sebastian. ASME BPE SF1-SF4, Ra from 0.25 um, EN 10204 3.1 certificate with every lot.</v>
      </c>
      <c r="AK810" s="15" t="str">
        <f t="shared" si="21"/>
        <v>Electropolished stainless steel pipes supplied by Sakshi Forge to food processing plants at Poligono 27 Martutene, San Sebastian</v>
      </c>
      <c r="AL810" s="15" t="str">
        <f t="shared" si="22"/>
        <v>Electropolished SS 316L tube stock for San Sebastian - Sakshi Forge</v>
      </c>
      <c r="AM810" s="15" t="str">
        <f t="shared" si="23"/>
        <v>Home &gt; Market Area &gt; Spain &gt; Basque Country &gt; San Sebastian</v>
      </c>
      <c r="AN810" s="15">
        <f t="shared" si="24"/>
        <v>1000</v>
      </c>
      <c r="AO810" s="15">
        <f t="shared" si="25"/>
        <v>8</v>
      </c>
      <c r="AP810" s="15">
        <f t="shared" si="26"/>
        <v>8</v>
      </c>
      <c r="AQ810" s="15">
        <f t="shared" si="27"/>
        <v>14</v>
      </c>
      <c r="AR810" s="31"/>
      <c r="AS810" s="31"/>
      <c r="AT810" s="35" t="s">
        <v>222</v>
      </c>
      <c r="AU810" s="35"/>
    </row>
    <row r="811" ht="15.75" customHeight="1">
      <c r="A811" s="15" t="s">
        <v>9129</v>
      </c>
      <c r="B811" s="15" t="s">
        <v>380</v>
      </c>
      <c r="C811" s="15" t="s">
        <v>9130</v>
      </c>
      <c r="D811" s="15" t="s">
        <v>9131</v>
      </c>
      <c r="E811" s="15" t="s">
        <v>9131</v>
      </c>
      <c r="F811" s="65" t="s">
        <v>788</v>
      </c>
      <c r="G811" s="17" t="s">
        <v>88</v>
      </c>
      <c r="H811" s="18" t="s">
        <v>9132</v>
      </c>
      <c r="I811" s="18" t="s">
        <v>9133</v>
      </c>
      <c r="J811" s="18" t="s">
        <v>6849</v>
      </c>
      <c r="K811" s="18" t="s">
        <v>229</v>
      </c>
      <c r="L811" s="18" t="s">
        <v>9134</v>
      </c>
      <c r="M811" s="18" t="s">
        <v>596</v>
      </c>
      <c r="N811" s="18" t="s">
        <v>402</v>
      </c>
      <c r="O811" s="18" t="s">
        <v>98</v>
      </c>
      <c r="P811" s="15" t="str">
        <f t="shared" si="1"/>
        <v>PHARMA</v>
      </c>
      <c r="Q811" s="15">
        <f t="shared" si="2"/>
        <v>8</v>
      </c>
      <c r="R811" s="15">
        <f t="shared" si="3"/>
        <v>3</v>
      </c>
      <c r="S811" s="15">
        <f t="shared" si="4"/>
        <v>3</v>
      </c>
      <c r="T811" s="15" t="str">
        <f t="shared" si="5"/>
        <v>B-4</v>
      </c>
      <c r="U811" s="15" t="str">
        <f t="shared" si="6"/>
        <v>T8-M3-H3-FB-4-PHARMA</v>
      </c>
      <c r="V811" s="15">
        <f t="shared" si="7"/>
        <v>0</v>
      </c>
      <c r="W811" s="31"/>
      <c r="X811" s="15" t="str">
        <f t="shared" si="8"/>
        <v>santander-spain</v>
      </c>
      <c r="Y811" s="32" t="str">
        <f t="shared" si="9"/>
        <v>https://steelmanufacturer.in/market-area/electropolished-pipes-manufacturer-in-santander-spain/</v>
      </c>
      <c r="Z811" s="15" t="str">
        <f t="shared" si="10"/>
        <v>Electropolished Pipes Manufacturer in Santander</v>
      </c>
      <c r="AA811" s="15" t="str">
        <f t="shared" si="11"/>
        <v>OK (47)</v>
      </c>
      <c r="AB811" s="15" t="str">
        <f t="shared" si="12"/>
        <v>EP stainless tube for pharma lines in Santander. 19-25 days sea from Nhava Sheva to Valencia. ASTM A270 S2, PMI tested, EN 10204 3.1.</v>
      </c>
      <c r="AC811" s="15" t="str">
        <f t="shared" si="13"/>
        <v>OK (133)</v>
      </c>
      <c r="AD811" s="15" t="str">
        <f t="shared" si="14"/>
        <v>Electropolished Pipes Manufacturer in Santander</v>
      </c>
      <c r="AE811" s="15" t="str">
        <f t="shared" si="15"/>
        <v>Electropolished Pipes Manufacturer in Santander - Our Process &amp; Capability</v>
      </c>
      <c r="AF811" s="15" t="str">
        <f t="shared" si="16"/>
        <v>Electropolished Pipes Supplier in Santander - What We Hold in Stock</v>
      </c>
      <c r="AG811" s="15" t="str">
        <f t="shared" si="17"/>
        <v>Bulk &amp; Wholesale Electropolished Pipe Rates for Santander Buyers</v>
      </c>
      <c r="AH811" s="15" t="str">
        <f t="shared" si="18"/>
        <v>electropolished pipes manufacturer in Santander, electropolished pipes supplier in Santander, electropolished pipes wholesaler in Santander, electropolished tube manufacturer Santander, EP pipe supplier Santander, sanitary tube supplier Santander, ASME BPE tubing Santander, ASTM A270 tube Santander, SS 316L electropolished pipe Santander</v>
      </c>
      <c r="AI811" s="15" t="str">
        <f t="shared" si="19"/>
        <v>Electropolished Pipes Manufacturer &amp; Supplier in Santander</v>
      </c>
      <c r="AJ811" s="15" t="str">
        <f t="shared" si="20"/>
        <v>EP-finished SS 304/316L pipes and tubes for pharma plants in Santander. ASME BPE SF1-SF4, Ra from 0.25 um, EN 10204 3.1 certificate with every lot.</v>
      </c>
      <c r="AK811" s="15" t="str">
        <f t="shared" si="21"/>
        <v>Electropolished stainless steel pipes supplied by Sakshi Forge to pharma plants at Poligono Guarnizo, Santander</v>
      </c>
      <c r="AL811" s="15" t="str">
        <f t="shared" si="22"/>
        <v>Electropolished SS 316L tube stock for Santander - Sakshi Forge</v>
      </c>
      <c r="AM811" s="15" t="str">
        <f t="shared" si="23"/>
        <v>Home &gt; Market Area &gt; Spain &gt; Cantabria &gt; Santander</v>
      </c>
      <c r="AN811" s="15">
        <f t="shared" si="24"/>
        <v>1000</v>
      </c>
      <c r="AO811" s="15">
        <f t="shared" si="25"/>
        <v>8</v>
      </c>
      <c r="AP811" s="15">
        <f t="shared" si="26"/>
        <v>8</v>
      </c>
      <c r="AQ811" s="15">
        <f t="shared" si="27"/>
        <v>14</v>
      </c>
      <c r="AR811" s="31"/>
      <c r="AS811" s="31"/>
      <c r="AT811" s="35" t="s">
        <v>222</v>
      </c>
      <c r="AU811" s="35"/>
    </row>
    <row r="812" ht="15.75" customHeight="1">
      <c r="A812" s="15" t="s">
        <v>9135</v>
      </c>
      <c r="B812" s="15" t="s">
        <v>380</v>
      </c>
      <c r="C812" s="15" t="s">
        <v>9052</v>
      </c>
      <c r="D812" s="15" t="s">
        <v>9136</v>
      </c>
      <c r="E812" s="15" t="s">
        <v>9136</v>
      </c>
      <c r="F812" s="65" t="s">
        <v>788</v>
      </c>
      <c r="G812" s="17" t="s">
        <v>88</v>
      </c>
      <c r="H812" s="18" t="s">
        <v>9137</v>
      </c>
      <c r="I812" s="18" t="s">
        <v>9138</v>
      </c>
      <c r="J812" s="18" t="s">
        <v>9139</v>
      </c>
      <c r="K812" s="18" t="s">
        <v>229</v>
      </c>
      <c r="L812" s="18" t="s">
        <v>8100</v>
      </c>
      <c r="M812" s="18" t="s">
        <v>596</v>
      </c>
      <c r="N812" s="18" t="s">
        <v>402</v>
      </c>
      <c r="O812" s="18" t="s">
        <v>98</v>
      </c>
      <c r="P812" s="15" t="str">
        <f t="shared" si="1"/>
        <v>PHARMA</v>
      </c>
      <c r="Q812" s="15">
        <f t="shared" si="2"/>
        <v>1</v>
      </c>
      <c r="R812" s="15">
        <f t="shared" si="3"/>
        <v>4</v>
      </c>
      <c r="S812" s="15">
        <f t="shared" si="4"/>
        <v>4</v>
      </c>
      <c r="T812" s="15" t="str">
        <f t="shared" si="5"/>
        <v>B-5</v>
      </c>
      <c r="U812" s="15" t="str">
        <f t="shared" si="6"/>
        <v>T1-M4-H4-FB-5-PHARMA</v>
      </c>
      <c r="V812" s="15">
        <f t="shared" si="7"/>
        <v>0</v>
      </c>
      <c r="W812" s="31"/>
      <c r="X812" s="15" t="str">
        <f t="shared" si="8"/>
        <v>valladolid-spain</v>
      </c>
      <c r="Y812" s="32" t="str">
        <f t="shared" si="9"/>
        <v>https://steelmanufacturer.in/market-area/electropolished-pipes-manufacturer-in-valladolid-spain/</v>
      </c>
      <c r="Z812" s="15" t="str">
        <f t="shared" si="10"/>
        <v>Electropolished Pipes Manufacturer in Valladolid | Sakshi Forge</v>
      </c>
      <c r="AA812" s="15" t="str">
        <f t="shared" si="11"/>
        <v>OK (63)</v>
      </c>
      <c r="AB812" s="15" t="str">
        <f t="shared" si="12"/>
        <v>Sanitary electropolished pipes in Valladolid for pharma plants. ASME BPE SF1-SF4, orbital-weld ready, 3.1 MTC. Mumbai-made.</v>
      </c>
      <c r="AC812" s="15" t="str">
        <f t="shared" si="13"/>
        <v>OK (123)</v>
      </c>
      <c r="AD812" s="15" t="str">
        <f t="shared" si="14"/>
        <v>Electropolished Pipes Manufacturer in Valladolid</v>
      </c>
      <c r="AE812" s="15" t="str">
        <f t="shared" si="15"/>
        <v>Manufacturing Electropolished SS Tube for Valladolid: The Standards We Build To</v>
      </c>
      <c r="AF812" s="15" t="str">
        <f t="shared" si="16"/>
        <v>Electropolished Pipe Supply Into Valladolid - Certification &amp; Transit</v>
      </c>
      <c r="AG812" s="15" t="str">
        <f t="shared" si="17"/>
        <v>Electropolished Pipes Wholesaler in Valladolid - Project Quantities &amp; Terms</v>
      </c>
      <c r="AH812" s="15" t="str">
        <f t="shared" si="18"/>
        <v>electropolished pipes manufacturer in Valladolid, electropolished pipes supplier in Valladolid, electropolished pipes wholesaler in Valladolid, electropolished tube manufacturer Valladolid, EP pipe supplier Valladolid, sanitary tube supplier Valladolid, ASME BPE tubing Valladolid, ASTM A270 tube Valladolid, SS 316L electropolished pipe Valladolid</v>
      </c>
      <c r="AI812" s="15" t="str">
        <f t="shared" si="19"/>
        <v>Electropolished Pipes Manufacturer &amp; Supplier in Valladolid</v>
      </c>
      <c r="AJ812" s="15" t="str">
        <f t="shared" si="20"/>
        <v>EP-finished SS 304/316L pipes and tubes for pharma plants in Valladolid. ASME BPE SF1-SF4, Ra from 0.25 um, EN 10204 3.1 certificate with every lot.</v>
      </c>
      <c r="AK812" s="15" t="str">
        <f t="shared" si="21"/>
        <v>Electropolished stainless steel pipes supplied by Sakshi Forge to pharma plants at Poligono San Cristobal, Valladolid</v>
      </c>
      <c r="AL812" s="15" t="str">
        <f t="shared" si="22"/>
        <v>Electropolished SS 316L tube stock for Valladolid - Sakshi Forge</v>
      </c>
      <c r="AM812" s="15" t="str">
        <f t="shared" si="23"/>
        <v>Home &gt; Market Area &gt; Spain &gt; Castile and Leon &gt; Valladolid</v>
      </c>
      <c r="AN812" s="15">
        <f t="shared" si="24"/>
        <v>1000</v>
      </c>
      <c r="AO812" s="15">
        <f t="shared" si="25"/>
        <v>8</v>
      </c>
      <c r="AP812" s="15">
        <f t="shared" si="26"/>
        <v>8</v>
      </c>
      <c r="AQ812" s="15">
        <f t="shared" si="27"/>
        <v>14</v>
      </c>
      <c r="AR812" s="31"/>
      <c r="AS812" s="31"/>
      <c r="AT812" s="35" t="s">
        <v>222</v>
      </c>
      <c r="AU812" s="35"/>
    </row>
    <row r="813" ht="15.75" customHeight="1">
      <c r="A813" s="15" t="s">
        <v>9140</v>
      </c>
      <c r="B813" s="15" t="s">
        <v>380</v>
      </c>
      <c r="C813" s="15" t="s">
        <v>9039</v>
      </c>
      <c r="D813" s="15" t="s">
        <v>9141</v>
      </c>
      <c r="E813" s="15" t="s">
        <v>9141</v>
      </c>
      <c r="F813" s="65" t="s">
        <v>788</v>
      </c>
      <c r="G813" s="17" t="s">
        <v>88</v>
      </c>
      <c r="H813" s="18" t="s">
        <v>9142</v>
      </c>
      <c r="I813" s="18" t="s">
        <v>9143</v>
      </c>
      <c r="J813" s="18" t="s">
        <v>9144</v>
      </c>
      <c r="K813" s="18" t="s">
        <v>94</v>
      </c>
      <c r="L813" s="18" t="s">
        <v>9145</v>
      </c>
      <c r="M813" s="18" t="s">
        <v>596</v>
      </c>
      <c r="N813" s="18" t="s">
        <v>402</v>
      </c>
      <c r="O813" s="18" t="s">
        <v>98</v>
      </c>
      <c r="P813" s="15" t="str">
        <f t="shared" si="1"/>
        <v>FOOD</v>
      </c>
      <c r="Q813" s="15">
        <f t="shared" si="2"/>
        <v>2</v>
      </c>
      <c r="R813" s="15">
        <f t="shared" si="3"/>
        <v>5</v>
      </c>
      <c r="S813" s="15">
        <f t="shared" si="4"/>
        <v>5</v>
      </c>
      <c r="T813" s="15" t="str">
        <f t="shared" si="5"/>
        <v>B-6</v>
      </c>
      <c r="U813" s="15" t="str">
        <f t="shared" si="6"/>
        <v>T2-M5-H5-FB-6-FOOD</v>
      </c>
      <c r="V813" s="15">
        <f t="shared" si="7"/>
        <v>0</v>
      </c>
      <c r="W813" s="31"/>
      <c r="X813" s="15" t="str">
        <f t="shared" si="8"/>
        <v>vigo-spain</v>
      </c>
      <c r="Y813" s="32" t="str">
        <f t="shared" si="9"/>
        <v>https://steelmanufacturer.in/market-area/electropolished-pipes-manufacturer-in-vigo-spain/</v>
      </c>
      <c r="Z813" s="15" t="str">
        <f t="shared" si="10"/>
        <v>Electropolished Pipes Manufacturer in Vigo - ASTM A270 &amp; ASME BPE</v>
      </c>
      <c r="AA813" s="15" t="str">
        <f t="shared" si="11"/>
        <v>OK (65)</v>
      </c>
      <c r="AB813" s="15" t="str">
        <f t="shared" si="12"/>
        <v>Manufacturer of electropolished SS 316L tube serving Vigo. 19-25 days sea from Nhava Sheva to Valencia. Ra 0.25-0.5 um, EN 10204 3.1 MTC.</v>
      </c>
      <c r="AC813" s="15" t="str">
        <f t="shared" si="13"/>
        <v>OK (137)</v>
      </c>
      <c r="AD813" s="15" t="str">
        <f t="shared" si="14"/>
        <v>Electropolished Pipes Manufacturer in Vigo</v>
      </c>
      <c r="AE813" s="15" t="str">
        <f t="shared" si="15"/>
        <v>Electropolished Tube Manufacturing Capability Serving Vigo</v>
      </c>
      <c r="AF813" s="15" t="str">
        <f t="shared" si="16"/>
        <v>Electropolished Pipes Supplier in Vigo - From Order to Delivery</v>
      </c>
      <c r="AG813" s="15" t="str">
        <f t="shared" si="17"/>
        <v>Stockist &amp; Wholesale Supply of Electropolished Pipes in Vigo</v>
      </c>
      <c r="AH813" s="15" t="str">
        <f t="shared" si="18"/>
        <v>electropolished pipes manufacturer in Vigo, electropolished pipes supplier in Vigo, electropolished pipes wholesaler in Vigo, electropolished tube manufacturer Vigo, EP pipe supplier Vigo, sanitary tube supplier Vigo, ASME BPE tubing Vigo, ASTM A270 tube Vigo, SS 316L electropolished pipe Vigo</v>
      </c>
      <c r="AI813" s="15" t="str">
        <f t="shared" si="19"/>
        <v>Electropolished Pipes Manufacturer &amp; Supplier in Vigo</v>
      </c>
      <c r="AJ813" s="15" t="str">
        <f t="shared" si="20"/>
        <v>EP-finished SS 304/316L pipes and tubes for food processing plants in Vigo. ASME BPE SF1-SF4, Ra from 0.25 um, EN 10204 3.1 certificate with every lot.</v>
      </c>
      <c r="AK813" s="15" t="str">
        <f t="shared" si="21"/>
        <v>Electropolished stainless steel pipes supplied by Sakshi Forge to food processing plants at Poligono Balaidos, Vigo</v>
      </c>
      <c r="AL813" s="15" t="str">
        <f t="shared" si="22"/>
        <v>Electropolished SS 316L tube stock for Vigo - Sakshi Forge</v>
      </c>
      <c r="AM813" s="15" t="str">
        <f t="shared" si="23"/>
        <v>Home &gt; Market Area &gt; Spain &gt; Galicia &gt; Vigo</v>
      </c>
      <c r="AN813" s="15">
        <f t="shared" si="24"/>
        <v>1000</v>
      </c>
      <c r="AO813" s="15">
        <f t="shared" si="25"/>
        <v>8</v>
      </c>
      <c r="AP813" s="15">
        <f t="shared" si="26"/>
        <v>8</v>
      </c>
      <c r="AQ813" s="15">
        <f t="shared" si="27"/>
        <v>14</v>
      </c>
      <c r="AR813" s="31"/>
      <c r="AS813" s="31"/>
      <c r="AT813" s="35" t="s">
        <v>222</v>
      </c>
      <c r="AU813" s="35"/>
    </row>
    <row r="814" ht="15.75" customHeight="1">
      <c r="A814" s="15" t="s">
        <v>9146</v>
      </c>
      <c r="B814" s="15" t="s">
        <v>380</v>
      </c>
      <c r="C814" s="15" t="s">
        <v>8095</v>
      </c>
      <c r="D814" s="15" t="s">
        <v>9147</v>
      </c>
      <c r="E814" s="15" t="s">
        <v>9147</v>
      </c>
      <c r="F814" s="65" t="s">
        <v>788</v>
      </c>
      <c r="G814" s="17" t="s">
        <v>88</v>
      </c>
      <c r="H814" s="18" t="s">
        <v>9148</v>
      </c>
      <c r="I814" s="18" t="s">
        <v>9149</v>
      </c>
      <c r="J814" s="18" t="s">
        <v>6804</v>
      </c>
      <c r="K814" s="18" t="s">
        <v>229</v>
      </c>
      <c r="L814" s="18" t="s">
        <v>8100</v>
      </c>
      <c r="M814" s="18" t="s">
        <v>596</v>
      </c>
      <c r="N814" s="18" t="s">
        <v>402</v>
      </c>
      <c r="O814" s="18" t="s">
        <v>98</v>
      </c>
      <c r="P814" s="15" t="str">
        <f t="shared" si="1"/>
        <v>PHARMA</v>
      </c>
      <c r="Q814" s="15">
        <f t="shared" si="2"/>
        <v>3</v>
      </c>
      <c r="R814" s="15">
        <f t="shared" si="3"/>
        <v>6</v>
      </c>
      <c r="S814" s="15">
        <f t="shared" si="4"/>
        <v>1</v>
      </c>
      <c r="T814" s="15" t="str">
        <f t="shared" si="5"/>
        <v>B-1</v>
      </c>
      <c r="U814" s="15" t="str">
        <f t="shared" si="6"/>
        <v>T3-M6-H1-FB-1-PHARMA</v>
      </c>
      <c r="V814" s="15">
        <f t="shared" si="7"/>
        <v>0</v>
      </c>
      <c r="W814" s="31"/>
      <c r="X814" s="15" t="str">
        <f t="shared" si="8"/>
        <v>vitoria-gasteiz-spain</v>
      </c>
      <c r="Y814" s="32" t="str">
        <f t="shared" si="9"/>
        <v>https://steelmanufacturer.in/market-area/electropolished-pipes-manufacturer-in-vitoria-gasteiz-spain/</v>
      </c>
      <c r="Z814" s="15" t="str">
        <f t="shared" si="10"/>
        <v>Electropolished Pipes Manufacturer in Vitoria-Gasteiz</v>
      </c>
      <c r="AA814" s="15" t="str">
        <f t="shared" si="11"/>
        <v>OK (53)</v>
      </c>
      <c r="AB814" s="15" t="str">
        <f t="shared" si="12"/>
        <v>EP tube and pipe for pharma plants around Poligono Jundiz, Vitoria-Gasteiz. Made at our Mumbai works to ASTM A270 and ASME BPE SF1-SF4, with 3.1 MTC.</v>
      </c>
      <c r="AC814" s="15" t="str">
        <f t="shared" si="13"/>
        <v>OK (149)</v>
      </c>
      <c r="AD814" s="15" t="str">
        <f t="shared" si="14"/>
        <v>Electropolished Pipes Manufacturer in Vitoria-Gasteiz</v>
      </c>
      <c r="AE814" s="15" t="str">
        <f t="shared" si="15"/>
        <v>Electropolished Pipe &amp; Tube Manufacturing for Vitoria-Gasteiz - Grades, Finishes &amp; Certification</v>
      </c>
      <c r="AF814" s="15" t="str">
        <f t="shared" si="16"/>
        <v>Electropolished Pipes Supplier in Vitoria-Gasteiz - Stock Sizes, Lead Time &amp; Delivery</v>
      </c>
      <c r="AG814" s="15" t="str">
        <f t="shared" si="17"/>
        <v>Electropolished Pipes Wholesaler &amp; Stockist in Vitoria-Gasteiz - Bulk &amp; Project Pricing</v>
      </c>
      <c r="AH814" s="15" t="str">
        <f t="shared" si="18"/>
        <v>electropolished pipes manufacturer in Vitoria-Gasteiz, electropolished pipes supplier in Vitoria-Gasteiz, electropolished pipes wholesaler in Vitoria-Gasteiz, electropolished tube manufacturer Vitoria-Gasteiz, EP pipe supplier Vitoria-Gasteiz, sanitary tube supplier Vitoria-Gasteiz, ASME BPE tubing Vitoria-Gasteiz, ASTM A270 tube Vitoria-Gasteiz, SS 316L electropolished pipe Vitoria-Gasteiz</v>
      </c>
      <c r="AI814" s="15" t="str">
        <f t="shared" si="19"/>
        <v>Electropolished Pipes Manufacturer &amp; Supplier in Vitoria-Gasteiz</v>
      </c>
      <c r="AJ814" s="15" t="str">
        <f t="shared" si="20"/>
        <v>EP-finished SS 304/316L pipes and tubes for pharma plants in Vitoria-Gasteiz. ASME BPE SF1-SF4, Ra from 0.25 um, EN 10204 3.1 certificate with every lot.</v>
      </c>
      <c r="AK814" s="15" t="str">
        <f t="shared" si="21"/>
        <v>Electropolished stainless steel pipes supplied by Sakshi Forge to pharma plants at Poligono Jundiz, Vitoria-Gasteiz</v>
      </c>
      <c r="AL814" s="15" t="str">
        <f t="shared" si="22"/>
        <v>Electropolished SS 316L tube stock for Vitoria-Gasteiz - Sakshi Forge</v>
      </c>
      <c r="AM814" s="15" t="str">
        <f t="shared" si="23"/>
        <v>Home &gt; Market Area &gt; Spain &gt; Basque Country &gt; Vitoria-Gasteiz</v>
      </c>
      <c r="AN814" s="15">
        <f t="shared" si="24"/>
        <v>1000</v>
      </c>
      <c r="AO814" s="15">
        <f t="shared" si="25"/>
        <v>8</v>
      </c>
      <c r="AP814" s="15">
        <f t="shared" si="26"/>
        <v>8</v>
      </c>
      <c r="AQ814" s="15">
        <f t="shared" si="27"/>
        <v>14</v>
      </c>
      <c r="AR814" s="31"/>
      <c r="AS814" s="31"/>
      <c r="AT814" s="35" t="s">
        <v>222</v>
      </c>
      <c r="AU814" s="35"/>
    </row>
    <row r="815" ht="15.75" customHeight="1">
      <c r="A815" s="15" t="s">
        <v>9150</v>
      </c>
      <c r="B815" s="15" t="s">
        <v>148</v>
      </c>
      <c r="C815" s="15" t="s">
        <v>8154</v>
      </c>
      <c r="D815" s="15" t="s">
        <v>9151</v>
      </c>
      <c r="E815" s="15" t="s">
        <v>9151</v>
      </c>
      <c r="F815" s="65" t="s">
        <v>788</v>
      </c>
      <c r="G815" s="17" t="s">
        <v>88</v>
      </c>
      <c r="H815" s="18" t="s">
        <v>9152</v>
      </c>
      <c r="I815" s="18" t="s">
        <v>9152</v>
      </c>
      <c r="J815" s="18" t="s">
        <v>9153</v>
      </c>
      <c r="K815" s="18" t="s">
        <v>229</v>
      </c>
      <c r="L815" s="18" t="s">
        <v>476</v>
      </c>
      <c r="M815" s="18" t="s">
        <v>477</v>
      </c>
      <c r="N815" s="18" t="s">
        <v>184</v>
      </c>
      <c r="O815" s="18" t="s">
        <v>98</v>
      </c>
      <c r="P815" s="15" t="str">
        <f t="shared" si="1"/>
        <v>PHARMA</v>
      </c>
      <c r="Q815" s="15">
        <f t="shared" si="2"/>
        <v>4</v>
      </c>
      <c r="R815" s="15">
        <f t="shared" si="3"/>
        <v>7</v>
      </c>
      <c r="S815" s="15">
        <f t="shared" si="4"/>
        <v>2</v>
      </c>
      <c r="T815" s="15" t="str">
        <f t="shared" si="5"/>
        <v>B-2</v>
      </c>
      <c r="U815" s="15" t="str">
        <f t="shared" si="6"/>
        <v>T4-M7-H2-FB-2-PHARMA</v>
      </c>
      <c r="V815" s="15">
        <f t="shared" si="7"/>
        <v>0</v>
      </c>
      <c r="W815" s="31"/>
      <c r="X815" s="15" t="str">
        <f t="shared" si="8"/>
        <v>dubai-investment-park-uae</v>
      </c>
      <c r="Y815" s="32" t="str">
        <f t="shared" si="9"/>
        <v>https://steelmanufacturer.in/market-area/electropolished-pipes-manufacturer-in-dubai-investment-park-uae/</v>
      </c>
      <c r="Z815" s="15" t="str">
        <f t="shared" si="10"/>
        <v>Electropolished Pipes Manufacturer in Dubai Investment Park</v>
      </c>
      <c r="AA815" s="15" t="str">
        <f t="shared" si="11"/>
        <v>OK (59)</v>
      </c>
      <c r="AB815" s="15" t="str">
        <f t="shared" si="12"/>
        <v>Electropolished pipes in Dubai Investment Park: 304, 304L, 316 and 316L in SF1-SF4. 10-14 days sea from Nhava Sheva to Jebel Ali. Mill certified.</v>
      </c>
      <c r="AC815" s="15" t="str">
        <f t="shared" si="13"/>
        <v>OK (145)</v>
      </c>
      <c r="AD815" s="15" t="str">
        <f t="shared" si="14"/>
        <v>Electropolished Pipes Manufacturer in Dubai Investment Park</v>
      </c>
      <c r="AE815" s="15" t="str">
        <f t="shared" si="15"/>
        <v>How We Manufacture Electropolished Tube for Dubai Investment Park Plants</v>
      </c>
      <c r="AF815" s="15" t="str">
        <f t="shared" si="16"/>
        <v>Supplying Electropolished Pipes in Dubai Investment Park: Availability, Sizes &amp; Dispatch</v>
      </c>
      <c r="AG815" s="15" t="str">
        <f t="shared" si="17"/>
        <v>Wholesale Electropolished Pipe Supply for Dubai Investment Park Projects</v>
      </c>
      <c r="AH815" s="15" t="str">
        <f t="shared" si="18"/>
        <v>electropolished pipes manufacturer in Dubai Investment Park, electropolished pipes supplier in Dubai Investment Park, electropolished pipes wholesaler in Dubai Investment Park, electropolished tube manufacturer Dubai Investment Park, EP pipe supplier Dubai Investment Park, sanitary tube supplier Dubai Investment Park, ASME BPE tubing Dubai Investment Park, ASTM A270 tube Dubai Investment Park, SS 316L electropolished pipe Dubai Investment Park</v>
      </c>
      <c r="AI815" s="15" t="str">
        <f t="shared" si="19"/>
        <v>Electropolished Pipes Manufacturer &amp; Supplier in Dubai Investment Park</v>
      </c>
      <c r="AJ815" s="15" t="str">
        <f t="shared" si="20"/>
        <v>EP-finished SS 304/316L pipes and tubes for pharma plants in Dubai Investment Park. ASME BPE SF1-SF4, Ra from 0.25 um, EN 10204 3.1 certificate with every lot.</v>
      </c>
      <c r="AK815" s="15" t="str">
        <f t="shared" si="21"/>
        <v>Electropolished stainless steel pipes supplied by Sakshi Forge to pharma plants at DIP 1 and 2, Dubai Investment Park</v>
      </c>
      <c r="AL815" s="15" t="str">
        <f t="shared" si="22"/>
        <v>Electropolished SS 316L tube stock for Dubai Investment Park - Sakshi Forge</v>
      </c>
      <c r="AM815" s="15" t="str">
        <f t="shared" si="23"/>
        <v>Home &gt; Market Area &gt; UAE &gt; Dubai &gt; Dubai Investment Park</v>
      </c>
      <c r="AN815" s="15">
        <f t="shared" si="24"/>
        <v>1000</v>
      </c>
      <c r="AO815" s="15">
        <f t="shared" si="25"/>
        <v>8</v>
      </c>
      <c r="AP815" s="15">
        <f t="shared" si="26"/>
        <v>8</v>
      </c>
      <c r="AQ815" s="15">
        <f t="shared" si="27"/>
        <v>14</v>
      </c>
      <c r="AR815" s="31"/>
      <c r="AS815" s="31"/>
      <c r="AT815" s="35" t="s">
        <v>222</v>
      </c>
      <c r="AU815" s="35"/>
    </row>
    <row r="816" ht="15.75" customHeight="1">
      <c r="A816" s="15" t="s">
        <v>9154</v>
      </c>
      <c r="B816" s="15" t="s">
        <v>148</v>
      </c>
      <c r="C816" s="15" t="s">
        <v>9155</v>
      </c>
      <c r="D816" s="15" t="s">
        <v>9155</v>
      </c>
      <c r="E816" s="15" t="s">
        <v>9155</v>
      </c>
      <c r="F816" s="65" t="s">
        <v>788</v>
      </c>
      <c r="G816" s="17" t="s">
        <v>88</v>
      </c>
      <c r="H816" s="18" t="s">
        <v>9156</v>
      </c>
      <c r="I816" s="18" t="s">
        <v>9156</v>
      </c>
      <c r="J816" s="18" t="s">
        <v>9157</v>
      </c>
      <c r="K816" s="18" t="s">
        <v>94</v>
      </c>
      <c r="L816" s="18" t="s">
        <v>9158</v>
      </c>
      <c r="M816" s="18" t="s">
        <v>477</v>
      </c>
      <c r="N816" s="18" t="s">
        <v>184</v>
      </c>
      <c r="O816" s="18" t="s">
        <v>98</v>
      </c>
      <c r="P816" s="15" t="str">
        <f t="shared" si="1"/>
        <v>FOOD</v>
      </c>
      <c r="Q816" s="15">
        <f t="shared" si="2"/>
        <v>5</v>
      </c>
      <c r="R816" s="15">
        <f t="shared" si="3"/>
        <v>1</v>
      </c>
      <c r="S816" s="15">
        <f t="shared" si="4"/>
        <v>3</v>
      </c>
      <c r="T816" s="15" t="str">
        <f t="shared" si="5"/>
        <v>B-3</v>
      </c>
      <c r="U816" s="15" t="str">
        <f t="shared" si="6"/>
        <v>T5-M1-H3-FB-3-FOOD</v>
      </c>
      <c r="V816" s="15">
        <f t="shared" si="7"/>
        <v>0</v>
      </c>
      <c r="W816" s="31"/>
      <c r="X816" s="15" t="str">
        <f t="shared" si="8"/>
        <v>fujairah-uae</v>
      </c>
      <c r="Y816" s="32" t="str">
        <f t="shared" si="9"/>
        <v>https://steelmanufacturer.in/market-area/electropolished-pipes-manufacturer-in-fujairah-uae/</v>
      </c>
      <c r="Z816" s="15" t="str">
        <f t="shared" si="10"/>
        <v>Electropolished Pipes Manufacturer in Fujairah</v>
      </c>
      <c r="AA816" s="15" t="str">
        <f t="shared" si="11"/>
        <v>OK (46)</v>
      </c>
      <c r="AB816" s="15" t="str">
        <f t="shared" si="12"/>
        <v>EP-finished SS 304/316L pipes &amp; tubes for food processing plants in Fujairah. ASTM A270, ASME BPE SF1-SF4, EN 10204 3.1 MTC. PMI tested.</v>
      </c>
      <c r="AC816" s="15" t="str">
        <f t="shared" si="13"/>
        <v>OK (136)</v>
      </c>
      <c r="AD816" s="15" t="str">
        <f t="shared" si="14"/>
        <v>Electropolished Pipes Manufacturer in Fujairah</v>
      </c>
      <c r="AE816" s="15" t="str">
        <f t="shared" si="15"/>
        <v>Electropolished Pipes Manufacturer in Fujairah - Our Process &amp; Capability</v>
      </c>
      <c r="AF816" s="15" t="str">
        <f t="shared" si="16"/>
        <v>Electropolished Pipes Supplier in Fujairah - What We Hold in Stock</v>
      </c>
      <c r="AG816" s="15" t="str">
        <f t="shared" si="17"/>
        <v>Bulk &amp; Wholesale Electropolished Pipe Rates for Fujairah Buyers</v>
      </c>
      <c r="AH816" s="15" t="str">
        <f t="shared" si="18"/>
        <v>electropolished pipes manufacturer in Fujairah, electropolished pipes supplier in Fujairah, electropolished pipes wholesaler in Fujairah, electropolished tube manufacturer Fujairah, EP pipe supplier Fujairah, sanitary tube supplier Fujairah, ASME BPE tubing Fujairah, ASTM A270 tube Fujairah, SS 316L electropolished pipe Fujairah</v>
      </c>
      <c r="AI816" s="15" t="str">
        <f t="shared" si="19"/>
        <v>Electropolished Pipes Manufacturer &amp; Supplier in Fujairah</v>
      </c>
      <c r="AJ816" s="15" t="str">
        <f t="shared" si="20"/>
        <v>EP-finished SS 304/316L pipes and tubes for food processing plants in Fujairah. ASME BPE SF1-SF4, Ra from 0.25 um, EN 10204 3.1 certificate with every lot.</v>
      </c>
      <c r="AK816" s="15" t="str">
        <f t="shared" si="21"/>
        <v>Electropolished stainless steel pipes supplied by Sakshi Forge to food processing plants at Fujairah Free Zone, Fujairah</v>
      </c>
      <c r="AL816" s="15" t="str">
        <f t="shared" si="22"/>
        <v>Electropolished SS 316L tube stock for Fujairah - Sakshi Forge</v>
      </c>
      <c r="AM816" s="15" t="str">
        <f t="shared" si="23"/>
        <v>Home &gt; Market Area &gt; UAE &gt; Fujairah &gt; Fujairah</v>
      </c>
      <c r="AN816" s="15">
        <f t="shared" si="24"/>
        <v>1000</v>
      </c>
      <c r="AO816" s="15">
        <f t="shared" si="25"/>
        <v>8</v>
      </c>
      <c r="AP816" s="15">
        <f t="shared" si="26"/>
        <v>8</v>
      </c>
      <c r="AQ816" s="15">
        <f t="shared" si="27"/>
        <v>14</v>
      </c>
      <c r="AR816" s="31"/>
      <c r="AS816" s="31"/>
      <c r="AT816" s="35" t="s">
        <v>222</v>
      </c>
      <c r="AU816" s="35"/>
    </row>
    <row r="817" ht="15.75" customHeight="1">
      <c r="A817" s="15" t="s">
        <v>9159</v>
      </c>
      <c r="B817" s="15" t="s">
        <v>148</v>
      </c>
      <c r="C817" s="15" t="s">
        <v>8165</v>
      </c>
      <c r="D817" s="15" t="s">
        <v>9160</v>
      </c>
      <c r="E817" s="15" t="s">
        <v>9160</v>
      </c>
      <c r="F817" s="65" t="s">
        <v>788</v>
      </c>
      <c r="G817" s="17" t="s">
        <v>88</v>
      </c>
      <c r="H817" s="18" t="s">
        <v>9161</v>
      </c>
      <c r="I817" s="18" t="s">
        <v>9161</v>
      </c>
      <c r="J817" s="18" t="s">
        <v>9162</v>
      </c>
      <c r="K817" s="18" t="s">
        <v>94</v>
      </c>
      <c r="L817" s="18" t="s">
        <v>9163</v>
      </c>
      <c r="M817" s="18" t="s">
        <v>477</v>
      </c>
      <c r="N817" s="18" t="s">
        <v>184</v>
      </c>
      <c r="O817" s="18" t="s">
        <v>98</v>
      </c>
      <c r="P817" s="15" t="str">
        <f t="shared" si="1"/>
        <v>FOOD</v>
      </c>
      <c r="Q817" s="15">
        <f t="shared" si="2"/>
        <v>6</v>
      </c>
      <c r="R817" s="15">
        <f t="shared" si="3"/>
        <v>2</v>
      </c>
      <c r="S817" s="15">
        <f t="shared" si="4"/>
        <v>4</v>
      </c>
      <c r="T817" s="15" t="str">
        <f t="shared" si="5"/>
        <v>B-4</v>
      </c>
      <c r="U817" s="15" t="str">
        <f t="shared" si="6"/>
        <v>T6-M2-H4-FB-4-FOOD</v>
      </c>
      <c r="V817" s="15">
        <f t="shared" si="7"/>
        <v>0</v>
      </c>
      <c r="W817" s="31"/>
      <c r="X817" s="15" t="str">
        <f t="shared" si="8"/>
        <v>hamriyah-uae</v>
      </c>
      <c r="Y817" s="32" t="str">
        <f t="shared" si="9"/>
        <v>https://steelmanufacturer.in/market-area/electropolished-pipes-manufacturer-in-hamriyah-uae/</v>
      </c>
      <c r="Z817" s="15" t="str">
        <f t="shared" si="10"/>
        <v>Electropolished Pipes Manufacturer in Hamriyah</v>
      </c>
      <c r="AA817" s="15" t="str">
        <f t="shared" si="11"/>
        <v>OK (46)</v>
      </c>
      <c r="AB817" s="15" t="str">
        <f t="shared" si="12"/>
        <v>Electropolished tube supply to Hamriyah Free Zone Phase I-II, Hamriyah. Ra from 0.25 um, SF4 finish, mill test certificate with every lot.</v>
      </c>
      <c r="AC817" s="15" t="str">
        <f t="shared" si="13"/>
        <v>OK (138)</v>
      </c>
      <c r="AD817" s="15" t="str">
        <f t="shared" si="14"/>
        <v>Electropolished Pipes Manufacturer in Hamriyah</v>
      </c>
      <c r="AE817" s="15" t="str">
        <f t="shared" si="15"/>
        <v>Manufacturing Electropolished SS Tube for Hamriyah: The Standards We Build To</v>
      </c>
      <c r="AF817" s="15" t="str">
        <f t="shared" si="16"/>
        <v>Electropolished Pipe Supply Into Hamriyah - Certification &amp; Transit</v>
      </c>
      <c r="AG817" s="15" t="str">
        <f t="shared" si="17"/>
        <v>Electropolished Pipes Wholesaler in Hamriyah - Project Quantities &amp; Terms</v>
      </c>
      <c r="AH817" s="15" t="str">
        <f t="shared" si="18"/>
        <v>electropolished pipes manufacturer in Hamriyah, electropolished pipes supplier in Hamriyah, electropolished pipes wholesaler in Hamriyah, electropolished tube manufacturer Hamriyah, EP pipe supplier Hamriyah, sanitary tube supplier Hamriyah, ASME BPE tubing Hamriyah, ASTM A270 tube Hamriyah, SS 316L electropolished pipe Hamriyah</v>
      </c>
      <c r="AI817" s="15" t="str">
        <f t="shared" si="19"/>
        <v>Electropolished Pipes Manufacturer &amp; Supplier in Hamriyah</v>
      </c>
      <c r="AJ817" s="15" t="str">
        <f t="shared" si="20"/>
        <v>EP-finished SS 304/316L pipes and tubes for food processing plants in Hamriyah. ASME BPE SF1-SF4, Ra from 0.25 um, EN 10204 3.1 certificate with every lot.</v>
      </c>
      <c r="AK817" s="15" t="str">
        <f t="shared" si="21"/>
        <v>Electropolished stainless steel pipes supplied by Sakshi Forge to food processing plants at Hamriyah Free Zone Phase I-II, Hamriyah</v>
      </c>
      <c r="AL817" s="15" t="str">
        <f t="shared" si="22"/>
        <v>Electropolished SS 316L tube stock for Hamriyah - Sakshi Forge</v>
      </c>
      <c r="AM817" s="15" t="str">
        <f t="shared" si="23"/>
        <v>Home &gt; Market Area &gt; UAE &gt; Sharjah &gt; Hamriyah</v>
      </c>
      <c r="AN817" s="15">
        <f t="shared" si="24"/>
        <v>1000</v>
      </c>
      <c r="AO817" s="15">
        <f t="shared" si="25"/>
        <v>8</v>
      </c>
      <c r="AP817" s="15">
        <f t="shared" si="26"/>
        <v>8</v>
      </c>
      <c r="AQ817" s="15">
        <f t="shared" si="27"/>
        <v>14</v>
      </c>
      <c r="AR817" s="31"/>
      <c r="AS817" s="31"/>
      <c r="AT817" s="35" t="s">
        <v>222</v>
      </c>
      <c r="AU817" s="35"/>
    </row>
    <row r="818" ht="15.75" customHeight="1">
      <c r="A818" s="15" t="s">
        <v>9164</v>
      </c>
      <c r="B818" s="15" t="s">
        <v>148</v>
      </c>
      <c r="C818" s="15" t="s">
        <v>8154</v>
      </c>
      <c r="D818" s="15" t="s">
        <v>9165</v>
      </c>
      <c r="E818" s="15" t="s">
        <v>9165</v>
      </c>
      <c r="F818" s="65" t="s">
        <v>788</v>
      </c>
      <c r="G818" s="17" t="s">
        <v>88</v>
      </c>
      <c r="H818" s="18" t="s">
        <v>9166</v>
      </c>
      <c r="I818" s="18" t="s">
        <v>9166</v>
      </c>
      <c r="J818" s="18" t="s">
        <v>9167</v>
      </c>
      <c r="K818" s="18" t="s">
        <v>838</v>
      </c>
      <c r="L818" s="18" t="s">
        <v>476</v>
      </c>
      <c r="M818" s="18" t="s">
        <v>477</v>
      </c>
      <c r="N818" s="18" t="s">
        <v>184</v>
      </c>
      <c r="O818" s="18" t="s">
        <v>98</v>
      </c>
      <c r="P818" s="15" t="str">
        <f t="shared" si="1"/>
        <v>PHARMA</v>
      </c>
      <c r="Q818" s="15">
        <f t="shared" si="2"/>
        <v>7</v>
      </c>
      <c r="R818" s="15">
        <f t="shared" si="3"/>
        <v>3</v>
      </c>
      <c r="S818" s="15">
        <f t="shared" si="4"/>
        <v>5</v>
      </c>
      <c r="T818" s="15" t="str">
        <f t="shared" si="5"/>
        <v>B-5</v>
      </c>
      <c r="U818" s="15" t="str">
        <f t="shared" si="6"/>
        <v>T7-M3-H5-FB-5-PHARMA</v>
      </c>
      <c r="V818" s="15">
        <f t="shared" si="7"/>
        <v>0</v>
      </c>
      <c r="W818" s="31"/>
      <c r="X818" s="15" t="str">
        <f t="shared" si="8"/>
        <v>jebel-ali-uae</v>
      </c>
      <c r="Y818" s="32" t="str">
        <f t="shared" si="9"/>
        <v>https://steelmanufacturer.in/market-area/electropolished-pipes-manufacturer-in-jebel-ali-uae/</v>
      </c>
      <c r="Z818" s="15" t="str">
        <f t="shared" si="10"/>
        <v>Electropolished Pipes Manufacturer in Jebel Ali</v>
      </c>
      <c r="AA818" s="15" t="str">
        <f t="shared" si="11"/>
        <v>OK (47)</v>
      </c>
      <c r="AB818" s="15" t="str">
        <f t="shared" si="12"/>
        <v>EP stainless tube for pharma &amp; chemical lines in Jebel Ali. 10-14 days sea from Nhava Sheva to Jebel Ali. ASTM A270 S2, PMI tested, EN 10204 3.1.</v>
      </c>
      <c r="AC818" s="15" t="str">
        <f t="shared" si="13"/>
        <v>OK (145)</v>
      </c>
      <c r="AD818" s="15" t="str">
        <f t="shared" si="14"/>
        <v>Electropolished Pipes Manufacturer in Jebel Ali</v>
      </c>
      <c r="AE818" s="15" t="str">
        <f t="shared" si="15"/>
        <v>Electropolished Tube Manufacturing Capability Serving Jebel Ali</v>
      </c>
      <c r="AF818" s="15" t="str">
        <f t="shared" si="16"/>
        <v>Electropolished Pipes Supplier in Jebel Ali - From Order to Delivery</v>
      </c>
      <c r="AG818" s="15" t="str">
        <f t="shared" si="17"/>
        <v>Stockist &amp; Wholesale Supply of Electropolished Pipes in Jebel Ali</v>
      </c>
      <c r="AH818" s="15" t="str">
        <f t="shared" si="18"/>
        <v>electropolished pipes manufacturer in Jebel Ali, electropolished pipes supplier in Jebel Ali, electropolished pipes wholesaler in Jebel Ali, electropolished tube manufacturer Jebel Ali, EP pipe supplier Jebel Ali, sanitary tube supplier Jebel Ali, ASME BPE tubing Jebel Ali, ASTM A270 tube Jebel Ali, SS 316L electropolished pipe Jebel Ali</v>
      </c>
      <c r="AI818" s="15" t="str">
        <f t="shared" si="19"/>
        <v>Electropolished Pipes Manufacturer &amp; Supplier in Jebel Ali</v>
      </c>
      <c r="AJ818" s="15" t="str">
        <f t="shared" si="20"/>
        <v>EP-finished SS 304/316L pipes and tubes for pharma &amp; chemical plants in Jebel Ali. ASME BPE SF1-SF4, Ra from 0.25 um, EN 10204 3.1 certificate with every lot.</v>
      </c>
      <c r="AK818" s="15" t="str">
        <f t="shared" si="21"/>
        <v>Electropolished stainless steel pipes supplied by Sakshi Forge to pharma &amp; chemical plants at JAFZA North and South, Jebel Ali</v>
      </c>
      <c r="AL818" s="15" t="str">
        <f t="shared" si="22"/>
        <v>Electropolished SS 316L tube stock for Jebel Ali - Sakshi Forge</v>
      </c>
      <c r="AM818" s="15" t="str">
        <f t="shared" si="23"/>
        <v>Home &gt; Market Area &gt; UAE &gt; Dubai &gt; Jebel Ali</v>
      </c>
      <c r="AN818" s="15">
        <f t="shared" si="24"/>
        <v>1000</v>
      </c>
      <c r="AO818" s="15">
        <f t="shared" si="25"/>
        <v>8</v>
      </c>
      <c r="AP818" s="15">
        <f t="shared" si="26"/>
        <v>8</v>
      </c>
      <c r="AQ818" s="15">
        <f t="shared" si="27"/>
        <v>14</v>
      </c>
      <c r="AR818" s="31"/>
      <c r="AS818" s="31"/>
      <c r="AT818" s="35" t="s">
        <v>222</v>
      </c>
      <c r="AU818" s="35"/>
    </row>
    <row r="819" ht="15.75" customHeight="1">
      <c r="A819" s="15" t="s">
        <v>9168</v>
      </c>
      <c r="B819" s="15" t="s">
        <v>148</v>
      </c>
      <c r="C819" s="15" t="s">
        <v>8138</v>
      </c>
      <c r="D819" s="15" t="s">
        <v>9169</v>
      </c>
      <c r="E819" s="15" t="s">
        <v>9169</v>
      </c>
      <c r="F819" s="65" t="s">
        <v>788</v>
      </c>
      <c r="G819" s="17" t="s">
        <v>88</v>
      </c>
      <c r="H819" s="18" t="s">
        <v>9170</v>
      </c>
      <c r="I819" s="18" t="s">
        <v>9170</v>
      </c>
      <c r="J819" s="18" t="s">
        <v>9171</v>
      </c>
      <c r="K819" s="18" t="s">
        <v>250</v>
      </c>
      <c r="L819" s="18" t="s">
        <v>8142</v>
      </c>
      <c r="M819" s="18" t="s">
        <v>477</v>
      </c>
      <c r="N819" s="18" t="s">
        <v>184</v>
      </c>
      <c r="O819" s="18" t="s">
        <v>98</v>
      </c>
      <c r="P819" s="15" t="str">
        <f t="shared" si="1"/>
        <v>GENERAL</v>
      </c>
      <c r="Q819" s="15">
        <f t="shared" si="2"/>
        <v>8</v>
      </c>
      <c r="R819" s="15">
        <f t="shared" si="3"/>
        <v>4</v>
      </c>
      <c r="S819" s="15">
        <f t="shared" si="4"/>
        <v>1</v>
      </c>
      <c r="T819" s="15" t="str">
        <f t="shared" si="5"/>
        <v>B-6</v>
      </c>
      <c r="U819" s="15" t="str">
        <f t="shared" si="6"/>
        <v>T8-M4-H1-FB-6-GENERAL</v>
      </c>
      <c r="V819" s="15">
        <f t="shared" si="7"/>
        <v>0</v>
      </c>
      <c r="W819" s="31"/>
      <c r="X819" s="15" t="str">
        <f t="shared" si="8"/>
        <v>mussafah-uae</v>
      </c>
      <c r="Y819" s="32" t="str">
        <f t="shared" si="9"/>
        <v>https://steelmanufacturer.in/market-area/electropolished-pipes-manufacturer-in-mussafah-uae/</v>
      </c>
      <c r="Z819" s="15" t="str">
        <f t="shared" si="10"/>
        <v>Electropolished Pipes Manufacturer in Mussafah - EP Tube Stockist</v>
      </c>
      <c r="AA819" s="15" t="str">
        <f t="shared" si="11"/>
        <v>OK (65)</v>
      </c>
      <c r="AB819" s="15" t="str">
        <f t="shared" si="12"/>
        <v>Sanitary electropolished pipes in Mussafah for engineering &amp; process plants. ASME BPE SF1-SF4, orbital-weld ready, 3.1 MTC. Mumbai-made.</v>
      </c>
      <c r="AC819" s="15" t="str">
        <f t="shared" si="13"/>
        <v>OK (136)</v>
      </c>
      <c r="AD819" s="15" t="str">
        <f t="shared" si="14"/>
        <v>Electropolished Pipes Manufacturer in Mussafah</v>
      </c>
      <c r="AE819" s="15" t="str">
        <f t="shared" si="15"/>
        <v>Electropolished Pipe &amp; Tube Manufacturing for Mussafah - Grades, Finishes &amp; Certification</v>
      </c>
      <c r="AF819" s="15" t="str">
        <f t="shared" si="16"/>
        <v>Electropolished Pipes Supplier in Mussafah - Stock Sizes, Lead Time &amp; Delivery</v>
      </c>
      <c r="AG819" s="15" t="str">
        <f t="shared" si="17"/>
        <v>Electropolished Pipes Wholesaler &amp; Stockist in Mussafah - Bulk &amp; Project Pricing</v>
      </c>
      <c r="AH819" s="15" t="str">
        <f t="shared" si="18"/>
        <v>electropolished pipes manufacturer in Mussafah, electropolished pipes supplier in Mussafah, electropolished pipes wholesaler in Mussafah, electropolished tube manufacturer Mussafah, EP pipe supplier Mussafah, sanitary tube supplier Mussafah, ASME BPE tubing Mussafah, ASTM A270 tube Mussafah, SS 316L electropolished pipe Mussafah</v>
      </c>
      <c r="AI819" s="15" t="str">
        <f t="shared" si="19"/>
        <v>Electropolished Pipes Manufacturer &amp; Supplier in Mussafah</v>
      </c>
      <c r="AJ819" s="15" t="str">
        <f t="shared" si="20"/>
        <v>EP-finished SS 304/316L pipes and tubes for engineering &amp; process plants in Mussafah. ASME BPE SF1-SF4, Ra from 0.25 um, EN 10204 3.1 certificate with every lot.</v>
      </c>
      <c r="AK819" s="15" t="str">
        <f t="shared" si="21"/>
        <v>Electropolished stainless steel pipes supplied by Sakshi Forge to engineering &amp; process plants at Mussafah Industrial Area M-Sectors, Mussafah</v>
      </c>
      <c r="AL819" s="15" t="str">
        <f t="shared" si="22"/>
        <v>Electropolished SS 316L tube stock for Mussafah - Sakshi Forge</v>
      </c>
      <c r="AM819" s="15" t="str">
        <f t="shared" si="23"/>
        <v>Home &gt; Market Area &gt; UAE &gt; Abu Dhabi &gt; Mussafah</v>
      </c>
      <c r="AN819" s="15">
        <f t="shared" si="24"/>
        <v>1000</v>
      </c>
      <c r="AO819" s="15">
        <f t="shared" si="25"/>
        <v>8</v>
      </c>
      <c r="AP819" s="15">
        <f t="shared" si="26"/>
        <v>8</v>
      </c>
      <c r="AQ819" s="15">
        <f t="shared" si="27"/>
        <v>14</v>
      </c>
      <c r="AR819" s="31"/>
      <c r="AS819" s="31"/>
      <c r="AT819" s="35" t="s">
        <v>222</v>
      </c>
      <c r="AU819" s="35"/>
    </row>
    <row r="820" ht="15.75" customHeight="1">
      <c r="A820" s="15" t="s">
        <v>9172</v>
      </c>
      <c r="B820" s="15" t="s">
        <v>148</v>
      </c>
      <c r="C820" s="15" t="s">
        <v>9173</v>
      </c>
      <c r="D820" s="15" t="s">
        <v>9173</v>
      </c>
      <c r="E820" s="15" t="s">
        <v>9173</v>
      </c>
      <c r="F820" s="65" t="s">
        <v>788</v>
      </c>
      <c r="G820" s="17" t="s">
        <v>88</v>
      </c>
      <c r="H820" s="18" t="s">
        <v>9174</v>
      </c>
      <c r="I820" s="18" t="s">
        <v>9174</v>
      </c>
      <c r="J820" s="18" t="s">
        <v>9175</v>
      </c>
      <c r="K820" s="18" t="s">
        <v>94</v>
      </c>
      <c r="L820" s="18" t="s">
        <v>9176</v>
      </c>
      <c r="M820" s="18" t="s">
        <v>477</v>
      </c>
      <c r="N820" s="18" t="s">
        <v>184</v>
      </c>
      <c r="O820" s="18" t="s">
        <v>98</v>
      </c>
      <c r="P820" s="15" t="str">
        <f t="shared" si="1"/>
        <v>FOOD</v>
      </c>
      <c r="Q820" s="15">
        <f t="shared" si="2"/>
        <v>1</v>
      </c>
      <c r="R820" s="15">
        <f t="shared" si="3"/>
        <v>5</v>
      </c>
      <c r="S820" s="15">
        <f t="shared" si="4"/>
        <v>2</v>
      </c>
      <c r="T820" s="15" t="str">
        <f t="shared" si="5"/>
        <v>B-1</v>
      </c>
      <c r="U820" s="15" t="str">
        <f t="shared" si="6"/>
        <v>T1-M5-H2-FB-1-FOOD</v>
      </c>
      <c r="V820" s="15">
        <f t="shared" si="7"/>
        <v>0</v>
      </c>
      <c r="W820" s="31"/>
      <c r="X820" s="15" t="str">
        <f t="shared" si="8"/>
        <v>umm-al-quwain-uae</v>
      </c>
      <c r="Y820" s="32" t="str">
        <f t="shared" si="9"/>
        <v>https://steelmanufacturer.in/market-area/electropolished-pipes-manufacturer-in-umm-al-quwain-uae/</v>
      </c>
      <c r="Z820" s="15" t="str">
        <f t="shared" si="10"/>
        <v>Electropolished Pipes Manufacturer in Umm Al Quwain</v>
      </c>
      <c r="AA820" s="15" t="str">
        <f t="shared" si="11"/>
        <v>OK (51)</v>
      </c>
      <c r="AB820" s="15" t="str">
        <f t="shared" si="12"/>
        <v>Manufacturer of electropolished SS 316L tube serving Umm Al Quwain. 10-14 days sea from Nhava Sheva to Jebel Ali. Ra 0.25-0.5 um, EN 10204 3.1 MTC.</v>
      </c>
      <c r="AC820" s="15" t="str">
        <f t="shared" si="13"/>
        <v>OK (147)</v>
      </c>
      <c r="AD820" s="15" t="str">
        <f t="shared" si="14"/>
        <v>Electropolished Pipes Manufacturer in Umm Al Quwain</v>
      </c>
      <c r="AE820" s="15" t="str">
        <f t="shared" si="15"/>
        <v>How We Manufacture Electropolished Tube for Umm Al Quwain Plants</v>
      </c>
      <c r="AF820" s="15" t="str">
        <f t="shared" si="16"/>
        <v>Supplying Electropolished Pipes in Umm Al Quwain: Availability, Sizes &amp; Dispatch</v>
      </c>
      <c r="AG820" s="15" t="str">
        <f t="shared" si="17"/>
        <v>Wholesale Electropolished Pipe Supply for Umm Al Quwain Projects</v>
      </c>
      <c r="AH820" s="15" t="str">
        <f t="shared" si="18"/>
        <v>electropolished pipes manufacturer in Umm Al Quwain, electropolished pipes supplier in Umm Al Quwain, electropolished pipes wholesaler in Umm Al Quwain, electropolished tube manufacturer Umm Al Quwain, EP pipe supplier Umm Al Quwain, sanitary tube supplier Umm Al Quwain, ASME BPE tubing Umm Al Quwain, ASTM A270 tube Umm Al Quwain, SS 316L electropolished pipe Umm Al Quwain</v>
      </c>
      <c r="AI820" s="15" t="str">
        <f t="shared" si="19"/>
        <v>Electropolished Pipes Manufacturer &amp; Supplier in Umm Al Quwain</v>
      </c>
      <c r="AJ820" s="15" t="str">
        <f t="shared" si="20"/>
        <v>EP-finished SS 304/316L pipes and tubes for food processing plants in Umm Al Quwain. ASME BPE SF1-SF4, Ra from 0.25 um, EN 10204 3.1 certificate with every lot.</v>
      </c>
      <c r="AK820" s="15" t="str">
        <f t="shared" si="21"/>
        <v>Electropolished stainless steel pipes supplied by Sakshi Forge to food processing plants at UAQ Free Trade Zone, Umm Al Quwain</v>
      </c>
      <c r="AL820" s="15" t="str">
        <f t="shared" si="22"/>
        <v>Electropolished SS 316L tube stock for Umm Al Quwain - Sakshi Forge</v>
      </c>
      <c r="AM820" s="15" t="str">
        <f t="shared" si="23"/>
        <v>Home &gt; Market Area &gt; UAE &gt; Umm Al Quwain &gt; Umm Al Quwain</v>
      </c>
      <c r="AN820" s="15">
        <f t="shared" si="24"/>
        <v>1000</v>
      </c>
      <c r="AO820" s="15">
        <f t="shared" si="25"/>
        <v>8</v>
      </c>
      <c r="AP820" s="15">
        <f t="shared" si="26"/>
        <v>8</v>
      </c>
      <c r="AQ820" s="15">
        <f t="shared" si="27"/>
        <v>14</v>
      </c>
      <c r="AR820" s="31"/>
      <c r="AS820" s="31"/>
      <c r="AT820" s="35" t="s">
        <v>222</v>
      </c>
      <c r="AU820" s="35"/>
    </row>
    <row r="821" ht="15.75" customHeight="1">
      <c r="A821" s="15" t="s">
        <v>9177</v>
      </c>
      <c r="B821" s="15" t="s">
        <v>234</v>
      </c>
      <c r="C821" s="15" t="s">
        <v>8186</v>
      </c>
      <c r="D821" s="15" t="s">
        <v>9178</v>
      </c>
      <c r="E821" s="15" t="s">
        <v>9178</v>
      </c>
      <c r="F821" s="65" t="s">
        <v>788</v>
      </c>
      <c r="G821" s="17" t="s">
        <v>88</v>
      </c>
      <c r="H821" s="18" t="s">
        <v>9179</v>
      </c>
      <c r="I821" s="18" t="s">
        <v>9180</v>
      </c>
      <c r="J821" s="18" t="s">
        <v>9181</v>
      </c>
      <c r="K821" s="18" t="s">
        <v>94</v>
      </c>
      <c r="L821" s="18" t="s">
        <v>9182</v>
      </c>
      <c r="M821" s="18" t="s">
        <v>540</v>
      </c>
      <c r="N821" s="18" t="s">
        <v>242</v>
      </c>
      <c r="O821" s="18" t="s">
        <v>98</v>
      </c>
      <c r="P821" s="15" t="str">
        <f t="shared" si="1"/>
        <v>FOOD</v>
      </c>
      <c r="Q821" s="15">
        <f t="shared" si="2"/>
        <v>2</v>
      </c>
      <c r="R821" s="15">
        <f t="shared" si="3"/>
        <v>6</v>
      </c>
      <c r="S821" s="15">
        <f t="shared" si="4"/>
        <v>3</v>
      </c>
      <c r="T821" s="15" t="str">
        <f t="shared" si="5"/>
        <v>B-2</v>
      </c>
      <c r="U821" s="15" t="str">
        <f t="shared" si="6"/>
        <v>T2-M6-H3-FB-2-FOOD</v>
      </c>
      <c r="V821" s="15">
        <f t="shared" si="7"/>
        <v>0</v>
      </c>
      <c r="W821" s="31"/>
      <c r="X821" s="15" t="str">
        <f t="shared" si="8"/>
        <v>aberdeen-uk</v>
      </c>
      <c r="Y821" s="32" t="str">
        <f t="shared" si="9"/>
        <v>https://steelmanufacturer.in/market-area/electropolished-pipes-manufacturer-in-aberdeen-uk/</v>
      </c>
      <c r="Z821" s="15" t="str">
        <f t="shared" si="10"/>
        <v>Electropolished Pipes Manufacturer in Aberdeen</v>
      </c>
      <c r="AA821" s="15" t="str">
        <f t="shared" si="11"/>
        <v>OK (46)</v>
      </c>
      <c r="AB821" s="15" t="str">
        <f t="shared" si="12"/>
        <v>EP tube and pipe for food processing plants around Altens Industrial Estate, Aberdeen. Made at our Mumbai works to ASTM A270 and ASME BPE SF1-SF4, with 3.1 MTC.</v>
      </c>
      <c r="AC821" s="15" t="str">
        <f t="shared" si="13"/>
        <v>OK (160)</v>
      </c>
      <c r="AD821" s="15" t="str">
        <f t="shared" si="14"/>
        <v>Electropolished Pipes Manufacturer in Aberdeen</v>
      </c>
      <c r="AE821" s="15" t="str">
        <f t="shared" si="15"/>
        <v>Electropolished Pipes Manufacturer in Aberdeen - Our Process &amp; Capability</v>
      </c>
      <c r="AF821" s="15" t="str">
        <f t="shared" si="16"/>
        <v>Electropolished Pipes Supplier in Aberdeen - What We Hold in Stock</v>
      </c>
      <c r="AG821" s="15" t="str">
        <f t="shared" si="17"/>
        <v>Bulk &amp; Wholesale Electropolished Pipe Rates for Aberdeen Buyers</v>
      </c>
      <c r="AH821" s="15" t="str">
        <f t="shared" si="18"/>
        <v>electropolished pipes manufacturer in Aberdeen, electropolished pipes supplier in Aberdeen, electropolished pipes wholesaler in Aberdeen, electropolished tube manufacturer Aberdeen, EP pipe supplier Aberdeen, sanitary tube supplier Aberdeen, ASME BPE tubing Aberdeen, ASTM A270 tube Aberdeen, SS 316L electropolished pipe Aberdeen</v>
      </c>
      <c r="AI821" s="15" t="str">
        <f t="shared" si="19"/>
        <v>Electropolished Pipes Manufacturer &amp; Supplier in Aberdeen</v>
      </c>
      <c r="AJ821" s="15" t="str">
        <f t="shared" si="20"/>
        <v>EP-finished SS 304/316L pipes and tubes for food processing plants in Aberdeen. ASME BPE SF1-SF4, Ra from 0.25 um, EN 10204 3.1 certificate with every lot.</v>
      </c>
      <c r="AK821" s="15" t="str">
        <f t="shared" si="21"/>
        <v>Electropolished stainless steel pipes supplied by Sakshi Forge to food processing plants at Altens Industrial Estate, Aberdeen</v>
      </c>
      <c r="AL821" s="15" t="str">
        <f t="shared" si="22"/>
        <v>Electropolished SS 316L tube stock for Aberdeen - Sakshi Forge</v>
      </c>
      <c r="AM821" s="15" t="str">
        <f t="shared" si="23"/>
        <v>Home &gt; Market Area &gt; UK &gt; Scotland &gt; Aberdeen</v>
      </c>
      <c r="AN821" s="15">
        <f t="shared" si="24"/>
        <v>1000</v>
      </c>
      <c r="AO821" s="15">
        <f t="shared" si="25"/>
        <v>8</v>
      </c>
      <c r="AP821" s="15">
        <f t="shared" si="26"/>
        <v>8</v>
      </c>
      <c r="AQ821" s="15">
        <f t="shared" si="27"/>
        <v>14</v>
      </c>
      <c r="AR821" s="31"/>
      <c r="AS821" s="31"/>
      <c r="AT821" s="35" t="s">
        <v>222</v>
      </c>
      <c r="AU821" s="35"/>
    </row>
    <row r="822" ht="15.75" customHeight="1">
      <c r="A822" s="15" t="s">
        <v>9183</v>
      </c>
      <c r="B822" s="15" t="s">
        <v>234</v>
      </c>
      <c r="C822" s="15" t="s">
        <v>9184</v>
      </c>
      <c r="D822" s="15" t="s">
        <v>9185</v>
      </c>
      <c r="E822" s="15" t="s">
        <v>9185</v>
      </c>
      <c r="F822" s="65" t="s">
        <v>788</v>
      </c>
      <c r="G822" s="17" t="s">
        <v>88</v>
      </c>
      <c r="H822" s="18" t="s">
        <v>9186</v>
      </c>
      <c r="I822" s="18" t="s">
        <v>9187</v>
      </c>
      <c r="J822" s="18" t="s">
        <v>8202</v>
      </c>
      <c r="K822" s="18" t="s">
        <v>229</v>
      </c>
      <c r="L822" s="18" t="s">
        <v>9188</v>
      </c>
      <c r="M822" s="18" t="s">
        <v>540</v>
      </c>
      <c r="N822" s="18" t="s">
        <v>242</v>
      </c>
      <c r="O822" s="18" t="s">
        <v>98</v>
      </c>
      <c r="P822" s="15" t="str">
        <f t="shared" si="1"/>
        <v>PHARMA</v>
      </c>
      <c r="Q822" s="15">
        <f t="shared" si="2"/>
        <v>3</v>
      </c>
      <c r="R822" s="15">
        <f t="shared" si="3"/>
        <v>7</v>
      </c>
      <c r="S822" s="15">
        <f t="shared" si="4"/>
        <v>4</v>
      </c>
      <c r="T822" s="15" t="str">
        <f t="shared" si="5"/>
        <v>B-3</v>
      </c>
      <c r="U822" s="15" t="str">
        <f t="shared" si="6"/>
        <v>T3-M7-H4-FB-3-PHARMA</v>
      </c>
      <c r="V822" s="15">
        <f t="shared" si="7"/>
        <v>0</v>
      </c>
      <c r="W822" s="31"/>
      <c r="X822" s="15" t="str">
        <f t="shared" si="8"/>
        <v>belfast-uk</v>
      </c>
      <c r="Y822" s="32" t="str">
        <f t="shared" si="9"/>
        <v>https://steelmanufacturer.in/market-area/electropolished-pipes-manufacturer-in-belfast-uk/</v>
      </c>
      <c r="Z822" s="15" t="str">
        <f t="shared" si="10"/>
        <v>Electropolished Pipes Manufacturer in Belfast | EP Tube Supplier</v>
      </c>
      <c r="AA822" s="15" t="str">
        <f t="shared" si="11"/>
        <v>OK (64)</v>
      </c>
      <c r="AB822" s="15" t="str">
        <f t="shared" si="12"/>
        <v>Electropolished pipes in Belfast: 304, 304L, 316 and 316L in SF1-SF4. 22-28 days sea from Nhava Sheva to Felixstowe. Mill certified.</v>
      </c>
      <c r="AC822" s="15" t="str">
        <f t="shared" si="13"/>
        <v>OK (132)</v>
      </c>
      <c r="AD822" s="15" t="str">
        <f t="shared" si="14"/>
        <v>Electropolished Pipes Manufacturer in Belfast</v>
      </c>
      <c r="AE822" s="15" t="str">
        <f t="shared" si="15"/>
        <v>Manufacturing Electropolished SS Tube for Belfast: The Standards We Build To</v>
      </c>
      <c r="AF822" s="15" t="str">
        <f t="shared" si="16"/>
        <v>Electropolished Pipe Supply Into Belfast - Certification &amp; Transit</v>
      </c>
      <c r="AG822" s="15" t="str">
        <f t="shared" si="17"/>
        <v>Electropolished Pipes Wholesaler in Belfast - Project Quantities &amp; Terms</v>
      </c>
      <c r="AH822" s="15" t="str">
        <f t="shared" si="18"/>
        <v>electropolished pipes manufacturer in Belfast, electropolished pipes supplier in Belfast, electropolished pipes wholesaler in Belfast, electropolished tube manufacturer Belfast, EP pipe supplier Belfast, sanitary tube supplier Belfast, ASME BPE tubing Belfast, ASTM A270 tube Belfast, SS 316L electropolished pipe Belfast</v>
      </c>
      <c r="AI822" s="15" t="str">
        <f t="shared" si="19"/>
        <v>Electropolished Pipes Manufacturer &amp; Supplier in Belfast</v>
      </c>
      <c r="AJ822" s="15" t="str">
        <f t="shared" si="20"/>
        <v>EP-finished SS 304/316L pipes and tubes for pharma plants in Belfast. ASME BPE SF1-SF4, Ra from 0.25 um, EN 10204 3.1 certificate with every lot.</v>
      </c>
      <c r="AK822" s="15" t="str">
        <f t="shared" si="21"/>
        <v>Electropolished stainless steel pipes supplied by Sakshi Forge to pharma plants at Belfast Harbour Estate, Belfast</v>
      </c>
      <c r="AL822" s="15" t="str">
        <f t="shared" si="22"/>
        <v>Electropolished SS 316L tube stock for Belfast - Sakshi Forge</v>
      </c>
      <c r="AM822" s="15" t="str">
        <f t="shared" si="23"/>
        <v>Home &gt; Market Area &gt; UK &gt; Northern Ireland &gt; Belfast</v>
      </c>
      <c r="AN822" s="15">
        <f t="shared" si="24"/>
        <v>1000</v>
      </c>
      <c r="AO822" s="15">
        <f t="shared" si="25"/>
        <v>8</v>
      </c>
      <c r="AP822" s="15">
        <f t="shared" si="26"/>
        <v>8</v>
      </c>
      <c r="AQ822" s="15">
        <f t="shared" si="27"/>
        <v>14</v>
      </c>
      <c r="AR822" s="31"/>
      <c r="AS822" s="31"/>
      <c r="AT822" s="35" t="s">
        <v>222</v>
      </c>
      <c r="AU822" s="35"/>
    </row>
    <row r="823" ht="15.75" customHeight="1">
      <c r="A823" s="15" t="s">
        <v>9189</v>
      </c>
      <c r="B823" s="15" t="s">
        <v>234</v>
      </c>
      <c r="C823" s="15" t="s">
        <v>8234</v>
      </c>
      <c r="D823" s="15" t="s">
        <v>9190</v>
      </c>
      <c r="E823" s="15" t="s">
        <v>9190</v>
      </c>
      <c r="F823" s="65" t="s">
        <v>788</v>
      </c>
      <c r="G823" s="17" t="s">
        <v>88</v>
      </c>
      <c r="H823" s="18" t="s">
        <v>9191</v>
      </c>
      <c r="I823" s="18" t="s">
        <v>9192</v>
      </c>
      <c r="J823" s="18" t="s">
        <v>9193</v>
      </c>
      <c r="K823" s="18" t="s">
        <v>5794</v>
      </c>
      <c r="L823" s="18" t="s">
        <v>8177</v>
      </c>
      <c r="M823" s="18" t="s">
        <v>540</v>
      </c>
      <c r="N823" s="18" t="s">
        <v>242</v>
      </c>
      <c r="O823" s="18" t="s">
        <v>98</v>
      </c>
      <c r="P823" s="15" t="str">
        <f t="shared" si="1"/>
        <v>BREWERY</v>
      </c>
      <c r="Q823" s="15">
        <f t="shared" si="2"/>
        <v>4</v>
      </c>
      <c r="R823" s="15">
        <f t="shared" si="3"/>
        <v>1</v>
      </c>
      <c r="S823" s="15">
        <f t="shared" si="4"/>
        <v>5</v>
      </c>
      <c r="T823" s="15" t="str">
        <f t="shared" si="5"/>
        <v>B-4</v>
      </c>
      <c r="U823" s="15" t="str">
        <f t="shared" si="6"/>
        <v>T4-M1-H5-FB-4-BREWERY</v>
      </c>
      <c r="V823" s="15">
        <f t="shared" si="7"/>
        <v>0</v>
      </c>
      <c r="W823" s="31"/>
      <c r="X823" s="15" t="str">
        <f t="shared" si="8"/>
        <v>bristol-uk</v>
      </c>
      <c r="Y823" s="32" t="str">
        <f t="shared" si="9"/>
        <v>https://steelmanufacturer.in/market-area/electropolished-pipes-manufacturer-in-bristol-uk/</v>
      </c>
      <c r="Z823" s="15" t="str">
        <f t="shared" si="10"/>
        <v>Electropolished Pipes Manufacturer in Bristol</v>
      </c>
      <c r="AA823" s="15" t="str">
        <f t="shared" si="11"/>
        <v>OK (45)</v>
      </c>
      <c r="AB823" s="15" t="str">
        <f t="shared" si="12"/>
        <v>EP-finished SS 304/316L pipes &amp; tubes for brewery &amp; food plants in Bristol. ASTM A270, ASME BPE SF1-SF4, EN 10204 3.1 MTC. PMI tested.</v>
      </c>
      <c r="AC823" s="15" t="str">
        <f t="shared" si="13"/>
        <v>OK (134)</v>
      </c>
      <c r="AD823" s="15" t="str">
        <f t="shared" si="14"/>
        <v>Electropolished Pipes Manufacturer in Bristol</v>
      </c>
      <c r="AE823" s="15" t="str">
        <f t="shared" si="15"/>
        <v>Electropolished Tube Manufacturing Capability Serving Bristol</v>
      </c>
      <c r="AF823" s="15" t="str">
        <f t="shared" si="16"/>
        <v>Electropolished Pipes Supplier in Bristol - From Order to Delivery</v>
      </c>
      <c r="AG823" s="15" t="str">
        <f t="shared" si="17"/>
        <v>Stockist &amp; Wholesale Supply of Electropolished Pipes in Bristol</v>
      </c>
      <c r="AH823" s="15" t="str">
        <f t="shared" si="18"/>
        <v>electropolished pipes manufacturer in Bristol, electropolished pipes supplier in Bristol, electropolished pipes wholesaler in Bristol, electropolished tube manufacturer Bristol, EP pipe supplier Bristol, sanitary tube supplier Bristol, ASME BPE tubing Bristol, ASTM A270 tube Bristol, SS 316L electropolished pipe Bristol</v>
      </c>
      <c r="AI823" s="15" t="str">
        <f t="shared" si="19"/>
        <v>Electropolished Pipes Manufacturer &amp; Supplier in Bristol</v>
      </c>
      <c r="AJ823" s="15" t="str">
        <f t="shared" si="20"/>
        <v>EP-finished SS 304/316L pipes and tubes for brewery &amp; food plants in Bristol. ASME BPE SF1-SF4, Ra from 0.25 um, EN 10204 3.1 certificate with every lot.</v>
      </c>
      <c r="AK823" s="15" t="str">
        <f t="shared" si="21"/>
        <v>Electropolished stainless steel pipes supplied by Sakshi Forge to brewery &amp; food plants at Avonmouth Industrial, Bristol</v>
      </c>
      <c r="AL823" s="15" t="str">
        <f t="shared" si="22"/>
        <v>Electropolished SS 316L tube stock for Bristol - Sakshi Forge</v>
      </c>
      <c r="AM823" s="15" t="str">
        <f t="shared" si="23"/>
        <v>Home &gt; Market Area &gt; UK &gt; South West &gt; Bristol</v>
      </c>
      <c r="AN823" s="15">
        <f t="shared" si="24"/>
        <v>1000</v>
      </c>
      <c r="AO823" s="15">
        <f t="shared" si="25"/>
        <v>8</v>
      </c>
      <c r="AP823" s="15">
        <f t="shared" si="26"/>
        <v>8</v>
      </c>
      <c r="AQ823" s="15">
        <f t="shared" si="27"/>
        <v>14</v>
      </c>
      <c r="AR823" s="31"/>
      <c r="AS823" s="31"/>
      <c r="AT823" s="35" t="s">
        <v>222</v>
      </c>
      <c r="AU823" s="35"/>
    </row>
    <row r="824" ht="15.75" customHeight="1">
      <c r="A824" s="15" t="s">
        <v>9194</v>
      </c>
      <c r="B824" s="15" t="s">
        <v>234</v>
      </c>
      <c r="C824" s="15" t="s">
        <v>9195</v>
      </c>
      <c r="D824" s="15" t="s">
        <v>9196</v>
      </c>
      <c r="E824" s="15" t="s">
        <v>9196</v>
      </c>
      <c r="F824" s="65" t="s">
        <v>788</v>
      </c>
      <c r="G824" s="17" t="s">
        <v>88</v>
      </c>
      <c r="H824" s="18" t="s">
        <v>9197</v>
      </c>
      <c r="I824" s="18" t="s">
        <v>9198</v>
      </c>
      <c r="J824" s="18" t="s">
        <v>8678</v>
      </c>
      <c r="K824" s="18" t="s">
        <v>229</v>
      </c>
      <c r="L824" s="18" t="s">
        <v>9199</v>
      </c>
      <c r="M824" s="18" t="s">
        <v>540</v>
      </c>
      <c r="N824" s="18" t="s">
        <v>242</v>
      </c>
      <c r="O824" s="18" t="s">
        <v>98</v>
      </c>
      <c r="P824" s="15" t="str">
        <f t="shared" si="1"/>
        <v>PHARMA</v>
      </c>
      <c r="Q824" s="15">
        <f t="shared" si="2"/>
        <v>5</v>
      </c>
      <c r="R824" s="15">
        <f t="shared" si="3"/>
        <v>2</v>
      </c>
      <c r="S824" s="15">
        <f t="shared" si="4"/>
        <v>1</v>
      </c>
      <c r="T824" s="15" t="str">
        <f t="shared" si="5"/>
        <v>B-5</v>
      </c>
      <c r="U824" s="15" t="str">
        <f t="shared" si="6"/>
        <v>T5-M2-H1-FB-5-PHARMA</v>
      </c>
      <c r="V824" s="15">
        <f t="shared" si="7"/>
        <v>0</v>
      </c>
      <c r="W824" s="31"/>
      <c r="X824" s="15" t="str">
        <f t="shared" si="8"/>
        <v>cardiff-uk</v>
      </c>
      <c r="Y824" s="32" t="str">
        <f t="shared" si="9"/>
        <v>https://steelmanufacturer.in/market-area/electropolished-pipes-manufacturer-in-cardiff-uk/</v>
      </c>
      <c r="Z824" s="15" t="str">
        <f t="shared" si="10"/>
        <v>Electropolished Pipes Manufacturer in Cardiff</v>
      </c>
      <c r="AA824" s="15" t="str">
        <f t="shared" si="11"/>
        <v>OK (45)</v>
      </c>
      <c r="AB824" s="15" t="str">
        <f t="shared" si="12"/>
        <v>Electropolished tube supply to Cardiff Bay Industrial, Cardiff. Ra from 0.25 um, SF4 finish, mill test certificate with every lot.</v>
      </c>
      <c r="AC824" s="15" t="str">
        <f t="shared" si="13"/>
        <v>OK (130)</v>
      </c>
      <c r="AD824" s="15" t="str">
        <f t="shared" si="14"/>
        <v>Electropolished Pipes Manufacturer in Cardiff</v>
      </c>
      <c r="AE824" s="15" t="str">
        <f t="shared" si="15"/>
        <v>Electropolished Pipe &amp; Tube Manufacturing for Cardiff - Grades, Finishes &amp; Certification</v>
      </c>
      <c r="AF824" s="15" t="str">
        <f t="shared" si="16"/>
        <v>Electropolished Pipes Supplier in Cardiff - Stock Sizes, Lead Time &amp; Delivery</v>
      </c>
      <c r="AG824" s="15" t="str">
        <f t="shared" si="17"/>
        <v>Electropolished Pipes Wholesaler &amp; Stockist in Cardiff - Bulk &amp; Project Pricing</v>
      </c>
      <c r="AH824" s="15" t="str">
        <f t="shared" si="18"/>
        <v>electropolished pipes manufacturer in Cardiff, electropolished pipes supplier in Cardiff, electropolished pipes wholesaler in Cardiff, electropolished tube manufacturer Cardiff, EP pipe supplier Cardiff, sanitary tube supplier Cardiff, ASME BPE tubing Cardiff, ASTM A270 tube Cardiff, SS 316L electropolished pipe Cardiff</v>
      </c>
      <c r="AI824" s="15" t="str">
        <f t="shared" si="19"/>
        <v>Electropolished Pipes Manufacturer &amp; Supplier in Cardiff</v>
      </c>
      <c r="AJ824" s="15" t="str">
        <f t="shared" si="20"/>
        <v>EP-finished SS 304/316L pipes and tubes for pharma plants in Cardiff. ASME BPE SF1-SF4, Ra from 0.25 um, EN 10204 3.1 certificate with every lot.</v>
      </c>
      <c r="AK824" s="15" t="str">
        <f t="shared" si="21"/>
        <v>Electropolished stainless steel pipes supplied by Sakshi Forge to pharma plants at Cardiff Bay Industrial, Cardiff</v>
      </c>
      <c r="AL824" s="15" t="str">
        <f t="shared" si="22"/>
        <v>Electropolished SS 316L tube stock for Cardiff - Sakshi Forge</v>
      </c>
      <c r="AM824" s="15" t="str">
        <f t="shared" si="23"/>
        <v>Home &gt; Market Area &gt; UK &gt; Wales &gt; Cardiff</v>
      </c>
      <c r="AN824" s="15">
        <f t="shared" si="24"/>
        <v>1000</v>
      </c>
      <c r="AO824" s="15">
        <f t="shared" si="25"/>
        <v>8</v>
      </c>
      <c r="AP824" s="15">
        <f t="shared" si="26"/>
        <v>8</v>
      </c>
      <c r="AQ824" s="15">
        <f t="shared" si="27"/>
        <v>14</v>
      </c>
      <c r="AR824" s="31"/>
      <c r="AS824" s="31"/>
      <c r="AT824" s="35" t="s">
        <v>222</v>
      </c>
      <c r="AU824" s="35"/>
    </row>
    <row r="825" ht="15.75" customHeight="1">
      <c r="A825" s="15" t="s">
        <v>9200</v>
      </c>
      <c r="B825" s="15" t="s">
        <v>234</v>
      </c>
      <c r="C825" s="15" t="s">
        <v>8171</v>
      </c>
      <c r="D825" s="15" t="s">
        <v>9201</v>
      </c>
      <c r="E825" s="15" t="s">
        <v>9201</v>
      </c>
      <c r="F825" s="65" t="s">
        <v>788</v>
      </c>
      <c r="G825" s="17" t="s">
        <v>88</v>
      </c>
      <c r="H825" s="18" t="s">
        <v>9202</v>
      </c>
      <c r="I825" s="18" t="s">
        <v>9203</v>
      </c>
      <c r="J825" s="18" t="s">
        <v>9204</v>
      </c>
      <c r="K825" s="18" t="s">
        <v>94</v>
      </c>
      <c r="L825" s="18" t="s">
        <v>8177</v>
      </c>
      <c r="M825" s="18" t="s">
        <v>540</v>
      </c>
      <c r="N825" s="18" t="s">
        <v>242</v>
      </c>
      <c r="O825" s="18" t="s">
        <v>98</v>
      </c>
      <c r="P825" s="15" t="str">
        <f t="shared" si="1"/>
        <v>FOOD</v>
      </c>
      <c r="Q825" s="15">
        <f t="shared" si="2"/>
        <v>6</v>
      </c>
      <c r="R825" s="15">
        <f t="shared" si="3"/>
        <v>3</v>
      </c>
      <c r="S825" s="15">
        <f t="shared" si="4"/>
        <v>2</v>
      </c>
      <c r="T825" s="15" t="str">
        <f t="shared" si="5"/>
        <v>B-6</v>
      </c>
      <c r="U825" s="15" t="str">
        <f t="shared" si="6"/>
        <v>T6-M3-H2-FB-6-FOOD</v>
      </c>
      <c r="V825" s="15">
        <f t="shared" si="7"/>
        <v>0</v>
      </c>
      <c r="W825" s="31"/>
      <c r="X825" s="15" t="str">
        <f t="shared" si="8"/>
        <v>coventry-uk</v>
      </c>
      <c r="Y825" s="32" t="str">
        <f t="shared" si="9"/>
        <v>https://steelmanufacturer.in/market-area/electropolished-pipes-manufacturer-in-coventry-uk/</v>
      </c>
      <c r="Z825" s="15" t="str">
        <f t="shared" si="10"/>
        <v>Electropolished Pipes Manufacturer in Coventry</v>
      </c>
      <c r="AA825" s="15" t="str">
        <f t="shared" si="11"/>
        <v>OK (46)</v>
      </c>
      <c r="AB825" s="15" t="str">
        <f t="shared" si="12"/>
        <v>EP stainless tube for food processing lines in Coventry. 22-28 days sea from Nhava Sheva to Felixstowe. ASTM A270 S2, PMI tested, EN 10204 3.1.</v>
      </c>
      <c r="AC825" s="15" t="str">
        <f t="shared" si="13"/>
        <v>OK (143)</v>
      </c>
      <c r="AD825" s="15" t="str">
        <f t="shared" si="14"/>
        <v>Electropolished Pipes Manufacturer in Coventry</v>
      </c>
      <c r="AE825" s="15" t="str">
        <f t="shared" si="15"/>
        <v>How We Manufacture Electropolished Tube for Coventry Plants</v>
      </c>
      <c r="AF825" s="15" t="str">
        <f t="shared" si="16"/>
        <v>Supplying Electropolished Pipes in Coventry: Availability, Sizes &amp; Dispatch</v>
      </c>
      <c r="AG825" s="15" t="str">
        <f t="shared" si="17"/>
        <v>Wholesale Electropolished Pipe Supply for Coventry Projects</v>
      </c>
      <c r="AH825" s="15" t="str">
        <f t="shared" si="18"/>
        <v>electropolished pipes manufacturer in Coventry, electropolished pipes supplier in Coventry, electropolished pipes wholesaler in Coventry, electropolished tube manufacturer Coventry, EP pipe supplier Coventry, sanitary tube supplier Coventry, ASME BPE tubing Coventry, ASTM A270 tube Coventry, SS 316L electropolished pipe Coventry</v>
      </c>
      <c r="AI825" s="15" t="str">
        <f t="shared" si="19"/>
        <v>Electropolished Pipes Manufacturer &amp; Supplier in Coventry</v>
      </c>
      <c r="AJ825" s="15" t="str">
        <f t="shared" si="20"/>
        <v>EP-finished SS 304/316L pipes and tubes for food processing plants in Coventry. ASME BPE SF1-SF4, Ra from 0.25 um, EN 10204 3.1 certificate with every lot.</v>
      </c>
      <c r="AK825" s="15" t="str">
        <f t="shared" si="21"/>
        <v>Electropolished stainless steel pipes supplied by Sakshi Forge to food processing plants at Coventry Industrial Estate, Coventry</v>
      </c>
      <c r="AL825" s="15" t="str">
        <f t="shared" si="22"/>
        <v>Electropolished SS 316L tube stock for Coventry - Sakshi Forge</v>
      </c>
      <c r="AM825" s="15" t="str">
        <f t="shared" si="23"/>
        <v>Home &gt; Market Area &gt; UK &gt; West Midlands &gt; Coventry</v>
      </c>
      <c r="AN825" s="15">
        <f t="shared" si="24"/>
        <v>1000</v>
      </c>
      <c r="AO825" s="15">
        <f t="shared" si="25"/>
        <v>8</v>
      </c>
      <c r="AP825" s="15">
        <f t="shared" si="26"/>
        <v>8</v>
      </c>
      <c r="AQ825" s="15">
        <f t="shared" si="27"/>
        <v>14</v>
      </c>
      <c r="AR825" s="31"/>
      <c r="AS825" s="31"/>
      <c r="AT825" s="35" t="s">
        <v>222</v>
      </c>
      <c r="AU825" s="35"/>
    </row>
    <row r="826" ht="15.75" customHeight="1">
      <c r="A826" s="15" t="s">
        <v>9205</v>
      </c>
      <c r="B826" s="15" t="s">
        <v>234</v>
      </c>
      <c r="C826" s="15" t="s">
        <v>8228</v>
      </c>
      <c r="D826" s="15" t="s">
        <v>9206</v>
      </c>
      <c r="E826" s="15" t="s">
        <v>9206</v>
      </c>
      <c r="F826" s="65" t="s">
        <v>788</v>
      </c>
      <c r="G826" s="17" t="s">
        <v>88</v>
      </c>
      <c r="H826" s="18" t="s">
        <v>9207</v>
      </c>
      <c r="I826" s="18" t="s">
        <v>9208</v>
      </c>
      <c r="J826" s="18" t="s">
        <v>9209</v>
      </c>
      <c r="K826" s="18" t="s">
        <v>94</v>
      </c>
      <c r="L826" s="18" t="s">
        <v>8203</v>
      </c>
      <c r="M826" s="18" t="s">
        <v>540</v>
      </c>
      <c r="N826" s="18" t="s">
        <v>242</v>
      </c>
      <c r="O826" s="18" t="s">
        <v>98</v>
      </c>
      <c r="P826" s="15" t="str">
        <f t="shared" si="1"/>
        <v>FOOD</v>
      </c>
      <c r="Q826" s="15">
        <f t="shared" si="2"/>
        <v>7</v>
      </c>
      <c r="R826" s="15">
        <f t="shared" si="3"/>
        <v>4</v>
      </c>
      <c r="S826" s="15">
        <f t="shared" si="4"/>
        <v>3</v>
      </c>
      <c r="T826" s="15" t="str">
        <f t="shared" si="5"/>
        <v>B-1</v>
      </c>
      <c r="U826" s="15" t="str">
        <f t="shared" si="6"/>
        <v>T7-M4-H3-FB-1-FOOD</v>
      </c>
      <c r="V826" s="15">
        <f t="shared" si="7"/>
        <v>0</v>
      </c>
      <c r="W826" s="31"/>
      <c r="X826" s="15" t="str">
        <f t="shared" si="8"/>
        <v>derby-uk</v>
      </c>
      <c r="Y826" s="32" t="str">
        <f t="shared" si="9"/>
        <v>https://steelmanufacturer.in/market-area/electropolished-pipes-manufacturer-in-derby-uk/</v>
      </c>
      <c r="Z826" s="15" t="str">
        <f t="shared" si="10"/>
        <v>Electropolished Pipes Manufacturer in Derby | ASME BPE SF1-SF4</v>
      </c>
      <c r="AA826" s="15" t="str">
        <f t="shared" si="11"/>
        <v>OK (62)</v>
      </c>
      <c r="AB826" s="15" t="str">
        <f t="shared" si="12"/>
        <v>Sanitary electropolished pipes in Derby for food processing plants. ASME BPE SF1-SF4, orbital-weld ready, 3.1 MTC. Mumbai-made.</v>
      </c>
      <c r="AC826" s="15" t="str">
        <f t="shared" si="13"/>
        <v>OK (127)</v>
      </c>
      <c r="AD826" s="15" t="str">
        <f t="shared" si="14"/>
        <v>Electropolished Pipes Manufacturer in Derby</v>
      </c>
      <c r="AE826" s="15" t="str">
        <f t="shared" si="15"/>
        <v>Electropolished Pipes Manufacturer in Derby - Our Process &amp; Capability</v>
      </c>
      <c r="AF826" s="15" t="str">
        <f t="shared" si="16"/>
        <v>Electropolished Pipes Supplier in Derby - What We Hold in Stock</v>
      </c>
      <c r="AG826" s="15" t="str">
        <f t="shared" si="17"/>
        <v>Bulk &amp; Wholesale Electropolished Pipe Rates for Derby Buyers</v>
      </c>
      <c r="AH826" s="15" t="str">
        <f t="shared" si="18"/>
        <v>electropolished pipes manufacturer in Derby, electropolished pipes supplier in Derby, electropolished pipes wholesaler in Derby, electropolished tube manufacturer Derby, EP pipe supplier Derby, sanitary tube supplier Derby, ASME BPE tubing Derby, ASTM A270 tube Derby, SS 316L electropolished pipe Derby</v>
      </c>
      <c r="AI826" s="15" t="str">
        <f t="shared" si="19"/>
        <v>Electropolished Pipes Manufacturer &amp; Supplier in Derby</v>
      </c>
      <c r="AJ826" s="15" t="str">
        <f t="shared" si="20"/>
        <v>EP-finished SS 304/316L pipes and tubes for food processing plants in Derby. ASME BPE SF1-SF4, Ra from 0.25 um, EN 10204 3.1 certificate with every lot.</v>
      </c>
      <c r="AK826" s="15" t="str">
        <f t="shared" si="21"/>
        <v>Electropolished stainless steel pipes supplied by Sakshi Forge to food processing plants at Derby Industrial Corridor, Derby</v>
      </c>
      <c r="AL826" s="15" t="str">
        <f t="shared" si="22"/>
        <v>Electropolished SS 316L tube stock for Derby - Sakshi Forge</v>
      </c>
      <c r="AM826" s="15" t="str">
        <f t="shared" si="23"/>
        <v>Home &gt; Market Area &gt; UK &gt; East Midlands &gt; Derby</v>
      </c>
      <c r="AN826" s="15">
        <f t="shared" si="24"/>
        <v>1000</v>
      </c>
      <c r="AO826" s="15">
        <f t="shared" si="25"/>
        <v>8</v>
      </c>
      <c r="AP826" s="15">
        <f t="shared" si="26"/>
        <v>8</v>
      </c>
      <c r="AQ826" s="15">
        <f t="shared" si="27"/>
        <v>14</v>
      </c>
      <c r="AR826" s="31"/>
      <c r="AS826" s="31"/>
      <c r="AT826" s="35" t="s">
        <v>222</v>
      </c>
      <c r="AU826" s="35"/>
    </row>
    <row r="827" ht="15.75" customHeight="1">
      <c r="A827" s="15" t="s">
        <v>9210</v>
      </c>
      <c r="B827" s="15" t="s">
        <v>234</v>
      </c>
      <c r="C827" s="15" t="s">
        <v>8186</v>
      </c>
      <c r="D827" s="15" t="s">
        <v>9211</v>
      </c>
      <c r="E827" s="15" t="s">
        <v>9211</v>
      </c>
      <c r="F827" s="65" t="s">
        <v>788</v>
      </c>
      <c r="G827" s="17" t="s">
        <v>88</v>
      </c>
      <c r="H827" s="18" t="s">
        <v>9212</v>
      </c>
      <c r="I827" s="18" t="s">
        <v>9213</v>
      </c>
      <c r="J827" s="18" t="s">
        <v>9214</v>
      </c>
      <c r="K827" s="18" t="s">
        <v>1320</v>
      </c>
      <c r="L827" s="18" t="s">
        <v>9215</v>
      </c>
      <c r="M827" s="18" t="s">
        <v>540</v>
      </c>
      <c r="N827" s="18" t="s">
        <v>242</v>
      </c>
      <c r="O827" s="18" t="s">
        <v>98</v>
      </c>
      <c r="P827" s="15" t="str">
        <f t="shared" si="1"/>
        <v>BIOTECH</v>
      </c>
      <c r="Q827" s="15">
        <f t="shared" si="2"/>
        <v>8</v>
      </c>
      <c r="R827" s="15">
        <f t="shared" si="3"/>
        <v>5</v>
      </c>
      <c r="S827" s="15">
        <f t="shared" si="4"/>
        <v>4</v>
      </c>
      <c r="T827" s="15" t="str">
        <f t="shared" si="5"/>
        <v>B-2</v>
      </c>
      <c r="U827" s="15" t="str">
        <f t="shared" si="6"/>
        <v>T8-M5-H4-FB-2-BIOTECH</v>
      </c>
      <c r="V827" s="15">
        <f t="shared" si="7"/>
        <v>0</v>
      </c>
      <c r="W827" s="31"/>
      <c r="X827" s="15" t="str">
        <f t="shared" si="8"/>
        <v>dundee-uk</v>
      </c>
      <c r="Y827" s="32" t="str">
        <f t="shared" si="9"/>
        <v>https://steelmanufacturer.in/market-area/electropolished-pipes-manufacturer-in-dundee-uk/</v>
      </c>
      <c r="Z827" s="15" t="str">
        <f t="shared" si="10"/>
        <v>Electropolished Pipes Manufacturer in Dundee - EP Tube Stockist</v>
      </c>
      <c r="AA827" s="15" t="str">
        <f t="shared" si="11"/>
        <v>OK (63)</v>
      </c>
      <c r="AB827" s="15" t="str">
        <f t="shared" si="12"/>
        <v>Manufacturer of electropolished SS 316L tube serving Dundee. 22-28 days sea from Nhava Sheva to Felixstowe. Ra 0.25-0.5 um, EN 10204 3.1 MTC.</v>
      </c>
      <c r="AC827" s="15" t="str">
        <f t="shared" si="13"/>
        <v>OK (141)</v>
      </c>
      <c r="AD827" s="15" t="str">
        <f t="shared" si="14"/>
        <v>Electropolished Pipes Manufacturer in Dundee</v>
      </c>
      <c r="AE827" s="15" t="str">
        <f t="shared" si="15"/>
        <v>Manufacturing Electropolished SS Tube for Dundee: The Standards We Build To</v>
      </c>
      <c r="AF827" s="15" t="str">
        <f t="shared" si="16"/>
        <v>Electropolished Pipe Supply Into Dundee - Certification &amp; Transit</v>
      </c>
      <c r="AG827" s="15" t="str">
        <f t="shared" si="17"/>
        <v>Electropolished Pipes Wholesaler in Dundee - Project Quantities &amp; Terms</v>
      </c>
      <c r="AH827" s="15" t="str">
        <f t="shared" si="18"/>
        <v>electropolished pipes manufacturer in Dundee, electropolished pipes supplier in Dundee, electropolished pipes wholesaler in Dundee, electropolished tube manufacturer Dundee, EP pipe supplier Dundee, sanitary tube supplier Dundee, ASME BPE tubing Dundee, ASTM A270 tube Dundee, SS 316L electropolished pipe Dundee</v>
      </c>
      <c r="AI827" s="15" t="str">
        <f t="shared" si="19"/>
        <v>Electropolished Pipes Manufacturer &amp; Supplier in Dundee</v>
      </c>
      <c r="AJ827" s="15" t="str">
        <f t="shared" si="20"/>
        <v>EP-finished SS 304/316L pipes and tubes for biotech plants in Dundee. ASME BPE SF1-SF4, Ra from 0.25 um, EN 10204 3.1 certificate with every lot.</v>
      </c>
      <c r="AK827" s="15" t="str">
        <f t="shared" si="21"/>
        <v>Electropolished stainless steel pipes supplied by Sakshi Forge to biotech plants at Dundee Technology Park, Dundee</v>
      </c>
      <c r="AL827" s="15" t="str">
        <f t="shared" si="22"/>
        <v>Electropolished SS 316L tube stock for Dundee - Sakshi Forge</v>
      </c>
      <c r="AM827" s="15" t="str">
        <f t="shared" si="23"/>
        <v>Home &gt; Market Area &gt; UK &gt; Scotland &gt; Dundee</v>
      </c>
      <c r="AN827" s="15">
        <f t="shared" si="24"/>
        <v>1000</v>
      </c>
      <c r="AO827" s="15">
        <f t="shared" si="25"/>
        <v>8</v>
      </c>
      <c r="AP827" s="15">
        <f t="shared" si="26"/>
        <v>8</v>
      </c>
      <c r="AQ827" s="15">
        <f t="shared" si="27"/>
        <v>14</v>
      </c>
      <c r="AR827" s="31"/>
      <c r="AS827" s="31"/>
      <c r="AT827" s="35" t="s">
        <v>222</v>
      </c>
      <c r="AU827" s="35"/>
    </row>
    <row r="828" ht="15.75" customHeight="1">
      <c r="A828" s="15" t="s">
        <v>9216</v>
      </c>
      <c r="B828" s="15" t="s">
        <v>234</v>
      </c>
      <c r="C828" s="15" t="s">
        <v>8198</v>
      </c>
      <c r="D828" s="15" t="s">
        <v>9217</v>
      </c>
      <c r="E828" s="15" t="s">
        <v>9217</v>
      </c>
      <c r="F828" s="65" t="s">
        <v>788</v>
      </c>
      <c r="G828" s="17" t="s">
        <v>88</v>
      </c>
      <c r="H828" s="18" t="s">
        <v>9218</v>
      </c>
      <c r="I828" s="18" t="s">
        <v>9219</v>
      </c>
      <c r="J828" s="18" t="s">
        <v>9220</v>
      </c>
      <c r="K828" s="18" t="s">
        <v>1320</v>
      </c>
      <c r="L828" s="18" t="s">
        <v>9221</v>
      </c>
      <c r="M828" s="18" t="s">
        <v>540</v>
      </c>
      <c r="N828" s="18" t="s">
        <v>242</v>
      </c>
      <c r="O828" s="18" t="s">
        <v>98</v>
      </c>
      <c r="P828" s="15" t="str">
        <f t="shared" si="1"/>
        <v>BIOTECH</v>
      </c>
      <c r="Q828" s="15">
        <f t="shared" si="2"/>
        <v>1</v>
      </c>
      <c r="R828" s="15">
        <f t="shared" si="3"/>
        <v>6</v>
      </c>
      <c r="S828" s="15">
        <f t="shared" si="4"/>
        <v>5</v>
      </c>
      <c r="T828" s="15" t="str">
        <f t="shared" si="5"/>
        <v>B-3</v>
      </c>
      <c r="U828" s="15" t="str">
        <f t="shared" si="6"/>
        <v>T1-M6-H5-FB-3-BIOTECH</v>
      </c>
      <c r="V828" s="15">
        <f t="shared" si="7"/>
        <v>0</v>
      </c>
      <c r="W828" s="31"/>
      <c r="X828" s="15" t="str">
        <f t="shared" si="8"/>
        <v>hull-uk</v>
      </c>
      <c r="Y828" s="32" t="str">
        <f t="shared" si="9"/>
        <v>https://steelmanufacturer.in/market-area/electropolished-pipes-manufacturer-in-hull-uk/</v>
      </c>
      <c r="Z828" s="15" t="str">
        <f t="shared" si="10"/>
        <v>Electropolished Pipes Manufacturer in Hull | Sakshi Forge</v>
      </c>
      <c r="AA828" s="15" t="str">
        <f t="shared" si="11"/>
        <v>OK (57)</v>
      </c>
      <c r="AB828" s="15" t="str">
        <f t="shared" si="12"/>
        <v>EP tube and pipe for biotech plants around Hull Enterprise Zone, Hull. Made at our Mumbai works to ASTM A270 and ASME BPE SF1-SF4, with 3.1 MTC.</v>
      </c>
      <c r="AC828" s="15" t="str">
        <f t="shared" si="13"/>
        <v>OK (144)</v>
      </c>
      <c r="AD828" s="15" t="str">
        <f t="shared" si="14"/>
        <v>Electropolished Pipes Manufacturer in Hull</v>
      </c>
      <c r="AE828" s="15" t="str">
        <f t="shared" si="15"/>
        <v>Electropolished Tube Manufacturing Capability Serving Hull</v>
      </c>
      <c r="AF828" s="15" t="str">
        <f t="shared" si="16"/>
        <v>Electropolished Pipes Supplier in Hull - From Order to Delivery</v>
      </c>
      <c r="AG828" s="15" t="str">
        <f t="shared" si="17"/>
        <v>Stockist &amp; Wholesale Supply of Electropolished Pipes in Hull</v>
      </c>
      <c r="AH828" s="15" t="str">
        <f t="shared" si="18"/>
        <v>electropolished pipes manufacturer in Hull, electropolished pipes supplier in Hull, electropolished pipes wholesaler in Hull, electropolished tube manufacturer Hull, EP pipe supplier Hull, sanitary tube supplier Hull, ASME BPE tubing Hull, ASTM A270 tube Hull, SS 316L electropolished pipe Hull</v>
      </c>
      <c r="AI828" s="15" t="str">
        <f t="shared" si="19"/>
        <v>Electropolished Pipes Manufacturer &amp; Supplier in Hull</v>
      </c>
      <c r="AJ828" s="15" t="str">
        <f t="shared" si="20"/>
        <v>EP-finished SS 304/316L pipes and tubes for biotech plants in Hull. ASME BPE SF1-SF4, Ra from 0.25 um, EN 10204 3.1 certificate with every lot.</v>
      </c>
      <c r="AK828" s="15" t="str">
        <f t="shared" si="21"/>
        <v>Electropolished stainless steel pipes supplied by Sakshi Forge to biotech plants at Hull Enterprise Zone, Hull</v>
      </c>
      <c r="AL828" s="15" t="str">
        <f t="shared" si="22"/>
        <v>Electropolished SS 316L tube stock for Hull - Sakshi Forge</v>
      </c>
      <c r="AM828" s="15" t="str">
        <f t="shared" si="23"/>
        <v>Home &gt; Market Area &gt; UK &gt; Yorkshire &gt; Hull</v>
      </c>
      <c r="AN828" s="15">
        <f t="shared" si="24"/>
        <v>1000</v>
      </c>
      <c r="AO828" s="15">
        <f t="shared" si="25"/>
        <v>8</v>
      </c>
      <c r="AP828" s="15">
        <f t="shared" si="26"/>
        <v>8</v>
      </c>
      <c r="AQ828" s="15">
        <f t="shared" si="27"/>
        <v>14</v>
      </c>
      <c r="AR828" s="31"/>
      <c r="AS828" s="31"/>
      <c r="AT828" s="35" t="s">
        <v>222</v>
      </c>
      <c r="AU828" s="35"/>
    </row>
    <row r="829" ht="15.75" customHeight="1">
      <c r="A829" s="15" t="s">
        <v>9222</v>
      </c>
      <c r="B829" s="15" t="s">
        <v>234</v>
      </c>
      <c r="C829" s="15" t="s">
        <v>8228</v>
      </c>
      <c r="D829" s="15" t="s">
        <v>9223</v>
      </c>
      <c r="E829" s="15" t="s">
        <v>9223</v>
      </c>
      <c r="F829" s="65" t="s">
        <v>788</v>
      </c>
      <c r="G829" s="17" t="s">
        <v>88</v>
      </c>
      <c r="H829" s="18" t="s">
        <v>9224</v>
      </c>
      <c r="I829" s="18" t="s">
        <v>9225</v>
      </c>
      <c r="J829" s="18" t="s">
        <v>361</v>
      </c>
      <c r="K829" s="18" t="s">
        <v>94</v>
      </c>
      <c r="L829" s="18" t="s">
        <v>8184</v>
      </c>
      <c r="M829" s="18" t="s">
        <v>540</v>
      </c>
      <c r="N829" s="18" t="s">
        <v>242</v>
      </c>
      <c r="O829" s="18" t="s">
        <v>98</v>
      </c>
      <c r="P829" s="15" t="str">
        <f t="shared" si="1"/>
        <v>FOOD</v>
      </c>
      <c r="Q829" s="15">
        <f t="shared" si="2"/>
        <v>2</v>
      </c>
      <c r="R829" s="15">
        <f t="shared" si="3"/>
        <v>7</v>
      </c>
      <c r="S829" s="15">
        <f t="shared" si="4"/>
        <v>1</v>
      </c>
      <c r="T829" s="15" t="str">
        <f t="shared" si="5"/>
        <v>B-4</v>
      </c>
      <c r="U829" s="15" t="str">
        <f t="shared" si="6"/>
        <v>T2-M7-H1-FB-4-FOOD</v>
      </c>
      <c r="V829" s="15">
        <f t="shared" si="7"/>
        <v>0</v>
      </c>
      <c r="W829" s="31"/>
      <c r="X829" s="15" t="str">
        <f t="shared" si="8"/>
        <v>leicester-uk</v>
      </c>
      <c r="Y829" s="32" t="str">
        <f t="shared" si="9"/>
        <v>https://steelmanufacturer.in/market-area/electropolished-pipes-manufacturer-in-leicester-uk/</v>
      </c>
      <c r="Z829" s="15" t="str">
        <f t="shared" si="10"/>
        <v>Electropolished Pipes Manufacturer in Leicester</v>
      </c>
      <c r="AA829" s="15" t="str">
        <f t="shared" si="11"/>
        <v>OK (47)</v>
      </c>
      <c r="AB829" s="15" t="str">
        <f t="shared" si="12"/>
        <v>Electropolished pipes in Leicester: 304, 304L, 316 and 316L in SF1-SF4. 22-28 days sea from Nhava Sheva to Felixstowe. Mill certified.</v>
      </c>
      <c r="AC829" s="15" t="str">
        <f t="shared" si="13"/>
        <v>OK (134)</v>
      </c>
      <c r="AD829" s="15" t="str">
        <f t="shared" si="14"/>
        <v>Electropolished Pipes Manufacturer in Leicester</v>
      </c>
      <c r="AE829" s="15" t="str">
        <f t="shared" si="15"/>
        <v>Electropolished Pipe &amp; Tube Manufacturing for Leicester - Grades, Finishes &amp; Certification</v>
      </c>
      <c r="AF829" s="15" t="str">
        <f t="shared" si="16"/>
        <v>Electropolished Pipes Supplier in Leicester - Stock Sizes, Lead Time &amp; Delivery</v>
      </c>
      <c r="AG829" s="15" t="str">
        <f t="shared" si="17"/>
        <v>Electropolished Pipes Wholesaler &amp; Stockist in Leicester - Bulk &amp; Project Pricing</v>
      </c>
      <c r="AH829" s="15" t="str">
        <f t="shared" si="18"/>
        <v>electropolished pipes manufacturer in Leicester, electropolished pipes supplier in Leicester, electropolished pipes wholesaler in Leicester, electropolished tube manufacturer Leicester, EP pipe supplier Leicester, sanitary tube supplier Leicester, ASME BPE tubing Leicester, ASTM A270 tube Leicester, SS 316L electropolished pipe Leicester</v>
      </c>
      <c r="AI829" s="15" t="str">
        <f t="shared" si="19"/>
        <v>Electropolished Pipes Manufacturer &amp; Supplier in Leicester</v>
      </c>
      <c r="AJ829" s="15" t="str">
        <f t="shared" si="20"/>
        <v>EP-finished SS 304/316L pipes and tubes for food processing plants in Leicester. ASME BPE SF1-SF4, Ra from 0.25 um, EN 10204 3.1 certificate with every lot.</v>
      </c>
      <c r="AK829" s="15" t="str">
        <f t="shared" si="21"/>
        <v>Electropolished stainless steel pipes supplied by Sakshi Forge to food processing plants at Leicester Industrial Corridor, Leicester</v>
      </c>
      <c r="AL829" s="15" t="str">
        <f t="shared" si="22"/>
        <v>Electropolished SS 316L tube stock for Leicester - Sakshi Forge</v>
      </c>
      <c r="AM829" s="15" t="str">
        <f t="shared" si="23"/>
        <v>Home &gt; Market Area &gt; UK &gt; East Midlands &gt; Leicester</v>
      </c>
      <c r="AN829" s="15">
        <f t="shared" si="24"/>
        <v>1000</v>
      </c>
      <c r="AO829" s="15">
        <f t="shared" si="25"/>
        <v>8</v>
      </c>
      <c r="AP829" s="15">
        <f t="shared" si="26"/>
        <v>8</v>
      </c>
      <c r="AQ829" s="15">
        <f t="shared" si="27"/>
        <v>14</v>
      </c>
      <c r="AR829" s="31"/>
      <c r="AS829" s="31"/>
      <c r="AT829" s="35" t="s">
        <v>222</v>
      </c>
      <c r="AU829" s="35"/>
    </row>
    <row r="830" ht="15.75" customHeight="1">
      <c r="A830" s="15" t="s">
        <v>9226</v>
      </c>
      <c r="B830" s="15" t="s">
        <v>234</v>
      </c>
      <c r="C830" s="15" t="s">
        <v>9227</v>
      </c>
      <c r="D830" s="15" t="s">
        <v>9228</v>
      </c>
      <c r="E830" s="15" t="s">
        <v>9228</v>
      </c>
      <c r="F830" s="65" t="s">
        <v>788</v>
      </c>
      <c r="G830" s="17" t="s">
        <v>88</v>
      </c>
      <c r="H830" s="18" t="s">
        <v>9229</v>
      </c>
      <c r="I830" s="18" t="s">
        <v>9230</v>
      </c>
      <c r="J830" s="18" t="s">
        <v>9231</v>
      </c>
      <c r="K830" s="18" t="s">
        <v>229</v>
      </c>
      <c r="L830" s="18" t="s">
        <v>8184</v>
      </c>
      <c r="M830" s="18" t="s">
        <v>540</v>
      </c>
      <c r="N830" s="18" t="s">
        <v>242</v>
      </c>
      <c r="O830" s="18" t="s">
        <v>98</v>
      </c>
      <c r="P830" s="15" t="str">
        <f t="shared" si="1"/>
        <v>PHARMA</v>
      </c>
      <c r="Q830" s="15">
        <f t="shared" si="2"/>
        <v>3</v>
      </c>
      <c r="R830" s="15">
        <f t="shared" si="3"/>
        <v>1</v>
      </c>
      <c r="S830" s="15">
        <f t="shared" si="4"/>
        <v>2</v>
      </c>
      <c r="T830" s="15" t="str">
        <f t="shared" si="5"/>
        <v>B-5</v>
      </c>
      <c r="U830" s="15" t="str">
        <f t="shared" si="6"/>
        <v>T3-M1-H2-FB-5-PHARMA</v>
      </c>
      <c r="V830" s="15">
        <f t="shared" si="7"/>
        <v>0</v>
      </c>
      <c r="W830" s="31"/>
      <c r="X830" s="15" t="str">
        <f t="shared" si="8"/>
        <v>milton-keynes-uk</v>
      </c>
      <c r="Y830" s="32" t="str">
        <f t="shared" si="9"/>
        <v>https://steelmanufacturer.in/market-area/electropolished-pipes-manufacturer-in-milton-keynes-uk/</v>
      </c>
      <c r="Z830" s="15" t="str">
        <f t="shared" si="10"/>
        <v>Electropolished Pipes Manufacturer in Milton Keynes</v>
      </c>
      <c r="AA830" s="15" t="str">
        <f t="shared" si="11"/>
        <v>OK (51)</v>
      </c>
      <c r="AB830" s="15" t="str">
        <f t="shared" si="12"/>
        <v>EP-finished SS 304/316L pipes &amp; tubes for pharma plants in Milton Keynes. ASTM A270, ASME BPE SF1-SF4, EN 10204 3.1 MTC. PMI tested.</v>
      </c>
      <c r="AC830" s="15" t="str">
        <f t="shared" si="13"/>
        <v>OK (132)</v>
      </c>
      <c r="AD830" s="15" t="str">
        <f t="shared" si="14"/>
        <v>Electropolished Pipes Manufacturer in Milton Keynes</v>
      </c>
      <c r="AE830" s="15" t="str">
        <f t="shared" si="15"/>
        <v>How We Manufacture Electropolished Tube for Milton Keynes Plants</v>
      </c>
      <c r="AF830" s="15" t="str">
        <f t="shared" si="16"/>
        <v>Supplying Electropolished Pipes in Milton Keynes: Availability, Sizes &amp; Dispatch</v>
      </c>
      <c r="AG830" s="15" t="str">
        <f t="shared" si="17"/>
        <v>Wholesale Electropolished Pipe Supply for Milton Keynes Projects</v>
      </c>
      <c r="AH830" s="15" t="str">
        <f t="shared" si="18"/>
        <v>electropolished pipes manufacturer in Milton Keynes, electropolished pipes supplier in Milton Keynes, electropolished pipes wholesaler in Milton Keynes, electropolished tube manufacturer Milton Keynes, EP pipe supplier Milton Keynes, sanitary tube supplier Milton Keynes, ASME BPE tubing Milton Keynes, ASTM A270 tube Milton Keynes, SS 316L electropolished pipe Milton Keynes</v>
      </c>
      <c r="AI830" s="15" t="str">
        <f t="shared" si="19"/>
        <v>Electropolished Pipes Manufacturer &amp; Supplier in Milton Keynes</v>
      </c>
      <c r="AJ830" s="15" t="str">
        <f t="shared" si="20"/>
        <v>EP-finished SS 304/316L pipes and tubes for pharma plants in Milton Keynes. ASME BPE SF1-SF4, Ra from 0.25 um, EN 10204 3.1 certificate with every lot.</v>
      </c>
      <c r="AK830" s="15" t="str">
        <f t="shared" si="21"/>
        <v>Electropolished stainless steel pipes supplied by Sakshi Forge to pharma plants at Kiln Farm, Milton Keynes</v>
      </c>
      <c r="AL830" s="15" t="str">
        <f t="shared" si="22"/>
        <v>Electropolished SS 316L tube stock for Milton Keynes - Sakshi Forge</v>
      </c>
      <c r="AM830" s="15" t="str">
        <f t="shared" si="23"/>
        <v>Home &gt; Market Area &gt; UK &gt; South East &gt; Milton Keynes</v>
      </c>
      <c r="AN830" s="15">
        <f t="shared" si="24"/>
        <v>1000</v>
      </c>
      <c r="AO830" s="15">
        <f t="shared" si="25"/>
        <v>8</v>
      </c>
      <c r="AP830" s="15">
        <f t="shared" si="26"/>
        <v>8</v>
      </c>
      <c r="AQ830" s="15">
        <f t="shared" si="27"/>
        <v>14</v>
      </c>
      <c r="AR830" s="31"/>
      <c r="AS830" s="31"/>
      <c r="AT830" s="35" t="s">
        <v>222</v>
      </c>
      <c r="AU830" s="35"/>
    </row>
    <row r="831" ht="15.75" customHeight="1">
      <c r="A831" s="15" t="s">
        <v>9232</v>
      </c>
      <c r="B831" s="15" t="s">
        <v>234</v>
      </c>
      <c r="C831" s="15" t="s">
        <v>8240</v>
      </c>
      <c r="D831" s="15" t="s">
        <v>8471</v>
      </c>
      <c r="E831" s="15" t="s">
        <v>9233</v>
      </c>
      <c r="F831" s="65" t="s">
        <v>788</v>
      </c>
      <c r="G831" s="17" t="s">
        <v>88</v>
      </c>
      <c r="H831" s="18" t="s">
        <v>9234</v>
      </c>
      <c r="I831" s="18" t="s">
        <v>9235</v>
      </c>
      <c r="J831" s="18" t="s">
        <v>9236</v>
      </c>
      <c r="K831" s="18" t="s">
        <v>229</v>
      </c>
      <c r="L831" s="18" t="s">
        <v>9237</v>
      </c>
      <c r="M831" s="18" t="s">
        <v>540</v>
      </c>
      <c r="N831" s="18" t="s">
        <v>242</v>
      </c>
      <c r="O831" s="18" t="s">
        <v>98</v>
      </c>
      <c r="P831" s="15" t="str">
        <f t="shared" si="1"/>
        <v>PHARMA</v>
      </c>
      <c r="Q831" s="15">
        <f t="shared" si="2"/>
        <v>4</v>
      </c>
      <c r="R831" s="15">
        <f t="shared" si="3"/>
        <v>2</v>
      </c>
      <c r="S831" s="15">
        <f t="shared" si="4"/>
        <v>3</v>
      </c>
      <c r="T831" s="15" t="str">
        <f t="shared" si="5"/>
        <v>B-6</v>
      </c>
      <c r="U831" s="15" t="str">
        <f t="shared" si="6"/>
        <v>T4-M2-H3-FB-6-PHARMA</v>
      </c>
      <c r="V831" s="15">
        <f t="shared" si="7"/>
        <v>0</v>
      </c>
      <c r="W831" s="31"/>
      <c r="X831" s="15" t="str">
        <f t="shared" si="8"/>
        <v>newcastle-uk</v>
      </c>
      <c r="Y831" s="32" t="str">
        <f t="shared" si="9"/>
        <v>https://steelmanufacturer.in/market-area/electropolished-pipes-manufacturer-in-newcastle-uk/</v>
      </c>
      <c r="Z831" s="15" t="str">
        <f t="shared" si="10"/>
        <v>Electropolished Pipes Manufacturer in Newcastle, UK</v>
      </c>
      <c r="AA831" s="15" t="str">
        <f t="shared" si="11"/>
        <v>OK (51)</v>
      </c>
      <c r="AB831" s="15" t="str">
        <f t="shared" si="12"/>
        <v>Electropolished tube supply to Team Valley Trading Estate, Newcastle, UK. Ra from 0.25 um, SF4 finish, mill test certificate with every lot.</v>
      </c>
      <c r="AC831" s="15" t="str">
        <f t="shared" si="13"/>
        <v>OK (140)</v>
      </c>
      <c r="AD831" s="15" t="str">
        <f t="shared" si="14"/>
        <v>Electropolished Pipes Manufacturer in Newcastle, UK</v>
      </c>
      <c r="AE831" s="15" t="str">
        <f t="shared" si="15"/>
        <v>Electropolished Pipes Manufacturer in Newcastle, UK - Our Process &amp; Capability</v>
      </c>
      <c r="AF831" s="15" t="str">
        <f t="shared" si="16"/>
        <v>Electropolished Pipes Supplier in Newcastle, UK - What We Hold in Stock</v>
      </c>
      <c r="AG831" s="15" t="str">
        <f t="shared" si="17"/>
        <v>Bulk &amp; Wholesale Electropolished Pipe Rates for Newcastle, UK Buyers</v>
      </c>
      <c r="AH831" s="15" t="str">
        <f t="shared" si="18"/>
        <v>electropolished pipes manufacturer in Newcastle, electropolished pipes supplier in Newcastle, electropolished pipes wholesaler in Newcastle, electropolished tube manufacturer Newcastle, EP pipe supplier Newcastle, sanitary tube supplier Newcastle, ASME BPE tubing Newcastle, ASTM A270 tube Newcastle, SS 316L electropolished pipe Newcastle</v>
      </c>
      <c r="AI831" s="15" t="str">
        <f t="shared" si="19"/>
        <v>Electropolished Pipes Manufacturer &amp; Supplier in Newcastle, UK</v>
      </c>
      <c r="AJ831" s="15" t="str">
        <f t="shared" si="20"/>
        <v>EP-finished SS 304/316L pipes and tubes for pharma plants in Newcastle, UK. ASME BPE SF1-SF4, Ra from 0.25 um, EN 10204 3.1 certificate with every lot.</v>
      </c>
      <c r="AK831" s="15" t="str">
        <f t="shared" si="21"/>
        <v>Electropolished stainless steel pipes supplied by Sakshi Forge to pharma plants at Team Valley Trading Estate, Newcastle, UK</v>
      </c>
      <c r="AL831" s="15" t="str">
        <f t="shared" si="22"/>
        <v>Electropolished SS 316L tube stock for Newcastle, UK - Sakshi Forge</v>
      </c>
      <c r="AM831" s="15" t="str">
        <f t="shared" si="23"/>
        <v>Home &gt; Market Area &gt; UK &gt; North East &gt; Newcastle</v>
      </c>
      <c r="AN831" s="15">
        <f t="shared" si="24"/>
        <v>1000</v>
      </c>
      <c r="AO831" s="15">
        <f t="shared" si="25"/>
        <v>8</v>
      </c>
      <c r="AP831" s="15">
        <f t="shared" si="26"/>
        <v>8</v>
      </c>
      <c r="AQ831" s="15">
        <f t="shared" si="27"/>
        <v>14</v>
      </c>
      <c r="AR831" s="31"/>
      <c r="AS831" s="31"/>
      <c r="AT831" s="35" t="s">
        <v>222</v>
      </c>
      <c r="AU831" s="35"/>
    </row>
    <row r="832" ht="15.75" customHeight="1">
      <c r="A832" s="15" t="s">
        <v>9238</v>
      </c>
      <c r="B832" s="15" t="s">
        <v>234</v>
      </c>
      <c r="C832" s="15" t="s">
        <v>8179</v>
      </c>
      <c r="D832" s="15" t="s">
        <v>9239</v>
      </c>
      <c r="E832" s="15" t="s">
        <v>9239</v>
      </c>
      <c r="F832" s="65" t="s">
        <v>788</v>
      </c>
      <c r="G832" s="17" t="s">
        <v>88</v>
      </c>
      <c r="H832" s="18" t="s">
        <v>9240</v>
      </c>
      <c r="I832" s="18" t="s">
        <v>9241</v>
      </c>
      <c r="J832" s="18" t="s">
        <v>9242</v>
      </c>
      <c r="K832" s="18" t="s">
        <v>1320</v>
      </c>
      <c r="L832" s="18" t="s">
        <v>8184</v>
      </c>
      <c r="M832" s="18" t="s">
        <v>540</v>
      </c>
      <c r="N832" s="18" t="s">
        <v>242</v>
      </c>
      <c r="O832" s="18" t="s">
        <v>98</v>
      </c>
      <c r="P832" s="15" t="str">
        <f t="shared" si="1"/>
        <v>BIOTECH</v>
      </c>
      <c r="Q832" s="15">
        <f t="shared" si="2"/>
        <v>5</v>
      </c>
      <c r="R832" s="15">
        <f t="shared" si="3"/>
        <v>3</v>
      </c>
      <c r="S832" s="15">
        <f t="shared" si="4"/>
        <v>4</v>
      </c>
      <c r="T832" s="15" t="str">
        <f t="shared" si="5"/>
        <v>B-1</v>
      </c>
      <c r="U832" s="15" t="str">
        <f t="shared" si="6"/>
        <v>T5-M3-H4-FB-1-BIOTECH</v>
      </c>
      <c r="V832" s="15">
        <f t="shared" si="7"/>
        <v>0</v>
      </c>
      <c r="W832" s="31"/>
      <c r="X832" s="15" t="str">
        <f t="shared" si="8"/>
        <v>norwich-uk</v>
      </c>
      <c r="Y832" s="32" t="str">
        <f t="shared" si="9"/>
        <v>https://steelmanufacturer.in/market-area/electropolished-pipes-manufacturer-in-norwich-uk/</v>
      </c>
      <c r="Z832" s="15" t="str">
        <f t="shared" si="10"/>
        <v>Electropolished Pipes Manufacturer in Norwich</v>
      </c>
      <c r="AA832" s="15" t="str">
        <f t="shared" si="11"/>
        <v>OK (45)</v>
      </c>
      <c r="AB832" s="15" t="str">
        <f t="shared" si="12"/>
        <v>EP stainless tube for biotech lines in Norwich. 22-28 days sea from Nhava Sheva to Felixstowe. ASTM A270 S2, PMI tested, EN 10204 3.1.</v>
      </c>
      <c r="AC832" s="15" t="str">
        <f t="shared" si="13"/>
        <v>OK (134)</v>
      </c>
      <c r="AD832" s="15" t="str">
        <f t="shared" si="14"/>
        <v>Electropolished Pipes Manufacturer in Norwich</v>
      </c>
      <c r="AE832" s="15" t="str">
        <f t="shared" si="15"/>
        <v>Manufacturing Electropolished SS Tube for Norwich: The Standards We Build To</v>
      </c>
      <c r="AF832" s="15" t="str">
        <f t="shared" si="16"/>
        <v>Electropolished Pipe Supply Into Norwich - Certification &amp; Transit</v>
      </c>
      <c r="AG832" s="15" t="str">
        <f t="shared" si="17"/>
        <v>Electropolished Pipes Wholesaler in Norwich - Project Quantities &amp; Terms</v>
      </c>
      <c r="AH832" s="15" t="str">
        <f t="shared" si="18"/>
        <v>electropolished pipes manufacturer in Norwich, electropolished pipes supplier in Norwich, electropolished pipes wholesaler in Norwich, electropolished tube manufacturer Norwich, EP pipe supplier Norwich, sanitary tube supplier Norwich, ASME BPE tubing Norwich, ASTM A270 tube Norwich, SS 316L electropolished pipe Norwich</v>
      </c>
      <c r="AI832" s="15" t="str">
        <f t="shared" si="19"/>
        <v>Electropolished Pipes Manufacturer &amp; Supplier in Norwich</v>
      </c>
      <c r="AJ832" s="15" t="str">
        <f t="shared" si="20"/>
        <v>EP-finished SS 304/316L pipes and tubes for biotech plants in Norwich. ASME BPE SF1-SF4, Ra from 0.25 um, EN 10204 3.1 certificate with every lot.</v>
      </c>
      <c r="AK832" s="15" t="str">
        <f t="shared" si="21"/>
        <v>Electropolished stainless steel pipes supplied by Sakshi Forge to biotech plants at Norwich Research Park, Norwich</v>
      </c>
      <c r="AL832" s="15" t="str">
        <f t="shared" si="22"/>
        <v>Electropolished SS 316L tube stock for Norwich - Sakshi Forge</v>
      </c>
      <c r="AM832" s="15" t="str">
        <f t="shared" si="23"/>
        <v>Home &gt; Market Area &gt; UK &gt; East of England &gt; Norwich</v>
      </c>
      <c r="AN832" s="15">
        <f t="shared" si="24"/>
        <v>1000</v>
      </c>
      <c r="AO832" s="15">
        <f t="shared" si="25"/>
        <v>8</v>
      </c>
      <c r="AP832" s="15">
        <f t="shared" si="26"/>
        <v>8</v>
      </c>
      <c r="AQ832" s="15">
        <f t="shared" si="27"/>
        <v>14</v>
      </c>
      <c r="AR832" s="31"/>
      <c r="AS832" s="31"/>
      <c r="AT832" s="35" t="s">
        <v>222</v>
      </c>
      <c r="AU832" s="35"/>
    </row>
    <row r="833" ht="15.75" customHeight="1">
      <c r="A833" s="15" t="s">
        <v>9243</v>
      </c>
      <c r="B833" s="15" t="s">
        <v>234</v>
      </c>
      <c r="C833" s="15" t="s">
        <v>9227</v>
      </c>
      <c r="D833" s="15" t="s">
        <v>9244</v>
      </c>
      <c r="E833" s="15" t="s">
        <v>9244</v>
      </c>
      <c r="F833" s="65" t="s">
        <v>788</v>
      </c>
      <c r="G833" s="17" t="s">
        <v>88</v>
      </c>
      <c r="H833" s="18" t="s">
        <v>9245</v>
      </c>
      <c r="I833" s="18" t="s">
        <v>9246</v>
      </c>
      <c r="J833" s="18" t="s">
        <v>9247</v>
      </c>
      <c r="K833" s="18" t="s">
        <v>1320</v>
      </c>
      <c r="L833" s="18" t="s">
        <v>9248</v>
      </c>
      <c r="M833" s="18" t="s">
        <v>540</v>
      </c>
      <c r="N833" s="18" t="s">
        <v>242</v>
      </c>
      <c r="O833" s="18" t="s">
        <v>98</v>
      </c>
      <c r="P833" s="15" t="str">
        <f t="shared" si="1"/>
        <v>BIOTECH</v>
      </c>
      <c r="Q833" s="15">
        <f t="shared" si="2"/>
        <v>6</v>
      </c>
      <c r="R833" s="15">
        <f t="shared" si="3"/>
        <v>4</v>
      </c>
      <c r="S833" s="15">
        <f t="shared" si="4"/>
        <v>5</v>
      </c>
      <c r="T833" s="15" t="str">
        <f t="shared" si="5"/>
        <v>B-2</v>
      </c>
      <c r="U833" s="15" t="str">
        <f t="shared" si="6"/>
        <v>T6-M4-H5-FB-2-BIOTECH</v>
      </c>
      <c r="V833" s="15">
        <f t="shared" si="7"/>
        <v>0</v>
      </c>
      <c r="W833" s="31"/>
      <c r="X833" s="15" t="str">
        <f t="shared" si="8"/>
        <v>oxford-uk</v>
      </c>
      <c r="Y833" s="32" t="str">
        <f t="shared" si="9"/>
        <v>https://steelmanufacturer.in/market-area/electropolished-pipes-manufacturer-in-oxford-uk/</v>
      </c>
      <c r="Z833" s="15" t="str">
        <f t="shared" si="10"/>
        <v>Electropolished Pipes Manufacturer in Oxford</v>
      </c>
      <c r="AA833" s="15" t="str">
        <f t="shared" si="11"/>
        <v>OK (44)</v>
      </c>
      <c r="AB833" s="15" t="str">
        <f t="shared" si="12"/>
        <v>Sanitary electropolished pipes in Oxford for biotech plants. ASME BPE SF1-SF4, orbital-weld ready, 3.1 MTC. Mumbai-made.</v>
      </c>
      <c r="AC833" s="15" t="str">
        <f t="shared" si="13"/>
        <v>OK (120)</v>
      </c>
      <c r="AD833" s="15" t="str">
        <f t="shared" si="14"/>
        <v>Electropolished Pipes Manufacturer in Oxford</v>
      </c>
      <c r="AE833" s="15" t="str">
        <f t="shared" si="15"/>
        <v>Electropolished Tube Manufacturing Capability Serving Oxford</v>
      </c>
      <c r="AF833" s="15" t="str">
        <f t="shared" si="16"/>
        <v>Electropolished Pipes Supplier in Oxford - From Order to Delivery</v>
      </c>
      <c r="AG833" s="15" t="str">
        <f t="shared" si="17"/>
        <v>Stockist &amp; Wholesale Supply of Electropolished Pipes in Oxford</v>
      </c>
      <c r="AH833" s="15" t="str">
        <f t="shared" si="18"/>
        <v>electropolished pipes manufacturer in Oxford, electropolished pipes supplier in Oxford, electropolished pipes wholesaler in Oxford, electropolished tube manufacturer Oxford, EP pipe supplier Oxford, sanitary tube supplier Oxford, ASME BPE tubing Oxford, ASTM A270 tube Oxford, SS 316L electropolished pipe Oxford</v>
      </c>
      <c r="AI833" s="15" t="str">
        <f t="shared" si="19"/>
        <v>Electropolished Pipes Manufacturer &amp; Supplier in Oxford</v>
      </c>
      <c r="AJ833" s="15" t="str">
        <f t="shared" si="20"/>
        <v>EP-finished SS 304/316L pipes and tubes for biotech plants in Oxford. ASME BPE SF1-SF4, Ra from 0.25 um, EN 10204 3.1 certificate with every lot.</v>
      </c>
      <c r="AK833" s="15" t="str">
        <f t="shared" si="21"/>
        <v>Electropolished stainless steel pipes supplied by Sakshi Forge to biotech plants at Oxford Science Park, Oxford</v>
      </c>
      <c r="AL833" s="15" t="str">
        <f t="shared" si="22"/>
        <v>Electropolished SS 316L tube stock for Oxford - Sakshi Forge</v>
      </c>
      <c r="AM833" s="15" t="str">
        <f t="shared" si="23"/>
        <v>Home &gt; Market Area &gt; UK &gt; South East &gt; Oxford</v>
      </c>
      <c r="AN833" s="15">
        <f t="shared" si="24"/>
        <v>1000</v>
      </c>
      <c r="AO833" s="15">
        <f t="shared" si="25"/>
        <v>8</v>
      </c>
      <c r="AP833" s="15">
        <f t="shared" si="26"/>
        <v>8</v>
      </c>
      <c r="AQ833" s="15">
        <f t="shared" si="27"/>
        <v>14</v>
      </c>
      <c r="AR833" s="31"/>
      <c r="AS833" s="31"/>
      <c r="AT833" s="35" t="s">
        <v>222</v>
      </c>
      <c r="AU833" s="35"/>
    </row>
    <row r="834" ht="15.75" customHeight="1">
      <c r="A834" s="15" t="s">
        <v>9249</v>
      </c>
      <c r="B834" s="15" t="s">
        <v>234</v>
      </c>
      <c r="C834" s="15" t="s">
        <v>8234</v>
      </c>
      <c r="D834" s="15" t="s">
        <v>9250</v>
      </c>
      <c r="E834" s="15" t="s">
        <v>9250</v>
      </c>
      <c r="F834" s="65" t="s">
        <v>788</v>
      </c>
      <c r="G834" s="17" t="s">
        <v>88</v>
      </c>
      <c r="H834" s="18" t="s">
        <v>9251</v>
      </c>
      <c r="I834" s="18" t="s">
        <v>9252</v>
      </c>
      <c r="J834" s="18" t="s">
        <v>9253</v>
      </c>
      <c r="K834" s="18" t="s">
        <v>94</v>
      </c>
      <c r="L834" s="18" t="s">
        <v>9254</v>
      </c>
      <c r="M834" s="18" t="s">
        <v>540</v>
      </c>
      <c r="N834" s="18" t="s">
        <v>242</v>
      </c>
      <c r="O834" s="18" t="s">
        <v>98</v>
      </c>
      <c r="P834" s="15" t="str">
        <f t="shared" si="1"/>
        <v>FOOD</v>
      </c>
      <c r="Q834" s="15">
        <f t="shared" si="2"/>
        <v>7</v>
      </c>
      <c r="R834" s="15">
        <f t="shared" si="3"/>
        <v>5</v>
      </c>
      <c r="S834" s="15">
        <f t="shared" si="4"/>
        <v>1</v>
      </c>
      <c r="T834" s="15" t="str">
        <f t="shared" si="5"/>
        <v>B-3</v>
      </c>
      <c r="U834" s="15" t="str">
        <f t="shared" si="6"/>
        <v>T7-M5-H1-FB-3-FOOD</v>
      </c>
      <c r="V834" s="15">
        <f t="shared" si="7"/>
        <v>0</v>
      </c>
      <c r="W834" s="31"/>
      <c r="X834" s="15" t="str">
        <f t="shared" si="8"/>
        <v>plymouth-uk</v>
      </c>
      <c r="Y834" s="32" t="str">
        <f t="shared" si="9"/>
        <v>https://steelmanufacturer.in/market-area/electropolished-pipes-manufacturer-in-plymouth-uk/</v>
      </c>
      <c r="Z834" s="15" t="str">
        <f t="shared" si="10"/>
        <v>Electropolished Pipes Manufacturer in Plymouth | ASME BPE SF1-SF4</v>
      </c>
      <c r="AA834" s="15" t="str">
        <f t="shared" si="11"/>
        <v>OK (65)</v>
      </c>
      <c r="AB834" s="15" t="str">
        <f t="shared" si="12"/>
        <v>Manufacturer of electropolished SS 316L tube serving Plymouth. 22-28 days sea from Nhava Sheva to Felixstowe. Ra 0.25-0.5 um, EN 10204 3.1 MTC.</v>
      </c>
      <c r="AC834" s="15" t="str">
        <f t="shared" si="13"/>
        <v>OK (143)</v>
      </c>
      <c r="AD834" s="15" t="str">
        <f t="shared" si="14"/>
        <v>Electropolished Pipes Manufacturer in Plymouth</v>
      </c>
      <c r="AE834" s="15" t="str">
        <f t="shared" si="15"/>
        <v>Electropolished Pipe &amp; Tube Manufacturing for Plymouth - Grades, Finishes &amp; Certification</v>
      </c>
      <c r="AF834" s="15" t="str">
        <f t="shared" si="16"/>
        <v>Electropolished Pipes Supplier in Plymouth - Stock Sizes, Lead Time &amp; Delivery</v>
      </c>
      <c r="AG834" s="15" t="str">
        <f t="shared" si="17"/>
        <v>Electropolished Pipes Wholesaler &amp; Stockist in Plymouth - Bulk &amp; Project Pricing</v>
      </c>
      <c r="AH834" s="15" t="str">
        <f t="shared" si="18"/>
        <v>electropolished pipes manufacturer in Plymouth, electropolished pipes supplier in Plymouth, electropolished pipes wholesaler in Plymouth, electropolished tube manufacturer Plymouth, EP pipe supplier Plymouth, sanitary tube supplier Plymouth, ASME BPE tubing Plymouth, ASTM A270 tube Plymouth, SS 316L electropolished pipe Plymouth</v>
      </c>
      <c r="AI834" s="15" t="str">
        <f t="shared" si="19"/>
        <v>Electropolished Pipes Manufacturer &amp; Supplier in Plymouth</v>
      </c>
      <c r="AJ834" s="15" t="str">
        <f t="shared" si="20"/>
        <v>EP-finished SS 304/316L pipes and tubes for food processing plants in Plymouth. ASME BPE SF1-SF4, Ra from 0.25 um, EN 10204 3.1 certificate with every lot.</v>
      </c>
      <c r="AK834" s="15" t="str">
        <f t="shared" si="21"/>
        <v>Electropolished stainless steel pipes supplied by Sakshi Forge to food processing plants at Langage Industrial, Plymouth</v>
      </c>
      <c r="AL834" s="15" t="str">
        <f t="shared" si="22"/>
        <v>Electropolished SS 316L tube stock for Plymouth - Sakshi Forge</v>
      </c>
      <c r="AM834" s="15" t="str">
        <f t="shared" si="23"/>
        <v>Home &gt; Market Area &gt; UK &gt; South West &gt; Plymouth</v>
      </c>
      <c r="AN834" s="15">
        <f t="shared" si="24"/>
        <v>1000</v>
      </c>
      <c r="AO834" s="15">
        <f t="shared" si="25"/>
        <v>8</v>
      </c>
      <c r="AP834" s="15">
        <f t="shared" si="26"/>
        <v>8</v>
      </c>
      <c r="AQ834" s="15">
        <f t="shared" si="27"/>
        <v>14</v>
      </c>
      <c r="AR834" s="31"/>
      <c r="AS834" s="31"/>
      <c r="AT834" s="35" t="s">
        <v>222</v>
      </c>
      <c r="AU834" s="35"/>
    </row>
    <row r="835" ht="15.75" customHeight="1">
      <c r="A835" s="15" t="s">
        <v>9255</v>
      </c>
      <c r="B835" s="15" t="s">
        <v>234</v>
      </c>
      <c r="C835" s="15" t="s">
        <v>8205</v>
      </c>
      <c r="D835" s="15" t="s">
        <v>9256</v>
      </c>
      <c r="E835" s="15" t="s">
        <v>9256</v>
      </c>
      <c r="F835" s="65" t="s">
        <v>788</v>
      </c>
      <c r="G835" s="17" t="s">
        <v>88</v>
      </c>
      <c r="H835" s="18" t="s">
        <v>9257</v>
      </c>
      <c r="I835" s="18" t="s">
        <v>9258</v>
      </c>
      <c r="J835" s="18" t="s">
        <v>9259</v>
      </c>
      <c r="K835" s="18" t="s">
        <v>94</v>
      </c>
      <c r="L835" s="18" t="s">
        <v>8210</v>
      </c>
      <c r="M835" s="18" t="s">
        <v>540</v>
      </c>
      <c r="N835" s="18" t="s">
        <v>242</v>
      </c>
      <c r="O835" s="18" t="s">
        <v>98</v>
      </c>
      <c r="P835" s="15" t="str">
        <f t="shared" si="1"/>
        <v>FOOD</v>
      </c>
      <c r="Q835" s="15">
        <f t="shared" si="2"/>
        <v>8</v>
      </c>
      <c r="R835" s="15">
        <f t="shared" si="3"/>
        <v>6</v>
      </c>
      <c r="S835" s="15">
        <f t="shared" si="4"/>
        <v>2</v>
      </c>
      <c r="T835" s="15" t="str">
        <f t="shared" si="5"/>
        <v>B-4</v>
      </c>
      <c r="U835" s="15" t="str">
        <f t="shared" si="6"/>
        <v>T8-M6-H2-FB-4-FOOD</v>
      </c>
      <c r="V835" s="15">
        <f t="shared" si="7"/>
        <v>0</v>
      </c>
      <c r="W835" s="31"/>
      <c r="X835" s="15" t="str">
        <f t="shared" si="8"/>
        <v>preston-uk</v>
      </c>
      <c r="Y835" s="32" t="str">
        <f t="shared" si="9"/>
        <v>https://steelmanufacturer.in/market-area/electropolished-pipes-manufacturer-in-preston-uk/</v>
      </c>
      <c r="Z835" s="15" t="str">
        <f t="shared" si="10"/>
        <v>Electropolished Pipes Manufacturer in Preston - EP Tube Stockist</v>
      </c>
      <c r="AA835" s="15" t="str">
        <f t="shared" si="11"/>
        <v>OK (64)</v>
      </c>
      <c r="AB835" s="15" t="str">
        <f t="shared" si="12"/>
        <v>EP tube and pipe for food processing plants around Preston East Industrial, Preston. Made at our Mumbai works to ASTM A270 and ASME BPE SF1-SF4, with 3.1 MTC.</v>
      </c>
      <c r="AC835" s="15" t="str">
        <f t="shared" si="13"/>
        <v>OK (158)</v>
      </c>
      <c r="AD835" s="15" t="str">
        <f t="shared" si="14"/>
        <v>Electropolished Pipes Manufacturer in Preston</v>
      </c>
      <c r="AE835" s="15" t="str">
        <f t="shared" si="15"/>
        <v>How We Manufacture Electropolished Tube for Preston Plants</v>
      </c>
      <c r="AF835" s="15" t="str">
        <f t="shared" si="16"/>
        <v>Supplying Electropolished Pipes in Preston: Availability, Sizes &amp; Dispatch</v>
      </c>
      <c r="AG835" s="15" t="str">
        <f t="shared" si="17"/>
        <v>Wholesale Electropolished Pipe Supply for Preston Projects</v>
      </c>
      <c r="AH835" s="15" t="str">
        <f t="shared" si="18"/>
        <v>electropolished pipes manufacturer in Preston, electropolished pipes supplier in Preston, electropolished pipes wholesaler in Preston, electropolished tube manufacturer Preston, EP pipe supplier Preston, sanitary tube supplier Preston, ASME BPE tubing Preston, ASTM A270 tube Preston, SS 316L electropolished pipe Preston</v>
      </c>
      <c r="AI835" s="15" t="str">
        <f t="shared" si="19"/>
        <v>Electropolished Pipes Manufacturer &amp; Supplier in Preston</v>
      </c>
      <c r="AJ835" s="15" t="str">
        <f t="shared" si="20"/>
        <v>EP-finished SS 304/316L pipes and tubes for food processing plants in Preston. ASME BPE SF1-SF4, Ra from 0.25 um, EN 10204 3.1 certificate with every lot.</v>
      </c>
      <c r="AK835" s="15" t="str">
        <f t="shared" si="21"/>
        <v>Electropolished stainless steel pipes supplied by Sakshi Forge to food processing plants at Preston East Industrial, Preston</v>
      </c>
      <c r="AL835" s="15" t="str">
        <f t="shared" si="22"/>
        <v>Electropolished SS 316L tube stock for Preston - Sakshi Forge</v>
      </c>
      <c r="AM835" s="15" t="str">
        <f t="shared" si="23"/>
        <v>Home &gt; Market Area &gt; UK &gt; North West &gt; Preston</v>
      </c>
      <c r="AN835" s="15">
        <f t="shared" si="24"/>
        <v>1000</v>
      </c>
      <c r="AO835" s="15">
        <f t="shared" si="25"/>
        <v>8</v>
      </c>
      <c r="AP835" s="15">
        <f t="shared" si="26"/>
        <v>8</v>
      </c>
      <c r="AQ835" s="15">
        <f t="shared" si="27"/>
        <v>14</v>
      </c>
      <c r="AR835" s="31"/>
      <c r="AS835" s="31"/>
      <c r="AT835" s="35" t="s">
        <v>222</v>
      </c>
      <c r="AU835" s="35"/>
    </row>
    <row r="836" ht="15.75" customHeight="1">
      <c r="A836" s="15" t="s">
        <v>9260</v>
      </c>
      <c r="B836" s="15" t="s">
        <v>234</v>
      </c>
      <c r="C836" s="15" t="s">
        <v>9227</v>
      </c>
      <c r="D836" s="15" t="s">
        <v>9261</v>
      </c>
      <c r="E836" s="15" t="s">
        <v>9261</v>
      </c>
      <c r="F836" s="65" t="s">
        <v>788</v>
      </c>
      <c r="G836" s="17" t="s">
        <v>88</v>
      </c>
      <c r="H836" s="18" t="s">
        <v>9262</v>
      </c>
      <c r="I836" s="18" t="s">
        <v>9263</v>
      </c>
      <c r="J836" s="18" t="s">
        <v>9264</v>
      </c>
      <c r="K836" s="18" t="s">
        <v>229</v>
      </c>
      <c r="L836" s="18" t="s">
        <v>9248</v>
      </c>
      <c r="M836" s="18" t="s">
        <v>540</v>
      </c>
      <c r="N836" s="18" t="s">
        <v>242</v>
      </c>
      <c r="O836" s="18" t="s">
        <v>98</v>
      </c>
      <c r="P836" s="15" t="str">
        <f t="shared" si="1"/>
        <v>PHARMA</v>
      </c>
      <c r="Q836" s="15">
        <f t="shared" si="2"/>
        <v>1</v>
      </c>
      <c r="R836" s="15">
        <f t="shared" si="3"/>
        <v>7</v>
      </c>
      <c r="S836" s="15">
        <f t="shared" si="4"/>
        <v>3</v>
      </c>
      <c r="T836" s="15" t="str">
        <f t="shared" si="5"/>
        <v>B-5</v>
      </c>
      <c r="U836" s="15" t="str">
        <f t="shared" si="6"/>
        <v>T1-M7-H3-FB-5-PHARMA</v>
      </c>
      <c r="V836" s="15">
        <f t="shared" si="7"/>
        <v>0</v>
      </c>
      <c r="W836" s="31"/>
      <c r="X836" s="15" t="str">
        <f t="shared" si="8"/>
        <v>reading-uk</v>
      </c>
      <c r="Y836" s="32" t="str">
        <f t="shared" si="9"/>
        <v>https://steelmanufacturer.in/market-area/electropolished-pipes-manufacturer-in-reading-uk/</v>
      </c>
      <c r="Z836" s="15" t="str">
        <f t="shared" si="10"/>
        <v>Electropolished Pipes Manufacturer in Reading | Sakshi Forge</v>
      </c>
      <c r="AA836" s="15" t="str">
        <f t="shared" si="11"/>
        <v>OK (60)</v>
      </c>
      <c r="AB836" s="15" t="str">
        <f t="shared" si="12"/>
        <v>Electropolished pipes in Reading: 304, 304L, 316 and 316L in SF1-SF4. 22-28 days sea from Nhava Sheva to Felixstowe. Mill certified.</v>
      </c>
      <c r="AC836" s="15" t="str">
        <f t="shared" si="13"/>
        <v>OK (132)</v>
      </c>
      <c r="AD836" s="15" t="str">
        <f t="shared" si="14"/>
        <v>Electropolished Pipes Manufacturer in Reading</v>
      </c>
      <c r="AE836" s="15" t="str">
        <f t="shared" si="15"/>
        <v>Electropolished Pipes Manufacturer in Reading - Our Process &amp; Capability</v>
      </c>
      <c r="AF836" s="15" t="str">
        <f t="shared" si="16"/>
        <v>Electropolished Pipes Supplier in Reading - What We Hold in Stock</v>
      </c>
      <c r="AG836" s="15" t="str">
        <f t="shared" si="17"/>
        <v>Bulk &amp; Wholesale Electropolished Pipe Rates for Reading Buyers</v>
      </c>
      <c r="AH836" s="15" t="str">
        <f t="shared" si="18"/>
        <v>electropolished pipes manufacturer in Reading, electropolished pipes supplier in Reading, electropolished pipes wholesaler in Reading, electropolished tube manufacturer Reading, EP pipe supplier Reading, sanitary tube supplier Reading, ASME BPE tubing Reading, ASTM A270 tube Reading, SS 316L electropolished pipe Reading</v>
      </c>
      <c r="AI836" s="15" t="str">
        <f t="shared" si="19"/>
        <v>Electropolished Pipes Manufacturer &amp; Supplier in Reading</v>
      </c>
      <c r="AJ836" s="15" t="str">
        <f t="shared" si="20"/>
        <v>EP-finished SS 304/316L pipes and tubes for pharma plants in Reading. ASME BPE SF1-SF4, Ra from 0.25 um, EN 10204 3.1 certificate with every lot.</v>
      </c>
      <c r="AK836" s="15" t="str">
        <f t="shared" si="21"/>
        <v>Electropolished stainless steel pipes supplied by Sakshi Forge to pharma plants at Theale Industrial, Reading</v>
      </c>
      <c r="AL836" s="15" t="str">
        <f t="shared" si="22"/>
        <v>Electropolished SS 316L tube stock for Reading - Sakshi Forge</v>
      </c>
      <c r="AM836" s="15" t="str">
        <f t="shared" si="23"/>
        <v>Home &gt; Market Area &gt; UK &gt; South East &gt; Reading</v>
      </c>
      <c r="AN836" s="15">
        <f t="shared" si="24"/>
        <v>1000</v>
      </c>
      <c r="AO836" s="15">
        <f t="shared" si="25"/>
        <v>8</v>
      </c>
      <c r="AP836" s="15">
        <f t="shared" si="26"/>
        <v>8</v>
      </c>
      <c r="AQ836" s="15">
        <f t="shared" si="27"/>
        <v>14</v>
      </c>
      <c r="AR836" s="31"/>
      <c r="AS836" s="31"/>
      <c r="AT836" s="35" t="s">
        <v>222</v>
      </c>
      <c r="AU836" s="35"/>
    </row>
    <row r="837" ht="15.75" customHeight="1">
      <c r="A837" s="15" t="s">
        <v>9265</v>
      </c>
      <c r="B837" s="15" t="s">
        <v>234</v>
      </c>
      <c r="C837" s="15" t="s">
        <v>8198</v>
      </c>
      <c r="D837" s="15" t="s">
        <v>9266</v>
      </c>
      <c r="E837" s="15" t="s">
        <v>9266</v>
      </c>
      <c r="F837" s="65" t="s">
        <v>788</v>
      </c>
      <c r="G837" s="17" t="s">
        <v>88</v>
      </c>
      <c r="H837" s="18" t="s">
        <v>9267</v>
      </c>
      <c r="I837" s="18" t="s">
        <v>9268</v>
      </c>
      <c r="J837" s="18" t="s">
        <v>9269</v>
      </c>
      <c r="K837" s="18" t="s">
        <v>6534</v>
      </c>
      <c r="L837" s="18" t="s">
        <v>8203</v>
      </c>
      <c r="M837" s="18" t="s">
        <v>540</v>
      </c>
      <c r="N837" s="18" t="s">
        <v>242</v>
      </c>
      <c r="O837" s="18" t="s">
        <v>98</v>
      </c>
      <c r="P837" s="15" t="str">
        <f t="shared" si="1"/>
        <v>PHARMA</v>
      </c>
      <c r="Q837" s="15">
        <f t="shared" si="2"/>
        <v>2</v>
      </c>
      <c r="R837" s="15">
        <f t="shared" si="3"/>
        <v>1</v>
      </c>
      <c r="S837" s="15">
        <f t="shared" si="4"/>
        <v>4</v>
      </c>
      <c r="T837" s="15" t="str">
        <f t="shared" si="5"/>
        <v>B-6</v>
      </c>
      <c r="U837" s="15" t="str">
        <f t="shared" si="6"/>
        <v>T2-M1-H4-FB-6-PHARMA</v>
      </c>
      <c r="V837" s="15">
        <f t="shared" si="7"/>
        <v>0</v>
      </c>
      <c r="W837" s="31"/>
      <c r="X837" s="15" t="str">
        <f t="shared" si="8"/>
        <v>sheffield-uk</v>
      </c>
      <c r="Y837" s="32" t="str">
        <f t="shared" si="9"/>
        <v>https://steelmanufacturer.in/market-area/electropolished-pipes-manufacturer-in-sheffield-uk/</v>
      </c>
      <c r="Z837" s="15" t="str">
        <f t="shared" si="10"/>
        <v>Electropolished Pipes Manufacturer in Sheffield</v>
      </c>
      <c r="AA837" s="15" t="str">
        <f t="shared" si="11"/>
        <v>OK (47)</v>
      </c>
      <c r="AB837" s="15" t="str">
        <f t="shared" si="12"/>
        <v>EP-finished SS 304/316L pipes &amp; tubes for medical device plants in Sheffield. ASTM A270, ASME BPE SF1-SF4, EN 10204 3.1 MTC. PMI tested.</v>
      </c>
      <c r="AC837" s="15" t="str">
        <f t="shared" si="13"/>
        <v>OK (136)</v>
      </c>
      <c r="AD837" s="15" t="str">
        <f t="shared" si="14"/>
        <v>Electropolished Pipes Manufacturer in Sheffield</v>
      </c>
      <c r="AE837" s="15" t="str">
        <f t="shared" si="15"/>
        <v>Manufacturing Electropolished SS Tube for Sheffield: The Standards We Build To</v>
      </c>
      <c r="AF837" s="15" t="str">
        <f t="shared" si="16"/>
        <v>Electropolished Pipe Supply Into Sheffield - Certification &amp; Transit</v>
      </c>
      <c r="AG837" s="15" t="str">
        <f t="shared" si="17"/>
        <v>Electropolished Pipes Wholesaler in Sheffield - Project Quantities &amp; Terms</v>
      </c>
      <c r="AH837" s="15" t="str">
        <f t="shared" si="18"/>
        <v>electropolished pipes manufacturer in Sheffield, electropolished pipes supplier in Sheffield, electropolished pipes wholesaler in Sheffield, electropolished tube manufacturer Sheffield, EP pipe supplier Sheffield, sanitary tube supplier Sheffield, ASME BPE tubing Sheffield, ASTM A270 tube Sheffield, SS 316L electropolished pipe Sheffield</v>
      </c>
      <c r="AI837" s="15" t="str">
        <f t="shared" si="19"/>
        <v>Electropolished Pipes Manufacturer &amp; Supplier in Sheffield</v>
      </c>
      <c r="AJ837" s="15" t="str">
        <f t="shared" si="20"/>
        <v>EP-finished SS 304/316L pipes and tubes for medical device plants in Sheffield. ASME BPE SF1-SF4, Ra from 0.25 um, EN 10204 3.1 certificate with every lot.</v>
      </c>
      <c r="AK837" s="15" t="str">
        <f t="shared" si="21"/>
        <v>Electropolished stainless steel pipes supplied by Sakshi Forge to medical device plants at Advanced Manufacturing Park, Sheffield</v>
      </c>
      <c r="AL837" s="15" t="str">
        <f t="shared" si="22"/>
        <v>Electropolished SS 316L tube stock for Sheffield - Sakshi Forge</v>
      </c>
      <c r="AM837" s="15" t="str">
        <f t="shared" si="23"/>
        <v>Home &gt; Market Area &gt; UK &gt; Yorkshire &gt; Sheffield</v>
      </c>
      <c r="AN837" s="15">
        <f t="shared" si="24"/>
        <v>1000</v>
      </c>
      <c r="AO837" s="15">
        <f t="shared" si="25"/>
        <v>8</v>
      </c>
      <c r="AP837" s="15">
        <f t="shared" si="26"/>
        <v>8</v>
      </c>
      <c r="AQ837" s="15">
        <f t="shared" si="27"/>
        <v>14</v>
      </c>
      <c r="AR837" s="31"/>
      <c r="AS837" s="31"/>
      <c r="AT837" s="35" t="s">
        <v>222</v>
      </c>
      <c r="AU837" s="35"/>
    </row>
    <row r="838" ht="15.75" customHeight="1">
      <c r="A838" s="15" t="s">
        <v>9270</v>
      </c>
      <c r="B838" s="15" t="s">
        <v>234</v>
      </c>
      <c r="C838" s="15" t="s">
        <v>9227</v>
      </c>
      <c r="D838" s="15" t="s">
        <v>9271</v>
      </c>
      <c r="E838" s="15" t="s">
        <v>9271</v>
      </c>
      <c r="F838" s="65" t="s">
        <v>788</v>
      </c>
      <c r="G838" s="17" t="s">
        <v>88</v>
      </c>
      <c r="H838" s="18" t="s">
        <v>9272</v>
      </c>
      <c r="I838" s="18" t="s">
        <v>9273</v>
      </c>
      <c r="J838" s="18" t="s">
        <v>9274</v>
      </c>
      <c r="K838" s="18" t="s">
        <v>229</v>
      </c>
      <c r="L838" s="18" t="s">
        <v>9248</v>
      </c>
      <c r="M838" s="18" t="s">
        <v>540</v>
      </c>
      <c r="N838" s="18" t="s">
        <v>242</v>
      </c>
      <c r="O838" s="18" t="s">
        <v>98</v>
      </c>
      <c r="P838" s="15" t="str">
        <f t="shared" si="1"/>
        <v>PHARMA</v>
      </c>
      <c r="Q838" s="15">
        <f t="shared" si="2"/>
        <v>3</v>
      </c>
      <c r="R838" s="15">
        <f t="shared" si="3"/>
        <v>2</v>
      </c>
      <c r="S838" s="15">
        <f t="shared" si="4"/>
        <v>5</v>
      </c>
      <c r="T838" s="15" t="str">
        <f t="shared" si="5"/>
        <v>B-1</v>
      </c>
      <c r="U838" s="15" t="str">
        <f t="shared" si="6"/>
        <v>T3-M2-H5-FB-1-PHARMA</v>
      </c>
      <c r="V838" s="15">
        <f t="shared" si="7"/>
        <v>0</v>
      </c>
      <c r="W838" s="31"/>
      <c r="X838" s="15" t="str">
        <f t="shared" si="8"/>
        <v>southampton-uk</v>
      </c>
      <c r="Y838" s="32" t="str">
        <f t="shared" si="9"/>
        <v>https://steelmanufacturer.in/market-area/electropolished-pipes-manufacturer-in-southampton-uk/</v>
      </c>
      <c r="Z838" s="15" t="str">
        <f t="shared" si="10"/>
        <v>Electropolished Pipes Manufacturer in Southampton</v>
      </c>
      <c r="AA838" s="15" t="str">
        <f t="shared" si="11"/>
        <v>OK (49)</v>
      </c>
      <c r="AB838" s="15" t="str">
        <f t="shared" si="12"/>
        <v>Electropolished tube supply to Southampton Industrial Estate, Southampton. Ra from 0.25 um, SF4 finish, mill test certificate with every lot.</v>
      </c>
      <c r="AC838" s="15" t="str">
        <f t="shared" si="13"/>
        <v>OK (141)</v>
      </c>
      <c r="AD838" s="15" t="str">
        <f t="shared" si="14"/>
        <v>Electropolished Pipes Manufacturer in Southampton</v>
      </c>
      <c r="AE838" s="15" t="str">
        <f t="shared" si="15"/>
        <v>Electropolished Tube Manufacturing Capability Serving Southampton</v>
      </c>
      <c r="AF838" s="15" t="str">
        <f t="shared" si="16"/>
        <v>Electropolished Pipes Supplier in Southampton - From Order to Delivery</v>
      </c>
      <c r="AG838" s="15" t="str">
        <f t="shared" si="17"/>
        <v>Stockist &amp; Wholesale Supply of Electropolished Pipes in Southampton</v>
      </c>
      <c r="AH838" s="15" t="str">
        <f t="shared" si="18"/>
        <v>electropolished pipes manufacturer in Southampton, electropolished pipes supplier in Southampton, electropolished pipes wholesaler in Southampton, electropolished tube manufacturer Southampton, EP pipe supplier Southampton, sanitary tube supplier Southampton, ASME BPE tubing Southampton, ASTM A270 tube Southampton, SS 316L electropolished pipe Southampton</v>
      </c>
      <c r="AI838" s="15" t="str">
        <f t="shared" si="19"/>
        <v>Electropolished Pipes Manufacturer &amp; Supplier in Southampton</v>
      </c>
      <c r="AJ838" s="15" t="str">
        <f t="shared" si="20"/>
        <v>EP-finished SS 304/316L pipes and tubes for pharma plants in Southampton. ASME BPE SF1-SF4, Ra from 0.25 um, EN 10204 3.1 certificate with every lot.</v>
      </c>
      <c r="AK838" s="15" t="str">
        <f t="shared" si="21"/>
        <v>Electropolished stainless steel pipes supplied by Sakshi Forge to pharma plants at Southampton Industrial Estate, Southampton</v>
      </c>
      <c r="AL838" s="15" t="str">
        <f t="shared" si="22"/>
        <v>Electropolished SS 316L tube stock for Southampton - Sakshi Forge</v>
      </c>
      <c r="AM838" s="15" t="str">
        <f t="shared" si="23"/>
        <v>Home &gt; Market Area &gt; UK &gt; South East &gt; Southampton</v>
      </c>
      <c r="AN838" s="15">
        <f t="shared" si="24"/>
        <v>1000</v>
      </c>
      <c r="AO838" s="15">
        <f t="shared" si="25"/>
        <v>8</v>
      </c>
      <c r="AP838" s="15">
        <f t="shared" si="26"/>
        <v>8</v>
      </c>
      <c r="AQ838" s="15">
        <f t="shared" si="27"/>
        <v>14</v>
      </c>
      <c r="AR838" s="31"/>
      <c r="AS838" s="31"/>
      <c r="AT838" s="35" t="s">
        <v>222</v>
      </c>
      <c r="AU838" s="35"/>
    </row>
    <row r="839" ht="15.75" customHeight="1">
      <c r="A839" s="15" t="s">
        <v>9275</v>
      </c>
      <c r="B839" s="15" t="s">
        <v>234</v>
      </c>
      <c r="C839" s="15" t="s">
        <v>8171</v>
      </c>
      <c r="D839" s="15" t="s">
        <v>9276</v>
      </c>
      <c r="E839" s="15" t="s">
        <v>9276</v>
      </c>
      <c r="F839" s="65" t="s">
        <v>788</v>
      </c>
      <c r="G839" s="17" t="s">
        <v>88</v>
      </c>
      <c r="H839" s="18" t="s">
        <v>9277</v>
      </c>
      <c r="I839" s="18" t="s">
        <v>9278</v>
      </c>
      <c r="J839" s="18" t="s">
        <v>9279</v>
      </c>
      <c r="K839" s="18" t="s">
        <v>94</v>
      </c>
      <c r="L839" s="18" t="s">
        <v>8210</v>
      </c>
      <c r="M839" s="18" t="s">
        <v>540</v>
      </c>
      <c r="N839" s="18" t="s">
        <v>242</v>
      </c>
      <c r="O839" s="18" t="s">
        <v>98</v>
      </c>
      <c r="P839" s="15" t="str">
        <f t="shared" si="1"/>
        <v>FOOD</v>
      </c>
      <c r="Q839" s="15">
        <f t="shared" si="2"/>
        <v>4</v>
      </c>
      <c r="R839" s="15">
        <f t="shared" si="3"/>
        <v>3</v>
      </c>
      <c r="S839" s="15">
        <f t="shared" si="4"/>
        <v>1</v>
      </c>
      <c r="T839" s="15" t="str">
        <f t="shared" si="5"/>
        <v>B-2</v>
      </c>
      <c r="U839" s="15" t="str">
        <f t="shared" si="6"/>
        <v>T4-M3-H1-FB-2-FOOD</v>
      </c>
      <c r="V839" s="15">
        <f t="shared" si="7"/>
        <v>0</v>
      </c>
      <c r="W839" s="31"/>
      <c r="X839" s="15" t="str">
        <f t="shared" si="8"/>
        <v>stoke-on-trent-uk</v>
      </c>
      <c r="Y839" s="32" t="str">
        <f t="shared" si="9"/>
        <v>https://steelmanufacturer.in/market-area/electropolished-pipes-manufacturer-in-stoke-on-trent-uk/</v>
      </c>
      <c r="Z839" s="15" t="str">
        <f t="shared" si="10"/>
        <v>Electropolished Pipes Manufacturer in Stoke-on-Trent</v>
      </c>
      <c r="AA839" s="15" t="str">
        <f t="shared" si="11"/>
        <v>OK (52)</v>
      </c>
      <c r="AB839" s="15" t="str">
        <f t="shared" si="12"/>
        <v>EP stainless tube for food processing lines in Stoke-on-Trent. 22-28 days sea from Nhava Sheva to Felixstowe. ASTM A270 S2, PMI tested, EN 10204 3.1.</v>
      </c>
      <c r="AC839" s="15" t="str">
        <f t="shared" si="13"/>
        <v>OK (149)</v>
      </c>
      <c r="AD839" s="15" t="str">
        <f t="shared" si="14"/>
        <v>Electropolished Pipes Manufacturer in Stoke-on-Trent</v>
      </c>
      <c r="AE839" s="15" t="str">
        <f t="shared" si="15"/>
        <v>Electropolished Pipe &amp; Tube Manufacturing for Stoke-on-Trent - Grades, Finishes &amp; Certification</v>
      </c>
      <c r="AF839" s="15" t="str">
        <f t="shared" si="16"/>
        <v>Electropolished Pipes Supplier in Stoke-on-Trent - Stock Sizes, Lead Time &amp; Delivery</v>
      </c>
      <c r="AG839" s="15" t="str">
        <f t="shared" si="17"/>
        <v>Electropolished Pipes Wholesaler &amp; Stockist in Stoke-on-Trent - Bulk &amp; Project Pricing</v>
      </c>
      <c r="AH839" s="15" t="str">
        <f t="shared" si="18"/>
        <v>electropolished pipes manufacturer in Stoke-on-Trent, electropolished pipes supplier in Stoke-on-Trent, electropolished pipes wholesaler in Stoke-on-Trent, electropolished tube manufacturer Stoke-on-Trent, EP pipe supplier Stoke-on-Trent, sanitary tube supplier Stoke-on-Trent, ASME BPE tubing Stoke-on-Trent, ASTM A270 tube Stoke-on-Trent, SS 316L electropolished pipe Stoke-on-Trent</v>
      </c>
      <c r="AI839" s="15" t="str">
        <f t="shared" si="19"/>
        <v>Electropolished Pipes Manufacturer &amp; Supplier in Stoke-on-Trent</v>
      </c>
      <c r="AJ839" s="15" t="str">
        <f t="shared" si="20"/>
        <v>EP-finished SS 304/316L pipes and tubes for food processing plants in Stoke-on-Trent. ASME BPE SF1-SF4, Ra from 0.25 um, EN 10204 3.1 certificate with every lot.</v>
      </c>
      <c r="AK839" s="15" t="str">
        <f t="shared" si="21"/>
        <v>Electropolished stainless steel pipes supplied by Sakshi Forge to food processing plants at Etruria Valley, Stoke-on-Trent</v>
      </c>
      <c r="AL839" s="15" t="str">
        <f t="shared" si="22"/>
        <v>Electropolished SS 316L tube stock for Stoke-on-Trent - Sakshi Forge</v>
      </c>
      <c r="AM839" s="15" t="str">
        <f t="shared" si="23"/>
        <v>Home &gt; Market Area &gt; UK &gt; West Midlands &gt; Stoke-on-Trent</v>
      </c>
      <c r="AN839" s="15">
        <f t="shared" si="24"/>
        <v>1000</v>
      </c>
      <c r="AO839" s="15">
        <f t="shared" si="25"/>
        <v>8</v>
      </c>
      <c r="AP839" s="15">
        <f t="shared" si="26"/>
        <v>8</v>
      </c>
      <c r="AQ839" s="15">
        <f t="shared" si="27"/>
        <v>14</v>
      </c>
      <c r="AR839" s="31"/>
      <c r="AS839" s="31"/>
      <c r="AT839" s="35" t="s">
        <v>222</v>
      </c>
      <c r="AU839" s="35"/>
    </row>
    <row r="840" ht="15.75" customHeight="1">
      <c r="A840" s="15" t="s">
        <v>9280</v>
      </c>
      <c r="B840" s="15" t="s">
        <v>234</v>
      </c>
      <c r="C840" s="15" t="s">
        <v>9195</v>
      </c>
      <c r="D840" s="15" t="s">
        <v>9281</v>
      </c>
      <c r="E840" s="15" t="s">
        <v>9281</v>
      </c>
      <c r="F840" s="65" t="s">
        <v>788</v>
      </c>
      <c r="G840" s="17" t="s">
        <v>88</v>
      </c>
      <c r="H840" s="18" t="s">
        <v>9282</v>
      </c>
      <c r="I840" s="18" t="s">
        <v>9283</v>
      </c>
      <c r="J840" s="18" t="s">
        <v>9284</v>
      </c>
      <c r="K840" s="18" t="s">
        <v>94</v>
      </c>
      <c r="L840" s="18" t="s">
        <v>9285</v>
      </c>
      <c r="M840" s="18" t="s">
        <v>540</v>
      </c>
      <c r="N840" s="18" t="s">
        <v>242</v>
      </c>
      <c r="O840" s="18" t="s">
        <v>98</v>
      </c>
      <c r="P840" s="15" t="str">
        <f t="shared" si="1"/>
        <v>FOOD</v>
      </c>
      <c r="Q840" s="15">
        <f t="shared" si="2"/>
        <v>5</v>
      </c>
      <c r="R840" s="15">
        <f t="shared" si="3"/>
        <v>4</v>
      </c>
      <c r="S840" s="15">
        <f t="shared" si="4"/>
        <v>2</v>
      </c>
      <c r="T840" s="15" t="str">
        <f t="shared" si="5"/>
        <v>B-3</v>
      </c>
      <c r="U840" s="15" t="str">
        <f t="shared" si="6"/>
        <v>T5-M4-H2-FB-3-FOOD</v>
      </c>
      <c r="V840" s="15">
        <f t="shared" si="7"/>
        <v>0</v>
      </c>
      <c r="W840" s="31"/>
      <c r="X840" s="15" t="str">
        <f t="shared" si="8"/>
        <v>swansea-uk</v>
      </c>
      <c r="Y840" s="32" t="str">
        <f t="shared" si="9"/>
        <v>https://steelmanufacturer.in/market-area/electropolished-pipes-manufacturer-in-swansea-uk/</v>
      </c>
      <c r="Z840" s="15" t="str">
        <f t="shared" si="10"/>
        <v>Electropolished Pipes Manufacturer in Swansea</v>
      </c>
      <c r="AA840" s="15" t="str">
        <f t="shared" si="11"/>
        <v>OK (45)</v>
      </c>
      <c r="AB840" s="15" t="str">
        <f t="shared" si="12"/>
        <v>Sanitary electropolished pipes in Swansea for food processing plants. ASME BPE SF1-SF4, orbital-weld ready, 3.1 MTC. Mumbai-made.</v>
      </c>
      <c r="AC840" s="15" t="str">
        <f t="shared" si="13"/>
        <v>OK (129)</v>
      </c>
      <c r="AD840" s="15" t="str">
        <f t="shared" si="14"/>
        <v>Electropolished Pipes Manufacturer in Swansea</v>
      </c>
      <c r="AE840" s="15" t="str">
        <f t="shared" si="15"/>
        <v>How We Manufacture Electropolished Tube for Swansea Plants</v>
      </c>
      <c r="AF840" s="15" t="str">
        <f t="shared" si="16"/>
        <v>Supplying Electropolished Pipes in Swansea: Availability, Sizes &amp; Dispatch</v>
      </c>
      <c r="AG840" s="15" t="str">
        <f t="shared" si="17"/>
        <v>Wholesale Electropolished Pipe Supply for Swansea Projects</v>
      </c>
      <c r="AH840" s="15" t="str">
        <f t="shared" si="18"/>
        <v>electropolished pipes manufacturer in Swansea, electropolished pipes supplier in Swansea, electropolished pipes wholesaler in Swansea, electropolished tube manufacturer Swansea, EP pipe supplier Swansea, sanitary tube supplier Swansea, ASME BPE tubing Swansea, ASTM A270 tube Swansea, SS 316L electropolished pipe Swansea</v>
      </c>
      <c r="AI840" s="15" t="str">
        <f t="shared" si="19"/>
        <v>Electropolished Pipes Manufacturer &amp; Supplier in Swansea</v>
      </c>
      <c r="AJ840" s="15" t="str">
        <f t="shared" si="20"/>
        <v>EP-finished SS 304/316L pipes and tubes for food processing plants in Swansea. ASME BPE SF1-SF4, Ra from 0.25 um, EN 10204 3.1 certificate with every lot.</v>
      </c>
      <c r="AK840" s="15" t="str">
        <f t="shared" si="21"/>
        <v>Electropolished stainless steel pipes supplied by Sakshi Forge to food processing plants at Swansea Enterprise Park, Swansea</v>
      </c>
      <c r="AL840" s="15" t="str">
        <f t="shared" si="22"/>
        <v>Electropolished SS 316L tube stock for Swansea - Sakshi Forge</v>
      </c>
      <c r="AM840" s="15" t="str">
        <f t="shared" si="23"/>
        <v>Home &gt; Market Area &gt; UK &gt; Wales &gt; Swansea</v>
      </c>
      <c r="AN840" s="15">
        <f t="shared" si="24"/>
        <v>1000</v>
      </c>
      <c r="AO840" s="15">
        <f t="shared" si="25"/>
        <v>8</v>
      </c>
      <c r="AP840" s="15">
        <f t="shared" si="26"/>
        <v>8</v>
      </c>
      <c r="AQ840" s="15">
        <f t="shared" si="27"/>
        <v>14</v>
      </c>
      <c r="AR840" s="31"/>
      <c r="AS840" s="31"/>
      <c r="AT840" s="35" t="s">
        <v>222</v>
      </c>
      <c r="AU840" s="35"/>
    </row>
    <row r="841" ht="15.75" customHeight="1">
      <c r="A841" s="15" t="s">
        <v>9286</v>
      </c>
      <c r="B841" s="15" t="s">
        <v>221</v>
      </c>
      <c r="C841" s="15" t="s">
        <v>9287</v>
      </c>
      <c r="D841" s="15" t="s">
        <v>9288</v>
      </c>
      <c r="E841" s="15" t="s">
        <v>9288</v>
      </c>
      <c r="F841" s="65" t="s">
        <v>788</v>
      </c>
      <c r="G841" s="17" t="s">
        <v>88</v>
      </c>
      <c r="H841" s="18" t="s">
        <v>9289</v>
      </c>
      <c r="I841" s="18" t="s">
        <v>9290</v>
      </c>
      <c r="J841" s="18" t="s">
        <v>9291</v>
      </c>
      <c r="K841" s="18" t="s">
        <v>4868</v>
      </c>
      <c r="L841" s="18" t="s">
        <v>9292</v>
      </c>
      <c r="M841" s="18" t="s">
        <v>530</v>
      </c>
      <c r="N841" s="18" t="s">
        <v>233</v>
      </c>
      <c r="O841" s="18" t="s">
        <v>98</v>
      </c>
      <c r="P841" s="15" t="str">
        <f t="shared" si="1"/>
        <v>SEMI</v>
      </c>
      <c r="Q841" s="15">
        <f t="shared" si="2"/>
        <v>6</v>
      </c>
      <c r="R841" s="15">
        <f t="shared" si="3"/>
        <v>5</v>
      </c>
      <c r="S841" s="15">
        <f t="shared" si="4"/>
        <v>3</v>
      </c>
      <c r="T841" s="15" t="str">
        <f t="shared" si="5"/>
        <v>B-4</v>
      </c>
      <c r="U841" s="15" t="str">
        <f t="shared" si="6"/>
        <v>T6-M5-H3-FB-4-SEMI</v>
      </c>
      <c r="V841" s="15">
        <f t="shared" si="7"/>
        <v>0</v>
      </c>
      <c r="W841" s="31"/>
      <c r="X841" s="15" t="str">
        <f t="shared" si="8"/>
        <v>albany-usa</v>
      </c>
      <c r="Y841" s="32" t="str">
        <f t="shared" si="9"/>
        <v>https://steelmanufacturer.in/market-area/electropolished-pipes-manufacturer-in-albany-usa/</v>
      </c>
      <c r="Z841" s="15" t="str">
        <f t="shared" si="10"/>
        <v>Electropolished Pipes Manufacturer in Albany</v>
      </c>
      <c r="AA841" s="15" t="str">
        <f t="shared" si="11"/>
        <v>OK (44)</v>
      </c>
      <c r="AB841" s="15" t="str">
        <f t="shared" si="12"/>
        <v>Manufacturer of electropolished SS 316L tube serving Albany. 28-35 days sea from Nhava Sheva to US East Coast. Ra 0.25-0.5 um, EN 10204 3.1 MTC.</v>
      </c>
      <c r="AC841" s="15" t="str">
        <f t="shared" si="13"/>
        <v>OK (144)</v>
      </c>
      <c r="AD841" s="15" t="str">
        <f t="shared" si="14"/>
        <v>Electropolished Pipes Manufacturer in Albany</v>
      </c>
      <c r="AE841" s="15" t="str">
        <f t="shared" si="15"/>
        <v>Electropolished Pipes Manufacturer in Albany - Our Process &amp; Capability</v>
      </c>
      <c r="AF841" s="15" t="str">
        <f t="shared" si="16"/>
        <v>Electropolished Pipes Supplier in Albany - What We Hold in Stock</v>
      </c>
      <c r="AG841" s="15" t="str">
        <f t="shared" si="17"/>
        <v>Bulk &amp; Wholesale Electropolished Pipe Rates for Albany Buyers</v>
      </c>
      <c r="AH841" s="15" t="str">
        <f t="shared" si="18"/>
        <v>electropolished pipes manufacturer in Albany, electropolished pipes supplier in Albany, electropolished pipes wholesaler in Albany, electropolished tube manufacturer Albany, EP pipe supplier Albany, sanitary tube supplier Albany, ASME BPE tubing Albany, ASTM A270 tube Albany, SS 316L electropolished pipe Albany</v>
      </c>
      <c r="AI841" s="15" t="str">
        <f t="shared" si="19"/>
        <v>Electropolished Pipes Manufacturer &amp; Supplier in Albany</v>
      </c>
      <c r="AJ841" s="15" t="str">
        <f t="shared" si="20"/>
        <v>EP-finished SS 304/316L pipes and tubes for semiconductor plants in Albany. ASME BPE SF1-SF4, Ra from 0.25 um, EN 10204 3.1 certificate with every lot.</v>
      </c>
      <c r="AK841" s="15" t="str">
        <f t="shared" si="21"/>
        <v>Electropolished stainless steel pipes supplied by Sakshi Forge to semiconductor plants at Albany NanoTech, Albany</v>
      </c>
      <c r="AL841" s="15" t="str">
        <f t="shared" si="22"/>
        <v>Electropolished SS 316L tube stock for Albany - Sakshi Forge</v>
      </c>
      <c r="AM841" s="15" t="str">
        <f t="shared" si="23"/>
        <v>Home &gt; Market Area &gt; USA &gt; New York &gt; Albany</v>
      </c>
      <c r="AN841" s="15">
        <f t="shared" si="24"/>
        <v>1000</v>
      </c>
      <c r="AO841" s="15">
        <f t="shared" si="25"/>
        <v>8</v>
      </c>
      <c r="AP841" s="15">
        <f t="shared" si="26"/>
        <v>8</v>
      </c>
      <c r="AQ841" s="15">
        <f t="shared" si="27"/>
        <v>14</v>
      </c>
      <c r="AR841" s="31"/>
      <c r="AS841" s="31"/>
      <c r="AT841" s="35" t="s">
        <v>222</v>
      </c>
      <c r="AU841" s="35"/>
    </row>
    <row r="842" ht="15.75" customHeight="1">
      <c r="A842" s="15" t="s">
        <v>9293</v>
      </c>
      <c r="B842" s="15" t="s">
        <v>221</v>
      </c>
      <c r="C842" s="15" t="s">
        <v>9294</v>
      </c>
      <c r="D842" s="15" t="s">
        <v>9295</v>
      </c>
      <c r="E842" s="15" t="s">
        <v>9295</v>
      </c>
      <c r="F842" s="65" t="s">
        <v>788</v>
      </c>
      <c r="G842" s="17" t="s">
        <v>88</v>
      </c>
      <c r="H842" s="18" t="s">
        <v>9296</v>
      </c>
      <c r="I842" s="18" t="s">
        <v>9297</v>
      </c>
      <c r="J842" s="18" t="s">
        <v>9298</v>
      </c>
      <c r="K842" s="18" t="s">
        <v>229</v>
      </c>
      <c r="L842" s="18" t="s">
        <v>9299</v>
      </c>
      <c r="M842" s="18" t="s">
        <v>530</v>
      </c>
      <c r="N842" s="18" t="s">
        <v>233</v>
      </c>
      <c r="O842" s="18" t="s">
        <v>98</v>
      </c>
      <c r="P842" s="15" t="str">
        <f t="shared" si="1"/>
        <v>PHARMA</v>
      </c>
      <c r="Q842" s="15">
        <f t="shared" si="2"/>
        <v>7</v>
      </c>
      <c r="R842" s="15">
        <f t="shared" si="3"/>
        <v>6</v>
      </c>
      <c r="S842" s="15">
        <f t="shared" si="4"/>
        <v>4</v>
      </c>
      <c r="T842" s="15" t="str">
        <f t="shared" si="5"/>
        <v>B-5</v>
      </c>
      <c r="U842" s="15" t="str">
        <f t="shared" si="6"/>
        <v>T7-M6-H4-FB-5-PHARMA</v>
      </c>
      <c r="V842" s="15">
        <f t="shared" si="7"/>
        <v>0</v>
      </c>
      <c r="W842" s="31"/>
      <c r="X842" s="15" t="str">
        <f t="shared" si="8"/>
        <v>atlanta-usa</v>
      </c>
      <c r="Y842" s="32" t="str">
        <f t="shared" si="9"/>
        <v>https://steelmanufacturer.in/market-area/electropolished-pipes-manufacturer-in-atlanta-usa/</v>
      </c>
      <c r="Z842" s="15" t="str">
        <f t="shared" si="10"/>
        <v>Electropolished Pipes Manufacturer in Atlanta | ASME BPE SF1-SF4</v>
      </c>
      <c r="AA842" s="15" t="str">
        <f t="shared" si="11"/>
        <v>OK (64)</v>
      </c>
      <c r="AB842" s="15" t="str">
        <f t="shared" si="12"/>
        <v>EP tube and pipe for pharma plants around Fulton Industrial Boulevard, Atlanta. Made at our Mumbai works to ASTM A270 and ASME BPE SF1-SF4, with 3.1 MTC.</v>
      </c>
      <c r="AC842" s="15" t="str">
        <f t="shared" si="13"/>
        <v>OK (153)</v>
      </c>
      <c r="AD842" s="15" t="str">
        <f t="shared" si="14"/>
        <v>Electropolished Pipes Manufacturer in Atlanta</v>
      </c>
      <c r="AE842" s="15" t="str">
        <f t="shared" si="15"/>
        <v>Manufacturing Electropolished SS Tube for Atlanta: The Standards We Build To</v>
      </c>
      <c r="AF842" s="15" t="str">
        <f t="shared" si="16"/>
        <v>Electropolished Pipe Supply Into Atlanta - Certification &amp; Transit</v>
      </c>
      <c r="AG842" s="15" t="str">
        <f t="shared" si="17"/>
        <v>Electropolished Pipes Wholesaler in Atlanta - Project Quantities &amp; Terms</v>
      </c>
      <c r="AH842" s="15" t="str">
        <f t="shared" si="18"/>
        <v>electropolished pipes manufacturer in Atlanta, electropolished pipes supplier in Atlanta, electropolished pipes wholesaler in Atlanta, electropolished tube manufacturer Atlanta, EP pipe supplier Atlanta, sanitary tube supplier Atlanta, ASME BPE tubing Atlanta, ASTM A270 tube Atlanta, SS 316L electropolished pipe Atlanta</v>
      </c>
      <c r="AI842" s="15" t="str">
        <f t="shared" si="19"/>
        <v>Electropolished Pipes Manufacturer &amp; Supplier in Atlanta</v>
      </c>
      <c r="AJ842" s="15" t="str">
        <f t="shared" si="20"/>
        <v>EP-finished SS 304/316L pipes and tubes for pharma plants in Atlanta. ASME BPE SF1-SF4, Ra from 0.25 um, EN 10204 3.1 certificate with every lot.</v>
      </c>
      <c r="AK842" s="15" t="str">
        <f t="shared" si="21"/>
        <v>Electropolished stainless steel pipes supplied by Sakshi Forge to pharma plants at Fulton Industrial Boulevard, Atlanta</v>
      </c>
      <c r="AL842" s="15" t="str">
        <f t="shared" si="22"/>
        <v>Electropolished SS 316L tube stock for Atlanta - Sakshi Forge</v>
      </c>
      <c r="AM842" s="15" t="str">
        <f t="shared" si="23"/>
        <v>Home &gt; Market Area &gt; USA &gt; Georgia &gt; Atlanta</v>
      </c>
      <c r="AN842" s="15">
        <f t="shared" si="24"/>
        <v>1000</v>
      </c>
      <c r="AO842" s="15">
        <f t="shared" si="25"/>
        <v>8</v>
      </c>
      <c r="AP842" s="15">
        <f t="shared" si="26"/>
        <v>8</v>
      </c>
      <c r="AQ842" s="15">
        <f t="shared" si="27"/>
        <v>14</v>
      </c>
      <c r="AR842" s="31"/>
      <c r="AS842" s="31"/>
      <c r="AT842" s="35" t="s">
        <v>222</v>
      </c>
      <c r="AU842" s="35"/>
    </row>
    <row r="843" ht="15.75" customHeight="1">
      <c r="A843" s="15" t="s">
        <v>9300</v>
      </c>
      <c r="B843" s="15" t="s">
        <v>221</v>
      </c>
      <c r="C843" s="15" t="s">
        <v>9301</v>
      </c>
      <c r="D843" s="15" t="s">
        <v>9302</v>
      </c>
      <c r="E843" s="15" t="s">
        <v>9302</v>
      </c>
      <c r="F843" s="65" t="s">
        <v>788</v>
      </c>
      <c r="G843" s="17" t="s">
        <v>88</v>
      </c>
      <c r="H843" s="18" t="s">
        <v>9303</v>
      </c>
      <c r="I843" s="18" t="s">
        <v>9304</v>
      </c>
      <c r="J843" s="18" t="s">
        <v>9305</v>
      </c>
      <c r="K843" s="18" t="s">
        <v>9306</v>
      </c>
      <c r="L843" s="18" t="s">
        <v>9307</v>
      </c>
      <c r="M843" s="18" t="s">
        <v>530</v>
      </c>
      <c r="N843" s="18" t="s">
        <v>233</v>
      </c>
      <c r="O843" s="18" t="s">
        <v>98</v>
      </c>
      <c r="P843" s="15" t="str">
        <f t="shared" si="1"/>
        <v>BIOTECH</v>
      </c>
      <c r="Q843" s="15">
        <f t="shared" si="2"/>
        <v>8</v>
      </c>
      <c r="R843" s="15">
        <f t="shared" si="3"/>
        <v>7</v>
      </c>
      <c r="S843" s="15">
        <f t="shared" si="4"/>
        <v>5</v>
      </c>
      <c r="T843" s="15" t="str">
        <f t="shared" si="5"/>
        <v>B-6</v>
      </c>
      <c r="U843" s="15" t="str">
        <f t="shared" si="6"/>
        <v>T8-M7-H5-FB-6-BIOTECH</v>
      </c>
      <c r="V843" s="15">
        <f t="shared" si="7"/>
        <v>0</v>
      </c>
      <c r="W843" s="31"/>
      <c r="X843" s="15" t="str">
        <f t="shared" si="8"/>
        <v>baltimore-usa</v>
      </c>
      <c r="Y843" s="32" t="str">
        <f t="shared" si="9"/>
        <v>https://steelmanufacturer.in/market-area/electropolished-pipes-manufacturer-in-baltimore-usa/</v>
      </c>
      <c r="Z843" s="15" t="str">
        <f t="shared" si="10"/>
        <v>Electropolished Pipes Manufacturer in Baltimore</v>
      </c>
      <c r="AA843" s="15" t="str">
        <f t="shared" si="11"/>
        <v>OK (47)</v>
      </c>
      <c r="AB843" s="15" t="str">
        <f t="shared" si="12"/>
        <v>Electropolished pipes in Baltimore: 304, 304L, 316 and 316L in SF1-SF4. 28-35 days sea from Nhava Sheva to US East Coast. Mill certified.</v>
      </c>
      <c r="AC843" s="15" t="str">
        <f t="shared" si="13"/>
        <v>OK (137)</v>
      </c>
      <c r="AD843" s="15" t="str">
        <f t="shared" si="14"/>
        <v>Electropolished Pipes Manufacturer in Baltimore</v>
      </c>
      <c r="AE843" s="15" t="str">
        <f t="shared" si="15"/>
        <v>Electropolished Tube Manufacturing Capability Serving Baltimore</v>
      </c>
      <c r="AF843" s="15" t="str">
        <f t="shared" si="16"/>
        <v>Electropolished Pipes Supplier in Baltimore - From Order to Delivery</v>
      </c>
      <c r="AG843" s="15" t="str">
        <f t="shared" si="17"/>
        <v>Stockist &amp; Wholesale Supply of Electropolished Pipes in Baltimore</v>
      </c>
      <c r="AH843" s="15" t="str">
        <f t="shared" si="18"/>
        <v>electropolished pipes manufacturer in Baltimore, electropolished pipes supplier in Baltimore, electropolished pipes wholesaler in Baltimore, electropolished tube manufacturer Baltimore, EP pipe supplier Baltimore, sanitary tube supplier Baltimore, ASME BPE tubing Baltimore, ASTM A270 tube Baltimore, SS 316L electropolished pipe Baltimore</v>
      </c>
      <c r="AI843" s="15" t="str">
        <f t="shared" si="19"/>
        <v>Electropolished Pipes Manufacturer &amp; Supplier in Baltimore</v>
      </c>
      <c r="AJ843" s="15" t="str">
        <f t="shared" si="20"/>
        <v>EP-finished SS 304/316L pipes and tubes for biotech &amp; chemical plants in Baltimore. ASME BPE SF1-SF4, Ra from 0.25 um, EN 10204 3.1 certificate with every lot.</v>
      </c>
      <c r="AK843" s="15" t="str">
        <f t="shared" si="21"/>
        <v>Electropolished stainless steel pipes supplied by Sakshi Forge to biotech &amp; chemical plants at Baltimore Bio Park, Baltimore</v>
      </c>
      <c r="AL843" s="15" t="str">
        <f t="shared" si="22"/>
        <v>Electropolished SS 316L tube stock for Baltimore - Sakshi Forge</v>
      </c>
      <c r="AM843" s="15" t="str">
        <f t="shared" si="23"/>
        <v>Home &gt; Market Area &gt; USA &gt; Maryland &gt; Baltimore</v>
      </c>
      <c r="AN843" s="15">
        <f t="shared" si="24"/>
        <v>1000</v>
      </c>
      <c r="AO843" s="15">
        <f t="shared" si="25"/>
        <v>8</v>
      </c>
      <c r="AP843" s="15">
        <f t="shared" si="26"/>
        <v>8</v>
      </c>
      <c r="AQ843" s="15">
        <f t="shared" si="27"/>
        <v>14</v>
      </c>
      <c r="AR843" s="31"/>
      <c r="AS843" s="31"/>
      <c r="AT843" s="35" t="s">
        <v>222</v>
      </c>
      <c r="AU843" s="35"/>
    </row>
    <row r="844" ht="15.75" customHeight="1">
      <c r="A844" s="15" t="s">
        <v>9308</v>
      </c>
      <c r="B844" s="15" t="s">
        <v>221</v>
      </c>
      <c r="C844" s="15" t="s">
        <v>9309</v>
      </c>
      <c r="D844" s="15" t="s">
        <v>8172</v>
      </c>
      <c r="E844" s="15" t="s">
        <v>9310</v>
      </c>
      <c r="F844" s="65" t="s">
        <v>788</v>
      </c>
      <c r="G844" s="17" t="s">
        <v>88</v>
      </c>
      <c r="H844" s="18" t="s">
        <v>9311</v>
      </c>
      <c r="I844" s="18" t="s">
        <v>9312</v>
      </c>
      <c r="J844" s="18" t="s">
        <v>9313</v>
      </c>
      <c r="K844" s="18" t="s">
        <v>94</v>
      </c>
      <c r="L844" s="18" t="s">
        <v>9314</v>
      </c>
      <c r="M844" s="18" t="s">
        <v>530</v>
      </c>
      <c r="N844" s="18" t="s">
        <v>233</v>
      </c>
      <c r="O844" s="18" t="s">
        <v>98</v>
      </c>
      <c r="P844" s="15" t="str">
        <f t="shared" si="1"/>
        <v>FOOD</v>
      </c>
      <c r="Q844" s="15">
        <f t="shared" si="2"/>
        <v>1</v>
      </c>
      <c r="R844" s="15">
        <f t="shared" si="3"/>
        <v>1</v>
      </c>
      <c r="S844" s="15">
        <f t="shared" si="4"/>
        <v>1</v>
      </c>
      <c r="T844" s="15" t="str">
        <f t="shared" si="5"/>
        <v>B-1</v>
      </c>
      <c r="U844" s="15" t="str">
        <f t="shared" si="6"/>
        <v>T1-M1-H1-FB-1-FOOD</v>
      </c>
      <c r="V844" s="15">
        <f t="shared" si="7"/>
        <v>0</v>
      </c>
      <c r="W844" s="31"/>
      <c r="X844" s="15" t="str">
        <f t="shared" si="8"/>
        <v>birmingham-usa</v>
      </c>
      <c r="Y844" s="32" t="str">
        <f t="shared" si="9"/>
        <v>https://steelmanufacturer.in/market-area/electropolished-pipes-manufacturer-in-birmingham-usa/</v>
      </c>
      <c r="Z844" s="15" t="str">
        <f t="shared" si="10"/>
        <v>Electropolished Pipes Manufacturer in Birmingham, USA</v>
      </c>
      <c r="AA844" s="15" t="str">
        <f t="shared" si="11"/>
        <v>OK (53)</v>
      </c>
      <c r="AB844" s="15" t="str">
        <f t="shared" si="12"/>
        <v>EP-finished SS 304/316L pipes &amp; tubes for food processing plants in Birmingham, USA. ASTM A270, ASME BPE SF1-SF4, EN 10204 3.1 MTC. PMI tested.</v>
      </c>
      <c r="AC844" s="15" t="str">
        <f t="shared" si="13"/>
        <v>OK (143)</v>
      </c>
      <c r="AD844" s="15" t="str">
        <f t="shared" si="14"/>
        <v>Electropolished Pipes Manufacturer in Birmingham, USA</v>
      </c>
      <c r="AE844" s="15" t="str">
        <f t="shared" si="15"/>
        <v>Electropolished Pipe &amp; Tube Manufacturing for Birmingham, USA - Grades, Finishes &amp; Certification</v>
      </c>
      <c r="AF844" s="15" t="str">
        <f t="shared" si="16"/>
        <v>Electropolished Pipes Supplier in Birmingham, USA - Stock Sizes, Lead Time &amp; Delivery</v>
      </c>
      <c r="AG844" s="15" t="str">
        <f t="shared" si="17"/>
        <v>Electropolished Pipes Wholesaler &amp; Stockist in Birmingham, USA - Bulk &amp; Project Pricing</v>
      </c>
      <c r="AH844" s="15" t="str">
        <f t="shared" si="18"/>
        <v>electropolished pipes manufacturer in Birmingham, electropolished pipes supplier in Birmingham, electropolished pipes wholesaler in Birmingham, electropolished tube manufacturer Birmingham, EP pipe supplier Birmingham, sanitary tube supplier Birmingham, ASME BPE tubing Birmingham, ASTM A270 tube Birmingham, SS 316L electropolished pipe Birmingham</v>
      </c>
      <c r="AI844" s="15" t="str">
        <f t="shared" si="19"/>
        <v>Electropolished Pipes Manufacturer &amp; Supplier in Birmingham, USA</v>
      </c>
      <c r="AJ844" s="15" t="str">
        <f t="shared" si="20"/>
        <v>EP-finished SS 304/316L pipes and tubes for food processing plants in Birmingham, USA. ASME BPE SF1-SF4, Ra from 0.25 um, EN 10204 3.1 certificate with every lot.</v>
      </c>
      <c r="AK844" s="15" t="str">
        <f t="shared" si="21"/>
        <v>Electropolished stainless steel pipes supplied by Sakshi Forge to food processing plants at Birmingham Industrial Corridor, Birmingham, USA</v>
      </c>
      <c r="AL844" s="15" t="str">
        <f t="shared" si="22"/>
        <v>Electropolished SS 316L tube stock for Birmingham, USA - Sakshi Forge</v>
      </c>
      <c r="AM844" s="15" t="str">
        <f t="shared" si="23"/>
        <v>Home &gt; Market Area &gt; USA &gt; Alabama &gt; Birmingham</v>
      </c>
      <c r="AN844" s="15">
        <f t="shared" si="24"/>
        <v>1000</v>
      </c>
      <c r="AO844" s="15">
        <f t="shared" si="25"/>
        <v>8</v>
      </c>
      <c r="AP844" s="15">
        <f t="shared" si="26"/>
        <v>8</v>
      </c>
      <c r="AQ844" s="15">
        <f t="shared" si="27"/>
        <v>15</v>
      </c>
      <c r="AR844" s="31"/>
      <c r="AS844" s="31"/>
      <c r="AT844" s="35" t="s">
        <v>222</v>
      </c>
      <c r="AU844" s="35"/>
    </row>
    <row r="845" ht="15.75" customHeight="1">
      <c r="A845" s="15" t="s">
        <v>9315</v>
      </c>
      <c r="B845" s="15" t="s">
        <v>221</v>
      </c>
      <c r="C845" s="15" t="s">
        <v>9316</v>
      </c>
      <c r="D845" s="15" t="s">
        <v>9317</v>
      </c>
      <c r="E845" s="15" t="s">
        <v>9317</v>
      </c>
      <c r="F845" s="65" t="s">
        <v>788</v>
      </c>
      <c r="G845" s="17" t="s">
        <v>88</v>
      </c>
      <c r="H845" s="18" t="s">
        <v>9318</v>
      </c>
      <c r="I845" s="18" t="s">
        <v>9319</v>
      </c>
      <c r="J845" s="18" t="s">
        <v>9320</v>
      </c>
      <c r="K845" s="18" t="s">
        <v>4868</v>
      </c>
      <c r="L845" s="18" t="s">
        <v>8322</v>
      </c>
      <c r="M845" s="18" t="s">
        <v>530</v>
      </c>
      <c r="N845" s="18" t="s">
        <v>233</v>
      </c>
      <c r="O845" s="18" t="s">
        <v>98</v>
      </c>
      <c r="P845" s="15" t="str">
        <f t="shared" si="1"/>
        <v>SEMI</v>
      </c>
      <c r="Q845" s="15">
        <f t="shared" si="2"/>
        <v>2</v>
      </c>
      <c r="R845" s="15">
        <f t="shared" si="3"/>
        <v>2</v>
      </c>
      <c r="S845" s="15">
        <f t="shared" si="4"/>
        <v>2</v>
      </c>
      <c r="T845" s="15" t="str">
        <f t="shared" si="5"/>
        <v>B-2</v>
      </c>
      <c r="U845" s="15" t="str">
        <f t="shared" si="6"/>
        <v>T2-M2-H2-FB-2-SEMI</v>
      </c>
      <c r="V845" s="15">
        <f t="shared" si="7"/>
        <v>0</v>
      </c>
      <c r="W845" s="31"/>
      <c r="X845" s="15" t="str">
        <f t="shared" si="8"/>
        <v>boise-usa</v>
      </c>
      <c r="Y845" s="32" t="str">
        <f t="shared" si="9"/>
        <v>https://steelmanufacturer.in/market-area/electropolished-pipes-manufacturer-in-boise-usa/</v>
      </c>
      <c r="Z845" s="15" t="str">
        <f t="shared" si="10"/>
        <v>Electropolished Pipes Manufacturer in Boise</v>
      </c>
      <c r="AA845" s="15" t="str">
        <f t="shared" si="11"/>
        <v>OK (43)</v>
      </c>
      <c r="AB845" s="15" t="str">
        <f t="shared" si="12"/>
        <v>Electropolished tube supply to Boise Research Center, Boise. Ra from 0.25 um, SF4 finish, mill test certificate with every lot.</v>
      </c>
      <c r="AC845" s="15" t="str">
        <f t="shared" si="13"/>
        <v>OK (127)</v>
      </c>
      <c r="AD845" s="15" t="str">
        <f t="shared" si="14"/>
        <v>Electropolished Pipes Manufacturer in Boise</v>
      </c>
      <c r="AE845" s="15" t="str">
        <f t="shared" si="15"/>
        <v>How We Manufacture Electropolished Tube for Boise Plants</v>
      </c>
      <c r="AF845" s="15" t="str">
        <f t="shared" si="16"/>
        <v>Supplying Electropolished Pipes in Boise: Availability, Sizes &amp; Dispatch</v>
      </c>
      <c r="AG845" s="15" t="str">
        <f t="shared" si="17"/>
        <v>Wholesale Electropolished Pipe Supply for Boise Projects</v>
      </c>
      <c r="AH845" s="15" t="str">
        <f t="shared" si="18"/>
        <v>electropolished pipes manufacturer in Boise, electropolished pipes supplier in Boise, electropolished pipes wholesaler in Boise, electropolished tube manufacturer Boise, EP pipe supplier Boise, sanitary tube supplier Boise, ASME BPE tubing Boise, ASTM A270 tube Boise, SS 316L electropolished pipe Boise</v>
      </c>
      <c r="AI845" s="15" t="str">
        <f t="shared" si="19"/>
        <v>Electropolished Pipes Manufacturer &amp; Supplier in Boise</v>
      </c>
      <c r="AJ845" s="15" t="str">
        <f t="shared" si="20"/>
        <v>EP-finished SS 304/316L pipes and tubes for semiconductor plants in Boise. ASME BPE SF1-SF4, Ra from 0.25 um, EN 10204 3.1 certificate with every lot.</v>
      </c>
      <c r="AK845" s="15" t="str">
        <f t="shared" si="21"/>
        <v>Electropolished stainless steel pipes supplied by Sakshi Forge to semiconductor plants at Boise Research Center, Boise</v>
      </c>
      <c r="AL845" s="15" t="str">
        <f t="shared" si="22"/>
        <v>Electropolished SS 316L tube stock for Boise - Sakshi Forge</v>
      </c>
      <c r="AM845" s="15" t="str">
        <f t="shared" si="23"/>
        <v>Home &gt; Market Area &gt; USA &gt; Idaho &gt; Boise</v>
      </c>
      <c r="AN845" s="15">
        <f t="shared" si="24"/>
        <v>1000</v>
      </c>
      <c r="AO845" s="15">
        <f t="shared" si="25"/>
        <v>8</v>
      </c>
      <c r="AP845" s="15">
        <f t="shared" si="26"/>
        <v>8</v>
      </c>
      <c r="AQ845" s="15">
        <f t="shared" si="27"/>
        <v>15</v>
      </c>
      <c r="AR845" s="31"/>
      <c r="AS845" s="31"/>
      <c r="AT845" s="35" t="s">
        <v>222</v>
      </c>
      <c r="AU845" s="35"/>
    </row>
    <row r="846" ht="15.75" customHeight="1">
      <c r="A846" s="15" t="s">
        <v>9321</v>
      </c>
      <c r="B846" s="15" t="s">
        <v>221</v>
      </c>
      <c r="C846" s="15" t="s">
        <v>8324</v>
      </c>
      <c r="D846" s="15" t="s">
        <v>9322</v>
      </c>
      <c r="E846" s="15" t="s">
        <v>9322</v>
      </c>
      <c r="F846" s="65" t="s">
        <v>788</v>
      </c>
      <c r="G846" s="17" t="s">
        <v>88</v>
      </c>
      <c r="H846" s="18" t="s">
        <v>9323</v>
      </c>
      <c r="I846" s="18" t="s">
        <v>9324</v>
      </c>
      <c r="J846" s="18" t="s">
        <v>8742</v>
      </c>
      <c r="K846" s="18" t="s">
        <v>229</v>
      </c>
      <c r="L846" s="18" t="s">
        <v>9325</v>
      </c>
      <c r="M846" s="18" t="s">
        <v>530</v>
      </c>
      <c r="N846" s="18" t="s">
        <v>233</v>
      </c>
      <c r="O846" s="18" t="s">
        <v>98</v>
      </c>
      <c r="P846" s="15" t="str">
        <f t="shared" si="1"/>
        <v>PHARMA</v>
      </c>
      <c r="Q846" s="15">
        <f t="shared" si="2"/>
        <v>3</v>
      </c>
      <c r="R846" s="15">
        <f t="shared" si="3"/>
        <v>3</v>
      </c>
      <c r="S846" s="15">
        <f t="shared" si="4"/>
        <v>3</v>
      </c>
      <c r="T846" s="15" t="str">
        <f t="shared" si="5"/>
        <v>B-3</v>
      </c>
      <c r="U846" s="15" t="str">
        <f t="shared" si="6"/>
        <v>T3-M3-H3-FB-3-PHARMA</v>
      </c>
      <c r="V846" s="15">
        <f t="shared" si="7"/>
        <v>0</v>
      </c>
      <c r="W846" s="31"/>
      <c r="X846" s="15" t="str">
        <f t="shared" si="8"/>
        <v>charlotte-usa</v>
      </c>
      <c r="Y846" s="32" t="str">
        <f t="shared" si="9"/>
        <v>https://steelmanufacturer.in/market-area/electropolished-pipes-manufacturer-in-charlotte-usa/</v>
      </c>
      <c r="Z846" s="15" t="str">
        <f t="shared" si="10"/>
        <v>Electropolished Pipes Manufacturer in Charlotte</v>
      </c>
      <c r="AA846" s="15" t="str">
        <f t="shared" si="11"/>
        <v>OK (47)</v>
      </c>
      <c r="AB846" s="15" t="str">
        <f t="shared" si="12"/>
        <v>EP stainless tube for pharma lines in Charlotte. 28-35 days sea from Nhava Sheva to US East Coast. ASTM A270 S2, PMI tested, EN 10204 3.1.</v>
      </c>
      <c r="AC846" s="15" t="str">
        <f t="shared" si="13"/>
        <v>OK (138)</v>
      </c>
      <c r="AD846" s="15" t="str">
        <f t="shared" si="14"/>
        <v>Electropolished Pipes Manufacturer in Charlotte</v>
      </c>
      <c r="AE846" s="15" t="str">
        <f t="shared" si="15"/>
        <v>Electropolished Pipes Manufacturer in Charlotte - Our Process &amp; Capability</v>
      </c>
      <c r="AF846" s="15" t="str">
        <f t="shared" si="16"/>
        <v>Electropolished Pipes Supplier in Charlotte - What We Hold in Stock</v>
      </c>
      <c r="AG846" s="15" t="str">
        <f t="shared" si="17"/>
        <v>Bulk &amp; Wholesale Electropolished Pipe Rates for Charlotte Buyers</v>
      </c>
      <c r="AH846" s="15" t="str">
        <f t="shared" si="18"/>
        <v>electropolished pipes manufacturer in Charlotte, electropolished pipes supplier in Charlotte, electropolished pipes wholesaler in Charlotte, electropolished tube manufacturer Charlotte, EP pipe supplier Charlotte, sanitary tube supplier Charlotte, ASME BPE tubing Charlotte, ASTM A270 tube Charlotte, SS 316L electropolished pipe Charlotte</v>
      </c>
      <c r="AI846" s="15" t="str">
        <f t="shared" si="19"/>
        <v>Electropolished Pipes Manufacturer &amp; Supplier in Charlotte</v>
      </c>
      <c r="AJ846" s="15" t="str">
        <f t="shared" si="20"/>
        <v>EP-finished SS 304/316L pipes and tubes for pharma plants in Charlotte. ASME BPE SF1-SF4, Ra from 0.25 um, EN 10204 3.1 certificate with every lot.</v>
      </c>
      <c r="AK846" s="15" t="str">
        <f t="shared" si="21"/>
        <v>Electropolished stainless steel pipes supplied by Sakshi Forge to pharma plants at Charlotte Industrial Corridor, Charlotte</v>
      </c>
      <c r="AL846" s="15" t="str">
        <f t="shared" si="22"/>
        <v>Electropolished SS 316L tube stock for Charlotte - Sakshi Forge</v>
      </c>
      <c r="AM846" s="15" t="str">
        <f t="shared" si="23"/>
        <v>Home &gt; Market Area &gt; USA &gt; North Carolina &gt; Charlotte</v>
      </c>
      <c r="AN846" s="15">
        <f t="shared" si="24"/>
        <v>1000</v>
      </c>
      <c r="AO846" s="15">
        <f t="shared" si="25"/>
        <v>8</v>
      </c>
      <c r="AP846" s="15">
        <f t="shared" si="26"/>
        <v>8</v>
      </c>
      <c r="AQ846" s="15">
        <f t="shared" si="27"/>
        <v>15</v>
      </c>
      <c r="AR846" s="31"/>
      <c r="AS846" s="31"/>
      <c r="AT846" s="35" t="s">
        <v>222</v>
      </c>
      <c r="AU846" s="35"/>
    </row>
    <row r="847" ht="15.75" customHeight="1">
      <c r="A847" s="15" t="s">
        <v>9326</v>
      </c>
      <c r="B847" s="15" t="s">
        <v>221</v>
      </c>
      <c r="C847" s="15" t="s">
        <v>9327</v>
      </c>
      <c r="D847" s="15" t="s">
        <v>9328</v>
      </c>
      <c r="E847" s="15" t="s">
        <v>9328</v>
      </c>
      <c r="F847" s="65" t="s">
        <v>788</v>
      </c>
      <c r="G847" s="17" t="s">
        <v>88</v>
      </c>
      <c r="H847" s="18" t="s">
        <v>9329</v>
      </c>
      <c r="I847" s="18" t="s">
        <v>9330</v>
      </c>
      <c r="J847" s="18" t="s">
        <v>9331</v>
      </c>
      <c r="K847" s="18" t="s">
        <v>229</v>
      </c>
      <c r="L847" s="18" t="s">
        <v>9332</v>
      </c>
      <c r="M847" s="18" t="s">
        <v>530</v>
      </c>
      <c r="N847" s="18" t="s">
        <v>233</v>
      </c>
      <c r="O847" s="18" t="s">
        <v>98</v>
      </c>
      <c r="P847" s="15" t="str">
        <f t="shared" si="1"/>
        <v>PHARMA</v>
      </c>
      <c r="Q847" s="15">
        <f t="shared" si="2"/>
        <v>4</v>
      </c>
      <c r="R847" s="15">
        <f t="shared" si="3"/>
        <v>4</v>
      </c>
      <c r="S847" s="15">
        <f t="shared" si="4"/>
        <v>4</v>
      </c>
      <c r="T847" s="15" t="str">
        <f t="shared" si="5"/>
        <v>B-4</v>
      </c>
      <c r="U847" s="15" t="str">
        <f t="shared" si="6"/>
        <v>T4-M4-H4-FB-4-PHARMA</v>
      </c>
      <c r="V847" s="15">
        <f t="shared" si="7"/>
        <v>0</v>
      </c>
      <c r="W847" s="31"/>
      <c r="X847" s="15" t="str">
        <f t="shared" si="8"/>
        <v>cincinnati-usa</v>
      </c>
      <c r="Y847" s="32" t="str">
        <f t="shared" si="9"/>
        <v>https://steelmanufacturer.in/market-area/electropolished-pipes-manufacturer-in-cincinnati-usa/</v>
      </c>
      <c r="Z847" s="15" t="str">
        <f t="shared" si="10"/>
        <v>Electropolished Pipes Manufacturer in Cincinnati</v>
      </c>
      <c r="AA847" s="15" t="str">
        <f t="shared" si="11"/>
        <v>OK (48)</v>
      </c>
      <c r="AB847" s="15" t="str">
        <f t="shared" si="12"/>
        <v>Sanitary electropolished pipes in Cincinnati for pharma plants. ASME BPE SF1-SF4, orbital-weld ready, 3.1 MTC. Mumbai-made.</v>
      </c>
      <c r="AC847" s="15" t="str">
        <f t="shared" si="13"/>
        <v>OK (123)</v>
      </c>
      <c r="AD847" s="15" t="str">
        <f t="shared" si="14"/>
        <v>Electropolished Pipes Manufacturer in Cincinnati</v>
      </c>
      <c r="AE847" s="15" t="str">
        <f t="shared" si="15"/>
        <v>Manufacturing Electropolished SS Tube for Cincinnati: The Standards We Build To</v>
      </c>
      <c r="AF847" s="15" t="str">
        <f t="shared" si="16"/>
        <v>Electropolished Pipe Supply Into Cincinnati - Certification &amp; Transit</v>
      </c>
      <c r="AG847" s="15" t="str">
        <f t="shared" si="17"/>
        <v>Electropolished Pipes Wholesaler in Cincinnati - Project Quantities &amp; Terms</v>
      </c>
      <c r="AH847" s="15" t="str">
        <f t="shared" si="18"/>
        <v>electropolished pipes manufacturer in Cincinnati, electropolished pipes supplier in Cincinnati, electropolished pipes wholesaler in Cincinnati, electropolished tube manufacturer Cincinnati, EP pipe supplier Cincinnati, sanitary tube supplier Cincinnati, ASME BPE tubing Cincinnati, ASTM A270 tube Cincinnati, SS 316L electropolished pipe Cincinnati</v>
      </c>
      <c r="AI847" s="15" t="str">
        <f t="shared" si="19"/>
        <v>Electropolished Pipes Manufacturer &amp; Supplier in Cincinnati</v>
      </c>
      <c r="AJ847" s="15" t="str">
        <f t="shared" si="20"/>
        <v>EP-finished SS 304/316L pipes and tubes for pharma plants in Cincinnati. ASME BPE SF1-SF4, Ra from 0.25 um, EN 10204 3.1 certificate with every lot.</v>
      </c>
      <c r="AK847" s="15" t="str">
        <f t="shared" si="21"/>
        <v>Electropolished stainless steel pipes supplied by Sakshi Forge to pharma plants at Cincinnati Industrial Corridor, Cincinnati</v>
      </c>
      <c r="AL847" s="15" t="str">
        <f t="shared" si="22"/>
        <v>Electropolished SS 316L tube stock for Cincinnati - Sakshi Forge</v>
      </c>
      <c r="AM847" s="15" t="str">
        <f t="shared" si="23"/>
        <v>Home &gt; Market Area &gt; USA &gt; Ohio &gt; Cincinnati</v>
      </c>
      <c r="AN847" s="15">
        <f t="shared" si="24"/>
        <v>1000</v>
      </c>
      <c r="AO847" s="15">
        <f t="shared" si="25"/>
        <v>8</v>
      </c>
      <c r="AP847" s="15">
        <f t="shared" si="26"/>
        <v>8</v>
      </c>
      <c r="AQ847" s="15">
        <f t="shared" si="27"/>
        <v>15</v>
      </c>
      <c r="AR847" s="31"/>
      <c r="AS847" s="31"/>
      <c r="AT847" s="35" t="s">
        <v>222</v>
      </c>
      <c r="AU847" s="35"/>
    </row>
    <row r="848" ht="15.75" customHeight="1">
      <c r="A848" s="15" t="s">
        <v>9333</v>
      </c>
      <c r="B848" s="15" t="s">
        <v>221</v>
      </c>
      <c r="C848" s="15" t="s">
        <v>9327</v>
      </c>
      <c r="D848" s="15" t="s">
        <v>9334</v>
      </c>
      <c r="E848" s="15" t="s">
        <v>9334</v>
      </c>
      <c r="F848" s="65" t="s">
        <v>788</v>
      </c>
      <c r="G848" s="17" t="s">
        <v>88</v>
      </c>
      <c r="H848" s="18" t="s">
        <v>9335</v>
      </c>
      <c r="I848" s="18" t="s">
        <v>9336</v>
      </c>
      <c r="J848" s="18" t="s">
        <v>9337</v>
      </c>
      <c r="K848" s="18" t="s">
        <v>94</v>
      </c>
      <c r="L848" s="18" t="s">
        <v>9338</v>
      </c>
      <c r="M848" s="18" t="s">
        <v>530</v>
      </c>
      <c r="N848" s="18" t="s">
        <v>233</v>
      </c>
      <c r="O848" s="18" t="s">
        <v>98</v>
      </c>
      <c r="P848" s="15" t="str">
        <f t="shared" si="1"/>
        <v>FOOD</v>
      </c>
      <c r="Q848" s="15">
        <f t="shared" si="2"/>
        <v>5</v>
      </c>
      <c r="R848" s="15">
        <f t="shared" si="3"/>
        <v>5</v>
      </c>
      <c r="S848" s="15">
        <f t="shared" si="4"/>
        <v>5</v>
      </c>
      <c r="T848" s="15" t="str">
        <f t="shared" si="5"/>
        <v>B-5</v>
      </c>
      <c r="U848" s="15" t="str">
        <f t="shared" si="6"/>
        <v>T5-M5-H5-FB-5-FOOD</v>
      </c>
      <c r="V848" s="15">
        <f t="shared" si="7"/>
        <v>0</v>
      </c>
      <c r="W848" s="31"/>
      <c r="X848" s="15" t="str">
        <f t="shared" si="8"/>
        <v>cleveland-usa</v>
      </c>
      <c r="Y848" s="32" t="str">
        <f t="shared" si="9"/>
        <v>https://steelmanufacturer.in/market-area/electropolished-pipes-manufacturer-in-cleveland-usa/</v>
      </c>
      <c r="Z848" s="15" t="str">
        <f t="shared" si="10"/>
        <v>Electropolished Pipes Manufacturer in Cleveland</v>
      </c>
      <c r="AA848" s="15" t="str">
        <f t="shared" si="11"/>
        <v>OK (47)</v>
      </c>
      <c r="AB848" s="15" t="str">
        <f t="shared" si="12"/>
        <v>Manufacturer of electropolished SS 316L tube serving Cleveland. 28-35 days sea from Nhava Sheva to US East Coast. Ra 0.25-0.5 um, EN 10204 3.1 MTC.</v>
      </c>
      <c r="AC848" s="15" t="str">
        <f t="shared" si="13"/>
        <v>OK (147)</v>
      </c>
      <c r="AD848" s="15" t="str">
        <f t="shared" si="14"/>
        <v>Electropolished Pipes Manufacturer in Cleveland</v>
      </c>
      <c r="AE848" s="15" t="str">
        <f t="shared" si="15"/>
        <v>Electropolished Tube Manufacturing Capability Serving Cleveland</v>
      </c>
      <c r="AF848" s="15" t="str">
        <f t="shared" si="16"/>
        <v>Electropolished Pipes Supplier in Cleveland - From Order to Delivery</v>
      </c>
      <c r="AG848" s="15" t="str">
        <f t="shared" si="17"/>
        <v>Stockist &amp; Wholesale Supply of Electropolished Pipes in Cleveland</v>
      </c>
      <c r="AH848" s="15" t="str">
        <f t="shared" si="18"/>
        <v>electropolished pipes manufacturer in Cleveland, electropolished pipes supplier in Cleveland, electropolished pipes wholesaler in Cleveland, electropolished tube manufacturer Cleveland, EP pipe supplier Cleveland, sanitary tube supplier Cleveland, ASME BPE tubing Cleveland, ASTM A270 tube Cleveland, SS 316L electropolished pipe Cleveland</v>
      </c>
      <c r="AI848" s="15" t="str">
        <f t="shared" si="19"/>
        <v>Electropolished Pipes Manufacturer &amp; Supplier in Cleveland</v>
      </c>
      <c r="AJ848" s="15" t="str">
        <f t="shared" si="20"/>
        <v>EP-finished SS 304/316L pipes and tubes for food processing plants in Cleveland. ASME BPE SF1-SF4, Ra from 0.25 um, EN 10204 3.1 certificate with every lot.</v>
      </c>
      <c r="AK848" s="15" t="str">
        <f t="shared" si="21"/>
        <v>Electropolished stainless steel pipes supplied by Sakshi Forge to food processing plants at Cleveland Industrial Valley, Cleveland</v>
      </c>
      <c r="AL848" s="15" t="str">
        <f t="shared" si="22"/>
        <v>Electropolished SS 316L tube stock for Cleveland - Sakshi Forge</v>
      </c>
      <c r="AM848" s="15" t="str">
        <f t="shared" si="23"/>
        <v>Home &gt; Market Area &gt; USA &gt; Ohio &gt; Cleveland</v>
      </c>
      <c r="AN848" s="15">
        <f t="shared" si="24"/>
        <v>1000</v>
      </c>
      <c r="AO848" s="15">
        <f t="shared" si="25"/>
        <v>8</v>
      </c>
      <c r="AP848" s="15">
        <f t="shared" si="26"/>
        <v>8</v>
      </c>
      <c r="AQ848" s="15">
        <f t="shared" si="27"/>
        <v>15</v>
      </c>
      <c r="AR848" s="31"/>
      <c r="AS848" s="31"/>
      <c r="AT848" s="35" t="s">
        <v>222</v>
      </c>
      <c r="AU848" s="35"/>
    </row>
    <row r="849" ht="15.75" customHeight="1">
      <c r="A849" s="15" t="s">
        <v>9339</v>
      </c>
      <c r="B849" s="15" t="s">
        <v>221</v>
      </c>
      <c r="C849" s="15" t="s">
        <v>9327</v>
      </c>
      <c r="D849" s="15" t="s">
        <v>9340</v>
      </c>
      <c r="E849" s="15" t="s">
        <v>9340</v>
      </c>
      <c r="F849" s="65" t="s">
        <v>788</v>
      </c>
      <c r="G849" s="17" t="s">
        <v>88</v>
      </c>
      <c r="H849" s="18" t="s">
        <v>9341</v>
      </c>
      <c r="I849" s="18" t="s">
        <v>9342</v>
      </c>
      <c r="J849" s="18" t="s">
        <v>9320</v>
      </c>
      <c r="K849" s="18" t="s">
        <v>4868</v>
      </c>
      <c r="L849" s="18" t="s">
        <v>9338</v>
      </c>
      <c r="M849" s="18" t="s">
        <v>530</v>
      </c>
      <c r="N849" s="18" t="s">
        <v>233</v>
      </c>
      <c r="O849" s="18" t="s">
        <v>98</v>
      </c>
      <c r="P849" s="15" t="str">
        <f t="shared" si="1"/>
        <v>SEMI</v>
      </c>
      <c r="Q849" s="15">
        <f t="shared" si="2"/>
        <v>6</v>
      </c>
      <c r="R849" s="15">
        <f t="shared" si="3"/>
        <v>6</v>
      </c>
      <c r="S849" s="15">
        <f t="shared" si="4"/>
        <v>1</v>
      </c>
      <c r="T849" s="15" t="str">
        <f t="shared" si="5"/>
        <v>B-6</v>
      </c>
      <c r="U849" s="15" t="str">
        <f t="shared" si="6"/>
        <v>T6-M6-H1-FB-6-SEMI</v>
      </c>
      <c r="V849" s="15">
        <f t="shared" si="7"/>
        <v>0</v>
      </c>
      <c r="W849" s="31"/>
      <c r="X849" s="15" t="str">
        <f t="shared" si="8"/>
        <v>columbus-usa</v>
      </c>
      <c r="Y849" s="32" t="str">
        <f t="shared" si="9"/>
        <v>https://steelmanufacturer.in/market-area/electropolished-pipes-manufacturer-in-columbus-usa/</v>
      </c>
      <c r="Z849" s="15" t="str">
        <f t="shared" si="10"/>
        <v>Electropolished Pipes Manufacturer in Columbus</v>
      </c>
      <c r="AA849" s="15" t="str">
        <f t="shared" si="11"/>
        <v>OK (46)</v>
      </c>
      <c r="AB849" s="15" t="str">
        <f t="shared" si="12"/>
        <v>EP tube and pipe for semiconductor plants around Rickenbacker Industrial, Columbus. Made at our Mumbai works to ASTM A270 and ASME BPE SF1-SF4, with 3.1 MTC.</v>
      </c>
      <c r="AC849" s="15" t="str">
        <f t="shared" si="13"/>
        <v>OK (157)</v>
      </c>
      <c r="AD849" s="15" t="str">
        <f t="shared" si="14"/>
        <v>Electropolished Pipes Manufacturer in Columbus</v>
      </c>
      <c r="AE849" s="15" t="str">
        <f t="shared" si="15"/>
        <v>Electropolished Pipe &amp; Tube Manufacturing for Columbus - Grades, Finishes &amp; Certification</v>
      </c>
      <c r="AF849" s="15" t="str">
        <f t="shared" si="16"/>
        <v>Electropolished Pipes Supplier in Columbus - Stock Sizes, Lead Time &amp; Delivery</v>
      </c>
      <c r="AG849" s="15" t="str">
        <f t="shared" si="17"/>
        <v>Electropolished Pipes Wholesaler &amp; Stockist in Columbus - Bulk &amp; Project Pricing</v>
      </c>
      <c r="AH849" s="15" t="str">
        <f t="shared" si="18"/>
        <v>electropolished pipes manufacturer in Columbus, electropolished pipes supplier in Columbus, electropolished pipes wholesaler in Columbus, electropolished tube manufacturer Columbus, EP pipe supplier Columbus, sanitary tube supplier Columbus, ASME BPE tubing Columbus, ASTM A270 tube Columbus, SS 316L electropolished pipe Columbus</v>
      </c>
      <c r="AI849" s="15" t="str">
        <f t="shared" si="19"/>
        <v>Electropolished Pipes Manufacturer &amp; Supplier in Columbus</v>
      </c>
      <c r="AJ849" s="15" t="str">
        <f t="shared" si="20"/>
        <v>EP-finished SS 304/316L pipes and tubes for semiconductor plants in Columbus. ASME BPE SF1-SF4, Ra from 0.25 um, EN 10204 3.1 certificate with every lot.</v>
      </c>
      <c r="AK849" s="15" t="str">
        <f t="shared" si="21"/>
        <v>Electropolished stainless steel pipes supplied by Sakshi Forge to semiconductor plants at Rickenbacker Industrial, Columbus</v>
      </c>
      <c r="AL849" s="15" t="str">
        <f t="shared" si="22"/>
        <v>Electropolished SS 316L tube stock for Columbus - Sakshi Forge</v>
      </c>
      <c r="AM849" s="15" t="str">
        <f t="shared" si="23"/>
        <v>Home &gt; Market Area &gt; USA &gt; Ohio &gt; Columbus</v>
      </c>
      <c r="AN849" s="15">
        <f t="shared" si="24"/>
        <v>1000</v>
      </c>
      <c r="AO849" s="15">
        <f t="shared" si="25"/>
        <v>8</v>
      </c>
      <c r="AP849" s="15">
        <f t="shared" si="26"/>
        <v>8</v>
      </c>
      <c r="AQ849" s="15">
        <f t="shared" si="27"/>
        <v>15</v>
      </c>
      <c r="AR849" s="31"/>
      <c r="AS849" s="31"/>
      <c r="AT849" s="35" t="s">
        <v>222</v>
      </c>
      <c r="AU849" s="35"/>
    </row>
    <row r="850" ht="15.75" customHeight="1">
      <c r="A850" s="15" t="s">
        <v>9343</v>
      </c>
      <c r="B850" s="15" t="s">
        <v>221</v>
      </c>
      <c r="C850" s="15" t="s">
        <v>8247</v>
      </c>
      <c r="D850" s="15" t="s">
        <v>9344</v>
      </c>
      <c r="E850" s="15" t="s">
        <v>9344</v>
      </c>
      <c r="F850" s="65" t="s">
        <v>788</v>
      </c>
      <c r="G850" s="17" t="s">
        <v>88</v>
      </c>
      <c r="H850" s="18" t="s">
        <v>9345</v>
      </c>
      <c r="I850" s="18" t="s">
        <v>9346</v>
      </c>
      <c r="J850" s="18" t="s">
        <v>9347</v>
      </c>
      <c r="K850" s="18" t="s">
        <v>674</v>
      </c>
      <c r="L850" s="18" t="s">
        <v>8252</v>
      </c>
      <c r="M850" s="18" t="s">
        <v>530</v>
      </c>
      <c r="N850" s="18" t="s">
        <v>233</v>
      </c>
      <c r="O850" s="18" t="s">
        <v>98</v>
      </c>
      <c r="P850" s="15" t="str">
        <f t="shared" si="1"/>
        <v>SEMI</v>
      </c>
      <c r="Q850" s="15">
        <f t="shared" si="2"/>
        <v>7</v>
      </c>
      <c r="R850" s="15">
        <f t="shared" si="3"/>
        <v>7</v>
      </c>
      <c r="S850" s="15">
        <f t="shared" si="4"/>
        <v>2</v>
      </c>
      <c r="T850" s="15" t="str">
        <f t="shared" si="5"/>
        <v>B-1</v>
      </c>
      <c r="U850" s="15" t="str">
        <f t="shared" si="6"/>
        <v>T7-M7-H2-FB-1-SEMI</v>
      </c>
      <c r="V850" s="15">
        <f t="shared" si="7"/>
        <v>0</v>
      </c>
      <c r="W850" s="31"/>
      <c r="X850" s="15" t="str">
        <f t="shared" si="8"/>
        <v>dallas-fort-worth-usa</v>
      </c>
      <c r="Y850" s="32" t="str">
        <f t="shared" si="9"/>
        <v>https://steelmanufacturer.in/market-area/electropolished-pipes-manufacturer-in-dallas-fort-worth-usa/</v>
      </c>
      <c r="Z850" s="15" t="str">
        <f t="shared" si="10"/>
        <v>Electropolished Pipes Manufacturer in Dallas-Fort Worth</v>
      </c>
      <c r="AA850" s="15" t="str">
        <f t="shared" si="11"/>
        <v>OK (55)</v>
      </c>
      <c r="AB850" s="15" t="str">
        <f t="shared" si="12"/>
        <v>Electropolished pipes in Dallas-Fort Worth: 304, 304L, 316 and 316L in SF1-SF4. 28-35 days sea from Nhava Sheva to US East Coast. Mill certified.</v>
      </c>
      <c r="AC850" s="15" t="str">
        <f t="shared" si="13"/>
        <v>OK (145)</v>
      </c>
      <c r="AD850" s="15" t="str">
        <f t="shared" si="14"/>
        <v>Electropolished Pipes Manufacturer in Dallas-Fort Worth</v>
      </c>
      <c r="AE850" s="15" t="str">
        <f t="shared" si="15"/>
        <v>How We Manufacture Electropolished Tube for Dallas-Fort Worth Plants</v>
      </c>
      <c r="AF850" s="15" t="str">
        <f t="shared" si="16"/>
        <v>Supplying Electropolished Pipes in Dallas-Fort Worth: Availability, Sizes &amp; Dispatch</v>
      </c>
      <c r="AG850" s="15" t="str">
        <f t="shared" si="17"/>
        <v>Wholesale Electropolished Pipe Supply for Dallas-Fort Worth Projects</v>
      </c>
      <c r="AH850" s="15" t="str">
        <f t="shared" si="18"/>
        <v>electropolished pipes manufacturer in Dallas-Fort Worth, electropolished pipes supplier in Dallas-Fort Worth, electropolished pipes wholesaler in Dallas-Fort Worth, electropolished tube manufacturer Dallas-Fort Worth, EP pipe supplier Dallas-Fort Worth, sanitary tube supplier Dallas-Fort Worth, ASME BPE tubing Dallas-Fort Worth, ASTM A270 tube Dallas-Fort Worth, SS 316L electropolished pipe Dallas-Fort Worth</v>
      </c>
      <c r="AI850" s="15" t="str">
        <f t="shared" si="19"/>
        <v>Electropolished Pipes Manufacturer &amp; Supplier in Dallas-Fort Worth</v>
      </c>
      <c r="AJ850" s="15" t="str">
        <f t="shared" si="20"/>
        <v>EP-finished SS 304/316L pipes and tubes for semiconductor &amp; pharma plants in Dallas-Fort Worth. ASME BPE SF1-SF4, Ra from 0.25 um, EN 10204 3.1 certificate with every lot.</v>
      </c>
      <c r="AK850" s="15" t="str">
        <f t="shared" si="21"/>
        <v>Electropolished stainless steel pipes supplied by Sakshi Forge to semiconductor &amp; pharma plants at Alliance Industrial, Dallas-Fort Worth</v>
      </c>
      <c r="AL850" s="15" t="str">
        <f t="shared" si="22"/>
        <v>Electropolished SS 316L tube stock for Dallas-Fort Worth - Sakshi Forge</v>
      </c>
      <c r="AM850" s="15" t="str">
        <f t="shared" si="23"/>
        <v>Home &gt; Market Area &gt; USA &gt; Texas &gt; Dallas-Fort Worth</v>
      </c>
      <c r="AN850" s="15">
        <f t="shared" si="24"/>
        <v>1000</v>
      </c>
      <c r="AO850" s="15">
        <f t="shared" si="25"/>
        <v>8</v>
      </c>
      <c r="AP850" s="15">
        <f t="shared" si="26"/>
        <v>8</v>
      </c>
      <c r="AQ850" s="15">
        <f t="shared" si="27"/>
        <v>15</v>
      </c>
      <c r="AR850" s="31"/>
      <c r="AS850" s="31"/>
      <c r="AT850" s="35" t="s">
        <v>222</v>
      </c>
      <c r="AU850" s="35"/>
    </row>
    <row r="851" ht="15.75" customHeight="1">
      <c r="A851" s="15" t="s">
        <v>9348</v>
      </c>
      <c r="B851" s="15" t="s">
        <v>221</v>
      </c>
      <c r="C851" s="15" t="s">
        <v>9349</v>
      </c>
      <c r="D851" s="15" t="s">
        <v>9350</v>
      </c>
      <c r="E851" s="15" t="s">
        <v>9350</v>
      </c>
      <c r="F851" s="65" t="s">
        <v>788</v>
      </c>
      <c r="G851" s="17" t="s">
        <v>88</v>
      </c>
      <c r="H851" s="18" t="s">
        <v>9351</v>
      </c>
      <c r="I851" s="18" t="s">
        <v>9352</v>
      </c>
      <c r="J851" s="18" t="s">
        <v>9353</v>
      </c>
      <c r="K851" s="18" t="s">
        <v>94</v>
      </c>
      <c r="L851" s="18" t="s">
        <v>9354</v>
      </c>
      <c r="M851" s="18" t="s">
        <v>530</v>
      </c>
      <c r="N851" s="18" t="s">
        <v>233</v>
      </c>
      <c r="O851" s="18" t="s">
        <v>98</v>
      </c>
      <c r="P851" s="15" t="str">
        <f t="shared" si="1"/>
        <v>FOOD</v>
      </c>
      <c r="Q851" s="15">
        <f t="shared" si="2"/>
        <v>8</v>
      </c>
      <c r="R851" s="15">
        <f t="shared" si="3"/>
        <v>1</v>
      </c>
      <c r="S851" s="15">
        <f t="shared" si="4"/>
        <v>3</v>
      </c>
      <c r="T851" s="15" t="str">
        <f t="shared" si="5"/>
        <v>B-2</v>
      </c>
      <c r="U851" s="15" t="str">
        <f t="shared" si="6"/>
        <v>T8-M1-H3-FB-2-FOOD</v>
      </c>
      <c r="V851" s="15">
        <f t="shared" si="7"/>
        <v>0</v>
      </c>
      <c r="W851" s="31"/>
      <c r="X851" s="15" t="str">
        <f t="shared" si="8"/>
        <v>des-moines-usa</v>
      </c>
      <c r="Y851" s="32" t="str">
        <f t="shared" si="9"/>
        <v>https://steelmanufacturer.in/market-area/electropolished-pipes-manufacturer-in-des-moines-usa/</v>
      </c>
      <c r="Z851" s="15" t="str">
        <f t="shared" si="10"/>
        <v>Electropolished Pipes Manufacturer in Des Moines</v>
      </c>
      <c r="AA851" s="15" t="str">
        <f t="shared" si="11"/>
        <v>OK (48)</v>
      </c>
      <c r="AB851" s="15" t="str">
        <f t="shared" si="12"/>
        <v>EP-finished SS 304/316L pipes &amp; tubes for food processing plants in Des Moines. ASTM A270, ASME BPE SF1-SF4, EN 10204 3.1 MTC. PMI tested.</v>
      </c>
      <c r="AC851" s="15" t="str">
        <f t="shared" si="13"/>
        <v>OK (138)</v>
      </c>
      <c r="AD851" s="15" t="str">
        <f t="shared" si="14"/>
        <v>Electropolished Pipes Manufacturer in Des Moines</v>
      </c>
      <c r="AE851" s="15" t="str">
        <f t="shared" si="15"/>
        <v>Electropolished Pipes Manufacturer in Des Moines - Our Process &amp; Capability</v>
      </c>
      <c r="AF851" s="15" t="str">
        <f t="shared" si="16"/>
        <v>Electropolished Pipes Supplier in Des Moines - What We Hold in Stock</v>
      </c>
      <c r="AG851" s="15" t="str">
        <f t="shared" si="17"/>
        <v>Bulk &amp; Wholesale Electropolished Pipe Rates for Des Moines Buyers</v>
      </c>
      <c r="AH851" s="15" t="str">
        <f t="shared" si="18"/>
        <v>electropolished pipes manufacturer in Des Moines, electropolished pipes supplier in Des Moines, electropolished pipes wholesaler in Des Moines, electropolished tube manufacturer Des Moines, EP pipe supplier Des Moines, sanitary tube supplier Des Moines, ASME BPE tubing Des Moines, ASTM A270 tube Des Moines, SS 316L electropolished pipe Des Moines</v>
      </c>
      <c r="AI851" s="15" t="str">
        <f t="shared" si="19"/>
        <v>Electropolished Pipes Manufacturer &amp; Supplier in Des Moines</v>
      </c>
      <c r="AJ851" s="15" t="str">
        <f t="shared" si="20"/>
        <v>EP-finished SS 304/316L pipes and tubes for food processing plants in Des Moines. ASME BPE SF1-SF4, Ra from 0.25 um, EN 10204 3.1 certificate with every lot.</v>
      </c>
      <c r="AK851" s="15" t="str">
        <f t="shared" si="21"/>
        <v>Electropolished stainless steel pipes supplied by Sakshi Forge to food processing plants at Des Moines Industrial, Des Moines</v>
      </c>
      <c r="AL851" s="15" t="str">
        <f t="shared" si="22"/>
        <v>Electropolished SS 316L tube stock for Des Moines - Sakshi Forge</v>
      </c>
      <c r="AM851" s="15" t="str">
        <f t="shared" si="23"/>
        <v>Home &gt; Market Area &gt; USA &gt; Iowa &gt; Des Moines</v>
      </c>
      <c r="AN851" s="15">
        <f t="shared" si="24"/>
        <v>1000</v>
      </c>
      <c r="AO851" s="15">
        <f t="shared" si="25"/>
        <v>8</v>
      </c>
      <c r="AP851" s="15">
        <f t="shared" si="26"/>
        <v>8</v>
      </c>
      <c r="AQ851" s="15">
        <f t="shared" si="27"/>
        <v>15</v>
      </c>
      <c r="AR851" s="31"/>
      <c r="AS851" s="31"/>
      <c r="AT851" s="35" t="s">
        <v>222</v>
      </c>
      <c r="AU851" s="35"/>
    </row>
    <row r="852" ht="15.75" customHeight="1">
      <c r="A852" s="15" t="s">
        <v>9355</v>
      </c>
      <c r="B852" s="15" t="s">
        <v>221</v>
      </c>
      <c r="C852" s="15" t="s">
        <v>9356</v>
      </c>
      <c r="D852" s="15" t="s">
        <v>9357</v>
      </c>
      <c r="E852" s="15" t="s">
        <v>9357</v>
      </c>
      <c r="F852" s="65" t="s">
        <v>788</v>
      </c>
      <c r="G852" s="17" t="s">
        <v>88</v>
      </c>
      <c r="H852" s="18" t="s">
        <v>9358</v>
      </c>
      <c r="I852" s="18" t="s">
        <v>9359</v>
      </c>
      <c r="J852" s="18" t="s">
        <v>9360</v>
      </c>
      <c r="K852" s="18" t="s">
        <v>94</v>
      </c>
      <c r="L852" s="18" t="s">
        <v>9361</v>
      </c>
      <c r="M852" s="18" t="s">
        <v>530</v>
      </c>
      <c r="N852" s="18" t="s">
        <v>233</v>
      </c>
      <c r="O852" s="18" t="s">
        <v>98</v>
      </c>
      <c r="P852" s="15" t="str">
        <f t="shared" si="1"/>
        <v>FOOD</v>
      </c>
      <c r="Q852" s="15">
        <f t="shared" si="2"/>
        <v>1</v>
      </c>
      <c r="R852" s="15">
        <f t="shared" si="3"/>
        <v>2</v>
      </c>
      <c r="S852" s="15">
        <f t="shared" si="4"/>
        <v>4</v>
      </c>
      <c r="T852" s="15" t="str">
        <f t="shared" si="5"/>
        <v>B-3</v>
      </c>
      <c r="U852" s="15" t="str">
        <f t="shared" si="6"/>
        <v>T1-M2-H4-FB-3-FOOD</v>
      </c>
      <c r="V852" s="15">
        <f t="shared" si="7"/>
        <v>0</v>
      </c>
      <c r="W852" s="31"/>
      <c r="X852" s="15" t="str">
        <f t="shared" si="8"/>
        <v>detroit-usa</v>
      </c>
      <c r="Y852" s="32" t="str">
        <f t="shared" si="9"/>
        <v>https://steelmanufacturer.in/market-area/electropolished-pipes-manufacturer-in-detroit-usa/</v>
      </c>
      <c r="Z852" s="15" t="str">
        <f t="shared" si="10"/>
        <v>Electropolished Pipes Manufacturer in Detroit | Sakshi Forge</v>
      </c>
      <c r="AA852" s="15" t="str">
        <f t="shared" si="11"/>
        <v>OK (60)</v>
      </c>
      <c r="AB852" s="15" t="str">
        <f t="shared" si="12"/>
        <v>Electropolished tube supply to Detroit Industrial Corridor, Detroit. Ra from 0.25 um, SF4 finish, mill test certificate with every lot.</v>
      </c>
      <c r="AC852" s="15" t="str">
        <f t="shared" si="13"/>
        <v>OK (135)</v>
      </c>
      <c r="AD852" s="15" t="str">
        <f t="shared" si="14"/>
        <v>Electropolished Pipes Manufacturer in Detroit</v>
      </c>
      <c r="AE852" s="15" t="str">
        <f t="shared" si="15"/>
        <v>Manufacturing Electropolished SS Tube for Detroit: The Standards We Build To</v>
      </c>
      <c r="AF852" s="15" t="str">
        <f t="shared" si="16"/>
        <v>Electropolished Pipe Supply Into Detroit - Certification &amp; Transit</v>
      </c>
      <c r="AG852" s="15" t="str">
        <f t="shared" si="17"/>
        <v>Electropolished Pipes Wholesaler in Detroit - Project Quantities &amp; Terms</v>
      </c>
      <c r="AH852" s="15" t="str">
        <f t="shared" si="18"/>
        <v>electropolished pipes manufacturer in Detroit, electropolished pipes supplier in Detroit, electropolished pipes wholesaler in Detroit, electropolished tube manufacturer Detroit, EP pipe supplier Detroit, sanitary tube supplier Detroit, ASME BPE tubing Detroit, ASTM A270 tube Detroit, SS 316L electropolished pipe Detroit</v>
      </c>
      <c r="AI852" s="15" t="str">
        <f t="shared" si="19"/>
        <v>Electropolished Pipes Manufacturer &amp; Supplier in Detroit</v>
      </c>
      <c r="AJ852" s="15" t="str">
        <f t="shared" si="20"/>
        <v>EP-finished SS 304/316L pipes and tubes for food processing plants in Detroit. ASME BPE SF1-SF4, Ra from 0.25 um, EN 10204 3.1 certificate with every lot.</v>
      </c>
      <c r="AK852" s="15" t="str">
        <f t="shared" si="21"/>
        <v>Electropolished stainless steel pipes supplied by Sakshi Forge to food processing plants at Detroit Industrial Corridor, Detroit</v>
      </c>
      <c r="AL852" s="15" t="str">
        <f t="shared" si="22"/>
        <v>Electropolished SS 316L tube stock for Detroit - Sakshi Forge</v>
      </c>
      <c r="AM852" s="15" t="str">
        <f t="shared" si="23"/>
        <v>Home &gt; Market Area &gt; USA &gt; Michigan &gt; Detroit</v>
      </c>
      <c r="AN852" s="15">
        <f t="shared" si="24"/>
        <v>1000</v>
      </c>
      <c r="AO852" s="15">
        <f t="shared" si="25"/>
        <v>8</v>
      </c>
      <c r="AP852" s="15">
        <f t="shared" si="26"/>
        <v>8</v>
      </c>
      <c r="AQ852" s="15">
        <f t="shared" si="27"/>
        <v>15</v>
      </c>
      <c r="AR852" s="31"/>
      <c r="AS852" s="31"/>
      <c r="AT852" s="35" t="s">
        <v>222</v>
      </c>
      <c r="AU852" s="35"/>
    </row>
    <row r="853" ht="15.75" customHeight="1">
      <c r="A853" s="15" t="s">
        <v>9362</v>
      </c>
      <c r="B853" s="15" t="s">
        <v>221</v>
      </c>
      <c r="C853" s="15" t="s">
        <v>9363</v>
      </c>
      <c r="D853" s="15" t="s">
        <v>9364</v>
      </c>
      <c r="E853" s="15" t="s">
        <v>9364</v>
      </c>
      <c r="F853" s="65" t="s">
        <v>788</v>
      </c>
      <c r="G853" s="17" t="s">
        <v>88</v>
      </c>
      <c r="H853" s="18" t="s">
        <v>9365</v>
      </c>
      <c r="I853" s="18" t="s">
        <v>9365</v>
      </c>
      <c r="J853" s="18" t="s">
        <v>6804</v>
      </c>
      <c r="K853" s="18" t="s">
        <v>229</v>
      </c>
      <c r="L853" s="18" t="s">
        <v>9325</v>
      </c>
      <c r="M853" s="18" t="s">
        <v>530</v>
      </c>
      <c r="N853" s="18" t="s">
        <v>233</v>
      </c>
      <c r="O853" s="18" t="s">
        <v>98</v>
      </c>
      <c r="P853" s="15" t="str">
        <f t="shared" si="1"/>
        <v>PHARMA</v>
      </c>
      <c r="Q853" s="15">
        <f t="shared" si="2"/>
        <v>2</v>
      </c>
      <c r="R853" s="15">
        <f t="shared" si="3"/>
        <v>3</v>
      </c>
      <c r="S853" s="15">
        <f t="shared" si="4"/>
        <v>5</v>
      </c>
      <c r="T853" s="15" t="str">
        <f t="shared" si="5"/>
        <v>B-4</v>
      </c>
      <c r="U853" s="15" t="str">
        <f t="shared" si="6"/>
        <v>T2-M3-H5-FB-4-PHARMA</v>
      </c>
      <c r="V853" s="15">
        <f t="shared" si="7"/>
        <v>0</v>
      </c>
      <c r="W853" s="31"/>
      <c r="X853" s="15" t="str">
        <f t="shared" si="8"/>
        <v>greenville-usa</v>
      </c>
      <c r="Y853" s="32" t="str">
        <f t="shared" si="9"/>
        <v>https://steelmanufacturer.in/market-area/electropolished-pipes-manufacturer-in-greenville-usa/</v>
      </c>
      <c r="Z853" s="15" t="str">
        <f t="shared" si="10"/>
        <v>Electropolished Pipes Manufacturer in Greenville</v>
      </c>
      <c r="AA853" s="15" t="str">
        <f t="shared" si="11"/>
        <v>OK (48)</v>
      </c>
      <c r="AB853" s="15" t="str">
        <f t="shared" si="12"/>
        <v>EP stainless tube for pharma lines in Greenville. 28-35 days sea from Nhava Sheva to US East Coast. ASTM A270 S2, PMI tested, EN 10204 3.1.</v>
      </c>
      <c r="AC853" s="15" t="str">
        <f t="shared" si="13"/>
        <v>OK (139)</v>
      </c>
      <c r="AD853" s="15" t="str">
        <f t="shared" si="14"/>
        <v>Electropolished Pipes Manufacturer in Greenville</v>
      </c>
      <c r="AE853" s="15" t="str">
        <f t="shared" si="15"/>
        <v>Electropolished Tube Manufacturing Capability Serving Greenville</v>
      </c>
      <c r="AF853" s="15" t="str">
        <f t="shared" si="16"/>
        <v>Electropolished Pipes Supplier in Greenville - From Order to Delivery</v>
      </c>
      <c r="AG853" s="15" t="str">
        <f t="shared" si="17"/>
        <v>Stockist &amp; Wholesale Supply of Electropolished Pipes in Greenville</v>
      </c>
      <c r="AH853" s="15" t="str">
        <f t="shared" si="18"/>
        <v>electropolished pipes manufacturer in Greenville, electropolished pipes supplier in Greenville, electropolished pipes wholesaler in Greenville, electropolished tube manufacturer Greenville, EP pipe supplier Greenville, sanitary tube supplier Greenville, ASME BPE tubing Greenville, ASTM A270 tube Greenville, SS 316L electropolished pipe Greenville</v>
      </c>
      <c r="AI853" s="15" t="str">
        <f t="shared" si="19"/>
        <v>Electropolished Pipes Manufacturer &amp; Supplier in Greenville</v>
      </c>
      <c r="AJ853" s="15" t="str">
        <f t="shared" si="20"/>
        <v>EP-finished SS 304/316L pipes and tubes for pharma plants in Greenville. ASME BPE SF1-SF4, Ra from 0.25 um, EN 10204 3.1 certificate with every lot.</v>
      </c>
      <c r="AK853" s="15" t="str">
        <f t="shared" si="21"/>
        <v>Electropolished stainless steel pipes supplied by Sakshi Forge to pharma plants at Greenville-Spartanburg Industrial, Greenville</v>
      </c>
      <c r="AL853" s="15" t="str">
        <f t="shared" si="22"/>
        <v>Electropolished SS 316L tube stock for Greenville - Sakshi Forge</v>
      </c>
      <c r="AM853" s="15" t="str">
        <f t="shared" si="23"/>
        <v>Home &gt; Market Area &gt; USA &gt; South Carolina &gt; Greenville</v>
      </c>
      <c r="AN853" s="15">
        <f t="shared" si="24"/>
        <v>1000</v>
      </c>
      <c r="AO853" s="15">
        <f t="shared" si="25"/>
        <v>8</v>
      </c>
      <c r="AP853" s="15">
        <f t="shared" si="26"/>
        <v>8</v>
      </c>
      <c r="AQ853" s="15">
        <f t="shared" si="27"/>
        <v>15</v>
      </c>
      <c r="AR853" s="31"/>
      <c r="AS853" s="31"/>
      <c r="AT853" s="35" t="s">
        <v>222</v>
      </c>
      <c r="AU853" s="35"/>
    </row>
    <row r="854" ht="15.75" customHeight="1">
      <c r="A854" s="15" t="s">
        <v>9366</v>
      </c>
      <c r="B854" s="15" t="s">
        <v>221</v>
      </c>
      <c r="C854" s="15" t="s">
        <v>9367</v>
      </c>
      <c r="D854" s="15" t="s">
        <v>9368</v>
      </c>
      <c r="E854" s="15" t="s">
        <v>9368</v>
      </c>
      <c r="F854" s="65" t="s">
        <v>788</v>
      </c>
      <c r="G854" s="17" t="s">
        <v>88</v>
      </c>
      <c r="H854" s="18" t="s">
        <v>9369</v>
      </c>
      <c r="I854" s="18" t="s">
        <v>9370</v>
      </c>
      <c r="J854" s="18" t="s">
        <v>9371</v>
      </c>
      <c r="K854" s="18" t="s">
        <v>94</v>
      </c>
      <c r="L854" s="18" t="s">
        <v>9372</v>
      </c>
      <c r="M854" s="18" t="s">
        <v>530</v>
      </c>
      <c r="N854" s="18" t="s">
        <v>233</v>
      </c>
      <c r="O854" s="18" t="s">
        <v>98</v>
      </c>
      <c r="P854" s="15" t="str">
        <f t="shared" si="1"/>
        <v>FOOD</v>
      </c>
      <c r="Q854" s="15">
        <f t="shared" si="2"/>
        <v>3</v>
      </c>
      <c r="R854" s="15">
        <f t="shared" si="3"/>
        <v>4</v>
      </c>
      <c r="S854" s="15">
        <f t="shared" si="4"/>
        <v>1</v>
      </c>
      <c r="T854" s="15" t="str">
        <f t="shared" si="5"/>
        <v>B-5</v>
      </c>
      <c r="U854" s="15" t="str">
        <f t="shared" si="6"/>
        <v>T3-M4-H1-FB-5-FOOD</v>
      </c>
      <c r="V854" s="15">
        <f t="shared" si="7"/>
        <v>0</v>
      </c>
      <c r="W854" s="31"/>
      <c r="X854" s="15" t="str">
        <f t="shared" si="8"/>
        <v>kansas-city-usa</v>
      </c>
      <c r="Y854" s="32" t="str">
        <f t="shared" si="9"/>
        <v>https://steelmanufacturer.in/market-area/electropolished-pipes-manufacturer-in-kansas-city-usa/</v>
      </c>
      <c r="Z854" s="15" t="str">
        <f t="shared" si="10"/>
        <v>Electropolished Pipes Manufacturer in Kansas City</v>
      </c>
      <c r="AA854" s="15" t="str">
        <f t="shared" si="11"/>
        <v>OK (49)</v>
      </c>
      <c r="AB854" s="15" t="str">
        <f t="shared" si="12"/>
        <v>Sanitary electropolished pipes in Kansas City for food processing plants. ASME BPE SF1-SF4, orbital-weld ready, 3.1 MTC. Mumbai-made.</v>
      </c>
      <c r="AC854" s="15" t="str">
        <f t="shared" si="13"/>
        <v>OK (133)</v>
      </c>
      <c r="AD854" s="15" t="str">
        <f t="shared" si="14"/>
        <v>Electropolished Pipes Manufacturer in Kansas City</v>
      </c>
      <c r="AE854" s="15" t="str">
        <f t="shared" si="15"/>
        <v>Electropolished Pipe &amp; Tube Manufacturing for Kansas City - Grades, Finishes &amp; Certification</v>
      </c>
      <c r="AF854" s="15" t="str">
        <f t="shared" si="16"/>
        <v>Electropolished Pipes Supplier in Kansas City - Stock Sizes, Lead Time &amp; Delivery</v>
      </c>
      <c r="AG854" s="15" t="str">
        <f t="shared" si="17"/>
        <v>Electropolished Pipes Wholesaler &amp; Stockist in Kansas City - Bulk &amp; Project Pricing</v>
      </c>
      <c r="AH854" s="15" t="str">
        <f t="shared" si="18"/>
        <v>electropolished pipes manufacturer in Kansas City, electropolished pipes supplier in Kansas City, electropolished pipes wholesaler in Kansas City, electropolished tube manufacturer Kansas City, EP pipe supplier Kansas City, sanitary tube supplier Kansas City, ASME BPE tubing Kansas City, ASTM A270 tube Kansas City, SS 316L electropolished pipe Kansas City</v>
      </c>
      <c r="AI854" s="15" t="str">
        <f t="shared" si="19"/>
        <v>Electropolished Pipes Manufacturer &amp; Supplier in Kansas City</v>
      </c>
      <c r="AJ854" s="15" t="str">
        <f t="shared" si="20"/>
        <v>EP-finished SS 304/316L pipes and tubes for food processing plants in Kansas City. ASME BPE SF1-SF4, Ra from 0.25 um, EN 10204 3.1 certificate with every lot.</v>
      </c>
      <c r="AK854" s="15" t="str">
        <f t="shared" si="21"/>
        <v>Electropolished stainless steel pipes supplied by Sakshi Forge to food processing plants at Executive Park, Kansas City</v>
      </c>
      <c r="AL854" s="15" t="str">
        <f t="shared" si="22"/>
        <v>Electropolished SS 316L tube stock for Kansas City - Sakshi Forge</v>
      </c>
      <c r="AM854" s="15" t="str">
        <f t="shared" si="23"/>
        <v>Home &gt; Market Area &gt; USA &gt; Missouri &gt; Kansas City</v>
      </c>
      <c r="AN854" s="15">
        <f t="shared" si="24"/>
        <v>1000</v>
      </c>
      <c r="AO854" s="15">
        <f t="shared" si="25"/>
        <v>8</v>
      </c>
      <c r="AP854" s="15">
        <f t="shared" si="26"/>
        <v>8</v>
      </c>
      <c r="AQ854" s="15">
        <f t="shared" si="27"/>
        <v>15</v>
      </c>
      <c r="AR854" s="31"/>
      <c r="AS854" s="31"/>
      <c r="AT854" s="35" t="s">
        <v>222</v>
      </c>
      <c r="AU854" s="35"/>
    </row>
    <row r="855" ht="15.75" customHeight="1">
      <c r="A855" s="15" t="s">
        <v>9373</v>
      </c>
      <c r="B855" s="15" t="s">
        <v>221</v>
      </c>
      <c r="C855" s="15" t="s">
        <v>9374</v>
      </c>
      <c r="D855" s="15" t="s">
        <v>9375</v>
      </c>
      <c r="E855" s="15" t="s">
        <v>9375</v>
      </c>
      <c r="F855" s="65" t="s">
        <v>788</v>
      </c>
      <c r="G855" s="17" t="s">
        <v>88</v>
      </c>
      <c r="H855" s="18" t="s">
        <v>9376</v>
      </c>
      <c r="I855" s="18" t="s">
        <v>9377</v>
      </c>
      <c r="J855" s="18" t="s">
        <v>9378</v>
      </c>
      <c r="K855" s="18" t="s">
        <v>5794</v>
      </c>
      <c r="L855" s="18" t="s">
        <v>8272</v>
      </c>
      <c r="M855" s="18" t="s">
        <v>530</v>
      </c>
      <c r="N855" s="18" t="s">
        <v>233</v>
      </c>
      <c r="O855" s="18" t="s">
        <v>98</v>
      </c>
      <c r="P855" s="15" t="str">
        <f t="shared" si="1"/>
        <v>BREWERY</v>
      </c>
      <c r="Q855" s="15">
        <f t="shared" si="2"/>
        <v>4</v>
      </c>
      <c r="R855" s="15">
        <f t="shared" si="3"/>
        <v>5</v>
      </c>
      <c r="S855" s="15">
        <f t="shared" si="4"/>
        <v>2</v>
      </c>
      <c r="T855" s="15" t="str">
        <f t="shared" si="5"/>
        <v>B-6</v>
      </c>
      <c r="U855" s="15" t="str">
        <f t="shared" si="6"/>
        <v>T4-M5-H2-FB-6-BREWERY</v>
      </c>
      <c r="V855" s="15">
        <f t="shared" si="7"/>
        <v>0</v>
      </c>
      <c r="W855" s="31"/>
      <c r="X855" s="15" t="str">
        <f t="shared" si="8"/>
        <v>las-vegas-usa</v>
      </c>
      <c r="Y855" s="32" t="str">
        <f t="shared" si="9"/>
        <v>https://steelmanufacturer.in/market-area/electropolished-pipes-manufacturer-in-las-vegas-usa/</v>
      </c>
      <c r="Z855" s="15" t="str">
        <f t="shared" si="10"/>
        <v>Electropolished Pipes Manufacturer in Las Vegas</v>
      </c>
      <c r="AA855" s="15" t="str">
        <f t="shared" si="11"/>
        <v>OK (47)</v>
      </c>
      <c r="AB855" s="15" t="str">
        <f t="shared" si="12"/>
        <v>Manufacturer of electropolished SS 316L tube serving Las Vegas. 28-35 days sea from Nhava Sheva to US East Coast. Ra 0.25-0.5 um, EN 10204 3.1 MTC.</v>
      </c>
      <c r="AC855" s="15" t="str">
        <f t="shared" si="13"/>
        <v>OK (147)</v>
      </c>
      <c r="AD855" s="15" t="str">
        <f t="shared" si="14"/>
        <v>Electropolished Pipes Manufacturer in Las Vegas</v>
      </c>
      <c r="AE855" s="15" t="str">
        <f t="shared" si="15"/>
        <v>How We Manufacture Electropolished Tube for Las Vegas Plants</v>
      </c>
      <c r="AF855" s="15" t="str">
        <f t="shared" si="16"/>
        <v>Supplying Electropolished Pipes in Las Vegas: Availability, Sizes &amp; Dispatch</v>
      </c>
      <c r="AG855" s="15" t="str">
        <f t="shared" si="17"/>
        <v>Wholesale Electropolished Pipe Supply for Las Vegas Projects</v>
      </c>
      <c r="AH855" s="15" t="str">
        <f t="shared" si="18"/>
        <v>electropolished pipes manufacturer in Las Vegas, electropolished pipes supplier in Las Vegas, electropolished pipes wholesaler in Las Vegas, electropolished tube manufacturer Las Vegas, EP pipe supplier Las Vegas, sanitary tube supplier Las Vegas, ASME BPE tubing Las Vegas, ASTM A270 tube Las Vegas, SS 316L electropolished pipe Las Vegas</v>
      </c>
      <c r="AI855" s="15" t="str">
        <f t="shared" si="19"/>
        <v>Electropolished Pipes Manufacturer &amp; Supplier in Las Vegas</v>
      </c>
      <c r="AJ855" s="15" t="str">
        <f t="shared" si="20"/>
        <v>EP-finished SS 304/316L pipes and tubes for brewery &amp; food plants in Las Vegas. ASME BPE SF1-SF4, Ra from 0.25 um, EN 10204 3.1 certificate with every lot.</v>
      </c>
      <c r="AK855" s="15" t="str">
        <f t="shared" si="21"/>
        <v>Electropolished stainless steel pipes supplied by Sakshi Forge to brewery &amp; food plants at North Las Vegas Industrial, Las Vegas</v>
      </c>
      <c r="AL855" s="15" t="str">
        <f t="shared" si="22"/>
        <v>Electropolished SS 316L tube stock for Las Vegas - Sakshi Forge</v>
      </c>
      <c r="AM855" s="15" t="str">
        <f t="shared" si="23"/>
        <v>Home &gt; Market Area &gt; USA &gt; Nevada &gt; Las Vegas</v>
      </c>
      <c r="AN855" s="15">
        <f t="shared" si="24"/>
        <v>1000</v>
      </c>
      <c r="AO855" s="15">
        <f t="shared" si="25"/>
        <v>8</v>
      </c>
      <c r="AP855" s="15">
        <f t="shared" si="26"/>
        <v>8</v>
      </c>
      <c r="AQ855" s="15">
        <f t="shared" si="27"/>
        <v>15</v>
      </c>
      <c r="AR855" s="31"/>
      <c r="AS855" s="31"/>
      <c r="AT855" s="35" t="s">
        <v>222</v>
      </c>
      <c r="AU855" s="35"/>
    </row>
    <row r="856" ht="15.75" customHeight="1">
      <c r="A856" s="15" t="s">
        <v>9379</v>
      </c>
      <c r="B856" s="15" t="s">
        <v>221</v>
      </c>
      <c r="C856" s="15" t="s">
        <v>9380</v>
      </c>
      <c r="D856" s="15" t="s">
        <v>9381</v>
      </c>
      <c r="E856" s="15" t="s">
        <v>9381</v>
      </c>
      <c r="F856" s="65" t="s">
        <v>788</v>
      </c>
      <c r="G856" s="17" t="s">
        <v>88</v>
      </c>
      <c r="H856" s="18" t="s">
        <v>9382</v>
      </c>
      <c r="I856" s="18" t="s">
        <v>9383</v>
      </c>
      <c r="J856" s="18" t="s">
        <v>9384</v>
      </c>
      <c r="K856" s="18" t="s">
        <v>5794</v>
      </c>
      <c r="L856" s="18" t="s">
        <v>9385</v>
      </c>
      <c r="M856" s="18" t="s">
        <v>530</v>
      </c>
      <c r="N856" s="18" t="s">
        <v>233</v>
      </c>
      <c r="O856" s="18" t="s">
        <v>98</v>
      </c>
      <c r="P856" s="15" t="str">
        <f t="shared" si="1"/>
        <v>BREWERY</v>
      </c>
      <c r="Q856" s="15">
        <f t="shared" si="2"/>
        <v>5</v>
      </c>
      <c r="R856" s="15">
        <f t="shared" si="3"/>
        <v>6</v>
      </c>
      <c r="S856" s="15">
        <f t="shared" si="4"/>
        <v>3</v>
      </c>
      <c r="T856" s="15" t="str">
        <f t="shared" si="5"/>
        <v>B-1</v>
      </c>
      <c r="U856" s="15" t="str">
        <f t="shared" si="6"/>
        <v>T5-M6-H3-FB-1-BREWERY</v>
      </c>
      <c r="V856" s="15">
        <f t="shared" si="7"/>
        <v>0</v>
      </c>
      <c r="W856" s="31"/>
      <c r="X856" s="15" t="str">
        <f t="shared" si="8"/>
        <v>louisville-usa</v>
      </c>
      <c r="Y856" s="32" t="str">
        <f t="shared" si="9"/>
        <v>https://steelmanufacturer.in/market-area/electropolished-pipes-manufacturer-in-louisville-usa/</v>
      </c>
      <c r="Z856" s="15" t="str">
        <f t="shared" si="10"/>
        <v>Electropolished Pipes Manufacturer in Louisville</v>
      </c>
      <c r="AA856" s="15" t="str">
        <f t="shared" si="11"/>
        <v>OK (48)</v>
      </c>
      <c r="AB856" s="15" t="str">
        <f t="shared" si="12"/>
        <v>EP tube and pipe for brewery &amp; food plants around Riverport Industrial, Louisville. Made at our Mumbai works to ASTM A270 and ASME BPE SF1-SF4, with 3.1 MTC.</v>
      </c>
      <c r="AC856" s="15" t="str">
        <f t="shared" si="13"/>
        <v>OK (157)</v>
      </c>
      <c r="AD856" s="15" t="str">
        <f t="shared" si="14"/>
        <v>Electropolished Pipes Manufacturer in Louisville</v>
      </c>
      <c r="AE856" s="15" t="str">
        <f t="shared" si="15"/>
        <v>Electropolished Pipes Manufacturer in Louisville - Our Process &amp; Capability</v>
      </c>
      <c r="AF856" s="15" t="str">
        <f t="shared" si="16"/>
        <v>Electropolished Pipes Supplier in Louisville - What We Hold in Stock</v>
      </c>
      <c r="AG856" s="15" t="str">
        <f t="shared" si="17"/>
        <v>Bulk &amp; Wholesale Electropolished Pipe Rates for Louisville Buyers</v>
      </c>
      <c r="AH856" s="15" t="str">
        <f t="shared" si="18"/>
        <v>electropolished pipes manufacturer in Louisville, electropolished pipes supplier in Louisville, electropolished pipes wholesaler in Louisville, electropolished tube manufacturer Louisville, EP pipe supplier Louisville, sanitary tube supplier Louisville, ASME BPE tubing Louisville, ASTM A270 tube Louisville, SS 316L electropolished pipe Louisville</v>
      </c>
      <c r="AI856" s="15" t="str">
        <f t="shared" si="19"/>
        <v>Electropolished Pipes Manufacturer &amp; Supplier in Louisville</v>
      </c>
      <c r="AJ856" s="15" t="str">
        <f t="shared" si="20"/>
        <v>EP-finished SS 304/316L pipes and tubes for brewery &amp; food plants in Louisville. ASME BPE SF1-SF4, Ra from 0.25 um, EN 10204 3.1 certificate with every lot.</v>
      </c>
      <c r="AK856" s="15" t="str">
        <f t="shared" si="21"/>
        <v>Electropolished stainless steel pipes supplied by Sakshi Forge to brewery &amp; food plants at Riverport Industrial, Louisville</v>
      </c>
      <c r="AL856" s="15" t="str">
        <f t="shared" si="22"/>
        <v>Electropolished SS 316L tube stock for Louisville - Sakshi Forge</v>
      </c>
      <c r="AM856" s="15" t="str">
        <f t="shared" si="23"/>
        <v>Home &gt; Market Area &gt; USA &gt; Kentucky &gt; Louisville</v>
      </c>
      <c r="AN856" s="15">
        <f t="shared" si="24"/>
        <v>1000</v>
      </c>
      <c r="AO856" s="15">
        <f t="shared" si="25"/>
        <v>8</v>
      </c>
      <c r="AP856" s="15">
        <f t="shared" si="26"/>
        <v>8</v>
      </c>
      <c r="AQ856" s="15">
        <f t="shared" si="27"/>
        <v>15</v>
      </c>
      <c r="AR856" s="31"/>
      <c r="AS856" s="31"/>
      <c r="AT856" s="35" t="s">
        <v>222</v>
      </c>
      <c r="AU856" s="35"/>
    </row>
    <row r="857" ht="15.75" customHeight="1">
      <c r="A857" s="15" t="s">
        <v>9386</v>
      </c>
      <c r="B857" s="15" t="s">
        <v>221</v>
      </c>
      <c r="C857" s="15" t="s">
        <v>9387</v>
      </c>
      <c r="D857" s="15" t="s">
        <v>9388</v>
      </c>
      <c r="E857" s="15" t="s">
        <v>9388</v>
      </c>
      <c r="F857" s="65" t="s">
        <v>788</v>
      </c>
      <c r="G857" s="17" t="s">
        <v>88</v>
      </c>
      <c r="H857" s="18" t="s">
        <v>9389</v>
      </c>
      <c r="I857" s="18" t="s">
        <v>9390</v>
      </c>
      <c r="J857" s="18" t="s">
        <v>9391</v>
      </c>
      <c r="K857" s="18" t="s">
        <v>94</v>
      </c>
      <c r="L857" s="18" t="s">
        <v>9392</v>
      </c>
      <c r="M857" s="18" t="s">
        <v>530</v>
      </c>
      <c r="N857" s="18" t="s">
        <v>233</v>
      </c>
      <c r="O857" s="18" t="s">
        <v>98</v>
      </c>
      <c r="P857" s="15" t="str">
        <f t="shared" si="1"/>
        <v>FOOD</v>
      </c>
      <c r="Q857" s="15">
        <f t="shared" si="2"/>
        <v>6</v>
      </c>
      <c r="R857" s="15">
        <f t="shared" si="3"/>
        <v>7</v>
      </c>
      <c r="S857" s="15">
        <f t="shared" si="4"/>
        <v>4</v>
      </c>
      <c r="T857" s="15" t="str">
        <f t="shared" si="5"/>
        <v>B-2</v>
      </c>
      <c r="U857" s="15" t="str">
        <f t="shared" si="6"/>
        <v>T6-M7-H4-FB-2-FOOD</v>
      </c>
      <c r="V857" s="15">
        <f t="shared" si="7"/>
        <v>0</v>
      </c>
      <c r="W857" s="31"/>
      <c r="X857" s="15" t="str">
        <f t="shared" si="8"/>
        <v>memphis-usa</v>
      </c>
      <c r="Y857" s="32" t="str">
        <f t="shared" si="9"/>
        <v>https://steelmanufacturer.in/market-area/electropolished-pipes-manufacturer-in-memphis-usa/</v>
      </c>
      <c r="Z857" s="15" t="str">
        <f t="shared" si="10"/>
        <v>Electropolished Pipes Manufacturer in Memphis</v>
      </c>
      <c r="AA857" s="15" t="str">
        <f t="shared" si="11"/>
        <v>OK (45)</v>
      </c>
      <c r="AB857" s="15" t="str">
        <f t="shared" si="12"/>
        <v>Electropolished pipes in Memphis: 304, 304L, 316 and 316L in SF1-SF4. 28-35 days sea from Nhava Sheva to US East Coast. Mill certified.</v>
      </c>
      <c r="AC857" s="15" t="str">
        <f t="shared" si="13"/>
        <v>OK (135)</v>
      </c>
      <c r="AD857" s="15" t="str">
        <f t="shared" si="14"/>
        <v>Electropolished Pipes Manufacturer in Memphis</v>
      </c>
      <c r="AE857" s="15" t="str">
        <f t="shared" si="15"/>
        <v>Manufacturing Electropolished SS Tube for Memphis: The Standards We Build To</v>
      </c>
      <c r="AF857" s="15" t="str">
        <f t="shared" si="16"/>
        <v>Electropolished Pipe Supply Into Memphis - Certification &amp; Transit</v>
      </c>
      <c r="AG857" s="15" t="str">
        <f t="shared" si="17"/>
        <v>Electropolished Pipes Wholesaler in Memphis - Project Quantities &amp; Terms</v>
      </c>
      <c r="AH857" s="15" t="str">
        <f t="shared" si="18"/>
        <v>electropolished pipes manufacturer in Memphis, electropolished pipes supplier in Memphis, electropolished pipes wholesaler in Memphis, electropolished tube manufacturer Memphis, EP pipe supplier Memphis, sanitary tube supplier Memphis, ASME BPE tubing Memphis, ASTM A270 tube Memphis, SS 316L electropolished pipe Memphis</v>
      </c>
      <c r="AI857" s="15" t="str">
        <f t="shared" si="19"/>
        <v>Electropolished Pipes Manufacturer &amp; Supplier in Memphis</v>
      </c>
      <c r="AJ857" s="15" t="str">
        <f t="shared" si="20"/>
        <v>EP-finished SS 304/316L pipes and tubes for food processing plants in Memphis. ASME BPE SF1-SF4, Ra from 0.25 um, EN 10204 3.1 certificate with every lot.</v>
      </c>
      <c r="AK857" s="15" t="str">
        <f t="shared" si="21"/>
        <v>Electropolished stainless steel pipes supplied by Sakshi Forge to food processing plants at Memphis Distribution Corridor, Memphis</v>
      </c>
      <c r="AL857" s="15" t="str">
        <f t="shared" si="22"/>
        <v>Electropolished SS 316L tube stock for Memphis - Sakshi Forge</v>
      </c>
      <c r="AM857" s="15" t="str">
        <f t="shared" si="23"/>
        <v>Home &gt; Market Area &gt; USA &gt; Tennessee &gt; Memphis</v>
      </c>
      <c r="AN857" s="15">
        <f t="shared" si="24"/>
        <v>1000</v>
      </c>
      <c r="AO857" s="15">
        <f t="shared" si="25"/>
        <v>8</v>
      </c>
      <c r="AP857" s="15">
        <f t="shared" si="26"/>
        <v>8</v>
      </c>
      <c r="AQ857" s="15">
        <f t="shared" si="27"/>
        <v>15</v>
      </c>
      <c r="AR857" s="31"/>
      <c r="AS857" s="31"/>
      <c r="AT857" s="35" t="s">
        <v>222</v>
      </c>
      <c r="AU857" s="35"/>
    </row>
    <row r="858" ht="15.75" customHeight="1">
      <c r="A858" s="15" t="s">
        <v>9393</v>
      </c>
      <c r="B858" s="15" t="s">
        <v>221</v>
      </c>
      <c r="C858" s="15" t="s">
        <v>9394</v>
      </c>
      <c r="D858" s="15" t="s">
        <v>9395</v>
      </c>
      <c r="E858" s="15" t="s">
        <v>9395</v>
      </c>
      <c r="F858" s="65" t="s">
        <v>788</v>
      </c>
      <c r="G858" s="17" t="s">
        <v>88</v>
      </c>
      <c r="H858" s="18" t="s">
        <v>9396</v>
      </c>
      <c r="I858" s="18" t="s">
        <v>9397</v>
      </c>
      <c r="J858" s="18" t="s">
        <v>9398</v>
      </c>
      <c r="K858" s="18" t="s">
        <v>229</v>
      </c>
      <c r="L858" s="18" t="s">
        <v>9399</v>
      </c>
      <c r="M858" s="18" t="s">
        <v>530</v>
      </c>
      <c r="N858" s="18" t="s">
        <v>233</v>
      </c>
      <c r="O858" s="18" t="s">
        <v>98</v>
      </c>
      <c r="P858" s="15" t="str">
        <f t="shared" si="1"/>
        <v>PHARMA</v>
      </c>
      <c r="Q858" s="15">
        <f t="shared" si="2"/>
        <v>7</v>
      </c>
      <c r="R858" s="15">
        <f t="shared" si="3"/>
        <v>1</v>
      </c>
      <c r="S858" s="15">
        <f t="shared" si="4"/>
        <v>5</v>
      </c>
      <c r="T858" s="15" t="str">
        <f t="shared" si="5"/>
        <v>B-3</v>
      </c>
      <c r="U858" s="15" t="str">
        <f t="shared" si="6"/>
        <v>T7-M1-H5-FB-3-PHARMA</v>
      </c>
      <c r="V858" s="15">
        <f t="shared" si="7"/>
        <v>0</v>
      </c>
      <c r="W858" s="31"/>
      <c r="X858" s="15" t="str">
        <f t="shared" si="8"/>
        <v>miami-usa</v>
      </c>
      <c r="Y858" s="32" t="str">
        <f t="shared" si="9"/>
        <v>https://steelmanufacturer.in/market-area/electropolished-pipes-manufacturer-in-miami-usa/</v>
      </c>
      <c r="Z858" s="15" t="str">
        <f t="shared" si="10"/>
        <v>Electropolished Pipes Manufacturer in Miami | ASME BPE SF1-SF4</v>
      </c>
      <c r="AA858" s="15" t="str">
        <f t="shared" si="11"/>
        <v>OK (62)</v>
      </c>
      <c r="AB858" s="15" t="str">
        <f t="shared" si="12"/>
        <v>EP-finished SS 304/316L pipes &amp; tubes for pharma plants in Miami. ASTM A270, ASME BPE SF1-SF4, EN 10204 3.1 MTC. PMI tested.</v>
      </c>
      <c r="AC858" s="15" t="str">
        <f t="shared" si="13"/>
        <v>OK (124)</v>
      </c>
      <c r="AD858" s="15" t="str">
        <f t="shared" si="14"/>
        <v>Electropolished Pipes Manufacturer in Miami</v>
      </c>
      <c r="AE858" s="15" t="str">
        <f t="shared" si="15"/>
        <v>Electropolished Tube Manufacturing Capability Serving Miami</v>
      </c>
      <c r="AF858" s="15" t="str">
        <f t="shared" si="16"/>
        <v>Electropolished Pipes Supplier in Miami - From Order to Delivery</v>
      </c>
      <c r="AG858" s="15" t="str">
        <f t="shared" si="17"/>
        <v>Stockist &amp; Wholesale Supply of Electropolished Pipes in Miami</v>
      </c>
      <c r="AH858" s="15" t="str">
        <f t="shared" si="18"/>
        <v>electropolished pipes manufacturer in Miami, electropolished pipes supplier in Miami, electropolished pipes wholesaler in Miami, electropolished tube manufacturer Miami, EP pipe supplier Miami, sanitary tube supplier Miami, ASME BPE tubing Miami, ASTM A270 tube Miami, SS 316L electropolished pipe Miami</v>
      </c>
      <c r="AI858" s="15" t="str">
        <f t="shared" si="19"/>
        <v>Electropolished Pipes Manufacturer &amp; Supplier in Miami</v>
      </c>
      <c r="AJ858" s="15" t="str">
        <f t="shared" si="20"/>
        <v>EP-finished SS 304/316L pipes and tubes for pharma plants in Miami. ASME BPE SF1-SF4, Ra from 0.25 um, EN 10204 3.1 certificate with every lot.</v>
      </c>
      <c r="AK858" s="15" t="str">
        <f t="shared" si="21"/>
        <v>Electropolished stainless steel pipes supplied by Sakshi Forge to pharma plants at Medley Industrial, Miami</v>
      </c>
      <c r="AL858" s="15" t="str">
        <f t="shared" si="22"/>
        <v>Electropolished SS 316L tube stock for Miami - Sakshi Forge</v>
      </c>
      <c r="AM858" s="15" t="str">
        <f t="shared" si="23"/>
        <v>Home &gt; Market Area &gt; USA &gt; Florida &gt; Miami</v>
      </c>
      <c r="AN858" s="15">
        <f t="shared" si="24"/>
        <v>1000</v>
      </c>
      <c r="AO858" s="15">
        <f t="shared" si="25"/>
        <v>8</v>
      </c>
      <c r="AP858" s="15">
        <f t="shared" si="26"/>
        <v>8</v>
      </c>
      <c r="AQ858" s="15">
        <f t="shared" si="27"/>
        <v>15</v>
      </c>
      <c r="AR858" s="31"/>
      <c r="AS858" s="31"/>
      <c r="AT858" s="35" t="s">
        <v>222</v>
      </c>
      <c r="AU858" s="35"/>
    </row>
    <row r="859" ht="15.75" customHeight="1">
      <c r="A859" s="15" t="s">
        <v>9400</v>
      </c>
      <c r="B859" s="15" t="s">
        <v>221</v>
      </c>
      <c r="C859" s="15" t="s">
        <v>9401</v>
      </c>
      <c r="D859" s="15" t="s">
        <v>9402</v>
      </c>
      <c r="E859" s="15" t="s">
        <v>9402</v>
      </c>
      <c r="F859" s="65" t="s">
        <v>788</v>
      </c>
      <c r="G859" s="17" t="s">
        <v>88</v>
      </c>
      <c r="H859" s="18" t="s">
        <v>9403</v>
      </c>
      <c r="I859" s="18" t="s">
        <v>9404</v>
      </c>
      <c r="J859" s="18" t="s">
        <v>9405</v>
      </c>
      <c r="K859" s="18" t="s">
        <v>579</v>
      </c>
      <c r="L859" s="18" t="s">
        <v>9406</v>
      </c>
      <c r="M859" s="18" t="s">
        <v>530</v>
      </c>
      <c r="N859" s="18" t="s">
        <v>233</v>
      </c>
      <c r="O859" s="18" t="s">
        <v>98</v>
      </c>
      <c r="P859" s="15" t="str">
        <f t="shared" si="1"/>
        <v>DAIRY</v>
      </c>
      <c r="Q859" s="15">
        <f t="shared" si="2"/>
        <v>8</v>
      </c>
      <c r="R859" s="15">
        <f t="shared" si="3"/>
        <v>2</v>
      </c>
      <c r="S859" s="15">
        <f t="shared" si="4"/>
        <v>1</v>
      </c>
      <c r="T859" s="15" t="str">
        <f t="shared" si="5"/>
        <v>B-4</v>
      </c>
      <c r="U859" s="15" t="str">
        <f t="shared" si="6"/>
        <v>T8-M2-H1-FB-4-DAIRY</v>
      </c>
      <c r="V859" s="15">
        <f t="shared" si="7"/>
        <v>0</v>
      </c>
      <c r="W859" s="31"/>
      <c r="X859" s="15" t="str">
        <f t="shared" si="8"/>
        <v>milwaukee-usa</v>
      </c>
      <c r="Y859" s="32" t="str">
        <f t="shared" si="9"/>
        <v>https://steelmanufacturer.in/market-area/electropolished-pipes-manufacturer-in-milwaukee-usa/</v>
      </c>
      <c r="Z859" s="15" t="str">
        <f t="shared" si="10"/>
        <v>Electropolished Pipes Manufacturer in Milwaukee</v>
      </c>
      <c r="AA859" s="15" t="str">
        <f t="shared" si="11"/>
        <v>OK (47)</v>
      </c>
      <c r="AB859" s="15" t="str">
        <f t="shared" si="12"/>
        <v>Electropolished tube supply to Menomonee Valley, Milwaukee. Ra from 0.25 um, SF4 finish, mill test certificate with every lot.</v>
      </c>
      <c r="AC859" s="15" t="str">
        <f t="shared" si="13"/>
        <v>OK (126)</v>
      </c>
      <c r="AD859" s="15" t="str">
        <f t="shared" si="14"/>
        <v>Electropolished Pipes Manufacturer in Milwaukee</v>
      </c>
      <c r="AE859" s="15" t="str">
        <f t="shared" si="15"/>
        <v>Electropolished Pipe &amp; Tube Manufacturing for Milwaukee - Grades, Finishes &amp; Certification</v>
      </c>
      <c r="AF859" s="15" t="str">
        <f t="shared" si="16"/>
        <v>Electropolished Pipes Supplier in Milwaukee - Stock Sizes, Lead Time &amp; Delivery</v>
      </c>
      <c r="AG859" s="15" t="str">
        <f t="shared" si="17"/>
        <v>Electropolished Pipes Wholesaler &amp; Stockist in Milwaukee - Bulk &amp; Project Pricing</v>
      </c>
      <c r="AH859" s="15" t="str">
        <f t="shared" si="18"/>
        <v>electropolished pipes manufacturer in Milwaukee, electropolished pipes supplier in Milwaukee, electropolished pipes wholesaler in Milwaukee, electropolished tube manufacturer Milwaukee, EP pipe supplier Milwaukee, sanitary tube supplier Milwaukee, ASME BPE tubing Milwaukee, ASTM A270 tube Milwaukee, SS 316L electropolished pipe Milwaukee</v>
      </c>
      <c r="AI859" s="15" t="str">
        <f t="shared" si="19"/>
        <v>Electropolished Pipes Manufacturer &amp; Supplier in Milwaukee</v>
      </c>
      <c r="AJ859" s="15" t="str">
        <f t="shared" si="20"/>
        <v>EP-finished SS 304/316L pipes and tubes for food &amp; dairy plants in Milwaukee. ASME BPE SF1-SF4, Ra from 0.25 um, EN 10204 3.1 certificate with every lot.</v>
      </c>
      <c r="AK859" s="15" t="str">
        <f t="shared" si="21"/>
        <v>Electropolished stainless steel pipes supplied by Sakshi Forge to food &amp; dairy plants at Menomonee Valley, Milwaukee</v>
      </c>
      <c r="AL859" s="15" t="str">
        <f t="shared" si="22"/>
        <v>Electropolished SS 316L tube stock for Milwaukee - Sakshi Forge</v>
      </c>
      <c r="AM859" s="15" t="str">
        <f t="shared" si="23"/>
        <v>Home &gt; Market Area &gt; USA &gt; Wisconsin &gt; Milwaukee</v>
      </c>
      <c r="AN859" s="15">
        <f t="shared" si="24"/>
        <v>1000</v>
      </c>
      <c r="AO859" s="15">
        <f t="shared" si="25"/>
        <v>8</v>
      </c>
      <c r="AP859" s="15">
        <f t="shared" si="26"/>
        <v>8</v>
      </c>
      <c r="AQ859" s="15">
        <f t="shared" si="27"/>
        <v>15</v>
      </c>
      <c r="AR859" s="31"/>
      <c r="AS859" s="31"/>
      <c r="AT859" s="35" t="s">
        <v>222</v>
      </c>
      <c r="AU859" s="35"/>
    </row>
    <row r="860" ht="15.75" customHeight="1">
      <c r="A860" s="15" t="s">
        <v>9407</v>
      </c>
      <c r="B860" s="15" t="s">
        <v>221</v>
      </c>
      <c r="C860" s="15" t="s">
        <v>9387</v>
      </c>
      <c r="D860" s="15" t="s">
        <v>9408</v>
      </c>
      <c r="E860" s="15" t="s">
        <v>9408</v>
      </c>
      <c r="F860" s="65" t="s">
        <v>788</v>
      </c>
      <c r="G860" s="17" t="s">
        <v>88</v>
      </c>
      <c r="H860" s="18" t="s">
        <v>9409</v>
      </c>
      <c r="I860" s="18" t="s">
        <v>9410</v>
      </c>
      <c r="J860" s="18" t="s">
        <v>9411</v>
      </c>
      <c r="K860" s="18" t="s">
        <v>5794</v>
      </c>
      <c r="L860" s="18" t="s">
        <v>9392</v>
      </c>
      <c r="M860" s="18" t="s">
        <v>530</v>
      </c>
      <c r="N860" s="18" t="s">
        <v>233</v>
      </c>
      <c r="O860" s="18" t="s">
        <v>98</v>
      </c>
      <c r="P860" s="15" t="str">
        <f t="shared" si="1"/>
        <v>BREWERY</v>
      </c>
      <c r="Q860" s="15">
        <f t="shared" si="2"/>
        <v>1</v>
      </c>
      <c r="R860" s="15">
        <f t="shared" si="3"/>
        <v>3</v>
      </c>
      <c r="S860" s="15">
        <f t="shared" si="4"/>
        <v>2</v>
      </c>
      <c r="T860" s="15" t="str">
        <f t="shared" si="5"/>
        <v>B-5</v>
      </c>
      <c r="U860" s="15" t="str">
        <f t="shared" si="6"/>
        <v>T1-M3-H2-FB-5-BREWERY</v>
      </c>
      <c r="V860" s="15">
        <f t="shared" si="7"/>
        <v>0</v>
      </c>
      <c r="W860" s="31"/>
      <c r="X860" s="15" t="str">
        <f t="shared" si="8"/>
        <v>nashville-usa</v>
      </c>
      <c r="Y860" s="32" t="str">
        <f t="shared" si="9"/>
        <v>https://steelmanufacturer.in/market-area/electropolished-pipes-manufacturer-in-nashville-usa/</v>
      </c>
      <c r="Z860" s="15" t="str">
        <f t="shared" si="10"/>
        <v>Electropolished Pipes Manufacturer in Nashville | Sakshi Forge</v>
      </c>
      <c r="AA860" s="15" t="str">
        <f t="shared" si="11"/>
        <v>OK (62)</v>
      </c>
      <c r="AB860" s="15" t="str">
        <f t="shared" si="12"/>
        <v>EP stainless tube for brewery &amp; food lines in Nashville. 28-35 days sea from Nhava Sheva to US East Coast. ASTM A270 S2, PMI tested, EN 10204 3.1.</v>
      </c>
      <c r="AC860" s="15" t="str">
        <f t="shared" si="13"/>
        <v>OK (146)</v>
      </c>
      <c r="AD860" s="15" t="str">
        <f t="shared" si="14"/>
        <v>Electropolished Pipes Manufacturer in Nashville</v>
      </c>
      <c r="AE860" s="15" t="str">
        <f t="shared" si="15"/>
        <v>How We Manufacture Electropolished Tube for Nashville Plants</v>
      </c>
      <c r="AF860" s="15" t="str">
        <f t="shared" si="16"/>
        <v>Supplying Electropolished Pipes in Nashville: Availability, Sizes &amp; Dispatch</v>
      </c>
      <c r="AG860" s="15" t="str">
        <f t="shared" si="17"/>
        <v>Wholesale Electropolished Pipe Supply for Nashville Projects</v>
      </c>
      <c r="AH860" s="15" t="str">
        <f t="shared" si="18"/>
        <v>electropolished pipes manufacturer in Nashville, electropolished pipes supplier in Nashville, electropolished pipes wholesaler in Nashville, electropolished tube manufacturer Nashville, EP pipe supplier Nashville, sanitary tube supplier Nashville, ASME BPE tubing Nashville, ASTM A270 tube Nashville, SS 316L electropolished pipe Nashville</v>
      </c>
      <c r="AI860" s="15" t="str">
        <f t="shared" si="19"/>
        <v>Electropolished Pipes Manufacturer &amp; Supplier in Nashville</v>
      </c>
      <c r="AJ860" s="15" t="str">
        <f t="shared" si="20"/>
        <v>EP-finished SS 304/316L pipes and tubes for brewery &amp; food plants in Nashville. ASME BPE SF1-SF4, Ra from 0.25 um, EN 10204 3.1 certificate with every lot.</v>
      </c>
      <c r="AK860" s="15" t="str">
        <f t="shared" si="21"/>
        <v>Electropolished stainless steel pipes supplied by Sakshi Forge to brewery &amp; food plants at Cool Springs, Nashville</v>
      </c>
      <c r="AL860" s="15" t="str">
        <f t="shared" si="22"/>
        <v>Electropolished SS 316L tube stock for Nashville - Sakshi Forge</v>
      </c>
      <c r="AM860" s="15" t="str">
        <f t="shared" si="23"/>
        <v>Home &gt; Market Area &gt; USA &gt; Tennessee &gt; Nashville</v>
      </c>
      <c r="AN860" s="15">
        <f t="shared" si="24"/>
        <v>1000</v>
      </c>
      <c r="AO860" s="15">
        <f t="shared" si="25"/>
        <v>8</v>
      </c>
      <c r="AP860" s="15">
        <f t="shared" si="26"/>
        <v>8</v>
      </c>
      <c r="AQ860" s="15">
        <f t="shared" si="27"/>
        <v>15</v>
      </c>
      <c r="AR860" s="31"/>
      <c r="AS860" s="31"/>
      <c r="AT860" s="35" t="s">
        <v>222</v>
      </c>
      <c r="AU860" s="35"/>
    </row>
    <row r="861" ht="15.75" customHeight="1">
      <c r="A861" s="15" t="s">
        <v>9412</v>
      </c>
      <c r="B861" s="15" t="s">
        <v>221</v>
      </c>
      <c r="C861" s="15" t="s">
        <v>9413</v>
      </c>
      <c r="D861" s="15" t="s">
        <v>9414</v>
      </c>
      <c r="E861" s="15" t="s">
        <v>9414</v>
      </c>
      <c r="F861" s="65" t="s">
        <v>788</v>
      </c>
      <c r="G861" s="17" t="s">
        <v>88</v>
      </c>
      <c r="H861" s="18" t="s">
        <v>9415</v>
      </c>
      <c r="I861" s="18" t="s">
        <v>9416</v>
      </c>
      <c r="J861" s="18" t="s">
        <v>9417</v>
      </c>
      <c r="K861" s="18" t="s">
        <v>1084</v>
      </c>
      <c r="L861" s="18" t="s">
        <v>9418</v>
      </c>
      <c r="M861" s="18" t="s">
        <v>530</v>
      </c>
      <c r="N861" s="18" t="s">
        <v>233</v>
      </c>
      <c r="O861" s="18" t="s">
        <v>98</v>
      </c>
      <c r="P861" s="15" t="str">
        <f t="shared" si="1"/>
        <v>CHEM</v>
      </c>
      <c r="Q861" s="15">
        <f t="shared" si="2"/>
        <v>2</v>
      </c>
      <c r="R861" s="15">
        <f t="shared" si="3"/>
        <v>4</v>
      </c>
      <c r="S861" s="15">
        <f t="shared" si="4"/>
        <v>3</v>
      </c>
      <c r="T861" s="15" t="str">
        <f t="shared" si="5"/>
        <v>B-6</v>
      </c>
      <c r="U861" s="15" t="str">
        <f t="shared" si="6"/>
        <v>T2-M4-H3-FB-6-CHEM</v>
      </c>
      <c r="V861" s="15">
        <f t="shared" si="7"/>
        <v>0</v>
      </c>
      <c r="W861" s="31"/>
      <c r="X861" s="15" t="str">
        <f t="shared" si="8"/>
        <v>new-orleans-usa</v>
      </c>
      <c r="Y861" s="32" t="str">
        <f t="shared" si="9"/>
        <v>https://steelmanufacturer.in/market-area/electropolished-pipes-manufacturer-in-new-orleans-usa/</v>
      </c>
      <c r="Z861" s="15" t="str">
        <f t="shared" si="10"/>
        <v>Electropolished Pipes Manufacturer in New Orleans</v>
      </c>
      <c r="AA861" s="15" t="str">
        <f t="shared" si="11"/>
        <v>OK (49)</v>
      </c>
      <c r="AB861" s="15" t="str">
        <f t="shared" si="12"/>
        <v>Sanitary electropolished pipes in New Orleans for petrochemical plants. ASME BPE SF1-SF4, orbital-weld ready, 3.1 MTC. Mumbai-made.</v>
      </c>
      <c r="AC861" s="15" t="str">
        <f t="shared" si="13"/>
        <v>OK (131)</v>
      </c>
      <c r="AD861" s="15" t="str">
        <f t="shared" si="14"/>
        <v>Electropolished Pipes Manufacturer in New Orleans</v>
      </c>
      <c r="AE861" s="15" t="str">
        <f t="shared" si="15"/>
        <v>Electropolished Pipes Manufacturer in New Orleans - Our Process &amp; Capability</v>
      </c>
      <c r="AF861" s="15" t="str">
        <f t="shared" si="16"/>
        <v>Electropolished Pipes Supplier in New Orleans - What We Hold in Stock</v>
      </c>
      <c r="AG861" s="15" t="str">
        <f t="shared" si="17"/>
        <v>Bulk &amp; Wholesale Electropolished Pipe Rates for New Orleans Buyers</v>
      </c>
      <c r="AH861" s="15" t="str">
        <f t="shared" si="18"/>
        <v>electropolished pipes manufacturer in New Orleans, electropolished pipes supplier in New Orleans, electropolished pipes wholesaler in New Orleans, electropolished tube manufacturer New Orleans, EP pipe supplier New Orleans, sanitary tube supplier New Orleans, ASME BPE tubing New Orleans, ASTM A270 tube New Orleans, SS 316L electropolished pipe New Orleans</v>
      </c>
      <c r="AI861" s="15" t="str">
        <f t="shared" si="19"/>
        <v>Electropolished Pipes Manufacturer &amp; Supplier in New Orleans</v>
      </c>
      <c r="AJ861" s="15" t="str">
        <f t="shared" si="20"/>
        <v>EP-finished SS 304/316L pipes and tubes for petrochemical plants in New Orleans. ASME BPE SF1-SF4, Ra from 0.25 um, EN 10204 3.1 certificate with every lot.</v>
      </c>
      <c r="AK861" s="15" t="str">
        <f t="shared" si="21"/>
        <v>Electropolished stainless steel pipes supplied by Sakshi Forge to petrochemical plants at Louisiana Chemical Corridor, New Orleans</v>
      </c>
      <c r="AL861" s="15" t="str">
        <f t="shared" si="22"/>
        <v>Electropolished SS 316L tube stock for New Orleans - Sakshi Forge</v>
      </c>
      <c r="AM861" s="15" t="str">
        <f t="shared" si="23"/>
        <v>Home &gt; Market Area &gt; USA &gt; Louisiana &gt; New Orleans</v>
      </c>
      <c r="AN861" s="15">
        <f t="shared" si="24"/>
        <v>1000</v>
      </c>
      <c r="AO861" s="15">
        <f t="shared" si="25"/>
        <v>8</v>
      </c>
      <c r="AP861" s="15">
        <f t="shared" si="26"/>
        <v>8</v>
      </c>
      <c r="AQ861" s="15">
        <f t="shared" si="27"/>
        <v>15</v>
      </c>
      <c r="AR861" s="31"/>
      <c r="AS861" s="31"/>
      <c r="AT861" s="35" t="s">
        <v>222</v>
      </c>
      <c r="AU861" s="35"/>
    </row>
    <row r="862" ht="15.75" customHeight="1">
      <c r="A862" s="15" t="s">
        <v>9419</v>
      </c>
      <c r="B862" s="15" t="s">
        <v>221</v>
      </c>
      <c r="C862" s="15" t="s">
        <v>9420</v>
      </c>
      <c r="D862" s="15" t="s">
        <v>9421</v>
      </c>
      <c r="E862" s="15" t="s">
        <v>9421</v>
      </c>
      <c r="F862" s="65" t="s">
        <v>788</v>
      </c>
      <c r="G862" s="17" t="s">
        <v>88</v>
      </c>
      <c r="H862" s="18" t="s">
        <v>9422</v>
      </c>
      <c r="I862" s="18" t="s">
        <v>9423</v>
      </c>
      <c r="J862" s="18" t="s">
        <v>9424</v>
      </c>
      <c r="K862" s="18" t="s">
        <v>94</v>
      </c>
      <c r="L862" s="18" t="s">
        <v>9425</v>
      </c>
      <c r="M862" s="18" t="s">
        <v>530</v>
      </c>
      <c r="N862" s="18" t="s">
        <v>233</v>
      </c>
      <c r="O862" s="18" t="s">
        <v>98</v>
      </c>
      <c r="P862" s="15" t="str">
        <f t="shared" si="1"/>
        <v>FOOD</v>
      </c>
      <c r="Q862" s="15">
        <f t="shared" si="2"/>
        <v>3</v>
      </c>
      <c r="R862" s="15">
        <f t="shared" si="3"/>
        <v>5</v>
      </c>
      <c r="S862" s="15">
        <f t="shared" si="4"/>
        <v>4</v>
      </c>
      <c r="T862" s="15" t="str">
        <f t="shared" si="5"/>
        <v>B-1</v>
      </c>
      <c r="U862" s="15" t="str">
        <f t="shared" si="6"/>
        <v>T3-M5-H4-FB-1-FOOD</v>
      </c>
      <c r="V862" s="15">
        <f t="shared" si="7"/>
        <v>0</v>
      </c>
      <c r="W862" s="31"/>
      <c r="X862" s="15" t="str">
        <f t="shared" si="8"/>
        <v>omaha-usa</v>
      </c>
      <c r="Y862" s="32" t="str">
        <f t="shared" si="9"/>
        <v>https://steelmanufacturer.in/market-area/electropolished-pipes-manufacturer-in-omaha-usa/</v>
      </c>
      <c r="Z862" s="15" t="str">
        <f t="shared" si="10"/>
        <v>Electropolished Pipes Manufacturer in Omaha | EP Tube Supplier</v>
      </c>
      <c r="AA862" s="15" t="str">
        <f t="shared" si="11"/>
        <v>OK (62)</v>
      </c>
      <c r="AB862" s="15" t="str">
        <f t="shared" si="12"/>
        <v>Manufacturer of electropolished SS 316L tube serving Omaha. 28-35 days sea from Nhava Sheva to US East Coast. Ra 0.25-0.5 um, EN 10204 3.1 MTC.</v>
      </c>
      <c r="AC862" s="15" t="str">
        <f t="shared" si="13"/>
        <v>OK (143)</v>
      </c>
      <c r="AD862" s="15" t="str">
        <f t="shared" si="14"/>
        <v>Electropolished Pipes Manufacturer in Omaha</v>
      </c>
      <c r="AE862" s="15" t="str">
        <f t="shared" si="15"/>
        <v>Manufacturing Electropolished SS Tube for Omaha: The Standards We Build To</v>
      </c>
      <c r="AF862" s="15" t="str">
        <f t="shared" si="16"/>
        <v>Electropolished Pipe Supply Into Omaha - Certification &amp; Transit</v>
      </c>
      <c r="AG862" s="15" t="str">
        <f t="shared" si="17"/>
        <v>Electropolished Pipes Wholesaler in Omaha - Project Quantities &amp; Terms</v>
      </c>
      <c r="AH862" s="15" t="str">
        <f t="shared" si="18"/>
        <v>electropolished pipes manufacturer in Omaha, electropolished pipes supplier in Omaha, electropolished pipes wholesaler in Omaha, electropolished tube manufacturer Omaha, EP pipe supplier Omaha, sanitary tube supplier Omaha, ASME BPE tubing Omaha, ASTM A270 tube Omaha, SS 316L electropolished pipe Omaha</v>
      </c>
      <c r="AI862" s="15" t="str">
        <f t="shared" si="19"/>
        <v>Electropolished Pipes Manufacturer &amp; Supplier in Omaha</v>
      </c>
      <c r="AJ862" s="15" t="str">
        <f t="shared" si="20"/>
        <v>EP-finished SS 304/316L pipes and tubes for food processing plants in Omaha. ASME BPE SF1-SF4, Ra from 0.25 um, EN 10204 3.1 certificate with every lot.</v>
      </c>
      <c r="AK862" s="15" t="str">
        <f t="shared" si="21"/>
        <v>Electropolished stainless steel pipes supplied by Sakshi Forge to food processing plants at Omaha Industrial Corridor, Omaha</v>
      </c>
      <c r="AL862" s="15" t="str">
        <f t="shared" si="22"/>
        <v>Electropolished SS 316L tube stock for Omaha - Sakshi Forge</v>
      </c>
      <c r="AM862" s="15" t="str">
        <f t="shared" si="23"/>
        <v>Home &gt; Market Area &gt; USA &gt; Nebraska &gt; Omaha</v>
      </c>
      <c r="AN862" s="15">
        <f t="shared" si="24"/>
        <v>1000</v>
      </c>
      <c r="AO862" s="15">
        <f t="shared" si="25"/>
        <v>8</v>
      </c>
      <c r="AP862" s="15">
        <f t="shared" si="26"/>
        <v>8</v>
      </c>
      <c r="AQ862" s="15">
        <f t="shared" si="27"/>
        <v>15</v>
      </c>
      <c r="AR862" s="31"/>
      <c r="AS862" s="31"/>
      <c r="AT862" s="35" t="s">
        <v>222</v>
      </c>
      <c r="AU862" s="35"/>
    </row>
    <row r="863" ht="15.75" customHeight="1">
      <c r="A863" s="15" t="s">
        <v>9426</v>
      </c>
      <c r="B863" s="15" t="s">
        <v>221</v>
      </c>
      <c r="C863" s="15" t="s">
        <v>9394</v>
      </c>
      <c r="D863" s="15" t="s">
        <v>9427</v>
      </c>
      <c r="E863" s="15" t="s">
        <v>9427</v>
      </c>
      <c r="F863" s="65" t="s">
        <v>788</v>
      </c>
      <c r="G863" s="17" t="s">
        <v>88</v>
      </c>
      <c r="H863" s="18" t="s">
        <v>9428</v>
      </c>
      <c r="I863" s="18" t="s">
        <v>9429</v>
      </c>
      <c r="J863" s="18" t="s">
        <v>9430</v>
      </c>
      <c r="K863" s="18" t="s">
        <v>94</v>
      </c>
      <c r="L863" s="18" t="s">
        <v>9431</v>
      </c>
      <c r="M863" s="18" t="s">
        <v>530</v>
      </c>
      <c r="N863" s="18" t="s">
        <v>233</v>
      </c>
      <c r="O863" s="18" t="s">
        <v>98</v>
      </c>
      <c r="P863" s="15" t="str">
        <f t="shared" si="1"/>
        <v>FOOD</v>
      </c>
      <c r="Q863" s="15">
        <f t="shared" si="2"/>
        <v>4</v>
      </c>
      <c r="R863" s="15">
        <f t="shared" si="3"/>
        <v>6</v>
      </c>
      <c r="S863" s="15">
        <f t="shared" si="4"/>
        <v>5</v>
      </c>
      <c r="T863" s="15" t="str">
        <f t="shared" si="5"/>
        <v>B-2</v>
      </c>
      <c r="U863" s="15" t="str">
        <f t="shared" si="6"/>
        <v>T4-M6-H5-FB-2-FOOD</v>
      </c>
      <c r="V863" s="15">
        <f t="shared" si="7"/>
        <v>0</v>
      </c>
      <c r="W863" s="31"/>
      <c r="X863" s="15" t="str">
        <f t="shared" si="8"/>
        <v>orlando-usa</v>
      </c>
      <c r="Y863" s="32" t="str">
        <f t="shared" si="9"/>
        <v>https://steelmanufacturer.in/market-area/electropolished-pipes-manufacturer-in-orlando-usa/</v>
      </c>
      <c r="Z863" s="15" t="str">
        <f t="shared" si="10"/>
        <v>Electropolished Pipes Manufacturer in Orlando</v>
      </c>
      <c r="AA863" s="15" t="str">
        <f t="shared" si="11"/>
        <v>OK (45)</v>
      </c>
      <c r="AB863" s="15" t="str">
        <f t="shared" si="12"/>
        <v>EP tube and pipe for food processing plants around Lake Nona Medical City, Orlando. Made at our Mumbai works to ASTM A270 and ASME BPE SF1-SF4, with 3.1 MTC.</v>
      </c>
      <c r="AC863" s="15" t="str">
        <f t="shared" si="13"/>
        <v>OK (157)</v>
      </c>
      <c r="AD863" s="15" t="str">
        <f t="shared" si="14"/>
        <v>Electropolished Pipes Manufacturer in Orlando</v>
      </c>
      <c r="AE863" s="15" t="str">
        <f t="shared" si="15"/>
        <v>Electropolished Tube Manufacturing Capability Serving Orlando</v>
      </c>
      <c r="AF863" s="15" t="str">
        <f t="shared" si="16"/>
        <v>Electropolished Pipes Supplier in Orlando - From Order to Delivery</v>
      </c>
      <c r="AG863" s="15" t="str">
        <f t="shared" si="17"/>
        <v>Stockist &amp; Wholesale Supply of Electropolished Pipes in Orlando</v>
      </c>
      <c r="AH863" s="15" t="str">
        <f t="shared" si="18"/>
        <v>electropolished pipes manufacturer in Orlando, electropolished pipes supplier in Orlando, electropolished pipes wholesaler in Orlando, electropolished tube manufacturer Orlando, EP pipe supplier Orlando, sanitary tube supplier Orlando, ASME BPE tubing Orlando, ASTM A270 tube Orlando, SS 316L electropolished pipe Orlando</v>
      </c>
      <c r="AI863" s="15" t="str">
        <f t="shared" si="19"/>
        <v>Electropolished Pipes Manufacturer &amp; Supplier in Orlando</v>
      </c>
      <c r="AJ863" s="15" t="str">
        <f t="shared" si="20"/>
        <v>EP-finished SS 304/316L pipes and tubes for food processing plants in Orlando. ASME BPE SF1-SF4, Ra from 0.25 um, EN 10204 3.1 certificate with every lot.</v>
      </c>
      <c r="AK863" s="15" t="str">
        <f t="shared" si="21"/>
        <v>Electropolished stainless steel pipes supplied by Sakshi Forge to food processing plants at Lake Nona Medical City, Orlando</v>
      </c>
      <c r="AL863" s="15" t="str">
        <f t="shared" si="22"/>
        <v>Electropolished SS 316L tube stock for Orlando - Sakshi Forge</v>
      </c>
      <c r="AM863" s="15" t="str">
        <f t="shared" si="23"/>
        <v>Home &gt; Market Area &gt; USA &gt; Florida &gt; Orlando</v>
      </c>
      <c r="AN863" s="15">
        <f t="shared" si="24"/>
        <v>1000</v>
      </c>
      <c r="AO863" s="15">
        <f t="shared" si="25"/>
        <v>8</v>
      </c>
      <c r="AP863" s="15">
        <f t="shared" si="26"/>
        <v>8</v>
      </c>
      <c r="AQ863" s="15">
        <f t="shared" si="27"/>
        <v>15</v>
      </c>
      <c r="AR863" s="31"/>
      <c r="AS863" s="31"/>
      <c r="AT863" s="35" t="s">
        <v>222</v>
      </c>
      <c r="AU863" s="35"/>
    </row>
    <row r="864" ht="15.75" customHeight="1">
      <c r="A864" s="15" t="s">
        <v>9432</v>
      </c>
      <c r="B864" s="15" t="s">
        <v>221</v>
      </c>
      <c r="C864" s="15" t="s">
        <v>8304</v>
      </c>
      <c r="D864" s="15" t="s">
        <v>9433</v>
      </c>
      <c r="E864" s="15" t="s">
        <v>9433</v>
      </c>
      <c r="F864" s="65" t="s">
        <v>788</v>
      </c>
      <c r="G864" s="17" t="s">
        <v>88</v>
      </c>
      <c r="H864" s="18" t="s">
        <v>9434</v>
      </c>
      <c r="I864" s="18" t="s">
        <v>9435</v>
      </c>
      <c r="J864" s="18" t="s">
        <v>9436</v>
      </c>
      <c r="K864" s="18" t="s">
        <v>271</v>
      </c>
      <c r="L864" s="18" t="s">
        <v>9437</v>
      </c>
      <c r="M864" s="18" t="s">
        <v>530</v>
      </c>
      <c r="N864" s="18" t="s">
        <v>233</v>
      </c>
      <c r="O864" s="18" t="s">
        <v>98</v>
      </c>
      <c r="P864" s="15" t="str">
        <f t="shared" si="1"/>
        <v>CHEM</v>
      </c>
      <c r="Q864" s="15">
        <f t="shared" si="2"/>
        <v>5</v>
      </c>
      <c r="R864" s="15">
        <f t="shared" si="3"/>
        <v>7</v>
      </c>
      <c r="S864" s="15">
        <f t="shared" si="4"/>
        <v>1</v>
      </c>
      <c r="T864" s="15" t="str">
        <f t="shared" si="5"/>
        <v>B-3</v>
      </c>
      <c r="U864" s="15" t="str">
        <f t="shared" si="6"/>
        <v>T5-M7-H1-FB-3-CHEM</v>
      </c>
      <c r="V864" s="15">
        <f t="shared" si="7"/>
        <v>0</v>
      </c>
      <c r="W864" s="31"/>
      <c r="X864" s="15" t="str">
        <f t="shared" si="8"/>
        <v>pittsburgh-usa</v>
      </c>
      <c r="Y864" s="32" t="str">
        <f t="shared" si="9"/>
        <v>https://steelmanufacturer.in/market-area/electropolished-pipes-manufacturer-in-pittsburgh-usa/</v>
      </c>
      <c r="Z864" s="15" t="str">
        <f t="shared" si="10"/>
        <v>Electropolished Pipes Manufacturer in Pittsburgh</v>
      </c>
      <c r="AA864" s="15" t="str">
        <f t="shared" si="11"/>
        <v>OK (48)</v>
      </c>
      <c r="AB864" s="15" t="str">
        <f t="shared" si="12"/>
        <v>Electropolished pipes in Pittsburgh: 304, 304L, 316 and 316L in SF1-SF4. 28-35 days sea from Nhava Sheva to US East Coast. Mill certified.</v>
      </c>
      <c r="AC864" s="15" t="str">
        <f t="shared" si="13"/>
        <v>OK (138)</v>
      </c>
      <c r="AD864" s="15" t="str">
        <f t="shared" si="14"/>
        <v>Electropolished Pipes Manufacturer in Pittsburgh</v>
      </c>
      <c r="AE864" s="15" t="str">
        <f t="shared" si="15"/>
        <v>Electropolished Pipe &amp; Tube Manufacturing for Pittsburgh - Grades, Finishes &amp; Certification</v>
      </c>
      <c r="AF864" s="15" t="str">
        <f t="shared" si="16"/>
        <v>Electropolished Pipes Supplier in Pittsburgh - Stock Sizes, Lead Time &amp; Delivery</v>
      </c>
      <c r="AG864" s="15" t="str">
        <f t="shared" si="17"/>
        <v>Electropolished Pipes Wholesaler &amp; Stockist in Pittsburgh - Bulk &amp; Project Pricing</v>
      </c>
      <c r="AH864" s="15" t="str">
        <f t="shared" si="18"/>
        <v>electropolished pipes manufacturer in Pittsburgh, electropolished pipes supplier in Pittsburgh, electropolished pipes wholesaler in Pittsburgh, electropolished tube manufacturer Pittsburgh, EP pipe supplier Pittsburgh, sanitary tube supplier Pittsburgh, ASME BPE tubing Pittsburgh, ASTM A270 tube Pittsburgh, SS 316L electropolished pipe Pittsburgh</v>
      </c>
      <c r="AI864" s="15" t="str">
        <f t="shared" si="19"/>
        <v>Electropolished Pipes Manufacturer &amp; Supplier in Pittsburgh</v>
      </c>
      <c r="AJ864" s="15" t="str">
        <f t="shared" si="20"/>
        <v>EP-finished SS 304/316L pipes and tubes for chemical plants in Pittsburgh. ASME BPE SF1-SF4, Ra from 0.25 um, EN 10204 3.1 certificate with every lot.</v>
      </c>
      <c r="AK864" s="15" t="str">
        <f t="shared" si="21"/>
        <v>Electropolished stainless steel pipes supplied by Sakshi Forge to chemical plants at Pittsburgh Industrial Corridor, Pittsburgh</v>
      </c>
      <c r="AL864" s="15" t="str">
        <f t="shared" si="22"/>
        <v>Electropolished SS 316L tube stock for Pittsburgh - Sakshi Forge</v>
      </c>
      <c r="AM864" s="15" t="str">
        <f t="shared" si="23"/>
        <v>Home &gt; Market Area &gt; USA &gt; Pennsylvania &gt; Pittsburgh</v>
      </c>
      <c r="AN864" s="15">
        <f t="shared" si="24"/>
        <v>1000</v>
      </c>
      <c r="AO864" s="15">
        <f t="shared" si="25"/>
        <v>8</v>
      </c>
      <c r="AP864" s="15">
        <f t="shared" si="26"/>
        <v>8</v>
      </c>
      <c r="AQ864" s="15">
        <f t="shared" si="27"/>
        <v>15</v>
      </c>
      <c r="AR864" s="31"/>
      <c r="AS864" s="31"/>
      <c r="AT864" s="35" t="s">
        <v>222</v>
      </c>
      <c r="AU864" s="35"/>
    </row>
    <row r="865" ht="15.75" customHeight="1">
      <c r="A865" s="15" t="s">
        <v>9438</v>
      </c>
      <c r="B865" s="15" t="s">
        <v>221</v>
      </c>
      <c r="C865" s="15" t="s">
        <v>9439</v>
      </c>
      <c r="D865" s="15" t="s">
        <v>9440</v>
      </c>
      <c r="E865" s="15" t="s">
        <v>9440</v>
      </c>
      <c r="F865" s="65" t="s">
        <v>788</v>
      </c>
      <c r="G865" s="17" t="s">
        <v>88</v>
      </c>
      <c r="H865" s="18" t="s">
        <v>9441</v>
      </c>
      <c r="I865" s="18" t="s">
        <v>9442</v>
      </c>
      <c r="J865" s="18" t="s">
        <v>9443</v>
      </c>
      <c r="K865" s="18" t="s">
        <v>3605</v>
      </c>
      <c r="L865" s="18" t="s">
        <v>9444</v>
      </c>
      <c r="M865" s="18" t="s">
        <v>530</v>
      </c>
      <c r="N865" s="18" t="s">
        <v>233</v>
      </c>
      <c r="O865" s="18" t="s">
        <v>98</v>
      </c>
      <c r="P865" s="15" t="str">
        <f t="shared" si="1"/>
        <v>PHARMA</v>
      </c>
      <c r="Q865" s="15">
        <f t="shared" si="2"/>
        <v>6</v>
      </c>
      <c r="R865" s="15">
        <f t="shared" si="3"/>
        <v>1</v>
      </c>
      <c r="S865" s="15">
        <f t="shared" si="4"/>
        <v>2</v>
      </c>
      <c r="T865" s="15" t="str">
        <f t="shared" si="5"/>
        <v>B-4</v>
      </c>
      <c r="U865" s="15" t="str">
        <f t="shared" si="6"/>
        <v>T6-M1-H2-FB-4-PHARMA</v>
      </c>
      <c r="V865" s="15">
        <f t="shared" si="7"/>
        <v>0</v>
      </c>
      <c r="W865" s="31"/>
      <c r="X865" s="15" t="str">
        <f t="shared" si="8"/>
        <v>richmond-usa</v>
      </c>
      <c r="Y865" s="32" t="str">
        <f t="shared" si="9"/>
        <v>https://steelmanufacturer.in/market-area/electropolished-pipes-manufacturer-in-richmond-usa/</v>
      </c>
      <c r="Z865" s="15" t="str">
        <f t="shared" si="10"/>
        <v>Electropolished Pipes Manufacturer in Richmond</v>
      </c>
      <c r="AA865" s="15" t="str">
        <f t="shared" si="11"/>
        <v>OK (46)</v>
      </c>
      <c r="AB865" s="15" t="str">
        <f t="shared" si="12"/>
        <v>EP-finished SS 304/316L pipes &amp; tubes for pharma &amp; API &amp; pharma plants in Richmond. ASTM A270, ASME BPE SF1-SF4, EN 10204 3.1 MTC. PMI tested.</v>
      </c>
      <c r="AC865" s="15" t="str">
        <f t="shared" si="13"/>
        <v>OK (142)</v>
      </c>
      <c r="AD865" s="15" t="str">
        <f t="shared" si="14"/>
        <v>Electropolished Pipes Manufacturer in Richmond</v>
      </c>
      <c r="AE865" s="15" t="str">
        <f t="shared" si="15"/>
        <v>How We Manufacture Electropolished Tube for Richmond Plants</v>
      </c>
      <c r="AF865" s="15" t="str">
        <f t="shared" si="16"/>
        <v>Supplying Electropolished Pipes in Richmond: Availability, Sizes &amp; Dispatch</v>
      </c>
      <c r="AG865" s="15" t="str">
        <f t="shared" si="17"/>
        <v>Wholesale Electropolished Pipe Supply for Richmond Projects</v>
      </c>
      <c r="AH865" s="15" t="str">
        <f t="shared" si="18"/>
        <v>electropolished pipes manufacturer in Richmond, electropolished pipes supplier in Richmond, electropolished pipes wholesaler in Richmond, electropolished tube manufacturer Richmond, EP pipe supplier Richmond, sanitary tube supplier Richmond, ASME BPE tubing Richmond, ASTM A270 tube Richmond, SS 316L electropolished pipe Richmond</v>
      </c>
      <c r="AI865" s="15" t="str">
        <f t="shared" si="19"/>
        <v>Electropolished Pipes Manufacturer &amp; Supplier in Richmond</v>
      </c>
      <c r="AJ865" s="15" t="str">
        <f t="shared" si="20"/>
        <v>EP-finished SS 304/316L pipes and tubes for pharma &amp; API &amp; pharma plants in Richmond. ASME BPE SF1-SF4, Ra from 0.25 um, EN 10204 3.1 certificate with every lot.</v>
      </c>
      <c r="AK865" s="15" t="str">
        <f t="shared" si="21"/>
        <v>Electropolished stainless steel pipes supplied by Sakshi Forge to pharma &amp; API &amp; pharma plants at Richmond Pharma Corridor, Richmond</v>
      </c>
      <c r="AL865" s="15" t="str">
        <f t="shared" si="22"/>
        <v>Electropolished SS 316L tube stock for Richmond - Sakshi Forge</v>
      </c>
      <c r="AM865" s="15" t="str">
        <f t="shared" si="23"/>
        <v>Home &gt; Market Area &gt; USA &gt; Virginia &gt; Richmond</v>
      </c>
      <c r="AN865" s="15">
        <f t="shared" si="24"/>
        <v>1000</v>
      </c>
      <c r="AO865" s="15">
        <f t="shared" si="25"/>
        <v>8</v>
      </c>
      <c r="AP865" s="15">
        <f t="shared" si="26"/>
        <v>8</v>
      </c>
      <c r="AQ865" s="15">
        <f t="shared" si="27"/>
        <v>15</v>
      </c>
      <c r="AR865" s="31"/>
      <c r="AS865" s="31"/>
      <c r="AT865" s="35" t="s">
        <v>222</v>
      </c>
      <c r="AU865" s="35"/>
    </row>
    <row r="866" ht="15.75" customHeight="1">
      <c r="A866" s="15" t="s">
        <v>9445</v>
      </c>
      <c r="B866" s="15" t="s">
        <v>221</v>
      </c>
      <c r="C866" s="15" t="s">
        <v>9287</v>
      </c>
      <c r="D866" s="15" t="s">
        <v>9446</v>
      </c>
      <c r="E866" s="15" t="s">
        <v>9446</v>
      </c>
      <c r="F866" s="65" t="s">
        <v>788</v>
      </c>
      <c r="G866" s="17" t="s">
        <v>88</v>
      </c>
      <c r="H866" s="18" t="s">
        <v>9447</v>
      </c>
      <c r="I866" s="18" t="s">
        <v>9448</v>
      </c>
      <c r="J866" s="18" t="s">
        <v>9449</v>
      </c>
      <c r="K866" s="18" t="s">
        <v>229</v>
      </c>
      <c r="L866" s="18" t="s">
        <v>9450</v>
      </c>
      <c r="M866" s="18" t="s">
        <v>530</v>
      </c>
      <c r="N866" s="18" t="s">
        <v>233</v>
      </c>
      <c r="O866" s="18" t="s">
        <v>98</v>
      </c>
      <c r="P866" s="15" t="str">
        <f t="shared" si="1"/>
        <v>PHARMA</v>
      </c>
      <c r="Q866" s="15">
        <f t="shared" si="2"/>
        <v>7</v>
      </c>
      <c r="R866" s="15">
        <f t="shared" si="3"/>
        <v>2</v>
      </c>
      <c r="S866" s="15">
        <f t="shared" si="4"/>
        <v>3</v>
      </c>
      <c r="T866" s="15" t="str">
        <f t="shared" si="5"/>
        <v>B-5</v>
      </c>
      <c r="U866" s="15" t="str">
        <f t="shared" si="6"/>
        <v>T7-M2-H3-FB-5-PHARMA</v>
      </c>
      <c r="V866" s="15">
        <f t="shared" si="7"/>
        <v>0</v>
      </c>
      <c r="W866" s="31"/>
      <c r="X866" s="15" t="str">
        <f t="shared" si="8"/>
        <v>rochester-usa</v>
      </c>
      <c r="Y866" s="32" t="str">
        <f t="shared" si="9"/>
        <v>https://steelmanufacturer.in/market-area/electropolished-pipes-manufacturer-in-rochester-usa/</v>
      </c>
      <c r="Z866" s="15" t="str">
        <f t="shared" si="10"/>
        <v>Electropolished Pipes Manufacturer in Rochester</v>
      </c>
      <c r="AA866" s="15" t="str">
        <f t="shared" si="11"/>
        <v>OK (47)</v>
      </c>
      <c r="AB866" s="15" t="str">
        <f t="shared" si="12"/>
        <v>Electropolished tube supply to Eastman Business Park, Rochester. Ra from 0.25 um, SF4 finish, mill test certificate with every lot.</v>
      </c>
      <c r="AC866" s="15" t="str">
        <f t="shared" si="13"/>
        <v>OK (131)</v>
      </c>
      <c r="AD866" s="15" t="str">
        <f t="shared" si="14"/>
        <v>Electropolished Pipes Manufacturer in Rochester</v>
      </c>
      <c r="AE866" s="15" t="str">
        <f t="shared" si="15"/>
        <v>Electropolished Pipes Manufacturer in Rochester - Our Process &amp; Capability</v>
      </c>
      <c r="AF866" s="15" t="str">
        <f t="shared" si="16"/>
        <v>Electropolished Pipes Supplier in Rochester - What We Hold in Stock</v>
      </c>
      <c r="AG866" s="15" t="str">
        <f t="shared" si="17"/>
        <v>Bulk &amp; Wholesale Electropolished Pipe Rates for Rochester Buyers</v>
      </c>
      <c r="AH866" s="15" t="str">
        <f t="shared" si="18"/>
        <v>electropolished pipes manufacturer in Rochester, electropolished pipes supplier in Rochester, electropolished pipes wholesaler in Rochester, electropolished tube manufacturer Rochester, EP pipe supplier Rochester, sanitary tube supplier Rochester, ASME BPE tubing Rochester, ASTM A270 tube Rochester, SS 316L electropolished pipe Rochester</v>
      </c>
      <c r="AI866" s="15" t="str">
        <f t="shared" si="19"/>
        <v>Electropolished Pipes Manufacturer &amp; Supplier in Rochester</v>
      </c>
      <c r="AJ866" s="15" t="str">
        <f t="shared" si="20"/>
        <v>EP-finished SS 304/316L pipes and tubes for pharma plants in Rochester. ASME BPE SF1-SF4, Ra from 0.25 um, EN 10204 3.1 certificate with every lot.</v>
      </c>
      <c r="AK866" s="15" t="str">
        <f t="shared" si="21"/>
        <v>Electropolished stainless steel pipes supplied by Sakshi Forge to pharma plants at Eastman Business Park, Rochester</v>
      </c>
      <c r="AL866" s="15" t="str">
        <f t="shared" si="22"/>
        <v>Electropolished SS 316L tube stock for Rochester - Sakshi Forge</v>
      </c>
      <c r="AM866" s="15" t="str">
        <f t="shared" si="23"/>
        <v>Home &gt; Market Area &gt; USA &gt; New York &gt; Rochester</v>
      </c>
      <c r="AN866" s="15">
        <f t="shared" si="24"/>
        <v>1000</v>
      </c>
      <c r="AO866" s="15">
        <f t="shared" si="25"/>
        <v>8</v>
      </c>
      <c r="AP866" s="15">
        <f t="shared" si="26"/>
        <v>8</v>
      </c>
      <c r="AQ866" s="15">
        <f t="shared" si="27"/>
        <v>15</v>
      </c>
      <c r="AR866" s="31"/>
      <c r="AS866" s="31"/>
      <c r="AT866" s="35" t="s">
        <v>222</v>
      </c>
      <c r="AU866" s="35"/>
    </row>
    <row r="867" ht="15.75" customHeight="1">
      <c r="A867" s="15" t="s">
        <v>9451</v>
      </c>
      <c r="B867" s="15" t="s">
        <v>221</v>
      </c>
      <c r="C867" s="15" t="s">
        <v>8285</v>
      </c>
      <c r="D867" s="15" t="s">
        <v>9452</v>
      </c>
      <c r="E867" s="15" t="s">
        <v>9452</v>
      </c>
      <c r="F867" s="65" t="s">
        <v>788</v>
      </c>
      <c r="G867" s="17" t="s">
        <v>88</v>
      </c>
      <c r="H867" s="18" t="s">
        <v>9453</v>
      </c>
      <c r="I867" s="18" t="s">
        <v>9454</v>
      </c>
      <c r="J867" s="18" t="s">
        <v>9455</v>
      </c>
      <c r="K867" s="18" t="s">
        <v>1320</v>
      </c>
      <c r="L867" s="18" t="s">
        <v>8340</v>
      </c>
      <c r="M867" s="18" t="s">
        <v>530</v>
      </c>
      <c r="N867" s="18" t="s">
        <v>233</v>
      </c>
      <c r="O867" s="18" t="s">
        <v>98</v>
      </c>
      <c r="P867" s="15" t="str">
        <f t="shared" si="1"/>
        <v>BIOTECH</v>
      </c>
      <c r="Q867" s="15">
        <f t="shared" si="2"/>
        <v>8</v>
      </c>
      <c r="R867" s="15">
        <f t="shared" si="3"/>
        <v>3</v>
      </c>
      <c r="S867" s="15">
        <f t="shared" si="4"/>
        <v>4</v>
      </c>
      <c r="T867" s="15" t="str">
        <f t="shared" si="5"/>
        <v>B-6</v>
      </c>
      <c r="U867" s="15" t="str">
        <f t="shared" si="6"/>
        <v>T8-M3-H4-FB-6-BIOTECH</v>
      </c>
      <c r="V867" s="15">
        <f t="shared" si="7"/>
        <v>0</v>
      </c>
      <c r="W867" s="31"/>
      <c r="X867" s="15" t="str">
        <f t="shared" si="8"/>
        <v>sacramento-usa</v>
      </c>
      <c r="Y867" s="32" t="str">
        <f t="shared" si="9"/>
        <v>https://steelmanufacturer.in/market-area/electropolished-pipes-manufacturer-in-sacramento-usa/</v>
      </c>
      <c r="Z867" s="15" t="str">
        <f t="shared" si="10"/>
        <v>Electropolished Pipes Manufacturer in Sacramento</v>
      </c>
      <c r="AA867" s="15" t="str">
        <f t="shared" si="11"/>
        <v>OK (48)</v>
      </c>
      <c r="AB867" s="15" t="str">
        <f t="shared" si="12"/>
        <v>EP stainless tube for biotech lines in Sacramento. 28-35 days sea from Nhava Sheva to US East Coast. ASTM A270 S2, PMI tested, EN 10204 3.1.</v>
      </c>
      <c r="AC867" s="15" t="str">
        <f t="shared" si="13"/>
        <v>OK (140)</v>
      </c>
      <c r="AD867" s="15" t="str">
        <f t="shared" si="14"/>
        <v>Electropolished Pipes Manufacturer in Sacramento</v>
      </c>
      <c r="AE867" s="15" t="str">
        <f t="shared" si="15"/>
        <v>Manufacturing Electropolished SS Tube for Sacramento: The Standards We Build To</v>
      </c>
      <c r="AF867" s="15" t="str">
        <f t="shared" si="16"/>
        <v>Electropolished Pipe Supply Into Sacramento - Certification &amp; Transit</v>
      </c>
      <c r="AG867" s="15" t="str">
        <f t="shared" si="17"/>
        <v>Electropolished Pipes Wholesaler in Sacramento - Project Quantities &amp; Terms</v>
      </c>
      <c r="AH867" s="15" t="str">
        <f t="shared" si="18"/>
        <v>electropolished pipes manufacturer in Sacramento, electropolished pipes supplier in Sacramento, electropolished pipes wholesaler in Sacramento, electropolished tube manufacturer Sacramento, EP pipe supplier Sacramento, sanitary tube supplier Sacramento, ASME BPE tubing Sacramento, ASTM A270 tube Sacramento, SS 316L electropolished pipe Sacramento</v>
      </c>
      <c r="AI867" s="15" t="str">
        <f t="shared" si="19"/>
        <v>Electropolished Pipes Manufacturer &amp; Supplier in Sacramento</v>
      </c>
      <c r="AJ867" s="15" t="str">
        <f t="shared" si="20"/>
        <v>EP-finished SS 304/316L pipes and tubes for biotech plants in Sacramento. ASME BPE SF1-SF4, Ra from 0.25 um, EN 10204 3.1 certificate with every lot.</v>
      </c>
      <c r="AK867" s="15" t="str">
        <f t="shared" si="21"/>
        <v>Electropolished stainless steel pipes supplied by Sakshi Forge to biotech plants at McClellan Park, Sacramento</v>
      </c>
      <c r="AL867" s="15" t="str">
        <f t="shared" si="22"/>
        <v>Electropolished SS 316L tube stock for Sacramento - Sakshi Forge</v>
      </c>
      <c r="AM867" s="15" t="str">
        <f t="shared" si="23"/>
        <v>Home &gt; Market Area &gt; USA &gt; California &gt; Sacramento</v>
      </c>
      <c r="AN867" s="15">
        <f t="shared" si="24"/>
        <v>1000</v>
      </c>
      <c r="AO867" s="15">
        <f t="shared" si="25"/>
        <v>8</v>
      </c>
      <c r="AP867" s="15">
        <f t="shared" si="26"/>
        <v>8</v>
      </c>
      <c r="AQ867" s="15">
        <f t="shared" si="27"/>
        <v>15</v>
      </c>
      <c r="AR867" s="31"/>
      <c r="AS867" s="31"/>
      <c r="AT867" s="35" t="s">
        <v>222</v>
      </c>
      <c r="AU867" s="35"/>
    </row>
    <row r="868" ht="15.75" customHeight="1">
      <c r="A868" s="15" t="s">
        <v>9456</v>
      </c>
      <c r="B868" s="15" t="s">
        <v>221</v>
      </c>
      <c r="C868" s="15" t="s">
        <v>9457</v>
      </c>
      <c r="D868" s="15" t="s">
        <v>9458</v>
      </c>
      <c r="E868" s="15" t="s">
        <v>9458</v>
      </c>
      <c r="F868" s="65" t="s">
        <v>788</v>
      </c>
      <c r="G868" s="17" t="s">
        <v>88</v>
      </c>
      <c r="H868" s="18" t="s">
        <v>9459</v>
      </c>
      <c r="I868" s="18" t="s">
        <v>9460</v>
      </c>
      <c r="J868" s="18" t="s">
        <v>9461</v>
      </c>
      <c r="K868" s="18" t="s">
        <v>4868</v>
      </c>
      <c r="L868" s="18" t="s">
        <v>8272</v>
      </c>
      <c r="M868" s="18" t="s">
        <v>530</v>
      </c>
      <c r="N868" s="18" t="s">
        <v>233</v>
      </c>
      <c r="O868" s="18" t="s">
        <v>98</v>
      </c>
      <c r="P868" s="15" t="str">
        <f t="shared" si="1"/>
        <v>SEMI</v>
      </c>
      <c r="Q868" s="15">
        <f t="shared" si="2"/>
        <v>1</v>
      </c>
      <c r="R868" s="15">
        <f t="shared" si="3"/>
        <v>4</v>
      </c>
      <c r="S868" s="15">
        <f t="shared" si="4"/>
        <v>5</v>
      </c>
      <c r="T868" s="15" t="str">
        <f t="shared" si="5"/>
        <v>B-1</v>
      </c>
      <c r="U868" s="15" t="str">
        <f t="shared" si="6"/>
        <v>T1-M4-H5-FB-1-SEMI</v>
      </c>
      <c r="V868" s="15">
        <f t="shared" si="7"/>
        <v>0</v>
      </c>
      <c r="W868" s="31"/>
      <c r="X868" s="15" t="str">
        <f t="shared" si="8"/>
        <v>salt-lake-city-usa</v>
      </c>
      <c r="Y868" s="32" t="str">
        <f t="shared" si="9"/>
        <v>https://steelmanufacturer.in/market-area/electropolished-pipes-manufacturer-in-salt-lake-city-usa/</v>
      </c>
      <c r="Z868" s="15" t="str">
        <f t="shared" si="10"/>
        <v>Electropolished Pipes Manufacturer in Salt Lake City</v>
      </c>
      <c r="AA868" s="15" t="str">
        <f t="shared" si="11"/>
        <v>OK (52)</v>
      </c>
      <c r="AB868" s="15" t="str">
        <f t="shared" si="12"/>
        <v>Sanitary electropolished pipes in Salt Lake City for semiconductor plants. ASME BPE SF1-SF4, orbital-weld ready, 3.1 MTC. Mumbai-made.</v>
      </c>
      <c r="AC868" s="15" t="str">
        <f t="shared" si="13"/>
        <v>OK (134)</v>
      </c>
      <c r="AD868" s="15" t="str">
        <f t="shared" si="14"/>
        <v>Electropolished Pipes Manufacturer in Salt Lake City</v>
      </c>
      <c r="AE868" s="15" t="str">
        <f t="shared" si="15"/>
        <v>Electropolished Tube Manufacturing Capability Serving Salt Lake City</v>
      </c>
      <c r="AF868" s="15" t="str">
        <f t="shared" si="16"/>
        <v>Electropolished Pipes Supplier in Salt Lake City - From Order to Delivery</v>
      </c>
      <c r="AG868" s="15" t="str">
        <f t="shared" si="17"/>
        <v>Stockist &amp; Wholesale Supply of Electropolished Pipes in Salt Lake City</v>
      </c>
      <c r="AH868" s="15" t="str">
        <f t="shared" si="18"/>
        <v>electropolished pipes manufacturer in Salt Lake City, electropolished pipes supplier in Salt Lake City, electropolished pipes wholesaler in Salt Lake City, electropolished tube manufacturer Salt Lake City, EP pipe supplier Salt Lake City, sanitary tube supplier Salt Lake City, ASME BPE tubing Salt Lake City, ASTM A270 tube Salt Lake City, SS 316L electropolished pipe Salt Lake City</v>
      </c>
      <c r="AI868" s="15" t="str">
        <f t="shared" si="19"/>
        <v>Electropolished Pipes Manufacturer &amp; Supplier in Salt Lake City</v>
      </c>
      <c r="AJ868" s="15" t="str">
        <f t="shared" si="20"/>
        <v>EP-finished SS 304/316L pipes and tubes for semiconductor plants in Salt Lake City. ASME BPE SF1-SF4, Ra from 0.25 um, EN 10204 3.1 certificate with every lot.</v>
      </c>
      <c r="AK868" s="15" t="str">
        <f t="shared" si="21"/>
        <v>Electropolished stainless steel pipes supplied by Sakshi Forge to semiconductor plants at Salt Lake Industrial Depot, Salt Lake City</v>
      </c>
      <c r="AL868" s="15" t="str">
        <f t="shared" si="22"/>
        <v>Electropolished SS 316L tube stock for Salt Lake City - Sakshi Forge</v>
      </c>
      <c r="AM868" s="15" t="str">
        <f t="shared" si="23"/>
        <v>Home &gt; Market Area &gt; USA &gt; Utah &gt; Salt Lake City</v>
      </c>
      <c r="AN868" s="15">
        <f t="shared" si="24"/>
        <v>1000</v>
      </c>
      <c r="AO868" s="15">
        <f t="shared" si="25"/>
        <v>8</v>
      </c>
      <c r="AP868" s="15">
        <f t="shared" si="26"/>
        <v>8</v>
      </c>
      <c r="AQ868" s="15">
        <f t="shared" si="27"/>
        <v>15</v>
      </c>
      <c r="AR868" s="31"/>
      <c r="AS868" s="31"/>
      <c r="AT868" s="35" t="s">
        <v>222</v>
      </c>
      <c r="AU868" s="35"/>
    </row>
    <row r="869" ht="15.75" customHeight="1">
      <c r="A869" s="15" t="s">
        <v>9462</v>
      </c>
      <c r="B869" s="15" t="s">
        <v>221</v>
      </c>
      <c r="C869" s="15" t="s">
        <v>9367</v>
      </c>
      <c r="D869" s="15" t="s">
        <v>9463</v>
      </c>
      <c r="E869" s="15" t="s">
        <v>9463</v>
      </c>
      <c r="F869" s="65" t="s">
        <v>788</v>
      </c>
      <c r="G869" s="17" t="s">
        <v>88</v>
      </c>
      <c r="H869" s="18" t="s">
        <v>9464</v>
      </c>
      <c r="I869" s="18" t="s">
        <v>9465</v>
      </c>
      <c r="J869" s="18" t="s">
        <v>9466</v>
      </c>
      <c r="K869" s="18" t="s">
        <v>229</v>
      </c>
      <c r="L869" s="18" t="s">
        <v>9467</v>
      </c>
      <c r="M869" s="18" t="s">
        <v>530</v>
      </c>
      <c r="N869" s="18" t="s">
        <v>233</v>
      </c>
      <c r="O869" s="18" t="s">
        <v>98</v>
      </c>
      <c r="P869" s="15" t="str">
        <f t="shared" si="1"/>
        <v>PHARMA</v>
      </c>
      <c r="Q869" s="15">
        <f t="shared" si="2"/>
        <v>2</v>
      </c>
      <c r="R869" s="15">
        <f t="shared" si="3"/>
        <v>5</v>
      </c>
      <c r="S869" s="15">
        <f t="shared" si="4"/>
        <v>1</v>
      </c>
      <c r="T869" s="15" t="str">
        <f t="shared" si="5"/>
        <v>B-2</v>
      </c>
      <c r="U869" s="15" t="str">
        <f t="shared" si="6"/>
        <v>T2-M5-H1-FB-2-PHARMA</v>
      </c>
      <c r="V869" s="15">
        <f t="shared" si="7"/>
        <v>0</v>
      </c>
      <c r="W869" s="31"/>
      <c r="X869" s="15" t="str">
        <f t="shared" si="8"/>
        <v>st-louis-usa</v>
      </c>
      <c r="Y869" s="32" t="str">
        <f t="shared" si="9"/>
        <v>https://steelmanufacturer.in/market-area/electropolished-pipes-manufacturer-in-st-louis-usa/</v>
      </c>
      <c r="Z869" s="15" t="str">
        <f t="shared" si="10"/>
        <v>Electropolished Pipes Manufacturer in St Louis</v>
      </c>
      <c r="AA869" s="15" t="str">
        <f t="shared" si="11"/>
        <v>OK (46)</v>
      </c>
      <c r="AB869" s="15" t="str">
        <f t="shared" si="12"/>
        <v>Manufacturer of electropolished SS 316L tube serving St Louis. 28-35 days sea from Nhava Sheva to US East Coast. Ra 0.25-0.5 um, EN 10204 3.1 MTC.</v>
      </c>
      <c r="AC869" s="15" t="str">
        <f t="shared" si="13"/>
        <v>OK (146)</v>
      </c>
      <c r="AD869" s="15" t="str">
        <f t="shared" si="14"/>
        <v>Electropolished Pipes Manufacturer in St Louis</v>
      </c>
      <c r="AE869" s="15" t="str">
        <f t="shared" si="15"/>
        <v>Electropolished Pipe &amp; Tube Manufacturing for St Louis - Grades, Finishes &amp; Certification</v>
      </c>
      <c r="AF869" s="15" t="str">
        <f t="shared" si="16"/>
        <v>Electropolished Pipes Supplier in St Louis - Stock Sizes, Lead Time &amp; Delivery</v>
      </c>
      <c r="AG869" s="15" t="str">
        <f t="shared" si="17"/>
        <v>Electropolished Pipes Wholesaler &amp; Stockist in St Louis - Bulk &amp; Project Pricing</v>
      </c>
      <c r="AH869" s="15" t="str">
        <f t="shared" si="18"/>
        <v>electropolished pipes manufacturer in St Louis, electropolished pipes supplier in St Louis, electropolished pipes wholesaler in St Louis, electropolished tube manufacturer St Louis, EP pipe supplier St Louis, sanitary tube supplier St Louis, ASME BPE tubing St Louis, ASTM A270 tube St Louis, SS 316L electropolished pipe St Louis</v>
      </c>
      <c r="AI869" s="15" t="str">
        <f t="shared" si="19"/>
        <v>Electropolished Pipes Manufacturer &amp; Supplier in St Louis</v>
      </c>
      <c r="AJ869" s="15" t="str">
        <f t="shared" si="20"/>
        <v>EP-finished SS 304/316L pipes and tubes for pharma plants in St Louis. ASME BPE SF1-SF4, Ra from 0.25 um, EN 10204 3.1 certificate with every lot.</v>
      </c>
      <c r="AK869" s="15" t="str">
        <f t="shared" si="21"/>
        <v>Electropolished stainless steel pipes supplied by Sakshi Forge to pharma plants at Earth City, St Louis</v>
      </c>
      <c r="AL869" s="15" t="str">
        <f t="shared" si="22"/>
        <v>Electropolished SS 316L tube stock for St Louis - Sakshi Forge</v>
      </c>
      <c r="AM869" s="15" t="str">
        <f t="shared" si="23"/>
        <v>Home &gt; Market Area &gt; USA &gt; Missouri &gt; St Louis</v>
      </c>
      <c r="AN869" s="15">
        <f t="shared" si="24"/>
        <v>1000</v>
      </c>
      <c r="AO869" s="15">
        <f t="shared" si="25"/>
        <v>8</v>
      </c>
      <c r="AP869" s="15">
        <f t="shared" si="26"/>
        <v>8</v>
      </c>
      <c r="AQ869" s="15">
        <f t="shared" si="27"/>
        <v>15</v>
      </c>
      <c r="AR869" s="31"/>
      <c r="AS869" s="31"/>
      <c r="AT869" s="35" t="s">
        <v>222</v>
      </c>
      <c r="AU869" s="35"/>
    </row>
    <row r="870" ht="15.75" customHeight="1">
      <c r="A870" s="15" t="s">
        <v>9468</v>
      </c>
      <c r="B870" s="15" t="s">
        <v>221</v>
      </c>
      <c r="C870" s="15" t="s">
        <v>9394</v>
      </c>
      <c r="D870" s="15" t="s">
        <v>9469</v>
      </c>
      <c r="E870" s="15" t="s">
        <v>9469</v>
      </c>
      <c r="F870" s="65" t="s">
        <v>788</v>
      </c>
      <c r="G870" s="17" t="s">
        <v>88</v>
      </c>
      <c r="H870" s="18" t="s">
        <v>9470</v>
      </c>
      <c r="I870" s="18" t="s">
        <v>9471</v>
      </c>
      <c r="J870" s="18" t="s">
        <v>8202</v>
      </c>
      <c r="K870" s="18" t="s">
        <v>229</v>
      </c>
      <c r="L870" s="18" t="s">
        <v>9472</v>
      </c>
      <c r="M870" s="18" t="s">
        <v>530</v>
      </c>
      <c r="N870" s="18" t="s">
        <v>233</v>
      </c>
      <c r="O870" s="18" t="s">
        <v>98</v>
      </c>
      <c r="P870" s="15" t="str">
        <f t="shared" si="1"/>
        <v>PHARMA</v>
      </c>
      <c r="Q870" s="15">
        <f t="shared" si="2"/>
        <v>3</v>
      </c>
      <c r="R870" s="15">
        <f t="shared" si="3"/>
        <v>6</v>
      </c>
      <c r="S870" s="15">
        <f t="shared" si="4"/>
        <v>2</v>
      </c>
      <c r="T870" s="15" t="str">
        <f t="shared" si="5"/>
        <v>B-3</v>
      </c>
      <c r="U870" s="15" t="str">
        <f t="shared" si="6"/>
        <v>T3-M6-H2-FB-3-PHARMA</v>
      </c>
      <c r="V870" s="15">
        <f t="shared" si="7"/>
        <v>0</v>
      </c>
      <c r="W870" s="31"/>
      <c r="X870" s="15" t="str">
        <f t="shared" si="8"/>
        <v>tampa-usa</v>
      </c>
      <c r="Y870" s="32" t="str">
        <f t="shared" si="9"/>
        <v>https://steelmanufacturer.in/market-area/electropolished-pipes-manufacturer-in-tampa-usa/</v>
      </c>
      <c r="Z870" s="15" t="str">
        <f t="shared" si="10"/>
        <v>Electropolished Pipes Manufacturer in Tampa | EP Tube Supplier</v>
      </c>
      <c r="AA870" s="15" t="str">
        <f t="shared" si="11"/>
        <v>OK (62)</v>
      </c>
      <c r="AB870" s="15" t="str">
        <f t="shared" si="12"/>
        <v>EP tube and pipe for pharma plants around Tampa Industrial Park, Tampa. Made at our Mumbai works to ASTM A270 and ASME BPE SF1-SF4, with 3.1 MTC.</v>
      </c>
      <c r="AC870" s="15" t="str">
        <f t="shared" si="13"/>
        <v>OK (145)</v>
      </c>
      <c r="AD870" s="15" t="str">
        <f t="shared" si="14"/>
        <v>Electropolished Pipes Manufacturer in Tampa</v>
      </c>
      <c r="AE870" s="15" t="str">
        <f t="shared" si="15"/>
        <v>How We Manufacture Electropolished Tube for Tampa Plants</v>
      </c>
      <c r="AF870" s="15" t="str">
        <f t="shared" si="16"/>
        <v>Supplying Electropolished Pipes in Tampa: Availability, Sizes &amp; Dispatch</v>
      </c>
      <c r="AG870" s="15" t="str">
        <f t="shared" si="17"/>
        <v>Wholesale Electropolished Pipe Supply for Tampa Projects</v>
      </c>
      <c r="AH870" s="15" t="str">
        <f t="shared" si="18"/>
        <v>electropolished pipes manufacturer in Tampa, electropolished pipes supplier in Tampa, electropolished pipes wholesaler in Tampa, electropolished tube manufacturer Tampa, EP pipe supplier Tampa, sanitary tube supplier Tampa, ASME BPE tubing Tampa, ASTM A270 tube Tampa, SS 316L electropolished pipe Tampa</v>
      </c>
      <c r="AI870" s="15" t="str">
        <f t="shared" si="19"/>
        <v>Electropolished Pipes Manufacturer &amp; Supplier in Tampa</v>
      </c>
      <c r="AJ870" s="15" t="str">
        <f t="shared" si="20"/>
        <v>EP-finished SS 304/316L pipes and tubes for pharma plants in Tampa. ASME BPE SF1-SF4, Ra from 0.25 um, EN 10204 3.1 certificate with every lot.</v>
      </c>
      <c r="AK870" s="15" t="str">
        <f t="shared" si="21"/>
        <v>Electropolished stainless steel pipes supplied by Sakshi Forge to pharma plants at Tampa Industrial Park, Tampa</v>
      </c>
      <c r="AL870" s="15" t="str">
        <f t="shared" si="22"/>
        <v>Electropolished SS 316L tube stock for Tampa - Sakshi Forge</v>
      </c>
      <c r="AM870" s="15" t="str">
        <f t="shared" si="23"/>
        <v>Home &gt; Market Area &gt; USA &gt; Florida &gt; Tampa</v>
      </c>
      <c r="AN870" s="15">
        <f t="shared" si="24"/>
        <v>1000</v>
      </c>
      <c r="AO870" s="15">
        <f t="shared" si="25"/>
        <v>8</v>
      </c>
      <c r="AP870" s="15">
        <f t="shared" si="26"/>
        <v>8</v>
      </c>
      <c r="AQ870" s="15">
        <f t="shared" si="27"/>
        <v>15</v>
      </c>
      <c r="AR870" s="31"/>
      <c r="AS870" s="31"/>
      <c r="AT870" s="35" t="s">
        <v>222</v>
      </c>
      <c r="AU870" s="35"/>
    </row>
    <row r="871" ht="15.75" customHeight="1">
      <c r="A871" s="15" t="s">
        <v>9473</v>
      </c>
      <c r="B871" s="15" t="s">
        <v>454</v>
      </c>
      <c r="C871" s="15" t="s">
        <v>8362</v>
      </c>
      <c r="D871" s="15" t="s">
        <v>9474</v>
      </c>
      <c r="E871" s="15" t="s">
        <v>9474</v>
      </c>
      <c r="F871" s="65" t="s">
        <v>788</v>
      </c>
      <c r="G871" s="17" t="s">
        <v>88</v>
      </c>
      <c r="H871" s="18" t="s">
        <v>9475</v>
      </c>
      <c r="I871" s="18" t="s">
        <v>9476</v>
      </c>
      <c r="J871" s="18" t="s">
        <v>9477</v>
      </c>
      <c r="K871" s="18" t="s">
        <v>1084</v>
      </c>
      <c r="L871" s="18" t="s">
        <v>9478</v>
      </c>
      <c r="M871" s="18" t="s">
        <v>660</v>
      </c>
      <c r="N871" s="18" t="s">
        <v>461</v>
      </c>
      <c r="O871" s="18" t="s">
        <v>98</v>
      </c>
      <c r="P871" s="15" t="str">
        <f t="shared" si="1"/>
        <v>CHEM</v>
      </c>
      <c r="Q871" s="15">
        <f t="shared" si="2"/>
        <v>4</v>
      </c>
      <c r="R871" s="15">
        <f t="shared" si="3"/>
        <v>7</v>
      </c>
      <c r="S871" s="15">
        <f t="shared" si="4"/>
        <v>3</v>
      </c>
      <c r="T871" s="15" t="str">
        <f t="shared" si="5"/>
        <v>B-4</v>
      </c>
      <c r="U871" s="15" t="str">
        <f t="shared" si="6"/>
        <v>T4-M7-H3-FB-4-CHEM</v>
      </c>
      <c r="V871" s="15">
        <f t="shared" si="7"/>
        <v>0</v>
      </c>
      <c r="W871" s="31"/>
      <c r="X871" s="15" t="str">
        <f t="shared" si="8"/>
        <v>ba-ria-vung-tau-vietnam</v>
      </c>
      <c r="Y871" s="32" t="str">
        <f t="shared" si="9"/>
        <v>https://steelmanufacturer.in/market-area/electropolished-pipes-manufacturer-in-ba-ria-vung-tau-vietnam/</v>
      </c>
      <c r="Z871" s="15" t="str">
        <f t="shared" si="10"/>
        <v>Electropolished Pipes Manufacturer in Ba Ria-Vung Tau</v>
      </c>
      <c r="AA871" s="15" t="str">
        <f t="shared" si="11"/>
        <v>OK (53)</v>
      </c>
      <c r="AB871" s="15" t="str">
        <f t="shared" si="12"/>
        <v>Electropolished pipes in Ba Ria-Vung Tau: 304, 304L, 316 and 316L in SF1-SF4. 12-16 days sea from Nhava Sheva to Hai Phong. Mill certified.</v>
      </c>
      <c r="AC871" s="15" t="str">
        <f t="shared" si="13"/>
        <v>OK (139)</v>
      </c>
      <c r="AD871" s="15" t="str">
        <f t="shared" si="14"/>
        <v>Electropolished Pipes Manufacturer in Ba Ria-Vung Tau</v>
      </c>
      <c r="AE871" s="15" t="str">
        <f t="shared" si="15"/>
        <v>Electropolished Pipes Manufacturer in Ba Ria-Vung Tau - Our Process &amp; Capability</v>
      </c>
      <c r="AF871" s="15" t="str">
        <f t="shared" si="16"/>
        <v>Electropolished Pipes Supplier in Ba Ria-Vung Tau - What We Hold in Stock</v>
      </c>
      <c r="AG871" s="15" t="str">
        <f t="shared" si="17"/>
        <v>Bulk &amp; Wholesale Electropolished Pipe Rates for Ba Ria-Vung Tau Buyers</v>
      </c>
      <c r="AH871" s="15" t="str">
        <f t="shared" si="18"/>
        <v>electropolished pipes manufacturer in Ba Ria-Vung Tau, electropolished pipes supplier in Ba Ria-Vung Tau, electropolished pipes wholesaler in Ba Ria-Vung Tau, electropolished tube manufacturer Ba Ria-Vung Tau, EP pipe supplier Ba Ria-Vung Tau, sanitary tube supplier Ba Ria-Vung Tau, ASME BPE tubing Ba Ria-Vung Tau, ASTM A270 tube Ba Ria-Vung Tau, SS 316L electropolished pipe Ba Ria-Vung Tau</v>
      </c>
      <c r="AI871" s="15" t="str">
        <f t="shared" si="19"/>
        <v>Electropolished Pipes Manufacturer &amp; Supplier in Ba Ria-Vung Tau</v>
      </c>
      <c r="AJ871" s="15" t="str">
        <f t="shared" si="20"/>
        <v>EP-finished SS 304/316L pipes and tubes for petrochemical plants in Ba Ria-Vung Tau. ASME BPE SF1-SF4, Ra from 0.25 um, EN 10204 3.1 certificate with every lot.</v>
      </c>
      <c r="AK871" s="15" t="str">
        <f t="shared" si="21"/>
        <v>Electropolished stainless steel pipes supplied by Sakshi Forge to petrochemical plants at Phu My Industrial Zone, Ba Ria-Vung Tau</v>
      </c>
      <c r="AL871" s="15" t="str">
        <f t="shared" si="22"/>
        <v>Electropolished SS 316L tube stock for Ba Ria-Vung Tau - Sakshi Forge</v>
      </c>
      <c r="AM871" s="15" t="str">
        <f t="shared" si="23"/>
        <v>Home &gt; Market Area &gt; Vietnam &gt; Southeast &gt; Ba Ria-Vung Tau</v>
      </c>
      <c r="AN871" s="15">
        <f t="shared" si="24"/>
        <v>1000</v>
      </c>
      <c r="AO871" s="15">
        <f t="shared" si="25"/>
        <v>8</v>
      </c>
      <c r="AP871" s="15">
        <f t="shared" si="26"/>
        <v>8</v>
      </c>
      <c r="AQ871" s="15">
        <f t="shared" si="27"/>
        <v>15</v>
      </c>
      <c r="AR871" s="31"/>
      <c r="AS871" s="31"/>
      <c r="AT871" s="35" t="s">
        <v>222</v>
      </c>
      <c r="AU871" s="35"/>
    </row>
    <row r="872" ht="15.75" customHeight="1">
      <c r="A872" s="15" t="s">
        <v>9479</v>
      </c>
      <c r="B872" s="15" t="s">
        <v>454</v>
      </c>
      <c r="C872" s="15" t="s">
        <v>8362</v>
      </c>
      <c r="D872" s="15" t="s">
        <v>9480</v>
      </c>
      <c r="E872" s="15" t="s">
        <v>9480</v>
      </c>
      <c r="F872" s="65" t="s">
        <v>788</v>
      </c>
      <c r="G872" s="17" t="s">
        <v>88</v>
      </c>
      <c r="H872" s="18" t="s">
        <v>9481</v>
      </c>
      <c r="I872" s="18" t="s">
        <v>9482</v>
      </c>
      <c r="J872" s="18" t="s">
        <v>9483</v>
      </c>
      <c r="K872" s="18" t="s">
        <v>94</v>
      </c>
      <c r="L872" s="18" t="s">
        <v>8366</v>
      </c>
      <c r="M872" s="18" t="s">
        <v>660</v>
      </c>
      <c r="N872" s="18" t="s">
        <v>461</v>
      </c>
      <c r="O872" s="18" t="s">
        <v>98</v>
      </c>
      <c r="P872" s="15" t="str">
        <f t="shared" si="1"/>
        <v>FOOD</v>
      </c>
      <c r="Q872" s="15">
        <f t="shared" si="2"/>
        <v>5</v>
      </c>
      <c r="R872" s="15">
        <f t="shared" si="3"/>
        <v>1</v>
      </c>
      <c r="S872" s="15">
        <f t="shared" si="4"/>
        <v>4</v>
      </c>
      <c r="T872" s="15" t="str">
        <f t="shared" si="5"/>
        <v>B-5</v>
      </c>
      <c r="U872" s="15" t="str">
        <f t="shared" si="6"/>
        <v>T5-M1-H4-FB-5-FOOD</v>
      </c>
      <c r="V872" s="15">
        <f t="shared" si="7"/>
        <v>0</v>
      </c>
      <c r="W872" s="31"/>
      <c r="X872" s="15" t="str">
        <f t="shared" si="8"/>
        <v>binh-phuoc-vietnam</v>
      </c>
      <c r="Y872" s="32" t="str">
        <f t="shared" si="9"/>
        <v>https://steelmanufacturer.in/market-area/electropolished-pipes-manufacturer-in-binh-phuoc-vietnam/</v>
      </c>
      <c r="Z872" s="15" t="str">
        <f t="shared" si="10"/>
        <v>Electropolished Pipes Manufacturer in Binh Phuoc</v>
      </c>
      <c r="AA872" s="15" t="str">
        <f t="shared" si="11"/>
        <v>OK (48)</v>
      </c>
      <c r="AB872" s="15" t="str">
        <f t="shared" si="12"/>
        <v>EP-finished SS 304/316L pipes &amp; tubes for food processing plants in Binh Phuoc. ASTM A270, ASME BPE SF1-SF4, EN 10204 3.1 MTC. PMI tested.</v>
      </c>
      <c r="AC872" s="15" t="str">
        <f t="shared" si="13"/>
        <v>OK (138)</v>
      </c>
      <c r="AD872" s="15" t="str">
        <f t="shared" si="14"/>
        <v>Electropolished Pipes Manufacturer in Binh Phuoc</v>
      </c>
      <c r="AE872" s="15" t="str">
        <f t="shared" si="15"/>
        <v>Manufacturing Electropolished SS Tube for Binh Phuoc: The Standards We Build To</v>
      </c>
      <c r="AF872" s="15" t="str">
        <f t="shared" si="16"/>
        <v>Electropolished Pipe Supply Into Binh Phuoc - Certification &amp; Transit</v>
      </c>
      <c r="AG872" s="15" t="str">
        <f t="shared" si="17"/>
        <v>Electropolished Pipes Wholesaler in Binh Phuoc - Project Quantities &amp; Terms</v>
      </c>
      <c r="AH872" s="15" t="str">
        <f t="shared" si="18"/>
        <v>electropolished pipes manufacturer in Binh Phuoc, electropolished pipes supplier in Binh Phuoc, electropolished pipes wholesaler in Binh Phuoc, electropolished tube manufacturer Binh Phuoc, EP pipe supplier Binh Phuoc, sanitary tube supplier Binh Phuoc, ASME BPE tubing Binh Phuoc, ASTM A270 tube Binh Phuoc, SS 316L electropolished pipe Binh Phuoc</v>
      </c>
      <c r="AI872" s="15" t="str">
        <f t="shared" si="19"/>
        <v>Electropolished Pipes Manufacturer &amp; Supplier in Binh Phuoc</v>
      </c>
      <c r="AJ872" s="15" t="str">
        <f t="shared" si="20"/>
        <v>EP-finished SS 304/316L pipes and tubes for food processing plants in Binh Phuoc. ASME BPE SF1-SF4, Ra from 0.25 um, EN 10204 3.1 certificate with every lot.</v>
      </c>
      <c r="AK872" s="15" t="str">
        <f t="shared" si="21"/>
        <v>Electropolished stainless steel pipes supplied by Sakshi Forge to food processing plants at Bec Hamico IP, Binh Phuoc</v>
      </c>
      <c r="AL872" s="15" t="str">
        <f t="shared" si="22"/>
        <v>Electropolished SS 316L tube stock for Binh Phuoc - Sakshi Forge</v>
      </c>
      <c r="AM872" s="15" t="str">
        <f t="shared" si="23"/>
        <v>Home &gt; Market Area &gt; Vietnam &gt; Southeast &gt; Binh Phuoc</v>
      </c>
      <c r="AN872" s="15">
        <f t="shared" si="24"/>
        <v>1000</v>
      </c>
      <c r="AO872" s="15">
        <f t="shared" si="25"/>
        <v>8</v>
      </c>
      <c r="AP872" s="15">
        <f t="shared" si="26"/>
        <v>8</v>
      </c>
      <c r="AQ872" s="15">
        <f t="shared" si="27"/>
        <v>15</v>
      </c>
      <c r="AR872" s="31"/>
      <c r="AS872" s="31"/>
      <c r="AT872" s="35" t="s">
        <v>222</v>
      </c>
      <c r="AU872" s="35"/>
    </row>
    <row r="873" ht="15.75" customHeight="1">
      <c r="A873" s="15" t="s">
        <v>9484</v>
      </c>
      <c r="B873" s="15" t="s">
        <v>454</v>
      </c>
      <c r="C873" s="15" t="s">
        <v>8386</v>
      </c>
      <c r="D873" s="15" t="s">
        <v>9485</v>
      </c>
      <c r="E873" s="15" t="s">
        <v>9485</v>
      </c>
      <c r="F873" s="65" t="s">
        <v>788</v>
      </c>
      <c r="G873" s="17" t="s">
        <v>88</v>
      </c>
      <c r="H873" s="18" t="s">
        <v>9486</v>
      </c>
      <c r="I873" s="18" t="s">
        <v>9486</v>
      </c>
      <c r="J873" s="18" t="s">
        <v>9487</v>
      </c>
      <c r="K873" s="18" t="s">
        <v>94</v>
      </c>
      <c r="L873" s="18" t="s">
        <v>9488</v>
      </c>
      <c r="M873" s="18" t="s">
        <v>660</v>
      </c>
      <c r="N873" s="18" t="s">
        <v>461</v>
      </c>
      <c r="O873" s="18" t="s">
        <v>98</v>
      </c>
      <c r="P873" s="15" t="str">
        <f t="shared" si="1"/>
        <v>FOOD</v>
      </c>
      <c r="Q873" s="15">
        <f t="shared" si="2"/>
        <v>6</v>
      </c>
      <c r="R873" s="15">
        <f t="shared" si="3"/>
        <v>2</v>
      </c>
      <c r="S873" s="15">
        <f t="shared" si="4"/>
        <v>5</v>
      </c>
      <c r="T873" s="15" t="str">
        <f t="shared" si="5"/>
        <v>B-6</v>
      </c>
      <c r="U873" s="15" t="str">
        <f t="shared" si="6"/>
        <v>T6-M2-H5-FB-6-FOOD</v>
      </c>
      <c r="V873" s="15">
        <f t="shared" si="7"/>
        <v>0</v>
      </c>
      <c r="W873" s="31"/>
      <c r="X873" s="15" t="str">
        <f t="shared" si="8"/>
        <v>can-tho-vietnam</v>
      </c>
      <c r="Y873" s="32" t="str">
        <f t="shared" si="9"/>
        <v>https://steelmanufacturer.in/market-area/electropolished-pipes-manufacturer-in-can-tho-vietnam/</v>
      </c>
      <c r="Z873" s="15" t="str">
        <f t="shared" si="10"/>
        <v>Electropolished Pipes Manufacturer in Can Tho</v>
      </c>
      <c r="AA873" s="15" t="str">
        <f t="shared" si="11"/>
        <v>OK (45)</v>
      </c>
      <c r="AB873" s="15" t="str">
        <f t="shared" si="12"/>
        <v>Electropolished tube supply to Tra Noc Industrial Zone I and II, Can Tho. Ra from 0.25 um, SF4 finish, mill test certificate with every lot.</v>
      </c>
      <c r="AC873" s="15" t="str">
        <f t="shared" si="13"/>
        <v>OK (140)</v>
      </c>
      <c r="AD873" s="15" t="str">
        <f t="shared" si="14"/>
        <v>Electropolished Pipes Manufacturer in Can Tho</v>
      </c>
      <c r="AE873" s="15" t="str">
        <f t="shared" si="15"/>
        <v>Electropolished Tube Manufacturing Capability Serving Can Tho</v>
      </c>
      <c r="AF873" s="15" t="str">
        <f t="shared" si="16"/>
        <v>Electropolished Pipes Supplier in Can Tho - From Order to Delivery</v>
      </c>
      <c r="AG873" s="15" t="str">
        <f t="shared" si="17"/>
        <v>Stockist &amp; Wholesale Supply of Electropolished Pipes in Can Tho</v>
      </c>
      <c r="AH873" s="15" t="str">
        <f t="shared" si="18"/>
        <v>electropolished pipes manufacturer in Can Tho, electropolished pipes supplier in Can Tho, electropolished pipes wholesaler in Can Tho, electropolished tube manufacturer Can Tho, EP pipe supplier Can Tho, sanitary tube supplier Can Tho, ASME BPE tubing Can Tho, ASTM A270 tube Can Tho, SS 316L electropolished pipe Can Tho</v>
      </c>
      <c r="AI873" s="15" t="str">
        <f t="shared" si="19"/>
        <v>Electropolished Pipes Manufacturer &amp; Supplier in Can Tho</v>
      </c>
      <c r="AJ873" s="15" t="str">
        <f t="shared" si="20"/>
        <v>EP-finished SS 304/316L pipes and tubes for food processing plants in Can Tho. ASME BPE SF1-SF4, Ra from 0.25 um, EN 10204 3.1 certificate with every lot.</v>
      </c>
      <c r="AK873" s="15" t="str">
        <f t="shared" si="21"/>
        <v>Electropolished stainless steel pipes supplied by Sakshi Forge to food processing plants at Tra Noc Industrial Zone I and II, Can Tho</v>
      </c>
      <c r="AL873" s="15" t="str">
        <f t="shared" si="22"/>
        <v>Electropolished SS 316L tube stock for Can Tho - Sakshi Forge</v>
      </c>
      <c r="AM873" s="15" t="str">
        <f t="shared" si="23"/>
        <v>Home &gt; Market Area &gt; Vietnam &gt; Mekong Delta &gt; Can Tho</v>
      </c>
      <c r="AN873" s="15">
        <f t="shared" si="24"/>
        <v>1000</v>
      </c>
      <c r="AO873" s="15">
        <f t="shared" si="25"/>
        <v>8</v>
      </c>
      <c r="AP873" s="15">
        <f t="shared" si="26"/>
        <v>8</v>
      </c>
      <c r="AQ873" s="15">
        <f t="shared" si="27"/>
        <v>15</v>
      </c>
      <c r="AR873" s="31"/>
      <c r="AS873" s="31"/>
      <c r="AT873" s="35" t="s">
        <v>222</v>
      </c>
      <c r="AU873" s="35"/>
    </row>
    <row r="874" ht="15.75" customHeight="1">
      <c r="A874" s="15" t="s">
        <v>9489</v>
      </c>
      <c r="B874" s="15" t="s">
        <v>454</v>
      </c>
      <c r="C874" s="15" t="s">
        <v>9490</v>
      </c>
      <c r="D874" s="15" t="s">
        <v>9491</v>
      </c>
      <c r="E874" s="15" t="s">
        <v>9491</v>
      </c>
      <c r="F874" s="65" t="s">
        <v>788</v>
      </c>
      <c r="G874" s="17" t="s">
        <v>88</v>
      </c>
      <c r="H874" s="18" t="s">
        <v>9492</v>
      </c>
      <c r="I874" s="18" t="s">
        <v>9493</v>
      </c>
      <c r="J874" s="18" t="s">
        <v>9494</v>
      </c>
      <c r="K874" s="18" t="s">
        <v>969</v>
      </c>
      <c r="L874" s="18" t="s">
        <v>9495</v>
      </c>
      <c r="M874" s="18" t="s">
        <v>660</v>
      </c>
      <c r="N874" s="18" t="s">
        <v>461</v>
      </c>
      <c r="O874" s="18" t="s">
        <v>98</v>
      </c>
      <c r="P874" s="15" t="str">
        <f t="shared" si="1"/>
        <v>SEMI</v>
      </c>
      <c r="Q874" s="15">
        <f t="shared" si="2"/>
        <v>7</v>
      </c>
      <c r="R874" s="15">
        <f t="shared" si="3"/>
        <v>3</v>
      </c>
      <c r="S874" s="15">
        <f t="shared" si="4"/>
        <v>1</v>
      </c>
      <c r="T874" s="15" t="str">
        <f t="shared" si="5"/>
        <v>B-1</v>
      </c>
      <c r="U874" s="15" t="str">
        <f t="shared" si="6"/>
        <v>T7-M3-H1-FB-1-SEMI</v>
      </c>
      <c r="V874" s="15">
        <f t="shared" si="7"/>
        <v>0</v>
      </c>
      <c r="W874" s="31"/>
      <c r="X874" s="15" t="str">
        <f t="shared" si="8"/>
        <v>da-nang-vietnam</v>
      </c>
      <c r="Y874" s="32" t="str">
        <f t="shared" si="9"/>
        <v>https://steelmanufacturer.in/market-area/electropolished-pipes-manufacturer-in-da-nang-vietnam/</v>
      </c>
      <c r="Z874" s="15" t="str">
        <f t="shared" si="10"/>
        <v>Electropolished Pipes Manufacturer in Da Nang | ASME BPE SF1-SF4</v>
      </c>
      <c r="AA874" s="15" t="str">
        <f t="shared" si="11"/>
        <v>OK (64)</v>
      </c>
      <c r="AB874" s="15" t="str">
        <f t="shared" si="12"/>
        <v>EP stainless tube for electronics &amp; pharma lines in Da Nang. 12-16 days sea from Nhava Sheva to Hai Phong. ASTM A270 S2, PMI tested, EN 10204 3.1.</v>
      </c>
      <c r="AC874" s="15" t="str">
        <f t="shared" si="13"/>
        <v>OK (146)</v>
      </c>
      <c r="AD874" s="15" t="str">
        <f t="shared" si="14"/>
        <v>Electropolished Pipes Manufacturer in Da Nang</v>
      </c>
      <c r="AE874" s="15" t="str">
        <f t="shared" si="15"/>
        <v>Electropolished Pipe &amp; Tube Manufacturing for Da Nang - Grades, Finishes &amp; Certification</v>
      </c>
      <c r="AF874" s="15" t="str">
        <f t="shared" si="16"/>
        <v>Electropolished Pipes Supplier in Da Nang - Stock Sizes, Lead Time &amp; Delivery</v>
      </c>
      <c r="AG874" s="15" t="str">
        <f t="shared" si="17"/>
        <v>Electropolished Pipes Wholesaler &amp; Stockist in Da Nang - Bulk &amp; Project Pricing</v>
      </c>
      <c r="AH874" s="15" t="str">
        <f t="shared" si="18"/>
        <v>electropolished pipes manufacturer in Da Nang, electropolished pipes supplier in Da Nang, electropolished pipes wholesaler in Da Nang, electropolished tube manufacturer Da Nang, EP pipe supplier Da Nang, sanitary tube supplier Da Nang, ASME BPE tubing Da Nang, ASTM A270 tube Da Nang, SS 316L electropolished pipe Da Nang</v>
      </c>
      <c r="AI874" s="15" t="str">
        <f t="shared" si="19"/>
        <v>Electropolished Pipes Manufacturer &amp; Supplier in Da Nang</v>
      </c>
      <c r="AJ874" s="15" t="str">
        <f t="shared" si="20"/>
        <v>EP-finished SS 304/316L pipes and tubes for electronics &amp; pharma plants in Da Nang. ASME BPE SF1-SF4, Ra from 0.25 um, EN 10204 3.1 certificate with every lot.</v>
      </c>
      <c r="AK874" s="15" t="str">
        <f t="shared" si="21"/>
        <v>Electropolished stainless steel pipes supplied by Sakshi Forge to electronics &amp; pharma plants at Hoa Khanh Industrial Zone, Da Nang</v>
      </c>
      <c r="AL874" s="15" t="str">
        <f t="shared" si="22"/>
        <v>Electropolished SS 316L tube stock for Da Nang - Sakshi Forge</v>
      </c>
      <c r="AM874" s="15" t="str">
        <f t="shared" si="23"/>
        <v>Home &gt; Market Area &gt; Vietnam &gt; South Central Coast &gt; Da Nang</v>
      </c>
      <c r="AN874" s="15">
        <f t="shared" si="24"/>
        <v>1000</v>
      </c>
      <c r="AO874" s="15">
        <f t="shared" si="25"/>
        <v>8</v>
      </c>
      <c r="AP874" s="15">
        <f t="shared" si="26"/>
        <v>8</v>
      </c>
      <c r="AQ874" s="15">
        <f t="shared" si="27"/>
        <v>15</v>
      </c>
      <c r="AR874" s="31"/>
      <c r="AS874" s="31"/>
      <c r="AT874" s="35" t="s">
        <v>222</v>
      </c>
      <c r="AU874" s="35"/>
    </row>
    <row r="875" ht="15.75" customHeight="1">
      <c r="A875" s="15" t="s">
        <v>9496</v>
      </c>
      <c r="B875" s="15" t="s">
        <v>454</v>
      </c>
      <c r="C875" s="15" t="s">
        <v>8356</v>
      </c>
      <c r="D875" s="15" t="s">
        <v>9497</v>
      </c>
      <c r="E875" s="15" t="s">
        <v>9497</v>
      </c>
      <c r="F875" s="65" t="s">
        <v>788</v>
      </c>
      <c r="G875" s="17" t="s">
        <v>88</v>
      </c>
      <c r="H875" s="18" t="s">
        <v>9498</v>
      </c>
      <c r="I875" s="18" t="s">
        <v>9499</v>
      </c>
      <c r="J875" s="18" t="s">
        <v>9500</v>
      </c>
      <c r="K875" s="18" t="s">
        <v>1730</v>
      </c>
      <c r="L875" s="18" t="s">
        <v>8354</v>
      </c>
      <c r="M875" s="18" t="s">
        <v>660</v>
      </c>
      <c r="N875" s="18" t="s">
        <v>461</v>
      </c>
      <c r="O875" s="18" t="s">
        <v>98</v>
      </c>
      <c r="P875" s="15" t="str">
        <f t="shared" si="1"/>
        <v>SEMI</v>
      </c>
      <c r="Q875" s="15">
        <f t="shared" si="2"/>
        <v>8</v>
      </c>
      <c r="R875" s="15">
        <f t="shared" si="3"/>
        <v>4</v>
      </c>
      <c r="S875" s="15">
        <f t="shared" si="4"/>
        <v>2</v>
      </c>
      <c r="T875" s="15" t="str">
        <f t="shared" si="5"/>
        <v>B-2</v>
      </c>
      <c r="U875" s="15" t="str">
        <f t="shared" si="6"/>
        <v>T8-M4-H2-FB-2-SEMI</v>
      </c>
      <c r="V875" s="15">
        <f t="shared" si="7"/>
        <v>0</v>
      </c>
      <c r="W875" s="31"/>
      <c r="X875" s="15" t="str">
        <f t="shared" si="8"/>
        <v>hai-duong-vietnam</v>
      </c>
      <c r="Y875" s="32" t="str">
        <f t="shared" si="9"/>
        <v>https://steelmanufacturer.in/market-area/electropolished-pipes-manufacturer-in-hai-duong-vietnam/</v>
      </c>
      <c r="Z875" s="15" t="str">
        <f t="shared" si="10"/>
        <v>Electropolished Pipes Manufacturer in Hai Duong</v>
      </c>
      <c r="AA875" s="15" t="str">
        <f t="shared" si="11"/>
        <v>OK (47)</v>
      </c>
      <c r="AB875" s="15" t="str">
        <f t="shared" si="12"/>
        <v>Sanitary electropolished pipes in Hai Duong for electronics plants. ASME BPE SF1-SF4, orbital-weld ready, 3.1 MTC. Mumbai-made.</v>
      </c>
      <c r="AC875" s="15" t="str">
        <f t="shared" si="13"/>
        <v>OK (127)</v>
      </c>
      <c r="AD875" s="15" t="str">
        <f t="shared" si="14"/>
        <v>Electropolished Pipes Manufacturer in Hai Duong</v>
      </c>
      <c r="AE875" s="15" t="str">
        <f t="shared" si="15"/>
        <v>How We Manufacture Electropolished Tube for Hai Duong Plants</v>
      </c>
      <c r="AF875" s="15" t="str">
        <f t="shared" si="16"/>
        <v>Supplying Electropolished Pipes in Hai Duong: Availability, Sizes &amp; Dispatch</v>
      </c>
      <c r="AG875" s="15" t="str">
        <f t="shared" si="17"/>
        <v>Wholesale Electropolished Pipe Supply for Hai Duong Projects</v>
      </c>
      <c r="AH875" s="15" t="str">
        <f t="shared" si="18"/>
        <v>electropolished pipes manufacturer in Hai Duong, electropolished pipes supplier in Hai Duong, electropolished pipes wholesaler in Hai Duong, electropolished tube manufacturer Hai Duong, EP pipe supplier Hai Duong, sanitary tube supplier Hai Duong, ASME BPE tubing Hai Duong, ASTM A270 tube Hai Duong, SS 316L electropolished pipe Hai Duong</v>
      </c>
      <c r="AI875" s="15" t="str">
        <f t="shared" si="19"/>
        <v>Electropolished Pipes Manufacturer &amp; Supplier in Hai Duong</v>
      </c>
      <c r="AJ875" s="15" t="str">
        <f t="shared" si="20"/>
        <v>EP-finished SS 304/316L pipes and tubes for electronics plants in Hai Duong. ASME BPE SF1-SF4, Ra from 0.25 um, EN 10204 3.1 certificate with every lot.</v>
      </c>
      <c r="AK875" s="15" t="str">
        <f t="shared" si="21"/>
        <v>Electropolished stainless steel pipes supplied by Sakshi Forge to electronics plants at Dai An IP, Hai Duong</v>
      </c>
      <c r="AL875" s="15" t="str">
        <f t="shared" si="22"/>
        <v>Electropolished SS 316L tube stock for Hai Duong - Sakshi Forge</v>
      </c>
      <c r="AM875" s="15" t="str">
        <f t="shared" si="23"/>
        <v>Home &gt; Market Area &gt; Vietnam &gt; Red River Delta &gt; Hai Duong</v>
      </c>
      <c r="AN875" s="15">
        <f t="shared" si="24"/>
        <v>1000</v>
      </c>
      <c r="AO875" s="15">
        <f t="shared" si="25"/>
        <v>8</v>
      </c>
      <c r="AP875" s="15">
        <f t="shared" si="26"/>
        <v>8</v>
      </c>
      <c r="AQ875" s="15">
        <f t="shared" si="27"/>
        <v>15</v>
      </c>
      <c r="AR875" s="31"/>
      <c r="AS875" s="31"/>
      <c r="AT875" s="35" t="s">
        <v>222</v>
      </c>
      <c r="AU875" s="35"/>
    </row>
    <row r="876" ht="15.75" customHeight="1">
      <c r="A876" s="15" t="s">
        <v>9501</v>
      </c>
      <c r="B876" s="15" t="s">
        <v>454</v>
      </c>
      <c r="C876" s="15" t="s">
        <v>8356</v>
      </c>
      <c r="D876" s="15" t="s">
        <v>9502</v>
      </c>
      <c r="E876" s="15" t="s">
        <v>9502</v>
      </c>
      <c r="F876" s="65" t="s">
        <v>788</v>
      </c>
      <c r="G876" s="17" t="s">
        <v>88</v>
      </c>
      <c r="H876" s="18" t="s">
        <v>9503</v>
      </c>
      <c r="I876" s="18" t="s">
        <v>9503</v>
      </c>
      <c r="J876" s="18" t="s">
        <v>9504</v>
      </c>
      <c r="K876" s="18" t="s">
        <v>1730</v>
      </c>
      <c r="L876" s="18" t="s">
        <v>8354</v>
      </c>
      <c r="M876" s="18" t="s">
        <v>660</v>
      </c>
      <c r="N876" s="18" t="s">
        <v>461</v>
      </c>
      <c r="O876" s="18" t="s">
        <v>98</v>
      </c>
      <c r="P876" s="15" t="str">
        <f t="shared" si="1"/>
        <v>SEMI</v>
      </c>
      <c r="Q876" s="15">
        <f t="shared" si="2"/>
        <v>1</v>
      </c>
      <c r="R876" s="15">
        <f t="shared" si="3"/>
        <v>5</v>
      </c>
      <c r="S876" s="15">
        <f t="shared" si="4"/>
        <v>3</v>
      </c>
      <c r="T876" s="15" t="str">
        <f t="shared" si="5"/>
        <v>B-3</v>
      </c>
      <c r="U876" s="15" t="str">
        <f t="shared" si="6"/>
        <v>T1-M5-H3-FB-3-SEMI</v>
      </c>
      <c r="V876" s="15">
        <f t="shared" si="7"/>
        <v>0</v>
      </c>
      <c r="W876" s="31"/>
      <c r="X876" s="15" t="str">
        <f t="shared" si="8"/>
        <v>hung-yen-vietnam</v>
      </c>
      <c r="Y876" s="32" t="str">
        <f t="shared" si="9"/>
        <v>https://steelmanufacturer.in/market-area/electropolished-pipes-manufacturer-in-hung-yen-vietnam/</v>
      </c>
      <c r="Z876" s="15" t="str">
        <f t="shared" si="10"/>
        <v>Electropolished Pipes Manufacturer in Hung Yen | Sakshi Forge</v>
      </c>
      <c r="AA876" s="15" t="str">
        <f t="shared" si="11"/>
        <v>OK (61)</v>
      </c>
      <c r="AB876" s="15" t="str">
        <f t="shared" si="12"/>
        <v>Manufacturer of electropolished SS 316L tube serving Hung Yen. 12-16 days sea from Nhava Sheva to Hai Phong. Ra 0.25-0.5 um, EN 10204 3.1 MTC.</v>
      </c>
      <c r="AC876" s="15" t="str">
        <f t="shared" si="13"/>
        <v>OK (142)</v>
      </c>
      <c r="AD876" s="15" t="str">
        <f t="shared" si="14"/>
        <v>Electropolished Pipes Manufacturer in Hung Yen</v>
      </c>
      <c r="AE876" s="15" t="str">
        <f t="shared" si="15"/>
        <v>Electropolished Pipes Manufacturer in Hung Yen - Our Process &amp; Capability</v>
      </c>
      <c r="AF876" s="15" t="str">
        <f t="shared" si="16"/>
        <v>Electropolished Pipes Supplier in Hung Yen - What We Hold in Stock</v>
      </c>
      <c r="AG876" s="15" t="str">
        <f t="shared" si="17"/>
        <v>Bulk &amp; Wholesale Electropolished Pipe Rates for Hung Yen Buyers</v>
      </c>
      <c r="AH876" s="15" t="str">
        <f t="shared" si="18"/>
        <v>electropolished pipes manufacturer in Hung Yen, electropolished pipes supplier in Hung Yen, electropolished pipes wholesaler in Hung Yen, electropolished tube manufacturer Hung Yen, EP pipe supplier Hung Yen, sanitary tube supplier Hung Yen, ASME BPE tubing Hung Yen, ASTM A270 tube Hung Yen, SS 316L electropolished pipe Hung Yen</v>
      </c>
      <c r="AI876" s="15" t="str">
        <f t="shared" si="19"/>
        <v>Electropolished Pipes Manufacturer &amp; Supplier in Hung Yen</v>
      </c>
      <c r="AJ876" s="15" t="str">
        <f t="shared" si="20"/>
        <v>EP-finished SS 304/316L pipes and tubes for electronics plants in Hung Yen. ASME BPE SF1-SF4, Ra from 0.25 um, EN 10204 3.1 certificate with every lot.</v>
      </c>
      <c r="AK876" s="15" t="str">
        <f t="shared" si="21"/>
        <v>Electropolished stainless steel pipes supplied by Sakshi Forge to electronics plants at Pho Noi A and B Industrial Zone, Hung Yen</v>
      </c>
      <c r="AL876" s="15" t="str">
        <f t="shared" si="22"/>
        <v>Electropolished SS 316L tube stock for Hung Yen - Sakshi Forge</v>
      </c>
      <c r="AM876" s="15" t="str">
        <f t="shared" si="23"/>
        <v>Home &gt; Market Area &gt; Vietnam &gt; Red River Delta &gt; Hung Yen</v>
      </c>
      <c r="AN876" s="15">
        <f t="shared" si="24"/>
        <v>1000</v>
      </c>
      <c r="AO876" s="15">
        <f t="shared" si="25"/>
        <v>8</v>
      </c>
      <c r="AP876" s="15">
        <f t="shared" si="26"/>
        <v>8</v>
      </c>
      <c r="AQ876" s="15">
        <f t="shared" si="27"/>
        <v>15</v>
      </c>
      <c r="AR876" s="31"/>
      <c r="AS876" s="31"/>
      <c r="AT876" s="35" t="s">
        <v>222</v>
      </c>
      <c r="AU876" s="35"/>
    </row>
    <row r="877" ht="15.75" customHeight="1">
      <c r="A877" s="15" t="s">
        <v>9505</v>
      </c>
      <c r="B877" s="15" t="s">
        <v>454</v>
      </c>
      <c r="C877" s="15" t="s">
        <v>9490</v>
      </c>
      <c r="D877" s="15" t="s">
        <v>9506</v>
      </c>
      <c r="E877" s="15" t="s">
        <v>9506</v>
      </c>
      <c r="F877" s="65" t="s">
        <v>788</v>
      </c>
      <c r="G877" s="17" t="s">
        <v>88</v>
      </c>
      <c r="H877" s="18" t="s">
        <v>9507</v>
      </c>
      <c r="I877" s="18" t="s">
        <v>9508</v>
      </c>
      <c r="J877" s="18" t="s">
        <v>9509</v>
      </c>
      <c r="K877" s="18" t="s">
        <v>94</v>
      </c>
      <c r="L877" s="18" t="s">
        <v>9510</v>
      </c>
      <c r="M877" s="18" t="s">
        <v>660</v>
      </c>
      <c r="N877" s="18" t="s">
        <v>461</v>
      </c>
      <c r="O877" s="18" t="s">
        <v>98</v>
      </c>
      <c r="P877" s="15" t="str">
        <f t="shared" si="1"/>
        <v>FOOD</v>
      </c>
      <c r="Q877" s="15">
        <f t="shared" si="2"/>
        <v>2</v>
      </c>
      <c r="R877" s="15">
        <f t="shared" si="3"/>
        <v>6</v>
      </c>
      <c r="S877" s="15">
        <f t="shared" si="4"/>
        <v>4</v>
      </c>
      <c r="T877" s="15" t="str">
        <f t="shared" si="5"/>
        <v>B-4</v>
      </c>
      <c r="U877" s="15" t="str">
        <f t="shared" si="6"/>
        <v>T2-M6-H4-FB-4-FOOD</v>
      </c>
      <c r="V877" s="15">
        <f t="shared" si="7"/>
        <v>0</v>
      </c>
      <c r="W877" s="31"/>
      <c r="X877" s="15" t="str">
        <f t="shared" si="8"/>
        <v>khanh-hoa-vietnam</v>
      </c>
      <c r="Y877" s="32" t="str">
        <f t="shared" si="9"/>
        <v>https://steelmanufacturer.in/market-area/electropolished-pipes-manufacturer-in-khanh-hoa-vietnam/</v>
      </c>
      <c r="Z877" s="15" t="str">
        <f t="shared" si="10"/>
        <v>Electropolished Pipes Manufacturer in Khanh Hoa</v>
      </c>
      <c r="AA877" s="15" t="str">
        <f t="shared" si="11"/>
        <v>OK (47)</v>
      </c>
      <c r="AB877" s="15" t="str">
        <f t="shared" si="12"/>
        <v>EP tube and pipe for food processing plants around Suoi Dau IP, Khanh Hoa. Made at our Mumbai works to ASTM A270 and ASME BPE SF1-SF4, with 3.1 MTC.</v>
      </c>
      <c r="AC877" s="15" t="str">
        <f t="shared" si="13"/>
        <v>OK (148)</v>
      </c>
      <c r="AD877" s="15" t="str">
        <f t="shared" si="14"/>
        <v>Electropolished Pipes Manufacturer in Khanh Hoa</v>
      </c>
      <c r="AE877" s="15" t="str">
        <f t="shared" si="15"/>
        <v>Manufacturing Electropolished SS Tube for Khanh Hoa: The Standards We Build To</v>
      </c>
      <c r="AF877" s="15" t="str">
        <f t="shared" si="16"/>
        <v>Electropolished Pipe Supply Into Khanh Hoa - Certification &amp; Transit</v>
      </c>
      <c r="AG877" s="15" t="str">
        <f t="shared" si="17"/>
        <v>Electropolished Pipes Wholesaler in Khanh Hoa - Project Quantities &amp; Terms</v>
      </c>
      <c r="AH877" s="15" t="str">
        <f t="shared" si="18"/>
        <v>electropolished pipes manufacturer in Khanh Hoa, electropolished pipes supplier in Khanh Hoa, electropolished pipes wholesaler in Khanh Hoa, electropolished tube manufacturer Khanh Hoa, EP pipe supplier Khanh Hoa, sanitary tube supplier Khanh Hoa, ASME BPE tubing Khanh Hoa, ASTM A270 tube Khanh Hoa, SS 316L electropolished pipe Khanh Hoa</v>
      </c>
      <c r="AI877" s="15" t="str">
        <f t="shared" si="19"/>
        <v>Electropolished Pipes Manufacturer &amp; Supplier in Khanh Hoa</v>
      </c>
      <c r="AJ877" s="15" t="str">
        <f t="shared" si="20"/>
        <v>EP-finished SS 304/316L pipes and tubes for food processing plants in Khanh Hoa. ASME BPE SF1-SF4, Ra from 0.25 um, EN 10204 3.1 certificate with every lot.</v>
      </c>
      <c r="AK877" s="15" t="str">
        <f t="shared" si="21"/>
        <v>Electropolished stainless steel pipes supplied by Sakshi Forge to food processing plants at Suoi Dau IP, Khanh Hoa</v>
      </c>
      <c r="AL877" s="15" t="str">
        <f t="shared" si="22"/>
        <v>Electropolished SS 316L tube stock for Khanh Hoa - Sakshi Forge</v>
      </c>
      <c r="AM877" s="15" t="str">
        <f t="shared" si="23"/>
        <v>Home &gt; Market Area &gt; Vietnam &gt; South Central Coast &gt; Khanh Hoa</v>
      </c>
      <c r="AN877" s="15">
        <f t="shared" si="24"/>
        <v>1000</v>
      </c>
      <c r="AO877" s="15">
        <f t="shared" si="25"/>
        <v>8</v>
      </c>
      <c r="AP877" s="15">
        <f t="shared" si="26"/>
        <v>8</v>
      </c>
      <c r="AQ877" s="15">
        <f t="shared" si="27"/>
        <v>15</v>
      </c>
      <c r="AR877" s="31"/>
      <c r="AS877" s="31"/>
      <c r="AT877" s="35" t="s">
        <v>222</v>
      </c>
      <c r="AU877" s="35"/>
    </row>
    <row r="878" ht="15.75" customHeight="1">
      <c r="A878" s="15" t="s">
        <v>9511</v>
      </c>
      <c r="B878" s="15" t="s">
        <v>454</v>
      </c>
      <c r="C878" s="15" t="s">
        <v>9512</v>
      </c>
      <c r="D878" s="15" t="s">
        <v>9513</v>
      </c>
      <c r="E878" s="15" t="s">
        <v>9513</v>
      </c>
      <c r="F878" s="65" t="s">
        <v>788</v>
      </c>
      <c r="G878" s="17" t="s">
        <v>88</v>
      </c>
      <c r="H878" s="18" t="s">
        <v>9514</v>
      </c>
      <c r="I878" s="18" t="s">
        <v>9515</v>
      </c>
      <c r="J878" s="18" t="s">
        <v>9516</v>
      </c>
      <c r="K878" s="18" t="s">
        <v>579</v>
      </c>
      <c r="L878" s="18" t="s">
        <v>9517</v>
      </c>
      <c r="M878" s="18" t="s">
        <v>660</v>
      </c>
      <c r="N878" s="18" t="s">
        <v>461</v>
      </c>
      <c r="O878" s="18" t="s">
        <v>98</v>
      </c>
      <c r="P878" s="15" t="str">
        <f t="shared" si="1"/>
        <v>DAIRY</v>
      </c>
      <c r="Q878" s="15">
        <f t="shared" si="2"/>
        <v>3</v>
      </c>
      <c r="R878" s="15">
        <f t="shared" si="3"/>
        <v>7</v>
      </c>
      <c r="S878" s="15">
        <f t="shared" si="4"/>
        <v>5</v>
      </c>
      <c r="T878" s="15" t="str">
        <f t="shared" si="5"/>
        <v>B-5</v>
      </c>
      <c r="U878" s="15" t="str">
        <f t="shared" si="6"/>
        <v>T3-M7-H5-FB-5-DAIRY</v>
      </c>
      <c r="V878" s="15">
        <f t="shared" si="7"/>
        <v>0</v>
      </c>
      <c r="W878" s="31"/>
      <c r="X878" s="15" t="str">
        <f t="shared" si="8"/>
        <v>nghe-an-vietnam</v>
      </c>
      <c r="Y878" s="32" t="str">
        <f t="shared" si="9"/>
        <v>https://steelmanufacturer.in/market-area/electropolished-pipes-manufacturer-in-nghe-an-vietnam/</v>
      </c>
      <c r="Z878" s="15" t="str">
        <f t="shared" si="10"/>
        <v>Electropolished Pipes Manufacturer in Nghe An | EP Tube Supplier</v>
      </c>
      <c r="AA878" s="15" t="str">
        <f t="shared" si="11"/>
        <v>OK (64)</v>
      </c>
      <c r="AB878" s="15" t="str">
        <f t="shared" si="12"/>
        <v>Electropolished pipes in Nghe An: 304, 304L, 316 and 316L in SF1-SF4. 12-16 days sea from Nhava Sheva to Hai Phong. Mill certified.</v>
      </c>
      <c r="AC878" s="15" t="str">
        <f t="shared" si="13"/>
        <v>OK (131)</v>
      </c>
      <c r="AD878" s="15" t="str">
        <f t="shared" si="14"/>
        <v>Electropolished Pipes Manufacturer in Nghe An</v>
      </c>
      <c r="AE878" s="15" t="str">
        <f t="shared" si="15"/>
        <v>Electropolished Tube Manufacturing Capability Serving Nghe An</v>
      </c>
      <c r="AF878" s="15" t="str">
        <f t="shared" si="16"/>
        <v>Electropolished Pipes Supplier in Nghe An - From Order to Delivery</v>
      </c>
      <c r="AG878" s="15" t="str">
        <f t="shared" si="17"/>
        <v>Stockist &amp; Wholesale Supply of Electropolished Pipes in Nghe An</v>
      </c>
      <c r="AH878" s="15" t="str">
        <f t="shared" si="18"/>
        <v>electropolished pipes manufacturer in Nghe An, electropolished pipes supplier in Nghe An, electropolished pipes wholesaler in Nghe An, electropolished tube manufacturer Nghe An, EP pipe supplier Nghe An, sanitary tube supplier Nghe An, ASME BPE tubing Nghe An, ASTM A270 tube Nghe An, SS 316L electropolished pipe Nghe An</v>
      </c>
      <c r="AI878" s="15" t="str">
        <f t="shared" si="19"/>
        <v>Electropolished Pipes Manufacturer &amp; Supplier in Nghe An</v>
      </c>
      <c r="AJ878" s="15" t="str">
        <f t="shared" si="20"/>
        <v>EP-finished SS 304/316L pipes and tubes for food &amp; dairy plants in Nghe An. ASME BPE SF1-SF4, Ra from 0.25 um, EN 10204 3.1 certificate with every lot.</v>
      </c>
      <c r="AK878" s="15" t="str">
        <f t="shared" si="21"/>
        <v>Electropolished stainless steel pipes supplied by Sakshi Forge to food &amp; dairy plants at VSIP Nghe An, Nghe An</v>
      </c>
      <c r="AL878" s="15" t="str">
        <f t="shared" si="22"/>
        <v>Electropolished SS 316L tube stock for Nghe An - Sakshi Forge</v>
      </c>
      <c r="AM878" s="15" t="str">
        <f t="shared" si="23"/>
        <v>Home &gt; Market Area &gt; Vietnam &gt; North Central &gt; Nghe An</v>
      </c>
      <c r="AN878" s="15">
        <f t="shared" si="24"/>
        <v>1000</v>
      </c>
      <c r="AO878" s="15">
        <f t="shared" si="25"/>
        <v>8</v>
      </c>
      <c r="AP878" s="15">
        <f t="shared" si="26"/>
        <v>8</v>
      </c>
      <c r="AQ878" s="15">
        <f t="shared" si="27"/>
        <v>15</v>
      </c>
      <c r="AR878" s="31"/>
      <c r="AS878" s="31"/>
      <c r="AT878" s="35" t="s">
        <v>222</v>
      </c>
      <c r="AU878" s="35"/>
    </row>
    <row r="879" ht="15.75" customHeight="1">
      <c r="A879" s="15" t="s">
        <v>9518</v>
      </c>
      <c r="B879" s="15" t="s">
        <v>454</v>
      </c>
      <c r="C879" s="15" t="s">
        <v>9490</v>
      </c>
      <c r="D879" s="15" t="s">
        <v>9519</v>
      </c>
      <c r="E879" s="15" t="s">
        <v>9519</v>
      </c>
      <c r="F879" s="65" t="s">
        <v>788</v>
      </c>
      <c r="G879" s="17" t="s">
        <v>88</v>
      </c>
      <c r="H879" s="18" t="s">
        <v>9520</v>
      </c>
      <c r="I879" s="18" t="s">
        <v>9521</v>
      </c>
      <c r="J879" s="18" t="s">
        <v>9522</v>
      </c>
      <c r="K879" s="18" t="s">
        <v>94</v>
      </c>
      <c r="L879" s="18" t="s">
        <v>9523</v>
      </c>
      <c r="M879" s="18" t="s">
        <v>660</v>
      </c>
      <c r="N879" s="18" t="s">
        <v>461</v>
      </c>
      <c r="O879" s="18" t="s">
        <v>98</v>
      </c>
      <c r="P879" s="15" t="str">
        <f t="shared" si="1"/>
        <v>FOOD</v>
      </c>
      <c r="Q879" s="15">
        <f t="shared" si="2"/>
        <v>4</v>
      </c>
      <c r="R879" s="15">
        <f t="shared" si="3"/>
        <v>1</v>
      </c>
      <c r="S879" s="15">
        <f t="shared" si="4"/>
        <v>1</v>
      </c>
      <c r="T879" s="15" t="str">
        <f t="shared" si="5"/>
        <v>B-6</v>
      </c>
      <c r="U879" s="15" t="str">
        <f t="shared" si="6"/>
        <v>T4-M1-H1-FB-6-FOOD</v>
      </c>
      <c r="V879" s="15">
        <f t="shared" si="7"/>
        <v>0</v>
      </c>
      <c r="W879" s="31"/>
      <c r="X879" s="15" t="str">
        <f t="shared" si="8"/>
        <v>quang-nam-vietnam</v>
      </c>
      <c r="Y879" s="32" t="str">
        <f t="shared" si="9"/>
        <v>https://steelmanufacturer.in/market-area/electropolished-pipes-manufacturer-in-quang-nam-vietnam/</v>
      </c>
      <c r="Z879" s="15" t="str">
        <f t="shared" si="10"/>
        <v>Electropolished Pipes Manufacturer in Quang Nam</v>
      </c>
      <c r="AA879" s="15" t="str">
        <f t="shared" si="11"/>
        <v>OK (47)</v>
      </c>
      <c r="AB879" s="15" t="str">
        <f t="shared" si="12"/>
        <v>EP-finished SS 304/316L pipes &amp; tubes for food processing plants in Quang Nam. ASTM A270, ASME BPE SF1-SF4, EN 10204 3.1 MTC. PMI tested.</v>
      </c>
      <c r="AC879" s="15" t="str">
        <f t="shared" si="13"/>
        <v>OK (137)</v>
      </c>
      <c r="AD879" s="15" t="str">
        <f t="shared" si="14"/>
        <v>Electropolished Pipes Manufacturer in Quang Nam</v>
      </c>
      <c r="AE879" s="15" t="str">
        <f t="shared" si="15"/>
        <v>Electropolished Pipe &amp; Tube Manufacturing for Quang Nam - Grades, Finishes &amp; Certification</v>
      </c>
      <c r="AF879" s="15" t="str">
        <f t="shared" si="16"/>
        <v>Electropolished Pipes Supplier in Quang Nam - Stock Sizes, Lead Time &amp; Delivery</v>
      </c>
      <c r="AG879" s="15" t="str">
        <f t="shared" si="17"/>
        <v>Electropolished Pipes Wholesaler &amp; Stockist in Quang Nam - Bulk &amp; Project Pricing</v>
      </c>
      <c r="AH879" s="15" t="str">
        <f t="shared" si="18"/>
        <v>electropolished pipes manufacturer in Quang Nam, electropolished pipes supplier in Quang Nam, electropolished pipes wholesaler in Quang Nam, electropolished tube manufacturer Quang Nam, EP pipe supplier Quang Nam, sanitary tube supplier Quang Nam, ASME BPE tubing Quang Nam, ASTM A270 tube Quang Nam, SS 316L electropolished pipe Quang Nam</v>
      </c>
      <c r="AI879" s="15" t="str">
        <f t="shared" si="19"/>
        <v>Electropolished Pipes Manufacturer &amp; Supplier in Quang Nam</v>
      </c>
      <c r="AJ879" s="15" t="str">
        <f t="shared" si="20"/>
        <v>EP-finished SS 304/316L pipes and tubes for food processing plants in Quang Nam. ASME BPE SF1-SF4, Ra from 0.25 um, EN 10204 3.1 certificate with every lot.</v>
      </c>
      <c r="AK879" s="15" t="str">
        <f t="shared" si="21"/>
        <v>Electropolished stainless steel pipes supplied by Sakshi Forge to food processing plants at Chu Lai Open EZ, Quang Nam</v>
      </c>
      <c r="AL879" s="15" t="str">
        <f t="shared" si="22"/>
        <v>Electropolished SS 316L tube stock for Quang Nam - Sakshi Forge</v>
      </c>
      <c r="AM879" s="15" t="str">
        <f t="shared" si="23"/>
        <v>Home &gt; Market Area &gt; Vietnam &gt; South Central Coast &gt; Quang Nam</v>
      </c>
      <c r="AN879" s="15">
        <f t="shared" si="24"/>
        <v>1000</v>
      </c>
      <c r="AO879" s="15">
        <f t="shared" si="25"/>
        <v>8</v>
      </c>
      <c r="AP879" s="15">
        <f t="shared" si="26"/>
        <v>8</v>
      </c>
      <c r="AQ879" s="15">
        <f t="shared" si="27"/>
        <v>15</v>
      </c>
      <c r="AR879" s="31"/>
      <c r="AS879" s="31"/>
      <c r="AT879" s="35" t="s">
        <v>222</v>
      </c>
      <c r="AU879" s="35"/>
    </row>
    <row r="880" ht="15.75" customHeight="1">
      <c r="A880" s="15" t="s">
        <v>9524</v>
      </c>
      <c r="B880" s="15" t="s">
        <v>454</v>
      </c>
      <c r="C880" s="15" t="s">
        <v>8349</v>
      </c>
      <c r="D880" s="15" t="s">
        <v>9525</v>
      </c>
      <c r="E880" s="15" t="s">
        <v>9525</v>
      </c>
      <c r="F880" s="65" t="s">
        <v>788</v>
      </c>
      <c r="G880" s="17" t="s">
        <v>88</v>
      </c>
      <c r="H880" s="18" t="s">
        <v>9526</v>
      </c>
      <c r="I880" s="18" t="s">
        <v>9527</v>
      </c>
      <c r="J880" s="18" t="s">
        <v>9528</v>
      </c>
      <c r="K880" s="18" t="s">
        <v>94</v>
      </c>
      <c r="L880" s="18" t="s">
        <v>9529</v>
      </c>
      <c r="M880" s="18" t="s">
        <v>660</v>
      </c>
      <c r="N880" s="18" t="s">
        <v>461</v>
      </c>
      <c r="O880" s="18" t="s">
        <v>98</v>
      </c>
      <c r="P880" s="15" t="str">
        <f t="shared" si="1"/>
        <v>FOOD</v>
      </c>
      <c r="Q880" s="15">
        <f t="shared" si="2"/>
        <v>5</v>
      </c>
      <c r="R880" s="15">
        <f t="shared" si="3"/>
        <v>2</v>
      </c>
      <c r="S880" s="15">
        <f t="shared" si="4"/>
        <v>2</v>
      </c>
      <c r="T880" s="15" t="str">
        <f t="shared" si="5"/>
        <v>B-1</v>
      </c>
      <c r="U880" s="15" t="str">
        <f t="shared" si="6"/>
        <v>T5-M2-H2-FB-1-FOOD</v>
      </c>
      <c r="V880" s="15">
        <f t="shared" si="7"/>
        <v>0</v>
      </c>
      <c r="W880" s="31"/>
      <c r="X880" s="15" t="str">
        <f t="shared" si="8"/>
        <v>quang-ninh-vietnam</v>
      </c>
      <c r="Y880" s="32" t="str">
        <f t="shared" si="9"/>
        <v>https://steelmanufacturer.in/market-area/electropolished-pipes-manufacturer-in-quang-ninh-vietnam/</v>
      </c>
      <c r="Z880" s="15" t="str">
        <f t="shared" si="10"/>
        <v>Electropolished Pipes Manufacturer in Quang Ninh</v>
      </c>
      <c r="AA880" s="15" t="str">
        <f t="shared" si="11"/>
        <v>OK (48)</v>
      </c>
      <c r="AB880" s="15" t="str">
        <f t="shared" si="12"/>
        <v>Electropolished tube supply to Cai Lan IP, Quang Ninh. Ra from 0.25 um, SF4 finish, mill test certificate with every lot.</v>
      </c>
      <c r="AC880" s="15" t="str">
        <f t="shared" si="13"/>
        <v>OK (121)</v>
      </c>
      <c r="AD880" s="15" t="str">
        <f t="shared" si="14"/>
        <v>Electropolished Pipes Manufacturer in Quang Ninh</v>
      </c>
      <c r="AE880" s="15" t="str">
        <f t="shared" si="15"/>
        <v>How We Manufacture Electropolished Tube for Quang Ninh Plants</v>
      </c>
      <c r="AF880" s="15" t="str">
        <f t="shared" si="16"/>
        <v>Supplying Electropolished Pipes in Quang Ninh: Availability, Sizes &amp; Dispatch</v>
      </c>
      <c r="AG880" s="15" t="str">
        <f t="shared" si="17"/>
        <v>Wholesale Electropolished Pipe Supply for Quang Ninh Projects</v>
      </c>
      <c r="AH880" s="15" t="str">
        <f t="shared" si="18"/>
        <v>electropolished pipes manufacturer in Quang Ninh, electropolished pipes supplier in Quang Ninh, electropolished pipes wholesaler in Quang Ninh, electropolished tube manufacturer Quang Ninh, EP pipe supplier Quang Ninh, sanitary tube supplier Quang Ninh, ASME BPE tubing Quang Ninh, ASTM A270 tube Quang Ninh, SS 316L electropolished pipe Quang Ninh</v>
      </c>
      <c r="AI880" s="15" t="str">
        <f t="shared" si="19"/>
        <v>Electropolished Pipes Manufacturer &amp; Supplier in Quang Ninh</v>
      </c>
      <c r="AJ880" s="15" t="str">
        <f t="shared" si="20"/>
        <v>EP-finished SS 304/316L pipes and tubes for food processing plants in Quang Ninh. ASME BPE SF1-SF4, Ra from 0.25 um, EN 10204 3.1 certificate with every lot.</v>
      </c>
      <c r="AK880" s="15" t="str">
        <f t="shared" si="21"/>
        <v>Electropolished stainless steel pipes supplied by Sakshi Forge to food processing plants at Cai Lan IP, Quang Ninh</v>
      </c>
      <c r="AL880" s="15" t="str">
        <f t="shared" si="22"/>
        <v>Electropolished SS 316L tube stock for Quang Ninh - Sakshi Forge</v>
      </c>
      <c r="AM880" s="15" t="str">
        <f t="shared" si="23"/>
        <v>Home &gt; Market Area &gt; Vietnam &gt; Northeast &gt; Quang Ninh</v>
      </c>
      <c r="AN880" s="15">
        <f t="shared" si="24"/>
        <v>1000</v>
      </c>
      <c r="AO880" s="15">
        <f t="shared" si="25"/>
        <v>8</v>
      </c>
      <c r="AP880" s="15">
        <f t="shared" si="26"/>
        <v>8</v>
      </c>
      <c r="AQ880" s="15">
        <f t="shared" si="27"/>
        <v>15</v>
      </c>
      <c r="AR880" s="31"/>
      <c r="AS880" s="31"/>
      <c r="AT880" s="35" t="s">
        <v>222</v>
      </c>
      <c r="AU880" s="35"/>
    </row>
    <row r="881" ht="15.75" customHeight="1">
      <c r="A881" s="15" t="s">
        <v>9530</v>
      </c>
      <c r="B881" s="15" t="s">
        <v>454</v>
      </c>
      <c r="C881" s="15" t="s">
        <v>8362</v>
      </c>
      <c r="D881" s="15" t="s">
        <v>9531</v>
      </c>
      <c r="E881" s="15" t="s">
        <v>9531</v>
      </c>
      <c r="F881" s="65" t="s">
        <v>788</v>
      </c>
      <c r="G881" s="17" t="s">
        <v>88</v>
      </c>
      <c r="H881" s="18" t="s">
        <v>9532</v>
      </c>
      <c r="I881" s="18" t="s">
        <v>9533</v>
      </c>
      <c r="J881" s="18" t="s">
        <v>9534</v>
      </c>
      <c r="K881" s="18" t="s">
        <v>94</v>
      </c>
      <c r="L881" s="18" t="s">
        <v>8366</v>
      </c>
      <c r="M881" s="18" t="s">
        <v>660</v>
      </c>
      <c r="N881" s="18" t="s">
        <v>461</v>
      </c>
      <c r="O881" s="18" t="s">
        <v>98</v>
      </c>
      <c r="P881" s="15" t="str">
        <f t="shared" si="1"/>
        <v>FOOD</v>
      </c>
      <c r="Q881" s="15">
        <f t="shared" si="2"/>
        <v>6</v>
      </c>
      <c r="R881" s="15">
        <f t="shared" si="3"/>
        <v>3</v>
      </c>
      <c r="S881" s="15">
        <f t="shared" si="4"/>
        <v>3</v>
      </c>
      <c r="T881" s="15" t="str">
        <f t="shared" si="5"/>
        <v>B-2</v>
      </c>
      <c r="U881" s="15" t="str">
        <f t="shared" si="6"/>
        <v>T6-M3-H3-FB-2-FOOD</v>
      </c>
      <c r="V881" s="15">
        <f t="shared" si="7"/>
        <v>0</v>
      </c>
      <c r="W881" s="31"/>
      <c r="X881" s="15" t="str">
        <f t="shared" si="8"/>
        <v>tay-ninh-vietnam</v>
      </c>
      <c r="Y881" s="32" t="str">
        <f t="shared" si="9"/>
        <v>https://steelmanufacturer.in/market-area/electropolished-pipes-manufacturer-in-tay-ninh-vietnam/</v>
      </c>
      <c r="Z881" s="15" t="str">
        <f t="shared" si="10"/>
        <v>Electropolished Pipes Manufacturer in Tay Ninh</v>
      </c>
      <c r="AA881" s="15" t="str">
        <f t="shared" si="11"/>
        <v>OK (46)</v>
      </c>
      <c r="AB881" s="15" t="str">
        <f t="shared" si="12"/>
        <v>EP stainless tube for food processing lines in Tay Ninh. 12-16 days sea from Nhava Sheva to Hai Phong. ASTM A270 S2, PMI tested, EN 10204 3.1.</v>
      </c>
      <c r="AC881" s="15" t="str">
        <f t="shared" si="13"/>
        <v>OK (142)</v>
      </c>
      <c r="AD881" s="15" t="str">
        <f t="shared" si="14"/>
        <v>Electropolished Pipes Manufacturer in Tay Ninh</v>
      </c>
      <c r="AE881" s="15" t="str">
        <f t="shared" si="15"/>
        <v>Electropolished Pipes Manufacturer in Tay Ninh - Our Process &amp; Capability</v>
      </c>
      <c r="AF881" s="15" t="str">
        <f t="shared" si="16"/>
        <v>Electropolished Pipes Supplier in Tay Ninh - What We Hold in Stock</v>
      </c>
      <c r="AG881" s="15" t="str">
        <f t="shared" si="17"/>
        <v>Bulk &amp; Wholesale Electropolished Pipe Rates for Tay Ninh Buyers</v>
      </c>
      <c r="AH881" s="15" t="str">
        <f t="shared" si="18"/>
        <v>electropolished pipes manufacturer in Tay Ninh, electropolished pipes supplier in Tay Ninh, electropolished pipes wholesaler in Tay Ninh, electropolished tube manufacturer Tay Ninh, EP pipe supplier Tay Ninh, sanitary tube supplier Tay Ninh, ASME BPE tubing Tay Ninh, ASTM A270 tube Tay Ninh, SS 316L electropolished pipe Tay Ninh</v>
      </c>
      <c r="AI881" s="15" t="str">
        <f t="shared" si="19"/>
        <v>Electropolished Pipes Manufacturer &amp; Supplier in Tay Ninh</v>
      </c>
      <c r="AJ881" s="15" t="str">
        <f t="shared" si="20"/>
        <v>EP-finished SS 304/316L pipes and tubes for food processing plants in Tay Ninh. ASME BPE SF1-SF4, Ra from 0.25 um, EN 10204 3.1 certificate with every lot.</v>
      </c>
      <c r="AK881" s="15" t="str">
        <f t="shared" si="21"/>
        <v>Electropolished stainless steel pipes supplied by Sakshi Forge to food processing plants at Trang Bang IP, Tay Ninh</v>
      </c>
      <c r="AL881" s="15" t="str">
        <f t="shared" si="22"/>
        <v>Electropolished SS 316L tube stock for Tay Ninh - Sakshi Forge</v>
      </c>
      <c r="AM881" s="15" t="str">
        <f t="shared" si="23"/>
        <v>Home &gt; Market Area &gt; Vietnam &gt; Southeast &gt; Tay Ninh</v>
      </c>
      <c r="AN881" s="15">
        <f t="shared" si="24"/>
        <v>1000</v>
      </c>
      <c r="AO881" s="15">
        <f t="shared" si="25"/>
        <v>8</v>
      </c>
      <c r="AP881" s="15">
        <f t="shared" si="26"/>
        <v>8</v>
      </c>
      <c r="AQ881" s="15">
        <f t="shared" si="27"/>
        <v>15</v>
      </c>
      <c r="AR881" s="31"/>
      <c r="AS881" s="31"/>
      <c r="AT881" s="35" t="s">
        <v>222</v>
      </c>
      <c r="AU881" s="35"/>
    </row>
    <row r="882" ht="15.75" customHeight="1">
      <c r="A882" s="15" t="s">
        <v>9535</v>
      </c>
      <c r="B882" s="15" t="s">
        <v>454</v>
      </c>
      <c r="C882" s="15" t="s">
        <v>8349</v>
      </c>
      <c r="D882" s="15" t="s">
        <v>9536</v>
      </c>
      <c r="E882" s="15" t="s">
        <v>9536</v>
      </c>
      <c r="F882" s="65" t="s">
        <v>788</v>
      </c>
      <c r="G882" s="17" t="s">
        <v>88</v>
      </c>
      <c r="H882" s="18" t="s">
        <v>9537</v>
      </c>
      <c r="I882" s="18" t="s">
        <v>9538</v>
      </c>
      <c r="J882" s="18" t="s">
        <v>9539</v>
      </c>
      <c r="K882" s="18" t="s">
        <v>1730</v>
      </c>
      <c r="L882" s="18" t="s">
        <v>8354</v>
      </c>
      <c r="M882" s="18" t="s">
        <v>660</v>
      </c>
      <c r="N882" s="18" t="s">
        <v>461</v>
      </c>
      <c r="O882" s="18" t="s">
        <v>98</v>
      </c>
      <c r="P882" s="15" t="str">
        <f t="shared" si="1"/>
        <v>SEMI</v>
      </c>
      <c r="Q882" s="15">
        <f t="shared" si="2"/>
        <v>7</v>
      </c>
      <c r="R882" s="15">
        <f t="shared" si="3"/>
        <v>4</v>
      </c>
      <c r="S882" s="15">
        <f t="shared" si="4"/>
        <v>4</v>
      </c>
      <c r="T882" s="15" t="str">
        <f t="shared" si="5"/>
        <v>B-3</v>
      </c>
      <c r="U882" s="15" t="str">
        <f t="shared" si="6"/>
        <v>T7-M4-H4-FB-3-SEMI</v>
      </c>
      <c r="V882" s="15">
        <f t="shared" si="7"/>
        <v>0</v>
      </c>
      <c r="W882" s="31"/>
      <c r="X882" s="15" t="str">
        <f t="shared" si="8"/>
        <v>thai-nguyen-vietnam</v>
      </c>
      <c r="Y882" s="32" t="str">
        <f t="shared" si="9"/>
        <v>https://steelmanufacturer.in/market-area/electropolished-pipes-manufacturer-in-thai-nguyen-vietnam/</v>
      </c>
      <c r="Z882" s="15" t="str">
        <f t="shared" si="10"/>
        <v>Electropolished Pipes Manufacturer in Thai Nguyen</v>
      </c>
      <c r="AA882" s="15" t="str">
        <f t="shared" si="11"/>
        <v>OK (49)</v>
      </c>
      <c r="AB882" s="15" t="str">
        <f t="shared" si="12"/>
        <v>Sanitary electropolished pipes in Thai Nguyen for electronics plants. ASME BPE SF1-SF4, orbital-weld ready, 3.1 MTC. Mumbai-made.</v>
      </c>
      <c r="AC882" s="15" t="str">
        <f t="shared" si="13"/>
        <v>OK (129)</v>
      </c>
      <c r="AD882" s="15" t="str">
        <f t="shared" si="14"/>
        <v>Electropolished Pipes Manufacturer in Thai Nguyen</v>
      </c>
      <c r="AE882" s="15" t="str">
        <f t="shared" si="15"/>
        <v>Manufacturing Electropolished SS Tube for Thai Nguyen: The Standards We Build To</v>
      </c>
      <c r="AF882" s="15" t="str">
        <f t="shared" si="16"/>
        <v>Electropolished Pipe Supply Into Thai Nguyen - Certification &amp; Transit</v>
      </c>
      <c r="AG882" s="15" t="str">
        <f t="shared" si="17"/>
        <v>Electropolished Pipes Wholesaler in Thai Nguyen - Project Quantities &amp; Terms</v>
      </c>
      <c r="AH882" s="15" t="str">
        <f t="shared" si="18"/>
        <v>electropolished pipes manufacturer in Thai Nguyen, electropolished pipes supplier in Thai Nguyen, electropolished pipes wholesaler in Thai Nguyen, electropolished tube manufacturer Thai Nguyen, EP pipe supplier Thai Nguyen, sanitary tube supplier Thai Nguyen, ASME BPE tubing Thai Nguyen, ASTM A270 tube Thai Nguyen, SS 316L electropolished pipe Thai Nguyen</v>
      </c>
      <c r="AI882" s="15" t="str">
        <f t="shared" si="19"/>
        <v>Electropolished Pipes Manufacturer &amp; Supplier in Thai Nguyen</v>
      </c>
      <c r="AJ882" s="15" t="str">
        <f t="shared" si="20"/>
        <v>EP-finished SS 304/316L pipes and tubes for electronics plants in Thai Nguyen. ASME BPE SF1-SF4, Ra from 0.25 um, EN 10204 3.1 certificate with every lot.</v>
      </c>
      <c r="AK882" s="15" t="str">
        <f t="shared" si="21"/>
        <v>Electropolished stainless steel pipes supplied by Sakshi Forge to electronics plants at Yen Binh IP, Thai Nguyen</v>
      </c>
      <c r="AL882" s="15" t="str">
        <f t="shared" si="22"/>
        <v>Electropolished SS 316L tube stock for Thai Nguyen - Sakshi Forge</v>
      </c>
      <c r="AM882" s="15" t="str">
        <f t="shared" si="23"/>
        <v>Home &gt; Market Area &gt; Vietnam &gt; Northeast &gt; Thai Nguyen</v>
      </c>
      <c r="AN882" s="15">
        <f t="shared" si="24"/>
        <v>1000</v>
      </c>
      <c r="AO882" s="15">
        <f t="shared" si="25"/>
        <v>8</v>
      </c>
      <c r="AP882" s="15">
        <f t="shared" si="26"/>
        <v>8</v>
      </c>
      <c r="AQ882" s="15">
        <f t="shared" si="27"/>
        <v>15</v>
      </c>
      <c r="AR882" s="31"/>
      <c r="AS882" s="31"/>
      <c r="AT882" s="35" t="s">
        <v>222</v>
      </c>
      <c r="AU882" s="35"/>
    </row>
    <row r="883" ht="15.75" customHeight="1">
      <c r="A883" s="15" t="s">
        <v>9540</v>
      </c>
      <c r="B883" s="15" t="s">
        <v>454</v>
      </c>
      <c r="C883" s="15" t="s">
        <v>9512</v>
      </c>
      <c r="D883" s="15" t="s">
        <v>9541</v>
      </c>
      <c r="E883" s="15" t="s">
        <v>9541</v>
      </c>
      <c r="F883" s="65" t="s">
        <v>788</v>
      </c>
      <c r="G883" s="17" t="s">
        <v>88</v>
      </c>
      <c r="H883" s="18" t="s">
        <v>9542</v>
      </c>
      <c r="I883" s="18" t="s">
        <v>9542</v>
      </c>
      <c r="J883" s="18" t="s">
        <v>9543</v>
      </c>
      <c r="K883" s="18" t="s">
        <v>1084</v>
      </c>
      <c r="L883" s="18" t="s">
        <v>9544</v>
      </c>
      <c r="M883" s="18" t="s">
        <v>660</v>
      </c>
      <c r="N883" s="18" t="s">
        <v>461</v>
      </c>
      <c r="O883" s="18" t="s">
        <v>98</v>
      </c>
      <c r="P883" s="15" t="str">
        <f t="shared" si="1"/>
        <v>CHEM</v>
      </c>
      <c r="Q883" s="15">
        <f t="shared" si="2"/>
        <v>8</v>
      </c>
      <c r="R883" s="15">
        <f t="shared" si="3"/>
        <v>5</v>
      </c>
      <c r="S883" s="15">
        <f t="shared" si="4"/>
        <v>5</v>
      </c>
      <c r="T883" s="15" t="str">
        <f t="shared" si="5"/>
        <v>B-4</v>
      </c>
      <c r="U883" s="15" t="str">
        <f t="shared" si="6"/>
        <v>T8-M5-H5-FB-4-CHEM</v>
      </c>
      <c r="V883" s="15">
        <f t="shared" si="7"/>
        <v>0</v>
      </c>
      <c r="W883" s="31"/>
      <c r="X883" s="15" t="str">
        <f t="shared" si="8"/>
        <v>thanh-hoa-vietnam</v>
      </c>
      <c r="Y883" s="32" t="str">
        <f t="shared" si="9"/>
        <v>https://steelmanufacturer.in/market-area/electropolished-pipes-manufacturer-in-thanh-hoa-vietnam/</v>
      </c>
      <c r="Z883" s="15" t="str">
        <f t="shared" si="10"/>
        <v>Electropolished Pipes Manufacturer in Thanh Hoa</v>
      </c>
      <c r="AA883" s="15" t="str">
        <f t="shared" si="11"/>
        <v>OK (47)</v>
      </c>
      <c r="AB883" s="15" t="str">
        <f t="shared" si="12"/>
        <v>Manufacturer of electropolished SS 316L tube serving Thanh Hoa. 12-16 days sea from Nhava Sheva to Hai Phong. Ra 0.25-0.5 um, EN 10204 3.1 MTC.</v>
      </c>
      <c r="AC883" s="15" t="str">
        <f t="shared" si="13"/>
        <v>OK (143)</v>
      </c>
      <c r="AD883" s="15" t="str">
        <f t="shared" si="14"/>
        <v>Electropolished Pipes Manufacturer in Thanh Hoa</v>
      </c>
      <c r="AE883" s="15" t="str">
        <f t="shared" si="15"/>
        <v>Electropolished Tube Manufacturing Capability Serving Thanh Hoa</v>
      </c>
      <c r="AF883" s="15" t="str">
        <f t="shared" si="16"/>
        <v>Electropolished Pipes Supplier in Thanh Hoa - From Order to Delivery</v>
      </c>
      <c r="AG883" s="15" t="str">
        <f t="shared" si="17"/>
        <v>Stockist &amp; Wholesale Supply of Electropolished Pipes in Thanh Hoa</v>
      </c>
      <c r="AH883" s="15" t="str">
        <f t="shared" si="18"/>
        <v>electropolished pipes manufacturer in Thanh Hoa, electropolished pipes supplier in Thanh Hoa, electropolished pipes wholesaler in Thanh Hoa, electropolished tube manufacturer Thanh Hoa, EP pipe supplier Thanh Hoa, sanitary tube supplier Thanh Hoa, ASME BPE tubing Thanh Hoa, ASTM A270 tube Thanh Hoa, SS 316L electropolished pipe Thanh Hoa</v>
      </c>
      <c r="AI883" s="15" t="str">
        <f t="shared" si="19"/>
        <v>Electropolished Pipes Manufacturer &amp; Supplier in Thanh Hoa</v>
      </c>
      <c r="AJ883" s="15" t="str">
        <f t="shared" si="20"/>
        <v>EP-finished SS 304/316L pipes and tubes for petrochemical plants in Thanh Hoa. ASME BPE SF1-SF4, Ra from 0.25 um, EN 10204 3.1 certificate with every lot.</v>
      </c>
      <c r="AK883" s="15" t="str">
        <f t="shared" si="21"/>
        <v>Electropolished stainless steel pipes supplied by Sakshi Forge to petrochemical plants at Nghi Son Economic Zone, Thanh Hoa</v>
      </c>
      <c r="AL883" s="15" t="str">
        <f t="shared" si="22"/>
        <v>Electropolished SS 316L tube stock for Thanh Hoa - Sakshi Forge</v>
      </c>
      <c r="AM883" s="15" t="str">
        <f t="shared" si="23"/>
        <v>Home &gt; Market Area &gt; Vietnam &gt; North Central &gt; Thanh Hoa</v>
      </c>
      <c r="AN883" s="15">
        <f t="shared" si="24"/>
        <v>1000</v>
      </c>
      <c r="AO883" s="15">
        <f t="shared" si="25"/>
        <v>8</v>
      </c>
      <c r="AP883" s="15">
        <f t="shared" si="26"/>
        <v>8</v>
      </c>
      <c r="AQ883" s="15">
        <f t="shared" si="27"/>
        <v>15</v>
      </c>
      <c r="AR883" s="31"/>
      <c r="AS883" s="31"/>
      <c r="AT883" s="35" t="s">
        <v>222</v>
      </c>
      <c r="AU883" s="35"/>
    </row>
    <row r="884" ht="15.75" customHeight="1">
      <c r="A884" s="15" t="s">
        <v>9545</v>
      </c>
      <c r="B884" s="15" t="s">
        <v>454</v>
      </c>
      <c r="C884" s="15" t="s">
        <v>8356</v>
      </c>
      <c r="D884" s="15" t="s">
        <v>9546</v>
      </c>
      <c r="E884" s="15" t="s">
        <v>9546</v>
      </c>
      <c r="F884" s="65" t="s">
        <v>788</v>
      </c>
      <c r="G884" s="17" t="s">
        <v>88</v>
      </c>
      <c r="H884" s="18" t="s">
        <v>9547</v>
      </c>
      <c r="I884" s="18" t="s">
        <v>9548</v>
      </c>
      <c r="J884" s="18" t="s">
        <v>9549</v>
      </c>
      <c r="K884" s="18" t="s">
        <v>1730</v>
      </c>
      <c r="L884" s="18" t="s">
        <v>8354</v>
      </c>
      <c r="M884" s="18" t="s">
        <v>660</v>
      </c>
      <c r="N884" s="18" t="s">
        <v>461</v>
      </c>
      <c r="O884" s="18" t="s">
        <v>98</v>
      </c>
      <c r="P884" s="15" t="str">
        <f t="shared" si="1"/>
        <v>SEMI</v>
      </c>
      <c r="Q884" s="15">
        <f t="shared" si="2"/>
        <v>1</v>
      </c>
      <c r="R884" s="15">
        <f t="shared" si="3"/>
        <v>6</v>
      </c>
      <c r="S884" s="15">
        <f t="shared" si="4"/>
        <v>1</v>
      </c>
      <c r="T884" s="15" t="str">
        <f t="shared" si="5"/>
        <v>B-5</v>
      </c>
      <c r="U884" s="15" t="str">
        <f t="shared" si="6"/>
        <v>T1-M6-H1-FB-5-SEMI</v>
      </c>
      <c r="V884" s="15">
        <f t="shared" si="7"/>
        <v>0</v>
      </c>
      <c r="W884" s="31"/>
      <c r="X884" s="15" t="str">
        <f t="shared" si="8"/>
        <v>vinh-phuc-vietnam</v>
      </c>
      <c r="Y884" s="32" t="str">
        <f t="shared" si="9"/>
        <v>https://steelmanufacturer.in/market-area/electropolished-pipes-manufacturer-in-vinh-phuc-vietnam/</v>
      </c>
      <c r="Z884" s="15" t="str">
        <f t="shared" si="10"/>
        <v>Electropolished Pipes Manufacturer in Vinh Phuc | Sakshi Forge</v>
      </c>
      <c r="AA884" s="15" t="str">
        <f t="shared" si="11"/>
        <v>OK (62)</v>
      </c>
      <c r="AB884" s="15" t="str">
        <f t="shared" si="12"/>
        <v>EP tube and pipe for electronics plants around Khai Quang IP, Vinh Phuc. Made at our Mumbai works to ASTM A270 and ASME BPE SF1-SF4, with 3.1 MTC.</v>
      </c>
      <c r="AC884" s="15" t="str">
        <f t="shared" si="13"/>
        <v>OK (146)</v>
      </c>
      <c r="AD884" s="15" t="str">
        <f t="shared" si="14"/>
        <v>Electropolished Pipes Manufacturer in Vinh Phuc</v>
      </c>
      <c r="AE884" s="15" t="str">
        <f t="shared" si="15"/>
        <v>Electropolished Pipe &amp; Tube Manufacturing for Vinh Phuc - Grades, Finishes &amp; Certification</v>
      </c>
      <c r="AF884" s="15" t="str">
        <f t="shared" si="16"/>
        <v>Electropolished Pipes Supplier in Vinh Phuc - Stock Sizes, Lead Time &amp; Delivery</v>
      </c>
      <c r="AG884" s="15" t="str">
        <f t="shared" si="17"/>
        <v>Electropolished Pipes Wholesaler &amp; Stockist in Vinh Phuc - Bulk &amp; Project Pricing</v>
      </c>
      <c r="AH884" s="15" t="str">
        <f t="shared" si="18"/>
        <v>electropolished pipes manufacturer in Vinh Phuc, electropolished pipes supplier in Vinh Phuc, electropolished pipes wholesaler in Vinh Phuc, electropolished tube manufacturer Vinh Phuc, EP pipe supplier Vinh Phuc, sanitary tube supplier Vinh Phuc, ASME BPE tubing Vinh Phuc, ASTM A270 tube Vinh Phuc, SS 316L electropolished pipe Vinh Phuc</v>
      </c>
      <c r="AI884" s="15" t="str">
        <f t="shared" si="19"/>
        <v>Electropolished Pipes Manufacturer &amp; Supplier in Vinh Phuc</v>
      </c>
      <c r="AJ884" s="15" t="str">
        <f t="shared" si="20"/>
        <v>EP-finished SS 304/316L pipes and tubes for electronics plants in Vinh Phuc. ASME BPE SF1-SF4, Ra from 0.25 um, EN 10204 3.1 certificate with every lot.</v>
      </c>
      <c r="AK884" s="15" t="str">
        <f t="shared" si="21"/>
        <v>Electropolished stainless steel pipes supplied by Sakshi Forge to electronics plants at Khai Quang IP, Vinh Phuc</v>
      </c>
      <c r="AL884" s="15" t="str">
        <f t="shared" si="22"/>
        <v>Electropolished SS 316L tube stock for Vinh Phuc - Sakshi Forge</v>
      </c>
      <c r="AM884" s="15" t="str">
        <f t="shared" si="23"/>
        <v>Home &gt; Market Area &gt; Vietnam &gt; Red River Delta &gt; Vinh Phuc</v>
      </c>
      <c r="AN884" s="15">
        <f t="shared" si="24"/>
        <v>1000</v>
      </c>
      <c r="AO884" s="15">
        <f t="shared" si="25"/>
        <v>8</v>
      </c>
      <c r="AP884" s="15">
        <f t="shared" si="26"/>
        <v>8</v>
      </c>
      <c r="AQ884" s="15">
        <f t="shared" si="27"/>
        <v>15</v>
      </c>
      <c r="AR884" s="31"/>
      <c r="AS884" s="31"/>
      <c r="AT884" s="35" t="s">
        <v>222</v>
      </c>
      <c r="AU884" s="35"/>
    </row>
    <row r="885" ht="15.75" customHeight="1">
      <c r="A885" s="15" t="s">
        <v>4710</v>
      </c>
      <c r="B885" s="15" t="s">
        <v>60</v>
      </c>
      <c r="C885" s="15" t="s">
        <v>1687</v>
      </c>
      <c r="D885" s="15" t="s">
        <v>4711</v>
      </c>
      <c r="E885" s="15" t="s">
        <v>4711</v>
      </c>
      <c r="F885" s="58" t="s">
        <v>807</v>
      </c>
      <c r="G885" s="66" t="s">
        <v>98</v>
      </c>
      <c r="H885" s="18" t="s">
        <v>4713</v>
      </c>
      <c r="I885" s="18" t="s">
        <v>8397</v>
      </c>
      <c r="J885" s="18" t="s">
        <v>98</v>
      </c>
      <c r="K885" s="18" t="s">
        <v>98</v>
      </c>
      <c r="L885" s="18" t="s">
        <v>98</v>
      </c>
      <c r="M885" s="18" t="s">
        <v>98</v>
      </c>
      <c r="N885" s="18" t="s">
        <v>98</v>
      </c>
      <c r="O885" s="18" t="s">
        <v>98</v>
      </c>
      <c r="P885" s="15" t="str">
        <f t="shared" si="1"/>
        <v>VERIFY</v>
      </c>
      <c r="Q885" s="15">
        <f t="shared" si="2"/>
        <v>2</v>
      </c>
      <c r="R885" s="15">
        <f t="shared" si="3"/>
        <v>7</v>
      </c>
      <c r="S885" s="15">
        <f t="shared" si="4"/>
        <v>2</v>
      </c>
      <c r="T885" s="15" t="str">
        <f t="shared" si="5"/>
        <v>C-6</v>
      </c>
      <c r="U885" s="15" t="str">
        <f t="shared" si="6"/>
        <v>T2-M7-H2-FC-6-VERIFY</v>
      </c>
      <c r="V885" s="15">
        <f t="shared" si="7"/>
        <v>1</v>
      </c>
      <c r="W885" s="31"/>
      <c r="X885" s="15" t="str">
        <f t="shared" si="8"/>
        <v>adoor</v>
      </c>
      <c r="Y885" s="32" t="str">
        <f t="shared" si="9"/>
        <v>https://steelmanufacturer.in/market-area/electropolished-pipes-manufacturer-in-adoor/</v>
      </c>
      <c r="Z885" s="15" t="str">
        <f t="shared" si="10"/>
        <v>Electropolished Pipes Manufacturer in Adoor</v>
      </c>
      <c r="AA885" s="15" t="str">
        <f t="shared" si="11"/>
        <v>OK (43)</v>
      </c>
      <c r="AB885" s="15" t="str">
        <f t="shared" si="12"/>
        <v>Electropolished pipes in Adoor: 304, 304L, 316 and 316L in SF1-SF4. VERIFY. Mill certified.</v>
      </c>
      <c r="AC885" s="15" t="str">
        <f t="shared" si="13"/>
        <v>PENDING RESEARCH</v>
      </c>
      <c r="AD885" s="15" t="str">
        <f t="shared" si="14"/>
        <v>Electropolished Pipes Manufacturer in Adoor</v>
      </c>
      <c r="AE885" s="15" t="str">
        <f t="shared" si="15"/>
        <v>How We Manufacture Electropolished Tube for Adoor Plants</v>
      </c>
      <c r="AF885" s="15" t="str">
        <f t="shared" si="16"/>
        <v>Supplying Electropolished Pipes in Adoor: Availability, Sizes &amp; Dispatch</v>
      </c>
      <c r="AG885" s="15" t="str">
        <f t="shared" si="17"/>
        <v>Wholesale Electropolished Pipe Supply for Adoor Projects</v>
      </c>
      <c r="AH885" s="15" t="str">
        <f t="shared" si="18"/>
        <v>electropolished pipes manufacturer in Adoor, electropolished pipes supplier in Adoor, electropolished pipes wholesaler in Adoor, electropolished tube manufacturer Adoor, EP pipe supplier Adoor, sanitary tube supplier Adoor, ASME BPE tubing Adoor, ASTM A270 tube Adoor, SS 316L electropolished pipe Adoor</v>
      </c>
      <c r="AI885" s="15" t="str">
        <f t="shared" si="19"/>
        <v>Electropolished Pipes Manufacturer &amp; Supplier in Adoor</v>
      </c>
      <c r="AJ885" s="15" t="str">
        <f t="shared" si="20"/>
        <v>EP-finished SS 304/316L pipes and tubes for VERIFY plants in Adoor. ASME BPE SF1-SF4, Ra from 0.25 um, EN 10204 3.1 certificate with every lot.</v>
      </c>
      <c r="AK885" s="15" t="str">
        <f t="shared" si="21"/>
        <v>Electropolished stainless steel pipes supplied by Sakshi Forge to VERIFY plants at KINFRA Industrial Area, Adoor</v>
      </c>
      <c r="AL885" s="15" t="str">
        <f t="shared" si="22"/>
        <v>Electropolished SS 316L tube stock for Adoor - Sakshi Forge</v>
      </c>
      <c r="AM885" s="15" t="str">
        <f t="shared" si="23"/>
        <v>Home &gt; Market Area &gt; India &gt; Kerala &gt; Adoor</v>
      </c>
      <c r="AN885" s="15">
        <f t="shared" si="24"/>
        <v>750</v>
      </c>
      <c r="AO885" s="15">
        <f t="shared" si="25"/>
        <v>6</v>
      </c>
      <c r="AP885" s="15">
        <f t="shared" si="26"/>
        <v>6</v>
      </c>
      <c r="AQ885" s="15">
        <f t="shared" si="27"/>
        <v>15</v>
      </c>
      <c r="AR885" s="31"/>
      <c r="AS885" s="31"/>
      <c r="AT885" s="35" t="s">
        <v>222</v>
      </c>
      <c r="AU885" s="35"/>
    </row>
    <row r="886" ht="15.75" customHeight="1">
      <c r="A886" s="15" t="s">
        <v>4714</v>
      </c>
      <c r="B886" s="15" t="s">
        <v>60</v>
      </c>
      <c r="C886" s="15" t="s">
        <v>842</v>
      </c>
      <c r="D886" s="15" t="s">
        <v>4715</v>
      </c>
      <c r="E886" s="15" t="s">
        <v>4715</v>
      </c>
      <c r="F886" s="58" t="s">
        <v>807</v>
      </c>
      <c r="G886" s="66" t="s">
        <v>98</v>
      </c>
      <c r="H886" s="18" t="s">
        <v>4717</v>
      </c>
      <c r="I886" s="18" t="s">
        <v>8413</v>
      </c>
      <c r="J886" s="18" t="s">
        <v>98</v>
      </c>
      <c r="K886" s="18" t="s">
        <v>98</v>
      </c>
      <c r="L886" s="18" t="s">
        <v>98</v>
      </c>
      <c r="M886" s="18" t="s">
        <v>98</v>
      </c>
      <c r="N886" s="18" t="s">
        <v>98</v>
      </c>
      <c r="O886" s="18" t="s">
        <v>98</v>
      </c>
      <c r="P886" s="15" t="str">
        <f t="shared" si="1"/>
        <v>VERIFY</v>
      </c>
      <c r="Q886" s="15">
        <f t="shared" si="2"/>
        <v>3</v>
      </c>
      <c r="R886" s="15">
        <f t="shared" si="3"/>
        <v>1</v>
      </c>
      <c r="S886" s="15">
        <f t="shared" si="4"/>
        <v>3</v>
      </c>
      <c r="T886" s="15" t="str">
        <f t="shared" si="5"/>
        <v>C-1</v>
      </c>
      <c r="U886" s="15" t="str">
        <f t="shared" si="6"/>
        <v>T3-M1-H3-FC-1-VERIFY</v>
      </c>
      <c r="V886" s="15">
        <f t="shared" si="7"/>
        <v>1</v>
      </c>
      <c r="W886" s="31"/>
      <c r="X886" s="15" t="str">
        <f t="shared" si="8"/>
        <v>agar-malwa</v>
      </c>
      <c r="Y886" s="32" t="str">
        <f t="shared" si="9"/>
        <v>https://steelmanufacturer.in/market-area/electropolished-pipes-manufacturer-in-agar-malwa/</v>
      </c>
      <c r="Z886" s="15" t="str">
        <f t="shared" si="10"/>
        <v>Electropolished Pipes Manufacturer in Agar Malwa</v>
      </c>
      <c r="AA886" s="15" t="str">
        <f t="shared" si="11"/>
        <v>OK (48)</v>
      </c>
      <c r="AB886" s="15" t="str">
        <f t="shared" si="12"/>
        <v>EP-finished SS 304/316L pipes &amp; tubes for VERIFY plants in Agar Malwa. ASTM A270, ASME BPE SF1-SF4, EN 10204 3.1 MTC. PMI tested.</v>
      </c>
      <c r="AC886" s="15" t="str">
        <f t="shared" si="13"/>
        <v>PENDING RESEARCH</v>
      </c>
      <c r="AD886" s="15" t="str">
        <f t="shared" si="14"/>
        <v>Electropolished Pipes Manufacturer in Agar Malwa</v>
      </c>
      <c r="AE886" s="15" t="str">
        <f t="shared" si="15"/>
        <v>Electropolished Pipes Manufacturer in Agar Malwa - Our Process &amp; Capability</v>
      </c>
      <c r="AF886" s="15" t="str">
        <f t="shared" si="16"/>
        <v>Electropolished Pipes Supplier in Agar Malwa - What We Hold in Stock</v>
      </c>
      <c r="AG886" s="15" t="str">
        <f t="shared" si="17"/>
        <v>Bulk &amp; Wholesale Electropolished Pipe Rates for Agar Malwa Buyers</v>
      </c>
      <c r="AH886" s="15" t="str">
        <f t="shared" si="18"/>
        <v>electropolished pipes manufacturer in Agar Malwa, electropolished pipes supplier in Agar Malwa, electropolished pipes wholesaler in Agar Malwa, electropolished tube manufacturer Agar Malwa, EP pipe supplier Agar Malwa, sanitary tube supplier Agar Malwa, ASME BPE tubing Agar Malwa, ASTM A270 tube Agar Malwa, SS 316L electropolished pipe Agar Malwa</v>
      </c>
      <c r="AI886" s="15" t="str">
        <f t="shared" si="19"/>
        <v>Electropolished Pipes Manufacturer &amp; Supplier in Agar Malwa</v>
      </c>
      <c r="AJ886" s="15" t="str">
        <f t="shared" si="20"/>
        <v>EP-finished SS 304/316L pipes and tubes for VERIFY plants in Agar Malwa. ASME BPE SF1-SF4, Ra from 0.25 um, EN 10204 3.1 certificate with every lot.</v>
      </c>
      <c r="AK886" s="15" t="str">
        <f t="shared" si="21"/>
        <v>Electropolished stainless steel pipes supplied by Sakshi Forge to VERIFY plants at MPIDC Industrial Area, Agar Malwa</v>
      </c>
      <c r="AL886" s="15" t="str">
        <f t="shared" si="22"/>
        <v>Electropolished SS 316L tube stock for Agar Malwa - Sakshi Forge</v>
      </c>
      <c r="AM886" s="15" t="str">
        <f t="shared" si="23"/>
        <v>Home &gt; Market Area &gt; India &gt; Madhya Pradesh &gt; Agar Malwa</v>
      </c>
      <c r="AN886" s="15">
        <f t="shared" si="24"/>
        <v>750</v>
      </c>
      <c r="AO886" s="15">
        <f t="shared" si="25"/>
        <v>6</v>
      </c>
      <c r="AP886" s="15">
        <f t="shared" si="26"/>
        <v>6</v>
      </c>
      <c r="AQ886" s="15">
        <f t="shared" si="27"/>
        <v>15</v>
      </c>
      <c r="AR886" s="31"/>
      <c r="AS886" s="31"/>
      <c r="AT886" s="35" t="s">
        <v>222</v>
      </c>
      <c r="AU886" s="35"/>
    </row>
    <row r="887" ht="15.75" customHeight="1">
      <c r="A887" s="15" t="s">
        <v>4718</v>
      </c>
      <c r="B887" s="15" t="s">
        <v>60</v>
      </c>
      <c r="C887" s="15" t="s">
        <v>354</v>
      </c>
      <c r="D887" s="15" t="s">
        <v>4719</v>
      </c>
      <c r="E887" s="15" t="s">
        <v>4719</v>
      </c>
      <c r="F887" s="58" t="s">
        <v>807</v>
      </c>
      <c r="G887" s="66" t="s">
        <v>98</v>
      </c>
      <c r="H887" s="18" t="s">
        <v>4721</v>
      </c>
      <c r="I887" s="18" t="s">
        <v>8408</v>
      </c>
      <c r="J887" s="18" t="s">
        <v>98</v>
      </c>
      <c r="K887" s="18" t="s">
        <v>98</v>
      </c>
      <c r="L887" s="18" t="s">
        <v>98</v>
      </c>
      <c r="M887" s="18" t="s">
        <v>98</v>
      </c>
      <c r="N887" s="18" t="s">
        <v>98</v>
      </c>
      <c r="O887" s="18" t="s">
        <v>98</v>
      </c>
      <c r="P887" s="15" t="str">
        <f t="shared" si="1"/>
        <v>VERIFY</v>
      </c>
      <c r="Q887" s="15">
        <f t="shared" si="2"/>
        <v>4</v>
      </c>
      <c r="R887" s="15">
        <f t="shared" si="3"/>
        <v>2</v>
      </c>
      <c r="S887" s="15">
        <f t="shared" si="4"/>
        <v>4</v>
      </c>
      <c r="T887" s="15" t="str">
        <f t="shared" si="5"/>
        <v>C-2</v>
      </c>
      <c r="U887" s="15" t="str">
        <f t="shared" si="6"/>
        <v>T4-M2-H4-FC-2-VERIFY</v>
      </c>
      <c r="V887" s="15">
        <f t="shared" si="7"/>
        <v>1</v>
      </c>
      <c r="W887" s="31"/>
      <c r="X887" s="15" t="str">
        <f t="shared" si="8"/>
        <v>ahmedgarh</v>
      </c>
      <c r="Y887" s="32" t="str">
        <f t="shared" si="9"/>
        <v>https://steelmanufacturer.in/market-area/electropolished-pipes-manufacturer-in-ahmedgarh/</v>
      </c>
      <c r="Z887" s="15" t="str">
        <f t="shared" si="10"/>
        <v>Electropolished Pipes Manufacturer in Ahmedgarh</v>
      </c>
      <c r="AA887" s="15" t="str">
        <f t="shared" si="11"/>
        <v>OK (47)</v>
      </c>
      <c r="AB887" s="15" t="str">
        <f t="shared" si="12"/>
        <v>Electropolished tube supply to PSIEC Industrial Area, Ahmedgarh. Ra from 0.25 um, SF4 finish, mill test certificate with every lot.</v>
      </c>
      <c r="AC887" s="15" t="str">
        <f t="shared" si="13"/>
        <v>PENDING RESEARCH</v>
      </c>
      <c r="AD887" s="15" t="str">
        <f t="shared" si="14"/>
        <v>Electropolished Pipes Manufacturer in Ahmedgarh</v>
      </c>
      <c r="AE887" s="15" t="str">
        <f t="shared" si="15"/>
        <v>Manufacturing Electropolished SS Tube for Ahmedgarh: The Standards We Build To</v>
      </c>
      <c r="AF887" s="15" t="str">
        <f t="shared" si="16"/>
        <v>Electropolished Pipe Supply Into Ahmedgarh - Certification &amp; Transit</v>
      </c>
      <c r="AG887" s="15" t="str">
        <f t="shared" si="17"/>
        <v>Electropolished Pipes Wholesaler in Ahmedgarh - Project Quantities &amp; Terms</v>
      </c>
      <c r="AH887" s="15" t="str">
        <f t="shared" si="18"/>
        <v>electropolished pipes manufacturer in Ahmedgarh, electropolished pipes supplier in Ahmedgarh, electropolished pipes wholesaler in Ahmedgarh, electropolished tube manufacturer Ahmedgarh, EP pipe supplier Ahmedgarh, sanitary tube supplier Ahmedgarh, ASME BPE tubing Ahmedgarh, ASTM A270 tube Ahmedgarh, SS 316L electropolished pipe Ahmedgarh</v>
      </c>
      <c r="AI887" s="15" t="str">
        <f t="shared" si="19"/>
        <v>Electropolished Pipes Manufacturer &amp; Supplier in Ahmedgarh</v>
      </c>
      <c r="AJ887" s="15" t="str">
        <f t="shared" si="20"/>
        <v>EP-finished SS 304/316L pipes and tubes for VERIFY plants in Ahmedgarh. ASME BPE SF1-SF4, Ra from 0.25 um, EN 10204 3.1 certificate with every lot.</v>
      </c>
      <c r="AK887" s="15" t="str">
        <f t="shared" si="21"/>
        <v>Electropolished stainless steel pipes supplied by Sakshi Forge to VERIFY plants at PSIEC Industrial Area, Ahmedgarh</v>
      </c>
      <c r="AL887" s="15" t="str">
        <f t="shared" si="22"/>
        <v>Electropolished SS 316L tube stock for Ahmedgarh - Sakshi Forge</v>
      </c>
      <c r="AM887" s="15" t="str">
        <f t="shared" si="23"/>
        <v>Home &gt; Market Area &gt; India &gt; Punjab &gt; Ahmedgarh</v>
      </c>
      <c r="AN887" s="15">
        <f t="shared" si="24"/>
        <v>750</v>
      </c>
      <c r="AO887" s="15">
        <f t="shared" si="25"/>
        <v>6</v>
      </c>
      <c r="AP887" s="15">
        <f t="shared" si="26"/>
        <v>6</v>
      </c>
      <c r="AQ887" s="15">
        <f t="shared" si="27"/>
        <v>15</v>
      </c>
      <c r="AR887" s="31"/>
      <c r="AS887" s="31"/>
      <c r="AT887" s="35" t="s">
        <v>222</v>
      </c>
      <c r="AU887" s="35"/>
    </row>
    <row r="888" ht="15.75" customHeight="1">
      <c r="A888" s="15" t="s">
        <v>4722</v>
      </c>
      <c r="B888" s="15" t="s">
        <v>60</v>
      </c>
      <c r="C888" s="15" t="s">
        <v>958</v>
      </c>
      <c r="D888" s="15" t="s">
        <v>4723</v>
      </c>
      <c r="E888" s="15" t="s">
        <v>4723</v>
      </c>
      <c r="F888" s="58" t="s">
        <v>807</v>
      </c>
      <c r="G888" s="66" t="s">
        <v>98</v>
      </c>
      <c r="H888" s="18" t="s">
        <v>4725</v>
      </c>
      <c r="I888" s="18" t="s">
        <v>8403</v>
      </c>
      <c r="J888" s="18" t="s">
        <v>98</v>
      </c>
      <c r="K888" s="18" t="s">
        <v>98</v>
      </c>
      <c r="L888" s="18" t="s">
        <v>98</v>
      </c>
      <c r="M888" s="18" t="s">
        <v>98</v>
      </c>
      <c r="N888" s="18" t="s">
        <v>98</v>
      </c>
      <c r="O888" s="18" t="s">
        <v>98</v>
      </c>
      <c r="P888" s="15" t="str">
        <f t="shared" si="1"/>
        <v>VERIFY</v>
      </c>
      <c r="Q888" s="15">
        <f t="shared" si="2"/>
        <v>5</v>
      </c>
      <c r="R888" s="15">
        <f t="shared" si="3"/>
        <v>3</v>
      </c>
      <c r="S888" s="15">
        <f t="shared" si="4"/>
        <v>5</v>
      </c>
      <c r="T888" s="15" t="str">
        <f t="shared" si="5"/>
        <v>C-3</v>
      </c>
      <c r="U888" s="15" t="str">
        <f t="shared" si="6"/>
        <v>T5-M3-H5-FC-3-VERIFY</v>
      </c>
      <c r="V888" s="15">
        <f t="shared" si="7"/>
        <v>1</v>
      </c>
      <c r="W888" s="31"/>
      <c r="X888" s="15" t="str">
        <f t="shared" si="8"/>
        <v>alangudi</v>
      </c>
      <c r="Y888" s="32" t="str">
        <f t="shared" si="9"/>
        <v>https://steelmanufacturer.in/market-area/electropolished-pipes-manufacturer-in-alangudi/</v>
      </c>
      <c r="Z888" s="15" t="str">
        <f t="shared" si="10"/>
        <v>Electropolished Pipes Manufacturer in Alangudi</v>
      </c>
      <c r="AA888" s="15" t="str">
        <f t="shared" si="11"/>
        <v>OK (46)</v>
      </c>
      <c r="AB888" s="15" t="str">
        <f t="shared" si="12"/>
        <v>EP stainless tube for VERIFY lines in Alangudi. VERIFY. ASTM A270 S2, PMI tested, EN 10204 3.1.</v>
      </c>
      <c r="AC888" s="15" t="str">
        <f t="shared" si="13"/>
        <v>PENDING RESEARCH</v>
      </c>
      <c r="AD888" s="15" t="str">
        <f t="shared" si="14"/>
        <v>Electropolished Pipes Manufacturer in Alangudi</v>
      </c>
      <c r="AE888" s="15" t="str">
        <f t="shared" si="15"/>
        <v>Electropolished Tube Manufacturing Capability Serving Alangudi</v>
      </c>
      <c r="AF888" s="15" t="str">
        <f t="shared" si="16"/>
        <v>Electropolished Pipes Supplier in Alangudi - From Order to Delivery</v>
      </c>
      <c r="AG888" s="15" t="str">
        <f t="shared" si="17"/>
        <v>Stockist &amp; Wholesale Supply of Electropolished Pipes in Alangudi</v>
      </c>
      <c r="AH888" s="15" t="str">
        <f t="shared" si="18"/>
        <v>electropolished pipes manufacturer in Alangudi, electropolished pipes supplier in Alangudi, electropolished pipes wholesaler in Alangudi, electropolished tube manufacturer Alangudi, EP pipe supplier Alangudi, sanitary tube supplier Alangudi, ASME BPE tubing Alangudi, ASTM A270 tube Alangudi, SS 316L electropolished pipe Alangudi</v>
      </c>
      <c r="AI888" s="15" t="str">
        <f t="shared" si="19"/>
        <v>Electropolished Pipes Manufacturer &amp; Supplier in Alangudi</v>
      </c>
      <c r="AJ888" s="15" t="str">
        <f t="shared" si="20"/>
        <v>EP-finished SS 304/316L pipes and tubes for VERIFY plants in Alangudi. ASME BPE SF1-SF4, Ra from 0.25 um, EN 10204 3.1 certificate with every lot.</v>
      </c>
      <c r="AK888" s="15" t="str">
        <f t="shared" si="21"/>
        <v>Electropolished stainless steel pipes supplied by Sakshi Forge to VERIFY plants at SIPCOT Industrial Area, Alangudi</v>
      </c>
      <c r="AL888" s="15" t="str">
        <f t="shared" si="22"/>
        <v>Electropolished SS 316L tube stock for Alangudi - Sakshi Forge</v>
      </c>
      <c r="AM888" s="15" t="str">
        <f t="shared" si="23"/>
        <v>Home &gt; Market Area &gt; India &gt; Tamil Nadu &gt; Alangudi</v>
      </c>
      <c r="AN888" s="15">
        <f t="shared" si="24"/>
        <v>750</v>
      </c>
      <c r="AO888" s="15">
        <f t="shared" si="25"/>
        <v>6</v>
      </c>
      <c r="AP888" s="15">
        <f t="shared" si="26"/>
        <v>6</v>
      </c>
      <c r="AQ888" s="15">
        <f t="shared" si="27"/>
        <v>15</v>
      </c>
      <c r="AR888" s="31"/>
      <c r="AS888" s="31"/>
      <c r="AT888" s="35" t="s">
        <v>222</v>
      </c>
      <c r="AU888" s="35"/>
    </row>
    <row r="889" ht="15.75" customHeight="1">
      <c r="A889" s="15" t="s">
        <v>4726</v>
      </c>
      <c r="B889" s="15" t="s">
        <v>60</v>
      </c>
      <c r="C889" s="15" t="s">
        <v>842</v>
      </c>
      <c r="D889" s="15" t="s">
        <v>4727</v>
      </c>
      <c r="E889" s="15" t="s">
        <v>4727</v>
      </c>
      <c r="F889" s="58" t="s">
        <v>807</v>
      </c>
      <c r="G889" s="66" t="s">
        <v>98</v>
      </c>
      <c r="H889" s="18" t="s">
        <v>4729</v>
      </c>
      <c r="I889" s="18" t="s">
        <v>8413</v>
      </c>
      <c r="J889" s="18" t="s">
        <v>98</v>
      </c>
      <c r="K889" s="18" t="s">
        <v>98</v>
      </c>
      <c r="L889" s="18" t="s">
        <v>98</v>
      </c>
      <c r="M889" s="18" t="s">
        <v>98</v>
      </c>
      <c r="N889" s="18" t="s">
        <v>98</v>
      </c>
      <c r="O889" s="18" t="s">
        <v>98</v>
      </c>
      <c r="P889" s="15" t="str">
        <f t="shared" si="1"/>
        <v>VERIFY</v>
      </c>
      <c r="Q889" s="15">
        <f t="shared" si="2"/>
        <v>6</v>
      </c>
      <c r="R889" s="15">
        <f t="shared" si="3"/>
        <v>4</v>
      </c>
      <c r="S889" s="15">
        <f t="shared" si="4"/>
        <v>1</v>
      </c>
      <c r="T889" s="15" t="str">
        <f t="shared" si="5"/>
        <v>C-4</v>
      </c>
      <c r="U889" s="15" t="str">
        <f t="shared" si="6"/>
        <v>T6-M4-H1-FC-4-VERIFY</v>
      </c>
      <c r="V889" s="15">
        <f t="shared" si="7"/>
        <v>1</v>
      </c>
      <c r="W889" s="31"/>
      <c r="X889" s="15" t="str">
        <f t="shared" si="8"/>
        <v>alirajpur</v>
      </c>
      <c r="Y889" s="32" t="str">
        <f t="shared" si="9"/>
        <v>https://steelmanufacturer.in/market-area/electropolished-pipes-manufacturer-in-alirajpur/</v>
      </c>
      <c r="Z889" s="15" t="str">
        <f t="shared" si="10"/>
        <v>Electropolished Pipes Manufacturer in Alirajpur</v>
      </c>
      <c r="AA889" s="15" t="str">
        <f t="shared" si="11"/>
        <v>OK (47)</v>
      </c>
      <c r="AB889" s="15" t="str">
        <f t="shared" si="12"/>
        <v>Sanitary electropolished pipes in Alirajpur for VERIFY plants. ASME BPE SF1-SF4, orbital-weld ready, 3.1 MTC. Mumbai-made.</v>
      </c>
      <c r="AC889" s="15" t="str">
        <f t="shared" si="13"/>
        <v>PENDING RESEARCH</v>
      </c>
      <c r="AD889" s="15" t="str">
        <f t="shared" si="14"/>
        <v>Electropolished Pipes Manufacturer in Alirajpur</v>
      </c>
      <c r="AE889" s="15" t="str">
        <f t="shared" si="15"/>
        <v>Electropolished Pipe &amp; Tube Manufacturing for Alirajpur - Grades, Finishes &amp; Certification</v>
      </c>
      <c r="AF889" s="15" t="str">
        <f t="shared" si="16"/>
        <v>Electropolished Pipes Supplier in Alirajpur - Stock Sizes, Lead Time &amp; Delivery</v>
      </c>
      <c r="AG889" s="15" t="str">
        <f t="shared" si="17"/>
        <v>Electropolished Pipes Wholesaler &amp; Stockist in Alirajpur - Bulk &amp; Project Pricing</v>
      </c>
      <c r="AH889" s="15" t="str">
        <f t="shared" si="18"/>
        <v>electropolished pipes manufacturer in Alirajpur, electropolished pipes supplier in Alirajpur, electropolished pipes wholesaler in Alirajpur, electropolished tube manufacturer Alirajpur, EP pipe supplier Alirajpur, sanitary tube supplier Alirajpur, ASME BPE tubing Alirajpur, ASTM A270 tube Alirajpur, SS 316L electropolished pipe Alirajpur</v>
      </c>
      <c r="AI889" s="15" t="str">
        <f t="shared" si="19"/>
        <v>Electropolished Pipes Manufacturer &amp; Supplier in Alirajpur</v>
      </c>
      <c r="AJ889" s="15" t="str">
        <f t="shared" si="20"/>
        <v>EP-finished SS 304/316L pipes and tubes for VERIFY plants in Alirajpur. ASME BPE SF1-SF4, Ra from 0.25 um, EN 10204 3.1 certificate with every lot.</v>
      </c>
      <c r="AK889" s="15" t="str">
        <f t="shared" si="21"/>
        <v>Electropolished stainless steel pipes supplied by Sakshi Forge to VERIFY plants at MPIDC Industrial Area, Alirajpur</v>
      </c>
      <c r="AL889" s="15" t="str">
        <f t="shared" si="22"/>
        <v>Electropolished SS 316L tube stock for Alirajpur - Sakshi Forge</v>
      </c>
      <c r="AM889" s="15" t="str">
        <f t="shared" si="23"/>
        <v>Home &gt; Market Area &gt; India &gt; Madhya Pradesh &gt; Alirajpur</v>
      </c>
      <c r="AN889" s="15">
        <f t="shared" si="24"/>
        <v>750</v>
      </c>
      <c r="AO889" s="15">
        <f t="shared" si="25"/>
        <v>6</v>
      </c>
      <c r="AP889" s="15">
        <f t="shared" si="26"/>
        <v>6</v>
      </c>
      <c r="AQ889" s="15">
        <f t="shared" si="27"/>
        <v>15</v>
      </c>
      <c r="AR889" s="31"/>
      <c r="AS889" s="31"/>
      <c r="AT889" s="35" t="s">
        <v>222</v>
      </c>
      <c r="AU889" s="35"/>
    </row>
    <row r="890" ht="15.75" customHeight="1">
      <c r="A890" s="15" t="s">
        <v>4730</v>
      </c>
      <c r="B890" s="15" t="s">
        <v>60</v>
      </c>
      <c r="C890" s="15" t="s">
        <v>1139</v>
      </c>
      <c r="D890" s="15" t="s">
        <v>4731</v>
      </c>
      <c r="E890" s="15" t="s">
        <v>4731</v>
      </c>
      <c r="F890" s="58" t="s">
        <v>807</v>
      </c>
      <c r="G890" s="66" t="s">
        <v>98</v>
      </c>
      <c r="H890" s="18" t="s">
        <v>4733</v>
      </c>
      <c r="I890" s="18" t="s">
        <v>8410</v>
      </c>
      <c r="J890" s="18" t="s">
        <v>98</v>
      </c>
      <c r="K890" s="18" t="s">
        <v>98</v>
      </c>
      <c r="L890" s="18" t="s">
        <v>98</v>
      </c>
      <c r="M890" s="18" t="s">
        <v>98</v>
      </c>
      <c r="N890" s="18" t="s">
        <v>98</v>
      </c>
      <c r="O890" s="18" t="s">
        <v>98</v>
      </c>
      <c r="P890" s="15" t="str">
        <f t="shared" si="1"/>
        <v>VERIFY</v>
      </c>
      <c r="Q890" s="15">
        <f t="shared" si="2"/>
        <v>7</v>
      </c>
      <c r="R890" s="15">
        <f t="shared" si="3"/>
        <v>5</v>
      </c>
      <c r="S890" s="15">
        <f t="shared" si="4"/>
        <v>2</v>
      </c>
      <c r="T890" s="15" t="str">
        <f t="shared" si="5"/>
        <v>C-5</v>
      </c>
      <c r="U890" s="15" t="str">
        <f t="shared" si="6"/>
        <v>T7-M5-H2-FC-5-VERIFY</v>
      </c>
      <c r="V890" s="15">
        <f t="shared" si="7"/>
        <v>1</v>
      </c>
      <c r="W890" s="31"/>
      <c r="X890" s="15" t="str">
        <f t="shared" si="8"/>
        <v>almora</v>
      </c>
      <c r="Y890" s="32" t="str">
        <f t="shared" si="9"/>
        <v>https://steelmanufacturer.in/market-area/electropolished-pipes-manufacturer-in-almora/</v>
      </c>
      <c r="Z890" s="15" t="str">
        <f t="shared" si="10"/>
        <v>Electropolished Pipes Manufacturer in Almora | ASME BPE SF1-SF4</v>
      </c>
      <c r="AA890" s="15" t="str">
        <f t="shared" si="11"/>
        <v>OK (63)</v>
      </c>
      <c r="AB890" s="15" t="str">
        <f t="shared" si="12"/>
        <v>Manufacturer of electropolished SS 316L tube serving Almora. VERIFY. Ra 0.25-0.5 um, EN 10204 3.1 MTC.</v>
      </c>
      <c r="AC890" s="15" t="str">
        <f t="shared" si="13"/>
        <v>PENDING RESEARCH</v>
      </c>
      <c r="AD890" s="15" t="str">
        <f t="shared" si="14"/>
        <v>Electropolished Pipes Manufacturer in Almora</v>
      </c>
      <c r="AE890" s="15" t="str">
        <f t="shared" si="15"/>
        <v>How We Manufacture Electropolished Tube for Almora Plants</v>
      </c>
      <c r="AF890" s="15" t="str">
        <f t="shared" si="16"/>
        <v>Supplying Electropolished Pipes in Almora: Availability, Sizes &amp; Dispatch</v>
      </c>
      <c r="AG890" s="15" t="str">
        <f t="shared" si="17"/>
        <v>Wholesale Electropolished Pipe Supply for Almora Projects</v>
      </c>
      <c r="AH890" s="15" t="str">
        <f t="shared" si="18"/>
        <v>electropolished pipes manufacturer in Almora, electropolished pipes supplier in Almora, electropolished pipes wholesaler in Almora, electropolished tube manufacturer Almora, EP pipe supplier Almora, sanitary tube supplier Almora, ASME BPE tubing Almora, ASTM A270 tube Almora, SS 316L electropolished pipe Almora</v>
      </c>
      <c r="AI890" s="15" t="str">
        <f t="shared" si="19"/>
        <v>Electropolished Pipes Manufacturer &amp; Supplier in Almora</v>
      </c>
      <c r="AJ890" s="15" t="str">
        <f t="shared" si="20"/>
        <v>EP-finished SS 304/316L pipes and tubes for VERIFY plants in Almora. ASME BPE SF1-SF4, Ra from 0.25 um, EN 10204 3.1 certificate with every lot.</v>
      </c>
      <c r="AK890" s="15" t="str">
        <f t="shared" si="21"/>
        <v>Electropolished stainless steel pipes supplied by Sakshi Forge to VERIFY plants at SIIDCUL Industrial Area, Almora</v>
      </c>
      <c r="AL890" s="15" t="str">
        <f t="shared" si="22"/>
        <v>Electropolished SS 316L tube stock for Almora - Sakshi Forge</v>
      </c>
      <c r="AM890" s="15" t="str">
        <f t="shared" si="23"/>
        <v>Home &gt; Market Area &gt; India &gt; Uttarakhand &gt; Almora</v>
      </c>
      <c r="AN890" s="15">
        <f t="shared" si="24"/>
        <v>750</v>
      </c>
      <c r="AO890" s="15">
        <f t="shared" si="25"/>
        <v>6</v>
      </c>
      <c r="AP890" s="15">
        <f t="shared" si="26"/>
        <v>6</v>
      </c>
      <c r="AQ890" s="15">
        <f t="shared" si="27"/>
        <v>15</v>
      </c>
      <c r="AR890" s="31"/>
      <c r="AS890" s="31"/>
      <c r="AT890" s="35" t="s">
        <v>222</v>
      </c>
      <c r="AU890" s="35"/>
    </row>
    <row r="891" ht="15.75" customHeight="1">
      <c r="A891" s="15" t="s">
        <v>4734</v>
      </c>
      <c r="B891" s="15" t="s">
        <v>60</v>
      </c>
      <c r="C891" s="15" t="s">
        <v>236</v>
      </c>
      <c r="D891" s="15" t="s">
        <v>4735</v>
      </c>
      <c r="E891" s="15" t="s">
        <v>4735</v>
      </c>
      <c r="F891" s="58" t="s">
        <v>807</v>
      </c>
      <c r="G891" s="66" t="s">
        <v>98</v>
      </c>
      <c r="H891" s="18" t="s">
        <v>4737</v>
      </c>
      <c r="I891" s="18" t="s">
        <v>8391</v>
      </c>
      <c r="J891" s="18" t="s">
        <v>98</v>
      </c>
      <c r="K891" s="18" t="s">
        <v>98</v>
      </c>
      <c r="L891" s="18" t="s">
        <v>98</v>
      </c>
      <c r="M891" s="18" t="s">
        <v>98</v>
      </c>
      <c r="N891" s="18" t="s">
        <v>98</v>
      </c>
      <c r="O891" s="18" t="s">
        <v>98</v>
      </c>
      <c r="P891" s="15" t="str">
        <f t="shared" si="1"/>
        <v>VERIFY</v>
      </c>
      <c r="Q891" s="15">
        <f t="shared" si="2"/>
        <v>8</v>
      </c>
      <c r="R891" s="15">
        <f t="shared" si="3"/>
        <v>6</v>
      </c>
      <c r="S891" s="15">
        <f t="shared" si="4"/>
        <v>3</v>
      </c>
      <c r="T891" s="15" t="str">
        <f t="shared" si="5"/>
        <v>C-6</v>
      </c>
      <c r="U891" s="15" t="str">
        <f t="shared" si="6"/>
        <v>T8-M6-H3-FC-6-VERIFY</v>
      </c>
      <c r="V891" s="15">
        <f t="shared" si="7"/>
        <v>1</v>
      </c>
      <c r="W891" s="31"/>
      <c r="X891" s="15" t="str">
        <f t="shared" si="8"/>
        <v>alwar-neemrana</v>
      </c>
      <c r="Y891" s="32" t="str">
        <f t="shared" si="9"/>
        <v>https://steelmanufacturer.in/market-area/electropolished-pipes-manufacturer-in-alwar-neemrana/</v>
      </c>
      <c r="Z891" s="15" t="str">
        <f t="shared" si="10"/>
        <v>Electropolished Pipes Manufacturer in Alwar-Neemrana</v>
      </c>
      <c r="AA891" s="15" t="str">
        <f t="shared" si="11"/>
        <v>OK (52)</v>
      </c>
      <c r="AB891" s="15" t="str">
        <f t="shared" si="12"/>
        <v>EP tube and pipe for VERIFY plants around RIICO Industrial Area, Alwar-Neemrana. Made at our Mumbai works to ASTM A270 and ASME BPE SF1-SF4, with 3.1 MTC.</v>
      </c>
      <c r="AC891" s="15" t="str">
        <f t="shared" si="13"/>
        <v>PENDING RESEARCH</v>
      </c>
      <c r="AD891" s="15" t="str">
        <f t="shared" si="14"/>
        <v>Electropolished Pipes Manufacturer in Alwar-Neemrana</v>
      </c>
      <c r="AE891" s="15" t="str">
        <f t="shared" si="15"/>
        <v>Electropolished Pipes Manufacturer in Alwar-Neemrana - Our Process &amp; Capability</v>
      </c>
      <c r="AF891" s="15" t="str">
        <f t="shared" si="16"/>
        <v>Electropolished Pipes Supplier in Alwar-Neemrana - What We Hold in Stock</v>
      </c>
      <c r="AG891" s="15" t="str">
        <f t="shared" si="17"/>
        <v>Bulk &amp; Wholesale Electropolished Pipe Rates for Alwar-Neemrana Buyers</v>
      </c>
      <c r="AH891" s="15" t="str">
        <f t="shared" si="18"/>
        <v>electropolished pipes manufacturer in Alwar-Neemrana, electropolished pipes supplier in Alwar-Neemrana, electropolished pipes wholesaler in Alwar-Neemrana, electropolished tube manufacturer Alwar-Neemrana, EP pipe supplier Alwar-Neemrana, sanitary tube supplier Alwar-Neemrana, ASME BPE tubing Alwar-Neemrana, ASTM A270 tube Alwar-Neemrana, SS 316L electropolished pipe Alwar-Neemrana</v>
      </c>
      <c r="AI891" s="15" t="str">
        <f t="shared" si="19"/>
        <v>Electropolished Pipes Manufacturer &amp; Supplier in Alwar-Neemrana</v>
      </c>
      <c r="AJ891" s="15" t="str">
        <f t="shared" si="20"/>
        <v>EP-finished SS 304/316L pipes and tubes for VERIFY plants in Alwar-Neemrana. ASME BPE SF1-SF4, Ra from 0.25 um, EN 10204 3.1 certificate with every lot.</v>
      </c>
      <c r="AK891" s="15" t="str">
        <f t="shared" si="21"/>
        <v>Electropolished stainless steel pipes supplied by Sakshi Forge to VERIFY plants at RIICO Industrial Area, Alwar-Neemrana</v>
      </c>
      <c r="AL891" s="15" t="str">
        <f t="shared" si="22"/>
        <v>Electropolished SS 316L tube stock for Alwar-Neemrana - Sakshi Forge</v>
      </c>
      <c r="AM891" s="15" t="str">
        <f t="shared" si="23"/>
        <v>Home &gt; Market Area &gt; India &gt; Rajasthan &gt; Alwar-Neemrana</v>
      </c>
      <c r="AN891" s="15">
        <f t="shared" si="24"/>
        <v>750</v>
      </c>
      <c r="AO891" s="15">
        <f t="shared" si="25"/>
        <v>6</v>
      </c>
      <c r="AP891" s="15">
        <f t="shared" si="26"/>
        <v>6</v>
      </c>
      <c r="AQ891" s="15">
        <f t="shared" si="27"/>
        <v>15</v>
      </c>
      <c r="AR891" s="31"/>
      <c r="AS891" s="31"/>
      <c r="AT891" s="35" t="s">
        <v>222</v>
      </c>
      <c r="AU891" s="35"/>
    </row>
    <row r="892" ht="15.75" customHeight="1">
      <c r="A892" s="15" t="s">
        <v>4738</v>
      </c>
      <c r="B892" s="15" t="s">
        <v>60</v>
      </c>
      <c r="C892" s="15" t="s">
        <v>413</v>
      </c>
      <c r="D892" s="15" t="s">
        <v>4740</v>
      </c>
      <c r="E892" s="15" t="s">
        <v>4740</v>
      </c>
      <c r="F892" s="58" t="s">
        <v>807</v>
      </c>
      <c r="G892" s="66" t="s">
        <v>98</v>
      </c>
      <c r="H892" s="18" t="s">
        <v>4744</v>
      </c>
      <c r="I892" s="18" t="s">
        <v>8393</v>
      </c>
      <c r="J892" s="18" t="s">
        <v>98</v>
      </c>
      <c r="K892" s="18" t="s">
        <v>98</v>
      </c>
      <c r="L892" s="18" t="s">
        <v>98</v>
      </c>
      <c r="M892" s="18" t="s">
        <v>98</v>
      </c>
      <c r="N892" s="18" t="s">
        <v>98</v>
      </c>
      <c r="O892" s="18" t="s">
        <v>98</v>
      </c>
      <c r="P892" s="15" t="str">
        <f t="shared" si="1"/>
        <v>VERIFY</v>
      </c>
      <c r="Q892" s="15">
        <f t="shared" si="2"/>
        <v>1</v>
      </c>
      <c r="R892" s="15">
        <f t="shared" si="3"/>
        <v>7</v>
      </c>
      <c r="S892" s="15">
        <f t="shared" si="4"/>
        <v>4</v>
      </c>
      <c r="T892" s="15" t="str">
        <f t="shared" si="5"/>
        <v>C-1</v>
      </c>
      <c r="U892" s="15" t="str">
        <f t="shared" si="6"/>
        <v>T1-M7-H4-FC-1-VERIFY</v>
      </c>
      <c r="V892" s="15">
        <f t="shared" si="7"/>
        <v>1</v>
      </c>
      <c r="W892" s="31"/>
      <c r="X892" s="15" t="str">
        <f t="shared" si="8"/>
        <v>amalapuram</v>
      </c>
      <c r="Y892" s="32" t="str">
        <f t="shared" si="9"/>
        <v>https://steelmanufacturer.in/market-area/electropolished-pipes-manufacturer-in-amalapuram/</v>
      </c>
      <c r="Z892" s="15" t="str">
        <f t="shared" si="10"/>
        <v>Electropolished Pipes Manufacturer in Amalapuram | Sakshi Forge</v>
      </c>
      <c r="AA892" s="15" t="str">
        <f t="shared" si="11"/>
        <v>OK (63)</v>
      </c>
      <c r="AB892" s="15" t="str">
        <f t="shared" si="12"/>
        <v>Electropolished pipes in Amalapuram: 304, 304L, 316 and 316L in SF1-SF4. VERIFY. Mill certified.</v>
      </c>
      <c r="AC892" s="15" t="str">
        <f t="shared" si="13"/>
        <v>PENDING RESEARCH</v>
      </c>
      <c r="AD892" s="15" t="str">
        <f t="shared" si="14"/>
        <v>Electropolished Pipes Manufacturer in Amalapuram</v>
      </c>
      <c r="AE892" s="15" t="str">
        <f t="shared" si="15"/>
        <v>Manufacturing Electropolished SS Tube for Amalapuram: The Standards We Build To</v>
      </c>
      <c r="AF892" s="15" t="str">
        <f t="shared" si="16"/>
        <v>Electropolished Pipe Supply Into Amalapuram - Certification &amp; Transit</v>
      </c>
      <c r="AG892" s="15" t="str">
        <f t="shared" si="17"/>
        <v>Electropolished Pipes Wholesaler in Amalapuram - Project Quantities &amp; Terms</v>
      </c>
      <c r="AH892" s="15" t="str">
        <f t="shared" si="18"/>
        <v>electropolished pipes manufacturer in Amalapuram, electropolished pipes supplier in Amalapuram, electropolished pipes wholesaler in Amalapuram, electropolished tube manufacturer Amalapuram, EP pipe supplier Amalapuram, sanitary tube supplier Amalapuram, ASME BPE tubing Amalapuram, ASTM A270 tube Amalapuram, SS 316L electropolished pipe Amalapuram</v>
      </c>
      <c r="AI892" s="15" t="str">
        <f t="shared" si="19"/>
        <v>Electropolished Pipes Manufacturer &amp; Supplier in Amalapuram</v>
      </c>
      <c r="AJ892" s="15" t="str">
        <f t="shared" si="20"/>
        <v>EP-finished SS 304/316L pipes and tubes for VERIFY plants in Amalapuram. ASME BPE SF1-SF4, Ra from 0.25 um, EN 10204 3.1 certificate with every lot.</v>
      </c>
      <c r="AK892" s="15" t="str">
        <f t="shared" si="21"/>
        <v>Electropolished stainless steel pipes supplied by Sakshi Forge to VERIFY plants at APIIC Industrial Area, Amalapuram</v>
      </c>
      <c r="AL892" s="15" t="str">
        <f t="shared" si="22"/>
        <v>Electropolished SS 316L tube stock for Amalapuram - Sakshi Forge</v>
      </c>
      <c r="AM892" s="15" t="str">
        <f t="shared" si="23"/>
        <v>Home &gt; Market Area &gt; India &gt; Andhra Pradesh &gt; Amalapuram</v>
      </c>
      <c r="AN892" s="15">
        <f t="shared" si="24"/>
        <v>750</v>
      </c>
      <c r="AO892" s="15">
        <f t="shared" si="25"/>
        <v>6</v>
      </c>
      <c r="AP892" s="15">
        <f t="shared" si="26"/>
        <v>6</v>
      </c>
      <c r="AQ892" s="15">
        <f t="shared" si="27"/>
        <v>15</v>
      </c>
      <c r="AR892" s="31"/>
      <c r="AS892" s="31"/>
      <c r="AT892" s="35" t="s">
        <v>222</v>
      </c>
      <c r="AU892" s="35"/>
    </row>
    <row r="893" ht="15.75" customHeight="1">
      <c r="A893" s="15" t="s">
        <v>4747</v>
      </c>
      <c r="B893" s="15" t="s">
        <v>60</v>
      </c>
      <c r="C893" s="15" t="s">
        <v>264</v>
      </c>
      <c r="D893" s="15" t="s">
        <v>4748</v>
      </c>
      <c r="E893" s="15" t="s">
        <v>4748</v>
      </c>
      <c r="F893" s="58" t="s">
        <v>807</v>
      </c>
      <c r="G893" s="66" t="s">
        <v>98</v>
      </c>
      <c r="H893" s="18" t="s">
        <v>4750</v>
      </c>
      <c r="I893" s="18" t="s">
        <v>8395</v>
      </c>
      <c r="J893" s="18" t="s">
        <v>98</v>
      </c>
      <c r="K893" s="18" t="s">
        <v>98</v>
      </c>
      <c r="L893" s="18" t="s">
        <v>98</v>
      </c>
      <c r="M893" s="18" t="s">
        <v>98</v>
      </c>
      <c r="N893" s="18" t="s">
        <v>98</v>
      </c>
      <c r="O893" s="18" t="s">
        <v>98</v>
      </c>
      <c r="P893" s="15" t="str">
        <f t="shared" si="1"/>
        <v>VERIFY</v>
      </c>
      <c r="Q893" s="15">
        <f t="shared" si="2"/>
        <v>2</v>
      </c>
      <c r="R893" s="15">
        <f t="shared" si="3"/>
        <v>1</v>
      </c>
      <c r="S893" s="15">
        <f t="shared" si="4"/>
        <v>5</v>
      </c>
      <c r="T893" s="15" t="str">
        <f t="shared" si="5"/>
        <v>C-2</v>
      </c>
      <c r="U893" s="15" t="str">
        <f t="shared" si="6"/>
        <v>T2-M1-H5-FC-2-VERIFY</v>
      </c>
      <c r="V893" s="15">
        <f t="shared" si="7"/>
        <v>1</v>
      </c>
      <c r="W893" s="31"/>
      <c r="X893" s="15" t="str">
        <f t="shared" si="8"/>
        <v>ambajogai</v>
      </c>
      <c r="Y893" s="32" t="str">
        <f t="shared" si="9"/>
        <v>https://steelmanufacturer.in/market-area/electropolished-pipes-manufacturer-in-ambajogai/</v>
      </c>
      <c r="Z893" s="15" t="str">
        <f t="shared" si="10"/>
        <v>Electropolished Pipes Manufacturer in Ambajogai</v>
      </c>
      <c r="AA893" s="15" t="str">
        <f t="shared" si="11"/>
        <v>OK (47)</v>
      </c>
      <c r="AB893" s="15" t="str">
        <f t="shared" si="12"/>
        <v>EP-finished SS 304/316L pipes &amp; tubes for VERIFY plants in Ambajogai. ASTM A270, ASME BPE SF1-SF4, EN 10204 3.1 MTC. PMI tested.</v>
      </c>
      <c r="AC893" s="15" t="str">
        <f t="shared" si="13"/>
        <v>PENDING RESEARCH</v>
      </c>
      <c r="AD893" s="15" t="str">
        <f t="shared" si="14"/>
        <v>Electropolished Pipes Manufacturer in Ambajogai</v>
      </c>
      <c r="AE893" s="15" t="str">
        <f t="shared" si="15"/>
        <v>Electropolished Tube Manufacturing Capability Serving Ambajogai</v>
      </c>
      <c r="AF893" s="15" t="str">
        <f t="shared" si="16"/>
        <v>Electropolished Pipes Supplier in Ambajogai - From Order to Delivery</v>
      </c>
      <c r="AG893" s="15" t="str">
        <f t="shared" si="17"/>
        <v>Stockist &amp; Wholesale Supply of Electropolished Pipes in Ambajogai</v>
      </c>
      <c r="AH893" s="15" t="str">
        <f t="shared" si="18"/>
        <v>electropolished pipes manufacturer in Ambajogai, electropolished pipes supplier in Ambajogai, electropolished pipes wholesaler in Ambajogai, electropolished tube manufacturer Ambajogai, EP pipe supplier Ambajogai, sanitary tube supplier Ambajogai, ASME BPE tubing Ambajogai, ASTM A270 tube Ambajogai, SS 316L electropolished pipe Ambajogai</v>
      </c>
      <c r="AI893" s="15" t="str">
        <f t="shared" si="19"/>
        <v>Electropolished Pipes Manufacturer &amp; Supplier in Ambajogai</v>
      </c>
      <c r="AJ893" s="15" t="str">
        <f t="shared" si="20"/>
        <v>EP-finished SS 304/316L pipes and tubes for VERIFY plants in Ambajogai. ASME BPE SF1-SF4, Ra from 0.25 um, EN 10204 3.1 certificate with every lot.</v>
      </c>
      <c r="AK893" s="15" t="str">
        <f t="shared" si="21"/>
        <v>Electropolished stainless steel pipes supplied by Sakshi Forge to VERIFY plants at MIDC Industrial Area, Ambajogai</v>
      </c>
      <c r="AL893" s="15" t="str">
        <f t="shared" si="22"/>
        <v>Electropolished SS 316L tube stock for Ambajogai - Sakshi Forge</v>
      </c>
      <c r="AM893" s="15" t="str">
        <f t="shared" si="23"/>
        <v>Home &gt; Market Area &gt; India &gt; Maharashtra &gt; Ambajogai</v>
      </c>
      <c r="AN893" s="15">
        <f t="shared" si="24"/>
        <v>750</v>
      </c>
      <c r="AO893" s="15">
        <f t="shared" si="25"/>
        <v>6</v>
      </c>
      <c r="AP893" s="15">
        <f t="shared" si="26"/>
        <v>6</v>
      </c>
      <c r="AQ893" s="15">
        <f t="shared" si="27"/>
        <v>15</v>
      </c>
      <c r="AR893" s="31"/>
      <c r="AS893" s="31"/>
      <c r="AT893" s="35" t="s">
        <v>222</v>
      </c>
      <c r="AU893" s="35"/>
    </row>
    <row r="894" ht="15.75" customHeight="1">
      <c r="A894" s="15" t="s">
        <v>4751</v>
      </c>
      <c r="B894" s="15" t="s">
        <v>60</v>
      </c>
      <c r="C894" s="15" t="s">
        <v>958</v>
      </c>
      <c r="D894" s="15" t="s">
        <v>4752</v>
      </c>
      <c r="E894" s="15" t="s">
        <v>4752</v>
      </c>
      <c r="F894" s="58" t="s">
        <v>807</v>
      </c>
      <c r="G894" s="66" t="s">
        <v>98</v>
      </c>
      <c r="H894" s="18" t="s">
        <v>4754</v>
      </c>
      <c r="I894" s="18" t="s">
        <v>8403</v>
      </c>
      <c r="J894" s="18" t="s">
        <v>98</v>
      </c>
      <c r="K894" s="18" t="s">
        <v>98</v>
      </c>
      <c r="L894" s="18" t="s">
        <v>98</v>
      </c>
      <c r="M894" s="18" t="s">
        <v>98</v>
      </c>
      <c r="N894" s="18" t="s">
        <v>98</v>
      </c>
      <c r="O894" s="18" t="s">
        <v>98</v>
      </c>
      <c r="P894" s="15" t="str">
        <f t="shared" si="1"/>
        <v>VERIFY</v>
      </c>
      <c r="Q894" s="15">
        <f t="shared" si="2"/>
        <v>3</v>
      </c>
      <c r="R894" s="15">
        <f t="shared" si="3"/>
        <v>2</v>
      </c>
      <c r="S894" s="15">
        <f t="shared" si="4"/>
        <v>1</v>
      </c>
      <c r="T894" s="15" t="str">
        <f t="shared" si="5"/>
        <v>C-3</v>
      </c>
      <c r="U894" s="15" t="str">
        <f t="shared" si="6"/>
        <v>T3-M2-H1-FC-3-VERIFY</v>
      </c>
      <c r="V894" s="15">
        <f t="shared" si="7"/>
        <v>1</v>
      </c>
      <c r="W894" s="31"/>
      <c r="X894" s="15" t="str">
        <f t="shared" si="8"/>
        <v>ambur</v>
      </c>
      <c r="Y894" s="32" t="str">
        <f t="shared" si="9"/>
        <v>https://steelmanufacturer.in/market-area/electropolished-pipes-manufacturer-in-ambur/</v>
      </c>
      <c r="Z894" s="15" t="str">
        <f t="shared" si="10"/>
        <v>Electropolished Pipes Manufacturer in Ambur | EP Tube Supplier</v>
      </c>
      <c r="AA894" s="15" t="str">
        <f t="shared" si="11"/>
        <v>OK (62)</v>
      </c>
      <c r="AB894" s="15" t="str">
        <f t="shared" si="12"/>
        <v>Electropolished tube supply to SIPCOT Industrial Area, Ambur. Ra from 0.25 um, SF4 finish, mill test certificate with every lot.</v>
      </c>
      <c r="AC894" s="15" t="str">
        <f t="shared" si="13"/>
        <v>PENDING RESEARCH</v>
      </c>
      <c r="AD894" s="15" t="str">
        <f t="shared" si="14"/>
        <v>Electropolished Pipes Manufacturer in Ambur</v>
      </c>
      <c r="AE894" s="15" t="str">
        <f t="shared" si="15"/>
        <v>Electropolished Pipe &amp; Tube Manufacturing for Ambur - Grades, Finishes &amp; Certification</v>
      </c>
      <c r="AF894" s="15" t="str">
        <f t="shared" si="16"/>
        <v>Electropolished Pipes Supplier in Ambur - Stock Sizes, Lead Time &amp; Delivery</v>
      </c>
      <c r="AG894" s="15" t="str">
        <f t="shared" si="17"/>
        <v>Electropolished Pipes Wholesaler &amp; Stockist in Ambur - Bulk &amp; Project Pricing</v>
      </c>
      <c r="AH894" s="15" t="str">
        <f t="shared" si="18"/>
        <v>electropolished pipes manufacturer in Ambur, electropolished pipes supplier in Ambur, electropolished pipes wholesaler in Ambur, electropolished tube manufacturer Ambur, EP pipe supplier Ambur, sanitary tube supplier Ambur, ASME BPE tubing Ambur, ASTM A270 tube Ambur, SS 316L electropolished pipe Ambur</v>
      </c>
      <c r="AI894" s="15" t="str">
        <f t="shared" si="19"/>
        <v>Electropolished Pipes Manufacturer &amp; Supplier in Ambur</v>
      </c>
      <c r="AJ894" s="15" t="str">
        <f t="shared" si="20"/>
        <v>EP-finished SS 304/316L pipes and tubes for VERIFY plants in Ambur. ASME BPE SF1-SF4, Ra from 0.25 um, EN 10204 3.1 certificate with every lot.</v>
      </c>
      <c r="AK894" s="15" t="str">
        <f t="shared" si="21"/>
        <v>Electropolished stainless steel pipes supplied by Sakshi Forge to VERIFY plants at SIPCOT Industrial Area, Ambur</v>
      </c>
      <c r="AL894" s="15" t="str">
        <f t="shared" si="22"/>
        <v>Electropolished SS 316L tube stock for Ambur - Sakshi Forge</v>
      </c>
      <c r="AM894" s="15" t="str">
        <f t="shared" si="23"/>
        <v>Home &gt; Market Area &gt; India &gt; Tamil Nadu &gt; Ambur</v>
      </c>
      <c r="AN894" s="15">
        <f t="shared" si="24"/>
        <v>750</v>
      </c>
      <c r="AO894" s="15">
        <f t="shared" si="25"/>
        <v>6</v>
      </c>
      <c r="AP894" s="15">
        <f t="shared" si="26"/>
        <v>6</v>
      </c>
      <c r="AQ894" s="15">
        <f t="shared" si="27"/>
        <v>15</v>
      </c>
      <c r="AR894" s="31"/>
      <c r="AS894" s="31"/>
      <c r="AT894" s="35" t="s">
        <v>222</v>
      </c>
      <c r="AU894" s="35"/>
    </row>
    <row r="895" ht="15.75" customHeight="1">
      <c r="A895" s="15" t="s">
        <v>4755</v>
      </c>
      <c r="B895" s="15" t="s">
        <v>60</v>
      </c>
      <c r="C895" s="15" t="s">
        <v>85</v>
      </c>
      <c r="D895" s="15" t="s">
        <v>4756</v>
      </c>
      <c r="E895" s="15" t="s">
        <v>4756</v>
      </c>
      <c r="F895" s="58" t="s">
        <v>807</v>
      </c>
      <c r="G895" s="66" t="s">
        <v>98</v>
      </c>
      <c r="H895" s="18" t="s">
        <v>4758</v>
      </c>
      <c r="I895" s="18" t="s">
        <v>8398</v>
      </c>
      <c r="J895" s="18" t="s">
        <v>98</v>
      </c>
      <c r="K895" s="18" t="s">
        <v>98</v>
      </c>
      <c r="L895" s="18" t="s">
        <v>98</v>
      </c>
      <c r="M895" s="18" t="s">
        <v>98</v>
      </c>
      <c r="N895" s="18" t="s">
        <v>98</v>
      </c>
      <c r="O895" s="18" t="s">
        <v>98</v>
      </c>
      <c r="P895" s="15" t="str">
        <f t="shared" si="1"/>
        <v>VERIFY</v>
      </c>
      <c r="Q895" s="15">
        <f t="shared" si="2"/>
        <v>4</v>
      </c>
      <c r="R895" s="15">
        <f t="shared" si="3"/>
        <v>3</v>
      </c>
      <c r="S895" s="15">
        <f t="shared" si="4"/>
        <v>2</v>
      </c>
      <c r="T895" s="15" t="str">
        <f t="shared" si="5"/>
        <v>C-4</v>
      </c>
      <c r="U895" s="15" t="str">
        <f t="shared" si="6"/>
        <v>T4-M3-H2-FC-4-VERIFY</v>
      </c>
      <c r="V895" s="15">
        <f t="shared" si="7"/>
        <v>1</v>
      </c>
      <c r="W895" s="31"/>
      <c r="X895" s="15" t="str">
        <f t="shared" si="8"/>
        <v>amethi</v>
      </c>
      <c r="Y895" s="32" t="str">
        <f t="shared" si="9"/>
        <v>https://steelmanufacturer.in/market-area/electropolished-pipes-manufacturer-in-amethi/</v>
      </c>
      <c r="Z895" s="15" t="str">
        <f t="shared" si="10"/>
        <v>Electropolished Pipes Manufacturer in Amethi</v>
      </c>
      <c r="AA895" s="15" t="str">
        <f t="shared" si="11"/>
        <v>OK (44)</v>
      </c>
      <c r="AB895" s="15" t="str">
        <f t="shared" si="12"/>
        <v>EP stainless tube for VERIFY lines in Amethi. VERIFY. ASTM A270 S2, PMI tested, EN 10204 3.1.</v>
      </c>
      <c r="AC895" s="15" t="str">
        <f t="shared" si="13"/>
        <v>PENDING RESEARCH</v>
      </c>
      <c r="AD895" s="15" t="str">
        <f t="shared" si="14"/>
        <v>Electropolished Pipes Manufacturer in Amethi</v>
      </c>
      <c r="AE895" s="15" t="str">
        <f t="shared" si="15"/>
        <v>How We Manufacture Electropolished Tube for Amethi Plants</v>
      </c>
      <c r="AF895" s="15" t="str">
        <f t="shared" si="16"/>
        <v>Supplying Electropolished Pipes in Amethi: Availability, Sizes &amp; Dispatch</v>
      </c>
      <c r="AG895" s="15" t="str">
        <f t="shared" si="17"/>
        <v>Wholesale Electropolished Pipe Supply for Amethi Projects</v>
      </c>
      <c r="AH895" s="15" t="str">
        <f t="shared" si="18"/>
        <v>electropolished pipes manufacturer in Amethi, electropolished pipes supplier in Amethi, electropolished pipes wholesaler in Amethi, electropolished tube manufacturer Amethi, EP pipe supplier Amethi, sanitary tube supplier Amethi, ASME BPE tubing Amethi, ASTM A270 tube Amethi, SS 316L electropolished pipe Amethi</v>
      </c>
      <c r="AI895" s="15" t="str">
        <f t="shared" si="19"/>
        <v>Electropolished Pipes Manufacturer &amp; Supplier in Amethi</v>
      </c>
      <c r="AJ895" s="15" t="str">
        <f t="shared" si="20"/>
        <v>EP-finished SS 304/316L pipes and tubes for VERIFY plants in Amethi. ASME BPE SF1-SF4, Ra from 0.25 um, EN 10204 3.1 certificate with every lot.</v>
      </c>
      <c r="AK895" s="15" t="str">
        <f t="shared" si="21"/>
        <v>Electropolished stainless steel pipes supplied by Sakshi Forge to VERIFY plants at UPSIDA Industrial Area, Amethi</v>
      </c>
      <c r="AL895" s="15" t="str">
        <f t="shared" si="22"/>
        <v>Electropolished SS 316L tube stock for Amethi - Sakshi Forge</v>
      </c>
      <c r="AM895" s="15" t="str">
        <f t="shared" si="23"/>
        <v>Home &gt; Market Area &gt; India &gt; Uttar Pradesh &gt; Amethi</v>
      </c>
      <c r="AN895" s="15">
        <f t="shared" si="24"/>
        <v>750</v>
      </c>
      <c r="AO895" s="15">
        <f t="shared" si="25"/>
        <v>6</v>
      </c>
      <c r="AP895" s="15">
        <f t="shared" si="26"/>
        <v>6</v>
      </c>
      <c r="AQ895" s="15">
        <f t="shared" si="27"/>
        <v>15</v>
      </c>
      <c r="AR895" s="31"/>
      <c r="AS895" s="31"/>
      <c r="AT895" s="35" t="s">
        <v>222</v>
      </c>
      <c r="AU895" s="35"/>
    </row>
    <row r="896" ht="15.75" customHeight="1">
      <c r="A896" s="15" t="s">
        <v>4759</v>
      </c>
      <c r="B896" s="15" t="s">
        <v>60</v>
      </c>
      <c r="C896" s="15" t="s">
        <v>224</v>
      </c>
      <c r="D896" s="15" t="s">
        <v>4760</v>
      </c>
      <c r="E896" s="15" t="s">
        <v>4760</v>
      </c>
      <c r="F896" s="58" t="s">
        <v>807</v>
      </c>
      <c r="G896" s="66" t="s">
        <v>98</v>
      </c>
      <c r="H896" s="18" t="s">
        <v>4762</v>
      </c>
      <c r="I896" s="18" t="s">
        <v>8400</v>
      </c>
      <c r="J896" s="18" t="s">
        <v>98</v>
      </c>
      <c r="K896" s="18" t="s">
        <v>98</v>
      </c>
      <c r="L896" s="18" t="s">
        <v>98</v>
      </c>
      <c r="M896" s="18" t="s">
        <v>98</v>
      </c>
      <c r="N896" s="18" t="s">
        <v>98</v>
      </c>
      <c r="O896" s="18" t="s">
        <v>98</v>
      </c>
      <c r="P896" s="15" t="str">
        <f t="shared" si="1"/>
        <v>VERIFY</v>
      </c>
      <c r="Q896" s="15">
        <f t="shared" si="2"/>
        <v>5</v>
      </c>
      <c r="R896" s="15">
        <f t="shared" si="3"/>
        <v>4</v>
      </c>
      <c r="S896" s="15">
        <f t="shared" si="4"/>
        <v>3</v>
      </c>
      <c r="T896" s="15" t="str">
        <f t="shared" si="5"/>
        <v>C-5</v>
      </c>
      <c r="U896" s="15" t="str">
        <f t="shared" si="6"/>
        <v>T5-M4-H3-FC-5-VERIFY</v>
      </c>
      <c r="V896" s="15">
        <f t="shared" si="7"/>
        <v>1</v>
      </c>
      <c r="W896" s="31"/>
      <c r="X896" s="15" t="str">
        <f t="shared" si="8"/>
        <v>amod</v>
      </c>
      <c r="Y896" s="32" t="str">
        <f t="shared" si="9"/>
        <v>https://steelmanufacturer.in/market-area/electropolished-pipes-manufacturer-in-amod/</v>
      </c>
      <c r="Z896" s="15" t="str">
        <f t="shared" si="10"/>
        <v>Electropolished Pipes Manufacturer in Amod | Sanitary Tube Supply</v>
      </c>
      <c r="AA896" s="15" t="str">
        <f t="shared" si="11"/>
        <v>OK (65)</v>
      </c>
      <c r="AB896" s="15" t="str">
        <f t="shared" si="12"/>
        <v>Sanitary electropolished pipes in Amod for VERIFY plants. ASME BPE SF1-SF4, orbital-weld ready, 3.1 MTC. Mumbai-made.</v>
      </c>
      <c r="AC896" s="15" t="str">
        <f t="shared" si="13"/>
        <v>PENDING RESEARCH</v>
      </c>
      <c r="AD896" s="15" t="str">
        <f t="shared" si="14"/>
        <v>Electropolished Pipes Manufacturer in Amod</v>
      </c>
      <c r="AE896" s="15" t="str">
        <f t="shared" si="15"/>
        <v>Electropolished Pipes Manufacturer in Amod - Our Process &amp; Capability</v>
      </c>
      <c r="AF896" s="15" t="str">
        <f t="shared" si="16"/>
        <v>Electropolished Pipes Supplier in Amod - What We Hold in Stock</v>
      </c>
      <c r="AG896" s="15" t="str">
        <f t="shared" si="17"/>
        <v>Bulk &amp; Wholesale Electropolished Pipe Rates for Amod Buyers</v>
      </c>
      <c r="AH896" s="15" t="str">
        <f t="shared" si="18"/>
        <v>electropolished pipes manufacturer in Amod, electropolished pipes supplier in Amod, electropolished pipes wholesaler in Amod, electropolished tube manufacturer Amod, EP pipe supplier Amod, sanitary tube supplier Amod, ASME BPE tubing Amod, ASTM A270 tube Amod, SS 316L electropolished pipe Amod</v>
      </c>
      <c r="AI896" s="15" t="str">
        <f t="shared" si="19"/>
        <v>Electropolished Pipes Manufacturer &amp; Supplier in Amod</v>
      </c>
      <c r="AJ896" s="15" t="str">
        <f t="shared" si="20"/>
        <v>EP-finished SS 304/316L pipes and tubes for VERIFY plants in Amod. ASME BPE SF1-SF4, Ra from 0.25 um, EN 10204 3.1 certificate with every lot.</v>
      </c>
      <c r="AK896" s="15" t="str">
        <f t="shared" si="21"/>
        <v>Electropolished stainless steel pipes supplied by Sakshi Forge to VERIFY plants at GIDC Industrial Area, Amod</v>
      </c>
      <c r="AL896" s="15" t="str">
        <f t="shared" si="22"/>
        <v>Electropolished SS 316L tube stock for Amod - Sakshi Forge</v>
      </c>
      <c r="AM896" s="15" t="str">
        <f t="shared" si="23"/>
        <v>Home &gt; Market Area &gt; India &gt; Gujarat &gt; Amod</v>
      </c>
      <c r="AN896" s="15">
        <f t="shared" si="24"/>
        <v>750</v>
      </c>
      <c r="AO896" s="15">
        <f t="shared" si="25"/>
        <v>6</v>
      </c>
      <c r="AP896" s="15">
        <f t="shared" si="26"/>
        <v>6</v>
      </c>
      <c r="AQ896" s="15">
        <f t="shared" si="27"/>
        <v>15</v>
      </c>
      <c r="AR896" s="31"/>
      <c r="AS896" s="31"/>
      <c r="AT896" s="35" t="s">
        <v>222</v>
      </c>
      <c r="AU896" s="35"/>
    </row>
    <row r="897" ht="15.75" customHeight="1">
      <c r="A897" s="15" t="s">
        <v>4763</v>
      </c>
      <c r="B897" s="15" t="s">
        <v>60</v>
      </c>
      <c r="C897" s="15" t="s">
        <v>85</v>
      </c>
      <c r="D897" s="15" t="s">
        <v>4764</v>
      </c>
      <c r="E897" s="15" t="s">
        <v>4764</v>
      </c>
      <c r="F897" s="58" t="s">
        <v>807</v>
      </c>
      <c r="G897" s="66" t="s">
        <v>98</v>
      </c>
      <c r="H897" s="18" t="s">
        <v>4766</v>
      </c>
      <c r="I897" s="18" t="s">
        <v>8398</v>
      </c>
      <c r="J897" s="18" t="s">
        <v>98</v>
      </c>
      <c r="K897" s="18" t="s">
        <v>98</v>
      </c>
      <c r="L897" s="18" t="s">
        <v>98</v>
      </c>
      <c r="M897" s="18" t="s">
        <v>98</v>
      </c>
      <c r="N897" s="18" t="s">
        <v>98</v>
      </c>
      <c r="O897" s="18" t="s">
        <v>98</v>
      </c>
      <c r="P897" s="15" t="str">
        <f t="shared" si="1"/>
        <v>VERIFY</v>
      </c>
      <c r="Q897" s="15">
        <f t="shared" si="2"/>
        <v>6</v>
      </c>
      <c r="R897" s="15">
        <f t="shared" si="3"/>
        <v>5</v>
      </c>
      <c r="S897" s="15">
        <f t="shared" si="4"/>
        <v>4</v>
      </c>
      <c r="T897" s="15" t="str">
        <f t="shared" si="5"/>
        <v>C-6</v>
      </c>
      <c r="U897" s="15" t="str">
        <f t="shared" si="6"/>
        <v>T6-M5-H4-FC-6-VERIFY</v>
      </c>
      <c r="V897" s="15">
        <f t="shared" si="7"/>
        <v>1</v>
      </c>
      <c r="W897" s="31"/>
      <c r="X897" s="15" t="str">
        <f t="shared" si="8"/>
        <v>amroha</v>
      </c>
      <c r="Y897" s="32" t="str">
        <f t="shared" si="9"/>
        <v>https://steelmanufacturer.in/market-area/electropolished-pipes-manufacturer-in-amroha/</v>
      </c>
      <c r="Z897" s="15" t="str">
        <f t="shared" si="10"/>
        <v>Electropolished Pipes Manufacturer in Amroha</v>
      </c>
      <c r="AA897" s="15" t="str">
        <f t="shared" si="11"/>
        <v>OK (44)</v>
      </c>
      <c r="AB897" s="15" t="str">
        <f t="shared" si="12"/>
        <v>Manufacturer of electropolished SS 316L tube serving Amroha. VERIFY. Ra 0.25-0.5 um, EN 10204 3.1 MTC.</v>
      </c>
      <c r="AC897" s="15" t="str">
        <f t="shared" si="13"/>
        <v>PENDING RESEARCH</v>
      </c>
      <c r="AD897" s="15" t="str">
        <f t="shared" si="14"/>
        <v>Electropolished Pipes Manufacturer in Amroha</v>
      </c>
      <c r="AE897" s="15" t="str">
        <f t="shared" si="15"/>
        <v>Manufacturing Electropolished SS Tube for Amroha: The Standards We Build To</v>
      </c>
      <c r="AF897" s="15" t="str">
        <f t="shared" si="16"/>
        <v>Electropolished Pipe Supply Into Amroha - Certification &amp; Transit</v>
      </c>
      <c r="AG897" s="15" t="str">
        <f t="shared" si="17"/>
        <v>Electropolished Pipes Wholesaler in Amroha - Project Quantities &amp; Terms</v>
      </c>
      <c r="AH897" s="15" t="str">
        <f t="shared" si="18"/>
        <v>electropolished pipes manufacturer in Amroha, electropolished pipes supplier in Amroha, electropolished pipes wholesaler in Amroha, electropolished tube manufacturer Amroha, EP pipe supplier Amroha, sanitary tube supplier Amroha, ASME BPE tubing Amroha, ASTM A270 tube Amroha, SS 316L electropolished pipe Amroha</v>
      </c>
      <c r="AI897" s="15" t="str">
        <f t="shared" si="19"/>
        <v>Electropolished Pipes Manufacturer &amp; Supplier in Amroha</v>
      </c>
      <c r="AJ897" s="15" t="str">
        <f t="shared" si="20"/>
        <v>EP-finished SS 304/316L pipes and tubes for VERIFY plants in Amroha. ASME BPE SF1-SF4, Ra from 0.25 um, EN 10204 3.1 certificate with every lot.</v>
      </c>
      <c r="AK897" s="15" t="str">
        <f t="shared" si="21"/>
        <v>Electropolished stainless steel pipes supplied by Sakshi Forge to VERIFY plants at UPSIDA Industrial Area, Amroha</v>
      </c>
      <c r="AL897" s="15" t="str">
        <f t="shared" si="22"/>
        <v>Electropolished SS 316L tube stock for Amroha - Sakshi Forge</v>
      </c>
      <c r="AM897" s="15" t="str">
        <f t="shared" si="23"/>
        <v>Home &gt; Market Area &gt; India &gt; Uttar Pradesh &gt; Amroha</v>
      </c>
      <c r="AN897" s="15">
        <f t="shared" si="24"/>
        <v>750</v>
      </c>
      <c r="AO897" s="15">
        <f t="shared" si="25"/>
        <v>6</v>
      </c>
      <c r="AP897" s="15">
        <f t="shared" si="26"/>
        <v>6</v>
      </c>
      <c r="AQ897" s="15">
        <f t="shared" si="27"/>
        <v>15</v>
      </c>
      <c r="AR897" s="31"/>
      <c r="AS897" s="31"/>
      <c r="AT897" s="35" t="s">
        <v>222</v>
      </c>
      <c r="AU897" s="35"/>
    </row>
    <row r="898" ht="15.75" customHeight="1">
      <c r="A898" s="15" t="s">
        <v>4767</v>
      </c>
      <c r="B898" s="15" t="s">
        <v>60</v>
      </c>
      <c r="C898" s="15" t="s">
        <v>413</v>
      </c>
      <c r="D898" s="15" t="s">
        <v>4768</v>
      </c>
      <c r="E898" s="15" t="s">
        <v>4768</v>
      </c>
      <c r="F898" s="58" t="s">
        <v>807</v>
      </c>
      <c r="G898" s="66" t="s">
        <v>98</v>
      </c>
      <c r="H898" s="18" t="s">
        <v>4770</v>
      </c>
      <c r="I898" s="18" t="s">
        <v>8393</v>
      </c>
      <c r="J898" s="18" t="s">
        <v>98</v>
      </c>
      <c r="K898" s="18" t="s">
        <v>98</v>
      </c>
      <c r="L898" s="18" t="s">
        <v>98</v>
      </c>
      <c r="M898" s="18" t="s">
        <v>98</v>
      </c>
      <c r="N898" s="18" t="s">
        <v>98</v>
      </c>
      <c r="O898" s="18" t="s">
        <v>98</v>
      </c>
      <c r="P898" s="15" t="str">
        <f t="shared" si="1"/>
        <v>VERIFY</v>
      </c>
      <c r="Q898" s="15">
        <f t="shared" si="2"/>
        <v>7</v>
      </c>
      <c r="R898" s="15">
        <f t="shared" si="3"/>
        <v>6</v>
      </c>
      <c r="S898" s="15">
        <f t="shared" si="4"/>
        <v>5</v>
      </c>
      <c r="T898" s="15" t="str">
        <f t="shared" si="5"/>
        <v>C-1</v>
      </c>
      <c r="U898" s="15" t="str">
        <f t="shared" si="6"/>
        <v>T7-M6-H5-FC-1-VERIFY</v>
      </c>
      <c r="V898" s="15">
        <f t="shared" si="7"/>
        <v>1</v>
      </c>
      <c r="W898" s="31"/>
      <c r="X898" s="15" t="str">
        <f t="shared" si="8"/>
        <v>amudalavalasa</v>
      </c>
      <c r="Y898" s="32" t="str">
        <f t="shared" si="9"/>
        <v>https://steelmanufacturer.in/market-area/electropolished-pipes-manufacturer-in-amudalavalasa/</v>
      </c>
      <c r="Z898" s="15" t="str">
        <f t="shared" si="10"/>
        <v>Electropolished Pipes Manufacturer in Amudalavalasa</v>
      </c>
      <c r="AA898" s="15" t="str">
        <f t="shared" si="11"/>
        <v>OK (51)</v>
      </c>
      <c r="AB898" s="15" t="str">
        <f t="shared" si="12"/>
        <v>EP tube and pipe for VERIFY plants around APIIC Industrial Area, Amudalavalasa. Made at our Mumbai works to ASTM A270 and ASME BPE SF1-SF4, with 3.1 MTC.</v>
      </c>
      <c r="AC898" s="15" t="str">
        <f t="shared" si="13"/>
        <v>PENDING RESEARCH</v>
      </c>
      <c r="AD898" s="15" t="str">
        <f t="shared" si="14"/>
        <v>Electropolished Pipes Manufacturer in Amudalavalasa</v>
      </c>
      <c r="AE898" s="15" t="str">
        <f t="shared" si="15"/>
        <v>Electropolished Tube Manufacturing Capability Serving Amudalavalasa</v>
      </c>
      <c r="AF898" s="15" t="str">
        <f t="shared" si="16"/>
        <v>Electropolished Pipes Supplier in Amudalavalasa - From Order to Delivery</v>
      </c>
      <c r="AG898" s="15" t="str">
        <f t="shared" si="17"/>
        <v>Stockist &amp; Wholesale Supply of Electropolished Pipes in Amudalavalasa</v>
      </c>
      <c r="AH898" s="15" t="str">
        <f t="shared" si="18"/>
        <v>electropolished pipes manufacturer in Amudalavalasa, electropolished pipes supplier in Amudalavalasa, electropolished pipes wholesaler in Amudalavalasa, electropolished tube manufacturer Amudalavalasa, EP pipe supplier Amudalavalasa, sanitary tube supplier Amudalavalasa, ASME BPE tubing Amudalavalasa, ASTM A270 tube Amudalavalasa, SS 316L electropolished pipe Amudalavalasa</v>
      </c>
      <c r="AI898" s="15" t="str">
        <f t="shared" si="19"/>
        <v>Electropolished Pipes Manufacturer &amp; Supplier in Amudalavalasa</v>
      </c>
      <c r="AJ898" s="15" t="str">
        <f t="shared" si="20"/>
        <v>EP-finished SS 304/316L pipes and tubes for VERIFY plants in Amudalavalasa. ASME BPE SF1-SF4, Ra from 0.25 um, EN 10204 3.1 certificate with every lot.</v>
      </c>
      <c r="AK898" s="15" t="str">
        <f t="shared" si="21"/>
        <v>Electropolished stainless steel pipes supplied by Sakshi Forge to VERIFY plants at APIIC Industrial Area, Amudalavalasa</v>
      </c>
      <c r="AL898" s="15" t="str">
        <f t="shared" si="22"/>
        <v>Electropolished SS 316L tube stock for Amudalavalasa - Sakshi Forge</v>
      </c>
      <c r="AM898" s="15" t="str">
        <f t="shared" si="23"/>
        <v>Home &gt; Market Area &gt; India &gt; Andhra Pradesh &gt; Amudalavalasa</v>
      </c>
      <c r="AN898" s="15">
        <f t="shared" si="24"/>
        <v>750</v>
      </c>
      <c r="AO898" s="15">
        <f t="shared" si="25"/>
        <v>6</v>
      </c>
      <c r="AP898" s="15">
        <f t="shared" si="26"/>
        <v>6</v>
      </c>
      <c r="AQ898" s="15">
        <f t="shared" si="27"/>
        <v>15</v>
      </c>
      <c r="AR898" s="31"/>
      <c r="AS898" s="31"/>
      <c r="AT898" s="35" t="s">
        <v>222</v>
      </c>
      <c r="AU898" s="35"/>
    </row>
    <row r="899" ht="15.75" customHeight="1">
      <c r="A899" s="15" t="s">
        <v>4771</v>
      </c>
      <c r="B899" s="15" t="s">
        <v>60</v>
      </c>
      <c r="C899" s="15" t="s">
        <v>413</v>
      </c>
      <c r="D899" s="15" t="s">
        <v>4772</v>
      </c>
      <c r="E899" s="15" t="s">
        <v>4772</v>
      </c>
      <c r="F899" s="58" t="s">
        <v>807</v>
      </c>
      <c r="G899" s="66" t="s">
        <v>98</v>
      </c>
      <c r="H899" s="18" t="s">
        <v>4774</v>
      </c>
      <c r="I899" s="18" t="s">
        <v>8393</v>
      </c>
      <c r="J899" s="18" t="s">
        <v>98</v>
      </c>
      <c r="K899" s="18" t="s">
        <v>98</v>
      </c>
      <c r="L899" s="18" t="s">
        <v>98</v>
      </c>
      <c r="M899" s="18" t="s">
        <v>98</v>
      </c>
      <c r="N899" s="18" t="s">
        <v>98</v>
      </c>
      <c r="O899" s="18" t="s">
        <v>98</v>
      </c>
      <c r="P899" s="15" t="str">
        <f t="shared" si="1"/>
        <v>VERIFY</v>
      </c>
      <c r="Q899" s="15">
        <f t="shared" si="2"/>
        <v>8</v>
      </c>
      <c r="R899" s="15">
        <f t="shared" si="3"/>
        <v>7</v>
      </c>
      <c r="S899" s="15">
        <f t="shared" si="4"/>
        <v>1</v>
      </c>
      <c r="T899" s="15" t="str">
        <f t="shared" si="5"/>
        <v>C-2</v>
      </c>
      <c r="U899" s="15" t="str">
        <f t="shared" si="6"/>
        <v>T8-M7-H1-FC-2-VERIFY</v>
      </c>
      <c r="V899" s="15">
        <f t="shared" si="7"/>
        <v>1</v>
      </c>
      <c r="W899" s="31"/>
      <c r="X899" s="15" t="str">
        <f t="shared" si="8"/>
        <v>anakapalle</v>
      </c>
      <c r="Y899" s="32" t="str">
        <f t="shared" si="9"/>
        <v>https://steelmanufacturer.in/market-area/electropolished-pipes-manufacturer-in-anakapalle/</v>
      </c>
      <c r="Z899" s="15" t="str">
        <f t="shared" si="10"/>
        <v>Electropolished Pipes Manufacturer in Anakapalle</v>
      </c>
      <c r="AA899" s="15" t="str">
        <f t="shared" si="11"/>
        <v>OK (48)</v>
      </c>
      <c r="AB899" s="15" t="str">
        <f t="shared" si="12"/>
        <v>Electropolished pipes in Anakapalle: 304, 304L, 316 and 316L in SF1-SF4. VERIFY. Mill certified.</v>
      </c>
      <c r="AC899" s="15" t="str">
        <f t="shared" si="13"/>
        <v>PENDING RESEARCH</v>
      </c>
      <c r="AD899" s="15" t="str">
        <f t="shared" si="14"/>
        <v>Electropolished Pipes Manufacturer in Anakapalle</v>
      </c>
      <c r="AE899" s="15" t="str">
        <f t="shared" si="15"/>
        <v>Electropolished Pipe &amp; Tube Manufacturing for Anakapalle - Grades, Finishes &amp; Certification</v>
      </c>
      <c r="AF899" s="15" t="str">
        <f t="shared" si="16"/>
        <v>Electropolished Pipes Supplier in Anakapalle - Stock Sizes, Lead Time &amp; Delivery</v>
      </c>
      <c r="AG899" s="15" t="str">
        <f t="shared" si="17"/>
        <v>Electropolished Pipes Wholesaler &amp; Stockist in Anakapalle - Bulk &amp; Project Pricing</v>
      </c>
      <c r="AH899" s="15" t="str">
        <f t="shared" si="18"/>
        <v>electropolished pipes manufacturer in Anakapalle, electropolished pipes supplier in Anakapalle, electropolished pipes wholesaler in Anakapalle, electropolished tube manufacturer Anakapalle, EP pipe supplier Anakapalle, sanitary tube supplier Anakapalle, ASME BPE tubing Anakapalle, ASTM A270 tube Anakapalle, SS 316L electropolished pipe Anakapalle</v>
      </c>
      <c r="AI899" s="15" t="str">
        <f t="shared" si="19"/>
        <v>Electropolished Pipes Manufacturer &amp; Supplier in Anakapalle</v>
      </c>
      <c r="AJ899" s="15" t="str">
        <f t="shared" si="20"/>
        <v>EP-finished SS 304/316L pipes and tubes for VERIFY plants in Anakapalle. ASME BPE SF1-SF4, Ra from 0.25 um, EN 10204 3.1 certificate with every lot.</v>
      </c>
      <c r="AK899" s="15" t="str">
        <f t="shared" si="21"/>
        <v>Electropolished stainless steel pipes supplied by Sakshi Forge to VERIFY plants at APIIC Industrial Area, Anakapalle</v>
      </c>
      <c r="AL899" s="15" t="str">
        <f t="shared" si="22"/>
        <v>Electropolished SS 316L tube stock for Anakapalle - Sakshi Forge</v>
      </c>
      <c r="AM899" s="15" t="str">
        <f t="shared" si="23"/>
        <v>Home &gt; Market Area &gt; India &gt; Andhra Pradesh &gt; Anakapalle</v>
      </c>
      <c r="AN899" s="15">
        <f t="shared" si="24"/>
        <v>750</v>
      </c>
      <c r="AO899" s="15">
        <f t="shared" si="25"/>
        <v>6</v>
      </c>
      <c r="AP899" s="15">
        <f t="shared" si="26"/>
        <v>6</v>
      </c>
      <c r="AQ899" s="15">
        <f t="shared" si="27"/>
        <v>15</v>
      </c>
      <c r="AR899" s="31"/>
      <c r="AS899" s="31"/>
      <c r="AT899" s="35" t="s">
        <v>222</v>
      </c>
      <c r="AU899" s="35"/>
    </row>
    <row r="900" ht="15.75" customHeight="1">
      <c r="A900" s="15" t="s">
        <v>4775</v>
      </c>
      <c r="B900" s="15" t="s">
        <v>60</v>
      </c>
      <c r="C900" s="15" t="s">
        <v>354</v>
      </c>
      <c r="D900" s="15" t="s">
        <v>4776</v>
      </c>
      <c r="E900" s="15" t="s">
        <v>4776</v>
      </c>
      <c r="F900" s="58" t="s">
        <v>807</v>
      </c>
      <c r="G900" s="66" t="s">
        <v>98</v>
      </c>
      <c r="H900" s="18" t="s">
        <v>4778</v>
      </c>
      <c r="I900" s="18" t="s">
        <v>8408</v>
      </c>
      <c r="J900" s="18" t="s">
        <v>98</v>
      </c>
      <c r="K900" s="18" t="s">
        <v>98</v>
      </c>
      <c r="L900" s="18" t="s">
        <v>98</v>
      </c>
      <c r="M900" s="18" t="s">
        <v>98</v>
      </c>
      <c r="N900" s="18" t="s">
        <v>98</v>
      </c>
      <c r="O900" s="18" t="s">
        <v>98</v>
      </c>
      <c r="P900" s="15" t="str">
        <f t="shared" si="1"/>
        <v>VERIFY</v>
      </c>
      <c r="Q900" s="15">
        <f t="shared" si="2"/>
        <v>1</v>
      </c>
      <c r="R900" s="15">
        <f t="shared" si="3"/>
        <v>1</v>
      </c>
      <c r="S900" s="15">
        <f t="shared" si="4"/>
        <v>2</v>
      </c>
      <c r="T900" s="15" t="str">
        <f t="shared" si="5"/>
        <v>C-3</v>
      </c>
      <c r="U900" s="15" t="str">
        <f t="shared" si="6"/>
        <v>T1-M1-H2-FC-3-VERIFY</v>
      </c>
      <c r="V900" s="15">
        <f t="shared" si="7"/>
        <v>1</v>
      </c>
      <c r="W900" s="31"/>
      <c r="X900" s="15" t="str">
        <f t="shared" si="8"/>
        <v>anandpur-sahib</v>
      </c>
      <c r="Y900" s="32" t="str">
        <f t="shared" si="9"/>
        <v>https://steelmanufacturer.in/market-area/electropolished-pipes-manufacturer-in-anandpur-sahib/</v>
      </c>
      <c r="Z900" s="15" t="str">
        <f t="shared" si="10"/>
        <v>Electropolished Pipes Manufacturer in Anandpur Sahib</v>
      </c>
      <c r="AA900" s="15" t="str">
        <f t="shared" si="11"/>
        <v>OK (52)</v>
      </c>
      <c r="AB900" s="15" t="str">
        <f t="shared" si="12"/>
        <v>EP-finished SS 304/316L pipes &amp; tubes for VERIFY plants in Anandpur Sahib. ASTM A270, ASME BPE SF1-SF4, EN 10204 3.1 MTC. PMI tested.</v>
      </c>
      <c r="AC900" s="15" t="str">
        <f t="shared" si="13"/>
        <v>PENDING RESEARCH</v>
      </c>
      <c r="AD900" s="15" t="str">
        <f t="shared" si="14"/>
        <v>Electropolished Pipes Manufacturer in Anandpur Sahib</v>
      </c>
      <c r="AE900" s="15" t="str">
        <f t="shared" si="15"/>
        <v>How We Manufacture Electropolished Tube for Anandpur Sahib Plants</v>
      </c>
      <c r="AF900" s="15" t="str">
        <f t="shared" si="16"/>
        <v>Supplying Electropolished Pipes in Anandpur Sahib: Availability, Sizes &amp; Dispatch</v>
      </c>
      <c r="AG900" s="15" t="str">
        <f t="shared" si="17"/>
        <v>Wholesale Electropolished Pipe Supply for Anandpur Sahib Projects</v>
      </c>
      <c r="AH900" s="15" t="str">
        <f t="shared" si="18"/>
        <v>electropolished pipes manufacturer in Anandpur Sahib, electropolished pipes supplier in Anandpur Sahib, electropolished pipes wholesaler in Anandpur Sahib, electropolished tube manufacturer Anandpur Sahib, EP pipe supplier Anandpur Sahib, sanitary tube supplier Anandpur Sahib, ASME BPE tubing Anandpur Sahib, ASTM A270 tube Anandpur Sahib, SS 316L electropolished pipe Anandpur Sahib</v>
      </c>
      <c r="AI900" s="15" t="str">
        <f t="shared" si="19"/>
        <v>Electropolished Pipes Manufacturer &amp; Supplier in Anandpur Sahib</v>
      </c>
      <c r="AJ900" s="15" t="str">
        <f t="shared" si="20"/>
        <v>EP-finished SS 304/316L pipes and tubes for VERIFY plants in Anandpur Sahib. ASME BPE SF1-SF4, Ra from 0.25 um, EN 10204 3.1 certificate with every lot.</v>
      </c>
      <c r="AK900" s="15" t="str">
        <f t="shared" si="21"/>
        <v>Electropolished stainless steel pipes supplied by Sakshi Forge to VERIFY plants at PSIEC Industrial Area, Anandpur Sahib</v>
      </c>
      <c r="AL900" s="15" t="str">
        <f t="shared" si="22"/>
        <v>Electropolished SS 316L tube stock for Anandpur Sahib - Sakshi Forge</v>
      </c>
      <c r="AM900" s="15" t="str">
        <f t="shared" si="23"/>
        <v>Home &gt; Market Area &gt; India &gt; Punjab &gt; Anandpur Sahib</v>
      </c>
      <c r="AN900" s="15">
        <f t="shared" si="24"/>
        <v>750</v>
      </c>
      <c r="AO900" s="15">
        <f t="shared" si="25"/>
        <v>6</v>
      </c>
      <c r="AP900" s="15">
        <f t="shared" si="26"/>
        <v>6</v>
      </c>
      <c r="AQ900" s="15">
        <f t="shared" si="27"/>
        <v>15</v>
      </c>
      <c r="AR900" s="31"/>
      <c r="AS900" s="31"/>
      <c r="AT900" s="35" t="s">
        <v>222</v>
      </c>
      <c r="AU900" s="35"/>
    </row>
    <row r="901" ht="15.75" customHeight="1">
      <c r="A901" s="15" t="s">
        <v>4781</v>
      </c>
      <c r="B901" s="15" t="s">
        <v>60</v>
      </c>
      <c r="C901" s="15" t="s">
        <v>570</v>
      </c>
      <c r="D901" s="15" t="s">
        <v>4784</v>
      </c>
      <c r="E901" s="15" t="s">
        <v>4784</v>
      </c>
      <c r="F901" s="58" t="s">
        <v>807</v>
      </c>
      <c r="G901" s="66" t="s">
        <v>98</v>
      </c>
      <c r="H901" s="18" t="s">
        <v>4788</v>
      </c>
      <c r="I901" s="18" t="s">
        <v>8405</v>
      </c>
      <c r="J901" s="18" t="s">
        <v>98</v>
      </c>
      <c r="K901" s="18" t="s">
        <v>98</v>
      </c>
      <c r="L901" s="18" t="s">
        <v>98</v>
      </c>
      <c r="M901" s="18" t="s">
        <v>98</v>
      </c>
      <c r="N901" s="18" t="s">
        <v>98</v>
      </c>
      <c r="O901" s="18" t="s">
        <v>98</v>
      </c>
      <c r="P901" s="15" t="str">
        <f t="shared" si="1"/>
        <v>VERIFY</v>
      </c>
      <c r="Q901" s="15">
        <f t="shared" si="2"/>
        <v>2</v>
      </c>
      <c r="R901" s="15">
        <f t="shared" si="3"/>
        <v>2</v>
      </c>
      <c r="S901" s="15">
        <f t="shared" si="4"/>
        <v>3</v>
      </c>
      <c r="T901" s="15" t="str">
        <f t="shared" si="5"/>
        <v>C-4</v>
      </c>
      <c r="U901" s="15" t="str">
        <f t="shared" si="6"/>
        <v>T2-M2-H3-FC-4-VERIFY</v>
      </c>
      <c r="V901" s="15">
        <f t="shared" si="7"/>
        <v>1</v>
      </c>
      <c r="W901" s="31"/>
      <c r="X901" s="15" t="str">
        <f t="shared" si="8"/>
        <v>anekal</v>
      </c>
      <c r="Y901" s="32" t="str">
        <f t="shared" si="9"/>
        <v>https://steelmanufacturer.in/market-area/electropolished-pipes-manufacturer-in-anekal/</v>
      </c>
      <c r="Z901" s="15" t="str">
        <f t="shared" si="10"/>
        <v>Electropolished Pipes Manufacturer in Anekal</v>
      </c>
      <c r="AA901" s="15" t="str">
        <f t="shared" si="11"/>
        <v>OK (44)</v>
      </c>
      <c r="AB901" s="15" t="str">
        <f t="shared" si="12"/>
        <v>Electropolished tube supply to KIADB Industrial Area, Anekal. Ra from 0.25 um, SF4 finish, mill test certificate with every lot.</v>
      </c>
      <c r="AC901" s="15" t="str">
        <f t="shared" si="13"/>
        <v>PENDING RESEARCH</v>
      </c>
      <c r="AD901" s="15" t="str">
        <f t="shared" si="14"/>
        <v>Electropolished Pipes Manufacturer in Anekal</v>
      </c>
      <c r="AE901" s="15" t="str">
        <f t="shared" si="15"/>
        <v>Electropolished Pipes Manufacturer in Anekal - Our Process &amp; Capability</v>
      </c>
      <c r="AF901" s="15" t="str">
        <f t="shared" si="16"/>
        <v>Electropolished Pipes Supplier in Anekal - What We Hold in Stock</v>
      </c>
      <c r="AG901" s="15" t="str">
        <f t="shared" si="17"/>
        <v>Bulk &amp; Wholesale Electropolished Pipe Rates for Anekal Buyers</v>
      </c>
      <c r="AH901" s="15" t="str">
        <f t="shared" si="18"/>
        <v>electropolished pipes manufacturer in Anekal, electropolished pipes supplier in Anekal, electropolished pipes wholesaler in Anekal, electropolished tube manufacturer Anekal, EP pipe supplier Anekal, sanitary tube supplier Anekal, ASME BPE tubing Anekal, ASTM A270 tube Anekal, SS 316L electropolished pipe Anekal</v>
      </c>
      <c r="AI901" s="15" t="str">
        <f t="shared" si="19"/>
        <v>Electropolished Pipes Manufacturer &amp; Supplier in Anekal</v>
      </c>
      <c r="AJ901" s="15" t="str">
        <f t="shared" si="20"/>
        <v>EP-finished SS 304/316L pipes and tubes for VERIFY plants in Anekal. ASME BPE SF1-SF4, Ra from 0.25 um, EN 10204 3.1 certificate with every lot.</v>
      </c>
      <c r="AK901" s="15" t="str">
        <f t="shared" si="21"/>
        <v>Electropolished stainless steel pipes supplied by Sakshi Forge to VERIFY plants at KIADB Industrial Area, Anekal</v>
      </c>
      <c r="AL901" s="15" t="str">
        <f t="shared" si="22"/>
        <v>Electropolished SS 316L tube stock for Anekal - Sakshi Forge</v>
      </c>
      <c r="AM901" s="15" t="str">
        <f t="shared" si="23"/>
        <v>Home &gt; Market Area &gt; India &gt; Karnataka &gt; Anekal</v>
      </c>
      <c r="AN901" s="15">
        <f t="shared" si="24"/>
        <v>750</v>
      </c>
      <c r="AO901" s="15">
        <f t="shared" si="25"/>
        <v>6</v>
      </c>
      <c r="AP901" s="15">
        <f t="shared" si="26"/>
        <v>6</v>
      </c>
      <c r="AQ901" s="15">
        <f t="shared" si="27"/>
        <v>15</v>
      </c>
      <c r="AR901" s="31"/>
      <c r="AS901" s="31"/>
      <c r="AT901" s="35" t="s">
        <v>222</v>
      </c>
      <c r="AU901" s="35"/>
    </row>
    <row r="902" ht="15.75" customHeight="1">
      <c r="A902" s="15" t="s">
        <v>4789</v>
      </c>
      <c r="B902" s="15" t="s">
        <v>60</v>
      </c>
      <c r="C902" s="15" t="s">
        <v>224</v>
      </c>
      <c r="D902" s="15" t="s">
        <v>4790</v>
      </c>
      <c r="E902" s="15" t="s">
        <v>4790</v>
      </c>
      <c r="F902" s="58" t="s">
        <v>807</v>
      </c>
      <c r="G902" s="66" t="s">
        <v>98</v>
      </c>
      <c r="H902" s="18" t="s">
        <v>4792</v>
      </c>
      <c r="I902" s="18" t="s">
        <v>8400</v>
      </c>
      <c r="J902" s="18" t="s">
        <v>98</v>
      </c>
      <c r="K902" s="18" t="s">
        <v>98</v>
      </c>
      <c r="L902" s="18" t="s">
        <v>98</v>
      </c>
      <c r="M902" s="18" t="s">
        <v>98</v>
      </c>
      <c r="N902" s="18" t="s">
        <v>98</v>
      </c>
      <c r="O902" s="18" t="s">
        <v>98</v>
      </c>
      <c r="P902" s="15" t="str">
        <f t="shared" si="1"/>
        <v>VERIFY</v>
      </c>
      <c r="Q902" s="15">
        <f t="shared" si="2"/>
        <v>3</v>
      </c>
      <c r="R902" s="15">
        <f t="shared" si="3"/>
        <v>3</v>
      </c>
      <c r="S902" s="15">
        <f t="shared" si="4"/>
        <v>4</v>
      </c>
      <c r="T902" s="15" t="str">
        <f t="shared" si="5"/>
        <v>C-5</v>
      </c>
      <c r="U902" s="15" t="str">
        <f t="shared" si="6"/>
        <v>T3-M3-H4-FC-5-VERIFY</v>
      </c>
      <c r="V902" s="15">
        <f t="shared" si="7"/>
        <v>1</v>
      </c>
      <c r="W902" s="31"/>
      <c r="X902" s="15" t="str">
        <f t="shared" si="8"/>
        <v>anjar</v>
      </c>
      <c r="Y902" s="32" t="str">
        <f t="shared" si="9"/>
        <v>https://steelmanufacturer.in/market-area/electropolished-pipes-manufacturer-in-anjar/</v>
      </c>
      <c r="Z902" s="15" t="str">
        <f t="shared" si="10"/>
        <v>Electropolished Pipes Manufacturer in Anjar | EP Tube Supplier</v>
      </c>
      <c r="AA902" s="15" t="str">
        <f t="shared" si="11"/>
        <v>OK (62)</v>
      </c>
      <c r="AB902" s="15" t="str">
        <f t="shared" si="12"/>
        <v>EP stainless tube for VERIFY lines in Anjar. VERIFY. ASTM A270 S2, PMI tested, EN 10204 3.1.</v>
      </c>
      <c r="AC902" s="15" t="str">
        <f t="shared" si="13"/>
        <v>PENDING RESEARCH</v>
      </c>
      <c r="AD902" s="15" t="str">
        <f t="shared" si="14"/>
        <v>Electropolished Pipes Manufacturer in Anjar</v>
      </c>
      <c r="AE902" s="15" t="str">
        <f t="shared" si="15"/>
        <v>Manufacturing Electropolished SS Tube for Anjar: The Standards We Build To</v>
      </c>
      <c r="AF902" s="15" t="str">
        <f t="shared" si="16"/>
        <v>Electropolished Pipe Supply Into Anjar - Certification &amp; Transit</v>
      </c>
      <c r="AG902" s="15" t="str">
        <f t="shared" si="17"/>
        <v>Electropolished Pipes Wholesaler in Anjar - Project Quantities &amp; Terms</v>
      </c>
      <c r="AH902" s="15" t="str">
        <f t="shared" si="18"/>
        <v>electropolished pipes manufacturer in Anjar, electropolished pipes supplier in Anjar, electropolished pipes wholesaler in Anjar, electropolished tube manufacturer Anjar, EP pipe supplier Anjar, sanitary tube supplier Anjar, ASME BPE tubing Anjar, ASTM A270 tube Anjar, SS 316L electropolished pipe Anjar</v>
      </c>
      <c r="AI902" s="15" t="str">
        <f t="shared" si="19"/>
        <v>Electropolished Pipes Manufacturer &amp; Supplier in Anjar</v>
      </c>
      <c r="AJ902" s="15" t="str">
        <f t="shared" si="20"/>
        <v>EP-finished SS 304/316L pipes and tubes for VERIFY plants in Anjar. ASME BPE SF1-SF4, Ra from 0.25 um, EN 10204 3.1 certificate with every lot.</v>
      </c>
      <c r="AK902" s="15" t="str">
        <f t="shared" si="21"/>
        <v>Electropolished stainless steel pipes supplied by Sakshi Forge to VERIFY plants at GIDC Industrial Area, Anjar</v>
      </c>
      <c r="AL902" s="15" t="str">
        <f t="shared" si="22"/>
        <v>Electropolished SS 316L tube stock for Anjar - Sakshi Forge</v>
      </c>
      <c r="AM902" s="15" t="str">
        <f t="shared" si="23"/>
        <v>Home &gt; Market Area &gt; India &gt; Gujarat &gt; Anjar</v>
      </c>
      <c r="AN902" s="15">
        <f t="shared" si="24"/>
        <v>750</v>
      </c>
      <c r="AO902" s="15">
        <f t="shared" si="25"/>
        <v>6</v>
      </c>
      <c r="AP902" s="15">
        <f t="shared" si="26"/>
        <v>6</v>
      </c>
      <c r="AQ902" s="15">
        <f t="shared" si="27"/>
        <v>15</v>
      </c>
      <c r="AR902" s="31"/>
      <c r="AS902" s="31"/>
      <c r="AT902" s="35" t="s">
        <v>222</v>
      </c>
      <c r="AU902" s="35"/>
    </row>
    <row r="903" ht="15.75" customHeight="1">
      <c r="A903" s="15" t="s">
        <v>4793</v>
      </c>
      <c r="B903" s="15" t="s">
        <v>60</v>
      </c>
      <c r="C903" s="15" t="s">
        <v>224</v>
      </c>
      <c r="D903" s="15" t="s">
        <v>4794</v>
      </c>
      <c r="E903" s="15" t="s">
        <v>4794</v>
      </c>
      <c r="F903" s="58" t="s">
        <v>807</v>
      </c>
      <c r="G903" s="66" t="s">
        <v>98</v>
      </c>
      <c r="H903" s="18" t="s">
        <v>4796</v>
      </c>
      <c r="I903" s="18" t="s">
        <v>8400</v>
      </c>
      <c r="J903" s="18" t="s">
        <v>98</v>
      </c>
      <c r="K903" s="18" t="s">
        <v>98</v>
      </c>
      <c r="L903" s="18" t="s">
        <v>98</v>
      </c>
      <c r="M903" s="18" t="s">
        <v>98</v>
      </c>
      <c r="N903" s="18" t="s">
        <v>98</v>
      </c>
      <c r="O903" s="18" t="s">
        <v>98</v>
      </c>
      <c r="P903" s="15" t="str">
        <f t="shared" si="1"/>
        <v>VERIFY</v>
      </c>
      <c r="Q903" s="15">
        <f t="shared" si="2"/>
        <v>4</v>
      </c>
      <c r="R903" s="15">
        <f t="shared" si="3"/>
        <v>4</v>
      </c>
      <c r="S903" s="15">
        <f t="shared" si="4"/>
        <v>5</v>
      </c>
      <c r="T903" s="15" t="str">
        <f t="shared" si="5"/>
        <v>C-6</v>
      </c>
      <c r="U903" s="15" t="str">
        <f t="shared" si="6"/>
        <v>T4-M4-H5-FC-6-VERIFY</v>
      </c>
      <c r="V903" s="15">
        <f t="shared" si="7"/>
        <v>1</v>
      </c>
      <c r="W903" s="31"/>
      <c r="X903" s="15" t="str">
        <f t="shared" si="8"/>
        <v>ankleshwar-panoli</v>
      </c>
      <c r="Y903" s="32" t="str">
        <f t="shared" si="9"/>
        <v>https://steelmanufacturer.in/market-area/electropolished-pipes-manufacturer-in-ankleshwar-panoli/</v>
      </c>
      <c r="Z903" s="15" t="str">
        <f t="shared" si="10"/>
        <v>Electropolished Pipes Manufacturer in Ankleshwar-Panoli</v>
      </c>
      <c r="AA903" s="15" t="str">
        <f t="shared" si="11"/>
        <v>OK (55)</v>
      </c>
      <c r="AB903" s="15" t="str">
        <f t="shared" si="12"/>
        <v>Sanitary electropolished pipes in Ankleshwar-Panoli for VERIFY plants. ASME BPE SF1-SF4, orbital-weld ready, 3.1 MTC. Mumbai-made.</v>
      </c>
      <c r="AC903" s="15" t="str">
        <f t="shared" si="13"/>
        <v>PENDING RESEARCH</v>
      </c>
      <c r="AD903" s="15" t="str">
        <f t="shared" si="14"/>
        <v>Electropolished Pipes Manufacturer in Ankleshwar-Panoli</v>
      </c>
      <c r="AE903" s="15" t="str">
        <f t="shared" si="15"/>
        <v>Electropolished Tube Manufacturing Capability Serving Ankleshwar-Panoli</v>
      </c>
      <c r="AF903" s="15" t="str">
        <f t="shared" si="16"/>
        <v>Electropolished Pipes Supplier in Ankleshwar-Panoli - From Order to Delivery</v>
      </c>
      <c r="AG903" s="15" t="str">
        <f t="shared" si="17"/>
        <v>Stockist &amp; Wholesale Supply of Electropolished Pipes in Ankleshwar-Panoli</v>
      </c>
      <c r="AH903" s="15" t="str">
        <f t="shared" si="18"/>
        <v>electropolished pipes manufacturer in Ankleshwar-Panoli, electropolished pipes supplier in Ankleshwar-Panoli, electropolished pipes wholesaler in Ankleshwar-Panoli, electropolished tube manufacturer Ankleshwar-Panoli, EP pipe supplier Ankleshwar-Panoli, sanitary tube supplier Ankleshwar-Panoli, ASME BPE tubing Ankleshwar-Panoli, ASTM A270 tube Ankleshwar-Panoli, SS 316L electropolished pipe Ankleshwar-Panoli</v>
      </c>
      <c r="AI903" s="15" t="str">
        <f t="shared" si="19"/>
        <v>Electropolished Pipes Manufacturer &amp; Supplier in Ankleshwar-Panoli</v>
      </c>
      <c r="AJ903" s="15" t="str">
        <f t="shared" si="20"/>
        <v>EP-finished SS 304/316L pipes and tubes for VERIFY plants in Ankleshwar-Panoli. ASME BPE SF1-SF4, Ra from 0.25 um, EN 10204 3.1 certificate with every lot.</v>
      </c>
      <c r="AK903" s="15" t="str">
        <f t="shared" si="21"/>
        <v>Electropolished stainless steel pipes supplied by Sakshi Forge to VERIFY plants at GIDC Industrial Area, Ankleshwar-Panoli</v>
      </c>
      <c r="AL903" s="15" t="str">
        <f t="shared" si="22"/>
        <v>Electropolished SS 316L tube stock for Ankleshwar-Panoli - Sakshi Forge</v>
      </c>
      <c r="AM903" s="15" t="str">
        <f t="shared" si="23"/>
        <v>Home &gt; Market Area &gt; India &gt; Gujarat &gt; Ankleshwar-Panoli</v>
      </c>
      <c r="AN903" s="15">
        <f t="shared" si="24"/>
        <v>750</v>
      </c>
      <c r="AO903" s="15">
        <f t="shared" si="25"/>
        <v>6</v>
      </c>
      <c r="AP903" s="15">
        <f t="shared" si="26"/>
        <v>6</v>
      </c>
      <c r="AQ903" s="15">
        <f t="shared" si="27"/>
        <v>15</v>
      </c>
      <c r="AR903" s="31"/>
      <c r="AS903" s="31"/>
      <c r="AT903" s="35" t="s">
        <v>222</v>
      </c>
      <c r="AU903" s="35"/>
    </row>
    <row r="904" ht="15.75" customHeight="1">
      <c r="A904" s="15" t="s">
        <v>4797</v>
      </c>
      <c r="B904" s="15" t="s">
        <v>60</v>
      </c>
      <c r="C904" s="15" t="s">
        <v>842</v>
      </c>
      <c r="D904" s="15" t="s">
        <v>4798</v>
      </c>
      <c r="E904" s="15" t="s">
        <v>4798</v>
      </c>
      <c r="F904" s="58" t="s">
        <v>807</v>
      </c>
      <c r="G904" s="66" t="s">
        <v>98</v>
      </c>
      <c r="H904" s="18" t="s">
        <v>4800</v>
      </c>
      <c r="I904" s="18" t="s">
        <v>8413</v>
      </c>
      <c r="J904" s="18" t="s">
        <v>98</v>
      </c>
      <c r="K904" s="18" t="s">
        <v>98</v>
      </c>
      <c r="L904" s="18" t="s">
        <v>98</v>
      </c>
      <c r="M904" s="18" t="s">
        <v>98</v>
      </c>
      <c r="N904" s="18" t="s">
        <v>98</v>
      </c>
      <c r="O904" s="18" t="s">
        <v>98</v>
      </c>
      <c r="P904" s="15" t="str">
        <f t="shared" si="1"/>
        <v>VERIFY</v>
      </c>
      <c r="Q904" s="15">
        <f t="shared" si="2"/>
        <v>5</v>
      </c>
      <c r="R904" s="15">
        <f t="shared" si="3"/>
        <v>5</v>
      </c>
      <c r="S904" s="15">
        <f t="shared" si="4"/>
        <v>1</v>
      </c>
      <c r="T904" s="15" t="str">
        <f t="shared" si="5"/>
        <v>C-1</v>
      </c>
      <c r="U904" s="15" t="str">
        <f t="shared" si="6"/>
        <v>T5-M5-H1-FC-1-VERIFY</v>
      </c>
      <c r="V904" s="15">
        <f t="shared" si="7"/>
        <v>1</v>
      </c>
      <c r="W904" s="31"/>
      <c r="X904" s="15" t="str">
        <f t="shared" si="8"/>
        <v>anuppur</v>
      </c>
      <c r="Y904" s="32" t="str">
        <f t="shared" si="9"/>
        <v>https://steelmanufacturer.in/market-area/electropolished-pipes-manufacturer-in-anuppur/</v>
      </c>
      <c r="Z904" s="15" t="str">
        <f t="shared" si="10"/>
        <v>Electropolished Pipes Manufacturer in Anuppur</v>
      </c>
      <c r="AA904" s="15" t="str">
        <f t="shared" si="11"/>
        <v>OK (45)</v>
      </c>
      <c r="AB904" s="15" t="str">
        <f t="shared" si="12"/>
        <v>Manufacturer of electropolished SS 316L tube serving Anuppur. VERIFY. Ra 0.25-0.5 um, EN 10204 3.1 MTC.</v>
      </c>
      <c r="AC904" s="15" t="str">
        <f t="shared" si="13"/>
        <v>PENDING RESEARCH</v>
      </c>
      <c r="AD904" s="15" t="str">
        <f t="shared" si="14"/>
        <v>Electropolished Pipes Manufacturer in Anuppur</v>
      </c>
      <c r="AE904" s="15" t="str">
        <f t="shared" si="15"/>
        <v>Electropolished Pipe &amp; Tube Manufacturing for Anuppur - Grades, Finishes &amp; Certification</v>
      </c>
      <c r="AF904" s="15" t="str">
        <f t="shared" si="16"/>
        <v>Electropolished Pipes Supplier in Anuppur - Stock Sizes, Lead Time &amp; Delivery</v>
      </c>
      <c r="AG904" s="15" t="str">
        <f t="shared" si="17"/>
        <v>Electropolished Pipes Wholesaler &amp; Stockist in Anuppur - Bulk &amp; Project Pricing</v>
      </c>
      <c r="AH904" s="15" t="str">
        <f t="shared" si="18"/>
        <v>electropolished pipes manufacturer in Anuppur, electropolished pipes supplier in Anuppur, electropolished pipes wholesaler in Anuppur, electropolished tube manufacturer Anuppur, EP pipe supplier Anuppur, sanitary tube supplier Anuppur, ASME BPE tubing Anuppur, ASTM A270 tube Anuppur, SS 316L electropolished pipe Anuppur</v>
      </c>
      <c r="AI904" s="15" t="str">
        <f t="shared" si="19"/>
        <v>Electropolished Pipes Manufacturer &amp; Supplier in Anuppur</v>
      </c>
      <c r="AJ904" s="15" t="str">
        <f t="shared" si="20"/>
        <v>EP-finished SS 304/316L pipes and tubes for VERIFY plants in Anuppur. ASME BPE SF1-SF4, Ra from 0.25 um, EN 10204 3.1 certificate with every lot.</v>
      </c>
      <c r="AK904" s="15" t="str">
        <f t="shared" si="21"/>
        <v>Electropolished stainless steel pipes supplied by Sakshi Forge to VERIFY plants at MPIDC Industrial Area, Anuppur</v>
      </c>
      <c r="AL904" s="15" t="str">
        <f t="shared" si="22"/>
        <v>Electropolished SS 316L tube stock for Anuppur - Sakshi Forge</v>
      </c>
      <c r="AM904" s="15" t="str">
        <f t="shared" si="23"/>
        <v>Home &gt; Market Area &gt; India &gt; Madhya Pradesh &gt; Anuppur</v>
      </c>
      <c r="AN904" s="15">
        <f t="shared" si="24"/>
        <v>750</v>
      </c>
      <c r="AO904" s="15">
        <f t="shared" si="25"/>
        <v>6</v>
      </c>
      <c r="AP904" s="15">
        <f t="shared" si="26"/>
        <v>6</v>
      </c>
      <c r="AQ904" s="15">
        <f t="shared" si="27"/>
        <v>16</v>
      </c>
      <c r="AR904" s="31"/>
      <c r="AS904" s="31"/>
      <c r="AT904" s="35" t="s">
        <v>222</v>
      </c>
      <c r="AU904" s="35"/>
    </row>
    <row r="905" ht="15.75" customHeight="1">
      <c r="A905" s="15" t="s">
        <v>4801</v>
      </c>
      <c r="B905" s="15" t="s">
        <v>60</v>
      </c>
      <c r="C905" s="15" t="s">
        <v>958</v>
      </c>
      <c r="D905" s="15" t="s">
        <v>4802</v>
      </c>
      <c r="E905" s="15" t="s">
        <v>4802</v>
      </c>
      <c r="F905" s="58" t="s">
        <v>807</v>
      </c>
      <c r="G905" s="66" t="s">
        <v>98</v>
      </c>
      <c r="H905" s="18" t="s">
        <v>4804</v>
      </c>
      <c r="I905" s="18" t="s">
        <v>8403</v>
      </c>
      <c r="J905" s="18" t="s">
        <v>98</v>
      </c>
      <c r="K905" s="18" t="s">
        <v>98</v>
      </c>
      <c r="L905" s="18" t="s">
        <v>98</v>
      </c>
      <c r="M905" s="18" t="s">
        <v>98</v>
      </c>
      <c r="N905" s="18" t="s">
        <v>98</v>
      </c>
      <c r="O905" s="18" t="s">
        <v>98</v>
      </c>
      <c r="P905" s="15" t="str">
        <f t="shared" si="1"/>
        <v>VERIFY</v>
      </c>
      <c r="Q905" s="15">
        <f t="shared" si="2"/>
        <v>6</v>
      </c>
      <c r="R905" s="15">
        <f t="shared" si="3"/>
        <v>6</v>
      </c>
      <c r="S905" s="15">
        <f t="shared" si="4"/>
        <v>2</v>
      </c>
      <c r="T905" s="15" t="str">
        <f t="shared" si="5"/>
        <v>C-2</v>
      </c>
      <c r="U905" s="15" t="str">
        <f t="shared" si="6"/>
        <v>T6-M6-H2-FC-2-VERIFY</v>
      </c>
      <c r="V905" s="15">
        <f t="shared" si="7"/>
        <v>1</v>
      </c>
      <c r="W905" s="31"/>
      <c r="X905" s="15" t="str">
        <f t="shared" si="8"/>
        <v>arakkonam</v>
      </c>
      <c r="Y905" s="32" t="str">
        <f t="shared" si="9"/>
        <v>https://steelmanufacturer.in/market-area/electropolished-pipes-manufacturer-in-arakkonam/</v>
      </c>
      <c r="Z905" s="15" t="str">
        <f t="shared" si="10"/>
        <v>Electropolished Pipes Manufacturer in Arakkonam</v>
      </c>
      <c r="AA905" s="15" t="str">
        <f t="shared" si="11"/>
        <v>OK (47)</v>
      </c>
      <c r="AB905" s="15" t="str">
        <f t="shared" si="12"/>
        <v>EP tube and pipe for VERIFY plants around SIPCOT Industrial Area, Arakkonam. Made at our Mumbai works to ASTM A270 and ASME BPE SF1-SF4, with 3.1 MTC.</v>
      </c>
      <c r="AC905" s="15" t="str">
        <f t="shared" si="13"/>
        <v>PENDING RESEARCH</v>
      </c>
      <c r="AD905" s="15" t="str">
        <f t="shared" si="14"/>
        <v>Electropolished Pipes Manufacturer in Arakkonam</v>
      </c>
      <c r="AE905" s="15" t="str">
        <f t="shared" si="15"/>
        <v>How We Manufacture Electropolished Tube for Arakkonam Plants</v>
      </c>
      <c r="AF905" s="15" t="str">
        <f t="shared" si="16"/>
        <v>Supplying Electropolished Pipes in Arakkonam: Availability, Sizes &amp; Dispatch</v>
      </c>
      <c r="AG905" s="15" t="str">
        <f t="shared" si="17"/>
        <v>Wholesale Electropolished Pipe Supply for Arakkonam Projects</v>
      </c>
      <c r="AH905" s="15" t="str">
        <f t="shared" si="18"/>
        <v>electropolished pipes manufacturer in Arakkonam, electropolished pipes supplier in Arakkonam, electropolished pipes wholesaler in Arakkonam, electropolished tube manufacturer Arakkonam, EP pipe supplier Arakkonam, sanitary tube supplier Arakkonam, ASME BPE tubing Arakkonam, ASTM A270 tube Arakkonam, SS 316L electropolished pipe Arakkonam</v>
      </c>
      <c r="AI905" s="15" t="str">
        <f t="shared" si="19"/>
        <v>Electropolished Pipes Manufacturer &amp; Supplier in Arakkonam</v>
      </c>
      <c r="AJ905" s="15" t="str">
        <f t="shared" si="20"/>
        <v>EP-finished SS 304/316L pipes and tubes for VERIFY plants in Arakkonam. ASME BPE SF1-SF4, Ra from 0.25 um, EN 10204 3.1 certificate with every lot.</v>
      </c>
      <c r="AK905" s="15" t="str">
        <f t="shared" si="21"/>
        <v>Electropolished stainless steel pipes supplied by Sakshi Forge to VERIFY plants at SIPCOT Industrial Area, Arakkonam</v>
      </c>
      <c r="AL905" s="15" t="str">
        <f t="shared" si="22"/>
        <v>Electropolished SS 316L tube stock for Arakkonam - Sakshi Forge</v>
      </c>
      <c r="AM905" s="15" t="str">
        <f t="shared" si="23"/>
        <v>Home &gt; Market Area &gt; India &gt; Tamil Nadu &gt; Arakkonam</v>
      </c>
      <c r="AN905" s="15">
        <f t="shared" si="24"/>
        <v>750</v>
      </c>
      <c r="AO905" s="15">
        <f t="shared" si="25"/>
        <v>6</v>
      </c>
      <c r="AP905" s="15">
        <f t="shared" si="26"/>
        <v>6</v>
      </c>
      <c r="AQ905" s="15">
        <f t="shared" si="27"/>
        <v>16</v>
      </c>
      <c r="AR905" s="31"/>
      <c r="AS905" s="31"/>
      <c r="AT905" s="35" t="s">
        <v>222</v>
      </c>
      <c r="AU905" s="35"/>
    </row>
    <row r="906" ht="15.75" customHeight="1">
      <c r="A906" s="15" t="s">
        <v>4805</v>
      </c>
      <c r="B906" s="15" t="s">
        <v>60</v>
      </c>
      <c r="C906" s="15" t="s">
        <v>958</v>
      </c>
      <c r="D906" s="15" t="s">
        <v>4806</v>
      </c>
      <c r="E906" s="15" t="s">
        <v>4806</v>
      </c>
      <c r="F906" s="58" t="s">
        <v>807</v>
      </c>
      <c r="G906" s="66" t="s">
        <v>98</v>
      </c>
      <c r="H906" s="18" t="s">
        <v>4808</v>
      </c>
      <c r="I906" s="18" t="s">
        <v>8403</v>
      </c>
      <c r="J906" s="18" t="s">
        <v>98</v>
      </c>
      <c r="K906" s="18" t="s">
        <v>98</v>
      </c>
      <c r="L906" s="18" t="s">
        <v>98</v>
      </c>
      <c r="M906" s="18" t="s">
        <v>98</v>
      </c>
      <c r="N906" s="18" t="s">
        <v>98</v>
      </c>
      <c r="O906" s="18" t="s">
        <v>98</v>
      </c>
      <c r="P906" s="15" t="str">
        <f t="shared" si="1"/>
        <v>VERIFY</v>
      </c>
      <c r="Q906" s="15">
        <f t="shared" si="2"/>
        <v>7</v>
      </c>
      <c r="R906" s="15">
        <f t="shared" si="3"/>
        <v>7</v>
      </c>
      <c r="S906" s="15">
        <f t="shared" si="4"/>
        <v>3</v>
      </c>
      <c r="T906" s="15" t="str">
        <f t="shared" si="5"/>
        <v>C-3</v>
      </c>
      <c r="U906" s="15" t="str">
        <f t="shared" si="6"/>
        <v>T7-M7-H3-FC-3-VERIFY</v>
      </c>
      <c r="V906" s="15">
        <f t="shared" si="7"/>
        <v>1</v>
      </c>
      <c r="W906" s="31"/>
      <c r="X906" s="15" t="str">
        <f t="shared" si="8"/>
        <v>aranthangi</v>
      </c>
      <c r="Y906" s="32" t="str">
        <f t="shared" si="9"/>
        <v>https://steelmanufacturer.in/market-area/electropolished-pipes-manufacturer-in-aranthangi/</v>
      </c>
      <c r="Z906" s="15" t="str">
        <f t="shared" si="10"/>
        <v>Electropolished Pipes Manufacturer in Aranthangi</v>
      </c>
      <c r="AA906" s="15" t="str">
        <f t="shared" si="11"/>
        <v>OK (48)</v>
      </c>
      <c r="AB906" s="15" t="str">
        <f t="shared" si="12"/>
        <v>Electropolished pipes in Aranthangi: 304, 304L, 316 and 316L in SF1-SF4. VERIFY. Mill certified.</v>
      </c>
      <c r="AC906" s="15" t="str">
        <f t="shared" si="13"/>
        <v>PENDING RESEARCH</v>
      </c>
      <c r="AD906" s="15" t="str">
        <f t="shared" si="14"/>
        <v>Electropolished Pipes Manufacturer in Aranthangi</v>
      </c>
      <c r="AE906" s="15" t="str">
        <f t="shared" si="15"/>
        <v>Electropolished Pipes Manufacturer in Aranthangi - Our Process &amp; Capability</v>
      </c>
      <c r="AF906" s="15" t="str">
        <f t="shared" si="16"/>
        <v>Electropolished Pipes Supplier in Aranthangi - What We Hold in Stock</v>
      </c>
      <c r="AG906" s="15" t="str">
        <f t="shared" si="17"/>
        <v>Bulk &amp; Wholesale Electropolished Pipe Rates for Aranthangi Buyers</v>
      </c>
      <c r="AH906" s="15" t="str">
        <f t="shared" si="18"/>
        <v>electropolished pipes manufacturer in Aranthangi, electropolished pipes supplier in Aranthangi, electropolished pipes wholesaler in Aranthangi, electropolished tube manufacturer Aranthangi, EP pipe supplier Aranthangi, sanitary tube supplier Aranthangi, ASME BPE tubing Aranthangi, ASTM A270 tube Aranthangi, SS 316L electropolished pipe Aranthangi</v>
      </c>
      <c r="AI906" s="15" t="str">
        <f t="shared" si="19"/>
        <v>Electropolished Pipes Manufacturer &amp; Supplier in Aranthangi</v>
      </c>
      <c r="AJ906" s="15" t="str">
        <f t="shared" si="20"/>
        <v>EP-finished SS 304/316L pipes and tubes for VERIFY plants in Aranthangi. ASME BPE SF1-SF4, Ra from 0.25 um, EN 10204 3.1 certificate with every lot.</v>
      </c>
      <c r="AK906" s="15" t="str">
        <f t="shared" si="21"/>
        <v>Electropolished stainless steel pipes supplied by Sakshi Forge to VERIFY plants at SIPCOT Industrial Area, Aranthangi</v>
      </c>
      <c r="AL906" s="15" t="str">
        <f t="shared" si="22"/>
        <v>Electropolished SS 316L tube stock for Aranthangi - Sakshi Forge</v>
      </c>
      <c r="AM906" s="15" t="str">
        <f t="shared" si="23"/>
        <v>Home &gt; Market Area &gt; India &gt; Tamil Nadu &gt; Aranthangi</v>
      </c>
      <c r="AN906" s="15">
        <f t="shared" si="24"/>
        <v>750</v>
      </c>
      <c r="AO906" s="15">
        <f t="shared" si="25"/>
        <v>6</v>
      </c>
      <c r="AP906" s="15">
        <f t="shared" si="26"/>
        <v>6</v>
      </c>
      <c r="AQ906" s="15">
        <f t="shared" si="27"/>
        <v>16</v>
      </c>
      <c r="AR906" s="31"/>
      <c r="AS906" s="31"/>
      <c r="AT906" s="35" t="s">
        <v>222</v>
      </c>
      <c r="AU906" s="35"/>
    </row>
    <row r="907" ht="15.75" customHeight="1">
      <c r="A907" s="15" t="s">
        <v>4809</v>
      </c>
      <c r="B907" s="15" t="s">
        <v>60</v>
      </c>
      <c r="C907" s="15" t="s">
        <v>264</v>
      </c>
      <c r="D907" s="15" t="s">
        <v>4810</v>
      </c>
      <c r="E907" s="15" t="s">
        <v>4810</v>
      </c>
      <c r="F907" s="58" t="s">
        <v>807</v>
      </c>
      <c r="G907" s="66" t="s">
        <v>98</v>
      </c>
      <c r="H907" s="18" t="s">
        <v>4812</v>
      </c>
      <c r="I907" s="18" t="s">
        <v>8395</v>
      </c>
      <c r="J907" s="18" t="s">
        <v>98</v>
      </c>
      <c r="K907" s="18" t="s">
        <v>98</v>
      </c>
      <c r="L907" s="18" t="s">
        <v>98</v>
      </c>
      <c r="M907" s="18" t="s">
        <v>98</v>
      </c>
      <c r="N907" s="18" t="s">
        <v>98</v>
      </c>
      <c r="O907" s="18" t="s">
        <v>98</v>
      </c>
      <c r="P907" s="15" t="str">
        <f t="shared" si="1"/>
        <v>VERIFY</v>
      </c>
      <c r="Q907" s="15">
        <f t="shared" si="2"/>
        <v>8</v>
      </c>
      <c r="R907" s="15">
        <f t="shared" si="3"/>
        <v>1</v>
      </c>
      <c r="S907" s="15">
        <f t="shared" si="4"/>
        <v>4</v>
      </c>
      <c r="T907" s="15" t="str">
        <f t="shared" si="5"/>
        <v>C-4</v>
      </c>
      <c r="U907" s="15" t="str">
        <f t="shared" si="6"/>
        <v>T8-M1-H4-FC-4-VERIFY</v>
      </c>
      <c r="V907" s="15">
        <f t="shared" si="7"/>
        <v>1</v>
      </c>
      <c r="W907" s="31"/>
      <c r="X907" s="15" t="str">
        <f t="shared" si="8"/>
        <v>ardhapur</v>
      </c>
      <c r="Y907" s="32" t="str">
        <f t="shared" si="9"/>
        <v>https://steelmanufacturer.in/market-area/electropolished-pipes-manufacturer-in-ardhapur/</v>
      </c>
      <c r="Z907" s="15" t="str">
        <f t="shared" si="10"/>
        <v>Electropolished Pipes Manufacturer in Ardhapur - EP Tube Stockist</v>
      </c>
      <c r="AA907" s="15" t="str">
        <f t="shared" si="11"/>
        <v>OK (65)</v>
      </c>
      <c r="AB907" s="15" t="str">
        <f t="shared" si="12"/>
        <v>EP-finished SS 304/316L pipes &amp; tubes for VERIFY plants in Ardhapur. ASTM A270, ASME BPE SF1-SF4, EN 10204 3.1 MTC. PMI tested.</v>
      </c>
      <c r="AC907" s="15" t="str">
        <f t="shared" si="13"/>
        <v>PENDING RESEARCH</v>
      </c>
      <c r="AD907" s="15" t="str">
        <f t="shared" si="14"/>
        <v>Electropolished Pipes Manufacturer in Ardhapur</v>
      </c>
      <c r="AE907" s="15" t="str">
        <f t="shared" si="15"/>
        <v>Manufacturing Electropolished SS Tube for Ardhapur: The Standards We Build To</v>
      </c>
      <c r="AF907" s="15" t="str">
        <f t="shared" si="16"/>
        <v>Electropolished Pipe Supply Into Ardhapur - Certification &amp; Transit</v>
      </c>
      <c r="AG907" s="15" t="str">
        <f t="shared" si="17"/>
        <v>Electropolished Pipes Wholesaler in Ardhapur - Project Quantities &amp; Terms</v>
      </c>
      <c r="AH907" s="15" t="str">
        <f t="shared" si="18"/>
        <v>electropolished pipes manufacturer in Ardhapur, electropolished pipes supplier in Ardhapur, electropolished pipes wholesaler in Ardhapur, electropolished tube manufacturer Ardhapur, EP pipe supplier Ardhapur, sanitary tube supplier Ardhapur, ASME BPE tubing Ardhapur, ASTM A270 tube Ardhapur, SS 316L electropolished pipe Ardhapur</v>
      </c>
      <c r="AI907" s="15" t="str">
        <f t="shared" si="19"/>
        <v>Electropolished Pipes Manufacturer &amp; Supplier in Ardhapur</v>
      </c>
      <c r="AJ907" s="15" t="str">
        <f t="shared" si="20"/>
        <v>EP-finished SS 304/316L pipes and tubes for VERIFY plants in Ardhapur. ASME BPE SF1-SF4, Ra from 0.25 um, EN 10204 3.1 certificate with every lot.</v>
      </c>
      <c r="AK907" s="15" t="str">
        <f t="shared" si="21"/>
        <v>Electropolished stainless steel pipes supplied by Sakshi Forge to VERIFY plants at MIDC Industrial Area, Ardhapur</v>
      </c>
      <c r="AL907" s="15" t="str">
        <f t="shared" si="22"/>
        <v>Electropolished SS 316L tube stock for Ardhapur - Sakshi Forge</v>
      </c>
      <c r="AM907" s="15" t="str">
        <f t="shared" si="23"/>
        <v>Home &gt; Market Area &gt; India &gt; Maharashtra &gt; Ardhapur</v>
      </c>
      <c r="AN907" s="15">
        <f t="shared" si="24"/>
        <v>750</v>
      </c>
      <c r="AO907" s="15">
        <f t="shared" si="25"/>
        <v>6</v>
      </c>
      <c r="AP907" s="15">
        <f t="shared" si="26"/>
        <v>6</v>
      </c>
      <c r="AQ907" s="15">
        <f t="shared" si="27"/>
        <v>16</v>
      </c>
      <c r="AR907" s="31"/>
      <c r="AS907" s="31"/>
      <c r="AT907" s="35" t="s">
        <v>222</v>
      </c>
      <c r="AU907" s="35"/>
    </row>
    <row r="908" ht="15.75" customHeight="1">
      <c r="A908" s="15" t="s">
        <v>4813</v>
      </c>
      <c r="B908" s="15" t="s">
        <v>60</v>
      </c>
      <c r="C908" s="15" t="s">
        <v>1312</v>
      </c>
      <c r="D908" s="15" t="s">
        <v>4814</v>
      </c>
      <c r="E908" s="15" t="s">
        <v>4814</v>
      </c>
      <c r="F908" s="58" t="s">
        <v>807</v>
      </c>
      <c r="G908" s="66" t="s">
        <v>98</v>
      </c>
      <c r="H908" s="18" t="s">
        <v>4816</v>
      </c>
      <c r="I908" s="18" t="s">
        <v>8392</v>
      </c>
      <c r="J908" s="18" t="s">
        <v>98</v>
      </c>
      <c r="K908" s="18" t="s">
        <v>98</v>
      </c>
      <c r="L908" s="18" t="s">
        <v>98</v>
      </c>
      <c r="M908" s="18" t="s">
        <v>98</v>
      </c>
      <c r="N908" s="18" t="s">
        <v>98</v>
      </c>
      <c r="O908" s="18" t="s">
        <v>98</v>
      </c>
      <c r="P908" s="15" t="str">
        <f t="shared" si="1"/>
        <v>VERIFY</v>
      </c>
      <c r="Q908" s="15">
        <f t="shared" si="2"/>
        <v>1</v>
      </c>
      <c r="R908" s="15">
        <f t="shared" si="3"/>
        <v>2</v>
      </c>
      <c r="S908" s="15">
        <f t="shared" si="4"/>
        <v>5</v>
      </c>
      <c r="T908" s="15" t="str">
        <f t="shared" si="5"/>
        <v>C-5</v>
      </c>
      <c r="U908" s="15" t="str">
        <f t="shared" si="6"/>
        <v>T1-M2-H5-FC-5-VERIFY</v>
      </c>
      <c r="V908" s="15">
        <f t="shared" si="7"/>
        <v>1</v>
      </c>
      <c r="W908" s="31"/>
      <c r="X908" s="15" t="str">
        <f t="shared" si="8"/>
        <v>armoor</v>
      </c>
      <c r="Y908" s="32" t="str">
        <f t="shared" si="9"/>
        <v>https://steelmanufacturer.in/market-area/electropolished-pipes-manufacturer-in-armoor/</v>
      </c>
      <c r="Z908" s="15" t="str">
        <f t="shared" si="10"/>
        <v>Electropolished Pipes Manufacturer in Armoor | Sakshi Forge</v>
      </c>
      <c r="AA908" s="15" t="str">
        <f t="shared" si="11"/>
        <v>OK (59)</v>
      </c>
      <c r="AB908" s="15" t="str">
        <f t="shared" si="12"/>
        <v>Electropolished tube supply to TSIIC Industrial Area, Armoor. Ra from 0.25 um, SF4 finish, mill test certificate with every lot.</v>
      </c>
      <c r="AC908" s="15" t="str">
        <f t="shared" si="13"/>
        <v>PENDING RESEARCH</v>
      </c>
      <c r="AD908" s="15" t="str">
        <f t="shared" si="14"/>
        <v>Electropolished Pipes Manufacturer in Armoor</v>
      </c>
      <c r="AE908" s="15" t="str">
        <f t="shared" si="15"/>
        <v>Electropolished Tube Manufacturing Capability Serving Armoor</v>
      </c>
      <c r="AF908" s="15" t="str">
        <f t="shared" si="16"/>
        <v>Electropolished Pipes Supplier in Armoor - From Order to Delivery</v>
      </c>
      <c r="AG908" s="15" t="str">
        <f t="shared" si="17"/>
        <v>Stockist &amp; Wholesale Supply of Electropolished Pipes in Armoor</v>
      </c>
      <c r="AH908" s="15" t="str">
        <f t="shared" si="18"/>
        <v>electropolished pipes manufacturer in Armoor, electropolished pipes supplier in Armoor, electropolished pipes wholesaler in Armoor, electropolished tube manufacturer Armoor, EP pipe supplier Armoor, sanitary tube supplier Armoor, ASME BPE tubing Armoor, ASTM A270 tube Armoor, SS 316L electropolished pipe Armoor</v>
      </c>
      <c r="AI908" s="15" t="str">
        <f t="shared" si="19"/>
        <v>Electropolished Pipes Manufacturer &amp; Supplier in Armoor</v>
      </c>
      <c r="AJ908" s="15" t="str">
        <f t="shared" si="20"/>
        <v>EP-finished SS 304/316L pipes and tubes for VERIFY plants in Armoor. ASME BPE SF1-SF4, Ra from 0.25 um, EN 10204 3.1 certificate with every lot.</v>
      </c>
      <c r="AK908" s="15" t="str">
        <f t="shared" si="21"/>
        <v>Electropolished stainless steel pipes supplied by Sakshi Forge to VERIFY plants at TSIIC Industrial Area, Armoor</v>
      </c>
      <c r="AL908" s="15" t="str">
        <f t="shared" si="22"/>
        <v>Electropolished SS 316L tube stock for Armoor - Sakshi Forge</v>
      </c>
      <c r="AM908" s="15" t="str">
        <f t="shared" si="23"/>
        <v>Home &gt; Market Area &gt; India &gt; Telangana &gt; Armoor</v>
      </c>
      <c r="AN908" s="15">
        <f t="shared" si="24"/>
        <v>750</v>
      </c>
      <c r="AO908" s="15">
        <f t="shared" si="25"/>
        <v>6</v>
      </c>
      <c r="AP908" s="15">
        <f t="shared" si="26"/>
        <v>6</v>
      </c>
      <c r="AQ908" s="15">
        <f t="shared" si="27"/>
        <v>16</v>
      </c>
      <c r="AR908" s="31"/>
      <c r="AS908" s="31"/>
      <c r="AT908" s="35" t="s">
        <v>222</v>
      </c>
      <c r="AU908" s="35"/>
    </row>
    <row r="909" ht="15.75" customHeight="1">
      <c r="A909" s="15" t="s">
        <v>4817</v>
      </c>
      <c r="B909" s="15" t="s">
        <v>60</v>
      </c>
      <c r="C909" s="15" t="s">
        <v>958</v>
      </c>
      <c r="D909" s="15" t="s">
        <v>4818</v>
      </c>
      <c r="E909" s="15" t="s">
        <v>4818</v>
      </c>
      <c r="F909" s="58" t="s">
        <v>807</v>
      </c>
      <c r="G909" s="66" t="s">
        <v>98</v>
      </c>
      <c r="H909" s="18" t="s">
        <v>4821</v>
      </c>
      <c r="I909" s="18" t="s">
        <v>8403</v>
      </c>
      <c r="J909" s="18" t="s">
        <v>98</v>
      </c>
      <c r="K909" s="18" t="s">
        <v>98</v>
      </c>
      <c r="L909" s="18" t="s">
        <v>98</v>
      </c>
      <c r="M909" s="18" t="s">
        <v>98</v>
      </c>
      <c r="N909" s="18" t="s">
        <v>98</v>
      </c>
      <c r="O909" s="18" t="s">
        <v>98</v>
      </c>
      <c r="P909" s="15" t="str">
        <f t="shared" si="1"/>
        <v>VERIFY</v>
      </c>
      <c r="Q909" s="15">
        <f t="shared" si="2"/>
        <v>2</v>
      </c>
      <c r="R909" s="15">
        <f t="shared" si="3"/>
        <v>3</v>
      </c>
      <c r="S909" s="15">
        <f t="shared" si="4"/>
        <v>1</v>
      </c>
      <c r="T909" s="15" t="str">
        <f t="shared" si="5"/>
        <v>C-6</v>
      </c>
      <c r="U909" s="15" t="str">
        <f t="shared" si="6"/>
        <v>T2-M3-H1-FC-6-VERIFY</v>
      </c>
      <c r="V909" s="15">
        <f t="shared" si="7"/>
        <v>1</v>
      </c>
      <c r="W909" s="31"/>
      <c r="X909" s="15" t="str">
        <f t="shared" si="8"/>
        <v>arni</v>
      </c>
      <c r="Y909" s="32" t="str">
        <f t="shared" si="9"/>
        <v>https://steelmanufacturer.in/market-area/electropolished-pipes-manufacturer-in-arni/</v>
      </c>
      <c r="Z909" s="15" t="str">
        <f t="shared" si="10"/>
        <v>Electropolished Pipes Manufacturer in Arni - ASTM A270 &amp; ASME BPE</v>
      </c>
      <c r="AA909" s="15" t="str">
        <f t="shared" si="11"/>
        <v>OK (65)</v>
      </c>
      <c r="AB909" s="15" t="str">
        <f t="shared" si="12"/>
        <v>EP stainless tube for VERIFY lines in Arni. VERIFY. ASTM A270 S2, PMI tested, EN 10204 3.1.</v>
      </c>
      <c r="AC909" s="15" t="str">
        <f t="shared" si="13"/>
        <v>PENDING RESEARCH</v>
      </c>
      <c r="AD909" s="15" t="str">
        <f t="shared" si="14"/>
        <v>Electropolished Pipes Manufacturer in Arni</v>
      </c>
      <c r="AE909" s="15" t="str">
        <f t="shared" si="15"/>
        <v>Electropolished Pipe &amp; Tube Manufacturing for Arni - Grades, Finishes &amp; Certification</v>
      </c>
      <c r="AF909" s="15" t="str">
        <f t="shared" si="16"/>
        <v>Electropolished Pipes Supplier in Arni - Stock Sizes, Lead Time &amp; Delivery</v>
      </c>
      <c r="AG909" s="15" t="str">
        <f t="shared" si="17"/>
        <v>Electropolished Pipes Wholesaler &amp; Stockist in Arni - Bulk &amp; Project Pricing</v>
      </c>
      <c r="AH909" s="15" t="str">
        <f t="shared" si="18"/>
        <v>electropolished pipes manufacturer in Arni, electropolished pipes supplier in Arni, electropolished pipes wholesaler in Arni, electropolished tube manufacturer Arni, EP pipe supplier Arni, sanitary tube supplier Arni, ASME BPE tubing Arni, ASTM A270 tube Arni, SS 316L electropolished pipe Arni</v>
      </c>
      <c r="AI909" s="15" t="str">
        <f t="shared" si="19"/>
        <v>Electropolished Pipes Manufacturer &amp; Supplier in Arni</v>
      </c>
      <c r="AJ909" s="15" t="str">
        <f t="shared" si="20"/>
        <v>EP-finished SS 304/316L pipes and tubes for VERIFY plants in Arni. ASME BPE SF1-SF4, Ra from 0.25 um, EN 10204 3.1 certificate with every lot.</v>
      </c>
      <c r="AK909" s="15" t="str">
        <f t="shared" si="21"/>
        <v>Electropolished stainless steel pipes supplied by Sakshi Forge to VERIFY plants at SIPCOT Industrial Area, Arni</v>
      </c>
      <c r="AL909" s="15" t="str">
        <f t="shared" si="22"/>
        <v>Electropolished SS 316L tube stock for Arni - Sakshi Forge</v>
      </c>
      <c r="AM909" s="15" t="str">
        <f t="shared" si="23"/>
        <v>Home &gt; Market Area &gt; India &gt; Tamil Nadu &gt; Arni</v>
      </c>
      <c r="AN909" s="15">
        <f t="shared" si="24"/>
        <v>750</v>
      </c>
      <c r="AO909" s="15">
        <f t="shared" si="25"/>
        <v>6</v>
      </c>
      <c r="AP909" s="15">
        <f t="shared" si="26"/>
        <v>6</v>
      </c>
      <c r="AQ909" s="15">
        <f t="shared" si="27"/>
        <v>16</v>
      </c>
      <c r="AR909" s="31"/>
      <c r="AS909" s="31"/>
      <c r="AT909" s="35" t="s">
        <v>222</v>
      </c>
      <c r="AU909" s="35"/>
    </row>
    <row r="910" ht="15.75" customHeight="1">
      <c r="A910" s="15" t="s">
        <v>4824</v>
      </c>
      <c r="B910" s="15" t="s">
        <v>60</v>
      </c>
      <c r="C910" s="15" t="s">
        <v>570</v>
      </c>
      <c r="D910" s="15" t="s">
        <v>4828</v>
      </c>
      <c r="E910" s="15" t="s">
        <v>4828</v>
      </c>
      <c r="F910" s="58" t="s">
        <v>807</v>
      </c>
      <c r="G910" s="66" t="s">
        <v>98</v>
      </c>
      <c r="H910" s="18" t="s">
        <v>4830</v>
      </c>
      <c r="I910" s="18" t="s">
        <v>8405</v>
      </c>
      <c r="J910" s="18" t="s">
        <v>98</v>
      </c>
      <c r="K910" s="18" t="s">
        <v>98</v>
      </c>
      <c r="L910" s="18" t="s">
        <v>98</v>
      </c>
      <c r="M910" s="18" t="s">
        <v>98</v>
      </c>
      <c r="N910" s="18" t="s">
        <v>98</v>
      </c>
      <c r="O910" s="18" t="s">
        <v>98</v>
      </c>
      <c r="P910" s="15" t="str">
        <f t="shared" si="1"/>
        <v>VERIFY</v>
      </c>
      <c r="Q910" s="15">
        <f t="shared" si="2"/>
        <v>3</v>
      </c>
      <c r="R910" s="15">
        <f t="shared" si="3"/>
        <v>4</v>
      </c>
      <c r="S910" s="15">
        <f t="shared" si="4"/>
        <v>2</v>
      </c>
      <c r="T910" s="15" t="str">
        <f t="shared" si="5"/>
        <v>C-1</v>
      </c>
      <c r="U910" s="15" t="str">
        <f t="shared" si="6"/>
        <v>T3-M4-H2-FC-1-VERIFY</v>
      </c>
      <c r="V910" s="15">
        <f t="shared" si="7"/>
        <v>1</v>
      </c>
      <c r="W910" s="31"/>
      <c r="X910" s="15" t="str">
        <f t="shared" si="8"/>
        <v>arsikere</v>
      </c>
      <c r="Y910" s="32" t="str">
        <f t="shared" si="9"/>
        <v>https://steelmanufacturer.in/market-area/electropolished-pipes-manufacturer-in-arsikere/</v>
      </c>
      <c r="Z910" s="15" t="str">
        <f t="shared" si="10"/>
        <v>Electropolished Pipes Manufacturer in Arsikere | EP Tube Supplier</v>
      </c>
      <c r="AA910" s="15" t="str">
        <f t="shared" si="11"/>
        <v>OK (65)</v>
      </c>
      <c r="AB910" s="15" t="str">
        <f t="shared" si="12"/>
        <v>Sanitary electropolished pipes in Arsikere for VERIFY plants. ASME BPE SF1-SF4, orbital-weld ready, 3.1 MTC. Mumbai-made.</v>
      </c>
      <c r="AC910" s="15" t="str">
        <f t="shared" si="13"/>
        <v>PENDING RESEARCH</v>
      </c>
      <c r="AD910" s="15" t="str">
        <f t="shared" si="14"/>
        <v>Electropolished Pipes Manufacturer in Arsikere</v>
      </c>
      <c r="AE910" s="15" t="str">
        <f t="shared" si="15"/>
        <v>How We Manufacture Electropolished Tube for Arsikere Plants</v>
      </c>
      <c r="AF910" s="15" t="str">
        <f t="shared" si="16"/>
        <v>Supplying Electropolished Pipes in Arsikere: Availability, Sizes &amp; Dispatch</v>
      </c>
      <c r="AG910" s="15" t="str">
        <f t="shared" si="17"/>
        <v>Wholesale Electropolished Pipe Supply for Arsikere Projects</v>
      </c>
      <c r="AH910" s="15" t="str">
        <f t="shared" si="18"/>
        <v>electropolished pipes manufacturer in Arsikere, electropolished pipes supplier in Arsikere, electropolished pipes wholesaler in Arsikere, electropolished tube manufacturer Arsikere, EP pipe supplier Arsikere, sanitary tube supplier Arsikere, ASME BPE tubing Arsikere, ASTM A270 tube Arsikere, SS 316L electropolished pipe Arsikere</v>
      </c>
      <c r="AI910" s="15" t="str">
        <f t="shared" si="19"/>
        <v>Electropolished Pipes Manufacturer &amp; Supplier in Arsikere</v>
      </c>
      <c r="AJ910" s="15" t="str">
        <f t="shared" si="20"/>
        <v>EP-finished SS 304/316L pipes and tubes for VERIFY plants in Arsikere. ASME BPE SF1-SF4, Ra from 0.25 um, EN 10204 3.1 certificate with every lot.</v>
      </c>
      <c r="AK910" s="15" t="str">
        <f t="shared" si="21"/>
        <v>Electropolished stainless steel pipes supplied by Sakshi Forge to VERIFY plants at KIADB Industrial Area, Arsikere</v>
      </c>
      <c r="AL910" s="15" t="str">
        <f t="shared" si="22"/>
        <v>Electropolished SS 316L tube stock for Arsikere - Sakshi Forge</v>
      </c>
      <c r="AM910" s="15" t="str">
        <f t="shared" si="23"/>
        <v>Home &gt; Market Area &gt; India &gt; Karnataka &gt; Arsikere</v>
      </c>
      <c r="AN910" s="15">
        <f t="shared" si="24"/>
        <v>750</v>
      </c>
      <c r="AO910" s="15">
        <f t="shared" si="25"/>
        <v>6</v>
      </c>
      <c r="AP910" s="15">
        <f t="shared" si="26"/>
        <v>6</v>
      </c>
      <c r="AQ910" s="15">
        <f t="shared" si="27"/>
        <v>16</v>
      </c>
      <c r="AR910" s="31"/>
      <c r="AS910" s="31"/>
      <c r="AT910" s="35" t="s">
        <v>222</v>
      </c>
      <c r="AU910" s="35"/>
    </row>
    <row r="911" ht="15.75" customHeight="1">
      <c r="A911" s="15" t="s">
        <v>4831</v>
      </c>
      <c r="B911" s="15" t="s">
        <v>60</v>
      </c>
      <c r="C911" s="15" t="s">
        <v>1818</v>
      </c>
      <c r="D911" s="15" t="s">
        <v>4832</v>
      </c>
      <c r="E911" s="15" t="s">
        <v>4832</v>
      </c>
      <c r="F911" s="58" t="s">
        <v>807</v>
      </c>
      <c r="G911" s="66" t="s">
        <v>98</v>
      </c>
      <c r="H911" s="18" t="s">
        <v>4834</v>
      </c>
      <c r="I911" s="18" t="s">
        <v>8402</v>
      </c>
      <c r="J911" s="18" t="s">
        <v>98</v>
      </c>
      <c r="K911" s="18" t="s">
        <v>98</v>
      </c>
      <c r="L911" s="18" t="s">
        <v>98</v>
      </c>
      <c r="M911" s="18" t="s">
        <v>98</v>
      </c>
      <c r="N911" s="18" t="s">
        <v>98</v>
      </c>
      <c r="O911" s="18" t="s">
        <v>98</v>
      </c>
      <c r="P911" s="15" t="str">
        <f t="shared" si="1"/>
        <v>VERIFY</v>
      </c>
      <c r="Q911" s="15">
        <f t="shared" si="2"/>
        <v>4</v>
      </c>
      <c r="R911" s="15">
        <f t="shared" si="3"/>
        <v>5</v>
      </c>
      <c r="S911" s="15">
        <f t="shared" si="4"/>
        <v>3</v>
      </c>
      <c r="T911" s="15" t="str">
        <f t="shared" si="5"/>
        <v>C-2</v>
      </c>
      <c r="U911" s="15" t="str">
        <f t="shared" si="6"/>
        <v>T4-M5-H3-FC-2-VERIFY</v>
      </c>
      <c r="V911" s="15">
        <f t="shared" si="7"/>
        <v>1</v>
      </c>
      <c r="W911" s="31"/>
      <c r="X911" s="15" t="str">
        <f t="shared" si="8"/>
        <v>arwal</v>
      </c>
      <c r="Y911" s="32" t="str">
        <f t="shared" si="9"/>
        <v>https://steelmanufacturer.in/market-area/electropolished-pipes-manufacturer-in-arwal/</v>
      </c>
      <c r="Z911" s="15" t="str">
        <f t="shared" si="10"/>
        <v>Electropolished Pipes Manufacturer in Arwal - SS 304/316L EP Tube</v>
      </c>
      <c r="AA911" s="15" t="str">
        <f t="shared" si="11"/>
        <v>OK (65)</v>
      </c>
      <c r="AB911" s="15" t="str">
        <f t="shared" si="12"/>
        <v>Manufacturer of electropolished SS 316L tube serving Arwal. VERIFY. Ra 0.25-0.5 um, EN 10204 3.1 MTC.</v>
      </c>
      <c r="AC911" s="15" t="str">
        <f t="shared" si="13"/>
        <v>PENDING RESEARCH</v>
      </c>
      <c r="AD911" s="15" t="str">
        <f t="shared" si="14"/>
        <v>Electropolished Pipes Manufacturer in Arwal</v>
      </c>
      <c r="AE911" s="15" t="str">
        <f t="shared" si="15"/>
        <v>Electropolished Pipes Manufacturer in Arwal - Our Process &amp; Capability</v>
      </c>
      <c r="AF911" s="15" t="str">
        <f t="shared" si="16"/>
        <v>Electropolished Pipes Supplier in Arwal - What We Hold in Stock</v>
      </c>
      <c r="AG911" s="15" t="str">
        <f t="shared" si="17"/>
        <v>Bulk &amp; Wholesale Electropolished Pipe Rates for Arwal Buyers</v>
      </c>
      <c r="AH911" s="15" t="str">
        <f t="shared" si="18"/>
        <v>electropolished pipes manufacturer in Arwal, electropolished pipes supplier in Arwal, electropolished pipes wholesaler in Arwal, electropolished tube manufacturer Arwal, EP pipe supplier Arwal, sanitary tube supplier Arwal, ASME BPE tubing Arwal, ASTM A270 tube Arwal, SS 316L electropolished pipe Arwal</v>
      </c>
      <c r="AI911" s="15" t="str">
        <f t="shared" si="19"/>
        <v>Electropolished Pipes Manufacturer &amp; Supplier in Arwal</v>
      </c>
      <c r="AJ911" s="15" t="str">
        <f t="shared" si="20"/>
        <v>EP-finished SS 304/316L pipes and tubes for VERIFY plants in Arwal. ASME BPE SF1-SF4, Ra from 0.25 um, EN 10204 3.1 certificate with every lot.</v>
      </c>
      <c r="AK911" s="15" t="str">
        <f t="shared" si="21"/>
        <v>Electropolished stainless steel pipes supplied by Sakshi Forge to VERIFY plants at BIADA Industrial Area, Arwal</v>
      </c>
      <c r="AL911" s="15" t="str">
        <f t="shared" si="22"/>
        <v>Electropolished SS 316L tube stock for Arwal - Sakshi Forge</v>
      </c>
      <c r="AM911" s="15" t="str">
        <f t="shared" si="23"/>
        <v>Home &gt; Market Area &gt; India &gt; Bihar &gt; Arwal</v>
      </c>
      <c r="AN911" s="15">
        <f t="shared" si="24"/>
        <v>750</v>
      </c>
      <c r="AO911" s="15">
        <f t="shared" si="25"/>
        <v>6</v>
      </c>
      <c r="AP911" s="15">
        <f t="shared" si="26"/>
        <v>6</v>
      </c>
      <c r="AQ911" s="15">
        <f t="shared" si="27"/>
        <v>16</v>
      </c>
      <c r="AR911" s="31"/>
      <c r="AS911" s="31"/>
      <c r="AT911" s="35" t="s">
        <v>222</v>
      </c>
      <c r="AU911" s="35"/>
    </row>
    <row r="912" ht="15.75" customHeight="1">
      <c r="A912" s="15" t="s">
        <v>4835</v>
      </c>
      <c r="B912" s="15" t="s">
        <v>60</v>
      </c>
      <c r="C912" s="15" t="s">
        <v>424</v>
      </c>
      <c r="D912" s="15" t="s">
        <v>4836</v>
      </c>
      <c r="E912" s="15" t="s">
        <v>4836</v>
      </c>
      <c r="F912" s="58" t="s">
        <v>807</v>
      </c>
      <c r="G912" s="66" t="s">
        <v>98</v>
      </c>
      <c r="H912" s="18" t="s">
        <v>4838</v>
      </c>
      <c r="I912" s="18" t="s">
        <v>8406</v>
      </c>
      <c r="J912" s="18" t="s">
        <v>98</v>
      </c>
      <c r="K912" s="18" t="s">
        <v>98</v>
      </c>
      <c r="L912" s="18" t="s">
        <v>98</v>
      </c>
      <c r="M912" s="18" t="s">
        <v>98</v>
      </c>
      <c r="N912" s="18" t="s">
        <v>98</v>
      </c>
      <c r="O912" s="18" t="s">
        <v>98</v>
      </c>
      <c r="P912" s="15" t="str">
        <f t="shared" si="1"/>
        <v>VERIFY</v>
      </c>
      <c r="Q912" s="15">
        <f t="shared" si="2"/>
        <v>5</v>
      </c>
      <c r="R912" s="15">
        <f t="shared" si="3"/>
        <v>6</v>
      </c>
      <c r="S912" s="15">
        <f t="shared" si="4"/>
        <v>4</v>
      </c>
      <c r="T912" s="15" t="str">
        <f t="shared" si="5"/>
        <v>C-3</v>
      </c>
      <c r="U912" s="15" t="str">
        <f t="shared" si="6"/>
        <v>T5-M6-H4-FC-3-VERIFY</v>
      </c>
      <c r="V912" s="15">
        <f t="shared" si="7"/>
        <v>1</v>
      </c>
      <c r="W912" s="31"/>
      <c r="X912" s="15" t="str">
        <f t="shared" si="8"/>
        <v>astaranga</v>
      </c>
      <c r="Y912" s="32" t="str">
        <f t="shared" si="9"/>
        <v>https://steelmanufacturer.in/market-area/electropolished-pipes-manufacturer-in-astaranga/</v>
      </c>
      <c r="Z912" s="15" t="str">
        <f t="shared" si="10"/>
        <v>Electropolished Pipes Manufacturer in Astaranga</v>
      </c>
      <c r="AA912" s="15" t="str">
        <f t="shared" si="11"/>
        <v>OK (47)</v>
      </c>
      <c r="AB912" s="15" t="str">
        <f t="shared" si="12"/>
        <v>EP tube and pipe for VERIFY plants around IDCO Industrial Area, Astaranga. Made at our Mumbai works to ASTM A270 and ASME BPE SF1-SF4, with 3.1 MTC.</v>
      </c>
      <c r="AC912" s="15" t="str">
        <f t="shared" si="13"/>
        <v>PENDING RESEARCH</v>
      </c>
      <c r="AD912" s="15" t="str">
        <f t="shared" si="14"/>
        <v>Electropolished Pipes Manufacturer in Astaranga</v>
      </c>
      <c r="AE912" s="15" t="str">
        <f t="shared" si="15"/>
        <v>Manufacturing Electropolished SS Tube for Astaranga: The Standards We Build To</v>
      </c>
      <c r="AF912" s="15" t="str">
        <f t="shared" si="16"/>
        <v>Electropolished Pipe Supply Into Astaranga - Certification &amp; Transit</v>
      </c>
      <c r="AG912" s="15" t="str">
        <f t="shared" si="17"/>
        <v>Electropolished Pipes Wholesaler in Astaranga - Project Quantities &amp; Terms</v>
      </c>
      <c r="AH912" s="15" t="str">
        <f t="shared" si="18"/>
        <v>electropolished pipes manufacturer in Astaranga, electropolished pipes supplier in Astaranga, electropolished pipes wholesaler in Astaranga, electropolished tube manufacturer Astaranga, EP pipe supplier Astaranga, sanitary tube supplier Astaranga, ASME BPE tubing Astaranga, ASTM A270 tube Astaranga, SS 316L electropolished pipe Astaranga</v>
      </c>
      <c r="AI912" s="15" t="str">
        <f t="shared" si="19"/>
        <v>Electropolished Pipes Manufacturer &amp; Supplier in Astaranga</v>
      </c>
      <c r="AJ912" s="15" t="str">
        <f t="shared" si="20"/>
        <v>EP-finished SS 304/316L pipes and tubes for VERIFY plants in Astaranga. ASME BPE SF1-SF4, Ra from 0.25 um, EN 10204 3.1 certificate with every lot.</v>
      </c>
      <c r="AK912" s="15" t="str">
        <f t="shared" si="21"/>
        <v>Electropolished stainless steel pipes supplied by Sakshi Forge to VERIFY plants at IDCO Industrial Area, Astaranga</v>
      </c>
      <c r="AL912" s="15" t="str">
        <f t="shared" si="22"/>
        <v>Electropolished SS 316L tube stock for Astaranga - Sakshi Forge</v>
      </c>
      <c r="AM912" s="15" t="str">
        <f t="shared" si="23"/>
        <v>Home &gt; Market Area &gt; India &gt; Odisha &gt; Astaranga</v>
      </c>
      <c r="AN912" s="15">
        <f t="shared" si="24"/>
        <v>750</v>
      </c>
      <c r="AO912" s="15">
        <f t="shared" si="25"/>
        <v>6</v>
      </c>
      <c r="AP912" s="15">
        <f t="shared" si="26"/>
        <v>6</v>
      </c>
      <c r="AQ912" s="15">
        <f t="shared" si="27"/>
        <v>16</v>
      </c>
      <c r="AR912" s="31"/>
      <c r="AS912" s="31"/>
      <c r="AT912" s="35" t="s">
        <v>222</v>
      </c>
      <c r="AU912" s="35"/>
    </row>
    <row r="913" ht="15.75" customHeight="1">
      <c r="A913" s="15" t="s">
        <v>4839</v>
      </c>
      <c r="B913" s="15" t="s">
        <v>60</v>
      </c>
      <c r="C913" s="15" t="s">
        <v>424</v>
      </c>
      <c r="D913" s="15" t="s">
        <v>4840</v>
      </c>
      <c r="E913" s="15" t="s">
        <v>4840</v>
      </c>
      <c r="F913" s="58" t="s">
        <v>807</v>
      </c>
      <c r="G913" s="66" t="s">
        <v>98</v>
      </c>
      <c r="H913" s="18" t="s">
        <v>4842</v>
      </c>
      <c r="I913" s="18" t="s">
        <v>8406</v>
      </c>
      <c r="J913" s="18" t="s">
        <v>98</v>
      </c>
      <c r="K913" s="18" t="s">
        <v>98</v>
      </c>
      <c r="L913" s="18" t="s">
        <v>98</v>
      </c>
      <c r="M913" s="18" t="s">
        <v>98</v>
      </c>
      <c r="N913" s="18" t="s">
        <v>98</v>
      </c>
      <c r="O913" s="18" t="s">
        <v>98</v>
      </c>
      <c r="P913" s="15" t="str">
        <f t="shared" si="1"/>
        <v>VERIFY</v>
      </c>
      <c r="Q913" s="15">
        <f t="shared" si="2"/>
        <v>6</v>
      </c>
      <c r="R913" s="15">
        <f t="shared" si="3"/>
        <v>7</v>
      </c>
      <c r="S913" s="15">
        <f t="shared" si="4"/>
        <v>5</v>
      </c>
      <c r="T913" s="15" t="str">
        <f t="shared" si="5"/>
        <v>C-4</v>
      </c>
      <c r="U913" s="15" t="str">
        <f t="shared" si="6"/>
        <v>T6-M7-H5-FC-4-VERIFY</v>
      </c>
      <c r="V913" s="15">
        <f t="shared" si="7"/>
        <v>1</v>
      </c>
      <c r="W913" s="31"/>
      <c r="X913" s="15" t="str">
        <f t="shared" si="8"/>
        <v>athagarh</v>
      </c>
      <c r="Y913" s="32" t="str">
        <f t="shared" si="9"/>
        <v>https://steelmanufacturer.in/market-area/electropolished-pipes-manufacturer-in-athagarh/</v>
      </c>
      <c r="Z913" s="15" t="str">
        <f t="shared" si="10"/>
        <v>Electropolished Pipes Manufacturer in Athagarh</v>
      </c>
      <c r="AA913" s="15" t="str">
        <f t="shared" si="11"/>
        <v>OK (46)</v>
      </c>
      <c r="AB913" s="15" t="str">
        <f t="shared" si="12"/>
        <v>Electropolished pipes in Athagarh: 304, 304L, 316 and 316L in SF1-SF4. VERIFY. Mill certified.</v>
      </c>
      <c r="AC913" s="15" t="str">
        <f t="shared" si="13"/>
        <v>PENDING RESEARCH</v>
      </c>
      <c r="AD913" s="15" t="str">
        <f t="shared" si="14"/>
        <v>Electropolished Pipes Manufacturer in Athagarh</v>
      </c>
      <c r="AE913" s="15" t="str">
        <f t="shared" si="15"/>
        <v>Electropolished Tube Manufacturing Capability Serving Athagarh</v>
      </c>
      <c r="AF913" s="15" t="str">
        <f t="shared" si="16"/>
        <v>Electropolished Pipes Supplier in Athagarh - From Order to Delivery</v>
      </c>
      <c r="AG913" s="15" t="str">
        <f t="shared" si="17"/>
        <v>Stockist &amp; Wholesale Supply of Electropolished Pipes in Athagarh</v>
      </c>
      <c r="AH913" s="15" t="str">
        <f t="shared" si="18"/>
        <v>electropolished pipes manufacturer in Athagarh, electropolished pipes supplier in Athagarh, electropolished pipes wholesaler in Athagarh, electropolished tube manufacturer Athagarh, EP pipe supplier Athagarh, sanitary tube supplier Athagarh, ASME BPE tubing Athagarh, ASTM A270 tube Athagarh, SS 316L electropolished pipe Athagarh</v>
      </c>
      <c r="AI913" s="15" t="str">
        <f t="shared" si="19"/>
        <v>Electropolished Pipes Manufacturer &amp; Supplier in Athagarh</v>
      </c>
      <c r="AJ913" s="15" t="str">
        <f t="shared" si="20"/>
        <v>EP-finished SS 304/316L pipes and tubes for VERIFY plants in Athagarh. ASME BPE SF1-SF4, Ra from 0.25 um, EN 10204 3.1 certificate with every lot.</v>
      </c>
      <c r="AK913" s="15" t="str">
        <f t="shared" si="21"/>
        <v>Electropolished stainless steel pipes supplied by Sakshi Forge to VERIFY plants at IDCO Industrial Area, Athagarh</v>
      </c>
      <c r="AL913" s="15" t="str">
        <f t="shared" si="22"/>
        <v>Electropolished SS 316L tube stock for Athagarh - Sakshi Forge</v>
      </c>
      <c r="AM913" s="15" t="str">
        <f t="shared" si="23"/>
        <v>Home &gt; Market Area &gt; India &gt; Odisha &gt; Athagarh</v>
      </c>
      <c r="AN913" s="15">
        <f t="shared" si="24"/>
        <v>750</v>
      </c>
      <c r="AO913" s="15">
        <f t="shared" si="25"/>
        <v>6</v>
      </c>
      <c r="AP913" s="15">
        <f t="shared" si="26"/>
        <v>6</v>
      </c>
      <c r="AQ913" s="15">
        <f t="shared" si="27"/>
        <v>16</v>
      </c>
      <c r="AR913" s="31"/>
      <c r="AS913" s="31"/>
      <c r="AT913" s="35" t="s">
        <v>222</v>
      </c>
      <c r="AU913" s="35"/>
    </row>
    <row r="914" ht="15.75" customHeight="1">
      <c r="A914" s="15" t="s">
        <v>4843</v>
      </c>
      <c r="B914" s="15" t="s">
        <v>60</v>
      </c>
      <c r="C914" s="15" t="s">
        <v>85</v>
      </c>
      <c r="D914" s="15" t="s">
        <v>4844</v>
      </c>
      <c r="E914" s="15" t="s">
        <v>4844</v>
      </c>
      <c r="F914" s="58" t="s">
        <v>807</v>
      </c>
      <c r="G914" s="66" t="s">
        <v>98</v>
      </c>
      <c r="H914" s="18" t="s">
        <v>4846</v>
      </c>
      <c r="I914" s="18" t="s">
        <v>8398</v>
      </c>
      <c r="J914" s="18" t="s">
        <v>98</v>
      </c>
      <c r="K914" s="18" t="s">
        <v>98</v>
      </c>
      <c r="L914" s="18" t="s">
        <v>98</v>
      </c>
      <c r="M914" s="18" t="s">
        <v>98</v>
      </c>
      <c r="N914" s="18" t="s">
        <v>98</v>
      </c>
      <c r="O914" s="18" t="s">
        <v>98</v>
      </c>
      <c r="P914" s="15" t="str">
        <f t="shared" si="1"/>
        <v>VERIFY</v>
      </c>
      <c r="Q914" s="15">
        <f t="shared" si="2"/>
        <v>7</v>
      </c>
      <c r="R914" s="15">
        <f t="shared" si="3"/>
        <v>1</v>
      </c>
      <c r="S914" s="15">
        <f t="shared" si="4"/>
        <v>1</v>
      </c>
      <c r="T914" s="15" t="str">
        <f t="shared" si="5"/>
        <v>C-5</v>
      </c>
      <c r="U914" s="15" t="str">
        <f t="shared" si="6"/>
        <v>T7-M1-H1-FC-5-VERIFY</v>
      </c>
      <c r="V914" s="15">
        <f t="shared" si="7"/>
        <v>1</v>
      </c>
      <c r="W914" s="31"/>
      <c r="X914" s="15" t="str">
        <f t="shared" si="8"/>
        <v>auraiya</v>
      </c>
      <c r="Y914" s="32" t="str">
        <f t="shared" si="9"/>
        <v>https://steelmanufacturer.in/market-area/electropolished-pipes-manufacturer-in-auraiya/</v>
      </c>
      <c r="Z914" s="15" t="str">
        <f t="shared" si="10"/>
        <v>Electropolished Pipes Manufacturer in Auraiya | ASME BPE SF1-SF4</v>
      </c>
      <c r="AA914" s="15" t="str">
        <f t="shared" si="11"/>
        <v>OK (64)</v>
      </c>
      <c r="AB914" s="15" t="str">
        <f t="shared" si="12"/>
        <v>EP-finished SS 304/316L pipes &amp; tubes for VERIFY plants in Auraiya. ASTM A270, ASME BPE SF1-SF4, EN 10204 3.1 MTC. PMI tested.</v>
      </c>
      <c r="AC914" s="15" t="str">
        <f t="shared" si="13"/>
        <v>PENDING RESEARCH</v>
      </c>
      <c r="AD914" s="15" t="str">
        <f t="shared" si="14"/>
        <v>Electropolished Pipes Manufacturer in Auraiya</v>
      </c>
      <c r="AE914" s="15" t="str">
        <f t="shared" si="15"/>
        <v>Electropolished Pipe &amp; Tube Manufacturing for Auraiya - Grades, Finishes &amp; Certification</v>
      </c>
      <c r="AF914" s="15" t="str">
        <f t="shared" si="16"/>
        <v>Electropolished Pipes Supplier in Auraiya - Stock Sizes, Lead Time &amp; Delivery</v>
      </c>
      <c r="AG914" s="15" t="str">
        <f t="shared" si="17"/>
        <v>Electropolished Pipes Wholesaler &amp; Stockist in Auraiya - Bulk &amp; Project Pricing</v>
      </c>
      <c r="AH914" s="15" t="str">
        <f t="shared" si="18"/>
        <v>electropolished pipes manufacturer in Auraiya, electropolished pipes supplier in Auraiya, electropolished pipes wholesaler in Auraiya, electropolished tube manufacturer Auraiya, EP pipe supplier Auraiya, sanitary tube supplier Auraiya, ASME BPE tubing Auraiya, ASTM A270 tube Auraiya, SS 316L electropolished pipe Auraiya</v>
      </c>
      <c r="AI914" s="15" t="str">
        <f t="shared" si="19"/>
        <v>Electropolished Pipes Manufacturer &amp; Supplier in Auraiya</v>
      </c>
      <c r="AJ914" s="15" t="str">
        <f t="shared" si="20"/>
        <v>EP-finished SS 304/316L pipes and tubes for VERIFY plants in Auraiya. ASME BPE SF1-SF4, Ra from 0.25 um, EN 10204 3.1 certificate with every lot.</v>
      </c>
      <c r="AK914" s="15" t="str">
        <f t="shared" si="21"/>
        <v>Electropolished stainless steel pipes supplied by Sakshi Forge to VERIFY plants at UPSIDA Industrial Area, Auraiya</v>
      </c>
      <c r="AL914" s="15" t="str">
        <f t="shared" si="22"/>
        <v>Electropolished SS 316L tube stock for Auraiya - Sakshi Forge</v>
      </c>
      <c r="AM914" s="15" t="str">
        <f t="shared" si="23"/>
        <v>Home &gt; Market Area &gt; India &gt; Uttar Pradesh &gt; Auraiya</v>
      </c>
      <c r="AN914" s="15">
        <f t="shared" si="24"/>
        <v>750</v>
      </c>
      <c r="AO914" s="15">
        <f t="shared" si="25"/>
        <v>6</v>
      </c>
      <c r="AP914" s="15">
        <f t="shared" si="26"/>
        <v>6</v>
      </c>
      <c r="AQ914" s="15">
        <f t="shared" si="27"/>
        <v>16</v>
      </c>
      <c r="AR914" s="31"/>
      <c r="AS914" s="31"/>
      <c r="AT914" s="35" t="s">
        <v>222</v>
      </c>
      <c r="AU914" s="35"/>
    </row>
    <row r="915" ht="15.75" customHeight="1">
      <c r="A915" s="15" t="s">
        <v>4847</v>
      </c>
      <c r="B915" s="15" t="s">
        <v>60</v>
      </c>
      <c r="C915" s="15" t="s">
        <v>1818</v>
      </c>
      <c r="D915" s="15" t="s">
        <v>4848</v>
      </c>
      <c r="E915" s="15" t="s">
        <v>4848</v>
      </c>
      <c r="F915" s="58" t="s">
        <v>807</v>
      </c>
      <c r="G915" s="66" t="s">
        <v>98</v>
      </c>
      <c r="H915" s="18" t="s">
        <v>4850</v>
      </c>
      <c r="I915" s="18" t="s">
        <v>8402</v>
      </c>
      <c r="J915" s="18" t="s">
        <v>98</v>
      </c>
      <c r="K915" s="18" t="s">
        <v>98</v>
      </c>
      <c r="L915" s="18" t="s">
        <v>98</v>
      </c>
      <c r="M915" s="18" t="s">
        <v>98</v>
      </c>
      <c r="N915" s="18" t="s">
        <v>98</v>
      </c>
      <c r="O915" s="18" t="s">
        <v>98</v>
      </c>
      <c r="P915" s="15" t="str">
        <f t="shared" si="1"/>
        <v>VERIFY</v>
      </c>
      <c r="Q915" s="15">
        <f t="shared" si="2"/>
        <v>8</v>
      </c>
      <c r="R915" s="15">
        <f t="shared" si="3"/>
        <v>2</v>
      </c>
      <c r="S915" s="15">
        <f t="shared" si="4"/>
        <v>2</v>
      </c>
      <c r="T915" s="15" t="str">
        <f t="shared" si="5"/>
        <v>C-6</v>
      </c>
      <c r="U915" s="15" t="str">
        <f t="shared" si="6"/>
        <v>T8-M2-H2-FC-6-VERIFY</v>
      </c>
      <c r="V915" s="15">
        <f t="shared" si="7"/>
        <v>1</v>
      </c>
      <c r="W915" s="31"/>
      <c r="X915" s="15" t="str">
        <f t="shared" si="8"/>
        <v>aurangabad-bihar</v>
      </c>
      <c r="Y915" s="32" t="str">
        <f t="shared" si="9"/>
        <v>https://steelmanufacturer.in/market-area/electropolished-pipes-manufacturer-in-aurangabad-bihar/</v>
      </c>
      <c r="Z915" s="15" t="str">
        <f t="shared" si="10"/>
        <v>Electropolished Pipes Manufacturer in Aurangabad-Bihar</v>
      </c>
      <c r="AA915" s="15" t="str">
        <f t="shared" si="11"/>
        <v>OK (54)</v>
      </c>
      <c r="AB915" s="15" t="str">
        <f t="shared" si="12"/>
        <v>Electropolished tube supply to BIADA Industrial Area, Aurangabad-Bihar. Ra from 0.25 um, SF4 finish, mill test certificate with every lot.</v>
      </c>
      <c r="AC915" s="15" t="str">
        <f t="shared" si="13"/>
        <v>PENDING RESEARCH</v>
      </c>
      <c r="AD915" s="15" t="str">
        <f t="shared" si="14"/>
        <v>Electropolished Pipes Manufacturer in Aurangabad-Bihar</v>
      </c>
      <c r="AE915" s="15" t="str">
        <f t="shared" si="15"/>
        <v>How We Manufacture Electropolished Tube for Aurangabad-Bihar Plants</v>
      </c>
      <c r="AF915" s="15" t="str">
        <f t="shared" si="16"/>
        <v>Supplying Electropolished Pipes in Aurangabad-Bihar: Availability, Sizes &amp; Dispatch</v>
      </c>
      <c r="AG915" s="15" t="str">
        <f t="shared" si="17"/>
        <v>Wholesale Electropolished Pipe Supply for Aurangabad-Bihar Projects</v>
      </c>
      <c r="AH915" s="15" t="str">
        <f t="shared" si="18"/>
        <v>electropolished pipes manufacturer in Aurangabad-Bihar, electropolished pipes supplier in Aurangabad-Bihar, electropolished pipes wholesaler in Aurangabad-Bihar, electropolished tube manufacturer Aurangabad-Bihar, EP pipe supplier Aurangabad-Bihar, sanitary tube supplier Aurangabad-Bihar, ASME BPE tubing Aurangabad-Bihar, ASTM A270 tube Aurangabad-Bihar, SS 316L electropolished pipe Aurangabad-Bihar</v>
      </c>
      <c r="AI915" s="15" t="str">
        <f t="shared" si="19"/>
        <v>Electropolished Pipes Manufacturer &amp; Supplier in Aurangabad-Bihar</v>
      </c>
      <c r="AJ915" s="15" t="str">
        <f t="shared" si="20"/>
        <v>EP-finished SS 304/316L pipes and tubes for VERIFY plants in Aurangabad-Bihar. ASME BPE SF1-SF4, Ra from 0.25 um, EN 10204 3.1 certificate with every lot.</v>
      </c>
      <c r="AK915" s="15" t="str">
        <f t="shared" si="21"/>
        <v>Electropolished stainless steel pipes supplied by Sakshi Forge to VERIFY plants at BIADA Industrial Area, Aurangabad-Bihar</v>
      </c>
      <c r="AL915" s="15" t="str">
        <f t="shared" si="22"/>
        <v>Electropolished SS 316L tube stock for Aurangabad-Bihar - Sakshi Forge</v>
      </c>
      <c r="AM915" s="15" t="str">
        <f t="shared" si="23"/>
        <v>Home &gt; Market Area &gt; India &gt; Bihar &gt; Aurangabad-Bihar</v>
      </c>
      <c r="AN915" s="15">
        <f t="shared" si="24"/>
        <v>750</v>
      </c>
      <c r="AO915" s="15">
        <f t="shared" si="25"/>
        <v>6</v>
      </c>
      <c r="AP915" s="15">
        <f t="shared" si="26"/>
        <v>6</v>
      </c>
      <c r="AQ915" s="15">
        <f t="shared" si="27"/>
        <v>16</v>
      </c>
      <c r="AR915" s="31"/>
      <c r="AS915" s="31"/>
      <c r="AT915" s="35" t="s">
        <v>222</v>
      </c>
      <c r="AU915" s="35"/>
    </row>
    <row r="916" ht="15.75" customHeight="1">
      <c r="A916" s="15" t="s">
        <v>4851</v>
      </c>
      <c r="B916" s="15" t="s">
        <v>60</v>
      </c>
      <c r="C916" s="15" t="s">
        <v>264</v>
      </c>
      <c r="D916" s="15" t="s">
        <v>4852</v>
      </c>
      <c r="E916" s="15" t="s">
        <v>4852</v>
      </c>
      <c r="F916" s="58" t="s">
        <v>807</v>
      </c>
      <c r="G916" s="66" t="s">
        <v>98</v>
      </c>
      <c r="H916" s="18" t="s">
        <v>4854</v>
      </c>
      <c r="I916" s="18" t="s">
        <v>8395</v>
      </c>
      <c r="J916" s="18" t="s">
        <v>98</v>
      </c>
      <c r="K916" s="18" t="s">
        <v>98</v>
      </c>
      <c r="L916" s="18" t="s">
        <v>98</v>
      </c>
      <c r="M916" s="18" t="s">
        <v>98</v>
      </c>
      <c r="N916" s="18" t="s">
        <v>98</v>
      </c>
      <c r="O916" s="18" t="s">
        <v>98</v>
      </c>
      <c r="P916" s="15" t="str">
        <f t="shared" si="1"/>
        <v>VERIFY</v>
      </c>
      <c r="Q916" s="15">
        <f t="shared" si="2"/>
        <v>1</v>
      </c>
      <c r="R916" s="15">
        <f t="shared" si="3"/>
        <v>3</v>
      </c>
      <c r="S916" s="15">
        <f t="shared" si="4"/>
        <v>3</v>
      </c>
      <c r="T916" s="15" t="str">
        <f t="shared" si="5"/>
        <v>C-1</v>
      </c>
      <c r="U916" s="15" t="str">
        <f t="shared" si="6"/>
        <v>T1-M3-H3-FC-1-VERIFY</v>
      </c>
      <c r="V916" s="15">
        <f t="shared" si="7"/>
        <v>1</v>
      </c>
      <c r="W916" s="31"/>
      <c r="X916" s="15" t="str">
        <f t="shared" si="8"/>
        <v>ausa</v>
      </c>
      <c r="Y916" s="32" t="str">
        <f t="shared" si="9"/>
        <v>https://steelmanufacturer.in/market-area/electropolished-pipes-manufacturer-in-ausa/</v>
      </c>
      <c r="Z916" s="15" t="str">
        <f t="shared" si="10"/>
        <v>Electropolished Pipes Manufacturer in Ausa | Sakshi Forge</v>
      </c>
      <c r="AA916" s="15" t="str">
        <f t="shared" si="11"/>
        <v>OK (57)</v>
      </c>
      <c r="AB916" s="15" t="str">
        <f t="shared" si="12"/>
        <v>EP stainless tube for VERIFY lines in Ausa. VERIFY. ASTM A270 S2, PMI tested, EN 10204 3.1.</v>
      </c>
      <c r="AC916" s="15" t="str">
        <f t="shared" si="13"/>
        <v>PENDING RESEARCH</v>
      </c>
      <c r="AD916" s="15" t="str">
        <f t="shared" si="14"/>
        <v>Electropolished Pipes Manufacturer in Ausa</v>
      </c>
      <c r="AE916" s="15" t="str">
        <f t="shared" si="15"/>
        <v>Electropolished Pipes Manufacturer in Ausa - Our Process &amp; Capability</v>
      </c>
      <c r="AF916" s="15" t="str">
        <f t="shared" si="16"/>
        <v>Electropolished Pipes Supplier in Ausa - What We Hold in Stock</v>
      </c>
      <c r="AG916" s="15" t="str">
        <f t="shared" si="17"/>
        <v>Bulk &amp; Wholesale Electropolished Pipe Rates for Ausa Buyers</v>
      </c>
      <c r="AH916" s="15" t="str">
        <f t="shared" si="18"/>
        <v>electropolished pipes manufacturer in Ausa, electropolished pipes supplier in Ausa, electropolished pipes wholesaler in Ausa, electropolished tube manufacturer Ausa, EP pipe supplier Ausa, sanitary tube supplier Ausa, ASME BPE tubing Ausa, ASTM A270 tube Ausa, SS 316L electropolished pipe Ausa</v>
      </c>
      <c r="AI916" s="15" t="str">
        <f t="shared" si="19"/>
        <v>Electropolished Pipes Manufacturer &amp; Supplier in Ausa</v>
      </c>
      <c r="AJ916" s="15" t="str">
        <f t="shared" si="20"/>
        <v>EP-finished SS 304/316L pipes and tubes for VERIFY plants in Ausa. ASME BPE SF1-SF4, Ra from 0.25 um, EN 10204 3.1 certificate with every lot.</v>
      </c>
      <c r="AK916" s="15" t="str">
        <f t="shared" si="21"/>
        <v>Electropolished stainless steel pipes supplied by Sakshi Forge to VERIFY plants at MIDC Industrial Area, Ausa</v>
      </c>
      <c r="AL916" s="15" t="str">
        <f t="shared" si="22"/>
        <v>Electropolished SS 316L tube stock for Ausa - Sakshi Forge</v>
      </c>
      <c r="AM916" s="15" t="str">
        <f t="shared" si="23"/>
        <v>Home &gt; Market Area &gt; India &gt; Maharashtra &gt; Ausa</v>
      </c>
      <c r="AN916" s="15">
        <f t="shared" si="24"/>
        <v>750</v>
      </c>
      <c r="AO916" s="15">
        <f t="shared" si="25"/>
        <v>6</v>
      </c>
      <c r="AP916" s="15">
        <f t="shared" si="26"/>
        <v>6</v>
      </c>
      <c r="AQ916" s="15">
        <f t="shared" si="27"/>
        <v>16</v>
      </c>
      <c r="AR916" s="31"/>
      <c r="AS916" s="31"/>
      <c r="AT916" s="35" t="s">
        <v>222</v>
      </c>
      <c r="AU916" s="35"/>
    </row>
    <row r="917" ht="15.75" customHeight="1">
      <c r="A917" s="15" t="s">
        <v>4855</v>
      </c>
      <c r="B917" s="15" t="s">
        <v>60</v>
      </c>
      <c r="C917" s="15" t="s">
        <v>842</v>
      </c>
      <c r="D917" s="15" t="s">
        <v>4856</v>
      </c>
      <c r="E917" s="15" t="s">
        <v>4856</v>
      </c>
      <c r="F917" s="58" t="s">
        <v>807</v>
      </c>
      <c r="G917" s="66" t="s">
        <v>98</v>
      </c>
      <c r="H917" s="18" t="s">
        <v>4858</v>
      </c>
      <c r="I917" s="18" t="s">
        <v>8413</v>
      </c>
      <c r="J917" s="18" t="s">
        <v>98</v>
      </c>
      <c r="K917" s="18" t="s">
        <v>98</v>
      </c>
      <c r="L917" s="18" t="s">
        <v>98</v>
      </c>
      <c r="M917" s="18" t="s">
        <v>98</v>
      </c>
      <c r="N917" s="18" t="s">
        <v>98</v>
      </c>
      <c r="O917" s="18" t="s">
        <v>98</v>
      </c>
      <c r="P917" s="15" t="str">
        <f t="shared" si="1"/>
        <v>VERIFY</v>
      </c>
      <c r="Q917" s="15">
        <f t="shared" si="2"/>
        <v>2</v>
      </c>
      <c r="R917" s="15">
        <f t="shared" si="3"/>
        <v>4</v>
      </c>
      <c r="S917" s="15">
        <f t="shared" si="4"/>
        <v>4</v>
      </c>
      <c r="T917" s="15" t="str">
        <f t="shared" si="5"/>
        <v>C-2</v>
      </c>
      <c r="U917" s="15" t="str">
        <f t="shared" si="6"/>
        <v>T2-M4-H4-FC-2-VERIFY</v>
      </c>
      <c r="V917" s="15">
        <f t="shared" si="7"/>
        <v>1</v>
      </c>
      <c r="W917" s="31"/>
      <c r="X917" s="15" t="str">
        <f t="shared" si="8"/>
        <v>badnawar</v>
      </c>
      <c r="Y917" s="32" t="str">
        <f t="shared" si="9"/>
        <v>https://steelmanufacturer.in/market-area/electropolished-pipes-manufacturer-in-badnawar/</v>
      </c>
      <c r="Z917" s="15" t="str">
        <f t="shared" si="10"/>
        <v>Electropolished Pipes Manufacturer in Badnawar</v>
      </c>
      <c r="AA917" s="15" t="str">
        <f t="shared" si="11"/>
        <v>OK (46)</v>
      </c>
      <c r="AB917" s="15" t="str">
        <f t="shared" si="12"/>
        <v>Sanitary electropolished pipes in Badnawar for VERIFY plants. ASME BPE SF1-SF4, orbital-weld ready, 3.1 MTC. Mumbai-made.</v>
      </c>
      <c r="AC917" s="15" t="str">
        <f t="shared" si="13"/>
        <v>PENDING RESEARCH</v>
      </c>
      <c r="AD917" s="15" t="str">
        <f t="shared" si="14"/>
        <v>Electropolished Pipes Manufacturer in Badnawar</v>
      </c>
      <c r="AE917" s="15" t="str">
        <f t="shared" si="15"/>
        <v>Manufacturing Electropolished SS Tube for Badnawar: The Standards We Build To</v>
      </c>
      <c r="AF917" s="15" t="str">
        <f t="shared" si="16"/>
        <v>Electropolished Pipe Supply Into Badnawar - Certification &amp; Transit</v>
      </c>
      <c r="AG917" s="15" t="str">
        <f t="shared" si="17"/>
        <v>Electropolished Pipes Wholesaler in Badnawar - Project Quantities &amp; Terms</v>
      </c>
      <c r="AH917" s="15" t="str">
        <f t="shared" si="18"/>
        <v>electropolished pipes manufacturer in Badnawar, electropolished pipes supplier in Badnawar, electropolished pipes wholesaler in Badnawar, electropolished tube manufacturer Badnawar, EP pipe supplier Badnawar, sanitary tube supplier Badnawar, ASME BPE tubing Badnawar, ASTM A270 tube Badnawar, SS 316L electropolished pipe Badnawar</v>
      </c>
      <c r="AI917" s="15" t="str">
        <f t="shared" si="19"/>
        <v>Electropolished Pipes Manufacturer &amp; Supplier in Badnawar</v>
      </c>
      <c r="AJ917" s="15" t="str">
        <f t="shared" si="20"/>
        <v>EP-finished SS 304/316L pipes and tubes for VERIFY plants in Badnawar. ASME BPE SF1-SF4, Ra from 0.25 um, EN 10204 3.1 certificate with every lot.</v>
      </c>
      <c r="AK917" s="15" t="str">
        <f t="shared" si="21"/>
        <v>Electropolished stainless steel pipes supplied by Sakshi Forge to VERIFY plants at MPIDC Industrial Area, Badnawar</v>
      </c>
      <c r="AL917" s="15" t="str">
        <f t="shared" si="22"/>
        <v>Electropolished SS 316L tube stock for Badnawar - Sakshi Forge</v>
      </c>
      <c r="AM917" s="15" t="str">
        <f t="shared" si="23"/>
        <v>Home &gt; Market Area &gt; India &gt; Madhya Pradesh &gt; Badnawar</v>
      </c>
      <c r="AN917" s="15">
        <f t="shared" si="24"/>
        <v>750</v>
      </c>
      <c r="AO917" s="15">
        <f t="shared" si="25"/>
        <v>6</v>
      </c>
      <c r="AP917" s="15">
        <f t="shared" si="26"/>
        <v>6</v>
      </c>
      <c r="AQ917" s="15">
        <f t="shared" si="27"/>
        <v>16</v>
      </c>
      <c r="AR917" s="31"/>
      <c r="AS917" s="31"/>
      <c r="AT917" s="35" t="s">
        <v>222</v>
      </c>
      <c r="AU917" s="35"/>
    </row>
    <row r="918" ht="15.75" customHeight="1">
      <c r="A918" s="15" t="s">
        <v>4859</v>
      </c>
      <c r="B918" s="15" t="s">
        <v>60</v>
      </c>
      <c r="C918" s="15" t="s">
        <v>1139</v>
      </c>
      <c r="D918" s="15" t="s">
        <v>4861</v>
      </c>
      <c r="E918" s="15" t="s">
        <v>4861</v>
      </c>
      <c r="F918" s="58" t="s">
        <v>807</v>
      </c>
      <c r="G918" s="66" t="s">
        <v>98</v>
      </c>
      <c r="H918" s="18" t="s">
        <v>4865</v>
      </c>
      <c r="I918" s="18" t="s">
        <v>8410</v>
      </c>
      <c r="J918" s="18" t="s">
        <v>98</v>
      </c>
      <c r="K918" s="18" t="s">
        <v>98</v>
      </c>
      <c r="L918" s="18" t="s">
        <v>98</v>
      </c>
      <c r="M918" s="18" t="s">
        <v>98</v>
      </c>
      <c r="N918" s="18" t="s">
        <v>98</v>
      </c>
      <c r="O918" s="18" t="s">
        <v>98</v>
      </c>
      <c r="P918" s="15" t="str">
        <f t="shared" si="1"/>
        <v>VERIFY</v>
      </c>
      <c r="Q918" s="15">
        <f t="shared" si="2"/>
        <v>3</v>
      </c>
      <c r="R918" s="15">
        <f t="shared" si="3"/>
        <v>5</v>
      </c>
      <c r="S918" s="15">
        <f t="shared" si="4"/>
        <v>5</v>
      </c>
      <c r="T918" s="15" t="str">
        <f t="shared" si="5"/>
        <v>C-3</v>
      </c>
      <c r="U918" s="15" t="str">
        <f t="shared" si="6"/>
        <v>T3-M5-H5-FC-3-VERIFY</v>
      </c>
      <c r="V918" s="15">
        <f t="shared" si="7"/>
        <v>1</v>
      </c>
      <c r="W918" s="31"/>
      <c r="X918" s="15" t="str">
        <f t="shared" si="8"/>
        <v>bageshwar</v>
      </c>
      <c r="Y918" s="32" t="str">
        <f t="shared" si="9"/>
        <v>https://steelmanufacturer.in/market-area/electropolished-pipes-manufacturer-in-bageshwar/</v>
      </c>
      <c r="Z918" s="15" t="str">
        <f t="shared" si="10"/>
        <v>Electropolished Pipes Manufacturer in Bageshwar</v>
      </c>
      <c r="AA918" s="15" t="str">
        <f t="shared" si="11"/>
        <v>OK (47)</v>
      </c>
      <c r="AB918" s="15" t="str">
        <f t="shared" si="12"/>
        <v>Manufacturer of electropolished SS 316L tube serving Bageshwar. VERIFY. Ra 0.25-0.5 um, EN 10204 3.1 MTC.</v>
      </c>
      <c r="AC918" s="15" t="str">
        <f t="shared" si="13"/>
        <v>PENDING RESEARCH</v>
      </c>
      <c r="AD918" s="15" t="str">
        <f t="shared" si="14"/>
        <v>Electropolished Pipes Manufacturer in Bageshwar</v>
      </c>
      <c r="AE918" s="15" t="str">
        <f t="shared" si="15"/>
        <v>Electropolished Tube Manufacturing Capability Serving Bageshwar</v>
      </c>
      <c r="AF918" s="15" t="str">
        <f t="shared" si="16"/>
        <v>Electropolished Pipes Supplier in Bageshwar - From Order to Delivery</v>
      </c>
      <c r="AG918" s="15" t="str">
        <f t="shared" si="17"/>
        <v>Stockist &amp; Wholesale Supply of Electropolished Pipes in Bageshwar</v>
      </c>
      <c r="AH918" s="15" t="str">
        <f t="shared" si="18"/>
        <v>electropolished pipes manufacturer in Bageshwar, electropolished pipes supplier in Bageshwar, electropolished pipes wholesaler in Bageshwar, electropolished tube manufacturer Bageshwar, EP pipe supplier Bageshwar, sanitary tube supplier Bageshwar, ASME BPE tubing Bageshwar, ASTM A270 tube Bageshwar, SS 316L electropolished pipe Bageshwar</v>
      </c>
      <c r="AI918" s="15" t="str">
        <f t="shared" si="19"/>
        <v>Electropolished Pipes Manufacturer &amp; Supplier in Bageshwar</v>
      </c>
      <c r="AJ918" s="15" t="str">
        <f t="shared" si="20"/>
        <v>EP-finished SS 304/316L pipes and tubes for VERIFY plants in Bageshwar. ASME BPE SF1-SF4, Ra from 0.25 um, EN 10204 3.1 certificate with every lot.</v>
      </c>
      <c r="AK918" s="15" t="str">
        <f t="shared" si="21"/>
        <v>Electropolished stainless steel pipes supplied by Sakshi Forge to VERIFY plants at SIIDCUL Industrial Area, Bageshwar</v>
      </c>
      <c r="AL918" s="15" t="str">
        <f t="shared" si="22"/>
        <v>Electropolished SS 316L tube stock for Bageshwar - Sakshi Forge</v>
      </c>
      <c r="AM918" s="15" t="str">
        <f t="shared" si="23"/>
        <v>Home &gt; Market Area &gt; India &gt; Uttarakhand &gt; Bageshwar</v>
      </c>
      <c r="AN918" s="15">
        <f t="shared" si="24"/>
        <v>750</v>
      </c>
      <c r="AO918" s="15">
        <f t="shared" si="25"/>
        <v>6</v>
      </c>
      <c r="AP918" s="15">
        <f t="shared" si="26"/>
        <v>6</v>
      </c>
      <c r="AQ918" s="15">
        <f t="shared" si="27"/>
        <v>16</v>
      </c>
      <c r="AR918" s="31"/>
      <c r="AS918" s="31"/>
      <c r="AT918" s="35" t="s">
        <v>222</v>
      </c>
      <c r="AU918" s="35"/>
    </row>
    <row r="919" ht="15.75" customHeight="1">
      <c r="A919" s="15" t="s">
        <v>4869</v>
      </c>
      <c r="B919" s="15" t="s">
        <v>60</v>
      </c>
      <c r="C919" s="15" t="s">
        <v>245</v>
      </c>
      <c r="D919" s="15" t="s">
        <v>4872</v>
      </c>
      <c r="E919" s="15" t="s">
        <v>4872</v>
      </c>
      <c r="F919" s="58" t="s">
        <v>807</v>
      </c>
      <c r="G919" s="66" t="s">
        <v>98</v>
      </c>
      <c r="H919" s="18" t="s">
        <v>4874</v>
      </c>
      <c r="I919" s="18" t="s">
        <v>8407</v>
      </c>
      <c r="J919" s="18" t="s">
        <v>98</v>
      </c>
      <c r="K919" s="18" t="s">
        <v>98</v>
      </c>
      <c r="L919" s="18" t="s">
        <v>98</v>
      </c>
      <c r="M919" s="18" t="s">
        <v>98</v>
      </c>
      <c r="N919" s="18" t="s">
        <v>98</v>
      </c>
      <c r="O919" s="18" t="s">
        <v>98</v>
      </c>
      <c r="P919" s="15" t="str">
        <f t="shared" si="1"/>
        <v>VERIFY</v>
      </c>
      <c r="Q919" s="15">
        <f t="shared" si="2"/>
        <v>4</v>
      </c>
      <c r="R919" s="15">
        <f t="shared" si="3"/>
        <v>6</v>
      </c>
      <c r="S919" s="15">
        <f t="shared" si="4"/>
        <v>1</v>
      </c>
      <c r="T919" s="15" t="str">
        <f t="shared" si="5"/>
        <v>C-4</v>
      </c>
      <c r="U919" s="15" t="str">
        <f t="shared" si="6"/>
        <v>T4-M6-H1-FC-4-VERIFY</v>
      </c>
      <c r="V919" s="15">
        <f t="shared" si="7"/>
        <v>1</v>
      </c>
      <c r="W919" s="31"/>
      <c r="X919" s="15" t="str">
        <f t="shared" si="8"/>
        <v>bahadurgarh-sector</v>
      </c>
      <c r="Y919" s="32" t="str">
        <f t="shared" si="9"/>
        <v>https://steelmanufacturer.in/market-area/electropolished-pipes-manufacturer-in-bahadurgarh-sector/</v>
      </c>
      <c r="Z919" s="15" t="str">
        <f t="shared" si="10"/>
        <v>Electropolished Pipes Manufacturer in Bahadurgarh-Sector</v>
      </c>
      <c r="AA919" s="15" t="str">
        <f t="shared" si="11"/>
        <v>OK (56)</v>
      </c>
      <c r="AB919" s="15" t="str">
        <f t="shared" si="12"/>
        <v>EP tube and pipe for VERIFY plants around HSIIDC Industrial Area, Bahadurgarh-Sector. Made at our Mumbai works to ASTM A270 and ASME BPE SF1-SF4, with 3.1 MTC.</v>
      </c>
      <c r="AC919" s="15" t="str">
        <f t="shared" si="13"/>
        <v>PENDING RESEARCH</v>
      </c>
      <c r="AD919" s="15" t="str">
        <f t="shared" si="14"/>
        <v>Electropolished Pipes Manufacturer in Bahadurgarh-Sector</v>
      </c>
      <c r="AE919" s="15" t="str">
        <f t="shared" si="15"/>
        <v>Electropolished Pipe &amp; Tube Manufacturing for Bahadurgarh-Sector - Grades, Finishes &amp; Certification</v>
      </c>
      <c r="AF919" s="15" t="str">
        <f t="shared" si="16"/>
        <v>Electropolished Pipes Supplier in Bahadurgarh-Sector - Stock Sizes, Lead Time &amp; Delivery</v>
      </c>
      <c r="AG919" s="15" t="str">
        <f t="shared" si="17"/>
        <v>Electropolished Pipes Wholesaler &amp; Stockist in Bahadurgarh-Sector - Bulk &amp; Project Pricing</v>
      </c>
      <c r="AH919" s="15" t="str">
        <f t="shared" si="18"/>
        <v>electropolished pipes manufacturer in Bahadurgarh-Sector, electropolished pipes supplier in Bahadurgarh-Sector, electropolished pipes wholesaler in Bahadurgarh-Sector, electropolished tube manufacturer Bahadurgarh-Sector, EP pipe supplier Bahadurgarh-Sector, sanitary tube supplier Bahadurgarh-Sector, ASME BPE tubing Bahadurgarh-Sector, ASTM A270 tube Bahadurgarh-Sector, SS 316L electropolished pipe Bahadurgarh-Sector</v>
      </c>
      <c r="AI919" s="15" t="str">
        <f t="shared" si="19"/>
        <v>Electropolished Pipes Manufacturer &amp; Supplier in Bahadurgarh-Sector</v>
      </c>
      <c r="AJ919" s="15" t="str">
        <f t="shared" si="20"/>
        <v>EP-finished SS 304/316L pipes and tubes for VERIFY plants in Bahadurgarh-Sector. ASME BPE SF1-SF4, Ra from 0.25 um, EN 10204 3.1 certificate with every lot.</v>
      </c>
      <c r="AK919" s="15" t="str">
        <f t="shared" si="21"/>
        <v>Electropolished stainless steel pipes supplied by Sakshi Forge to VERIFY plants at HSIIDC Industrial Area, Bahadurgarh-Sector</v>
      </c>
      <c r="AL919" s="15" t="str">
        <f t="shared" si="22"/>
        <v>Electropolished SS 316L tube stock for Bahadurgarh-Sector - Sakshi Forge</v>
      </c>
      <c r="AM919" s="15" t="str">
        <f t="shared" si="23"/>
        <v>Home &gt; Market Area &gt; India &gt; Haryana &gt; Bahadurgarh-Sector</v>
      </c>
      <c r="AN919" s="15">
        <f t="shared" si="24"/>
        <v>750</v>
      </c>
      <c r="AO919" s="15">
        <f t="shared" si="25"/>
        <v>6</v>
      </c>
      <c r="AP919" s="15">
        <f t="shared" si="26"/>
        <v>6</v>
      </c>
      <c r="AQ919" s="15">
        <f t="shared" si="27"/>
        <v>16</v>
      </c>
      <c r="AR919" s="31"/>
      <c r="AS919" s="31"/>
      <c r="AT919" s="35" t="s">
        <v>222</v>
      </c>
      <c r="AU919" s="35"/>
    </row>
    <row r="920" ht="15.75" customHeight="1">
      <c r="A920" s="15" t="s">
        <v>4875</v>
      </c>
      <c r="B920" s="15" t="s">
        <v>60</v>
      </c>
      <c r="C920" s="15" t="s">
        <v>1818</v>
      </c>
      <c r="D920" s="15" t="s">
        <v>4876</v>
      </c>
      <c r="E920" s="15" t="s">
        <v>4876</v>
      </c>
      <c r="F920" s="58" t="s">
        <v>807</v>
      </c>
      <c r="G920" s="66" t="s">
        <v>98</v>
      </c>
      <c r="H920" s="18" t="s">
        <v>4878</v>
      </c>
      <c r="I920" s="18" t="s">
        <v>8402</v>
      </c>
      <c r="J920" s="18" t="s">
        <v>98</v>
      </c>
      <c r="K920" s="18" t="s">
        <v>98</v>
      </c>
      <c r="L920" s="18" t="s">
        <v>98</v>
      </c>
      <c r="M920" s="18" t="s">
        <v>98</v>
      </c>
      <c r="N920" s="18" t="s">
        <v>98</v>
      </c>
      <c r="O920" s="18" t="s">
        <v>98</v>
      </c>
      <c r="P920" s="15" t="str">
        <f t="shared" si="1"/>
        <v>VERIFY</v>
      </c>
      <c r="Q920" s="15">
        <f t="shared" si="2"/>
        <v>5</v>
      </c>
      <c r="R920" s="15">
        <f t="shared" si="3"/>
        <v>7</v>
      </c>
      <c r="S920" s="15">
        <f t="shared" si="4"/>
        <v>2</v>
      </c>
      <c r="T920" s="15" t="str">
        <f t="shared" si="5"/>
        <v>C-5</v>
      </c>
      <c r="U920" s="15" t="str">
        <f t="shared" si="6"/>
        <v>T5-M7-H2-FC-5-VERIFY</v>
      </c>
      <c r="V920" s="15">
        <f t="shared" si="7"/>
        <v>1</v>
      </c>
      <c r="W920" s="31"/>
      <c r="X920" s="15" t="str">
        <f t="shared" si="8"/>
        <v>bakhtiarpur</v>
      </c>
      <c r="Y920" s="32" t="str">
        <f t="shared" si="9"/>
        <v>https://steelmanufacturer.in/market-area/electropolished-pipes-manufacturer-in-bakhtiarpur/</v>
      </c>
      <c r="Z920" s="15" t="str">
        <f t="shared" si="10"/>
        <v>Electropolished Pipes Manufacturer in Bakhtiarpur</v>
      </c>
      <c r="AA920" s="15" t="str">
        <f t="shared" si="11"/>
        <v>OK (49)</v>
      </c>
      <c r="AB920" s="15" t="str">
        <f t="shared" si="12"/>
        <v>Electropolished pipes in Bakhtiarpur: 304, 304L, 316 and 316L in SF1-SF4. VERIFY. Mill certified.</v>
      </c>
      <c r="AC920" s="15" t="str">
        <f t="shared" si="13"/>
        <v>PENDING RESEARCH</v>
      </c>
      <c r="AD920" s="15" t="str">
        <f t="shared" si="14"/>
        <v>Electropolished Pipes Manufacturer in Bakhtiarpur</v>
      </c>
      <c r="AE920" s="15" t="str">
        <f t="shared" si="15"/>
        <v>How We Manufacture Electropolished Tube for Bakhtiarpur Plants</v>
      </c>
      <c r="AF920" s="15" t="str">
        <f t="shared" si="16"/>
        <v>Supplying Electropolished Pipes in Bakhtiarpur: Availability, Sizes &amp; Dispatch</v>
      </c>
      <c r="AG920" s="15" t="str">
        <f t="shared" si="17"/>
        <v>Wholesale Electropolished Pipe Supply for Bakhtiarpur Projects</v>
      </c>
      <c r="AH920" s="15" t="str">
        <f t="shared" si="18"/>
        <v>electropolished pipes manufacturer in Bakhtiarpur, electropolished pipes supplier in Bakhtiarpur, electropolished pipes wholesaler in Bakhtiarpur, electropolished tube manufacturer Bakhtiarpur, EP pipe supplier Bakhtiarpur, sanitary tube supplier Bakhtiarpur, ASME BPE tubing Bakhtiarpur, ASTM A270 tube Bakhtiarpur, SS 316L electropolished pipe Bakhtiarpur</v>
      </c>
      <c r="AI920" s="15" t="str">
        <f t="shared" si="19"/>
        <v>Electropolished Pipes Manufacturer &amp; Supplier in Bakhtiarpur</v>
      </c>
      <c r="AJ920" s="15" t="str">
        <f t="shared" si="20"/>
        <v>EP-finished SS 304/316L pipes and tubes for VERIFY plants in Bakhtiarpur. ASME BPE SF1-SF4, Ra from 0.25 um, EN 10204 3.1 certificate with every lot.</v>
      </c>
      <c r="AK920" s="15" t="str">
        <f t="shared" si="21"/>
        <v>Electropolished stainless steel pipes supplied by Sakshi Forge to VERIFY plants at BIADA Industrial Area, Bakhtiarpur</v>
      </c>
      <c r="AL920" s="15" t="str">
        <f t="shared" si="22"/>
        <v>Electropolished SS 316L tube stock for Bakhtiarpur - Sakshi Forge</v>
      </c>
      <c r="AM920" s="15" t="str">
        <f t="shared" si="23"/>
        <v>Home &gt; Market Area &gt; India &gt; Bihar &gt; Bakhtiarpur</v>
      </c>
      <c r="AN920" s="15">
        <f t="shared" si="24"/>
        <v>750</v>
      </c>
      <c r="AO920" s="15">
        <f t="shared" si="25"/>
        <v>6</v>
      </c>
      <c r="AP920" s="15">
        <f t="shared" si="26"/>
        <v>6</v>
      </c>
      <c r="AQ920" s="15">
        <f t="shared" si="27"/>
        <v>16</v>
      </c>
      <c r="AR920" s="31"/>
      <c r="AS920" s="31"/>
      <c r="AT920" s="35" t="s">
        <v>222</v>
      </c>
      <c r="AU920" s="35"/>
    </row>
    <row r="921" ht="15.75" customHeight="1">
      <c r="A921" s="15" t="s">
        <v>4879</v>
      </c>
      <c r="B921" s="15" t="s">
        <v>60</v>
      </c>
      <c r="C921" s="15" t="s">
        <v>354</v>
      </c>
      <c r="D921" s="15" t="s">
        <v>4880</v>
      </c>
      <c r="E921" s="15" t="s">
        <v>4880</v>
      </c>
      <c r="F921" s="58" t="s">
        <v>807</v>
      </c>
      <c r="G921" s="66" t="s">
        <v>98</v>
      </c>
      <c r="H921" s="18" t="s">
        <v>4882</v>
      </c>
      <c r="I921" s="18" t="s">
        <v>8408</v>
      </c>
      <c r="J921" s="18" t="s">
        <v>98</v>
      </c>
      <c r="K921" s="18" t="s">
        <v>98</v>
      </c>
      <c r="L921" s="18" t="s">
        <v>98</v>
      </c>
      <c r="M921" s="18" t="s">
        <v>98</v>
      </c>
      <c r="N921" s="18" t="s">
        <v>98</v>
      </c>
      <c r="O921" s="18" t="s">
        <v>98</v>
      </c>
      <c r="P921" s="15" t="str">
        <f t="shared" si="1"/>
        <v>VERIFY</v>
      </c>
      <c r="Q921" s="15">
        <f t="shared" si="2"/>
        <v>6</v>
      </c>
      <c r="R921" s="15">
        <f t="shared" si="3"/>
        <v>1</v>
      </c>
      <c r="S921" s="15">
        <f t="shared" si="4"/>
        <v>3</v>
      </c>
      <c r="T921" s="15" t="str">
        <f t="shared" si="5"/>
        <v>C-6</v>
      </c>
      <c r="U921" s="15" t="str">
        <f t="shared" si="6"/>
        <v>T6-M1-H3-FC-6-VERIFY</v>
      </c>
      <c r="V921" s="15">
        <f t="shared" si="7"/>
        <v>1</v>
      </c>
      <c r="W921" s="31"/>
      <c r="X921" s="15" t="str">
        <f t="shared" si="8"/>
        <v>balachaur</v>
      </c>
      <c r="Y921" s="32" t="str">
        <f t="shared" si="9"/>
        <v>https://steelmanufacturer.in/market-area/electropolished-pipes-manufacturer-in-balachaur/</v>
      </c>
      <c r="Z921" s="15" t="str">
        <f t="shared" si="10"/>
        <v>Electropolished Pipes Manufacturer in Balachaur</v>
      </c>
      <c r="AA921" s="15" t="str">
        <f t="shared" si="11"/>
        <v>OK (47)</v>
      </c>
      <c r="AB921" s="15" t="str">
        <f t="shared" si="12"/>
        <v>EP-finished SS 304/316L pipes &amp; tubes for VERIFY plants in Balachaur. ASTM A270, ASME BPE SF1-SF4, EN 10204 3.1 MTC. PMI tested.</v>
      </c>
      <c r="AC921" s="15" t="str">
        <f t="shared" si="13"/>
        <v>PENDING RESEARCH</v>
      </c>
      <c r="AD921" s="15" t="str">
        <f t="shared" si="14"/>
        <v>Electropolished Pipes Manufacturer in Balachaur</v>
      </c>
      <c r="AE921" s="15" t="str">
        <f t="shared" si="15"/>
        <v>Electropolished Pipes Manufacturer in Balachaur - Our Process &amp; Capability</v>
      </c>
      <c r="AF921" s="15" t="str">
        <f t="shared" si="16"/>
        <v>Electropolished Pipes Supplier in Balachaur - What We Hold in Stock</v>
      </c>
      <c r="AG921" s="15" t="str">
        <f t="shared" si="17"/>
        <v>Bulk &amp; Wholesale Electropolished Pipe Rates for Balachaur Buyers</v>
      </c>
      <c r="AH921" s="15" t="str">
        <f t="shared" si="18"/>
        <v>electropolished pipes manufacturer in Balachaur, electropolished pipes supplier in Balachaur, electropolished pipes wholesaler in Balachaur, electropolished tube manufacturer Balachaur, EP pipe supplier Balachaur, sanitary tube supplier Balachaur, ASME BPE tubing Balachaur, ASTM A270 tube Balachaur, SS 316L electropolished pipe Balachaur</v>
      </c>
      <c r="AI921" s="15" t="str">
        <f t="shared" si="19"/>
        <v>Electropolished Pipes Manufacturer &amp; Supplier in Balachaur</v>
      </c>
      <c r="AJ921" s="15" t="str">
        <f t="shared" si="20"/>
        <v>EP-finished SS 304/316L pipes and tubes for VERIFY plants in Balachaur. ASME BPE SF1-SF4, Ra from 0.25 um, EN 10204 3.1 certificate with every lot.</v>
      </c>
      <c r="AK921" s="15" t="str">
        <f t="shared" si="21"/>
        <v>Electropolished stainless steel pipes supplied by Sakshi Forge to VERIFY plants at PSIEC Industrial Area, Balachaur</v>
      </c>
      <c r="AL921" s="15" t="str">
        <f t="shared" si="22"/>
        <v>Electropolished SS 316L tube stock for Balachaur - Sakshi Forge</v>
      </c>
      <c r="AM921" s="15" t="str">
        <f t="shared" si="23"/>
        <v>Home &gt; Market Area &gt; India &gt; Punjab &gt; Balachaur</v>
      </c>
      <c r="AN921" s="15">
        <f t="shared" si="24"/>
        <v>750</v>
      </c>
      <c r="AO921" s="15">
        <f t="shared" si="25"/>
        <v>6</v>
      </c>
      <c r="AP921" s="15">
        <f t="shared" si="26"/>
        <v>6</v>
      </c>
      <c r="AQ921" s="15">
        <f t="shared" si="27"/>
        <v>16</v>
      </c>
      <c r="AR921" s="31"/>
      <c r="AS921" s="31"/>
      <c r="AT921" s="35" t="s">
        <v>222</v>
      </c>
      <c r="AU921" s="35"/>
    </row>
    <row r="922" ht="15.75" customHeight="1">
      <c r="A922" s="15" t="s">
        <v>4883</v>
      </c>
      <c r="B922" s="15" t="s">
        <v>60</v>
      </c>
      <c r="C922" s="15" t="s">
        <v>842</v>
      </c>
      <c r="D922" s="15" t="s">
        <v>4884</v>
      </c>
      <c r="E922" s="15" t="s">
        <v>4884</v>
      </c>
      <c r="F922" s="58" t="s">
        <v>807</v>
      </c>
      <c r="G922" s="66" t="s">
        <v>98</v>
      </c>
      <c r="H922" s="18" t="s">
        <v>4886</v>
      </c>
      <c r="I922" s="18" t="s">
        <v>8413</v>
      </c>
      <c r="J922" s="18" t="s">
        <v>98</v>
      </c>
      <c r="K922" s="18" t="s">
        <v>98</v>
      </c>
      <c r="L922" s="18" t="s">
        <v>98</v>
      </c>
      <c r="M922" s="18" t="s">
        <v>98</v>
      </c>
      <c r="N922" s="18" t="s">
        <v>98</v>
      </c>
      <c r="O922" s="18" t="s">
        <v>98</v>
      </c>
      <c r="P922" s="15" t="str">
        <f t="shared" si="1"/>
        <v>VERIFY</v>
      </c>
      <c r="Q922" s="15">
        <f t="shared" si="2"/>
        <v>7</v>
      </c>
      <c r="R922" s="15">
        <f t="shared" si="3"/>
        <v>2</v>
      </c>
      <c r="S922" s="15">
        <f t="shared" si="4"/>
        <v>4</v>
      </c>
      <c r="T922" s="15" t="str">
        <f t="shared" si="5"/>
        <v>C-1</v>
      </c>
      <c r="U922" s="15" t="str">
        <f t="shared" si="6"/>
        <v>T7-M2-H4-FC-1-VERIFY</v>
      </c>
      <c r="V922" s="15">
        <f t="shared" si="7"/>
        <v>1</v>
      </c>
      <c r="W922" s="31"/>
      <c r="X922" s="15" t="str">
        <f t="shared" si="8"/>
        <v>balaghat</v>
      </c>
      <c r="Y922" s="32" t="str">
        <f t="shared" si="9"/>
        <v>https://steelmanufacturer.in/market-area/electropolished-pipes-manufacturer-in-balaghat/</v>
      </c>
      <c r="Z922" s="15" t="str">
        <f t="shared" si="10"/>
        <v>Electropolished Pipes Manufacturer in Balaghat | ASME BPE SF1-SF4</v>
      </c>
      <c r="AA922" s="15" t="str">
        <f t="shared" si="11"/>
        <v>OK (65)</v>
      </c>
      <c r="AB922" s="15" t="str">
        <f t="shared" si="12"/>
        <v>Electropolished tube supply to MPIDC Industrial Area, Balaghat. Ra from 0.25 um, SF4 finish, mill test certificate with every lot.</v>
      </c>
      <c r="AC922" s="15" t="str">
        <f t="shared" si="13"/>
        <v>PENDING RESEARCH</v>
      </c>
      <c r="AD922" s="15" t="str">
        <f t="shared" si="14"/>
        <v>Electropolished Pipes Manufacturer in Balaghat</v>
      </c>
      <c r="AE922" s="15" t="str">
        <f t="shared" si="15"/>
        <v>Manufacturing Electropolished SS Tube for Balaghat: The Standards We Build To</v>
      </c>
      <c r="AF922" s="15" t="str">
        <f t="shared" si="16"/>
        <v>Electropolished Pipe Supply Into Balaghat - Certification &amp; Transit</v>
      </c>
      <c r="AG922" s="15" t="str">
        <f t="shared" si="17"/>
        <v>Electropolished Pipes Wholesaler in Balaghat - Project Quantities &amp; Terms</v>
      </c>
      <c r="AH922" s="15" t="str">
        <f t="shared" si="18"/>
        <v>electropolished pipes manufacturer in Balaghat, electropolished pipes supplier in Balaghat, electropolished pipes wholesaler in Balaghat, electropolished tube manufacturer Balaghat, EP pipe supplier Balaghat, sanitary tube supplier Balaghat, ASME BPE tubing Balaghat, ASTM A270 tube Balaghat, SS 316L electropolished pipe Balaghat</v>
      </c>
      <c r="AI922" s="15" t="str">
        <f t="shared" si="19"/>
        <v>Electropolished Pipes Manufacturer &amp; Supplier in Balaghat</v>
      </c>
      <c r="AJ922" s="15" t="str">
        <f t="shared" si="20"/>
        <v>EP-finished SS 304/316L pipes and tubes for VERIFY plants in Balaghat. ASME BPE SF1-SF4, Ra from 0.25 um, EN 10204 3.1 certificate with every lot.</v>
      </c>
      <c r="AK922" s="15" t="str">
        <f t="shared" si="21"/>
        <v>Electropolished stainless steel pipes supplied by Sakshi Forge to VERIFY plants at MPIDC Industrial Area, Balaghat</v>
      </c>
      <c r="AL922" s="15" t="str">
        <f t="shared" si="22"/>
        <v>Electropolished SS 316L tube stock for Balaghat - Sakshi Forge</v>
      </c>
      <c r="AM922" s="15" t="str">
        <f t="shared" si="23"/>
        <v>Home &gt; Market Area &gt; India &gt; Madhya Pradesh &gt; Balaghat</v>
      </c>
      <c r="AN922" s="15">
        <f t="shared" si="24"/>
        <v>750</v>
      </c>
      <c r="AO922" s="15">
        <f t="shared" si="25"/>
        <v>6</v>
      </c>
      <c r="AP922" s="15">
        <f t="shared" si="26"/>
        <v>6</v>
      </c>
      <c r="AQ922" s="15">
        <f t="shared" si="27"/>
        <v>16</v>
      </c>
      <c r="AR922" s="31"/>
      <c r="AS922" s="31"/>
      <c r="AT922" s="35" t="s">
        <v>222</v>
      </c>
      <c r="AU922" s="35"/>
    </row>
    <row r="923" ht="15.75" customHeight="1">
      <c r="A923" s="15" t="s">
        <v>4887</v>
      </c>
      <c r="B923" s="15" t="s">
        <v>60</v>
      </c>
      <c r="C923" s="15" t="s">
        <v>224</v>
      </c>
      <c r="D923" s="15" t="s">
        <v>4888</v>
      </c>
      <c r="E923" s="15" t="s">
        <v>4888</v>
      </c>
      <c r="F923" s="58" t="s">
        <v>807</v>
      </c>
      <c r="G923" s="66" t="s">
        <v>98</v>
      </c>
      <c r="H923" s="18" t="s">
        <v>4890</v>
      </c>
      <c r="I923" s="18" t="s">
        <v>8400</v>
      </c>
      <c r="J923" s="18" t="s">
        <v>98</v>
      </c>
      <c r="K923" s="18" t="s">
        <v>98</v>
      </c>
      <c r="L923" s="18" t="s">
        <v>98</v>
      </c>
      <c r="M923" s="18" t="s">
        <v>98</v>
      </c>
      <c r="N923" s="18" t="s">
        <v>98</v>
      </c>
      <c r="O923" s="18" t="s">
        <v>98</v>
      </c>
      <c r="P923" s="15" t="str">
        <f t="shared" si="1"/>
        <v>VERIFY</v>
      </c>
      <c r="Q923" s="15">
        <f t="shared" si="2"/>
        <v>8</v>
      </c>
      <c r="R923" s="15">
        <f t="shared" si="3"/>
        <v>3</v>
      </c>
      <c r="S923" s="15">
        <f t="shared" si="4"/>
        <v>5</v>
      </c>
      <c r="T923" s="15" t="str">
        <f t="shared" si="5"/>
        <v>C-2</v>
      </c>
      <c r="U923" s="15" t="str">
        <f t="shared" si="6"/>
        <v>T8-M3-H5-FC-2-VERIFY</v>
      </c>
      <c r="V923" s="15">
        <f t="shared" si="7"/>
        <v>1</v>
      </c>
      <c r="W923" s="31"/>
      <c r="X923" s="15" t="str">
        <f t="shared" si="8"/>
        <v>balasinor</v>
      </c>
      <c r="Y923" s="32" t="str">
        <f t="shared" si="9"/>
        <v>https://steelmanufacturer.in/market-area/electropolished-pipes-manufacturer-in-balasinor/</v>
      </c>
      <c r="Z923" s="15" t="str">
        <f t="shared" si="10"/>
        <v>Electropolished Pipes Manufacturer in Balasinor</v>
      </c>
      <c r="AA923" s="15" t="str">
        <f t="shared" si="11"/>
        <v>OK (47)</v>
      </c>
      <c r="AB923" s="15" t="str">
        <f t="shared" si="12"/>
        <v>EP stainless tube for VERIFY lines in Balasinor. VERIFY. ASTM A270 S2, PMI tested, EN 10204 3.1.</v>
      </c>
      <c r="AC923" s="15" t="str">
        <f t="shared" si="13"/>
        <v>PENDING RESEARCH</v>
      </c>
      <c r="AD923" s="15" t="str">
        <f t="shared" si="14"/>
        <v>Electropolished Pipes Manufacturer in Balasinor</v>
      </c>
      <c r="AE923" s="15" t="str">
        <f t="shared" si="15"/>
        <v>Electropolished Tube Manufacturing Capability Serving Balasinor</v>
      </c>
      <c r="AF923" s="15" t="str">
        <f t="shared" si="16"/>
        <v>Electropolished Pipes Supplier in Balasinor - From Order to Delivery</v>
      </c>
      <c r="AG923" s="15" t="str">
        <f t="shared" si="17"/>
        <v>Stockist &amp; Wholesale Supply of Electropolished Pipes in Balasinor</v>
      </c>
      <c r="AH923" s="15" t="str">
        <f t="shared" si="18"/>
        <v>electropolished pipes manufacturer in Balasinor, electropolished pipes supplier in Balasinor, electropolished pipes wholesaler in Balasinor, electropolished tube manufacturer Balasinor, EP pipe supplier Balasinor, sanitary tube supplier Balasinor, ASME BPE tubing Balasinor, ASTM A270 tube Balasinor, SS 316L electropolished pipe Balasinor</v>
      </c>
      <c r="AI923" s="15" t="str">
        <f t="shared" si="19"/>
        <v>Electropolished Pipes Manufacturer &amp; Supplier in Balasinor</v>
      </c>
      <c r="AJ923" s="15" t="str">
        <f t="shared" si="20"/>
        <v>EP-finished SS 304/316L pipes and tubes for VERIFY plants in Balasinor. ASME BPE SF1-SF4, Ra from 0.25 um, EN 10204 3.1 certificate with every lot.</v>
      </c>
      <c r="AK923" s="15" t="str">
        <f t="shared" si="21"/>
        <v>Electropolished stainless steel pipes supplied by Sakshi Forge to VERIFY plants at GIDC Industrial Area, Balasinor</v>
      </c>
      <c r="AL923" s="15" t="str">
        <f t="shared" si="22"/>
        <v>Electropolished SS 316L tube stock for Balasinor - Sakshi Forge</v>
      </c>
      <c r="AM923" s="15" t="str">
        <f t="shared" si="23"/>
        <v>Home &gt; Market Area &gt; India &gt; Gujarat &gt; Balasinor</v>
      </c>
      <c r="AN923" s="15">
        <f t="shared" si="24"/>
        <v>750</v>
      </c>
      <c r="AO923" s="15">
        <f t="shared" si="25"/>
        <v>6</v>
      </c>
      <c r="AP923" s="15">
        <f t="shared" si="26"/>
        <v>6</v>
      </c>
      <c r="AQ923" s="15">
        <f t="shared" si="27"/>
        <v>16</v>
      </c>
      <c r="AR923" s="31"/>
      <c r="AS923" s="31"/>
      <c r="AT923" s="35" t="s">
        <v>222</v>
      </c>
      <c r="AU923" s="35"/>
    </row>
    <row r="924" ht="15.75" customHeight="1">
      <c r="A924" s="15" t="s">
        <v>4891</v>
      </c>
      <c r="B924" s="15" t="s">
        <v>60</v>
      </c>
      <c r="C924" s="15" t="s">
        <v>424</v>
      </c>
      <c r="D924" s="15" t="s">
        <v>4892</v>
      </c>
      <c r="E924" s="15" t="s">
        <v>4892</v>
      </c>
      <c r="F924" s="58" t="s">
        <v>807</v>
      </c>
      <c r="G924" s="66" t="s">
        <v>98</v>
      </c>
      <c r="H924" s="18" t="s">
        <v>4894</v>
      </c>
      <c r="I924" s="18" t="s">
        <v>8406</v>
      </c>
      <c r="J924" s="18" t="s">
        <v>98</v>
      </c>
      <c r="K924" s="18" t="s">
        <v>98</v>
      </c>
      <c r="L924" s="18" t="s">
        <v>98</v>
      </c>
      <c r="M924" s="18" t="s">
        <v>98</v>
      </c>
      <c r="N924" s="18" t="s">
        <v>98</v>
      </c>
      <c r="O924" s="18" t="s">
        <v>98</v>
      </c>
      <c r="P924" s="15" t="str">
        <f t="shared" si="1"/>
        <v>VERIFY</v>
      </c>
      <c r="Q924" s="15">
        <f t="shared" si="2"/>
        <v>1</v>
      </c>
      <c r="R924" s="15">
        <f t="shared" si="3"/>
        <v>4</v>
      </c>
      <c r="S924" s="15">
        <f t="shared" si="4"/>
        <v>1</v>
      </c>
      <c r="T924" s="15" t="str">
        <f t="shared" si="5"/>
        <v>C-3</v>
      </c>
      <c r="U924" s="15" t="str">
        <f t="shared" si="6"/>
        <v>T1-M4-H1-FC-3-VERIFY</v>
      </c>
      <c r="V924" s="15">
        <f t="shared" si="7"/>
        <v>1</v>
      </c>
      <c r="W924" s="31"/>
      <c r="X924" s="15" t="str">
        <f t="shared" si="8"/>
        <v>balianta</v>
      </c>
      <c r="Y924" s="32" t="str">
        <f t="shared" si="9"/>
        <v>https://steelmanufacturer.in/market-area/electropolished-pipes-manufacturer-in-balianta/</v>
      </c>
      <c r="Z924" s="15" t="str">
        <f t="shared" si="10"/>
        <v>Electropolished Pipes Manufacturer in Balianta | Sakshi Forge</v>
      </c>
      <c r="AA924" s="15" t="str">
        <f t="shared" si="11"/>
        <v>OK (61)</v>
      </c>
      <c r="AB924" s="15" t="str">
        <f t="shared" si="12"/>
        <v>Sanitary electropolished pipes in Balianta for VERIFY plants. ASME BPE SF1-SF4, orbital-weld ready, 3.1 MTC. Mumbai-made.</v>
      </c>
      <c r="AC924" s="15" t="str">
        <f t="shared" si="13"/>
        <v>PENDING RESEARCH</v>
      </c>
      <c r="AD924" s="15" t="str">
        <f t="shared" si="14"/>
        <v>Electropolished Pipes Manufacturer in Balianta</v>
      </c>
      <c r="AE924" s="15" t="str">
        <f t="shared" si="15"/>
        <v>Electropolished Pipe &amp; Tube Manufacturing for Balianta - Grades, Finishes &amp; Certification</v>
      </c>
      <c r="AF924" s="15" t="str">
        <f t="shared" si="16"/>
        <v>Electropolished Pipes Supplier in Balianta - Stock Sizes, Lead Time &amp; Delivery</v>
      </c>
      <c r="AG924" s="15" t="str">
        <f t="shared" si="17"/>
        <v>Electropolished Pipes Wholesaler &amp; Stockist in Balianta - Bulk &amp; Project Pricing</v>
      </c>
      <c r="AH924" s="15" t="str">
        <f t="shared" si="18"/>
        <v>electropolished pipes manufacturer in Balianta, electropolished pipes supplier in Balianta, electropolished pipes wholesaler in Balianta, electropolished tube manufacturer Balianta, EP pipe supplier Balianta, sanitary tube supplier Balianta, ASME BPE tubing Balianta, ASTM A270 tube Balianta, SS 316L electropolished pipe Balianta</v>
      </c>
      <c r="AI924" s="15" t="str">
        <f t="shared" si="19"/>
        <v>Electropolished Pipes Manufacturer &amp; Supplier in Balianta</v>
      </c>
      <c r="AJ924" s="15" t="str">
        <f t="shared" si="20"/>
        <v>EP-finished SS 304/316L pipes and tubes for VERIFY plants in Balianta. ASME BPE SF1-SF4, Ra from 0.25 um, EN 10204 3.1 certificate with every lot.</v>
      </c>
      <c r="AK924" s="15" t="str">
        <f t="shared" si="21"/>
        <v>Electropolished stainless steel pipes supplied by Sakshi Forge to VERIFY plants at IDCO Industrial Area, Balianta</v>
      </c>
      <c r="AL924" s="15" t="str">
        <f t="shared" si="22"/>
        <v>Electropolished SS 316L tube stock for Balianta - Sakshi Forge</v>
      </c>
      <c r="AM924" s="15" t="str">
        <f t="shared" si="23"/>
        <v>Home &gt; Market Area &gt; India &gt; Odisha &gt; Balianta</v>
      </c>
      <c r="AN924" s="15">
        <f t="shared" si="24"/>
        <v>750</v>
      </c>
      <c r="AO924" s="15">
        <f t="shared" si="25"/>
        <v>6</v>
      </c>
      <c r="AP924" s="15">
        <f t="shared" si="26"/>
        <v>6</v>
      </c>
      <c r="AQ924" s="15">
        <f t="shared" si="27"/>
        <v>16</v>
      </c>
      <c r="AR924" s="31"/>
      <c r="AS924" s="31"/>
      <c r="AT924" s="35" t="s">
        <v>222</v>
      </c>
      <c r="AU924" s="35"/>
    </row>
    <row r="925" ht="15.75" customHeight="1">
      <c r="A925" s="15" t="s">
        <v>4895</v>
      </c>
      <c r="B925" s="15" t="s">
        <v>60</v>
      </c>
      <c r="C925" s="15" t="s">
        <v>424</v>
      </c>
      <c r="D925" s="15" t="s">
        <v>4896</v>
      </c>
      <c r="E925" s="15" t="s">
        <v>4896</v>
      </c>
      <c r="F925" s="58" t="s">
        <v>807</v>
      </c>
      <c r="G925" s="66" t="s">
        <v>98</v>
      </c>
      <c r="H925" s="18" t="s">
        <v>4898</v>
      </c>
      <c r="I925" s="18" t="s">
        <v>8406</v>
      </c>
      <c r="J925" s="18" t="s">
        <v>98</v>
      </c>
      <c r="K925" s="18" t="s">
        <v>98</v>
      </c>
      <c r="L925" s="18" t="s">
        <v>98</v>
      </c>
      <c r="M925" s="18" t="s">
        <v>98</v>
      </c>
      <c r="N925" s="18" t="s">
        <v>98</v>
      </c>
      <c r="O925" s="18" t="s">
        <v>98</v>
      </c>
      <c r="P925" s="15" t="str">
        <f t="shared" si="1"/>
        <v>VERIFY</v>
      </c>
      <c r="Q925" s="15">
        <f t="shared" si="2"/>
        <v>2</v>
      </c>
      <c r="R925" s="15">
        <f t="shared" si="3"/>
        <v>5</v>
      </c>
      <c r="S925" s="15">
        <f t="shared" si="4"/>
        <v>2</v>
      </c>
      <c r="T925" s="15" t="str">
        <f t="shared" si="5"/>
        <v>C-4</v>
      </c>
      <c r="U925" s="15" t="str">
        <f t="shared" si="6"/>
        <v>T2-M5-H2-FC-4-VERIFY</v>
      </c>
      <c r="V925" s="15">
        <f t="shared" si="7"/>
        <v>1</v>
      </c>
      <c r="W925" s="31"/>
      <c r="X925" s="15" t="str">
        <f t="shared" si="8"/>
        <v>balipatna</v>
      </c>
      <c r="Y925" s="32" t="str">
        <f t="shared" si="9"/>
        <v>https://steelmanufacturer.in/market-area/electropolished-pipes-manufacturer-in-balipatna/</v>
      </c>
      <c r="Z925" s="15" t="str">
        <f t="shared" si="10"/>
        <v>Electropolished Pipes Manufacturer in Balipatna</v>
      </c>
      <c r="AA925" s="15" t="str">
        <f t="shared" si="11"/>
        <v>OK (47)</v>
      </c>
      <c r="AB925" s="15" t="str">
        <f t="shared" si="12"/>
        <v>Manufacturer of electropolished SS 316L tube serving Balipatna. VERIFY. Ra 0.25-0.5 um, EN 10204 3.1 MTC.</v>
      </c>
      <c r="AC925" s="15" t="str">
        <f t="shared" si="13"/>
        <v>PENDING RESEARCH</v>
      </c>
      <c r="AD925" s="15" t="str">
        <f t="shared" si="14"/>
        <v>Electropolished Pipes Manufacturer in Balipatna</v>
      </c>
      <c r="AE925" s="15" t="str">
        <f t="shared" si="15"/>
        <v>How We Manufacture Electropolished Tube for Balipatna Plants</v>
      </c>
      <c r="AF925" s="15" t="str">
        <f t="shared" si="16"/>
        <v>Supplying Electropolished Pipes in Balipatna: Availability, Sizes &amp; Dispatch</v>
      </c>
      <c r="AG925" s="15" t="str">
        <f t="shared" si="17"/>
        <v>Wholesale Electropolished Pipe Supply for Balipatna Projects</v>
      </c>
      <c r="AH925" s="15" t="str">
        <f t="shared" si="18"/>
        <v>electropolished pipes manufacturer in Balipatna, electropolished pipes supplier in Balipatna, electropolished pipes wholesaler in Balipatna, electropolished tube manufacturer Balipatna, EP pipe supplier Balipatna, sanitary tube supplier Balipatna, ASME BPE tubing Balipatna, ASTM A270 tube Balipatna, SS 316L electropolished pipe Balipatna</v>
      </c>
      <c r="AI925" s="15" t="str">
        <f t="shared" si="19"/>
        <v>Electropolished Pipes Manufacturer &amp; Supplier in Balipatna</v>
      </c>
      <c r="AJ925" s="15" t="str">
        <f t="shared" si="20"/>
        <v>EP-finished SS 304/316L pipes and tubes for VERIFY plants in Balipatna. ASME BPE SF1-SF4, Ra from 0.25 um, EN 10204 3.1 certificate with every lot.</v>
      </c>
      <c r="AK925" s="15" t="str">
        <f t="shared" si="21"/>
        <v>Electropolished stainless steel pipes supplied by Sakshi Forge to VERIFY plants at IDCO Industrial Area, Balipatna</v>
      </c>
      <c r="AL925" s="15" t="str">
        <f t="shared" si="22"/>
        <v>Electropolished SS 316L tube stock for Balipatna - Sakshi Forge</v>
      </c>
      <c r="AM925" s="15" t="str">
        <f t="shared" si="23"/>
        <v>Home &gt; Market Area &gt; India &gt; Odisha &gt; Balipatna</v>
      </c>
      <c r="AN925" s="15">
        <f t="shared" si="24"/>
        <v>750</v>
      </c>
      <c r="AO925" s="15">
        <f t="shared" si="25"/>
        <v>6</v>
      </c>
      <c r="AP925" s="15">
        <f t="shared" si="26"/>
        <v>6</v>
      </c>
      <c r="AQ925" s="15">
        <f t="shared" si="27"/>
        <v>16</v>
      </c>
      <c r="AR925" s="31"/>
      <c r="AS925" s="31"/>
      <c r="AT925" s="35" t="s">
        <v>222</v>
      </c>
      <c r="AU925" s="35"/>
    </row>
    <row r="926" ht="15.75" customHeight="1">
      <c r="A926" s="15" t="s">
        <v>4899</v>
      </c>
      <c r="B926" s="15" t="s">
        <v>60</v>
      </c>
      <c r="C926" s="15" t="s">
        <v>85</v>
      </c>
      <c r="D926" s="15" t="s">
        <v>4900</v>
      </c>
      <c r="E926" s="15" t="s">
        <v>4900</v>
      </c>
      <c r="F926" s="58" t="s">
        <v>807</v>
      </c>
      <c r="G926" s="66" t="s">
        <v>98</v>
      </c>
      <c r="H926" s="18" t="s">
        <v>4902</v>
      </c>
      <c r="I926" s="18" t="s">
        <v>8398</v>
      </c>
      <c r="J926" s="18" t="s">
        <v>98</v>
      </c>
      <c r="K926" s="18" t="s">
        <v>98</v>
      </c>
      <c r="L926" s="18" t="s">
        <v>98</v>
      </c>
      <c r="M926" s="18" t="s">
        <v>98</v>
      </c>
      <c r="N926" s="18" t="s">
        <v>98</v>
      </c>
      <c r="O926" s="18" t="s">
        <v>98</v>
      </c>
      <c r="P926" s="15" t="str">
        <f t="shared" si="1"/>
        <v>VERIFY</v>
      </c>
      <c r="Q926" s="15">
        <f t="shared" si="2"/>
        <v>3</v>
      </c>
      <c r="R926" s="15">
        <f t="shared" si="3"/>
        <v>6</v>
      </c>
      <c r="S926" s="15">
        <f t="shared" si="4"/>
        <v>3</v>
      </c>
      <c r="T926" s="15" t="str">
        <f t="shared" si="5"/>
        <v>C-5</v>
      </c>
      <c r="U926" s="15" t="str">
        <f t="shared" si="6"/>
        <v>T3-M6-H3-FC-5-VERIFY</v>
      </c>
      <c r="V926" s="15">
        <f t="shared" si="7"/>
        <v>1</v>
      </c>
      <c r="W926" s="31"/>
      <c r="X926" s="15" t="str">
        <f t="shared" si="8"/>
        <v>ballia</v>
      </c>
      <c r="Y926" s="32" t="str">
        <f t="shared" si="9"/>
        <v>https://steelmanufacturer.in/market-area/electropolished-pipes-manufacturer-in-ballia/</v>
      </c>
      <c r="Z926" s="15" t="str">
        <f t="shared" si="10"/>
        <v>Electropolished Pipes Manufacturer in Ballia | EP Tube Supplier</v>
      </c>
      <c r="AA926" s="15" t="str">
        <f t="shared" si="11"/>
        <v>OK (63)</v>
      </c>
      <c r="AB926" s="15" t="str">
        <f t="shared" si="12"/>
        <v>EP tube and pipe for VERIFY plants around UPSIDA Industrial Area, Ballia. Made at our Mumbai works to ASTM A270 and ASME BPE SF1-SF4, with 3.1 MTC.</v>
      </c>
      <c r="AC926" s="15" t="str">
        <f t="shared" si="13"/>
        <v>PENDING RESEARCH</v>
      </c>
      <c r="AD926" s="15" t="str">
        <f t="shared" si="14"/>
        <v>Electropolished Pipes Manufacturer in Ballia</v>
      </c>
      <c r="AE926" s="15" t="str">
        <f t="shared" si="15"/>
        <v>Electropolished Pipes Manufacturer in Ballia - Our Process &amp; Capability</v>
      </c>
      <c r="AF926" s="15" t="str">
        <f t="shared" si="16"/>
        <v>Electropolished Pipes Supplier in Ballia - What We Hold in Stock</v>
      </c>
      <c r="AG926" s="15" t="str">
        <f t="shared" si="17"/>
        <v>Bulk &amp; Wholesale Electropolished Pipe Rates for Ballia Buyers</v>
      </c>
      <c r="AH926" s="15" t="str">
        <f t="shared" si="18"/>
        <v>electropolished pipes manufacturer in Ballia, electropolished pipes supplier in Ballia, electropolished pipes wholesaler in Ballia, electropolished tube manufacturer Ballia, EP pipe supplier Ballia, sanitary tube supplier Ballia, ASME BPE tubing Ballia, ASTM A270 tube Ballia, SS 316L electropolished pipe Ballia</v>
      </c>
      <c r="AI926" s="15" t="str">
        <f t="shared" si="19"/>
        <v>Electropolished Pipes Manufacturer &amp; Supplier in Ballia</v>
      </c>
      <c r="AJ926" s="15" t="str">
        <f t="shared" si="20"/>
        <v>EP-finished SS 304/316L pipes and tubes for VERIFY plants in Ballia. ASME BPE SF1-SF4, Ra from 0.25 um, EN 10204 3.1 certificate with every lot.</v>
      </c>
      <c r="AK926" s="15" t="str">
        <f t="shared" si="21"/>
        <v>Electropolished stainless steel pipes supplied by Sakshi Forge to VERIFY plants at UPSIDA Industrial Area, Ballia</v>
      </c>
      <c r="AL926" s="15" t="str">
        <f t="shared" si="22"/>
        <v>Electropolished SS 316L tube stock for Ballia - Sakshi Forge</v>
      </c>
      <c r="AM926" s="15" t="str">
        <f t="shared" si="23"/>
        <v>Home &gt; Market Area &gt; India &gt; Uttar Pradesh &gt; Ballia</v>
      </c>
      <c r="AN926" s="15">
        <f t="shared" si="24"/>
        <v>750</v>
      </c>
      <c r="AO926" s="15">
        <f t="shared" si="25"/>
        <v>6</v>
      </c>
      <c r="AP926" s="15">
        <f t="shared" si="26"/>
        <v>6</v>
      </c>
      <c r="AQ926" s="15">
        <f t="shared" si="27"/>
        <v>16</v>
      </c>
      <c r="AR926" s="31"/>
      <c r="AS926" s="31"/>
      <c r="AT926" s="35" t="s">
        <v>222</v>
      </c>
      <c r="AU926" s="35"/>
    </row>
    <row r="927" ht="15.75" customHeight="1">
      <c r="A927" s="15" t="s">
        <v>4903</v>
      </c>
      <c r="B927" s="15" t="s">
        <v>60</v>
      </c>
      <c r="C927" s="15" t="s">
        <v>775</v>
      </c>
      <c r="D927" s="15" t="s">
        <v>4904</v>
      </c>
      <c r="E927" s="15" t="s">
        <v>4904</v>
      </c>
      <c r="F927" s="58" t="s">
        <v>807</v>
      </c>
      <c r="G927" s="66" t="s">
        <v>98</v>
      </c>
      <c r="H927" s="18" t="s">
        <v>4907</v>
      </c>
      <c r="I927" s="18" t="s">
        <v>8399</v>
      </c>
      <c r="J927" s="18" t="s">
        <v>98</v>
      </c>
      <c r="K927" s="18" t="s">
        <v>98</v>
      </c>
      <c r="L927" s="18" t="s">
        <v>98</v>
      </c>
      <c r="M927" s="18" t="s">
        <v>98</v>
      </c>
      <c r="N927" s="18" t="s">
        <v>98</v>
      </c>
      <c r="O927" s="18" t="s">
        <v>98</v>
      </c>
      <c r="P927" s="15" t="str">
        <f t="shared" si="1"/>
        <v>VERIFY</v>
      </c>
      <c r="Q927" s="15">
        <f t="shared" si="2"/>
        <v>4</v>
      </c>
      <c r="R927" s="15">
        <f t="shared" si="3"/>
        <v>7</v>
      </c>
      <c r="S927" s="15">
        <f t="shared" si="4"/>
        <v>4</v>
      </c>
      <c r="T927" s="15" t="str">
        <f t="shared" si="5"/>
        <v>C-6</v>
      </c>
      <c r="U927" s="15" t="str">
        <f t="shared" si="6"/>
        <v>T4-M7-H4-FC-6-VERIFY</v>
      </c>
      <c r="V927" s="15">
        <f t="shared" si="7"/>
        <v>1</v>
      </c>
      <c r="W927" s="31"/>
      <c r="X927" s="15" t="str">
        <f t="shared" si="8"/>
        <v>balod</v>
      </c>
      <c r="Y927" s="32" t="str">
        <f t="shared" si="9"/>
        <v>https://steelmanufacturer.in/market-area/electropolished-pipes-manufacturer-in-balod/</v>
      </c>
      <c r="Z927" s="15" t="str">
        <f t="shared" si="10"/>
        <v>Electropolished Pipes Manufacturer in Balod - SS 304/316L EP Tube</v>
      </c>
      <c r="AA927" s="15" t="str">
        <f t="shared" si="11"/>
        <v>OK (65)</v>
      </c>
      <c r="AB927" s="15" t="str">
        <f t="shared" si="12"/>
        <v>Electropolished pipes in Balod: 304, 304L, 316 and 316L in SF1-SF4. VERIFY. Mill certified.</v>
      </c>
      <c r="AC927" s="15" t="str">
        <f t="shared" si="13"/>
        <v>PENDING RESEARCH</v>
      </c>
      <c r="AD927" s="15" t="str">
        <f t="shared" si="14"/>
        <v>Electropolished Pipes Manufacturer in Balod</v>
      </c>
      <c r="AE927" s="15" t="str">
        <f t="shared" si="15"/>
        <v>Manufacturing Electropolished SS Tube for Balod: The Standards We Build To</v>
      </c>
      <c r="AF927" s="15" t="str">
        <f t="shared" si="16"/>
        <v>Electropolished Pipe Supply Into Balod - Certification &amp; Transit</v>
      </c>
      <c r="AG927" s="15" t="str">
        <f t="shared" si="17"/>
        <v>Electropolished Pipes Wholesaler in Balod - Project Quantities &amp; Terms</v>
      </c>
      <c r="AH927" s="15" t="str">
        <f t="shared" si="18"/>
        <v>electropolished pipes manufacturer in Balod, electropolished pipes supplier in Balod, electropolished pipes wholesaler in Balod, electropolished tube manufacturer Balod, EP pipe supplier Balod, sanitary tube supplier Balod, ASME BPE tubing Balod, ASTM A270 tube Balod, SS 316L electropolished pipe Balod</v>
      </c>
      <c r="AI927" s="15" t="str">
        <f t="shared" si="19"/>
        <v>Electropolished Pipes Manufacturer &amp; Supplier in Balod</v>
      </c>
      <c r="AJ927" s="15" t="str">
        <f t="shared" si="20"/>
        <v>EP-finished SS 304/316L pipes and tubes for VERIFY plants in Balod. ASME BPE SF1-SF4, Ra from 0.25 um, EN 10204 3.1 certificate with every lot.</v>
      </c>
      <c r="AK927" s="15" t="str">
        <f t="shared" si="21"/>
        <v>Electropolished stainless steel pipes supplied by Sakshi Forge to VERIFY plants at CSIDC Industrial Area, Balod</v>
      </c>
      <c r="AL927" s="15" t="str">
        <f t="shared" si="22"/>
        <v>Electropolished SS 316L tube stock for Balod - Sakshi Forge</v>
      </c>
      <c r="AM927" s="15" t="str">
        <f t="shared" si="23"/>
        <v>Home &gt; Market Area &gt; India &gt; Chhattisgarh &gt; Balod</v>
      </c>
      <c r="AN927" s="15">
        <f t="shared" si="24"/>
        <v>750</v>
      </c>
      <c r="AO927" s="15">
        <f t="shared" si="25"/>
        <v>6</v>
      </c>
      <c r="AP927" s="15">
        <f t="shared" si="26"/>
        <v>6</v>
      </c>
      <c r="AQ927" s="15">
        <f t="shared" si="27"/>
        <v>16</v>
      </c>
      <c r="AR927" s="31"/>
      <c r="AS927" s="31"/>
      <c r="AT927" s="35" t="s">
        <v>222</v>
      </c>
      <c r="AU927" s="35"/>
    </row>
    <row r="928" ht="15.75" customHeight="1">
      <c r="A928" s="15" t="s">
        <v>4909</v>
      </c>
      <c r="B928" s="15" t="s">
        <v>60</v>
      </c>
      <c r="C928" s="15" t="s">
        <v>775</v>
      </c>
      <c r="D928" s="15" t="s">
        <v>4912</v>
      </c>
      <c r="E928" s="15" t="s">
        <v>4912</v>
      </c>
      <c r="F928" s="58" t="s">
        <v>807</v>
      </c>
      <c r="G928" s="66" t="s">
        <v>98</v>
      </c>
      <c r="H928" s="18" t="s">
        <v>4916</v>
      </c>
      <c r="I928" s="18" t="s">
        <v>8399</v>
      </c>
      <c r="J928" s="18" t="s">
        <v>98</v>
      </c>
      <c r="K928" s="18" t="s">
        <v>98</v>
      </c>
      <c r="L928" s="18" t="s">
        <v>98</v>
      </c>
      <c r="M928" s="18" t="s">
        <v>98</v>
      </c>
      <c r="N928" s="18" t="s">
        <v>98</v>
      </c>
      <c r="O928" s="18" t="s">
        <v>98</v>
      </c>
      <c r="P928" s="15" t="str">
        <f t="shared" si="1"/>
        <v>VERIFY</v>
      </c>
      <c r="Q928" s="15">
        <f t="shared" si="2"/>
        <v>5</v>
      </c>
      <c r="R928" s="15">
        <f t="shared" si="3"/>
        <v>1</v>
      </c>
      <c r="S928" s="15">
        <f t="shared" si="4"/>
        <v>5</v>
      </c>
      <c r="T928" s="15" t="str">
        <f t="shared" si="5"/>
        <v>C-1</v>
      </c>
      <c r="U928" s="15" t="str">
        <f t="shared" si="6"/>
        <v>T5-M1-H5-FC-1-VERIFY</v>
      </c>
      <c r="V928" s="15">
        <f t="shared" si="7"/>
        <v>1</v>
      </c>
      <c r="W928" s="31"/>
      <c r="X928" s="15" t="str">
        <f t="shared" si="8"/>
        <v>baloda-bazar</v>
      </c>
      <c r="Y928" s="32" t="str">
        <f t="shared" si="9"/>
        <v>https://steelmanufacturer.in/market-area/electropolished-pipes-manufacturer-in-baloda-bazar/</v>
      </c>
      <c r="Z928" s="15" t="str">
        <f t="shared" si="10"/>
        <v>Electropolished Pipes Manufacturer in Baloda Bazar</v>
      </c>
      <c r="AA928" s="15" t="str">
        <f t="shared" si="11"/>
        <v>OK (50)</v>
      </c>
      <c r="AB928" s="15" t="str">
        <f t="shared" si="12"/>
        <v>EP-finished SS 304/316L pipes &amp; tubes for VERIFY plants in Baloda Bazar. ASTM A270, ASME BPE SF1-SF4, EN 10204 3.1 MTC. PMI tested.</v>
      </c>
      <c r="AC928" s="15" t="str">
        <f t="shared" si="13"/>
        <v>PENDING RESEARCH</v>
      </c>
      <c r="AD928" s="15" t="str">
        <f t="shared" si="14"/>
        <v>Electropolished Pipes Manufacturer in Baloda Bazar</v>
      </c>
      <c r="AE928" s="15" t="str">
        <f t="shared" si="15"/>
        <v>Electropolished Tube Manufacturing Capability Serving Baloda Bazar</v>
      </c>
      <c r="AF928" s="15" t="str">
        <f t="shared" si="16"/>
        <v>Electropolished Pipes Supplier in Baloda Bazar - From Order to Delivery</v>
      </c>
      <c r="AG928" s="15" t="str">
        <f t="shared" si="17"/>
        <v>Stockist &amp; Wholesale Supply of Electropolished Pipes in Baloda Bazar</v>
      </c>
      <c r="AH928" s="15" t="str">
        <f t="shared" si="18"/>
        <v>electropolished pipes manufacturer in Baloda Bazar, electropolished pipes supplier in Baloda Bazar, electropolished pipes wholesaler in Baloda Bazar, electropolished tube manufacturer Baloda Bazar, EP pipe supplier Baloda Bazar, sanitary tube supplier Baloda Bazar, ASME BPE tubing Baloda Bazar, ASTM A270 tube Baloda Bazar, SS 316L electropolished pipe Baloda Bazar</v>
      </c>
      <c r="AI928" s="15" t="str">
        <f t="shared" si="19"/>
        <v>Electropolished Pipes Manufacturer &amp; Supplier in Baloda Bazar</v>
      </c>
      <c r="AJ928" s="15" t="str">
        <f t="shared" si="20"/>
        <v>EP-finished SS 304/316L pipes and tubes for VERIFY plants in Baloda Bazar. ASME BPE SF1-SF4, Ra from 0.25 um, EN 10204 3.1 certificate with every lot.</v>
      </c>
      <c r="AK928" s="15" t="str">
        <f t="shared" si="21"/>
        <v>Electropolished stainless steel pipes supplied by Sakshi Forge to VERIFY plants at CSIDC Industrial Area, Baloda Bazar</v>
      </c>
      <c r="AL928" s="15" t="str">
        <f t="shared" si="22"/>
        <v>Electropolished SS 316L tube stock for Baloda Bazar - Sakshi Forge</v>
      </c>
      <c r="AM928" s="15" t="str">
        <f t="shared" si="23"/>
        <v>Home &gt; Market Area &gt; India &gt; Chhattisgarh &gt; Baloda Bazar</v>
      </c>
      <c r="AN928" s="15">
        <f t="shared" si="24"/>
        <v>750</v>
      </c>
      <c r="AO928" s="15">
        <f t="shared" si="25"/>
        <v>6</v>
      </c>
      <c r="AP928" s="15">
        <f t="shared" si="26"/>
        <v>6</v>
      </c>
      <c r="AQ928" s="15">
        <f t="shared" si="27"/>
        <v>16</v>
      </c>
      <c r="AR928" s="31"/>
      <c r="AS928" s="31"/>
      <c r="AT928" s="35" t="s">
        <v>222</v>
      </c>
      <c r="AU928" s="35"/>
    </row>
    <row r="929" ht="15.75" customHeight="1">
      <c r="A929" s="15" t="s">
        <v>4917</v>
      </c>
      <c r="B929" s="15" t="s">
        <v>60</v>
      </c>
      <c r="C929" s="15" t="s">
        <v>85</v>
      </c>
      <c r="D929" s="15" t="s">
        <v>4918</v>
      </c>
      <c r="E929" s="15" t="s">
        <v>4918</v>
      </c>
      <c r="F929" s="58" t="s">
        <v>807</v>
      </c>
      <c r="G929" s="66" t="s">
        <v>98</v>
      </c>
      <c r="H929" s="18" t="s">
        <v>4920</v>
      </c>
      <c r="I929" s="18" t="s">
        <v>8398</v>
      </c>
      <c r="J929" s="18" t="s">
        <v>98</v>
      </c>
      <c r="K929" s="18" t="s">
        <v>98</v>
      </c>
      <c r="L929" s="18" t="s">
        <v>98</v>
      </c>
      <c r="M929" s="18" t="s">
        <v>98</v>
      </c>
      <c r="N929" s="18" t="s">
        <v>98</v>
      </c>
      <c r="O929" s="18" t="s">
        <v>98</v>
      </c>
      <c r="P929" s="15" t="str">
        <f t="shared" si="1"/>
        <v>VERIFY</v>
      </c>
      <c r="Q929" s="15">
        <f t="shared" si="2"/>
        <v>6</v>
      </c>
      <c r="R929" s="15">
        <f t="shared" si="3"/>
        <v>2</v>
      </c>
      <c r="S929" s="15">
        <f t="shared" si="4"/>
        <v>1</v>
      </c>
      <c r="T929" s="15" t="str">
        <f t="shared" si="5"/>
        <v>C-2</v>
      </c>
      <c r="U929" s="15" t="str">
        <f t="shared" si="6"/>
        <v>T6-M2-H1-FC-2-VERIFY</v>
      </c>
      <c r="V929" s="15">
        <f t="shared" si="7"/>
        <v>1</v>
      </c>
      <c r="W929" s="31"/>
      <c r="X929" s="15" t="str">
        <f t="shared" si="8"/>
        <v>balrampur</v>
      </c>
      <c r="Y929" s="32" t="str">
        <f t="shared" si="9"/>
        <v>https://steelmanufacturer.in/market-area/electropolished-pipes-manufacturer-in-balrampur/</v>
      </c>
      <c r="Z929" s="15" t="str">
        <f t="shared" si="10"/>
        <v>Electropolished Pipes Manufacturer in Balrampur</v>
      </c>
      <c r="AA929" s="15" t="str">
        <f t="shared" si="11"/>
        <v>OK (47)</v>
      </c>
      <c r="AB929" s="15" t="str">
        <f t="shared" si="12"/>
        <v>Electropolished tube supply to UPSIDA Industrial Area, Balrampur. Ra from 0.25 um, SF4 finish, mill test certificate with every lot.</v>
      </c>
      <c r="AC929" s="15" t="str">
        <f t="shared" si="13"/>
        <v>PENDING RESEARCH</v>
      </c>
      <c r="AD929" s="15" t="str">
        <f t="shared" si="14"/>
        <v>Electropolished Pipes Manufacturer in Balrampur</v>
      </c>
      <c r="AE929" s="15" t="str">
        <f t="shared" si="15"/>
        <v>Electropolished Pipe &amp; Tube Manufacturing for Balrampur - Grades, Finishes &amp; Certification</v>
      </c>
      <c r="AF929" s="15" t="str">
        <f t="shared" si="16"/>
        <v>Electropolished Pipes Supplier in Balrampur - Stock Sizes, Lead Time &amp; Delivery</v>
      </c>
      <c r="AG929" s="15" t="str">
        <f t="shared" si="17"/>
        <v>Electropolished Pipes Wholesaler &amp; Stockist in Balrampur - Bulk &amp; Project Pricing</v>
      </c>
      <c r="AH929" s="15" t="str">
        <f t="shared" si="18"/>
        <v>electropolished pipes manufacturer in Balrampur, electropolished pipes supplier in Balrampur, electropolished pipes wholesaler in Balrampur, electropolished tube manufacturer Balrampur, EP pipe supplier Balrampur, sanitary tube supplier Balrampur, ASME BPE tubing Balrampur, ASTM A270 tube Balrampur, SS 316L electropolished pipe Balrampur</v>
      </c>
      <c r="AI929" s="15" t="str">
        <f t="shared" si="19"/>
        <v>Electropolished Pipes Manufacturer &amp; Supplier in Balrampur</v>
      </c>
      <c r="AJ929" s="15" t="str">
        <f t="shared" si="20"/>
        <v>EP-finished SS 304/316L pipes and tubes for VERIFY plants in Balrampur. ASME BPE SF1-SF4, Ra from 0.25 um, EN 10204 3.1 certificate with every lot.</v>
      </c>
      <c r="AK929" s="15" t="str">
        <f t="shared" si="21"/>
        <v>Electropolished stainless steel pipes supplied by Sakshi Forge to VERIFY plants at UPSIDA Industrial Area, Balrampur</v>
      </c>
      <c r="AL929" s="15" t="str">
        <f t="shared" si="22"/>
        <v>Electropolished SS 316L tube stock for Balrampur - Sakshi Forge</v>
      </c>
      <c r="AM929" s="15" t="str">
        <f t="shared" si="23"/>
        <v>Home &gt; Market Area &gt; India &gt; Uttar Pradesh &gt; Balrampur</v>
      </c>
      <c r="AN929" s="15">
        <f t="shared" si="24"/>
        <v>750</v>
      </c>
      <c r="AO929" s="15">
        <f t="shared" si="25"/>
        <v>6</v>
      </c>
      <c r="AP929" s="15">
        <f t="shared" si="26"/>
        <v>6</v>
      </c>
      <c r="AQ929" s="15">
        <f t="shared" si="27"/>
        <v>16</v>
      </c>
      <c r="AR929" s="31"/>
      <c r="AS929" s="31"/>
      <c r="AT929" s="35" t="s">
        <v>222</v>
      </c>
      <c r="AU929" s="35"/>
    </row>
    <row r="930" ht="15.75" customHeight="1">
      <c r="A930" s="15" t="s">
        <v>4921</v>
      </c>
      <c r="B930" s="15" t="s">
        <v>60</v>
      </c>
      <c r="C930" s="15" t="s">
        <v>775</v>
      </c>
      <c r="D930" s="15" t="s">
        <v>4922</v>
      </c>
      <c r="E930" s="15" t="s">
        <v>4922</v>
      </c>
      <c r="F930" s="58" t="s">
        <v>807</v>
      </c>
      <c r="G930" s="66" t="s">
        <v>98</v>
      </c>
      <c r="H930" s="18" t="s">
        <v>4924</v>
      </c>
      <c r="I930" s="18" t="s">
        <v>8399</v>
      </c>
      <c r="J930" s="18" t="s">
        <v>98</v>
      </c>
      <c r="K930" s="18" t="s">
        <v>98</v>
      </c>
      <c r="L930" s="18" t="s">
        <v>98</v>
      </c>
      <c r="M930" s="18" t="s">
        <v>98</v>
      </c>
      <c r="N930" s="18" t="s">
        <v>98</v>
      </c>
      <c r="O930" s="18" t="s">
        <v>98</v>
      </c>
      <c r="P930" s="15" t="str">
        <f t="shared" si="1"/>
        <v>VERIFY</v>
      </c>
      <c r="Q930" s="15">
        <f t="shared" si="2"/>
        <v>7</v>
      </c>
      <c r="R930" s="15">
        <f t="shared" si="3"/>
        <v>3</v>
      </c>
      <c r="S930" s="15">
        <f t="shared" si="4"/>
        <v>2</v>
      </c>
      <c r="T930" s="15" t="str">
        <f t="shared" si="5"/>
        <v>C-3</v>
      </c>
      <c r="U930" s="15" t="str">
        <f t="shared" si="6"/>
        <v>T7-M3-H2-FC-3-VERIFY</v>
      </c>
      <c r="V930" s="15">
        <f t="shared" si="7"/>
        <v>1</v>
      </c>
      <c r="W930" s="31"/>
      <c r="X930" s="15" t="str">
        <f t="shared" si="8"/>
        <v>balrampur-cg</v>
      </c>
      <c r="Y930" s="32" t="str">
        <f t="shared" si="9"/>
        <v>https://steelmanufacturer.in/market-area/electropolished-pipes-manufacturer-in-balrampur-cg/</v>
      </c>
      <c r="Z930" s="15" t="str">
        <f t="shared" si="10"/>
        <v>Electropolished Pipes Manufacturer in Balrampur-CG</v>
      </c>
      <c r="AA930" s="15" t="str">
        <f t="shared" si="11"/>
        <v>OK (50)</v>
      </c>
      <c r="AB930" s="15" t="str">
        <f t="shared" si="12"/>
        <v>EP stainless tube for VERIFY lines in Balrampur-CG. VERIFY. ASTM A270 S2, PMI tested, EN 10204 3.1.</v>
      </c>
      <c r="AC930" s="15" t="str">
        <f t="shared" si="13"/>
        <v>PENDING RESEARCH</v>
      </c>
      <c r="AD930" s="15" t="str">
        <f t="shared" si="14"/>
        <v>Electropolished Pipes Manufacturer in Balrampur-CG</v>
      </c>
      <c r="AE930" s="15" t="str">
        <f t="shared" si="15"/>
        <v>How We Manufacture Electropolished Tube for Balrampur-CG Plants</v>
      </c>
      <c r="AF930" s="15" t="str">
        <f t="shared" si="16"/>
        <v>Supplying Electropolished Pipes in Balrampur-CG: Availability, Sizes &amp; Dispatch</v>
      </c>
      <c r="AG930" s="15" t="str">
        <f t="shared" si="17"/>
        <v>Wholesale Electropolished Pipe Supply for Balrampur-CG Projects</v>
      </c>
      <c r="AH930" s="15" t="str">
        <f t="shared" si="18"/>
        <v>electropolished pipes manufacturer in Balrampur-CG, electropolished pipes supplier in Balrampur-CG, electropolished pipes wholesaler in Balrampur-CG, electropolished tube manufacturer Balrampur-CG, EP pipe supplier Balrampur-CG, sanitary tube supplier Balrampur-CG, ASME BPE tubing Balrampur-CG, ASTM A270 tube Balrampur-CG, SS 316L electropolished pipe Balrampur-CG</v>
      </c>
      <c r="AI930" s="15" t="str">
        <f t="shared" si="19"/>
        <v>Electropolished Pipes Manufacturer &amp; Supplier in Balrampur-CG</v>
      </c>
      <c r="AJ930" s="15" t="str">
        <f t="shared" si="20"/>
        <v>EP-finished SS 304/316L pipes and tubes for VERIFY plants in Balrampur-CG. ASME BPE SF1-SF4, Ra from 0.25 um, EN 10204 3.1 certificate with every lot.</v>
      </c>
      <c r="AK930" s="15" t="str">
        <f t="shared" si="21"/>
        <v>Electropolished stainless steel pipes supplied by Sakshi Forge to VERIFY plants at CSIDC Industrial Area, Balrampur-CG</v>
      </c>
      <c r="AL930" s="15" t="str">
        <f t="shared" si="22"/>
        <v>Electropolished SS 316L tube stock for Balrampur-CG - Sakshi Forge</v>
      </c>
      <c r="AM930" s="15" t="str">
        <f t="shared" si="23"/>
        <v>Home &gt; Market Area &gt; India &gt; Chhattisgarh &gt; Balrampur-CG</v>
      </c>
      <c r="AN930" s="15">
        <f t="shared" si="24"/>
        <v>750</v>
      </c>
      <c r="AO930" s="15">
        <f t="shared" si="25"/>
        <v>6</v>
      </c>
      <c r="AP930" s="15">
        <f t="shared" si="26"/>
        <v>6</v>
      </c>
      <c r="AQ930" s="15">
        <f t="shared" si="27"/>
        <v>16</v>
      </c>
      <c r="AR930" s="31"/>
      <c r="AS930" s="31"/>
      <c r="AT930" s="35" t="s">
        <v>222</v>
      </c>
      <c r="AU930" s="35"/>
    </row>
    <row r="931" ht="15.75" customHeight="1">
      <c r="A931" s="15" t="s">
        <v>4925</v>
      </c>
      <c r="B931" s="15" t="s">
        <v>60</v>
      </c>
      <c r="C931" s="15" t="s">
        <v>354</v>
      </c>
      <c r="D931" s="15" t="s">
        <v>4926</v>
      </c>
      <c r="E931" s="15" t="s">
        <v>4926</v>
      </c>
      <c r="F931" s="58" t="s">
        <v>807</v>
      </c>
      <c r="G931" s="66" t="s">
        <v>98</v>
      </c>
      <c r="H931" s="18" t="s">
        <v>4928</v>
      </c>
      <c r="I931" s="18" t="s">
        <v>8408</v>
      </c>
      <c r="J931" s="18" t="s">
        <v>98</v>
      </c>
      <c r="K931" s="18" t="s">
        <v>98</v>
      </c>
      <c r="L931" s="18" t="s">
        <v>98</v>
      </c>
      <c r="M931" s="18" t="s">
        <v>98</v>
      </c>
      <c r="N931" s="18" t="s">
        <v>98</v>
      </c>
      <c r="O931" s="18" t="s">
        <v>98</v>
      </c>
      <c r="P931" s="15" t="str">
        <f t="shared" si="1"/>
        <v>VERIFY</v>
      </c>
      <c r="Q931" s="15">
        <f t="shared" si="2"/>
        <v>8</v>
      </c>
      <c r="R931" s="15">
        <f t="shared" si="3"/>
        <v>4</v>
      </c>
      <c r="S931" s="15">
        <f t="shared" si="4"/>
        <v>3</v>
      </c>
      <c r="T931" s="15" t="str">
        <f t="shared" si="5"/>
        <v>C-4</v>
      </c>
      <c r="U931" s="15" t="str">
        <f t="shared" si="6"/>
        <v>T8-M4-H3-FC-4-VERIFY</v>
      </c>
      <c r="V931" s="15">
        <f t="shared" si="7"/>
        <v>1</v>
      </c>
      <c r="W931" s="31"/>
      <c r="X931" s="15" t="str">
        <f t="shared" si="8"/>
        <v>banga</v>
      </c>
      <c r="Y931" s="32" t="str">
        <f t="shared" si="9"/>
        <v>https://steelmanufacturer.in/market-area/electropolished-pipes-manufacturer-in-banga/</v>
      </c>
      <c r="Z931" s="15" t="str">
        <f t="shared" si="10"/>
        <v>Electropolished Pipes Manufacturer in Banga - EP Tube Stockist</v>
      </c>
      <c r="AA931" s="15" t="str">
        <f t="shared" si="11"/>
        <v>OK (62)</v>
      </c>
      <c r="AB931" s="15" t="str">
        <f t="shared" si="12"/>
        <v>Sanitary electropolished pipes in Banga for VERIFY plants. ASME BPE SF1-SF4, orbital-weld ready, 3.1 MTC. Mumbai-made.</v>
      </c>
      <c r="AC931" s="15" t="str">
        <f t="shared" si="13"/>
        <v>PENDING RESEARCH</v>
      </c>
      <c r="AD931" s="15" t="str">
        <f t="shared" si="14"/>
        <v>Electropolished Pipes Manufacturer in Banga</v>
      </c>
      <c r="AE931" s="15" t="str">
        <f t="shared" si="15"/>
        <v>Electropolished Pipes Manufacturer in Banga - Our Process &amp; Capability</v>
      </c>
      <c r="AF931" s="15" t="str">
        <f t="shared" si="16"/>
        <v>Electropolished Pipes Supplier in Banga - What We Hold in Stock</v>
      </c>
      <c r="AG931" s="15" t="str">
        <f t="shared" si="17"/>
        <v>Bulk &amp; Wholesale Electropolished Pipe Rates for Banga Buyers</v>
      </c>
      <c r="AH931" s="15" t="str">
        <f t="shared" si="18"/>
        <v>electropolished pipes manufacturer in Banga, electropolished pipes supplier in Banga, electropolished pipes wholesaler in Banga, electropolished tube manufacturer Banga, EP pipe supplier Banga, sanitary tube supplier Banga, ASME BPE tubing Banga, ASTM A270 tube Banga, SS 316L electropolished pipe Banga</v>
      </c>
      <c r="AI931" s="15" t="str">
        <f t="shared" si="19"/>
        <v>Electropolished Pipes Manufacturer &amp; Supplier in Banga</v>
      </c>
      <c r="AJ931" s="15" t="str">
        <f t="shared" si="20"/>
        <v>EP-finished SS 304/316L pipes and tubes for VERIFY plants in Banga. ASME BPE SF1-SF4, Ra from 0.25 um, EN 10204 3.1 certificate with every lot.</v>
      </c>
      <c r="AK931" s="15" t="str">
        <f t="shared" si="21"/>
        <v>Electropolished stainless steel pipes supplied by Sakshi Forge to VERIFY plants at PSIEC Industrial Area, Banga</v>
      </c>
      <c r="AL931" s="15" t="str">
        <f t="shared" si="22"/>
        <v>Electropolished SS 316L tube stock for Banga - Sakshi Forge</v>
      </c>
      <c r="AM931" s="15" t="str">
        <f t="shared" si="23"/>
        <v>Home &gt; Market Area &gt; India &gt; Punjab &gt; Banga</v>
      </c>
      <c r="AN931" s="15">
        <f t="shared" si="24"/>
        <v>750</v>
      </c>
      <c r="AO931" s="15">
        <f t="shared" si="25"/>
        <v>6</v>
      </c>
      <c r="AP931" s="15">
        <f t="shared" si="26"/>
        <v>6</v>
      </c>
      <c r="AQ931" s="15">
        <f t="shared" si="27"/>
        <v>16</v>
      </c>
      <c r="AR931" s="31"/>
      <c r="AS931" s="31"/>
      <c r="AT931" s="35" t="s">
        <v>222</v>
      </c>
      <c r="AU931" s="35"/>
    </row>
    <row r="932" ht="15.75" customHeight="1">
      <c r="A932" s="15" t="s">
        <v>4929</v>
      </c>
      <c r="B932" s="15" t="s">
        <v>60</v>
      </c>
      <c r="C932" s="15" t="s">
        <v>424</v>
      </c>
      <c r="D932" s="15" t="s">
        <v>4930</v>
      </c>
      <c r="E932" s="15" t="s">
        <v>4930</v>
      </c>
      <c r="F932" s="58" t="s">
        <v>807</v>
      </c>
      <c r="G932" s="66" t="s">
        <v>98</v>
      </c>
      <c r="H932" s="18" t="s">
        <v>4932</v>
      </c>
      <c r="I932" s="18" t="s">
        <v>8406</v>
      </c>
      <c r="J932" s="18" t="s">
        <v>98</v>
      </c>
      <c r="K932" s="18" t="s">
        <v>98</v>
      </c>
      <c r="L932" s="18" t="s">
        <v>98</v>
      </c>
      <c r="M932" s="18" t="s">
        <v>98</v>
      </c>
      <c r="N932" s="18" t="s">
        <v>98</v>
      </c>
      <c r="O932" s="18" t="s">
        <v>98</v>
      </c>
      <c r="P932" s="15" t="str">
        <f t="shared" si="1"/>
        <v>VERIFY</v>
      </c>
      <c r="Q932" s="15">
        <f t="shared" si="2"/>
        <v>1</v>
      </c>
      <c r="R932" s="15">
        <f t="shared" si="3"/>
        <v>5</v>
      </c>
      <c r="S932" s="15">
        <f t="shared" si="4"/>
        <v>4</v>
      </c>
      <c r="T932" s="15" t="str">
        <f t="shared" si="5"/>
        <v>C-5</v>
      </c>
      <c r="U932" s="15" t="str">
        <f t="shared" si="6"/>
        <v>T1-M5-H4-FC-5-VERIFY</v>
      </c>
      <c r="V932" s="15">
        <f t="shared" si="7"/>
        <v>1</v>
      </c>
      <c r="W932" s="31"/>
      <c r="X932" s="15" t="str">
        <f t="shared" si="8"/>
        <v>banki</v>
      </c>
      <c r="Y932" s="32" t="str">
        <f t="shared" si="9"/>
        <v>https://steelmanufacturer.in/market-area/electropolished-pipes-manufacturer-in-banki/</v>
      </c>
      <c r="Z932" s="15" t="str">
        <f t="shared" si="10"/>
        <v>Electropolished Pipes Manufacturer in Banki | Sakshi Forge</v>
      </c>
      <c r="AA932" s="15" t="str">
        <f t="shared" si="11"/>
        <v>OK (58)</v>
      </c>
      <c r="AB932" s="15" t="str">
        <f t="shared" si="12"/>
        <v>Manufacturer of electropolished SS 316L tube serving Banki. VERIFY. Ra 0.25-0.5 um, EN 10204 3.1 MTC.</v>
      </c>
      <c r="AC932" s="15" t="str">
        <f t="shared" si="13"/>
        <v>PENDING RESEARCH</v>
      </c>
      <c r="AD932" s="15" t="str">
        <f t="shared" si="14"/>
        <v>Electropolished Pipes Manufacturer in Banki</v>
      </c>
      <c r="AE932" s="15" t="str">
        <f t="shared" si="15"/>
        <v>Manufacturing Electropolished SS Tube for Banki: The Standards We Build To</v>
      </c>
      <c r="AF932" s="15" t="str">
        <f t="shared" si="16"/>
        <v>Electropolished Pipe Supply Into Banki - Certification &amp; Transit</v>
      </c>
      <c r="AG932" s="15" t="str">
        <f t="shared" si="17"/>
        <v>Electropolished Pipes Wholesaler in Banki - Project Quantities &amp; Terms</v>
      </c>
      <c r="AH932" s="15" t="str">
        <f t="shared" si="18"/>
        <v>electropolished pipes manufacturer in Banki, electropolished pipes supplier in Banki, electropolished pipes wholesaler in Banki, electropolished tube manufacturer Banki, EP pipe supplier Banki, sanitary tube supplier Banki, ASME BPE tubing Banki, ASTM A270 tube Banki, SS 316L electropolished pipe Banki</v>
      </c>
      <c r="AI932" s="15" t="str">
        <f t="shared" si="19"/>
        <v>Electropolished Pipes Manufacturer &amp; Supplier in Banki</v>
      </c>
      <c r="AJ932" s="15" t="str">
        <f t="shared" si="20"/>
        <v>EP-finished SS 304/316L pipes and tubes for VERIFY plants in Banki. ASME BPE SF1-SF4, Ra from 0.25 um, EN 10204 3.1 certificate with every lot.</v>
      </c>
      <c r="AK932" s="15" t="str">
        <f t="shared" si="21"/>
        <v>Electropolished stainless steel pipes supplied by Sakshi Forge to VERIFY plants at IDCO Industrial Area, Banki</v>
      </c>
      <c r="AL932" s="15" t="str">
        <f t="shared" si="22"/>
        <v>Electropolished SS 316L tube stock for Banki - Sakshi Forge</v>
      </c>
      <c r="AM932" s="15" t="str">
        <f t="shared" si="23"/>
        <v>Home &gt; Market Area &gt; India &gt; Odisha &gt; Banki</v>
      </c>
      <c r="AN932" s="15">
        <f t="shared" si="24"/>
        <v>750</v>
      </c>
      <c r="AO932" s="15">
        <f t="shared" si="25"/>
        <v>6</v>
      </c>
      <c r="AP932" s="15">
        <f t="shared" si="26"/>
        <v>6</v>
      </c>
      <c r="AQ932" s="15">
        <f t="shared" si="27"/>
        <v>16</v>
      </c>
      <c r="AR932" s="31"/>
      <c r="AS932" s="31"/>
      <c r="AT932" s="35" t="s">
        <v>222</v>
      </c>
      <c r="AU932" s="35"/>
    </row>
    <row r="933" ht="15.75" customHeight="1">
      <c r="A933" s="15" t="s">
        <v>4933</v>
      </c>
      <c r="B933" s="15" t="s">
        <v>60</v>
      </c>
      <c r="C933" s="15" t="s">
        <v>1312</v>
      </c>
      <c r="D933" s="15" t="s">
        <v>4934</v>
      </c>
      <c r="E933" s="15" t="s">
        <v>4934</v>
      </c>
      <c r="F933" s="58" t="s">
        <v>807</v>
      </c>
      <c r="G933" s="66" t="s">
        <v>98</v>
      </c>
      <c r="H933" s="18" t="s">
        <v>4936</v>
      </c>
      <c r="I933" s="18" t="s">
        <v>8392</v>
      </c>
      <c r="J933" s="18" t="s">
        <v>98</v>
      </c>
      <c r="K933" s="18" t="s">
        <v>98</v>
      </c>
      <c r="L933" s="18" t="s">
        <v>98</v>
      </c>
      <c r="M933" s="18" t="s">
        <v>98</v>
      </c>
      <c r="N933" s="18" t="s">
        <v>98</v>
      </c>
      <c r="O933" s="18" t="s">
        <v>98</v>
      </c>
      <c r="P933" s="15" t="str">
        <f t="shared" si="1"/>
        <v>VERIFY</v>
      </c>
      <c r="Q933" s="15">
        <f t="shared" si="2"/>
        <v>2</v>
      </c>
      <c r="R933" s="15">
        <f t="shared" si="3"/>
        <v>6</v>
      </c>
      <c r="S933" s="15">
        <f t="shared" si="4"/>
        <v>5</v>
      </c>
      <c r="T933" s="15" t="str">
        <f t="shared" si="5"/>
        <v>C-6</v>
      </c>
      <c r="U933" s="15" t="str">
        <f t="shared" si="6"/>
        <v>T2-M6-H5-FC-6-VERIFY</v>
      </c>
      <c r="V933" s="15">
        <f t="shared" si="7"/>
        <v>1</v>
      </c>
      <c r="W933" s="31"/>
      <c r="X933" s="15" t="str">
        <f t="shared" si="8"/>
        <v>banswada</v>
      </c>
      <c r="Y933" s="32" t="str">
        <f t="shared" si="9"/>
        <v>https://steelmanufacturer.in/market-area/electropolished-pipes-manufacturer-in-banswada/</v>
      </c>
      <c r="Z933" s="15" t="str">
        <f t="shared" si="10"/>
        <v>Electropolished Pipes Manufacturer in Banswada</v>
      </c>
      <c r="AA933" s="15" t="str">
        <f t="shared" si="11"/>
        <v>OK (46)</v>
      </c>
      <c r="AB933" s="15" t="str">
        <f t="shared" si="12"/>
        <v>EP tube and pipe for VERIFY plants around TSIIC Industrial Area, Banswada. Made at our Mumbai works to ASTM A270 and ASME BPE SF1-SF4, with 3.1 MTC.</v>
      </c>
      <c r="AC933" s="15" t="str">
        <f t="shared" si="13"/>
        <v>PENDING RESEARCH</v>
      </c>
      <c r="AD933" s="15" t="str">
        <f t="shared" si="14"/>
        <v>Electropolished Pipes Manufacturer in Banswada</v>
      </c>
      <c r="AE933" s="15" t="str">
        <f t="shared" si="15"/>
        <v>Electropolished Tube Manufacturing Capability Serving Banswada</v>
      </c>
      <c r="AF933" s="15" t="str">
        <f t="shared" si="16"/>
        <v>Electropolished Pipes Supplier in Banswada - From Order to Delivery</v>
      </c>
      <c r="AG933" s="15" t="str">
        <f t="shared" si="17"/>
        <v>Stockist &amp; Wholesale Supply of Electropolished Pipes in Banswada</v>
      </c>
      <c r="AH933" s="15" t="str">
        <f t="shared" si="18"/>
        <v>electropolished pipes manufacturer in Banswada, electropolished pipes supplier in Banswada, electropolished pipes wholesaler in Banswada, electropolished tube manufacturer Banswada, EP pipe supplier Banswada, sanitary tube supplier Banswada, ASME BPE tubing Banswada, ASTM A270 tube Banswada, SS 316L electropolished pipe Banswada</v>
      </c>
      <c r="AI933" s="15" t="str">
        <f t="shared" si="19"/>
        <v>Electropolished Pipes Manufacturer &amp; Supplier in Banswada</v>
      </c>
      <c r="AJ933" s="15" t="str">
        <f t="shared" si="20"/>
        <v>EP-finished SS 304/316L pipes and tubes for VERIFY plants in Banswada. ASME BPE SF1-SF4, Ra from 0.25 um, EN 10204 3.1 certificate with every lot.</v>
      </c>
      <c r="AK933" s="15" t="str">
        <f t="shared" si="21"/>
        <v>Electropolished stainless steel pipes supplied by Sakshi Forge to VERIFY plants at TSIIC Industrial Area, Banswada</v>
      </c>
      <c r="AL933" s="15" t="str">
        <f t="shared" si="22"/>
        <v>Electropolished SS 316L tube stock for Banswada - Sakshi Forge</v>
      </c>
      <c r="AM933" s="15" t="str">
        <f t="shared" si="23"/>
        <v>Home &gt; Market Area &gt; India &gt; Telangana &gt; Banswada</v>
      </c>
      <c r="AN933" s="15">
        <f t="shared" si="24"/>
        <v>750</v>
      </c>
      <c r="AO933" s="15">
        <f t="shared" si="25"/>
        <v>6</v>
      </c>
      <c r="AP933" s="15">
        <f t="shared" si="26"/>
        <v>6</v>
      </c>
      <c r="AQ933" s="15">
        <f t="shared" si="27"/>
        <v>16</v>
      </c>
      <c r="AR933" s="31"/>
      <c r="AS933" s="31"/>
      <c r="AT933" s="35" t="s">
        <v>222</v>
      </c>
      <c r="AU933" s="35"/>
    </row>
    <row r="934" ht="15.75" customHeight="1">
      <c r="A934" s="15" t="s">
        <v>4937</v>
      </c>
      <c r="B934" s="15" t="s">
        <v>60</v>
      </c>
      <c r="C934" s="15" t="s">
        <v>85</v>
      </c>
      <c r="D934" s="15" t="s">
        <v>4938</v>
      </c>
      <c r="E934" s="15" t="s">
        <v>4938</v>
      </c>
      <c r="F934" s="58" t="s">
        <v>807</v>
      </c>
      <c r="G934" s="66" t="s">
        <v>98</v>
      </c>
      <c r="H934" s="18" t="s">
        <v>4940</v>
      </c>
      <c r="I934" s="18" t="s">
        <v>8398</v>
      </c>
      <c r="J934" s="18" t="s">
        <v>98</v>
      </c>
      <c r="K934" s="18" t="s">
        <v>98</v>
      </c>
      <c r="L934" s="18" t="s">
        <v>98</v>
      </c>
      <c r="M934" s="18" t="s">
        <v>98</v>
      </c>
      <c r="N934" s="18" t="s">
        <v>98</v>
      </c>
      <c r="O934" s="18" t="s">
        <v>98</v>
      </c>
      <c r="P934" s="15" t="str">
        <f t="shared" si="1"/>
        <v>VERIFY</v>
      </c>
      <c r="Q934" s="15">
        <f t="shared" si="2"/>
        <v>3</v>
      </c>
      <c r="R934" s="15">
        <f t="shared" si="3"/>
        <v>7</v>
      </c>
      <c r="S934" s="15">
        <f t="shared" si="4"/>
        <v>1</v>
      </c>
      <c r="T934" s="15" t="str">
        <f t="shared" si="5"/>
        <v>C-1</v>
      </c>
      <c r="U934" s="15" t="str">
        <f t="shared" si="6"/>
        <v>T3-M7-H1-FC-1-VERIFY</v>
      </c>
      <c r="V934" s="15">
        <f t="shared" si="7"/>
        <v>1</v>
      </c>
      <c r="W934" s="31"/>
      <c r="X934" s="15" t="str">
        <f t="shared" si="8"/>
        <v>barabanki</v>
      </c>
      <c r="Y934" s="32" t="str">
        <f t="shared" si="9"/>
        <v>https://steelmanufacturer.in/market-area/electropolished-pipes-manufacturer-in-barabanki/</v>
      </c>
      <c r="Z934" s="15" t="str">
        <f t="shared" si="10"/>
        <v>Electropolished Pipes Manufacturer in Barabanki</v>
      </c>
      <c r="AA934" s="15" t="str">
        <f t="shared" si="11"/>
        <v>OK (47)</v>
      </c>
      <c r="AB934" s="15" t="str">
        <f t="shared" si="12"/>
        <v>Electropolished pipes in Barabanki: 304, 304L, 316 and 316L in SF1-SF4. VERIFY. Mill certified.</v>
      </c>
      <c r="AC934" s="15" t="str">
        <f t="shared" si="13"/>
        <v>PENDING RESEARCH</v>
      </c>
      <c r="AD934" s="15" t="str">
        <f t="shared" si="14"/>
        <v>Electropolished Pipes Manufacturer in Barabanki</v>
      </c>
      <c r="AE934" s="15" t="str">
        <f t="shared" si="15"/>
        <v>Electropolished Pipe &amp; Tube Manufacturing for Barabanki - Grades, Finishes &amp; Certification</v>
      </c>
      <c r="AF934" s="15" t="str">
        <f t="shared" si="16"/>
        <v>Electropolished Pipes Supplier in Barabanki - Stock Sizes, Lead Time &amp; Delivery</v>
      </c>
      <c r="AG934" s="15" t="str">
        <f t="shared" si="17"/>
        <v>Electropolished Pipes Wholesaler &amp; Stockist in Barabanki - Bulk &amp; Project Pricing</v>
      </c>
      <c r="AH934" s="15" t="str">
        <f t="shared" si="18"/>
        <v>electropolished pipes manufacturer in Barabanki, electropolished pipes supplier in Barabanki, electropolished pipes wholesaler in Barabanki, electropolished tube manufacturer Barabanki, EP pipe supplier Barabanki, sanitary tube supplier Barabanki, ASME BPE tubing Barabanki, ASTM A270 tube Barabanki, SS 316L electropolished pipe Barabanki</v>
      </c>
      <c r="AI934" s="15" t="str">
        <f t="shared" si="19"/>
        <v>Electropolished Pipes Manufacturer &amp; Supplier in Barabanki</v>
      </c>
      <c r="AJ934" s="15" t="str">
        <f t="shared" si="20"/>
        <v>EP-finished SS 304/316L pipes and tubes for VERIFY plants in Barabanki. ASME BPE SF1-SF4, Ra from 0.25 um, EN 10204 3.1 certificate with every lot.</v>
      </c>
      <c r="AK934" s="15" t="str">
        <f t="shared" si="21"/>
        <v>Electropolished stainless steel pipes supplied by Sakshi Forge to VERIFY plants at UPSIDA Industrial Area, Barabanki</v>
      </c>
      <c r="AL934" s="15" t="str">
        <f t="shared" si="22"/>
        <v>Electropolished SS 316L tube stock for Barabanki - Sakshi Forge</v>
      </c>
      <c r="AM934" s="15" t="str">
        <f t="shared" si="23"/>
        <v>Home &gt; Market Area &gt; India &gt; Uttar Pradesh &gt; Barabanki</v>
      </c>
      <c r="AN934" s="15">
        <f t="shared" si="24"/>
        <v>750</v>
      </c>
      <c r="AO934" s="15">
        <f t="shared" si="25"/>
        <v>6</v>
      </c>
      <c r="AP934" s="15">
        <f t="shared" si="26"/>
        <v>6</v>
      </c>
      <c r="AQ934" s="15">
        <f t="shared" si="27"/>
        <v>16</v>
      </c>
      <c r="AR934" s="31"/>
      <c r="AS934" s="31"/>
      <c r="AT934" s="35" t="s">
        <v>222</v>
      </c>
      <c r="AU934" s="35"/>
    </row>
    <row r="935" ht="15.75" customHeight="1">
      <c r="A935" s="15" t="s">
        <v>4941</v>
      </c>
      <c r="B935" s="15" t="s">
        <v>60</v>
      </c>
      <c r="C935" s="15" t="s">
        <v>224</v>
      </c>
      <c r="D935" s="15" t="s">
        <v>4942</v>
      </c>
      <c r="E935" s="15" t="s">
        <v>4942</v>
      </c>
      <c r="F935" s="58" t="s">
        <v>807</v>
      </c>
      <c r="G935" s="66" t="s">
        <v>98</v>
      </c>
      <c r="H935" s="18" t="s">
        <v>2091</v>
      </c>
      <c r="I935" s="18" t="s">
        <v>8400</v>
      </c>
      <c r="J935" s="18" t="s">
        <v>98</v>
      </c>
      <c r="K935" s="18" t="s">
        <v>98</v>
      </c>
      <c r="L935" s="18" t="s">
        <v>98</v>
      </c>
      <c r="M935" s="18" t="s">
        <v>98</v>
      </c>
      <c r="N935" s="18" t="s">
        <v>98</v>
      </c>
      <c r="O935" s="18" t="s">
        <v>98</v>
      </c>
      <c r="P935" s="15" t="str">
        <f t="shared" si="1"/>
        <v>VERIFY</v>
      </c>
      <c r="Q935" s="15">
        <f t="shared" si="2"/>
        <v>4</v>
      </c>
      <c r="R935" s="15">
        <f t="shared" si="3"/>
        <v>1</v>
      </c>
      <c r="S935" s="15">
        <f t="shared" si="4"/>
        <v>2</v>
      </c>
      <c r="T935" s="15" t="str">
        <f t="shared" si="5"/>
        <v>C-2</v>
      </c>
      <c r="U935" s="15" t="str">
        <f t="shared" si="6"/>
        <v>T4-M1-H2-FC-2-VERIFY</v>
      </c>
      <c r="V935" s="15">
        <f t="shared" si="7"/>
        <v>1</v>
      </c>
      <c r="W935" s="31"/>
      <c r="X935" s="15" t="str">
        <f t="shared" si="8"/>
        <v>bardoli-mahuva</v>
      </c>
      <c r="Y935" s="32" t="str">
        <f t="shared" si="9"/>
        <v>https://steelmanufacturer.in/market-area/electropolished-pipes-manufacturer-in-bardoli-mahuva/</v>
      </c>
      <c r="Z935" s="15" t="str">
        <f t="shared" si="10"/>
        <v>Electropolished Pipes Manufacturer in Bardoli-Mahuva</v>
      </c>
      <c r="AA935" s="15" t="str">
        <f t="shared" si="11"/>
        <v>OK (52)</v>
      </c>
      <c r="AB935" s="15" t="str">
        <f t="shared" si="12"/>
        <v>EP-finished SS 304/316L pipes &amp; tubes for VERIFY plants in Bardoli-Mahuva. ASTM A270, ASME BPE SF1-SF4, EN 10204 3.1 MTC. PMI tested.</v>
      </c>
      <c r="AC935" s="15" t="str">
        <f t="shared" si="13"/>
        <v>PENDING RESEARCH</v>
      </c>
      <c r="AD935" s="15" t="str">
        <f t="shared" si="14"/>
        <v>Electropolished Pipes Manufacturer in Bardoli-Mahuva</v>
      </c>
      <c r="AE935" s="15" t="str">
        <f t="shared" si="15"/>
        <v>How We Manufacture Electropolished Tube for Bardoli-Mahuva Plants</v>
      </c>
      <c r="AF935" s="15" t="str">
        <f t="shared" si="16"/>
        <v>Supplying Electropolished Pipes in Bardoli-Mahuva: Availability, Sizes &amp; Dispatch</v>
      </c>
      <c r="AG935" s="15" t="str">
        <f t="shared" si="17"/>
        <v>Wholesale Electropolished Pipe Supply for Bardoli-Mahuva Projects</v>
      </c>
      <c r="AH935" s="15" t="str">
        <f t="shared" si="18"/>
        <v>electropolished pipes manufacturer in Bardoli-Mahuva, electropolished pipes supplier in Bardoli-Mahuva, electropolished pipes wholesaler in Bardoli-Mahuva, electropolished tube manufacturer Bardoli-Mahuva, EP pipe supplier Bardoli-Mahuva, sanitary tube supplier Bardoli-Mahuva, ASME BPE tubing Bardoli-Mahuva, ASTM A270 tube Bardoli-Mahuva, SS 316L electropolished pipe Bardoli-Mahuva</v>
      </c>
      <c r="AI935" s="15" t="str">
        <f t="shared" si="19"/>
        <v>Electropolished Pipes Manufacturer &amp; Supplier in Bardoli-Mahuva</v>
      </c>
      <c r="AJ935" s="15" t="str">
        <f t="shared" si="20"/>
        <v>EP-finished SS 304/316L pipes and tubes for VERIFY plants in Bardoli-Mahuva. ASME BPE SF1-SF4, Ra from 0.25 um, EN 10204 3.1 certificate with every lot.</v>
      </c>
      <c r="AK935" s="15" t="str">
        <f t="shared" si="21"/>
        <v>Electropolished stainless steel pipes supplied by Sakshi Forge to VERIFY plants at GIDC Industrial Area, Bardoli-Mahuva</v>
      </c>
      <c r="AL935" s="15" t="str">
        <f t="shared" si="22"/>
        <v>Electropolished SS 316L tube stock for Bardoli-Mahuva - Sakshi Forge</v>
      </c>
      <c r="AM935" s="15" t="str">
        <f t="shared" si="23"/>
        <v>Home &gt; Market Area &gt; India &gt; Gujarat &gt; Bardoli-Mahuva</v>
      </c>
      <c r="AN935" s="15">
        <f t="shared" si="24"/>
        <v>750</v>
      </c>
      <c r="AO935" s="15">
        <f t="shared" si="25"/>
        <v>6</v>
      </c>
      <c r="AP935" s="15">
        <f t="shared" si="26"/>
        <v>6</v>
      </c>
      <c r="AQ935" s="15">
        <f t="shared" si="27"/>
        <v>16</v>
      </c>
      <c r="AR935" s="31"/>
      <c r="AS935" s="31"/>
      <c r="AT935" s="35" t="s">
        <v>222</v>
      </c>
      <c r="AU935" s="35"/>
    </row>
    <row r="936" ht="15.75" customHeight="1">
      <c r="A936" s="15" t="s">
        <v>4944</v>
      </c>
      <c r="B936" s="15" t="s">
        <v>60</v>
      </c>
      <c r="C936" s="15" t="s">
        <v>1818</v>
      </c>
      <c r="D936" s="15" t="s">
        <v>4945</v>
      </c>
      <c r="E936" s="15" t="s">
        <v>4945</v>
      </c>
      <c r="F936" s="58" t="s">
        <v>807</v>
      </c>
      <c r="G936" s="66" t="s">
        <v>98</v>
      </c>
      <c r="H936" s="18" t="s">
        <v>4948</v>
      </c>
      <c r="I936" s="18" t="s">
        <v>8402</v>
      </c>
      <c r="J936" s="18" t="s">
        <v>98</v>
      </c>
      <c r="K936" s="18" t="s">
        <v>98</v>
      </c>
      <c r="L936" s="18" t="s">
        <v>98</v>
      </c>
      <c r="M936" s="18" t="s">
        <v>98</v>
      </c>
      <c r="N936" s="18" t="s">
        <v>98</v>
      </c>
      <c r="O936" s="18" t="s">
        <v>98</v>
      </c>
      <c r="P936" s="15" t="str">
        <f t="shared" si="1"/>
        <v>VERIFY</v>
      </c>
      <c r="Q936" s="15">
        <f t="shared" si="2"/>
        <v>5</v>
      </c>
      <c r="R936" s="15">
        <f t="shared" si="3"/>
        <v>2</v>
      </c>
      <c r="S936" s="15">
        <f t="shared" si="4"/>
        <v>3</v>
      </c>
      <c r="T936" s="15" t="str">
        <f t="shared" si="5"/>
        <v>C-3</v>
      </c>
      <c r="U936" s="15" t="str">
        <f t="shared" si="6"/>
        <v>T5-M2-H3-FC-3-VERIFY</v>
      </c>
      <c r="V936" s="15">
        <f t="shared" si="7"/>
        <v>1</v>
      </c>
      <c r="W936" s="31"/>
      <c r="X936" s="15" t="str">
        <f t="shared" si="8"/>
        <v>barh</v>
      </c>
      <c r="Y936" s="32" t="str">
        <f t="shared" si="9"/>
        <v>https://steelmanufacturer.in/market-area/electropolished-pipes-manufacturer-in-barh/</v>
      </c>
      <c r="Z936" s="15" t="str">
        <f t="shared" si="10"/>
        <v>Electropolished Pipes Manufacturer in Barh | Sanitary Tube Supply</v>
      </c>
      <c r="AA936" s="15" t="str">
        <f t="shared" si="11"/>
        <v>OK (65)</v>
      </c>
      <c r="AB936" s="15" t="str">
        <f t="shared" si="12"/>
        <v>Electropolished tube supply to BIADA Industrial Area, Barh. Ra from 0.25 um, SF4 finish, mill test certificate with every lot.</v>
      </c>
      <c r="AC936" s="15" t="str">
        <f t="shared" si="13"/>
        <v>PENDING RESEARCH</v>
      </c>
      <c r="AD936" s="15" t="str">
        <f t="shared" si="14"/>
        <v>Electropolished Pipes Manufacturer in Barh</v>
      </c>
      <c r="AE936" s="15" t="str">
        <f t="shared" si="15"/>
        <v>Electropolished Pipes Manufacturer in Barh - Our Process &amp; Capability</v>
      </c>
      <c r="AF936" s="15" t="str">
        <f t="shared" si="16"/>
        <v>Electropolished Pipes Supplier in Barh - What We Hold in Stock</v>
      </c>
      <c r="AG936" s="15" t="str">
        <f t="shared" si="17"/>
        <v>Bulk &amp; Wholesale Electropolished Pipe Rates for Barh Buyers</v>
      </c>
      <c r="AH936" s="15" t="str">
        <f t="shared" si="18"/>
        <v>electropolished pipes manufacturer in Barh, electropolished pipes supplier in Barh, electropolished pipes wholesaler in Barh, electropolished tube manufacturer Barh, EP pipe supplier Barh, sanitary tube supplier Barh, ASME BPE tubing Barh, ASTM A270 tube Barh, SS 316L electropolished pipe Barh</v>
      </c>
      <c r="AI936" s="15" t="str">
        <f t="shared" si="19"/>
        <v>Electropolished Pipes Manufacturer &amp; Supplier in Barh</v>
      </c>
      <c r="AJ936" s="15" t="str">
        <f t="shared" si="20"/>
        <v>EP-finished SS 304/316L pipes and tubes for VERIFY plants in Barh. ASME BPE SF1-SF4, Ra from 0.25 um, EN 10204 3.1 certificate with every lot.</v>
      </c>
      <c r="AK936" s="15" t="str">
        <f t="shared" si="21"/>
        <v>Electropolished stainless steel pipes supplied by Sakshi Forge to VERIFY plants at BIADA Industrial Area, Barh</v>
      </c>
      <c r="AL936" s="15" t="str">
        <f t="shared" si="22"/>
        <v>Electropolished SS 316L tube stock for Barh - Sakshi Forge</v>
      </c>
      <c r="AM936" s="15" t="str">
        <f t="shared" si="23"/>
        <v>Home &gt; Market Area &gt; India &gt; Bihar &gt; Barh</v>
      </c>
      <c r="AN936" s="15">
        <f t="shared" si="24"/>
        <v>750</v>
      </c>
      <c r="AO936" s="15">
        <f t="shared" si="25"/>
        <v>6</v>
      </c>
      <c r="AP936" s="15">
        <f t="shared" si="26"/>
        <v>6</v>
      </c>
      <c r="AQ936" s="15">
        <f t="shared" si="27"/>
        <v>16</v>
      </c>
      <c r="AR936" s="31"/>
      <c r="AS936" s="31"/>
      <c r="AT936" s="35" t="s">
        <v>222</v>
      </c>
      <c r="AU936" s="35"/>
    </row>
    <row r="937" ht="15.75" customHeight="1">
      <c r="A937" s="15" t="s">
        <v>4951</v>
      </c>
      <c r="B937" s="15" t="s">
        <v>60</v>
      </c>
      <c r="C937" s="15" t="s">
        <v>1155</v>
      </c>
      <c r="D937" s="15" t="s">
        <v>4954</v>
      </c>
      <c r="E937" s="15" t="s">
        <v>4954</v>
      </c>
      <c r="F937" s="58" t="s">
        <v>807</v>
      </c>
      <c r="G937" s="66" t="s">
        <v>98</v>
      </c>
      <c r="H937" s="18" t="s">
        <v>4957</v>
      </c>
      <c r="I937" s="18" t="s">
        <v>8412</v>
      </c>
      <c r="J937" s="18" t="s">
        <v>98</v>
      </c>
      <c r="K937" s="18" t="s">
        <v>98</v>
      </c>
      <c r="L937" s="18" t="s">
        <v>98</v>
      </c>
      <c r="M937" s="18" t="s">
        <v>98</v>
      </c>
      <c r="N937" s="18" t="s">
        <v>98</v>
      </c>
      <c r="O937" s="18" t="s">
        <v>98</v>
      </c>
      <c r="P937" s="15" t="str">
        <f t="shared" si="1"/>
        <v>VERIFY</v>
      </c>
      <c r="Q937" s="15">
        <f t="shared" si="2"/>
        <v>6</v>
      </c>
      <c r="R937" s="15">
        <f t="shared" si="3"/>
        <v>3</v>
      </c>
      <c r="S937" s="15">
        <f t="shared" si="4"/>
        <v>4</v>
      </c>
      <c r="T937" s="15" t="str">
        <f t="shared" si="5"/>
        <v>C-4</v>
      </c>
      <c r="U937" s="15" t="str">
        <f t="shared" si="6"/>
        <v>T6-M3-H4-FC-4-VERIFY</v>
      </c>
      <c r="V937" s="15">
        <f t="shared" si="7"/>
        <v>1</v>
      </c>
      <c r="W937" s="31"/>
      <c r="X937" s="15" t="str">
        <f t="shared" si="8"/>
        <v>barpeta</v>
      </c>
      <c r="Y937" s="32" t="str">
        <f t="shared" si="9"/>
        <v>https://steelmanufacturer.in/market-area/electropolished-pipes-manufacturer-in-barpeta/</v>
      </c>
      <c r="Z937" s="15" t="str">
        <f t="shared" si="10"/>
        <v>Electropolished Pipes Manufacturer in Barpeta</v>
      </c>
      <c r="AA937" s="15" t="str">
        <f t="shared" si="11"/>
        <v>OK (45)</v>
      </c>
      <c r="AB937" s="15" t="str">
        <f t="shared" si="12"/>
        <v>EP stainless tube for VERIFY lines in Barpeta. VERIFY. ASTM A270 S2, PMI tested, EN 10204 3.1.</v>
      </c>
      <c r="AC937" s="15" t="str">
        <f t="shared" si="13"/>
        <v>PENDING RESEARCH</v>
      </c>
      <c r="AD937" s="15" t="str">
        <f t="shared" si="14"/>
        <v>Electropolished Pipes Manufacturer in Barpeta</v>
      </c>
      <c r="AE937" s="15" t="str">
        <f t="shared" si="15"/>
        <v>Manufacturing Electropolished SS Tube for Barpeta: The Standards We Build To</v>
      </c>
      <c r="AF937" s="15" t="str">
        <f t="shared" si="16"/>
        <v>Electropolished Pipe Supply Into Barpeta - Certification &amp; Transit</v>
      </c>
      <c r="AG937" s="15" t="str">
        <f t="shared" si="17"/>
        <v>Electropolished Pipes Wholesaler in Barpeta - Project Quantities &amp; Terms</v>
      </c>
      <c r="AH937" s="15" t="str">
        <f t="shared" si="18"/>
        <v>electropolished pipes manufacturer in Barpeta, electropolished pipes supplier in Barpeta, electropolished pipes wholesaler in Barpeta, electropolished tube manufacturer Barpeta, EP pipe supplier Barpeta, sanitary tube supplier Barpeta, ASME BPE tubing Barpeta, ASTM A270 tube Barpeta, SS 316L electropolished pipe Barpeta</v>
      </c>
      <c r="AI937" s="15" t="str">
        <f t="shared" si="19"/>
        <v>Electropolished Pipes Manufacturer &amp; Supplier in Barpeta</v>
      </c>
      <c r="AJ937" s="15" t="str">
        <f t="shared" si="20"/>
        <v>EP-finished SS 304/316L pipes and tubes for VERIFY plants in Barpeta. ASME BPE SF1-SF4, Ra from 0.25 um, EN 10204 3.1 certificate with every lot.</v>
      </c>
      <c r="AK937" s="15" t="str">
        <f t="shared" si="21"/>
        <v>Electropolished stainless steel pipes supplied by Sakshi Forge to VERIFY plants at AIDC Industrial Area, Barpeta</v>
      </c>
      <c r="AL937" s="15" t="str">
        <f t="shared" si="22"/>
        <v>Electropolished SS 316L tube stock for Barpeta - Sakshi Forge</v>
      </c>
      <c r="AM937" s="15" t="str">
        <f t="shared" si="23"/>
        <v>Home &gt; Market Area &gt; India &gt; Assam &gt; Barpeta</v>
      </c>
      <c r="AN937" s="15">
        <f t="shared" si="24"/>
        <v>750</v>
      </c>
      <c r="AO937" s="15">
        <f t="shared" si="25"/>
        <v>6</v>
      </c>
      <c r="AP937" s="15">
        <f t="shared" si="26"/>
        <v>6</v>
      </c>
      <c r="AQ937" s="15">
        <f t="shared" si="27"/>
        <v>16</v>
      </c>
      <c r="AR937" s="31"/>
      <c r="AS937" s="31"/>
      <c r="AT937" s="35" t="s">
        <v>222</v>
      </c>
      <c r="AU937" s="35"/>
    </row>
    <row r="938" ht="15.75" customHeight="1">
      <c r="A938" s="15" t="s">
        <v>4958</v>
      </c>
      <c r="B938" s="15" t="s">
        <v>60</v>
      </c>
      <c r="C938" s="15" t="s">
        <v>842</v>
      </c>
      <c r="D938" s="15" t="s">
        <v>4959</v>
      </c>
      <c r="E938" s="15" t="s">
        <v>4959</v>
      </c>
      <c r="F938" s="58" t="s">
        <v>807</v>
      </c>
      <c r="G938" s="66" t="s">
        <v>98</v>
      </c>
      <c r="H938" s="18" t="s">
        <v>4961</v>
      </c>
      <c r="I938" s="18" t="s">
        <v>8413</v>
      </c>
      <c r="J938" s="18" t="s">
        <v>98</v>
      </c>
      <c r="K938" s="18" t="s">
        <v>98</v>
      </c>
      <c r="L938" s="18" t="s">
        <v>98</v>
      </c>
      <c r="M938" s="18" t="s">
        <v>98</v>
      </c>
      <c r="N938" s="18" t="s">
        <v>98</v>
      </c>
      <c r="O938" s="18" t="s">
        <v>98</v>
      </c>
      <c r="P938" s="15" t="str">
        <f t="shared" si="1"/>
        <v>VERIFY</v>
      </c>
      <c r="Q938" s="15">
        <f t="shared" si="2"/>
        <v>7</v>
      </c>
      <c r="R938" s="15">
        <f t="shared" si="3"/>
        <v>4</v>
      </c>
      <c r="S938" s="15">
        <f t="shared" si="4"/>
        <v>5</v>
      </c>
      <c r="T938" s="15" t="str">
        <f t="shared" si="5"/>
        <v>C-5</v>
      </c>
      <c r="U938" s="15" t="str">
        <f t="shared" si="6"/>
        <v>T7-M4-H5-FC-5-VERIFY</v>
      </c>
      <c r="V938" s="15">
        <f t="shared" si="7"/>
        <v>1</v>
      </c>
      <c r="W938" s="31"/>
      <c r="X938" s="15" t="str">
        <f t="shared" si="8"/>
        <v>barwani</v>
      </c>
      <c r="Y938" s="32" t="str">
        <f t="shared" si="9"/>
        <v>https://steelmanufacturer.in/market-area/electropolished-pipes-manufacturer-in-barwani/</v>
      </c>
      <c r="Z938" s="15" t="str">
        <f t="shared" si="10"/>
        <v>Electropolished Pipes Manufacturer in Barwani | ASME BPE SF1-SF4</v>
      </c>
      <c r="AA938" s="15" t="str">
        <f t="shared" si="11"/>
        <v>OK (64)</v>
      </c>
      <c r="AB938" s="15" t="str">
        <f t="shared" si="12"/>
        <v>Sanitary electropolished pipes in Barwani for VERIFY plants. ASME BPE SF1-SF4, orbital-weld ready, 3.1 MTC. Mumbai-made.</v>
      </c>
      <c r="AC938" s="15" t="str">
        <f t="shared" si="13"/>
        <v>PENDING RESEARCH</v>
      </c>
      <c r="AD938" s="15" t="str">
        <f t="shared" si="14"/>
        <v>Electropolished Pipes Manufacturer in Barwani</v>
      </c>
      <c r="AE938" s="15" t="str">
        <f t="shared" si="15"/>
        <v>Electropolished Tube Manufacturing Capability Serving Barwani</v>
      </c>
      <c r="AF938" s="15" t="str">
        <f t="shared" si="16"/>
        <v>Electropolished Pipes Supplier in Barwani - From Order to Delivery</v>
      </c>
      <c r="AG938" s="15" t="str">
        <f t="shared" si="17"/>
        <v>Stockist &amp; Wholesale Supply of Electropolished Pipes in Barwani</v>
      </c>
      <c r="AH938" s="15" t="str">
        <f t="shared" si="18"/>
        <v>electropolished pipes manufacturer in Barwani, electropolished pipes supplier in Barwani, electropolished pipes wholesaler in Barwani, electropolished tube manufacturer Barwani, EP pipe supplier Barwani, sanitary tube supplier Barwani, ASME BPE tubing Barwani, ASTM A270 tube Barwani, SS 316L electropolished pipe Barwani</v>
      </c>
      <c r="AI938" s="15" t="str">
        <f t="shared" si="19"/>
        <v>Electropolished Pipes Manufacturer &amp; Supplier in Barwani</v>
      </c>
      <c r="AJ938" s="15" t="str">
        <f t="shared" si="20"/>
        <v>EP-finished SS 304/316L pipes and tubes for VERIFY plants in Barwani. ASME BPE SF1-SF4, Ra from 0.25 um, EN 10204 3.1 certificate with every lot.</v>
      </c>
      <c r="AK938" s="15" t="str">
        <f t="shared" si="21"/>
        <v>Electropolished stainless steel pipes supplied by Sakshi Forge to VERIFY plants at MPIDC Industrial Area, Barwani</v>
      </c>
      <c r="AL938" s="15" t="str">
        <f t="shared" si="22"/>
        <v>Electropolished SS 316L tube stock for Barwani - Sakshi Forge</v>
      </c>
      <c r="AM938" s="15" t="str">
        <f t="shared" si="23"/>
        <v>Home &gt; Market Area &gt; India &gt; Madhya Pradesh &gt; Barwani</v>
      </c>
      <c r="AN938" s="15">
        <f t="shared" si="24"/>
        <v>750</v>
      </c>
      <c r="AO938" s="15">
        <f t="shared" si="25"/>
        <v>6</v>
      </c>
      <c r="AP938" s="15">
        <f t="shared" si="26"/>
        <v>6</v>
      </c>
      <c r="AQ938" s="15">
        <f t="shared" si="27"/>
        <v>16</v>
      </c>
      <c r="AR938" s="31"/>
      <c r="AS938" s="31"/>
      <c r="AT938" s="35" t="s">
        <v>222</v>
      </c>
      <c r="AU938" s="35"/>
    </row>
    <row r="939" ht="15.75" customHeight="1">
      <c r="A939" s="15" t="s">
        <v>4962</v>
      </c>
      <c r="B939" s="15" t="s">
        <v>60</v>
      </c>
      <c r="C939" s="15" t="s">
        <v>264</v>
      </c>
      <c r="D939" s="15" t="s">
        <v>4963</v>
      </c>
      <c r="E939" s="15" t="s">
        <v>4963</v>
      </c>
      <c r="F939" s="58" t="s">
        <v>807</v>
      </c>
      <c r="G939" s="66" t="s">
        <v>98</v>
      </c>
      <c r="H939" s="18" t="s">
        <v>4965</v>
      </c>
      <c r="I939" s="18" t="s">
        <v>8395</v>
      </c>
      <c r="J939" s="18" t="s">
        <v>98</v>
      </c>
      <c r="K939" s="18" t="s">
        <v>98</v>
      </c>
      <c r="L939" s="18" t="s">
        <v>98</v>
      </c>
      <c r="M939" s="18" t="s">
        <v>98</v>
      </c>
      <c r="N939" s="18" t="s">
        <v>98</v>
      </c>
      <c r="O939" s="18" t="s">
        <v>98</v>
      </c>
      <c r="P939" s="15" t="str">
        <f t="shared" si="1"/>
        <v>VERIFY</v>
      </c>
      <c r="Q939" s="15">
        <f t="shared" si="2"/>
        <v>8</v>
      </c>
      <c r="R939" s="15">
        <f t="shared" si="3"/>
        <v>5</v>
      </c>
      <c r="S939" s="15">
        <f t="shared" si="4"/>
        <v>1</v>
      </c>
      <c r="T939" s="15" t="str">
        <f t="shared" si="5"/>
        <v>C-6</v>
      </c>
      <c r="U939" s="15" t="str">
        <f t="shared" si="6"/>
        <v>T8-M5-H1-FC-6-VERIFY</v>
      </c>
      <c r="V939" s="15">
        <f t="shared" si="7"/>
        <v>1</v>
      </c>
      <c r="W939" s="31"/>
      <c r="X939" s="15" t="str">
        <f t="shared" si="8"/>
        <v>basmath</v>
      </c>
      <c r="Y939" s="32" t="str">
        <f t="shared" si="9"/>
        <v>https://steelmanufacturer.in/market-area/electropolished-pipes-manufacturer-in-basmath/</v>
      </c>
      <c r="Z939" s="15" t="str">
        <f t="shared" si="10"/>
        <v>Electropolished Pipes Manufacturer in Basmath - EP Tube Stockist</v>
      </c>
      <c r="AA939" s="15" t="str">
        <f t="shared" si="11"/>
        <v>OK (64)</v>
      </c>
      <c r="AB939" s="15" t="str">
        <f t="shared" si="12"/>
        <v>Manufacturer of electropolished SS 316L tube serving Basmath. VERIFY. Ra 0.25-0.5 um, EN 10204 3.1 MTC.</v>
      </c>
      <c r="AC939" s="15" t="str">
        <f t="shared" si="13"/>
        <v>PENDING RESEARCH</v>
      </c>
      <c r="AD939" s="15" t="str">
        <f t="shared" si="14"/>
        <v>Electropolished Pipes Manufacturer in Basmath</v>
      </c>
      <c r="AE939" s="15" t="str">
        <f t="shared" si="15"/>
        <v>Electropolished Pipe &amp; Tube Manufacturing for Basmath - Grades, Finishes &amp; Certification</v>
      </c>
      <c r="AF939" s="15" t="str">
        <f t="shared" si="16"/>
        <v>Electropolished Pipes Supplier in Basmath - Stock Sizes, Lead Time &amp; Delivery</v>
      </c>
      <c r="AG939" s="15" t="str">
        <f t="shared" si="17"/>
        <v>Electropolished Pipes Wholesaler &amp; Stockist in Basmath - Bulk &amp; Project Pricing</v>
      </c>
      <c r="AH939" s="15" t="str">
        <f t="shared" si="18"/>
        <v>electropolished pipes manufacturer in Basmath, electropolished pipes supplier in Basmath, electropolished pipes wholesaler in Basmath, electropolished tube manufacturer Basmath, EP pipe supplier Basmath, sanitary tube supplier Basmath, ASME BPE tubing Basmath, ASTM A270 tube Basmath, SS 316L electropolished pipe Basmath</v>
      </c>
      <c r="AI939" s="15" t="str">
        <f t="shared" si="19"/>
        <v>Electropolished Pipes Manufacturer &amp; Supplier in Basmath</v>
      </c>
      <c r="AJ939" s="15" t="str">
        <f t="shared" si="20"/>
        <v>EP-finished SS 304/316L pipes and tubes for VERIFY plants in Basmath. ASME BPE SF1-SF4, Ra from 0.25 um, EN 10204 3.1 certificate with every lot.</v>
      </c>
      <c r="AK939" s="15" t="str">
        <f t="shared" si="21"/>
        <v>Electropolished stainless steel pipes supplied by Sakshi Forge to VERIFY plants at MIDC Industrial Area, Basmath</v>
      </c>
      <c r="AL939" s="15" t="str">
        <f t="shared" si="22"/>
        <v>Electropolished SS 316L tube stock for Basmath - Sakshi Forge</v>
      </c>
      <c r="AM939" s="15" t="str">
        <f t="shared" si="23"/>
        <v>Home &gt; Market Area &gt; India &gt; Maharashtra &gt; Basmath</v>
      </c>
      <c r="AN939" s="15">
        <f t="shared" si="24"/>
        <v>750</v>
      </c>
      <c r="AO939" s="15">
        <f t="shared" si="25"/>
        <v>6</v>
      </c>
      <c r="AP939" s="15">
        <f t="shared" si="26"/>
        <v>6</v>
      </c>
      <c r="AQ939" s="15">
        <f t="shared" si="27"/>
        <v>16</v>
      </c>
      <c r="AR939" s="31"/>
      <c r="AS939" s="31"/>
      <c r="AT939" s="35" t="s">
        <v>222</v>
      </c>
      <c r="AU939" s="35"/>
    </row>
    <row r="940" ht="15.75" customHeight="1">
      <c r="A940" s="15" t="s">
        <v>4966</v>
      </c>
      <c r="B940" s="15" t="s">
        <v>60</v>
      </c>
      <c r="C940" s="15" t="s">
        <v>570</v>
      </c>
      <c r="D940" s="15" t="s">
        <v>4967</v>
      </c>
      <c r="E940" s="15" t="s">
        <v>4967</v>
      </c>
      <c r="F940" s="58" t="s">
        <v>807</v>
      </c>
      <c r="G940" s="66" t="s">
        <v>98</v>
      </c>
      <c r="H940" s="18" t="s">
        <v>4969</v>
      </c>
      <c r="I940" s="18" t="s">
        <v>8405</v>
      </c>
      <c r="J940" s="18" t="s">
        <v>98</v>
      </c>
      <c r="K940" s="18" t="s">
        <v>98</v>
      </c>
      <c r="L940" s="18" t="s">
        <v>98</v>
      </c>
      <c r="M940" s="18" t="s">
        <v>98</v>
      </c>
      <c r="N940" s="18" t="s">
        <v>98</v>
      </c>
      <c r="O940" s="18" t="s">
        <v>98</v>
      </c>
      <c r="P940" s="15" t="str">
        <f t="shared" si="1"/>
        <v>VERIFY</v>
      </c>
      <c r="Q940" s="15">
        <f t="shared" si="2"/>
        <v>1</v>
      </c>
      <c r="R940" s="15">
        <f t="shared" si="3"/>
        <v>6</v>
      </c>
      <c r="S940" s="15">
        <f t="shared" si="4"/>
        <v>2</v>
      </c>
      <c r="T940" s="15" t="str">
        <f t="shared" si="5"/>
        <v>C-1</v>
      </c>
      <c r="U940" s="15" t="str">
        <f t="shared" si="6"/>
        <v>T1-M6-H2-FC-1-VERIFY</v>
      </c>
      <c r="V940" s="15">
        <f t="shared" si="7"/>
        <v>1</v>
      </c>
      <c r="W940" s="31"/>
      <c r="X940" s="15" t="str">
        <f t="shared" si="8"/>
        <v>belur-karnataka</v>
      </c>
      <c r="Y940" s="32" t="str">
        <f t="shared" si="9"/>
        <v>https://steelmanufacturer.in/market-area/electropolished-pipes-manufacturer-in-belur-karnataka/</v>
      </c>
      <c r="Z940" s="15" t="str">
        <f t="shared" si="10"/>
        <v>Electropolished Pipes Manufacturer in Belur-Karnataka</v>
      </c>
      <c r="AA940" s="15" t="str">
        <f t="shared" si="11"/>
        <v>OK (53)</v>
      </c>
      <c r="AB940" s="15" t="str">
        <f t="shared" si="12"/>
        <v>EP tube and pipe for VERIFY plants around KIADB Industrial Area, Belur-Karnataka. Made at our Mumbai works to ASTM A270 and ASME BPE SF1-SF4, with 3.1 MTC.</v>
      </c>
      <c r="AC940" s="15" t="str">
        <f t="shared" si="13"/>
        <v>PENDING RESEARCH</v>
      </c>
      <c r="AD940" s="15" t="str">
        <f t="shared" si="14"/>
        <v>Electropolished Pipes Manufacturer in Belur-Karnataka</v>
      </c>
      <c r="AE940" s="15" t="str">
        <f t="shared" si="15"/>
        <v>How We Manufacture Electropolished Tube for Belur-Karnataka Plants</v>
      </c>
      <c r="AF940" s="15" t="str">
        <f t="shared" si="16"/>
        <v>Supplying Electropolished Pipes in Belur-Karnataka: Availability, Sizes &amp; Dispatch</v>
      </c>
      <c r="AG940" s="15" t="str">
        <f t="shared" si="17"/>
        <v>Wholesale Electropolished Pipe Supply for Belur-Karnataka Projects</v>
      </c>
      <c r="AH940" s="15" t="str">
        <f t="shared" si="18"/>
        <v>electropolished pipes manufacturer in Belur-Karnataka, electropolished pipes supplier in Belur-Karnataka, electropolished pipes wholesaler in Belur-Karnataka, electropolished tube manufacturer Belur-Karnataka, EP pipe supplier Belur-Karnataka, sanitary tube supplier Belur-Karnataka, ASME BPE tubing Belur-Karnataka, ASTM A270 tube Belur-Karnataka, SS 316L electropolished pipe Belur-Karnataka</v>
      </c>
      <c r="AI940" s="15" t="str">
        <f t="shared" si="19"/>
        <v>Electropolished Pipes Manufacturer &amp; Supplier in Belur-Karnataka</v>
      </c>
      <c r="AJ940" s="15" t="str">
        <f t="shared" si="20"/>
        <v>EP-finished SS 304/316L pipes and tubes for VERIFY plants in Belur-Karnataka. ASME BPE SF1-SF4, Ra from 0.25 um, EN 10204 3.1 certificate with every lot.</v>
      </c>
      <c r="AK940" s="15" t="str">
        <f t="shared" si="21"/>
        <v>Electropolished stainless steel pipes supplied by Sakshi Forge to VERIFY plants at KIADB Industrial Area, Belur-Karnataka</v>
      </c>
      <c r="AL940" s="15" t="str">
        <f t="shared" si="22"/>
        <v>Electropolished SS 316L tube stock for Belur-Karnataka - Sakshi Forge</v>
      </c>
      <c r="AM940" s="15" t="str">
        <f t="shared" si="23"/>
        <v>Home &gt; Market Area &gt; India &gt; Karnataka &gt; Belur-Karnataka</v>
      </c>
      <c r="AN940" s="15">
        <f t="shared" si="24"/>
        <v>750</v>
      </c>
      <c r="AO940" s="15">
        <f t="shared" si="25"/>
        <v>6</v>
      </c>
      <c r="AP940" s="15">
        <f t="shared" si="26"/>
        <v>6</v>
      </c>
      <c r="AQ940" s="15">
        <f t="shared" si="27"/>
        <v>16</v>
      </c>
      <c r="AR940" s="31"/>
      <c r="AS940" s="31"/>
      <c r="AT940" s="35" t="s">
        <v>222</v>
      </c>
      <c r="AU940" s="35"/>
    </row>
    <row r="941" ht="15.75" customHeight="1">
      <c r="A941" s="15" t="s">
        <v>4970</v>
      </c>
      <c r="B941" s="15" t="s">
        <v>60</v>
      </c>
      <c r="C941" s="15" t="s">
        <v>775</v>
      </c>
      <c r="D941" s="15" t="s">
        <v>4971</v>
      </c>
      <c r="E941" s="15" t="s">
        <v>4971</v>
      </c>
      <c r="F941" s="58" t="s">
        <v>807</v>
      </c>
      <c r="G941" s="66" t="s">
        <v>98</v>
      </c>
      <c r="H941" s="18" t="s">
        <v>4973</v>
      </c>
      <c r="I941" s="18" t="s">
        <v>8399</v>
      </c>
      <c r="J941" s="18" t="s">
        <v>98</v>
      </c>
      <c r="K941" s="18" t="s">
        <v>98</v>
      </c>
      <c r="L941" s="18" t="s">
        <v>98</v>
      </c>
      <c r="M941" s="18" t="s">
        <v>98</v>
      </c>
      <c r="N941" s="18" t="s">
        <v>98</v>
      </c>
      <c r="O941" s="18" t="s">
        <v>98</v>
      </c>
      <c r="P941" s="15" t="str">
        <f t="shared" si="1"/>
        <v>VERIFY</v>
      </c>
      <c r="Q941" s="15">
        <f t="shared" si="2"/>
        <v>2</v>
      </c>
      <c r="R941" s="15">
        <f t="shared" si="3"/>
        <v>7</v>
      </c>
      <c r="S941" s="15">
        <f t="shared" si="4"/>
        <v>3</v>
      </c>
      <c r="T941" s="15" t="str">
        <f t="shared" si="5"/>
        <v>C-2</v>
      </c>
      <c r="U941" s="15" t="str">
        <f t="shared" si="6"/>
        <v>T2-M7-H3-FC-2-VERIFY</v>
      </c>
      <c r="V941" s="15">
        <f t="shared" si="7"/>
        <v>1</v>
      </c>
      <c r="W941" s="31"/>
      <c r="X941" s="15" t="str">
        <f t="shared" si="8"/>
        <v>bemetara</v>
      </c>
      <c r="Y941" s="32" t="str">
        <f t="shared" si="9"/>
        <v>https://steelmanufacturer.in/market-area/electropolished-pipes-manufacturer-in-bemetara/</v>
      </c>
      <c r="Z941" s="15" t="str">
        <f t="shared" si="10"/>
        <v>Electropolished Pipes Manufacturer in Bemetara</v>
      </c>
      <c r="AA941" s="15" t="str">
        <f t="shared" si="11"/>
        <v>OK (46)</v>
      </c>
      <c r="AB941" s="15" t="str">
        <f t="shared" si="12"/>
        <v>Electropolished pipes in Bemetara: 304, 304L, 316 and 316L in SF1-SF4. VERIFY. Mill certified.</v>
      </c>
      <c r="AC941" s="15" t="str">
        <f t="shared" si="13"/>
        <v>PENDING RESEARCH</v>
      </c>
      <c r="AD941" s="15" t="str">
        <f t="shared" si="14"/>
        <v>Electropolished Pipes Manufacturer in Bemetara</v>
      </c>
      <c r="AE941" s="15" t="str">
        <f t="shared" si="15"/>
        <v>Electropolished Pipes Manufacturer in Bemetara - Our Process &amp; Capability</v>
      </c>
      <c r="AF941" s="15" t="str">
        <f t="shared" si="16"/>
        <v>Electropolished Pipes Supplier in Bemetara - What We Hold in Stock</v>
      </c>
      <c r="AG941" s="15" t="str">
        <f t="shared" si="17"/>
        <v>Bulk &amp; Wholesale Electropolished Pipe Rates for Bemetara Buyers</v>
      </c>
      <c r="AH941" s="15" t="str">
        <f t="shared" si="18"/>
        <v>electropolished pipes manufacturer in Bemetara, electropolished pipes supplier in Bemetara, electropolished pipes wholesaler in Bemetara, electropolished tube manufacturer Bemetara, EP pipe supplier Bemetara, sanitary tube supplier Bemetara, ASME BPE tubing Bemetara, ASTM A270 tube Bemetara, SS 316L electropolished pipe Bemetara</v>
      </c>
      <c r="AI941" s="15" t="str">
        <f t="shared" si="19"/>
        <v>Electropolished Pipes Manufacturer &amp; Supplier in Bemetara</v>
      </c>
      <c r="AJ941" s="15" t="str">
        <f t="shared" si="20"/>
        <v>EP-finished SS 304/316L pipes and tubes for VERIFY plants in Bemetara. ASME BPE SF1-SF4, Ra from 0.25 um, EN 10204 3.1 certificate with every lot.</v>
      </c>
      <c r="AK941" s="15" t="str">
        <f t="shared" si="21"/>
        <v>Electropolished stainless steel pipes supplied by Sakshi Forge to VERIFY plants at CSIDC Industrial Area, Bemetara</v>
      </c>
      <c r="AL941" s="15" t="str">
        <f t="shared" si="22"/>
        <v>Electropolished SS 316L tube stock for Bemetara - Sakshi Forge</v>
      </c>
      <c r="AM941" s="15" t="str">
        <f t="shared" si="23"/>
        <v>Home &gt; Market Area &gt; India &gt; Chhattisgarh &gt; Bemetara</v>
      </c>
      <c r="AN941" s="15">
        <f t="shared" si="24"/>
        <v>750</v>
      </c>
      <c r="AO941" s="15">
        <f t="shared" si="25"/>
        <v>6</v>
      </c>
      <c r="AP941" s="15">
        <f t="shared" si="26"/>
        <v>6</v>
      </c>
      <c r="AQ941" s="15">
        <f t="shared" si="27"/>
        <v>16</v>
      </c>
      <c r="AR941" s="31"/>
      <c r="AS941" s="31"/>
      <c r="AT941" s="35" t="s">
        <v>222</v>
      </c>
      <c r="AU941" s="35"/>
    </row>
    <row r="942" ht="15.75" customHeight="1">
      <c r="A942" s="15" t="s">
        <v>4974</v>
      </c>
      <c r="B942" s="15" t="s">
        <v>60</v>
      </c>
      <c r="C942" s="15" t="s">
        <v>245</v>
      </c>
      <c r="D942" s="15" t="s">
        <v>4975</v>
      </c>
      <c r="E942" s="15" t="s">
        <v>4975</v>
      </c>
      <c r="F942" s="58" t="s">
        <v>807</v>
      </c>
      <c r="G942" s="66" t="s">
        <v>98</v>
      </c>
      <c r="H942" s="18" t="s">
        <v>4977</v>
      </c>
      <c r="I942" s="18" t="s">
        <v>8407</v>
      </c>
      <c r="J942" s="18" t="s">
        <v>98</v>
      </c>
      <c r="K942" s="18" t="s">
        <v>98</v>
      </c>
      <c r="L942" s="18" t="s">
        <v>98</v>
      </c>
      <c r="M942" s="18" t="s">
        <v>98</v>
      </c>
      <c r="N942" s="18" t="s">
        <v>98</v>
      </c>
      <c r="O942" s="18" t="s">
        <v>98</v>
      </c>
      <c r="P942" s="15" t="str">
        <f t="shared" si="1"/>
        <v>VERIFY</v>
      </c>
      <c r="Q942" s="15">
        <f t="shared" si="2"/>
        <v>3</v>
      </c>
      <c r="R942" s="15">
        <f t="shared" si="3"/>
        <v>1</v>
      </c>
      <c r="S942" s="15">
        <f t="shared" si="4"/>
        <v>4</v>
      </c>
      <c r="T942" s="15" t="str">
        <f t="shared" si="5"/>
        <v>C-3</v>
      </c>
      <c r="U942" s="15" t="str">
        <f t="shared" si="6"/>
        <v>T3-M1-H4-FC-3-VERIFY</v>
      </c>
      <c r="V942" s="15">
        <f t="shared" si="7"/>
        <v>1</v>
      </c>
      <c r="W942" s="31"/>
      <c r="X942" s="15" t="str">
        <f t="shared" si="8"/>
        <v>beri</v>
      </c>
      <c r="Y942" s="32" t="str">
        <f t="shared" si="9"/>
        <v>https://steelmanufacturer.in/market-area/electropolished-pipes-manufacturer-in-beri/</v>
      </c>
      <c r="Z942" s="15" t="str">
        <f t="shared" si="10"/>
        <v>Electropolished Pipes Manufacturer in Beri | EP Tube Supplier</v>
      </c>
      <c r="AA942" s="15" t="str">
        <f t="shared" si="11"/>
        <v>OK (61)</v>
      </c>
      <c r="AB942" s="15" t="str">
        <f t="shared" si="12"/>
        <v>EP-finished SS 304/316L pipes &amp; tubes for VERIFY plants in Beri. ASTM A270, ASME BPE SF1-SF4, EN 10204 3.1 MTC. PMI tested.</v>
      </c>
      <c r="AC942" s="15" t="str">
        <f t="shared" si="13"/>
        <v>PENDING RESEARCH</v>
      </c>
      <c r="AD942" s="15" t="str">
        <f t="shared" si="14"/>
        <v>Electropolished Pipes Manufacturer in Beri</v>
      </c>
      <c r="AE942" s="15" t="str">
        <f t="shared" si="15"/>
        <v>Manufacturing Electropolished SS Tube for Beri: The Standards We Build To</v>
      </c>
      <c r="AF942" s="15" t="str">
        <f t="shared" si="16"/>
        <v>Electropolished Pipe Supply Into Beri - Certification &amp; Transit</v>
      </c>
      <c r="AG942" s="15" t="str">
        <f t="shared" si="17"/>
        <v>Electropolished Pipes Wholesaler in Beri - Project Quantities &amp; Terms</v>
      </c>
      <c r="AH942" s="15" t="str">
        <f t="shared" si="18"/>
        <v>electropolished pipes manufacturer in Beri, electropolished pipes supplier in Beri, electropolished pipes wholesaler in Beri, electropolished tube manufacturer Beri, EP pipe supplier Beri, sanitary tube supplier Beri, ASME BPE tubing Beri, ASTM A270 tube Beri, SS 316L electropolished pipe Beri</v>
      </c>
      <c r="AI942" s="15" t="str">
        <f t="shared" si="19"/>
        <v>Electropolished Pipes Manufacturer &amp; Supplier in Beri</v>
      </c>
      <c r="AJ942" s="15" t="str">
        <f t="shared" si="20"/>
        <v>EP-finished SS 304/316L pipes and tubes for VERIFY plants in Beri. ASME BPE SF1-SF4, Ra from 0.25 um, EN 10204 3.1 certificate with every lot.</v>
      </c>
      <c r="AK942" s="15" t="str">
        <f t="shared" si="21"/>
        <v>Electropolished stainless steel pipes supplied by Sakshi Forge to VERIFY plants at HSIIDC Industrial Area, Beri</v>
      </c>
      <c r="AL942" s="15" t="str">
        <f t="shared" si="22"/>
        <v>Electropolished SS 316L tube stock for Beri - Sakshi Forge</v>
      </c>
      <c r="AM942" s="15" t="str">
        <f t="shared" si="23"/>
        <v>Home &gt; Market Area &gt; India &gt; Haryana &gt; Beri</v>
      </c>
      <c r="AN942" s="15">
        <f t="shared" si="24"/>
        <v>750</v>
      </c>
      <c r="AO942" s="15">
        <f t="shared" si="25"/>
        <v>6</v>
      </c>
      <c r="AP942" s="15">
        <f t="shared" si="26"/>
        <v>6</v>
      </c>
      <c r="AQ942" s="15">
        <f t="shared" si="27"/>
        <v>16</v>
      </c>
      <c r="AR942" s="31"/>
      <c r="AS942" s="31"/>
      <c r="AT942" s="35" t="s">
        <v>222</v>
      </c>
      <c r="AU942" s="35"/>
    </row>
    <row r="943" ht="15.75" customHeight="1">
      <c r="A943" s="15" t="s">
        <v>4978</v>
      </c>
      <c r="B943" s="15" t="s">
        <v>60</v>
      </c>
      <c r="C943" s="15" t="s">
        <v>842</v>
      </c>
      <c r="D943" s="15" t="s">
        <v>4979</v>
      </c>
      <c r="E943" s="15" t="s">
        <v>4979</v>
      </c>
      <c r="F943" s="58" t="s">
        <v>807</v>
      </c>
      <c r="G943" s="66" t="s">
        <v>98</v>
      </c>
      <c r="H943" s="18" t="s">
        <v>4981</v>
      </c>
      <c r="I943" s="18" t="s">
        <v>8413</v>
      </c>
      <c r="J943" s="18" t="s">
        <v>98</v>
      </c>
      <c r="K943" s="18" t="s">
        <v>98</v>
      </c>
      <c r="L943" s="18" t="s">
        <v>98</v>
      </c>
      <c r="M943" s="18" t="s">
        <v>98</v>
      </c>
      <c r="N943" s="18" t="s">
        <v>98</v>
      </c>
      <c r="O943" s="18" t="s">
        <v>98</v>
      </c>
      <c r="P943" s="15" t="str">
        <f t="shared" si="1"/>
        <v>VERIFY</v>
      </c>
      <c r="Q943" s="15">
        <f t="shared" si="2"/>
        <v>4</v>
      </c>
      <c r="R943" s="15">
        <f t="shared" si="3"/>
        <v>2</v>
      </c>
      <c r="S943" s="15">
        <f t="shared" si="4"/>
        <v>5</v>
      </c>
      <c r="T943" s="15" t="str">
        <f t="shared" si="5"/>
        <v>C-4</v>
      </c>
      <c r="U943" s="15" t="str">
        <f t="shared" si="6"/>
        <v>T4-M2-H5-FC-4-VERIFY</v>
      </c>
      <c r="V943" s="15">
        <f t="shared" si="7"/>
        <v>1</v>
      </c>
      <c r="W943" s="31"/>
      <c r="X943" s="15" t="str">
        <f t="shared" si="8"/>
        <v>betul</v>
      </c>
      <c r="Y943" s="32" t="str">
        <f t="shared" si="9"/>
        <v>https://steelmanufacturer.in/market-area/electropolished-pipes-manufacturer-in-betul/</v>
      </c>
      <c r="Z943" s="15" t="str">
        <f t="shared" si="10"/>
        <v>Electropolished Pipes Manufacturer in Betul - SS 304/316L EP Tube</v>
      </c>
      <c r="AA943" s="15" t="str">
        <f t="shared" si="11"/>
        <v>OK (65)</v>
      </c>
      <c r="AB943" s="15" t="str">
        <f t="shared" si="12"/>
        <v>Electropolished tube supply to MPIDC Industrial Area, Betul. Ra from 0.25 um, SF4 finish, mill test certificate with every lot.</v>
      </c>
      <c r="AC943" s="15" t="str">
        <f t="shared" si="13"/>
        <v>PENDING RESEARCH</v>
      </c>
      <c r="AD943" s="15" t="str">
        <f t="shared" si="14"/>
        <v>Electropolished Pipes Manufacturer in Betul</v>
      </c>
      <c r="AE943" s="15" t="str">
        <f t="shared" si="15"/>
        <v>Electropolished Tube Manufacturing Capability Serving Betul</v>
      </c>
      <c r="AF943" s="15" t="str">
        <f t="shared" si="16"/>
        <v>Electropolished Pipes Supplier in Betul - From Order to Delivery</v>
      </c>
      <c r="AG943" s="15" t="str">
        <f t="shared" si="17"/>
        <v>Stockist &amp; Wholesale Supply of Electropolished Pipes in Betul</v>
      </c>
      <c r="AH943" s="15" t="str">
        <f t="shared" si="18"/>
        <v>electropolished pipes manufacturer in Betul, electropolished pipes supplier in Betul, electropolished pipes wholesaler in Betul, electropolished tube manufacturer Betul, EP pipe supplier Betul, sanitary tube supplier Betul, ASME BPE tubing Betul, ASTM A270 tube Betul, SS 316L electropolished pipe Betul</v>
      </c>
      <c r="AI943" s="15" t="str">
        <f t="shared" si="19"/>
        <v>Electropolished Pipes Manufacturer &amp; Supplier in Betul</v>
      </c>
      <c r="AJ943" s="15" t="str">
        <f t="shared" si="20"/>
        <v>EP-finished SS 304/316L pipes and tubes for VERIFY plants in Betul. ASME BPE SF1-SF4, Ra from 0.25 um, EN 10204 3.1 certificate with every lot.</v>
      </c>
      <c r="AK943" s="15" t="str">
        <f t="shared" si="21"/>
        <v>Electropolished stainless steel pipes supplied by Sakshi Forge to VERIFY plants at MPIDC Industrial Area, Betul</v>
      </c>
      <c r="AL943" s="15" t="str">
        <f t="shared" si="22"/>
        <v>Electropolished SS 316L tube stock for Betul - Sakshi Forge</v>
      </c>
      <c r="AM943" s="15" t="str">
        <f t="shared" si="23"/>
        <v>Home &gt; Market Area &gt; India &gt; Madhya Pradesh &gt; Betul</v>
      </c>
      <c r="AN943" s="15">
        <f t="shared" si="24"/>
        <v>750</v>
      </c>
      <c r="AO943" s="15">
        <f t="shared" si="25"/>
        <v>6</v>
      </c>
      <c r="AP943" s="15">
        <f t="shared" si="26"/>
        <v>6</v>
      </c>
      <c r="AQ943" s="15">
        <f t="shared" si="27"/>
        <v>16</v>
      </c>
      <c r="AR943" s="31"/>
      <c r="AS943" s="31"/>
      <c r="AT943" s="35" t="s">
        <v>222</v>
      </c>
      <c r="AU943" s="35"/>
    </row>
    <row r="944" ht="15.75" customHeight="1">
      <c r="A944" s="15" t="s">
        <v>4982</v>
      </c>
      <c r="B944" s="15" t="s">
        <v>60</v>
      </c>
      <c r="C944" s="15" t="s">
        <v>224</v>
      </c>
      <c r="D944" s="15" t="s">
        <v>4983</v>
      </c>
      <c r="E944" s="15" t="s">
        <v>4983</v>
      </c>
      <c r="F944" s="58" t="s">
        <v>807</v>
      </c>
      <c r="G944" s="66" t="s">
        <v>98</v>
      </c>
      <c r="H944" s="18" t="s">
        <v>4985</v>
      </c>
      <c r="I944" s="18" t="s">
        <v>8400</v>
      </c>
      <c r="J944" s="18" t="s">
        <v>98</v>
      </c>
      <c r="K944" s="18" t="s">
        <v>98</v>
      </c>
      <c r="L944" s="18" t="s">
        <v>98</v>
      </c>
      <c r="M944" s="18" t="s">
        <v>98</v>
      </c>
      <c r="N944" s="18" t="s">
        <v>98</v>
      </c>
      <c r="O944" s="18" t="s">
        <v>98</v>
      </c>
      <c r="P944" s="15" t="str">
        <f t="shared" si="1"/>
        <v>VERIFY</v>
      </c>
      <c r="Q944" s="15">
        <f t="shared" si="2"/>
        <v>5</v>
      </c>
      <c r="R944" s="15">
        <f t="shared" si="3"/>
        <v>3</v>
      </c>
      <c r="S944" s="15">
        <f t="shared" si="4"/>
        <v>1</v>
      </c>
      <c r="T944" s="15" t="str">
        <f t="shared" si="5"/>
        <v>C-5</v>
      </c>
      <c r="U944" s="15" t="str">
        <f t="shared" si="6"/>
        <v>T5-M3-H1-FC-5-VERIFY</v>
      </c>
      <c r="V944" s="15">
        <f t="shared" si="7"/>
        <v>1</v>
      </c>
      <c r="W944" s="31"/>
      <c r="X944" s="15" t="str">
        <f t="shared" si="8"/>
        <v>bhachau</v>
      </c>
      <c r="Y944" s="32" t="str">
        <f t="shared" si="9"/>
        <v>https://steelmanufacturer.in/market-area/electropolished-pipes-manufacturer-in-bhachau/</v>
      </c>
      <c r="Z944" s="15" t="str">
        <f t="shared" si="10"/>
        <v>Electropolished Pipes Manufacturer in Bhachau</v>
      </c>
      <c r="AA944" s="15" t="str">
        <f t="shared" si="11"/>
        <v>OK (45)</v>
      </c>
      <c r="AB944" s="15" t="str">
        <f t="shared" si="12"/>
        <v>EP stainless tube for VERIFY lines in Bhachau. VERIFY. ASTM A270 S2, PMI tested, EN 10204 3.1.</v>
      </c>
      <c r="AC944" s="15" t="str">
        <f t="shared" si="13"/>
        <v>PENDING RESEARCH</v>
      </c>
      <c r="AD944" s="15" t="str">
        <f t="shared" si="14"/>
        <v>Electropolished Pipes Manufacturer in Bhachau</v>
      </c>
      <c r="AE944" s="15" t="str">
        <f t="shared" si="15"/>
        <v>Electropolished Pipe &amp; Tube Manufacturing for Bhachau - Grades, Finishes &amp; Certification</v>
      </c>
      <c r="AF944" s="15" t="str">
        <f t="shared" si="16"/>
        <v>Electropolished Pipes Supplier in Bhachau - Stock Sizes, Lead Time &amp; Delivery</v>
      </c>
      <c r="AG944" s="15" t="str">
        <f t="shared" si="17"/>
        <v>Electropolished Pipes Wholesaler &amp; Stockist in Bhachau - Bulk &amp; Project Pricing</v>
      </c>
      <c r="AH944" s="15" t="str">
        <f t="shared" si="18"/>
        <v>electropolished pipes manufacturer in Bhachau, electropolished pipes supplier in Bhachau, electropolished pipes wholesaler in Bhachau, electropolished tube manufacturer Bhachau, EP pipe supplier Bhachau, sanitary tube supplier Bhachau, ASME BPE tubing Bhachau, ASTM A270 tube Bhachau, SS 316L electropolished pipe Bhachau</v>
      </c>
      <c r="AI944" s="15" t="str">
        <f t="shared" si="19"/>
        <v>Electropolished Pipes Manufacturer &amp; Supplier in Bhachau</v>
      </c>
      <c r="AJ944" s="15" t="str">
        <f t="shared" si="20"/>
        <v>EP-finished SS 304/316L pipes and tubes for VERIFY plants in Bhachau. ASME BPE SF1-SF4, Ra from 0.25 um, EN 10204 3.1 certificate with every lot.</v>
      </c>
      <c r="AK944" s="15" t="str">
        <f t="shared" si="21"/>
        <v>Electropolished stainless steel pipes supplied by Sakshi Forge to VERIFY plants at GIDC Industrial Area, Bhachau</v>
      </c>
      <c r="AL944" s="15" t="str">
        <f t="shared" si="22"/>
        <v>Electropolished SS 316L tube stock for Bhachau - Sakshi Forge</v>
      </c>
      <c r="AM944" s="15" t="str">
        <f t="shared" si="23"/>
        <v>Home &gt; Market Area &gt; India &gt; Gujarat &gt; Bhachau</v>
      </c>
      <c r="AN944" s="15">
        <f t="shared" si="24"/>
        <v>750</v>
      </c>
      <c r="AO944" s="15">
        <f t="shared" si="25"/>
        <v>6</v>
      </c>
      <c r="AP944" s="15">
        <f t="shared" si="26"/>
        <v>6</v>
      </c>
      <c r="AQ944" s="15">
        <f t="shared" si="27"/>
        <v>16</v>
      </c>
      <c r="AR944" s="31"/>
      <c r="AS944" s="31"/>
      <c r="AT944" s="35" t="s">
        <v>222</v>
      </c>
      <c r="AU944" s="35"/>
    </row>
    <row r="945" ht="15.75" customHeight="1">
      <c r="A945" s="15" t="s">
        <v>4986</v>
      </c>
      <c r="B945" s="15" t="s">
        <v>60</v>
      </c>
      <c r="C945" s="15" t="s">
        <v>85</v>
      </c>
      <c r="D945" s="15" t="s">
        <v>4987</v>
      </c>
      <c r="E945" s="15" t="s">
        <v>4987</v>
      </c>
      <c r="F945" s="58" t="s">
        <v>807</v>
      </c>
      <c r="G945" s="66" t="s">
        <v>98</v>
      </c>
      <c r="H945" s="18" t="s">
        <v>4991</v>
      </c>
      <c r="I945" s="18" t="s">
        <v>8398</v>
      </c>
      <c r="J945" s="18" t="s">
        <v>98</v>
      </c>
      <c r="K945" s="18" t="s">
        <v>98</v>
      </c>
      <c r="L945" s="18" t="s">
        <v>98</v>
      </c>
      <c r="M945" s="18" t="s">
        <v>98</v>
      </c>
      <c r="N945" s="18" t="s">
        <v>98</v>
      </c>
      <c r="O945" s="18" t="s">
        <v>98</v>
      </c>
      <c r="P945" s="15" t="str">
        <f t="shared" si="1"/>
        <v>VERIFY</v>
      </c>
      <c r="Q945" s="15">
        <f t="shared" si="2"/>
        <v>6</v>
      </c>
      <c r="R945" s="15">
        <f t="shared" si="3"/>
        <v>4</v>
      </c>
      <c r="S945" s="15">
        <f t="shared" si="4"/>
        <v>2</v>
      </c>
      <c r="T945" s="15" t="str">
        <f t="shared" si="5"/>
        <v>C-6</v>
      </c>
      <c r="U945" s="15" t="str">
        <f t="shared" si="6"/>
        <v>T6-M4-H2-FC-6-VERIFY</v>
      </c>
      <c r="V945" s="15">
        <f t="shared" si="7"/>
        <v>1</v>
      </c>
      <c r="W945" s="31"/>
      <c r="X945" s="15" t="str">
        <f t="shared" si="8"/>
        <v>bhadohi</v>
      </c>
      <c r="Y945" s="32" t="str">
        <f t="shared" si="9"/>
        <v>https://steelmanufacturer.in/market-area/electropolished-pipes-manufacturer-in-bhadohi/</v>
      </c>
      <c r="Z945" s="15" t="str">
        <f t="shared" si="10"/>
        <v>Electropolished Pipes Manufacturer in Bhadohi</v>
      </c>
      <c r="AA945" s="15" t="str">
        <f t="shared" si="11"/>
        <v>OK (45)</v>
      </c>
      <c r="AB945" s="15" t="str">
        <f t="shared" si="12"/>
        <v>Sanitary electropolished pipes in Bhadohi for VERIFY plants. ASME BPE SF1-SF4, orbital-weld ready, 3.1 MTC. Mumbai-made.</v>
      </c>
      <c r="AC945" s="15" t="str">
        <f t="shared" si="13"/>
        <v>PENDING RESEARCH</v>
      </c>
      <c r="AD945" s="15" t="str">
        <f t="shared" si="14"/>
        <v>Electropolished Pipes Manufacturer in Bhadohi</v>
      </c>
      <c r="AE945" s="15" t="str">
        <f t="shared" si="15"/>
        <v>How We Manufacture Electropolished Tube for Bhadohi Plants</v>
      </c>
      <c r="AF945" s="15" t="str">
        <f t="shared" si="16"/>
        <v>Supplying Electropolished Pipes in Bhadohi: Availability, Sizes &amp; Dispatch</v>
      </c>
      <c r="AG945" s="15" t="str">
        <f t="shared" si="17"/>
        <v>Wholesale Electropolished Pipe Supply for Bhadohi Projects</v>
      </c>
      <c r="AH945" s="15" t="str">
        <f t="shared" si="18"/>
        <v>electropolished pipes manufacturer in Bhadohi, electropolished pipes supplier in Bhadohi, electropolished pipes wholesaler in Bhadohi, electropolished tube manufacturer Bhadohi, EP pipe supplier Bhadohi, sanitary tube supplier Bhadohi, ASME BPE tubing Bhadohi, ASTM A270 tube Bhadohi, SS 316L electropolished pipe Bhadohi</v>
      </c>
      <c r="AI945" s="15" t="str">
        <f t="shared" si="19"/>
        <v>Electropolished Pipes Manufacturer &amp; Supplier in Bhadohi</v>
      </c>
      <c r="AJ945" s="15" t="str">
        <f t="shared" si="20"/>
        <v>EP-finished SS 304/316L pipes and tubes for VERIFY plants in Bhadohi. ASME BPE SF1-SF4, Ra from 0.25 um, EN 10204 3.1 certificate with every lot.</v>
      </c>
      <c r="AK945" s="15" t="str">
        <f t="shared" si="21"/>
        <v>Electropolished stainless steel pipes supplied by Sakshi Forge to VERIFY plants at UPSIDA Industrial Area, Bhadohi</v>
      </c>
      <c r="AL945" s="15" t="str">
        <f t="shared" si="22"/>
        <v>Electropolished SS 316L tube stock for Bhadohi - Sakshi Forge</v>
      </c>
      <c r="AM945" s="15" t="str">
        <f t="shared" si="23"/>
        <v>Home &gt; Market Area &gt; India &gt; Uttar Pradesh &gt; Bhadohi</v>
      </c>
      <c r="AN945" s="15">
        <f t="shared" si="24"/>
        <v>750</v>
      </c>
      <c r="AO945" s="15">
        <f t="shared" si="25"/>
        <v>6</v>
      </c>
      <c r="AP945" s="15">
        <f t="shared" si="26"/>
        <v>6</v>
      </c>
      <c r="AQ945" s="15">
        <f t="shared" si="27"/>
        <v>16</v>
      </c>
      <c r="AR945" s="31"/>
      <c r="AS945" s="31"/>
      <c r="AT945" s="35" t="s">
        <v>222</v>
      </c>
      <c r="AU945" s="35"/>
    </row>
    <row r="946" ht="15.75" customHeight="1">
      <c r="A946" s="15" t="s">
        <v>4995</v>
      </c>
      <c r="B946" s="15" t="s">
        <v>60</v>
      </c>
      <c r="C946" s="15" t="s">
        <v>236</v>
      </c>
      <c r="D946" s="15" t="s">
        <v>4997</v>
      </c>
      <c r="E946" s="15" t="s">
        <v>4997</v>
      </c>
      <c r="F946" s="58" t="s">
        <v>807</v>
      </c>
      <c r="G946" s="66" t="s">
        <v>98</v>
      </c>
      <c r="H946" s="18" t="s">
        <v>4999</v>
      </c>
      <c r="I946" s="18" t="s">
        <v>8391</v>
      </c>
      <c r="J946" s="18" t="s">
        <v>98</v>
      </c>
      <c r="K946" s="18" t="s">
        <v>98</v>
      </c>
      <c r="L946" s="18" t="s">
        <v>98</v>
      </c>
      <c r="M946" s="18" t="s">
        <v>98</v>
      </c>
      <c r="N946" s="18" t="s">
        <v>98</v>
      </c>
      <c r="O946" s="18" t="s">
        <v>98</v>
      </c>
      <c r="P946" s="15" t="str">
        <f t="shared" si="1"/>
        <v>VERIFY</v>
      </c>
      <c r="Q946" s="15">
        <f t="shared" si="2"/>
        <v>7</v>
      </c>
      <c r="R946" s="15">
        <f t="shared" si="3"/>
        <v>5</v>
      </c>
      <c r="S946" s="15">
        <f t="shared" si="4"/>
        <v>3</v>
      </c>
      <c r="T946" s="15" t="str">
        <f t="shared" si="5"/>
        <v>C-1</v>
      </c>
      <c r="U946" s="15" t="str">
        <f t="shared" si="6"/>
        <v>T7-M5-H3-FC-1-VERIFY</v>
      </c>
      <c r="V946" s="15">
        <f t="shared" si="7"/>
        <v>1</v>
      </c>
      <c r="W946" s="31"/>
      <c r="X946" s="15" t="str">
        <f t="shared" si="8"/>
        <v>bhadra</v>
      </c>
      <c r="Y946" s="32" t="str">
        <f t="shared" si="9"/>
        <v>https://steelmanufacturer.in/market-area/electropolished-pipes-manufacturer-in-bhadra/</v>
      </c>
      <c r="Z946" s="15" t="str">
        <f t="shared" si="10"/>
        <v>Electropolished Pipes Manufacturer in Bhadra | ASME BPE SF1-SF4</v>
      </c>
      <c r="AA946" s="15" t="str">
        <f t="shared" si="11"/>
        <v>OK (63)</v>
      </c>
      <c r="AB946" s="15" t="str">
        <f t="shared" si="12"/>
        <v>Manufacturer of electropolished SS 316L tube serving Bhadra. VERIFY. Ra 0.25-0.5 um, EN 10204 3.1 MTC.</v>
      </c>
      <c r="AC946" s="15" t="str">
        <f t="shared" si="13"/>
        <v>PENDING RESEARCH</v>
      </c>
      <c r="AD946" s="15" t="str">
        <f t="shared" si="14"/>
        <v>Electropolished Pipes Manufacturer in Bhadra</v>
      </c>
      <c r="AE946" s="15" t="str">
        <f t="shared" si="15"/>
        <v>Electropolished Pipes Manufacturer in Bhadra - Our Process &amp; Capability</v>
      </c>
      <c r="AF946" s="15" t="str">
        <f t="shared" si="16"/>
        <v>Electropolished Pipes Supplier in Bhadra - What We Hold in Stock</v>
      </c>
      <c r="AG946" s="15" t="str">
        <f t="shared" si="17"/>
        <v>Bulk &amp; Wholesale Electropolished Pipe Rates for Bhadra Buyers</v>
      </c>
      <c r="AH946" s="15" t="str">
        <f t="shared" si="18"/>
        <v>electropolished pipes manufacturer in Bhadra, electropolished pipes supplier in Bhadra, electropolished pipes wholesaler in Bhadra, electropolished tube manufacturer Bhadra, EP pipe supplier Bhadra, sanitary tube supplier Bhadra, ASME BPE tubing Bhadra, ASTM A270 tube Bhadra, SS 316L electropolished pipe Bhadra</v>
      </c>
      <c r="AI946" s="15" t="str">
        <f t="shared" si="19"/>
        <v>Electropolished Pipes Manufacturer &amp; Supplier in Bhadra</v>
      </c>
      <c r="AJ946" s="15" t="str">
        <f t="shared" si="20"/>
        <v>EP-finished SS 304/316L pipes and tubes for VERIFY plants in Bhadra. ASME BPE SF1-SF4, Ra from 0.25 um, EN 10204 3.1 certificate with every lot.</v>
      </c>
      <c r="AK946" s="15" t="str">
        <f t="shared" si="21"/>
        <v>Electropolished stainless steel pipes supplied by Sakshi Forge to VERIFY plants at RIICO Industrial Area, Bhadra</v>
      </c>
      <c r="AL946" s="15" t="str">
        <f t="shared" si="22"/>
        <v>Electropolished SS 316L tube stock for Bhadra - Sakshi Forge</v>
      </c>
      <c r="AM946" s="15" t="str">
        <f t="shared" si="23"/>
        <v>Home &gt; Market Area &gt; India &gt; Rajasthan &gt; Bhadra</v>
      </c>
      <c r="AN946" s="15">
        <f t="shared" si="24"/>
        <v>750</v>
      </c>
      <c r="AO946" s="15">
        <f t="shared" si="25"/>
        <v>6</v>
      </c>
      <c r="AP946" s="15">
        <f t="shared" si="26"/>
        <v>6</v>
      </c>
      <c r="AQ946" s="15">
        <f t="shared" si="27"/>
        <v>16</v>
      </c>
      <c r="AR946" s="31"/>
      <c r="AS946" s="31"/>
      <c r="AT946" s="35" t="s">
        <v>222</v>
      </c>
      <c r="AU946" s="35"/>
    </row>
    <row r="947" ht="15.75" customHeight="1">
      <c r="A947" s="15" t="s">
        <v>5000</v>
      </c>
      <c r="B947" s="15" t="s">
        <v>60</v>
      </c>
      <c r="C947" s="15" t="s">
        <v>570</v>
      </c>
      <c r="D947" s="15" t="s">
        <v>5001</v>
      </c>
      <c r="E947" s="15" t="s">
        <v>5001</v>
      </c>
      <c r="F947" s="58" t="s">
        <v>807</v>
      </c>
      <c r="G947" s="66" t="s">
        <v>98</v>
      </c>
      <c r="H947" s="18" t="s">
        <v>5003</v>
      </c>
      <c r="I947" s="18" t="s">
        <v>8405</v>
      </c>
      <c r="J947" s="18" t="s">
        <v>98</v>
      </c>
      <c r="K947" s="18" t="s">
        <v>98</v>
      </c>
      <c r="L947" s="18" t="s">
        <v>98</v>
      </c>
      <c r="M947" s="18" t="s">
        <v>98</v>
      </c>
      <c r="N947" s="18" t="s">
        <v>98</v>
      </c>
      <c r="O947" s="18" t="s">
        <v>98</v>
      </c>
      <c r="P947" s="15" t="str">
        <f t="shared" si="1"/>
        <v>VERIFY</v>
      </c>
      <c r="Q947" s="15">
        <f t="shared" si="2"/>
        <v>8</v>
      </c>
      <c r="R947" s="15">
        <f t="shared" si="3"/>
        <v>6</v>
      </c>
      <c r="S947" s="15">
        <f t="shared" si="4"/>
        <v>4</v>
      </c>
      <c r="T947" s="15" t="str">
        <f t="shared" si="5"/>
        <v>C-2</v>
      </c>
      <c r="U947" s="15" t="str">
        <f t="shared" si="6"/>
        <v>T8-M6-H4-FC-2-VERIFY</v>
      </c>
      <c r="V947" s="15">
        <f t="shared" si="7"/>
        <v>1</v>
      </c>
      <c r="W947" s="31"/>
      <c r="X947" s="15" t="str">
        <f t="shared" si="8"/>
        <v>bhadravathi</v>
      </c>
      <c r="Y947" s="32" t="str">
        <f t="shared" si="9"/>
        <v>https://steelmanufacturer.in/market-area/electropolished-pipes-manufacturer-in-bhadravathi/</v>
      </c>
      <c r="Z947" s="15" t="str">
        <f t="shared" si="10"/>
        <v>Electropolished Pipes Manufacturer in Bhadravathi</v>
      </c>
      <c r="AA947" s="15" t="str">
        <f t="shared" si="11"/>
        <v>OK (49)</v>
      </c>
      <c r="AB947" s="15" t="str">
        <f t="shared" si="12"/>
        <v>EP tube and pipe for VERIFY plants around KIADB Industrial Area, Bhadravathi. Made at our Mumbai works to ASTM A270 and ASME BPE SF1-SF4, with 3.1 MTC.</v>
      </c>
      <c r="AC947" s="15" t="str">
        <f t="shared" si="13"/>
        <v>PENDING RESEARCH</v>
      </c>
      <c r="AD947" s="15" t="str">
        <f t="shared" si="14"/>
        <v>Electropolished Pipes Manufacturer in Bhadravathi</v>
      </c>
      <c r="AE947" s="15" t="str">
        <f t="shared" si="15"/>
        <v>Manufacturing Electropolished SS Tube for Bhadravathi: The Standards We Build To</v>
      </c>
      <c r="AF947" s="15" t="str">
        <f t="shared" si="16"/>
        <v>Electropolished Pipe Supply Into Bhadravathi - Certification &amp; Transit</v>
      </c>
      <c r="AG947" s="15" t="str">
        <f t="shared" si="17"/>
        <v>Electropolished Pipes Wholesaler in Bhadravathi - Project Quantities &amp; Terms</v>
      </c>
      <c r="AH947" s="15" t="str">
        <f t="shared" si="18"/>
        <v>electropolished pipes manufacturer in Bhadravathi, electropolished pipes supplier in Bhadravathi, electropolished pipes wholesaler in Bhadravathi, electropolished tube manufacturer Bhadravathi, EP pipe supplier Bhadravathi, sanitary tube supplier Bhadravathi, ASME BPE tubing Bhadravathi, ASTM A270 tube Bhadravathi, SS 316L electropolished pipe Bhadravathi</v>
      </c>
      <c r="AI947" s="15" t="str">
        <f t="shared" si="19"/>
        <v>Electropolished Pipes Manufacturer &amp; Supplier in Bhadravathi</v>
      </c>
      <c r="AJ947" s="15" t="str">
        <f t="shared" si="20"/>
        <v>EP-finished SS 304/316L pipes and tubes for VERIFY plants in Bhadravathi. ASME BPE SF1-SF4, Ra from 0.25 um, EN 10204 3.1 certificate with every lot.</v>
      </c>
      <c r="AK947" s="15" t="str">
        <f t="shared" si="21"/>
        <v>Electropolished stainless steel pipes supplied by Sakshi Forge to VERIFY plants at KIADB Industrial Area, Bhadravathi</v>
      </c>
      <c r="AL947" s="15" t="str">
        <f t="shared" si="22"/>
        <v>Electropolished SS 316L tube stock for Bhadravathi - Sakshi Forge</v>
      </c>
      <c r="AM947" s="15" t="str">
        <f t="shared" si="23"/>
        <v>Home &gt; Market Area &gt; India &gt; Karnataka &gt; Bhadravathi</v>
      </c>
      <c r="AN947" s="15">
        <f t="shared" si="24"/>
        <v>750</v>
      </c>
      <c r="AO947" s="15">
        <f t="shared" si="25"/>
        <v>6</v>
      </c>
      <c r="AP947" s="15">
        <f t="shared" si="26"/>
        <v>6</v>
      </c>
      <c r="AQ947" s="15">
        <f t="shared" si="27"/>
        <v>16</v>
      </c>
      <c r="AR947" s="31"/>
      <c r="AS947" s="31"/>
      <c r="AT947" s="35" t="s">
        <v>222</v>
      </c>
      <c r="AU947" s="35"/>
    </row>
    <row r="948" ht="15.75" customHeight="1">
      <c r="A948" s="15" t="s">
        <v>5004</v>
      </c>
      <c r="B948" s="15" t="s">
        <v>60</v>
      </c>
      <c r="C948" s="15" t="s">
        <v>570</v>
      </c>
      <c r="D948" s="15" t="s">
        <v>5005</v>
      </c>
      <c r="E948" s="15" t="s">
        <v>5005</v>
      </c>
      <c r="F948" s="58" t="s">
        <v>807</v>
      </c>
      <c r="G948" s="66" t="s">
        <v>98</v>
      </c>
      <c r="H948" s="18" t="s">
        <v>5007</v>
      </c>
      <c r="I948" s="18" t="s">
        <v>8405</v>
      </c>
      <c r="J948" s="18" t="s">
        <v>98</v>
      </c>
      <c r="K948" s="18" t="s">
        <v>98</v>
      </c>
      <c r="L948" s="18" t="s">
        <v>98</v>
      </c>
      <c r="M948" s="18" t="s">
        <v>98</v>
      </c>
      <c r="N948" s="18" t="s">
        <v>98</v>
      </c>
      <c r="O948" s="18" t="s">
        <v>98</v>
      </c>
      <c r="P948" s="15" t="str">
        <f t="shared" si="1"/>
        <v>VERIFY</v>
      </c>
      <c r="Q948" s="15">
        <f t="shared" si="2"/>
        <v>1</v>
      </c>
      <c r="R948" s="15">
        <f t="shared" si="3"/>
        <v>7</v>
      </c>
      <c r="S948" s="15">
        <f t="shared" si="4"/>
        <v>5</v>
      </c>
      <c r="T948" s="15" t="str">
        <f t="shared" si="5"/>
        <v>C-3</v>
      </c>
      <c r="U948" s="15" t="str">
        <f t="shared" si="6"/>
        <v>T1-M7-H5-FC-3-VERIFY</v>
      </c>
      <c r="V948" s="15">
        <f t="shared" si="7"/>
        <v>1</v>
      </c>
      <c r="W948" s="31"/>
      <c r="X948" s="15" t="str">
        <f t="shared" si="8"/>
        <v>bhatkal</v>
      </c>
      <c r="Y948" s="32" t="str">
        <f t="shared" si="9"/>
        <v>https://steelmanufacturer.in/market-area/electropolished-pipes-manufacturer-in-bhatkal/</v>
      </c>
      <c r="Z948" s="15" t="str">
        <f t="shared" si="10"/>
        <v>Electropolished Pipes Manufacturer in Bhatkal | Sakshi Forge</v>
      </c>
      <c r="AA948" s="15" t="str">
        <f t="shared" si="11"/>
        <v>OK (60)</v>
      </c>
      <c r="AB948" s="15" t="str">
        <f t="shared" si="12"/>
        <v>Electropolished pipes in Bhatkal: 304, 304L, 316 and 316L in SF1-SF4. VERIFY. Mill certified.</v>
      </c>
      <c r="AC948" s="15" t="str">
        <f t="shared" si="13"/>
        <v>PENDING RESEARCH</v>
      </c>
      <c r="AD948" s="15" t="str">
        <f t="shared" si="14"/>
        <v>Electropolished Pipes Manufacturer in Bhatkal</v>
      </c>
      <c r="AE948" s="15" t="str">
        <f t="shared" si="15"/>
        <v>Electropolished Tube Manufacturing Capability Serving Bhatkal</v>
      </c>
      <c r="AF948" s="15" t="str">
        <f t="shared" si="16"/>
        <v>Electropolished Pipes Supplier in Bhatkal - From Order to Delivery</v>
      </c>
      <c r="AG948" s="15" t="str">
        <f t="shared" si="17"/>
        <v>Stockist &amp; Wholesale Supply of Electropolished Pipes in Bhatkal</v>
      </c>
      <c r="AH948" s="15" t="str">
        <f t="shared" si="18"/>
        <v>electropolished pipes manufacturer in Bhatkal, electropolished pipes supplier in Bhatkal, electropolished pipes wholesaler in Bhatkal, electropolished tube manufacturer Bhatkal, EP pipe supplier Bhatkal, sanitary tube supplier Bhatkal, ASME BPE tubing Bhatkal, ASTM A270 tube Bhatkal, SS 316L electropolished pipe Bhatkal</v>
      </c>
      <c r="AI948" s="15" t="str">
        <f t="shared" si="19"/>
        <v>Electropolished Pipes Manufacturer &amp; Supplier in Bhatkal</v>
      </c>
      <c r="AJ948" s="15" t="str">
        <f t="shared" si="20"/>
        <v>EP-finished SS 304/316L pipes and tubes for VERIFY plants in Bhatkal. ASME BPE SF1-SF4, Ra from 0.25 um, EN 10204 3.1 certificate with every lot.</v>
      </c>
      <c r="AK948" s="15" t="str">
        <f t="shared" si="21"/>
        <v>Electropolished stainless steel pipes supplied by Sakshi Forge to VERIFY plants at KIADB Industrial Area, Bhatkal</v>
      </c>
      <c r="AL948" s="15" t="str">
        <f t="shared" si="22"/>
        <v>Electropolished SS 316L tube stock for Bhatkal - Sakshi Forge</v>
      </c>
      <c r="AM948" s="15" t="str">
        <f t="shared" si="23"/>
        <v>Home &gt; Market Area &gt; India &gt; Karnataka &gt; Bhatkal</v>
      </c>
      <c r="AN948" s="15">
        <f t="shared" si="24"/>
        <v>750</v>
      </c>
      <c r="AO948" s="15">
        <f t="shared" si="25"/>
        <v>6</v>
      </c>
      <c r="AP948" s="15">
        <f t="shared" si="26"/>
        <v>6</v>
      </c>
      <c r="AQ948" s="15">
        <f t="shared" si="27"/>
        <v>16</v>
      </c>
      <c r="AR948" s="31"/>
      <c r="AS948" s="31"/>
      <c r="AT948" s="35" t="s">
        <v>222</v>
      </c>
      <c r="AU948" s="35"/>
    </row>
    <row r="949" ht="15.75" customHeight="1">
      <c r="A949" s="15" t="s">
        <v>5008</v>
      </c>
      <c r="B949" s="15" t="s">
        <v>60</v>
      </c>
      <c r="C949" s="15" t="s">
        <v>264</v>
      </c>
      <c r="D949" s="15" t="s">
        <v>5009</v>
      </c>
      <c r="E949" s="15" t="s">
        <v>5009</v>
      </c>
      <c r="F949" s="58" t="s">
        <v>807</v>
      </c>
      <c r="G949" s="66" t="s">
        <v>98</v>
      </c>
      <c r="H949" s="18" t="s">
        <v>5011</v>
      </c>
      <c r="I949" s="18" t="s">
        <v>8395</v>
      </c>
      <c r="J949" s="18" t="s">
        <v>98</v>
      </c>
      <c r="K949" s="18" t="s">
        <v>98</v>
      </c>
      <c r="L949" s="18" t="s">
        <v>98</v>
      </c>
      <c r="M949" s="18" t="s">
        <v>98</v>
      </c>
      <c r="N949" s="18" t="s">
        <v>98</v>
      </c>
      <c r="O949" s="18" t="s">
        <v>98</v>
      </c>
      <c r="P949" s="15" t="str">
        <f t="shared" si="1"/>
        <v>VERIFY</v>
      </c>
      <c r="Q949" s="15">
        <f t="shared" si="2"/>
        <v>2</v>
      </c>
      <c r="R949" s="15">
        <f t="shared" si="3"/>
        <v>1</v>
      </c>
      <c r="S949" s="15">
        <f t="shared" si="4"/>
        <v>1</v>
      </c>
      <c r="T949" s="15" t="str">
        <f t="shared" si="5"/>
        <v>C-4</v>
      </c>
      <c r="U949" s="15" t="str">
        <f t="shared" si="6"/>
        <v>T2-M1-H1-FC-4-VERIFY</v>
      </c>
      <c r="V949" s="15">
        <f t="shared" si="7"/>
        <v>1</v>
      </c>
      <c r="W949" s="31"/>
      <c r="X949" s="15" t="str">
        <f t="shared" si="8"/>
        <v>bhokar</v>
      </c>
      <c r="Y949" s="32" t="str">
        <f t="shared" si="9"/>
        <v>https://steelmanufacturer.in/market-area/electropolished-pipes-manufacturer-in-bhokar/</v>
      </c>
      <c r="Z949" s="15" t="str">
        <f t="shared" si="10"/>
        <v>Electropolished Pipes Manufacturer in Bhokar</v>
      </c>
      <c r="AA949" s="15" t="str">
        <f t="shared" si="11"/>
        <v>OK (44)</v>
      </c>
      <c r="AB949" s="15" t="str">
        <f t="shared" si="12"/>
        <v>EP-finished SS 304/316L pipes &amp; tubes for VERIFY plants in Bhokar. ASTM A270, ASME BPE SF1-SF4, EN 10204 3.1 MTC. PMI tested.</v>
      </c>
      <c r="AC949" s="15" t="str">
        <f t="shared" si="13"/>
        <v>PENDING RESEARCH</v>
      </c>
      <c r="AD949" s="15" t="str">
        <f t="shared" si="14"/>
        <v>Electropolished Pipes Manufacturer in Bhokar</v>
      </c>
      <c r="AE949" s="15" t="str">
        <f t="shared" si="15"/>
        <v>Electropolished Pipe &amp; Tube Manufacturing for Bhokar - Grades, Finishes &amp; Certification</v>
      </c>
      <c r="AF949" s="15" t="str">
        <f t="shared" si="16"/>
        <v>Electropolished Pipes Supplier in Bhokar - Stock Sizes, Lead Time &amp; Delivery</v>
      </c>
      <c r="AG949" s="15" t="str">
        <f t="shared" si="17"/>
        <v>Electropolished Pipes Wholesaler &amp; Stockist in Bhokar - Bulk &amp; Project Pricing</v>
      </c>
      <c r="AH949" s="15" t="str">
        <f t="shared" si="18"/>
        <v>electropolished pipes manufacturer in Bhokar, electropolished pipes supplier in Bhokar, electropolished pipes wholesaler in Bhokar, electropolished tube manufacturer Bhokar, EP pipe supplier Bhokar, sanitary tube supplier Bhokar, ASME BPE tubing Bhokar, ASTM A270 tube Bhokar, SS 316L electropolished pipe Bhokar</v>
      </c>
      <c r="AI949" s="15" t="str">
        <f t="shared" si="19"/>
        <v>Electropolished Pipes Manufacturer &amp; Supplier in Bhokar</v>
      </c>
      <c r="AJ949" s="15" t="str">
        <f t="shared" si="20"/>
        <v>EP-finished SS 304/316L pipes and tubes for VERIFY plants in Bhokar. ASME BPE SF1-SF4, Ra from 0.25 um, EN 10204 3.1 certificate with every lot.</v>
      </c>
      <c r="AK949" s="15" t="str">
        <f t="shared" si="21"/>
        <v>Electropolished stainless steel pipes supplied by Sakshi Forge to VERIFY plants at MIDC Industrial Area, Bhokar</v>
      </c>
      <c r="AL949" s="15" t="str">
        <f t="shared" si="22"/>
        <v>Electropolished SS 316L tube stock for Bhokar - Sakshi Forge</v>
      </c>
      <c r="AM949" s="15" t="str">
        <f t="shared" si="23"/>
        <v>Home &gt; Market Area &gt; India &gt; Maharashtra &gt; Bhokar</v>
      </c>
      <c r="AN949" s="15">
        <f t="shared" si="24"/>
        <v>750</v>
      </c>
      <c r="AO949" s="15">
        <f t="shared" si="25"/>
        <v>6</v>
      </c>
      <c r="AP949" s="15">
        <f t="shared" si="26"/>
        <v>6</v>
      </c>
      <c r="AQ949" s="15">
        <f t="shared" si="27"/>
        <v>16</v>
      </c>
      <c r="AR949" s="31"/>
      <c r="AS949" s="31"/>
      <c r="AT949" s="35" t="s">
        <v>222</v>
      </c>
      <c r="AU949" s="35"/>
    </row>
    <row r="950" ht="15.75" customHeight="1">
      <c r="A950" s="15" t="s">
        <v>5012</v>
      </c>
      <c r="B950" s="15" t="s">
        <v>60</v>
      </c>
      <c r="C950" s="15" t="s">
        <v>570</v>
      </c>
      <c r="D950" s="15" t="s">
        <v>5013</v>
      </c>
      <c r="E950" s="15" t="s">
        <v>5013</v>
      </c>
      <c r="F950" s="58" t="s">
        <v>807</v>
      </c>
      <c r="G950" s="66" t="s">
        <v>98</v>
      </c>
      <c r="H950" s="18" t="s">
        <v>5015</v>
      </c>
      <c r="I950" s="18" t="s">
        <v>8405</v>
      </c>
      <c r="J950" s="18" t="s">
        <v>98</v>
      </c>
      <c r="K950" s="18" t="s">
        <v>98</v>
      </c>
      <c r="L950" s="18" t="s">
        <v>98</v>
      </c>
      <c r="M950" s="18" t="s">
        <v>98</v>
      </c>
      <c r="N950" s="18" t="s">
        <v>98</v>
      </c>
      <c r="O950" s="18" t="s">
        <v>98</v>
      </c>
      <c r="P950" s="15" t="str">
        <f t="shared" si="1"/>
        <v>VERIFY</v>
      </c>
      <c r="Q950" s="15">
        <f t="shared" si="2"/>
        <v>3</v>
      </c>
      <c r="R950" s="15">
        <f t="shared" si="3"/>
        <v>2</v>
      </c>
      <c r="S950" s="15">
        <f t="shared" si="4"/>
        <v>2</v>
      </c>
      <c r="T950" s="15" t="str">
        <f t="shared" si="5"/>
        <v>C-5</v>
      </c>
      <c r="U950" s="15" t="str">
        <f t="shared" si="6"/>
        <v>T3-M2-H2-FC-5-VERIFY</v>
      </c>
      <c r="V950" s="15">
        <f t="shared" si="7"/>
        <v>1</v>
      </c>
      <c r="W950" s="31"/>
      <c r="X950" s="15" t="str">
        <f t="shared" si="8"/>
        <v>bidadi</v>
      </c>
      <c r="Y950" s="32" t="str">
        <f t="shared" si="9"/>
        <v>https://steelmanufacturer.in/market-area/electropolished-pipes-manufacturer-in-bidadi/</v>
      </c>
      <c r="Z950" s="15" t="str">
        <f t="shared" si="10"/>
        <v>Electropolished Pipes Manufacturer in Bidadi | EP Tube Supplier</v>
      </c>
      <c r="AA950" s="15" t="str">
        <f t="shared" si="11"/>
        <v>OK (63)</v>
      </c>
      <c r="AB950" s="15" t="str">
        <f t="shared" si="12"/>
        <v>Electropolished tube supply to KIADB Industrial Area, Bidadi. Ra from 0.25 um, SF4 finish, mill test certificate with every lot.</v>
      </c>
      <c r="AC950" s="15" t="str">
        <f t="shared" si="13"/>
        <v>PENDING RESEARCH</v>
      </c>
      <c r="AD950" s="15" t="str">
        <f t="shared" si="14"/>
        <v>Electropolished Pipes Manufacturer in Bidadi</v>
      </c>
      <c r="AE950" s="15" t="str">
        <f t="shared" si="15"/>
        <v>How We Manufacture Electropolished Tube for Bidadi Plants</v>
      </c>
      <c r="AF950" s="15" t="str">
        <f t="shared" si="16"/>
        <v>Supplying Electropolished Pipes in Bidadi: Availability, Sizes &amp; Dispatch</v>
      </c>
      <c r="AG950" s="15" t="str">
        <f t="shared" si="17"/>
        <v>Wholesale Electropolished Pipe Supply for Bidadi Projects</v>
      </c>
      <c r="AH950" s="15" t="str">
        <f t="shared" si="18"/>
        <v>electropolished pipes manufacturer in Bidadi, electropolished pipes supplier in Bidadi, electropolished pipes wholesaler in Bidadi, electropolished tube manufacturer Bidadi, EP pipe supplier Bidadi, sanitary tube supplier Bidadi, ASME BPE tubing Bidadi, ASTM A270 tube Bidadi, SS 316L electropolished pipe Bidadi</v>
      </c>
      <c r="AI950" s="15" t="str">
        <f t="shared" si="19"/>
        <v>Electropolished Pipes Manufacturer &amp; Supplier in Bidadi</v>
      </c>
      <c r="AJ950" s="15" t="str">
        <f t="shared" si="20"/>
        <v>EP-finished SS 304/316L pipes and tubes for VERIFY plants in Bidadi. ASME BPE SF1-SF4, Ra from 0.25 um, EN 10204 3.1 certificate with every lot.</v>
      </c>
      <c r="AK950" s="15" t="str">
        <f t="shared" si="21"/>
        <v>Electropolished stainless steel pipes supplied by Sakshi Forge to VERIFY plants at KIADB Industrial Area, Bidadi</v>
      </c>
      <c r="AL950" s="15" t="str">
        <f t="shared" si="22"/>
        <v>Electropolished SS 316L tube stock for Bidadi - Sakshi Forge</v>
      </c>
      <c r="AM950" s="15" t="str">
        <f t="shared" si="23"/>
        <v>Home &gt; Market Area &gt; India &gt; Karnataka &gt; Bidadi</v>
      </c>
      <c r="AN950" s="15">
        <f t="shared" si="24"/>
        <v>750</v>
      </c>
      <c r="AO950" s="15">
        <f t="shared" si="25"/>
        <v>6</v>
      </c>
      <c r="AP950" s="15">
        <f t="shared" si="26"/>
        <v>6</v>
      </c>
      <c r="AQ950" s="15">
        <f t="shared" si="27"/>
        <v>16</v>
      </c>
      <c r="AR950" s="31"/>
      <c r="AS950" s="31"/>
      <c r="AT950" s="35" t="s">
        <v>222</v>
      </c>
      <c r="AU950" s="35"/>
    </row>
    <row r="951" ht="15.75" customHeight="1">
      <c r="A951" s="15" t="s">
        <v>5016</v>
      </c>
      <c r="B951" s="15" t="s">
        <v>60</v>
      </c>
      <c r="C951" s="15" t="s">
        <v>1818</v>
      </c>
      <c r="D951" s="15" t="s">
        <v>5017</v>
      </c>
      <c r="E951" s="15" t="s">
        <v>5017</v>
      </c>
      <c r="F951" s="58" t="s">
        <v>807</v>
      </c>
      <c r="G951" s="66" t="s">
        <v>98</v>
      </c>
      <c r="H951" s="18" t="s">
        <v>5019</v>
      </c>
      <c r="I951" s="18" t="s">
        <v>8402</v>
      </c>
      <c r="J951" s="18" t="s">
        <v>98</v>
      </c>
      <c r="K951" s="18" t="s">
        <v>98</v>
      </c>
      <c r="L951" s="18" t="s">
        <v>98</v>
      </c>
      <c r="M951" s="18" t="s">
        <v>98</v>
      </c>
      <c r="N951" s="18" t="s">
        <v>98</v>
      </c>
      <c r="O951" s="18" t="s">
        <v>98</v>
      </c>
      <c r="P951" s="15" t="str">
        <f t="shared" si="1"/>
        <v>VERIFY</v>
      </c>
      <c r="Q951" s="15">
        <f t="shared" si="2"/>
        <v>4</v>
      </c>
      <c r="R951" s="15">
        <f t="shared" si="3"/>
        <v>3</v>
      </c>
      <c r="S951" s="15">
        <f t="shared" si="4"/>
        <v>3</v>
      </c>
      <c r="T951" s="15" t="str">
        <f t="shared" si="5"/>
        <v>C-6</v>
      </c>
      <c r="U951" s="15" t="str">
        <f t="shared" si="6"/>
        <v>T4-M3-H3-FC-6-VERIFY</v>
      </c>
      <c r="V951" s="15">
        <f t="shared" si="7"/>
        <v>1</v>
      </c>
      <c r="W951" s="31"/>
      <c r="X951" s="15" t="str">
        <f t="shared" si="8"/>
        <v>bihta</v>
      </c>
      <c r="Y951" s="32" t="str">
        <f t="shared" si="9"/>
        <v>https://steelmanufacturer.in/market-area/electropolished-pipes-manufacturer-in-bihta/</v>
      </c>
      <c r="Z951" s="15" t="str">
        <f t="shared" si="10"/>
        <v>Electropolished Pipes Manufacturer in Bihta - SS 304/316L EP Tube</v>
      </c>
      <c r="AA951" s="15" t="str">
        <f t="shared" si="11"/>
        <v>OK (65)</v>
      </c>
      <c r="AB951" s="15" t="str">
        <f t="shared" si="12"/>
        <v>EP stainless tube for VERIFY lines in Bihta. VERIFY. ASTM A270 S2, PMI tested, EN 10204 3.1.</v>
      </c>
      <c r="AC951" s="15" t="str">
        <f t="shared" si="13"/>
        <v>PENDING RESEARCH</v>
      </c>
      <c r="AD951" s="15" t="str">
        <f t="shared" si="14"/>
        <v>Electropolished Pipes Manufacturer in Bihta</v>
      </c>
      <c r="AE951" s="15" t="str">
        <f t="shared" si="15"/>
        <v>Electropolished Pipes Manufacturer in Bihta - Our Process &amp; Capability</v>
      </c>
      <c r="AF951" s="15" t="str">
        <f t="shared" si="16"/>
        <v>Electropolished Pipes Supplier in Bihta - What We Hold in Stock</v>
      </c>
      <c r="AG951" s="15" t="str">
        <f t="shared" si="17"/>
        <v>Bulk &amp; Wholesale Electropolished Pipe Rates for Bihta Buyers</v>
      </c>
      <c r="AH951" s="15" t="str">
        <f t="shared" si="18"/>
        <v>electropolished pipes manufacturer in Bihta, electropolished pipes supplier in Bihta, electropolished pipes wholesaler in Bihta, electropolished tube manufacturer Bihta, EP pipe supplier Bihta, sanitary tube supplier Bihta, ASME BPE tubing Bihta, ASTM A270 tube Bihta, SS 316L electropolished pipe Bihta</v>
      </c>
      <c r="AI951" s="15" t="str">
        <f t="shared" si="19"/>
        <v>Electropolished Pipes Manufacturer &amp; Supplier in Bihta</v>
      </c>
      <c r="AJ951" s="15" t="str">
        <f t="shared" si="20"/>
        <v>EP-finished SS 304/316L pipes and tubes for VERIFY plants in Bihta. ASME BPE SF1-SF4, Ra from 0.25 um, EN 10204 3.1 certificate with every lot.</v>
      </c>
      <c r="AK951" s="15" t="str">
        <f t="shared" si="21"/>
        <v>Electropolished stainless steel pipes supplied by Sakshi Forge to VERIFY plants at BIADA Industrial Area, Bihta</v>
      </c>
      <c r="AL951" s="15" t="str">
        <f t="shared" si="22"/>
        <v>Electropolished SS 316L tube stock for Bihta - Sakshi Forge</v>
      </c>
      <c r="AM951" s="15" t="str">
        <f t="shared" si="23"/>
        <v>Home &gt; Market Area &gt; India &gt; Bihar &gt; Bihta</v>
      </c>
      <c r="AN951" s="15">
        <f t="shared" si="24"/>
        <v>750</v>
      </c>
      <c r="AO951" s="15">
        <f t="shared" si="25"/>
        <v>6</v>
      </c>
      <c r="AP951" s="15">
        <f t="shared" si="26"/>
        <v>6</v>
      </c>
      <c r="AQ951" s="15">
        <f t="shared" si="27"/>
        <v>16</v>
      </c>
      <c r="AR951" s="31"/>
      <c r="AS951" s="31"/>
      <c r="AT951" s="35" t="s">
        <v>222</v>
      </c>
      <c r="AU951" s="35"/>
    </row>
    <row r="952" ht="15.75" customHeight="1">
      <c r="A952" s="15" t="s">
        <v>5020</v>
      </c>
      <c r="B952" s="15" t="s">
        <v>60</v>
      </c>
      <c r="C952" s="15" t="s">
        <v>236</v>
      </c>
      <c r="D952" s="15" t="s">
        <v>5021</v>
      </c>
      <c r="E952" s="15" t="s">
        <v>5021</v>
      </c>
      <c r="F952" s="58" t="s">
        <v>807</v>
      </c>
      <c r="G952" s="66" t="s">
        <v>98</v>
      </c>
      <c r="H952" s="18" t="s">
        <v>5023</v>
      </c>
      <c r="I952" s="18" t="s">
        <v>8391</v>
      </c>
      <c r="J952" s="18" t="s">
        <v>98</v>
      </c>
      <c r="K952" s="18" t="s">
        <v>98</v>
      </c>
      <c r="L952" s="18" t="s">
        <v>98</v>
      </c>
      <c r="M952" s="18" t="s">
        <v>98</v>
      </c>
      <c r="N952" s="18" t="s">
        <v>98</v>
      </c>
      <c r="O952" s="18" t="s">
        <v>98</v>
      </c>
      <c r="P952" s="15" t="str">
        <f t="shared" si="1"/>
        <v>VERIFY</v>
      </c>
      <c r="Q952" s="15">
        <f t="shared" si="2"/>
        <v>5</v>
      </c>
      <c r="R952" s="15">
        <f t="shared" si="3"/>
        <v>4</v>
      </c>
      <c r="S952" s="15">
        <f t="shared" si="4"/>
        <v>4</v>
      </c>
      <c r="T952" s="15" t="str">
        <f t="shared" si="5"/>
        <v>C-1</v>
      </c>
      <c r="U952" s="15" t="str">
        <f t="shared" si="6"/>
        <v>T5-M4-H4-FC-1-VERIFY</v>
      </c>
      <c r="V952" s="15">
        <f t="shared" si="7"/>
        <v>1</v>
      </c>
      <c r="W952" s="31"/>
      <c r="X952" s="15" t="str">
        <f t="shared" si="8"/>
        <v>bijainagar</v>
      </c>
      <c r="Y952" s="32" t="str">
        <f t="shared" si="9"/>
        <v>https://steelmanufacturer.in/market-area/electropolished-pipes-manufacturer-in-bijainagar/</v>
      </c>
      <c r="Z952" s="15" t="str">
        <f t="shared" si="10"/>
        <v>Electropolished Pipes Manufacturer in Bijainagar</v>
      </c>
      <c r="AA952" s="15" t="str">
        <f t="shared" si="11"/>
        <v>OK (48)</v>
      </c>
      <c r="AB952" s="15" t="str">
        <f t="shared" si="12"/>
        <v>Sanitary electropolished pipes in Bijainagar for VERIFY plants. ASME BPE SF1-SF4, orbital-weld ready, 3.1 MTC. Mumbai-made.</v>
      </c>
      <c r="AC952" s="15" t="str">
        <f t="shared" si="13"/>
        <v>PENDING RESEARCH</v>
      </c>
      <c r="AD952" s="15" t="str">
        <f t="shared" si="14"/>
        <v>Electropolished Pipes Manufacturer in Bijainagar</v>
      </c>
      <c r="AE952" s="15" t="str">
        <f t="shared" si="15"/>
        <v>Manufacturing Electropolished SS Tube for Bijainagar: The Standards We Build To</v>
      </c>
      <c r="AF952" s="15" t="str">
        <f t="shared" si="16"/>
        <v>Electropolished Pipe Supply Into Bijainagar - Certification &amp; Transit</v>
      </c>
      <c r="AG952" s="15" t="str">
        <f t="shared" si="17"/>
        <v>Electropolished Pipes Wholesaler in Bijainagar - Project Quantities &amp; Terms</v>
      </c>
      <c r="AH952" s="15" t="str">
        <f t="shared" si="18"/>
        <v>electropolished pipes manufacturer in Bijainagar, electropolished pipes supplier in Bijainagar, electropolished pipes wholesaler in Bijainagar, electropolished tube manufacturer Bijainagar, EP pipe supplier Bijainagar, sanitary tube supplier Bijainagar, ASME BPE tubing Bijainagar, ASTM A270 tube Bijainagar, SS 316L electropolished pipe Bijainagar</v>
      </c>
      <c r="AI952" s="15" t="str">
        <f t="shared" si="19"/>
        <v>Electropolished Pipes Manufacturer &amp; Supplier in Bijainagar</v>
      </c>
      <c r="AJ952" s="15" t="str">
        <f t="shared" si="20"/>
        <v>EP-finished SS 304/316L pipes and tubes for VERIFY plants in Bijainagar. ASME BPE SF1-SF4, Ra from 0.25 um, EN 10204 3.1 certificate with every lot.</v>
      </c>
      <c r="AK952" s="15" t="str">
        <f t="shared" si="21"/>
        <v>Electropolished stainless steel pipes supplied by Sakshi Forge to VERIFY plants at RIICO Industrial Area, Bijainagar</v>
      </c>
      <c r="AL952" s="15" t="str">
        <f t="shared" si="22"/>
        <v>Electropolished SS 316L tube stock for Bijainagar - Sakshi Forge</v>
      </c>
      <c r="AM952" s="15" t="str">
        <f t="shared" si="23"/>
        <v>Home &gt; Market Area &gt; India &gt; Rajasthan &gt; Bijainagar</v>
      </c>
      <c r="AN952" s="15">
        <f t="shared" si="24"/>
        <v>750</v>
      </c>
      <c r="AO952" s="15">
        <f t="shared" si="25"/>
        <v>6</v>
      </c>
      <c r="AP952" s="15">
        <f t="shared" si="26"/>
        <v>6</v>
      </c>
      <c r="AQ952" s="15">
        <f t="shared" si="27"/>
        <v>16</v>
      </c>
      <c r="AR952" s="31"/>
      <c r="AS952" s="31"/>
      <c r="AT952" s="35" t="s">
        <v>222</v>
      </c>
      <c r="AU952" s="35"/>
    </row>
    <row r="953" ht="15.75" customHeight="1">
      <c r="A953" s="15" t="s">
        <v>5024</v>
      </c>
      <c r="B953" s="15" t="s">
        <v>60</v>
      </c>
      <c r="C953" s="15" t="s">
        <v>775</v>
      </c>
      <c r="D953" s="15" t="s">
        <v>5025</v>
      </c>
      <c r="E953" s="15" t="s">
        <v>5025</v>
      </c>
      <c r="F953" s="58" t="s">
        <v>807</v>
      </c>
      <c r="G953" s="66" t="s">
        <v>98</v>
      </c>
      <c r="H953" s="18" t="s">
        <v>5027</v>
      </c>
      <c r="I953" s="18" t="s">
        <v>8399</v>
      </c>
      <c r="J953" s="18" t="s">
        <v>98</v>
      </c>
      <c r="K953" s="18" t="s">
        <v>98</v>
      </c>
      <c r="L953" s="18" t="s">
        <v>98</v>
      </c>
      <c r="M953" s="18" t="s">
        <v>98</v>
      </c>
      <c r="N953" s="18" t="s">
        <v>98</v>
      </c>
      <c r="O953" s="18" t="s">
        <v>98</v>
      </c>
      <c r="P953" s="15" t="str">
        <f t="shared" si="1"/>
        <v>VERIFY</v>
      </c>
      <c r="Q953" s="15">
        <f t="shared" si="2"/>
        <v>6</v>
      </c>
      <c r="R953" s="15">
        <f t="shared" si="3"/>
        <v>5</v>
      </c>
      <c r="S953" s="15">
        <f t="shared" si="4"/>
        <v>5</v>
      </c>
      <c r="T953" s="15" t="str">
        <f t="shared" si="5"/>
        <v>C-2</v>
      </c>
      <c r="U953" s="15" t="str">
        <f t="shared" si="6"/>
        <v>T6-M5-H5-FC-2-VERIFY</v>
      </c>
      <c r="V953" s="15">
        <f t="shared" si="7"/>
        <v>1</v>
      </c>
      <c r="W953" s="31"/>
      <c r="X953" s="15" t="str">
        <f t="shared" si="8"/>
        <v>bijapur</v>
      </c>
      <c r="Y953" s="32" t="str">
        <f t="shared" si="9"/>
        <v>https://steelmanufacturer.in/market-area/electropolished-pipes-manufacturer-in-bijapur/</v>
      </c>
      <c r="Z953" s="15" t="str">
        <f t="shared" si="10"/>
        <v>Electropolished Pipes Manufacturer in Bijapur</v>
      </c>
      <c r="AA953" s="15" t="str">
        <f t="shared" si="11"/>
        <v>OK (45)</v>
      </c>
      <c r="AB953" s="15" t="str">
        <f t="shared" si="12"/>
        <v>Manufacturer of electropolished SS 316L tube serving Bijapur. VERIFY. Ra 0.25-0.5 um, EN 10204 3.1 MTC.</v>
      </c>
      <c r="AC953" s="15" t="str">
        <f t="shared" si="13"/>
        <v>PENDING RESEARCH</v>
      </c>
      <c r="AD953" s="15" t="str">
        <f t="shared" si="14"/>
        <v>Electropolished Pipes Manufacturer in Bijapur</v>
      </c>
      <c r="AE953" s="15" t="str">
        <f t="shared" si="15"/>
        <v>Electropolished Tube Manufacturing Capability Serving Bijapur</v>
      </c>
      <c r="AF953" s="15" t="str">
        <f t="shared" si="16"/>
        <v>Electropolished Pipes Supplier in Bijapur - From Order to Delivery</v>
      </c>
      <c r="AG953" s="15" t="str">
        <f t="shared" si="17"/>
        <v>Stockist &amp; Wholesale Supply of Electropolished Pipes in Bijapur</v>
      </c>
      <c r="AH953" s="15" t="str">
        <f t="shared" si="18"/>
        <v>electropolished pipes manufacturer in Bijapur, electropolished pipes supplier in Bijapur, electropolished pipes wholesaler in Bijapur, electropolished tube manufacturer Bijapur, EP pipe supplier Bijapur, sanitary tube supplier Bijapur, ASME BPE tubing Bijapur, ASTM A270 tube Bijapur, SS 316L electropolished pipe Bijapur</v>
      </c>
      <c r="AI953" s="15" t="str">
        <f t="shared" si="19"/>
        <v>Electropolished Pipes Manufacturer &amp; Supplier in Bijapur</v>
      </c>
      <c r="AJ953" s="15" t="str">
        <f t="shared" si="20"/>
        <v>EP-finished SS 304/316L pipes and tubes for VERIFY plants in Bijapur. ASME BPE SF1-SF4, Ra from 0.25 um, EN 10204 3.1 certificate with every lot.</v>
      </c>
      <c r="AK953" s="15" t="str">
        <f t="shared" si="21"/>
        <v>Electropolished stainless steel pipes supplied by Sakshi Forge to VERIFY plants at CSIDC Industrial Area, Bijapur</v>
      </c>
      <c r="AL953" s="15" t="str">
        <f t="shared" si="22"/>
        <v>Electropolished SS 316L tube stock for Bijapur - Sakshi Forge</v>
      </c>
      <c r="AM953" s="15" t="str">
        <f t="shared" si="23"/>
        <v>Home &gt; Market Area &gt; India &gt; Chhattisgarh &gt; Bijapur</v>
      </c>
      <c r="AN953" s="15">
        <f t="shared" si="24"/>
        <v>750</v>
      </c>
      <c r="AO953" s="15">
        <f t="shared" si="25"/>
        <v>6</v>
      </c>
      <c r="AP953" s="15">
        <f t="shared" si="26"/>
        <v>6</v>
      </c>
      <c r="AQ953" s="15">
        <f t="shared" si="27"/>
        <v>16</v>
      </c>
      <c r="AR953" s="31"/>
      <c r="AS953" s="31"/>
      <c r="AT953" s="35" t="s">
        <v>222</v>
      </c>
      <c r="AU953" s="35"/>
    </row>
    <row r="954" ht="15.75" customHeight="1">
      <c r="A954" s="15" t="s">
        <v>5028</v>
      </c>
      <c r="B954" s="15" t="s">
        <v>60</v>
      </c>
      <c r="C954" s="15" t="s">
        <v>85</v>
      </c>
      <c r="D954" s="15" t="s">
        <v>5030</v>
      </c>
      <c r="E954" s="15" t="s">
        <v>5030</v>
      </c>
      <c r="F954" s="58" t="s">
        <v>807</v>
      </c>
      <c r="G954" s="66" t="s">
        <v>98</v>
      </c>
      <c r="H954" s="18" t="s">
        <v>5034</v>
      </c>
      <c r="I954" s="18" t="s">
        <v>8398</v>
      </c>
      <c r="J954" s="18" t="s">
        <v>98</v>
      </c>
      <c r="K954" s="18" t="s">
        <v>98</v>
      </c>
      <c r="L954" s="18" t="s">
        <v>98</v>
      </c>
      <c r="M954" s="18" t="s">
        <v>98</v>
      </c>
      <c r="N954" s="18" t="s">
        <v>98</v>
      </c>
      <c r="O954" s="18" t="s">
        <v>98</v>
      </c>
      <c r="P954" s="15" t="str">
        <f t="shared" si="1"/>
        <v>VERIFY</v>
      </c>
      <c r="Q954" s="15">
        <f t="shared" si="2"/>
        <v>7</v>
      </c>
      <c r="R954" s="15">
        <f t="shared" si="3"/>
        <v>6</v>
      </c>
      <c r="S954" s="15">
        <f t="shared" si="4"/>
        <v>1</v>
      </c>
      <c r="T954" s="15" t="str">
        <f t="shared" si="5"/>
        <v>C-3</v>
      </c>
      <c r="U954" s="15" t="str">
        <f t="shared" si="6"/>
        <v>T7-M6-H1-FC-3-VERIFY</v>
      </c>
      <c r="V954" s="15">
        <f t="shared" si="7"/>
        <v>1</v>
      </c>
      <c r="W954" s="31"/>
      <c r="X954" s="15" t="str">
        <f t="shared" si="8"/>
        <v>bijnor</v>
      </c>
      <c r="Y954" s="32" t="str">
        <f t="shared" si="9"/>
        <v>https://steelmanufacturer.in/market-area/electropolished-pipes-manufacturer-in-bijnor/</v>
      </c>
      <c r="Z954" s="15" t="str">
        <f t="shared" si="10"/>
        <v>Electropolished Pipes Manufacturer in Bijnor | ASME BPE SF1-SF4</v>
      </c>
      <c r="AA954" s="15" t="str">
        <f t="shared" si="11"/>
        <v>OK (63)</v>
      </c>
      <c r="AB954" s="15" t="str">
        <f t="shared" si="12"/>
        <v>EP tube and pipe for VERIFY plants around UPSIDA Industrial Area, Bijnor. Made at our Mumbai works to ASTM A270 and ASME BPE SF1-SF4, with 3.1 MTC.</v>
      </c>
      <c r="AC954" s="15" t="str">
        <f t="shared" si="13"/>
        <v>PENDING RESEARCH</v>
      </c>
      <c r="AD954" s="15" t="str">
        <f t="shared" si="14"/>
        <v>Electropolished Pipes Manufacturer in Bijnor</v>
      </c>
      <c r="AE954" s="15" t="str">
        <f t="shared" si="15"/>
        <v>Electropolished Pipe &amp; Tube Manufacturing for Bijnor - Grades, Finishes &amp; Certification</v>
      </c>
      <c r="AF954" s="15" t="str">
        <f t="shared" si="16"/>
        <v>Electropolished Pipes Supplier in Bijnor - Stock Sizes, Lead Time &amp; Delivery</v>
      </c>
      <c r="AG954" s="15" t="str">
        <f t="shared" si="17"/>
        <v>Electropolished Pipes Wholesaler &amp; Stockist in Bijnor - Bulk &amp; Project Pricing</v>
      </c>
      <c r="AH954" s="15" t="str">
        <f t="shared" si="18"/>
        <v>electropolished pipes manufacturer in Bijnor, electropolished pipes supplier in Bijnor, electropolished pipes wholesaler in Bijnor, electropolished tube manufacturer Bijnor, EP pipe supplier Bijnor, sanitary tube supplier Bijnor, ASME BPE tubing Bijnor, ASTM A270 tube Bijnor, SS 316L electropolished pipe Bijnor</v>
      </c>
      <c r="AI954" s="15" t="str">
        <f t="shared" si="19"/>
        <v>Electropolished Pipes Manufacturer &amp; Supplier in Bijnor</v>
      </c>
      <c r="AJ954" s="15" t="str">
        <f t="shared" si="20"/>
        <v>EP-finished SS 304/316L pipes and tubes for VERIFY plants in Bijnor. ASME BPE SF1-SF4, Ra from 0.25 um, EN 10204 3.1 certificate with every lot.</v>
      </c>
      <c r="AK954" s="15" t="str">
        <f t="shared" si="21"/>
        <v>Electropolished stainless steel pipes supplied by Sakshi Forge to VERIFY plants at UPSIDA Industrial Area, Bijnor</v>
      </c>
      <c r="AL954" s="15" t="str">
        <f t="shared" si="22"/>
        <v>Electropolished SS 316L tube stock for Bijnor - Sakshi Forge</v>
      </c>
      <c r="AM954" s="15" t="str">
        <f t="shared" si="23"/>
        <v>Home &gt; Market Area &gt; India &gt; Uttar Pradesh &gt; Bijnor</v>
      </c>
      <c r="AN954" s="15">
        <f t="shared" si="24"/>
        <v>750</v>
      </c>
      <c r="AO954" s="15">
        <f t="shared" si="25"/>
        <v>6</v>
      </c>
      <c r="AP954" s="15">
        <f t="shared" si="26"/>
        <v>6</v>
      </c>
      <c r="AQ954" s="15">
        <f t="shared" si="27"/>
        <v>16</v>
      </c>
      <c r="AR954" s="31"/>
      <c r="AS954" s="31"/>
      <c r="AT954" s="35" t="s">
        <v>222</v>
      </c>
      <c r="AU954" s="35"/>
    </row>
    <row r="955" ht="15.75" customHeight="1">
      <c r="A955" s="15" t="s">
        <v>5038</v>
      </c>
      <c r="B955" s="15" t="s">
        <v>60</v>
      </c>
      <c r="C955" s="15" t="s">
        <v>264</v>
      </c>
      <c r="D955" s="15" t="s">
        <v>5039</v>
      </c>
      <c r="E955" s="15" t="s">
        <v>5039</v>
      </c>
      <c r="F955" s="58" t="s">
        <v>807</v>
      </c>
      <c r="G955" s="66" t="s">
        <v>98</v>
      </c>
      <c r="H955" s="18" t="s">
        <v>5041</v>
      </c>
      <c r="I955" s="18" t="s">
        <v>8395</v>
      </c>
      <c r="J955" s="18" t="s">
        <v>98</v>
      </c>
      <c r="K955" s="18" t="s">
        <v>98</v>
      </c>
      <c r="L955" s="18" t="s">
        <v>98</v>
      </c>
      <c r="M955" s="18" t="s">
        <v>98</v>
      </c>
      <c r="N955" s="18" t="s">
        <v>98</v>
      </c>
      <c r="O955" s="18" t="s">
        <v>98</v>
      </c>
      <c r="P955" s="15" t="str">
        <f t="shared" si="1"/>
        <v>VERIFY</v>
      </c>
      <c r="Q955" s="15">
        <f t="shared" si="2"/>
        <v>8</v>
      </c>
      <c r="R955" s="15">
        <f t="shared" si="3"/>
        <v>7</v>
      </c>
      <c r="S955" s="15">
        <f t="shared" si="4"/>
        <v>2</v>
      </c>
      <c r="T955" s="15" t="str">
        <f t="shared" si="5"/>
        <v>C-4</v>
      </c>
      <c r="U955" s="15" t="str">
        <f t="shared" si="6"/>
        <v>T8-M7-H2-FC-4-VERIFY</v>
      </c>
      <c r="V955" s="15">
        <f t="shared" si="7"/>
        <v>1</v>
      </c>
      <c r="W955" s="31"/>
      <c r="X955" s="15" t="str">
        <f t="shared" si="8"/>
        <v>biloli</v>
      </c>
      <c r="Y955" s="32" t="str">
        <f t="shared" si="9"/>
        <v>https://steelmanufacturer.in/market-area/electropolished-pipes-manufacturer-in-biloli/</v>
      </c>
      <c r="Z955" s="15" t="str">
        <f t="shared" si="10"/>
        <v>Electropolished Pipes Manufacturer in Biloli - EP Tube Stockist</v>
      </c>
      <c r="AA955" s="15" t="str">
        <f t="shared" si="11"/>
        <v>OK (63)</v>
      </c>
      <c r="AB955" s="15" t="str">
        <f t="shared" si="12"/>
        <v>Electropolished pipes in Biloli: 304, 304L, 316 and 316L in SF1-SF4. VERIFY. Mill certified.</v>
      </c>
      <c r="AC955" s="15" t="str">
        <f t="shared" si="13"/>
        <v>PENDING RESEARCH</v>
      </c>
      <c r="AD955" s="15" t="str">
        <f t="shared" si="14"/>
        <v>Electropolished Pipes Manufacturer in Biloli</v>
      </c>
      <c r="AE955" s="15" t="str">
        <f t="shared" si="15"/>
        <v>How We Manufacture Electropolished Tube for Biloli Plants</v>
      </c>
      <c r="AF955" s="15" t="str">
        <f t="shared" si="16"/>
        <v>Supplying Electropolished Pipes in Biloli: Availability, Sizes &amp; Dispatch</v>
      </c>
      <c r="AG955" s="15" t="str">
        <f t="shared" si="17"/>
        <v>Wholesale Electropolished Pipe Supply for Biloli Projects</v>
      </c>
      <c r="AH955" s="15" t="str">
        <f t="shared" si="18"/>
        <v>electropolished pipes manufacturer in Biloli, electropolished pipes supplier in Biloli, electropolished pipes wholesaler in Biloli, electropolished tube manufacturer Biloli, EP pipe supplier Biloli, sanitary tube supplier Biloli, ASME BPE tubing Biloli, ASTM A270 tube Biloli, SS 316L electropolished pipe Biloli</v>
      </c>
      <c r="AI955" s="15" t="str">
        <f t="shared" si="19"/>
        <v>Electropolished Pipes Manufacturer &amp; Supplier in Biloli</v>
      </c>
      <c r="AJ955" s="15" t="str">
        <f t="shared" si="20"/>
        <v>EP-finished SS 304/316L pipes and tubes for VERIFY plants in Biloli. ASME BPE SF1-SF4, Ra from 0.25 um, EN 10204 3.1 certificate with every lot.</v>
      </c>
      <c r="AK955" s="15" t="str">
        <f t="shared" si="21"/>
        <v>Electropolished stainless steel pipes supplied by Sakshi Forge to VERIFY plants at MIDC Industrial Area, Biloli</v>
      </c>
      <c r="AL955" s="15" t="str">
        <f t="shared" si="22"/>
        <v>Electropolished SS 316L tube stock for Biloli - Sakshi Forge</v>
      </c>
      <c r="AM955" s="15" t="str">
        <f t="shared" si="23"/>
        <v>Home &gt; Market Area &gt; India &gt; Maharashtra &gt; Biloli</v>
      </c>
      <c r="AN955" s="15">
        <f t="shared" si="24"/>
        <v>750</v>
      </c>
      <c r="AO955" s="15">
        <f t="shared" si="25"/>
        <v>6</v>
      </c>
      <c r="AP955" s="15">
        <f t="shared" si="26"/>
        <v>6</v>
      </c>
      <c r="AQ955" s="15">
        <f t="shared" si="27"/>
        <v>16</v>
      </c>
      <c r="AR955" s="31"/>
      <c r="AS955" s="31"/>
      <c r="AT955" s="35" t="s">
        <v>222</v>
      </c>
      <c r="AU955" s="35"/>
    </row>
    <row r="956" ht="15.75" customHeight="1">
      <c r="A956" s="15" t="s">
        <v>5042</v>
      </c>
      <c r="B956" s="15" t="s">
        <v>60</v>
      </c>
      <c r="C956" s="15" t="s">
        <v>570</v>
      </c>
      <c r="D956" s="15" t="s">
        <v>5043</v>
      </c>
      <c r="E956" s="15" t="s">
        <v>5043</v>
      </c>
      <c r="F956" s="58" t="s">
        <v>807</v>
      </c>
      <c r="G956" s="66" t="s">
        <v>98</v>
      </c>
      <c r="H956" s="18" t="s">
        <v>5045</v>
      </c>
      <c r="I956" s="18" t="s">
        <v>8405</v>
      </c>
      <c r="J956" s="18" t="s">
        <v>98</v>
      </c>
      <c r="K956" s="18" t="s">
        <v>98</v>
      </c>
      <c r="L956" s="18" t="s">
        <v>98</v>
      </c>
      <c r="M956" s="18" t="s">
        <v>98</v>
      </c>
      <c r="N956" s="18" t="s">
        <v>98</v>
      </c>
      <c r="O956" s="18" t="s">
        <v>98</v>
      </c>
      <c r="P956" s="15" t="str">
        <f t="shared" si="1"/>
        <v>VERIFY</v>
      </c>
      <c r="Q956" s="15">
        <f t="shared" si="2"/>
        <v>1</v>
      </c>
      <c r="R956" s="15">
        <f t="shared" si="3"/>
        <v>1</v>
      </c>
      <c r="S956" s="15">
        <f t="shared" si="4"/>
        <v>3</v>
      </c>
      <c r="T956" s="15" t="str">
        <f t="shared" si="5"/>
        <v>C-5</v>
      </c>
      <c r="U956" s="15" t="str">
        <f t="shared" si="6"/>
        <v>T1-M1-H3-FC-5-VERIFY</v>
      </c>
      <c r="V956" s="15">
        <f t="shared" si="7"/>
        <v>1</v>
      </c>
      <c r="W956" s="31"/>
      <c r="X956" s="15" t="str">
        <f t="shared" si="8"/>
        <v>birur</v>
      </c>
      <c r="Y956" s="32" t="str">
        <f t="shared" si="9"/>
        <v>https://steelmanufacturer.in/market-area/electropolished-pipes-manufacturer-in-birur/</v>
      </c>
      <c r="Z956" s="15" t="str">
        <f t="shared" si="10"/>
        <v>Electropolished Pipes Manufacturer in Birur | Sakshi Forge</v>
      </c>
      <c r="AA956" s="15" t="str">
        <f t="shared" si="11"/>
        <v>OK (58)</v>
      </c>
      <c r="AB956" s="15" t="str">
        <f t="shared" si="12"/>
        <v>EP-finished SS 304/316L pipes &amp; tubes for VERIFY plants in Birur. ASTM A270, ASME BPE SF1-SF4, EN 10204 3.1 MTC. PMI tested.</v>
      </c>
      <c r="AC956" s="15" t="str">
        <f t="shared" si="13"/>
        <v>PENDING RESEARCH</v>
      </c>
      <c r="AD956" s="15" t="str">
        <f t="shared" si="14"/>
        <v>Electropolished Pipes Manufacturer in Birur</v>
      </c>
      <c r="AE956" s="15" t="str">
        <f t="shared" si="15"/>
        <v>Electropolished Pipes Manufacturer in Birur - Our Process &amp; Capability</v>
      </c>
      <c r="AF956" s="15" t="str">
        <f t="shared" si="16"/>
        <v>Electropolished Pipes Supplier in Birur - What We Hold in Stock</v>
      </c>
      <c r="AG956" s="15" t="str">
        <f t="shared" si="17"/>
        <v>Bulk &amp; Wholesale Electropolished Pipe Rates for Birur Buyers</v>
      </c>
      <c r="AH956" s="15" t="str">
        <f t="shared" si="18"/>
        <v>electropolished pipes manufacturer in Birur, electropolished pipes supplier in Birur, electropolished pipes wholesaler in Birur, electropolished tube manufacturer Birur, EP pipe supplier Birur, sanitary tube supplier Birur, ASME BPE tubing Birur, ASTM A270 tube Birur, SS 316L electropolished pipe Birur</v>
      </c>
      <c r="AI956" s="15" t="str">
        <f t="shared" si="19"/>
        <v>Electropolished Pipes Manufacturer &amp; Supplier in Birur</v>
      </c>
      <c r="AJ956" s="15" t="str">
        <f t="shared" si="20"/>
        <v>EP-finished SS 304/316L pipes and tubes for VERIFY plants in Birur. ASME BPE SF1-SF4, Ra from 0.25 um, EN 10204 3.1 certificate with every lot.</v>
      </c>
      <c r="AK956" s="15" t="str">
        <f t="shared" si="21"/>
        <v>Electropolished stainless steel pipes supplied by Sakshi Forge to VERIFY plants at KIADB Industrial Area, Birur</v>
      </c>
      <c r="AL956" s="15" t="str">
        <f t="shared" si="22"/>
        <v>Electropolished SS 316L tube stock for Birur - Sakshi Forge</v>
      </c>
      <c r="AM956" s="15" t="str">
        <f t="shared" si="23"/>
        <v>Home &gt; Market Area &gt; India &gt; Karnataka &gt; Birur</v>
      </c>
      <c r="AN956" s="15">
        <f t="shared" si="24"/>
        <v>750</v>
      </c>
      <c r="AO956" s="15">
        <f t="shared" si="25"/>
        <v>6</v>
      </c>
      <c r="AP956" s="15">
        <f t="shared" si="26"/>
        <v>6</v>
      </c>
      <c r="AQ956" s="15">
        <f t="shared" si="27"/>
        <v>16</v>
      </c>
      <c r="AR956" s="31"/>
      <c r="AS956" s="31"/>
      <c r="AT956" s="35" t="s">
        <v>222</v>
      </c>
      <c r="AU956" s="35"/>
    </row>
    <row r="957" ht="15.75" customHeight="1">
      <c r="A957" s="15" t="s">
        <v>5046</v>
      </c>
      <c r="B957" s="15" t="s">
        <v>60</v>
      </c>
      <c r="C957" s="15" t="s">
        <v>413</v>
      </c>
      <c r="D957" s="15" t="s">
        <v>5047</v>
      </c>
      <c r="E957" s="15" t="s">
        <v>5047</v>
      </c>
      <c r="F957" s="58" t="s">
        <v>807</v>
      </c>
      <c r="G957" s="66" t="s">
        <v>98</v>
      </c>
      <c r="H957" s="18" t="s">
        <v>5049</v>
      </c>
      <c r="I957" s="18" t="s">
        <v>8393</v>
      </c>
      <c r="J957" s="18" t="s">
        <v>98</v>
      </c>
      <c r="K957" s="18" t="s">
        <v>98</v>
      </c>
      <c r="L957" s="18" t="s">
        <v>98</v>
      </c>
      <c r="M957" s="18" t="s">
        <v>98</v>
      </c>
      <c r="N957" s="18" t="s">
        <v>98</v>
      </c>
      <c r="O957" s="18" t="s">
        <v>98</v>
      </c>
      <c r="P957" s="15" t="str">
        <f t="shared" si="1"/>
        <v>VERIFY</v>
      </c>
      <c r="Q957" s="15">
        <f t="shared" si="2"/>
        <v>2</v>
      </c>
      <c r="R957" s="15">
        <f t="shared" si="3"/>
        <v>2</v>
      </c>
      <c r="S957" s="15">
        <f t="shared" si="4"/>
        <v>4</v>
      </c>
      <c r="T957" s="15" t="str">
        <f t="shared" si="5"/>
        <v>C-6</v>
      </c>
      <c r="U957" s="15" t="str">
        <f t="shared" si="6"/>
        <v>T2-M2-H4-FC-6-VERIFY</v>
      </c>
      <c r="V957" s="15">
        <f t="shared" si="7"/>
        <v>1</v>
      </c>
      <c r="W957" s="31"/>
      <c r="X957" s="15" t="str">
        <f t="shared" si="8"/>
        <v>bobbili</v>
      </c>
      <c r="Y957" s="32" t="str">
        <f t="shared" si="9"/>
        <v>https://steelmanufacturer.in/market-area/electropolished-pipes-manufacturer-in-bobbili/</v>
      </c>
      <c r="Z957" s="15" t="str">
        <f t="shared" si="10"/>
        <v>Electropolished Pipes Manufacturer in Bobbili</v>
      </c>
      <c r="AA957" s="15" t="str">
        <f t="shared" si="11"/>
        <v>OK (45)</v>
      </c>
      <c r="AB957" s="15" t="str">
        <f t="shared" si="12"/>
        <v>Electropolished tube supply to APIIC Industrial Area, Bobbili. Ra from 0.25 um, SF4 finish, mill test certificate with every lot.</v>
      </c>
      <c r="AC957" s="15" t="str">
        <f t="shared" si="13"/>
        <v>PENDING RESEARCH</v>
      </c>
      <c r="AD957" s="15" t="str">
        <f t="shared" si="14"/>
        <v>Electropolished Pipes Manufacturer in Bobbili</v>
      </c>
      <c r="AE957" s="15" t="str">
        <f t="shared" si="15"/>
        <v>Manufacturing Electropolished SS Tube for Bobbili: The Standards We Build To</v>
      </c>
      <c r="AF957" s="15" t="str">
        <f t="shared" si="16"/>
        <v>Electropolished Pipe Supply Into Bobbili - Certification &amp; Transit</v>
      </c>
      <c r="AG957" s="15" t="str">
        <f t="shared" si="17"/>
        <v>Electropolished Pipes Wholesaler in Bobbili - Project Quantities &amp; Terms</v>
      </c>
      <c r="AH957" s="15" t="str">
        <f t="shared" si="18"/>
        <v>electropolished pipes manufacturer in Bobbili, electropolished pipes supplier in Bobbili, electropolished pipes wholesaler in Bobbili, electropolished tube manufacturer Bobbili, EP pipe supplier Bobbili, sanitary tube supplier Bobbili, ASME BPE tubing Bobbili, ASTM A270 tube Bobbili, SS 316L electropolished pipe Bobbili</v>
      </c>
      <c r="AI957" s="15" t="str">
        <f t="shared" si="19"/>
        <v>Electropolished Pipes Manufacturer &amp; Supplier in Bobbili</v>
      </c>
      <c r="AJ957" s="15" t="str">
        <f t="shared" si="20"/>
        <v>EP-finished SS 304/316L pipes and tubes for VERIFY plants in Bobbili. ASME BPE SF1-SF4, Ra from 0.25 um, EN 10204 3.1 certificate with every lot.</v>
      </c>
      <c r="AK957" s="15" t="str">
        <f t="shared" si="21"/>
        <v>Electropolished stainless steel pipes supplied by Sakshi Forge to VERIFY plants at APIIC Industrial Area, Bobbili</v>
      </c>
      <c r="AL957" s="15" t="str">
        <f t="shared" si="22"/>
        <v>Electropolished SS 316L tube stock for Bobbili - Sakshi Forge</v>
      </c>
      <c r="AM957" s="15" t="str">
        <f t="shared" si="23"/>
        <v>Home &gt; Market Area &gt; India &gt; Andhra Pradesh &gt; Bobbili</v>
      </c>
      <c r="AN957" s="15">
        <f t="shared" si="24"/>
        <v>750</v>
      </c>
      <c r="AO957" s="15">
        <f t="shared" si="25"/>
        <v>6</v>
      </c>
      <c r="AP957" s="15">
        <f t="shared" si="26"/>
        <v>6</v>
      </c>
      <c r="AQ957" s="15">
        <f t="shared" si="27"/>
        <v>16</v>
      </c>
      <c r="AR957" s="31"/>
      <c r="AS957" s="31"/>
      <c r="AT957" s="35" t="s">
        <v>222</v>
      </c>
      <c r="AU957" s="35"/>
    </row>
    <row r="958" ht="15.75" customHeight="1">
      <c r="A958" s="15" t="s">
        <v>5050</v>
      </c>
      <c r="B958" s="15" t="s">
        <v>60</v>
      </c>
      <c r="C958" s="15" t="s">
        <v>1312</v>
      </c>
      <c r="D958" s="15" t="s">
        <v>5051</v>
      </c>
      <c r="E958" s="15" t="s">
        <v>5051</v>
      </c>
      <c r="F958" s="58" t="s">
        <v>807</v>
      </c>
      <c r="G958" s="66" t="s">
        <v>98</v>
      </c>
      <c r="H958" s="18" t="s">
        <v>5053</v>
      </c>
      <c r="I958" s="18" t="s">
        <v>8392</v>
      </c>
      <c r="J958" s="18" t="s">
        <v>98</v>
      </c>
      <c r="K958" s="18" t="s">
        <v>98</v>
      </c>
      <c r="L958" s="18" t="s">
        <v>98</v>
      </c>
      <c r="M958" s="18" t="s">
        <v>98</v>
      </c>
      <c r="N958" s="18" t="s">
        <v>98</v>
      </c>
      <c r="O958" s="18" t="s">
        <v>98</v>
      </c>
      <c r="P958" s="15" t="str">
        <f t="shared" si="1"/>
        <v>VERIFY</v>
      </c>
      <c r="Q958" s="15">
        <f t="shared" si="2"/>
        <v>3</v>
      </c>
      <c r="R958" s="15">
        <f t="shared" si="3"/>
        <v>3</v>
      </c>
      <c r="S958" s="15">
        <f t="shared" si="4"/>
        <v>5</v>
      </c>
      <c r="T958" s="15" t="str">
        <f t="shared" si="5"/>
        <v>C-1</v>
      </c>
      <c r="U958" s="15" t="str">
        <f t="shared" si="6"/>
        <v>T3-M3-H5-FC-1-VERIFY</v>
      </c>
      <c r="V958" s="15">
        <f t="shared" si="7"/>
        <v>1</v>
      </c>
      <c r="W958" s="31"/>
      <c r="X958" s="15" t="str">
        <f t="shared" si="8"/>
        <v>bodhan</v>
      </c>
      <c r="Y958" s="32" t="str">
        <f t="shared" si="9"/>
        <v>https://steelmanufacturer.in/market-area/electropolished-pipes-manufacturer-in-bodhan/</v>
      </c>
      <c r="Z958" s="15" t="str">
        <f t="shared" si="10"/>
        <v>Electropolished Pipes Manufacturer in Bodhan | EP Tube Supplier</v>
      </c>
      <c r="AA958" s="15" t="str">
        <f t="shared" si="11"/>
        <v>OK (63)</v>
      </c>
      <c r="AB958" s="15" t="str">
        <f t="shared" si="12"/>
        <v>EP stainless tube for VERIFY lines in Bodhan. VERIFY. ASTM A270 S2, PMI tested, EN 10204 3.1.</v>
      </c>
      <c r="AC958" s="15" t="str">
        <f t="shared" si="13"/>
        <v>PENDING RESEARCH</v>
      </c>
      <c r="AD958" s="15" t="str">
        <f t="shared" si="14"/>
        <v>Electropolished Pipes Manufacturer in Bodhan</v>
      </c>
      <c r="AE958" s="15" t="str">
        <f t="shared" si="15"/>
        <v>Electropolished Tube Manufacturing Capability Serving Bodhan</v>
      </c>
      <c r="AF958" s="15" t="str">
        <f t="shared" si="16"/>
        <v>Electropolished Pipes Supplier in Bodhan - From Order to Delivery</v>
      </c>
      <c r="AG958" s="15" t="str">
        <f t="shared" si="17"/>
        <v>Stockist &amp; Wholesale Supply of Electropolished Pipes in Bodhan</v>
      </c>
      <c r="AH958" s="15" t="str">
        <f t="shared" si="18"/>
        <v>electropolished pipes manufacturer in Bodhan, electropolished pipes supplier in Bodhan, electropolished pipes wholesaler in Bodhan, electropolished tube manufacturer Bodhan, EP pipe supplier Bodhan, sanitary tube supplier Bodhan, ASME BPE tubing Bodhan, ASTM A270 tube Bodhan, SS 316L electropolished pipe Bodhan</v>
      </c>
      <c r="AI958" s="15" t="str">
        <f t="shared" si="19"/>
        <v>Electropolished Pipes Manufacturer &amp; Supplier in Bodhan</v>
      </c>
      <c r="AJ958" s="15" t="str">
        <f t="shared" si="20"/>
        <v>EP-finished SS 304/316L pipes and tubes for VERIFY plants in Bodhan. ASME BPE SF1-SF4, Ra from 0.25 um, EN 10204 3.1 certificate with every lot.</v>
      </c>
      <c r="AK958" s="15" t="str">
        <f t="shared" si="21"/>
        <v>Electropolished stainless steel pipes supplied by Sakshi Forge to VERIFY plants at TSIIC Industrial Area, Bodhan</v>
      </c>
      <c r="AL958" s="15" t="str">
        <f t="shared" si="22"/>
        <v>Electropolished SS 316L tube stock for Bodhan - Sakshi Forge</v>
      </c>
      <c r="AM958" s="15" t="str">
        <f t="shared" si="23"/>
        <v>Home &gt; Market Area &gt; India &gt; Telangana &gt; Bodhan</v>
      </c>
      <c r="AN958" s="15">
        <f t="shared" si="24"/>
        <v>750</v>
      </c>
      <c r="AO958" s="15">
        <f t="shared" si="25"/>
        <v>6</v>
      </c>
      <c r="AP958" s="15">
        <f t="shared" si="26"/>
        <v>6</v>
      </c>
      <c r="AQ958" s="15">
        <f t="shared" si="27"/>
        <v>16</v>
      </c>
      <c r="AR958" s="31"/>
      <c r="AS958" s="31"/>
      <c r="AT958" s="35" t="s">
        <v>222</v>
      </c>
      <c r="AU958" s="35"/>
    </row>
    <row r="959" ht="15.75" customHeight="1">
      <c r="A959" s="15" t="s">
        <v>5054</v>
      </c>
      <c r="B959" s="15" t="s">
        <v>60</v>
      </c>
      <c r="C959" s="15" t="s">
        <v>424</v>
      </c>
      <c r="D959" s="15" t="s">
        <v>5055</v>
      </c>
      <c r="E959" s="15" t="s">
        <v>5055</v>
      </c>
      <c r="F959" s="58" t="s">
        <v>807</v>
      </c>
      <c r="G959" s="66" t="s">
        <v>98</v>
      </c>
      <c r="H959" s="18" t="s">
        <v>5057</v>
      </c>
      <c r="I959" s="18" t="s">
        <v>8406</v>
      </c>
      <c r="J959" s="18" t="s">
        <v>98</v>
      </c>
      <c r="K959" s="18" t="s">
        <v>98</v>
      </c>
      <c r="L959" s="18" t="s">
        <v>98</v>
      </c>
      <c r="M959" s="18" t="s">
        <v>98</v>
      </c>
      <c r="N959" s="18" t="s">
        <v>98</v>
      </c>
      <c r="O959" s="18" t="s">
        <v>98</v>
      </c>
      <c r="P959" s="15" t="str">
        <f t="shared" si="1"/>
        <v>VERIFY</v>
      </c>
      <c r="Q959" s="15">
        <f t="shared" si="2"/>
        <v>4</v>
      </c>
      <c r="R959" s="15">
        <f t="shared" si="3"/>
        <v>4</v>
      </c>
      <c r="S959" s="15">
        <f t="shared" si="4"/>
        <v>1</v>
      </c>
      <c r="T959" s="15" t="str">
        <f t="shared" si="5"/>
        <v>C-2</v>
      </c>
      <c r="U959" s="15" t="str">
        <f t="shared" si="6"/>
        <v>T4-M4-H1-FC-2-VERIFY</v>
      </c>
      <c r="V959" s="15">
        <f t="shared" si="7"/>
        <v>1</v>
      </c>
      <c r="W959" s="31"/>
      <c r="X959" s="15" t="str">
        <f t="shared" si="8"/>
        <v>bolagarh</v>
      </c>
      <c r="Y959" s="32" t="str">
        <f t="shared" si="9"/>
        <v>https://steelmanufacturer.in/market-area/electropolished-pipes-manufacturer-in-bolagarh/</v>
      </c>
      <c r="Z959" s="15" t="str">
        <f t="shared" si="10"/>
        <v>Electropolished Pipes Manufacturer in Bolagarh</v>
      </c>
      <c r="AA959" s="15" t="str">
        <f t="shared" si="11"/>
        <v>OK (46)</v>
      </c>
      <c r="AB959" s="15" t="str">
        <f t="shared" si="12"/>
        <v>Sanitary electropolished pipes in Bolagarh for VERIFY plants. ASME BPE SF1-SF4, orbital-weld ready, 3.1 MTC. Mumbai-made.</v>
      </c>
      <c r="AC959" s="15" t="str">
        <f t="shared" si="13"/>
        <v>PENDING RESEARCH</v>
      </c>
      <c r="AD959" s="15" t="str">
        <f t="shared" si="14"/>
        <v>Electropolished Pipes Manufacturer in Bolagarh</v>
      </c>
      <c r="AE959" s="15" t="str">
        <f t="shared" si="15"/>
        <v>Electropolished Pipe &amp; Tube Manufacturing for Bolagarh - Grades, Finishes &amp; Certification</v>
      </c>
      <c r="AF959" s="15" t="str">
        <f t="shared" si="16"/>
        <v>Electropolished Pipes Supplier in Bolagarh - Stock Sizes, Lead Time &amp; Delivery</v>
      </c>
      <c r="AG959" s="15" t="str">
        <f t="shared" si="17"/>
        <v>Electropolished Pipes Wholesaler &amp; Stockist in Bolagarh - Bulk &amp; Project Pricing</v>
      </c>
      <c r="AH959" s="15" t="str">
        <f t="shared" si="18"/>
        <v>electropolished pipes manufacturer in Bolagarh, electropolished pipes supplier in Bolagarh, electropolished pipes wholesaler in Bolagarh, electropolished tube manufacturer Bolagarh, EP pipe supplier Bolagarh, sanitary tube supplier Bolagarh, ASME BPE tubing Bolagarh, ASTM A270 tube Bolagarh, SS 316L electropolished pipe Bolagarh</v>
      </c>
      <c r="AI959" s="15" t="str">
        <f t="shared" si="19"/>
        <v>Electropolished Pipes Manufacturer &amp; Supplier in Bolagarh</v>
      </c>
      <c r="AJ959" s="15" t="str">
        <f t="shared" si="20"/>
        <v>EP-finished SS 304/316L pipes and tubes for VERIFY plants in Bolagarh. ASME BPE SF1-SF4, Ra from 0.25 um, EN 10204 3.1 certificate with every lot.</v>
      </c>
      <c r="AK959" s="15" t="str">
        <f t="shared" si="21"/>
        <v>Electropolished stainless steel pipes supplied by Sakshi Forge to VERIFY plants at IDCO Industrial Area, Bolagarh</v>
      </c>
      <c r="AL959" s="15" t="str">
        <f t="shared" si="22"/>
        <v>Electropolished SS 316L tube stock for Bolagarh - Sakshi Forge</v>
      </c>
      <c r="AM959" s="15" t="str">
        <f t="shared" si="23"/>
        <v>Home &gt; Market Area &gt; India &gt; Odisha &gt; Bolagarh</v>
      </c>
      <c r="AN959" s="15">
        <f t="shared" si="24"/>
        <v>750</v>
      </c>
      <c r="AO959" s="15">
        <f t="shared" si="25"/>
        <v>6</v>
      </c>
      <c r="AP959" s="15">
        <f t="shared" si="26"/>
        <v>6</v>
      </c>
      <c r="AQ959" s="15">
        <f t="shared" si="27"/>
        <v>16</v>
      </c>
      <c r="AR959" s="31"/>
      <c r="AS959" s="31"/>
      <c r="AT959" s="35" t="s">
        <v>222</v>
      </c>
      <c r="AU959" s="35"/>
    </row>
    <row r="960" ht="15.75" customHeight="1">
      <c r="A960" s="15" t="s">
        <v>5058</v>
      </c>
      <c r="B960" s="15" t="s">
        <v>60</v>
      </c>
      <c r="C960" s="15" t="s">
        <v>1165</v>
      </c>
      <c r="D960" s="15" t="s">
        <v>5059</v>
      </c>
      <c r="E960" s="15" t="s">
        <v>5059</v>
      </c>
      <c r="F960" s="58" t="s">
        <v>807</v>
      </c>
      <c r="G960" s="66" t="s">
        <v>98</v>
      </c>
      <c r="H960" s="18" t="s">
        <v>5061</v>
      </c>
      <c r="I960" s="18" t="s">
        <v>8404</v>
      </c>
      <c r="J960" s="18" t="s">
        <v>98</v>
      </c>
      <c r="K960" s="18" t="s">
        <v>98</v>
      </c>
      <c r="L960" s="18" t="s">
        <v>98</v>
      </c>
      <c r="M960" s="18" t="s">
        <v>98</v>
      </c>
      <c r="N960" s="18" t="s">
        <v>98</v>
      </c>
      <c r="O960" s="18" t="s">
        <v>98</v>
      </c>
      <c r="P960" s="15" t="str">
        <f t="shared" si="1"/>
        <v>VERIFY</v>
      </c>
      <c r="Q960" s="15">
        <f t="shared" si="2"/>
        <v>5</v>
      </c>
      <c r="R960" s="15">
        <f t="shared" si="3"/>
        <v>5</v>
      </c>
      <c r="S960" s="15">
        <f t="shared" si="4"/>
        <v>2</v>
      </c>
      <c r="T960" s="15" t="str">
        <f t="shared" si="5"/>
        <v>C-3</v>
      </c>
      <c r="U960" s="15" t="str">
        <f t="shared" si="6"/>
        <v>T5-M5-H2-FC-3-VERIFY</v>
      </c>
      <c r="V960" s="15">
        <f t="shared" si="7"/>
        <v>1</v>
      </c>
      <c r="W960" s="31"/>
      <c r="X960" s="15" t="str">
        <f t="shared" si="8"/>
        <v>bolpur</v>
      </c>
      <c r="Y960" s="32" t="str">
        <f t="shared" si="9"/>
        <v>https://steelmanufacturer.in/market-area/electropolished-pipes-manufacturer-in-bolpur/</v>
      </c>
      <c r="Z960" s="15" t="str">
        <f t="shared" si="10"/>
        <v>Electropolished Pipes Manufacturer in Bolpur</v>
      </c>
      <c r="AA960" s="15" t="str">
        <f t="shared" si="11"/>
        <v>OK (44)</v>
      </c>
      <c r="AB960" s="15" t="str">
        <f t="shared" si="12"/>
        <v>Manufacturer of electropolished SS 316L tube serving Bolpur. VERIFY. Ra 0.25-0.5 um, EN 10204 3.1 MTC.</v>
      </c>
      <c r="AC960" s="15" t="str">
        <f t="shared" si="13"/>
        <v>PENDING RESEARCH</v>
      </c>
      <c r="AD960" s="15" t="str">
        <f t="shared" si="14"/>
        <v>Electropolished Pipes Manufacturer in Bolpur</v>
      </c>
      <c r="AE960" s="15" t="str">
        <f t="shared" si="15"/>
        <v>How We Manufacture Electropolished Tube for Bolpur Plants</v>
      </c>
      <c r="AF960" s="15" t="str">
        <f t="shared" si="16"/>
        <v>Supplying Electropolished Pipes in Bolpur: Availability, Sizes &amp; Dispatch</v>
      </c>
      <c r="AG960" s="15" t="str">
        <f t="shared" si="17"/>
        <v>Wholesale Electropolished Pipe Supply for Bolpur Projects</v>
      </c>
      <c r="AH960" s="15" t="str">
        <f t="shared" si="18"/>
        <v>electropolished pipes manufacturer in Bolpur, electropolished pipes supplier in Bolpur, electropolished pipes wholesaler in Bolpur, electropolished tube manufacturer Bolpur, EP pipe supplier Bolpur, sanitary tube supplier Bolpur, ASME BPE tubing Bolpur, ASTM A270 tube Bolpur, SS 316L electropolished pipe Bolpur</v>
      </c>
      <c r="AI960" s="15" t="str">
        <f t="shared" si="19"/>
        <v>Electropolished Pipes Manufacturer &amp; Supplier in Bolpur</v>
      </c>
      <c r="AJ960" s="15" t="str">
        <f t="shared" si="20"/>
        <v>EP-finished SS 304/316L pipes and tubes for VERIFY plants in Bolpur. ASME BPE SF1-SF4, Ra from 0.25 um, EN 10204 3.1 certificate with every lot.</v>
      </c>
      <c r="AK960" s="15" t="str">
        <f t="shared" si="21"/>
        <v>Electropolished stainless steel pipes supplied by Sakshi Forge to VERIFY plants at WBIDC Industrial Area, Bolpur</v>
      </c>
      <c r="AL960" s="15" t="str">
        <f t="shared" si="22"/>
        <v>Electropolished SS 316L tube stock for Bolpur - Sakshi Forge</v>
      </c>
      <c r="AM960" s="15" t="str">
        <f t="shared" si="23"/>
        <v>Home &gt; Market Area &gt; India &gt; West Bengal &gt; Bolpur</v>
      </c>
      <c r="AN960" s="15">
        <f t="shared" si="24"/>
        <v>750</v>
      </c>
      <c r="AO960" s="15">
        <f t="shared" si="25"/>
        <v>6</v>
      </c>
      <c r="AP960" s="15">
        <f t="shared" si="26"/>
        <v>6</v>
      </c>
      <c r="AQ960" s="15">
        <f t="shared" si="27"/>
        <v>16</v>
      </c>
      <c r="AR960" s="31"/>
      <c r="AS960" s="31"/>
      <c r="AT960" s="35" t="s">
        <v>222</v>
      </c>
      <c r="AU960" s="35"/>
    </row>
    <row r="961" ht="15.75" customHeight="1">
      <c r="A961" s="15" t="s">
        <v>5062</v>
      </c>
      <c r="B961" s="15" t="s">
        <v>60</v>
      </c>
      <c r="C961" s="15" t="s">
        <v>224</v>
      </c>
      <c r="D961" s="15" t="s">
        <v>5063</v>
      </c>
      <c r="E961" s="15" t="s">
        <v>5063</v>
      </c>
      <c r="F961" s="58" t="s">
        <v>807</v>
      </c>
      <c r="G961" s="66" t="s">
        <v>98</v>
      </c>
      <c r="H961" s="18" t="s">
        <v>5065</v>
      </c>
      <c r="I961" s="18" t="s">
        <v>8400</v>
      </c>
      <c r="J961" s="18" t="s">
        <v>98</v>
      </c>
      <c r="K961" s="18" t="s">
        <v>98</v>
      </c>
      <c r="L961" s="18" t="s">
        <v>98</v>
      </c>
      <c r="M961" s="18" t="s">
        <v>98</v>
      </c>
      <c r="N961" s="18" t="s">
        <v>98</v>
      </c>
      <c r="O961" s="18" t="s">
        <v>98</v>
      </c>
      <c r="P961" s="15" t="str">
        <f t="shared" si="1"/>
        <v>VERIFY</v>
      </c>
      <c r="Q961" s="15">
        <f t="shared" si="2"/>
        <v>6</v>
      </c>
      <c r="R961" s="15">
        <f t="shared" si="3"/>
        <v>6</v>
      </c>
      <c r="S961" s="15">
        <f t="shared" si="4"/>
        <v>3</v>
      </c>
      <c r="T961" s="15" t="str">
        <f t="shared" si="5"/>
        <v>C-4</v>
      </c>
      <c r="U961" s="15" t="str">
        <f t="shared" si="6"/>
        <v>T6-M6-H3-FC-4-VERIFY</v>
      </c>
      <c r="V961" s="15">
        <f t="shared" si="7"/>
        <v>1</v>
      </c>
      <c r="W961" s="31"/>
      <c r="X961" s="15" t="str">
        <f t="shared" si="8"/>
        <v>borsad</v>
      </c>
      <c r="Y961" s="32" t="str">
        <f t="shared" si="9"/>
        <v>https://steelmanufacturer.in/market-area/electropolished-pipes-manufacturer-in-borsad/</v>
      </c>
      <c r="Z961" s="15" t="str">
        <f t="shared" si="10"/>
        <v>Electropolished Pipes Manufacturer in Borsad</v>
      </c>
      <c r="AA961" s="15" t="str">
        <f t="shared" si="11"/>
        <v>OK (44)</v>
      </c>
      <c r="AB961" s="15" t="str">
        <f t="shared" si="12"/>
        <v>EP tube and pipe for VERIFY plants around GIDC Industrial Area, Borsad. Made at our Mumbai works to ASTM A270 and ASME BPE SF1-SF4, with 3.1 MTC.</v>
      </c>
      <c r="AC961" s="15" t="str">
        <f t="shared" si="13"/>
        <v>PENDING RESEARCH</v>
      </c>
      <c r="AD961" s="15" t="str">
        <f t="shared" si="14"/>
        <v>Electropolished Pipes Manufacturer in Borsad</v>
      </c>
      <c r="AE961" s="15" t="str">
        <f t="shared" si="15"/>
        <v>Electropolished Pipes Manufacturer in Borsad - Our Process &amp; Capability</v>
      </c>
      <c r="AF961" s="15" t="str">
        <f t="shared" si="16"/>
        <v>Electropolished Pipes Supplier in Borsad - What We Hold in Stock</v>
      </c>
      <c r="AG961" s="15" t="str">
        <f t="shared" si="17"/>
        <v>Bulk &amp; Wholesale Electropolished Pipe Rates for Borsad Buyers</v>
      </c>
      <c r="AH961" s="15" t="str">
        <f t="shared" si="18"/>
        <v>electropolished pipes manufacturer in Borsad, electropolished pipes supplier in Borsad, electropolished pipes wholesaler in Borsad, electropolished tube manufacturer Borsad, EP pipe supplier Borsad, sanitary tube supplier Borsad, ASME BPE tubing Borsad, ASTM A270 tube Borsad, SS 316L electropolished pipe Borsad</v>
      </c>
      <c r="AI961" s="15" t="str">
        <f t="shared" si="19"/>
        <v>Electropolished Pipes Manufacturer &amp; Supplier in Borsad</v>
      </c>
      <c r="AJ961" s="15" t="str">
        <f t="shared" si="20"/>
        <v>EP-finished SS 304/316L pipes and tubes for VERIFY plants in Borsad. ASME BPE SF1-SF4, Ra from 0.25 um, EN 10204 3.1 certificate with every lot.</v>
      </c>
      <c r="AK961" s="15" t="str">
        <f t="shared" si="21"/>
        <v>Electropolished stainless steel pipes supplied by Sakshi Forge to VERIFY plants at GIDC Industrial Area, Borsad</v>
      </c>
      <c r="AL961" s="15" t="str">
        <f t="shared" si="22"/>
        <v>Electropolished SS 316L tube stock for Borsad - Sakshi Forge</v>
      </c>
      <c r="AM961" s="15" t="str">
        <f t="shared" si="23"/>
        <v>Home &gt; Market Area &gt; India &gt; Gujarat &gt; Borsad</v>
      </c>
      <c r="AN961" s="15">
        <f t="shared" si="24"/>
        <v>750</v>
      </c>
      <c r="AO961" s="15">
        <f t="shared" si="25"/>
        <v>6</v>
      </c>
      <c r="AP961" s="15">
        <f t="shared" si="26"/>
        <v>6</v>
      </c>
      <c r="AQ961" s="15">
        <f t="shared" si="27"/>
        <v>16</v>
      </c>
      <c r="AR961" s="31"/>
      <c r="AS961" s="31"/>
      <c r="AT961" s="35" t="s">
        <v>222</v>
      </c>
      <c r="AU961" s="35"/>
    </row>
    <row r="962" ht="15.75" customHeight="1">
      <c r="A962" s="15" t="s">
        <v>5066</v>
      </c>
      <c r="B962" s="15" t="s">
        <v>60</v>
      </c>
      <c r="C962" s="15" t="s">
        <v>424</v>
      </c>
      <c r="D962" s="15" t="s">
        <v>5067</v>
      </c>
      <c r="E962" s="15" t="s">
        <v>5067</v>
      </c>
      <c r="F962" s="58" t="s">
        <v>807</v>
      </c>
      <c r="G962" s="66" t="s">
        <v>98</v>
      </c>
      <c r="H962" s="18" t="s">
        <v>5069</v>
      </c>
      <c r="I962" s="18" t="s">
        <v>8406</v>
      </c>
      <c r="J962" s="18" t="s">
        <v>98</v>
      </c>
      <c r="K962" s="18" t="s">
        <v>98</v>
      </c>
      <c r="L962" s="18" t="s">
        <v>98</v>
      </c>
      <c r="M962" s="18" t="s">
        <v>98</v>
      </c>
      <c r="N962" s="18" t="s">
        <v>98</v>
      </c>
      <c r="O962" s="18" t="s">
        <v>98</v>
      </c>
      <c r="P962" s="15" t="str">
        <f t="shared" si="1"/>
        <v>VERIFY</v>
      </c>
      <c r="Q962" s="15">
        <f t="shared" si="2"/>
        <v>7</v>
      </c>
      <c r="R962" s="15">
        <f t="shared" si="3"/>
        <v>7</v>
      </c>
      <c r="S962" s="15">
        <f t="shared" si="4"/>
        <v>4</v>
      </c>
      <c r="T962" s="15" t="str">
        <f t="shared" si="5"/>
        <v>C-5</v>
      </c>
      <c r="U962" s="15" t="str">
        <f t="shared" si="6"/>
        <v>T7-M7-H4-FC-5-VERIFY</v>
      </c>
      <c r="V962" s="15">
        <f t="shared" si="7"/>
        <v>1</v>
      </c>
      <c r="W962" s="31"/>
      <c r="X962" s="15" t="str">
        <f t="shared" si="8"/>
        <v>brahmagiri</v>
      </c>
      <c r="Y962" s="32" t="str">
        <f t="shared" si="9"/>
        <v>https://steelmanufacturer.in/market-area/electropolished-pipes-manufacturer-in-brahmagiri/</v>
      </c>
      <c r="Z962" s="15" t="str">
        <f t="shared" si="10"/>
        <v>Electropolished Pipes Manufacturer in Brahmagiri</v>
      </c>
      <c r="AA962" s="15" t="str">
        <f t="shared" si="11"/>
        <v>OK (48)</v>
      </c>
      <c r="AB962" s="15" t="str">
        <f t="shared" si="12"/>
        <v>Electropolished pipes in Brahmagiri: 304, 304L, 316 and 316L in SF1-SF4. VERIFY. Mill certified.</v>
      </c>
      <c r="AC962" s="15" t="str">
        <f t="shared" si="13"/>
        <v>PENDING RESEARCH</v>
      </c>
      <c r="AD962" s="15" t="str">
        <f t="shared" si="14"/>
        <v>Electropolished Pipes Manufacturer in Brahmagiri</v>
      </c>
      <c r="AE962" s="15" t="str">
        <f t="shared" si="15"/>
        <v>Manufacturing Electropolished SS Tube for Brahmagiri: The Standards We Build To</v>
      </c>
      <c r="AF962" s="15" t="str">
        <f t="shared" si="16"/>
        <v>Electropolished Pipe Supply Into Brahmagiri - Certification &amp; Transit</v>
      </c>
      <c r="AG962" s="15" t="str">
        <f t="shared" si="17"/>
        <v>Electropolished Pipes Wholesaler in Brahmagiri - Project Quantities &amp; Terms</v>
      </c>
      <c r="AH962" s="15" t="str">
        <f t="shared" si="18"/>
        <v>electropolished pipes manufacturer in Brahmagiri, electropolished pipes supplier in Brahmagiri, electropolished pipes wholesaler in Brahmagiri, electropolished tube manufacturer Brahmagiri, EP pipe supplier Brahmagiri, sanitary tube supplier Brahmagiri, ASME BPE tubing Brahmagiri, ASTM A270 tube Brahmagiri, SS 316L electropolished pipe Brahmagiri</v>
      </c>
      <c r="AI962" s="15" t="str">
        <f t="shared" si="19"/>
        <v>Electropolished Pipes Manufacturer &amp; Supplier in Brahmagiri</v>
      </c>
      <c r="AJ962" s="15" t="str">
        <f t="shared" si="20"/>
        <v>EP-finished SS 304/316L pipes and tubes for VERIFY plants in Brahmagiri. ASME BPE SF1-SF4, Ra from 0.25 um, EN 10204 3.1 certificate with every lot.</v>
      </c>
      <c r="AK962" s="15" t="str">
        <f t="shared" si="21"/>
        <v>Electropolished stainless steel pipes supplied by Sakshi Forge to VERIFY plants at IDCO Industrial Area, Brahmagiri</v>
      </c>
      <c r="AL962" s="15" t="str">
        <f t="shared" si="22"/>
        <v>Electropolished SS 316L tube stock for Brahmagiri - Sakshi Forge</v>
      </c>
      <c r="AM962" s="15" t="str">
        <f t="shared" si="23"/>
        <v>Home &gt; Market Area &gt; India &gt; Odisha &gt; Brahmagiri</v>
      </c>
      <c r="AN962" s="15">
        <f t="shared" si="24"/>
        <v>750</v>
      </c>
      <c r="AO962" s="15">
        <f t="shared" si="25"/>
        <v>6</v>
      </c>
      <c r="AP962" s="15">
        <f t="shared" si="26"/>
        <v>6</v>
      </c>
      <c r="AQ962" s="15">
        <f t="shared" si="27"/>
        <v>16</v>
      </c>
      <c r="AR962" s="31"/>
      <c r="AS962" s="31"/>
      <c r="AT962" s="35" t="s">
        <v>222</v>
      </c>
      <c r="AU962" s="35"/>
    </row>
    <row r="963" ht="15.75" customHeight="1">
      <c r="A963" s="15" t="s">
        <v>5071</v>
      </c>
      <c r="B963" s="15" t="s">
        <v>60</v>
      </c>
      <c r="C963" s="15" t="s">
        <v>1165</v>
      </c>
      <c r="D963" s="15" t="s">
        <v>5073</v>
      </c>
      <c r="E963" s="15" t="s">
        <v>5073</v>
      </c>
      <c r="F963" s="58" t="s">
        <v>807</v>
      </c>
      <c r="G963" s="66" t="s">
        <v>98</v>
      </c>
      <c r="H963" s="18" t="s">
        <v>5078</v>
      </c>
      <c r="I963" s="18" t="s">
        <v>8404</v>
      </c>
      <c r="J963" s="18" t="s">
        <v>98</v>
      </c>
      <c r="K963" s="18" t="s">
        <v>98</v>
      </c>
      <c r="L963" s="18" t="s">
        <v>98</v>
      </c>
      <c r="M963" s="18" t="s">
        <v>98</v>
      </c>
      <c r="N963" s="18" t="s">
        <v>98</v>
      </c>
      <c r="O963" s="18" t="s">
        <v>98</v>
      </c>
      <c r="P963" s="15" t="str">
        <f t="shared" si="1"/>
        <v>VERIFY</v>
      </c>
      <c r="Q963" s="15">
        <f t="shared" si="2"/>
        <v>8</v>
      </c>
      <c r="R963" s="15">
        <f t="shared" si="3"/>
        <v>1</v>
      </c>
      <c r="S963" s="15">
        <f t="shared" si="4"/>
        <v>5</v>
      </c>
      <c r="T963" s="15" t="str">
        <f t="shared" si="5"/>
        <v>C-6</v>
      </c>
      <c r="U963" s="15" t="str">
        <f t="shared" si="6"/>
        <v>T8-M1-H5-FC-6-VERIFY</v>
      </c>
      <c r="V963" s="15">
        <f t="shared" si="7"/>
        <v>1</v>
      </c>
      <c r="W963" s="31"/>
      <c r="X963" s="15" t="str">
        <f t="shared" si="8"/>
        <v>chakdaha</v>
      </c>
      <c r="Y963" s="32" t="str">
        <f t="shared" si="9"/>
        <v>https://steelmanufacturer.in/market-area/electropolished-pipes-manufacturer-in-chakdaha/</v>
      </c>
      <c r="Z963" s="15" t="str">
        <f t="shared" si="10"/>
        <v>Electropolished Pipes Manufacturer in Chakdaha - EP Tube Stockist</v>
      </c>
      <c r="AA963" s="15" t="str">
        <f t="shared" si="11"/>
        <v>OK (65)</v>
      </c>
      <c r="AB963" s="15" t="str">
        <f t="shared" si="12"/>
        <v>EP-finished SS 304/316L pipes &amp; tubes for VERIFY plants in Chakdaha. ASTM A270, ASME BPE SF1-SF4, EN 10204 3.1 MTC. PMI tested.</v>
      </c>
      <c r="AC963" s="15" t="str">
        <f t="shared" si="13"/>
        <v>PENDING RESEARCH</v>
      </c>
      <c r="AD963" s="15" t="str">
        <f t="shared" si="14"/>
        <v>Electropolished Pipes Manufacturer in Chakdaha</v>
      </c>
      <c r="AE963" s="15" t="str">
        <f t="shared" si="15"/>
        <v>Electropolished Tube Manufacturing Capability Serving Chakdaha</v>
      </c>
      <c r="AF963" s="15" t="str">
        <f t="shared" si="16"/>
        <v>Electropolished Pipes Supplier in Chakdaha - From Order to Delivery</v>
      </c>
      <c r="AG963" s="15" t="str">
        <f t="shared" si="17"/>
        <v>Stockist &amp; Wholesale Supply of Electropolished Pipes in Chakdaha</v>
      </c>
      <c r="AH963" s="15" t="str">
        <f t="shared" si="18"/>
        <v>electropolished pipes manufacturer in Chakdaha, electropolished pipes supplier in Chakdaha, electropolished pipes wholesaler in Chakdaha, electropolished tube manufacturer Chakdaha, EP pipe supplier Chakdaha, sanitary tube supplier Chakdaha, ASME BPE tubing Chakdaha, ASTM A270 tube Chakdaha, SS 316L electropolished pipe Chakdaha</v>
      </c>
      <c r="AI963" s="15" t="str">
        <f t="shared" si="19"/>
        <v>Electropolished Pipes Manufacturer &amp; Supplier in Chakdaha</v>
      </c>
      <c r="AJ963" s="15" t="str">
        <f t="shared" si="20"/>
        <v>EP-finished SS 304/316L pipes and tubes for VERIFY plants in Chakdaha. ASME BPE SF1-SF4, Ra from 0.25 um, EN 10204 3.1 certificate with every lot.</v>
      </c>
      <c r="AK963" s="15" t="str">
        <f t="shared" si="21"/>
        <v>Electropolished stainless steel pipes supplied by Sakshi Forge to VERIFY plants at WBIDC Industrial Area, Chakdaha</v>
      </c>
      <c r="AL963" s="15" t="str">
        <f t="shared" si="22"/>
        <v>Electropolished SS 316L tube stock for Chakdaha - Sakshi Forge</v>
      </c>
      <c r="AM963" s="15" t="str">
        <f t="shared" si="23"/>
        <v>Home &gt; Market Area &gt; India &gt; West Bengal &gt; Chakdaha</v>
      </c>
      <c r="AN963" s="15">
        <f t="shared" si="24"/>
        <v>750</v>
      </c>
      <c r="AO963" s="15">
        <f t="shared" si="25"/>
        <v>6</v>
      </c>
      <c r="AP963" s="15">
        <f t="shared" si="26"/>
        <v>6</v>
      </c>
      <c r="AQ963" s="15">
        <f t="shared" si="27"/>
        <v>16</v>
      </c>
      <c r="AR963" s="31"/>
      <c r="AS963" s="31"/>
      <c r="AT963" s="35" t="s">
        <v>222</v>
      </c>
      <c r="AU963" s="35"/>
    </row>
    <row r="964" ht="15.75" customHeight="1">
      <c r="A964" s="15" t="s">
        <v>5080</v>
      </c>
      <c r="B964" s="15" t="s">
        <v>60</v>
      </c>
      <c r="C964" s="15" t="s">
        <v>1139</v>
      </c>
      <c r="D964" s="15" t="s">
        <v>5081</v>
      </c>
      <c r="E964" s="15" t="s">
        <v>5081</v>
      </c>
      <c r="F964" s="58" t="s">
        <v>807</v>
      </c>
      <c r="G964" s="66" t="s">
        <v>98</v>
      </c>
      <c r="H964" s="18" t="s">
        <v>5083</v>
      </c>
      <c r="I964" s="18" t="s">
        <v>8410</v>
      </c>
      <c r="J964" s="18" t="s">
        <v>98</v>
      </c>
      <c r="K964" s="18" t="s">
        <v>98</v>
      </c>
      <c r="L964" s="18" t="s">
        <v>98</v>
      </c>
      <c r="M964" s="18" t="s">
        <v>98</v>
      </c>
      <c r="N964" s="18" t="s">
        <v>98</v>
      </c>
      <c r="O964" s="18" t="s">
        <v>98</v>
      </c>
      <c r="P964" s="15" t="str">
        <f t="shared" si="1"/>
        <v>VERIFY</v>
      </c>
      <c r="Q964" s="15">
        <f t="shared" si="2"/>
        <v>1</v>
      </c>
      <c r="R964" s="15">
        <f t="shared" si="3"/>
        <v>2</v>
      </c>
      <c r="S964" s="15">
        <f t="shared" si="4"/>
        <v>1</v>
      </c>
      <c r="T964" s="15" t="str">
        <f t="shared" si="5"/>
        <v>C-1</v>
      </c>
      <c r="U964" s="15" t="str">
        <f t="shared" si="6"/>
        <v>T1-M2-H1-FC-1-VERIFY</v>
      </c>
      <c r="V964" s="15">
        <f t="shared" si="7"/>
        <v>1</v>
      </c>
      <c r="W964" s="31"/>
      <c r="X964" s="15" t="str">
        <f t="shared" si="8"/>
        <v>chamoli</v>
      </c>
      <c r="Y964" s="32" t="str">
        <f t="shared" si="9"/>
        <v>https://steelmanufacturer.in/market-area/electropolished-pipes-manufacturer-in-chamoli/</v>
      </c>
      <c r="Z964" s="15" t="str">
        <f t="shared" si="10"/>
        <v>Electropolished Pipes Manufacturer in Chamoli | Sakshi Forge</v>
      </c>
      <c r="AA964" s="15" t="str">
        <f t="shared" si="11"/>
        <v>OK (60)</v>
      </c>
      <c r="AB964" s="15" t="str">
        <f t="shared" si="12"/>
        <v>Electropolished tube supply to SIIDCUL Industrial Area, Chamoli. Ra from 0.25 um, SF4 finish, mill test certificate with every lot.</v>
      </c>
      <c r="AC964" s="15" t="str">
        <f t="shared" si="13"/>
        <v>PENDING RESEARCH</v>
      </c>
      <c r="AD964" s="15" t="str">
        <f t="shared" si="14"/>
        <v>Electropolished Pipes Manufacturer in Chamoli</v>
      </c>
      <c r="AE964" s="15" t="str">
        <f t="shared" si="15"/>
        <v>Electropolished Pipe &amp; Tube Manufacturing for Chamoli - Grades, Finishes &amp; Certification</v>
      </c>
      <c r="AF964" s="15" t="str">
        <f t="shared" si="16"/>
        <v>Electropolished Pipes Supplier in Chamoli - Stock Sizes, Lead Time &amp; Delivery</v>
      </c>
      <c r="AG964" s="15" t="str">
        <f t="shared" si="17"/>
        <v>Electropolished Pipes Wholesaler &amp; Stockist in Chamoli - Bulk &amp; Project Pricing</v>
      </c>
      <c r="AH964" s="15" t="str">
        <f t="shared" si="18"/>
        <v>electropolished pipes manufacturer in Chamoli, electropolished pipes supplier in Chamoli, electropolished pipes wholesaler in Chamoli, electropolished tube manufacturer Chamoli, EP pipe supplier Chamoli, sanitary tube supplier Chamoli, ASME BPE tubing Chamoli, ASTM A270 tube Chamoli, SS 316L electropolished pipe Chamoli</v>
      </c>
      <c r="AI964" s="15" t="str">
        <f t="shared" si="19"/>
        <v>Electropolished Pipes Manufacturer &amp; Supplier in Chamoli</v>
      </c>
      <c r="AJ964" s="15" t="str">
        <f t="shared" si="20"/>
        <v>EP-finished SS 304/316L pipes and tubes for VERIFY plants in Chamoli. ASME BPE SF1-SF4, Ra from 0.25 um, EN 10204 3.1 certificate with every lot.</v>
      </c>
      <c r="AK964" s="15" t="str">
        <f t="shared" si="21"/>
        <v>Electropolished stainless steel pipes supplied by Sakshi Forge to VERIFY plants at SIIDCUL Industrial Area, Chamoli</v>
      </c>
      <c r="AL964" s="15" t="str">
        <f t="shared" si="22"/>
        <v>Electropolished SS 316L tube stock for Chamoli - Sakshi Forge</v>
      </c>
      <c r="AM964" s="15" t="str">
        <f t="shared" si="23"/>
        <v>Home &gt; Market Area &gt; India &gt; Uttarakhand &gt; Chamoli</v>
      </c>
      <c r="AN964" s="15">
        <f t="shared" si="24"/>
        <v>750</v>
      </c>
      <c r="AO964" s="15">
        <f t="shared" si="25"/>
        <v>6</v>
      </c>
      <c r="AP964" s="15">
        <f t="shared" si="26"/>
        <v>6</v>
      </c>
      <c r="AQ964" s="15">
        <f t="shared" si="27"/>
        <v>17</v>
      </c>
      <c r="AR964" s="31"/>
      <c r="AS964" s="31"/>
      <c r="AT964" s="35" t="s">
        <v>222</v>
      </c>
      <c r="AU964" s="35"/>
    </row>
    <row r="965" ht="15.75" customHeight="1">
      <c r="A965" s="15" t="s">
        <v>5084</v>
      </c>
      <c r="B965" s="15" t="s">
        <v>60</v>
      </c>
      <c r="C965" s="15" t="s">
        <v>1139</v>
      </c>
      <c r="D965" s="15" t="s">
        <v>5085</v>
      </c>
      <c r="E965" s="15" t="s">
        <v>5085</v>
      </c>
      <c r="F965" s="58" t="s">
        <v>807</v>
      </c>
      <c r="G965" s="66" t="s">
        <v>98</v>
      </c>
      <c r="H965" s="18" t="s">
        <v>5087</v>
      </c>
      <c r="I965" s="18" t="s">
        <v>8410</v>
      </c>
      <c r="J965" s="18" t="s">
        <v>98</v>
      </c>
      <c r="K965" s="18" t="s">
        <v>98</v>
      </c>
      <c r="L965" s="18" t="s">
        <v>98</v>
      </c>
      <c r="M965" s="18" t="s">
        <v>98</v>
      </c>
      <c r="N965" s="18" t="s">
        <v>98</v>
      </c>
      <c r="O965" s="18" t="s">
        <v>98</v>
      </c>
      <c r="P965" s="15" t="str">
        <f t="shared" si="1"/>
        <v>VERIFY</v>
      </c>
      <c r="Q965" s="15">
        <f t="shared" si="2"/>
        <v>2</v>
      </c>
      <c r="R965" s="15">
        <f t="shared" si="3"/>
        <v>3</v>
      </c>
      <c r="S965" s="15">
        <f t="shared" si="4"/>
        <v>2</v>
      </c>
      <c r="T965" s="15" t="str">
        <f t="shared" si="5"/>
        <v>C-2</v>
      </c>
      <c r="U965" s="15" t="str">
        <f t="shared" si="6"/>
        <v>T2-M3-H2-FC-2-VERIFY</v>
      </c>
      <c r="V965" s="15">
        <f t="shared" si="7"/>
        <v>1</v>
      </c>
      <c r="W965" s="31"/>
      <c r="X965" s="15" t="str">
        <f t="shared" si="8"/>
        <v>champawat</v>
      </c>
      <c r="Y965" s="32" t="str">
        <f t="shared" si="9"/>
        <v>https://steelmanufacturer.in/market-area/electropolished-pipes-manufacturer-in-champawat/</v>
      </c>
      <c r="Z965" s="15" t="str">
        <f t="shared" si="10"/>
        <v>Electropolished Pipes Manufacturer in Champawat</v>
      </c>
      <c r="AA965" s="15" t="str">
        <f t="shared" si="11"/>
        <v>OK (47)</v>
      </c>
      <c r="AB965" s="15" t="str">
        <f t="shared" si="12"/>
        <v>EP stainless tube for VERIFY lines in Champawat. VERIFY. ASTM A270 S2, PMI tested, EN 10204 3.1.</v>
      </c>
      <c r="AC965" s="15" t="str">
        <f t="shared" si="13"/>
        <v>PENDING RESEARCH</v>
      </c>
      <c r="AD965" s="15" t="str">
        <f t="shared" si="14"/>
        <v>Electropolished Pipes Manufacturer in Champawat</v>
      </c>
      <c r="AE965" s="15" t="str">
        <f t="shared" si="15"/>
        <v>How We Manufacture Electropolished Tube for Champawat Plants</v>
      </c>
      <c r="AF965" s="15" t="str">
        <f t="shared" si="16"/>
        <v>Supplying Electropolished Pipes in Champawat: Availability, Sizes &amp; Dispatch</v>
      </c>
      <c r="AG965" s="15" t="str">
        <f t="shared" si="17"/>
        <v>Wholesale Electropolished Pipe Supply for Champawat Projects</v>
      </c>
      <c r="AH965" s="15" t="str">
        <f t="shared" si="18"/>
        <v>electropolished pipes manufacturer in Champawat, electropolished pipes supplier in Champawat, electropolished pipes wholesaler in Champawat, electropolished tube manufacturer Champawat, EP pipe supplier Champawat, sanitary tube supplier Champawat, ASME BPE tubing Champawat, ASTM A270 tube Champawat, SS 316L electropolished pipe Champawat</v>
      </c>
      <c r="AI965" s="15" t="str">
        <f t="shared" si="19"/>
        <v>Electropolished Pipes Manufacturer &amp; Supplier in Champawat</v>
      </c>
      <c r="AJ965" s="15" t="str">
        <f t="shared" si="20"/>
        <v>EP-finished SS 304/316L pipes and tubes for VERIFY plants in Champawat. ASME BPE SF1-SF4, Ra from 0.25 um, EN 10204 3.1 certificate with every lot.</v>
      </c>
      <c r="AK965" s="15" t="str">
        <f t="shared" si="21"/>
        <v>Electropolished stainless steel pipes supplied by Sakshi Forge to VERIFY plants at SIIDCUL Industrial Area, Champawat</v>
      </c>
      <c r="AL965" s="15" t="str">
        <f t="shared" si="22"/>
        <v>Electropolished SS 316L tube stock for Champawat - Sakshi Forge</v>
      </c>
      <c r="AM965" s="15" t="str">
        <f t="shared" si="23"/>
        <v>Home &gt; Market Area &gt; India &gt; Uttarakhand &gt; Champawat</v>
      </c>
      <c r="AN965" s="15">
        <f t="shared" si="24"/>
        <v>750</v>
      </c>
      <c r="AO965" s="15">
        <f t="shared" si="25"/>
        <v>6</v>
      </c>
      <c r="AP965" s="15">
        <f t="shared" si="26"/>
        <v>6</v>
      </c>
      <c r="AQ965" s="15">
        <f t="shared" si="27"/>
        <v>17</v>
      </c>
      <c r="AR965" s="31"/>
      <c r="AS965" s="31"/>
      <c r="AT965" s="35" t="s">
        <v>222</v>
      </c>
      <c r="AU965" s="35"/>
    </row>
    <row r="966" ht="15.75" customHeight="1">
      <c r="A966" s="15" t="s">
        <v>5088</v>
      </c>
      <c r="B966" s="15" t="s">
        <v>60</v>
      </c>
      <c r="C966" s="15" t="s">
        <v>85</v>
      </c>
      <c r="D966" s="15" t="s">
        <v>5089</v>
      </c>
      <c r="E966" s="15" t="s">
        <v>5089</v>
      </c>
      <c r="F966" s="58" t="s">
        <v>807</v>
      </c>
      <c r="G966" s="66" t="s">
        <v>98</v>
      </c>
      <c r="H966" s="18" t="s">
        <v>5091</v>
      </c>
      <c r="I966" s="18" t="s">
        <v>8398</v>
      </c>
      <c r="J966" s="18" t="s">
        <v>98</v>
      </c>
      <c r="K966" s="18" t="s">
        <v>98</v>
      </c>
      <c r="L966" s="18" t="s">
        <v>98</v>
      </c>
      <c r="M966" s="18" t="s">
        <v>98</v>
      </c>
      <c r="N966" s="18" t="s">
        <v>98</v>
      </c>
      <c r="O966" s="18" t="s">
        <v>98</v>
      </c>
      <c r="P966" s="15" t="str">
        <f t="shared" si="1"/>
        <v>VERIFY</v>
      </c>
      <c r="Q966" s="15">
        <f t="shared" si="2"/>
        <v>3</v>
      </c>
      <c r="R966" s="15">
        <f t="shared" si="3"/>
        <v>4</v>
      </c>
      <c r="S966" s="15">
        <f t="shared" si="4"/>
        <v>3</v>
      </c>
      <c r="T966" s="15" t="str">
        <f t="shared" si="5"/>
        <v>C-3</v>
      </c>
      <c r="U966" s="15" t="str">
        <f t="shared" si="6"/>
        <v>T3-M4-H3-FC-3-VERIFY</v>
      </c>
      <c r="V966" s="15">
        <f t="shared" si="7"/>
        <v>1</v>
      </c>
      <c r="W966" s="31"/>
      <c r="X966" s="15" t="str">
        <f t="shared" si="8"/>
        <v>chandausi</v>
      </c>
      <c r="Y966" s="32" t="str">
        <f t="shared" si="9"/>
        <v>https://steelmanufacturer.in/market-area/electropolished-pipes-manufacturer-in-chandausi/</v>
      </c>
      <c r="Z966" s="15" t="str">
        <f t="shared" si="10"/>
        <v>Electropolished Pipes Manufacturer in Chandausi</v>
      </c>
      <c r="AA966" s="15" t="str">
        <f t="shared" si="11"/>
        <v>OK (47)</v>
      </c>
      <c r="AB966" s="15" t="str">
        <f t="shared" si="12"/>
        <v>Sanitary electropolished pipes in Chandausi for VERIFY plants. ASME BPE SF1-SF4, orbital-weld ready, 3.1 MTC. Mumbai-made.</v>
      </c>
      <c r="AC966" s="15" t="str">
        <f t="shared" si="13"/>
        <v>PENDING RESEARCH</v>
      </c>
      <c r="AD966" s="15" t="str">
        <f t="shared" si="14"/>
        <v>Electropolished Pipes Manufacturer in Chandausi</v>
      </c>
      <c r="AE966" s="15" t="str">
        <f t="shared" si="15"/>
        <v>Electropolished Pipes Manufacturer in Chandausi - Our Process &amp; Capability</v>
      </c>
      <c r="AF966" s="15" t="str">
        <f t="shared" si="16"/>
        <v>Electropolished Pipes Supplier in Chandausi - What We Hold in Stock</v>
      </c>
      <c r="AG966" s="15" t="str">
        <f t="shared" si="17"/>
        <v>Bulk &amp; Wholesale Electropolished Pipe Rates for Chandausi Buyers</v>
      </c>
      <c r="AH966" s="15" t="str">
        <f t="shared" si="18"/>
        <v>electropolished pipes manufacturer in Chandausi, electropolished pipes supplier in Chandausi, electropolished pipes wholesaler in Chandausi, electropolished tube manufacturer Chandausi, EP pipe supplier Chandausi, sanitary tube supplier Chandausi, ASME BPE tubing Chandausi, ASTM A270 tube Chandausi, SS 316L electropolished pipe Chandausi</v>
      </c>
      <c r="AI966" s="15" t="str">
        <f t="shared" si="19"/>
        <v>Electropolished Pipes Manufacturer &amp; Supplier in Chandausi</v>
      </c>
      <c r="AJ966" s="15" t="str">
        <f t="shared" si="20"/>
        <v>EP-finished SS 304/316L pipes and tubes for VERIFY plants in Chandausi. ASME BPE SF1-SF4, Ra from 0.25 um, EN 10204 3.1 certificate with every lot.</v>
      </c>
      <c r="AK966" s="15" t="str">
        <f t="shared" si="21"/>
        <v>Electropolished stainless steel pipes supplied by Sakshi Forge to VERIFY plants at UPSIDA Industrial Area, Chandausi</v>
      </c>
      <c r="AL966" s="15" t="str">
        <f t="shared" si="22"/>
        <v>Electropolished SS 316L tube stock for Chandausi - Sakshi Forge</v>
      </c>
      <c r="AM966" s="15" t="str">
        <f t="shared" si="23"/>
        <v>Home &gt; Market Area &gt; India &gt; Uttar Pradesh &gt; Chandausi</v>
      </c>
      <c r="AN966" s="15">
        <f t="shared" si="24"/>
        <v>750</v>
      </c>
      <c r="AO966" s="15">
        <f t="shared" si="25"/>
        <v>6</v>
      </c>
      <c r="AP966" s="15">
        <f t="shared" si="26"/>
        <v>6</v>
      </c>
      <c r="AQ966" s="15">
        <f t="shared" si="27"/>
        <v>17</v>
      </c>
      <c r="AR966" s="31"/>
      <c r="AS966" s="31"/>
      <c r="AT966" s="35" t="s">
        <v>222</v>
      </c>
      <c r="AU966" s="35"/>
    </row>
    <row r="967" ht="15.75" customHeight="1">
      <c r="A967" s="15" t="s">
        <v>5092</v>
      </c>
      <c r="B967" s="15" t="s">
        <v>60</v>
      </c>
      <c r="C967" s="15" t="s">
        <v>1687</v>
      </c>
      <c r="D967" s="15" t="s">
        <v>5093</v>
      </c>
      <c r="E967" s="15" t="s">
        <v>5093</v>
      </c>
      <c r="F967" s="58" t="s">
        <v>807</v>
      </c>
      <c r="G967" s="66" t="s">
        <v>98</v>
      </c>
      <c r="H967" s="18" t="s">
        <v>5095</v>
      </c>
      <c r="I967" s="18" t="s">
        <v>8397</v>
      </c>
      <c r="J967" s="18" t="s">
        <v>98</v>
      </c>
      <c r="K967" s="18" t="s">
        <v>98</v>
      </c>
      <c r="L967" s="18" t="s">
        <v>98</v>
      </c>
      <c r="M967" s="18" t="s">
        <v>98</v>
      </c>
      <c r="N967" s="18" t="s">
        <v>98</v>
      </c>
      <c r="O967" s="18" t="s">
        <v>98</v>
      </c>
      <c r="P967" s="15" t="str">
        <f t="shared" si="1"/>
        <v>VERIFY</v>
      </c>
      <c r="Q967" s="15">
        <f t="shared" si="2"/>
        <v>4</v>
      </c>
      <c r="R967" s="15">
        <f t="shared" si="3"/>
        <v>5</v>
      </c>
      <c r="S967" s="15">
        <f t="shared" si="4"/>
        <v>4</v>
      </c>
      <c r="T967" s="15" t="str">
        <f t="shared" si="5"/>
        <v>C-4</v>
      </c>
      <c r="U967" s="15" t="str">
        <f t="shared" si="6"/>
        <v>T4-M5-H4-FC-4-VERIFY</v>
      </c>
      <c r="V967" s="15">
        <f t="shared" si="7"/>
        <v>1</v>
      </c>
      <c r="W967" s="31"/>
      <c r="X967" s="15" t="str">
        <f t="shared" si="8"/>
        <v>changanassery</v>
      </c>
      <c r="Y967" s="32" t="str">
        <f t="shared" si="9"/>
        <v>https://steelmanufacturer.in/market-area/electropolished-pipes-manufacturer-in-changanassery/</v>
      </c>
      <c r="Z967" s="15" t="str">
        <f t="shared" si="10"/>
        <v>Electropolished Pipes Manufacturer in Changanassery</v>
      </c>
      <c r="AA967" s="15" t="str">
        <f t="shared" si="11"/>
        <v>OK (51)</v>
      </c>
      <c r="AB967" s="15" t="str">
        <f t="shared" si="12"/>
        <v>Manufacturer of electropolished SS 316L tube serving Changanassery. VERIFY. Ra 0.25-0.5 um, EN 10204 3.1 MTC.</v>
      </c>
      <c r="AC967" s="15" t="str">
        <f t="shared" si="13"/>
        <v>PENDING RESEARCH</v>
      </c>
      <c r="AD967" s="15" t="str">
        <f t="shared" si="14"/>
        <v>Electropolished Pipes Manufacturer in Changanassery</v>
      </c>
      <c r="AE967" s="15" t="str">
        <f t="shared" si="15"/>
        <v>Manufacturing Electropolished SS Tube for Changanassery: The Standards We Build To</v>
      </c>
      <c r="AF967" s="15" t="str">
        <f t="shared" si="16"/>
        <v>Electropolished Pipe Supply Into Changanassery - Certification &amp; Transit</v>
      </c>
      <c r="AG967" s="15" t="str">
        <f t="shared" si="17"/>
        <v>Electropolished Pipes Wholesaler in Changanassery - Project Quantities &amp; Terms</v>
      </c>
      <c r="AH967" s="15" t="str">
        <f t="shared" si="18"/>
        <v>electropolished pipes manufacturer in Changanassery, electropolished pipes supplier in Changanassery, electropolished pipes wholesaler in Changanassery, electropolished tube manufacturer Changanassery, EP pipe supplier Changanassery, sanitary tube supplier Changanassery, ASME BPE tubing Changanassery, ASTM A270 tube Changanassery, SS 316L electropolished pipe Changanassery</v>
      </c>
      <c r="AI967" s="15" t="str">
        <f t="shared" si="19"/>
        <v>Electropolished Pipes Manufacturer &amp; Supplier in Changanassery</v>
      </c>
      <c r="AJ967" s="15" t="str">
        <f t="shared" si="20"/>
        <v>EP-finished SS 304/316L pipes and tubes for VERIFY plants in Changanassery. ASME BPE SF1-SF4, Ra from 0.25 um, EN 10204 3.1 certificate with every lot.</v>
      </c>
      <c r="AK967" s="15" t="str">
        <f t="shared" si="21"/>
        <v>Electropolished stainless steel pipes supplied by Sakshi Forge to VERIFY plants at KINFRA Industrial Area, Changanassery</v>
      </c>
      <c r="AL967" s="15" t="str">
        <f t="shared" si="22"/>
        <v>Electropolished SS 316L tube stock for Changanassery - Sakshi Forge</v>
      </c>
      <c r="AM967" s="15" t="str">
        <f t="shared" si="23"/>
        <v>Home &gt; Market Area &gt; India &gt; Kerala &gt; Changanassery</v>
      </c>
      <c r="AN967" s="15">
        <f t="shared" si="24"/>
        <v>750</v>
      </c>
      <c r="AO967" s="15">
        <f t="shared" si="25"/>
        <v>6</v>
      </c>
      <c r="AP967" s="15">
        <f t="shared" si="26"/>
        <v>6</v>
      </c>
      <c r="AQ967" s="15">
        <f t="shared" si="27"/>
        <v>17</v>
      </c>
      <c r="AR967" s="31"/>
      <c r="AS967" s="31"/>
      <c r="AT967" s="35" t="s">
        <v>222</v>
      </c>
      <c r="AU967" s="35"/>
    </row>
    <row r="968" ht="15.75" customHeight="1">
      <c r="A968" s="15" t="s">
        <v>5096</v>
      </c>
      <c r="B968" s="15" t="s">
        <v>60</v>
      </c>
      <c r="C968" s="15" t="s">
        <v>570</v>
      </c>
      <c r="D968" s="15" t="s">
        <v>5097</v>
      </c>
      <c r="E968" s="15" t="s">
        <v>5097</v>
      </c>
      <c r="F968" s="58" t="s">
        <v>807</v>
      </c>
      <c r="G968" s="66" t="s">
        <v>98</v>
      </c>
      <c r="H968" s="18" t="s">
        <v>5099</v>
      </c>
      <c r="I968" s="18" t="s">
        <v>8405</v>
      </c>
      <c r="J968" s="18" t="s">
        <v>98</v>
      </c>
      <c r="K968" s="18" t="s">
        <v>98</v>
      </c>
      <c r="L968" s="18" t="s">
        <v>98</v>
      </c>
      <c r="M968" s="18" t="s">
        <v>98</v>
      </c>
      <c r="N968" s="18" t="s">
        <v>98</v>
      </c>
      <c r="O968" s="18" t="s">
        <v>98</v>
      </c>
      <c r="P968" s="15" t="str">
        <f t="shared" si="1"/>
        <v>VERIFY</v>
      </c>
      <c r="Q968" s="15">
        <f t="shared" si="2"/>
        <v>5</v>
      </c>
      <c r="R968" s="15">
        <f t="shared" si="3"/>
        <v>6</v>
      </c>
      <c r="S968" s="15">
        <f t="shared" si="4"/>
        <v>5</v>
      </c>
      <c r="T968" s="15" t="str">
        <f t="shared" si="5"/>
        <v>C-5</v>
      </c>
      <c r="U968" s="15" t="str">
        <f t="shared" si="6"/>
        <v>T5-M6-H5-FC-5-VERIFY</v>
      </c>
      <c r="V968" s="15">
        <f t="shared" si="7"/>
        <v>1</v>
      </c>
      <c r="W968" s="31"/>
      <c r="X968" s="15" t="str">
        <f t="shared" si="8"/>
        <v>channapatna</v>
      </c>
      <c r="Y968" s="32" t="str">
        <f t="shared" si="9"/>
        <v>https://steelmanufacturer.in/market-area/electropolished-pipes-manufacturer-in-channapatna/</v>
      </c>
      <c r="Z968" s="15" t="str">
        <f t="shared" si="10"/>
        <v>Electropolished Pipes Manufacturer in Channapatna</v>
      </c>
      <c r="AA968" s="15" t="str">
        <f t="shared" si="11"/>
        <v>OK (49)</v>
      </c>
      <c r="AB968" s="15" t="str">
        <f t="shared" si="12"/>
        <v>EP tube and pipe for VERIFY plants around KIADB Industrial Area, Channapatna. Made at our Mumbai works to ASTM A270 and ASME BPE SF1-SF4, with 3.1 MTC.</v>
      </c>
      <c r="AC968" s="15" t="str">
        <f t="shared" si="13"/>
        <v>PENDING RESEARCH</v>
      </c>
      <c r="AD968" s="15" t="str">
        <f t="shared" si="14"/>
        <v>Electropolished Pipes Manufacturer in Channapatna</v>
      </c>
      <c r="AE968" s="15" t="str">
        <f t="shared" si="15"/>
        <v>Electropolished Tube Manufacturing Capability Serving Channapatna</v>
      </c>
      <c r="AF968" s="15" t="str">
        <f t="shared" si="16"/>
        <v>Electropolished Pipes Supplier in Channapatna - From Order to Delivery</v>
      </c>
      <c r="AG968" s="15" t="str">
        <f t="shared" si="17"/>
        <v>Stockist &amp; Wholesale Supply of Electropolished Pipes in Channapatna</v>
      </c>
      <c r="AH968" s="15" t="str">
        <f t="shared" si="18"/>
        <v>electropolished pipes manufacturer in Channapatna, electropolished pipes supplier in Channapatna, electropolished pipes wholesaler in Channapatna, electropolished tube manufacturer Channapatna, EP pipe supplier Channapatna, sanitary tube supplier Channapatna, ASME BPE tubing Channapatna, ASTM A270 tube Channapatna, SS 316L electropolished pipe Channapatna</v>
      </c>
      <c r="AI968" s="15" t="str">
        <f t="shared" si="19"/>
        <v>Electropolished Pipes Manufacturer &amp; Supplier in Channapatna</v>
      </c>
      <c r="AJ968" s="15" t="str">
        <f t="shared" si="20"/>
        <v>EP-finished SS 304/316L pipes and tubes for VERIFY plants in Channapatna. ASME BPE SF1-SF4, Ra from 0.25 um, EN 10204 3.1 certificate with every lot.</v>
      </c>
      <c r="AK968" s="15" t="str">
        <f t="shared" si="21"/>
        <v>Electropolished stainless steel pipes supplied by Sakshi Forge to VERIFY plants at KIADB Industrial Area, Channapatna</v>
      </c>
      <c r="AL968" s="15" t="str">
        <f t="shared" si="22"/>
        <v>Electropolished SS 316L tube stock for Channapatna - Sakshi Forge</v>
      </c>
      <c r="AM968" s="15" t="str">
        <f t="shared" si="23"/>
        <v>Home &gt; Market Area &gt; India &gt; Karnataka &gt; Channapatna</v>
      </c>
      <c r="AN968" s="15">
        <f t="shared" si="24"/>
        <v>750</v>
      </c>
      <c r="AO968" s="15">
        <f t="shared" si="25"/>
        <v>6</v>
      </c>
      <c r="AP968" s="15">
        <f t="shared" si="26"/>
        <v>6</v>
      </c>
      <c r="AQ968" s="15">
        <f t="shared" si="27"/>
        <v>17</v>
      </c>
      <c r="AR968" s="31"/>
      <c r="AS968" s="31"/>
      <c r="AT968" s="35" t="s">
        <v>222</v>
      </c>
      <c r="AU968" s="35"/>
    </row>
    <row r="969" ht="15.75" customHeight="1">
      <c r="A969" s="15" t="s">
        <v>5100</v>
      </c>
      <c r="B969" s="15" t="s">
        <v>60</v>
      </c>
      <c r="C969" s="15" t="s">
        <v>570</v>
      </c>
      <c r="D969" s="15" t="s">
        <v>5101</v>
      </c>
      <c r="E969" s="15" t="s">
        <v>5101</v>
      </c>
      <c r="F969" s="58" t="s">
        <v>807</v>
      </c>
      <c r="G969" s="66" t="s">
        <v>98</v>
      </c>
      <c r="H969" s="18" t="s">
        <v>5103</v>
      </c>
      <c r="I969" s="18" t="s">
        <v>8405</v>
      </c>
      <c r="J969" s="18" t="s">
        <v>98</v>
      </c>
      <c r="K969" s="18" t="s">
        <v>98</v>
      </c>
      <c r="L969" s="18" t="s">
        <v>98</v>
      </c>
      <c r="M969" s="18" t="s">
        <v>98</v>
      </c>
      <c r="N969" s="18" t="s">
        <v>98</v>
      </c>
      <c r="O969" s="18" t="s">
        <v>98</v>
      </c>
      <c r="P969" s="15" t="str">
        <f t="shared" si="1"/>
        <v>VERIFY</v>
      </c>
      <c r="Q969" s="15">
        <f t="shared" si="2"/>
        <v>6</v>
      </c>
      <c r="R969" s="15">
        <f t="shared" si="3"/>
        <v>7</v>
      </c>
      <c r="S969" s="15">
        <f t="shared" si="4"/>
        <v>1</v>
      </c>
      <c r="T969" s="15" t="str">
        <f t="shared" si="5"/>
        <v>C-6</v>
      </c>
      <c r="U969" s="15" t="str">
        <f t="shared" si="6"/>
        <v>T6-M7-H1-FC-6-VERIFY</v>
      </c>
      <c r="V969" s="15">
        <f t="shared" si="7"/>
        <v>1</v>
      </c>
      <c r="W969" s="31"/>
      <c r="X969" s="15" t="str">
        <f t="shared" si="8"/>
        <v>channarayapatna</v>
      </c>
      <c r="Y969" s="32" t="str">
        <f t="shared" si="9"/>
        <v>https://steelmanufacturer.in/market-area/electropolished-pipes-manufacturer-in-channarayapatna/</v>
      </c>
      <c r="Z969" s="15" t="str">
        <f t="shared" si="10"/>
        <v>Electropolished Pipes Manufacturer in Channarayapatna</v>
      </c>
      <c r="AA969" s="15" t="str">
        <f t="shared" si="11"/>
        <v>OK (53)</v>
      </c>
      <c r="AB969" s="15" t="str">
        <f t="shared" si="12"/>
        <v>Electropolished pipes in Channarayapatna: 304, 304L, 316 and 316L in SF1-SF4. VERIFY. Mill certified.</v>
      </c>
      <c r="AC969" s="15" t="str">
        <f t="shared" si="13"/>
        <v>PENDING RESEARCH</v>
      </c>
      <c r="AD969" s="15" t="str">
        <f t="shared" si="14"/>
        <v>Electropolished Pipes Manufacturer in Channarayapatna</v>
      </c>
      <c r="AE969" s="15" t="str">
        <f t="shared" si="15"/>
        <v>Electropolished Pipe &amp; Tube Manufacturing for Channarayapatna - Grades, Finishes &amp; Certification</v>
      </c>
      <c r="AF969" s="15" t="str">
        <f t="shared" si="16"/>
        <v>Electropolished Pipes Supplier in Channarayapatna - Stock Sizes, Lead Time &amp; Delivery</v>
      </c>
      <c r="AG969" s="15" t="str">
        <f t="shared" si="17"/>
        <v>Electropolished Pipes Wholesaler &amp; Stockist in Channarayapatna - Bulk &amp; Project Pricing</v>
      </c>
      <c r="AH969" s="15" t="str">
        <f t="shared" si="18"/>
        <v>electropolished pipes manufacturer in Channarayapatna, electropolished pipes supplier in Channarayapatna, electropolished pipes wholesaler in Channarayapatna, electropolished tube manufacturer Channarayapatna, EP pipe supplier Channarayapatna, sanitary tube supplier Channarayapatna, ASME BPE tubing Channarayapatna, ASTM A270 tube Channarayapatna, SS 316L electropolished pipe Channarayapatna</v>
      </c>
      <c r="AI969" s="15" t="str">
        <f t="shared" si="19"/>
        <v>Electropolished Pipes Manufacturer &amp; Supplier in Channarayapatna</v>
      </c>
      <c r="AJ969" s="15" t="str">
        <f t="shared" si="20"/>
        <v>EP-finished SS 304/316L pipes and tubes for VERIFY plants in Channarayapatna. ASME BPE SF1-SF4, Ra from 0.25 um, EN 10204 3.1 certificate with every lot.</v>
      </c>
      <c r="AK969" s="15" t="str">
        <f t="shared" si="21"/>
        <v>Electropolished stainless steel pipes supplied by Sakshi Forge to VERIFY plants at KIADB Industrial Area, Channarayapatna</v>
      </c>
      <c r="AL969" s="15" t="str">
        <f t="shared" si="22"/>
        <v>Electropolished SS 316L tube stock for Channarayapatna - Sakshi Forge</v>
      </c>
      <c r="AM969" s="15" t="str">
        <f t="shared" si="23"/>
        <v>Home &gt; Market Area &gt; India &gt; Karnataka &gt; Channarayapatna</v>
      </c>
      <c r="AN969" s="15">
        <f t="shared" si="24"/>
        <v>750</v>
      </c>
      <c r="AO969" s="15">
        <f t="shared" si="25"/>
        <v>6</v>
      </c>
      <c r="AP969" s="15">
        <f t="shared" si="26"/>
        <v>6</v>
      </c>
      <c r="AQ969" s="15">
        <f t="shared" si="27"/>
        <v>17</v>
      </c>
      <c r="AR969" s="31"/>
      <c r="AS969" s="31"/>
      <c r="AT969" s="35" t="s">
        <v>222</v>
      </c>
      <c r="AU969" s="35"/>
    </row>
    <row r="970" ht="15.75" customHeight="1">
      <c r="A970" s="15" t="s">
        <v>5104</v>
      </c>
      <c r="B970" s="15" t="s">
        <v>60</v>
      </c>
      <c r="C970" s="15" t="s">
        <v>245</v>
      </c>
      <c r="D970" s="15" t="s">
        <v>5105</v>
      </c>
      <c r="E970" s="15" t="s">
        <v>5105</v>
      </c>
      <c r="F970" s="58" t="s">
        <v>807</v>
      </c>
      <c r="G970" s="66" t="s">
        <v>98</v>
      </c>
      <c r="H970" s="18" t="s">
        <v>5107</v>
      </c>
      <c r="I970" s="18" t="s">
        <v>8407</v>
      </c>
      <c r="J970" s="18" t="s">
        <v>98</v>
      </c>
      <c r="K970" s="18" t="s">
        <v>98</v>
      </c>
      <c r="L970" s="18" t="s">
        <v>98</v>
      </c>
      <c r="M970" s="18" t="s">
        <v>98</v>
      </c>
      <c r="N970" s="18" t="s">
        <v>98</v>
      </c>
      <c r="O970" s="18" t="s">
        <v>98</v>
      </c>
      <c r="P970" s="15" t="str">
        <f t="shared" si="1"/>
        <v>VERIFY</v>
      </c>
      <c r="Q970" s="15">
        <f t="shared" si="2"/>
        <v>7</v>
      </c>
      <c r="R970" s="15">
        <f t="shared" si="3"/>
        <v>1</v>
      </c>
      <c r="S970" s="15">
        <f t="shared" si="4"/>
        <v>2</v>
      </c>
      <c r="T970" s="15" t="str">
        <f t="shared" si="5"/>
        <v>C-1</v>
      </c>
      <c r="U970" s="15" t="str">
        <f t="shared" si="6"/>
        <v>T7-M1-H2-FC-1-VERIFY</v>
      </c>
      <c r="V970" s="15">
        <f t="shared" si="7"/>
        <v>1</v>
      </c>
      <c r="W970" s="31"/>
      <c r="X970" s="15" t="str">
        <f t="shared" si="8"/>
        <v>charkhi-dadri</v>
      </c>
      <c r="Y970" s="32" t="str">
        <f t="shared" si="9"/>
        <v>https://steelmanufacturer.in/market-area/electropolished-pipes-manufacturer-in-charkhi-dadri/</v>
      </c>
      <c r="Z970" s="15" t="str">
        <f t="shared" si="10"/>
        <v>Electropolished Pipes Manufacturer in Charkhi Dadri</v>
      </c>
      <c r="AA970" s="15" t="str">
        <f t="shared" si="11"/>
        <v>OK (51)</v>
      </c>
      <c r="AB970" s="15" t="str">
        <f t="shared" si="12"/>
        <v>EP-finished SS 304/316L pipes &amp; tubes for VERIFY plants in Charkhi Dadri. ASTM A270, ASME BPE SF1-SF4, EN 10204 3.1 MTC. PMI tested.</v>
      </c>
      <c r="AC970" s="15" t="str">
        <f t="shared" si="13"/>
        <v>PENDING RESEARCH</v>
      </c>
      <c r="AD970" s="15" t="str">
        <f t="shared" si="14"/>
        <v>Electropolished Pipes Manufacturer in Charkhi Dadri</v>
      </c>
      <c r="AE970" s="15" t="str">
        <f t="shared" si="15"/>
        <v>How We Manufacture Electropolished Tube for Charkhi Dadri Plants</v>
      </c>
      <c r="AF970" s="15" t="str">
        <f t="shared" si="16"/>
        <v>Supplying Electropolished Pipes in Charkhi Dadri: Availability, Sizes &amp; Dispatch</v>
      </c>
      <c r="AG970" s="15" t="str">
        <f t="shared" si="17"/>
        <v>Wholesale Electropolished Pipe Supply for Charkhi Dadri Projects</v>
      </c>
      <c r="AH970" s="15" t="str">
        <f t="shared" si="18"/>
        <v>electropolished pipes manufacturer in Charkhi Dadri, electropolished pipes supplier in Charkhi Dadri, electropolished pipes wholesaler in Charkhi Dadri, electropolished tube manufacturer Charkhi Dadri, EP pipe supplier Charkhi Dadri, sanitary tube supplier Charkhi Dadri, ASME BPE tubing Charkhi Dadri, ASTM A270 tube Charkhi Dadri, SS 316L electropolished pipe Charkhi Dadri</v>
      </c>
      <c r="AI970" s="15" t="str">
        <f t="shared" si="19"/>
        <v>Electropolished Pipes Manufacturer &amp; Supplier in Charkhi Dadri</v>
      </c>
      <c r="AJ970" s="15" t="str">
        <f t="shared" si="20"/>
        <v>EP-finished SS 304/316L pipes and tubes for VERIFY plants in Charkhi Dadri. ASME BPE SF1-SF4, Ra from 0.25 um, EN 10204 3.1 certificate with every lot.</v>
      </c>
      <c r="AK970" s="15" t="str">
        <f t="shared" si="21"/>
        <v>Electropolished stainless steel pipes supplied by Sakshi Forge to VERIFY plants at HSIIDC Industrial Area, Charkhi Dadri</v>
      </c>
      <c r="AL970" s="15" t="str">
        <f t="shared" si="22"/>
        <v>Electropolished SS 316L tube stock for Charkhi Dadri - Sakshi Forge</v>
      </c>
      <c r="AM970" s="15" t="str">
        <f t="shared" si="23"/>
        <v>Home &gt; Market Area &gt; India &gt; Haryana &gt; Charkhi Dadri</v>
      </c>
      <c r="AN970" s="15">
        <f t="shared" si="24"/>
        <v>750</v>
      </c>
      <c r="AO970" s="15">
        <f t="shared" si="25"/>
        <v>6</v>
      </c>
      <c r="AP970" s="15">
        <f t="shared" si="26"/>
        <v>6</v>
      </c>
      <c r="AQ970" s="15">
        <f t="shared" si="27"/>
        <v>17</v>
      </c>
      <c r="AR970" s="31"/>
      <c r="AS970" s="31"/>
      <c r="AT970" s="35" t="s">
        <v>222</v>
      </c>
      <c r="AU970" s="35"/>
    </row>
    <row r="971" ht="15.75" customHeight="1">
      <c r="A971" s="15" t="s">
        <v>5108</v>
      </c>
      <c r="B971" s="15" t="s">
        <v>60</v>
      </c>
      <c r="C971" s="15" t="s">
        <v>878</v>
      </c>
      <c r="D971" s="15" t="s">
        <v>5109</v>
      </c>
      <c r="E971" s="15" t="s">
        <v>5109</v>
      </c>
      <c r="F971" s="58" t="s">
        <v>807</v>
      </c>
      <c r="G971" s="66" t="s">
        <v>98</v>
      </c>
      <c r="H971" s="18" t="s">
        <v>5113</v>
      </c>
      <c r="I971" s="18" t="s">
        <v>8415</v>
      </c>
      <c r="J971" s="18" t="s">
        <v>98</v>
      </c>
      <c r="K971" s="18" t="s">
        <v>98</v>
      </c>
      <c r="L971" s="18" t="s">
        <v>98</v>
      </c>
      <c r="M971" s="18" t="s">
        <v>98</v>
      </c>
      <c r="N971" s="18" t="s">
        <v>98</v>
      </c>
      <c r="O971" s="18" t="s">
        <v>98</v>
      </c>
      <c r="P971" s="15" t="str">
        <f t="shared" si="1"/>
        <v>VERIFY</v>
      </c>
      <c r="Q971" s="15">
        <f t="shared" si="2"/>
        <v>8</v>
      </c>
      <c r="R971" s="15">
        <f t="shared" si="3"/>
        <v>2</v>
      </c>
      <c r="S971" s="15">
        <f t="shared" si="4"/>
        <v>3</v>
      </c>
      <c r="T971" s="15" t="str">
        <f t="shared" si="5"/>
        <v>C-2</v>
      </c>
      <c r="U971" s="15" t="str">
        <f t="shared" si="6"/>
        <v>T8-M2-H3-FC-2-VERIFY</v>
      </c>
      <c r="V971" s="15">
        <f t="shared" si="7"/>
        <v>1</v>
      </c>
      <c r="W971" s="31"/>
      <c r="X971" s="15" t="str">
        <f t="shared" si="8"/>
        <v>chatra</v>
      </c>
      <c r="Y971" s="32" t="str">
        <f t="shared" si="9"/>
        <v>https://steelmanufacturer.in/market-area/electropolished-pipes-manufacturer-in-chatra/</v>
      </c>
      <c r="Z971" s="15" t="str">
        <f t="shared" si="10"/>
        <v>Electropolished Pipes Manufacturer in Chatra - EP Tube Stockist</v>
      </c>
      <c r="AA971" s="15" t="str">
        <f t="shared" si="11"/>
        <v>OK (63)</v>
      </c>
      <c r="AB971" s="15" t="str">
        <f t="shared" si="12"/>
        <v>Electropolished tube supply to JIADA Industrial Area, Chatra. Ra from 0.25 um, SF4 finish, mill test certificate with every lot.</v>
      </c>
      <c r="AC971" s="15" t="str">
        <f t="shared" si="13"/>
        <v>PENDING RESEARCH</v>
      </c>
      <c r="AD971" s="15" t="str">
        <f t="shared" si="14"/>
        <v>Electropolished Pipes Manufacturer in Chatra</v>
      </c>
      <c r="AE971" s="15" t="str">
        <f t="shared" si="15"/>
        <v>Electropolished Pipes Manufacturer in Chatra - Our Process &amp; Capability</v>
      </c>
      <c r="AF971" s="15" t="str">
        <f t="shared" si="16"/>
        <v>Electropolished Pipes Supplier in Chatra - What We Hold in Stock</v>
      </c>
      <c r="AG971" s="15" t="str">
        <f t="shared" si="17"/>
        <v>Bulk &amp; Wholesale Electropolished Pipe Rates for Chatra Buyers</v>
      </c>
      <c r="AH971" s="15" t="str">
        <f t="shared" si="18"/>
        <v>electropolished pipes manufacturer in Chatra, electropolished pipes supplier in Chatra, electropolished pipes wholesaler in Chatra, electropolished tube manufacturer Chatra, EP pipe supplier Chatra, sanitary tube supplier Chatra, ASME BPE tubing Chatra, ASTM A270 tube Chatra, SS 316L electropolished pipe Chatra</v>
      </c>
      <c r="AI971" s="15" t="str">
        <f t="shared" si="19"/>
        <v>Electropolished Pipes Manufacturer &amp; Supplier in Chatra</v>
      </c>
      <c r="AJ971" s="15" t="str">
        <f t="shared" si="20"/>
        <v>EP-finished SS 304/316L pipes and tubes for VERIFY plants in Chatra. ASME BPE SF1-SF4, Ra from 0.25 um, EN 10204 3.1 certificate with every lot.</v>
      </c>
      <c r="AK971" s="15" t="str">
        <f t="shared" si="21"/>
        <v>Electropolished stainless steel pipes supplied by Sakshi Forge to VERIFY plants at JIADA Industrial Area, Chatra</v>
      </c>
      <c r="AL971" s="15" t="str">
        <f t="shared" si="22"/>
        <v>Electropolished SS 316L tube stock for Chatra - Sakshi Forge</v>
      </c>
      <c r="AM971" s="15" t="str">
        <f t="shared" si="23"/>
        <v>Home &gt; Market Area &gt; India &gt; Jharkhand &gt; Chatra</v>
      </c>
      <c r="AN971" s="15">
        <f t="shared" si="24"/>
        <v>750</v>
      </c>
      <c r="AO971" s="15">
        <f t="shared" si="25"/>
        <v>6</v>
      </c>
      <c r="AP971" s="15">
        <f t="shared" si="26"/>
        <v>6</v>
      </c>
      <c r="AQ971" s="15">
        <f t="shared" si="27"/>
        <v>17</v>
      </c>
      <c r="AR971" s="31"/>
      <c r="AS971" s="31"/>
      <c r="AT971" s="35" t="s">
        <v>222</v>
      </c>
      <c r="AU971" s="35"/>
    </row>
    <row r="972" ht="15.75" customHeight="1">
      <c r="A972" s="15" t="s">
        <v>5116</v>
      </c>
      <c r="B972" s="15" t="s">
        <v>60</v>
      </c>
      <c r="C972" s="15" t="s">
        <v>958</v>
      </c>
      <c r="D972" s="15" t="s">
        <v>5119</v>
      </c>
      <c r="E972" s="15" t="s">
        <v>5119</v>
      </c>
      <c r="F972" s="58" t="s">
        <v>807</v>
      </c>
      <c r="G972" s="66" t="s">
        <v>98</v>
      </c>
      <c r="H972" s="18" t="s">
        <v>5121</v>
      </c>
      <c r="I972" s="18" t="s">
        <v>8403</v>
      </c>
      <c r="J972" s="18" t="s">
        <v>98</v>
      </c>
      <c r="K972" s="18" t="s">
        <v>98</v>
      </c>
      <c r="L972" s="18" t="s">
        <v>98</v>
      </c>
      <c r="M972" s="18" t="s">
        <v>98</v>
      </c>
      <c r="N972" s="18" t="s">
        <v>98</v>
      </c>
      <c r="O972" s="18" t="s">
        <v>98</v>
      </c>
      <c r="P972" s="15" t="str">
        <f t="shared" si="1"/>
        <v>VERIFY</v>
      </c>
      <c r="Q972" s="15">
        <f t="shared" si="2"/>
        <v>1</v>
      </c>
      <c r="R972" s="15">
        <f t="shared" si="3"/>
        <v>3</v>
      </c>
      <c r="S972" s="15">
        <f t="shared" si="4"/>
        <v>4</v>
      </c>
      <c r="T972" s="15" t="str">
        <f t="shared" si="5"/>
        <v>C-3</v>
      </c>
      <c r="U972" s="15" t="str">
        <f t="shared" si="6"/>
        <v>T1-M3-H4-FC-3-VERIFY</v>
      </c>
      <c r="V972" s="15">
        <f t="shared" si="7"/>
        <v>1</v>
      </c>
      <c r="W972" s="31"/>
      <c r="X972" s="15" t="str">
        <f t="shared" si="8"/>
        <v>chengalpattu</v>
      </c>
      <c r="Y972" s="32" t="str">
        <f t="shared" si="9"/>
        <v>https://steelmanufacturer.in/market-area/electropolished-pipes-manufacturer-in-chengalpattu/</v>
      </c>
      <c r="Z972" s="15" t="str">
        <f t="shared" si="10"/>
        <v>Electropolished Pipes Manufacturer in Chengalpattu | Sakshi Forge</v>
      </c>
      <c r="AA972" s="15" t="str">
        <f t="shared" si="11"/>
        <v>OK (65)</v>
      </c>
      <c r="AB972" s="15" t="str">
        <f t="shared" si="12"/>
        <v>EP stainless tube for VERIFY lines in Chengalpattu. VERIFY. ASTM A270 S2, PMI tested, EN 10204 3.1.</v>
      </c>
      <c r="AC972" s="15" t="str">
        <f t="shared" si="13"/>
        <v>PENDING RESEARCH</v>
      </c>
      <c r="AD972" s="15" t="str">
        <f t="shared" si="14"/>
        <v>Electropolished Pipes Manufacturer in Chengalpattu</v>
      </c>
      <c r="AE972" s="15" t="str">
        <f t="shared" si="15"/>
        <v>Manufacturing Electropolished SS Tube for Chengalpattu: The Standards We Build To</v>
      </c>
      <c r="AF972" s="15" t="str">
        <f t="shared" si="16"/>
        <v>Electropolished Pipe Supply Into Chengalpattu - Certification &amp; Transit</v>
      </c>
      <c r="AG972" s="15" t="str">
        <f t="shared" si="17"/>
        <v>Electropolished Pipes Wholesaler in Chengalpattu - Project Quantities &amp; Terms</v>
      </c>
      <c r="AH972" s="15" t="str">
        <f t="shared" si="18"/>
        <v>electropolished pipes manufacturer in Chengalpattu, electropolished pipes supplier in Chengalpattu, electropolished pipes wholesaler in Chengalpattu, electropolished tube manufacturer Chengalpattu, EP pipe supplier Chengalpattu, sanitary tube supplier Chengalpattu, ASME BPE tubing Chengalpattu, ASTM A270 tube Chengalpattu, SS 316L electropolished pipe Chengalpattu</v>
      </c>
      <c r="AI972" s="15" t="str">
        <f t="shared" si="19"/>
        <v>Electropolished Pipes Manufacturer &amp; Supplier in Chengalpattu</v>
      </c>
      <c r="AJ972" s="15" t="str">
        <f t="shared" si="20"/>
        <v>EP-finished SS 304/316L pipes and tubes for VERIFY plants in Chengalpattu. ASME BPE SF1-SF4, Ra from 0.25 um, EN 10204 3.1 certificate with every lot.</v>
      </c>
      <c r="AK972" s="15" t="str">
        <f t="shared" si="21"/>
        <v>Electropolished stainless steel pipes supplied by Sakshi Forge to VERIFY plants at SIPCOT Industrial Area, Chengalpattu</v>
      </c>
      <c r="AL972" s="15" t="str">
        <f t="shared" si="22"/>
        <v>Electropolished SS 316L tube stock for Chengalpattu - Sakshi Forge</v>
      </c>
      <c r="AM972" s="15" t="str">
        <f t="shared" si="23"/>
        <v>Home &gt; Market Area &gt; India &gt; Tamil Nadu &gt; Chengalpattu</v>
      </c>
      <c r="AN972" s="15">
        <f t="shared" si="24"/>
        <v>750</v>
      </c>
      <c r="AO972" s="15">
        <f t="shared" si="25"/>
        <v>6</v>
      </c>
      <c r="AP972" s="15">
        <f t="shared" si="26"/>
        <v>6</v>
      </c>
      <c r="AQ972" s="15">
        <f t="shared" si="27"/>
        <v>17</v>
      </c>
      <c r="AR972" s="31"/>
      <c r="AS972" s="31"/>
      <c r="AT972" s="35" t="s">
        <v>222</v>
      </c>
      <c r="AU972" s="35"/>
    </row>
    <row r="973" ht="15.75" customHeight="1">
      <c r="A973" s="15" t="s">
        <v>5122</v>
      </c>
      <c r="B973" s="15" t="s">
        <v>60</v>
      </c>
      <c r="C973" s="15" t="s">
        <v>1687</v>
      </c>
      <c r="D973" s="15" t="s">
        <v>5123</v>
      </c>
      <c r="E973" s="15" t="s">
        <v>5123</v>
      </c>
      <c r="F973" s="58" t="s">
        <v>807</v>
      </c>
      <c r="G973" s="66" t="s">
        <v>98</v>
      </c>
      <c r="H973" s="18" t="s">
        <v>5125</v>
      </c>
      <c r="I973" s="18" t="s">
        <v>8397</v>
      </c>
      <c r="J973" s="18" t="s">
        <v>98</v>
      </c>
      <c r="K973" s="18" t="s">
        <v>98</v>
      </c>
      <c r="L973" s="18" t="s">
        <v>98</v>
      </c>
      <c r="M973" s="18" t="s">
        <v>98</v>
      </c>
      <c r="N973" s="18" t="s">
        <v>98</v>
      </c>
      <c r="O973" s="18" t="s">
        <v>98</v>
      </c>
      <c r="P973" s="15" t="str">
        <f t="shared" si="1"/>
        <v>VERIFY</v>
      </c>
      <c r="Q973" s="15">
        <f t="shared" si="2"/>
        <v>2</v>
      </c>
      <c r="R973" s="15">
        <f t="shared" si="3"/>
        <v>4</v>
      </c>
      <c r="S973" s="15">
        <f t="shared" si="4"/>
        <v>5</v>
      </c>
      <c r="T973" s="15" t="str">
        <f t="shared" si="5"/>
        <v>C-4</v>
      </c>
      <c r="U973" s="15" t="str">
        <f t="shared" si="6"/>
        <v>T2-M4-H5-FC-4-VERIFY</v>
      </c>
      <c r="V973" s="15">
        <f t="shared" si="7"/>
        <v>1</v>
      </c>
      <c r="W973" s="31"/>
      <c r="X973" s="15" t="str">
        <f t="shared" si="8"/>
        <v>chengannur</v>
      </c>
      <c r="Y973" s="32" t="str">
        <f t="shared" si="9"/>
        <v>https://steelmanufacturer.in/market-area/electropolished-pipes-manufacturer-in-chengannur/</v>
      </c>
      <c r="Z973" s="15" t="str">
        <f t="shared" si="10"/>
        <v>Electropolished Pipes Manufacturer in Chengannur</v>
      </c>
      <c r="AA973" s="15" t="str">
        <f t="shared" si="11"/>
        <v>OK (48)</v>
      </c>
      <c r="AB973" s="15" t="str">
        <f t="shared" si="12"/>
        <v>Sanitary electropolished pipes in Chengannur for VERIFY plants. ASME BPE SF1-SF4, orbital-weld ready, 3.1 MTC. Mumbai-made.</v>
      </c>
      <c r="AC973" s="15" t="str">
        <f t="shared" si="13"/>
        <v>PENDING RESEARCH</v>
      </c>
      <c r="AD973" s="15" t="str">
        <f t="shared" si="14"/>
        <v>Electropolished Pipes Manufacturer in Chengannur</v>
      </c>
      <c r="AE973" s="15" t="str">
        <f t="shared" si="15"/>
        <v>Electropolished Tube Manufacturing Capability Serving Chengannur</v>
      </c>
      <c r="AF973" s="15" t="str">
        <f t="shared" si="16"/>
        <v>Electropolished Pipes Supplier in Chengannur - From Order to Delivery</v>
      </c>
      <c r="AG973" s="15" t="str">
        <f t="shared" si="17"/>
        <v>Stockist &amp; Wholesale Supply of Electropolished Pipes in Chengannur</v>
      </c>
      <c r="AH973" s="15" t="str">
        <f t="shared" si="18"/>
        <v>electropolished pipes manufacturer in Chengannur, electropolished pipes supplier in Chengannur, electropolished pipes wholesaler in Chengannur, electropolished tube manufacturer Chengannur, EP pipe supplier Chengannur, sanitary tube supplier Chengannur, ASME BPE tubing Chengannur, ASTM A270 tube Chengannur, SS 316L electropolished pipe Chengannur</v>
      </c>
      <c r="AI973" s="15" t="str">
        <f t="shared" si="19"/>
        <v>Electropolished Pipes Manufacturer &amp; Supplier in Chengannur</v>
      </c>
      <c r="AJ973" s="15" t="str">
        <f t="shared" si="20"/>
        <v>EP-finished SS 304/316L pipes and tubes for VERIFY plants in Chengannur. ASME BPE SF1-SF4, Ra from 0.25 um, EN 10204 3.1 certificate with every lot.</v>
      </c>
      <c r="AK973" s="15" t="str">
        <f t="shared" si="21"/>
        <v>Electropolished stainless steel pipes supplied by Sakshi Forge to VERIFY plants at KINFRA Industrial Area, Chengannur</v>
      </c>
      <c r="AL973" s="15" t="str">
        <f t="shared" si="22"/>
        <v>Electropolished SS 316L tube stock for Chengannur - Sakshi Forge</v>
      </c>
      <c r="AM973" s="15" t="str">
        <f t="shared" si="23"/>
        <v>Home &gt; Market Area &gt; India &gt; Kerala &gt; Chengannur</v>
      </c>
      <c r="AN973" s="15">
        <f t="shared" si="24"/>
        <v>750</v>
      </c>
      <c r="AO973" s="15">
        <f t="shared" si="25"/>
        <v>6</v>
      </c>
      <c r="AP973" s="15">
        <f t="shared" si="26"/>
        <v>6</v>
      </c>
      <c r="AQ973" s="15">
        <f t="shared" si="27"/>
        <v>17</v>
      </c>
      <c r="AR973" s="31"/>
      <c r="AS973" s="31"/>
      <c r="AT973" s="35" t="s">
        <v>222</v>
      </c>
      <c r="AU973" s="35"/>
    </row>
    <row r="974" ht="15.75" customHeight="1">
      <c r="A974" s="15" t="s">
        <v>5126</v>
      </c>
      <c r="B974" s="15" t="s">
        <v>60</v>
      </c>
      <c r="C974" s="15" t="s">
        <v>1687</v>
      </c>
      <c r="D974" s="15" t="s">
        <v>5127</v>
      </c>
      <c r="E974" s="15" t="s">
        <v>5127</v>
      </c>
      <c r="F974" s="58" t="s">
        <v>807</v>
      </c>
      <c r="G974" s="66" t="s">
        <v>98</v>
      </c>
      <c r="H974" s="18" t="s">
        <v>5129</v>
      </c>
      <c r="I974" s="18" t="s">
        <v>8397</v>
      </c>
      <c r="J974" s="18" t="s">
        <v>98</v>
      </c>
      <c r="K974" s="18" t="s">
        <v>98</v>
      </c>
      <c r="L974" s="18" t="s">
        <v>98</v>
      </c>
      <c r="M974" s="18" t="s">
        <v>98</v>
      </c>
      <c r="N974" s="18" t="s">
        <v>98</v>
      </c>
      <c r="O974" s="18" t="s">
        <v>98</v>
      </c>
      <c r="P974" s="15" t="str">
        <f t="shared" si="1"/>
        <v>VERIFY</v>
      </c>
      <c r="Q974" s="15">
        <f t="shared" si="2"/>
        <v>3</v>
      </c>
      <c r="R974" s="15">
        <f t="shared" si="3"/>
        <v>5</v>
      </c>
      <c r="S974" s="15">
        <f t="shared" si="4"/>
        <v>1</v>
      </c>
      <c r="T974" s="15" t="str">
        <f t="shared" si="5"/>
        <v>C-5</v>
      </c>
      <c r="U974" s="15" t="str">
        <f t="shared" si="6"/>
        <v>T3-M5-H1-FC-5-VERIFY</v>
      </c>
      <c r="V974" s="15">
        <f t="shared" si="7"/>
        <v>1</v>
      </c>
      <c r="W974" s="31"/>
      <c r="X974" s="15" t="str">
        <f t="shared" si="8"/>
        <v>cherthala</v>
      </c>
      <c r="Y974" s="32" t="str">
        <f t="shared" si="9"/>
        <v>https://steelmanufacturer.in/market-area/electropolished-pipes-manufacturer-in-cherthala/</v>
      </c>
      <c r="Z974" s="15" t="str">
        <f t="shared" si="10"/>
        <v>Electropolished Pipes Manufacturer in Cherthala</v>
      </c>
      <c r="AA974" s="15" t="str">
        <f t="shared" si="11"/>
        <v>OK (47)</v>
      </c>
      <c r="AB974" s="15" t="str">
        <f t="shared" si="12"/>
        <v>Manufacturer of electropolished SS 316L tube serving Cherthala. VERIFY. Ra 0.25-0.5 um, EN 10204 3.1 MTC.</v>
      </c>
      <c r="AC974" s="15" t="str">
        <f t="shared" si="13"/>
        <v>PENDING RESEARCH</v>
      </c>
      <c r="AD974" s="15" t="str">
        <f t="shared" si="14"/>
        <v>Electropolished Pipes Manufacturer in Cherthala</v>
      </c>
      <c r="AE974" s="15" t="str">
        <f t="shared" si="15"/>
        <v>Electropolished Pipe &amp; Tube Manufacturing for Cherthala - Grades, Finishes &amp; Certification</v>
      </c>
      <c r="AF974" s="15" t="str">
        <f t="shared" si="16"/>
        <v>Electropolished Pipes Supplier in Cherthala - Stock Sizes, Lead Time &amp; Delivery</v>
      </c>
      <c r="AG974" s="15" t="str">
        <f t="shared" si="17"/>
        <v>Electropolished Pipes Wholesaler &amp; Stockist in Cherthala - Bulk &amp; Project Pricing</v>
      </c>
      <c r="AH974" s="15" t="str">
        <f t="shared" si="18"/>
        <v>electropolished pipes manufacturer in Cherthala, electropolished pipes supplier in Cherthala, electropolished pipes wholesaler in Cherthala, electropolished tube manufacturer Cherthala, EP pipe supplier Cherthala, sanitary tube supplier Cherthala, ASME BPE tubing Cherthala, ASTM A270 tube Cherthala, SS 316L electropolished pipe Cherthala</v>
      </c>
      <c r="AI974" s="15" t="str">
        <f t="shared" si="19"/>
        <v>Electropolished Pipes Manufacturer &amp; Supplier in Cherthala</v>
      </c>
      <c r="AJ974" s="15" t="str">
        <f t="shared" si="20"/>
        <v>EP-finished SS 304/316L pipes and tubes for VERIFY plants in Cherthala. ASME BPE SF1-SF4, Ra from 0.25 um, EN 10204 3.1 certificate with every lot.</v>
      </c>
      <c r="AK974" s="15" t="str">
        <f t="shared" si="21"/>
        <v>Electropolished stainless steel pipes supplied by Sakshi Forge to VERIFY plants at KINFRA Industrial Area, Cherthala</v>
      </c>
      <c r="AL974" s="15" t="str">
        <f t="shared" si="22"/>
        <v>Electropolished SS 316L tube stock for Cherthala - Sakshi Forge</v>
      </c>
      <c r="AM974" s="15" t="str">
        <f t="shared" si="23"/>
        <v>Home &gt; Market Area &gt; India &gt; Kerala &gt; Cherthala</v>
      </c>
      <c r="AN974" s="15">
        <f t="shared" si="24"/>
        <v>750</v>
      </c>
      <c r="AO974" s="15">
        <f t="shared" si="25"/>
        <v>6</v>
      </c>
      <c r="AP974" s="15">
        <f t="shared" si="26"/>
        <v>6</v>
      </c>
      <c r="AQ974" s="15">
        <f t="shared" si="27"/>
        <v>17</v>
      </c>
      <c r="AR974" s="31"/>
      <c r="AS974" s="31"/>
      <c r="AT974" s="35" t="s">
        <v>222</v>
      </c>
      <c r="AU974" s="35"/>
    </row>
    <row r="975" ht="15.75" customHeight="1">
      <c r="A975" s="15" t="s">
        <v>5130</v>
      </c>
      <c r="B975" s="15" t="s">
        <v>60</v>
      </c>
      <c r="C975" s="15" t="s">
        <v>958</v>
      </c>
      <c r="D975" s="15" t="s">
        <v>5131</v>
      </c>
      <c r="E975" s="15" t="s">
        <v>5131</v>
      </c>
      <c r="F975" s="58" t="s">
        <v>807</v>
      </c>
      <c r="G975" s="66" t="s">
        <v>98</v>
      </c>
      <c r="H975" s="18" t="s">
        <v>5133</v>
      </c>
      <c r="I975" s="18" t="s">
        <v>8403</v>
      </c>
      <c r="J975" s="18" t="s">
        <v>98</v>
      </c>
      <c r="K975" s="18" t="s">
        <v>98</v>
      </c>
      <c r="L975" s="18" t="s">
        <v>98</v>
      </c>
      <c r="M975" s="18" t="s">
        <v>98</v>
      </c>
      <c r="N975" s="18" t="s">
        <v>98</v>
      </c>
      <c r="O975" s="18" t="s">
        <v>98</v>
      </c>
      <c r="P975" s="15" t="str">
        <f t="shared" si="1"/>
        <v>VERIFY</v>
      </c>
      <c r="Q975" s="15">
        <f t="shared" si="2"/>
        <v>4</v>
      </c>
      <c r="R975" s="15">
        <f t="shared" si="3"/>
        <v>6</v>
      </c>
      <c r="S975" s="15">
        <f t="shared" si="4"/>
        <v>2</v>
      </c>
      <c r="T975" s="15" t="str">
        <f t="shared" si="5"/>
        <v>C-6</v>
      </c>
      <c r="U975" s="15" t="str">
        <f t="shared" si="6"/>
        <v>T4-M6-H2-FC-6-VERIFY</v>
      </c>
      <c r="V975" s="15">
        <f t="shared" si="7"/>
        <v>1</v>
      </c>
      <c r="W975" s="31"/>
      <c r="X975" s="15" t="str">
        <f t="shared" si="8"/>
        <v>chetpet</v>
      </c>
      <c r="Y975" s="32" t="str">
        <f t="shared" si="9"/>
        <v>https://steelmanufacturer.in/market-area/electropolished-pipes-manufacturer-in-chetpet/</v>
      </c>
      <c r="Z975" s="15" t="str">
        <f t="shared" si="10"/>
        <v>Electropolished Pipes Manufacturer in Chetpet</v>
      </c>
      <c r="AA975" s="15" t="str">
        <f t="shared" si="11"/>
        <v>OK (45)</v>
      </c>
      <c r="AB975" s="15" t="str">
        <f t="shared" si="12"/>
        <v>EP tube and pipe for VERIFY plants around SIPCOT Industrial Area, Chetpet. Made at our Mumbai works to ASTM A270 and ASME BPE SF1-SF4, with 3.1 MTC.</v>
      </c>
      <c r="AC975" s="15" t="str">
        <f t="shared" si="13"/>
        <v>PENDING RESEARCH</v>
      </c>
      <c r="AD975" s="15" t="str">
        <f t="shared" si="14"/>
        <v>Electropolished Pipes Manufacturer in Chetpet</v>
      </c>
      <c r="AE975" s="15" t="str">
        <f t="shared" si="15"/>
        <v>How We Manufacture Electropolished Tube for Chetpet Plants</v>
      </c>
      <c r="AF975" s="15" t="str">
        <f t="shared" si="16"/>
        <v>Supplying Electropolished Pipes in Chetpet: Availability, Sizes &amp; Dispatch</v>
      </c>
      <c r="AG975" s="15" t="str">
        <f t="shared" si="17"/>
        <v>Wholesale Electropolished Pipe Supply for Chetpet Projects</v>
      </c>
      <c r="AH975" s="15" t="str">
        <f t="shared" si="18"/>
        <v>electropolished pipes manufacturer in Chetpet, electropolished pipes supplier in Chetpet, electropolished pipes wholesaler in Chetpet, electropolished tube manufacturer Chetpet, EP pipe supplier Chetpet, sanitary tube supplier Chetpet, ASME BPE tubing Chetpet, ASTM A270 tube Chetpet, SS 316L electropolished pipe Chetpet</v>
      </c>
      <c r="AI975" s="15" t="str">
        <f t="shared" si="19"/>
        <v>Electropolished Pipes Manufacturer &amp; Supplier in Chetpet</v>
      </c>
      <c r="AJ975" s="15" t="str">
        <f t="shared" si="20"/>
        <v>EP-finished SS 304/316L pipes and tubes for VERIFY plants in Chetpet. ASME BPE SF1-SF4, Ra from 0.25 um, EN 10204 3.1 certificate with every lot.</v>
      </c>
      <c r="AK975" s="15" t="str">
        <f t="shared" si="21"/>
        <v>Electropolished stainless steel pipes supplied by Sakshi Forge to VERIFY plants at SIPCOT Industrial Area, Chetpet</v>
      </c>
      <c r="AL975" s="15" t="str">
        <f t="shared" si="22"/>
        <v>Electropolished SS 316L tube stock for Chetpet - Sakshi Forge</v>
      </c>
      <c r="AM975" s="15" t="str">
        <f t="shared" si="23"/>
        <v>Home &gt; Market Area &gt; India &gt; Tamil Nadu &gt; Chetpet</v>
      </c>
      <c r="AN975" s="15">
        <f t="shared" si="24"/>
        <v>750</v>
      </c>
      <c r="AO975" s="15">
        <f t="shared" si="25"/>
        <v>6</v>
      </c>
      <c r="AP975" s="15">
        <f t="shared" si="26"/>
        <v>6</v>
      </c>
      <c r="AQ975" s="15">
        <f t="shared" si="27"/>
        <v>17</v>
      </c>
      <c r="AR975" s="31"/>
      <c r="AS975" s="31"/>
      <c r="AT975" s="35" t="s">
        <v>222</v>
      </c>
      <c r="AU975" s="35"/>
    </row>
    <row r="976" ht="15.75" customHeight="1">
      <c r="A976" s="15" t="s">
        <v>5134</v>
      </c>
      <c r="B976" s="15" t="s">
        <v>60</v>
      </c>
      <c r="C976" s="15" t="s">
        <v>958</v>
      </c>
      <c r="D976" s="15" t="s">
        <v>5135</v>
      </c>
      <c r="E976" s="15" t="s">
        <v>5135</v>
      </c>
      <c r="F976" s="58" t="s">
        <v>807</v>
      </c>
      <c r="G976" s="66" t="s">
        <v>98</v>
      </c>
      <c r="H976" s="18" t="s">
        <v>5137</v>
      </c>
      <c r="I976" s="18" t="s">
        <v>8403</v>
      </c>
      <c r="J976" s="18" t="s">
        <v>98</v>
      </c>
      <c r="K976" s="18" t="s">
        <v>98</v>
      </c>
      <c r="L976" s="18" t="s">
        <v>98</v>
      </c>
      <c r="M976" s="18" t="s">
        <v>98</v>
      </c>
      <c r="N976" s="18" t="s">
        <v>98</v>
      </c>
      <c r="O976" s="18" t="s">
        <v>98</v>
      </c>
      <c r="P976" s="15" t="str">
        <f t="shared" si="1"/>
        <v>VERIFY</v>
      </c>
      <c r="Q976" s="15">
        <f t="shared" si="2"/>
        <v>5</v>
      </c>
      <c r="R976" s="15">
        <f t="shared" si="3"/>
        <v>7</v>
      </c>
      <c r="S976" s="15">
        <f t="shared" si="4"/>
        <v>3</v>
      </c>
      <c r="T976" s="15" t="str">
        <f t="shared" si="5"/>
        <v>C-1</v>
      </c>
      <c r="U976" s="15" t="str">
        <f t="shared" si="6"/>
        <v>T5-M7-H3-FC-1-VERIFY</v>
      </c>
      <c r="V976" s="15">
        <f t="shared" si="7"/>
        <v>1</v>
      </c>
      <c r="W976" s="31"/>
      <c r="X976" s="15" t="str">
        <f t="shared" si="8"/>
        <v>cheyyar</v>
      </c>
      <c r="Y976" s="32" t="str">
        <f t="shared" si="9"/>
        <v>https://steelmanufacturer.in/market-area/electropolished-pipes-manufacturer-in-cheyyar/</v>
      </c>
      <c r="Z976" s="15" t="str">
        <f t="shared" si="10"/>
        <v>Electropolished Pipes Manufacturer in Cheyyar</v>
      </c>
      <c r="AA976" s="15" t="str">
        <f t="shared" si="11"/>
        <v>OK (45)</v>
      </c>
      <c r="AB976" s="15" t="str">
        <f t="shared" si="12"/>
        <v>Electropolished pipes in Cheyyar: 304, 304L, 316 and 316L in SF1-SF4. VERIFY. Mill certified.</v>
      </c>
      <c r="AC976" s="15" t="str">
        <f t="shared" si="13"/>
        <v>PENDING RESEARCH</v>
      </c>
      <c r="AD976" s="15" t="str">
        <f t="shared" si="14"/>
        <v>Electropolished Pipes Manufacturer in Cheyyar</v>
      </c>
      <c r="AE976" s="15" t="str">
        <f t="shared" si="15"/>
        <v>Electropolished Pipes Manufacturer in Cheyyar - Our Process &amp; Capability</v>
      </c>
      <c r="AF976" s="15" t="str">
        <f t="shared" si="16"/>
        <v>Electropolished Pipes Supplier in Cheyyar - What We Hold in Stock</v>
      </c>
      <c r="AG976" s="15" t="str">
        <f t="shared" si="17"/>
        <v>Bulk &amp; Wholesale Electropolished Pipe Rates for Cheyyar Buyers</v>
      </c>
      <c r="AH976" s="15" t="str">
        <f t="shared" si="18"/>
        <v>electropolished pipes manufacturer in Cheyyar, electropolished pipes supplier in Cheyyar, electropolished pipes wholesaler in Cheyyar, electropolished tube manufacturer Cheyyar, EP pipe supplier Cheyyar, sanitary tube supplier Cheyyar, ASME BPE tubing Cheyyar, ASTM A270 tube Cheyyar, SS 316L electropolished pipe Cheyyar</v>
      </c>
      <c r="AI976" s="15" t="str">
        <f t="shared" si="19"/>
        <v>Electropolished Pipes Manufacturer &amp; Supplier in Cheyyar</v>
      </c>
      <c r="AJ976" s="15" t="str">
        <f t="shared" si="20"/>
        <v>EP-finished SS 304/316L pipes and tubes for VERIFY plants in Cheyyar. ASME BPE SF1-SF4, Ra from 0.25 um, EN 10204 3.1 certificate with every lot.</v>
      </c>
      <c r="AK976" s="15" t="str">
        <f t="shared" si="21"/>
        <v>Electropolished stainless steel pipes supplied by Sakshi Forge to VERIFY plants at SIPCOT Industrial Area, Cheyyar</v>
      </c>
      <c r="AL976" s="15" t="str">
        <f t="shared" si="22"/>
        <v>Electropolished SS 316L tube stock for Cheyyar - Sakshi Forge</v>
      </c>
      <c r="AM976" s="15" t="str">
        <f t="shared" si="23"/>
        <v>Home &gt; Market Area &gt; India &gt; Tamil Nadu &gt; Cheyyar</v>
      </c>
      <c r="AN976" s="15">
        <f t="shared" si="24"/>
        <v>750</v>
      </c>
      <c r="AO976" s="15">
        <f t="shared" si="25"/>
        <v>6</v>
      </c>
      <c r="AP976" s="15">
        <f t="shared" si="26"/>
        <v>6</v>
      </c>
      <c r="AQ976" s="15">
        <f t="shared" si="27"/>
        <v>17</v>
      </c>
      <c r="AR976" s="31"/>
      <c r="AS976" s="31"/>
      <c r="AT976" s="35" t="s">
        <v>222</v>
      </c>
      <c r="AU976" s="35"/>
    </row>
    <row r="977" ht="15.75" customHeight="1">
      <c r="A977" s="15" t="s">
        <v>5138</v>
      </c>
      <c r="B977" s="15" t="s">
        <v>60</v>
      </c>
      <c r="C977" s="15" t="s">
        <v>842</v>
      </c>
      <c r="D977" s="15" t="s">
        <v>5139</v>
      </c>
      <c r="E977" s="15" t="s">
        <v>5139</v>
      </c>
      <c r="F977" s="58" t="s">
        <v>807</v>
      </c>
      <c r="G977" s="66" t="s">
        <v>98</v>
      </c>
      <c r="H977" s="18" t="s">
        <v>5141</v>
      </c>
      <c r="I977" s="18" t="s">
        <v>8413</v>
      </c>
      <c r="J977" s="18" t="s">
        <v>98</v>
      </c>
      <c r="K977" s="18" t="s">
        <v>98</v>
      </c>
      <c r="L977" s="18" t="s">
        <v>98</v>
      </c>
      <c r="M977" s="18" t="s">
        <v>98</v>
      </c>
      <c r="N977" s="18" t="s">
        <v>98</v>
      </c>
      <c r="O977" s="18" t="s">
        <v>98</v>
      </c>
      <c r="P977" s="15" t="str">
        <f t="shared" si="1"/>
        <v>VERIFY</v>
      </c>
      <c r="Q977" s="15">
        <f t="shared" si="2"/>
        <v>6</v>
      </c>
      <c r="R977" s="15">
        <f t="shared" si="3"/>
        <v>1</v>
      </c>
      <c r="S977" s="15">
        <f t="shared" si="4"/>
        <v>4</v>
      </c>
      <c r="T977" s="15" t="str">
        <f t="shared" si="5"/>
        <v>C-2</v>
      </c>
      <c r="U977" s="15" t="str">
        <f t="shared" si="6"/>
        <v>T6-M1-H4-FC-2-VERIFY</v>
      </c>
      <c r="V977" s="15">
        <f t="shared" si="7"/>
        <v>1</v>
      </c>
      <c r="W977" s="31"/>
      <c r="X977" s="15" t="str">
        <f t="shared" si="8"/>
        <v>chhatarpur</v>
      </c>
      <c r="Y977" s="32" t="str">
        <f t="shared" si="9"/>
        <v>https://steelmanufacturer.in/market-area/electropolished-pipes-manufacturer-in-chhatarpur/</v>
      </c>
      <c r="Z977" s="15" t="str">
        <f t="shared" si="10"/>
        <v>Electropolished Pipes Manufacturer in Chhatarpur</v>
      </c>
      <c r="AA977" s="15" t="str">
        <f t="shared" si="11"/>
        <v>OK (48)</v>
      </c>
      <c r="AB977" s="15" t="str">
        <f t="shared" si="12"/>
        <v>EP-finished SS 304/316L pipes &amp; tubes for VERIFY plants in Chhatarpur. ASTM A270, ASME BPE SF1-SF4, EN 10204 3.1 MTC. PMI tested.</v>
      </c>
      <c r="AC977" s="15" t="str">
        <f t="shared" si="13"/>
        <v>PENDING RESEARCH</v>
      </c>
      <c r="AD977" s="15" t="str">
        <f t="shared" si="14"/>
        <v>Electropolished Pipes Manufacturer in Chhatarpur</v>
      </c>
      <c r="AE977" s="15" t="str">
        <f t="shared" si="15"/>
        <v>Manufacturing Electropolished SS Tube for Chhatarpur: The Standards We Build To</v>
      </c>
      <c r="AF977" s="15" t="str">
        <f t="shared" si="16"/>
        <v>Electropolished Pipe Supply Into Chhatarpur - Certification &amp; Transit</v>
      </c>
      <c r="AG977" s="15" t="str">
        <f t="shared" si="17"/>
        <v>Electropolished Pipes Wholesaler in Chhatarpur - Project Quantities &amp; Terms</v>
      </c>
      <c r="AH977" s="15" t="str">
        <f t="shared" si="18"/>
        <v>electropolished pipes manufacturer in Chhatarpur, electropolished pipes supplier in Chhatarpur, electropolished pipes wholesaler in Chhatarpur, electropolished tube manufacturer Chhatarpur, EP pipe supplier Chhatarpur, sanitary tube supplier Chhatarpur, ASME BPE tubing Chhatarpur, ASTM A270 tube Chhatarpur, SS 316L electropolished pipe Chhatarpur</v>
      </c>
      <c r="AI977" s="15" t="str">
        <f t="shared" si="19"/>
        <v>Electropolished Pipes Manufacturer &amp; Supplier in Chhatarpur</v>
      </c>
      <c r="AJ977" s="15" t="str">
        <f t="shared" si="20"/>
        <v>EP-finished SS 304/316L pipes and tubes for VERIFY plants in Chhatarpur. ASME BPE SF1-SF4, Ra from 0.25 um, EN 10204 3.1 certificate with every lot.</v>
      </c>
      <c r="AK977" s="15" t="str">
        <f t="shared" si="21"/>
        <v>Electropolished stainless steel pipes supplied by Sakshi Forge to VERIFY plants at MPIDC Industrial Area, Chhatarpur</v>
      </c>
      <c r="AL977" s="15" t="str">
        <f t="shared" si="22"/>
        <v>Electropolished SS 316L tube stock for Chhatarpur - Sakshi Forge</v>
      </c>
      <c r="AM977" s="15" t="str">
        <f t="shared" si="23"/>
        <v>Home &gt; Market Area &gt; India &gt; Madhya Pradesh &gt; Chhatarpur</v>
      </c>
      <c r="AN977" s="15">
        <f t="shared" si="24"/>
        <v>750</v>
      </c>
      <c r="AO977" s="15">
        <f t="shared" si="25"/>
        <v>6</v>
      </c>
      <c r="AP977" s="15">
        <f t="shared" si="26"/>
        <v>6</v>
      </c>
      <c r="AQ977" s="15">
        <f t="shared" si="27"/>
        <v>17</v>
      </c>
      <c r="AR977" s="31"/>
      <c r="AS977" s="31"/>
      <c r="AT977" s="35" t="s">
        <v>222</v>
      </c>
      <c r="AU977" s="35"/>
    </row>
    <row r="978" ht="15.75" customHeight="1">
      <c r="A978" s="15" t="s">
        <v>5142</v>
      </c>
      <c r="B978" s="15" t="s">
        <v>60</v>
      </c>
      <c r="C978" s="15" t="s">
        <v>958</v>
      </c>
      <c r="D978" s="15" t="s">
        <v>5143</v>
      </c>
      <c r="E978" s="15" t="s">
        <v>5143</v>
      </c>
      <c r="F978" s="58" t="s">
        <v>807</v>
      </c>
      <c r="G978" s="66" t="s">
        <v>98</v>
      </c>
      <c r="H978" s="18" t="s">
        <v>5145</v>
      </c>
      <c r="I978" s="18" t="s">
        <v>8403</v>
      </c>
      <c r="J978" s="18" t="s">
        <v>98</v>
      </c>
      <c r="K978" s="18" t="s">
        <v>98</v>
      </c>
      <c r="L978" s="18" t="s">
        <v>98</v>
      </c>
      <c r="M978" s="18" t="s">
        <v>98</v>
      </c>
      <c r="N978" s="18" t="s">
        <v>98</v>
      </c>
      <c r="O978" s="18" t="s">
        <v>98</v>
      </c>
      <c r="P978" s="15" t="str">
        <f t="shared" si="1"/>
        <v>VERIFY</v>
      </c>
      <c r="Q978" s="15">
        <f t="shared" si="2"/>
        <v>7</v>
      </c>
      <c r="R978" s="15">
        <f t="shared" si="3"/>
        <v>2</v>
      </c>
      <c r="S978" s="15">
        <f t="shared" si="4"/>
        <v>5</v>
      </c>
      <c r="T978" s="15" t="str">
        <f t="shared" si="5"/>
        <v>C-3</v>
      </c>
      <c r="U978" s="15" t="str">
        <f t="shared" si="6"/>
        <v>T7-M2-H5-FC-3-VERIFY</v>
      </c>
      <c r="V978" s="15">
        <f t="shared" si="7"/>
        <v>1</v>
      </c>
      <c r="W978" s="31"/>
      <c r="X978" s="15" t="str">
        <f t="shared" si="8"/>
        <v>chidambaram</v>
      </c>
      <c r="Y978" s="32" t="str">
        <f t="shared" si="9"/>
        <v>https://steelmanufacturer.in/market-area/electropolished-pipes-manufacturer-in-chidambaram/</v>
      </c>
      <c r="Z978" s="15" t="str">
        <f t="shared" si="10"/>
        <v>Electropolished Pipes Manufacturer in Chidambaram</v>
      </c>
      <c r="AA978" s="15" t="str">
        <f t="shared" si="11"/>
        <v>OK (49)</v>
      </c>
      <c r="AB978" s="15" t="str">
        <f t="shared" si="12"/>
        <v>Electropolished tube supply to SIPCOT Industrial Area, Chidambaram. Ra from 0.25 um, SF4 finish, mill test certificate with every lot.</v>
      </c>
      <c r="AC978" s="15" t="str">
        <f t="shared" si="13"/>
        <v>PENDING RESEARCH</v>
      </c>
      <c r="AD978" s="15" t="str">
        <f t="shared" si="14"/>
        <v>Electropolished Pipes Manufacturer in Chidambaram</v>
      </c>
      <c r="AE978" s="15" t="str">
        <f t="shared" si="15"/>
        <v>Electropolished Tube Manufacturing Capability Serving Chidambaram</v>
      </c>
      <c r="AF978" s="15" t="str">
        <f t="shared" si="16"/>
        <v>Electropolished Pipes Supplier in Chidambaram - From Order to Delivery</v>
      </c>
      <c r="AG978" s="15" t="str">
        <f t="shared" si="17"/>
        <v>Stockist &amp; Wholesale Supply of Electropolished Pipes in Chidambaram</v>
      </c>
      <c r="AH978" s="15" t="str">
        <f t="shared" si="18"/>
        <v>electropolished pipes manufacturer in Chidambaram, electropolished pipes supplier in Chidambaram, electropolished pipes wholesaler in Chidambaram, electropolished tube manufacturer Chidambaram, EP pipe supplier Chidambaram, sanitary tube supplier Chidambaram, ASME BPE tubing Chidambaram, ASTM A270 tube Chidambaram, SS 316L electropolished pipe Chidambaram</v>
      </c>
      <c r="AI978" s="15" t="str">
        <f t="shared" si="19"/>
        <v>Electropolished Pipes Manufacturer &amp; Supplier in Chidambaram</v>
      </c>
      <c r="AJ978" s="15" t="str">
        <f t="shared" si="20"/>
        <v>EP-finished SS 304/316L pipes and tubes for VERIFY plants in Chidambaram. ASME BPE SF1-SF4, Ra from 0.25 um, EN 10204 3.1 certificate with every lot.</v>
      </c>
      <c r="AK978" s="15" t="str">
        <f t="shared" si="21"/>
        <v>Electropolished stainless steel pipes supplied by Sakshi Forge to VERIFY plants at SIPCOT Industrial Area, Chidambaram</v>
      </c>
      <c r="AL978" s="15" t="str">
        <f t="shared" si="22"/>
        <v>Electropolished SS 316L tube stock for Chidambaram - Sakshi Forge</v>
      </c>
      <c r="AM978" s="15" t="str">
        <f t="shared" si="23"/>
        <v>Home &gt; Market Area &gt; India &gt; Tamil Nadu &gt; Chidambaram</v>
      </c>
      <c r="AN978" s="15">
        <f t="shared" si="24"/>
        <v>750</v>
      </c>
      <c r="AO978" s="15">
        <f t="shared" si="25"/>
        <v>6</v>
      </c>
      <c r="AP978" s="15">
        <f t="shared" si="26"/>
        <v>6</v>
      </c>
      <c r="AQ978" s="15">
        <f t="shared" si="27"/>
        <v>17</v>
      </c>
      <c r="AR978" s="31"/>
      <c r="AS978" s="31"/>
      <c r="AT978" s="35" t="s">
        <v>222</v>
      </c>
      <c r="AU978" s="35"/>
    </row>
    <row r="979" ht="15.75" customHeight="1">
      <c r="A979" s="15" t="s">
        <v>5146</v>
      </c>
      <c r="B979" s="15" t="s">
        <v>60</v>
      </c>
      <c r="C979" s="15" t="s">
        <v>570</v>
      </c>
      <c r="D979" s="15" t="s">
        <v>5147</v>
      </c>
      <c r="E979" s="15" t="s">
        <v>5147</v>
      </c>
      <c r="F979" s="58" t="s">
        <v>807</v>
      </c>
      <c r="G979" s="66" t="s">
        <v>98</v>
      </c>
      <c r="H979" s="18" t="s">
        <v>5149</v>
      </c>
      <c r="I979" s="18" t="s">
        <v>8405</v>
      </c>
      <c r="J979" s="18" t="s">
        <v>98</v>
      </c>
      <c r="K979" s="18" t="s">
        <v>98</v>
      </c>
      <c r="L979" s="18" t="s">
        <v>98</v>
      </c>
      <c r="M979" s="18" t="s">
        <v>98</v>
      </c>
      <c r="N979" s="18" t="s">
        <v>98</v>
      </c>
      <c r="O979" s="18" t="s">
        <v>98</v>
      </c>
      <c r="P979" s="15" t="str">
        <f t="shared" si="1"/>
        <v>VERIFY</v>
      </c>
      <c r="Q979" s="15">
        <f t="shared" si="2"/>
        <v>8</v>
      </c>
      <c r="R979" s="15">
        <f t="shared" si="3"/>
        <v>3</v>
      </c>
      <c r="S979" s="15">
        <f t="shared" si="4"/>
        <v>1</v>
      </c>
      <c r="T979" s="15" t="str">
        <f t="shared" si="5"/>
        <v>C-4</v>
      </c>
      <c r="U979" s="15" t="str">
        <f t="shared" si="6"/>
        <v>T8-M3-H1-FC-4-VERIFY</v>
      </c>
      <c r="V979" s="15">
        <f t="shared" si="7"/>
        <v>1</v>
      </c>
      <c r="W979" s="31"/>
      <c r="X979" s="15" t="str">
        <f t="shared" si="8"/>
        <v>chikkamagaluru</v>
      </c>
      <c r="Y979" s="32" t="str">
        <f t="shared" si="9"/>
        <v>https://steelmanufacturer.in/market-area/electropolished-pipes-manufacturer-in-chikkamagaluru/</v>
      </c>
      <c r="Z979" s="15" t="str">
        <f t="shared" si="10"/>
        <v>Electropolished Pipes Manufacturer in Chikkamagaluru</v>
      </c>
      <c r="AA979" s="15" t="str">
        <f t="shared" si="11"/>
        <v>OK (52)</v>
      </c>
      <c r="AB979" s="15" t="str">
        <f t="shared" si="12"/>
        <v>EP stainless tube for VERIFY lines in Chikkamagaluru. VERIFY. ASTM A270 S2, PMI tested, EN 10204 3.1.</v>
      </c>
      <c r="AC979" s="15" t="str">
        <f t="shared" si="13"/>
        <v>PENDING RESEARCH</v>
      </c>
      <c r="AD979" s="15" t="str">
        <f t="shared" si="14"/>
        <v>Electropolished Pipes Manufacturer in Chikkamagaluru</v>
      </c>
      <c r="AE979" s="15" t="str">
        <f t="shared" si="15"/>
        <v>Electropolished Pipe &amp; Tube Manufacturing for Chikkamagaluru - Grades, Finishes &amp; Certification</v>
      </c>
      <c r="AF979" s="15" t="str">
        <f t="shared" si="16"/>
        <v>Electropolished Pipes Supplier in Chikkamagaluru - Stock Sizes, Lead Time &amp; Delivery</v>
      </c>
      <c r="AG979" s="15" t="str">
        <f t="shared" si="17"/>
        <v>Electropolished Pipes Wholesaler &amp; Stockist in Chikkamagaluru - Bulk &amp; Project Pricing</v>
      </c>
      <c r="AH979" s="15" t="str">
        <f t="shared" si="18"/>
        <v>electropolished pipes manufacturer in Chikkamagaluru, electropolished pipes supplier in Chikkamagaluru, electropolished pipes wholesaler in Chikkamagaluru, electropolished tube manufacturer Chikkamagaluru, EP pipe supplier Chikkamagaluru, sanitary tube supplier Chikkamagaluru, ASME BPE tubing Chikkamagaluru, ASTM A270 tube Chikkamagaluru, SS 316L electropolished pipe Chikkamagaluru</v>
      </c>
      <c r="AI979" s="15" t="str">
        <f t="shared" si="19"/>
        <v>Electropolished Pipes Manufacturer &amp; Supplier in Chikkamagaluru</v>
      </c>
      <c r="AJ979" s="15" t="str">
        <f t="shared" si="20"/>
        <v>EP-finished SS 304/316L pipes and tubes for VERIFY plants in Chikkamagaluru. ASME BPE SF1-SF4, Ra from 0.25 um, EN 10204 3.1 certificate with every lot.</v>
      </c>
      <c r="AK979" s="15" t="str">
        <f t="shared" si="21"/>
        <v>Electropolished stainless steel pipes supplied by Sakshi Forge to VERIFY plants at KIADB Industrial Area, Chikkamagaluru</v>
      </c>
      <c r="AL979" s="15" t="str">
        <f t="shared" si="22"/>
        <v>Electropolished SS 316L tube stock for Chikkamagaluru - Sakshi Forge</v>
      </c>
      <c r="AM979" s="15" t="str">
        <f t="shared" si="23"/>
        <v>Home &gt; Market Area &gt; India &gt; Karnataka &gt; Chikkamagaluru</v>
      </c>
      <c r="AN979" s="15">
        <f t="shared" si="24"/>
        <v>750</v>
      </c>
      <c r="AO979" s="15">
        <f t="shared" si="25"/>
        <v>6</v>
      </c>
      <c r="AP979" s="15">
        <f t="shared" si="26"/>
        <v>6</v>
      </c>
      <c r="AQ979" s="15">
        <f t="shared" si="27"/>
        <v>17</v>
      </c>
      <c r="AR979" s="31"/>
      <c r="AS979" s="31"/>
      <c r="AT979" s="35" t="s">
        <v>222</v>
      </c>
      <c r="AU979" s="35"/>
    </row>
    <row r="980" ht="15.75" customHeight="1">
      <c r="A980" s="15" t="s">
        <v>5150</v>
      </c>
      <c r="B980" s="15" t="s">
        <v>60</v>
      </c>
      <c r="C980" s="15" t="s">
        <v>236</v>
      </c>
      <c r="D980" s="15" t="s">
        <v>5152</v>
      </c>
      <c r="E980" s="15" t="s">
        <v>5152</v>
      </c>
      <c r="F980" s="58" t="s">
        <v>807</v>
      </c>
      <c r="G980" s="66" t="s">
        <v>98</v>
      </c>
      <c r="H980" s="18" t="s">
        <v>5155</v>
      </c>
      <c r="I980" s="18" t="s">
        <v>8391</v>
      </c>
      <c r="J980" s="18" t="s">
        <v>98</v>
      </c>
      <c r="K980" s="18" t="s">
        <v>98</v>
      </c>
      <c r="L980" s="18" t="s">
        <v>98</v>
      </c>
      <c r="M980" s="18" t="s">
        <v>98</v>
      </c>
      <c r="N980" s="18" t="s">
        <v>98</v>
      </c>
      <c r="O980" s="18" t="s">
        <v>98</v>
      </c>
      <c r="P980" s="15" t="str">
        <f t="shared" si="1"/>
        <v>VERIFY</v>
      </c>
      <c r="Q980" s="15">
        <f t="shared" si="2"/>
        <v>1</v>
      </c>
      <c r="R980" s="15">
        <f t="shared" si="3"/>
        <v>4</v>
      </c>
      <c r="S980" s="15">
        <f t="shared" si="4"/>
        <v>2</v>
      </c>
      <c r="T980" s="15" t="str">
        <f t="shared" si="5"/>
        <v>C-5</v>
      </c>
      <c r="U980" s="15" t="str">
        <f t="shared" si="6"/>
        <v>T1-M4-H2-FC-5-VERIFY</v>
      </c>
      <c r="V980" s="15">
        <f t="shared" si="7"/>
        <v>1</v>
      </c>
      <c r="W980" s="31"/>
      <c r="X980" s="15" t="str">
        <f t="shared" si="8"/>
        <v>chomu</v>
      </c>
      <c r="Y980" s="32" t="str">
        <f t="shared" si="9"/>
        <v>https://steelmanufacturer.in/market-area/electropolished-pipes-manufacturer-in-chomu/</v>
      </c>
      <c r="Z980" s="15" t="str">
        <f t="shared" si="10"/>
        <v>Electropolished Pipes Manufacturer in Chomu | Sakshi Forge</v>
      </c>
      <c r="AA980" s="15" t="str">
        <f t="shared" si="11"/>
        <v>OK (58)</v>
      </c>
      <c r="AB980" s="15" t="str">
        <f t="shared" si="12"/>
        <v>Sanitary electropolished pipes in Chomu for VERIFY plants. ASME BPE SF1-SF4, orbital-weld ready, 3.1 MTC. Mumbai-made.</v>
      </c>
      <c r="AC980" s="15" t="str">
        <f t="shared" si="13"/>
        <v>PENDING RESEARCH</v>
      </c>
      <c r="AD980" s="15" t="str">
        <f t="shared" si="14"/>
        <v>Electropolished Pipes Manufacturer in Chomu</v>
      </c>
      <c r="AE980" s="15" t="str">
        <f t="shared" si="15"/>
        <v>How We Manufacture Electropolished Tube for Chomu Plants</v>
      </c>
      <c r="AF980" s="15" t="str">
        <f t="shared" si="16"/>
        <v>Supplying Electropolished Pipes in Chomu: Availability, Sizes &amp; Dispatch</v>
      </c>
      <c r="AG980" s="15" t="str">
        <f t="shared" si="17"/>
        <v>Wholesale Electropolished Pipe Supply for Chomu Projects</v>
      </c>
      <c r="AH980" s="15" t="str">
        <f t="shared" si="18"/>
        <v>electropolished pipes manufacturer in Chomu, electropolished pipes supplier in Chomu, electropolished pipes wholesaler in Chomu, electropolished tube manufacturer Chomu, EP pipe supplier Chomu, sanitary tube supplier Chomu, ASME BPE tubing Chomu, ASTM A270 tube Chomu, SS 316L electropolished pipe Chomu</v>
      </c>
      <c r="AI980" s="15" t="str">
        <f t="shared" si="19"/>
        <v>Electropolished Pipes Manufacturer &amp; Supplier in Chomu</v>
      </c>
      <c r="AJ980" s="15" t="str">
        <f t="shared" si="20"/>
        <v>EP-finished SS 304/316L pipes and tubes for VERIFY plants in Chomu. ASME BPE SF1-SF4, Ra from 0.25 um, EN 10204 3.1 certificate with every lot.</v>
      </c>
      <c r="AK980" s="15" t="str">
        <f t="shared" si="21"/>
        <v>Electropolished stainless steel pipes supplied by Sakshi Forge to VERIFY plants at RIICO Industrial Area, Chomu</v>
      </c>
      <c r="AL980" s="15" t="str">
        <f t="shared" si="22"/>
        <v>Electropolished SS 316L tube stock for Chomu - Sakshi Forge</v>
      </c>
      <c r="AM980" s="15" t="str">
        <f t="shared" si="23"/>
        <v>Home &gt; Market Area &gt; India &gt; Rajasthan &gt; Chomu</v>
      </c>
      <c r="AN980" s="15">
        <f t="shared" si="24"/>
        <v>750</v>
      </c>
      <c r="AO980" s="15">
        <f t="shared" si="25"/>
        <v>6</v>
      </c>
      <c r="AP980" s="15">
        <f t="shared" si="26"/>
        <v>6</v>
      </c>
      <c r="AQ980" s="15">
        <f t="shared" si="27"/>
        <v>17</v>
      </c>
      <c r="AR980" s="31"/>
      <c r="AS980" s="31"/>
      <c r="AT980" s="35" t="s">
        <v>222</v>
      </c>
      <c r="AU980" s="35"/>
    </row>
    <row r="981" ht="15.75" customHeight="1">
      <c r="A981" s="15" t="s">
        <v>5159</v>
      </c>
      <c r="B981" s="15" t="s">
        <v>60</v>
      </c>
      <c r="C981" s="15" t="s">
        <v>424</v>
      </c>
      <c r="D981" s="15" t="s">
        <v>5161</v>
      </c>
      <c r="E981" s="15" t="s">
        <v>5161</v>
      </c>
      <c r="F981" s="58" t="s">
        <v>807</v>
      </c>
      <c r="G981" s="66" t="s">
        <v>98</v>
      </c>
      <c r="H981" s="18" t="s">
        <v>5163</v>
      </c>
      <c r="I981" s="18" t="s">
        <v>8406</v>
      </c>
      <c r="J981" s="18" t="s">
        <v>98</v>
      </c>
      <c r="K981" s="18" t="s">
        <v>98</v>
      </c>
      <c r="L981" s="18" t="s">
        <v>98</v>
      </c>
      <c r="M981" s="18" t="s">
        <v>98</v>
      </c>
      <c r="N981" s="18" t="s">
        <v>98</v>
      </c>
      <c r="O981" s="18" t="s">
        <v>98</v>
      </c>
      <c r="P981" s="15" t="str">
        <f t="shared" si="1"/>
        <v>VERIFY</v>
      </c>
      <c r="Q981" s="15">
        <f t="shared" si="2"/>
        <v>2</v>
      </c>
      <c r="R981" s="15">
        <f t="shared" si="3"/>
        <v>5</v>
      </c>
      <c r="S981" s="15">
        <f t="shared" si="4"/>
        <v>3</v>
      </c>
      <c r="T981" s="15" t="str">
        <f t="shared" si="5"/>
        <v>C-6</v>
      </c>
      <c r="U981" s="15" t="str">
        <f t="shared" si="6"/>
        <v>T2-M5-H3-FC-6-VERIFY</v>
      </c>
      <c r="V981" s="15">
        <f t="shared" si="7"/>
        <v>1</v>
      </c>
      <c r="W981" s="31"/>
      <c r="X981" s="15" t="str">
        <f t="shared" si="8"/>
        <v>choudwar</v>
      </c>
      <c r="Y981" s="32" t="str">
        <f t="shared" si="9"/>
        <v>https://steelmanufacturer.in/market-area/electropolished-pipes-manufacturer-in-choudwar/</v>
      </c>
      <c r="Z981" s="15" t="str">
        <f t="shared" si="10"/>
        <v>Electropolished Pipes Manufacturer in Choudwar</v>
      </c>
      <c r="AA981" s="15" t="str">
        <f t="shared" si="11"/>
        <v>OK (46)</v>
      </c>
      <c r="AB981" s="15" t="str">
        <f t="shared" si="12"/>
        <v>Manufacturer of electropolished SS 316L tube serving Choudwar. VERIFY. Ra 0.25-0.5 um, EN 10204 3.1 MTC.</v>
      </c>
      <c r="AC981" s="15" t="str">
        <f t="shared" si="13"/>
        <v>PENDING RESEARCH</v>
      </c>
      <c r="AD981" s="15" t="str">
        <f t="shared" si="14"/>
        <v>Electropolished Pipes Manufacturer in Choudwar</v>
      </c>
      <c r="AE981" s="15" t="str">
        <f t="shared" si="15"/>
        <v>Electropolished Pipes Manufacturer in Choudwar - Our Process &amp; Capability</v>
      </c>
      <c r="AF981" s="15" t="str">
        <f t="shared" si="16"/>
        <v>Electropolished Pipes Supplier in Choudwar - What We Hold in Stock</v>
      </c>
      <c r="AG981" s="15" t="str">
        <f t="shared" si="17"/>
        <v>Bulk &amp; Wholesale Electropolished Pipe Rates for Choudwar Buyers</v>
      </c>
      <c r="AH981" s="15" t="str">
        <f t="shared" si="18"/>
        <v>electropolished pipes manufacturer in Choudwar, electropolished pipes supplier in Choudwar, electropolished pipes wholesaler in Choudwar, electropolished tube manufacturer Choudwar, EP pipe supplier Choudwar, sanitary tube supplier Choudwar, ASME BPE tubing Choudwar, ASTM A270 tube Choudwar, SS 316L electropolished pipe Choudwar</v>
      </c>
      <c r="AI981" s="15" t="str">
        <f t="shared" si="19"/>
        <v>Electropolished Pipes Manufacturer &amp; Supplier in Choudwar</v>
      </c>
      <c r="AJ981" s="15" t="str">
        <f t="shared" si="20"/>
        <v>EP-finished SS 304/316L pipes and tubes for VERIFY plants in Choudwar. ASME BPE SF1-SF4, Ra from 0.25 um, EN 10204 3.1 certificate with every lot.</v>
      </c>
      <c r="AK981" s="15" t="str">
        <f t="shared" si="21"/>
        <v>Electropolished stainless steel pipes supplied by Sakshi Forge to VERIFY plants at IDCO Industrial Area, Choudwar</v>
      </c>
      <c r="AL981" s="15" t="str">
        <f t="shared" si="22"/>
        <v>Electropolished SS 316L tube stock for Choudwar - Sakshi Forge</v>
      </c>
      <c r="AM981" s="15" t="str">
        <f t="shared" si="23"/>
        <v>Home &gt; Market Area &gt; India &gt; Odisha &gt; Choudwar</v>
      </c>
      <c r="AN981" s="15">
        <f t="shared" si="24"/>
        <v>750</v>
      </c>
      <c r="AO981" s="15">
        <f t="shared" si="25"/>
        <v>6</v>
      </c>
      <c r="AP981" s="15">
        <f t="shared" si="26"/>
        <v>6</v>
      </c>
      <c r="AQ981" s="15">
        <f t="shared" si="27"/>
        <v>17</v>
      </c>
      <c r="AR981" s="31"/>
      <c r="AS981" s="31"/>
      <c r="AT981" s="35" t="s">
        <v>222</v>
      </c>
      <c r="AU981" s="35"/>
    </row>
    <row r="982" ht="15.75" customHeight="1">
      <c r="A982" s="15" t="s">
        <v>5164</v>
      </c>
      <c r="B982" s="15" t="s">
        <v>60</v>
      </c>
      <c r="C982" s="15" t="s">
        <v>236</v>
      </c>
      <c r="D982" s="15" t="s">
        <v>5165</v>
      </c>
      <c r="E982" s="15" t="s">
        <v>5165</v>
      </c>
      <c r="F982" s="58" t="s">
        <v>807</v>
      </c>
      <c r="G982" s="66" t="s">
        <v>98</v>
      </c>
      <c r="H982" s="18" t="s">
        <v>5167</v>
      </c>
      <c r="I982" s="18" t="s">
        <v>8391</v>
      </c>
      <c r="J982" s="18" t="s">
        <v>98</v>
      </c>
      <c r="K982" s="18" t="s">
        <v>98</v>
      </c>
      <c r="L982" s="18" t="s">
        <v>98</v>
      </c>
      <c r="M982" s="18" t="s">
        <v>98</v>
      </c>
      <c r="N982" s="18" t="s">
        <v>98</v>
      </c>
      <c r="O982" s="18" t="s">
        <v>98</v>
      </c>
      <c r="P982" s="15" t="str">
        <f t="shared" si="1"/>
        <v>VERIFY</v>
      </c>
      <c r="Q982" s="15">
        <f t="shared" si="2"/>
        <v>3</v>
      </c>
      <c r="R982" s="15">
        <f t="shared" si="3"/>
        <v>6</v>
      </c>
      <c r="S982" s="15">
        <f t="shared" si="4"/>
        <v>4</v>
      </c>
      <c r="T982" s="15" t="str">
        <f t="shared" si="5"/>
        <v>C-1</v>
      </c>
      <c r="U982" s="15" t="str">
        <f t="shared" si="6"/>
        <v>T3-M6-H4-FC-1-VERIFY</v>
      </c>
      <c r="V982" s="15">
        <f t="shared" si="7"/>
        <v>1</v>
      </c>
      <c r="W982" s="31"/>
      <c r="X982" s="15" t="str">
        <f t="shared" si="8"/>
        <v>churu</v>
      </c>
      <c r="Y982" s="32" t="str">
        <f t="shared" si="9"/>
        <v>https://steelmanufacturer.in/market-area/electropolished-pipes-manufacturer-in-churu/</v>
      </c>
      <c r="Z982" s="15" t="str">
        <f t="shared" si="10"/>
        <v>Electropolished Pipes Manufacturer in Churu | EP Tube Supplier</v>
      </c>
      <c r="AA982" s="15" t="str">
        <f t="shared" si="11"/>
        <v>OK (62)</v>
      </c>
      <c r="AB982" s="15" t="str">
        <f t="shared" si="12"/>
        <v>EP tube and pipe for VERIFY plants around RIICO Industrial Area, Churu. Made at our Mumbai works to ASTM A270 and ASME BPE SF1-SF4, with 3.1 MTC.</v>
      </c>
      <c r="AC982" s="15" t="str">
        <f t="shared" si="13"/>
        <v>PENDING RESEARCH</v>
      </c>
      <c r="AD982" s="15" t="str">
        <f t="shared" si="14"/>
        <v>Electropolished Pipes Manufacturer in Churu</v>
      </c>
      <c r="AE982" s="15" t="str">
        <f t="shared" si="15"/>
        <v>Manufacturing Electropolished SS Tube for Churu: The Standards We Build To</v>
      </c>
      <c r="AF982" s="15" t="str">
        <f t="shared" si="16"/>
        <v>Electropolished Pipe Supply Into Churu - Certification &amp; Transit</v>
      </c>
      <c r="AG982" s="15" t="str">
        <f t="shared" si="17"/>
        <v>Electropolished Pipes Wholesaler in Churu - Project Quantities &amp; Terms</v>
      </c>
      <c r="AH982" s="15" t="str">
        <f t="shared" si="18"/>
        <v>electropolished pipes manufacturer in Churu, electropolished pipes supplier in Churu, electropolished pipes wholesaler in Churu, electropolished tube manufacturer Churu, EP pipe supplier Churu, sanitary tube supplier Churu, ASME BPE tubing Churu, ASTM A270 tube Churu, SS 316L electropolished pipe Churu</v>
      </c>
      <c r="AI982" s="15" t="str">
        <f t="shared" si="19"/>
        <v>Electropolished Pipes Manufacturer &amp; Supplier in Churu</v>
      </c>
      <c r="AJ982" s="15" t="str">
        <f t="shared" si="20"/>
        <v>EP-finished SS 304/316L pipes and tubes for VERIFY plants in Churu. ASME BPE SF1-SF4, Ra from 0.25 um, EN 10204 3.1 certificate with every lot.</v>
      </c>
      <c r="AK982" s="15" t="str">
        <f t="shared" si="21"/>
        <v>Electropolished stainless steel pipes supplied by Sakshi Forge to VERIFY plants at RIICO Industrial Area, Churu</v>
      </c>
      <c r="AL982" s="15" t="str">
        <f t="shared" si="22"/>
        <v>Electropolished SS 316L tube stock for Churu - Sakshi Forge</v>
      </c>
      <c r="AM982" s="15" t="str">
        <f t="shared" si="23"/>
        <v>Home &gt; Market Area &gt; India &gt; Rajasthan &gt; Churu</v>
      </c>
      <c r="AN982" s="15">
        <f t="shared" si="24"/>
        <v>750</v>
      </c>
      <c r="AO982" s="15">
        <f t="shared" si="25"/>
        <v>6</v>
      </c>
      <c r="AP982" s="15">
        <f t="shared" si="26"/>
        <v>6</v>
      </c>
      <c r="AQ982" s="15">
        <f t="shared" si="27"/>
        <v>17</v>
      </c>
      <c r="AR982" s="31"/>
      <c r="AS982" s="31"/>
      <c r="AT982" s="35" t="s">
        <v>222</v>
      </c>
      <c r="AU982" s="35"/>
    </row>
    <row r="983" ht="15.75" customHeight="1">
      <c r="A983" s="15" t="s">
        <v>5168</v>
      </c>
      <c r="B983" s="15" t="s">
        <v>60</v>
      </c>
      <c r="C983" s="15" t="s">
        <v>245</v>
      </c>
      <c r="D983" s="15" t="s">
        <v>5169</v>
      </c>
      <c r="E983" s="15" t="s">
        <v>5169</v>
      </c>
      <c r="F983" s="58" t="s">
        <v>807</v>
      </c>
      <c r="G983" s="66" t="s">
        <v>98</v>
      </c>
      <c r="H983" s="18" t="s">
        <v>5171</v>
      </c>
      <c r="I983" s="18" t="s">
        <v>8407</v>
      </c>
      <c r="J983" s="18" t="s">
        <v>98</v>
      </c>
      <c r="K983" s="18" t="s">
        <v>98</v>
      </c>
      <c r="L983" s="18" t="s">
        <v>98</v>
      </c>
      <c r="M983" s="18" t="s">
        <v>98</v>
      </c>
      <c r="N983" s="18" t="s">
        <v>98</v>
      </c>
      <c r="O983" s="18" t="s">
        <v>98</v>
      </c>
      <c r="P983" s="15" t="str">
        <f t="shared" si="1"/>
        <v>VERIFY</v>
      </c>
      <c r="Q983" s="15">
        <f t="shared" si="2"/>
        <v>4</v>
      </c>
      <c r="R983" s="15">
        <f t="shared" si="3"/>
        <v>7</v>
      </c>
      <c r="S983" s="15">
        <f t="shared" si="4"/>
        <v>5</v>
      </c>
      <c r="T983" s="15" t="str">
        <f t="shared" si="5"/>
        <v>C-2</v>
      </c>
      <c r="U983" s="15" t="str">
        <f t="shared" si="6"/>
        <v>T4-M7-H5-FC-2-VERIFY</v>
      </c>
      <c r="V983" s="15">
        <f t="shared" si="7"/>
        <v>1</v>
      </c>
      <c r="W983" s="31"/>
      <c r="X983" s="15" t="str">
        <f t="shared" si="8"/>
        <v>dabwali</v>
      </c>
      <c r="Y983" s="32" t="str">
        <f t="shared" si="9"/>
        <v>https://steelmanufacturer.in/market-area/electropolished-pipes-manufacturer-in-dabwali/</v>
      </c>
      <c r="Z983" s="15" t="str">
        <f t="shared" si="10"/>
        <v>Electropolished Pipes Manufacturer in Dabwali</v>
      </c>
      <c r="AA983" s="15" t="str">
        <f t="shared" si="11"/>
        <v>OK (45)</v>
      </c>
      <c r="AB983" s="15" t="str">
        <f t="shared" si="12"/>
        <v>Electropolished pipes in Dabwali: 304, 304L, 316 and 316L in SF1-SF4. VERIFY. Mill certified.</v>
      </c>
      <c r="AC983" s="15" t="str">
        <f t="shared" si="13"/>
        <v>PENDING RESEARCH</v>
      </c>
      <c r="AD983" s="15" t="str">
        <f t="shared" si="14"/>
        <v>Electropolished Pipes Manufacturer in Dabwali</v>
      </c>
      <c r="AE983" s="15" t="str">
        <f t="shared" si="15"/>
        <v>Electropolished Tube Manufacturing Capability Serving Dabwali</v>
      </c>
      <c r="AF983" s="15" t="str">
        <f t="shared" si="16"/>
        <v>Electropolished Pipes Supplier in Dabwali - From Order to Delivery</v>
      </c>
      <c r="AG983" s="15" t="str">
        <f t="shared" si="17"/>
        <v>Stockist &amp; Wholesale Supply of Electropolished Pipes in Dabwali</v>
      </c>
      <c r="AH983" s="15" t="str">
        <f t="shared" si="18"/>
        <v>electropolished pipes manufacturer in Dabwali, electropolished pipes supplier in Dabwali, electropolished pipes wholesaler in Dabwali, electropolished tube manufacturer Dabwali, EP pipe supplier Dabwali, sanitary tube supplier Dabwali, ASME BPE tubing Dabwali, ASTM A270 tube Dabwali, SS 316L electropolished pipe Dabwali</v>
      </c>
      <c r="AI983" s="15" t="str">
        <f t="shared" si="19"/>
        <v>Electropolished Pipes Manufacturer &amp; Supplier in Dabwali</v>
      </c>
      <c r="AJ983" s="15" t="str">
        <f t="shared" si="20"/>
        <v>EP-finished SS 304/316L pipes and tubes for VERIFY plants in Dabwali. ASME BPE SF1-SF4, Ra from 0.25 um, EN 10204 3.1 certificate with every lot.</v>
      </c>
      <c r="AK983" s="15" t="str">
        <f t="shared" si="21"/>
        <v>Electropolished stainless steel pipes supplied by Sakshi Forge to VERIFY plants at HSIIDC Industrial Area, Dabwali</v>
      </c>
      <c r="AL983" s="15" t="str">
        <f t="shared" si="22"/>
        <v>Electropolished SS 316L tube stock for Dabwali - Sakshi Forge</v>
      </c>
      <c r="AM983" s="15" t="str">
        <f t="shared" si="23"/>
        <v>Home &gt; Market Area &gt; India &gt; Haryana &gt; Dabwali</v>
      </c>
      <c r="AN983" s="15">
        <f t="shared" si="24"/>
        <v>750</v>
      </c>
      <c r="AO983" s="15">
        <f t="shared" si="25"/>
        <v>6</v>
      </c>
      <c r="AP983" s="15">
        <f t="shared" si="26"/>
        <v>6</v>
      </c>
      <c r="AQ983" s="15">
        <f t="shared" si="27"/>
        <v>17</v>
      </c>
      <c r="AR983" s="31"/>
      <c r="AS983" s="31"/>
      <c r="AT983" s="35" t="s">
        <v>222</v>
      </c>
      <c r="AU983" s="35"/>
    </row>
    <row r="984" ht="15.75" customHeight="1">
      <c r="A984" s="15" t="s">
        <v>5172</v>
      </c>
      <c r="B984" s="15" t="s">
        <v>60</v>
      </c>
      <c r="C984" s="15" t="s">
        <v>1818</v>
      </c>
      <c r="D984" s="15" t="s">
        <v>5173</v>
      </c>
      <c r="E984" s="15" t="s">
        <v>5173</v>
      </c>
      <c r="F984" s="58" t="s">
        <v>807</v>
      </c>
      <c r="G984" s="66" t="s">
        <v>98</v>
      </c>
      <c r="H984" s="18" t="s">
        <v>5175</v>
      </c>
      <c r="I984" s="18" t="s">
        <v>8402</v>
      </c>
      <c r="J984" s="18" t="s">
        <v>98</v>
      </c>
      <c r="K984" s="18" t="s">
        <v>98</v>
      </c>
      <c r="L984" s="18" t="s">
        <v>98</v>
      </c>
      <c r="M984" s="18" t="s">
        <v>98</v>
      </c>
      <c r="N984" s="18" t="s">
        <v>98</v>
      </c>
      <c r="O984" s="18" t="s">
        <v>98</v>
      </c>
      <c r="P984" s="15" t="str">
        <f t="shared" si="1"/>
        <v>VERIFY</v>
      </c>
      <c r="Q984" s="15">
        <f t="shared" si="2"/>
        <v>5</v>
      </c>
      <c r="R984" s="15">
        <f t="shared" si="3"/>
        <v>1</v>
      </c>
      <c r="S984" s="15">
        <f t="shared" si="4"/>
        <v>1</v>
      </c>
      <c r="T984" s="15" t="str">
        <f t="shared" si="5"/>
        <v>C-3</v>
      </c>
      <c r="U984" s="15" t="str">
        <f t="shared" si="6"/>
        <v>T5-M1-H1-FC-3-VERIFY</v>
      </c>
      <c r="V984" s="15">
        <f t="shared" si="7"/>
        <v>1</v>
      </c>
      <c r="W984" s="31"/>
      <c r="X984" s="15" t="str">
        <f t="shared" si="8"/>
        <v>danapur</v>
      </c>
      <c r="Y984" s="32" t="str">
        <f t="shared" si="9"/>
        <v>https://steelmanufacturer.in/market-area/electropolished-pipes-manufacturer-in-danapur/</v>
      </c>
      <c r="Z984" s="15" t="str">
        <f t="shared" si="10"/>
        <v>Electropolished Pipes Manufacturer in Danapur</v>
      </c>
      <c r="AA984" s="15" t="str">
        <f t="shared" si="11"/>
        <v>OK (45)</v>
      </c>
      <c r="AB984" s="15" t="str">
        <f t="shared" si="12"/>
        <v>EP-finished SS 304/316L pipes &amp; tubes for VERIFY plants in Danapur. ASTM A270, ASME BPE SF1-SF4, EN 10204 3.1 MTC. PMI tested.</v>
      </c>
      <c r="AC984" s="15" t="str">
        <f t="shared" si="13"/>
        <v>PENDING RESEARCH</v>
      </c>
      <c r="AD984" s="15" t="str">
        <f t="shared" si="14"/>
        <v>Electropolished Pipes Manufacturer in Danapur</v>
      </c>
      <c r="AE984" s="15" t="str">
        <f t="shared" si="15"/>
        <v>Electropolished Pipe &amp; Tube Manufacturing for Danapur - Grades, Finishes &amp; Certification</v>
      </c>
      <c r="AF984" s="15" t="str">
        <f t="shared" si="16"/>
        <v>Electropolished Pipes Supplier in Danapur - Stock Sizes, Lead Time &amp; Delivery</v>
      </c>
      <c r="AG984" s="15" t="str">
        <f t="shared" si="17"/>
        <v>Electropolished Pipes Wholesaler &amp; Stockist in Danapur - Bulk &amp; Project Pricing</v>
      </c>
      <c r="AH984" s="15" t="str">
        <f t="shared" si="18"/>
        <v>electropolished pipes manufacturer in Danapur, electropolished pipes supplier in Danapur, electropolished pipes wholesaler in Danapur, electropolished tube manufacturer Danapur, EP pipe supplier Danapur, sanitary tube supplier Danapur, ASME BPE tubing Danapur, ASTM A270 tube Danapur, SS 316L electropolished pipe Danapur</v>
      </c>
      <c r="AI984" s="15" t="str">
        <f t="shared" si="19"/>
        <v>Electropolished Pipes Manufacturer &amp; Supplier in Danapur</v>
      </c>
      <c r="AJ984" s="15" t="str">
        <f t="shared" si="20"/>
        <v>EP-finished SS 304/316L pipes and tubes for VERIFY plants in Danapur. ASME BPE SF1-SF4, Ra from 0.25 um, EN 10204 3.1 certificate with every lot.</v>
      </c>
      <c r="AK984" s="15" t="str">
        <f t="shared" si="21"/>
        <v>Electropolished stainless steel pipes supplied by Sakshi Forge to VERIFY plants at BIADA Industrial Area, Danapur</v>
      </c>
      <c r="AL984" s="15" t="str">
        <f t="shared" si="22"/>
        <v>Electropolished SS 316L tube stock for Danapur - Sakshi Forge</v>
      </c>
      <c r="AM984" s="15" t="str">
        <f t="shared" si="23"/>
        <v>Home &gt; Market Area &gt; India &gt; Bihar &gt; Danapur</v>
      </c>
      <c r="AN984" s="15">
        <f t="shared" si="24"/>
        <v>750</v>
      </c>
      <c r="AO984" s="15">
        <f t="shared" si="25"/>
        <v>6</v>
      </c>
      <c r="AP984" s="15">
        <f t="shared" si="26"/>
        <v>6</v>
      </c>
      <c r="AQ984" s="15">
        <f t="shared" si="27"/>
        <v>17</v>
      </c>
      <c r="AR984" s="31"/>
      <c r="AS984" s="31"/>
      <c r="AT984" s="35" t="s">
        <v>222</v>
      </c>
      <c r="AU984" s="35"/>
    </row>
    <row r="985" ht="15.75" customHeight="1">
      <c r="A985" s="15" t="s">
        <v>5176</v>
      </c>
      <c r="B985" s="15" t="s">
        <v>60</v>
      </c>
      <c r="C985" s="15" t="s">
        <v>570</v>
      </c>
      <c r="D985" s="15" t="s">
        <v>5177</v>
      </c>
      <c r="E985" s="15" t="s">
        <v>5177</v>
      </c>
      <c r="F985" s="58" t="s">
        <v>807</v>
      </c>
      <c r="G985" s="66" t="s">
        <v>98</v>
      </c>
      <c r="H985" s="18" t="s">
        <v>5179</v>
      </c>
      <c r="I985" s="18" t="s">
        <v>8405</v>
      </c>
      <c r="J985" s="18" t="s">
        <v>98</v>
      </c>
      <c r="K985" s="18" t="s">
        <v>98</v>
      </c>
      <c r="L985" s="18" t="s">
        <v>98</v>
      </c>
      <c r="M985" s="18" t="s">
        <v>98</v>
      </c>
      <c r="N985" s="18" t="s">
        <v>98</v>
      </c>
      <c r="O985" s="18" t="s">
        <v>98</v>
      </c>
      <c r="P985" s="15" t="str">
        <f t="shared" si="1"/>
        <v>VERIFY</v>
      </c>
      <c r="Q985" s="15">
        <f t="shared" si="2"/>
        <v>6</v>
      </c>
      <c r="R985" s="15">
        <f t="shared" si="3"/>
        <v>2</v>
      </c>
      <c r="S985" s="15">
        <f t="shared" si="4"/>
        <v>2</v>
      </c>
      <c r="T985" s="15" t="str">
        <f t="shared" si="5"/>
        <v>C-4</v>
      </c>
      <c r="U985" s="15" t="str">
        <f t="shared" si="6"/>
        <v>T6-M2-H2-FC-4-VERIFY</v>
      </c>
      <c r="V985" s="15">
        <f t="shared" si="7"/>
        <v>1</v>
      </c>
      <c r="W985" s="31"/>
      <c r="X985" s="15" t="str">
        <f t="shared" si="8"/>
        <v>dandeli</v>
      </c>
      <c r="Y985" s="32" t="str">
        <f t="shared" si="9"/>
        <v>https://steelmanufacturer.in/market-area/electropolished-pipes-manufacturer-in-dandeli/</v>
      </c>
      <c r="Z985" s="15" t="str">
        <f t="shared" si="10"/>
        <v>Electropolished Pipes Manufacturer in Dandeli</v>
      </c>
      <c r="AA985" s="15" t="str">
        <f t="shared" si="11"/>
        <v>OK (45)</v>
      </c>
      <c r="AB985" s="15" t="str">
        <f t="shared" si="12"/>
        <v>Electropolished tube supply to KIADB Industrial Area, Dandeli. Ra from 0.25 um, SF4 finish, mill test certificate with every lot.</v>
      </c>
      <c r="AC985" s="15" t="str">
        <f t="shared" si="13"/>
        <v>PENDING RESEARCH</v>
      </c>
      <c r="AD985" s="15" t="str">
        <f t="shared" si="14"/>
        <v>Electropolished Pipes Manufacturer in Dandeli</v>
      </c>
      <c r="AE985" s="15" t="str">
        <f t="shared" si="15"/>
        <v>How We Manufacture Electropolished Tube for Dandeli Plants</v>
      </c>
      <c r="AF985" s="15" t="str">
        <f t="shared" si="16"/>
        <v>Supplying Electropolished Pipes in Dandeli: Availability, Sizes &amp; Dispatch</v>
      </c>
      <c r="AG985" s="15" t="str">
        <f t="shared" si="17"/>
        <v>Wholesale Electropolished Pipe Supply for Dandeli Projects</v>
      </c>
      <c r="AH985" s="15" t="str">
        <f t="shared" si="18"/>
        <v>electropolished pipes manufacturer in Dandeli, electropolished pipes supplier in Dandeli, electropolished pipes wholesaler in Dandeli, electropolished tube manufacturer Dandeli, EP pipe supplier Dandeli, sanitary tube supplier Dandeli, ASME BPE tubing Dandeli, ASTM A270 tube Dandeli, SS 316L electropolished pipe Dandeli</v>
      </c>
      <c r="AI985" s="15" t="str">
        <f t="shared" si="19"/>
        <v>Electropolished Pipes Manufacturer &amp; Supplier in Dandeli</v>
      </c>
      <c r="AJ985" s="15" t="str">
        <f t="shared" si="20"/>
        <v>EP-finished SS 304/316L pipes and tubes for VERIFY plants in Dandeli. ASME BPE SF1-SF4, Ra from 0.25 um, EN 10204 3.1 certificate with every lot.</v>
      </c>
      <c r="AK985" s="15" t="str">
        <f t="shared" si="21"/>
        <v>Electropolished stainless steel pipes supplied by Sakshi Forge to VERIFY plants at KIADB Industrial Area, Dandeli</v>
      </c>
      <c r="AL985" s="15" t="str">
        <f t="shared" si="22"/>
        <v>Electropolished SS 316L tube stock for Dandeli - Sakshi Forge</v>
      </c>
      <c r="AM985" s="15" t="str">
        <f t="shared" si="23"/>
        <v>Home &gt; Market Area &gt; India &gt; Karnataka &gt; Dandeli</v>
      </c>
      <c r="AN985" s="15">
        <f t="shared" si="24"/>
        <v>750</v>
      </c>
      <c r="AO985" s="15">
        <f t="shared" si="25"/>
        <v>6</v>
      </c>
      <c r="AP985" s="15">
        <f t="shared" si="26"/>
        <v>6</v>
      </c>
      <c r="AQ985" s="15">
        <f t="shared" si="27"/>
        <v>17</v>
      </c>
      <c r="AR985" s="31"/>
      <c r="AS985" s="31"/>
      <c r="AT985" s="35" t="s">
        <v>222</v>
      </c>
      <c r="AU985" s="35"/>
    </row>
    <row r="986" ht="15.75" customHeight="1">
      <c r="A986" s="15" t="s">
        <v>5180</v>
      </c>
      <c r="B986" s="15" t="s">
        <v>60</v>
      </c>
      <c r="C986" s="15" t="s">
        <v>775</v>
      </c>
      <c r="D986" s="15" t="s">
        <v>5181</v>
      </c>
      <c r="E986" s="15" t="s">
        <v>5181</v>
      </c>
      <c r="F986" s="58" t="s">
        <v>807</v>
      </c>
      <c r="G986" s="66" t="s">
        <v>98</v>
      </c>
      <c r="H986" s="18" t="s">
        <v>5183</v>
      </c>
      <c r="I986" s="18" t="s">
        <v>8399</v>
      </c>
      <c r="J986" s="18" t="s">
        <v>98</v>
      </c>
      <c r="K986" s="18" t="s">
        <v>98</v>
      </c>
      <c r="L986" s="18" t="s">
        <v>98</v>
      </c>
      <c r="M986" s="18" t="s">
        <v>98</v>
      </c>
      <c r="N986" s="18" t="s">
        <v>98</v>
      </c>
      <c r="O986" s="18" t="s">
        <v>98</v>
      </c>
      <c r="P986" s="15" t="str">
        <f t="shared" si="1"/>
        <v>VERIFY</v>
      </c>
      <c r="Q986" s="15">
        <f t="shared" si="2"/>
        <v>7</v>
      </c>
      <c r="R986" s="15">
        <f t="shared" si="3"/>
        <v>3</v>
      </c>
      <c r="S986" s="15">
        <f t="shared" si="4"/>
        <v>3</v>
      </c>
      <c r="T986" s="15" t="str">
        <f t="shared" si="5"/>
        <v>C-5</v>
      </c>
      <c r="U986" s="15" t="str">
        <f t="shared" si="6"/>
        <v>T7-M3-H3-FC-5-VERIFY</v>
      </c>
      <c r="V986" s="15">
        <f t="shared" si="7"/>
        <v>1</v>
      </c>
      <c r="W986" s="31"/>
      <c r="X986" s="15" t="str">
        <f t="shared" si="8"/>
        <v>dantewada</v>
      </c>
      <c r="Y986" s="32" t="str">
        <f t="shared" si="9"/>
        <v>https://steelmanufacturer.in/market-area/electropolished-pipes-manufacturer-in-dantewada/</v>
      </c>
      <c r="Z986" s="15" t="str">
        <f t="shared" si="10"/>
        <v>Electropolished Pipes Manufacturer in Dantewada</v>
      </c>
      <c r="AA986" s="15" t="str">
        <f t="shared" si="11"/>
        <v>OK (47)</v>
      </c>
      <c r="AB986" s="15" t="str">
        <f t="shared" si="12"/>
        <v>EP stainless tube for VERIFY lines in Dantewada. VERIFY. ASTM A270 S2, PMI tested, EN 10204 3.1.</v>
      </c>
      <c r="AC986" s="15" t="str">
        <f t="shared" si="13"/>
        <v>PENDING RESEARCH</v>
      </c>
      <c r="AD986" s="15" t="str">
        <f t="shared" si="14"/>
        <v>Electropolished Pipes Manufacturer in Dantewada</v>
      </c>
      <c r="AE986" s="15" t="str">
        <f t="shared" si="15"/>
        <v>Electropolished Pipes Manufacturer in Dantewada - Our Process &amp; Capability</v>
      </c>
      <c r="AF986" s="15" t="str">
        <f t="shared" si="16"/>
        <v>Electropolished Pipes Supplier in Dantewada - What We Hold in Stock</v>
      </c>
      <c r="AG986" s="15" t="str">
        <f t="shared" si="17"/>
        <v>Bulk &amp; Wholesale Electropolished Pipe Rates for Dantewada Buyers</v>
      </c>
      <c r="AH986" s="15" t="str">
        <f t="shared" si="18"/>
        <v>electropolished pipes manufacturer in Dantewada, electropolished pipes supplier in Dantewada, electropolished pipes wholesaler in Dantewada, electropolished tube manufacturer Dantewada, EP pipe supplier Dantewada, sanitary tube supplier Dantewada, ASME BPE tubing Dantewada, ASTM A270 tube Dantewada, SS 316L electropolished pipe Dantewada</v>
      </c>
      <c r="AI986" s="15" t="str">
        <f t="shared" si="19"/>
        <v>Electropolished Pipes Manufacturer &amp; Supplier in Dantewada</v>
      </c>
      <c r="AJ986" s="15" t="str">
        <f t="shared" si="20"/>
        <v>EP-finished SS 304/316L pipes and tubes for VERIFY plants in Dantewada. ASME BPE SF1-SF4, Ra from 0.25 um, EN 10204 3.1 certificate with every lot.</v>
      </c>
      <c r="AK986" s="15" t="str">
        <f t="shared" si="21"/>
        <v>Electropolished stainless steel pipes supplied by Sakshi Forge to VERIFY plants at CSIDC Industrial Area, Dantewada</v>
      </c>
      <c r="AL986" s="15" t="str">
        <f t="shared" si="22"/>
        <v>Electropolished SS 316L tube stock for Dantewada - Sakshi Forge</v>
      </c>
      <c r="AM986" s="15" t="str">
        <f t="shared" si="23"/>
        <v>Home &gt; Market Area &gt; India &gt; Chhattisgarh &gt; Dantewada</v>
      </c>
      <c r="AN986" s="15">
        <f t="shared" si="24"/>
        <v>750</v>
      </c>
      <c r="AO986" s="15">
        <f t="shared" si="25"/>
        <v>6</v>
      </c>
      <c r="AP986" s="15">
        <f t="shared" si="26"/>
        <v>6</v>
      </c>
      <c r="AQ986" s="15">
        <f t="shared" si="27"/>
        <v>17</v>
      </c>
      <c r="AR986" s="31"/>
      <c r="AS986" s="31"/>
      <c r="AT986" s="35" t="s">
        <v>222</v>
      </c>
      <c r="AU986" s="35"/>
    </row>
    <row r="987" ht="15.75" customHeight="1">
      <c r="A987" s="15" t="s">
        <v>5184</v>
      </c>
      <c r="B987" s="15" t="s">
        <v>60</v>
      </c>
      <c r="C987" s="15" t="s">
        <v>264</v>
      </c>
      <c r="D987" s="15" t="s">
        <v>5185</v>
      </c>
      <c r="E987" s="15" t="s">
        <v>5185</v>
      </c>
      <c r="F987" s="58" t="s">
        <v>807</v>
      </c>
      <c r="G987" s="66" t="s">
        <v>98</v>
      </c>
      <c r="H987" s="18" t="s">
        <v>5187</v>
      </c>
      <c r="I987" s="18" t="s">
        <v>8395</v>
      </c>
      <c r="J987" s="18" t="s">
        <v>98</v>
      </c>
      <c r="K987" s="18" t="s">
        <v>98</v>
      </c>
      <c r="L987" s="18" t="s">
        <v>98</v>
      </c>
      <c r="M987" s="18" t="s">
        <v>98</v>
      </c>
      <c r="N987" s="18" t="s">
        <v>98</v>
      </c>
      <c r="O987" s="18" t="s">
        <v>98</v>
      </c>
      <c r="P987" s="15" t="str">
        <f t="shared" si="1"/>
        <v>VERIFY</v>
      </c>
      <c r="Q987" s="15">
        <f t="shared" si="2"/>
        <v>8</v>
      </c>
      <c r="R987" s="15">
        <f t="shared" si="3"/>
        <v>4</v>
      </c>
      <c r="S987" s="15">
        <f t="shared" si="4"/>
        <v>4</v>
      </c>
      <c r="T987" s="15" t="str">
        <f t="shared" si="5"/>
        <v>C-6</v>
      </c>
      <c r="U987" s="15" t="str">
        <f t="shared" si="6"/>
        <v>T8-M4-H4-FC-6-VERIFY</v>
      </c>
      <c r="V987" s="15">
        <f t="shared" si="7"/>
        <v>1</v>
      </c>
      <c r="W987" s="31"/>
      <c r="X987" s="15" t="str">
        <f t="shared" si="8"/>
        <v>deglur</v>
      </c>
      <c r="Y987" s="32" t="str">
        <f t="shared" si="9"/>
        <v>https://steelmanufacturer.in/market-area/electropolished-pipes-manufacturer-in-deglur/</v>
      </c>
      <c r="Z987" s="15" t="str">
        <f t="shared" si="10"/>
        <v>Electropolished Pipes Manufacturer in Deglur - EP Tube Stockist</v>
      </c>
      <c r="AA987" s="15" t="str">
        <f t="shared" si="11"/>
        <v>OK (63)</v>
      </c>
      <c r="AB987" s="15" t="str">
        <f t="shared" si="12"/>
        <v>Sanitary electropolished pipes in Deglur for VERIFY plants. ASME BPE SF1-SF4, orbital-weld ready, 3.1 MTC. Mumbai-made.</v>
      </c>
      <c r="AC987" s="15" t="str">
        <f t="shared" si="13"/>
        <v>PENDING RESEARCH</v>
      </c>
      <c r="AD987" s="15" t="str">
        <f t="shared" si="14"/>
        <v>Electropolished Pipes Manufacturer in Deglur</v>
      </c>
      <c r="AE987" s="15" t="str">
        <f t="shared" si="15"/>
        <v>Manufacturing Electropolished SS Tube for Deglur: The Standards We Build To</v>
      </c>
      <c r="AF987" s="15" t="str">
        <f t="shared" si="16"/>
        <v>Electropolished Pipe Supply Into Deglur - Certification &amp; Transit</v>
      </c>
      <c r="AG987" s="15" t="str">
        <f t="shared" si="17"/>
        <v>Electropolished Pipes Wholesaler in Deglur - Project Quantities &amp; Terms</v>
      </c>
      <c r="AH987" s="15" t="str">
        <f t="shared" si="18"/>
        <v>electropolished pipes manufacturer in Deglur, electropolished pipes supplier in Deglur, electropolished pipes wholesaler in Deglur, electropolished tube manufacturer Deglur, EP pipe supplier Deglur, sanitary tube supplier Deglur, ASME BPE tubing Deglur, ASTM A270 tube Deglur, SS 316L electropolished pipe Deglur</v>
      </c>
      <c r="AI987" s="15" t="str">
        <f t="shared" si="19"/>
        <v>Electropolished Pipes Manufacturer &amp; Supplier in Deglur</v>
      </c>
      <c r="AJ987" s="15" t="str">
        <f t="shared" si="20"/>
        <v>EP-finished SS 304/316L pipes and tubes for VERIFY plants in Deglur. ASME BPE SF1-SF4, Ra from 0.25 um, EN 10204 3.1 certificate with every lot.</v>
      </c>
      <c r="AK987" s="15" t="str">
        <f t="shared" si="21"/>
        <v>Electropolished stainless steel pipes supplied by Sakshi Forge to VERIFY plants at MIDC Industrial Area, Deglur</v>
      </c>
      <c r="AL987" s="15" t="str">
        <f t="shared" si="22"/>
        <v>Electropolished SS 316L tube stock for Deglur - Sakshi Forge</v>
      </c>
      <c r="AM987" s="15" t="str">
        <f t="shared" si="23"/>
        <v>Home &gt; Market Area &gt; India &gt; Maharashtra &gt; Deglur</v>
      </c>
      <c r="AN987" s="15">
        <f t="shared" si="24"/>
        <v>750</v>
      </c>
      <c r="AO987" s="15">
        <f t="shared" si="25"/>
        <v>6</v>
      </c>
      <c r="AP987" s="15">
        <f t="shared" si="26"/>
        <v>6</v>
      </c>
      <c r="AQ987" s="15">
        <f t="shared" si="27"/>
        <v>17</v>
      </c>
      <c r="AR987" s="31"/>
      <c r="AS987" s="31"/>
      <c r="AT987" s="35" t="s">
        <v>222</v>
      </c>
      <c r="AU987" s="35"/>
    </row>
    <row r="988" ht="15.75" customHeight="1">
      <c r="A988" s="15" t="s">
        <v>5188</v>
      </c>
      <c r="B988" s="15" t="s">
        <v>60</v>
      </c>
      <c r="C988" s="15" t="s">
        <v>424</v>
      </c>
      <c r="D988" s="15" t="s">
        <v>5190</v>
      </c>
      <c r="E988" s="15" t="s">
        <v>5190</v>
      </c>
      <c r="F988" s="58" t="s">
        <v>807</v>
      </c>
      <c r="G988" s="66" t="s">
        <v>98</v>
      </c>
      <c r="H988" s="18" t="s">
        <v>5194</v>
      </c>
      <c r="I988" s="18" t="s">
        <v>8406</v>
      </c>
      <c r="J988" s="18" t="s">
        <v>98</v>
      </c>
      <c r="K988" s="18" t="s">
        <v>98</v>
      </c>
      <c r="L988" s="18" t="s">
        <v>98</v>
      </c>
      <c r="M988" s="18" t="s">
        <v>98</v>
      </c>
      <c r="N988" s="18" t="s">
        <v>98</v>
      </c>
      <c r="O988" s="18" t="s">
        <v>98</v>
      </c>
      <c r="P988" s="15" t="str">
        <f t="shared" si="1"/>
        <v>VERIFY</v>
      </c>
      <c r="Q988" s="15">
        <f t="shared" si="2"/>
        <v>1</v>
      </c>
      <c r="R988" s="15">
        <f t="shared" si="3"/>
        <v>5</v>
      </c>
      <c r="S988" s="15">
        <f t="shared" si="4"/>
        <v>5</v>
      </c>
      <c r="T988" s="15" t="str">
        <f t="shared" si="5"/>
        <v>C-1</v>
      </c>
      <c r="U988" s="15" t="str">
        <f t="shared" si="6"/>
        <v>T1-M5-H5-FC-1-VERIFY</v>
      </c>
      <c r="V988" s="15">
        <f t="shared" si="7"/>
        <v>1</v>
      </c>
      <c r="W988" s="31"/>
      <c r="X988" s="15" t="str">
        <f t="shared" si="8"/>
        <v>delang</v>
      </c>
      <c r="Y988" s="32" t="str">
        <f t="shared" si="9"/>
        <v>https://steelmanufacturer.in/market-area/electropolished-pipes-manufacturer-in-delang/</v>
      </c>
      <c r="Z988" s="15" t="str">
        <f t="shared" si="10"/>
        <v>Electropolished Pipes Manufacturer in Delang | Sakshi Forge</v>
      </c>
      <c r="AA988" s="15" t="str">
        <f t="shared" si="11"/>
        <v>OK (59)</v>
      </c>
      <c r="AB988" s="15" t="str">
        <f t="shared" si="12"/>
        <v>Manufacturer of electropolished SS 316L tube serving Delang. VERIFY. Ra 0.25-0.5 um, EN 10204 3.1 MTC.</v>
      </c>
      <c r="AC988" s="15" t="str">
        <f t="shared" si="13"/>
        <v>PENDING RESEARCH</v>
      </c>
      <c r="AD988" s="15" t="str">
        <f t="shared" si="14"/>
        <v>Electropolished Pipes Manufacturer in Delang</v>
      </c>
      <c r="AE988" s="15" t="str">
        <f t="shared" si="15"/>
        <v>Electropolished Tube Manufacturing Capability Serving Delang</v>
      </c>
      <c r="AF988" s="15" t="str">
        <f t="shared" si="16"/>
        <v>Electropolished Pipes Supplier in Delang - From Order to Delivery</v>
      </c>
      <c r="AG988" s="15" t="str">
        <f t="shared" si="17"/>
        <v>Stockist &amp; Wholesale Supply of Electropolished Pipes in Delang</v>
      </c>
      <c r="AH988" s="15" t="str">
        <f t="shared" si="18"/>
        <v>electropolished pipes manufacturer in Delang, electropolished pipes supplier in Delang, electropolished pipes wholesaler in Delang, electropolished tube manufacturer Delang, EP pipe supplier Delang, sanitary tube supplier Delang, ASME BPE tubing Delang, ASTM A270 tube Delang, SS 316L electropolished pipe Delang</v>
      </c>
      <c r="AI988" s="15" t="str">
        <f t="shared" si="19"/>
        <v>Electropolished Pipes Manufacturer &amp; Supplier in Delang</v>
      </c>
      <c r="AJ988" s="15" t="str">
        <f t="shared" si="20"/>
        <v>EP-finished SS 304/316L pipes and tubes for VERIFY plants in Delang. ASME BPE SF1-SF4, Ra from 0.25 um, EN 10204 3.1 certificate with every lot.</v>
      </c>
      <c r="AK988" s="15" t="str">
        <f t="shared" si="21"/>
        <v>Electropolished stainless steel pipes supplied by Sakshi Forge to VERIFY plants at IDCO Industrial Area, Delang</v>
      </c>
      <c r="AL988" s="15" t="str">
        <f t="shared" si="22"/>
        <v>Electropolished SS 316L tube stock for Delang - Sakshi Forge</v>
      </c>
      <c r="AM988" s="15" t="str">
        <f t="shared" si="23"/>
        <v>Home &gt; Market Area &gt; India &gt; Odisha &gt; Delang</v>
      </c>
      <c r="AN988" s="15">
        <f t="shared" si="24"/>
        <v>750</v>
      </c>
      <c r="AO988" s="15">
        <f t="shared" si="25"/>
        <v>6</v>
      </c>
      <c r="AP988" s="15">
        <f t="shared" si="26"/>
        <v>6</v>
      </c>
      <c r="AQ988" s="15">
        <f t="shared" si="27"/>
        <v>17</v>
      </c>
      <c r="AR988" s="31"/>
      <c r="AS988" s="31"/>
      <c r="AT988" s="35" t="s">
        <v>222</v>
      </c>
      <c r="AU988" s="35"/>
    </row>
    <row r="989" ht="15.75" customHeight="1">
      <c r="A989" s="15" t="s">
        <v>5197</v>
      </c>
      <c r="B989" s="15" t="s">
        <v>60</v>
      </c>
      <c r="C989" s="15" t="s">
        <v>236</v>
      </c>
      <c r="D989" s="15" t="s">
        <v>5198</v>
      </c>
      <c r="E989" s="15" t="s">
        <v>5198</v>
      </c>
      <c r="F989" s="58" t="s">
        <v>807</v>
      </c>
      <c r="G989" s="66" t="s">
        <v>98</v>
      </c>
      <c r="H989" s="18" t="s">
        <v>5200</v>
      </c>
      <c r="I989" s="18" t="s">
        <v>8391</v>
      </c>
      <c r="J989" s="18" t="s">
        <v>98</v>
      </c>
      <c r="K989" s="18" t="s">
        <v>98</v>
      </c>
      <c r="L989" s="18" t="s">
        <v>98</v>
      </c>
      <c r="M989" s="18" t="s">
        <v>98</v>
      </c>
      <c r="N989" s="18" t="s">
        <v>98</v>
      </c>
      <c r="O989" s="18" t="s">
        <v>98</v>
      </c>
      <c r="P989" s="15" t="str">
        <f t="shared" si="1"/>
        <v>VERIFY</v>
      </c>
      <c r="Q989" s="15">
        <f t="shared" si="2"/>
        <v>2</v>
      </c>
      <c r="R989" s="15">
        <f t="shared" si="3"/>
        <v>6</v>
      </c>
      <c r="S989" s="15">
        <f t="shared" si="4"/>
        <v>1</v>
      </c>
      <c r="T989" s="15" t="str">
        <f t="shared" si="5"/>
        <v>C-2</v>
      </c>
      <c r="U989" s="15" t="str">
        <f t="shared" si="6"/>
        <v>T2-M6-H1-FC-2-VERIFY</v>
      </c>
      <c r="V989" s="15">
        <f t="shared" si="7"/>
        <v>1</v>
      </c>
      <c r="W989" s="31"/>
      <c r="X989" s="15" t="str">
        <f t="shared" si="8"/>
        <v>deoli</v>
      </c>
      <c r="Y989" s="32" t="str">
        <f t="shared" si="9"/>
        <v>https://steelmanufacturer.in/market-area/electropolished-pipes-manufacturer-in-deoli/</v>
      </c>
      <c r="Z989" s="15" t="str">
        <f t="shared" si="10"/>
        <v>Electropolished Pipes Manufacturer in Deoli</v>
      </c>
      <c r="AA989" s="15" t="str">
        <f t="shared" si="11"/>
        <v>OK (43)</v>
      </c>
      <c r="AB989" s="15" t="str">
        <f t="shared" si="12"/>
        <v>EP tube and pipe for VERIFY plants around RIICO Industrial Area, Deoli. Made at our Mumbai works to ASTM A270 and ASME BPE SF1-SF4, with 3.1 MTC.</v>
      </c>
      <c r="AC989" s="15" t="str">
        <f t="shared" si="13"/>
        <v>PENDING RESEARCH</v>
      </c>
      <c r="AD989" s="15" t="str">
        <f t="shared" si="14"/>
        <v>Electropolished Pipes Manufacturer in Deoli</v>
      </c>
      <c r="AE989" s="15" t="str">
        <f t="shared" si="15"/>
        <v>Electropolished Pipe &amp; Tube Manufacturing for Deoli - Grades, Finishes &amp; Certification</v>
      </c>
      <c r="AF989" s="15" t="str">
        <f t="shared" si="16"/>
        <v>Electropolished Pipes Supplier in Deoli - Stock Sizes, Lead Time &amp; Delivery</v>
      </c>
      <c r="AG989" s="15" t="str">
        <f t="shared" si="17"/>
        <v>Electropolished Pipes Wholesaler &amp; Stockist in Deoli - Bulk &amp; Project Pricing</v>
      </c>
      <c r="AH989" s="15" t="str">
        <f t="shared" si="18"/>
        <v>electropolished pipes manufacturer in Deoli, electropolished pipes supplier in Deoli, electropolished pipes wholesaler in Deoli, electropolished tube manufacturer Deoli, EP pipe supplier Deoli, sanitary tube supplier Deoli, ASME BPE tubing Deoli, ASTM A270 tube Deoli, SS 316L electropolished pipe Deoli</v>
      </c>
      <c r="AI989" s="15" t="str">
        <f t="shared" si="19"/>
        <v>Electropolished Pipes Manufacturer &amp; Supplier in Deoli</v>
      </c>
      <c r="AJ989" s="15" t="str">
        <f t="shared" si="20"/>
        <v>EP-finished SS 304/316L pipes and tubes for VERIFY plants in Deoli. ASME BPE SF1-SF4, Ra from 0.25 um, EN 10204 3.1 certificate with every lot.</v>
      </c>
      <c r="AK989" s="15" t="str">
        <f t="shared" si="21"/>
        <v>Electropolished stainless steel pipes supplied by Sakshi Forge to VERIFY plants at RIICO Industrial Area, Deoli</v>
      </c>
      <c r="AL989" s="15" t="str">
        <f t="shared" si="22"/>
        <v>Electropolished SS 316L tube stock for Deoli - Sakshi Forge</v>
      </c>
      <c r="AM989" s="15" t="str">
        <f t="shared" si="23"/>
        <v>Home &gt; Market Area &gt; India &gt; Rajasthan &gt; Deoli</v>
      </c>
      <c r="AN989" s="15">
        <f t="shared" si="24"/>
        <v>750</v>
      </c>
      <c r="AO989" s="15">
        <f t="shared" si="25"/>
        <v>6</v>
      </c>
      <c r="AP989" s="15">
        <f t="shared" si="26"/>
        <v>6</v>
      </c>
      <c r="AQ989" s="15">
        <f t="shared" si="27"/>
        <v>17</v>
      </c>
      <c r="AR989" s="31"/>
      <c r="AS989" s="31"/>
      <c r="AT989" s="35" t="s">
        <v>222</v>
      </c>
      <c r="AU989" s="35"/>
    </row>
    <row r="990" ht="15.75" customHeight="1">
      <c r="A990" s="15" t="s">
        <v>5201</v>
      </c>
      <c r="B990" s="15" t="s">
        <v>60</v>
      </c>
      <c r="C990" s="15" t="s">
        <v>842</v>
      </c>
      <c r="D990" s="15" t="s">
        <v>5202</v>
      </c>
      <c r="E990" s="15" t="s">
        <v>5202</v>
      </c>
      <c r="F990" s="58" t="s">
        <v>807</v>
      </c>
      <c r="G990" s="66" t="s">
        <v>98</v>
      </c>
      <c r="H990" s="18" t="s">
        <v>5204</v>
      </c>
      <c r="I990" s="18" t="s">
        <v>8413</v>
      </c>
      <c r="J990" s="18" t="s">
        <v>98</v>
      </c>
      <c r="K990" s="18" t="s">
        <v>98</v>
      </c>
      <c r="L990" s="18" t="s">
        <v>98</v>
      </c>
      <c r="M990" s="18" t="s">
        <v>98</v>
      </c>
      <c r="N990" s="18" t="s">
        <v>98</v>
      </c>
      <c r="O990" s="18" t="s">
        <v>98</v>
      </c>
      <c r="P990" s="15" t="str">
        <f t="shared" si="1"/>
        <v>VERIFY</v>
      </c>
      <c r="Q990" s="15">
        <f t="shared" si="2"/>
        <v>3</v>
      </c>
      <c r="R990" s="15">
        <f t="shared" si="3"/>
        <v>7</v>
      </c>
      <c r="S990" s="15">
        <f t="shared" si="4"/>
        <v>2</v>
      </c>
      <c r="T990" s="15" t="str">
        <f t="shared" si="5"/>
        <v>C-3</v>
      </c>
      <c r="U990" s="15" t="str">
        <f t="shared" si="6"/>
        <v>T3-M7-H2-FC-3-VERIFY</v>
      </c>
      <c r="V990" s="15">
        <f t="shared" si="7"/>
        <v>1</v>
      </c>
      <c r="W990" s="31"/>
      <c r="X990" s="15" t="str">
        <f t="shared" si="8"/>
        <v>dhar</v>
      </c>
      <c r="Y990" s="32" t="str">
        <f t="shared" si="9"/>
        <v>https://steelmanufacturer.in/market-area/electropolished-pipes-manufacturer-in-dhar/</v>
      </c>
      <c r="Z990" s="15" t="str">
        <f t="shared" si="10"/>
        <v>Electropolished Pipes Manufacturer in Dhar | EP Tube Supplier</v>
      </c>
      <c r="AA990" s="15" t="str">
        <f t="shared" si="11"/>
        <v>OK (61)</v>
      </c>
      <c r="AB990" s="15" t="str">
        <f t="shared" si="12"/>
        <v>Electropolished pipes in Dhar: 304, 304L, 316 and 316L in SF1-SF4. VERIFY. Mill certified.</v>
      </c>
      <c r="AC990" s="15" t="str">
        <f t="shared" si="13"/>
        <v>PENDING RESEARCH</v>
      </c>
      <c r="AD990" s="15" t="str">
        <f t="shared" si="14"/>
        <v>Electropolished Pipes Manufacturer in Dhar</v>
      </c>
      <c r="AE990" s="15" t="str">
        <f t="shared" si="15"/>
        <v>How We Manufacture Electropolished Tube for Dhar Plants</v>
      </c>
      <c r="AF990" s="15" t="str">
        <f t="shared" si="16"/>
        <v>Supplying Electropolished Pipes in Dhar: Availability, Sizes &amp; Dispatch</v>
      </c>
      <c r="AG990" s="15" t="str">
        <f t="shared" si="17"/>
        <v>Wholesale Electropolished Pipe Supply for Dhar Projects</v>
      </c>
      <c r="AH990" s="15" t="str">
        <f t="shared" si="18"/>
        <v>electropolished pipes manufacturer in Dhar, electropolished pipes supplier in Dhar, electropolished pipes wholesaler in Dhar, electropolished tube manufacturer Dhar, EP pipe supplier Dhar, sanitary tube supplier Dhar, ASME BPE tubing Dhar, ASTM A270 tube Dhar, SS 316L electropolished pipe Dhar</v>
      </c>
      <c r="AI990" s="15" t="str">
        <f t="shared" si="19"/>
        <v>Electropolished Pipes Manufacturer &amp; Supplier in Dhar</v>
      </c>
      <c r="AJ990" s="15" t="str">
        <f t="shared" si="20"/>
        <v>EP-finished SS 304/316L pipes and tubes for VERIFY plants in Dhar. ASME BPE SF1-SF4, Ra from 0.25 um, EN 10204 3.1 certificate with every lot.</v>
      </c>
      <c r="AK990" s="15" t="str">
        <f t="shared" si="21"/>
        <v>Electropolished stainless steel pipes supplied by Sakshi Forge to VERIFY plants at MPIDC Industrial Area, Dhar</v>
      </c>
      <c r="AL990" s="15" t="str">
        <f t="shared" si="22"/>
        <v>Electropolished SS 316L tube stock for Dhar - Sakshi Forge</v>
      </c>
      <c r="AM990" s="15" t="str">
        <f t="shared" si="23"/>
        <v>Home &gt; Market Area &gt; India &gt; Madhya Pradesh &gt; Dhar</v>
      </c>
      <c r="AN990" s="15">
        <f t="shared" si="24"/>
        <v>750</v>
      </c>
      <c r="AO990" s="15">
        <f t="shared" si="25"/>
        <v>6</v>
      </c>
      <c r="AP990" s="15">
        <f t="shared" si="26"/>
        <v>6</v>
      </c>
      <c r="AQ990" s="15">
        <f t="shared" si="27"/>
        <v>17</v>
      </c>
      <c r="AR990" s="31"/>
      <c r="AS990" s="31"/>
      <c r="AT990" s="35" t="s">
        <v>222</v>
      </c>
      <c r="AU990" s="35"/>
    </row>
    <row r="991" ht="15.75" customHeight="1">
      <c r="A991" s="15" t="s">
        <v>5205</v>
      </c>
      <c r="B991" s="15" t="s">
        <v>60</v>
      </c>
      <c r="C991" s="15" t="s">
        <v>264</v>
      </c>
      <c r="D991" s="15" t="s">
        <v>5206</v>
      </c>
      <c r="E991" s="15" t="s">
        <v>5206</v>
      </c>
      <c r="F991" s="58" t="s">
        <v>807</v>
      </c>
      <c r="G991" s="66" t="s">
        <v>98</v>
      </c>
      <c r="H991" s="18" t="s">
        <v>5208</v>
      </c>
      <c r="I991" s="18" t="s">
        <v>8395</v>
      </c>
      <c r="J991" s="18" t="s">
        <v>98</v>
      </c>
      <c r="K991" s="18" t="s">
        <v>98</v>
      </c>
      <c r="L991" s="18" t="s">
        <v>98</v>
      </c>
      <c r="M991" s="18" t="s">
        <v>98</v>
      </c>
      <c r="N991" s="18" t="s">
        <v>98</v>
      </c>
      <c r="O991" s="18" t="s">
        <v>98</v>
      </c>
      <c r="P991" s="15" t="str">
        <f t="shared" si="1"/>
        <v>VERIFY</v>
      </c>
      <c r="Q991" s="15">
        <f t="shared" si="2"/>
        <v>4</v>
      </c>
      <c r="R991" s="15">
        <f t="shared" si="3"/>
        <v>1</v>
      </c>
      <c r="S991" s="15">
        <f t="shared" si="4"/>
        <v>3</v>
      </c>
      <c r="T991" s="15" t="str">
        <f t="shared" si="5"/>
        <v>C-4</v>
      </c>
      <c r="U991" s="15" t="str">
        <f t="shared" si="6"/>
        <v>T4-M1-H3-FC-4-VERIFY</v>
      </c>
      <c r="V991" s="15">
        <f t="shared" si="7"/>
        <v>1</v>
      </c>
      <c r="W991" s="31"/>
      <c r="X991" s="15" t="str">
        <f t="shared" si="8"/>
        <v>dharmabad</v>
      </c>
      <c r="Y991" s="32" t="str">
        <f t="shared" si="9"/>
        <v>https://steelmanufacturer.in/market-area/electropolished-pipes-manufacturer-in-dharmabad/</v>
      </c>
      <c r="Z991" s="15" t="str">
        <f t="shared" si="10"/>
        <v>Electropolished Pipes Manufacturer in Dharmabad</v>
      </c>
      <c r="AA991" s="15" t="str">
        <f t="shared" si="11"/>
        <v>OK (47)</v>
      </c>
      <c r="AB991" s="15" t="str">
        <f t="shared" si="12"/>
        <v>EP-finished SS 304/316L pipes &amp; tubes for VERIFY plants in Dharmabad. ASTM A270, ASME BPE SF1-SF4, EN 10204 3.1 MTC. PMI tested.</v>
      </c>
      <c r="AC991" s="15" t="str">
        <f t="shared" si="13"/>
        <v>PENDING RESEARCH</v>
      </c>
      <c r="AD991" s="15" t="str">
        <f t="shared" si="14"/>
        <v>Electropolished Pipes Manufacturer in Dharmabad</v>
      </c>
      <c r="AE991" s="15" t="str">
        <f t="shared" si="15"/>
        <v>Electropolished Pipes Manufacturer in Dharmabad - Our Process &amp; Capability</v>
      </c>
      <c r="AF991" s="15" t="str">
        <f t="shared" si="16"/>
        <v>Electropolished Pipes Supplier in Dharmabad - What We Hold in Stock</v>
      </c>
      <c r="AG991" s="15" t="str">
        <f t="shared" si="17"/>
        <v>Bulk &amp; Wholesale Electropolished Pipe Rates for Dharmabad Buyers</v>
      </c>
      <c r="AH991" s="15" t="str">
        <f t="shared" si="18"/>
        <v>electropolished pipes manufacturer in Dharmabad, electropolished pipes supplier in Dharmabad, electropolished pipes wholesaler in Dharmabad, electropolished tube manufacturer Dharmabad, EP pipe supplier Dharmabad, sanitary tube supplier Dharmabad, ASME BPE tubing Dharmabad, ASTM A270 tube Dharmabad, SS 316L electropolished pipe Dharmabad</v>
      </c>
      <c r="AI991" s="15" t="str">
        <f t="shared" si="19"/>
        <v>Electropolished Pipes Manufacturer &amp; Supplier in Dharmabad</v>
      </c>
      <c r="AJ991" s="15" t="str">
        <f t="shared" si="20"/>
        <v>EP-finished SS 304/316L pipes and tubes for VERIFY plants in Dharmabad. ASME BPE SF1-SF4, Ra from 0.25 um, EN 10204 3.1 certificate with every lot.</v>
      </c>
      <c r="AK991" s="15" t="str">
        <f t="shared" si="21"/>
        <v>Electropolished stainless steel pipes supplied by Sakshi Forge to VERIFY plants at MIDC Industrial Area, Dharmabad</v>
      </c>
      <c r="AL991" s="15" t="str">
        <f t="shared" si="22"/>
        <v>Electropolished SS 316L tube stock for Dharmabad - Sakshi Forge</v>
      </c>
      <c r="AM991" s="15" t="str">
        <f t="shared" si="23"/>
        <v>Home &gt; Market Area &gt; India &gt; Maharashtra &gt; Dharmabad</v>
      </c>
      <c r="AN991" s="15">
        <f t="shared" si="24"/>
        <v>750</v>
      </c>
      <c r="AO991" s="15">
        <f t="shared" si="25"/>
        <v>6</v>
      </c>
      <c r="AP991" s="15">
        <f t="shared" si="26"/>
        <v>6</v>
      </c>
      <c r="AQ991" s="15">
        <f t="shared" si="27"/>
        <v>17</v>
      </c>
      <c r="AR991" s="31"/>
      <c r="AS991" s="31"/>
      <c r="AT991" s="35" t="s">
        <v>222</v>
      </c>
      <c r="AU991" s="35"/>
    </row>
    <row r="992" ht="15.75" customHeight="1">
      <c r="A992" s="15" t="s">
        <v>5209</v>
      </c>
      <c r="B992" s="15" t="s">
        <v>60</v>
      </c>
      <c r="C992" s="15" t="s">
        <v>1155</v>
      </c>
      <c r="D992" s="15" t="s">
        <v>5210</v>
      </c>
      <c r="E992" s="15" t="s">
        <v>5210</v>
      </c>
      <c r="F992" s="58" t="s">
        <v>807</v>
      </c>
      <c r="G992" s="66" t="s">
        <v>98</v>
      </c>
      <c r="H992" s="18" t="s">
        <v>5212</v>
      </c>
      <c r="I992" s="18" t="s">
        <v>8412</v>
      </c>
      <c r="J992" s="18" t="s">
        <v>98</v>
      </c>
      <c r="K992" s="18" t="s">
        <v>98</v>
      </c>
      <c r="L992" s="18" t="s">
        <v>98</v>
      </c>
      <c r="M992" s="18" t="s">
        <v>98</v>
      </c>
      <c r="N992" s="18" t="s">
        <v>98</v>
      </c>
      <c r="O992" s="18" t="s">
        <v>98</v>
      </c>
      <c r="P992" s="15" t="str">
        <f t="shared" si="1"/>
        <v>VERIFY</v>
      </c>
      <c r="Q992" s="15">
        <f t="shared" si="2"/>
        <v>5</v>
      </c>
      <c r="R992" s="15">
        <f t="shared" si="3"/>
        <v>2</v>
      </c>
      <c r="S992" s="15">
        <f t="shared" si="4"/>
        <v>4</v>
      </c>
      <c r="T992" s="15" t="str">
        <f t="shared" si="5"/>
        <v>C-5</v>
      </c>
      <c r="U992" s="15" t="str">
        <f t="shared" si="6"/>
        <v>T5-M2-H4-FC-5-VERIFY</v>
      </c>
      <c r="V992" s="15">
        <f t="shared" si="7"/>
        <v>1</v>
      </c>
      <c r="W992" s="31"/>
      <c r="X992" s="15" t="str">
        <f t="shared" si="8"/>
        <v>dhemaji</v>
      </c>
      <c r="Y992" s="32" t="str">
        <f t="shared" si="9"/>
        <v>https://steelmanufacturer.in/market-area/electropolished-pipes-manufacturer-in-dhemaji/</v>
      </c>
      <c r="Z992" s="15" t="str">
        <f t="shared" si="10"/>
        <v>Electropolished Pipes Manufacturer in Dhemaji</v>
      </c>
      <c r="AA992" s="15" t="str">
        <f t="shared" si="11"/>
        <v>OK (45)</v>
      </c>
      <c r="AB992" s="15" t="str">
        <f t="shared" si="12"/>
        <v>Electropolished tube supply to AIDC Industrial Area, Dhemaji. Ra from 0.25 um, SF4 finish, mill test certificate with every lot.</v>
      </c>
      <c r="AC992" s="15" t="str">
        <f t="shared" si="13"/>
        <v>PENDING RESEARCH</v>
      </c>
      <c r="AD992" s="15" t="str">
        <f t="shared" si="14"/>
        <v>Electropolished Pipes Manufacturer in Dhemaji</v>
      </c>
      <c r="AE992" s="15" t="str">
        <f t="shared" si="15"/>
        <v>Manufacturing Electropolished SS Tube for Dhemaji: The Standards We Build To</v>
      </c>
      <c r="AF992" s="15" t="str">
        <f t="shared" si="16"/>
        <v>Electropolished Pipe Supply Into Dhemaji - Certification &amp; Transit</v>
      </c>
      <c r="AG992" s="15" t="str">
        <f t="shared" si="17"/>
        <v>Electropolished Pipes Wholesaler in Dhemaji - Project Quantities &amp; Terms</v>
      </c>
      <c r="AH992" s="15" t="str">
        <f t="shared" si="18"/>
        <v>electropolished pipes manufacturer in Dhemaji, electropolished pipes supplier in Dhemaji, electropolished pipes wholesaler in Dhemaji, electropolished tube manufacturer Dhemaji, EP pipe supplier Dhemaji, sanitary tube supplier Dhemaji, ASME BPE tubing Dhemaji, ASTM A270 tube Dhemaji, SS 316L electropolished pipe Dhemaji</v>
      </c>
      <c r="AI992" s="15" t="str">
        <f t="shared" si="19"/>
        <v>Electropolished Pipes Manufacturer &amp; Supplier in Dhemaji</v>
      </c>
      <c r="AJ992" s="15" t="str">
        <f t="shared" si="20"/>
        <v>EP-finished SS 304/316L pipes and tubes for VERIFY plants in Dhemaji. ASME BPE SF1-SF4, Ra from 0.25 um, EN 10204 3.1 certificate with every lot.</v>
      </c>
      <c r="AK992" s="15" t="str">
        <f t="shared" si="21"/>
        <v>Electropolished stainless steel pipes supplied by Sakshi Forge to VERIFY plants at AIDC Industrial Area, Dhemaji</v>
      </c>
      <c r="AL992" s="15" t="str">
        <f t="shared" si="22"/>
        <v>Electropolished SS 316L tube stock for Dhemaji - Sakshi Forge</v>
      </c>
      <c r="AM992" s="15" t="str">
        <f t="shared" si="23"/>
        <v>Home &gt; Market Area &gt; India &gt; Assam &gt; Dhemaji</v>
      </c>
      <c r="AN992" s="15">
        <f t="shared" si="24"/>
        <v>750</v>
      </c>
      <c r="AO992" s="15">
        <f t="shared" si="25"/>
        <v>6</v>
      </c>
      <c r="AP992" s="15">
        <f t="shared" si="26"/>
        <v>6</v>
      </c>
      <c r="AQ992" s="15">
        <f t="shared" si="27"/>
        <v>17</v>
      </c>
      <c r="AR992" s="31"/>
      <c r="AS992" s="31"/>
      <c r="AT992" s="35" t="s">
        <v>222</v>
      </c>
      <c r="AU992" s="35"/>
    </row>
    <row r="993" ht="15.75" customHeight="1">
      <c r="A993" s="15" t="s">
        <v>5213</v>
      </c>
      <c r="B993" s="15" t="s">
        <v>60</v>
      </c>
      <c r="C993" s="15" t="s">
        <v>236</v>
      </c>
      <c r="D993" s="15" t="s">
        <v>5214</v>
      </c>
      <c r="E993" s="15" t="s">
        <v>5214</v>
      </c>
      <c r="F993" s="58" t="s">
        <v>807</v>
      </c>
      <c r="G993" s="66" t="s">
        <v>98</v>
      </c>
      <c r="H993" s="18" t="s">
        <v>5216</v>
      </c>
      <c r="I993" s="18" t="s">
        <v>8391</v>
      </c>
      <c r="J993" s="18" t="s">
        <v>98</v>
      </c>
      <c r="K993" s="18" t="s">
        <v>98</v>
      </c>
      <c r="L993" s="18" t="s">
        <v>98</v>
      </c>
      <c r="M993" s="18" t="s">
        <v>98</v>
      </c>
      <c r="N993" s="18" t="s">
        <v>98</v>
      </c>
      <c r="O993" s="18" t="s">
        <v>98</v>
      </c>
      <c r="P993" s="15" t="str">
        <f t="shared" si="1"/>
        <v>VERIFY</v>
      </c>
      <c r="Q993" s="15">
        <f t="shared" si="2"/>
        <v>6</v>
      </c>
      <c r="R993" s="15">
        <f t="shared" si="3"/>
        <v>3</v>
      </c>
      <c r="S993" s="15">
        <f t="shared" si="4"/>
        <v>5</v>
      </c>
      <c r="T993" s="15" t="str">
        <f t="shared" si="5"/>
        <v>C-6</v>
      </c>
      <c r="U993" s="15" t="str">
        <f t="shared" si="6"/>
        <v>T6-M3-H5-FC-6-VERIFY</v>
      </c>
      <c r="V993" s="15">
        <f t="shared" si="7"/>
        <v>1</v>
      </c>
      <c r="W993" s="31"/>
      <c r="X993" s="15" t="str">
        <f t="shared" si="8"/>
        <v>didwana</v>
      </c>
      <c r="Y993" s="32" t="str">
        <f t="shared" si="9"/>
        <v>https://steelmanufacturer.in/market-area/electropolished-pipes-manufacturer-in-didwana/</v>
      </c>
      <c r="Z993" s="15" t="str">
        <f t="shared" si="10"/>
        <v>Electropolished Pipes Manufacturer in Didwana</v>
      </c>
      <c r="AA993" s="15" t="str">
        <f t="shared" si="11"/>
        <v>OK (45)</v>
      </c>
      <c r="AB993" s="15" t="str">
        <f t="shared" si="12"/>
        <v>EP stainless tube for VERIFY lines in Didwana. VERIFY. ASTM A270 S2, PMI tested, EN 10204 3.1.</v>
      </c>
      <c r="AC993" s="15" t="str">
        <f t="shared" si="13"/>
        <v>PENDING RESEARCH</v>
      </c>
      <c r="AD993" s="15" t="str">
        <f t="shared" si="14"/>
        <v>Electropolished Pipes Manufacturer in Didwana</v>
      </c>
      <c r="AE993" s="15" t="str">
        <f t="shared" si="15"/>
        <v>Electropolished Tube Manufacturing Capability Serving Didwana</v>
      </c>
      <c r="AF993" s="15" t="str">
        <f t="shared" si="16"/>
        <v>Electropolished Pipes Supplier in Didwana - From Order to Delivery</v>
      </c>
      <c r="AG993" s="15" t="str">
        <f t="shared" si="17"/>
        <v>Stockist &amp; Wholesale Supply of Electropolished Pipes in Didwana</v>
      </c>
      <c r="AH993" s="15" t="str">
        <f t="shared" si="18"/>
        <v>electropolished pipes manufacturer in Didwana, electropolished pipes supplier in Didwana, electropolished pipes wholesaler in Didwana, electropolished tube manufacturer Didwana, EP pipe supplier Didwana, sanitary tube supplier Didwana, ASME BPE tubing Didwana, ASTM A270 tube Didwana, SS 316L electropolished pipe Didwana</v>
      </c>
      <c r="AI993" s="15" t="str">
        <f t="shared" si="19"/>
        <v>Electropolished Pipes Manufacturer &amp; Supplier in Didwana</v>
      </c>
      <c r="AJ993" s="15" t="str">
        <f t="shared" si="20"/>
        <v>EP-finished SS 304/316L pipes and tubes for VERIFY plants in Didwana. ASME BPE SF1-SF4, Ra from 0.25 um, EN 10204 3.1 certificate with every lot.</v>
      </c>
      <c r="AK993" s="15" t="str">
        <f t="shared" si="21"/>
        <v>Electropolished stainless steel pipes supplied by Sakshi Forge to VERIFY plants at RIICO Industrial Area, Didwana</v>
      </c>
      <c r="AL993" s="15" t="str">
        <f t="shared" si="22"/>
        <v>Electropolished SS 316L tube stock for Didwana - Sakshi Forge</v>
      </c>
      <c r="AM993" s="15" t="str">
        <f t="shared" si="23"/>
        <v>Home &gt; Market Area &gt; India &gt; Rajasthan &gt; Didwana</v>
      </c>
      <c r="AN993" s="15">
        <f t="shared" si="24"/>
        <v>750</v>
      </c>
      <c r="AO993" s="15">
        <f t="shared" si="25"/>
        <v>6</v>
      </c>
      <c r="AP993" s="15">
        <f t="shared" si="26"/>
        <v>6</v>
      </c>
      <c r="AQ993" s="15">
        <f t="shared" si="27"/>
        <v>17</v>
      </c>
      <c r="AR993" s="31"/>
      <c r="AS993" s="31"/>
      <c r="AT993" s="35" t="s">
        <v>222</v>
      </c>
      <c r="AU993" s="35"/>
    </row>
    <row r="994" ht="15.75" customHeight="1">
      <c r="A994" s="15" t="s">
        <v>5217</v>
      </c>
      <c r="B994" s="15" t="s">
        <v>60</v>
      </c>
      <c r="C994" s="15" t="s">
        <v>264</v>
      </c>
      <c r="D994" s="15" t="s">
        <v>5218</v>
      </c>
      <c r="E994" s="15" t="s">
        <v>9550</v>
      </c>
      <c r="F994" s="58" t="s">
        <v>807</v>
      </c>
      <c r="G994" s="66" t="s">
        <v>98</v>
      </c>
      <c r="H994" s="18" t="s">
        <v>5220</v>
      </c>
      <c r="I994" s="18" t="s">
        <v>8395</v>
      </c>
      <c r="J994" s="18" t="s">
        <v>98</v>
      </c>
      <c r="K994" s="18" t="s">
        <v>98</v>
      </c>
      <c r="L994" s="18" t="s">
        <v>98</v>
      </c>
      <c r="M994" s="18" t="s">
        <v>98</v>
      </c>
      <c r="N994" s="18" t="s">
        <v>98</v>
      </c>
      <c r="O994" s="18" t="s">
        <v>98</v>
      </c>
      <c r="P994" s="15" t="str">
        <f t="shared" si="1"/>
        <v>VERIFY</v>
      </c>
      <c r="Q994" s="15">
        <f t="shared" si="2"/>
        <v>7</v>
      </c>
      <c r="R994" s="15">
        <f t="shared" si="3"/>
        <v>4</v>
      </c>
      <c r="S994" s="15">
        <f t="shared" si="4"/>
        <v>1</v>
      </c>
      <c r="T994" s="15" t="str">
        <f t="shared" si="5"/>
        <v>C-1</v>
      </c>
      <c r="U994" s="15" t="str">
        <f t="shared" si="6"/>
        <v>T7-M4-H1-FC-1-VERIFY</v>
      </c>
      <c r="V994" s="15">
        <f t="shared" si="7"/>
        <v>1</v>
      </c>
      <c r="W994" s="31"/>
      <c r="X994" s="15" t="str">
        <f t="shared" si="8"/>
        <v>dindori</v>
      </c>
      <c r="Y994" s="32" t="str">
        <f t="shared" si="9"/>
        <v>https://steelmanufacturer.in/market-area/electropolished-pipes-manufacturer-in-dindori/</v>
      </c>
      <c r="Z994" s="15" t="str">
        <f t="shared" si="10"/>
        <v>Electropolished Pipes Manufacturer in Dindori, Maharashtra</v>
      </c>
      <c r="AA994" s="15" t="str">
        <f t="shared" si="11"/>
        <v>OK (58)</v>
      </c>
      <c r="AB994" s="15" t="str">
        <f t="shared" si="12"/>
        <v>Sanitary electropolished pipes in Dindori, Maharashtra for VERIFY plants. ASME BPE SF1-SF4, orbital-weld ready, 3.1 MTC. Mumbai-made.</v>
      </c>
      <c r="AC994" s="15" t="str">
        <f t="shared" si="13"/>
        <v>PENDING RESEARCH</v>
      </c>
      <c r="AD994" s="15" t="str">
        <f t="shared" si="14"/>
        <v>Electropolished Pipes Manufacturer in Dindori, Maharashtra</v>
      </c>
      <c r="AE994" s="15" t="str">
        <f t="shared" si="15"/>
        <v>Electropolished Pipe &amp; Tube Manufacturing for Dindori, Maharashtra - Grades, Finishes &amp; Certification</v>
      </c>
      <c r="AF994" s="15" t="str">
        <f t="shared" si="16"/>
        <v>Electropolished Pipes Supplier in Dindori, Maharashtra - Stock Sizes, Lead Time &amp; Delivery</v>
      </c>
      <c r="AG994" s="15" t="str">
        <f t="shared" si="17"/>
        <v>Electropolished Pipes Wholesaler &amp; Stockist in Dindori, Maharashtra - Bulk &amp; Project Pricing</v>
      </c>
      <c r="AH994" s="15" t="str">
        <f t="shared" si="18"/>
        <v>electropolished pipes manufacturer in Dindori, electropolished pipes supplier in Dindori, electropolished pipes wholesaler in Dindori, electropolished tube manufacturer Dindori, EP pipe supplier Dindori, sanitary tube supplier Dindori, ASME BPE tubing Dindori, ASTM A270 tube Dindori, SS 316L electropolished pipe Dindori</v>
      </c>
      <c r="AI994" s="15" t="str">
        <f t="shared" si="19"/>
        <v>Electropolished Pipes Manufacturer &amp; Supplier in Dindori, Maharashtra</v>
      </c>
      <c r="AJ994" s="15" t="str">
        <f t="shared" si="20"/>
        <v>EP-finished SS 304/316L pipes and tubes for VERIFY plants in Dindori, Maharashtra. ASME BPE SF1-SF4, Ra from 0.25 um, EN 10204 3.1 certificate with every lot.</v>
      </c>
      <c r="AK994" s="15" t="str">
        <f t="shared" si="21"/>
        <v>Electropolished stainless steel pipes supplied by Sakshi Forge to VERIFY plants at MIDC Industrial Area, Dindori, Maharashtra</v>
      </c>
      <c r="AL994" s="15" t="str">
        <f t="shared" si="22"/>
        <v>Electropolished SS 316L tube stock for Dindori, Maharashtra - Sakshi Forge</v>
      </c>
      <c r="AM994" s="15" t="str">
        <f t="shared" si="23"/>
        <v>Home &gt; Market Area &gt; India &gt; Maharashtra &gt; Dindori</v>
      </c>
      <c r="AN994" s="15">
        <f t="shared" si="24"/>
        <v>750</v>
      </c>
      <c r="AO994" s="15">
        <f t="shared" si="25"/>
        <v>6</v>
      </c>
      <c r="AP994" s="15">
        <f t="shared" si="26"/>
        <v>6</v>
      </c>
      <c r="AQ994" s="15">
        <f t="shared" si="27"/>
        <v>17</v>
      </c>
      <c r="AR994" s="31"/>
      <c r="AS994" s="31"/>
      <c r="AT994" s="35" t="s">
        <v>222</v>
      </c>
      <c r="AU994" s="35"/>
    </row>
    <row r="995" ht="15.75" customHeight="1">
      <c r="A995" s="15" t="s">
        <v>5223</v>
      </c>
      <c r="B995" s="15" t="s">
        <v>60</v>
      </c>
      <c r="C995" s="15" t="s">
        <v>842</v>
      </c>
      <c r="D995" s="15" t="s">
        <v>5218</v>
      </c>
      <c r="E995" s="15" t="s">
        <v>9551</v>
      </c>
      <c r="F995" s="58" t="s">
        <v>807</v>
      </c>
      <c r="G995" s="66" t="s">
        <v>98</v>
      </c>
      <c r="H995" s="18" t="s">
        <v>5229</v>
      </c>
      <c r="I995" s="18" t="s">
        <v>8413</v>
      </c>
      <c r="J995" s="18" t="s">
        <v>98</v>
      </c>
      <c r="K995" s="18" t="s">
        <v>98</v>
      </c>
      <c r="L995" s="18" t="s">
        <v>98</v>
      </c>
      <c r="M995" s="18" t="s">
        <v>98</v>
      </c>
      <c r="N995" s="18" t="s">
        <v>98</v>
      </c>
      <c r="O995" s="18" t="s">
        <v>98</v>
      </c>
      <c r="P995" s="15" t="str">
        <f t="shared" si="1"/>
        <v>VERIFY</v>
      </c>
      <c r="Q995" s="15">
        <f t="shared" si="2"/>
        <v>8</v>
      </c>
      <c r="R995" s="15">
        <f t="shared" si="3"/>
        <v>5</v>
      </c>
      <c r="S995" s="15">
        <f t="shared" si="4"/>
        <v>2</v>
      </c>
      <c r="T995" s="15" t="str">
        <f t="shared" si="5"/>
        <v>C-2</v>
      </c>
      <c r="U995" s="15" t="str">
        <f t="shared" si="6"/>
        <v>T8-M5-H2-FC-2-VERIFY</v>
      </c>
      <c r="V995" s="15">
        <f t="shared" si="7"/>
        <v>1</v>
      </c>
      <c r="W995" s="31" t="s">
        <v>9552</v>
      </c>
      <c r="X995" s="15" t="str">
        <f t="shared" si="8"/>
        <v>dindori-madhya-pradesh</v>
      </c>
      <c r="Y995" s="32" t="str">
        <f t="shared" si="9"/>
        <v>https://steelmanufacturer.in/market-area/electropolished-pipes-manufacturer-in-dindori-madhya-pradesh/</v>
      </c>
      <c r="Z995" s="15" t="str">
        <f t="shared" si="10"/>
        <v>Electropolished Pipes Manufacturer in Dindori, Madhya Pradesh</v>
      </c>
      <c r="AA995" s="15" t="str">
        <f t="shared" si="11"/>
        <v>OK (61)</v>
      </c>
      <c r="AB995" s="15" t="str">
        <f t="shared" si="12"/>
        <v>Manufacturer of electropolished SS 316L tube serving Dindori, Madhya Pradesh. VERIFY. Ra 0.25-0.5 um, EN 10204 3.1 MTC.</v>
      </c>
      <c r="AC995" s="15" t="str">
        <f t="shared" si="13"/>
        <v>PENDING RESEARCH</v>
      </c>
      <c r="AD995" s="15" t="str">
        <f t="shared" si="14"/>
        <v>Electropolished Pipes Manufacturer in Dindori, Madhya Pradesh</v>
      </c>
      <c r="AE995" s="15" t="str">
        <f t="shared" si="15"/>
        <v>How We Manufacture Electropolished Tube for Dindori, Madhya Pradesh Plants</v>
      </c>
      <c r="AF995" s="15" t="str">
        <f t="shared" si="16"/>
        <v>Supplying Electropolished Pipes in Dindori, Madhya Pradesh: Availability, Sizes &amp; Dispatch</v>
      </c>
      <c r="AG995" s="15" t="str">
        <f t="shared" si="17"/>
        <v>Wholesale Electropolished Pipe Supply for Dindori, Madhya Pradesh Projects</v>
      </c>
      <c r="AH995" s="15" t="str">
        <f t="shared" si="18"/>
        <v>electropolished pipes manufacturer in Dindori, electropolished pipes supplier in Dindori, electropolished pipes wholesaler in Dindori, electropolished tube manufacturer Dindori, EP pipe supplier Dindori, sanitary tube supplier Dindori, ASME BPE tubing Dindori, ASTM A270 tube Dindori, SS 316L electropolished pipe Dindori</v>
      </c>
      <c r="AI995" s="15" t="str">
        <f t="shared" si="19"/>
        <v>Electropolished Pipes Manufacturer &amp; Supplier in Dindori, Madhya Pradesh</v>
      </c>
      <c r="AJ995" s="15" t="str">
        <f t="shared" si="20"/>
        <v>EP-finished SS 304/316L pipes and tubes for VERIFY plants in Dindori, Madhya Pradesh. ASME BPE SF1-SF4, Ra from 0.25 um, EN 10204 3.1 certificate with every lot.</v>
      </c>
      <c r="AK995" s="15" t="str">
        <f t="shared" si="21"/>
        <v>Electropolished stainless steel pipes supplied by Sakshi Forge to VERIFY plants at MPIDC Industrial Area, Dindori, Madhya Pradesh</v>
      </c>
      <c r="AL995" s="15" t="str">
        <f t="shared" si="22"/>
        <v>Electropolished SS 316L tube stock for Dindori, Madhya Pradesh - Sakshi Forge</v>
      </c>
      <c r="AM995" s="15" t="str">
        <f t="shared" si="23"/>
        <v>Home &gt; Market Area &gt; India &gt; Madhya Pradesh &gt; Dindori</v>
      </c>
      <c r="AN995" s="15">
        <f t="shared" si="24"/>
        <v>750</v>
      </c>
      <c r="AO995" s="15">
        <f t="shared" si="25"/>
        <v>6</v>
      </c>
      <c r="AP995" s="15">
        <f t="shared" si="26"/>
        <v>6</v>
      </c>
      <c r="AQ995" s="15">
        <f t="shared" si="27"/>
        <v>17</v>
      </c>
      <c r="AR995" s="31"/>
      <c r="AS995" s="31"/>
      <c r="AT995" s="35" t="s">
        <v>222</v>
      </c>
      <c r="AU995" s="35"/>
    </row>
    <row r="996" ht="15.75" customHeight="1">
      <c r="A996" s="15" t="s">
        <v>5230</v>
      </c>
      <c r="B996" s="15" t="s">
        <v>60</v>
      </c>
      <c r="C996" s="15" t="s">
        <v>1155</v>
      </c>
      <c r="D996" s="15" t="s">
        <v>5231</v>
      </c>
      <c r="E996" s="15" t="s">
        <v>5231</v>
      </c>
      <c r="F996" s="58" t="s">
        <v>807</v>
      </c>
      <c r="G996" s="66" t="s">
        <v>98</v>
      </c>
      <c r="H996" s="18" t="s">
        <v>5233</v>
      </c>
      <c r="I996" s="18" t="s">
        <v>8412</v>
      </c>
      <c r="J996" s="18" t="s">
        <v>98</v>
      </c>
      <c r="K996" s="18" t="s">
        <v>98</v>
      </c>
      <c r="L996" s="18" t="s">
        <v>98</v>
      </c>
      <c r="M996" s="18" t="s">
        <v>98</v>
      </c>
      <c r="N996" s="18" t="s">
        <v>98</v>
      </c>
      <c r="O996" s="18" t="s">
        <v>98</v>
      </c>
      <c r="P996" s="15" t="str">
        <f t="shared" si="1"/>
        <v>VERIFY</v>
      </c>
      <c r="Q996" s="15">
        <f t="shared" si="2"/>
        <v>1</v>
      </c>
      <c r="R996" s="15">
        <f t="shared" si="3"/>
        <v>6</v>
      </c>
      <c r="S996" s="15">
        <f t="shared" si="4"/>
        <v>3</v>
      </c>
      <c r="T996" s="15" t="str">
        <f t="shared" si="5"/>
        <v>C-3</v>
      </c>
      <c r="U996" s="15" t="str">
        <f t="shared" si="6"/>
        <v>T1-M6-H3-FC-3-VERIFY</v>
      </c>
      <c r="V996" s="15">
        <f t="shared" si="7"/>
        <v>0</v>
      </c>
      <c r="W996" s="31"/>
      <c r="X996" s="15" t="str">
        <f t="shared" si="8"/>
        <v>diphu</v>
      </c>
      <c r="Y996" s="32" t="str">
        <f t="shared" si="9"/>
        <v>https://steelmanufacturer.in/market-area/electropolished-pipes-manufacturer-in-diphu/</v>
      </c>
      <c r="Z996" s="15" t="str">
        <f t="shared" si="10"/>
        <v>Electropolished Pipes Manufacturer in Diphu | Sakshi Forge</v>
      </c>
      <c r="AA996" s="15" t="str">
        <f t="shared" si="11"/>
        <v>OK (58)</v>
      </c>
      <c r="AB996" s="15" t="str">
        <f t="shared" si="12"/>
        <v>EP tube and pipe for VERIFY plants around AIDC Industrial Area, Diphu. Made at our Mumbai works to ASTM A270 and ASME BPE SF1-SF4, with 3.1 MTC.</v>
      </c>
      <c r="AC996" s="15" t="str">
        <f t="shared" si="13"/>
        <v>PENDING RESEARCH</v>
      </c>
      <c r="AD996" s="15" t="str">
        <f t="shared" si="14"/>
        <v>Electropolished Pipes Manufacturer in Diphu</v>
      </c>
      <c r="AE996" s="15" t="str">
        <f t="shared" si="15"/>
        <v>Electropolished Pipes Manufacturer in Diphu - Our Process &amp; Capability</v>
      </c>
      <c r="AF996" s="15" t="str">
        <f t="shared" si="16"/>
        <v>Electropolished Pipes Supplier in Diphu - What We Hold in Stock</v>
      </c>
      <c r="AG996" s="15" t="str">
        <f t="shared" si="17"/>
        <v>Bulk &amp; Wholesale Electropolished Pipe Rates for Diphu Buyers</v>
      </c>
      <c r="AH996" s="15" t="str">
        <f t="shared" si="18"/>
        <v>electropolished pipes manufacturer in Diphu, electropolished pipes supplier in Diphu, electropolished pipes wholesaler in Diphu, electropolished tube manufacturer Diphu, EP pipe supplier Diphu, sanitary tube supplier Diphu, ASME BPE tubing Diphu, ASTM A270 tube Diphu, SS 316L electropolished pipe Diphu</v>
      </c>
      <c r="AI996" s="15" t="str">
        <f t="shared" si="19"/>
        <v>Electropolished Pipes Manufacturer &amp; Supplier in Diphu</v>
      </c>
      <c r="AJ996" s="15" t="str">
        <f t="shared" si="20"/>
        <v>EP-finished SS 304/316L pipes and tubes for VERIFY plants in Diphu. ASME BPE SF1-SF4, Ra from 0.25 um, EN 10204 3.1 certificate with every lot.</v>
      </c>
      <c r="AK996" s="15" t="str">
        <f t="shared" si="21"/>
        <v>Electropolished stainless steel pipes supplied by Sakshi Forge to VERIFY plants at AIDC Industrial Area, Diphu</v>
      </c>
      <c r="AL996" s="15" t="str">
        <f t="shared" si="22"/>
        <v>Electropolished SS 316L tube stock for Diphu - Sakshi Forge</v>
      </c>
      <c r="AM996" s="15" t="str">
        <f t="shared" si="23"/>
        <v>Home &gt; Market Area &gt; India &gt; Assam &gt; Diphu</v>
      </c>
      <c r="AN996" s="15">
        <f t="shared" si="24"/>
        <v>750</v>
      </c>
      <c r="AO996" s="15">
        <f t="shared" si="25"/>
        <v>6</v>
      </c>
      <c r="AP996" s="15">
        <f t="shared" si="26"/>
        <v>6</v>
      </c>
      <c r="AQ996" s="15">
        <f t="shared" si="27"/>
        <v>17</v>
      </c>
      <c r="AR996" s="31"/>
      <c r="AS996" s="31"/>
      <c r="AT996" s="35" t="s">
        <v>222</v>
      </c>
      <c r="AU996" s="35"/>
    </row>
    <row r="997" ht="15.75" customHeight="1">
      <c r="A997" s="15" t="s">
        <v>5234</v>
      </c>
      <c r="B997" s="15" t="s">
        <v>60</v>
      </c>
      <c r="C997" s="15" t="s">
        <v>570</v>
      </c>
      <c r="D997" s="15" t="s">
        <v>5235</v>
      </c>
      <c r="E997" s="15" t="s">
        <v>5235</v>
      </c>
      <c r="F997" s="58" t="s">
        <v>807</v>
      </c>
      <c r="G997" s="66" t="s">
        <v>98</v>
      </c>
      <c r="H997" s="18" t="s">
        <v>5237</v>
      </c>
      <c r="I997" s="18" t="s">
        <v>8405</v>
      </c>
      <c r="J997" s="18" t="s">
        <v>98</v>
      </c>
      <c r="K997" s="18" t="s">
        <v>98</v>
      </c>
      <c r="L997" s="18" t="s">
        <v>98</v>
      </c>
      <c r="M997" s="18" t="s">
        <v>98</v>
      </c>
      <c r="N997" s="18" t="s">
        <v>98</v>
      </c>
      <c r="O997" s="18" t="s">
        <v>98</v>
      </c>
      <c r="P997" s="15" t="str">
        <f t="shared" si="1"/>
        <v>VERIFY</v>
      </c>
      <c r="Q997" s="15">
        <f t="shared" si="2"/>
        <v>2</v>
      </c>
      <c r="R997" s="15">
        <f t="shared" si="3"/>
        <v>7</v>
      </c>
      <c r="S997" s="15">
        <f t="shared" si="4"/>
        <v>4</v>
      </c>
      <c r="T997" s="15" t="str">
        <f t="shared" si="5"/>
        <v>C-4</v>
      </c>
      <c r="U997" s="15" t="str">
        <f t="shared" si="6"/>
        <v>T2-M7-H4-FC-4-VERIFY</v>
      </c>
      <c r="V997" s="15">
        <f t="shared" si="7"/>
        <v>0</v>
      </c>
      <c r="W997" s="31"/>
      <c r="X997" s="15" t="str">
        <f t="shared" si="8"/>
        <v>doddaballapur</v>
      </c>
      <c r="Y997" s="32" t="str">
        <f t="shared" si="9"/>
        <v>https://steelmanufacturer.in/market-area/electropolished-pipes-manufacturer-in-doddaballapur/</v>
      </c>
      <c r="Z997" s="15" t="str">
        <f t="shared" si="10"/>
        <v>Electropolished Pipes Manufacturer in Doddaballapur</v>
      </c>
      <c r="AA997" s="15" t="str">
        <f t="shared" si="11"/>
        <v>OK (51)</v>
      </c>
      <c r="AB997" s="15" t="str">
        <f t="shared" si="12"/>
        <v>Electropolished pipes in Doddaballapur: 304, 304L, 316 and 316L in SF1-SF4. VERIFY. Mill certified.</v>
      </c>
      <c r="AC997" s="15" t="str">
        <f t="shared" si="13"/>
        <v>PENDING RESEARCH</v>
      </c>
      <c r="AD997" s="15" t="str">
        <f t="shared" si="14"/>
        <v>Electropolished Pipes Manufacturer in Doddaballapur</v>
      </c>
      <c r="AE997" s="15" t="str">
        <f t="shared" si="15"/>
        <v>Manufacturing Electropolished SS Tube for Doddaballapur: The Standards We Build To</v>
      </c>
      <c r="AF997" s="15" t="str">
        <f t="shared" si="16"/>
        <v>Electropolished Pipe Supply Into Doddaballapur - Certification &amp; Transit</v>
      </c>
      <c r="AG997" s="15" t="str">
        <f t="shared" si="17"/>
        <v>Electropolished Pipes Wholesaler in Doddaballapur - Project Quantities &amp; Terms</v>
      </c>
      <c r="AH997" s="15" t="str">
        <f t="shared" si="18"/>
        <v>electropolished pipes manufacturer in Doddaballapur, electropolished pipes supplier in Doddaballapur, electropolished pipes wholesaler in Doddaballapur, electropolished tube manufacturer Doddaballapur, EP pipe supplier Doddaballapur, sanitary tube supplier Doddaballapur, ASME BPE tubing Doddaballapur, ASTM A270 tube Doddaballapur, SS 316L electropolished pipe Doddaballapur</v>
      </c>
      <c r="AI997" s="15" t="str">
        <f t="shared" si="19"/>
        <v>Electropolished Pipes Manufacturer &amp; Supplier in Doddaballapur</v>
      </c>
      <c r="AJ997" s="15" t="str">
        <f t="shared" si="20"/>
        <v>EP-finished SS 304/316L pipes and tubes for VERIFY plants in Doddaballapur. ASME BPE SF1-SF4, Ra from 0.25 um, EN 10204 3.1 certificate with every lot.</v>
      </c>
      <c r="AK997" s="15" t="str">
        <f t="shared" si="21"/>
        <v>Electropolished stainless steel pipes supplied by Sakshi Forge to VERIFY plants at KIADB Industrial Area, Doddaballapur</v>
      </c>
      <c r="AL997" s="15" t="str">
        <f t="shared" si="22"/>
        <v>Electropolished SS 316L tube stock for Doddaballapur - Sakshi Forge</v>
      </c>
      <c r="AM997" s="15" t="str">
        <f t="shared" si="23"/>
        <v>Home &gt; Market Area &gt; India &gt; Karnataka &gt; Doddaballapur</v>
      </c>
      <c r="AN997" s="15">
        <f t="shared" si="24"/>
        <v>750</v>
      </c>
      <c r="AO997" s="15">
        <f t="shared" si="25"/>
        <v>6</v>
      </c>
      <c r="AP997" s="15">
        <f t="shared" si="26"/>
        <v>6</v>
      </c>
      <c r="AQ997" s="15">
        <f t="shared" si="27"/>
        <v>17</v>
      </c>
      <c r="AR997" s="31"/>
      <c r="AS997" s="31"/>
      <c r="AT997" s="35" t="s">
        <v>222</v>
      </c>
      <c r="AU997" s="35"/>
    </row>
    <row r="998" ht="15.75" customHeight="1">
      <c r="A998" s="15" t="s">
        <v>5238</v>
      </c>
      <c r="B998" s="15" t="s">
        <v>60</v>
      </c>
      <c r="C998" s="15" t="s">
        <v>1139</v>
      </c>
      <c r="D998" s="15" t="s">
        <v>5239</v>
      </c>
      <c r="E998" s="15" t="s">
        <v>5239</v>
      </c>
      <c r="F998" s="58" t="s">
        <v>807</v>
      </c>
      <c r="G998" s="66" t="s">
        <v>98</v>
      </c>
      <c r="H998" s="18" t="s">
        <v>5241</v>
      </c>
      <c r="I998" s="18" t="s">
        <v>8410</v>
      </c>
      <c r="J998" s="18" t="s">
        <v>98</v>
      </c>
      <c r="K998" s="18" t="s">
        <v>98</v>
      </c>
      <c r="L998" s="18" t="s">
        <v>98</v>
      </c>
      <c r="M998" s="18" t="s">
        <v>98</v>
      </c>
      <c r="N998" s="18" t="s">
        <v>98</v>
      </c>
      <c r="O998" s="18" t="s">
        <v>98</v>
      </c>
      <c r="P998" s="15" t="str">
        <f t="shared" si="1"/>
        <v>VERIFY</v>
      </c>
      <c r="Q998" s="15">
        <f t="shared" si="2"/>
        <v>3</v>
      </c>
      <c r="R998" s="15">
        <f t="shared" si="3"/>
        <v>1</v>
      </c>
      <c r="S998" s="15">
        <f t="shared" si="4"/>
        <v>5</v>
      </c>
      <c r="T998" s="15" t="str">
        <f t="shared" si="5"/>
        <v>C-5</v>
      </c>
      <c r="U998" s="15" t="str">
        <f t="shared" si="6"/>
        <v>T3-M1-H5-FC-5-VERIFY</v>
      </c>
      <c r="V998" s="15">
        <f t="shared" si="7"/>
        <v>0</v>
      </c>
      <c r="W998" s="31"/>
      <c r="X998" s="15" t="str">
        <f t="shared" si="8"/>
        <v>doiwala</v>
      </c>
      <c r="Y998" s="32" t="str">
        <f t="shared" si="9"/>
        <v>https://steelmanufacturer.in/market-area/electropolished-pipes-manufacturer-in-doiwala/</v>
      </c>
      <c r="Z998" s="15" t="str">
        <f t="shared" si="10"/>
        <v>Electropolished Pipes Manufacturer in Doiwala | EP Tube Supplier</v>
      </c>
      <c r="AA998" s="15" t="str">
        <f t="shared" si="11"/>
        <v>OK (64)</v>
      </c>
      <c r="AB998" s="15" t="str">
        <f t="shared" si="12"/>
        <v>EP-finished SS 304/316L pipes &amp; tubes for VERIFY plants in Doiwala. ASTM A270, ASME BPE SF1-SF4, EN 10204 3.1 MTC. PMI tested.</v>
      </c>
      <c r="AC998" s="15" t="str">
        <f t="shared" si="13"/>
        <v>PENDING RESEARCH</v>
      </c>
      <c r="AD998" s="15" t="str">
        <f t="shared" si="14"/>
        <v>Electropolished Pipes Manufacturer in Doiwala</v>
      </c>
      <c r="AE998" s="15" t="str">
        <f t="shared" si="15"/>
        <v>Electropolished Tube Manufacturing Capability Serving Doiwala</v>
      </c>
      <c r="AF998" s="15" t="str">
        <f t="shared" si="16"/>
        <v>Electropolished Pipes Supplier in Doiwala - From Order to Delivery</v>
      </c>
      <c r="AG998" s="15" t="str">
        <f t="shared" si="17"/>
        <v>Stockist &amp; Wholesale Supply of Electropolished Pipes in Doiwala</v>
      </c>
      <c r="AH998" s="15" t="str">
        <f t="shared" si="18"/>
        <v>electropolished pipes manufacturer in Doiwala, electropolished pipes supplier in Doiwala, electropolished pipes wholesaler in Doiwala, electropolished tube manufacturer Doiwala, EP pipe supplier Doiwala, sanitary tube supplier Doiwala, ASME BPE tubing Doiwala, ASTM A270 tube Doiwala, SS 316L electropolished pipe Doiwala</v>
      </c>
      <c r="AI998" s="15" t="str">
        <f t="shared" si="19"/>
        <v>Electropolished Pipes Manufacturer &amp; Supplier in Doiwala</v>
      </c>
      <c r="AJ998" s="15" t="str">
        <f t="shared" si="20"/>
        <v>EP-finished SS 304/316L pipes and tubes for VERIFY plants in Doiwala. ASME BPE SF1-SF4, Ra from 0.25 um, EN 10204 3.1 certificate with every lot.</v>
      </c>
      <c r="AK998" s="15" t="str">
        <f t="shared" si="21"/>
        <v>Electropolished stainless steel pipes supplied by Sakshi Forge to VERIFY plants at SIIDCUL Industrial Area, Doiwala</v>
      </c>
      <c r="AL998" s="15" t="str">
        <f t="shared" si="22"/>
        <v>Electropolished SS 316L tube stock for Doiwala - Sakshi Forge</v>
      </c>
      <c r="AM998" s="15" t="str">
        <f t="shared" si="23"/>
        <v>Home &gt; Market Area &gt; India &gt; Uttarakhand &gt; Doiwala</v>
      </c>
      <c r="AN998" s="15">
        <f t="shared" si="24"/>
        <v>750</v>
      </c>
      <c r="AO998" s="15">
        <f t="shared" si="25"/>
        <v>6</v>
      </c>
      <c r="AP998" s="15">
        <f t="shared" si="26"/>
        <v>6</v>
      </c>
      <c r="AQ998" s="15">
        <f t="shared" si="27"/>
        <v>17</v>
      </c>
      <c r="AR998" s="31"/>
      <c r="AS998" s="31"/>
      <c r="AT998" s="35" t="s">
        <v>222</v>
      </c>
      <c r="AU998" s="35"/>
    </row>
    <row r="999" ht="15.75" customHeight="1">
      <c r="A999" s="15" t="s">
        <v>5242</v>
      </c>
      <c r="B999" s="15" t="s">
        <v>60</v>
      </c>
      <c r="C999" s="15" t="s">
        <v>224</v>
      </c>
      <c r="D999" s="15" t="s">
        <v>5243</v>
      </c>
      <c r="E999" s="15" t="s">
        <v>5243</v>
      </c>
      <c r="F999" s="58" t="s">
        <v>807</v>
      </c>
      <c r="G999" s="66" t="s">
        <v>98</v>
      </c>
      <c r="H999" s="18" t="s">
        <v>5245</v>
      </c>
      <c r="I999" s="18" t="s">
        <v>8400</v>
      </c>
      <c r="J999" s="18" t="s">
        <v>98</v>
      </c>
      <c r="K999" s="18" t="s">
        <v>98</v>
      </c>
      <c r="L999" s="18" t="s">
        <v>98</v>
      </c>
      <c r="M999" s="18" t="s">
        <v>98</v>
      </c>
      <c r="N999" s="18" t="s">
        <v>98</v>
      </c>
      <c r="O999" s="18" t="s">
        <v>98</v>
      </c>
      <c r="P999" s="15" t="str">
        <f t="shared" si="1"/>
        <v>VERIFY</v>
      </c>
      <c r="Q999" s="15">
        <f t="shared" si="2"/>
        <v>4</v>
      </c>
      <c r="R999" s="15">
        <f t="shared" si="3"/>
        <v>2</v>
      </c>
      <c r="S999" s="15">
        <f t="shared" si="4"/>
        <v>1</v>
      </c>
      <c r="T999" s="15" t="str">
        <f t="shared" si="5"/>
        <v>C-6</v>
      </c>
      <c r="U999" s="15" t="str">
        <f t="shared" si="6"/>
        <v>T4-M2-H1-FC-6-VERIFY</v>
      </c>
      <c r="V999" s="15">
        <f t="shared" si="7"/>
        <v>0</v>
      </c>
      <c r="W999" s="31"/>
      <c r="X999" s="15" t="str">
        <f t="shared" si="8"/>
        <v>dolvan</v>
      </c>
      <c r="Y999" s="32" t="str">
        <f t="shared" si="9"/>
        <v>https://steelmanufacturer.in/market-area/electropolished-pipes-manufacturer-in-dolvan/</v>
      </c>
      <c r="Z999" s="15" t="str">
        <f t="shared" si="10"/>
        <v>Electropolished Pipes Manufacturer in Dolvan</v>
      </c>
      <c r="AA999" s="15" t="str">
        <f t="shared" si="11"/>
        <v>OK (44)</v>
      </c>
      <c r="AB999" s="15" t="str">
        <f t="shared" si="12"/>
        <v>Electropolished tube supply to GIDC Industrial Area, Dolvan. Ra from 0.25 um, SF4 finish, mill test certificate with every lot.</v>
      </c>
      <c r="AC999" s="15" t="str">
        <f t="shared" si="13"/>
        <v>PENDING RESEARCH</v>
      </c>
      <c r="AD999" s="15" t="str">
        <f t="shared" si="14"/>
        <v>Electropolished Pipes Manufacturer in Dolvan</v>
      </c>
      <c r="AE999" s="15" t="str">
        <f t="shared" si="15"/>
        <v>Electropolished Pipe &amp; Tube Manufacturing for Dolvan - Grades, Finishes &amp; Certification</v>
      </c>
      <c r="AF999" s="15" t="str">
        <f t="shared" si="16"/>
        <v>Electropolished Pipes Supplier in Dolvan - Stock Sizes, Lead Time &amp; Delivery</v>
      </c>
      <c r="AG999" s="15" t="str">
        <f t="shared" si="17"/>
        <v>Electropolished Pipes Wholesaler &amp; Stockist in Dolvan - Bulk &amp; Project Pricing</v>
      </c>
      <c r="AH999" s="15" t="str">
        <f t="shared" si="18"/>
        <v>electropolished pipes manufacturer in Dolvan, electropolished pipes supplier in Dolvan, electropolished pipes wholesaler in Dolvan, electropolished tube manufacturer Dolvan, EP pipe supplier Dolvan, sanitary tube supplier Dolvan, ASME BPE tubing Dolvan, ASTM A270 tube Dolvan, SS 316L electropolished pipe Dolvan</v>
      </c>
      <c r="AI999" s="15" t="str">
        <f t="shared" si="19"/>
        <v>Electropolished Pipes Manufacturer &amp; Supplier in Dolvan</v>
      </c>
      <c r="AJ999" s="15" t="str">
        <f t="shared" si="20"/>
        <v>EP-finished SS 304/316L pipes and tubes for VERIFY plants in Dolvan. ASME BPE SF1-SF4, Ra from 0.25 um, EN 10204 3.1 certificate with every lot.</v>
      </c>
      <c r="AK999" s="15" t="str">
        <f t="shared" si="21"/>
        <v>Electropolished stainless steel pipes supplied by Sakshi Forge to VERIFY plants at GIDC Industrial Area, Dolvan</v>
      </c>
      <c r="AL999" s="15" t="str">
        <f t="shared" si="22"/>
        <v>Electropolished SS 316L tube stock for Dolvan - Sakshi Forge</v>
      </c>
      <c r="AM999" s="15" t="str">
        <f t="shared" si="23"/>
        <v>Home &gt; Market Area &gt; India &gt; Gujarat &gt; Dolvan</v>
      </c>
      <c r="AN999" s="15">
        <f t="shared" si="24"/>
        <v>750</v>
      </c>
      <c r="AO999" s="15">
        <f t="shared" si="25"/>
        <v>6</v>
      </c>
      <c r="AP999" s="15">
        <f t="shared" si="26"/>
        <v>6</v>
      </c>
      <c r="AQ999" s="15">
        <f t="shared" si="27"/>
        <v>17</v>
      </c>
      <c r="AR999" s="31"/>
      <c r="AS999" s="31"/>
      <c r="AT999" s="35" t="s">
        <v>222</v>
      </c>
      <c r="AU999" s="35"/>
    </row>
    <row r="1000" ht="15.75" customHeight="1">
      <c r="A1000" s="15" t="s">
        <v>5246</v>
      </c>
      <c r="B1000" s="15" t="s">
        <v>60</v>
      </c>
      <c r="C1000" s="15" t="s">
        <v>354</v>
      </c>
      <c r="D1000" s="15" t="s">
        <v>5247</v>
      </c>
      <c r="E1000" s="15" t="s">
        <v>5247</v>
      </c>
      <c r="F1000" s="58" t="s">
        <v>807</v>
      </c>
      <c r="G1000" s="66" t="s">
        <v>98</v>
      </c>
      <c r="H1000" s="18" t="s">
        <v>5249</v>
      </c>
      <c r="I1000" s="18" t="s">
        <v>8408</v>
      </c>
      <c r="J1000" s="18" t="s">
        <v>98</v>
      </c>
      <c r="K1000" s="18" t="s">
        <v>98</v>
      </c>
      <c r="L1000" s="18" t="s">
        <v>98</v>
      </c>
      <c r="M1000" s="18" t="s">
        <v>98</v>
      </c>
      <c r="N1000" s="18" t="s">
        <v>98</v>
      </c>
      <c r="O1000" s="18" t="s">
        <v>98</v>
      </c>
      <c r="P1000" s="15" t="str">
        <f t="shared" si="1"/>
        <v>VERIFY</v>
      </c>
      <c r="Q1000" s="15">
        <f t="shared" si="2"/>
        <v>5</v>
      </c>
      <c r="R1000" s="15">
        <f t="shared" si="3"/>
        <v>3</v>
      </c>
      <c r="S1000" s="15">
        <f t="shared" si="4"/>
        <v>2</v>
      </c>
      <c r="T1000" s="15" t="str">
        <f t="shared" si="5"/>
        <v>C-1</v>
      </c>
      <c r="U1000" s="15" t="str">
        <f t="shared" si="6"/>
        <v>T5-M3-H2-FC-1-VERIFY</v>
      </c>
      <c r="V1000" s="15">
        <f t="shared" si="7"/>
        <v>0</v>
      </c>
      <c r="W1000" s="31"/>
      <c r="X1000" s="15" t="str">
        <f t="shared" si="8"/>
        <v>doraha</v>
      </c>
      <c r="Y1000" s="32" t="str">
        <f t="shared" si="9"/>
        <v>https://steelmanufacturer.in/market-area/electropolished-pipes-manufacturer-in-doraha/</v>
      </c>
      <c r="Z1000" s="15" t="str">
        <f t="shared" si="10"/>
        <v>Electropolished Pipes Manufacturer in Doraha</v>
      </c>
      <c r="AA1000" s="15" t="str">
        <f t="shared" si="11"/>
        <v>OK (44)</v>
      </c>
      <c r="AB1000" s="15" t="str">
        <f t="shared" si="12"/>
        <v>EP stainless tube for VERIFY lines in Doraha. VERIFY. ASTM A270 S2, PMI tested, EN 10204 3.1.</v>
      </c>
      <c r="AC1000" s="15" t="str">
        <f t="shared" si="13"/>
        <v>PENDING RESEARCH</v>
      </c>
      <c r="AD1000" s="15" t="str">
        <f t="shared" si="14"/>
        <v>Electropolished Pipes Manufacturer in Doraha</v>
      </c>
      <c r="AE1000" s="15" t="str">
        <f t="shared" si="15"/>
        <v>How We Manufacture Electropolished Tube for Doraha Plants</v>
      </c>
      <c r="AF1000" s="15" t="str">
        <f t="shared" si="16"/>
        <v>Supplying Electropolished Pipes in Doraha: Availability, Sizes &amp; Dispatch</v>
      </c>
      <c r="AG1000" s="15" t="str">
        <f t="shared" si="17"/>
        <v>Wholesale Electropolished Pipe Supply for Doraha Projects</v>
      </c>
      <c r="AH1000" s="15" t="str">
        <f t="shared" si="18"/>
        <v>electropolished pipes manufacturer in Doraha, electropolished pipes supplier in Doraha, electropolished pipes wholesaler in Doraha, electropolished tube manufacturer Doraha, EP pipe supplier Doraha, sanitary tube supplier Doraha, ASME BPE tubing Doraha, ASTM A270 tube Doraha, SS 316L electropolished pipe Doraha</v>
      </c>
      <c r="AI1000" s="15" t="str">
        <f t="shared" si="19"/>
        <v>Electropolished Pipes Manufacturer &amp; Supplier in Doraha</v>
      </c>
      <c r="AJ1000" s="15" t="str">
        <f t="shared" si="20"/>
        <v>EP-finished SS 304/316L pipes and tubes for VERIFY plants in Doraha. ASME BPE SF1-SF4, Ra from 0.25 um, EN 10204 3.1 certificate with every lot.</v>
      </c>
      <c r="AK1000" s="15" t="str">
        <f t="shared" si="21"/>
        <v>Electropolished stainless steel pipes supplied by Sakshi Forge to VERIFY plants at PSIEC Industrial Area, Doraha</v>
      </c>
      <c r="AL1000" s="15" t="str">
        <f t="shared" si="22"/>
        <v>Electropolished SS 316L tube stock for Doraha - Sakshi Forge</v>
      </c>
      <c r="AM1000" s="15" t="str">
        <f t="shared" si="23"/>
        <v>Home &gt; Market Area &gt; India &gt; Punjab &gt; Doraha</v>
      </c>
      <c r="AN1000" s="15">
        <f t="shared" si="24"/>
        <v>750</v>
      </c>
      <c r="AO1000" s="15">
        <f t="shared" si="25"/>
        <v>6</v>
      </c>
      <c r="AP1000" s="15">
        <f t="shared" si="26"/>
        <v>6</v>
      </c>
      <c r="AQ1000" s="15">
        <f t="shared" si="27"/>
        <v>17</v>
      </c>
      <c r="AR1000" s="31"/>
      <c r="AS1000" s="31"/>
      <c r="AT1000" s="35" t="s">
        <v>222</v>
      </c>
      <c r="AU1000" s="35"/>
    </row>
    <row r="1001" ht="15.75" customHeight="1">
      <c r="A1001" s="15" t="s">
        <v>5250</v>
      </c>
      <c r="B1001" s="15" t="s">
        <v>60</v>
      </c>
      <c r="C1001" s="15" t="s">
        <v>1312</v>
      </c>
      <c r="D1001" s="15" t="s">
        <v>5251</v>
      </c>
      <c r="E1001" s="15" t="s">
        <v>5251</v>
      </c>
      <c r="F1001" s="58" t="s">
        <v>807</v>
      </c>
      <c r="G1001" s="66" t="s">
        <v>98</v>
      </c>
      <c r="H1001" s="18" t="s">
        <v>5255</v>
      </c>
      <c r="I1001" s="18" t="s">
        <v>8392</v>
      </c>
      <c r="J1001" s="18" t="s">
        <v>98</v>
      </c>
      <c r="K1001" s="18" t="s">
        <v>98</v>
      </c>
      <c r="L1001" s="18" t="s">
        <v>98</v>
      </c>
      <c r="M1001" s="18" t="s">
        <v>98</v>
      </c>
      <c r="N1001" s="18" t="s">
        <v>98</v>
      </c>
      <c r="O1001" s="18" t="s">
        <v>98</v>
      </c>
      <c r="P1001" s="15" t="str">
        <f t="shared" si="1"/>
        <v>VERIFY</v>
      </c>
      <c r="Q1001" s="15">
        <f t="shared" si="2"/>
        <v>6</v>
      </c>
      <c r="R1001" s="15">
        <f t="shared" si="3"/>
        <v>4</v>
      </c>
      <c r="S1001" s="15">
        <f t="shared" si="4"/>
        <v>3</v>
      </c>
      <c r="T1001" s="15" t="str">
        <f t="shared" si="5"/>
        <v>C-2</v>
      </c>
      <c r="U1001" s="15" t="str">
        <f t="shared" si="6"/>
        <v>T6-M4-H3-FC-2-VERIFY</v>
      </c>
      <c r="V1001" s="15">
        <f t="shared" si="7"/>
        <v>0</v>
      </c>
      <c r="W1001" s="31"/>
      <c r="X1001" s="15" t="str">
        <f t="shared" si="8"/>
        <v>dubbak</v>
      </c>
      <c r="Y1001" s="32" t="str">
        <f t="shared" si="9"/>
        <v>https://steelmanufacturer.in/market-area/electropolished-pipes-manufacturer-in-dubbak/</v>
      </c>
      <c r="Z1001" s="15" t="str">
        <f t="shared" si="10"/>
        <v>Electropolished Pipes Manufacturer in Dubbak</v>
      </c>
      <c r="AA1001" s="15" t="str">
        <f t="shared" si="11"/>
        <v>OK (44)</v>
      </c>
      <c r="AB1001" s="15" t="str">
        <f t="shared" si="12"/>
        <v>Sanitary electropolished pipes in Dubbak for VERIFY plants. ASME BPE SF1-SF4, orbital-weld ready, 3.1 MTC. Mumbai-made.</v>
      </c>
      <c r="AC1001" s="15" t="str">
        <f t="shared" si="13"/>
        <v>PENDING RESEARCH</v>
      </c>
      <c r="AD1001" s="15" t="str">
        <f t="shared" si="14"/>
        <v>Electropolished Pipes Manufacturer in Dubbak</v>
      </c>
      <c r="AE1001" s="15" t="str">
        <f t="shared" si="15"/>
        <v>Electropolished Pipes Manufacturer in Dubbak - Our Process &amp; Capability</v>
      </c>
      <c r="AF1001" s="15" t="str">
        <f t="shared" si="16"/>
        <v>Electropolished Pipes Supplier in Dubbak - What We Hold in Stock</v>
      </c>
      <c r="AG1001" s="15" t="str">
        <f t="shared" si="17"/>
        <v>Bulk &amp; Wholesale Electropolished Pipe Rates for Dubbak Buyers</v>
      </c>
      <c r="AH1001" s="15" t="str">
        <f t="shared" si="18"/>
        <v>electropolished pipes manufacturer in Dubbak, electropolished pipes supplier in Dubbak, electropolished pipes wholesaler in Dubbak, electropolished tube manufacturer Dubbak, EP pipe supplier Dubbak, sanitary tube supplier Dubbak, ASME BPE tubing Dubbak, ASTM A270 tube Dubbak, SS 316L electropolished pipe Dubbak</v>
      </c>
      <c r="AI1001" s="15" t="str">
        <f t="shared" si="19"/>
        <v>Electropolished Pipes Manufacturer &amp; Supplier in Dubbak</v>
      </c>
      <c r="AJ1001" s="15" t="str">
        <f t="shared" si="20"/>
        <v>EP-finished SS 304/316L pipes and tubes for VERIFY plants in Dubbak. ASME BPE SF1-SF4, Ra from 0.25 um, EN 10204 3.1 certificate with every lot.</v>
      </c>
      <c r="AK1001" s="15" t="str">
        <f t="shared" si="21"/>
        <v>Electropolished stainless steel pipes supplied by Sakshi Forge to VERIFY plants at TSIIC Industrial Area, Dubbak</v>
      </c>
      <c r="AL1001" s="15" t="str">
        <f t="shared" si="22"/>
        <v>Electropolished SS 316L tube stock for Dubbak - Sakshi Forge</v>
      </c>
      <c r="AM1001" s="15" t="str">
        <f t="shared" si="23"/>
        <v>Home &gt; Market Area &gt; India &gt; Telangana &gt; Dubbak</v>
      </c>
      <c r="AN1001" s="15">
        <f t="shared" si="24"/>
        <v>750</v>
      </c>
      <c r="AO1001" s="15">
        <f t="shared" si="25"/>
        <v>6</v>
      </c>
      <c r="AP1001" s="15">
        <f t="shared" si="26"/>
        <v>6</v>
      </c>
      <c r="AQ1001" s="15">
        <f t="shared" si="27"/>
        <v>17</v>
      </c>
      <c r="AR1001" s="31"/>
      <c r="AS1001" s="31"/>
      <c r="AT1001" s="35" t="s">
        <v>222</v>
      </c>
      <c r="AU1001" s="35"/>
    </row>
    <row r="1002" ht="15.75" customHeight="1">
      <c r="A1002" s="15" t="s">
        <v>5258</v>
      </c>
      <c r="B1002" s="15" t="s">
        <v>60</v>
      </c>
      <c r="C1002" s="15" t="s">
        <v>1165</v>
      </c>
      <c r="D1002" s="15" t="s">
        <v>5261</v>
      </c>
      <c r="E1002" s="15" t="s">
        <v>5261</v>
      </c>
      <c r="F1002" s="58" t="s">
        <v>807</v>
      </c>
      <c r="G1002" s="66" t="s">
        <v>98</v>
      </c>
      <c r="H1002" s="18" t="s">
        <v>5263</v>
      </c>
      <c r="I1002" s="18" t="s">
        <v>8404</v>
      </c>
      <c r="J1002" s="18" t="s">
        <v>98</v>
      </c>
      <c r="K1002" s="18" t="s">
        <v>98</v>
      </c>
      <c r="L1002" s="18" t="s">
        <v>98</v>
      </c>
      <c r="M1002" s="18" t="s">
        <v>98</v>
      </c>
      <c r="N1002" s="18" t="s">
        <v>98</v>
      </c>
      <c r="O1002" s="18" t="s">
        <v>98</v>
      </c>
      <c r="P1002" s="15" t="str">
        <f t="shared" si="1"/>
        <v>VERIFY</v>
      </c>
      <c r="Q1002" s="15">
        <f t="shared" si="2"/>
        <v>7</v>
      </c>
      <c r="R1002" s="15">
        <f t="shared" si="3"/>
        <v>5</v>
      </c>
      <c r="S1002" s="15">
        <f t="shared" si="4"/>
        <v>4</v>
      </c>
      <c r="T1002" s="15" t="str">
        <f t="shared" si="5"/>
        <v>C-3</v>
      </c>
      <c r="U1002" s="15" t="str">
        <f t="shared" si="6"/>
        <v>T7-M5-H4-FC-3-VERIFY</v>
      </c>
      <c r="V1002" s="15">
        <f t="shared" si="7"/>
        <v>0</v>
      </c>
      <c r="W1002" s="31"/>
      <c r="X1002" s="15" t="str">
        <f t="shared" si="8"/>
        <v>dubrajpur</v>
      </c>
      <c r="Y1002" s="32" t="str">
        <f t="shared" si="9"/>
        <v>https://steelmanufacturer.in/market-area/electropolished-pipes-manufacturer-in-dubrajpur/</v>
      </c>
      <c r="Z1002" s="15" t="str">
        <f t="shared" si="10"/>
        <v>Electropolished Pipes Manufacturer in Dubrajpur</v>
      </c>
      <c r="AA1002" s="15" t="str">
        <f t="shared" si="11"/>
        <v>OK (47)</v>
      </c>
      <c r="AB1002" s="15" t="str">
        <f t="shared" si="12"/>
        <v>Manufacturer of electropolished SS 316L tube serving Dubrajpur. VERIFY. Ra 0.25-0.5 um, EN 10204 3.1 MTC.</v>
      </c>
      <c r="AC1002" s="15" t="str">
        <f t="shared" si="13"/>
        <v>PENDING RESEARCH</v>
      </c>
      <c r="AD1002" s="15" t="str">
        <f t="shared" si="14"/>
        <v>Electropolished Pipes Manufacturer in Dubrajpur</v>
      </c>
      <c r="AE1002" s="15" t="str">
        <f t="shared" si="15"/>
        <v>Manufacturing Electropolished SS Tube for Dubrajpur: The Standards We Build To</v>
      </c>
      <c r="AF1002" s="15" t="str">
        <f t="shared" si="16"/>
        <v>Electropolished Pipe Supply Into Dubrajpur - Certification &amp; Transit</v>
      </c>
      <c r="AG1002" s="15" t="str">
        <f t="shared" si="17"/>
        <v>Electropolished Pipes Wholesaler in Dubrajpur - Project Quantities &amp; Terms</v>
      </c>
      <c r="AH1002" s="15" t="str">
        <f t="shared" si="18"/>
        <v>electropolished pipes manufacturer in Dubrajpur, electropolished pipes supplier in Dubrajpur, electropolished pipes wholesaler in Dubrajpur, electropolished tube manufacturer Dubrajpur, EP pipe supplier Dubrajpur, sanitary tube supplier Dubrajpur, ASME BPE tubing Dubrajpur, ASTM A270 tube Dubrajpur, SS 316L electropolished pipe Dubrajpur</v>
      </c>
      <c r="AI1002" s="15" t="str">
        <f t="shared" si="19"/>
        <v>Electropolished Pipes Manufacturer &amp; Supplier in Dubrajpur</v>
      </c>
      <c r="AJ1002" s="15" t="str">
        <f t="shared" si="20"/>
        <v>EP-finished SS 304/316L pipes and tubes for VERIFY plants in Dubrajpur. ASME BPE SF1-SF4, Ra from 0.25 um, EN 10204 3.1 certificate with every lot.</v>
      </c>
      <c r="AK1002" s="15" t="str">
        <f t="shared" si="21"/>
        <v>Electropolished stainless steel pipes supplied by Sakshi Forge to VERIFY plants at WBIDC Industrial Area, Dubrajpur</v>
      </c>
      <c r="AL1002" s="15" t="str">
        <f t="shared" si="22"/>
        <v>Electropolished SS 316L tube stock for Dubrajpur - Sakshi Forge</v>
      </c>
      <c r="AM1002" s="15" t="str">
        <f t="shared" si="23"/>
        <v>Home &gt; Market Area &gt; India &gt; West Bengal &gt; Dubrajpur</v>
      </c>
      <c r="AN1002" s="15">
        <f t="shared" si="24"/>
        <v>750</v>
      </c>
      <c r="AO1002" s="15">
        <f t="shared" si="25"/>
        <v>6</v>
      </c>
      <c r="AP1002" s="15">
        <f t="shared" si="26"/>
        <v>6</v>
      </c>
      <c r="AQ1002" s="15">
        <f t="shared" si="27"/>
        <v>17</v>
      </c>
      <c r="AR1002" s="31"/>
      <c r="AS1002" s="31"/>
      <c r="AT1002" s="35" t="s">
        <v>222</v>
      </c>
      <c r="AU1002" s="35"/>
    </row>
    <row r="1003" ht="15.75" customHeight="1">
      <c r="A1003" s="15" t="s">
        <v>5264</v>
      </c>
      <c r="B1003" s="15" t="s">
        <v>60</v>
      </c>
      <c r="C1003" s="15" t="s">
        <v>236</v>
      </c>
      <c r="D1003" s="15" t="s">
        <v>5265</v>
      </c>
      <c r="E1003" s="15" t="s">
        <v>5265</v>
      </c>
      <c r="F1003" s="58" t="s">
        <v>807</v>
      </c>
      <c r="G1003" s="66" t="s">
        <v>98</v>
      </c>
      <c r="H1003" s="18" t="s">
        <v>5267</v>
      </c>
      <c r="I1003" s="18" t="s">
        <v>8391</v>
      </c>
      <c r="J1003" s="18" t="s">
        <v>98</v>
      </c>
      <c r="K1003" s="18" t="s">
        <v>98</v>
      </c>
      <c r="L1003" s="18" t="s">
        <v>98</v>
      </c>
      <c r="M1003" s="18" t="s">
        <v>98</v>
      </c>
      <c r="N1003" s="18" t="s">
        <v>98</v>
      </c>
      <c r="O1003" s="18" t="s">
        <v>98</v>
      </c>
      <c r="P1003" s="15" t="str">
        <f t="shared" si="1"/>
        <v>VERIFY</v>
      </c>
      <c r="Q1003" s="15">
        <f t="shared" si="2"/>
        <v>8</v>
      </c>
      <c r="R1003" s="15">
        <f t="shared" si="3"/>
        <v>6</v>
      </c>
      <c r="S1003" s="15">
        <f t="shared" si="4"/>
        <v>5</v>
      </c>
      <c r="T1003" s="15" t="str">
        <f t="shared" si="5"/>
        <v>C-4</v>
      </c>
      <c r="U1003" s="15" t="str">
        <f t="shared" si="6"/>
        <v>T8-M6-H5-FC-4-VERIFY</v>
      </c>
      <c r="V1003" s="15">
        <f t="shared" si="7"/>
        <v>0</v>
      </c>
      <c r="W1003" s="31"/>
      <c r="X1003" s="15" t="str">
        <f t="shared" si="8"/>
        <v>dudu</v>
      </c>
      <c r="Y1003" s="32" t="str">
        <f t="shared" si="9"/>
        <v>https://steelmanufacturer.in/market-area/electropolished-pipes-manufacturer-in-dudu/</v>
      </c>
      <c r="Z1003" s="15" t="str">
        <f t="shared" si="10"/>
        <v>Electropolished Pipes Manufacturer in Dudu - EP Tube Stockist</v>
      </c>
      <c r="AA1003" s="15" t="str">
        <f t="shared" si="11"/>
        <v>OK (61)</v>
      </c>
      <c r="AB1003" s="15" t="str">
        <f t="shared" si="12"/>
        <v>EP tube and pipe for VERIFY plants around RIICO Industrial Area, Dudu. Made at our Mumbai works to ASTM A270 and ASME BPE SF1-SF4, with 3.1 MTC.</v>
      </c>
      <c r="AC1003" s="15" t="str">
        <f t="shared" si="13"/>
        <v>PENDING RESEARCH</v>
      </c>
      <c r="AD1003" s="15" t="str">
        <f t="shared" si="14"/>
        <v>Electropolished Pipes Manufacturer in Dudu</v>
      </c>
      <c r="AE1003" s="15" t="str">
        <f t="shared" si="15"/>
        <v>Electropolished Tube Manufacturing Capability Serving Dudu</v>
      </c>
      <c r="AF1003" s="15" t="str">
        <f t="shared" si="16"/>
        <v>Electropolished Pipes Supplier in Dudu - From Order to Delivery</v>
      </c>
      <c r="AG1003" s="15" t="str">
        <f t="shared" si="17"/>
        <v>Stockist &amp; Wholesale Supply of Electropolished Pipes in Dudu</v>
      </c>
      <c r="AH1003" s="15" t="str">
        <f t="shared" si="18"/>
        <v>electropolished pipes manufacturer in Dudu, electropolished pipes supplier in Dudu, electropolished pipes wholesaler in Dudu, electropolished tube manufacturer Dudu, EP pipe supplier Dudu, sanitary tube supplier Dudu, ASME BPE tubing Dudu, ASTM A270 tube Dudu, SS 316L electropolished pipe Dudu</v>
      </c>
      <c r="AI1003" s="15" t="str">
        <f t="shared" si="19"/>
        <v>Electropolished Pipes Manufacturer &amp; Supplier in Dudu</v>
      </c>
      <c r="AJ1003" s="15" t="str">
        <f t="shared" si="20"/>
        <v>EP-finished SS 304/316L pipes and tubes for VERIFY plants in Dudu. ASME BPE SF1-SF4, Ra from 0.25 um, EN 10204 3.1 certificate with every lot.</v>
      </c>
      <c r="AK1003" s="15" t="str">
        <f t="shared" si="21"/>
        <v>Electropolished stainless steel pipes supplied by Sakshi Forge to VERIFY plants at RIICO Industrial Area, Dudu</v>
      </c>
      <c r="AL1003" s="15" t="str">
        <f t="shared" si="22"/>
        <v>Electropolished SS 316L tube stock for Dudu - Sakshi Forge</v>
      </c>
      <c r="AM1003" s="15" t="str">
        <f t="shared" si="23"/>
        <v>Home &gt; Market Area &gt; India &gt; Rajasthan &gt; Dudu</v>
      </c>
      <c r="AN1003" s="15">
        <f t="shared" si="24"/>
        <v>750</v>
      </c>
      <c r="AO1003" s="15">
        <f t="shared" si="25"/>
        <v>6</v>
      </c>
      <c r="AP1003" s="15">
        <f t="shared" si="26"/>
        <v>6</v>
      </c>
      <c r="AQ1003" s="15">
        <f t="shared" si="27"/>
        <v>17</v>
      </c>
      <c r="AR1003" s="31"/>
      <c r="AS1003" s="31"/>
      <c r="AT1003" s="35" t="s">
        <v>222</v>
      </c>
      <c r="AU1003" s="35"/>
    </row>
    <row r="1004" ht="15.75" customHeight="1">
      <c r="A1004" s="15" t="s">
        <v>5268</v>
      </c>
      <c r="B1004" s="15" t="s">
        <v>60</v>
      </c>
      <c r="C1004" s="15" t="s">
        <v>245</v>
      </c>
      <c r="D1004" s="15" t="s">
        <v>5269</v>
      </c>
      <c r="E1004" s="15" t="s">
        <v>5269</v>
      </c>
      <c r="F1004" s="58" t="s">
        <v>807</v>
      </c>
      <c r="G1004" s="66" t="s">
        <v>98</v>
      </c>
      <c r="H1004" s="18" t="s">
        <v>5271</v>
      </c>
      <c r="I1004" s="18" t="s">
        <v>8407</v>
      </c>
      <c r="J1004" s="18" t="s">
        <v>98</v>
      </c>
      <c r="K1004" s="18" t="s">
        <v>98</v>
      </c>
      <c r="L1004" s="18" t="s">
        <v>98</v>
      </c>
      <c r="M1004" s="18" t="s">
        <v>98</v>
      </c>
      <c r="N1004" s="18" t="s">
        <v>98</v>
      </c>
      <c r="O1004" s="18" t="s">
        <v>98</v>
      </c>
      <c r="P1004" s="15" t="str">
        <f t="shared" si="1"/>
        <v>VERIFY</v>
      </c>
      <c r="Q1004" s="15">
        <f t="shared" si="2"/>
        <v>1</v>
      </c>
      <c r="R1004" s="15">
        <f t="shared" si="3"/>
        <v>7</v>
      </c>
      <c r="S1004" s="15">
        <f t="shared" si="4"/>
        <v>1</v>
      </c>
      <c r="T1004" s="15" t="str">
        <f t="shared" si="5"/>
        <v>C-5</v>
      </c>
      <c r="U1004" s="15" t="str">
        <f t="shared" si="6"/>
        <v>T1-M7-H1-FC-5-VERIFY</v>
      </c>
      <c r="V1004" s="15">
        <f t="shared" si="7"/>
        <v>0</v>
      </c>
      <c r="W1004" s="31"/>
      <c r="X1004" s="15" t="str">
        <f t="shared" si="8"/>
        <v>ellenabad</v>
      </c>
      <c r="Y1004" s="32" t="str">
        <f t="shared" si="9"/>
        <v>https://steelmanufacturer.in/market-area/electropolished-pipes-manufacturer-in-ellenabad/</v>
      </c>
      <c r="Z1004" s="15" t="str">
        <f t="shared" si="10"/>
        <v>Electropolished Pipes Manufacturer in Ellenabad | Sakshi Forge</v>
      </c>
      <c r="AA1004" s="15" t="str">
        <f t="shared" si="11"/>
        <v>OK (62)</v>
      </c>
      <c r="AB1004" s="15" t="str">
        <f t="shared" si="12"/>
        <v>Electropolished pipes in Ellenabad: 304, 304L, 316 and 316L in SF1-SF4. VERIFY. Mill certified.</v>
      </c>
      <c r="AC1004" s="15" t="str">
        <f t="shared" si="13"/>
        <v>PENDING RESEARCH</v>
      </c>
      <c r="AD1004" s="15" t="str">
        <f t="shared" si="14"/>
        <v>Electropolished Pipes Manufacturer in Ellenabad</v>
      </c>
      <c r="AE1004" s="15" t="str">
        <f t="shared" si="15"/>
        <v>Electropolished Pipe &amp; Tube Manufacturing for Ellenabad - Grades, Finishes &amp; Certification</v>
      </c>
      <c r="AF1004" s="15" t="str">
        <f t="shared" si="16"/>
        <v>Electropolished Pipes Supplier in Ellenabad - Stock Sizes, Lead Time &amp; Delivery</v>
      </c>
      <c r="AG1004" s="15" t="str">
        <f t="shared" si="17"/>
        <v>Electropolished Pipes Wholesaler &amp; Stockist in Ellenabad - Bulk &amp; Project Pricing</v>
      </c>
      <c r="AH1004" s="15" t="str">
        <f t="shared" si="18"/>
        <v>electropolished pipes manufacturer in Ellenabad, electropolished pipes supplier in Ellenabad, electropolished pipes wholesaler in Ellenabad, electropolished tube manufacturer Ellenabad, EP pipe supplier Ellenabad, sanitary tube supplier Ellenabad, ASME BPE tubing Ellenabad, ASTM A270 tube Ellenabad, SS 316L electropolished pipe Ellenabad</v>
      </c>
      <c r="AI1004" s="15" t="str">
        <f t="shared" si="19"/>
        <v>Electropolished Pipes Manufacturer &amp; Supplier in Ellenabad</v>
      </c>
      <c r="AJ1004" s="15" t="str">
        <f t="shared" si="20"/>
        <v>EP-finished SS 304/316L pipes and tubes for VERIFY plants in Ellenabad. ASME BPE SF1-SF4, Ra from 0.25 um, EN 10204 3.1 certificate with every lot.</v>
      </c>
      <c r="AK1004" s="15" t="str">
        <f t="shared" si="21"/>
        <v>Electropolished stainless steel pipes supplied by Sakshi Forge to VERIFY plants at HSIIDC Industrial Area, Ellenabad</v>
      </c>
      <c r="AL1004" s="15" t="str">
        <f t="shared" si="22"/>
        <v>Electropolished SS 316L tube stock for Ellenabad - Sakshi Forge</v>
      </c>
      <c r="AM1004" s="15" t="str">
        <f t="shared" si="23"/>
        <v>Home &gt; Market Area &gt; India &gt; Haryana &gt; Ellenabad</v>
      </c>
      <c r="AN1004" s="15">
        <f t="shared" si="24"/>
        <v>750</v>
      </c>
      <c r="AO1004" s="15">
        <f t="shared" si="25"/>
        <v>6</v>
      </c>
      <c r="AP1004" s="15">
        <f t="shared" si="26"/>
        <v>6</v>
      </c>
      <c r="AQ1004" s="15">
        <f t="shared" si="27"/>
        <v>17</v>
      </c>
      <c r="AR1004" s="31"/>
      <c r="AS1004" s="31"/>
      <c r="AT1004" s="35" t="s">
        <v>222</v>
      </c>
      <c r="AU1004" s="35"/>
    </row>
    <row r="1005" ht="15.75" customHeight="1">
      <c r="A1005" s="15" t="s">
        <v>5272</v>
      </c>
      <c r="B1005" s="15" t="s">
        <v>60</v>
      </c>
      <c r="C1005" s="15" t="s">
        <v>85</v>
      </c>
      <c r="D1005" s="15" t="s">
        <v>5273</v>
      </c>
      <c r="E1005" s="15" t="s">
        <v>5273</v>
      </c>
      <c r="F1005" s="58" t="s">
        <v>807</v>
      </c>
      <c r="G1005" s="66" t="s">
        <v>98</v>
      </c>
      <c r="H1005" s="18" t="s">
        <v>5275</v>
      </c>
      <c r="I1005" s="18" t="s">
        <v>8398</v>
      </c>
      <c r="J1005" s="18" t="s">
        <v>98</v>
      </c>
      <c r="K1005" s="18" t="s">
        <v>98</v>
      </c>
      <c r="L1005" s="18" t="s">
        <v>98</v>
      </c>
      <c r="M1005" s="18" t="s">
        <v>98</v>
      </c>
      <c r="N1005" s="18" t="s">
        <v>98</v>
      </c>
      <c r="O1005" s="18" t="s">
        <v>98</v>
      </c>
      <c r="P1005" s="15" t="str">
        <f t="shared" si="1"/>
        <v>VERIFY</v>
      </c>
      <c r="Q1005" s="15">
        <f t="shared" si="2"/>
        <v>2</v>
      </c>
      <c r="R1005" s="15">
        <f t="shared" si="3"/>
        <v>1</v>
      </c>
      <c r="S1005" s="15">
        <f t="shared" si="4"/>
        <v>2</v>
      </c>
      <c r="T1005" s="15" t="str">
        <f t="shared" si="5"/>
        <v>C-6</v>
      </c>
      <c r="U1005" s="15" t="str">
        <f t="shared" si="6"/>
        <v>T2-M1-H2-FC-6-VERIFY</v>
      </c>
      <c r="V1005" s="15">
        <f t="shared" si="7"/>
        <v>0</v>
      </c>
      <c r="W1005" s="31"/>
      <c r="X1005" s="15" t="str">
        <f t="shared" si="8"/>
        <v>etah</v>
      </c>
      <c r="Y1005" s="32" t="str">
        <f t="shared" si="9"/>
        <v>https://steelmanufacturer.in/market-area/electropolished-pipes-manufacturer-in-etah/</v>
      </c>
      <c r="Z1005" s="15" t="str">
        <f t="shared" si="10"/>
        <v>Electropolished Pipes Manufacturer in Etah - ASTM A270 &amp; ASME BPE</v>
      </c>
      <c r="AA1005" s="15" t="str">
        <f t="shared" si="11"/>
        <v>OK (65)</v>
      </c>
      <c r="AB1005" s="15" t="str">
        <f t="shared" si="12"/>
        <v>EP-finished SS 304/316L pipes &amp; tubes for VERIFY plants in Etah. ASTM A270, ASME BPE SF1-SF4, EN 10204 3.1 MTC. PMI tested.</v>
      </c>
      <c r="AC1005" s="15" t="str">
        <f t="shared" si="13"/>
        <v>PENDING RESEARCH</v>
      </c>
      <c r="AD1005" s="15" t="str">
        <f t="shared" si="14"/>
        <v>Electropolished Pipes Manufacturer in Etah</v>
      </c>
      <c r="AE1005" s="15" t="str">
        <f t="shared" si="15"/>
        <v>How We Manufacture Electropolished Tube for Etah Plants</v>
      </c>
      <c r="AF1005" s="15" t="str">
        <f t="shared" si="16"/>
        <v>Supplying Electropolished Pipes in Etah: Availability, Sizes &amp; Dispatch</v>
      </c>
      <c r="AG1005" s="15" t="str">
        <f t="shared" si="17"/>
        <v>Wholesale Electropolished Pipe Supply for Etah Projects</v>
      </c>
      <c r="AH1005" s="15" t="str">
        <f t="shared" si="18"/>
        <v>electropolished pipes manufacturer in Etah, electropolished pipes supplier in Etah, electropolished pipes wholesaler in Etah, electropolished tube manufacturer Etah, EP pipe supplier Etah, sanitary tube supplier Etah, ASME BPE tubing Etah, ASTM A270 tube Etah, SS 316L electropolished pipe Etah</v>
      </c>
      <c r="AI1005" s="15" t="str">
        <f t="shared" si="19"/>
        <v>Electropolished Pipes Manufacturer &amp; Supplier in Etah</v>
      </c>
      <c r="AJ1005" s="15" t="str">
        <f t="shared" si="20"/>
        <v>EP-finished SS 304/316L pipes and tubes for VERIFY plants in Etah. ASME BPE SF1-SF4, Ra from 0.25 um, EN 10204 3.1 certificate with every lot.</v>
      </c>
      <c r="AK1005" s="15" t="str">
        <f t="shared" si="21"/>
        <v>Electropolished stainless steel pipes supplied by Sakshi Forge to VERIFY plants at UPSIDA Industrial Area, Etah</v>
      </c>
      <c r="AL1005" s="15" t="str">
        <f t="shared" si="22"/>
        <v>Electropolished SS 316L tube stock for Etah - Sakshi Forge</v>
      </c>
      <c r="AM1005" s="15" t="str">
        <f t="shared" si="23"/>
        <v>Home &gt; Market Area &gt; India &gt; Uttar Pradesh &gt; Etah</v>
      </c>
      <c r="AN1005" s="15">
        <f t="shared" si="24"/>
        <v>750</v>
      </c>
      <c r="AO1005" s="15">
        <f t="shared" si="25"/>
        <v>6</v>
      </c>
      <c r="AP1005" s="15">
        <f t="shared" si="26"/>
        <v>6</v>
      </c>
      <c r="AQ1005" s="15">
        <f t="shared" si="27"/>
        <v>17</v>
      </c>
      <c r="AR1005" s="31"/>
      <c r="AS1005" s="31"/>
      <c r="AT1005" s="35" t="s">
        <v>222</v>
      </c>
      <c r="AU1005" s="35"/>
    </row>
    <row r="1006" ht="15.75" customHeight="1">
      <c r="A1006" s="15" t="s">
        <v>5276</v>
      </c>
      <c r="B1006" s="15" t="s">
        <v>60</v>
      </c>
      <c r="C1006" s="15" t="s">
        <v>413</v>
      </c>
      <c r="D1006" s="15" t="s">
        <v>5277</v>
      </c>
      <c r="E1006" s="15" t="s">
        <v>5277</v>
      </c>
      <c r="F1006" s="58" t="s">
        <v>807</v>
      </c>
      <c r="G1006" s="66" t="s">
        <v>98</v>
      </c>
      <c r="H1006" s="18" t="s">
        <v>5279</v>
      </c>
      <c r="I1006" s="18" t="s">
        <v>8393</v>
      </c>
      <c r="J1006" s="18" t="s">
        <v>98</v>
      </c>
      <c r="K1006" s="18" t="s">
        <v>98</v>
      </c>
      <c r="L1006" s="18" t="s">
        <v>98</v>
      </c>
      <c r="M1006" s="18" t="s">
        <v>98</v>
      </c>
      <c r="N1006" s="18" t="s">
        <v>98</v>
      </c>
      <c r="O1006" s="18" t="s">
        <v>98</v>
      </c>
      <c r="P1006" s="15" t="str">
        <f t="shared" si="1"/>
        <v>VERIFY</v>
      </c>
      <c r="Q1006" s="15">
        <f t="shared" si="2"/>
        <v>3</v>
      </c>
      <c r="R1006" s="15">
        <f t="shared" si="3"/>
        <v>2</v>
      </c>
      <c r="S1006" s="15">
        <f t="shared" si="4"/>
        <v>3</v>
      </c>
      <c r="T1006" s="15" t="str">
        <f t="shared" si="5"/>
        <v>C-1</v>
      </c>
      <c r="U1006" s="15" t="str">
        <f t="shared" si="6"/>
        <v>T3-M2-H3-FC-1-VERIFY</v>
      </c>
      <c r="V1006" s="15">
        <f t="shared" si="7"/>
        <v>0</v>
      </c>
      <c r="W1006" s="31"/>
      <c r="X1006" s="15" t="str">
        <f t="shared" si="8"/>
        <v>etcherla</v>
      </c>
      <c r="Y1006" s="32" t="str">
        <f t="shared" si="9"/>
        <v>https://steelmanufacturer.in/market-area/electropolished-pipes-manufacturer-in-etcherla/</v>
      </c>
      <c r="Z1006" s="15" t="str">
        <f t="shared" si="10"/>
        <v>Electropolished Pipes Manufacturer in Etcherla | EP Tube Supplier</v>
      </c>
      <c r="AA1006" s="15" t="str">
        <f t="shared" si="11"/>
        <v>OK (65)</v>
      </c>
      <c r="AB1006" s="15" t="str">
        <f t="shared" si="12"/>
        <v>Electropolished tube supply to APIIC Industrial Area, Etcherla. Ra from 0.25 um, SF4 finish, mill test certificate with every lot.</v>
      </c>
      <c r="AC1006" s="15" t="str">
        <f t="shared" si="13"/>
        <v>PENDING RESEARCH</v>
      </c>
      <c r="AD1006" s="15" t="str">
        <f t="shared" si="14"/>
        <v>Electropolished Pipes Manufacturer in Etcherla</v>
      </c>
      <c r="AE1006" s="15" t="str">
        <f t="shared" si="15"/>
        <v>Electropolished Pipes Manufacturer in Etcherla - Our Process &amp; Capability</v>
      </c>
      <c r="AF1006" s="15" t="str">
        <f t="shared" si="16"/>
        <v>Electropolished Pipes Supplier in Etcherla - What We Hold in Stock</v>
      </c>
      <c r="AG1006" s="15" t="str">
        <f t="shared" si="17"/>
        <v>Bulk &amp; Wholesale Electropolished Pipe Rates for Etcherla Buyers</v>
      </c>
      <c r="AH1006" s="15" t="str">
        <f t="shared" si="18"/>
        <v>electropolished pipes manufacturer in Etcherla, electropolished pipes supplier in Etcherla, electropolished pipes wholesaler in Etcherla, electropolished tube manufacturer Etcherla, EP pipe supplier Etcherla, sanitary tube supplier Etcherla, ASME BPE tubing Etcherla, ASTM A270 tube Etcherla, SS 316L electropolished pipe Etcherla</v>
      </c>
      <c r="AI1006" s="15" t="str">
        <f t="shared" si="19"/>
        <v>Electropolished Pipes Manufacturer &amp; Supplier in Etcherla</v>
      </c>
      <c r="AJ1006" s="15" t="str">
        <f t="shared" si="20"/>
        <v>EP-finished SS 304/316L pipes and tubes for VERIFY plants in Etcherla. ASME BPE SF1-SF4, Ra from 0.25 um, EN 10204 3.1 certificate with every lot.</v>
      </c>
      <c r="AK1006" s="15" t="str">
        <f t="shared" si="21"/>
        <v>Electropolished stainless steel pipes supplied by Sakshi Forge to VERIFY plants at APIIC Industrial Area, Etcherla</v>
      </c>
      <c r="AL1006" s="15" t="str">
        <f t="shared" si="22"/>
        <v>Electropolished SS 316L tube stock for Etcherla - Sakshi Forge</v>
      </c>
      <c r="AM1006" s="15" t="str">
        <f t="shared" si="23"/>
        <v>Home &gt; Market Area &gt; India &gt; Andhra Pradesh &gt; Etcherla</v>
      </c>
      <c r="AN1006" s="15">
        <f t="shared" si="24"/>
        <v>750</v>
      </c>
      <c r="AO1006" s="15">
        <f t="shared" si="25"/>
        <v>6</v>
      </c>
      <c r="AP1006" s="15">
        <f t="shared" si="26"/>
        <v>6</v>
      </c>
      <c r="AQ1006" s="15">
        <f t="shared" si="27"/>
        <v>17</v>
      </c>
      <c r="AR1006" s="31"/>
      <c r="AS1006" s="31"/>
      <c r="AT1006" s="35" t="s">
        <v>222</v>
      </c>
      <c r="AU1006" s="35"/>
    </row>
    <row r="1007" ht="15.75" customHeight="1">
      <c r="A1007" s="15" t="s">
        <v>5280</v>
      </c>
      <c r="B1007" s="15" t="s">
        <v>60</v>
      </c>
      <c r="C1007" s="15" t="s">
        <v>85</v>
      </c>
      <c r="D1007" s="15" t="s">
        <v>5281</v>
      </c>
      <c r="E1007" s="15" t="s">
        <v>5281</v>
      </c>
      <c r="F1007" s="58" t="s">
        <v>807</v>
      </c>
      <c r="G1007" s="66" t="s">
        <v>98</v>
      </c>
      <c r="H1007" s="18" t="s">
        <v>5283</v>
      </c>
      <c r="I1007" s="18" t="s">
        <v>8398</v>
      </c>
      <c r="J1007" s="18" t="s">
        <v>98</v>
      </c>
      <c r="K1007" s="18" t="s">
        <v>98</v>
      </c>
      <c r="L1007" s="18" t="s">
        <v>98</v>
      </c>
      <c r="M1007" s="18" t="s">
        <v>98</v>
      </c>
      <c r="N1007" s="18" t="s">
        <v>98</v>
      </c>
      <c r="O1007" s="18" t="s">
        <v>98</v>
      </c>
      <c r="P1007" s="15" t="str">
        <f t="shared" si="1"/>
        <v>VERIFY</v>
      </c>
      <c r="Q1007" s="15">
        <f t="shared" si="2"/>
        <v>4</v>
      </c>
      <c r="R1007" s="15">
        <f t="shared" si="3"/>
        <v>3</v>
      </c>
      <c r="S1007" s="15">
        <f t="shared" si="4"/>
        <v>4</v>
      </c>
      <c r="T1007" s="15" t="str">
        <f t="shared" si="5"/>
        <v>C-2</v>
      </c>
      <c r="U1007" s="15" t="str">
        <f t="shared" si="6"/>
        <v>T4-M3-H4-FC-2-VERIFY</v>
      </c>
      <c r="V1007" s="15">
        <f t="shared" si="7"/>
        <v>0</v>
      </c>
      <c r="W1007" s="31"/>
      <c r="X1007" s="15" t="str">
        <f t="shared" si="8"/>
        <v>faizabad</v>
      </c>
      <c r="Y1007" s="32" t="str">
        <f t="shared" si="9"/>
        <v>https://steelmanufacturer.in/market-area/electropolished-pipes-manufacturer-in-faizabad/</v>
      </c>
      <c r="Z1007" s="15" t="str">
        <f t="shared" si="10"/>
        <v>Electropolished Pipes Manufacturer in Faizabad</v>
      </c>
      <c r="AA1007" s="15" t="str">
        <f t="shared" si="11"/>
        <v>OK (46)</v>
      </c>
      <c r="AB1007" s="15" t="str">
        <f t="shared" si="12"/>
        <v>EP stainless tube for VERIFY lines in Faizabad. VERIFY. ASTM A270 S2, PMI tested, EN 10204 3.1.</v>
      </c>
      <c r="AC1007" s="15" t="str">
        <f t="shared" si="13"/>
        <v>PENDING RESEARCH</v>
      </c>
      <c r="AD1007" s="15" t="str">
        <f t="shared" si="14"/>
        <v>Electropolished Pipes Manufacturer in Faizabad</v>
      </c>
      <c r="AE1007" s="15" t="str">
        <f t="shared" si="15"/>
        <v>Manufacturing Electropolished SS Tube for Faizabad: The Standards We Build To</v>
      </c>
      <c r="AF1007" s="15" t="str">
        <f t="shared" si="16"/>
        <v>Electropolished Pipe Supply Into Faizabad - Certification &amp; Transit</v>
      </c>
      <c r="AG1007" s="15" t="str">
        <f t="shared" si="17"/>
        <v>Electropolished Pipes Wholesaler in Faizabad - Project Quantities &amp; Terms</v>
      </c>
      <c r="AH1007" s="15" t="str">
        <f t="shared" si="18"/>
        <v>electropolished pipes manufacturer in Faizabad, electropolished pipes supplier in Faizabad, electropolished pipes wholesaler in Faizabad, electropolished tube manufacturer Faizabad, EP pipe supplier Faizabad, sanitary tube supplier Faizabad, ASME BPE tubing Faizabad, ASTM A270 tube Faizabad, SS 316L electropolished pipe Faizabad</v>
      </c>
      <c r="AI1007" s="15" t="str">
        <f t="shared" si="19"/>
        <v>Electropolished Pipes Manufacturer &amp; Supplier in Faizabad</v>
      </c>
      <c r="AJ1007" s="15" t="str">
        <f t="shared" si="20"/>
        <v>EP-finished SS 304/316L pipes and tubes for VERIFY plants in Faizabad. ASME BPE SF1-SF4, Ra from 0.25 um, EN 10204 3.1 certificate with every lot.</v>
      </c>
      <c r="AK1007" s="15" t="str">
        <f t="shared" si="21"/>
        <v>Electropolished stainless steel pipes supplied by Sakshi Forge to VERIFY plants at UPSIDA Industrial Area, Faizabad</v>
      </c>
      <c r="AL1007" s="15" t="str">
        <f t="shared" si="22"/>
        <v>Electropolished SS 316L tube stock for Faizabad - Sakshi Forge</v>
      </c>
      <c r="AM1007" s="15" t="str">
        <f t="shared" si="23"/>
        <v>Home &gt; Market Area &gt; India &gt; Uttar Pradesh &gt; Faizabad</v>
      </c>
      <c r="AN1007" s="15">
        <f t="shared" si="24"/>
        <v>750</v>
      </c>
      <c r="AO1007" s="15">
        <f t="shared" si="25"/>
        <v>6</v>
      </c>
      <c r="AP1007" s="15">
        <f t="shared" si="26"/>
        <v>6</v>
      </c>
      <c r="AQ1007" s="15">
        <f t="shared" si="27"/>
        <v>17</v>
      </c>
      <c r="AR1007" s="31"/>
      <c r="AS1007" s="31"/>
      <c r="AT1007" s="35" t="s">
        <v>222</v>
      </c>
      <c r="AU1007" s="35"/>
    </row>
    <row r="1008" ht="15.75" customHeight="1">
      <c r="A1008" s="15" t="s">
        <v>5284</v>
      </c>
      <c r="B1008" s="15" t="s">
        <v>60</v>
      </c>
      <c r="C1008" s="15" t="s">
        <v>1312</v>
      </c>
      <c r="D1008" s="15" t="s">
        <v>5285</v>
      </c>
      <c r="E1008" s="15" t="s">
        <v>5285</v>
      </c>
      <c r="F1008" s="58" t="s">
        <v>807</v>
      </c>
      <c r="G1008" s="66" t="s">
        <v>98</v>
      </c>
      <c r="H1008" s="18" t="s">
        <v>5287</v>
      </c>
      <c r="I1008" s="18" t="s">
        <v>8392</v>
      </c>
      <c r="J1008" s="18" t="s">
        <v>98</v>
      </c>
      <c r="K1008" s="18" t="s">
        <v>98</v>
      </c>
      <c r="L1008" s="18" t="s">
        <v>98</v>
      </c>
      <c r="M1008" s="18" t="s">
        <v>98</v>
      </c>
      <c r="N1008" s="18" t="s">
        <v>98</v>
      </c>
      <c r="O1008" s="18" t="s">
        <v>98</v>
      </c>
      <c r="P1008" s="15" t="str">
        <f t="shared" si="1"/>
        <v>VERIFY</v>
      </c>
      <c r="Q1008" s="15">
        <f t="shared" si="2"/>
        <v>5</v>
      </c>
      <c r="R1008" s="15">
        <f t="shared" si="3"/>
        <v>4</v>
      </c>
      <c r="S1008" s="15">
        <f t="shared" si="4"/>
        <v>5</v>
      </c>
      <c r="T1008" s="15" t="str">
        <f t="shared" si="5"/>
        <v>C-3</v>
      </c>
      <c r="U1008" s="15" t="str">
        <f t="shared" si="6"/>
        <v>T5-M4-H5-FC-3-VERIFY</v>
      </c>
      <c r="V1008" s="15">
        <f t="shared" si="7"/>
        <v>0</v>
      </c>
      <c r="W1008" s="31"/>
      <c r="X1008" s="15" t="str">
        <f t="shared" si="8"/>
        <v>farooqnagar</v>
      </c>
      <c r="Y1008" s="32" t="str">
        <f t="shared" si="9"/>
        <v>https://steelmanufacturer.in/market-area/electropolished-pipes-manufacturer-in-farooqnagar/</v>
      </c>
      <c r="Z1008" s="15" t="str">
        <f t="shared" si="10"/>
        <v>Electropolished Pipes Manufacturer in Farooqnagar</v>
      </c>
      <c r="AA1008" s="15" t="str">
        <f t="shared" si="11"/>
        <v>OK (49)</v>
      </c>
      <c r="AB1008" s="15" t="str">
        <f t="shared" si="12"/>
        <v>Sanitary electropolished pipes in Farooqnagar for VERIFY plants. ASME BPE SF1-SF4, orbital-weld ready, 3.1 MTC. Mumbai-made.</v>
      </c>
      <c r="AC1008" s="15" t="str">
        <f t="shared" si="13"/>
        <v>PENDING RESEARCH</v>
      </c>
      <c r="AD1008" s="15" t="str">
        <f t="shared" si="14"/>
        <v>Electropolished Pipes Manufacturer in Farooqnagar</v>
      </c>
      <c r="AE1008" s="15" t="str">
        <f t="shared" si="15"/>
        <v>Electropolished Tube Manufacturing Capability Serving Farooqnagar</v>
      </c>
      <c r="AF1008" s="15" t="str">
        <f t="shared" si="16"/>
        <v>Electropolished Pipes Supplier in Farooqnagar - From Order to Delivery</v>
      </c>
      <c r="AG1008" s="15" t="str">
        <f t="shared" si="17"/>
        <v>Stockist &amp; Wholesale Supply of Electropolished Pipes in Farooqnagar</v>
      </c>
      <c r="AH1008" s="15" t="str">
        <f t="shared" si="18"/>
        <v>electropolished pipes manufacturer in Farooqnagar, electropolished pipes supplier in Farooqnagar, electropolished pipes wholesaler in Farooqnagar, electropolished tube manufacturer Farooqnagar, EP pipe supplier Farooqnagar, sanitary tube supplier Farooqnagar, ASME BPE tubing Farooqnagar, ASTM A270 tube Farooqnagar, SS 316L electropolished pipe Farooqnagar</v>
      </c>
      <c r="AI1008" s="15" t="str">
        <f t="shared" si="19"/>
        <v>Electropolished Pipes Manufacturer &amp; Supplier in Farooqnagar</v>
      </c>
      <c r="AJ1008" s="15" t="str">
        <f t="shared" si="20"/>
        <v>EP-finished SS 304/316L pipes and tubes for VERIFY plants in Farooqnagar. ASME BPE SF1-SF4, Ra from 0.25 um, EN 10204 3.1 certificate with every lot.</v>
      </c>
      <c r="AK1008" s="15" t="str">
        <f t="shared" si="21"/>
        <v>Electropolished stainless steel pipes supplied by Sakshi Forge to VERIFY plants at TSIIC Industrial Area, Farooqnagar</v>
      </c>
      <c r="AL1008" s="15" t="str">
        <f t="shared" si="22"/>
        <v>Electropolished SS 316L tube stock for Farooqnagar - Sakshi Forge</v>
      </c>
      <c r="AM1008" s="15" t="str">
        <f t="shared" si="23"/>
        <v>Home &gt; Market Area &gt; India &gt; Telangana &gt; Farooqnagar</v>
      </c>
      <c r="AN1008" s="15">
        <f t="shared" si="24"/>
        <v>750</v>
      </c>
      <c r="AO1008" s="15">
        <f t="shared" si="25"/>
        <v>6</v>
      </c>
      <c r="AP1008" s="15">
        <f t="shared" si="26"/>
        <v>6</v>
      </c>
      <c r="AQ1008" s="15">
        <f t="shared" si="27"/>
        <v>17</v>
      </c>
      <c r="AR1008" s="31"/>
      <c r="AS1008" s="31"/>
      <c r="AT1008" s="35" t="s">
        <v>222</v>
      </c>
      <c r="AU1008" s="35"/>
    </row>
    <row r="1009" ht="15.75" customHeight="1">
      <c r="A1009" s="15" t="s">
        <v>5288</v>
      </c>
      <c r="B1009" s="15" t="s">
        <v>60</v>
      </c>
      <c r="C1009" s="15" t="s">
        <v>85</v>
      </c>
      <c r="D1009" s="15" t="s">
        <v>5289</v>
      </c>
      <c r="E1009" s="15" t="s">
        <v>5289</v>
      </c>
      <c r="F1009" s="58" t="s">
        <v>807</v>
      </c>
      <c r="G1009" s="66" t="s">
        <v>98</v>
      </c>
      <c r="H1009" s="18" t="s">
        <v>5291</v>
      </c>
      <c r="I1009" s="18" t="s">
        <v>8398</v>
      </c>
      <c r="J1009" s="18" t="s">
        <v>98</v>
      </c>
      <c r="K1009" s="18" t="s">
        <v>98</v>
      </c>
      <c r="L1009" s="18" t="s">
        <v>98</v>
      </c>
      <c r="M1009" s="18" t="s">
        <v>98</v>
      </c>
      <c r="N1009" s="18" t="s">
        <v>98</v>
      </c>
      <c r="O1009" s="18" t="s">
        <v>98</v>
      </c>
      <c r="P1009" s="15" t="str">
        <f t="shared" si="1"/>
        <v>VERIFY</v>
      </c>
      <c r="Q1009" s="15">
        <f t="shared" si="2"/>
        <v>6</v>
      </c>
      <c r="R1009" s="15">
        <f t="shared" si="3"/>
        <v>5</v>
      </c>
      <c r="S1009" s="15">
        <f t="shared" si="4"/>
        <v>1</v>
      </c>
      <c r="T1009" s="15" t="str">
        <f t="shared" si="5"/>
        <v>C-4</v>
      </c>
      <c r="U1009" s="15" t="str">
        <f t="shared" si="6"/>
        <v>T6-M5-H1-FC-4-VERIFY</v>
      </c>
      <c r="V1009" s="15">
        <f t="shared" si="7"/>
        <v>0</v>
      </c>
      <c r="W1009" s="31"/>
      <c r="X1009" s="15" t="str">
        <f t="shared" si="8"/>
        <v>fatehpur</v>
      </c>
      <c r="Y1009" s="32" t="str">
        <f t="shared" si="9"/>
        <v>https://steelmanufacturer.in/market-area/electropolished-pipes-manufacturer-in-fatehpur/</v>
      </c>
      <c r="Z1009" s="15" t="str">
        <f t="shared" si="10"/>
        <v>Electropolished Pipes Manufacturer in Fatehpur</v>
      </c>
      <c r="AA1009" s="15" t="str">
        <f t="shared" si="11"/>
        <v>OK (46)</v>
      </c>
      <c r="AB1009" s="15" t="str">
        <f t="shared" si="12"/>
        <v>Manufacturer of electropolished SS 316L tube serving Fatehpur. VERIFY. Ra 0.25-0.5 um, EN 10204 3.1 MTC.</v>
      </c>
      <c r="AC1009" s="15" t="str">
        <f t="shared" si="13"/>
        <v>PENDING RESEARCH</v>
      </c>
      <c r="AD1009" s="15" t="str">
        <f t="shared" si="14"/>
        <v>Electropolished Pipes Manufacturer in Fatehpur</v>
      </c>
      <c r="AE1009" s="15" t="str">
        <f t="shared" si="15"/>
        <v>Electropolished Pipe &amp; Tube Manufacturing for Fatehpur - Grades, Finishes &amp; Certification</v>
      </c>
      <c r="AF1009" s="15" t="str">
        <f t="shared" si="16"/>
        <v>Electropolished Pipes Supplier in Fatehpur - Stock Sizes, Lead Time &amp; Delivery</v>
      </c>
      <c r="AG1009" s="15" t="str">
        <f t="shared" si="17"/>
        <v>Electropolished Pipes Wholesaler &amp; Stockist in Fatehpur - Bulk &amp; Project Pricing</v>
      </c>
      <c r="AH1009" s="15" t="str">
        <f t="shared" si="18"/>
        <v>electropolished pipes manufacturer in Fatehpur, electropolished pipes supplier in Fatehpur, electropolished pipes wholesaler in Fatehpur, electropolished tube manufacturer Fatehpur, EP pipe supplier Fatehpur, sanitary tube supplier Fatehpur, ASME BPE tubing Fatehpur, ASTM A270 tube Fatehpur, SS 316L electropolished pipe Fatehpur</v>
      </c>
      <c r="AI1009" s="15" t="str">
        <f t="shared" si="19"/>
        <v>Electropolished Pipes Manufacturer &amp; Supplier in Fatehpur</v>
      </c>
      <c r="AJ1009" s="15" t="str">
        <f t="shared" si="20"/>
        <v>EP-finished SS 304/316L pipes and tubes for VERIFY plants in Fatehpur. ASME BPE SF1-SF4, Ra from 0.25 um, EN 10204 3.1 certificate with every lot.</v>
      </c>
      <c r="AK1009" s="15" t="str">
        <f t="shared" si="21"/>
        <v>Electropolished stainless steel pipes supplied by Sakshi Forge to VERIFY plants at UPSIDA Industrial Area, Fatehpur</v>
      </c>
      <c r="AL1009" s="15" t="str">
        <f t="shared" si="22"/>
        <v>Electropolished SS 316L tube stock for Fatehpur - Sakshi Forge</v>
      </c>
      <c r="AM1009" s="15" t="str">
        <f t="shared" si="23"/>
        <v>Home &gt; Market Area &gt; India &gt; Uttar Pradesh &gt; Fatehpur</v>
      </c>
      <c r="AN1009" s="15">
        <f t="shared" si="24"/>
        <v>750</v>
      </c>
      <c r="AO1009" s="15">
        <f t="shared" si="25"/>
        <v>6</v>
      </c>
      <c r="AP1009" s="15">
        <f t="shared" si="26"/>
        <v>6</v>
      </c>
      <c r="AQ1009" s="15">
        <f t="shared" si="27"/>
        <v>17</v>
      </c>
      <c r="AR1009" s="31"/>
      <c r="AS1009" s="31"/>
      <c r="AT1009" s="35" t="s">
        <v>222</v>
      </c>
      <c r="AU1009" s="35"/>
    </row>
    <row r="1010" ht="15.75" customHeight="1">
      <c r="A1010" s="15" t="s">
        <v>5293</v>
      </c>
      <c r="B1010" s="15" t="s">
        <v>60</v>
      </c>
      <c r="C1010" s="15" t="s">
        <v>1818</v>
      </c>
      <c r="D1010" s="15" t="s">
        <v>5295</v>
      </c>
      <c r="E1010" s="15" t="s">
        <v>5295</v>
      </c>
      <c r="F1010" s="58" t="s">
        <v>807</v>
      </c>
      <c r="G1010" s="66" t="s">
        <v>98</v>
      </c>
      <c r="H1010" s="18" t="s">
        <v>5300</v>
      </c>
      <c r="I1010" s="18" t="s">
        <v>8402</v>
      </c>
      <c r="J1010" s="18" t="s">
        <v>98</v>
      </c>
      <c r="K1010" s="18" t="s">
        <v>98</v>
      </c>
      <c r="L1010" s="18" t="s">
        <v>98</v>
      </c>
      <c r="M1010" s="18" t="s">
        <v>98</v>
      </c>
      <c r="N1010" s="18" t="s">
        <v>98</v>
      </c>
      <c r="O1010" s="18" t="s">
        <v>98</v>
      </c>
      <c r="P1010" s="15" t="str">
        <f t="shared" si="1"/>
        <v>VERIFY</v>
      </c>
      <c r="Q1010" s="15">
        <f t="shared" si="2"/>
        <v>7</v>
      </c>
      <c r="R1010" s="15">
        <f t="shared" si="3"/>
        <v>6</v>
      </c>
      <c r="S1010" s="15">
        <f t="shared" si="4"/>
        <v>2</v>
      </c>
      <c r="T1010" s="15" t="str">
        <f t="shared" si="5"/>
        <v>C-5</v>
      </c>
      <c r="U1010" s="15" t="str">
        <f t="shared" si="6"/>
        <v>T7-M6-H2-FC-5-VERIFY</v>
      </c>
      <c r="V1010" s="15">
        <f t="shared" si="7"/>
        <v>0</v>
      </c>
      <c r="W1010" s="31"/>
      <c r="X1010" s="15" t="str">
        <f t="shared" si="8"/>
        <v>fatuha</v>
      </c>
      <c r="Y1010" s="32" t="str">
        <f t="shared" si="9"/>
        <v>https://steelmanufacturer.in/market-area/electropolished-pipes-manufacturer-in-fatuha/</v>
      </c>
      <c r="Z1010" s="15" t="str">
        <f t="shared" si="10"/>
        <v>Electropolished Pipes Manufacturer in Fatuha | ASME BPE SF1-SF4</v>
      </c>
      <c r="AA1010" s="15" t="str">
        <f t="shared" si="11"/>
        <v>OK (63)</v>
      </c>
      <c r="AB1010" s="15" t="str">
        <f t="shared" si="12"/>
        <v>EP tube and pipe for VERIFY plants around BIADA Industrial Area, Fatuha. Made at our Mumbai works to ASTM A270 and ASME BPE SF1-SF4, with 3.1 MTC.</v>
      </c>
      <c r="AC1010" s="15" t="str">
        <f t="shared" si="13"/>
        <v>PENDING RESEARCH</v>
      </c>
      <c r="AD1010" s="15" t="str">
        <f t="shared" si="14"/>
        <v>Electropolished Pipes Manufacturer in Fatuha</v>
      </c>
      <c r="AE1010" s="15" t="str">
        <f t="shared" si="15"/>
        <v>How We Manufacture Electropolished Tube for Fatuha Plants</v>
      </c>
      <c r="AF1010" s="15" t="str">
        <f t="shared" si="16"/>
        <v>Supplying Electropolished Pipes in Fatuha: Availability, Sizes &amp; Dispatch</v>
      </c>
      <c r="AG1010" s="15" t="str">
        <f t="shared" si="17"/>
        <v>Wholesale Electropolished Pipe Supply for Fatuha Projects</v>
      </c>
      <c r="AH1010" s="15" t="str">
        <f t="shared" si="18"/>
        <v>electropolished pipes manufacturer in Fatuha, electropolished pipes supplier in Fatuha, electropolished pipes wholesaler in Fatuha, electropolished tube manufacturer Fatuha, EP pipe supplier Fatuha, sanitary tube supplier Fatuha, ASME BPE tubing Fatuha, ASTM A270 tube Fatuha, SS 316L electropolished pipe Fatuha</v>
      </c>
      <c r="AI1010" s="15" t="str">
        <f t="shared" si="19"/>
        <v>Electropolished Pipes Manufacturer &amp; Supplier in Fatuha</v>
      </c>
      <c r="AJ1010" s="15" t="str">
        <f t="shared" si="20"/>
        <v>EP-finished SS 304/316L pipes and tubes for VERIFY plants in Fatuha. ASME BPE SF1-SF4, Ra from 0.25 um, EN 10204 3.1 certificate with every lot.</v>
      </c>
      <c r="AK1010" s="15" t="str">
        <f t="shared" si="21"/>
        <v>Electropolished stainless steel pipes supplied by Sakshi Forge to VERIFY plants at BIADA Industrial Area, Fatuha</v>
      </c>
      <c r="AL1010" s="15" t="str">
        <f t="shared" si="22"/>
        <v>Electropolished SS 316L tube stock for Fatuha - Sakshi Forge</v>
      </c>
      <c r="AM1010" s="15" t="str">
        <f t="shared" si="23"/>
        <v>Home &gt; Market Area &gt; India &gt; Bihar &gt; Fatuha</v>
      </c>
      <c r="AN1010" s="15">
        <f t="shared" si="24"/>
        <v>750</v>
      </c>
      <c r="AO1010" s="15">
        <f t="shared" si="25"/>
        <v>6</v>
      </c>
      <c r="AP1010" s="15">
        <f t="shared" si="26"/>
        <v>6</v>
      </c>
      <c r="AQ1010" s="15">
        <f t="shared" si="27"/>
        <v>17</v>
      </c>
      <c r="AR1010" s="31"/>
      <c r="AS1010" s="31"/>
      <c r="AT1010" s="35" t="s">
        <v>222</v>
      </c>
      <c r="AU1010" s="35"/>
    </row>
    <row r="1011" ht="15.75" customHeight="1">
      <c r="A1011" s="15" t="s">
        <v>5302</v>
      </c>
      <c r="B1011" s="15" t="s">
        <v>60</v>
      </c>
      <c r="C1011" s="15" t="s">
        <v>1139</v>
      </c>
      <c r="D1011" s="15" t="s">
        <v>5303</v>
      </c>
      <c r="E1011" s="15" t="s">
        <v>5303</v>
      </c>
      <c r="F1011" s="58" t="s">
        <v>807</v>
      </c>
      <c r="G1011" s="66" t="s">
        <v>98</v>
      </c>
      <c r="H1011" s="18" t="s">
        <v>5305</v>
      </c>
      <c r="I1011" s="18" t="s">
        <v>8410</v>
      </c>
      <c r="J1011" s="18" t="s">
        <v>98</v>
      </c>
      <c r="K1011" s="18" t="s">
        <v>98</v>
      </c>
      <c r="L1011" s="18" t="s">
        <v>98</v>
      </c>
      <c r="M1011" s="18" t="s">
        <v>98</v>
      </c>
      <c r="N1011" s="18" t="s">
        <v>98</v>
      </c>
      <c r="O1011" s="18" t="s">
        <v>98</v>
      </c>
      <c r="P1011" s="15" t="str">
        <f t="shared" si="1"/>
        <v>VERIFY</v>
      </c>
      <c r="Q1011" s="15">
        <f t="shared" si="2"/>
        <v>8</v>
      </c>
      <c r="R1011" s="15">
        <f t="shared" si="3"/>
        <v>7</v>
      </c>
      <c r="S1011" s="15">
        <f t="shared" si="4"/>
        <v>3</v>
      </c>
      <c r="T1011" s="15" t="str">
        <f t="shared" si="5"/>
        <v>C-6</v>
      </c>
      <c r="U1011" s="15" t="str">
        <f t="shared" si="6"/>
        <v>T8-M7-H3-FC-6-VERIFY</v>
      </c>
      <c r="V1011" s="15">
        <f t="shared" si="7"/>
        <v>0</v>
      </c>
      <c r="W1011" s="31"/>
      <c r="X1011" s="15" t="str">
        <f t="shared" si="8"/>
        <v>gadarpur</v>
      </c>
      <c r="Y1011" s="32" t="str">
        <f t="shared" si="9"/>
        <v>https://steelmanufacturer.in/market-area/electropolished-pipes-manufacturer-in-gadarpur/</v>
      </c>
      <c r="Z1011" s="15" t="str">
        <f t="shared" si="10"/>
        <v>Electropolished Pipes Manufacturer in Gadarpur - EP Tube Stockist</v>
      </c>
      <c r="AA1011" s="15" t="str">
        <f t="shared" si="11"/>
        <v>OK (65)</v>
      </c>
      <c r="AB1011" s="15" t="str">
        <f t="shared" si="12"/>
        <v>Electropolished pipes in Gadarpur: 304, 304L, 316 and 316L in SF1-SF4. VERIFY. Mill certified.</v>
      </c>
      <c r="AC1011" s="15" t="str">
        <f t="shared" si="13"/>
        <v>PENDING RESEARCH</v>
      </c>
      <c r="AD1011" s="15" t="str">
        <f t="shared" si="14"/>
        <v>Electropolished Pipes Manufacturer in Gadarpur</v>
      </c>
      <c r="AE1011" s="15" t="str">
        <f t="shared" si="15"/>
        <v>Electropolished Pipes Manufacturer in Gadarpur - Our Process &amp; Capability</v>
      </c>
      <c r="AF1011" s="15" t="str">
        <f t="shared" si="16"/>
        <v>Electropolished Pipes Supplier in Gadarpur - What We Hold in Stock</v>
      </c>
      <c r="AG1011" s="15" t="str">
        <f t="shared" si="17"/>
        <v>Bulk &amp; Wholesale Electropolished Pipe Rates for Gadarpur Buyers</v>
      </c>
      <c r="AH1011" s="15" t="str">
        <f t="shared" si="18"/>
        <v>electropolished pipes manufacturer in Gadarpur, electropolished pipes supplier in Gadarpur, electropolished pipes wholesaler in Gadarpur, electropolished tube manufacturer Gadarpur, EP pipe supplier Gadarpur, sanitary tube supplier Gadarpur, ASME BPE tubing Gadarpur, ASTM A270 tube Gadarpur, SS 316L electropolished pipe Gadarpur</v>
      </c>
      <c r="AI1011" s="15" t="str">
        <f t="shared" si="19"/>
        <v>Electropolished Pipes Manufacturer &amp; Supplier in Gadarpur</v>
      </c>
      <c r="AJ1011" s="15" t="str">
        <f t="shared" si="20"/>
        <v>EP-finished SS 304/316L pipes and tubes for VERIFY plants in Gadarpur. ASME BPE SF1-SF4, Ra from 0.25 um, EN 10204 3.1 certificate with every lot.</v>
      </c>
      <c r="AK1011" s="15" t="str">
        <f t="shared" si="21"/>
        <v>Electropolished stainless steel pipes supplied by Sakshi Forge to VERIFY plants at SIIDCUL Industrial Area, Gadarpur</v>
      </c>
      <c r="AL1011" s="15" t="str">
        <f t="shared" si="22"/>
        <v>Electropolished SS 316L tube stock for Gadarpur - Sakshi Forge</v>
      </c>
      <c r="AM1011" s="15" t="str">
        <f t="shared" si="23"/>
        <v>Home &gt; Market Area &gt; India &gt; Uttarakhand &gt; Gadarpur</v>
      </c>
      <c r="AN1011" s="15">
        <f t="shared" si="24"/>
        <v>750</v>
      </c>
      <c r="AO1011" s="15">
        <f t="shared" si="25"/>
        <v>6</v>
      </c>
      <c r="AP1011" s="15">
        <f t="shared" si="26"/>
        <v>6</v>
      </c>
      <c r="AQ1011" s="15">
        <f t="shared" si="27"/>
        <v>17</v>
      </c>
      <c r="AR1011" s="31"/>
      <c r="AS1011" s="31"/>
      <c r="AT1011" s="35" t="s">
        <v>222</v>
      </c>
      <c r="AU1011" s="35"/>
    </row>
    <row r="1012" ht="15.75" customHeight="1">
      <c r="A1012" s="15" t="s">
        <v>5306</v>
      </c>
      <c r="B1012" s="15" t="s">
        <v>60</v>
      </c>
      <c r="C1012" s="15" t="s">
        <v>1312</v>
      </c>
      <c r="D1012" s="15" t="s">
        <v>5307</v>
      </c>
      <c r="E1012" s="15" t="s">
        <v>5307</v>
      </c>
      <c r="F1012" s="58" t="s">
        <v>807</v>
      </c>
      <c r="G1012" s="66" t="s">
        <v>98</v>
      </c>
      <c r="H1012" s="18" t="s">
        <v>5309</v>
      </c>
      <c r="I1012" s="18" t="s">
        <v>8392</v>
      </c>
      <c r="J1012" s="18" t="s">
        <v>98</v>
      </c>
      <c r="K1012" s="18" t="s">
        <v>98</v>
      </c>
      <c r="L1012" s="18" t="s">
        <v>98</v>
      </c>
      <c r="M1012" s="18" t="s">
        <v>98</v>
      </c>
      <c r="N1012" s="18" t="s">
        <v>98</v>
      </c>
      <c r="O1012" s="18" t="s">
        <v>98</v>
      </c>
      <c r="P1012" s="15" t="str">
        <f t="shared" si="1"/>
        <v>VERIFY</v>
      </c>
      <c r="Q1012" s="15">
        <f t="shared" si="2"/>
        <v>1</v>
      </c>
      <c r="R1012" s="15">
        <f t="shared" si="3"/>
        <v>1</v>
      </c>
      <c r="S1012" s="15">
        <f t="shared" si="4"/>
        <v>4</v>
      </c>
      <c r="T1012" s="15" t="str">
        <f t="shared" si="5"/>
        <v>C-1</v>
      </c>
      <c r="U1012" s="15" t="str">
        <f t="shared" si="6"/>
        <v>T1-M1-H4-FC-1-VERIFY</v>
      </c>
      <c r="V1012" s="15">
        <f t="shared" si="7"/>
        <v>0</v>
      </c>
      <c r="W1012" s="31"/>
      <c r="X1012" s="15" t="str">
        <f t="shared" si="8"/>
        <v>gajwel</v>
      </c>
      <c r="Y1012" s="32" t="str">
        <f t="shared" si="9"/>
        <v>https://steelmanufacturer.in/market-area/electropolished-pipes-manufacturer-in-gajwel/</v>
      </c>
      <c r="Z1012" s="15" t="str">
        <f t="shared" si="10"/>
        <v>Electropolished Pipes Manufacturer in Gajwel | Sakshi Forge</v>
      </c>
      <c r="AA1012" s="15" t="str">
        <f t="shared" si="11"/>
        <v>OK (59)</v>
      </c>
      <c r="AB1012" s="15" t="str">
        <f t="shared" si="12"/>
        <v>EP-finished SS 304/316L pipes &amp; tubes for VERIFY plants in Gajwel. ASTM A270, ASME BPE SF1-SF4, EN 10204 3.1 MTC. PMI tested.</v>
      </c>
      <c r="AC1012" s="15" t="str">
        <f t="shared" si="13"/>
        <v>PENDING RESEARCH</v>
      </c>
      <c r="AD1012" s="15" t="str">
        <f t="shared" si="14"/>
        <v>Electropolished Pipes Manufacturer in Gajwel</v>
      </c>
      <c r="AE1012" s="15" t="str">
        <f t="shared" si="15"/>
        <v>Manufacturing Electropolished SS Tube for Gajwel: The Standards We Build To</v>
      </c>
      <c r="AF1012" s="15" t="str">
        <f t="shared" si="16"/>
        <v>Electropolished Pipe Supply Into Gajwel - Certification &amp; Transit</v>
      </c>
      <c r="AG1012" s="15" t="str">
        <f t="shared" si="17"/>
        <v>Electropolished Pipes Wholesaler in Gajwel - Project Quantities &amp; Terms</v>
      </c>
      <c r="AH1012" s="15" t="str">
        <f t="shared" si="18"/>
        <v>electropolished pipes manufacturer in Gajwel, electropolished pipes supplier in Gajwel, electropolished pipes wholesaler in Gajwel, electropolished tube manufacturer Gajwel, EP pipe supplier Gajwel, sanitary tube supplier Gajwel, ASME BPE tubing Gajwel, ASTM A270 tube Gajwel, SS 316L electropolished pipe Gajwel</v>
      </c>
      <c r="AI1012" s="15" t="str">
        <f t="shared" si="19"/>
        <v>Electropolished Pipes Manufacturer &amp; Supplier in Gajwel</v>
      </c>
      <c r="AJ1012" s="15" t="str">
        <f t="shared" si="20"/>
        <v>EP-finished SS 304/316L pipes and tubes for VERIFY plants in Gajwel. ASME BPE SF1-SF4, Ra from 0.25 um, EN 10204 3.1 certificate with every lot.</v>
      </c>
      <c r="AK1012" s="15" t="str">
        <f t="shared" si="21"/>
        <v>Electropolished stainless steel pipes supplied by Sakshi Forge to VERIFY plants at TSIIC Industrial Area, Gajwel</v>
      </c>
      <c r="AL1012" s="15" t="str">
        <f t="shared" si="22"/>
        <v>Electropolished SS 316L tube stock for Gajwel - Sakshi Forge</v>
      </c>
      <c r="AM1012" s="15" t="str">
        <f t="shared" si="23"/>
        <v>Home &gt; Market Area &gt; India &gt; Telangana &gt; Gajwel</v>
      </c>
      <c r="AN1012" s="15">
        <f t="shared" si="24"/>
        <v>750</v>
      </c>
      <c r="AO1012" s="15">
        <f t="shared" si="25"/>
        <v>6</v>
      </c>
      <c r="AP1012" s="15">
        <f t="shared" si="26"/>
        <v>6</v>
      </c>
      <c r="AQ1012" s="15">
        <f t="shared" si="27"/>
        <v>17</v>
      </c>
      <c r="AR1012" s="31"/>
      <c r="AS1012" s="31"/>
      <c r="AT1012" s="35" t="s">
        <v>222</v>
      </c>
      <c r="AU1012" s="35"/>
    </row>
    <row r="1013" ht="15.75" customHeight="1">
      <c r="A1013" s="15" t="s">
        <v>5310</v>
      </c>
      <c r="B1013" s="15" t="s">
        <v>60</v>
      </c>
      <c r="C1013" s="15" t="s">
        <v>245</v>
      </c>
      <c r="D1013" s="15" t="s">
        <v>5311</v>
      </c>
      <c r="E1013" s="15" t="s">
        <v>5311</v>
      </c>
      <c r="F1013" s="58" t="s">
        <v>807</v>
      </c>
      <c r="G1013" s="66" t="s">
        <v>98</v>
      </c>
      <c r="H1013" s="18" t="s">
        <v>5313</v>
      </c>
      <c r="I1013" s="18" t="s">
        <v>8407</v>
      </c>
      <c r="J1013" s="18" t="s">
        <v>98</v>
      </c>
      <c r="K1013" s="18" t="s">
        <v>98</v>
      </c>
      <c r="L1013" s="18" t="s">
        <v>98</v>
      </c>
      <c r="M1013" s="18" t="s">
        <v>98</v>
      </c>
      <c r="N1013" s="18" t="s">
        <v>98</v>
      </c>
      <c r="O1013" s="18" t="s">
        <v>98</v>
      </c>
      <c r="P1013" s="15" t="str">
        <f t="shared" si="1"/>
        <v>VERIFY</v>
      </c>
      <c r="Q1013" s="15">
        <f t="shared" si="2"/>
        <v>2</v>
      </c>
      <c r="R1013" s="15">
        <f t="shared" si="3"/>
        <v>2</v>
      </c>
      <c r="S1013" s="15">
        <f t="shared" si="4"/>
        <v>5</v>
      </c>
      <c r="T1013" s="15" t="str">
        <f t="shared" si="5"/>
        <v>C-2</v>
      </c>
      <c r="U1013" s="15" t="str">
        <f t="shared" si="6"/>
        <v>T2-M2-H5-FC-2-VERIFY</v>
      </c>
      <c r="V1013" s="15">
        <f t="shared" si="7"/>
        <v>0</v>
      </c>
      <c r="W1013" s="31"/>
      <c r="X1013" s="15" t="str">
        <f t="shared" si="8"/>
        <v>ganaur</v>
      </c>
      <c r="Y1013" s="32" t="str">
        <f t="shared" si="9"/>
        <v>https://steelmanufacturer.in/market-area/electropolished-pipes-manufacturer-in-ganaur/</v>
      </c>
      <c r="Z1013" s="15" t="str">
        <f t="shared" si="10"/>
        <v>Electropolished Pipes Manufacturer in Ganaur</v>
      </c>
      <c r="AA1013" s="15" t="str">
        <f t="shared" si="11"/>
        <v>OK (44)</v>
      </c>
      <c r="AB1013" s="15" t="str">
        <f t="shared" si="12"/>
        <v>Electropolished tube supply to HSIIDC Industrial Area, Ganaur. Ra from 0.25 um, SF4 finish, mill test certificate with every lot.</v>
      </c>
      <c r="AC1013" s="15" t="str">
        <f t="shared" si="13"/>
        <v>PENDING RESEARCH</v>
      </c>
      <c r="AD1013" s="15" t="str">
        <f t="shared" si="14"/>
        <v>Electropolished Pipes Manufacturer in Ganaur</v>
      </c>
      <c r="AE1013" s="15" t="str">
        <f t="shared" si="15"/>
        <v>Electropolished Tube Manufacturing Capability Serving Ganaur</v>
      </c>
      <c r="AF1013" s="15" t="str">
        <f t="shared" si="16"/>
        <v>Electropolished Pipes Supplier in Ganaur - From Order to Delivery</v>
      </c>
      <c r="AG1013" s="15" t="str">
        <f t="shared" si="17"/>
        <v>Stockist &amp; Wholesale Supply of Electropolished Pipes in Ganaur</v>
      </c>
      <c r="AH1013" s="15" t="str">
        <f t="shared" si="18"/>
        <v>electropolished pipes manufacturer in Ganaur, electropolished pipes supplier in Ganaur, electropolished pipes wholesaler in Ganaur, electropolished tube manufacturer Ganaur, EP pipe supplier Ganaur, sanitary tube supplier Ganaur, ASME BPE tubing Ganaur, ASTM A270 tube Ganaur, SS 316L electropolished pipe Ganaur</v>
      </c>
      <c r="AI1013" s="15" t="str">
        <f t="shared" si="19"/>
        <v>Electropolished Pipes Manufacturer &amp; Supplier in Ganaur</v>
      </c>
      <c r="AJ1013" s="15" t="str">
        <f t="shared" si="20"/>
        <v>EP-finished SS 304/316L pipes and tubes for VERIFY plants in Ganaur. ASME BPE SF1-SF4, Ra from 0.25 um, EN 10204 3.1 certificate with every lot.</v>
      </c>
      <c r="AK1013" s="15" t="str">
        <f t="shared" si="21"/>
        <v>Electropolished stainless steel pipes supplied by Sakshi Forge to VERIFY plants at HSIIDC Industrial Area, Ganaur</v>
      </c>
      <c r="AL1013" s="15" t="str">
        <f t="shared" si="22"/>
        <v>Electropolished SS 316L tube stock for Ganaur - Sakshi Forge</v>
      </c>
      <c r="AM1013" s="15" t="str">
        <f t="shared" si="23"/>
        <v>Home &gt; Market Area &gt; India &gt; Haryana &gt; Ganaur</v>
      </c>
      <c r="AN1013" s="15">
        <f t="shared" si="24"/>
        <v>750</v>
      </c>
      <c r="AO1013" s="15">
        <f t="shared" si="25"/>
        <v>6</v>
      </c>
      <c r="AP1013" s="15">
        <f t="shared" si="26"/>
        <v>6</v>
      </c>
      <c r="AQ1013" s="15">
        <f t="shared" si="27"/>
        <v>17</v>
      </c>
      <c r="AR1013" s="31"/>
      <c r="AS1013" s="31"/>
      <c r="AT1013" s="35" t="s">
        <v>222</v>
      </c>
      <c r="AU1013" s="35"/>
    </row>
    <row r="1014" ht="15.75" customHeight="1">
      <c r="A1014" s="15" t="s">
        <v>5314</v>
      </c>
      <c r="B1014" s="15" t="s">
        <v>60</v>
      </c>
      <c r="C1014" s="15" t="s">
        <v>264</v>
      </c>
      <c r="D1014" s="15" t="s">
        <v>5315</v>
      </c>
      <c r="E1014" s="15" t="s">
        <v>5315</v>
      </c>
      <c r="F1014" s="58" t="s">
        <v>807</v>
      </c>
      <c r="G1014" s="66" t="s">
        <v>98</v>
      </c>
      <c r="H1014" s="18" t="s">
        <v>5317</v>
      </c>
      <c r="I1014" s="18" t="s">
        <v>8395</v>
      </c>
      <c r="J1014" s="18" t="s">
        <v>98</v>
      </c>
      <c r="K1014" s="18" t="s">
        <v>98</v>
      </c>
      <c r="L1014" s="18" t="s">
        <v>98</v>
      </c>
      <c r="M1014" s="18" t="s">
        <v>98</v>
      </c>
      <c r="N1014" s="18" t="s">
        <v>98</v>
      </c>
      <c r="O1014" s="18" t="s">
        <v>98</v>
      </c>
      <c r="P1014" s="15" t="str">
        <f t="shared" si="1"/>
        <v>VERIFY</v>
      </c>
      <c r="Q1014" s="15">
        <f t="shared" si="2"/>
        <v>3</v>
      </c>
      <c r="R1014" s="15">
        <f t="shared" si="3"/>
        <v>3</v>
      </c>
      <c r="S1014" s="15">
        <f t="shared" si="4"/>
        <v>1</v>
      </c>
      <c r="T1014" s="15" t="str">
        <f t="shared" si="5"/>
        <v>C-3</v>
      </c>
      <c r="U1014" s="15" t="str">
        <f t="shared" si="6"/>
        <v>T3-M3-H1-FC-3-VERIFY</v>
      </c>
      <c r="V1014" s="15">
        <f t="shared" si="7"/>
        <v>0</v>
      </c>
      <c r="W1014" s="31"/>
      <c r="X1014" s="15" t="str">
        <f t="shared" si="8"/>
        <v>gangakhed</v>
      </c>
      <c r="Y1014" s="32" t="str">
        <f t="shared" si="9"/>
        <v>https://steelmanufacturer.in/market-area/electropolished-pipes-manufacturer-in-gangakhed/</v>
      </c>
      <c r="Z1014" s="15" t="str">
        <f t="shared" si="10"/>
        <v>Electropolished Pipes Manufacturer in Gangakhed</v>
      </c>
      <c r="AA1014" s="15" t="str">
        <f t="shared" si="11"/>
        <v>OK (47)</v>
      </c>
      <c r="AB1014" s="15" t="str">
        <f t="shared" si="12"/>
        <v>EP stainless tube for VERIFY lines in Gangakhed. VERIFY. ASTM A270 S2, PMI tested, EN 10204 3.1.</v>
      </c>
      <c r="AC1014" s="15" t="str">
        <f t="shared" si="13"/>
        <v>PENDING RESEARCH</v>
      </c>
      <c r="AD1014" s="15" t="str">
        <f t="shared" si="14"/>
        <v>Electropolished Pipes Manufacturer in Gangakhed</v>
      </c>
      <c r="AE1014" s="15" t="str">
        <f t="shared" si="15"/>
        <v>Electropolished Pipe &amp; Tube Manufacturing for Gangakhed - Grades, Finishes &amp; Certification</v>
      </c>
      <c r="AF1014" s="15" t="str">
        <f t="shared" si="16"/>
        <v>Electropolished Pipes Supplier in Gangakhed - Stock Sizes, Lead Time &amp; Delivery</v>
      </c>
      <c r="AG1014" s="15" t="str">
        <f t="shared" si="17"/>
        <v>Electropolished Pipes Wholesaler &amp; Stockist in Gangakhed - Bulk &amp; Project Pricing</v>
      </c>
      <c r="AH1014" s="15" t="str">
        <f t="shared" si="18"/>
        <v>electropolished pipes manufacturer in Gangakhed, electropolished pipes supplier in Gangakhed, electropolished pipes wholesaler in Gangakhed, electropolished tube manufacturer Gangakhed, EP pipe supplier Gangakhed, sanitary tube supplier Gangakhed, ASME BPE tubing Gangakhed, ASTM A270 tube Gangakhed, SS 316L electropolished pipe Gangakhed</v>
      </c>
      <c r="AI1014" s="15" t="str">
        <f t="shared" si="19"/>
        <v>Electropolished Pipes Manufacturer &amp; Supplier in Gangakhed</v>
      </c>
      <c r="AJ1014" s="15" t="str">
        <f t="shared" si="20"/>
        <v>EP-finished SS 304/316L pipes and tubes for VERIFY plants in Gangakhed. ASME BPE SF1-SF4, Ra from 0.25 um, EN 10204 3.1 certificate with every lot.</v>
      </c>
      <c r="AK1014" s="15" t="str">
        <f t="shared" si="21"/>
        <v>Electropolished stainless steel pipes supplied by Sakshi Forge to VERIFY plants at MIDC Industrial Area, Gangakhed</v>
      </c>
      <c r="AL1014" s="15" t="str">
        <f t="shared" si="22"/>
        <v>Electropolished SS 316L tube stock for Gangakhed - Sakshi Forge</v>
      </c>
      <c r="AM1014" s="15" t="str">
        <f t="shared" si="23"/>
        <v>Home &gt; Market Area &gt; India &gt; Maharashtra &gt; Gangakhed</v>
      </c>
      <c r="AN1014" s="15">
        <f t="shared" si="24"/>
        <v>750</v>
      </c>
      <c r="AO1014" s="15">
        <f t="shared" si="25"/>
        <v>6</v>
      </c>
      <c r="AP1014" s="15">
        <f t="shared" si="26"/>
        <v>6</v>
      </c>
      <c r="AQ1014" s="15">
        <f t="shared" si="27"/>
        <v>17</v>
      </c>
      <c r="AR1014" s="31"/>
      <c r="AS1014" s="31"/>
      <c r="AT1014" s="35" t="s">
        <v>222</v>
      </c>
      <c r="AU1014" s="35"/>
    </row>
    <row r="1015" ht="15.75" customHeight="1">
      <c r="A1015" s="15" t="s">
        <v>5318</v>
      </c>
      <c r="B1015" s="15" t="s">
        <v>60</v>
      </c>
      <c r="C1015" s="15" t="s">
        <v>878</v>
      </c>
      <c r="D1015" s="15" t="s">
        <v>5319</v>
      </c>
      <c r="E1015" s="15" t="s">
        <v>5319</v>
      </c>
      <c r="F1015" s="58" t="s">
        <v>807</v>
      </c>
      <c r="G1015" s="66" t="s">
        <v>98</v>
      </c>
      <c r="H1015" s="18" t="s">
        <v>5321</v>
      </c>
      <c r="I1015" s="18" t="s">
        <v>8415</v>
      </c>
      <c r="J1015" s="18" t="s">
        <v>98</v>
      </c>
      <c r="K1015" s="18" t="s">
        <v>98</v>
      </c>
      <c r="L1015" s="18" t="s">
        <v>98</v>
      </c>
      <c r="M1015" s="18" t="s">
        <v>98</v>
      </c>
      <c r="N1015" s="18" t="s">
        <v>98</v>
      </c>
      <c r="O1015" s="18" t="s">
        <v>98</v>
      </c>
      <c r="P1015" s="15" t="str">
        <f t="shared" si="1"/>
        <v>VERIFY</v>
      </c>
      <c r="Q1015" s="15">
        <f t="shared" si="2"/>
        <v>4</v>
      </c>
      <c r="R1015" s="15">
        <f t="shared" si="3"/>
        <v>4</v>
      </c>
      <c r="S1015" s="15">
        <f t="shared" si="4"/>
        <v>2</v>
      </c>
      <c r="T1015" s="15" t="str">
        <f t="shared" si="5"/>
        <v>C-4</v>
      </c>
      <c r="U1015" s="15" t="str">
        <f t="shared" si="6"/>
        <v>T4-M4-H2-FC-4-VERIFY</v>
      </c>
      <c r="V1015" s="15">
        <f t="shared" si="7"/>
        <v>0</v>
      </c>
      <c r="W1015" s="31"/>
      <c r="X1015" s="15" t="str">
        <f t="shared" si="8"/>
        <v>garhwa</v>
      </c>
      <c r="Y1015" s="32" t="str">
        <f t="shared" si="9"/>
        <v>https://steelmanufacturer.in/market-area/electropolished-pipes-manufacturer-in-garhwa/</v>
      </c>
      <c r="Z1015" s="15" t="str">
        <f t="shared" si="10"/>
        <v>Electropolished Pipes Manufacturer in Garhwa</v>
      </c>
      <c r="AA1015" s="15" t="str">
        <f t="shared" si="11"/>
        <v>OK (44)</v>
      </c>
      <c r="AB1015" s="15" t="str">
        <f t="shared" si="12"/>
        <v>Sanitary electropolished pipes in Garhwa for VERIFY plants. ASME BPE SF1-SF4, orbital-weld ready, 3.1 MTC. Mumbai-made.</v>
      </c>
      <c r="AC1015" s="15" t="str">
        <f t="shared" si="13"/>
        <v>PENDING RESEARCH</v>
      </c>
      <c r="AD1015" s="15" t="str">
        <f t="shared" si="14"/>
        <v>Electropolished Pipes Manufacturer in Garhwa</v>
      </c>
      <c r="AE1015" s="15" t="str">
        <f t="shared" si="15"/>
        <v>How We Manufacture Electropolished Tube for Garhwa Plants</v>
      </c>
      <c r="AF1015" s="15" t="str">
        <f t="shared" si="16"/>
        <v>Supplying Electropolished Pipes in Garhwa: Availability, Sizes &amp; Dispatch</v>
      </c>
      <c r="AG1015" s="15" t="str">
        <f t="shared" si="17"/>
        <v>Wholesale Electropolished Pipe Supply for Garhwa Projects</v>
      </c>
      <c r="AH1015" s="15" t="str">
        <f t="shared" si="18"/>
        <v>electropolished pipes manufacturer in Garhwa, electropolished pipes supplier in Garhwa, electropolished pipes wholesaler in Garhwa, electropolished tube manufacturer Garhwa, EP pipe supplier Garhwa, sanitary tube supplier Garhwa, ASME BPE tubing Garhwa, ASTM A270 tube Garhwa, SS 316L electropolished pipe Garhwa</v>
      </c>
      <c r="AI1015" s="15" t="str">
        <f t="shared" si="19"/>
        <v>Electropolished Pipes Manufacturer &amp; Supplier in Garhwa</v>
      </c>
      <c r="AJ1015" s="15" t="str">
        <f t="shared" si="20"/>
        <v>EP-finished SS 304/316L pipes and tubes for VERIFY plants in Garhwa. ASME BPE SF1-SF4, Ra from 0.25 um, EN 10204 3.1 certificate with every lot.</v>
      </c>
      <c r="AK1015" s="15" t="str">
        <f t="shared" si="21"/>
        <v>Electropolished stainless steel pipes supplied by Sakshi Forge to VERIFY plants at JIADA Industrial Area, Garhwa</v>
      </c>
      <c r="AL1015" s="15" t="str">
        <f t="shared" si="22"/>
        <v>Electropolished SS 316L tube stock for Garhwa - Sakshi Forge</v>
      </c>
      <c r="AM1015" s="15" t="str">
        <f t="shared" si="23"/>
        <v>Home &gt; Market Area &gt; India &gt; Jharkhand &gt; Garhwa</v>
      </c>
      <c r="AN1015" s="15">
        <f t="shared" si="24"/>
        <v>750</v>
      </c>
      <c r="AO1015" s="15">
        <f t="shared" si="25"/>
        <v>6</v>
      </c>
      <c r="AP1015" s="15">
        <f t="shared" si="26"/>
        <v>6</v>
      </c>
      <c r="AQ1015" s="15">
        <f t="shared" si="27"/>
        <v>17</v>
      </c>
      <c r="AR1015" s="31"/>
      <c r="AS1015" s="31"/>
      <c r="AT1015" s="35" t="s">
        <v>222</v>
      </c>
      <c r="AU1015" s="35"/>
    </row>
    <row r="1016" ht="15.75" customHeight="1">
      <c r="A1016" s="15" t="s">
        <v>5322</v>
      </c>
      <c r="B1016" s="15" t="s">
        <v>60</v>
      </c>
      <c r="C1016" s="15" t="s">
        <v>775</v>
      </c>
      <c r="D1016" s="15" t="s">
        <v>5323</v>
      </c>
      <c r="E1016" s="15" t="s">
        <v>5323</v>
      </c>
      <c r="F1016" s="58" t="s">
        <v>807</v>
      </c>
      <c r="G1016" s="66" t="s">
        <v>98</v>
      </c>
      <c r="H1016" s="18" t="s">
        <v>5325</v>
      </c>
      <c r="I1016" s="18" t="s">
        <v>8399</v>
      </c>
      <c r="J1016" s="18" t="s">
        <v>98</v>
      </c>
      <c r="K1016" s="18" t="s">
        <v>98</v>
      </c>
      <c r="L1016" s="18" t="s">
        <v>98</v>
      </c>
      <c r="M1016" s="18" t="s">
        <v>98</v>
      </c>
      <c r="N1016" s="18" t="s">
        <v>98</v>
      </c>
      <c r="O1016" s="18" t="s">
        <v>98</v>
      </c>
      <c r="P1016" s="15" t="str">
        <f t="shared" si="1"/>
        <v>VERIFY</v>
      </c>
      <c r="Q1016" s="15">
        <f t="shared" si="2"/>
        <v>5</v>
      </c>
      <c r="R1016" s="15">
        <f t="shared" si="3"/>
        <v>5</v>
      </c>
      <c r="S1016" s="15">
        <f t="shared" si="4"/>
        <v>3</v>
      </c>
      <c r="T1016" s="15" t="str">
        <f t="shared" si="5"/>
        <v>C-5</v>
      </c>
      <c r="U1016" s="15" t="str">
        <f t="shared" si="6"/>
        <v>T5-M5-H3-FC-5-VERIFY</v>
      </c>
      <c r="V1016" s="15">
        <f t="shared" si="7"/>
        <v>0</v>
      </c>
      <c r="W1016" s="31"/>
      <c r="X1016" s="15" t="str">
        <f t="shared" si="8"/>
        <v>gariaband</v>
      </c>
      <c r="Y1016" s="32" t="str">
        <f t="shared" si="9"/>
        <v>https://steelmanufacturer.in/market-area/electropolished-pipes-manufacturer-in-gariaband/</v>
      </c>
      <c r="Z1016" s="15" t="str">
        <f t="shared" si="10"/>
        <v>Electropolished Pipes Manufacturer in Gariaband</v>
      </c>
      <c r="AA1016" s="15" t="str">
        <f t="shared" si="11"/>
        <v>OK (47)</v>
      </c>
      <c r="AB1016" s="15" t="str">
        <f t="shared" si="12"/>
        <v>Manufacturer of electropolished SS 316L tube serving Gariaband. VERIFY. Ra 0.25-0.5 um, EN 10204 3.1 MTC.</v>
      </c>
      <c r="AC1016" s="15" t="str">
        <f t="shared" si="13"/>
        <v>PENDING RESEARCH</v>
      </c>
      <c r="AD1016" s="15" t="str">
        <f t="shared" si="14"/>
        <v>Electropolished Pipes Manufacturer in Gariaband</v>
      </c>
      <c r="AE1016" s="15" t="str">
        <f t="shared" si="15"/>
        <v>Electropolished Pipes Manufacturer in Gariaband - Our Process &amp; Capability</v>
      </c>
      <c r="AF1016" s="15" t="str">
        <f t="shared" si="16"/>
        <v>Electropolished Pipes Supplier in Gariaband - What We Hold in Stock</v>
      </c>
      <c r="AG1016" s="15" t="str">
        <f t="shared" si="17"/>
        <v>Bulk &amp; Wholesale Electropolished Pipe Rates for Gariaband Buyers</v>
      </c>
      <c r="AH1016" s="15" t="str">
        <f t="shared" si="18"/>
        <v>electropolished pipes manufacturer in Gariaband, electropolished pipes supplier in Gariaband, electropolished pipes wholesaler in Gariaband, electropolished tube manufacturer Gariaband, EP pipe supplier Gariaband, sanitary tube supplier Gariaband, ASME BPE tubing Gariaband, ASTM A270 tube Gariaband, SS 316L electropolished pipe Gariaband</v>
      </c>
      <c r="AI1016" s="15" t="str">
        <f t="shared" si="19"/>
        <v>Electropolished Pipes Manufacturer &amp; Supplier in Gariaband</v>
      </c>
      <c r="AJ1016" s="15" t="str">
        <f t="shared" si="20"/>
        <v>EP-finished SS 304/316L pipes and tubes for VERIFY plants in Gariaband. ASME BPE SF1-SF4, Ra from 0.25 um, EN 10204 3.1 certificate with every lot.</v>
      </c>
      <c r="AK1016" s="15" t="str">
        <f t="shared" si="21"/>
        <v>Electropolished stainless steel pipes supplied by Sakshi Forge to VERIFY plants at CSIDC Industrial Area, Gariaband</v>
      </c>
      <c r="AL1016" s="15" t="str">
        <f t="shared" si="22"/>
        <v>Electropolished SS 316L tube stock for Gariaband - Sakshi Forge</v>
      </c>
      <c r="AM1016" s="15" t="str">
        <f t="shared" si="23"/>
        <v>Home &gt; Market Area &gt; India &gt; Chhattisgarh &gt; Gariaband</v>
      </c>
      <c r="AN1016" s="15">
        <f t="shared" si="24"/>
        <v>750</v>
      </c>
      <c r="AO1016" s="15">
        <f t="shared" si="25"/>
        <v>6</v>
      </c>
      <c r="AP1016" s="15">
        <f t="shared" si="26"/>
        <v>6</v>
      </c>
      <c r="AQ1016" s="15">
        <f t="shared" si="27"/>
        <v>17</v>
      </c>
      <c r="AR1016" s="31"/>
      <c r="AS1016" s="31"/>
      <c r="AT1016" s="35" t="s">
        <v>222</v>
      </c>
      <c r="AU1016" s="35"/>
    </row>
    <row r="1017" ht="15.75" customHeight="1">
      <c r="A1017" s="15" t="s">
        <v>5326</v>
      </c>
      <c r="B1017" s="15" t="s">
        <v>60</v>
      </c>
      <c r="C1017" s="15" t="s">
        <v>775</v>
      </c>
      <c r="D1017" s="15" t="s">
        <v>5327</v>
      </c>
      <c r="E1017" s="15" t="s">
        <v>5327</v>
      </c>
      <c r="F1017" s="58" t="s">
        <v>807</v>
      </c>
      <c r="G1017" s="66" t="s">
        <v>98</v>
      </c>
      <c r="H1017" s="18" t="s">
        <v>5329</v>
      </c>
      <c r="I1017" s="18" t="s">
        <v>8399</v>
      </c>
      <c r="J1017" s="18" t="s">
        <v>98</v>
      </c>
      <c r="K1017" s="18" t="s">
        <v>98</v>
      </c>
      <c r="L1017" s="18" t="s">
        <v>98</v>
      </c>
      <c r="M1017" s="18" t="s">
        <v>98</v>
      </c>
      <c r="N1017" s="18" t="s">
        <v>98</v>
      </c>
      <c r="O1017" s="18" t="s">
        <v>98</v>
      </c>
      <c r="P1017" s="15" t="str">
        <f t="shared" si="1"/>
        <v>VERIFY</v>
      </c>
      <c r="Q1017" s="15">
        <f t="shared" si="2"/>
        <v>6</v>
      </c>
      <c r="R1017" s="15">
        <f t="shared" si="3"/>
        <v>6</v>
      </c>
      <c r="S1017" s="15">
        <f t="shared" si="4"/>
        <v>4</v>
      </c>
      <c r="T1017" s="15" t="str">
        <f t="shared" si="5"/>
        <v>C-6</v>
      </c>
      <c r="U1017" s="15" t="str">
        <f t="shared" si="6"/>
        <v>T6-M6-H4-FC-6-VERIFY</v>
      </c>
      <c r="V1017" s="15">
        <f t="shared" si="7"/>
        <v>0</v>
      </c>
      <c r="W1017" s="31"/>
      <c r="X1017" s="15" t="str">
        <f t="shared" si="8"/>
        <v>gaurela</v>
      </c>
      <c r="Y1017" s="32" t="str">
        <f t="shared" si="9"/>
        <v>https://steelmanufacturer.in/market-area/electropolished-pipes-manufacturer-in-gaurela/</v>
      </c>
      <c r="Z1017" s="15" t="str">
        <f t="shared" si="10"/>
        <v>Electropolished Pipes Manufacturer in Gaurela</v>
      </c>
      <c r="AA1017" s="15" t="str">
        <f t="shared" si="11"/>
        <v>OK (45)</v>
      </c>
      <c r="AB1017" s="15" t="str">
        <f t="shared" si="12"/>
        <v>EP tube and pipe for VERIFY plants around CSIDC Industrial Area, Gaurela. Made at our Mumbai works to ASTM A270 and ASME BPE SF1-SF4, with 3.1 MTC.</v>
      </c>
      <c r="AC1017" s="15" t="str">
        <f t="shared" si="13"/>
        <v>PENDING RESEARCH</v>
      </c>
      <c r="AD1017" s="15" t="str">
        <f t="shared" si="14"/>
        <v>Electropolished Pipes Manufacturer in Gaurela</v>
      </c>
      <c r="AE1017" s="15" t="str">
        <f t="shared" si="15"/>
        <v>Manufacturing Electropolished SS Tube for Gaurela: The Standards We Build To</v>
      </c>
      <c r="AF1017" s="15" t="str">
        <f t="shared" si="16"/>
        <v>Electropolished Pipe Supply Into Gaurela - Certification &amp; Transit</v>
      </c>
      <c r="AG1017" s="15" t="str">
        <f t="shared" si="17"/>
        <v>Electropolished Pipes Wholesaler in Gaurela - Project Quantities &amp; Terms</v>
      </c>
      <c r="AH1017" s="15" t="str">
        <f t="shared" si="18"/>
        <v>electropolished pipes manufacturer in Gaurela, electropolished pipes supplier in Gaurela, electropolished pipes wholesaler in Gaurela, electropolished tube manufacturer Gaurela, EP pipe supplier Gaurela, sanitary tube supplier Gaurela, ASME BPE tubing Gaurela, ASTM A270 tube Gaurela, SS 316L electropolished pipe Gaurela</v>
      </c>
      <c r="AI1017" s="15" t="str">
        <f t="shared" si="19"/>
        <v>Electropolished Pipes Manufacturer &amp; Supplier in Gaurela</v>
      </c>
      <c r="AJ1017" s="15" t="str">
        <f t="shared" si="20"/>
        <v>EP-finished SS 304/316L pipes and tubes for VERIFY plants in Gaurela. ASME BPE SF1-SF4, Ra from 0.25 um, EN 10204 3.1 certificate with every lot.</v>
      </c>
      <c r="AK1017" s="15" t="str">
        <f t="shared" si="21"/>
        <v>Electropolished stainless steel pipes supplied by Sakshi Forge to VERIFY plants at CSIDC Industrial Area, Gaurela</v>
      </c>
      <c r="AL1017" s="15" t="str">
        <f t="shared" si="22"/>
        <v>Electropolished SS 316L tube stock for Gaurela - Sakshi Forge</v>
      </c>
      <c r="AM1017" s="15" t="str">
        <f t="shared" si="23"/>
        <v>Home &gt; Market Area &gt; India &gt; Chhattisgarh &gt; Gaurela</v>
      </c>
      <c r="AN1017" s="15">
        <f t="shared" si="24"/>
        <v>750</v>
      </c>
      <c r="AO1017" s="15">
        <f t="shared" si="25"/>
        <v>6</v>
      </c>
      <c r="AP1017" s="15">
        <f t="shared" si="26"/>
        <v>6</v>
      </c>
      <c r="AQ1017" s="15">
        <f t="shared" si="27"/>
        <v>17</v>
      </c>
      <c r="AR1017" s="31"/>
      <c r="AS1017" s="31"/>
      <c r="AT1017" s="35" t="s">
        <v>222</v>
      </c>
      <c r="AU1017" s="35"/>
    </row>
    <row r="1018" ht="15.75" customHeight="1">
      <c r="A1018" s="15" t="s">
        <v>5330</v>
      </c>
      <c r="B1018" s="15" t="s">
        <v>60</v>
      </c>
      <c r="C1018" s="15" t="s">
        <v>264</v>
      </c>
      <c r="D1018" s="15" t="s">
        <v>5331</v>
      </c>
      <c r="E1018" s="15" t="s">
        <v>5331</v>
      </c>
      <c r="F1018" s="58" t="s">
        <v>807</v>
      </c>
      <c r="G1018" s="66" t="s">
        <v>98</v>
      </c>
      <c r="H1018" s="18" t="s">
        <v>5334</v>
      </c>
      <c r="I1018" s="18" t="s">
        <v>8395</v>
      </c>
      <c r="J1018" s="18" t="s">
        <v>98</v>
      </c>
      <c r="K1018" s="18" t="s">
        <v>98</v>
      </c>
      <c r="L1018" s="18" t="s">
        <v>98</v>
      </c>
      <c r="M1018" s="18" t="s">
        <v>98</v>
      </c>
      <c r="N1018" s="18" t="s">
        <v>98</v>
      </c>
      <c r="O1018" s="18" t="s">
        <v>98</v>
      </c>
      <c r="P1018" s="15" t="str">
        <f t="shared" si="1"/>
        <v>VERIFY</v>
      </c>
      <c r="Q1018" s="15">
        <f t="shared" si="2"/>
        <v>7</v>
      </c>
      <c r="R1018" s="15">
        <f t="shared" si="3"/>
        <v>7</v>
      </c>
      <c r="S1018" s="15">
        <f t="shared" si="4"/>
        <v>5</v>
      </c>
      <c r="T1018" s="15" t="str">
        <f t="shared" si="5"/>
        <v>C-1</v>
      </c>
      <c r="U1018" s="15" t="str">
        <f t="shared" si="6"/>
        <v>T7-M7-H5-FC-1-VERIFY</v>
      </c>
      <c r="V1018" s="15">
        <f t="shared" si="7"/>
        <v>0</v>
      </c>
      <c r="W1018" s="31"/>
      <c r="X1018" s="15" t="str">
        <f t="shared" si="8"/>
        <v>georai</v>
      </c>
      <c r="Y1018" s="32" t="str">
        <f t="shared" si="9"/>
        <v>https://steelmanufacturer.in/market-area/electropolished-pipes-manufacturer-in-georai/</v>
      </c>
      <c r="Z1018" s="15" t="str">
        <f t="shared" si="10"/>
        <v>Electropolished Pipes Manufacturer in Georai | ASME BPE SF1-SF4</v>
      </c>
      <c r="AA1018" s="15" t="str">
        <f t="shared" si="11"/>
        <v>OK (63)</v>
      </c>
      <c r="AB1018" s="15" t="str">
        <f t="shared" si="12"/>
        <v>Electropolished pipes in Georai: 304, 304L, 316 and 316L in SF1-SF4. VERIFY. Mill certified.</v>
      </c>
      <c r="AC1018" s="15" t="str">
        <f t="shared" si="13"/>
        <v>PENDING RESEARCH</v>
      </c>
      <c r="AD1018" s="15" t="str">
        <f t="shared" si="14"/>
        <v>Electropolished Pipes Manufacturer in Georai</v>
      </c>
      <c r="AE1018" s="15" t="str">
        <f t="shared" si="15"/>
        <v>Electropolished Tube Manufacturing Capability Serving Georai</v>
      </c>
      <c r="AF1018" s="15" t="str">
        <f t="shared" si="16"/>
        <v>Electropolished Pipes Supplier in Georai - From Order to Delivery</v>
      </c>
      <c r="AG1018" s="15" t="str">
        <f t="shared" si="17"/>
        <v>Stockist &amp; Wholesale Supply of Electropolished Pipes in Georai</v>
      </c>
      <c r="AH1018" s="15" t="str">
        <f t="shared" si="18"/>
        <v>electropolished pipes manufacturer in Georai, electropolished pipes supplier in Georai, electropolished pipes wholesaler in Georai, electropolished tube manufacturer Georai, EP pipe supplier Georai, sanitary tube supplier Georai, ASME BPE tubing Georai, ASTM A270 tube Georai, SS 316L electropolished pipe Georai</v>
      </c>
      <c r="AI1018" s="15" t="str">
        <f t="shared" si="19"/>
        <v>Electropolished Pipes Manufacturer &amp; Supplier in Georai</v>
      </c>
      <c r="AJ1018" s="15" t="str">
        <f t="shared" si="20"/>
        <v>EP-finished SS 304/316L pipes and tubes for VERIFY plants in Georai. ASME BPE SF1-SF4, Ra from 0.25 um, EN 10204 3.1 certificate with every lot.</v>
      </c>
      <c r="AK1018" s="15" t="str">
        <f t="shared" si="21"/>
        <v>Electropolished stainless steel pipes supplied by Sakshi Forge to VERIFY plants at MIDC Industrial Area, Georai</v>
      </c>
      <c r="AL1018" s="15" t="str">
        <f t="shared" si="22"/>
        <v>Electropolished SS 316L tube stock for Georai - Sakshi Forge</v>
      </c>
      <c r="AM1018" s="15" t="str">
        <f t="shared" si="23"/>
        <v>Home &gt; Market Area &gt; India &gt; Maharashtra &gt; Georai</v>
      </c>
      <c r="AN1018" s="15">
        <f t="shared" si="24"/>
        <v>750</v>
      </c>
      <c r="AO1018" s="15">
        <f t="shared" si="25"/>
        <v>6</v>
      </c>
      <c r="AP1018" s="15">
        <f t="shared" si="26"/>
        <v>6</v>
      </c>
      <c r="AQ1018" s="15">
        <f t="shared" si="27"/>
        <v>17</v>
      </c>
      <c r="AR1018" s="31"/>
      <c r="AS1018" s="31"/>
      <c r="AT1018" s="35" t="s">
        <v>222</v>
      </c>
      <c r="AU1018" s="35"/>
    </row>
    <row r="1019" ht="15.75" customHeight="1">
      <c r="A1019" s="15" t="s">
        <v>5337</v>
      </c>
      <c r="B1019" s="15" t="s">
        <v>60</v>
      </c>
      <c r="C1019" s="15" t="s">
        <v>85</v>
      </c>
      <c r="D1019" s="15" t="s">
        <v>5340</v>
      </c>
      <c r="E1019" s="15" t="s">
        <v>5340</v>
      </c>
      <c r="F1019" s="58" t="s">
        <v>807</v>
      </c>
      <c r="G1019" s="66" t="s">
        <v>98</v>
      </c>
      <c r="H1019" s="18" t="s">
        <v>5343</v>
      </c>
      <c r="I1019" s="18" t="s">
        <v>8398</v>
      </c>
      <c r="J1019" s="18" t="s">
        <v>98</v>
      </c>
      <c r="K1019" s="18" t="s">
        <v>98</v>
      </c>
      <c r="L1019" s="18" t="s">
        <v>98</v>
      </c>
      <c r="M1019" s="18" t="s">
        <v>98</v>
      </c>
      <c r="N1019" s="18" t="s">
        <v>98</v>
      </c>
      <c r="O1019" s="18" t="s">
        <v>98</v>
      </c>
      <c r="P1019" s="15" t="str">
        <f t="shared" si="1"/>
        <v>VERIFY</v>
      </c>
      <c r="Q1019" s="15">
        <f t="shared" si="2"/>
        <v>8</v>
      </c>
      <c r="R1019" s="15">
        <f t="shared" si="3"/>
        <v>1</v>
      </c>
      <c r="S1019" s="15">
        <f t="shared" si="4"/>
        <v>1</v>
      </c>
      <c r="T1019" s="15" t="str">
        <f t="shared" si="5"/>
        <v>C-2</v>
      </c>
      <c r="U1019" s="15" t="str">
        <f t="shared" si="6"/>
        <v>T8-M1-H1-FC-2-VERIFY</v>
      </c>
      <c r="V1019" s="15">
        <f t="shared" si="7"/>
        <v>0</v>
      </c>
      <c r="W1019" s="31"/>
      <c r="X1019" s="15" t="str">
        <f t="shared" si="8"/>
        <v>ghazipur</v>
      </c>
      <c r="Y1019" s="32" t="str">
        <f t="shared" si="9"/>
        <v>https://steelmanufacturer.in/market-area/electropolished-pipes-manufacturer-in-ghazipur/</v>
      </c>
      <c r="Z1019" s="15" t="str">
        <f t="shared" si="10"/>
        <v>Electropolished Pipes Manufacturer in Ghazipur - EP Tube Stockist</v>
      </c>
      <c r="AA1019" s="15" t="str">
        <f t="shared" si="11"/>
        <v>OK (65)</v>
      </c>
      <c r="AB1019" s="15" t="str">
        <f t="shared" si="12"/>
        <v>EP-finished SS 304/316L pipes &amp; tubes for VERIFY plants in Ghazipur. ASTM A270, ASME BPE SF1-SF4, EN 10204 3.1 MTC. PMI tested.</v>
      </c>
      <c r="AC1019" s="15" t="str">
        <f t="shared" si="13"/>
        <v>PENDING RESEARCH</v>
      </c>
      <c r="AD1019" s="15" t="str">
        <f t="shared" si="14"/>
        <v>Electropolished Pipes Manufacturer in Ghazipur</v>
      </c>
      <c r="AE1019" s="15" t="str">
        <f t="shared" si="15"/>
        <v>Electropolished Pipe &amp; Tube Manufacturing for Ghazipur - Grades, Finishes &amp; Certification</v>
      </c>
      <c r="AF1019" s="15" t="str">
        <f t="shared" si="16"/>
        <v>Electropolished Pipes Supplier in Ghazipur - Stock Sizes, Lead Time &amp; Delivery</v>
      </c>
      <c r="AG1019" s="15" t="str">
        <f t="shared" si="17"/>
        <v>Electropolished Pipes Wholesaler &amp; Stockist in Ghazipur - Bulk &amp; Project Pricing</v>
      </c>
      <c r="AH1019" s="15" t="str">
        <f t="shared" si="18"/>
        <v>electropolished pipes manufacturer in Ghazipur, electropolished pipes supplier in Ghazipur, electropolished pipes wholesaler in Ghazipur, electropolished tube manufacturer Ghazipur, EP pipe supplier Ghazipur, sanitary tube supplier Ghazipur, ASME BPE tubing Ghazipur, ASTM A270 tube Ghazipur, SS 316L electropolished pipe Ghazipur</v>
      </c>
      <c r="AI1019" s="15" t="str">
        <f t="shared" si="19"/>
        <v>Electropolished Pipes Manufacturer &amp; Supplier in Ghazipur</v>
      </c>
      <c r="AJ1019" s="15" t="str">
        <f t="shared" si="20"/>
        <v>EP-finished SS 304/316L pipes and tubes for VERIFY plants in Ghazipur. ASME BPE SF1-SF4, Ra from 0.25 um, EN 10204 3.1 certificate with every lot.</v>
      </c>
      <c r="AK1019" s="15" t="str">
        <f t="shared" si="21"/>
        <v>Electropolished stainless steel pipes supplied by Sakshi Forge to VERIFY plants at UPSIDA Industrial Area, Ghazipur</v>
      </c>
      <c r="AL1019" s="15" t="str">
        <f t="shared" si="22"/>
        <v>Electropolished SS 316L tube stock for Ghazipur - Sakshi Forge</v>
      </c>
      <c r="AM1019" s="15" t="str">
        <f t="shared" si="23"/>
        <v>Home &gt; Market Area &gt; India &gt; Uttar Pradesh &gt; Ghazipur</v>
      </c>
      <c r="AN1019" s="15">
        <f t="shared" si="24"/>
        <v>750</v>
      </c>
      <c r="AO1019" s="15">
        <f t="shared" si="25"/>
        <v>6</v>
      </c>
      <c r="AP1019" s="15">
        <f t="shared" si="26"/>
        <v>6</v>
      </c>
      <c r="AQ1019" s="15">
        <f t="shared" si="27"/>
        <v>17</v>
      </c>
      <c r="AR1019" s="31"/>
      <c r="AS1019" s="31"/>
      <c r="AT1019" s="35" t="s">
        <v>222</v>
      </c>
      <c r="AU1019" s="35"/>
    </row>
    <row r="1020" ht="15.75" customHeight="1">
      <c r="A1020" s="15" t="s">
        <v>5344</v>
      </c>
      <c r="B1020" s="15" t="s">
        <v>60</v>
      </c>
      <c r="C1020" s="15" t="s">
        <v>1155</v>
      </c>
      <c r="D1020" s="15" t="s">
        <v>5345</v>
      </c>
      <c r="E1020" s="15" t="s">
        <v>5345</v>
      </c>
      <c r="F1020" s="58" t="s">
        <v>807</v>
      </c>
      <c r="G1020" s="66" t="s">
        <v>98</v>
      </c>
      <c r="H1020" s="18" t="s">
        <v>5347</v>
      </c>
      <c r="I1020" s="18" t="s">
        <v>8412</v>
      </c>
      <c r="J1020" s="18" t="s">
        <v>98</v>
      </c>
      <c r="K1020" s="18" t="s">
        <v>98</v>
      </c>
      <c r="L1020" s="18" t="s">
        <v>98</v>
      </c>
      <c r="M1020" s="18" t="s">
        <v>98</v>
      </c>
      <c r="N1020" s="18" t="s">
        <v>98</v>
      </c>
      <c r="O1020" s="18" t="s">
        <v>98</v>
      </c>
      <c r="P1020" s="15" t="str">
        <f t="shared" si="1"/>
        <v>VERIFY</v>
      </c>
      <c r="Q1020" s="15">
        <f t="shared" si="2"/>
        <v>1</v>
      </c>
      <c r="R1020" s="15">
        <f t="shared" si="3"/>
        <v>2</v>
      </c>
      <c r="S1020" s="15">
        <f t="shared" si="4"/>
        <v>2</v>
      </c>
      <c r="T1020" s="15" t="str">
        <f t="shared" si="5"/>
        <v>C-3</v>
      </c>
      <c r="U1020" s="15" t="str">
        <f t="shared" si="6"/>
        <v>T1-M2-H2-FC-3-VERIFY</v>
      </c>
      <c r="V1020" s="15">
        <f t="shared" si="7"/>
        <v>0</v>
      </c>
      <c r="W1020" s="31"/>
      <c r="X1020" s="15" t="str">
        <f t="shared" si="8"/>
        <v>goalpara</v>
      </c>
      <c r="Y1020" s="32" t="str">
        <f t="shared" si="9"/>
        <v>https://steelmanufacturer.in/market-area/electropolished-pipes-manufacturer-in-goalpara/</v>
      </c>
      <c r="Z1020" s="15" t="str">
        <f t="shared" si="10"/>
        <v>Electropolished Pipes Manufacturer in Goalpara | Sakshi Forge</v>
      </c>
      <c r="AA1020" s="15" t="str">
        <f t="shared" si="11"/>
        <v>OK (61)</v>
      </c>
      <c r="AB1020" s="15" t="str">
        <f t="shared" si="12"/>
        <v>Electropolished tube supply to AIDC Industrial Area, Goalpara. Ra from 0.25 um, SF4 finish, mill test certificate with every lot.</v>
      </c>
      <c r="AC1020" s="15" t="str">
        <f t="shared" si="13"/>
        <v>PENDING RESEARCH</v>
      </c>
      <c r="AD1020" s="15" t="str">
        <f t="shared" si="14"/>
        <v>Electropolished Pipes Manufacturer in Goalpara</v>
      </c>
      <c r="AE1020" s="15" t="str">
        <f t="shared" si="15"/>
        <v>How We Manufacture Electropolished Tube for Goalpara Plants</v>
      </c>
      <c r="AF1020" s="15" t="str">
        <f t="shared" si="16"/>
        <v>Supplying Electropolished Pipes in Goalpara: Availability, Sizes &amp; Dispatch</v>
      </c>
      <c r="AG1020" s="15" t="str">
        <f t="shared" si="17"/>
        <v>Wholesale Electropolished Pipe Supply for Goalpara Projects</v>
      </c>
      <c r="AH1020" s="15" t="str">
        <f t="shared" si="18"/>
        <v>electropolished pipes manufacturer in Goalpara, electropolished pipes supplier in Goalpara, electropolished pipes wholesaler in Goalpara, electropolished tube manufacturer Goalpara, EP pipe supplier Goalpara, sanitary tube supplier Goalpara, ASME BPE tubing Goalpara, ASTM A270 tube Goalpara, SS 316L electropolished pipe Goalpara</v>
      </c>
      <c r="AI1020" s="15" t="str">
        <f t="shared" si="19"/>
        <v>Electropolished Pipes Manufacturer &amp; Supplier in Goalpara</v>
      </c>
      <c r="AJ1020" s="15" t="str">
        <f t="shared" si="20"/>
        <v>EP-finished SS 304/316L pipes and tubes for VERIFY plants in Goalpara. ASME BPE SF1-SF4, Ra from 0.25 um, EN 10204 3.1 certificate with every lot.</v>
      </c>
      <c r="AK1020" s="15" t="str">
        <f t="shared" si="21"/>
        <v>Electropolished stainless steel pipes supplied by Sakshi Forge to VERIFY plants at AIDC Industrial Area, Goalpara</v>
      </c>
      <c r="AL1020" s="15" t="str">
        <f t="shared" si="22"/>
        <v>Electropolished SS 316L tube stock for Goalpara - Sakshi Forge</v>
      </c>
      <c r="AM1020" s="15" t="str">
        <f t="shared" si="23"/>
        <v>Home &gt; Market Area &gt; India &gt; Assam &gt; Goalpara</v>
      </c>
      <c r="AN1020" s="15">
        <f t="shared" si="24"/>
        <v>750</v>
      </c>
      <c r="AO1020" s="15">
        <f t="shared" si="25"/>
        <v>6</v>
      </c>
      <c r="AP1020" s="15">
        <f t="shared" si="26"/>
        <v>6</v>
      </c>
      <c r="AQ1020" s="15">
        <f t="shared" si="27"/>
        <v>17</v>
      </c>
      <c r="AR1020" s="31"/>
      <c r="AS1020" s="31"/>
      <c r="AT1020" s="35" t="s">
        <v>222</v>
      </c>
      <c r="AU1020" s="35"/>
    </row>
    <row r="1021" ht="15.75" customHeight="1">
      <c r="A1021" s="15" t="s">
        <v>5348</v>
      </c>
      <c r="B1021" s="15" t="s">
        <v>60</v>
      </c>
      <c r="C1021" s="15" t="s">
        <v>878</v>
      </c>
      <c r="D1021" s="15" t="s">
        <v>5349</v>
      </c>
      <c r="E1021" s="15" t="s">
        <v>5349</v>
      </c>
      <c r="F1021" s="58" t="s">
        <v>807</v>
      </c>
      <c r="G1021" s="66" t="s">
        <v>98</v>
      </c>
      <c r="H1021" s="18" t="s">
        <v>5351</v>
      </c>
      <c r="I1021" s="18" t="s">
        <v>8415</v>
      </c>
      <c r="J1021" s="18" t="s">
        <v>98</v>
      </c>
      <c r="K1021" s="18" t="s">
        <v>98</v>
      </c>
      <c r="L1021" s="18" t="s">
        <v>98</v>
      </c>
      <c r="M1021" s="18" t="s">
        <v>98</v>
      </c>
      <c r="N1021" s="18" t="s">
        <v>98</v>
      </c>
      <c r="O1021" s="18" t="s">
        <v>98</v>
      </c>
      <c r="P1021" s="15" t="str">
        <f t="shared" si="1"/>
        <v>VERIFY</v>
      </c>
      <c r="Q1021" s="15">
        <f t="shared" si="2"/>
        <v>2</v>
      </c>
      <c r="R1021" s="15">
        <f t="shared" si="3"/>
        <v>3</v>
      </c>
      <c r="S1021" s="15">
        <f t="shared" si="4"/>
        <v>3</v>
      </c>
      <c r="T1021" s="15" t="str">
        <f t="shared" si="5"/>
        <v>C-4</v>
      </c>
      <c r="U1021" s="15" t="str">
        <f t="shared" si="6"/>
        <v>T2-M3-H3-FC-4-VERIFY</v>
      </c>
      <c r="V1021" s="15">
        <f t="shared" si="7"/>
        <v>0</v>
      </c>
      <c r="W1021" s="31"/>
      <c r="X1021" s="15" t="str">
        <f t="shared" si="8"/>
        <v>godda</v>
      </c>
      <c r="Y1021" s="32" t="str">
        <f t="shared" si="9"/>
        <v>https://steelmanufacturer.in/market-area/electropolished-pipes-manufacturer-in-godda/</v>
      </c>
      <c r="Z1021" s="15" t="str">
        <f t="shared" si="10"/>
        <v>Electropolished Pipes Manufacturer in Godda</v>
      </c>
      <c r="AA1021" s="15" t="str">
        <f t="shared" si="11"/>
        <v>OK (43)</v>
      </c>
      <c r="AB1021" s="15" t="str">
        <f t="shared" si="12"/>
        <v>EP stainless tube for VERIFY lines in Godda. VERIFY. ASTM A270 S2, PMI tested, EN 10204 3.1.</v>
      </c>
      <c r="AC1021" s="15" t="str">
        <f t="shared" si="13"/>
        <v>PENDING RESEARCH</v>
      </c>
      <c r="AD1021" s="15" t="str">
        <f t="shared" si="14"/>
        <v>Electropolished Pipes Manufacturer in Godda</v>
      </c>
      <c r="AE1021" s="15" t="str">
        <f t="shared" si="15"/>
        <v>Electropolished Pipes Manufacturer in Godda - Our Process &amp; Capability</v>
      </c>
      <c r="AF1021" s="15" t="str">
        <f t="shared" si="16"/>
        <v>Electropolished Pipes Supplier in Godda - What We Hold in Stock</v>
      </c>
      <c r="AG1021" s="15" t="str">
        <f t="shared" si="17"/>
        <v>Bulk &amp; Wholesale Electropolished Pipe Rates for Godda Buyers</v>
      </c>
      <c r="AH1021" s="15" t="str">
        <f t="shared" si="18"/>
        <v>electropolished pipes manufacturer in Godda, electropolished pipes supplier in Godda, electropolished pipes wholesaler in Godda, electropolished tube manufacturer Godda, EP pipe supplier Godda, sanitary tube supplier Godda, ASME BPE tubing Godda, ASTM A270 tube Godda, SS 316L electropolished pipe Godda</v>
      </c>
      <c r="AI1021" s="15" t="str">
        <f t="shared" si="19"/>
        <v>Electropolished Pipes Manufacturer &amp; Supplier in Godda</v>
      </c>
      <c r="AJ1021" s="15" t="str">
        <f t="shared" si="20"/>
        <v>EP-finished SS 304/316L pipes and tubes for VERIFY plants in Godda. ASME BPE SF1-SF4, Ra from 0.25 um, EN 10204 3.1 certificate with every lot.</v>
      </c>
      <c r="AK1021" s="15" t="str">
        <f t="shared" si="21"/>
        <v>Electropolished stainless steel pipes supplied by Sakshi Forge to VERIFY plants at JIADA Industrial Area, Godda</v>
      </c>
      <c r="AL1021" s="15" t="str">
        <f t="shared" si="22"/>
        <v>Electropolished SS 316L tube stock for Godda - Sakshi Forge</v>
      </c>
      <c r="AM1021" s="15" t="str">
        <f t="shared" si="23"/>
        <v>Home &gt; Market Area &gt; India &gt; Jharkhand &gt; Godda</v>
      </c>
      <c r="AN1021" s="15">
        <f t="shared" si="24"/>
        <v>750</v>
      </c>
      <c r="AO1021" s="15">
        <f t="shared" si="25"/>
        <v>6</v>
      </c>
      <c r="AP1021" s="15">
        <f t="shared" si="26"/>
        <v>6</v>
      </c>
      <c r="AQ1021" s="15">
        <f t="shared" si="27"/>
        <v>17</v>
      </c>
      <c r="AR1021" s="31"/>
      <c r="AS1021" s="31"/>
      <c r="AT1021" s="35" t="s">
        <v>222</v>
      </c>
      <c r="AU1021" s="35"/>
    </row>
    <row r="1022" ht="15.75" customHeight="1">
      <c r="A1022" s="15" t="s">
        <v>5352</v>
      </c>
      <c r="B1022" s="15" t="s">
        <v>60</v>
      </c>
      <c r="C1022" s="15" t="s">
        <v>245</v>
      </c>
      <c r="D1022" s="15" t="s">
        <v>5353</v>
      </c>
      <c r="E1022" s="15" t="s">
        <v>5353</v>
      </c>
      <c r="F1022" s="58" t="s">
        <v>807</v>
      </c>
      <c r="G1022" s="66" t="s">
        <v>98</v>
      </c>
      <c r="H1022" s="18" t="s">
        <v>5355</v>
      </c>
      <c r="I1022" s="18" t="s">
        <v>8407</v>
      </c>
      <c r="J1022" s="18" t="s">
        <v>98</v>
      </c>
      <c r="K1022" s="18" t="s">
        <v>98</v>
      </c>
      <c r="L1022" s="18" t="s">
        <v>98</v>
      </c>
      <c r="M1022" s="18" t="s">
        <v>98</v>
      </c>
      <c r="N1022" s="18" t="s">
        <v>98</v>
      </c>
      <c r="O1022" s="18" t="s">
        <v>98</v>
      </c>
      <c r="P1022" s="15" t="str">
        <f t="shared" si="1"/>
        <v>VERIFY</v>
      </c>
      <c r="Q1022" s="15">
        <f t="shared" si="2"/>
        <v>3</v>
      </c>
      <c r="R1022" s="15">
        <f t="shared" si="3"/>
        <v>4</v>
      </c>
      <c r="S1022" s="15">
        <f t="shared" si="4"/>
        <v>4</v>
      </c>
      <c r="T1022" s="15" t="str">
        <f t="shared" si="5"/>
        <v>C-5</v>
      </c>
      <c r="U1022" s="15" t="str">
        <f t="shared" si="6"/>
        <v>T3-M4-H4-FC-5-VERIFY</v>
      </c>
      <c r="V1022" s="15">
        <f t="shared" si="7"/>
        <v>0</v>
      </c>
      <c r="W1022" s="31"/>
      <c r="X1022" s="15" t="str">
        <f t="shared" si="8"/>
        <v>gohana</v>
      </c>
      <c r="Y1022" s="32" t="str">
        <f t="shared" si="9"/>
        <v>https://steelmanufacturer.in/market-area/electropolished-pipes-manufacturer-in-gohana/</v>
      </c>
      <c r="Z1022" s="15" t="str">
        <f t="shared" si="10"/>
        <v>Electropolished Pipes Manufacturer in Gohana | EP Tube Supplier</v>
      </c>
      <c r="AA1022" s="15" t="str">
        <f t="shared" si="11"/>
        <v>OK (63)</v>
      </c>
      <c r="AB1022" s="15" t="str">
        <f t="shared" si="12"/>
        <v>Sanitary electropolished pipes in Gohana for VERIFY plants. ASME BPE SF1-SF4, orbital-weld ready, 3.1 MTC. Mumbai-made.</v>
      </c>
      <c r="AC1022" s="15" t="str">
        <f t="shared" si="13"/>
        <v>PENDING RESEARCH</v>
      </c>
      <c r="AD1022" s="15" t="str">
        <f t="shared" si="14"/>
        <v>Electropolished Pipes Manufacturer in Gohana</v>
      </c>
      <c r="AE1022" s="15" t="str">
        <f t="shared" si="15"/>
        <v>Manufacturing Electropolished SS Tube for Gohana: The Standards We Build To</v>
      </c>
      <c r="AF1022" s="15" t="str">
        <f t="shared" si="16"/>
        <v>Electropolished Pipe Supply Into Gohana - Certification &amp; Transit</v>
      </c>
      <c r="AG1022" s="15" t="str">
        <f t="shared" si="17"/>
        <v>Electropolished Pipes Wholesaler in Gohana - Project Quantities &amp; Terms</v>
      </c>
      <c r="AH1022" s="15" t="str">
        <f t="shared" si="18"/>
        <v>electropolished pipes manufacturer in Gohana, electropolished pipes supplier in Gohana, electropolished pipes wholesaler in Gohana, electropolished tube manufacturer Gohana, EP pipe supplier Gohana, sanitary tube supplier Gohana, ASME BPE tubing Gohana, ASTM A270 tube Gohana, SS 316L electropolished pipe Gohana</v>
      </c>
      <c r="AI1022" s="15" t="str">
        <f t="shared" si="19"/>
        <v>Electropolished Pipes Manufacturer &amp; Supplier in Gohana</v>
      </c>
      <c r="AJ1022" s="15" t="str">
        <f t="shared" si="20"/>
        <v>EP-finished SS 304/316L pipes and tubes for VERIFY plants in Gohana. ASME BPE SF1-SF4, Ra from 0.25 um, EN 10204 3.1 certificate with every lot.</v>
      </c>
      <c r="AK1022" s="15" t="str">
        <f t="shared" si="21"/>
        <v>Electropolished stainless steel pipes supplied by Sakshi Forge to VERIFY plants at HSIIDC Industrial Area, Gohana</v>
      </c>
      <c r="AL1022" s="15" t="str">
        <f t="shared" si="22"/>
        <v>Electropolished SS 316L tube stock for Gohana - Sakshi Forge</v>
      </c>
      <c r="AM1022" s="15" t="str">
        <f t="shared" si="23"/>
        <v>Home &gt; Market Area &gt; India &gt; Haryana &gt; Gohana</v>
      </c>
      <c r="AN1022" s="15">
        <f t="shared" si="24"/>
        <v>750</v>
      </c>
      <c r="AO1022" s="15">
        <f t="shared" si="25"/>
        <v>6</v>
      </c>
      <c r="AP1022" s="15">
        <f t="shared" si="26"/>
        <v>6</v>
      </c>
      <c r="AQ1022" s="15">
        <f t="shared" si="27"/>
        <v>17</v>
      </c>
      <c r="AR1022" s="31"/>
      <c r="AS1022" s="31"/>
      <c r="AT1022" s="35" t="s">
        <v>222</v>
      </c>
      <c r="AU1022" s="35"/>
    </row>
    <row r="1023" ht="15.75" customHeight="1">
      <c r="A1023" s="15" t="s">
        <v>5356</v>
      </c>
      <c r="B1023" s="15" t="s">
        <v>60</v>
      </c>
      <c r="C1023" s="15" t="s">
        <v>85</v>
      </c>
      <c r="D1023" s="15" t="s">
        <v>5357</v>
      </c>
      <c r="E1023" s="15" t="s">
        <v>5357</v>
      </c>
      <c r="F1023" s="58" t="s">
        <v>807</v>
      </c>
      <c r="G1023" s="66" t="s">
        <v>98</v>
      </c>
      <c r="H1023" s="18" t="s">
        <v>5359</v>
      </c>
      <c r="I1023" s="18" t="s">
        <v>8398</v>
      </c>
      <c r="J1023" s="18" t="s">
        <v>98</v>
      </c>
      <c r="K1023" s="18" t="s">
        <v>98</v>
      </c>
      <c r="L1023" s="18" t="s">
        <v>98</v>
      </c>
      <c r="M1023" s="18" t="s">
        <v>98</v>
      </c>
      <c r="N1023" s="18" t="s">
        <v>98</v>
      </c>
      <c r="O1023" s="18" t="s">
        <v>98</v>
      </c>
      <c r="P1023" s="15" t="str">
        <f t="shared" si="1"/>
        <v>VERIFY</v>
      </c>
      <c r="Q1023" s="15">
        <f t="shared" si="2"/>
        <v>4</v>
      </c>
      <c r="R1023" s="15">
        <f t="shared" si="3"/>
        <v>5</v>
      </c>
      <c r="S1023" s="15">
        <f t="shared" si="4"/>
        <v>5</v>
      </c>
      <c r="T1023" s="15" t="str">
        <f t="shared" si="5"/>
        <v>C-6</v>
      </c>
      <c r="U1023" s="15" t="str">
        <f t="shared" si="6"/>
        <v>T4-M5-H5-FC-6-VERIFY</v>
      </c>
      <c r="V1023" s="15">
        <f t="shared" si="7"/>
        <v>0</v>
      </c>
      <c r="W1023" s="31"/>
      <c r="X1023" s="15" t="str">
        <f t="shared" si="8"/>
        <v>gonda</v>
      </c>
      <c r="Y1023" s="32" t="str">
        <f t="shared" si="9"/>
        <v>https://steelmanufacturer.in/market-area/electropolished-pipes-manufacturer-in-gonda/</v>
      </c>
      <c r="Z1023" s="15" t="str">
        <f t="shared" si="10"/>
        <v>Electropolished Pipes Manufacturer in Gonda - SS 304/316L EP Tube</v>
      </c>
      <c r="AA1023" s="15" t="str">
        <f t="shared" si="11"/>
        <v>OK (65)</v>
      </c>
      <c r="AB1023" s="15" t="str">
        <f t="shared" si="12"/>
        <v>Manufacturer of electropolished SS 316L tube serving Gonda. VERIFY. Ra 0.25-0.5 um, EN 10204 3.1 MTC.</v>
      </c>
      <c r="AC1023" s="15" t="str">
        <f t="shared" si="13"/>
        <v>PENDING RESEARCH</v>
      </c>
      <c r="AD1023" s="15" t="str">
        <f t="shared" si="14"/>
        <v>Electropolished Pipes Manufacturer in Gonda</v>
      </c>
      <c r="AE1023" s="15" t="str">
        <f t="shared" si="15"/>
        <v>Electropolished Tube Manufacturing Capability Serving Gonda</v>
      </c>
      <c r="AF1023" s="15" t="str">
        <f t="shared" si="16"/>
        <v>Electropolished Pipes Supplier in Gonda - From Order to Delivery</v>
      </c>
      <c r="AG1023" s="15" t="str">
        <f t="shared" si="17"/>
        <v>Stockist &amp; Wholesale Supply of Electropolished Pipes in Gonda</v>
      </c>
      <c r="AH1023" s="15" t="str">
        <f t="shared" si="18"/>
        <v>electropolished pipes manufacturer in Gonda, electropolished pipes supplier in Gonda, electropolished pipes wholesaler in Gonda, electropolished tube manufacturer Gonda, EP pipe supplier Gonda, sanitary tube supplier Gonda, ASME BPE tubing Gonda, ASTM A270 tube Gonda, SS 316L electropolished pipe Gonda</v>
      </c>
      <c r="AI1023" s="15" t="str">
        <f t="shared" si="19"/>
        <v>Electropolished Pipes Manufacturer &amp; Supplier in Gonda</v>
      </c>
      <c r="AJ1023" s="15" t="str">
        <f t="shared" si="20"/>
        <v>EP-finished SS 304/316L pipes and tubes for VERIFY plants in Gonda. ASME BPE SF1-SF4, Ra from 0.25 um, EN 10204 3.1 certificate with every lot.</v>
      </c>
      <c r="AK1023" s="15" t="str">
        <f t="shared" si="21"/>
        <v>Electropolished stainless steel pipes supplied by Sakshi Forge to VERIFY plants at UPSIDA Industrial Area, Gonda</v>
      </c>
      <c r="AL1023" s="15" t="str">
        <f t="shared" si="22"/>
        <v>Electropolished SS 316L tube stock for Gonda - Sakshi Forge</v>
      </c>
      <c r="AM1023" s="15" t="str">
        <f t="shared" si="23"/>
        <v>Home &gt; Market Area &gt; India &gt; Uttar Pradesh &gt; Gonda</v>
      </c>
      <c r="AN1023" s="15">
        <f t="shared" si="24"/>
        <v>750</v>
      </c>
      <c r="AO1023" s="15">
        <f t="shared" si="25"/>
        <v>6</v>
      </c>
      <c r="AP1023" s="15">
        <f t="shared" si="26"/>
        <v>6</v>
      </c>
      <c r="AQ1023" s="15">
        <f t="shared" si="27"/>
        <v>17</v>
      </c>
      <c r="AR1023" s="31"/>
      <c r="AS1023" s="31"/>
      <c r="AT1023" s="35" t="s">
        <v>222</v>
      </c>
      <c r="AU1023" s="35"/>
    </row>
    <row r="1024" ht="15.75" customHeight="1">
      <c r="A1024" s="15" t="s">
        <v>5360</v>
      </c>
      <c r="B1024" s="15" t="s">
        <v>60</v>
      </c>
      <c r="C1024" s="15" t="s">
        <v>424</v>
      </c>
      <c r="D1024" s="15" t="s">
        <v>5361</v>
      </c>
      <c r="E1024" s="15" t="s">
        <v>5361</v>
      </c>
      <c r="F1024" s="58" t="s">
        <v>807</v>
      </c>
      <c r="G1024" s="66" t="s">
        <v>98</v>
      </c>
      <c r="H1024" s="18" t="s">
        <v>5363</v>
      </c>
      <c r="I1024" s="18" t="s">
        <v>8406</v>
      </c>
      <c r="J1024" s="18" t="s">
        <v>98</v>
      </c>
      <c r="K1024" s="18" t="s">
        <v>98</v>
      </c>
      <c r="L1024" s="18" t="s">
        <v>98</v>
      </c>
      <c r="M1024" s="18" t="s">
        <v>98</v>
      </c>
      <c r="N1024" s="18" t="s">
        <v>98</v>
      </c>
      <c r="O1024" s="18" t="s">
        <v>98</v>
      </c>
      <c r="P1024" s="15" t="str">
        <f t="shared" si="1"/>
        <v>VERIFY</v>
      </c>
      <c r="Q1024" s="15">
        <f t="shared" si="2"/>
        <v>5</v>
      </c>
      <c r="R1024" s="15">
        <f t="shared" si="3"/>
        <v>6</v>
      </c>
      <c r="S1024" s="15">
        <f t="shared" si="4"/>
        <v>1</v>
      </c>
      <c r="T1024" s="15" t="str">
        <f t="shared" si="5"/>
        <v>C-1</v>
      </c>
      <c r="U1024" s="15" t="str">
        <f t="shared" si="6"/>
        <v>T5-M6-H1-FC-1-VERIFY</v>
      </c>
      <c r="V1024" s="15">
        <f t="shared" si="7"/>
        <v>0</v>
      </c>
      <c r="W1024" s="31"/>
      <c r="X1024" s="15" t="str">
        <f t="shared" si="8"/>
        <v>gop</v>
      </c>
      <c r="Y1024" s="32" t="str">
        <f t="shared" si="9"/>
        <v>https://steelmanufacturer.in/market-area/electropolished-pipes-manufacturer-in-gop/</v>
      </c>
      <c r="Z1024" s="15" t="str">
        <f t="shared" si="10"/>
        <v>Electropolished Pipes Manufacturer in Gop | Sanitary Tube Supply</v>
      </c>
      <c r="AA1024" s="15" t="str">
        <f t="shared" si="11"/>
        <v>OK (64)</v>
      </c>
      <c r="AB1024" s="15" t="str">
        <f t="shared" si="12"/>
        <v>EP tube and pipe for VERIFY plants around IDCO Industrial Area, Gop. Made at our Mumbai works to ASTM A270 and ASME BPE SF1-SF4, with 3.1 MTC.</v>
      </c>
      <c r="AC1024" s="15" t="str">
        <f t="shared" si="13"/>
        <v>PENDING RESEARCH</v>
      </c>
      <c r="AD1024" s="15" t="str">
        <f t="shared" si="14"/>
        <v>Electropolished Pipes Manufacturer in Gop</v>
      </c>
      <c r="AE1024" s="15" t="str">
        <f t="shared" si="15"/>
        <v>Electropolished Pipe &amp; Tube Manufacturing for Gop - Grades, Finishes &amp; Certification</v>
      </c>
      <c r="AF1024" s="15" t="str">
        <f t="shared" si="16"/>
        <v>Electropolished Pipes Supplier in Gop - Stock Sizes, Lead Time &amp; Delivery</v>
      </c>
      <c r="AG1024" s="15" t="str">
        <f t="shared" si="17"/>
        <v>Electropolished Pipes Wholesaler &amp; Stockist in Gop - Bulk &amp; Project Pricing</v>
      </c>
      <c r="AH1024" s="15" t="str">
        <f t="shared" si="18"/>
        <v>electropolished pipes manufacturer in Gop, electropolished pipes supplier in Gop, electropolished pipes wholesaler in Gop, electropolished tube manufacturer Gop, EP pipe supplier Gop, sanitary tube supplier Gop, ASME BPE tubing Gop, ASTM A270 tube Gop, SS 316L electropolished pipe Gop</v>
      </c>
      <c r="AI1024" s="15" t="str">
        <f t="shared" si="19"/>
        <v>Electropolished Pipes Manufacturer &amp; Supplier in Gop</v>
      </c>
      <c r="AJ1024" s="15" t="str">
        <f t="shared" si="20"/>
        <v>EP-finished SS 304/316L pipes and tubes for VERIFY plants in Gop. ASME BPE SF1-SF4, Ra from 0.25 um, EN 10204 3.1 certificate with every lot.</v>
      </c>
      <c r="AK1024" s="15" t="str">
        <f t="shared" si="21"/>
        <v>Electropolished stainless steel pipes supplied by Sakshi Forge to VERIFY plants at IDCO Industrial Area, Gop</v>
      </c>
      <c r="AL1024" s="15" t="str">
        <f t="shared" si="22"/>
        <v>Electropolished SS 316L tube stock for Gop - Sakshi Forge</v>
      </c>
      <c r="AM1024" s="15" t="str">
        <f t="shared" si="23"/>
        <v>Home &gt; Market Area &gt; India &gt; Odisha &gt; Gop</v>
      </c>
      <c r="AN1024" s="15">
        <f t="shared" si="24"/>
        <v>750</v>
      </c>
      <c r="AO1024" s="15">
        <f t="shared" si="25"/>
        <v>6</v>
      </c>
      <c r="AP1024" s="15">
        <f t="shared" si="26"/>
        <v>6</v>
      </c>
      <c r="AQ1024" s="15">
        <f t="shared" si="27"/>
        <v>18</v>
      </c>
      <c r="AR1024" s="31"/>
      <c r="AS1024" s="31"/>
      <c r="AT1024" s="35" t="s">
        <v>222</v>
      </c>
      <c r="AU1024" s="35"/>
    </row>
    <row r="1025" ht="15.75" customHeight="1">
      <c r="A1025" s="15" t="s">
        <v>5364</v>
      </c>
      <c r="B1025" s="15" t="s">
        <v>60</v>
      </c>
      <c r="C1025" s="15" t="s">
        <v>354</v>
      </c>
      <c r="D1025" s="15" t="s">
        <v>5365</v>
      </c>
      <c r="E1025" s="15" t="s">
        <v>5365</v>
      </c>
      <c r="F1025" s="58" t="s">
        <v>807</v>
      </c>
      <c r="G1025" s="66" t="s">
        <v>98</v>
      </c>
      <c r="H1025" s="18" t="s">
        <v>5367</v>
      </c>
      <c r="I1025" s="18" t="s">
        <v>8408</v>
      </c>
      <c r="J1025" s="18" t="s">
        <v>98</v>
      </c>
      <c r="K1025" s="18" t="s">
        <v>98</v>
      </c>
      <c r="L1025" s="18" t="s">
        <v>98</v>
      </c>
      <c r="M1025" s="18" t="s">
        <v>98</v>
      </c>
      <c r="N1025" s="18" t="s">
        <v>98</v>
      </c>
      <c r="O1025" s="18" t="s">
        <v>98</v>
      </c>
      <c r="P1025" s="15" t="str">
        <f t="shared" si="1"/>
        <v>VERIFY</v>
      </c>
      <c r="Q1025" s="15">
        <f t="shared" si="2"/>
        <v>6</v>
      </c>
      <c r="R1025" s="15">
        <f t="shared" si="3"/>
        <v>7</v>
      </c>
      <c r="S1025" s="15">
        <f t="shared" si="4"/>
        <v>2</v>
      </c>
      <c r="T1025" s="15" t="str">
        <f t="shared" si="5"/>
        <v>C-2</v>
      </c>
      <c r="U1025" s="15" t="str">
        <f t="shared" si="6"/>
        <v>T6-M7-H2-FC-2-VERIFY</v>
      </c>
      <c r="V1025" s="15">
        <f t="shared" si="7"/>
        <v>0</v>
      </c>
      <c r="W1025" s="31"/>
      <c r="X1025" s="15" t="str">
        <f t="shared" si="8"/>
        <v>goraya</v>
      </c>
      <c r="Y1025" s="32" t="str">
        <f t="shared" si="9"/>
        <v>https://steelmanufacturer.in/market-area/electropolished-pipes-manufacturer-in-goraya/</v>
      </c>
      <c r="Z1025" s="15" t="str">
        <f t="shared" si="10"/>
        <v>Electropolished Pipes Manufacturer in Goraya</v>
      </c>
      <c r="AA1025" s="15" t="str">
        <f t="shared" si="11"/>
        <v>OK (44)</v>
      </c>
      <c r="AB1025" s="15" t="str">
        <f t="shared" si="12"/>
        <v>Electropolished pipes in Goraya: 304, 304L, 316 and 316L in SF1-SF4. VERIFY. Mill certified.</v>
      </c>
      <c r="AC1025" s="15" t="str">
        <f t="shared" si="13"/>
        <v>PENDING RESEARCH</v>
      </c>
      <c r="AD1025" s="15" t="str">
        <f t="shared" si="14"/>
        <v>Electropolished Pipes Manufacturer in Goraya</v>
      </c>
      <c r="AE1025" s="15" t="str">
        <f t="shared" si="15"/>
        <v>How We Manufacture Electropolished Tube for Goraya Plants</v>
      </c>
      <c r="AF1025" s="15" t="str">
        <f t="shared" si="16"/>
        <v>Supplying Electropolished Pipes in Goraya: Availability, Sizes &amp; Dispatch</v>
      </c>
      <c r="AG1025" s="15" t="str">
        <f t="shared" si="17"/>
        <v>Wholesale Electropolished Pipe Supply for Goraya Projects</v>
      </c>
      <c r="AH1025" s="15" t="str">
        <f t="shared" si="18"/>
        <v>electropolished pipes manufacturer in Goraya, electropolished pipes supplier in Goraya, electropolished pipes wholesaler in Goraya, electropolished tube manufacturer Goraya, EP pipe supplier Goraya, sanitary tube supplier Goraya, ASME BPE tubing Goraya, ASTM A270 tube Goraya, SS 316L electropolished pipe Goraya</v>
      </c>
      <c r="AI1025" s="15" t="str">
        <f t="shared" si="19"/>
        <v>Electropolished Pipes Manufacturer &amp; Supplier in Goraya</v>
      </c>
      <c r="AJ1025" s="15" t="str">
        <f t="shared" si="20"/>
        <v>EP-finished SS 304/316L pipes and tubes for VERIFY plants in Goraya. ASME BPE SF1-SF4, Ra from 0.25 um, EN 10204 3.1 certificate with every lot.</v>
      </c>
      <c r="AK1025" s="15" t="str">
        <f t="shared" si="21"/>
        <v>Electropolished stainless steel pipes supplied by Sakshi Forge to VERIFY plants at PSIEC Industrial Area, Goraya</v>
      </c>
      <c r="AL1025" s="15" t="str">
        <f t="shared" si="22"/>
        <v>Electropolished SS 316L tube stock for Goraya - Sakshi Forge</v>
      </c>
      <c r="AM1025" s="15" t="str">
        <f t="shared" si="23"/>
        <v>Home &gt; Market Area &gt; India &gt; Punjab &gt; Goraya</v>
      </c>
      <c r="AN1025" s="15">
        <f t="shared" si="24"/>
        <v>750</v>
      </c>
      <c r="AO1025" s="15">
        <f t="shared" si="25"/>
        <v>6</v>
      </c>
      <c r="AP1025" s="15">
        <f t="shared" si="26"/>
        <v>6</v>
      </c>
      <c r="AQ1025" s="15">
        <f t="shared" si="27"/>
        <v>18</v>
      </c>
      <c r="AR1025" s="31"/>
      <c r="AS1025" s="31"/>
      <c r="AT1025" s="35" t="s">
        <v>222</v>
      </c>
      <c r="AU1025" s="35"/>
    </row>
    <row r="1026" ht="15.75" customHeight="1">
      <c r="A1026" s="15" t="s">
        <v>5368</v>
      </c>
      <c r="B1026" s="15" t="s">
        <v>60</v>
      </c>
      <c r="C1026" s="15" t="s">
        <v>958</v>
      </c>
      <c r="D1026" s="15" t="s">
        <v>5369</v>
      </c>
      <c r="E1026" s="15" t="s">
        <v>5369</v>
      </c>
      <c r="F1026" s="58" t="s">
        <v>807</v>
      </c>
      <c r="G1026" s="66" t="s">
        <v>98</v>
      </c>
      <c r="H1026" s="18" t="s">
        <v>5371</v>
      </c>
      <c r="I1026" s="18" t="s">
        <v>8403</v>
      </c>
      <c r="J1026" s="18" t="s">
        <v>98</v>
      </c>
      <c r="K1026" s="18" t="s">
        <v>98</v>
      </c>
      <c r="L1026" s="18" t="s">
        <v>98</v>
      </c>
      <c r="M1026" s="18" t="s">
        <v>98</v>
      </c>
      <c r="N1026" s="18" t="s">
        <v>98</v>
      </c>
      <c r="O1026" s="18" t="s">
        <v>98</v>
      </c>
      <c r="P1026" s="15" t="str">
        <f t="shared" si="1"/>
        <v>VERIFY</v>
      </c>
      <c r="Q1026" s="15">
        <f t="shared" si="2"/>
        <v>7</v>
      </c>
      <c r="R1026" s="15">
        <f t="shared" si="3"/>
        <v>1</v>
      </c>
      <c r="S1026" s="15">
        <f t="shared" si="4"/>
        <v>3</v>
      </c>
      <c r="T1026" s="15" t="str">
        <f t="shared" si="5"/>
        <v>C-3</v>
      </c>
      <c r="U1026" s="15" t="str">
        <f t="shared" si="6"/>
        <v>T7-M1-H3-FC-3-VERIFY</v>
      </c>
      <c r="V1026" s="15">
        <f t="shared" si="7"/>
        <v>0</v>
      </c>
      <c r="W1026" s="31"/>
      <c r="X1026" s="15" t="str">
        <f t="shared" si="8"/>
        <v>gudiyatham</v>
      </c>
      <c r="Y1026" s="32" t="str">
        <f t="shared" si="9"/>
        <v>https://steelmanufacturer.in/market-area/electropolished-pipes-manufacturer-in-gudiyatham/</v>
      </c>
      <c r="Z1026" s="15" t="str">
        <f t="shared" si="10"/>
        <v>Electropolished Pipes Manufacturer in Gudiyatham</v>
      </c>
      <c r="AA1026" s="15" t="str">
        <f t="shared" si="11"/>
        <v>OK (48)</v>
      </c>
      <c r="AB1026" s="15" t="str">
        <f t="shared" si="12"/>
        <v>EP-finished SS 304/316L pipes &amp; tubes for VERIFY plants in Gudiyatham. ASTM A270, ASME BPE SF1-SF4, EN 10204 3.1 MTC. PMI tested.</v>
      </c>
      <c r="AC1026" s="15" t="str">
        <f t="shared" si="13"/>
        <v>PENDING RESEARCH</v>
      </c>
      <c r="AD1026" s="15" t="str">
        <f t="shared" si="14"/>
        <v>Electropolished Pipes Manufacturer in Gudiyatham</v>
      </c>
      <c r="AE1026" s="15" t="str">
        <f t="shared" si="15"/>
        <v>Electropolished Pipes Manufacturer in Gudiyatham - Our Process &amp; Capability</v>
      </c>
      <c r="AF1026" s="15" t="str">
        <f t="shared" si="16"/>
        <v>Electropolished Pipes Supplier in Gudiyatham - What We Hold in Stock</v>
      </c>
      <c r="AG1026" s="15" t="str">
        <f t="shared" si="17"/>
        <v>Bulk &amp; Wholesale Electropolished Pipe Rates for Gudiyatham Buyers</v>
      </c>
      <c r="AH1026" s="15" t="str">
        <f t="shared" si="18"/>
        <v>electropolished pipes manufacturer in Gudiyatham, electropolished pipes supplier in Gudiyatham, electropolished pipes wholesaler in Gudiyatham, electropolished tube manufacturer Gudiyatham, EP pipe supplier Gudiyatham, sanitary tube supplier Gudiyatham, ASME BPE tubing Gudiyatham, ASTM A270 tube Gudiyatham, SS 316L electropolished pipe Gudiyatham</v>
      </c>
      <c r="AI1026" s="15" t="str">
        <f t="shared" si="19"/>
        <v>Electropolished Pipes Manufacturer &amp; Supplier in Gudiyatham</v>
      </c>
      <c r="AJ1026" s="15" t="str">
        <f t="shared" si="20"/>
        <v>EP-finished SS 304/316L pipes and tubes for VERIFY plants in Gudiyatham. ASME BPE SF1-SF4, Ra from 0.25 um, EN 10204 3.1 certificate with every lot.</v>
      </c>
      <c r="AK1026" s="15" t="str">
        <f t="shared" si="21"/>
        <v>Electropolished stainless steel pipes supplied by Sakshi Forge to VERIFY plants at SIPCOT Industrial Area, Gudiyatham</v>
      </c>
      <c r="AL1026" s="15" t="str">
        <f t="shared" si="22"/>
        <v>Electropolished SS 316L tube stock for Gudiyatham - Sakshi Forge</v>
      </c>
      <c r="AM1026" s="15" t="str">
        <f t="shared" si="23"/>
        <v>Home &gt; Market Area &gt; India &gt; Tamil Nadu &gt; Gudiyatham</v>
      </c>
      <c r="AN1026" s="15">
        <f t="shared" si="24"/>
        <v>750</v>
      </c>
      <c r="AO1026" s="15">
        <f t="shared" si="25"/>
        <v>6</v>
      </c>
      <c r="AP1026" s="15">
        <f t="shared" si="26"/>
        <v>6</v>
      </c>
      <c r="AQ1026" s="15">
        <f t="shared" si="27"/>
        <v>18</v>
      </c>
      <c r="AR1026" s="31"/>
      <c r="AS1026" s="31"/>
      <c r="AT1026" s="35" t="s">
        <v>222</v>
      </c>
      <c r="AU1026" s="35"/>
    </row>
    <row r="1027" ht="15.75" customHeight="1">
      <c r="A1027" s="15" t="s">
        <v>5372</v>
      </c>
      <c r="B1027" s="15" t="s">
        <v>60</v>
      </c>
      <c r="C1027" s="15" t="s">
        <v>878</v>
      </c>
      <c r="D1027" s="15" t="s">
        <v>5373</v>
      </c>
      <c r="E1027" s="15" t="s">
        <v>5373</v>
      </c>
      <c r="F1027" s="58" t="s">
        <v>807</v>
      </c>
      <c r="G1027" s="66" t="s">
        <v>98</v>
      </c>
      <c r="H1027" s="18" t="s">
        <v>5377</v>
      </c>
      <c r="I1027" s="18" t="s">
        <v>8415</v>
      </c>
      <c r="J1027" s="18" t="s">
        <v>98</v>
      </c>
      <c r="K1027" s="18" t="s">
        <v>98</v>
      </c>
      <c r="L1027" s="18" t="s">
        <v>98</v>
      </c>
      <c r="M1027" s="18" t="s">
        <v>98</v>
      </c>
      <c r="N1027" s="18" t="s">
        <v>98</v>
      </c>
      <c r="O1027" s="18" t="s">
        <v>98</v>
      </c>
      <c r="P1027" s="15" t="str">
        <f t="shared" si="1"/>
        <v>VERIFY</v>
      </c>
      <c r="Q1027" s="15">
        <f t="shared" si="2"/>
        <v>8</v>
      </c>
      <c r="R1027" s="15">
        <f t="shared" si="3"/>
        <v>2</v>
      </c>
      <c r="S1027" s="15">
        <f t="shared" si="4"/>
        <v>4</v>
      </c>
      <c r="T1027" s="15" t="str">
        <f t="shared" si="5"/>
        <v>C-4</v>
      </c>
      <c r="U1027" s="15" t="str">
        <f t="shared" si="6"/>
        <v>T8-M2-H4-FC-4-VERIFY</v>
      </c>
      <c r="V1027" s="15">
        <f t="shared" si="7"/>
        <v>0</v>
      </c>
      <c r="W1027" s="31"/>
      <c r="X1027" s="15" t="str">
        <f t="shared" si="8"/>
        <v>gumla</v>
      </c>
      <c r="Y1027" s="32" t="str">
        <f t="shared" si="9"/>
        <v>https://steelmanufacturer.in/market-area/electropolished-pipes-manufacturer-in-gumla/</v>
      </c>
      <c r="Z1027" s="15" t="str">
        <f t="shared" si="10"/>
        <v>Electropolished Pipes Manufacturer in Gumla - EP Tube Stockist</v>
      </c>
      <c r="AA1027" s="15" t="str">
        <f t="shared" si="11"/>
        <v>OK (62)</v>
      </c>
      <c r="AB1027" s="15" t="str">
        <f t="shared" si="12"/>
        <v>Electropolished tube supply to JIADA Industrial Area, Gumla. Ra from 0.25 um, SF4 finish, mill test certificate with every lot.</v>
      </c>
      <c r="AC1027" s="15" t="str">
        <f t="shared" si="13"/>
        <v>PENDING RESEARCH</v>
      </c>
      <c r="AD1027" s="15" t="str">
        <f t="shared" si="14"/>
        <v>Electropolished Pipes Manufacturer in Gumla</v>
      </c>
      <c r="AE1027" s="15" t="str">
        <f t="shared" si="15"/>
        <v>Manufacturing Electropolished SS Tube for Gumla: The Standards We Build To</v>
      </c>
      <c r="AF1027" s="15" t="str">
        <f t="shared" si="16"/>
        <v>Electropolished Pipe Supply Into Gumla - Certification &amp; Transit</v>
      </c>
      <c r="AG1027" s="15" t="str">
        <f t="shared" si="17"/>
        <v>Electropolished Pipes Wholesaler in Gumla - Project Quantities &amp; Terms</v>
      </c>
      <c r="AH1027" s="15" t="str">
        <f t="shared" si="18"/>
        <v>electropolished pipes manufacturer in Gumla, electropolished pipes supplier in Gumla, electropolished pipes wholesaler in Gumla, electropolished tube manufacturer Gumla, EP pipe supplier Gumla, sanitary tube supplier Gumla, ASME BPE tubing Gumla, ASTM A270 tube Gumla, SS 316L electropolished pipe Gumla</v>
      </c>
      <c r="AI1027" s="15" t="str">
        <f t="shared" si="19"/>
        <v>Electropolished Pipes Manufacturer &amp; Supplier in Gumla</v>
      </c>
      <c r="AJ1027" s="15" t="str">
        <f t="shared" si="20"/>
        <v>EP-finished SS 304/316L pipes and tubes for VERIFY plants in Gumla. ASME BPE SF1-SF4, Ra from 0.25 um, EN 10204 3.1 certificate with every lot.</v>
      </c>
      <c r="AK1027" s="15" t="str">
        <f t="shared" si="21"/>
        <v>Electropolished stainless steel pipes supplied by Sakshi Forge to VERIFY plants at JIADA Industrial Area, Gumla</v>
      </c>
      <c r="AL1027" s="15" t="str">
        <f t="shared" si="22"/>
        <v>Electropolished SS 316L tube stock for Gumla - Sakshi Forge</v>
      </c>
      <c r="AM1027" s="15" t="str">
        <f t="shared" si="23"/>
        <v>Home &gt; Market Area &gt; India &gt; Jharkhand &gt; Gumla</v>
      </c>
      <c r="AN1027" s="15">
        <f t="shared" si="24"/>
        <v>750</v>
      </c>
      <c r="AO1027" s="15">
        <f t="shared" si="25"/>
        <v>6</v>
      </c>
      <c r="AP1027" s="15">
        <f t="shared" si="26"/>
        <v>6</v>
      </c>
      <c r="AQ1027" s="15">
        <f t="shared" si="27"/>
        <v>18</v>
      </c>
      <c r="AR1027" s="31"/>
      <c r="AS1027" s="31"/>
      <c r="AT1027" s="35" t="s">
        <v>222</v>
      </c>
      <c r="AU1027" s="35"/>
    </row>
    <row r="1028" ht="15.75" customHeight="1">
      <c r="A1028" s="15" t="s">
        <v>5381</v>
      </c>
      <c r="B1028" s="15" t="s">
        <v>60</v>
      </c>
      <c r="C1028" s="15" t="s">
        <v>1687</v>
      </c>
      <c r="D1028" s="15" t="s">
        <v>5382</v>
      </c>
      <c r="E1028" s="15" t="s">
        <v>5382</v>
      </c>
      <c r="F1028" s="58" t="s">
        <v>807</v>
      </c>
      <c r="G1028" s="66" t="s">
        <v>98</v>
      </c>
      <c r="H1028" s="18" t="s">
        <v>5384</v>
      </c>
      <c r="I1028" s="18" t="s">
        <v>8397</v>
      </c>
      <c r="J1028" s="18" t="s">
        <v>98</v>
      </c>
      <c r="K1028" s="18" t="s">
        <v>98</v>
      </c>
      <c r="L1028" s="18" t="s">
        <v>98</v>
      </c>
      <c r="M1028" s="18" t="s">
        <v>98</v>
      </c>
      <c r="N1028" s="18" t="s">
        <v>98</v>
      </c>
      <c r="O1028" s="18" t="s">
        <v>98</v>
      </c>
      <c r="P1028" s="15" t="str">
        <f t="shared" si="1"/>
        <v>VERIFY</v>
      </c>
      <c r="Q1028" s="15">
        <f t="shared" si="2"/>
        <v>1</v>
      </c>
      <c r="R1028" s="15">
        <f t="shared" si="3"/>
        <v>3</v>
      </c>
      <c r="S1028" s="15">
        <f t="shared" si="4"/>
        <v>5</v>
      </c>
      <c r="T1028" s="15" t="str">
        <f t="shared" si="5"/>
        <v>C-5</v>
      </c>
      <c r="U1028" s="15" t="str">
        <f t="shared" si="6"/>
        <v>T1-M3-H5-FC-5-VERIFY</v>
      </c>
      <c r="V1028" s="15">
        <f t="shared" si="7"/>
        <v>0</v>
      </c>
      <c r="W1028" s="31"/>
      <c r="X1028" s="15" t="str">
        <f t="shared" si="8"/>
        <v>guruvayur</v>
      </c>
      <c r="Y1028" s="32" t="str">
        <f t="shared" si="9"/>
        <v>https://steelmanufacturer.in/market-area/electropolished-pipes-manufacturer-in-guruvayur/</v>
      </c>
      <c r="Z1028" s="15" t="str">
        <f t="shared" si="10"/>
        <v>Electropolished Pipes Manufacturer in Guruvayur | Sakshi Forge</v>
      </c>
      <c r="AA1028" s="15" t="str">
        <f t="shared" si="11"/>
        <v>OK (62)</v>
      </c>
      <c r="AB1028" s="15" t="str">
        <f t="shared" si="12"/>
        <v>EP stainless tube for VERIFY lines in Guruvayur. VERIFY. ASTM A270 S2, PMI tested, EN 10204 3.1.</v>
      </c>
      <c r="AC1028" s="15" t="str">
        <f t="shared" si="13"/>
        <v>PENDING RESEARCH</v>
      </c>
      <c r="AD1028" s="15" t="str">
        <f t="shared" si="14"/>
        <v>Electropolished Pipes Manufacturer in Guruvayur</v>
      </c>
      <c r="AE1028" s="15" t="str">
        <f t="shared" si="15"/>
        <v>Electropolished Tube Manufacturing Capability Serving Guruvayur</v>
      </c>
      <c r="AF1028" s="15" t="str">
        <f t="shared" si="16"/>
        <v>Electropolished Pipes Supplier in Guruvayur - From Order to Delivery</v>
      </c>
      <c r="AG1028" s="15" t="str">
        <f t="shared" si="17"/>
        <v>Stockist &amp; Wholesale Supply of Electropolished Pipes in Guruvayur</v>
      </c>
      <c r="AH1028" s="15" t="str">
        <f t="shared" si="18"/>
        <v>electropolished pipes manufacturer in Guruvayur, electropolished pipes supplier in Guruvayur, electropolished pipes wholesaler in Guruvayur, electropolished tube manufacturer Guruvayur, EP pipe supplier Guruvayur, sanitary tube supplier Guruvayur, ASME BPE tubing Guruvayur, ASTM A270 tube Guruvayur, SS 316L electropolished pipe Guruvayur</v>
      </c>
      <c r="AI1028" s="15" t="str">
        <f t="shared" si="19"/>
        <v>Electropolished Pipes Manufacturer &amp; Supplier in Guruvayur</v>
      </c>
      <c r="AJ1028" s="15" t="str">
        <f t="shared" si="20"/>
        <v>EP-finished SS 304/316L pipes and tubes for VERIFY plants in Guruvayur. ASME BPE SF1-SF4, Ra from 0.25 um, EN 10204 3.1 certificate with every lot.</v>
      </c>
      <c r="AK1028" s="15" t="str">
        <f t="shared" si="21"/>
        <v>Electropolished stainless steel pipes supplied by Sakshi Forge to VERIFY plants at KINFRA Industrial Area, Guruvayur</v>
      </c>
      <c r="AL1028" s="15" t="str">
        <f t="shared" si="22"/>
        <v>Electropolished SS 316L tube stock for Guruvayur - Sakshi Forge</v>
      </c>
      <c r="AM1028" s="15" t="str">
        <f t="shared" si="23"/>
        <v>Home &gt; Market Area &gt; India &gt; Kerala &gt; Guruvayur</v>
      </c>
      <c r="AN1028" s="15">
        <f t="shared" si="24"/>
        <v>750</v>
      </c>
      <c r="AO1028" s="15">
        <f t="shared" si="25"/>
        <v>6</v>
      </c>
      <c r="AP1028" s="15">
        <f t="shared" si="26"/>
        <v>6</v>
      </c>
      <c r="AQ1028" s="15">
        <f t="shared" si="27"/>
        <v>18</v>
      </c>
      <c r="AR1028" s="31"/>
      <c r="AS1028" s="31"/>
      <c r="AT1028" s="35" t="s">
        <v>222</v>
      </c>
      <c r="AU1028" s="35"/>
    </row>
    <row r="1029" ht="15.75" customHeight="1">
      <c r="A1029" s="15" t="s">
        <v>5385</v>
      </c>
      <c r="B1029" s="15" t="s">
        <v>60</v>
      </c>
      <c r="C1029" s="15" t="s">
        <v>1165</v>
      </c>
      <c r="D1029" s="15" t="s">
        <v>5386</v>
      </c>
      <c r="E1029" s="15" t="s">
        <v>5386</v>
      </c>
      <c r="F1029" s="58" t="s">
        <v>807</v>
      </c>
      <c r="G1029" s="66" t="s">
        <v>98</v>
      </c>
      <c r="H1029" s="18" t="s">
        <v>5388</v>
      </c>
      <c r="I1029" s="18" t="s">
        <v>8404</v>
      </c>
      <c r="J1029" s="18" t="s">
        <v>98</v>
      </c>
      <c r="K1029" s="18" t="s">
        <v>98</v>
      </c>
      <c r="L1029" s="18" t="s">
        <v>98</v>
      </c>
      <c r="M1029" s="18" t="s">
        <v>98</v>
      </c>
      <c r="N1029" s="18" t="s">
        <v>98</v>
      </c>
      <c r="O1029" s="18" t="s">
        <v>98</v>
      </c>
      <c r="P1029" s="15" t="str">
        <f t="shared" si="1"/>
        <v>VERIFY</v>
      </c>
      <c r="Q1029" s="15">
        <f t="shared" si="2"/>
        <v>2</v>
      </c>
      <c r="R1029" s="15">
        <f t="shared" si="3"/>
        <v>4</v>
      </c>
      <c r="S1029" s="15">
        <f t="shared" si="4"/>
        <v>1</v>
      </c>
      <c r="T1029" s="15" t="str">
        <f t="shared" si="5"/>
        <v>C-6</v>
      </c>
      <c r="U1029" s="15" t="str">
        <f t="shared" si="6"/>
        <v>T2-M4-H1-FC-6-VERIFY</v>
      </c>
      <c r="V1029" s="15">
        <f t="shared" si="7"/>
        <v>0</v>
      </c>
      <c r="W1029" s="31"/>
      <c r="X1029" s="15" t="str">
        <f t="shared" si="8"/>
        <v>guskara</v>
      </c>
      <c r="Y1029" s="32" t="str">
        <f t="shared" si="9"/>
        <v>https://steelmanufacturer.in/market-area/electropolished-pipes-manufacturer-in-guskara/</v>
      </c>
      <c r="Z1029" s="15" t="str">
        <f t="shared" si="10"/>
        <v>Electropolished Pipes Manufacturer in Guskara</v>
      </c>
      <c r="AA1029" s="15" t="str">
        <f t="shared" si="11"/>
        <v>OK (45)</v>
      </c>
      <c r="AB1029" s="15" t="str">
        <f t="shared" si="12"/>
        <v>Sanitary electropolished pipes in Guskara for VERIFY plants. ASME BPE SF1-SF4, orbital-weld ready, 3.1 MTC. Mumbai-made.</v>
      </c>
      <c r="AC1029" s="15" t="str">
        <f t="shared" si="13"/>
        <v>PENDING RESEARCH</v>
      </c>
      <c r="AD1029" s="15" t="str">
        <f t="shared" si="14"/>
        <v>Electropolished Pipes Manufacturer in Guskara</v>
      </c>
      <c r="AE1029" s="15" t="str">
        <f t="shared" si="15"/>
        <v>Electropolished Pipe &amp; Tube Manufacturing for Guskara - Grades, Finishes &amp; Certification</v>
      </c>
      <c r="AF1029" s="15" t="str">
        <f t="shared" si="16"/>
        <v>Electropolished Pipes Supplier in Guskara - Stock Sizes, Lead Time &amp; Delivery</v>
      </c>
      <c r="AG1029" s="15" t="str">
        <f t="shared" si="17"/>
        <v>Electropolished Pipes Wholesaler &amp; Stockist in Guskara - Bulk &amp; Project Pricing</v>
      </c>
      <c r="AH1029" s="15" t="str">
        <f t="shared" si="18"/>
        <v>electropolished pipes manufacturer in Guskara, electropolished pipes supplier in Guskara, electropolished pipes wholesaler in Guskara, electropolished tube manufacturer Guskara, EP pipe supplier Guskara, sanitary tube supplier Guskara, ASME BPE tubing Guskara, ASTM A270 tube Guskara, SS 316L electropolished pipe Guskara</v>
      </c>
      <c r="AI1029" s="15" t="str">
        <f t="shared" si="19"/>
        <v>Electropolished Pipes Manufacturer &amp; Supplier in Guskara</v>
      </c>
      <c r="AJ1029" s="15" t="str">
        <f t="shared" si="20"/>
        <v>EP-finished SS 304/316L pipes and tubes for VERIFY plants in Guskara. ASME BPE SF1-SF4, Ra from 0.25 um, EN 10204 3.1 certificate with every lot.</v>
      </c>
      <c r="AK1029" s="15" t="str">
        <f t="shared" si="21"/>
        <v>Electropolished stainless steel pipes supplied by Sakshi Forge to VERIFY plants at WBIDC Industrial Area, Guskara</v>
      </c>
      <c r="AL1029" s="15" t="str">
        <f t="shared" si="22"/>
        <v>Electropolished SS 316L tube stock for Guskara - Sakshi Forge</v>
      </c>
      <c r="AM1029" s="15" t="str">
        <f t="shared" si="23"/>
        <v>Home &gt; Market Area &gt; India &gt; West Bengal &gt; Guskara</v>
      </c>
      <c r="AN1029" s="15">
        <f t="shared" si="24"/>
        <v>750</v>
      </c>
      <c r="AO1029" s="15">
        <f t="shared" si="25"/>
        <v>6</v>
      </c>
      <c r="AP1029" s="15">
        <f t="shared" si="26"/>
        <v>6</v>
      </c>
      <c r="AQ1029" s="15">
        <f t="shared" si="27"/>
        <v>18</v>
      </c>
      <c r="AR1029" s="31"/>
      <c r="AS1029" s="31"/>
      <c r="AT1029" s="35" t="s">
        <v>222</v>
      </c>
      <c r="AU1029" s="35"/>
    </row>
    <row r="1030" ht="15.75" customHeight="1">
      <c r="A1030" s="15" t="s">
        <v>5389</v>
      </c>
      <c r="B1030" s="15" t="s">
        <v>60</v>
      </c>
      <c r="C1030" s="15" t="s">
        <v>264</v>
      </c>
      <c r="D1030" s="15" t="s">
        <v>5390</v>
      </c>
      <c r="E1030" s="15" t="s">
        <v>5390</v>
      </c>
      <c r="F1030" s="58" t="s">
        <v>807</v>
      </c>
      <c r="G1030" s="66" t="s">
        <v>98</v>
      </c>
      <c r="H1030" s="18" t="s">
        <v>5392</v>
      </c>
      <c r="I1030" s="18" t="s">
        <v>8395</v>
      </c>
      <c r="J1030" s="18" t="s">
        <v>98</v>
      </c>
      <c r="K1030" s="18" t="s">
        <v>98</v>
      </c>
      <c r="L1030" s="18" t="s">
        <v>98</v>
      </c>
      <c r="M1030" s="18" t="s">
        <v>98</v>
      </c>
      <c r="N1030" s="18" t="s">
        <v>98</v>
      </c>
      <c r="O1030" s="18" t="s">
        <v>98</v>
      </c>
      <c r="P1030" s="15" t="str">
        <f t="shared" si="1"/>
        <v>VERIFY</v>
      </c>
      <c r="Q1030" s="15">
        <f t="shared" si="2"/>
        <v>3</v>
      </c>
      <c r="R1030" s="15">
        <f t="shared" si="3"/>
        <v>5</v>
      </c>
      <c r="S1030" s="15">
        <f t="shared" si="4"/>
        <v>2</v>
      </c>
      <c r="T1030" s="15" t="str">
        <f t="shared" si="5"/>
        <v>C-1</v>
      </c>
      <c r="U1030" s="15" t="str">
        <f t="shared" si="6"/>
        <v>T3-M5-H2-FC-1-VERIFY</v>
      </c>
      <c r="V1030" s="15">
        <f t="shared" si="7"/>
        <v>0</v>
      </c>
      <c r="W1030" s="31"/>
      <c r="X1030" s="15" t="str">
        <f t="shared" si="8"/>
        <v>hadgaon</v>
      </c>
      <c r="Y1030" s="32" t="str">
        <f t="shared" si="9"/>
        <v>https://steelmanufacturer.in/market-area/electropolished-pipes-manufacturer-in-hadgaon/</v>
      </c>
      <c r="Z1030" s="15" t="str">
        <f t="shared" si="10"/>
        <v>Electropolished Pipes Manufacturer in Hadgaon | EP Tube Supplier</v>
      </c>
      <c r="AA1030" s="15" t="str">
        <f t="shared" si="11"/>
        <v>OK (64)</v>
      </c>
      <c r="AB1030" s="15" t="str">
        <f t="shared" si="12"/>
        <v>Manufacturer of electropolished SS 316L tube serving Hadgaon. VERIFY. Ra 0.25-0.5 um, EN 10204 3.1 MTC.</v>
      </c>
      <c r="AC1030" s="15" t="str">
        <f t="shared" si="13"/>
        <v>PENDING RESEARCH</v>
      </c>
      <c r="AD1030" s="15" t="str">
        <f t="shared" si="14"/>
        <v>Electropolished Pipes Manufacturer in Hadgaon</v>
      </c>
      <c r="AE1030" s="15" t="str">
        <f t="shared" si="15"/>
        <v>How We Manufacture Electropolished Tube for Hadgaon Plants</v>
      </c>
      <c r="AF1030" s="15" t="str">
        <f t="shared" si="16"/>
        <v>Supplying Electropolished Pipes in Hadgaon: Availability, Sizes &amp; Dispatch</v>
      </c>
      <c r="AG1030" s="15" t="str">
        <f t="shared" si="17"/>
        <v>Wholesale Electropolished Pipe Supply for Hadgaon Projects</v>
      </c>
      <c r="AH1030" s="15" t="str">
        <f t="shared" si="18"/>
        <v>electropolished pipes manufacturer in Hadgaon, electropolished pipes supplier in Hadgaon, electropolished pipes wholesaler in Hadgaon, electropolished tube manufacturer Hadgaon, EP pipe supplier Hadgaon, sanitary tube supplier Hadgaon, ASME BPE tubing Hadgaon, ASTM A270 tube Hadgaon, SS 316L electropolished pipe Hadgaon</v>
      </c>
      <c r="AI1030" s="15" t="str">
        <f t="shared" si="19"/>
        <v>Electropolished Pipes Manufacturer &amp; Supplier in Hadgaon</v>
      </c>
      <c r="AJ1030" s="15" t="str">
        <f t="shared" si="20"/>
        <v>EP-finished SS 304/316L pipes and tubes for VERIFY plants in Hadgaon. ASME BPE SF1-SF4, Ra from 0.25 um, EN 10204 3.1 certificate with every lot.</v>
      </c>
      <c r="AK1030" s="15" t="str">
        <f t="shared" si="21"/>
        <v>Electropolished stainless steel pipes supplied by Sakshi Forge to VERIFY plants at MIDC Industrial Area, Hadgaon</v>
      </c>
      <c r="AL1030" s="15" t="str">
        <f t="shared" si="22"/>
        <v>Electropolished SS 316L tube stock for Hadgaon - Sakshi Forge</v>
      </c>
      <c r="AM1030" s="15" t="str">
        <f t="shared" si="23"/>
        <v>Home &gt; Market Area &gt; India &gt; Maharashtra &gt; Hadgaon</v>
      </c>
      <c r="AN1030" s="15">
        <f t="shared" si="24"/>
        <v>750</v>
      </c>
      <c r="AO1030" s="15">
        <f t="shared" si="25"/>
        <v>6</v>
      </c>
      <c r="AP1030" s="15">
        <f t="shared" si="26"/>
        <v>6</v>
      </c>
      <c r="AQ1030" s="15">
        <f t="shared" si="27"/>
        <v>18</v>
      </c>
      <c r="AR1030" s="31"/>
      <c r="AS1030" s="31"/>
      <c r="AT1030" s="35" t="s">
        <v>222</v>
      </c>
      <c r="AU1030" s="35"/>
    </row>
    <row r="1031" ht="15.75" customHeight="1">
      <c r="A1031" s="15" t="s">
        <v>5393</v>
      </c>
      <c r="B1031" s="15" t="s">
        <v>60</v>
      </c>
      <c r="C1031" s="15" t="s">
        <v>1155</v>
      </c>
      <c r="D1031" s="15" t="s">
        <v>5394</v>
      </c>
      <c r="E1031" s="15" t="s">
        <v>5394</v>
      </c>
      <c r="F1031" s="58" t="s">
        <v>807</v>
      </c>
      <c r="G1031" s="66" t="s">
        <v>98</v>
      </c>
      <c r="H1031" s="18" t="s">
        <v>5396</v>
      </c>
      <c r="I1031" s="18" t="s">
        <v>8412</v>
      </c>
      <c r="J1031" s="18" t="s">
        <v>98</v>
      </c>
      <c r="K1031" s="18" t="s">
        <v>98</v>
      </c>
      <c r="L1031" s="18" t="s">
        <v>98</v>
      </c>
      <c r="M1031" s="18" t="s">
        <v>98</v>
      </c>
      <c r="N1031" s="18" t="s">
        <v>98</v>
      </c>
      <c r="O1031" s="18" t="s">
        <v>98</v>
      </c>
      <c r="P1031" s="15" t="str">
        <f t="shared" si="1"/>
        <v>VERIFY</v>
      </c>
      <c r="Q1031" s="15">
        <f t="shared" si="2"/>
        <v>4</v>
      </c>
      <c r="R1031" s="15">
        <f t="shared" si="3"/>
        <v>6</v>
      </c>
      <c r="S1031" s="15">
        <f t="shared" si="4"/>
        <v>3</v>
      </c>
      <c r="T1031" s="15" t="str">
        <f t="shared" si="5"/>
        <v>C-2</v>
      </c>
      <c r="U1031" s="15" t="str">
        <f t="shared" si="6"/>
        <v>T4-M6-H3-FC-2-VERIFY</v>
      </c>
      <c r="V1031" s="15">
        <f t="shared" si="7"/>
        <v>0</v>
      </c>
      <c r="W1031" s="31"/>
      <c r="X1031" s="15" t="str">
        <f t="shared" si="8"/>
        <v>haflong</v>
      </c>
      <c r="Y1031" s="32" t="str">
        <f t="shared" si="9"/>
        <v>https://steelmanufacturer.in/market-area/electropolished-pipes-manufacturer-in-haflong/</v>
      </c>
      <c r="Z1031" s="15" t="str">
        <f t="shared" si="10"/>
        <v>Electropolished Pipes Manufacturer in Haflong</v>
      </c>
      <c r="AA1031" s="15" t="str">
        <f t="shared" si="11"/>
        <v>OK (45)</v>
      </c>
      <c r="AB1031" s="15" t="str">
        <f t="shared" si="12"/>
        <v>EP tube and pipe for VERIFY plants around AIDC Industrial Area, Haflong. Made at our Mumbai works to ASTM A270 and ASME BPE SF1-SF4, with 3.1 MTC.</v>
      </c>
      <c r="AC1031" s="15" t="str">
        <f t="shared" si="13"/>
        <v>PENDING RESEARCH</v>
      </c>
      <c r="AD1031" s="15" t="str">
        <f t="shared" si="14"/>
        <v>Electropolished Pipes Manufacturer in Haflong</v>
      </c>
      <c r="AE1031" s="15" t="str">
        <f t="shared" si="15"/>
        <v>Electropolished Pipes Manufacturer in Haflong - Our Process &amp; Capability</v>
      </c>
      <c r="AF1031" s="15" t="str">
        <f t="shared" si="16"/>
        <v>Electropolished Pipes Supplier in Haflong - What We Hold in Stock</v>
      </c>
      <c r="AG1031" s="15" t="str">
        <f t="shared" si="17"/>
        <v>Bulk &amp; Wholesale Electropolished Pipe Rates for Haflong Buyers</v>
      </c>
      <c r="AH1031" s="15" t="str">
        <f t="shared" si="18"/>
        <v>electropolished pipes manufacturer in Haflong, electropolished pipes supplier in Haflong, electropolished pipes wholesaler in Haflong, electropolished tube manufacturer Haflong, EP pipe supplier Haflong, sanitary tube supplier Haflong, ASME BPE tubing Haflong, ASTM A270 tube Haflong, SS 316L electropolished pipe Haflong</v>
      </c>
      <c r="AI1031" s="15" t="str">
        <f t="shared" si="19"/>
        <v>Electropolished Pipes Manufacturer &amp; Supplier in Haflong</v>
      </c>
      <c r="AJ1031" s="15" t="str">
        <f t="shared" si="20"/>
        <v>EP-finished SS 304/316L pipes and tubes for VERIFY plants in Haflong. ASME BPE SF1-SF4, Ra from 0.25 um, EN 10204 3.1 certificate with every lot.</v>
      </c>
      <c r="AK1031" s="15" t="str">
        <f t="shared" si="21"/>
        <v>Electropolished stainless steel pipes supplied by Sakshi Forge to VERIFY plants at AIDC Industrial Area, Haflong</v>
      </c>
      <c r="AL1031" s="15" t="str">
        <f t="shared" si="22"/>
        <v>Electropolished SS 316L tube stock for Haflong - Sakshi Forge</v>
      </c>
      <c r="AM1031" s="15" t="str">
        <f t="shared" si="23"/>
        <v>Home &gt; Market Area &gt; India &gt; Assam &gt; Haflong</v>
      </c>
      <c r="AN1031" s="15">
        <f t="shared" si="24"/>
        <v>750</v>
      </c>
      <c r="AO1031" s="15">
        <f t="shared" si="25"/>
        <v>6</v>
      </c>
      <c r="AP1031" s="15">
        <f t="shared" si="26"/>
        <v>6</v>
      </c>
      <c r="AQ1031" s="15">
        <f t="shared" si="27"/>
        <v>18</v>
      </c>
      <c r="AR1031" s="31"/>
      <c r="AS1031" s="31"/>
      <c r="AT1031" s="35" t="s">
        <v>222</v>
      </c>
      <c r="AU1031" s="35"/>
    </row>
    <row r="1032" ht="15.75" customHeight="1">
      <c r="A1032" s="15" t="s">
        <v>5397</v>
      </c>
      <c r="B1032" s="15" t="s">
        <v>60</v>
      </c>
      <c r="C1032" s="15" t="s">
        <v>570</v>
      </c>
      <c r="D1032" s="15" t="s">
        <v>5398</v>
      </c>
      <c r="E1032" s="15" t="s">
        <v>5398</v>
      </c>
      <c r="F1032" s="58" t="s">
        <v>807</v>
      </c>
      <c r="G1032" s="66" t="s">
        <v>98</v>
      </c>
      <c r="H1032" s="18" t="s">
        <v>5400</v>
      </c>
      <c r="I1032" s="18" t="s">
        <v>8405</v>
      </c>
      <c r="J1032" s="18" t="s">
        <v>98</v>
      </c>
      <c r="K1032" s="18" t="s">
        <v>98</v>
      </c>
      <c r="L1032" s="18" t="s">
        <v>98</v>
      </c>
      <c r="M1032" s="18" t="s">
        <v>98</v>
      </c>
      <c r="N1032" s="18" t="s">
        <v>98</v>
      </c>
      <c r="O1032" s="18" t="s">
        <v>98</v>
      </c>
      <c r="P1032" s="15" t="str">
        <f t="shared" si="1"/>
        <v>VERIFY</v>
      </c>
      <c r="Q1032" s="15">
        <f t="shared" si="2"/>
        <v>5</v>
      </c>
      <c r="R1032" s="15">
        <f t="shared" si="3"/>
        <v>7</v>
      </c>
      <c r="S1032" s="15">
        <f t="shared" si="4"/>
        <v>4</v>
      </c>
      <c r="T1032" s="15" t="str">
        <f t="shared" si="5"/>
        <v>C-3</v>
      </c>
      <c r="U1032" s="15" t="str">
        <f t="shared" si="6"/>
        <v>T5-M7-H4-FC-3-VERIFY</v>
      </c>
      <c r="V1032" s="15">
        <f t="shared" si="7"/>
        <v>0</v>
      </c>
      <c r="W1032" s="31"/>
      <c r="X1032" s="15" t="str">
        <f t="shared" si="8"/>
        <v>haliyal</v>
      </c>
      <c r="Y1032" s="32" t="str">
        <f t="shared" si="9"/>
        <v>https://steelmanufacturer.in/market-area/electropolished-pipes-manufacturer-in-haliyal/</v>
      </c>
      <c r="Z1032" s="15" t="str">
        <f t="shared" si="10"/>
        <v>Electropolished Pipes Manufacturer in Haliyal</v>
      </c>
      <c r="AA1032" s="15" t="str">
        <f t="shared" si="11"/>
        <v>OK (45)</v>
      </c>
      <c r="AB1032" s="15" t="str">
        <f t="shared" si="12"/>
        <v>Electropolished pipes in Haliyal: 304, 304L, 316 and 316L in SF1-SF4. VERIFY. Mill certified.</v>
      </c>
      <c r="AC1032" s="15" t="str">
        <f t="shared" si="13"/>
        <v>PENDING RESEARCH</v>
      </c>
      <c r="AD1032" s="15" t="str">
        <f t="shared" si="14"/>
        <v>Electropolished Pipes Manufacturer in Haliyal</v>
      </c>
      <c r="AE1032" s="15" t="str">
        <f t="shared" si="15"/>
        <v>Manufacturing Electropolished SS Tube for Haliyal: The Standards We Build To</v>
      </c>
      <c r="AF1032" s="15" t="str">
        <f t="shared" si="16"/>
        <v>Electropolished Pipe Supply Into Haliyal - Certification &amp; Transit</v>
      </c>
      <c r="AG1032" s="15" t="str">
        <f t="shared" si="17"/>
        <v>Electropolished Pipes Wholesaler in Haliyal - Project Quantities &amp; Terms</v>
      </c>
      <c r="AH1032" s="15" t="str">
        <f t="shared" si="18"/>
        <v>electropolished pipes manufacturer in Haliyal, electropolished pipes supplier in Haliyal, electropolished pipes wholesaler in Haliyal, electropolished tube manufacturer Haliyal, EP pipe supplier Haliyal, sanitary tube supplier Haliyal, ASME BPE tubing Haliyal, ASTM A270 tube Haliyal, SS 316L electropolished pipe Haliyal</v>
      </c>
      <c r="AI1032" s="15" t="str">
        <f t="shared" si="19"/>
        <v>Electropolished Pipes Manufacturer &amp; Supplier in Haliyal</v>
      </c>
      <c r="AJ1032" s="15" t="str">
        <f t="shared" si="20"/>
        <v>EP-finished SS 304/316L pipes and tubes for VERIFY plants in Haliyal. ASME BPE SF1-SF4, Ra from 0.25 um, EN 10204 3.1 certificate with every lot.</v>
      </c>
      <c r="AK1032" s="15" t="str">
        <f t="shared" si="21"/>
        <v>Electropolished stainless steel pipes supplied by Sakshi Forge to VERIFY plants at KIADB Industrial Area, Haliyal</v>
      </c>
      <c r="AL1032" s="15" t="str">
        <f t="shared" si="22"/>
        <v>Electropolished SS 316L tube stock for Haliyal - Sakshi Forge</v>
      </c>
      <c r="AM1032" s="15" t="str">
        <f t="shared" si="23"/>
        <v>Home &gt; Market Area &gt; India &gt; Karnataka &gt; Haliyal</v>
      </c>
      <c r="AN1032" s="15">
        <f t="shared" si="24"/>
        <v>750</v>
      </c>
      <c r="AO1032" s="15">
        <f t="shared" si="25"/>
        <v>6</v>
      </c>
      <c r="AP1032" s="15">
        <f t="shared" si="26"/>
        <v>6</v>
      </c>
      <c r="AQ1032" s="15">
        <f t="shared" si="27"/>
        <v>18</v>
      </c>
      <c r="AR1032" s="31"/>
      <c r="AS1032" s="31"/>
      <c r="AT1032" s="35" t="s">
        <v>222</v>
      </c>
      <c r="AU1032" s="35"/>
    </row>
    <row r="1033" ht="15.75" customHeight="1">
      <c r="A1033" s="15" t="s">
        <v>5401</v>
      </c>
      <c r="B1033" s="15" t="s">
        <v>60</v>
      </c>
      <c r="C1033" s="15" t="s">
        <v>224</v>
      </c>
      <c r="D1033" s="15" t="s">
        <v>5402</v>
      </c>
      <c r="E1033" s="15" t="s">
        <v>5402</v>
      </c>
      <c r="F1033" s="58" t="s">
        <v>807</v>
      </c>
      <c r="G1033" s="66" t="s">
        <v>98</v>
      </c>
      <c r="H1033" s="18" t="s">
        <v>5404</v>
      </c>
      <c r="I1033" s="18" t="s">
        <v>8400</v>
      </c>
      <c r="J1033" s="18" t="s">
        <v>98</v>
      </c>
      <c r="K1033" s="18" t="s">
        <v>98</v>
      </c>
      <c r="L1033" s="18" t="s">
        <v>98</v>
      </c>
      <c r="M1033" s="18" t="s">
        <v>98</v>
      </c>
      <c r="N1033" s="18" t="s">
        <v>98</v>
      </c>
      <c r="O1033" s="18" t="s">
        <v>98</v>
      </c>
      <c r="P1033" s="15" t="str">
        <f t="shared" si="1"/>
        <v>VERIFY</v>
      </c>
      <c r="Q1033" s="15">
        <f t="shared" si="2"/>
        <v>6</v>
      </c>
      <c r="R1033" s="15">
        <f t="shared" si="3"/>
        <v>1</v>
      </c>
      <c r="S1033" s="15">
        <f t="shared" si="4"/>
        <v>5</v>
      </c>
      <c r="T1033" s="15" t="str">
        <f t="shared" si="5"/>
        <v>C-4</v>
      </c>
      <c r="U1033" s="15" t="str">
        <f t="shared" si="6"/>
        <v>T6-M1-H5-FC-4-VERIFY</v>
      </c>
      <c r="V1033" s="15">
        <f t="shared" si="7"/>
        <v>0</v>
      </c>
      <c r="W1033" s="31"/>
      <c r="X1033" s="15" t="str">
        <f t="shared" si="8"/>
        <v>halol-kalol</v>
      </c>
      <c r="Y1033" s="32" t="str">
        <f t="shared" si="9"/>
        <v>https://steelmanufacturer.in/market-area/electropolished-pipes-manufacturer-in-halol-kalol/</v>
      </c>
      <c r="Z1033" s="15" t="str">
        <f t="shared" si="10"/>
        <v>Electropolished Pipes Manufacturer in Halol-Kalol</v>
      </c>
      <c r="AA1033" s="15" t="str">
        <f t="shared" si="11"/>
        <v>OK (49)</v>
      </c>
      <c r="AB1033" s="15" t="str">
        <f t="shared" si="12"/>
        <v>EP-finished SS 304/316L pipes &amp; tubes for VERIFY plants in Halol-Kalol. ASTM A270, ASME BPE SF1-SF4, EN 10204 3.1 MTC. PMI tested.</v>
      </c>
      <c r="AC1033" s="15" t="str">
        <f t="shared" si="13"/>
        <v>PENDING RESEARCH</v>
      </c>
      <c r="AD1033" s="15" t="str">
        <f t="shared" si="14"/>
        <v>Electropolished Pipes Manufacturer in Halol-Kalol</v>
      </c>
      <c r="AE1033" s="15" t="str">
        <f t="shared" si="15"/>
        <v>Electropolished Tube Manufacturing Capability Serving Halol-Kalol</v>
      </c>
      <c r="AF1033" s="15" t="str">
        <f t="shared" si="16"/>
        <v>Electropolished Pipes Supplier in Halol-Kalol - From Order to Delivery</v>
      </c>
      <c r="AG1033" s="15" t="str">
        <f t="shared" si="17"/>
        <v>Stockist &amp; Wholesale Supply of Electropolished Pipes in Halol-Kalol</v>
      </c>
      <c r="AH1033" s="15" t="str">
        <f t="shared" si="18"/>
        <v>electropolished pipes manufacturer in Halol-Kalol, electropolished pipes supplier in Halol-Kalol, electropolished pipes wholesaler in Halol-Kalol, electropolished tube manufacturer Halol-Kalol, EP pipe supplier Halol-Kalol, sanitary tube supplier Halol-Kalol, ASME BPE tubing Halol-Kalol, ASTM A270 tube Halol-Kalol, SS 316L electropolished pipe Halol-Kalol</v>
      </c>
      <c r="AI1033" s="15" t="str">
        <f t="shared" si="19"/>
        <v>Electropolished Pipes Manufacturer &amp; Supplier in Halol-Kalol</v>
      </c>
      <c r="AJ1033" s="15" t="str">
        <f t="shared" si="20"/>
        <v>EP-finished SS 304/316L pipes and tubes for VERIFY plants in Halol-Kalol. ASME BPE SF1-SF4, Ra from 0.25 um, EN 10204 3.1 certificate with every lot.</v>
      </c>
      <c r="AK1033" s="15" t="str">
        <f t="shared" si="21"/>
        <v>Electropolished stainless steel pipes supplied by Sakshi Forge to VERIFY plants at GIDC Industrial Area, Halol-Kalol</v>
      </c>
      <c r="AL1033" s="15" t="str">
        <f t="shared" si="22"/>
        <v>Electropolished SS 316L tube stock for Halol-Kalol - Sakshi Forge</v>
      </c>
      <c r="AM1033" s="15" t="str">
        <f t="shared" si="23"/>
        <v>Home &gt; Market Area &gt; India &gt; Gujarat &gt; Halol-Kalol</v>
      </c>
      <c r="AN1033" s="15">
        <f t="shared" si="24"/>
        <v>750</v>
      </c>
      <c r="AO1033" s="15">
        <f t="shared" si="25"/>
        <v>6</v>
      </c>
      <c r="AP1033" s="15">
        <f t="shared" si="26"/>
        <v>6</v>
      </c>
      <c r="AQ1033" s="15">
        <f t="shared" si="27"/>
        <v>18</v>
      </c>
      <c r="AR1033" s="31"/>
      <c r="AS1033" s="31"/>
      <c r="AT1033" s="35" t="s">
        <v>222</v>
      </c>
      <c r="AU1033" s="35"/>
    </row>
    <row r="1034" ht="15.75" customHeight="1">
      <c r="A1034" s="15" t="s">
        <v>5405</v>
      </c>
      <c r="B1034" s="15" t="s">
        <v>60</v>
      </c>
      <c r="C1034" s="15" t="s">
        <v>224</v>
      </c>
      <c r="D1034" s="15" t="s">
        <v>5406</v>
      </c>
      <c r="E1034" s="15" t="s">
        <v>5406</v>
      </c>
      <c r="F1034" s="58" t="s">
        <v>807</v>
      </c>
      <c r="G1034" s="66" t="s">
        <v>98</v>
      </c>
      <c r="H1034" s="18" t="s">
        <v>5408</v>
      </c>
      <c r="I1034" s="18" t="s">
        <v>8400</v>
      </c>
      <c r="J1034" s="18" t="s">
        <v>98</v>
      </c>
      <c r="K1034" s="18" t="s">
        <v>98</v>
      </c>
      <c r="L1034" s="18" t="s">
        <v>98</v>
      </c>
      <c r="M1034" s="18" t="s">
        <v>98</v>
      </c>
      <c r="N1034" s="18" t="s">
        <v>98</v>
      </c>
      <c r="O1034" s="18" t="s">
        <v>98</v>
      </c>
      <c r="P1034" s="15" t="str">
        <f t="shared" si="1"/>
        <v>VERIFY</v>
      </c>
      <c r="Q1034" s="15">
        <f t="shared" si="2"/>
        <v>7</v>
      </c>
      <c r="R1034" s="15">
        <f t="shared" si="3"/>
        <v>2</v>
      </c>
      <c r="S1034" s="15">
        <f t="shared" si="4"/>
        <v>1</v>
      </c>
      <c r="T1034" s="15" t="str">
        <f t="shared" si="5"/>
        <v>C-5</v>
      </c>
      <c r="U1034" s="15" t="str">
        <f t="shared" si="6"/>
        <v>T7-M2-H1-FC-5-VERIFY</v>
      </c>
      <c r="V1034" s="15">
        <f t="shared" si="7"/>
        <v>0</v>
      </c>
      <c r="W1034" s="31"/>
      <c r="X1034" s="15" t="str">
        <f t="shared" si="8"/>
        <v>hansot</v>
      </c>
      <c r="Y1034" s="32" t="str">
        <f t="shared" si="9"/>
        <v>https://steelmanufacturer.in/market-area/electropolished-pipes-manufacturer-in-hansot/</v>
      </c>
      <c r="Z1034" s="15" t="str">
        <f t="shared" si="10"/>
        <v>Electropolished Pipes Manufacturer in Hansot | ASME BPE SF1-SF4</v>
      </c>
      <c r="AA1034" s="15" t="str">
        <f t="shared" si="11"/>
        <v>OK (63)</v>
      </c>
      <c r="AB1034" s="15" t="str">
        <f t="shared" si="12"/>
        <v>Electropolished tube supply to GIDC Industrial Area, Hansot. Ra from 0.25 um, SF4 finish, mill test certificate with every lot.</v>
      </c>
      <c r="AC1034" s="15" t="str">
        <f t="shared" si="13"/>
        <v>PENDING RESEARCH</v>
      </c>
      <c r="AD1034" s="15" t="str">
        <f t="shared" si="14"/>
        <v>Electropolished Pipes Manufacturer in Hansot</v>
      </c>
      <c r="AE1034" s="15" t="str">
        <f t="shared" si="15"/>
        <v>Electropolished Pipe &amp; Tube Manufacturing for Hansot - Grades, Finishes &amp; Certification</v>
      </c>
      <c r="AF1034" s="15" t="str">
        <f t="shared" si="16"/>
        <v>Electropolished Pipes Supplier in Hansot - Stock Sizes, Lead Time &amp; Delivery</v>
      </c>
      <c r="AG1034" s="15" t="str">
        <f t="shared" si="17"/>
        <v>Electropolished Pipes Wholesaler &amp; Stockist in Hansot - Bulk &amp; Project Pricing</v>
      </c>
      <c r="AH1034" s="15" t="str">
        <f t="shared" si="18"/>
        <v>electropolished pipes manufacturer in Hansot, electropolished pipes supplier in Hansot, electropolished pipes wholesaler in Hansot, electropolished tube manufacturer Hansot, EP pipe supplier Hansot, sanitary tube supplier Hansot, ASME BPE tubing Hansot, ASTM A270 tube Hansot, SS 316L electropolished pipe Hansot</v>
      </c>
      <c r="AI1034" s="15" t="str">
        <f t="shared" si="19"/>
        <v>Electropolished Pipes Manufacturer &amp; Supplier in Hansot</v>
      </c>
      <c r="AJ1034" s="15" t="str">
        <f t="shared" si="20"/>
        <v>EP-finished SS 304/316L pipes and tubes for VERIFY plants in Hansot. ASME BPE SF1-SF4, Ra from 0.25 um, EN 10204 3.1 certificate with every lot.</v>
      </c>
      <c r="AK1034" s="15" t="str">
        <f t="shared" si="21"/>
        <v>Electropolished stainless steel pipes supplied by Sakshi Forge to VERIFY plants at GIDC Industrial Area, Hansot</v>
      </c>
      <c r="AL1034" s="15" t="str">
        <f t="shared" si="22"/>
        <v>Electropolished SS 316L tube stock for Hansot - Sakshi Forge</v>
      </c>
      <c r="AM1034" s="15" t="str">
        <f t="shared" si="23"/>
        <v>Home &gt; Market Area &gt; India &gt; Gujarat &gt; Hansot</v>
      </c>
      <c r="AN1034" s="15">
        <f t="shared" si="24"/>
        <v>750</v>
      </c>
      <c r="AO1034" s="15">
        <f t="shared" si="25"/>
        <v>6</v>
      </c>
      <c r="AP1034" s="15">
        <f t="shared" si="26"/>
        <v>6</v>
      </c>
      <c r="AQ1034" s="15">
        <f t="shared" si="27"/>
        <v>18</v>
      </c>
      <c r="AR1034" s="31"/>
      <c r="AS1034" s="31"/>
      <c r="AT1034" s="35" t="s">
        <v>222</v>
      </c>
      <c r="AU1034" s="35"/>
    </row>
    <row r="1035" ht="15.75" customHeight="1">
      <c r="A1035" s="15" t="s">
        <v>5409</v>
      </c>
      <c r="B1035" s="15" t="s">
        <v>60</v>
      </c>
      <c r="C1035" s="15" t="s">
        <v>842</v>
      </c>
      <c r="D1035" s="15" t="s">
        <v>5410</v>
      </c>
      <c r="E1035" s="15" t="s">
        <v>5410</v>
      </c>
      <c r="F1035" s="58" t="s">
        <v>807</v>
      </c>
      <c r="G1035" s="66" t="s">
        <v>98</v>
      </c>
      <c r="H1035" s="18" t="s">
        <v>5412</v>
      </c>
      <c r="I1035" s="18" t="s">
        <v>8413</v>
      </c>
      <c r="J1035" s="18" t="s">
        <v>98</v>
      </c>
      <c r="K1035" s="18" t="s">
        <v>98</v>
      </c>
      <c r="L1035" s="18" t="s">
        <v>98</v>
      </c>
      <c r="M1035" s="18" t="s">
        <v>98</v>
      </c>
      <c r="N1035" s="18" t="s">
        <v>98</v>
      </c>
      <c r="O1035" s="18" t="s">
        <v>98</v>
      </c>
      <c r="P1035" s="15" t="str">
        <f t="shared" si="1"/>
        <v>VERIFY</v>
      </c>
      <c r="Q1035" s="15">
        <f t="shared" si="2"/>
        <v>8</v>
      </c>
      <c r="R1035" s="15">
        <f t="shared" si="3"/>
        <v>3</v>
      </c>
      <c r="S1035" s="15">
        <f t="shared" si="4"/>
        <v>2</v>
      </c>
      <c r="T1035" s="15" t="str">
        <f t="shared" si="5"/>
        <v>C-6</v>
      </c>
      <c r="U1035" s="15" t="str">
        <f t="shared" si="6"/>
        <v>T8-M3-H2-FC-6-VERIFY</v>
      </c>
      <c r="V1035" s="15">
        <f t="shared" si="7"/>
        <v>0</v>
      </c>
      <c r="W1035" s="31"/>
      <c r="X1035" s="15" t="str">
        <f t="shared" si="8"/>
        <v>harda</v>
      </c>
      <c r="Y1035" s="32" t="str">
        <f t="shared" si="9"/>
        <v>https://steelmanufacturer.in/market-area/electropolished-pipes-manufacturer-in-harda/</v>
      </c>
      <c r="Z1035" s="15" t="str">
        <f t="shared" si="10"/>
        <v>Electropolished Pipes Manufacturer in Harda - EP Tube Stockist</v>
      </c>
      <c r="AA1035" s="15" t="str">
        <f t="shared" si="11"/>
        <v>OK (62)</v>
      </c>
      <c r="AB1035" s="15" t="str">
        <f t="shared" si="12"/>
        <v>EP stainless tube for VERIFY lines in Harda. VERIFY. ASTM A270 S2, PMI tested, EN 10204 3.1.</v>
      </c>
      <c r="AC1035" s="15" t="str">
        <f t="shared" si="13"/>
        <v>PENDING RESEARCH</v>
      </c>
      <c r="AD1035" s="15" t="str">
        <f t="shared" si="14"/>
        <v>Electropolished Pipes Manufacturer in Harda</v>
      </c>
      <c r="AE1035" s="15" t="str">
        <f t="shared" si="15"/>
        <v>How We Manufacture Electropolished Tube for Harda Plants</v>
      </c>
      <c r="AF1035" s="15" t="str">
        <f t="shared" si="16"/>
        <v>Supplying Electropolished Pipes in Harda: Availability, Sizes &amp; Dispatch</v>
      </c>
      <c r="AG1035" s="15" t="str">
        <f t="shared" si="17"/>
        <v>Wholesale Electropolished Pipe Supply for Harda Projects</v>
      </c>
      <c r="AH1035" s="15" t="str">
        <f t="shared" si="18"/>
        <v>electropolished pipes manufacturer in Harda, electropolished pipes supplier in Harda, electropolished pipes wholesaler in Harda, electropolished tube manufacturer Harda, EP pipe supplier Harda, sanitary tube supplier Harda, ASME BPE tubing Harda, ASTM A270 tube Harda, SS 316L electropolished pipe Harda</v>
      </c>
      <c r="AI1035" s="15" t="str">
        <f t="shared" si="19"/>
        <v>Electropolished Pipes Manufacturer &amp; Supplier in Harda</v>
      </c>
      <c r="AJ1035" s="15" t="str">
        <f t="shared" si="20"/>
        <v>EP-finished SS 304/316L pipes and tubes for VERIFY plants in Harda. ASME BPE SF1-SF4, Ra from 0.25 um, EN 10204 3.1 certificate with every lot.</v>
      </c>
      <c r="AK1035" s="15" t="str">
        <f t="shared" si="21"/>
        <v>Electropolished stainless steel pipes supplied by Sakshi Forge to VERIFY plants at MPIDC Industrial Area, Harda</v>
      </c>
      <c r="AL1035" s="15" t="str">
        <f t="shared" si="22"/>
        <v>Electropolished SS 316L tube stock for Harda - Sakshi Forge</v>
      </c>
      <c r="AM1035" s="15" t="str">
        <f t="shared" si="23"/>
        <v>Home &gt; Market Area &gt; India &gt; Madhya Pradesh &gt; Harda</v>
      </c>
      <c r="AN1035" s="15">
        <f t="shared" si="24"/>
        <v>750</v>
      </c>
      <c r="AO1035" s="15">
        <f t="shared" si="25"/>
        <v>6</v>
      </c>
      <c r="AP1035" s="15">
        <f t="shared" si="26"/>
        <v>6</v>
      </c>
      <c r="AQ1035" s="15">
        <f t="shared" si="27"/>
        <v>18</v>
      </c>
      <c r="AR1035" s="31"/>
      <c r="AS1035" s="31"/>
      <c r="AT1035" s="35" t="s">
        <v>222</v>
      </c>
      <c r="AU1035" s="35"/>
    </row>
    <row r="1036" ht="15.75" customHeight="1">
      <c r="A1036" s="15" t="s">
        <v>5415</v>
      </c>
      <c r="B1036" s="15" t="s">
        <v>60</v>
      </c>
      <c r="C1036" s="15" t="s">
        <v>85</v>
      </c>
      <c r="D1036" s="15" t="s">
        <v>5417</v>
      </c>
      <c r="E1036" s="15" t="s">
        <v>5417</v>
      </c>
      <c r="F1036" s="58" t="s">
        <v>807</v>
      </c>
      <c r="G1036" s="66" t="s">
        <v>98</v>
      </c>
      <c r="H1036" s="18" t="s">
        <v>5421</v>
      </c>
      <c r="I1036" s="18" t="s">
        <v>8398</v>
      </c>
      <c r="J1036" s="18" t="s">
        <v>98</v>
      </c>
      <c r="K1036" s="18" t="s">
        <v>98</v>
      </c>
      <c r="L1036" s="18" t="s">
        <v>98</v>
      </c>
      <c r="M1036" s="18" t="s">
        <v>98</v>
      </c>
      <c r="N1036" s="18" t="s">
        <v>98</v>
      </c>
      <c r="O1036" s="18" t="s">
        <v>98</v>
      </c>
      <c r="P1036" s="15" t="str">
        <f t="shared" si="1"/>
        <v>VERIFY</v>
      </c>
      <c r="Q1036" s="15">
        <f t="shared" si="2"/>
        <v>1</v>
      </c>
      <c r="R1036" s="15">
        <f t="shared" si="3"/>
        <v>4</v>
      </c>
      <c r="S1036" s="15">
        <f t="shared" si="4"/>
        <v>3</v>
      </c>
      <c r="T1036" s="15" t="str">
        <f t="shared" si="5"/>
        <v>C-1</v>
      </c>
      <c r="U1036" s="15" t="str">
        <f t="shared" si="6"/>
        <v>T1-M4-H3-FC-1-VERIFY</v>
      </c>
      <c r="V1036" s="15">
        <f t="shared" si="7"/>
        <v>0</v>
      </c>
      <c r="W1036" s="31"/>
      <c r="X1036" s="15" t="str">
        <f t="shared" si="8"/>
        <v>hardoi</v>
      </c>
      <c r="Y1036" s="32" t="str">
        <f t="shared" si="9"/>
        <v>https://steelmanufacturer.in/market-area/electropolished-pipes-manufacturer-in-hardoi/</v>
      </c>
      <c r="Z1036" s="15" t="str">
        <f t="shared" si="10"/>
        <v>Electropolished Pipes Manufacturer in Hardoi | Sakshi Forge</v>
      </c>
      <c r="AA1036" s="15" t="str">
        <f t="shared" si="11"/>
        <v>OK (59)</v>
      </c>
      <c r="AB1036" s="15" t="str">
        <f t="shared" si="12"/>
        <v>Sanitary electropolished pipes in Hardoi for VERIFY plants. ASME BPE SF1-SF4, orbital-weld ready, 3.1 MTC. Mumbai-made.</v>
      </c>
      <c r="AC1036" s="15" t="str">
        <f t="shared" si="13"/>
        <v>PENDING RESEARCH</v>
      </c>
      <c r="AD1036" s="15" t="str">
        <f t="shared" si="14"/>
        <v>Electropolished Pipes Manufacturer in Hardoi</v>
      </c>
      <c r="AE1036" s="15" t="str">
        <f t="shared" si="15"/>
        <v>Electropolished Pipes Manufacturer in Hardoi - Our Process &amp; Capability</v>
      </c>
      <c r="AF1036" s="15" t="str">
        <f t="shared" si="16"/>
        <v>Electropolished Pipes Supplier in Hardoi - What We Hold in Stock</v>
      </c>
      <c r="AG1036" s="15" t="str">
        <f t="shared" si="17"/>
        <v>Bulk &amp; Wholesale Electropolished Pipe Rates for Hardoi Buyers</v>
      </c>
      <c r="AH1036" s="15" t="str">
        <f t="shared" si="18"/>
        <v>electropolished pipes manufacturer in Hardoi, electropolished pipes supplier in Hardoi, electropolished pipes wholesaler in Hardoi, electropolished tube manufacturer Hardoi, EP pipe supplier Hardoi, sanitary tube supplier Hardoi, ASME BPE tubing Hardoi, ASTM A270 tube Hardoi, SS 316L electropolished pipe Hardoi</v>
      </c>
      <c r="AI1036" s="15" t="str">
        <f t="shared" si="19"/>
        <v>Electropolished Pipes Manufacturer &amp; Supplier in Hardoi</v>
      </c>
      <c r="AJ1036" s="15" t="str">
        <f t="shared" si="20"/>
        <v>EP-finished SS 304/316L pipes and tubes for VERIFY plants in Hardoi. ASME BPE SF1-SF4, Ra from 0.25 um, EN 10204 3.1 certificate with every lot.</v>
      </c>
      <c r="AK1036" s="15" t="str">
        <f t="shared" si="21"/>
        <v>Electropolished stainless steel pipes supplied by Sakshi Forge to VERIFY plants at UPSIDA Industrial Area, Hardoi</v>
      </c>
      <c r="AL1036" s="15" t="str">
        <f t="shared" si="22"/>
        <v>Electropolished SS 316L tube stock for Hardoi - Sakshi Forge</v>
      </c>
      <c r="AM1036" s="15" t="str">
        <f t="shared" si="23"/>
        <v>Home &gt; Market Area &gt; India &gt; Uttar Pradesh &gt; Hardoi</v>
      </c>
      <c r="AN1036" s="15">
        <f t="shared" si="24"/>
        <v>750</v>
      </c>
      <c r="AO1036" s="15">
        <f t="shared" si="25"/>
        <v>6</v>
      </c>
      <c r="AP1036" s="15">
        <f t="shared" si="26"/>
        <v>6</v>
      </c>
      <c r="AQ1036" s="15">
        <f t="shared" si="27"/>
        <v>18</v>
      </c>
      <c r="AR1036" s="31"/>
      <c r="AS1036" s="31"/>
      <c r="AT1036" s="35" t="s">
        <v>222</v>
      </c>
      <c r="AU1036" s="35"/>
    </row>
    <row r="1037" ht="15.75" customHeight="1">
      <c r="A1037" s="15" t="s">
        <v>5423</v>
      </c>
      <c r="B1037" s="15" t="s">
        <v>60</v>
      </c>
      <c r="C1037" s="15" t="s">
        <v>1165</v>
      </c>
      <c r="D1037" s="15" t="s">
        <v>5424</v>
      </c>
      <c r="E1037" s="15" t="s">
        <v>5424</v>
      </c>
      <c r="F1037" s="58" t="s">
        <v>807</v>
      </c>
      <c r="G1037" s="66" t="s">
        <v>98</v>
      </c>
      <c r="H1037" s="18" t="s">
        <v>5426</v>
      </c>
      <c r="I1037" s="18" t="s">
        <v>8404</v>
      </c>
      <c r="J1037" s="18" t="s">
        <v>98</v>
      </c>
      <c r="K1037" s="18" t="s">
        <v>98</v>
      </c>
      <c r="L1037" s="18" t="s">
        <v>98</v>
      </c>
      <c r="M1037" s="18" t="s">
        <v>98</v>
      </c>
      <c r="N1037" s="18" t="s">
        <v>98</v>
      </c>
      <c r="O1037" s="18" t="s">
        <v>98</v>
      </c>
      <c r="P1037" s="15" t="str">
        <f t="shared" si="1"/>
        <v>VERIFY</v>
      </c>
      <c r="Q1037" s="15">
        <f t="shared" si="2"/>
        <v>2</v>
      </c>
      <c r="R1037" s="15">
        <f t="shared" si="3"/>
        <v>5</v>
      </c>
      <c r="S1037" s="15">
        <f t="shared" si="4"/>
        <v>4</v>
      </c>
      <c r="T1037" s="15" t="str">
        <f t="shared" si="5"/>
        <v>C-2</v>
      </c>
      <c r="U1037" s="15" t="str">
        <f t="shared" si="6"/>
        <v>T2-M5-H4-FC-2-VERIFY</v>
      </c>
      <c r="V1037" s="15">
        <f t="shared" si="7"/>
        <v>0</v>
      </c>
      <c r="W1037" s="31"/>
      <c r="X1037" s="15" t="str">
        <f t="shared" si="8"/>
        <v>haringhata</v>
      </c>
      <c r="Y1037" s="32" t="str">
        <f t="shared" si="9"/>
        <v>https://steelmanufacturer.in/market-area/electropolished-pipes-manufacturer-in-haringhata/</v>
      </c>
      <c r="Z1037" s="15" t="str">
        <f t="shared" si="10"/>
        <v>Electropolished Pipes Manufacturer in Haringhata</v>
      </c>
      <c r="AA1037" s="15" t="str">
        <f t="shared" si="11"/>
        <v>OK (48)</v>
      </c>
      <c r="AB1037" s="15" t="str">
        <f t="shared" si="12"/>
        <v>Manufacturer of electropolished SS 316L tube serving Haringhata. VERIFY. Ra 0.25-0.5 um, EN 10204 3.1 MTC.</v>
      </c>
      <c r="AC1037" s="15" t="str">
        <f t="shared" si="13"/>
        <v>PENDING RESEARCH</v>
      </c>
      <c r="AD1037" s="15" t="str">
        <f t="shared" si="14"/>
        <v>Electropolished Pipes Manufacturer in Haringhata</v>
      </c>
      <c r="AE1037" s="15" t="str">
        <f t="shared" si="15"/>
        <v>Manufacturing Electropolished SS Tube for Haringhata: The Standards We Build To</v>
      </c>
      <c r="AF1037" s="15" t="str">
        <f t="shared" si="16"/>
        <v>Electropolished Pipe Supply Into Haringhata - Certification &amp; Transit</v>
      </c>
      <c r="AG1037" s="15" t="str">
        <f t="shared" si="17"/>
        <v>Electropolished Pipes Wholesaler in Haringhata - Project Quantities &amp; Terms</v>
      </c>
      <c r="AH1037" s="15" t="str">
        <f t="shared" si="18"/>
        <v>electropolished pipes manufacturer in Haringhata, electropolished pipes supplier in Haringhata, electropolished pipes wholesaler in Haringhata, electropolished tube manufacturer Haringhata, EP pipe supplier Haringhata, sanitary tube supplier Haringhata, ASME BPE tubing Haringhata, ASTM A270 tube Haringhata, SS 316L electropolished pipe Haringhata</v>
      </c>
      <c r="AI1037" s="15" t="str">
        <f t="shared" si="19"/>
        <v>Electropolished Pipes Manufacturer &amp; Supplier in Haringhata</v>
      </c>
      <c r="AJ1037" s="15" t="str">
        <f t="shared" si="20"/>
        <v>EP-finished SS 304/316L pipes and tubes for VERIFY plants in Haringhata. ASME BPE SF1-SF4, Ra from 0.25 um, EN 10204 3.1 certificate with every lot.</v>
      </c>
      <c r="AK1037" s="15" t="str">
        <f t="shared" si="21"/>
        <v>Electropolished stainless steel pipes supplied by Sakshi Forge to VERIFY plants at WBIDC Industrial Area, Haringhata</v>
      </c>
      <c r="AL1037" s="15" t="str">
        <f t="shared" si="22"/>
        <v>Electropolished SS 316L tube stock for Haringhata - Sakshi Forge</v>
      </c>
      <c r="AM1037" s="15" t="str">
        <f t="shared" si="23"/>
        <v>Home &gt; Market Area &gt; India &gt; West Bengal &gt; Haringhata</v>
      </c>
      <c r="AN1037" s="15">
        <f t="shared" si="24"/>
        <v>750</v>
      </c>
      <c r="AO1037" s="15">
        <f t="shared" si="25"/>
        <v>6</v>
      </c>
      <c r="AP1037" s="15">
        <f t="shared" si="26"/>
        <v>6</v>
      </c>
      <c r="AQ1037" s="15">
        <f t="shared" si="27"/>
        <v>18</v>
      </c>
      <c r="AR1037" s="31"/>
      <c r="AS1037" s="31"/>
      <c r="AT1037" s="35" t="s">
        <v>222</v>
      </c>
      <c r="AU1037" s="35"/>
    </row>
    <row r="1038" ht="15.75" customHeight="1">
      <c r="A1038" s="15" t="s">
        <v>5427</v>
      </c>
      <c r="B1038" s="15" t="s">
        <v>60</v>
      </c>
      <c r="C1038" s="15" t="s">
        <v>1687</v>
      </c>
      <c r="D1038" s="15" t="s">
        <v>5428</v>
      </c>
      <c r="E1038" s="15" t="s">
        <v>5428</v>
      </c>
      <c r="F1038" s="58" t="s">
        <v>807</v>
      </c>
      <c r="G1038" s="66" t="s">
        <v>98</v>
      </c>
      <c r="H1038" s="18" t="s">
        <v>5430</v>
      </c>
      <c r="I1038" s="18" t="s">
        <v>8397</v>
      </c>
      <c r="J1038" s="18" t="s">
        <v>98</v>
      </c>
      <c r="K1038" s="18" t="s">
        <v>98</v>
      </c>
      <c r="L1038" s="18" t="s">
        <v>98</v>
      </c>
      <c r="M1038" s="18" t="s">
        <v>98</v>
      </c>
      <c r="N1038" s="18" t="s">
        <v>98</v>
      </c>
      <c r="O1038" s="18" t="s">
        <v>98</v>
      </c>
      <c r="P1038" s="15" t="str">
        <f t="shared" si="1"/>
        <v>VERIFY</v>
      </c>
      <c r="Q1038" s="15">
        <f t="shared" si="2"/>
        <v>3</v>
      </c>
      <c r="R1038" s="15">
        <f t="shared" si="3"/>
        <v>6</v>
      </c>
      <c r="S1038" s="15">
        <f t="shared" si="4"/>
        <v>5</v>
      </c>
      <c r="T1038" s="15" t="str">
        <f t="shared" si="5"/>
        <v>C-3</v>
      </c>
      <c r="U1038" s="15" t="str">
        <f t="shared" si="6"/>
        <v>T3-M6-H5-FC-3-VERIFY</v>
      </c>
      <c r="V1038" s="15">
        <f t="shared" si="7"/>
        <v>0</v>
      </c>
      <c r="W1038" s="31"/>
      <c r="X1038" s="15" t="str">
        <f t="shared" si="8"/>
        <v>haripad</v>
      </c>
      <c r="Y1038" s="32" t="str">
        <f t="shared" si="9"/>
        <v>https://steelmanufacturer.in/market-area/electropolished-pipes-manufacturer-in-haripad/</v>
      </c>
      <c r="Z1038" s="15" t="str">
        <f t="shared" si="10"/>
        <v>Electropolished Pipes Manufacturer in Haripad | EP Tube Supplier</v>
      </c>
      <c r="AA1038" s="15" t="str">
        <f t="shared" si="11"/>
        <v>OK (64)</v>
      </c>
      <c r="AB1038" s="15" t="str">
        <f t="shared" si="12"/>
        <v>EP tube and pipe for VERIFY plants around KINFRA Industrial Area, Haripad. Made at our Mumbai works to ASTM A270 and ASME BPE SF1-SF4, with 3.1 MTC.</v>
      </c>
      <c r="AC1038" s="15" t="str">
        <f t="shared" si="13"/>
        <v>PENDING RESEARCH</v>
      </c>
      <c r="AD1038" s="15" t="str">
        <f t="shared" si="14"/>
        <v>Electropolished Pipes Manufacturer in Haripad</v>
      </c>
      <c r="AE1038" s="15" t="str">
        <f t="shared" si="15"/>
        <v>Electropolished Tube Manufacturing Capability Serving Haripad</v>
      </c>
      <c r="AF1038" s="15" t="str">
        <f t="shared" si="16"/>
        <v>Electropolished Pipes Supplier in Haripad - From Order to Delivery</v>
      </c>
      <c r="AG1038" s="15" t="str">
        <f t="shared" si="17"/>
        <v>Stockist &amp; Wholesale Supply of Electropolished Pipes in Haripad</v>
      </c>
      <c r="AH1038" s="15" t="str">
        <f t="shared" si="18"/>
        <v>electropolished pipes manufacturer in Haripad, electropolished pipes supplier in Haripad, electropolished pipes wholesaler in Haripad, electropolished tube manufacturer Haripad, EP pipe supplier Haripad, sanitary tube supplier Haripad, ASME BPE tubing Haripad, ASTM A270 tube Haripad, SS 316L electropolished pipe Haripad</v>
      </c>
      <c r="AI1038" s="15" t="str">
        <f t="shared" si="19"/>
        <v>Electropolished Pipes Manufacturer &amp; Supplier in Haripad</v>
      </c>
      <c r="AJ1038" s="15" t="str">
        <f t="shared" si="20"/>
        <v>EP-finished SS 304/316L pipes and tubes for VERIFY plants in Haripad. ASME BPE SF1-SF4, Ra from 0.25 um, EN 10204 3.1 certificate with every lot.</v>
      </c>
      <c r="AK1038" s="15" t="str">
        <f t="shared" si="21"/>
        <v>Electropolished stainless steel pipes supplied by Sakshi Forge to VERIFY plants at KINFRA Industrial Area, Haripad</v>
      </c>
      <c r="AL1038" s="15" t="str">
        <f t="shared" si="22"/>
        <v>Electropolished SS 316L tube stock for Haripad - Sakshi Forge</v>
      </c>
      <c r="AM1038" s="15" t="str">
        <f t="shared" si="23"/>
        <v>Home &gt; Market Area &gt; India &gt; Kerala &gt; Haripad</v>
      </c>
      <c r="AN1038" s="15">
        <f t="shared" si="24"/>
        <v>750</v>
      </c>
      <c r="AO1038" s="15">
        <f t="shared" si="25"/>
        <v>6</v>
      </c>
      <c r="AP1038" s="15">
        <f t="shared" si="26"/>
        <v>6</v>
      </c>
      <c r="AQ1038" s="15">
        <f t="shared" si="27"/>
        <v>18</v>
      </c>
      <c r="AR1038" s="31"/>
      <c r="AS1038" s="31"/>
      <c r="AT1038" s="35" t="s">
        <v>222</v>
      </c>
      <c r="AU1038" s="35"/>
    </row>
    <row r="1039" ht="15.75" customHeight="1">
      <c r="A1039" s="15" t="s">
        <v>5431</v>
      </c>
      <c r="B1039" s="15" t="s">
        <v>60</v>
      </c>
      <c r="C1039" s="15" t="s">
        <v>85</v>
      </c>
      <c r="D1039" s="15" t="s">
        <v>5432</v>
      </c>
      <c r="E1039" s="15" t="s">
        <v>5432</v>
      </c>
      <c r="F1039" s="58" t="s">
        <v>807</v>
      </c>
      <c r="G1039" s="66" t="s">
        <v>98</v>
      </c>
      <c r="H1039" s="18" t="s">
        <v>5434</v>
      </c>
      <c r="I1039" s="18" t="s">
        <v>8398</v>
      </c>
      <c r="J1039" s="18" t="s">
        <v>98</v>
      </c>
      <c r="K1039" s="18" t="s">
        <v>98</v>
      </c>
      <c r="L1039" s="18" t="s">
        <v>98</v>
      </c>
      <c r="M1039" s="18" t="s">
        <v>98</v>
      </c>
      <c r="N1039" s="18" t="s">
        <v>98</v>
      </c>
      <c r="O1039" s="18" t="s">
        <v>98</v>
      </c>
      <c r="P1039" s="15" t="str">
        <f t="shared" si="1"/>
        <v>VERIFY</v>
      </c>
      <c r="Q1039" s="15">
        <f t="shared" si="2"/>
        <v>4</v>
      </c>
      <c r="R1039" s="15">
        <f t="shared" si="3"/>
        <v>7</v>
      </c>
      <c r="S1039" s="15">
        <f t="shared" si="4"/>
        <v>1</v>
      </c>
      <c r="T1039" s="15" t="str">
        <f t="shared" si="5"/>
        <v>C-4</v>
      </c>
      <c r="U1039" s="15" t="str">
        <f t="shared" si="6"/>
        <v>T4-M7-H1-FC-4-VERIFY</v>
      </c>
      <c r="V1039" s="15">
        <f t="shared" si="7"/>
        <v>0</v>
      </c>
      <c r="W1039" s="31"/>
      <c r="X1039" s="15" t="str">
        <f t="shared" si="8"/>
        <v>hathras</v>
      </c>
      <c r="Y1039" s="32" t="str">
        <f t="shared" si="9"/>
        <v>https://steelmanufacturer.in/market-area/electropolished-pipes-manufacturer-in-hathras/</v>
      </c>
      <c r="Z1039" s="15" t="str">
        <f t="shared" si="10"/>
        <v>Electropolished Pipes Manufacturer in Hathras</v>
      </c>
      <c r="AA1039" s="15" t="str">
        <f t="shared" si="11"/>
        <v>OK (45)</v>
      </c>
      <c r="AB1039" s="15" t="str">
        <f t="shared" si="12"/>
        <v>Electropolished pipes in Hathras: 304, 304L, 316 and 316L in SF1-SF4. VERIFY. Mill certified.</v>
      </c>
      <c r="AC1039" s="15" t="str">
        <f t="shared" si="13"/>
        <v>PENDING RESEARCH</v>
      </c>
      <c r="AD1039" s="15" t="str">
        <f t="shared" si="14"/>
        <v>Electropolished Pipes Manufacturer in Hathras</v>
      </c>
      <c r="AE1039" s="15" t="str">
        <f t="shared" si="15"/>
        <v>Electropolished Pipe &amp; Tube Manufacturing for Hathras - Grades, Finishes &amp; Certification</v>
      </c>
      <c r="AF1039" s="15" t="str">
        <f t="shared" si="16"/>
        <v>Electropolished Pipes Supplier in Hathras - Stock Sizes, Lead Time &amp; Delivery</v>
      </c>
      <c r="AG1039" s="15" t="str">
        <f t="shared" si="17"/>
        <v>Electropolished Pipes Wholesaler &amp; Stockist in Hathras - Bulk &amp; Project Pricing</v>
      </c>
      <c r="AH1039" s="15" t="str">
        <f t="shared" si="18"/>
        <v>electropolished pipes manufacturer in Hathras, electropolished pipes supplier in Hathras, electropolished pipes wholesaler in Hathras, electropolished tube manufacturer Hathras, EP pipe supplier Hathras, sanitary tube supplier Hathras, ASME BPE tubing Hathras, ASTM A270 tube Hathras, SS 316L electropolished pipe Hathras</v>
      </c>
      <c r="AI1039" s="15" t="str">
        <f t="shared" si="19"/>
        <v>Electropolished Pipes Manufacturer &amp; Supplier in Hathras</v>
      </c>
      <c r="AJ1039" s="15" t="str">
        <f t="shared" si="20"/>
        <v>EP-finished SS 304/316L pipes and tubes for VERIFY plants in Hathras. ASME BPE SF1-SF4, Ra from 0.25 um, EN 10204 3.1 certificate with every lot.</v>
      </c>
      <c r="AK1039" s="15" t="str">
        <f t="shared" si="21"/>
        <v>Electropolished stainless steel pipes supplied by Sakshi Forge to VERIFY plants at UPSIDA Industrial Area, Hathras</v>
      </c>
      <c r="AL1039" s="15" t="str">
        <f t="shared" si="22"/>
        <v>Electropolished SS 316L tube stock for Hathras - Sakshi Forge</v>
      </c>
      <c r="AM1039" s="15" t="str">
        <f t="shared" si="23"/>
        <v>Home &gt; Market Area &gt; India &gt; Uttar Pradesh &gt; Hathras</v>
      </c>
      <c r="AN1039" s="15">
        <f t="shared" si="24"/>
        <v>750</v>
      </c>
      <c r="AO1039" s="15">
        <f t="shared" si="25"/>
        <v>6</v>
      </c>
      <c r="AP1039" s="15">
        <f t="shared" si="26"/>
        <v>6</v>
      </c>
      <c r="AQ1039" s="15">
        <f t="shared" si="27"/>
        <v>18</v>
      </c>
      <c r="AR1039" s="31"/>
      <c r="AS1039" s="31"/>
      <c r="AT1039" s="35" t="s">
        <v>222</v>
      </c>
      <c r="AU1039" s="35"/>
    </row>
    <row r="1040" ht="15.75" customHeight="1">
      <c r="A1040" s="15" t="s">
        <v>5435</v>
      </c>
      <c r="B1040" s="15" t="s">
        <v>60</v>
      </c>
      <c r="C1040" s="15" t="s">
        <v>1139</v>
      </c>
      <c r="D1040" s="15" t="s">
        <v>5436</v>
      </c>
      <c r="E1040" s="15" t="s">
        <v>5436</v>
      </c>
      <c r="F1040" s="58" t="s">
        <v>807</v>
      </c>
      <c r="G1040" s="66" t="s">
        <v>98</v>
      </c>
      <c r="H1040" s="18" t="s">
        <v>5438</v>
      </c>
      <c r="I1040" s="18" t="s">
        <v>8410</v>
      </c>
      <c r="J1040" s="18" t="s">
        <v>98</v>
      </c>
      <c r="K1040" s="18" t="s">
        <v>98</v>
      </c>
      <c r="L1040" s="18" t="s">
        <v>98</v>
      </c>
      <c r="M1040" s="18" t="s">
        <v>98</v>
      </c>
      <c r="N1040" s="18" t="s">
        <v>98</v>
      </c>
      <c r="O1040" s="18" t="s">
        <v>98</v>
      </c>
      <c r="P1040" s="15" t="str">
        <f t="shared" si="1"/>
        <v>VERIFY</v>
      </c>
      <c r="Q1040" s="15">
        <f t="shared" si="2"/>
        <v>5</v>
      </c>
      <c r="R1040" s="15">
        <f t="shared" si="3"/>
        <v>1</v>
      </c>
      <c r="S1040" s="15">
        <f t="shared" si="4"/>
        <v>2</v>
      </c>
      <c r="T1040" s="15" t="str">
        <f t="shared" si="5"/>
        <v>C-5</v>
      </c>
      <c r="U1040" s="15" t="str">
        <f t="shared" si="6"/>
        <v>T5-M1-H2-FC-5-VERIFY</v>
      </c>
      <c r="V1040" s="15">
        <f t="shared" si="7"/>
        <v>0</v>
      </c>
      <c r="W1040" s="31"/>
      <c r="X1040" s="15" t="str">
        <f t="shared" si="8"/>
        <v>herbertpur</v>
      </c>
      <c r="Y1040" s="32" t="str">
        <f t="shared" si="9"/>
        <v>https://steelmanufacturer.in/market-area/electropolished-pipes-manufacturer-in-herbertpur/</v>
      </c>
      <c r="Z1040" s="15" t="str">
        <f t="shared" si="10"/>
        <v>Electropolished Pipes Manufacturer in Herbertpur</v>
      </c>
      <c r="AA1040" s="15" t="str">
        <f t="shared" si="11"/>
        <v>OK (48)</v>
      </c>
      <c r="AB1040" s="15" t="str">
        <f t="shared" si="12"/>
        <v>EP-finished SS 304/316L pipes &amp; tubes for VERIFY plants in Herbertpur. ASTM A270, ASME BPE SF1-SF4, EN 10204 3.1 MTC. PMI tested.</v>
      </c>
      <c r="AC1040" s="15" t="str">
        <f t="shared" si="13"/>
        <v>PENDING RESEARCH</v>
      </c>
      <c r="AD1040" s="15" t="str">
        <f t="shared" si="14"/>
        <v>Electropolished Pipes Manufacturer in Herbertpur</v>
      </c>
      <c r="AE1040" s="15" t="str">
        <f t="shared" si="15"/>
        <v>How We Manufacture Electropolished Tube for Herbertpur Plants</v>
      </c>
      <c r="AF1040" s="15" t="str">
        <f t="shared" si="16"/>
        <v>Supplying Electropolished Pipes in Herbertpur: Availability, Sizes &amp; Dispatch</v>
      </c>
      <c r="AG1040" s="15" t="str">
        <f t="shared" si="17"/>
        <v>Wholesale Electropolished Pipe Supply for Herbertpur Projects</v>
      </c>
      <c r="AH1040" s="15" t="str">
        <f t="shared" si="18"/>
        <v>electropolished pipes manufacturer in Herbertpur, electropolished pipes supplier in Herbertpur, electropolished pipes wholesaler in Herbertpur, electropolished tube manufacturer Herbertpur, EP pipe supplier Herbertpur, sanitary tube supplier Herbertpur, ASME BPE tubing Herbertpur, ASTM A270 tube Herbertpur, SS 316L electropolished pipe Herbertpur</v>
      </c>
      <c r="AI1040" s="15" t="str">
        <f t="shared" si="19"/>
        <v>Electropolished Pipes Manufacturer &amp; Supplier in Herbertpur</v>
      </c>
      <c r="AJ1040" s="15" t="str">
        <f t="shared" si="20"/>
        <v>EP-finished SS 304/316L pipes and tubes for VERIFY plants in Herbertpur. ASME BPE SF1-SF4, Ra from 0.25 um, EN 10204 3.1 certificate with every lot.</v>
      </c>
      <c r="AK1040" s="15" t="str">
        <f t="shared" si="21"/>
        <v>Electropolished stainless steel pipes supplied by Sakshi Forge to VERIFY plants at SIIDCUL Industrial Area, Herbertpur</v>
      </c>
      <c r="AL1040" s="15" t="str">
        <f t="shared" si="22"/>
        <v>Electropolished SS 316L tube stock for Herbertpur - Sakshi Forge</v>
      </c>
      <c r="AM1040" s="15" t="str">
        <f t="shared" si="23"/>
        <v>Home &gt; Market Area &gt; India &gt; Uttarakhand &gt; Herbertpur</v>
      </c>
      <c r="AN1040" s="15">
        <f t="shared" si="24"/>
        <v>750</v>
      </c>
      <c r="AO1040" s="15">
        <f t="shared" si="25"/>
        <v>6</v>
      </c>
      <c r="AP1040" s="15">
        <f t="shared" si="26"/>
        <v>6</v>
      </c>
      <c r="AQ1040" s="15">
        <f t="shared" si="27"/>
        <v>18</v>
      </c>
      <c r="AR1040" s="31"/>
      <c r="AS1040" s="31"/>
      <c r="AT1040" s="35" t="s">
        <v>222</v>
      </c>
      <c r="AU1040" s="35"/>
    </row>
    <row r="1041" ht="15.75" customHeight="1">
      <c r="A1041" s="15" t="s">
        <v>5439</v>
      </c>
      <c r="B1041" s="15" t="s">
        <v>60</v>
      </c>
      <c r="C1041" s="15" t="s">
        <v>264</v>
      </c>
      <c r="D1041" s="15" t="s">
        <v>5440</v>
      </c>
      <c r="E1041" s="15" t="s">
        <v>5440</v>
      </c>
      <c r="F1041" s="58" t="s">
        <v>807</v>
      </c>
      <c r="G1041" s="66" t="s">
        <v>98</v>
      </c>
      <c r="H1041" s="18" t="s">
        <v>5442</v>
      </c>
      <c r="I1041" s="18" t="s">
        <v>8395</v>
      </c>
      <c r="J1041" s="18" t="s">
        <v>98</v>
      </c>
      <c r="K1041" s="18" t="s">
        <v>98</v>
      </c>
      <c r="L1041" s="18" t="s">
        <v>98</v>
      </c>
      <c r="M1041" s="18" t="s">
        <v>98</v>
      </c>
      <c r="N1041" s="18" t="s">
        <v>98</v>
      </c>
      <c r="O1041" s="18" t="s">
        <v>98</v>
      </c>
      <c r="P1041" s="15" t="str">
        <f t="shared" si="1"/>
        <v>VERIFY</v>
      </c>
      <c r="Q1041" s="15">
        <f t="shared" si="2"/>
        <v>6</v>
      </c>
      <c r="R1041" s="15">
        <f t="shared" si="3"/>
        <v>2</v>
      </c>
      <c r="S1041" s="15">
        <f t="shared" si="4"/>
        <v>3</v>
      </c>
      <c r="T1041" s="15" t="str">
        <f t="shared" si="5"/>
        <v>C-6</v>
      </c>
      <c r="U1041" s="15" t="str">
        <f t="shared" si="6"/>
        <v>T6-M2-H3-FC-6-VERIFY</v>
      </c>
      <c r="V1041" s="15">
        <f t="shared" si="7"/>
        <v>0</v>
      </c>
      <c r="W1041" s="31"/>
      <c r="X1041" s="15" t="str">
        <f t="shared" si="8"/>
        <v>himayatnagar</v>
      </c>
      <c r="Y1041" s="32" t="str">
        <f t="shared" si="9"/>
        <v>https://steelmanufacturer.in/market-area/electropolished-pipes-manufacturer-in-himayatnagar/</v>
      </c>
      <c r="Z1041" s="15" t="str">
        <f t="shared" si="10"/>
        <v>Electropolished Pipes Manufacturer in Himayatnagar</v>
      </c>
      <c r="AA1041" s="15" t="str">
        <f t="shared" si="11"/>
        <v>OK (50)</v>
      </c>
      <c r="AB1041" s="15" t="str">
        <f t="shared" si="12"/>
        <v>Electropolished tube supply to MIDC Industrial Area, Himayatnagar. Ra from 0.25 um, SF4 finish, mill test certificate with every lot.</v>
      </c>
      <c r="AC1041" s="15" t="str">
        <f t="shared" si="13"/>
        <v>PENDING RESEARCH</v>
      </c>
      <c r="AD1041" s="15" t="str">
        <f t="shared" si="14"/>
        <v>Electropolished Pipes Manufacturer in Himayatnagar</v>
      </c>
      <c r="AE1041" s="15" t="str">
        <f t="shared" si="15"/>
        <v>Electropolished Pipes Manufacturer in Himayatnagar - Our Process &amp; Capability</v>
      </c>
      <c r="AF1041" s="15" t="str">
        <f t="shared" si="16"/>
        <v>Electropolished Pipes Supplier in Himayatnagar - What We Hold in Stock</v>
      </c>
      <c r="AG1041" s="15" t="str">
        <f t="shared" si="17"/>
        <v>Bulk &amp; Wholesale Electropolished Pipe Rates for Himayatnagar Buyers</v>
      </c>
      <c r="AH1041" s="15" t="str">
        <f t="shared" si="18"/>
        <v>electropolished pipes manufacturer in Himayatnagar, electropolished pipes supplier in Himayatnagar, electropolished pipes wholesaler in Himayatnagar, electropolished tube manufacturer Himayatnagar, EP pipe supplier Himayatnagar, sanitary tube supplier Himayatnagar, ASME BPE tubing Himayatnagar, ASTM A270 tube Himayatnagar, SS 316L electropolished pipe Himayatnagar</v>
      </c>
      <c r="AI1041" s="15" t="str">
        <f t="shared" si="19"/>
        <v>Electropolished Pipes Manufacturer &amp; Supplier in Himayatnagar</v>
      </c>
      <c r="AJ1041" s="15" t="str">
        <f t="shared" si="20"/>
        <v>EP-finished SS 304/316L pipes and tubes for VERIFY plants in Himayatnagar. ASME BPE SF1-SF4, Ra from 0.25 um, EN 10204 3.1 certificate with every lot.</v>
      </c>
      <c r="AK1041" s="15" t="str">
        <f t="shared" si="21"/>
        <v>Electropolished stainless steel pipes supplied by Sakshi Forge to VERIFY plants at MIDC Industrial Area, Himayatnagar</v>
      </c>
      <c r="AL1041" s="15" t="str">
        <f t="shared" si="22"/>
        <v>Electropolished SS 316L tube stock for Himayatnagar - Sakshi Forge</v>
      </c>
      <c r="AM1041" s="15" t="str">
        <f t="shared" si="23"/>
        <v>Home &gt; Market Area &gt; India &gt; Maharashtra &gt; Himayatnagar</v>
      </c>
      <c r="AN1041" s="15">
        <f t="shared" si="24"/>
        <v>750</v>
      </c>
      <c r="AO1041" s="15">
        <f t="shared" si="25"/>
        <v>6</v>
      </c>
      <c r="AP1041" s="15">
        <f t="shared" si="26"/>
        <v>6</v>
      </c>
      <c r="AQ1041" s="15">
        <f t="shared" si="27"/>
        <v>18</v>
      </c>
      <c r="AR1041" s="31"/>
      <c r="AS1041" s="31"/>
      <c r="AT1041" s="35" t="s">
        <v>222</v>
      </c>
      <c r="AU1041" s="35"/>
    </row>
    <row r="1042" ht="15.75" customHeight="1">
      <c r="A1042" s="15" t="s">
        <v>5443</v>
      </c>
      <c r="B1042" s="15" t="s">
        <v>60</v>
      </c>
      <c r="C1042" s="15" t="s">
        <v>1155</v>
      </c>
      <c r="D1042" s="15" t="s">
        <v>5444</v>
      </c>
      <c r="E1042" s="15" t="s">
        <v>5444</v>
      </c>
      <c r="F1042" s="58" t="s">
        <v>807</v>
      </c>
      <c r="G1042" s="66" t="s">
        <v>98</v>
      </c>
      <c r="H1042" s="18" t="s">
        <v>5446</v>
      </c>
      <c r="I1042" s="18" t="s">
        <v>8412</v>
      </c>
      <c r="J1042" s="18" t="s">
        <v>98</v>
      </c>
      <c r="K1042" s="18" t="s">
        <v>98</v>
      </c>
      <c r="L1042" s="18" t="s">
        <v>98</v>
      </c>
      <c r="M1042" s="18" t="s">
        <v>98</v>
      </c>
      <c r="N1042" s="18" t="s">
        <v>98</v>
      </c>
      <c r="O1042" s="18" t="s">
        <v>98</v>
      </c>
      <c r="P1042" s="15" t="str">
        <f t="shared" si="1"/>
        <v>VERIFY</v>
      </c>
      <c r="Q1042" s="15">
        <f t="shared" si="2"/>
        <v>7</v>
      </c>
      <c r="R1042" s="15">
        <f t="shared" si="3"/>
        <v>3</v>
      </c>
      <c r="S1042" s="15">
        <f t="shared" si="4"/>
        <v>4</v>
      </c>
      <c r="T1042" s="15" t="str">
        <f t="shared" si="5"/>
        <v>C-1</v>
      </c>
      <c r="U1042" s="15" t="str">
        <f t="shared" si="6"/>
        <v>T7-M3-H4-FC-1-VERIFY</v>
      </c>
      <c r="V1042" s="15">
        <f t="shared" si="7"/>
        <v>0</v>
      </c>
      <c r="W1042" s="31"/>
      <c r="X1042" s="15" t="str">
        <f t="shared" si="8"/>
        <v>hojai</v>
      </c>
      <c r="Y1042" s="32" t="str">
        <f t="shared" si="9"/>
        <v>https://steelmanufacturer.in/market-area/electropolished-pipes-manufacturer-in-hojai/</v>
      </c>
      <c r="Z1042" s="15" t="str">
        <f t="shared" si="10"/>
        <v>Electropolished Pipes Manufacturer in Hojai | ASME BPE SF1-SF4</v>
      </c>
      <c r="AA1042" s="15" t="str">
        <f t="shared" si="11"/>
        <v>OK (62)</v>
      </c>
      <c r="AB1042" s="15" t="str">
        <f t="shared" si="12"/>
        <v>EP stainless tube for VERIFY lines in Hojai. VERIFY. ASTM A270 S2, PMI tested, EN 10204 3.1.</v>
      </c>
      <c r="AC1042" s="15" t="str">
        <f t="shared" si="13"/>
        <v>PENDING RESEARCH</v>
      </c>
      <c r="AD1042" s="15" t="str">
        <f t="shared" si="14"/>
        <v>Electropolished Pipes Manufacturer in Hojai</v>
      </c>
      <c r="AE1042" s="15" t="str">
        <f t="shared" si="15"/>
        <v>Manufacturing Electropolished SS Tube for Hojai: The Standards We Build To</v>
      </c>
      <c r="AF1042" s="15" t="str">
        <f t="shared" si="16"/>
        <v>Electropolished Pipe Supply Into Hojai - Certification &amp; Transit</v>
      </c>
      <c r="AG1042" s="15" t="str">
        <f t="shared" si="17"/>
        <v>Electropolished Pipes Wholesaler in Hojai - Project Quantities &amp; Terms</v>
      </c>
      <c r="AH1042" s="15" t="str">
        <f t="shared" si="18"/>
        <v>electropolished pipes manufacturer in Hojai, electropolished pipes supplier in Hojai, electropolished pipes wholesaler in Hojai, electropolished tube manufacturer Hojai, EP pipe supplier Hojai, sanitary tube supplier Hojai, ASME BPE tubing Hojai, ASTM A270 tube Hojai, SS 316L electropolished pipe Hojai</v>
      </c>
      <c r="AI1042" s="15" t="str">
        <f t="shared" si="19"/>
        <v>Electropolished Pipes Manufacturer &amp; Supplier in Hojai</v>
      </c>
      <c r="AJ1042" s="15" t="str">
        <f t="shared" si="20"/>
        <v>EP-finished SS 304/316L pipes and tubes for VERIFY plants in Hojai. ASME BPE SF1-SF4, Ra from 0.25 um, EN 10204 3.1 certificate with every lot.</v>
      </c>
      <c r="AK1042" s="15" t="str">
        <f t="shared" si="21"/>
        <v>Electropolished stainless steel pipes supplied by Sakshi Forge to VERIFY plants at AIDC Industrial Area, Hojai</v>
      </c>
      <c r="AL1042" s="15" t="str">
        <f t="shared" si="22"/>
        <v>Electropolished SS 316L tube stock for Hojai - Sakshi Forge</v>
      </c>
      <c r="AM1042" s="15" t="str">
        <f t="shared" si="23"/>
        <v>Home &gt; Market Area &gt; India &gt; Assam &gt; Hojai</v>
      </c>
      <c r="AN1042" s="15">
        <f t="shared" si="24"/>
        <v>750</v>
      </c>
      <c r="AO1042" s="15">
        <f t="shared" si="25"/>
        <v>6</v>
      </c>
      <c r="AP1042" s="15">
        <f t="shared" si="26"/>
        <v>6</v>
      </c>
      <c r="AQ1042" s="15">
        <f t="shared" si="27"/>
        <v>18</v>
      </c>
      <c r="AR1042" s="31"/>
      <c r="AS1042" s="31"/>
      <c r="AT1042" s="35" t="s">
        <v>222</v>
      </c>
      <c r="AU1042" s="35"/>
    </row>
    <row r="1043" ht="15.75" customHeight="1">
      <c r="A1043" s="15" t="s">
        <v>5447</v>
      </c>
      <c r="B1043" s="15" t="s">
        <v>60</v>
      </c>
      <c r="C1043" s="15" t="s">
        <v>570</v>
      </c>
      <c r="D1043" s="15" t="s">
        <v>5448</v>
      </c>
      <c r="E1043" s="15" t="s">
        <v>5448</v>
      </c>
      <c r="F1043" s="58" t="s">
        <v>807</v>
      </c>
      <c r="G1043" s="66" t="s">
        <v>98</v>
      </c>
      <c r="H1043" s="18" t="s">
        <v>5450</v>
      </c>
      <c r="I1043" s="18" t="s">
        <v>8405</v>
      </c>
      <c r="J1043" s="18" t="s">
        <v>98</v>
      </c>
      <c r="K1043" s="18" t="s">
        <v>98</v>
      </c>
      <c r="L1043" s="18" t="s">
        <v>98</v>
      </c>
      <c r="M1043" s="18" t="s">
        <v>98</v>
      </c>
      <c r="N1043" s="18" t="s">
        <v>98</v>
      </c>
      <c r="O1043" s="18" t="s">
        <v>98</v>
      </c>
      <c r="P1043" s="15" t="str">
        <f t="shared" si="1"/>
        <v>VERIFY</v>
      </c>
      <c r="Q1043" s="15">
        <f t="shared" si="2"/>
        <v>8</v>
      </c>
      <c r="R1043" s="15">
        <f t="shared" si="3"/>
        <v>4</v>
      </c>
      <c r="S1043" s="15">
        <f t="shared" si="4"/>
        <v>5</v>
      </c>
      <c r="T1043" s="15" t="str">
        <f t="shared" si="5"/>
        <v>C-2</v>
      </c>
      <c r="U1043" s="15" t="str">
        <f t="shared" si="6"/>
        <v>T8-M4-H5-FC-2-VERIFY</v>
      </c>
      <c r="V1043" s="15">
        <f t="shared" si="7"/>
        <v>0</v>
      </c>
      <c r="W1043" s="31"/>
      <c r="X1043" s="15" t="str">
        <f t="shared" si="8"/>
        <v>holenarasipura</v>
      </c>
      <c r="Y1043" s="32" t="str">
        <f t="shared" si="9"/>
        <v>https://steelmanufacturer.in/market-area/electropolished-pipes-manufacturer-in-holenarasipura/</v>
      </c>
      <c r="Z1043" s="15" t="str">
        <f t="shared" si="10"/>
        <v>Electropolished Pipes Manufacturer in Holenarasipura</v>
      </c>
      <c r="AA1043" s="15" t="str">
        <f t="shared" si="11"/>
        <v>OK (52)</v>
      </c>
      <c r="AB1043" s="15" t="str">
        <f t="shared" si="12"/>
        <v>Sanitary electropolished pipes in Holenarasipura for VERIFY plants. ASME BPE SF1-SF4, orbital-weld ready, 3.1 MTC. Mumbai-made.</v>
      </c>
      <c r="AC1043" s="15" t="str">
        <f t="shared" si="13"/>
        <v>PENDING RESEARCH</v>
      </c>
      <c r="AD1043" s="15" t="str">
        <f t="shared" si="14"/>
        <v>Electropolished Pipes Manufacturer in Holenarasipura</v>
      </c>
      <c r="AE1043" s="15" t="str">
        <f t="shared" si="15"/>
        <v>Electropolished Tube Manufacturing Capability Serving Holenarasipura</v>
      </c>
      <c r="AF1043" s="15" t="str">
        <f t="shared" si="16"/>
        <v>Electropolished Pipes Supplier in Holenarasipura - From Order to Delivery</v>
      </c>
      <c r="AG1043" s="15" t="str">
        <f t="shared" si="17"/>
        <v>Stockist &amp; Wholesale Supply of Electropolished Pipes in Holenarasipura</v>
      </c>
      <c r="AH1043" s="15" t="str">
        <f t="shared" si="18"/>
        <v>electropolished pipes manufacturer in Holenarasipura, electropolished pipes supplier in Holenarasipura, electropolished pipes wholesaler in Holenarasipura, electropolished tube manufacturer Holenarasipura, EP pipe supplier Holenarasipura, sanitary tube supplier Holenarasipura, ASME BPE tubing Holenarasipura, ASTM A270 tube Holenarasipura, SS 316L electropolished pipe Holenarasipura</v>
      </c>
      <c r="AI1043" s="15" t="str">
        <f t="shared" si="19"/>
        <v>Electropolished Pipes Manufacturer &amp; Supplier in Holenarasipura</v>
      </c>
      <c r="AJ1043" s="15" t="str">
        <f t="shared" si="20"/>
        <v>EP-finished SS 304/316L pipes and tubes for VERIFY plants in Holenarasipura. ASME BPE SF1-SF4, Ra from 0.25 um, EN 10204 3.1 certificate with every lot.</v>
      </c>
      <c r="AK1043" s="15" t="str">
        <f t="shared" si="21"/>
        <v>Electropolished stainless steel pipes supplied by Sakshi Forge to VERIFY plants at KIADB Industrial Area, Holenarasipura</v>
      </c>
      <c r="AL1043" s="15" t="str">
        <f t="shared" si="22"/>
        <v>Electropolished SS 316L tube stock for Holenarasipura - Sakshi Forge</v>
      </c>
      <c r="AM1043" s="15" t="str">
        <f t="shared" si="23"/>
        <v>Home &gt; Market Area &gt; India &gt; Karnataka &gt; Holenarasipura</v>
      </c>
      <c r="AN1043" s="15">
        <f t="shared" si="24"/>
        <v>750</v>
      </c>
      <c r="AO1043" s="15">
        <f t="shared" si="25"/>
        <v>6</v>
      </c>
      <c r="AP1043" s="15">
        <f t="shared" si="26"/>
        <v>6</v>
      </c>
      <c r="AQ1043" s="15">
        <f t="shared" si="27"/>
        <v>18</v>
      </c>
      <c r="AR1043" s="31"/>
      <c r="AS1043" s="31"/>
      <c r="AT1043" s="35" t="s">
        <v>222</v>
      </c>
      <c r="AU1043" s="35"/>
    </row>
    <row r="1044" ht="15.75" customHeight="1">
      <c r="A1044" s="15" t="s">
        <v>5451</v>
      </c>
      <c r="B1044" s="15" t="s">
        <v>60</v>
      </c>
      <c r="C1044" s="15" t="s">
        <v>570</v>
      </c>
      <c r="D1044" s="15" t="s">
        <v>5452</v>
      </c>
      <c r="E1044" s="15" t="s">
        <v>5452</v>
      </c>
      <c r="F1044" s="58" t="s">
        <v>807</v>
      </c>
      <c r="G1044" s="66" t="s">
        <v>98</v>
      </c>
      <c r="H1044" s="18" t="s">
        <v>5454</v>
      </c>
      <c r="I1044" s="18" t="s">
        <v>8405</v>
      </c>
      <c r="J1044" s="18" t="s">
        <v>98</v>
      </c>
      <c r="K1044" s="18" t="s">
        <v>98</v>
      </c>
      <c r="L1044" s="18" t="s">
        <v>98</v>
      </c>
      <c r="M1044" s="18" t="s">
        <v>98</v>
      </c>
      <c r="N1044" s="18" t="s">
        <v>98</v>
      </c>
      <c r="O1044" s="18" t="s">
        <v>98</v>
      </c>
      <c r="P1044" s="15" t="str">
        <f t="shared" si="1"/>
        <v>VERIFY</v>
      </c>
      <c r="Q1044" s="15">
        <f t="shared" si="2"/>
        <v>1</v>
      </c>
      <c r="R1044" s="15">
        <f t="shared" si="3"/>
        <v>5</v>
      </c>
      <c r="S1044" s="15">
        <f t="shared" si="4"/>
        <v>1</v>
      </c>
      <c r="T1044" s="15" t="str">
        <f t="shared" si="5"/>
        <v>C-3</v>
      </c>
      <c r="U1044" s="15" t="str">
        <f t="shared" si="6"/>
        <v>T1-M5-H1-FC-3-VERIFY</v>
      </c>
      <c r="V1044" s="15">
        <f t="shared" si="7"/>
        <v>0</v>
      </c>
      <c r="W1044" s="31"/>
      <c r="X1044" s="15" t="str">
        <f t="shared" si="8"/>
        <v>honnavar</v>
      </c>
      <c r="Y1044" s="32" t="str">
        <f t="shared" si="9"/>
        <v>https://steelmanufacturer.in/market-area/electropolished-pipes-manufacturer-in-honnavar/</v>
      </c>
      <c r="Z1044" s="15" t="str">
        <f t="shared" si="10"/>
        <v>Electropolished Pipes Manufacturer in Honnavar | Sakshi Forge</v>
      </c>
      <c r="AA1044" s="15" t="str">
        <f t="shared" si="11"/>
        <v>OK (61)</v>
      </c>
      <c r="AB1044" s="15" t="str">
        <f t="shared" si="12"/>
        <v>Manufacturer of electropolished SS 316L tube serving Honnavar. VERIFY. Ra 0.25-0.5 um, EN 10204 3.1 MTC.</v>
      </c>
      <c r="AC1044" s="15" t="str">
        <f t="shared" si="13"/>
        <v>PENDING RESEARCH</v>
      </c>
      <c r="AD1044" s="15" t="str">
        <f t="shared" si="14"/>
        <v>Electropolished Pipes Manufacturer in Honnavar</v>
      </c>
      <c r="AE1044" s="15" t="str">
        <f t="shared" si="15"/>
        <v>Electropolished Pipe &amp; Tube Manufacturing for Honnavar - Grades, Finishes &amp; Certification</v>
      </c>
      <c r="AF1044" s="15" t="str">
        <f t="shared" si="16"/>
        <v>Electropolished Pipes Supplier in Honnavar - Stock Sizes, Lead Time &amp; Delivery</v>
      </c>
      <c r="AG1044" s="15" t="str">
        <f t="shared" si="17"/>
        <v>Electropolished Pipes Wholesaler &amp; Stockist in Honnavar - Bulk &amp; Project Pricing</v>
      </c>
      <c r="AH1044" s="15" t="str">
        <f t="shared" si="18"/>
        <v>electropolished pipes manufacturer in Honnavar, electropolished pipes supplier in Honnavar, electropolished pipes wholesaler in Honnavar, electropolished tube manufacturer Honnavar, EP pipe supplier Honnavar, sanitary tube supplier Honnavar, ASME BPE tubing Honnavar, ASTM A270 tube Honnavar, SS 316L electropolished pipe Honnavar</v>
      </c>
      <c r="AI1044" s="15" t="str">
        <f t="shared" si="19"/>
        <v>Electropolished Pipes Manufacturer &amp; Supplier in Honnavar</v>
      </c>
      <c r="AJ1044" s="15" t="str">
        <f t="shared" si="20"/>
        <v>EP-finished SS 304/316L pipes and tubes for VERIFY plants in Honnavar. ASME BPE SF1-SF4, Ra from 0.25 um, EN 10204 3.1 certificate with every lot.</v>
      </c>
      <c r="AK1044" s="15" t="str">
        <f t="shared" si="21"/>
        <v>Electropolished stainless steel pipes supplied by Sakshi Forge to VERIFY plants at KIADB Industrial Area, Honnavar</v>
      </c>
      <c r="AL1044" s="15" t="str">
        <f t="shared" si="22"/>
        <v>Electropolished SS 316L tube stock for Honnavar - Sakshi Forge</v>
      </c>
      <c r="AM1044" s="15" t="str">
        <f t="shared" si="23"/>
        <v>Home &gt; Market Area &gt; India &gt; Karnataka &gt; Honnavar</v>
      </c>
      <c r="AN1044" s="15">
        <f t="shared" si="24"/>
        <v>750</v>
      </c>
      <c r="AO1044" s="15">
        <f t="shared" si="25"/>
        <v>6</v>
      </c>
      <c r="AP1044" s="15">
        <f t="shared" si="26"/>
        <v>6</v>
      </c>
      <c r="AQ1044" s="15">
        <f t="shared" si="27"/>
        <v>18</v>
      </c>
      <c r="AR1044" s="31"/>
      <c r="AS1044" s="31"/>
      <c r="AT1044" s="35" t="s">
        <v>222</v>
      </c>
      <c r="AU1044" s="35"/>
    </row>
    <row r="1045" ht="15.75" customHeight="1">
      <c r="A1045" s="15" t="s">
        <v>5457</v>
      </c>
      <c r="B1045" s="15" t="s">
        <v>60</v>
      </c>
      <c r="C1045" s="15" t="s">
        <v>570</v>
      </c>
      <c r="D1045" s="15" t="s">
        <v>5460</v>
      </c>
      <c r="E1045" s="15" t="s">
        <v>5460</v>
      </c>
      <c r="F1045" s="58" t="s">
        <v>807</v>
      </c>
      <c r="G1045" s="66" t="s">
        <v>98</v>
      </c>
      <c r="H1045" s="18" t="s">
        <v>5464</v>
      </c>
      <c r="I1045" s="18" t="s">
        <v>8405</v>
      </c>
      <c r="J1045" s="18" t="s">
        <v>98</v>
      </c>
      <c r="K1045" s="18" t="s">
        <v>98</v>
      </c>
      <c r="L1045" s="18" t="s">
        <v>98</v>
      </c>
      <c r="M1045" s="18" t="s">
        <v>98</v>
      </c>
      <c r="N1045" s="18" t="s">
        <v>98</v>
      </c>
      <c r="O1045" s="18" t="s">
        <v>98</v>
      </c>
      <c r="P1045" s="15" t="str">
        <f t="shared" si="1"/>
        <v>VERIFY</v>
      </c>
      <c r="Q1045" s="15">
        <f t="shared" si="2"/>
        <v>2</v>
      </c>
      <c r="R1045" s="15">
        <f t="shared" si="3"/>
        <v>6</v>
      </c>
      <c r="S1045" s="15">
        <f t="shared" si="4"/>
        <v>2</v>
      </c>
      <c r="T1045" s="15" t="str">
        <f t="shared" si="5"/>
        <v>C-4</v>
      </c>
      <c r="U1045" s="15" t="str">
        <f t="shared" si="6"/>
        <v>T2-M6-H2-FC-4-VERIFY</v>
      </c>
      <c r="V1045" s="15">
        <f t="shared" si="7"/>
        <v>0</v>
      </c>
      <c r="W1045" s="31"/>
      <c r="X1045" s="15" t="str">
        <f t="shared" si="8"/>
        <v>hoskote</v>
      </c>
      <c r="Y1045" s="32" t="str">
        <f t="shared" si="9"/>
        <v>https://steelmanufacturer.in/market-area/electropolished-pipes-manufacturer-in-hoskote/</v>
      </c>
      <c r="Z1045" s="15" t="str">
        <f t="shared" si="10"/>
        <v>Electropolished Pipes Manufacturer in Hoskote</v>
      </c>
      <c r="AA1045" s="15" t="str">
        <f t="shared" si="11"/>
        <v>OK (45)</v>
      </c>
      <c r="AB1045" s="15" t="str">
        <f t="shared" si="12"/>
        <v>EP tube and pipe for VERIFY plants around KIADB Industrial Area, Hoskote. Made at our Mumbai works to ASTM A270 and ASME BPE SF1-SF4, with 3.1 MTC.</v>
      </c>
      <c r="AC1045" s="15" t="str">
        <f t="shared" si="13"/>
        <v>PENDING RESEARCH</v>
      </c>
      <c r="AD1045" s="15" t="str">
        <f t="shared" si="14"/>
        <v>Electropolished Pipes Manufacturer in Hoskote</v>
      </c>
      <c r="AE1045" s="15" t="str">
        <f t="shared" si="15"/>
        <v>How We Manufacture Electropolished Tube for Hoskote Plants</v>
      </c>
      <c r="AF1045" s="15" t="str">
        <f t="shared" si="16"/>
        <v>Supplying Electropolished Pipes in Hoskote: Availability, Sizes &amp; Dispatch</v>
      </c>
      <c r="AG1045" s="15" t="str">
        <f t="shared" si="17"/>
        <v>Wholesale Electropolished Pipe Supply for Hoskote Projects</v>
      </c>
      <c r="AH1045" s="15" t="str">
        <f t="shared" si="18"/>
        <v>electropolished pipes manufacturer in Hoskote, electropolished pipes supplier in Hoskote, electropolished pipes wholesaler in Hoskote, electropolished tube manufacturer Hoskote, EP pipe supplier Hoskote, sanitary tube supplier Hoskote, ASME BPE tubing Hoskote, ASTM A270 tube Hoskote, SS 316L electropolished pipe Hoskote</v>
      </c>
      <c r="AI1045" s="15" t="str">
        <f t="shared" si="19"/>
        <v>Electropolished Pipes Manufacturer &amp; Supplier in Hoskote</v>
      </c>
      <c r="AJ1045" s="15" t="str">
        <f t="shared" si="20"/>
        <v>EP-finished SS 304/316L pipes and tubes for VERIFY plants in Hoskote. ASME BPE SF1-SF4, Ra from 0.25 um, EN 10204 3.1 certificate with every lot.</v>
      </c>
      <c r="AK1045" s="15" t="str">
        <f t="shared" si="21"/>
        <v>Electropolished stainless steel pipes supplied by Sakshi Forge to VERIFY plants at KIADB Industrial Area, Hoskote</v>
      </c>
      <c r="AL1045" s="15" t="str">
        <f t="shared" si="22"/>
        <v>Electropolished SS 316L tube stock for Hoskote - Sakshi Forge</v>
      </c>
      <c r="AM1045" s="15" t="str">
        <f t="shared" si="23"/>
        <v>Home &gt; Market Area &gt; India &gt; Karnataka &gt; Hoskote</v>
      </c>
      <c r="AN1045" s="15">
        <f t="shared" si="24"/>
        <v>750</v>
      </c>
      <c r="AO1045" s="15">
        <f t="shared" si="25"/>
        <v>6</v>
      </c>
      <c r="AP1045" s="15">
        <f t="shared" si="26"/>
        <v>6</v>
      </c>
      <c r="AQ1045" s="15">
        <f t="shared" si="27"/>
        <v>18</v>
      </c>
      <c r="AR1045" s="31"/>
      <c r="AS1045" s="31"/>
      <c r="AT1045" s="35" t="s">
        <v>222</v>
      </c>
      <c r="AU1045" s="35"/>
    </row>
    <row r="1046" ht="15.75" customHeight="1">
      <c r="A1046" s="15" t="s">
        <v>5465</v>
      </c>
      <c r="B1046" s="15" t="s">
        <v>60</v>
      </c>
      <c r="C1046" s="15" t="s">
        <v>1312</v>
      </c>
      <c r="D1046" s="15" t="s">
        <v>5466</v>
      </c>
      <c r="E1046" s="15" t="s">
        <v>5466</v>
      </c>
      <c r="F1046" s="58" t="s">
        <v>807</v>
      </c>
      <c r="G1046" s="66" t="s">
        <v>98</v>
      </c>
      <c r="H1046" s="18" t="s">
        <v>5468</v>
      </c>
      <c r="I1046" s="18" t="s">
        <v>8392</v>
      </c>
      <c r="J1046" s="18" t="s">
        <v>98</v>
      </c>
      <c r="K1046" s="18" t="s">
        <v>98</v>
      </c>
      <c r="L1046" s="18" t="s">
        <v>98</v>
      </c>
      <c r="M1046" s="18" t="s">
        <v>98</v>
      </c>
      <c r="N1046" s="18" t="s">
        <v>98</v>
      </c>
      <c r="O1046" s="18" t="s">
        <v>98</v>
      </c>
      <c r="P1046" s="15" t="str">
        <f t="shared" si="1"/>
        <v>VERIFY</v>
      </c>
      <c r="Q1046" s="15">
        <f t="shared" si="2"/>
        <v>3</v>
      </c>
      <c r="R1046" s="15">
        <f t="shared" si="3"/>
        <v>7</v>
      </c>
      <c r="S1046" s="15">
        <f t="shared" si="4"/>
        <v>3</v>
      </c>
      <c r="T1046" s="15" t="str">
        <f t="shared" si="5"/>
        <v>C-5</v>
      </c>
      <c r="U1046" s="15" t="str">
        <f t="shared" si="6"/>
        <v>T3-M7-H3-FC-5-VERIFY</v>
      </c>
      <c r="V1046" s="15">
        <f t="shared" si="7"/>
        <v>0</v>
      </c>
      <c r="W1046" s="31"/>
      <c r="X1046" s="15" t="str">
        <f t="shared" si="8"/>
        <v>husnabad</v>
      </c>
      <c r="Y1046" s="32" t="str">
        <f t="shared" si="9"/>
        <v>https://steelmanufacturer.in/market-area/electropolished-pipes-manufacturer-in-husnabad/</v>
      </c>
      <c r="Z1046" s="15" t="str">
        <f t="shared" si="10"/>
        <v>Electropolished Pipes Manufacturer in Husnabad | EP Tube Supplier</v>
      </c>
      <c r="AA1046" s="15" t="str">
        <f t="shared" si="11"/>
        <v>OK (65)</v>
      </c>
      <c r="AB1046" s="15" t="str">
        <f t="shared" si="12"/>
        <v>Electropolished pipes in Husnabad: 304, 304L, 316 and 316L in SF1-SF4. VERIFY. Mill certified.</v>
      </c>
      <c r="AC1046" s="15" t="str">
        <f t="shared" si="13"/>
        <v>PENDING RESEARCH</v>
      </c>
      <c r="AD1046" s="15" t="str">
        <f t="shared" si="14"/>
        <v>Electropolished Pipes Manufacturer in Husnabad</v>
      </c>
      <c r="AE1046" s="15" t="str">
        <f t="shared" si="15"/>
        <v>Electropolished Pipes Manufacturer in Husnabad - Our Process &amp; Capability</v>
      </c>
      <c r="AF1046" s="15" t="str">
        <f t="shared" si="16"/>
        <v>Electropolished Pipes Supplier in Husnabad - What We Hold in Stock</v>
      </c>
      <c r="AG1046" s="15" t="str">
        <f t="shared" si="17"/>
        <v>Bulk &amp; Wholesale Electropolished Pipe Rates for Husnabad Buyers</v>
      </c>
      <c r="AH1046" s="15" t="str">
        <f t="shared" si="18"/>
        <v>electropolished pipes manufacturer in Husnabad, electropolished pipes supplier in Husnabad, electropolished pipes wholesaler in Husnabad, electropolished tube manufacturer Husnabad, EP pipe supplier Husnabad, sanitary tube supplier Husnabad, ASME BPE tubing Husnabad, ASTM A270 tube Husnabad, SS 316L electropolished pipe Husnabad</v>
      </c>
      <c r="AI1046" s="15" t="str">
        <f t="shared" si="19"/>
        <v>Electropolished Pipes Manufacturer &amp; Supplier in Husnabad</v>
      </c>
      <c r="AJ1046" s="15" t="str">
        <f t="shared" si="20"/>
        <v>EP-finished SS 304/316L pipes and tubes for VERIFY plants in Husnabad. ASME BPE SF1-SF4, Ra from 0.25 um, EN 10204 3.1 certificate with every lot.</v>
      </c>
      <c r="AK1046" s="15" t="str">
        <f t="shared" si="21"/>
        <v>Electropolished stainless steel pipes supplied by Sakshi Forge to VERIFY plants at TSIIC Industrial Area, Husnabad</v>
      </c>
      <c r="AL1046" s="15" t="str">
        <f t="shared" si="22"/>
        <v>Electropolished SS 316L tube stock for Husnabad - Sakshi Forge</v>
      </c>
      <c r="AM1046" s="15" t="str">
        <f t="shared" si="23"/>
        <v>Home &gt; Market Area &gt; India &gt; Telangana &gt; Husnabad</v>
      </c>
      <c r="AN1046" s="15">
        <f t="shared" si="24"/>
        <v>750</v>
      </c>
      <c r="AO1046" s="15">
        <f t="shared" si="25"/>
        <v>6</v>
      </c>
      <c r="AP1046" s="15">
        <f t="shared" si="26"/>
        <v>6</v>
      </c>
      <c r="AQ1046" s="15">
        <f t="shared" si="27"/>
        <v>18</v>
      </c>
      <c r="AR1046" s="31"/>
      <c r="AS1046" s="31"/>
      <c r="AT1046" s="35" t="s">
        <v>222</v>
      </c>
      <c r="AU1046" s="35"/>
    </row>
    <row r="1047" ht="15.75" customHeight="1">
      <c r="A1047" s="15" t="s">
        <v>5469</v>
      </c>
      <c r="B1047" s="15" t="s">
        <v>60</v>
      </c>
      <c r="C1047" s="15" t="s">
        <v>1312</v>
      </c>
      <c r="D1047" s="15" t="s">
        <v>5470</v>
      </c>
      <c r="E1047" s="15" t="s">
        <v>5470</v>
      </c>
      <c r="F1047" s="58" t="s">
        <v>807</v>
      </c>
      <c r="G1047" s="66" t="s">
        <v>98</v>
      </c>
      <c r="H1047" s="18" t="s">
        <v>5472</v>
      </c>
      <c r="I1047" s="18" t="s">
        <v>8392</v>
      </c>
      <c r="J1047" s="18" t="s">
        <v>98</v>
      </c>
      <c r="K1047" s="18" t="s">
        <v>98</v>
      </c>
      <c r="L1047" s="18" t="s">
        <v>98</v>
      </c>
      <c r="M1047" s="18" t="s">
        <v>98</v>
      </c>
      <c r="N1047" s="18" t="s">
        <v>98</v>
      </c>
      <c r="O1047" s="18" t="s">
        <v>98</v>
      </c>
      <c r="P1047" s="15" t="str">
        <f t="shared" si="1"/>
        <v>VERIFY</v>
      </c>
      <c r="Q1047" s="15">
        <f t="shared" si="2"/>
        <v>4</v>
      </c>
      <c r="R1047" s="15">
        <f t="shared" si="3"/>
        <v>1</v>
      </c>
      <c r="S1047" s="15">
        <f t="shared" si="4"/>
        <v>4</v>
      </c>
      <c r="T1047" s="15" t="str">
        <f t="shared" si="5"/>
        <v>C-6</v>
      </c>
      <c r="U1047" s="15" t="str">
        <f t="shared" si="6"/>
        <v>T4-M1-H4-FC-6-VERIFY</v>
      </c>
      <c r="V1047" s="15">
        <f t="shared" si="7"/>
        <v>0</v>
      </c>
      <c r="W1047" s="31"/>
      <c r="X1047" s="15" t="str">
        <f t="shared" si="8"/>
        <v>ibrahimpatnam</v>
      </c>
      <c r="Y1047" s="32" t="str">
        <f t="shared" si="9"/>
        <v>https://steelmanufacturer.in/market-area/electropolished-pipes-manufacturer-in-ibrahimpatnam/</v>
      </c>
      <c r="Z1047" s="15" t="str">
        <f t="shared" si="10"/>
        <v>Electropolished Pipes Manufacturer in Ibrahimpatnam</v>
      </c>
      <c r="AA1047" s="15" t="str">
        <f t="shared" si="11"/>
        <v>OK (51)</v>
      </c>
      <c r="AB1047" s="15" t="str">
        <f t="shared" si="12"/>
        <v>EP-finished SS 304/316L pipes &amp; tubes for VERIFY plants in Ibrahimpatnam. ASTM A270, ASME BPE SF1-SF4, EN 10204 3.1 MTC. PMI tested.</v>
      </c>
      <c r="AC1047" s="15" t="str">
        <f t="shared" si="13"/>
        <v>PENDING RESEARCH</v>
      </c>
      <c r="AD1047" s="15" t="str">
        <f t="shared" si="14"/>
        <v>Electropolished Pipes Manufacturer in Ibrahimpatnam</v>
      </c>
      <c r="AE1047" s="15" t="str">
        <f t="shared" si="15"/>
        <v>Manufacturing Electropolished SS Tube for Ibrahimpatnam: The Standards We Build To</v>
      </c>
      <c r="AF1047" s="15" t="str">
        <f t="shared" si="16"/>
        <v>Electropolished Pipe Supply Into Ibrahimpatnam - Certification &amp; Transit</v>
      </c>
      <c r="AG1047" s="15" t="str">
        <f t="shared" si="17"/>
        <v>Electropolished Pipes Wholesaler in Ibrahimpatnam - Project Quantities &amp; Terms</v>
      </c>
      <c r="AH1047" s="15" t="str">
        <f t="shared" si="18"/>
        <v>electropolished pipes manufacturer in Ibrahimpatnam, electropolished pipes supplier in Ibrahimpatnam, electropolished pipes wholesaler in Ibrahimpatnam, electropolished tube manufacturer Ibrahimpatnam, EP pipe supplier Ibrahimpatnam, sanitary tube supplier Ibrahimpatnam, ASME BPE tubing Ibrahimpatnam, ASTM A270 tube Ibrahimpatnam, SS 316L electropolished pipe Ibrahimpatnam</v>
      </c>
      <c r="AI1047" s="15" t="str">
        <f t="shared" si="19"/>
        <v>Electropolished Pipes Manufacturer &amp; Supplier in Ibrahimpatnam</v>
      </c>
      <c r="AJ1047" s="15" t="str">
        <f t="shared" si="20"/>
        <v>EP-finished SS 304/316L pipes and tubes for VERIFY plants in Ibrahimpatnam. ASME BPE SF1-SF4, Ra from 0.25 um, EN 10204 3.1 certificate with every lot.</v>
      </c>
      <c r="AK1047" s="15" t="str">
        <f t="shared" si="21"/>
        <v>Electropolished stainless steel pipes supplied by Sakshi Forge to VERIFY plants at TSIIC Industrial Area, Ibrahimpatnam</v>
      </c>
      <c r="AL1047" s="15" t="str">
        <f t="shared" si="22"/>
        <v>Electropolished SS 316L tube stock for Ibrahimpatnam - Sakshi Forge</v>
      </c>
      <c r="AM1047" s="15" t="str">
        <f t="shared" si="23"/>
        <v>Home &gt; Market Area &gt; India &gt; Telangana &gt; Ibrahimpatnam</v>
      </c>
      <c r="AN1047" s="15">
        <f t="shared" si="24"/>
        <v>750</v>
      </c>
      <c r="AO1047" s="15">
        <f t="shared" si="25"/>
        <v>6</v>
      </c>
      <c r="AP1047" s="15">
        <f t="shared" si="26"/>
        <v>6</v>
      </c>
      <c r="AQ1047" s="15">
        <f t="shared" si="27"/>
        <v>18</v>
      </c>
      <c r="AR1047" s="31"/>
      <c r="AS1047" s="31"/>
      <c r="AT1047" s="35" t="s">
        <v>222</v>
      </c>
      <c r="AU1047" s="35"/>
    </row>
    <row r="1048" ht="15.75" customHeight="1">
      <c r="A1048" s="15" t="s">
        <v>5473</v>
      </c>
      <c r="B1048" s="15" t="s">
        <v>60</v>
      </c>
      <c r="C1048" s="15" t="s">
        <v>413</v>
      </c>
      <c r="D1048" s="15" t="s">
        <v>5474</v>
      </c>
      <c r="E1048" s="15" t="s">
        <v>5474</v>
      </c>
      <c r="F1048" s="58" t="s">
        <v>807</v>
      </c>
      <c r="G1048" s="66" t="s">
        <v>98</v>
      </c>
      <c r="H1048" s="18" t="s">
        <v>5476</v>
      </c>
      <c r="I1048" s="18" t="s">
        <v>8393</v>
      </c>
      <c r="J1048" s="18" t="s">
        <v>98</v>
      </c>
      <c r="K1048" s="18" t="s">
        <v>98</v>
      </c>
      <c r="L1048" s="18" t="s">
        <v>98</v>
      </c>
      <c r="M1048" s="18" t="s">
        <v>98</v>
      </c>
      <c r="N1048" s="18" t="s">
        <v>98</v>
      </c>
      <c r="O1048" s="18" t="s">
        <v>98</v>
      </c>
      <c r="P1048" s="15" t="str">
        <f t="shared" si="1"/>
        <v>VERIFY</v>
      </c>
      <c r="Q1048" s="15">
        <f t="shared" si="2"/>
        <v>5</v>
      </c>
      <c r="R1048" s="15">
        <f t="shared" si="3"/>
        <v>2</v>
      </c>
      <c r="S1048" s="15">
        <f t="shared" si="4"/>
        <v>5</v>
      </c>
      <c r="T1048" s="15" t="str">
        <f t="shared" si="5"/>
        <v>C-1</v>
      </c>
      <c r="U1048" s="15" t="str">
        <f t="shared" si="6"/>
        <v>T5-M2-H5-FC-1-VERIFY</v>
      </c>
      <c r="V1048" s="15">
        <f t="shared" si="7"/>
        <v>0</v>
      </c>
      <c r="W1048" s="31"/>
      <c r="X1048" s="15" t="str">
        <f t="shared" si="8"/>
        <v>ichchapuram</v>
      </c>
      <c r="Y1048" s="32" t="str">
        <f t="shared" si="9"/>
        <v>https://steelmanufacturer.in/market-area/electropolished-pipes-manufacturer-in-ichchapuram/</v>
      </c>
      <c r="Z1048" s="15" t="str">
        <f t="shared" si="10"/>
        <v>Electropolished Pipes Manufacturer in Ichchapuram</v>
      </c>
      <c r="AA1048" s="15" t="str">
        <f t="shared" si="11"/>
        <v>OK (49)</v>
      </c>
      <c r="AB1048" s="15" t="str">
        <f t="shared" si="12"/>
        <v>Electropolished tube supply to APIIC Industrial Area, Ichchapuram. Ra from 0.25 um, SF4 finish, mill test certificate with every lot.</v>
      </c>
      <c r="AC1048" s="15" t="str">
        <f t="shared" si="13"/>
        <v>PENDING RESEARCH</v>
      </c>
      <c r="AD1048" s="15" t="str">
        <f t="shared" si="14"/>
        <v>Electropolished Pipes Manufacturer in Ichchapuram</v>
      </c>
      <c r="AE1048" s="15" t="str">
        <f t="shared" si="15"/>
        <v>Electropolished Tube Manufacturing Capability Serving Ichchapuram</v>
      </c>
      <c r="AF1048" s="15" t="str">
        <f t="shared" si="16"/>
        <v>Electropolished Pipes Supplier in Ichchapuram - From Order to Delivery</v>
      </c>
      <c r="AG1048" s="15" t="str">
        <f t="shared" si="17"/>
        <v>Stockist &amp; Wholesale Supply of Electropolished Pipes in Ichchapuram</v>
      </c>
      <c r="AH1048" s="15" t="str">
        <f t="shared" si="18"/>
        <v>electropolished pipes manufacturer in Ichchapuram, electropolished pipes supplier in Ichchapuram, electropolished pipes wholesaler in Ichchapuram, electropolished tube manufacturer Ichchapuram, EP pipe supplier Ichchapuram, sanitary tube supplier Ichchapuram, ASME BPE tubing Ichchapuram, ASTM A270 tube Ichchapuram, SS 316L electropolished pipe Ichchapuram</v>
      </c>
      <c r="AI1048" s="15" t="str">
        <f t="shared" si="19"/>
        <v>Electropolished Pipes Manufacturer &amp; Supplier in Ichchapuram</v>
      </c>
      <c r="AJ1048" s="15" t="str">
        <f t="shared" si="20"/>
        <v>EP-finished SS 304/316L pipes and tubes for VERIFY plants in Ichchapuram. ASME BPE SF1-SF4, Ra from 0.25 um, EN 10204 3.1 certificate with every lot.</v>
      </c>
      <c r="AK1048" s="15" t="str">
        <f t="shared" si="21"/>
        <v>Electropolished stainless steel pipes supplied by Sakshi Forge to VERIFY plants at APIIC Industrial Area, Ichchapuram</v>
      </c>
      <c r="AL1048" s="15" t="str">
        <f t="shared" si="22"/>
        <v>Electropolished SS 316L tube stock for Ichchapuram - Sakshi Forge</v>
      </c>
      <c r="AM1048" s="15" t="str">
        <f t="shared" si="23"/>
        <v>Home &gt; Market Area &gt; India &gt; Andhra Pradesh &gt; Ichchapuram</v>
      </c>
      <c r="AN1048" s="15">
        <f t="shared" si="24"/>
        <v>750</v>
      </c>
      <c r="AO1048" s="15">
        <f t="shared" si="25"/>
        <v>6</v>
      </c>
      <c r="AP1048" s="15">
        <f t="shared" si="26"/>
        <v>6</v>
      </c>
      <c r="AQ1048" s="15">
        <f t="shared" si="27"/>
        <v>18</v>
      </c>
      <c r="AR1048" s="31"/>
      <c r="AS1048" s="31"/>
      <c r="AT1048" s="35" t="s">
        <v>222</v>
      </c>
      <c r="AU1048" s="35"/>
    </row>
    <row r="1049" ht="15.75" customHeight="1">
      <c r="A1049" s="15" t="s">
        <v>5477</v>
      </c>
      <c r="B1049" s="15" t="s">
        <v>60</v>
      </c>
      <c r="C1049" s="15" t="s">
        <v>1165</v>
      </c>
      <c r="D1049" s="15" t="s">
        <v>5478</v>
      </c>
      <c r="E1049" s="15" t="s">
        <v>5478</v>
      </c>
      <c r="F1049" s="58" t="s">
        <v>807</v>
      </c>
      <c r="G1049" s="66" t="s">
        <v>98</v>
      </c>
      <c r="H1049" s="18" t="s">
        <v>5480</v>
      </c>
      <c r="I1049" s="18" t="s">
        <v>8404</v>
      </c>
      <c r="J1049" s="18" t="s">
        <v>98</v>
      </c>
      <c r="K1049" s="18" t="s">
        <v>98</v>
      </c>
      <c r="L1049" s="18" t="s">
        <v>98</v>
      </c>
      <c r="M1049" s="18" t="s">
        <v>98</v>
      </c>
      <c r="N1049" s="18" t="s">
        <v>98</v>
      </c>
      <c r="O1049" s="18" t="s">
        <v>98</v>
      </c>
      <c r="P1049" s="15" t="str">
        <f t="shared" si="1"/>
        <v>VERIFY</v>
      </c>
      <c r="Q1049" s="15">
        <f t="shared" si="2"/>
        <v>6</v>
      </c>
      <c r="R1049" s="15">
        <f t="shared" si="3"/>
        <v>3</v>
      </c>
      <c r="S1049" s="15">
        <f t="shared" si="4"/>
        <v>1</v>
      </c>
      <c r="T1049" s="15" t="str">
        <f t="shared" si="5"/>
        <v>C-2</v>
      </c>
      <c r="U1049" s="15" t="str">
        <f t="shared" si="6"/>
        <v>T6-M3-H1-FC-2-VERIFY</v>
      </c>
      <c r="V1049" s="15">
        <f t="shared" si="7"/>
        <v>0</v>
      </c>
      <c r="W1049" s="31"/>
      <c r="X1049" s="15" t="str">
        <f t="shared" si="8"/>
        <v>illambazar</v>
      </c>
      <c r="Y1049" s="32" t="str">
        <f t="shared" si="9"/>
        <v>https://steelmanufacturer.in/market-area/electropolished-pipes-manufacturer-in-illambazar/</v>
      </c>
      <c r="Z1049" s="15" t="str">
        <f t="shared" si="10"/>
        <v>Electropolished Pipes Manufacturer in Illambazar</v>
      </c>
      <c r="AA1049" s="15" t="str">
        <f t="shared" si="11"/>
        <v>OK (48)</v>
      </c>
      <c r="AB1049" s="15" t="str">
        <f t="shared" si="12"/>
        <v>EP stainless tube for VERIFY lines in Illambazar. VERIFY. ASTM A270 S2, PMI tested, EN 10204 3.1.</v>
      </c>
      <c r="AC1049" s="15" t="str">
        <f t="shared" si="13"/>
        <v>PENDING RESEARCH</v>
      </c>
      <c r="AD1049" s="15" t="str">
        <f t="shared" si="14"/>
        <v>Electropolished Pipes Manufacturer in Illambazar</v>
      </c>
      <c r="AE1049" s="15" t="str">
        <f t="shared" si="15"/>
        <v>Electropolished Pipe &amp; Tube Manufacturing for Illambazar - Grades, Finishes &amp; Certification</v>
      </c>
      <c r="AF1049" s="15" t="str">
        <f t="shared" si="16"/>
        <v>Electropolished Pipes Supplier in Illambazar - Stock Sizes, Lead Time &amp; Delivery</v>
      </c>
      <c r="AG1049" s="15" t="str">
        <f t="shared" si="17"/>
        <v>Electropolished Pipes Wholesaler &amp; Stockist in Illambazar - Bulk &amp; Project Pricing</v>
      </c>
      <c r="AH1049" s="15" t="str">
        <f t="shared" si="18"/>
        <v>electropolished pipes manufacturer in Illambazar, electropolished pipes supplier in Illambazar, electropolished pipes wholesaler in Illambazar, electropolished tube manufacturer Illambazar, EP pipe supplier Illambazar, sanitary tube supplier Illambazar, ASME BPE tubing Illambazar, ASTM A270 tube Illambazar, SS 316L electropolished pipe Illambazar</v>
      </c>
      <c r="AI1049" s="15" t="str">
        <f t="shared" si="19"/>
        <v>Electropolished Pipes Manufacturer &amp; Supplier in Illambazar</v>
      </c>
      <c r="AJ1049" s="15" t="str">
        <f t="shared" si="20"/>
        <v>EP-finished SS 304/316L pipes and tubes for VERIFY plants in Illambazar. ASME BPE SF1-SF4, Ra from 0.25 um, EN 10204 3.1 certificate with every lot.</v>
      </c>
      <c r="AK1049" s="15" t="str">
        <f t="shared" si="21"/>
        <v>Electropolished stainless steel pipes supplied by Sakshi Forge to VERIFY plants at WBIDC Industrial Area, Illambazar</v>
      </c>
      <c r="AL1049" s="15" t="str">
        <f t="shared" si="22"/>
        <v>Electropolished SS 316L tube stock for Illambazar - Sakshi Forge</v>
      </c>
      <c r="AM1049" s="15" t="str">
        <f t="shared" si="23"/>
        <v>Home &gt; Market Area &gt; India &gt; West Bengal &gt; Illambazar</v>
      </c>
      <c r="AN1049" s="15">
        <f t="shared" si="24"/>
        <v>750</v>
      </c>
      <c r="AO1049" s="15">
        <f t="shared" si="25"/>
        <v>6</v>
      </c>
      <c r="AP1049" s="15">
        <f t="shared" si="26"/>
        <v>6</v>
      </c>
      <c r="AQ1049" s="15">
        <f t="shared" si="27"/>
        <v>18</v>
      </c>
      <c r="AR1049" s="31"/>
      <c r="AS1049" s="31"/>
      <c r="AT1049" s="35" t="s">
        <v>222</v>
      </c>
      <c r="AU1049" s="35"/>
    </row>
    <row r="1050" ht="15.75" customHeight="1">
      <c r="A1050" s="15" t="s">
        <v>5481</v>
      </c>
      <c r="B1050" s="15" t="s">
        <v>60</v>
      </c>
      <c r="C1050" s="15" t="s">
        <v>1687</v>
      </c>
      <c r="D1050" s="15" t="s">
        <v>5482</v>
      </c>
      <c r="E1050" s="15" t="s">
        <v>5482</v>
      </c>
      <c r="F1050" s="58" t="s">
        <v>807</v>
      </c>
      <c r="G1050" s="66" t="s">
        <v>98</v>
      </c>
      <c r="H1050" s="18" t="s">
        <v>5484</v>
      </c>
      <c r="I1050" s="18" t="s">
        <v>8397</v>
      </c>
      <c r="J1050" s="18" t="s">
        <v>98</v>
      </c>
      <c r="K1050" s="18" t="s">
        <v>98</v>
      </c>
      <c r="L1050" s="18" t="s">
        <v>98</v>
      </c>
      <c r="M1050" s="18" t="s">
        <v>98</v>
      </c>
      <c r="N1050" s="18" t="s">
        <v>98</v>
      </c>
      <c r="O1050" s="18" t="s">
        <v>98</v>
      </c>
      <c r="P1050" s="15" t="str">
        <f t="shared" si="1"/>
        <v>VERIFY</v>
      </c>
      <c r="Q1050" s="15">
        <f t="shared" si="2"/>
        <v>7</v>
      </c>
      <c r="R1050" s="15">
        <f t="shared" si="3"/>
        <v>4</v>
      </c>
      <c r="S1050" s="15">
        <f t="shared" si="4"/>
        <v>2</v>
      </c>
      <c r="T1050" s="15" t="str">
        <f t="shared" si="5"/>
        <v>C-3</v>
      </c>
      <c r="U1050" s="15" t="str">
        <f t="shared" si="6"/>
        <v>T7-M4-H2-FC-3-VERIFY</v>
      </c>
      <c r="V1050" s="15">
        <f t="shared" si="7"/>
        <v>0</v>
      </c>
      <c r="W1050" s="31"/>
      <c r="X1050" s="15" t="str">
        <f t="shared" si="8"/>
        <v>irinjalakuda</v>
      </c>
      <c r="Y1050" s="32" t="str">
        <f t="shared" si="9"/>
        <v>https://steelmanufacturer.in/market-area/electropolished-pipes-manufacturer-in-irinjalakuda/</v>
      </c>
      <c r="Z1050" s="15" t="str">
        <f t="shared" si="10"/>
        <v>Electropolished Pipes Manufacturer in Irinjalakuda</v>
      </c>
      <c r="AA1050" s="15" t="str">
        <f t="shared" si="11"/>
        <v>OK (50)</v>
      </c>
      <c r="AB1050" s="15" t="str">
        <f t="shared" si="12"/>
        <v>Sanitary electropolished pipes in Irinjalakuda for VERIFY plants. ASME BPE SF1-SF4, orbital-weld ready, 3.1 MTC. Mumbai-made.</v>
      </c>
      <c r="AC1050" s="15" t="str">
        <f t="shared" si="13"/>
        <v>PENDING RESEARCH</v>
      </c>
      <c r="AD1050" s="15" t="str">
        <f t="shared" si="14"/>
        <v>Electropolished Pipes Manufacturer in Irinjalakuda</v>
      </c>
      <c r="AE1050" s="15" t="str">
        <f t="shared" si="15"/>
        <v>How We Manufacture Electropolished Tube for Irinjalakuda Plants</v>
      </c>
      <c r="AF1050" s="15" t="str">
        <f t="shared" si="16"/>
        <v>Supplying Electropolished Pipes in Irinjalakuda: Availability, Sizes &amp; Dispatch</v>
      </c>
      <c r="AG1050" s="15" t="str">
        <f t="shared" si="17"/>
        <v>Wholesale Electropolished Pipe Supply for Irinjalakuda Projects</v>
      </c>
      <c r="AH1050" s="15" t="str">
        <f t="shared" si="18"/>
        <v>electropolished pipes manufacturer in Irinjalakuda, electropolished pipes supplier in Irinjalakuda, electropolished pipes wholesaler in Irinjalakuda, electropolished tube manufacturer Irinjalakuda, EP pipe supplier Irinjalakuda, sanitary tube supplier Irinjalakuda, ASME BPE tubing Irinjalakuda, ASTM A270 tube Irinjalakuda, SS 316L electropolished pipe Irinjalakuda</v>
      </c>
      <c r="AI1050" s="15" t="str">
        <f t="shared" si="19"/>
        <v>Electropolished Pipes Manufacturer &amp; Supplier in Irinjalakuda</v>
      </c>
      <c r="AJ1050" s="15" t="str">
        <f t="shared" si="20"/>
        <v>EP-finished SS 304/316L pipes and tubes for VERIFY plants in Irinjalakuda. ASME BPE SF1-SF4, Ra from 0.25 um, EN 10204 3.1 certificate with every lot.</v>
      </c>
      <c r="AK1050" s="15" t="str">
        <f t="shared" si="21"/>
        <v>Electropolished stainless steel pipes supplied by Sakshi Forge to VERIFY plants at KINFRA Industrial Area, Irinjalakuda</v>
      </c>
      <c r="AL1050" s="15" t="str">
        <f t="shared" si="22"/>
        <v>Electropolished SS 316L tube stock for Irinjalakuda - Sakshi Forge</v>
      </c>
      <c r="AM1050" s="15" t="str">
        <f t="shared" si="23"/>
        <v>Home &gt; Market Area &gt; India &gt; Kerala &gt; Irinjalakuda</v>
      </c>
      <c r="AN1050" s="15">
        <f t="shared" si="24"/>
        <v>750</v>
      </c>
      <c r="AO1050" s="15">
        <f t="shared" si="25"/>
        <v>6</v>
      </c>
      <c r="AP1050" s="15">
        <f t="shared" si="26"/>
        <v>6</v>
      </c>
      <c r="AQ1050" s="15">
        <f t="shared" si="27"/>
        <v>18</v>
      </c>
      <c r="AR1050" s="31"/>
      <c r="AS1050" s="31"/>
      <c r="AT1050" s="35" t="s">
        <v>222</v>
      </c>
      <c r="AU1050" s="35"/>
    </row>
    <row r="1051" ht="15.75" customHeight="1">
      <c r="A1051" s="15" t="s">
        <v>5485</v>
      </c>
      <c r="B1051" s="15" t="s">
        <v>60</v>
      </c>
      <c r="C1051" s="15" t="s">
        <v>354</v>
      </c>
      <c r="D1051" s="15" t="s">
        <v>5486</v>
      </c>
      <c r="E1051" s="15" t="s">
        <v>5486</v>
      </c>
      <c r="F1051" s="58" t="s">
        <v>807</v>
      </c>
      <c r="G1051" s="66" t="s">
        <v>98</v>
      </c>
      <c r="H1051" s="18" t="s">
        <v>5488</v>
      </c>
      <c r="I1051" s="18" t="s">
        <v>8408</v>
      </c>
      <c r="J1051" s="18" t="s">
        <v>98</v>
      </c>
      <c r="K1051" s="18" t="s">
        <v>98</v>
      </c>
      <c r="L1051" s="18" t="s">
        <v>98</v>
      </c>
      <c r="M1051" s="18" t="s">
        <v>98</v>
      </c>
      <c r="N1051" s="18" t="s">
        <v>98</v>
      </c>
      <c r="O1051" s="18" t="s">
        <v>98</v>
      </c>
      <c r="P1051" s="15" t="str">
        <f t="shared" si="1"/>
        <v>VERIFY</v>
      </c>
      <c r="Q1051" s="15">
        <f t="shared" si="2"/>
        <v>8</v>
      </c>
      <c r="R1051" s="15">
        <f t="shared" si="3"/>
        <v>5</v>
      </c>
      <c r="S1051" s="15">
        <f t="shared" si="4"/>
        <v>3</v>
      </c>
      <c r="T1051" s="15" t="str">
        <f t="shared" si="5"/>
        <v>C-4</v>
      </c>
      <c r="U1051" s="15" t="str">
        <f t="shared" si="6"/>
        <v>T8-M5-H3-FC-4-VERIFY</v>
      </c>
      <c r="V1051" s="15">
        <f t="shared" si="7"/>
        <v>0</v>
      </c>
      <c r="W1051" s="31"/>
      <c r="X1051" s="15" t="str">
        <f t="shared" si="8"/>
        <v>jagraon</v>
      </c>
      <c r="Y1051" s="32" t="str">
        <f t="shared" si="9"/>
        <v>https://steelmanufacturer.in/market-area/electropolished-pipes-manufacturer-in-jagraon/</v>
      </c>
      <c r="Z1051" s="15" t="str">
        <f t="shared" si="10"/>
        <v>Electropolished Pipes Manufacturer in Jagraon - EP Tube Stockist</v>
      </c>
      <c r="AA1051" s="15" t="str">
        <f t="shared" si="11"/>
        <v>OK (64)</v>
      </c>
      <c r="AB1051" s="15" t="str">
        <f t="shared" si="12"/>
        <v>Manufacturer of electropolished SS 316L tube serving Jagraon. VERIFY. Ra 0.25-0.5 um, EN 10204 3.1 MTC.</v>
      </c>
      <c r="AC1051" s="15" t="str">
        <f t="shared" si="13"/>
        <v>PENDING RESEARCH</v>
      </c>
      <c r="AD1051" s="15" t="str">
        <f t="shared" si="14"/>
        <v>Electropolished Pipes Manufacturer in Jagraon</v>
      </c>
      <c r="AE1051" s="15" t="str">
        <f t="shared" si="15"/>
        <v>Electropolished Pipes Manufacturer in Jagraon - Our Process &amp; Capability</v>
      </c>
      <c r="AF1051" s="15" t="str">
        <f t="shared" si="16"/>
        <v>Electropolished Pipes Supplier in Jagraon - What We Hold in Stock</v>
      </c>
      <c r="AG1051" s="15" t="str">
        <f t="shared" si="17"/>
        <v>Bulk &amp; Wholesale Electropolished Pipe Rates for Jagraon Buyers</v>
      </c>
      <c r="AH1051" s="15" t="str">
        <f t="shared" si="18"/>
        <v>electropolished pipes manufacturer in Jagraon, electropolished pipes supplier in Jagraon, electropolished pipes wholesaler in Jagraon, electropolished tube manufacturer Jagraon, EP pipe supplier Jagraon, sanitary tube supplier Jagraon, ASME BPE tubing Jagraon, ASTM A270 tube Jagraon, SS 316L electropolished pipe Jagraon</v>
      </c>
      <c r="AI1051" s="15" t="str">
        <f t="shared" si="19"/>
        <v>Electropolished Pipes Manufacturer &amp; Supplier in Jagraon</v>
      </c>
      <c r="AJ1051" s="15" t="str">
        <f t="shared" si="20"/>
        <v>EP-finished SS 304/316L pipes and tubes for VERIFY plants in Jagraon. ASME BPE SF1-SF4, Ra from 0.25 um, EN 10204 3.1 certificate with every lot.</v>
      </c>
      <c r="AK1051" s="15" t="str">
        <f t="shared" si="21"/>
        <v>Electropolished stainless steel pipes supplied by Sakshi Forge to VERIFY plants at PSIEC Industrial Area, Jagraon</v>
      </c>
      <c r="AL1051" s="15" t="str">
        <f t="shared" si="22"/>
        <v>Electropolished SS 316L tube stock for Jagraon - Sakshi Forge</v>
      </c>
      <c r="AM1051" s="15" t="str">
        <f t="shared" si="23"/>
        <v>Home &gt; Market Area &gt; India &gt; Punjab &gt; Jagraon</v>
      </c>
      <c r="AN1051" s="15">
        <f t="shared" si="24"/>
        <v>750</v>
      </c>
      <c r="AO1051" s="15">
        <f t="shared" si="25"/>
        <v>6</v>
      </c>
      <c r="AP1051" s="15">
        <f t="shared" si="26"/>
        <v>6</v>
      </c>
      <c r="AQ1051" s="15">
        <f t="shared" si="27"/>
        <v>18</v>
      </c>
      <c r="AR1051" s="31"/>
      <c r="AS1051" s="31"/>
      <c r="AT1051" s="35" t="s">
        <v>222</v>
      </c>
      <c r="AU1051" s="35"/>
    </row>
    <row r="1052" ht="15.75" customHeight="1">
      <c r="A1052" s="15" t="s">
        <v>5489</v>
      </c>
      <c r="B1052" s="15" t="s">
        <v>60</v>
      </c>
      <c r="C1052" s="15" t="s">
        <v>224</v>
      </c>
      <c r="D1052" s="15" t="s">
        <v>5490</v>
      </c>
      <c r="E1052" s="15" t="s">
        <v>5490</v>
      </c>
      <c r="F1052" s="58" t="s">
        <v>807</v>
      </c>
      <c r="G1052" s="66" t="s">
        <v>98</v>
      </c>
      <c r="H1052" s="18" t="s">
        <v>5492</v>
      </c>
      <c r="I1052" s="18" t="s">
        <v>8400</v>
      </c>
      <c r="J1052" s="18" t="s">
        <v>98</v>
      </c>
      <c r="K1052" s="18" t="s">
        <v>98</v>
      </c>
      <c r="L1052" s="18" t="s">
        <v>98</v>
      </c>
      <c r="M1052" s="18" t="s">
        <v>98</v>
      </c>
      <c r="N1052" s="18" t="s">
        <v>98</v>
      </c>
      <c r="O1052" s="18" t="s">
        <v>98</v>
      </c>
      <c r="P1052" s="15" t="str">
        <f t="shared" si="1"/>
        <v>VERIFY</v>
      </c>
      <c r="Q1052" s="15">
        <f t="shared" si="2"/>
        <v>1</v>
      </c>
      <c r="R1052" s="15">
        <f t="shared" si="3"/>
        <v>6</v>
      </c>
      <c r="S1052" s="15">
        <f t="shared" si="4"/>
        <v>4</v>
      </c>
      <c r="T1052" s="15" t="str">
        <f t="shared" si="5"/>
        <v>C-5</v>
      </c>
      <c r="U1052" s="15" t="str">
        <f t="shared" si="6"/>
        <v>T1-M6-H4-FC-5-VERIFY</v>
      </c>
      <c r="V1052" s="15">
        <f t="shared" si="7"/>
        <v>0</v>
      </c>
      <c r="W1052" s="31"/>
      <c r="X1052" s="15" t="str">
        <f t="shared" si="8"/>
        <v>jambusar</v>
      </c>
      <c r="Y1052" s="32" t="str">
        <f t="shared" si="9"/>
        <v>https://steelmanufacturer.in/market-area/electropolished-pipes-manufacturer-in-jambusar/</v>
      </c>
      <c r="Z1052" s="15" t="str">
        <f t="shared" si="10"/>
        <v>Electropolished Pipes Manufacturer in Jambusar | Sakshi Forge</v>
      </c>
      <c r="AA1052" s="15" t="str">
        <f t="shared" si="11"/>
        <v>OK (61)</v>
      </c>
      <c r="AB1052" s="15" t="str">
        <f t="shared" si="12"/>
        <v>EP tube and pipe for VERIFY plants around GIDC Industrial Area, Jambusar. Made at our Mumbai works to ASTM A270 and ASME BPE SF1-SF4, with 3.1 MTC.</v>
      </c>
      <c r="AC1052" s="15" t="str">
        <f t="shared" si="13"/>
        <v>PENDING RESEARCH</v>
      </c>
      <c r="AD1052" s="15" t="str">
        <f t="shared" si="14"/>
        <v>Electropolished Pipes Manufacturer in Jambusar</v>
      </c>
      <c r="AE1052" s="15" t="str">
        <f t="shared" si="15"/>
        <v>Manufacturing Electropolished SS Tube for Jambusar: The Standards We Build To</v>
      </c>
      <c r="AF1052" s="15" t="str">
        <f t="shared" si="16"/>
        <v>Electropolished Pipe Supply Into Jambusar - Certification &amp; Transit</v>
      </c>
      <c r="AG1052" s="15" t="str">
        <f t="shared" si="17"/>
        <v>Electropolished Pipes Wholesaler in Jambusar - Project Quantities &amp; Terms</v>
      </c>
      <c r="AH1052" s="15" t="str">
        <f t="shared" si="18"/>
        <v>electropolished pipes manufacturer in Jambusar, electropolished pipes supplier in Jambusar, electropolished pipes wholesaler in Jambusar, electropolished tube manufacturer Jambusar, EP pipe supplier Jambusar, sanitary tube supplier Jambusar, ASME BPE tubing Jambusar, ASTM A270 tube Jambusar, SS 316L electropolished pipe Jambusar</v>
      </c>
      <c r="AI1052" s="15" t="str">
        <f t="shared" si="19"/>
        <v>Electropolished Pipes Manufacturer &amp; Supplier in Jambusar</v>
      </c>
      <c r="AJ1052" s="15" t="str">
        <f t="shared" si="20"/>
        <v>EP-finished SS 304/316L pipes and tubes for VERIFY plants in Jambusar. ASME BPE SF1-SF4, Ra from 0.25 um, EN 10204 3.1 certificate with every lot.</v>
      </c>
      <c r="AK1052" s="15" t="str">
        <f t="shared" si="21"/>
        <v>Electropolished stainless steel pipes supplied by Sakshi Forge to VERIFY plants at GIDC Industrial Area, Jambusar</v>
      </c>
      <c r="AL1052" s="15" t="str">
        <f t="shared" si="22"/>
        <v>Electropolished SS 316L tube stock for Jambusar - Sakshi Forge</v>
      </c>
      <c r="AM1052" s="15" t="str">
        <f t="shared" si="23"/>
        <v>Home &gt; Market Area &gt; India &gt; Gujarat &gt; Jambusar</v>
      </c>
      <c r="AN1052" s="15">
        <f t="shared" si="24"/>
        <v>750</v>
      </c>
      <c r="AO1052" s="15">
        <f t="shared" si="25"/>
        <v>6</v>
      </c>
      <c r="AP1052" s="15">
        <f t="shared" si="26"/>
        <v>6</v>
      </c>
      <c r="AQ1052" s="15">
        <f t="shared" si="27"/>
        <v>18</v>
      </c>
      <c r="AR1052" s="31"/>
      <c r="AS1052" s="31"/>
      <c r="AT1052" s="35" t="s">
        <v>222</v>
      </c>
      <c r="AU1052" s="35"/>
    </row>
    <row r="1053" ht="15.75" customHeight="1">
      <c r="A1053" s="15" t="s">
        <v>5493</v>
      </c>
      <c r="B1053" s="15" t="s">
        <v>60</v>
      </c>
      <c r="C1053" s="15" t="s">
        <v>1818</v>
      </c>
      <c r="D1053" s="15" t="s">
        <v>5494</v>
      </c>
      <c r="E1053" s="15" t="s">
        <v>5494</v>
      </c>
      <c r="F1053" s="58" t="s">
        <v>807</v>
      </c>
      <c r="G1053" s="66" t="s">
        <v>98</v>
      </c>
      <c r="H1053" s="18" t="s">
        <v>5498</v>
      </c>
      <c r="I1053" s="18" t="s">
        <v>8402</v>
      </c>
      <c r="J1053" s="18" t="s">
        <v>98</v>
      </c>
      <c r="K1053" s="18" t="s">
        <v>98</v>
      </c>
      <c r="L1053" s="18" t="s">
        <v>98</v>
      </c>
      <c r="M1053" s="18" t="s">
        <v>98</v>
      </c>
      <c r="N1053" s="18" t="s">
        <v>98</v>
      </c>
      <c r="O1053" s="18" t="s">
        <v>98</v>
      </c>
      <c r="P1053" s="15" t="str">
        <f t="shared" si="1"/>
        <v>VERIFY</v>
      </c>
      <c r="Q1053" s="15">
        <f t="shared" si="2"/>
        <v>2</v>
      </c>
      <c r="R1053" s="15">
        <f t="shared" si="3"/>
        <v>7</v>
      </c>
      <c r="S1053" s="15">
        <f t="shared" si="4"/>
        <v>5</v>
      </c>
      <c r="T1053" s="15" t="str">
        <f t="shared" si="5"/>
        <v>C-6</v>
      </c>
      <c r="U1053" s="15" t="str">
        <f t="shared" si="6"/>
        <v>T2-M7-H5-FC-6-VERIFY</v>
      </c>
      <c r="V1053" s="15">
        <f t="shared" si="7"/>
        <v>0</v>
      </c>
      <c r="W1053" s="31"/>
      <c r="X1053" s="15" t="str">
        <f t="shared" si="8"/>
        <v>jamui</v>
      </c>
      <c r="Y1053" s="32" t="str">
        <f t="shared" si="9"/>
        <v>https://steelmanufacturer.in/market-area/electropolished-pipes-manufacturer-in-jamui/</v>
      </c>
      <c r="Z1053" s="15" t="str">
        <f t="shared" si="10"/>
        <v>Electropolished Pipes Manufacturer in Jamui</v>
      </c>
      <c r="AA1053" s="15" t="str">
        <f t="shared" si="11"/>
        <v>OK (43)</v>
      </c>
      <c r="AB1053" s="15" t="str">
        <f t="shared" si="12"/>
        <v>Electropolished pipes in Jamui: 304, 304L, 316 and 316L in SF1-SF4. VERIFY. Mill certified.</v>
      </c>
      <c r="AC1053" s="15" t="str">
        <f t="shared" si="13"/>
        <v>PENDING RESEARCH</v>
      </c>
      <c r="AD1053" s="15" t="str">
        <f t="shared" si="14"/>
        <v>Electropolished Pipes Manufacturer in Jamui</v>
      </c>
      <c r="AE1053" s="15" t="str">
        <f t="shared" si="15"/>
        <v>Electropolished Tube Manufacturing Capability Serving Jamui</v>
      </c>
      <c r="AF1053" s="15" t="str">
        <f t="shared" si="16"/>
        <v>Electropolished Pipes Supplier in Jamui - From Order to Delivery</v>
      </c>
      <c r="AG1053" s="15" t="str">
        <f t="shared" si="17"/>
        <v>Stockist &amp; Wholesale Supply of Electropolished Pipes in Jamui</v>
      </c>
      <c r="AH1053" s="15" t="str">
        <f t="shared" si="18"/>
        <v>electropolished pipes manufacturer in Jamui, electropolished pipes supplier in Jamui, electropolished pipes wholesaler in Jamui, electropolished tube manufacturer Jamui, EP pipe supplier Jamui, sanitary tube supplier Jamui, ASME BPE tubing Jamui, ASTM A270 tube Jamui, SS 316L electropolished pipe Jamui</v>
      </c>
      <c r="AI1053" s="15" t="str">
        <f t="shared" si="19"/>
        <v>Electropolished Pipes Manufacturer &amp; Supplier in Jamui</v>
      </c>
      <c r="AJ1053" s="15" t="str">
        <f t="shared" si="20"/>
        <v>EP-finished SS 304/316L pipes and tubes for VERIFY plants in Jamui. ASME BPE SF1-SF4, Ra from 0.25 um, EN 10204 3.1 certificate with every lot.</v>
      </c>
      <c r="AK1053" s="15" t="str">
        <f t="shared" si="21"/>
        <v>Electropolished stainless steel pipes supplied by Sakshi Forge to VERIFY plants at BIADA Industrial Area, Jamui</v>
      </c>
      <c r="AL1053" s="15" t="str">
        <f t="shared" si="22"/>
        <v>Electropolished SS 316L tube stock for Jamui - Sakshi Forge</v>
      </c>
      <c r="AM1053" s="15" t="str">
        <f t="shared" si="23"/>
        <v>Home &gt; Market Area &gt; India &gt; Bihar &gt; Jamui</v>
      </c>
      <c r="AN1053" s="15">
        <f t="shared" si="24"/>
        <v>750</v>
      </c>
      <c r="AO1053" s="15">
        <f t="shared" si="25"/>
        <v>6</v>
      </c>
      <c r="AP1053" s="15">
        <f t="shared" si="26"/>
        <v>6</v>
      </c>
      <c r="AQ1053" s="15">
        <f t="shared" si="27"/>
        <v>18</v>
      </c>
      <c r="AR1053" s="31"/>
      <c r="AS1053" s="31"/>
      <c r="AT1053" s="35" t="s">
        <v>222</v>
      </c>
      <c r="AU1053" s="35"/>
    </row>
    <row r="1054" ht="15.75" customHeight="1">
      <c r="A1054" s="15" t="s">
        <v>5501</v>
      </c>
      <c r="B1054" s="15" t="s">
        <v>60</v>
      </c>
      <c r="C1054" s="15" t="s">
        <v>842</v>
      </c>
      <c r="D1054" s="15" t="s">
        <v>5503</v>
      </c>
      <c r="E1054" s="15" t="s">
        <v>5503</v>
      </c>
      <c r="F1054" s="58" t="s">
        <v>807</v>
      </c>
      <c r="G1054" s="66" t="s">
        <v>98</v>
      </c>
      <c r="H1054" s="18" t="s">
        <v>5505</v>
      </c>
      <c r="I1054" s="18" t="s">
        <v>8413</v>
      </c>
      <c r="J1054" s="18" t="s">
        <v>98</v>
      </c>
      <c r="K1054" s="18" t="s">
        <v>98</v>
      </c>
      <c r="L1054" s="18" t="s">
        <v>98</v>
      </c>
      <c r="M1054" s="18" t="s">
        <v>98</v>
      </c>
      <c r="N1054" s="18" t="s">
        <v>98</v>
      </c>
      <c r="O1054" s="18" t="s">
        <v>98</v>
      </c>
      <c r="P1054" s="15" t="str">
        <f t="shared" si="1"/>
        <v>VERIFY</v>
      </c>
      <c r="Q1054" s="15">
        <f t="shared" si="2"/>
        <v>3</v>
      </c>
      <c r="R1054" s="15">
        <f t="shared" si="3"/>
        <v>1</v>
      </c>
      <c r="S1054" s="15">
        <f t="shared" si="4"/>
        <v>1</v>
      </c>
      <c r="T1054" s="15" t="str">
        <f t="shared" si="5"/>
        <v>C-1</v>
      </c>
      <c r="U1054" s="15" t="str">
        <f t="shared" si="6"/>
        <v>T3-M1-H1-FC-1-VERIFY</v>
      </c>
      <c r="V1054" s="15">
        <f t="shared" si="7"/>
        <v>0</v>
      </c>
      <c r="W1054" s="31"/>
      <c r="X1054" s="15" t="str">
        <f t="shared" si="8"/>
        <v>jaora</v>
      </c>
      <c r="Y1054" s="32" t="str">
        <f t="shared" si="9"/>
        <v>https://steelmanufacturer.in/market-area/electropolished-pipes-manufacturer-in-jaora/</v>
      </c>
      <c r="Z1054" s="15" t="str">
        <f t="shared" si="10"/>
        <v>Electropolished Pipes Manufacturer in Jaora | EP Tube Supplier</v>
      </c>
      <c r="AA1054" s="15" t="str">
        <f t="shared" si="11"/>
        <v>OK (62)</v>
      </c>
      <c r="AB1054" s="15" t="str">
        <f t="shared" si="12"/>
        <v>EP-finished SS 304/316L pipes &amp; tubes for VERIFY plants in Jaora. ASTM A270, ASME BPE SF1-SF4, EN 10204 3.1 MTC. PMI tested.</v>
      </c>
      <c r="AC1054" s="15" t="str">
        <f t="shared" si="13"/>
        <v>PENDING RESEARCH</v>
      </c>
      <c r="AD1054" s="15" t="str">
        <f t="shared" si="14"/>
        <v>Electropolished Pipes Manufacturer in Jaora</v>
      </c>
      <c r="AE1054" s="15" t="str">
        <f t="shared" si="15"/>
        <v>Electropolished Pipe &amp; Tube Manufacturing for Jaora - Grades, Finishes &amp; Certification</v>
      </c>
      <c r="AF1054" s="15" t="str">
        <f t="shared" si="16"/>
        <v>Electropolished Pipes Supplier in Jaora - Stock Sizes, Lead Time &amp; Delivery</v>
      </c>
      <c r="AG1054" s="15" t="str">
        <f t="shared" si="17"/>
        <v>Electropolished Pipes Wholesaler &amp; Stockist in Jaora - Bulk &amp; Project Pricing</v>
      </c>
      <c r="AH1054" s="15" t="str">
        <f t="shared" si="18"/>
        <v>electropolished pipes manufacturer in Jaora, electropolished pipes supplier in Jaora, electropolished pipes wholesaler in Jaora, electropolished tube manufacturer Jaora, EP pipe supplier Jaora, sanitary tube supplier Jaora, ASME BPE tubing Jaora, ASTM A270 tube Jaora, SS 316L electropolished pipe Jaora</v>
      </c>
      <c r="AI1054" s="15" t="str">
        <f t="shared" si="19"/>
        <v>Electropolished Pipes Manufacturer &amp; Supplier in Jaora</v>
      </c>
      <c r="AJ1054" s="15" t="str">
        <f t="shared" si="20"/>
        <v>EP-finished SS 304/316L pipes and tubes for VERIFY plants in Jaora. ASME BPE SF1-SF4, Ra from 0.25 um, EN 10204 3.1 certificate with every lot.</v>
      </c>
      <c r="AK1054" s="15" t="str">
        <f t="shared" si="21"/>
        <v>Electropolished stainless steel pipes supplied by Sakshi Forge to VERIFY plants at MPIDC Industrial Area, Jaora</v>
      </c>
      <c r="AL1054" s="15" t="str">
        <f t="shared" si="22"/>
        <v>Electropolished SS 316L tube stock for Jaora - Sakshi Forge</v>
      </c>
      <c r="AM1054" s="15" t="str">
        <f t="shared" si="23"/>
        <v>Home &gt; Market Area &gt; India &gt; Madhya Pradesh &gt; Jaora</v>
      </c>
      <c r="AN1054" s="15">
        <f t="shared" si="24"/>
        <v>750</v>
      </c>
      <c r="AO1054" s="15">
        <f t="shared" si="25"/>
        <v>6</v>
      </c>
      <c r="AP1054" s="15">
        <f t="shared" si="26"/>
        <v>6</v>
      </c>
      <c r="AQ1054" s="15">
        <f t="shared" si="27"/>
        <v>18</v>
      </c>
      <c r="AR1054" s="31"/>
      <c r="AS1054" s="31"/>
      <c r="AT1054" s="35" t="s">
        <v>222</v>
      </c>
      <c r="AU1054" s="35"/>
    </row>
    <row r="1055" ht="15.75" customHeight="1">
      <c r="A1055" s="15" t="s">
        <v>5506</v>
      </c>
      <c r="B1055" s="15" t="s">
        <v>60</v>
      </c>
      <c r="C1055" s="15" t="s">
        <v>775</v>
      </c>
      <c r="D1055" s="15" t="s">
        <v>5507</v>
      </c>
      <c r="E1055" s="15" t="s">
        <v>5507</v>
      </c>
      <c r="F1055" s="58" t="s">
        <v>807</v>
      </c>
      <c r="G1055" s="66" t="s">
        <v>98</v>
      </c>
      <c r="H1055" s="18" t="s">
        <v>5509</v>
      </c>
      <c r="I1055" s="18" t="s">
        <v>8399</v>
      </c>
      <c r="J1055" s="18" t="s">
        <v>98</v>
      </c>
      <c r="K1055" s="18" t="s">
        <v>98</v>
      </c>
      <c r="L1055" s="18" t="s">
        <v>98</v>
      </c>
      <c r="M1055" s="18" t="s">
        <v>98</v>
      </c>
      <c r="N1055" s="18" t="s">
        <v>98</v>
      </c>
      <c r="O1055" s="18" t="s">
        <v>98</v>
      </c>
      <c r="P1055" s="15" t="str">
        <f t="shared" si="1"/>
        <v>VERIFY</v>
      </c>
      <c r="Q1055" s="15">
        <f t="shared" si="2"/>
        <v>4</v>
      </c>
      <c r="R1055" s="15">
        <f t="shared" si="3"/>
        <v>2</v>
      </c>
      <c r="S1055" s="15">
        <f t="shared" si="4"/>
        <v>2</v>
      </c>
      <c r="T1055" s="15" t="str">
        <f t="shared" si="5"/>
        <v>C-2</v>
      </c>
      <c r="U1055" s="15" t="str">
        <f t="shared" si="6"/>
        <v>T4-M2-H2-FC-2-VERIFY</v>
      </c>
      <c r="V1055" s="15">
        <f t="shared" si="7"/>
        <v>0</v>
      </c>
      <c r="W1055" s="31"/>
      <c r="X1055" s="15" t="str">
        <f t="shared" si="8"/>
        <v>jashpur</v>
      </c>
      <c r="Y1055" s="32" t="str">
        <f t="shared" si="9"/>
        <v>https://steelmanufacturer.in/market-area/electropolished-pipes-manufacturer-in-jashpur/</v>
      </c>
      <c r="Z1055" s="15" t="str">
        <f t="shared" si="10"/>
        <v>Electropolished Pipes Manufacturer in Jashpur</v>
      </c>
      <c r="AA1055" s="15" t="str">
        <f t="shared" si="11"/>
        <v>OK (45)</v>
      </c>
      <c r="AB1055" s="15" t="str">
        <f t="shared" si="12"/>
        <v>Electropolished tube supply to CSIDC Industrial Area, Jashpur. Ra from 0.25 um, SF4 finish, mill test certificate with every lot.</v>
      </c>
      <c r="AC1055" s="15" t="str">
        <f t="shared" si="13"/>
        <v>PENDING RESEARCH</v>
      </c>
      <c r="AD1055" s="15" t="str">
        <f t="shared" si="14"/>
        <v>Electropolished Pipes Manufacturer in Jashpur</v>
      </c>
      <c r="AE1055" s="15" t="str">
        <f t="shared" si="15"/>
        <v>How We Manufacture Electropolished Tube for Jashpur Plants</v>
      </c>
      <c r="AF1055" s="15" t="str">
        <f t="shared" si="16"/>
        <v>Supplying Electropolished Pipes in Jashpur: Availability, Sizes &amp; Dispatch</v>
      </c>
      <c r="AG1055" s="15" t="str">
        <f t="shared" si="17"/>
        <v>Wholesale Electropolished Pipe Supply for Jashpur Projects</v>
      </c>
      <c r="AH1055" s="15" t="str">
        <f t="shared" si="18"/>
        <v>electropolished pipes manufacturer in Jashpur, electropolished pipes supplier in Jashpur, electropolished pipes wholesaler in Jashpur, electropolished tube manufacturer Jashpur, EP pipe supplier Jashpur, sanitary tube supplier Jashpur, ASME BPE tubing Jashpur, ASTM A270 tube Jashpur, SS 316L electropolished pipe Jashpur</v>
      </c>
      <c r="AI1055" s="15" t="str">
        <f t="shared" si="19"/>
        <v>Electropolished Pipes Manufacturer &amp; Supplier in Jashpur</v>
      </c>
      <c r="AJ1055" s="15" t="str">
        <f t="shared" si="20"/>
        <v>EP-finished SS 304/316L pipes and tubes for VERIFY plants in Jashpur. ASME BPE SF1-SF4, Ra from 0.25 um, EN 10204 3.1 certificate with every lot.</v>
      </c>
      <c r="AK1055" s="15" t="str">
        <f t="shared" si="21"/>
        <v>Electropolished stainless steel pipes supplied by Sakshi Forge to VERIFY plants at CSIDC Industrial Area, Jashpur</v>
      </c>
      <c r="AL1055" s="15" t="str">
        <f t="shared" si="22"/>
        <v>Electropolished SS 316L tube stock for Jashpur - Sakshi Forge</v>
      </c>
      <c r="AM1055" s="15" t="str">
        <f t="shared" si="23"/>
        <v>Home &gt; Market Area &gt; India &gt; Chhattisgarh &gt; Jashpur</v>
      </c>
      <c r="AN1055" s="15">
        <f t="shared" si="24"/>
        <v>750</v>
      </c>
      <c r="AO1055" s="15">
        <f t="shared" si="25"/>
        <v>6</v>
      </c>
      <c r="AP1055" s="15">
        <f t="shared" si="26"/>
        <v>6</v>
      </c>
      <c r="AQ1055" s="15">
        <f t="shared" si="27"/>
        <v>18</v>
      </c>
      <c r="AR1055" s="31"/>
      <c r="AS1055" s="31"/>
      <c r="AT1055" s="35" t="s">
        <v>222</v>
      </c>
      <c r="AU1055" s="35"/>
    </row>
    <row r="1056" ht="15.75" customHeight="1">
      <c r="A1056" s="15" t="s">
        <v>5510</v>
      </c>
      <c r="B1056" s="15" t="s">
        <v>60</v>
      </c>
      <c r="C1056" s="15" t="s">
        <v>1139</v>
      </c>
      <c r="D1056" s="15" t="s">
        <v>5511</v>
      </c>
      <c r="E1056" s="15" t="s">
        <v>5511</v>
      </c>
      <c r="F1056" s="58" t="s">
        <v>807</v>
      </c>
      <c r="G1056" s="66" t="s">
        <v>98</v>
      </c>
      <c r="H1056" s="18" t="s">
        <v>5513</v>
      </c>
      <c r="I1056" s="18" t="s">
        <v>8410</v>
      </c>
      <c r="J1056" s="18" t="s">
        <v>98</v>
      </c>
      <c r="K1056" s="18" t="s">
        <v>98</v>
      </c>
      <c r="L1056" s="18" t="s">
        <v>98</v>
      </c>
      <c r="M1056" s="18" t="s">
        <v>98</v>
      </c>
      <c r="N1056" s="18" t="s">
        <v>98</v>
      </c>
      <c r="O1056" s="18" t="s">
        <v>98</v>
      </c>
      <c r="P1056" s="15" t="str">
        <f t="shared" si="1"/>
        <v>VERIFY</v>
      </c>
      <c r="Q1056" s="15">
        <f t="shared" si="2"/>
        <v>5</v>
      </c>
      <c r="R1056" s="15">
        <f t="shared" si="3"/>
        <v>3</v>
      </c>
      <c r="S1056" s="15">
        <f t="shared" si="4"/>
        <v>3</v>
      </c>
      <c r="T1056" s="15" t="str">
        <f t="shared" si="5"/>
        <v>C-3</v>
      </c>
      <c r="U1056" s="15" t="str">
        <f t="shared" si="6"/>
        <v>T5-M3-H3-FC-3-VERIFY</v>
      </c>
      <c r="V1056" s="15">
        <f t="shared" si="7"/>
        <v>0</v>
      </c>
      <c r="W1056" s="31"/>
      <c r="X1056" s="15" t="str">
        <f t="shared" si="8"/>
        <v>jaspur</v>
      </c>
      <c r="Y1056" s="32" t="str">
        <f t="shared" si="9"/>
        <v>https://steelmanufacturer.in/market-area/electropolished-pipes-manufacturer-in-jaspur/</v>
      </c>
      <c r="Z1056" s="15" t="str">
        <f t="shared" si="10"/>
        <v>Electropolished Pipes Manufacturer in Jaspur</v>
      </c>
      <c r="AA1056" s="15" t="str">
        <f t="shared" si="11"/>
        <v>OK (44)</v>
      </c>
      <c r="AB1056" s="15" t="str">
        <f t="shared" si="12"/>
        <v>EP stainless tube for VERIFY lines in Jaspur. VERIFY. ASTM A270 S2, PMI tested, EN 10204 3.1.</v>
      </c>
      <c r="AC1056" s="15" t="str">
        <f t="shared" si="13"/>
        <v>PENDING RESEARCH</v>
      </c>
      <c r="AD1056" s="15" t="str">
        <f t="shared" si="14"/>
        <v>Electropolished Pipes Manufacturer in Jaspur</v>
      </c>
      <c r="AE1056" s="15" t="str">
        <f t="shared" si="15"/>
        <v>Electropolished Pipes Manufacturer in Jaspur - Our Process &amp; Capability</v>
      </c>
      <c r="AF1056" s="15" t="str">
        <f t="shared" si="16"/>
        <v>Electropolished Pipes Supplier in Jaspur - What We Hold in Stock</v>
      </c>
      <c r="AG1056" s="15" t="str">
        <f t="shared" si="17"/>
        <v>Bulk &amp; Wholesale Electropolished Pipe Rates for Jaspur Buyers</v>
      </c>
      <c r="AH1056" s="15" t="str">
        <f t="shared" si="18"/>
        <v>electropolished pipes manufacturer in Jaspur, electropolished pipes supplier in Jaspur, electropolished pipes wholesaler in Jaspur, electropolished tube manufacturer Jaspur, EP pipe supplier Jaspur, sanitary tube supplier Jaspur, ASME BPE tubing Jaspur, ASTM A270 tube Jaspur, SS 316L electropolished pipe Jaspur</v>
      </c>
      <c r="AI1056" s="15" t="str">
        <f t="shared" si="19"/>
        <v>Electropolished Pipes Manufacturer &amp; Supplier in Jaspur</v>
      </c>
      <c r="AJ1056" s="15" t="str">
        <f t="shared" si="20"/>
        <v>EP-finished SS 304/316L pipes and tubes for VERIFY plants in Jaspur. ASME BPE SF1-SF4, Ra from 0.25 um, EN 10204 3.1 certificate with every lot.</v>
      </c>
      <c r="AK1056" s="15" t="str">
        <f t="shared" si="21"/>
        <v>Electropolished stainless steel pipes supplied by Sakshi Forge to VERIFY plants at SIIDCUL Industrial Area, Jaspur</v>
      </c>
      <c r="AL1056" s="15" t="str">
        <f t="shared" si="22"/>
        <v>Electropolished SS 316L tube stock for Jaspur - Sakshi Forge</v>
      </c>
      <c r="AM1056" s="15" t="str">
        <f t="shared" si="23"/>
        <v>Home &gt; Market Area &gt; India &gt; Uttarakhand &gt; Jaspur</v>
      </c>
      <c r="AN1056" s="15">
        <f t="shared" si="24"/>
        <v>750</v>
      </c>
      <c r="AO1056" s="15">
        <f t="shared" si="25"/>
        <v>6</v>
      </c>
      <c r="AP1056" s="15">
        <f t="shared" si="26"/>
        <v>6</v>
      </c>
      <c r="AQ1056" s="15">
        <f t="shared" si="27"/>
        <v>18</v>
      </c>
      <c r="AR1056" s="31"/>
      <c r="AS1056" s="31"/>
      <c r="AT1056" s="35" t="s">
        <v>222</v>
      </c>
      <c r="AU1056" s="35"/>
    </row>
    <row r="1057" ht="15.75" customHeight="1">
      <c r="A1057" s="15" t="s">
        <v>5514</v>
      </c>
      <c r="B1057" s="15" t="s">
        <v>60</v>
      </c>
      <c r="C1057" s="15" t="s">
        <v>424</v>
      </c>
      <c r="D1057" s="15" t="s">
        <v>5515</v>
      </c>
      <c r="E1057" s="15" t="s">
        <v>5515</v>
      </c>
      <c r="F1057" s="58" t="s">
        <v>807</v>
      </c>
      <c r="G1057" s="66" t="s">
        <v>98</v>
      </c>
      <c r="H1057" s="18" t="s">
        <v>5517</v>
      </c>
      <c r="I1057" s="18" t="s">
        <v>8406</v>
      </c>
      <c r="J1057" s="18" t="s">
        <v>98</v>
      </c>
      <c r="K1057" s="18" t="s">
        <v>98</v>
      </c>
      <c r="L1057" s="18" t="s">
        <v>98</v>
      </c>
      <c r="M1057" s="18" t="s">
        <v>98</v>
      </c>
      <c r="N1057" s="18" t="s">
        <v>98</v>
      </c>
      <c r="O1057" s="18" t="s">
        <v>98</v>
      </c>
      <c r="P1057" s="15" t="str">
        <f t="shared" si="1"/>
        <v>VERIFY</v>
      </c>
      <c r="Q1057" s="15">
        <f t="shared" si="2"/>
        <v>6</v>
      </c>
      <c r="R1057" s="15">
        <f t="shared" si="3"/>
        <v>4</v>
      </c>
      <c r="S1057" s="15">
        <f t="shared" si="4"/>
        <v>4</v>
      </c>
      <c r="T1057" s="15" t="str">
        <f t="shared" si="5"/>
        <v>C-4</v>
      </c>
      <c r="U1057" s="15" t="str">
        <f t="shared" si="6"/>
        <v>T6-M4-H4-FC-4-VERIFY</v>
      </c>
      <c r="V1057" s="15">
        <f t="shared" si="7"/>
        <v>0</v>
      </c>
      <c r="W1057" s="31"/>
      <c r="X1057" s="15" t="str">
        <f t="shared" si="8"/>
        <v>jatni</v>
      </c>
      <c r="Y1057" s="32" t="str">
        <f t="shared" si="9"/>
        <v>https://steelmanufacturer.in/market-area/electropolished-pipes-manufacturer-in-jatni/</v>
      </c>
      <c r="Z1057" s="15" t="str">
        <f t="shared" si="10"/>
        <v>Electropolished Pipes Manufacturer in Jatni</v>
      </c>
      <c r="AA1057" s="15" t="str">
        <f t="shared" si="11"/>
        <v>OK (43)</v>
      </c>
      <c r="AB1057" s="15" t="str">
        <f t="shared" si="12"/>
        <v>Sanitary electropolished pipes in Jatni for VERIFY plants. ASME BPE SF1-SF4, orbital-weld ready, 3.1 MTC. Mumbai-made.</v>
      </c>
      <c r="AC1057" s="15" t="str">
        <f t="shared" si="13"/>
        <v>PENDING RESEARCH</v>
      </c>
      <c r="AD1057" s="15" t="str">
        <f t="shared" si="14"/>
        <v>Electropolished Pipes Manufacturer in Jatni</v>
      </c>
      <c r="AE1057" s="15" t="str">
        <f t="shared" si="15"/>
        <v>Manufacturing Electropolished SS Tube for Jatni: The Standards We Build To</v>
      </c>
      <c r="AF1057" s="15" t="str">
        <f t="shared" si="16"/>
        <v>Electropolished Pipe Supply Into Jatni - Certification &amp; Transit</v>
      </c>
      <c r="AG1057" s="15" t="str">
        <f t="shared" si="17"/>
        <v>Electropolished Pipes Wholesaler in Jatni - Project Quantities &amp; Terms</v>
      </c>
      <c r="AH1057" s="15" t="str">
        <f t="shared" si="18"/>
        <v>electropolished pipes manufacturer in Jatni, electropolished pipes supplier in Jatni, electropolished pipes wholesaler in Jatni, electropolished tube manufacturer Jatni, EP pipe supplier Jatni, sanitary tube supplier Jatni, ASME BPE tubing Jatni, ASTM A270 tube Jatni, SS 316L electropolished pipe Jatni</v>
      </c>
      <c r="AI1057" s="15" t="str">
        <f t="shared" si="19"/>
        <v>Electropolished Pipes Manufacturer &amp; Supplier in Jatni</v>
      </c>
      <c r="AJ1057" s="15" t="str">
        <f t="shared" si="20"/>
        <v>EP-finished SS 304/316L pipes and tubes for VERIFY plants in Jatni. ASME BPE SF1-SF4, Ra from 0.25 um, EN 10204 3.1 certificate with every lot.</v>
      </c>
      <c r="AK1057" s="15" t="str">
        <f t="shared" si="21"/>
        <v>Electropolished stainless steel pipes supplied by Sakshi Forge to VERIFY plants at IDCO Industrial Area, Jatni</v>
      </c>
      <c r="AL1057" s="15" t="str">
        <f t="shared" si="22"/>
        <v>Electropolished SS 316L tube stock for Jatni - Sakshi Forge</v>
      </c>
      <c r="AM1057" s="15" t="str">
        <f t="shared" si="23"/>
        <v>Home &gt; Market Area &gt; India &gt; Odisha &gt; Jatni</v>
      </c>
      <c r="AN1057" s="15">
        <f t="shared" si="24"/>
        <v>750</v>
      </c>
      <c r="AO1057" s="15">
        <f t="shared" si="25"/>
        <v>6</v>
      </c>
      <c r="AP1057" s="15">
        <f t="shared" si="26"/>
        <v>6</v>
      </c>
      <c r="AQ1057" s="15">
        <f t="shared" si="27"/>
        <v>18</v>
      </c>
      <c r="AR1057" s="31"/>
      <c r="AS1057" s="31"/>
      <c r="AT1057" s="35" t="s">
        <v>222</v>
      </c>
      <c r="AU1057" s="35"/>
    </row>
    <row r="1058" ht="15.75" customHeight="1">
      <c r="A1058" s="15" t="s">
        <v>5518</v>
      </c>
      <c r="B1058" s="15" t="s">
        <v>60</v>
      </c>
      <c r="C1058" s="15" t="s">
        <v>1818</v>
      </c>
      <c r="D1058" s="15" t="s">
        <v>5519</v>
      </c>
      <c r="E1058" s="15" t="s">
        <v>5519</v>
      </c>
      <c r="F1058" s="58" t="s">
        <v>807</v>
      </c>
      <c r="G1058" s="66" t="s">
        <v>98</v>
      </c>
      <c r="H1058" s="18" t="s">
        <v>5521</v>
      </c>
      <c r="I1058" s="18" t="s">
        <v>8402</v>
      </c>
      <c r="J1058" s="18" t="s">
        <v>98</v>
      </c>
      <c r="K1058" s="18" t="s">
        <v>98</v>
      </c>
      <c r="L1058" s="18" t="s">
        <v>98</v>
      </c>
      <c r="M1058" s="18" t="s">
        <v>98</v>
      </c>
      <c r="N1058" s="18" t="s">
        <v>98</v>
      </c>
      <c r="O1058" s="18" t="s">
        <v>98</v>
      </c>
      <c r="P1058" s="15" t="str">
        <f t="shared" si="1"/>
        <v>VERIFY</v>
      </c>
      <c r="Q1058" s="15">
        <f t="shared" si="2"/>
        <v>7</v>
      </c>
      <c r="R1058" s="15">
        <f t="shared" si="3"/>
        <v>5</v>
      </c>
      <c r="S1058" s="15">
        <f t="shared" si="4"/>
        <v>5</v>
      </c>
      <c r="T1058" s="15" t="str">
        <f t="shared" si="5"/>
        <v>C-5</v>
      </c>
      <c r="U1058" s="15" t="str">
        <f t="shared" si="6"/>
        <v>T7-M5-H5-FC-5-VERIFY</v>
      </c>
      <c r="V1058" s="15">
        <f t="shared" si="7"/>
        <v>0</v>
      </c>
      <c r="W1058" s="31"/>
      <c r="X1058" s="15" t="str">
        <f t="shared" si="8"/>
        <v>jehanabad</v>
      </c>
      <c r="Y1058" s="32" t="str">
        <f t="shared" si="9"/>
        <v>https://steelmanufacturer.in/market-area/electropolished-pipes-manufacturer-in-jehanabad/</v>
      </c>
      <c r="Z1058" s="15" t="str">
        <f t="shared" si="10"/>
        <v>Electropolished Pipes Manufacturer in Jehanabad</v>
      </c>
      <c r="AA1058" s="15" t="str">
        <f t="shared" si="11"/>
        <v>OK (47)</v>
      </c>
      <c r="AB1058" s="15" t="str">
        <f t="shared" si="12"/>
        <v>Manufacturer of electropolished SS 316L tube serving Jehanabad. VERIFY. Ra 0.25-0.5 um, EN 10204 3.1 MTC.</v>
      </c>
      <c r="AC1058" s="15" t="str">
        <f t="shared" si="13"/>
        <v>PENDING RESEARCH</v>
      </c>
      <c r="AD1058" s="15" t="str">
        <f t="shared" si="14"/>
        <v>Electropolished Pipes Manufacturer in Jehanabad</v>
      </c>
      <c r="AE1058" s="15" t="str">
        <f t="shared" si="15"/>
        <v>Electropolished Tube Manufacturing Capability Serving Jehanabad</v>
      </c>
      <c r="AF1058" s="15" t="str">
        <f t="shared" si="16"/>
        <v>Electropolished Pipes Supplier in Jehanabad - From Order to Delivery</v>
      </c>
      <c r="AG1058" s="15" t="str">
        <f t="shared" si="17"/>
        <v>Stockist &amp; Wholesale Supply of Electropolished Pipes in Jehanabad</v>
      </c>
      <c r="AH1058" s="15" t="str">
        <f t="shared" si="18"/>
        <v>electropolished pipes manufacturer in Jehanabad, electropolished pipes supplier in Jehanabad, electropolished pipes wholesaler in Jehanabad, electropolished tube manufacturer Jehanabad, EP pipe supplier Jehanabad, sanitary tube supplier Jehanabad, ASME BPE tubing Jehanabad, ASTM A270 tube Jehanabad, SS 316L electropolished pipe Jehanabad</v>
      </c>
      <c r="AI1058" s="15" t="str">
        <f t="shared" si="19"/>
        <v>Electropolished Pipes Manufacturer &amp; Supplier in Jehanabad</v>
      </c>
      <c r="AJ1058" s="15" t="str">
        <f t="shared" si="20"/>
        <v>EP-finished SS 304/316L pipes and tubes for VERIFY plants in Jehanabad. ASME BPE SF1-SF4, Ra from 0.25 um, EN 10204 3.1 certificate with every lot.</v>
      </c>
      <c r="AK1058" s="15" t="str">
        <f t="shared" si="21"/>
        <v>Electropolished stainless steel pipes supplied by Sakshi Forge to VERIFY plants at BIADA Industrial Area, Jehanabad</v>
      </c>
      <c r="AL1058" s="15" t="str">
        <f t="shared" si="22"/>
        <v>Electropolished SS 316L tube stock for Jehanabad - Sakshi Forge</v>
      </c>
      <c r="AM1058" s="15" t="str">
        <f t="shared" si="23"/>
        <v>Home &gt; Market Area &gt; India &gt; Bihar &gt; Jehanabad</v>
      </c>
      <c r="AN1058" s="15">
        <f t="shared" si="24"/>
        <v>750</v>
      </c>
      <c r="AO1058" s="15">
        <f t="shared" si="25"/>
        <v>6</v>
      </c>
      <c r="AP1058" s="15">
        <f t="shared" si="26"/>
        <v>6</v>
      </c>
      <c r="AQ1058" s="15">
        <f t="shared" si="27"/>
        <v>18</v>
      </c>
      <c r="AR1058" s="31"/>
      <c r="AS1058" s="31"/>
      <c r="AT1058" s="35" t="s">
        <v>222</v>
      </c>
      <c r="AU1058" s="35"/>
    </row>
    <row r="1059" ht="15.75" customHeight="1">
      <c r="A1059" s="15" t="s">
        <v>5522</v>
      </c>
      <c r="B1059" s="15" t="s">
        <v>60</v>
      </c>
      <c r="C1059" s="15" t="s">
        <v>842</v>
      </c>
      <c r="D1059" s="15" t="s">
        <v>5523</v>
      </c>
      <c r="E1059" s="15" t="s">
        <v>5523</v>
      </c>
      <c r="F1059" s="58" t="s">
        <v>807</v>
      </c>
      <c r="G1059" s="66" t="s">
        <v>98</v>
      </c>
      <c r="H1059" s="18" t="s">
        <v>5525</v>
      </c>
      <c r="I1059" s="18" t="s">
        <v>8413</v>
      </c>
      <c r="J1059" s="18" t="s">
        <v>98</v>
      </c>
      <c r="K1059" s="18" t="s">
        <v>98</v>
      </c>
      <c r="L1059" s="18" t="s">
        <v>98</v>
      </c>
      <c r="M1059" s="18" t="s">
        <v>98</v>
      </c>
      <c r="N1059" s="18" t="s">
        <v>98</v>
      </c>
      <c r="O1059" s="18" t="s">
        <v>98</v>
      </c>
      <c r="P1059" s="15" t="str">
        <f t="shared" si="1"/>
        <v>VERIFY</v>
      </c>
      <c r="Q1059" s="15">
        <f t="shared" si="2"/>
        <v>8</v>
      </c>
      <c r="R1059" s="15">
        <f t="shared" si="3"/>
        <v>6</v>
      </c>
      <c r="S1059" s="15">
        <f t="shared" si="4"/>
        <v>1</v>
      </c>
      <c r="T1059" s="15" t="str">
        <f t="shared" si="5"/>
        <v>C-6</v>
      </c>
      <c r="U1059" s="15" t="str">
        <f t="shared" si="6"/>
        <v>T8-M6-H1-FC-6-VERIFY</v>
      </c>
      <c r="V1059" s="15">
        <f t="shared" si="7"/>
        <v>0</v>
      </c>
      <c r="W1059" s="31"/>
      <c r="X1059" s="15" t="str">
        <f t="shared" si="8"/>
        <v>jhabua</v>
      </c>
      <c r="Y1059" s="32" t="str">
        <f t="shared" si="9"/>
        <v>https://steelmanufacturer.in/market-area/electropolished-pipes-manufacturer-in-jhabua/</v>
      </c>
      <c r="Z1059" s="15" t="str">
        <f t="shared" si="10"/>
        <v>Electropolished Pipes Manufacturer in Jhabua - EP Tube Stockist</v>
      </c>
      <c r="AA1059" s="15" t="str">
        <f t="shared" si="11"/>
        <v>OK (63)</v>
      </c>
      <c r="AB1059" s="15" t="str">
        <f t="shared" si="12"/>
        <v>EP tube and pipe for VERIFY plants around MPIDC Industrial Area, Jhabua. Made at our Mumbai works to ASTM A270 and ASME BPE SF1-SF4, with 3.1 MTC.</v>
      </c>
      <c r="AC1059" s="15" t="str">
        <f t="shared" si="13"/>
        <v>PENDING RESEARCH</v>
      </c>
      <c r="AD1059" s="15" t="str">
        <f t="shared" si="14"/>
        <v>Electropolished Pipes Manufacturer in Jhabua</v>
      </c>
      <c r="AE1059" s="15" t="str">
        <f t="shared" si="15"/>
        <v>Electropolished Pipe &amp; Tube Manufacturing for Jhabua - Grades, Finishes &amp; Certification</v>
      </c>
      <c r="AF1059" s="15" t="str">
        <f t="shared" si="16"/>
        <v>Electropolished Pipes Supplier in Jhabua - Stock Sizes, Lead Time &amp; Delivery</v>
      </c>
      <c r="AG1059" s="15" t="str">
        <f t="shared" si="17"/>
        <v>Electropolished Pipes Wholesaler &amp; Stockist in Jhabua - Bulk &amp; Project Pricing</v>
      </c>
      <c r="AH1059" s="15" t="str">
        <f t="shared" si="18"/>
        <v>electropolished pipes manufacturer in Jhabua, electropolished pipes supplier in Jhabua, electropolished pipes wholesaler in Jhabua, electropolished tube manufacturer Jhabua, EP pipe supplier Jhabua, sanitary tube supplier Jhabua, ASME BPE tubing Jhabua, ASTM A270 tube Jhabua, SS 316L electropolished pipe Jhabua</v>
      </c>
      <c r="AI1059" s="15" t="str">
        <f t="shared" si="19"/>
        <v>Electropolished Pipes Manufacturer &amp; Supplier in Jhabua</v>
      </c>
      <c r="AJ1059" s="15" t="str">
        <f t="shared" si="20"/>
        <v>EP-finished SS 304/316L pipes and tubes for VERIFY plants in Jhabua. ASME BPE SF1-SF4, Ra from 0.25 um, EN 10204 3.1 certificate with every lot.</v>
      </c>
      <c r="AK1059" s="15" t="str">
        <f t="shared" si="21"/>
        <v>Electropolished stainless steel pipes supplied by Sakshi Forge to VERIFY plants at MPIDC Industrial Area, Jhabua</v>
      </c>
      <c r="AL1059" s="15" t="str">
        <f t="shared" si="22"/>
        <v>Electropolished SS 316L tube stock for Jhabua - Sakshi Forge</v>
      </c>
      <c r="AM1059" s="15" t="str">
        <f t="shared" si="23"/>
        <v>Home &gt; Market Area &gt; India &gt; Madhya Pradesh &gt; Jhabua</v>
      </c>
      <c r="AN1059" s="15">
        <f t="shared" si="24"/>
        <v>750</v>
      </c>
      <c r="AO1059" s="15">
        <f t="shared" si="25"/>
        <v>6</v>
      </c>
      <c r="AP1059" s="15">
        <f t="shared" si="26"/>
        <v>6</v>
      </c>
      <c r="AQ1059" s="15">
        <f t="shared" si="27"/>
        <v>18</v>
      </c>
      <c r="AR1059" s="31"/>
      <c r="AS1059" s="31"/>
      <c r="AT1059" s="35" t="s">
        <v>222</v>
      </c>
      <c r="AU1059" s="35"/>
    </row>
    <row r="1060" ht="15.75" customHeight="1">
      <c r="A1060" s="15" t="s">
        <v>5526</v>
      </c>
      <c r="B1060" s="15" t="s">
        <v>60</v>
      </c>
      <c r="C1060" s="15" t="s">
        <v>264</v>
      </c>
      <c r="D1060" s="15" t="s">
        <v>5527</v>
      </c>
      <c r="E1060" s="15" t="s">
        <v>5527</v>
      </c>
      <c r="F1060" s="58" t="s">
        <v>807</v>
      </c>
      <c r="G1060" s="66" t="s">
        <v>98</v>
      </c>
      <c r="H1060" s="18" t="s">
        <v>5529</v>
      </c>
      <c r="I1060" s="18" t="s">
        <v>8395</v>
      </c>
      <c r="J1060" s="18" t="s">
        <v>98</v>
      </c>
      <c r="K1060" s="18" t="s">
        <v>98</v>
      </c>
      <c r="L1060" s="18" t="s">
        <v>98</v>
      </c>
      <c r="M1060" s="18" t="s">
        <v>98</v>
      </c>
      <c r="N1060" s="18" t="s">
        <v>98</v>
      </c>
      <c r="O1060" s="18" t="s">
        <v>98</v>
      </c>
      <c r="P1060" s="15" t="str">
        <f t="shared" si="1"/>
        <v>VERIFY</v>
      </c>
      <c r="Q1060" s="15">
        <f t="shared" si="2"/>
        <v>1</v>
      </c>
      <c r="R1060" s="15">
        <f t="shared" si="3"/>
        <v>7</v>
      </c>
      <c r="S1060" s="15">
        <f t="shared" si="4"/>
        <v>2</v>
      </c>
      <c r="T1060" s="15" t="str">
        <f t="shared" si="5"/>
        <v>C-1</v>
      </c>
      <c r="U1060" s="15" t="str">
        <f t="shared" si="6"/>
        <v>T1-M7-H2-FC-1-VERIFY</v>
      </c>
      <c r="V1060" s="15">
        <f t="shared" si="7"/>
        <v>0</v>
      </c>
      <c r="W1060" s="31"/>
      <c r="X1060" s="15" t="str">
        <f t="shared" si="8"/>
        <v>jintur</v>
      </c>
      <c r="Y1060" s="32" t="str">
        <f t="shared" si="9"/>
        <v>https://steelmanufacturer.in/market-area/electropolished-pipes-manufacturer-in-jintur/</v>
      </c>
      <c r="Z1060" s="15" t="str">
        <f t="shared" si="10"/>
        <v>Electropolished Pipes Manufacturer in Jintur | Sakshi Forge</v>
      </c>
      <c r="AA1060" s="15" t="str">
        <f t="shared" si="11"/>
        <v>OK (59)</v>
      </c>
      <c r="AB1060" s="15" t="str">
        <f t="shared" si="12"/>
        <v>Electropolished pipes in Jintur: 304, 304L, 316 and 316L in SF1-SF4. VERIFY. Mill certified.</v>
      </c>
      <c r="AC1060" s="15" t="str">
        <f t="shared" si="13"/>
        <v>PENDING RESEARCH</v>
      </c>
      <c r="AD1060" s="15" t="str">
        <f t="shared" si="14"/>
        <v>Electropolished Pipes Manufacturer in Jintur</v>
      </c>
      <c r="AE1060" s="15" t="str">
        <f t="shared" si="15"/>
        <v>How We Manufacture Electropolished Tube for Jintur Plants</v>
      </c>
      <c r="AF1060" s="15" t="str">
        <f t="shared" si="16"/>
        <v>Supplying Electropolished Pipes in Jintur: Availability, Sizes &amp; Dispatch</v>
      </c>
      <c r="AG1060" s="15" t="str">
        <f t="shared" si="17"/>
        <v>Wholesale Electropolished Pipe Supply for Jintur Projects</v>
      </c>
      <c r="AH1060" s="15" t="str">
        <f t="shared" si="18"/>
        <v>electropolished pipes manufacturer in Jintur, electropolished pipes supplier in Jintur, electropolished pipes wholesaler in Jintur, electropolished tube manufacturer Jintur, EP pipe supplier Jintur, sanitary tube supplier Jintur, ASME BPE tubing Jintur, ASTM A270 tube Jintur, SS 316L electropolished pipe Jintur</v>
      </c>
      <c r="AI1060" s="15" t="str">
        <f t="shared" si="19"/>
        <v>Electropolished Pipes Manufacturer &amp; Supplier in Jintur</v>
      </c>
      <c r="AJ1060" s="15" t="str">
        <f t="shared" si="20"/>
        <v>EP-finished SS 304/316L pipes and tubes for VERIFY plants in Jintur. ASME BPE SF1-SF4, Ra from 0.25 um, EN 10204 3.1 certificate with every lot.</v>
      </c>
      <c r="AK1060" s="15" t="str">
        <f t="shared" si="21"/>
        <v>Electropolished stainless steel pipes supplied by Sakshi Forge to VERIFY plants at MIDC Industrial Area, Jintur</v>
      </c>
      <c r="AL1060" s="15" t="str">
        <f t="shared" si="22"/>
        <v>Electropolished SS 316L tube stock for Jintur - Sakshi Forge</v>
      </c>
      <c r="AM1060" s="15" t="str">
        <f t="shared" si="23"/>
        <v>Home &gt; Market Area &gt; India &gt; Maharashtra &gt; Jintur</v>
      </c>
      <c r="AN1060" s="15">
        <f t="shared" si="24"/>
        <v>750</v>
      </c>
      <c r="AO1060" s="15">
        <f t="shared" si="25"/>
        <v>6</v>
      </c>
      <c r="AP1060" s="15">
        <f t="shared" si="26"/>
        <v>6</v>
      </c>
      <c r="AQ1060" s="15">
        <f t="shared" si="27"/>
        <v>18</v>
      </c>
      <c r="AR1060" s="31"/>
      <c r="AS1060" s="31"/>
      <c r="AT1060" s="35" t="s">
        <v>222</v>
      </c>
      <c r="AU1060" s="35"/>
    </row>
    <row r="1061" ht="15.75" customHeight="1">
      <c r="A1061" s="15" t="s">
        <v>5530</v>
      </c>
      <c r="B1061" s="15" t="s">
        <v>60</v>
      </c>
      <c r="C1061" s="15" t="s">
        <v>570</v>
      </c>
      <c r="D1061" s="15" t="s">
        <v>5531</v>
      </c>
      <c r="E1061" s="15" t="s">
        <v>5531</v>
      </c>
      <c r="F1061" s="58" t="s">
        <v>807</v>
      </c>
      <c r="G1061" s="66" t="s">
        <v>98</v>
      </c>
      <c r="H1061" s="18" t="s">
        <v>5533</v>
      </c>
      <c r="I1061" s="18" t="s">
        <v>8405</v>
      </c>
      <c r="J1061" s="18" t="s">
        <v>98</v>
      </c>
      <c r="K1061" s="18" t="s">
        <v>98</v>
      </c>
      <c r="L1061" s="18" t="s">
        <v>98</v>
      </c>
      <c r="M1061" s="18" t="s">
        <v>98</v>
      </c>
      <c r="N1061" s="18" t="s">
        <v>98</v>
      </c>
      <c r="O1061" s="18" t="s">
        <v>98</v>
      </c>
      <c r="P1061" s="15" t="str">
        <f t="shared" si="1"/>
        <v>VERIFY</v>
      </c>
      <c r="Q1061" s="15">
        <f t="shared" si="2"/>
        <v>2</v>
      </c>
      <c r="R1061" s="15">
        <f t="shared" si="3"/>
        <v>1</v>
      </c>
      <c r="S1061" s="15">
        <f t="shared" si="4"/>
        <v>3</v>
      </c>
      <c r="T1061" s="15" t="str">
        <f t="shared" si="5"/>
        <v>C-2</v>
      </c>
      <c r="U1061" s="15" t="str">
        <f t="shared" si="6"/>
        <v>T2-M1-H3-FC-2-VERIFY</v>
      </c>
      <c r="V1061" s="15">
        <f t="shared" si="7"/>
        <v>0</v>
      </c>
      <c r="W1061" s="31"/>
      <c r="X1061" s="15" t="str">
        <f t="shared" si="8"/>
        <v>k-r-pete</v>
      </c>
      <c r="Y1061" s="32" t="str">
        <f t="shared" si="9"/>
        <v>https://steelmanufacturer.in/market-area/electropolished-pipes-manufacturer-in-k-r-pete/</v>
      </c>
      <c r="Z1061" s="15" t="str">
        <f t="shared" si="10"/>
        <v>Electropolished Pipes Manufacturer in K R Pete</v>
      </c>
      <c r="AA1061" s="15" t="str">
        <f t="shared" si="11"/>
        <v>OK (46)</v>
      </c>
      <c r="AB1061" s="15" t="str">
        <f t="shared" si="12"/>
        <v>EP-finished SS 304/316L pipes &amp; tubes for VERIFY plants in K R Pete. ASTM A270, ASME BPE SF1-SF4, EN 10204 3.1 MTC. PMI tested.</v>
      </c>
      <c r="AC1061" s="15" t="str">
        <f t="shared" si="13"/>
        <v>PENDING RESEARCH</v>
      </c>
      <c r="AD1061" s="15" t="str">
        <f t="shared" si="14"/>
        <v>Electropolished Pipes Manufacturer in K R Pete</v>
      </c>
      <c r="AE1061" s="15" t="str">
        <f t="shared" si="15"/>
        <v>Electropolished Pipes Manufacturer in K R Pete - Our Process &amp; Capability</v>
      </c>
      <c r="AF1061" s="15" t="str">
        <f t="shared" si="16"/>
        <v>Electropolished Pipes Supplier in K R Pete - What We Hold in Stock</v>
      </c>
      <c r="AG1061" s="15" t="str">
        <f t="shared" si="17"/>
        <v>Bulk &amp; Wholesale Electropolished Pipe Rates for K R Pete Buyers</v>
      </c>
      <c r="AH1061" s="15" t="str">
        <f t="shared" si="18"/>
        <v>electropolished pipes manufacturer in K R Pete, electropolished pipes supplier in K R Pete, electropolished pipes wholesaler in K R Pete, electropolished tube manufacturer K R Pete, EP pipe supplier K R Pete, sanitary tube supplier K R Pete, ASME BPE tubing K R Pete, ASTM A270 tube K R Pete, SS 316L electropolished pipe K R Pete</v>
      </c>
      <c r="AI1061" s="15" t="str">
        <f t="shared" si="19"/>
        <v>Electropolished Pipes Manufacturer &amp; Supplier in K R Pete</v>
      </c>
      <c r="AJ1061" s="15" t="str">
        <f t="shared" si="20"/>
        <v>EP-finished SS 304/316L pipes and tubes for VERIFY plants in K R Pete. ASME BPE SF1-SF4, Ra from 0.25 um, EN 10204 3.1 certificate with every lot.</v>
      </c>
      <c r="AK1061" s="15" t="str">
        <f t="shared" si="21"/>
        <v>Electropolished stainless steel pipes supplied by Sakshi Forge to VERIFY plants at KIADB Industrial Area, K R Pete</v>
      </c>
      <c r="AL1061" s="15" t="str">
        <f t="shared" si="22"/>
        <v>Electropolished SS 316L tube stock for K R Pete - Sakshi Forge</v>
      </c>
      <c r="AM1061" s="15" t="str">
        <f t="shared" si="23"/>
        <v>Home &gt; Market Area &gt; India &gt; Karnataka &gt; K R Pete</v>
      </c>
      <c r="AN1061" s="15">
        <f t="shared" si="24"/>
        <v>750</v>
      </c>
      <c r="AO1061" s="15">
        <f t="shared" si="25"/>
        <v>6</v>
      </c>
      <c r="AP1061" s="15">
        <f t="shared" si="26"/>
        <v>6</v>
      </c>
      <c r="AQ1061" s="15">
        <f t="shared" si="27"/>
        <v>18</v>
      </c>
      <c r="AR1061" s="31"/>
      <c r="AS1061" s="31"/>
      <c r="AT1061" s="35" t="s">
        <v>222</v>
      </c>
      <c r="AU1061" s="35"/>
    </row>
    <row r="1062" ht="15.75" customHeight="1">
      <c r="A1062" s="15" t="s">
        <v>5536</v>
      </c>
      <c r="B1062" s="15" t="s">
        <v>60</v>
      </c>
      <c r="C1062" s="15" t="s">
        <v>570</v>
      </c>
      <c r="D1062" s="15" t="s">
        <v>5539</v>
      </c>
      <c r="E1062" s="15" t="s">
        <v>5539</v>
      </c>
      <c r="F1062" s="58" t="s">
        <v>807</v>
      </c>
      <c r="G1062" s="66" t="s">
        <v>98</v>
      </c>
      <c r="H1062" s="18" t="s">
        <v>5542</v>
      </c>
      <c r="I1062" s="18" t="s">
        <v>8405</v>
      </c>
      <c r="J1062" s="18" t="s">
        <v>98</v>
      </c>
      <c r="K1062" s="18" t="s">
        <v>98</v>
      </c>
      <c r="L1062" s="18" t="s">
        <v>98</v>
      </c>
      <c r="M1062" s="18" t="s">
        <v>98</v>
      </c>
      <c r="N1062" s="18" t="s">
        <v>98</v>
      </c>
      <c r="O1062" s="18" t="s">
        <v>98</v>
      </c>
      <c r="P1062" s="15" t="str">
        <f t="shared" si="1"/>
        <v>VERIFY</v>
      </c>
      <c r="Q1062" s="15">
        <f t="shared" si="2"/>
        <v>3</v>
      </c>
      <c r="R1062" s="15">
        <f t="shared" si="3"/>
        <v>2</v>
      </c>
      <c r="S1062" s="15">
        <f t="shared" si="4"/>
        <v>4</v>
      </c>
      <c r="T1062" s="15" t="str">
        <f t="shared" si="5"/>
        <v>C-3</v>
      </c>
      <c r="U1062" s="15" t="str">
        <f t="shared" si="6"/>
        <v>T3-M2-H4-FC-3-VERIFY</v>
      </c>
      <c r="V1062" s="15">
        <f t="shared" si="7"/>
        <v>0</v>
      </c>
      <c r="W1062" s="31"/>
      <c r="X1062" s="15" t="str">
        <f t="shared" si="8"/>
        <v>kadur</v>
      </c>
      <c r="Y1062" s="32" t="str">
        <f t="shared" si="9"/>
        <v>https://steelmanufacturer.in/market-area/electropolished-pipes-manufacturer-in-kadur/</v>
      </c>
      <c r="Z1062" s="15" t="str">
        <f t="shared" si="10"/>
        <v>Electropolished Pipes Manufacturer in Kadur | EP Tube Supplier</v>
      </c>
      <c r="AA1062" s="15" t="str">
        <f t="shared" si="11"/>
        <v>OK (62)</v>
      </c>
      <c r="AB1062" s="15" t="str">
        <f t="shared" si="12"/>
        <v>Electropolished tube supply to KIADB Industrial Area, Kadur. Ra from 0.25 um, SF4 finish, mill test certificate with every lot.</v>
      </c>
      <c r="AC1062" s="15" t="str">
        <f t="shared" si="13"/>
        <v>PENDING RESEARCH</v>
      </c>
      <c r="AD1062" s="15" t="str">
        <f t="shared" si="14"/>
        <v>Electropolished Pipes Manufacturer in Kadur</v>
      </c>
      <c r="AE1062" s="15" t="str">
        <f t="shared" si="15"/>
        <v>Manufacturing Electropolished SS Tube for Kadur: The Standards We Build To</v>
      </c>
      <c r="AF1062" s="15" t="str">
        <f t="shared" si="16"/>
        <v>Electropolished Pipe Supply Into Kadur - Certification &amp; Transit</v>
      </c>
      <c r="AG1062" s="15" t="str">
        <f t="shared" si="17"/>
        <v>Electropolished Pipes Wholesaler in Kadur - Project Quantities &amp; Terms</v>
      </c>
      <c r="AH1062" s="15" t="str">
        <f t="shared" si="18"/>
        <v>electropolished pipes manufacturer in Kadur, electropolished pipes supplier in Kadur, electropolished pipes wholesaler in Kadur, electropolished tube manufacturer Kadur, EP pipe supplier Kadur, sanitary tube supplier Kadur, ASME BPE tubing Kadur, ASTM A270 tube Kadur, SS 316L electropolished pipe Kadur</v>
      </c>
      <c r="AI1062" s="15" t="str">
        <f t="shared" si="19"/>
        <v>Electropolished Pipes Manufacturer &amp; Supplier in Kadur</v>
      </c>
      <c r="AJ1062" s="15" t="str">
        <f t="shared" si="20"/>
        <v>EP-finished SS 304/316L pipes and tubes for VERIFY plants in Kadur. ASME BPE SF1-SF4, Ra from 0.25 um, EN 10204 3.1 certificate with every lot.</v>
      </c>
      <c r="AK1062" s="15" t="str">
        <f t="shared" si="21"/>
        <v>Electropolished stainless steel pipes supplied by Sakshi Forge to VERIFY plants at KIADB Industrial Area, Kadur</v>
      </c>
      <c r="AL1062" s="15" t="str">
        <f t="shared" si="22"/>
        <v>Electropolished SS 316L tube stock for Kadur - Sakshi Forge</v>
      </c>
      <c r="AM1062" s="15" t="str">
        <f t="shared" si="23"/>
        <v>Home &gt; Market Area &gt; India &gt; Karnataka &gt; Kadur</v>
      </c>
      <c r="AN1062" s="15">
        <f t="shared" si="24"/>
        <v>750</v>
      </c>
      <c r="AO1062" s="15">
        <f t="shared" si="25"/>
        <v>6</v>
      </c>
      <c r="AP1062" s="15">
        <f t="shared" si="26"/>
        <v>6</v>
      </c>
      <c r="AQ1062" s="15">
        <f t="shared" si="27"/>
        <v>18</v>
      </c>
      <c r="AR1062" s="31"/>
      <c r="AS1062" s="31"/>
      <c r="AT1062" s="35" t="s">
        <v>222</v>
      </c>
      <c r="AU1062" s="35"/>
    </row>
    <row r="1063" ht="15.75" customHeight="1">
      <c r="A1063" s="15" t="s">
        <v>5543</v>
      </c>
      <c r="B1063" s="15" t="s">
        <v>60</v>
      </c>
      <c r="C1063" s="15" t="s">
        <v>424</v>
      </c>
      <c r="D1063" s="15" t="s">
        <v>5544</v>
      </c>
      <c r="E1063" s="15" t="s">
        <v>5544</v>
      </c>
      <c r="F1063" s="58" t="s">
        <v>807</v>
      </c>
      <c r="G1063" s="66" t="s">
        <v>98</v>
      </c>
      <c r="H1063" s="18" t="s">
        <v>5546</v>
      </c>
      <c r="I1063" s="18" t="s">
        <v>8406</v>
      </c>
      <c r="J1063" s="18" t="s">
        <v>98</v>
      </c>
      <c r="K1063" s="18" t="s">
        <v>98</v>
      </c>
      <c r="L1063" s="18" t="s">
        <v>98</v>
      </c>
      <c r="M1063" s="18" t="s">
        <v>98</v>
      </c>
      <c r="N1063" s="18" t="s">
        <v>98</v>
      </c>
      <c r="O1063" s="18" t="s">
        <v>98</v>
      </c>
      <c r="P1063" s="15" t="str">
        <f t="shared" si="1"/>
        <v>VERIFY</v>
      </c>
      <c r="Q1063" s="15">
        <f t="shared" si="2"/>
        <v>4</v>
      </c>
      <c r="R1063" s="15">
        <f t="shared" si="3"/>
        <v>3</v>
      </c>
      <c r="S1063" s="15">
        <f t="shared" si="4"/>
        <v>5</v>
      </c>
      <c r="T1063" s="15" t="str">
        <f t="shared" si="5"/>
        <v>C-4</v>
      </c>
      <c r="U1063" s="15" t="str">
        <f t="shared" si="6"/>
        <v>T4-M3-H5-FC-4-VERIFY</v>
      </c>
      <c r="V1063" s="15">
        <f t="shared" si="7"/>
        <v>0</v>
      </c>
      <c r="W1063" s="31"/>
      <c r="X1063" s="15" t="str">
        <f t="shared" si="8"/>
        <v>kakatpur</v>
      </c>
      <c r="Y1063" s="32" t="str">
        <f t="shared" si="9"/>
        <v>https://steelmanufacturer.in/market-area/electropolished-pipes-manufacturer-in-kakatpur/</v>
      </c>
      <c r="Z1063" s="15" t="str">
        <f t="shared" si="10"/>
        <v>Electropolished Pipes Manufacturer in Kakatpur</v>
      </c>
      <c r="AA1063" s="15" t="str">
        <f t="shared" si="11"/>
        <v>OK (46)</v>
      </c>
      <c r="AB1063" s="15" t="str">
        <f t="shared" si="12"/>
        <v>EP stainless tube for VERIFY lines in Kakatpur. VERIFY. ASTM A270 S2, PMI tested, EN 10204 3.1.</v>
      </c>
      <c r="AC1063" s="15" t="str">
        <f t="shared" si="13"/>
        <v>PENDING RESEARCH</v>
      </c>
      <c r="AD1063" s="15" t="str">
        <f t="shared" si="14"/>
        <v>Electropolished Pipes Manufacturer in Kakatpur</v>
      </c>
      <c r="AE1063" s="15" t="str">
        <f t="shared" si="15"/>
        <v>Electropolished Tube Manufacturing Capability Serving Kakatpur</v>
      </c>
      <c r="AF1063" s="15" t="str">
        <f t="shared" si="16"/>
        <v>Electropolished Pipes Supplier in Kakatpur - From Order to Delivery</v>
      </c>
      <c r="AG1063" s="15" t="str">
        <f t="shared" si="17"/>
        <v>Stockist &amp; Wholesale Supply of Electropolished Pipes in Kakatpur</v>
      </c>
      <c r="AH1063" s="15" t="str">
        <f t="shared" si="18"/>
        <v>electropolished pipes manufacturer in Kakatpur, electropolished pipes supplier in Kakatpur, electropolished pipes wholesaler in Kakatpur, electropolished tube manufacturer Kakatpur, EP pipe supplier Kakatpur, sanitary tube supplier Kakatpur, ASME BPE tubing Kakatpur, ASTM A270 tube Kakatpur, SS 316L electropolished pipe Kakatpur</v>
      </c>
      <c r="AI1063" s="15" t="str">
        <f t="shared" si="19"/>
        <v>Electropolished Pipes Manufacturer &amp; Supplier in Kakatpur</v>
      </c>
      <c r="AJ1063" s="15" t="str">
        <f t="shared" si="20"/>
        <v>EP-finished SS 304/316L pipes and tubes for VERIFY plants in Kakatpur. ASME BPE SF1-SF4, Ra from 0.25 um, EN 10204 3.1 certificate with every lot.</v>
      </c>
      <c r="AK1063" s="15" t="str">
        <f t="shared" si="21"/>
        <v>Electropolished stainless steel pipes supplied by Sakshi Forge to VERIFY plants at IDCO Industrial Area, Kakatpur</v>
      </c>
      <c r="AL1063" s="15" t="str">
        <f t="shared" si="22"/>
        <v>Electropolished SS 316L tube stock for Kakatpur - Sakshi Forge</v>
      </c>
      <c r="AM1063" s="15" t="str">
        <f t="shared" si="23"/>
        <v>Home &gt; Market Area &gt; India &gt; Odisha &gt; Kakatpur</v>
      </c>
      <c r="AN1063" s="15">
        <f t="shared" si="24"/>
        <v>750</v>
      </c>
      <c r="AO1063" s="15">
        <f t="shared" si="25"/>
        <v>6</v>
      </c>
      <c r="AP1063" s="15">
        <f t="shared" si="26"/>
        <v>6</v>
      </c>
      <c r="AQ1063" s="15">
        <f t="shared" si="27"/>
        <v>18</v>
      </c>
      <c r="AR1063" s="31"/>
      <c r="AS1063" s="31"/>
      <c r="AT1063" s="35" t="s">
        <v>222</v>
      </c>
      <c r="AU1063" s="35"/>
    </row>
    <row r="1064" ht="15.75" customHeight="1">
      <c r="A1064" s="15" t="s">
        <v>5547</v>
      </c>
      <c r="B1064" s="15" t="s">
        <v>60</v>
      </c>
      <c r="C1064" s="15" t="s">
        <v>245</v>
      </c>
      <c r="D1064" s="15" t="s">
        <v>5548</v>
      </c>
      <c r="E1064" s="15" t="s">
        <v>5548</v>
      </c>
      <c r="F1064" s="58" t="s">
        <v>807</v>
      </c>
      <c r="G1064" s="66" t="s">
        <v>98</v>
      </c>
      <c r="H1064" s="18" t="s">
        <v>5550</v>
      </c>
      <c r="I1064" s="18" t="s">
        <v>8407</v>
      </c>
      <c r="J1064" s="18" t="s">
        <v>98</v>
      </c>
      <c r="K1064" s="18" t="s">
        <v>98</v>
      </c>
      <c r="L1064" s="18" t="s">
        <v>98</v>
      </c>
      <c r="M1064" s="18" t="s">
        <v>98</v>
      </c>
      <c r="N1064" s="18" t="s">
        <v>98</v>
      </c>
      <c r="O1064" s="18" t="s">
        <v>98</v>
      </c>
      <c r="P1064" s="15" t="str">
        <f t="shared" si="1"/>
        <v>VERIFY</v>
      </c>
      <c r="Q1064" s="15">
        <f t="shared" si="2"/>
        <v>5</v>
      </c>
      <c r="R1064" s="15">
        <f t="shared" si="3"/>
        <v>4</v>
      </c>
      <c r="S1064" s="15">
        <f t="shared" si="4"/>
        <v>1</v>
      </c>
      <c r="T1064" s="15" t="str">
        <f t="shared" si="5"/>
        <v>C-5</v>
      </c>
      <c r="U1064" s="15" t="str">
        <f t="shared" si="6"/>
        <v>T5-M4-H1-FC-5-VERIFY</v>
      </c>
      <c r="V1064" s="15">
        <f t="shared" si="7"/>
        <v>0</v>
      </c>
      <c r="W1064" s="31"/>
      <c r="X1064" s="15" t="str">
        <f t="shared" si="8"/>
        <v>kalanaur</v>
      </c>
      <c r="Y1064" s="32" t="str">
        <f t="shared" si="9"/>
        <v>https://steelmanufacturer.in/market-area/electropolished-pipes-manufacturer-in-kalanaur/</v>
      </c>
      <c r="Z1064" s="15" t="str">
        <f t="shared" si="10"/>
        <v>Electropolished Pipes Manufacturer in Kalanaur</v>
      </c>
      <c r="AA1064" s="15" t="str">
        <f t="shared" si="11"/>
        <v>OK (46)</v>
      </c>
      <c r="AB1064" s="15" t="str">
        <f t="shared" si="12"/>
        <v>Sanitary electropolished pipes in Kalanaur for VERIFY plants. ASME BPE SF1-SF4, orbital-weld ready, 3.1 MTC. Mumbai-made.</v>
      </c>
      <c r="AC1064" s="15" t="str">
        <f t="shared" si="13"/>
        <v>PENDING RESEARCH</v>
      </c>
      <c r="AD1064" s="15" t="str">
        <f t="shared" si="14"/>
        <v>Electropolished Pipes Manufacturer in Kalanaur</v>
      </c>
      <c r="AE1064" s="15" t="str">
        <f t="shared" si="15"/>
        <v>Electropolished Pipe &amp; Tube Manufacturing for Kalanaur - Grades, Finishes &amp; Certification</v>
      </c>
      <c r="AF1064" s="15" t="str">
        <f t="shared" si="16"/>
        <v>Electropolished Pipes Supplier in Kalanaur - Stock Sizes, Lead Time &amp; Delivery</v>
      </c>
      <c r="AG1064" s="15" t="str">
        <f t="shared" si="17"/>
        <v>Electropolished Pipes Wholesaler &amp; Stockist in Kalanaur - Bulk &amp; Project Pricing</v>
      </c>
      <c r="AH1064" s="15" t="str">
        <f t="shared" si="18"/>
        <v>electropolished pipes manufacturer in Kalanaur, electropolished pipes supplier in Kalanaur, electropolished pipes wholesaler in Kalanaur, electropolished tube manufacturer Kalanaur, EP pipe supplier Kalanaur, sanitary tube supplier Kalanaur, ASME BPE tubing Kalanaur, ASTM A270 tube Kalanaur, SS 316L electropolished pipe Kalanaur</v>
      </c>
      <c r="AI1064" s="15" t="str">
        <f t="shared" si="19"/>
        <v>Electropolished Pipes Manufacturer &amp; Supplier in Kalanaur</v>
      </c>
      <c r="AJ1064" s="15" t="str">
        <f t="shared" si="20"/>
        <v>EP-finished SS 304/316L pipes and tubes for VERIFY plants in Kalanaur. ASME BPE SF1-SF4, Ra from 0.25 um, EN 10204 3.1 certificate with every lot.</v>
      </c>
      <c r="AK1064" s="15" t="str">
        <f t="shared" si="21"/>
        <v>Electropolished stainless steel pipes supplied by Sakshi Forge to VERIFY plants at HSIIDC Industrial Area, Kalanaur</v>
      </c>
      <c r="AL1064" s="15" t="str">
        <f t="shared" si="22"/>
        <v>Electropolished SS 316L tube stock for Kalanaur - Sakshi Forge</v>
      </c>
      <c r="AM1064" s="15" t="str">
        <f t="shared" si="23"/>
        <v>Home &gt; Market Area &gt; India &gt; Haryana &gt; Kalanaur</v>
      </c>
      <c r="AN1064" s="15">
        <f t="shared" si="24"/>
        <v>750</v>
      </c>
      <c r="AO1064" s="15">
        <f t="shared" si="25"/>
        <v>6</v>
      </c>
      <c r="AP1064" s="15">
        <f t="shared" si="26"/>
        <v>6</v>
      </c>
      <c r="AQ1064" s="15">
        <f t="shared" si="27"/>
        <v>18</v>
      </c>
      <c r="AR1064" s="31"/>
      <c r="AS1064" s="31"/>
      <c r="AT1064" s="35" t="s">
        <v>222</v>
      </c>
      <c r="AU1064" s="35"/>
    </row>
    <row r="1065" ht="15.75" customHeight="1">
      <c r="A1065" s="15" t="s">
        <v>5551</v>
      </c>
      <c r="B1065" s="15" t="s">
        <v>60</v>
      </c>
      <c r="C1065" s="15" t="s">
        <v>245</v>
      </c>
      <c r="D1065" s="15" t="s">
        <v>5552</v>
      </c>
      <c r="E1065" s="15" t="s">
        <v>5552</v>
      </c>
      <c r="F1065" s="58" t="s">
        <v>807</v>
      </c>
      <c r="G1065" s="66" t="s">
        <v>98</v>
      </c>
      <c r="H1065" s="18" t="s">
        <v>5554</v>
      </c>
      <c r="I1065" s="18" t="s">
        <v>8407</v>
      </c>
      <c r="J1065" s="18" t="s">
        <v>98</v>
      </c>
      <c r="K1065" s="18" t="s">
        <v>98</v>
      </c>
      <c r="L1065" s="18" t="s">
        <v>98</v>
      </c>
      <c r="M1065" s="18" t="s">
        <v>98</v>
      </c>
      <c r="N1065" s="18" t="s">
        <v>98</v>
      </c>
      <c r="O1065" s="18" t="s">
        <v>98</v>
      </c>
      <c r="P1065" s="15" t="str">
        <f t="shared" si="1"/>
        <v>VERIFY</v>
      </c>
      <c r="Q1065" s="15">
        <f t="shared" si="2"/>
        <v>6</v>
      </c>
      <c r="R1065" s="15">
        <f t="shared" si="3"/>
        <v>5</v>
      </c>
      <c r="S1065" s="15">
        <f t="shared" si="4"/>
        <v>2</v>
      </c>
      <c r="T1065" s="15" t="str">
        <f t="shared" si="5"/>
        <v>C-6</v>
      </c>
      <c r="U1065" s="15" t="str">
        <f t="shared" si="6"/>
        <v>T6-M5-H2-FC-6-VERIFY</v>
      </c>
      <c r="V1065" s="15">
        <f t="shared" si="7"/>
        <v>0</v>
      </c>
      <c r="W1065" s="31"/>
      <c r="X1065" s="15" t="str">
        <f t="shared" si="8"/>
        <v>kalanwali</v>
      </c>
      <c r="Y1065" s="32" t="str">
        <f t="shared" si="9"/>
        <v>https://steelmanufacturer.in/market-area/electropolished-pipes-manufacturer-in-kalanwali/</v>
      </c>
      <c r="Z1065" s="15" t="str">
        <f t="shared" si="10"/>
        <v>Electropolished Pipes Manufacturer in Kalanwali</v>
      </c>
      <c r="AA1065" s="15" t="str">
        <f t="shared" si="11"/>
        <v>OK (47)</v>
      </c>
      <c r="AB1065" s="15" t="str">
        <f t="shared" si="12"/>
        <v>Manufacturer of electropolished SS 316L tube serving Kalanwali. VERIFY. Ra 0.25-0.5 um, EN 10204 3.1 MTC.</v>
      </c>
      <c r="AC1065" s="15" t="str">
        <f t="shared" si="13"/>
        <v>PENDING RESEARCH</v>
      </c>
      <c r="AD1065" s="15" t="str">
        <f t="shared" si="14"/>
        <v>Electropolished Pipes Manufacturer in Kalanwali</v>
      </c>
      <c r="AE1065" s="15" t="str">
        <f t="shared" si="15"/>
        <v>How We Manufacture Electropolished Tube for Kalanwali Plants</v>
      </c>
      <c r="AF1065" s="15" t="str">
        <f t="shared" si="16"/>
        <v>Supplying Electropolished Pipes in Kalanwali: Availability, Sizes &amp; Dispatch</v>
      </c>
      <c r="AG1065" s="15" t="str">
        <f t="shared" si="17"/>
        <v>Wholesale Electropolished Pipe Supply for Kalanwali Projects</v>
      </c>
      <c r="AH1065" s="15" t="str">
        <f t="shared" si="18"/>
        <v>electropolished pipes manufacturer in Kalanwali, electropolished pipes supplier in Kalanwali, electropolished pipes wholesaler in Kalanwali, electropolished tube manufacturer Kalanwali, EP pipe supplier Kalanwali, sanitary tube supplier Kalanwali, ASME BPE tubing Kalanwali, ASTM A270 tube Kalanwali, SS 316L electropolished pipe Kalanwali</v>
      </c>
      <c r="AI1065" s="15" t="str">
        <f t="shared" si="19"/>
        <v>Electropolished Pipes Manufacturer &amp; Supplier in Kalanwali</v>
      </c>
      <c r="AJ1065" s="15" t="str">
        <f t="shared" si="20"/>
        <v>EP-finished SS 304/316L pipes and tubes for VERIFY plants in Kalanwali. ASME BPE SF1-SF4, Ra from 0.25 um, EN 10204 3.1 certificate with every lot.</v>
      </c>
      <c r="AK1065" s="15" t="str">
        <f t="shared" si="21"/>
        <v>Electropolished stainless steel pipes supplied by Sakshi Forge to VERIFY plants at HSIIDC Industrial Area, Kalanwali</v>
      </c>
      <c r="AL1065" s="15" t="str">
        <f t="shared" si="22"/>
        <v>Electropolished SS 316L tube stock for Kalanwali - Sakshi Forge</v>
      </c>
      <c r="AM1065" s="15" t="str">
        <f t="shared" si="23"/>
        <v>Home &gt; Market Area &gt; India &gt; Haryana &gt; Kalanwali</v>
      </c>
      <c r="AN1065" s="15">
        <f t="shared" si="24"/>
        <v>750</v>
      </c>
      <c r="AO1065" s="15">
        <f t="shared" si="25"/>
        <v>6</v>
      </c>
      <c r="AP1065" s="15">
        <f t="shared" si="26"/>
        <v>6</v>
      </c>
      <c r="AQ1065" s="15">
        <f t="shared" si="27"/>
        <v>18</v>
      </c>
      <c r="AR1065" s="31"/>
      <c r="AS1065" s="31"/>
      <c r="AT1065" s="35" t="s">
        <v>222</v>
      </c>
      <c r="AU1065" s="35"/>
    </row>
    <row r="1066" ht="15.75" customHeight="1">
      <c r="A1066" s="15" t="s">
        <v>5555</v>
      </c>
      <c r="B1066" s="15" t="s">
        <v>60</v>
      </c>
      <c r="C1066" s="15" t="s">
        <v>958</v>
      </c>
      <c r="D1066" s="15" t="s">
        <v>5556</v>
      </c>
      <c r="E1066" s="15" t="s">
        <v>5556</v>
      </c>
      <c r="F1066" s="58" t="s">
        <v>807</v>
      </c>
      <c r="G1066" s="66" t="s">
        <v>98</v>
      </c>
      <c r="H1066" s="18" t="s">
        <v>5558</v>
      </c>
      <c r="I1066" s="18" t="s">
        <v>8403</v>
      </c>
      <c r="J1066" s="18" t="s">
        <v>98</v>
      </c>
      <c r="K1066" s="18" t="s">
        <v>98</v>
      </c>
      <c r="L1066" s="18" t="s">
        <v>98</v>
      </c>
      <c r="M1066" s="18" t="s">
        <v>98</v>
      </c>
      <c r="N1066" s="18" t="s">
        <v>98</v>
      </c>
      <c r="O1066" s="18" t="s">
        <v>98</v>
      </c>
      <c r="P1066" s="15" t="str">
        <f t="shared" si="1"/>
        <v>VERIFY</v>
      </c>
      <c r="Q1066" s="15">
        <f t="shared" si="2"/>
        <v>7</v>
      </c>
      <c r="R1066" s="15">
        <f t="shared" si="3"/>
        <v>6</v>
      </c>
      <c r="S1066" s="15">
        <f t="shared" si="4"/>
        <v>3</v>
      </c>
      <c r="T1066" s="15" t="str">
        <f t="shared" si="5"/>
        <v>C-1</v>
      </c>
      <c r="U1066" s="15" t="str">
        <f t="shared" si="6"/>
        <v>T7-M6-H3-FC-1-VERIFY</v>
      </c>
      <c r="V1066" s="15">
        <f t="shared" si="7"/>
        <v>0</v>
      </c>
      <c r="W1066" s="31"/>
      <c r="X1066" s="15" t="str">
        <f t="shared" si="8"/>
        <v>kallakurichi</v>
      </c>
      <c r="Y1066" s="32" t="str">
        <f t="shared" si="9"/>
        <v>https://steelmanufacturer.in/market-area/electropolished-pipes-manufacturer-in-kallakurichi/</v>
      </c>
      <c r="Z1066" s="15" t="str">
        <f t="shared" si="10"/>
        <v>Electropolished Pipes Manufacturer in Kallakurichi</v>
      </c>
      <c r="AA1066" s="15" t="str">
        <f t="shared" si="11"/>
        <v>OK (50)</v>
      </c>
      <c r="AB1066" s="15" t="str">
        <f t="shared" si="12"/>
        <v>EP tube and pipe for VERIFY plants around SIPCOT Industrial Area, Kallakurichi. Made at our Mumbai works to ASTM A270 and ASME BPE SF1-SF4, with 3.1 MTC.</v>
      </c>
      <c r="AC1066" s="15" t="str">
        <f t="shared" si="13"/>
        <v>PENDING RESEARCH</v>
      </c>
      <c r="AD1066" s="15" t="str">
        <f t="shared" si="14"/>
        <v>Electropolished Pipes Manufacturer in Kallakurichi</v>
      </c>
      <c r="AE1066" s="15" t="str">
        <f t="shared" si="15"/>
        <v>Electropolished Pipes Manufacturer in Kallakurichi - Our Process &amp; Capability</v>
      </c>
      <c r="AF1066" s="15" t="str">
        <f t="shared" si="16"/>
        <v>Electropolished Pipes Supplier in Kallakurichi - What We Hold in Stock</v>
      </c>
      <c r="AG1066" s="15" t="str">
        <f t="shared" si="17"/>
        <v>Bulk &amp; Wholesale Electropolished Pipe Rates for Kallakurichi Buyers</v>
      </c>
      <c r="AH1066" s="15" t="str">
        <f t="shared" si="18"/>
        <v>electropolished pipes manufacturer in Kallakurichi, electropolished pipes supplier in Kallakurichi, electropolished pipes wholesaler in Kallakurichi, electropolished tube manufacturer Kallakurichi, EP pipe supplier Kallakurichi, sanitary tube supplier Kallakurichi, ASME BPE tubing Kallakurichi, ASTM A270 tube Kallakurichi, SS 316L electropolished pipe Kallakurichi</v>
      </c>
      <c r="AI1066" s="15" t="str">
        <f t="shared" si="19"/>
        <v>Electropolished Pipes Manufacturer &amp; Supplier in Kallakurichi</v>
      </c>
      <c r="AJ1066" s="15" t="str">
        <f t="shared" si="20"/>
        <v>EP-finished SS 304/316L pipes and tubes for VERIFY plants in Kallakurichi. ASME BPE SF1-SF4, Ra from 0.25 um, EN 10204 3.1 certificate with every lot.</v>
      </c>
      <c r="AK1066" s="15" t="str">
        <f t="shared" si="21"/>
        <v>Electropolished stainless steel pipes supplied by Sakshi Forge to VERIFY plants at SIPCOT Industrial Area, Kallakurichi</v>
      </c>
      <c r="AL1066" s="15" t="str">
        <f t="shared" si="22"/>
        <v>Electropolished SS 316L tube stock for Kallakurichi - Sakshi Forge</v>
      </c>
      <c r="AM1066" s="15" t="str">
        <f t="shared" si="23"/>
        <v>Home &gt; Market Area &gt; India &gt; Tamil Nadu &gt; Kallakurichi</v>
      </c>
      <c r="AN1066" s="15">
        <f t="shared" si="24"/>
        <v>750</v>
      </c>
      <c r="AO1066" s="15">
        <f t="shared" si="25"/>
        <v>6</v>
      </c>
      <c r="AP1066" s="15">
        <f t="shared" si="26"/>
        <v>6</v>
      </c>
      <c r="AQ1066" s="15">
        <f t="shared" si="27"/>
        <v>18</v>
      </c>
      <c r="AR1066" s="31"/>
      <c r="AS1066" s="31"/>
      <c r="AT1066" s="35" t="s">
        <v>222</v>
      </c>
      <c r="AU1066" s="35"/>
    </row>
    <row r="1067" ht="15.75" customHeight="1">
      <c r="A1067" s="15" t="s">
        <v>5559</v>
      </c>
      <c r="B1067" s="15" t="s">
        <v>60</v>
      </c>
      <c r="C1067" s="15" t="s">
        <v>1165</v>
      </c>
      <c r="D1067" s="15" t="s">
        <v>5560</v>
      </c>
      <c r="E1067" s="15" t="s">
        <v>5560</v>
      </c>
      <c r="F1067" s="58" t="s">
        <v>807</v>
      </c>
      <c r="G1067" s="66" t="s">
        <v>98</v>
      </c>
      <c r="H1067" s="18" t="s">
        <v>5562</v>
      </c>
      <c r="I1067" s="18" t="s">
        <v>8404</v>
      </c>
      <c r="J1067" s="18" t="s">
        <v>98</v>
      </c>
      <c r="K1067" s="18" t="s">
        <v>98</v>
      </c>
      <c r="L1067" s="18" t="s">
        <v>98</v>
      </c>
      <c r="M1067" s="18" t="s">
        <v>98</v>
      </c>
      <c r="N1067" s="18" t="s">
        <v>98</v>
      </c>
      <c r="O1067" s="18" t="s">
        <v>98</v>
      </c>
      <c r="P1067" s="15" t="str">
        <f t="shared" si="1"/>
        <v>VERIFY</v>
      </c>
      <c r="Q1067" s="15">
        <f t="shared" si="2"/>
        <v>8</v>
      </c>
      <c r="R1067" s="15">
        <f t="shared" si="3"/>
        <v>7</v>
      </c>
      <c r="S1067" s="15">
        <f t="shared" si="4"/>
        <v>4</v>
      </c>
      <c r="T1067" s="15" t="str">
        <f t="shared" si="5"/>
        <v>C-2</v>
      </c>
      <c r="U1067" s="15" t="str">
        <f t="shared" si="6"/>
        <v>T8-M7-H4-FC-2-VERIFY</v>
      </c>
      <c r="V1067" s="15">
        <f t="shared" si="7"/>
        <v>0</v>
      </c>
      <c r="W1067" s="31"/>
      <c r="X1067" s="15" t="str">
        <f t="shared" si="8"/>
        <v>kalna</v>
      </c>
      <c r="Y1067" s="32" t="str">
        <f t="shared" si="9"/>
        <v>https://steelmanufacturer.in/market-area/electropolished-pipes-manufacturer-in-kalna/</v>
      </c>
      <c r="Z1067" s="15" t="str">
        <f t="shared" si="10"/>
        <v>Electropolished Pipes Manufacturer in Kalna - EP Tube Stockist</v>
      </c>
      <c r="AA1067" s="15" t="str">
        <f t="shared" si="11"/>
        <v>OK (62)</v>
      </c>
      <c r="AB1067" s="15" t="str">
        <f t="shared" si="12"/>
        <v>Electropolished pipes in Kalna: 304, 304L, 316 and 316L in SF1-SF4. VERIFY. Mill certified.</v>
      </c>
      <c r="AC1067" s="15" t="str">
        <f t="shared" si="13"/>
        <v>PENDING RESEARCH</v>
      </c>
      <c r="AD1067" s="15" t="str">
        <f t="shared" si="14"/>
        <v>Electropolished Pipes Manufacturer in Kalna</v>
      </c>
      <c r="AE1067" s="15" t="str">
        <f t="shared" si="15"/>
        <v>Manufacturing Electropolished SS Tube for Kalna: The Standards We Build To</v>
      </c>
      <c r="AF1067" s="15" t="str">
        <f t="shared" si="16"/>
        <v>Electropolished Pipe Supply Into Kalna - Certification &amp; Transit</v>
      </c>
      <c r="AG1067" s="15" t="str">
        <f t="shared" si="17"/>
        <v>Electropolished Pipes Wholesaler in Kalna - Project Quantities &amp; Terms</v>
      </c>
      <c r="AH1067" s="15" t="str">
        <f t="shared" si="18"/>
        <v>electropolished pipes manufacturer in Kalna, electropolished pipes supplier in Kalna, electropolished pipes wholesaler in Kalna, electropolished tube manufacturer Kalna, EP pipe supplier Kalna, sanitary tube supplier Kalna, ASME BPE tubing Kalna, ASTM A270 tube Kalna, SS 316L electropolished pipe Kalna</v>
      </c>
      <c r="AI1067" s="15" t="str">
        <f t="shared" si="19"/>
        <v>Electropolished Pipes Manufacturer &amp; Supplier in Kalna</v>
      </c>
      <c r="AJ1067" s="15" t="str">
        <f t="shared" si="20"/>
        <v>EP-finished SS 304/316L pipes and tubes for VERIFY plants in Kalna. ASME BPE SF1-SF4, Ra from 0.25 um, EN 10204 3.1 certificate with every lot.</v>
      </c>
      <c r="AK1067" s="15" t="str">
        <f t="shared" si="21"/>
        <v>Electropolished stainless steel pipes supplied by Sakshi Forge to VERIFY plants at WBIDC Industrial Area, Kalna</v>
      </c>
      <c r="AL1067" s="15" t="str">
        <f t="shared" si="22"/>
        <v>Electropolished SS 316L tube stock for Kalna - Sakshi Forge</v>
      </c>
      <c r="AM1067" s="15" t="str">
        <f t="shared" si="23"/>
        <v>Home &gt; Market Area &gt; India &gt; West Bengal &gt; Kalna</v>
      </c>
      <c r="AN1067" s="15">
        <f t="shared" si="24"/>
        <v>750</v>
      </c>
      <c r="AO1067" s="15">
        <f t="shared" si="25"/>
        <v>6</v>
      </c>
      <c r="AP1067" s="15">
        <f t="shared" si="26"/>
        <v>6</v>
      </c>
      <c r="AQ1067" s="15">
        <f t="shared" si="27"/>
        <v>18</v>
      </c>
      <c r="AR1067" s="31"/>
      <c r="AS1067" s="31"/>
      <c r="AT1067" s="35" t="s">
        <v>222</v>
      </c>
      <c r="AU1067" s="35"/>
    </row>
    <row r="1068" ht="15.75" customHeight="1">
      <c r="A1068" s="15" t="s">
        <v>5563</v>
      </c>
      <c r="B1068" s="15" t="s">
        <v>60</v>
      </c>
      <c r="C1068" s="15" t="s">
        <v>1165</v>
      </c>
      <c r="D1068" s="15" t="s">
        <v>5564</v>
      </c>
      <c r="E1068" s="15" t="s">
        <v>5564</v>
      </c>
      <c r="F1068" s="58" t="s">
        <v>807</v>
      </c>
      <c r="G1068" s="66" t="s">
        <v>98</v>
      </c>
      <c r="H1068" s="18" t="s">
        <v>5566</v>
      </c>
      <c r="I1068" s="18" t="s">
        <v>8404</v>
      </c>
      <c r="J1068" s="18" t="s">
        <v>98</v>
      </c>
      <c r="K1068" s="18" t="s">
        <v>98</v>
      </c>
      <c r="L1068" s="18" t="s">
        <v>98</v>
      </c>
      <c r="M1068" s="18" t="s">
        <v>98</v>
      </c>
      <c r="N1068" s="18" t="s">
        <v>98</v>
      </c>
      <c r="O1068" s="18" t="s">
        <v>98</v>
      </c>
      <c r="P1068" s="15" t="str">
        <f t="shared" si="1"/>
        <v>VERIFY</v>
      </c>
      <c r="Q1068" s="15">
        <f t="shared" si="2"/>
        <v>1</v>
      </c>
      <c r="R1068" s="15">
        <f t="shared" si="3"/>
        <v>1</v>
      </c>
      <c r="S1068" s="15">
        <f t="shared" si="4"/>
        <v>5</v>
      </c>
      <c r="T1068" s="15" t="str">
        <f t="shared" si="5"/>
        <v>C-3</v>
      </c>
      <c r="U1068" s="15" t="str">
        <f t="shared" si="6"/>
        <v>T1-M1-H5-FC-3-VERIFY</v>
      </c>
      <c r="V1068" s="15">
        <f t="shared" si="7"/>
        <v>0</v>
      </c>
      <c r="W1068" s="31"/>
      <c r="X1068" s="15" t="str">
        <f t="shared" si="8"/>
        <v>kalyani-extn</v>
      </c>
      <c r="Y1068" s="32" t="str">
        <f t="shared" si="9"/>
        <v>https://steelmanufacturer.in/market-area/electropolished-pipes-manufacturer-in-kalyani-extn/</v>
      </c>
      <c r="Z1068" s="15" t="str">
        <f t="shared" si="10"/>
        <v>Electropolished Pipes Manufacturer in Kalyani-Extn | Sakshi Forge</v>
      </c>
      <c r="AA1068" s="15" t="str">
        <f t="shared" si="11"/>
        <v>OK (65)</v>
      </c>
      <c r="AB1068" s="15" t="str">
        <f t="shared" si="12"/>
        <v>EP-finished SS 304/316L pipes &amp; tubes for VERIFY plants in Kalyani-Extn. ASTM A270, ASME BPE SF1-SF4, EN 10204 3.1 MTC. PMI tested.</v>
      </c>
      <c r="AC1068" s="15" t="str">
        <f t="shared" si="13"/>
        <v>PENDING RESEARCH</v>
      </c>
      <c r="AD1068" s="15" t="str">
        <f t="shared" si="14"/>
        <v>Electropolished Pipes Manufacturer in Kalyani-Extn</v>
      </c>
      <c r="AE1068" s="15" t="str">
        <f t="shared" si="15"/>
        <v>Electropolished Tube Manufacturing Capability Serving Kalyani-Extn</v>
      </c>
      <c r="AF1068" s="15" t="str">
        <f t="shared" si="16"/>
        <v>Electropolished Pipes Supplier in Kalyani-Extn - From Order to Delivery</v>
      </c>
      <c r="AG1068" s="15" t="str">
        <f t="shared" si="17"/>
        <v>Stockist &amp; Wholesale Supply of Electropolished Pipes in Kalyani-Extn</v>
      </c>
      <c r="AH1068" s="15" t="str">
        <f t="shared" si="18"/>
        <v>electropolished pipes manufacturer in Kalyani-Extn, electropolished pipes supplier in Kalyani-Extn, electropolished pipes wholesaler in Kalyani-Extn, electropolished tube manufacturer Kalyani-Extn, EP pipe supplier Kalyani-Extn, sanitary tube supplier Kalyani-Extn, ASME BPE tubing Kalyani-Extn, ASTM A270 tube Kalyani-Extn, SS 316L electropolished pipe Kalyani-Extn</v>
      </c>
      <c r="AI1068" s="15" t="str">
        <f t="shared" si="19"/>
        <v>Electropolished Pipes Manufacturer &amp; Supplier in Kalyani-Extn</v>
      </c>
      <c r="AJ1068" s="15" t="str">
        <f t="shared" si="20"/>
        <v>EP-finished SS 304/316L pipes and tubes for VERIFY plants in Kalyani-Extn. ASME BPE SF1-SF4, Ra from 0.25 um, EN 10204 3.1 certificate with every lot.</v>
      </c>
      <c r="AK1068" s="15" t="str">
        <f t="shared" si="21"/>
        <v>Electropolished stainless steel pipes supplied by Sakshi Forge to VERIFY plants at WBIDC Industrial Area, Kalyani-Extn</v>
      </c>
      <c r="AL1068" s="15" t="str">
        <f t="shared" si="22"/>
        <v>Electropolished SS 316L tube stock for Kalyani-Extn - Sakshi Forge</v>
      </c>
      <c r="AM1068" s="15" t="str">
        <f t="shared" si="23"/>
        <v>Home &gt; Market Area &gt; India &gt; West Bengal &gt; Kalyani-Extn</v>
      </c>
      <c r="AN1068" s="15">
        <f t="shared" si="24"/>
        <v>750</v>
      </c>
      <c r="AO1068" s="15">
        <f t="shared" si="25"/>
        <v>6</v>
      </c>
      <c r="AP1068" s="15">
        <f t="shared" si="26"/>
        <v>6</v>
      </c>
      <c r="AQ1068" s="15">
        <f t="shared" si="27"/>
        <v>18</v>
      </c>
      <c r="AR1068" s="31"/>
      <c r="AS1068" s="31"/>
      <c r="AT1068" s="35" t="s">
        <v>222</v>
      </c>
      <c r="AU1068" s="35"/>
    </row>
    <row r="1069" ht="15.75" customHeight="1">
      <c r="A1069" s="15" t="s">
        <v>5567</v>
      </c>
      <c r="B1069" s="15" t="s">
        <v>60</v>
      </c>
      <c r="C1069" s="15" t="s">
        <v>1312</v>
      </c>
      <c r="D1069" s="15" t="s">
        <v>5568</v>
      </c>
      <c r="E1069" s="15" t="s">
        <v>5568</v>
      </c>
      <c r="F1069" s="58" t="s">
        <v>807</v>
      </c>
      <c r="G1069" s="66" t="s">
        <v>98</v>
      </c>
      <c r="H1069" s="18" t="s">
        <v>5570</v>
      </c>
      <c r="I1069" s="18" t="s">
        <v>8392</v>
      </c>
      <c r="J1069" s="18" t="s">
        <v>98</v>
      </c>
      <c r="K1069" s="18" t="s">
        <v>98</v>
      </c>
      <c r="L1069" s="18" t="s">
        <v>98</v>
      </c>
      <c r="M1069" s="18" t="s">
        <v>98</v>
      </c>
      <c r="N1069" s="18" t="s">
        <v>98</v>
      </c>
      <c r="O1069" s="18" t="s">
        <v>98</v>
      </c>
      <c r="P1069" s="15" t="str">
        <f t="shared" si="1"/>
        <v>VERIFY</v>
      </c>
      <c r="Q1069" s="15">
        <f t="shared" si="2"/>
        <v>2</v>
      </c>
      <c r="R1069" s="15">
        <f t="shared" si="3"/>
        <v>2</v>
      </c>
      <c r="S1069" s="15">
        <f t="shared" si="4"/>
        <v>1</v>
      </c>
      <c r="T1069" s="15" t="str">
        <f t="shared" si="5"/>
        <v>C-4</v>
      </c>
      <c r="U1069" s="15" t="str">
        <f t="shared" si="6"/>
        <v>T2-M2-H1-FC-4-VERIFY</v>
      </c>
      <c r="V1069" s="15">
        <f t="shared" si="7"/>
        <v>0</v>
      </c>
      <c r="W1069" s="31"/>
      <c r="X1069" s="15" t="str">
        <f t="shared" si="8"/>
        <v>kamareddy</v>
      </c>
      <c r="Y1069" s="32" t="str">
        <f t="shared" si="9"/>
        <v>https://steelmanufacturer.in/market-area/electropolished-pipes-manufacturer-in-kamareddy/</v>
      </c>
      <c r="Z1069" s="15" t="str">
        <f t="shared" si="10"/>
        <v>Electropolished Pipes Manufacturer in Kamareddy</v>
      </c>
      <c r="AA1069" s="15" t="str">
        <f t="shared" si="11"/>
        <v>OK (47)</v>
      </c>
      <c r="AB1069" s="15" t="str">
        <f t="shared" si="12"/>
        <v>Electropolished tube supply to TSIIC Industrial Area, Kamareddy. Ra from 0.25 um, SF4 finish, mill test certificate with every lot.</v>
      </c>
      <c r="AC1069" s="15" t="str">
        <f t="shared" si="13"/>
        <v>PENDING RESEARCH</v>
      </c>
      <c r="AD1069" s="15" t="str">
        <f t="shared" si="14"/>
        <v>Electropolished Pipes Manufacturer in Kamareddy</v>
      </c>
      <c r="AE1069" s="15" t="str">
        <f t="shared" si="15"/>
        <v>Electropolished Pipe &amp; Tube Manufacturing for Kamareddy - Grades, Finishes &amp; Certification</v>
      </c>
      <c r="AF1069" s="15" t="str">
        <f t="shared" si="16"/>
        <v>Electropolished Pipes Supplier in Kamareddy - Stock Sizes, Lead Time &amp; Delivery</v>
      </c>
      <c r="AG1069" s="15" t="str">
        <f t="shared" si="17"/>
        <v>Electropolished Pipes Wholesaler &amp; Stockist in Kamareddy - Bulk &amp; Project Pricing</v>
      </c>
      <c r="AH1069" s="15" t="str">
        <f t="shared" si="18"/>
        <v>electropolished pipes manufacturer in Kamareddy, electropolished pipes supplier in Kamareddy, electropolished pipes wholesaler in Kamareddy, electropolished tube manufacturer Kamareddy, EP pipe supplier Kamareddy, sanitary tube supplier Kamareddy, ASME BPE tubing Kamareddy, ASTM A270 tube Kamareddy, SS 316L electropolished pipe Kamareddy</v>
      </c>
      <c r="AI1069" s="15" t="str">
        <f t="shared" si="19"/>
        <v>Electropolished Pipes Manufacturer &amp; Supplier in Kamareddy</v>
      </c>
      <c r="AJ1069" s="15" t="str">
        <f t="shared" si="20"/>
        <v>EP-finished SS 304/316L pipes and tubes for VERIFY plants in Kamareddy. ASME BPE SF1-SF4, Ra from 0.25 um, EN 10204 3.1 certificate with every lot.</v>
      </c>
      <c r="AK1069" s="15" t="str">
        <f t="shared" si="21"/>
        <v>Electropolished stainless steel pipes supplied by Sakshi Forge to VERIFY plants at TSIIC Industrial Area, Kamareddy</v>
      </c>
      <c r="AL1069" s="15" t="str">
        <f t="shared" si="22"/>
        <v>Electropolished SS 316L tube stock for Kamareddy - Sakshi Forge</v>
      </c>
      <c r="AM1069" s="15" t="str">
        <f t="shared" si="23"/>
        <v>Home &gt; Market Area &gt; India &gt; Telangana &gt; Kamareddy</v>
      </c>
      <c r="AN1069" s="15">
        <f t="shared" si="24"/>
        <v>750</v>
      </c>
      <c r="AO1069" s="15">
        <f t="shared" si="25"/>
        <v>6</v>
      </c>
      <c r="AP1069" s="15">
        <f t="shared" si="26"/>
        <v>6</v>
      </c>
      <c r="AQ1069" s="15">
        <f t="shared" si="27"/>
        <v>18</v>
      </c>
      <c r="AR1069" s="31"/>
      <c r="AS1069" s="31"/>
      <c r="AT1069" s="35" t="s">
        <v>222</v>
      </c>
      <c r="AU1069" s="35"/>
    </row>
    <row r="1070" ht="15.75" customHeight="1">
      <c r="A1070" s="15" t="s">
        <v>5571</v>
      </c>
      <c r="B1070" s="15" t="s">
        <v>60</v>
      </c>
      <c r="C1070" s="15" t="s">
        <v>224</v>
      </c>
      <c r="D1070" s="15" t="s">
        <v>5572</v>
      </c>
      <c r="E1070" s="15" t="s">
        <v>5572</v>
      </c>
      <c r="F1070" s="58" t="s">
        <v>807</v>
      </c>
      <c r="G1070" s="66" t="s">
        <v>98</v>
      </c>
      <c r="H1070" s="18" t="s">
        <v>5574</v>
      </c>
      <c r="I1070" s="18" t="s">
        <v>8400</v>
      </c>
      <c r="J1070" s="18" t="s">
        <v>98</v>
      </c>
      <c r="K1070" s="18" t="s">
        <v>98</v>
      </c>
      <c r="L1070" s="18" t="s">
        <v>98</v>
      </c>
      <c r="M1070" s="18" t="s">
        <v>98</v>
      </c>
      <c r="N1070" s="18" t="s">
        <v>98</v>
      </c>
      <c r="O1070" s="18" t="s">
        <v>98</v>
      </c>
      <c r="P1070" s="15" t="str">
        <f t="shared" si="1"/>
        <v>VERIFY</v>
      </c>
      <c r="Q1070" s="15">
        <f t="shared" si="2"/>
        <v>3</v>
      </c>
      <c r="R1070" s="15">
        <f t="shared" si="3"/>
        <v>3</v>
      </c>
      <c r="S1070" s="15">
        <f t="shared" si="4"/>
        <v>2</v>
      </c>
      <c r="T1070" s="15" t="str">
        <f t="shared" si="5"/>
        <v>C-5</v>
      </c>
      <c r="U1070" s="15" t="str">
        <f t="shared" si="6"/>
        <v>T3-M3-H2-FC-5-VERIFY</v>
      </c>
      <c r="V1070" s="15">
        <f t="shared" si="7"/>
        <v>0</v>
      </c>
      <c r="W1070" s="31"/>
      <c r="X1070" s="15" t="str">
        <f t="shared" si="8"/>
        <v>kamrej</v>
      </c>
      <c r="Y1070" s="32" t="str">
        <f t="shared" si="9"/>
        <v>https://steelmanufacturer.in/market-area/electropolished-pipes-manufacturer-in-kamrej/</v>
      </c>
      <c r="Z1070" s="15" t="str">
        <f t="shared" si="10"/>
        <v>Electropolished Pipes Manufacturer in Kamrej | EP Tube Supplier</v>
      </c>
      <c r="AA1070" s="15" t="str">
        <f t="shared" si="11"/>
        <v>OK (63)</v>
      </c>
      <c r="AB1070" s="15" t="str">
        <f t="shared" si="12"/>
        <v>EP stainless tube for VERIFY lines in Kamrej. VERIFY. ASTM A270 S2, PMI tested, EN 10204 3.1.</v>
      </c>
      <c r="AC1070" s="15" t="str">
        <f t="shared" si="13"/>
        <v>PENDING RESEARCH</v>
      </c>
      <c r="AD1070" s="15" t="str">
        <f t="shared" si="14"/>
        <v>Electropolished Pipes Manufacturer in Kamrej</v>
      </c>
      <c r="AE1070" s="15" t="str">
        <f t="shared" si="15"/>
        <v>How We Manufacture Electropolished Tube for Kamrej Plants</v>
      </c>
      <c r="AF1070" s="15" t="str">
        <f t="shared" si="16"/>
        <v>Supplying Electropolished Pipes in Kamrej: Availability, Sizes &amp; Dispatch</v>
      </c>
      <c r="AG1070" s="15" t="str">
        <f t="shared" si="17"/>
        <v>Wholesale Electropolished Pipe Supply for Kamrej Projects</v>
      </c>
      <c r="AH1070" s="15" t="str">
        <f t="shared" si="18"/>
        <v>electropolished pipes manufacturer in Kamrej, electropolished pipes supplier in Kamrej, electropolished pipes wholesaler in Kamrej, electropolished tube manufacturer Kamrej, EP pipe supplier Kamrej, sanitary tube supplier Kamrej, ASME BPE tubing Kamrej, ASTM A270 tube Kamrej, SS 316L electropolished pipe Kamrej</v>
      </c>
      <c r="AI1070" s="15" t="str">
        <f t="shared" si="19"/>
        <v>Electropolished Pipes Manufacturer &amp; Supplier in Kamrej</v>
      </c>
      <c r="AJ1070" s="15" t="str">
        <f t="shared" si="20"/>
        <v>EP-finished SS 304/316L pipes and tubes for VERIFY plants in Kamrej. ASME BPE SF1-SF4, Ra from 0.25 um, EN 10204 3.1 certificate with every lot.</v>
      </c>
      <c r="AK1070" s="15" t="str">
        <f t="shared" si="21"/>
        <v>Electropolished stainless steel pipes supplied by Sakshi Forge to VERIFY plants at GIDC Industrial Area, Kamrej</v>
      </c>
      <c r="AL1070" s="15" t="str">
        <f t="shared" si="22"/>
        <v>Electropolished SS 316L tube stock for Kamrej - Sakshi Forge</v>
      </c>
      <c r="AM1070" s="15" t="str">
        <f t="shared" si="23"/>
        <v>Home &gt; Market Area &gt; India &gt; Gujarat &gt; Kamrej</v>
      </c>
      <c r="AN1070" s="15">
        <f t="shared" si="24"/>
        <v>750</v>
      </c>
      <c r="AO1070" s="15">
        <f t="shared" si="25"/>
        <v>6</v>
      </c>
      <c r="AP1070" s="15">
        <f t="shared" si="26"/>
        <v>6</v>
      </c>
      <c r="AQ1070" s="15">
        <f t="shared" si="27"/>
        <v>18</v>
      </c>
      <c r="AR1070" s="31"/>
      <c r="AS1070" s="31"/>
      <c r="AT1070" s="35" t="s">
        <v>222</v>
      </c>
      <c r="AU1070" s="35"/>
    </row>
    <row r="1071" ht="15.75" customHeight="1">
      <c r="A1071" s="15" t="s">
        <v>5575</v>
      </c>
      <c r="B1071" s="15" t="s">
        <v>60</v>
      </c>
      <c r="C1071" s="15" t="s">
        <v>264</v>
      </c>
      <c r="D1071" s="15" t="s">
        <v>5576</v>
      </c>
      <c r="E1071" s="15" t="s">
        <v>5576</v>
      </c>
      <c r="F1071" s="58" t="s">
        <v>807</v>
      </c>
      <c r="G1071" s="66" t="s">
        <v>98</v>
      </c>
      <c r="H1071" s="18" t="s">
        <v>5578</v>
      </c>
      <c r="I1071" s="18" t="s">
        <v>8395</v>
      </c>
      <c r="J1071" s="18" t="s">
        <v>98</v>
      </c>
      <c r="K1071" s="18" t="s">
        <v>98</v>
      </c>
      <c r="L1071" s="18" t="s">
        <v>98</v>
      </c>
      <c r="M1071" s="18" t="s">
        <v>98</v>
      </c>
      <c r="N1071" s="18" t="s">
        <v>98</v>
      </c>
      <c r="O1071" s="18" t="s">
        <v>98</v>
      </c>
      <c r="P1071" s="15" t="str">
        <f t="shared" si="1"/>
        <v>VERIFY</v>
      </c>
      <c r="Q1071" s="15">
        <f t="shared" si="2"/>
        <v>4</v>
      </c>
      <c r="R1071" s="15">
        <f t="shared" si="3"/>
        <v>4</v>
      </c>
      <c r="S1071" s="15">
        <f t="shared" si="4"/>
        <v>3</v>
      </c>
      <c r="T1071" s="15" t="str">
        <f t="shared" si="5"/>
        <v>C-6</v>
      </c>
      <c r="U1071" s="15" t="str">
        <f t="shared" si="6"/>
        <v>T4-M4-H3-FC-6-VERIFY</v>
      </c>
      <c r="V1071" s="15">
        <f t="shared" si="7"/>
        <v>0</v>
      </c>
      <c r="W1071" s="31"/>
      <c r="X1071" s="15" t="str">
        <f t="shared" si="8"/>
        <v>kandhar</v>
      </c>
      <c r="Y1071" s="32" t="str">
        <f t="shared" si="9"/>
        <v>https://steelmanufacturer.in/market-area/electropolished-pipes-manufacturer-in-kandhar/</v>
      </c>
      <c r="Z1071" s="15" t="str">
        <f t="shared" si="10"/>
        <v>Electropolished Pipes Manufacturer in Kandhar</v>
      </c>
      <c r="AA1071" s="15" t="str">
        <f t="shared" si="11"/>
        <v>OK (45)</v>
      </c>
      <c r="AB1071" s="15" t="str">
        <f t="shared" si="12"/>
        <v>Sanitary electropolished pipes in Kandhar for VERIFY plants. ASME BPE SF1-SF4, orbital-weld ready, 3.1 MTC. Mumbai-made.</v>
      </c>
      <c r="AC1071" s="15" t="str">
        <f t="shared" si="13"/>
        <v>PENDING RESEARCH</v>
      </c>
      <c r="AD1071" s="15" t="str">
        <f t="shared" si="14"/>
        <v>Electropolished Pipes Manufacturer in Kandhar</v>
      </c>
      <c r="AE1071" s="15" t="str">
        <f t="shared" si="15"/>
        <v>Electropolished Pipes Manufacturer in Kandhar - Our Process &amp; Capability</v>
      </c>
      <c r="AF1071" s="15" t="str">
        <f t="shared" si="16"/>
        <v>Electropolished Pipes Supplier in Kandhar - What We Hold in Stock</v>
      </c>
      <c r="AG1071" s="15" t="str">
        <f t="shared" si="17"/>
        <v>Bulk &amp; Wholesale Electropolished Pipe Rates for Kandhar Buyers</v>
      </c>
      <c r="AH1071" s="15" t="str">
        <f t="shared" si="18"/>
        <v>electropolished pipes manufacturer in Kandhar, electropolished pipes supplier in Kandhar, electropolished pipes wholesaler in Kandhar, electropolished tube manufacturer Kandhar, EP pipe supplier Kandhar, sanitary tube supplier Kandhar, ASME BPE tubing Kandhar, ASTM A270 tube Kandhar, SS 316L electropolished pipe Kandhar</v>
      </c>
      <c r="AI1071" s="15" t="str">
        <f t="shared" si="19"/>
        <v>Electropolished Pipes Manufacturer &amp; Supplier in Kandhar</v>
      </c>
      <c r="AJ1071" s="15" t="str">
        <f t="shared" si="20"/>
        <v>EP-finished SS 304/316L pipes and tubes for VERIFY plants in Kandhar. ASME BPE SF1-SF4, Ra from 0.25 um, EN 10204 3.1 certificate with every lot.</v>
      </c>
      <c r="AK1071" s="15" t="str">
        <f t="shared" si="21"/>
        <v>Electropolished stainless steel pipes supplied by Sakshi Forge to VERIFY plants at MIDC Industrial Area, Kandhar</v>
      </c>
      <c r="AL1071" s="15" t="str">
        <f t="shared" si="22"/>
        <v>Electropolished SS 316L tube stock for Kandhar - Sakshi Forge</v>
      </c>
      <c r="AM1071" s="15" t="str">
        <f t="shared" si="23"/>
        <v>Home &gt; Market Area &gt; India &gt; Maharashtra &gt; Kandhar</v>
      </c>
      <c r="AN1071" s="15">
        <f t="shared" si="24"/>
        <v>750</v>
      </c>
      <c r="AO1071" s="15">
        <f t="shared" si="25"/>
        <v>6</v>
      </c>
      <c r="AP1071" s="15">
        <f t="shared" si="26"/>
        <v>6</v>
      </c>
      <c r="AQ1071" s="15">
        <f t="shared" si="27"/>
        <v>18</v>
      </c>
      <c r="AR1071" s="31"/>
      <c r="AS1071" s="31"/>
      <c r="AT1071" s="35" t="s">
        <v>222</v>
      </c>
      <c r="AU1071" s="35"/>
    </row>
    <row r="1072" ht="15.75" customHeight="1">
      <c r="A1072" s="15" t="s">
        <v>5579</v>
      </c>
      <c r="B1072" s="15" t="s">
        <v>60</v>
      </c>
      <c r="C1072" s="15" t="s">
        <v>775</v>
      </c>
      <c r="D1072" s="15" t="s">
        <v>5580</v>
      </c>
      <c r="E1072" s="15" t="s">
        <v>5580</v>
      </c>
      <c r="F1072" s="58" t="s">
        <v>807</v>
      </c>
      <c r="G1072" s="66" t="s">
        <v>98</v>
      </c>
      <c r="H1072" s="18" t="s">
        <v>5582</v>
      </c>
      <c r="I1072" s="18" t="s">
        <v>8399</v>
      </c>
      <c r="J1072" s="18" t="s">
        <v>98</v>
      </c>
      <c r="K1072" s="18" t="s">
        <v>98</v>
      </c>
      <c r="L1072" s="18" t="s">
        <v>98</v>
      </c>
      <c r="M1072" s="18" t="s">
        <v>98</v>
      </c>
      <c r="N1072" s="18" t="s">
        <v>98</v>
      </c>
      <c r="O1072" s="18" t="s">
        <v>98</v>
      </c>
      <c r="P1072" s="15" t="str">
        <f t="shared" si="1"/>
        <v>VERIFY</v>
      </c>
      <c r="Q1072" s="15">
        <f t="shared" si="2"/>
        <v>5</v>
      </c>
      <c r="R1072" s="15">
        <f t="shared" si="3"/>
        <v>5</v>
      </c>
      <c r="S1072" s="15">
        <f t="shared" si="4"/>
        <v>4</v>
      </c>
      <c r="T1072" s="15" t="str">
        <f t="shared" si="5"/>
        <v>C-1</v>
      </c>
      <c r="U1072" s="15" t="str">
        <f t="shared" si="6"/>
        <v>T5-M5-H4-FC-1-VERIFY</v>
      </c>
      <c r="V1072" s="15">
        <f t="shared" si="7"/>
        <v>0</v>
      </c>
      <c r="W1072" s="31"/>
      <c r="X1072" s="15" t="str">
        <f t="shared" si="8"/>
        <v>kanker</v>
      </c>
      <c r="Y1072" s="32" t="str">
        <f t="shared" si="9"/>
        <v>https://steelmanufacturer.in/market-area/electropolished-pipes-manufacturer-in-kanker/</v>
      </c>
      <c r="Z1072" s="15" t="str">
        <f t="shared" si="10"/>
        <v>Electropolished Pipes Manufacturer in Kanker</v>
      </c>
      <c r="AA1072" s="15" t="str">
        <f t="shared" si="11"/>
        <v>OK (44)</v>
      </c>
      <c r="AB1072" s="15" t="str">
        <f t="shared" si="12"/>
        <v>Manufacturer of electropolished SS 316L tube serving Kanker. VERIFY. Ra 0.25-0.5 um, EN 10204 3.1 MTC.</v>
      </c>
      <c r="AC1072" s="15" t="str">
        <f t="shared" si="13"/>
        <v>PENDING RESEARCH</v>
      </c>
      <c r="AD1072" s="15" t="str">
        <f t="shared" si="14"/>
        <v>Electropolished Pipes Manufacturer in Kanker</v>
      </c>
      <c r="AE1072" s="15" t="str">
        <f t="shared" si="15"/>
        <v>Manufacturing Electropolished SS Tube for Kanker: The Standards We Build To</v>
      </c>
      <c r="AF1072" s="15" t="str">
        <f t="shared" si="16"/>
        <v>Electropolished Pipe Supply Into Kanker - Certification &amp; Transit</v>
      </c>
      <c r="AG1072" s="15" t="str">
        <f t="shared" si="17"/>
        <v>Electropolished Pipes Wholesaler in Kanker - Project Quantities &amp; Terms</v>
      </c>
      <c r="AH1072" s="15" t="str">
        <f t="shared" si="18"/>
        <v>electropolished pipes manufacturer in Kanker, electropolished pipes supplier in Kanker, electropolished pipes wholesaler in Kanker, electropolished tube manufacturer Kanker, EP pipe supplier Kanker, sanitary tube supplier Kanker, ASME BPE tubing Kanker, ASTM A270 tube Kanker, SS 316L electropolished pipe Kanker</v>
      </c>
      <c r="AI1072" s="15" t="str">
        <f t="shared" si="19"/>
        <v>Electropolished Pipes Manufacturer &amp; Supplier in Kanker</v>
      </c>
      <c r="AJ1072" s="15" t="str">
        <f t="shared" si="20"/>
        <v>EP-finished SS 304/316L pipes and tubes for VERIFY plants in Kanker. ASME BPE SF1-SF4, Ra from 0.25 um, EN 10204 3.1 certificate with every lot.</v>
      </c>
      <c r="AK1072" s="15" t="str">
        <f t="shared" si="21"/>
        <v>Electropolished stainless steel pipes supplied by Sakshi Forge to VERIFY plants at CSIDC Industrial Area, Kanker</v>
      </c>
      <c r="AL1072" s="15" t="str">
        <f t="shared" si="22"/>
        <v>Electropolished SS 316L tube stock for Kanker - Sakshi Forge</v>
      </c>
      <c r="AM1072" s="15" t="str">
        <f t="shared" si="23"/>
        <v>Home &gt; Market Area &gt; India &gt; Chhattisgarh &gt; Kanker</v>
      </c>
      <c r="AN1072" s="15">
        <f t="shared" si="24"/>
        <v>750</v>
      </c>
      <c r="AO1072" s="15">
        <f t="shared" si="25"/>
        <v>6</v>
      </c>
      <c r="AP1072" s="15">
        <f t="shared" si="26"/>
        <v>6</v>
      </c>
      <c r="AQ1072" s="15">
        <f t="shared" si="27"/>
        <v>18</v>
      </c>
      <c r="AR1072" s="31"/>
      <c r="AS1072" s="31"/>
      <c r="AT1072" s="35" t="s">
        <v>222</v>
      </c>
      <c r="AU1072" s="35"/>
    </row>
    <row r="1073" ht="15.75" customHeight="1">
      <c r="A1073" s="15" t="s">
        <v>5583</v>
      </c>
      <c r="B1073" s="15" t="s">
        <v>60</v>
      </c>
      <c r="C1073" s="15" t="s">
        <v>85</v>
      </c>
      <c r="D1073" s="15" t="s">
        <v>5584</v>
      </c>
      <c r="E1073" s="15" t="s">
        <v>5584</v>
      </c>
      <c r="F1073" s="58" t="s">
        <v>807</v>
      </c>
      <c r="G1073" s="66" t="s">
        <v>98</v>
      </c>
      <c r="H1073" s="18" t="s">
        <v>5586</v>
      </c>
      <c r="I1073" s="18" t="s">
        <v>8398</v>
      </c>
      <c r="J1073" s="18" t="s">
        <v>98</v>
      </c>
      <c r="K1073" s="18" t="s">
        <v>98</v>
      </c>
      <c r="L1073" s="18" t="s">
        <v>98</v>
      </c>
      <c r="M1073" s="18" t="s">
        <v>98</v>
      </c>
      <c r="N1073" s="18" t="s">
        <v>98</v>
      </c>
      <c r="O1073" s="18" t="s">
        <v>98</v>
      </c>
      <c r="P1073" s="15" t="str">
        <f t="shared" si="1"/>
        <v>VERIFY</v>
      </c>
      <c r="Q1073" s="15">
        <f t="shared" si="2"/>
        <v>6</v>
      </c>
      <c r="R1073" s="15">
        <f t="shared" si="3"/>
        <v>6</v>
      </c>
      <c r="S1073" s="15">
        <f t="shared" si="4"/>
        <v>5</v>
      </c>
      <c r="T1073" s="15" t="str">
        <f t="shared" si="5"/>
        <v>C-2</v>
      </c>
      <c r="U1073" s="15" t="str">
        <f t="shared" si="6"/>
        <v>T6-M6-H5-FC-2-VERIFY</v>
      </c>
      <c r="V1073" s="15">
        <f t="shared" si="7"/>
        <v>0</v>
      </c>
      <c r="W1073" s="31"/>
      <c r="X1073" s="15" t="str">
        <f t="shared" si="8"/>
        <v>kannauj</v>
      </c>
      <c r="Y1073" s="32" t="str">
        <f t="shared" si="9"/>
        <v>https://steelmanufacturer.in/market-area/electropolished-pipes-manufacturer-in-kannauj/</v>
      </c>
      <c r="Z1073" s="15" t="str">
        <f t="shared" si="10"/>
        <v>Electropolished Pipes Manufacturer in Kannauj</v>
      </c>
      <c r="AA1073" s="15" t="str">
        <f t="shared" si="11"/>
        <v>OK (45)</v>
      </c>
      <c r="AB1073" s="15" t="str">
        <f t="shared" si="12"/>
        <v>EP tube and pipe for VERIFY plants around UPSIDA Industrial Area, Kannauj. Made at our Mumbai works to ASTM A270 and ASME BPE SF1-SF4, with 3.1 MTC.</v>
      </c>
      <c r="AC1073" s="15" t="str">
        <f t="shared" si="13"/>
        <v>PENDING RESEARCH</v>
      </c>
      <c r="AD1073" s="15" t="str">
        <f t="shared" si="14"/>
        <v>Electropolished Pipes Manufacturer in Kannauj</v>
      </c>
      <c r="AE1073" s="15" t="str">
        <f t="shared" si="15"/>
        <v>Electropolished Tube Manufacturing Capability Serving Kannauj</v>
      </c>
      <c r="AF1073" s="15" t="str">
        <f t="shared" si="16"/>
        <v>Electropolished Pipes Supplier in Kannauj - From Order to Delivery</v>
      </c>
      <c r="AG1073" s="15" t="str">
        <f t="shared" si="17"/>
        <v>Stockist &amp; Wholesale Supply of Electropolished Pipes in Kannauj</v>
      </c>
      <c r="AH1073" s="15" t="str">
        <f t="shared" si="18"/>
        <v>electropolished pipes manufacturer in Kannauj, electropolished pipes supplier in Kannauj, electropolished pipes wholesaler in Kannauj, electropolished tube manufacturer Kannauj, EP pipe supplier Kannauj, sanitary tube supplier Kannauj, ASME BPE tubing Kannauj, ASTM A270 tube Kannauj, SS 316L electropolished pipe Kannauj</v>
      </c>
      <c r="AI1073" s="15" t="str">
        <f t="shared" si="19"/>
        <v>Electropolished Pipes Manufacturer &amp; Supplier in Kannauj</v>
      </c>
      <c r="AJ1073" s="15" t="str">
        <f t="shared" si="20"/>
        <v>EP-finished SS 304/316L pipes and tubes for VERIFY plants in Kannauj. ASME BPE SF1-SF4, Ra from 0.25 um, EN 10204 3.1 certificate with every lot.</v>
      </c>
      <c r="AK1073" s="15" t="str">
        <f t="shared" si="21"/>
        <v>Electropolished stainless steel pipes supplied by Sakshi Forge to VERIFY plants at UPSIDA Industrial Area, Kannauj</v>
      </c>
      <c r="AL1073" s="15" t="str">
        <f t="shared" si="22"/>
        <v>Electropolished SS 316L tube stock for Kannauj - Sakshi Forge</v>
      </c>
      <c r="AM1073" s="15" t="str">
        <f t="shared" si="23"/>
        <v>Home &gt; Market Area &gt; India &gt; Uttar Pradesh &gt; Kannauj</v>
      </c>
      <c r="AN1073" s="15">
        <f t="shared" si="24"/>
        <v>750</v>
      </c>
      <c r="AO1073" s="15">
        <f t="shared" si="25"/>
        <v>6</v>
      </c>
      <c r="AP1073" s="15">
        <f t="shared" si="26"/>
        <v>6</v>
      </c>
      <c r="AQ1073" s="15">
        <f t="shared" si="27"/>
        <v>18</v>
      </c>
      <c r="AR1073" s="31"/>
      <c r="AS1073" s="31"/>
      <c r="AT1073" s="35" t="s">
        <v>222</v>
      </c>
      <c r="AU1073" s="35"/>
    </row>
    <row r="1074" ht="15.75" customHeight="1">
      <c r="A1074" s="15" t="s">
        <v>5587</v>
      </c>
      <c r="B1074" s="15" t="s">
        <v>60</v>
      </c>
      <c r="C1074" s="15" t="s">
        <v>958</v>
      </c>
      <c r="D1074" s="15" t="s">
        <v>5588</v>
      </c>
      <c r="E1074" s="15" t="s">
        <v>5588</v>
      </c>
      <c r="F1074" s="58" t="s">
        <v>807</v>
      </c>
      <c r="G1074" s="66" t="s">
        <v>98</v>
      </c>
      <c r="H1074" s="18" t="s">
        <v>5591</v>
      </c>
      <c r="I1074" s="18" t="s">
        <v>8403</v>
      </c>
      <c r="J1074" s="18" t="s">
        <v>98</v>
      </c>
      <c r="K1074" s="18" t="s">
        <v>98</v>
      </c>
      <c r="L1074" s="18" t="s">
        <v>98</v>
      </c>
      <c r="M1074" s="18" t="s">
        <v>98</v>
      </c>
      <c r="N1074" s="18" t="s">
        <v>98</v>
      </c>
      <c r="O1074" s="18" t="s">
        <v>98</v>
      </c>
      <c r="P1074" s="15" t="str">
        <f t="shared" si="1"/>
        <v>VERIFY</v>
      </c>
      <c r="Q1074" s="15">
        <f t="shared" si="2"/>
        <v>7</v>
      </c>
      <c r="R1074" s="15">
        <f t="shared" si="3"/>
        <v>7</v>
      </c>
      <c r="S1074" s="15">
        <f t="shared" si="4"/>
        <v>1</v>
      </c>
      <c r="T1074" s="15" t="str">
        <f t="shared" si="5"/>
        <v>C-3</v>
      </c>
      <c r="U1074" s="15" t="str">
        <f t="shared" si="6"/>
        <v>T7-M7-H1-FC-3-VERIFY</v>
      </c>
      <c r="V1074" s="15">
        <f t="shared" si="7"/>
        <v>0</v>
      </c>
      <c r="W1074" s="31"/>
      <c r="X1074" s="15" t="str">
        <f t="shared" si="8"/>
        <v>karaikudi</v>
      </c>
      <c r="Y1074" s="32" t="str">
        <f t="shared" si="9"/>
        <v>https://steelmanufacturer.in/market-area/electropolished-pipes-manufacturer-in-karaikudi/</v>
      </c>
      <c r="Z1074" s="15" t="str">
        <f t="shared" si="10"/>
        <v>Electropolished Pipes Manufacturer in Karaikudi</v>
      </c>
      <c r="AA1074" s="15" t="str">
        <f t="shared" si="11"/>
        <v>OK (47)</v>
      </c>
      <c r="AB1074" s="15" t="str">
        <f t="shared" si="12"/>
        <v>Electropolished pipes in Karaikudi: 304, 304L, 316 and 316L in SF1-SF4. VERIFY. Mill certified.</v>
      </c>
      <c r="AC1074" s="15" t="str">
        <f t="shared" si="13"/>
        <v>PENDING RESEARCH</v>
      </c>
      <c r="AD1074" s="15" t="str">
        <f t="shared" si="14"/>
        <v>Electropolished Pipes Manufacturer in Karaikudi</v>
      </c>
      <c r="AE1074" s="15" t="str">
        <f t="shared" si="15"/>
        <v>Electropolished Pipe &amp; Tube Manufacturing for Karaikudi - Grades, Finishes &amp; Certification</v>
      </c>
      <c r="AF1074" s="15" t="str">
        <f t="shared" si="16"/>
        <v>Electropolished Pipes Supplier in Karaikudi - Stock Sizes, Lead Time &amp; Delivery</v>
      </c>
      <c r="AG1074" s="15" t="str">
        <f t="shared" si="17"/>
        <v>Electropolished Pipes Wholesaler &amp; Stockist in Karaikudi - Bulk &amp; Project Pricing</v>
      </c>
      <c r="AH1074" s="15" t="str">
        <f t="shared" si="18"/>
        <v>electropolished pipes manufacturer in Karaikudi, electropolished pipes supplier in Karaikudi, electropolished pipes wholesaler in Karaikudi, electropolished tube manufacturer Karaikudi, EP pipe supplier Karaikudi, sanitary tube supplier Karaikudi, ASME BPE tubing Karaikudi, ASTM A270 tube Karaikudi, SS 316L electropolished pipe Karaikudi</v>
      </c>
      <c r="AI1074" s="15" t="str">
        <f t="shared" si="19"/>
        <v>Electropolished Pipes Manufacturer &amp; Supplier in Karaikudi</v>
      </c>
      <c r="AJ1074" s="15" t="str">
        <f t="shared" si="20"/>
        <v>EP-finished SS 304/316L pipes and tubes for VERIFY plants in Karaikudi. ASME BPE SF1-SF4, Ra from 0.25 um, EN 10204 3.1 certificate with every lot.</v>
      </c>
      <c r="AK1074" s="15" t="str">
        <f t="shared" si="21"/>
        <v>Electropolished stainless steel pipes supplied by Sakshi Forge to VERIFY plants at SIPCOT Industrial Area, Karaikudi</v>
      </c>
      <c r="AL1074" s="15" t="str">
        <f t="shared" si="22"/>
        <v>Electropolished SS 316L tube stock for Karaikudi - Sakshi Forge</v>
      </c>
      <c r="AM1074" s="15" t="str">
        <f t="shared" si="23"/>
        <v>Home &gt; Market Area &gt; India &gt; Tamil Nadu &gt; Karaikudi</v>
      </c>
      <c r="AN1074" s="15">
        <f t="shared" si="24"/>
        <v>750</v>
      </c>
      <c r="AO1074" s="15">
        <f t="shared" si="25"/>
        <v>6</v>
      </c>
      <c r="AP1074" s="15">
        <f t="shared" si="26"/>
        <v>6</v>
      </c>
      <c r="AQ1074" s="15">
        <f t="shared" si="27"/>
        <v>18</v>
      </c>
      <c r="AR1074" s="31"/>
      <c r="AS1074" s="31"/>
      <c r="AT1074" s="35" t="s">
        <v>222</v>
      </c>
      <c r="AU1074" s="35"/>
    </row>
    <row r="1075" ht="15.75" customHeight="1">
      <c r="A1075" s="15" t="s">
        <v>5593</v>
      </c>
      <c r="B1075" s="15" t="s">
        <v>60</v>
      </c>
      <c r="C1075" s="15" t="s">
        <v>1687</v>
      </c>
      <c r="D1075" s="15" t="s">
        <v>5594</v>
      </c>
      <c r="E1075" s="15" t="s">
        <v>5594</v>
      </c>
      <c r="F1075" s="58" t="s">
        <v>807</v>
      </c>
      <c r="G1075" s="66" t="s">
        <v>98</v>
      </c>
      <c r="H1075" s="18" t="s">
        <v>5599</v>
      </c>
      <c r="I1075" s="18" t="s">
        <v>8397</v>
      </c>
      <c r="J1075" s="18" t="s">
        <v>98</v>
      </c>
      <c r="K1075" s="18" t="s">
        <v>98</v>
      </c>
      <c r="L1075" s="18" t="s">
        <v>98</v>
      </c>
      <c r="M1075" s="18" t="s">
        <v>98</v>
      </c>
      <c r="N1075" s="18" t="s">
        <v>98</v>
      </c>
      <c r="O1075" s="18" t="s">
        <v>98</v>
      </c>
      <c r="P1075" s="15" t="str">
        <f t="shared" si="1"/>
        <v>VERIFY</v>
      </c>
      <c r="Q1075" s="15">
        <f t="shared" si="2"/>
        <v>8</v>
      </c>
      <c r="R1075" s="15">
        <f t="shared" si="3"/>
        <v>1</v>
      </c>
      <c r="S1075" s="15">
        <f t="shared" si="4"/>
        <v>2</v>
      </c>
      <c r="T1075" s="15" t="str">
        <f t="shared" si="5"/>
        <v>C-4</v>
      </c>
      <c r="U1075" s="15" t="str">
        <f t="shared" si="6"/>
        <v>T8-M1-H2-FC-4-VERIFY</v>
      </c>
      <c r="V1075" s="15">
        <f t="shared" si="7"/>
        <v>0</v>
      </c>
      <c r="W1075" s="31"/>
      <c r="X1075" s="15" t="str">
        <f t="shared" si="8"/>
        <v>karunagappally</v>
      </c>
      <c r="Y1075" s="32" t="str">
        <f t="shared" si="9"/>
        <v>https://steelmanufacturer.in/market-area/electropolished-pipes-manufacturer-in-karunagappally/</v>
      </c>
      <c r="Z1075" s="15" t="str">
        <f t="shared" si="10"/>
        <v>Electropolished Pipes Manufacturer in Karunagappally</v>
      </c>
      <c r="AA1075" s="15" t="str">
        <f t="shared" si="11"/>
        <v>OK (52)</v>
      </c>
      <c r="AB1075" s="15" t="str">
        <f t="shared" si="12"/>
        <v>EP-finished SS 304/316L pipes &amp; tubes for VERIFY plants in Karunagappally. ASTM A270, ASME BPE SF1-SF4, EN 10204 3.1 MTC. PMI tested.</v>
      </c>
      <c r="AC1075" s="15" t="str">
        <f t="shared" si="13"/>
        <v>PENDING RESEARCH</v>
      </c>
      <c r="AD1075" s="15" t="str">
        <f t="shared" si="14"/>
        <v>Electropolished Pipes Manufacturer in Karunagappally</v>
      </c>
      <c r="AE1075" s="15" t="str">
        <f t="shared" si="15"/>
        <v>How We Manufacture Electropolished Tube for Karunagappally Plants</v>
      </c>
      <c r="AF1075" s="15" t="str">
        <f t="shared" si="16"/>
        <v>Supplying Electropolished Pipes in Karunagappally: Availability, Sizes &amp; Dispatch</v>
      </c>
      <c r="AG1075" s="15" t="str">
        <f t="shared" si="17"/>
        <v>Wholesale Electropolished Pipe Supply for Karunagappally Projects</v>
      </c>
      <c r="AH1075" s="15" t="str">
        <f t="shared" si="18"/>
        <v>electropolished pipes manufacturer in Karunagappally, electropolished pipes supplier in Karunagappally, electropolished pipes wholesaler in Karunagappally, electropolished tube manufacturer Karunagappally, EP pipe supplier Karunagappally, sanitary tube supplier Karunagappally, ASME BPE tubing Karunagappally, ASTM A270 tube Karunagappally, SS 316L electropolished pipe Karunagappally</v>
      </c>
      <c r="AI1075" s="15" t="str">
        <f t="shared" si="19"/>
        <v>Electropolished Pipes Manufacturer &amp; Supplier in Karunagappally</v>
      </c>
      <c r="AJ1075" s="15" t="str">
        <f t="shared" si="20"/>
        <v>EP-finished SS 304/316L pipes and tubes for VERIFY plants in Karunagappally. ASME BPE SF1-SF4, Ra from 0.25 um, EN 10204 3.1 certificate with every lot.</v>
      </c>
      <c r="AK1075" s="15" t="str">
        <f t="shared" si="21"/>
        <v>Electropolished stainless steel pipes supplied by Sakshi Forge to VERIFY plants at KINFRA Industrial Area, Karunagappally</v>
      </c>
      <c r="AL1075" s="15" t="str">
        <f t="shared" si="22"/>
        <v>Electropolished SS 316L tube stock for Karunagappally - Sakshi Forge</v>
      </c>
      <c r="AM1075" s="15" t="str">
        <f t="shared" si="23"/>
        <v>Home &gt; Market Area &gt; India &gt; Kerala &gt; Karunagappally</v>
      </c>
      <c r="AN1075" s="15">
        <f t="shared" si="24"/>
        <v>750</v>
      </c>
      <c r="AO1075" s="15">
        <f t="shared" si="25"/>
        <v>6</v>
      </c>
      <c r="AP1075" s="15">
        <f t="shared" si="26"/>
        <v>6</v>
      </c>
      <c r="AQ1075" s="15">
        <f t="shared" si="27"/>
        <v>18</v>
      </c>
      <c r="AR1075" s="31"/>
      <c r="AS1075" s="31"/>
      <c r="AT1075" s="35" t="s">
        <v>222</v>
      </c>
      <c r="AU1075" s="35"/>
    </row>
    <row r="1076" ht="15.75" customHeight="1">
      <c r="A1076" s="15" t="s">
        <v>5601</v>
      </c>
      <c r="B1076" s="15" t="s">
        <v>60</v>
      </c>
      <c r="C1076" s="15" t="s">
        <v>85</v>
      </c>
      <c r="D1076" s="15" t="s">
        <v>5602</v>
      </c>
      <c r="E1076" s="15" t="s">
        <v>5602</v>
      </c>
      <c r="F1076" s="58" t="s">
        <v>807</v>
      </c>
      <c r="G1076" s="66" t="s">
        <v>98</v>
      </c>
      <c r="H1076" s="18" t="s">
        <v>5604</v>
      </c>
      <c r="I1076" s="18" t="s">
        <v>8398</v>
      </c>
      <c r="J1076" s="18" t="s">
        <v>98</v>
      </c>
      <c r="K1076" s="18" t="s">
        <v>98</v>
      </c>
      <c r="L1076" s="18" t="s">
        <v>98</v>
      </c>
      <c r="M1076" s="18" t="s">
        <v>98</v>
      </c>
      <c r="N1076" s="18" t="s">
        <v>98</v>
      </c>
      <c r="O1076" s="18" t="s">
        <v>98</v>
      </c>
      <c r="P1076" s="15" t="str">
        <f t="shared" si="1"/>
        <v>VERIFY</v>
      </c>
      <c r="Q1076" s="15">
        <f t="shared" si="2"/>
        <v>1</v>
      </c>
      <c r="R1076" s="15">
        <f t="shared" si="3"/>
        <v>2</v>
      </c>
      <c r="S1076" s="15">
        <f t="shared" si="4"/>
        <v>3</v>
      </c>
      <c r="T1076" s="15" t="str">
        <f t="shared" si="5"/>
        <v>C-5</v>
      </c>
      <c r="U1076" s="15" t="str">
        <f t="shared" si="6"/>
        <v>T1-M2-H3-FC-5-VERIFY</v>
      </c>
      <c r="V1076" s="15">
        <f t="shared" si="7"/>
        <v>0</v>
      </c>
      <c r="W1076" s="31"/>
      <c r="X1076" s="15" t="str">
        <f t="shared" si="8"/>
        <v>kasganj</v>
      </c>
      <c r="Y1076" s="32" t="str">
        <f t="shared" si="9"/>
        <v>https://steelmanufacturer.in/market-area/electropolished-pipes-manufacturer-in-kasganj/</v>
      </c>
      <c r="Z1076" s="15" t="str">
        <f t="shared" si="10"/>
        <v>Electropolished Pipes Manufacturer in Kasganj | Sakshi Forge</v>
      </c>
      <c r="AA1076" s="15" t="str">
        <f t="shared" si="11"/>
        <v>OK (60)</v>
      </c>
      <c r="AB1076" s="15" t="str">
        <f t="shared" si="12"/>
        <v>Electropolished tube supply to UPSIDA Industrial Area, Kasganj. Ra from 0.25 um, SF4 finish, mill test certificate with every lot.</v>
      </c>
      <c r="AC1076" s="15" t="str">
        <f t="shared" si="13"/>
        <v>PENDING RESEARCH</v>
      </c>
      <c r="AD1076" s="15" t="str">
        <f t="shared" si="14"/>
        <v>Electropolished Pipes Manufacturer in Kasganj</v>
      </c>
      <c r="AE1076" s="15" t="str">
        <f t="shared" si="15"/>
        <v>Electropolished Pipes Manufacturer in Kasganj - Our Process &amp; Capability</v>
      </c>
      <c r="AF1076" s="15" t="str">
        <f t="shared" si="16"/>
        <v>Electropolished Pipes Supplier in Kasganj - What We Hold in Stock</v>
      </c>
      <c r="AG1076" s="15" t="str">
        <f t="shared" si="17"/>
        <v>Bulk &amp; Wholesale Electropolished Pipe Rates for Kasganj Buyers</v>
      </c>
      <c r="AH1076" s="15" t="str">
        <f t="shared" si="18"/>
        <v>electropolished pipes manufacturer in Kasganj, electropolished pipes supplier in Kasganj, electropolished pipes wholesaler in Kasganj, electropolished tube manufacturer Kasganj, EP pipe supplier Kasganj, sanitary tube supplier Kasganj, ASME BPE tubing Kasganj, ASTM A270 tube Kasganj, SS 316L electropolished pipe Kasganj</v>
      </c>
      <c r="AI1076" s="15" t="str">
        <f t="shared" si="19"/>
        <v>Electropolished Pipes Manufacturer &amp; Supplier in Kasganj</v>
      </c>
      <c r="AJ1076" s="15" t="str">
        <f t="shared" si="20"/>
        <v>EP-finished SS 304/316L pipes and tubes for VERIFY plants in Kasganj. ASME BPE SF1-SF4, Ra from 0.25 um, EN 10204 3.1 certificate with every lot.</v>
      </c>
      <c r="AK1076" s="15" t="str">
        <f t="shared" si="21"/>
        <v>Electropolished stainless steel pipes supplied by Sakshi Forge to VERIFY plants at UPSIDA Industrial Area, Kasganj</v>
      </c>
      <c r="AL1076" s="15" t="str">
        <f t="shared" si="22"/>
        <v>Electropolished SS 316L tube stock for Kasganj - Sakshi Forge</v>
      </c>
      <c r="AM1076" s="15" t="str">
        <f t="shared" si="23"/>
        <v>Home &gt; Market Area &gt; India &gt; Uttar Pradesh &gt; Kasganj</v>
      </c>
      <c r="AN1076" s="15">
        <f t="shared" si="24"/>
        <v>750</v>
      </c>
      <c r="AO1076" s="15">
        <f t="shared" si="25"/>
        <v>6</v>
      </c>
      <c r="AP1076" s="15">
        <f t="shared" si="26"/>
        <v>6</v>
      </c>
      <c r="AQ1076" s="15">
        <f t="shared" si="27"/>
        <v>18</v>
      </c>
      <c r="AR1076" s="31"/>
      <c r="AS1076" s="31"/>
      <c r="AT1076" s="35" t="s">
        <v>222</v>
      </c>
      <c r="AU1076" s="35"/>
    </row>
    <row r="1077" ht="15.75" customHeight="1">
      <c r="A1077" s="15" t="s">
        <v>5605</v>
      </c>
      <c r="B1077" s="15" t="s">
        <v>60</v>
      </c>
      <c r="C1077" s="15" t="s">
        <v>1165</v>
      </c>
      <c r="D1077" s="15" t="s">
        <v>5606</v>
      </c>
      <c r="E1077" s="15" t="s">
        <v>5606</v>
      </c>
      <c r="F1077" s="58" t="s">
        <v>807</v>
      </c>
      <c r="G1077" s="66" t="s">
        <v>98</v>
      </c>
      <c r="H1077" s="18" t="s">
        <v>5608</v>
      </c>
      <c r="I1077" s="18" t="s">
        <v>8404</v>
      </c>
      <c r="J1077" s="18" t="s">
        <v>98</v>
      </c>
      <c r="K1077" s="18" t="s">
        <v>98</v>
      </c>
      <c r="L1077" s="18" t="s">
        <v>98</v>
      </c>
      <c r="M1077" s="18" t="s">
        <v>98</v>
      </c>
      <c r="N1077" s="18" t="s">
        <v>98</v>
      </c>
      <c r="O1077" s="18" t="s">
        <v>98</v>
      </c>
      <c r="P1077" s="15" t="str">
        <f t="shared" si="1"/>
        <v>VERIFY</v>
      </c>
      <c r="Q1077" s="15">
        <f t="shared" si="2"/>
        <v>2</v>
      </c>
      <c r="R1077" s="15">
        <f t="shared" si="3"/>
        <v>3</v>
      </c>
      <c r="S1077" s="15">
        <f t="shared" si="4"/>
        <v>4</v>
      </c>
      <c r="T1077" s="15" t="str">
        <f t="shared" si="5"/>
        <v>C-6</v>
      </c>
      <c r="U1077" s="15" t="str">
        <f t="shared" si="6"/>
        <v>T2-M3-H4-FC-6-VERIFY</v>
      </c>
      <c r="V1077" s="15">
        <f t="shared" si="7"/>
        <v>0</v>
      </c>
      <c r="W1077" s="31"/>
      <c r="X1077" s="15" t="str">
        <f t="shared" si="8"/>
        <v>katwa</v>
      </c>
      <c r="Y1077" s="32" t="str">
        <f t="shared" si="9"/>
        <v>https://steelmanufacturer.in/market-area/electropolished-pipes-manufacturer-in-katwa/</v>
      </c>
      <c r="Z1077" s="15" t="str">
        <f t="shared" si="10"/>
        <v>Electropolished Pipes Manufacturer in Katwa</v>
      </c>
      <c r="AA1077" s="15" t="str">
        <f t="shared" si="11"/>
        <v>OK (43)</v>
      </c>
      <c r="AB1077" s="15" t="str">
        <f t="shared" si="12"/>
        <v>EP stainless tube for VERIFY lines in Katwa. VERIFY. ASTM A270 S2, PMI tested, EN 10204 3.1.</v>
      </c>
      <c r="AC1077" s="15" t="str">
        <f t="shared" si="13"/>
        <v>PENDING RESEARCH</v>
      </c>
      <c r="AD1077" s="15" t="str">
        <f t="shared" si="14"/>
        <v>Electropolished Pipes Manufacturer in Katwa</v>
      </c>
      <c r="AE1077" s="15" t="str">
        <f t="shared" si="15"/>
        <v>Manufacturing Electropolished SS Tube for Katwa: The Standards We Build To</v>
      </c>
      <c r="AF1077" s="15" t="str">
        <f t="shared" si="16"/>
        <v>Electropolished Pipe Supply Into Katwa - Certification &amp; Transit</v>
      </c>
      <c r="AG1077" s="15" t="str">
        <f t="shared" si="17"/>
        <v>Electropolished Pipes Wholesaler in Katwa - Project Quantities &amp; Terms</v>
      </c>
      <c r="AH1077" s="15" t="str">
        <f t="shared" si="18"/>
        <v>electropolished pipes manufacturer in Katwa, electropolished pipes supplier in Katwa, electropolished pipes wholesaler in Katwa, electropolished tube manufacturer Katwa, EP pipe supplier Katwa, sanitary tube supplier Katwa, ASME BPE tubing Katwa, ASTM A270 tube Katwa, SS 316L electropolished pipe Katwa</v>
      </c>
      <c r="AI1077" s="15" t="str">
        <f t="shared" si="19"/>
        <v>Electropolished Pipes Manufacturer &amp; Supplier in Katwa</v>
      </c>
      <c r="AJ1077" s="15" t="str">
        <f t="shared" si="20"/>
        <v>EP-finished SS 304/316L pipes and tubes for VERIFY plants in Katwa. ASME BPE SF1-SF4, Ra from 0.25 um, EN 10204 3.1 certificate with every lot.</v>
      </c>
      <c r="AK1077" s="15" t="str">
        <f t="shared" si="21"/>
        <v>Electropolished stainless steel pipes supplied by Sakshi Forge to VERIFY plants at WBIDC Industrial Area, Katwa</v>
      </c>
      <c r="AL1077" s="15" t="str">
        <f t="shared" si="22"/>
        <v>Electropolished SS 316L tube stock for Katwa - Sakshi Forge</v>
      </c>
      <c r="AM1077" s="15" t="str">
        <f t="shared" si="23"/>
        <v>Home &gt; Market Area &gt; India &gt; West Bengal &gt; Katwa</v>
      </c>
      <c r="AN1077" s="15">
        <f t="shared" si="24"/>
        <v>750</v>
      </c>
      <c r="AO1077" s="15">
        <f t="shared" si="25"/>
        <v>6</v>
      </c>
      <c r="AP1077" s="15">
        <f t="shared" si="26"/>
        <v>6</v>
      </c>
      <c r="AQ1077" s="15">
        <f t="shared" si="27"/>
        <v>18</v>
      </c>
      <c r="AR1077" s="31"/>
      <c r="AS1077" s="31"/>
      <c r="AT1077" s="35" t="s">
        <v>222</v>
      </c>
      <c r="AU1077" s="35"/>
    </row>
    <row r="1078" ht="15.75" customHeight="1">
      <c r="A1078" s="15" t="s">
        <v>5609</v>
      </c>
      <c r="B1078" s="15" t="s">
        <v>60</v>
      </c>
      <c r="C1078" s="15" t="s">
        <v>85</v>
      </c>
      <c r="D1078" s="15" t="s">
        <v>5610</v>
      </c>
      <c r="E1078" s="15" t="s">
        <v>5610</v>
      </c>
      <c r="F1078" s="58" t="s">
        <v>807</v>
      </c>
      <c r="G1078" s="66" t="s">
        <v>98</v>
      </c>
      <c r="H1078" s="18" t="s">
        <v>5612</v>
      </c>
      <c r="I1078" s="18" t="s">
        <v>8398</v>
      </c>
      <c r="J1078" s="18" t="s">
        <v>98</v>
      </c>
      <c r="K1078" s="18" t="s">
        <v>98</v>
      </c>
      <c r="L1078" s="18" t="s">
        <v>98</v>
      </c>
      <c r="M1078" s="18" t="s">
        <v>98</v>
      </c>
      <c r="N1078" s="18" t="s">
        <v>98</v>
      </c>
      <c r="O1078" s="18" t="s">
        <v>98</v>
      </c>
      <c r="P1078" s="15" t="str">
        <f t="shared" si="1"/>
        <v>VERIFY</v>
      </c>
      <c r="Q1078" s="15">
        <f t="shared" si="2"/>
        <v>3</v>
      </c>
      <c r="R1078" s="15">
        <f t="shared" si="3"/>
        <v>4</v>
      </c>
      <c r="S1078" s="15">
        <f t="shared" si="4"/>
        <v>5</v>
      </c>
      <c r="T1078" s="15" t="str">
        <f t="shared" si="5"/>
        <v>C-1</v>
      </c>
      <c r="U1078" s="15" t="str">
        <f t="shared" si="6"/>
        <v>T3-M4-H5-FC-1-VERIFY</v>
      </c>
      <c r="V1078" s="15">
        <f t="shared" si="7"/>
        <v>0</v>
      </c>
      <c r="W1078" s="31"/>
      <c r="X1078" s="15" t="str">
        <f t="shared" si="8"/>
        <v>kaushambi</v>
      </c>
      <c r="Y1078" s="32" t="str">
        <f t="shared" si="9"/>
        <v>https://steelmanufacturer.in/market-area/electropolished-pipes-manufacturer-in-kaushambi/</v>
      </c>
      <c r="Z1078" s="15" t="str">
        <f t="shared" si="10"/>
        <v>Electropolished Pipes Manufacturer in Kaushambi</v>
      </c>
      <c r="AA1078" s="15" t="str">
        <f t="shared" si="11"/>
        <v>OK (47)</v>
      </c>
      <c r="AB1078" s="15" t="str">
        <f t="shared" si="12"/>
        <v>Sanitary electropolished pipes in Kaushambi for VERIFY plants. ASME BPE SF1-SF4, orbital-weld ready, 3.1 MTC. Mumbai-made.</v>
      </c>
      <c r="AC1078" s="15" t="str">
        <f t="shared" si="13"/>
        <v>PENDING RESEARCH</v>
      </c>
      <c r="AD1078" s="15" t="str">
        <f t="shared" si="14"/>
        <v>Electropolished Pipes Manufacturer in Kaushambi</v>
      </c>
      <c r="AE1078" s="15" t="str">
        <f t="shared" si="15"/>
        <v>Electropolished Tube Manufacturing Capability Serving Kaushambi</v>
      </c>
      <c r="AF1078" s="15" t="str">
        <f t="shared" si="16"/>
        <v>Electropolished Pipes Supplier in Kaushambi - From Order to Delivery</v>
      </c>
      <c r="AG1078" s="15" t="str">
        <f t="shared" si="17"/>
        <v>Stockist &amp; Wholesale Supply of Electropolished Pipes in Kaushambi</v>
      </c>
      <c r="AH1078" s="15" t="str">
        <f t="shared" si="18"/>
        <v>electropolished pipes manufacturer in Kaushambi, electropolished pipes supplier in Kaushambi, electropolished pipes wholesaler in Kaushambi, electropolished tube manufacturer Kaushambi, EP pipe supplier Kaushambi, sanitary tube supplier Kaushambi, ASME BPE tubing Kaushambi, ASTM A270 tube Kaushambi, SS 316L electropolished pipe Kaushambi</v>
      </c>
      <c r="AI1078" s="15" t="str">
        <f t="shared" si="19"/>
        <v>Electropolished Pipes Manufacturer &amp; Supplier in Kaushambi</v>
      </c>
      <c r="AJ1078" s="15" t="str">
        <f t="shared" si="20"/>
        <v>EP-finished SS 304/316L pipes and tubes for VERIFY plants in Kaushambi. ASME BPE SF1-SF4, Ra from 0.25 um, EN 10204 3.1 certificate with every lot.</v>
      </c>
      <c r="AK1078" s="15" t="str">
        <f t="shared" si="21"/>
        <v>Electropolished stainless steel pipes supplied by Sakshi Forge to VERIFY plants at UPSIDA Industrial Area, Kaushambi</v>
      </c>
      <c r="AL1078" s="15" t="str">
        <f t="shared" si="22"/>
        <v>Electropolished SS 316L tube stock for Kaushambi - Sakshi Forge</v>
      </c>
      <c r="AM1078" s="15" t="str">
        <f t="shared" si="23"/>
        <v>Home &gt; Market Area &gt; India &gt; Uttar Pradesh &gt; Kaushambi</v>
      </c>
      <c r="AN1078" s="15">
        <f t="shared" si="24"/>
        <v>750</v>
      </c>
      <c r="AO1078" s="15">
        <f t="shared" si="25"/>
        <v>6</v>
      </c>
      <c r="AP1078" s="15">
        <f t="shared" si="26"/>
        <v>6</v>
      </c>
      <c r="AQ1078" s="15">
        <f t="shared" si="27"/>
        <v>18</v>
      </c>
      <c r="AR1078" s="31"/>
      <c r="AS1078" s="31"/>
      <c r="AT1078" s="35" t="s">
        <v>222</v>
      </c>
      <c r="AU1078" s="35"/>
    </row>
    <row r="1079" ht="15.75" customHeight="1">
      <c r="A1079" s="15" t="s">
        <v>5613</v>
      </c>
      <c r="B1079" s="15" t="s">
        <v>60</v>
      </c>
      <c r="C1079" s="15" t="s">
        <v>775</v>
      </c>
      <c r="D1079" s="15" t="s">
        <v>5614</v>
      </c>
      <c r="E1079" s="15" t="s">
        <v>5614</v>
      </c>
      <c r="F1079" s="58" t="s">
        <v>807</v>
      </c>
      <c r="G1079" s="66" t="s">
        <v>98</v>
      </c>
      <c r="H1079" s="18" t="s">
        <v>5616</v>
      </c>
      <c r="I1079" s="18" t="s">
        <v>8399</v>
      </c>
      <c r="J1079" s="18" t="s">
        <v>98</v>
      </c>
      <c r="K1079" s="18" t="s">
        <v>98</v>
      </c>
      <c r="L1079" s="18" t="s">
        <v>98</v>
      </c>
      <c r="M1079" s="18" t="s">
        <v>98</v>
      </c>
      <c r="N1079" s="18" t="s">
        <v>98</v>
      </c>
      <c r="O1079" s="18" t="s">
        <v>98</v>
      </c>
      <c r="P1079" s="15" t="str">
        <f t="shared" si="1"/>
        <v>VERIFY</v>
      </c>
      <c r="Q1079" s="15">
        <f t="shared" si="2"/>
        <v>4</v>
      </c>
      <c r="R1079" s="15">
        <f t="shared" si="3"/>
        <v>5</v>
      </c>
      <c r="S1079" s="15">
        <f t="shared" si="4"/>
        <v>1</v>
      </c>
      <c r="T1079" s="15" t="str">
        <f t="shared" si="5"/>
        <v>C-2</v>
      </c>
      <c r="U1079" s="15" t="str">
        <f t="shared" si="6"/>
        <v>T4-M5-H1-FC-2-VERIFY</v>
      </c>
      <c r="V1079" s="15">
        <f t="shared" si="7"/>
        <v>0</v>
      </c>
      <c r="W1079" s="31"/>
      <c r="X1079" s="15" t="str">
        <f t="shared" si="8"/>
        <v>kawardha</v>
      </c>
      <c r="Y1079" s="32" t="str">
        <f t="shared" si="9"/>
        <v>https://steelmanufacturer.in/market-area/electropolished-pipes-manufacturer-in-kawardha/</v>
      </c>
      <c r="Z1079" s="15" t="str">
        <f t="shared" si="10"/>
        <v>Electropolished Pipes Manufacturer in Kawardha</v>
      </c>
      <c r="AA1079" s="15" t="str">
        <f t="shared" si="11"/>
        <v>OK (46)</v>
      </c>
      <c r="AB1079" s="15" t="str">
        <f t="shared" si="12"/>
        <v>Manufacturer of electropolished SS 316L tube serving Kawardha. VERIFY. Ra 0.25-0.5 um, EN 10204 3.1 MTC.</v>
      </c>
      <c r="AC1079" s="15" t="str">
        <f t="shared" si="13"/>
        <v>PENDING RESEARCH</v>
      </c>
      <c r="AD1079" s="15" t="str">
        <f t="shared" si="14"/>
        <v>Electropolished Pipes Manufacturer in Kawardha</v>
      </c>
      <c r="AE1079" s="15" t="str">
        <f t="shared" si="15"/>
        <v>Electropolished Pipe &amp; Tube Manufacturing for Kawardha - Grades, Finishes &amp; Certification</v>
      </c>
      <c r="AF1079" s="15" t="str">
        <f t="shared" si="16"/>
        <v>Electropolished Pipes Supplier in Kawardha - Stock Sizes, Lead Time &amp; Delivery</v>
      </c>
      <c r="AG1079" s="15" t="str">
        <f t="shared" si="17"/>
        <v>Electropolished Pipes Wholesaler &amp; Stockist in Kawardha - Bulk &amp; Project Pricing</v>
      </c>
      <c r="AH1079" s="15" t="str">
        <f t="shared" si="18"/>
        <v>electropolished pipes manufacturer in Kawardha, electropolished pipes supplier in Kawardha, electropolished pipes wholesaler in Kawardha, electropolished tube manufacturer Kawardha, EP pipe supplier Kawardha, sanitary tube supplier Kawardha, ASME BPE tubing Kawardha, ASTM A270 tube Kawardha, SS 316L electropolished pipe Kawardha</v>
      </c>
      <c r="AI1079" s="15" t="str">
        <f t="shared" si="19"/>
        <v>Electropolished Pipes Manufacturer &amp; Supplier in Kawardha</v>
      </c>
      <c r="AJ1079" s="15" t="str">
        <f t="shared" si="20"/>
        <v>EP-finished SS 304/316L pipes and tubes for VERIFY plants in Kawardha. ASME BPE SF1-SF4, Ra from 0.25 um, EN 10204 3.1 certificate with every lot.</v>
      </c>
      <c r="AK1079" s="15" t="str">
        <f t="shared" si="21"/>
        <v>Electropolished stainless steel pipes supplied by Sakshi Forge to VERIFY plants at CSIDC Industrial Area, Kawardha</v>
      </c>
      <c r="AL1079" s="15" t="str">
        <f t="shared" si="22"/>
        <v>Electropolished SS 316L tube stock for Kawardha - Sakshi Forge</v>
      </c>
      <c r="AM1079" s="15" t="str">
        <f t="shared" si="23"/>
        <v>Home &gt; Market Area &gt; India &gt; Chhattisgarh &gt; Kawardha</v>
      </c>
      <c r="AN1079" s="15">
        <f t="shared" si="24"/>
        <v>750</v>
      </c>
      <c r="AO1079" s="15">
        <f t="shared" si="25"/>
        <v>6</v>
      </c>
      <c r="AP1079" s="15">
        <f t="shared" si="26"/>
        <v>6</v>
      </c>
      <c r="AQ1079" s="15">
        <f t="shared" si="27"/>
        <v>18</v>
      </c>
      <c r="AR1079" s="31"/>
      <c r="AS1079" s="31"/>
      <c r="AT1079" s="35" t="s">
        <v>222</v>
      </c>
      <c r="AU1079" s="35"/>
    </row>
    <row r="1080" ht="15.75" customHeight="1">
      <c r="A1080" s="15" t="s">
        <v>5617</v>
      </c>
      <c r="B1080" s="15" t="s">
        <v>60</v>
      </c>
      <c r="C1080" s="15" t="s">
        <v>1687</v>
      </c>
      <c r="D1080" s="15" t="s">
        <v>5618</v>
      </c>
      <c r="E1080" s="15" t="s">
        <v>5618</v>
      </c>
      <c r="F1080" s="58" t="s">
        <v>807</v>
      </c>
      <c r="G1080" s="66" t="s">
        <v>98</v>
      </c>
      <c r="H1080" s="18" t="s">
        <v>5620</v>
      </c>
      <c r="I1080" s="18" t="s">
        <v>8397</v>
      </c>
      <c r="J1080" s="18" t="s">
        <v>98</v>
      </c>
      <c r="K1080" s="18" t="s">
        <v>98</v>
      </c>
      <c r="L1080" s="18" t="s">
        <v>98</v>
      </c>
      <c r="M1080" s="18" t="s">
        <v>98</v>
      </c>
      <c r="N1080" s="18" t="s">
        <v>98</v>
      </c>
      <c r="O1080" s="18" t="s">
        <v>98</v>
      </c>
      <c r="P1080" s="15" t="str">
        <f t="shared" si="1"/>
        <v>VERIFY</v>
      </c>
      <c r="Q1080" s="15">
        <f t="shared" si="2"/>
        <v>5</v>
      </c>
      <c r="R1080" s="15">
        <f t="shared" si="3"/>
        <v>6</v>
      </c>
      <c r="S1080" s="15">
        <f t="shared" si="4"/>
        <v>2</v>
      </c>
      <c r="T1080" s="15" t="str">
        <f t="shared" si="5"/>
        <v>C-3</v>
      </c>
      <c r="U1080" s="15" t="str">
        <f t="shared" si="6"/>
        <v>T5-M6-H2-FC-3-VERIFY</v>
      </c>
      <c r="V1080" s="15">
        <f t="shared" si="7"/>
        <v>0</v>
      </c>
      <c r="W1080" s="31"/>
      <c r="X1080" s="15" t="str">
        <f t="shared" si="8"/>
        <v>kayamkulam</v>
      </c>
      <c r="Y1080" s="32" t="str">
        <f t="shared" si="9"/>
        <v>https://steelmanufacturer.in/market-area/electropolished-pipes-manufacturer-in-kayamkulam/</v>
      </c>
      <c r="Z1080" s="15" t="str">
        <f t="shared" si="10"/>
        <v>Electropolished Pipes Manufacturer in Kayamkulam</v>
      </c>
      <c r="AA1080" s="15" t="str">
        <f t="shared" si="11"/>
        <v>OK (48)</v>
      </c>
      <c r="AB1080" s="15" t="str">
        <f t="shared" si="12"/>
        <v>EP tube and pipe for VERIFY plants around KINFRA Industrial Area, Kayamkulam. Made at our Mumbai works to ASTM A270 and ASME BPE SF1-SF4, with 3.1 MTC.</v>
      </c>
      <c r="AC1080" s="15" t="str">
        <f t="shared" si="13"/>
        <v>PENDING RESEARCH</v>
      </c>
      <c r="AD1080" s="15" t="str">
        <f t="shared" si="14"/>
        <v>Electropolished Pipes Manufacturer in Kayamkulam</v>
      </c>
      <c r="AE1080" s="15" t="str">
        <f t="shared" si="15"/>
        <v>How We Manufacture Electropolished Tube for Kayamkulam Plants</v>
      </c>
      <c r="AF1080" s="15" t="str">
        <f t="shared" si="16"/>
        <v>Supplying Electropolished Pipes in Kayamkulam: Availability, Sizes &amp; Dispatch</v>
      </c>
      <c r="AG1080" s="15" t="str">
        <f t="shared" si="17"/>
        <v>Wholesale Electropolished Pipe Supply for Kayamkulam Projects</v>
      </c>
      <c r="AH1080" s="15" t="str">
        <f t="shared" si="18"/>
        <v>electropolished pipes manufacturer in Kayamkulam, electropolished pipes supplier in Kayamkulam, electropolished pipes wholesaler in Kayamkulam, electropolished tube manufacturer Kayamkulam, EP pipe supplier Kayamkulam, sanitary tube supplier Kayamkulam, ASME BPE tubing Kayamkulam, ASTM A270 tube Kayamkulam, SS 316L electropolished pipe Kayamkulam</v>
      </c>
      <c r="AI1080" s="15" t="str">
        <f t="shared" si="19"/>
        <v>Electropolished Pipes Manufacturer &amp; Supplier in Kayamkulam</v>
      </c>
      <c r="AJ1080" s="15" t="str">
        <f t="shared" si="20"/>
        <v>EP-finished SS 304/316L pipes and tubes for VERIFY plants in Kayamkulam. ASME BPE SF1-SF4, Ra from 0.25 um, EN 10204 3.1 certificate with every lot.</v>
      </c>
      <c r="AK1080" s="15" t="str">
        <f t="shared" si="21"/>
        <v>Electropolished stainless steel pipes supplied by Sakshi Forge to VERIFY plants at KINFRA Industrial Area, Kayamkulam</v>
      </c>
      <c r="AL1080" s="15" t="str">
        <f t="shared" si="22"/>
        <v>Electropolished SS 316L tube stock for Kayamkulam - Sakshi Forge</v>
      </c>
      <c r="AM1080" s="15" t="str">
        <f t="shared" si="23"/>
        <v>Home &gt; Market Area &gt; India &gt; Kerala &gt; Kayamkulam</v>
      </c>
      <c r="AN1080" s="15">
        <f t="shared" si="24"/>
        <v>750</v>
      </c>
      <c r="AO1080" s="15">
        <f t="shared" si="25"/>
        <v>6</v>
      </c>
      <c r="AP1080" s="15">
        <f t="shared" si="26"/>
        <v>6</v>
      </c>
      <c r="AQ1080" s="15">
        <f t="shared" si="27"/>
        <v>18</v>
      </c>
      <c r="AR1080" s="31"/>
      <c r="AS1080" s="31"/>
      <c r="AT1080" s="35" t="s">
        <v>222</v>
      </c>
      <c r="AU1080" s="35"/>
    </row>
    <row r="1081" ht="15.75" customHeight="1">
      <c r="A1081" s="15" t="s">
        <v>5621</v>
      </c>
      <c r="B1081" s="15" t="s">
        <v>60</v>
      </c>
      <c r="C1081" s="15" t="s">
        <v>236</v>
      </c>
      <c r="D1081" s="15" t="s">
        <v>5622</v>
      </c>
      <c r="E1081" s="15" t="s">
        <v>5622</v>
      </c>
      <c r="F1081" s="58" t="s">
        <v>807</v>
      </c>
      <c r="G1081" s="66" t="s">
        <v>98</v>
      </c>
      <c r="H1081" s="18" t="s">
        <v>5624</v>
      </c>
      <c r="I1081" s="18" t="s">
        <v>8391</v>
      </c>
      <c r="J1081" s="18" t="s">
        <v>98</v>
      </c>
      <c r="K1081" s="18" t="s">
        <v>98</v>
      </c>
      <c r="L1081" s="18" t="s">
        <v>98</v>
      </c>
      <c r="M1081" s="18" t="s">
        <v>98</v>
      </c>
      <c r="N1081" s="18" t="s">
        <v>98</v>
      </c>
      <c r="O1081" s="18" t="s">
        <v>98</v>
      </c>
      <c r="P1081" s="15" t="str">
        <f t="shared" si="1"/>
        <v>VERIFY</v>
      </c>
      <c r="Q1081" s="15">
        <f t="shared" si="2"/>
        <v>6</v>
      </c>
      <c r="R1081" s="15">
        <f t="shared" si="3"/>
        <v>7</v>
      </c>
      <c r="S1081" s="15">
        <f t="shared" si="4"/>
        <v>3</v>
      </c>
      <c r="T1081" s="15" t="str">
        <f t="shared" si="5"/>
        <v>C-4</v>
      </c>
      <c r="U1081" s="15" t="str">
        <f t="shared" si="6"/>
        <v>T6-M7-H3-FC-4-VERIFY</v>
      </c>
      <c r="V1081" s="15">
        <f t="shared" si="7"/>
        <v>0</v>
      </c>
      <c r="W1081" s="31"/>
      <c r="X1081" s="15" t="str">
        <f t="shared" si="8"/>
        <v>kekri</v>
      </c>
      <c r="Y1081" s="32" t="str">
        <f t="shared" si="9"/>
        <v>https://steelmanufacturer.in/market-area/electropolished-pipes-manufacturer-in-kekri/</v>
      </c>
      <c r="Z1081" s="15" t="str">
        <f t="shared" si="10"/>
        <v>Electropolished Pipes Manufacturer in Kekri</v>
      </c>
      <c r="AA1081" s="15" t="str">
        <f t="shared" si="11"/>
        <v>OK (43)</v>
      </c>
      <c r="AB1081" s="15" t="str">
        <f t="shared" si="12"/>
        <v>Electropolished pipes in Kekri: 304, 304L, 316 and 316L in SF1-SF4. VERIFY. Mill certified.</v>
      </c>
      <c r="AC1081" s="15" t="str">
        <f t="shared" si="13"/>
        <v>PENDING RESEARCH</v>
      </c>
      <c r="AD1081" s="15" t="str">
        <f t="shared" si="14"/>
        <v>Electropolished Pipes Manufacturer in Kekri</v>
      </c>
      <c r="AE1081" s="15" t="str">
        <f t="shared" si="15"/>
        <v>Electropolished Pipes Manufacturer in Kekri - Our Process &amp; Capability</v>
      </c>
      <c r="AF1081" s="15" t="str">
        <f t="shared" si="16"/>
        <v>Electropolished Pipes Supplier in Kekri - What We Hold in Stock</v>
      </c>
      <c r="AG1081" s="15" t="str">
        <f t="shared" si="17"/>
        <v>Bulk &amp; Wholesale Electropolished Pipe Rates for Kekri Buyers</v>
      </c>
      <c r="AH1081" s="15" t="str">
        <f t="shared" si="18"/>
        <v>electropolished pipes manufacturer in Kekri, electropolished pipes supplier in Kekri, electropolished pipes wholesaler in Kekri, electropolished tube manufacturer Kekri, EP pipe supplier Kekri, sanitary tube supplier Kekri, ASME BPE tubing Kekri, ASTM A270 tube Kekri, SS 316L electropolished pipe Kekri</v>
      </c>
      <c r="AI1081" s="15" t="str">
        <f t="shared" si="19"/>
        <v>Electropolished Pipes Manufacturer &amp; Supplier in Kekri</v>
      </c>
      <c r="AJ1081" s="15" t="str">
        <f t="shared" si="20"/>
        <v>EP-finished SS 304/316L pipes and tubes for VERIFY plants in Kekri. ASME BPE SF1-SF4, Ra from 0.25 um, EN 10204 3.1 certificate with every lot.</v>
      </c>
      <c r="AK1081" s="15" t="str">
        <f t="shared" si="21"/>
        <v>Electropolished stainless steel pipes supplied by Sakshi Forge to VERIFY plants at RIICO Industrial Area, Kekri</v>
      </c>
      <c r="AL1081" s="15" t="str">
        <f t="shared" si="22"/>
        <v>Electropolished SS 316L tube stock for Kekri - Sakshi Forge</v>
      </c>
      <c r="AM1081" s="15" t="str">
        <f t="shared" si="23"/>
        <v>Home &gt; Market Area &gt; India &gt; Rajasthan &gt; Kekri</v>
      </c>
      <c r="AN1081" s="15">
        <f t="shared" si="24"/>
        <v>750</v>
      </c>
      <c r="AO1081" s="15">
        <f t="shared" si="25"/>
        <v>6</v>
      </c>
      <c r="AP1081" s="15">
        <f t="shared" si="26"/>
        <v>6</v>
      </c>
      <c r="AQ1081" s="15">
        <f t="shared" si="27"/>
        <v>18</v>
      </c>
      <c r="AR1081" s="31"/>
      <c r="AS1081" s="31"/>
      <c r="AT1081" s="35" t="s">
        <v>222</v>
      </c>
      <c r="AU1081" s="35"/>
    </row>
    <row r="1082" ht="15.75" customHeight="1">
      <c r="A1082" s="15" t="s">
        <v>5625</v>
      </c>
      <c r="B1082" s="15" t="s">
        <v>60</v>
      </c>
      <c r="C1082" s="15" t="s">
        <v>1818</v>
      </c>
      <c r="D1082" s="15" t="s">
        <v>5626</v>
      </c>
      <c r="E1082" s="15" t="s">
        <v>5626</v>
      </c>
      <c r="F1082" s="58" t="s">
        <v>807</v>
      </c>
      <c r="G1082" s="66" t="s">
        <v>98</v>
      </c>
      <c r="H1082" s="18" t="s">
        <v>5628</v>
      </c>
      <c r="I1082" s="18" t="s">
        <v>8402</v>
      </c>
      <c r="J1082" s="18" t="s">
        <v>98</v>
      </c>
      <c r="K1082" s="18" t="s">
        <v>98</v>
      </c>
      <c r="L1082" s="18" t="s">
        <v>98</v>
      </c>
      <c r="M1082" s="18" t="s">
        <v>98</v>
      </c>
      <c r="N1082" s="18" t="s">
        <v>98</v>
      </c>
      <c r="O1082" s="18" t="s">
        <v>98</v>
      </c>
      <c r="P1082" s="15" t="str">
        <f t="shared" si="1"/>
        <v>VERIFY</v>
      </c>
      <c r="Q1082" s="15">
        <f t="shared" si="2"/>
        <v>7</v>
      </c>
      <c r="R1082" s="15">
        <f t="shared" si="3"/>
        <v>1</v>
      </c>
      <c r="S1082" s="15">
        <f t="shared" si="4"/>
        <v>4</v>
      </c>
      <c r="T1082" s="15" t="str">
        <f t="shared" si="5"/>
        <v>C-5</v>
      </c>
      <c r="U1082" s="15" t="str">
        <f t="shared" si="6"/>
        <v>T7-M1-H4-FC-5-VERIFY</v>
      </c>
      <c r="V1082" s="15">
        <f t="shared" si="7"/>
        <v>0</v>
      </c>
      <c r="W1082" s="31"/>
      <c r="X1082" s="15" t="str">
        <f t="shared" si="8"/>
        <v>khagaria</v>
      </c>
      <c r="Y1082" s="32" t="str">
        <f t="shared" si="9"/>
        <v>https://steelmanufacturer.in/market-area/electropolished-pipes-manufacturer-in-khagaria/</v>
      </c>
      <c r="Z1082" s="15" t="str">
        <f t="shared" si="10"/>
        <v>Electropolished Pipes Manufacturer in Khagaria | ASME BPE SF1-SF4</v>
      </c>
      <c r="AA1082" s="15" t="str">
        <f t="shared" si="11"/>
        <v>OK (65)</v>
      </c>
      <c r="AB1082" s="15" t="str">
        <f t="shared" si="12"/>
        <v>EP-finished SS 304/316L pipes &amp; tubes for VERIFY plants in Khagaria. ASTM A270, ASME BPE SF1-SF4, EN 10204 3.1 MTC. PMI tested.</v>
      </c>
      <c r="AC1082" s="15" t="str">
        <f t="shared" si="13"/>
        <v>PENDING RESEARCH</v>
      </c>
      <c r="AD1082" s="15" t="str">
        <f t="shared" si="14"/>
        <v>Electropolished Pipes Manufacturer in Khagaria</v>
      </c>
      <c r="AE1082" s="15" t="str">
        <f t="shared" si="15"/>
        <v>Manufacturing Electropolished SS Tube for Khagaria: The Standards We Build To</v>
      </c>
      <c r="AF1082" s="15" t="str">
        <f t="shared" si="16"/>
        <v>Electropolished Pipe Supply Into Khagaria - Certification &amp; Transit</v>
      </c>
      <c r="AG1082" s="15" t="str">
        <f t="shared" si="17"/>
        <v>Electropolished Pipes Wholesaler in Khagaria - Project Quantities &amp; Terms</v>
      </c>
      <c r="AH1082" s="15" t="str">
        <f t="shared" si="18"/>
        <v>electropolished pipes manufacturer in Khagaria, electropolished pipes supplier in Khagaria, electropolished pipes wholesaler in Khagaria, electropolished tube manufacturer Khagaria, EP pipe supplier Khagaria, sanitary tube supplier Khagaria, ASME BPE tubing Khagaria, ASTM A270 tube Khagaria, SS 316L electropolished pipe Khagaria</v>
      </c>
      <c r="AI1082" s="15" t="str">
        <f t="shared" si="19"/>
        <v>Electropolished Pipes Manufacturer &amp; Supplier in Khagaria</v>
      </c>
      <c r="AJ1082" s="15" t="str">
        <f t="shared" si="20"/>
        <v>EP-finished SS 304/316L pipes and tubes for VERIFY plants in Khagaria. ASME BPE SF1-SF4, Ra from 0.25 um, EN 10204 3.1 certificate with every lot.</v>
      </c>
      <c r="AK1082" s="15" t="str">
        <f t="shared" si="21"/>
        <v>Electropolished stainless steel pipes supplied by Sakshi Forge to VERIFY plants at BIADA Industrial Area, Khagaria</v>
      </c>
      <c r="AL1082" s="15" t="str">
        <f t="shared" si="22"/>
        <v>Electropolished SS 316L tube stock for Khagaria - Sakshi Forge</v>
      </c>
      <c r="AM1082" s="15" t="str">
        <f t="shared" si="23"/>
        <v>Home &gt; Market Area &gt; India &gt; Bihar &gt; Khagaria</v>
      </c>
      <c r="AN1082" s="15">
        <f t="shared" si="24"/>
        <v>750</v>
      </c>
      <c r="AO1082" s="15">
        <f t="shared" si="25"/>
        <v>6</v>
      </c>
      <c r="AP1082" s="15">
        <f t="shared" si="26"/>
        <v>6</v>
      </c>
      <c r="AQ1082" s="15">
        <f t="shared" si="27"/>
        <v>18</v>
      </c>
      <c r="AR1082" s="31"/>
      <c r="AS1082" s="31"/>
      <c r="AT1082" s="35" t="s">
        <v>222</v>
      </c>
      <c r="AU1082" s="35"/>
    </row>
    <row r="1083" ht="15.75" customHeight="1">
      <c r="A1083" s="15" t="s">
        <v>5629</v>
      </c>
      <c r="B1083" s="15" t="s">
        <v>60</v>
      </c>
      <c r="C1083" s="15" t="s">
        <v>236</v>
      </c>
      <c r="D1083" s="15" t="s">
        <v>5630</v>
      </c>
      <c r="E1083" s="15" t="s">
        <v>5630</v>
      </c>
      <c r="F1083" s="58" t="s">
        <v>807</v>
      </c>
      <c r="G1083" s="66" t="s">
        <v>98</v>
      </c>
      <c r="H1083" s="18" t="s">
        <v>5632</v>
      </c>
      <c r="I1083" s="18" t="s">
        <v>8391</v>
      </c>
      <c r="J1083" s="18" t="s">
        <v>98</v>
      </c>
      <c r="K1083" s="18" t="s">
        <v>98</v>
      </c>
      <c r="L1083" s="18" t="s">
        <v>98</v>
      </c>
      <c r="M1083" s="18" t="s">
        <v>98</v>
      </c>
      <c r="N1083" s="18" t="s">
        <v>98</v>
      </c>
      <c r="O1083" s="18" t="s">
        <v>98</v>
      </c>
      <c r="P1083" s="15" t="str">
        <f t="shared" si="1"/>
        <v>VERIFY</v>
      </c>
      <c r="Q1083" s="15">
        <f t="shared" si="2"/>
        <v>8</v>
      </c>
      <c r="R1083" s="15">
        <f t="shared" si="3"/>
        <v>2</v>
      </c>
      <c r="S1083" s="15">
        <f t="shared" si="4"/>
        <v>5</v>
      </c>
      <c r="T1083" s="15" t="str">
        <f t="shared" si="5"/>
        <v>C-6</v>
      </c>
      <c r="U1083" s="15" t="str">
        <f t="shared" si="6"/>
        <v>T8-M2-H5-FC-6-VERIFY</v>
      </c>
      <c r="V1083" s="15">
        <f t="shared" si="7"/>
        <v>0</v>
      </c>
      <c r="W1083" s="31"/>
      <c r="X1083" s="15" t="str">
        <f t="shared" si="8"/>
        <v>khairthal</v>
      </c>
      <c r="Y1083" s="32" t="str">
        <f t="shared" si="9"/>
        <v>https://steelmanufacturer.in/market-area/electropolished-pipes-manufacturer-in-khairthal/</v>
      </c>
      <c r="Z1083" s="15" t="str">
        <f t="shared" si="10"/>
        <v>Electropolished Pipes Manufacturer in Khairthal</v>
      </c>
      <c r="AA1083" s="15" t="str">
        <f t="shared" si="11"/>
        <v>OK (47)</v>
      </c>
      <c r="AB1083" s="15" t="str">
        <f t="shared" si="12"/>
        <v>Electropolished tube supply to RIICO Industrial Area, Khairthal. Ra from 0.25 um, SF4 finish, mill test certificate with every lot.</v>
      </c>
      <c r="AC1083" s="15" t="str">
        <f t="shared" si="13"/>
        <v>PENDING RESEARCH</v>
      </c>
      <c r="AD1083" s="15" t="str">
        <f t="shared" si="14"/>
        <v>Electropolished Pipes Manufacturer in Khairthal</v>
      </c>
      <c r="AE1083" s="15" t="str">
        <f t="shared" si="15"/>
        <v>Electropolished Tube Manufacturing Capability Serving Khairthal</v>
      </c>
      <c r="AF1083" s="15" t="str">
        <f t="shared" si="16"/>
        <v>Electropolished Pipes Supplier in Khairthal - From Order to Delivery</v>
      </c>
      <c r="AG1083" s="15" t="str">
        <f t="shared" si="17"/>
        <v>Stockist &amp; Wholesale Supply of Electropolished Pipes in Khairthal</v>
      </c>
      <c r="AH1083" s="15" t="str">
        <f t="shared" si="18"/>
        <v>electropolished pipes manufacturer in Khairthal, electropolished pipes supplier in Khairthal, electropolished pipes wholesaler in Khairthal, electropolished tube manufacturer Khairthal, EP pipe supplier Khairthal, sanitary tube supplier Khairthal, ASME BPE tubing Khairthal, ASTM A270 tube Khairthal, SS 316L electropolished pipe Khairthal</v>
      </c>
      <c r="AI1083" s="15" t="str">
        <f t="shared" si="19"/>
        <v>Electropolished Pipes Manufacturer &amp; Supplier in Khairthal</v>
      </c>
      <c r="AJ1083" s="15" t="str">
        <f t="shared" si="20"/>
        <v>EP-finished SS 304/316L pipes and tubes for VERIFY plants in Khairthal. ASME BPE SF1-SF4, Ra from 0.25 um, EN 10204 3.1 certificate with every lot.</v>
      </c>
      <c r="AK1083" s="15" t="str">
        <f t="shared" si="21"/>
        <v>Electropolished stainless steel pipes supplied by Sakshi Forge to VERIFY plants at RIICO Industrial Area, Khairthal</v>
      </c>
      <c r="AL1083" s="15" t="str">
        <f t="shared" si="22"/>
        <v>Electropolished SS 316L tube stock for Khairthal - Sakshi Forge</v>
      </c>
      <c r="AM1083" s="15" t="str">
        <f t="shared" si="23"/>
        <v>Home &gt; Market Area &gt; India &gt; Rajasthan &gt; Khairthal</v>
      </c>
      <c r="AN1083" s="15">
        <f t="shared" si="24"/>
        <v>750</v>
      </c>
      <c r="AO1083" s="15">
        <f t="shared" si="25"/>
        <v>6</v>
      </c>
      <c r="AP1083" s="15">
        <f t="shared" si="26"/>
        <v>6</v>
      </c>
      <c r="AQ1083" s="15">
        <f t="shared" si="27"/>
        <v>18</v>
      </c>
      <c r="AR1083" s="31"/>
      <c r="AS1083" s="31"/>
      <c r="AT1083" s="35" t="s">
        <v>222</v>
      </c>
      <c r="AU1083" s="35"/>
    </row>
    <row r="1084" ht="15.75" customHeight="1">
      <c r="A1084" s="15" t="s">
        <v>5633</v>
      </c>
      <c r="B1084" s="15" t="s">
        <v>60</v>
      </c>
      <c r="C1084" s="15" t="s">
        <v>224</v>
      </c>
      <c r="D1084" s="15" t="s">
        <v>5634</v>
      </c>
      <c r="E1084" s="15" t="s">
        <v>5634</v>
      </c>
      <c r="F1084" s="58" t="s">
        <v>807</v>
      </c>
      <c r="G1084" s="66" t="s">
        <v>98</v>
      </c>
      <c r="H1084" s="18" t="s">
        <v>5638</v>
      </c>
      <c r="I1084" s="18" t="s">
        <v>8400</v>
      </c>
      <c r="J1084" s="18" t="s">
        <v>98</v>
      </c>
      <c r="K1084" s="18" t="s">
        <v>98</v>
      </c>
      <c r="L1084" s="18" t="s">
        <v>98</v>
      </c>
      <c r="M1084" s="18" t="s">
        <v>98</v>
      </c>
      <c r="N1084" s="18" t="s">
        <v>98</v>
      </c>
      <c r="O1084" s="18" t="s">
        <v>98</v>
      </c>
      <c r="P1084" s="15" t="str">
        <f t="shared" si="1"/>
        <v>VERIFY</v>
      </c>
      <c r="Q1084" s="15">
        <f t="shared" si="2"/>
        <v>1</v>
      </c>
      <c r="R1084" s="15">
        <f t="shared" si="3"/>
        <v>3</v>
      </c>
      <c r="S1084" s="15">
        <f t="shared" si="4"/>
        <v>1</v>
      </c>
      <c r="T1084" s="15" t="str">
        <f t="shared" si="5"/>
        <v>C-1</v>
      </c>
      <c r="U1084" s="15" t="str">
        <f t="shared" si="6"/>
        <v>T1-M3-H1-FC-1-VERIFY</v>
      </c>
      <c r="V1084" s="15">
        <f t="shared" si="7"/>
        <v>0</v>
      </c>
      <c r="W1084" s="31"/>
      <c r="X1084" s="15" t="str">
        <f t="shared" si="8"/>
        <v>khambhat</v>
      </c>
      <c r="Y1084" s="32" t="str">
        <f t="shared" si="9"/>
        <v>https://steelmanufacturer.in/market-area/electropolished-pipes-manufacturer-in-khambhat/</v>
      </c>
      <c r="Z1084" s="15" t="str">
        <f t="shared" si="10"/>
        <v>Electropolished Pipes Manufacturer in Khambhat | Sakshi Forge</v>
      </c>
      <c r="AA1084" s="15" t="str">
        <f t="shared" si="11"/>
        <v>OK (61)</v>
      </c>
      <c r="AB1084" s="15" t="str">
        <f t="shared" si="12"/>
        <v>EP stainless tube for VERIFY lines in Khambhat. VERIFY. ASTM A270 S2, PMI tested, EN 10204 3.1.</v>
      </c>
      <c r="AC1084" s="15" t="str">
        <f t="shared" si="13"/>
        <v>PENDING RESEARCH</v>
      </c>
      <c r="AD1084" s="15" t="str">
        <f t="shared" si="14"/>
        <v>Electropolished Pipes Manufacturer in Khambhat</v>
      </c>
      <c r="AE1084" s="15" t="str">
        <f t="shared" si="15"/>
        <v>Electropolished Pipe &amp; Tube Manufacturing for Khambhat - Grades, Finishes &amp; Certification</v>
      </c>
      <c r="AF1084" s="15" t="str">
        <f t="shared" si="16"/>
        <v>Electropolished Pipes Supplier in Khambhat - Stock Sizes, Lead Time &amp; Delivery</v>
      </c>
      <c r="AG1084" s="15" t="str">
        <f t="shared" si="17"/>
        <v>Electropolished Pipes Wholesaler &amp; Stockist in Khambhat - Bulk &amp; Project Pricing</v>
      </c>
      <c r="AH1084" s="15" t="str">
        <f t="shared" si="18"/>
        <v>electropolished pipes manufacturer in Khambhat, electropolished pipes supplier in Khambhat, electropolished pipes wholesaler in Khambhat, electropolished tube manufacturer Khambhat, EP pipe supplier Khambhat, sanitary tube supplier Khambhat, ASME BPE tubing Khambhat, ASTM A270 tube Khambhat, SS 316L electropolished pipe Khambhat</v>
      </c>
      <c r="AI1084" s="15" t="str">
        <f t="shared" si="19"/>
        <v>Electropolished Pipes Manufacturer &amp; Supplier in Khambhat</v>
      </c>
      <c r="AJ1084" s="15" t="str">
        <f t="shared" si="20"/>
        <v>EP-finished SS 304/316L pipes and tubes for VERIFY plants in Khambhat. ASME BPE SF1-SF4, Ra from 0.25 um, EN 10204 3.1 certificate with every lot.</v>
      </c>
      <c r="AK1084" s="15" t="str">
        <f t="shared" si="21"/>
        <v>Electropolished stainless steel pipes supplied by Sakshi Forge to VERIFY plants at GIDC Industrial Area, Khambhat</v>
      </c>
      <c r="AL1084" s="15" t="str">
        <f t="shared" si="22"/>
        <v>Electropolished SS 316L tube stock for Khambhat - Sakshi Forge</v>
      </c>
      <c r="AM1084" s="15" t="str">
        <f t="shared" si="23"/>
        <v>Home &gt; Market Area &gt; India &gt; Gujarat &gt; Khambhat</v>
      </c>
      <c r="AN1084" s="15">
        <f t="shared" si="24"/>
        <v>750</v>
      </c>
      <c r="AO1084" s="15">
        <f t="shared" si="25"/>
        <v>6</v>
      </c>
      <c r="AP1084" s="15">
        <f t="shared" si="26"/>
        <v>6</v>
      </c>
      <c r="AQ1084" s="15">
        <f t="shared" si="27"/>
        <v>19</v>
      </c>
      <c r="AR1084" s="31"/>
      <c r="AS1084" s="31"/>
      <c r="AT1084" s="35" t="s">
        <v>222</v>
      </c>
      <c r="AU1084" s="35"/>
    </row>
    <row r="1085" ht="15.75" customHeight="1">
      <c r="A1085" s="15" t="s">
        <v>5641</v>
      </c>
      <c r="B1085" s="15" t="s">
        <v>60</v>
      </c>
      <c r="C1085" s="15" t="s">
        <v>354</v>
      </c>
      <c r="D1085" s="15" t="s">
        <v>5643</v>
      </c>
      <c r="E1085" s="15" t="s">
        <v>5643</v>
      </c>
      <c r="F1085" s="58" t="s">
        <v>807</v>
      </c>
      <c r="G1085" s="66" t="s">
        <v>98</v>
      </c>
      <c r="H1085" s="18" t="s">
        <v>5645</v>
      </c>
      <c r="I1085" s="18" t="s">
        <v>8408</v>
      </c>
      <c r="J1085" s="18" t="s">
        <v>98</v>
      </c>
      <c r="K1085" s="18" t="s">
        <v>98</v>
      </c>
      <c r="L1085" s="18" t="s">
        <v>98</v>
      </c>
      <c r="M1085" s="18" t="s">
        <v>98</v>
      </c>
      <c r="N1085" s="18" t="s">
        <v>98</v>
      </c>
      <c r="O1085" s="18" t="s">
        <v>98</v>
      </c>
      <c r="P1085" s="15" t="str">
        <f t="shared" si="1"/>
        <v>VERIFY</v>
      </c>
      <c r="Q1085" s="15">
        <f t="shared" si="2"/>
        <v>2</v>
      </c>
      <c r="R1085" s="15">
        <f t="shared" si="3"/>
        <v>4</v>
      </c>
      <c r="S1085" s="15">
        <f t="shared" si="4"/>
        <v>2</v>
      </c>
      <c r="T1085" s="15" t="str">
        <f t="shared" si="5"/>
        <v>C-2</v>
      </c>
      <c r="U1085" s="15" t="str">
        <f t="shared" si="6"/>
        <v>T2-M4-H2-FC-2-VERIFY</v>
      </c>
      <c r="V1085" s="15">
        <f t="shared" si="7"/>
        <v>0</v>
      </c>
      <c r="W1085" s="31"/>
      <c r="X1085" s="15" t="str">
        <f t="shared" si="8"/>
        <v>kharar</v>
      </c>
      <c r="Y1085" s="32" t="str">
        <f t="shared" si="9"/>
        <v>https://steelmanufacturer.in/market-area/electropolished-pipes-manufacturer-in-kharar/</v>
      </c>
      <c r="Z1085" s="15" t="str">
        <f t="shared" si="10"/>
        <v>Electropolished Pipes Manufacturer in Kharar</v>
      </c>
      <c r="AA1085" s="15" t="str">
        <f t="shared" si="11"/>
        <v>OK (44)</v>
      </c>
      <c r="AB1085" s="15" t="str">
        <f t="shared" si="12"/>
        <v>Sanitary electropolished pipes in Kharar for VERIFY plants. ASME BPE SF1-SF4, orbital-weld ready, 3.1 MTC. Mumbai-made.</v>
      </c>
      <c r="AC1085" s="15" t="str">
        <f t="shared" si="13"/>
        <v>PENDING RESEARCH</v>
      </c>
      <c r="AD1085" s="15" t="str">
        <f t="shared" si="14"/>
        <v>Electropolished Pipes Manufacturer in Kharar</v>
      </c>
      <c r="AE1085" s="15" t="str">
        <f t="shared" si="15"/>
        <v>How We Manufacture Electropolished Tube for Kharar Plants</v>
      </c>
      <c r="AF1085" s="15" t="str">
        <f t="shared" si="16"/>
        <v>Supplying Electropolished Pipes in Kharar: Availability, Sizes &amp; Dispatch</v>
      </c>
      <c r="AG1085" s="15" t="str">
        <f t="shared" si="17"/>
        <v>Wholesale Electropolished Pipe Supply for Kharar Projects</v>
      </c>
      <c r="AH1085" s="15" t="str">
        <f t="shared" si="18"/>
        <v>electropolished pipes manufacturer in Kharar, electropolished pipes supplier in Kharar, electropolished pipes wholesaler in Kharar, electropolished tube manufacturer Kharar, EP pipe supplier Kharar, sanitary tube supplier Kharar, ASME BPE tubing Kharar, ASTM A270 tube Kharar, SS 316L electropolished pipe Kharar</v>
      </c>
      <c r="AI1085" s="15" t="str">
        <f t="shared" si="19"/>
        <v>Electropolished Pipes Manufacturer &amp; Supplier in Kharar</v>
      </c>
      <c r="AJ1085" s="15" t="str">
        <f t="shared" si="20"/>
        <v>EP-finished SS 304/316L pipes and tubes for VERIFY plants in Kharar. ASME BPE SF1-SF4, Ra from 0.25 um, EN 10204 3.1 certificate with every lot.</v>
      </c>
      <c r="AK1085" s="15" t="str">
        <f t="shared" si="21"/>
        <v>Electropolished stainless steel pipes supplied by Sakshi Forge to VERIFY plants at PSIEC Industrial Area, Kharar</v>
      </c>
      <c r="AL1085" s="15" t="str">
        <f t="shared" si="22"/>
        <v>Electropolished SS 316L tube stock for Kharar - Sakshi Forge</v>
      </c>
      <c r="AM1085" s="15" t="str">
        <f t="shared" si="23"/>
        <v>Home &gt; Market Area &gt; India &gt; Punjab &gt; Kharar</v>
      </c>
      <c r="AN1085" s="15">
        <f t="shared" si="24"/>
        <v>750</v>
      </c>
      <c r="AO1085" s="15">
        <f t="shared" si="25"/>
        <v>6</v>
      </c>
      <c r="AP1085" s="15">
        <f t="shared" si="26"/>
        <v>6</v>
      </c>
      <c r="AQ1085" s="15">
        <f t="shared" si="27"/>
        <v>19</v>
      </c>
      <c r="AR1085" s="31"/>
      <c r="AS1085" s="31"/>
      <c r="AT1085" s="35" t="s">
        <v>222</v>
      </c>
      <c r="AU1085" s="35"/>
    </row>
    <row r="1086" ht="15.75" customHeight="1">
      <c r="A1086" s="15" t="s">
        <v>5646</v>
      </c>
      <c r="B1086" s="15" t="s">
        <v>60</v>
      </c>
      <c r="C1086" s="15" t="s">
        <v>842</v>
      </c>
      <c r="D1086" s="15" t="s">
        <v>5647</v>
      </c>
      <c r="E1086" s="15" t="s">
        <v>5647</v>
      </c>
      <c r="F1086" s="58" t="s">
        <v>807</v>
      </c>
      <c r="G1086" s="66" t="s">
        <v>98</v>
      </c>
      <c r="H1086" s="18" t="s">
        <v>5649</v>
      </c>
      <c r="I1086" s="18" t="s">
        <v>8413</v>
      </c>
      <c r="J1086" s="18" t="s">
        <v>98</v>
      </c>
      <c r="K1086" s="18" t="s">
        <v>98</v>
      </c>
      <c r="L1086" s="18" t="s">
        <v>98</v>
      </c>
      <c r="M1086" s="18" t="s">
        <v>98</v>
      </c>
      <c r="N1086" s="18" t="s">
        <v>98</v>
      </c>
      <c r="O1086" s="18" t="s">
        <v>98</v>
      </c>
      <c r="P1086" s="15" t="str">
        <f t="shared" si="1"/>
        <v>VERIFY</v>
      </c>
      <c r="Q1086" s="15">
        <f t="shared" si="2"/>
        <v>3</v>
      </c>
      <c r="R1086" s="15">
        <f t="shared" si="3"/>
        <v>5</v>
      </c>
      <c r="S1086" s="15">
        <f t="shared" si="4"/>
        <v>3</v>
      </c>
      <c r="T1086" s="15" t="str">
        <f t="shared" si="5"/>
        <v>C-3</v>
      </c>
      <c r="U1086" s="15" t="str">
        <f t="shared" si="6"/>
        <v>T3-M5-H3-FC-3-VERIFY</v>
      </c>
      <c r="V1086" s="15">
        <f t="shared" si="7"/>
        <v>0</v>
      </c>
      <c r="W1086" s="31"/>
      <c r="X1086" s="15" t="str">
        <f t="shared" si="8"/>
        <v>khargone</v>
      </c>
      <c r="Y1086" s="32" t="str">
        <f t="shared" si="9"/>
        <v>https://steelmanufacturer.in/market-area/electropolished-pipes-manufacturer-in-khargone/</v>
      </c>
      <c r="Z1086" s="15" t="str">
        <f t="shared" si="10"/>
        <v>Electropolished Pipes Manufacturer in Khargone | EP Tube Supplier</v>
      </c>
      <c r="AA1086" s="15" t="str">
        <f t="shared" si="11"/>
        <v>OK (65)</v>
      </c>
      <c r="AB1086" s="15" t="str">
        <f t="shared" si="12"/>
        <v>Manufacturer of electropolished SS 316L tube serving Khargone. VERIFY. Ra 0.25-0.5 um, EN 10204 3.1 MTC.</v>
      </c>
      <c r="AC1086" s="15" t="str">
        <f t="shared" si="13"/>
        <v>PENDING RESEARCH</v>
      </c>
      <c r="AD1086" s="15" t="str">
        <f t="shared" si="14"/>
        <v>Electropolished Pipes Manufacturer in Khargone</v>
      </c>
      <c r="AE1086" s="15" t="str">
        <f t="shared" si="15"/>
        <v>Electropolished Pipes Manufacturer in Khargone - Our Process &amp; Capability</v>
      </c>
      <c r="AF1086" s="15" t="str">
        <f t="shared" si="16"/>
        <v>Electropolished Pipes Supplier in Khargone - What We Hold in Stock</v>
      </c>
      <c r="AG1086" s="15" t="str">
        <f t="shared" si="17"/>
        <v>Bulk &amp; Wholesale Electropolished Pipe Rates for Khargone Buyers</v>
      </c>
      <c r="AH1086" s="15" t="str">
        <f t="shared" si="18"/>
        <v>electropolished pipes manufacturer in Khargone, electropolished pipes supplier in Khargone, electropolished pipes wholesaler in Khargone, electropolished tube manufacturer Khargone, EP pipe supplier Khargone, sanitary tube supplier Khargone, ASME BPE tubing Khargone, ASTM A270 tube Khargone, SS 316L electropolished pipe Khargone</v>
      </c>
      <c r="AI1086" s="15" t="str">
        <f t="shared" si="19"/>
        <v>Electropolished Pipes Manufacturer &amp; Supplier in Khargone</v>
      </c>
      <c r="AJ1086" s="15" t="str">
        <f t="shared" si="20"/>
        <v>EP-finished SS 304/316L pipes and tubes for VERIFY plants in Khargone. ASME BPE SF1-SF4, Ra from 0.25 um, EN 10204 3.1 certificate with every lot.</v>
      </c>
      <c r="AK1086" s="15" t="str">
        <f t="shared" si="21"/>
        <v>Electropolished stainless steel pipes supplied by Sakshi Forge to VERIFY plants at MPIDC Industrial Area, Khargone</v>
      </c>
      <c r="AL1086" s="15" t="str">
        <f t="shared" si="22"/>
        <v>Electropolished SS 316L tube stock for Khargone - Sakshi Forge</v>
      </c>
      <c r="AM1086" s="15" t="str">
        <f t="shared" si="23"/>
        <v>Home &gt; Market Area &gt; India &gt; Madhya Pradesh &gt; Khargone</v>
      </c>
      <c r="AN1086" s="15">
        <f t="shared" si="24"/>
        <v>750</v>
      </c>
      <c r="AO1086" s="15">
        <f t="shared" si="25"/>
        <v>6</v>
      </c>
      <c r="AP1086" s="15">
        <f t="shared" si="26"/>
        <v>6</v>
      </c>
      <c r="AQ1086" s="15">
        <f t="shared" si="27"/>
        <v>19</v>
      </c>
      <c r="AR1086" s="31"/>
      <c r="AS1086" s="31"/>
      <c r="AT1086" s="35" t="s">
        <v>222</v>
      </c>
      <c r="AU1086" s="35"/>
    </row>
    <row r="1087" ht="15.75" customHeight="1">
      <c r="A1087" s="15" t="s">
        <v>5650</v>
      </c>
      <c r="B1087" s="15" t="s">
        <v>60</v>
      </c>
      <c r="C1087" s="15" t="s">
        <v>245</v>
      </c>
      <c r="D1087" s="15" t="s">
        <v>5651</v>
      </c>
      <c r="E1087" s="15" t="s">
        <v>5651</v>
      </c>
      <c r="F1087" s="58" t="s">
        <v>807</v>
      </c>
      <c r="G1087" s="66" t="s">
        <v>98</v>
      </c>
      <c r="H1087" s="18" t="s">
        <v>5653</v>
      </c>
      <c r="I1087" s="18" t="s">
        <v>8407</v>
      </c>
      <c r="J1087" s="18" t="s">
        <v>98</v>
      </c>
      <c r="K1087" s="18" t="s">
        <v>98</v>
      </c>
      <c r="L1087" s="18" t="s">
        <v>98</v>
      </c>
      <c r="M1087" s="18" t="s">
        <v>98</v>
      </c>
      <c r="N1087" s="18" t="s">
        <v>98</v>
      </c>
      <c r="O1087" s="18" t="s">
        <v>98</v>
      </c>
      <c r="P1087" s="15" t="str">
        <f t="shared" si="1"/>
        <v>VERIFY</v>
      </c>
      <c r="Q1087" s="15">
        <f t="shared" si="2"/>
        <v>4</v>
      </c>
      <c r="R1087" s="15">
        <f t="shared" si="3"/>
        <v>6</v>
      </c>
      <c r="S1087" s="15">
        <f t="shared" si="4"/>
        <v>4</v>
      </c>
      <c r="T1087" s="15" t="str">
        <f t="shared" si="5"/>
        <v>C-4</v>
      </c>
      <c r="U1087" s="15" t="str">
        <f t="shared" si="6"/>
        <v>T4-M6-H4-FC-4-VERIFY</v>
      </c>
      <c r="V1087" s="15">
        <f t="shared" si="7"/>
        <v>0</v>
      </c>
      <c r="W1087" s="31"/>
      <c r="X1087" s="15" t="str">
        <f t="shared" si="8"/>
        <v>kharkhoda</v>
      </c>
      <c r="Y1087" s="32" t="str">
        <f t="shared" si="9"/>
        <v>https://steelmanufacturer.in/market-area/electropolished-pipes-manufacturer-in-kharkhoda/</v>
      </c>
      <c r="Z1087" s="15" t="str">
        <f t="shared" si="10"/>
        <v>Electropolished Pipes Manufacturer in Kharkhoda</v>
      </c>
      <c r="AA1087" s="15" t="str">
        <f t="shared" si="11"/>
        <v>OK (47)</v>
      </c>
      <c r="AB1087" s="15" t="str">
        <f t="shared" si="12"/>
        <v>EP tube and pipe for VERIFY plants around HSIIDC Industrial Area, Kharkhoda. Made at our Mumbai works to ASTM A270 and ASME BPE SF1-SF4, with 3.1 MTC.</v>
      </c>
      <c r="AC1087" s="15" t="str">
        <f t="shared" si="13"/>
        <v>PENDING RESEARCH</v>
      </c>
      <c r="AD1087" s="15" t="str">
        <f t="shared" si="14"/>
        <v>Electropolished Pipes Manufacturer in Kharkhoda</v>
      </c>
      <c r="AE1087" s="15" t="str">
        <f t="shared" si="15"/>
        <v>Manufacturing Electropolished SS Tube for Kharkhoda: The Standards We Build To</v>
      </c>
      <c r="AF1087" s="15" t="str">
        <f t="shared" si="16"/>
        <v>Electropolished Pipe Supply Into Kharkhoda - Certification &amp; Transit</v>
      </c>
      <c r="AG1087" s="15" t="str">
        <f t="shared" si="17"/>
        <v>Electropolished Pipes Wholesaler in Kharkhoda - Project Quantities &amp; Terms</v>
      </c>
      <c r="AH1087" s="15" t="str">
        <f t="shared" si="18"/>
        <v>electropolished pipes manufacturer in Kharkhoda, electropolished pipes supplier in Kharkhoda, electropolished pipes wholesaler in Kharkhoda, electropolished tube manufacturer Kharkhoda, EP pipe supplier Kharkhoda, sanitary tube supplier Kharkhoda, ASME BPE tubing Kharkhoda, ASTM A270 tube Kharkhoda, SS 316L electropolished pipe Kharkhoda</v>
      </c>
      <c r="AI1087" s="15" t="str">
        <f t="shared" si="19"/>
        <v>Electropolished Pipes Manufacturer &amp; Supplier in Kharkhoda</v>
      </c>
      <c r="AJ1087" s="15" t="str">
        <f t="shared" si="20"/>
        <v>EP-finished SS 304/316L pipes and tubes for VERIFY plants in Kharkhoda. ASME BPE SF1-SF4, Ra from 0.25 um, EN 10204 3.1 certificate with every lot.</v>
      </c>
      <c r="AK1087" s="15" t="str">
        <f t="shared" si="21"/>
        <v>Electropolished stainless steel pipes supplied by Sakshi Forge to VERIFY plants at HSIIDC Industrial Area, Kharkhoda</v>
      </c>
      <c r="AL1087" s="15" t="str">
        <f t="shared" si="22"/>
        <v>Electropolished SS 316L tube stock for Kharkhoda - Sakshi Forge</v>
      </c>
      <c r="AM1087" s="15" t="str">
        <f t="shared" si="23"/>
        <v>Home &gt; Market Area &gt; India &gt; Haryana &gt; Kharkhoda</v>
      </c>
      <c r="AN1087" s="15">
        <f t="shared" si="24"/>
        <v>750</v>
      </c>
      <c r="AO1087" s="15">
        <f t="shared" si="25"/>
        <v>6</v>
      </c>
      <c r="AP1087" s="15">
        <f t="shared" si="26"/>
        <v>6</v>
      </c>
      <c r="AQ1087" s="15">
        <f t="shared" si="27"/>
        <v>19</v>
      </c>
      <c r="AR1087" s="31"/>
      <c r="AS1087" s="31"/>
      <c r="AT1087" s="35" t="s">
        <v>222</v>
      </c>
      <c r="AU1087" s="35"/>
    </row>
    <row r="1088" ht="15.75" customHeight="1">
      <c r="A1088" s="15" t="s">
        <v>5654</v>
      </c>
      <c r="B1088" s="15" t="s">
        <v>60</v>
      </c>
      <c r="C1088" s="15" t="s">
        <v>775</v>
      </c>
      <c r="D1088" s="15" t="s">
        <v>5655</v>
      </c>
      <c r="E1088" s="15" t="s">
        <v>5655</v>
      </c>
      <c r="F1088" s="58" t="s">
        <v>807</v>
      </c>
      <c r="G1088" s="66" t="s">
        <v>98</v>
      </c>
      <c r="H1088" s="18" t="s">
        <v>5657</v>
      </c>
      <c r="I1088" s="18" t="s">
        <v>8399</v>
      </c>
      <c r="J1088" s="18" t="s">
        <v>98</v>
      </c>
      <c r="K1088" s="18" t="s">
        <v>98</v>
      </c>
      <c r="L1088" s="18" t="s">
        <v>98</v>
      </c>
      <c r="M1088" s="18" t="s">
        <v>98</v>
      </c>
      <c r="N1088" s="18" t="s">
        <v>98</v>
      </c>
      <c r="O1088" s="18" t="s">
        <v>98</v>
      </c>
      <c r="P1088" s="15" t="str">
        <f t="shared" si="1"/>
        <v>VERIFY</v>
      </c>
      <c r="Q1088" s="15">
        <f t="shared" si="2"/>
        <v>5</v>
      </c>
      <c r="R1088" s="15">
        <f t="shared" si="3"/>
        <v>7</v>
      </c>
      <c r="S1088" s="15">
        <f t="shared" si="4"/>
        <v>5</v>
      </c>
      <c r="T1088" s="15" t="str">
        <f t="shared" si="5"/>
        <v>C-5</v>
      </c>
      <c r="U1088" s="15" t="str">
        <f t="shared" si="6"/>
        <v>T5-M7-H5-FC-5-VERIFY</v>
      </c>
      <c r="V1088" s="15">
        <f t="shared" si="7"/>
        <v>0</v>
      </c>
      <c r="W1088" s="31"/>
      <c r="X1088" s="15" t="str">
        <f t="shared" si="8"/>
        <v>kharsia</v>
      </c>
      <c r="Y1088" s="32" t="str">
        <f t="shared" si="9"/>
        <v>https://steelmanufacturer.in/market-area/electropolished-pipes-manufacturer-in-kharsia/</v>
      </c>
      <c r="Z1088" s="15" t="str">
        <f t="shared" si="10"/>
        <v>Electropolished Pipes Manufacturer in Kharsia</v>
      </c>
      <c r="AA1088" s="15" t="str">
        <f t="shared" si="11"/>
        <v>OK (45)</v>
      </c>
      <c r="AB1088" s="15" t="str">
        <f t="shared" si="12"/>
        <v>Electropolished pipes in Kharsia: 304, 304L, 316 and 316L in SF1-SF4. VERIFY. Mill certified.</v>
      </c>
      <c r="AC1088" s="15" t="str">
        <f t="shared" si="13"/>
        <v>PENDING RESEARCH</v>
      </c>
      <c r="AD1088" s="15" t="str">
        <f t="shared" si="14"/>
        <v>Electropolished Pipes Manufacturer in Kharsia</v>
      </c>
      <c r="AE1088" s="15" t="str">
        <f t="shared" si="15"/>
        <v>Electropolished Tube Manufacturing Capability Serving Kharsia</v>
      </c>
      <c r="AF1088" s="15" t="str">
        <f t="shared" si="16"/>
        <v>Electropolished Pipes Supplier in Kharsia - From Order to Delivery</v>
      </c>
      <c r="AG1088" s="15" t="str">
        <f t="shared" si="17"/>
        <v>Stockist &amp; Wholesale Supply of Electropolished Pipes in Kharsia</v>
      </c>
      <c r="AH1088" s="15" t="str">
        <f t="shared" si="18"/>
        <v>electropolished pipes manufacturer in Kharsia, electropolished pipes supplier in Kharsia, electropolished pipes wholesaler in Kharsia, electropolished tube manufacturer Kharsia, EP pipe supplier Kharsia, sanitary tube supplier Kharsia, ASME BPE tubing Kharsia, ASTM A270 tube Kharsia, SS 316L electropolished pipe Kharsia</v>
      </c>
      <c r="AI1088" s="15" t="str">
        <f t="shared" si="19"/>
        <v>Electropolished Pipes Manufacturer &amp; Supplier in Kharsia</v>
      </c>
      <c r="AJ1088" s="15" t="str">
        <f t="shared" si="20"/>
        <v>EP-finished SS 304/316L pipes and tubes for VERIFY plants in Kharsia. ASME BPE SF1-SF4, Ra from 0.25 um, EN 10204 3.1 certificate with every lot.</v>
      </c>
      <c r="AK1088" s="15" t="str">
        <f t="shared" si="21"/>
        <v>Electropolished stainless steel pipes supplied by Sakshi Forge to VERIFY plants at CSIDC Industrial Area, Kharsia</v>
      </c>
      <c r="AL1088" s="15" t="str">
        <f t="shared" si="22"/>
        <v>Electropolished SS 316L tube stock for Kharsia - Sakshi Forge</v>
      </c>
      <c r="AM1088" s="15" t="str">
        <f t="shared" si="23"/>
        <v>Home &gt; Market Area &gt; India &gt; Chhattisgarh &gt; Kharsia</v>
      </c>
      <c r="AN1088" s="15">
        <f t="shared" si="24"/>
        <v>750</v>
      </c>
      <c r="AO1088" s="15">
        <f t="shared" si="25"/>
        <v>6</v>
      </c>
      <c r="AP1088" s="15">
        <f t="shared" si="26"/>
        <v>6</v>
      </c>
      <c r="AQ1088" s="15">
        <f t="shared" si="27"/>
        <v>19</v>
      </c>
      <c r="AR1088" s="31"/>
      <c r="AS1088" s="31"/>
      <c r="AT1088" s="35" t="s">
        <v>222</v>
      </c>
      <c r="AU1088" s="35"/>
    </row>
    <row r="1089" ht="15.75" customHeight="1">
      <c r="A1089" s="15" t="s">
        <v>5658</v>
      </c>
      <c r="B1089" s="15" t="s">
        <v>60</v>
      </c>
      <c r="C1089" s="15" t="s">
        <v>424</v>
      </c>
      <c r="D1089" s="15" t="s">
        <v>5659</v>
      </c>
      <c r="E1089" s="15" t="s">
        <v>5659</v>
      </c>
      <c r="F1089" s="58" t="s">
        <v>807</v>
      </c>
      <c r="G1089" s="66" t="s">
        <v>98</v>
      </c>
      <c r="H1089" s="18" t="s">
        <v>5661</v>
      </c>
      <c r="I1089" s="18" t="s">
        <v>8406</v>
      </c>
      <c r="J1089" s="18" t="s">
        <v>98</v>
      </c>
      <c r="K1089" s="18" t="s">
        <v>98</v>
      </c>
      <c r="L1089" s="18" t="s">
        <v>98</v>
      </c>
      <c r="M1089" s="18" t="s">
        <v>98</v>
      </c>
      <c r="N1089" s="18" t="s">
        <v>98</v>
      </c>
      <c r="O1089" s="18" t="s">
        <v>98</v>
      </c>
      <c r="P1089" s="15" t="str">
        <f t="shared" si="1"/>
        <v>VERIFY</v>
      </c>
      <c r="Q1089" s="15">
        <f t="shared" si="2"/>
        <v>6</v>
      </c>
      <c r="R1089" s="15">
        <f t="shared" si="3"/>
        <v>1</v>
      </c>
      <c r="S1089" s="15">
        <f t="shared" si="4"/>
        <v>1</v>
      </c>
      <c r="T1089" s="15" t="str">
        <f t="shared" si="5"/>
        <v>C-6</v>
      </c>
      <c r="U1089" s="15" t="str">
        <f t="shared" si="6"/>
        <v>T6-M1-H1-FC-6-VERIFY</v>
      </c>
      <c r="V1089" s="15">
        <f t="shared" si="7"/>
        <v>0</v>
      </c>
      <c r="W1089" s="31"/>
      <c r="X1089" s="15" t="str">
        <f t="shared" si="8"/>
        <v>khordha</v>
      </c>
      <c r="Y1089" s="32" t="str">
        <f t="shared" si="9"/>
        <v>https://steelmanufacturer.in/market-area/electropolished-pipes-manufacturer-in-khordha/</v>
      </c>
      <c r="Z1089" s="15" t="str">
        <f t="shared" si="10"/>
        <v>Electropolished Pipes Manufacturer in Khordha</v>
      </c>
      <c r="AA1089" s="15" t="str">
        <f t="shared" si="11"/>
        <v>OK (45)</v>
      </c>
      <c r="AB1089" s="15" t="str">
        <f t="shared" si="12"/>
        <v>EP-finished SS 304/316L pipes &amp; tubes for VERIFY plants in Khordha. ASTM A270, ASME BPE SF1-SF4, EN 10204 3.1 MTC. PMI tested.</v>
      </c>
      <c r="AC1089" s="15" t="str">
        <f t="shared" si="13"/>
        <v>PENDING RESEARCH</v>
      </c>
      <c r="AD1089" s="15" t="str">
        <f t="shared" si="14"/>
        <v>Electropolished Pipes Manufacturer in Khordha</v>
      </c>
      <c r="AE1089" s="15" t="str">
        <f t="shared" si="15"/>
        <v>Electropolished Pipe &amp; Tube Manufacturing for Khordha - Grades, Finishes &amp; Certification</v>
      </c>
      <c r="AF1089" s="15" t="str">
        <f t="shared" si="16"/>
        <v>Electropolished Pipes Supplier in Khordha - Stock Sizes, Lead Time &amp; Delivery</v>
      </c>
      <c r="AG1089" s="15" t="str">
        <f t="shared" si="17"/>
        <v>Electropolished Pipes Wholesaler &amp; Stockist in Khordha - Bulk &amp; Project Pricing</v>
      </c>
      <c r="AH1089" s="15" t="str">
        <f t="shared" si="18"/>
        <v>electropolished pipes manufacturer in Khordha, electropolished pipes supplier in Khordha, electropolished pipes wholesaler in Khordha, electropolished tube manufacturer Khordha, EP pipe supplier Khordha, sanitary tube supplier Khordha, ASME BPE tubing Khordha, ASTM A270 tube Khordha, SS 316L electropolished pipe Khordha</v>
      </c>
      <c r="AI1089" s="15" t="str">
        <f t="shared" si="19"/>
        <v>Electropolished Pipes Manufacturer &amp; Supplier in Khordha</v>
      </c>
      <c r="AJ1089" s="15" t="str">
        <f t="shared" si="20"/>
        <v>EP-finished SS 304/316L pipes and tubes for VERIFY plants in Khordha. ASME BPE SF1-SF4, Ra from 0.25 um, EN 10204 3.1 certificate with every lot.</v>
      </c>
      <c r="AK1089" s="15" t="str">
        <f t="shared" si="21"/>
        <v>Electropolished stainless steel pipes supplied by Sakshi Forge to VERIFY plants at IDCO Industrial Area, Khordha</v>
      </c>
      <c r="AL1089" s="15" t="str">
        <f t="shared" si="22"/>
        <v>Electropolished SS 316L tube stock for Khordha - Sakshi Forge</v>
      </c>
      <c r="AM1089" s="15" t="str">
        <f t="shared" si="23"/>
        <v>Home &gt; Market Area &gt; India &gt; Odisha &gt; Khordha</v>
      </c>
      <c r="AN1089" s="15">
        <f t="shared" si="24"/>
        <v>750</v>
      </c>
      <c r="AO1089" s="15">
        <f t="shared" si="25"/>
        <v>6</v>
      </c>
      <c r="AP1089" s="15">
        <f t="shared" si="26"/>
        <v>6</v>
      </c>
      <c r="AQ1089" s="15">
        <f t="shared" si="27"/>
        <v>19</v>
      </c>
      <c r="AR1089" s="31"/>
      <c r="AS1089" s="31"/>
      <c r="AT1089" s="35" t="s">
        <v>222</v>
      </c>
      <c r="AU1089" s="35"/>
    </row>
    <row r="1090" ht="15.75" customHeight="1">
      <c r="A1090" s="15" t="s">
        <v>5662</v>
      </c>
      <c r="B1090" s="15" t="s">
        <v>60</v>
      </c>
      <c r="C1090" s="15" t="s">
        <v>878</v>
      </c>
      <c r="D1090" s="15" t="s">
        <v>5663</v>
      </c>
      <c r="E1090" s="15" t="s">
        <v>5663</v>
      </c>
      <c r="F1090" s="58" t="s">
        <v>807</v>
      </c>
      <c r="G1090" s="66" t="s">
        <v>98</v>
      </c>
      <c r="H1090" s="18" t="s">
        <v>5665</v>
      </c>
      <c r="I1090" s="18" t="s">
        <v>8415</v>
      </c>
      <c r="J1090" s="18" t="s">
        <v>98</v>
      </c>
      <c r="K1090" s="18" t="s">
        <v>98</v>
      </c>
      <c r="L1090" s="18" t="s">
        <v>98</v>
      </c>
      <c r="M1090" s="18" t="s">
        <v>98</v>
      </c>
      <c r="N1090" s="18" t="s">
        <v>98</v>
      </c>
      <c r="O1090" s="18" t="s">
        <v>98</v>
      </c>
      <c r="P1090" s="15" t="str">
        <f t="shared" si="1"/>
        <v>VERIFY</v>
      </c>
      <c r="Q1090" s="15">
        <f t="shared" si="2"/>
        <v>7</v>
      </c>
      <c r="R1090" s="15">
        <f t="shared" si="3"/>
        <v>2</v>
      </c>
      <c r="S1090" s="15">
        <f t="shared" si="4"/>
        <v>2</v>
      </c>
      <c r="T1090" s="15" t="str">
        <f t="shared" si="5"/>
        <v>C-1</v>
      </c>
      <c r="U1090" s="15" t="str">
        <f t="shared" si="6"/>
        <v>T7-M2-H2-FC-1-VERIFY</v>
      </c>
      <c r="V1090" s="15">
        <f t="shared" si="7"/>
        <v>0</v>
      </c>
      <c r="W1090" s="31"/>
      <c r="X1090" s="15" t="str">
        <f t="shared" si="8"/>
        <v>khunti</v>
      </c>
      <c r="Y1090" s="32" t="str">
        <f t="shared" si="9"/>
        <v>https://steelmanufacturer.in/market-area/electropolished-pipes-manufacturer-in-khunti/</v>
      </c>
      <c r="Z1090" s="15" t="str">
        <f t="shared" si="10"/>
        <v>Electropolished Pipes Manufacturer in Khunti | ASME BPE SF1-SF4</v>
      </c>
      <c r="AA1090" s="15" t="str">
        <f t="shared" si="11"/>
        <v>OK (63)</v>
      </c>
      <c r="AB1090" s="15" t="str">
        <f t="shared" si="12"/>
        <v>Electropolished tube supply to JIADA Industrial Area, Khunti. Ra from 0.25 um, SF4 finish, mill test certificate with every lot.</v>
      </c>
      <c r="AC1090" s="15" t="str">
        <f t="shared" si="13"/>
        <v>PENDING RESEARCH</v>
      </c>
      <c r="AD1090" s="15" t="str">
        <f t="shared" si="14"/>
        <v>Electropolished Pipes Manufacturer in Khunti</v>
      </c>
      <c r="AE1090" s="15" t="str">
        <f t="shared" si="15"/>
        <v>How We Manufacture Electropolished Tube for Khunti Plants</v>
      </c>
      <c r="AF1090" s="15" t="str">
        <f t="shared" si="16"/>
        <v>Supplying Electropolished Pipes in Khunti: Availability, Sizes &amp; Dispatch</v>
      </c>
      <c r="AG1090" s="15" t="str">
        <f t="shared" si="17"/>
        <v>Wholesale Electropolished Pipe Supply for Khunti Projects</v>
      </c>
      <c r="AH1090" s="15" t="str">
        <f t="shared" si="18"/>
        <v>electropolished pipes manufacturer in Khunti, electropolished pipes supplier in Khunti, electropolished pipes wholesaler in Khunti, electropolished tube manufacturer Khunti, EP pipe supplier Khunti, sanitary tube supplier Khunti, ASME BPE tubing Khunti, ASTM A270 tube Khunti, SS 316L electropolished pipe Khunti</v>
      </c>
      <c r="AI1090" s="15" t="str">
        <f t="shared" si="19"/>
        <v>Electropolished Pipes Manufacturer &amp; Supplier in Khunti</v>
      </c>
      <c r="AJ1090" s="15" t="str">
        <f t="shared" si="20"/>
        <v>EP-finished SS 304/316L pipes and tubes for VERIFY plants in Khunti. ASME BPE SF1-SF4, Ra from 0.25 um, EN 10204 3.1 certificate with every lot.</v>
      </c>
      <c r="AK1090" s="15" t="str">
        <f t="shared" si="21"/>
        <v>Electropolished stainless steel pipes supplied by Sakshi Forge to VERIFY plants at JIADA Industrial Area, Khunti</v>
      </c>
      <c r="AL1090" s="15" t="str">
        <f t="shared" si="22"/>
        <v>Electropolished SS 316L tube stock for Khunti - Sakshi Forge</v>
      </c>
      <c r="AM1090" s="15" t="str">
        <f t="shared" si="23"/>
        <v>Home &gt; Market Area &gt; India &gt; Jharkhand &gt; Khunti</v>
      </c>
      <c r="AN1090" s="15">
        <f t="shared" si="24"/>
        <v>750</v>
      </c>
      <c r="AO1090" s="15">
        <f t="shared" si="25"/>
        <v>6</v>
      </c>
      <c r="AP1090" s="15">
        <f t="shared" si="26"/>
        <v>6</v>
      </c>
      <c r="AQ1090" s="15">
        <f t="shared" si="27"/>
        <v>19</v>
      </c>
      <c r="AR1090" s="31"/>
      <c r="AS1090" s="31"/>
      <c r="AT1090" s="35" t="s">
        <v>222</v>
      </c>
      <c r="AU1090" s="35"/>
    </row>
    <row r="1091" ht="15.75" customHeight="1">
      <c r="A1091" s="15" t="s">
        <v>5666</v>
      </c>
      <c r="B1091" s="15" t="s">
        <v>60</v>
      </c>
      <c r="C1091" s="15" t="s">
        <v>264</v>
      </c>
      <c r="D1091" s="15" t="s">
        <v>5667</v>
      </c>
      <c r="E1091" s="15" t="s">
        <v>5667</v>
      </c>
      <c r="F1091" s="58" t="s">
        <v>807</v>
      </c>
      <c r="G1091" s="66" t="s">
        <v>98</v>
      </c>
      <c r="H1091" s="18" t="s">
        <v>5669</v>
      </c>
      <c r="I1091" s="18" t="s">
        <v>8395</v>
      </c>
      <c r="J1091" s="18" t="s">
        <v>98</v>
      </c>
      <c r="K1091" s="18" t="s">
        <v>98</v>
      </c>
      <c r="L1091" s="18" t="s">
        <v>98</v>
      </c>
      <c r="M1091" s="18" t="s">
        <v>98</v>
      </c>
      <c r="N1091" s="18" t="s">
        <v>98</v>
      </c>
      <c r="O1091" s="18" t="s">
        <v>98</v>
      </c>
      <c r="P1091" s="15" t="str">
        <f t="shared" si="1"/>
        <v>VERIFY</v>
      </c>
      <c r="Q1091" s="15">
        <f t="shared" si="2"/>
        <v>8</v>
      </c>
      <c r="R1091" s="15">
        <f t="shared" si="3"/>
        <v>3</v>
      </c>
      <c r="S1091" s="15">
        <f t="shared" si="4"/>
        <v>3</v>
      </c>
      <c r="T1091" s="15" t="str">
        <f t="shared" si="5"/>
        <v>C-2</v>
      </c>
      <c r="U1091" s="15" t="str">
        <f t="shared" si="6"/>
        <v>T8-M3-H3-FC-2-VERIFY</v>
      </c>
      <c r="V1091" s="15">
        <f t="shared" si="7"/>
        <v>0</v>
      </c>
      <c r="W1091" s="31"/>
      <c r="X1091" s="15" t="str">
        <f t="shared" si="8"/>
        <v>kinwat</v>
      </c>
      <c r="Y1091" s="32" t="str">
        <f t="shared" si="9"/>
        <v>https://steelmanufacturer.in/market-area/electropolished-pipes-manufacturer-in-kinwat/</v>
      </c>
      <c r="Z1091" s="15" t="str">
        <f t="shared" si="10"/>
        <v>Electropolished Pipes Manufacturer in Kinwat - EP Tube Stockist</v>
      </c>
      <c r="AA1091" s="15" t="str">
        <f t="shared" si="11"/>
        <v>OK (63)</v>
      </c>
      <c r="AB1091" s="15" t="str">
        <f t="shared" si="12"/>
        <v>EP stainless tube for VERIFY lines in Kinwat. VERIFY. ASTM A270 S2, PMI tested, EN 10204 3.1.</v>
      </c>
      <c r="AC1091" s="15" t="str">
        <f t="shared" si="13"/>
        <v>PENDING RESEARCH</v>
      </c>
      <c r="AD1091" s="15" t="str">
        <f t="shared" si="14"/>
        <v>Electropolished Pipes Manufacturer in Kinwat</v>
      </c>
      <c r="AE1091" s="15" t="str">
        <f t="shared" si="15"/>
        <v>Electropolished Pipes Manufacturer in Kinwat - Our Process &amp; Capability</v>
      </c>
      <c r="AF1091" s="15" t="str">
        <f t="shared" si="16"/>
        <v>Electropolished Pipes Supplier in Kinwat - What We Hold in Stock</v>
      </c>
      <c r="AG1091" s="15" t="str">
        <f t="shared" si="17"/>
        <v>Bulk &amp; Wholesale Electropolished Pipe Rates for Kinwat Buyers</v>
      </c>
      <c r="AH1091" s="15" t="str">
        <f t="shared" si="18"/>
        <v>electropolished pipes manufacturer in Kinwat, electropolished pipes supplier in Kinwat, electropolished pipes wholesaler in Kinwat, electropolished tube manufacturer Kinwat, EP pipe supplier Kinwat, sanitary tube supplier Kinwat, ASME BPE tubing Kinwat, ASTM A270 tube Kinwat, SS 316L electropolished pipe Kinwat</v>
      </c>
      <c r="AI1091" s="15" t="str">
        <f t="shared" si="19"/>
        <v>Electropolished Pipes Manufacturer &amp; Supplier in Kinwat</v>
      </c>
      <c r="AJ1091" s="15" t="str">
        <f t="shared" si="20"/>
        <v>EP-finished SS 304/316L pipes and tubes for VERIFY plants in Kinwat. ASME BPE SF1-SF4, Ra from 0.25 um, EN 10204 3.1 certificate with every lot.</v>
      </c>
      <c r="AK1091" s="15" t="str">
        <f t="shared" si="21"/>
        <v>Electropolished stainless steel pipes supplied by Sakshi Forge to VERIFY plants at MIDC Industrial Area, Kinwat</v>
      </c>
      <c r="AL1091" s="15" t="str">
        <f t="shared" si="22"/>
        <v>Electropolished SS 316L tube stock for Kinwat - Sakshi Forge</v>
      </c>
      <c r="AM1091" s="15" t="str">
        <f t="shared" si="23"/>
        <v>Home &gt; Market Area &gt; India &gt; Maharashtra &gt; Kinwat</v>
      </c>
      <c r="AN1091" s="15">
        <f t="shared" si="24"/>
        <v>750</v>
      </c>
      <c r="AO1091" s="15">
        <f t="shared" si="25"/>
        <v>6</v>
      </c>
      <c r="AP1091" s="15">
        <f t="shared" si="26"/>
        <v>6</v>
      </c>
      <c r="AQ1091" s="15">
        <f t="shared" si="27"/>
        <v>19</v>
      </c>
      <c r="AR1091" s="31"/>
      <c r="AS1091" s="31"/>
      <c r="AT1091" s="35" t="s">
        <v>222</v>
      </c>
      <c r="AU1091" s="35"/>
    </row>
    <row r="1092" ht="15.75" customHeight="1">
      <c r="A1092" s="15" t="s">
        <v>5670</v>
      </c>
      <c r="B1092" s="15" t="s">
        <v>60</v>
      </c>
      <c r="C1092" s="15" t="s">
        <v>878</v>
      </c>
      <c r="D1092" s="15" t="s">
        <v>5671</v>
      </c>
      <c r="E1092" s="15" t="s">
        <v>5671</v>
      </c>
      <c r="F1092" s="58" t="s">
        <v>807</v>
      </c>
      <c r="G1092" s="66" t="s">
        <v>98</v>
      </c>
      <c r="H1092" s="18" t="s">
        <v>5673</v>
      </c>
      <c r="I1092" s="18" t="s">
        <v>8415</v>
      </c>
      <c r="J1092" s="18" t="s">
        <v>98</v>
      </c>
      <c r="K1092" s="18" t="s">
        <v>98</v>
      </c>
      <c r="L1092" s="18" t="s">
        <v>98</v>
      </c>
      <c r="M1092" s="18" t="s">
        <v>98</v>
      </c>
      <c r="N1092" s="18" t="s">
        <v>98</v>
      </c>
      <c r="O1092" s="18" t="s">
        <v>98</v>
      </c>
      <c r="P1092" s="15" t="str">
        <f t="shared" si="1"/>
        <v>VERIFY</v>
      </c>
      <c r="Q1092" s="15">
        <f t="shared" si="2"/>
        <v>1</v>
      </c>
      <c r="R1092" s="15">
        <f t="shared" si="3"/>
        <v>4</v>
      </c>
      <c r="S1092" s="15">
        <f t="shared" si="4"/>
        <v>4</v>
      </c>
      <c r="T1092" s="15" t="str">
        <f t="shared" si="5"/>
        <v>C-3</v>
      </c>
      <c r="U1092" s="15" t="str">
        <f t="shared" si="6"/>
        <v>T1-M4-H4-FC-3-VERIFY</v>
      </c>
      <c r="V1092" s="15">
        <f t="shared" si="7"/>
        <v>0</v>
      </c>
      <c r="W1092" s="31"/>
      <c r="X1092" s="15" t="str">
        <f t="shared" si="8"/>
        <v>koderma</v>
      </c>
      <c r="Y1092" s="32" t="str">
        <f t="shared" si="9"/>
        <v>https://steelmanufacturer.in/market-area/electropolished-pipes-manufacturer-in-koderma/</v>
      </c>
      <c r="Z1092" s="15" t="str">
        <f t="shared" si="10"/>
        <v>Electropolished Pipes Manufacturer in Koderma | Sakshi Forge</v>
      </c>
      <c r="AA1092" s="15" t="str">
        <f t="shared" si="11"/>
        <v>OK (60)</v>
      </c>
      <c r="AB1092" s="15" t="str">
        <f t="shared" si="12"/>
        <v>Sanitary electropolished pipes in Koderma for VERIFY plants. ASME BPE SF1-SF4, orbital-weld ready, 3.1 MTC. Mumbai-made.</v>
      </c>
      <c r="AC1092" s="15" t="str">
        <f t="shared" si="13"/>
        <v>PENDING RESEARCH</v>
      </c>
      <c r="AD1092" s="15" t="str">
        <f t="shared" si="14"/>
        <v>Electropolished Pipes Manufacturer in Koderma</v>
      </c>
      <c r="AE1092" s="15" t="str">
        <f t="shared" si="15"/>
        <v>Manufacturing Electropolished SS Tube for Koderma: The Standards We Build To</v>
      </c>
      <c r="AF1092" s="15" t="str">
        <f t="shared" si="16"/>
        <v>Electropolished Pipe Supply Into Koderma - Certification &amp; Transit</v>
      </c>
      <c r="AG1092" s="15" t="str">
        <f t="shared" si="17"/>
        <v>Electropolished Pipes Wholesaler in Koderma - Project Quantities &amp; Terms</v>
      </c>
      <c r="AH1092" s="15" t="str">
        <f t="shared" si="18"/>
        <v>electropolished pipes manufacturer in Koderma, electropolished pipes supplier in Koderma, electropolished pipes wholesaler in Koderma, electropolished tube manufacturer Koderma, EP pipe supplier Koderma, sanitary tube supplier Koderma, ASME BPE tubing Koderma, ASTM A270 tube Koderma, SS 316L electropolished pipe Koderma</v>
      </c>
      <c r="AI1092" s="15" t="str">
        <f t="shared" si="19"/>
        <v>Electropolished Pipes Manufacturer &amp; Supplier in Koderma</v>
      </c>
      <c r="AJ1092" s="15" t="str">
        <f t="shared" si="20"/>
        <v>EP-finished SS 304/316L pipes and tubes for VERIFY plants in Koderma. ASME BPE SF1-SF4, Ra from 0.25 um, EN 10204 3.1 certificate with every lot.</v>
      </c>
      <c r="AK1092" s="15" t="str">
        <f t="shared" si="21"/>
        <v>Electropolished stainless steel pipes supplied by Sakshi Forge to VERIFY plants at JIADA Industrial Area, Koderma</v>
      </c>
      <c r="AL1092" s="15" t="str">
        <f t="shared" si="22"/>
        <v>Electropolished SS 316L tube stock for Koderma - Sakshi Forge</v>
      </c>
      <c r="AM1092" s="15" t="str">
        <f t="shared" si="23"/>
        <v>Home &gt; Market Area &gt; India &gt; Jharkhand &gt; Koderma</v>
      </c>
      <c r="AN1092" s="15">
        <f t="shared" si="24"/>
        <v>750</v>
      </c>
      <c r="AO1092" s="15">
        <f t="shared" si="25"/>
        <v>6</v>
      </c>
      <c r="AP1092" s="15">
        <f t="shared" si="26"/>
        <v>6</v>
      </c>
      <c r="AQ1092" s="15">
        <f t="shared" si="27"/>
        <v>19</v>
      </c>
      <c r="AR1092" s="31"/>
      <c r="AS1092" s="31"/>
      <c r="AT1092" s="35" t="s">
        <v>222</v>
      </c>
      <c r="AU1092" s="35"/>
    </row>
    <row r="1093" ht="15.75" customHeight="1">
      <c r="A1093" s="15" t="s">
        <v>5674</v>
      </c>
      <c r="B1093" s="15" t="s">
        <v>60</v>
      </c>
      <c r="C1093" s="15" t="s">
        <v>1687</v>
      </c>
      <c r="D1093" s="15" t="s">
        <v>5675</v>
      </c>
      <c r="E1093" s="15" t="s">
        <v>5675</v>
      </c>
      <c r="F1093" s="58" t="s">
        <v>807</v>
      </c>
      <c r="G1093" s="66" t="s">
        <v>98</v>
      </c>
      <c r="H1093" s="18" t="s">
        <v>5677</v>
      </c>
      <c r="I1093" s="18" t="s">
        <v>8397</v>
      </c>
      <c r="J1093" s="18" t="s">
        <v>98</v>
      </c>
      <c r="K1093" s="18" t="s">
        <v>98</v>
      </c>
      <c r="L1093" s="18" t="s">
        <v>98</v>
      </c>
      <c r="M1093" s="18" t="s">
        <v>98</v>
      </c>
      <c r="N1093" s="18" t="s">
        <v>98</v>
      </c>
      <c r="O1093" s="18" t="s">
        <v>98</v>
      </c>
      <c r="P1093" s="15" t="str">
        <f t="shared" si="1"/>
        <v>VERIFY</v>
      </c>
      <c r="Q1093" s="15">
        <f t="shared" si="2"/>
        <v>2</v>
      </c>
      <c r="R1093" s="15">
        <f t="shared" si="3"/>
        <v>5</v>
      </c>
      <c r="S1093" s="15">
        <f t="shared" si="4"/>
        <v>5</v>
      </c>
      <c r="T1093" s="15" t="str">
        <f t="shared" si="5"/>
        <v>C-4</v>
      </c>
      <c r="U1093" s="15" t="str">
        <f t="shared" si="6"/>
        <v>T2-M5-H5-FC-4-VERIFY</v>
      </c>
      <c r="V1093" s="15">
        <f t="shared" si="7"/>
        <v>0</v>
      </c>
      <c r="W1093" s="31"/>
      <c r="X1093" s="15" t="str">
        <f t="shared" si="8"/>
        <v>kodungallur</v>
      </c>
      <c r="Y1093" s="32" t="str">
        <f t="shared" si="9"/>
        <v>https://steelmanufacturer.in/market-area/electropolished-pipes-manufacturer-in-kodungallur/</v>
      </c>
      <c r="Z1093" s="15" t="str">
        <f t="shared" si="10"/>
        <v>Electropolished Pipes Manufacturer in Kodungallur</v>
      </c>
      <c r="AA1093" s="15" t="str">
        <f t="shared" si="11"/>
        <v>OK (49)</v>
      </c>
      <c r="AB1093" s="15" t="str">
        <f t="shared" si="12"/>
        <v>Manufacturer of electropolished SS 316L tube serving Kodungallur. VERIFY. Ra 0.25-0.5 um, EN 10204 3.1 MTC.</v>
      </c>
      <c r="AC1093" s="15" t="str">
        <f t="shared" si="13"/>
        <v>PENDING RESEARCH</v>
      </c>
      <c r="AD1093" s="15" t="str">
        <f t="shared" si="14"/>
        <v>Electropolished Pipes Manufacturer in Kodungallur</v>
      </c>
      <c r="AE1093" s="15" t="str">
        <f t="shared" si="15"/>
        <v>Electropolished Tube Manufacturing Capability Serving Kodungallur</v>
      </c>
      <c r="AF1093" s="15" t="str">
        <f t="shared" si="16"/>
        <v>Electropolished Pipes Supplier in Kodungallur - From Order to Delivery</v>
      </c>
      <c r="AG1093" s="15" t="str">
        <f t="shared" si="17"/>
        <v>Stockist &amp; Wholesale Supply of Electropolished Pipes in Kodungallur</v>
      </c>
      <c r="AH1093" s="15" t="str">
        <f t="shared" si="18"/>
        <v>electropolished pipes manufacturer in Kodungallur, electropolished pipes supplier in Kodungallur, electropolished pipes wholesaler in Kodungallur, electropolished tube manufacturer Kodungallur, EP pipe supplier Kodungallur, sanitary tube supplier Kodungallur, ASME BPE tubing Kodungallur, ASTM A270 tube Kodungallur, SS 316L electropolished pipe Kodungallur</v>
      </c>
      <c r="AI1093" s="15" t="str">
        <f t="shared" si="19"/>
        <v>Electropolished Pipes Manufacturer &amp; Supplier in Kodungallur</v>
      </c>
      <c r="AJ1093" s="15" t="str">
        <f t="shared" si="20"/>
        <v>EP-finished SS 304/316L pipes and tubes for VERIFY plants in Kodungallur. ASME BPE SF1-SF4, Ra from 0.25 um, EN 10204 3.1 certificate with every lot.</v>
      </c>
      <c r="AK1093" s="15" t="str">
        <f t="shared" si="21"/>
        <v>Electropolished stainless steel pipes supplied by Sakshi Forge to VERIFY plants at KINFRA Industrial Area, Kodungallur</v>
      </c>
      <c r="AL1093" s="15" t="str">
        <f t="shared" si="22"/>
        <v>Electropolished SS 316L tube stock for Kodungallur - Sakshi Forge</v>
      </c>
      <c r="AM1093" s="15" t="str">
        <f t="shared" si="23"/>
        <v>Home &gt; Market Area &gt; India &gt; Kerala &gt; Kodungallur</v>
      </c>
      <c r="AN1093" s="15">
        <f t="shared" si="24"/>
        <v>750</v>
      </c>
      <c r="AO1093" s="15">
        <f t="shared" si="25"/>
        <v>6</v>
      </c>
      <c r="AP1093" s="15">
        <f t="shared" si="26"/>
        <v>6</v>
      </c>
      <c r="AQ1093" s="15">
        <f t="shared" si="27"/>
        <v>19</v>
      </c>
      <c r="AR1093" s="31"/>
      <c r="AS1093" s="31"/>
      <c r="AT1093" s="35" t="s">
        <v>222</v>
      </c>
      <c r="AU1093" s="35"/>
    </row>
    <row r="1094" ht="15.75" customHeight="1">
      <c r="A1094" s="15" t="s">
        <v>5678</v>
      </c>
      <c r="B1094" s="15" t="s">
        <v>60</v>
      </c>
      <c r="C1094" s="15" t="s">
        <v>1155</v>
      </c>
      <c r="D1094" s="15" t="s">
        <v>5679</v>
      </c>
      <c r="E1094" s="15" t="s">
        <v>5679</v>
      </c>
      <c r="F1094" s="58" t="s">
        <v>807</v>
      </c>
      <c r="G1094" s="66" t="s">
        <v>98</v>
      </c>
      <c r="H1094" s="18" t="s">
        <v>5681</v>
      </c>
      <c r="I1094" s="18" t="s">
        <v>8412</v>
      </c>
      <c r="J1094" s="18" t="s">
        <v>98</v>
      </c>
      <c r="K1094" s="18" t="s">
        <v>98</v>
      </c>
      <c r="L1094" s="18" t="s">
        <v>98</v>
      </c>
      <c r="M1094" s="18" t="s">
        <v>98</v>
      </c>
      <c r="N1094" s="18" t="s">
        <v>98</v>
      </c>
      <c r="O1094" s="18" t="s">
        <v>98</v>
      </c>
      <c r="P1094" s="15" t="str">
        <f t="shared" si="1"/>
        <v>VERIFY</v>
      </c>
      <c r="Q1094" s="15">
        <f t="shared" si="2"/>
        <v>3</v>
      </c>
      <c r="R1094" s="15">
        <f t="shared" si="3"/>
        <v>6</v>
      </c>
      <c r="S1094" s="15">
        <f t="shared" si="4"/>
        <v>1</v>
      </c>
      <c r="T1094" s="15" t="str">
        <f t="shared" si="5"/>
        <v>C-5</v>
      </c>
      <c r="U1094" s="15" t="str">
        <f t="shared" si="6"/>
        <v>T3-M6-H1-FC-5-VERIFY</v>
      </c>
      <c r="V1094" s="15">
        <f t="shared" si="7"/>
        <v>0</v>
      </c>
      <c r="W1094" s="31"/>
      <c r="X1094" s="15" t="str">
        <f t="shared" si="8"/>
        <v>kokrajhar</v>
      </c>
      <c r="Y1094" s="32" t="str">
        <f t="shared" si="9"/>
        <v>https://steelmanufacturer.in/market-area/electropolished-pipes-manufacturer-in-kokrajhar/</v>
      </c>
      <c r="Z1094" s="15" t="str">
        <f t="shared" si="10"/>
        <v>Electropolished Pipes Manufacturer in Kokrajhar</v>
      </c>
      <c r="AA1094" s="15" t="str">
        <f t="shared" si="11"/>
        <v>OK (47)</v>
      </c>
      <c r="AB1094" s="15" t="str">
        <f t="shared" si="12"/>
        <v>EP tube and pipe for VERIFY plants around AIDC Industrial Area, Kokrajhar. Made at our Mumbai works to ASTM A270 and ASME BPE SF1-SF4, with 3.1 MTC.</v>
      </c>
      <c r="AC1094" s="15" t="str">
        <f t="shared" si="13"/>
        <v>PENDING RESEARCH</v>
      </c>
      <c r="AD1094" s="15" t="str">
        <f t="shared" si="14"/>
        <v>Electropolished Pipes Manufacturer in Kokrajhar</v>
      </c>
      <c r="AE1094" s="15" t="str">
        <f t="shared" si="15"/>
        <v>Electropolished Pipe &amp; Tube Manufacturing for Kokrajhar - Grades, Finishes &amp; Certification</v>
      </c>
      <c r="AF1094" s="15" t="str">
        <f t="shared" si="16"/>
        <v>Electropolished Pipes Supplier in Kokrajhar - Stock Sizes, Lead Time &amp; Delivery</v>
      </c>
      <c r="AG1094" s="15" t="str">
        <f t="shared" si="17"/>
        <v>Electropolished Pipes Wholesaler &amp; Stockist in Kokrajhar - Bulk &amp; Project Pricing</v>
      </c>
      <c r="AH1094" s="15" t="str">
        <f t="shared" si="18"/>
        <v>electropolished pipes manufacturer in Kokrajhar, electropolished pipes supplier in Kokrajhar, electropolished pipes wholesaler in Kokrajhar, electropolished tube manufacturer Kokrajhar, EP pipe supplier Kokrajhar, sanitary tube supplier Kokrajhar, ASME BPE tubing Kokrajhar, ASTM A270 tube Kokrajhar, SS 316L electropolished pipe Kokrajhar</v>
      </c>
      <c r="AI1094" s="15" t="str">
        <f t="shared" si="19"/>
        <v>Electropolished Pipes Manufacturer &amp; Supplier in Kokrajhar</v>
      </c>
      <c r="AJ1094" s="15" t="str">
        <f t="shared" si="20"/>
        <v>EP-finished SS 304/316L pipes and tubes for VERIFY plants in Kokrajhar. ASME BPE SF1-SF4, Ra from 0.25 um, EN 10204 3.1 certificate with every lot.</v>
      </c>
      <c r="AK1094" s="15" t="str">
        <f t="shared" si="21"/>
        <v>Electropolished stainless steel pipes supplied by Sakshi Forge to VERIFY plants at AIDC Industrial Area, Kokrajhar</v>
      </c>
      <c r="AL1094" s="15" t="str">
        <f t="shared" si="22"/>
        <v>Electropolished SS 316L tube stock for Kokrajhar - Sakshi Forge</v>
      </c>
      <c r="AM1094" s="15" t="str">
        <f t="shared" si="23"/>
        <v>Home &gt; Market Area &gt; India &gt; Assam &gt; Kokrajhar</v>
      </c>
      <c r="AN1094" s="15">
        <f t="shared" si="24"/>
        <v>750</v>
      </c>
      <c r="AO1094" s="15">
        <f t="shared" si="25"/>
        <v>6</v>
      </c>
      <c r="AP1094" s="15">
        <f t="shared" si="26"/>
        <v>6</v>
      </c>
      <c r="AQ1094" s="15">
        <f t="shared" si="27"/>
        <v>19</v>
      </c>
      <c r="AR1094" s="31"/>
      <c r="AS1094" s="31"/>
      <c r="AT1094" s="35" t="s">
        <v>222</v>
      </c>
      <c r="AU1094" s="35"/>
    </row>
    <row r="1095" ht="15.75" customHeight="1">
      <c r="A1095" s="15" t="s">
        <v>5682</v>
      </c>
      <c r="B1095" s="15" t="s">
        <v>60</v>
      </c>
      <c r="C1095" s="15" t="s">
        <v>424</v>
      </c>
      <c r="D1095" s="15" t="s">
        <v>5683</v>
      </c>
      <c r="E1095" s="15" t="s">
        <v>5683</v>
      </c>
      <c r="F1095" s="58" t="s">
        <v>807</v>
      </c>
      <c r="G1095" s="66" t="s">
        <v>98</v>
      </c>
      <c r="H1095" s="18" t="s">
        <v>5687</v>
      </c>
      <c r="I1095" s="18" t="s">
        <v>8406</v>
      </c>
      <c r="J1095" s="18" t="s">
        <v>98</v>
      </c>
      <c r="K1095" s="18" t="s">
        <v>98</v>
      </c>
      <c r="L1095" s="18" t="s">
        <v>98</v>
      </c>
      <c r="M1095" s="18" t="s">
        <v>98</v>
      </c>
      <c r="N1095" s="18" t="s">
        <v>98</v>
      </c>
      <c r="O1095" s="18" t="s">
        <v>98</v>
      </c>
      <c r="P1095" s="15" t="str">
        <f t="shared" si="1"/>
        <v>VERIFY</v>
      </c>
      <c r="Q1095" s="15">
        <f t="shared" si="2"/>
        <v>4</v>
      </c>
      <c r="R1095" s="15">
        <f t="shared" si="3"/>
        <v>7</v>
      </c>
      <c r="S1095" s="15">
        <f t="shared" si="4"/>
        <v>2</v>
      </c>
      <c r="T1095" s="15" t="str">
        <f t="shared" si="5"/>
        <v>C-6</v>
      </c>
      <c r="U1095" s="15" t="str">
        <f t="shared" si="6"/>
        <v>T4-M7-H2-FC-6-VERIFY</v>
      </c>
      <c r="V1095" s="15">
        <f t="shared" si="7"/>
        <v>0</v>
      </c>
      <c r="W1095" s="31"/>
      <c r="X1095" s="15" t="str">
        <f t="shared" si="8"/>
        <v>konark</v>
      </c>
      <c r="Y1095" s="32" t="str">
        <f t="shared" si="9"/>
        <v>https://steelmanufacturer.in/market-area/electropolished-pipes-manufacturer-in-konark/</v>
      </c>
      <c r="Z1095" s="15" t="str">
        <f t="shared" si="10"/>
        <v>Electropolished Pipes Manufacturer in Konark</v>
      </c>
      <c r="AA1095" s="15" t="str">
        <f t="shared" si="11"/>
        <v>OK (44)</v>
      </c>
      <c r="AB1095" s="15" t="str">
        <f t="shared" si="12"/>
        <v>Electropolished pipes in Konark: 304, 304L, 316 and 316L in SF1-SF4. VERIFY. Mill certified.</v>
      </c>
      <c r="AC1095" s="15" t="str">
        <f t="shared" si="13"/>
        <v>PENDING RESEARCH</v>
      </c>
      <c r="AD1095" s="15" t="str">
        <f t="shared" si="14"/>
        <v>Electropolished Pipes Manufacturer in Konark</v>
      </c>
      <c r="AE1095" s="15" t="str">
        <f t="shared" si="15"/>
        <v>How We Manufacture Electropolished Tube for Konark Plants</v>
      </c>
      <c r="AF1095" s="15" t="str">
        <f t="shared" si="16"/>
        <v>Supplying Electropolished Pipes in Konark: Availability, Sizes &amp; Dispatch</v>
      </c>
      <c r="AG1095" s="15" t="str">
        <f t="shared" si="17"/>
        <v>Wholesale Electropolished Pipe Supply for Konark Projects</v>
      </c>
      <c r="AH1095" s="15" t="str">
        <f t="shared" si="18"/>
        <v>electropolished pipes manufacturer in Konark, electropolished pipes supplier in Konark, electropolished pipes wholesaler in Konark, electropolished tube manufacturer Konark, EP pipe supplier Konark, sanitary tube supplier Konark, ASME BPE tubing Konark, ASTM A270 tube Konark, SS 316L electropolished pipe Konark</v>
      </c>
      <c r="AI1095" s="15" t="str">
        <f t="shared" si="19"/>
        <v>Electropolished Pipes Manufacturer &amp; Supplier in Konark</v>
      </c>
      <c r="AJ1095" s="15" t="str">
        <f t="shared" si="20"/>
        <v>EP-finished SS 304/316L pipes and tubes for VERIFY plants in Konark. ASME BPE SF1-SF4, Ra from 0.25 um, EN 10204 3.1 certificate with every lot.</v>
      </c>
      <c r="AK1095" s="15" t="str">
        <f t="shared" si="21"/>
        <v>Electropolished stainless steel pipes supplied by Sakshi Forge to VERIFY plants at IDCO Industrial Area, Konark</v>
      </c>
      <c r="AL1095" s="15" t="str">
        <f t="shared" si="22"/>
        <v>Electropolished SS 316L tube stock for Konark - Sakshi Forge</v>
      </c>
      <c r="AM1095" s="15" t="str">
        <f t="shared" si="23"/>
        <v>Home &gt; Market Area &gt; India &gt; Odisha &gt; Konark</v>
      </c>
      <c r="AN1095" s="15">
        <f t="shared" si="24"/>
        <v>750</v>
      </c>
      <c r="AO1095" s="15">
        <f t="shared" si="25"/>
        <v>6</v>
      </c>
      <c r="AP1095" s="15">
        <f t="shared" si="26"/>
        <v>6</v>
      </c>
      <c r="AQ1095" s="15">
        <f t="shared" si="27"/>
        <v>19</v>
      </c>
      <c r="AR1095" s="31"/>
      <c r="AS1095" s="31"/>
      <c r="AT1095" s="35" t="s">
        <v>222</v>
      </c>
      <c r="AU1095" s="35"/>
    </row>
    <row r="1096" ht="15.75" customHeight="1">
      <c r="A1096" s="15" t="s">
        <v>5689</v>
      </c>
      <c r="B1096" s="15" t="s">
        <v>60</v>
      </c>
      <c r="C1096" s="15" t="s">
        <v>775</v>
      </c>
      <c r="D1096" s="15" t="s">
        <v>5691</v>
      </c>
      <c r="E1096" s="15" t="s">
        <v>5691</v>
      </c>
      <c r="F1096" s="58" t="s">
        <v>807</v>
      </c>
      <c r="G1096" s="66" t="s">
        <v>98</v>
      </c>
      <c r="H1096" s="18" t="s">
        <v>5695</v>
      </c>
      <c r="I1096" s="18" t="s">
        <v>8399</v>
      </c>
      <c r="J1096" s="18" t="s">
        <v>98</v>
      </c>
      <c r="K1096" s="18" t="s">
        <v>98</v>
      </c>
      <c r="L1096" s="18" t="s">
        <v>98</v>
      </c>
      <c r="M1096" s="18" t="s">
        <v>98</v>
      </c>
      <c r="N1096" s="18" t="s">
        <v>98</v>
      </c>
      <c r="O1096" s="18" t="s">
        <v>98</v>
      </c>
      <c r="P1096" s="15" t="str">
        <f t="shared" si="1"/>
        <v>VERIFY</v>
      </c>
      <c r="Q1096" s="15">
        <f t="shared" si="2"/>
        <v>5</v>
      </c>
      <c r="R1096" s="15">
        <f t="shared" si="3"/>
        <v>1</v>
      </c>
      <c r="S1096" s="15">
        <f t="shared" si="4"/>
        <v>3</v>
      </c>
      <c r="T1096" s="15" t="str">
        <f t="shared" si="5"/>
        <v>C-1</v>
      </c>
      <c r="U1096" s="15" t="str">
        <f t="shared" si="6"/>
        <v>T5-M1-H3-FC-1-VERIFY</v>
      </c>
      <c r="V1096" s="15">
        <f t="shared" si="7"/>
        <v>0</v>
      </c>
      <c r="W1096" s="31"/>
      <c r="X1096" s="15" t="str">
        <f t="shared" si="8"/>
        <v>kondagaon</v>
      </c>
      <c r="Y1096" s="32" t="str">
        <f t="shared" si="9"/>
        <v>https://steelmanufacturer.in/market-area/electropolished-pipes-manufacturer-in-kondagaon/</v>
      </c>
      <c r="Z1096" s="15" t="str">
        <f t="shared" si="10"/>
        <v>Electropolished Pipes Manufacturer in Kondagaon</v>
      </c>
      <c r="AA1096" s="15" t="str">
        <f t="shared" si="11"/>
        <v>OK (47)</v>
      </c>
      <c r="AB1096" s="15" t="str">
        <f t="shared" si="12"/>
        <v>EP-finished SS 304/316L pipes &amp; tubes for VERIFY plants in Kondagaon. ASTM A270, ASME BPE SF1-SF4, EN 10204 3.1 MTC. PMI tested.</v>
      </c>
      <c r="AC1096" s="15" t="str">
        <f t="shared" si="13"/>
        <v>PENDING RESEARCH</v>
      </c>
      <c r="AD1096" s="15" t="str">
        <f t="shared" si="14"/>
        <v>Electropolished Pipes Manufacturer in Kondagaon</v>
      </c>
      <c r="AE1096" s="15" t="str">
        <f t="shared" si="15"/>
        <v>Electropolished Pipes Manufacturer in Kondagaon - Our Process &amp; Capability</v>
      </c>
      <c r="AF1096" s="15" t="str">
        <f t="shared" si="16"/>
        <v>Electropolished Pipes Supplier in Kondagaon - What We Hold in Stock</v>
      </c>
      <c r="AG1096" s="15" t="str">
        <f t="shared" si="17"/>
        <v>Bulk &amp; Wholesale Electropolished Pipe Rates for Kondagaon Buyers</v>
      </c>
      <c r="AH1096" s="15" t="str">
        <f t="shared" si="18"/>
        <v>electropolished pipes manufacturer in Kondagaon, electropolished pipes supplier in Kondagaon, electropolished pipes wholesaler in Kondagaon, electropolished tube manufacturer Kondagaon, EP pipe supplier Kondagaon, sanitary tube supplier Kondagaon, ASME BPE tubing Kondagaon, ASTM A270 tube Kondagaon, SS 316L electropolished pipe Kondagaon</v>
      </c>
      <c r="AI1096" s="15" t="str">
        <f t="shared" si="19"/>
        <v>Electropolished Pipes Manufacturer &amp; Supplier in Kondagaon</v>
      </c>
      <c r="AJ1096" s="15" t="str">
        <f t="shared" si="20"/>
        <v>EP-finished SS 304/316L pipes and tubes for VERIFY plants in Kondagaon. ASME BPE SF1-SF4, Ra from 0.25 um, EN 10204 3.1 certificate with every lot.</v>
      </c>
      <c r="AK1096" s="15" t="str">
        <f t="shared" si="21"/>
        <v>Electropolished stainless steel pipes supplied by Sakshi Forge to VERIFY plants at CSIDC Industrial Area, Kondagaon</v>
      </c>
      <c r="AL1096" s="15" t="str">
        <f t="shared" si="22"/>
        <v>Electropolished SS 316L tube stock for Kondagaon - Sakshi Forge</v>
      </c>
      <c r="AM1096" s="15" t="str">
        <f t="shared" si="23"/>
        <v>Home &gt; Market Area &gt; India &gt; Chhattisgarh &gt; Kondagaon</v>
      </c>
      <c r="AN1096" s="15">
        <f t="shared" si="24"/>
        <v>750</v>
      </c>
      <c r="AO1096" s="15">
        <f t="shared" si="25"/>
        <v>6</v>
      </c>
      <c r="AP1096" s="15">
        <f t="shared" si="26"/>
        <v>6</v>
      </c>
      <c r="AQ1096" s="15">
        <f t="shared" si="27"/>
        <v>19</v>
      </c>
      <c r="AR1096" s="31"/>
      <c r="AS1096" s="31"/>
      <c r="AT1096" s="35" t="s">
        <v>222</v>
      </c>
      <c r="AU1096" s="35"/>
    </row>
    <row r="1097" ht="15.75" customHeight="1">
      <c r="A1097" s="15" t="s">
        <v>5697</v>
      </c>
      <c r="B1097" s="15" t="s">
        <v>60</v>
      </c>
      <c r="C1097" s="15" t="s">
        <v>264</v>
      </c>
      <c r="D1097" s="15" t="s">
        <v>5698</v>
      </c>
      <c r="E1097" s="15" t="s">
        <v>5698</v>
      </c>
      <c r="F1097" s="58" t="s">
        <v>807</v>
      </c>
      <c r="G1097" s="66" t="s">
        <v>98</v>
      </c>
      <c r="H1097" s="18" t="s">
        <v>5700</v>
      </c>
      <c r="I1097" s="18" t="s">
        <v>8395</v>
      </c>
      <c r="J1097" s="18" t="s">
        <v>98</v>
      </c>
      <c r="K1097" s="18" t="s">
        <v>98</v>
      </c>
      <c r="L1097" s="18" t="s">
        <v>98</v>
      </c>
      <c r="M1097" s="18" t="s">
        <v>98</v>
      </c>
      <c r="N1097" s="18" t="s">
        <v>98</v>
      </c>
      <c r="O1097" s="18" t="s">
        <v>98</v>
      </c>
      <c r="P1097" s="15" t="str">
        <f t="shared" si="1"/>
        <v>VERIFY</v>
      </c>
      <c r="Q1097" s="15">
        <f t="shared" si="2"/>
        <v>6</v>
      </c>
      <c r="R1097" s="15">
        <f t="shared" si="3"/>
        <v>2</v>
      </c>
      <c r="S1097" s="15">
        <f t="shared" si="4"/>
        <v>4</v>
      </c>
      <c r="T1097" s="15" t="str">
        <f t="shared" si="5"/>
        <v>C-2</v>
      </c>
      <c r="U1097" s="15" t="str">
        <f t="shared" si="6"/>
        <v>T6-M2-H4-FC-2-VERIFY</v>
      </c>
      <c r="V1097" s="15">
        <f t="shared" si="7"/>
        <v>0</v>
      </c>
      <c r="W1097" s="31"/>
      <c r="X1097" s="15" t="str">
        <f t="shared" si="8"/>
        <v>kopargaon</v>
      </c>
      <c r="Y1097" s="32" t="str">
        <f t="shared" si="9"/>
        <v>https://steelmanufacturer.in/market-area/electropolished-pipes-manufacturer-in-kopargaon/</v>
      </c>
      <c r="Z1097" s="15" t="str">
        <f t="shared" si="10"/>
        <v>Electropolished Pipes Manufacturer in Kopargaon</v>
      </c>
      <c r="AA1097" s="15" t="str">
        <f t="shared" si="11"/>
        <v>OK (47)</v>
      </c>
      <c r="AB1097" s="15" t="str">
        <f t="shared" si="12"/>
        <v>Electropolished tube supply to MIDC Industrial Area, Kopargaon. Ra from 0.25 um, SF4 finish, mill test certificate with every lot.</v>
      </c>
      <c r="AC1097" s="15" t="str">
        <f t="shared" si="13"/>
        <v>PENDING RESEARCH</v>
      </c>
      <c r="AD1097" s="15" t="str">
        <f t="shared" si="14"/>
        <v>Electropolished Pipes Manufacturer in Kopargaon</v>
      </c>
      <c r="AE1097" s="15" t="str">
        <f t="shared" si="15"/>
        <v>Manufacturing Electropolished SS Tube for Kopargaon: The Standards We Build To</v>
      </c>
      <c r="AF1097" s="15" t="str">
        <f t="shared" si="16"/>
        <v>Electropolished Pipe Supply Into Kopargaon - Certification &amp; Transit</v>
      </c>
      <c r="AG1097" s="15" t="str">
        <f t="shared" si="17"/>
        <v>Electropolished Pipes Wholesaler in Kopargaon - Project Quantities &amp; Terms</v>
      </c>
      <c r="AH1097" s="15" t="str">
        <f t="shared" si="18"/>
        <v>electropolished pipes manufacturer in Kopargaon, electropolished pipes supplier in Kopargaon, electropolished pipes wholesaler in Kopargaon, electropolished tube manufacturer Kopargaon, EP pipe supplier Kopargaon, sanitary tube supplier Kopargaon, ASME BPE tubing Kopargaon, ASTM A270 tube Kopargaon, SS 316L electropolished pipe Kopargaon</v>
      </c>
      <c r="AI1097" s="15" t="str">
        <f t="shared" si="19"/>
        <v>Electropolished Pipes Manufacturer &amp; Supplier in Kopargaon</v>
      </c>
      <c r="AJ1097" s="15" t="str">
        <f t="shared" si="20"/>
        <v>EP-finished SS 304/316L pipes and tubes for VERIFY plants in Kopargaon. ASME BPE SF1-SF4, Ra from 0.25 um, EN 10204 3.1 certificate with every lot.</v>
      </c>
      <c r="AK1097" s="15" t="str">
        <f t="shared" si="21"/>
        <v>Electropolished stainless steel pipes supplied by Sakshi Forge to VERIFY plants at MIDC Industrial Area, Kopargaon</v>
      </c>
      <c r="AL1097" s="15" t="str">
        <f t="shared" si="22"/>
        <v>Electropolished SS 316L tube stock for Kopargaon - Sakshi Forge</v>
      </c>
      <c r="AM1097" s="15" t="str">
        <f t="shared" si="23"/>
        <v>Home &gt; Market Area &gt; India &gt; Maharashtra &gt; Kopargaon</v>
      </c>
      <c r="AN1097" s="15">
        <f t="shared" si="24"/>
        <v>750</v>
      </c>
      <c r="AO1097" s="15">
        <f t="shared" si="25"/>
        <v>6</v>
      </c>
      <c r="AP1097" s="15">
        <f t="shared" si="26"/>
        <v>6</v>
      </c>
      <c r="AQ1097" s="15">
        <f t="shared" si="27"/>
        <v>19</v>
      </c>
      <c r="AR1097" s="31"/>
      <c r="AS1097" s="31"/>
      <c r="AT1097" s="35" t="s">
        <v>222</v>
      </c>
      <c r="AU1097" s="35"/>
    </row>
    <row r="1098" ht="15.75" customHeight="1">
      <c r="A1098" s="15" t="s">
        <v>5701</v>
      </c>
      <c r="B1098" s="15" t="s">
        <v>60</v>
      </c>
      <c r="C1098" s="15" t="s">
        <v>775</v>
      </c>
      <c r="D1098" s="15" t="s">
        <v>5702</v>
      </c>
      <c r="E1098" s="15" t="s">
        <v>5702</v>
      </c>
      <c r="F1098" s="58" t="s">
        <v>807</v>
      </c>
      <c r="G1098" s="66" t="s">
        <v>98</v>
      </c>
      <c r="H1098" s="18" t="s">
        <v>5704</v>
      </c>
      <c r="I1098" s="18" t="s">
        <v>8399</v>
      </c>
      <c r="J1098" s="18" t="s">
        <v>98</v>
      </c>
      <c r="K1098" s="18" t="s">
        <v>98</v>
      </c>
      <c r="L1098" s="18" t="s">
        <v>98</v>
      </c>
      <c r="M1098" s="18" t="s">
        <v>98</v>
      </c>
      <c r="N1098" s="18" t="s">
        <v>98</v>
      </c>
      <c r="O1098" s="18" t="s">
        <v>98</v>
      </c>
      <c r="P1098" s="15" t="str">
        <f t="shared" si="1"/>
        <v>VERIFY</v>
      </c>
      <c r="Q1098" s="15">
        <f t="shared" si="2"/>
        <v>7</v>
      </c>
      <c r="R1098" s="15">
        <f t="shared" si="3"/>
        <v>3</v>
      </c>
      <c r="S1098" s="15">
        <f t="shared" si="4"/>
        <v>5</v>
      </c>
      <c r="T1098" s="15" t="str">
        <f t="shared" si="5"/>
        <v>C-3</v>
      </c>
      <c r="U1098" s="15" t="str">
        <f t="shared" si="6"/>
        <v>T7-M3-H5-FC-3-VERIFY</v>
      </c>
      <c r="V1098" s="15">
        <f t="shared" si="7"/>
        <v>0</v>
      </c>
      <c r="W1098" s="31"/>
      <c r="X1098" s="15" t="str">
        <f t="shared" si="8"/>
        <v>korea</v>
      </c>
      <c r="Y1098" s="32" t="str">
        <f t="shared" si="9"/>
        <v>https://steelmanufacturer.in/market-area/electropolished-pipes-manufacturer-in-korea/</v>
      </c>
      <c r="Z1098" s="15" t="str">
        <f t="shared" si="10"/>
        <v>Electropolished Pipes Manufacturer in Korea | ASME BPE SF1-SF4</v>
      </c>
      <c r="AA1098" s="15" t="str">
        <f t="shared" si="11"/>
        <v>OK (62)</v>
      </c>
      <c r="AB1098" s="15" t="str">
        <f t="shared" si="12"/>
        <v>EP stainless tube for VERIFY lines in Korea. VERIFY. ASTM A270 S2, PMI tested, EN 10204 3.1.</v>
      </c>
      <c r="AC1098" s="15" t="str">
        <f t="shared" si="13"/>
        <v>PENDING RESEARCH</v>
      </c>
      <c r="AD1098" s="15" t="str">
        <f t="shared" si="14"/>
        <v>Electropolished Pipes Manufacturer in Korea</v>
      </c>
      <c r="AE1098" s="15" t="str">
        <f t="shared" si="15"/>
        <v>Electropolished Tube Manufacturing Capability Serving Korea</v>
      </c>
      <c r="AF1098" s="15" t="str">
        <f t="shared" si="16"/>
        <v>Electropolished Pipes Supplier in Korea - From Order to Delivery</v>
      </c>
      <c r="AG1098" s="15" t="str">
        <f t="shared" si="17"/>
        <v>Stockist &amp; Wholesale Supply of Electropolished Pipes in Korea</v>
      </c>
      <c r="AH1098" s="15" t="str">
        <f t="shared" si="18"/>
        <v>electropolished pipes manufacturer in Korea, electropolished pipes supplier in Korea, electropolished pipes wholesaler in Korea, electropolished tube manufacturer Korea, EP pipe supplier Korea, sanitary tube supplier Korea, ASME BPE tubing Korea, ASTM A270 tube Korea, SS 316L electropolished pipe Korea</v>
      </c>
      <c r="AI1098" s="15" t="str">
        <f t="shared" si="19"/>
        <v>Electropolished Pipes Manufacturer &amp; Supplier in Korea</v>
      </c>
      <c r="AJ1098" s="15" t="str">
        <f t="shared" si="20"/>
        <v>EP-finished SS 304/316L pipes and tubes for VERIFY plants in Korea. ASME BPE SF1-SF4, Ra from 0.25 um, EN 10204 3.1 certificate with every lot.</v>
      </c>
      <c r="AK1098" s="15" t="str">
        <f t="shared" si="21"/>
        <v>Electropolished stainless steel pipes supplied by Sakshi Forge to VERIFY plants at CSIDC Industrial Area, Korea</v>
      </c>
      <c r="AL1098" s="15" t="str">
        <f t="shared" si="22"/>
        <v>Electropolished SS 316L tube stock for Korea - Sakshi Forge</v>
      </c>
      <c r="AM1098" s="15" t="str">
        <f t="shared" si="23"/>
        <v>Home &gt; Market Area &gt; India &gt; Chhattisgarh &gt; Korea</v>
      </c>
      <c r="AN1098" s="15">
        <f t="shared" si="24"/>
        <v>750</v>
      </c>
      <c r="AO1098" s="15">
        <f t="shared" si="25"/>
        <v>6</v>
      </c>
      <c r="AP1098" s="15">
        <f t="shared" si="26"/>
        <v>6</v>
      </c>
      <c r="AQ1098" s="15">
        <f t="shared" si="27"/>
        <v>19</v>
      </c>
      <c r="AR1098" s="31"/>
      <c r="AS1098" s="31"/>
      <c r="AT1098" s="35" t="s">
        <v>222</v>
      </c>
      <c r="AU1098" s="35"/>
    </row>
    <row r="1099" ht="15.75" customHeight="1">
      <c r="A1099" s="15" t="s">
        <v>5705</v>
      </c>
      <c r="B1099" s="15" t="s">
        <v>60</v>
      </c>
      <c r="C1099" s="15" t="s">
        <v>1312</v>
      </c>
      <c r="D1099" s="15" t="s">
        <v>5706</v>
      </c>
      <c r="E1099" s="15" t="s">
        <v>5706</v>
      </c>
      <c r="F1099" s="58" t="s">
        <v>807</v>
      </c>
      <c r="G1099" s="66" t="s">
        <v>98</v>
      </c>
      <c r="H1099" s="18" t="s">
        <v>5708</v>
      </c>
      <c r="I1099" s="18" t="s">
        <v>8392</v>
      </c>
      <c r="J1099" s="18" t="s">
        <v>98</v>
      </c>
      <c r="K1099" s="18" t="s">
        <v>98</v>
      </c>
      <c r="L1099" s="18" t="s">
        <v>98</v>
      </c>
      <c r="M1099" s="18" t="s">
        <v>98</v>
      </c>
      <c r="N1099" s="18" t="s">
        <v>98</v>
      </c>
      <c r="O1099" s="18" t="s">
        <v>98</v>
      </c>
      <c r="P1099" s="15" t="str">
        <f t="shared" si="1"/>
        <v>VERIFY</v>
      </c>
      <c r="Q1099" s="15">
        <f t="shared" si="2"/>
        <v>8</v>
      </c>
      <c r="R1099" s="15">
        <f t="shared" si="3"/>
        <v>4</v>
      </c>
      <c r="S1099" s="15">
        <f t="shared" si="4"/>
        <v>1</v>
      </c>
      <c r="T1099" s="15" t="str">
        <f t="shared" si="5"/>
        <v>C-4</v>
      </c>
      <c r="U1099" s="15" t="str">
        <f t="shared" si="6"/>
        <v>T8-M4-H1-FC-4-VERIFY</v>
      </c>
      <c r="V1099" s="15">
        <f t="shared" si="7"/>
        <v>0</v>
      </c>
      <c r="W1099" s="31"/>
      <c r="X1099" s="15" t="str">
        <f t="shared" si="8"/>
        <v>korutla</v>
      </c>
      <c r="Y1099" s="32" t="str">
        <f t="shared" si="9"/>
        <v>https://steelmanufacturer.in/market-area/electropolished-pipes-manufacturer-in-korutla/</v>
      </c>
      <c r="Z1099" s="15" t="str">
        <f t="shared" si="10"/>
        <v>Electropolished Pipes Manufacturer in Korutla - EP Tube Stockist</v>
      </c>
      <c r="AA1099" s="15" t="str">
        <f t="shared" si="11"/>
        <v>OK (64)</v>
      </c>
      <c r="AB1099" s="15" t="str">
        <f t="shared" si="12"/>
        <v>Sanitary electropolished pipes in Korutla for VERIFY plants. ASME BPE SF1-SF4, orbital-weld ready, 3.1 MTC. Mumbai-made.</v>
      </c>
      <c r="AC1099" s="15" t="str">
        <f t="shared" si="13"/>
        <v>PENDING RESEARCH</v>
      </c>
      <c r="AD1099" s="15" t="str">
        <f t="shared" si="14"/>
        <v>Electropolished Pipes Manufacturer in Korutla</v>
      </c>
      <c r="AE1099" s="15" t="str">
        <f t="shared" si="15"/>
        <v>Electropolished Pipe &amp; Tube Manufacturing for Korutla - Grades, Finishes &amp; Certification</v>
      </c>
      <c r="AF1099" s="15" t="str">
        <f t="shared" si="16"/>
        <v>Electropolished Pipes Supplier in Korutla - Stock Sizes, Lead Time &amp; Delivery</v>
      </c>
      <c r="AG1099" s="15" t="str">
        <f t="shared" si="17"/>
        <v>Electropolished Pipes Wholesaler &amp; Stockist in Korutla - Bulk &amp; Project Pricing</v>
      </c>
      <c r="AH1099" s="15" t="str">
        <f t="shared" si="18"/>
        <v>electropolished pipes manufacturer in Korutla, electropolished pipes supplier in Korutla, electropolished pipes wholesaler in Korutla, electropolished tube manufacturer Korutla, EP pipe supplier Korutla, sanitary tube supplier Korutla, ASME BPE tubing Korutla, ASTM A270 tube Korutla, SS 316L electropolished pipe Korutla</v>
      </c>
      <c r="AI1099" s="15" t="str">
        <f t="shared" si="19"/>
        <v>Electropolished Pipes Manufacturer &amp; Supplier in Korutla</v>
      </c>
      <c r="AJ1099" s="15" t="str">
        <f t="shared" si="20"/>
        <v>EP-finished SS 304/316L pipes and tubes for VERIFY plants in Korutla. ASME BPE SF1-SF4, Ra from 0.25 um, EN 10204 3.1 certificate with every lot.</v>
      </c>
      <c r="AK1099" s="15" t="str">
        <f t="shared" si="21"/>
        <v>Electropolished stainless steel pipes supplied by Sakshi Forge to VERIFY plants at TSIIC Industrial Area, Korutla</v>
      </c>
      <c r="AL1099" s="15" t="str">
        <f t="shared" si="22"/>
        <v>Electropolished SS 316L tube stock for Korutla - Sakshi Forge</v>
      </c>
      <c r="AM1099" s="15" t="str">
        <f t="shared" si="23"/>
        <v>Home &gt; Market Area &gt; India &gt; Telangana &gt; Korutla</v>
      </c>
      <c r="AN1099" s="15">
        <f t="shared" si="24"/>
        <v>750</v>
      </c>
      <c r="AO1099" s="15">
        <f t="shared" si="25"/>
        <v>6</v>
      </c>
      <c r="AP1099" s="15">
        <f t="shared" si="26"/>
        <v>6</v>
      </c>
      <c r="AQ1099" s="15">
        <f t="shared" si="27"/>
        <v>19</v>
      </c>
      <c r="AR1099" s="31"/>
      <c r="AS1099" s="31"/>
      <c r="AT1099" s="35" t="s">
        <v>222</v>
      </c>
      <c r="AU1099" s="35"/>
    </row>
    <row r="1100" ht="15.75" customHeight="1">
      <c r="A1100" s="15" t="s">
        <v>5709</v>
      </c>
      <c r="B1100" s="15" t="s">
        <v>60</v>
      </c>
      <c r="C1100" s="15" t="s">
        <v>1687</v>
      </c>
      <c r="D1100" s="15" t="s">
        <v>5710</v>
      </c>
      <c r="E1100" s="15" t="s">
        <v>5710</v>
      </c>
      <c r="F1100" s="58" t="s">
        <v>807</v>
      </c>
      <c r="G1100" s="66" t="s">
        <v>98</v>
      </c>
      <c r="H1100" s="18" t="s">
        <v>5712</v>
      </c>
      <c r="I1100" s="18" t="s">
        <v>8397</v>
      </c>
      <c r="J1100" s="18" t="s">
        <v>98</v>
      </c>
      <c r="K1100" s="18" t="s">
        <v>98</v>
      </c>
      <c r="L1100" s="18" t="s">
        <v>98</v>
      </c>
      <c r="M1100" s="18" t="s">
        <v>98</v>
      </c>
      <c r="N1100" s="18" t="s">
        <v>98</v>
      </c>
      <c r="O1100" s="18" t="s">
        <v>98</v>
      </c>
      <c r="P1100" s="15" t="str">
        <f t="shared" si="1"/>
        <v>VERIFY</v>
      </c>
      <c r="Q1100" s="15">
        <f t="shared" si="2"/>
        <v>1</v>
      </c>
      <c r="R1100" s="15">
        <f t="shared" si="3"/>
        <v>5</v>
      </c>
      <c r="S1100" s="15">
        <f t="shared" si="4"/>
        <v>2</v>
      </c>
      <c r="T1100" s="15" t="str">
        <f t="shared" si="5"/>
        <v>C-5</v>
      </c>
      <c r="U1100" s="15" t="str">
        <f t="shared" si="6"/>
        <v>T1-M5-H2-FC-5-VERIFY</v>
      </c>
      <c r="V1100" s="15">
        <f t="shared" si="7"/>
        <v>0</v>
      </c>
      <c r="W1100" s="31"/>
      <c r="X1100" s="15" t="str">
        <f t="shared" si="8"/>
        <v>kothamangalam</v>
      </c>
      <c r="Y1100" s="32" t="str">
        <f t="shared" si="9"/>
        <v>https://steelmanufacturer.in/market-area/electropolished-pipes-manufacturer-in-kothamangalam/</v>
      </c>
      <c r="Z1100" s="15" t="str">
        <f t="shared" si="10"/>
        <v>Electropolished Pipes Manufacturer in Kothamangalam</v>
      </c>
      <c r="AA1100" s="15" t="str">
        <f t="shared" si="11"/>
        <v>OK (51)</v>
      </c>
      <c r="AB1100" s="15" t="str">
        <f t="shared" si="12"/>
        <v>Manufacturer of electropolished SS 316L tube serving Kothamangalam. VERIFY. Ra 0.25-0.5 um, EN 10204 3.1 MTC.</v>
      </c>
      <c r="AC1100" s="15" t="str">
        <f t="shared" si="13"/>
        <v>PENDING RESEARCH</v>
      </c>
      <c r="AD1100" s="15" t="str">
        <f t="shared" si="14"/>
        <v>Electropolished Pipes Manufacturer in Kothamangalam</v>
      </c>
      <c r="AE1100" s="15" t="str">
        <f t="shared" si="15"/>
        <v>How We Manufacture Electropolished Tube for Kothamangalam Plants</v>
      </c>
      <c r="AF1100" s="15" t="str">
        <f t="shared" si="16"/>
        <v>Supplying Electropolished Pipes in Kothamangalam: Availability, Sizes &amp; Dispatch</v>
      </c>
      <c r="AG1100" s="15" t="str">
        <f t="shared" si="17"/>
        <v>Wholesale Electropolished Pipe Supply for Kothamangalam Projects</v>
      </c>
      <c r="AH1100" s="15" t="str">
        <f t="shared" si="18"/>
        <v>electropolished pipes manufacturer in Kothamangalam, electropolished pipes supplier in Kothamangalam, electropolished pipes wholesaler in Kothamangalam, electropolished tube manufacturer Kothamangalam, EP pipe supplier Kothamangalam, sanitary tube supplier Kothamangalam, ASME BPE tubing Kothamangalam, ASTM A270 tube Kothamangalam, SS 316L electropolished pipe Kothamangalam</v>
      </c>
      <c r="AI1100" s="15" t="str">
        <f t="shared" si="19"/>
        <v>Electropolished Pipes Manufacturer &amp; Supplier in Kothamangalam</v>
      </c>
      <c r="AJ1100" s="15" t="str">
        <f t="shared" si="20"/>
        <v>EP-finished SS 304/316L pipes and tubes for VERIFY plants in Kothamangalam. ASME BPE SF1-SF4, Ra from 0.25 um, EN 10204 3.1 certificate with every lot.</v>
      </c>
      <c r="AK1100" s="15" t="str">
        <f t="shared" si="21"/>
        <v>Electropolished stainless steel pipes supplied by Sakshi Forge to VERIFY plants at KINFRA Industrial Area, Kothamangalam</v>
      </c>
      <c r="AL1100" s="15" t="str">
        <f t="shared" si="22"/>
        <v>Electropolished SS 316L tube stock for Kothamangalam - Sakshi Forge</v>
      </c>
      <c r="AM1100" s="15" t="str">
        <f t="shared" si="23"/>
        <v>Home &gt; Market Area &gt; India &gt; Kerala &gt; Kothamangalam</v>
      </c>
      <c r="AN1100" s="15">
        <f t="shared" si="24"/>
        <v>750</v>
      </c>
      <c r="AO1100" s="15">
        <f t="shared" si="25"/>
        <v>6</v>
      </c>
      <c r="AP1100" s="15">
        <f t="shared" si="26"/>
        <v>6</v>
      </c>
      <c r="AQ1100" s="15">
        <f t="shared" si="27"/>
        <v>19</v>
      </c>
      <c r="AR1100" s="31"/>
      <c r="AS1100" s="31"/>
      <c r="AT1100" s="35" t="s">
        <v>222</v>
      </c>
      <c r="AU1100" s="35"/>
    </row>
    <row r="1101" ht="15.75" customHeight="1">
      <c r="A1101" s="15" t="s">
        <v>5713</v>
      </c>
      <c r="B1101" s="15" t="s">
        <v>60</v>
      </c>
      <c r="C1101" s="15" t="s">
        <v>1312</v>
      </c>
      <c r="D1101" s="15" t="s">
        <v>5714</v>
      </c>
      <c r="E1101" s="15" t="s">
        <v>5714</v>
      </c>
      <c r="F1101" s="58" t="s">
        <v>807</v>
      </c>
      <c r="G1101" s="66" t="s">
        <v>98</v>
      </c>
      <c r="H1101" s="18" t="s">
        <v>5716</v>
      </c>
      <c r="I1101" s="18" t="s">
        <v>8392</v>
      </c>
      <c r="J1101" s="18" t="s">
        <v>98</v>
      </c>
      <c r="K1101" s="18" t="s">
        <v>98</v>
      </c>
      <c r="L1101" s="18" t="s">
        <v>98</v>
      </c>
      <c r="M1101" s="18" t="s">
        <v>98</v>
      </c>
      <c r="N1101" s="18" t="s">
        <v>98</v>
      </c>
      <c r="O1101" s="18" t="s">
        <v>98</v>
      </c>
      <c r="P1101" s="15" t="str">
        <f t="shared" si="1"/>
        <v>VERIFY</v>
      </c>
      <c r="Q1101" s="15">
        <f t="shared" si="2"/>
        <v>2</v>
      </c>
      <c r="R1101" s="15">
        <f t="shared" si="3"/>
        <v>6</v>
      </c>
      <c r="S1101" s="15">
        <f t="shared" si="4"/>
        <v>3</v>
      </c>
      <c r="T1101" s="15" t="str">
        <f t="shared" si="5"/>
        <v>C-6</v>
      </c>
      <c r="U1101" s="15" t="str">
        <f t="shared" si="6"/>
        <v>T2-M6-H3-FC-6-VERIFY</v>
      </c>
      <c r="V1101" s="15">
        <f t="shared" si="7"/>
        <v>0</v>
      </c>
      <c r="W1101" s="31"/>
      <c r="X1101" s="15" t="str">
        <f t="shared" si="8"/>
        <v>kothur</v>
      </c>
      <c r="Y1101" s="32" t="str">
        <f t="shared" si="9"/>
        <v>https://steelmanufacturer.in/market-area/electropolished-pipes-manufacturer-in-kothur/</v>
      </c>
      <c r="Z1101" s="15" t="str">
        <f t="shared" si="10"/>
        <v>Electropolished Pipes Manufacturer in Kothur</v>
      </c>
      <c r="AA1101" s="15" t="str">
        <f t="shared" si="11"/>
        <v>OK (44)</v>
      </c>
      <c r="AB1101" s="15" t="str">
        <f t="shared" si="12"/>
        <v>EP tube and pipe for VERIFY plants around TSIIC Industrial Area, Kothur. Made at our Mumbai works to ASTM A270 and ASME BPE SF1-SF4, with 3.1 MTC.</v>
      </c>
      <c r="AC1101" s="15" t="str">
        <f t="shared" si="13"/>
        <v>PENDING RESEARCH</v>
      </c>
      <c r="AD1101" s="15" t="str">
        <f t="shared" si="14"/>
        <v>Electropolished Pipes Manufacturer in Kothur</v>
      </c>
      <c r="AE1101" s="15" t="str">
        <f t="shared" si="15"/>
        <v>Electropolished Pipes Manufacturer in Kothur - Our Process &amp; Capability</v>
      </c>
      <c r="AF1101" s="15" t="str">
        <f t="shared" si="16"/>
        <v>Electropolished Pipes Supplier in Kothur - What We Hold in Stock</v>
      </c>
      <c r="AG1101" s="15" t="str">
        <f t="shared" si="17"/>
        <v>Bulk &amp; Wholesale Electropolished Pipe Rates for Kothur Buyers</v>
      </c>
      <c r="AH1101" s="15" t="str">
        <f t="shared" si="18"/>
        <v>electropolished pipes manufacturer in Kothur, electropolished pipes supplier in Kothur, electropolished pipes wholesaler in Kothur, electropolished tube manufacturer Kothur, EP pipe supplier Kothur, sanitary tube supplier Kothur, ASME BPE tubing Kothur, ASTM A270 tube Kothur, SS 316L electropolished pipe Kothur</v>
      </c>
      <c r="AI1101" s="15" t="str">
        <f t="shared" si="19"/>
        <v>Electropolished Pipes Manufacturer &amp; Supplier in Kothur</v>
      </c>
      <c r="AJ1101" s="15" t="str">
        <f t="shared" si="20"/>
        <v>EP-finished SS 304/316L pipes and tubes for VERIFY plants in Kothur. ASME BPE SF1-SF4, Ra from 0.25 um, EN 10204 3.1 certificate with every lot.</v>
      </c>
      <c r="AK1101" s="15" t="str">
        <f t="shared" si="21"/>
        <v>Electropolished stainless steel pipes supplied by Sakshi Forge to VERIFY plants at TSIIC Industrial Area, Kothur</v>
      </c>
      <c r="AL1101" s="15" t="str">
        <f t="shared" si="22"/>
        <v>Electropolished SS 316L tube stock for Kothur - Sakshi Forge</v>
      </c>
      <c r="AM1101" s="15" t="str">
        <f t="shared" si="23"/>
        <v>Home &gt; Market Area &gt; India &gt; Telangana &gt; Kothur</v>
      </c>
      <c r="AN1101" s="15">
        <f t="shared" si="24"/>
        <v>750</v>
      </c>
      <c r="AO1101" s="15">
        <f t="shared" si="25"/>
        <v>6</v>
      </c>
      <c r="AP1101" s="15">
        <f t="shared" si="26"/>
        <v>6</v>
      </c>
      <c r="AQ1101" s="15">
        <f t="shared" si="27"/>
        <v>19</v>
      </c>
      <c r="AR1101" s="31"/>
      <c r="AS1101" s="31"/>
      <c r="AT1101" s="35" t="s">
        <v>222</v>
      </c>
      <c r="AU1101" s="35"/>
    </row>
    <row r="1102" ht="15.75" customHeight="1">
      <c r="A1102" s="15" t="s">
        <v>5717</v>
      </c>
      <c r="B1102" s="15" t="s">
        <v>60</v>
      </c>
      <c r="C1102" s="15" t="s">
        <v>236</v>
      </c>
      <c r="D1102" s="15" t="s">
        <v>5718</v>
      </c>
      <c r="E1102" s="15" t="s">
        <v>5718</v>
      </c>
      <c r="F1102" s="58" t="s">
        <v>807</v>
      </c>
      <c r="G1102" s="66" t="s">
        <v>98</v>
      </c>
      <c r="H1102" s="18" t="s">
        <v>5720</v>
      </c>
      <c r="I1102" s="18" t="s">
        <v>8391</v>
      </c>
      <c r="J1102" s="18" t="s">
        <v>98</v>
      </c>
      <c r="K1102" s="18" t="s">
        <v>98</v>
      </c>
      <c r="L1102" s="18" t="s">
        <v>98</v>
      </c>
      <c r="M1102" s="18" t="s">
        <v>98</v>
      </c>
      <c r="N1102" s="18" t="s">
        <v>98</v>
      </c>
      <c r="O1102" s="18" t="s">
        <v>98</v>
      </c>
      <c r="P1102" s="15" t="str">
        <f t="shared" si="1"/>
        <v>VERIFY</v>
      </c>
      <c r="Q1102" s="15">
        <f t="shared" si="2"/>
        <v>3</v>
      </c>
      <c r="R1102" s="15">
        <f t="shared" si="3"/>
        <v>7</v>
      </c>
      <c r="S1102" s="15">
        <f t="shared" si="4"/>
        <v>4</v>
      </c>
      <c r="T1102" s="15" t="str">
        <f t="shared" si="5"/>
        <v>C-1</v>
      </c>
      <c r="U1102" s="15" t="str">
        <f t="shared" si="6"/>
        <v>T3-M7-H4-FC-1-VERIFY</v>
      </c>
      <c r="V1102" s="15">
        <f t="shared" si="7"/>
        <v>0</v>
      </c>
      <c r="W1102" s="31"/>
      <c r="X1102" s="15" t="str">
        <f t="shared" si="8"/>
        <v>kotputli</v>
      </c>
      <c r="Y1102" s="32" t="str">
        <f t="shared" si="9"/>
        <v>https://steelmanufacturer.in/market-area/electropolished-pipes-manufacturer-in-kotputli/</v>
      </c>
      <c r="Z1102" s="15" t="str">
        <f t="shared" si="10"/>
        <v>Electropolished Pipes Manufacturer in Kotputli | EP Tube Supplier</v>
      </c>
      <c r="AA1102" s="15" t="str">
        <f t="shared" si="11"/>
        <v>OK (65)</v>
      </c>
      <c r="AB1102" s="15" t="str">
        <f t="shared" si="12"/>
        <v>Electropolished pipes in Kotputli: 304, 304L, 316 and 316L in SF1-SF4. VERIFY. Mill certified.</v>
      </c>
      <c r="AC1102" s="15" t="str">
        <f t="shared" si="13"/>
        <v>PENDING RESEARCH</v>
      </c>
      <c r="AD1102" s="15" t="str">
        <f t="shared" si="14"/>
        <v>Electropolished Pipes Manufacturer in Kotputli</v>
      </c>
      <c r="AE1102" s="15" t="str">
        <f t="shared" si="15"/>
        <v>Manufacturing Electropolished SS Tube for Kotputli: The Standards We Build To</v>
      </c>
      <c r="AF1102" s="15" t="str">
        <f t="shared" si="16"/>
        <v>Electropolished Pipe Supply Into Kotputli - Certification &amp; Transit</v>
      </c>
      <c r="AG1102" s="15" t="str">
        <f t="shared" si="17"/>
        <v>Electropolished Pipes Wholesaler in Kotputli - Project Quantities &amp; Terms</v>
      </c>
      <c r="AH1102" s="15" t="str">
        <f t="shared" si="18"/>
        <v>electropolished pipes manufacturer in Kotputli, electropolished pipes supplier in Kotputli, electropolished pipes wholesaler in Kotputli, electropolished tube manufacturer Kotputli, EP pipe supplier Kotputli, sanitary tube supplier Kotputli, ASME BPE tubing Kotputli, ASTM A270 tube Kotputli, SS 316L electropolished pipe Kotputli</v>
      </c>
      <c r="AI1102" s="15" t="str">
        <f t="shared" si="19"/>
        <v>Electropolished Pipes Manufacturer &amp; Supplier in Kotputli</v>
      </c>
      <c r="AJ1102" s="15" t="str">
        <f t="shared" si="20"/>
        <v>EP-finished SS 304/316L pipes and tubes for VERIFY plants in Kotputli. ASME BPE SF1-SF4, Ra from 0.25 um, EN 10204 3.1 certificate with every lot.</v>
      </c>
      <c r="AK1102" s="15" t="str">
        <f t="shared" si="21"/>
        <v>Electropolished stainless steel pipes supplied by Sakshi Forge to VERIFY plants at RIICO Industrial Area, Kotputli</v>
      </c>
      <c r="AL1102" s="15" t="str">
        <f t="shared" si="22"/>
        <v>Electropolished SS 316L tube stock for Kotputli - Sakshi Forge</v>
      </c>
      <c r="AM1102" s="15" t="str">
        <f t="shared" si="23"/>
        <v>Home &gt; Market Area &gt; India &gt; Rajasthan &gt; Kotputli</v>
      </c>
      <c r="AN1102" s="15">
        <f t="shared" si="24"/>
        <v>750</v>
      </c>
      <c r="AO1102" s="15">
        <f t="shared" si="25"/>
        <v>6</v>
      </c>
      <c r="AP1102" s="15">
        <f t="shared" si="26"/>
        <v>6</v>
      </c>
      <c r="AQ1102" s="15">
        <f t="shared" si="27"/>
        <v>19</v>
      </c>
      <c r="AR1102" s="31"/>
      <c r="AS1102" s="31"/>
      <c r="AT1102" s="35" t="s">
        <v>222</v>
      </c>
      <c r="AU1102" s="35"/>
    </row>
    <row r="1103" ht="15.75" customHeight="1">
      <c r="A1103" s="15" t="s">
        <v>5721</v>
      </c>
      <c r="B1103" s="15" t="s">
        <v>60</v>
      </c>
      <c r="C1103" s="15" t="s">
        <v>1687</v>
      </c>
      <c r="D1103" s="15" t="s">
        <v>5722</v>
      </c>
      <c r="E1103" s="15" t="s">
        <v>5722</v>
      </c>
      <c r="F1103" s="58" t="s">
        <v>807</v>
      </c>
      <c r="G1103" s="66" t="s">
        <v>98</v>
      </c>
      <c r="H1103" s="18" t="s">
        <v>5724</v>
      </c>
      <c r="I1103" s="18" t="s">
        <v>8397</v>
      </c>
      <c r="J1103" s="18" t="s">
        <v>98</v>
      </c>
      <c r="K1103" s="18" t="s">
        <v>98</v>
      </c>
      <c r="L1103" s="18" t="s">
        <v>98</v>
      </c>
      <c r="M1103" s="18" t="s">
        <v>98</v>
      </c>
      <c r="N1103" s="18" t="s">
        <v>98</v>
      </c>
      <c r="O1103" s="18" t="s">
        <v>98</v>
      </c>
      <c r="P1103" s="15" t="str">
        <f t="shared" si="1"/>
        <v>VERIFY</v>
      </c>
      <c r="Q1103" s="15">
        <f t="shared" si="2"/>
        <v>4</v>
      </c>
      <c r="R1103" s="15">
        <f t="shared" si="3"/>
        <v>1</v>
      </c>
      <c r="S1103" s="15">
        <f t="shared" si="4"/>
        <v>5</v>
      </c>
      <c r="T1103" s="15" t="str">
        <f t="shared" si="5"/>
        <v>C-2</v>
      </c>
      <c r="U1103" s="15" t="str">
        <f t="shared" si="6"/>
        <v>T4-M1-H5-FC-2-VERIFY</v>
      </c>
      <c r="V1103" s="15">
        <f t="shared" si="7"/>
        <v>0</v>
      </c>
      <c r="W1103" s="31"/>
      <c r="X1103" s="15" t="str">
        <f t="shared" si="8"/>
        <v>kottarakkara</v>
      </c>
      <c r="Y1103" s="32" t="str">
        <f t="shared" si="9"/>
        <v>https://steelmanufacturer.in/market-area/electropolished-pipes-manufacturer-in-kottarakkara/</v>
      </c>
      <c r="Z1103" s="15" t="str">
        <f t="shared" si="10"/>
        <v>Electropolished Pipes Manufacturer in Kottarakkara</v>
      </c>
      <c r="AA1103" s="15" t="str">
        <f t="shared" si="11"/>
        <v>OK (50)</v>
      </c>
      <c r="AB1103" s="15" t="str">
        <f t="shared" si="12"/>
        <v>EP-finished SS 304/316L pipes &amp; tubes for VERIFY plants in Kottarakkara. ASTM A270, ASME BPE SF1-SF4, EN 10204 3.1 MTC. PMI tested.</v>
      </c>
      <c r="AC1103" s="15" t="str">
        <f t="shared" si="13"/>
        <v>PENDING RESEARCH</v>
      </c>
      <c r="AD1103" s="15" t="str">
        <f t="shared" si="14"/>
        <v>Electropolished Pipes Manufacturer in Kottarakkara</v>
      </c>
      <c r="AE1103" s="15" t="str">
        <f t="shared" si="15"/>
        <v>Electropolished Tube Manufacturing Capability Serving Kottarakkara</v>
      </c>
      <c r="AF1103" s="15" t="str">
        <f t="shared" si="16"/>
        <v>Electropolished Pipes Supplier in Kottarakkara - From Order to Delivery</v>
      </c>
      <c r="AG1103" s="15" t="str">
        <f t="shared" si="17"/>
        <v>Stockist &amp; Wholesale Supply of Electropolished Pipes in Kottarakkara</v>
      </c>
      <c r="AH1103" s="15" t="str">
        <f t="shared" si="18"/>
        <v>electropolished pipes manufacturer in Kottarakkara, electropolished pipes supplier in Kottarakkara, electropolished pipes wholesaler in Kottarakkara, electropolished tube manufacturer Kottarakkara, EP pipe supplier Kottarakkara, sanitary tube supplier Kottarakkara, ASME BPE tubing Kottarakkara, ASTM A270 tube Kottarakkara, SS 316L electropolished pipe Kottarakkara</v>
      </c>
      <c r="AI1103" s="15" t="str">
        <f t="shared" si="19"/>
        <v>Electropolished Pipes Manufacturer &amp; Supplier in Kottarakkara</v>
      </c>
      <c r="AJ1103" s="15" t="str">
        <f t="shared" si="20"/>
        <v>EP-finished SS 304/316L pipes and tubes for VERIFY plants in Kottarakkara. ASME BPE SF1-SF4, Ra from 0.25 um, EN 10204 3.1 certificate with every lot.</v>
      </c>
      <c r="AK1103" s="15" t="str">
        <f t="shared" si="21"/>
        <v>Electropolished stainless steel pipes supplied by Sakshi Forge to VERIFY plants at KINFRA Industrial Area, Kottarakkara</v>
      </c>
      <c r="AL1103" s="15" t="str">
        <f t="shared" si="22"/>
        <v>Electropolished SS 316L tube stock for Kottarakkara - Sakshi Forge</v>
      </c>
      <c r="AM1103" s="15" t="str">
        <f t="shared" si="23"/>
        <v>Home &gt; Market Area &gt; India &gt; Kerala &gt; Kottarakkara</v>
      </c>
      <c r="AN1103" s="15">
        <f t="shared" si="24"/>
        <v>750</v>
      </c>
      <c r="AO1103" s="15">
        <f t="shared" si="25"/>
        <v>6</v>
      </c>
      <c r="AP1103" s="15">
        <f t="shared" si="26"/>
        <v>6</v>
      </c>
      <c r="AQ1103" s="15">
        <f t="shared" si="27"/>
        <v>19</v>
      </c>
      <c r="AR1103" s="31"/>
      <c r="AS1103" s="31"/>
      <c r="AT1103" s="35" t="s">
        <v>222</v>
      </c>
      <c r="AU1103" s="35"/>
    </row>
    <row r="1104" ht="15.75" customHeight="1">
      <c r="A1104" s="15" t="s">
        <v>5725</v>
      </c>
      <c r="B1104" s="15" t="s">
        <v>60</v>
      </c>
      <c r="C1104" s="15" t="s">
        <v>424</v>
      </c>
      <c r="D1104" s="15" t="s">
        <v>5726</v>
      </c>
      <c r="E1104" s="15" t="s">
        <v>5726</v>
      </c>
      <c r="F1104" s="58" t="s">
        <v>807</v>
      </c>
      <c r="G1104" s="66" t="s">
        <v>98</v>
      </c>
      <c r="H1104" s="18" t="s">
        <v>5728</v>
      </c>
      <c r="I1104" s="18" t="s">
        <v>8406</v>
      </c>
      <c r="J1104" s="18" t="s">
        <v>98</v>
      </c>
      <c r="K1104" s="18" t="s">
        <v>98</v>
      </c>
      <c r="L1104" s="18" t="s">
        <v>98</v>
      </c>
      <c r="M1104" s="18" t="s">
        <v>98</v>
      </c>
      <c r="N1104" s="18" t="s">
        <v>98</v>
      </c>
      <c r="O1104" s="18" t="s">
        <v>98</v>
      </c>
      <c r="P1104" s="15" t="str">
        <f t="shared" si="1"/>
        <v>VERIFY</v>
      </c>
      <c r="Q1104" s="15">
        <f t="shared" si="2"/>
        <v>5</v>
      </c>
      <c r="R1104" s="15">
        <f t="shared" si="3"/>
        <v>2</v>
      </c>
      <c r="S1104" s="15">
        <f t="shared" si="4"/>
        <v>1</v>
      </c>
      <c r="T1104" s="15" t="str">
        <f t="shared" si="5"/>
        <v>C-3</v>
      </c>
      <c r="U1104" s="15" t="str">
        <f t="shared" si="6"/>
        <v>T5-M2-H1-FC-3-VERIFY</v>
      </c>
      <c r="V1104" s="15">
        <f t="shared" si="7"/>
        <v>0</v>
      </c>
      <c r="W1104" s="31"/>
      <c r="X1104" s="15" t="str">
        <f t="shared" si="8"/>
        <v>krushnaprasad</v>
      </c>
      <c r="Y1104" s="32" t="str">
        <f t="shared" si="9"/>
        <v>https://steelmanufacturer.in/market-area/electropolished-pipes-manufacturer-in-krushnaprasad/</v>
      </c>
      <c r="Z1104" s="15" t="str">
        <f t="shared" si="10"/>
        <v>Electropolished Pipes Manufacturer in Krushnaprasad</v>
      </c>
      <c r="AA1104" s="15" t="str">
        <f t="shared" si="11"/>
        <v>OK (51)</v>
      </c>
      <c r="AB1104" s="15" t="str">
        <f t="shared" si="12"/>
        <v>Electropolished tube supply to IDCO Industrial Area, Krushnaprasad. Ra from 0.25 um, SF4 finish, mill test certificate with every lot.</v>
      </c>
      <c r="AC1104" s="15" t="str">
        <f t="shared" si="13"/>
        <v>PENDING RESEARCH</v>
      </c>
      <c r="AD1104" s="15" t="str">
        <f t="shared" si="14"/>
        <v>Electropolished Pipes Manufacturer in Krushnaprasad</v>
      </c>
      <c r="AE1104" s="15" t="str">
        <f t="shared" si="15"/>
        <v>Electropolished Pipe &amp; Tube Manufacturing for Krushnaprasad - Grades, Finishes &amp; Certification</v>
      </c>
      <c r="AF1104" s="15" t="str">
        <f t="shared" si="16"/>
        <v>Electropolished Pipes Supplier in Krushnaprasad - Stock Sizes, Lead Time &amp; Delivery</v>
      </c>
      <c r="AG1104" s="15" t="str">
        <f t="shared" si="17"/>
        <v>Electropolished Pipes Wholesaler &amp; Stockist in Krushnaprasad - Bulk &amp; Project Pricing</v>
      </c>
      <c r="AH1104" s="15" t="str">
        <f t="shared" si="18"/>
        <v>electropolished pipes manufacturer in Krushnaprasad, electropolished pipes supplier in Krushnaprasad, electropolished pipes wholesaler in Krushnaprasad, electropolished tube manufacturer Krushnaprasad, EP pipe supplier Krushnaprasad, sanitary tube supplier Krushnaprasad, ASME BPE tubing Krushnaprasad, ASTM A270 tube Krushnaprasad, SS 316L electropolished pipe Krushnaprasad</v>
      </c>
      <c r="AI1104" s="15" t="str">
        <f t="shared" si="19"/>
        <v>Electropolished Pipes Manufacturer &amp; Supplier in Krushnaprasad</v>
      </c>
      <c r="AJ1104" s="15" t="str">
        <f t="shared" si="20"/>
        <v>EP-finished SS 304/316L pipes and tubes for VERIFY plants in Krushnaprasad. ASME BPE SF1-SF4, Ra from 0.25 um, EN 10204 3.1 certificate with every lot.</v>
      </c>
      <c r="AK1104" s="15" t="str">
        <f t="shared" si="21"/>
        <v>Electropolished stainless steel pipes supplied by Sakshi Forge to VERIFY plants at IDCO Industrial Area, Krushnaprasad</v>
      </c>
      <c r="AL1104" s="15" t="str">
        <f t="shared" si="22"/>
        <v>Electropolished SS 316L tube stock for Krushnaprasad - Sakshi Forge</v>
      </c>
      <c r="AM1104" s="15" t="str">
        <f t="shared" si="23"/>
        <v>Home &gt; Market Area &gt; India &gt; Odisha &gt; Krushnaprasad</v>
      </c>
      <c r="AN1104" s="15">
        <f t="shared" si="24"/>
        <v>750</v>
      </c>
      <c r="AO1104" s="15">
        <f t="shared" si="25"/>
        <v>6</v>
      </c>
      <c r="AP1104" s="15">
        <f t="shared" si="26"/>
        <v>6</v>
      </c>
      <c r="AQ1104" s="15">
        <f t="shared" si="27"/>
        <v>19</v>
      </c>
      <c r="AR1104" s="31"/>
      <c r="AS1104" s="31"/>
      <c r="AT1104" s="35" t="s">
        <v>222</v>
      </c>
      <c r="AU1104" s="35"/>
    </row>
    <row r="1105" ht="15.75" customHeight="1">
      <c r="A1105" s="15" t="s">
        <v>5729</v>
      </c>
      <c r="B1105" s="15" t="s">
        <v>60</v>
      </c>
      <c r="C1105" s="15" t="s">
        <v>842</v>
      </c>
      <c r="D1105" s="15" t="s">
        <v>5730</v>
      </c>
      <c r="E1105" s="15" t="s">
        <v>5730</v>
      </c>
      <c r="F1105" s="58" t="s">
        <v>807</v>
      </c>
      <c r="G1105" s="66" t="s">
        <v>98</v>
      </c>
      <c r="H1105" s="18" t="s">
        <v>5732</v>
      </c>
      <c r="I1105" s="18" t="s">
        <v>8413</v>
      </c>
      <c r="J1105" s="18" t="s">
        <v>98</v>
      </c>
      <c r="K1105" s="18" t="s">
        <v>98</v>
      </c>
      <c r="L1105" s="18" t="s">
        <v>98</v>
      </c>
      <c r="M1105" s="18" t="s">
        <v>98</v>
      </c>
      <c r="N1105" s="18" t="s">
        <v>98</v>
      </c>
      <c r="O1105" s="18" t="s">
        <v>98</v>
      </c>
      <c r="P1105" s="15" t="str">
        <f t="shared" si="1"/>
        <v>VERIFY</v>
      </c>
      <c r="Q1105" s="15">
        <f t="shared" si="2"/>
        <v>6</v>
      </c>
      <c r="R1105" s="15">
        <f t="shared" si="3"/>
        <v>3</v>
      </c>
      <c r="S1105" s="15">
        <f t="shared" si="4"/>
        <v>2</v>
      </c>
      <c r="T1105" s="15" t="str">
        <f t="shared" si="5"/>
        <v>C-4</v>
      </c>
      <c r="U1105" s="15" t="str">
        <f t="shared" si="6"/>
        <v>T6-M3-H2-FC-4-VERIFY</v>
      </c>
      <c r="V1105" s="15">
        <f t="shared" si="7"/>
        <v>0</v>
      </c>
      <c r="W1105" s="31"/>
      <c r="X1105" s="15" t="str">
        <f t="shared" si="8"/>
        <v>kukshi</v>
      </c>
      <c r="Y1105" s="32" t="str">
        <f t="shared" si="9"/>
        <v>https://steelmanufacturer.in/market-area/electropolished-pipes-manufacturer-in-kukshi/</v>
      </c>
      <c r="Z1105" s="15" t="str">
        <f t="shared" si="10"/>
        <v>Electropolished Pipes Manufacturer in Kukshi</v>
      </c>
      <c r="AA1105" s="15" t="str">
        <f t="shared" si="11"/>
        <v>OK (44)</v>
      </c>
      <c r="AB1105" s="15" t="str">
        <f t="shared" si="12"/>
        <v>EP stainless tube for VERIFY lines in Kukshi. VERIFY. ASTM A270 S2, PMI tested, EN 10204 3.1.</v>
      </c>
      <c r="AC1105" s="15" t="str">
        <f t="shared" si="13"/>
        <v>PENDING RESEARCH</v>
      </c>
      <c r="AD1105" s="15" t="str">
        <f t="shared" si="14"/>
        <v>Electropolished Pipes Manufacturer in Kukshi</v>
      </c>
      <c r="AE1105" s="15" t="str">
        <f t="shared" si="15"/>
        <v>How We Manufacture Electropolished Tube for Kukshi Plants</v>
      </c>
      <c r="AF1105" s="15" t="str">
        <f t="shared" si="16"/>
        <v>Supplying Electropolished Pipes in Kukshi: Availability, Sizes &amp; Dispatch</v>
      </c>
      <c r="AG1105" s="15" t="str">
        <f t="shared" si="17"/>
        <v>Wholesale Electropolished Pipe Supply for Kukshi Projects</v>
      </c>
      <c r="AH1105" s="15" t="str">
        <f t="shared" si="18"/>
        <v>electropolished pipes manufacturer in Kukshi, electropolished pipes supplier in Kukshi, electropolished pipes wholesaler in Kukshi, electropolished tube manufacturer Kukshi, EP pipe supplier Kukshi, sanitary tube supplier Kukshi, ASME BPE tubing Kukshi, ASTM A270 tube Kukshi, SS 316L electropolished pipe Kukshi</v>
      </c>
      <c r="AI1105" s="15" t="str">
        <f t="shared" si="19"/>
        <v>Electropolished Pipes Manufacturer &amp; Supplier in Kukshi</v>
      </c>
      <c r="AJ1105" s="15" t="str">
        <f t="shared" si="20"/>
        <v>EP-finished SS 304/316L pipes and tubes for VERIFY plants in Kukshi. ASME BPE SF1-SF4, Ra from 0.25 um, EN 10204 3.1 certificate with every lot.</v>
      </c>
      <c r="AK1105" s="15" t="str">
        <f t="shared" si="21"/>
        <v>Electropolished stainless steel pipes supplied by Sakshi Forge to VERIFY plants at MPIDC Industrial Area, Kukshi</v>
      </c>
      <c r="AL1105" s="15" t="str">
        <f t="shared" si="22"/>
        <v>Electropolished SS 316L tube stock for Kukshi - Sakshi Forge</v>
      </c>
      <c r="AM1105" s="15" t="str">
        <f t="shared" si="23"/>
        <v>Home &gt; Market Area &gt; India &gt; Madhya Pradesh &gt; Kukshi</v>
      </c>
      <c r="AN1105" s="15">
        <f t="shared" si="24"/>
        <v>750</v>
      </c>
      <c r="AO1105" s="15">
        <f t="shared" si="25"/>
        <v>6</v>
      </c>
      <c r="AP1105" s="15">
        <f t="shared" si="26"/>
        <v>6</v>
      </c>
      <c r="AQ1105" s="15">
        <f t="shared" si="27"/>
        <v>19</v>
      </c>
      <c r="AR1105" s="31"/>
      <c r="AS1105" s="31"/>
      <c r="AT1105" s="35" t="s">
        <v>222</v>
      </c>
      <c r="AU1105" s="35"/>
    </row>
    <row r="1106" ht="15.75" customHeight="1">
      <c r="A1106" s="15" t="s">
        <v>5733</v>
      </c>
      <c r="B1106" s="15" t="s">
        <v>60</v>
      </c>
      <c r="C1106" s="15" t="s">
        <v>958</v>
      </c>
      <c r="D1106" s="15" t="s">
        <v>5734</v>
      </c>
      <c r="E1106" s="15" t="s">
        <v>5734</v>
      </c>
      <c r="F1106" s="58" t="s">
        <v>807</v>
      </c>
      <c r="G1106" s="66" t="s">
        <v>98</v>
      </c>
      <c r="H1106" s="18" t="s">
        <v>5736</v>
      </c>
      <c r="I1106" s="18" t="s">
        <v>8403</v>
      </c>
      <c r="J1106" s="18" t="s">
        <v>98</v>
      </c>
      <c r="K1106" s="18" t="s">
        <v>98</v>
      </c>
      <c r="L1106" s="18" t="s">
        <v>98</v>
      </c>
      <c r="M1106" s="18" t="s">
        <v>98</v>
      </c>
      <c r="N1106" s="18" t="s">
        <v>98</v>
      </c>
      <c r="O1106" s="18" t="s">
        <v>98</v>
      </c>
      <c r="P1106" s="15" t="str">
        <f t="shared" si="1"/>
        <v>VERIFY</v>
      </c>
      <c r="Q1106" s="15">
        <f t="shared" si="2"/>
        <v>7</v>
      </c>
      <c r="R1106" s="15">
        <f t="shared" si="3"/>
        <v>4</v>
      </c>
      <c r="S1106" s="15">
        <f t="shared" si="4"/>
        <v>3</v>
      </c>
      <c r="T1106" s="15" t="str">
        <f t="shared" si="5"/>
        <v>C-5</v>
      </c>
      <c r="U1106" s="15" t="str">
        <f t="shared" si="6"/>
        <v>T7-M4-H3-FC-5-VERIFY</v>
      </c>
      <c r="V1106" s="15">
        <f t="shared" si="7"/>
        <v>0</v>
      </c>
      <c r="W1106" s="31"/>
      <c r="X1106" s="15" t="str">
        <f t="shared" si="8"/>
        <v>kumbakonam</v>
      </c>
      <c r="Y1106" s="32" t="str">
        <f t="shared" si="9"/>
        <v>https://steelmanufacturer.in/market-area/electropolished-pipes-manufacturer-in-kumbakonam/</v>
      </c>
      <c r="Z1106" s="15" t="str">
        <f t="shared" si="10"/>
        <v>Electropolished Pipes Manufacturer in Kumbakonam</v>
      </c>
      <c r="AA1106" s="15" t="str">
        <f t="shared" si="11"/>
        <v>OK (48)</v>
      </c>
      <c r="AB1106" s="15" t="str">
        <f t="shared" si="12"/>
        <v>Sanitary electropolished pipes in Kumbakonam for VERIFY plants. ASME BPE SF1-SF4, orbital-weld ready, 3.1 MTC. Mumbai-made.</v>
      </c>
      <c r="AC1106" s="15" t="str">
        <f t="shared" si="13"/>
        <v>PENDING RESEARCH</v>
      </c>
      <c r="AD1106" s="15" t="str">
        <f t="shared" si="14"/>
        <v>Electropolished Pipes Manufacturer in Kumbakonam</v>
      </c>
      <c r="AE1106" s="15" t="str">
        <f t="shared" si="15"/>
        <v>Electropolished Pipes Manufacturer in Kumbakonam - Our Process &amp; Capability</v>
      </c>
      <c r="AF1106" s="15" t="str">
        <f t="shared" si="16"/>
        <v>Electropolished Pipes Supplier in Kumbakonam - What We Hold in Stock</v>
      </c>
      <c r="AG1106" s="15" t="str">
        <f t="shared" si="17"/>
        <v>Bulk &amp; Wholesale Electropolished Pipe Rates for Kumbakonam Buyers</v>
      </c>
      <c r="AH1106" s="15" t="str">
        <f t="shared" si="18"/>
        <v>electropolished pipes manufacturer in Kumbakonam, electropolished pipes supplier in Kumbakonam, electropolished pipes wholesaler in Kumbakonam, electropolished tube manufacturer Kumbakonam, EP pipe supplier Kumbakonam, sanitary tube supplier Kumbakonam, ASME BPE tubing Kumbakonam, ASTM A270 tube Kumbakonam, SS 316L electropolished pipe Kumbakonam</v>
      </c>
      <c r="AI1106" s="15" t="str">
        <f t="shared" si="19"/>
        <v>Electropolished Pipes Manufacturer &amp; Supplier in Kumbakonam</v>
      </c>
      <c r="AJ1106" s="15" t="str">
        <f t="shared" si="20"/>
        <v>EP-finished SS 304/316L pipes and tubes for VERIFY plants in Kumbakonam. ASME BPE SF1-SF4, Ra from 0.25 um, EN 10204 3.1 certificate with every lot.</v>
      </c>
      <c r="AK1106" s="15" t="str">
        <f t="shared" si="21"/>
        <v>Electropolished stainless steel pipes supplied by Sakshi Forge to VERIFY plants at SIPCOT Industrial Area, Kumbakonam</v>
      </c>
      <c r="AL1106" s="15" t="str">
        <f t="shared" si="22"/>
        <v>Electropolished SS 316L tube stock for Kumbakonam - Sakshi Forge</v>
      </c>
      <c r="AM1106" s="15" t="str">
        <f t="shared" si="23"/>
        <v>Home &gt; Market Area &gt; India &gt; Tamil Nadu &gt; Kumbakonam</v>
      </c>
      <c r="AN1106" s="15">
        <f t="shared" si="24"/>
        <v>750</v>
      </c>
      <c r="AO1106" s="15">
        <f t="shared" si="25"/>
        <v>6</v>
      </c>
      <c r="AP1106" s="15">
        <f t="shared" si="26"/>
        <v>6</v>
      </c>
      <c r="AQ1106" s="15">
        <f t="shared" si="27"/>
        <v>19</v>
      </c>
      <c r="AR1106" s="31"/>
      <c r="AS1106" s="31"/>
      <c r="AT1106" s="35" t="s">
        <v>222</v>
      </c>
      <c r="AU1106" s="35"/>
    </row>
    <row r="1107" ht="15.75" customHeight="1">
      <c r="A1107" s="15" t="s">
        <v>5737</v>
      </c>
      <c r="B1107" s="15" t="s">
        <v>60</v>
      </c>
      <c r="C1107" s="15" t="s">
        <v>570</v>
      </c>
      <c r="D1107" s="15" t="s">
        <v>5738</v>
      </c>
      <c r="E1107" s="15" t="s">
        <v>5738</v>
      </c>
      <c r="F1107" s="58" t="s">
        <v>807</v>
      </c>
      <c r="G1107" s="66" t="s">
        <v>98</v>
      </c>
      <c r="H1107" s="18" t="s">
        <v>5740</v>
      </c>
      <c r="I1107" s="18" t="s">
        <v>8405</v>
      </c>
      <c r="J1107" s="18" t="s">
        <v>98</v>
      </c>
      <c r="K1107" s="18" t="s">
        <v>98</v>
      </c>
      <c r="L1107" s="18" t="s">
        <v>98</v>
      </c>
      <c r="M1107" s="18" t="s">
        <v>98</v>
      </c>
      <c r="N1107" s="18" t="s">
        <v>98</v>
      </c>
      <c r="O1107" s="18" t="s">
        <v>98</v>
      </c>
      <c r="P1107" s="15" t="str">
        <f t="shared" si="1"/>
        <v>VERIFY</v>
      </c>
      <c r="Q1107" s="15">
        <f t="shared" si="2"/>
        <v>8</v>
      </c>
      <c r="R1107" s="15">
        <f t="shared" si="3"/>
        <v>5</v>
      </c>
      <c r="S1107" s="15">
        <f t="shared" si="4"/>
        <v>4</v>
      </c>
      <c r="T1107" s="15" t="str">
        <f t="shared" si="5"/>
        <v>C-6</v>
      </c>
      <c r="U1107" s="15" t="str">
        <f t="shared" si="6"/>
        <v>T8-M5-H4-FC-6-VERIFY</v>
      </c>
      <c r="V1107" s="15">
        <f t="shared" si="7"/>
        <v>0</v>
      </c>
      <c r="W1107" s="31"/>
      <c r="X1107" s="15" t="str">
        <f t="shared" si="8"/>
        <v>kumta</v>
      </c>
      <c r="Y1107" s="32" t="str">
        <f t="shared" si="9"/>
        <v>https://steelmanufacturer.in/market-area/electropolished-pipes-manufacturer-in-kumta/</v>
      </c>
      <c r="Z1107" s="15" t="str">
        <f t="shared" si="10"/>
        <v>Electropolished Pipes Manufacturer in Kumta - EP Tube Stockist</v>
      </c>
      <c r="AA1107" s="15" t="str">
        <f t="shared" si="11"/>
        <v>OK (62)</v>
      </c>
      <c r="AB1107" s="15" t="str">
        <f t="shared" si="12"/>
        <v>Manufacturer of electropolished SS 316L tube serving Kumta. VERIFY. Ra 0.25-0.5 um, EN 10204 3.1 MTC.</v>
      </c>
      <c r="AC1107" s="15" t="str">
        <f t="shared" si="13"/>
        <v>PENDING RESEARCH</v>
      </c>
      <c r="AD1107" s="15" t="str">
        <f t="shared" si="14"/>
        <v>Electropolished Pipes Manufacturer in Kumta</v>
      </c>
      <c r="AE1107" s="15" t="str">
        <f t="shared" si="15"/>
        <v>Manufacturing Electropolished SS Tube for Kumta: The Standards We Build To</v>
      </c>
      <c r="AF1107" s="15" t="str">
        <f t="shared" si="16"/>
        <v>Electropolished Pipe Supply Into Kumta - Certification &amp; Transit</v>
      </c>
      <c r="AG1107" s="15" t="str">
        <f t="shared" si="17"/>
        <v>Electropolished Pipes Wholesaler in Kumta - Project Quantities &amp; Terms</v>
      </c>
      <c r="AH1107" s="15" t="str">
        <f t="shared" si="18"/>
        <v>electropolished pipes manufacturer in Kumta, electropolished pipes supplier in Kumta, electropolished pipes wholesaler in Kumta, electropolished tube manufacturer Kumta, EP pipe supplier Kumta, sanitary tube supplier Kumta, ASME BPE tubing Kumta, ASTM A270 tube Kumta, SS 316L electropolished pipe Kumta</v>
      </c>
      <c r="AI1107" s="15" t="str">
        <f t="shared" si="19"/>
        <v>Electropolished Pipes Manufacturer &amp; Supplier in Kumta</v>
      </c>
      <c r="AJ1107" s="15" t="str">
        <f t="shared" si="20"/>
        <v>EP-finished SS 304/316L pipes and tubes for VERIFY plants in Kumta. ASME BPE SF1-SF4, Ra from 0.25 um, EN 10204 3.1 certificate with every lot.</v>
      </c>
      <c r="AK1107" s="15" t="str">
        <f t="shared" si="21"/>
        <v>Electropolished stainless steel pipes supplied by Sakshi Forge to VERIFY plants at KIADB Industrial Area, Kumta</v>
      </c>
      <c r="AL1107" s="15" t="str">
        <f t="shared" si="22"/>
        <v>Electropolished SS 316L tube stock for Kumta - Sakshi Forge</v>
      </c>
      <c r="AM1107" s="15" t="str">
        <f t="shared" si="23"/>
        <v>Home &gt; Market Area &gt; India &gt; Karnataka &gt; Kumta</v>
      </c>
      <c r="AN1107" s="15">
        <f t="shared" si="24"/>
        <v>750</v>
      </c>
      <c r="AO1107" s="15">
        <f t="shared" si="25"/>
        <v>6</v>
      </c>
      <c r="AP1107" s="15">
        <f t="shared" si="26"/>
        <v>6</v>
      </c>
      <c r="AQ1107" s="15">
        <f t="shared" si="27"/>
        <v>19</v>
      </c>
      <c r="AR1107" s="31"/>
      <c r="AS1107" s="31"/>
      <c r="AT1107" s="35" t="s">
        <v>222</v>
      </c>
      <c r="AU1107" s="35"/>
    </row>
    <row r="1108" ht="15.75" customHeight="1">
      <c r="A1108" s="15" t="s">
        <v>5743</v>
      </c>
      <c r="B1108" s="15" t="s">
        <v>60</v>
      </c>
      <c r="C1108" s="15" t="s">
        <v>1687</v>
      </c>
      <c r="D1108" s="15" t="s">
        <v>5745</v>
      </c>
      <c r="E1108" s="15" t="s">
        <v>5745</v>
      </c>
      <c r="F1108" s="58" t="s">
        <v>807</v>
      </c>
      <c r="G1108" s="66" t="s">
        <v>98</v>
      </c>
      <c r="H1108" s="18" t="s">
        <v>5750</v>
      </c>
      <c r="I1108" s="18" t="s">
        <v>8397</v>
      </c>
      <c r="J1108" s="18" t="s">
        <v>98</v>
      </c>
      <c r="K1108" s="18" t="s">
        <v>98</v>
      </c>
      <c r="L1108" s="18" t="s">
        <v>98</v>
      </c>
      <c r="M1108" s="18" t="s">
        <v>98</v>
      </c>
      <c r="N1108" s="18" t="s">
        <v>98</v>
      </c>
      <c r="O1108" s="18" t="s">
        <v>98</v>
      </c>
      <c r="P1108" s="15" t="str">
        <f t="shared" si="1"/>
        <v>VERIFY</v>
      </c>
      <c r="Q1108" s="15">
        <f t="shared" si="2"/>
        <v>1</v>
      </c>
      <c r="R1108" s="15">
        <f t="shared" si="3"/>
        <v>6</v>
      </c>
      <c r="S1108" s="15">
        <f t="shared" si="4"/>
        <v>5</v>
      </c>
      <c r="T1108" s="15" t="str">
        <f t="shared" si="5"/>
        <v>C-1</v>
      </c>
      <c r="U1108" s="15" t="str">
        <f t="shared" si="6"/>
        <v>T1-M6-H5-FC-1-VERIFY</v>
      </c>
      <c r="V1108" s="15">
        <f t="shared" si="7"/>
        <v>0</v>
      </c>
      <c r="W1108" s="31"/>
      <c r="X1108" s="15" t="str">
        <f t="shared" si="8"/>
        <v>kunnamkulam</v>
      </c>
      <c r="Y1108" s="32" t="str">
        <f t="shared" si="9"/>
        <v>https://steelmanufacturer.in/market-area/electropolished-pipes-manufacturer-in-kunnamkulam/</v>
      </c>
      <c r="Z1108" s="15" t="str">
        <f t="shared" si="10"/>
        <v>Electropolished Pipes Manufacturer in Kunnamkulam | Sakshi Forge</v>
      </c>
      <c r="AA1108" s="15" t="str">
        <f t="shared" si="11"/>
        <v>OK (64)</v>
      </c>
      <c r="AB1108" s="15" t="str">
        <f t="shared" si="12"/>
        <v>EP tube and pipe for VERIFY plants around KINFRA Industrial Area, Kunnamkulam. Made at our Mumbai works to ASTM A270 and ASME BPE SF1-SF4, with 3.1 MTC.</v>
      </c>
      <c r="AC1108" s="15" t="str">
        <f t="shared" si="13"/>
        <v>PENDING RESEARCH</v>
      </c>
      <c r="AD1108" s="15" t="str">
        <f t="shared" si="14"/>
        <v>Electropolished Pipes Manufacturer in Kunnamkulam</v>
      </c>
      <c r="AE1108" s="15" t="str">
        <f t="shared" si="15"/>
        <v>Electropolished Tube Manufacturing Capability Serving Kunnamkulam</v>
      </c>
      <c r="AF1108" s="15" t="str">
        <f t="shared" si="16"/>
        <v>Electropolished Pipes Supplier in Kunnamkulam - From Order to Delivery</v>
      </c>
      <c r="AG1108" s="15" t="str">
        <f t="shared" si="17"/>
        <v>Stockist &amp; Wholesale Supply of Electropolished Pipes in Kunnamkulam</v>
      </c>
      <c r="AH1108" s="15" t="str">
        <f t="shared" si="18"/>
        <v>electropolished pipes manufacturer in Kunnamkulam, electropolished pipes supplier in Kunnamkulam, electropolished pipes wholesaler in Kunnamkulam, electropolished tube manufacturer Kunnamkulam, EP pipe supplier Kunnamkulam, sanitary tube supplier Kunnamkulam, ASME BPE tubing Kunnamkulam, ASTM A270 tube Kunnamkulam, SS 316L electropolished pipe Kunnamkulam</v>
      </c>
      <c r="AI1108" s="15" t="str">
        <f t="shared" si="19"/>
        <v>Electropolished Pipes Manufacturer &amp; Supplier in Kunnamkulam</v>
      </c>
      <c r="AJ1108" s="15" t="str">
        <f t="shared" si="20"/>
        <v>EP-finished SS 304/316L pipes and tubes for VERIFY plants in Kunnamkulam. ASME BPE SF1-SF4, Ra from 0.25 um, EN 10204 3.1 certificate with every lot.</v>
      </c>
      <c r="AK1108" s="15" t="str">
        <f t="shared" si="21"/>
        <v>Electropolished stainless steel pipes supplied by Sakshi Forge to VERIFY plants at KINFRA Industrial Area, Kunnamkulam</v>
      </c>
      <c r="AL1108" s="15" t="str">
        <f t="shared" si="22"/>
        <v>Electropolished SS 316L tube stock for Kunnamkulam - Sakshi Forge</v>
      </c>
      <c r="AM1108" s="15" t="str">
        <f t="shared" si="23"/>
        <v>Home &gt; Market Area &gt; India &gt; Kerala &gt; Kunnamkulam</v>
      </c>
      <c r="AN1108" s="15">
        <f t="shared" si="24"/>
        <v>750</v>
      </c>
      <c r="AO1108" s="15">
        <f t="shared" si="25"/>
        <v>6</v>
      </c>
      <c r="AP1108" s="15">
        <f t="shared" si="26"/>
        <v>6</v>
      </c>
      <c r="AQ1108" s="15">
        <f t="shared" si="27"/>
        <v>19</v>
      </c>
      <c r="AR1108" s="31"/>
      <c r="AS1108" s="31"/>
      <c r="AT1108" s="35" t="s">
        <v>222</v>
      </c>
      <c r="AU1108" s="35"/>
    </row>
    <row r="1109" ht="15.75" customHeight="1">
      <c r="A1109" s="15" t="s">
        <v>5752</v>
      </c>
      <c r="B1109" s="15" t="s">
        <v>60</v>
      </c>
      <c r="C1109" s="15" t="s">
        <v>354</v>
      </c>
      <c r="D1109" s="15" t="s">
        <v>5753</v>
      </c>
      <c r="E1109" s="15" t="s">
        <v>5753</v>
      </c>
      <c r="F1109" s="58" t="s">
        <v>807</v>
      </c>
      <c r="G1109" s="66" t="s">
        <v>98</v>
      </c>
      <c r="H1109" s="18" t="s">
        <v>5755</v>
      </c>
      <c r="I1109" s="18" t="s">
        <v>8408</v>
      </c>
      <c r="J1109" s="18" t="s">
        <v>98</v>
      </c>
      <c r="K1109" s="18" t="s">
        <v>98</v>
      </c>
      <c r="L1109" s="18" t="s">
        <v>98</v>
      </c>
      <c r="M1109" s="18" t="s">
        <v>98</v>
      </c>
      <c r="N1109" s="18" t="s">
        <v>98</v>
      </c>
      <c r="O1109" s="18" t="s">
        <v>98</v>
      </c>
      <c r="P1109" s="15" t="str">
        <f t="shared" si="1"/>
        <v>VERIFY</v>
      </c>
      <c r="Q1109" s="15">
        <f t="shared" si="2"/>
        <v>2</v>
      </c>
      <c r="R1109" s="15">
        <f t="shared" si="3"/>
        <v>7</v>
      </c>
      <c r="S1109" s="15">
        <f t="shared" si="4"/>
        <v>1</v>
      </c>
      <c r="T1109" s="15" t="str">
        <f t="shared" si="5"/>
        <v>C-2</v>
      </c>
      <c r="U1109" s="15" t="str">
        <f t="shared" si="6"/>
        <v>T2-M7-H1-FC-2-VERIFY</v>
      </c>
      <c r="V1109" s="15">
        <f t="shared" si="7"/>
        <v>0</v>
      </c>
      <c r="W1109" s="31"/>
      <c r="X1109" s="15" t="str">
        <f t="shared" si="8"/>
        <v>kurali</v>
      </c>
      <c r="Y1109" s="32" t="str">
        <f t="shared" si="9"/>
        <v>https://steelmanufacturer.in/market-area/electropolished-pipes-manufacturer-in-kurali/</v>
      </c>
      <c r="Z1109" s="15" t="str">
        <f t="shared" si="10"/>
        <v>Electropolished Pipes Manufacturer in Kurali</v>
      </c>
      <c r="AA1109" s="15" t="str">
        <f t="shared" si="11"/>
        <v>OK (44)</v>
      </c>
      <c r="AB1109" s="15" t="str">
        <f t="shared" si="12"/>
        <v>Electropolished pipes in Kurali: 304, 304L, 316 and 316L in SF1-SF4. VERIFY. Mill certified.</v>
      </c>
      <c r="AC1109" s="15" t="str">
        <f t="shared" si="13"/>
        <v>PENDING RESEARCH</v>
      </c>
      <c r="AD1109" s="15" t="str">
        <f t="shared" si="14"/>
        <v>Electropolished Pipes Manufacturer in Kurali</v>
      </c>
      <c r="AE1109" s="15" t="str">
        <f t="shared" si="15"/>
        <v>Electropolished Pipe &amp; Tube Manufacturing for Kurali - Grades, Finishes &amp; Certification</v>
      </c>
      <c r="AF1109" s="15" t="str">
        <f t="shared" si="16"/>
        <v>Electropolished Pipes Supplier in Kurali - Stock Sizes, Lead Time &amp; Delivery</v>
      </c>
      <c r="AG1109" s="15" t="str">
        <f t="shared" si="17"/>
        <v>Electropolished Pipes Wholesaler &amp; Stockist in Kurali - Bulk &amp; Project Pricing</v>
      </c>
      <c r="AH1109" s="15" t="str">
        <f t="shared" si="18"/>
        <v>electropolished pipes manufacturer in Kurali, electropolished pipes supplier in Kurali, electropolished pipes wholesaler in Kurali, electropolished tube manufacturer Kurali, EP pipe supplier Kurali, sanitary tube supplier Kurali, ASME BPE tubing Kurali, ASTM A270 tube Kurali, SS 316L electropolished pipe Kurali</v>
      </c>
      <c r="AI1109" s="15" t="str">
        <f t="shared" si="19"/>
        <v>Electropolished Pipes Manufacturer &amp; Supplier in Kurali</v>
      </c>
      <c r="AJ1109" s="15" t="str">
        <f t="shared" si="20"/>
        <v>EP-finished SS 304/316L pipes and tubes for VERIFY plants in Kurali. ASME BPE SF1-SF4, Ra from 0.25 um, EN 10204 3.1 certificate with every lot.</v>
      </c>
      <c r="AK1109" s="15" t="str">
        <f t="shared" si="21"/>
        <v>Electropolished stainless steel pipes supplied by Sakshi Forge to VERIFY plants at PSIEC Industrial Area, Kurali</v>
      </c>
      <c r="AL1109" s="15" t="str">
        <f t="shared" si="22"/>
        <v>Electropolished SS 316L tube stock for Kurali - Sakshi Forge</v>
      </c>
      <c r="AM1109" s="15" t="str">
        <f t="shared" si="23"/>
        <v>Home &gt; Market Area &gt; India &gt; Punjab &gt; Kurali</v>
      </c>
      <c r="AN1109" s="15">
        <f t="shared" si="24"/>
        <v>750</v>
      </c>
      <c r="AO1109" s="15">
        <f t="shared" si="25"/>
        <v>6</v>
      </c>
      <c r="AP1109" s="15">
        <f t="shared" si="26"/>
        <v>6</v>
      </c>
      <c r="AQ1109" s="15">
        <f t="shared" si="27"/>
        <v>19</v>
      </c>
      <c r="AR1109" s="31"/>
      <c r="AS1109" s="31"/>
      <c r="AT1109" s="35" t="s">
        <v>222</v>
      </c>
      <c r="AU1109" s="35"/>
    </row>
    <row r="1110" ht="15.75" customHeight="1">
      <c r="A1110" s="15" t="s">
        <v>5756</v>
      </c>
      <c r="B1110" s="15" t="s">
        <v>60</v>
      </c>
      <c r="C1110" s="15" t="s">
        <v>85</v>
      </c>
      <c r="D1110" s="15" t="s">
        <v>5757</v>
      </c>
      <c r="E1110" s="15" t="s">
        <v>5757</v>
      </c>
      <c r="F1110" s="58" t="s">
        <v>807</v>
      </c>
      <c r="G1110" s="66" t="s">
        <v>98</v>
      </c>
      <c r="H1110" s="18" t="s">
        <v>5759</v>
      </c>
      <c r="I1110" s="18" t="s">
        <v>8398</v>
      </c>
      <c r="J1110" s="18" t="s">
        <v>98</v>
      </c>
      <c r="K1110" s="18" t="s">
        <v>98</v>
      </c>
      <c r="L1110" s="18" t="s">
        <v>98</v>
      </c>
      <c r="M1110" s="18" t="s">
        <v>98</v>
      </c>
      <c r="N1110" s="18" t="s">
        <v>98</v>
      </c>
      <c r="O1110" s="18" t="s">
        <v>98</v>
      </c>
      <c r="P1110" s="15" t="str">
        <f t="shared" si="1"/>
        <v>VERIFY</v>
      </c>
      <c r="Q1110" s="15">
        <f t="shared" si="2"/>
        <v>3</v>
      </c>
      <c r="R1110" s="15">
        <f t="shared" si="3"/>
        <v>1</v>
      </c>
      <c r="S1110" s="15">
        <f t="shared" si="4"/>
        <v>2</v>
      </c>
      <c r="T1110" s="15" t="str">
        <f t="shared" si="5"/>
        <v>C-3</v>
      </c>
      <c r="U1110" s="15" t="str">
        <f t="shared" si="6"/>
        <v>T3-M1-H2-FC-3-VERIFY</v>
      </c>
      <c r="V1110" s="15">
        <f t="shared" si="7"/>
        <v>0</v>
      </c>
      <c r="W1110" s="31"/>
      <c r="X1110" s="15" t="str">
        <f t="shared" si="8"/>
        <v>kushinagar</v>
      </c>
      <c r="Y1110" s="32" t="str">
        <f t="shared" si="9"/>
        <v>https://steelmanufacturer.in/market-area/electropolished-pipes-manufacturer-in-kushinagar/</v>
      </c>
      <c r="Z1110" s="15" t="str">
        <f t="shared" si="10"/>
        <v>Electropolished Pipes Manufacturer in Kushinagar</v>
      </c>
      <c r="AA1110" s="15" t="str">
        <f t="shared" si="11"/>
        <v>OK (48)</v>
      </c>
      <c r="AB1110" s="15" t="str">
        <f t="shared" si="12"/>
        <v>EP-finished SS 304/316L pipes &amp; tubes for VERIFY plants in Kushinagar. ASTM A270, ASME BPE SF1-SF4, EN 10204 3.1 MTC. PMI tested.</v>
      </c>
      <c r="AC1110" s="15" t="str">
        <f t="shared" si="13"/>
        <v>PENDING RESEARCH</v>
      </c>
      <c r="AD1110" s="15" t="str">
        <f t="shared" si="14"/>
        <v>Electropolished Pipes Manufacturer in Kushinagar</v>
      </c>
      <c r="AE1110" s="15" t="str">
        <f t="shared" si="15"/>
        <v>How We Manufacture Electropolished Tube for Kushinagar Plants</v>
      </c>
      <c r="AF1110" s="15" t="str">
        <f t="shared" si="16"/>
        <v>Supplying Electropolished Pipes in Kushinagar: Availability, Sizes &amp; Dispatch</v>
      </c>
      <c r="AG1110" s="15" t="str">
        <f t="shared" si="17"/>
        <v>Wholesale Electropolished Pipe Supply for Kushinagar Projects</v>
      </c>
      <c r="AH1110" s="15" t="str">
        <f t="shared" si="18"/>
        <v>electropolished pipes manufacturer in Kushinagar, electropolished pipes supplier in Kushinagar, electropolished pipes wholesaler in Kushinagar, electropolished tube manufacturer Kushinagar, EP pipe supplier Kushinagar, sanitary tube supplier Kushinagar, ASME BPE tubing Kushinagar, ASTM A270 tube Kushinagar, SS 316L electropolished pipe Kushinagar</v>
      </c>
      <c r="AI1110" s="15" t="str">
        <f t="shared" si="19"/>
        <v>Electropolished Pipes Manufacturer &amp; Supplier in Kushinagar</v>
      </c>
      <c r="AJ1110" s="15" t="str">
        <f t="shared" si="20"/>
        <v>EP-finished SS 304/316L pipes and tubes for VERIFY plants in Kushinagar. ASME BPE SF1-SF4, Ra from 0.25 um, EN 10204 3.1 certificate with every lot.</v>
      </c>
      <c r="AK1110" s="15" t="str">
        <f t="shared" si="21"/>
        <v>Electropolished stainless steel pipes supplied by Sakshi Forge to VERIFY plants at UPSIDA Industrial Area, Kushinagar</v>
      </c>
      <c r="AL1110" s="15" t="str">
        <f t="shared" si="22"/>
        <v>Electropolished SS 316L tube stock for Kushinagar - Sakshi Forge</v>
      </c>
      <c r="AM1110" s="15" t="str">
        <f t="shared" si="23"/>
        <v>Home &gt; Market Area &gt; India &gt; Uttar Pradesh &gt; Kushinagar</v>
      </c>
      <c r="AN1110" s="15">
        <f t="shared" si="24"/>
        <v>750</v>
      </c>
      <c r="AO1110" s="15">
        <f t="shared" si="25"/>
        <v>6</v>
      </c>
      <c r="AP1110" s="15">
        <f t="shared" si="26"/>
        <v>6</v>
      </c>
      <c r="AQ1110" s="15">
        <f t="shared" si="27"/>
        <v>19</v>
      </c>
      <c r="AR1110" s="31"/>
      <c r="AS1110" s="31"/>
      <c r="AT1110" s="35" t="s">
        <v>222</v>
      </c>
      <c r="AU1110" s="35"/>
    </row>
    <row r="1111" ht="15.75" customHeight="1">
      <c r="A1111" s="15" t="s">
        <v>5760</v>
      </c>
      <c r="B1111" s="15" t="s">
        <v>60</v>
      </c>
      <c r="C1111" s="15" t="s">
        <v>1165</v>
      </c>
      <c r="D1111" s="15" t="s">
        <v>5761</v>
      </c>
      <c r="E1111" s="15" t="s">
        <v>5761</v>
      </c>
      <c r="F1111" s="58" t="s">
        <v>807</v>
      </c>
      <c r="G1111" s="66" t="s">
        <v>98</v>
      </c>
      <c r="H1111" s="18" t="s">
        <v>5763</v>
      </c>
      <c r="I1111" s="18" t="s">
        <v>8404</v>
      </c>
      <c r="J1111" s="18" t="s">
        <v>98</v>
      </c>
      <c r="K1111" s="18" t="s">
        <v>98</v>
      </c>
      <c r="L1111" s="18" t="s">
        <v>98</v>
      </c>
      <c r="M1111" s="18" t="s">
        <v>98</v>
      </c>
      <c r="N1111" s="18" t="s">
        <v>98</v>
      </c>
      <c r="O1111" s="18" t="s">
        <v>98</v>
      </c>
      <c r="P1111" s="15" t="str">
        <f t="shared" si="1"/>
        <v>VERIFY</v>
      </c>
      <c r="Q1111" s="15">
        <f t="shared" si="2"/>
        <v>4</v>
      </c>
      <c r="R1111" s="15">
        <f t="shared" si="3"/>
        <v>2</v>
      </c>
      <c r="S1111" s="15">
        <f t="shared" si="4"/>
        <v>3</v>
      </c>
      <c r="T1111" s="15" t="str">
        <f t="shared" si="5"/>
        <v>C-4</v>
      </c>
      <c r="U1111" s="15" t="str">
        <f t="shared" si="6"/>
        <v>T4-M2-H3-FC-4-VERIFY</v>
      </c>
      <c r="V1111" s="15">
        <f t="shared" si="7"/>
        <v>0</v>
      </c>
      <c r="W1111" s="31"/>
      <c r="X1111" s="15" t="str">
        <f t="shared" si="8"/>
        <v>labpur</v>
      </c>
      <c r="Y1111" s="32" t="str">
        <f t="shared" si="9"/>
        <v>https://steelmanufacturer.in/market-area/electropolished-pipes-manufacturer-in-labpur/</v>
      </c>
      <c r="Z1111" s="15" t="str">
        <f t="shared" si="10"/>
        <v>Electropolished Pipes Manufacturer in Labpur</v>
      </c>
      <c r="AA1111" s="15" t="str">
        <f t="shared" si="11"/>
        <v>OK (44)</v>
      </c>
      <c r="AB1111" s="15" t="str">
        <f t="shared" si="12"/>
        <v>Electropolished tube supply to WBIDC Industrial Area, Labpur. Ra from 0.25 um, SF4 finish, mill test certificate with every lot.</v>
      </c>
      <c r="AC1111" s="15" t="str">
        <f t="shared" si="13"/>
        <v>PENDING RESEARCH</v>
      </c>
      <c r="AD1111" s="15" t="str">
        <f t="shared" si="14"/>
        <v>Electropolished Pipes Manufacturer in Labpur</v>
      </c>
      <c r="AE1111" s="15" t="str">
        <f t="shared" si="15"/>
        <v>Electropolished Pipes Manufacturer in Labpur - Our Process &amp; Capability</v>
      </c>
      <c r="AF1111" s="15" t="str">
        <f t="shared" si="16"/>
        <v>Electropolished Pipes Supplier in Labpur - What We Hold in Stock</v>
      </c>
      <c r="AG1111" s="15" t="str">
        <f t="shared" si="17"/>
        <v>Bulk &amp; Wholesale Electropolished Pipe Rates for Labpur Buyers</v>
      </c>
      <c r="AH1111" s="15" t="str">
        <f t="shared" si="18"/>
        <v>electropolished pipes manufacturer in Labpur, electropolished pipes supplier in Labpur, electropolished pipes wholesaler in Labpur, electropolished tube manufacturer Labpur, EP pipe supplier Labpur, sanitary tube supplier Labpur, ASME BPE tubing Labpur, ASTM A270 tube Labpur, SS 316L electropolished pipe Labpur</v>
      </c>
      <c r="AI1111" s="15" t="str">
        <f t="shared" si="19"/>
        <v>Electropolished Pipes Manufacturer &amp; Supplier in Labpur</v>
      </c>
      <c r="AJ1111" s="15" t="str">
        <f t="shared" si="20"/>
        <v>EP-finished SS 304/316L pipes and tubes for VERIFY plants in Labpur. ASME BPE SF1-SF4, Ra from 0.25 um, EN 10204 3.1 certificate with every lot.</v>
      </c>
      <c r="AK1111" s="15" t="str">
        <f t="shared" si="21"/>
        <v>Electropolished stainless steel pipes supplied by Sakshi Forge to VERIFY plants at WBIDC Industrial Area, Labpur</v>
      </c>
      <c r="AL1111" s="15" t="str">
        <f t="shared" si="22"/>
        <v>Electropolished SS 316L tube stock for Labpur - Sakshi Forge</v>
      </c>
      <c r="AM1111" s="15" t="str">
        <f t="shared" si="23"/>
        <v>Home &gt; Market Area &gt; India &gt; West Bengal &gt; Labpur</v>
      </c>
      <c r="AN1111" s="15">
        <f t="shared" si="24"/>
        <v>750</v>
      </c>
      <c r="AO1111" s="15">
        <f t="shared" si="25"/>
        <v>6</v>
      </c>
      <c r="AP1111" s="15">
        <f t="shared" si="26"/>
        <v>6</v>
      </c>
      <c r="AQ1111" s="15">
        <f t="shared" si="27"/>
        <v>19</v>
      </c>
      <c r="AR1111" s="31"/>
      <c r="AS1111" s="31"/>
      <c r="AT1111" s="35" t="s">
        <v>222</v>
      </c>
      <c r="AU1111" s="35"/>
    </row>
    <row r="1112" ht="15.75" customHeight="1">
      <c r="A1112" s="15" t="s">
        <v>5764</v>
      </c>
      <c r="B1112" s="15" t="s">
        <v>60</v>
      </c>
      <c r="C1112" s="15" t="s">
        <v>236</v>
      </c>
      <c r="D1112" s="15" t="s">
        <v>5765</v>
      </c>
      <c r="E1112" s="15" t="s">
        <v>5765</v>
      </c>
      <c r="F1112" s="58" t="s">
        <v>807</v>
      </c>
      <c r="G1112" s="66" t="s">
        <v>98</v>
      </c>
      <c r="H1112" s="18" t="s">
        <v>5767</v>
      </c>
      <c r="I1112" s="18" t="s">
        <v>8391</v>
      </c>
      <c r="J1112" s="18" t="s">
        <v>98</v>
      </c>
      <c r="K1112" s="18" t="s">
        <v>98</v>
      </c>
      <c r="L1112" s="18" t="s">
        <v>98</v>
      </c>
      <c r="M1112" s="18" t="s">
        <v>98</v>
      </c>
      <c r="N1112" s="18" t="s">
        <v>98</v>
      </c>
      <c r="O1112" s="18" t="s">
        <v>98</v>
      </c>
      <c r="P1112" s="15" t="str">
        <f t="shared" si="1"/>
        <v>VERIFY</v>
      </c>
      <c r="Q1112" s="15">
        <f t="shared" si="2"/>
        <v>5</v>
      </c>
      <c r="R1112" s="15">
        <f t="shared" si="3"/>
        <v>3</v>
      </c>
      <c r="S1112" s="15">
        <f t="shared" si="4"/>
        <v>4</v>
      </c>
      <c r="T1112" s="15" t="str">
        <f t="shared" si="5"/>
        <v>C-5</v>
      </c>
      <c r="U1112" s="15" t="str">
        <f t="shared" si="6"/>
        <v>T5-M3-H4-FC-5-VERIFY</v>
      </c>
      <c r="V1112" s="15">
        <f t="shared" si="7"/>
        <v>0</v>
      </c>
      <c r="W1112" s="31"/>
      <c r="X1112" s="15" t="str">
        <f t="shared" si="8"/>
        <v>ladnun</v>
      </c>
      <c r="Y1112" s="32" t="str">
        <f t="shared" si="9"/>
        <v>https://steelmanufacturer.in/market-area/electropolished-pipes-manufacturer-in-ladnun/</v>
      </c>
      <c r="Z1112" s="15" t="str">
        <f t="shared" si="10"/>
        <v>Electropolished Pipes Manufacturer in Ladnun</v>
      </c>
      <c r="AA1112" s="15" t="str">
        <f t="shared" si="11"/>
        <v>OK (44)</v>
      </c>
      <c r="AB1112" s="15" t="str">
        <f t="shared" si="12"/>
        <v>EP stainless tube for VERIFY lines in Ladnun. VERIFY. ASTM A270 S2, PMI tested, EN 10204 3.1.</v>
      </c>
      <c r="AC1112" s="15" t="str">
        <f t="shared" si="13"/>
        <v>PENDING RESEARCH</v>
      </c>
      <c r="AD1112" s="15" t="str">
        <f t="shared" si="14"/>
        <v>Electropolished Pipes Manufacturer in Ladnun</v>
      </c>
      <c r="AE1112" s="15" t="str">
        <f t="shared" si="15"/>
        <v>Manufacturing Electropolished SS Tube for Ladnun: The Standards We Build To</v>
      </c>
      <c r="AF1112" s="15" t="str">
        <f t="shared" si="16"/>
        <v>Electropolished Pipe Supply Into Ladnun - Certification &amp; Transit</v>
      </c>
      <c r="AG1112" s="15" t="str">
        <f t="shared" si="17"/>
        <v>Electropolished Pipes Wholesaler in Ladnun - Project Quantities &amp; Terms</v>
      </c>
      <c r="AH1112" s="15" t="str">
        <f t="shared" si="18"/>
        <v>electropolished pipes manufacturer in Ladnun, electropolished pipes supplier in Ladnun, electropolished pipes wholesaler in Ladnun, electropolished tube manufacturer Ladnun, EP pipe supplier Ladnun, sanitary tube supplier Ladnun, ASME BPE tubing Ladnun, ASTM A270 tube Ladnun, SS 316L electropolished pipe Ladnun</v>
      </c>
      <c r="AI1112" s="15" t="str">
        <f t="shared" si="19"/>
        <v>Electropolished Pipes Manufacturer &amp; Supplier in Ladnun</v>
      </c>
      <c r="AJ1112" s="15" t="str">
        <f t="shared" si="20"/>
        <v>EP-finished SS 304/316L pipes and tubes for VERIFY plants in Ladnun. ASME BPE SF1-SF4, Ra from 0.25 um, EN 10204 3.1 certificate with every lot.</v>
      </c>
      <c r="AK1112" s="15" t="str">
        <f t="shared" si="21"/>
        <v>Electropolished stainless steel pipes supplied by Sakshi Forge to VERIFY plants at RIICO Industrial Area, Ladnun</v>
      </c>
      <c r="AL1112" s="15" t="str">
        <f t="shared" si="22"/>
        <v>Electropolished SS 316L tube stock for Ladnun - Sakshi Forge</v>
      </c>
      <c r="AM1112" s="15" t="str">
        <f t="shared" si="23"/>
        <v>Home &gt; Market Area &gt; India &gt; Rajasthan &gt; Ladnun</v>
      </c>
      <c r="AN1112" s="15">
        <f t="shared" si="24"/>
        <v>750</v>
      </c>
      <c r="AO1112" s="15">
        <f t="shared" si="25"/>
        <v>6</v>
      </c>
      <c r="AP1112" s="15">
        <f t="shared" si="26"/>
        <v>6</v>
      </c>
      <c r="AQ1112" s="15">
        <f t="shared" si="27"/>
        <v>19</v>
      </c>
      <c r="AR1112" s="31"/>
      <c r="AS1112" s="31"/>
      <c r="AT1112" s="35" t="s">
        <v>222</v>
      </c>
      <c r="AU1112" s="35"/>
    </row>
    <row r="1113" ht="15.75" customHeight="1">
      <c r="A1113" s="15" t="s">
        <v>5768</v>
      </c>
      <c r="B1113" s="15" t="s">
        <v>60</v>
      </c>
      <c r="C1113" s="15" t="s">
        <v>85</v>
      </c>
      <c r="D1113" s="15" t="s">
        <v>5769</v>
      </c>
      <c r="E1113" s="15" t="s">
        <v>5769</v>
      </c>
      <c r="F1113" s="58" t="s">
        <v>807</v>
      </c>
      <c r="G1113" s="66" t="s">
        <v>98</v>
      </c>
      <c r="H1113" s="18" t="s">
        <v>5771</v>
      </c>
      <c r="I1113" s="18" t="s">
        <v>8398</v>
      </c>
      <c r="J1113" s="18" t="s">
        <v>98</v>
      </c>
      <c r="K1113" s="18" t="s">
        <v>98</v>
      </c>
      <c r="L1113" s="18" t="s">
        <v>98</v>
      </c>
      <c r="M1113" s="18" t="s">
        <v>98</v>
      </c>
      <c r="N1113" s="18" t="s">
        <v>98</v>
      </c>
      <c r="O1113" s="18" t="s">
        <v>98</v>
      </c>
      <c r="P1113" s="15" t="str">
        <f t="shared" si="1"/>
        <v>VERIFY</v>
      </c>
      <c r="Q1113" s="15">
        <f t="shared" si="2"/>
        <v>6</v>
      </c>
      <c r="R1113" s="15">
        <f t="shared" si="3"/>
        <v>4</v>
      </c>
      <c r="S1113" s="15">
        <f t="shared" si="4"/>
        <v>5</v>
      </c>
      <c r="T1113" s="15" t="str">
        <f t="shared" si="5"/>
        <v>C-6</v>
      </c>
      <c r="U1113" s="15" t="str">
        <f t="shared" si="6"/>
        <v>T6-M4-H5-FC-6-VERIFY</v>
      </c>
      <c r="V1113" s="15">
        <f t="shared" si="7"/>
        <v>0</v>
      </c>
      <c r="W1113" s="31"/>
      <c r="X1113" s="15" t="str">
        <f t="shared" si="8"/>
        <v>lakhimpur</v>
      </c>
      <c r="Y1113" s="32" t="str">
        <f t="shared" si="9"/>
        <v>https://steelmanufacturer.in/market-area/electropolished-pipes-manufacturer-in-lakhimpur/</v>
      </c>
      <c r="Z1113" s="15" t="str">
        <f t="shared" si="10"/>
        <v>Electropolished Pipes Manufacturer in Lakhimpur</v>
      </c>
      <c r="AA1113" s="15" t="str">
        <f t="shared" si="11"/>
        <v>OK (47)</v>
      </c>
      <c r="AB1113" s="15" t="str">
        <f t="shared" si="12"/>
        <v>Sanitary electropolished pipes in Lakhimpur for VERIFY plants. ASME BPE SF1-SF4, orbital-weld ready, 3.1 MTC. Mumbai-made.</v>
      </c>
      <c r="AC1113" s="15" t="str">
        <f t="shared" si="13"/>
        <v>PENDING RESEARCH</v>
      </c>
      <c r="AD1113" s="15" t="str">
        <f t="shared" si="14"/>
        <v>Electropolished Pipes Manufacturer in Lakhimpur</v>
      </c>
      <c r="AE1113" s="15" t="str">
        <f t="shared" si="15"/>
        <v>Electropolished Tube Manufacturing Capability Serving Lakhimpur</v>
      </c>
      <c r="AF1113" s="15" t="str">
        <f t="shared" si="16"/>
        <v>Electropolished Pipes Supplier in Lakhimpur - From Order to Delivery</v>
      </c>
      <c r="AG1113" s="15" t="str">
        <f t="shared" si="17"/>
        <v>Stockist &amp; Wholesale Supply of Electropolished Pipes in Lakhimpur</v>
      </c>
      <c r="AH1113" s="15" t="str">
        <f t="shared" si="18"/>
        <v>electropolished pipes manufacturer in Lakhimpur, electropolished pipes supplier in Lakhimpur, electropolished pipes wholesaler in Lakhimpur, electropolished tube manufacturer Lakhimpur, EP pipe supplier Lakhimpur, sanitary tube supplier Lakhimpur, ASME BPE tubing Lakhimpur, ASTM A270 tube Lakhimpur, SS 316L electropolished pipe Lakhimpur</v>
      </c>
      <c r="AI1113" s="15" t="str">
        <f t="shared" si="19"/>
        <v>Electropolished Pipes Manufacturer &amp; Supplier in Lakhimpur</v>
      </c>
      <c r="AJ1113" s="15" t="str">
        <f t="shared" si="20"/>
        <v>EP-finished SS 304/316L pipes and tubes for VERIFY plants in Lakhimpur. ASME BPE SF1-SF4, Ra from 0.25 um, EN 10204 3.1 certificate with every lot.</v>
      </c>
      <c r="AK1113" s="15" t="str">
        <f t="shared" si="21"/>
        <v>Electropolished stainless steel pipes supplied by Sakshi Forge to VERIFY plants at UPSIDA Industrial Area, Lakhimpur</v>
      </c>
      <c r="AL1113" s="15" t="str">
        <f t="shared" si="22"/>
        <v>Electropolished SS 316L tube stock for Lakhimpur - Sakshi Forge</v>
      </c>
      <c r="AM1113" s="15" t="str">
        <f t="shared" si="23"/>
        <v>Home &gt; Market Area &gt; India &gt; Uttar Pradesh &gt; Lakhimpur</v>
      </c>
      <c r="AN1113" s="15">
        <f t="shared" si="24"/>
        <v>750</v>
      </c>
      <c r="AO1113" s="15">
        <f t="shared" si="25"/>
        <v>6</v>
      </c>
      <c r="AP1113" s="15">
        <f t="shared" si="26"/>
        <v>6</v>
      </c>
      <c r="AQ1113" s="15">
        <f t="shared" si="27"/>
        <v>19</v>
      </c>
      <c r="AR1113" s="31"/>
      <c r="AS1113" s="31"/>
      <c r="AT1113" s="35" t="s">
        <v>222</v>
      </c>
      <c r="AU1113" s="35"/>
    </row>
    <row r="1114" ht="15.75" customHeight="1">
      <c r="A1114" s="15" t="s">
        <v>5772</v>
      </c>
      <c r="B1114" s="15" t="s">
        <v>60</v>
      </c>
      <c r="C1114" s="15" t="s">
        <v>1155</v>
      </c>
      <c r="D1114" s="15" t="s">
        <v>5773</v>
      </c>
      <c r="E1114" s="15" t="s">
        <v>5773</v>
      </c>
      <c r="F1114" s="58" t="s">
        <v>807</v>
      </c>
      <c r="G1114" s="66" t="s">
        <v>98</v>
      </c>
      <c r="H1114" s="18" t="s">
        <v>5775</v>
      </c>
      <c r="I1114" s="18" t="s">
        <v>8412</v>
      </c>
      <c r="J1114" s="18" t="s">
        <v>98</v>
      </c>
      <c r="K1114" s="18" t="s">
        <v>98</v>
      </c>
      <c r="L1114" s="18" t="s">
        <v>98</v>
      </c>
      <c r="M1114" s="18" t="s">
        <v>98</v>
      </c>
      <c r="N1114" s="18" t="s">
        <v>98</v>
      </c>
      <c r="O1114" s="18" t="s">
        <v>98</v>
      </c>
      <c r="P1114" s="15" t="str">
        <f t="shared" si="1"/>
        <v>VERIFY</v>
      </c>
      <c r="Q1114" s="15">
        <f t="shared" si="2"/>
        <v>7</v>
      </c>
      <c r="R1114" s="15">
        <f t="shared" si="3"/>
        <v>5</v>
      </c>
      <c r="S1114" s="15">
        <f t="shared" si="4"/>
        <v>1</v>
      </c>
      <c r="T1114" s="15" t="str">
        <f t="shared" si="5"/>
        <v>C-1</v>
      </c>
      <c r="U1114" s="15" t="str">
        <f t="shared" si="6"/>
        <v>T7-M5-H1-FC-1-VERIFY</v>
      </c>
      <c r="V1114" s="15">
        <f t="shared" si="7"/>
        <v>0</v>
      </c>
      <c r="W1114" s="31"/>
      <c r="X1114" s="15" t="str">
        <f t="shared" si="8"/>
        <v>lakhimpur-assam</v>
      </c>
      <c r="Y1114" s="32" t="str">
        <f t="shared" si="9"/>
        <v>https://steelmanufacturer.in/market-area/electropolished-pipes-manufacturer-in-lakhimpur-assam/</v>
      </c>
      <c r="Z1114" s="15" t="str">
        <f t="shared" si="10"/>
        <v>Electropolished Pipes Manufacturer in Lakhimpur-Assam</v>
      </c>
      <c r="AA1114" s="15" t="str">
        <f t="shared" si="11"/>
        <v>OK (53)</v>
      </c>
      <c r="AB1114" s="15" t="str">
        <f t="shared" si="12"/>
        <v>Manufacturer of electropolished SS 316L tube serving Lakhimpur-Assam. VERIFY. Ra 0.25-0.5 um, EN 10204 3.1 MTC.</v>
      </c>
      <c r="AC1114" s="15" t="str">
        <f t="shared" si="13"/>
        <v>PENDING RESEARCH</v>
      </c>
      <c r="AD1114" s="15" t="str">
        <f t="shared" si="14"/>
        <v>Electropolished Pipes Manufacturer in Lakhimpur-Assam</v>
      </c>
      <c r="AE1114" s="15" t="str">
        <f t="shared" si="15"/>
        <v>Electropolished Pipe &amp; Tube Manufacturing for Lakhimpur-Assam - Grades, Finishes &amp; Certification</v>
      </c>
      <c r="AF1114" s="15" t="str">
        <f t="shared" si="16"/>
        <v>Electropolished Pipes Supplier in Lakhimpur-Assam - Stock Sizes, Lead Time &amp; Delivery</v>
      </c>
      <c r="AG1114" s="15" t="str">
        <f t="shared" si="17"/>
        <v>Electropolished Pipes Wholesaler &amp; Stockist in Lakhimpur-Assam - Bulk &amp; Project Pricing</v>
      </c>
      <c r="AH1114" s="15" t="str">
        <f t="shared" si="18"/>
        <v>electropolished pipes manufacturer in Lakhimpur-Assam, electropolished pipes supplier in Lakhimpur-Assam, electropolished pipes wholesaler in Lakhimpur-Assam, electropolished tube manufacturer Lakhimpur-Assam, EP pipe supplier Lakhimpur-Assam, sanitary tube supplier Lakhimpur-Assam, ASME BPE tubing Lakhimpur-Assam, ASTM A270 tube Lakhimpur-Assam, SS 316L electropolished pipe Lakhimpur-Assam</v>
      </c>
      <c r="AI1114" s="15" t="str">
        <f t="shared" si="19"/>
        <v>Electropolished Pipes Manufacturer &amp; Supplier in Lakhimpur-Assam</v>
      </c>
      <c r="AJ1114" s="15" t="str">
        <f t="shared" si="20"/>
        <v>EP-finished SS 304/316L pipes and tubes for VERIFY plants in Lakhimpur-Assam. ASME BPE SF1-SF4, Ra from 0.25 um, EN 10204 3.1 certificate with every lot.</v>
      </c>
      <c r="AK1114" s="15" t="str">
        <f t="shared" si="21"/>
        <v>Electropolished stainless steel pipes supplied by Sakshi Forge to VERIFY plants at AIDC Industrial Area, Lakhimpur-Assam</v>
      </c>
      <c r="AL1114" s="15" t="str">
        <f t="shared" si="22"/>
        <v>Electropolished SS 316L tube stock for Lakhimpur-Assam - Sakshi Forge</v>
      </c>
      <c r="AM1114" s="15" t="str">
        <f t="shared" si="23"/>
        <v>Home &gt; Market Area &gt; India &gt; Assam &gt; Lakhimpur-Assam</v>
      </c>
      <c r="AN1114" s="15">
        <f t="shared" si="24"/>
        <v>750</v>
      </c>
      <c r="AO1114" s="15">
        <f t="shared" si="25"/>
        <v>6</v>
      </c>
      <c r="AP1114" s="15">
        <f t="shared" si="26"/>
        <v>6</v>
      </c>
      <c r="AQ1114" s="15">
        <f t="shared" si="27"/>
        <v>19</v>
      </c>
      <c r="AR1114" s="31"/>
      <c r="AS1114" s="31"/>
      <c r="AT1114" s="35" t="s">
        <v>222</v>
      </c>
      <c r="AU1114" s="35"/>
    </row>
    <row r="1115" ht="15.75" customHeight="1">
      <c r="A1115" s="15" t="s">
        <v>5776</v>
      </c>
      <c r="B1115" s="15" t="s">
        <v>60</v>
      </c>
      <c r="C1115" s="15" t="s">
        <v>1818</v>
      </c>
      <c r="D1115" s="15" t="s">
        <v>5777</v>
      </c>
      <c r="E1115" s="15" t="s">
        <v>5777</v>
      </c>
      <c r="F1115" s="58" t="s">
        <v>807</v>
      </c>
      <c r="G1115" s="66" t="s">
        <v>98</v>
      </c>
      <c r="H1115" s="18" t="s">
        <v>5779</v>
      </c>
      <c r="I1115" s="18" t="s">
        <v>8402</v>
      </c>
      <c r="J1115" s="18" t="s">
        <v>98</v>
      </c>
      <c r="K1115" s="18" t="s">
        <v>98</v>
      </c>
      <c r="L1115" s="18" t="s">
        <v>98</v>
      </c>
      <c r="M1115" s="18" t="s">
        <v>98</v>
      </c>
      <c r="N1115" s="18" t="s">
        <v>98</v>
      </c>
      <c r="O1115" s="18" t="s">
        <v>98</v>
      </c>
      <c r="P1115" s="15" t="str">
        <f t="shared" si="1"/>
        <v>VERIFY</v>
      </c>
      <c r="Q1115" s="15">
        <f t="shared" si="2"/>
        <v>8</v>
      </c>
      <c r="R1115" s="15">
        <f t="shared" si="3"/>
        <v>6</v>
      </c>
      <c r="S1115" s="15">
        <f t="shared" si="4"/>
        <v>2</v>
      </c>
      <c r="T1115" s="15" t="str">
        <f t="shared" si="5"/>
        <v>C-2</v>
      </c>
      <c r="U1115" s="15" t="str">
        <f t="shared" si="6"/>
        <v>T8-M6-H2-FC-2-VERIFY</v>
      </c>
      <c r="V1115" s="15">
        <f t="shared" si="7"/>
        <v>0</v>
      </c>
      <c r="W1115" s="31"/>
      <c r="X1115" s="15" t="str">
        <f t="shared" si="8"/>
        <v>lakhisarai</v>
      </c>
      <c r="Y1115" s="32" t="str">
        <f t="shared" si="9"/>
        <v>https://steelmanufacturer.in/market-area/electropolished-pipes-manufacturer-in-lakhisarai/</v>
      </c>
      <c r="Z1115" s="15" t="str">
        <f t="shared" si="10"/>
        <v>Electropolished Pipes Manufacturer in Lakhisarai</v>
      </c>
      <c r="AA1115" s="15" t="str">
        <f t="shared" si="11"/>
        <v>OK (48)</v>
      </c>
      <c r="AB1115" s="15" t="str">
        <f t="shared" si="12"/>
        <v>EP tube and pipe for VERIFY plants around BIADA Industrial Area, Lakhisarai. Made at our Mumbai works to ASTM A270 and ASME BPE SF1-SF4, with 3.1 MTC.</v>
      </c>
      <c r="AC1115" s="15" t="str">
        <f t="shared" si="13"/>
        <v>PENDING RESEARCH</v>
      </c>
      <c r="AD1115" s="15" t="str">
        <f t="shared" si="14"/>
        <v>Electropolished Pipes Manufacturer in Lakhisarai</v>
      </c>
      <c r="AE1115" s="15" t="str">
        <f t="shared" si="15"/>
        <v>How We Manufacture Electropolished Tube for Lakhisarai Plants</v>
      </c>
      <c r="AF1115" s="15" t="str">
        <f t="shared" si="16"/>
        <v>Supplying Electropolished Pipes in Lakhisarai: Availability, Sizes &amp; Dispatch</v>
      </c>
      <c r="AG1115" s="15" t="str">
        <f t="shared" si="17"/>
        <v>Wholesale Electropolished Pipe Supply for Lakhisarai Projects</v>
      </c>
      <c r="AH1115" s="15" t="str">
        <f t="shared" si="18"/>
        <v>electropolished pipes manufacturer in Lakhisarai, electropolished pipes supplier in Lakhisarai, electropolished pipes wholesaler in Lakhisarai, electropolished tube manufacturer Lakhisarai, EP pipe supplier Lakhisarai, sanitary tube supplier Lakhisarai, ASME BPE tubing Lakhisarai, ASTM A270 tube Lakhisarai, SS 316L electropolished pipe Lakhisarai</v>
      </c>
      <c r="AI1115" s="15" t="str">
        <f t="shared" si="19"/>
        <v>Electropolished Pipes Manufacturer &amp; Supplier in Lakhisarai</v>
      </c>
      <c r="AJ1115" s="15" t="str">
        <f t="shared" si="20"/>
        <v>EP-finished SS 304/316L pipes and tubes for VERIFY plants in Lakhisarai. ASME BPE SF1-SF4, Ra from 0.25 um, EN 10204 3.1 certificate with every lot.</v>
      </c>
      <c r="AK1115" s="15" t="str">
        <f t="shared" si="21"/>
        <v>Electropolished stainless steel pipes supplied by Sakshi Forge to VERIFY plants at BIADA Industrial Area, Lakhisarai</v>
      </c>
      <c r="AL1115" s="15" t="str">
        <f t="shared" si="22"/>
        <v>Electropolished SS 316L tube stock for Lakhisarai - Sakshi Forge</v>
      </c>
      <c r="AM1115" s="15" t="str">
        <f t="shared" si="23"/>
        <v>Home &gt; Market Area &gt; India &gt; Bihar &gt; Lakhisarai</v>
      </c>
      <c r="AN1115" s="15">
        <f t="shared" si="24"/>
        <v>750</v>
      </c>
      <c r="AO1115" s="15">
        <f t="shared" si="25"/>
        <v>6</v>
      </c>
      <c r="AP1115" s="15">
        <f t="shared" si="26"/>
        <v>6</v>
      </c>
      <c r="AQ1115" s="15">
        <f t="shared" si="27"/>
        <v>19</v>
      </c>
      <c r="AR1115" s="31"/>
      <c r="AS1115" s="31"/>
      <c r="AT1115" s="35" t="s">
        <v>222</v>
      </c>
      <c r="AU1115" s="35"/>
    </row>
    <row r="1116" ht="15.75" customHeight="1">
      <c r="A1116" s="15" t="s">
        <v>5780</v>
      </c>
      <c r="B1116" s="15" t="s">
        <v>60</v>
      </c>
      <c r="C1116" s="15" t="s">
        <v>85</v>
      </c>
      <c r="D1116" s="15" t="s">
        <v>5781</v>
      </c>
      <c r="E1116" s="15" t="s">
        <v>5781</v>
      </c>
      <c r="F1116" s="58" t="s">
        <v>807</v>
      </c>
      <c r="G1116" s="66" t="s">
        <v>98</v>
      </c>
      <c r="H1116" s="18" t="s">
        <v>5783</v>
      </c>
      <c r="I1116" s="18" t="s">
        <v>8398</v>
      </c>
      <c r="J1116" s="18" t="s">
        <v>98</v>
      </c>
      <c r="K1116" s="18" t="s">
        <v>98</v>
      </c>
      <c r="L1116" s="18" t="s">
        <v>98</v>
      </c>
      <c r="M1116" s="18" t="s">
        <v>98</v>
      </c>
      <c r="N1116" s="18" t="s">
        <v>98</v>
      </c>
      <c r="O1116" s="18" t="s">
        <v>98</v>
      </c>
      <c r="P1116" s="15" t="str">
        <f t="shared" si="1"/>
        <v>VERIFY</v>
      </c>
      <c r="Q1116" s="15">
        <f t="shared" si="2"/>
        <v>1</v>
      </c>
      <c r="R1116" s="15">
        <f t="shared" si="3"/>
        <v>7</v>
      </c>
      <c r="S1116" s="15">
        <f t="shared" si="4"/>
        <v>3</v>
      </c>
      <c r="T1116" s="15" t="str">
        <f t="shared" si="5"/>
        <v>C-3</v>
      </c>
      <c r="U1116" s="15" t="str">
        <f t="shared" si="6"/>
        <v>T1-M7-H3-FC-3-VERIFY</v>
      </c>
      <c r="V1116" s="15">
        <f t="shared" si="7"/>
        <v>0</v>
      </c>
      <c r="W1116" s="31"/>
      <c r="X1116" s="15" t="str">
        <f t="shared" si="8"/>
        <v>lalitpur</v>
      </c>
      <c r="Y1116" s="32" t="str">
        <f t="shared" si="9"/>
        <v>https://steelmanufacturer.in/market-area/electropolished-pipes-manufacturer-in-lalitpur/</v>
      </c>
      <c r="Z1116" s="15" t="str">
        <f t="shared" si="10"/>
        <v>Electropolished Pipes Manufacturer in Lalitpur | Sakshi Forge</v>
      </c>
      <c r="AA1116" s="15" t="str">
        <f t="shared" si="11"/>
        <v>OK (61)</v>
      </c>
      <c r="AB1116" s="15" t="str">
        <f t="shared" si="12"/>
        <v>Electropolished pipes in Lalitpur: 304, 304L, 316 and 316L in SF1-SF4. VERIFY. Mill certified.</v>
      </c>
      <c r="AC1116" s="15" t="str">
        <f t="shared" si="13"/>
        <v>PENDING RESEARCH</v>
      </c>
      <c r="AD1116" s="15" t="str">
        <f t="shared" si="14"/>
        <v>Electropolished Pipes Manufacturer in Lalitpur</v>
      </c>
      <c r="AE1116" s="15" t="str">
        <f t="shared" si="15"/>
        <v>Electropolished Pipes Manufacturer in Lalitpur - Our Process &amp; Capability</v>
      </c>
      <c r="AF1116" s="15" t="str">
        <f t="shared" si="16"/>
        <v>Electropolished Pipes Supplier in Lalitpur - What We Hold in Stock</v>
      </c>
      <c r="AG1116" s="15" t="str">
        <f t="shared" si="17"/>
        <v>Bulk &amp; Wholesale Electropolished Pipe Rates for Lalitpur Buyers</v>
      </c>
      <c r="AH1116" s="15" t="str">
        <f t="shared" si="18"/>
        <v>electropolished pipes manufacturer in Lalitpur, electropolished pipes supplier in Lalitpur, electropolished pipes wholesaler in Lalitpur, electropolished tube manufacturer Lalitpur, EP pipe supplier Lalitpur, sanitary tube supplier Lalitpur, ASME BPE tubing Lalitpur, ASTM A270 tube Lalitpur, SS 316L electropolished pipe Lalitpur</v>
      </c>
      <c r="AI1116" s="15" t="str">
        <f t="shared" si="19"/>
        <v>Electropolished Pipes Manufacturer &amp; Supplier in Lalitpur</v>
      </c>
      <c r="AJ1116" s="15" t="str">
        <f t="shared" si="20"/>
        <v>EP-finished SS 304/316L pipes and tubes for VERIFY plants in Lalitpur. ASME BPE SF1-SF4, Ra from 0.25 um, EN 10204 3.1 certificate with every lot.</v>
      </c>
      <c r="AK1116" s="15" t="str">
        <f t="shared" si="21"/>
        <v>Electropolished stainless steel pipes supplied by Sakshi Forge to VERIFY plants at UPSIDA Industrial Area, Lalitpur</v>
      </c>
      <c r="AL1116" s="15" t="str">
        <f t="shared" si="22"/>
        <v>Electropolished SS 316L tube stock for Lalitpur - Sakshi Forge</v>
      </c>
      <c r="AM1116" s="15" t="str">
        <f t="shared" si="23"/>
        <v>Home &gt; Market Area &gt; India &gt; Uttar Pradesh &gt; Lalitpur</v>
      </c>
      <c r="AN1116" s="15">
        <f t="shared" si="24"/>
        <v>750</v>
      </c>
      <c r="AO1116" s="15">
        <f t="shared" si="25"/>
        <v>6</v>
      </c>
      <c r="AP1116" s="15">
        <f t="shared" si="26"/>
        <v>6</v>
      </c>
      <c r="AQ1116" s="15">
        <f t="shared" si="27"/>
        <v>19</v>
      </c>
      <c r="AR1116" s="31"/>
      <c r="AS1116" s="31"/>
      <c r="AT1116" s="35" t="s">
        <v>222</v>
      </c>
      <c r="AU1116" s="35"/>
    </row>
    <row r="1117" ht="15.75" customHeight="1">
      <c r="A1117" s="15" t="s">
        <v>5784</v>
      </c>
      <c r="B1117" s="15" t="s">
        <v>60</v>
      </c>
      <c r="C1117" s="15" t="s">
        <v>878</v>
      </c>
      <c r="D1117" s="15" t="s">
        <v>5786</v>
      </c>
      <c r="E1117" s="15" t="s">
        <v>5786</v>
      </c>
      <c r="F1117" s="58" t="s">
        <v>807</v>
      </c>
      <c r="G1117" s="66" t="s">
        <v>98</v>
      </c>
      <c r="H1117" s="18" t="s">
        <v>5790</v>
      </c>
      <c r="I1117" s="18" t="s">
        <v>8415</v>
      </c>
      <c r="J1117" s="18" t="s">
        <v>98</v>
      </c>
      <c r="K1117" s="18" t="s">
        <v>98</v>
      </c>
      <c r="L1117" s="18" t="s">
        <v>98</v>
      </c>
      <c r="M1117" s="18" t="s">
        <v>98</v>
      </c>
      <c r="N1117" s="18" t="s">
        <v>98</v>
      </c>
      <c r="O1117" s="18" t="s">
        <v>98</v>
      </c>
      <c r="P1117" s="15" t="str">
        <f t="shared" si="1"/>
        <v>VERIFY</v>
      </c>
      <c r="Q1117" s="15">
        <f t="shared" si="2"/>
        <v>2</v>
      </c>
      <c r="R1117" s="15">
        <f t="shared" si="3"/>
        <v>1</v>
      </c>
      <c r="S1117" s="15">
        <f t="shared" si="4"/>
        <v>4</v>
      </c>
      <c r="T1117" s="15" t="str">
        <f t="shared" si="5"/>
        <v>C-4</v>
      </c>
      <c r="U1117" s="15" t="str">
        <f t="shared" si="6"/>
        <v>T2-M1-H4-FC-4-VERIFY</v>
      </c>
      <c r="V1117" s="15">
        <f t="shared" si="7"/>
        <v>0</v>
      </c>
      <c r="W1117" s="31"/>
      <c r="X1117" s="15" t="str">
        <f t="shared" si="8"/>
        <v>latehar</v>
      </c>
      <c r="Y1117" s="32" t="str">
        <f t="shared" si="9"/>
        <v>https://steelmanufacturer.in/market-area/electropolished-pipes-manufacturer-in-latehar/</v>
      </c>
      <c r="Z1117" s="15" t="str">
        <f t="shared" si="10"/>
        <v>Electropolished Pipes Manufacturer in Latehar</v>
      </c>
      <c r="AA1117" s="15" t="str">
        <f t="shared" si="11"/>
        <v>OK (45)</v>
      </c>
      <c r="AB1117" s="15" t="str">
        <f t="shared" si="12"/>
        <v>EP-finished SS 304/316L pipes &amp; tubes for VERIFY plants in Latehar. ASTM A270, ASME BPE SF1-SF4, EN 10204 3.1 MTC. PMI tested.</v>
      </c>
      <c r="AC1117" s="15" t="str">
        <f t="shared" si="13"/>
        <v>PENDING RESEARCH</v>
      </c>
      <c r="AD1117" s="15" t="str">
        <f t="shared" si="14"/>
        <v>Electropolished Pipes Manufacturer in Latehar</v>
      </c>
      <c r="AE1117" s="15" t="str">
        <f t="shared" si="15"/>
        <v>Manufacturing Electropolished SS Tube for Latehar: The Standards We Build To</v>
      </c>
      <c r="AF1117" s="15" t="str">
        <f t="shared" si="16"/>
        <v>Electropolished Pipe Supply Into Latehar - Certification &amp; Transit</v>
      </c>
      <c r="AG1117" s="15" t="str">
        <f t="shared" si="17"/>
        <v>Electropolished Pipes Wholesaler in Latehar - Project Quantities &amp; Terms</v>
      </c>
      <c r="AH1117" s="15" t="str">
        <f t="shared" si="18"/>
        <v>electropolished pipes manufacturer in Latehar, electropolished pipes supplier in Latehar, electropolished pipes wholesaler in Latehar, electropolished tube manufacturer Latehar, EP pipe supplier Latehar, sanitary tube supplier Latehar, ASME BPE tubing Latehar, ASTM A270 tube Latehar, SS 316L electropolished pipe Latehar</v>
      </c>
      <c r="AI1117" s="15" t="str">
        <f t="shared" si="19"/>
        <v>Electropolished Pipes Manufacturer &amp; Supplier in Latehar</v>
      </c>
      <c r="AJ1117" s="15" t="str">
        <f t="shared" si="20"/>
        <v>EP-finished SS 304/316L pipes and tubes for VERIFY plants in Latehar. ASME BPE SF1-SF4, Ra from 0.25 um, EN 10204 3.1 certificate with every lot.</v>
      </c>
      <c r="AK1117" s="15" t="str">
        <f t="shared" si="21"/>
        <v>Electropolished stainless steel pipes supplied by Sakshi Forge to VERIFY plants at JIADA Industrial Area, Latehar</v>
      </c>
      <c r="AL1117" s="15" t="str">
        <f t="shared" si="22"/>
        <v>Electropolished SS 316L tube stock for Latehar - Sakshi Forge</v>
      </c>
      <c r="AM1117" s="15" t="str">
        <f t="shared" si="23"/>
        <v>Home &gt; Market Area &gt; India &gt; Jharkhand &gt; Latehar</v>
      </c>
      <c r="AN1117" s="15">
        <f t="shared" si="24"/>
        <v>750</v>
      </c>
      <c r="AO1117" s="15">
        <f t="shared" si="25"/>
        <v>6</v>
      </c>
      <c r="AP1117" s="15">
        <f t="shared" si="26"/>
        <v>6</v>
      </c>
      <c r="AQ1117" s="15">
        <f t="shared" si="27"/>
        <v>19</v>
      </c>
      <c r="AR1117" s="31"/>
      <c r="AS1117" s="31"/>
      <c r="AT1117" s="35" t="s">
        <v>222</v>
      </c>
      <c r="AU1117" s="35"/>
    </row>
    <row r="1118" ht="15.75" customHeight="1">
      <c r="A1118" s="15" t="s">
        <v>5796</v>
      </c>
      <c r="B1118" s="15" t="s">
        <v>60</v>
      </c>
      <c r="C1118" s="15" t="s">
        <v>264</v>
      </c>
      <c r="D1118" s="15" t="s">
        <v>5797</v>
      </c>
      <c r="E1118" s="15" t="s">
        <v>5797</v>
      </c>
      <c r="F1118" s="58" t="s">
        <v>807</v>
      </c>
      <c r="G1118" s="66" t="s">
        <v>98</v>
      </c>
      <c r="H1118" s="18" t="s">
        <v>5799</v>
      </c>
      <c r="I1118" s="18" t="s">
        <v>8395</v>
      </c>
      <c r="J1118" s="18" t="s">
        <v>98</v>
      </c>
      <c r="K1118" s="18" t="s">
        <v>98</v>
      </c>
      <c r="L1118" s="18" t="s">
        <v>98</v>
      </c>
      <c r="M1118" s="18" t="s">
        <v>98</v>
      </c>
      <c r="N1118" s="18" t="s">
        <v>98</v>
      </c>
      <c r="O1118" s="18" t="s">
        <v>98</v>
      </c>
      <c r="P1118" s="15" t="str">
        <f t="shared" si="1"/>
        <v>VERIFY</v>
      </c>
      <c r="Q1118" s="15">
        <f t="shared" si="2"/>
        <v>3</v>
      </c>
      <c r="R1118" s="15">
        <f t="shared" si="3"/>
        <v>2</v>
      </c>
      <c r="S1118" s="15">
        <f t="shared" si="4"/>
        <v>5</v>
      </c>
      <c r="T1118" s="15" t="str">
        <f t="shared" si="5"/>
        <v>C-5</v>
      </c>
      <c r="U1118" s="15" t="str">
        <f t="shared" si="6"/>
        <v>T3-M2-H5-FC-5-VERIFY</v>
      </c>
      <c r="V1118" s="15">
        <f t="shared" si="7"/>
        <v>0</v>
      </c>
      <c r="W1118" s="31"/>
      <c r="X1118" s="15" t="str">
        <f t="shared" si="8"/>
        <v>loha</v>
      </c>
      <c r="Y1118" s="32" t="str">
        <f t="shared" si="9"/>
        <v>https://steelmanufacturer.in/market-area/electropolished-pipes-manufacturer-in-loha/</v>
      </c>
      <c r="Z1118" s="15" t="str">
        <f t="shared" si="10"/>
        <v>Electropolished Pipes Manufacturer in Loha | EP Tube Supplier</v>
      </c>
      <c r="AA1118" s="15" t="str">
        <f t="shared" si="11"/>
        <v>OK (61)</v>
      </c>
      <c r="AB1118" s="15" t="str">
        <f t="shared" si="12"/>
        <v>Electropolished tube supply to MIDC Industrial Area, Loha. Ra from 0.25 um, SF4 finish, mill test certificate with every lot.</v>
      </c>
      <c r="AC1118" s="15" t="str">
        <f t="shared" si="13"/>
        <v>PENDING RESEARCH</v>
      </c>
      <c r="AD1118" s="15" t="str">
        <f t="shared" si="14"/>
        <v>Electropolished Pipes Manufacturer in Loha</v>
      </c>
      <c r="AE1118" s="15" t="str">
        <f t="shared" si="15"/>
        <v>Electropolished Tube Manufacturing Capability Serving Loha</v>
      </c>
      <c r="AF1118" s="15" t="str">
        <f t="shared" si="16"/>
        <v>Electropolished Pipes Supplier in Loha - From Order to Delivery</v>
      </c>
      <c r="AG1118" s="15" t="str">
        <f t="shared" si="17"/>
        <v>Stockist &amp; Wholesale Supply of Electropolished Pipes in Loha</v>
      </c>
      <c r="AH1118" s="15" t="str">
        <f t="shared" si="18"/>
        <v>electropolished pipes manufacturer in Loha, electropolished pipes supplier in Loha, electropolished pipes wholesaler in Loha, electropolished tube manufacturer Loha, EP pipe supplier Loha, sanitary tube supplier Loha, ASME BPE tubing Loha, ASTM A270 tube Loha, SS 316L electropolished pipe Loha</v>
      </c>
      <c r="AI1118" s="15" t="str">
        <f t="shared" si="19"/>
        <v>Electropolished Pipes Manufacturer &amp; Supplier in Loha</v>
      </c>
      <c r="AJ1118" s="15" t="str">
        <f t="shared" si="20"/>
        <v>EP-finished SS 304/316L pipes and tubes for VERIFY plants in Loha. ASME BPE SF1-SF4, Ra from 0.25 um, EN 10204 3.1 certificate with every lot.</v>
      </c>
      <c r="AK1118" s="15" t="str">
        <f t="shared" si="21"/>
        <v>Electropolished stainless steel pipes supplied by Sakshi Forge to VERIFY plants at MIDC Industrial Area, Loha</v>
      </c>
      <c r="AL1118" s="15" t="str">
        <f t="shared" si="22"/>
        <v>Electropolished SS 316L tube stock for Loha - Sakshi Forge</v>
      </c>
      <c r="AM1118" s="15" t="str">
        <f t="shared" si="23"/>
        <v>Home &gt; Market Area &gt; India &gt; Maharashtra &gt; Loha</v>
      </c>
      <c r="AN1118" s="15">
        <f t="shared" si="24"/>
        <v>750</v>
      </c>
      <c r="AO1118" s="15">
        <f t="shared" si="25"/>
        <v>6</v>
      </c>
      <c r="AP1118" s="15">
        <f t="shared" si="26"/>
        <v>6</v>
      </c>
      <c r="AQ1118" s="15">
        <f t="shared" si="27"/>
        <v>19</v>
      </c>
      <c r="AR1118" s="31"/>
      <c r="AS1118" s="31"/>
      <c r="AT1118" s="35" t="s">
        <v>222</v>
      </c>
      <c r="AU1118" s="35"/>
    </row>
    <row r="1119" ht="15.75" customHeight="1">
      <c r="A1119" s="15" t="s">
        <v>5800</v>
      </c>
      <c r="B1119" s="15" t="s">
        <v>60</v>
      </c>
      <c r="C1119" s="15" t="s">
        <v>878</v>
      </c>
      <c r="D1119" s="15" t="s">
        <v>5801</v>
      </c>
      <c r="E1119" s="15" t="s">
        <v>5801</v>
      </c>
      <c r="F1119" s="58" t="s">
        <v>807</v>
      </c>
      <c r="G1119" s="66" t="s">
        <v>98</v>
      </c>
      <c r="H1119" s="18" t="s">
        <v>5803</v>
      </c>
      <c r="I1119" s="18" t="s">
        <v>8415</v>
      </c>
      <c r="J1119" s="18" t="s">
        <v>98</v>
      </c>
      <c r="K1119" s="18" t="s">
        <v>98</v>
      </c>
      <c r="L1119" s="18" t="s">
        <v>98</v>
      </c>
      <c r="M1119" s="18" t="s">
        <v>98</v>
      </c>
      <c r="N1119" s="18" t="s">
        <v>98</v>
      </c>
      <c r="O1119" s="18" t="s">
        <v>98</v>
      </c>
      <c r="P1119" s="15" t="str">
        <f t="shared" si="1"/>
        <v>VERIFY</v>
      </c>
      <c r="Q1119" s="15">
        <f t="shared" si="2"/>
        <v>4</v>
      </c>
      <c r="R1119" s="15">
        <f t="shared" si="3"/>
        <v>3</v>
      </c>
      <c r="S1119" s="15">
        <f t="shared" si="4"/>
        <v>1</v>
      </c>
      <c r="T1119" s="15" t="str">
        <f t="shared" si="5"/>
        <v>C-6</v>
      </c>
      <c r="U1119" s="15" t="str">
        <f t="shared" si="6"/>
        <v>T4-M3-H1-FC-6-VERIFY</v>
      </c>
      <c r="V1119" s="15">
        <f t="shared" si="7"/>
        <v>0</v>
      </c>
      <c r="W1119" s="31"/>
      <c r="X1119" s="15" t="str">
        <f t="shared" si="8"/>
        <v>lohardaga</v>
      </c>
      <c r="Y1119" s="32" t="str">
        <f t="shared" si="9"/>
        <v>https://steelmanufacturer.in/market-area/electropolished-pipes-manufacturer-in-lohardaga/</v>
      </c>
      <c r="Z1119" s="15" t="str">
        <f t="shared" si="10"/>
        <v>Electropolished Pipes Manufacturer in Lohardaga</v>
      </c>
      <c r="AA1119" s="15" t="str">
        <f t="shared" si="11"/>
        <v>OK (47)</v>
      </c>
      <c r="AB1119" s="15" t="str">
        <f t="shared" si="12"/>
        <v>EP stainless tube for VERIFY lines in Lohardaga. VERIFY. ASTM A270 S2, PMI tested, EN 10204 3.1.</v>
      </c>
      <c r="AC1119" s="15" t="str">
        <f t="shared" si="13"/>
        <v>PENDING RESEARCH</v>
      </c>
      <c r="AD1119" s="15" t="str">
        <f t="shared" si="14"/>
        <v>Electropolished Pipes Manufacturer in Lohardaga</v>
      </c>
      <c r="AE1119" s="15" t="str">
        <f t="shared" si="15"/>
        <v>Electropolished Pipe &amp; Tube Manufacturing for Lohardaga - Grades, Finishes &amp; Certification</v>
      </c>
      <c r="AF1119" s="15" t="str">
        <f t="shared" si="16"/>
        <v>Electropolished Pipes Supplier in Lohardaga - Stock Sizes, Lead Time &amp; Delivery</v>
      </c>
      <c r="AG1119" s="15" t="str">
        <f t="shared" si="17"/>
        <v>Electropolished Pipes Wholesaler &amp; Stockist in Lohardaga - Bulk &amp; Project Pricing</v>
      </c>
      <c r="AH1119" s="15" t="str">
        <f t="shared" si="18"/>
        <v>electropolished pipes manufacturer in Lohardaga, electropolished pipes supplier in Lohardaga, electropolished pipes wholesaler in Lohardaga, electropolished tube manufacturer Lohardaga, EP pipe supplier Lohardaga, sanitary tube supplier Lohardaga, ASME BPE tubing Lohardaga, ASTM A270 tube Lohardaga, SS 316L electropolished pipe Lohardaga</v>
      </c>
      <c r="AI1119" s="15" t="str">
        <f t="shared" si="19"/>
        <v>Electropolished Pipes Manufacturer &amp; Supplier in Lohardaga</v>
      </c>
      <c r="AJ1119" s="15" t="str">
        <f t="shared" si="20"/>
        <v>EP-finished SS 304/316L pipes and tubes for VERIFY plants in Lohardaga. ASME BPE SF1-SF4, Ra from 0.25 um, EN 10204 3.1 certificate with every lot.</v>
      </c>
      <c r="AK1119" s="15" t="str">
        <f t="shared" si="21"/>
        <v>Electropolished stainless steel pipes supplied by Sakshi Forge to VERIFY plants at JIADA Industrial Area, Lohardaga</v>
      </c>
      <c r="AL1119" s="15" t="str">
        <f t="shared" si="22"/>
        <v>Electropolished SS 316L tube stock for Lohardaga - Sakshi Forge</v>
      </c>
      <c r="AM1119" s="15" t="str">
        <f t="shared" si="23"/>
        <v>Home &gt; Market Area &gt; India &gt; Jharkhand &gt; Lohardaga</v>
      </c>
      <c r="AN1119" s="15">
        <f t="shared" si="24"/>
        <v>750</v>
      </c>
      <c r="AO1119" s="15">
        <f t="shared" si="25"/>
        <v>6</v>
      </c>
      <c r="AP1119" s="15">
        <f t="shared" si="26"/>
        <v>6</v>
      </c>
      <c r="AQ1119" s="15">
        <f t="shared" si="27"/>
        <v>19</v>
      </c>
      <c r="AR1119" s="31"/>
      <c r="AS1119" s="31"/>
      <c r="AT1119" s="35" t="s">
        <v>222</v>
      </c>
      <c r="AU1119" s="35"/>
    </row>
    <row r="1120" ht="15.75" customHeight="1">
      <c r="A1120" s="15" t="s">
        <v>5804</v>
      </c>
      <c r="B1120" s="15" t="s">
        <v>60</v>
      </c>
      <c r="C1120" s="15" t="s">
        <v>245</v>
      </c>
      <c r="D1120" s="15" t="s">
        <v>5805</v>
      </c>
      <c r="E1120" s="15" t="s">
        <v>5805</v>
      </c>
      <c r="F1120" s="58" t="s">
        <v>807</v>
      </c>
      <c r="G1120" s="66" t="s">
        <v>98</v>
      </c>
      <c r="H1120" s="18" t="s">
        <v>5807</v>
      </c>
      <c r="I1120" s="18" t="s">
        <v>8407</v>
      </c>
      <c r="J1120" s="18" t="s">
        <v>98</v>
      </c>
      <c r="K1120" s="18" t="s">
        <v>98</v>
      </c>
      <c r="L1120" s="18" t="s">
        <v>98</v>
      </c>
      <c r="M1120" s="18" t="s">
        <v>98</v>
      </c>
      <c r="N1120" s="18" t="s">
        <v>98</v>
      </c>
      <c r="O1120" s="18" t="s">
        <v>98</v>
      </c>
      <c r="P1120" s="15" t="str">
        <f t="shared" si="1"/>
        <v>VERIFY</v>
      </c>
      <c r="Q1120" s="15">
        <f t="shared" si="2"/>
        <v>5</v>
      </c>
      <c r="R1120" s="15">
        <f t="shared" si="3"/>
        <v>4</v>
      </c>
      <c r="S1120" s="15">
        <f t="shared" si="4"/>
        <v>2</v>
      </c>
      <c r="T1120" s="15" t="str">
        <f t="shared" si="5"/>
        <v>C-1</v>
      </c>
      <c r="U1120" s="15" t="str">
        <f t="shared" si="6"/>
        <v>T5-M4-H2-FC-1-VERIFY</v>
      </c>
      <c r="V1120" s="15">
        <f t="shared" si="7"/>
        <v>0</v>
      </c>
      <c r="W1120" s="31"/>
      <c r="X1120" s="15" t="str">
        <f t="shared" si="8"/>
        <v>loharu</v>
      </c>
      <c r="Y1120" s="32" t="str">
        <f t="shared" si="9"/>
        <v>https://steelmanufacturer.in/market-area/electropolished-pipes-manufacturer-in-loharu/</v>
      </c>
      <c r="Z1120" s="15" t="str">
        <f t="shared" si="10"/>
        <v>Electropolished Pipes Manufacturer in Loharu</v>
      </c>
      <c r="AA1120" s="15" t="str">
        <f t="shared" si="11"/>
        <v>OK (44)</v>
      </c>
      <c r="AB1120" s="15" t="str">
        <f t="shared" si="12"/>
        <v>Sanitary electropolished pipes in Loharu for VERIFY plants. ASME BPE SF1-SF4, orbital-weld ready, 3.1 MTC. Mumbai-made.</v>
      </c>
      <c r="AC1120" s="15" t="str">
        <f t="shared" si="13"/>
        <v>PENDING RESEARCH</v>
      </c>
      <c r="AD1120" s="15" t="str">
        <f t="shared" si="14"/>
        <v>Electropolished Pipes Manufacturer in Loharu</v>
      </c>
      <c r="AE1120" s="15" t="str">
        <f t="shared" si="15"/>
        <v>How We Manufacture Electropolished Tube for Loharu Plants</v>
      </c>
      <c r="AF1120" s="15" t="str">
        <f t="shared" si="16"/>
        <v>Supplying Electropolished Pipes in Loharu: Availability, Sizes &amp; Dispatch</v>
      </c>
      <c r="AG1120" s="15" t="str">
        <f t="shared" si="17"/>
        <v>Wholesale Electropolished Pipe Supply for Loharu Projects</v>
      </c>
      <c r="AH1120" s="15" t="str">
        <f t="shared" si="18"/>
        <v>electropolished pipes manufacturer in Loharu, electropolished pipes supplier in Loharu, electropolished pipes wholesaler in Loharu, electropolished tube manufacturer Loharu, EP pipe supplier Loharu, sanitary tube supplier Loharu, ASME BPE tubing Loharu, ASTM A270 tube Loharu, SS 316L electropolished pipe Loharu</v>
      </c>
      <c r="AI1120" s="15" t="str">
        <f t="shared" si="19"/>
        <v>Electropolished Pipes Manufacturer &amp; Supplier in Loharu</v>
      </c>
      <c r="AJ1120" s="15" t="str">
        <f t="shared" si="20"/>
        <v>EP-finished SS 304/316L pipes and tubes for VERIFY plants in Loharu. ASME BPE SF1-SF4, Ra from 0.25 um, EN 10204 3.1 certificate with every lot.</v>
      </c>
      <c r="AK1120" s="15" t="str">
        <f t="shared" si="21"/>
        <v>Electropolished stainless steel pipes supplied by Sakshi Forge to VERIFY plants at HSIIDC Industrial Area, Loharu</v>
      </c>
      <c r="AL1120" s="15" t="str">
        <f t="shared" si="22"/>
        <v>Electropolished SS 316L tube stock for Loharu - Sakshi Forge</v>
      </c>
      <c r="AM1120" s="15" t="str">
        <f t="shared" si="23"/>
        <v>Home &gt; Market Area &gt; India &gt; Haryana &gt; Loharu</v>
      </c>
      <c r="AN1120" s="15">
        <f t="shared" si="24"/>
        <v>750</v>
      </c>
      <c r="AO1120" s="15">
        <f t="shared" si="25"/>
        <v>6</v>
      </c>
      <c r="AP1120" s="15">
        <f t="shared" si="26"/>
        <v>6</v>
      </c>
      <c r="AQ1120" s="15">
        <f t="shared" si="27"/>
        <v>19</v>
      </c>
      <c r="AR1120" s="31"/>
      <c r="AS1120" s="31"/>
      <c r="AT1120" s="35" t="s">
        <v>222</v>
      </c>
      <c r="AU1120" s="35"/>
    </row>
    <row r="1121" ht="15.75" customHeight="1">
      <c r="A1121" s="15" t="s">
        <v>5808</v>
      </c>
      <c r="B1121" s="15" t="s">
        <v>60</v>
      </c>
      <c r="C1121" s="15" t="s">
        <v>224</v>
      </c>
      <c r="D1121" s="15" t="s">
        <v>5809</v>
      </c>
      <c r="E1121" s="15" t="s">
        <v>5809</v>
      </c>
      <c r="F1121" s="58" t="s">
        <v>807</v>
      </c>
      <c r="G1121" s="66" t="s">
        <v>98</v>
      </c>
      <c r="H1121" s="18" t="s">
        <v>5811</v>
      </c>
      <c r="I1121" s="18" t="s">
        <v>8400</v>
      </c>
      <c r="J1121" s="18" t="s">
        <v>98</v>
      </c>
      <c r="K1121" s="18" t="s">
        <v>98</v>
      </c>
      <c r="L1121" s="18" t="s">
        <v>98</v>
      </c>
      <c r="M1121" s="18" t="s">
        <v>98</v>
      </c>
      <c r="N1121" s="18" t="s">
        <v>98</v>
      </c>
      <c r="O1121" s="18" t="s">
        <v>98</v>
      </c>
      <c r="P1121" s="15" t="str">
        <f t="shared" si="1"/>
        <v>VERIFY</v>
      </c>
      <c r="Q1121" s="15">
        <f t="shared" si="2"/>
        <v>6</v>
      </c>
      <c r="R1121" s="15">
        <f t="shared" si="3"/>
        <v>5</v>
      </c>
      <c r="S1121" s="15">
        <f t="shared" si="4"/>
        <v>3</v>
      </c>
      <c r="T1121" s="15" t="str">
        <f t="shared" si="5"/>
        <v>C-2</v>
      </c>
      <c r="U1121" s="15" t="str">
        <f t="shared" si="6"/>
        <v>T6-M5-H3-FC-2-VERIFY</v>
      </c>
      <c r="V1121" s="15">
        <f t="shared" si="7"/>
        <v>0</v>
      </c>
      <c r="W1121" s="31"/>
      <c r="X1121" s="15" t="str">
        <f t="shared" si="8"/>
        <v>lunawada</v>
      </c>
      <c r="Y1121" s="32" t="str">
        <f t="shared" si="9"/>
        <v>https://steelmanufacturer.in/market-area/electropolished-pipes-manufacturer-in-lunawada/</v>
      </c>
      <c r="Z1121" s="15" t="str">
        <f t="shared" si="10"/>
        <v>Electropolished Pipes Manufacturer in Lunawada</v>
      </c>
      <c r="AA1121" s="15" t="str">
        <f t="shared" si="11"/>
        <v>OK (46)</v>
      </c>
      <c r="AB1121" s="15" t="str">
        <f t="shared" si="12"/>
        <v>Manufacturer of electropolished SS 316L tube serving Lunawada. VERIFY. Ra 0.25-0.5 um, EN 10204 3.1 MTC.</v>
      </c>
      <c r="AC1121" s="15" t="str">
        <f t="shared" si="13"/>
        <v>PENDING RESEARCH</v>
      </c>
      <c r="AD1121" s="15" t="str">
        <f t="shared" si="14"/>
        <v>Electropolished Pipes Manufacturer in Lunawada</v>
      </c>
      <c r="AE1121" s="15" t="str">
        <f t="shared" si="15"/>
        <v>Electropolished Pipes Manufacturer in Lunawada - Our Process &amp; Capability</v>
      </c>
      <c r="AF1121" s="15" t="str">
        <f t="shared" si="16"/>
        <v>Electropolished Pipes Supplier in Lunawada - What We Hold in Stock</v>
      </c>
      <c r="AG1121" s="15" t="str">
        <f t="shared" si="17"/>
        <v>Bulk &amp; Wholesale Electropolished Pipe Rates for Lunawada Buyers</v>
      </c>
      <c r="AH1121" s="15" t="str">
        <f t="shared" si="18"/>
        <v>electropolished pipes manufacturer in Lunawada, electropolished pipes supplier in Lunawada, electropolished pipes wholesaler in Lunawada, electropolished tube manufacturer Lunawada, EP pipe supplier Lunawada, sanitary tube supplier Lunawada, ASME BPE tubing Lunawada, ASTM A270 tube Lunawada, SS 316L electropolished pipe Lunawada</v>
      </c>
      <c r="AI1121" s="15" t="str">
        <f t="shared" si="19"/>
        <v>Electropolished Pipes Manufacturer &amp; Supplier in Lunawada</v>
      </c>
      <c r="AJ1121" s="15" t="str">
        <f t="shared" si="20"/>
        <v>EP-finished SS 304/316L pipes and tubes for VERIFY plants in Lunawada. ASME BPE SF1-SF4, Ra from 0.25 um, EN 10204 3.1 certificate with every lot.</v>
      </c>
      <c r="AK1121" s="15" t="str">
        <f t="shared" si="21"/>
        <v>Electropolished stainless steel pipes supplied by Sakshi Forge to VERIFY plants at GIDC Industrial Area, Lunawada</v>
      </c>
      <c r="AL1121" s="15" t="str">
        <f t="shared" si="22"/>
        <v>Electropolished SS 316L tube stock for Lunawada - Sakshi Forge</v>
      </c>
      <c r="AM1121" s="15" t="str">
        <f t="shared" si="23"/>
        <v>Home &gt; Market Area &gt; India &gt; Gujarat &gt; Lunawada</v>
      </c>
      <c r="AN1121" s="15">
        <f t="shared" si="24"/>
        <v>750</v>
      </c>
      <c r="AO1121" s="15">
        <f t="shared" si="25"/>
        <v>6</v>
      </c>
      <c r="AP1121" s="15">
        <f t="shared" si="26"/>
        <v>6</v>
      </c>
      <c r="AQ1121" s="15">
        <f t="shared" si="27"/>
        <v>19</v>
      </c>
      <c r="AR1121" s="31"/>
      <c r="AS1121" s="31"/>
      <c r="AT1121" s="35" t="s">
        <v>222</v>
      </c>
      <c r="AU1121" s="35"/>
    </row>
    <row r="1122" ht="15.75" customHeight="1">
      <c r="A1122" s="15" t="s">
        <v>5812</v>
      </c>
      <c r="B1122" s="15" t="s">
        <v>60</v>
      </c>
      <c r="C1122" s="15" t="s">
        <v>570</v>
      </c>
      <c r="D1122" s="15" t="s">
        <v>5813</v>
      </c>
      <c r="E1122" s="15" t="s">
        <v>5813</v>
      </c>
      <c r="F1122" s="58" t="s">
        <v>807</v>
      </c>
      <c r="G1122" s="66" t="s">
        <v>98</v>
      </c>
      <c r="H1122" s="18" t="s">
        <v>5815</v>
      </c>
      <c r="I1122" s="18" t="s">
        <v>8405</v>
      </c>
      <c r="J1122" s="18" t="s">
        <v>98</v>
      </c>
      <c r="K1122" s="18" t="s">
        <v>98</v>
      </c>
      <c r="L1122" s="18" t="s">
        <v>98</v>
      </c>
      <c r="M1122" s="18" t="s">
        <v>98</v>
      </c>
      <c r="N1122" s="18" t="s">
        <v>98</v>
      </c>
      <c r="O1122" s="18" t="s">
        <v>98</v>
      </c>
      <c r="P1122" s="15" t="str">
        <f t="shared" si="1"/>
        <v>VERIFY</v>
      </c>
      <c r="Q1122" s="15">
        <f t="shared" si="2"/>
        <v>7</v>
      </c>
      <c r="R1122" s="15">
        <f t="shared" si="3"/>
        <v>6</v>
      </c>
      <c r="S1122" s="15">
        <f t="shared" si="4"/>
        <v>4</v>
      </c>
      <c r="T1122" s="15" t="str">
        <f t="shared" si="5"/>
        <v>C-3</v>
      </c>
      <c r="U1122" s="15" t="str">
        <f t="shared" si="6"/>
        <v>T7-M6-H4-FC-3-VERIFY</v>
      </c>
      <c r="V1122" s="15">
        <f t="shared" si="7"/>
        <v>0</v>
      </c>
      <c r="W1122" s="31"/>
      <c r="X1122" s="15" t="str">
        <f t="shared" si="8"/>
        <v>maddur</v>
      </c>
      <c r="Y1122" s="32" t="str">
        <f t="shared" si="9"/>
        <v>https://steelmanufacturer.in/market-area/electropolished-pipes-manufacturer-in-maddur/</v>
      </c>
      <c r="Z1122" s="15" t="str">
        <f t="shared" si="10"/>
        <v>Electropolished Pipes Manufacturer in Maddur | ASME BPE SF1-SF4</v>
      </c>
      <c r="AA1122" s="15" t="str">
        <f t="shared" si="11"/>
        <v>OK (63)</v>
      </c>
      <c r="AB1122" s="15" t="str">
        <f t="shared" si="12"/>
        <v>EP tube and pipe for VERIFY plants around KIADB Industrial Area, Maddur. Made at our Mumbai works to ASTM A270 and ASME BPE SF1-SF4, with 3.1 MTC.</v>
      </c>
      <c r="AC1122" s="15" t="str">
        <f t="shared" si="13"/>
        <v>PENDING RESEARCH</v>
      </c>
      <c r="AD1122" s="15" t="str">
        <f t="shared" si="14"/>
        <v>Electropolished Pipes Manufacturer in Maddur</v>
      </c>
      <c r="AE1122" s="15" t="str">
        <f t="shared" si="15"/>
        <v>Manufacturing Electropolished SS Tube for Maddur: The Standards We Build To</v>
      </c>
      <c r="AF1122" s="15" t="str">
        <f t="shared" si="16"/>
        <v>Electropolished Pipe Supply Into Maddur - Certification &amp; Transit</v>
      </c>
      <c r="AG1122" s="15" t="str">
        <f t="shared" si="17"/>
        <v>Electropolished Pipes Wholesaler in Maddur - Project Quantities &amp; Terms</v>
      </c>
      <c r="AH1122" s="15" t="str">
        <f t="shared" si="18"/>
        <v>electropolished pipes manufacturer in Maddur, electropolished pipes supplier in Maddur, electropolished pipes wholesaler in Maddur, electropolished tube manufacturer Maddur, EP pipe supplier Maddur, sanitary tube supplier Maddur, ASME BPE tubing Maddur, ASTM A270 tube Maddur, SS 316L electropolished pipe Maddur</v>
      </c>
      <c r="AI1122" s="15" t="str">
        <f t="shared" si="19"/>
        <v>Electropolished Pipes Manufacturer &amp; Supplier in Maddur</v>
      </c>
      <c r="AJ1122" s="15" t="str">
        <f t="shared" si="20"/>
        <v>EP-finished SS 304/316L pipes and tubes for VERIFY plants in Maddur. ASME BPE SF1-SF4, Ra from 0.25 um, EN 10204 3.1 certificate with every lot.</v>
      </c>
      <c r="AK1122" s="15" t="str">
        <f t="shared" si="21"/>
        <v>Electropolished stainless steel pipes supplied by Sakshi Forge to VERIFY plants at KIADB Industrial Area, Maddur</v>
      </c>
      <c r="AL1122" s="15" t="str">
        <f t="shared" si="22"/>
        <v>Electropolished SS 316L tube stock for Maddur - Sakshi Forge</v>
      </c>
      <c r="AM1122" s="15" t="str">
        <f t="shared" si="23"/>
        <v>Home &gt; Market Area &gt; India &gt; Karnataka &gt; Maddur</v>
      </c>
      <c r="AN1122" s="15">
        <f t="shared" si="24"/>
        <v>750</v>
      </c>
      <c r="AO1122" s="15">
        <f t="shared" si="25"/>
        <v>6</v>
      </c>
      <c r="AP1122" s="15">
        <f t="shared" si="26"/>
        <v>6</v>
      </c>
      <c r="AQ1122" s="15">
        <f t="shared" si="27"/>
        <v>19</v>
      </c>
      <c r="AR1122" s="31"/>
      <c r="AS1122" s="31"/>
      <c r="AT1122" s="35" t="s">
        <v>222</v>
      </c>
      <c r="AU1122" s="35"/>
    </row>
    <row r="1123" ht="15.75" customHeight="1">
      <c r="A1123" s="15" t="s">
        <v>5816</v>
      </c>
      <c r="B1123" s="15" t="s">
        <v>60</v>
      </c>
      <c r="C1123" s="15" t="s">
        <v>1818</v>
      </c>
      <c r="D1123" s="15" t="s">
        <v>5817</v>
      </c>
      <c r="E1123" s="15" t="s">
        <v>5817</v>
      </c>
      <c r="F1123" s="58" t="s">
        <v>807</v>
      </c>
      <c r="G1123" s="66" t="s">
        <v>98</v>
      </c>
      <c r="H1123" s="18" t="s">
        <v>5819</v>
      </c>
      <c r="I1123" s="18" t="s">
        <v>8402</v>
      </c>
      <c r="J1123" s="18" t="s">
        <v>98</v>
      </c>
      <c r="K1123" s="18" t="s">
        <v>98</v>
      </c>
      <c r="L1123" s="18" t="s">
        <v>98</v>
      </c>
      <c r="M1123" s="18" t="s">
        <v>98</v>
      </c>
      <c r="N1123" s="18" t="s">
        <v>98</v>
      </c>
      <c r="O1123" s="18" t="s">
        <v>98</v>
      </c>
      <c r="P1123" s="15" t="str">
        <f t="shared" si="1"/>
        <v>VERIFY</v>
      </c>
      <c r="Q1123" s="15">
        <f t="shared" si="2"/>
        <v>8</v>
      </c>
      <c r="R1123" s="15">
        <f t="shared" si="3"/>
        <v>7</v>
      </c>
      <c r="S1123" s="15">
        <f t="shared" si="4"/>
        <v>5</v>
      </c>
      <c r="T1123" s="15" t="str">
        <f t="shared" si="5"/>
        <v>C-4</v>
      </c>
      <c r="U1123" s="15" t="str">
        <f t="shared" si="6"/>
        <v>T8-M7-H5-FC-4-VERIFY</v>
      </c>
      <c r="V1123" s="15">
        <f t="shared" si="7"/>
        <v>0</v>
      </c>
      <c r="W1123" s="31"/>
      <c r="X1123" s="15" t="str">
        <f t="shared" si="8"/>
        <v>madhepura</v>
      </c>
      <c r="Y1123" s="32" t="str">
        <f t="shared" si="9"/>
        <v>https://steelmanufacturer.in/market-area/electropolished-pipes-manufacturer-in-madhepura/</v>
      </c>
      <c r="Z1123" s="15" t="str">
        <f t="shared" si="10"/>
        <v>Electropolished Pipes Manufacturer in Madhepura</v>
      </c>
      <c r="AA1123" s="15" t="str">
        <f t="shared" si="11"/>
        <v>OK (47)</v>
      </c>
      <c r="AB1123" s="15" t="str">
        <f t="shared" si="12"/>
        <v>Electropolished pipes in Madhepura: 304, 304L, 316 and 316L in SF1-SF4. VERIFY. Mill certified.</v>
      </c>
      <c r="AC1123" s="15" t="str">
        <f t="shared" si="13"/>
        <v>PENDING RESEARCH</v>
      </c>
      <c r="AD1123" s="15" t="str">
        <f t="shared" si="14"/>
        <v>Electropolished Pipes Manufacturer in Madhepura</v>
      </c>
      <c r="AE1123" s="15" t="str">
        <f t="shared" si="15"/>
        <v>Electropolished Tube Manufacturing Capability Serving Madhepura</v>
      </c>
      <c r="AF1123" s="15" t="str">
        <f t="shared" si="16"/>
        <v>Electropolished Pipes Supplier in Madhepura - From Order to Delivery</v>
      </c>
      <c r="AG1123" s="15" t="str">
        <f t="shared" si="17"/>
        <v>Stockist &amp; Wholesale Supply of Electropolished Pipes in Madhepura</v>
      </c>
      <c r="AH1123" s="15" t="str">
        <f t="shared" si="18"/>
        <v>electropolished pipes manufacturer in Madhepura, electropolished pipes supplier in Madhepura, electropolished pipes wholesaler in Madhepura, electropolished tube manufacturer Madhepura, EP pipe supplier Madhepura, sanitary tube supplier Madhepura, ASME BPE tubing Madhepura, ASTM A270 tube Madhepura, SS 316L electropolished pipe Madhepura</v>
      </c>
      <c r="AI1123" s="15" t="str">
        <f t="shared" si="19"/>
        <v>Electropolished Pipes Manufacturer &amp; Supplier in Madhepura</v>
      </c>
      <c r="AJ1123" s="15" t="str">
        <f t="shared" si="20"/>
        <v>EP-finished SS 304/316L pipes and tubes for VERIFY plants in Madhepura. ASME BPE SF1-SF4, Ra from 0.25 um, EN 10204 3.1 certificate with every lot.</v>
      </c>
      <c r="AK1123" s="15" t="str">
        <f t="shared" si="21"/>
        <v>Electropolished stainless steel pipes supplied by Sakshi Forge to VERIFY plants at BIADA Industrial Area, Madhepura</v>
      </c>
      <c r="AL1123" s="15" t="str">
        <f t="shared" si="22"/>
        <v>Electropolished SS 316L tube stock for Madhepura - Sakshi Forge</v>
      </c>
      <c r="AM1123" s="15" t="str">
        <f t="shared" si="23"/>
        <v>Home &gt; Market Area &gt; India &gt; Bihar &gt; Madhepura</v>
      </c>
      <c r="AN1123" s="15">
        <f t="shared" si="24"/>
        <v>750</v>
      </c>
      <c r="AO1123" s="15">
        <f t="shared" si="25"/>
        <v>6</v>
      </c>
      <c r="AP1123" s="15">
        <f t="shared" si="26"/>
        <v>6</v>
      </c>
      <c r="AQ1123" s="15">
        <f t="shared" si="27"/>
        <v>19</v>
      </c>
      <c r="AR1123" s="31"/>
      <c r="AS1123" s="31"/>
      <c r="AT1123" s="35" t="s">
        <v>222</v>
      </c>
      <c r="AU1123" s="35"/>
    </row>
    <row r="1124" ht="15.75" customHeight="1">
      <c r="A1124" s="15" t="s">
        <v>5820</v>
      </c>
      <c r="B1124" s="15" t="s">
        <v>60</v>
      </c>
      <c r="C1124" s="15" t="s">
        <v>85</v>
      </c>
      <c r="D1124" s="15" t="s">
        <v>5821</v>
      </c>
      <c r="E1124" s="15" t="s">
        <v>5821</v>
      </c>
      <c r="F1124" s="58" t="s">
        <v>807</v>
      </c>
      <c r="G1124" s="66" t="s">
        <v>98</v>
      </c>
      <c r="H1124" s="18" t="s">
        <v>5823</v>
      </c>
      <c r="I1124" s="18" t="s">
        <v>8398</v>
      </c>
      <c r="J1124" s="18" t="s">
        <v>98</v>
      </c>
      <c r="K1124" s="18" t="s">
        <v>98</v>
      </c>
      <c r="L1124" s="18" t="s">
        <v>98</v>
      </c>
      <c r="M1124" s="18" t="s">
        <v>98</v>
      </c>
      <c r="N1124" s="18" t="s">
        <v>98</v>
      </c>
      <c r="O1124" s="18" t="s">
        <v>98</v>
      </c>
      <c r="P1124" s="15" t="str">
        <f t="shared" si="1"/>
        <v>VERIFY</v>
      </c>
      <c r="Q1124" s="15">
        <f t="shared" si="2"/>
        <v>1</v>
      </c>
      <c r="R1124" s="15">
        <f t="shared" si="3"/>
        <v>1</v>
      </c>
      <c r="S1124" s="15">
        <f t="shared" si="4"/>
        <v>1</v>
      </c>
      <c r="T1124" s="15" t="str">
        <f t="shared" si="5"/>
        <v>C-5</v>
      </c>
      <c r="U1124" s="15" t="str">
        <f t="shared" si="6"/>
        <v>T1-M1-H1-FC-5-VERIFY</v>
      </c>
      <c r="V1124" s="15">
        <f t="shared" si="7"/>
        <v>0</v>
      </c>
      <c r="W1124" s="31"/>
      <c r="X1124" s="15" t="str">
        <f t="shared" si="8"/>
        <v>maharajganj</v>
      </c>
      <c r="Y1124" s="32" t="str">
        <f t="shared" si="9"/>
        <v>https://steelmanufacturer.in/market-area/electropolished-pipes-manufacturer-in-maharajganj/</v>
      </c>
      <c r="Z1124" s="15" t="str">
        <f t="shared" si="10"/>
        <v>Electropolished Pipes Manufacturer in Maharajganj | Sakshi Forge</v>
      </c>
      <c r="AA1124" s="15" t="str">
        <f t="shared" si="11"/>
        <v>OK (64)</v>
      </c>
      <c r="AB1124" s="15" t="str">
        <f t="shared" si="12"/>
        <v>EP-finished SS 304/316L pipes &amp; tubes for VERIFY plants in Maharajganj. ASTM A270, ASME BPE SF1-SF4, EN 10204 3.1 MTC. PMI tested.</v>
      </c>
      <c r="AC1124" s="15" t="str">
        <f t="shared" si="13"/>
        <v>PENDING RESEARCH</v>
      </c>
      <c r="AD1124" s="15" t="str">
        <f t="shared" si="14"/>
        <v>Electropolished Pipes Manufacturer in Maharajganj</v>
      </c>
      <c r="AE1124" s="15" t="str">
        <f t="shared" si="15"/>
        <v>Electropolished Pipe &amp; Tube Manufacturing for Maharajganj - Grades, Finishes &amp; Certification</v>
      </c>
      <c r="AF1124" s="15" t="str">
        <f t="shared" si="16"/>
        <v>Electropolished Pipes Supplier in Maharajganj - Stock Sizes, Lead Time &amp; Delivery</v>
      </c>
      <c r="AG1124" s="15" t="str">
        <f t="shared" si="17"/>
        <v>Electropolished Pipes Wholesaler &amp; Stockist in Maharajganj - Bulk &amp; Project Pricing</v>
      </c>
      <c r="AH1124" s="15" t="str">
        <f t="shared" si="18"/>
        <v>electropolished pipes manufacturer in Maharajganj, electropolished pipes supplier in Maharajganj, electropolished pipes wholesaler in Maharajganj, electropolished tube manufacturer Maharajganj, EP pipe supplier Maharajganj, sanitary tube supplier Maharajganj, ASME BPE tubing Maharajganj, ASTM A270 tube Maharajganj, SS 316L electropolished pipe Maharajganj</v>
      </c>
      <c r="AI1124" s="15" t="str">
        <f t="shared" si="19"/>
        <v>Electropolished Pipes Manufacturer &amp; Supplier in Maharajganj</v>
      </c>
      <c r="AJ1124" s="15" t="str">
        <f t="shared" si="20"/>
        <v>EP-finished SS 304/316L pipes and tubes for VERIFY plants in Maharajganj. ASME BPE SF1-SF4, Ra from 0.25 um, EN 10204 3.1 certificate with every lot.</v>
      </c>
      <c r="AK1124" s="15" t="str">
        <f t="shared" si="21"/>
        <v>Electropolished stainless steel pipes supplied by Sakshi Forge to VERIFY plants at UPSIDA Industrial Area, Maharajganj</v>
      </c>
      <c r="AL1124" s="15" t="str">
        <f t="shared" si="22"/>
        <v>Electropolished SS 316L tube stock for Maharajganj - Sakshi Forge</v>
      </c>
      <c r="AM1124" s="15" t="str">
        <f t="shared" si="23"/>
        <v>Home &gt; Market Area &gt; India &gt; Uttar Pradesh &gt; Maharajganj</v>
      </c>
      <c r="AN1124" s="15">
        <f t="shared" si="24"/>
        <v>750</v>
      </c>
      <c r="AO1124" s="15">
        <f t="shared" si="25"/>
        <v>6</v>
      </c>
      <c r="AP1124" s="15">
        <f t="shared" si="26"/>
        <v>6</v>
      </c>
      <c r="AQ1124" s="15">
        <f t="shared" si="27"/>
        <v>19</v>
      </c>
      <c r="AR1124" s="31"/>
      <c r="AS1124" s="31"/>
      <c r="AT1124" s="35" t="s">
        <v>222</v>
      </c>
      <c r="AU1124" s="35"/>
    </row>
    <row r="1125" ht="15.75" customHeight="1">
      <c r="A1125" s="15" t="s">
        <v>5824</v>
      </c>
      <c r="B1125" s="15" t="s">
        <v>60</v>
      </c>
      <c r="C1125" s="15" t="s">
        <v>85</v>
      </c>
      <c r="D1125" s="15" t="s">
        <v>5825</v>
      </c>
      <c r="E1125" s="15" t="s">
        <v>5825</v>
      </c>
      <c r="F1125" s="58" t="s">
        <v>807</v>
      </c>
      <c r="G1125" s="66" t="s">
        <v>98</v>
      </c>
      <c r="H1125" s="18" t="s">
        <v>5827</v>
      </c>
      <c r="I1125" s="18" t="s">
        <v>8398</v>
      </c>
      <c r="J1125" s="18" t="s">
        <v>98</v>
      </c>
      <c r="K1125" s="18" t="s">
        <v>98</v>
      </c>
      <c r="L1125" s="18" t="s">
        <v>98</v>
      </c>
      <c r="M1125" s="18" t="s">
        <v>98</v>
      </c>
      <c r="N1125" s="18" t="s">
        <v>98</v>
      </c>
      <c r="O1125" s="18" t="s">
        <v>98</v>
      </c>
      <c r="P1125" s="15" t="str">
        <f t="shared" si="1"/>
        <v>VERIFY</v>
      </c>
      <c r="Q1125" s="15">
        <f t="shared" si="2"/>
        <v>2</v>
      </c>
      <c r="R1125" s="15">
        <f t="shared" si="3"/>
        <v>2</v>
      </c>
      <c r="S1125" s="15">
        <f t="shared" si="4"/>
        <v>2</v>
      </c>
      <c r="T1125" s="15" t="str">
        <f t="shared" si="5"/>
        <v>C-6</v>
      </c>
      <c r="U1125" s="15" t="str">
        <f t="shared" si="6"/>
        <v>T2-M2-H2-FC-6-VERIFY</v>
      </c>
      <c r="V1125" s="15">
        <f t="shared" si="7"/>
        <v>0</v>
      </c>
      <c r="W1125" s="31"/>
      <c r="X1125" s="15" t="str">
        <f t="shared" si="8"/>
        <v>mahoba</v>
      </c>
      <c r="Y1125" s="32" t="str">
        <f t="shared" si="9"/>
        <v>https://steelmanufacturer.in/market-area/electropolished-pipes-manufacturer-in-mahoba/</v>
      </c>
      <c r="Z1125" s="15" t="str">
        <f t="shared" si="10"/>
        <v>Electropolished Pipes Manufacturer in Mahoba</v>
      </c>
      <c r="AA1125" s="15" t="str">
        <f t="shared" si="11"/>
        <v>OK (44)</v>
      </c>
      <c r="AB1125" s="15" t="str">
        <f t="shared" si="12"/>
        <v>Electropolished tube supply to UPSIDA Industrial Area, Mahoba. Ra from 0.25 um, SF4 finish, mill test certificate with every lot.</v>
      </c>
      <c r="AC1125" s="15" t="str">
        <f t="shared" si="13"/>
        <v>PENDING RESEARCH</v>
      </c>
      <c r="AD1125" s="15" t="str">
        <f t="shared" si="14"/>
        <v>Electropolished Pipes Manufacturer in Mahoba</v>
      </c>
      <c r="AE1125" s="15" t="str">
        <f t="shared" si="15"/>
        <v>How We Manufacture Electropolished Tube for Mahoba Plants</v>
      </c>
      <c r="AF1125" s="15" t="str">
        <f t="shared" si="16"/>
        <v>Supplying Electropolished Pipes in Mahoba: Availability, Sizes &amp; Dispatch</v>
      </c>
      <c r="AG1125" s="15" t="str">
        <f t="shared" si="17"/>
        <v>Wholesale Electropolished Pipe Supply for Mahoba Projects</v>
      </c>
      <c r="AH1125" s="15" t="str">
        <f t="shared" si="18"/>
        <v>electropolished pipes manufacturer in Mahoba, electropolished pipes supplier in Mahoba, electropolished pipes wholesaler in Mahoba, electropolished tube manufacturer Mahoba, EP pipe supplier Mahoba, sanitary tube supplier Mahoba, ASME BPE tubing Mahoba, ASTM A270 tube Mahoba, SS 316L electropolished pipe Mahoba</v>
      </c>
      <c r="AI1125" s="15" t="str">
        <f t="shared" si="19"/>
        <v>Electropolished Pipes Manufacturer &amp; Supplier in Mahoba</v>
      </c>
      <c r="AJ1125" s="15" t="str">
        <f t="shared" si="20"/>
        <v>EP-finished SS 304/316L pipes and tubes for VERIFY plants in Mahoba. ASME BPE SF1-SF4, Ra from 0.25 um, EN 10204 3.1 certificate with every lot.</v>
      </c>
      <c r="AK1125" s="15" t="str">
        <f t="shared" si="21"/>
        <v>Electropolished stainless steel pipes supplied by Sakshi Forge to VERIFY plants at UPSIDA Industrial Area, Mahoba</v>
      </c>
      <c r="AL1125" s="15" t="str">
        <f t="shared" si="22"/>
        <v>Electropolished SS 316L tube stock for Mahoba - Sakshi Forge</v>
      </c>
      <c r="AM1125" s="15" t="str">
        <f t="shared" si="23"/>
        <v>Home &gt; Market Area &gt; India &gt; Uttar Pradesh &gt; Mahoba</v>
      </c>
      <c r="AN1125" s="15">
        <f t="shared" si="24"/>
        <v>750</v>
      </c>
      <c r="AO1125" s="15">
        <f t="shared" si="25"/>
        <v>6</v>
      </c>
      <c r="AP1125" s="15">
        <f t="shared" si="26"/>
        <v>6</v>
      </c>
      <c r="AQ1125" s="15">
        <f t="shared" si="27"/>
        <v>19</v>
      </c>
      <c r="AR1125" s="31"/>
      <c r="AS1125" s="31"/>
      <c r="AT1125" s="35" t="s">
        <v>222</v>
      </c>
      <c r="AU1125" s="35"/>
    </row>
    <row r="1126" ht="15.75" customHeight="1">
      <c r="A1126" s="15" t="s">
        <v>5828</v>
      </c>
      <c r="B1126" s="15" t="s">
        <v>60</v>
      </c>
      <c r="C1126" s="15" t="s">
        <v>85</v>
      </c>
      <c r="D1126" s="15" t="s">
        <v>5829</v>
      </c>
      <c r="E1126" s="15" t="s">
        <v>5829</v>
      </c>
      <c r="F1126" s="58" t="s">
        <v>807</v>
      </c>
      <c r="G1126" s="66" t="s">
        <v>98</v>
      </c>
      <c r="H1126" s="18" t="s">
        <v>5833</v>
      </c>
      <c r="I1126" s="18" t="s">
        <v>8398</v>
      </c>
      <c r="J1126" s="18" t="s">
        <v>98</v>
      </c>
      <c r="K1126" s="18" t="s">
        <v>98</v>
      </c>
      <c r="L1126" s="18" t="s">
        <v>98</v>
      </c>
      <c r="M1126" s="18" t="s">
        <v>98</v>
      </c>
      <c r="N1126" s="18" t="s">
        <v>98</v>
      </c>
      <c r="O1126" s="18" t="s">
        <v>98</v>
      </c>
      <c r="P1126" s="15" t="str">
        <f t="shared" si="1"/>
        <v>VERIFY</v>
      </c>
      <c r="Q1126" s="15">
        <f t="shared" si="2"/>
        <v>3</v>
      </c>
      <c r="R1126" s="15">
        <f t="shared" si="3"/>
        <v>3</v>
      </c>
      <c r="S1126" s="15">
        <f t="shared" si="4"/>
        <v>3</v>
      </c>
      <c r="T1126" s="15" t="str">
        <f t="shared" si="5"/>
        <v>C-1</v>
      </c>
      <c r="U1126" s="15" t="str">
        <f t="shared" si="6"/>
        <v>T3-M3-H3-FC-1-VERIFY</v>
      </c>
      <c r="V1126" s="15">
        <f t="shared" si="7"/>
        <v>0</v>
      </c>
      <c r="W1126" s="31"/>
      <c r="X1126" s="15" t="str">
        <f t="shared" si="8"/>
        <v>mainpuri</v>
      </c>
      <c r="Y1126" s="32" t="str">
        <f t="shared" si="9"/>
        <v>https://steelmanufacturer.in/market-area/electropolished-pipes-manufacturer-in-mainpuri/</v>
      </c>
      <c r="Z1126" s="15" t="str">
        <f t="shared" si="10"/>
        <v>Electropolished Pipes Manufacturer in Mainpuri | EP Tube Supplier</v>
      </c>
      <c r="AA1126" s="15" t="str">
        <f t="shared" si="11"/>
        <v>OK (65)</v>
      </c>
      <c r="AB1126" s="15" t="str">
        <f t="shared" si="12"/>
        <v>EP stainless tube for VERIFY lines in Mainpuri. VERIFY. ASTM A270 S2, PMI tested, EN 10204 3.1.</v>
      </c>
      <c r="AC1126" s="15" t="str">
        <f t="shared" si="13"/>
        <v>PENDING RESEARCH</v>
      </c>
      <c r="AD1126" s="15" t="str">
        <f t="shared" si="14"/>
        <v>Electropolished Pipes Manufacturer in Mainpuri</v>
      </c>
      <c r="AE1126" s="15" t="str">
        <f t="shared" si="15"/>
        <v>Electropolished Pipes Manufacturer in Mainpuri - Our Process &amp; Capability</v>
      </c>
      <c r="AF1126" s="15" t="str">
        <f t="shared" si="16"/>
        <v>Electropolished Pipes Supplier in Mainpuri - What We Hold in Stock</v>
      </c>
      <c r="AG1126" s="15" t="str">
        <f t="shared" si="17"/>
        <v>Bulk &amp; Wholesale Electropolished Pipe Rates for Mainpuri Buyers</v>
      </c>
      <c r="AH1126" s="15" t="str">
        <f t="shared" si="18"/>
        <v>electropolished pipes manufacturer in Mainpuri, electropolished pipes supplier in Mainpuri, electropolished pipes wholesaler in Mainpuri, electropolished tube manufacturer Mainpuri, EP pipe supplier Mainpuri, sanitary tube supplier Mainpuri, ASME BPE tubing Mainpuri, ASTM A270 tube Mainpuri, SS 316L electropolished pipe Mainpuri</v>
      </c>
      <c r="AI1126" s="15" t="str">
        <f t="shared" si="19"/>
        <v>Electropolished Pipes Manufacturer &amp; Supplier in Mainpuri</v>
      </c>
      <c r="AJ1126" s="15" t="str">
        <f t="shared" si="20"/>
        <v>EP-finished SS 304/316L pipes and tubes for VERIFY plants in Mainpuri. ASME BPE SF1-SF4, Ra from 0.25 um, EN 10204 3.1 certificate with every lot.</v>
      </c>
      <c r="AK1126" s="15" t="str">
        <f t="shared" si="21"/>
        <v>Electropolished stainless steel pipes supplied by Sakshi Forge to VERIFY plants at UPSIDA Industrial Area, Mainpuri</v>
      </c>
      <c r="AL1126" s="15" t="str">
        <f t="shared" si="22"/>
        <v>Electropolished SS 316L tube stock for Mainpuri - Sakshi Forge</v>
      </c>
      <c r="AM1126" s="15" t="str">
        <f t="shared" si="23"/>
        <v>Home &gt; Market Area &gt; India &gt; Uttar Pradesh &gt; Mainpuri</v>
      </c>
      <c r="AN1126" s="15">
        <f t="shared" si="24"/>
        <v>750</v>
      </c>
      <c r="AO1126" s="15">
        <f t="shared" si="25"/>
        <v>6</v>
      </c>
      <c r="AP1126" s="15">
        <f t="shared" si="26"/>
        <v>6</v>
      </c>
      <c r="AQ1126" s="15">
        <f t="shared" si="27"/>
        <v>19</v>
      </c>
      <c r="AR1126" s="31"/>
      <c r="AS1126" s="31"/>
      <c r="AT1126" s="35" t="s">
        <v>222</v>
      </c>
      <c r="AU1126" s="35"/>
    </row>
    <row r="1127" ht="15.75" customHeight="1">
      <c r="A1127" s="15" t="s">
        <v>5835</v>
      </c>
      <c r="B1127" s="15" t="s">
        <v>60</v>
      </c>
      <c r="C1127" s="15" t="s">
        <v>236</v>
      </c>
      <c r="D1127" s="15" t="s">
        <v>5839</v>
      </c>
      <c r="E1127" s="15" t="s">
        <v>5839</v>
      </c>
      <c r="F1127" s="58" t="s">
        <v>807</v>
      </c>
      <c r="G1127" s="66" t="s">
        <v>98</v>
      </c>
      <c r="H1127" s="18" t="s">
        <v>5841</v>
      </c>
      <c r="I1127" s="18" t="s">
        <v>8391</v>
      </c>
      <c r="J1127" s="18" t="s">
        <v>98</v>
      </c>
      <c r="K1127" s="18" t="s">
        <v>98</v>
      </c>
      <c r="L1127" s="18" t="s">
        <v>98</v>
      </c>
      <c r="M1127" s="18" t="s">
        <v>98</v>
      </c>
      <c r="N1127" s="18" t="s">
        <v>98</v>
      </c>
      <c r="O1127" s="18" t="s">
        <v>98</v>
      </c>
      <c r="P1127" s="15" t="str">
        <f t="shared" si="1"/>
        <v>VERIFY</v>
      </c>
      <c r="Q1127" s="15">
        <f t="shared" si="2"/>
        <v>4</v>
      </c>
      <c r="R1127" s="15">
        <f t="shared" si="3"/>
        <v>4</v>
      </c>
      <c r="S1127" s="15">
        <f t="shared" si="4"/>
        <v>4</v>
      </c>
      <c r="T1127" s="15" t="str">
        <f t="shared" si="5"/>
        <v>C-2</v>
      </c>
      <c r="U1127" s="15" t="str">
        <f t="shared" si="6"/>
        <v>T4-M4-H4-FC-2-VERIFY</v>
      </c>
      <c r="V1127" s="15">
        <f t="shared" si="7"/>
        <v>0</v>
      </c>
      <c r="W1127" s="31"/>
      <c r="X1127" s="15" t="str">
        <f t="shared" si="8"/>
        <v>makrana</v>
      </c>
      <c r="Y1127" s="32" t="str">
        <f t="shared" si="9"/>
        <v>https://steelmanufacturer.in/market-area/electropolished-pipes-manufacturer-in-makrana/</v>
      </c>
      <c r="Z1127" s="15" t="str">
        <f t="shared" si="10"/>
        <v>Electropolished Pipes Manufacturer in Makrana</v>
      </c>
      <c r="AA1127" s="15" t="str">
        <f t="shared" si="11"/>
        <v>OK (45)</v>
      </c>
      <c r="AB1127" s="15" t="str">
        <f t="shared" si="12"/>
        <v>Sanitary electropolished pipes in Makrana for VERIFY plants. ASME BPE SF1-SF4, orbital-weld ready, 3.1 MTC. Mumbai-made.</v>
      </c>
      <c r="AC1127" s="15" t="str">
        <f t="shared" si="13"/>
        <v>PENDING RESEARCH</v>
      </c>
      <c r="AD1127" s="15" t="str">
        <f t="shared" si="14"/>
        <v>Electropolished Pipes Manufacturer in Makrana</v>
      </c>
      <c r="AE1127" s="15" t="str">
        <f t="shared" si="15"/>
        <v>Manufacturing Electropolished SS Tube for Makrana: The Standards We Build To</v>
      </c>
      <c r="AF1127" s="15" t="str">
        <f t="shared" si="16"/>
        <v>Electropolished Pipe Supply Into Makrana - Certification &amp; Transit</v>
      </c>
      <c r="AG1127" s="15" t="str">
        <f t="shared" si="17"/>
        <v>Electropolished Pipes Wholesaler in Makrana - Project Quantities &amp; Terms</v>
      </c>
      <c r="AH1127" s="15" t="str">
        <f t="shared" si="18"/>
        <v>electropolished pipes manufacturer in Makrana, electropolished pipes supplier in Makrana, electropolished pipes wholesaler in Makrana, electropolished tube manufacturer Makrana, EP pipe supplier Makrana, sanitary tube supplier Makrana, ASME BPE tubing Makrana, ASTM A270 tube Makrana, SS 316L electropolished pipe Makrana</v>
      </c>
      <c r="AI1127" s="15" t="str">
        <f t="shared" si="19"/>
        <v>Electropolished Pipes Manufacturer &amp; Supplier in Makrana</v>
      </c>
      <c r="AJ1127" s="15" t="str">
        <f t="shared" si="20"/>
        <v>EP-finished SS 304/316L pipes and tubes for VERIFY plants in Makrana. ASME BPE SF1-SF4, Ra from 0.25 um, EN 10204 3.1 certificate with every lot.</v>
      </c>
      <c r="AK1127" s="15" t="str">
        <f t="shared" si="21"/>
        <v>Electropolished stainless steel pipes supplied by Sakshi Forge to VERIFY plants at RIICO Industrial Area, Makrana</v>
      </c>
      <c r="AL1127" s="15" t="str">
        <f t="shared" si="22"/>
        <v>Electropolished SS 316L tube stock for Makrana - Sakshi Forge</v>
      </c>
      <c r="AM1127" s="15" t="str">
        <f t="shared" si="23"/>
        <v>Home &gt; Market Area &gt; India &gt; Rajasthan &gt; Makrana</v>
      </c>
      <c r="AN1127" s="15">
        <f t="shared" si="24"/>
        <v>750</v>
      </c>
      <c r="AO1127" s="15">
        <f t="shared" si="25"/>
        <v>6</v>
      </c>
      <c r="AP1127" s="15">
        <f t="shared" si="26"/>
        <v>6</v>
      </c>
      <c r="AQ1127" s="15">
        <f t="shared" si="27"/>
        <v>19</v>
      </c>
      <c r="AR1127" s="31"/>
      <c r="AS1127" s="31"/>
      <c r="AT1127" s="35" t="s">
        <v>222</v>
      </c>
      <c r="AU1127" s="35"/>
    </row>
    <row r="1128" ht="15.75" customHeight="1">
      <c r="A1128" s="15" t="s">
        <v>5842</v>
      </c>
      <c r="B1128" s="15" t="s">
        <v>60</v>
      </c>
      <c r="C1128" s="15" t="s">
        <v>354</v>
      </c>
      <c r="D1128" s="15" t="s">
        <v>5843</v>
      </c>
      <c r="E1128" s="15" t="s">
        <v>5843</v>
      </c>
      <c r="F1128" s="58" t="s">
        <v>807</v>
      </c>
      <c r="G1128" s="66" t="s">
        <v>98</v>
      </c>
      <c r="H1128" s="18" t="s">
        <v>5845</v>
      </c>
      <c r="I1128" s="18" t="s">
        <v>8408</v>
      </c>
      <c r="J1128" s="18" t="s">
        <v>98</v>
      </c>
      <c r="K1128" s="18" t="s">
        <v>98</v>
      </c>
      <c r="L1128" s="18" t="s">
        <v>98</v>
      </c>
      <c r="M1128" s="18" t="s">
        <v>98</v>
      </c>
      <c r="N1128" s="18" t="s">
        <v>98</v>
      </c>
      <c r="O1128" s="18" t="s">
        <v>98</v>
      </c>
      <c r="P1128" s="15" t="str">
        <f t="shared" si="1"/>
        <v>VERIFY</v>
      </c>
      <c r="Q1128" s="15">
        <f t="shared" si="2"/>
        <v>5</v>
      </c>
      <c r="R1128" s="15">
        <f t="shared" si="3"/>
        <v>5</v>
      </c>
      <c r="S1128" s="15">
        <f t="shared" si="4"/>
        <v>5</v>
      </c>
      <c r="T1128" s="15" t="str">
        <f t="shared" si="5"/>
        <v>C-3</v>
      </c>
      <c r="U1128" s="15" t="str">
        <f t="shared" si="6"/>
        <v>T5-M5-H5-FC-3-VERIFY</v>
      </c>
      <c r="V1128" s="15">
        <f t="shared" si="7"/>
        <v>0</v>
      </c>
      <c r="W1128" s="31"/>
      <c r="X1128" s="15" t="str">
        <f t="shared" si="8"/>
        <v>malerkotla</v>
      </c>
      <c r="Y1128" s="32" t="str">
        <f t="shared" si="9"/>
        <v>https://steelmanufacturer.in/market-area/electropolished-pipes-manufacturer-in-malerkotla/</v>
      </c>
      <c r="Z1128" s="15" t="str">
        <f t="shared" si="10"/>
        <v>Electropolished Pipes Manufacturer in Malerkotla</v>
      </c>
      <c r="AA1128" s="15" t="str">
        <f t="shared" si="11"/>
        <v>OK (48)</v>
      </c>
      <c r="AB1128" s="15" t="str">
        <f t="shared" si="12"/>
        <v>Manufacturer of electropolished SS 316L tube serving Malerkotla. VERIFY. Ra 0.25-0.5 um, EN 10204 3.1 MTC.</v>
      </c>
      <c r="AC1128" s="15" t="str">
        <f t="shared" si="13"/>
        <v>PENDING RESEARCH</v>
      </c>
      <c r="AD1128" s="15" t="str">
        <f t="shared" si="14"/>
        <v>Electropolished Pipes Manufacturer in Malerkotla</v>
      </c>
      <c r="AE1128" s="15" t="str">
        <f t="shared" si="15"/>
        <v>Electropolished Tube Manufacturing Capability Serving Malerkotla</v>
      </c>
      <c r="AF1128" s="15" t="str">
        <f t="shared" si="16"/>
        <v>Electropolished Pipes Supplier in Malerkotla - From Order to Delivery</v>
      </c>
      <c r="AG1128" s="15" t="str">
        <f t="shared" si="17"/>
        <v>Stockist &amp; Wholesale Supply of Electropolished Pipes in Malerkotla</v>
      </c>
      <c r="AH1128" s="15" t="str">
        <f t="shared" si="18"/>
        <v>electropolished pipes manufacturer in Malerkotla, electropolished pipes supplier in Malerkotla, electropolished pipes wholesaler in Malerkotla, electropolished tube manufacturer Malerkotla, EP pipe supplier Malerkotla, sanitary tube supplier Malerkotla, ASME BPE tubing Malerkotla, ASTM A270 tube Malerkotla, SS 316L electropolished pipe Malerkotla</v>
      </c>
      <c r="AI1128" s="15" t="str">
        <f t="shared" si="19"/>
        <v>Electropolished Pipes Manufacturer &amp; Supplier in Malerkotla</v>
      </c>
      <c r="AJ1128" s="15" t="str">
        <f t="shared" si="20"/>
        <v>EP-finished SS 304/316L pipes and tubes for VERIFY plants in Malerkotla. ASME BPE SF1-SF4, Ra from 0.25 um, EN 10204 3.1 certificate with every lot.</v>
      </c>
      <c r="AK1128" s="15" t="str">
        <f t="shared" si="21"/>
        <v>Electropolished stainless steel pipes supplied by Sakshi Forge to VERIFY plants at PSIEC Industrial Area, Malerkotla</v>
      </c>
      <c r="AL1128" s="15" t="str">
        <f t="shared" si="22"/>
        <v>Electropolished SS 316L tube stock for Malerkotla - Sakshi Forge</v>
      </c>
      <c r="AM1128" s="15" t="str">
        <f t="shared" si="23"/>
        <v>Home &gt; Market Area &gt; India &gt; Punjab &gt; Malerkotla</v>
      </c>
      <c r="AN1128" s="15">
        <f t="shared" si="24"/>
        <v>750</v>
      </c>
      <c r="AO1128" s="15">
        <f t="shared" si="25"/>
        <v>6</v>
      </c>
      <c r="AP1128" s="15">
        <f t="shared" si="26"/>
        <v>6</v>
      </c>
      <c r="AQ1128" s="15">
        <f t="shared" si="27"/>
        <v>19</v>
      </c>
      <c r="AR1128" s="31"/>
      <c r="AS1128" s="31"/>
      <c r="AT1128" s="35" t="s">
        <v>222</v>
      </c>
      <c r="AU1128" s="35"/>
    </row>
    <row r="1129" ht="15.75" customHeight="1">
      <c r="A1129" s="15" t="s">
        <v>5846</v>
      </c>
      <c r="B1129" s="15" t="s">
        <v>60</v>
      </c>
      <c r="C1129" s="15" t="s">
        <v>236</v>
      </c>
      <c r="D1129" s="15" t="s">
        <v>5847</v>
      </c>
      <c r="E1129" s="15" t="s">
        <v>5847</v>
      </c>
      <c r="F1129" s="58" t="s">
        <v>807</v>
      </c>
      <c r="G1129" s="66" t="s">
        <v>98</v>
      </c>
      <c r="H1129" s="18" t="s">
        <v>5849</v>
      </c>
      <c r="I1129" s="18" t="s">
        <v>8391</v>
      </c>
      <c r="J1129" s="18" t="s">
        <v>98</v>
      </c>
      <c r="K1129" s="18" t="s">
        <v>98</v>
      </c>
      <c r="L1129" s="18" t="s">
        <v>98</v>
      </c>
      <c r="M1129" s="18" t="s">
        <v>98</v>
      </c>
      <c r="N1129" s="18" t="s">
        <v>98</v>
      </c>
      <c r="O1129" s="18" t="s">
        <v>98</v>
      </c>
      <c r="P1129" s="15" t="str">
        <f t="shared" si="1"/>
        <v>VERIFY</v>
      </c>
      <c r="Q1129" s="15">
        <f t="shared" si="2"/>
        <v>6</v>
      </c>
      <c r="R1129" s="15">
        <f t="shared" si="3"/>
        <v>6</v>
      </c>
      <c r="S1129" s="15">
        <f t="shared" si="4"/>
        <v>1</v>
      </c>
      <c r="T1129" s="15" t="str">
        <f t="shared" si="5"/>
        <v>C-4</v>
      </c>
      <c r="U1129" s="15" t="str">
        <f t="shared" si="6"/>
        <v>T6-M6-H1-FC-4-VERIFY</v>
      </c>
      <c r="V1129" s="15">
        <f t="shared" si="7"/>
        <v>0</v>
      </c>
      <c r="W1129" s="31"/>
      <c r="X1129" s="15" t="str">
        <f t="shared" si="8"/>
        <v>malpura</v>
      </c>
      <c r="Y1129" s="32" t="str">
        <f t="shared" si="9"/>
        <v>https://steelmanufacturer.in/market-area/electropolished-pipes-manufacturer-in-malpura/</v>
      </c>
      <c r="Z1129" s="15" t="str">
        <f t="shared" si="10"/>
        <v>Electropolished Pipes Manufacturer in Malpura</v>
      </c>
      <c r="AA1129" s="15" t="str">
        <f t="shared" si="11"/>
        <v>OK (45)</v>
      </c>
      <c r="AB1129" s="15" t="str">
        <f t="shared" si="12"/>
        <v>EP tube and pipe for VERIFY plants around RIICO Industrial Area, Malpura. Made at our Mumbai works to ASTM A270 and ASME BPE SF1-SF4, with 3.1 MTC.</v>
      </c>
      <c r="AC1129" s="15" t="str">
        <f t="shared" si="13"/>
        <v>PENDING RESEARCH</v>
      </c>
      <c r="AD1129" s="15" t="str">
        <f t="shared" si="14"/>
        <v>Electropolished Pipes Manufacturer in Malpura</v>
      </c>
      <c r="AE1129" s="15" t="str">
        <f t="shared" si="15"/>
        <v>Electropolished Pipe &amp; Tube Manufacturing for Malpura - Grades, Finishes &amp; Certification</v>
      </c>
      <c r="AF1129" s="15" t="str">
        <f t="shared" si="16"/>
        <v>Electropolished Pipes Supplier in Malpura - Stock Sizes, Lead Time &amp; Delivery</v>
      </c>
      <c r="AG1129" s="15" t="str">
        <f t="shared" si="17"/>
        <v>Electropolished Pipes Wholesaler &amp; Stockist in Malpura - Bulk &amp; Project Pricing</v>
      </c>
      <c r="AH1129" s="15" t="str">
        <f t="shared" si="18"/>
        <v>electropolished pipes manufacturer in Malpura, electropolished pipes supplier in Malpura, electropolished pipes wholesaler in Malpura, electropolished tube manufacturer Malpura, EP pipe supplier Malpura, sanitary tube supplier Malpura, ASME BPE tubing Malpura, ASTM A270 tube Malpura, SS 316L electropolished pipe Malpura</v>
      </c>
      <c r="AI1129" s="15" t="str">
        <f t="shared" si="19"/>
        <v>Electropolished Pipes Manufacturer &amp; Supplier in Malpura</v>
      </c>
      <c r="AJ1129" s="15" t="str">
        <f t="shared" si="20"/>
        <v>EP-finished SS 304/316L pipes and tubes for VERIFY plants in Malpura. ASME BPE SF1-SF4, Ra from 0.25 um, EN 10204 3.1 certificate with every lot.</v>
      </c>
      <c r="AK1129" s="15" t="str">
        <f t="shared" si="21"/>
        <v>Electropolished stainless steel pipes supplied by Sakshi Forge to VERIFY plants at RIICO Industrial Area, Malpura</v>
      </c>
      <c r="AL1129" s="15" t="str">
        <f t="shared" si="22"/>
        <v>Electropolished SS 316L tube stock for Malpura - Sakshi Forge</v>
      </c>
      <c r="AM1129" s="15" t="str">
        <f t="shared" si="23"/>
        <v>Home &gt; Market Area &gt; India &gt; Rajasthan &gt; Malpura</v>
      </c>
      <c r="AN1129" s="15">
        <f t="shared" si="24"/>
        <v>750</v>
      </c>
      <c r="AO1129" s="15">
        <f t="shared" si="25"/>
        <v>6</v>
      </c>
      <c r="AP1129" s="15">
        <f t="shared" si="26"/>
        <v>6</v>
      </c>
      <c r="AQ1129" s="15">
        <f t="shared" si="27"/>
        <v>19</v>
      </c>
      <c r="AR1129" s="31"/>
      <c r="AS1129" s="31"/>
      <c r="AT1129" s="35" t="s">
        <v>222</v>
      </c>
      <c r="AU1129" s="35"/>
    </row>
    <row r="1130" ht="15.75" customHeight="1">
      <c r="A1130" s="15" t="s">
        <v>5850</v>
      </c>
      <c r="B1130" s="15" t="s">
        <v>60</v>
      </c>
      <c r="C1130" s="15" t="s">
        <v>842</v>
      </c>
      <c r="D1130" s="15" t="s">
        <v>5851</v>
      </c>
      <c r="E1130" s="15" t="s">
        <v>5851</v>
      </c>
      <c r="F1130" s="58" t="s">
        <v>807</v>
      </c>
      <c r="G1130" s="66" t="s">
        <v>98</v>
      </c>
      <c r="H1130" s="18" t="s">
        <v>5853</v>
      </c>
      <c r="I1130" s="18" t="s">
        <v>8413</v>
      </c>
      <c r="J1130" s="18" t="s">
        <v>98</v>
      </c>
      <c r="K1130" s="18" t="s">
        <v>98</v>
      </c>
      <c r="L1130" s="18" t="s">
        <v>98</v>
      </c>
      <c r="M1130" s="18" t="s">
        <v>98</v>
      </c>
      <c r="N1130" s="18" t="s">
        <v>98</v>
      </c>
      <c r="O1130" s="18" t="s">
        <v>98</v>
      </c>
      <c r="P1130" s="15" t="str">
        <f t="shared" si="1"/>
        <v>VERIFY</v>
      </c>
      <c r="Q1130" s="15">
        <f t="shared" si="2"/>
        <v>7</v>
      </c>
      <c r="R1130" s="15">
        <f t="shared" si="3"/>
        <v>7</v>
      </c>
      <c r="S1130" s="15">
        <f t="shared" si="4"/>
        <v>2</v>
      </c>
      <c r="T1130" s="15" t="str">
        <f t="shared" si="5"/>
        <v>C-5</v>
      </c>
      <c r="U1130" s="15" t="str">
        <f t="shared" si="6"/>
        <v>T7-M7-H2-FC-5-VERIFY</v>
      </c>
      <c r="V1130" s="15">
        <f t="shared" si="7"/>
        <v>0</v>
      </c>
      <c r="W1130" s="31"/>
      <c r="X1130" s="15" t="str">
        <f t="shared" si="8"/>
        <v>manawar</v>
      </c>
      <c r="Y1130" s="32" t="str">
        <f t="shared" si="9"/>
        <v>https://steelmanufacturer.in/market-area/electropolished-pipes-manufacturer-in-manawar/</v>
      </c>
      <c r="Z1130" s="15" t="str">
        <f t="shared" si="10"/>
        <v>Electropolished Pipes Manufacturer in Manawar | ASME BPE SF1-SF4</v>
      </c>
      <c r="AA1130" s="15" t="str">
        <f t="shared" si="11"/>
        <v>OK (64)</v>
      </c>
      <c r="AB1130" s="15" t="str">
        <f t="shared" si="12"/>
        <v>Electropolished pipes in Manawar: 304, 304L, 316 and 316L in SF1-SF4. VERIFY. Mill certified.</v>
      </c>
      <c r="AC1130" s="15" t="str">
        <f t="shared" si="13"/>
        <v>PENDING RESEARCH</v>
      </c>
      <c r="AD1130" s="15" t="str">
        <f t="shared" si="14"/>
        <v>Electropolished Pipes Manufacturer in Manawar</v>
      </c>
      <c r="AE1130" s="15" t="str">
        <f t="shared" si="15"/>
        <v>How We Manufacture Electropolished Tube for Manawar Plants</v>
      </c>
      <c r="AF1130" s="15" t="str">
        <f t="shared" si="16"/>
        <v>Supplying Electropolished Pipes in Manawar: Availability, Sizes &amp; Dispatch</v>
      </c>
      <c r="AG1130" s="15" t="str">
        <f t="shared" si="17"/>
        <v>Wholesale Electropolished Pipe Supply for Manawar Projects</v>
      </c>
      <c r="AH1130" s="15" t="str">
        <f t="shared" si="18"/>
        <v>electropolished pipes manufacturer in Manawar, electropolished pipes supplier in Manawar, electropolished pipes wholesaler in Manawar, electropolished tube manufacturer Manawar, EP pipe supplier Manawar, sanitary tube supplier Manawar, ASME BPE tubing Manawar, ASTM A270 tube Manawar, SS 316L electropolished pipe Manawar</v>
      </c>
      <c r="AI1130" s="15" t="str">
        <f t="shared" si="19"/>
        <v>Electropolished Pipes Manufacturer &amp; Supplier in Manawar</v>
      </c>
      <c r="AJ1130" s="15" t="str">
        <f t="shared" si="20"/>
        <v>EP-finished SS 304/316L pipes and tubes for VERIFY plants in Manawar. ASME BPE SF1-SF4, Ra from 0.25 um, EN 10204 3.1 certificate with every lot.</v>
      </c>
      <c r="AK1130" s="15" t="str">
        <f t="shared" si="21"/>
        <v>Electropolished stainless steel pipes supplied by Sakshi Forge to VERIFY plants at MPIDC Industrial Area, Manawar</v>
      </c>
      <c r="AL1130" s="15" t="str">
        <f t="shared" si="22"/>
        <v>Electropolished SS 316L tube stock for Manawar - Sakshi Forge</v>
      </c>
      <c r="AM1130" s="15" t="str">
        <f t="shared" si="23"/>
        <v>Home &gt; Market Area &gt; India &gt; Madhya Pradesh &gt; Manawar</v>
      </c>
      <c r="AN1130" s="15">
        <f t="shared" si="24"/>
        <v>750</v>
      </c>
      <c r="AO1130" s="15">
        <f t="shared" si="25"/>
        <v>6</v>
      </c>
      <c r="AP1130" s="15">
        <f t="shared" si="26"/>
        <v>6</v>
      </c>
      <c r="AQ1130" s="15">
        <f t="shared" si="27"/>
        <v>19</v>
      </c>
      <c r="AR1130" s="31"/>
      <c r="AS1130" s="31"/>
      <c r="AT1130" s="35" t="s">
        <v>222</v>
      </c>
      <c r="AU1130" s="35"/>
    </row>
    <row r="1131" ht="15.75" customHeight="1">
      <c r="A1131" s="15" t="s">
        <v>5854</v>
      </c>
      <c r="B1131" s="15" t="s">
        <v>60</v>
      </c>
      <c r="C1131" s="15" t="s">
        <v>842</v>
      </c>
      <c r="D1131" s="15" t="s">
        <v>5855</v>
      </c>
      <c r="E1131" s="15" t="s">
        <v>5855</v>
      </c>
      <c r="F1131" s="58" t="s">
        <v>807</v>
      </c>
      <c r="G1131" s="66" t="s">
        <v>98</v>
      </c>
      <c r="H1131" s="18" t="s">
        <v>5857</v>
      </c>
      <c r="I1131" s="18" t="s">
        <v>8413</v>
      </c>
      <c r="J1131" s="18" t="s">
        <v>98</v>
      </c>
      <c r="K1131" s="18" t="s">
        <v>98</v>
      </c>
      <c r="L1131" s="18" t="s">
        <v>98</v>
      </c>
      <c r="M1131" s="18" t="s">
        <v>98</v>
      </c>
      <c r="N1131" s="18" t="s">
        <v>98</v>
      </c>
      <c r="O1131" s="18" t="s">
        <v>98</v>
      </c>
      <c r="P1131" s="15" t="str">
        <f t="shared" si="1"/>
        <v>VERIFY</v>
      </c>
      <c r="Q1131" s="15">
        <f t="shared" si="2"/>
        <v>8</v>
      </c>
      <c r="R1131" s="15">
        <f t="shared" si="3"/>
        <v>1</v>
      </c>
      <c r="S1131" s="15">
        <f t="shared" si="4"/>
        <v>3</v>
      </c>
      <c r="T1131" s="15" t="str">
        <f t="shared" si="5"/>
        <v>C-6</v>
      </c>
      <c r="U1131" s="15" t="str">
        <f t="shared" si="6"/>
        <v>T8-M1-H3-FC-6-VERIFY</v>
      </c>
      <c r="V1131" s="15">
        <f t="shared" si="7"/>
        <v>0</v>
      </c>
      <c r="W1131" s="31"/>
      <c r="X1131" s="15" t="str">
        <f t="shared" si="8"/>
        <v>mandla</v>
      </c>
      <c r="Y1131" s="32" t="str">
        <f t="shared" si="9"/>
        <v>https://steelmanufacturer.in/market-area/electropolished-pipes-manufacturer-in-mandla/</v>
      </c>
      <c r="Z1131" s="15" t="str">
        <f t="shared" si="10"/>
        <v>Electropolished Pipes Manufacturer in Mandla - EP Tube Stockist</v>
      </c>
      <c r="AA1131" s="15" t="str">
        <f t="shared" si="11"/>
        <v>OK (63)</v>
      </c>
      <c r="AB1131" s="15" t="str">
        <f t="shared" si="12"/>
        <v>EP-finished SS 304/316L pipes &amp; tubes for VERIFY plants in Mandla. ASTM A270, ASME BPE SF1-SF4, EN 10204 3.1 MTC. PMI tested.</v>
      </c>
      <c r="AC1131" s="15" t="str">
        <f t="shared" si="13"/>
        <v>PENDING RESEARCH</v>
      </c>
      <c r="AD1131" s="15" t="str">
        <f t="shared" si="14"/>
        <v>Electropolished Pipes Manufacturer in Mandla</v>
      </c>
      <c r="AE1131" s="15" t="str">
        <f t="shared" si="15"/>
        <v>Electropolished Pipes Manufacturer in Mandla - Our Process &amp; Capability</v>
      </c>
      <c r="AF1131" s="15" t="str">
        <f t="shared" si="16"/>
        <v>Electropolished Pipes Supplier in Mandla - What We Hold in Stock</v>
      </c>
      <c r="AG1131" s="15" t="str">
        <f t="shared" si="17"/>
        <v>Bulk &amp; Wholesale Electropolished Pipe Rates for Mandla Buyers</v>
      </c>
      <c r="AH1131" s="15" t="str">
        <f t="shared" si="18"/>
        <v>electropolished pipes manufacturer in Mandla, electropolished pipes supplier in Mandla, electropolished pipes wholesaler in Mandla, electropolished tube manufacturer Mandla, EP pipe supplier Mandla, sanitary tube supplier Mandla, ASME BPE tubing Mandla, ASTM A270 tube Mandla, SS 316L electropolished pipe Mandla</v>
      </c>
      <c r="AI1131" s="15" t="str">
        <f t="shared" si="19"/>
        <v>Electropolished Pipes Manufacturer &amp; Supplier in Mandla</v>
      </c>
      <c r="AJ1131" s="15" t="str">
        <f t="shared" si="20"/>
        <v>EP-finished SS 304/316L pipes and tubes for VERIFY plants in Mandla. ASME BPE SF1-SF4, Ra from 0.25 um, EN 10204 3.1 certificate with every lot.</v>
      </c>
      <c r="AK1131" s="15" t="str">
        <f t="shared" si="21"/>
        <v>Electropolished stainless steel pipes supplied by Sakshi Forge to VERIFY plants at MPIDC Industrial Area, Mandla</v>
      </c>
      <c r="AL1131" s="15" t="str">
        <f t="shared" si="22"/>
        <v>Electropolished SS 316L tube stock for Mandla - Sakshi Forge</v>
      </c>
      <c r="AM1131" s="15" t="str">
        <f t="shared" si="23"/>
        <v>Home &gt; Market Area &gt; India &gt; Madhya Pradesh &gt; Mandla</v>
      </c>
      <c r="AN1131" s="15">
        <f t="shared" si="24"/>
        <v>750</v>
      </c>
      <c r="AO1131" s="15">
        <f t="shared" si="25"/>
        <v>6</v>
      </c>
      <c r="AP1131" s="15">
        <f t="shared" si="26"/>
        <v>6</v>
      </c>
      <c r="AQ1131" s="15">
        <f t="shared" si="27"/>
        <v>19</v>
      </c>
      <c r="AR1131" s="31"/>
      <c r="AS1131" s="31"/>
      <c r="AT1131" s="35" t="s">
        <v>222</v>
      </c>
      <c r="AU1131" s="35"/>
    </row>
    <row r="1132" ht="15.75" customHeight="1">
      <c r="A1132" s="15" t="s">
        <v>5858</v>
      </c>
      <c r="B1132" s="15" t="s">
        <v>60</v>
      </c>
      <c r="C1132" s="15" t="s">
        <v>224</v>
      </c>
      <c r="D1132" s="15" t="s">
        <v>5859</v>
      </c>
      <c r="E1132" s="15" t="s">
        <v>5859</v>
      </c>
      <c r="F1132" s="58" t="s">
        <v>807</v>
      </c>
      <c r="G1132" s="66" t="s">
        <v>98</v>
      </c>
      <c r="H1132" s="18" t="s">
        <v>5861</v>
      </c>
      <c r="I1132" s="18" t="s">
        <v>8400</v>
      </c>
      <c r="J1132" s="18" t="s">
        <v>98</v>
      </c>
      <c r="K1132" s="18" t="s">
        <v>98</v>
      </c>
      <c r="L1132" s="18" t="s">
        <v>98</v>
      </c>
      <c r="M1132" s="18" t="s">
        <v>98</v>
      </c>
      <c r="N1132" s="18" t="s">
        <v>98</v>
      </c>
      <c r="O1132" s="18" t="s">
        <v>98</v>
      </c>
      <c r="P1132" s="15" t="str">
        <f t="shared" si="1"/>
        <v>VERIFY</v>
      </c>
      <c r="Q1132" s="15">
        <f t="shared" si="2"/>
        <v>1</v>
      </c>
      <c r="R1132" s="15">
        <f t="shared" si="3"/>
        <v>2</v>
      </c>
      <c r="S1132" s="15">
        <f t="shared" si="4"/>
        <v>4</v>
      </c>
      <c r="T1132" s="15" t="str">
        <f t="shared" si="5"/>
        <v>C-1</v>
      </c>
      <c r="U1132" s="15" t="str">
        <f t="shared" si="6"/>
        <v>T1-M2-H4-FC-1-VERIFY</v>
      </c>
      <c r="V1132" s="15">
        <f t="shared" si="7"/>
        <v>0</v>
      </c>
      <c r="W1132" s="31"/>
      <c r="X1132" s="15" t="str">
        <f t="shared" si="8"/>
        <v>mandvi-kutch</v>
      </c>
      <c r="Y1132" s="32" t="str">
        <f t="shared" si="9"/>
        <v>https://steelmanufacturer.in/market-area/electropolished-pipes-manufacturer-in-mandvi-kutch/</v>
      </c>
      <c r="Z1132" s="15" t="str">
        <f t="shared" si="10"/>
        <v>Electropolished Pipes Manufacturer in Mandvi-Kutch | Sakshi Forge</v>
      </c>
      <c r="AA1132" s="15" t="str">
        <f t="shared" si="11"/>
        <v>OK (65)</v>
      </c>
      <c r="AB1132" s="15" t="str">
        <f t="shared" si="12"/>
        <v>Electropolished tube supply to GIDC Industrial Area, Mandvi-Kutch. Ra from 0.25 um, SF4 finish, mill test certificate with every lot.</v>
      </c>
      <c r="AC1132" s="15" t="str">
        <f t="shared" si="13"/>
        <v>PENDING RESEARCH</v>
      </c>
      <c r="AD1132" s="15" t="str">
        <f t="shared" si="14"/>
        <v>Electropolished Pipes Manufacturer in Mandvi-Kutch</v>
      </c>
      <c r="AE1132" s="15" t="str">
        <f t="shared" si="15"/>
        <v>Manufacturing Electropolished SS Tube for Mandvi-Kutch: The Standards We Build To</v>
      </c>
      <c r="AF1132" s="15" t="str">
        <f t="shared" si="16"/>
        <v>Electropolished Pipe Supply Into Mandvi-Kutch - Certification &amp; Transit</v>
      </c>
      <c r="AG1132" s="15" t="str">
        <f t="shared" si="17"/>
        <v>Electropolished Pipes Wholesaler in Mandvi-Kutch - Project Quantities &amp; Terms</v>
      </c>
      <c r="AH1132" s="15" t="str">
        <f t="shared" si="18"/>
        <v>electropolished pipes manufacturer in Mandvi-Kutch, electropolished pipes supplier in Mandvi-Kutch, electropolished pipes wholesaler in Mandvi-Kutch, electropolished tube manufacturer Mandvi-Kutch, EP pipe supplier Mandvi-Kutch, sanitary tube supplier Mandvi-Kutch, ASME BPE tubing Mandvi-Kutch, ASTM A270 tube Mandvi-Kutch, SS 316L electropolished pipe Mandvi-Kutch</v>
      </c>
      <c r="AI1132" s="15" t="str">
        <f t="shared" si="19"/>
        <v>Electropolished Pipes Manufacturer &amp; Supplier in Mandvi-Kutch</v>
      </c>
      <c r="AJ1132" s="15" t="str">
        <f t="shared" si="20"/>
        <v>EP-finished SS 304/316L pipes and tubes for VERIFY plants in Mandvi-Kutch. ASME BPE SF1-SF4, Ra from 0.25 um, EN 10204 3.1 certificate with every lot.</v>
      </c>
      <c r="AK1132" s="15" t="str">
        <f t="shared" si="21"/>
        <v>Electropolished stainless steel pipes supplied by Sakshi Forge to VERIFY plants at GIDC Industrial Area, Mandvi-Kutch</v>
      </c>
      <c r="AL1132" s="15" t="str">
        <f t="shared" si="22"/>
        <v>Electropolished SS 316L tube stock for Mandvi-Kutch - Sakshi Forge</v>
      </c>
      <c r="AM1132" s="15" t="str">
        <f t="shared" si="23"/>
        <v>Home &gt; Market Area &gt; India &gt; Gujarat &gt; Mandvi-Kutch</v>
      </c>
      <c r="AN1132" s="15">
        <f t="shared" si="24"/>
        <v>750</v>
      </c>
      <c r="AO1132" s="15">
        <f t="shared" si="25"/>
        <v>6</v>
      </c>
      <c r="AP1132" s="15">
        <f t="shared" si="26"/>
        <v>6</v>
      </c>
      <c r="AQ1132" s="15">
        <f t="shared" si="27"/>
        <v>19</v>
      </c>
      <c r="AR1132" s="31"/>
      <c r="AS1132" s="31"/>
      <c r="AT1132" s="35" t="s">
        <v>222</v>
      </c>
      <c r="AU1132" s="35"/>
    </row>
    <row r="1133" ht="15.75" customHeight="1">
      <c r="A1133" s="15" t="s">
        <v>5862</v>
      </c>
      <c r="B1133" s="15" t="s">
        <v>60</v>
      </c>
      <c r="C1133" s="15" t="s">
        <v>1818</v>
      </c>
      <c r="D1133" s="15" t="s">
        <v>5863</v>
      </c>
      <c r="E1133" s="15" t="s">
        <v>5863</v>
      </c>
      <c r="F1133" s="58" t="s">
        <v>807</v>
      </c>
      <c r="G1133" s="66" t="s">
        <v>98</v>
      </c>
      <c r="H1133" s="18" t="s">
        <v>5865</v>
      </c>
      <c r="I1133" s="18" t="s">
        <v>8402</v>
      </c>
      <c r="J1133" s="18" t="s">
        <v>98</v>
      </c>
      <c r="K1133" s="18" t="s">
        <v>98</v>
      </c>
      <c r="L1133" s="18" t="s">
        <v>98</v>
      </c>
      <c r="M1133" s="18" t="s">
        <v>98</v>
      </c>
      <c r="N1133" s="18" t="s">
        <v>98</v>
      </c>
      <c r="O1133" s="18" t="s">
        <v>98</v>
      </c>
      <c r="P1133" s="15" t="str">
        <f t="shared" si="1"/>
        <v>VERIFY</v>
      </c>
      <c r="Q1133" s="15">
        <f t="shared" si="2"/>
        <v>2</v>
      </c>
      <c r="R1133" s="15">
        <f t="shared" si="3"/>
        <v>3</v>
      </c>
      <c r="S1133" s="15">
        <f t="shared" si="4"/>
        <v>5</v>
      </c>
      <c r="T1133" s="15" t="str">
        <f t="shared" si="5"/>
        <v>C-2</v>
      </c>
      <c r="U1133" s="15" t="str">
        <f t="shared" si="6"/>
        <v>T2-M3-H5-FC-2-VERIFY</v>
      </c>
      <c r="V1133" s="15">
        <f t="shared" si="7"/>
        <v>0</v>
      </c>
      <c r="W1133" s="31"/>
      <c r="X1133" s="15" t="str">
        <f t="shared" si="8"/>
        <v>maner</v>
      </c>
      <c r="Y1133" s="32" t="str">
        <f t="shared" si="9"/>
        <v>https://steelmanufacturer.in/market-area/electropolished-pipes-manufacturer-in-maner/</v>
      </c>
      <c r="Z1133" s="15" t="str">
        <f t="shared" si="10"/>
        <v>Electropolished Pipes Manufacturer in Maner</v>
      </c>
      <c r="AA1133" s="15" t="str">
        <f t="shared" si="11"/>
        <v>OK (43)</v>
      </c>
      <c r="AB1133" s="15" t="str">
        <f t="shared" si="12"/>
        <v>EP stainless tube for VERIFY lines in Maner. VERIFY. ASTM A270 S2, PMI tested, EN 10204 3.1.</v>
      </c>
      <c r="AC1133" s="15" t="str">
        <f t="shared" si="13"/>
        <v>PENDING RESEARCH</v>
      </c>
      <c r="AD1133" s="15" t="str">
        <f t="shared" si="14"/>
        <v>Electropolished Pipes Manufacturer in Maner</v>
      </c>
      <c r="AE1133" s="15" t="str">
        <f t="shared" si="15"/>
        <v>Electropolished Tube Manufacturing Capability Serving Maner</v>
      </c>
      <c r="AF1133" s="15" t="str">
        <f t="shared" si="16"/>
        <v>Electropolished Pipes Supplier in Maner - From Order to Delivery</v>
      </c>
      <c r="AG1133" s="15" t="str">
        <f t="shared" si="17"/>
        <v>Stockist &amp; Wholesale Supply of Electropolished Pipes in Maner</v>
      </c>
      <c r="AH1133" s="15" t="str">
        <f t="shared" si="18"/>
        <v>electropolished pipes manufacturer in Maner, electropolished pipes supplier in Maner, electropolished pipes wholesaler in Maner, electropolished tube manufacturer Maner, EP pipe supplier Maner, sanitary tube supplier Maner, ASME BPE tubing Maner, ASTM A270 tube Maner, SS 316L electropolished pipe Maner</v>
      </c>
      <c r="AI1133" s="15" t="str">
        <f t="shared" si="19"/>
        <v>Electropolished Pipes Manufacturer &amp; Supplier in Maner</v>
      </c>
      <c r="AJ1133" s="15" t="str">
        <f t="shared" si="20"/>
        <v>EP-finished SS 304/316L pipes and tubes for VERIFY plants in Maner. ASME BPE SF1-SF4, Ra from 0.25 um, EN 10204 3.1 certificate with every lot.</v>
      </c>
      <c r="AK1133" s="15" t="str">
        <f t="shared" si="21"/>
        <v>Electropolished stainless steel pipes supplied by Sakshi Forge to VERIFY plants at BIADA Industrial Area, Maner</v>
      </c>
      <c r="AL1133" s="15" t="str">
        <f t="shared" si="22"/>
        <v>Electropolished SS 316L tube stock for Maner - Sakshi Forge</v>
      </c>
      <c r="AM1133" s="15" t="str">
        <f t="shared" si="23"/>
        <v>Home &gt; Market Area &gt; India &gt; Bihar &gt; Maner</v>
      </c>
      <c r="AN1133" s="15">
        <f t="shared" si="24"/>
        <v>750</v>
      </c>
      <c r="AO1133" s="15">
        <f t="shared" si="25"/>
        <v>6</v>
      </c>
      <c r="AP1133" s="15">
        <f t="shared" si="26"/>
        <v>6</v>
      </c>
      <c r="AQ1133" s="15">
        <f t="shared" si="27"/>
        <v>19</v>
      </c>
      <c r="AR1133" s="31"/>
      <c r="AS1133" s="31"/>
      <c r="AT1133" s="35" t="s">
        <v>222</v>
      </c>
      <c r="AU1133" s="35"/>
    </row>
    <row r="1134" ht="15.75" customHeight="1">
      <c r="A1134" s="15" t="s">
        <v>5866</v>
      </c>
      <c r="B1134" s="15" t="s">
        <v>60</v>
      </c>
      <c r="C1134" s="15" t="s">
        <v>224</v>
      </c>
      <c r="D1134" s="15" t="s">
        <v>5867</v>
      </c>
      <c r="E1134" s="15" t="s">
        <v>5867</v>
      </c>
      <c r="F1134" s="58" t="s">
        <v>807</v>
      </c>
      <c r="G1134" s="66" t="s">
        <v>98</v>
      </c>
      <c r="H1134" s="18" t="s">
        <v>5869</v>
      </c>
      <c r="I1134" s="18" t="s">
        <v>8400</v>
      </c>
      <c r="J1134" s="18" t="s">
        <v>98</v>
      </c>
      <c r="K1134" s="18" t="s">
        <v>98</v>
      </c>
      <c r="L1134" s="18" t="s">
        <v>98</v>
      </c>
      <c r="M1134" s="18" t="s">
        <v>98</v>
      </c>
      <c r="N1134" s="18" t="s">
        <v>98</v>
      </c>
      <c r="O1134" s="18" t="s">
        <v>98</v>
      </c>
      <c r="P1134" s="15" t="str">
        <f t="shared" si="1"/>
        <v>VERIFY</v>
      </c>
      <c r="Q1134" s="15">
        <f t="shared" si="2"/>
        <v>3</v>
      </c>
      <c r="R1134" s="15">
        <f t="shared" si="3"/>
        <v>4</v>
      </c>
      <c r="S1134" s="15">
        <f t="shared" si="4"/>
        <v>1</v>
      </c>
      <c r="T1134" s="15" t="str">
        <f t="shared" si="5"/>
        <v>C-3</v>
      </c>
      <c r="U1134" s="15" t="str">
        <f t="shared" si="6"/>
        <v>T3-M4-H1-FC-3-VERIFY</v>
      </c>
      <c r="V1134" s="15">
        <f t="shared" si="7"/>
        <v>0</v>
      </c>
      <c r="W1134" s="31"/>
      <c r="X1134" s="15" t="str">
        <f t="shared" si="8"/>
        <v>mangrol-surat</v>
      </c>
      <c r="Y1134" s="32" t="str">
        <f t="shared" si="9"/>
        <v>https://steelmanufacturer.in/market-area/electropolished-pipes-manufacturer-in-mangrol-surat/</v>
      </c>
      <c r="Z1134" s="15" t="str">
        <f t="shared" si="10"/>
        <v>Electropolished Pipes Manufacturer in Mangrol-Surat</v>
      </c>
      <c r="AA1134" s="15" t="str">
        <f t="shared" si="11"/>
        <v>OK (51)</v>
      </c>
      <c r="AB1134" s="15" t="str">
        <f t="shared" si="12"/>
        <v>Sanitary electropolished pipes in Mangrol-Surat for VERIFY plants. ASME BPE SF1-SF4, orbital-weld ready, 3.1 MTC. Mumbai-made.</v>
      </c>
      <c r="AC1134" s="15" t="str">
        <f t="shared" si="13"/>
        <v>PENDING RESEARCH</v>
      </c>
      <c r="AD1134" s="15" t="str">
        <f t="shared" si="14"/>
        <v>Electropolished Pipes Manufacturer in Mangrol-Surat</v>
      </c>
      <c r="AE1134" s="15" t="str">
        <f t="shared" si="15"/>
        <v>Electropolished Pipe &amp; Tube Manufacturing for Mangrol-Surat - Grades, Finishes &amp; Certification</v>
      </c>
      <c r="AF1134" s="15" t="str">
        <f t="shared" si="16"/>
        <v>Electropolished Pipes Supplier in Mangrol-Surat - Stock Sizes, Lead Time &amp; Delivery</v>
      </c>
      <c r="AG1134" s="15" t="str">
        <f t="shared" si="17"/>
        <v>Electropolished Pipes Wholesaler &amp; Stockist in Mangrol-Surat - Bulk &amp; Project Pricing</v>
      </c>
      <c r="AH1134" s="15" t="str">
        <f t="shared" si="18"/>
        <v>electropolished pipes manufacturer in Mangrol-Surat, electropolished pipes supplier in Mangrol-Surat, electropolished pipes wholesaler in Mangrol-Surat, electropolished tube manufacturer Mangrol-Surat, EP pipe supplier Mangrol-Surat, sanitary tube supplier Mangrol-Surat, ASME BPE tubing Mangrol-Surat, ASTM A270 tube Mangrol-Surat, SS 316L electropolished pipe Mangrol-Surat</v>
      </c>
      <c r="AI1134" s="15" t="str">
        <f t="shared" si="19"/>
        <v>Electropolished Pipes Manufacturer &amp; Supplier in Mangrol-Surat</v>
      </c>
      <c r="AJ1134" s="15" t="str">
        <f t="shared" si="20"/>
        <v>EP-finished SS 304/316L pipes and tubes for VERIFY plants in Mangrol-Surat. ASME BPE SF1-SF4, Ra from 0.25 um, EN 10204 3.1 certificate with every lot.</v>
      </c>
      <c r="AK1134" s="15" t="str">
        <f t="shared" si="21"/>
        <v>Electropolished stainless steel pipes supplied by Sakshi Forge to VERIFY plants at GIDC Industrial Area, Mangrol-Surat</v>
      </c>
      <c r="AL1134" s="15" t="str">
        <f t="shared" si="22"/>
        <v>Electropolished SS 316L tube stock for Mangrol-Surat - Sakshi Forge</v>
      </c>
      <c r="AM1134" s="15" t="str">
        <f t="shared" si="23"/>
        <v>Home &gt; Market Area &gt; India &gt; Gujarat &gt; Mangrol-Surat</v>
      </c>
      <c r="AN1134" s="15">
        <f t="shared" si="24"/>
        <v>750</v>
      </c>
      <c r="AO1134" s="15">
        <f t="shared" si="25"/>
        <v>6</v>
      </c>
      <c r="AP1134" s="15">
        <f t="shared" si="26"/>
        <v>6</v>
      </c>
      <c r="AQ1134" s="15">
        <f t="shared" si="27"/>
        <v>19</v>
      </c>
      <c r="AR1134" s="31"/>
      <c r="AS1134" s="31"/>
      <c r="AT1134" s="35" t="s">
        <v>222</v>
      </c>
      <c r="AU1134" s="35"/>
    </row>
    <row r="1135" ht="15.75" customHeight="1">
      <c r="A1135" s="15" t="s">
        <v>5870</v>
      </c>
      <c r="B1135" s="15" t="s">
        <v>60</v>
      </c>
      <c r="C1135" s="15" t="s">
        <v>264</v>
      </c>
      <c r="D1135" s="15" t="s">
        <v>5871</v>
      </c>
      <c r="E1135" s="15" t="s">
        <v>5871</v>
      </c>
      <c r="F1135" s="58" t="s">
        <v>807</v>
      </c>
      <c r="G1135" s="66" t="s">
        <v>98</v>
      </c>
      <c r="H1135" s="18" t="s">
        <v>5876</v>
      </c>
      <c r="I1135" s="18" t="s">
        <v>8395</v>
      </c>
      <c r="J1135" s="18" t="s">
        <v>98</v>
      </c>
      <c r="K1135" s="18" t="s">
        <v>98</v>
      </c>
      <c r="L1135" s="18" t="s">
        <v>98</v>
      </c>
      <c r="M1135" s="18" t="s">
        <v>98</v>
      </c>
      <c r="N1135" s="18" t="s">
        <v>98</v>
      </c>
      <c r="O1135" s="18" t="s">
        <v>98</v>
      </c>
      <c r="P1135" s="15" t="str">
        <f t="shared" si="1"/>
        <v>VERIFY</v>
      </c>
      <c r="Q1135" s="15">
        <f t="shared" si="2"/>
        <v>4</v>
      </c>
      <c r="R1135" s="15">
        <f t="shared" si="3"/>
        <v>5</v>
      </c>
      <c r="S1135" s="15">
        <f t="shared" si="4"/>
        <v>2</v>
      </c>
      <c r="T1135" s="15" t="str">
        <f t="shared" si="5"/>
        <v>C-4</v>
      </c>
      <c r="U1135" s="15" t="str">
        <f t="shared" si="6"/>
        <v>T4-M5-H2-FC-4-VERIFY</v>
      </c>
      <c r="V1135" s="15">
        <f t="shared" si="7"/>
        <v>0</v>
      </c>
      <c r="W1135" s="31"/>
      <c r="X1135" s="15" t="str">
        <f t="shared" si="8"/>
        <v>manmad</v>
      </c>
      <c r="Y1135" s="32" t="str">
        <f t="shared" si="9"/>
        <v>https://steelmanufacturer.in/market-area/electropolished-pipes-manufacturer-in-manmad/</v>
      </c>
      <c r="Z1135" s="15" t="str">
        <f t="shared" si="10"/>
        <v>Electropolished Pipes Manufacturer in Manmad</v>
      </c>
      <c r="AA1135" s="15" t="str">
        <f t="shared" si="11"/>
        <v>OK (44)</v>
      </c>
      <c r="AB1135" s="15" t="str">
        <f t="shared" si="12"/>
        <v>Manufacturer of electropolished SS 316L tube serving Manmad. VERIFY. Ra 0.25-0.5 um, EN 10204 3.1 MTC.</v>
      </c>
      <c r="AC1135" s="15" t="str">
        <f t="shared" si="13"/>
        <v>PENDING RESEARCH</v>
      </c>
      <c r="AD1135" s="15" t="str">
        <f t="shared" si="14"/>
        <v>Electropolished Pipes Manufacturer in Manmad</v>
      </c>
      <c r="AE1135" s="15" t="str">
        <f t="shared" si="15"/>
        <v>How We Manufacture Electropolished Tube for Manmad Plants</v>
      </c>
      <c r="AF1135" s="15" t="str">
        <f t="shared" si="16"/>
        <v>Supplying Electropolished Pipes in Manmad: Availability, Sizes &amp; Dispatch</v>
      </c>
      <c r="AG1135" s="15" t="str">
        <f t="shared" si="17"/>
        <v>Wholesale Electropolished Pipe Supply for Manmad Projects</v>
      </c>
      <c r="AH1135" s="15" t="str">
        <f t="shared" si="18"/>
        <v>electropolished pipes manufacturer in Manmad, electropolished pipes supplier in Manmad, electropolished pipes wholesaler in Manmad, electropolished tube manufacturer Manmad, EP pipe supplier Manmad, sanitary tube supplier Manmad, ASME BPE tubing Manmad, ASTM A270 tube Manmad, SS 316L electropolished pipe Manmad</v>
      </c>
      <c r="AI1135" s="15" t="str">
        <f t="shared" si="19"/>
        <v>Electropolished Pipes Manufacturer &amp; Supplier in Manmad</v>
      </c>
      <c r="AJ1135" s="15" t="str">
        <f t="shared" si="20"/>
        <v>EP-finished SS 304/316L pipes and tubes for VERIFY plants in Manmad. ASME BPE SF1-SF4, Ra from 0.25 um, EN 10204 3.1 certificate with every lot.</v>
      </c>
      <c r="AK1135" s="15" t="str">
        <f t="shared" si="21"/>
        <v>Electropolished stainless steel pipes supplied by Sakshi Forge to VERIFY plants at MIDC Industrial Area, Manmad</v>
      </c>
      <c r="AL1135" s="15" t="str">
        <f t="shared" si="22"/>
        <v>Electropolished SS 316L tube stock for Manmad - Sakshi Forge</v>
      </c>
      <c r="AM1135" s="15" t="str">
        <f t="shared" si="23"/>
        <v>Home &gt; Market Area &gt; India &gt; Maharashtra &gt; Manmad</v>
      </c>
      <c r="AN1135" s="15">
        <f t="shared" si="24"/>
        <v>750</v>
      </c>
      <c r="AO1135" s="15">
        <f t="shared" si="25"/>
        <v>6</v>
      </c>
      <c r="AP1135" s="15">
        <f t="shared" si="26"/>
        <v>6</v>
      </c>
      <c r="AQ1135" s="15">
        <f t="shared" si="27"/>
        <v>19</v>
      </c>
      <c r="AR1135" s="31"/>
      <c r="AS1135" s="31"/>
      <c r="AT1135" s="35" t="s">
        <v>222</v>
      </c>
      <c r="AU1135" s="35"/>
    </row>
    <row r="1136" ht="15.75" customHeight="1">
      <c r="A1136" s="15" t="s">
        <v>5879</v>
      </c>
      <c r="B1136" s="15" t="s">
        <v>60</v>
      </c>
      <c r="C1136" s="15" t="s">
        <v>1312</v>
      </c>
      <c r="D1136" s="15" t="s">
        <v>5881</v>
      </c>
      <c r="E1136" s="15" t="s">
        <v>5881</v>
      </c>
      <c r="F1136" s="58" t="s">
        <v>807</v>
      </c>
      <c r="G1136" s="66" t="s">
        <v>98</v>
      </c>
      <c r="H1136" s="18" t="s">
        <v>5884</v>
      </c>
      <c r="I1136" s="18" t="s">
        <v>8392</v>
      </c>
      <c r="J1136" s="18" t="s">
        <v>98</v>
      </c>
      <c r="K1136" s="18" t="s">
        <v>98</v>
      </c>
      <c r="L1136" s="18" t="s">
        <v>98</v>
      </c>
      <c r="M1136" s="18" t="s">
        <v>98</v>
      </c>
      <c r="N1136" s="18" t="s">
        <v>98</v>
      </c>
      <c r="O1136" s="18" t="s">
        <v>98</v>
      </c>
      <c r="P1136" s="15" t="str">
        <f t="shared" si="1"/>
        <v>VERIFY</v>
      </c>
      <c r="Q1136" s="15">
        <f t="shared" si="2"/>
        <v>5</v>
      </c>
      <c r="R1136" s="15">
        <f t="shared" si="3"/>
        <v>6</v>
      </c>
      <c r="S1136" s="15">
        <f t="shared" si="4"/>
        <v>3</v>
      </c>
      <c r="T1136" s="15" t="str">
        <f t="shared" si="5"/>
        <v>C-5</v>
      </c>
      <c r="U1136" s="15" t="str">
        <f t="shared" si="6"/>
        <v>T5-M6-H3-FC-5-VERIFY</v>
      </c>
      <c r="V1136" s="15">
        <f t="shared" si="7"/>
        <v>0</v>
      </c>
      <c r="W1136" s="31"/>
      <c r="X1136" s="15" t="str">
        <f t="shared" si="8"/>
        <v>manoharabad</v>
      </c>
      <c r="Y1136" s="32" t="str">
        <f t="shared" si="9"/>
        <v>https://steelmanufacturer.in/market-area/electropolished-pipes-manufacturer-in-manoharabad/</v>
      </c>
      <c r="Z1136" s="15" t="str">
        <f t="shared" si="10"/>
        <v>Electropolished Pipes Manufacturer in Manoharabad</v>
      </c>
      <c r="AA1136" s="15" t="str">
        <f t="shared" si="11"/>
        <v>OK (49)</v>
      </c>
      <c r="AB1136" s="15" t="str">
        <f t="shared" si="12"/>
        <v>EP tube and pipe for VERIFY plants around TSIIC Industrial Area, Manoharabad. Made at our Mumbai works to ASTM A270 and ASME BPE SF1-SF4, with 3.1 MTC.</v>
      </c>
      <c r="AC1136" s="15" t="str">
        <f t="shared" si="13"/>
        <v>PENDING RESEARCH</v>
      </c>
      <c r="AD1136" s="15" t="str">
        <f t="shared" si="14"/>
        <v>Electropolished Pipes Manufacturer in Manoharabad</v>
      </c>
      <c r="AE1136" s="15" t="str">
        <f t="shared" si="15"/>
        <v>Electropolished Pipes Manufacturer in Manoharabad - Our Process &amp; Capability</v>
      </c>
      <c r="AF1136" s="15" t="str">
        <f t="shared" si="16"/>
        <v>Electropolished Pipes Supplier in Manoharabad - What We Hold in Stock</v>
      </c>
      <c r="AG1136" s="15" t="str">
        <f t="shared" si="17"/>
        <v>Bulk &amp; Wholesale Electropolished Pipe Rates for Manoharabad Buyers</v>
      </c>
      <c r="AH1136" s="15" t="str">
        <f t="shared" si="18"/>
        <v>electropolished pipes manufacturer in Manoharabad, electropolished pipes supplier in Manoharabad, electropolished pipes wholesaler in Manoharabad, electropolished tube manufacturer Manoharabad, EP pipe supplier Manoharabad, sanitary tube supplier Manoharabad, ASME BPE tubing Manoharabad, ASTM A270 tube Manoharabad, SS 316L electropolished pipe Manoharabad</v>
      </c>
      <c r="AI1136" s="15" t="str">
        <f t="shared" si="19"/>
        <v>Electropolished Pipes Manufacturer &amp; Supplier in Manoharabad</v>
      </c>
      <c r="AJ1136" s="15" t="str">
        <f t="shared" si="20"/>
        <v>EP-finished SS 304/316L pipes and tubes for VERIFY plants in Manoharabad. ASME BPE SF1-SF4, Ra from 0.25 um, EN 10204 3.1 certificate with every lot.</v>
      </c>
      <c r="AK1136" s="15" t="str">
        <f t="shared" si="21"/>
        <v>Electropolished stainless steel pipes supplied by Sakshi Forge to VERIFY plants at TSIIC Industrial Area, Manoharabad</v>
      </c>
      <c r="AL1136" s="15" t="str">
        <f t="shared" si="22"/>
        <v>Electropolished SS 316L tube stock for Manoharabad - Sakshi Forge</v>
      </c>
      <c r="AM1136" s="15" t="str">
        <f t="shared" si="23"/>
        <v>Home &gt; Market Area &gt; India &gt; Telangana &gt; Manoharabad</v>
      </c>
      <c r="AN1136" s="15">
        <f t="shared" si="24"/>
        <v>750</v>
      </c>
      <c r="AO1136" s="15">
        <f t="shared" si="25"/>
        <v>6</v>
      </c>
      <c r="AP1136" s="15">
        <f t="shared" si="26"/>
        <v>6</v>
      </c>
      <c r="AQ1136" s="15">
        <f t="shared" si="27"/>
        <v>19</v>
      </c>
      <c r="AR1136" s="31"/>
      <c r="AS1136" s="31"/>
      <c r="AT1136" s="35" t="s">
        <v>222</v>
      </c>
      <c r="AU1136" s="35"/>
    </row>
    <row r="1137" ht="15.75" customHeight="1">
      <c r="A1137" s="15" t="s">
        <v>5885</v>
      </c>
      <c r="B1137" s="15" t="s">
        <v>60</v>
      </c>
      <c r="C1137" s="15" t="s">
        <v>264</v>
      </c>
      <c r="D1137" s="15" t="s">
        <v>5886</v>
      </c>
      <c r="E1137" s="15" t="s">
        <v>5886</v>
      </c>
      <c r="F1137" s="58" t="s">
        <v>807</v>
      </c>
      <c r="G1137" s="66" t="s">
        <v>98</v>
      </c>
      <c r="H1137" s="18" t="s">
        <v>5888</v>
      </c>
      <c r="I1137" s="18" t="s">
        <v>8395</v>
      </c>
      <c r="J1137" s="18" t="s">
        <v>98</v>
      </c>
      <c r="K1137" s="18" t="s">
        <v>98</v>
      </c>
      <c r="L1137" s="18" t="s">
        <v>98</v>
      </c>
      <c r="M1137" s="18" t="s">
        <v>98</v>
      </c>
      <c r="N1137" s="18" t="s">
        <v>98</v>
      </c>
      <c r="O1137" s="18" t="s">
        <v>98</v>
      </c>
      <c r="P1137" s="15" t="str">
        <f t="shared" si="1"/>
        <v>VERIFY</v>
      </c>
      <c r="Q1137" s="15">
        <f t="shared" si="2"/>
        <v>6</v>
      </c>
      <c r="R1137" s="15">
        <f t="shared" si="3"/>
        <v>7</v>
      </c>
      <c r="S1137" s="15">
        <f t="shared" si="4"/>
        <v>4</v>
      </c>
      <c r="T1137" s="15" t="str">
        <f t="shared" si="5"/>
        <v>C-6</v>
      </c>
      <c r="U1137" s="15" t="str">
        <f t="shared" si="6"/>
        <v>T6-M7-H4-FC-6-VERIFY</v>
      </c>
      <c r="V1137" s="15">
        <f t="shared" si="7"/>
        <v>0</v>
      </c>
      <c r="W1137" s="31"/>
      <c r="X1137" s="15" t="str">
        <f t="shared" si="8"/>
        <v>manwath</v>
      </c>
      <c r="Y1137" s="32" t="str">
        <f t="shared" si="9"/>
        <v>https://steelmanufacturer.in/market-area/electropolished-pipes-manufacturer-in-manwath/</v>
      </c>
      <c r="Z1137" s="15" t="str">
        <f t="shared" si="10"/>
        <v>Electropolished Pipes Manufacturer in Manwath</v>
      </c>
      <c r="AA1137" s="15" t="str">
        <f t="shared" si="11"/>
        <v>OK (45)</v>
      </c>
      <c r="AB1137" s="15" t="str">
        <f t="shared" si="12"/>
        <v>Electropolished pipes in Manwath: 304, 304L, 316 and 316L in SF1-SF4. VERIFY. Mill certified.</v>
      </c>
      <c r="AC1137" s="15" t="str">
        <f t="shared" si="13"/>
        <v>PENDING RESEARCH</v>
      </c>
      <c r="AD1137" s="15" t="str">
        <f t="shared" si="14"/>
        <v>Electropolished Pipes Manufacturer in Manwath</v>
      </c>
      <c r="AE1137" s="15" t="str">
        <f t="shared" si="15"/>
        <v>Manufacturing Electropolished SS Tube for Manwath: The Standards We Build To</v>
      </c>
      <c r="AF1137" s="15" t="str">
        <f t="shared" si="16"/>
        <v>Electropolished Pipe Supply Into Manwath - Certification &amp; Transit</v>
      </c>
      <c r="AG1137" s="15" t="str">
        <f t="shared" si="17"/>
        <v>Electropolished Pipes Wholesaler in Manwath - Project Quantities &amp; Terms</v>
      </c>
      <c r="AH1137" s="15" t="str">
        <f t="shared" si="18"/>
        <v>electropolished pipes manufacturer in Manwath, electropolished pipes supplier in Manwath, electropolished pipes wholesaler in Manwath, electropolished tube manufacturer Manwath, EP pipe supplier Manwath, sanitary tube supplier Manwath, ASME BPE tubing Manwath, ASTM A270 tube Manwath, SS 316L electropolished pipe Manwath</v>
      </c>
      <c r="AI1137" s="15" t="str">
        <f t="shared" si="19"/>
        <v>Electropolished Pipes Manufacturer &amp; Supplier in Manwath</v>
      </c>
      <c r="AJ1137" s="15" t="str">
        <f t="shared" si="20"/>
        <v>EP-finished SS 304/316L pipes and tubes for VERIFY plants in Manwath. ASME BPE SF1-SF4, Ra from 0.25 um, EN 10204 3.1 certificate with every lot.</v>
      </c>
      <c r="AK1137" s="15" t="str">
        <f t="shared" si="21"/>
        <v>Electropolished stainless steel pipes supplied by Sakshi Forge to VERIFY plants at MIDC Industrial Area, Manwath</v>
      </c>
      <c r="AL1137" s="15" t="str">
        <f t="shared" si="22"/>
        <v>Electropolished SS 316L tube stock for Manwath - Sakshi Forge</v>
      </c>
      <c r="AM1137" s="15" t="str">
        <f t="shared" si="23"/>
        <v>Home &gt; Market Area &gt; India &gt; Maharashtra &gt; Manwath</v>
      </c>
      <c r="AN1137" s="15">
        <f t="shared" si="24"/>
        <v>750</v>
      </c>
      <c r="AO1137" s="15">
        <f t="shared" si="25"/>
        <v>6</v>
      </c>
      <c r="AP1137" s="15">
        <f t="shared" si="26"/>
        <v>6</v>
      </c>
      <c r="AQ1137" s="15">
        <f t="shared" si="27"/>
        <v>19</v>
      </c>
      <c r="AR1137" s="31"/>
      <c r="AS1137" s="31"/>
      <c r="AT1137" s="35" t="s">
        <v>222</v>
      </c>
      <c r="AU1137" s="35"/>
    </row>
    <row r="1138" ht="15.75" customHeight="1">
      <c r="A1138" s="15" t="s">
        <v>5889</v>
      </c>
      <c r="B1138" s="15" t="s">
        <v>60</v>
      </c>
      <c r="C1138" s="15" t="s">
        <v>958</v>
      </c>
      <c r="D1138" s="15" t="s">
        <v>5890</v>
      </c>
      <c r="E1138" s="15" t="s">
        <v>5890</v>
      </c>
      <c r="F1138" s="58" t="s">
        <v>807</v>
      </c>
      <c r="G1138" s="66" t="s">
        <v>98</v>
      </c>
      <c r="H1138" s="18" t="s">
        <v>5892</v>
      </c>
      <c r="I1138" s="18" t="s">
        <v>8403</v>
      </c>
      <c r="J1138" s="18" t="s">
        <v>98</v>
      </c>
      <c r="K1138" s="18" t="s">
        <v>98</v>
      </c>
      <c r="L1138" s="18" t="s">
        <v>98</v>
      </c>
      <c r="M1138" s="18" t="s">
        <v>98</v>
      </c>
      <c r="N1138" s="18" t="s">
        <v>98</v>
      </c>
      <c r="O1138" s="18" t="s">
        <v>98</v>
      </c>
      <c r="P1138" s="15" t="str">
        <f t="shared" si="1"/>
        <v>VERIFY</v>
      </c>
      <c r="Q1138" s="15">
        <f t="shared" si="2"/>
        <v>7</v>
      </c>
      <c r="R1138" s="15">
        <f t="shared" si="3"/>
        <v>1</v>
      </c>
      <c r="S1138" s="15">
        <f t="shared" si="4"/>
        <v>5</v>
      </c>
      <c r="T1138" s="15" t="str">
        <f t="shared" si="5"/>
        <v>C-1</v>
      </c>
      <c r="U1138" s="15" t="str">
        <f t="shared" si="6"/>
        <v>T7-M1-H5-FC-1-VERIFY</v>
      </c>
      <c r="V1138" s="15">
        <f t="shared" si="7"/>
        <v>0</v>
      </c>
      <c r="W1138" s="31"/>
      <c r="X1138" s="15" t="str">
        <f t="shared" si="8"/>
        <v>maraimalai-nagar</v>
      </c>
      <c r="Y1138" s="32" t="str">
        <f t="shared" si="9"/>
        <v>https://steelmanufacturer.in/market-area/electropolished-pipes-manufacturer-in-maraimalai-nagar/</v>
      </c>
      <c r="Z1138" s="15" t="str">
        <f t="shared" si="10"/>
        <v>Electropolished Pipes Manufacturer in Maraimalai Nagar</v>
      </c>
      <c r="AA1138" s="15" t="str">
        <f t="shared" si="11"/>
        <v>OK (54)</v>
      </c>
      <c r="AB1138" s="15" t="str">
        <f t="shared" si="12"/>
        <v>EP-finished SS 304/316L pipes &amp; tubes for VERIFY plants in Maraimalai Nagar. ASTM A270, ASME BPE SF1-SF4, EN 10204 3.1 MTC. PMI tested.</v>
      </c>
      <c r="AC1138" s="15" t="str">
        <f t="shared" si="13"/>
        <v>PENDING RESEARCH</v>
      </c>
      <c r="AD1138" s="15" t="str">
        <f t="shared" si="14"/>
        <v>Electropolished Pipes Manufacturer in Maraimalai Nagar</v>
      </c>
      <c r="AE1138" s="15" t="str">
        <f t="shared" si="15"/>
        <v>Electropolished Tube Manufacturing Capability Serving Maraimalai Nagar</v>
      </c>
      <c r="AF1138" s="15" t="str">
        <f t="shared" si="16"/>
        <v>Electropolished Pipes Supplier in Maraimalai Nagar - From Order to Delivery</v>
      </c>
      <c r="AG1138" s="15" t="str">
        <f t="shared" si="17"/>
        <v>Stockist &amp; Wholesale Supply of Electropolished Pipes in Maraimalai Nagar</v>
      </c>
      <c r="AH1138" s="15" t="str">
        <f t="shared" si="18"/>
        <v>electropolished pipes manufacturer in Maraimalai Nagar, electropolished pipes supplier in Maraimalai Nagar, electropolished pipes wholesaler in Maraimalai Nagar, electropolished tube manufacturer Maraimalai Nagar, EP pipe supplier Maraimalai Nagar, sanitary tube supplier Maraimalai Nagar, ASME BPE tubing Maraimalai Nagar, ASTM A270 tube Maraimalai Nagar, SS 316L electropolished pipe Maraimalai Nagar</v>
      </c>
      <c r="AI1138" s="15" t="str">
        <f t="shared" si="19"/>
        <v>Electropolished Pipes Manufacturer &amp; Supplier in Maraimalai Nagar</v>
      </c>
      <c r="AJ1138" s="15" t="str">
        <f t="shared" si="20"/>
        <v>EP-finished SS 304/316L pipes and tubes for VERIFY plants in Maraimalai Nagar. ASME BPE SF1-SF4, Ra from 0.25 um, EN 10204 3.1 certificate with every lot.</v>
      </c>
      <c r="AK1138" s="15" t="str">
        <f t="shared" si="21"/>
        <v>Electropolished stainless steel pipes supplied by Sakshi Forge to VERIFY plants at SIPCOT Industrial Area, Maraimalai Nagar</v>
      </c>
      <c r="AL1138" s="15" t="str">
        <f t="shared" si="22"/>
        <v>Electropolished SS 316L tube stock for Maraimalai Nagar - Sakshi Forge</v>
      </c>
      <c r="AM1138" s="15" t="str">
        <f t="shared" si="23"/>
        <v>Home &gt; Market Area &gt; India &gt; Tamil Nadu &gt; Maraimalai Nagar</v>
      </c>
      <c r="AN1138" s="15">
        <f t="shared" si="24"/>
        <v>750</v>
      </c>
      <c r="AO1138" s="15">
        <f t="shared" si="25"/>
        <v>6</v>
      </c>
      <c r="AP1138" s="15">
        <f t="shared" si="26"/>
        <v>6</v>
      </c>
      <c r="AQ1138" s="15">
        <f t="shared" si="27"/>
        <v>19</v>
      </c>
      <c r="AR1138" s="31"/>
      <c r="AS1138" s="31"/>
      <c r="AT1138" s="35" t="s">
        <v>222</v>
      </c>
      <c r="AU1138" s="35"/>
    </row>
    <row r="1139" ht="15.75" customHeight="1">
      <c r="A1139" s="15" t="s">
        <v>5893</v>
      </c>
      <c r="B1139" s="15" t="s">
        <v>60</v>
      </c>
      <c r="C1139" s="15" t="s">
        <v>1818</v>
      </c>
      <c r="D1139" s="15" t="s">
        <v>5894</v>
      </c>
      <c r="E1139" s="15" t="s">
        <v>5894</v>
      </c>
      <c r="F1139" s="58" t="s">
        <v>807</v>
      </c>
      <c r="G1139" s="66" t="s">
        <v>98</v>
      </c>
      <c r="H1139" s="18" t="s">
        <v>5896</v>
      </c>
      <c r="I1139" s="18" t="s">
        <v>8402</v>
      </c>
      <c r="J1139" s="18" t="s">
        <v>98</v>
      </c>
      <c r="K1139" s="18" t="s">
        <v>98</v>
      </c>
      <c r="L1139" s="18" t="s">
        <v>98</v>
      </c>
      <c r="M1139" s="18" t="s">
        <v>98</v>
      </c>
      <c r="N1139" s="18" t="s">
        <v>98</v>
      </c>
      <c r="O1139" s="18" t="s">
        <v>98</v>
      </c>
      <c r="P1139" s="15" t="str">
        <f t="shared" si="1"/>
        <v>VERIFY</v>
      </c>
      <c r="Q1139" s="15">
        <f t="shared" si="2"/>
        <v>8</v>
      </c>
      <c r="R1139" s="15">
        <f t="shared" si="3"/>
        <v>2</v>
      </c>
      <c r="S1139" s="15">
        <f t="shared" si="4"/>
        <v>1</v>
      </c>
      <c r="T1139" s="15" t="str">
        <f t="shared" si="5"/>
        <v>C-2</v>
      </c>
      <c r="U1139" s="15" t="str">
        <f t="shared" si="6"/>
        <v>T8-M2-H1-FC-2-VERIFY</v>
      </c>
      <c r="V1139" s="15">
        <f t="shared" si="7"/>
        <v>0</v>
      </c>
      <c r="W1139" s="31"/>
      <c r="X1139" s="15" t="str">
        <f t="shared" si="8"/>
        <v>masaurhi</v>
      </c>
      <c r="Y1139" s="32" t="str">
        <f t="shared" si="9"/>
        <v>https://steelmanufacturer.in/market-area/electropolished-pipes-manufacturer-in-masaurhi/</v>
      </c>
      <c r="Z1139" s="15" t="str">
        <f t="shared" si="10"/>
        <v>Electropolished Pipes Manufacturer in Masaurhi - EP Tube Stockist</v>
      </c>
      <c r="AA1139" s="15" t="str">
        <f t="shared" si="11"/>
        <v>OK (65)</v>
      </c>
      <c r="AB1139" s="15" t="str">
        <f t="shared" si="12"/>
        <v>Electropolished tube supply to BIADA Industrial Area, Masaurhi. Ra from 0.25 um, SF4 finish, mill test certificate with every lot.</v>
      </c>
      <c r="AC1139" s="15" t="str">
        <f t="shared" si="13"/>
        <v>PENDING RESEARCH</v>
      </c>
      <c r="AD1139" s="15" t="str">
        <f t="shared" si="14"/>
        <v>Electropolished Pipes Manufacturer in Masaurhi</v>
      </c>
      <c r="AE1139" s="15" t="str">
        <f t="shared" si="15"/>
        <v>Electropolished Pipe &amp; Tube Manufacturing for Masaurhi - Grades, Finishes &amp; Certification</v>
      </c>
      <c r="AF1139" s="15" t="str">
        <f t="shared" si="16"/>
        <v>Electropolished Pipes Supplier in Masaurhi - Stock Sizes, Lead Time &amp; Delivery</v>
      </c>
      <c r="AG1139" s="15" t="str">
        <f t="shared" si="17"/>
        <v>Electropolished Pipes Wholesaler &amp; Stockist in Masaurhi - Bulk &amp; Project Pricing</v>
      </c>
      <c r="AH1139" s="15" t="str">
        <f t="shared" si="18"/>
        <v>electropolished pipes manufacturer in Masaurhi, electropolished pipes supplier in Masaurhi, electropolished pipes wholesaler in Masaurhi, electropolished tube manufacturer Masaurhi, EP pipe supplier Masaurhi, sanitary tube supplier Masaurhi, ASME BPE tubing Masaurhi, ASTM A270 tube Masaurhi, SS 316L electropolished pipe Masaurhi</v>
      </c>
      <c r="AI1139" s="15" t="str">
        <f t="shared" si="19"/>
        <v>Electropolished Pipes Manufacturer &amp; Supplier in Masaurhi</v>
      </c>
      <c r="AJ1139" s="15" t="str">
        <f t="shared" si="20"/>
        <v>EP-finished SS 304/316L pipes and tubes for VERIFY plants in Masaurhi. ASME BPE SF1-SF4, Ra from 0.25 um, EN 10204 3.1 certificate with every lot.</v>
      </c>
      <c r="AK1139" s="15" t="str">
        <f t="shared" si="21"/>
        <v>Electropolished stainless steel pipes supplied by Sakshi Forge to VERIFY plants at BIADA Industrial Area, Masaurhi</v>
      </c>
      <c r="AL1139" s="15" t="str">
        <f t="shared" si="22"/>
        <v>Electropolished SS 316L tube stock for Masaurhi - Sakshi Forge</v>
      </c>
      <c r="AM1139" s="15" t="str">
        <f t="shared" si="23"/>
        <v>Home &gt; Market Area &gt; India &gt; Bihar &gt; Masaurhi</v>
      </c>
      <c r="AN1139" s="15">
        <f t="shared" si="24"/>
        <v>750</v>
      </c>
      <c r="AO1139" s="15">
        <f t="shared" si="25"/>
        <v>6</v>
      </c>
      <c r="AP1139" s="15">
        <f t="shared" si="26"/>
        <v>6</v>
      </c>
      <c r="AQ1139" s="15">
        <f t="shared" si="27"/>
        <v>19</v>
      </c>
      <c r="AR1139" s="31"/>
      <c r="AS1139" s="31"/>
      <c r="AT1139" s="35" t="s">
        <v>222</v>
      </c>
      <c r="AU1139" s="35"/>
    </row>
    <row r="1140" ht="15.75" customHeight="1">
      <c r="A1140" s="15" t="s">
        <v>5897</v>
      </c>
      <c r="B1140" s="15" t="s">
        <v>60</v>
      </c>
      <c r="C1140" s="15" t="s">
        <v>236</v>
      </c>
      <c r="D1140" s="15" t="s">
        <v>5898</v>
      </c>
      <c r="E1140" s="15" t="s">
        <v>5898</v>
      </c>
      <c r="F1140" s="58" t="s">
        <v>807</v>
      </c>
      <c r="G1140" s="66" t="s">
        <v>98</v>
      </c>
      <c r="H1140" s="18" t="s">
        <v>5900</v>
      </c>
      <c r="I1140" s="18" t="s">
        <v>8391</v>
      </c>
      <c r="J1140" s="18" t="s">
        <v>98</v>
      </c>
      <c r="K1140" s="18" t="s">
        <v>98</v>
      </c>
      <c r="L1140" s="18" t="s">
        <v>98</v>
      </c>
      <c r="M1140" s="18" t="s">
        <v>98</v>
      </c>
      <c r="N1140" s="18" t="s">
        <v>98</v>
      </c>
      <c r="O1140" s="18" t="s">
        <v>98</v>
      </c>
      <c r="P1140" s="15" t="str">
        <f t="shared" si="1"/>
        <v>VERIFY</v>
      </c>
      <c r="Q1140" s="15">
        <f t="shared" si="2"/>
        <v>1</v>
      </c>
      <c r="R1140" s="15">
        <f t="shared" si="3"/>
        <v>3</v>
      </c>
      <c r="S1140" s="15">
        <f t="shared" si="4"/>
        <v>2</v>
      </c>
      <c r="T1140" s="15" t="str">
        <f t="shared" si="5"/>
        <v>C-3</v>
      </c>
      <c r="U1140" s="15" t="str">
        <f t="shared" si="6"/>
        <v>T1-M3-H2-FC-3-VERIFY</v>
      </c>
      <c r="V1140" s="15">
        <f t="shared" si="7"/>
        <v>0</v>
      </c>
      <c r="W1140" s="31"/>
      <c r="X1140" s="15" t="str">
        <f t="shared" si="8"/>
        <v>masuda</v>
      </c>
      <c r="Y1140" s="32" t="str">
        <f t="shared" si="9"/>
        <v>https://steelmanufacturer.in/market-area/electropolished-pipes-manufacturer-in-masuda/</v>
      </c>
      <c r="Z1140" s="15" t="str">
        <f t="shared" si="10"/>
        <v>Electropolished Pipes Manufacturer in Masuda | Sakshi Forge</v>
      </c>
      <c r="AA1140" s="15" t="str">
        <f t="shared" si="11"/>
        <v>OK (59)</v>
      </c>
      <c r="AB1140" s="15" t="str">
        <f t="shared" si="12"/>
        <v>EP stainless tube for VERIFY lines in Masuda. VERIFY. ASTM A270 S2, PMI tested, EN 10204 3.1.</v>
      </c>
      <c r="AC1140" s="15" t="str">
        <f t="shared" si="13"/>
        <v>PENDING RESEARCH</v>
      </c>
      <c r="AD1140" s="15" t="str">
        <f t="shared" si="14"/>
        <v>Electropolished Pipes Manufacturer in Masuda</v>
      </c>
      <c r="AE1140" s="15" t="str">
        <f t="shared" si="15"/>
        <v>How We Manufacture Electropolished Tube for Masuda Plants</v>
      </c>
      <c r="AF1140" s="15" t="str">
        <f t="shared" si="16"/>
        <v>Supplying Electropolished Pipes in Masuda: Availability, Sizes &amp; Dispatch</v>
      </c>
      <c r="AG1140" s="15" t="str">
        <f t="shared" si="17"/>
        <v>Wholesale Electropolished Pipe Supply for Masuda Projects</v>
      </c>
      <c r="AH1140" s="15" t="str">
        <f t="shared" si="18"/>
        <v>electropolished pipes manufacturer in Masuda, electropolished pipes supplier in Masuda, electropolished pipes wholesaler in Masuda, electropolished tube manufacturer Masuda, EP pipe supplier Masuda, sanitary tube supplier Masuda, ASME BPE tubing Masuda, ASTM A270 tube Masuda, SS 316L electropolished pipe Masuda</v>
      </c>
      <c r="AI1140" s="15" t="str">
        <f t="shared" si="19"/>
        <v>Electropolished Pipes Manufacturer &amp; Supplier in Masuda</v>
      </c>
      <c r="AJ1140" s="15" t="str">
        <f t="shared" si="20"/>
        <v>EP-finished SS 304/316L pipes and tubes for VERIFY plants in Masuda. ASME BPE SF1-SF4, Ra from 0.25 um, EN 10204 3.1 certificate with every lot.</v>
      </c>
      <c r="AK1140" s="15" t="str">
        <f t="shared" si="21"/>
        <v>Electropolished stainless steel pipes supplied by Sakshi Forge to VERIFY plants at RIICO Industrial Area, Masuda</v>
      </c>
      <c r="AL1140" s="15" t="str">
        <f t="shared" si="22"/>
        <v>Electropolished SS 316L tube stock for Masuda - Sakshi Forge</v>
      </c>
      <c r="AM1140" s="15" t="str">
        <f t="shared" si="23"/>
        <v>Home &gt; Market Area &gt; India &gt; Rajasthan &gt; Masuda</v>
      </c>
      <c r="AN1140" s="15">
        <f t="shared" si="24"/>
        <v>750</v>
      </c>
      <c r="AO1140" s="15">
        <f t="shared" si="25"/>
        <v>6</v>
      </c>
      <c r="AP1140" s="15">
        <f t="shared" si="26"/>
        <v>6</v>
      </c>
      <c r="AQ1140" s="15">
        <f t="shared" si="27"/>
        <v>19</v>
      </c>
      <c r="AR1140" s="31"/>
      <c r="AS1140" s="31"/>
      <c r="AT1140" s="35" t="s">
        <v>222</v>
      </c>
      <c r="AU1140" s="35"/>
    </row>
    <row r="1141" ht="15.75" customHeight="1">
      <c r="A1141" s="15" t="s">
        <v>5901</v>
      </c>
      <c r="B1141" s="15" t="s">
        <v>60</v>
      </c>
      <c r="C1141" s="15" t="s">
        <v>1687</v>
      </c>
      <c r="D1141" s="15" t="s">
        <v>5902</v>
      </c>
      <c r="E1141" s="15" t="s">
        <v>5902</v>
      </c>
      <c r="F1141" s="58" t="s">
        <v>807</v>
      </c>
      <c r="G1141" s="66" t="s">
        <v>98</v>
      </c>
      <c r="H1141" s="18" t="s">
        <v>5904</v>
      </c>
      <c r="I1141" s="18" t="s">
        <v>8397</v>
      </c>
      <c r="J1141" s="18" t="s">
        <v>98</v>
      </c>
      <c r="K1141" s="18" t="s">
        <v>98</v>
      </c>
      <c r="L1141" s="18" t="s">
        <v>98</v>
      </c>
      <c r="M1141" s="18" t="s">
        <v>98</v>
      </c>
      <c r="N1141" s="18" t="s">
        <v>98</v>
      </c>
      <c r="O1141" s="18" t="s">
        <v>98</v>
      </c>
      <c r="P1141" s="15" t="str">
        <f t="shared" si="1"/>
        <v>VERIFY</v>
      </c>
      <c r="Q1141" s="15">
        <f t="shared" si="2"/>
        <v>2</v>
      </c>
      <c r="R1141" s="15">
        <f t="shared" si="3"/>
        <v>4</v>
      </c>
      <c r="S1141" s="15">
        <f t="shared" si="4"/>
        <v>3</v>
      </c>
      <c r="T1141" s="15" t="str">
        <f t="shared" si="5"/>
        <v>C-4</v>
      </c>
      <c r="U1141" s="15" t="str">
        <f t="shared" si="6"/>
        <v>T2-M4-H3-FC-4-VERIFY</v>
      </c>
      <c r="V1141" s="15">
        <f t="shared" si="7"/>
        <v>0</v>
      </c>
      <c r="W1141" s="31"/>
      <c r="X1141" s="15" t="str">
        <f t="shared" si="8"/>
        <v>mavelikara</v>
      </c>
      <c r="Y1141" s="32" t="str">
        <f t="shared" si="9"/>
        <v>https://steelmanufacturer.in/market-area/electropolished-pipes-manufacturer-in-mavelikara/</v>
      </c>
      <c r="Z1141" s="15" t="str">
        <f t="shared" si="10"/>
        <v>Electropolished Pipes Manufacturer in Mavelikara</v>
      </c>
      <c r="AA1141" s="15" t="str">
        <f t="shared" si="11"/>
        <v>OK (48)</v>
      </c>
      <c r="AB1141" s="15" t="str">
        <f t="shared" si="12"/>
        <v>Sanitary electropolished pipes in Mavelikara for VERIFY plants. ASME BPE SF1-SF4, orbital-weld ready, 3.1 MTC. Mumbai-made.</v>
      </c>
      <c r="AC1141" s="15" t="str">
        <f t="shared" si="13"/>
        <v>PENDING RESEARCH</v>
      </c>
      <c r="AD1141" s="15" t="str">
        <f t="shared" si="14"/>
        <v>Electropolished Pipes Manufacturer in Mavelikara</v>
      </c>
      <c r="AE1141" s="15" t="str">
        <f t="shared" si="15"/>
        <v>Electropolished Pipes Manufacturer in Mavelikara - Our Process &amp; Capability</v>
      </c>
      <c r="AF1141" s="15" t="str">
        <f t="shared" si="16"/>
        <v>Electropolished Pipes Supplier in Mavelikara - What We Hold in Stock</v>
      </c>
      <c r="AG1141" s="15" t="str">
        <f t="shared" si="17"/>
        <v>Bulk &amp; Wholesale Electropolished Pipe Rates for Mavelikara Buyers</v>
      </c>
      <c r="AH1141" s="15" t="str">
        <f t="shared" si="18"/>
        <v>electropolished pipes manufacturer in Mavelikara, electropolished pipes supplier in Mavelikara, electropolished pipes wholesaler in Mavelikara, electropolished tube manufacturer Mavelikara, EP pipe supplier Mavelikara, sanitary tube supplier Mavelikara, ASME BPE tubing Mavelikara, ASTM A270 tube Mavelikara, SS 316L electropolished pipe Mavelikara</v>
      </c>
      <c r="AI1141" s="15" t="str">
        <f t="shared" si="19"/>
        <v>Electropolished Pipes Manufacturer &amp; Supplier in Mavelikara</v>
      </c>
      <c r="AJ1141" s="15" t="str">
        <f t="shared" si="20"/>
        <v>EP-finished SS 304/316L pipes and tubes for VERIFY plants in Mavelikara. ASME BPE SF1-SF4, Ra from 0.25 um, EN 10204 3.1 certificate with every lot.</v>
      </c>
      <c r="AK1141" s="15" t="str">
        <f t="shared" si="21"/>
        <v>Electropolished stainless steel pipes supplied by Sakshi Forge to VERIFY plants at KINFRA Industrial Area, Mavelikara</v>
      </c>
      <c r="AL1141" s="15" t="str">
        <f t="shared" si="22"/>
        <v>Electropolished SS 316L tube stock for Mavelikara - Sakshi Forge</v>
      </c>
      <c r="AM1141" s="15" t="str">
        <f t="shared" si="23"/>
        <v>Home &gt; Market Area &gt; India &gt; Kerala &gt; Mavelikara</v>
      </c>
      <c r="AN1141" s="15">
        <f t="shared" si="24"/>
        <v>750</v>
      </c>
      <c r="AO1141" s="15">
        <f t="shared" si="25"/>
        <v>6</v>
      </c>
      <c r="AP1141" s="15">
        <f t="shared" si="26"/>
        <v>6</v>
      </c>
      <c r="AQ1141" s="15">
        <f t="shared" si="27"/>
        <v>19</v>
      </c>
      <c r="AR1141" s="31"/>
      <c r="AS1141" s="31"/>
      <c r="AT1141" s="35" t="s">
        <v>222</v>
      </c>
      <c r="AU1141" s="35"/>
    </row>
    <row r="1142" ht="15.75" customHeight="1">
      <c r="A1142" s="15" t="s">
        <v>5905</v>
      </c>
      <c r="B1142" s="15" t="s">
        <v>60</v>
      </c>
      <c r="C1142" s="15" t="s">
        <v>958</v>
      </c>
      <c r="D1142" s="15" t="s">
        <v>5906</v>
      </c>
      <c r="E1142" s="15" t="s">
        <v>5906</v>
      </c>
      <c r="F1142" s="58" t="s">
        <v>807</v>
      </c>
      <c r="G1142" s="66" t="s">
        <v>98</v>
      </c>
      <c r="H1142" s="18" t="s">
        <v>5908</v>
      </c>
      <c r="I1142" s="18" t="s">
        <v>8403</v>
      </c>
      <c r="J1142" s="18" t="s">
        <v>98</v>
      </c>
      <c r="K1142" s="18" t="s">
        <v>98</v>
      </c>
      <c r="L1142" s="18" t="s">
        <v>98</v>
      </c>
      <c r="M1142" s="18" t="s">
        <v>98</v>
      </c>
      <c r="N1142" s="18" t="s">
        <v>98</v>
      </c>
      <c r="O1142" s="18" t="s">
        <v>98</v>
      </c>
      <c r="P1142" s="15" t="str">
        <f t="shared" si="1"/>
        <v>VERIFY</v>
      </c>
      <c r="Q1142" s="15">
        <f t="shared" si="2"/>
        <v>3</v>
      </c>
      <c r="R1142" s="15">
        <f t="shared" si="3"/>
        <v>5</v>
      </c>
      <c r="S1142" s="15">
        <f t="shared" si="4"/>
        <v>4</v>
      </c>
      <c r="T1142" s="15" t="str">
        <f t="shared" si="5"/>
        <v>C-5</v>
      </c>
      <c r="U1142" s="15" t="str">
        <f t="shared" si="6"/>
        <v>T3-M5-H4-FC-5-VERIFY</v>
      </c>
      <c r="V1142" s="15">
        <f t="shared" si="7"/>
        <v>0</v>
      </c>
      <c r="W1142" s="31"/>
      <c r="X1142" s="15" t="str">
        <f t="shared" si="8"/>
        <v>mayiladuthurai</v>
      </c>
      <c r="Y1142" s="32" t="str">
        <f t="shared" si="9"/>
        <v>https://steelmanufacturer.in/market-area/electropolished-pipes-manufacturer-in-mayiladuthurai/</v>
      </c>
      <c r="Z1142" s="15" t="str">
        <f t="shared" si="10"/>
        <v>Electropolished Pipes Manufacturer in Mayiladuthurai</v>
      </c>
      <c r="AA1142" s="15" t="str">
        <f t="shared" si="11"/>
        <v>OK (52)</v>
      </c>
      <c r="AB1142" s="15" t="str">
        <f t="shared" si="12"/>
        <v>Manufacturer of electropolished SS 316L tube serving Mayiladuthurai. VERIFY. Ra 0.25-0.5 um, EN 10204 3.1 MTC.</v>
      </c>
      <c r="AC1142" s="15" t="str">
        <f t="shared" si="13"/>
        <v>PENDING RESEARCH</v>
      </c>
      <c r="AD1142" s="15" t="str">
        <f t="shared" si="14"/>
        <v>Electropolished Pipes Manufacturer in Mayiladuthurai</v>
      </c>
      <c r="AE1142" s="15" t="str">
        <f t="shared" si="15"/>
        <v>Manufacturing Electropolished SS Tube for Mayiladuthurai: The Standards We Build To</v>
      </c>
      <c r="AF1142" s="15" t="str">
        <f t="shared" si="16"/>
        <v>Electropolished Pipe Supply Into Mayiladuthurai - Certification &amp; Transit</v>
      </c>
      <c r="AG1142" s="15" t="str">
        <f t="shared" si="17"/>
        <v>Electropolished Pipes Wholesaler in Mayiladuthurai - Project Quantities &amp; Terms</v>
      </c>
      <c r="AH1142" s="15" t="str">
        <f t="shared" si="18"/>
        <v>electropolished pipes manufacturer in Mayiladuthurai, electropolished pipes supplier in Mayiladuthurai, electropolished pipes wholesaler in Mayiladuthurai, electropolished tube manufacturer Mayiladuthurai, EP pipe supplier Mayiladuthurai, sanitary tube supplier Mayiladuthurai, ASME BPE tubing Mayiladuthurai, ASTM A270 tube Mayiladuthurai, SS 316L electropolished pipe Mayiladuthurai</v>
      </c>
      <c r="AI1142" s="15" t="str">
        <f t="shared" si="19"/>
        <v>Electropolished Pipes Manufacturer &amp; Supplier in Mayiladuthurai</v>
      </c>
      <c r="AJ1142" s="15" t="str">
        <f t="shared" si="20"/>
        <v>EP-finished SS 304/316L pipes and tubes for VERIFY plants in Mayiladuthurai. ASME BPE SF1-SF4, Ra from 0.25 um, EN 10204 3.1 certificate with every lot.</v>
      </c>
      <c r="AK1142" s="15" t="str">
        <f t="shared" si="21"/>
        <v>Electropolished stainless steel pipes supplied by Sakshi Forge to VERIFY plants at SIPCOT Industrial Area, Mayiladuthurai</v>
      </c>
      <c r="AL1142" s="15" t="str">
        <f t="shared" si="22"/>
        <v>Electropolished SS 316L tube stock for Mayiladuthurai - Sakshi Forge</v>
      </c>
      <c r="AM1142" s="15" t="str">
        <f t="shared" si="23"/>
        <v>Home &gt; Market Area &gt; India &gt; Tamil Nadu &gt; Mayiladuthurai</v>
      </c>
      <c r="AN1142" s="15">
        <f t="shared" si="24"/>
        <v>750</v>
      </c>
      <c r="AO1142" s="15">
        <f t="shared" si="25"/>
        <v>6</v>
      </c>
      <c r="AP1142" s="15">
        <f t="shared" si="26"/>
        <v>6</v>
      </c>
      <c r="AQ1142" s="15">
        <f t="shared" si="27"/>
        <v>19</v>
      </c>
      <c r="AR1142" s="31"/>
      <c r="AS1142" s="31"/>
      <c r="AT1142" s="35" t="s">
        <v>222</v>
      </c>
      <c r="AU1142" s="35"/>
    </row>
    <row r="1143" ht="15.75" customHeight="1">
      <c r="A1143" s="15" t="s">
        <v>5909</v>
      </c>
      <c r="B1143" s="15" t="s">
        <v>60</v>
      </c>
      <c r="C1143" s="15" t="s">
        <v>1165</v>
      </c>
      <c r="D1143" s="15" t="s">
        <v>5910</v>
      </c>
      <c r="E1143" s="15" t="s">
        <v>5910</v>
      </c>
      <c r="F1143" s="58" t="s">
        <v>807</v>
      </c>
      <c r="G1143" s="66" t="s">
        <v>98</v>
      </c>
      <c r="H1143" s="18" t="s">
        <v>5912</v>
      </c>
      <c r="I1143" s="18" t="s">
        <v>8404</v>
      </c>
      <c r="J1143" s="18" t="s">
        <v>98</v>
      </c>
      <c r="K1143" s="18" t="s">
        <v>98</v>
      </c>
      <c r="L1143" s="18" t="s">
        <v>98</v>
      </c>
      <c r="M1143" s="18" t="s">
        <v>98</v>
      </c>
      <c r="N1143" s="18" t="s">
        <v>98</v>
      </c>
      <c r="O1143" s="18" t="s">
        <v>98</v>
      </c>
      <c r="P1143" s="15" t="str">
        <f t="shared" si="1"/>
        <v>VERIFY</v>
      </c>
      <c r="Q1143" s="15">
        <f t="shared" si="2"/>
        <v>4</v>
      </c>
      <c r="R1143" s="15">
        <f t="shared" si="3"/>
        <v>6</v>
      </c>
      <c r="S1143" s="15">
        <f t="shared" si="4"/>
        <v>5</v>
      </c>
      <c r="T1143" s="15" t="str">
        <f t="shared" si="5"/>
        <v>C-6</v>
      </c>
      <c r="U1143" s="15" t="str">
        <f t="shared" si="6"/>
        <v>T4-M6-H5-FC-6-VERIFY</v>
      </c>
      <c r="V1143" s="15">
        <f t="shared" si="7"/>
        <v>0</v>
      </c>
      <c r="W1143" s="31"/>
      <c r="X1143" s="15" t="str">
        <f t="shared" si="8"/>
        <v>mayureswar</v>
      </c>
      <c r="Y1143" s="32" t="str">
        <f t="shared" si="9"/>
        <v>https://steelmanufacturer.in/market-area/electropolished-pipes-manufacturer-in-mayureswar/</v>
      </c>
      <c r="Z1143" s="15" t="str">
        <f t="shared" si="10"/>
        <v>Electropolished Pipes Manufacturer in Mayureswar</v>
      </c>
      <c r="AA1143" s="15" t="str">
        <f t="shared" si="11"/>
        <v>OK (48)</v>
      </c>
      <c r="AB1143" s="15" t="str">
        <f t="shared" si="12"/>
        <v>EP tube and pipe for VERIFY plants around WBIDC Industrial Area, Mayureswar. Made at our Mumbai works to ASTM A270 and ASME BPE SF1-SF4, with 3.1 MTC.</v>
      </c>
      <c r="AC1143" s="15" t="str">
        <f t="shared" si="13"/>
        <v>PENDING RESEARCH</v>
      </c>
      <c r="AD1143" s="15" t="str">
        <f t="shared" si="14"/>
        <v>Electropolished Pipes Manufacturer in Mayureswar</v>
      </c>
      <c r="AE1143" s="15" t="str">
        <f t="shared" si="15"/>
        <v>Electropolished Tube Manufacturing Capability Serving Mayureswar</v>
      </c>
      <c r="AF1143" s="15" t="str">
        <f t="shared" si="16"/>
        <v>Electropolished Pipes Supplier in Mayureswar - From Order to Delivery</v>
      </c>
      <c r="AG1143" s="15" t="str">
        <f t="shared" si="17"/>
        <v>Stockist &amp; Wholesale Supply of Electropolished Pipes in Mayureswar</v>
      </c>
      <c r="AH1143" s="15" t="str">
        <f t="shared" si="18"/>
        <v>electropolished pipes manufacturer in Mayureswar, electropolished pipes supplier in Mayureswar, electropolished pipes wholesaler in Mayureswar, electropolished tube manufacturer Mayureswar, EP pipe supplier Mayureswar, sanitary tube supplier Mayureswar, ASME BPE tubing Mayureswar, ASTM A270 tube Mayureswar, SS 316L electropolished pipe Mayureswar</v>
      </c>
      <c r="AI1143" s="15" t="str">
        <f t="shared" si="19"/>
        <v>Electropolished Pipes Manufacturer &amp; Supplier in Mayureswar</v>
      </c>
      <c r="AJ1143" s="15" t="str">
        <f t="shared" si="20"/>
        <v>EP-finished SS 304/316L pipes and tubes for VERIFY plants in Mayureswar. ASME BPE SF1-SF4, Ra from 0.25 um, EN 10204 3.1 certificate with every lot.</v>
      </c>
      <c r="AK1143" s="15" t="str">
        <f t="shared" si="21"/>
        <v>Electropolished stainless steel pipes supplied by Sakshi Forge to VERIFY plants at WBIDC Industrial Area, Mayureswar</v>
      </c>
      <c r="AL1143" s="15" t="str">
        <f t="shared" si="22"/>
        <v>Electropolished SS 316L tube stock for Mayureswar - Sakshi Forge</v>
      </c>
      <c r="AM1143" s="15" t="str">
        <f t="shared" si="23"/>
        <v>Home &gt; Market Area &gt; India &gt; West Bengal &gt; Mayureswar</v>
      </c>
      <c r="AN1143" s="15">
        <f t="shared" si="24"/>
        <v>750</v>
      </c>
      <c r="AO1143" s="15">
        <f t="shared" si="25"/>
        <v>6</v>
      </c>
      <c r="AP1143" s="15">
        <f t="shared" si="26"/>
        <v>6</v>
      </c>
      <c r="AQ1143" s="15">
        <f t="shared" si="27"/>
        <v>19</v>
      </c>
      <c r="AR1143" s="31"/>
      <c r="AS1143" s="31"/>
      <c r="AT1143" s="35" t="s">
        <v>222</v>
      </c>
      <c r="AU1143" s="35"/>
    </row>
    <row r="1144" ht="15.75" customHeight="1">
      <c r="A1144" s="15" t="s">
        <v>5913</v>
      </c>
      <c r="B1144" s="15" t="s">
        <v>60</v>
      </c>
      <c r="C1144" s="15" t="s">
        <v>1312</v>
      </c>
      <c r="D1144" s="15" t="s">
        <v>5914</v>
      </c>
      <c r="E1144" s="15" t="s">
        <v>5914</v>
      </c>
      <c r="F1144" s="58" t="s">
        <v>807</v>
      </c>
      <c r="G1144" s="66" t="s">
        <v>98</v>
      </c>
      <c r="H1144" s="18" t="s">
        <v>5919</v>
      </c>
      <c r="I1144" s="18" t="s">
        <v>8392</v>
      </c>
      <c r="J1144" s="18" t="s">
        <v>98</v>
      </c>
      <c r="K1144" s="18" t="s">
        <v>98</v>
      </c>
      <c r="L1144" s="18" t="s">
        <v>98</v>
      </c>
      <c r="M1144" s="18" t="s">
        <v>98</v>
      </c>
      <c r="N1144" s="18" t="s">
        <v>98</v>
      </c>
      <c r="O1144" s="18" t="s">
        <v>98</v>
      </c>
      <c r="P1144" s="15" t="str">
        <f t="shared" si="1"/>
        <v>VERIFY</v>
      </c>
      <c r="Q1144" s="15">
        <f t="shared" si="2"/>
        <v>5</v>
      </c>
      <c r="R1144" s="15">
        <f t="shared" si="3"/>
        <v>7</v>
      </c>
      <c r="S1144" s="15">
        <f t="shared" si="4"/>
        <v>1</v>
      </c>
      <c r="T1144" s="15" t="str">
        <f t="shared" si="5"/>
        <v>C-1</v>
      </c>
      <c r="U1144" s="15" t="str">
        <f t="shared" si="6"/>
        <v>T5-M7-H1-FC-1-VERIFY</v>
      </c>
      <c r="V1144" s="15">
        <f t="shared" si="7"/>
        <v>0</v>
      </c>
      <c r="W1144" s="31"/>
      <c r="X1144" s="15" t="str">
        <f t="shared" si="8"/>
        <v>medak</v>
      </c>
      <c r="Y1144" s="32" t="str">
        <f t="shared" si="9"/>
        <v>https://steelmanufacturer.in/market-area/electropolished-pipes-manufacturer-in-medak/</v>
      </c>
      <c r="Z1144" s="15" t="str">
        <f t="shared" si="10"/>
        <v>Electropolished Pipes Manufacturer in Medak</v>
      </c>
      <c r="AA1144" s="15" t="str">
        <f t="shared" si="11"/>
        <v>OK (43)</v>
      </c>
      <c r="AB1144" s="15" t="str">
        <f t="shared" si="12"/>
        <v>Electropolished pipes in Medak: 304, 304L, 316 and 316L in SF1-SF4. VERIFY. Mill certified.</v>
      </c>
      <c r="AC1144" s="15" t="str">
        <f t="shared" si="13"/>
        <v>PENDING RESEARCH</v>
      </c>
      <c r="AD1144" s="15" t="str">
        <f t="shared" si="14"/>
        <v>Electropolished Pipes Manufacturer in Medak</v>
      </c>
      <c r="AE1144" s="15" t="str">
        <f t="shared" si="15"/>
        <v>Electropolished Pipe &amp; Tube Manufacturing for Medak - Grades, Finishes &amp; Certification</v>
      </c>
      <c r="AF1144" s="15" t="str">
        <f t="shared" si="16"/>
        <v>Electropolished Pipes Supplier in Medak - Stock Sizes, Lead Time &amp; Delivery</v>
      </c>
      <c r="AG1144" s="15" t="str">
        <f t="shared" si="17"/>
        <v>Electropolished Pipes Wholesaler &amp; Stockist in Medak - Bulk &amp; Project Pricing</v>
      </c>
      <c r="AH1144" s="15" t="str">
        <f t="shared" si="18"/>
        <v>electropolished pipes manufacturer in Medak, electropolished pipes supplier in Medak, electropolished pipes wholesaler in Medak, electropolished tube manufacturer Medak, EP pipe supplier Medak, sanitary tube supplier Medak, ASME BPE tubing Medak, ASTM A270 tube Medak, SS 316L electropolished pipe Medak</v>
      </c>
      <c r="AI1144" s="15" t="str">
        <f t="shared" si="19"/>
        <v>Electropolished Pipes Manufacturer &amp; Supplier in Medak</v>
      </c>
      <c r="AJ1144" s="15" t="str">
        <f t="shared" si="20"/>
        <v>EP-finished SS 304/316L pipes and tubes for VERIFY plants in Medak. ASME BPE SF1-SF4, Ra from 0.25 um, EN 10204 3.1 certificate with every lot.</v>
      </c>
      <c r="AK1144" s="15" t="str">
        <f t="shared" si="21"/>
        <v>Electropolished stainless steel pipes supplied by Sakshi Forge to VERIFY plants at TSIIC Industrial Area, Medak</v>
      </c>
      <c r="AL1144" s="15" t="str">
        <f t="shared" si="22"/>
        <v>Electropolished SS 316L tube stock for Medak - Sakshi Forge</v>
      </c>
      <c r="AM1144" s="15" t="str">
        <f t="shared" si="23"/>
        <v>Home &gt; Market Area &gt; India &gt; Telangana &gt; Medak</v>
      </c>
      <c r="AN1144" s="15">
        <f t="shared" si="24"/>
        <v>750</v>
      </c>
      <c r="AO1144" s="15">
        <f t="shared" si="25"/>
        <v>6</v>
      </c>
      <c r="AP1144" s="15">
        <f t="shared" si="26"/>
        <v>6</v>
      </c>
      <c r="AQ1144" s="15">
        <f t="shared" si="27"/>
        <v>20</v>
      </c>
      <c r="AR1144" s="31"/>
      <c r="AS1144" s="31"/>
      <c r="AT1144" s="35" t="s">
        <v>222</v>
      </c>
      <c r="AU1144" s="35"/>
    </row>
    <row r="1145" ht="15.75" customHeight="1">
      <c r="A1145" s="15" t="s">
        <v>5922</v>
      </c>
      <c r="B1145" s="15" t="s">
        <v>60</v>
      </c>
      <c r="C1145" s="15" t="s">
        <v>245</v>
      </c>
      <c r="D1145" s="15" t="s">
        <v>5924</v>
      </c>
      <c r="E1145" s="15" t="s">
        <v>5924</v>
      </c>
      <c r="F1145" s="58" t="s">
        <v>807</v>
      </c>
      <c r="G1145" s="66" t="s">
        <v>98</v>
      </c>
      <c r="H1145" s="18" t="s">
        <v>5926</v>
      </c>
      <c r="I1145" s="18" t="s">
        <v>8407</v>
      </c>
      <c r="J1145" s="18" t="s">
        <v>98</v>
      </c>
      <c r="K1145" s="18" t="s">
        <v>98</v>
      </c>
      <c r="L1145" s="18" t="s">
        <v>98</v>
      </c>
      <c r="M1145" s="18" t="s">
        <v>98</v>
      </c>
      <c r="N1145" s="18" t="s">
        <v>98</v>
      </c>
      <c r="O1145" s="18" t="s">
        <v>98</v>
      </c>
      <c r="P1145" s="15" t="str">
        <f t="shared" si="1"/>
        <v>VERIFY</v>
      </c>
      <c r="Q1145" s="15">
        <f t="shared" si="2"/>
        <v>6</v>
      </c>
      <c r="R1145" s="15">
        <f t="shared" si="3"/>
        <v>1</v>
      </c>
      <c r="S1145" s="15">
        <f t="shared" si="4"/>
        <v>2</v>
      </c>
      <c r="T1145" s="15" t="str">
        <f t="shared" si="5"/>
        <v>C-2</v>
      </c>
      <c r="U1145" s="15" t="str">
        <f t="shared" si="6"/>
        <v>T6-M1-H2-FC-2-VERIFY</v>
      </c>
      <c r="V1145" s="15">
        <f t="shared" si="7"/>
        <v>0</v>
      </c>
      <c r="W1145" s="31"/>
      <c r="X1145" s="15" t="str">
        <f t="shared" si="8"/>
        <v>meham</v>
      </c>
      <c r="Y1145" s="32" t="str">
        <f t="shared" si="9"/>
        <v>https://steelmanufacturer.in/market-area/electropolished-pipes-manufacturer-in-meham/</v>
      </c>
      <c r="Z1145" s="15" t="str">
        <f t="shared" si="10"/>
        <v>Electropolished Pipes Manufacturer in Meham</v>
      </c>
      <c r="AA1145" s="15" t="str">
        <f t="shared" si="11"/>
        <v>OK (43)</v>
      </c>
      <c r="AB1145" s="15" t="str">
        <f t="shared" si="12"/>
        <v>EP-finished SS 304/316L pipes &amp; tubes for VERIFY plants in Meham. ASTM A270, ASME BPE SF1-SF4, EN 10204 3.1 MTC. PMI tested.</v>
      </c>
      <c r="AC1145" s="15" t="str">
        <f t="shared" si="13"/>
        <v>PENDING RESEARCH</v>
      </c>
      <c r="AD1145" s="15" t="str">
        <f t="shared" si="14"/>
        <v>Electropolished Pipes Manufacturer in Meham</v>
      </c>
      <c r="AE1145" s="15" t="str">
        <f t="shared" si="15"/>
        <v>How We Manufacture Electropolished Tube for Meham Plants</v>
      </c>
      <c r="AF1145" s="15" t="str">
        <f t="shared" si="16"/>
        <v>Supplying Electropolished Pipes in Meham: Availability, Sizes &amp; Dispatch</v>
      </c>
      <c r="AG1145" s="15" t="str">
        <f t="shared" si="17"/>
        <v>Wholesale Electropolished Pipe Supply for Meham Projects</v>
      </c>
      <c r="AH1145" s="15" t="str">
        <f t="shared" si="18"/>
        <v>electropolished pipes manufacturer in Meham, electropolished pipes supplier in Meham, electropolished pipes wholesaler in Meham, electropolished tube manufacturer Meham, EP pipe supplier Meham, sanitary tube supplier Meham, ASME BPE tubing Meham, ASTM A270 tube Meham, SS 316L electropolished pipe Meham</v>
      </c>
      <c r="AI1145" s="15" t="str">
        <f t="shared" si="19"/>
        <v>Electropolished Pipes Manufacturer &amp; Supplier in Meham</v>
      </c>
      <c r="AJ1145" s="15" t="str">
        <f t="shared" si="20"/>
        <v>EP-finished SS 304/316L pipes and tubes for VERIFY plants in Meham. ASME BPE SF1-SF4, Ra from 0.25 um, EN 10204 3.1 certificate with every lot.</v>
      </c>
      <c r="AK1145" s="15" t="str">
        <f t="shared" si="21"/>
        <v>Electropolished stainless steel pipes supplied by Sakshi Forge to VERIFY plants at HSIIDC Industrial Area, Meham</v>
      </c>
      <c r="AL1145" s="15" t="str">
        <f t="shared" si="22"/>
        <v>Electropolished SS 316L tube stock for Meham - Sakshi Forge</v>
      </c>
      <c r="AM1145" s="15" t="str">
        <f t="shared" si="23"/>
        <v>Home &gt; Market Area &gt; India &gt; Haryana &gt; Meham</v>
      </c>
      <c r="AN1145" s="15">
        <f t="shared" si="24"/>
        <v>750</v>
      </c>
      <c r="AO1145" s="15">
        <f t="shared" si="25"/>
        <v>6</v>
      </c>
      <c r="AP1145" s="15">
        <f t="shared" si="26"/>
        <v>6</v>
      </c>
      <c r="AQ1145" s="15">
        <f t="shared" si="27"/>
        <v>20</v>
      </c>
      <c r="AR1145" s="31"/>
      <c r="AS1145" s="31"/>
      <c r="AT1145" s="35" t="s">
        <v>222</v>
      </c>
      <c r="AU1145" s="35"/>
    </row>
    <row r="1146" ht="15.75" customHeight="1">
      <c r="A1146" s="15" t="s">
        <v>5927</v>
      </c>
      <c r="B1146" s="15" t="s">
        <v>60</v>
      </c>
      <c r="C1146" s="15" t="s">
        <v>1165</v>
      </c>
      <c r="D1146" s="15" t="s">
        <v>5928</v>
      </c>
      <c r="E1146" s="15" t="s">
        <v>5928</v>
      </c>
      <c r="F1146" s="58" t="s">
        <v>807</v>
      </c>
      <c r="G1146" s="66" t="s">
        <v>98</v>
      </c>
      <c r="H1146" s="18" t="s">
        <v>5930</v>
      </c>
      <c r="I1146" s="18" t="s">
        <v>8404</v>
      </c>
      <c r="J1146" s="18" t="s">
        <v>98</v>
      </c>
      <c r="K1146" s="18" t="s">
        <v>98</v>
      </c>
      <c r="L1146" s="18" t="s">
        <v>98</v>
      </c>
      <c r="M1146" s="18" t="s">
        <v>98</v>
      </c>
      <c r="N1146" s="18" t="s">
        <v>98</v>
      </c>
      <c r="O1146" s="18" t="s">
        <v>98</v>
      </c>
      <c r="P1146" s="15" t="str">
        <f t="shared" si="1"/>
        <v>VERIFY</v>
      </c>
      <c r="Q1146" s="15">
        <f t="shared" si="2"/>
        <v>7</v>
      </c>
      <c r="R1146" s="15">
        <f t="shared" si="3"/>
        <v>2</v>
      </c>
      <c r="S1146" s="15">
        <f t="shared" si="4"/>
        <v>3</v>
      </c>
      <c r="T1146" s="15" t="str">
        <f t="shared" si="5"/>
        <v>C-3</v>
      </c>
      <c r="U1146" s="15" t="str">
        <f t="shared" si="6"/>
        <v>T7-M2-H3-FC-3-VERIFY</v>
      </c>
      <c r="V1146" s="15">
        <f t="shared" si="7"/>
        <v>0</v>
      </c>
      <c r="W1146" s="31"/>
      <c r="X1146" s="15" t="str">
        <f t="shared" si="8"/>
        <v>memari</v>
      </c>
      <c r="Y1146" s="32" t="str">
        <f t="shared" si="9"/>
        <v>https://steelmanufacturer.in/market-area/electropolished-pipes-manufacturer-in-memari/</v>
      </c>
      <c r="Z1146" s="15" t="str">
        <f t="shared" si="10"/>
        <v>Electropolished Pipes Manufacturer in Memari | ASME BPE SF1-SF4</v>
      </c>
      <c r="AA1146" s="15" t="str">
        <f t="shared" si="11"/>
        <v>OK (63)</v>
      </c>
      <c r="AB1146" s="15" t="str">
        <f t="shared" si="12"/>
        <v>Electropolished tube supply to WBIDC Industrial Area, Memari. Ra from 0.25 um, SF4 finish, mill test certificate with every lot.</v>
      </c>
      <c r="AC1146" s="15" t="str">
        <f t="shared" si="13"/>
        <v>PENDING RESEARCH</v>
      </c>
      <c r="AD1146" s="15" t="str">
        <f t="shared" si="14"/>
        <v>Electropolished Pipes Manufacturer in Memari</v>
      </c>
      <c r="AE1146" s="15" t="str">
        <f t="shared" si="15"/>
        <v>Electropolished Pipes Manufacturer in Memari - Our Process &amp; Capability</v>
      </c>
      <c r="AF1146" s="15" t="str">
        <f t="shared" si="16"/>
        <v>Electropolished Pipes Supplier in Memari - What We Hold in Stock</v>
      </c>
      <c r="AG1146" s="15" t="str">
        <f t="shared" si="17"/>
        <v>Bulk &amp; Wholesale Electropolished Pipe Rates for Memari Buyers</v>
      </c>
      <c r="AH1146" s="15" t="str">
        <f t="shared" si="18"/>
        <v>electropolished pipes manufacturer in Memari, electropolished pipes supplier in Memari, electropolished pipes wholesaler in Memari, electropolished tube manufacturer Memari, EP pipe supplier Memari, sanitary tube supplier Memari, ASME BPE tubing Memari, ASTM A270 tube Memari, SS 316L electropolished pipe Memari</v>
      </c>
      <c r="AI1146" s="15" t="str">
        <f t="shared" si="19"/>
        <v>Electropolished Pipes Manufacturer &amp; Supplier in Memari</v>
      </c>
      <c r="AJ1146" s="15" t="str">
        <f t="shared" si="20"/>
        <v>EP-finished SS 304/316L pipes and tubes for VERIFY plants in Memari. ASME BPE SF1-SF4, Ra from 0.25 um, EN 10204 3.1 certificate with every lot.</v>
      </c>
      <c r="AK1146" s="15" t="str">
        <f t="shared" si="21"/>
        <v>Electropolished stainless steel pipes supplied by Sakshi Forge to VERIFY plants at WBIDC Industrial Area, Memari</v>
      </c>
      <c r="AL1146" s="15" t="str">
        <f t="shared" si="22"/>
        <v>Electropolished SS 316L tube stock for Memari - Sakshi Forge</v>
      </c>
      <c r="AM1146" s="15" t="str">
        <f t="shared" si="23"/>
        <v>Home &gt; Market Area &gt; India &gt; West Bengal &gt; Memari</v>
      </c>
      <c r="AN1146" s="15">
        <f t="shared" si="24"/>
        <v>750</v>
      </c>
      <c r="AO1146" s="15">
        <f t="shared" si="25"/>
        <v>6</v>
      </c>
      <c r="AP1146" s="15">
        <f t="shared" si="26"/>
        <v>6</v>
      </c>
      <c r="AQ1146" s="15">
        <f t="shared" si="27"/>
        <v>20</v>
      </c>
      <c r="AR1146" s="31"/>
      <c r="AS1146" s="31"/>
      <c r="AT1146" s="35" t="s">
        <v>222</v>
      </c>
      <c r="AU1146" s="35"/>
    </row>
    <row r="1147" ht="15.75" customHeight="1">
      <c r="A1147" s="15" t="s">
        <v>5931</v>
      </c>
      <c r="B1147" s="15" t="s">
        <v>60</v>
      </c>
      <c r="C1147" s="15" t="s">
        <v>1312</v>
      </c>
      <c r="D1147" s="15" t="s">
        <v>5932</v>
      </c>
      <c r="E1147" s="15" t="s">
        <v>5932</v>
      </c>
      <c r="F1147" s="58" t="s">
        <v>807</v>
      </c>
      <c r="G1147" s="66" t="s">
        <v>98</v>
      </c>
      <c r="H1147" s="18" t="s">
        <v>5934</v>
      </c>
      <c r="I1147" s="18" t="s">
        <v>8392</v>
      </c>
      <c r="J1147" s="18" t="s">
        <v>98</v>
      </c>
      <c r="K1147" s="18" t="s">
        <v>98</v>
      </c>
      <c r="L1147" s="18" t="s">
        <v>98</v>
      </c>
      <c r="M1147" s="18" t="s">
        <v>98</v>
      </c>
      <c r="N1147" s="18" t="s">
        <v>98</v>
      </c>
      <c r="O1147" s="18" t="s">
        <v>98</v>
      </c>
      <c r="P1147" s="15" t="str">
        <f t="shared" si="1"/>
        <v>VERIFY</v>
      </c>
      <c r="Q1147" s="15">
        <f t="shared" si="2"/>
        <v>8</v>
      </c>
      <c r="R1147" s="15">
        <f t="shared" si="3"/>
        <v>3</v>
      </c>
      <c r="S1147" s="15">
        <f t="shared" si="4"/>
        <v>4</v>
      </c>
      <c r="T1147" s="15" t="str">
        <f t="shared" si="5"/>
        <v>C-4</v>
      </c>
      <c r="U1147" s="15" t="str">
        <f t="shared" si="6"/>
        <v>T8-M3-H4-FC-4-VERIFY</v>
      </c>
      <c r="V1147" s="15">
        <f t="shared" si="7"/>
        <v>0</v>
      </c>
      <c r="W1147" s="31"/>
      <c r="X1147" s="15" t="str">
        <f t="shared" si="8"/>
        <v>metpally</v>
      </c>
      <c r="Y1147" s="32" t="str">
        <f t="shared" si="9"/>
        <v>https://steelmanufacturer.in/market-area/electropolished-pipes-manufacturer-in-metpally/</v>
      </c>
      <c r="Z1147" s="15" t="str">
        <f t="shared" si="10"/>
        <v>Electropolished Pipes Manufacturer in Metpally - EP Tube Stockist</v>
      </c>
      <c r="AA1147" s="15" t="str">
        <f t="shared" si="11"/>
        <v>OK (65)</v>
      </c>
      <c r="AB1147" s="15" t="str">
        <f t="shared" si="12"/>
        <v>EP stainless tube for VERIFY lines in Metpally. VERIFY. ASTM A270 S2, PMI tested, EN 10204 3.1.</v>
      </c>
      <c r="AC1147" s="15" t="str">
        <f t="shared" si="13"/>
        <v>PENDING RESEARCH</v>
      </c>
      <c r="AD1147" s="15" t="str">
        <f t="shared" si="14"/>
        <v>Electropolished Pipes Manufacturer in Metpally</v>
      </c>
      <c r="AE1147" s="15" t="str">
        <f t="shared" si="15"/>
        <v>Manufacturing Electropolished SS Tube for Metpally: The Standards We Build To</v>
      </c>
      <c r="AF1147" s="15" t="str">
        <f t="shared" si="16"/>
        <v>Electropolished Pipe Supply Into Metpally - Certification &amp; Transit</v>
      </c>
      <c r="AG1147" s="15" t="str">
        <f t="shared" si="17"/>
        <v>Electropolished Pipes Wholesaler in Metpally - Project Quantities &amp; Terms</v>
      </c>
      <c r="AH1147" s="15" t="str">
        <f t="shared" si="18"/>
        <v>electropolished pipes manufacturer in Metpally, electropolished pipes supplier in Metpally, electropolished pipes wholesaler in Metpally, electropolished tube manufacturer Metpally, EP pipe supplier Metpally, sanitary tube supplier Metpally, ASME BPE tubing Metpally, ASTM A270 tube Metpally, SS 316L electropolished pipe Metpally</v>
      </c>
      <c r="AI1147" s="15" t="str">
        <f t="shared" si="19"/>
        <v>Electropolished Pipes Manufacturer &amp; Supplier in Metpally</v>
      </c>
      <c r="AJ1147" s="15" t="str">
        <f t="shared" si="20"/>
        <v>EP-finished SS 304/316L pipes and tubes for VERIFY plants in Metpally. ASME BPE SF1-SF4, Ra from 0.25 um, EN 10204 3.1 certificate with every lot.</v>
      </c>
      <c r="AK1147" s="15" t="str">
        <f t="shared" si="21"/>
        <v>Electropolished stainless steel pipes supplied by Sakshi Forge to VERIFY plants at TSIIC Industrial Area, Metpally</v>
      </c>
      <c r="AL1147" s="15" t="str">
        <f t="shared" si="22"/>
        <v>Electropolished SS 316L tube stock for Metpally - Sakshi Forge</v>
      </c>
      <c r="AM1147" s="15" t="str">
        <f t="shared" si="23"/>
        <v>Home &gt; Market Area &gt; India &gt; Telangana &gt; Metpally</v>
      </c>
      <c r="AN1147" s="15">
        <f t="shared" si="24"/>
        <v>750</v>
      </c>
      <c r="AO1147" s="15">
        <f t="shared" si="25"/>
        <v>6</v>
      </c>
      <c r="AP1147" s="15">
        <f t="shared" si="26"/>
        <v>6</v>
      </c>
      <c r="AQ1147" s="15">
        <f t="shared" si="27"/>
        <v>20</v>
      </c>
      <c r="AR1147" s="31"/>
      <c r="AS1147" s="31"/>
      <c r="AT1147" s="35" t="s">
        <v>222</v>
      </c>
      <c r="AU1147" s="35"/>
    </row>
    <row r="1148" ht="15.75" customHeight="1">
      <c r="A1148" s="15" t="s">
        <v>5935</v>
      </c>
      <c r="B1148" s="15" t="s">
        <v>60</v>
      </c>
      <c r="C1148" s="15" t="s">
        <v>1818</v>
      </c>
      <c r="D1148" s="15" t="s">
        <v>5936</v>
      </c>
      <c r="E1148" s="15" t="s">
        <v>5936</v>
      </c>
      <c r="F1148" s="58" t="s">
        <v>807</v>
      </c>
      <c r="G1148" s="66" t="s">
        <v>98</v>
      </c>
      <c r="H1148" s="18" t="s">
        <v>5938</v>
      </c>
      <c r="I1148" s="18" t="s">
        <v>8402</v>
      </c>
      <c r="J1148" s="18" t="s">
        <v>98</v>
      </c>
      <c r="K1148" s="18" t="s">
        <v>98</v>
      </c>
      <c r="L1148" s="18" t="s">
        <v>98</v>
      </c>
      <c r="M1148" s="18" t="s">
        <v>98</v>
      </c>
      <c r="N1148" s="18" t="s">
        <v>98</v>
      </c>
      <c r="O1148" s="18" t="s">
        <v>98</v>
      </c>
      <c r="P1148" s="15" t="str">
        <f t="shared" si="1"/>
        <v>VERIFY</v>
      </c>
      <c r="Q1148" s="15">
        <f t="shared" si="2"/>
        <v>1</v>
      </c>
      <c r="R1148" s="15">
        <f t="shared" si="3"/>
        <v>4</v>
      </c>
      <c r="S1148" s="15">
        <f t="shared" si="4"/>
        <v>5</v>
      </c>
      <c r="T1148" s="15" t="str">
        <f t="shared" si="5"/>
        <v>C-5</v>
      </c>
      <c r="U1148" s="15" t="str">
        <f t="shared" si="6"/>
        <v>T1-M4-H5-FC-5-VERIFY</v>
      </c>
      <c r="V1148" s="15">
        <f t="shared" si="7"/>
        <v>0</v>
      </c>
      <c r="W1148" s="31"/>
      <c r="X1148" s="15" t="str">
        <f t="shared" si="8"/>
        <v>mokama</v>
      </c>
      <c r="Y1148" s="32" t="str">
        <f t="shared" si="9"/>
        <v>https://steelmanufacturer.in/market-area/electropolished-pipes-manufacturer-in-mokama/</v>
      </c>
      <c r="Z1148" s="15" t="str">
        <f t="shared" si="10"/>
        <v>Electropolished Pipes Manufacturer in Mokama | Sakshi Forge</v>
      </c>
      <c r="AA1148" s="15" t="str">
        <f t="shared" si="11"/>
        <v>OK (59)</v>
      </c>
      <c r="AB1148" s="15" t="str">
        <f t="shared" si="12"/>
        <v>Sanitary electropolished pipes in Mokama for VERIFY plants. ASME BPE SF1-SF4, orbital-weld ready, 3.1 MTC. Mumbai-made.</v>
      </c>
      <c r="AC1148" s="15" t="str">
        <f t="shared" si="13"/>
        <v>PENDING RESEARCH</v>
      </c>
      <c r="AD1148" s="15" t="str">
        <f t="shared" si="14"/>
        <v>Electropolished Pipes Manufacturer in Mokama</v>
      </c>
      <c r="AE1148" s="15" t="str">
        <f t="shared" si="15"/>
        <v>Electropolished Tube Manufacturing Capability Serving Mokama</v>
      </c>
      <c r="AF1148" s="15" t="str">
        <f t="shared" si="16"/>
        <v>Electropolished Pipes Supplier in Mokama - From Order to Delivery</v>
      </c>
      <c r="AG1148" s="15" t="str">
        <f t="shared" si="17"/>
        <v>Stockist &amp; Wholesale Supply of Electropolished Pipes in Mokama</v>
      </c>
      <c r="AH1148" s="15" t="str">
        <f t="shared" si="18"/>
        <v>electropolished pipes manufacturer in Mokama, electropolished pipes supplier in Mokama, electropolished pipes wholesaler in Mokama, electropolished tube manufacturer Mokama, EP pipe supplier Mokama, sanitary tube supplier Mokama, ASME BPE tubing Mokama, ASTM A270 tube Mokama, SS 316L electropolished pipe Mokama</v>
      </c>
      <c r="AI1148" s="15" t="str">
        <f t="shared" si="19"/>
        <v>Electropolished Pipes Manufacturer &amp; Supplier in Mokama</v>
      </c>
      <c r="AJ1148" s="15" t="str">
        <f t="shared" si="20"/>
        <v>EP-finished SS 304/316L pipes and tubes for VERIFY plants in Mokama. ASME BPE SF1-SF4, Ra from 0.25 um, EN 10204 3.1 certificate with every lot.</v>
      </c>
      <c r="AK1148" s="15" t="str">
        <f t="shared" si="21"/>
        <v>Electropolished stainless steel pipes supplied by Sakshi Forge to VERIFY plants at BIADA Industrial Area, Mokama</v>
      </c>
      <c r="AL1148" s="15" t="str">
        <f t="shared" si="22"/>
        <v>Electropolished SS 316L tube stock for Mokama - Sakshi Forge</v>
      </c>
      <c r="AM1148" s="15" t="str">
        <f t="shared" si="23"/>
        <v>Home &gt; Market Area &gt; India &gt; Bihar &gt; Mokama</v>
      </c>
      <c r="AN1148" s="15">
        <f t="shared" si="24"/>
        <v>750</v>
      </c>
      <c r="AO1148" s="15">
        <f t="shared" si="25"/>
        <v>6</v>
      </c>
      <c r="AP1148" s="15">
        <f t="shared" si="26"/>
        <v>6</v>
      </c>
      <c r="AQ1148" s="15">
        <f t="shared" si="27"/>
        <v>20</v>
      </c>
      <c r="AR1148" s="31"/>
      <c r="AS1148" s="31"/>
      <c r="AT1148" s="35" t="s">
        <v>222</v>
      </c>
      <c r="AU1148" s="35"/>
    </row>
    <row r="1149" ht="15.75" customHeight="1">
      <c r="A1149" s="15" t="s">
        <v>5939</v>
      </c>
      <c r="B1149" s="15" t="s">
        <v>60</v>
      </c>
      <c r="C1149" s="15" t="s">
        <v>1155</v>
      </c>
      <c r="D1149" s="15" t="s">
        <v>5940</v>
      </c>
      <c r="E1149" s="15" t="s">
        <v>5940</v>
      </c>
      <c r="F1149" s="58" t="s">
        <v>807</v>
      </c>
      <c r="G1149" s="66" t="s">
        <v>98</v>
      </c>
      <c r="H1149" s="18" t="s">
        <v>5942</v>
      </c>
      <c r="I1149" s="18" t="s">
        <v>8412</v>
      </c>
      <c r="J1149" s="18" t="s">
        <v>98</v>
      </c>
      <c r="K1149" s="18" t="s">
        <v>98</v>
      </c>
      <c r="L1149" s="18" t="s">
        <v>98</v>
      </c>
      <c r="M1149" s="18" t="s">
        <v>98</v>
      </c>
      <c r="N1149" s="18" t="s">
        <v>98</v>
      </c>
      <c r="O1149" s="18" t="s">
        <v>98</v>
      </c>
      <c r="P1149" s="15" t="str">
        <f t="shared" si="1"/>
        <v>VERIFY</v>
      </c>
      <c r="Q1149" s="15">
        <f t="shared" si="2"/>
        <v>2</v>
      </c>
      <c r="R1149" s="15">
        <f t="shared" si="3"/>
        <v>5</v>
      </c>
      <c r="S1149" s="15">
        <f t="shared" si="4"/>
        <v>1</v>
      </c>
      <c r="T1149" s="15" t="str">
        <f t="shared" si="5"/>
        <v>C-6</v>
      </c>
      <c r="U1149" s="15" t="str">
        <f t="shared" si="6"/>
        <v>T2-M5-H1-FC-6-VERIFY</v>
      </c>
      <c r="V1149" s="15">
        <f t="shared" si="7"/>
        <v>0</v>
      </c>
      <c r="W1149" s="31"/>
      <c r="X1149" s="15" t="str">
        <f t="shared" si="8"/>
        <v>morigaon</v>
      </c>
      <c r="Y1149" s="32" t="str">
        <f t="shared" si="9"/>
        <v>https://steelmanufacturer.in/market-area/electropolished-pipes-manufacturer-in-morigaon/</v>
      </c>
      <c r="Z1149" s="15" t="str">
        <f t="shared" si="10"/>
        <v>Electropolished Pipes Manufacturer in Morigaon</v>
      </c>
      <c r="AA1149" s="15" t="str">
        <f t="shared" si="11"/>
        <v>OK (46)</v>
      </c>
      <c r="AB1149" s="15" t="str">
        <f t="shared" si="12"/>
        <v>Manufacturer of electropolished SS 316L tube serving Morigaon. VERIFY. Ra 0.25-0.5 um, EN 10204 3.1 MTC.</v>
      </c>
      <c r="AC1149" s="15" t="str">
        <f t="shared" si="13"/>
        <v>PENDING RESEARCH</v>
      </c>
      <c r="AD1149" s="15" t="str">
        <f t="shared" si="14"/>
        <v>Electropolished Pipes Manufacturer in Morigaon</v>
      </c>
      <c r="AE1149" s="15" t="str">
        <f t="shared" si="15"/>
        <v>Electropolished Pipe &amp; Tube Manufacturing for Morigaon - Grades, Finishes &amp; Certification</v>
      </c>
      <c r="AF1149" s="15" t="str">
        <f t="shared" si="16"/>
        <v>Electropolished Pipes Supplier in Morigaon - Stock Sizes, Lead Time &amp; Delivery</v>
      </c>
      <c r="AG1149" s="15" t="str">
        <f t="shared" si="17"/>
        <v>Electropolished Pipes Wholesaler &amp; Stockist in Morigaon - Bulk &amp; Project Pricing</v>
      </c>
      <c r="AH1149" s="15" t="str">
        <f t="shared" si="18"/>
        <v>electropolished pipes manufacturer in Morigaon, electropolished pipes supplier in Morigaon, electropolished pipes wholesaler in Morigaon, electropolished tube manufacturer Morigaon, EP pipe supplier Morigaon, sanitary tube supplier Morigaon, ASME BPE tubing Morigaon, ASTM A270 tube Morigaon, SS 316L electropolished pipe Morigaon</v>
      </c>
      <c r="AI1149" s="15" t="str">
        <f t="shared" si="19"/>
        <v>Electropolished Pipes Manufacturer &amp; Supplier in Morigaon</v>
      </c>
      <c r="AJ1149" s="15" t="str">
        <f t="shared" si="20"/>
        <v>EP-finished SS 304/316L pipes and tubes for VERIFY plants in Morigaon. ASME BPE SF1-SF4, Ra from 0.25 um, EN 10204 3.1 certificate with every lot.</v>
      </c>
      <c r="AK1149" s="15" t="str">
        <f t="shared" si="21"/>
        <v>Electropolished stainless steel pipes supplied by Sakshi Forge to VERIFY plants at AIDC Industrial Area, Morigaon</v>
      </c>
      <c r="AL1149" s="15" t="str">
        <f t="shared" si="22"/>
        <v>Electropolished SS 316L tube stock for Morigaon - Sakshi Forge</v>
      </c>
      <c r="AM1149" s="15" t="str">
        <f t="shared" si="23"/>
        <v>Home &gt; Market Area &gt; India &gt; Assam &gt; Morigaon</v>
      </c>
      <c r="AN1149" s="15">
        <f t="shared" si="24"/>
        <v>750</v>
      </c>
      <c r="AO1149" s="15">
        <f t="shared" si="25"/>
        <v>6</v>
      </c>
      <c r="AP1149" s="15">
        <f t="shared" si="26"/>
        <v>6</v>
      </c>
      <c r="AQ1149" s="15">
        <f t="shared" si="27"/>
        <v>20</v>
      </c>
      <c r="AR1149" s="31"/>
      <c r="AS1149" s="31"/>
      <c r="AT1149" s="35" t="s">
        <v>222</v>
      </c>
      <c r="AU1149" s="35"/>
    </row>
    <row r="1150" ht="15.75" customHeight="1">
      <c r="A1150" s="15" t="s">
        <v>5943</v>
      </c>
      <c r="B1150" s="15" t="s">
        <v>60</v>
      </c>
      <c r="C1150" s="15" t="s">
        <v>354</v>
      </c>
      <c r="D1150" s="15" t="s">
        <v>5944</v>
      </c>
      <c r="E1150" s="15" t="s">
        <v>5944</v>
      </c>
      <c r="F1150" s="58" t="s">
        <v>807</v>
      </c>
      <c r="G1150" s="66" t="s">
        <v>98</v>
      </c>
      <c r="H1150" s="18" t="s">
        <v>5946</v>
      </c>
      <c r="I1150" s="18" t="s">
        <v>8408</v>
      </c>
      <c r="J1150" s="18" t="s">
        <v>98</v>
      </c>
      <c r="K1150" s="18" t="s">
        <v>98</v>
      </c>
      <c r="L1150" s="18" t="s">
        <v>98</v>
      </c>
      <c r="M1150" s="18" t="s">
        <v>98</v>
      </c>
      <c r="N1150" s="18" t="s">
        <v>98</v>
      </c>
      <c r="O1150" s="18" t="s">
        <v>98</v>
      </c>
      <c r="P1150" s="15" t="str">
        <f t="shared" si="1"/>
        <v>VERIFY</v>
      </c>
      <c r="Q1150" s="15">
        <f t="shared" si="2"/>
        <v>3</v>
      </c>
      <c r="R1150" s="15">
        <f t="shared" si="3"/>
        <v>6</v>
      </c>
      <c r="S1150" s="15">
        <f t="shared" si="4"/>
        <v>2</v>
      </c>
      <c r="T1150" s="15" t="str">
        <f t="shared" si="5"/>
        <v>C-1</v>
      </c>
      <c r="U1150" s="15" t="str">
        <f t="shared" si="6"/>
        <v>T3-M6-H2-FC-1-VERIFY</v>
      </c>
      <c r="V1150" s="15">
        <f t="shared" si="7"/>
        <v>0</v>
      </c>
      <c r="W1150" s="31"/>
      <c r="X1150" s="15" t="str">
        <f t="shared" si="8"/>
        <v>morinda</v>
      </c>
      <c r="Y1150" s="32" t="str">
        <f t="shared" si="9"/>
        <v>https://steelmanufacturer.in/market-area/electropolished-pipes-manufacturer-in-morinda/</v>
      </c>
      <c r="Z1150" s="15" t="str">
        <f t="shared" si="10"/>
        <v>Electropolished Pipes Manufacturer in Morinda | EP Tube Supplier</v>
      </c>
      <c r="AA1150" s="15" t="str">
        <f t="shared" si="11"/>
        <v>OK (64)</v>
      </c>
      <c r="AB1150" s="15" t="str">
        <f t="shared" si="12"/>
        <v>EP tube and pipe for VERIFY plants around PSIEC Industrial Area, Morinda. Made at our Mumbai works to ASTM A270 and ASME BPE SF1-SF4, with 3.1 MTC.</v>
      </c>
      <c r="AC1150" s="15" t="str">
        <f t="shared" si="13"/>
        <v>PENDING RESEARCH</v>
      </c>
      <c r="AD1150" s="15" t="str">
        <f t="shared" si="14"/>
        <v>Electropolished Pipes Manufacturer in Morinda</v>
      </c>
      <c r="AE1150" s="15" t="str">
        <f t="shared" si="15"/>
        <v>How We Manufacture Electropolished Tube for Morinda Plants</v>
      </c>
      <c r="AF1150" s="15" t="str">
        <f t="shared" si="16"/>
        <v>Supplying Electropolished Pipes in Morinda: Availability, Sizes &amp; Dispatch</v>
      </c>
      <c r="AG1150" s="15" t="str">
        <f t="shared" si="17"/>
        <v>Wholesale Electropolished Pipe Supply for Morinda Projects</v>
      </c>
      <c r="AH1150" s="15" t="str">
        <f t="shared" si="18"/>
        <v>electropolished pipes manufacturer in Morinda, electropolished pipes supplier in Morinda, electropolished pipes wholesaler in Morinda, electropolished tube manufacturer Morinda, EP pipe supplier Morinda, sanitary tube supplier Morinda, ASME BPE tubing Morinda, ASTM A270 tube Morinda, SS 316L electropolished pipe Morinda</v>
      </c>
      <c r="AI1150" s="15" t="str">
        <f t="shared" si="19"/>
        <v>Electropolished Pipes Manufacturer &amp; Supplier in Morinda</v>
      </c>
      <c r="AJ1150" s="15" t="str">
        <f t="shared" si="20"/>
        <v>EP-finished SS 304/316L pipes and tubes for VERIFY plants in Morinda. ASME BPE SF1-SF4, Ra from 0.25 um, EN 10204 3.1 certificate with every lot.</v>
      </c>
      <c r="AK1150" s="15" t="str">
        <f t="shared" si="21"/>
        <v>Electropolished stainless steel pipes supplied by Sakshi Forge to VERIFY plants at PSIEC Industrial Area, Morinda</v>
      </c>
      <c r="AL1150" s="15" t="str">
        <f t="shared" si="22"/>
        <v>Electropolished SS 316L tube stock for Morinda - Sakshi Forge</v>
      </c>
      <c r="AM1150" s="15" t="str">
        <f t="shared" si="23"/>
        <v>Home &gt; Market Area &gt; India &gt; Punjab &gt; Morinda</v>
      </c>
      <c r="AN1150" s="15">
        <f t="shared" si="24"/>
        <v>750</v>
      </c>
      <c r="AO1150" s="15">
        <f t="shared" si="25"/>
        <v>6</v>
      </c>
      <c r="AP1150" s="15">
        <f t="shared" si="26"/>
        <v>6</v>
      </c>
      <c r="AQ1150" s="15">
        <f t="shared" si="27"/>
        <v>20</v>
      </c>
      <c r="AR1150" s="31"/>
      <c r="AS1150" s="31"/>
      <c r="AT1150" s="35" t="s">
        <v>222</v>
      </c>
      <c r="AU1150" s="35"/>
    </row>
    <row r="1151" ht="15.75" customHeight="1">
      <c r="A1151" s="15" t="s">
        <v>5947</v>
      </c>
      <c r="B1151" s="15" t="s">
        <v>60</v>
      </c>
      <c r="C1151" s="15" t="s">
        <v>264</v>
      </c>
      <c r="D1151" s="15" t="s">
        <v>5948</v>
      </c>
      <c r="E1151" s="15" t="s">
        <v>5948</v>
      </c>
      <c r="F1151" s="58" t="s">
        <v>807</v>
      </c>
      <c r="G1151" s="66" t="s">
        <v>98</v>
      </c>
      <c r="H1151" s="18" t="s">
        <v>5950</v>
      </c>
      <c r="I1151" s="18" t="s">
        <v>8395</v>
      </c>
      <c r="J1151" s="18" t="s">
        <v>98</v>
      </c>
      <c r="K1151" s="18" t="s">
        <v>98</v>
      </c>
      <c r="L1151" s="18" t="s">
        <v>98</v>
      </c>
      <c r="M1151" s="18" t="s">
        <v>98</v>
      </c>
      <c r="N1151" s="18" t="s">
        <v>98</v>
      </c>
      <c r="O1151" s="18" t="s">
        <v>98</v>
      </c>
      <c r="P1151" s="15" t="str">
        <f t="shared" si="1"/>
        <v>VERIFY</v>
      </c>
      <c r="Q1151" s="15">
        <f t="shared" si="2"/>
        <v>4</v>
      </c>
      <c r="R1151" s="15">
        <f t="shared" si="3"/>
        <v>7</v>
      </c>
      <c r="S1151" s="15">
        <f t="shared" si="4"/>
        <v>3</v>
      </c>
      <c r="T1151" s="15" t="str">
        <f t="shared" si="5"/>
        <v>C-2</v>
      </c>
      <c r="U1151" s="15" t="str">
        <f t="shared" si="6"/>
        <v>T4-M7-H3-FC-2-VERIFY</v>
      </c>
      <c r="V1151" s="15">
        <f t="shared" si="7"/>
        <v>0</v>
      </c>
      <c r="W1151" s="31"/>
      <c r="X1151" s="15" t="str">
        <f t="shared" si="8"/>
        <v>mudkhed</v>
      </c>
      <c r="Y1151" s="32" t="str">
        <f t="shared" si="9"/>
        <v>https://steelmanufacturer.in/market-area/electropolished-pipes-manufacturer-in-mudkhed/</v>
      </c>
      <c r="Z1151" s="15" t="str">
        <f t="shared" si="10"/>
        <v>Electropolished Pipes Manufacturer in Mudkhed</v>
      </c>
      <c r="AA1151" s="15" t="str">
        <f t="shared" si="11"/>
        <v>OK (45)</v>
      </c>
      <c r="AB1151" s="15" t="str">
        <f t="shared" si="12"/>
        <v>Electropolished pipes in Mudkhed: 304, 304L, 316 and 316L in SF1-SF4. VERIFY. Mill certified.</v>
      </c>
      <c r="AC1151" s="15" t="str">
        <f t="shared" si="13"/>
        <v>PENDING RESEARCH</v>
      </c>
      <c r="AD1151" s="15" t="str">
        <f t="shared" si="14"/>
        <v>Electropolished Pipes Manufacturer in Mudkhed</v>
      </c>
      <c r="AE1151" s="15" t="str">
        <f t="shared" si="15"/>
        <v>Electropolished Pipes Manufacturer in Mudkhed - Our Process &amp; Capability</v>
      </c>
      <c r="AF1151" s="15" t="str">
        <f t="shared" si="16"/>
        <v>Electropolished Pipes Supplier in Mudkhed - What We Hold in Stock</v>
      </c>
      <c r="AG1151" s="15" t="str">
        <f t="shared" si="17"/>
        <v>Bulk &amp; Wholesale Electropolished Pipe Rates for Mudkhed Buyers</v>
      </c>
      <c r="AH1151" s="15" t="str">
        <f t="shared" si="18"/>
        <v>electropolished pipes manufacturer in Mudkhed, electropolished pipes supplier in Mudkhed, electropolished pipes wholesaler in Mudkhed, electropolished tube manufacturer Mudkhed, EP pipe supplier Mudkhed, sanitary tube supplier Mudkhed, ASME BPE tubing Mudkhed, ASTM A270 tube Mudkhed, SS 316L electropolished pipe Mudkhed</v>
      </c>
      <c r="AI1151" s="15" t="str">
        <f t="shared" si="19"/>
        <v>Electropolished Pipes Manufacturer &amp; Supplier in Mudkhed</v>
      </c>
      <c r="AJ1151" s="15" t="str">
        <f t="shared" si="20"/>
        <v>EP-finished SS 304/316L pipes and tubes for VERIFY plants in Mudkhed. ASME BPE SF1-SF4, Ra from 0.25 um, EN 10204 3.1 certificate with every lot.</v>
      </c>
      <c r="AK1151" s="15" t="str">
        <f t="shared" si="21"/>
        <v>Electropolished stainless steel pipes supplied by Sakshi Forge to VERIFY plants at MIDC Industrial Area, Mudkhed</v>
      </c>
      <c r="AL1151" s="15" t="str">
        <f t="shared" si="22"/>
        <v>Electropolished SS 316L tube stock for Mudkhed - Sakshi Forge</v>
      </c>
      <c r="AM1151" s="15" t="str">
        <f t="shared" si="23"/>
        <v>Home &gt; Market Area &gt; India &gt; Maharashtra &gt; Mudkhed</v>
      </c>
      <c r="AN1151" s="15">
        <f t="shared" si="24"/>
        <v>750</v>
      </c>
      <c r="AO1151" s="15">
        <f t="shared" si="25"/>
        <v>6</v>
      </c>
      <c r="AP1151" s="15">
        <f t="shared" si="26"/>
        <v>6</v>
      </c>
      <c r="AQ1151" s="15">
        <f t="shared" si="27"/>
        <v>20</v>
      </c>
      <c r="AR1151" s="31"/>
      <c r="AS1151" s="31"/>
      <c r="AT1151" s="35" t="s">
        <v>222</v>
      </c>
      <c r="AU1151" s="35"/>
    </row>
    <row r="1152" ht="15.75" customHeight="1">
      <c r="A1152" s="15" t="s">
        <v>5951</v>
      </c>
      <c r="B1152" s="15" t="s">
        <v>60</v>
      </c>
      <c r="C1152" s="15" t="s">
        <v>264</v>
      </c>
      <c r="D1152" s="15" t="s">
        <v>5954</v>
      </c>
      <c r="E1152" s="15" t="s">
        <v>5954</v>
      </c>
      <c r="F1152" s="58" t="s">
        <v>807</v>
      </c>
      <c r="G1152" s="66" t="s">
        <v>98</v>
      </c>
      <c r="H1152" s="18" t="s">
        <v>5957</v>
      </c>
      <c r="I1152" s="18" t="s">
        <v>8395</v>
      </c>
      <c r="J1152" s="18" t="s">
        <v>98</v>
      </c>
      <c r="K1152" s="18" t="s">
        <v>98</v>
      </c>
      <c r="L1152" s="18" t="s">
        <v>98</v>
      </c>
      <c r="M1152" s="18" t="s">
        <v>98</v>
      </c>
      <c r="N1152" s="18" t="s">
        <v>98</v>
      </c>
      <c r="O1152" s="18" t="s">
        <v>98</v>
      </c>
      <c r="P1152" s="15" t="str">
        <f t="shared" si="1"/>
        <v>VERIFY</v>
      </c>
      <c r="Q1152" s="15">
        <f t="shared" si="2"/>
        <v>5</v>
      </c>
      <c r="R1152" s="15">
        <f t="shared" si="3"/>
        <v>1</v>
      </c>
      <c r="S1152" s="15">
        <f t="shared" si="4"/>
        <v>4</v>
      </c>
      <c r="T1152" s="15" t="str">
        <f t="shared" si="5"/>
        <v>C-3</v>
      </c>
      <c r="U1152" s="15" t="str">
        <f t="shared" si="6"/>
        <v>T5-M1-H4-FC-3-VERIFY</v>
      </c>
      <c r="V1152" s="15">
        <f t="shared" si="7"/>
        <v>0</v>
      </c>
      <c r="W1152" s="31"/>
      <c r="X1152" s="15" t="str">
        <f t="shared" si="8"/>
        <v>mukhed</v>
      </c>
      <c r="Y1152" s="32" t="str">
        <f t="shared" si="9"/>
        <v>https://steelmanufacturer.in/market-area/electropolished-pipes-manufacturer-in-mukhed/</v>
      </c>
      <c r="Z1152" s="15" t="str">
        <f t="shared" si="10"/>
        <v>Electropolished Pipes Manufacturer in Mukhed</v>
      </c>
      <c r="AA1152" s="15" t="str">
        <f t="shared" si="11"/>
        <v>OK (44)</v>
      </c>
      <c r="AB1152" s="15" t="str">
        <f t="shared" si="12"/>
        <v>EP-finished SS 304/316L pipes &amp; tubes for VERIFY plants in Mukhed. ASTM A270, ASME BPE SF1-SF4, EN 10204 3.1 MTC. PMI tested.</v>
      </c>
      <c r="AC1152" s="15" t="str">
        <f t="shared" si="13"/>
        <v>PENDING RESEARCH</v>
      </c>
      <c r="AD1152" s="15" t="str">
        <f t="shared" si="14"/>
        <v>Electropolished Pipes Manufacturer in Mukhed</v>
      </c>
      <c r="AE1152" s="15" t="str">
        <f t="shared" si="15"/>
        <v>Manufacturing Electropolished SS Tube for Mukhed: The Standards We Build To</v>
      </c>
      <c r="AF1152" s="15" t="str">
        <f t="shared" si="16"/>
        <v>Electropolished Pipe Supply Into Mukhed - Certification &amp; Transit</v>
      </c>
      <c r="AG1152" s="15" t="str">
        <f t="shared" si="17"/>
        <v>Electropolished Pipes Wholesaler in Mukhed - Project Quantities &amp; Terms</v>
      </c>
      <c r="AH1152" s="15" t="str">
        <f t="shared" si="18"/>
        <v>electropolished pipes manufacturer in Mukhed, electropolished pipes supplier in Mukhed, electropolished pipes wholesaler in Mukhed, electropolished tube manufacturer Mukhed, EP pipe supplier Mukhed, sanitary tube supplier Mukhed, ASME BPE tubing Mukhed, ASTM A270 tube Mukhed, SS 316L electropolished pipe Mukhed</v>
      </c>
      <c r="AI1152" s="15" t="str">
        <f t="shared" si="19"/>
        <v>Electropolished Pipes Manufacturer &amp; Supplier in Mukhed</v>
      </c>
      <c r="AJ1152" s="15" t="str">
        <f t="shared" si="20"/>
        <v>EP-finished SS 304/316L pipes and tubes for VERIFY plants in Mukhed. ASME BPE SF1-SF4, Ra from 0.25 um, EN 10204 3.1 certificate with every lot.</v>
      </c>
      <c r="AK1152" s="15" t="str">
        <f t="shared" si="21"/>
        <v>Electropolished stainless steel pipes supplied by Sakshi Forge to VERIFY plants at MIDC Industrial Area, Mukhed</v>
      </c>
      <c r="AL1152" s="15" t="str">
        <f t="shared" si="22"/>
        <v>Electropolished SS 316L tube stock for Mukhed - Sakshi Forge</v>
      </c>
      <c r="AM1152" s="15" t="str">
        <f t="shared" si="23"/>
        <v>Home &gt; Market Area &gt; India &gt; Maharashtra &gt; Mukhed</v>
      </c>
      <c r="AN1152" s="15">
        <f t="shared" si="24"/>
        <v>750</v>
      </c>
      <c r="AO1152" s="15">
        <f t="shared" si="25"/>
        <v>6</v>
      </c>
      <c r="AP1152" s="15">
        <f t="shared" si="26"/>
        <v>6</v>
      </c>
      <c r="AQ1152" s="15">
        <f t="shared" si="27"/>
        <v>20</v>
      </c>
      <c r="AR1152" s="31"/>
      <c r="AS1152" s="31"/>
      <c r="AT1152" s="35" t="s">
        <v>222</v>
      </c>
      <c r="AU1152" s="35"/>
    </row>
    <row r="1153" ht="15.75" customHeight="1">
      <c r="A1153" s="15" t="s">
        <v>5961</v>
      </c>
      <c r="B1153" s="15" t="s">
        <v>60</v>
      </c>
      <c r="C1153" s="15" t="s">
        <v>570</v>
      </c>
      <c r="D1153" s="15" t="s">
        <v>5962</v>
      </c>
      <c r="E1153" s="15" t="s">
        <v>5962</v>
      </c>
      <c r="F1153" s="58" t="s">
        <v>807</v>
      </c>
      <c r="G1153" s="66" t="s">
        <v>98</v>
      </c>
      <c r="H1153" s="18" t="s">
        <v>5964</v>
      </c>
      <c r="I1153" s="18" t="s">
        <v>8405</v>
      </c>
      <c r="J1153" s="18" t="s">
        <v>98</v>
      </c>
      <c r="K1153" s="18" t="s">
        <v>98</v>
      </c>
      <c r="L1153" s="18" t="s">
        <v>98</v>
      </c>
      <c r="M1153" s="18" t="s">
        <v>98</v>
      </c>
      <c r="N1153" s="18" t="s">
        <v>98</v>
      </c>
      <c r="O1153" s="18" t="s">
        <v>98</v>
      </c>
      <c r="P1153" s="15" t="str">
        <f t="shared" si="1"/>
        <v>VERIFY</v>
      </c>
      <c r="Q1153" s="15">
        <f t="shared" si="2"/>
        <v>6</v>
      </c>
      <c r="R1153" s="15">
        <f t="shared" si="3"/>
        <v>2</v>
      </c>
      <c r="S1153" s="15">
        <f t="shared" si="4"/>
        <v>5</v>
      </c>
      <c r="T1153" s="15" t="str">
        <f t="shared" si="5"/>
        <v>C-4</v>
      </c>
      <c r="U1153" s="15" t="str">
        <f t="shared" si="6"/>
        <v>T6-M2-H5-FC-4-VERIFY</v>
      </c>
      <c r="V1153" s="15">
        <f t="shared" si="7"/>
        <v>0</v>
      </c>
      <c r="W1153" s="31"/>
      <c r="X1153" s="15" t="str">
        <f t="shared" si="8"/>
        <v>mundgod</v>
      </c>
      <c r="Y1153" s="32" t="str">
        <f t="shared" si="9"/>
        <v>https://steelmanufacturer.in/market-area/electropolished-pipes-manufacturer-in-mundgod/</v>
      </c>
      <c r="Z1153" s="15" t="str">
        <f t="shared" si="10"/>
        <v>Electropolished Pipes Manufacturer in Mundgod</v>
      </c>
      <c r="AA1153" s="15" t="str">
        <f t="shared" si="11"/>
        <v>OK (45)</v>
      </c>
      <c r="AB1153" s="15" t="str">
        <f t="shared" si="12"/>
        <v>Electropolished tube supply to KIADB Industrial Area, Mundgod. Ra from 0.25 um, SF4 finish, mill test certificate with every lot.</v>
      </c>
      <c r="AC1153" s="15" t="str">
        <f t="shared" si="13"/>
        <v>PENDING RESEARCH</v>
      </c>
      <c r="AD1153" s="15" t="str">
        <f t="shared" si="14"/>
        <v>Electropolished Pipes Manufacturer in Mundgod</v>
      </c>
      <c r="AE1153" s="15" t="str">
        <f t="shared" si="15"/>
        <v>Electropolished Tube Manufacturing Capability Serving Mundgod</v>
      </c>
      <c r="AF1153" s="15" t="str">
        <f t="shared" si="16"/>
        <v>Electropolished Pipes Supplier in Mundgod - From Order to Delivery</v>
      </c>
      <c r="AG1153" s="15" t="str">
        <f t="shared" si="17"/>
        <v>Stockist &amp; Wholesale Supply of Electropolished Pipes in Mundgod</v>
      </c>
      <c r="AH1153" s="15" t="str">
        <f t="shared" si="18"/>
        <v>electropolished pipes manufacturer in Mundgod, electropolished pipes supplier in Mundgod, electropolished pipes wholesaler in Mundgod, electropolished tube manufacturer Mundgod, EP pipe supplier Mundgod, sanitary tube supplier Mundgod, ASME BPE tubing Mundgod, ASTM A270 tube Mundgod, SS 316L electropolished pipe Mundgod</v>
      </c>
      <c r="AI1153" s="15" t="str">
        <f t="shared" si="19"/>
        <v>Electropolished Pipes Manufacturer &amp; Supplier in Mundgod</v>
      </c>
      <c r="AJ1153" s="15" t="str">
        <f t="shared" si="20"/>
        <v>EP-finished SS 304/316L pipes and tubes for VERIFY plants in Mundgod. ASME BPE SF1-SF4, Ra from 0.25 um, EN 10204 3.1 certificate with every lot.</v>
      </c>
      <c r="AK1153" s="15" t="str">
        <f t="shared" si="21"/>
        <v>Electropolished stainless steel pipes supplied by Sakshi Forge to VERIFY plants at KIADB Industrial Area, Mundgod</v>
      </c>
      <c r="AL1153" s="15" t="str">
        <f t="shared" si="22"/>
        <v>Electropolished SS 316L tube stock for Mundgod - Sakshi Forge</v>
      </c>
      <c r="AM1153" s="15" t="str">
        <f t="shared" si="23"/>
        <v>Home &gt; Market Area &gt; India &gt; Karnataka &gt; Mundgod</v>
      </c>
      <c r="AN1153" s="15">
        <f t="shared" si="24"/>
        <v>750</v>
      </c>
      <c r="AO1153" s="15">
        <f t="shared" si="25"/>
        <v>6</v>
      </c>
      <c r="AP1153" s="15">
        <f t="shared" si="26"/>
        <v>6</v>
      </c>
      <c r="AQ1153" s="15">
        <f t="shared" si="27"/>
        <v>20</v>
      </c>
      <c r="AR1153" s="31"/>
      <c r="AS1153" s="31"/>
      <c r="AT1153" s="35" t="s">
        <v>222</v>
      </c>
      <c r="AU1153" s="35"/>
    </row>
    <row r="1154" ht="15.75" customHeight="1">
      <c r="A1154" s="15" t="s">
        <v>5965</v>
      </c>
      <c r="B1154" s="15" t="s">
        <v>60</v>
      </c>
      <c r="C1154" s="15" t="s">
        <v>224</v>
      </c>
      <c r="D1154" s="15" t="s">
        <v>5966</v>
      </c>
      <c r="E1154" s="15" t="s">
        <v>5966</v>
      </c>
      <c r="F1154" s="58" t="s">
        <v>807</v>
      </c>
      <c r="G1154" s="66" t="s">
        <v>98</v>
      </c>
      <c r="H1154" s="18" t="s">
        <v>5968</v>
      </c>
      <c r="I1154" s="18" t="s">
        <v>8400</v>
      </c>
      <c r="J1154" s="18" t="s">
        <v>98</v>
      </c>
      <c r="K1154" s="18" t="s">
        <v>98</v>
      </c>
      <c r="L1154" s="18" t="s">
        <v>98</v>
      </c>
      <c r="M1154" s="18" t="s">
        <v>98</v>
      </c>
      <c r="N1154" s="18" t="s">
        <v>98</v>
      </c>
      <c r="O1154" s="18" t="s">
        <v>98</v>
      </c>
      <c r="P1154" s="15" t="str">
        <f t="shared" si="1"/>
        <v>VERIFY</v>
      </c>
      <c r="Q1154" s="15">
        <f t="shared" si="2"/>
        <v>7</v>
      </c>
      <c r="R1154" s="15">
        <f t="shared" si="3"/>
        <v>3</v>
      </c>
      <c r="S1154" s="15">
        <f t="shared" si="4"/>
        <v>1</v>
      </c>
      <c r="T1154" s="15" t="str">
        <f t="shared" si="5"/>
        <v>C-5</v>
      </c>
      <c r="U1154" s="15" t="str">
        <f t="shared" si="6"/>
        <v>T7-M3-H1-FC-5-VERIFY</v>
      </c>
      <c r="V1154" s="15">
        <f t="shared" si="7"/>
        <v>0</v>
      </c>
      <c r="W1154" s="31"/>
      <c r="X1154" s="15" t="str">
        <f t="shared" si="8"/>
        <v>mundra</v>
      </c>
      <c r="Y1154" s="32" t="str">
        <f t="shared" si="9"/>
        <v>https://steelmanufacturer.in/market-area/electropolished-pipes-manufacturer-in-mundra/</v>
      </c>
      <c r="Z1154" s="15" t="str">
        <f t="shared" si="10"/>
        <v>Electropolished Pipes Manufacturer in Mundra | ASME BPE SF1-SF4</v>
      </c>
      <c r="AA1154" s="15" t="str">
        <f t="shared" si="11"/>
        <v>OK (63)</v>
      </c>
      <c r="AB1154" s="15" t="str">
        <f t="shared" si="12"/>
        <v>EP stainless tube for VERIFY lines in Mundra. VERIFY. ASTM A270 S2, PMI tested, EN 10204 3.1.</v>
      </c>
      <c r="AC1154" s="15" t="str">
        <f t="shared" si="13"/>
        <v>PENDING RESEARCH</v>
      </c>
      <c r="AD1154" s="15" t="str">
        <f t="shared" si="14"/>
        <v>Electropolished Pipes Manufacturer in Mundra</v>
      </c>
      <c r="AE1154" s="15" t="str">
        <f t="shared" si="15"/>
        <v>Electropolished Pipe &amp; Tube Manufacturing for Mundra - Grades, Finishes &amp; Certification</v>
      </c>
      <c r="AF1154" s="15" t="str">
        <f t="shared" si="16"/>
        <v>Electropolished Pipes Supplier in Mundra - Stock Sizes, Lead Time &amp; Delivery</v>
      </c>
      <c r="AG1154" s="15" t="str">
        <f t="shared" si="17"/>
        <v>Electropolished Pipes Wholesaler &amp; Stockist in Mundra - Bulk &amp; Project Pricing</v>
      </c>
      <c r="AH1154" s="15" t="str">
        <f t="shared" si="18"/>
        <v>electropolished pipes manufacturer in Mundra, electropolished pipes supplier in Mundra, electropolished pipes wholesaler in Mundra, electropolished tube manufacturer Mundra, EP pipe supplier Mundra, sanitary tube supplier Mundra, ASME BPE tubing Mundra, ASTM A270 tube Mundra, SS 316L electropolished pipe Mundra</v>
      </c>
      <c r="AI1154" s="15" t="str">
        <f t="shared" si="19"/>
        <v>Electropolished Pipes Manufacturer &amp; Supplier in Mundra</v>
      </c>
      <c r="AJ1154" s="15" t="str">
        <f t="shared" si="20"/>
        <v>EP-finished SS 304/316L pipes and tubes for VERIFY plants in Mundra. ASME BPE SF1-SF4, Ra from 0.25 um, EN 10204 3.1 certificate with every lot.</v>
      </c>
      <c r="AK1154" s="15" t="str">
        <f t="shared" si="21"/>
        <v>Electropolished stainless steel pipes supplied by Sakshi Forge to VERIFY plants at GIDC Industrial Area, Mundra</v>
      </c>
      <c r="AL1154" s="15" t="str">
        <f t="shared" si="22"/>
        <v>Electropolished SS 316L tube stock for Mundra - Sakshi Forge</v>
      </c>
      <c r="AM1154" s="15" t="str">
        <f t="shared" si="23"/>
        <v>Home &gt; Market Area &gt; India &gt; Gujarat &gt; Mundra</v>
      </c>
      <c r="AN1154" s="15">
        <f t="shared" si="24"/>
        <v>750</v>
      </c>
      <c r="AO1154" s="15">
        <f t="shared" si="25"/>
        <v>6</v>
      </c>
      <c r="AP1154" s="15">
        <f t="shared" si="26"/>
        <v>6</v>
      </c>
      <c r="AQ1154" s="15">
        <f t="shared" si="27"/>
        <v>20</v>
      </c>
      <c r="AR1154" s="31"/>
      <c r="AS1154" s="31"/>
      <c r="AT1154" s="35" t="s">
        <v>222</v>
      </c>
      <c r="AU1154" s="35"/>
    </row>
    <row r="1155" ht="15.75" customHeight="1">
      <c r="A1155" s="15" t="s">
        <v>5969</v>
      </c>
      <c r="B1155" s="15" t="s">
        <v>60</v>
      </c>
      <c r="C1155" s="15" t="s">
        <v>775</v>
      </c>
      <c r="D1155" s="15" t="s">
        <v>5970</v>
      </c>
      <c r="E1155" s="15" t="s">
        <v>5970</v>
      </c>
      <c r="F1155" s="58" t="s">
        <v>807</v>
      </c>
      <c r="G1155" s="66" t="s">
        <v>98</v>
      </c>
      <c r="H1155" s="18" t="s">
        <v>5972</v>
      </c>
      <c r="I1155" s="18" t="s">
        <v>8399</v>
      </c>
      <c r="J1155" s="18" t="s">
        <v>98</v>
      </c>
      <c r="K1155" s="18" t="s">
        <v>98</v>
      </c>
      <c r="L1155" s="18" t="s">
        <v>98</v>
      </c>
      <c r="M1155" s="18" t="s">
        <v>98</v>
      </c>
      <c r="N1155" s="18" t="s">
        <v>98</v>
      </c>
      <c r="O1155" s="18" t="s">
        <v>98</v>
      </c>
      <c r="P1155" s="15" t="str">
        <f t="shared" si="1"/>
        <v>VERIFY</v>
      </c>
      <c r="Q1155" s="15">
        <f t="shared" si="2"/>
        <v>8</v>
      </c>
      <c r="R1155" s="15">
        <f t="shared" si="3"/>
        <v>4</v>
      </c>
      <c r="S1155" s="15">
        <f t="shared" si="4"/>
        <v>2</v>
      </c>
      <c r="T1155" s="15" t="str">
        <f t="shared" si="5"/>
        <v>C-6</v>
      </c>
      <c r="U1155" s="15" t="str">
        <f t="shared" si="6"/>
        <v>T8-M4-H2-FC-6-VERIFY</v>
      </c>
      <c r="V1155" s="15">
        <f t="shared" si="7"/>
        <v>0</v>
      </c>
      <c r="W1155" s="31"/>
      <c r="X1155" s="15" t="str">
        <f t="shared" si="8"/>
        <v>mungeli</v>
      </c>
      <c r="Y1155" s="32" t="str">
        <f t="shared" si="9"/>
        <v>https://steelmanufacturer.in/market-area/electropolished-pipes-manufacturer-in-mungeli/</v>
      </c>
      <c r="Z1155" s="15" t="str">
        <f t="shared" si="10"/>
        <v>Electropolished Pipes Manufacturer in Mungeli - EP Tube Stockist</v>
      </c>
      <c r="AA1155" s="15" t="str">
        <f t="shared" si="11"/>
        <v>OK (64)</v>
      </c>
      <c r="AB1155" s="15" t="str">
        <f t="shared" si="12"/>
        <v>Sanitary electropolished pipes in Mungeli for VERIFY plants. ASME BPE SF1-SF4, orbital-weld ready, 3.1 MTC. Mumbai-made.</v>
      </c>
      <c r="AC1155" s="15" t="str">
        <f t="shared" si="13"/>
        <v>PENDING RESEARCH</v>
      </c>
      <c r="AD1155" s="15" t="str">
        <f t="shared" si="14"/>
        <v>Electropolished Pipes Manufacturer in Mungeli</v>
      </c>
      <c r="AE1155" s="15" t="str">
        <f t="shared" si="15"/>
        <v>How We Manufacture Electropolished Tube for Mungeli Plants</v>
      </c>
      <c r="AF1155" s="15" t="str">
        <f t="shared" si="16"/>
        <v>Supplying Electropolished Pipes in Mungeli: Availability, Sizes &amp; Dispatch</v>
      </c>
      <c r="AG1155" s="15" t="str">
        <f t="shared" si="17"/>
        <v>Wholesale Electropolished Pipe Supply for Mungeli Projects</v>
      </c>
      <c r="AH1155" s="15" t="str">
        <f t="shared" si="18"/>
        <v>electropolished pipes manufacturer in Mungeli, electropolished pipes supplier in Mungeli, electropolished pipes wholesaler in Mungeli, electropolished tube manufacturer Mungeli, EP pipe supplier Mungeli, sanitary tube supplier Mungeli, ASME BPE tubing Mungeli, ASTM A270 tube Mungeli, SS 316L electropolished pipe Mungeli</v>
      </c>
      <c r="AI1155" s="15" t="str">
        <f t="shared" si="19"/>
        <v>Electropolished Pipes Manufacturer &amp; Supplier in Mungeli</v>
      </c>
      <c r="AJ1155" s="15" t="str">
        <f t="shared" si="20"/>
        <v>EP-finished SS 304/316L pipes and tubes for VERIFY plants in Mungeli. ASME BPE SF1-SF4, Ra from 0.25 um, EN 10204 3.1 certificate with every lot.</v>
      </c>
      <c r="AK1155" s="15" t="str">
        <f t="shared" si="21"/>
        <v>Electropolished stainless steel pipes supplied by Sakshi Forge to VERIFY plants at CSIDC Industrial Area, Mungeli</v>
      </c>
      <c r="AL1155" s="15" t="str">
        <f t="shared" si="22"/>
        <v>Electropolished SS 316L tube stock for Mungeli - Sakshi Forge</v>
      </c>
      <c r="AM1155" s="15" t="str">
        <f t="shared" si="23"/>
        <v>Home &gt; Market Area &gt; India &gt; Chhattisgarh &gt; Mungeli</v>
      </c>
      <c r="AN1155" s="15">
        <f t="shared" si="24"/>
        <v>750</v>
      </c>
      <c r="AO1155" s="15">
        <f t="shared" si="25"/>
        <v>6</v>
      </c>
      <c r="AP1155" s="15">
        <f t="shared" si="26"/>
        <v>6</v>
      </c>
      <c r="AQ1155" s="15">
        <f t="shared" si="27"/>
        <v>20</v>
      </c>
      <c r="AR1155" s="31"/>
      <c r="AS1155" s="31"/>
      <c r="AT1155" s="35" t="s">
        <v>222</v>
      </c>
      <c r="AU1155" s="35"/>
    </row>
    <row r="1156" ht="15.75" customHeight="1">
      <c r="A1156" s="15" t="s">
        <v>5973</v>
      </c>
      <c r="B1156" s="15" t="s">
        <v>60</v>
      </c>
      <c r="C1156" s="15" t="s">
        <v>1165</v>
      </c>
      <c r="D1156" s="15" t="s">
        <v>5974</v>
      </c>
      <c r="E1156" s="15" t="s">
        <v>5974</v>
      </c>
      <c r="F1156" s="58" t="s">
        <v>807</v>
      </c>
      <c r="G1156" s="66" t="s">
        <v>98</v>
      </c>
      <c r="H1156" s="18" t="s">
        <v>5976</v>
      </c>
      <c r="I1156" s="18" t="s">
        <v>8404</v>
      </c>
      <c r="J1156" s="18" t="s">
        <v>98</v>
      </c>
      <c r="K1156" s="18" t="s">
        <v>98</v>
      </c>
      <c r="L1156" s="18" t="s">
        <v>98</v>
      </c>
      <c r="M1156" s="18" t="s">
        <v>98</v>
      </c>
      <c r="N1156" s="18" t="s">
        <v>98</v>
      </c>
      <c r="O1156" s="18" t="s">
        <v>98</v>
      </c>
      <c r="P1156" s="15" t="str">
        <f t="shared" si="1"/>
        <v>VERIFY</v>
      </c>
      <c r="Q1156" s="15">
        <f t="shared" si="2"/>
        <v>1</v>
      </c>
      <c r="R1156" s="15">
        <f t="shared" si="3"/>
        <v>5</v>
      </c>
      <c r="S1156" s="15">
        <f t="shared" si="4"/>
        <v>3</v>
      </c>
      <c r="T1156" s="15" t="str">
        <f t="shared" si="5"/>
        <v>C-1</v>
      </c>
      <c r="U1156" s="15" t="str">
        <f t="shared" si="6"/>
        <v>T1-M5-H3-FC-1-VERIFY</v>
      </c>
      <c r="V1156" s="15">
        <f t="shared" si="7"/>
        <v>0</v>
      </c>
      <c r="W1156" s="31"/>
      <c r="X1156" s="15" t="str">
        <f t="shared" si="8"/>
        <v>murarai</v>
      </c>
      <c r="Y1156" s="32" t="str">
        <f t="shared" si="9"/>
        <v>https://steelmanufacturer.in/market-area/electropolished-pipes-manufacturer-in-murarai/</v>
      </c>
      <c r="Z1156" s="15" t="str">
        <f t="shared" si="10"/>
        <v>Electropolished Pipes Manufacturer in Murarai | Sakshi Forge</v>
      </c>
      <c r="AA1156" s="15" t="str">
        <f t="shared" si="11"/>
        <v>OK (60)</v>
      </c>
      <c r="AB1156" s="15" t="str">
        <f t="shared" si="12"/>
        <v>Manufacturer of electropolished SS 316L tube serving Murarai. VERIFY. Ra 0.25-0.5 um, EN 10204 3.1 MTC.</v>
      </c>
      <c r="AC1156" s="15" t="str">
        <f t="shared" si="13"/>
        <v>PENDING RESEARCH</v>
      </c>
      <c r="AD1156" s="15" t="str">
        <f t="shared" si="14"/>
        <v>Electropolished Pipes Manufacturer in Murarai</v>
      </c>
      <c r="AE1156" s="15" t="str">
        <f t="shared" si="15"/>
        <v>Electropolished Pipes Manufacturer in Murarai - Our Process &amp; Capability</v>
      </c>
      <c r="AF1156" s="15" t="str">
        <f t="shared" si="16"/>
        <v>Electropolished Pipes Supplier in Murarai - What We Hold in Stock</v>
      </c>
      <c r="AG1156" s="15" t="str">
        <f t="shared" si="17"/>
        <v>Bulk &amp; Wholesale Electropolished Pipe Rates for Murarai Buyers</v>
      </c>
      <c r="AH1156" s="15" t="str">
        <f t="shared" si="18"/>
        <v>electropolished pipes manufacturer in Murarai, electropolished pipes supplier in Murarai, electropolished pipes wholesaler in Murarai, electropolished tube manufacturer Murarai, EP pipe supplier Murarai, sanitary tube supplier Murarai, ASME BPE tubing Murarai, ASTM A270 tube Murarai, SS 316L electropolished pipe Murarai</v>
      </c>
      <c r="AI1156" s="15" t="str">
        <f t="shared" si="19"/>
        <v>Electropolished Pipes Manufacturer &amp; Supplier in Murarai</v>
      </c>
      <c r="AJ1156" s="15" t="str">
        <f t="shared" si="20"/>
        <v>EP-finished SS 304/316L pipes and tubes for VERIFY plants in Murarai. ASME BPE SF1-SF4, Ra from 0.25 um, EN 10204 3.1 certificate with every lot.</v>
      </c>
      <c r="AK1156" s="15" t="str">
        <f t="shared" si="21"/>
        <v>Electropolished stainless steel pipes supplied by Sakshi Forge to VERIFY plants at WBIDC Industrial Area, Murarai</v>
      </c>
      <c r="AL1156" s="15" t="str">
        <f t="shared" si="22"/>
        <v>Electropolished SS 316L tube stock for Murarai - Sakshi Forge</v>
      </c>
      <c r="AM1156" s="15" t="str">
        <f t="shared" si="23"/>
        <v>Home &gt; Market Area &gt; India &gt; West Bengal &gt; Murarai</v>
      </c>
      <c r="AN1156" s="15">
        <f t="shared" si="24"/>
        <v>750</v>
      </c>
      <c r="AO1156" s="15">
        <f t="shared" si="25"/>
        <v>6</v>
      </c>
      <c r="AP1156" s="15">
        <f t="shared" si="26"/>
        <v>6</v>
      </c>
      <c r="AQ1156" s="15">
        <f t="shared" si="27"/>
        <v>20</v>
      </c>
      <c r="AR1156" s="31"/>
      <c r="AS1156" s="31"/>
      <c r="AT1156" s="35" t="s">
        <v>222</v>
      </c>
      <c r="AU1156" s="35"/>
    </row>
    <row r="1157" ht="15.75" customHeight="1">
      <c r="A1157" s="15" t="s">
        <v>5977</v>
      </c>
      <c r="B1157" s="15" t="s">
        <v>60</v>
      </c>
      <c r="C1157" s="15" t="s">
        <v>1687</v>
      </c>
      <c r="D1157" s="15" t="s">
        <v>5978</v>
      </c>
      <c r="E1157" s="15" t="s">
        <v>5978</v>
      </c>
      <c r="F1157" s="58" t="s">
        <v>807</v>
      </c>
      <c r="G1157" s="66" t="s">
        <v>98</v>
      </c>
      <c r="H1157" s="18" t="s">
        <v>5980</v>
      </c>
      <c r="I1157" s="18" t="s">
        <v>8397</v>
      </c>
      <c r="J1157" s="18" t="s">
        <v>98</v>
      </c>
      <c r="K1157" s="18" t="s">
        <v>98</v>
      </c>
      <c r="L1157" s="18" t="s">
        <v>98</v>
      </c>
      <c r="M1157" s="18" t="s">
        <v>98</v>
      </c>
      <c r="N1157" s="18" t="s">
        <v>98</v>
      </c>
      <c r="O1157" s="18" t="s">
        <v>98</v>
      </c>
      <c r="P1157" s="15" t="str">
        <f t="shared" si="1"/>
        <v>VERIFY</v>
      </c>
      <c r="Q1157" s="15">
        <f t="shared" si="2"/>
        <v>2</v>
      </c>
      <c r="R1157" s="15">
        <f t="shared" si="3"/>
        <v>6</v>
      </c>
      <c r="S1157" s="15">
        <f t="shared" si="4"/>
        <v>4</v>
      </c>
      <c r="T1157" s="15" t="str">
        <f t="shared" si="5"/>
        <v>C-2</v>
      </c>
      <c r="U1157" s="15" t="str">
        <f t="shared" si="6"/>
        <v>T2-M6-H4-FC-2-VERIFY</v>
      </c>
      <c r="V1157" s="15">
        <f t="shared" si="7"/>
        <v>0</v>
      </c>
      <c r="W1157" s="31"/>
      <c r="X1157" s="15" t="str">
        <f t="shared" si="8"/>
        <v>muvattupuzha</v>
      </c>
      <c r="Y1157" s="32" t="str">
        <f t="shared" si="9"/>
        <v>https://steelmanufacturer.in/market-area/electropolished-pipes-manufacturer-in-muvattupuzha/</v>
      </c>
      <c r="Z1157" s="15" t="str">
        <f t="shared" si="10"/>
        <v>Electropolished Pipes Manufacturer in Muvattupuzha</v>
      </c>
      <c r="AA1157" s="15" t="str">
        <f t="shared" si="11"/>
        <v>OK (50)</v>
      </c>
      <c r="AB1157" s="15" t="str">
        <f t="shared" si="12"/>
        <v>EP tube and pipe for VERIFY plants around KINFRA Industrial Area, Muvattupuzha. Made at our Mumbai works to ASTM A270 and ASME BPE SF1-SF4, with 3.1 MTC.</v>
      </c>
      <c r="AC1157" s="15" t="str">
        <f t="shared" si="13"/>
        <v>PENDING RESEARCH</v>
      </c>
      <c r="AD1157" s="15" t="str">
        <f t="shared" si="14"/>
        <v>Electropolished Pipes Manufacturer in Muvattupuzha</v>
      </c>
      <c r="AE1157" s="15" t="str">
        <f t="shared" si="15"/>
        <v>Manufacturing Electropolished SS Tube for Muvattupuzha: The Standards We Build To</v>
      </c>
      <c r="AF1157" s="15" t="str">
        <f t="shared" si="16"/>
        <v>Electropolished Pipe Supply Into Muvattupuzha - Certification &amp; Transit</v>
      </c>
      <c r="AG1157" s="15" t="str">
        <f t="shared" si="17"/>
        <v>Electropolished Pipes Wholesaler in Muvattupuzha - Project Quantities &amp; Terms</v>
      </c>
      <c r="AH1157" s="15" t="str">
        <f t="shared" si="18"/>
        <v>electropolished pipes manufacturer in Muvattupuzha, electropolished pipes supplier in Muvattupuzha, electropolished pipes wholesaler in Muvattupuzha, electropolished tube manufacturer Muvattupuzha, EP pipe supplier Muvattupuzha, sanitary tube supplier Muvattupuzha, ASME BPE tubing Muvattupuzha, ASTM A270 tube Muvattupuzha, SS 316L electropolished pipe Muvattupuzha</v>
      </c>
      <c r="AI1157" s="15" t="str">
        <f t="shared" si="19"/>
        <v>Electropolished Pipes Manufacturer &amp; Supplier in Muvattupuzha</v>
      </c>
      <c r="AJ1157" s="15" t="str">
        <f t="shared" si="20"/>
        <v>EP-finished SS 304/316L pipes and tubes for VERIFY plants in Muvattupuzha. ASME BPE SF1-SF4, Ra from 0.25 um, EN 10204 3.1 certificate with every lot.</v>
      </c>
      <c r="AK1157" s="15" t="str">
        <f t="shared" si="21"/>
        <v>Electropolished stainless steel pipes supplied by Sakshi Forge to VERIFY plants at KINFRA Industrial Area, Muvattupuzha</v>
      </c>
      <c r="AL1157" s="15" t="str">
        <f t="shared" si="22"/>
        <v>Electropolished SS 316L tube stock for Muvattupuzha - Sakshi Forge</v>
      </c>
      <c r="AM1157" s="15" t="str">
        <f t="shared" si="23"/>
        <v>Home &gt; Market Area &gt; India &gt; Kerala &gt; Muvattupuzha</v>
      </c>
      <c r="AN1157" s="15">
        <f t="shared" si="24"/>
        <v>750</v>
      </c>
      <c r="AO1157" s="15">
        <f t="shared" si="25"/>
        <v>6</v>
      </c>
      <c r="AP1157" s="15">
        <f t="shared" si="26"/>
        <v>6</v>
      </c>
      <c r="AQ1157" s="15">
        <f t="shared" si="27"/>
        <v>20</v>
      </c>
      <c r="AR1157" s="31"/>
      <c r="AS1157" s="31"/>
      <c r="AT1157" s="35" t="s">
        <v>222</v>
      </c>
      <c r="AU1157" s="35"/>
    </row>
    <row r="1158" ht="15.75" customHeight="1">
      <c r="A1158" s="15" t="s">
        <v>5981</v>
      </c>
      <c r="B1158" s="15" t="s">
        <v>60</v>
      </c>
      <c r="C1158" s="15" t="s">
        <v>1165</v>
      </c>
      <c r="D1158" s="15" t="s">
        <v>5982</v>
      </c>
      <c r="E1158" s="15" t="s">
        <v>5982</v>
      </c>
      <c r="F1158" s="58" t="s">
        <v>807</v>
      </c>
      <c r="G1158" s="66" t="s">
        <v>98</v>
      </c>
      <c r="H1158" s="18" t="s">
        <v>5984</v>
      </c>
      <c r="I1158" s="18" t="s">
        <v>8404</v>
      </c>
      <c r="J1158" s="18" t="s">
        <v>98</v>
      </c>
      <c r="K1158" s="18" t="s">
        <v>98</v>
      </c>
      <c r="L1158" s="18" t="s">
        <v>98</v>
      </c>
      <c r="M1158" s="18" t="s">
        <v>98</v>
      </c>
      <c r="N1158" s="18" t="s">
        <v>98</v>
      </c>
      <c r="O1158" s="18" t="s">
        <v>98</v>
      </c>
      <c r="P1158" s="15" t="str">
        <f t="shared" si="1"/>
        <v>VERIFY</v>
      </c>
      <c r="Q1158" s="15">
        <f t="shared" si="2"/>
        <v>3</v>
      </c>
      <c r="R1158" s="15">
        <f t="shared" si="3"/>
        <v>7</v>
      </c>
      <c r="S1158" s="15">
        <f t="shared" si="4"/>
        <v>5</v>
      </c>
      <c r="T1158" s="15" t="str">
        <f t="shared" si="5"/>
        <v>C-3</v>
      </c>
      <c r="U1158" s="15" t="str">
        <f t="shared" si="6"/>
        <v>T3-M7-H5-FC-3-VERIFY</v>
      </c>
      <c r="V1158" s="15">
        <f t="shared" si="7"/>
        <v>0</v>
      </c>
      <c r="W1158" s="31"/>
      <c r="X1158" s="15" t="str">
        <f t="shared" si="8"/>
        <v>nabadwip</v>
      </c>
      <c r="Y1158" s="32" t="str">
        <f t="shared" si="9"/>
        <v>https://steelmanufacturer.in/market-area/electropolished-pipes-manufacturer-in-nabadwip/</v>
      </c>
      <c r="Z1158" s="15" t="str">
        <f t="shared" si="10"/>
        <v>Electropolished Pipes Manufacturer in Nabadwip | EP Tube Supplier</v>
      </c>
      <c r="AA1158" s="15" t="str">
        <f t="shared" si="11"/>
        <v>OK (65)</v>
      </c>
      <c r="AB1158" s="15" t="str">
        <f t="shared" si="12"/>
        <v>Electropolished pipes in Nabadwip: 304, 304L, 316 and 316L in SF1-SF4. VERIFY. Mill certified.</v>
      </c>
      <c r="AC1158" s="15" t="str">
        <f t="shared" si="13"/>
        <v>PENDING RESEARCH</v>
      </c>
      <c r="AD1158" s="15" t="str">
        <f t="shared" si="14"/>
        <v>Electropolished Pipes Manufacturer in Nabadwip</v>
      </c>
      <c r="AE1158" s="15" t="str">
        <f t="shared" si="15"/>
        <v>Electropolished Tube Manufacturing Capability Serving Nabadwip</v>
      </c>
      <c r="AF1158" s="15" t="str">
        <f t="shared" si="16"/>
        <v>Electropolished Pipes Supplier in Nabadwip - From Order to Delivery</v>
      </c>
      <c r="AG1158" s="15" t="str">
        <f t="shared" si="17"/>
        <v>Stockist &amp; Wholesale Supply of Electropolished Pipes in Nabadwip</v>
      </c>
      <c r="AH1158" s="15" t="str">
        <f t="shared" si="18"/>
        <v>electropolished pipes manufacturer in Nabadwip, electropolished pipes supplier in Nabadwip, electropolished pipes wholesaler in Nabadwip, electropolished tube manufacturer Nabadwip, EP pipe supplier Nabadwip, sanitary tube supplier Nabadwip, ASME BPE tubing Nabadwip, ASTM A270 tube Nabadwip, SS 316L electropolished pipe Nabadwip</v>
      </c>
      <c r="AI1158" s="15" t="str">
        <f t="shared" si="19"/>
        <v>Electropolished Pipes Manufacturer &amp; Supplier in Nabadwip</v>
      </c>
      <c r="AJ1158" s="15" t="str">
        <f t="shared" si="20"/>
        <v>EP-finished SS 304/316L pipes and tubes for VERIFY plants in Nabadwip. ASME BPE SF1-SF4, Ra from 0.25 um, EN 10204 3.1 certificate with every lot.</v>
      </c>
      <c r="AK1158" s="15" t="str">
        <f t="shared" si="21"/>
        <v>Electropolished stainless steel pipes supplied by Sakshi Forge to VERIFY plants at WBIDC Industrial Area, Nabadwip</v>
      </c>
      <c r="AL1158" s="15" t="str">
        <f t="shared" si="22"/>
        <v>Electropolished SS 316L tube stock for Nabadwip - Sakshi Forge</v>
      </c>
      <c r="AM1158" s="15" t="str">
        <f t="shared" si="23"/>
        <v>Home &gt; Market Area &gt; India &gt; West Bengal &gt; Nabadwip</v>
      </c>
      <c r="AN1158" s="15">
        <f t="shared" si="24"/>
        <v>750</v>
      </c>
      <c r="AO1158" s="15">
        <f t="shared" si="25"/>
        <v>6</v>
      </c>
      <c r="AP1158" s="15">
        <f t="shared" si="26"/>
        <v>6</v>
      </c>
      <c r="AQ1158" s="15">
        <f t="shared" si="27"/>
        <v>20</v>
      </c>
      <c r="AR1158" s="31"/>
      <c r="AS1158" s="31"/>
      <c r="AT1158" s="35" t="s">
        <v>222</v>
      </c>
      <c r="AU1158" s="35"/>
    </row>
    <row r="1159" ht="15.75" customHeight="1">
      <c r="A1159" s="15" t="s">
        <v>5985</v>
      </c>
      <c r="B1159" s="15" t="s">
        <v>60</v>
      </c>
      <c r="C1159" s="15" t="s">
        <v>570</v>
      </c>
      <c r="D1159" s="15" t="s">
        <v>5986</v>
      </c>
      <c r="E1159" s="15" t="s">
        <v>5986</v>
      </c>
      <c r="F1159" s="58" t="s">
        <v>807</v>
      </c>
      <c r="G1159" s="66" t="s">
        <v>98</v>
      </c>
      <c r="H1159" s="18" t="s">
        <v>5988</v>
      </c>
      <c r="I1159" s="18" t="s">
        <v>8405</v>
      </c>
      <c r="J1159" s="18" t="s">
        <v>98</v>
      </c>
      <c r="K1159" s="18" t="s">
        <v>98</v>
      </c>
      <c r="L1159" s="18" t="s">
        <v>98</v>
      </c>
      <c r="M1159" s="18" t="s">
        <v>98</v>
      </c>
      <c r="N1159" s="18" t="s">
        <v>98</v>
      </c>
      <c r="O1159" s="18" t="s">
        <v>98</v>
      </c>
      <c r="P1159" s="15" t="str">
        <f t="shared" si="1"/>
        <v>VERIFY</v>
      </c>
      <c r="Q1159" s="15">
        <f t="shared" si="2"/>
        <v>4</v>
      </c>
      <c r="R1159" s="15">
        <f t="shared" si="3"/>
        <v>1</v>
      </c>
      <c r="S1159" s="15">
        <f t="shared" si="4"/>
        <v>1</v>
      </c>
      <c r="T1159" s="15" t="str">
        <f t="shared" si="5"/>
        <v>C-4</v>
      </c>
      <c r="U1159" s="15" t="str">
        <f t="shared" si="6"/>
        <v>T4-M1-H1-FC-4-VERIFY</v>
      </c>
      <c r="V1159" s="15">
        <f t="shared" si="7"/>
        <v>0</v>
      </c>
      <c r="W1159" s="31"/>
      <c r="X1159" s="15" t="str">
        <f t="shared" si="8"/>
        <v>nagamangala</v>
      </c>
      <c r="Y1159" s="32" t="str">
        <f t="shared" si="9"/>
        <v>https://steelmanufacturer.in/market-area/electropolished-pipes-manufacturer-in-nagamangala/</v>
      </c>
      <c r="Z1159" s="15" t="str">
        <f t="shared" si="10"/>
        <v>Electropolished Pipes Manufacturer in Nagamangala</v>
      </c>
      <c r="AA1159" s="15" t="str">
        <f t="shared" si="11"/>
        <v>OK (49)</v>
      </c>
      <c r="AB1159" s="15" t="str">
        <f t="shared" si="12"/>
        <v>EP-finished SS 304/316L pipes &amp; tubes for VERIFY plants in Nagamangala. ASTM A270, ASME BPE SF1-SF4, EN 10204 3.1 MTC. PMI tested.</v>
      </c>
      <c r="AC1159" s="15" t="str">
        <f t="shared" si="13"/>
        <v>PENDING RESEARCH</v>
      </c>
      <c r="AD1159" s="15" t="str">
        <f t="shared" si="14"/>
        <v>Electropolished Pipes Manufacturer in Nagamangala</v>
      </c>
      <c r="AE1159" s="15" t="str">
        <f t="shared" si="15"/>
        <v>Electropolished Pipe &amp; Tube Manufacturing for Nagamangala - Grades, Finishes &amp; Certification</v>
      </c>
      <c r="AF1159" s="15" t="str">
        <f t="shared" si="16"/>
        <v>Electropolished Pipes Supplier in Nagamangala - Stock Sizes, Lead Time &amp; Delivery</v>
      </c>
      <c r="AG1159" s="15" t="str">
        <f t="shared" si="17"/>
        <v>Electropolished Pipes Wholesaler &amp; Stockist in Nagamangala - Bulk &amp; Project Pricing</v>
      </c>
      <c r="AH1159" s="15" t="str">
        <f t="shared" si="18"/>
        <v>electropolished pipes manufacturer in Nagamangala, electropolished pipes supplier in Nagamangala, electropolished pipes wholesaler in Nagamangala, electropolished tube manufacturer Nagamangala, EP pipe supplier Nagamangala, sanitary tube supplier Nagamangala, ASME BPE tubing Nagamangala, ASTM A270 tube Nagamangala, SS 316L electropolished pipe Nagamangala</v>
      </c>
      <c r="AI1159" s="15" t="str">
        <f t="shared" si="19"/>
        <v>Electropolished Pipes Manufacturer &amp; Supplier in Nagamangala</v>
      </c>
      <c r="AJ1159" s="15" t="str">
        <f t="shared" si="20"/>
        <v>EP-finished SS 304/316L pipes and tubes for VERIFY plants in Nagamangala. ASME BPE SF1-SF4, Ra from 0.25 um, EN 10204 3.1 certificate with every lot.</v>
      </c>
      <c r="AK1159" s="15" t="str">
        <f t="shared" si="21"/>
        <v>Electropolished stainless steel pipes supplied by Sakshi Forge to VERIFY plants at KIADB Industrial Area, Nagamangala</v>
      </c>
      <c r="AL1159" s="15" t="str">
        <f t="shared" si="22"/>
        <v>Electropolished SS 316L tube stock for Nagamangala - Sakshi Forge</v>
      </c>
      <c r="AM1159" s="15" t="str">
        <f t="shared" si="23"/>
        <v>Home &gt; Market Area &gt; India &gt; Karnataka &gt; Nagamangala</v>
      </c>
      <c r="AN1159" s="15">
        <f t="shared" si="24"/>
        <v>750</v>
      </c>
      <c r="AO1159" s="15">
        <f t="shared" si="25"/>
        <v>6</v>
      </c>
      <c r="AP1159" s="15">
        <f t="shared" si="26"/>
        <v>6</v>
      </c>
      <c r="AQ1159" s="15">
        <f t="shared" si="27"/>
        <v>20</v>
      </c>
      <c r="AR1159" s="31"/>
      <c r="AS1159" s="31"/>
      <c r="AT1159" s="35" t="s">
        <v>222</v>
      </c>
      <c r="AU1159" s="35"/>
    </row>
    <row r="1160" ht="15.75" customHeight="1">
      <c r="A1160" s="15" t="s">
        <v>5989</v>
      </c>
      <c r="B1160" s="15" t="s">
        <v>60</v>
      </c>
      <c r="C1160" s="15" t="s">
        <v>842</v>
      </c>
      <c r="D1160" s="15" t="s">
        <v>5990</v>
      </c>
      <c r="E1160" s="15" t="s">
        <v>5990</v>
      </c>
      <c r="F1160" s="58" t="s">
        <v>807</v>
      </c>
      <c r="G1160" s="66" t="s">
        <v>98</v>
      </c>
      <c r="H1160" s="18" t="s">
        <v>5992</v>
      </c>
      <c r="I1160" s="18" t="s">
        <v>8413</v>
      </c>
      <c r="J1160" s="18" t="s">
        <v>98</v>
      </c>
      <c r="K1160" s="18" t="s">
        <v>98</v>
      </c>
      <c r="L1160" s="18" t="s">
        <v>98</v>
      </c>
      <c r="M1160" s="18" t="s">
        <v>98</v>
      </c>
      <c r="N1160" s="18" t="s">
        <v>98</v>
      </c>
      <c r="O1160" s="18" t="s">
        <v>98</v>
      </c>
      <c r="P1160" s="15" t="str">
        <f t="shared" si="1"/>
        <v>VERIFY</v>
      </c>
      <c r="Q1160" s="15">
        <f t="shared" si="2"/>
        <v>5</v>
      </c>
      <c r="R1160" s="15">
        <f t="shared" si="3"/>
        <v>2</v>
      </c>
      <c r="S1160" s="15">
        <f t="shared" si="4"/>
        <v>2</v>
      </c>
      <c r="T1160" s="15" t="str">
        <f t="shared" si="5"/>
        <v>C-5</v>
      </c>
      <c r="U1160" s="15" t="str">
        <f t="shared" si="6"/>
        <v>T5-M2-H2-FC-5-VERIFY</v>
      </c>
      <c r="V1160" s="15">
        <f t="shared" si="7"/>
        <v>0</v>
      </c>
      <c r="W1160" s="31"/>
      <c r="X1160" s="15" t="str">
        <f t="shared" si="8"/>
        <v>nagda</v>
      </c>
      <c r="Y1160" s="32" t="str">
        <f t="shared" si="9"/>
        <v>https://steelmanufacturer.in/market-area/electropolished-pipes-manufacturer-in-nagda/</v>
      </c>
      <c r="Z1160" s="15" t="str">
        <f t="shared" si="10"/>
        <v>Electropolished Pipes Manufacturer in Nagda</v>
      </c>
      <c r="AA1160" s="15" t="str">
        <f t="shared" si="11"/>
        <v>OK (43)</v>
      </c>
      <c r="AB1160" s="15" t="str">
        <f t="shared" si="12"/>
        <v>Electropolished tube supply to MPIDC Industrial Area, Nagda. Ra from 0.25 um, SF4 finish, mill test certificate with every lot.</v>
      </c>
      <c r="AC1160" s="15" t="str">
        <f t="shared" si="13"/>
        <v>PENDING RESEARCH</v>
      </c>
      <c r="AD1160" s="15" t="str">
        <f t="shared" si="14"/>
        <v>Electropolished Pipes Manufacturer in Nagda</v>
      </c>
      <c r="AE1160" s="15" t="str">
        <f t="shared" si="15"/>
        <v>How We Manufacture Electropolished Tube for Nagda Plants</v>
      </c>
      <c r="AF1160" s="15" t="str">
        <f t="shared" si="16"/>
        <v>Supplying Electropolished Pipes in Nagda: Availability, Sizes &amp; Dispatch</v>
      </c>
      <c r="AG1160" s="15" t="str">
        <f t="shared" si="17"/>
        <v>Wholesale Electropolished Pipe Supply for Nagda Projects</v>
      </c>
      <c r="AH1160" s="15" t="str">
        <f t="shared" si="18"/>
        <v>electropolished pipes manufacturer in Nagda, electropolished pipes supplier in Nagda, electropolished pipes wholesaler in Nagda, electropolished tube manufacturer Nagda, EP pipe supplier Nagda, sanitary tube supplier Nagda, ASME BPE tubing Nagda, ASTM A270 tube Nagda, SS 316L electropolished pipe Nagda</v>
      </c>
      <c r="AI1160" s="15" t="str">
        <f t="shared" si="19"/>
        <v>Electropolished Pipes Manufacturer &amp; Supplier in Nagda</v>
      </c>
      <c r="AJ1160" s="15" t="str">
        <f t="shared" si="20"/>
        <v>EP-finished SS 304/316L pipes and tubes for VERIFY plants in Nagda. ASME BPE SF1-SF4, Ra from 0.25 um, EN 10204 3.1 certificate with every lot.</v>
      </c>
      <c r="AK1160" s="15" t="str">
        <f t="shared" si="21"/>
        <v>Electropolished stainless steel pipes supplied by Sakshi Forge to VERIFY plants at MPIDC Industrial Area, Nagda</v>
      </c>
      <c r="AL1160" s="15" t="str">
        <f t="shared" si="22"/>
        <v>Electropolished SS 316L tube stock for Nagda - Sakshi Forge</v>
      </c>
      <c r="AM1160" s="15" t="str">
        <f t="shared" si="23"/>
        <v>Home &gt; Market Area &gt; India &gt; Madhya Pradesh &gt; Nagda</v>
      </c>
      <c r="AN1160" s="15">
        <f t="shared" si="24"/>
        <v>750</v>
      </c>
      <c r="AO1160" s="15">
        <f t="shared" si="25"/>
        <v>6</v>
      </c>
      <c r="AP1160" s="15">
        <f t="shared" si="26"/>
        <v>6</v>
      </c>
      <c r="AQ1160" s="15">
        <f t="shared" si="27"/>
        <v>20</v>
      </c>
      <c r="AR1160" s="31"/>
      <c r="AS1160" s="31"/>
      <c r="AT1160" s="35" t="s">
        <v>222</v>
      </c>
      <c r="AU1160" s="35"/>
    </row>
    <row r="1161" ht="15.75" customHeight="1">
      <c r="A1161" s="15" t="s">
        <v>5993</v>
      </c>
      <c r="B1161" s="15" t="s">
        <v>60</v>
      </c>
      <c r="C1161" s="15" t="s">
        <v>264</v>
      </c>
      <c r="D1161" s="15" t="s">
        <v>5995</v>
      </c>
      <c r="E1161" s="15" t="s">
        <v>5995</v>
      </c>
      <c r="F1161" s="58" t="s">
        <v>807</v>
      </c>
      <c r="G1161" s="66" t="s">
        <v>98</v>
      </c>
      <c r="H1161" s="18" t="s">
        <v>5999</v>
      </c>
      <c r="I1161" s="18" t="s">
        <v>8395</v>
      </c>
      <c r="J1161" s="18" t="s">
        <v>98</v>
      </c>
      <c r="K1161" s="18" t="s">
        <v>98</v>
      </c>
      <c r="L1161" s="18" t="s">
        <v>98</v>
      </c>
      <c r="M1161" s="18" t="s">
        <v>98</v>
      </c>
      <c r="N1161" s="18" t="s">
        <v>98</v>
      </c>
      <c r="O1161" s="18" t="s">
        <v>98</v>
      </c>
      <c r="P1161" s="15" t="str">
        <f t="shared" si="1"/>
        <v>VERIFY</v>
      </c>
      <c r="Q1161" s="15">
        <f t="shared" si="2"/>
        <v>6</v>
      </c>
      <c r="R1161" s="15">
        <f t="shared" si="3"/>
        <v>3</v>
      </c>
      <c r="S1161" s="15">
        <f t="shared" si="4"/>
        <v>3</v>
      </c>
      <c r="T1161" s="15" t="str">
        <f t="shared" si="5"/>
        <v>C-6</v>
      </c>
      <c r="U1161" s="15" t="str">
        <f t="shared" si="6"/>
        <v>T6-M3-H3-FC-6-VERIFY</v>
      </c>
      <c r="V1161" s="15">
        <f t="shared" si="7"/>
        <v>0</v>
      </c>
      <c r="W1161" s="31"/>
      <c r="X1161" s="15" t="str">
        <f t="shared" si="8"/>
        <v>naigaon</v>
      </c>
      <c r="Y1161" s="32" t="str">
        <f t="shared" si="9"/>
        <v>https://steelmanufacturer.in/market-area/electropolished-pipes-manufacturer-in-naigaon/</v>
      </c>
      <c r="Z1161" s="15" t="str">
        <f t="shared" si="10"/>
        <v>Electropolished Pipes Manufacturer in Naigaon</v>
      </c>
      <c r="AA1161" s="15" t="str">
        <f t="shared" si="11"/>
        <v>OK (45)</v>
      </c>
      <c r="AB1161" s="15" t="str">
        <f t="shared" si="12"/>
        <v>EP stainless tube for VERIFY lines in Naigaon. VERIFY. ASTM A270 S2, PMI tested, EN 10204 3.1.</v>
      </c>
      <c r="AC1161" s="15" t="str">
        <f t="shared" si="13"/>
        <v>PENDING RESEARCH</v>
      </c>
      <c r="AD1161" s="15" t="str">
        <f t="shared" si="14"/>
        <v>Electropolished Pipes Manufacturer in Naigaon</v>
      </c>
      <c r="AE1161" s="15" t="str">
        <f t="shared" si="15"/>
        <v>Electropolished Pipes Manufacturer in Naigaon - Our Process &amp; Capability</v>
      </c>
      <c r="AF1161" s="15" t="str">
        <f t="shared" si="16"/>
        <v>Electropolished Pipes Supplier in Naigaon - What We Hold in Stock</v>
      </c>
      <c r="AG1161" s="15" t="str">
        <f t="shared" si="17"/>
        <v>Bulk &amp; Wholesale Electropolished Pipe Rates for Naigaon Buyers</v>
      </c>
      <c r="AH1161" s="15" t="str">
        <f t="shared" si="18"/>
        <v>electropolished pipes manufacturer in Naigaon, electropolished pipes supplier in Naigaon, electropolished pipes wholesaler in Naigaon, electropolished tube manufacturer Naigaon, EP pipe supplier Naigaon, sanitary tube supplier Naigaon, ASME BPE tubing Naigaon, ASTM A270 tube Naigaon, SS 316L electropolished pipe Naigaon</v>
      </c>
      <c r="AI1161" s="15" t="str">
        <f t="shared" si="19"/>
        <v>Electropolished Pipes Manufacturer &amp; Supplier in Naigaon</v>
      </c>
      <c r="AJ1161" s="15" t="str">
        <f t="shared" si="20"/>
        <v>EP-finished SS 304/316L pipes and tubes for VERIFY plants in Naigaon. ASME BPE SF1-SF4, Ra from 0.25 um, EN 10204 3.1 certificate with every lot.</v>
      </c>
      <c r="AK1161" s="15" t="str">
        <f t="shared" si="21"/>
        <v>Electropolished stainless steel pipes supplied by Sakshi Forge to VERIFY plants at MIDC Industrial Area, Naigaon</v>
      </c>
      <c r="AL1161" s="15" t="str">
        <f t="shared" si="22"/>
        <v>Electropolished SS 316L tube stock for Naigaon - Sakshi Forge</v>
      </c>
      <c r="AM1161" s="15" t="str">
        <f t="shared" si="23"/>
        <v>Home &gt; Market Area &gt; India &gt; Maharashtra &gt; Naigaon</v>
      </c>
      <c r="AN1161" s="15">
        <f t="shared" si="24"/>
        <v>750</v>
      </c>
      <c r="AO1161" s="15">
        <f t="shared" si="25"/>
        <v>6</v>
      </c>
      <c r="AP1161" s="15">
        <f t="shared" si="26"/>
        <v>6</v>
      </c>
      <c r="AQ1161" s="15">
        <f t="shared" si="27"/>
        <v>20</v>
      </c>
      <c r="AR1161" s="31"/>
      <c r="AS1161" s="31"/>
      <c r="AT1161" s="35" t="s">
        <v>222</v>
      </c>
      <c r="AU1161" s="35"/>
    </row>
    <row r="1162" ht="15.75" customHeight="1">
      <c r="A1162" s="15" t="s">
        <v>6003</v>
      </c>
      <c r="B1162" s="15" t="s">
        <v>60</v>
      </c>
      <c r="C1162" s="15" t="s">
        <v>1139</v>
      </c>
      <c r="D1162" s="15" t="s">
        <v>6004</v>
      </c>
      <c r="E1162" s="15" t="s">
        <v>6004</v>
      </c>
      <c r="F1162" s="58" t="s">
        <v>807</v>
      </c>
      <c r="G1162" s="66" t="s">
        <v>98</v>
      </c>
      <c r="H1162" s="18" t="s">
        <v>6006</v>
      </c>
      <c r="I1162" s="18" t="s">
        <v>8410</v>
      </c>
      <c r="J1162" s="18" t="s">
        <v>98</v>
      </c>
      <c r="K1162" s="18" t="s">
        <v>98</v>
      </c>
      <c r="L1162" s="18" t="s">
        <v>98</v>
      </c>
      <c r="M1162" s="18" t="s">
        <v>98</v>
      </c>
      <c r="N1162" s="18" t="s">
        <v>98</v>
      </c>
      <c r="O1162" s="18" t="s">
        <v>98</v>
      </c>
      <c r="P1162" s="15" t="str">
        <f t="shared" si="1"/>
        <v>VERIFY</v>
      </c>
      <c r="Q1162" s="15">
        <f t="shared" si="2"/>
        <v>7</v>
      </c>
      <c r="R1162" s="15">
        <f t="shared" si="3"/>
        <v>4</v>
      </c>
      <c r="S1162" s="15">
        <f t="shared" si="4"/>
        <v>4</v>
      </c>
      <c r="T1162" s="15" t="str">
        <f t="shared" si="5"/>
        <v>C-1</v>
      </c>
      <c r="U1162" s="15" t="str">
        <f t="shared" si="6"/>
        <v>T7-M4-H4-FC-1-VERIFY</v>
      </c>
      <c r="V1162" s="15">
        <f t="shared" si="7"/>
        <v>0</v>
      </c>
      <c r="W1162" s="31"/>
      <c r="X1162" s="15" t="str">
        <f t="shared" si="8"/>
        <v>nainital</v>
      </c>
      <c r="Y1162" s="32" t="str">
        <f t="shared" si="9"/>
        <v>https://steelmanufacturer.in/market-area/electropolished-pipes-manufacturer-in-nainital/</v>
      </c>
      <c r="Z1162" s="15" t="str">
        <f t="shared" si="10"/>
        <v>Electropolished Pipes Manufacturer in Nainital | ASME BPE SF1-SF4</v>
      </c>
      <c r="AA1162" s="15" t="str">
        <f t="shared" si="11"/>
        <v>OK (65)</v>
      </c>
      <c r="AB1162" s="15" t="str">
        <f t="shared" si="12"/>
        <v>Sanitary electropolished pipes in Nainital for VERIFY plants. ASME BPE SF1-SF4, orbital-weld ready, 3.1 MTC. Mumbai-made.</v>
      </c>
      <c r="AC1162" s="15" t="str">
        <f t="shared" si="13"/>
        <v>PENDING RESEARCH</v>
      </c>
      <c r="AD1162" s="15" t="str">
        <f t="shared" si="14"/>
        <v>Electropolished Pipes Manufacturer in Nainital</v>
      </c>
      <c r="AE1162" s="15" t="str">
        <f t="shared" si="15"/>
        <v>Manufacturing Electropolished SS Tube for Nainital: The Standards We Build To</v>
      </c>
      <c r="AF1162" s="15" t="str">
        <f t="shared" si="16"/>
        <v>Electropolished Pipe Supply Into Nainital - Certification &amp; Transit</v>
      </c>
      <c r="AG1162" s="15" t="str">
        <f t="shared" si="17"/>
        <v>Electropolished Pipes Wholesaler in Nainital - Project Quantities &amp; Terms</v>
      </c>
      <c r="AH1162" s="15" t="str">
        <f t="shared" si="18"/>
        <v>electropolished pipes manufacturer in Nainital, electropolished pipes supplier in Nainital, electropolished pipes wholesaler in Nainital, electropolished tube manufacturer Nainital, EP pipe supplier Nainital, sanitary tube supplier Nainital, ASME BPE tubing Nainital, ASTM A270 tube Nainital, SS 316L electropolished pipe Nainital</v>
      </c>
      <c r="AI1162" s="15" t="str">
        <f t="shared" si="19"/>
        <v>Electropolished Pipes Manufacturer &amp; Supplier in Nainital</v>
      </c>
      <c r="AJ1162" s="15" t="str">
        <f t="shared" si="20"/>
        <v>EP-finished SS 304/316L pipes and tubes for VERIFY plants in Nainital. ASME BPE SF1-SF4, Ra from 0.25 um, EN 10204 3.1 certificate with every lot.</v>
      </c>
      <c r="AK1162" s="15" t="str">
        <f t="shared" si="21"/>
        <v>Electropolished stainless steel pipes supplied by Sakshi Forge to VERIFY plants at SIIDCUL Industrial Area, Nainital</v>
      </c>
      <c r="AL1162" s="15" t="str">
        <f t="shared" si="22"/>
        <v>Electropolished SS 316L tube stock for Nainital - Sakshi Forge</v>
      </c>
      <c r="AM1162" s="15" t="str">
        <f t="shared" si="23"/>
        <v>Home &gt; Market Area &gt; India &gt; Uttarakhand &gt; Nainital</v>
      </c>
      <c r="AN1162" s="15">
        <f t="shared" si="24"/>
        <v>750</v>
      </c>
      <c r="AO1162" s="15">
        <f t="shared" si="25"/>
        <v>6</v>
      </c>
      <c r="AP1162" s="15">
        <f t="shared" si="26"/>
        <v>6</v>
      </c>
      <c r="AQ1162" s="15">
        <f t="shared" si="27"/>
        <v>20</v>
      </c>
      <c r="AR1162" s="31"/>
      <c r="AS1162" s="31"/>
      <c r="AT1162" s="35" t="s">
        <v>222</v>
      </c>
      <c r="AU1162" s="35"/>
    </row>
    <row r="1163" ht="15.75" customHeight="1">
      <c r="A1163" s="15" t="s">
        <v>6007</v>
      </c>
      <c r="B1163" s="15" t="s">
        <v>60</v>
      </c>
      <c r="C1163" s="15" t="s">
        <v>85</v>
      </c>
      <c r="D1163" s="15" t="s">
        <v>6008</v>
      </c>
      <c r="E1163" s="15" t="s">
        <v>6008</v>
      </c>
      <c r="F1163" s="58" t="s">
        <v>807</v>
      </c>
      <c r="G1163" s="66" t="s">
        <v>98</v>
      </c>
      <c r="H1163" s="18" t="s">
        <v>6010</v>
      </c>
      <c r="I1163" s="18" t="s">
        <v>8398</v>
      </c>
      <c r="J1163" s="18" t="s">
        <v>98</v>
      </c>
      <c r="K1163" s="18" t="s">
        <v>98</v>
      </c>
      <c r="L1163" s="18" t="s">
        <v>98</v>
      </c>
      <c r="M1163" s="18" t="s">
        <v>98</v>
      </c>
      <c r="N1163" s="18" t="s">
        <v>98</v>
      </c>
      <c r="O1163" s="18" t="s">
        <v>98</v>
      </c>
      <c r="P1163" s="15" t="str">
        <f t="shared" si="1"/>
        <v>VERIFY</v>
      </c>
      <c r="Q1163" s="15">
        <f t="shared" si="2"/>
        <v>8</v>
      </c>
      <c r="R1163" s="15">
        <f t="shared" si="3"/>
        <v>5</v>
      </c>
      <c r="S1163" s="15">
        <f t="shared" si="4"/>
        <v>5</v>
      </c>
      <c r="T1163" s="15" t="str">
        <f t="shared" si="5"/>
        <v>C-2</v>
      </c>
      <c r="U1163" s="15" t="str">
        <f t="shared" si="6"/>
        <v>T8-M5-H5-FC-2-VERIFY</v>
      </c>
      <c r="V1163" s="15">
        <f t="shared" si="7"/>
        <v>0</v>
      </c>
      <c r="W1163" s="31"/>
      <c r="X1163" s="15" t="str">
        <f t="shared" si="8"/>
        <v>najibabad</v>
      </c>
      <c r="Y1163" s="32" t="str">
        <f t="shared" si="9"/>
        <v>https://steelmanufacturer.in/market-area/electropolished-pipes-manufacturer-in-najibabad/</v>
      </c>
      <c r="Z1163" s="15" t="str">
        <f t="shared" si="10"/>
        <v>Electropolished Pipes Manufacturer in Najibabad</v>
      </c>
      <c r="AA1163" s="15" t="str">
        <f t="shared" si="11"/>
        <v>OK (47)</v>
      </c>
      <c r="AB1163" s="15" t="str">
        <f t="shared" si="12"/>
        <v>Manufacturer of electropolished SS 316L tube serving Najibabad. VERIFY. Ra 0.25-0.5 um, EN 10204 3.1 MTC.</v>
      </c>
      <c r="AC1163" s="15" t="str">
        <f t="shared" si="13"/>
        <v>PENDING RESEARCH</v>
      </c>
      <c r="AD1163" s="15" t="str">
        <f t="shared" si="14"/>
        <v>Electropolished Pipes Manufacturer in Najibabad</v>
      </c>
      <c r="AE1163" s="15" t="str">
        <f t="shared" si="15"/>
        <v>Electropolished Tube Manufacturing Capability Serving Najibabad</v>
      </c>
      <c r="AF1163" s="15" t="str">
        <f t="shared" si="16"/>
        <v>Electropolished Pipes Supplier in Najibabad - From Order to Delivery</v>
      </c>
      <c r="AG1163" s="15" t="str">
        <f t="shared" si="17"/>
        <v>Stockist &amp; Wholesale Supply of Electropolished Pipes in Najibabad</v>
      </c>
      <c r="AH1163" s="15" t="str">
        <f t="shared" si="18"/>
        <v>electropolished pipes manufacturer in Najibabad, electropolished pipes supplier in Najibabad, electropolished pipes wholesaler in Najibabad, electropolished tube manufacturer Najibabad, EP pipe supplier Najibabad, sanitary tube supplier Najibabad, ASME BPE tubing Najibabad, ASTM A270 tube Najibabad, SS 316L electropolished pipe Najibabad</v>
      </c>
      <c r="AI1163" s="15" t="str">
        <f t="shared" si="19"/>
        <v>Electropolished Pipes Manufacturer &amp; Supplier in Najibabad</v>
      </c>
      <c r="AJ1163" s="15" t="str">
        <f t="shared" si="20"/>
        <v>EP-finished SS 304/316L pipes and tubes for VERIFY plants in Najibabad. ASME BPE SF1-SF4, Ra from 0.25 um, EN 10204 3.1 certificate with every lot.</v>
      </c>
      <c r="AK1163" s="15" t="str">
        <f t="shared" si="21"/>
        <v>Electropolished stainless steel pipes supplied by Sakshi Forge to VERIFY plants at UPSIDA Industrial Area, Najibabad</v>
      </c>
      <c r="AL1163" s="15" t="str">
        <f t="shared" si="22"/>
        <v>Electropolished SS 316L tube stock for Najibabad - Sakshi Forge</v>
      </c>
      <c r="AM1163" s="15" t="str">
        <f t="shared" si="23"/>
        <v>Home &gt; Market Area &gt; India &gt; Uttar Pradesh &gt; Najibabad</v>
      </c>
      <c r="AN1163" s="15">
        <f t="shared" si="24"/>
        <v>750</v>
      </c>
      <c r="AO1163" s="15">
        <f t="shared" si="25"/>
        <v>6</v>
      </c>
      <c r="AP1163" s="15">
        <f t="shared" si="26"/>
        <v>6</v>
      </c>
      <c r="AQ1163" s="15">
        <f t="shared" si="27"/>
        <v>20</v>
      </c>
      <c r="AR1163" s="31"/>
      <c r="AS1163" s="31"/>
      <c r="AT1163" s="35" t="s">
        <v>222</v>
      </c>
      <c r="AU1163" s="35"/>
    </row>
    <row r="1164" ht="15.75" customHeight="1">
      <c r="A1164" s="15" t="s">
        <v>6011</v>
      </c>
      <c r="B1164" s="15" t="s">
        <v>60</v>
      </c>
      <c r="C1164" s="15" t="s">
        <v>354</v>
      </c>
      <c r="D1164" s="15" t="s">
        <v>6012</v>
      </c>
      <c r="E1164" s="15" t="s">
        <v>6012</v>
      </c>
      <c r="F1164" s="58" t="s">
        <v>807</v>
      </c>
      <c r="G1164" s="66" t="s">
        <v>98</v>
      </c>
      <c r="H1164" s="18" t="s">
        <v>6014</v>
      </c>
      <c r="I1164" s="18" t="s">
        <v>8408</v>
      </c>
      <c r="J1164" s="18" t="s">
        <v>98</v>
      </c>
      <c r="K1164" s="18" t="s">
        <v>98</v>
      </c>
      <c r="L1164" s="18" t="s">
        <v>98</v>
      </c>
      <c r="M1164" s="18" t="s">
        <v>98</v>
      </c>
      <c r="N1164" s="18" t="s">
        <v>98</v>
      </c>
      <c r="O1164" s="18" t="s">
        <v>98</v>
      </c>
      <c r="P1164" s="15" t="str">
        <f t="shared" si="1"/>
        <v>VERIFY</v>
      </c>
      <c r="Q1164" s="15">
        <f t="shared" si="2"/>
        <v>1</v>
      </c>
      <c r="R1164" s="15">
        <f t="shared" si="3"/>
        <v>6</v>
      </c>
      <c r="S1164" s="15">
        <f t="shared" si="4"/>
        <v>1</v>
      </c>
      <c r="T1164" s="15" t="str">
        <f t="shared" si="5"/>
        <v>C-3</v>
      </c>
      <c r="U1164" s="15" t="str">
        <f t="shared" si="6"/>
        <v>T1-M6-H1-FC-3-VERIFY</v>
      </c>
      <c r="V1164" s="15">
        <f t="shared" si="7"/>
        <v>0</v>
      </c>
      <c r="W1164" s="31"/>
      <c r="X1164" s="15" t="str">
        <f t="shared" si="8"/>
        <v>nakodar</v>
      </c>
      <c r="Y1164" s="32" t="str">
        <f t="shared" si="9"/>
        <v>https://steelmanufacturer.in/market-area/electropolished-pipes-manufacturer-in-nakodar/</v>
      </c>
      <c r="Z1164" s="15" t="str">
        <f t="shared" si="10"/>
        <v>Electropolished Pipes Manufacturer in Nakodar | Sakshi Forge</v>
      </c>
      <c r="AA1164" s="15" t="str">
        <f t="shared" si="11"/>
        <v>OK (60)</v>
      </c>
      <c r="AB1164" s="15" t="str">
        <f t="shared" si="12"/>
        <v>EP tube and pipe for VERIFY plants around PSIEC Industrial Area, Nakodar. Made at our Mumbai works to ASTM A270 and ASME BPE SF1-SF4, with 3.1 MTC.</v>
      </c>
      <c r="AC1164" s="15" t="str">
        <f t="shared" si="13"/>
        <v>PENDING RESEARCH</v>
      </c>
      <c r="AD1164" s="15" t="str">
        <f t="shared" si="14"/>
        <v>Electropolished Pipes Manufacturer in Nakodar</v>
      </c>
      <c r="AE1164" s="15" t="str">
        <f t="shared" si="15"/>
        <v>Electropolished Pipe &amp; Tube Manufacturing for Nakodar - Grades, Finishes &amp; Certification</v>
      </c>
      <c r="AF1164" s="15" t="str">
        <f t="shared" si="16"/>
        <v>Electropolished Pipes Supplier in Nakodar - Stock Sizes, Lead Time &amp; Delivery</v>
      </c>
      <c r="AG1164" s="15" t="str">
        <f t="shared" si="17"/>
        <v>Electropolished Pipes Wholesaler &amp; Stockist in Nakodar - Bulk &amp; Project Pricing</v>
      </c>
      <c r="AH1164" s="15" t="str">
        <f t="shared" si="18"/>
        <v>electropolished pipes manufacturer in Nakodar, electropolished pipes supplier in Nakodar, electropolished pipes wholesaler in Nakodar, electropolished tube manufacturer Nakodar, EP pipe supplier Nakodar, sanitary tube supplier Nakodar, ASME BPE tubing Nakodar, ASTM A270 tube Nakodar, SS 316L electropolished pipe Nakodar</v>
      </c>
      <c r="AI1164" s="15" t="str">
        <f t="shared" si="19"/>
        <v>Electropolished Pipes Manufacturer &amp; Supplier in Nakodar</v>
      </c>
      <c r="AJ1164" s="15" t="str">
        <f t="shared" si="20"/>
        <v>EP-finished SS 304/316L pipes and tubes for VERIFY plants in Nakodar. ASME BPE SF1-SF4, Ra from 0.25 um, EN 10204 3.1 certificate with every lot.</v>
      </c>
      <c r="AK1164" s="15" t="str">
        <f t="shared" si="21"/>
        <v>Electropolished stainless steel pipes supplied by Sakshi Forge to VERIFY plants at PSIEC Industrial Area, Nakodar</v>
      </c>
      <c r="AL1164" s="15" t="str">
        <f t="shared" si="22"/>
        <v>Electropolished SS 316L tube stock for Nakodar - Sakshi Forge</v>
      </c>
      <c r="AM1164" s="15" t="str">
        <f t="shared" si="23"/>
        <v>Home &gt; Market Area &gt; India &gt; Punjab &gt; Nakodar</v>
      </c>
      <c r="AN1164" s="15">
        <f t="shared" si="24"/>
        <v>750</v>
      </c>
      <c r="AO1164" s="15">
        <f t="shared" si="25"/>
        <v>6</v>
      </c>
      <c r="AP1164" s="15">
        <f t="shared" si="26"/>
        <v>6</v>
      </c>
      <c r="AQ1164" s="15">
        <f t="shared" si="27"/>
        <v>20</v>
      </c>
      <c r="AR1164" s="31"/>
      <c r="AS1164" s="31"/>
      <c r="AT1164" s="35" t="s">
        <v>222</v>
      </c>
      <c r="AU1164" s="35"/>
    </row>
    <row r="1165" ht="15.75" customHeight="1">
      <c r="A1165" s="15" t="s">
        <v>6015</v>
      </c>
      <c r="B1165" s="15" t="s">
        <v>60</v>
      </c>
      <c r="C1165" s="15" t="s">
        <v>354</v>
      </c>
      <c r="D1165" s="15" t="s">
        <v>6016</v>
      </c>
      <c r="E1165" s="15" t="s">
        <v>6016</v>
      </c>
      <c r="F1165" s="58" t="s">
        <v>807</v>
      </c>
      <c r="G1165" s="66" t="s">
        <v>98</v>
      </c>
      <c r="H1165" s="18" t="s">
        <v>6018</v>
      </c>
      <c r="I1165" s="18" t="s">
        <v>8408</v>
      </c>
      <c r="J1165" s="18" t="s">
        <v>98</v>
      </c>
      <c r="K1165" s="18" t="s">
        <v>98</v>
      </c>
      <c r="L1165" s="18" t="s">
        <v>98</v>
      </c>
      <c r="M1165" s="18" t="s">
        <v>98</v>
      </c>
      <c r="N1165" s="18" t="s">
        <v>98</v>
      </c>
      <c r="O1165" s="18" t="s">
        <v>98</v>
      </c>
      <c r="P1165" s="15" t="str">
        <f t="shared" si="1"/>
        <v>VERIFY</v>
      </c>
      <c r="Q1165" s="15">
        <f t="shared" si="2"/>
        <v>2</v>
      </c>
      <c r="R1165" s="15">
        <f t="shared" si="3"/>
        <v>7</v>
      </c>
      <c r="S1165" s="15">
        <f t="shared" si="4"/>
        <v>2</v>
      </c>
      <c r="T1165" s="15" t="str">
        <f t="shared" si="5"/>
        <v>C-4</v>
      </c>
      <c r="U1165" s="15" t="str">
        <f t="shared" si="6"/>
        <v>T2-M7-H2-FC-4-VERIFY</v>
      </c>
      <c r="V1165" s="15">
        <f t="shared" si="7"/>
        <v>0</v>
      </c>
      <c r="W1165" s="31"/>
      <c r="X1165" s="15" t="str">
        <f t="shared" si="8"/>
        <v>nalagarh-punjab</v>
      </c>
      <c r="Y1165" s="32" t="str">
        <f t="shared" si="9"/>
        <v>https://steelmanufacturer.in/market-area/electropolished-pipes-manufacturer-in-nalagarh-punjab/</v>
      </c>
      <c r="Z1165" s="15" t="str">
        <f t="shared" si="10"/>
        <v>Electropolished Pipes Manufacturer in Nalagarh-Punjab</v>
      </c>
      <c r="AA1165" s="15" t="str">
        <f t="shared" si="11"/>
        <v>OK (53)</v>
      </c>
      <c r="AB1165" s="15" t="str">
        <f t="shared" si="12"/>
        <v>Electropolished pipes in Nalagarh-Punjab: 304, 304L, 316 and 316L in SF1-SF4. VERIFY. Mill certified.</v>
      </c>
      <c r="AC1165" s="15" t="str">
        <f t="shared" si="13"/>
        <v>PENDING RESEARCH</v>
      </c>
      <c r="AD1165" s="15" t="str">
        <f t="shared" si="14"/>
        <v>Electropolished Pipes Manufacturer in Nalagarh-Punjab</v>
      </c>
      <c r="AE1165" s="15" t="str">
        <f t="shared" si="15"/>
        <v>How We Manufacture Electropolished Tube for Nalagarh-Punjab Plants</v>
      </c>
      <c r="AF1165" s="15" t="str">
        <f t="shared" si="16"/>
        <v>Supplying Electropolished Pipes in Nalagarh-Punjab: Availability, Sizes &amp; Dispatch</v>
      </c>
      <c r="AG1165" s="15" t="str">
        <f t="shared" si="17"/>
        <v>Wholesale Electropolished Pipe Supply for Nalagarh-Punjab Projects</v>
      </c>
      <c r="AH1165" s="15" t="str">
        <f t="shared" si="18"/>
        <v>electropolished pipes manufacturer in Nalagarh-Punjab, electropolished pipes supplier in Nalagarh-Punjab, electropolished pipes wholesaler in Nalagarh-Punjab, electropolished tube manufacturer Nalagarh-Punjab, EP pipe supplier Nalagarh-Punjab, sanitary tube supplier Nalagarh-Punjab, ASME BPE tubing Nalagarh-Punjab, ASTM A270 tube Nalagarh-Punjab, SS 316L electropolished pipe Nalagarh-Punjab</v>
      </c>
      <c r="AI1165" s="15" t="str">
        <f t="shared" si="19"/>
        <v>Electropolished Pipes Manufacturer &amp; Supplier in Nalagarh-Punjab</v>
      </c>
      <c r="AJ1165" s="15" t="str">
        <f t="shared" si="20"/>
        <v>EP-finished SS 304/316L pipes and tubes for VERIFY plants in Nalagarh-Punjab. ASME BPE SF1-SF4, Ra from 0.25 um, EN 10204 3.1 certificate with every lot.</v>
      </c>
      <c r="AK1165" s="15" t="str">
        <f t="shared" si="21"/>
        <v>Electropolished stainless steel pipes supplied by Sakshi Forge to VERIFY plants at PSIEC Industrial Area, Nalagarh-Punjab</v>
      </c>
      <c r="AL1165" s="15" t="str">
        <f t="shared" si="22"/>
        <v>Electropolished SS 316L tube stock for Nalagarh-Punjab - Sakshi Forge</v>
      </c>
      <c r="AM1165" s="15" t="str">
        <f t="shared" si="23"/>
        <v>Home &gt; Market Area &gt; India &gt; Punjab &gt; Nalagarh-Punjab</v>
      </c>
      <c r="AN1165" s="15">
        <f t="shared" si="24"/>
        <v>750</v>
      </c>
      <c r="AO1165" s="15">
        <f t="shared" si="25"/>
        <v>6</v>
      </c>
      <c r="AP1165" s="15">
        <f t="shared" si="26"/>
        <v>6</v>
      </c>
      <c r="AQ1165" s="15">
        <f t="shared" si="27"/>
        <v>20</v>
      </c>
      <c r="AR1165" s="31"/>
      <c r="AS1165" s="31"/>
      <c r="AT1165" s="35" t="s">
        <v>222</v>
      </c>
      <c r="AU1165" s="35"/>
    </row>
    <row r="1166" ht="15.75" customHeight="1">
      <c r="A1166" s="15" t="s">
        <v>6019</v>
      </c>
      <c r="B1166" s="15" t="s">
        <v>60</v>
      </c>
      <c r="C1166" s="15" t="s">
        <v>1155</v>
      </c>
      <c r="D1166" s="15" t="s">
        <v>6020</v>
      </c>
      <c r="E1166" s="15" t="s">
        <v>6020</v>
      </c>
      <c r="F1166" s="58" t="s">
        <v>807</v>
      </c>
      <c r="G1166" s="66" t="s">
        <v>98</v>
      </c>
      <c r="H1166" s="18" t="s">
        <v>6022</v>
      </c>
      <c r="I1166" s="18" t="s">
        <v>8412</v>
      </c>
      <c r="J1166" s="18" t="s">
        <v>98</v>
      </c>
      <c r="K1166" s="18" t="s">
        <v>98</v>
      </c>
      <c r="L1166" s="18" t="s">
        <v>98</v>
      </c>
      <c r="M1166" s="18" t="s">
        <v>98</v>
      </c>
      <c r="N1166" s="18" t="s">
        <v>98</v>
      </c>
      <c r="O1166" s="18" t="s">
        <v>98</v>
      </c>
      <c r="P1166" s="15" t="str">
        <f t="shared" si="1"/>
        <v>VERIFY</v>
      </c>
      <c r="Q1166" s="15">
        <f t="shared" si="2"/>
        <v>3</v>
      </c>
      <c r="R1166" s="15">
        <f t="shared" si="3"/>
        <v>1</v>
      </c>
      <c r="S1166" s="15">
        <f t="shared" si="4"/>
        <v>3</v>
      </c>
      <c r="T1166" s="15" t="str">
        <f t="shared" si="5"/>
        <v>C-5</v>
      </c>
      <c r="U1166" s="15" t="str">
        <f t="shared" si="6"/>
        <v>T3-M1-H3-FC-5-VERIFY</v>
      </c>
      <c r="V1166" s="15">
        <f t="shared" si="7"/>
        <v>0</v>
      </c>
      <c r="W1166" s="31"/>
      <c r="X1166" s="15" t="str">
        <f t="shared" si="8"/>
        <v>nalbari</v>
      </c>
      <c r="Y1166" s="32" t="str">
        <f t="shared" si="9"/>
        <v>https://steelmanufacturer.in/market-area/electropolished-pipes-manufacturer-in-nalbari/</v>
      </c>
      <c r="Z1166" s="15" t="str">
        <f t="shared" si="10"/>
        <v>Electropolished Pipes Manufacturer in Nalbari | EP Tube Supplier</v>
      </c>
      <c r="AA1166" s="15" t="str">
        <f t="shared" si="11"/>
        <v>OK (64)</v>
      </c>
      <c r="AB1166" s="15" t="str">
        <f t="shared" si="12"/>
        <v>EP-finished SS 304/316L pipes &amp; tubes for VERIFY plants in Nalbari. ASTM A270, ASME BPE SF1-SF4, EN 10204 3.1 MTC. PMI tested.</v>
      </c>
      <c r="AC1166" s="15" t="str">
        <f t="shared" si="13"/>
        <v>PENDING RESEARCH</v>
      </c>
      <c r="AD1166" s="15" t="str">
        <f t="shared" si="14"/>
        <v>Electropolished Pipes Manufacturer in Nalbari</v>
      </c>
      <c r="AE1166" s="15" t="str">
        <f t="shared" si="15"/>
        <v>Electropolished Pipes Manufacturer in Nalbari - Our Process &amp; Capability</v>
      </c>
      <c r="AF1166" s="15" t="str">
        <f t="shared" si="16"/>
        <v>Electropolished Pipes Supplier in Nalbari - What We Hold in Stock</v>
      </c>
      <c r="AG1166" s="15" t="str">
        <f t="shared" si="17"/>
        <v>Bulk &amp; Wholesale Electropolished Pipe Rates for Nalbari Buyers</v>
      </c>
      <c r="AH1166" s="15" t="str">
        <f t="shared" si="18"/>
        <v>electropolished pipes manufacturer in Nalbari, electropolished pipes supplier in Nalbari, electropolished pipes wholesaler in Nalbari, electropolished tube manufacturer Nalbari, EP pipe supplier Nalbari, sanitary tube supplier Nalbari, ASME BPE tubing Nalbari, ASTM A270 tube Nalbari, SS 316L electropolished pipe Nalbari</v>
      </c>
      <c r="AI1166" s="15" t="str">
        <f t="shared" si="19"/>
        <v>Electropolished Pipes Manufacturer &amp; Supplier in Nalbari</v>
      </c>
      <c r="AJ1166" s="15" t="str">
        <f t="shared" si="20"/>
        <v>EP-finished SS 304/316L pipes and tubes for VERIFY plants in Nalbari. ASME BPE SF1-SF4, Ra from 0.25 um, EN 10204 3.1 certificate with every lot.</v>
      </c>
      <c r="AK1166" s="15" t="str">
        <f t="shared" si="21"/>
        <v>Electropolished stainless steel pipes supplied by Sakshi Forge to VERIFY plants at AIDC Industrial Area, Nalbari</v>
      </c>
      <c r="AL1166" s="15" t="str">
        <f t="shared" si="22"/>
        <v>Electropolished SS 316L tube stock for Nalbari - Sakshi Forge</v>
      </c>
      <c r="AM1166" s="15" t="str">
        <f t="shared" si="23"/>
        <v>Home &gt; Market Area &gt; India &gt; Assam &gt; Nalbari</v>
      </c>
      <c r="AN1166" s="15">
        <f t="shared" si="24"/>
        <v>750</v>
      </c>
      <c r="AO1166" s="15">
        <f t="shared" si="25"/>
        <v>6</v>
      </c>
      <c r="AP1166" s="15">
        <f t="shared" si="26"/>
        <v>6</v>
      </c>
      <c r="AQ1166" s="15">
        <f t="shared" si="27"/>
        <v>20</v>
      </c>
      <c r="AR1166" s="31"/>
      <c r="AS1166" s="31"/>
      <c r="AT1166" s="35" t="s">
        <v>222</v>
      </c>
      <c r="AU1166" s="35"/>
    </row>
    <row r="1167" ht="15.75" customHeight="1">
      <c r="A1167" s="15" t="s">
        <v>6023</v>
      </c>
      <c r="B1167" s="15" t="s">
        <v>60</v>
      </c>
      <c r="C1167" s="15" t="s">
        <v>1165</v>
      </c>
      <c r="D1167" s="15" t="s">
        <v>6024</v>
      </c>
      <c r="E1167" s="15" t="s">
        <v>6024</v>
      </c>
      <c r="F1167" s="58" t="s">
        <v>807</v>
      </c>
      <c r="G1167" s="66" t="s">
        <v>98</v>
      </c>
      <c r="H1167" s="18" t="s">
        <v>6026</v>
      </c>
      <c r="I1167" s="18" t="s">
        <v>8404</v>
      </c>
      <c r="J1167" s="18" t="s">
        <v>98</v>
      </c>
      <c r="K1167" s="18" t="s">
        <v>98</v>
      </c>
      <c r="L1167" s="18" t="s">
        <v>98</v>
      </c>
      <c r="M1167" s="18" t="s">
        <v>98</v>
      </c>
      <c r="N1167" s="18" t="s">
        <v>98</v>
      </c>
      <c r="O1167" s="18" t="s">
        <v>98</v>
      </c>
      <c r="P1167" s="15" t="str">
        <f t="shared" si="1"/>
        <v>VERIFY</v>
      </c>
      <c r="Q1167" s="15">
        <f t="shared" si="2"/>
        <v>4</v>
      </c>
      <c r="R1167" s="15">
        <f t="shared" si="3"/>
        <v>2</v>
      </c>
      <c r="S1167" s="15">
        <f t="shared" si="4"/>
        <v>4</v>
      </c>
      <c r="T1167" s="15" t="str">
        <f t="shared" si="5"/>
        <v>C-6</v>
      </c>
      <c r="U1167" s="15" t="str">
        <f t="shared" si="6"/>
        <v>T4-M2-H4-FC-6-VERIFY</v>
      </c>
      <c r="V1167" s="15">
        <f t="shared" si="7"/>
        <v>0</v>
      </c>
      <c r="W1167" s="31"/>
      <c r="X1167" s="15" t="str">
        <f t="shared" si="8"/>
        <v>nalhati</v>
      </c>
      <c r="Y1167" s="32" t="str">
        <f t="shared" si="9"/>
        <v>https://steelmanufacturer.in/market-area/electropolished-pipes-manufacturer-in-nalhati/</v>
      </c>
      <c r="Z1167" s="15" t="str">
        <f t="shared" si="10"/>
        <v>Electropolished Pipes Manufacturer in Nalhati</v>
      </c>
      <c r="AA1167" s="15" t="str">
        <f t="shared" si="11"/>
        <v>OK (45)</v>
      </c>
      <c r="AB1167" s="15" t="str">
        <f t="shared" si="12"/>
        <v>Electropolished tube supply to WBIDC Industrial Area, Nalhati. Ra from 0.25 um, SF4 finish, mill test certificate with every lot.</v>
      </c>
      <c r="AC1167" s="15" t="str">
        <f t="shared" si="13"/>
        <v>PENDING RESEARCH</v>
      </c>
      <c r="AD1167" s="15" t="str">
        <f t="shared" si="14"/>
        <v>Electropolished Pipes Manufacturer in Nalhati</v>
      </c>
      <c r="AE1167" s="15" t="str">
        <f t="shared" si="15"/>
        <v>Manufacturing Electropolished SS Tube for Nalhati: The Standards We Build To</v>
      </c>
      <c r="AF1167" s="15" t="str">
        <f t="shared" si="16"/>
        <v>Electropolished Pipe Supply Into Nalhati - Certification &amp; Transit</v>
      </c>
      <c r="AG1167" s="15" t="str">
        <f t="shared" si="17"/>
        <v>Electropolished Pipes Wholesaler in Nalhati - Project Quantities &amp; Terms</v>
      </c>
      <c r="AH1167" s="15" t="str">
        <f t="shared" si="18"/>
        <v>electropolished pipes manufacturer in Nalhati, electropolished pipes supplier in Nalhati, electropolished pipes wholesaler in Nalhati, electropolished tube manufacturer Nalhati, EP pipe supplier Nalhati, sanitary tube supplier Nalhati, ASME BPE tubing Nalhati, ASTM A270 tube Nalhati, SS 316L electropolished pipe Nalhati</v>
      </c>
      <c r="AI1167" s="15" t="str">
        <f t="shared" si="19"/>
        <v>Electropolished Pipes Manufacturer &amp; Supplier in Nalhati</v>
      </c>
      <c r="AJ1167" s="15" t="str">
        <f t="shared" si="20"/>
        <v>EP-finished SS 304/316L pipes and tubes for VERIFY plants in Nalhati. ASME BPE SF1-SF4, Ra from 0.25 um, EN 10204 3.1 certificate with every lot.</v>
      </c>
      <c r="AK1167" s="15" t="str">
        <f t="shared" si="21"/>
        <v>Electropolished stainless steel pipes supplied by Sakshi Forge to VERIFY plants at WBIDC Industrial Area, Nalhati</v>
      </c>
      <c r="AL1167" s="15" t="str">
        <f t="shared" si="22"/>
        <v>Electropolished SS 316L tube stock for Nalhati - Sakshi Forge</v>
      </c>
      <c r="AM1167" s="15" t="str">
        <f t="shared" si="23"/>
        <v>Home &gt; Market Area &gt; India &gt; West Bengal &gt; Nalhati</v>
      </c>
      <c r="AN1167" s="15">
        <f t="shared" si="24"/>
        <v>750</v>
      </c>
      <c r="AO1167" s="15">
        <f t="shared" si="25"/>
        <v>6</v>
      </c>
      <c r="AP1167" s="15">
        <f t="shared" si="26"/>
        <v>6</v>
      </c>
      <c r="AQ1167" s="15">
        <f t="shared" si="27"/>
        <v>20</v>
      </c>
      <c r="AR1167" s="31"/>
      <c r="AS1167" s="31"/>
      <c r="AT1167" s="35" t="s">
        <v>222</v>
      </c>
      <c r="AU1167" s="35"/>
    </row>
    <row r="1168" ht="15.75" customHeight="1">
      <c r="A1168" s="15" t="s">
        <v>6027</v>
      </c>
      <c r="B1168" s="15" t="s">
        <v>60</v>
      </c>
      <c r="C1168" s="15" t="s">
        <v>354</v>
      </c>
      <c r="D1168" s="15" t="s">
        <v>6028</v>
      </c>
      <c r="E1168" s="15" t="s">
        <v>6028</v>
      </c>
      <c r="F1168" s="58" t="s">
        <v>807</v>
      </c>
      <c r="G1168" s="66" t="s">
        <v>98</v>
      </c>
      <c r="H1168" s="18" t="s">
        <v>6030</v>
      </c>
      <c r="I1168" s="18" t="s">
        <v>8408</v>
      </c>
      <c r="J1168" s="18" t="s">
        <v>98</v>
      </c>
      <c r="K1168" s="18" t="s">
        <v>98</v>
      </c>
      <c r="L1168" s="18" t="s">
        <v>98</v>
      </c>
      <c r="M1168" s="18" t="s">
        <v>98</v>
      </c>
      <c r="N1168" s="18" t="s">
        <v>98</v>
      </c>
      <c r="O1168" s="18" t="s">
        <v>98</v>
      </c>
      <c r="P1168" s="15" t="str">
        <f t="shared" si="1"/>
        <v>VERIFY</v>
      </c>
      <c r="Q1168" s="15">
        <f t="shared" si="2"/>
        <v>5</v>
      </c>
      <c r="R1168" s="15">
        <f t="shared" si="3"/>
        <v>3</v>
      </c>
      <c r="S1168" s="15">
        <f t="shared" si="4"/>
        <v>5</v>
      </c>
      <c r="T1168" s="15" t="str">
        <f t="shared" si="5"/>
        <v>C-1</v>
      </c>
      <c r="U1168" s="15" t="str">
        <f t="shared" si="6"/>
        <v>T5-M3-H5-FC-1-VERIFY</v>
      </c>
      <c r="V1168" s="15">
        <f t="shared" si="7"/>
        <v>0</v>
      </c>
      <c r="W1168" s="31"/>
      <c r="X1168" s="15" t="str">
        <f t="shared" si="8"/>
        <v>nangal</v>
      </c>
      <c r="Y1168" s="32" t="str">
        <f t="shared" si="9"/>
        <v>https://steelmanufacturer.in/market-area/electropolished-pipes-manufacturer-in-nangal/</v>
      </c>
      <c r="Z1168" s="15" t="str">
        <f t="shared" si="10"/>
        <v>Electropolished Pipes Manufacturer in Nangal</v>
      </c>
      <c r="AA1168" s="15" t="str">
        <f t="shared" si="11"/>
        <v>OK (44)</v>
      </c>
      <c r="AB1168" s="15" t="str">
        <f t="shared" si="12"/>
        <v>EP stainless tube for VERIFY lines in Nangal. VERIFY. ASTM A270 S2, PMI tested, EN 10204 3.1.</v>
      </c>
      <c r="AC1168" s="15" t="str">
        <f t="shared" si="13"/>
        <v>PENDING RESEARCH</v>
      </c>
      <c r="AD1168" s="15" t="str">
        <f t="shared" si="14"/>
        <v>Electropolished Pipes Manufacturer in Nangal</v>
      </c>
      <c r="AE1168" s="15" t="str">
        <f t="shared" si="15"/>
        <v>Electropolished Tube Manufacturing Capability Serving Nangal</v>
      </c>
      <c r="AF1168" s="15" t="str">
        <f t="shared" si="16"/>
        <v>Electropolished Pipes Supplier in Nangal - From Order to Delivery</v>
      </c>
      <c r="AG1168" s="15" t="str">
        <f t="shared" si="17"/>
        <v>Stockist &amp; Wholesale Supply of Electropolished Pipes in Nangal</v>
      </c>
      <c r="AH1168" s="15" t="str">
        <f t="shared" si="18"/>
        <v>electropolished pipes manufacturer in Nangal, electropolished pipes supplier in Nangal, electropolished pipes wholesaler in Nangal, electropolished tube manufacturer Nangal, EP pipe supplier Nangal, sanitary tube supplier Nangal, ASME BPE tubing Nangal, ASTM A270 tube Nangal, SS 316L electropolished pipe Nangal</v>
      </c>
      <c r="AI1168" s="15" t="str">
        <f t="shared" si="19"/>
        <v>Electropolished Pipes Manufacturer &amp; Supplier in Nangal</v>
      </c>
      <c r="AJ1168" s="15" t="str">
        <f t="shared" si="20"/>
        <v>EP-finished SS 304/316L pipes and tubes for VERIFY plants in Nangal. ASME BPE SF1-SF4, Ra from 0.25 um, EN 10204 3.1 certificate with every lot.</v>
      </c>
      <c r="AK1168" s="15" t="str">
        <f t="shared" si="21"/>
        <v>Electropolished stainless steel pipes supplied by Sakshi Forge to VERIFY plants at PSIEC Industrial Area, Nangal</v>
      </c>
      <c r="AL1168" s="15" t="str">
        <f t="shared" si="22"/>
        <v>Electropolished SS 316L tube stock for Nangal - Sakshi Forge</v>
      </c>
      <c r="AM1168" s="15" t="str">
        <f t="shared" si="23"/>
        <v>Home &gt; Market Area &gt; India &gt; Punjab &gt; Nangal</v>
      </c>
      <c r="AN1168" s="15">
        <f t="shared" si="24"/>
        <v>750</v>
      </c>
      <c r="AO1168" s="15">
        <f t="shared" si="25"/>
        <v>6</v>
      </c>
      <c r="AP1168" s="15">
        <f t="shared" si="26"/>
        <v>6</v>
      </c>
      <c r="AQ1168" s="15">
        <f t="shared" si="27"/>
        <v>20</v>
      </c>
      <c r="AR1168" s="31"/>
      <c r="AS1168" s="31"/>
      <c r="AT1168" s="35" t="s">
        <v>222</v>
      </c>
      <c r="AU1168" s="35"/>
    </row>
    <row r="1169" ht="15.75" customHeight="1">
      <c r="A1169" s="15" t="s">
        <v>6031</v>
      </c>
      <c r="B1169" s="15" t="s">
        <v>60</v>
      </c>
      <c r="C1169" s="15" t="s">
        <v>775</v>
      </c>
      <c r="D1169" s="15" t="s">
        <v>6032</v>
      </c>
      <c r="E1169" s="15" t="s">
        <v>6032</v>
      </c>
      <c r="F1169" s="58" t="s">
        <v>807</v>
      </c>
      <c r="G1169" s="66" t="s">
        <v>98</v>
      </c>
      <c r="H1169" s="18" t="s">
        <v>6034</v>
      </c>
      <c r="I1169" s="18" t="s">
        <v>8399</v>
      </c>
      <c r="J1169" s="18" t="s">
        <v>98</v>
      </c>
      <c r="K1169" s="18" t="s">
        <v>98</v>
      </c>
      <c r="L1169" s="18" t="s">
        <v>98</v>
      </c>
      <c r="M1169" s="18" t="s">
        <v>98</v>
      </c>
      <c r="N1169" s="18" t="s">
        <v>98</v>
      </c>
      <c r="O1169" s="18" t="s">
        <v>98</v>
      </c>
      <c r="P1169" s="15" t="str">
        <f t="shared" si="1"/>
        <v>VERIFY</v>
      </c>
      <c r="Q1169" s="15">
        <f t="shared" si="2"/>
        <v>6</v>
      </c>
      <c r="R1169" s="15">
        <f t="shared" si="3"/>
        <v>4</v>
      </c>
      <c r="S1169" s="15">
        <f t="shared" si="4"/>
        <v>1</v>
      </c>
      <c r="T1169" s="15" t="str">
        <f t="shared" si="5"/>
        <v>C-2</v>
      </c>
      <c r="U1169" s="15" t="str">
        <f t="shared" si="6"/>
        <v>T6-M4-H1-FC-2-VERIFY</v>
      </c>
      <c r="V1169" s="15">
        <f t="shared" si="7"/>
        <v>0</v>
      </c>
      <c r="W1169" s="31"/>
      <c r="X1169" s="15" t="str">
        <f t="shared" si="8"/>
        <v>narayanpur</v>
      </c>
      <c r="Y1169" s="32" t="str">
        <f t="shared" si="9"/>
        <v>https://steelmanufacturer.in/market-area/electropolished-pipes-manufacturer-in-narayanpur/</v>
      </c>
      <c r="Z1169" s="15" t="str">
        <f t="shared" si="10"/>
        <v>Electropolished Pipes Manufacturer in Narayanpur</v>
      </c>
      <c r="AA1169" s="15" t="str">
        <f t="shared" si="11"/>
        <v>OK (48)</v>
      </c>
      <c r="AB1169" s="15" t="str">
        <f t="shared" si="12"/>
        <v>Sanitary electropolished pipes in Narayanpur for VERIFY plants. ASME BPE SF1-SF4, orbital-weld ready, 3.1 MTC. Mumbai-made.</v>
      </c>
      <c r="AC1169" s="15" t="str">
        <f t="shared" si="13"/>
        <v>PENDING RESEARCH</v>
      </c>
      <c r="AD1169" s="15" t="str">
        <f t="shared" si="14"/>
        <v>Electropolished Pipes Manufacturer in Narayanpur</v>
      </c>
      <c r="AE1169" s="15" t="str">
        <f t="shared" si="15"/>
        <v>Electropolished Pipe &amp; Tube Manufacturing for Narayanpur - Grades, Finishes &amp; Certification</v>
      </c>
      <c r="AF1169" s="15" t="str">
        <f t="shared" si="16"/>
        <v>Electropolished Pipes Supplier in Narayanpur - Stock Sizes, Lead Time &amp; Delivery</v>
      </c>
      <c r="AG1169" s="15" t="str">
        <f t="shared" si="17"/>
        <v>Electropolished Pipes Wholesaler &amp; Stockist in Narayanpur - Bulk &amp; Project Pricing</v>
      </c>
      <c r="AH1169" s="15" t="str">
        <f t="shared" si="18"/>
        <v>electropolished pipes manufacturer in Narayanpur, electropolished pipes supplier in Narayanpur, electropolished pipes wholesaler in Narayanpur, electropolished tube manufacturer Narayanpur, EP pipe supplier Narayanpur, sanitary tube supplier Narayanpur, ASME BPE tubing Narayanpur, ASTM A270 tube Narayanpur, SS 316L electropolished pipe Narayanpur</v>
      </c>
      <c r="AI1169" s="15" t="str">
        <f t="shared" si="19"/>
        <v>Electropolished Pipes Manufacturer &amp; Supplier in Narayanpur</v>
      </c>
      <c r="AJ1169" s="15" t="str">
        <f t="shared" si="20"/>
        <v>EP-finished SS 304/316L pipes and tubes for VERIFY plants in Narayanpur. ASME BPE SF1-SF4, Ra from 0.25 um, EN 10204 3.1 certificate with every lot.</v>
      </c>
      <c r="AK1169" s="15" t="str">
        <f t="shared" si="21"/>
        <v>Electropolished stainless steel pipes supplied by Sakshi Forge to VERIFY plants at CSIDC Industrial Area, Narayanpur</v>
      </c>
      <c r="AL1169" s="15" t="str">
        <f t="shared" si="22"/>
        <v>Electropolished SS 316L tube stock for Narayanpur - Sakshi Forge</v>
      </c>
      <c r="AM1169" s="15" t="str">
        <f t="shared" si="23"/>
        <v>Home &gt; Market Area &gt; India &gt; Chhattisgarh &gt; Narayanpur</v>
      </c>
      <c r="AN1169" s="15">
        <f t="shared" si="24"/>
        <v>750</v>
      </c>
      <c r="AO1169" s="15">
        <f t="shared" si="25"/>
        <v>6</v>
      </c>
      <c r="AP1169" s="15">
        <f t="shared" si="26"/>
        <v>6</v>
      </c>
      <c r="AQ1169" s="15">
        <f t="shared" si="27"/>
        <v>20</v>
      </c>
      <c r="AR1169" s="31"/>
      <c r="AS1169" s="31"/>
      <c r="AT1169" s="35" t="s">
        <v>222</v>
      </c>
      <c r="AU1169" s="35"/>
    </row>
    <row r="1170" ht="15.75" customHeight="1">
      <c r="A1170" s="15" t="s">
        <v>6035</v>
      </c>
      <c r="B1170" s="15" t="s">
        <v>60</v>
      </c>
      <c r="C1170" s="15" t="s">
        <v>1139</v>
      </c>
      <c r="D1170" s="15" t="s">
        <v>6036</v>
      </c>
      <c r="E1170" s="15" t="s">
        <v>6036</v>
      </c>
      <c r="F1170" s="58" t="s">
        <v>807</v>
      </c>
      <c r="G1170" s="66" t="s">
        <v>98</v>
      </c>
      <c r="H1170" s="18" t="s">
        <v>6039</v>
      </c>
      <c r="I1170" s="18" t="s">
        <v>8410</v>
      </c>
      <c r="J1170" s="18" t="s">
        <v>98</v>
      </c>
      <c r="K1170" s="18" t="s">
        <v>98</v>
      </c>
      <c r="L1170" s="18" t="s">
        <v>98</v>
      </c>
      <c r="M1170" s="18" t="s">
        <v>98</v>
      </c>
      <c r="N1170" s="18" t="s">
        <v>98</v>
      </c>
      <c r="O1170" s="18" t="s">
        <v>98</v>
      </c>
      <c r="P1170" s="15" t="str">
        <f t="shared" si="1"/>
        <v>VERIFY</v>
      </c>
      <c r="Q1170" s="15">
        <f t="shared" si="2"/>
        <v>7</v>
      </c>
      <c r="R1170" s="15">
        <f t="shared" si="3"/>
        <v>5</v>
      </c>
      <c r="S1170" s="15">
        <f t="shared" si="4"/>
        <v>2</v>
      </c>
      <c r="T1170" s="15" t="str">
        <f t="shared" si="5"/>
        <v>C-3</v>
      </c>
      <c r="U1170" s="15" t="str">
        <f t="shared" si="6"/>
        <v>T7-M5-H2-FC-3-VERIFY</v>
      </c>
      <c r="V1170" s="15">
        <f t="shared" si="7"/>
        <v>0</v>
      </c>
      <c r="W1170" s="31"/>
      <c r="X1170" s="15" t="str">
        <f t="shared" si="8"/>
        <v>narendranagar</v>
      </c>
      <c r="Y1170" s="32" t="str">
        <f t="shared" si="9"/>
        <v>https://steelmanufacturer.in/market-area/electropolished-pipes-manufacturer-in-narendranagar/</v>
      </c>
      <c r="Z1170" s="15" t="str">
        <f t="shared" si="10"/>
        <v>Electropolished Pipes Manufacturer in Narendranagar</v>
      </c>
      <c r="AA1170" s="15" t="str">
        <f t="shared" si="11"/>
        <v>OK (51)</v>
      </c>
      <c r="AB1170" s="15" t="str">
        <f t="shared" si="12"/>
        <v>Manufacturer of electropolished SS 316L tube serving Narendranagar. VERIFY. Ra 0.25-0.5 um, EN 10204 3.1 MTC.</v>
      </c>
      <c r="AC1170" s="15" t="str">
        <f t="shared" si="13"/>
        <v>PENDING RESEARCH</v>
      </c>
      <c r="AD1170" s="15" t="str">
        <f t="shared" si="14"/>
        <v>Electropolished Pipes Manufacturer in Narendranagar</v>
      </c>
      <c r="AE1170" s="15" t="str">
        <f t="shared" si="15"/>
        <v>How We Manufacture Electropolished Tube for Narendranagar Plants</v>
      </c>
      <c r="AF1170" s="15" t="str">
        <f t="shared" si="16"/>
        <v>Supplying Electropolished Pipes in Narendranagar: Availability, Sizes &amp; Dispatch</v>
      </c>
      <c r="AG1170" s="15" t="str">
        <f t="shared" si="17"/>
        <v>Wholesale Electropolished Pipe Supply for Narendranagar Projects</v>
      </c>
      <c r="AH1170" s="15" t="str">
        <f t="shared" si="18"/>
        <v>electropolished pipes manufacturer in Narendranagar, electropolished pipes supplier in Narendranagar, electropolished pipes wholesaler in Narendranagar, electropolished tube manufacturer Narendranagar, EP pipe supplier Narendranagar, sanitary tube supplier Narendranagar, ASME BPE tubing Narendranagar, ASTM A270 tube Narendranagar, SS 316L electropolished pipe Narendranagar</v>
      </c>
      <c r="AI1170" s="15" t="str">
        <f t="shared" si="19"/>
        <v>Electropolished Pipes Manufacturer &amp; Supplier in Narendranagar</v>
      </c>
      <c r="AJ1170" s="15" t="str">
        <f t="shared" si="20"/>
        <v>EP-finished SS 304/316L pipes and tubes for VERIFY plants in Narendranagar. ASME BPE SF1-SF4, Ra from 0.25 um, EN 10204 3.1 certificate with every lot.</v>
      </c>
      <c r="AK1170" s="15" t="str">
        <f t="shared" si="21"/>
        <v>Electropolished stainless steel pipes supplied by Sakshi Forge to VERIFY plants at SIIDCUL Industrial Area, Narendranagar</v>
      </c>
      <c r="AL1170" s="15" t="str">
        <f t="shared" si="22"/>
        <v>Electropolished SS 316L tube stock for Narendranagar - Sakshi Forge</v>
      </c>
      <c r="AM1170" s="15" t="str">
        <f t="shared" si="23"/>
        <v>Home &gt; Market Area &gt; India &gt; Uttarakhand &gt; Narendranagar</v>
      </c>
      <c r="AN1170" s="15">
        <f t="shared" si="24"/>
        <v>750</v>
      </c>
      <c r="AO1170" s="15">
        <f t="shared" si="25"/>
        <v>6</v>
      </c>
      <c r="AP1170" s="15">
        <f t="shared" si="26"/>
        <v>6</v>
      </c>
      <c r="AQ1170" s="15">
        <f t="shared" si="27"/>
        <v>20</v>
      </c>
      <c r="AR1170" s="31"/>
      <c r="AS1170" s="31"/>
      <c r="AT1170" s="35" t="s">
        <v>222</v>
      </c>
      <c r="AU1170" s="35"/>
    </row>
    <row r="1171" ht="15.75" customHeight="1">
      <c r="A1171" s="15" t="s">
        <v>6041</v>
      </c>
      <c r="B1171" s="15" t="s">
        <v>60</v>
      </c>
      <c r="C1171" s="15" t="s">
        <v>1312</v>
      </c>
      <c r="D1171" s="15" t="s">
        <v>6045</v>
      </c>
      <c r="E1171" s="15" t="s">
        <v>6045</v>
      </c>
      <c r="F1171" s="58" t="s">
        <v>807</v>
      </c>
      <c r="G1171" s="66" t="s">
        <v>98</v>
      </c>
      <c r="H1171" s="18" t="s">
        <v>6048</v>
      </c>
      <c r="I1171" s="18" t="s">
        <v>8392</v>
      </c>
      <c r="J1171" s="18" t="s">
        <v>98</v>
      </c>
      <c r="K1171" s="18" t="s">
        <v>98</v>
      </c>
      <c r="L1171" s="18" t="s">
        <v>98</v>
      </c>
      <c r="M1171" s="18" t="s">
        <v>98</v>
      </c>
      <c r="N1171" s="18" t="s">
        <v>98</v>
      </c>
      <c r="O1171" s="18" t="s">
        <v>98</v>
      </c>
      <c r="P1171" s="15" t="str">
        <f t="shared" si="1"/>
        <v>VERIFY</v>
      </c>
      <c r="Q1171" s="15">
        <f t="shared" si="2"/>
        <v>8</v>
      </c>
      <c r="R1171" s="15">
        <f t="shared" si="3"/>
        <v>6</v>
      </c>
      <c r="S1171" s="15">
        <f t="shared" si="4"/>
        <v>3</v>
      </c>
      <c r="T1171" s="15" t="str">
        <f t="shared" si="5"/>
        <v>C-4</v>
      </c>
      <c r="U1171" s="15" t="str">
        <f t="shared" si="6"/>
        <v>T8-M6-H3-FC-4-VERIFY</v>
      </c>
      <c r="V1171" s="15">
        <f t="shared" si="7"/>
        <v>0</v>
      </c>
      <c r="W1171" s="31"/>
      <c r="X1171" s="15" t="str">
        <f t="shared" si="8"/>
        <v>narsapur</v>
      </c>
      <c r="Y1171" s="32" t="str">
        <f t="shared" si="9"/>
        <v>https://steelmanufacturer.in/market-area/electropolished-pipes-manufacturer-in-narsapur/</v>
      </c>
      <c r="Z1171" s="15" t="str">
        <f t="shared" si="10"/>
        <v>Electropolished Pipes Manufacturer in Narsapur - EP Tube Stockist</v>
      </c>
      <c r="AA1171" s="15" t="str">
        <f t="shared" si="11"/>
        <v>OK (65)</v>
      </c>
      <c r="AB1171" s="15" t="str">
        <f t="shared" si="12"/>
        <v>EP tube and pipe for VERIFY plants around TSIIC Industrial Area, Narsapur. Made at our Mumbai works to ASTM A270 and ASME BPE SF1-SF4, with 3.1 MTC.</v>
      </c>
      <c r="AC1171" s="15" t="str">
        <f t="shared" si="13"/>
        <v>PENDING RESEARCH</v>
      </c>
      <c r="AD1171" s="15" t="str">
        <f t="shared" si="14"/>
        <v>Electropolished Pipes Manufacturer in Narsapur</v>
      </c>
      <c r="AE1171" s="15" t="str">
        <f t="shared" si="15"/>
        <v>Electropolished Pipes Manufacturer in Narsapur - Our Process &amp; Capability</v>
      </c>
      <c r="AF1171" s="15" t="str">
        <f t="shared" si="16"/>
        <v>Electropolished Pipes Supplier in Narsapur - What We Hold in Stock</v>
      </c>
      <c r="AG1171" s="15" t="str">
        <f t="shared" si="17"/>
        <v>Bulk &amp; Wholesale Electropolished Pipe Rates for Narsapur Buyers</v>
      </c>
      <c r="AH1171" s="15" t="str">
        <f t="shared" si="18"/>
        <v>electropolished pipes manufacturer in Narsapur, electropolished pipes supplier in Narsapur, electropolished pipes wholesaler in Narsapur, electropolished tube manufacturer Narsapur, EP pipe supplier Narsapur, sanitary tube supplier Narsapur, ASME BPE tubing Narsapur, ASTM A270 tube Narsapur, SS 316L electropolished pipe Narsapur</v>
      </c>
      <c r="AI1171" s="15" t="str">
        <f t="shared" si="19"/>
        <v>Electropolished Pipes Manufacturer &amp; Supplier in Narsapur</v>
      </c>
      <c r="AJ1171" s="15" t="str">
        <f t="shared" si="20"/>
        <v>EP-finished SS 304/316L pipes and tubes for VERIFY plants in Narsapur. ASME BPE SF1-SF4, Ra from 0.25 um, EN 10204 3.1 certificate with every lot.</v>
      </c>
      <c r="AK1171" s="15" t="str">
        <f t="shared" si="21"/>
        <v>Electropolished stainless steel pipes supplied by Sakshi Forge to VERIFY plants at TSIIC Industrial Area, Narsapur</v>
      </c>
      <c r="AL1171" s="15" t="str">
        <f t="shared" si="22"/>
        <v>Electropolished SS 316L tube stock for Narsapur - Sakshi Forge</v>
      </c>
      <c r="AM1171" s="15" t="str">
        <f t="shared" si="23"/>
        <v>Home &gt; Market Area &gt; India &gt; Telangana &gt; Narsapur</v>
      </c>
      <c r="AN1171" s="15">
        <f t="shared" si="24"/>
        <v>750</v>
      </c>
      <c r="AO1171" s="15">
        <f t="shared" si="25"/>
        <v>6</v>
      </c>
      <c r="AP1171" s="15">
        <f t="shared" si="26"/>
        <v>6</v>
      </c>
      <c r="AQ1171" s="15">
        <f t="shared" si="27"/>
        <v>20</v>
      </c>
      <c r="AR1171" s="31"/>
      <c r="AS1171" s="31"/>
      <c r="AT1171" s="35" t="s">
        <v>222</v>
      </c>
      <c r="AU1171" s="35"/>
    </row>
    <row r="1172" ht="15.75" customHeight="1">
      <c r="A1172" s="15" t="s">
        <v>6049</v>
      </c>
      <c r="B1172" s="15" t="s">
        <v>60</v>
      </c>
      <c r="C1172" s="15" t="s">
        <v>842</v>
      </c>
      <c r="D1172" s="15" t="s">
        <v>6050</v>
      </c>
      <c r="E1172" s="15" t="s">
        <v>6050</v>
      </c>
      <c r="F1172" s="58" t="s">
        <v>807</v>
      </c>
      <c r="G1172" s="66" t="s">
        <v>98</v>
      </c>
      <c r="H1172" s="18" t="s">
        <v>6052</v>
      </c>
      <c r="I1172" s="18" t="s">
        <v>8413</v>
      </c>
      <c r="J1172" s="18" t="s">
        <v>98</v>
      </c>
      <c r="K1172" s="18" t="s">
        <v>98</v>
      </c>
      <c r="L1172" s="18" t="s">
        <v>98</v>
      </c>
      <c r="M1172" s="18" t="s">
        <v>98</v>
      </c>
      <c r="N1172" s="18" t="s">
        <v>98</v>
      </c>
      <c r="O1172" s="18" t="s">
        <v>98</v>
      </c>
      <c r="P1172" s="15" t="str">
        <f t="shared" si="1"/>
        <v>VERIFY</v>
      </c>
      <c r="Q1172" s="15">
        <f t="shared" si="2"/>
        <v>1</v>
      </c>
      <c r="R1172" s="15">
        <f t="shared" si="3"/>
        <v>7</v>
      </c>
      <c r="S1172" s="15">
        <f t="shared" si="4"/>
        <v>4</v>
      </c>
      <c r="T1172" s="15" t="str">
        <f t="shared" si="5"/>
        <v>C-5</v>
      </c>
      <c r="U1172" s="15" t="str">
        <f t="shared" si="6"/>
        <v>T1-M7-H4-FC-5-VERIFY</v>
      </c>
      <c r="V1172" s="15">
        <f t="shared" si="7"/>
        <v>0</v>
      </c>
      <c r="W1172" s="31"/>
      <c r="X1172" s="15" t="str">
        <f t="shared" si="8"/>
        <v>narsinghpur</v>
      </c>
      <c r="Y1172" s="32" t="str">
        <f t="shared" si="9"/>
        <v>https://steelmanufacturer.in/market-area/electropolished-pipes-manufacturer-in-narsinghpur/</v>
      </c>
      <c r="Z1172" s="15" t="str">
        <f t="shared" si="10"/>
        <v>Electropolished Pipes Manufacturer in Narsinghpur | Sakshi Forge</v>
      </c>
      <c r="AA1172" s="15" t="str">
        <f t="shared" si="11"/>
        <v>OK (64)</v>
      </c>
      <c r="AB1172" s="15" t="str">
        <f t="shared" si="12"/>
        <v>Electropolished pipes in Narsinghpur: 304, 304L, 316 and 316L in SF1-SF4. VERIFY. Mill certified.</v>
      </c>
      <c r="AC1172" s="15" t="str">
        <f t="shared" si="13"/>
        <v>PENDING RESEARCH</v>
      </c>
      <c r="AD1172" s="15" t="str">
        <f t="shared" si="14"/>
        <v>Electropolished Pipes Manufacturer in Narsinghpur</v>
      </c>
      <c r="AE1172" s="15" t="str">
        <f t="shared" si="15"/>
        <v>Manufacturing Electropolished SS Tube for Narsinghpur: The Standards We Build To</v>
      </c>
      <c r="AF1172" s="15" t="str">
        <f t="shared" si="16"/>
        <v>Electropolished Pipe Supply Into Narsinghpur - Certification &amp; Transit</v>
      </c>
      <c r="AG1172" s="15" t="str">
        <f t="shared" si="17"/>
        <v>Electropolished Pipes Wholesaler in Narsinghpur - Project Quantities &amp; Terms</v>
      </c>
      <c r="AH1172" s="15" t="str">
        <f t="shared" si="18"/>
        <v>electropolished pipes manufacturer in Narsinghpur, electropolished pipes supplier in Narsinghpur, electropolished pipes wholesaler in Narsinghpur, electropolished tube manufacturer Narsinghpur, EP pipe supplier Narsinghpur, sanitary tube supplier Narsinghpur, ASME BPE tubing Narsinghpur, ASTM A270 tube Narsinghpur, SS 316L electropolished pipe Narsinghpur</v>
      </c>
      <c r="AI1172" s="15" t="str">
        <f t="shared" si="19"/>
        <v>Electropolished Pipes Manufacturer &amp; Supplier in Narsinghpur</v>
      </c>
      <c r="AJ1172" s="15" t="str">
        <f t="shared" si="20"/>
        <v>EP-finished SS 304/316L pipes and tubes for VERIFY plants in Narsinghpur. ASME BPE SF1-SF4, Ra from 0.25 um, EN 10204 3.1 certificate with every lot.</v>
      </c>
      <c r="AK1172" s="15" t="str">
        <f t="shared" si="21"/>
        <v>Electropolished stainless steel pipes supplied by Sakshi Forge to VERIFY plants at MPIDC Industrial Area, Narsinghpur</v>
      </c>
      <c r="AL1172" s="15" t="str">
        <f t="shared" si="22"/>
        <v>Electropolished SS 316L tube stock for Narsinghpur - Sakshi Forge</v>
      </c>
      <c r="AM1172" s="15" t="str">
        <f t="shared" si="23"/>
        <v>Home &gt; Market Area &gt; India &gt; Madhya Pradesh &gt; Narsinghpur</v>
      </c>
      <c r="AN1172" s="15">
        <f t="shared" si="24"/>
        <v>750</v>
      </c>
      <c r="AO1172" s="15">
        <f t="shared" si="25"/>
        <v>6</v>
      </c>
      <c r="AP1172" s="15">
        <f t="shared" si="26"/>
        <v>6</v>
      </c>
      <c r="AQ1172" s="15">
        <f t="shared" si="27"/>
        <v>20</v>
      </c>
      <c r="AR1172" s="31"/>
      <c r="AS1172" s="31"/>
      <c r="AT1172" s="35" t="s">
        <v>222</v>
      </c>
      <c r="AU1172" s="35"/>
    </row>
    <row r="1173" ht="15.75" customHeight="1">
      <c r="A1173" s="15" t="s">
        <v>6053</v>
      </c>
      <c r="B1173" s="15" t="s">
        <v>60</v>
      </c>
      <c r="C1173" s="15" t="s">
        <v>413</v>
      </c>
      <c r="D1173" s="15" t="s">
        <v>6054</v>
      </c>
      <c r="E1173" s="15" t="s">
        <v>6054</v>
      </c>
      <c r="F1173" s="58" t="s">
        <v>807</v>
      </c>
      <c r="G1173" s="66" t="s">
        <v>98</v>
      </c>
      <c r="H1173" s="18" t="s">
        <v>6056</v>
      </c>
      <c r="I1173" s="18" t="s">
        <v>8393</v>
      </c>
      <c r="J1173" s="18" t="s">
        <v>98</v>
      </c>
      <c r="K1173" s="18" t="s">
        <v>98</v>
      </c>
      <c r="L1173" s="18" t="s">
        <v>98</v>
      </c>
      <c r="M1173" s="18" t="s">
        <v>98</v>
      </c>
      <c r="N1173" s="18" t="s">
        <v>98</v>
      </c>
      <c r="O1173" s="18" t="s">
        <v>98</v>
      </c>
      <c r="P1173" s="15" t="str">
        <f t="shared" si="1"/>
        <v>VERIFY</v>
      </c>
      <c r="Q1173" s="15">
        <f t="shared" si="2"/>
        <v>2</v>
      </c>
      <c r="R1173" s="15">
        <f t="shared" si="3"/>
        <v>1</v>
      </c>
      <c r="S1173" s="15">
        <f t="shared" si="4"/>
        <v>5</v>
      </c>
      <c r="T1173" s="15" t="str">
        <f t="shared" si="5"/>
        <v>C-6</v>
      </c>
      <c r="U1173" s="15" t="str">
        <f t="shared" si="6"/>
        <v>T2-M1-H5-FC-6-VERIFY</v>
      </c>
      <c r="V1173" s="15">
        <f t="shared" si="7"/>
        <v>0</v>
      </c>
      <c r="W1173" s="31"/>
      <c r="X1173" s="15" t="str">
        <f t="shared" si="8"/>
        <v>narsipatnam</v>
      </c>
      <c r="Y1173" s="32" t="str">
        <f t="shared" si="9"/>
        <v>https://steelmanufacturer.in/market-area/electropolished-pipes-manufacturer-in-narsipatnam/</v>
      </c>
      <c r="Z1173" s="15" t="str">
        <f t="shared" si="10"/>
        <v>Electropolished Pipes Manufacturer in Narsipatnam</v>
      </c>
      <c r="AA1173" s="15" t="str">
        <f t="shared" si="11"/>
        <v>OK (49)</v>
      </c>
      <c r="AB1173" s="15" t="str">
        <f t="shared" si="12"/>
        <v>EP-finished SS 304/316L pipes &amp; tubes for VERIFY plants in Narsipatnam. ASTM A270, ASME BPE SF1-SF4, EN 10204 3.1 MTC. PMI tested.</v>
      </c>
      <c r="AC1173" s="15" t="str">
        <f t="shared" si="13"/>
        <v>PENDING RESEARCH</v>
      </c>
      <c r="AD1173" s="15" t="str">
        <f t="shared" si="14"/>
        <v>Electropolished Pipes Manufacturer in Narsipatnam</v>
      </c>
      <c r="AE1173" s="15" t="str">
        <f t="shared" si="15"/>
        <v>Electropolished Tube Manufacturing Capability Serving Narsipatnam</v>
      </c>
      <c r="AF1173" s="15" t="str">
        <f t="shared" si="16"/>
        <v>Electropolished Pipes Supplier in Narsipatnam - From Order to Delivery</v>
      </c>
      <c r="AG1173" s="15" t="str">
        <f t="shared" si="17"/>
        <v>Stockist &amp; Wholesale Supply of Electropolished Pipes in Narsipatnam</v>
      </c>
      <c r="AH1173" s="15" t="str">
        <f t="shared" si="18"/>
        <v>electropolished pipes manufacturer in Narsipatnam, electropolished pipes supplier in Narsipatnam, electropolished pipes wholesaler in Narsipatnam, electropolished tube manufacturer Narsipatnam, EP pipe supplier Narsipatnam, sanitary tube supplier Narsipatnam, ASME BPE tubing Narsipatnam, ASTM A270 tube Narsipatnam, SS 316L electropolished pipe Narsipatnam</v>
      </c>
      <c r="AI1173" s="15" t="str">
        <f t="shared" si="19"/>
        <v>Electropolished Pipes Manufacturer &amp; Supplier in Narsipatnam</v>
      </c>
      <c r="AJ1173" s="15" t="str">
        <f t="shared" si="20"/>
        <v>EP-finished SS 304/316L pipes and tubes for VERIFY plants in Narsipatnam. ASME BPE SF1-SF4, Ra from 0.25 um, EN 10204 3.1 certificate with every lot.</v>
      </c>
      <c r="AK1173" s="15" t="str">
        <f t="shared" si="21"/>
        <v>Electropolished stainless steel pipes supplied by Sakshi Forge to VERIFY plants at APIIC Industrial Area, Narsipatnam</v>
      </c>
      <c r="AL1173" s="15" t="str">
        <f t="shared" si="22"/>
        <v>Electropolished SS 316L tube stock for Narsipatnam - Sakshi Forge</v>
      </c>
      <c r="AM1173" s="15" t="str">
        <f t="shared" si="23"/>
        <v>Home &gt; Market Area &gt; India &gt; Andhra Pradesh &gt; Narsipatnam</v>
      </c>
      <c r="AN1173" s="15">
        <f t="shared" si="24"/>
        <v>750</v>
      </c>
      <c r="AO1173" s="15">
        <f t="shared" si="25"/>
        <v>6</v>
      </c>
      <c r="AP1173" s="15">
        <f t="shared" si="26"/>
        <v>6</v>
      </c>
      <c r="AQ1173" s="15">
        <f t="shared" si="27"/>
        <v>20</v>
      </c>
      <c r="AR1173" s="31"/>
      <c r="AS1173" s="31"/>
      <c r="AT1173" s="35" t="s">
        <v>222</v>
      </c>
      <c r="AU1173" s="35"/>
    </row>
    <row r="1174" ht="15.75" customHeight="1">
      <c r="A1174" s="15" t="s">
        <v>6057</v>
      </c>
      <c r="B1174" s="15" t="s">
        <v>60</v>
      </c>
      <c r="C1174" s="15" t="s">
        <v>245</v>
      </c>
      <c r="D1174" s="15" t="s">
        <v>6058</v>
      </c>
      <c r="E1174" s="15" t="s">
        <v>6058</v>
      </c>
      <c r="F1174" s="58" t="s">
        <v>807</v>
      </c>
      <c r="G1174" s="66" t="s">
        <v>98</v>
      </c>
      <c r="H1174" s="18" t="s">
        <v>6060</v>
      </c>
      <c r="I1174" s="18" t="s">
        <v>8407</v>
      </c>
      <c r="J1174" s="18" t="s">
        <v>98</v>
      </c>
      <c r="K1174" s="18" t="s">
        <v>98</v>
      </c>
      <c r="L1174" s="18" t="s">
        <v>98</v>
      </c>
      <c r="M1174" s="18" t="s">
        <v>98</v>
      </c>
      <c r="N1174" s="18" t="s">
        <v>98</v>
      </c>
      <c r="O1174" s="18" t="s">
        <v>98</v>
      </c>
      <c r="P1174" s="15" t="str">
        <f t="shared" si="1"/>
        <v>VERIFY</v>
      </c>
      <c r="Q1174" s="15">
        <f t="shared" si="2"/>
        <v>3</v>
      </c>
      <c r="R1174" s="15">
        <f t="shared" si="3"/>
        <v>2</v>
      </c>
      <c r="S1174" s="15">
        <f t="shared" si="4"/>
        <v>1</v>
      </c>
      <c r="T1174" s="15" t="str">
        <f t="shared" si="5"/>
        <v>C-1</v>
      </c>
      <c r="U1174" s="15" t="str">
        <f t="shared" si="6"/>
        <v>T3-M2-H1-FC-1-VERIFY</v>
      </c>
      <c r="V1174" s="15">
        <f t="shared" si="7"/>
        <v>0</v>
      </c>
      <c r="W1174" s="31"/>
      <c r="X1174" s="15" t="str">
        <f t="shared" si="8"/>
        <v>narwana</v>
      </c>
      <c r="Y1174" s="32" t="str">
        <f t="shared" si="9"/>
        <v>https://steelmanufacturer.in/market-area/electropolished-pipes-manufacturer-in-narwana/</v>
      </c>
      <c r="Z1174" s="15" t="str">
        <f t="shared" si="10"/>
        <v>Electropolished Pipes Manufacturer in Narwana | EP Tube Supplier</v>
      </c>
      <c r="AA1174" s="15" t="str">
        <f t="shared" si="11"/>
        <v>OK (64)</v>
      </c>
      <c r="AB1174" s="15" t="str">
        <f t="shared" si="12"/>
        <v>Electropolished tube supply to HSIIDC Industrial Area, Narwana. Ra from 0.25 um, SF4 finish, mill test certificate with every lot.</v>
      </c>
      <c r="AC1174" s="15" t="str">
        <f t="shared" si="13"/>
        <v>PENDING RESEARCH</v>
      </c>
      <c r="AD1174" s="15" t="str">
        <f t="shared" si="14"/>
        <v>Electropolished Pipes Manufacturer in Narwana</v>
      </c>
      <c r="AE1174" s="15" t="str">
        <f t="shared" si="15"/>
        <v>Electropolished Pipe &amp; Tube Manufacturing for Narwana - Grades, Finishes &amp; Certification</v>
      </c>
      <c r="AF1174" s="15" t="str">
        <f t="shared" si="16"/>
        <v>Electropolished Pipes Supplier in Narwana - Stock Sizes, Lead Time &amp; Delivery</v>
      </c>
      <c r="AG1174" s="15" t="str">
        <f t="shared" si="17"/>
        <v>Electropolished Pipes Wholesaler &amp; Stockist in Narwana - Bulk &amp; Project Pricing</v>
      </c>
      <c r="AH1174" s="15" t="str">
        <f t="shared" si="18"/>
        <v>electropolished pipes manufacturer in Narwana, electropolished pipes supplier in Narwana, electropolished pipes wholesaler in Narwana, electropolished tube manufacturer Narwana, EP pipe supplier Narwana, sanitary tube supplier Narwana, ASME BPE tubing Narwana, ASTM A270 tube Narwana, SS 316L electropolished pipe Narwana</v>
      </c>
      <c r="AI1174" s="15" t="str">
        <f t="shared" si="19"/>
        <v>Electropolished Pipes Manufacturer &amp; Supplier in Narwana</v>
      </c>
      <c r="AJ1174" s="15" t="str">
        <f t="shared" si="20"/>
        <v>EP-finished SS 304/316L pipes and tubes for VERIFY plants in Narwana. ASME BPE SF1-SF4, Ra from 0.25 um, EN 10204 3.1 certificate with every lot.</v>
      </c>
      <c r="AK1174" s="15" t="str">
        <f t="shared" si="21"/>
        <v>Electropolished stainless steel pipes supplied by Sakshi Forge to VERIFY plants at HSIIDC Industrial Area, Narwana</v>
      </c>
      <c r="AL1174" s="15" t="str">
        <f t="shared" si="22"/>
        <v>Electropolished SS 316L tube stock for Narwana - Sakshi Forge</v>
      </c>
      <c r="AM1174" s="15" t="str">
        <f t="shared" si="23"/>
        <v>Home &gt; Market Area &gt; India &gt; Haryana &gt; Narwana</v>
      </c>
      <c r="AN1174" s="15">
        <f t="shared" si="24"/>
        <v>750</v>
      </c>
      <c r="AO1174" s="15">
        <f t="shared" si="25"/>
        <v>6</v>
      </c>
      <c r="AP1174" s="15">
        <f t="shared" si="26"/>
        <v>6</v>
      </c>
      <c r="AQ1174" s="15">
        <f t="shared" si="27"/>
        <v>20</v>
      </c>
      <c r="AR1174" s="31"/>
      <c r="AS1174" s="31"/>
      <c r="AT1174" s="35" t="s">
        <v>222</v>
      </c>
      <c r="AU1174" s="35"/>
    </row>
    <row r="1175" ht="15.75" customHeight="1">
      <c r="A1175" s="15" t="s">
        <v>6061</v>
      </c>
      <c r="B1175" s="15" t="s">
        <v>60</v>
      </c>
      <c r="C1175" s="15" t="s">
        <v>236</v>
      </c>
      <c r="D1175" s="15" t="s">
        <v>6062</v>
      </c>
      <c r="E1175" s="15" t="s">
        <v>6062</v>
      </c>
      <c r="F1175" s="58" t="s">
        <v>807</v>
      </c>
      <c r="G1175" s="66" t="s">
        <v>98</v>
      </c>
      <c r="H1175" s="18" t="s">
        <v>6064</v>
      </c>
      <c r="I1175" s="18" t="s">
        <v>8391</v>
      </c>
      <c r="J1175" s="18" t="s">
        <v>98</v>
      </c>
      <c r="K1175" s="18" t="s">
        <v>98</v>
      </c>
      <c r="L1175" s="18" t="s">
        <v>98</v>
      </c>
      <c r="M1175" s="18" t="s">
        <v>98</v>
      </c>
      <c r="N1175" s="18" t="s">
        <v>98</v>
      </c>
      <c r="O1175" s="18" t="s">
        <v>98</v>
      </c>
      <c r="P1175" s="15" t="str">
        <f t="shared" si="1"/>
        <v>VERIFY</v>
      </c>
      <c r="Q1175" s="15">
        <f t="shared" si="2"/>
        <v>4</v>
      </c>
      <c r="R1175" s="15">
        <f t="shared" si="3"/>
        <v>3</v>
      </c>
      <c r="S1175" s="15">
        <f t="shared" si="4"/>
        <v>2</v>
      </c>
      <c r="T1175" s="15" t="str">
        <f t="shared" si="5"/>
        <v>C-2</v>
      </c>
      <c r="U1175" s="15" t="str">
        <f t="shared" si="6"/>
        <v>T4-M3-H2-FC-2-VERIFY</v>
      </c>
      <c r="V1175" s="15">
        <f t="shared" si="7"/>
        <v>0</v>
      </c>
      <c r="W1175" s="31"/>
      <c r="X1175" s="15" t="str">
        <f t="shared" si="8"/>
        <v>nasirabad</v>
      </c>
      <c r="Y1175" s="32" t="str">
        <f t="shared" si="9"/>
        <v>https://steelmanufacturer.in/market-area/electropolished-pipes-manufacturer-in-nasirabad/</v>
      </c>
      <c r="Z1175" s="15" t="str">
        <f t="shared" si="10"/>
        <v>Electropolished Pipes Manufacturer in Nasirabad</v>
      </c>
      <c r="AA1175" s="15" t="str">
        <f t="shared" si="11"/>
        <v>OK (47)</v>
      </c>
      <c r="AB1175" s="15" t="str">
        <f t="shared" si="12"/>
        <v>EP stainless tube for VERIFY lines in Nasirabad. VERIFY. ASTM A270 S2, PMI tested, EN 10204 3.1.</v>
      </c>
      <c r="AC1175" s="15" t="str">
        <f t="shared" si="13"/>
        <v>PENDING RESEARCH</v>
      </c>
      <c r="AD1175" s="15" t="str">
        <f t="shared" si="14"/>
        <v>Electropolished Pipes Manufacturer in Nasirabad</v>
      </c>
      <c r="AE1175" s="15" t="str">
        <f t="shared" si="15"/>
        <v>How We Manufacture Electropolished Tube for Nasirabad Plants</v>
      </c>
      <c r="AF1175" s="15" t="str">
        <f t="shared" si="16"/>
        <v>Supplying Electropolished Pipes in Nasirabad: Availability, Sizes &amp; Dispatch</v>
      </c>
      <c r="AG1175" s="15" t="str">
        <f t="shared" si="17"/>
        <v>Wholesale Electropolished Pipe Supply for Nasirabad Projects</v>
      </c>
      <c r="AH1175" s="15" t="str">
        <f t="shared" si="18"/>
        <v>electropolished pipes manufacturer in Nasirabad, electropolished pipes supplier in Nasirabad, electropolished pipes wholesaler in Nasirabad, electropolished tube manufacturer Nasirabad, EP pipe supplier Nasirabad, sanitary tube supplier Nasirabad, ASME BPE tubing Nasirabad, ASTM A270 tube Nasirabad, SS 316L electropolished pipe Nasirabad</v>
      </c>
      <c r="AI1175" s="15" t="str">
        <f t="shared" si="19"/>
        <v>Electropolished Pipes Manufacturer &amp; Supplier in Nasirabad</v>
      </c>
      <c r="AJ1175" s="15" t="str">
        <f t="shared" si="20"/>
        <v>EP-finished SS 304/316L pipes and tubes for VERIFY plants in Nasirabad. ASME BPE SF1-SF4, Ra from 0.25 um, EN 10204 3.1 certificate with every lot.</v>
      </c>
      <c r="AK1175" s="15" t="str">
        <f t="shared" si="21"/>
        <v>Electropolished stainless steel pipes supplied by Sakshi Forge to VERIFY plants at RIICO Industrial Area, Nasirabad</v>
      </c>
      <c r="AL1175" s="15" t="str">
        <f t="shared" si="22"/>
        <v>Electropolished SS 316L tube stock for Nasirabad - Sakshi Forge</v>
      </c>
      <c r="AM1175" s="15" t="str">
        <f t="shared" si="23"/>
        <v>Home &gt; Market Area &gt; India &gt; Rajasthan &gt; Nasirabad</v>
      </c>
      <c r="AN1175" s="15">
        <f t="shared" si="24"/>
        <v>750</v>
      </c>
      <c r="AO1175" s="15">
        <f t="shared" si="25"/>
        <v>6</v>
      </c>
      <c r="AP1175" s="15">
        <f t="shared" si="26"/>
        <v>6</v>
      </c>
      <c r="AQ1175" s="15">
        <f t="shared" si="27"/>
        <v>20</v>
      </c>
      <c r="AR1175" s="31"/>
      <c r="AS1175" s="31"/>
      <c r="AT1175" s="35" t="s">
        <v>222</v>
      </c>
      <c r="AU1175" s="35"/>
    </row>
    <row r="1176" ht="15.75" customHeight="1">
      <c r="A1176" s="15" t="s">
        <v>6065</v>
      </c>
      <c r="B1176" s="15" t="s">
        <v>60</v>
      </c>
      <c r="C1176" s="15" t="s">
        <v>245</v>
      </c>
      <c r="D1176" s="15" t="s">
        <v>6066</v>
      </c>
      <c r="E1176" s="15" t="s">
        <v>6066</v>
      </c>
      <c r="F1176" s="58" t="s">
        <v>807</v>
      </c>
      <c r="G1176" s="66" t="s">
        <v>98</v>
      </c>
      <c r="H1176" s="18" t="s">
        <v>6068</v>
      </c>
      <c r="I1176" s="18" t="s">
        <v>8407</v>
      </c>
      <c r="J1176" s="18" t="s">
        <v>98</v>
      </c>
      <c r="K1176" s="18" t="s">
        <v>98</v>
      </c>
      <c r="L1176" s="18" t="s">
        <v>98</v>
      </c>
      <c r="M1176" s="18" t="s">
        <v>98</v>
      </c>
      <c r="N1176" s="18" t="s">
        <v>98</v>
      </c>
      <c r="O1176" s="18" t="s">
        <v>98</v>
      </c>
      <c r="P1176" s="15" t="str">
        <f t="shared" si="1"/>
        <v>VERIFY</v>
      </c>
      <c r="Q1176" s="15">
        <f t="shared" si="2"/>
        <v>5</v>
      </c>
      <c r="R1176" s="15">
        <f t="shared" si="3"/>
        <v>4</v>
      </c>
      <c r="S1176" s="15">
        <f t="shared" si="4"/>
        <v>3</v>
      </c>
      <c r="T1176" s="15" t="str">
        <f t="shared" si="5"/>
        <v>C-3</v>
      </c>
      <c r="U1176" s="15" t="str">
        <f t="shared" si="6"/>
        <v>T5-M4-H3-FC-3-VERIFY</v>
      </c>
      <c r="V1176" s="15">
        <f t="shared" si="7"/>
        <v>0</v>
      </c>
      <c r="W1176" s="31"/>
      <c r="X1176" s="15" t="str">
        <f t="shared" si="8"/>
        <v>nathusari</v>
      </c>
      <c r="Y1176" s="32" t="str">
        <f t="shared" si="9"/>
        <v>https://steelmanufacturer.in/market-area/electropolished-pipes-manufacturer-in-nathusari/</v>
      </c>
      <c r="Z1176" s="15" t="str">
        <f t="shared" si="10"/>
        <v>Electropolished Pipes Manufacturer in Nathusari</v>
      </c>
      <c r="AA1176" s="15" t="str">
        <f t="shared" si="11"/>
        <v>OK (47)</v>
      </c>
      <c r="AB1176" s="15" t="str">
        <f t="shared" si="12"/>
        <v>Sanitary electropolished pipes in Nathusari for VERIFY plants. ASME BPE SF1-SF4, orbital-weld ready, 3.1 MTC. Mumbai-made.</v>
      </c>
      <c r="AC1176" s="15" t="str">
        <f t="shared" si="13"/>
        <v>PENDING RESEARCH</v>
      </c>
      <c r="AD1176" s="15" t="str">
        <f t="shared" si="14"/>
        <v>Electropolished Pipes Manufacturer in Nathusari</v>
      </c>
      <c r="AE1176" s="15" t="str">
        <f t="shared" si="15"/>
        <v>Electropolished Pipes Manufacturer in Nathusari - Our Process &amp; Capability</v>
      </c>
      <c r="AF1176" s="15" t="str">
        <f t="shared" si="16"/>
        <v>Electropolished Pipes Supplier in Nathusari - What We Hold in Stock</v>
      </c>
      <c r="AG1176" s="15" t="str">
        <f t="shared" si="17"/>
        <v>Bulk &amp; Wholesale Electropolished Pipe Rates for Nathusari Buyers</v>
      </c>
      <c r="AH1176" s="15" t="str">
        <f t="shared" si="18"/>
        <v>electropolished pipes manufacturer in Nathusari, electropolished pipes supplier in Nathusari, electropolished pipes wholesaler in Nathusari, electropolished tube manufacturer Nathusari, EP pipe supplier Nathusari, sanitary tube supplier Nathusari, ASME BPE tubing Nathusari, ASTM A270 tube Nathusari, SS 316L electropolished pipe Nathusari</v>
      </c>
      <c r="AI1176" s="15" t="str">
        <f t="shared" si="19"/>
        <v>Electropolished Pipes Manufacturer &amp; Supplier in Nathusari</v>
      </c>
      <c r="AJ1176" s="15" t="str">
        <f t="shared" si="20"/>
        <v>EP-finished SS 304/316L pipes and tubes for VERIFY plants in Nathusari. ASME BPE SF1-SF4, Ra from 0.25 um, EN 10204 3.1 certificate with every lot.</v>
      </c>
      <c r="AK1176" s="15" t="str">
        <f t="shared" si="21"/>
        <v>Electropolished stainless steel pipes supplied by Sakshi Forge to VERIFY plants at HSIIDC Industrial Area, Nathusari</v>
      </c>
      <c r="AL1176" s="15" t="str">
        <f t="shared" si="22"/>
        <v>Electropolished SS 316L tube stock for Nathusari - Sakshi Forge</v>
      </c>
      <c r="AM1176" s="15" t="str">
        <f t="shared" si="23"/>
        <v>Home &gt; Market Area &gt; India &gt; Haryana &gt; Nathusari</v>
      </c>
      <c r="AN1176" s="15">
        <f t="shared" si="24"/>
        <v>750</v>
      </c>
      <c r="AO1176" s="15">
        <f t="shared" si="25"/>
        <v>6</v>
      </c>
      <c r="AP1176" s="15">
        <f t="shared" si="26"/>
        <v>6</v>
      </c>
      <c r="AQ1176" s="15">
        <f t="shared" si="27"/>
        <v>20</v>
      </c>
      <c r="AR1176" s="31"/>
      <c r="AS1176" s="31"/>
      <c r="AT1176" s="35" t="s">
        <v>222</v>
      </c>
      <c r="AU1176" s="35"/>
    </row>
    <row r="1177" ht="15.75" customHeight="1">
      <c r="A1177" s="15" t="s">
        <v>6069</v>
      </c>
      <c r="B1177" s="15" t="s">
        <v>60</v>
      </c>
      <c r="C1177" s="15" t="s">
        <v>1818</v>
      </c>
      <c r="D1177" s="15" t="s">
        <v>6070</v>
      </c>
      <c r="E1177" s="15" t="s">
        <v>6070</v>
      </c>
      <c r="F1177" s="58" t="s">
        <v>807</v>
      </c>
      <c r="G1177" s="66" t="s">
        <v>98</v>
      </c>
      <c r="H1177" s="18" t="s">
        <v>6072</v>
      </c>
      <c r="I1177" s="18" t="s">
        <v>8402</v>
      </c>
      <c r="J1177" s="18" t="s">
        <v>98</v>
      </c>
      <c r="K1177" s="18" t="s">
        <v>98</v>
      </c>
      <c r="L1177" s="18" t="s">
        <v>98</v>
      </c>
      <c r="M1177" s="18" t="s">
        <v>98</v>
      </c>
      <c r="N1177" s="18" t="s">
        <v>98</v>
      </c>
      <c r="O1177" s="18" t="s">
        <v>98</v>
      </c>
      <c r="P1177" s="15" t="str">
        <f t="shared" si="1"/>
        <v>VERIFY</v>
      </c>
      <c r="Q1177" s="15">
        <f t="shared" si="2"/>
        <v>6</v>
      </c>
      <c r="R1177" s="15">
        <f t="shared" si="3"/>
        <v>5</v>
      </c>
      <c r="S1177" s="15">
        <f t="shared" si="4"/>
        <v>4</v>
      </c>
      <c r="T1177" s="15" t="str">
        <f t="shared" si="5"/>
        <v>C-4</v>
      </c>
      <c r="U1177" s="15" t="str">
        <f t="shared" si="6"/>
        <v>T6-M5-H4-FC-4-VERIFY</v>
      </c>
      <c r="V1177" s="15">
        <f t="shared" si="7"/>
        <v>0</v>
      </c>
      <c r="W1177" s="31"/>
      <c r="X1177" s="15" t="str">
        <f t="shared" si="8"/>
        <v>naubatpur</v>
      </c>
      <c r="Y1177" s="32" t="str">
        <f t="shared" si="9"/>
        <v>https://steelmanufacturer.in/market-area/electropolished-pipes-manufacturer-in-naubatpur/</v>
      </c>
      <c r="Z1177" s="15" t="str">
        <f t="shared" si="10"/>
        <v>Electropolished Pipes Manufacturer in Naubatpur</v>
      </c>
      <c r="AA1177" s="15" t="str">
        <f t="shared" si="11"/>
        <v>OK (47)</v>
      </c>
      <c r="AB1177" s="15" t="str">
        <f t="shared" si="12"/>
        <v>Manufacturer of electropolished SS 316L tube serving Naubatpur. VERIFY. Ra 0.25-0.5 um, EN 10204 3.1 MTC.</v>
      </c>
      <c r="AC1177" s="15" t="str">
        <f t="shared" si="13"/>
        <v>PENDING RESEARCH</v>
      </c>
      <c r="AD1177" s="15" t="str">
        <f t="shared" si="14"/>
        <v>Electropolished Pipes Manufacturer in Naubatpur</v>
      </c>
      <c r="AE1177" s="15" t="str">
        <f t="shared" si="15"/>
        <v>Manufacturing Electropolished SS Tube for Naubatpur: The Standards We Build To</v>
      </c>
      <c r="AF1177" s="15" t="str">
        <f t="shared" si="16"/>
        <v>Electropolished Pipe Supply Into Naubatpur - Certification &amp; Transit</v>
      </c>
      <c r="AG1177" s="15" t="str">
        <f t="shared" si="17"/>
        <v>Electropolished Pipes Wholesaler in Naubatpur - Project Quantities &amp; Terms</v>
      </c>
      <c r="AH1177" s="15" t="str">
        <f t="shared" si="18"/>
        <v>electropolished pipes manufacturer in Naubatpur, electropolished pipes supplier in Naubatpur, electropolished pipes wholesaler in Naubatpur, electropolished tube manufacturer Naubatpur, EP pipe supplier Naubatpur, sanitary tube supplier Naubatpur, ASME BPE tubing Naubatpur, ASTM A270 tube Naubatpur, SS 316L electropolished pipe Naubatpur</v>
      </c>
      <c r="AI1177" s="15" t="str">
        <f t="shared" si="19"/>
        <v>Electropolished Pipes Manufacturer &amp; Supplier in Naubatpur</v>
      </c>
      <c r="AJ1177" s="15" t="str">
        <f t="shared" si="20"/>
        <v>EP-finished SS 304/316L pipes and tubes for VERIFY plants in Naubatpur. ASME BPE SF1-SF4, Ra from 0.25 um, EN 10204 3.1 certificate with every lot.</v>
      </c>
      <c r="AK1177" s="15" t="str">
        <f t="shared" si="21"/>
        <v>Electropolished stainless steel pipes supplied by Sakshi Forge to VERIFY plants at BIADA Industrial Area, Naubatpur</v>
      </c>
      <c r="AL1177" s="15" t="str">
        <f t="shared" si="22"/>
        <v>Electropolished SS 316L tube stock for Naubatpur - Sakshi Forge</v>
      </c>
      <c r="AM1177" s="15" t="str">
        <f t="shared" si="23"/>
        <v>Home &gt; Market Area &gt; India &gt; Bihar &gt; Naubatpur</v>
      </c>
      <c r="AN1177" s="15">
        <f t="shared" si="24"/>
        <v>750</v>
      </c>
      <c r="AO1177" s="15">
        <f t="shared" si="25"/>
        <v>6</v>
      </c>
      <c r="AP1177" s="15">
        <f t="shared" si="26"/>
        <v>6</v>
      </c>
      <c r="AQ1177" s="15">
        <f t="shared" si="27"/>
        <v>20</v>
      </c>
      <c r="AR1177" s="31"/>
      <c r="AS1177" s="31"/>
      <c r="AT1177" s="35" t="s">
        <v>222</v>
      </c>
      <c r="AU1177" s="35"/>
    </row>
    <row r="1178" ht="15.75" customHeight="1">
      <c r="A1178" s="15" t="s">
        <v>6073</v>
      </c>
      <c r="B1178" s="15" t="s">
        <v>60</v>
      </c>
      <c r="C1178" s="15" t="s">
        <v>1818</v>
      </c>
      <c r="D1178" s="15" t="s">
        <v>6074</v>
      </c>
      <c r="E1178" s="15" t="s">
        <v>6074</v>
      </c>
      <c r="F1178" s="58" t="s">
        <v>807</v>
      </c>
      <c r="G1178" s="66" t="s">
        <v>98</v>
      </c>
      <c r="H1178" s="18" t="s">
        <v>6076</v>
      </c>
      <c r="I1178" s="18" t="s">
        <v>8402</v>
      </c>
      <c r="J1178" s="18" t="s">
        <v>98</v>
      </c>
      <c r="K1178" s="18" t="s">
        <v>98</v>
      </c>
      <c r="L1178" s="18" t="s">
        <v>98</v>
      </c>
      <c r="M1178" s="18" t="s">
        <v>98</v>
      </c>
      <c r="N1178" s="18" t="s">
        <v>98</v>
      </c>
      <c r="O1178" s="18" t="s">
        <v>98</v>
      </c>
      <c r="P1178" s="15" t="str">
        <f t="shared" si="1"/>
        <v>VERIFY</v>
      </c>
      <c r="Q1178" s="15">
        <f t="shared" si="2"/>
        <v>7</v>
      </c>
      <c r="R1178" s="15">
        <f t="shared" si="3"/>
        <v>6</v>
      </c>
      <c r="S1178" s="15">
        <f t="shared" si="4"/>
        <v>5</v>
      </c>
      <c r="T1178" s="15" t="str">
        <f t="shared" si="5"/>
        <v>C-5</v>
      </c>
      <c r="U1178" s="15" t="str">
        <f t="shared" si="6"/>
        <v>T7-M6-H5-FC-5-VERIFY</v>
      </c>
      <c r="V1178" s="15">
        <f t="shared" si="7"/>
        <v>0</v>
      </c>
      <c r="W1178" s="31"/>
      <c r="X1178" s="15" t="str">
        <f t="shared" si="8"/>
        <v>nawada</v>
      </c>
      <c r="Y1178" s="32" t="str">
        <f t="shared" si="9"/>
        <v>https://steelmanufacturer.in/market-area/electropolished-pipes-manufacturer-in-nawada/</v>
      </c>
      <c r="Z1178" s="15" t="str">
        <f t="shared" si="10"/>
        <v>Electropolished Pipes Manufacturer in Nawada | ASME BPE SF1-SF4</v>
      </c>
      <c r="AA1178" s="15" t="str">
        <f t="shared" si="11"/>
        <v>OK (63)</v>
      </c>
      <c r="AB1178" s="15" t="str">
        <f t="shared" si="12"/>
        <v>EP tube and pipe for VERIFY plants around BIADA Industrial Area, Nawada. Made at our Mumbai works to ASTM A270 and ASME BPE SF1-SF4, with 3.1 MTC.</v>
      </c>
      <c r="AC1178" s="15" t="str">
        <f t="shared" si="13"/>
        <v>PENDING RESEARCH</v>
      </c>
      <c r="AD1178" s="15" t="str">
        <f t="shared" si="14"/>
        <v>Electropolished Pipes Manufacturer in Nawada</v>
      </c>
      <c r="AE1178" s="15" t="str">
        <f t="shared" si="15"/>
        <v>Electropolished Tube Manufacturing Capability Serving Nawada</v>
      </c>
      <c r="AF1178" s="15" t="str">
        <f t="shared" si="16"/>
        <v>Electropolished Pipes Supplier in Nawada - From Order to Delivery</v>
      </c>
      <c r="AG1178" s="15" t="str">
        <f t="shared" si="17"/>
        <v>Stockist &amp; Wholesale Supply of Electropolished Pipes in Nawada</v>
      </c>
      <c r="AH1178" s="15" t="str">
        <f t="shared" si="18"/>
        <v>electropolished pipes manufacturer in Nawada, electropolished pipes supplier in Nawada, electropolished pipes wholesaler in Nawada, electropolished tube manufacturer Nawada, EP pipe supplier Nawada, sanitary tube supplier Nawada, ASME BPE tubing Nawada, ASTM A270 tube Nawada, SS 316L electropolished pipe Nawada</v>
      </c>
      <c r="AI1178" s="15" t="str">
        <f t="shared" si="19"/>
        <v>Electropolished Pipes Manufacturer &amp; Supplier in Nawada</v>
      </c>
      <c r="AJ1178" s="15" t="str">
        <f t="shared" si="20"/>
        <v>EP-finished SS 304/316L pipes and tubes for VERIFY plants in Nawada. ASME BPE SF1-SF4, Ra from 0.25 um, EN 10204 3.1 certificate with every lot.</v>
      </c>
      <c r="AK1178" s="15" t="str">
        <f t="shared" si="21"/>
        <v>Electropolished stainless steel pipes supplied by Sakshi Forge to VERIFY plants at BIADA Industrial Area, Nawada</v>
      </c>
      <c r="AL1178" s="15" t="str">
        <f t="shared" si="22"/>
        <v>Electropolished SS 316L tube stock for Nawada - Sakshi Forge</v>
      </c>
      <c r="AM1178" s="15" t="str">
        <f t="shared" si="23"/>
        <v>Home &gt; Market Area &gt; India &gt; Bihar &gt; Nawada</v>
      </c>
      <c r="AN1178" s="15">
        <f t="shared" si="24"/>
        <v>750</v>
      </c>
      <c r="AO1178" s="15">
        <f t="shared" si="25"/>
        <v>6</v>
      </c>
      <c r="AP1178" s="15">
        <f t="shared" si="26"/>
        <v>6</v>
      </c>
      <c r="AQ1178" s="15">
        <f t="shared" si="27"/>
        <v>20</v>
      </c>
      <c r="AR1178" s="31"/>
      <c r="AS1178" s="31"/>
      <c r="AT1178" s="35" t="s">
        <v>222</v>
      </c>
      <c r="AU1178" s="35"/>
    </row>
    <row r="1179" ht="15.75" customHeight="1">
      <c r="A1179" s="15" t="s">
        <v>6077</v>
      </c>
      <c r="B1179" s="15" t="s">
        <v>60</v>
      </c>
      <c r="C1179" s="15" t="s">
        <v>424</v>
      </c>
      <c r="D1179" s="15" t="s">
        <v>6078</v>
      </c>
      <c r="E1179" s="15" t="s">
        <v>6078</v>
      </c>
      <c r="F1179" s="58" t="s">
        <v>807</v>
      </c>
      <c r="G1179" s="66" t="s">
        <v>98</v>
      </c>
      <c r="H1179" s="18" t="s">
        <v>6082</v>
      </c>
      <c r="I1179" s="18" t="s">
        <v>8406</v>
      </c>
      <c r="J1179" s="18" t="s">
        <v>98</v>
      </c>
      <c r="K1179" s="18" t="s">
        <v>98</v>
      </c>
      <c r="L1179" s="18" t="s">
        <v>98</v>
      </c>
      <c r="M1179" s="18" t="s">
        <v>98</v>
      </c>
      <c r="N1179" s="18" t="s">
        <v>98</v>
      </c>
      <c r="O1179" s="18" t="s">
        <v>98</v>
      </c>
      <c r="P1179" s="15" t="str">
        <f t="shared" si="1"/>
        <v>VERIFY</v>
      </c>
      <c r="Q1179" s="15">
        <f t="shared" si="2"/>
        <v>8</v>
      </c>
      <c r="R1179" s="15">
        <f t="shared" si="3"/>
        <v>7</v>
      </c>
      <c r="S1179" s="15">
        <f t="shared" si="4"/>
        <v>1</v>
      </c>
      <c r="T1179" s="15" t="str">
        <f t="shared" si="5"/>
        <v>C-6</v>
      </c>
      <c r="U1179" s="15" t="str">
        <f t="shared" si="6"/>
        <v>T8-M7-H1-FC-6-VERIFY</v>
      </c>
      <c r="V1179" s="15">
        <f t="shared" si="7"/>
        <v>0</v>
      </c>
      <c r="W1179" s="31"/>
      <c r="X1179" s="15" t="str">
        <f t="shared" si="8"/>
        <v>nayagarh</v>
      </c>
      <c r="Y1179" s="32" t="str">
        <f t="shared" si="9"/>
        <v>https://steelmanufacturer.in/market-area/electropolished-pipes-manufacturer-in-nayagarh/</v>
      </c>
      <c r="Z1179" s="15" t="str">
        <f t="shared" si="10"/>
        <v>Electropolished Pipes Manufacturer in Nayagarh - EP Tube Stockist</v>
      </c>
      <c r="AA1179" s="15" t="str">
        <f t="shared" si="11"/>
        <v>OK (65)</v>
      </c>
      <c r="AB1179" s="15" t="str">
        <f t="shared" si="12"/>
        <v>Electropolished pipes in Nayagarh: 304, 304L, 316 and 316L in SF1-SF4. VERIFY. Mill certified.</v>
      </c>
      <c r="AC1179" s="15" t="str">
        <f t="shared" si="13"/>
        <v>PENDING RESEARCH</v>
      </c>
      <c r="AD1179" s="15" t="str">
        <f t="shared" si="14"/>
        <v>Electropolished Pipes Manufacturer in Nayagarh</v>
      </c>
      <c r="AE1179" s="15" t="str">
        <f t="shared" si="15"/>
        <v>Electropolished Pipe &amp; Tube Manufacturing for Nayagarh - Grades, Finishes &amp; Certification</v>
      </c>
      <c r="AF1179" s="15" t="str">
        <f t="shared" si="16"/>
        <v>Electropolished Pipes Supplier in Nayagarh - Stock Sizes, Lead Time &amp; Delivery</v>
      </c>
      <c r="AG1179" s="15" t="str">
        <f t="shared" si="17"/>
        <v>Electropolished Pipes Wholesaler &amp; Stockist in Nayagarh - Bulk &amp; Project Pricing</v>
      </c>
      <c r="AH1179" s="15" t="str">
        <f t="shared" si="18"/>
        <v>electropolished pipes manufacturer in Nayagarh, electropolished pipes supplier in Nayagarh, electropolished pipes wholesaler in Nayagarh, electropolished tube manufacturer Nayagarh, EP pipe supplier Nayagarh, sanitary tube supplier Nayagarh, ASME BPE tubing Nayagarh, ASTM A270 tube Nayagarh, SS 316L electropolished pipe Nayagarh</v>
      </c>
      <c r="AI1179" s="15" t="str">
        <f t="shared" si="19"/>
        <v>Electropolished Pipes Manufacturer &amp; Supplier in Nayagarh</v>
      </c>
      <c r="AJ1179" s="15" t="str">
        <f t="shared" si="20"/>
        <v>EP-finished SS 304/316L pipes and tubes for VERIFY plants in Nayagarh. ASME BPE SF1-SF4, Ra from 0.25 um, EN 10204 3.1 certificate with every lot.</v>
      </c>
      <c r="AK1179" s="15" t="str">
        <f t="shared" si="21"/>
        <v>Electropolished stainless steel pipes supplied by Sakshi Forge to VERIFY plants at IDCO Industrial Area, Nayagarh</v>
      </c>
      <c r="AL1179" s="15" t="str">
        <f t="shared" si="22"/>
        <v>Electropolished SS 316L tube stock for Nayagarh - Sakshi Forge</v>
      </c>
      <c r="AM1179" s="15" t="str">
        <f t="shared" si="23"/>
        <v>Home &gt; Market Area &gt; India &gt; Odisha &gt; Nayagarh</v>
      </c>
      <c r="AN1179" s="15">
        <f t="shared" si="24"/>
        <v>750</v>
      </c>
      <c r="AO1179" s="15">
        <f t="shared" si="25"/>
        <v>6</v>
      </c>
      <c r="AP1179" s="15">
        <f t="shared" si="26"/>
        <v>6</v>
      </c>
      <c r="AQ1179" s="15">
        <f t="shared" si="27"/>
        <v>20</v>
      </c>
      <c r="AR1179" s="31"/>
      <c r="AS1179" s="31"/>
      <c r="AT1179" s="35" t="s">
        <v>222</v>
      </c>
      <c r="AU1179" s="35"/>
    </row>
    <row r="1180" ht="15.75" customHeight="1">
      <c r="A1180" s="15" t="s">
        <v>6084</v>
      </c>
      <c r="B1180" s="15" t="s">
        <v>60</v>
      </c>
      <c r="C1180" s="15" t="s">
        <v>224</v>
      </c>
      <c r="D1180" s="15" t="s">
        <v>6087</v>
      </c>
      <c r="E1180" s="15" t="s">
        <v>6087</v>
      </c>
      <c r="F1180" s="58" t="s">
        <v>807</v>
      </c>
      <c r="G1180" s="66" t="s">
        <v>98</v>
      </c>
      <c r="H1180" s="18" t="s">
        <v>6090</v>
      </c>
      <c r="I1180" s="18" t="s">
        <v>8400</v>
      </c>
      <c r="J1180" s="18" t="s">
        <v>98</v>
      </c>
      <c r="K1180" s="18" t="s">
        <v>98</v>
      </c>
      <c r="L1180" s="18" t="s">
        <v>98</v>
      </c>
      <c r="M1180" s="18" t="s">
        <v>98</v>
      </c>
      <c r="N1180" s="18" t="s">
        <v>98</v>
      </c>
      <c r="O1180" s="18" t="s">
        <v>98</v>
      </c>
      <c r="P1180" s="15" t="str">
        <f t="shared" si="1"/>
        <v>VERIFY</v>
      </c>
      <c r="Q1180" s="15">
        <f t="shared" si="2"/>
        <v>1</v>
      </c>
      <c r="R1180" s="15">
        <f t="shared" si="3"/>
        <v>1</v>
      </c>
      <c r="S1180" s="15">
        <f t="shared" si="4"/>
        <v>2</v>
      </c>
      <c r="T1180" s="15" t="str">
        <f t="shared" si="5"/>
        <v>C-1</v>
      </c>
      <c r="U1180" s="15" t="str">
        <f t="shared" si="6"/>
        <v>T1-M1-H2-FC-1-VERIFY</v>
      </c>
      <c r="V1180" s="15">
        <f t="shared" si="7"/>
        <v>0</v>
      </c>
      <c r="W1180" s="31"/>
      <c r="X1180" s="15" t="str">
        <f t="shared" si="8"/>
        <v>netrang</v>
      </c>
      <c r="Y1180" s="32" t="str">
        <f t="shared" si="9"/>
        <v>https://steelmanufacturer.in/market-area/electropolished-pipes-manufacturer-in-netrang/</v>
      </c>
      <c r="Z1180" s="15" t="str">
        <f t="shared" si="10"/>
        <v>Electropolished Pipes Manufacturer in Netrang | Sakshi Forge</v>
      </c>
      <c r="AA1180" s="15" t="str">
        <f t="shared" si="11"/>
        <v>OK (60)</v>
      </c>
      <c r="AB1180" s="15" t="str">
        <f t="shared" si="12"/>
        <v>EP-finished SS 304/316L pipes &amp; tubes for VERIFY plants in Netrang. ASTM A270, ASME BPE SF1-SF4, EN 10204 3.1 MTC. PMI tested.</v>
      </c>
      <c r="AC1180" s="15" t="str">
        <f t="shared" si="13"/>
        <v>PENDING RESEARCH</v>
      </c>
      <c r="AD1180" s="15" t="str">
        <f t="shared" si="14"/>
        <v>Electropolished Pipes Manufacturer in Netrang</v>
      </c>
      <c r="AE1180" s="15" t="str">
        <f t="shared" si="15"/>
        <v>How We Manufacture Electropolished Tube for Netrang Plants</v>
      </c>
      <c r="AF1180" s="15" t="str">
        <f t="shared" si="16"/>
        <v>Supplying Electropolished Pipes in Netrang: Availability, Sizes &amp; Dispatch</v>
      </c>
      <c r="AG1180" s="15" t="str">
        <f t="shared" si="17"/>
        <v>Wholesale Electropolished Pipe Supply for Netrang Projects</v>
      </c>
      <c r="AH1180" s="15" t="str">
        <f t="shared" si="18"/>
        <v>electropolished pipes manufacturer in Netrang, electropolished pipes supplier in Netrang, electropolished pipes wholesaler in Netrang, electropolished tube manufacturer Netrang, EP pipe supplier Netrang, sanitary tube supplier Netrang, ASME BPE tubing Netrang, ASTM A270 tube Netrang, SS 316L electropolished pipe Netrang</v>
      </c>
      <c r="AI1180" s="15" t="str">
        <f t="shared" si="19"/>
        <v>Electropolished Pipes Manufacturer &amp; Supplier in Netrang</v>
      </c>
      <c r="AJ1180" s="15" t="str">
        <f t="shared" si="20"/>
        <v>EP-finished SS 304/316L pipes and tubes for VERIFY plants in Netrang. ASME BPE SF1-SF4, Ra from 0.25 um, EN 10204 3.1 certificate with every lot.</v>
      </c>
      <c r="AK1180" s="15" t="str">
        <f t="shared" si="21"/>
        <v>Electropolished stainless steel pipes supplied by Sakshi Forge to VERIFY plants at GIDC Industrial Area, Netrang</v>
      </c>
      <c r="AL1180" s="15" t="str">
        <f t="shared" si="22"/>
        <v>Electropolished SS 316L tube stock for Netrang - Sakshi Forge</v>
      </c>
      <c r="AM1180" s="15" t="str">
        <f t="shared" si="23"/>
        <v>Home &gt; Market Area &gt; India &gt; Gujarat &gt; Netrang</v>
      </c>
      <c r="AN1180" s="15">
        <f t="shared" si="24"/>
        <v>750</v>
      </c>
      <c r="AO1180" s="15">
        <f t="shared" si="25"/>
        <v>6</v>
      </c>
      <c r="AP1180" s="15">
        <f t="shared" si="26"/>
        <v>6</v>
      </c>
      <c r="AQ1180" s="15">
        <f t="shared" si="27"/>
        <v>20</v>
      </c>
      <c r="AR1180" s="31"/>
      <c r="AS1180" s="31"/>
      <c r="AT1180" s="35" t="s">
        <v>222</v>
      </c>
      <c r="AU1180" s="35"/>
    </row>
    <row r="1181" ht="15.75" customHeight="1">
      <c r="A1181" s="15" t="s">
        <v>6091</v>
      </c>
      <c r="B1181" s="15" t="s">
        <v>60</v>
      </c>
      <c r="C1181" s="15" t="s">
        <v>264</v>
      </c>
      <c r="D1181" s="15" t="s">
        <v>6092</v>
      </c>
      <c r="E1181" s="15" t="s">
        <v>6092</v>
      </c>
      <c r="F1181" s="58" t="s">
        <v>807</v>
      </c>
      <c r="G1181" s="66" t="s">
        <v>98</v>
      </c>
      <c r="H1181" s="18" t="s">
        <v>6094</v>
      </c>
      <c r="I1181" s="18" t="s">
        <v>8395</v>
      </c>
      <c r="J1181" s="18" t="s">
        <v>98</v>
      </c>
      <c r="K1181" s="18" t="s">
        <v>98</v>
      </c>
      <c r="L1181" s="18" t="s">
        <v>98</v>
      </c>
      <c r="M1181" s="18" t="s">
        <v>98</v>
      </c>
      <c r="N1181" s="18" t="s">
        <v>98</v>
      </c>
      <c r="O1181" s="18" t="s">
        <v>98</v>
      </c>
      <c r="P1181" s="15" t="str">
        <f t="shared" si="1"/>
        <v>VERIFY</v>
      </c>
      <c r="Q1181" s="15">
        <f t="shared" si="2"/>
        <v>2</v>
      </c>
      <c r="R1181" s="15">
        <f t="shared" si="3"/>
        <v>2</v>
      </c>
      <c r="S1181" s="15">
        <f t="shared" si="4"/>
        <v>3</v>
      </c>
      <c r="T1181" s="15" t="str">
        <f t="shared" si="5"/>
        <v>C-2</v>
      </c>
      <c r="U1181" s="15" t="str">
        <f t="shared" si="6"/>
        <v>T2-M2-H3-FC-2-VERIFY</v>
      </c>
      <c r="V1181" s="15">
        <f t="shared" si="7"/>
        <v>0</v>
      </c>
      <c r="W1181" s="31"/>
      <c r="X1181" s="15" t="str">
        <f t="shared" si="8"/>
        <v>newasa</v>
      </c>
      <c r="Y1181" s="32" t="str">
        <f t="shared" si="9"/>
        <v>https://steelmanufacturer.in/market-area/electropolished-pipes-manufacturer-in-newasa/</v>
      </c>
      <c r="Z1181" s="15" t="str">
        <f t="shared" si="10"/>
        <v>Electropolished Pipes Manufacturer in Newasa</v>
      </c>
      <c r="AA1181" s="15" t="str">
        <f t="shared" si="11"/>
        <v>OK (44)</v>
      </c>
      <c r="AB1181" s="15" t="str">
        <f t="shared" si="12"/>
        <v>Electropolished tube supply to MIDC Industrial Area, Newasa. Ra from 0.25 um, SF4 finish, mill test certificate with every lot.</v>
      </c>
      <c r="AC1181" s="15" t="str">
        <f t="shared" si="13"/>
        <v>PENDING RESEARCH</v>
      </c>
      <c r="AD1181" s="15" t="str">
        <f t="shared" si="14"/>
        <v>Electropolished Pipes Manufacturer in Newasa</v>
      </c>
      <c r="AE1181" s="15" t="str">
        <f t="shared" si="15"/>
        <v>Electropolished Pipes Manufacturer in Newasa - Our Process &amp; Capability</v>
      </c>
      <c r="AF1181" s="15" t="str">
        <f t="shared" si="16"/>
        <v>Electropolished Pipes Supplier in Newasa - What We Hold in Stock</v>
      </c>
      <c r="AG1181" s="15" t="str">
        <f t="shared" si="17"/>
        <v>Bulk &amp; Wholesale Electropolished Pipe Rates for Newasa Buyers</v>
      </c>
      <c r="AH1181" s="15" t="str">
        <f t="shared" si="18"/>
        <v>electropolished pipes manufacturer in Newasa, electropolished pipes supplier in Newasa, electropolished pipes wholesaler in Newasa, electropolished tube manufacturer Newasa, EP pipe supplier Newasa, sanitary tube supplier Newasa, ASME BPE tubing Newasa, ASTM A270 tube Newasa, SS 316L electropolished pipe Newasa</v>
      </c>
      <c r="AI1181" s="15" t="str">
        <f t="shared" si="19"/>
        <v>Electropolished Pipes Manufacturer &amp; Supplier in Newasa</v>
      </c>
      <c r="AJ1181" s="15" t="str">
        <f t="shared" si="20"/>
        <v>EP-finished SS 304/316L pipes and tubes for VERIFY plants in Newasa. ASME BPE SF1-SF4, Ra from 0.25 um, EN 10204 3.1 certificate with every lot.</v>
      </c>
      <c r="AK1181" s="15" t="str">
        <f t="shared" si="21"/>
        <v>Electropolished stainless steel pipes supplied by Sakshi Forge to VERIFY plants at MIDC Industrial Area, Newasa</v>
      </c>
      <c r="AL1181" s="15" t="str">
        <f t="shared" si="22"/>
        <v>Electropolished SS 316L tube stock for Newasa - Sakshi Forge</v>
      </c>
      <c r="AM1181" s="15" t="str">
        <f t="shared" si="23"/>
        <v>Home &gt; Market Area &gt; India &gt; Maharashtra &gt; Newasa</v>
      </c>
      <c r="AN1181" s="15">
        <f t="shared" si="24"/>
        <v>750</v>
      </c>
      <c r="AO1181" s="15">
        <f t="shared" si="25"/>
        <v>6</v>
      </c>
      <c r="AP1181" s="15">
        <f t="shared" si="26"/>
        <v>6</v>
      </c>
      <c r="AQ1181" s="15">
        <f t="shared" si="27"/>
        <v>20</v>
      </c>
      <c r="AR1181" s="31"/>
      <c r="AS1181" s="31"/>
      <c r="AT1181" s="35" t="s">
        <v>222</v>
      </c>
      <c r="AU1181" s="35"/>
    </row>
    <row r="1182" ht="15.75" customHeight="1">
      <c r="A1182" s="15" t="s">
        <v>6095</v>
      </c>
      <c r="B1182" s="15" t="s">
        <v>60</v>
      </c>
      <c r="C1182" s="15" t="s">
        <v>958</v>
      </c>
      <c r="D1182" s="15" t="s">
        <v>6096</v>
      </c>
      <c r="E1182" s="15" t="s">
        <v>6096</v>
      </c>
      <c r="F1182" s="58" t="s">
        <v>807</v>
      </c>
      <c r="G1182" s="66" t="s">
        <v>98</v>
      </c>
      <c r="H1182" s="18" t="s">
        <v>6098</v>
      </c>
      <c r="I1182" s="18" t="s">
        <v>8403</v>
      </c>
      <c r="J1182" s="18" t="s">
        <v>98</v>
      </c>
      <c r="K1182" s="18" t="s">
        <v>98</v>
      </c>
      <c r="L1182" s="18" t="s">
        <v>98</v>
      </c>
      <c r="M1182" s="18" t="s">
        <v>98</v>
      </c>
      <c r="N1182" s="18" t="s">
        <v>98</v>
      </c>
      <c r="O1182" s="18" t="s">
        <v>98</v>
      </c>
      <c r="P1182" s="15" t="str">
        <f t="shared" si="1"/>
        <v>VERIFY</v>
      </c>
      <c r="Q1182" s="15">
        <f t="shared" si="2"/>
        <v>3</v>
      </c>
      <c r="R1182" s="15">
        <f t="shared" si="3"/>
        <v>3</v>
      </c>
      <c r="S1182" s="15">
        <f t="shared" si="4"/>
        <v>4</v>
      </c>
      <c r="T1182" s="15" t="str">
        <f t="shared" si="5"/>
        <v>C-3</v>
      </c>
      <c r="U1182" s="15" t="str">
        <f t="shared" si="6"/>
        <v>T3-M3-H4-FC-3-VERIFY</v>
      </c>
      <c r="V1182" s="15">
        <f t="shared" si="7"/>
        <v>0</v>
      </c>
      <c r="W1182" s="31"/>
      <c r="X1182" s="15" t="str">
        <f t="shared" si="8"/>
        <v>neyveli</v>
      </c>
      <c r="Y1182" s="32" t="str">
        <f t="shared" si="9"/>
        <v>https://steelmanufacturer.in/market-area/electropolished-pipes-manufacturer-in-neyveli/</v>
      </c>
      <c r="Z1182" s="15" t="str">
        <f t="shared" si="10"/>
        <v>Electropolished Pipes Manufacturer in Neyveli | EP Tube Supplier</v>
      </c>
      <c r="AA1182" s="15" t="str">
        <f t="shared" si="11"/>
        <v>OK (64)</v>
      </c>
      <c r="AB1182" s="15" t="str">
        <f t="shared" si="12"/>
        <v>EP stainless tube for VERIFY lines in Neyveli. VERIFY. ASTM A270 S2, PMI tested, EN 10204 3.1.</v>
      </c>
      <c r="AC1182" s="15" t="str">
        <f t="shared" si="13"/>
        <v>PENDING RESEARCH</v>
      </c>
      <c r="AD1182" s="15" t="str">
        <f t="shared" si="14"/>
        <v>Electropolished Pipes Manufacturer in Neyveli</v>
      </c>
      <c r="AE1182" s="15" t="str">
        <f t="shared" si="15"/>
        <v>Manufacturing Electropolished SS Tube for Neyveli: The Standards We Build To</v>
      </c>
      <c r="AF1182" s="15" t="str">
        <f t="shared" si="16"/>
        <v>Electropolished Pipe Supply Into Neyveli - Certification &amp; Transit</v>
      </c>
      <c r="AG1182" s="15" t="str">
        <f t="shared" si="17"/>
        <v>Electropolished Pipes Wholesaler in Neyveli - Project Quantities &amp; Terms</v>
      </c>
      <c r="AH1182" s="15" t="str">
        <f t="shared" si="18"/>
        <v>electropolished pipes manufacturer in Neyveli, electropolished pipes supplier in Neyveli, electropolished pipes wholesaler in Neyveli, electropolished tube manufacturer Neyveli, EP pipe supplier Neyveli, sanitary tube supplier Neyveli, ASME BPE tubing Neyveli, ASTM A270 tube Neyveli, SS 316L electropolished pipe Neyveli</v>
      </c>
      <c r="AI1182" s="15" t="str">
        <f t="shared" si="19"/>
        <v>Electropolished Pipes Manufacturer &amp; Supplier in Neyveli</v>
      </c>
      <c r="AJ1182" s="15" t="str">
        <f t="shared" si="20"/>
        <v>EP-finished SS 304/316L pipes and tubes for VERIFY plants in Neyveli. ASME BPE SF1-SF4, Ra from 0.25 um, EN 10204 3.1 certificate with every lot.</v>
      </c>
      <c r="AK1182" s="15" t="str">
        <f t="shared" si="21"/>
        <v>Electropolished stainless steel pipes supplied by Sakshi Forge to VERIFY plants at SIPCOT Industrial Area, Neyveli</v>
      </c>
      <c r="AL1182" s="15" t="str">
        <f t="shared" si="22"/>
        <v>Electropolished SS 316L tube stock for Neyveli - Sakshi Forge</v>
      </c>
      <c r="AM1182" s="15" t="str">
        <f t="shared" si="23"/>
        <v>Home &gt; Market Area &gt; India &gt; Tamil Nadu &gt; Neyveli</v>
      </c>
      <c r="AN1182" s="15">
        <f t="shared" si="24"/>
        <v>750</v>
      </c>
      <c r="AO1182" s="15">
        <f t="shared" si="25"/>
        <v>6</v>
      </c>
      <c r="AP1182" s="15">
        <f t="shared" si="26"/>
        <v>6</v>
      </c>
      <c r="AQ1182" s="15">
        <f t="shared" si="27"/>
        <v>20</v>
      </c>
      <c r="AR1182" s="31"/>
      <c r="AS1182" s="31"/>
      <c r="AT1182" s="35" t="s">
        <v>222</v>
      </c>
      <c r="AU1182" s="35"/>
    </row>
    <row r="1183" ht="15.75" customHeight="1">
      <c r="A1183" s="15" t="s">
        <v>6099</v>
      </c>
      <c r="B1183" s="15" t="s">
        <v>60</v>
      </c>
      <c r="C1183" s="15" t="s">
        <v>264</v>
      </c>
      <c r="D1183" s="15" t="s">
        <v>6100</v>
      </c>
      <c r="E1183" s="15" t="s">
        <v>6100</v>
      </c>
      <c r="F1183" s="58" t="s">
        <v>807</v>
      </c>
      <c r="G1183" s="66" t="s">
        <v>98</v>
      </c>
      <c r="H1183" s="18" t="s">
        <v>6102</v>
      </c>
      <c r="I1183" s="18" t="s">
        <v>8395</v>
      </c>
      <c r="J1183" s="18" t="s">
        <v>98</v>
      </c>
      <c r="K1183" s="18" t="s">
        <v>98</v>
      </c>
      <c r="L1183" s="18" t="s">
        <v>98</v>
      </c>
      <c r="M1183" s="18" t="s">
        <v>98</v>
      </c>
      <c r="N1183" s="18" t="s">
        <v>98</v>
      </c>
      <c r="O1183" s="18" t="s">
        <v>98</v>
      </c>
      <c r="P1183" s="15" t="str">
        <f t="shared" si="1"/>
        <v>VERIFY</v>
      </c>
      <c r="Q1183" s="15">
        <f t="shared" si="2"/>
        <v>4</v>
      </c>
      <c r="R1183" s="15">
        <f t="shared" si="3"/>
        <v>4</v>
      </c>
      <c r="S1183" s="15">
        <f t="shared" si="4"/>
        <v>5</v>
      </c>
      <c r="T1183" s="15" t="str">
        <f t="shared" si="5"/>
        <v>C-4</v>
      </c>
      <c r="U1183" s="15" t="str">
        <f t="shared" si="6"/>
        <v>T4-M4-H5-FC-4-VERIFY</v>
      </c>
      <c r="V1183" s="15">
        <f t="shared" si="7"/>
        <v>0</v>
      </c>
      <c r="W1183" s="31"/>
      <c r="X1183" s="15" t="str">
        <f t="shared" si="8"/>
        <v>nilanga</v>
      </c>
      <c r="Y1183" s="32" t="str">
        <f t="shared" si="9"/>
        <v>https://steelmanufacturer.in/market-area/electropolished-pipes-manufacturer-in-nilanga/</v>
      </c>
      <c r="Z1183" s="15" t="str">
        <f t="shared" si="10"/>
        <v>Electropolished Pipes Manufacturer in Nilanga</v>
      </c>
      <c r="AA1183" s="15" t="str">
        <f t="shared" si="11"/>
        <v>OK (45)</v>
      </c>
      <c r="AB1183" s="15" t="str">
        <f t="shared" si="12"/>
        <v>Sanitary electropolished pipes in Nilanga for VERIFY plants. ASME BPE SF1-SF4, orbital-weld ready, 3.1 MTC. Mumbai-made.</v>
      </c>
      <c r="AC1183" s="15" t="str">
        <f t="shared" si="13"/>
        <v>PENDING RESEARCH</v>
      </c>
      <c r="AD1183" s="15" t="str">
        <f t="shared" si="14"/>
        <v>Electropolished Pipes Manufacturer in Nilanga</v>
      </c>
      <c r="AE1183" s="15" t="str">
        <f t="shared" si="15"/>
        <v>Electropolished Tube Manufacturing Capability Serving Nilanga</v>
      </c>
      <c r="AF1183" s="15" t="str">
        <f t="shared" si="16"/>
        <v>Electropolished Pipes Supplier in Nilanga - From Order to Delivery</v>
      </c>
      <c r="AG1183" s="15" t="str">
        <f t="shared" si="17"/>
        <v>Stockist &amp; Wholesale Supply of Electropolished Pipes in Nilanga</v>
      </c>
      <c r="AH1183" s="15" t="str">
        <f t="shared" si="18"/>
        <v>electropolished pipes manufacturer in Nilanga, electropolished pipes supplier in Nilanga, electropolished pipes wholesaler in Nilanga, electropolished tube manufacturer Nilanga, EP pipe supplier Nilanga, sanitary tube supplier Nilanga, ASME BPE tubing Nilanga, ASTM A270 tube Nilanga, SS 316L electropolished pipe Nilanga</v>
      </c>
      <c r="AI1183" s="15" t="str">
        <f t="shared" si="19"/>
        <v>Electropolished Pipes Manufacturer &amp; Supplier in Nilanga</v>
      </c>
      <c r="AJ1183" s="15" t="str">
        <f t="shared" si="20"/>
        <v>EP-finished SS 304/316L pipes and tubes for VERIFY plants in Nilanga. ASME BPE SF1-SF4, Ra from 0.25 um, EN 10204 3.1 certificate with every lot.</v>
      </c>
      <c r="AK1183" s="15" t="str">
        <f t="shared" si="21"/>
        <v>Electropolished stainless steel pipes supplied by Sakshi Forge to VERIFY plants at MIDC Industrial Area, Nilanga</v>
      </c>
      <c r="AL1183" s="15" t="str">
        <f t="shared" si="22"/>
        <v>Electropolished SS 316L tube stock for Nilanga - Sakshi Forge</v>
      </c>
      <c r="AM1183" s="15" t="str">
        <f t="shared" si="23"/>
        <v>Home &gt; Market Area &gt; India &gt; Maharashtra &gt; Nilanga</v>
      </c>
      <c r="AN1183" s="15">
        <f t="shared" si="24"/>
        <v>750</v>
      </c>
      <c r="AO1183" s="15">
        <f t="shared" si="25"/>
        <v>6</v>
      </c>
      <c r="AP1183" s="15">
        <f t="shared" si="26"/>
        <v>6</v>
      </c>
      <c r="AQ1183" s="15">
        <f t="shared" si="27"/>
        <v>20</v>
      </c>
      <c r="AR1183" s="31"/>
      <c r="AS1183" s="31"/>
      <c r="AT1183" s="35" t="s">
        <v>222</v>
      </c>
      <c r="AU1183" s="35"/>
    </row>
    <row r="1184" ht="15.75" customHeight="1">
      <c r="A1184" s="15" t="s">
        <v>6103</v>
      </c>
      <c r="B1184" s="15" t="s">
        <v>60</v>
      </c>
      <c r="C1184" s="15" t="s">
        <v>424</v>
      </c>
      <c r="D1184" s="15" t="s">
        <v>6104</v>
      </c>
      <c r="E1184" s="15" t="s">
        <v>6104</v>
      </c>
      <c r="F1184" s="58" t="s">
        <v>807</v>
      </c>
      <c r="G1184" s="66" t="s">
        <v>98</v>
      </c>
      <c r="H1184" s="18" t="s">
        <v>6106</v>
      </c>
      <c r="I1184" s="18" t="s">
        <v>8406</v>
      </c>
      <c r="J1184" s="18" t="s">
        <v>98</v>
      </c>
      <c r="K1184" s="18" t="s">
        <v>98</v>
      </c>
      <c r="L1184" s="18" t="s">
        <v>98</v>
      </c>
      <c r="M1184" s="18" t="s">
        <v>98</v>
      </c>
      <c r="N1184" s="18" t="s">
        <v>98</v>
      </c>
      <c r="O1184" s="18" t="s">
        <v>98</v>
      </c>
      <c r="P1184" s="15" t="str">
        <f t="shared" si="1"/>
        <v>VERIFY</v>
      </c>
      <c r="Q1184" s="15">
        <f t="shared" si="2"/>
        <v>5</v>
      </c>
      <c r="R1184" s="15">
        <f t="shared" si="3"/>
        <v>5</v>
      </c>
      <c r="S1184" s="15">
        <f t="shared" si="4"/>
        <v>1</v>
      </c>
      <c r="T1184" s="15" t="str">
        <f t="shared" si="5"/>
        <v>C-5</v>
      </c>
      <c r="U1184" s="15" t="str">
        <f t="shared" si="6"/>
        <v>T5-M5-H1-FC-5-VERIFY</v>
      </c>
      <c r="V1184" s="15">
        <f t="shared" si="7"/>
        <v>0</v>
      </c>
      <c r="W1184" s="31"/>
      <c r="X1184" s="15" t="str">
        <f t="shared" si="8"/>
        <v>nimapara</v>
      </c>
      <c r="Y1184" s="32" t="str">
        <f t="shared" si="9"/>
        <v>https://steelmanufacturer.in/market-area/electropolished-pipes-manufacturer-in-nimapara/</v>
      </c>
      <c r="Z1184" s="15" t="str">
        <f t="shared" si="10"/>
        <v>Electropolished Pipes Manufacturer in Nimapara</v>
      </c>
      <c r="AA1184" s="15" t="str">
        <f t="shared" si="11"/>
        <v>OK (46)</v>
      </c>
      <c r="AB1184" s="15" t="str">
        <f t="shared" si="12"/>
        <v>Manufacturer of electropolished SS 316L tube serving Nimapara. VERIFY. Ra 0.25-0.5 um, EN 10204 3.1 MTC.</v>
      </c>
      <c r="AC1184" s="15" t="str">
        <f t="shared" si="13"/>
        <v>PENDING RESEARCH</v>
      </c>
      <c r="AD1184" s="15" t="str">
        <f t="shared" si="14"/>
        <v>Electropolished Pipes Manufacturer in Nimapara</v>
      </c>
      <c r="AE1184" s="15" t="str">
        <f t="shared" si="15"/>
        <v>Electropolished Pipe &amp; Tube Manufacturing for Nimapara - Grades, Finishes &amp; Certification</v>
      </c>
      <c r="AF1184" s="15" t="str">
        <f t="shared" si="16"/>
        <v>Electropolished Pipes Supplier in Nimapara - Stock Sizes, Lead Time &amp; Delivery</v>
      </c>
      <c r="AG1184" s="15" t="str">
        <f t="shared" si="17"/>
        <v>Electropolished Pipes Wholesaler &amp; Stockist in Nimapara - Bulk &amp; Project Pricing</v>
      </c>
      <c r="AH1184" s="15" t="str">
        <f t="shared" si="18"/>
        <v>electropolished pipes manufacturer in Nimapara, electropolished pipes supplier in Nimapara, electropolished pipes wholesaler in Nimapara, electropolished tube manufacturer Nimapara, EP pipe supplier Nimapara, sanitary tube supplier Nimapara, ASME BPE tubing Nimapara, ASTM A270 tube Nimapara, SS 316L electropolished pipe Nimapara</v>
      </c>
      <c r="AI1184" s="15" t="str">
        <f t="shared" si="19"/>
        <v>Electropolished Pipes Manufacturer &amp; Supplier in Nimapara</v>
      </c>
      <c r="AJ1184" s="15" t="str">
        <f t="shared" si="20"/>
        <v>EP-finished SS 304/316L pipes and tubes for VERIFY plants in Nimapara. ASME BPE SF1-SF4, Ra from 0.25 um, EN 10204 3.1 certificate with every lot.</v>
      </c>
      <c r="AK1184" s="15" t="str">
        <f t="shared" si="21"/>
        <v>Electropolished stainless steel pipes supplied by Sakshi Forge to VERIFY plants at IDCO Industrial Area, Nimapara</v>
      </c>
      <c r="AL1184" s="15" t="str">
        <f t="shared" si="22"/>
        <v>Electropolished SS 316L tube stock for Nimapara - Sakshi Forge</v>
      </c>
      <c r="AM1184" s="15" t="str">
        <f t="shared" si="23"/>
        <v>Home &gt; Market Area &gt; India &gt; Odisha &gt; Nimapara</v>
      </c>
      <c r="AN1184" s="15">
        <f t="shared" si="24"/>
        <v>750</v>
      </c>
      <c r="AO1184" s="15">
        <f t="shared" si="25"/>
        <v>6</v>
      </c>
      <c r="AP1184" s="15">
        <f t="shared" si="26"/>
        <v>6</v>
      </c>
      <c r="AQ1184" s="15">
        <f t="shared" si="27"/>
        <v>20</v>
      </c>
      <c r="AR1184" s="31"/>
      <c r="AS1184" s="31"/>
      <c r="AT1184" s="35" t="s">
        <v>222</v>
      </c>
      <c r="AU1184" s="35"/>
    </row>
    <row r="1185" ht="15.75" customHeight="1">
      <c r="A1185" s="15" t="s">
        <v>6107</v>
      </c>
      <c r="B1185" s="15" t="s">
        <v>60</v>
      </c>
      <c r="C1185" s="15" t="s">
        <v>224</v>
      </c>
      <c r="D1185" s="15" t="s">
        <v>6108</v>
      </c>
      <c r="E1185" s="15" t="s">
        <v>6108</v>
      </c>
      <c r="F1185" s="58" t="s">
        <v>807</v>
      </c>
      <c r="G1185" s="66" t="s">
        <v>98</v>
      </c>
      <c r="H1185" s="18" t="s">
        <v>6110</v>
      </c>
      <c r="I1185" s="18" t="s">
        <v>8400</v>
      </c>
      <c r="J1185" s="18" t="s">
        <v>98</v>
      </c>
      <c r="K1185" s="18" t="s">
        <v>98</v>
      </c>
      <c r="L1185" s="18" t="s">
        <v>98</v>
      </c>
      <c r="M1185" s="18" t="s">
        <v>98</v>
      </c>
      <c r="N1185" s="18" t="s">
        <v>98</v>
      </c>
      <c r="O1185" s="18" t="s">
        <v>98</v>
      </c>
      <c r="P1185" s="15" t="str">
        <f t="shared" si="1"/>
        <v>VERIFY</v>
      </c>
      <c r="Q1185" s="15">
        <f t="shared" si="2"/>
        <v>6</v>
      </c>
      <c r="R1185" s="15">
        <f t="shared" si="3"/>
        <v>6</v>
      </c>
      <c r="S1185" s="15">
        <f t="shared" si="4"/>
        <v>2</v>
      </c>
      <c r="T1185" s="15" t="str">
        <f t="shared" si="5"/>
        <v>C-6</v>
      </c>
      <c r="U1185" s="15" t="str">
        <f t="shared" si="6"/>
        <v>T6-M6-H2-FC-6-VERIFY</v>
      </c>
      <c r="V1185" s="15">
        <f t="shared" si="7"/>
        <v>0</v>
      </c>
      <c r="W1185" s="31"/>
      <c r="X1185" s="15" t="str">
        <f t="shared" si="8"/>
        <v>nizar</v>
      </c>
      <c r="Y1185" s="32" t="str">
        <f t="shared" si="9"/>
        <v>https://steelmanufacturer.in/market-area/electropolished-pipes-manufacturer-in-nizar/</v>
      </c>
      <c r="Z1185" s="15" t="str">
        <f t="shared" si="10"/>
        <v>Electropolished Pipes Manufacturer in Nizar</v>
      </c>
      <c r="AA1185" s="15" t="str">
        <f t="shared" si="11"/>
        <v>OK (43)</v>
      </c>
      <c r="AB1185" s="15" t="str">
        <f t="shared" si="12"/>
        <v>EP tube and pipe for VERIFY plants around GIDC Industrial Area, Nizar. Made at our Mumbai works to ASTM A270 and ASME BPE SF1-SF4, with 3.1 MTC.</v>
      </c>
      <c r="AC1185" s="15" t="str">
        <f t="shared" si="13"/>
        <v>PENDING RESEARCH</v>
      </c>
      <c r="AD1185" s="15" t="str">
        <f t="shared" si="14"/>
        <v>Electropolished Pipes Manufacturer in Nizar</v>
      </c>
      <c r="AE1185" s="15" t="str">
        <f t="shared" si="15"/>
        <v>How We Manufacture Electropolished Tube for Nizar Plants</v>
      </c>
      <c r="AF1185" s="15" t="str">
        <f t="shared" si="16"/>
        <v>Supplying Electropolished Pipes in Nizar: Availability, Sizes &amp; Dispatch</v>
      </c>
      <c r="AG1185" s="15" t="str">
        <f t="shared" si="17"/>
        <v>Wholesale Electropolished Pipe Supply for Nizar Projects</v>
      </c>
      <c r="AH1185" s="15" t="str">
        <f t="shared" si="18"/>
        <v>electropolished pipes manufacturer in Nizar, electropolished pipes supplier in Nizar, electropolished pipes wholesaler in Nizar, electropolished tube manufacturer Nizar, EP pipe supplier Nizar, sanitary tube supplier Nizar, ASME BPE tubing Nizar, ASTM A270 tube Nizar, SS 316L electropolished pipe Nizar</v>
      </c>
      <c r="AI1185" s="15" t="str">
        <f t="shared" si="19"/>
        <v>Electropolished Pipes Manufacturer &amp; Supplier in Nizar</v>
      </c>
      <c r="AJ1185" s="15" t="str">
        <f t="shared" si="20"/>
        <v>EP-finished SS 304/316L pipes and tubes for VERIFY plants in Nizar. ASME BPE SF1-SF4, Ra from 0.25 um, EN 10204 3.1 certificate with every lot.</v>
      </c>
      <c r="AK1185" s="15" t="str">
        <f t="shared" si="21"/>
        <v>Electropolished stainless steel pipes supplied by Sakshi Forge to VERIFY plants at GIDC Industrial Area, Nizar</v>
      </c>
      <c r="AL1185" s="15" t="str">
        <f t="shared" si="22"/>
        <v>Electropolished SS 316L tube stock for Nizar - Sakshi Forge</v>
      </c>
      <c r="AM1185" s="15" t="str">
        <f t="shared" si="23"/>
        <v>Home &gt; Market Area &gt; India &gt; Gujarat &gt; Nizar</v>
      </c>
      <c r="AN1185" s="15">
        <f t="shared" si="24"/>
        <v>750</v>
      </c>
      <c r="AO1185" s="15">
        <f t="shared" si="25"/>
        <v>6</v>
      </c>
      <c r="AP1185" s="15">
        <f t="shared" si="26"/>
        <v>6</v>
      </c>
      <c r="AQ1185" s="15">
        <f t="shared" si="27"/>
        <v>20</v>
      </c>
      <c r="AR1185" s="31"/>
      <c r="AS1185" s="31"/>
      <c r="AT1185" s="35" t="s">
        <v>222</v>
      </c>
      <c r="AU1185" s="35"/>
    </row>
    <row r="1186" ht="15.75" customHeight="1">
      <c r="A1186" s="15" t="s">
        <v>6111</v>
      </c>
      <c r="B1186" s="15" t="s">
        <v>60</v>
      </c>
      <c r="C1186" s="15" t="s">
        <v>236</v>
      </c>
      <c r="D1186" s="15" t="s">
        <v>6112</v>
      </c>
      <c r="E1186" s="15" t="s">
        <v>6112</v>
      </c>
      <c r="F1186" s="58" t="s">
        <v>807</v>
      </c>
      <c r="G1186" s="66" t="s">
        <v>98</v>
      </c>
      <c r="H1186" s="18" t="s">
        <v>6114</v>
      </c>
      <c r="I1186" s="18" t="s">
        <v>8391</v>
      </c>
      <c r="J1186" s="18" t="s">
        <v>98</v>
      </c>
      <c r="K1186" s="18" t="s">
        <v>98</v>
      </c>
      <c r="L1186" s="18" t="s">
        <v>98</v>
      </c>
      <c r="M1186" s="18" t="s">
        <v>98</v>
      </c>
      <c r="N1186" s="18" t="s">
        <v>98</v>
      </c>
      <c r="O1186" s="18" t="s">
        <v>98</v>
      </c>
      <c r="P1186" s="15" t="str">
        <f t="shared" si="1"/>
        <v>VERIFY</v>
      </c>
      <c r="Q1186" s="15">
        <f t="shared" si="2"/>
        <v>7</v>
      </c>
      <c r="R1186" s="15">
        <f t="shared" si="3"/>
        <v>7</v>
      </c>
      <c r="S1186" s="15">
        <f t="shared" si="4"/>
        <v>3</v>
      </c>
      <c r="T1186" s="15" t="str">
        <f t="shared" si="5"/>
        <v>C-1</v>
      </c>
      <c r="U1186" s="15" t="str">
        <f t="shared" si="6"/>
        <v>T7-M7-H3-FC-1-VERIFY</v>
      </c>
      <c r="V1186" s="15">
        <f t="shared" si="7"/>
        <v>0</v>
      </c>
      <c r="W1186" s="31"/>
      <c r="X1186" s="15" t="str">
        <f t="shared" si="8"/>
        <v>nohar</v>
      </c>
      <c r="Y1186" s="32" t="str">
        <f t="shared" si="9"/>
        <v>https://steelmanufacturer.in/market-area/electropolished-pipes-manufacturer-in-nohar/</v>
      </c>
      <c r="Z1186" s="15" t="str">
        <f t="shared" si="10"/>
        <v>Electropolished Pipes Manufacturer in Nohar | ASME BPE SF1-SF4</v>
      </c>
      <c r="AA1186" s="15" t="str">
        <f t="shared" si="11"/>
        <v>OK (62)</v>
      </c>
      <c r="AB1186" s="15" t="str">
        <f t="shared" si="12"/>
        <v>Electropolished pipes in Nohar: 304, 304L, 316 and 316L in SF1-SF4. VERIFY. Mill certified.</v>
      </c>
      <c r="AC1186" s="15" t="str">
        <f t="shared" si="13"/>
        <v>PENDING RESEARCH</v>
      </c>
      <c r="AD1186" s="15" t="str">
        <f t="shared" si="14"/>
        <v>Electropolished Pipes Manufacturer in Nohar</v>
      </c>
      <c r="AE1186" s="15" t="str">
        <f t="shared" si="15"/>
        <v>Electropolished Pipes Manufacturer in Nohar - Our Process &amp; Capability</v>
      </c>
      <c r="AF1186" s="15" t="str">
        <f t="shared" si="16"/>
        <v>Electropolished Pipes Supplier in Nohar - What We Hold in Stock</v>
      </c>
      <c r="AG1186" s="15" t="str">
        <f t="shared" si="17"/>
        <v>Bulk &amp; Wholesale Electropolished Pipe Rates for Nohar Buyers</v>
      </c>
      <c r="AH1186" s="15" t="str">
        <f t="shared" si="18"/>
        <v>electropolished pipes manufacturer in Nohar, electropolished pipes supplier in Nohar, electropolished pipes wholesaler in Nohar, electropolished tube manufacturer Nohar, EP pipe supplier Nohar, sanitary tube supplier Nohar, ASME BPE tubing Nohar, ASTM A270 tube Nohar, SS 316L electropolished pipe Nohar</v>
      </c>
      <c r="AI1186" s="15" t="str">
        <f t="shared" si="19"/>
        <v>Electropolished Pipes Manufacturer &amp; Supplier in Nohar</v>
      </c>
      <c r="AJ1186" s="15" t="str">
        <f t="shared" si="20"/>
        <v>EP-finished SS 304/316L pipes and tubes for VERIFY plants in Nohar. ASME BPE SF1-SF4, Ra from 0.25 um, EN 10204 3.1 certificate with every lot.</v>
      </c>
      <c r="AK1186" s="15" t="str">
        <f t="shared" si="21"/>
        <v>Electropolished stainless steel pipes supplied by Sakshi Forge to VERIFY plants at RIICO Industrial Area, Nohar</v>
      </c>
      <c r="AL1186" s="15" t="str">
        <f t="shared" si="22"/>
        <v>Electropolished SS 316L tube stock for Nohar - Sakshi Forge</v>
      </c>
      <c r="AM1186" s="15" t="str">
        <f t="shared" si="23"/>
        <v>Home &gt; Market Area &gt; India &gt; Rajasthan &gt; Nohar</v>
      </c>
      <c r="AN1186" s="15">
        <f t="shared" si="24"/>
        <v>750</v>
      </c>
      <c r="AO1186" s="15">
        <f t="shared" si="25"/>
        <v>6</v>
      </c>
      <c r="AP1186" s="15">
        <f t="shared" si="26"/>
        <v>6</v>
      </c>
      <c r="AQ1186" s="15">
        <f t="shared" si="27"/>
        <v>20</v>
      </c>
      <c r="AR1186" s="31"/>
      <c r="AS1186" s="31"/>
      <c r="AT1186" s="35" t="s">
        <v>222</v>
      </c>
      <c r="AU1186" s="35"/>
    </row>
    <row r="1187" ht="15.75" customHeight="1">
      <c r="A1187" s="15" t="s">
        <v>6115</v>
      </c>
      <c r="B1187" s="15" t="s">
        <v>60</v>
      </c>
      <c r="C1187" s="15" t="s">
        <v>958</v>
      </c>
      <c r="D1187" s="15" t="s">
        <v>6116</v>
      </c>
      <c r="E1187" s="15" t="s">
        <v>6116</v>
      </c>
      <c r="F1187" s="58" t="s">
        <v>807</v>
      </c>
      <c r="G1187" s="66" t="s">
        <v>98</v>
      </c>
      <c r="H1187" s="18" t="s">
        <v>6118</v>
      </c>
      <c r="I1187" s="18" t="s">
        <v>8403</v>
      </c>
      <c r="J1187" s="18" t="s">
        <v>98</v>
      </c>
      <c r="K1187" s="18" t="s">
        <v>98</v>
      </c>
      <c r="L1187" s="18" t="s">
        <v>98</v>
      </c>
      <c r="M1187" s="18" t="s">
        <v>98</v>
      </c>
      <c r="N1187" s="18" t="s">
        <v>98</v>
      </c>
      <c r="O1187" s="18" t="s">
        <v>98</v>
      </c>
      <c r="P1187" s="15" t="str">
        <f t="shared" si="1"/>
        <v>VERIFY</v>
      </c>
      <c r="Q1187" s="15">
        <f t="shared" si="2"/>
        <v>8</v>
      </c>
      <c r="R1187" s="15">
        <f t="shared" si="3"/>
        <v>1</v>
      </c>
      <c r="S1187" s="15">
        <f t="shared" si="4"/>
        <v>4</v>
      </c>
      <c r="T1187" s="15" t="str">
        <f t="shared" si="5"/>
        <v>C-2</v>
      </c>
      <c r="U1187" s="15" t="str">
        <f t="shared" si="6"/>
        <v>T8-M1-H4-FC-2-VERIFY</v>
      </c>
      <c r="V1187" s="15">
        <f t="shared" si="7"/>
        <v>0</v>
      </c>
      <c r="W1187" s="31"/>
      <c r="X1187" s="15" t="str">
        <f t="shared" si="8"/>
        <v>orathanadu</v>
      </c>
      <c r="Y1187" s="32" t="str">
        <f t="shared" si="9"/>
        <v>https://steelmanufacturer.in/market-area/electropolished-pipes-manufacturer-in-orathanadu/</v>
      </c>
      <c r="Z1187" s="15" t="str">
        <f t="shared" si="10"/>
        <v>Electropolished Pipes Manufacturer in Orathanadu</v>
      </c>
      <c r="AA1187" s="15" t="str">
        <f t="shared" si="11"/>
        <v>OK (48)</v>
      </c>
      <c r="AB1187" s="15" t="str">
        <f t="shared" si="12"/>
        <v>EP-finished SS 304/316L pipes &amp; tubes for VERIFY plants in Orathanadu. ASTM A270, ASME BPE SF1-SF4, EN 10204 3.1 MTC. PMI tested.</v>
      </c>
      <c r="AC1187" s="15" t="str">
        <f t="shared" si="13"/>
        <v>PENDING RESEARCH</v>
      </c>
      <c r="AD1187" s="15" t="str">
        <f t="shared" si="14"/>
        <v>Electropolished Pipes Manufacturer in Orathanadu</v>
      </c>
      <c r="AE1187" s="15" t="str">
        <f t="shared" si="15"/>
        <v>Manufacturing Electropolished SS Tube for Orathanadu: The Standards We Build To</v>
      </c>
      <c r="AF1187" s="15" t="str">
        <f t="shared" si="16"/>
        <v>Electropolished Pipe Supply Into Orathanadu - Certification &amp; Transit</v>
      </c>
      <c r="AG1187" s="15" t="str">
        <f t="shared" si="17"/>
        <v>Electropolished Pipes Wholesaler in Orathanadu - Project Quantities &amp; Terms</v>
      </c>
      <c r="AH1187" s="15" t="str">
        <f t="shared" si="18"/>
        <v>electropolished pipes manufacturer in Orathanadu, electropolished pipes supplier in Orathanadu, electropolished pipes wholesaler in Orathanadu, electropolished tube manufacturer Orathanadu, EP pipe supplier Orathanadu, sanitary tube supplier Orathanadu, ASME BPE tubing Orathanadu, ASTM A270 tube Orathanadu, SS 316L electropolished pipe Orathanadu</v>
      </c>
      <c r="AI1187" s="15" t="str">
        <f t="shared" si="19"/>
        <v>Electropolished Pipes Manufacturer &amp; Supplier in Orathanadu</v>
      </c>
      <c r="AJ1187" s="15" t="str">
        <f t="shared" si="20"/>
        <v>EP-finished SS 304/316L pipes and tubes for VERIFY plants in Orathanadu. ASME BPE SF1-SF4, Ra from 0.25 um, EN 10204 3.1 certificate with every lot.</v>
      </c>
      <c r="AK1187" s="15" t="str">
        <f t="shared" si="21"/>
        <v>Electropolished stainless steel pipes supplied by Sakshi Forge to VERIFY plants at SIPCOT Industrial Area, Orathanadu</v>
      </c>
      <c r="AL1187" s="15" t="str">
        <f t="shared" si="22"/>
        <v>Electropolished SS 316L tube stock for Orathanadu - Sakshi Forge</v>
      </c>
      <c r="AM1187" s="15" t="str">
        <f t="shared" si="23"/>
        <v>Home &gt; Market Area &gt; India &gt; Tamil Nadu &gt; Orathanadu</v>
      </c>
      <c r="AN1187" s="15">
        <f t="shared" si="24"/>
        <v>750</v>
      </c>
      <c r="AO1187" s="15">
        <f t="shared" si="25"/>
        <v>6</v>
      </c>
      <c r="AP1187" s="15">
        <f t="shared" si="26"/>
        <v>6</v>
      </c>
      <c r="AQ1187" s="15">
        <f t="shared" si="27"/>
        <v>20</v>
      </c>
      <c r="AR1187" s="31"/>
      <c r="AS1187" s="31"/>
      <c r="AT1187" s="35" t="s">
        <v>222</v>
      </c>
      <c r="AU1187" s="35"/>
    </row>
    <row r="1188" ht="15.75" customHeight="1">
      <c r="A1188" s="15" t="s">
        <v>6119</v>
      </c>
      <c r="B1188" s="15" t="s">
        <v>60</v>
      </c>
      <c r="C1188" s="15" t="s">
        <v>264</v>
      </c>
      <c r="D1188" s="15" t="s">
        <v>6120</v>
      </c>
      <c r="E1188" s="15" t="s">
        <v>6120</v>
      </c>
      <c r="F1188" s="58" t="s">
        <v>807</v>
      </c>
      <c r="G1188" s="66" t="s">
        <v>98</v>
      </c>
      <c r="H1188" s="18" t="s">
        <v>6122</v>
      </c>
      <c r="I1188" s="18" t="s">
        <v>8395</v>
      </c>
      <c r="J1188" s="18" t="s">
        <v>98</v>
      </c>
      <c r="K1188" s="18" t="s">
        <v>98</v>
      </c>
      <c r="L1188" s="18" t="s">
        <v>98</v>
      </c>
      <c r="M1188" s="18" t="s">
        <v>98</v>
      </c>
      <c r="N1188" s="18" t="s">
        <v>98</v>
      </c>
      <c r="O1188" s="18" t="s">
        <v>98</v>
      </c>
      <c r="P1188" s="15" t="str">
        <f t="shared" si="1"/>
        <v>VERIFY</v>
      </c>
      <c r="Q1188" s="15">
        <f t="shared" si="2"/>
        <v>1</v>
      </c>
      <c r="R1188" s="15">
        <f t="shared" si="3"/>
        <v>2</v>
      </c>
      <c r="S1188" s="15">
        <f t="shared" si="4"/>
        <v>5</v>
      </c>
      <c r="T1188" s="15" t="str">
        <f t="shared" si="5"/>
        <v>C-3</v>
      </c>
      <c r="U1188" s="15" t="str">
        <f t="shared" si="6"/>
        <v>T1-M2-H5-FC-3-VERIFY</v>
      </c>
      <c r="V1188" s="15">
        <f t="shared" si="7"/>
        <v>0</v>
      </c>
      <c r="W1188" s="31"/>
      <c r="X1188" s="15" t="str">
        <f t="shared" si="8"/>
        <v>ozar</v>
      </c>
      <c r="Y1188" s="32" t="str">
        <f t="shared" si="9"/>
        <v>https://steelmanufacturer.in/market-area/electropolished-pipes-manufacturer-in-ozar/</v>
      </c>
      <c r="Z1188" s="15" t="str">
        <f t="shared" si="10"/>
        <v>Electropolished Pipes Manufacturer in Ozar | Sakshi Forge</v>
      </c>
      <c r="AA1188" s="15" t="str">
        <f t="shared" si="11"/>
        <v>OK (57)</v>
      </c>
      <c r="AB1188" s="15" t="str">
        <f t="shared" si="12"/>
        <v>Electropolished tube supply to MIDC Industrial Area, Ozar. Ra from 0.25 um, SF4 finish, mill test certificate with every lot.</v>
      </c>
      <c r="AC1188" s="15" t="str">
        <f t="shared" si="13"/>
        <v>PENDING RESEARCH</v>
      </c>
      <c r="AD1188" s="15" t="str">
        <f t="shared" si="14"/>
        <v>Electropolished Pipes Manufacturer in Ozar</v>
      </c>
      <c r="AE1188" s="15" t="str">
        <f t="shared" si="15"/>
        <v>Electropolished Tube Manufacturing Capability Serving Ozar</v>
      </c>
      <c r="AF1188" s="15" t="str">
        <f t="shared" si="16"/>
        <v>Electropolished Pipes Supplier in Ozar - From Order to Delivery</v>
      </c>
      <c r="AG1188" s="15" t="str">
        <f t="shared" si="17"/>
        <v>Stockist &amp; Wholesale Supply of Electropolished Pipes in Ozar</v>
      </c>
      <c r="AH1188" s="15" t="str">
        <f t="shared" si="18"/>
        <v>electropolished pipes manufacturer in Ozar, electropolished pipes supplier in Ozar, electropolished pipes wholesaler in Ozar, electropolished tube manufacturer Ozar, EP pipe supplier Ozar, sanitary tube supplier Ozar, ASME BPE tubing Ozar, ASTM A270 tube Ozar, SS 316L electropolished pipe Ozar</v>
      </c>
      <c r="AI1188" s="15" t="str">
        <f t="shared" si="19"/>
        <v>Electropolished Pipes Manufacturer &amp; Supplier in Ozar</v>
      </c>
      <c r="AJ1188" s="15" t="str">
        <f t="shared" si="20"/>
        <v>EP-finished SS 304/316L pipes and tubes for VERIFY plants in Ozar. ASME BPE SF1-SF4, Ra from 0.25 um, EN 10204 3.1 certificate with every lot.</v>
      </c>
      <c r="AK1188" s="15" t="str">
        <f t="shared" si="21"/>
        <v>Electropolished stainless steel pipes supplied by Sakshi Forge to VERIFY plants at MIDC Industrial Area, Ozar</v>
      </c>
      <c r="AL1188" s="15" t="str">
        <f t="shared" si="22"/>
        <v>Electropolished SS 316L tube stock for Ozar - Sakshi Forge</v>
      </c>
      <c r="AM1188" s="15" t="str">
        <f t="shared" si="23"/>
        <v>Home &gt; Market Area &gt; India &gt; Maharashtra &gt; Ozar</v>
      </c>
      <c r="AN1188" s="15">
        <f t="shared" si="24"/>
        <v>750</v>
      </c>
      <c r="AO1188" s="15">
        <f t="shared" si="25"/>
        <v>6</v>
      </c>
      <c r="AP1188" s="15">
        <f t="shared" si="26"/>
        <v>6</v>
      </c>
      <c r="AQ1188" s="15">
        <f t="shared" si="27"/>
        <v>20</v>
      </c>
      <c r="AR1188" s="31"/>
      <c r="AS1188" s="31"/>
      <c r="AT1188" s="35" t="s">
        <v>222</v>
      </c>
      <c r="AU1188" s="35"/>
    </row>
    <row r="1189" ht="15.75" customHeight="1">
      <c r="A1189" s="15" t="s">
        <v>6123</v>
      </c>
      <c r="B1189" s="15" t="s">
        <v>60</v>
      </c>
      <c r="C1189" s="15" t="s">
        <v>958</v>
      </c>
      <c r="D1189" s="15" t="s">
        <v>6124</v>
      </c>
      <c r="E1189" s="15" t="s">
        <v>6124</v>
      </c>
      <c r="F1189" s="58" t="s">
        <v>807</v>
      </c>
      <c r="G1189" s="66" t="s">
        <v>98</v>
      </c>
      <c r="H1189" s="18" t="s">
        <v>6126</v>
      </c>
      <c r="I1189" s="18" t="s">
        <v>8403</v>
      </c>
      <c r="J1189" s="18" t="s">
        <v>98</v>
      </c>
      <c r="K1189" s="18" t="s">
        <v>98</v>
      </c>
      <c r="L1189" s="18" t="s">
        <v>98</v>
      </c>
      <c r="M1189" s="18" t="s">
        <v>98</v>
      </c>
      <c r="N1189" s="18" t="s">
        <v>98</v>
      </c>
      <c r="O1189" s="18" t="s">
        <v>98</v>
      </c>
      <c r="P1189" s="15" t="str">
        <f t="shared" si="1"/>
        <v>VERIFY</v>
      </c>
      <c r="Q1189" s="15">
        <f t="shared" si="2"/>
        <v>2</v>
      </c>
      <c r="R1189" s="15">
        <f t="shared" si="3"/>
        <v>3</v>
      </c>
      <c r="S1189" s="15">
        <f t="shared" si="4"/>
        <v>1</v>
      </c>
      <c r="T1189" s="15" t="str">
        <f t="shared" si="5"/>
        <v>C-4</v>
      </c>
      <c r="U1189" s="15" t="str">
        <f t="shared" si="6"/>
        <v>T2-M3-H1-FC-4-VERIFY</v>
      </c>
      <c r="V1189" s="15">
        <f t="shared" si="7"/>
        <v>0</v>
      </c>
      <c r="W1189" s="31"/>
      <c r="X1189" s="15" t="str">
        <f t="shared" si="8"/>
        <v>padappai</v>
      </c>
      <c r="Y1189" s="32" t="str">
        <f t="shared" si="9"/>
        <v>https://steelmanufacturer.in/market-area/electropolished-pipes-manufacturer-in-padappai/</v>
      </c>
      <c r="Z1189" s="15" t="str">
        <f t="shared" si="10"/>
        <v>Electropolished Pipes Manufacturer in Padappai</v>
      </c>
      <c r="AA1189" s="15" t="str">
        <f t="shared" si="11"/>
        <v>OK (46)</v>
      </c>
      <c r="AB1189" s="15" t="str">
        <f t="shared" si="12"/>
        <v>EP stainless tube for VERIFY lines in Padappai. VERIFY. ASTM A270 S2, PMI tested, EN 10204 3.1.</v>
      </c>
      <c r="AC1189" s="15" t="str">
        <f t="shared" si="13"/>
        <v>PENDING RESEARCH</v>
      </c>
      <c r="AD1189" s="15" t="str">
        <f t="shared" si="14"/>
        <v>Electropolished Pipes Manufacturer in Padappai</v>
      </c>
      <c r="AE1189" s="15" t="str">
        <f t="shared" si="15"/>
        <v>Electropolished Pipe &amp; Tube Manufacturing for Padappai - Grades, Finishes &amp; Certification</v>
      </c>
      <c r="AF1189" s="15" t="str">
        <f t="shared" si="16"/>
        <v>Electropolished Pipes Supplier in Padappai - Stock Sizes, Lead Time &amp; Delivery</v>
      </c>
      <c r="AG1189" s="15" t="str">
        <f t="shared" si="17"/>
        <v>Electropolished Pipes Wholesaler &amp; Stockist in Padappai - Bulk &amp; Project Pricing</v>
      </c>
      <c r="AH1189" s="15" t="str">
        <f t="shared" si="18"/>
        <v>electropolished pipes manufacturer in Padappai, electropolished pipes supplier in Padappai, electropolished pipes wholesaler in Padappai, electropolished tube manufacturer Padappai, EP pipe supplier Padappai, sanitary tube supplier Padappai, ASME BPE tubing Padappai, ASTM A270 tube Padappai, SS 316L electropolished pipe Padappai</v>
      </c>
      <c r="AI1189" s="15" t="str">
        <f t="shared" si="19"/>
        <v>Electropolished Pipes Manufacturer &amp; Supplier in Padappai</v>
      </c>
      <c r="AJ1189" s="15" t="str">
        <f t="shared" si="20"/>
        <v>EP-finished SS 304/316L pipes and tubes for VERIFY plants in Padappai. ASME BPE SF1-SF4, Ra from 0.25 um, EN 10204 3.1 certificate with every lot.</v>
      </c>
      <c r="AK1189" s="15" t="str">
        <f t="shared" si="21"/>
        <v>Electropolished stainless steel pipes supplied by Sakshi Forge to VERIFY plants at SIPCOT Industrial Area, Padappai</v>
      </c>
      <c r="AL1189" s="15" t="str">
        <f t="shared" si="22"/>
        <v>Electropolished SS 316L tube stock for Padappai - Sakshi Forge</v>
      </c>
      <c r="AM1189" s="15" t="str">
        <f t="shared" si="23"/>
        <v>Home &gt; Market Area &gt; India &gt; Tamil Nadu &gt; Padappai</v>
      </c>
      <c r="AN1189" s="15">
        <f t="shared" si="24"/>
        <v>750</v>
      </c>
      <c r="AO1189" s="15">
        <f t="shared" si="25"/>
        <v>6</v>
      </c>
      <c r="AP1189" s="15">
        <f t="shared" si="26"/>
        <v>6</v>
      </c>
      <c r="AQ1189" s="15">
        <f t="shared" si="27"/>
        <v>20</v>
      </c>
      <c r="AR1189" s="31"/>
      <c r="AS1189" s="31"/>
      <c r="AT1189" s="35" t="s">
        <v>222</v>
      </c>
      <c r="AU1189" s="35"/>
    </row>
    <row r="1190" ht="15.75" customHeight="1">
      <c r="A1190" s="15" t="s">
        <v>6127</v>
      </c>
      <c r="B1190" s="15" t="s">
        <v>60</v>
      </c>
      <c r="C1190" s="15" t="s">
        <v>878</v>
      </c>
      <c r="D1190" s="15" t="s">
        <v>6128</v>
      </c>
      <c r="E1190" s="15" t="s">
        <v>6128</v>
      </c>
      <c r="F1190" s="58" t="s">
        <v>807</v>
      </c>
      <c r="G1190" s="66" t="s">
        <v>98</v>
      </c>
      <c r="H1190" s="18" t="s">
        <v>6130</v>
      </c>
      <c r="I1190" s="18" t="s">
        <v>8415</v>
      </c>
      <c r="J1190" s="18" t="s">
        <v>98</v>
      </c>
      <c r="K1190" s="18" t="s">
        <v>98</v>
      </c>
      <c r="L1190" s="18" t="s">
        <v>98</v>
      </c>
      <c r="M1190" s="18" t="s">
        <v>98</v>
      </c>
      <c r="N1190" s="18" t="s">
        <v>98</v>
      </c>
      <c r="O1190" s="18" t="s">
        <v>98</v>
      </c>
      <c r="P1190" s="15" t="str">
        <f t="shared" si="1"/>
        <v>VERIFY</v>
      </c>
      <c r="Q1190" s="15">
        <f t="shared" si="2"/>
        <v>3</v>
      </c>
      <c r="R1190" s="15">
        <f t="shared" si="3"/>
        <v>4</v>
      </c>
      <c r="S1190" s="15">
        <f t="shared" si="4"/>
        <v>2</v>
      </c>
      <c r="T1190" s="15" t="str">
        <f t="shared" si="5"/>
        <v>C-5</v>
      </c>
      <c r="U1190" s="15" t="str">
        <f t="shared" si="6"/>
        <v>T3-M4-H2-FC-5-VERIFY</v>
      </c>
      <c r="V1190" s="15">
        <f t="shared" si="7"/>
        <v>0</v>
      </c>
      <c r="W1190" s="31"/>
      <c r="X1190" s="15" t="str">
        <f t="shared" si="8"/>
        <v>pakur</v>
      </c>
      <c r="Y1190" s="32" t="str">
        <f t="shared" si="9"/>
        <v>https://steelmanufacturer.in/market-area/electropolished-pipes-manufacturer-in-pakur/</v>
      </c>
      <c r="Z1190" s="15" t="str">
        <f t="shared" si="10"/>
        <v>Electropolished Pipes Manufacturer in Pakur | EP Tube Supplier</v>
      </c>
      <c r="AA1190" s="15" t="str">
        <f t="shared" si="11"/>
        <v>OK (62)</v>
      </c>
      <c r="AB1190" s="15" t="str">
        <f t="shared" si="12"/>
        <v>Sanitary electropolished pipes in Pakur for VERIFY plants. ASME BPE SF1-SF4, orbital-weld ready, 3.1 MTC. Mumbai-made.</v>
      </c>
      <c r="AC1190" s="15" t="str">
        <f t="shared" si="13"/>
        <v>PENDING RESEARCH</v>
      </c>
      <c r="AD1190" s="15" t="str">
        <f t="shared" si="14"/>
        <v>Electropolished Pipes Manufacturer in Pakur</v>
      </c>
      <c r="AE1190" s="15" t="str">
        <f t="shared" si="15"/>
        <v>How We Manufacture Electropolished Tube for Pakur Plants</v>
      </c>
      <c r="AF1190" s="15" t="str">
        <f t="shared" si="16"/>
        <v>Supplying Electropolished Pipes in Pakur: Availability, Sizes &amp; Dispatch</v>
      </c>
      <c r="AG1190" s="15" t="str">
        <f t="shared" si="17"/>
        <v>Wholesale Electropolished Pipe Supply for Pakur Projects</v>
      </c>
      <c r="AH1190" s="15" t="str">
        <f t="shared" si="18"/>
        <v>electropolished pipes manufacturer in Pakur, electropolished pipes supplier in Pakur, electropolished pipes wholesaler in Pakur, electropolished tube manufacturer Pakur, EP pipe supplier Pakur, sanitary tube supplier Pakur, ASME BPE tubing Pakur, ASTM A270 tube Pakur, SS 316L electropolished pipe Pakur</v>
      </c>
      <c r="AI1190" s="15" t="str">
        <f t="shared" si="19"/>
        <v>Electropolished Pipes Manufacturer &amp; Supplier in Pakur</v>
      </c>
      <c r="AJ1190" s="15" t="str">
        <f t="shared" si="20"/>
        <v>EP-finished SS 304/316L pipes and tubes for VERIFY plants in Pakur. ASME BPE SF1-SF4, Ra from 0.25 um, EN 10204 3.1 certificate with every lot.</v>
      </c>
      <c r="AK1190" s="15" t="str">
        <f t="shared" si="21"/>
        <v>Electropolished stainless steel pipes supplied by Sakshi Forge to VERIFY plants at JIADA Industrial Area, Pakur</v>
      </c>
      <c r="AL1190" s="15" t="str">
        <f t="shared" si="22"/>
        <v>Electropolished SS 316L tube stock for Pakur - Sakshi Forge</v>
      </c>
      <c r="AM1190" s="15" t="str">
        <f t="shared" si="23"/>
        <v>Home &gt; Market Area &gt; India &gt; Jharkhand &gt; Pakur</v>
      </c>
      <c r="AN1190" s="15">
        <f t="shared" si="24"/>
        <v>750</v>
      </c>
      <c r="AO1190" s="15">
        <f t="shared" si="25"/>
        <v>6</v>
      </c>
      <c r="AP1190" s="15">
        <f t="shared" si="26"/>
        <v>6</v>
      </c>
      <c r="AQ1190" s="15">
        <f t="shared" si="27"/>
        <v>20</v>
      </c>
      <c r="AR1190" s="31"/>
      <c r="AS1190" s="31"/>
      <c r="AT1190" s="35" t="s">
        <v>222</v>
      </c>
      <c r="AU1190" s="35"/>
    </row>
    <row r="1191" ht="15.75" customHeight="1">
      <c r="A1191" s="15" t="s">
        <v>6132</v>
      </c>
      <c r="B1191" s="15" t="s">
        <v>60</v>
      </c>
      <c r="C1191" s="15" t="s">
        <v>1687</v>
      </c>
      <c r="D1191" s="15" t="s">
        <v>6135</v>
      </c>
      <c r="E1191" s="15" t="s">
        <v>6135</v>
      </c>
      <c r="F1191" s="58" t="s">
        <v>807</v>
      </c>
      <c r="G1191" s="66" t="s">
        <v>98</v>
      </c>
      <c r="H1191" s="18" t="s">
        <v>6139</v>
      </c>
      <c r="I1191" s="18" t="s">
        <v>8397</v>
      </c>
      <c r="J1191" s="18" t="s">
        <v>98</v>
      </c>
      <c r="K1191" s="18" t="s">
        <v>98</v>
      </c>
      <c r="L1191" s="18" t="s">
        <v>98</v>
      </c>
      <c r="M1191" s="18" t="s">
        <v>98</v>
      </c>
      <c r="N1191" s="18" t="s">
        <v>98</v>
      </c>
      <c r="O1191" s="18" t="s">
        <v>98</v>
      </c>
      <c r="P1191" s="15" t="str">
        <f t="shared" si="1"/>
        <v>VERIFY</v>
      </c>
      <c r="Q1191" s="15">
        <f t="shared" si="2"/>
        <v>4</v>
      </c>
      <c r="R1191" s="15">
        <f t="shared" si="3"/>
        <v>5</v>
      </c>
      <c r="S1191" s="15">
        <f t="shared" si="4"/>
        <v>3</v>
      </c>
      <c r="T1191" s="15" t="str">
        <f t="shared" si="5"/>
        <v>C-6</v>
      </c>
      <c r="U1191" s="15" t="str">
        <f t="shared" si="6"/>
        <v>T4-M5-H3-FC-6-VERIFY</v>
      </c>
      <c r="V1191" s="15">
        <f t="shared" si="7"/>
        <v>0</v>
      </c>
      <c r="W1191" s="31"/>
      <c r="X1191" s="15" t="str">
        <f t="shared" si="8"/>
        <v>pala</v>
      </c>
      <c r="Y1191" s="32" t="str">
        <f t="shared" si="9"/>
        <v>https://steelmanufacturer.in/market-area/electropolished-pipes-manufacturer-in-pala/</v>
      </c>
      <c r="Z1191" s="15" t="str">
        <f t="shared" si="10"/>
        <v>Electropolished Pipes Manufacturer in Pala - SS 304/316L EP Tube</v>
      </c>
      <c r="AA1191" s="15" t="str">
        <f t="shared" si="11"/>
        <v>OK (64)</v>
      </c>
      <c r="AB1191" s="15" t="str">
        <f t="shared" si="12"/>
        <v>Manufacturer of electropolished SS 316L tube serving Pala. VERIFY. Ra 0.25-0.5 um, EN 10204 3.1 MTC.</v>
      </c>
      <c r="AC1191" s="15" t="str">
        <f t="shared" si="13"/>
        <v>PENDING RESEARCH</v>
      </c>
      <c r="AD1191" s="15" t="str">
        <f t="shared" si="14"/>
        <v>Electropolished Pipes Manufacturer in Pala</v>
      </c>
      <c r="AE1191" s="15" t="str">
        <f t="shared" si="15"/>
        <v>Electropolished Pipes Manufacturer in Pala - Our Process &amp; Capability</v>
      </c>
      <c r="AF1191" s="15" t="str">
        <f t="shared" si="16"/>
        <v>Electropolished Pipes Supplier in Pala - What We Hold in Stock</v>
      </c>
      <c r="AG1191" s="15" t="str">
        <f t="shared" si="17"/>
        <v>Bulk &amp; Wholesale Electropolished Pipe Rates for Pala Buyers</v>
      </c>
      <c r="AH1191" s="15" t="str">
        <f t="shared" si="18"/>
        <v>electropolished pipes manufacturer in Pala, electropolished pipes supplier in Pala, electropolished pipes wholesaler in Pala, electropolished tube manufacturer Pala, EP pipe supplier Pala, sanitary tube supplier Pala, ASME BPE tubing Pala, ASTM A270 tube Pala, SS 316L electropolished pipe Pala</v>
      </c>
      <c r="AI1191" s="15" t="str">
        <f t="shared" si="19"/>
        <v>Electropolished Pipes Manufacturer &amp; Supplier in Pala</v>
      </c>
      <c r="AJ1191" s="15" t="str">
        <f t="shared" si="20"/>
        <v>EP-finished SS 304/316L pipes and tubes for VERIFY plants in Pala. ASME BPE SF1-SF4, Ra from 0.25 um, EN 10204 3.1 certificate with every lot.</v>
      </c>
      <c r="AK1191" s="15" t="str">
        <f t="shared" si="21"/>
        <v>Electropolished stainless steel pipes supplied by Sakshi Forge to VERIFY plants at KINFRA Industrial Area, Pala</v>
      </c>
      <c r="AL1191" s="15" t="str">
        <f t="shared" si="22"/>
        <v>Electropolished SS 316L tube stock for Pala - Sakshi Forge</v>
      </c>
      <c r="AM1191" s="15" t="str">
        <f t="shared" si="23"/>
        <v>Home &gt; Market Area &gt; India &gt; Kerala &gt; Pala</v>
      </c>
      <c r="AN1191" s="15">
        <f t="shared" si="24"/>
        <v>750</v>
      </c>
      <c r="AO1191" s="15">
        <f t="shared" si="25"/>
        <v>6</v>
      </c>
      <c r="AP1191" s="15">
        <f t="shared" si="26"/>
        <v>6</v>
      </c>
      <c r="AQ1191" s="15">
        <f t="shared" si="27"/>
        <v>20</v>
      </c>
      <c r="AR1191" s="31"/>
      <c r="AS1191" s="31"/>
      <c r="AT1191" s="35" t="s">
        <v>222</v>
      </c>
      <c r="AU1191" s="35"/>
    </row>
    <row r="1192" ht="15.75" customHeight="1">
      <c r="A1192" s="15" t="s">
        <v>6140</v>
      </c>
      <c r="B1192" s="15" t="s">
        <v>60</v>
      </c>
      <c r="C1192" s="15" t="s">
        <v>413</v>
      </c>
      <c r="D1192" s="15" t="s">
        <v>6141</v>
      </c>
      <c r="E1192" s="15" t="s">
        <v>6141</v>
      </c>
      <c r="F1192" s="58" t="s">
        <v>807</v>
      </c>
      <c r="G1192" s="66" t="s">
        <v>98</v>
      </c>
      <c r="H1192" s="18" t="s">
        <v>6143</v>
      </c>
      <c r="I1192" s="18" t="s">
        <v>8393</v>
      </c>
      <c r="J1192" s="18" t="s">
        <v>98</v>
      </c>
      <c r="K1192" s="18" t="s">
        <v>98</v>
      </c>
      <c r="L1192" s="18" t="s">
        <v>98</v>
      </c>
      <c r="M1192" s="18" t="s">
        <v>98</v>
      </c>
      <c r="N1192" s="18" t="s">
        <v>98</v>
      </c>
      <c r="O1192" s="18" t="s">
        <v>98</v>
      </c>
      <c r="P1192" s="15" t="str">
        <f t="shared" si="1"/>
        <v>VERIFY</v>
      </c>
      <c r="Q1192" s="15">
        <f t="shared" si="2"/>
        <v>5</v>
      </c>
      <c r="R1192" s="15">
        <f t="shared" si="3"/>
        <v>6</v>
      </c>
      <c r="S1192" s="15">
        <f t="shared" si="4"/>
        <v>4</v>
      </c>
      <c r="T1192" s="15" t="str">
        <f t="shared" si="5"/>
        <v>C-1</v>
      </c>
      <c r="U1192" s="15" t="str">
        <f t="shared" si="6"/>
        <v>T5-M6-H4-FC-1-VERIFY</v>
      </c>
      <c r="V1192" s="15">
        <f t="shared" si="7"/>
        <v>0</v>
      </c>
      <c r="W1192" s="31"/>
      <c r="X1192" s="15" t="str">
        <f t="shared" si="8"/>
        <v>palakonda</v>
      </c>
      <c r="Y1192" s="32" t="str">
        <f t="shared" si="9"/>
        <v>https://steelmanufacturer.in/market-area/electropolished-pipes-manufacturer-in-palakonda/</v>
      </c>
      <c r="Z1192" s="15" t="str">
        <f t="shared" si="10"/>
        <v>Electropolished Pipes Manufacturer in Palakonda</v>
      </c>
      <c r="AA1192" s="15" t="str">
        <f t="shared" si="11"/>
        <v>OK (47)</v>
      </c>
      <c r="AB1192" s="15" t="str">
        <f t="shared" si="12"/>
        <v>EP tube and pipe for VERIFY plants around APIIC Industrial Area, Palakonda. Made at our Mumbai works to ASTM A270 and ASME BPE SF1-SF4, with 3.1 MTC.</v>
      </c>
      <c r="AC1192" s="15" t="str">
        <f t="shared" si="13"/>
        <v>PENDING RESEARCH</v>
      </c>
      <c r="AD1192" s="15" t="str">
        <f t="shared" si="14"/>
        <v>Electropolished Pipes Manufacturer in Palakonda</v>
      </c>
      <c r="AE1192" s="15" t="str">
        <f t="shared" si="15"/>
        <v>Manufacturing Electropolished SS Tube for Palakonda: The Standards We Build To</v>
      </c>
      <c r="AF1192" s="15" t="str">
        <f t="shared" si="16"/>
        <v>Electropolished Pipe Supply Into Palakonda - Certification &amp; Transit</v>
      </c>
      <c r="AG1192" s="15" t="str">
        <f t="shared" si="17"/>
        <v>Electropolished Pipes Wholesaler in Palakonda - Project Quantities &amp; Terms</v>
      </c>
      <c r="AH1192" s="15" t="str">
        <f t="shared" si="18"/>
        <v>electropolished pipes manufacturer in Palakonda, electropolished pipes supplier in Palakonda, electropolished pipes wholesaler in Palakonda, electropolished tube manufacturer Palakonda, EP pipe supplier Palakonda, sanitary tube supplier Palakonda, ASME BPE tubing Palakonda, ASTM A270 tube Palakonda, SS 316L electropolished pipe Palakonda</v>
      </c>
      <c r="AI1192" s="15" t="str">
        <f t="shared" si="19"/>
        <v>Electropolished Pipes Manufacturer &amp; Supplier in Palakonda</v>
      </c>
      <c r="AJ1192" s="15" t="str">
        <f t="shared" si="20"/>
        <v>EP-finished SS 304/316L pipes and tubes for VERIFY plants in Palakonda. ASME BPE SF1-SF4, Ra from 0.25 um, EN 10204 3.1 certificate with every lot.</v>
      </c>
      <c r="AK1192" s="15" t="str">
        <f t="shared" si="21"/>
        <v>Electropolished stainless steel pipes supplied by Sakshi Forge to VERIFY plants at APIIC Industrial Area, Palakonda</v>
      </c>
      <c r="AL1192" s="15" t="str">
        <f t="shared" si="22"/>
        <v>Electropolished SS 316L tube stock for Palakonda - Sakshi Forge</v>
      </c>
      <c r="AM1192" s="15" t="str">
        <f t="shared" si="23"/>
        <v>Home &gt; Market Area &gt; India &gt; Andhra Pradesh &gt; Palakonda</v>
      </c>
      <c r="AN1192" s="15">
        <f t="shared" si="24"/>
        <v>750</v>
      </c>
      <c r="AO1192" s="15">
        <f t="shared" si="25"/>
        <v>6</v>
      </c>
      <c r="AP1192" s="15">
        <f t="shared" si="26"/>
        <v>6</v>
      </c>
      <c r="AQ1192" s="15">
        <f t="shared" si="27"/>
        <v>20</v>
      </c>
      <c r="AR1192" s="31"/>
      <c r="AS1192" s="31"/>
      <c r="AT1192" s="35" t="s">
        <v>222</v>
      </c>
      <c r="AU1192" s="35"/>
    </row>
    <row r="1193" ht="15.75" customHeight="1">
      <c r="A1193" s="15" t="s">
        <v>6144</v>
      </c>
      <c r="B1193" s="15" t="s">
        <v>60</v>
      </c>
      <c r="C1193" s="15" t="s">
        <v>264</v>
      </c>
      <c r="D1193" s="15" t="s">
        <v>6145</v>
      </c>
      <c r="E1193" s="15" t="s">
        <v>6145</v>
      </c>
      <c r="F1193" s="58" t="s">
        <v>807</v>
      </c>
      <c r="G1193" s="66" t="s">
        <v>98</v>
      </c>
      <c r="H1193" s="18" t="s">
        <v>6147</v>
      </c>
      <c r="I1193" s="18" t="s">
        <v>8395</v>
      </c>
      <c r="J1193" s="18" t="s">
        <v>98</v>
      </c>
      <c r="K1193" s="18" t="s">
        <v>98</v>
      </c>
      <c r="L1193" s="18" t="s">
        <v>98</v>
      </c>
      <c r="M1193" s="18" t="s">
        <v>98</v>
      </c>
      <c r="N1193" s="18" t="s">
        <v>98</v>
      </c>
      <c r="O1193" s="18" t="s">
        <v>98</v>
      </c>
      <c r="P1193" s="15" t="str">
        <f t="shared" si="1"/>
        <v>VERIFY</v>
      </c>
      <c r="Q1193" s="15">
        <f t="shared" si="2"/>
        <v>6</v>
      </c>
      <c r="R1193" s="15">
        <f t="shared" si="3"/>
        <v>7</v>
      </c>
      <c r="S1193" s="15">
        <f t="shared" si="4"/>
        <v>5</v>
      </c>
      <c r="T1193" s="15" t="str">
        <f t="shared" si="5"/>
        <v>C-2</v>
      </c>
      <c r="U1193" s="15" t="str">
        <f t="shared" si="6"/>
        <v>T6-M7-H5-FC-2-VERIFY</v>
      </c>
      <c r="V1193" s="15">
        <f t="shared" si="7"/>
        <v>0</v>
      </c>
      <c r="W1193" s="31"/>
      <c r="X1193" s="15" t="str">
        <f t="shared" si="8"/>
        <v>palam</v>
      </c>
      <c r="Y1193" s="32" t="str">
        <f t="shared" si="9"/>
        <v>https://steelmanufacturer.in/market-area/electropolished-pipes-manufacturer-in-palam/</v>
      </c>
      <c r="Z1193" s="15" t="str">
        <f t="shared" si="10"/>
        <v>Electropolished Pipes Manufacturer in Palam</v>
      </c>
      <c r="AA1193" s="15" t="str">
        <f t="shared" si="11"/>
        <v>OK (43)</v>
      </c>
      <c r="AB1193" s="15" t="str">
        <f t="shared" si="12"/>
        <v>Electropolished pipes in Palam: 304, 304L, 316 and 316L in SF1-SF4. VERIFY. Mill certified.</v>
      </c>
      <c r="AC1193" s="15" t="str">
        <f t="shared" si="13"/>
        <v>PENDING RESEARCH</v>
      </c>
      <c r="AD1193" s="15" t="str">
        <f t="shared" si="14"/>
        <v>Electropolished Pipes Manufacturer in Palam</v>
      </c>
      <c r="AE1193" s="15" t="str">
        <f t="shared" si="15"/>
        <v>Electropolished Tube Manufacturing Capability Serving Palam</v>
      </c>
      <c r="AF1193" s="15" t="str">
        <f t="shared" si="16"/>
        <v>Electropolished Pipes Supplier in Palam - From Order to Delivery</v>
      </c>
      <c r="AG1193" s="15" t="str">
        <f t="shared" si="17"/>
        <v>Stockist &amp; Wholesale Supply of Electropolished Pipes in Palam</v>
      </c>
      <c r="AH1193" s="15" t="str">
        <f t="shared" si="18"/>
        <v>electropolished pipes manufacturer in Palam, electropolished pipes supplier in Palam, electropolished pipes wholesaler in Palam, electropolished tube manufacturer Palam, EP pipe supplier Palam, sanitary tube supplier Palam, ASME BPE tubing Palam, ASTM A270 tube Palam, SS 316L electropolished pipe Palam</v>
      </c>
      <c r="AI1193" s="15" t="str">
        <f t="shared" si="19"/>
        <v>Electropolished Pipes Manufacturer &amp; Supplier in Palam</v>
      </c>
      <c r="AJ1193" s="15" t="str">
        <f t="shared" si="20"/>
        <v>EP-finished SS 304/316L pipes and tubes for VERIFY plants in Palam. ASME BPE SF1-SF4, Ra from 0.25 um, EN 10204 3.1 certificate with every lot.</v>
      </c>
      <c r="AK1193" s="15" t="str">
        <f t="shared" si="21"/>
        <v>Electropolished stainless steel pipes supplied by Sakshi Forge to VERIFY plants at MIDC Industrial Area, Palam</v>
      </c>
      <c r="AL1193" s="15" t="str">
        <f t="shared" si="22"/>
        <v>Electropolished SS 316L tube stock for Palam - Sakshi Forge</v>
      </c>
      <c r="AM1193" s="15" t="str">
        <f t="shared" si="23"/>
        <v>Home &gt; Market Area &gt; India &gt; Maharashtra &gt; Palam</v>
      </c>
      <c r="AN1193" s="15">
        <f t="shared" si="24"/>
        <v>750</v>
      </c>
      <c r="AO1193" s="15">
        <f t="shared" si="25"/>
        <v>6</v>
      </c>
      <c r="AP1193" s="15">
        <f t="shared" si="26"/>
        <v>6</v>
      </c>
      <c r="AQ1193" s="15">
        <f t="shared" si="27"/>
        <v>20</v>
      </c>
      <c r="AR1193" s="31"/>
      <c r="AS1193" s="31"/>
      <c r="AT1193" s="35" t="s">
        <v>222</v>
      </c>
      <c r="AU1193" s="35"/>
    </row>
    <row r="1194" ht="15.75" customHeight="1">
      <c r="A1194" s="15" t="s">
        <v>6151</v>
      </c>
      <c r="B1194" s="15" t="s">
        <v>60</v>
      </c>
      <c r="C1194" s="15" t="s">
        <v>413</v>
      </c>
      <c r="D1194" s="15" t="s">
        <v>6154</v>
      </c>
      <c r="E1194" s="15" t="s">
        <v>6154</v>
      </c>
      <c r="F1194" s="58" t="s">
        <v>807</v>
      </c>
      <c r="G1194" s="66" t="s">
        <v>98</v>
      </c>
      <c r="H1194" s="18" t="s">
        <v>6157</v>
      </c>
      <c r="I1194" s="18" t="s">
        <v>8393</v>
      </c>
      <c r="J1194" s="18" t="s">
        <v>98</v>
      </c>
      <c r="K1194" s="18" t="s">
        <v>98</v>
      </c>
      <c r="L1194" s="18" t="s">
        <v>98</v>
      </c>
      <c r="M1194" s="18" t="s">
        <v>98</v>
      </c>
      <c r="N1194" s="18" t="s">
        <v>98</v>
      </c>
      <c r="O1194" s="18" t="s">
        <v>98</v>
      </c>
      <c r="P1194" s="15" t="str">
        <f t="shared" si="1"/>
        <v>VERIFY</v>
      </c>
      <c r="Q1194" s="15">
        <f t="shared" si="2"/>
        <v>7</v>
      </c>
      <c r="R1194" s="15">
        <f t="shared" si="3"/>
        <v>1</v>
      </c>
      <c r="S1194" s="15">
        <f t="shared" si="4"/>
        <v>1</v>
      </c>
      <c r="T1194" s="15" t="str">
        <f t="shared" si="5"/>
        <v>C-3</v>
      </c>
      <c r="U1194" s="15" t="str">
        <f t="shared" si="6"/>
        <v>T7-M1-H1-FC-3-VERIFY</v>
      </c>
      <c r="V1194" s="15">
        <f t="shared" si="7"/>
        <v>0</v>
      </c>
      <c r="W1194" s="31"/>
      <c r="X1194" s="15" t="str">
        <f t="shared" si="8"/>
        <v>palasa</v>
      </c>
      <c r="Y1194" s="32" t="str">
        <f t="shared" si="9"/>
        <v>https://steelmanufacturer.in/market-area/electropolished-pipes-manufacturer-in-palasa/</v>
      </c>
      <c r="Z1194" s="15" t="str">
        <f t="shared" si="10"/>
        <v>Electropolished Pipes Manufacturer in Palasa | ASME BPE SF1-SF4</v>
      </c>
      <c r="AA1194" s="15" t="str">
        <f t="shared" si="11"/>
        <v>OK (63)</v>
      </c>
      <c r="AB1194" s="15" t="str">
        <f t="shared" si="12"/>
        <v>EP-finished SS 304/316L pipes &amp; tubes for VERIFY plants in Palasa. ASTM A270, ASME BPE SF1-SF4, EN 10204 3.1 MTC. PMI tested.</v>
      </c>
      <c r="AC1194" s="15" t="str">
        <f t="shared" si="13"/>
        <v>PENDING RESEARCH</v>
      </c>
      <c r="AD1194" s="15" t="str">
        <f t="shared" si="14"/>
        <v>Electropolished Pipes Manufacturer in Palasa</v>
      </c>
      <c r="AE1194" s="15" t="str">
        <f t="shared" si="15"/>
        <v>Electropolished Pipe &amp; Tube Manufacturing for Palasa - Grades, Finishes &amp; Certification</v>
      </c>
      <c r="AF1194" s="15" t="str">
        <f t="shared" si="16"/>
        <v>Electropolished Pipes Supplier in Palasa - Stock Sizes, Lead Time &amp; Delivery</v>
      </c>
      <c r="AG1194" s="15" t="str">
        <f t="shared" si="17"/>
        <v>Electropolished Pipes Wholesaler &amp; Stockist in Palasa - Bulk &amp; Project Pricing</v>
      </c>
      <c r="AH1194" s="15" t="str">
        <f t="shared" si="18"/>
        <v>electropolished pipes manufacturer in Palasa, electropolished pipes supplier in Palasa, electropolished pipes wholesaler in Palasa, electropolished tube manufacturer Palasa, EP pipe supplier Palasa, sanitary tube supplier Palasa, ASME BPE tubing Palasa, ASTM A270 tube Palasa, SS 316L electropolished pipe Palasa</v>
      </c>
      <c r="AI1194" s="15" t="str">
        <f t="shared" si="19"/>
        <v>Electropolished Pipes Manufacturer &amp; Supplier in Palasa</v>
      </c>
      <c r="AJ1194" s="15" t="str">
        <f t="shared" si="20"/>
        <v>EP-finished SS 304/316L pipes and tubes for VERIFY plants in Palasa. ASME BPE SF1-SF4, Ra from 0.25 um, EN 10204 3.1 certificate with every lot.</v>
      </c>
      <c r="AK1194" s="15" t="str">
        <f t="shared" si="21"/>
        <v>Electropolished stainless steel pipes supplied by Sakshi Forge to VERIFY plants at APIIC Industrial Area, Palasa</v>
      </c>
      <c r="AL1194" s="15" t="str">
        <f t="shared" si="22"/>
        <v>Electropolished SS 316L tube stock for Palasa - Sakshi Forge</v>
      </c>
      <c r="AM1194" s="15" t="str">
        <f t="shared" si="23"/>
        <v>Home &gt; Market Area &gt; India &gt; Andhra Pradesh &gt; Palasa</v>
      </c>
      <c r="AN1194" s="15">
        <f t="shared" si="24"/>
        <v>750</v>
      </c>
      <c r="AO1194" s="15">
        <f t="shared" si="25"/>
        <v>6</v>
      </c>
      <c r="AP1194" s="15">
        <f t="shared" si="26"/>
        <v>6</v>
      </c>
      <c r="AQ1194" s="15">
        <f t="shared" si="27"/>
        <v>20</v>
      </c>
      <c r="AR1194" s="31"/>
      <c r="AS1194" s="31"/>
      <c r="AT1194" s="35" t="s">
        <v>222</v>
      </c>
      <c r="AU1194" s="35"/>
    </row>
    <row r="1195" ht="15.75" customHeight="1">
      <c r="A1195" s="15" t="s">
        <v>6158</v>
      </c>
      <c r="B1195" s="15" t="s">
        <v>60</v>
      </c>
      <c r="C1195" s="15" t="s">
        <v>1818</v>
      </c>
      <c r="D1195" s="15" t="s">
        <v>6159</v>
      </c>
      <c r="E1195" s="15" t="s">
        <v>6159</v>
      </c>
      <c r="F1195" s="58" t="s">
        <v>807</v>
      </c>
      <c r="G1195" s="66" t="s">
        <v>98</v>
      </c>
      <c r="H1195" s="18" t="s">
        <v>6161</v>
      </c>
      <c r="I1195" s="18" t="s">
        <v>8402</v>
      </c>
      <c r="J1195" s="18" t="s">
        <v>98</v>
      </c>
      <c r="K1195" s="18" t="s">
        <v>98</v>
      </c>
      <c r="L1195" s="18" t="s">
        <v>98</v>
      </c>
      <c r="M1195" s="18" t="s">
        <v>98</v>
      </c>
      <c r="N1195" s="18" t="s">
        <v>98</v>
      </c>
      <c r="O1195" s="18" t="s">
        <v>98</v>
      </c>
      <c r="P1195" s="15" t="str">
        <f t="shared" si="1"/>
        <v>VERIFY</v>
      </c>
      <c r="Q1195" s="15">
        <f t="shared" si="2"/>
        <v>8</v>
      </c>
      <c r="R1195" s="15">
        <f t="shared" si="3"/>
        <v>2</v>
      </c>
      <c r="S1195" s="15">
        <f t="shared" si="4"/>
        <v>2</v>
      </c>
      <c r="T1195" s="15" t="str">
        <f t="shared" si="5"/>
        <v>C-4</v>
      </c>
      <c r="U1195" s="15" t="str">
        <f t="shared" si="6"/>
        <v>T8-M2-H2-FC-4-VERIFY</v>
      </c>
      <c r="V1195" s="15">
        <f t="shared" si="7"/>
        <v>0</v>
      </c>
      <c r="W1195" s="31"/>
      <c r="X1195" s="15" t="str">
        <f t="shared" si="8"/>
        <v>paliganj</v>
      </c>
      <c r="Y1195" s="32" t="str">
        <f t="shared" si="9"/>
        <v>https://steelmanufacturer.in/market-area/electropolished-pipes-manufacturer-in-paliganj/</v>
      </c>
      <c r="Z1195" s="15" t="str">
        <f t="shared" si="10"/>
        <v>Electropolished Pipes Manufacturer in Paliganj - EP Tube Stockist</v>
      </c>
      <c r="AA1195" s="15" t="str">
        <f t="shared" si="11"/>
        <v>OK (65)</v>
      </c>
      <c r="AB1195" s="15" t="str">
        <f t="shared" si="12"/>
        <v>Electropolished tube supply to BIADA Industrial Area, Paliganj. Ra from 0.25 um, SF4 finish, mill test certificate with every lot.</v>
      </c>
      <c r="AC1195" s="15" t="str">
        <f t="shared" si="13"/>
        <v>PENDING RESEARCH</v>
      </c>
      <c r="AD1195" s="15" t="str">
        <f t="shared" si="14"/>
        <v>Electropolished Pipes Manufacturer in Paliganj</v>
      </c>
      <c r="AE1195" s="15" t="str">
        <f t="shared" si="15"/>
        <v>How We Manufacture Electropolished Tube for Paliganj Plants</v>
      </c>
      <c r="AF1195" s="15" t="str">
        <f t="shared" si="16"/>
        <v>Supplying Electropolished Pipes in Paliganj: Availability, Sizes &amp; Dispatch</v>
      </c>
      <c r="AG1195" s="15" t="str">
        <f t="shared" si="17"/>
        <v>Wholesale Electropolished Pipe Supply for Paliganj Projects</v>
      </c>
      <c r="AH1195" s="15" t="str">
        <f t="shared" si="18"/>
        <v>electropolished pipes manufacturer in Paliganj, electropolished pipes supplier in Paliganj, electropolished pipes wholesaler in Paliganj, electropolished tube manufacturer Paliganj, EP pipe supplier Paliganj, sanitary tube supplier Paliganj, ASME BPE tubing Paliganj, ASTM A270 tube Paliganj, SS 316L electropolished pipe Paliganj</v>
      </c>
      <c r="AI1195" s="15" t="str">
        <f t="shared" si="19"/>
        <v>Electropolished Pipes Manufacturer &amp; Supplier in Paliganj</v>
      </c>
      <c r="AJ1195" s="15" t="str">
        <f t="shared" si="20"/>
        <v>EP-finished SS 304/316L pipes and tubes for VERIFY plants in Paliganj. ASME BPE SF1-SF4, Ra from 0.25 um, EN 10204 3.1 certificate with every lot.</v>
      </c>
      <c r="AK1195" s="15" t="str">
        <f t="shared" si="21"/>
        <v>Electropolished stainless steel pipes supplied by Sakshi Forge to VERIFY plants at BIADA Industrial Area, Paliganj</v>
      </c>
      <c r="AL1195" s="15" t="str">
        <f t="shared" si="22"/>
        <v>Electropolished SS 316L tube stock for Paliganj - Sakshi Forge</v>
      </c>
      <c r="AM1195" s="15" t="str">
        <f t="shared" si="23"/>
        <v>Home &gt; Market Area &gt; India &gt; Bihar &gt; Paliganj</v>
      </c>
      <c r="AN1195" s="15">
        <f t="shared" si="24"/>
        <v>750</v>
      </c>
      <c r="AO1195" s="15">
        <f t="shared" si="25"/>
        <v>6</v>
      </c>
      <c r="AP1195" s="15">
        <f t="shared" si="26"/>
        <v>6</v>
      </c>
      <c r="AQ1195" s="15">
        <f t="shared" si="27"/>
        <v>20</v>
      </c>
      <c r="AR1195" s="31"/>
      <c r="AS1195" s="31"/>
      <c r="AT1195" s="35" t="s">
        <v>222</v>
      </c>
      <c r="AU1195" s="35"/>
    </row>
    <row r="1196" ht="15.75" customHeight="1">
      <c r="A1196" s="15" t="s">
        <v>6162</v>
      </c>
      <c r="B1196" s="15" t="s">
        <v>60</v>
      </c>
      <c r="C1196" s="15" t="s">
        <v>224</v>
      </c>
      <c r="D1196" s="15" t="s">
        <v>6163</v>
      </c>
      <c r="E1196" s="15" t="s">
        <v>6163</v>
      </c>
      <c r="F1196" s="58" t="s">
        <v>807</v>
      </c>
      <c r="G1196" s="66" t="s">
        <v>98</v>
      </c>
      <c r="H1196" s="18" t="s">
        <v>6165</v>
      </c>
      <c r="I1196" s="18" t="s">
        <v>8400</v>
      </c>
      <c r="J1196" s="18" t="s">
        <v>98</v>
      </c>
      <c r="K1196" s="18" t="s">
        <v>98</v>
      </c>
      <c r="L1196" s="18" t="s">
        <v>98</v>
      </c>
      <c r="M1196" s="18" t="s">
        <v>98</v>
      </c>
      <c r="N1196" s="18" t="s">
        <v>98</v>
      </c>
      <c r="O1196" s="18" t="s">
        <v>98</v>
      </c>
      <c r="P1196" s="15" t="str">
        <f t="shared" si="1"/>
        <v>VERIFY</v>
      </c>
      <c r="Q1196" s="15">
        <f t="shared" si="2"/>
        <v>1</v>
      </c>
      <c r="R1196" s="15">
        <f t="shared" si="3"/>
        <v>3</v>
      </c>
      <c r="S1196" s="15">
        <f t="shared" si="4"/>
        <v>3</v>
      </c>
      <c r="T1196" s="15" t="str">
        <f t="shared" si="5"/>
        <v>C-5</v>
      </c>
      <c r="U1196" s="15" t="str">
        <f t="shared" si="6"/>
        <v>T1-M3-H3-FC-5-VERIFY</v>
      </c>
      <c r="V1196" s="15">
        <f t="shared" si="7"/>
        <v>0</v>
      </c>
      <c r="W1196" s="31"/>
      <c r="X1196" s="15" t="str">
        <f t="shared" si="8"/>
        <v>palsana</v>
      </c>
      <c r="Y1196" s="32" t="str">
        <f t="shared" si="9"/>
        <v>https://steelmanufacturer.in/market-area/electropolished-pipes-manufacturer-in-palsana/</v>
      </c>
      <c r="Z1196" s="15" t="str">
        <f t="shared" si="10"/>
        <v>Electropolished Pipes Manufacturer in Palsana | Sakshi Forge</v>
      </c>
      <c r="AA1196" s="15" t="str">
        <f t="shared" si="11"/>
        <v>OK (60)</v>
      </c>
      <c r="AB1196" s="15" t="str">
        <f t="shared" si="12"/>
        <v>EP stainless tube for VERIFY lines in Palsana. VERIFY. ASTM A270 S2, PMI tested, EN 10204 3.1.</v>
      </c>
      <c r="AC1196" s="15" t="str">
        <f t="shared" si="13"/>
        <v>PENDING RESEARCH</v>
      </c>
      <c r="AD1196" s="15" t="str">
        <f t="shared" si="14"/>
        <v>Electropolished Pipes Manufacturer in Palsana</v>
      </c>
      <c r="AE1196" s="15" t="str">
        <f t="shared" si="15"/>
        <v>Electropolished Pipes Manufacturer in Palsana - Our Process &amp; Capability</v>
      </c>
      <c r="AF1196" s="15" t="str">
        <f t="shared" si="16"/>
        <v>Electropolished Pipes Supplier in Palsana - What We Hold in Stock</v>
      </c>
      <c r="AG1196" s="15" t="str">
        <f t="shared" si="17"/>
        <v>Bulk &amp; Wholesale Electropolished Pipe Rates for Palsana Buyers</v>
      </c>
      <c r="AH1196" s="15" t="str">
        <f t="shared" si="18"/>
        <v>electropolished pipes manufacturer in Palsana, electropolished pipes supplier in Palsana, electropolished pipes wholesaler in Palsana, electropolished tube manufacturer Palsana, EP pipe supplier Palsana, sanitary tube supplier Palsana, ASME BPE tubing Palsana, ASTM A270 tube Palsana, SS 316L electropolished pipe Palsana</v>
      </c>
      <c r="AI1196" s="15" t="str">
        <f t="shared" si="19"/>
        <v>Electropolished Pipes Manufacturer &amp; Supplier in Palsana</v>
      </c>
      <c r="AJ1196" s="15" t="str">
        <f t="shared" si="20"/>
        <v>EP-finished SS 304/316L pipes and tubes for VERIFY plants in Palsana. ASME BPE SF1-SF4, Ra from 0.25 um, EN 10204 3.1 certificate with every lot.</v>
      </c>
      <c r="AK1196" s="15" t="str">
        <f t="shared" si="21"/>
        <v>Electropolished stainless steel pipes supplied by Sakshi Forge to VERIFY plants at GIDC Industrial Area, Palsana</v>
      </c>
      <c r="AL1196" s="15" t="str">
        <f t="shared" si="22"/>
        <v>Electropolished SS 316L tube stock for Palsana - Sakshi Forge</v>
      </c>
      <c r="AM1196" s="15" t="str">
        <f t="shared" si="23"/>
        <v>Home &gt; Market Area &gt; India &gt; Gujarat &gt; Palsana</v>
      </c>
      <c r="AN1196" s="15">
        <f t="shared" si="24"/>
        <v>750</v>
      </c>
      <c r="AO1196" s="15">
        <f t="shared" si="25"/>
        <v>6</v>
      </c>
      <c r="AP1196" s="15">
        <f t="shared" si="26"/>
        <v>6</v>
      </c>
      <c r="AQ1196" s="15">
        <f t="shared" si="27"/>
        <v>20</v>
      </c>
      <c r="AR1196" s="31"/>
      <c r="AS1196" s="31"/>
      <c r="AT1196" s="35" t="s">
        <v>222</v>
      </c>
      <c r="AU1196" s="35"/>
    </row>
    <row r="1197" ht="15.75" customHeight="1">
      <c r="A1197" s="15" t="s">
        <v>6166</v>
      </c>
      <c r="B1197" s="15" t="s">
        <v>60</v>
      </c>
      <c r="C1197" s="15" t="s">
        <v>570</v>
      </c>
      <c r="D1197" s="15" t="s">
        <v>6167</v>
      </c>
      <c r="E1197" s="15" t="s">
        <v>6167</v>
      </c>
      <c r="F1197" s="58" t="s">
        <v>807</v>
      </c>
      <c r="G1197" s="66" t="s">
        <v>98</v>
      </c>
      <c r="H1197" s="18" t="s">
        <v>6169</v>
      </c>
      <c r="I1197" s="18" t="s">
        <v>8405</v>
      </c>
      <c r="J1197" s="18" t="s">
        <v>98</v>
      </c>
      <c r="K1197" s="18" t="s">
        <v>98</v>
      </c>
      <c r="L1197" s="18" t="s">
        <v>98</v>
      </c>
      <c r="M1197" s="18" t="s">
        <v>98</v>
      </c>
      <c r="N1197" s="18" t="s">
        <v>98</v>
      </c>
      <c r="O1197" s="18" t="s">
        <v>98</v>
      </c>
      <c r="P1197" s="15" t="str">
        <f t="shared" si="1"/>
        <v>VERIFY</v>
      </c>
      <c r="Q1197" s="15">
        <f t="shared" si="2"/>
        <v>2</v>
      </c>
      <c r="R1197" s="15">
        <f t="shared" si="3"/>
        <v>4</v>
      </c>
      <c r="S1197" s="15">
        <f t="shared" si="4"/>
        <v>4</v>
      </c>
      <c r="T1197" s="15" t="str">
        <f t="shared" si="5"/>
        <v>C-6</v>
      </c>
      <c r="U1197" s="15" t="str">
        <f t="shared" si="6"/>
        <v>T2-M4-H4-FC-6-VERIFY</v>
      </c>
      <c r="V1197" s="15">
        <f t="shared" si="7"/>
        <v>0</v>
      </c>
      <c r="W1197" s="31"/>
      <c r="X1197" s="15" t="str">
        <f t="shared" si="8"/>
        <v>pandavapura</v>
      </c>
      <c r="Y1197" s="32" t="str">
        <f t="shared" si="9"/>
        <v>https://steelmanufacturer.in/market-area/electropolished-pipes-manufacturer-in-pandavapura/</v>
      </c>
      <c r="Z1197" s="15" t="str">
        <f t="shared" si="10"/>
        <v>Electropolished Pipes Manufacturer in Pandavapura</v>
      </c>
      <c r="AA1197" s="15" t="str">
        <f t="shared" si="11"/>
        <v>OK (49)</v>
      </c>
      <c r="AB1197" s="15" t="str">
        <f t="shared" si="12"/>
        <v>Sanitary electropolished pipes in Pandavapura for VERIFY plants. ASME BPE SF1-SF4, orbital-weld ready, 3.1 MTC. Mumbai-made.</v>
      </c>
      <c r="AC1197" s="15" t="str">
        <f t="shared" si="13"/>
        <v>PENDING RESEARCH</v>
      </c>
      <c r="AD1197" s="15" t="str">
        <f t="shared" si="14"/>
        <v>Electropolished Pipes Manufacturer in Pandavapura</v>
      </c>
      <c r="AE1197" s="15" t="str">
        <f t="shared" si="15"/>
        <v>Manufacturing Electropolished SS Tube for Pandavapura: The Standards We Build To</v>
      </c>
      <c r="AF1197" s="15" t="str">
        <f t="shared" si="16"/>
        <v>Electropolished Pipe Supply Into Pandavapura - Certification &amp; Transit</v>
      </c>
      <c r="AG1197" s="15" t="str">
        <f t="shared" si="17"/>
        <v>Electropolished Pipes Wholesaler in Pandavapura - Project Quantities &amp; Terms</v>
      </c>
      <c r="AH1197" s="15" t="str">
        <f t="shared" si="18"/>
        <v>electropolished pipes manufacturer in Pandavapura, electropolished pipes supplier in Pandavapura, electropolished pipes wholesaler in Pandavapura, electropolished tube manufacturer Pandavapura, EP pipe supplier Pandavapura, sanitary tube supplier Pandavapura, ASME BPE tubing Pandavapura, ASTM A270 tube Pandavapura, SS 316L electropolished pipe Pandavapura</v>
      </c>
      <c r="AI1197" s="15" t="str">
        <f t="shared" si="19"/>
        <v>Electropolished Pipes Manufacturer &amp; Supplier in Pandavapura</v>
      </c>
      <c r="AJ1197" s="15" t="str">
        <f t="shared" si="20"/>
        <v>EP-finished SS 304/316L pipes and tubes for VERIFY plants in Pandavapura. ASME BPE SF1-SF4, Ra from 0.25 um, EN 10204 3.1 certificate with every lot.</v>
      </c>
      <c r="AK1197" s="15" t="str">
        <f t="shared" si="21"/>
        <v>Electropolished stainless steel pipes supplied by Sakshi Forge to VERIFY plants at KIADB Industrial Area, Pandavapura</v>
      </c>
      <c r="AL1197" s="15" t="str">
        <f t="shared" si="22"/>
        <v>Electropolished SS 316L tube stock for Pandavapura - Sakshi Forge</v>
      </c>
      <c r="AM1197" s="15" t="str">
        <f t="shared" si="23"/>
        <v>Home &gt; Market Area &gt; India &gt; Karnataka &gt; Pandavapura</v>
      </c>
      <c r="AN1197" s="15">
        <f t="shared" si="24"/>
        <v>750</v>
      </c>
      <c r="AO1197" s="15">
        <f t="shared" si="25"/>
        <v>6</v>
      </c>
      <c r="AP1197" s="15">
        <f t="shared" si="26"/>
        <v>6</v>
      </c>
      <c r="AQ1197" s="15">
        <f t="shared" si="27"/>
        <v>20</v>
      </c>
      <c r="AR1197" s="31"/>
      <c r="AS1197" s="31"/>
      <c r="AT1197" s="35" t="s">
        <v>222</v>
      </c>
      <c r="AU1197" s="35"/>
    </row>
    <row r="1198" ht="15.75" customHeight="1">
      <c r="A1198" s="15" t="s">
        <v>6170</v>
      </c>
      <c r="B1198" s="15" t="s">
        <v>60</v>
      </c>
      <c r="C1198" s="15" t="s">
        <v>245</v>
      </c>
      <c r="D1198" s="15" t="s">
        <v>6171</v>
      </c>
      <c r="E1198" s="15" t="s">
        <v>6171</v>
      </c>
      <c r="F1198" s="58" t="s">
        <v>807</v>
      </c>
      <c r="G1198" s="66" t="s">
        <v>98</v>
      </c>
      <c r="H1198" s="18" t="s">
        <v>6173</v>
      </c>
      <c r="I1198" s="18" t="s">
        <v>8407</v>
      </c>
      <c r="J1198" s="18" t="s">
        <v>98</v>
      </c>
      <c r="K1198" s="18" t="s">
        <v>98</v>
      </c>
      <c r="L1198" s="18" t="s">
        <v>98</v>
      </c>
      <c r="M1198" s="18" t="s">
        <v>98</v>
      </c>
      <c r="N1198" s="18" t="s">
        <v>98</v>
      </c>
      <c r="O1198" s="18" t="s">
        <v>98</v>
      </c>
      <c r="P1198" s="15" t="str">
        <f t="shared" si="1"/>
        <v>VERIFY</v>
      </c>
      <c r="Q1198" s="15">
        <f t="shared" si="2"/>
        <v>3</v>
      </c>
      <c r="R1198" s="15">
        <f t="shared" si="3"/>
        <v>5</v>
      </c>
      <c r="S1198" s="15">
        <f t="shared" si="4"/>
        <v>5</v>
      </c>
      <c r="T1198" s="15" t="str">
        <f t="shared" si="5"/>
        <v>C-1</v>
      </c>
      <c r="U1198" s="15" t="str">
        <f t="shared" si="6"/>
        <v>T3-M5-H5-FC-1-VERIFY</v>
      </c>
      <c r="V1198" s="15">
        <f t="shared" si="7"/>
        <v>0</v>
      </c>
      <c r="W1198" s="31"/>
      <c r="X1198" s="15" t="str">
        <f t="shared" si="8"/>
        <v>panipat-samalkha</v>
      </c>
      <c r="Y1198" s="32" t="str">
        <f t="shared" si="9"/>
        <v>https://steelmanufacturer.in/market-area/electropolished-pipes-manufacturer-in-panipat-samalkha/</v>
      </c>
      <c r="Z1198" s="15" t="str">
        <f t="shared" si="10"/>
        <v>Electropolished Pipes Manufacturer in Panipat-Samalkha</v>
      </c>
      <c r="AA1198" s="15" t="str">
        <f t="shared" si="11"/>
        <v>OK (54)</v>
      </c>
      <c r="AB1198" s="15" t="str">
        <f t="shared" si="12"/>
        <v>Manufacturer of electropolished SS 316L tube serving Panipat-Samalkha. VERIFY. Ra 0.25-0.5 um, EN 10204 3.1 MTC.</v>
      </c>
      <c r="AC1198" s="15" t="str">
        <f t="shared" si="13"/>
        <v>PENDING RESEARCH</v>
      </c>
      <c r="AD1198" s="15" t="str">
        <f t="shared" si="14"/>
        <v>Electropolished Pipes Manufacturer in Panipat-Samalkha</v>
      </c>
      <c r="AE1198" s="15" t="str">
        <f t="shared" si="15"/>
        <v>Electropolished Tube Manufacturing Capability Serving Panipat-Samalkha</v>
      </c>
      <c r="AF1198" s="15" t="str">
        <f t="shared" si="16"/>
        <v>Electropolished Pipes Supplier in Panipat-Samalkha - From Order to Delivery</v>
      </c>
      <c r="AG1198" s="15" t="str">
        <f t="shared" si="17"/>
        <v>Stockist &amp; Wholesale Supply of Electropolished Pipes in Panipat-Samalkha</v>
      </c>
      <c r="AH1198" s="15" t="str">
        <f t="shared" si="18"/>
        <v>electropolished pipes manufacturer in Panipat-Samalkha, electropolished pipes supplier in Panipat-Samalkha, electropolished pipes wholesaler in Panipat-Samalkha, electropolished tube manufacturer Panipat-Samalkha, EP pipe supplier Panipat-Samalkha, sanitary tube supplier Panipat-Samalkha, ASME BPE tubing Panipat-Samalkha, ASTM A270 tube Panipat-Samalkha, SS 316L electropolished pipe Panipat-Samalkha</v>
      </c>
      <c r="AI1198" s="15" t="str">
        <f t="shared" si="19"/>
        <v>Electropolished Pipes Manufacturer &amp; Supplier in Panipat-Samalkha</v>
      </c>
      <c r="AJ1198" s="15" t="str">
        <f t="shared" si="20"/>
        <v>EP-finished SS 304/316L pipes and tubes for VERIFY plants in Panipat-Samalkha. ASME BPE SF1-SF4, Ra from 0.25 um, EN 10204 3.1 certificate with every lot.</v>
      </c>
      <c r="AK1198" s="15" t="str">
        <f t="shared" si="21"/>
        <v>Electropolished stainless steel pipes supplied by Sakshi Forge to VERIFY plants at HSIIDC Industrial Area, Panipat-Samalkha</v>
      </c>
      <c r="AL1198" s="15" t="str">
        <f t="shared" si="22"/>
        <v>Electropolished SS 316L tube stock for Panipat-Samalkha - Sakshi Forge</v>
      </c>
      <c r="AM1198" s="15" t="str">
        <f t="shared" si="23"/>
        <v>Home &gt; Market Area &gt; India &gt; Haryana &gt; Panipat-Samalkha</v>
      </c>
      <c r="AN1198" s="15">
        <f t="shared" si="24"/>
        <v>750</v>
      </c>
      <c r="AO1198" s="15">
        <f t="shared" si="25"/>
        <v>6</v>
      </c>
      <c r="AP1198" s="15">
        <f t="shared" si="26"/>
        <v>6</v>
      </c>
      <c r="AQ1198" s="15">
        <f t="shared" si="27"/>
        <v>20</v>
      </c>
      <c r="AR1198" s="31"/>
      <c r="AS1198" s="31"/>
      <c r="AT1198" s="35" t="s">
        <v>222</v>
      </c>
      <c r="AU1198" s="35"/>
    </row>
    <row r="1199" ht="15.75" customHeight="1">
      <c r="A1199" s="15" t="s">
        <v>6174</v>
      </c>
      <c r="B1199" s="15" t="s">
        <v>60</v>
      </c>
      <c r="C1199" s="15" t="s">
        <v>842</v>
      </c>
      <c r="D1199" s="15" t="s">
        <v>6175</v>
      </c>
      <c r="E1199" s="15" t="s">
        <v>6175</v>
      </c>
      <c r="F1199" s="58" t="s">
        <v>807</v>
      </c>
      <c r="G1199" s="66" t="s">
        <v>98</v>
      </c>
      <c r="H1199" s="18" t="s">
        <v>6177</v>
      </c>
      <c r="I1199" s="18" t="s">
        <v>8413</v>
      </c>
      <c r="J1199" s="18" t="s">
        <v>98</v>
      </c>
      <c r="K1199" s="18" t="s">
        <v>98</v>
      </c>
      <c r="L1199" s="18" t="s">
        <v>98</v>
      </c>
      <c r="M1199" s="18" t="s">
        <v>98</v>
      </c>
      <c r="N1199" s="18" t="s">
        <v>98</v>
      </c>
      <c r="O1199" s="18" t="s">
        <v>98</v>
      </c>
      <c r="P1199" s="15" t="str">
        <f t="shared" si="1"/>
        <v>VERIFY</v>
      </c>
      <c r="Q1199" s="15">
        <f t="shared" si="2"/>
        <v>4</v>
      </c>
      <c r="R1199" s="15">
        <f t="shared" si="3"/>
        <v>6</v>
      </c>
      <c r="S1199" s="15">
        <f t="shared" si="4"/>
        <v>1</v>
      </c>
      <c r="T1199" s="15" t="str">
        <f t="shared" si="5"/>
        <v>C-2</v>
      </c>
      <c r="U1199" s="15" t="str">
        <f t="shared" si="6"/>
        <v>T4-M6-H1-FC-2-VERIFY</v>
      </c>
      <c r="V1199" s="15">
        <f t="shared" si="7"/>
        <v>0</v>
      </c>
      <c r="W1199" s="31"/>
      <c r="X1199" s="15" t="str">
        <f t="shared" si="8"/>
        <v>panna</v>
      </c>
      <c r="Y1199" s="32" t="str">
        <f t="shared" si="9"/>
        <v>https://steelmanufacturer.in/market-area/electropolished-pipes-manufacturer-in-panna/</v>
      </c>
      <c r="Z1199" s="15" t="str">
        <f t="shared" si="10"/>
        <v>Electropolished Pipes Manufacturer in Panna - SS 304/316L EP Tube</v>
      </c>
      <c r="AA1199" s="15" t="str">
        <f t="shared" si="11"/>
        <v>OK (65)</v>
      </c>
      <c r="AB1199" s="15" t="str">
        <f t="shared" si="12"/>
        <v>EP tube and pipe for VERIFY plants around MPIDC Industrial Area, Panna. Made at our Mumbai works to ASTM A270 and ASME BPE SF1-SF4, with 3.1 MTC.</v>
      </c>
      <c r="AC1199" s="15" t="str">
        <f t="shared" si="13"/>
        <v>PENDING RESEARCH</v>
      </c>
      <c r="AD1199" s="15" t="str">
        <f t="shared" si="14"/>
        <v>Electropolished Pipes Manufacturer in Panna</v>
      </c>
      <c r="AE1199" s="15" t="str">
        <f t="shared" si="15"/>
        <v>Electropolished Pipe &amp; Tube Manufacturing for Panna - Grades, Finishes &amp; Certification</v>
      </c>
      <c r="AF1199" s="15" t="str">
        <f t="shared" si="16"/>
        <v>Electropolished Pipes Supplier in Panna - Stock Sizes, Lead Time &amp; Delivery</v>
      </c>
      <c r="AG1199" s="15" t="str">
        <f t="shared" si="17"/>
        <v>Electropolished Pipes Wholesaler &amp; Stockist in Panna - Bulk &amp; Project Pricing</v>
      </c>
      <c r="AH1199" s="15" t="str">
        <f t="shared" si="18"/>
        <v>electropolished pipes manufacturer in Panna, electropolished pipes supplier in Panna, electropolished pipes wholesaler in Panna, electropolished tube manufacturer Panna, EP pipe supplier Panna, sanitary tube supplier Panna, ASME BPE tubing Panna, ASTM A270 tube Panna, SS 316L electropolished pipe Panna</v>
      </c>
      <c r="AI1199" s="15" t="str">
        <f t="shared" si="19"/>
        <v>Electropolished Pipes Manufacturer &amp; Supplier in Panna</v>
      </c>
      <c r="AJ1199" s="15" t="str">
        <f t="shared" si="20"/>
        <v>EP-finished SS 304/316L pipes and tubes for VERIFY plants in Panna. ASME BPE SF1-SF4, Ra from 0.25 um, EN 10204 3.1 certificate with every lot.</v>
      </c>
      <c r="AK1199" s="15" t="str">
        <f t="shared" si="21"/>
        <v>Electropolished stainless steel pipes supplied by Sakshi Forge to VERIFY plants at MPIDC Industrial Area, Panna</v>
      </c>
      <c r="AL1199" s="15" t="str">
        <f t="shared" si="22"/>
        <v>Electropolished SS 316L tube stock for Panna - Sakshi Forge</v>
      </c>
      <c r="AM1199" s="15" t="str">
        <f t="shared" si="23"/>
        <v>Home &gt; Market Area &gt; India &gt; Madhya Pradesh &gt; Panna</v>
      </c>
      <c r="AN1199" s="15">
        <f t="shared" si="24"/>
        <v>750</v>
      </c>
      <c r="AO1199" s="15">
        <f t="shared" si="25"/>
        <v>6</v>
      </c>
      <c r="AP1199" s="15">
        <f t="shared" si="26"/>
        <v>6</v>
      </c>
      <c r="AQ1199" s="15">
        <f t="shared" si="27"/>
        <v>20</v>
      </c>
      <c r="AR1199" s="31"/>
      <c r="AS1199" s="31"/>
      <c r="AT1199" s="35" t="s">
        <v>222</v>
      </c>
      <c r="AU1199" s="35"/>
    </row>
    <row r="1200" ht="15.75" customHeight="1">
      <c r="A1200" s="15" t="s">
        <v>6178</v>
      </c>
      <c r="B1200" s="15" t="s">
        <v>60</v>
      </c>
      <c r="C1200" s="15" t="s">
        <v>958</v>
      </c>
      <c r="D1200" s="15" t="s">
        <v>6179</v>
      </c>
      <c r="E1200" s="15" t="s">
        <v>6179</v>
      </c>
      <c r="F1200" s="58" t="s">
        <v>807</v>
      </c>
      <c r="G1200" s="66" t="s">
        <v>98</v>
      </c>
      <c r="H1200" s="18" t="s">
        <v>6181</v>
      </c>
      <c r="I1200" s="18" t="s">
        <v>8403</v>
      </c>
      <c r="J1200" s="18" t="s">
        <v>98</v>
      </c>
      <c r="K1200" s="18" t="s">
        <v>98</v>
      </c>
      <c r="L1200" s="18" t="s">
        <v>98</v>
      </c>
      <c r="M1200" s="18" t="s">
        <v>98</v>
      </c>
      <c r="N1200" s="18" t="s">
        <v>98</v>
      </c>
      <c r="O1200" s="18" t="s">
        <v>98</v>
      </c>
      <c r="P1200" s="15" t="str">
        <f t="shared" si="1"/>
        <v>VERIFY</v>
      </c>
      <c r="Q1200" s="15">
        <f t="shared" si="2"/>
        <v>5</v>
      </c>
      <c r="R1200" s="15">
        <f t="shared" si="3"/>
        <v>7</v>
      </c>
      <c r="S1200" s="15">
        <f t="shared" si="4"/>
        <v>2</v>
      </c>
      <c r="T1200" s="15" t="str">
        <f t="shared" si="5"/>
        <v>C-3</v>
      </c>
      <c r="U1200" s="15" t="str">
        <f t="shared" si="6"/>
        <v>T5-M7-H2-FC-3-VERIFY</v>
      </c>
      <c r="V1200" s="15">
        <f t="shared" si="7"/>
        <v>0</v>
      </c>
      <c r="W1200" s="31"/>
      <c r="X1200" s="15" t="str">
        <f t="shared" si="8"/>
        <v>panruti</v>
      </c>
      <c r="Y1200" s="32" t="str">
        <f t="shared" si="9"/>
        <v>https://steelmanufacturer.in/market-area/electropolished-pipes-manufacturer-in-panruti/</v>
      </c>
      <c r="Z1200" s="15" t="str">
        <f t="shared" si="10"/>
        <v>Electropolished Pipes Manufacturer in Panruti</v>
      </c>
      <c r="AA1200" s="15" t="str">
        <f t="shared" si="11"/>
        <v>OK (45)</v>
      </c>
      <c r="AB1200" s="15" t="str">
        <f t="shared" si="12"/>
        <v>Electropolished pipes in Panruti: 304, 304L, 316 and 316L in SF1-SF4. VERIFY. Mill certified.</v>
      </c>
      <c r="AC1200" s="15" t="str">
        <f t="shared" si="13"/>
        <v>PENDING RESEARCH</v>
      </c>
      <c r="AD1200" s="15" t="str">
        <f t="shared" si="14"/>
        <v>Electropolished Pipes Manufacturer in Panruti</v>
      </c>
      <c r="AE1200" s="15" t="str">
        <f t="shared" si="15"/>
        <v>How We Manufacture Electropolished Tube for Panruti Plants</v>
      </c>
      <c r="AF1200" s="15" t="str">
        <f t="shared" si="16"/>
        <v>Supplying Electropolished Pipes in Panruti: Availability, Sizes &amp; Dispatch</v>
      </c>
      <c r="AG1200" s="15" t="str">
        <f t="shared" si="17"/>
        <v>Wholesale Electropolished Pipe Supply for Panruti Projects</v>
      </c>
      <c r="AH1200" s="15" t="str">
        <f t="shared" si="18"/>
        <v>electropolished pipes manufacturer in Panruti, electropolished pipes supplier in Panruti, electropolished pipes wholesaler in Panruti, electropolished tube manufacturer Panruti, EP pipe supplier Panruti, sanitary tube supplier Panruti, ASME BPE tubing Panruti, ASTM A270 tube Panruti, SS 316L electropolished pipe Panruti</v>
      </c>
      <c r="AI1200" s="15" t="str">
        <f t="shared" si="19"/>
        <v>Electropolished Pipes Manufacturer &amp; Supplier in Panruti</v>
      </c>
      <c r="AJ1200" s="15" t="str">
        <f t="shared" si="20"/>
        <v>EP-finished SS 304/316L pipes and tubes for VERIFY plants in Panruti. ASME BPE SF1-SF4, Ra from 0.25 um, EN 10204 3.1 certificate with every lot.</v>
      </c>
      <c r="AK1200" s="15" t="str">
        <f t="shared" si="21"/>
        <v>Electropolished stainless steel pipes supplied by Sakshi Forge to VERIFY plants at SIPCOT Industrial Area, Panruti</v>
      </c>
      <c r="AL1200" s="15" t="str">
        <f t="shared" si="22"/>
        <v>Electropolished SS 316L tube stock for Panruti - Sakshi Forge</v>
      </c>
      <c r="AM1200" s="15" t="str">
        <f t="shared" si="23"/>
        <v>Home &gt; Market Area &gt; India &gt; Tamil Nadu &gt; Panruti</v>
      </c>
      <c r="AN1200" s="15">
        <f t="shared" si="24"/>
        <v>750</v>
      </c>
      <c r="AO1200" s="15">
        <f t="shared" si="25"/>
        <v>6</v>
      </c>
      <c r="AP1200" s="15">
        <f t="shared" si="26"/>
        <v>6</v>
      </c>
      <c r="AQ1200" s="15">
        <f t="shared" si="27"/>
        <v>20</v>
      </c>
      <c r="AR1200" s="31"/>
      <c r="AS1200" s="31"/>
      <c r="AT1200" s="35" t="s">
        <v>222</v>
      </c>
      <c r="AU1200" s="35"/>
    </row>
    <row r="1201" ht="15.75" customHeight="1">
      <c r="A1201" s="15" t="s">
        <v>6182</v>
      </c>
      <c r="B1201" s="15" t="s">
        <v>60</v>
      </c>
      <c r="C1201" s="15" t="s">
        <v>1139</v>
      </c>
      <c r="D1201" s="15" t="s">
        <v>6183</v>
      </c>
      <c r="E1201" s="15" t="s">
        <v>6183</v>
      </c>
      <c r="F1201" s="58" t="s">
        <v>807</v>
      </c>
      <c r="G1201" s="66" t="s">
        <v>98</v>
      </c>
      <c r="H1201" s="18" t="s">
        <v>6185</v>
      </c>
      <c r="I1201" s="18" t="s">
        <v>8410</v>
      </c>
      <c r="J1201" s="18" t="s">
        <v>98</v>
      </c>
      <c r="K1201" s="18" t="s">
        <v>98</v>
      </c>
      <c r="L1201" s="18" t="s">
        <v>98</v>
      </c>
      <c r="M1201" s="18" t="s">
        <v>98</v>
      </c>
      <c r="N1201" s="18" t="s">
        <v>98</v>
      </c>
      <c r="O1201" s="18" t="s">
        <v>98</v>
      </c>
      <c r="P1201" s="15" t="str">
        <f t="shared" si="1"/>
        <v>VERIFY</v>
      </c>
      <c r="Q1201" s="15">
        <f t="shared" si="2"/>
        <v>6</v>
      </c>
      <c r="R1201" s="15">
        <f t="shared" si="3"/>
        <v>1</v>
      </c>
      <c r="S1201" s="15">
        <f t="shared" si="4"/>
        <v>3</v>
      </c>
      <c r="T1201" s="15" t="str">
        <f t="shared" si="5"/>
        <v>C-4</v>
      </c>
      <c r="U1201" s="15" t="str">
        <f t="shared" si="6"/>
        <v>T6-M1-H3-FC-4-VERIFY</v>
      </c>
      <c r="V1201" s="15">
        <f t="shared" si="7"/>
        <v>0</v>
      </c>
      <c r="W1201" s="31"/>
      <c r="X1201" s="15" t="str">
        <f t="shared" si="8"/>
        <v>pantnagar</v>
      </c>
      <c r="Y1201" s="32" t="str">
        <f t="shared" si="9"/>
        <v>https://steelmanufacturer.in/market-area/electropolished-pipes-manufacturer-in-pantnagar/</v>
      </c>
      <c r="Z1201" s="15" t="str">
        <f t="shared" si="10"/>
        <v>Electropolished Pipes Manufacturer in Pantnagar</v>
      </c>
      <c r="AA1201" s="15" t="str">
        <f t="shared" si="11"/>
        <v>OK (47)</v>
      </c>
      <c r="AB1201" s="15" t="str">
        <f t="shared" si="12"/>
        <v>EP-finished SS 304/316L pipes &amp; tubes for VERIFY plants in Pantnagar. ASTM A270, ASME BPE SF1-SF4, EN 10204 3.1 MTC. PMI tested.</v>
      </c>
      <c r="AC1201" s="15" t="str">
        <f t="shared" si="13"/>
        <v>PENDING RESEARCH</v>
      </c>
      <c r="AD1201" s="15" t="str">
        <f t="shared" si="14"/>
        <v>Electropolished Pipes Manufacturer in Pantnagar</v>
      </c>
      <c r="AE1201" s="15" t="str">
        <f t="shared" si="15"/>
        <v>Electropolished Pipes Manufacturer in Pantnagar - Our Process &amp; Capability</v>
      </c>
      <c r="AF1201" s="15" t="str">
        <f t="shared" si="16"/>
        <v>Electropolished Pipes Supplier in Pantnagar - What We Hold in Stock</v>
      </c>
      <c r="AG1201" s="15" t="str">
        <f t="shared" si="17"/>
        <v>Bulk &amp; Wholesale Electropolished Pipe Rates for Pantnagar Buyers</v>
      </c>
      <c r="AH1201" s="15" t="str">
        <f t="shared" si="18"/>
        <v>electropolished pipes manufacturer in Pantnagar, electropolished pipes supplier in Pantnagar, electropolished pipes wholesaler in Pantnagar, electropolished tube manufacturer Pantnagar, EP pipe supplier Pantnagar, sanitary tube supplier Pantnagar, ASME BPE tubing Pantnagar, ASTM A270 tube Pantnagar, SS 316L electropolished pipe Pantnagar</v>
      </c>
      <c r="AI1201" s="15" t="str">
        <f t="shared" si="19"/>
        <v>Electropolished Pipes Manufacturer &amp; Supplier in Pantnagar</v>
      </c>
      <c r="AJ1201" s="15" t="str">
        <f t="shared" si="20"/>
        <v>EP-finished SS 304/316L pipes and tubes for VERIFY plants in Pantnagar. ASME BPE SF1-SF4, Ra from 0.25 um, EN 10204 3.1 certificate with every lot.</v>
      </c>
      <c r="AK1201" s="15" t="str">
        <f t="shared" si="21"/>
        <v>Electropolished stainless steel pipes supplied by Sakshi Forge to VERIFY plants at SIIDCUL Industrial Area, Pantnagar</v>
      </c>
      <c r="AL1201" s="15" t="str">
        <f t="shared" si="22"/>
        <v>Electropolished SS 316L tube stock for Pantnagar - Sakshi Forge</v>
      </c>
      <c r="AM1201" s="15" t="str">
        <f t="shared" si="23"/>
        <v>Home &gt; Market Area &gt; India &gt; Uttarakhand &gt; Pantnagar</v>
      </c>
      <c r="AN1201" s="15">
        <f t="shared" si="24"/>
        <v>750</v>
      </c>
      <c r="AO1201" s="15">
        <f t="shared" si="25"/>
        <v>6</v>
      </c>
      <c r="AP1201" s="15">
        <f t="shared" si="26"/>
        <v>6</v>
      </c>
      <c r="AQ1201" s="15">
        <f t="shared" si="27"/>
        <v>20</v>
      </c>
      <c r="AR1201" s="31"/>
      <c r="AS1201" s="31"/>
      <c r="AT1201" s="35" t="s">
        <v>222</v>
      </c>
      <c r="AU1201" s="35"/>
    </row>
    <row r="1202" ht="15.75" customHeight="1">
      <c r="A1202" s="15" t="s">
        <v>6186</v>
      </c>
      <c r="B1202" s="15" t="s">
        <v>60</v>
      </c>
      <c r="C1202" s="15" t="s">
        <v>958</v>
      </c>
      <c r="D1202" s="15" t="s">
        <v>6187</v>
      </c>
      <c r="E1202" s="15" t="s">
        <v>6187</v>
      </c>
      <c r="F1202" s="58" t="s">
        <v>807</v>
      </c>
      <c r="G1202" s="66" t="s">
        <v>98</v>
      </c>
      <c r="H1202" s="18" t="s">
        <v>6189</v>
      </c>
      <c r="I1202" s="18" t="s">
        <v>8403</v>
      </c>
      <c r="J1202" s="18" t="s">
        <v>98</v>
      </c>
      <c r="K1202" s="18" t="s">
        <v>98</v>
      </c>
      <c r="L1202" s="18" t="s">
        <v>98</v>
      </c>
      <c r="M1202" s="18" t="s">
        <v>98</v>
      </c>
      <c r="N1202" s="18" t="s">
        <v>98</v>
      </c>
      <c r="O1202" s="18" t="s">
        <v>98</v>
      </c>
      <c r="P1202" s="15" t="str">
        <f t="shared" si="1"/>
        <v>VERIFY</v>
      </c>
      <c r="Q1202" s="15">
        <f t="shared" si="2"/>
        <v>7</v>
      </c>
      <c r="R1202" s="15">
        <f t="shared" si="3"/>
        <v>2</v>
      </c>
      <c r="S1202" s="15">
        <f t="shared" si="4"/>
        <v>4</v>
      </c>
      <c r="T1202" s="15" t="str">
        <f t="shared" si="5"/>
        <v>C-5</v>
      </c>
      <c r="U1202" s="15" t="str">
        <f t="shared" si="6"/>
        <v>T7-M2-H4-FC-5-VERIFY</v>
      </c>
      <c r="V1202" s="15">
        <f t="shared" si="7"/>
        <v>0</v>
      </c>
      <c r="W1202" s="31"/>
      <c r="X1202" s="15" t="str">
        <f t="shared" si="8"/>
        <v>papanasam</v>
      </c>
      <c r="Y1202" s="32" t="str">
        <f t="shared" si="9"/>
        <v>https://steelmanufacturer.in/market-area/electropolished-pipes-manufacturer-in-papanasam/</v>
      </c>
      <c r="Z1202" s="15" t="str">
        <f t="shared" si="10"/>
        <v>Electropolished Pipes Manufacturer in Papanasam</v>
      </c>
      <c r="AA1202" s="15" t="str">
        <f t="shared" si="11"/>
        <v>OK (47)</v>
      </c>
      <c r="AB1202" s="15" t="str">
        <f t="shared" si="12"/>
        <v>Electropolished tube supply to SIPCOT Industrial Area, Papanasam. Ra from 0.25 um, SF4 finish, mill test certificate with every lot.</v>
      </c>
      <c r="AC1202" s="15" t="str">
        <f t="shared" si="13"/>
        <v>PENDING RESEARCH</v>
      </c>
      <c r="AD1202" s="15" t="str">
        <f t="shared" si="14"/>
        <v>Electropolished Pipes Manufacturer in Papanasam</v>
      </c>
      <c r="AE1202" s="15" t="str">
        <f t="shared" si="15"/>
        <v>Manufacturing Electropolished SS Tube for Papanasam: The Standards We Build To</v>
      </c>
      <c r="AF1202" s="15" t="str">
        <f t="shared" si="16"/>
        <v>Electropolished Pipe Supply Into Papanasam - Certification &amp; Transit</v>
      </c>
      <c r="AG1202" s="15" t="str">
        <f t="shared" si="17"/>
        <v>Electropolished Pipes Wholesaler in Papanasam - Project Quantities &amp; Terms</v>
      </c>
      <c r="AH1202" s="15" t="str">
        <f t="shared" si="18"/>
        <v>electropolished pipes manufacturer in Papanasam, electropolished pipes supplier in Papanasam, electropolished pipes wholesaler in Papanasam, electropolished tube manufacturer Papanasam, EP pipe supplier Papanasam, sanitary tube supplier Papanasam, ASME BPE tubing Papanasam, ASTM A270 tube Papanasam, SS 316L electropolished pipe Papanasam</v>
      </c>
      <c r="AI1202" s="15" t="str">
        <f t="shared" si="19"/>
        <v>Electropolished Pipes Manufacturer &amp; Supplier in Papanasam</v>
      </c>
      <c r="AJ1202" s="15" t="str">
        <f t="shared" si="20"/>
        <v>EP-finished SS 304/316L pipes and tubes for VERIFY plants in Papanasam. ASME BPE SF1-SF4, Ra from 0.25 um, EN 10204 3.1 certificate with every lot.</v>
      </c>
      <c r="AK1202" s="15" t="str">
        <f t="shared" si="21"/>
        <v>Electropolished stainless steel pipes supplied by Sakshi Forge to VERIFY plants at SIPCOT Industrial Area, Papanasam</v>
      </c>
      <c r="AL1202" s="15" t="str">
        <f t="shared" si="22"/>
        <v>Electropolished SS 316L tube stock for Papanasam - Sakshi Forge</v>
      </c>
      <c r="AM1202" s="15" t="str">
        <f t="shared" si="23"/>
        <v>Home &gt; Market Area &gt; India &gt; Tamil Nadu &gt; Papanasam</v>
      </c>
      <c r="AN1202" s="15">
        <f t="shared" si="24"/>
        <v>750</v>
      </c>
      <c r="AO1202" s="15">
        <f t="shared" si="25"/>
        <v>6</v>
      </c>
      <c r="AP1202" s="15">
        <f t="shared" si="26"/>
        <v>6</v>
      </c>
      <c r="AQ1202" s="15">
        <f t="shared" si="27"/>
        <v>20</v>
      </c>
      <c r="AR1202" s="31"/>
      <c r="AS1202" s="31"/>
      <c r="AT1202" s="35" t="s">
        <v>222</v>
      </c>
      <c r="AU1202" s="35"/>
    </row>
    <row r="1203" ht="15.75" customHeight="1">
      <c r="A1203" s="15" t="s">
        <v>6190</v>
      </c>
      <c r="B1203" s="15" t="s">
        <v>60</v>
      </c>
      <c r="C1203" s="15" t="s">
        <v>236</v>
      </c>
      <c r="D1203" s="15" t="s">
        <v>6191</v>
      </c>
      <c r="E1203" s="15" t="s">
        <v>6191</v>
      </c>
      <c r="F1203" s="58" t="s">
        <v>807</v>
      </c>
      <c r="G1203" s="66" t="s">
        <v>98</v>
      </c>
      <c r="H1203" s="18" t="s">
        <v>6193</v>
      </c>
      <c r="I1203" s="18" t="s">
        <v>8391</v>
      </c>
      <c r="J1203" s="18" t="s">
        <v>98</v>
      </c>
      <c r="K1203" s="18" t="s">
        <v>98</v>
      </c>
      <c r="L1203" s="18" t="s">
        <v>98</v>
      </c>
      <c r="M1203" s="18" t="s">
        <v>98</v>
      </c>
      <c r="N1203" s="18" t="s">
        <v>98</v>
      </c>
      <c r="O1203" s="18" t="s">
        <v>98</v>
      </c>
      <c r="P1203" s="15" t="str">
        <f t="shared" si="1"/>
        <v>VERIFY</v>
      </c>
      <c r="Q1203" s="15">
        <f t="shared" si="2"/>
        <v>8</v>
      </c>
      <c r="R1203" s="15">
        <f t="shared" si="3"/>
        <v>3</v>
      </c>
      <c r="S1203" s="15">
        <f t="shared" si="4"/>
        <v>5</v>
      </c>
      <c r="T1203" s="15" t="str">
        <f t="shared" si="5"/>
        <v>C-6</v>
      </c>
      <c r="U1203" s="15" t="str">
        <f t="shared" si="6"/>
        <v>T8-M3-H5-FC-6-VERIFY</v>
      </c>
      <c r="V1203" s="15">
        <f t="shared" si="7"/>
        <v>0</v>
      </c>
      <c r="W1203" s="31"/>
      <c r="X1203" s="15" t="str">
        <f t="shared" si="8"/>
        <v>parbatsar</v>
      </c>
      <c r="Y1203" s="32" t="str">
        <f t="shared" si="9"/>
        <v>https://steelmanufacturer.in/market-area/electropolished-pipes-manufacturer-in-parbatsar/</v>
      </c>
      <c r="Z1203" s="15" t="str">
        <f t="shared" si="10"/>
        <v>Electropolished Pipes Manufacturer in Parbatsar</v>
      </c>
      <c r="AA1203" s="15" t="str">
        <f t="shared" si="11"/>
        <v>OK (47)</v>
      </c>
      <c r="AB1203" s="15" t="str">
        <f t="shared" si="12"/>
        <v>EP stainless tube for VERIFY lines in Parbatsar. VERIFY. ASTM A270 S2, PMI tested, EN 10204 3.1.</v>
      </c>
      <c r="AC1203" s="15" t="str">
        <f t="shared" si="13"/>
        <v>PENDING RESEARCH</v>
      </c>
      <c r="AD1203" s="15" t="str">
        <f t="shared" si="14"/>
        <v>Electropolished Pipes Manufacturer in Parbatsar</v>
      </c>
      <c r="AE1203" s="15" t="str">
        <f t="shared" si="15"/>
        <v>Electropolished Tube Manufacturing Capability Serving Parbatsar</v>
      </c>
      <c r="AF1203" s="15" t="str">
        <f t="shared" si="16"/>
        <v>Electropolished Pipes Supplier in Parbatsar - From Order to Delivery</v>
      </c>
      <c r="AG1203" s="15" t="str">
        <f t="shared" si="17"/>
        <v>Stockist &amp; Wholesale Supply of Electropolished Pipes in Parbatsar</v>
      </c>
      <c r="AH1203" s="15" t="str">
        <f t="shared" si="18"/>
        <v>electropolished pipes manufacturer in Parbatsar, electropolished pipes supplier in Parbatsar, electropolished pipes wholesaler in Parbatsar, electropolished tube manufacturer Parbatsar, EP pipe supplier Parbatsar, sanitary tube supplier Parbatsar, ASME BPE tubing Parbatsar, ASTM A270 tube Parbatsar, SS 316L electropolished pipe Parbatsar</v>
      </c>
      <c r="AI1203" s="15" t="str">
        <f t="shared" si="19"/>
        <v>Electropolished Pipes Manufacturer &amp; Supplier in Parbatsar</v>
      </c>
      <c r="AJ1203" s="15" t="str">
        <f t="shared" si="20"/>
        <v>EP-finished SS 304/316L pipes and tubes for VERIFY plants in Parbatsar. ASME BPE SF1-SF4, Ra from 0.25 um, EN 10204 3.1 certificate with every lot.</v>
      </c>
      <c r="AK1203" s="15" t="str">
        <f t="shared" si="21"/>
        <v>Electropolished stainless steel pipes supplied by Sakshi Forge to VERIFY plants at RIICO Industrial Area, Parbatsar</v>
      </c>
      <c r="AL1203" s="15" t="str">
        <f t="shared" si="22"/>
        <v>Electropolished SS 316L tube stock for Parbatsar - Sakshi Forge</v>
      </c>
      <c r="AM1203" s="15" t="str">
        <f t="shared" si="23"/>
        <v>Home &gt; Market Area &gt; India &gt; Rajasthan &gt; Parbatsar</v>
      </c>
      <c r="AN1203" s="15">
        <f t="shared" si="24"/>
        <v>750</v>
      </c>
      <c r="AO1203" s="15">
        <f t="shared" si="25"/>
        <v>6</v>
      </c>
      <c r="AP1203" s="15">
        <f t="shared" si="26"/>
        <v>6</v>
      </c>
      <c r="AQ1203" s="15">
        <f t="shared" si="27"/>
        <v>20</v>
      </c>
      <c r="AR1203" s="31"/>
      <c r="AS1203" s="31"/>
      <c r="AT1203" s="35" t="s">
        <v>222</v>
      </c>
      <c r="AU1203" s="35"/>
    </row>
    <row r="1204" ht="15.75" customHeight="1">
      <c r="A1204" s="15" t="s">
        <v>6194</v>
      </c>
      <c r="B1204" s="15" t="s">
        <v>60</v>
      </c>
      <c r="C1204" s="15" t="s">
        <v>413</v>
      </c>
      <c r="D1204" s="15" t="s">
        <v>6195</v>
      </c>
      <c r="E1204" s="15" t="s">
        <v>6195</v>
      </c>
      <c r="F1204" s="58" t="s">
        <v>807</v>
      </c>
      <c r="G1204" s="66" t="s">
        <v>98</v>
      </c>
      <c r="H1204" s="18" t="s">
        <v>6197</v>
      </c>
      <c r="I1204" s="18" t="s">
        <v>8393</v>
      </c>
      <c r="J1204" s="18" t="s">
        <v>98</v>
      </c>
      <c r="K1204" s="18" t="s">
        <v>98</v>
      </c>
      <c r="L1204" s="18" t="s">
        <v>98</v>
      </c>
      <c r="M1204" s="18" t="s">
        <v>98</v>
      </c>
      <c r="N1204" s="18" t="s">
        <v>98</v>
      </c>
      <c r="O1204" s="18" t="s">
        <v>98</v>
      </c>
      <c r="P1204" s="15" t="str">
        <f t="shared" si="1"/>
        <v>VERIFY</v>
      </c>
      <c r="Q1204" s="15">
        <f t="shared" si="2"/>
        <v>1</v>
      </c>
      <c r="R1204" s="15">
        <f t="shared" si="3"/>
        <v>4</v>
      </c>
      <c r="S1204" s="15">
        <f t="shared" si="4"/>
        <v>1</v>
      </c>
      <c r="T1204" s="15" t="str">
        <f t="shared" si="5"/>
        <v>C-1</v>
      </c>
      <c r="U1204" s="15" t="str">
        <f t="shared" si="6"/>
        <v>T1-M4-H1-FC-1-VERIFY</v>
      </c>
      <c r="V1204" s="15">
        <f t="shared" si="7"/>
        <v>0</v>
      </c>
      <c r="W1204" s="31"/>
      <c r="X1204" s="15" t="str">
        <f t="shared" si="8"/>
        <v>parvathipuram</v>
      </c>
      <c r="Y1204" s="32" t="str">
        <f t="shared" si="9"/>
        <v>https://steelmanufacturer.in/market-area/electropolished-pipes-manufacturer-in-parvathipuram/</v>
      </c>
      <c r="Z1204" s="15" t="str">
        <f t="shared" si="10"/>
        <v>Electropolished Pipes Manufacturer in Parvathipuram</v>
      </c>
      <c r="AA1204" s="15" t="str">
        <f t="shared" si="11"/>
        <v>OK (51)</v>
      </c>
      <c r="AB1204" s="15" t="str">
        <f t="shared" si="12"/>
        <v>Sanitary electropolished pipes in Parvathipuram for VERIFY plants. ASME BPE SF1-SF4, orbital-weld ready, 3.1 MTC. Mumbai-made.</v>
      </c>
      <c r="AC1204" s="15" t="str">
        <f t="shared" si="13"/>
        <v>PENDING RESEARCH</v>
      </c>
      <c r="AD1204" s="15" t="str">
        <f t="shared" si="14"/>
        <v>Electropolished Pipes Manufacturer in Parvathipuram</v>
      </c>
      <c r="AE1204" s="15" t="str">
        <f t="shared" si="15"/>
        <v>Electropolished Pipe &amp; Tube Manufacturing for Parvathipuram - Grades, Finishes &amp; Certification</v>
      </c>
      <c r="AF1204" s="15" t="str">
        <f t="shared" si="16"/>
        <v>Electropolished Pipes Supplier in Parvathipuram - Stock Sizes, Lead Time &amp; Delivery</v>
      </c>
      <c r="AG1204" s="15" t="str">
        <f t="shared" si="17"/>
        <v>Electropolished Pipes Wholesaler &amp; Stockist in Parvathipuram - Bulk &amp; Project Pricing</v>
      </c>
      <c r="AH1204" s="15" t="str">
        <f t="shared" si="18"/>
        <v>electropolished pipes manufacturer in Parvathipuram, electropolished pipes supplier in Parvathipuram, electropolished pipes wholesaler in Parvathipuram, electropolished tube manufacturer Parvathipuram, EP pipe supplier Parvathipuram, sanitary tube supplier Parvathipuram, ASME BPE tubing Parvathipuram, ASTM A270 tube Parvathipuram, SS 316L electropolished pipe Parvathipuram</v>
      </c>
      <c r="AI1204" s="15" t="str">
        <f t="shared" si="19"/>
        <v>Electropolished Pipes Manufacturer &amp; Supplier in Parvathipuram</v>
      </c>
      <c r="AJ1204" s="15" t="str">
        <f t="shared" si="20"/>
        <v>EP-finished SS 304/316L pipes and tubes for VERIFY plants in Parvathipuram. ASME BPE SF1-SF4, Ra from 0.25 um, EN 10204 3.1 certificate with every lot.</v>
      </c>
      <c r="AK1204" s="15" t="str">
        <f t="shared" si="21"/>
        <v>Electropolished stainless steel pipes supplied by Sakshi Forge to VERIFY plants at APIIC Industrial Area, Parvathipuram</v>
      </c>
      <c r="AL1204" s="15" t="str">
        <f t="shared" si="22"/>
        <v>Electropolished SS 316L tube stock for Parvathipuram - Sakshi Forge</v>
      </c>
      <c r="AM1204" s="15" t="str">
        <f t="shared" si="23"/>
        <v>Home &gt; Market Area &gt; India &gt; Andhra Pradesh &gt; Parvathipuram</v>
      </c>
      <c r="AN1204" s="15">
        <f t="shared" si="24"/>
        <v>750</v>
      </c>
      <c r="AO1204" s="15">
        <f t="shared" si="25"/>
        <v>6</v>
      </c>
      <c r="AP1204" s="15">
        <f t="shared" si="26"/>
        <v>6</v>
      </c>
      <c r="AQ1204" s="15">
        <f t="shared" si="27"/>
        <v>21</v>
      </c>
      <c r="AR1204" s="31"/>
      <c r="AS1204" s="31"/>
      <c r="AT1204" s="35" t="s">
        <v>222</v>
      </c>
      <c r="AU1204" s="35"/>
    </row>
    <row r="1205" ht="15.75" customHeight="1">
      <c r="A1205" s="15" t="s">
        <v>6198</v>
      </c>
      <c r="B1205" s="15" t="s">
        <v>60</v>
      </c>
      <c r="C1205" s="15" t="s">
        <v>264</v>
      </c>
      <c r="D1205" s="15" t="s">
        <v>6199</v>
      </c>
      <c r="E1205" s="15" t="s">
        <v>6199</v>
      </c>
      <c r="F1205" s="58" t="s">
        <v>807</v>
      </c>
      <c r="G1205" s="66" t="s">
        <v>98</v>
      </c>
      <c r="H1205" s="18" t="s">
        <v>6201</v>
      </c>
      <c r="I1205" s="18" t="s">
        <v>8395</v>
      </c>
      <c r="J1205" s="18" t="s">
        <v>98</v>
      </c>
      <c r="K1205" s="18" t="s">
        <v>98</v>
      </c>
      <c r="L1205" s="18" t="s">
        <v>98</v>
      </c>
      <c r="M1205" s="18" t="s">
        <v>98</v>
      </c>
      <c r="N1205" s="18" t="s">
        <v>98</v>
      </c>
      <c r="O1205" s="18" t="s">
        <v>98</v>
      </c>
      <c r="P1205" s="15" t="str">
        <f t="shared" si="1"/>
        <v>VERIFY</v>
      </c>
      <c r="Q1205" s="15">
        <f t="shared" si="2"/>
        <v>2</v>
      </c>
      <c r="R1205" s="15">
        <f t="shared" si="3"/>
        <v>5</v>
      </c>
      <c r="S1205" s="15">
        <f t="shared" si="4"/>
        <v>2</v>
      </c>
      <c r="T1205" s="15" t="str">
        <f t="shared" si="5"/>
        <v>C-2</v>
      </c>
      <c r="U1205" s="15" t="str">
        <f t="shared" si="6"/>
        <v>T2-M5-H2-FC-2-VERIFY</v>
      </c>
      <c r="V1205" s="15">
        <f t="shared" si="7"/>
        <v>0</v>
      </c>
      <c r="W1205" s="31"/>
      <c r="X1205" s="15" t="str">
        <f t="shared" si="8"/>
        <v>pathardi</v>
      </c>
      <c r="Y1205" s="32" t="str">
        <f t="shared" si="9"/>
        <v>https://steelmanufacturer.in/market-area/electropolished-pipes-manufacturer-in-pathardi/</v>
      </c>
      <c r="Z1205" s="15" t="str">
        <f t="shared" si="10"/>
        <v>Electropolished Pipes Manufacturer in Pathardi</v>
      </c>
      <c r="AA1205" s="15" t="str">
        <f t="shared" si="11"/>
        <v>OK (46)</v>
      </c>
      <c r="AB1205" s="15" t="str">
        <f t="shared" si="12"/>
        <v>Manufacturer of electropolished SS 316L tube serving Pathardi. VERIFY. Ra 0.25-0.5 um, EN 10204 3.1 MTC.</v>
      </c>
      <c r="AC1205" s="15" t="str">
        <f t="shared" si="13"/>
        <v>PENDING RESEARCH</v>
      </c>
      <c r="AD1205" s="15" t="str">
        <f t="shared" si="14"/>
        <v>Electropolished Pipes Manufacturer in Pathardi</v>
      </c>
      <c r="AE1205" s="15" t="str">
        <f t="shared" si="15"/>
        <v>How We Manufacture Electropolished Tube for Pathardi Plants</v>
      </c>
      <c r="AF1205" s="15" t="str">
        <f t="shared" si="16"/>
        <v>Supplying Electropolished Pipes in Pathardi: Availability, Sizes &amp; Dispatch</v>
      </c>
      <c r="AG1205" s="15" t="str">
        <f t="shared" si="17"/>
        <v>Wholesale Electropolished Pipe Supply for Pathardi Projects</v>
      </c>
      <c r="AH1205" s="15" t="str">
        <f t="shared" si="18"/>
        <v>electropolished pipes manufacturer in Pathardi, electropolished pipes supplier in Pathardi, electropolished pipes wholesaler in Pathardi, electropolished tube manufacturer Pathardi, EP pipe supplier Pathardi, sanitary tube supplier Pathardi, ASME BPE tubing Pathardi, ASTM A270 tube Pathardi, SS 316L electropolished pipe Pathardi</v>
      </c>
      <c r="AI1205" s="15" t="str">
        <f t="shared" si="19"/>
        <v>Electropolished Pipes Manufacturer &amp; Supplier in Pathardi</v>
      </c>
      <c r="AJ1205" s="15" t="str">
        <f t="shared" si="20"/>
        <v>EP-finished SS 304/316L pipes and tubes for VERIFY plants in Pathardi. ASME BPE SF1-SF4, Ra from 0.25 um, EN 10204 3.1 certificate with every lot.</v>
      </c>
      <c r="AK1205" s="15" t="str">
        <f t="shared" si="21"/>
        <v>Electropolished stainless steel pipes supplied by Sakshi Forge to VERIFY plants at MIDC Industrial Area, Pathardi</v>
      </c>
      <c r="AL1205" s="15" t="str">
        <f t="shared" si="22"/>
        <v>Electropolished SS 316L tube stock for Pathardi - Sakshi Forge</v>
      </c>
      <c r="AM1205" s="15" t="str">
        <f t="shared" si="23"/>
        <v>Home &gt; Market Area &gt; India &gt; Maharashtra &gt; Pathardi</v>
      </c>
      <c r="AN1205" s="15">
        <f t="shared" si="24"/>
        <v>750</v>
      </c>
      <c r="AO1205" s="15">
        <f t="shared" si="25"/>
        <v>6</v>
      </c>
      <c r="AP1205" s="15">
        <f t="shared" si="26"/>
        <v>6</v>
      </c>
      <c r="AQ1205" s="15">
        <f t="shared" si="27"/>
        <v>21</v>
      </c>
      <c r="AR1205" s="31"/>
      <c r="AS1205" s="31"/>
      <c r="AT1205" s="35" t="s">
        <v>222</v>
      </c>
      <c r="AU1205" s="35"/>
    </row>
    <row r="1206" ht="15.75" customHeight="1">
      <c r="A1206" s="15" t="s">
        <v>6203</v>
      </c>
      <c r="B1206" s="15" t="s">
        <v>60</v>
      </c>
      <c r="C1206" s="15" t="s">
        <v>264</v>
      </c>
      <c r="D1206" s="15" t="s">
        <v>6206</v>
      </c>
      <c r="E1206" s="15" t="s">
        <v>6206</v>
      </c>
      <c r="F1206" s="58" t="s">
        <v>807</v>
      </c>
      <c r="G1206" s="66" t="s">
        <v>98</v>
      </c>
      <c r="H1206" s="18" t="s">
        <v>6209</v>
      </c>
      <c r="I1206" s="18" t="s">
        <v>8395</v>
      </c>
      <c r="J1206" s="18" t="s">
        <v>98</v>
      </c>
      <c r="K1206" s="18" t="s">
        <v>98</v>
      </c>
      <c r="L1206" s="18" t="s">
        <v>98</v>
      </c>
      <c r="M1206" s="18" t="s">
        <v>98</v>
      </c>
      <c r="N1206" s="18" t="s">
        <v>98</v>
      </c>
      <c r="O1206" s="18" t="s">
        <v>98</v>
      </c>
      <c r="P1206" s="15" t="str">
        <f t="shared" si="1"/>
        <v>VERIFY</v>
      </c>
      <c r="Q1206" s="15">
        <f t="shared" si="2"/>
        <v>3</v>
      </c>
      <c r="R1206" s="15">
        <f t="shared" si="3"/>
        <v>6</v>
      </c>
      <c r="S1206" s="15">
        <f t="shared" si="4"/>
        <v>3</v>
      </c>
      <c r="T1206" s="15" t="str">
        <f t="shared" si="5"/>
        <v>C-3</v>
      </c>
      <c r="U1206" s="15" t="str">
        <f t="shared" si="6"/>
        <v>T3-M6-H3-FC-3-VERIFY</v>
      </c>
      <c r="V1206" s="15">
        <f t="shared" si="7"/>
        <v>0</v>
      </c>
      <c r="W1206" s="31"/>
      <c r="X1206" s="15" t="str">
        <f t="shared" si="8"/>
        <v>pathri</v>
      </c>
      <c r="Y1206" s="32" t="str">
        <f t="shared" si="9"/>
        <v>https://steelmanufacturer.in/market-area/electropolished-pipes-manufacturer-in-pathri/</v>
      </c>
      <c r="Z1206" s="15" t="str">
        <f t="shared" si="10"/>
        <v>Electropolished Pipes Manufacturer in Pathri | EP Tube Supplier</v>
      </c>
      <c r="AA1206" s="15" t="str">
        <f t="shared" si="11"/>
        <v>OK (63)</v>
      </c>
      <c r="AB1206" s="15" t="str">
        <f t="shared" si="12"/>
        <v>EP tube and pipe for VERIFY plants around MIDC Industrial Area, Pathri. Made at our Mumbai works to ASTM A270 and ASME BPE SF1-SF4, with 3.1 MTC.</v>
      </c>
      <c r="AC1206" s="15" t="str">
        <f t="shared" si="13"/>
        <v>PENDING RESEARCH</v>
      </c>
      <c r="AD1206" s="15" t="str">
        <f t="shared" si="14"/>
        <v>Electropolished Pipes Manufacturer in Pathri</v>
      </c>
      <c r="AE1206" s="15" t="str">
        <f t="shared" si="15"/>
        <v>Electropolished Pipes Manufacturer in Pathri - Our Process &amp; Capability</v>
      </c>
      <c r="AF1206" s="15" t="str">
        <f t="shared" si="16"/>
        <v>Electropolished Pipes Supplier in Pathri - What We Hold in Stock</v>
      </c>
      <c r="AG1206" s="15" t="str">
        <f t="shared" si="17"/>
        <v>Bulk &amp; Wholesale Electropolished Pipe Rates for Pathri Buyers</v>
      </c>
      <c r="AH1206" s="15" t="str">
        <f t="shared" si="18"/>
        <v>electropolished pipes manufacturer in Pathri, electropolished pipes supplier in Pathri, electropolished pipes wholesaler in Pathri, electropolished tube manufacturer Pathri, EP pipe supplier Pathri, sanitary tube supplier Pathri, ASME BPE tubing Pathri, ASTM A270 tube Pathri, SS 316L electropolished pipe Pathri</v>
      </c>
      <c r="AI1206" s="15" t="str">
        <f t="shared" si="19"/>
        <v>Electropolished Pipes Manufacturer &amp; Supplier in Pathri</v>
      </c>
      <c r="AJ1206" s="15" t="str">
        <f t="shared" si="20"/>
        <v>EP-finished SS 304/316L pipes and tubes for VERIFY plants in Pathri. ASME BPE SF1-SF4, Ra from 0.25 um, EN 10204 3.1 certificate with every lot.</v>
      </c>
      <c r="AK1206" s="15" t="str">
        <f t="shared" si="21"/>
        <v>Electropolished stainless steel pipes supplied by Sakshi Forge to VERIFY plants at MIDC Industrial Area, Pathri</v>
      </c>
      <c r="AL1206" s="15" t="str">
        <f t="shared" si="22"/>
        <v>Electropolished SS 316L tube stock for Pathri - Sakshi Forge</v>
      </c>
      <c r="AM1206" s="15" t="str">
        <f t="shared" si="23"/>
        <v>Home &gt; Market Area &gt; India &gt; Maharashtra &gt; Pathri</v>
      </c>
      <c r="AN1206" s="15">
        <f t="shared" si="24"/>
        <v>750</v>
      </c>
      <c r="AO1206" s="15">
        <f t="shared" si="25"/>
        <v>6</v>
      </c>
      <c r="AP1206" s="15">
        <f t="shared" si="26"/>
        <v>6</v>
      </c>
      <c r="AQ1206" s="15">
        <f t="shared" si="27"/>
        <v>21</v>
      </c>
      <c r="AR1206" s="31"/>
      <c r="AS1206" s="31"/>
      <c r="AT1206" s="35" t="s">
        <v>222</v>
      </c>
      <c r="AU1206" s="35"/>
    </row>
    <row r="1207" ht="15.75" customHeight="1">
      <c r="A1207" s="15" t="s">
        <v>6212</v>
      </c>
      <c r="B1207" s="15" t="s">
        <v>60</v>
      </c>
      <c r="C1207" s="15" t="s">
        <v>958</v>
      </c>
      <c r="D1207" s="15" t="s">
        <v>6213</v>
      </c>
      <c r="E1207" s="15" t="s">
        <v>6213</v>
      </c>
      <c r="F1207" s="58" t="s">
        <v>807</v>
      </c>
      <c r="G1207" s="66" t="s">
        <v>98</v>
      </c>
      <c r="H1207" s="18" t="s">
        <v>6215</v>
      </c>
      <c r="I1207" s="18" t="s">
        <v>8403</v>
      </c>
      <c r="J1207" s="18" t="s">
        <v>98</v>
      </c>
      <c r="K1207" s="18" t="s">
        <v>98</v>
      </c>
      <c r="L1207" s="18" t="s">
        <v>98</v>
      </c>
      <c r="M1207" s="18" t="s">
        <v>98</v>
      </c>
      <c r="N1207" s="18" t="s">
        <v>98</v>
      </c>
      <c r="O1207" s="18" t="s">
        <v>98</v>
      </c>
      <c r="P1207" s="15" t="str">
        <f t="shared" si="1"/>
        <v>VERIFY</v>
      </c>
      <c r="Q1207" s="15">
        <f t="shared" si="2"/>
        <v>4</v>
      </c>
      <c r="R1207" s="15">
        <f t="shared" si="3"/>
        <v>7</v>
      </c>
      <c r="S1207" s="15">
        <f t="shared" si="4"/>
        <v>4</v>
      </c>
      <c r="T1207" s="15" t="str">
        <f t="shared" si="5"/>
        <v>C-4</v>
      </c>
      <c r="U1207" s="15" t="str">
        <f t="shared" si="6"/>
        <v>T4-M7-H4-FC-4-VERIFY</v>
      </c>
      <c r="V1207" s="15">
        <f t="shared" si="7"/>
        <v>0</v>
      </c>
      <c r="W1207" s="31"/>
      <c r="X1207" s="15" t="str">
        <f t="shared" si="8"/>
        <v>pattukkottai</v>
      </c>
      <c r="Y1207" s="32" t="str">
        <f t="shared" si="9"/>
        <v>https://steelmanufacturer.in/market-area/electropolished-pipes-manufacturer-in-pattukkottai/</v>
      </c>
      <c r="Z1207" s="15" t="str">
        <f t="shared" si="10"/>
        <v>Electropolished Pipes Manufacturer in Pattukkottai</v>
      </c>
      <c r="AA1207" s="15" t="str">
        <f t="shared" si="11"/>
        <v>OK (50)</v>
      </c>
      <c r="AB1207" s="15" t="str">
        <f t="shared" si="12"/>
        <v>Electropolished pipes in Pattukkottai: 304, 304L, 316 and 316L in SF1-SF4. VERIFY. Mill certified.</v>
      </c>
      <c r="AC1207" s="15" t="str">
        <f t="shared" si="13"/>
        <v>PENDING RESEARCH</v>
      </c>
      <c r="AD1207" s="15" t="str">
        <f t="shared" si="14"/>
        <v>Electropolished Pipes Manufacturer in Pattukkottai</v>
      </c>
      <c r="AE1207" s="15" t="str">
        <f t="shared" si="15"/>
        <v>Manufacturing Electropolished SS Tube for Pattukkottai: The Standards We Build To</v>
      </c>
      <c r="AF1207" s="15" t="str">
        <f t="shared" si="16"/>
        <v>Electropolished Pipe Supply Into Pattukkottai - Certification &amp; Transit</v>
      </c>
      <c r="AG1207" s="15" t="str">
        <f t="shared" si="17"/>
        <v>Electropolished Pipes Wholesaler in Pattukkottai - Project Quantities &amp; Terms</v>
      </c>
      <c r="AH1207" s="15" t="str">
        <f t="shared" si="18"/>
        <v>electropolished pipes manufacturer in Pattukkottai, electropolished pipes supplier in Pattukkottai, electropolished pipes wholesaler in Pattukkottai, electropolished tube manufacturer Pattukkottai, EP pipe supplier Pattukkottai, sanitary tube supplier Pattukkottai, ASME BPE tubing Pattukkottai, ASTM A270 tube Pattukkottai, SS 316L electropolished pipe Pattukkottai</v>
      </c>
      <c r="AI1207" s="15" t="str">
        <f t="shared" si="19"/>
        <v>Electropolished Pipes Manufacturer &amp; Supplier in Pattukkottai</v>
      </c>
      <c r="AJ1207" s="15" t="str">
        <f t="shared" si="20"/>
        <v>EP-finished SS 304/316L pipes and tubes for VERIFY plants in Pattukkottai. ASME BPE SF1-SF4, Ra from 0.25 um, EN 10204 3.1 certificate with every lot.</v>
      </c>
      <c r="AK1207" s="15" t="str">
        <f t="shared" si="21"/>
        <v>Electropolished stainless steel pipes supplied by Sakshi Forge to VERIFY plants at SIPCOT Industrial Area, Pattukkottai</v>
      </c>
      <c r="AL1207" s="15" t="str">
        <f t="shared" si="22"/>
        <v>Electropolished SS 316L tube stock for Pattukkottai - Sakshi Forge</v>
      </c>
      <c r="AM1207" s="15" t="str">
        <f t="shared" si="23"/>
        <v>Home &gt; Market Area &gt; India &gt; Tamil Nadu &gt; Pattukkottai</v>
      </c>
      <c r="AN1207" s="15">
        <f t="shared" si="24"/>
        <v>750</v>
      </c>
      <c r="AO1207" s="15">
        <f t="shared" si="25"/>
        <v>6</v>
      </c>
      <c r="AP1207" s="15">
        <f t="shared" si="26"/>
        <v>6</v>
      </c>
      <c r="AQ1207" s="15">
        <f t="shared" si="27"/>
        <v>21</v>
      </c>
      <c r="AR1207" s="31"/>
      <c r="AS1207" s="31"/>
      <c r="AT1207" s="35" t="s">
        <v>222</v>
      </c>
      <c r="AU1207" s="35"/>
    </row>
    <row r="1208" ht="15.75" customHeight="1">
      <c r="A1208" s="15" t="s">
        <v>6216</v>
      </c>
      <c r="B1208" s="15" t="s">
        <v>60</v>
      </c>
      <c r="C1208" s="15" t="s">
        <v>1139</v>
      </c>
      <c r="D1208" s="15" t="s">
        <v>6217</v>
      </c>
      <c r="E1208" s="15" t="s">
        <v>6217</v>
      </c>
      <c r="F1208" s="58" t="s">
        <v>807</v>
      </c>
      <c r="G1208" s="66" t="s">
        <v>98</v>
      </c>
      <c r="H1208" s="18" t="s">
        <v>6219</v>
      </c>
      <c r="I1208" s="18" t="s">
        <v>8410</v>
      </c>
      <c r="J1208" s="18" t="s">
        <v>98</v>
      </c>
      <c r="K1208" s="18" t="s">
        <v>98</v>
      </c>
      <c r="L1208" s="18" t="s">
        <v>98</v>
      </c>
      <c r="M1208" s="18" t="s">
        <v>98</v>
      </c>
      <c r="N1208" s="18" t="s">
        <v>98</v>
      </c>
      <c r="O1208" s="18" t="s">
        <v>98</v>
      </c>
      <c r="P1208" s="15" t="str">
        <f t="shared" si="1"/>
        <v>VERIFY</v>
      </c>
      <c r="Q1208" s="15">
        <f t="shared" si="2"/>
        <v>5</v>
      </c>
      <c r="R1208" s="15">
        <f t="shared" si="3"/>
        <v>1</v>
      </c>
      <c r="S1208" s="15">
        <f t="shared" si="4"/>
        <v>5</v>
      </c>
      <c r="T1208" s="15" t="str">
        <f t="shared" si="5"/>
        <v>C-5</v>
      </c>
      <c r="U1208" s="15" t="str">
        <f t="shared" si="6"/>
        <v>T5-M1-H5-FC-5-VERIFY</v>
      </c>
      <c r="V1208" s="15">
        <f t="shared" si="7"/>
        <v>0</v>
      </c>
      <c r="W1208" s="31"/>
      <c r="X1208" s="15" t="str">
        <f t="shared" si="8"/>
        <v>pauri</v>
      </c>
      <c r="Y1208" s="32" t="str">
        <f t="shared" si="9"/>
        <v>https://steelmanufacturer.in/market-area/electropolished-pipes-manufacturer-in-pauri/</v>
      </c>
      <c r="Z1208" s="15" t="str">
        <f t="shared" si="10"/>
        <v>Electropolished Pipes Manufacturer in Pauri</v>
      </c>
      <c r="AA1208" s="15" t="str">
        <f t="shared" si="11"/>
        <v>OK (43)</v>
      </c>
      <c r="AB1208" s="15" t="str">
        <f t="shared" si="12"/>
        <v>EP-finished SS 304/316L pipes &amp; tubes for VERIFY plants in Pauri. ASTM A270, ASME BPE SF1-SF4, EN 10204 3.1 MTC. PMI tested.</v>
      </c>
      <c r="AC1208" s="15" t="str">
        <f t="shared" si="13"/>
        <v>PENDING RESEARCH</v>
      </c>
      <c r="AD1208" s="15" t="str">
        <f t="shared" si="14"/>
        <v>Electropolished Pipes Manufacturer in Pauri</v>
      </c>
      <c r="AE1208" s="15" t="str">
        <f t="shared" si="15"/>
        <v>Electropolished Tube Manufacturing Capability Serving Pauri</v>
      </c>
      <c r="AF1208" s="15" t="str">
        <f t="shared" si="16"/>
        <v>Electropolished Pipes Supplier in Pauri - From Order to Delivery</v>
      </c>
      <c r="AG1208" s="15" t="str">
        <f t="shared" si="17"/>
        <v>Stockist &amp; Wholesale Supply of Electropolished Pipes in Pauri</v>
      </c>
      <c r="AH1208" s="15" t="str">
        <f t="shared" si="18"/>
        <v>electropolished pipes manufacturer in Pauri, electropolished pipes supplier in Pauri, electropolished pipes wholesaler in Pauri, electropolished tube manufacturer Pauri, EP pipe supplier Pauri, sanitary tube supplier Pauri, ASME BPE tubing Pauri, ASTM A270 tube Pauri, SS 316L electropolished pipe Pauri</v>
      </c>
      <c r="AI1208" s="15" t="str">
        <f t="shared" si="19"/>
        <v>Electropolished Pipes Manufacturer &amp; Supplier in Pauri</v>
      </c>
      <c r="AJ1208" s="15" t="str">
        <f t="shared" si="20"/>
        <v>EP-finished SS 304/316L pipes and tubes for VERIFY plants in Pauri. ASME BPE SF1-SF4, Ra from 0.25 um, EN 10204 3.1 certificate with every lot.</v>
      </c>
      <c r="AK1208" s="15" t="str">
        <f t="shared" si="21"/>
        <v>Electropolished stainless steel pipes supplied by Sakshi Forge to VERIFY plants at SIIDCUL Industrial Area, Pauri</v>
      </c>
      <c r="AL1208" s="15" t="str">
        <f t="shared" si="22"/>
        <v>Electropolished SS 316L tube stock for Pauri - Sakshi Forge</v>
      </c>
      <c r="AM1208" s="15" t="str">
        <f t="shared" si="23"/>
        <v>Home &gt; Market Area &gt; India &gt; Uttarakhand &gt; Pauri</v>
      </c>
      <c r="AN1208" s="15">
        <f t="shared" si="24"/>
        <v>750</v>
      </c>
      <c r="AO1208" s="15">
        <f t="shared" si="25"/>
        <v>6</v>
      </c>
      <c r="AP1208" s="15">
        <f t="shared" si="26"/>
        <v>6</v>
      </c>
      <c r="AQ1208" s="15">
        <f t="shared" si="27"/>
        <v>21</v>
      </c>
      <c r="AR1208" s="31"/>
      <c r="AS1208" s="31"/>
      <c r="AT1208" s="35" t="s">
        <v>222</v>
      </c>
      <c r="AU1208" s="35"/>
    </row>
    <row r="1209" ht="15.75" customHeight="1">
      <c r="A1209" s="15" t="s">
        <v>6220</v>
      </c>
      <c r="B1209" s="15" t="s">
        <v>60</v>
      </c>
      <c r="C1209" s="15" t="s">
        <v>413</v>
      </c>
      <c r="D1209" s="15" t="s">
        <v>6221</v>
      </c>
      <c r="E1209" s="15" t="s">
        <v>6221</v>
      </c>
      <c r="F1209" s="58" t="s">
        <v>807</v>
      </c>
      <c r="G1209" s="66" t="s">
        <v>98</v>
      </c>
      <c r="H1209" s="18" t="s">
        <v>6223</v>
      </c>
      <c r="I1209" s="18" t="s">
        <v>8393</v>
      </c>
      <c r="J1209" s="18" t="s">
        <v>98</v>
      </c>
      <c r="K1209" s="18" t="s">
        <v>98</v>
      </c>
      <c r="L1209" s="18" t="s">
        <v>98</v>
      </c>
      <c r="M1209" s="18" t="s">
        <v>98</v>
      </c>
      <c r="N1209" s="18" t="s">
        <v>98</v>
      </c>
      <c r="O1209" s="18" t="s">
        <v>98</v>
      </c>
      <c r="P1209" s="15" t="str">
        <f t="shared" si="1"/>
        <v>VERIFY</v>
      </c>
      <c r="Q1209" s="15">
        <f t="shared" si="2"/>
        <v>6</v>
      </c>
      <c r="R1209" s="15">
        <f t="shared" si="3"/>
        <v>2</v>
      </c>
      <c r="S1209" s="15">
        <f t="shared" si="4"/>
        <v>1</v>
      </c>
      <c r="T1209" s="15" t="str">
        <f t="shared" si="5"/>
        <v>C-6</v>
      </c>
      <c r="U1209" s="15" t="str">
        <f t="shared" si="6"/>
        <v>T6-M2-H1-FC-6-VERIFY</v>
      </c>
      <c r="V1209" s="15">
        <f t="shared" si="7"/>
        <v>0</v>
      </c>
      <c r="W1209" s="31"/>
      <c r="X1209" s="15" t="str">
        <f t="shared" si="8"/>
        <v>peddapuram</v>
      </c>
      <c r="Y1209" s="32" t="str">
        <f t="shared" si="9"/>
        <v>https://steelmanufacturer.in/market-area/electropolished-pipes-manufacturer-in-peddapuram/</v>
      </c>
      <c r="Z1209" s="15" t="str">
        <f t="shared" si="10"/>
        <v>Electropolished Pipes Manufacturer in Peddapuram</v>
      </c>
      <c r="AA1209" s="15" t="str">
        <f t="shared" si="11"/>
        <v>OK (48)</v>
      </c>
      <c r="AB1209" s="15" t="str">
        <f t="shared" si="12"/>
        <v>Electropolished tube supply to APIIC Industrial Area, Peddapuram. Ra from 0.25 um, SF4 finish, mill test certificate with every lot.</v>
      </c>
      <c r="AC1209" s="15" t="str">
        <f t="shared" si="13"/>
        <v>PENDING RESEARCH</v>
      </c>
      <c r="AD1209" s="15" t="str">
        <f t="shared" si="14"/>
        <v>Electropolished Pipes Manufacturer in Peddapuram</v>
      </c>
      <c r="AE1209" s="15" t="str">
        <f t="shared" si="15"/>
        <v>Electropolished Pipe &amp; Tube Manufacturing for Peddapuram - Grades, Finishes &amp; Certification</v>
      </c>
      <c r="AF1209" s="15" t="str">
        <f t="shared" si="16"/>
        <v>Electropolished Pipes Supplier in Peddapuram - Stock Sizes, Lead Time &amp; Delivery</v>
      </c>
      <c r="AG1209" s="15" t="str">
        <f t="shared" si="17"/>
        <v>Electropolished Pipes Wholesaler &amp; Stockist in Peddapuram - Bulk &amp; Project Pricing</v>
      </c>
      <c r="AH1209" s="15" t="str">
        <f t="shared" si="18"/>
        <v>electropolished pipes manufacturer in Peddapuram, electropolished pipes supplier in Peddapuram, electropolished pipes wholesaler in Peddapuram, electropolished tube manufacturer Peddapuram, EP pipe supplier Peddapuram, sanitary tube supplier Peddapuram, ASME BPE tubing Peddapuram, ASTM A270 tube Peddapuram, SS 316L electropolished pipe Peddapuram</v>
      </c>
      <c r="AI1209" s="15" t="str">
        <f t="shared" si="19"/>
        <v>Electropolished Pipes Manufacturer &amp; Supplier in Peddapuram</v>
      </c>
      <c r="AJ1209" s="15" t="str">
        <f t="shared" si="20"/>
        <v>EP-finished SS 304/316L pipes and tubes for VERIFY plants in Peddapuram. ASME BPE SF1-SF4, Ra from 0.25 um, EN 10204 3.1 certificate with every lot.</v>
      </c>
      <c r="AK1209" s="15" t="str">
        <f t="shared" si="21"/>
        <v>Electropolished stainless steel pipes supplied by Sakshi Forge to VERIFY plants at APIIC Industrial Area, Peddapuram</v>
      </c>
      <c r="AL1209" s="15" t="str">
        <f t="shared" si="22"/>
        <v>Electropolished SS 316L tube stock for Peddapuram - Sakshi Forge</v>
      </c>
      <c r="AM1209" s="15" t="str">
        <f t="shared" si="23"/>
        <v>Home &gt; Market Area &gt; India &gt; Andhra Pradesh &gt; Peddapuram</v>
      </c>
      <c r="AN1209" s="15">
        <f t="shared" si="24"/>
        <v>750</v>
      </c>
      <c r="AO1209" s="15">
        <f t="shared" si="25"/>
        <v>6</v>
      </c>
      <c r="AP1209" s="15">
        <f t="shared" si="26"/>
        <v>6</v>
      </c>
      <c r="AQ1209" s="15">
        <f t="shared" si="27"/>
        <v>21</v>
      </c>
      <c r="AR1209" s="31"/>
      <c r="AS1209" s="31"/>
      <c r="AT1209" s="35" t="s">
        <v>222</v>
      </c>
      <c r="AU1209" s="35"/>
    </row>
    <row r="1210" ht="15.75" customHeight="1">
      <c r="A1210" s="15" t="s">
        <v>6224</v>
      </c>
      <c r="B1210" s="15" t="s">
        <v>60</v>
      </c>
      <c r="C1210" s="15" t="s">
        <v>775</v>
      </c>
      <c r="D1210" s="15" t="s">
        <v>6225</v>
      </c>
      <c r="E1210" s="15" t="s">
        <v>6225</v>
      </c>
      <c r="F1210" s="58" t="s">
        <v>807</v>
      </c>
      <c r="G1210" s="66" t="s">
        <v>98</v>
      </c>
      <c r="H1210" s="18" t="s">
        <v>6227</v>
      </c>
      <c r="I1210" s="18" t="s">
        <v>8399</v>
      </c>
      <c r="J1210" s="18" t="s">
        <v>98</v>
      </c>
      <c r="K1210" s="18" t="s">
        <v>98</v>
      </c>
      <c r="L1210" s="18" t="s">
        <v>98</v>
      </c>
      <c r="M1210" s="18" t="s">
        <v>98</v>
      </c>
      <c r="N1210" s="18" t="s">
        <v>98</v>
      </c>
      <c r="O1210" s="18" t="s">
        <v>98</v>
      </c>
      <c r="P1210" s="15" t="str">
        <f t="shared" si="1"/>
        <v>VERIFY</v>
      </c>
      <c r="Q1210" s="15">
        <f t="shared" si="2"/>
        <v>7</v>
      </c>
      <c r="R1210" s="15">
        <f t="shared" si="3"/>
        <v>3</v>
      </c>
      <c r="S1210" s="15">
        <f t="shared" si="4"/>
        <v>2</v>
      </c>
      <c r="T1210" s="15" t="str">
        <f t="shared" si="5"/>
        <v>C-1</v>
      </c>
      <c r="U1210" s="15" t="str">
        <f t="shared" si="6"/>
        <v>T7-M3-H2-FC-1-VERIFY</v>
      </c>
      <c r="V1210" s="15">
        <f t="shared" si="7"/>
        <v>0</v>
      </c>
      <c r="W1210" s="31"/>
      <c r="X1210" s="15" t="str">
        <f t="shared" si="8"/>
        <v>pendra</v>
      </c>
      <c r="Y1210" s="32" t="str">
        <f t="shared" si="9"/>
        <v>https://steelmanufacturer.in/market-area/electropolished-pipes-manufacturer-in-pendra/</v>
      </c>
      <c r="Z1210" s="15" t="str">
        <f t="shared" si="10"/>
        <v>Electropolished Pipes Manufacturer in Pendra | ASME BPE SF1-SF4</v>
      </c>
      <c r="AA1210" s="15" t="str">
        <f t="shared" si="11"/>
        <v>OK (63)</v>
      </c>
      <c r="AB1210" s="15" t="str">
        <f t="shared" si="12"/>
        <v>EP stainless tube for VERIFY lines in Pendra. VERIFY. ASTM A270 S2, PMI tested, EN 10204 3.1.</v>
      </c>
      <c r="AC1210" s="15" t="str">
        <f t="shared" si="13"/>
        <v>PENDING RESEARCH</v>
      </c>
      <c r="AD1210" s="15" t="str">
        <f t="shared" si="14"/>
        <v>Electropolished Pipes Manufacturer in Pendra</v>
      </c>
      <c r="AE1210" s="15" t="str">
        <f t="shared" si="15"/>
        <v>How We Manufacture Electropolished Tube for Pendra Plants</v>
      </c>
      <c r="AF1210" s="15" t="str">
        <f t="shared" si="16"/>
        <v>Supplying Electropolished Pipes in Pendra: Availability, Sizes &amp; Dispatch</v>
      </c>
      <c r="AG1210" s="15" t="str">
        <f t="shared" si="17"/>
        <v>Wholesale Electropolished Pipe Supply for Pendra Projects</v>
      </c>
      <c r="AH1210" s="15" t="str">
        <f t="shared" si="18"/>
        <v>electropolished pipes manufacturer in Pendra, electropolished pipes supplier in Pendra, electropolished pipes wholesaler in Pendra, electropolished tube manufacturer Pendra, EP pipe supplier Pendra, sanitary tube supplier Pendra, ASME BPE tubing Pendra, ASTM A270 tube Pendra, SS 316L electropolished pipe Pendra</v>
      </c>
      <c r="AI1210" s="15" t="str">
        <f t="shared" si="19"/>
        <v>Electropolished Pipes Manufacturer &amp; Supplier in Pendra</v>
      </c>
      <c r="AJ1210" s="15" t="str">
        <f t="shared" si="20"/>
        <v>EP-finished SS 304/316L pipes and tubes for VERIFY plants in Pendra. ASME BPE SF1-SF4, Ra from 0.25 um, EN 10204 3.1 certificate with every lot.</v>
      </c>
      <c r="AK1210" s="15" t="str">
        <f t="shared" si="21"/>
        <v>Electropolished stainless steel pipes supplied by Sakshi Forge to VERIFY plants at CSIDC Industrial Area, Pendra</v>
      </c>
      <c r="AL1210" s="15" t="str">
        <f t="shared" si="22"/>
        <v>Electropolished SS 316L tube stock for Pendra - Sakshi Forge</v>
      </c>
      <c r="AM1210" s="15" t="str">
        <f t="shared" si="23"/>
        <v>Home &gt; Market Area &gt; India &gt; Chhattisgarh &gt; Pendra</v>
      </c>
      <c r="AN1210" s="15">
        <f t="shared" si="24"/>
        <v>750</v>
      </c>
      <c r="AO1210" s="15">
        <f t="shared" si="25"/>
        <v>6</v>
      </c>
      <c r="AP1210" s="15">
        <f t="shared" si="26"/>
        <v>6</v>
      </c>
      <c r="AQ1210" s="15">
        <f t="shared" si="27"/>
        <v>21</v>
      </c>
      <c r="AR1210" s="31"/>
      <c r="AS1210" s="31"/>
      <c r="AT1210" s="35" t="s">
        <v>222</v>
      </c>
      <c r="AU1210" s="35"/>
    </row>
    <row r="1211" ht="15.75" customHeight="1">
      <c r="A1211" s="15" t="s">
        <v>6228</v>
      </c>
      <c r="B1211" s="15" t="s">
        <v>60</v>
      </c>
      <c r="C1211" s="15" t="s">
        <v>958</v>
      </c>
      <c r="D1211" s="15" t="s">
        <v>6229</v>
      </c>
      <c r="E1211" s="15" t="s">
        <v>6229</v>
      </c>
      <c r="F1211" s="58" t="s">
        <v>807</v>
      </c>
      <c r="G1211" s="66" t="s">
        <v>98</v>
      </c>
      <c r="H1211" s="18" t="s">
        <v>6231</v>
      </c>
      <c r="I1211" s="18" t="s">
        <v>8403</v>
      </c>
      <c r="J1211" s="18" t="s">
        <v>98</v>
      </c>
      <c r="K1211" s="18" t="s">
        <v>98</v>
      </c>
      <c r="L1211" s="18" t="s">
        <v>98</v>
      </c>
      <c r="M1211" s="18" t="s">
        <v>98</v>
      </c>
      <c r="N1211" s="18" t="s">
        <v>98</v>
      </c>
      <c r="O1211" s="18" t="s">
        <v>98</v>
      </c>
      <c r="P1211" s="15" t="str">
        <f t="shared" si="1"/>
        <v>VERIFY</v>
      </c>
      <c r="Q1211" s="15">
        <f t="shared" si="2"/>
        <v>8</v>
      </c>
      <c r="R1211" s="15">
        <f t="shared" si="3"/>
        <v>4</v>
      </c>
      <c r="S1211" s="15">
        <f t="shared" si="4"/>
        <v>3</v>
      </c>
      <c r="T1211" s="15" t="str">
        <f t="shared" si="5"/>
        <v>C-2</v>
      </c>
      <c r="U1211" s="15" t="str">
        <f t="shared" si="6"/>
        <v>T8-M4-H3-FC-2-VERIFY</v>
      </c>
      <c r="V1211" s="15">
        <f t="shared" si="7"/>
        <v>0</v>
      </c>
      <c r="W1211" s="31"/>
      <c r="X1211" s="15" t="str">
        <f t="shared" si="8"/>
        <v>peravurani</v>
      </c>
      <c r="Y1211" s="32" t="str">
        <f t="shared" si="9"/>
        <v>https://steelmanufacturer.in/market-area/electropolished-pipes-manufacturer-in-peravurani/</v>
      </c>
      <c r="Z1211" s="15" t="str">
        <f t="shared" si="10"/>
        <v>Electropolished Pipes Manufacturer in Peravurani</v>
      </c>
      <c r="AA1211" s="15" t="str">
        <f t="shared" si="11"/>
        <v>OK (48)</v>
      </c>
      <c r="AB1211" s="15" t="str">
        <f t="shared" si="12"/>
        <v>Sanitary electropolished pipes in Peravurani for VERIFY plants. ASME BPE SF1-SF4, orbital-weld ready, 3.1 MTC. Mumbai-made.</v>
      </c>
      <c r="AC1211" s="15" t="str">
        <f t="shared" si="13"/>
        <v>PENDING RESEARCH</v>
      </c>
      <c r="AD1211" s="15" t="str">
        <f t="shared" si="14"/>
        <v>Electropolished Pipes Manufacturer in Peravurani</v>
      </c>
      <c r="AE1211" s="15" t="str">
        <f t="shared" si="15"/>
        <v>Electropolished Pipes Manufacturer in Peravurani - Our Process &amp; Capability</v>
      </c>
      <c r="AF1211" s="15" t="str">
        <f t="shared" si="16"/>
        <v>Electropolished Pipes Supplier in Peravurani - What We Hold in Stock</v>
      </c>
      <c r="AG1211" s="15" t="str">
        <f t="shared" si="17"/>
        <v>Bulk &amp; Wholesale Electropolished Pipe Rates for Peravurani Buyers</v>
      </c>
      <c r="AH1211" s="15" t="str">
        <f t="shared" si="18"/>
        <v>electropolished pipes manufacturer in Peravurani, electropolished pipes supplier in Peravurani, electropolished pipes wholesaler in Peravurani, electropolished tube manufacturer Peravurani, EP pipe supplier Peravurani, sanitary tube supplier Peravurani, ASME BPE tubing Peravurani, ASTM A270 tube Peravurani, SS 316L electropolished pipe Peravurani</v>
      </c>
      <c r="AI1211" s="15" t="str">
        <f t="shared" si="19"/>
        <v>Electropolished Pipes Manufacturer &amp; Supplier in Peravurani</v>
      </c>
      <c r="AJ1211" s="15" t="str">
        <f t="shared" si="20"/>
        <v>EP-finished SS 304/316L pipes and tubes for VERIFY plants in Peravurani. ASME BPE SF1-SF4, Ra from 0.25 um, EN 10204 3.1 certificate with every lot.</v>
      </c>
      <c r="AK1211" s="15" t="str">
        <f t="shared" si="21"/>
        <v>Electropolished stainless steel pipes supplied by Sakshi Forge to VERIFY plants at SIPCOT Industrial Area, Peravurani</v>
      </c>
      <c r="AL1211" s="15" t="str">
        <f t="shared" si="22"/>
        <v>Electropolished SS 316L tube stock for Peravurani - Sakshi Forge</v>
      </c>
      <c r="AM1211" s="15" t="str">
        <f t="shared" si="23"/>
        <v>Home &gt; Market Area &gt; India &gt; Tamil Nadu &gt; Peravurani</v>
      </c>
      <c r="AN1211" s="15">
        <f t="shared" si="24"/>
        <v>750</v>
      </c>
      <c r="AO1211" s="15">
        <f t="shared" si="25"/>
        <v>6</v>
      </c>
      <c r="AP1211" s="15">
        <f t="shared" si="26"/>
        <v>6</v>
      </c>
      <c r="AQ1211" s="15">
        <f t="shared" si="27"/>
        <v>21</v>
      </c>
      <c r="AR1211" s="31"/>
      <c r="AS1211" s="31"/>
      <c r="AT1211" s="35" t="s">
        <v>222</v>
      </c>
      <c r="AU1211" s="35"/>
    </row>
    <row r="1212" ht="15.75" customHeight="1">
      <c r="A1212" s="15" t="s">
        <v>6232</v>
      </c>
      <c r="B1212" s="15" t="s">
        <v>60</v>
      </c>
      <c r="C1212" s="15" t="s">
        <v>1687</v>
      </c>
      <c r="D1212" s="15" t="s">
        <v>6233</v>
      </c>
      <c r="E1212" s="15" t="s">
        <v>6233</v>
      </c>
      <c r="F1212" s="58" t="s">
        <v>807</v>
      </c>
      <c r="G1212" s="66" t="s">
        <v>98</v>
      </c>
      <c r="H1212" s="18" t="s">
        <v>6235</v>
      </c>
      <c r="I1212" s="18" t="s">
        <v>8397</v>
      </c>
      <c r="J1212" s="18" t="s">
        <v>98</v>
      </c>
      <c r="K1212" s="18" t="s">
        <v>98</v>
      </c>
      <c r="L1212" s="18" t="s">
        <v>98</v>
      </c>
      <c r="M1212" s="18" t="s">
        <v>98</v>
      </c>
      <c r="N1212" s="18" t="s">
        <v>98</v>
      </c>
      <c r="O1212" s="18" t="s">
        <v>98</v>
      </c>
      <c r="P1212" s="15" t="str">
        <f t="shared" si="1"/>
        <v>VERIFY</v>
      </c>
      <c r="Q1212" s="15">
        <f t="shared" si="2"/>
        <v>1</v>
      </c>
      <c r="R1212" s="15">
        <f t="shared" si="3"/>
        <v>5</v>
      </c>
      <c r="S1212" s="15">
        <f t="shared" si="4"/>
        <v>4</v>
      </c>
      <c r="T1212" s="15" t="str">
        <f t="shared" si="5"/>
        <v>C-3</v>
      </c>
      <c r="U1212" s="15" t="str">
        <f t="shared" si="6"/>
        <v>T1-M5-H4-FC-3-VERIFY</v>
      </c>
      <c r="V1212" s="15">
        <f t="shared" si="7"/>
        <v>0</v>
      </c>
      <c r="W1212" s="31"/>
      <c r="X1212" s="15" t="str">
        <f t="shared" si="8"/>
        <v>perumbavoor</v>
      </c>
      <c r="Y1212" s="32" t="str">
        <f t="shared" si="9"/>
        <v>https://steelmanufacturer.in/market-area/electropolished-pipes-manufacturer-in-perumbavoor/</v>
      </c>
      <c r="Z1212" s="15" t="str">
        <f t="shared" si="10"/>
        <v>Electropolished Pipes Manufacturer in Perumbavoor | Sakshi Forge</v>
      </c>
      <c r="AA1212" s="15" t="str">
        <f t="shared" si="11"/>
        <v>OK (64)</v>
      </c>
      <c r="AB1212" s="15" t="str">
        <f t="shared" si="12"/>
        <v>Manufacturer of electropolished SS 316L tube serving Perumbavoor. VERIFY. Ra 0.25-0.5 um, EN 10204 3.1 MTC.</v>
      </c>
      <c r="AC1212" s="15" t="str">
        <f t="shared" si="13"/>
        <v>PENDING RESEARCH</v>
      </c>
      <c r="AD1212" s="15" t="str">
        <f t="shared" si="14"/>
        <v>Electropolished Pipes Manufacturer in Perumbavoor</v>
      </c>
      <c r="AE1212" s="15" t="str">
        <f t="shared" si="15"/>
        <v>Manufacturing Electropolished SS Tube for Perumbavoor: The Standards We Build To</v>
      </c>
      <c r="AF1212" s="15" t="str">
        <f t="shared" si="16"/>
        <v>Electropolished Pipe Supply Into Perumbavoor - Certification &amp; Transit</v>
      </c>
      <c r="AG1212" s="15" t="str">
        <f t="shared" si="17"/>
        <v>Electropolished Pipes Wholesaler in Perumbavoor - Project Quantities &amp; Terms</v>
      </c>
      <c r="AH1212" s="15" t="str">
        <f t="shared" si="18"/>
        <v>electropolished pipes manufacturer in Perumbavoor, electropolished pipes supplier in Perumbavoor, electropolished pipes wholesaler in Perumbavoor, electropolished tube manufacturer Perumbavoor, EP pipe supplier Perumbavoor, sanitary tube supplier Perumbavoor, ASME BPE tubing Perumbavoor, ASTM A270 tube Perumbavoor, SS 316L electropolished pipe Perumbavoor</v>
      </c>
      <c r="AI1212" s="15" t="str">
        <f t="shared" si="19"/>
        <v>Electropolished Pipes Manufacturer &amp; Supplier in Perumbavoor</v>
      </c>
      <c r="AJ1212" s="15" t="str">
        <f t="shared" si="20"/>
        <v>EP-finished SS 304/316L pipes and tubes for VERIFY plants in Perumbavoor. ASME BPE SF1-SF4, Ra from 0.25 um, EN 10204 3.1 certificate with every lot.</v>
      </c>
      <c r="AK1212" s="15" t="str">
        <f t="shared" si="21"/>
        <v>Electropolished stainless steel pipes supplied by Sakshi Forge to VERIFY plants at KINFRA Industrial Area, Perumbavoor</v>
      </c>
      <c r="AL1212" s="15" t="str">
        <f t="shared" si="22"/>
        <v>Electropolished SS 316L tube stock for Perumbavoor - Sakshi Forge</v>
      </c>
      <c r="AM1212" s="15" t="str">
        <f t="shared" si="23"/>
        <v>Home &gt; Market Area &gt; India &gt; Kerala &gt; Perumbavoor</v>
      </c>
      <c r="AN1212" s="15">
        <f t="shared" si="24"/>
        <v>750</v>
      </c>
      <c r="AO1212" s="15">
        <f t="shared" si="25"/>
        <v>6</v>
      </c>
      <c r="AP1212" s="15">
        <f t="shared" si="26"/>
        <v>6</v>
      </c>
      <c r="AQ1212" s="15">
        <f t="shared" si="27"/>
        <v>21</v>
      </c>
      <c r="AR1212" s="31"/>
      <c r="AS1212" s="31"/>
      <c r="AT1212" s="35" t="s">
        <v>222</v>
      </c>
      <c r="AU1212" s="35"/>
    </row>
    <row r="1213" ht="15.75" customHeight="1">
      <c r="A1213" s="15" t="s">
        <v>6236</v>
      </c>
      <c r="B1213" s="15" t="s">
        <v>60</v>
      </c>
      <c r="C1213" s="15" t="s">
        <v>224</v>
      </c>
      <c r="D1213" s="15" t="s">
        <v>6237</v>
      </c>
      <c r="E1213" s="15" t="s">
        <v>6237</v>
      </c>
      <c r="F1213" s="58" t="s">
        <v>807</v>
      </c>
      <c r="G1213" s="66" t="s">
        <v>98</v>
      </c>
      <c r="H1213" s="18" t="s">
        <v>6239</v>
      </c>
      <c r="I1213" s="18" t="s">
        <v>8400</v>
      </c>
      <c r="J1213" s="18" t="s">
        <v>98</v>
      </c>
      <c r="K1213" s="18" t="s">
        <v>98</v>
      </c>
      <c r="L1213" s="18" t="s">
        <v>98</v>
      </c>
      <c r="M1213" s="18" t="s">
        <v>98</v>
      </c>
      <c r="N1213" s="18" t="s">
        <v>98</v>
      </c>
      <c r="O1213" s="18" t="s">
        <v>98</v>
      </c>
      <c r="P1213" s="15" t="str">
        <f t="shared" si="1"/>
        <v>VERIFY</v>
      </c>
      <c r="Q1213" s="15">
        <f t="shared" si="2"/>
        <v>2</v>
      </c>
      <c r="R1213" s="15">
        <f t="shared" si="3"/>
        <v>6</v>
      </c>
      <c r="S1213" s="15">
        <f t="shared" si="4"/>
        <v>5</v>
      </c>
      <c r="T1213" s="15" t="str">
        <f t="shared" si="5"/>
        <v>C-4</v>
      </c>
      <c r="U1213" s="15" t="str">
        <f t="shared" si="6"/>
        <v>T2-M6-H5-FC-4-VERIFY</v>
      </c>
      <c r="V1213" s="15">
        <f t="shared" si="7"/>
        <v>0</v>
      </c>
      <c r="W1213" s="31"/>
      <c r="X1213" s="15" t="str">
        <f t="shared" si="8"/>
        <v>petlad</v>
      </c>
      <c r="Y1213" s="32" t="str">
        <f t="shared" si="9"/>
        <v>https://steelmanufacturer.in/market-area/electropolished-pipes-manufacturer-in-petlad/</v>
      </c>
      <c r="Z1213" s="15" t="str">
        <f t="shared" si="10"/>
        <v>Electropolished Pipes Manufacturer in Petlad</v>
      </c>
      <c r="AA1213" s="15" t="str">
        <f t="shared" si="11"/>
        <v>OK (44)</v>
      </c>
      <c r="AB1213" s="15" t="str">
        <f t="shared" si="12"/>
        <v>EP tube and pipe for VERIFY plants around GIDC Industrial Area, Petlad. Made at our Mumbai works to ASTM A270 and ASME BPE SF1-SF4, with 3.1 MTC.</v>
      </c>
      <c r="AC1213" s="15" t="str">
        <f t="shared" si="13"/>
        <v>PENDING RESEARCH</v>
      </c>
      <c r="AD1213" s="15" t="str">
        <f t="shared" si="14"/>
        <v>Electropolished Pipes Manufacturer in Petlad</v>
      </c>
      <c r="AE1213" s="15" t="str">
        <f t="shared" si="15"/>
        <v>Electropolished Tube Manufacturing Capability Serving Petlad</v>
      </c>
      <c r="AF1213" s="15" t="str">
        <f t="shared" si="16"/>
        <v>Electropolished Pipes Supplier in Petlad - From Order to Delivery</v>
      </c>
      <c r="AG1213" s="15" t="str">
        <f t="shared" si="17"/>
        <v>Stockist &amp; Wholesale Supply of Electropolished Pipes in Petlad</v>
      </c>
      <c r="AH1213" s="15" t="str">
        <f t="shared" si="18"/>
        <v>electropolished pipes manufacturer in Petlad, electropolished pipes supplier in Petlad, electropolished pipes wholesaler in Petlad, electropolished tube manufacturer Petlad, EP pipe supplier Petlad, sanitary tube supplier Petlad, ASME BPE tubing Petlad, ASTM A270 tube Petlad, SS 316L electropolished pipe Petlad</v>
      </c>
      <c r="AI1213" s="15" t="str">
        <f t="shared" si="19"/>
        <v>Electropolished Pipes Manufacturer &amp; Supplier in Petlad</v>
      </c>
      <c r="AJ1213" s="15" t="str">
        <f t="shared" si="20"/>
        <v>EP-finished SS 304/316L pipes and tubes for VERIFY plants in Petlad. ASME BPE SF1-SF4, Ra from 0.25 um, EN 10204 3.1 certificate with every lot.</v>
      </c>
      <c r="AK1213" s="15" t="str">
        <f t="shared" si="21"/>
        <v>Electropolished stainless steel pipes supplied by Sakshi Forge to VERIFY plants at GIDC Industrial Area, Petlad</v>
      </c>
      <c r="AL1213" s="15" t="str">
        <f t="shared" si="22"/>
        <v>Electropolished SS 316L tube stock for Petlad - Sakshi Forge</v>
      </c>
      <c r="AM1213" s="15" t="str">
        <f t="shared" si="23"/>
        <v>Home &gt; Market Area &gt; India &gt; Gujarat &gt; Petlad</v>
      </c>
      <c r="AN1213" s="15">
        <f t="shared" si="24"/>
        <v>750</v>
      </c>
      <c r="AO1213" s="15">
        <f t="shared" si="25"/>
        <v>6</v>
      </c>
      <c r="AP1213" s="15">
        <f t="shared" si="26"/>
        <v>6</v>
      </c>
      <c r="AQ1213" s="15">
        <f t="shared" si="27"/>
        <v>21</v>
      </c>
      <c r="AR1213" s="31"/>
      <c r="AS1213" s="31"/>
      <c r="AT1213" s="35" t="s">
        <v>222</v>
      </c>
      <c r="AU1213" s="35"/>
    </row>
    <row r="1214" ht="15.75" customHeight="1">
      <c r="A1214" s="15" t="s">
        <v>6240</v>
      </c>
      <c r="B1214" s="15" t="s">
        <v>60</v>
      </c>
      <c r="C1214" s="15" t="s">
        <v>354</v>
      </c>
      <c r="D1214" s="15" t="s">
        <v>6241</v>
      </c>
      <c r="E1214" s="15" t="s">
        <v>6241</v>
      </c>
      <c r="F1214" s="58" t="s">
        <v>807</v>
      </c>
      <c r="G1214" s="66" t="s">
        <v>98</v>
      </c>
      <c r="H1214" s="18" t="s">
        <v>6243</v>
      </c>
      <c r="I1214" s="18" t="s">
        <v>8408</v>
      </c>
      <c r="J1214" s="18" t="s">
        <v>98</v>
      </c>
      <c r="K1214" s="18" t="s">
        <v>98</v>
      </c>
      <c r="L1214" s="18" t="s">
        <v>98</v>
      </c>
      <c r="M1214" s="18" t="s">
        <v>98</v>
      </c>
      <c r="N1214" s="18" t="s">
        <v>98</v>
      </c>
      <c r="O1214" s="18" t="s">
        <v>98</v>
      </c>
      <c r="P1214" s="15" t="str">
        <f t="shared" si="1"/>
        <v>VERIFY</v>
      </c>
      <c r="Q1214" s="15">
        <f t="shared" si="2"/>
        <v>3</v>
      </c>
      <c r="R1214" s="15">
        <f t="shared" si="3"/>
        <v>7</v>
      </c>
      <c r="S1214" s="15">
        <f t="shared" si="4"/>
        <v>1</v>
      </c>
      <c r="T1214" s="15" t="str">
        <f t="shared" si="5"/>
        <v>C-5</v>
      </c>
      <c r="U1214" s="15" t="str">
        <f t="shared" si="6"/>
        <v>T3-M7-H1-FC-5-VERIFY</v>
      </c>
      <c r="V1214" s="15">
        <f t="shared" si="7"/>
        <v>0</v>
      </c>
      <c r="W1214" s="31"/>
      <c r="X1214" s="15" t="str">
        <f t="shared" si="8"/>
        <v>phillaur</v>
      </c>
      <c r="Y1214" s="32" t="str">
        <f t="shared" si="9"/>
        <v>https://steelmanufacturer.in/market-area/electropolished-pipes-manufacturer-in-phillaur/</v>
      </c>
      <c r="Z1214" s="15" t="str">
        <f t="shared" si="10"/>
        <v>Electropolished Pipes Manufacturer in Phillaur | EP Tube Supplier</v>
      </c>
      <c r="AA1214" s="15" t="str">
        <f t="shared" si="11"/>
        <v>OK (65)</v>
      </c>
      <c r="AB1214" s="15" t="str">
        <f t="shared" si="12"/>
        <v>Electropolished pipes in Phillaur: 304, 304L, 316 and 316L in SF1-SF4. VERIFY. Mill certified.</v>
      </c>
      <c r="AC1214" s="15" t="str">
        <f t="shared" si="13"/>
        <v>PENDING RESEARCH</v>
      </c>
      <c r="AD1214" s="15" t="str">
        <f t="shared" si="14"/>
        <v>Electropolished Pipes Manufacturer in Phillaur</v>
      </c>
      <c r="AE1214" s="15" t="str">
        <f t="shared" si="15"/>
        <v>Electropolished Pipe &amp; Tube Manufacturing for Phillaur - Grades, Finishes &amp; Certification</v>
      </c>
      <c r="AF1214" s="15" t="str">
        <f t="shared" si="16"/>
        <v>Electropolished Pipes Supplier in Phillaur - Stock Sizes, Lead Time &amp; Delivery</v>
      </c>
      <c r="AG1214" s="15" t="str">
        <f t="shared" si="17"/>
        <v>Electropolished Pipes Wholesaler &amp; Stockist in Phillaur - Bulk &amp; Project Pricing</v>
      </c>
      <c r="AH1214" s="15" t="str">
        <f t="shared" si="18"/>
        <v>electropolished pipes manufacturer in Phillaur, electropolished pipes supplier in Phillaur, electropolished pipes wholesaler in Phillaur, electropolished tube manufacturer Phillaur, EP pipe supplier Phillaur, sanitary tube supplier Phillaur, ASME BPE tubing Phillaur, ASTM A270 tube Phillaur, SS 316L electropolished pipe Phillaur</v>
      </c>
      <c r="AI1214" s="15" t="str">
        <f t="shared" si="19"/>
        <v>Electropolished Pipes Manufacturer &amp; Supplier in Phillaur</v>
      </c>
      <c r="AJ1214" s="15" t="str">
        <f t="shared" si="20"/>
        <v>EP-finished SS 304/316L pipes and tubes for VERIFY plants in Phillaur. ASME BPE SF1-SF4, Ra from 0.25 um, EN 10204 3.1 certificate with every lot.</v>
      </c>
      <c r="AK1214" s="15" t="str">
        <f t="shared" si="21"/>
        <v>Electropolished stainless steel pipes supplied by Sakshi Forge to VERIFY plants at PSIEC Industrial Area, Phillaur</v>
      </c>
      <c r="AL1214" s="15" t="str">
        <f t="shared" si="22"/>
        <v>Electropolished SS 316L tube stock for Phillaur - Sakshi Forge</v>
      </c>
      <c r="AM1214" s="15" t="str">
        <f t="shared" si="23"/>
        <v>Home &gt; Market Area &gt; India &gt; Punjab &gt; Phillaur</v>
      </c>
      <c r="AN1214" s="15">
        <f t="shared" si="24"/>
        <v>750</v>
      </c>
      <c r="AO1214" s="15">
        <f t="shared" si="25"/>
        <v>6</v>
      </c>
      <c r="AP1214" s="15">
        <f t="shared" si="26"/>
        <v>6</v>
      </c>
      <c r="AQ1214" s="15">
        <f t="shared" si="27"/>
        <v>21</v>
      </c>
      <c r="AR1214" s="31"/>
      <c r="AS1214" s="31"/>
      <c r="AT1214" s="35" t="s">
        <v>222</v>
      </c>
      <c r="AU1214" s="35"/>
    </row>
    <row r="1215" ht="15.75" customHeight="1">
      <c r="A1215" s="15" t="s">
        <v>6244</v>
      </c>
      <c r="B1215" s="15" t="s">
        <v>60</v>
      </c>
      <c r="C1215" s="15" t="s">
        <v>236</v>
      </c>
      <c r="D1215" s="15" t="s">
        <v>6246</v>
      </c>
      <c r="E1215" s="15" t="s">
        <v>6246</v>
      </c>
      <c r="F1215" s="58" t="s">
        <v>807</v>
      </c>
      <c r="G1215" s="66" t="s">
        <v>98</v>
      </c>
      <c r="H1215" s="18" t="s">
        <v>6250</v>
      </c>
      <c r="I1215" s="18" t="s">
        <v>8391</v>
      </c>
      <c r="J1215" s="18" t="s">
        <v>98</v>
      </c>
      <c r="K1215" s="18" t="s">
        <v>98</v>
      </c>
      <c r="L1215" s="18" t="s">
        <v>98</v>
      </c>
      <c r="M1215" s="18" t="s">
        <v>98</v>
      </c>
      <c r="N1215" s="18" t="s">
        <v>98</v>
      </c>
      <c r="O1215" s="18" t="s">
        <v>98</v>
      </c>
      <c r="P1215" s="15" t="str">
        <f t="shared" si="1"/>
        <v>VERIFY</v>
      </c>
      <c r="Q1215" s="15">
        <f t="shared" si="2"/>
        <v>4</v>
      </c>
      <c r="R1215" s="15">
        <f t="shared" si="3"/>
        <v>1</v>
      </c>
      <c r="S1215" s="15">
        <f t="shared" si="4"/>
        <v>2</v>
      </c>
      <c r="T1215" s="15" t="str">
        <f t="shared" si="5"/>
        <v>C-6</v>
      </c>
      <c r="U1215" s="15" t="str">
        <f t="shared" si="6"/>
        <v>T4-M1-H2-FC-6-VERIFY</v>
      </c>
      <c r="V1215" s="15">
        <f t="shared" si="7"/>
        <v>0</v>
      </c>
      <c r="W1215" s="31"/>
      <c r="X1215" s="15" t="str">
        <f t="shared" si="8"/>
        <v>phulera</v>
      </c>
      <c r="Y1215" s="32" t="str">
        <f t="shared" si="9"/>
        <v>https://steelmanufacturer.in/market-area/electropolished-pipes-manufacturer-in-phulera/</v>
      </c>
      <c r="Z1215" s="15" t="str">
        <f t="shared" si="10"/>
        <v>Electropolished Pipes Manufacturer in Phulera</v>
      </c>
      <c r="AA1215" s="15" t="str">
        <f t="shared" si="11"/>
        <v>OK (45)</v>
      </c>
      <c r="AB1215" s="15" t="str">
        <f t="shared" si="12"/>
        <v>EP-finished SS 304/316L pipes &amp; tubes for VERIFY plants in Phulera. ASTM A270, ASME BPE SF1-SF4, EN 10204 3.1 MTC. PMI tested.</v>
      </c>
      <c r="AC1215" s="15" t="str">
        <f t="shared" si="13"/>
        <v>PENDING RESEARCH</v>
      </c>
      <c r="AD1215" s="15" t="str">
        <f t="shared" si="14"/>
        <v>Electropolished Pipes Manufacturer in Phulera</v>
      </c>
      <c r="AE1215" s="15" t="str">
        <f t="shared" si="15"/>
        <v>How We Manufacture Electropolished Tube for Phulera Plants</v>
      </c>
      <c r="AF1215" s="15" t="str">
        <f t="shared" si="16"/>
        <v>Supplying Electropolished Pipes in Phulera: Availability, Sizes &amp; Dispatch</v>
      </c>
      <c r="AG1215" s="15" t="str">
        <f t="shared" si="17"/>
        <v>Wholesale Electropolished Pipe Supply for Phulera Projects</v>
      </c>
      <c r="AH1215" s="15" t="str">
        <f t="shared" si="18"/>
        <v>electropolished pipes manufacturer in Phulera, electropolished pipes supplier in Phulera, electropolished pipes wholesaler in Phulera, electropolished tube manufacturer Phulera, EP pipe supplier Phulera, sanitary tube supplier Phulera, ASME BPE tubing Phulera, ASTM A270 tube Phulera, SS 316L electropolished pipe Phulera</v>
      </c>
      <c r="AI1215" s="15" t="str">
        <f t="shared" si="19"/>
        <v>Electropolished Pipes Manufacturer &amp; Supplier in Phulera</v>
      </c>
      <c r="AJ1215" s="15" t="str">
        <f t="shared" si="20"/>
        <v>EP-finished SS 304/316L pipes and tubes for VERIFY plants in Phulera. ASME BPE SF1-SF4, Ra from 0.25 um, EN 10204 3.1 certificate with every lot.</v>
      </c>
      <c r="AK1215" s="15" t="str">
        <f t="shared" si="21"/>
        <v>Electropolished stainless steel pipes supplied by Sakshi Forge to VERIFY plants at RIICO Industrial Area, Phulera</v>
      </c>
      <c r="AL1215" s="15" t="str">
        <f t="shared" si="22"/>
        <v>Electropolished SS 316L tube stock for Phulera - Sakshi Forge</v>
      </c>
      <c r="AM1215" s="15" t="str">
        <f t="shared" si="23"/>
        <v>Home &gt; Market Area &gt; India &gt; Rajasthan &gt; Phulera</v>
      </c>
      <c r="AN1215" s="15">
        <f t="shared" si="24"/>
        <v>750</v>
      </c>
      <c r="AO1215" s="15">
        <f t="shared" si="25"/>
        <v>6</v>
      </c>
      <c r="AP1215" s="15">
        <f t="shared" si="26"/>
        <v>6</v>
      </c>
      <c r="AQ1215" s="15">
        <f t="shared" si="27"/>
        <v>21</v>
      </c>
      <c r="AR1215" s="31"/>
      <c r="AS1215" s="31"/>
      <c r="AT1215" s="35" t="s">
        <v>222</v>
      </c>
      <c r="AU1215" s="35"/>
    </row>
    <row r="1216" ht="15.75" customHeight="1">
      <c r="A1216" s="15" t="s">
        <v>6254</v>
      </c>
      <c r="B1216" s="15" t="s">
        <v>60</v>
      </c>
      <c r="C1216" s="15" t="s">
        <v>236</v>
      </c>
      <c r="D1216" s="15" t="s">
        <v>6255</v>
      </c>
      <c r="E1216" s="15" t="s">
        <v>6255</v>
      </c>
      <c r="F1216" s="58" t="s">
        <v>807</v>
      </c>
      <c r="G1216" s="66" t="s">
        <v>98</v>
      </c>
      <c r="H1216" s="18" t="s">
        <v>6257</v>
      </c>
      <c r="I1216" s="18" t="s">
        <v>8391</v>
      </c>
      <c r="J1216" s="18" t="s">
        <v>98</v>
      </c>
      <c r="K1216" s="18" t="s">
        <v>98</v>
      </c>
      <c r="L1216" s="18" t="s">
        <v>98</v>
      </c>
      <c r="M1216" s="18" t="s">
        <v>98</v>
      </c>
      <c r="N1216" s="18" t="s">
        <v>98</v>
      </c>
      <c r="O1216" s="18" t="s">
        <v>98</v>
      </c>
      <c r="P1216" s="15" t="str">
        <f t="shared" si="1"/>
        <v>VERIFY</v>
      </c>
      <c r="Q1216" s="15">
        <f t="shared" si="2"/>
        <v>5</v>
      </c>
      <c r="R1216" s="15">
        <f t="shared" si="3"/>
        <v>2</v>
      </c>
      <c r="S1216" s="15">
        <f t="shared" si="4"/>
        <v>3</v>
      </c>
      <c r="T1216" s="15" t="str">
        <f t="shared" si="5"/>
        <v>C-1</v>
      </c>
      <c r="U1216" s="15" t="str">
        <f t="shared" si="6"/>
        <v>T5-M2-H3-FC-1-VERIFY</v>
      </c>
      <c r="V1216" s="15">
        <f t="shared" si="7"/>
        <v>0</v>
      </c>
      <c r="W1216" s="31"/>
      <c r="X1216" s="15" t="str">
        <f t="shared" si="8"/>
        <v>pilibanga</v>
      </c>
      <c r="Y1216" s="32" t="str">
        <f t="shared" si="9"/>
        <v>https://steelmanufacturer.in/market-area/electropolished-pipes-manufacturer-in-pilibanga/</v>
      </c>
      <c r="Z1216" s="15" t="str">
        <f t="shared" si="10"/>
        <v>Electropolished Pipes Manufacturer in Pilibanga</v>
      </c>
      <c r="AA1216" s="15" t="str">
        <f t="shared" si="11"/>
        <v>OK (47)</v>
      </c>
      <c r="AB1216" s="15" t="str">
        <f t="shared" si="12"/>
        <v>Electropolished tube supply to RIICO Industrial Area, Pilibanga. Ra from 0.25 um, SF4 finish, mill test certificate with every lot.</v>
      </c>
      <c r="AC1216" s="15" t="str">
        <f t="shared" si="13"/>
        <v>PENDING RESEARCH</v>
      </c>
      <c r="AD1216" s="15" t="str">
        <f t="shared" si="14"/>
        <v>Electropolished Pipes Manufacturer in Pilibanga</v>
      </c>
      <c r="AE1216" s="15" t="str">
        <f t="shared" si="15"/>
        <v>Electropolished Pipes Manufacturer in Pilibanga - Our Process &amp; Capability</v>
      </c>
      <c r="AF1216" s="15" t="str">
        <f t="shared" si="16"/>
        <v>Electropolished Pipes Supplier in Pilibanga - What We Hold in Stock</v>
      </c>
      <c r="AG1216" s="15" t="str">
        <f t="shared" si="17"/>
        <v>Bulk &amp; Wholesale Electropolished Pipe Rates for Pilibanga Buyers</v>
      </c>
      <c r="AH1216" s="15" t="str">
        <f t="shared" si="18"/>
        <v>electropolished pipes manufacturer in Pilibanga, electropolished pipes supplier in Pilibanga, electropolished pipes wholesaler in Pilibanga, electropolished tube manufacturer Pilibanga, EP pipe supplier Pilibanga, sanitary tube supplier Pilibanga, ASME BPE tubing Pilibanga, ASTM A270 tube Pilibanga, SS 316L electropolished pipe Pilibanga</v>
      </c>
      <c r="AI1216" s="15" t="str">
        <f t="shared" si="19"/>
        <v>Electropolished Pipes Manufacturer &amp; Supplier in Pilibanga</v>
      </c>
      <c r="AJ1216" s="15" t="str">
        <f t="shared" si="20"/>
        <v>EP-finished SS 304/316L pipes and tubes for VERIFY plants in Pilibanga. ASME BPE SF1-SF4, Ra from 0.25 um, EN 10204 3.1 certificate with every lot.</v>
      </c>
      <c r="AK1216" s="15" t="str">
        <f t="shared" si="21"/>
        <v>Electropolished stainless steel pipes supplied by Sakshi Forge to VERIFY plants at RIICO Industrial Area, Pilibanga</v>
      </c>
      <c r="AL1216" s="15" t="str">
        <f t="shared" si="22"/>
        <v>Electropolished SS 316L tube stock for Pilibanga - Sakshi Forge</v>
      </c>
      <c r="AM1216" s="15" t="str">
        <f t="shared" si="23"/>
        <v>Home &gt; Market Area &gt; India &gt; Rajasthan &gt; Pilibanga</v>
      </c>
      <c r="AN1216" s="15">
        <f t="shared" si="24"/>
        <v>750</v>
      </c>
      <c r="AO1216" s="15">
        <f t="shared" si="25"/>
        <v>6</v>
      </c>
      <c r="AP1216" s="15">
        <f t="shared" si="26"/>
        <v>6</v>
      </c>
      <c r="AQ1216" s="15">
        <f t="shared" si="27"/>
        <v>21</v>
      </c>
      <c r="AR1216" s="31"/>
      <c r="AS1216" s="31"/>
      <c r="AT1216" s="35" t="s">
        <v>222</v>
      </c>
      <c r="AU1216" s="35"/>
    </row>
    <row r="1217" ht="15.75" customHeight="1">
      <c r="A1217" s="15" t="s">
        <v>6258</v>
      </c>
      <c r="B1217" s="15" t="s">
        <v>60</v>
      </c>
      <c r="C1217" s="15" t="s">
        <v>424</v>
      </c>
      <c r="D1217" s="15" t="s">
        <v>6259</v>
      </c>
      <c r="E1217" s="15" t="s">
        <v>6259</v>
      </c>
      <c r="F1217" s="58" t="s">
        <v>807</v>
      </c>
      <c r="G1217" s="66" t="s">
        <v>98</v>
      </c>
      <c r="H1217" s="18" t="s">
        <v>6261</v>
      </c>
      <c r="I1217" s="18" t="s">
        <v>8406</v>
      </c>
      <c r="J1217" s="18" t="s">
        <v>98</v>
      </c>
      <c r="K1217" s="18" t="s">
        <v>98</v>
      </c>
      <c r="L1217" s="18" t="s">
        <v>98</v>
      </c>
      <c r="M1217" s="18" t="s">
        <v>98</v>
      </c>
      <c r="N1217" s="18" t="s">
        <v>98</v>
      </c>
      <c r="O1217" s="18" t="s">
        <v>98</v>
      </c>
      <c r="P1217" s="15" t="str">
        <f t="shared" si="1"/>
        <v>VERIFY</v>
      </c>
      <c r="Q1217" s="15">
        <f t="shared" si="2"/>
        <v>6</v>
      </c>
      <c r="R1217" s="15">
        <f t="shared" si="3"/>
        <v>3</v>
      </c>
      <c r="S1217" s="15">
        <f t="shared" si="4"/>
        <v>4</v>
      </c>
      <c r="T1217" s="15" t="str">
        <f t="shared" si="5"/>
        <v>C-2</v>
      </c>
      <c r="U1217" s="15" t="str">
        <f t="shared" si="6"/>
        <v>T6-M3-H4-FC-2-VERIFY</v>
      </c>
      <c r="V1217" s="15">
        <f t="shared" si="7"/>
        <v>0</v>
      </c>
      <c r="W1217" s="31"/>
      <c r="X1217" s="15" t="str">
        <f t="shared" si="8"/>
        <v>pipili</v>
      </c>
      <c r="Y1217" s="32" t="str">
        <f t="shared" si="9"/>
        <v>https://steelmanufacturer.in/market-area/electropolished-pipes-manufacturer-in-pipili/</v>
      </c>
      <c r="Z1217" s="15" t="str">
        <f t="shared" si="10"/>
        <v>Electropolished Pipes Manufacturer in Pipili</v>
      </c>
      <c r="AA1217" s="15" t="str">
        <f t="shared" si="11"/>
        <v>OK (44)</v>
      </c>
      <c r="AB1217" s="15" t="str">
        <f t="shared" si="12"/>
        <v>EP stainless tube for VERIFY lines in Pipili. VERIFY. ASTM A270 S2, PMI tested, EN 10204 3.1.</v>
      </c>
      <c r="AC1217" s="15" t="str">
        <f t="shared" si="13"/>
        <v>PENDING RESEARCH</v>
      </c>
      <c r="AD1217" s="15" t="str">
        <f t="shared" si="14"/>
        <v>Electropolished Pipes Manufacturer in Pipili</v>
      </c>
      <c r="AE1217" s="15" t="str">
        <f t="shared" si="15"/>
        <v>Manufacturing Electropolished SS Tube for Pipili: The Standards We Build To</v>
      </c>
      <c r="AF1217" s="15" t="str">
        <f t="shared" si="16"/>
        <v>Electropolished Pipe Supply Into Pipili - Certification &amp; Transit</v>
      </c>
      <c r="AG1217" s="15" t="str">
        <f t="shared" si="17"/>
        <v>Electropolished Pipes Wholesaler in Pipili - Project Quantities &amp; Terms</v>
      </c>
      <c r="AH1217" s="15" t="str">
        <f t="shared" si="18"/>
        <v>electropolished pipes manufacturer in Pipili, electropolished pipes supplier in Pipili, electropolished pipes wholesaler in Pipili, electropolished tube manufacturer Pipili, EP pipe supplier Pipili, sanitary tube supplier Pipili, ASME BPE tubing Pipili, ASTM A270 tube Pipili, SS 316L electropolished pipe Pipili</v>
      </c>
      <c r="AI1217" s="15" t="str">
        <f t="shared" si="19"/>
        <v>Electropolished Pipes Manufacturer &amp; Supplier in Pipili</v>
      </c>
      <c r="AJ1217" s="15" t="str">
        <f t="shared" si="20"/>
        <v>EP-finished SS 304/316L pipes and tubes for VERIFY plants in Pipili. ASME BPE SF1-SF4, Ra from 0.25 um, EN 10204 3.1 certificate with every lot.</v>
      </c>
      <c r="AK1217" s="15" t="str">
        <f t="shared" si="21"/>
        <v>Electropolished stainless steel pipes supplied by Sakshi Forge to VERIFY plants at IDCO Industrial Area, Pipili</v>
      </c>
      <c r="AL1217" s="15" t="str">
        <f t="shared" si="22"/>
        <v>Electropolished SS 316L tube stock for Pipili - Sakshi Forge</v>
      </c>
      <c r="AM1217" s="15" t="str">
        <f t="shared" si="23"/>
        <v>Home &gt; Market Area &gt; India &gt; Odisha &gt; Pipili</v>
      </c>
      <c r="AN1217" s="15">
        <f t="shared" si="24"/>
        <v>750</v>
      </c>
      <c r="AO1217" s="15">
        <f t="shared" si="25"/>
        <v>6</v>
      </c>
      <c r="AP1217" s="15">
        <f t="shared" si="26"/>
        <v>6</v>
      </c>
      <c r="AQ1217" s="15">
        <f t="shared" si="27"/>
        <v>21</v>
      </c>
      <c r="AR1217" s="31"/>
      <c r="AS1217" s="31"/>
      <c r="AT1217" s="35" t="s">
        <v>222</v>
      </c>
      <c r="AU1217" s="35"/>
    </row>
    <row r="1218" ht="15.75" customHeight="1">
      <c r="A1218" s="15" t="s">
        <v>6262</v>
      </c>
      <c r="B1218" s="15" t="s">
        <v>60</v>
      </c>
      <c r="C1218" s="15" t="s">
        <v>236</v>
      </c>
      <c r="D1218" s="15" t="s">
        <v>6263</v>
      </c>
      <c r="E1218" s="15" t="s">
        <v>6263</v>
      </c>
      <c r="F1218" s="58" t="s">
        <v>807</v>
      </c>
      <c r="G1218" s="66" t="s">
        <v>98</v>
      </c>
      <c r="H1218" s="18" t="s">
        <v>6265</v>
      </c>
      <c r="I1218" s="18" t="s">
        <v>8391</v>
      </c>
      <c r="J1218" s="18" t="s">
        <v>98</v>
      </c>
      <c r="K1218" s="18" t="s">
        <v>98</v>
      </c>
      <c r="L1218" s="18" t="s">
        <v>98</v>
      </c>
      <c r="M1218" s="18" t="s">
        <v>98</v>
      </c>
      <c r="N1218" s="18" t="s">
        <v>98</v>
      </c>
      <c r="O1218" s="18" t="s">
        <v>98</v>
      </c>
      <c r="P1218" s="15" t="str">
        <f t="shared" si="1"/>
        <v>VERIFY</v>
      </c>
      <c r="Q1218" s="15">
        <f t="shared" si="2"/>
        <v>7</v>
      </c>
      <c r="R1218" s="15">
        <f t="shared" si="3"/>
        <v>4</v>
      </c>
      <c r="S1218" s="15">
        <f t="shared" si="4"/>
        <v>5</v>
      </c>
      <c r="T1218" s="15" t="str">
        <f t="shared" si="5"/>
        <v>C-3</v>
      </c>
      <c r="U1218" s="15" t="str">
        <f t="shared" si="6"/>
        <v>T7-M4-H5-FC-3-VERIFY</v>
      </c>
      <c r="V1218" s="15">
        <f t="shared" si="7"/>
        <v>0</v>
      </c>
      <c r="W1218" s="31"/>
      <c r="X1218" s="15" t="str">
        <f t="shared" si="8"/>
        <v>pisangan</v>
      </c>
      <c r="Y1218" s="32" t="str">
        <f t="shared" si="9"/>
        <v>https://steelmanufacturer.in/market-area/electropolished-pipes-manufacturer-in-pisangan/</v>
      </c>
      <c r="Z1218" s="15" t="str">
        <f t="shared" si="10"/>
        <v>Electropolished Pipes Manufacturer in Pisangan | ASME BPE SF1-SF4</v>
      </c>
      <c r="AA1218" s="15" t="str">
        <f t="shared" si="11"/>
        <v>OK (65)</v>
      </c>
      <c r="AB1218" s="15" t="str">
        <f t="shared" si="12"/>
        <v>Sanitary electropolished pipes in Pisangan for VERIFY plants. ASME BPE SF1-SF4, orbital-weld ready, 3.1 MTC. Mumbai-made.</v>
      </c>
      <c r="AC1218" s="15" t="str">
        <f t="shared" si="13"/>
        <v>PENDING RESEARCH</v>
      </c>
      <c r="AD1218" s="15" t="str">
        <f t="shared" si="14"/>
        <v>Electropolished Pipes Manufacturer in Pisangan</v>
      </c>
      <c r="AE1218" s="15" t="str">
        <f t="shared" si="15"/>
        <v>Electropolished Tube Manufacturing Capability Serving Pisangan</v>
      </c>
      <c r="AF1218" s="15" t="str">
        <f t="shared" si="16"/>
        <v>Electropolished Pipes Supplier in Pisangan - From Order to Delivery</v>
      </c>
      <c r="AG1218" s="15" t="str">
        <f t="shared" si="17"/>
        <v>Stockist &amp; Wholesale Supply of Electropolished Pipes in Pisangan</v>
      </c>
      <c r="AH1218" s="15" t="str">
        <f t="shared" si="18"/>
        <v>electropolished pipes manufacturer in Pisangan, electropolished pipes supplier in Pisangan, electropolished pipes wholesaler in Pisangan, electropolished tube manufacturer Pisangan, EP pipe supplier Pisangan, sanitary tube supplier Pisangan, ASME BPE tubing Pisangan, ASTM A270 tube Pisangan, SS 316L electropolished pipe Pisangan</v>
      </c>
      <c r="AI1218" s="15" t="str">
        <f t="shared" si="19"/>
        <v>Electropolished Pipes Manufacturer &amp; Supplier in Pisangan</v>
      </c>
      <c r="AJ1218" s="15" t="str">
        <f t="shared" si="20"/>
        <v>EP-finished SS 304/316L pipes and tubes for VERIFY plants in Pisangan. ASME BPE SF1-SF4, Ra from 0.25 um, EN 10204 3.1 certificate with every lot.</v>
      </c>
      <c r="AK1218" s="15" t="str">
        <f t="shared" si="21"/>
        <v>Electropolished stainless steel pipes supplied by Sakshi Forge to VERIFY plants at RIICO Industrial Area, Pisangan</v>
      </c>
      <c r="AL1218" s="15" t="str">
        <f t="shared" si="22"/>
        <v>Electropolished SS 316L tube stock for Pisangan - Sakshi Forge</v>
      </c>
      <c r="AM1218" s="15" t="str">
        <f t="shared" si="23"/>
        <v>Home &gt; Market Area &gt; India &gt; Rajasthan &gt; Pisangan</v>
      </c>
      <c r="AN1218" s="15">
        <f t="shared" si="24"/>
        <v>750</v>
      </c>
      <c r="AO1218" s="15">
        <f t="shared" si="25"/>
        <v>6</v>
      </c>
      <c r="AP1218" s="15">
        <f t="shared" si="26"/>
        <v>6</v>
      </c>
      <c r="AQ1218" s="15">
        <f t="shared" si="27"/>
        <v>21</v>
      </c>
      <c r="AR1218" s="31"/>
      <c r="AS1218" s="31"/>
      <c r="AT1218" s="35" t="s">
        <v>222</v>
      </c>
      <c r="AU1218" s="35"/>
    </row>
    <row r="1219" ht="15.75" customHeight="1">
      <c r="A1219" s="15" t="s">
        <v>6266</v>
      </c>
      <c r="B1219" s="15" t="s">
        <v>60</v>
      </c>
      <c r="C1219" s="15" t="s">
        <v>413</v>
      </c>
      <c r="D1219" s="15" t="s">
        <v>6267</v>
      </c>
      <c r="E1219" s="15" t="s">
        <v>6267</v>
      </c>
      <c r="F1219" s="58" t="s">
        <v>807</v>
      </c>
      <c r="G1219" s="66" t="s">
        <v>98</v>
      </c>
      <c r="H1219" s="18" t="s">
        <v>6269</v>
      </c>
      <c r="I1219" s="18" t="s">
        <v>8393</v>
      </c>
      <c r="J1219" s="18" t="s">
        <v>98</v>
      </c>
      <c r="K1219" s="18" t="s">
        <v>98</v>
      </c>
      <c r="L1219" s="18" t="s">
        <v>98</v>
      </c>
      <c r="M1219" s="18" t="s">
        <v>98</v>
      </c>
      <c r="N1219" s="18" t="s">
        <v>98</v>
      </c>
      <c r="O1219" s="18" t="s">
        <v>98</v>
      </c>
      <c r="P1219" s="15" t="str">
        <f t="shared" si="1"/>
        <v>VERIFY</v>
      </c>
      <c r="Q1219" s="15">
        <f t="shared" si="2"/>
        <v>8</v>
      </c>
      <c r="R1219" s="15">
        <f t="shared" si="3"/>
        <v>5</v>
      </c>
      <c r="S1219" s="15">
        <f t="shared" si="4"/>
        <v>1</v>
      </c>
      <c r="T1219" s="15" t="str">
        <f t="shared" si="5"/>
        <v>C-4</v>
      </c>
      <c r="U1219" s="15" t="str">
        <f t="shared" si="6"/>
        <v>T8-M5-H1-FC-4-VERIFY</v>
      </c>
      <c r="V1219" s="15">
        <f t="shared" si="7"/>
        <v>0</v>
      </c>
      <c r="W1219" s="31"/>
      <c r="X1219" s="15" t="str">
        <f t="shared" si="8"/>
        <v>pithapuram</v>
      </c>
      <c r="Y1219" s="32" t="str">
        <f t="shared" si="9"/>
        <v>https://steelmanufacturer.in/market-area/electropolished-pipes-manufacturer-in-pithapuram/</v>
      </c>
      <c r="Z1219" s="15" t="str">
        <f t="shared" si="10"/>
        <v>Electropolished Pipes Manufacturer in Pithapuram</v>
      </c>
      <c r="AA1219" s="15" t="str">
        <f t="shared" si="11"/>
        <v>OK (48)</v>
      </c>
      <c r="AB1219" s="15" t="str">
        <f t="shared" si="12"/>
        <v>Manufacturer of electropolished SS 316L tube serving Pithapuram. VERIFY. Ra 0.25-0.5 um, EN 10204 3.1 MTC.</v>
      </c>
      <c r="AC1219" s="15" t="str">
        <f t="shared" si="13"/>
        <v>PENDING RESEARCH</v>
      </c>
      <c r="AD1219" s="15" t="str">
        <f t="shared" si="14"/>
        <v>Electropolished Pipes Manufacturer in Pithapuram</v>
      </c>
      <c r="AE1219" s="15" t="str">
        <f t="shared" si="15"/>
        <v>Electropolished Pipe &amp; Tube Manufacturing for Pithapuram - Grades, Finishes &amp; Certification</v>
      </c>
      <c r="AF1219" s="15" t="str">
        <f t="shared" si="16"/>
        <v>Electropolished Pipes Supplier in Pithapuram - Stock Sizes, Lead Time &amp; Delivery</v>
      </c>
      <c r="AG1219" s="15" t="str">
        <f t="shared" si="17"/>
        <v>Electropolished Pipes Wholesaler &amp; Stockist in Pithapuram - Bulk &amp; Project Pricing</v>
      </c>
      <c r="AH1219" s="15" t="str">
        <f t="shared" si="18"/>
        <v>electropolished pipes manufacturer in Pithapuram, electropolished pipes supplier in Pithapuram, electropolished pipes wholesaler in Pithapuram, electropolished tube manufacturer Pithapuram, EP pipe supplier Pithapuram, sanitary tube supplier Pithapuram, ASME BPE tubing Pithapuram, ASTM A270 tube Pithapuram, SS 316L electropolished pipe Pithapuram</v>
      </c>
      <c r="AI1219" s="15" t="str">
        <f t="shared" si="19"/>
        <v>Electropolished Pipes Manufacturer &amp; Supplier in Pithapuram</v>
      </c>
      <c r="AJ1219" s="15" t="str">
        <f t="shared" si="20"/>
        <v>EP-finished SS 304/316L pipes and tubes for VERIFY plants in Pithapuram. ASME BPE SF1-SF4, Ra from 0.25 um, EN 10204 3.1 certificate with every lot.</v>
      </c>
      <c r="AK1219" s="15" t="str">
        <f t="shared" si="21"/>
        <v>Electropolished stainless steel pipes supplied by Sakshi Forge to VERIFY plants at APIIC Industrial Area, Pithapuram</v>
      </c>
      <c r="AL1219" s="15" t="str">
        <f t="shared" si="22"/>
        <v>Electropolished SS 316L tube stock for Pithapuram - Sakshi Forge</v>
      </c>
      <c r="AM1219" s="15" t="str">
        <f t="shared" si="23"/>
        <v>Home &gt; Market Area &gt; India &gt; Andhra Pradesh &gt; Pithapuram</v>
      </c>
      <c r="AN1219" s="15">
        <f t="shared" si="24"/>
        <v>750</v>
      </c>
      <c r="AO1219" s="15">
        <f t="shared" si="25"/>
        <v>6</v>
      </c>
      <c r="AP1219" s="15">
        <f t="shared" si="26"/>
        <v>6</v>
      </c>
      <c r="AQ1219" s="15">
        <f t="shared" si="27"/>
        <v>21</v>
      </c>
      <c r="AR1219" s="31"/>
      <c r="AS1219" s="31"/>
      <c r="AT1219" s="35" t="s">
        <v>222</v>
      </c>
      <c r="AU1219" s="35"/>
    </row>
    <row r="1220" ht="15.75" customHeight="1">
      <c r="A1220" s="15" t="s">
        <v>6270</v>
      </c>
      <c r="B1220" s="15" t="s">
        <v>60</v>
      </c>
      <c r="C1220" s="15" t="s">
        <v>1139</v>
      </c>
      <c r="D1220" s="15" t="s">
        <v>6271</v>
      </c>
      <c r="E1220" s="15" t="s">
        <v>6271</v>
      </c>
      <c r="F1220" s="58" t="s">
        <v>807</v>
      </c>
      <c r="G1220" s="66" t="s">
        <v>98</v>
      </c>
      <c r="H1220" s="18" t="s">
        <v>6273</v>
      </c>
      <c r="I1220" s="18" t="s">
        <v>8410</v>
      </c>
      <c r="J1220" s="18" t="s">
        <v>98</v>
      </c>
      <c r="K1220" s="18" t="s">
        <v>98</v>
      </c>
      <c r="L1220" s="18" t="s">
        <v>98</v>
      </c>
      <c r="M1220" s="18" t="s">
        <v>98</v>
      </c>
      <c r="N1220" s="18" t="s">
        <v>98</v>
      </c>
      <c r="O1220" s="18" t="s">
        <v>98</v>
      </c>
      <c r="P1220" s="15" t="str">
        <f t="shared" si="1"/>
        <v>VERIFY</v>
      </c>
      <c r="Q1220" s="15">
        <f t="shared" si="2"/>
        <v>1</v>
      </c>
      <c r="R1220" s="15">
        <f t="shared" si="3"/>
        <v>6</v>
      </c>
      <c r="S1220" s="15">
        <f t="shared" si="4"/>
        <v>2</v>
      </c>
      <c r="T1220" s="15" t="str">
        <f t="shared" si="5"/>
        <v>C-5</v>
      </c>
      <c r="U1220" s="15" t="str">
        <f t="shared" si="6"/>
        <v>T1-M6-H2-FC-5-VERIFY</v>
      </c>
      <c r="V1220" s="15">
        <f t="shared" si="7"/>
        <v>0</v>
      </c>
      <c r="W1220" s="31"/>
      <c r="X1220" s="15" t="str">
        <f t="shared" si="8"/>
        <v>pithoragarh</v>
      </c>
      <c r="Y1220" s="32" t="str">
        <f t="shared" si="9"/>
        <v>https://steelmanufacturer.in/market-area/electropolished-pipes-manufacturer-in-pithoragarh/</v>
      </c>
      <c r="Z1220" s="15" t="str">
        <f t="shared" si="10"/>
        <v>Electropolished Pipes Manufacturer in Pithoragarh | Sakshi Forge</v>
      </c>
      <c r="AA1220" s="15" t="str">
        <f t="shared" si="11"/>
        <v>OK (64)</v>
      </c>
      <c r="AB1220" s="15" t="str">
        <f t="shared" si="12"/>
        <v>EP tube and pipe for VERIFY plants around SIIDCUL Industrial Area, Pithoragarh. Made at our Mumbai works to ASTM A270 and ASME BPE SF1-SF4, with 3.1 MTC.</v>
      </c>
      <c r="AC1220" s="15" t="str">
        <f t="shared" si="13"/>
        <v>PENDING RESEARCH</v>
      </c>
      <c r="AD1220" s="15" t="str">
        <f t="shared" si="14"/>
        <v>Electropolished Pipes Manufacturer in Pithoragarh</v>
      </c>
      <c r="AE1220" s="15" t="str">
        <f t="shared" si="15"/>
        <v>How We Manufacture Electropolished Tube for Pithoragarh Plants</v>
      </c>
      <c r="AF1220" s="15" t="str">
        <f t="shared" si="16"/>
        <v>Supplying Electropolished Pipes in Pithoragarh: Availability, Sizes &amp; Dispatch</v>
      </c>
      <c r="AG1220" s="15" t="str">
        <f t="shared" si="17"/>
        <v>Wholesale Electropolished Pipe Supply for Pithoragarh Projects</v>
      </c>
      <c r="AH1220" s="15" t="str">
        <f t="shared" si="18"/>
        <v>electropolished pipes manufacturer in Pithoragarh, electropolished pipes supplier in Pithoragarh, electropolished pipes wholesaler in Pithoragarh, electropolished tube manufacturer Pithoragarh, EP pipe supplier Pithoragarh, sanitary tube supplier Pithoragarh, ASME BPE tubing Pithoragarh, ASTM A270 tube Pithoragarh, SS 316L electropolished pipe Pithoragarh</v>
      </c>
      <c r="AI1220" s="15" t="str">
        <f t="shared" si="19"/>
        <v>Electropolished Pipes Manufacturer &amp; Supplier in Pithoragarh</v>
      </c>
      <c r="AJ1220" s="15" t="str">
        <f t="shared" si="20"/>
        <v>EP-finished SS 304/316L pipes and tubes for VERIFY plants in Pithoragarh. ASME BPE SF1-SF4, Ra from 0.25 um, EN 10204 3.1 certificate with every lot.</v>
      </c>
      <c r="AK1220" s="15" t="str">
        <f t="shared" si="21"/>
        <v>Electropolished stainless steel pipes supplied by Sakshi Forge to VERIFY plants at SIIDCUL Industrial Area, Pithoragarh</v>
      </c>
      <c r="AL1220" s="15" t="str">
        <f t="shared" si="22"/>
        <v>Electropolished SS 316L tube stock for Pithoragarh - Sakshi Forge</v>
      </c>
      <c r="AM1220" s="15" t="str">
        <f t="shared" si="23"/>
        <v>Home &gt; Market Area &gt; India &gt; Uttarakhand &gt; Pithoragarh</v>
      </c>
      <c r="AN1220" s="15">
        <f t="shared" si="24"/>
        <v>750</v>
      </c>
      <c r="AO1220" s="15">
        <f t="shared" si="25"/>
        <v>6</v>
      </c>
      <c r="AP1220" s="15">
        <f t="shared" si="26"/>
        <v>6</v>
      </c>
      <c r="AQ1220" s="15">
        <f t="shared" si="27"/>
        <v>21</v>
      </c>
      <c r="AR1220" s="31"/>
      <c r="AS1220" s="31"/>
      <c r="AT1220" s="35" t="s">
        <v>222</v>
      </c>
      <c r="AU1220" s="35"/>
    </row>
    <row r="1221" ht="15.75" customHeight="1">
      <c r="A1221" s="15" t="s">
        <v>6274</v>
      </c>
      <c r="B1221" s="15" t="s">
        <v>60</v>
      </c>
      <c r="C1221" s="15" t="s">
        <v>958</v>
      </c>
      <c r="D1221" s="15" t="s">
        <v>6275</v>
      </c>
      <c r="E1221" s="15" t="s">
        <v>6275</v>
      </c>
      <c r="F1221" s="58" t="s">
        <v>807</v>
      </c>
      <c r="G1221" s="66" t="s">
        <v>98</v>
      </c>
      <c r="H1221" s="18" t="s">
        <v>6277</v>
      </c>
      <c r="I1221" s="18" t="s">
        <v>8403</v>
      </c>
      <c r="J1221" s="18" t="s">
        <v>98</v>
      </c>
      <c r="K1221" s="18" t="s">
        <v>98</v>
      </c>
      <c r="L1221" s="18" t="s">
        <v>98</v>
      </c>
      <c r="M1221" s="18" t="s">
        <v>98</v>
      </c>
      <c r="N1221" s="18" t="s">
        <v>98</v>
      </c>
      <c r="O1221" s="18" t="s">
        <v>98</v>
      </c>
      <c r="P1221" s="15" t="str">
        <f t="shared" si="1"/>
        <v>VERIFY</v>
      </c>
      <c r="Q1221" s="15">
        <f t="shared" si="2"/>
        <v>2</v>
      </c>
      <c r="R1221" s="15">
        <f t="shared" si="3"/>
        <v>7</v>
      </c>
      <c r="S1221" s="15">
        <f t="shared" si="4"/>
        <v>3</v>
      </c>
      <c r="T1221" s="15" t="str">
        <f t="shared" si="5"/>
        <v>C-6</v>
      </c>
      <c r="U1221" s="15" t="str">
        <f t="shared" si="6"/>
        <v>T2-M7-H3-FC-6-VERIFY</v>
      </c>
      <c r="V1221" s="15">
        <f t="shared" si="7"/>
        <v>0</v>
      </c>
      <c r="W1221" s="31"/>
      <c r="X1221" s="15" t="str">
        <f t="shared" si="8"/>
        <v>polur</v>
      </c>
      <c r="Y1221" s="32" t="str">
        <f t="shared" si="9"/>
        <v>https://steelmanufacturer.in/market-area/electropolished-pipes-manufacturer-in-polur/</v>
      </c>
      <c r="Z1221" s="15" t="str">
        <f t="shared" si="10"/>
        <v>Electropolished Pipes Manufacturer in Polur</v>
      </c>
      <c r="AA1221" s="15" t="str">
        <f t="shared" si="11"/>
        <v>OK (43)</v>
      </c>
      <c r="AB1221" s="15" t="str">
        <f t="shared" si="12"/>
        <v>Electropolished pipes in Polur: 304, 304L, 316 and 316L in SF1-SF4. VERIFY. Mill certified.</v>
      </c>
      <c r="AC1221" s="15" t="str">
        <f t="shared" si="13"/>
        <v>PENDING RESEARCH</v>
      </c>
      <c r="AD1221" s="15" t="str">
        <f t="shared" si="14"/>
        <v>Electropolished Pipes Manufacturer in Polur</v>
      </c>
      <c r="AE1221" s="15" t="str">
        <f t="shared" si="15"/>
        <v>Electropolished Pipes Manufacturer in Polur - Our Process &amp; Capability</v>
      </c>
      <c r="AF1221" s="15" t="str">
        <f t="shared" si="16"/>
        <v>Electropolished Pipes Supplier in Polur - What We Hold in Stock</v>
      </c>
      <c r="AG1221" s="15" t="str">
        <f t="shared" si="17"/>
        <v>Bulk &amp; Wholesale Electropolished Pipe Rates for Polur Buyers</v>
      </c>
      <c r="AH1221" s="15" t="str">
        <f t="shared" si="18"/>
        <v>electropolished pipes manufacturer in Polur, electropolished pipes supplier in Polur, electropolished pipes wholesaler in Polur, electropolished tube manufacturer Polur, EP pipe supplier Polur, sanitary tube supplier Polur, ASME BPE tubing Polur, ASTM A270 tube Polur, SS 316L electropolished pipe Polur</v>
      </c>
      <c r="AI1221" s="15" t="str">
        <f t="shared" si="19"/>
        <v>Electropolished Pipes Manufacturer &amp; Supplier in Polur</v>
      </c>
      <c r="AJ1221" s="15" t="str">
        <f t="shared" si="20"/>
        <v>EP-finished SS 304/316L pipes and tubes for VERIFY plants in Polur. ASME BPE SF1-SF4, Ra from 0.25 um, EN 10204 3.1 certificate with every lot.</v>
      </c>
      <c r="AK1221" s="15" t="str">
        <f t="shared" si="21"/>
        <v>Electropolished stainless steel pipes supplied by Sakshi Forge to VERIFY plants at SIPCOT Industrial Area, Polur</v>
      </c>
      <c r="AL1221" s="15" t="str">
        <f t="shared" si="22"/>
        <v>Electropolished SS 316L tube stock for Polur - Sakshi Forge</v>
      </c>
      <c r="AM1221" s="15" t="str">
        <f t="shared" si="23"/>
        <v>Home &gt; Market Area &gt; India &gt; Tamil Nadu &gt; Polur</v>
      </c>
      <c r="AN1221" s="15">
        <f t="shared" si="24"/>
        <v>750</v>
      </c>
      <c r="AO1221" s="15">
        <f t="shared" si="25"/>
        <v>6</v>
      </c>
      <c r="AP1221" s="15">
        <f t="shared" si="26"/>
        <v>6</v>
      </c>
      <c r="AQ1221" s="15">
        <f t="shared" si="27"/>
        <v>21</v>
      </c>
      <c r="AR1221" s="31"/>
      <c r="AS1221" s="31"/>
      <c r="AT1221" s="35" t="s">
        <v>222</v>
      </c>
      <c r="AU1221" s="35"/>
    </row>
    <row r="1222" ht="15.75" customHeight="1">
      <c r="A1222" s="15" t="s">
        <v>6278</v>
      </c>
      <c r="B1222" s="15" t="s">
        <v>60</v>
      </c>
      <c r="C1222" s="15" t="s">
        <v>85</v>
      </c>
      <c r="D1222" s="15" t="s">
        <v>6279</v>
      </c>
      <c r="E1222" s="15" t="s">
        <v>6279</v>
      </c>
      <c r="F1222" s="58" t="s">
        <v>807</v>
      </c>
      <c r="G1222" s="66" t="s">
        <v>98</v>
      </c>
      <c r="H1222" s="18" t="s">
        <v>6281</v>
      </c>
      <c r="I1222" s="18" t="s">
        <v>8398</v>
      </c>
      <c r="J1222" s="18" t="s">
        <v>98</v>
      </c>
      <c r="K1222" s="18" t="s">
        <v>98</v>
      </c>
      <c r="L1222" s="18" t="s">
        <v>98</v>
      </c>
      <c r="M1222" s="18" t="s">
        <v>98</v>
      </c>
      <c r="N1222" s="18" t="s">
        <v>98</v>
      </c>
      <c r="O1222" s="18" t="s">
        <v>98</v>
      </c>
      <c r="P1222" s="15" t="str">
        <f t="shared" si="1"/>
        <v>VERIFY</v>
      </c>
      <c r="Q1222" s="15">
        <f t="shared" si="2"/>
        <v>3</v>
      </c>
      <c r="R1222" s="15">
        <f t="shared" si="3"/>
        <v>1</v>
      </c>
      <c r="S1222" s="15">
        <f t="shared" si="4"/>
        <v>4</v>
      </c>
      <c r="T1222" s="15" t="str">
        <f t="shared" si="5"/>
        <v>C-1</v>
      </c>
      <c r="U1222" s="15" t="str">
        <f t="shared" si="6"/>
        <v>T3-M1-H4-FC-1-VERIFY</v>
      </c>
      <c r="V1222" s="15">
        <f t="shared" si="7"/>
        <v>0</v>
      </c>
      <c r="W1222" s="31"/>
      <c r="X1222" s="15" t="str">
        <f t="shared" si="8"/>
        <v>pratapgarh</v>
      </c>
      <c r="Y1222" s="32" t="str">
        <f t="shared" si="9"/>
        <v>https://steelmanufacturer.in/market-area/electropolished-pipes-manufacturer-in-pratapgarh/</v>
      </c>
      <c r="Z1222" s="15" t="str">
        <f t="shared" si="10"/>
        <v>Electropolished Pipes Manufacturer in Pratapgarh</v>
      </c>
      <c r="AA1222" s="15" t="str">
        <f t="shared" si="11"/>
        <v>OK (48)</v>
      </c>
      <c r="AB1222" s="15" t="str">
        <f t="shared" si="12"/>
        <v>EP-finished SS 304/316L pipes &amp; tubes for VERIFY plants in Pratapgarh. ASTM A270, ASME BPE SF1-SF4, EN 10204 3.1 MTC. PMI tested.</v>
      </c>
      <c r="AC1222" s="15" t="str">
        <f t="shared" si="13"/>
        <v>PENDING RESEARCH</v>
      </c>
      <c r="AD1222" s="15" t="str">
        <f t="shared" si="14"/>
        <v>Electropolished Pipes Manufacturer in Pratapgarh</v>
      </c>
      <c r="AE1222" s="15" t="str">
        <f t="shared" si="15"/>
        <v>Manufacturing Electropolished SS Tube for Pratapgarh: The Standards We Build To</v>
      </c>
      <c r="AF1222" s="15" t="str">
        <f t="shared" si="16"/>
        <v>Electropolished Pipe Supply Into Pratapgarh - Certification &amp; Transit</v>
      </c>
      <c r="AG1222" s="15" t="str">
        <f t="shared" si="17"/>
        <v>Electropolished Pipes Wholesaler in Pratapgarh - Project Quantities &amp; Terms</v>
      </c>
      <c r="AH1222" s="15" t="str">
        <f t="shared" si="18"/>
        <v>electropolished pipes manufacturer in Pratapgarh, electropolished pipes supplier in Pratapgarh, electropolished pipes wholesaler in Pratapgarh, electropolished tube manufacturer Pratapgarh, EP pipe supplier Pratapgarh, sanitary tube supplier Pratapgarh, ASME BPE tubing Pratapgarh, ASTM A270 tube Pratapgarh, SS 316L electropolished pipe Pratapgarh</v>
      </c>
      <c r="AI1222" s="15" t="str">
        <f t="shared" si="19"/>
        <v>Electropolished Pipes Manufacturer &amp; Supplier in Pratapgarh</v>
      </c>
      <c r="AJ1222" s="15" t="str">
        <f t="shared" si="20"/>
        <v>EP-finished SS 304/316L pipes and tubes for VERIFY plants in Pratapgarh. ASME BPE SF1-SF4, Ra from 0.25 um, EN 10204 3.1 certificate with every lot.</v>
      </c>
      <c r="AK1222" s="15" t="str">
        <f t="shared" si="21"/>
        <v>Electropolished stainless steel pipes supplied by Sakshi Forge to VERIFY plants at UPSIDA Industrial Area, Pratapgarh</v>
      </c>
      <c r="AL1222" s="15" t="str">
        <f t="shared" si="22"/>
        <v>Electropolished SS 316L tube stock for Pratapgarh - Sakshi Forge</v>
      </c>
      <c r="AM1222" s="15" t="str">
        <f t="shared" si="23"/>
        <v>Home &gt; Market Area &gt; India &gt; Uttar Pradesh &gt; Pratapgarh</v>
      </c>
      <c r="AN1222" s="15">
        <f t="shared" si="24"/>
        <v>750</v>
      </c>
      <c r="AO1222" s="15">
        <f t="shared" si="25"/>
        <v>6</v>
      </c>
      <c r="AP1222" s="15">
        <f t="shared" si="26"/>
        <v>6</v>
      </c>
      <c r="AQ1222" s="15">
        <f t="shared" si="27"/>
        <v>21</v>
      </c>
      <c r="AR1222" s="31"/>
      <c r="AS1222" s="31"/>
      <c r="AT1222" s="35" t="s">
        <v>222</v>
      </c>
      <c r="AU1222" s="35"/>
    </row>
    <row r="1223" ht="15.75" customHeight="1">
      <c r="A1223" s="15" t="s">
        <v>6282</v>
      </c>
      <c r="B1223" s="15" t="s">
        <v>60</v>
      </c>
      <c r="C1223" s="15" t="s">
        <v>1687</v>
      </c>
      <c r="D1223" s="15" t="s">
        <v>6283</v>
      </c>
      <c r="E1223" s="15" t="s">
        <v>6283</v>
      </c>
      <c r="F1223" s="58" t="s">
        <v>807</v>
      </c>
      <c r="G1223" s="66" t="s">
        <v>98</v>
      </c>
      <c r="H1223" s="18" t="s">
        <v>6287</v>
      </c>
      <c r="I1223" s="18" t="s">
        <v>8397</v>
      </c>
      <c r="J1223" s="18" t="s">
        <v>98</v>
      </c>
      <c r="K1223" s="18" t="s">
        <v>98</v>
      </c>
      <c r="L1223" s="18" t="s">
        <v>98</v>
      </c>
      <c r="M1223" s="18" t="s">
        <v>98</v>
      </c>
      <c r="N1223" s="18" t="s">
        <v>98</v>
      </c>
      <c r="O1223" s="18" t="s">
        <v>98</v>
      </c>
      <c r="P1223" s="15" t="str">
        <f t="shared" si="1"/>
        <v>VERIFY</v>
      </c>
      <c r="Q1223" s="15">
        <f t="shared" si="2"/>
        <v>4</v>
      </c>
      <c r="R1223" s="15">
        <f t="shared" si="3"/>
        <v>2</v>
      </c>
      <c r="S1223" s="15">
        <f t="shared" si="4"/>
        <v>5</v>
      </c>
      <c r="T1223" s="15" t="str">
        <f t="shared" si="5"/>
        <v>C-2</v>
      </c>
      <c r="U1223" s="15" t="str">
        <f t="shared" si="6"/>
        <v>T4-M2-H5-FC-2-VERIFY</v>
      </c>
      <c r="V1223" s="15">
        <f t="shared" si="7"/>
        <v>0</v>
      </c>
      <c r="W1223" s="31"/>
      <c r="X1223" s="15" t="str">
        <f t="shared" si="8"/>
        <v>punalur</v>
      </c>
      <c r="Y1223" s="32" t="str">
        <f t="shared" si="9"/>
        <v>https://steelmanufacturer.in/market-area/electropolished-pipes-manufacturer-in-punalur/</v>
      </c>
      <c r="Z1223" s="15" t="str">
        <f t="shared" si="10"/>
        <v>Electropolished Pipes Manufacturer in Punalur</v>
      </c>
      <c r="AA1223" s="15" t="str">
        <f t="shared" si="11"/>
        <v>OK (45)</v>
      </c>
      <c r="AB1223" s="15" t="str">
        <f t="shared" si="12"/>
        <v>Electropolished tube supply to KINFRA Industrial Area, Punalur. Ra from 0.25 um, SF4 finish, mill test certificate with every lot.</v>
      </c>
      <c r="AC1223" s="15" t="str">
        <f t="shared" si="13"/>
        <v>PENDING RESEARCH</v>
      </c>
      <c r="AD1223" s="15" t="str">
        <f t="shared" si="14"/>
        <v>Electropolished Pipes Manufacturer in Punalur</v>
      </c>
      <c r="AE1223" s="15" t="str">
        <f t="shared" si="15"/>
        <v>Electropolished Tube Manufacturing Capability Serving Punalur</v>
      </c>
      <c r="AF1223" s="15" t="str">
        <f t="shared" si="16"/>
        <v>Electropolished Pipes Supplier in Punalur - From Order to Delivery</v>
      </c>
      <c r="AG1223" s="15" t="str">
        <f t="shared" si="17"/>
        <v>Stockist &amp; Wholesale Supply of Electropolished Pipes in Punalur</v>
      </c>
      <c r="AH1223" s="15" t="str">
        <f t="shared" si="18"/>
        <v>electropolished pipes manufacturer in Punalur, electropolished pipes supplier in Punalur, electropolished pipes wholesaler in Punalur, electropolished tube manufacturer Punalur, EP pipe supplier Punalur, sanitary tube supplier Punalur, ASME BPE tubing Punalur, ASTM A270 tube Punalur, SS 316L electropolished pipe Punalur</v>
      </c>
      <c r="AI1223" s="15" t="str">
        <f t="shared" si="19"/>
        <v>Electropolished Pipes Manufacturer &amp; Supplier in Punalur</v>
      </c>
      <c r="AJ1223" s="15" t="str">
        <f t="shared" si="20"/>
        <v>EP-finished SS 304/316L pipes and tubes for VERIFY plants in Punalur. ASME BPE SF1-SF4, Ra from 0.25 um, EN 10204 3.1 certificate with every lot.</v>
      </c>
      <c r="AK1223" s="15" t="str">
        <f t="shared" si="21"/>
        <v>Electropolished stainless steel pipes supplied by Sakshi Forge to VERIFY plants at KINFRA Industrial Area, Punalur</v>
      </c>
      <c r="AL1223" s="15" t="str">
        <f t="shared" si="22"/>
        <v>Electropolished SS 316L tube stock for Punalur - Sakshi Forge</v>
      </c>
      <c r="AM1223" s="15" t="str">
        <f t="shared" si="23"/>
        <v>Home &gt; Market Area &gt; India &gt; Kerala &gt; Punalur</v>
      </c>
      <c r="AN1223" s="15">
        <f t="shared" si="24"/>
        <v>750</v>
      </c>
      <c r="AO1223" s="15">
        <f t="shared" si="25"/>
        <v>6</v>
      </c>
      <c r="AP1223" s="15">
        <f t="shared" si="26"/>
        <v>6</v>
      </c>
      <c r="AQ1223" s="15">
        <f t="shared" si="27"/>
        <v>21</v>
      </c>
      <c r="AR1223" s="31"/>
      <c r="AS1223" s="31"/>
      <c r="AT1223" s="35" t="s">
        <v>222</v>
      </c>
      <c r="AU1223" s="35"/>
    </row>
    <row r="1224" ht="15.75" customHeight="1">
      <c r="A1224" s="15" t="s">
        <v>6290</v>
      </c>
      <c r="B1224" s="15" t="s">
        <v>60</v>
      </c>
      <c r="C1224" s="15" t="s">
        <v>264</v>
      </c>
      <c r="D1224" s="15" t="s">
        <v>6291</v>
      </c>
      <c r="E1224" s="15" t="s">
        <v>6291</v>
      </c>
      <c r="F1224" s="58" t="s">
        <v>807</v>
      </c>
      <c r="G1224" s="66" t="s">
        <v>98</v>
      </c>
      <c r="H1224" s="18" t="s">
        <v>6293</v>
      </c>
      <c r="I1224" s="18" t="s">
        <v>8395</v>
      </c>
      <c r="J1224" s="18" t="s">
        <v>98</v>
      </c>
      <c r="K1224" s="18" t="s">
        <v>98</v>
      </c>
      <c r="L1224" s="18" t="s">
        <v>98</v>
      </c>
      <c r="M1224" s="18" t="s">
        <v>98</v>
      </c>
      <c r="N1224" s="18" t="s">
        <v>98</v>
      </c>
      <c r="O1224" s="18" t="s">
        <v>98</v>
      </c>
      <c r="P1224" s="15" t="str">
        <f t="shared" si="1"/>
        <v>VERIFY</v>
      </c>
      <c r="Q1224" s="15">
        <f t="shared" si="2"/>
        <v>5</v>
      </c>
      <c r="R1224" s="15">
        <f t="shared" si="3"/>
        <v>3</v>
      </c>
      <c r="S1224" s="15">
        <f t="shared" si="4"/>
        <v>1</v>
      </c>
      <c r="T1224" s="15" t="str">
        <f t="shared" si="5"/>
        <v>C-3</v>
      </c>
      <c r="U1224" s="15" t="str">
        <f t="shared" si="6"/>
        <v>T5-M3-H1-FC-3-VERIFY</v>
      </c>
      <c r="V1224" s="15">
        <f t="shared" si="7"/>
        <v>0</v>
      </c>
      <c r="W1224" s="31"/>
      <c r="X1224" s="15" t="str">
        <f t="shared" si="8"/>
        <v>purna</v>
      </c>
      <c r="Y1224" s="32" t="str">
        <f t="shared" si="9"/>
        <v>https://steelmanufacturer.in/market-area/electropolished-pipes-manufacturer-in-purna/</v>
      </c>
      <c r="Z1224" s="15" t="str">
        <f t="shared" si="10"/>
        <v>Electropolished Pipes Manufacturer in Purna</v>
      </c>
      <c r="AA1224" s="15" t="str">
        <f t="shared" si="11"/>
        <v>OK (43)</v>
      </c>
      <c r="AB1224" s="15" t="str">
        <f t="shared" si="12"/>
        <v>EP stainless tube for VERIFY lines in Purna. VERIFY. ASTM A270 S2, PMI tested, EN 10204 3.1.</v>
      </c>
      <c r="AC1224" s="15" t="str">
        <f t="shared" si="13"/>
        <v>PENDING RESEARCH</v>
      </c>
      <c r="AD1224" s="15" t="str">
        <f t="shared" si="14"/>
        <v>Electropolished Pipes Manufacturer in Purna</v>
      </c>
      <c r="AE1224" s="15" t="str">
        <f t="shared" si="15"/>
        <v>Electropolished Pipe &amp; Tube Manufacturing for Purna - Grades, Finishes &amp; Certification</v>
      </c>
      <c r="AF1224" s="15" t="str">
        <f t="shared" si="16"/>
        <v>Electropolished Pipes Supplier in Purna - Stock Sizes, Lead Time &amp; Delivery</v>
      </c>
      <c r="AG1224" s="15" t="str">
        <f t="shared" si="17"/>
        <v>Electropolished Pipes Wholesaler &amp; Stockist in Purna - Bulk &amp; Project Pricing</v>
      </c>
      <c r="AH1224" s="15" t="str">
        <f t="shared" si="18"/>
        <v>electropolished pipes manufacturer in Purna, electropolished pipes supplier in Purna, electropolished pipes wholesaler in Purna, electropolished tube manufacturer Purna, EP pipe supplier Purna, sanitary tube supplier Purna, ASME BPE tubing Purna, ASTM A270 tube Purna, SS 316L electropolished pipe Purna</v>
      </c>
      <c r="AI1224" s="15" t="str">
        <f t="shared" si="19"/>
        <v>Electropolished Pipes Manufacturer &amp; Supplier in Purna</v>
      </c>
      <c r="AJ1224" s="15" t="str">
        <f t="shared" si="20"/>
        <v>EP-finished SS 304/316L pipes and tubes for VERIFY plants in Purna. ASME BPE SF1-SF4, Ra from 0.25 um, EN 10204 3.1 certificate with every lot.</v>
      </c>
      <c r="AK1224" s="15" t="str">
        <f t="shared" si="21"/>
        <v>Electropolished stainless steel pipes supplied by Sakshi Forge to VERIFY plants at MIDC Industrial Area, Purna</v>
      </c>
      <c r="AL1224" s="15" t="str">
        <f t="shared" si="22"/>
        <v>Electropolished SS 316L tube stock for Purna - Sakshi Forge</v>
      </c>
      <c r="AM1224" s="15" t="str">
        <f t="shared" si="23"/>
        <v>Home &gt; Market Area &gt; India &gt; Maharashtra &gt; Purna</v>
      </c>
      <c r="AN1224" s="15">
        <f t="shared" si="24"/>
        <v>750</v>
      </c>
      <c r="AO1224" s="15">
        <f t="shared" si="25"/>
        <v>6</v>
      </c>
      <c r="AP1224" s="15">
        <f t="shared" si="26"/>
        <v>6</v>
      </c>
      <c r="AQ1224" s="15">
        <f t="shared" si="27"/>
        <v>21</v>
      </c>
      <c r="AR1224" s="31"/>
      <c r="AS1224" s="31"/>
      <c r="AT1224" s="35" t="s">
        <v>222</v>
      </c>
      <c r="AU1224" s="35"/>
    </row>
    <row r="1225" ht="15.75" customHeight="1">
      <c r="A1225" s="15" t="s">
        <v>6294</v>
      </c>
      <c r="B1225" s="15" t="s">
        <v>60</v>
      </c>
      <c r="C1225" s="15" t="s">
        <v>264</v>
      </c>
      <c r="D1225" s="15" t="s">
        <v>6295</v>
      </c>
      <c r="E1225" s="15" t="s">
        <v>6295</v>
      </c>
      <c r="F1225" s="58" t="s">
        <v>807</v>
      </c>
      <c r="G1225" s="66" t="s">
        <v>98</v>
      </c>
      <c r="H1225" s="18" t="s">
        <v>6297</v>
      </c>
      <c r="I1225" s="18" t="s">
        <v>8395</v>
      </c>
      <c r="J1225" s="18" t="s">
        <v>98</v>
      </c>
      <c r="K1225" s="18" t="s">
        <v>98</v>
      </c>
      <c r="L1225" s="18" t="s">
        <v>98</v>
      </c>
      <c r="M1225" s="18" t="s">
        <v>98</v>
      </c>
      <c r="N1225" s="18" t="s">
        <v>98</v>
      </c>
      <c r="O1225" s="18" t="s">
        <v>98</v>
      </c>
      <c r="P1225" s="15" t="str">
        <f t="shared" si="1"/>
        <v>VERIFY</v>
      </c>
      <c r="Q1225" s="15">
        <f t="shared" si="2"/>
        <v>6</v>
      </c>
      <c r="R1225" s="15">
        <f t="shared" si="3"/>
        <v>4</v>
      </c>
      <c r="S1225" s="15">
        <f t="shared" si="4"/>
        <v>2</v>
      </c>
      <c r="T1225" s="15" t="str">
        <f t="shared" si="5"/>
        <v>C-4</v>
      </c>
      <c r="U1225" s="15" t="str">
        <f t="shared" si="6"/>
        <v>T6-M4-H2-FC-4-VERIFY</v>
      </c>
      <c r="V1225" s="15">
        <f t="shared" si="7"/>
        <v>0</v>
      </c>
      <c r="W1225" s="31"/>
      <c r="X1225" s="15" t="str">
        <f t="shared" si="8"/>
        <v>rahuri</v>
      </c>
      <c r="Y1225" s="32" t="str">
        <f t="shared" si="9"/>
        <v>https://steelmanufacturer.in/market-area/electropolished-pipes-manufacturer-in-rahuri/</v>
      </c>
      <c r="Z1225" s="15" t="str">
        <f t="shared" si="10"/>
        <v>Electropolished Pipes Manufacturer in Rahuri</v>
      </c>
      <c r="AA1225" s="15" t="str">
        <f t="shared" si="11"/>
        <v>OK (44)</v>
      </c>
      <c r="AB1225" s="15" t="str">
        <f t="shared" si="12"/>
        <v>Sanitary electropolished pipes in Rahuri for VERIFY plants. ASME BPE SF1-SF4, orbital-weld ready, 3.1 MTC. Mumbai-made.</v>
      </c>
      <c r="AC1225" s="15" t="str">
        <f t="shared" si="13"/>
        <v>PENDING RESEARCH</v>
      </c>
      <c r="AD1225" s="15" t="str">
        <f t="shared" si="14"/>
        <v>Electropolished Pipes Manufacturer in Rahuri</v>
      </c>
      <c r="AE1225" s="15" t="str">
        <f t="shared" si="15"/>
        <v>How We Manufacture Electropolished Tube for Rahuri Plants</v>
      </c>
      <c r="AF1225" s="15" t="str">
        <f t="shared" si="16"/>
        <v>Supplying Electropolished Pipes in Rahuri: Availability, Sizes &amp; Dispatch</v>
      </c>
      <c r="AG1225" s="15" t="str">
        <f t="shared" si="17"/>
        <v>Wholesale Electropolished Pipe Supply for Rahuri Projects</v>
      </c>
      <c r="AH1225" s="15" t="str">
        <f t="shared" si="18"/>
        <v>electropolished pipes manufacturer in Rahuri, electropolished pipes supplier in Rahuri, electropolished pipes wholesaler in Rahuri, electropolished tube manufacturer Rahuri, EP pipe supplier Rahuri, sanitary tube supplier Rahuri, ASME BPE tubing Rahuri, ASTM A270 tube Rahuri, SS 316L electropolished pipe Rahuri</v>
      </c>
      <c r="AI1225" s="15" t="str">
        <f t="shared" si="19"/>
        <v>Electropolished Pipes Manufacturer &amp; Supplier in Rahuri</v>
      </c>
      <c r="AJ1225" s="15" t="str">
        <f t="shared" si="20"/>
        <v>EP-finished SS 304/316L pipes and tubes for VERIFY plants in Rahuri. ASME BPE SF1-SF4, Ra from 0.25 um, EN 10204 3.1 certificate with every lot.</v>
      </c>
      <c r="AK1225" s="15" t="str">
        <f t="shared" si="21"/>
        <v>Electropolished stainless steel pipes supplied by Sakshi Forge to VERIFY plants at MIDC Industrial Area, Rahuri</v>
      </c>
      <c r="AL1225" s="15" t="str">
        <f t="shared" si="22"/>
        <v>Electropolished SS 316L tube stock for Rahuri - Sakshi Forge</v>
      </c>
      <c r="AM1225" s="15" t="str">
        <f t="shared" si="23"/>
        <v>Home &gt; Market Area &gt; India &gt; Maharashtra &gt; Rahuri</v>
      </c>
      <c r="AN1225" s="15">
        <f t="shared" si="24"/>
        <v>750</v>
      </c>
      <c r="AO1225" s="15">
        <f t="shared" si="25"/>
        <v>6</v>
      </c>
      <c r="AP1225" s="15">
        <f t="shared" si="26"/>
        <v>6</v>
      </c>
      <c r="AQ1225" s="15">
        <f t="shared" si="27"/>
        <v>21</v>
      </c>
      <c r="AR1225" s="31"/>
      <c r="AS1225" s="31"/>
      <c r="AT1225" s="35" t="s">
        <v>222</v>
      </c>
      <c r="AU1225" s="35"/>
    </row>
    <row r="1226" ht="15.75" customHeight="1">
      <c r="A1226" s="15" t="s">
        <v>6298</v>
      </c>
      <c r="B1226" s="15" t="s">
        <v>60</v>
      </c>
      <c r="C1226" s="15" t="s">
        <v>354</v>
      </c>
      <c r="D1226" s="15" t="s">
        <v>6299</v>
      </c>
      <c r="E1226" s="15" t="s">
        <v>6299</v>
      </c>
      <c r="F1226" s="58" t="s">
        <v>807</v>
      </c>
      <c r="G1226" s="66" t="s">
        <v>98</v>
      </c>
      <c r="H1226" s="18" t="s">
        <v>6301</v>
      </c>
      <c r="I1226" s="18" t="s">
        <v>8408</v>
      </c>
      <c r="J1226" s="18" t="s">
        <v>98</v>
      </c>
      <c r="K1226" s="18" t="s">
        <v>98</v>
      </c>
      <c r="L1226" s="18" t="s">
        <v>98</v>
      </c>
      <c r="M1226" s="18" t="s">
        <v>98</v>
      </c>
      <c r="N1226" s="18" t="s">
        <v>98</v>
      </c>
      <c r="O1226" s="18" t="s">
        <v>98</v>
      </c>
      <c r="P1226" s="15" t="str">
        <f t="shared" si="1"/>
        <v>VERIFY</v>
      </c>
      <c r="Q1226" s="15">
        <f t="shared" si="2"/>
        <v>7</v>
      </c>
      <c r="R1226" s="15">
        <f t="shared" si="3"/>
        <v>5</v>
      </c>
      <c r="S1226" s="15">
        <f t="shared" si="4"/>
        <v>3</v>
      </c>
      <c r="T1226" s="15" t="str">
        <f t="shared" si="5"/>
        <v>C-5</v>
      </c>
      <c r="U1226" s="15" t="str">
        <f t="shared" si="6"/>
        <v>T7-M5-H3-FC-5-VERIFY</v>
      </c>
      <c r="V1226" s="15">
        <f t="shared" si="7"/>
        <v>0</v>
      </c>
      <c r="W1226" s="31"/>
      <c r="X1226" s="15" t="str">
        <f t="shared" si="8"/>
        <v>raikot</v>
      </c>
      <c r="Y1226" s="32" t="str">
        <f t="shared" si="9"/>
        <v>https://steelmanufacturer.in/market-area/electropolished-pipes-manufacturer-in-raikot/</v>
      </c>
      <c r="Z1226" s="15" t="str">
        <f t="shared" si="10"/>
        <v>Electropolished Pipes Manufacturer in Raikot | ASME BPE SF1-SF4</v>
      </c>
      <c r="AA1226" s="15" t="str">
        <f t="shared" si="11"/>
        <v>OK (63)</v>
      </c>
      <c r="AB1226" s="15" t="str">
        <f t="shared" si="12"/>
        <v>Manufacturer of electropolished SS 316L tube serving Raikot. VERIFY. Ra 0.25-0.5 um, EN 10204 3.1 MTC.</v>
      </c>
      <c r="AC1226" s="15" t="str">
        <f t="shared" si="13"/>
        <v>PENDING RESEARCH</v>
      </c>
      <c r="AD1226" s="15" t="str">
        <f t="shared" si="14"/>
        <v>Electropolished Pipes Manufacturer in Raikot</v>
      </c>
      <c r="AE1226" s="15" t="str">
        <f t="shared" si="15"/>
        <v>Electropolished Pipes Manufacturer in Raikot - Our Process &amp; Capability</v>
      </c>
      <c r="AF1226" s="15" t="str">
        <f t="shared" si="16"/>
        <v>Electropolished Pipes Supplier in Raikot - What We Hold in Stock</v>
      </c>
      <c r="AG1226" s="15" t="str">
        <f t="shared" si="17"/>
        <v>Bulk &amp; Wholesale Electropolished Pipe Rates for Raikot Buyers</v>
      </c>
      <c r="AH1226" s="15" t="str">
        <f t="shared" si="18"/>
        <v>electropolished pipes manufacturer in Raikot, electropolished pipes supplier in Raikot, electropolished pipes wholesaler in Raikot, electropolished tube manufacturer Raikot, EP pipe supplier Raikot, sanitary tube supplier Raikot, ASME BPE tubing Raikot, ASTM A270 tube Raikot, SS 316L electropolished pipe Raikot</v>
      </c>
      <c r="AI1226" s="15" t="str">
        <f t="shared" si="19"/>
        <v>Electropolished Pipes Manufacturer &amp; Supplier in Raikot</v>
      </c>
      <c r="AJ1226" s="15" t="str">
        <f t="shared" si="20"/>
        <v>EP-finished SS 304/316L pipes and tubes for VERIFY plants in Raikot. ASME BPE SF1-SF4, Ra from 0.25 um, EN 10204 3.1 certificate with every lot.</v>
      </c>
      <c r="AK1226" s="15" t="str">
        <f t="shared" si="21"/>
        <v>Electropolished stainless steel pipes supplied by Sakshi Forge to VERIFY plants at PSIEC Industrial Area, Raikot</v>
      </c>
      <c r="AL1226" s="15" t="str">
        <f t="shared" si="22"/>
        <v>Electropolished SS 316L tube stock for Raikot - Sakshi Forge</v>
      </c>
      <c r="AM1226" s="15" t="str">
        <f t="shared" si="23"/>
        <v>Home &gt; Market Area &gt; India &gt; Punjab &gt; Raikot</v>
      </c>
      <c r="AN1226" s="15">
        <f t="shared" si="24"/>
        <v>750</v>
      </c>
      <c r="AO1226" s="15">
        <f t="shared" si="25"/>
        <v>6</v>
      </c>
      <c r="AP1226" s="15">
        <f t="shared" si="26"/>
        <v>6</v>
      </c>
      <c r="AQ1226" s="15">
        <f t="shared" si="27"/>
        <v>21</v>
      </c>
      <c r="AR1226" s="31"/>
      <c r="AS1226" s="31"/>
      <c r="AT1226" s="35" t="s">
        <v>222</v>
      </c>
      <c r="AU1226" s="35"/>
    </row>
    <row r="1227" ht="15.75" customHeight="1">
      <c r="A1227" s="15" t="s">
        <v>6302</v>
      </c>
      <c r="B1227" s="15" t="s">
        <v>60</v>
      </c>
      <c r="C1227" s="15" t="s">
        <v>842</v>
      </c>
      <c r="D1227" s="15" t="s">
        <v>6303</v>
      </c>
      <c r="E1227" s="15" t="s">
        <v>6303</v>
      </c>
      <c r="F1227" s="58" t="s">
        <v>807</v>
      </c>
      <c r="G1227" s="66" t="s">
        <v>98</v>
      </c>
      <c r="H1227" s="18" t="s">
        <v>6305</v>
      </c>
      <c r="I1227" s="18" t="s">
        <v>8413</v>
      </c>
      <c r="J1227" s="18" t="s">
        <v>98</v>
      </c>
      <c r="K1227" s="18" t="s">
        <v>98</v>
      </c>
      <c r="L1227" s="18" t="s">
        <v>98</v>
      </c>
      <c r="M1227" s="18" t="s">
        <v>98</v>
      </c>
      <c r="N1227" s="18" t="s">
        <v>98</v>
      </c>
      <c r="O1227" s="18" t="s">
        <v>98</v>
      </c>
      <c r="P1227" s="15" t="str">
        <f t="shared" si="1"/>
        <v>VERIFY</v>
      </c>
      <c r="Q1227" s="15">
        <f t="shared" si="2"/>
        <v>8</v>
      </c>
      <c r="R1227" s="15">
        <f t="shared" si="3"/>
        <v>6</v>
      </c>
      <c r="S1227" s="15">
        <f t="shared" si="4"/>
        <v>4</v>
      </c>
      <c r="T1227" s="15" t="str">
        <f t="shared" si="5"/>
        <v>C-6</v>
      </c>
      <c r="U1227" s="15" t="str">
        <f t="shared" si="6"/>
        <v>T8-M6-H4-FC-6-VERIFY</v>
      </c>
      <c r="V1227" s="15">
        <f t="shared" si="7"/>
        <v>0</v>
      </c>
      <c r="W1227" s="31"/>
      <c r="X1227" s="15" t="str">
        <f t="shared" si="8"/>
        <v>raisen</v>
      </c>
      <c r="Y1227" s="32" t="str">
        <f t="shared" si="9"/>
        <v>https://steelmanufacturer.in/market-area/electropolished-pipes-manufacturer-in-raisen/</v>
      </c>
      <c r="Z1227" s="15" t="str">
        <f t="shared" si="10"/>
        <v>Electropolished Pipes Manufacturer in Raisen - EP Tube Stockist</v>
      </c>
      <c r="AA1227" s="15" t="str">
        <f t="shared" si="11"/>
        <v>OK (63)</v>
      </c>
      <c r="AB1227" s="15" t="str">
        <f t="shared" si="12"/>
        <v>EP tube and pipe for VERIFY plants around MPIDC Industrial Area, Raisen. Made at our Mumbai works to ASTM A270 and ASME BPE SF1-SF4, with 3.1 MTC.</v>
      </c>
      <c r="AC1227" s="15" t="str">
        <f t="shared" si="13"/>
        <v>PENDING RESEARCH</v>
      </c>
      <c r="AD1227" s="15" t="str">
        <f t="shared" si="14"/>
        <v>Electropolished Pipes Manufacturer in Raisen</v>
      </c>
      <c r="AE1227" s="15" t="str">
        <f t="shared" si="15"/>
        <v>Manufacturing Electropolished SS Tube for Raisen: The Standards We Build To</v>
      </c>
      <c r="AF1227" s="15" t="str">
        <f t="shared" si="16"/>
        <v>Electropolished Pipe Supply Into Raisen - Certification &amp; Transit</v>
      </c>
      <c r="AG1227" s="15" t="str">
        <f t="shared" si="17"/>
        <v>Electropolished Pipes Wholesaler in Raisen - Project Quantities &amp; Terms</v>
      </c>
      <c r="AH1227" s="15" t="str">
        <f t="shared" si="18"/>
        <v>electropolished pipes manufacturer in Raisen, electropolished pipes supplier in Raisen, electropolished pipes wholesaler in Raisen, electropolished tube manufacturer Raisen, EP pipe supplier Raisen, sanitary tube supplier Raisen, ASME BPE tubing Raisen, ASTM A270 tube Raisen, SS 316L electropolished pipe Raisen</v>
      </c>
      <c r="AI1227" s="15" t="str">
        <f t="shared" si="19"/>
        <v>Electropolished Pipes Manufacturer &amp; Supplier in Raisen</v>
      </c>
      <c r="AJ1227" s="15" t="str">
        <f t="shared" si="20"/>
        <v>EP-finished SS 304/316L pipes and tubes for VERIFY plants in Raisen. ASME BPE SF1-SF4, Ra from 0.25 um, EN 10204 3.1 certificate with every lot.</v>
      </c>
      <c r="AK1227" s="15" t="str">
        <f t="shared" si="21"/>
        <v>Electropolished stainless steel pipes supplied by Sakshi Forge to VERIFY plants at MPIDC Industrial Area, Raisen</v>
      </c>
      <c r="AL1227" s="15" t="str">
        <f t="shared" si="22"/>
        <v>Electropolished SS 316L tube stock for Raisen - Sakshi Forge</v>
      </c>
      <c r="AM1227" s="15" t="str">
        <f t="shared" si="23"/>
        <v>Home &gt; Market Area &gt; India &gt; Madhya Pradesh &gt; Raisen</v>
      </c>
      <c r="AN1227" s="15">
        <f t="shared" si="24"/>
        <v>750</v>
      </c>
      <c r="AO1227" s="15">
        <f t="shared" si="25"/>
        <v>6</v>
      </c>
      <c r="AP1227" s="15">
        <f t="shared" si="26"/>
        <v>6</v>
      </c>
      <c r="AQ1227" s="15">
        <f t="shared" si="27"/>
        <v>21</v>
      </c>
      <c r="AR1227" s="31"/>
      <c r="AS1227" s="31"/>
      <c r="AT1227" s="35" t="s">
        <v>222</v>
      </c>
      <c r="AU1227" s="35"/>
    </row>
    <row r="1228" ht="15.75" customHeight="1">
      <c r="A1228" s="15" t="s">
        <v>6306</v>
      </c>
      <c r="B1228" s="15" t="s">
        <v>60</v>
      </c>
      <c r="C1228" s="15" t="s">
        <v>413</v>
      </c>
      <c r="D1228" s="15" t="s">
        <v>6307</v>
      </c>
      <c r="E1228" s="15" t="s">
        <v>6307</v>
      </c>
      <c r="F1228" s="58" t="s">
        <v>807</v>
      </c>
      <c r="G1228" s="66" t="s">
        <v>98</v>
      </c>
      <c r="H1228" s="18" t="s">
        <v>6309</v>
      </c>
      <c r="I1228" s="18" t="s">
        <v>8393</v>
      </c>
      <c r="J1228" s="18" t="s">
        <v>98</v>
      </c>
      <c r="K1228" s="18" t="s">
        <v>98</v>
      </c>
      <c r="L1228" s="18" t="s">
        <v>98</v>
      </c>
      <c r="M1228" s="18" t="s">
        <v>98</v>
      </c>
      <c r="N1228" s="18" t="s">
        <v>98</v>
      </c>
      <c r="O1228" s="18" t="s">
        <v>98</v>
      </c>
      <c r="P1228" s="15" t="str">
        <f t="shared" si="1"/>
        <v>VERIFY</v>
      </c>
      <c r="Q1228" s="15">
        <f t="shared" si="2"/>
        <v>1</v>
      </c>
      <c r="R1228" s="15">
        <f t="shared" si="3"/>
        <v>7</v>
      </c>
      <c r="S1228" s="15">
        <f t="shared" si="4"/>
        <v>5</v>
      </c>
      <c r="T1228" s="15" t="str">
        <f t="shared" si="5"/>
        <v>C-1</v>
      </c>
      <c r="U1228" s="15" t="str">
        <f t="shared" si="6"/>
        <v>T1-M7-H5-FC-1-VERIFY</v>
      </c>
      <c r="V1228" s="15">
        <f t="shared" si="7"/>
        <v>0</v>
      </c>
      <c r="W1228" s="31"/>
      <c r="X1228" s="15" t="str">
        <f t="shared" si="8"/>
        <v>rajam</v>
      </c>
      <c r="Y1228" s="32" t="str">
        <f t="shared" si="9"/>
        <v>https://steelmanufacturer.in/market-area/electropolished-pipes-manufacturer-in-rajam/</v>
      </c>
      <c r="Z1228" s="15" t="str">
        <f t="shared" si="10"/>
        <v>Electropolished Pipes Manufacturer in Rajam | Sakshi Forge</v>
      </c>
      <c r="AA1228" s="15" t="str">
        <f t="shared" si="11"/>
        <v>OK (58)</v>
      </c>
      <c r="AB1228" s="15" t="str">
        <f t="shared" si="12"/>
        <v>Electropolished pipes in Rajam: 304, 304L, 316 and 316L in SF1-SF4. VERIFY. Mill certified.</v>
      </c>
      <c r="AC1228" s="15" t="str">
        <f t="shared" si="13"/>
        <v>PENDING RESEARCH</v>
      </c>
      <c r="AD1228" s="15" t="str">
        <f t="shared" si="14"/>
        <v>Electropolished Pipes Manufacturer in Rajam</v>
      </c>
      <c r="AE1228" s="15" t="str">
        <f t="shared" si="15"/>
        <v>Electropolished Tube Manufacturing Capability Serving Rajam</v>
      </c>
      <c r="AF1228" s="15" t="str">
        <f t="shared" si="16"/>
        <v>Electropolished Pipes Supplier in Rajam - From Order to Delivery</v>
      </c>
      <c r="AG1228" s="15" t="str">
        <f t="shared" si="17"/>
        <v>Stockist &amp; Wholesale Supply of Electropolished Pipes in Rajam</v>
      </c>
      <c r="AH1228" s="15" t="str">
        <f t="shared" si="18"/>
        <v>electropolished pipes manufacturer in Rajam, electropolished pipes supplier in Rajam, electropolished pipes wholesaler in Rajam, electropolished tube manufacturer Rajam, EP pipe supplier Rajam, sanitary tube supplier Rajam, ASME BPE tubing Rajam, ASTM A270 tube Rajam, SS 316L electropolished pipe Rajam</v>
      </c>
      <c r="AI1228" s="15" t="str">
        <f t="shared" si="19"/>
        <v>Electropolished Pipes Manufacturer &amp; Supplier in Rajam</v>
      </c>
      <c r="AJ1228" s="15" t="str">
        <f t="shared" si="20"/>
        <v>EP-finished SS 304/316L pipes and tubes for VERIFY plants in Rajam. ASME BPE SF1-SF4, Ra from 0.25 um, EN 10204 3.1 certificate with every lot.</v>
      </c>
      <c r="AK1228" s="15" t="str">
        <f t="shared" si="21"/>
        <v>Electropolished stainless steel pipes supplied by Sakshi Forge to VERIFY plants at APIIC Industrial Area, Rajam</v>
      </c>
      <c r="AL1228" s="15" t="str">
        <f t="shared" si="22"/>
        <v>Electropolished SS 316L tube stock for Rajam - Sakshi Forge</v>
      </c>
      <c r="AM1228" s="15" t="str">
        <f t="shared" si="23"/>
        <v>Home &gt; Market Area &gt; India &gt; Andhra Pradesh &gt; Rajam</v>
      </c>
      <c r="AN1228" s="15">
        <f t="shared" si="24"/>
        <v>750</v>
      </c>
      <c r="AO1228" s="15">
        <f t="shared" si="25"/>
        <v>6</v>
      </c>
      <c r="AP1228" s="15">
        <f t="shared" si="26"/>
        <v>6</v>
      </c>
      <c r="AQ1228" s="15">
        <f t="shared" si="27"/>
        <v>21</v>
      </c>
      <c r="AR1228" s="31"/>
      <c r="AS1228" s="31"/>
      <c r="AT1228" s="35" t="s">
        <v>222</v>
      </c>
      <c r="AU1228" s="35"/>
    </row>
    <row r="1229" ht="15.75" customHeight="1">
      <c r="A1229" s="15" t="s">
        <v>6310</v>
      </c>
      <c r="B1229" s="15" t="s">
        <v>60</v>
      </c>
      <c r="C1229" s="15" t="s">
        <v>236</v>
      </c>
      <c r="D1229" s="15" t="s">
        <v>6311</v>
      </c>
      <c r="E1229" s="15" t="s">
        <v>9553</v>
      </c>
      <c r="F1229" s="58" t="s">
        <v>807</v>
      </c>
      <c r="G1229" s="66" t="s">
        <v>98</v>
      </c>
      <c r="H1229" s="18" t="s">
        <v>6313</v>
      </c>
      <c r="I1229" s="18" t="s">
        <v>8391</v>
      </c>
      <c r="J1229" s="18" t="s">
        <v>98</v>
      </c>
      <c r="K1229" s="18" t="s">
        <v>98</v>
      </c>
      <c r="L1229" s="18" t="s">
        <v>98</v>
      </c>
      <c r="M1229" s="18" t="s">
        <v>98</v>
      </c>
      <c r="N1229" s="18" t="s">
        <v>98</v>
      </c>
      <c r="O1229" s="18" t="s">
        <v>98</v>
      </c>
      <c r="P1229" s="15" t="str">
        <f t="shared" si="1"/>
        <v>VERIFY</v>
      </c>
      <c r="Q1229" s="15">
        <f t="shared" si="2"/>
        <v>2</v>
      </c>
      <c r="R1229" s="15">
        <f t="shared" si="3"/>
        <v>1</v>
      </c>
      <c r="S1229" s="15">
        <f t="shared" si="4"/>
        <v>1</v>
      </c>
      <c r="T1229" s="15" t="str">
        <f t="shared" si="5"/>
        <v>C-2</v>
      </c>
      <c r="U1229" s="15" t="str">
        <f t="shared" si="6"/>
        <v>T2-M1-H1-FC-2-VERIFY</v>
      </c>
      <c r="V1229" s="15">
        <f t="shared" si="7"/>
        <v>0</v>
      </c>
      <c r="W1229" s="31"/>
      <c r="X1229" s="15" t="str">
        <f t="shared" si="8"/>
        <v>rajgarh</v>
      </c>
      <c r="Y1229" s="32" t="str">
        <f t="shared" si="9"/>
        <v>https://steelmanufacturer.in/market-area/electropolished-pipes-manufacturer-in-rajgarh/</v>
      </c>
      <c r="Z1229" s="15" t="str">
        <f t="shared" si="10"/>
        <v>Electropolished Pipes Manufacturer in Rajgarh, Rajasthan</v>
      </c>
      <c r="AA1229" s="15" t="str">
        <f t="shared" si="11"/>
        <v>OK (56)</v>
      </c>
      <c r="AB1229" s="15" t="str">
        <f t="shared" si="12"/>
        <v>EP-finished SS 304/316L pipes &amp; tubes for VERIFY plants in Rajgarh, Rajasthan. ASTM A270, ASME BPE SF1-SF4, EN 10204 3.1 MTC. PMI tested.</v>
      </c>
      <c r="AC1229" s="15" t="str">
        <f t="shared" si="13"/>
        <v>PENDING RESEARCH</v>
      </c>
      <c r="AD1229" s="15" t="str">
        <f t="shared" si="14"/>
        <v>Electropolished Pipes Manufacturer in Rajgarh, Rajasthan</v>
      </c>
      <c r="AE1229" s="15" t="str">
        <f t="shared" si="15"/>
        <v>Electropolished Pipe &amp; Tube Manufacturing for Rajgarh, Rajasthan - Grades, Finishes &amp; Certification</v>
      </c>
      <c r="AF1229" s="15" t="str">
        <f t="shared" si="16"/>
        <v>Electropolished Pipes Supplier in Rajgarh, Rajasthan - Stock Sizes, Lead Time &amp; Delivery</v>
      </c>
      <c r="AG1229" s="15" t="str">
        <f t="shared" si="17"/>
        <v>Electropolished Pipes Wholesaler &amp; Stockist in Rajgarh, Rajasthan - Bulk &amp; Project Pricing</v>
      </c>
      <c r="AH1229" s="15" t="str">
        <f t="shared" si="18"/>
        <v>electropolished pipes manufacturer in Rajgarh, electropolished pipes supplier in Rajgarh, electropolished pipes wholesaler in Rajgarh, electropolished tube manufacturer Rajgarh, EP pipe supplier Rajgarh, sanitary tube supplier Rajgarh, ASME BPE tubing Rajgarh, ASTM A270 tube Rajgarh, SS 316L electropolished pipe Rajgarh</v>
      </c>
      <c r="AI1229" s="15" t="str">
        <f t="shared" si="19"/>
        <v>Electropolished Pipes Manufacturer &amp; Supplier in Rajgarh, Rajasthan</v>
      </c>
      <c r="AJ1229" s="15" t="str">
        <f t="shared" si="20"/>
        <v>EP-finished SS 304/316L pipes and tubes for VERIFY plants in Rajgarh, Rajasthan. ASME BPE SF1-SF4, Ra from 0.25 um, EN 10204 3.1 certificate with every lot.</v>
      </c>
      <c r="AK1229" s="15" t="str">
        <f t="shared" si="21"/>
        <v>Electropolished stainless steel pipes supplied by Sakshi Forge to VERIFY plants at RIICO Industrial Area, Rajgarh, Rajasthan</v>
      </c>
      <c r="AL1229" s="15" t="str">
        <f t="shared" si="22"/>
        <v>Electropolished SS 316L tube stock for Rajgarh, Rajasthan - Sakshi Forge</v>
      </c>
      <c r="AM1229" s="15" t="str">
        <f t="shared" si="23"/>
        <v>Home &gt; Market Area &gt; India &gt; Rajasthan &gt; Rajgarh</v>
      </c>
      <c r="AN1229" s="15">
        <f t="shared" si="24"/>
        <v>750</v>
      </c>
      <c r="AO1229" s="15">
        <f t="shared" si="25"/>
        <v>6</v>
      </c>
      <c r="AP1229" s="15">
        <f t="shared" si="26"/>
        <v>6</v>
      </c>
      <c r="AQ1229" s="15">
        <f t="shared" si="27"/>
        <v>21</v>
      </c>
      <c r="AR1229" s="31"/>
      <c r="AS1229" s="31"/>
      <c r="AT1229" s="35" t="s">
        <v>222</v>
      </c>
      <c r="AU1229" s="35"/>
    </row>
    <row r="1230" ht="15.75" customHeight="1">
      <c r="A1230" s="15" t="s">
        <v>6314</v>
      </c>
      <c r="B1230" s="15" t="s">
        <v>60</v>
      </c>
      <c r="C1230" s="15" t="s">
        <v>842</v>
      </c>
      <c r="D1230" s="15" t="s">
        <v>6311</v>
      </c>
      <c r="E1230" s="15" t="s">
        <v>9554</v>
      </c>
      <c r="F1230" s="58" t="s">
        <v>807</v>
      </c>
      <c r="G1230" s="66" t="s">
        <v>98</v>
      </c>
      <c r="H1230" s="18" t="s">
        <v>6316</v>
      </c>
      <c r="I1230" s="18" t="s">
        <v>8413</v>
      </c>
      <c r="J1230" s="18" t="s">
        <v>98</v>
      </c>
      <c r="K1230" s="18" t="s">
        <v>98</v>
      </c>
      <c r="L1230" s="18" t="s">
        <v>98</v>
      </c>
      <c r="M1230" s="18" t="s">
        <v>98</v>
      </c>
      <c r="N1230" s="18" t="s">
        <v>98</v>
      </c>
      <c r="O1230" s="18" t="s">
        <v>98</v>
      </c>
      <c r="P1230" s="15" t="str">
        <f t="shared" si="1"/>
        <v>VERIFY</v>
      </c>
      <c r="Q1230" s="15">
        <f t="shared" si="2"/>
        <v>3</v>
      </c>
      <c r="R1230" s="15">
        <f t="shared" si="3"/>
        <v>2</v>
      </c>
      <c r="S1230" s="15">
        <f t="shared" si="4"/>
        <v>2</v>
      </c>
      <c r="T1230" s="15" t="str">
        <f t="shared" si="5"/>
        <v>C-3</v>
      </c>
      <c r="U1230" s="15" t="str">
        <f t="shared" si="6"/>
        <v>T3-M2-H2-FC-3-VERIFY</v>
      </c>
      <c r="V1230" s="15">
        <f t="shared" si="7"/>
        <v>0</v>
      </c>
      <c r="W1230" s="31" t="s">
        <v>9555</v>
      </c>
      <c r="X1230" s="15" t="str">
        <f t="shared" si="8"/>
        <v>rajgarh-madhya-pradesh</v>
      </c>
      <c r="Y1230" s="32" t="str">
        <f t="shared" si="9"/>
        <v>https://steelmanufacturer.in/market-area/electropolished-pipes-manufacturer-in-rajgarh-madhya-pradesh/</v>
      </c>
      <c r="Z1230" s="15" t="str">
        <f t="shared" si="10"/>
        <v>Electropolished Pipes Manufacturer in Rajgarh, Madhya Pradesh</v>
      </c>
      <c r="AA1230" s="15" t="str">
        <f t="shared" si="11"/>
        <v>OK (61)</v>
      </c>
      <c r="AB1230" s="15" t="str">
        <f t="shared" si="12"/>
        <v>Electropolished tube supply to MPIDC Industrial Area, Rajgarh, Madhya Pradesh. Ra from 0.25 um, SF4 finish, mill test certificate with every lot.</v>
      </c>
      <c r="AC1230" s="15" t="str">
        <f t="shared" si="13"/>
        <v>PENDING RESEARCH</v>
      </c>
      <c r="AD1230" s="15" t="str">
        <f t="shared" si="14"/>
        <v>Electropolished Pipes Manufacturer in Rajgarh, Madhya Pradesh</v>
      </c>
      <c r="AE1230" s="15" t="str">
        <f t="shared" si="15"/>
        <v>How We Manufacture Electropolished Tube for Rajgarh, Madhya Pradesh Plants</v>
      </c>
      <c r="AF1230" s="15" t="str">
        <f t="shared" si="16"/>
        <v>Supplying Electropolished Pipes in Rajgarh, Madhya Pradesh: Availability, Sizes &amp; Dispatch</v>
      </c>
      <c r="AG1230" s="15" t="str">
        <f t="shared" si="17"/>
        <v>Wholesale Electropolished Pipe Supply for Rajgarh, Madhya Pradesh Projects</v>
      </c>
      <c r="AH1230" s="15" t="str">
        <f t="shared" si="18"/>
        <v>electropolished pipes manufacturer in Rajgarh, electropolished pipes supplier in Rajgarh, electropolished pipes wholesaler in Rajgarh, electropolished tube manufacturer Rajgarh, EP pipe supplier Rajgarh, sanitary tube supplier Rajgarh, ASME BPE tubing Rajgarh, ASTM A270 tube Rajgarh, SS 316L electropolished pipe Rajgarh</v>
      </c>
      <c r="AI1230" s="15" t="str">
        <f t="shared" si="19"/>
        <v>Electropolished Pipes Manufacturer &amp; Supplier in Rajgarh, Madhya Pradesh</v>
      </c>
      <c r="AJ1230" s="15" t="str">
        <f t="shared" si="20"/>
        <v>EP-finished SS 304/316L pipes and tubes for VERIFY plants in Rajgarh, Madhya Pradesh. ASME BPE SF1-SF4, Ra from 0.25 um, EN 10204 3.1 certificate with every lot.</v>
      </c>
      <c r="AK1230" s="15" t="str">
        <f t="shared" si="21"/>
        <v>Electropolished stainless steel pipes supplied by Sakshi Forge to VERIFY plants at MPIDC Industrial Area, Rajgarh, Madhya Pradesh</v>
      </c>
      <c r="AL1230" s="15" t="str">
        <f t="shared" si="22"/>
        <v>Electropolished SS 316L tube stock for Rajgarh, Madhya Pradesh - Sakshi Forge</v>
      </c>
      <c r="AM1230" s="15" t="str">
        <f t="shared" si="23"/>
        <v>Home &gt; Market Area &gt; India &gt; Madhya Pradesh &gt; Rajgarh</v>
      </c>
      <c r="AN1230" s="15">
        <f t="shared" si="24"/>
        <v>750</v>
      </c>
      <c r="AO1230" s="15">
        <f t="shared" si="25"/>
        <v>6</v>
      </c>
      <c r="AP1230" s="15">
        <f t="shared" si="26"/>
        <v>6</v>
      </c>
      <c r="AQ1230" s="15">
        <f t="shared" si="27"/>
        <v>21</v>
      </c>
      <c r="AR1230" s="31"/>
      <c r="AS1230" s="31"/>
      <c r="AT1230" s="35" t="s">
        <v>222</v>
      </c>
      <c r="AU1230" s="35"/>
    </row>
    <row r="1231" ht="15.75" customHeight="1">
      <c r="A1231" s="15" t="s">
        <v>6317</v>
      </c>
      <c r="B1231" s="15" t="s">
        <v>60</v>
      </c>
      <c r="C1231" s="15" t="s">
        <v>224</v>
      </c>
      <c r="D1231" s="15" t="s">
        <v>6318</v>
      </c>
      <c r="E1231" s="15" t="s">
        <v>6318</v>
      </c>
      <c r="F1231" s="58" t="s">
        <v>807</v>
      </c>
      <c r="G1231" s="66" t="s">
        <v>98</v>
      </c>
      <c r="H1231" s="18" t="s">
        <v>6320</v>
      </c>
      <c r="I1231" s="18" t="s">
        <v>8400</v>
      </c>
      <c r="J1231" s="18" t="s">
        <v>98</v>
      </c>
      <c r="K1231" s="18" t="s">
        <v>98</v>
      </c>
      <c r="L1231" s="18" t="s">
        <v>98</v>
      </c>
      <c r="M1231" s="18" t="s">
        <v>98</v>
      </c>
      <c r="N1231" s="18" t="s">
        <v>98</v>
      </c>
      <c r="O1231" s="18" t="s">
        <v>98</v>
      </c>
      <c r="P1231" s="15" t="str">
        <f t="shared" si="1"/>
        <v>VERIFY</v>
      </c>
      <c r="Q1231" s="15">
        <f t="shared" si="2"/>
        <v>4</v>
      </c>
      <c r="R1231" s="15">
        <f t="shared" si="3"/>
        <v>3</v>
      </c>
      <c r="S1231" s="15">
        <f t="shared" si="4"/>
        <v>3</v>
      </c>
      <c r="T1231" s="15" t="str">
        <f t="shared" si="5"/>
        <v>C-4</v>
      </c>
      <c r="U1231" s="15" t="str">
        <f t="shared" si="6"/>
        <v>T4-M3-H3-FC-4-VERIFY</v>
      </c>
      <c r="V1231" s="15">
        <f t="shared" si="7"/>
        <v>0</v>
      </c>
      <c r="W1231" s="31"/>
      <c r="X1231" s="15" t="str">
        <f t="shared" si="8"/>
        <v>rajpipla</v>
      </c>
      <c r="Y1231" s="32" t="str">
        <f t="shared" si="9"/>
        <v>https://steelmanufacturer.in/market-area/electropolished-pipes-manufacturer-in-rajpipla/</v>
      </c>
      <c r="Z1231" s="15" t="str">
        <f t="shared" si="10"/>
        <v>Electropolished Pipes Manufacturer in Rajpipla</v>
      </c>
      <c r="AA1231" s="15" t="str">
        <f t="shared" si="11"/>
        <v>OK (46)</v>
      </c>
      <c r="AB1231" s="15" t="str">
        <f t="shared" si="12"/>
        <v>EP stainless tube for VERIFY lines in Rajpipla. VERIFY. ASTM A270 S2, PMI tested, EN 10204 3.1.</v>
      </c>
      <c r="AC1231" s="15" t="str">
        <f t="shared" si="13"/>
        <v>PENDING RESEARCH</v>
      </c>
      <c r="AD1231" s="15" t="str">
        <f t="shared" si="14"/>
        <v>Electropolished Pipes Manufacturer in Rajpipla</v>
      </c>
      <c r="AE1231" s="15" t="str">
        <f t="shared" si="15"/>
        <v>Electropolished Pipes Manufacturer in Rajpipla - Our Process &amp; Capability</v>
      </c>
      <c r="AF1231" s="15" t="str">
        <f t="shared" si="16"/>
        <v>Electropolished Pipes Supplier in Rajpipla - What We Hold in Stock</v>
      </c>
      <c r="AG1231" s="15" t="str">
        <f t="shared" si="17"/>
        <v>Bulk &amp; Wholesale Electropolished Pipe Rates for Rajpipla Buyers</v>
      </c>
      <c r="AH1231" s="15" t="str">
        <f t="shared" si="18"/>
        <v>electropolished pipes manufacturer in Rajpipla, electropolished pipes supplier in Rajpipla, electropolished pipes wholesaler in Rajpipla, electropolished tube manufacturer Rajpipla, EP pipe supplier Rajpipla, sanitary tube supplier Rajpipla, ASME BPE tubing Rajpipla, ASTM A270 tube Rajpipla, SS 316L electropolished pipe Rajpipla</v>
      </c>
      <c r="AI1231" s="15" t="str">
        <f t="shared" si="19"/>
        <v>Electropolished Pipes Manufacturer &amp; Supplier in Rajpipla</v>
      </c>
      <c r="AJ1231" s="15" t="str">
        <f t="shared" si="20"/>
        <v>EP-finished SS 304/316L pipes and tubes for VERIFY plants in Rajpipla. ASME BPE SF1-SF4, Ra from 0.25 um, EN 10204 3.1 certificate with every lot.</v>
      </c>
      <c r="AK1231" s="15" t="str">
        <f t="shared" si="21"/>
        <v>Electropolished stainless steel pipes supplied by Sakshi Forge to VERIFY plants at GIDC Industrial Area, Rajpipla</v>
      </c>
      <c r="AL1231" s="15" t="str">
        <f t="shared" si="22"/>
        <v>Electropolished SS 316L tube stock for Rajpipla - Sakshi Forge</v>
      </c>
      <c r="AM1231" s="15" t="str">
        <f t="shared" si="23"/>
        <v>Home &gt; Market Area &gt; India &gt; Gujarat &gt; Rajpipla</v>
      </c>
      <c r="AN1231" s="15">
        <f t="shared" si="24"/>
        <v>750</v>
      </c>
      <c r="AO1231" s="15">
        <f t="shared" si="25"/>
        <v>6</v>
      </c>
      <c r="AP1231" s="15">
        <f t="shared" si="26"/>
        <v>6</v>
      </c>
      <c r="AQ1231" s="15">
        <f t="shared" si="27"/>
        <v>21</v>
      </c>
      <c r="AR1231" s="31"/>
      <c r="AS1231" s="31"/>
      <c r="AT1231" s="35" t="s">
        <v>222</v>
      </c>
      <c r="AU1231" s="35"/>
    </row>
    <row r="1232" ht="15.75" customHeight="1">
      <c r="A1232" s="15" t="s">
        <v>6321</v>
      </c>
      <c r="B1232" s="15" t="s">
        <v>60</v>
      </c>
      <c r="C1232" s="15" t="s">
        <v>413</v>
      </c>
      <c r="D1232" s="15" t="s">
        <v>6323</v>
      </c>
      <c r="E1232" s="15" t="s">
        <v>6323</v>
      </c>
      <c r="F1232" s="58" t="s">
        <v>807</v>
      </c>
      <c r="G1232" s="66" t="s">
        <v>98</v>
      </c>
      <c r="H1232" s="18" t="s">
        <v>6327</v>
      </c>
      <c r="I1232" s="18" t="s">
        <v>8393</v>
      </c>
      <c r="J1232" s="18" t="s">
        <v>98</v>
      </c>
      <c r="K1232" s="18" t="s">
        <v>98</v>
      </c>
      <c r="L1232" s="18" t="s">
        <v>98</v>
      </c>
      <c r="M1232" s="18" t="s">
        <v>98</v>
      </c>
      <c r="N1232" s="18" t="s">
        <v>98</v>
      </c>
      <c r="O1232" s="18" t="s">
        <v>98</v>
      </c>
      <c r="P1232" s="15" t="str">
        <f t="shared" si="1"/>
        <v>VERIFY</v>
      </c>
      <c r="Q1232" s="15">
        <f t="shared" si="2"/>
        <v>5</v>
      </c>
      <c r="R1232" s="15">
        <f t="shared" si="3"/>
        <v>4</v>
      </c>
      <c r="S1232" s="15">
        <f t="shared" si="4"/>
        <v>4</v>
      </c>
      <c r="T1232" s="15" t="str">
        <f t="shared" si="5"/>
        <v>C-5</v>
      </c>
      <c r="U1232" s="15" t="str">
        <f t="shared" si="6"/>
        <v>T5-M4-H4-FC-5-VERIFY</v>
      </c>
      <c r="V1232" s="15">
        <f t="shared" si="7"/>
        <v>0</v>
      </c>
      <c r="W1232" s="31"/>
      <c r="X1232" s="15" t="str">
        <f t="shared" si="8"/>
        <v>ramachandrapuram</v>
      </c>
      <c r="Y1232" s="32" t="str">
        <f t="shared" si="9"/>
        <v>https://steelmanufacturer.in/market-area/electropolished-pipes-manufacturer-in-ramachandrapuram/</v>
      </c>
      <c r="Z1232" s="15" t="str">
        <f t="shared" si="10"/>
        <v>Electropolished Pipes Manufacturer in Ramachandrapuram</v>
      </c>
      <c r="AA1232" s="15" t="str">
        <f t="shared" si="11"/>
        <v>OK (54)</v>
      </c>
      <c r="AB1232" s="15" t="str">
        <f t="shared" si="12"/>
        <v>Sanitary electropolished pipes in Ramachandrapuram for VERIFY plants. ASME BPE SF1-SF4, orbital-weld ready, 3.1 MTC. Mumbai-made.</v>
      </c>
      <c r="AC1232" s="15" t="str">
        <f t="shared" si="13"/>
        <v>PENDING RESEARCH</v>
      </c>
      <c r="AD1232" s="15" t="str">
        <f t="shared" si="14"/>
        <v>Electropolished Pipes Manufacturer in Ramachandrapuram</v>
      </c>
      <c r="AE1232" s="15" t="str">
        <f t="shared" si="15"/>
        <v>Manufacturing Electropolished SS Tube for Ramachandrapuram: The Standards We Build To</v>
      </c>
      <c r="AF1232" s="15" t="str">
        <f t="shared" si="16"/>
        <v>Electropolished Pipe Supply Into Ramachandrapuram - Certification &amp; Transit</v>
      </c>
      <c r="AG1232" s="15" t="str">
        <f t="shared" si="17"/>
        <v>Electropolished Pipes Wholesaler in Ramachandrapuram - Project Quantities &amp; Terms</v>
      </c>
      <c r="AH1232" s="15" t="str">
        <f t="shared" si="18"/>
        <v>electropolished pipes manufacturer in Ramachandrapuram, electropolished pipes supplier in Ramachandrapuram, electropolished pipes wholesaler in Ramachandrapuram, electropolished tube manufacturer Ramachandrapuram, EP pipe supplier Ramachandrapuram, sanitary tube supplier Ramachandrapuram, ASME BPE tubing Ramachandrapuram, ASTM A270 tube Ramachandrapuram, SS 316L electropolished pipe Ramachandrapuram</v>
      </c>
      <c r="AI1232" s="15" t="str">
        <f t="shared" si="19"/>
        <v>Electropolished Pipes Manufacturer &amp; Supplier in Ramachandrapuram</v>
      </c>
      <c r="AJ1232" s="15" t="str">
        <f t="shared" si="20"/>
        <v>EP-finished SS 304/316L pipes and tubes for VERIFY plants in Ramachandrapuram. ASME BPE SF1-SF4, Ra from 0.25 um, EN 10204 3.1 certificate with every lot.</v>
      </c>
      <c r="AK1232" s="15" t="str">
        <f t="shared" si="21"/>
        <v>Electropolished stainless steel pipes supplied by Sakshi Forge to VERIFY plants at APIIC Industrial Area, Ramachandrapuram</v>
      </c>
      <c r="AL1232" s="15" t="str">
        <f t="shared" si="22"/>
        <v>Electropolished SS 316L tube stock for Ramachandrapuram - Sakshi Forge</v>
      </c>
      <c r="AM1232" s="15" t="str">
        <f t="shared" si="23"/>
        <v>Home &gt; Market Area &gt; India &gt; Andhra Pradesh &gt; Ramachandrapuram</v>
      </c>
      <c r="AN1232" s="15">
        <f t="shared" si="24"/>
        <v>750</v>
      </c>
      <c r="AO1232" s="15">
        <f t="shared" si="25"/>
        <v>6</v>
      </c>
      <c r="AP1232" s="15">
        <f t="shared" si="26"/>
        <v>6</v>
      </c>
      <c r="AQ1232" s="15">
        <f t="shared" si="27"/>
        <v>21</v>
      </c>
      <c r="AR1232" s="31"/>
      <c r="AS1232" s="31"/>
      <c r="AT1232" s="35" t="s">
        <v>222</v>
      </c>
      <c r="AU1232" s="35"/>
    </row>
    <row r="1233" ht="15.75" customHeight="1">
      <c r="A1233" s="15" t="s">
        <v>6330</v>
      </c>
      <c r="B1233" s="15" t="s">
        <v>60</v>
      </c>
      <c r="C1233" s="15" t="s">
        <v>1139</v>
      </c>
      <c r="D1233" s="15" t="s">
        <v>6331</v>
      </c>
      <c r="E1233" s="15" t="s">
        <v>6331</v>
      </c>
      <c r="F1233" s="58" t="s">
        <v>807</v>
      </c>
      <c r="G1233" s="66" t="s">
        <v>98</v>
      </c>
      <c r="H1233" s="18" t="s">
        <v>6333</v>
      </c>
      <c r="I1233" s="18" t="s">
        <v>8410</v>
      </c>
      <c r="J1233" s="18" t="s">
        <v>98</v>
      </c>
      <c r="K1233" s="18" t="s">
        <v>98</v>
      </c>
      <c r="L1233" s="18" t="s">
        <v>98</v>
      </c>
      <c r="M1233" s="18" t="s">
        <v>98</v>
      </c>
      <c r="N1233" s="18" t="s">
        <v>98</v>
      </c>
      <c r="O1233" s="18" t="s">
        <v>98</v>
      </c>
      <c r="P1233" s="15" t="str">
        <f t="shared" si="1"/>
        <v>VERIFY</v>
      </c>
      <c r="Q1233" s="15">
        <f t="shared" si="2"/>
        <v>6</v>
      </c>
      <c r="R1233" s="15">
        <f t="shared" si="3"/>
        <v>5</v>
      </c>
      <c r="S1233" s="15">
        <f t="shared" si="4"/>
        <v>5</v>
      </c>
      <c r="T1233" s="15" t="str">
        <f t="shared" si="5"/>
        <v>C-6</v>
      </c>
      <c r="U1233" s="15" t="str">
        <f t="shared" si="6"/>
        <v>T6-M5-H5-FC-6-VERIFY</v>
      </c>
      <c r="V1233" s="15">
        <f t="shared" si="7"/>
        <v>0</v>
      </c>
      <c r="W1233" s="31"/>
      <c r="X1233" s="15" t="str">
        <f t="shared" si="8"/>
        <v>ramnagar</v>
      </c>
      <c r="Y1233" s="32" t="str">
        <f t="shared" si="9"/>
        <v>https://steelmanufacturer.in/market-area/electropolished-pipes-manufacturer-in-ramnagar/</v>
      </c>
      <c r="Z1233" s="15" t="str">
        <f t="shared" si="10"/>
        <v>Electropolished Pipes Manufacturer in Ramnagar</v>
      </c>
      <c r="AA1233" s="15" t="str">
        <f t="shared" si="11"/>
        <v>OK (46)</v>
      </c>
      <c r="AB1233" s="15" t="str">
        <f t="shared" si="12"/>
        <v>Manufacturer of electropolished SS 316L tube serving Ramnagar. VERIFY. Ra 0.25-0.5 um, EN 10204 3.1 MTC.</v>
      </c>
      <c r="AC1233" s="15" t="str">
        <f t="shared" si="13"/>
        <v>PENDING RESEARCH</v>
      </c>
      <c r="AD1233" s="15" t="str">
        <f t="shared" si="14"/>
        <v>Electropolished Pipes Manufacturer in Ramnagar</v>
      </c>
      <c r="AE1233" s="15" t="str">
        <f t="shared" si="15"/>
        <v>Electropolished Tube Manufacturing Capability Serving Ramnagar</v>
      </c>
      <c r="AF1233" s="15" t="str">
        <f t="shared" si="16"/>
        <v>Electropolished Pipes Supplier in Ramnagar - From Order to Delivery</v>
      </c>
      <c r="AG1233" s="15" t="str">
        <f t="shared" si="17"/>
        <v>Stockist &amp; Wholesale Supply of Electropolished Pipes in Ramnagar</v>
      </c>
      <c r="AH1233" s="15" t="str">
        <f t="shared" si="18"/>
        <v>electropolished pipes manufacturer in Ramnagar, electropolished pipes supplier in Ramnagar, electropolished pipes wholesaler in Ramnagar, electropolished tube manufacturer Ramnagar, EP pipe supplier Ramnagar, sanitary tube supplier Ramnagar, ASME BPE tubing Ramnagar, ASTM A270 tube Ramnagar, SS 316L electropolished pipe Ramnagar</v>
      </c>
      <c r="AI1233" s="15" t="str">
        <f t="shared" si="19"/>
        <v>Electropolished Pipes Manufacturer &amp; Supplier in Ramnagar</v>
      </c>
      <c r="AJ1233" s="15" t="str">
        <f t="shared" si="20"/>
        <v>EP-finished SS 304/316L pipes and tubes for VERIFY plants in Ramnagar. ASME BPE SF1-SF4, Ra from 0.25 um, EN 10204 3.1 certificate with every lot.</v>
      </c>
      <c r="AK1233" s="15" t="str">
        <f t="shared" si="21"/>
        <v>Electropolished stainless steel pipes supplied by Sakshi Forge to VERIFY plants at SIIDCUL Industrial Area, Ramnagar</v>
      </c>
      <c r="AL1233" s="15" t="str">
        <f t="shared" si="22"/>
        <v>Electropolished SS 316L tube stock for Ramnagar - Sakshi Forge</v>
      </c>
      <c r="AM1233" s="15" t="str">
        <f t="shared" si="23"/>
        <v>Home &gt; Market Area &gt; India &gt; Uttarakhand &gt; Ramnagar</v>
      </c>
      <c r="AN1233" s="15">
        <f t="shared" si="24"/>
        <v>750</v>
      </c>
      <c r="AO1233" s="15">
        <f t="shared" si="25"/>
        <v>6</v>
      </c>
      <c r="AP1233" s="15">
        <f t="shared" si="26"/>
        <v>6</v>
      </c>
      <c r="AQ1233" s="15">
        <f t="shared" si="27"/>
        <v>21</v>
      </c>
      <c r="AR1233" s="31"/>
      <c r="AS1233" s="31"/>
      <c r="AT1233" s="35" t="s">
        <v>222</v>
      </c>
      <c r="AU1233" s="35"/>
    </row>
    <row r="1234" ht="15.75" customHeight="1">
      <c r="A1234" s="15" t="s">
        <v>6334</v>
      </c>
      <c r="B1234" s="15" t="s">
        <v>60</v>
      </c>
      <c r="C1234" s="15" t="s">
        <v>1165</v>
      </c>
      <c r="D1234" s="15" t="s">
        <v>6335</v>
      </c>
      <c r="E1234" s="15" t="s">
        <v>6335</v>
      </c>
      <c r="F1234" s="58" t="s">
        <v>807</v>
      </c>
      <c r="G1234" s="66" t="s">
        <v>98</v>
      </c>
      <c r="H1234" s="18" t="s">
        <v>6337</v>
      </c>
      <c r="I1234" s="18" t="s">
        <v>8404</v>
      </c>
      <c r="J1234" s="18" t="s">
        <v>98</v>
      </c>
      <c r="K1234" s="18" t="s">
        <v>98</v>
      </c>
      <c r="L1234" s="18" t="s">
        <v>98</v>
      </c>
      <c r="M1234" s="18" t="s">
        <v>98</v>
      </c>
      <c r="N1234" s="18" t="s">
        <v>98</v>
      </c>
      <c r="O1234" s="18" t="s">
        <v>98</v>
      </c>
      <c r="P1234" s="15" t="str">
        <f t="shared" si="1"/>
        <v>VERIFY</v>
      </c>
      <c r="Q1234" s="15">
        <f t="shared" si="2"/>
        <v>7</v>
      </c>
      <c r="R1234" s="15">
        <f t="shared" si="3"/>
        <v>6</v>
      </c>
      <c r="S1234" s="15">
        <f t="shared" si="4"/>
        <v>1</v>
      </c>
      <c r="T1234" s="15" t="str">
        <f t="shared" si="5"/>
        <v>C-1</v>
      </c>
      <c r="U1234" s="15" t="str">
        <f t="shared" si="6"/>
        <v>T7-M6-H1-FC-1-VERIFY</v>
      </c>
      <c r="V1234" s="15">
        <f t="shared" si="7"/>
        <v>0</v>
      </c>
      <c r="W1234" s="31"/>
      <c r="X1234" s="15" t="str">
        <f t="shared" si="8"/>
        <v>rampurhat</v>
      </c>
      <c r="Y1234" s="32" t="str">
        <f t="shared" si="9"/>
        <v>https://steelmanufacturer.in/market-area/electropolished-pipes-manufacturer-in-rampurhat/</v>
      </c>
      <c r="Z1234" s="15" t="str">
        <f t="shared" si="10"/>
        <v>Electropolished Pipes Manufacturer in Rampurhat</v>
      </c>
      <c r="AA1234" s="15" t="str">
        <f t="shared" si="11"/>
        <v>OK (47)</v>
      </c>
      <c r="AB1234" s="15" t="str">
        <f t="shared" si="12"/>
        <v>EP tube and pipe for VERIFY plants around WBIDC Industrial Area, Rampurhat. Made at our Mumbai works to ASTM A270 and ASME BPE SF1-SF4, with 3.1 MTC.</v>
      </c>
      <c r="AC1234" s="15" t="str">
        <f t="shared" si="13"/>
        <v>PENDING RESEARCH</v>
      </c>
      <c r="AD1234" s="15" t="str">
        <f t="shared" si="14"/>
        <v>Electropolished Pipes Manufacturer in Rampurhat</v>
      </c>
      <c r="AE1234" s="15" t="str">
        <f t="shared" si="15"/>
        <v>Electropolished Pipe &amp; Tube Manufacturing for Rampurhat - Grades, Finishes &amp; Certification</v>
      </c>
      <c r="AF1234" s="15" t="str">
        <f t="shared" si="16"/>
        <v>Electropolished Pipes Supplier in Rampurhat - Stock Sizes, Lead Time &amp; Delivery</v>
      </c>
      <c r="AG1234" s="15" t="str">
        <f t="shared" si="17"/>
        <v>Electropolished Pipes Wholesaler &amp; Stockist in Rampurhat - Bulk &amp; Project Pricing</v>
      </c>
      <c r="AH1234" s="15" t="str">
        <f t="shared" si="18"/>
        <v>electropolished pipes manufacturer in Rampurhat, electropolished pipes supplier in Rampurhat, electropolished pipes wholesaler in Rampurhat, electropolished tube manufacturer Rampurhat, EP pipe supplier Rampurhat, sanitary tube supplier Rampurhat, ASME BPE tubing Rampurhat, ASTM A270 tube Rampurhat, SS 316L electropolished pipe Rampurhat</v>
      </c>
      <c r="AI1234" s="15" t="str">
        <f t="shared" si="19"/>
        <v>Electropolished Pipes Manufacturer &amp; Supplier in Rampurhat</v>
      </c>
      <c r="AJ1234" s="15" t="str">
        <f t="shared" si="20"/>
        <v>EP-finished SS 304/316L pipes and tubes for VERIFY plants in Rampurhat. ASME BPE SF1-SF4, Ra from 0.25 um, EN 10204 3.1 certificate with every lot.</v>
      </c>
      <c r="AK1234" s="15" t="str">
        <f t="shared" si="21"/>
        <v>Electropolished stainless steel pipes supplied by Sakshi Forge to VERIFY plants at WBIDC Industrial Area, Rampurhat</v>
      </c>
      <c r="AL1234" s="15" t="str">
        <f t="shared" si="22"/>
        <v>Electropolished SS 316L tube stock for Rampurhat - Sakshi Forge</v>
      </c>
      <c r="AM1234" s="15" t="str">
        <f t="shared" si="23"/>
        <v>Home &gt; Market Area &gt; India &gt; West Bengal &gt; Rampurhat</v>
      </c>
      <c r="AN1234" s="15">
        <f t="shared" si="24"/>
        <v>750</v>
      </c>
      <c r="AO1234" s="15">
        <f t="shared" si="25"/>
        <v>6</v>
      </c>
      <c r="AP1234" s="15">
        <f t="shared" si="26"/>
        <v>6</v>
      </c>
      <c r="AQ1234" s="15">
        <f t="shared" si="27"/>
        <v>21</v>
      </c>
      <c r="AR1234" s="31"/>
      <c r="AS1234" s="31"/>
      <c r="AT1234" s="35" t="s">
        <v>222</v>
      </c>
      <c r="AU1234" s="35"/>
    </row>
    <row r="1235" ht="15.75" customHeight="1">
      <c r="A1235" s="15" t="s">
        <v>6338</v>
      </c>
      <c r="B1235" s="15" t="s">
        <v>60</v>
      </c>
      <c r="C1235" s="15" t="s">
        <v>1165</v>
      </c>
      <c r="D1235" s="15" t="s">
        <v>6339</v>
      </c>
      <c r="E1235" s="15" t="s">
        <v>6339</v>
      </c>
      <c r="F1235" s="58" t="s">
        <v>807</v>
      </c>
      <c r="G1235" s="66" t="s">
        <v>98</v>
      </c>
      <c r="H1235" s="18" t="s">
        <v>6341</v>
      </c>
      <c r="I1235" s="18" t="s">
        <v>8404</v>
      </c>
      <c r="J1235" s="18" t="s">
        <v>98</v>
      </c>
      <c r="K1235" s="18" t="s">
        <v>98</v>
      </c>
      <c r="L1235" s="18" t="s">
        <v>98</v>
      </c>
      <c r="M1235" s="18" t="s">
        <v>98</v>
      </c>
      <c r="N1235" s="18" t="s">
        <v>98</v>
      </c>
      <c r="O1235" s="18" t="s">
        <v>98</v>
      </c>
      <c r="P1235" s="15" t="str">
        <f t="shared" si="1"/>
        <v>VERIFY</v>
      </c>
      <c r="Q1235" s="15">
        <f t="shared" si="2"/>
        <v>8</v>
      </c>
      <c r="R1235" s="15">
        <f t="shared" si="3"/>
        <v>7</v>
      </c>
      <c r="S1235" s="15">
        <f t="shared" si="4"/>
        <v>2</v>
      </c>
      <c r="T1235" s="15" t="str">
        <f t="shared" si="5"/>
        <v>C-2</v>
      </c>
      <c r="U1235" s="15" t="str">
        <f t="shared" si="6"/>
        <v>T8-M7-H2-FC-2-VERIFY</v>
      </c>
      <c r="V1235" s="15">
        <f t="shared" si="7"/>
        <v>0</v>
      </c>
      <c r="W1235" s="31"/>
      <c r="X1235" s="15" t="str">
        <f t="shared" si="8"/>
        <v>ranaghat</v>
      </c>
      <c r="Y1235" s="32" t="str">
        <f t="shared" si="9"/>
        <v>https://steelmanufacturer.in/market-area/electropolished-pipes-manufacturer-in-ranaghat/</v>
      </c>
      <c r="Z1235" s="15" t="str">
        <f t="shared" si="10"/>
        <v>Electropolished Pipes Manufacturer in Ranaghat - EP Tube Stockist</v>
      </c>
      <c r="AA1235" s="15" t="str">
        <f t="shared" si="11"/>
        <v>OK (65)</v>
      </c>
      <c r="AB1235" s="15" t="str">
        <f t="shared" si="12"/>
        <v>Electropolished pipes in Ranaghat: 304, 304L, 316 and 316L in SF1-SF4. VERIFY. Mill certified.</v>
      </c>
      <c r="AC1235" s="15" t="str">
        <f t="shared" si="13"/>
        <v>PENDING RESEARCH</v>
      </c>
      <c r="AD1235" s="15" t="str">
        <f t="shared" si="14"/>
        <v>Electropolished Pipes Manufacturer in Ranaghat</v>
      </c>
      <c r="AE1235" s="15" t="str">
        <f t="shared" si="15"/>
        <v>How We Manufacture Electropolished Tube for Ranaghat Plants</v>
      </c>
      <c r="AF1235" s="15" t="str">
        <f t="shared" si="16"/>
        <v>Supplying Electropolished Pipes in Ranaghat: Availability, Sizes &amp; Dispatch</v>
      </c>
      <c r="AG1235" s="15" t="str">
        <f t="shared" si="17"/>
        <v>Wholesale Electropolished Pipe Supply for Ranaghat Projects</v>
      </c>
      <c r="AH1235" s="15" t="str">
        <f t="shared" si="18"/>
        <v>electropolished pipes manufacturer in Ranaghat, electropolished pipes supplier in Ranaghat, electropolished pipes wholesaler in Ranaghat, electropolished tube manufacturer Ranaghat, EP pipe supplier Ranaghat, sanitary tube supplier Ranaghat, ASME BPE tubing Ranaghat, ASTM A270 tube Ranaghat, SS 316L electropolished pipe Ranaghat</v>
      </c>
      <c r="AI1235" s="15" t="str">
        <f t="shared" si="19"/>
        <v>Electropolished Pipes Manufacturer &amp; Supplier in Ranaghat</v>
      </c>
      <c r="AJ1235" s="15" t="str">
        <f t="shared" si="20"/>
        <v>EP-finished SS 304/316L pipes and tubes for VERIFY plants in Ranaghat. ASME BPE SF1-SF4, Ra from 0.25 um, EN 10204 3.1 certificate with every lot.</v>
      </c>
      <c r="AK1235" s="15" t="str">
        <f t="shared" si="21"/>
        <v>Electropolished stainless steel pipes supplied by Sakshi Forge to VERIFY plants at WBIDC Industrial Area, Ranaghat</v>
      </c>
      <c r="AL1235" s="15" t="str">
        <f t="shared" si="22"/>
        <v>Electropolished SS 316L tube stock for Ranaghat - Sakshi Forge</v>
      </c>
      <c r="AM1235" s="15" t="str">
        <f t="shared" si="23"/>
        <v>Home &gt; Market Area &gt; India &gt; West Bengal &gt; Ranaghat</v>
      </c>
      <c r="AN1235" s="15">
        <f t="shared" si="24"/>
        <v>750</v>
      </c>
      <c r="AO1235" s="15">
        <f t="shared" si="25"/>
        <v>6</v>
      </c>
      <c r="AP1235" s="15">
        <f t="shared" si="26"/>
        <v>6</v>
      </c>
      <c r="AQ1235" s="15">
        <f t="shared" si="27"/>
        <v>21</v>
      </c>
      <c r="AR1235" s="31"/>
      <c r="AS1235" s="31"/>
      <c r="AT1235" s="35" t="s">
        <v>222</v>
      </c>
      <c r="AU1235" s="35"/>
    </row>
    <row r="1236" ht="15.75" customHeight="1">
      <c r="A1236" s="15" t="s">
        <v>6342</v>
      </c>
      <c r="B1236" s="15" t="s">
        <v>60</v>
      </c>
      <c r="C1236" s="15" t="s">
        <v>413</v>
      </c>
      <c r="D1236" s="15" t="s">
        <v>6343</v>
      </c>
      <c r="E1236" s="15" t="s">
        <v>6343</v>
      </c>
      <c r="F1236" s="58" t="s">
        <v>807</v>
      </c>
      <c r="G1236" s="66" t="s">
        <v>98</v>
      </c>
      <c r="H1236" s="18" t="s">
        <v>6345</v>
      </c>
      <c r="I1236" s="18" t="s">
        <v>8393</v>
      </c>
      <c r="J1236" s="18" t="s">
        <v>98</v>
      </c>
      <c r="K1236" s="18" t="s">
        <v>98</v>
      </c>
      <c r="L1236" s="18" t="s">
        <v>98</v>
      </c>
      <c r="M1236" s="18" t="s">
        <v>98</v>
      </c>
      <c r="N1236" s="18" t="s">
        <v>98</v>
      </c>
      <c r="O1236" s="18" t="s">
        <v>98</v>
      </c>
      <c r="P1236" s="15" t="str">
        <f t="shared" si="1"/>
        <v>VERIFY</v>
      </c>
      <c r="Q1236" s="15">
        <f t="shared" si="2"/>
        <v>1</v>
      </c>
      <c r="R1236" s="15">
        <f t="shared" si="3"/>
        <v>1</v>
      </c>
      <c r="S1236" s="15">
        <f t="shared" si="4"/>
        <v>3</v>
      </c>
      <c r="T1236" s="15" t="str">
        <f t="shared" si="5"/>
        <v>C-3</v>
      </c>
      <c r="U1236" s="15" t="str">
        <f t="shared" si="6"/>
        <v>T1-M1-H3-FC-3-VERIFY</v>
      </c>
      <c r="V1236" s="15">
        <f t="shared" si="7"/>
        <v>0</v>
      </c>
      <c r="W1236" s="31"/>
      <c r="X1236" s="15" t="str">
        <f t="shared" si="8"/>
        <v>ranasthalam</v>
      </c>
      <c r="Y1236" s="32" t="str">
        <f t="shared" si="9"/>
        <v>https://steelmanufacturer.in/market-area/electropolished-pipes-manufacturer-in-ranasthalam/</v>
      </c>
      <c r="Z1236" s="15" t="str">
        <f t="shared" si="10"/>
        <v>Electropolished Pipes Manufacturer in Ranasthalam | Sakshi Forge</v>
      </c>
      <c r="AA1236" s="15" t="str">
        <f t="shared" si="11"/>
        <v>OK (64)</v>
      </c>
      <c r="AB1236" s="15" t="str">
        <f t="shared" si="12"/>
        <v>EP-finished SS 304/316L pipes &amp; tubes for VERIFY plants in Ranasthalam. ASTM A270, ASME BPE SF1-SF4, EN 10204 3.1 MTC. PMI tested.</v>
      </c>
      <c r="AC1236" s="15" t="str">
        <f t="shared" si="13"/>
        <v>PENDING RESEARCH</v>
      </c>
      <c r="AD1236" s="15" t="str">
        <f t="shared" si="14"/>
        <v>Electropolished Pipes Manufacturer in Ranasthalam</v>
      </c>
      <c r="AE1236" s="15" t="str">
        <f t="shared" si="15"/>
        <v>Electropolished Pipes Manufacturer in Ranasthalam - Our Process &amp; Capability</v>
      </c>
      <c r="AF1236" s="15" t="str">
        <f t="shared" si="16"/>
        <v>Electropolished Pipes Supplier in Ranasthalam - What We Hold in Stock</v>
      </c>
      <c r="AG1236" s="15" t="str">
        <f t="shared" si="17"/>
        <v>Bulk &amp; Wholesale Electropolished Pipe Rates for Ranasthalam Buyers</v>
      </c>
      <c r="AH1236" s="15" t="str">
        <f t="shared" si="18"/>
        <v>electropolished pipes manufacturer in Ranasthalam, electropolished pipes supplier in Ranasthalam, electropolished pipes wholesaler in Ranasthalam, electropolished tube manufacturer Ranasthalam, EP pipe supplier Ranasthalam, sanitary tube supplier Ranasthalam, ASME BPE tubing Ranasthalam, ASTM A270 tube Ranasthalam, SS 316L electropolished pipe Ranasthalam</v>
      </c>
      <c r="AI1236" s="15" t="str">
        <f t="shared" si="19"/>
        <v>Electropolished Pipes Manufacturer &amp; Supplier in Ranasthalam</v>
      </c>
      <c r="AJ1236" s="15" t="str">
        <f t="shared" si="20"/>
        <v>EP-finished SS 304/316L pipes and tubes for VERIFY plants in Ranasthalam. ASME BPE SF1-SF4, Ra from 0.25 um, EN 10204 3.1 certificate with every lot.</v>
      </c>
      <c r="AK1236" s="15" t="str">
        <f t="shared" si="21"/>
        <v>Electropolished stainless steel pipes supplied by Sakshi Forge to VERIFY plants at APIIC Industrial Area, Ranasthalam</v>
      </c>
      <c r="AL1236" s="15" t="str">
        <f t="shared" si="22"/>
        <v>Electropolished SS 316L tube stock for Ranasthalam - Sakshi Forge</v>
      </c>
      <c r="AM1236" s="15" t="str">
        <f t="shared" si="23"/>
        <v>Home &gt; Market Area &gt; India &gt; Andhra Pradesh &gt; Ranasthalam</v>
      </c>
      <c r="AN1236" s="15">
        <f t="shared" si="24"/>
        <v>750</v>
      </c>
      <c r="AO1236" s="15">
        <f t="shared" si="25"/>
        <v>6</v>
      </c>
      <c r="AP1236" s="15">
        <f t="shared" si="26"/>
        <v>6</v>
      </c>
      <c r="AQ1236" s="15">
        <f t="shared" si="27"/>
        <v>21</v>
      </c>
      <c r="AR1236" s="31"/>
      <c r="AS1236" s="31"/>
      <c r="AT1236" s="35" t="s">
        <v>222</v>
      </c>
      <c r="AU1236" s="35"/>
    </row>
    <row r="1237" ht="15.75" customHeight="1">
      <c r="A1237" s="15" t="s">
        <v>6346</v>
      </c>
      <c r="B1237" s="15" t="s">
        <v>60</v>
      </c>
      <c r="C1237" s="15" t="s">
        <v>245</v>
      </c>
      <c r="D1237" s="15" t="s">
        <v>6347</v>
      </c>
      <c r="E1237" s="15" t="s">
        <v>6347</v>
      </c>
      <c r="F1237" s="58" t="s">
        <v>807</v>
      </c>
      <c r="G1237" s="66" t="s">
        <v>98</v>
      </c>
      <c r="H1237" s="18" t="s">
        <v>6349</v>
      </c>
      <c r="I1237" s="18" t="s">
        <v>8407</v>
      </c>
      <c r="J1237" s="18" t="s">
        <v>98</v>
      </c>
      <c r="K1237" s="18" t="s">
        <v>98</v>
      </c>
      <c r="L1237" s="18" t="s">
        <v>98</v>
      </c>
      <c r="M1237" s="18" t="s">
        <v>98</v>
      </c>
      <c r="N1237" s="18" t="s">
        <v>98</v>
      </c>
      <c r="O1237" s="18" t="s">
        <v>98</v>
      </c>
      <c r="P1237" s="15" t="str">
        <f t="shared" si="1"/>
        <v>VERIFY</v>
      </c>
      <c r="Q1237" s="15">
        <f t="shared" si="2"/>
        <v>2</v>
      </c>
      <c r="R1237" s="15">
        <f t="shared" si="3"/>
        <v>2</v>
      </c>
      <c r="S1237" s="15">
        <f t="shared" si="4"/>
        <v>4</v>
      </c>
      <c r="T1237" s="15" t="str">
        <f t="shared" si="5"/>
        <v>C-4</v>
      </c>
      <c r="U1237" s="15" t="str">
        <f t="shared" si="6"/>
        <v>T2-M2-H4-FC-4-VERIFY</v>
      </c>
      <c r="V1237" s="15">
        <f t="shared" si="7"/>
        <v>0</v>
      </c>
      <c r="W1237" s="31"/>
      <c r="X1237" s="15" t="str">
        <f t="shared" si="8"/>
        <v>rania</v>
      </c>
      <c r="Y1237" s="32" t="str">
        <f t="shared" si="9"/>
        <v>https://steelmanufacturer.in/market-area/electropolished-pipes-manufacturer-in-rania/</v>
      </c>
      <c r="Z1237" s="15" t="str">
        <f t="shared" si="10"/>
        <v>Electropolished Pipes Manufacturer in Rania</v>
      </c>
      <c r="AA1237" s="15" t="str">
        <f t="shared" si="11"/>
        <v>OK (43)</v>
      </c>
      <c r="AB1237" s="15" t="str">
        <f t="shared" si="12"/>
        <v>Electropolished tube supply to HSIIDC Industrial Area, Rania. Ra from 0.25 um, SF4 finish, mill test certificate with every lot.</v>
      </c>
      <c r="AC1237" s="15" t="str">
        <f t="shared" si="13"/>
        <v>PENDING RESEARCH</v>
      </c>
      <c r="AD1237" s="15" t="str">
        <f t="shared" si="14"/>
        <v>Electropolished Pipes Manufacturer in Rania</v>
      </c>
      <c r="AE1237" s="15" t="str">
        <f t="shared" si="15"/>
        <v>Manufacturing Electropolished SS Tube for Rania: The Standards We Build To</v>
      </c>
      <c r="AF1237" s="15" t="str">
        <f t="shared" si="16"/>
        <v>Electropolished Pipe Supply Into Rania - Certification &amp; Transit</v>
      </c>
      <c r="AG1237" s="15" t="str">
        <f t="shared" si="17"/>
        <v>Electropolished Pipes Wholesaler in Rania - Project Quantities &amp; Terms</v>
      </c>
      <c r="AH1237" s="15" t="str">
        <f t="shared" si="18"/>
        <v>electropolished pipes manufacturer in Rania, electropolished pipes supplier in Rania, electropolished pipes wholesaler in Rania, electropolished tube manufacturer Rania, EP pipe supplier Rania, sanitary tube supplier Rania, ASME BPE tubing Rania, ASTM A270 tube Rania, SS 316L electropolished pipe Rania</v>
      </c>
      <c r="AI1237" s="15" t="str">
        <f t="shared" si="19"/>
        <v>Electropolished Pipes Manufacturer &amp; Supplier in Rania</v>
      </c>
      <c r="AJ1237" s="15" t="str">
        <f t="shared" si="20"/>
        <v>EP-finished SS 304/316L pipes and tubes for VERIFY plants in Rania. ASME BPE SF1-SF4, Ra from 0.25 um, EN 10204 3.1 certificate with every lot.</v>
      </c>
      <c r="AK1237" s="15" t="str">
        <f t="shared" si="21"/>
        <v>Electropolished stainless steel pipes supplied by Sakshi Forge to VERIFY plants at HSIIDC Industrial Area, Rania</v>
      </c>
      <c r="AL1237" s="15" t="str">
        <f t="shared" si="22"/>
        <v>Electropolished SS 316L tube stock for Rania - Sakshi Forge</v>
      </c>
      <c r="AM1237" s="15" t="str">
        <f t="shared" si="23"/>
        <v>Home &gt; Market Area &gt; India &gt; Haryana &gt; Rania</v>
      </c>
      <c r="AN1237" s="15">
        <f t="shared" si="24"/>
        <v>750</v>
      </c>
      <c r="AO1237" s="15">
        <f t="shared" si="25"/>
        <v>6</v>
      </c>
      <c r="AP1237" s="15">
        <f t="shared" si="26"/>
        <v>6</v>
      </c>
      <c r="AQ1237" s="15">
        <f t="shared" si="27"/>
        <v>21</v>
      </c>
      <c r="AR1237" s="31"/>
      <c r="AS1237" s="31"/>
      <c r="AT1237" s="35" t="s">
        <v>222</v>
      </c>
      <c r="AU1237" s="35"/>
    </row>
    <row r="1238" ht="15.75" customHeight="1">
      <c r="A1238" s="15" t="s">
        <v>6350</v>
      </c>
      <c r="B1238" s="15" t="s">
        <v>60</v>
      </c>
      <c r="C1238" s="15" t="s">
        <v>224</v>
      </c>
      <c r="D1238" s="15" t="s">
        <v>6351</v>
      </c>
      <c r="E1238" s="15" t="s">
        <v>6351</v>
      </c>
      <c r="F1238" s="58" t="s">
        <v>807</v>
      </c>
      <c r="G1238" s="66" t="s">
        <v>98</v>
      </c>
      <c r="H1238" s="18" t="s">
        <v>6353</v>
      </c>
      <c r="I1238" s="18" t="s">
        <v>8400</v>
      </c>
      <c r="J1238" s="18" t="s">
        <v>98</v>
      </c>
      <c r="K1238" s="18" t="s">
        <v>98</v>
      </c>
      <c r="L1238" s="18" t="s">
        <v>98</v>
      </c>
      <c r="M1238" s="18" t="s">
        <v>98</v>
      </c>
      <c r="N1238" s="18" t="s">
        <v>98</v>
      </c>
      <c r="O1238" s="18" t="s">
        <v>98</v>
      </c>
      <c r="P1238" s="15" t="str">
        <f t="shared" si="1"/>
        <v>VERIFY</v>
      </c>
      <c r="Q1238" s="15">
        <f t="shared" si="2"/>
        <v>3</v>
      </c>
      <c r="R1238" s="15">
        <f t="shared" si="3"/>
        <v>3</v>
      </c>
      <c r="S1238" s="15">
        <f t="shared" si="4"/>
        <v>5</v>
      </c>
      <c r="T1238" s="15" t="str">
        <f t="shared" si="5"/>
        <v>C-5</v>
      </c>
      <c r="U1238" s="15" t="str">
        <f t="shared" si="6"/>
        <v>T3-M3-H5-FC-5-VERIFY</v>
      </c>
      <c r="V1238" s="15">
        <f t="shared" si="7"/>
        <v>0</v>
      </c>
      <c r="W1238" s="31"/>
      <c r="X1238" s="15" t="str">
        <f t="shared" si="8"/>
        <v>rapar</v>
      </c>
      <c r="Y1238" s="32" t="str">
        <f t="shared" si="9"/>
        <v>https://steelmanufacturer.in/market-area/electropolished-pipes-manufacturer-in-rapar/</v>
      </c>
      <c r="Z1238" s="15" t="str">
        <f t="shared" si="10"/>
        <v>Electropolished Pipes Manufacturer in Rapar | EP Tube Supplier</v>
      </c>
      <c r="AA1238" s="15" t="str">
        <f t="shared" si="11"/>
        <v>OK (62)</v>
      </c>
      <c r="AB1238" s="15" t="str">
        <f t="shared" si="12"/>
        <v>EP stainless tube for VERIFY lines in Rapar. VERIFY. ASTM A270 S2, PMI tested, EN 10204 3.1.</v>
      </c>
      <c r="AC1238" s="15" t="str">
        <f t="shared" si="13"/>
        <v>PENDING RESEARCH</v>
      </c>
      <c r="AD1238" s="15" t="str">
        <f t="shared" si="14"/>
        <v>Electropolished Pipes Manufacturer in Rapar</v>
      </c>
      <c r="AE1238" s="15" t="str">
        <f t="shared" si="15"/>
        <v>Electropolished Tube Manufacturing Capability Serving Rapar</v>
      </c>
      <c r="AF1238" s="15" t="str">
        <f t="shared" si="16"/>
        <v>Electropolished Pipes Supplier in Rapar - From Order to Delivery</v>
      </c>
      <c r="AG1238" s="15" t="str">
        <f t="shared" si="17"/>
        <v>Stockist &amp; Wholesale Supply of Electropolished Pipes in Rapar</v>
      </c>
      <c r="AH1238" s="15" t="str">
        <f t="shared" si="18"/>
        <v>electropolished pipes manufacturer in Rapar, electropolished pipes supplier in Rapar, electropolished pipes wholesaler in Rapar, electropolished tube manufacturer Rapar, EP pipe supplier Rapar, sanitary tube supplier Rapar, ASME BPE tubing Rapar, ASTM A270 tube Rapar, SS 316L electropolished pipe Rapar</v>
      </c>
      <c r="AI1238" s="15" t="str">
        <f t="shared" si="19"/>
        <v>Electropolished Pipes Manufacturer &amp; Supplier in Rapar</v>
      </c>
      <c r="AJ1238" s="15" t="str">
        <f t="shared" si="20"/>
        <v>EP-finished SS 304/316L pipes and tubes for VERIFY plants in Rapar. ASME BPE SF1-SF4, Ra from 0.25 um, EN 10204 3.1 certificate with every lot.</v>
      </c>
      <c r="AK1238" s="15" t="str">
        <f t="shared" si="21"/>
        <v>Electropolished stainless steel pipes supplied by Sakshi Forge to VERIFY plants at GIDC Industrial Area, Rapar</v>
      </c>
      <c r="AL1238" s="15" t="str">
        <f t="shared" si="22"/>
        <v>Electropolished SS 316L tube stock for Rapar - Sakshi Forge</v>
      </c>
      <c r="AM1238" s="15" t="str">
        <f t="shared" si="23"/>
        <v>Home &gt; Market Area &gt; India &gt; Gujarat &gt; Rapar</v>
      </c>
      <c r="AN1238" s="15">
        <f t="shared" si="24"/>
        <v>750</v>
      </c>
      <c r="AO1238" s="15">
        <f t="shared" si="25"/>
        <v>6</v>
      </c>
      <c r="AP1238" s="15">
        <f t="shared" si="26"/>
        <v>6</v>
      </c>
      <c r="AQ1238" s="15">
        <f t="shared" si="27"/>
        <v>21</v>
      </c>
      <c r="AR1238" s="31"/>
      <c r="AS1238" s="31"/>
      <c r="AT1238" s="35" t="s">
        <v>222</v>
      </c>
      <c r="AU1238" s="35"/>
    </row>
    <row r="1239" ht="15.75" customHeight="1">
      <c r="A1239" s="15" t="s">
        <v>6354</v>
      </c>
      <c r="B1239" s="15" t="s">
        <v>60</v>
      </c>
      <c r="C1239" s="15" t="s">
        <v>236</v>
      </c>
      <c r="D1239" s="15" t="s">
        <v>6355</v>
      </c>
      <c r="E1239" s="15" t="s">
        <v>6355</v>
      </c>
      <c r="F1239" s="58" t="s">
        <v>807</v>
      </c>
      <c r="G1239" s="66" t="s">
        <v>98</v>
      </c>
      <c r="H1239" s="18" t="s">
        <v>6357</v>
      </c>
      <c r="I1239" s="18" t="s">
        <v>8391</v>
      </c>
      <c r="J1239" s="18" t="s">
        <v>98</v>
      </c>
      <c r="K1239" s="18" t="s">
        <v>98</v>
      </c>
      <c r="L1239" s="18" t="s">
        <v>98</v>
      </c>
      <c r="M1239" s="18" t="s">
        <v>98</v>
      </c>
      <c r="N1239" s="18" t="s">
        <v>98</v>
      </c>
      <c r="O1239" s="18" t="s">
        <v>98</v>
      </c>
      <c r="P1239" s="15" t="str">
        <f t="shared" si="1"/>
        <v>VERIFY</v>
      </c>
      <c r="Q1239" s="15">
        <f t="shared" si="2"/>
        <v>4</v>
      </c>
      <c r="R1239" s="15">
        <f t="shared" si="3"/>
        <v>4</v>
      </c>
      <c r="S1239" s="15">
        <f t="shared" si="4"/>
        <v>1</v>
      </c>
      <c r="T1239" s="15" t="str">
        <f t="shared" si="5"/>
        <v>C-6</v>
      </c>
      <c r="U1239" s="15" t="str">
        <f t="shared" si="6"/>
        <v>T4-M4-H1-FC-6-VERIFY</v>
      </c>
      <c r="V1239" s="15">
        <f t="shared" si="7"/>
        <v>0</v>
      </c>
      <c r="W1239" s="31"/>
      <c r="X1239" s="15" t="str">
        <f t="shared" si="8"/>
        <v>ratangarh</v>
      </c>
      <c r="Y1239" s="32" t="str">
        <f t="shared" si="9"/>
        <v>https://steelmanufacturer.in/market-area/electropolished-pipes-manufacturer-in-ratangarh/</v>
      </c>
      <c r="Z1239" s="15" t="str">
        <f t="shared" si="10"/>
        <v>Electropolished Pipes Manufacturer in Ratangarh</v>
      </c>
      <c r="AA1239" s="15" t="str">
        <f t="shared" si="11"/>
        <v>OK (47)</v>
      </c>
      <c r="AB1239" s="15" t="str">
        <f t="shared" si="12"/>
        <v>Sanitary electropolished pipes in Ratangarh for VERIFY plants. ASME BPE SF1-SF4, orbital-weld ready, 3.1 MTC. Mumbai-made.</v>
      </c>
      <c r="AC1239" s="15" t="str">
        <f t="shared" si="13"/>
        <v>PENDING RESEARCH</v>
      </c>
      <c r="AD1239" s="15" t="str">
        <f t="shared" si="14"/>
        <v>Electropolished Pipes Manufacturer in Ratangarh</v>
      </c>
      <c r="AE1239" s="15" t="str">
        <f t="shared" si="15"/>
        <v>Electropolished Pipe &amp; Tube Manufacturing for Ratangarh - Grades, Finishes &amp; Certification</v>
      </c>
      <c r="AF1239" s="15" t="str">
        <f t="shared" si="16"/>
        <v>Electropolished Pipes Supplier in Ratangarh - Stock Sizes, Lead Time &amp; Delivery</v>
      </c>
      <c r="AG1239" s="15" t="str">
        <f t="shared" si="17"/>
        <v>Electropolished Pipes Wholesaler &amp; Stockist in Ratangarh - Bulk &amp; Project Pricing</v>
      </c>
      <c r="AH1239" s="15" t="str">
        <f t="shared" si="18"/>
        <v>electropolished pipes manufacturer in Ratangarh, electropolished pipes supplier in Ratangarh, electropolished pipes wholesaler in Ratangarh, electropolished tube manufacturer Ratangarh, EP pipe supplier Ratangarh, sanitary tube supplier Ratangarh, ASME BPE tubing Ratangarh, ASTM A270 tube Ratangarh, SS 316L electropolished pipe Ratangarh</v>
      </c>
      <c r="AI1239" s="15" t="str">
        <f t="shared" si="19"/>
        <v>Electropolished Pipes Manufacturer &amp; Supplier in Ratangarh</v>
      </c>
      <c r="AJ1239" s="15" t="str">
        <f t="shared" si="20"/>
        <v>EP-finished SS 304/316L pipes and tubes for VERIFY plants in Ratangarh. ASME BPE SF1-SF4, Ra from 0.25 um, EN 10204 3.1 certificate with every lot.</v>
      </c>
      <c r="AK1239" s="15" t="str">
        <f t="shared" si="21"/>
        <v>Electropolished stainless steel pipes supplied by Sakshi Forge to VERIFY plants at RIICO Industrial Area, Ratangarh</v>
      </c>
      <c r="AL1239" s="15" t="str">
        <f t="shared" si="22"/>
        <v>Electropolished SS 316L tube stock for Ratangarh - Sakshi Forge</v>
      </c>
      <c r="AM1239" s="15" t="str">
        <f t="shared" si="23"/>
        <v>Home &gt; Market Area &gt; India &gt; Rajasthan &gt; Ratangarh</v>
      </c>
      <c r="AN1239" s="15">
        <f t="shared" si="24"/>
        <v>750</v>
      </c>
      <c r="AO1239" s="15">
        <f t="shared" si="25"/>
        <v>6</v>
      </c>
      <c r="AP1239" s="15">
        <f t="shared" si="26"/>
        <v>6</v>
      </c>
      <c r="AQ1239" s="15">
        <f t="shared" si="27"/>
        <v>21</v>
      </c>
      <c r="AR1239" s="31"/>
      <c r="AS1239" s="31"/>
      <c r="AT1239" s="35" t="s">
        <v>222</v>
      </c>
      <c r="AU1239" s="35"/>
    </row>
    <row r="1240" ht="15.75" customHeight="1">
      <c r="A1240" s="15" t="s">
        <v>6358</v>
      </c>
      <c r="B1240" s="15" t="s">
        <v>60</v>
      </c>
      <c r="C1240" s="15" t="s">
        <v>245</v>
      </c>
      <c r="D1240" s="15" t="s">
        <v>6359</v>
      </c>
      <c r="E1240" s="15" t="s">
        <v>6359</v>
      </c>
      <c r="F1240" s="58" t="s">
        <v>807</v>
      </c>
      <c r="G1240" s="66" t="s">
        <v>98</v>
      </c>
      <c r="H1240" s="18" t="s">
        <v>6361</v>
      </c>
      <c r="I1240" s="18" t="s">
        <v>8407</v>
      </c>
      <c r="J1240" s="18" t="s">
        <v>98</v>
      </c>
      <c r="K1240" s="18" t="s">
        <v>98</v>
      </c>
      <c r="L1240" s="18" t="s">
        <v>98</v>
      </c>
      <c r="M1240" s="18" t="s">
        <v>98</v>
      </c>
      <c r="N1240" s="18" t="s">
        <v>98</v>
      </c>
      <c r="O1240" s="18" t="s">
        <v>98</v>
      </c>
      <c r="P1240" s="15" t="str">
        <f t="shared" si="1"/>
        <v>VERIFY</v>
      </c>
      <c r="Q1240" s="15">
        <f t="shared" si="2"/>
        <v>5</v>
      </c>
      <c r="R1240" s="15">
        <f t="shared" si="3"/>
        <v>5</v>
      </c>
      <c r="S1240" s="15">
        <f t="shared" si="4"/>
        <v>2</v>
      </c>
      <c r="T1240" s="15" t="str">
        <f t="shared" si="5"/>
        <v>C-1</v>
      </c>
      <c r="U1240" s="15" t="str">
        <f t="shared" si="6"/>
        <v>T5-M5-H2-FC-1-VERIFY</v>
      </c>
      <c r="V1240" s="15">
        <f t="shared" si="7"/>
        <v>0</v>
      </c>
      <c r="W1240" s="31"/>
      <c r="X1240" s="15" t="str">
        <f t="shared" si="8"/>
        <v>ratia</v>
      </c>
      <c r="Y1240" s="32" t="str">
        <f t="shared" si="9"/>
        <v>https://steelmanufacturer.in/market-area/electropolished-pipes-manufacturer-in-ratia/</v>
      </c>
      <c r="Z1240" s="15" t="str">
        <f t="shared" si="10"/>
        <v>Electropolished Pipes Manufacturer in Ratia</v>
      </c>
      <c r="AA1240" s="15" t="str">
        <f t="shared" si="11"/>
        <v>OK (43)</v>
      </c>
      <c r="AB1240" s="15" t="str">
        <f t="shared" si="12"/>
        <v>Manufacturer of electropolished SS 316L tube serving Ratia. VERIFY. Ra 0.25-0.5 um, EN 10204 3.1 MTC.</v>
      </c>
      <c r="AC1240" s="15" t="str">
        <f t="shared" si="13"/>
        <v>PENDING RESEARCH</v>
      </c>
      <c r="AD1240" s="15" t="str">
        <f t="shared" si="14"/>
        <v>Electropolished Pipes Manufacturer in Ratia</v>
      </c>
      <c r="AE1240" s="15" t="str">
        <f t="shared" si="15"/>
        <v>How We Manufacture Electropolished Tube for Ratia Plants</v>
      </c>
      <c r="AF1240" s="15" t="str">
        <f t="shared" si="16"/>
        <v>Supplying Electropolished Pipes in Ratia: Availability, Sizes &amp; Dispatch</v>
      </c>
      <c r="AG1240" s="15" t="str">
        <f t="shared" si="17"/>
        <v>Wholesale Electropolished Pipe Supply for Ratia Projects</v>
      </c>
      <c r="AH1240" s="15" t="str">
        <f t="shared" si="18"/>
        <v>electropolished pipes manufacturer in Ratia, electropolished pipes supplier in Ratia, electropolished pipes wholesaler in Ratia, electropolished tube manufacturer Ratia, EP pipe supplier Ratia, sanitary tube supplier Ratia, ASME BPE tubing Ratia, ASTM A270 tube Ratia, SS 316L electropolished pipe Ratia</v>
      </c>
      <c r="AI1240" s="15" t="str">
        <f t="shared" si="19"/>
        <v>Electropolished Pipes Manufacturer &amp; Supplier in Ratia</v>
      </c>
      <c r="AJ1240" s="15" t="str">
        <f t="shared" si="20"/>
        <v>EP-finished SS 304/316L pipes and tubes for VERIFY plants in Ratia. ASME BPE SF1-SF4, Ra from 0.25 um, EN 10204 3.1 certificate with every lot.</v>
      </c>
      <c r="AK1240" s="15" t="str">
        <f t="shared" si="21"/>
        <v>Electropolished stainless steel pipes supplied by Sakshi Forge to VERIFY plants at HSIIDC Industrial Area, Ratia</v>
      </c>
      <c r="AL1240" s="15" t="str">
        <f t="shared" si="22"/>
        <v>Electropolished SS 316L tube stock for Ratia - Sakshi Forge</v>
      </c>
      <c r="AM1240" s="15" t="str">
        <f t="shared" si="23"/>
        <v>Home &gt; Market Area &gt; India &gt; Haryana &gt; Ratia</v>
      </c>
      <c r="AN1240" s="15">
        <f t="shared" si="24"/>
        <v>750</v>
      </c>
      <c r="AO1240" s="15">
        <f t="shared" si="25"/>
        <v>6</v>
      </c>
      <c r="AP1240" s="15">
        <f t="shared" si="26"/>
        <v>6</v>
      </c>
      <c r="AQ1240" s="15">
        <f t="shared" si="27"/>
        <v>21</v>
      </c>
      <c r="AR1240" s="31"/>
      <c r="AS1240" s="31"/>
      <c r="AT1240" s="35" t="s">
        <v>222</v>
      </c>
      <c r="AU1240" s="35"/>
    </row>
    <row r="1241" ht="15.75" customHeight="1">
      <c r="A1241" s="15" t="s">
        <v>6363</v>
      </c>
      <c r="B1241" s="15" t="s">
        <v>60</v>
      </c>
      <c r="C1241" s="15" t="s">
        <v>1139</v>
      </c>
      <c r="D1241" s="15" t="s">
        <v>6365</v>
      </c>
      <c r="E1241" s="15" t="s">
        <v>6365</v>
      </c>
      <c r="F1241" s="58" t="s">
        <v>807</v>
      </c>
      <c r="G1241" s="66" t="s">
        <v>98</v>
      </c>
      <c r="H1241" s="18" t="s">
        <v>4320</v>
      </c>
      <c r="I1241" s="18" t="s">
        <v>8410</v>
      </c>
      <c r="J1241" s="18" t="s">
        <v>98</v>
      </c>
      <c r="K1241" s="18" t="s">
        <v>98</v>
      </c>
      <c r="L1241" s="18" t="s">
        <v>98</v>
      </c>
      <c r="M1241" s="18" t="s">
        <v>98</v>
      </c>
      <c r="N1241" s="18" t="s">
        <v>98</v>
      </c>
      <c r="O1241" s="18" t="s">
        <v>98</v>
      </c>
      <c r="P1241" s="15" t="str">
        <f t="shared" si="1"/>
        <v>VERIFY</v>
      </c>
      <c r="Q1241" s="15">
        <f t="shared" si="2"/>
        <v>6</v>
      </c>
      <c r="R1241" s="15">
        <f t="shared" si="3"/>
        <v>6</v>
      </c>
      <c r="S1241" s="15">
        <f t="shared" si="4"/>
        <v>3</v>
      </c>
      <c r="T1241" s="15" t="str">
        <f t="shared" si="5"/>
        <v>C-2</v>
      </c>
      <c r="U1241" s="15" t="str">
        <f t="shared" si="6"/>
        <v>T6-M6-H3-FC-2-VERIFY</v>
      </c>
      <c r="V1241" s="15">
        <f t="shared" si="7"/>
        <v>0</v>
      </c>
      <c r="W1241" s="31"/>
      <c r="X1241" s="15" t="str">
        <f t="shared" si="8"/>
        <v>rishikesh-idpl</v>
      </c>
      <c r="Y1241" s="32" t="str">
        <f t="shared" si="9"/>
        <v>https://steelmanufacturer.in/market-area/electropolished-pipes-manufacturer-in-rishikesh-idpl/</v>
      </c>
      <c r="Z1241" s="15" t="str">
        <f t="shared" si="10"/>
        <v>Electropolished Pipes Manufacturer in Rishikesh-IDPL</v>
      </c>
      <c r="AA1241" s="15" t="str">
        <f t="shared" si="11"/>
        <v>OK (52)</v>
      </c>
      <c r="AB1241" s="15" t="str">
        <f t="shared" si="12"/>
        <v>EP tube and pipe for VERIFY plants around SIIDCUL Industrial Area, Rishikesh-IDPL. Made at our Mumbai works to ASTM A270 and ASME BPE SF1-SF4, with 3.1 MTC.</v>
      </c>
      <c r="AC1241" s="15" t="str">
        <f t="shared" si="13"/>
        <v>PENDING RESEARCH</v>
      </c>
      <c r="AD1241" s="15" t="str">
        <f t="shared" si="14"/>
        <v>Electropolished Pipes Manufacturer in Rishikesh-IDPL</v>
      </c>
      <c r="AE1241" s="15" t="str">
        <f t="shared" si="15"/>
        <v>Electropolished Pipes Manufacturer in Rishikesh-IDPL - Our Process &amp; Capability</v>
      </c>
      <c r="AF1241" s="15" t="str">
        <f t="shared" si="16"/>
        <v>Electropolished Pipes Supplier in Rishikesh-IDPL - What We Hold in Stock</v>
      </c>
      <c r="AG1241" s="15" t="str">
        <f t="shared" si="17"/>
        <v>Bulk &amp; Wholesale Electropolished Pipe Rates for Rishikesh-IDPL Buyers</v>
      </c>
      <c r="AH1241" s="15" t="str">
        <f t="shared" si="18"/>
        <v>electropolished pipes manufacturer in Rishikesh-IDPL, electropolished pipes supplier in Rishikesh-IDPL, electropolished pipes wholesaler in Rishikesh-IDPL, electropolished tube manufacturer Rishikesh-IDPL, EP pipe supplier Rishikesh-IDPL, sanitary tube supplier Rishikesh-IDPL, ASME BPE tubing Rishikesh-IDPL, ASTM A270 tube Rishikesh-IDPL, SS 316L electropolished pipe Rishikesh-IDPL</v>
      </c>
      <c r="AI1241" s="15" t="str">
        <f t="shared" si="19"/>
        <v>Electropolished Pipes Manufacturer &amp; Supplier in Rishikesh-IDPL</v>
      </c>
      <c r="AJ1241" s="15" t="str">
        <f t="shared" si="20"/>
        <v>EP-finished SS 304/316L pipes and tubes for VERIFY plants in Rishikesh-IDPL. ASME BPE SF1-SF4, Ra from 0.25 um, EN 10204 3.1 certificate with every lot.</v>
      </c>
      <c r="AK1241" s="15" t="str">
        <f t="shared" si="21"/>
        <v>Electropolished stainless steel pipes supplied by Sakshi Forge to VERIFY plants at SIIDCUL Industrial Area, Rishikesh-IDPL</v>
      </c>
      <c r="AL1241" s="15" t="str">
        <f t="shared" si="22"/>
        <v>Electropolished SS 316L tube stock for Rishikesh-IDPL - Sakshi Forge</v>
      </c>
      <c r="AM1241" s="15" t="str">
        <f t="shared" si="23"/>
        <v>Home &gt; Market Area &gt; India &gt; Uttarakhand &gt; Rishikesh-IDPL</v>
      </c>
      <c r="AN1241" s="15">
        <f t="shared" si="24"/>
        <v>750</v>
      </c>
      <c r="AO1241" s="15">
        <f t="shared" si="25"/>
        <v>6</v>
      </c>
      <c r="AP1241" s="15">
        <f t="shared" si="26"/>
        <v>6</v>
      </c>
      <c r="AQ1241" s="15">
        <f t="shared" si="27"/>
        <v>21</v>
      </c>
      <c r="AR1241" s="31"/>
      <c r="AS1241" s="31"/>
      <c r="AT1241" s="35" t="s">
        <v>222</v>
      </c>
      <c r="AU1241" s="35"/>
    </row>
    <row r="1242" ht="15.75" customHeight="1">
      <c r="A1242" s="15" t="s">
        <v>6369</v>
      </c>
      <c r="B1242" s="15" t="s">
        <v>60</v>
      </c>
      <c r="C1242" s="15" t="s">
        <v>236</v>
      </c>
      <c r="D1242" s="15" t="s">
        <v>6370</v>
      </c>
      <c r="E1242" s="15" t="s">
        <v>6370</v>
      </c>
      <c r="F1242" s="58" t="s">
        <v>807</v>
      </c>
      <c r="G1242" s="66" t="s">
        <v>98</v>
      </c>
      <c r="H1242" s="18" t="s">
        <v>6372</v>
      </c>
      <c r="I1242" s="18" t="s">
        <v>8391</v>
      </c>
      <c r="J1242" s="18" t="s">
        <v>98</v>
      </c>
      <c r="K1242" s="18" t="s">
        <v>98</v>
      </c>
      <c r="L1242" s="18" t="s">
        <v>98</v>
      </c>
      <c r="M1242" s="18" t="s">
        <v>98</v>
      </c>
      <c r="N1242" s="18" t="s">
        <v>98</v>
      </c>
      <c r="O1242" s="18" t="s">
        <v>98</v>
      </c>
      <c r="P1242" s="15" t="str">
        <f t="shared" si="1"/>
        <v>VERIFY</v>
      </c>
      <c r="Q1242" s="15">
        <f t="shared" si="2"/>
        <v>7</v>
      </c>
      <c r="R1242" s="15">
        <f t="shared" si="3"/>
        <v>7</v>
      </c>
      <c r="S1242" s="15">
        <f t="shared" si="4"/>
        <v>4</v>
      </c>
      <c r="T1242" s="15" t="str">
        <f t="shared" si="5"/>
        <v>C-3</v>
      </c>
      <c r="U1242" s="15" t="str">
        <f t="shared" si="6"/>
        <v>T7-M7-H4-FC-3-VERIFY</v>
      </c>
      <c r="V1242" s="15">
        <f t="shared" si="7"/>
        <v>0</v>
      </c>
      <c r="W1242" s="31"/>
      <c r="X1242" s="15" t="str">
        <f t="shared" si="8"/>
        <v>roopangarh</v>
      </c>
      <c r="Y1242" s="32" t="str">
        <f t="shared" si="9"/>
        <v>https://steelmanufacturer.in/market-area/electropolished-pipes-manufacturer-in-roopangarh/</v>
      </c>
      <c r="Z1242" s="15" t="str">
        <f t="shared" si="10"/>
        <v>Electropolished Pipes Manufacturer in Roopangarh</v>
      </c>
      <c r="AA1242" s="15" t="str">
        <f t="shared" si="11"/>
        <v>OK (48)</v>
      </c>
      <c r="AB1242" s="15" t="str">
        <f t="shared" si="12"/>
        <v>Electropolished pipes in Roopangarh: 304, 304L, 316 and 316L in SF1-SF4. VERIFY. Mill certified.</v>
      </c>
      <c r="AC1242" s="15" t="str">
        <f t="shared" si="13"/>
        <v>PENDING RESEARCH</v>
      </c>
      <c r="AD1242" s="15" t="str">
        <f t="shared" si="14"/>
        <v>Electropolished Pipes Manufacturer in Roopangarh</v>
      </c>
      <c r="AE1242" s="15" t="str">
        <f t="shared" si="15"/>
        <v>Manufacturing Electropolished SS Tube for Roopangarh: The Standards We Build To</v>
      </c>
      <c r="AF1242" s="15" t="str">
        <f t="shared" si="16"/>
        <v>Electropolished Pipe Supply Into Roopangarh - Certification &amp; Transit</v>
      </c>
      <c r="AG1242" s="15" t="str">
        <f t="shared" si="17"/>
        <v>Electropolished Pipes Wholesaler in Roopangarh - Project Quantities &amp; Terms</v>
      </c>
      <c r="AH1242" s="15" t="str">
        <f t="shared" si="18"/>
        <v>electropolished pipes manufacturer in Roopangarh, electropolished pipes supplier in Roopangarh, electropolished pipes wholesaler in Roopangarh, electropolished tube manufacturer Roopangarh, EP pipe supplier Roopangarh, sanitary tube supplier Roopangarh, ASME BPE tubing Roopangarh, ASTM A270 tube Roopangarh, SS 316L electropolished pipe Roopangarh</v>
      </c>
      <c r="AI1242" s="15" t="str">
        <f t="shared" si="19"/>
        <v>Electropolished Pipes Manufacturer &amp; Supplier in Roopangarh</v>
      </c>
      <c r="AJ1242" s="15" t="str">
        <f t="shared" si="20"/>
        <v>EP-finished SS 304/316L pipes and tubes for VERIFY plants in Roopangarh. ASME BPE SF1-SF4, Ra from 0.25 um, EN 10204 3.1 certificate with every lot.</v>
      </c>
      <c r="AK1242" s="15" t="str">
        <f t="shared" si="21"/>
        <v>Electropolished stainless steel pipes supplied by Sakshi Forge to VERIFY plants at RIICO Industrial Area, Roopangarh</v>
      </c>
      <c r="AL1242" s="15" t="str">
        <f t="shared" si="22"/>
        <v>Electropolished SS 316L tube stock for Roopangarh - Sakshi Forge</v>
      </c>
      <c r="AM1242" s="15" t="str">
        <f t="shared" si="23"/>
        <v>Home &gt; Market Area &gt; India &gt; Rajasthan &gt; Roopangarh</v>
      </c>
      <c r="AN1242" s="15">
        <f t="shared" si="24"/>
        <v>750</v>
      </c>
      <c r="AO1242" s="15">
        <f t="shared" si="25"/>
        <v>6</v>
      </c>
      <c r="AP1242" s="15">
        <f t="shared" si="26"/>
        <v>6</v>
      </c>
      <c r="AQ1242" s="15">
        <f t="shared" si="27"/>
        <v>21</v>
      </c>
      <c r="AR1242" s="31"/>
      <c r="AS1242" s="31"/>
      <c r="AT1242" s="35" t="s">
        <v>222</v>
      </c>
      <c r="AU1242" s="35"/>
    </row>
    <row r="1243" ht="15.75" customHeight="1">
      <c r="A1243" s="15" t="s">
        <v>6373</v>
      </c>
      <c r="B1243" s="15" t="s">
        <v>60</v>
      </c>
      <c r="C1243" s="15" t="s">
        <v>354</v>
      </c>
      <c r="D1243" s="15" t="s">
        <v>6374</v>
      </c>
      <c r="E1243" s="15" t="s">
        <v>6374</v>
      </c>
      <c r="F1243" s="58" t="s">
        <v>807</v>
      </c>
      <c r="G1243" s="66" t="s">
        <v>98</v>
      </c>
      <c r="H1243" s="18" t="s">
        <v>6376</v>
      </c>
      <c r="I1243" s="18" t="s">
        <v>8408</v>
      </c>
      <c r="J1243" s="18" t="s">
        <v>98</v>
      </c>
      <c r="K1243" s="18" t="s">
        <v>98</v>
      </c>
      <c r="L1243" s="18" t="s">
        <v>98</v>
      </c>
      <c r="M1243" s="18" t="s">
        <v>98</v>
      </c>
      <c r="N1243" s="18" t="s">
        <v>98</v>
      </c>
      <c r="O1243" s="18" t="s">
        <v>98</v>
      </c>
      <c r="P1243" s="15" t="str">
        <f t="shared" si="1"/>
        <v>VERIFY</v>
      </c>
      <c r="Q1243" s="15">
        <f t="shared" si="2"/>
        <v>8</v>
      </c>
      <c r="R1243" s="15">
        <f t="shared" si="3"/>
        <v>1</v>
      </c>
      <c r="S1243" s="15">
        <f t="shared" si="4"/>
        <v>5</v>
      </c>
      <c r="T1243" s="15" t="str">
        <f t="shared" si="5"/>
        <v>C-4</v>
      </c>
      <c r="U1243" s="15" t="str">
        <f t="shared" si="6"/>
        <v>T8-M1-H5-FC-4-VERIFY</v>
      </c>
      <c r="V1243" s="15">
        <f t="shared" si="7"/>
        <v>0</v>
      </c>
      <c r="W1243" s="31"/>
      <c r="X1243" s="15" t="str">
        <f t="shared" si="8"/>
        <v>ropar</v>
      </c>
      <c r="Y1243" s="32" t="str">
        <f t="shared" si="9"/>
        <v>https://steelmanufacturer.in/market-area/electropolished-pipes-manufacturer-in-ropar/</v>
      </c>
      <c r="Z1243" s="15" t="str">
        <f t="shared" si="10"/>
        <v>Electropolished Pipes Manufacturer in Ropar - EP Tube Stockist</v>
      </c>
      <c r="AA1243" s="15" t="str">
        <f t="shared" si="11"/>
        <v>OK (62)</v>
      </c>
      <c r="AB1243" s="15" t="str">
        <f t="shared" si="12"/>
        <v>EP-finished SS 304/316L pipes &amp; tubes for VERIFY plants in Ropar. ASTM A270, ASME BPE SF1-SF4, EN 10204 3.1 MTC. PMI tested.</v>
      </c>
      <c r="AC1243" s="15" t="str">
        <f t="shared" si="13"/>
        <v>PENDING RESEARCH</v>
      </c>
      <c r="AD1243" s="15" t="str">
        <f t="shared" si="14"/>
        <v>Electropolished Pipes Manufacturer in Ropar</v>
      </c>
      <c r="AE1243" s="15" t="str">
        <f t="shared" si="15"/>
        <v>Electropolished Tube Manufacturing Capability Serving Ropar</v>
      </c>
      <c r="AF1243" s="15" t="str">
        <f t="shared" si="16"/>
        <v>Electropolished Pipes Supplier in Ropar - From Order to Delivery</v>
      </c>
      <c r="AG1243" s="15" t="str">
        <f t="shared" si="17"/>
        <v>Stockist &amp; Wholesale Supply of Electropolished Pipes in Ropar</v>
      </c>
      <c r="AH1243" s="15" t="str">
        <f t="shared" si="18"/>
        <v>electropolished pipes manufacturer in Ropar, electropolished pipes supplier in Ropar, electropolished pipes wholesaler in Ropar, electropolished tube manufacturer Ropar, EP pipe supplier Ropar, sanitary tube supplier Ropar, ASME BPE tubing Ropar, ASTM A270 tube Ropar, SS 316L electropolished pipe Ropar</v>
      </c>
      <c r="AI1243" s="15" t="str">
        <f t="shared" si="19"/>
        <v>Electropolished Pipes Manufacturer &amp; Supplier in Ropar</v>
      </c>
      <c r="AJ1243" s="15" t="str">
        <f t="shared" si="20"/>
        <v>EP-finished SS 304/316L pipes and tubes for VERIFY plants in Ropar. ASME BPE SF1-SF4, Ra from 0.25 um, EN 10204 3.1 certificate with every lot.</v>
      </c>
      <c r="AK1243" s="15" t="str">
        <f t="shared" si="21"/>
        <v>Electropolished stainless steel pipes supplied by Sakshi Forge to VERIFY plants at PSIEC Industrial Area, Ropar</v>
      </c>
      <c r="AL1243" s="15" t="str">
        <f t="shared" si="22"/>
        <v>Electropolished SS 316L tube stock for Ropar - Sakshi Forge</v>
      </c>
      <c r="AM1243" s="15" t="str">
        <f t="shared" si="23"/>
        <v>Home &gt; Market Area &gt; India &gt; Punjab &gt; Ropar</v>
      </c>
      <c r="AN1243" s="15">
        <f t="shared" si="24"/>
        <v>750</v>
      </c>
      <c r="AO1243" s="15">
        <f t="shared" si="25"/>
        <v>6</v>
      </c>
      <c r="AP1243" s="15">
        <f t="shared" si="26"/>
        <v>6</v>
      </c>
      <c r="AQ1243" s="15">
        <f t="shared" si="27"/>
        <v>21</v>
      </c>
      <c r="AR1243" s="31"/>
      <c r="AS1243" s="31"/>
      <c r="AT1243" s="35" t="s">
        <v>222</v>
      </c>
      <c r="AU1243" s="35"/>
    </row>
    <row r="1244" ht="15.75" customHeight="1">
      <c r="A1244" s="15" t="s">
        <v>6377</v>
      </c>
      <c r="B1244" s="15" t="s">
        <v>60</v>
      </c>
      <c r="C1244" s="15" t="s">
        <v>1139</v>
      </c>
      <c r="D1244" s="15" t="s">
        <v>6378</v>
      </c>
      <c r="E1244" s="15" t="s">
        <v>6378</v>
      </c>
      <c r="F1244" s="58" t="s">
        <v>807</v>
      </c>
      <c r="G1244" s="66" t="s">
        <v>98</v>
      </c>
      <c r="H1244" s="18" t="s">
        <v>6380</v>
      </c>
      <c r="I1244" s="18" t="s">
        <v>8410</v>
      </c>
      <c r="J1244" s="18" t="s">
        <v>98</v>
      </c>
      <c r="K1244" s="18" t="s">
        <v>98</v>
      </c>
      <c r="L1244" s="18" t="s">
        <v>98</v>
      </c>
      <c r="M1244" s="18" t="s">
        <v>98</v>
      </c>
      <c r="N1244" s="18" t="s">
        <v>98</v>
      </c>
      <c r="O1244" s="18" t="s">
        <v>98</v>
      </c>
      <c r="P1244" s="15" t="str">
        <f t="shared" si="1"/>
        <v>VERIFY</v>
      </c>
      <c r="Q1244" s="15">
        <f t="shared" si="2"/>
        <v>1</v>
      </c>
      <c r="R1244" s="15">
        <f t="shared" si="3"/>
        <v>2</v>
      </c>
      <c r="S1244" s="15">
        <f t="shared" si="4"/>
        <v>1</v>
      </c>
      <c r="T1244" s="15" t="str">
        <f t="shared" si="5"/>
        <v>C-5</v>
      </c>
      <c r="U1244" s="15" t="str">
        <f t="shared" si="6"/>
        <v>T1-M2-H1-FC-5-VERIFY</v>
      </c>
      <c r="V1244" s="15">
        <f t="shared" si="7"/>
        <v>0</v>
      </c>
      <c r="W1244" s="31"/>
      <c r="X1244" s="15" t="str">
        <f t="shared" si="8"/>
        <v>rudraprayag</v>
      </c>
      <c r="Y1244" s="32" t="str">
        <f t="shared" si="9"/>
        <v>https://steelmanufacturer.in/market-area/electropolished-pipes-manufacturer-in-rudraprayag/</v>
      </c>
      <c r="Z1244" s="15" t="str">
        <f t="shared" si="10"/>
        <v>Electropolished Pipes Manufacturer in Rudraprayag | Sakshi Forge</v>
      </c>
      <c r="AA1244" s="15" t="str">
        <f t="shared" si="11"/>
        <v>OK (64)</v>
      </c>
      <c r="AB1244" s="15" t="str">
        <f t="shared" si="12"/>
        <v>Electropolished tube supply to SIIDCUL Industrial Area, Rudraprayag. Ra from 0.25 um, SF4 finish, mill test certificate with every lot.</v>
      </c>
      <c r="AC1244" s="15" t="str">
        <f t="shared" si="13"/>
        <v>PENDING RESEARCH</v>
      </c>
      <c r="AD1244" s="15" t="str">
        <f t="shared" si="14"/>
        <v>Electropolished Pipes Manufacturer in Rudraprayag</v>
      </c>
      <c r="AE1244" s="15" t="str">
        <f t="shared" si="15"/>
        <v>Electropolished Pipe &amp; Tube Manufacturing for Rudraprayag - Grades, Finishes &amp; Certification</v>
      </c>
      <c r="AF1244" s="15" t="str">
        <f t="shared" si="16"/>
        <v>Electropolished Pipes Supplier in Rudraprayag - Stock Sizes, Lead Time &amp; Delivery</v>
      </c>
      <c r="AG1244" s="15" t="str">
        <f t="shared" si="17"/>
        <v>Electropolished Pipes Wholesaler &amp; Stockist in Rudraprayag - Bulk &amp; Project Pricing</v>
      </c>
      <c r="AH1244" s="15" t="str">
        <f t="shared" si="18"/>
        <v>electropolished pipes manufacturer in Rudraprayag, electropolished pipes supplier in Rudraprayag, electropolished pipes wholesaler in Rudraprayag, electropolished tube manufacturer Rudraprayag, EP pipe supplier Rudraprayag, sanitary tube supplier Rudraprayag, ASME BPE tubing Rudraprayag, ASTM A270 tube Rudraprayag, SS 316L electropolished pipe Rudraprayag</v>
      </c>
      <c r="AI1244" s="15" t="str">
        <f t="shared" si="19"/>
        <v>Electropolished Pipes Manufacturer &amp; Supplier in Rudraprayag</v>
      </c>
      <c r="AJ1244" s="15" t="str">
        <f t="shared" si="20"/>
        <v>EP-finished SS 304/316L pipes and tubes for VERIFY plants in Rudraprayag. ASME BPE SF1-SF4, Ra from 0.25 um, EN 10204 3.1 certificate with every lot.</v>
      </c>
      <c r="AK1244" s="15" t="str">
        <f t="shared" si="21"/>
        <v>Electropolished stainless steel pipes supplied by Sakshi Forge to VERIFY plants at SIIDCUL Industrial Area, Rudraprayag</v>
      </c>
      <c r="AL1244" s="15" t="str">
        <f t="shared" si="22"/>
        <v>Electropolished SS 316L tube stock for Rudraprayag - Sakshi Forge</v>
      </c>
      <c r="AM1244" s="15" t="str">
        <f t="shared" si="23"/>
        <v>Home &gt; Market Area &gt; India &gt; Uttarakhand &gt; Rudraprayag</v>
      </c>
      <c r="AN1244" s="15">
        <f t="shared" si="24"/>
        <v>750</v>
      </c>
      <c r="AO1244" s="15">
        <f t="shared" si="25"/>
        <v>6</v>
      </c>
      <c r="AP1244" s="15">
        <f t="shared" si="26"/>
        <v>6</v>
      </c>
      <c r="AQ1244" s="15">
        <f t="shared" si="27"/>
        <v>21</v>
      </c>
      <c r="AR1244" s="31"/>
      <c r="AS1244" s="31"/>
      <c r="AT1244" s="35" t="s">
        <v>222</v>
      </c>
      <c r="AU1244" s="35"/>
    </row>
    <row r="1245" ht="15.75" customHeight="1">
      <c r="A1245" s="15" t="s">
        <v>6381</v>
      </c>
      <c r="B1245" s="15" t="s">
        <v>60</v>
      </c>
      <c r="C1245" s="15" t="s">
        <v>245</v>
      </c>
      <c r="D1245" s="15" t="s">
        <v>6382</v>
      </c>
      <c r="E1245" s="15" t="s">
        <v>6382</v>
      </c>
      <c r="F1245" s="58" t="s">
        <v>807</v>
      </c>
      <c r="G1245" s="66" t="s">
        <v>98</v>
      </c>
      <c r="H1245" s="18" t="s">
        <v>6384</v>
      </c>
      <c r="I1245" s="18" t="s">
        <v>8407</v>
      </c>
      <c r="J1245" s="18" t="s">
        <v>98</v>
      </c>
      <c r="K1245" s="18" t="s">
        <v>98</v>
      </c>
      <c r="L1245" s="18" t="s">
        <v>98</v>
      </c>
      <c r="M1245" s="18" t="s">
        <v>98</v>
      </c>
      <c r="N1245" s="18" t="s">
        <v>98</v>
      </c>
      <c r="O1245" s="18" t="s">
        <v>98</v>
      </c>
      <c r="P1245" s="15" t="str">
        <f t="shared" si="1"/>
        <v>VERIFY</v>
      </c>
      <c r="Q1245" s="15">
        <f t="shared" si="2"/>
        <v>2</v>
      </c>
      <c r="R1245" s="15">
        <f t="shared" si="3"/>
        <v>3</v>
      </c>
      <c r="S1245" s="15">
        <f t="shared" si="4"/>
        <v>2</v>
      </c>
      <c r="T1245" s="15" t="str">
        <f t="shared" si="5"/>
        <v>C-6</v>
      </c>
      <c r="U1245" s="15" t="str">
        <f t="shared" si="6"/>
        <v>T2-M3-H2-FC-6-VERIFY</v>
      </c>
      <c r="V1245" s="15">
        <f t="shared" si="7"/>
        <v>0</v>
      </c>
      <c r="W1245" s="31"/>
      <c r="X1245" s="15" t="str">
        <f t="shared" si="8"/>
        <v>safidon</v>
      </c>
      <c r="Y1245" s="32" t="str">
        <f t="shared" si="9"/>
        <v>https://steelmanufacturer.in/market-area/electropolished-pipes-manufacturer-in-safidon/</v>
      </c>
      <c r="Z1245" s="15" t="str">
        <f t="shared" si="10"/>
        <v>Electropolished Pipes Manufacturer in Safidon</v>
      </c>
      <c r="AA1245" s="15" t="str">
        <f t="shared" si="11"/>
        <v>OK (45)</v>
      </c>
      <c r="AB1245" s="15" t="str">
        <f t="shared" si="12"/>
        <v>EP stainless tube for VERIFY lines in Safidon. VERIFY. ASTM A270 S2, PMI tested, EN 10204 3.1.</v>
      </c>
      <c r="AC1245" s="15" t="str">
        <f t="shared" si="13"/>
        <v>PENDING RESEARCH</v>
      </c>
      <c r="AD1245" s="15" t="str">
        <f t="shared" si="14"/>
        <v>Electropolished Pipes Manufacturer in Safidon</v>
      </c>
      <c r="AE1245" s="15" t="str">
        <f t="shared" si="15"/>
        <v>How We Manufacture Electropolished Tube for Safidon Plants</v>
      </c>
      <c r="AF1245" s="15" t="str">
        <f t="shared" si="16"/>
        <v>Supplying Electropolished Pipes in Safidon: Availability, Sizes &amp; Dispatch</v>
      </c>
      <c r="AG1245" s="15" t="str">
        <f t="shared" si="17"/>
        <v>Wholesale Electropolished Pipe Supply for Safidon Projects</v>
      </c>
      <c r="AH1245" s="15" t="str">
        <f t="shared" si="18"/>
        <v>electropolished pipes manufacturer in Safidon, electropolished pipes supplier in Safidon, electropolished pipes wholesaler in Safidon, electropolished tube manufacturer Safidon, EP pipe supplier Safidon, sanitary tube supplier Safidon, ASME BPE tubing Safidon, ASTM A270 tube Safidon, SS 316L electropolished pipe Safidon</v>
      </c>
      <c r="AI1245" s="15" t="str">
        <f t="shared" si="19"/>
        <v>Electropolished Pipes Manufacturer &amp; Supplier in Safidon</v>
      </c>
      <c r="AJ1245" s="15" t="str">
        <f t="shared" si="20"/>
        <v>EP-finished SS 304/316L pipes and tubes for VERIFY plants in Safidon. ASME BPE SF1-SF4, Ra from 0.25 um, EN 10204 3.1 certificate with every lot.</v>
      </c>
      <c r="AK1245" s="15" t="str">
        <f t="shared" si="21"/>
        <v>Electropolished stainless steel pipes supplied by Sakshi Forge to VERIFY plants at HSIIDC Industrial Area, Safidon</v>
      </c>
      <c r="AL1245" s="15" t="str">
        <f t="shared" si="22"/>
        <v>Electropolished SS 316L tube stock for Safidon - Sakshi Forge</v>
      </c>
      <c r="AM1245" s="15" t="str">
        <f t="shared" si="23"/>
        <v>Home &gt; Market Area &gt; India &gt; Haryana &gt; Safidon</v>
      </c>
      <c r="AN1245" s="15">
        <f t="shared" si="24"/>
        <v>750</v>
      </c>
      <c r="AO1245" s="15">
        <f t="shared" si="25"/>
        <v>6</v>
      </c>
      <c r="AP1245" s="15">
        <f t="shared" si="26"/>
        <v>6</v>
      </c>
      <c r="AQ1245" s="15">
        <f t="shared" si="27"/>
        <v>21</v>
      </c>
      <c r="AR1245" s="31"/>
      <c r="AS1245" s="31"/>
      <c r="AT1245" s="35" t="s">
        <v>222</v>
      </c>
      <c r="AU1245" s="35"/>
    </row>
    <row r="1246" ht="15.75" customHeight="1">
      <c r="A1246" s="15" t="s">
        <v>6385</v>
      </c>
      <c r="B1246" s="15" t="s">
        <v>60</v>
      </c>
      <c r="C1246" s="15" t="s">
        <v>570</v>
      </c>
      <c r="D1246" s="15" t="s">
        <v>6386</v>
      </c>
      <c r="E1246" s="15" t="s">
        <v>6386</v>
      </c>
      <c r="F1246" s="58" t="s">
        <v>807</v>
      </c>
      <c r="G1246" s="66" t="s">
        <v>98</v>
      </c>
      <c r="H1246" s="18" t="s">
        <v>6388</v>
      </c>
      <c r="I1246" s="18" t="s">
        <v>8405</v>
      </c>
      <c r="J1246" s="18" t="s">
        <v>98</v>
      </c>
      <c r="K1246" s="18" t="s">
        <v>98</v>
      </c>
      <c r="L1246" s="18" t="s">
        <v>98</v>
      </c>
      <c r="M1246" s="18" t="s">
        <v>98</v>
      </c>
      <c r="N1246" s="18" t="s">
        <v>98</v>
      </c>
      <c r="O1246" s="18" t="s">
        <v>98</v>
      </c>
      <c r="P1246" s="15" t="str">
        <f t="shared" si="1"/>
        <v>VERIFY</v>
      </c>
      <c r="Q1246" s="15">
        <f t="shared" si="2"/>
        <v>3</v>
      </c>
      <c r="R1246" s="15">
        <f t="shared" si="3"/>
        <v>4</v>
      </c>
      <c r="S1246" s="15">
        <f t="shared" si="4"/>
        <v>3</v>
      </c>
      <c r="T1246" s="15" t="str">
        <f t="shared" si="5"/>
        <v>C-1</v>
      </c>
      <c r="U1246" s="15" t="str">
        <f t="shared" si="6"/>
        <v>T3-M4-H3-FC-1-VERIFY</v>
      </c>
      <c r="V1246" s="15">
        <f t="shared" si="7"/>
        <v>0</v>
      </c>
      <c r="W1246" s="31"/>
      <c r="X1246" s="15" t="str">
        <f t="shared" si="8"/>
        <v>sagara</v>
      </c>
      <c r="Y1246" s="32" t="str">
        <f t="shared" si="9"/>
        <v>https://steelmanufacturer.in/market-area/electropolished-pipes-manufacturer-in-sagara/</v>
      </c>
      <c r="Z1246" s="15" t="str">
        <f t="shared" si="10"/>
        <v>Electropolished Pipes Manufacturer in Sagara | EP Tube Supplier</v>
      </c>
      <c r="AA1246" s="15" t="str">
        <f t="shared" si="11"/>
        <v>OK (63)</v>
      </c>
      <c r="AB1246" s="15" t="str">
        <f t="shared" si="12"/>
        <v>Sanitary electropolished pipes in Sagara for VERIFY plants. ASME BPE SF1-SF4, orbital-weld ready, 3.1 MTC. Mumbai-made.</v>
      </c>
      <c r="AC1246" s="15" t="str">
        <f t="shared" si="13"/>
        <v>PENDING RESEARCH</v>
      </c>
      <c r="AD1246" s="15" t="str">
        <f t="shared" si="14"/>
        <v>Electropolished Pipes Manufacturer in Sagara</v>
      </c>
      <c r="AE1246" s="15" t="str">
        <f t="shared" si="15"/>
        <v>Electropolished Pipes Manufacturer in Sagara - Our Process &amp; Capability</v>
      </c>
      <c r="AF1246" s="15" t="str">
        <f t="shared" si="16"/>
        <v>Electropolished Pipes Supplier in Sagara - What We Hold in Stock</v>
      </c>
      <c r="AG1246" s="15" t="str">
        <f t="shared" si="17"/>
        <v>Bulk &amp; Wholesale Electropolished Pipe Rates for Sagara Buyers</v>
      </c>
      <c r="AH1246" s="15" t="str">
        <f t="shared" si="18"/>
        <v>electropolished pipes manufacturer in Sagara, electropolished pipes supplier in Sagara, electropolished pipes wholesaler in Sagara, electropolished tube manufacturer Sagara, EP pipe supplier Sagara, sanitary tube supplier Sagara, ASME BPE tubing Sagara, ASTM A270 tube Sagara, SS 316L electropolished pipe Sagara</v>
      </c>
      <c r="AI1246" s="15" t="str">
        <f t="shared" si="19"/>
        <v>Electropolished Pipes Manufacturer &amp; Supplier in Sagara</v>
      </c>
      <c r="AJ1246" s="15" t="str">
        <f t="shared" si="20"/>
        <v>EP-finished SS 304/316L pipes and tubes for VERIFY plants in Sagara. ASME BPE SF1-SF4, Ra from 0.25 um, EN 10204 3.1 certificate with every lot.</v>
      </c>
      <c r="AK1246" s="15" t="str">
        <f t="shared" si="21"/>
        <v>Electropolished stainless steel pipes supplied by Sakshi Forge to VERIFY plants at KIADB Industrial Area, Sagara</v>
      </c>
      <c r="AL1246" s="15" t="str">
        <f t="shared" si="22"/>
        <v>Electropolished SS 316L tube stock for Sagara - Sakshi Forge</v>
      </c>
      <c r="AM1246" s="15" t="str">
        <f t="shared" si="23"/>
        <v>Home &gt; Market Area &gt; India &gt; Karnataka &gt; Sagara</v>
      </c>
      <c r="AN1246" s="15">
        <f t="shared" si="24"/>
        <v>750</v>
      </c>
      <c r="AO1246" s="15">
        <f t="shared" si="25"/>
        <v>6</v>
      </c>
      <c r="AP1246" s="15">
        <f t="shared" si="26"/>
        <v>6</v>
      </c>
      <c r="AQ1246" s="15">
        <f t="shared" si="27"/>
        <v>21</v>
      </c>
      <c r="AR1246" s="31"/>
      <c r="AS1246" s="31"/>
      <c r="AT1246" s="35" t="s">
        <v>222</v>
      </c>
      <c r="AU1246" s="35"/>
    </row>
    <row r="1247" ht="15.75" customHeight="1">
      <c r="A1247" s="15" t="s">
        <v>6389</v>
      </c>
      <c r="B1247" s="15" t="s">
        <v>60</v>
      </c>
      <c r="C1247" s="15" t="s">
        <v>1818</v>
      </c>
      <c r="D1247" s="15" t="s">
        <v>6390</v>
      </c>
      <c r="E1247" s="15" t="s">
        <v>6390</v>
      </c>
      <c r="F1247" s="58" t="s">
        <v>807</v>
      </c>
      <c r="G1247" s="66" t="s">
        <v>98</v>
      </c>
      <c r="H1247" s="18" t="s">
        <v>6392</v>
      </c>
      <c r="I1247" s="18" t="s">
        <v>8402</v>
      </c>
      <c r="J1247" s="18" t="s">
        <v>98</v>
      </c>
      <c r="K1247" s="18" t="s">
        <v>98</v>
      </c>
      <c r="L1247" s="18" t="s">
        <v>98</v>
      </c>
      <c r="M1247" s="18" t="s">
        <v>98</v>
      </c>
      <c r="N1247" s="18" t="s">
        <v>98</v>
      </c>
      <c r="O1247" s="18" t="s">
        <v>98</v>
      </c>
      <c r="P1247" s="15" t="str">
        <f t="shared" si="1"/>
        <v>VERIFY</v>
      </c>
      <c r="Q1247" s="15">
        <f t="shared" si="2"/>
        <v>4</v>
      </c>
      <c r="R1247" s="15">
        <f t="shared" si="3"/>
        <v>5</v>
      </c>
      <c r="S1247" s="15">
        <f t="shared" si="4"/>
        <v>4</v>
      </c>
      <c r="T1247" s="15" t="str">
        <f t="shared" si="5"/>
        <v>C-2</v>
      </c>
      <c r="U1247" s="15" t="str">
        <f t="shared" si="6"/>
        <v>T4-M5-H4-FC-2-VERIFY</v>
      </c>
      <c r="V1247" s="15">
        <f t="shared" si="7"/>
        <v>0</v>
      </c>
      <c r="W1247" s="31"/>
      <c r="X1247" s="15" t="str">
        <f t="shared" si="8"/>
        <v>saharsa</v>
      </c>
      <c r="Y1247" s="32" t="str">
        <f t="shared" si="9"/>
        <v>https://steelmanufacturer.in/market-area/electropolished-pipes-manufacturer-in-saharsa/</v>
      </c>
      <c r="Z1247" s="15" t="str">
        <f t="shared" si="10"/>
        <v>Electropolished Pipes Manufacturer in Saharsa</v>
      </c>
      <c r="AA1247" s="15" t="str">
        <f t="shared" si="11"/>
        <v>OK (45)</v>
      </c>
      <c r="AB1247" s="15" t="str">
        <f t="shared" si="12"/>
        <v>Manufacturer of electropolished SS 316L tube serving Saharsa. VERIFY. Ra 0.25-0.5 um, EN 10204 3.1 MTC.</v>
      </c>
      <c r="AC1247" s="15" t="str">
        <f t="shared" si="13"/>
        <v>PENDING RESEARCH</v>
      </c>
      <c r="AD1247" s="15" t="str">
        <f t="shared" si="14"/>
        <v>Electropolished Pipes Manufacturer in Saharsa</v>
      </c>
      <c r="AE1247" s="15" t="str">
        <f t="shared" si="15"/>
        <v>Manufacturing Electropolished SS Tube for Saharsa: The Standards We Build To</v>
      </c>
      <c r="AF1247" s="15" t="str">
        <f t="shared" si="16"/>
        <v>Electropolished Pipe Supply Into Saharsa - Certification &amp; Transit</v>
      </c>
      <c r="AG1247" s="15" t="str">
        <f t="shared" si="17"/>
        <v>Electropolished Pipes Wholesaler in Saharsa - Project Quantities &amp; Terms</v>
      </c>
      <c r="AH1247" s="15" t="str">
        <f t="shared" si="18"/>
        <v>electropolished pipes manufacturer in Saharsa, electropolished pipes supplier in Saharsa, electropolished pipes wholesaler in Saharsa, electropolished tube manufacturer Saharsa, EP pipe supplier Saharsa, sanitary tube supplier Saharsa, ASME BPE tubing Saharsa, ASTM A270 tube Saharsa, SS 316L electropolished pipe Saharsa</v>
      </c>
      <c r="AI1247" s="15" t="str">
        <f t="shared" si="19"/>
        <v>Electropolished Pipes Manufacturer &amp; Supplier in Saharsa</v>
      </c>
      <c r="AJ1247" s="15" t="str">
        <f t="shared" si="20"/>
        <v>EP-finished SS 304/316L pipes and tubes for VERIFY plants in Saharsa. ASME BPE SF1-SF4, Ra from 0.25 um, EN 10204 3.1 certificate with every lot.</v>
      </c>
      <c r="AK1247" s="15" t="str">
        <f t="shared" si="21"/>
        <v>Electropolished stainless steel pipes supplied by Sakshi Forge to VERIFY plants at BIADA Industrial Area, Saharsa</v>
      </c>
      <c r="AL1247" s="15" t="str">
        <f t="shared" si="22"/>
        <v>Electropolished SS 316L tube stock for Saharsa - Sakshi Forge</v>
      </c>
      <c r="AM1247" s="15" t="str">
        <f t="shared" si="23"/>
        <v>Home &gt; Market Area &gt; India &gt; Bihar &gt; Saharsa</v>
      </c>
      <c r="AN1247" s="15">
        <f t="shared" si="24"/>
        <v>750</v>
      </c>
      <c r="AO1247" s="15">
        <f t="shared" si="25"/>
        <v>6</v>
      </c>
      <c r="AP1247" s="15">
        <f t="shared" si="26"/>
        <v>6</v>
      </c>
      <c r="AQ1247" s="15">
        <f t="shared" si="27"/>
        <v>21</v>
      </c>
      <c r="AR1247" s="31"/>
      <c r="AS1247" s="31"/>
      <c r="AT1247" s="35" t="s">
        <v>222</v>
      </c>
      <c r="AU1247" s="35"/>
    </row>
    <row r="1248" ht="15.75" customHeight="1">
      <c r="A1248" s="15" t="s">
        <v>6393</v>
      </c>
      <c r="B1248" s="15" t="s">
        <v>60</v>
      </c>
      <c r="C1248" s="15" t="s">
        <v>264</v>
      </c>
      <c r="D1248" s="15" t="s">
        <v>6394</v>
      </c>
      <c r="E1248" s="15" t="s">
        <v>6394</v>
      </c>
      <c r="F1248" s="58" t="s">
        <v>807</v>
      </c>
      <c r="G1248" s="66" t="s">
        <v>98</v>
      </c>
      <c r="H1248" s="18" t="s">
        <v>6396</v>
      </c>
      <c r="I1248" s="18" t="s">
        <v>8395</v>
      </c>
      <c r="J1248" s="18" t="s">
        <v>98</v>
      </c>
      <c r="K1248" s="18" t="s">
        <v>98</v>
      </c>
      <c r="L1248" s="18" t="s">
        <v>98</v>
      </c>
      <c r="M1248" s="18" t="s">
        <v>98</v>
      </c>
      <c r="N1248" s="18" t="s">
        <v>98</v>
      </c>
      <c r="O1248" s="18" t="s">
        <v>98</v>
      </c>
      <c r="P1248" s="15" t="str">
        <f t="shared" si="1"/>
        <v>VERIFY</v>
      </c>
      <c r="Q1248" s="15">
        <f t="shared" si="2"/>
        <v>5</v>
      </c>
      <c r="R1248" s="15">
        <f t="shared" si="3"/>
        <v>6</v>
      </c>
      <c r="S1248" s="15">
        <f t="shared" si="4"/>
        <v>5</v>
      </c>
      <c r="T1248" s="15" t="str">
        <f t="shared" si="5"/>
        <v>C-3</v>
      </c>
      <c r="U1248" s="15" t="str">
        <f t="shared" si="6"/>
        <v>T5-M6-H5-FC-3-VERIFY</v>
      </c>
      <c r="V1248" s="15">
        <f t="shared" si="7"/>
        <v>0</v>
      </c>
      <c r="W1248" s="31"/>
      <c r="X1248" s="15" t="str">
        <f t="shared" si="8"/>
        <v>sailu</v>
      </c>
      <c r="Y1248" s="32" t="str">
        <f t="shared" si="9"/>
        <v>https://steelmanufacturer.in/market-area/electropolished-pipes-manufacturer-in-sailu/</v>
      </c>
      <c r="Z1248" s="15" t="str">
        <f t="shared" si="10"/>
        <v>Electropolished Pipes Manufacturer in Sailu</v>
      </c>
      <c r="AA1248" s="15" t="str">
        <f t="shared" si="11"/>
        <v>OK (43)</v>
      </c>
      <c r="AB1248" s="15" t="str">
        <f t="shared" si="12"/>
        <v>EP tube and pipe for VERIFY plants around MIDC Industrial Area, Sailu. Made at our Mumbai works to ASTM A270 and ASME BPE SF1-SF4, with 3.1 MTC.</v>
      </c>
      <c r="AC1248" s="15" t="str">
        <f t="shared" si="13"/>
        <v>PENDING RESEARCH</v>
      </c>
      <c r="AD1248" s="15" t="str">
        <f t="shared" si="14"/>
        <v>Electropolished Pipes Manufacturer in Sailu</v>
      </c>
      <c r="AE1248" s="15" t="str">
        <f t="shared" si="15"/>
        <v>Electropolished Tube Manufacturing Capability Serving Sailu</v>
      </c>
      <c r="AF1248" s="15" t="str">
        <f t="shared" si="16"/>
        <v>Electropolished Pipes Supplier in Sailu - From Order to Delivery</v>
      </c>
      <c r="AG1248" s="15" t="str">
        <f t="shared" si="17"/>
        <v>Stockist &amp; Wholesale Supply of Electropolished Pipes in Sailu</v>
      </c>
      <c r="AH1248" s="15" t="str">
        <f t="shared" si="18"/>
        <v>electropolished pipes manufacturer in Sailu, electropolished pipes supplier in Sailu, electropolished pipes wholesaler in Sailu, electropolished tube manufacturer Sailu, EP pipe supplier Sailu, sanitary tube supplier Sailu, ASME BPE tubing Sailu, ASTM A270 tube Sailu, SS 316L electropolished pipe Sailu</v>
      </c>
      <c r="AI1248" s="15" t="str">
        <f t="shared" si="19"/>
        <v>Electropolished Pipes Manufacturer &amp; Supplier in Sailu</v>
      </c>
      <c r="AJ1248" s="15" t="str">
        <f t="shared" si="20"/>
        <v>EP-finished SS 304/316L pipes and tubes for VERIFY plants in Sailu. ASME BPE SF1-SF4, Ra from 0.25 um, EN 10204 3.1 certificate with every lot.</v>
      </c>
      <c r="AK1248" s="15" t="str">
        <f t="shared" si="21"/>
        <v>Electropolished stainless steel pipes supplied by Sakshi Forge to VERIFY plants at MIDC Industrial Area, Sailu</v>
      </c>
      <c r="AL1248" s="15" t="str">
        <f t="shared" si="22"/>
        <v>Electropolished SS 316L tube stock for Sailu - Sakshi Forge</v>
      </c>
      <c r="AM1248" s="15" t="str">
        <f t="shared" si="23"/>
        <v>Home &gt; Market Area &gt; India &gt; Maharashtra &gt; Sailu</v>
      </c>
      <c r="AN1248" s="15">
        <f t="shared" si="24"/>
        <v>750</v>
      </c>
      <c r="AO1248" s="15">
        <f t="shared" si="25"/>
        <v>6</v>
      </c>
      <c r="AP1248" s="15">
        <f t="shared" si="26"/>
        <v>6</v>
      </c>
      <c r="AQ1248" s="15">
        <f t="shared" si="27"/>
        <v>21</v>
      </c>
      <c r="AR1248" s="31"/>
      <c r="AS1248" s="31"/>
      <c r="AT1248" s="35" t="s">
        <v>222</v>
      </c>
      <c r="AU1248" s="35"/>
    </row>
    <row r="1249" ht="15.75" customHeight="1">
      <c r="A1249" s="15" t="s">
        <v>6397</v>
      </c>
      <c r="B1249" s="15" t="s">
        <v>60</v>
      </c>
      <c r="C1249" s="15" t="s">
        <v>1165</v>
      </c>
      <c r="D1249" s="15" t="s">
        <v>6398</v>
      </c>
      <c r="E1249" s="15" t="s">
        <v>6398</v>
      </c>
      <c r="F1249" s="58" t="s">
        <v>807</v>
      </c>
      <c r="G1249" s="66" t="s">
        <v>98</v>
      </c>
      <c r="H1249" s="18" t="s">
        <v>6400</v>
      </c>
      <c r="I1249" s="18" t="s">
        <v>8404</v>
      </c>
      <c r="J1249" s="18" t="s">
        <v>98</v>
      </c>
      <c r="K1249" s="18" t="s">
        <v>98</v>
      </c>
      <c r="L1249" s="18" t="s">
        <v>98</v>
      </c>
      <c r="M1249" s="18" t="s">
        <v>98</v>
      </c>
      <c r="N1249" s="18" t="s">
        <v>98</v>
      </c>
      <c r="O1249" s="18" t="s">
        <v>98</v>
      </c>
      <c r="P1249" s="15" t="str">
        <f t="shared" si="1"/>
        <v>VERIFY</v>
      </c>
      <c r="Q1249" s="15">
        <f t="shared" si="2"/>
        <v>6</v>
      </c>
      <c r="R1249" s="15">
        <f t="shared" si="3"/>
        <v>7</v>
      </c>
      <c r="S1249" s="15">
        <f t="shared" si="4"/>
        <v>1</v>
      </c>
      <c r="T1249" s="15" t="str">
        <f t="shared" si="5"/>
        <v>C-4</v>
      </c>
      <c r="U1249" s="15" t="str">
        <f t="shared" si="6"/>
        <v>T6-M7-H1-FC-4-VERIFY</v>
      </c>
      <c r="V1249" s="15">
        <f t="shared" si="7"/>
        <v>0</v>
      </c>
      <c r="W1249" s="31"/>
      <c r="X1249" s="15" t="str">
        <f t="shared" si="8"/>
        <v>sainthia</v>
      </c>
      <c r="Y1249" s="32" t="str">
        <f t="shared" si="9"/>
        <v>https://steelmanufacturer.in/market-area/electropolished-pipes-manufacturer-in-sainthia/</v>
      </c>
      <c r="Z1249" s="15" t="str">
        <f t="shared" si="10"/>
        <v>Electropolished Pipes Manufacturer in Sainthia</v>
      </c>
      <c r="AA1249" s="15" t="str">
        <f t="shared" si="11"/>
        <v>OK (46)</v>
      </c>
      <c r="AB1249" s="15" t="str">
        <f t="shared" si="12"/>
        <v>Electropolished pipes in Sainthia: 304, 304L, 316 and 316L in SF1-SF4. VERIFY. Mill certified.</v>
      </c>
      <c r="AC1249" s="15" t="str">
        <f t="shared" si="13"/>
        <v>PENDING RESEARCH</v>
      </c>
      <c r="AD1249" s="15" t="str">
        <f t="shared" si="14"/>
        <v>Electropolished Pipes Manufacturer in Sainthia</v>
      </c>
      <c r="AE1249" s="15" t="str">
        <f t="shared" si="15"/>
        <v>Electropolished Pipe &amp; Tube Manufacturing for Sainthia - Grades, Finishes &amp; Certification</v>
      </c>
      <c r="AF1249" s="15" t="str">
        <f t="shared" si="16"/>
        <v>Electropolished Pipes Supplier in Sainthia - Stock Sizes, Lead Time &amp; Delivery</v>
      </c>
      <c r="AG1249" s="15" t="str">
        <f t="shared" si="17"/>
        <v>Electropolished Pipes Wholesaler &amp; Stockist in Sainthia - Bulk &amp; Project Pricing</v>
      </c>
      <c r="AH1249" s="15" t="str">
        <f t="shared" si="18"/>
        <v>electropolished pipes manufacturer in Sainthia, electropolished pipes supplier in Sainthia, electropolished pipes wholesaler in Sainthia, electropolished tube manufacturer Sainthia, EP pipe supplier Sainthia, sanitary tube supplier Sainthia, ASME BPE tubing Sainthia, ASTM A270 tube Sainthia, SS 316L electropolished pipe Sainthia</v>
      </c>
      <c r="AI1249" s="15" t="str">
        <f t="shared" si="19"/>
        <v>Electropolished Pipes Manufacturer &amp; Supplier in Sainthia</v>
      </c>
      <c r="AJ1249" s="15" t="str">
        <f t="shared" si="20"/>
        <v>EP-finished SS 304/316L pipes and tubes for VERIFY plants in Sainthia. ASME BPE SF1-SF4, Ra from 0.25 um, EN 10204 3.1 certificate with every lot.</v>
      </c>
      <c r="AK1249" s="15" t="str">
        <f t="shared" si="21"/>
        <v>Electropolished stainless steel pipes supplied by Sakshi Forge to VERIFY plants at WBIDC Industrial Area, Sainthia</v>
      </c>
      <c r="AL1249" s="15" t="str">
        <f t="shared" si="22"/>
        <v>Electropolished SS 316L tube stock for Sainthia - Sakshi Forge</v>
      </c>
      <c r="AM1249" s="15" t="str">
        <f t="shared" si="23"/>
        <v>Home &gt; Market Area &gt; India &gt; West Bengal &gt; Sainthia</v>
      </c>
      <c r="AN1249" s="15">
        <f t="shared" si="24"/>
        <v>750</v>
      </c>
      <c r="AO1249" s="15">
        <f t="shared" si="25"/>
        <v>6</v>
      </c>
      <c r="AP1249" s="15">
        <f t="shared" si="26"/>
        <v>6</v>
      </c>
      <c r="AQ1249" s="15">
        <f t="shared" si="27"/>
        <v>21</v>
      </c>
      <c r="AR1249" s="31"/>
      <c r="AS1249" s="31"/>
      <c r="AT1249" s="35" t="s">
        <v>222</v>
      </c>
      <c r="AU1249" s="35"/>
    </row>
    <row r="1250" ht="15.75" customHeight="1">
      <c r="A1250" s="15" t="s">
        <v>6401</v>
      </c>
      <c r="B1250" s="15" t="s">
        <v>60</v>
      </c>
      <c r="C1250" s="15" t="s">
        <v>570</v>
      </c>
      <c r="D1250" s="15" t="s">
        <v>6404</v>
      </c>
      <c r="E1250" s="15" t="s">
        <v>6404</v>
      </c>
      <c r="F1250" s="58" t="s">
        <v>807</v>
      </c>
      <c r="G1250" s="66" t="s">
        <v>98</v>
      </c>
      <c r="H1250" s="18" t="s">
        <v>6407</v>
      </c>
      <c r="I1250" s="18" t="s">
        <v>8405</v>
      </c>
      <c r="J1250" s="18" t="s">
        <v>98</v>
      </c>
      <c r="K1250" s="18" t="s">
        <v>98</v>
      </c>
      <c r="L1250" s="18" t="s">
        <v>98</v>
      </c>
      <c r="M1250" s="18" t="s">
        <v>98</v>
      </c>
      <c r="N1250" s="18" t="s">
        <v>98</v>
      </c>
      <c r="O1250" s="18" t="s">
        <v>98</v>
      </c>
      <c r="P1250" s="15" t="str">
        <f t="shared" si="1"/>
        <v>VERIFY</v>
      </c>
      <c r="Q1250" s="15">
        <f t="shared" si="2"/>
        <v>7</v>
      </c>
      <c r="R1250" s="15">
        <f t="shared" si="3"/>
        <v>1</v>
      </c>
      <c r="S1250" s="15">
        <f t="shared" si="4"/>
        <v>2</v>
      </c>
      <c r="T1250" s="15" t="str">
        <f t="shared" si="5"/>
        <v>C-5</v>
      </c>
      <c r="U1250" s="15" t="str">
        <f t="shared" si="6"/>
        <v>T7-M1-H2-FC-5-VERIFY</v>
      </c>
      <c r="V1250" s="15">
        <f t="shared" si="7"/>
        <v>0</v>
      </c>
      <c r="W1250" s="31"/>
      <c r="X1250" s="15" t="str">
        <f t="shared" si="8"/>
        <v>sakleshpur</v>
      </c>
      <c r="Y1250" s="32" t="str">
        <f t="shared" si="9"/>
        <v>https://steelmanufacturer.in/market-area/electropolished-pipes-manufacturer-in-sakleshpur/</v>
      </c>
      <c r="Z1250" s="15" t="str">
        <f t="shared" si="10"/>
        <v>Electropolished Pipes Manufacturer in Sakleshpur</v>
      </c>
      <c r="AA1250" s="15" t="str">
        <f t="shared" si="11"/>
        <v>OK (48)</v>
      </c>
      <c r="AB1250" s="15" t="str">
        <f t="shared" si="12"/>
        <v>EP-finished SS 304/316L pipes &amp; tubes for VERIFY plants in Sakleshpur. ASTM A270, ASME BPE SF1-SF4, EN 10204 3.1 MTC. PMI tested.</v>
      </c>
      <c r="AC1250" s="15" t="str">
        <f t="shared" si="13"/>
        <v>PENDING RESEARCH</v>
      </c>
      <c r="AD1250" s="15" t="str">
        <f t="shared" si="14"/>
        <v>Electropolished Pipes Manufacturer in Sakleshpur</v>
      </c>
      <c r="AE1250" s="15" t="str">
        <f t="shared" si="15"/>
        <v>How We Manufacture Electropolished Tube for Sakleshpur Plants</v>
      </c>
      <c r="AF1250" s="15" t="str">
        <f t="shared" si="16"/>
        <v>Supplying Electropolished Pipes in Sakleshpur: Availability, Sizes &amp; Dispatch</v>
      </c>
      <c r="AG1250" s="15" t="str">
        <f t="shared" si="17"/>
        <v>Wholesale Electropolished Pipe Supply for Sakleshpur Projects</v>
      </c>
      <c r="AH1250" s="15" t="str">
        <f t="shared" si="18"/>
        <v>electropolished pipes manufacturer in Sakleshpur, electropolished pipes supplier in Sakleshpur, electropolished pipes wholesaler in Sakleshpur, electropolished tube manufacturer Sakleshpur, EP pipe supplier Sakleshpur, sanitary tube supplier Sakleshpur, ASME BPE tubing Sakleshpur, ASTM A270 tube Sakleshpur, SS 316L electropolished pipe Sakleshpur</v>
      </c>
      <c r="AI1250" s="15" t="str">
        <f t="shared" si="19"/>
        <v>Electropolished Pipes Manufacturer &amp; Supplier in Sakleshpur</v>
      </c>
      <c r="AJ1250" s="15" t="str">
        <f t="shared" si="20"/>
        <v>EP-finished SS 304/316L pipes and tubes for VERIFY plants in Sakleshpur. ASME BPE SF1-SF4, Ra from 0.25 um, EN 10204 3.1 certificate with every lot.</v>
      </c>
      <c r="AK1250" s="15" t="str">
        <f t="shared" si="21"/>
        <v>Electropolished stainless steel pipes supplied by Sakshi Forge to VERIFY plants at KIADB Industrial Area, Sakleshpur</v>
      </c>
      <c r="AL1250" s="15" t="str">
        <f t="shared" si="22"/>
        <v>Electropolished SS 316L tube stock for Sakleshpur - Sakshi Forge</v>
      </c>
      <c r="AM1250" s="15" t="str">
        <f t="shared" si="23"/>
        <v>Home &gt; Market Area &gt; India &gt; Karnataka &gt; Sakleshpur</v>
      </c>
      <c r="AN1250" s="15">
        <f t="shared" si="24"/>
        <v>750</v>
      </c>
      <c r="AO1250" s="15">
        <f t="shared" si="25"/>
        <v>6</v>
      </c>
      <c r="AP1250" s="15">
        <f t="shared" si="26"/>
        <v>6</v>
      </c>
      <c r="AQ1250" s="15">
        <f t="shared" si="27"/>
        <v>21</v>
      </c>
      <c r="AR1250" s="31"/>
      <c r="AS1250" s="31"/>
      <c r="AT1250" s="35" t="s">
        <v>222</v>
      </c>
      <c r="AU1250" s="35"/>
    </row>
    <row r="1251" ht="15.75" customHeight="1">
      <c r="A1251" s="15" t="s">
        <v>6409</v>
      </c>
      <c r="B1251" s="15" t="s">
        <v>60</v>
      </c>
      <c r="C1251" s="15" t="s">
        <v>775</v>
      </c>
      <c r="D1251" s="15" t="s">
        <v>6410</v>
      </c>
      <c r="E1251" s="15" t="s">
        <v>6410</v>
      </c>
      <c r="F1251" s="58" t="s">
        <v>807</v>
      </c>
      <c r="G1251" s="66" t="s">
        <v>98</v>
      </c>
      <c r="H1251" s="18" t="s">
        <v>6412</v>
      </c>
      <c r="I1251" s="18" t="s">
        <v>8399</v>
      </c>
      <c r="J1251" s="18" t="s">
        <v>98</v>
      </c>
      <c r="K1251" s="18" t="s">
        <v>98</v>
      </c>
      <c r="L1251" s="18" t="s">
        <v>98</v>
      </c>
      <c r="M1251" s="18" t="s">
        <v>98</v>
      </c>
      <c r="N1251" s="18" t="s">
        <v>98</v>
      </c>
      <c r="O1251" s="18" t="s">
        <v>98</v>
      </c>
      <c r="P1251" s="15" t="str">
        <f t="shared" si="1"/>
        <v>VERIFY</v>
      </c>
      <c r="Q1251" s="15">
        <f t="shared" si="2"/>
        <v>8</v>
      </c>
      <c r="R1251" s="15">
        <f t="shared" si="3"/>
        <v>2</v>
      </c>
      <c r="S1251" s="15">
        <f t="shared" si="4"/>
        <v>3</v>
      </c>
      <c r="T1251" s="15" t="str">
        <f t="shared" si="5"/>
        <v>C-6</v>
      </c>
      <c r="U1251" s="15" t="str">
        <f t="shared" si="6"/>
        <v>T8-M2-H3-FC-6-VERIFY</v>
      </c>
      <c r="V1251" s="15">
        <f t="shared" si="7"/>
        <v>0</v>
      </c>
      <c r="W1251" s="31"/>
      <c r="X1251" s="15" t="str">
        <f t="shared" si="8"/>
        <v>sakti</v>
      </c>
      <c r="Y1251" s="32" t="str">
        <f t="shared" si="9"/>
        <v>https://steelmanufacturer.in/market-area/electropolished-pipes-manufacturer-in-sakti/</v>
      </c>
      <c r="Z1251" s="15" t="str">
        <f t="shared" si="10"/>
        <v>Electropolished Pipes Manufacturer in Sakti - EP Tube Stockist</v>
      </c>
      <c r="AA1251" s="15" t="str">
        <f t="shared" si="11"/>
        <v>OK (62)</v>
      </c>
      <c r="AB1251" s="15" t="str">
        <f t="shared" si="12"/>
        <v>Electropolished tube supply to CSIDC Industrial Area, Sakti. Ra from 0.25 um, SF4 finish, mill test certificate with every lot.</v>
      </c>
      <c r="AC1251" s="15" t="str">
        <f t="shared" si="13"/>
        <v>PENDING RESEARCH</v>
      </c>
      <c r="AD1251" s="15" t="str">
        <f t="shared" si="14"/>
        <v>Electropolished Pipes Manufacturer in Sakti</v>
      </c>
      <c r="AE1251" s="15" t="str">
        <f t="shared" si="15"/>
        <v>Electropolished Pipes Manufacturer in Sakti - Our Process &amp; Capability</v>
      </c>
      <c r="AF1251" s="15" t="str">
        <f t="shared" si="16"/>
        <v>Electropolished Pipes Supplier in Sakti - What We Hold in Stock</v>
      </c>
      <c r="AG1251" s="15" t="str">
        <f t="shared" si="17"/>
        <v>Bulk &amp; Wholesale Electropolished Pipe Rates for Sakti Buyers</v>
      </c>
      <c r="AH1251" s="15" t="str">
        <f t="shared" si="18"/>
        <v>electropolished pipes manufacturer in Sakti, electropolished pipes supplier in Sakti, electropolished pipes wholesaler in Sakti, electropolished tube manufacturer Sakti, EP pipe supplier Sakti, sanitary tube supplier Sakti, ASME BPE tubing Sakti, ASTM A270 tube Sakti, SS 316L electropolished pipe Sakti</v>
      </c>
      <c r="AI1251" s="15" t="str">
        <f t="shared" si="19"/>
        <v>Electropolished Pipes Manufacturer &amp; Supplier in Sakti</v>
      </c>
      <c r="AJ1251" s="15" t="str">
        <f t="shared" si="20"/>
        <v>EP-finished SS 304/316L pipes and tubes for VERIFY plants in Sakti. ASME BPE SF1-SF4, Ra from 0.25 um, EN 10204 3.1 certificate with every lot.</v>
      </c>
      <c r="AK1251" s="15" t="str">
        <f t="shared" si="21"/>
        <v>Electropolished stainless steel pipes supplied by Sakshi Forge to VERIFY plants at CSIDC Industrial Area, Sakti</v>
      </c>
      <c r="AL1251" s="15" t="str">
        <f t="shared" si="22"/>
        <v>Electropolished SS 316L tube stock for Sakti - Sakshi Forge</v>
      </c>
      <c r="AM1251" s="15" t="str">
        <f t="shared" si="23"/>
        <v>Home &gt; Market Area &gt; India &gt; Chhattisgarh &gt; Sakti</v>
      </c>
      <c r="AN1251" s="15">
        <f t="shared" si="24"/>
        <v>750</v>
      </c>
      <c r="AO1251" s="15">
        <f t="shared" si="25"/>
        <v>6</v>
      </c>
      <c r="AP1251" s="15">
        <f t="shared" si="26"/>
        <v>6</v>
      </c>
      <c r="AQ1251" s="15">
        <f t="shared" si="27"/>
        <v>21</v>
      </c>
      <c r="AR1251" s="31"/>
      <c r="AS1251" s="31"/>
      <c r="AT1251" s="35" t="s">
        <v>222</v>
      </c>
      <c r="AU1251" s="35"/>
    </row>
    <row r="1252" ht="15.75" customHeight="1">
      <c r="A1252" s="15" t="s">
        <v>6413</v>
      </c>
      <c r="B1252" s="15" t="s">
        <v>60</v>
      </c>
      <c r="C1252" s="15" t="s">
        <v>413</v>
      </c>
      <c r="D1252" s="15" t="s">
        <v>6414</v>
      </c>
      <c r="E1252" s="15" t="s">
        <v>6414</v>
      </c>
      <c r="F1252" s="58" t="s">
        <v>807</v>
      </c>
      <c r="G1252" s="66" t="s">
        <v>98</v>
      </c>
      <c r="H1252" s="18" t="s">
        <v>6416</v>
      </c>
      <c r="I1252" s="18" t="s">
        <v>8393</v>
      </c>
      <c r="J1252" s="18" t="s">
        <v>98</v>
      </c>
      <c r="K1252" s="18" t="s">
        <v>98</v>
      </c>
      <c r="L1252" s="18" t="s">
        <v>98</v>
      </c>
      <c r="M1252" s="18" t="s">
        <v>98</v>
      </c>
      <c r="N1252" s="18" t="s">
        <v>98</v>
      </c>
      <c r="O1252" s="18" t="s">
        <v>98</v>
      </c>
      <c r="P1252" s="15" t="str">
        <f t="shared" si="1"/>
        <v>VERIFY</v>
      </c>
      <c r="Q1252" s="15">
        <f t="shared" si="2"/>
        <v>1</v>
      </c>
      <c r="R1252" s="15">
        <f t="shared" si="3"/>
        <v>3</v>
      </c>
      <c r="S1252" s="15">
        <f t="shared" si="4"/>
        <v>4</v>
      </c>
      <c r="T1252" s="15" t="str">
        <f t="shared" si="5"/>
        <v>C-1</v>
      </c>
      <c r="U1252" s="15" t="str">
        <f t="shared" si="6"/>
        <v>T1-M3-H4-FC-1-VERIFY</v>
      </c>
      <c r="V1252" s="15">
        <f t="shared" si="7"/>
        <v>0</v>
      </c>
      <c r="W1252" s="31"/>
      <c r="X1252" s="15" t="str">
        <f t="shared" si="8"/>
        <v>samalkot</v>
      </c>
      <c r="Y1252" s="32" t="str">
        <f t="shared" si="9"/>
        <v>https://steelmanufacturer.in/market-area/electropolished-pipes-manufacturer-in-samalkot/</v>
      </c>
      <c r="Z1252" s="15" t="str">
        <f t="shared" si="10"/>
        <v>Electropolished Pipes Manufacturer in Samalkot | Sakshi Forge</v>
      </c>
      <c r="AA1252" s="15" t="str">
        <f t="shared" si="11"/>
        <v>OK (61)</v>
      </c>
      <c r="AB1252" s="15" t="str">
        <f t="shared" si="12"/>
        <v>EP stainless tube for VERIFY lines in Samalkot. VERIFY. ASTM A270 S2, PMI tested, EN 10204 3.1.</v>
      </c>
      <c r="AC1252" s="15" t="str">
        <f t="shared" si="13"/>
        <v>PENDING RESEARCH</v>
      </c>
      <c r="AD1252" s="15" t="str">
        <f t="shared" si="14"/>
        <v>Electropolished Pipes Manufacturer in Samalkot</v>
      </c>
      <c r="AE1252" s="15" t="str">
        <f t="shared" si="15"/>
        <v>Manufacturing Electropolished SS Tube for Samalkot: The Standards We Build To</v>
      </c>
      <c r="AF1252" s="15" t="str">
        <f t="shared" si="16"/>
        <v>Electropolished Pipe Supply Into Samalkot - Certification &amp; Transit</v>
      </c>
      <c r="AG1252" s="15" t="str">
        <f t="shared" si="17"/>
        <v>Electropolished Pipes Wholesaler in Samalkot - Project Quantities &amp; Terms</v>
      </c>
      <c r="AH1252" s="15" t="str">
        <f t="shared" si="18"/>
        <v>electropolished pipes manufacturer in Samalkot, electropolished pipes supplier in Samalkot, electropolished pipes wholesaler in Samalkot, electropolished tube manufacturer Samalkot, EP pipe supplier Samalkot, sanitary tube supplier Samalkot, ASME BPE tubing Samalkot, ASTM A270 tube Samalkot, SS 316L electropolished pipe Samalkot</v>
      </c>
      <c r="AI1252" s="15" t="str">
        <f t="shared" si="19"/>
        <v>Electropolished Pipes Manufacturer &amp; Supplier in Samalkot</v>
      </c>
      <c r="AJ1252" s="15" t="str">
        <f t="shared" si="20"/>
        <v>EP-finished SS 304/316L pipes and tubes for VERIFY plants in Samalkot. ASME BPE SF1-SF4, Ra from 0.25 um, EN 10204 3.1 certificate with every lot.</v>
      </c>
      <c r="AK1252" s="15" t="str">
        <f t="shared" si="21"/>
        <v>Electropolished stainless steel pipes supplied by Sakshi Forge to VERIFY plants at APIIC Industrial Area, Samalkot</v>
      </c>
      <c r="AL1252" s="15" t="str">
        <f t="shared" si="22"/>
        <v>Electropolished SS 316L tube stock for Samalkot - Sakshi Forge</v>
      </c>
      <c r="AM1252" s="15" t="str">
        <f t="shared" si="23"/>
        <v>Home &gt; Market Area &gt; India &gt; Andhra Pradesh &gt; Samalkot</v>
      </c>
      <c r="AN1252" s="15">
        <f t="shared" si="24"/>
        <v>750</v>
      </c>
      <c r="AO1252" s="15">
        <f t="shared" si="25"/>
        <v>6</v>
      </c>
      <c r="AP1252" s="15">
        <f t="shared" si="26"/>
        <v>6</v>
      </c>
      <c r="AQ1252" s="15">
        <f t="shared" si="27"/>
        <v>21</v>
      </c>
      <c r="AR1252" s="31"/>
      <c r="AS1252" s="31"/>
      <c r="AT1252" s="35" t="s">
        <v>222</v>
      </c>
      <c r="AU1252" s="35"/>
    </row>
    <row r="1253" ht="15.75" customHeight="1">
      <c r="A1253" s="15" t="s">
        <v>6417</v>
      </c>
      <c r="B1253" s="15" t="s">
        <v>60</v>
      </c>
      <c r="C1253" s="15" t="s">
        <v>85</v>
      </c>
      <c r="D1253" s="15" t="s">
        <v>6418</v>
      </c>
      <c r="E1253" s="15" t="s">
        <v>6418</v>
      </c>
      <c r="F1253" s="58" t="s">
        <v>807</v>
      </c>
      <c r="G1253" s="66" t="s">
        <v>98</v>
      </c>
      <c r="H1253" s="18" t="s">
        <v>6420</v>
      </c>
      <c r="I1253" s="18" t="s">
        <v>8398</v>
      </c>
      <c r="J1253" s="18" t="s">
        <v>98</v>
      </c>
      <c r="K1253" s="18" t="s">
        <v>98</v>
      </c>
      <c r="L1253" s="18" t="s">
        <v>98</v>
      </c>
      <c r="M1253" s="18" t="s">
        <v>98</v>
      </c>
      <c r="N1253" s="18" t="s">
        <v>98</v>
      </c>
      <c r="O1253" s="18" t="s">
        <v>98</v>
      </c>
      <c r="P1253" s="15" t="str">
        <f t="shared" si="1"/>
        <v>VERIFY</v>
      </c>
      <c r="Q1253" s="15">
        <f t="shared" si="2"/>
        <v>2</v>
      </c>
      <c r="R1253" s="15">
        <f t="shared" si="3"/>
        <v>4</v>
      </c>
      <c r="S1253" s="15">
        <f t="shared" si="4"/>
        <v>5</v>
      </c>
      <c r="T1253" s="15" t="str">
        <f t="shared" si="5"/>
        <v>C-2</v>
      </c>
      <c r="U1253" s="15" t="str">
        <f t="shared" si="6"/>
        <v>T2-M4-H5-FC-2-VERIFY</v>
      </c>
      <c r="V1253" s="15">
        <f t="shared" si="7"/>
        <v>0</v>
      </c>
      <c r="W1253" s="31"/>
      <c r="X1253" s="15" t="str">
        <f t="shared" si="8"/>
        <v>sambhal</v>
      </c>
      <c r="Y1253" s="32" t="str">
        <f t="shared" si="9"/>
        <v>https://steelmanufacturer.in/market-area/electropolished-pipes-manufacturer-in-sambhal/</v>
      </c>
      <c r="Z1253" s="15" t="str">
        <f t="shared" si="10"/>
        <v>Electropolished Pipes Manufacturer in Sambhal</v>
      </c>
      <c r="AA1253" s="15" t="str">
        <f t="shared" si="11"/>
        <v>OK (45)</v>
      </c>
      <c r="AB1253" s="15" t="str">
        <f t="shared" si="12"/>
        <v>Sanitary electropolished pipes in Sambhal for VERIFY plants. ASME BPE SF1-SF4, orbital-weld ready, 3.1 MTC. Mumbai-made.</v>
      </c>
      <c r="AC1253" s="15" t="str">
        <f t="shared" si="13"/>
        <v>PENDING RESEARCH</v>
      </c>
      <c r="AD1253" s="15" t="str">
        <f t="shared" si="14"/>
        <v>Electropolished Pipes Manufacturer in Sambhal</v>
      </c>
      <c r="AE1253" s="15" t="str">
        <f t="shared" si="15"/>
        <v>Electropolished Tube Manufacturing Capability Serving Sambhal</v>
      </c>
      <c r="AF1253" s="15" t="str">
        <f t="shared" si="16"/>
        <v>Electropolished Pipes Supplier in Sambhal - From Order to Delivery</v>
      </c>
      <c r="AG1253" s="15" t="str">
        <f t="shared" si="17"/>
        <v>Stockist &amp; Wholesale Supply of Electropolished Pipes in Sambhal</v>
      </c>
      <c r="AH1253" s="15" t="str">
        <f t="shared" si="18"/>
        <v>electropolished pipes manufacturer in Sambhal, electropolished pipes supplier in Sambhal, electropolished pipes wholesaler in Sambhal, electropolished tube manufacturer Sambhal, EP pipe supplier Sambhal, sanitary tube supplier Sambhal, ASME BPE tubing Sambhal, ASTM A270 tube Sambhal, SS 316L electropolished pipe Sambhal</v>
      </c>
      <c r="AI1253" s="15" t="str">
        <f t="shared" si="19"/>
        <v>Electropolished Pipes Manufacturer &amp; Supplier in Sambhal</v>
      </c>
      <c r="AJ1253" s="15" t="str">
        <f t="shared" si="20"/>
        <v>EP-finished SS 304/316L pipes and tubes for VERIFY plants in Sambhal. ASME BPE SF1-SF4, Ra from 0.25 um, EN 10204 3.1 certificate with every lot.</v>
      </c>
      <c r="AK1253" s="15" t="str">
        <f t="shared" si="21"/>
        <v>Electropolished stainless steel pipes supplied by Sakshi Forge to VERIFY plants at UPSIDA Industrial Area, Sambhal</v>
      </c>
      <c r="AL1253" s="15" t="str">
        <f t="shared" si="22"/>
        <v>Electropolished SS 316L tube stock for Sambhal - Sakshi Forge</v>
      </c>
      <c r="AM1253" s="15" t="str">
        <f t="shared" si="23"/>
        <v>Home &gt; Market Area &gt; India &gt; Uttar Pradesh &gt; Sambhal</v>
      </c>
      <c r="AN1253" s="15">
        <f t="shared" si="24"/>
        <v>750</v>
      </c>
      <c r="AO1253" s="15">
        <f t="shared" si="25"/>
        <v>6</v>
      </c>
      <c r="AP1253" s="15">
        <f t="shared" si="26"/>
        <v>6</v>
      </c>
      <c r="AQ1253" s="15">
        <f t="shared" si="27"/>
        <v>21</v>
      </c>
      <c r="AR1253" s="31"/>
      <c r="AS1253" s="31"/>
      <c r="AT1253" s="35" t="s">
        <v>222</v>
      </c>
      <c r="AU1253" s="35"/>
    </row>
    <row r="1254" ht="15.75" customHeight="1">
      <c r="A1254" s="15" t="s">
        <v>6421</v>
      </c>
      <c r="B1254" s="15" t="s">
        <v>60</v>
      </c>
      <c r="C1254" s="15" t="s">
        <v>354</v>
      </c>
      <c r="D1254" s="15" t="s">
        <v>6422</v>
      </c>
      <c r="E1254" s="15" t="s">
        <v>6422</v>
      </c>
      <c r="F1254" s="58" t="s">
        <v>807</v>
      </c>
      <c r="G1254" s="66" t="s">
        <v>98</v>
      </c>
      <c r="H1254" s="18" t="s">
        <v>6424</v>
      </c>
      <c r="I1254" s="18" t="s">
        <v>8408</v>
      </c>
      <c r="J1254" s="18" t="s">
        <v>98</v>
      </c>
      <c r="K1254" s="18" t="s">
        <v>98</v>
      </c>
      <c r="L1254" s="18" t="s">
        <v>98</v>
      </c>
      <c r="M1254" s="18" t="s">
        <v>98</v>
      </c>
      <c r="N1254" s="18" t="s">
        <v>98</v>
      </c>
      <c r="O1254" s="18" t="s">
        <v>98</v>
      </c>
      <c r="P1254" s="15" t="str">
        <f t="shared" si="1"/>
        <v>VERIFY</v>
      </c>
      <c r="Q1254" s="15">
        <f t="shared" si="2"/>
        <v>3</v>
      </c>
      <c r="R1254" s="15">
        <f t="shared" si="3"/>
        <v>5</v>
      </c>
      <c r="S1254" s="15">
        <f t="shared" si="4"/>
        <v>1</v>
      </c>
      <c r="T1254" s="15" t="str">
        <f t="shared" si="5"/>
        <v>C-3</v>
      </c>
      <c r="U1254" s="15" t="str">
        <f t="shared" si="6"/>
        <v>T3-M5-H1-FC-3-VERIFY</v>
      </c>
      <c r="V1254" s="15">
        <f t="shared" si="7"/>
        <v>0</v>
      </c>
      <c r="W1254" s="31"/>
      <c r="X1254" s="15" t="str">
        <f t="shared" si="8"/>
        <v>samrala</v>
      </c>
      <c r="Y1254" s="32" t="str">
        <f t="shared" si="9"/>
        <v>https://steelmanufacturer.in/market-area/electropolished-pipes-manufacturer-in-samrala/</v>
      </c>
      <c r="Z1254" s="15" t="str">
        <f t="shared" si="10"/>
        <v>Electropolished Pipes Manufacturer in Samrala | EP Tube Supplier</v>
      </c>
      <c r="AA1254" s="15" t="str">
        <f t="shared" si="11"/>
        <v>OK (64)</v>
      </c>
      <c r="AB1254" s="15" t="str">
        <f t="shared" si="12"/>
        <v>Manufacturer of electropolished SS 316L tube serving Samrala. VERIFY. Ra 0.25-0.5 um, EN 10204 3.1 MTC.</v>
      </c>
      <c r="AC1254" s="15" t="str">
        <f t="shared" si="13"/>
        <v>PENDING RESEARCH</v>
      </c>
      <c r="AD1254" s="15" t="str">
        <f t="shared" si="14"/>
        <v>Electropolished Pipes Manufacturer in Samrala</v>
      </c>
      <c r="AE1254" s="15" t="str">
        <f t="shared" si="15"/>
        <v>Electropolished Pipe &amp; Tube Manufacturing for Samrala - Grades, Finishes &amp; Certification</v>
      </c>
      <c r="AF1254" s="15" t="str">
        <f t="shared" si="16"/>
        <v>Electropolished Pipes Supplier in Samrala - Stock Sizes, Lead Time &amp; Delivery</v>
      </c>
      <c r="AG1254" s="15" t="str">
        <f t="shared" si="17"/>
        <v>Electropolished Pipes Wholesaler &amp; Stockist in Samrala - Bulk &amp; Project Pricing</v>
      </c>
      <c r="AH1254" s="15" t="str">
        <f t="shared" si="18"/>
        <v>electropolished pipes manufacturer in Samrala, electropolished pipes supplier in Samrala, electropolished pipes wholesaler in Samrala, electropolished tube manufacturer Samrala, EP pipe supplier Samrala, sanitary tube supplier Samrala, ASME BPE tubing Samrala, ASTM A270 tube Samrala, SS 316L electropolished pipe Samrala</v>
      </c>
      <c r="AI1254" s="15" t="str">
        <f t="shared" si="19"/>
        <v>Electropolished Pipes Manufacturer &amp; Supplier in Samrala</v>
      </c>
      <c r="AJ1254" s="15" t="str">
        <f t="shared" si="20"/>
        <v>EP-finished SS 304/316L pipes and tubes for VERIFY plants in Samrala. ASME BPE SF1-SF4, Ra from 0.25 um, EN 10204 3.1 certificate with every lot.</v>
      </c>
      <c r="AK1254" s="15" t="str">
        <f t="shared" si="21"/>
        <v>Electropolished stainless steel pipes supplied by Sakshi Forge to VERIFY plants at PSIEC Industrial Area, Samrala</v>
      </c>
      <c r="AL1254" s="15" t="str">
        <f t="shared" si="22"/>
        <v>Electropolished SS 316L tube stock for Samrala - Sakshi Forge</v>
      </c>
      <c r="AM1254" s="15" t="str">
        <f t="shared" si="23"/>
        <v>Home &gt; Market Area &gt; India &gt; Punjab &gt; Samrala</v>
      </c>
      <c r="AN1254" s="15">
        <f t="shared" si="24"/>
        <v>750</v>
      </c>
      <c r="AO1254" s="15">
        <f t="shared" si="25"/>
        <v>6</v>
      </c>
      <c r="AP1254" s="15">
        <f t="shared" si="26"/>
        <v>6</v>
      </c>
      <c r="AQ1254" s="15">
        <f t="shared" si="27"/>
        <v>21</v>
      </c>
      <c r="AR1254" s="31"/>
      <c r="AS1254" s="31"/>
      <c r="AT1254" s="35" t="s">
        <v>222</v>
      </c>
      <c r="AU1254" s="35"/>
    </row>
    <row r="1255" ht="15.75" customHeight="1">
      <c r="A1255" s="15" t="s">
        <v>6425</v>
      </c>
      <c r="B1255" s="15" t="s">
        <v>60</v>
      </c>
      <c r="C1255" s="15" t="s">
        <v>264</v>
      </c>
      <c r="D1255" s="15" t="s">
        <v>6426</v>
      </c>
      <c r="E1255" s="15" t="s">
        <v>6426</v>
      </c>
      <c r="F1255" s="58" t="s">
        <v>807</v>
      </c>
      <c r="G1255" s="66" t="s">
        <v>98</v>
      </c>
      <c r="H1255" s="18" t="s">
        <v>6428</v>
      </c>
      <c r="I1255" s="18" t="s">
        <v>8395</v>
      </c>
      <c r="J1255" s="18" t="s">
        <v>98</v>
      </c>
      <c r="K1255" s="18" t="s">
        <v>98</v>
      </c>
      <c r="L1255" s="18" t="s">
        <v>98</v>
      </c>
      <c r="M1255" s="18" t="s">
        <v>98</v>
      </c>
      <c r="N1255" s="18" t="s">
        <v>98</v>
      </c>
      <c r="O1255" s="18" t="s">
        <v>98</v>
      </c>
      <c r="P1255" s="15" t="str">
        <f t="shared" si="1"/>
        <v>VERIFY</v>
      </c>
      <c r="Q1255" s="15">
        <f t="shared" si="2"/>
        <v>4</v>
      </c>
      <c r="R1255" s="15">
        <f t="shared" si="3"/>
        <v>6</v>
      </c>
      <c r="S1255" s="15">
        <f t="shared" si="4"/>
        <v>2</v>
      </c>
      <c r="T1255" s="15" t="str">
        <f t="shared" si="5"/>
        <v>C-4</v>
      </c>
      <c r="U1255" s="15" t="str">
        <f t="shared" si="6"/>
        <v>T4-M6-H2-FC-4-VERIFY</v>
      </c>
      <c r="V1255" s="15">
        <f t="shared" si="7"/>
        <v>0</v>
      </c>
      <c r="W1255" s="31"/>
      <c r="X1255" s="15" t="str">
        <f t="shared" si="8"/>
        <v>sangamner</v>
      </c>
      <c r="Y1255" s="32" t="str">
        <f t="shared" si="9"/>
        <v>https://steelmanufacturer.in/market-area/electropolished-pipes-manufacturer-in-sangamner/</v>
      </c>
      <c r="Z1255" s="15" t="str">
        <f t="shared" si="10"/>
        <v>Electropolished Pipes Manufacturer in Sangamner</v>
      </c>
      <c r="AA1255" s="15" t="str">
        <f t="shared" si="11"/>
        <v>OK (47)</v>
      </c>
      <c r="AB1255" s="15" t="str">
        <f t="shared" si="12"/>
        <v>EP tube and pipe for VERIFY plants around MIDC Industrial Area, Sangamner. Made at our Mumbai works to ASTM A270 and ASME BPE SF1-SF4, with 3.1 MTC.</v>
      </c>
      <c r="AC1255" s="15" t="str">
        <f t="shared" si="13"/>
        <v>PENDING RESEARCH</v>
      </c>
      <c r="AD1255" s="15" t="str">
        <f t="shared" si="14"/>
        <v>Electropolished Pipes Manufacturer in Sangamner</v>
      </c>
      <c r="AE1255" s="15" t="str">
        <f t="shared" si="15"/>
        <v>How We Manufacture Electropolished Tube for Sangamner Plants</v>
      </c>
      <c r="AF1255" s="15" t="str">
        <f t="shared" si="16"/>
        <v>Supplying Electropolished Pipes in Sangamner: Availability, Sizes &amp; Dispatch</v>
      </c>
      <c r="AG1255" s="15" t="str">
        <f t="shared" si="17"/>
        <v>Wholesale Electropolished Pipe Supply for Sangamner Projects</v>
      </c>
      <c r="AH1255" s="15" t="str">
        <f t="shared" si="18"/>
        <v>electropolished pipes manufacturer in Sangamner, electropolished pipes supplier in Sangamner, electropolished pipes wholesaler in Sangamner, electropolished tube manufacturer Sangamner, EP pipe supplier Sangamner, sanitary tube supplier Sangamner, ASME BPE tubing Sangamner, ASTM A270 tube Sangamner, SS 316L electropolished pipe Sangamner</v>
      </c>
      <c r="AI1255" s="15" t="str">
        <f t="shared" si="19"/>
        <v>Electropolished Pipes Manufacturer &amp; Supplier in Sangamner</v>
      </c>
      <c r="AJ1255" s="15" t="str">
        <f t="shared" si="20"/>
        <v>EP-finished SS 304/316L pipes and tubes for VERIFY plants in Sangamner. ASME BPE SF1-SF4, Ra from 0.25 um, EN 10204 3.1 certificate with every lot.</v>
      </c>
      <c r="AK1255" s="15" t="str">
        <f t="shared" si="21"/>
        <v>Electropolished stainless steel pipes supplied by Sakshi Forge to VERIFY plants at MIDC Industrial Area, Sangamner</v>
      </c>
      <c r="AL1255" s="15" t="str">
        <f t="shared" si="22"/>
        <v>Electropolished SS 316L tube stock for Sangamner - Sakshi Forge</v>
      </c>
      <c r="AM1255" s="15" t="str">
        <f t="shared" si="23"/>
        <v>Home &gt; Market Area &gt; India &gt; Maharashtra &gt; Sangamner</v>
      </c>
      <c r="AN1255" s="15">
        <f t="shared" si="24"/>
        <v>750</v>
      </c>
      <c r="AO1255" s="15">
        <f t="shared" si="25"/>
        <v>6</v>
      </c>
      <c r="AP1255" s="15">
        <f t="shared" si="26"/>
        <v>6</v>
      </c>
      <c r="AQ1255" s="15">
        <f t="shared" si="27"/>
        <v>21</v>
      </c>
      <c r="AR1255" s="31"/>
      <c r="AS1255" s="31"/>
      <c r="AT1255" s="35" t="s">
        <v>222</v>
      </c>
      <c r="AU1255" s="35"/>
    </row>
    <row r="1256" ht="15.75" customHeight="1">
      <c r="A1256" s="15" t="s">
        <v>6429</v>
      </c>
      <c r="B1256" s="15" t="s">
        <v>60</v>
      </c>
      <c r="C1256" s="15" t="s">
        <v>1165</v>
      </c>
      <c r="D1256" s="15" t="s">
        <v>6430</v>
      </c>
      <c r="E1256" s="15" t="s">
        <v>6430</v>
      </c>
      <c r="F1256" s="58" t="s">
        <v>807</v>
      </c>
      <c r="G1256" s="66" t="s">
        <v>98</v>
      </c>
      <c r="H1256" s="18" t="s">
        <v>6432</v>
      </c>
      <c r="I1256" s="18" t="s">
        <v>8404</v>
      </c>
      <c r="J1256" s="18" t="s">
        <v>98</v>
      </c>
      <c r="K1256" s="18" t="s">
        <v>98</v>
      </c>
      <c r="L1256" s="18" t="s">
        <v>98</v>
      </c>
      <c r="M1256" s="18" t="s">
        <v>98</v>
      </c>
      <c r="N1256" s="18" t="s">
        <v>98</v>
      </c>
      <c r="O1256" s="18" t="s">
        <v>98</v>
      </c>
      <c r="P1256" s="15" t="str">
        <f t="shared" si="1"/>
        <v>VERIFY</v>
      </c>
      <c r="Q1256" s="15">
        <f t="shared" si="2"/>
        <v>5</v>
      </c>
      <c r="R1256" s="15">
        <f t="shared" si="3"/>
        <v>7</v>
      </c>
      <c r="S1256" s="15">
        <f t="shared" si="4"/>
        <v>3</v>
      </c>
      <c r="T1256" s="15" t="str">
        <f t="shared" si="5"/>
        <v>C-5</v>
      </c>
      <c r="U1256" s="15" t="str">
        <f t="shared" si="6"/>
        <v>T5-M7-H3-FC-5-VERIFY</v>
      </c>
      <c r="V1256" s="15">
        <f t="shared" si="7"/>
        <v>0</v>
      </c>
      <c r="W1256" s="31"/>
      <c r="X1256" s="15" t="str">
        <f t="shared" si="8"/>
        <v>santipur</v>
      </c>
      <c r="Y1256" s="32" t="str">
        <f t="shared" si="9"/>
        <v>https://steelmanufacturer.in/market-area/electropolished-pipes-manufacturer-in-santipur/</v>
      </c>
      <c r="Z1256" s="15" t="str">
        <f t="shared" si="10"/>
        <v>Electropolished Pipes Manufacturer in Santipur</v>
      </c>
      <c r="AA1256" s="15" t="str">
        <f t="shared" si="11"/>
        <v>OK (46)</v>
      </c>
      <c r="AB1256" s="15" t="str">
        <f t="shared" si="12"/>
        <v>Electropolished pipes in Santipur: 304, 304L, 316 and 316L in SF1-SF4. VERIFY. Mill certified.</v>
      </c>
      <c r="AC1256" s="15" t="str">
        <f t="shared" si="13"/>
        <v>PENDING RESEARCH</v>
      </c>
      <c r="AD1256" s="15" t="str">
        <f t="shared" si="14"/>
        <v>Electropolished Pipes Manufacturer in Santipur</v>
      </c>
      <c r="AE1256" s="15" t="str">
        <f t="shared" si="15"/>
        <v>Electropolished Pipes Manufacturer in Santipur - Our Process &amp; Capability</v>
      </c>
      <c r="AF1256" s="15" t="str">
        <f t="shared" si="16"/>
        <v>Electropolished Pipes Supplier in Santipur - What We Hold in Stock</v>
      </c>
      <c r="AG1256" s="15" t="str">
        <f t="shared" si="17"/>
        <v>Bulk &amp; Wholesale Electropolished Pipe Rates for Santipur Buyers</v>
      </c>
      <c r="AH1256" s="15" t="str">
        <f t="shared" si="18"/>
        <v>electropolished pipes manufacturer in Santipur, electropolished pipes supplier in Santipur, electropolished pipes wholesaler in Santipur, electropolished tube manufacturer Santipur, EP pipe supplier Santipur, sanitary tube supplier Santipur, ASME BPE tubing Santipur, ASTM A270 tube Santipur, SS 316L electropolished pipe Santipur</v>
      </c>
      <c r="AI1256" s="15" t="str">
        <f t="shared" si="19"/>
        <v>Electropolished Pipes Manufacturer &amp; Supplier in Santipur</v>
      </c>
      <c r="AJ1256" s="15" t="str">
        <f t="shared" si="20"/>
        <v>EP-finished SS 304/316L pipes and tubes for VERIFY plants in Santipur. ASME BPE SF1-SF4, Ra from 0.25 um, EN 10204 3.1 certificate with every lot.</v>
      </c>
      <c r="AK1256" s="15" t="str">
        <f t="shared" si="21"/>
        <v>Electropolished stainless steel pipes supplied by Sakshi Forge to VERIFY plants at WBIDC Industrial Area, Santipur</v>
      </c>
      <c r="AL1256" s="15" t="str">
        <f t="shared" si="22"/>
        <v>Electropolished SS 316L tube stock for Santipur - Sakshi Forge</v>
      </c>
      <c r="AM1256" s="15" t="str">
        <f t="shared" si="23"/>
        <v>Home &gt; Market Area &gt; India &gt; West Bengal &gt; Santipur</v>
      </c>
      <c r="AN1256" s="15">
        <f t="shared" si="24"/>
        <v>750</v>
      </c>
      <c r="AO1256" s="15">
        <f t="shared" si="25"/>
        <v>6</v>
      </c>
      <c r="AP1256" s="15">
        <f t="shared" si="26"/>
        <v>6</v>
      </c>
      <c r="AQ1256" s="15">
        <f t="shared" si="27"/>
        <v>21</v>
      </c>
      <c r="AR1256" s="31"/>
      <c r="AS1256" s="31"/>
      <c r="AT1256" s="35" t="s">
        <v>222</v>
      </c>
      <c r="AU1256" s="35"/>
    </row>
    <row r="1257" ht="15.75" customHeight="1">
      <c r="A1257" s="15" t="s">
        <v>6433</v>
      </c>
      <c r="B1257" s="15" t="s">
        <v>60</v>
      </c>
      <c r="C1257" s="15" t="s">
        <v>224</v>
      </c>
      <c r="D1257" s="15" t="s">
        <v>6434</v>
      </c>
      <c r="E1257" s="15" t="s">
        <v>6434</v>
      </c>
      <c r="F1257" s="58" t="s">
        <v>807</v>
      </c>
      <c r="G1257" s="66" t="s">
        <v>98</v>
      </c>
      <c r="H1257" s="18" t="s">
        <v>6436</v>
      </c>
      <c r="I1257" s="18" t="s">
        <v>8400</v>
      </c>
      <c r="J1257" s="18" t="s">
        <v>98</v>
      </c>
      <c r="K1257" s="18" t="s">
        <v>98</v>
      </c>
      <c r="L1257" s="18" t="s">
        <v>98</v>
      </c>
      <c r="M1257" s="18" t="s">
        <v>98</v>
      </c>
      <c r="N1257" s="18" t="s">
        <v>98</v>
      </c>
      <c r="O1257" s="18" t="s">
        <v>98</v>
      </c>
      <c r="P1257" s="15" t="str">
        <f t="shared" si="1"/>
        <v>VERIFY</v>
      </c>
      <c r="Q1257" s="15">
        <f t="shared" si="2"/>
        <v>6</v>
      </c>
      <c r="R1257" s="15">
        <f t="shared" si="3"/>
        <v>1</v>
      </c>
      <c r="S1257" s="15">
        <f t="shared" si="4"/>
        <v>4</v>
      </c>
      <c r="T1257" s="15" t="str">
        <f t="shared" si="5"/>
        <v>C-6</v>
      </c>
      <c r="U1257" s="15" t="str">
        <f t="shared" si="6"/>
        <v>T6-M1-H4-FC-6-VERIFY</v>
      </c>
      <c r="V1257" s="15">
        <f t="shared" si="7"/>
        <v>0</v>
      </c>
      <c r="W1257" s="31"/>
      <c r="X1257" s="15" t="str">
        <f t="shared" si="8"/>
        <v>santrampur</v>
      </c>
      <c r="Y1257" s="32" t="str">
        <f t="shared" si="9"/>
        <v>https://steelmanufacturer.in/market-area/electropolished-pipes-manufacturer-in-santrampur/</v>
      </c>
      <c r="Z1257" s="15" t="str">
        <f t="shared" si="10"/>
        <v>Electropolished Pipes Manufacturer in Santrampur</v>
      </c>
      <c r="AA1257" s="15" t="str">
        <f t="shared" si="11"/>
        <v>OK (48)</v>
      </c>
      <c r="AB1257" s="15" t="str">
        <f t="shared" si="12"/>
        <v>EP-finished SS 304/316L pipes &amp; tubes for VERIFY plants in Santrampur. ASTM A270, ASME BPE SF1-SF4, EN 10204 3.1 MTC. PMI tested.</v>
      </c>
      <c r="AC1257" s="15" t="str">
        <f t="shared" si="13"/>
        <v>PENDING RESEARCH</v>
      </c>
      <c r="AD1257" s="15" t="str">
        <f t="shared" si="14"/>
        <v>Electropolished Pipes Manufacturer in Santrampur</v>
      </c>
      <c r="AE1257" s="15" t="str">
        <f t="shared" si="15"/>
        <v>Manufacturing Electropolished SS Tube for Santrampur: The Standards We Build To</v>
      </c>
      <c r="AF1257" s="15" t="str">
        <f t="shared" si="16"/>
        <v>Electropolished Pipe Supply Into Santrampur - Certification &amp; Transit</v>
      </c>
      <c r="AG1257" s="15" t="str">
        <f t="shared" si="17"/>
        <v>Electropolished Pipes Wholesaler in Santrampur - Project Quantities &amp; Terms</v>
      </c>
      <c r="AH1257" s="15" t="str">
        <f t="shared" si="18"/>
        <v>electropolished pipes manufacturer in Santrampur, electropolished pipes supplier in Santrampur, electropolished pipes wholesaler in Santrampur, electropolished tube manufacturer Santrampur, EP pipe supplier Santrampur, sanitary tube supplier Santrampur, ASME BPE tubing Santrampur, ASTM A270 tube Santrampur, SS 316L electropolished pipe Santrampur</v>
      </c>
      <c r="AI1257" s="15" t="str">
        <f t="shared" si="19"/>
        <v>Electropolished Pipes Manufacturer &amp; Supplier in Santrampur</v>
      </c>
      <c r="AJ1257" s="15" t="str">
        <f t="shared" si="20"/>
        <v>EP-finished SS 304/316L pipes and tubes for VERIFY plants in Santrampur. ASME BPE SF1-SF4, Ra from 0.25 um, EN 10204 3.1 certificate with every lot.</v>
      </c>
      <c r="AK1257" s="15" t="str">
        <f t="shared" si="21"/>
        <v>Electropolished stainless steel pipes supplied by Sakshi Forge to VERIFY plants at GIDC Industrial Area, Santrampur</v>
      </c>
      <c r="AL1257" s="15" t="str">
        <f t="shared" si="22"/>
        <v>Electropolished SS 316L tube stock for Santrampur - Sakshi Forge</v>
      </c>
      <c r="AM1257" s="15" t="str">
        <f t="shared" si="23"/>
        <v>Home &gt; Market Area &gt; India &gt; Gujarat &gt; Santrampur</v>
      </c>
      <c r="AN1257" s="15">
        <f t="shared" si="24"/>
        <v>750</v>
      </c>
      <c r="AO1257" s="15">
        <f t="shared" si="25"/>
        <v>6</v>
      </c>
      <c r="AP1257" s="15">
        <f t="shared" si="26"/>
        <v>6</v>
      </c>
      <c r="AQ1257" s="15">
        <f t="shared" si="27"/>
        <v>21</v>
      </c>
      <c r="AR1257" s="31"/>
      <c r="AS1257" s="31"/>
      <c r="AT1257" s="35" t="s">
        <v>222</v>
      </c>
      <c r="AU1257" s="35"/>
    </row>
    <row r="1258" ht="15.75" customHeight="1">
      <c r="A1258" s="15" t="s">
        <v>6437</v>
      </c>
      <c r="B1258" s="15" t="s">
        <v>60</v>
      </c>
      <c r="C1258" s="15" t="s">
        <v>842</v>
      </c>
      <c r="D1258" s="15" t="s">
        <v>6438</v>
      </c>
      <c r="E1258" s="15" t="s">
        <v>6438</v>
      </c>
      <c r="F1258" s="58" t="s">
        <v>807</v>
      </c>
      <c r="G1258" s="66" t="s">
        <v>98</v>
      </c>
      <c r="H1258" s="18" t="s">
        <v>6440</v>
      </c>
      <c r="I1258" s="18" t="s">
        <v>8413</v>
      </c>
      <c r="J1258" s="18" t="s">
        <v>98</v>
      </c>
      <c r="K1258" s="18" t="s">
        <v>98</v>
      </c>
      <c r="L1258" s="18" t="s">
        <v>98</v>
      </c>
      <c r="M1258" s="18" t="s">
        <v>98</v>
      </c>
      <c r="N1258" s="18" t="s">
        <v>98</v>
      </c>
      <c r="O1258" s="18" t="s">
        <v>98</v>
      </c>
      <c r="P1258" s="15" t="str">
        <f t="shared" si="1"/>
        <v>VERIFY</v>
      </c>
      <c r="Q1258" s="15">
        <f t="shared" si="2"/>
        <v>7</v>
      </c>
      <c r="R1258" s="15">
        <f t="shared" si="3"/>
        <v>2</v>
      </c>
      <c r="S1258" s="15">
        <f t="shared" si="4"/>
        <v>5</v>
      </c>
      <c r="T1258" s="15" t="str">
        <f t="shared" si="5"/>
        <v>C-1</v>
      </c>
      <c r="U1258" s="15" t="str">
        <f t="shared" si="6"/>
        <v>T7-M2-H5-FC-1-VERIFY</v>
      </c>
      <c r="V1258" s="15">
        <f t="shared" si="7"/>
        <v>0</v>
      </c>
      <c r="W1258" s="31"/>
      <c r="X1258" s="15" t="str">
        <f t="shared" si="8"/>
        <v>sardarpur</v>
      </c>
      <c r="Y1258" s="32" t="str">
        <f t="shared" si="9"/>
        <v>https://steelmanufacturer.in/market-area/electropolished-pipes-manufacturer-in-sardarpur/</v>
      </c>
      <c r="Z1258" s="15" t="str">
        <f t="shared" si="10"/>
        <v>Electropolished Pipes Manufacturer in Sardarpur</v>
      </c>
      <c r="AA1258" s="15" t="str">
        <f t="shared" si="11"/>
        <v>OK (47)</v>
      </c>
      <c r="AB1258" s="15" t="str">
        <f t="shared" si="12"/>
        <v>Electropolished tube supply to MPIDC Industrial Area, Sardarpur. Ra from 0.25 um, SF4 finish, mill test certificate with every lot.</v>
      </c>
      <c r="AC1258" s="15" t="str">
        <f t="shared" si="13"/>
        <v>PENDING RESEARCH</v>
      </c>
      <c r="AD1258" s="15" t="str">
        <f t="shared" si="14"/>
        <v>Electropolished Pipes Manufacturer in Sardarpur</v>
      </c>
      <c r="AE1258" s="15" t="str">
        <f t="shared" si="15"/>
        <v>Electropolished Tube Manufacturing Capability Serving Sardarpur</v>
      </c>
      <c r="AF1258" s="15" t="str">
        <f t="shared" si="16"/>
        <v>Electropolished Pipes Supplier in Sardarpur - From Order to Delivery</v>
      </c>
      <c r="AG1258" s="15" t="str">
        <f t="shared" si="17"/>
        <v>Stockist &amp; Wholesale Supply of Electropolished Pipes in Sardarpur</v>
      </c>
      <c r="AH1258" s="15" t="str">
        <f t="shared" si="18"/>
        <v>electropolished pipes manufacturer in Sardarpur, electropolished pipes supplier in Sardarpur, electropolished pipes wholesaler in Sardarpur, electropolished tube manufacturer Sardarpur, EP pipe supplier Sardarpur, sanitary tube supplier Sardarpur, ASME BPE tubing Sardarpur, ASTM A270 tube Sardarpur, SS 316L electropolished pipe Sardarpur</v>
      </c>
      <c r="AI1258" s="15" t="str">
        <f t="shared" si="19"/>
        <v>Electropolished Pipes Manufacturer &amp; Supplier in Sardarpur</v>
      </c>
      <c r="AJ1258" s="15" t="str">
        <f t="shared" si="20"/>
        <v>EP-finished SS 304/316L pipes and tubes for VERIFY plants in Sardarpur. ASME BPE SF1-SF4, Ra from 0.25 um, EN 10204 3.1 certificate with every lot.</v>
      </c>
      <c r="AK1258" s="15" t="str">
        <f t="shared" si="21"/>
        <v>Electropolished stainless steel pipes supplied by Sakshi Forge to VERIFY plants at MPIDC Industrial Area, Sardarpur</v>
      </c>
      <c r="AL1258" s="15" t="str">
        <f t="shared" si="22"/>
        <v>Electropolished SS 316L tube stock for Sardarpur - Sakshi Forge</v>
      </c>
      <c r="AM1258" s="15" t="str">
        <f t="shared" si="23"/>
        <v>Home &gt; Market Area &gt; India &gt; Madhya Pradesh &gt; Sardarpur</v>
      </c>
      <c r="AN1258" s="15">
        <f t="shared" si="24"/>
        <v>750</v>
      </c>
      <c r="AO1258" s="15">
        <f t="shared" si="25"/>
        <v>6</v>
      </c>
      <c r="AP1258" s="15">
        <f t="shared" si="26"/>
        <v>6</v>
      </c>
      <c r="AQ1258" s="15">
        <f t="shared" si="27"/>
        <v>21</v>
      </c>
      <c r="AR1258" s="31"/>
      <c r="AS1258" s="31"/>
      <c r="AT1258" s="35" t="s">
        <v>222</v>
      </c>
      <c r="AU1258" s="35"/>
    </row>
    <row r="1259" ht="15.75" customHeight="1">
      <c r="A1259" s="15" t="s">
        <v>6441</v>
      </c>
      <c r="B1259" s="15" t="s">
        <v>60</v>
      </c>
      <c r="C1259" s="15" t="s">
        <v>236</v>
      </c>
      <c r="D1259" s="15" t="s">
        <v>6442</v>
      </c>
      <c r="E1259" s="15" t="s">
        <v>6442</v>
      </c>
      <c r="F1259" s="58" t="s">
        <v>807</v>
      </c>
      <c r="G1259" s="66" t="s">
        <v>98</v>
      </c>
      <c r="H1259" s="18" t="s">
        <v>6445</v>
      </c>
      <c r="I1259" s="18" t="s">
        <v>8391</v>
      </c>
      <c r="J1259" s="18" t="s">
        <v>98</v>
      </c>
      <c r="K1259" s="18" t="s">
        <v>98</v>
      </c>
      <c r="L1259" s="18" t="s">
        <v>98</v>
      </c>
      <c r="M1259" s="18" t="s">
        <v>98</v>
      </c>
      <c r="N1259" s="18" t="s">
        <v>98</v>
      </c>
      <c r="O1259" s="18" t="s">
        <v>98</v>
      </c>
      <c r="P1259" s="15" t="str">
        <f t="shared" si="1"/>
        <v>VERIFY</v>
      </c>
      <c r="Q1259" s="15">
        <f t="shared" si="2"/>
        <v>8</v>
      </c>
      <c r="R1259" s="15">
        <f t="shared" si="3"/>
        <v>3</v>
      </c>
      <c r="S1259" s="15">
        <f t="shared" si="4"/>
        <v>1</v>
      </c>
      <c r="T1259" s="15" t="str">
        <f t="shared" si="5"/>
        <v>C-2</v>
      </c>
      <c r="U1259" s="15" t="str">
        <f t="shared" si="6"/>
        <v>T8-M3-H1-FC-2-VERIFY</v>
      </c>
      <c r="V1259" s="15">
        <f t="shared" si="7"/>
        <v>0</v>
      </c>
      <c r="W1259" s="31"/>
      <c r="X1259" s="15" t="str">
        <f t="shared" si="8"/>
        <v>sardarshahar</v>
      </c>
      <c r="Y1259" s="32" t="str">
        <f t="shared" si="9"/>
        <v>https://steelmanufacturer.in/market-area/electropolished-pipes-manufacturer-in-sardarshahar/</v>
      </c>
      <c r="Z1259" s="15" t="str">
        <f t="shared" si="10"/>
        <v>Electropolished Pipes Manufacturer in Sardarshahar</v>
      </c>
      <c r="AA1259" s="15" t="str">
        <f t="shared" si="11"/>
        <v>OK (50)</v>
      </c>
      <c r="AB1259" s="15" t="str">
        <f t="shared" si="12"/>
        <v>EP stainless tube for VERIFY lines in Sardarshahar. VERIFY. ASTM A270 S2, PMI tested, EN 10204 3.1.</v>
      </c>
      <c r="AC1259" s="15" t="str">
        <f t="shared" si="13"/>
        <v>PENDING RESEARCH</v>
      </c>
      <c r="AD1259" s="15" t="str">
        <f t="shared" si="14"/>
        <v>Electropolished Pipes Manufacturer in Sardarshahar</v>
      </c>
      <c r="AE1259" s="15" t="str">
        <f t="shared" si="15"/>
        <v>Electropolished Pipe &amp; Tube Manufacturing for Sardarshahar - Grades, Finishes &amp; Certification</v>
      </c>
      <c r="AF1259" s="15" t="str">
        <f t="shared" si="16"/>
        <v>Electropolished Pipes Supplier in Sardarshahar - Stock Sizes, Lead Time &amp; Delivery</v>
      </c>
      <c r="AG1259" s="15" t="str">
        <f t="shared" si="17"/>
        <v>Electropolished Pipes Wholesaler &amp; Stockist in Sardarshahar - Bulk &amp; Project Pricing</v>
      </c>
      <c r="AH1259" s="15" t="str">
        <f t="shared" si="18"/>
        <v>electropolished pipes manufacturer in Sardarshahar, electropolished pipes supplier in Sardarshahar, electropolished pipes wholesaler in Sardarshahar, electropolished tube manufacturer Sardarshahar, EP pipe supplier Sardarshahar, sanitary tube supplier Sardarshahar, ASME BPE tubing Sardarshahar, ASTM A270 tube Sardarshahar, SS 316L electropolished pipe Sardarshahar</v>
      </c>
      <c r="AI1259" s="15" t="str">
        <f t="shared" si="19"/>
        <v>Electropolished Pipes Manufacturer &amp; Supplier in Sardarshahar</v>
      </c>
      <c r="AJ1259" s="15" t="str">
        <f t="shared" si="20"/>
        <v>EP-finished SS 304/316L pipes and tubes for VERIFY plants in Sardarshahar. ASME BPE SF1-SF4, Ra from 0.25 um, EN 10204 3.1 certificate with every lot.</v>
      </c>
      <c r="AK1259" s="15" t="str">
        <f t="shared" si="21"/>
        <v>Electropolished stainless steel pipes supplied by Sakshi Forge to VERIFY plants at RIICO Industrial Area, Sardarshahar</v>
      </c>
      <c r="AL1259" s="15" t="str">
        <f t="shared" si="22"/>
        <v>Electropolished SS 316L tube stock for Sardarshahar - Sakshi Forge</v>
      </c>
      <c r="AM1259" s="15" t="str">
        <f t="shared" si="23"/>
        <v>Home &gt; Market Area &gt; India &gt; Rajasthan &gt; Sardarshahar</v>
      </c>
      <c r="AN1259" s="15">
        <f t="shared" si="24"/>
        <v>750</v>
      </c>
      <c r="AO1259" s="15">
        <f t="shared" si="25"/>
        <v>6</v>
      </c>
      <c r="AP1259" s="15">
        <f t="shared" si="26"/>
        <v>6</v>
      </c>
      <c r="AQ1259" s="15">
        <f t="shared" si="27"/>
        <v>21</v>
      </c>
      <c r="AR1259" s="31"/>
      <c r="AS1259" s="31"/>
      <c r="AT1259" s="35" t="s">
        <v>222</v>
      </c>
      <c r="AU1259" s="35"/>
    </row>
    <row r="1260" ht="15.75" customHeight="1">
      <c r="A1260" s="15" t="s">
        <v>6447</v>
      </c>
      <c r="B1260" s="15" t="s">
        <v>60</v>
      </c>
      <c r="C1260" s="15" t="s">
        <v>236</v>
      </c>
      <c r="D1260" s="15" t="s">
        <v>6450</v>
      </c>
      <c r="E1260" s="15" t="s">
        <v>6450</v>
      </c>
      <c r="F1260" s="58" t="s">
        <v>807</v>
      </c>
      <c r="G1260" s="66" t="s">
        <v>98</v>
      </c>
      <c r="H1260" s="18" t="s">
        <v>6452</v>
      </c>
      <c r="I1260" s="18" t="s">
        <v>8391</v>
      </c>
      <c r="J1260" s="18" t="s">
        <v>98</v>
      </c>
      <c r="K1260" s="18" t="s">
        <v>98</v>
      </c>
      <c r="L1260" s="18" t="s">
        <v>98</v>
      </c>
      <c r="M1260" s="18" t="s">
        <v>98</v>
      </c>
      <c r="N1260" s="18" t="s">
        <v>98</v>
      </c>
      <c r="O1260" s="18" t="s">
        <v>98</v>
      </c>
      <c r="P1260" s="15" t="str">
        <f t="shared" si="1"/>
        <v>VERIFY</v>
      </c>
      <c r="Q1260" s="15">
        <f t="shared" si="2"/>
        <v>1</v>
      </c>
      <c r="R1260" s="15">
        <f t="shared" si="3"/>
        <v>4</v>
      </c>
      <c r="S1260" s="15">
        <f t="shared" si="4"/>
        <v>2</v>
      </c>
      <c r="T1260" s="15" t="str">
        <f t="shared" si="5"/>
        <v>C-3</v>
      </c>
      <c r="U1260" s="15" t="str">
        <f t="shared" si="6"/>
        <v>T1-M4-H2-FC-3-VERIFY</v>
      </c>
      <c r="V1260" s="15">
        <f t="shared" si="7"/>
        <v>0</v>
      </c>
      <c r="W1260" s="31"/>
      <c r="X1260" s="15" t="str">
        <f t="shared" si="8"/>
        <v>sarwar</v>
      </c>
      <c r="Y1260" s="32" t="str">
        <f t="shared" si="9"/>
        <v>https://steelmanufacturer.in/market-area/electropolished-pipes-manufacturer-in-sarwar/</v>
      </c>
      <c r="Z1260" s="15" t="str">
        <f t="shared" si="10"/>
        <v>Electropolished Pipes Manufacturer in Sarwar | Sakshi Forge</v>
      </c>
      <c r="AA1260" s="15" t="str">
        <f t="shared" si="11"/>
        <v>OK (59)</v>
      </c>
      <c r="AB1260" s="15" t="str">
        <f t="shared" si="12"/>
        <v>Sanitary electropolished pipes in Sarwar for VERIFY plants. ASME BPE SF1-SF4, orbital-weld ready, 3.1 MTC. Mumbai-made.</v>
      </c>
      <c r="AC1260" s="15" t="str">
        <f t="shared" si="13"/>
        <v>PENDING RESEARCH</v>
      </c>
      <c r="AD1260" s="15" t="str">
        <f t="shared" si="14"/>
        <v>Electropolished Pipes Manufacturer in Sarwar</v>
      </c>
      <c r="AE1260" s="15" t="str">
        <f t="shared" si="15"/>
        <v>How We Manufacture Electropolished Tube for Sarwar Plants</v>
      </c>
      <c r="AF1260" s="15" t="str">
        <f t="shared" si="16"/>
        <v>Supplying Electropolished Pipes in Sarwar: Availability, Sizes &amp; Dispatch</v>
      </c>
      <c r="AG1260" s="15" t="str">
        <f t="shared" si="17"/>
        <v>Wholesale Electropolished Pipe Supply for Sarwar Projects</v>
      </c>
      <c r="AH1260" s="15" t="str">
        <f t="shared" si="18"/>
        <v>electropolished pipes manufacturer in Sarwar, electropolished pipes supplier in Sarwar, electropolished pipes wholesaler in Sarwar, electropolished tube manufacturer Sarwar, EP pipe supplier Sarwar, sanitary tube supplier Sarwar, ASME BPE tubing Sarwar, ASTM A270 tube Sarwar, SS 316L electropolished pipe Sarwar</v>
      </c>
      <c r="AI1260" s="15" t="str">
        <f t="shared" si="19"/>
        <v>Electropolished Pipes Manufacturer &amp; Supplier in Sarwar</v>
      </c>
      <c r="AJ1260" s="15" t="str">
        <f t="shared" si="20"/>
        <v>EP-finished SS 304/316L pipes and tubes for VERIFY plants in Sarwar. ASME BPE SF1-SF4, Ra from 0.25 um, EN 10204 3.1 certificate with every lot.</v>
      </c>
      <c r="AK1260" s="15" t="str">
        <f t="shared" si="21"/>
        <v>Electropolished stainless steel pipes supplied by Sakshi Forge to VERIFY plants at RIICO Industrial Area, Sarwar</v>
      </c>
      <c r="AL1260" s="15" t="str">
        <f t="shared" si="22"/>
        <v>Electropolished SS 316L tube stock for Sarwar - Sakshi Forge</v>
      </c>
      <c r="AM1260" s="15" t="str">
        <f t="shared" si="23"/>
        <v>Home &gt; Market Area &gt; India &gt; Rajasthan &gt; Sarwar</v>
      </c>
      <c r="AN1260" s="15">
        <f t="shared" si="24"/>
        <v>750</v>
      </c>
      <c r="AO1260" s="15">
        <f t="shared" si="25"/>
        <v>6</v>
      </c>
      <c r="AP1260" s="15">
        <f t="shared" si="26"/>
        <v>6</v>
      </c>
      <c r="AQ1260" s="15">
        <f t="shared" si="27"/>
        <v>21</v>
      </c>
      <c r="AR1260" s="31"/>
      <c r="AS1260" s="31"/>
      <c r="AT1260" s="35" t="s">
        <v>222</v>
      </c>
      <c r="AU1260" s="35"/>
    </row>
    <row r="1261" ht="15.75" customHeight="1">
      <c r="A1261" s="15" t="s">
        <v>6453</v>
      </c>
      <c r="B1261" s="15" t="s">
        <v>60</v>
      </c>
      <c r="C1261" s="15" t="s">
        <v>424</v>
      </c>
      <c r="D1261" s="15" t="s">
        <v>6454</v>
      </c>
      <c r="E1261" s="15" t="s">
        <v>6454</v>
      </c>
      <c r="F1261" s="58" t="s">
        <v>807</v>
      </c>
      <c r="G1261" s="66" t="s">
        <v>98</v>
      </c>
      <c r="H1261" s="18" t="s">
        <v>6456</v>
      </c>
      <c r="I1261" s="18" t="s">
        <v>8406</v>
      </c>
      <c r="J1261" s="18" t="s">
        <v>98</v>
      </c>
      <c r="K1261" s="18" t="s">
        <v>98</v>
      </c>
      <c r="L1261" s="18" t="s">
        <v>98</v>
      </c>
      <c r="M1261" s="18" t="s">
        <v>98</v>
      </c>
      <c r="N1261" s="18" t="s">
        <v>98</v>
      </c>
      <c r="O1261" s="18" t="s">
        <v>98</v>
      </c>
      <c r="P1261" s="15" t="str">
        <f t="shared" si="1"/>
        <v>VERIFY</v>
      </c>
      <c r="Q1261" s="15">
        <f t="shared" si="2"/>
        <v>2</v>
      </c>
      <c r="R1261" s="15">
        <f t="shared" si="3"/>
        <v>5</v>
      </c>
      <c r="S1261" s="15">
        <f t="shared" si="4"/>
        <v>3</v>
      </c>
      <c r="T1261" s="15" t="str">
        <f t="shared" si="5"/>
        <v>C-4</v>
      </c>
      <c r="U1261" s="15" t="str">
        <f t="shared" si="6"/>
        <v>T2-M5-H3-FC-4-VERIFY</v>
      </c>
      <c r="V1261" s="15">
        <f t="shared" si="7"/>
        <v>0</v>
      </c>
      <c r="W1261" s="31"/>
      <c r="X1261" s="15" t="str">
        <f t="shared" si="8"/>
        <v>satyabadi</v>
      </c>
      <c r="Y1261" s="32" t="str">
        <f t="shared" si="9"/>
        <v>https://steelmanufacturer.in/market-area/electropolished-pipes-manufacturer-in-satyabadi/</v>
      </c>
      <c r="Z1261" s="15" t="str">
        <f t="shared" si="10"/>
        <v>Electropolished Pipes Manufacturer in Satyabadi</v>
      </c>
      <c r="AA1261" s="15" t="str">
        <f t="shared" si="11"/>
        <v>OK (47)</v>
      </c>
      <c r="AB1261" s="15" t="str">
        <f t="shared" si="12"/>
        <v>Manufacturer of electropolished SS 316L tube serving Satyabadi. VERIFY. Ra 0.25-0.5 um, EN 10204 3.1 MTC.</v>
      </c>
      <c r="AC1261" s="15" t="str">
        <f t="shared" si="13"/>
        <v>PENDING RESEARCH</v>
      </c>
      <c r="AD1261" s="15" t="str">
        <f t="shared" si="14"/>
        <v>Electropolished Pipes Manufacturer in Satyabadi</v>
      </c>
      <c r="AE1261" s="15" t="str">
        <f t="shared" si="15"/>
        <v>Electropolished Pipes Manufacturer in Satyabadi - Our Process &amp; Capability</v>
      </c>
      <c r="AF1261" s="15" t="str">
        <f t="shared" si="16"/>
        <v>Electropolished Pipes Supplier in Satyabadi - What We Hold in Stock</v>
      </c>
      <c r="AG1261" s="15" t="str">
        <f t="shared" si="17"/>
        <v>Bulk &amp; Wholesale Electropolished Pipe Rates for Satyabadi Buyers</v>
      </c>
      <c r="AH1261" s="15" t="str">
        <f t="shared" si="18"/>
        <v>electropolished pipes manufacturer in Satyabadi, electropolished pipes supplier in Satyabadi, electropolished pipes wholesaler in Satyabadi, electropolished tube manufacturer Satyabadi, EP pipe supplier Satyabadi, sanitary tube supplier Satyabadi, ASME BPE tubing Satyabadi, ASTM A270 tube Satyabadi, SS 316L electropolished pipe Satyabadi</v>
      </c>
      <c r="AI1261" s="15" t="str">
        <f t="shared" si="19"/>
        <v>Electropolished Pipes Manufacturer &amp; Supplier in Satyabadi</v>
      </c>
      <c r="AJ1261" s="15" t="str">
        <f t="shared" si="20"/>
        <v>EP-finished SS 304/316L pipes and tubes for VERIFY plants in Satyabadi. ASME BPE SF1-SF4, Ra from 0.25 um, EN 10204 3.1 certificate with every lot.</v>
      </c>
      <c r="AK1261" s="15" t="str">
        <f t="shared" si="21"/>
        <v>Electropolished stainless steel pipes supplied by Sakshi Forge to VERIFY plants at IDCO Industrial Area, Satyabadi</v>
      </c>
      <c r="AL1261" s="15" t="str">
        <f t="shared" si="22"/>
        <v>Electropolished SS 316L tube stock for Satyabadi - Sakshi Forge</v>
      </c>
      <c r="AM1261" s="15" t="str">
        <f t="shared" si="23"/>
        <v>Home &gt; Market Area &gt; India &gt; Odisha &gt; Satyabadi</v>
      </c>
      <c r="AN1261" s="15">
        <f t="shared" si="24"/>
        <v>750</v>
      </c>
      <c r="AO1261" s="15">
        <f t="shared" si="25"/>
        <v>6</v>
      </c>
      <c r="AP1261" s="15">
        <f t="shared" si="26"/>
        <v>6</v>
      </c>
      <c r="AQ1261" s="15">
        <f t="shared" si="27"/>
        <v>21</v>
      </c>
      <c r="AR1261" s="31"/>
      <c r="AS1261" s="31"/>
      <c r="AT1261" s="35" t="s">
        <v>222</v>
      </c>
      <c r="AU1261" s="35"/>
    </row>
    <row r="1262" ht="15.75" customHeight="1">
      <c r="A1262" s="15" t="s">
        <v>6457</v>
      </c>
      <c r="B1262" s="15" t="s">
        <v>60</v>
      </c>
      <c r="C1262" s="15" t="s">
        <v>842</v>
      </c>
      <c r="D1262" s="15" t="s">
        <v>6458</v>
      </c>
      <c r="E1262" s="15" t="s">
        <v>6458</v>
      </c>
      <c r="F1262" s="58" t="s">
        <v>807</v>
      </c>
      <c r="G1262" s="66" t="s">
        <v>98</v>
      </c>
      <c r="H1262" s="18" t="s">
        <v>6460</v>
      </c>
      <c r="I1262" s="18" t="s">
        <v>8413</v>
      </c>
      <c r="J1262" s="18" t="s">
        <v>98</v>
      </c>
      <c r="K1262" s="18" t="s">
        <v>98</v>
      </c>
      <c r="L1262" s="18" t="s">
        <v>98</v>
      </c>
      <c r="M1262" s="18" t="s">
        <v>98</v>
      </c>
      <c r="N1262" s="18" t="s">
        <v>98</v>
      </c>
      <c r="O1262" s="18" t="s">
        <v>98</v>
      </c>
      <c r="P1262" s="15" t="str">
        <f t="shared" si="1"/>
        <v>VERIFY</v>
      </c>
      <c r="Q1262" s="15">
        <f t="shared" si="2"/>
        <v>3</v>
      </c>
      <c r="R1262" s="15">
        <f t="shared" si="3"/>
        <v>6</v>
      </c>
      <c r="S1262" s="15">
        <f t="shared" si="4"/>
        <v>4</v>
      </c>
      <c r="T1262" s="15" t="str">
        <f t="shared" si="5"/>
        <v>C-5</v>
      </c>
      <c r="U1262" s="15" t="str">
        <f t="shared" si="6"/>
        <v>T3-M6-H4-FC-5-VERIFY</v>
      </c>
      <c r="V1262" s="15">
        <f t="shared" si="7"/>
        <v>0</v>
      </c>
      <c r="W1262" s="31"/>
      <c r="X1262" s="15" t="str">
        <f t="shared" si="8"/>
        <v>sehore</v>
      </c>
      <c r="Y1262" s="32" t="str">
        <f t="shared" si="9"/>
        <v>https://steelmanufacturer.in/market-area/electropolished-pipes-manufacturer-in-sehore/</v>
      </c>
      <c r="Z1262" s="15" t="str">
        <f t="shared" si="10"/>
        <v>Electropolished Pipes Manufacturer in Sehore | EP Tube Supplier</v>
      </c>
      <c r="AA1262" s="15" t="str">
        <f t="shared" si="11"/>
        <v>OK (63)</v>
      </c>
      <c r="AB1262" s="15" t="str">
        <f t="shared" si="12"/>
        <v>EP tube and pipe for VERIFY plants around MPIDC Industrial Area, Sehore. Made at our Mumbai works to ASTM A270 and ASME BPE SF1-SF4, with 3.1 MTC.</v>
      </c>
      <c r="AC1262" s="15" t="str">
        <f t="shared" si="13"/>
        <v>PENDING RESEARCH</v>
      </c>
      <c r="AD1262" s="15" t="str">
        <f t="shared" si="14"/>
        <v>Electropolished Pipes Manufacturer in Sehore</v>
      </c>
      <c r="AE1262" s="15" t="str">
        <f t="shared" si="15"/>
        <v>Manufacturing Electropolished SS Tube for Sehore: The Standards We Build To</v>
      </c>
      <c r="AF1262" s="15" t="str">
        <f t="shared" si="16"/>
        <v>Electropolished Pipe Supply Into Sehore - Certification &amp; Transit</v>
      </c>
      <c r="AG1262" s="15" t="str">
        <f t="shared" si="17"/>
        <v>Electropolished Pipes Wholesaler in Sehore - Project Quantities &amp; Terms</v>
      </c>
      <c r="AH1262" s="15" t="str">
        <f t="shared" si="18"/>
        <v>electropolished pipes manufacturer in Sehore, electropolished pipes supplier in Sehore, electropolished pipes wholesaler in Sehore, electropolished tube manufacturer Sehore, EP pipe supplier Sehore, sanitary tube supplier Sehore, ASME BPE tubing Sehore, ASTM A270 tube Sehore, SS 316L electropolished pipe Sehore</v>
      </c>
      <c r="AI1262" s="15" t="str">
        <f t="shared" si="19"/>
        <v>Electropolished Pipes Manufacturer &amp; Supplier in Sehore</v>
      </c>
      <c r="AJ1262" s="15" t="str">
        <f t="shared" si="20"/>
        <v>EP-finished SS 304/316L pipes and tubes for VERIFY plants in Sehore. ASME BPE SF1-SF4, Ra from 0.25 um, EN 10204 3.1 certificate with every lot.</v>
      </c>
      <c r="AK1262" s="15" t="str">
        <f t="shared" si="21"/>
        <v>Electropolished stainless steel pipes supplied by Sakshi Forge to VERIFY plants at MPIDC Industrial Area, Sehore</v>
      </c>
      <c r="AL1262" s="15" t="str">
        <f t="shared" si="22"/>
        <v>Electropolished SS 316L tube stock for Sehore - Sakshi Forge</v>
      </c>
      <c r="AM1262" s="15" t="str">
        <f t="shared" si="23"/>
        <v>Home &gt; Market Area &gt; India &gt; Madhya Pradesh &gt; Sehore</v>
      </c>
      <c r="AN1262" s="15">
        <f t="shared" si="24"/>
        <v>750</v>
      </c>
      <c r="AO1262" s="15">
        <f t="shared" si="25"/>
        <v>6</v>
      </c>
      <c r="AP1262" s="15">
        <f t="shared" si="26"/>
        <v>6</v>
      </c>
      <c r="AQ1262" s="15">
        <f t="shared" si="27"/>
        <v>21</v>
      </c>
      <c r="AR1262" s="31"/>
      <c r="AS1262" s="31"/>
      <c r="AT1262" s="35" t="s">
        <v>222</v>
      </c>
      <c r="AU1262" s="35"/>
    </row>
    <row r="1263" ht="15.75" customHeight="1">
      <c r="A1263" s="15" t="s">
        <v>6461</v>
      </c>
      <c r="B1263" s="15" t="s">
        <v>60</v>
      </c>
      <c r="C1263" s="15" t="s">
        <v>264</v>
      </c>
      <c r="D1263" s="15" t="s">
        <v>6462</v>
      </c>
      <c r="E1263" s="15" t="s">
        <v>6462</v>
      </c>
      <c r="F1263" s="58" t="s">
        <v>807</v>
      </c>
      <c r="G1263" s="66" t="s">
        <v>98</v>
      </c>
      <c r="H1263" s="18" t="s">
        <v>6464</v>
      </c>
      <c r="I1263" s="18" t="s">
        <v>8395</v>
      </c>
      <c r="J1263" s="18" t="s">
        <v>98</v>
      </c>
      <c r="K1263" s="18" t="s">
        <v>98</v>
      </c>
      <c r="L1263" s="18" t="s">
        <v>98</v>
      </c>
      <c r="M1263" s="18" t="s">
        <v>98</v>
      </c>
      <c r="N1263" s="18" t="s">
        <v>98</v>
      </c>
      <c r="O1263" s="18" t="s">
        <v>98</v>
      </c>
      <c r="P1263" s="15" t="str">
        <f t="shared" si="1"/>
        <v>VERIFY</v>
      </c>
      <c r="Q1263" s="15">
        <f t="shared" si="2"/>
        <v>4</v>
      </c>
      <c r="R1263" s="15">
        <f t="shared" si="3"/>
        <v>7</v>
      </c>
      <c r="S1263" s="15">
        <f t="shared" si="4"/>
        <v>5</v>
      </c>
      <c r="T1263" s="15" t="str">
        <f t="shared" si="5"/>
        <v>C-6</v>
      </c>
      <c r="U1263" s="15" t="str">
        <f t="shared" si="6"/>
        <v>T4-M7-H5-FC-6-VERIFY</v>
      </c>
      <c r="V1263" s="15">
        <f t="shared" si="7"/>
        <v>0</v>
      </c>
      <c r="W1263" s="31"/>
      <c r="X1263" s="15" t="str">
        <f t="shared" si="8"/>
        <v>selu</v>
      </c>
      <c r="Y1263" s="32" t="str">
        <f t="shared" si="9"/>
        <v>https://steelmanufacturer.in/market-area/electropolished-pipes-manufacturer-in-selu/</v>
      </c>
      <c r="Z1263" s="15" t="str">
        <f t="shared" si="10"/>
        <v>Electropolished Pipes Manufacturer in Selu - SS 304/316L EP Tube</v>
      </c>
      <c r="AA1263" s="15" t="str">
        <f t="shared" si="11"/>
        <v>OK (64)</v>
      </c>
      <c r="AB1263" s="15" t="str">
        <f t="shared" si="12"/>
        <v>Electropolished pipes in Selu: 304, 304L, 316 and 316L in SF1-SF4. VERIFY. Mill certified.</v>
      </c>
      <c r="AC1263" s="15" t="str">
        <f t="shared" si="13"/>
        <v>PENDING RESEARCH</v>
      </c>
      <c r="AD1263" s="15" t="str">
        <f t="shared" si="14"/>
        <v>Electropolished Pipes Manufacturer in Selu</v>
      </c>
      <c r="AE1263" s="15" t="str">
        <f t="shared" si="15"/>
        <v>Electropolished Tube Manufacturing Capability Serving Selu</v>
      </c>
      <c r="AF1263" s="15" t="str">
        <f t="shared" si="16"/>
        <v>Electropolished Pipes Supplier in Selu - From Order to Delivery</v>
      </c>
      <c r="AG1263" s="15" t="str">
        <f t="shared" si="17"/>
        <v>Stockist &amp; Wholesale Supply of Electropolished Pipes in Selu</v>
      </c>
      <c r="AH1263" s="15" t="str">
        <f t="shared" si="18"/>
        <v>electropolished pipes manufacturer in Selu, electropolished pipes supplier in Selu, electropolished pipes wholesaler in Selu, electropolished tube manufacturer Selu, EP pipe supplier Selu, sanitary tube supplier Selu, ASME BPE tubing Selu, ASTM A270 tube Selu, SS 316L electropolished pipe Selu</v>
      </c>
      <c r="AI1263" s="15" t="str">
        <f t="shared" si="19"/>
        <v>Electropolished Pipes Manufacturer &amp; Supplier in Selu</v>
      </c>
      <c r="AJ1263" s="15" t="str">
        <f t="shared" si="20"/>
        <v>EP-finished SS 304/316L pipes and tubes for VERIFY plants in Selu. ASME BPE SF1-SF4, Ra from 0.25 um, EN 10204 3.1 certificate with every lot.</v>
      </c>
      <c r="AK1263" s="15" t="str">
        <f t="shared" si="21"/>
        <v>Electropolished stainless steel pipes supplied by Sakshi Forge to VERIFY plants at MIDC Industrial Area, Selu</v>
      </c>
      <c r="AL1263" s="15" t="str">
        <f t="shared" si="22"/>
        <v>Electropolished SS 316L tube stock for Selu - Sakshi Forge</v>
      </c>
      <c r="AM1263" s="15" t="str">
        <f t="shared" si="23"/>
        <v>Home &gt; Market Area &gt; India &gt; Maharashtra &gt; Selu</v>
      </c>
      <c r="AN1263" s="15">
        <f t="shared" si="24"/>
        <v>750</v>
      </c>
      <c r="AO1263" s="15">
        <f t="shared" si="25"/>
        <v>6</v>
      </c>
      <c r="AP1263" s="15">
        <f t="shared" si="26"/>
        <v>6</v>
      </c>
      <c r="AQ1263" s="15">
        <f t="shared" si="27"/>
        <v>21</v>
      </c>
      <c r="AR1263" s="31"/>
      <c r="AS1263" s="31"/>
      <c r="AT1263" s="35" t="s">
        <v>222</v>
      </c>
      <c r="AU1263" s="35"/>
    </row>
    <row r="1264" ht="15.75" customHeight="1">
      <c r="A1264" s="15" t="s">
        <v>6465</v>
      </c>
      <c r="B1264" s="15" t="s">
        <v>60</v>
      </c>
      <c r="C1264" s="15" t="s">
        <v>842</v>
      </c>
      <c r="D1264" s="15" t="s">
        <v>6466</v>
      </c>
      <c r="E1264" s="15" t="s">
        <v>6466</v>
      </c>
      <c r="F1264" s="58" t="s">
        <v>807</v>
      </c>
      <c r="G1264" s="66" t="s">
        <v>98</v>
      </c>
      <c r="H1264" s="18" t="s">
        <v>6468</v>
      </c>
      <c r="I1264" s="18" t="s">
        <v>8413</v>
      </c>
      <c r="J1264" s="18" t="s">
        <v>98</v>
      </c>
      <c r="K1264" s="18" t="s">
        <v>98</v>
      </c>
      <c r="L1264" s="18" t="s">
        <v>98</v>
      </c>
      <c r="M1264" s="18" t="s">
        <v>98</v>
      </c>
      <c r="N1264" s="18" t="s">
        <v>98</v>
      </c>
      <c r="O1264" s="18" t="s">
        <v>98</v>
      </c>
      <c r="P1264" s="15" t="str">
        <f t="shared" si="1"/>
        <v>VERIFY</v>
      </c>
      <c r="Q1264" s="15">
        <f t="shared" si="2"/>
        <v>5</v>
      </c>
      <c r="R1264" s="15">
        <f t="shared" si="3"/>
        <v>1</v>
      </c>
      <c r="S1264" s="15">
        <f t="shared" si="4"/>
        <v>1</v>
      </c>
      <c r="T1264" s="15" t="str">
        <f t="shared" si="5"/>
        <v>C-1</v>
      </c>
      <c r="U1264" s="15" t="str">
        <f t="shared" si="6"/>
        <v>T5-M1-H1-FC-1-VERIFY</v>
      </c>
      <c r="V1264" s="15">
        <f t="shared" si="7"/>
        <v>0</v>
      </c>
      <c r="W1264" s="31"/>
      <c r="X1264" s="15" t="str">
        <f t="shared" si="8"/>
        <v>seoni</v>
      </c>
      <c r="Y1264" s="32" t="str">
        <f t="shared" si="9"/>
        <v>https://steelmanufacturer.in/market-area/electropolished-pipes-manufacturer-in-seoni/</v>
      </c>
      <c r="Z1264" s="15" t="str">
        <f t="shared" si="10"/>
        <v>Electropolished Pipes Manufacturer in Seoni</v>
      </c>
      <c r="AA1264" s="15" t="str">
        <f t="shared" si="11"/>
        <v>OK (43)</v>
      </c>
      <c r="AB1264" s="15" t="str">
        <f t="shared" si="12"/>
        <v>EP-finished SS 304/316L pipes &amp; tubes for VERIFY plants in Seoni. ASTM A270, ASME BPE SF1-SF4, EN 10204 3.1 MTC. PMI tested.</v>
      </c>
      <c r="AC1264" s="15" t="str">
        <f t="shared" si="13"/>
        <v>PENDING RESEARCH</v>
      </c>
      <c r="AD1264" s="15" t="str">
        <f t="shared" si="14"/>
        <v>Electropolished Pipes Manufacturer in Seoni</v>
      </c>
      <c r="AE1264" s="15" t="str">
        <f t="shared" si="15"/>
        <v>Electropolished Pipe &amp; Tube Manufacturing for Seoni - Grades, Finishes &amp; Certification</v>
      </c>
      <c r="AF1264" s="15" t="str">
        <f t="shared" si="16"/>
        <v>Electropolished Pipes Supplier in Seoni - Stock Sizes, Lead Time &amp; Delivery</v>
      </c>
      <c r="AG1264" s="15" t="str">
        <f t="shared" si="17"/>
        <v>Electropolished Pipes Wholesaler &amp; Stockist in Seoni - Bulk &amp; Project Pricing</v>
      </c>
      <c r="AH1264" s="15" t="str">
        <f t="shared" si="18"/>
        <v>electropolished pipes manufacturer in Seoni, electropolished pipes supplier in Seoni, electropolished pipes wholesaler in Seoni, electropolished tube manufacturer Seoni, EP pipe supplier Seoni, sanitary tube supplier Seoni, ASME BPE tubing Seoni, ASTM A270 tube Seoni, SS 316L electropolished pipe Seoni</v>
      </c>
      <c r="AI1264" s="15" t="str">
        <f t="shared" si="19"/>
        <v>Electropolished Pipes Manufacturer &amp; Supplier in Seoni</v>
      </c>
      <c r="AJ1264" s="15" t="str">
        <f t="shared" si="20"/>
        <v>EP-finished SS 304/316L pipes and tubes for VERIFY plants in Seoni. ASME BPE SF1-SF4, Ra from 0.25 um, EN 10204 3.1 certificate with every lot.</v>
      </c>
      <c r="AK1264" s="15" t="str">
        <f t="shared" si="21"/>
        <v>Electropolished stainless steel pipes supplied by Sakshi Forge to VERIFY plants at MPIDC Industrial Area, Seoni</v>
      </c>
      <c r="AL1264" s="15" t="str">
        <f t="shared" si="22"/>
        <v>Electropolished SS 316L tube stock for Seoni - Sakshi Forge</v>
      </c>
      <c r="AM1264" s="15" t="str">
        <f t="shared" si="23"/>
        <v>Home &gt; Market Area &gt; India &gt; Madhya Pradesh &gt; Seoni</v>
      </c>
      <c r="AN1264" s="15">
        <f t="shared" si="24"/>
        <v>750</v>
      </c>
      <c r="AO1264" s="15">
        <f t="shared" si="25"/>
        <v>6</v>
      </c>
      <c r="AP1264" s="15">
        <f t="shared" si="26"/>
        <v>6</v>
      </c>
      <c r="AQ1264" s="15">
        <f t="shared" si="27"/>
        <v>22</v>
      </c>
      <c r="AR1264" s="31"/>
      <c r="AS1264" s="31"/>
      <c r="AT1264" s="35" t="s">
        <v>222</v>
      </c>
      <c r="AU1264" s="35"/>
    </row>
    <row r="1265" ht="15.75" customHeight="1">
      <c r="A1265" s="15" t="s">
        <v>6469</v>
      </c>
      <c r="B1265" s="15" t="s">
        <v>60</v>
      </c>
      <c r="C1265" s="15" t="s">
        <v>1312</v>
      </c>
      <c r="D1265" s="15" t="s">
        <v>6470</v>
      </c>
      <c r="E1265" s="15" t="s">
        <v>6470</v>
      </c>
      <c r="F1265" s="58" t="s">
        <v>807</v>
      </c>
      <c r="G1265" s="66" t="s">
        <v>98</v>
      </c>
      <c r="H1265" s="18" t="s">
        <v>6472</v>
      </c>
      <c r="I1265" s="18" t="s">
        <v>8392</v>
      </c>
      <c r="J1265" s="18" t="s">
        <v>98</v>
      </c>
      <c r="K1265" s="18" t="s">
        <v>98</v>
      </c>
      <c r="L1265" s="18" t="s">
        <v>98</v>
      </c>
      <c r="M1265" s="18" t="s">
        <v>98</v>
      </c>
      <c r="N1265" s="18" t="s">
        <v>98</v>
      </c>
      <c r="O1265" s="18" t="s">
        <v>98</v>
      </c>
      <c r="P1265" s="15" t="str">
        <f t="shared" si="1"/>
        <v>VERIFY</v>
      </c>
      <c r="Q1265" s="15">
        <f t="shared" si="2"/>
        <v>6</v>
      </c>
      <c r="R1265" s="15">
        <f t="shared" si="3"/>
        <v>2</v>
      </c>
      <c r="S1265" s="15">
        <f t="shared" si="4"/>
        <v>2</v>
      </c>
      <c r="T1265" s="15" t="str">
        <f t="shared" si="5"/>
        <v>C-2</v>
      </c>
      <c r="U1265" s="15" t="str">
        <f t="shared" si="6"/>
        <v>T6-M2-H2-FC-2-VERIFY</v>
      </c>
      <c r="V1265" s="15">
        <f t="shared" si="7"/>
        <v>0</v>
      </c>
      <c r="W1265" s="31"/>
      <c r="X1265" s="15" t="str">
        <f t="shared" si="8"/>
        <v>shadnagar</v>
      </c>
      <c r="Y1265" s="32" t="str">
        <f t="shared" si="9"/>
        <v>https://steelmanufacturer.in/market-area/electropolished-pipes-manufacturer-in-shadnagar/</v>
      </c>
      <c r="Z1265" s="15" t="str">
        <f t="shared" si="10"/>
        <v>Electropolished Pipes Manufacturer in Shadnagar</v>
      </c>
      <c r="AA1265" s="15" t="str">
        <f t="shared" si="11"/>
        <v>OK (47)</v>
      </c>
      <c r="AB1265" s="15" t="str">
        <f t="shared" si="12"/>
        <v>Electropolished tube supply to TSIIC Industrial Area, Shadnagar. Ra from 0.25 um, SF4 finish, mill test certificate with every lot.</v>
      </c>
      <c r="AC1265" s="15" t="str">
        <f t="shared" si="13"/>
        <v>PENDING RESEARCH</v>
      </c>
      <c r="AD1265" s="15" t="str">
        <f t="shared" si="14"/>
        <v>Electropolished Pipes Manufacturer in Shadnagar</v>
      </c>
      <c r="AE1265" s="15" t="str">
        <f t="shared" si="15"/>
        <v>How We Manufacture Electropolished Tube for Shadnagar Plants</v>
      </c>
      <c r="AF1265" s="15" t="str">
        <f t="shared" si="16"/>
        <v>Supplying Electropolished Pipes in Shadnagar: Availability, Sizes &amp; Dispatch</v>
      </c>
      <c r="AG1265" s="15" t="str">
        <f t="shared" si="17"/>
        <v>Wholesale Electropolished Pipe Supply for Shadnagar Projects</v>
      </c>
      <c r="AH1265" s="15" t="str">
        <f t="shared" si="18"/>
        <v>electropolished pipes manufacturer in Shadnagar, electropolished pipes supplier in Shadnagar, electropolished pipes wholesaler in Shadnagar, electropolished tube manufacturer Shadnagar, EP pipe supplier Shadnagar, sanitary tube supplier Shadnagar, ASME BPE tubing Shadnagar, ASTM A270 tube Shadnagar, SS 316L electropolished pipe Shadnagar</v>
      </c>
      <c r="AI1265" s="15" t="str">
        <f t="shared" si="19"/>
        <v>Electropolished Pipes Manufacturer &amp; Supplier in Shadnagar</v>
      </c>
      <c r="AJ1265" s="15" t="str">
        <f t="shared" si="20"/>
        <v>EP-finished SS 304/316L pipes and tubes for VERIFY plants in Shadnagar. ASME BPE SF1-SF4, Ra from 0.25 um, EN 10204 3.1 certificate with every lot.</v>
      </c>
      <c r="AK1265" s="15" t="str">
        <f t="shared" si="21"/>
        <v>Electropolished stainless steel pipes supplied by Sakshi Forge to VERIFY plants at TSIIC Industrial Area, Shadnagar</v>
      </c>
      <c r="AL1265" s="15" t="str">
        <f t="shared" si="22"/>
        <v>Electropolished SS 316L tube stock for Shadnagar - Sakshi Forge</v>
      </c>
      <c r="AM1265" s="15" t="str">
        <f t="shared" si="23"/>
        <v>Home &gt; Market Area &gt; India &gt; Telangana &gt; Shadnagar</v>
      </c>
      <c r="AN1265" s="15">
        <f t="shared" si="24"/>
        <v>750</v>
      </c>
      <c r="AO1265" s="15">
        <f t="shared" si="25"/>
        <v>6</v>
      </c>
      <c r="AP1265" s="15">
        <f t="shared" si="26"/>
        <v>6</v>
      </c>
      <c r="AQ1265" s="15">
        <f t="shared" si="27"/>
        <v>22</v>
      </c>
      <c r="AR1265" s="31"/>
      <c r="AS1265" s="31"/>
      <c r="AT1265" s="35" t="s">
        <v>222</v>
      </c>
      <c r="AU1265" s="35"/>
    </row>
    <row r="1266" ht="15.75" customHeight="1">
      <c r="A1266" s="15" t="s">
        <v>6473</v>
      </c>
      <c r="B1266" s="15" t="s">
        <v>60</v>
      </c>
      <c r="C1266" s="15" t="s">
        <v>842</v>
      </c>
      <c r="D1266" s="15" t="s">
        <v>6474</v>
      </c>
      <c r="E1266" s="15" t="s">
        <v>6474</v>
      </c>
      <c r="F1266" s="58" t="s">
        <v>807</v>
      </c>
      <c r="G1266" s="66" t="s">
        <v>98</v>
      </c>
      <c r="H1266" s="18" t="s">
        <v>6476</v>
      </c>
      <c r="I1266" s="18" t="s">
        <v>8413</v>
      </c>
      <c r="J1266" s="18" t="s">
        <v>98</v>
      </c>
      <c r="K1266" s="18" t="s">
        <v>98</v>
      </c>
      <c r="L1266" s="18" t="s">
        <v>98</v>
      </c>
      <c r="M1266" s="18" t="s">
        <v>98</v>
      </c>
      <c r="N1266" s="18" t="s">
        <v>98</v>
      </c>
      <c r="O1266" s="18" t="s">
        <v>98</v>
      </c>
      <c r="P1266" s="15" t="str">
        <f t="shared" si="1"/>
        <v>VERIFY</v>
      </c>
      <c r="Q1266" s="15">
        <f t="shared" si="2"/>
        <v>7</v>
      </c>
      <c r="R1266" s="15">
        <f t="shared" si="3"/>
        <v>3</v>
      </c>
      <c r="S1266" s="15">
        <f t="shared" si="4"/>
        <v>3</v>
      </c>
      <c r="T1266" s="15" t="str">
        <f t="shared" si="5"/>
        <v>C-3</v>
      </c>
      <c r="U1266" s="15" t="str">
        <f t="shared" si="6"/>
        <v>T7-M3-H3-FC-3-VERIFY</v>
      </c>
      <c r="V1266" s="15">
        <f t="shared" si="7"/>
        <v>0</v>
      </c>
      <c r="W1266" s="31"/>
      <c r="X1266" s="15" t="str">
        <f t="shared" si="8"/>
        <v>shahdol</v>
      </c>
      <c r="Y1266" s="32" t="str">
        <f t="shared" si="9"/>
        <v>https://steelmanufacturer.in/market-area/electropolished-pipes-manufacturer-in-shahdol/</v>
      </c>
      <c r="Z1266" s="15" t="str">
        <f t="shared" si="10"/>
        <v>Electropolished Pipes Manufacturer in Shahdol | ASME BPE SF1-SF4</v>
      </c>
      <c r="AA1266" s="15" t="str">
        <f t="shared" si="11"/>
        <v>OK (64)</v>
      </c>
      <c r="AB1266" s="15" t="str">
        <f t="shared" si="12"/>
        <v>EP stainless tube for VERIFY lines in Shahdol. VERIFY. ASTM A270 S2, PMI tested, EN 10204 3.1.</v>
      </c>
      <c r="AC1266" s="15" t="str">
        <f t="shared" si="13"/>
        <v>PENDING RESEARCH</v>
      </c>
      <c r="AD1266" s="15" t="str">
        <f t="shared" si="14"/>
        <v>Electropolished Pipes Manufacturer in Shahdol</v>
      </c>
      <c r="AE1266" s="15" t="str">
        <f t="shared" si="15"/>
        <v>Electropolished Pipes Manufacturer in Shahdol - Our Process &amp; Capability</v>
      </c>
      <c r="AF1266" s="15" t="str">
        <f t="shared" si="16"/>
        <v>Electropolished Pipes Supplier in Shahdol - What We Hold in Stock</v>
      </c>
      <c r="AG1266" s="15" t="str">
        <f t="shared" si="17"/>
        <v>Bulk &amp; Wholesale Electropolished Pipe Rates for Shahdol Buyers</v>
      </c>
      <c r="AH1266" s="15" t="str">
        <f t="shared" si="18"/>
        <v>electropolished pipes manufacturer in Shahdol, electropolished pipes supplier in Shahdol, electropolished pipes wholesaler in Shahdol, electropolished tube manufacturer Shahdol, EP pipe supplier Shahdol, sanitary tube supplier Shahdol, ASME BPE tubing Shahdol, ASTM A270 tube Shahdol, SS 316L electropolished pipe Shahdol</v>
      </c>
      <c r="AI1266" s="15" t="str">
        <f t="shared" si="19"/>
        <v>Electropolished Pipes Manufacturer &amp; Supplier in Shahdol</v>
      </c>
      <c r="AJ1266" s="15" t="str">
        <f t="shared" si="20"/>
        <v>EP-finished SS 304/316L pipes and tubes for VERIFY plants in Shahdol. ASME BPE SF1-SF4, Ra from 0.25 um, EN 10204 3.1 certificate with every lot.</v>
      </c>
      <c r="AK1266" s="15" t="str">
        <f t="shared" si="21"/>
        <v>Electropolished stainless steel pipes supplied by Sakshi Forge to VERIFY plants at MPIDC Industrial Area, Shahdol</v>
      </c>
      <c r="AL1266" s="15" t="str">
        <f t="shared" si="22"/>
        <v>Electropolished SS 316L tube stock for Shahdol - Sakshi Forge</v>
      </c>
      <c r="AM1266" s="15" t="str">
        <f t="shared" si="23"/>
        <v>Home &gt; Market Area &gt; India &gt; Madhya Pradesh &gt; Shahdol</v>
      </c>
      <c r="AN1266" s="15">
        <f t="shared" si="24"/>
        <v>750</v>
      </c>
      <c r="AO1266" s="15">
        <f t="shared" si="25"/>
        <v>6</v>
      </c>
      <c r="AP1266" s="15">
        <f t="shared" si="26"/>
        <v>6</v>
      </c>
      <c r="AQ1266" s="15">
        <f t="shared" si="27"/>
        <v>22</v>
      </c>
      <c r="AR1266" s="31"/>
      <c r="AS1266" s="31"/>
      <c r="AT1266" s="35" t="s">
        <v>222</v>
      </c>
      <c r="AU1266" s="35"/>
    </row>
    <row r="1267" ht="15.75" customHeight="1">
      <c r="A1267" s="15" t="s">
        <v>6477</v>
      </c>
      <c r="B1267" s="15" t="s">
        <v>60</v>
      </c>
      <c r="C1267" s="15" t="s">
        <v>354</v>
      </c>
      <c r="D1267" s="15" t="s">
        <v>6478</v>
      </c>
      <c r="E1267" s="15" t="s">
        <v>6478</v>
      </c>
      <c r="F1267" s="58" t="s">
        <v>807</v>
      </c>
      <c r="G1267" s="66" t="s">
        <v>98</v>
      </c>
      <c r="H1267" s="18" t="s">
        <v>6480</v>
      </c>
      <c r="I1267" s="18" t="s">
        <v>8408</v>
      </c>
      <c r="J1267" s="18" t="s">
        <v>98</v>
      </c>
      <c r="K1267" s="18" t="s">
        <v>98</v>
      </c>
      <c r="L1267" s="18" t="s">
        <v>98</v>
      </c>
      <c r="M1267" s="18" t="s">
        <v>98</v>
      </c>
      <c r="N1267" s="18" t="s">
        <v>98</v>
      </c>
      <c r="O1267" s="18" t="s">
        <v>98</v>
      </c>
      <c r="P1267" s="15" t="str">
        <f t="shared" si="1"/>
        <v>VERIFY</v>
      </c>
      <c r="Q1267" s="15">
        <f t="shared" si="2"/>
        <v>8</v>
      </c>
      <c r="R1267" s="15">
        <f t="shared" si="3"/>
        <v>4</v>
      </c>
      <c r="S1267" s="15">
        <f t="shared" si="4"/>
        <v>4</v>
      </c>
      <c r="T1267" s="15" t="str">
        <f t="shared" si="5"/>
        <v>C-4</v>
      </c>
      <c r="U1267" s="15" t="str">
        <f t="shared" si="6"/>
        <v>T8-M4-H4-FC-4-VERIFY</v>
      </c>
      <c r="V1267" s="15">
        <f t="shared" si="7"/>
        <v>0</v>
      </c>
      <c r="W1267" s="31"/>
      <c r="X1267" s="15" t="str">
        <f t="shared" si="8"/>
        <v>shahkot</v>
      </c>
      <c r="Y1267" s="32" t="str">
        <f t="shared" si="9"/>
        <v>https://steelmanufacturer.in/market-area/electropolished-pipes-manufacturer-in-shahkot/</v>
      </c>
      <c r="Z1267" s="15" t="str">
        <f t="shared" si="10"/>
        <v>Electropolished Pipes Manufacturer in Shahkot - EP Tube Stockist</v>
      </c>
      <c r="AA1267" s="15" t="str">
        <f t="shared" si="11"/>
        <v>OK (64)</v>
      </c>
      <c r="AB1267" s="15" t="str">
        <f t="shared" si="12"/>
        <v>Sanitary electropolished pipes in Shahkot for VERIFY plants. ASME BPE SF1-SF4, orbital-weld ready, 3.1 MTC. Mumbai-made.</v>
      </c>
      <c r="AC1267" s="15" t="str">
        <f t="shared" si="13"/>
        <v>PENDING RESEARCH</v>
      </c>
      <c r="AD1267" s="15" t="str">
        <f t="shared" si="14"/>
        <v>Electropolished Pipes Manufacturer in Shahkot</v>
      </c>
      <c r="AE1267" s="15" t="str">
        <f t="shared" si="15"/>
        <v>Manufacturing Electropolished SS Tube for Shahkot: The Standards We Build To</v>
      </c>
      <c r="AF1267" s="15" t="str">
        <f t="shared" si="16"/>
        <v>Electropolished Pipe Supply Into Shahkot - Certification &amp; Transit</v>
      </c>
      <c r="AG1267" s="15" t="str">
        <f t="shared" si="17"/>
        <v>Electropolished Pipes Wholesaler in Shahkot - Project Quantities &amp; Terms</v>
      </c>
      <c r="AH1267" s="15" t="str">
        <f t="shared" si="18"/>
        <v>electropolished pipes manufacturer in Shahkot, electropolished pipes supplier in Shahkot, electropolished pipes wholesaler in Shahkot, electropolished tube manufacturer Shahkot, EP pipe supplier Shahkot, sanitary tube supplier Shahkot, ASME BPE tubing Shahkot, ASTM A270 tube Shahkot, SS 316L electropolished pipe Shahkot</v>
      </c>
      <c r="AI1267" s="15" t="str">
        <f t="shared" si="19"/>
        <v>Electropolished Pipes Manufacturer &amp; Supplier in Shahkot</v>
      </c>
      <c r="AJ1267" s="15" t="str">
        <f t="shared" si="20"/>
        <v>EP-finished SS 304/316L pipes and tubes for VERIFY plants in Shahkot. ASME BPE SF1-SF4, Ra from 0.25 um, EN 10204 3.1 certificate with every lot.</v>
      </c>
      <c r="AK1267" s="15" t="str">
        <f t="shared" si="21"/>
        <v>Electropolished stainless steel pipes supplied by Sakshi Forge to VERIFY plants at PSIEC Industrial Area, Shahkot</v>
      </c>
      <c r="AL1267" s="15" t="str">
        <f t="shared" si="22"/>
        <v>Electropolished SS 316L tube stock for Shahkot - Sakshi Forge</v>
      </c>
      <c r="AM1267" s="15" t="str">
        <f t="shared" si="23"/>
        <v>Home &gt; Market Area &gt; India &gt; Punjab &gt; Shahkot</v>
      </c>
      <c r="AN1267" s="15">
        <f t="shared" si="24"/>
        <v>750</v>
      </c>
      <c r="AO1267" s="15">
        <f t="shared" si="25"/>
        <v>6</v>
      </c>
      <c r="AP1267" s="15">
        <f t="shared" si="26"/>
        <v>6</v>
      </c>
      <c r="AQ1267" s="15">
        <f t="shared" si="27"/>
        <v>22</v>
      </c>
      <c r="AR1267" s="31"/>
      <c r="AS1267" s="31"/>
      <c r="AT1267" s="35" t="s">
        <v>222</v>
      </c>
      <c r="AU1267" s="35"/>
    </row>
    <row r="1268" ht="15.75" customHeight="1">
      <c r="A1268" s="15" t="s">
        <v>6481</v>
      </c>
      <c r="B1268" s="15" t="s">
        <v>60</v>
      </c>
      <c r="C1268" s="15" t="s">
        <v>236</v>
      </c>
      <c r="D1268" s="15" t="s">
        <v>6482</v>
      </c>
      <c r="E1268" s="15" t="s">
        <v>6482</v>
      </c>
      <c r="F1268" s="58" t="s">
        <v>807</v>
      </c>
      <c r="G1268" s="66" t="s">
        <v>98</v>
      </c>
      <c r="H1268" s="18" t="s">
        <v>6485</v>
      </c>
      <c r="I1268" s="18" t="s">
        <v>8391</v>
      </c>
      <c r="J1268" s="18" t="s">
        <v>98</v>
      </c>
      <c r="K1268" s="18" t="s">
        <v>98</v>
      </c>
      <c r="L1268" s="18" t="s">
        <v>98</v>
      </c>
      <c r="M1268" s="18" t="s">
        <v>98</v>
      </c>
      <c r="N1268" s="18" t="s">
        <v>98</v>
      </c>
      <c r="O1268" s="18" t="s">
        <v>98</v>
      </c>
      <c r="P1268" s="15" t="str">
        <f t="shared" si="1"/>
        <v>VERIFY</v>
      </c>
      <c r="Q1268" s="15">
        <f t="shared" si="2"/>
        <v>1</v>
      </c>
      <c r="R1268" s="15">
        <f t="shared" si="3"/>
        <v>5</v>
      </c>
      <c r="S1268" s="15">
        <f t="shared" si="4"/>
        <v>5</v>
      </c>
      <c r="T1268" s="15" t="str">
        <f t="shared" si="5"/>
        <v>C-5</v>
      </c>
      <c r="U1268" s="15" t="str">
        <f t="shared" si="6"/>
        <v>T1-M5-H5-FC-5-VERIFY</v>
      </c>
      <c r="V1268" s="15">
        <f t="shared" si="7"/>
        <v>0</v>
      </c>
      <c r="W1268" s="31"/>
      <c r="X1268" s="15" t="str">
        <f t="shared" si="8"/>
        <v>shahpura</v>
      </c>
      <c r="Y1268" s="32" t="str">
        <f t="shared" si="9"/>
        <v>https://steelmanufacturer.in/market-area/electropolished-pipes-manufacturer-in-shahpura/</v>
      </c>
      <c r="Z1268" s="15" t="str">
        <f t="shared" si="10"/>
        <v>Electropolished Pipes Manufacturer in Shahpura | Sakshi Forge</v>
      </c>
      <c r="AA1268" s="15" t="str">
        <f t="shared" si="11"/>
        <v>OK (61)</v>
      </c>
      <c r="AB1268" s="15" t="str">
        <f t="shared" si="12"/>
        <v>Manufacturer of electropolished SS 316L tube serving Shahpura. VERIFY. Ra 0.25-0.5 um, EN 10204 3.1 MTC.</v>
      </c>
      <c r="AC1268" s="15" t="str">
        <f t="shared" si="13"/>
        <v>PENDING RESEARCH</v>
      </c>
      <c r="AD1268" s="15" t="str">
        <f t="shared" si="14"/>
        <v>Electropolished Pipes Manufacturer in Shahpura</v>
      </c>
      <c r="AE1268" s="15" t="str">
        <f t="shared" si="15"/>
        <v>Electropolished Tube Manufacturing Capability Serving Shahpura</v>
      </c>
      <c r="AF1268" s="15" t="str">
        <f t="shared" si="16"/>
        <v>Electropolished Pipes Supplier in Shahpura - From Order to Delivery</v>
      </c>
      <c r="AG1268" s="15" t="str">
        <f t="shared" si="17"/>
        <v>Stockist &amp; Wholesale Supply of Electropolished Pipes in Shahpura</v>
      </c>
      <c r="AH1268" s="15" t="str">
        <f t="shared" si="18"/>
        <v>electropolished pipes manufacturer in Shahpura, electropolished pipes supplier in Shahpura, electropolished pipes wholesaler in Shahpura, electropolished tube manufacturer Shahpura, EP pipe supplier Shahpura, sanitary tube supplier Shahpura, ASME BPE tubing Shahpura, ASTM A270 tube Shahpura, SS 316L electropolished pipe Shahpura</v>
      </c>
      <c r="AI1268" s="15" t="str">
        <f t="shared" si="19"/>
        <v>Electropolished Pipes Manufacturer &amp; Supplier in Shahpura</v>
      </c>
      <c r="AJ1268" s="15" t="str">
        <f t="shared" si="20"/>
        <v>EP-finished SS 304/316L pipes and tubes for VERIFY plants in Shahpura. ASME BPE SF1-SF4, Ra from 0.25 um, EN 10204 3.1 certificate with every lot.</v>
      </c>
      <c r="AK1268" s="15" t="str">
        <f t="shared" si="21"/>
        <v>Electropolished stainless steel pipes supplied by Sakshi Forge to VERIFY plants at RIICO Industrial Area, Shahpura</v>
      </c>
      <c r="AL1268" s="15" t="str">
        <f t="shared" si="22"/>
        <v>Electropolished SS 316L tube stock for Shahpura - Sakshi Forge</v>
      </c>
      <c r="AM1268" s="15" t="str">
        <f t="shared" si="23"/>
        <v>Home &gt; Market Area &gt; India &gt; Rajasthan &gt; Shahpura</v>
      </c>
      <c r="AN1268" s="15">
        <f t="shared" si="24"/>
        <v>750</v>
      </c>
      <c r="AO1268" s="15">
        <f t="shared" si="25"/>
        <v>6</v>
      </c>
      <c r="AP1268" s="15">
        <f t="shared" si="26"/>
        <v>6</v>
      </c>
      <c r="AQ1268" s="15">
        <f t="shared" si="27"/>
        <v>22</v>
      </c>
      <c r="AR1268" s="31"/>
      <c r="AS1268" s="31"/>
      <c r="AT1268" s="35" t="s">
        <v>222</v>
      </c>
      <c r="AU1268" s="35"/>
    </row>
    <row r="1269" ht="15.75" customHeight="1">
      <c r="A1269" s="15" t="s">
        <v>6489</v>
      </c>
      <c r="B1269" s="15" t="s">
        <v>60</v>
      </c>
      <c r="C1269" s="15" t="s">
        <v>842</v>
      </c>
      <c r="D1269" s="15" t="s">
        <v>6492</v>
      </c>
      <c r="E1269" s="15" t="s">
        <v>6492</v>
      </c>
      <c r="F1269" s="58" t="s">
        <v>807</v>
      </c>
      <c r="G1269" s="66" t="s">
        <v>98</v>
      </c>
      <c r="H1269" s="18" t="s">
        <v>6494</v>
      </c>
      <c r="I1269" s="18" t="s">
        <v>8413</v>
      </c>
      <c r="J1269" s="18" t="s">
        <v>98</v>
      </c>
      <c r="K1269" s="18" t="s">
        <v>98</v>
      </c>
      <c r="L1269" s="18" t="s">
        <v>98</v>
      </c>
      <c r="M1269" s="18" t="s">
        <v>98</v>
      </c>
      <c r="N1269" s="18" t="s">
        <v>98</v>
      </c>
      <c r="O1269" s="18" t="s">
        <v>98</v>
      </c>
      <c r="P1269" s="15" t="str">
        <f t="shared" si="1"/>
        <v>VERIFY</v>
      </c>
      <c r="Q1269" s="15">
        <f t="shared" si="2"/>
        <v>2</v>
      </c>
      <c r="R1269" s="15">
        <f t="shared" si="3"/>
        <v>6</v>
      </c>
      <c r="S1269" s="15">
        <f t="shared" si="4"/>
        <v>1</v>
      </c>
      <c r="T1269" s="15" t="str">
        <f t="shared" si="5"/>
        <v>C-6</v>
      </c>
      <c r="U1269" s="15" t="str">
        <f t="shared" si="6"/>
        <v>T2-M6-H1-FC-6-VERIFY</v>
      </c>
      <c r="V1269" s="15">
        <f t="shared" si="7"/>
        <v>0</v>
      </c>
      <c r="W1269" s="31"/>
      <c r="X1269" s="15" t="str">
        <f t="shared" si="8"/>
        <v>shajapur</v>
      </c>
      <c r="Y1269" s="32" t="str">
        <f t="shared" si="9"/>
        <v>https://steelmanufacturer.in/market-area/electropolished-pipes-manufacturer-in-shajapur/</v>
      </c>
      <c r="Z1269" s="15" t="str">
        <f t="shared" si="10"/>
        <v>Electropolished Pipes Manufacturer in Shajapur</v>
      </c>
      <c r="AA1269" s="15" t="str">
        <f t="shared" si="11"/>
        <v>OK (46)</v>
      </c>
      <c r="AB1269" s="15" t="str">
        <f t="shared" si="12"/>
        <v>EP tube and pipe for VERIFY plants around MPIDC Industrial Area, Shajapur. Made at our Mumbai works to ASTM A270 and ASME BPE SF1-SF4, with 3.1 MTC.</v>
      </c>
      <c r="AC1269" s="15" t="str">
        <f t="shared" si="13"/>
        <v>PENDING RESEARCH</v>
      </c>
      <c r="AD1269" s="15" t="str">
        <f t="shared" si="14"/>
        <v>Electropolished Pipes Manufacturer in Shajapur</v>
      </c>
      <c r="AE1269" s="15" t="str">
        <f t="shared" si="15"/>
        <v>Electropolished Pipe &amp; Tube Manufacturing for Shajapur - Grades, Finishes &amp; Certification</v>
      </c>
      <c r="AF1269" s="15" t="str">
        <f t="shared" si="16"/>
        <v>Electropolished Pipes Supplier in Shajapur - Stock Sizes, Lead Time &amp; Delivery</v>
      </c>
      <c r="AG1269" s="15" t="str">
        <f t="shared" si="17"/>
        <v>Electropolished Pipes Wholesaler &amp; Stockist in Shajapur - Bulk &amp; Project Pricing</v>
      </c>
      <c r="AH1269" s="15" t="str">
        <f t="shared" si="18"/>
        <v>electropolished pipes manufacturer in Shajapur, electropolished pipes supplier in Shajapur, electropolished pipes wholesaler in Shajapur, electropolished tube manufacturer Shajapur, EP pipe supplier Shajapur, sanitary tube supplier Shajapur, ASME BPE tubing Shajapur, ASTM A270 tube Shajapur, SS 316L electropolished pipe Shajapur</v>
      </c>
      <c r="AI1269" s="15" t="str">
        <f t="shared" si="19"/>
        <v>Electropolished Pipes Manufacturer &amp; Supplier in Shajapur</v>
      </c>
      <c r="AJ1269" s="15" t="str">
        <f t="shared" si="20"/>
        <v>EP-finished SS 304/316L pipes and tubes for VERIFY plants in Shajapur. ASME BPE SF1-SF4, Ra from 0.25 um, EN 10204 3.1 certificate with every lot.</v>
      </c>
      <c r="AK1269" s="15" t="str">
        <f t="shared" si="21"/>
        <v>Electropolished stainless steel pipes supplied by Sakshi Forge to VERIFY plants at MPIDC Industrial Area, Shajapur</v>
      </c>
      <c r="AL1269" s="15" t="str">
        <f t="shared" si="22"/>
        <v>Electropolished SS 316L tube stock for Shajapur - Sakshi Forge</v>
      </c>
      <c r="AM1269" s="15" t="str">
        <f t="shared" si="23"/>
        <v>Home &gt; Market Area &gt; India &gt; Madhya Pradesh &gt; Shajapur</v>
      </c>
      <c r="AN1269" s="15">
        <f t="shared" si="24"/>
        <v>750</v>
      </c>
      <c r="AO1269" s="15">
        <f t="shared" si="25"/>
        <v>6</v>
      </c>
      <c r="AP1269" s="15">
        <f t="shared" si="26"/>
        <v>6</v>
      </c>
      <c r="AQ1269" s="15">
        <f t="shared" si="27"/>
        <v>22</v>
      </c>
      <c r="AR1269" s="31"/>
      <c r="AS1269" s="31"/>
      <c r="AT1269" s="35" t="s">
        <v>222</v>
      </c>
      <c r="AU1269" s="35"/>
    </row>
    <row r="1270" ht="15.75" customHeight="1">
      <c r="A1270" s="15" t="s">
        <v>6495</v>
      </c>
      <c r="B1270" s="15" t="s">
        <v>60</v>
      </c>
      <c r="C1270" s="15" t="s">
        <v>1818</v>
      </c>
      <c r="D1270" s="15" t="s">
        <v>6496</v>
      </c>
      <c r="E1270" s="15" t="s">
        <v>6496</v>
      </c>
      <c r="F1270" s="58" t="s">
        <v>807</v>
      </c>
      <c r="G1270" s="66" t="s">
        <v>98</v>
      </c>
      <c r="H1270" s="18" t="s">
        <v>6498</v>
      </c>
      <c r="I1270" s="18" t="s">
        <v>8402</v>
      </c>
      <c r="J1270" s="18" t="s">
        <v>98</v>
      </c>
      <c r="K1270" s="18" t="s">
        <v>98</v>
      </c>
      <c r="L1270" s="18" t="s">
        <v>98</v>
      </c>
      <c r="M1270" s="18" t="s">
        <v>98</v>
      </c>
      <c r="N1270" s="18" t="s">
        <v>98</v>
      </c>
      <c r="O1270" s="18" t="s">
        <v>98</v>
      </c>
      <c r="P1270" s="15" t="str">
        <f t="shared" si="1"/>
        <v>VERIFY</v>
      </c>
      <c r="Q1270" s="15">
        <f t="shared" si="2"/>
        <v>3</v>
      </c>
      <c r="R1270" s="15">
        <f t="shared" si="3"/>
        <v>7</v>
      </c>
      <c r="S1270" s="15">
        <f t="shared" si="4"/>
        <v>2</v>
      </c>
      <c r="T1270" s="15" t="str">
        <f t="shared" si="5"/>
        <v>C-1</v>
      </c>
      <c r="U1270" s="15" t="str">
        <f t="shared" si="6"/>
        <v>T3-M7-H2-FC-1-VERIFY</v>
      </c>
      <c r="V1270" s="15">
        <f t="shared" si="7"/>
        <v>0</v>
      </c>
      <c r="W1270" s="31"/>
      <c r="X1270" s="15" t="str">
        <f t="shared" si="8"/>
        <v>sheikhpura</v>
      </c>
      <c r="Y1270" s="32" t="str">
        <f t="shared" si="9"/>
        <v>https://steelmanufacturer.in/market-area/electropolished-pipes-manufacturer-in-sheikhpura/</v>
      </c>
      <c r="Z1270" s="15" t="str">
        <f t="shared" si="10"/>
        <v>Electropolished Pipes Manufacturer in Sheikhpura</v>
      </c>
      <c r="AA1270" s="15" t="str">
        <f t="shared" si="11"/>
        <v>OK (48)</v>
      </c>
      <c r="AB1270" s="15" t="str">
        <f t="shared" si="12"/>
        <v>Electropolished pipes in Sheikhpura: 304, 304L, 316 and 316L in SF1-SF4. VERIFY. Mill certified.</v>
      </c>
      <c r="AC1270" s="15" t="str">
        <f t="shared" si="13"/>
        <v>PENDING RESEARCH</v>
      </c>
      <c r="AD1270" s="15" t="str">
        <f t="shared" si="14"/>
        <v>Electropolished Pipes Manufacturer in Sheikhpura</v>
      </c>
      <c r="AE1270" s="15" t="str">
        <f t="shared" si="15"/>
        <v>How We Manufacture Electropolished Tube for Sheikhpura Plants</v>
      </c>
      <c r="AF1270" s="15" t="str">
        <f t="shared" si="16"/>
        <v>Supplying Electropolished Pipes in Sheikhpura: Availability, Sizes &amp; Dispatch</v>
      </c>
      <c r="AG1270" s="15" t="str">
        <f t="shared" si="17"/>
        <v>Wholesale Electropolished Pipe Supply for Sheikhpura Projects</v>
      </c>
      <c r="AH1270" s="15" t="str">
        <f t="shared" si="18"/>
        <v>electropolished pipes manufacturer in Sheikhpura, electropolished pipes supplier in Sheikhpura, electropolished pipes wholesaler in Sheikhpura, electropolished tube manufacturer Sheikhpura, EP pipe supplier Sheikhpura, sanitary tube supplier Sheikhpura, ASME BPE tubing Sheikhpura, ASTM A270 tube Sheikhpura, SS 316L electropolished pipe Sheikhpura</v>
      </c>
      <c r="AI1270" s="15" t="str">
        <f t="shared" si="19"/>
        <v>Electropolished Pipes Manufacturer &amp; Supplier in Sheikhpura</v>
      </c>
      <c r="AJ1270" s="15" t="str">
        <f t="shared" si="20"/>
        <v>EP-finished SS 304/316L pipes and tubes for VERIFY plants in Sheikhpura. ASME BPE SF1-SF4, Ra from 0.25 um, EN 10204 3.1 certificate with every lot.</v>
      </c>
      <c r="AK1270" s="15" t="str">
        <f t="shared" si="21"/>
        <v>Electropolished stainless steel pipes supplied by Sakshi Forge to VERIFY plants at BIADA Industrial Area, Sheikhpura</v>
      </c>
      <c r="AL1270" s="15" t="str">
        <f t="shared" si="22"/>
        <v>Electropolished SS 316L tube stock for Sheikhpura - Sakshi Forge</v>
      </c>
      <c r="AM1270" s="15" t="str">
        <f t="shared" si="23"/>
        <v>Home &gt; Market Area &gt; India &gt; Bihar &gt; Sheikhpura</v>
      </c>
      <c r="AN1270" s="15">
        <f t="shared" si="24"/>
        <v>750</v>
      </c>
      <c r="AO1270" s="15">
        <f t="shared" si="25"/>
        <v>6</v>
      </c>
      <c r="AP1270" s="15">
        <f t="shared" si="26"/>
        <v>6</v>
      </c>
      <c r="AQ1270" s="15">
        <f t="shared" si="27"/>
        <v>22</v>
      </c>
      <c r="AR1270" s="31"/>
      <c r="AS1270" s="31"/>
      <c r="AT1270" s="35" t="s">
        <v>222</v>
      </c>
      <c r="AU1270" s="35"/>
    </row>
    <row r="1271" ht="15.75" customHeight="1">
      <c r="A1271" s="15" t="s">
        <v>6499</v>
      </c>
      <c r="B1271" s="15" t="s">
        <v>60</v>
      </c>
      <c r="C1271" s="15" t="s">
        <v>264</v>
      </c>
      <c r="D1271" s="15" t="s">
        <v>6500</v>
      </c>
      <c r="E1271" s="15" t="s">
        <v>6500</v>
      </c>
      <c r="F1271" s="58" t="s">
        <v>807</v>
      </c>
      <c r="G1271" s="66" t="s">
        <v>98</v>
      </c>
      <c r="H1271" s="18" t="s">
        <v>6502</v>
      </c>
      <c r="I1271" s="18" t="s">
        <v>8395</v>
      </c>
      <c r="J1271" s="18" t="s">
        <v>98</v>
      </c>
      <c r="K1271" s="18" t="s">
        <v>98</v>
      </c>
      <c r="L1271" s="18" t="s">
        <v>98</v>
      </c>
      <c r="M1271" s="18" t="s">
        <v>98</v>
      </c>
      <c r="N1271" s="18" t="s">
        <v>98</v>
      </c>
      <c r="O1271" s="18" t="s">
        <v>98</v>
      </c>
      <c r="P1271" s="15" t="str">
        <f t="shared" si="1"/>
        <v>VERIFY</v>
      </c>
      <c r="Q1271" s="15">
        <f t="shared" si="2"/>
        <v>4</v>
      </c>
      <c r="R1271" s="15">
        <f t="shared" si="3"/>
        <v>1</v>
      </c>
      <c r="S1271" s="15">
        <f t="shared" si="4"/>
        <v>3</v>
      </c>
      <c r="T1271" s="15" t="str">
        <f t="shared" si="5"/>
        <v>C-2</v>
      </c>
      <c r="U1271" s="15" t="str">
        <f t="shared" si="6"/>
        <v>T4-M1-H3-FC-2-VERIFY</v>
      </c>
      <c r="V1271" s="15">
        <f t="shared" si="7"/>
        <v>0</v>
      </c>
      <c r="W1271" s="31"/>
      <c r="X1271" s="15" t="str">
        <f t="shared" si="8"/>
        <v>shevgaon</v>
      </c>
      <c r="Y1271" s="32" t="str">
        <f t="shared" si="9"/>
        <v>https://steelmanufacturer.in/market-area/electropolished-pipes-manufacturer-in-shevgaon/</v>
      </c>
      <c r="Z1271" s="15" t="str">
        <f t="shared" si="10"/>
        <v>Electropolished Pipes Manufacturer in Shevgaon</v>
      </c>
      <c r="AA1271" s="15" t="str">
        <f t="shared" si="11"/>
        <v>OK (46)</v>
      </c>
      <c r="AB1271" s="15" t="str">
        <f t="shared" si="12"/>
        <v>EP-finished SS 304/316L pipes &amp; tubes for VERIFY plants in Shevgaon. ASTM A270, ASME BPE SF1-SF4, EN 10204 3.1 MTC. PMI tested.</v>
      </c>
      <c r="AC1271" s="15" t="str">
        <f t="shared" si="13"/>
        <v>PENDING RESEARCH</v>
      </c>
      <c r="AD1271" s="15" t="str">
        <f t="shared" si="14"/>
        <v>Electropolished Pipes Manufacturer in Shevgaon</v>
      </c>
      <c r="AE1271" s="15" t="str">
        <f t="shared" si="15"/>
        <v>Electropolished Pipes Manufacturer in Shevgaon - Our Process &amp; Capability</v>
      </c>
      <c r="AF1271" s="15" t="str">
        <f t="shared" si="16"/>
        <v>Electropolished Pipes Supplier in Shevgaon - What We Hold in Stock</v>
      </c>
      <c r="AG1271" s="15" t="str">
        <f t="shared" si="17"/>
        <v>Bulk &amp; Wholesale Electropolished Pipe Rates for Shevgaon Buyers</v>
      </c>
      <c r="AH1271" s="15" t="str">
        <f t="shared" si="18"/>
        <v>electropolished pipes manufacturer in Shevgaon, electropolished pipes supplier in Shevgaon, electropolished pipes wholesaler in Shevgaon, electropolished tube manufacturer Shevgaon, EP pipe supplier Shevgaon, sanitary tube supplier Shevgaon, ASME BPE tubing Shevgaon, ASTM A270 tube Shevgaon, SS 316L electropolished pipe Shevgaon</v>
      </c>
      <c r="AI1271" s="15" t="str">
        <f t="shared" si="19"/>
        <v>Electropolished Pipes Manufacturer &amp; Supplier in Shevgaon</v>
      </c>
      <c r="AJ1271" s="15" t="str">
        <f t="shared" si="20"/>
        <v>EP-finished SS 304/316L pipes and tubes for VERIFY plants in Shevgaon. ASME BPE SF1-SF4, Ra from 0.25 um, EN 10204 3.1 certificate with every lot.</v>
      </c>
      <c r="AK1271" s="15" t="str">
        <f t="shared" si="21"/>
        <v>Electropolished stainless steel pipes supplied by Sakshi Forge to VERIFY plants at MIDC Industrial Area, Shevgaon</v>
      </c>
      <c r="AL1271" s="15" t="str">
        <f t="shared" si="22"/>
        <v>Electropolished SS 316L tube stock for Shevgaon - Sakshi Forge</v>
      </c>
      <c r="AM1271" s="15" t="str">
        <f t="shared" si="23"/>
        <v>Home &gt; Market Area &gt; India &gt; Maharashtra &gt; Shevgaon</v>
      </c>
      <c r="AN1271" s="15">
        <f t="shared" si="24"/>
        <v>750</v>
      </c>
      <c r="AO1271" s="15">
        <f t="shared" si="25"/>
        <v>6</v>
      </c>
      <c r="AP1271" s="15">
        <f t="shared" si="26"/>
        <v>6</v>
      </c>
      <c r="AQ1271" s="15">
        <f t="shared" si="27"/>
        <v>22</v>
      </c>
      <c r="AR1271" s="31"/>
      <c r="AS1271" s="31"/>
      <c r="AT1271" s="35" t="s">
        <v>222</v>
      </c>
      <c r="AU1271" s="35"/>
    </row>
    <row r="1272" ht="15.75" customHeight="1">
      <c r="A1272" s="15" t="s">
        <v>6503</v>
      </c>
      <c r="B1272" s="15" t="s">
        <v>60</v>
      </c>
      <c r="C1272" s="15" t="s">
        <v>570</v>
      </c>
      <c r="D1272" s="15" t="s">
        <v>6504</v>
      </c>
      <c r="E1272" s="15" t="s">
        <v>6504</v>
      </c>
      <c r="F1272" s="58" t="s">
        <v>807</v>
      </c>
      <c r="G1272" s="66" t="s">
        <v>98</v>
      </c>
      <c r="H1272" s="18" t="s">
        <v>6506</v>
      </c>
      <c r="I1272" s="18" t="s">
        <v>8405</v>
      </c>
      <c r="J1272" s="18" t="s">
        <v>98</v>
      </c>
      <c r="K1272" s="18" t="s">
        <v>98</v>
      </c>
      <c r="L1272" s="18" t="s">
        <v>98</v>
      </c>
      <c r="M1272" s="18" t="s">
        <v>98</v>
      </c>
      <c r="N1272" s="18" t="s">
        <v>98</v>
      </c>
      <c r="O1272" s="18" t="s">
        <v>98</v>
      </c>
      <c r="P1272" s="15" t="str">
        <f t="shared" si="1"/>
        <v>VERIFY</v>
      </c>
      <c r="Q1272" s="15">
        <f t="shared" si="2"/>
        <v>5</v>
      </c>
      <c r="R1272" s="15">
        <f t="shared" si="3"/>
        <v>2</v>
      </c>
      <c r="S1272" s="15">
        <f t="shared" si="4"/>
        <v>4</v>
      </c>
      <c r="T1272" s="15" t="str">
        <f t="shared" si="5"/>
        <v>C-3</v>
      </c>
      <c r="U1272" s="15" t="str">
        <f t="shared" si="6"/>
        <v>T5-M2-H4-FC-3-VERIFY</v>
      </c>
      <c r="V1272" s="15">
        <f t="shared" si="7"/>
        <v>0</v>
      </c>
      <c r="W1272" s="31"/>
      <c r="X1272" s="15" t="str">
        <f t="shared" si="8"/>
        <v>shikaripura</v>
      </c>
      <c r="Y1272" s="32" t="str">
        <f t="shared" si="9"/>
        <v>https://steelmanufacturer.in/market-area/electropolished-pipes-manufacturer-in-shikaripura/</v>
      </c>
      <c r="Z1272" s="15" t="str">
        <f t="shared" si="10"/>
        <v>Electropolished Pipes Manufacturer in Shikaripura</v>
      </c>
      <c r="AA1272" s="15" t="str">
        <f t="shared" si="11"/>
        <v>OK (49)</v>
      </c>
      <c r="AB1272" s="15" t="str">
        <f t="shared" si="12"/>
        <v>Electropolished tube supply to KIADB Industrial Area, Shikaripura. Ra from 0.25 um, SF4 finish, mill test certificate with every lot.</v>
      </c>
      <c r="AC1272" s="15" t="str">
        <f t="shared" si="13"/>
        <v>PENDING RESEARCH</v>
      </c>
      <c r="AD1272" s="15" t="str">
        <f t="shared" si="14"/>
        <v>Electropolished Pipes Manufacturer in Shikaripura</v>
      </c>
      <c r="AE1272" s="15" t="str">
        <f t="shared" si="15"/>
        <v>Manufacturing Electropolished SS Tube for Shikaripura: The Standards We Build To</v>
      </c>
      <c r="AF1272" s="15" t="str">
        <f t="shared" si="16"/>
        <v>Electropolished Pipe Supply Into Shikaripura - Certification &amp; Transit</v>
      </c>
      <c r="AG1272" s="15" t="str">
        <f t="shared" si="17"/>
        <v>Electropolished Pipes Wholesaler in Shikaripura - Project Quantities &amp; Terms</v>
      </c>
      <c r="AH1272" s="15" t="str">
        <f t="shared" si="18"/>
        <v>electropolished pipes manufacturer in Shikaripura, electropolished pipes supplier in Shikaripura, electropolished pipes wholesaler in Shikaripura, electropolished tube manufacturer Shikaripura, EP pipe supplier Shikaripura, sanitary tube supplier Shikaripura, ASME BPE tubing Shikaripura, ASTM A270 tube Shikaripura, SS 316L electropolished pipe Shikaripura</v>
      </c>
      <c r="AI1272" s="15" t="str">
        <f t="shared" si="19"/>
        <v>Electropolished Pipes Manufacturer &amp; Supplier in Shikaripura</v>
      </c>
      <c r="AJ1272" s="15" t="str">
        <f t="shared" si="20"/>
        <v>EP-finished SS 304/316L pipes and tubes for VERIFY plants in Shikaripura. ASME BPE SF1-SF4, Ra from 0.25 um, EN 10204 3.1 certificate with every lot.</v>
      </c>
      <c r="AK1272" s="15" t="str">
        <f t="shared" si="21"/>
        <v>Electropolished stainless steel pipes supplied by Sakshi Forge to VERIFY plants at KIADB Industrial Area, Shikaripura</v>
      </c>
      <c r="AL1272" s="15" t="str">
        <f t="shared" si="22"/>
        <v>Electropolished SS 316L tube stock for Shikaripura - Sakshi Forge</v>
      </c>
      <c r="AM1272" s="15" t="str">
        <f t="shared" si="23"/>
        <v>Home &gt; Market Area &gt; India &gt; Karnataka &gt; Shikaripura</v>
      </c>
      <c r="AN1272" s="15">
        <f t="shared" si="24"/>
        <v>750</v>
      </c>
      <c r="AO1272" s="15">
        <f t="shared" si="25"/>
        <v>6</v>
      </c>
      <c r="AP1272" s="15">
        <f t="shared" si="26"/>
        <v>6</v>
      </c>
      <c r="AQ1272" s="15">
        <f t="shared" si="27"/>
        <v>22</v>
      </c>
      <c r="AR1272" s="31"/>
      <c r="AS1272" s="31"/>
      <c r="AT1272" s="35" t="s">
        <v>222</v>
      </c>
      <c r="AU1272" s="35"/>
    </row>
    <row r="1273" ht="15.75" customHeight="1">
      <c r="A1273" s="15" t="s">
        <v>6507</v>
      </c>
      <c r="B1273" s="15" t="s">
        <v>60</v>
      </c>
      <c r="C1273" s="15" t="s">
        <v>264</v>
      </c>
      <c r="D1273" s="15" t="s">
        <v>6508</v>
      </c>
      <c r="E1273" s="15" t="s">
        <v>6508</v>
      </c>
      <c r="F1273" s="58" t="s">
        <v>807</v>
      </c>
      <c r="G1273" s="66" t="s">
        <v>98</v>
      </c>
      <c r="H1273" s="18" t="s">
        <v>6510</v>
      </c>
      <c r="I1273" s="18" t="s">
        <v>8395</v>
      </c>
      <c r="J1273" s="18" t="s">
        <v>98</v>
      </c>
      <c r="K1273" s="18" t="s">
        <v>98</v>
      </c>
      <c r="L1273" s="18" t="s">
        <v>98</v>
      </c>
      <c r="M1273" s="18" t="s">
        <v>98</v>
      </c>
      <c r="N1273" s="18" t="s">
        <v>98</v>
      </c>
      <c r="O1273" s="18" t="s">
        <v>98</v>
      </c>
      <c r="P1273" s="15" t="str">
        <f t="shared" si="1"/>
        <v>VERIFY</v>
      </c>
      <c r="Q1273" s="15">
        <f t="shared" si="2"/>
        <v>6</v>
      </c>
      <c r="R1273" s="15">
        <f t="shared" si="3"/>
        <v>3</v>
      </c>
      <c r="S1273" s="15">
        <f t="shared" si="4"/>
        <v>5</v>
      </c>
      <c r="T1273" s="15" t="str">
        <f t="shared" si="5"/>
        <v>C-4</v>
      </c>
      <c r="U1273" s="15" t="str">
        <f t="shared" si="6"/>
        <v>T6-M3-H5-FC-4-VERIFY</v>
      </c>
      <c r="V1273" s="15">
        <f t="shared" si="7"/>
        <v>0</v>
      </c>
      <c r="W1273" s="31"/>
      <c r="X1273" s="15" t="str">
        <f t="shared" si="8"/>
        <v>shirdi</v>
      </c>
      <c r="Y1273" s="32" t="str">
        <f t="shared" si="9"/>
        <v>https://steelmanufacturer.in/market-area/electropolished-pipes-manufacturer-in-shirdi/</v>
      </c>
      <c r="Z1273" s="15" t="str">
        <f t="shared" si="10"/>
        <v>Electropolished Pipes Manufacturer in Shirdi</v>
      </c>
      <c r="AA1273" s="15" t="str">
        <f t="shared" si="11"/>
        <v>OK (44)</v>
      </c>
      <c r="AB1273" s="15" t="str">
        <f t="shared" si="12"/>
        <v>EP stainless tube for VERIFY lines in Shirdi. VERIFY. ASTM A270 S2, PMI tested, EN 10204 3.1.</v>
      </c>
      <c r="AC1273" s="15" t="str">
        <f t="shared" si="13"/>
        <v>PENDING RESEARCH</v>
      </c>
      <c r="AD1273" s="15" t="str">
        <f t="shared" si="14"/>
        <v>Electropolished Pipes Manufacturer in Shirdi</v>
      </c>
      <c r="AE1273" s="15" t="str">
        <f t="shared" si="15"/>
        <v>Electropolished Tube Manufacturing Capability Serving Shirdi</v>
      </c>
      <c r="AF1273" s="15" t="str">
        <f t="shared" si="16"/>
        <v>Electropolished Pipes Supplier in Shirdi - From Order to Delivery</v>
      </c>
      <c r="AG1273" s="15" t="str">
        <f t="shared" si="17"/>
        <v>Stockist &amp; Wholesale Supply of Electropolished Pipes in Shirdi</v>
      </c>
      <c r="AH1273" s="15" t="str">
        <f t="shared" si="18"/>
        <v>electropolished pipes manufacturer in Shirdi, electropolished pipes supplier in Shirdi, electropolished pipes wholesaler in Shirdi, electropolished tube manufacturer Shirdi, EP pipe supplier Shirdi, sanitary tube supplier Shirdi, ASME BPE tubing Shirdi, ASTM A270 tube Shirdi, SS 316L electropolished pipe Shirdi</v>
      </c>
      <c r="AI1273" s="15" t="str">
        <f t="shared" si="19"/>
        <v>Electropolished Pipes Manufacturer &amp; Supplier in Shirdi</v>
      </c>
      <c r="AJ1273" s="15" t="str">
        <f t="shared" si="20"/>
        <v>EP-finished SS 304/316L pipes and tubes for VERIFY plants in Shirdi. ASME BPE SF1-SF4, Ra from 0.25 um, EN 10204 3.1 certificate with every lot.</v>
      </c>
      <c r="AK1273" s="15" t="str">
        <f t="shared" si="21"/>
        <v>Electropolished stainless steel pipes supplied by Sakshi Forge to VERIFY plants at MIDC Industrial Area, Shirdi</v>
      </c>
      <c r="AL1273" s="15" t="str">
        <f t="shared" si="22"/>
        <v>Electropolished SS 316L tube stock for Shirdi - Sakshi Forge</v>
      </c>
      <c r="AM1273" s="15" t="str">
        <f t="shared" si="23"/>
        <v>Home &gt; Market Area &gt; India &gt; Maharashtra &gt; Shirdi</v>
      </c>
      <c r="AN1273" s="15">
        <f t="shared" si="24"/>
        <v>750</v>
      </c>
      <c r="AO1273" s="15">
        <f t="shared" si="25"/>
        <v>6</v>
      </c>
      <c r="AP1273" s="15">
        <f t="shared" si="26"/>
        <v>6</v>
      </c>
      <c r="AQ1273" s="15">
        <f t="shared" si="27"/>
        <v>22</v>
      </c>
      <c r="AR1273" s="31"/>
      <c r="AS1273" s="31"/>
      <c r="AT1273" s="35" t="s">
        <v>222</v>
      </c>
      <c r="AU1273" s="35"/>
    </row>
    <row r="1274" ht="15.75" customHeight="1">
      <c r="A1274" s="15" t="s">
        <v>6511</v>
      </c>
      <c r="B1274" s="15" t="s">
        <v>60</v>
      </c>
      <c r="C1274" s="15" t="s">
        <v>264</v>
      </c>
      <c r="D1274" s="15" t="s">
        <v>6512</v>
      </c>
      <c r="E1274" s="15" t="s">
        <v>6512</v>
      </c>
      <c r="F1274" s="58" t="s">
        <v>807</v>
      </c>
      <c r="G1274" s="66" t="s">
        <v>98</v>
      </c>
      <c r="H1274" s="18" t="s">
        <v>6514</v>
      </c>
      <c r="I1274" s="18" t="s">
        <v>8395</v>
      </c>
      <c r="J1274" s="18" t="s">
        <v>98</v>
      </c>
      <c r="K1274" s="18" t="s">
        <v>98</v>
      </c>
      <c r="L1274" s="18" t="s">
        <v>98</v>
      </c>
      <c r="M1274" s="18" t="s">
        <v>98</v>
      </c>
      <c r="N1274" s="18" t="s">
        <v>98</v>
      </c>
      <c r="O1274" s="18" t="s">
        <v>98</v>
      </c>
      <c r="P1274" s="15" t="str">
        <f t="shared" si="1"/>
        <v>VERIFY</v>
      </c>
      <c r="Q1274" s="15">
        <f t="shared" si="2"/>
        <v>7</v>
      </c>
      <c r="R1274" s="15">
        <f t="shared" si="3"/>
        <v>4</v>
      </c>
      <c r="S1274" s="15">
        <f t="shared" si="4"/>
        <v>1</v>
      </c>
      <c r="T1274" s="15" t="str">
        <f t="shared" si="5"/>
        <v>C-5</v>
      </c>
      <c r="U1274" s="15" t="str">
        <f t="shared" si="6"/>
        <v>T7-M4-H1-FC-5-VERIFY</v>
      </c>
      <c r="V1274" s="15">
        <f t="shared" si="7"/>
        <v>0</v>
      </c>
      <c r="W1274" s="31"/>
      <c r="X1274" s="15" t="str">
        <f t="shared" si="8"/>
        <v>shrirampur</v>
      </c>
      <c r="Y1274" s="32" t="str">
        <f t="shared" si="9"/>
        <v>https://steelmanufacturer.in/market-area/electropolished-pipes-manufacturer-in-shrirampur/</v>
      </c>
      <c r="Z1274" s="15" t="str">
        <f t="shared" si="10"/>
        <v>Electropolished Pipes Manufacturer in Shrirampur</v>
      </c>
      <c r="AA1274" s="15" t="str">
        <f t="shared" si="11"/>
        <v>OK (48)</v>
      </c>
      <c r="AB1274" s="15" t="str">
        <f t="shared" si="12"/>
        <v>Sanitary electropolished pipes in Shrirampur for VERIFY plants. ASME BPE SF1-SF4, orbital-weld ready, 3.1 MTC. Mumbai-made.</v>
      </c>
      <c r="AC1274" s="15" t="str">
        <f t="shared" si="13"/>
        <v>PENDING RESEARCH</v>
      </c>
      <c r="AD1274" s="15" t="str">
        <f t="shared" si="14"/>
        <v>Electropolished Pipes Manufacturer in Shrirampur</v>
      </c>
      <c r="AE1274" s="15" t="str">
        <f t="shared" si="15"/>
        <v>Electropolished Pipe &amp; Tube Manufacturing for Shrirampur - Grades, Finishes &amp; Certification</v>
      </c>
      <c r="AF1274" s="15" t="str">
        <f t="shared" si="16"/>
        <v>Electropolished Pipes Supplier in Shrirampur - Stock Sizes, Lead Time &amp; Delivery</v>
      </c>
      <c r="AG1274" s="15" t="str">
        <f t="shared" si="17"/>
        <v>Electropolished Pipes Wholesaler &amp; Stockist in Shrirampur - Bulk &amp; Project Pricing</v>
      </c>
      <c r="AH1274" s="15" t="str">
        <f t="shared" si="18"/>
        <v>electropolished pipes manufacturer in Shrirampur, electropolished pipes supplier in Shrirampur, electropolished pipes wholesaler in Shrirampur, electropolished tube manufacturer Shrirampur, EP pipe supplier Shrirampur, sanitary tube supplier Shrirampur, ASME BPE tubing Shrirampur, ASTM A270 tube Shrirampur, SS 316L electropolished pipe Shrirampur</v>
      </c>
      <c r="AI1274" s="15" t="str">
        <f t="shared" si="19"/>
        <v>Electropolished Pipes Manufacturer &amp; Supplier in Shrirampur</v>
      </c>
      <c r="AJ1274" s="15" t="str">
        <f t="shared" si="20"/>
        <v>EP-finished SS 304/316L pipes and tubes for VERIFY plants in Shrirampur. ASME BPE SF1-SF4, Ra from 0.25 um, EN 10204 3.1 certificate with every lot.</v>
      </c>
      <c r="AK1274" s="15" t="str">
        <f t="shared" si="21"/>
        <v>Electropolished stainless steel pipes supplied by Sakshi Forge to VERIFY plants at MIDC Industrial Area, Shrirampur</v>
      </c>
      <c r="AL1274" s="15" t="str">
        <f t="shared" si="22"/>
        <v>Electropolished SS 316L tube stock for Shrirampur - Sakshi Forge</v>
      </c>
      <c r="AM1274" s="15" t="str">
        <f t="shared" si="23"/>
        <v>Home &gt; Market Area &gt; India &gt; Maharashtra &gt; Shrirampur</v>
      </c>
      <c r="AN1274" s="15">
        <f t="shared" si="24"/>
        <v>750</v>
      </c>
      <c r="AO1274" s="15">
        <f t="shared" si="25"/>
        <v>6</v>
      </c>
      <c r="AP1274" s="15">
        <f t="shared" si="26"/>
        <v>6</v>
      </c>
      <c r="AQ1274" s="15">
        <f t="shared" si="27"/>
        <v>22</v>
      </c>
      <c r="AR1274" s="31"/>
      <c r="AS1274" s="31"/>
      <c r="AT1274" s="35" t="s">
        <v>222</v>
      </c>
      <c r="AU1274" s="35"/>
    </row>
    <row r="1275" ht="15.75" customHeight="1">
      <c r="A1275" s="15" t="s">
        <v>6515</v>
      </c>
      <c r="B1275" s="15" t="s">
        <v>60</v>
      </c>
      <c r="C1275" s="15" t="s">
        <v>85</v>
      </c>
      <c r="D1275" s="15" t="s">
        <v>6516</v>
      </c>
      <c r="E1275" s="15" t="s">
        <v>6516</v>
      </c>
      <c r="F1275" s="58" t="s">
        <v>807</v>
      </c>
      <c r="G1275" s="66" t="s">
        <v>98</v>
      </c>
      <c r="H1275" s="18" t="s">
        <v>6518</v>
      </c>
      <c r="I1275" s="18" t="s">
        <v>8398</v>
      </c>
      <c r="J1275" s="18" t="s">
        <v>98</v>
      </c>
      <c r="K1275" s="18" t="s">
        <v>98</v>
      </c>
      <c r="L1275" s="18" t="s">
        <v>98</v>
      </c>
      <c r="M1275" s="18" t="s">
        <v>98</v>
      </c>
      <c r="N1275" s="18" t="s">
        <v>98</v>
      </c>
      <c r="O1275" s="18" t="s">
        <v>98</v>
      </c>
      <c r="P1275" s="15" t="str">
        <f t="shared" si="1"/>
        <v>VERIFY</v>
      </c>
      <c r="Q1275" s="15">
        <f t="shared" si="2"/>
        <v>8</v>
      </c>
      <c r="R1275" s="15">
        <f t="shared" si="3"/>
        <v>5</v>
      </c>
      <c r="S1275" s="15">
        <f t="shared" si="4"/>
        <v>2</v>
      </c>
      <c r="T1275" s="15" t="str">
        <f t="shared" si="5"/>
        <v>C-6</v>
      </c>
      <c r="U1275" s="15" t="str">
        <f t="shared" si="6"/>
        <v>T8-M5-H2-FC-6-VERIFY</v>
      </c>
      <c r="V1275" s="15">
        <f t="shared" si="7"/>
        <v>0</v>
      </c>
      <c r="W1275" s="31"/>
      <c r="X1275" s="15" t="str">
        <f t="shared" si="8"/>
        <v>siddharthnagar</v>
      </c>
      <c r="Y1275" s="32" t="str">
        <f t="shared" si="9"/>
        <v>https://steelmanufacturer.in/market-area/electropolished-pipes-manufacturer-in-siddharthnagar/</v>
      </c>
      <c r="Z1275" s="15" t="str">
        <f t="shared" si="10"/>
        <v>Electropolished Pipes Manufacturer in Siddharthnagar</v>
      </c>
      <c r="AA1275" s="15" t="str">
        <f t="shared" si="11"/>
        <v>OK (52)</v>
      </c>
      <c r="AB1275" s="15" t="str">
        <f t="shared" si="12"/>
        <v>Manufacturer of electropolished SS 316L tube serving Siddharthnagar. VERIFY. Ra 0.25-0.5 um, EN 10204 3.1 MTC.</v>
      </c>
      <c r="AC1275" s="15" t="str">
        <f t="shared" si="13"/>
        <v>PENDING RESEARCH</v>
      </c>
      <c r="AD1275" s="15" t="str">
        <f t="shared" si="14"/>
        <v>Electropolished Pipes Manufacturer in Siddharthnagar</v>
      </c>
      <c r="AE1275" s="15" t="str">
        <f t="shared" si="15"/>
        <v>How We Manufacture Electropolished Tube for Siddharthnagar Plants</v>
      </c>
      <c r="AF1275" s="15" t="str">
        <f t="shared" si="16"/>
        <v>Supplying Electropolished Pipes in Siddharthnagar: Availability, Sizes &amp; Dispatch</v>
      </c>
      <c r="AG1275" s="15" t="str">
        <f t="shared" si="17"/>
        <v>Wholesale Electropolished Pipe Supply for Siddharthnagar Projects</v>
      </c>
      <c r="AH1275" s="15" t="str">
        <f t="shared" si="18"/>
        <v>electropolished pipes manufacturer in Siddharthnagar, electropolished pipes supplier in Siddharthnagar, electropolished pipes wholesaler in Siddharthnagar, electropolished tube manufacturer Siddharthnagar, EP pipe supplier Siddharthnagar, sanitary tube supplier Siddharthnagar, ASME BPE tubing Siddharthnagar, ASTM A270 tube Siddharthnagar, SS 316L electropolished pipe Siddharthnagar</v>
      </c>
      <c r="AI1275" s="15" t="str">
        <f t="shared" si="19"/>
        <v>Electropolished Pipes Manufacturer &amp; Supplier in Siddharthnagar</v>
      </c>
      <c r="AJ1275" s="15" t="str">
        <f t="shared" si="20"/>
        <v>EP-finished SS 304/316L pipes and tubes for VERIFY plants in Siddharthnagar. ASME BPE SF1-SF4, Ra from 0.25 um, EN 10204 3.1 certificate with every lot.</v>
      </c>
      <c r="AK1275" s="15" t="str">
        <f t="shared" si="21"/>
        <v>Electropolished stainless steel pipes supplied by Sakshi Forge to VERIFY plants at UPSIDA Industrial Area, Siddharthnagar</v>
      </c>
      <c r="AL1275" s="15" t="str">
        <f t="shared" si="22"/>
        <v>Electropolished SS 316L tube stock for Siddharthnagar - Sakshi Forge</v>
      </c>
      <c r="AM1275" s="15" t="str">
        <f t="shared" si="23"/>
        <v>Home &gt; Market Area &gt; India &gt; Uttar Pradesh &gt; Siddharthnagar</v>
      </c>
      <c r="AN1275" s="15">
        <f t="shared" si="24"/>
        <v>750</v>
      </c>
      <c r="AO1275" s="15">
        <f t="shared" si="25"/>
        <v>6</v>
      </c>
      <c r="AP1275" s="15">
        <f t="shared" si="26"/>
        <v>6</v>
      </c>
      <c r="AQ1275" s="15">
        <f t="shared" si="27"/>
        <v>22</v>
      </c>
      <c r="AR1275" s="31"/>
      <c r="AS1275" s="31"/>
      <c r="AT1275" s="35" t="s">
        <v>222</v>
      </c>
      <c r="AU1275" s="35"/>
    </row>
    <row r="1276" ht="15.75" customHeight="1">
      <c r="A1276" s="15" t="s">
        <v>6519</v>
      </c>
      <c r="B1276" s="15" t="s">
        <v>60</v>
      </c>
      <c r="C1276" s="15" t="s">
        <v>842</v>
      </c>
      <c r="D1276" s="15" t="s">
        <v>6520</v>
      </c>
      <c r="E1276" s="15" t="s">
        <v>6520</v>
      </c>
      <c r="F1276" s="58" t="s">
        <v>807</v>
      </c>
      <c r="G1276" s="66" t="s">
        <v>98</v>
      </c>
      <c r="H1276" s="18" t="s">
        <v>6522</v>
      </c>
      <c r="I1276" s="18" t="s">
        <v>8413</v>
      </c>
      <c r="J1276" s="18" t="s">
        <v>98</v>
      </c>
      <c r="K1276" s="18" t="s">
        <v>98</v>
      </c>
      <c r="L1276" s="18" t="s">
        <v>98</v>
      </c>
      <c r="M1276" s="18" t="s">
        <v>98</v>
      </c>
      <c r="N1276" s="18" t="s">
        <v>98</v>
      </c>
      <c r="O1276" s="18" t="s">
        <v>98</v>
      </c>
      <c r="P1276" s="15" t="str">
        <f t="shared" si="1"/>
        <v>VERIFY</v>
      </c>
      <c r="Q1276" s="15">
        <f t="shared" si="2"/>
        <v>1</v>
      </c>
      <c r="R1276" s="15">
        <f t="shared" si="3"/>
        <v>6</v>
      </c>
      <c r="S1276" s="15">
        <f t="shared" si="4"/>
        <v>3</v>
      </c>
      <c r="T1276" s="15" t="str">
        <f t="shared" si="5"/>
        <v>C-1</v>
      </c>
      <c r="U1276" s="15" t="str">
        <f t="shared" si="6"/>
        <v>T1-M6-H3-FC-1-VERIFY</v>
      </c>
      <c r="V1276" s="15">
        <f t="shared" si="7"/>
        <v>0</v>
      </c>
      <c r="W1276" s="31"/>
      <c r="X1276" s="15" t="str">
        <f t="shared" si="8"/>
        <v>sidhi</v>
      </c>
      <c r="Y1276" s="32" t="str">
        <f t="shared" si="9"/>
        <v>https://steelmanufacturer.in/market-area/electropolished-pipes-manufacturer-in-sidhi/</v>
      </c>
      <c r="Z1276" s="15" t="str">
        <f t="shared" si="10"/>
        <v>Electropolished Pipes Manufacturer in Sidhi | Sakshi Forge</v>
      </c>
      <c r="AA1276" s="15" t="str">
        <f t="shared" si="11"/>
        <v>OK (58)</v>
      </c>
      <c r="AB1276" s="15" t="str">
        <f t="shared" si="12"/>
        <v>EP tube and pipe for VERIFY plants around MPIDC Industrial Area, Sidhi. Made at our Mumbai works to ASTM A270 and ASME BPE SF1-SF4, with 3.1 MTC.</v>
      </c>
      <c r="AC1276" s="15" t="str">
        <f t="shared" si="13"/>
        <v>PENDING RESEARCH</v>
      </c>
      <c r="AD1276" s="15" t="str">
        <f t="shared" si="14"/>
        <v>Electropolished Pipes Manufacturer in Sidhi</v>
      </c>
      <c r="AE1276" s="15" t="str">
        <f t="shared" si="15"/>
        <v>Electropolished Pipes Manufacturer in Sidhi - Our Process &amp; Capability</v>
      </c>
      <c r="AF1276" s="15" t="str">
        <f t="shared" si="16"/>
        <v>Electropolished Pipes Supplier in Sidhi - What We Hold in Stock</v>
      </c>
      <c r="AG1276" s="15" t="str">
        <f t="shared" si="17"/>
        <v>Bulk &amp; Wholesale Electropolished Pipe Rates for Sidhi Buyers</v>
      </c>
      <c r="AH1276" s="15" t="str">
        <f t="shared" si="18"/>
        <v>electropolished pipes manufacturer in Sidhi, electropolished pipes supplier in Sidhi, electropolished pipes wholesaler in Sidhi, electropolished tube manufacturer Sidhi, EP pipe supplier Sidhi, sanitary tube supplier Sidhi, ASME BPE tubing Sidhi, ASTM A270 tube Sidhi, SS 316L electropolished pipe Sidhi</v>
      </c>
      <c r="AI1276" s="15" t="str">
        <f t="shared" si="19"/>
        <v>Electropolished Pipes Manufacturer &amp; Supplier in Sidhi</v>
      </c>
      <c r="AJ1276" s="15" t="str">
        <f t="shared" si="20"/>
        <v>EP-finished SS 304/316L pipes and tubes for VERIFY plants in Sidhi. ASME BPE SF1-SF4, Ra from 0.25 um, EN 10204 3.1 certificate with every lot.</v>
      </c>
      <c r="AK1276" s="15" t="str">
        <f t="shared" si="21"/>
        <v>Electropolished stainless steel pipes supplied by Sakshi Forge to VERIFY plants at MPIDC Industrial Area, Sidhi</v>
      </c>
      <c r="AL1276" s="15" t="str">
        <f t="shared" si="22"/>
        <v>Electropolished SS 316L tube stock for Sidhi - Sakshi Forge</v>
      </c>
      <c r="AM1276" s="15" t="str">
        <f t="shared" si="23"/>
        <v>Home &gt; Market Area &gt; India &gt; Madhya Pradesh &gt; Sidhi</v>
      </c>
      <c r="AN1276" s="15">
        <f t="shared" si="24"/>
        <v>750</v>
      </c>
      <c r="AO1276" s="15">
        <f t="shared" si="25"/>
        <v>6</v>
      </c>
      <c r="AP1276" s="15">
        <f t="shared" si="26"/>
        <v>6</v>
      </c>
      <c r="AQ1276" s="15">
        <f t="shared" si="27"/>
        <v>22</v>
      </c>
      <c r="AR1276" s="31"/>
      <c r="AS1276" s="31"/>
      <c r="AT1276" s="35" t="s">
        <v>222</v>
      </c>
      <c r="AU1276" s="35"/>
    </row>
    <row r="1277" ht="15.75" customHeight="1">
      <c r="A1277" s="15" t="s">
        <v>6523</v>
      </c>
      <c r="B1277" s="15" t="s">
        <v>60</v>
      </c>
      <c r="C1277" s="15" t="s">
        <v>878</v>
      </c>
      <c r="D1277" s="15" t="s">
        <v>6524</v>
      </c>
      <c r="E1277" s="15" t="s">
        <v>6524</v>
      </c>
      <c r="F1277" s="58" t="s">
        <v>807</v>
      </c>
      <c r="G1277" s="66" t="s">
        <v>98</v>
      </c>
      <c r="H1277" s="18" t="s">
        <v>6527</v>
      </c>
      <c r="I1277" s="18" t="s">
        <v>8415</v>
      </c>
      <c r="J1277" s="18" t="s">
        <v>98</v>
      </c>
      <c r="K1277" s="18" t="s">
        <v>98</v>
      </c>
      <c r="L1277" s="18" t="s">
        <v>98</v>
      </c>
      <c r="M1277" s="18" t="s">
        <v>98</v>
      </c>
      <c r="N1277" s="18" t="s">
        <v>98</v>
      </c>
      <c r="O1277" s="18" t="s">
        <v>98</v>
      </c>
      <c r="P1277" s="15" t="str">
        <f t="shared" si="1"/>
        <v>VERIFY</v>
      </c>
      <c r="Q1277" s="15">
        <f t="shared" si="2"/>
        <v>2</v>
      </c>
      <c r="R1277" s="15">
        <f t="shared" si="3"/>
        <v>7</v>
      </c>
      <c r="S1277" s="15">
        <f t="shared" si="4"/>
        <v>4</v>
      </c>
      <c r="T1277" s="15" t="str">
        <f t="shared" si="5"/>
        <v>C-2</v>
      </c>
      <c r="U1277" s="15" t="str">
        <f t="shared" si="6"/>
        <v>T2-M7-H4-FC-2-VERIFY</v>
      </c>
      <c r="V1277" s="15">
        <f t="shared" si="7"/>
        <v>0</v>
      </c>
      <c r="W1277" s="31"/>
      <c r="X1277" s="15" t="str">
        <f t="shared" si="8"/>
        <v>simdega</v>
      </c>
      <c r="Y1277" s="32" t="str">
        <f t="shared" si="9"/>
        <v>https://steelmanufacturer.in/market-area/electropolished-pipes-manufacturer-in-simdega/</v>
      </c>
      <c r="Z1277" s="15" t="str">
        <f t="shared" si="10"/>
        <v>Electropolished Pipes Manufacturer in Simdega</v>
      </c>
      <c r="AA1277" s="15" t="str">
        <f t="shared" si="11"/>
        <v>OK (45)</v>
      </c>
      <c r="AB1277" s="15" t="str">
        <f t="shared" si="12"/>
        <v>Electropolished pipes in Simdega: 304, 304L, 316 and 316L in SF1-SF4. VERIFY. Mill certified.</v>
      </c>
      <c r="AC1277" s="15" t="str">
        <f t="shared" si="13"/>
        <v>PENDING RESEARCH</v>
      </c>
      <c r="AD1277" s="15" t="str">
        <f t="shared" si="14"/>
        <v>Electropolished Pipes Manufacturer in Simdega</v>
      </c>
      <c r="AE1277" s="15" t="str">
        <f t="shared" si="15"/>
        <v>Manufacturing Electropolished SS Tube for Simdega: The Standards We Build To</v>
      </c>
      <c r="AF1277" s="15" t="str">
        <f t="shared" si="16"/>
        <v>Electropolished Pipe Supply Into Simdega - Certification &amp; Transit</v>
      </c>
      <c r="AG1277" s="15" t="str">
        <f t="shared" si="17"/>
        <v>Electropolished Pipes Wholesaler in Simdega - Project Quantities &amp; Terms</v>
      </c>
      <c r="AH1277" s="15" t="str">
        <f t="shared" si="18"/>
        <v>electropolished pipes manufacturer in Simdega, electropolished pipes supplier in Simdega, electropolished pipes wholesaler in Simdega, electropolished tube manufacturer Simdega, EP pipe supplier Simdega, sanitary tube supplier Simdega, ASME BPE tubing Simdega, ASTM A270 tube Simdega, SS 316L electropolished pipe Simdega</v>
      </c>
      <c r="AI1277" s="15" t="str">
        <f t="shared" si="19"/>
        <v>Electropolished Pipes Manufacturer &amp; Supplier in Simdega</v>
      </c>
      <c r="AJ1277" s="15" t="str">
        <f t="shared" si="20"/>
        <v>EP-finished SS 304/316L pipes and tubes for VERIFY plants in Simdega. ASME BPE SF1-SF4, Ra from 0.25 um, EN 10204 3.1 certificate with every lot.</v>
      </c>
      <c r="AK1277" s="15" t="str">
        <f t="shared" si="21"/>
        <v>Electropolished stainless steel pipes supplied by Sakshi Forge to VERIFY plants at JIADA Industrial Area, Simdega</v>
      </c>
      <c r="AL1277" s="15" t="str">
        <f t="shared" si="22"/>
        <v>Electropolished SS 316L tube stock for Simdega - Sakshi Forge</v>
      </c>
      <c r="AM1277" s="15" t="str">
        <f t="shared" si="23"/>
        <v>Home &gt; Market Area &gt; India &gt; Jharkhand &gt; Simdega</v>
      </c>
      <c r="AN1277" s="15">
        <f t="shared" si="24"/>
        <v>750</v>
      </c>
      <c r="AO1277" s="15">
        <f t="shared" si="25"/>
        <v>6</v>
      </c>
      <c r="AP1277" s="15">
        <f t="shared" si="26"/>
        <v>6</v>
      </c>
      <c r="AQ1277" s="15">
        <f t="shared" si="27"/>
        <v>22</v>
      </c>
      <c r="AR1277" s="31"/>
      <c r="AS1277" s="31"/>
      <c r="AT1277" s="35" t="s">
        <v>222</v>
      </c>
      <c r="AU1277" s="35"/>
    </row>
    <row r="1278" ht="15.75" customHeight="1">
      <c r="A1278" s="15" t="s">
        <v>6529</v>
      </c>
      <c r="B1278" s="15" t="s">
        <v>60</v>
      </c>
      <c r="C1278" s="15" t="s">
        <v>1312</v>
      </c>
      <c r="D1278" s="15" t="s">
        <v>6532</v>
      </c>
      <c r="E1278" s="15" t="s">
        <v>6532</v>
      </c>
      <c r="F1278" s="58" t="s">
        <v>807</v>
      </c>
      <c r="G1278" s="66" t="s">
        <v>98</v>
      </c>
      <c r="H1278" s="18" t="s">
        <v>6536</v>
      </c>
      <c r="I1278" s="18" t="s">
        <v>8392</v>
      </c>
      <c r="J1278" s="18" t="s">
        <v>98</v>
      </c>
      <c r="K1278" s="18" t="s">
        <v>98</v>
      </c>
      <c r="L1278" s="18" t="s">
        <v>98</v>
      </c>
      <c r="M1278" s="18" t="s">
        <v>98</v>
      </c>
      <c r="N1278" s="18" t="s">
        <v>98</v>
      </c>
      <c r="O1278" s="18" t="s">
        <v>98</v>
      </c>
      <c r="P1278" s="15" t="str">
        <f t="shared" si="1"/>
        <v>VERIFY</v>
      </c>
      <c r="Q1278" s="15">
        <f t="shared" si="2"/>
        <v>3</v>
      </c>
      <c r="R1278" s="15">
        <f t="shared" si="3"/>
        <v>1</v>
      </c>
      <c r="S1278" s="15">
        <f t="shared" si="4"/>
        <v>5</v>
      </c>
      <c r="T1278" s="15" t="str">
        <f t="shared" si="5"/>
        <v>C-3</v>
      </c>
      <c r="U1278" s="15" t="str">
        <f t="shared" si="6"/>
        <v>T3-M1-H5-FC-3-VERIFY</v>
      </c>
      <c r="V1278" s="15">
        <f t="shared" si="7"/>
        <v>0</v>
      </c>
      <c r="W1278" s="31"/>
      <c r="X1278" s="15" t="str">
        <f t="shared" si="8"/>
        <v>sircilla</v>
      </c>
      <c r="Y1278" s="32" t="str">
        <f t="shared" si="9"/>
        <v>https://steelmanufacturer.in/market-area/electropolished-pipes-manufacturer-in-sircilla/</v>
      </c>
      <c r="Z1278" s="15" t="str">
        <f t="shared" si="10"/>
        <v>Electropolished Pipes Manufacturer in Sircilla | EP Tube Supplier</v>
      </c>
      <c r="AA1278" s="15" t="str">
        <f t="shared" si="11"/>
        <v>OK (65)</v>
      </c>
      <c r="AB1278" s="15" t="str">
        <f t="shared" si="12"/>
        <v>EP-finished SS 304/316L pipes &amp; tubes for VERIFY plants in Sircilla. ASTM A270, ASME BPE SF1-SF4, EN 10204 3.1 MTC. PMI tested.</v>
      </c>
      <c r="AC1278" s="15" t="str">
        <f t="shared" si="13"/>
        <v>PENDING RESEARCH</v>
      </c>
      <c r="AD1278" s="15" t="str">
        <f t="shared" si="14"/>
        <v>Electropolished Pipes Manufacturer in Sircilla</v>
      </c>
      <c r="AE1278" s="15" t="str">
        <f t="shared" si="15"/>
        <v>Electropolished Tube Manufacturing Capability Serving Sircilla</v>
      </c>
      <c r="AF1278" s="15" t="str">
        <f t="shared" si="16"/>
        <v>Electropolished Pipes Supplier in Sircilla - From Order to Delivery</v>
      </c>
      <c r="AG1278" s="15" t="str">
        <f t="shared" si="17"/>
        <v>Stockist &amp; Wholesale Supply of Electropolished Pipes in Sircilla</v>
      </c>
      <c r="AH1278" s="15" t="str">
        <f t="shared" si="18"/>
        <v>electropolished pipes manufacturer in Sircilla, electropolished pipes supplier in Sircilla, electropolished pipes wholesaler in Sircilla, electropolished tube manufacturer Sircilla, EP pipe supplier Sircilla, sanitary tube supplier Sircilla, ASME BPE tubing Sircilla, ASTM A270 tube Sircilla, SS 316L electropolished pipe Sircilla</v>
      </c>
      <c r="AI1278" s="15" t="str">
        <f t="shared" si="19"/>
        <v>Electropolished Pipes Manufacturer &amp; Supplier in Sircilla</v>
      </c>
      <c r="AJ1278" s="15" t="str">
        <f t="shared" si="20"/>
        <v>EP-finished SS 304/316L pipes and tubes for VERIFY plants in Sircilla. ASME BPE SF1-SF4, Ra from 0.25 um, EN 10204 3.1 certificate with every lot.</v>
      </c>
      <c r="AK1278" s="15" t="str">
        <f t="shared" si="21"/>
        <v>Electropolished stainless steel pipes supplied by Sakshi Forge to VERIFY plants at TSIIC Industrial Area, Sircilla</v>
      </c>
      <c r="AL1278" s="15" t="str">
        <f t="shared" si="22"/>
        <v>Electropolished SS 316L tube stock for Sircilla - Sakshi Forge</v>
      </c>
      <c r="AM1278" s="15" t="str">
        <f t="shared" si="23"/>
        <v>Home &gt; Market Area &gt; India &gt; Telangana &gt; Sircilla</v>
      </c>
      <c r="AN1278" s="15">
        <f t="shared" si="24"/>
        <v>750</v>
      </c>
      <c r="AO1278" s="15">
        <f t="shared" si="25"/>
        <v>6</v>
      </c>
      <c r="AP1278" s="15">
        <f t="shared" si="26"/>
        <v>6</v>
      </c>
      <c r="AQ1278" s="15">
        <f t="shared" si="27"/>
        <v>22</v>
      </c>
      <c r="AR1278" s="31"/>
      <c r="AS1278" s="31"/>
      <c r="AT1278" s="35" t="s">
        <v>222</v>
      </c>
      <c r="AU1278" s="35"/>
    </row>
    <row r="1279" ht="15.75" customHeight="1">
      <c r="A1279" s="15" t="s">
        <v>6537</v>
      </c>
      <c r="B1279" s="15" t="s">
        <v>60</v>
      </c>
      <c r="C1279" s="15" t="s">
        <v>354</v>
      </c>
      <c r="D1279" s="15" t="s">
        <v>6538</v>
      </c>
      <c r="E1279" s="15" t="s">
        <v>6538</v>
      </c>
      <c r="F1279" s="58" t="s">
        <v>807</v>
      </c>
      <c r="G1279" s="66" t="s">
        <v>98</v>
      </c>
      <c r="H1279" s="18" t="s">
        <v>6540</v>
      </c>
      <c r="I1279" s="18" t="s">
        <v>8408</v>
      </c>
      <c r="J1279" s="18" t="s">
        <v>98</v>
      </c>
      <c r="K1279" s="18" t="s">
        <v>98</v>
      </c>
      <c r="L1279" s="18" t="s">
        <v>98</v>
      </c>
      <c r="M1279" s="18" t="s">
        <v>98</v>
      </c>
      <c r="N1279" s="18" t="s">
        <v>98</v>
      </c>
      <c r="O1279" s="18" t="s">
        <v>98</v>
      </c>
      <c r="P1279" s="15" t="str">
        <f t="shared" si="1"/>
        <v>VERIFY</v>
      </c>
      <c r="Q1279" s="15">
        <f t="shared" si="2"/>
        <v>4</v>
      </c>
      <c r="R1279" s="15">
        <f t="shared" si="3"/>
        <v>2</v>
      </c>
      <c r="S1279" s="15">
        <f t="shared" si="4"/>
        <v>1</v>
      </c>
      <c r="T1279" s="15" t="str">
        <f t="shared" si="5"/>
        <v>C-4</v>
      </c>
      <c r="U1279" s="15" t="str">
        <f t="shared" si="6"/>
        <v>T4-M2-H1-FC-4-VERIFY</v>
      </c>
      <c r="V1279" s="15">
        <f t="shared" si="7"/>
        <v>0</v>
      </c>
      <c r="W1279" s="31"/>
      <c r="X1279" s="15" t="str">
        <f t="shared" si="8"/>
        <v>sirhind</v>
      </c>
      <c r="Y1279" s="32" t="str">
        <f t="shared" si="9"/>
        <v>https://steelmanufacturer.in/market-area/electropolished-pipes-manufacturer-in-sirhind/</v>
      </c>
      <c r="Z1279" s="15" t="str">
        <f t="shared" si="10"/>
        <v>Electropolished Pipes Manufacturer in Sirhind</v>
      </c>
      <c r="AA1279" s="15" t="str">
        <f t="shared" si="11"/>
        <v>OK (45)</v>
      </c>
      <c r="AB1279" s="15" t="str">
        <f t="shared" si="12"/>
        <v>Electropolished tube supply to PSIEC Industrial Area, Sirhind. Ra from 0.25 um, SF4 finish, mill test certificate with every lot.</v>
      </c>
      <c r="AC1279" s="15" t="str">
        <f t="shared" si="13"/>
        <v>PENDING RESEARCH</v>
      </c>
      <c r="AD1279" s="15" t="str">
        <f t="shared" si="14"/>
        <v>Electropolished Pipes Manufacturer in Sirhind</v>
      </c>
      <c r="AE1279" s="15" t="str">
        <f t="shared" si="15"/>
        <v>Electropolished Pipe &amp; Tube Manufacturing for Sirhind - Grades, Finishes &amp; Certification</v>
      </c>
      <c r="AF1279" s="15" t="str">
        <f t="shared" si="16"/>
        <v>Electropolished Pipes Supplier in Sirhind - Stock Sizes, Lead Time &amp; Delivery</v>
      </c>
      <c r="AG1279" s="15" t="str">
        <f t="shared" si="17"/>
        <v>Electropolished Pipes Wholesaler &amp; Stockist in Sirhind - Bulk &amp; Project Pricing</v>
      </c>
      <c r="AH1279" s="15" t="str">
        <f t="shared" si="18"/>
        <v>electropolished pipes manufacturer in Sirhind, electropolished pipes supplier in Sirhind, electropolished pipes wholesaler in Sirhind, electropolished tube manufacturer Sirhind, EP pipe supplier Sirhind, sanitary tube supplier Sirhind, ASME BPE tubing Sirhind, ASTM A270 tube Sirhind, SS 316L electropolished pipe Sirhind</v>
      </c>
      <c r="AI1279" s="15" t="str">
        <f t="shared" si="19"/>
        <v>Electropolished Pipes Manufacturer &amp; Supplier in Sirhind</v>
      </c>
      <c r="AJ1279" s="15" t="str">
        <f t="shared" si="20"/>
        <v>EP-finished SS 304/316L pipes and tubes for VERIFY plants in Sirhind. ASME BPE SF1-SF4, Ra from 0.25 um, EN 10204 3.1 certificate with every lot.</v>
      </c>
      <c r="AK1279" s="15" t="str">
        <f t="shared" si="21"/>
        <v>Electropolished stainless steel pipes supplied by Sakshi Forge to VERIFY plants at PSIEC Industrial Area, Sirhind</v>
      </c>
      <c r="AL1279" s="15" t="str">
        <f t="shared" si="22"/>
        <v>Electropolished SS 316L tube stock for Sirhind - Sakshi Forge</v>
      </c>
      <c r="AM1279" s="15" t="str">
        <f t="shared" si="23"/>
        <v>Home &gt; Market Area &gt; India &gt; Punjab &gt; Sirhind</v>
      </c>
      <c r="AN1279" s="15">
        <f t="shared" si="24"/>
        <v>750</v>
      </c>
      <c r="AO1279" s="15">
        <f t="shared" si="25"/>
        <v>6</v>
      </c>
      <c r="AP1279" s="15">
        <f t="shared" si="26"/>
        <v>6</v>
      </c>
      <c r="AQ1279" s="15">
        <f t="shared" si="27"/>
        <v>22</v>
      </c>
      <c r="AR1279" s="31"/>
      <c r="AS1279" s="31"/>
      <c r="AT1279" s="35" t="s">
        <v>222</v>
      </c>
      <c r="AU1279" s="35"/>
    </row>
    <row r="1280" ht="15.75" customHeight="1">
      <c r="A1280" s="15" t="s">
        <v>6541</v>
      </c>
      <c r="B1280" s="15" t="s">
        <v>60</v>
      </c>
      <c r="C1280" s="15" t="s">
        <v>958</v>
      </c>
      <c r="D1280" s="15" t="s">
        <v>6542</v>
      </c>
      <c r="E1280" s="15" t="s">
        <v>6542</v>
      </c>
      <c r="F1280" s="58" t="s">
        <v>807</v>
      </c>
      <c r="G1280" s="66" t="s">
        <v>98</v>
      </c>
      <c r="H1280" s="18" t="s">
        <v>6544</v>
      </c>
      <c r="I1280" s="18" t="s">
        <v>8403</v>
      </c>
      <c r="J1280" s="18" t="s">
        <v>98</v>
      </c>
      <c r="K1280" s="18" t="s">
        <v>98</v>
      </c>
      <c r="L1280" s="18" t="s">
        <v>98</v>
      </c>
      <c r="M1280" s="18" t="s">
        <v>98</v>
      </c>
      <c r="N1280" s="18" t="s">
        <v>98</v>
      </c>
      <c r="O1280" s="18" t="s">
        <v>98</v>
      </c>
      <c r="P1280" s="15" t="str">
        <f t="shared" si="1"/>
        <v>VERIFY</v>
      </c>
      <c r="Q1280" s="15">
        <f t="shared" si="2"/>
        <v>5</v>
      </c>
      <c r="R1280" s="15">
        <f t="shared" si="3"/>
        <v>3</v>
      </c>
      <c r="S1280" s="15">
        <f t="shared" si="4"/>
        <v>2</v>
      </c>
      <c r="T1280" s="15" t="str">
        <f t="shared" si="5"/>
        <v>C-5</v>
      </c>
      <c r="U1280" s="15" t="str">
        <f t="shared" si="6"/>
        <v>T5-M3-H2-FC-5-VERIFY</v>
      </c>
      <c r="V1280" s="15">
        <f t="shared" si="7"/>
        <v>0</v>
      </c>
      <c r="W1280" s="31"/>
      <c r="X1280" s="15" t="str">
        <f t="shared" si="8"/>
        <v>sirkazhi</v>
      </c>
      <c r="Y1280" s="32" t="str">
        <f t="shared" si="9"/>
        <v>https://steelmanufacturer.in/market-area/electropolished-pipes-manufacturer-in-sirkazhi/</v>
      </c>
      <c r="Z1280" s="15" t="str">
        <f t="shared" si="10"/>
        <v>Electropolished Pipes Manufacturer in Sirkazhi</v>
      </c>
      <c r="AA1280" s="15" t="str">
        <f t="shared" si="11"/>
        <v>OK (46)</v>
      </c>
      <c r="AB1280" s="15" t="str">
        <f t="shared" si="12"/>
        <v>EP stainless tube for VERIFY lines in Sirkazhi. VERIFY. ASTM A270 S2, PMI tested, EN 10204 3.1.</v>
      </c>
      <c r="AC1280" s="15" t="str">
        <f t="shared" si="13"/>
        <v>PENDING RESEARCH</v>
      </c>
      <c r="AD1280" s="15" t="str">
        <f t="shared" si="14"/>
        <v>Electropolished Pipes Manufacturer in Sirkazhi</v>
      </c>
      <c r="AE1280" s="15" t="str">
        <f t="shared" si="15"/>
        <v>How We Manufacture Electropolished Tube for Sirkazhi Plants</v>
      </c>
      <c r="AF1280" s="15" t="str">
        <f t="shared" si="16"/>
        <v>Supplying Electropolished Pipes in Sirkazhi: Availability, Sizes &amp; Dispatch</v>
      </c>
      <c r="AG1280" s="15" t="str">
        <f t="shared" si="17"/>
        <v>Wholesale Electropolished Pipe Supply for Sirkazhi Projects</v>
      </c>
      <c r="AH1280" s="15" t="str">
        <f t="shared" si="18"/>
        <v>electropolished pipes manufacturer in Sirkazhi, electropolished pipes supplier in Sirkazhi, electropolished pipes wholesaler in Sirkazhi, electropolished tube manufacturer Sirkazhi, EP pipe supplier Sirkazhi, sanitary tube supplier Sirkazhi, ASME BPE tubing Sirkazhi, ASTM A270 tube Sirkazhi, SS 316L electropolished pipe Sirkazhi</v>
      </c>
      <c r="AI1280" s="15" t="str">
        <f t="shared" si="19"/>
        <v>Electropolished Pipes Manufacturer &amp; Supplier in Sirkazhi</v>
      </c>
      <c r="AJ1280" s="15" t="str">
        <f t="shared" si="20"/>
        <v>EP-finished SS 304/316L pipes and tubes for VERIFY plants in Sirkazhi. ASME BPE SF1-SF4, Ra from 0.25 um, EN 10204 3.1 certificate with every lot.</v>
      </c>
      <c r="AK1280" s="15" t="str">
        <f t="shared" si="21"/>
        <v>Electropolished stainless steel pipes supplied by Sakshi Forge to VERIFY plants at SIPCOT Industrial Area, Sirkazhi</v>
      </c>
      <c r="AL1280" s="15" t="str">
        <f t="shared" si="22"/>
        <v>Electropolished SS 316L tube stock for Sirkazhi - Sakshi Forge</v>
      </c>
      <c r="AM1280" s="15" t="str">
        <f t="shared" si="23"/>
        <v>Home &gt; Market Area &gt; India &gt; Tamil Nadu &gt; Sirkazhi</v>
      </c>
      <c r="AN1280" s="15">
        <f t="shared" si="24"/>
        <v>750</v>
      </c>
      <c r="AO1280" s="15">
        <f t="shared" si="25"/>
        <v>6</v>
      </c>
      <c r="AP1280" s="15">
        <f t="shared" si="26"/>
        <v>6</v>
      </c>
      <c r="AQ1280" s="15">
        <f t="shared" si="27"/>
        <v>22</v>
      </c>
      <c r="AR1280" s="31"/>
      <c r="AS1280" s="31"/>
      <c r="AT1280" s="35" t="s">
        <v>222</v>
      </c>
      <c r="AU1280" s="35"/>
    </row>
    <row r="1281" ht="15.75" customHeight="1">
      <c r="A1281" s="15" t="s">
        <v>6545</v>
      </c>
      <c r="B1281" s="15" t="s">
        <v>60</v>
      </c>
      <c r="C1281" s="15" t="s">
        <v>570</v>
      </c>
      <c r="D1281" s="15" t="s">
        <v>6546</v>
      </c>
      <c r="E1281" s="15" t="s">
        <v>6546</v>
      </c>
      <c r="F1281" s="58" t="s">
        <v>807</v>
      </c>
      <c r="G1281" s="66" t="s">
        <v>98</v>
      </c>
      <c r="H1281" s="18" t="s">
        <v>6548</v>
      </c>
      <c r="I1281" s="18" t="s">
        <v>8405</v>
      </c>
      <c r="J1281" s="18" t="s">
        <v>98</v>
      </c>
      <c r="K1281" s="18" t="s">
        <v>98</v>
      </c>
      <c r="L1281" s="18" t="s">
        <v>98</v>
      </c>
      <c r="M1281" s="18" t="s">
        <v>98</v>
      </c>
      <c r="N1281" s="18" t="s">
        <v>98</v>
      </c>
      <c r="O1281" s="18" t="s">
        <v>98</v>
      </c>
      <c r="P1281" s="15" t="str">
        <f t="shared" si="1"/>
        <v>VERIFY</v>
      </c>
      <c r="Q1281" s="15">
        <f t="shared" si="2"/>
        <v>6</v>
      </c>
      <c r="R1281" s="15">
        <f t="shared" si="3"/>
        <v>4</v>
      </c>
      <c r="S1281" s="15">
        <f t="shared" si="4"/>
        <v>3</v>
      </c>
      <c r="T1281" s="15" t="str">
        <f t="shared" si="5"/>
        <v>C-6</v>
      </c>
      <c r="U1281" s="15" t="str">
        <f t="shared" si="6"/>
        <v>T6-M4-H3-FC-6-VERIFY</v>
      </c>
      <c r="V1281" s="15">
        <f t="shared" si="7"/>
        <v>0</v>
      </c>
      <c r="W1281" s="31"/>
      <c r="X1281" s="15" t="str">
        <f t="shared" si="8"/>
        <v>sirsi</v>
      </c>
      <c r="Y1281" s="32" t="str">
        <f t="shared" si="9"/>
        <v>https://steelmanufacturer.in/market-area/electropolished-pipes-manufacturer-in-sirsi/</v>
      </c>
      <c r="Z1281" s="15" t="str">
        <f t="shared" si="10"/>
        <v>Electropolished Pipes Manufacturer in Sirsi</v>
      </c>
      <c r="AA1281" s="15" t="str">
        <f t="shared" si="11"/>
        <v>OK (43)</v>
      </c>
      <c r="AB1281" s="15" t="str">
        <f t="shared" si="12"/>
        <v>Sanitary electropolished pipes in Sirsi for VERIFY plants. ASME BPE SF1-SF4, orbital-weld ready, 3.1 MTC. Mumbai-made.</v>
      </c>
      <c r="AC1281" s="15" t="str">
        <f t="shared" si="13"/>
        <v>PENDING RESEARCH</v>
      </c>
      <c r="AD1281" s="15" t="str">
        <f t="shared" si="14"/>
        <v>Electropolished Pipes Manufacturer in Sirsi</v>
      </c>
      <c r="AE1281" s="15" t="str">
        <f t="shared" si="15"/>
        <v>Electropolished Pipes Manufacturer in Sirsi - Our Process &amp; Capability</v>
      </c>
      <c r="AF1281" s="15" t="str">
        <f t="shared" si="16"/>
        <v>Electropolished Pipes Supplier in Sirsi - What We Hold in Stock</v>
      </c>
      <c r="AG1281" s="15" t="str">
        <f t="shared" si="17"/>
        <v>Bulk &amp; Wholesale Electropolished Pipe Rates for Sirsi Buyers</v>
      </c>
      <c r="AH1281" s="15" t="str">
        <f t="shared" si="18"/>
        <v>electropolished pipes manufacturer in Sirsi, electropolished pipes supplier in Sirsi, electropolished pipes wholesaler in Sirsi, electropolished tube manufacturer Sirsi, EP pipe supplier Sirsi, sanitary tube supplier Sirsi, ASME BPE tubing Sirsi, ASTM A270 tube Sirsi, SS 316L electropolished pipe Sirsi</v>
      </c>
      <c r="AI1281" s="15" t="str">
        <f t="shared" si="19"/>
        <v>Electropolished Pipes Manufacturer &amp; Supplier in Sirsi</v>
      </c>
      <c r="AJ1281" s="15" t="str">
        <f t="shared" si="20"/>
        <v>EP-finished SS 304/316L pipes and tubes for VERIFY plants in Sirsi. ASME BPE SF1-SF4, Ra from 0.25 um, EN 10204 3.1 certificate with every lot.</v>
      </c>
      <c r="AK1281" s="15" t="str">
        <f t="shared" si="21"/>
        <v>Electropolished stainless steel pipes supplied by Sakshi Forge to VERIFY plants at KIADB Industrial Area, Sirsi</v>
      </c>
      <c r="AL1281" s="15" t="str">
        <f t="shared" si="22"/>
        <v>Electropolished SS 316L tube stock for Sirsi - Sakshi Forge</v>
      </c>
      <c r="AM1281" s="15" t="str">
        <f t="shared" si="23"/>
        <v>Home &gt; Market Area &gt; India &gt; Karnataka &gt; Sirsi</v>
      </c>
      <c r="AN1281" s="15">
        <f t="shared" si="24"/>
        <v>750</v>
      </c>
      <c r="AO1281" s="15">
        <f t="shared" si="25"/>
        <v>6</v>
      </c>
      <c r="AP1281" s="15">
        <f t="shared" si="26"/>
        <v>6</v>
      </c>
      <c r="AQ1281" s="15">
        <f t="shared" si="27"/>
        <v>22</v>
      </c>
      <c r="AR1281" s="31"/>
      <c r="AS1281" s="31"/>
      <c r="AT1281" s="35" t="s">
        <v>222</v>
      </c>
      <c r="AU1281" s="35"/>
    </row>
    <row r="1282" ht="15.75" customHeight="1">
      <c r="A1282" s="15" t="s">
        <v>6549</v>
      </c>
      <c r="B1282" s="15" t="s">
        <v>60</v>
      </c>
      <c r="C1282" s="15" t="s">
        <v>413</v>
      </c>
      <c r="D1282" s="15" t="s">
        <v>6550</v>
      </c>
      <c r="E1282" s="15" t="s">
        <v>6550</v>
      </c>
      <c r="F1282" s="58" t="s">
        <v>807</v>
      </c>
      <c r="G1282" s="66" t="s">
        <v>98</v>
      </c>
      <c r="H1282" s="18" t="s">
        <v>6552</v>
      </c>
      <c r="I1282" s="18" t="s">
        <v>8393</v>
      </c>
      <c r="J1282" s="18" t="s">
        <v>98</v>
      </c>
      <c r="K1282" s="18" t="s">
        <v>98</v>
      </c>
      <c r="L1282" s="18" t="s">
        <v>98</v>
      </c>
      <c r="M1282" s="18" t="s">
        <v>98</v>
      </c>
      <c r="N1282" s="18" t="s">
        <v>98</v>
      </c>
      <c r="O1282" s="18" t="s">
        <v>98</v>
      </c>
      <c r="P1282" s="15" t="str">
        <f t="shared" si="1"/>
        <v>VERIFY</v>
      </c>
      <c r="Q1282" s="15">
        <f t="shared" si="2"/>
        <v>7</v>
      </c>
      <c r="R1282" s="15">
        <f t="shared" si="3"/>
        <v>5</v>
      </c>
      <c r="S1282" s="15">
        <f t="shared" si="4"/>
        <v>4</v>
      </c>
      <c r="T1282" s="15" t="str">
        <f t="shared" si="5"/>
        <v>C-1</v>
      </c>
      <c r="U1282" s="15" t="str">
        <f t="shared" si="6"/>
        <v>T7-M5-H4-FC-1-VERIFY</v>
      </c>
      <c r="V1282" s="15">
        <f t="shared" si="7"/>
        <v>0</v>
      </c>
      <c r="W1282" s="31"/>
      <c r="X1282" s="15" t="str">
        <f t="shared" si="8"/>
        <v>sompeta</v>
      </c>
      <c r="Y1282" s="32" t="str">
        <f t="shared" si="9"/>
        <v>https://steelmanufacturer.in/market-area/electropolished-pipes-manufacturer-in-sompeta/</v>
      </c>
      <c r="Z1282" s="15" t="str">
        <f t="shared" si="10"/>
        <v>Electropolished Pipes Manufacturer in Sompeta | ASME BPE SF1-SF4</v>
      </c>
      <c r="AA1282" s="15" t="str">
        <f t="shared" si="11"/>
        <v>OK (64)</v>
      </c>
      <c r="AB1282" s="15" t="str">
        <f t="shared" si="12"/>
        <v>Manufacturer of electropolished SS 316L tube serving Sompeta. VERIFY. Ra 0.25-0.5 um, EN 10204 3.1 MTC.</v>
      </c>
      <c r="AC1282" s="15" t="str">
        <f t="shared" si="13"/>
        <v>PENDING RESEARCH</v>
      </c>
      <c r="AD1282" s="15" t="str">
        <f t="shared" si="14"/>
        <v>Electropolished Pipes Manufacturer in Sompeta</v>
      </c>
      <c r="AE1282" s="15" t="str">
        <f t="shared" si="15"/>
        <v>Manufacturing Electropolished SS Tube for Sompeta: The Standards We Build To</v>
      </c>
      <c r="AF1282" s="15" t="str">
        <f t="shared" si="16"/>
        <v>Electropolished Pipe Supply Into Sompeta - Certification &amp; Transit</v>
      </c>
      <c r="AG1282" s="15" t="str">
        <f t="shared" si="17"/>
        <v>Electropolished Pipes Wholesaler in Sompeta - Project Quantities &amp; Terms</v>
      </c>
      <c r="AH1282" s="15" t="str">
        <f t="shared" si="18"/>
        <v>electropolished pipes manufacturer in Sompeta, electropolished pipes supplier in Sompeta, electropolished pipes wholesaler in Sompeta, electropolished tube manufacturer Sompeta, EP pipe supplier Sompeta, sanitary tube supplier Sompeta, ASME BPE tubing Sompeta, ASTM A270 tube Sompeta, SS 316L electropolished pipe Sompeta</v>
      </c>
      <c r="AI1282" s="15" t="str">
        <f t="shared" si="19"/>
        <v>Electropolished Pipes Manufacturer &amp; Supplier in Sompeta</v>
      </c>
      <c r="AJ1282" s="15" t="str">
        <f t="shared" si="20"/>
        <v>EP-finished SS 304/316L pipes and tubes for VERIFY plants in Sompeta. ASME BPE SF1-SF4, Ra from 0.25 um, EN 10204 3.1 certificate with every lot.</v>
      </c>
      <c r="AK1282" s="15" t="str">
        <f t="shared" si="21"/>
        <v>Electropolished stainless steel pipes supplied by Sakshi Forge to VERIFY plants at APIIC Industrial Area, Sompeta</v>
      </c>
      <c r="AL1282" s="15" t="str">
        <f t="shared" si="22"/>
        <v>Electropolished SS 316L tube stock for Sompeta - Sakshi Forge</v>
      </c>
      <c r="AM1282" s="15" t="str">
        <f t="shared" si="23"/>
        <v>Home &gt; Market Area &gt; India &gt; Andhra Pradesh &gt; Sompeta</v>
      </c>
      <c r="AN1282" s="15">
        <f t="shared" si="24"/>
        <v>750</v>
      </c>
      <c r="AO1282" s="15">
        <f t="shared" si="25"/>
        <v>6</v>
      </c>
      <c r="AP1282" s="15">
        <f t="shared" si="26"/>
        <v>6</v>
      </c>
      <c r="AQ1282" s="15">
        <f t="shared" si="27"/>
        <v>22</v>
      </c>
      <c r="AR1282" s="31"/>
      <c r="AS1282" s="31"/>
      <c r="AT1282" s="35" t="s">
        <v>222</v>
      </c>
      <c r="AU1282" s="35"/>
    </row>
    <row r="1283" ht="15.75" customHeight="1">
      <c r="A1283" s="15" t="s">
        <v>6553</v>
      </c>
      <c r="B1283" s="15" t="s">
        <v>60</v>
      </c>
      <c r="C1283" s="15" t="s">
        <v>85</v>
      </c>
      <c r="D1283" s="15" t="s">
        <v>6554</v>
      </c>
      <c r="E1283" s="15" t="s">
        <v>6554</v>
      </c>
      <c r="F1283" s="58" t="s">
        <v>807</v>
      </c>
      <c r="G1283" s="66" t="s">
        <v>98</v>
      </c>
      <c r="H1283" s="18" t="s">
        <v>6556</v>
      </c>
      <c r="I1283" s="18" t="s">
        <v>8398</v>
      </c>
      <c r="J1283" s="18" t="s">
        <v>98</v>
      </c>
      <c r="K1283" s="18" t="s">
        <v>98</v>
      </c>
      <c r="L1283" s="18" t="s">
        <v>98</v>
      </c>
      <c r="M1283" s="18" t="s">
        <v>98</v>
      </c>
      <c r="N1283" s="18" t="s">
        <v>98</v>
      </c>
      <c r="O1283" s="18" t="s">
        <v>98</v>
      </c>
      <c r="P1283" s="15" t="str">
        <f t="shared" si="1"/>
        <v>VERIFY</v>
      </c>
      <c r="Q1283" s="15">
        <f t="shared" si="2"/>
        <v>8</v>
      </c>
      <c r="R1283" s="15">
        <f t="shared" si="3"/>
        <v>6</v>
      </c>
      <c r="S1283" s="15">
        <f t="shared" si="4"/>
        <v>5</v>
      </c>
      <c r="T1283" s="15" t="str">
        <f t="shared" si="5"/>
        <v>C-2</v>
      </c>
      <c r="U1283" s="15" t="str">
        <f t="shared" si="6"/>
        <v>T8-M6-H5-FC-2-VERIFY</v>
      </c>
      <c r="V1283" s="15">
        <f t="shared" si="7"/>
        <v>0</v>
      </c>
      <c r="W1283" s="31"/>
      <c r="X1283" s="15" t="str">
        <f t="shared" si="8"/>
        <v>sonbhadra</v>
      </c>
      <c r="Y1283" s="32" t="str">
        <f t="shared" si="9"/>
        <v>https://steelmanufacturer.in/market-area/electropolished-pipes-manufacturer-in-sonbhadra/</v>
      </c>
      <c r="Z1283" s="15" t="str">
        <f t="shared" si="10"/>
        <v>Electropolished Pipes Manufacturer in Sonbhadra</v>
      </c>
      <c r="AA1283" s="15" t="str">
        <f t="shared" si="11"/>
        <v>OK (47)</v>
      </c>
      <c r="AB1283" s="15" t="str">
        <f t="shared" si="12"/>
        <v>EP tube and pipe for VERIFY plants around UPSIDA Industrial Area, Sonbhadra. Made at our Mumbai works to ASTM A270 and ASME BPE SF1-SF4, with 3.1 MTC.</v>
      </c>
      <c r="AC1283" s="15" t="str">
        <f t="shared" si="13"/>
        <v>PENDING RESEARCH</v>
      </c>
      <c r="AD1283" s="15" t="str">
        <f t="shared" si="14"/>
        <v>Electropolished Pipes Manufacturer in Sonbhadra</v>
      </c>
      <c r="AE1283" s="15" t="str">
        <f t="shared" si="15"/>
        <v>Electropolished Tube Manufacturing Capability Serving Sonbhadra</v>
      </c>
      <c r="AF1283" s="15" t="str">
        <f t="shared" si="16"/>
        <v>Electropolished Pipes Supplier in Sonbhadra - From Order to Delivery</v>
      </c>
      <c r="AG1283" s="15" t="str">
        <f t="shared" si="17"/>
        <v>Stockist &amp; Wholesale Supply of Electropolished Pipes in Sonbhadra</v>
      </c>
      <c r="AH1283" s="15" t="str">
        <f t="shared" si="18"/>
        <v>electropolished pipes manufacturer in Sonbhadra, electropolished pipes supplier in Sonbhadra, electropolished pipes wholesaler in Sonbhadra, electropolished tube manufacturer Sonbhadra, EP pipe supplier Sonbhadra, sanitary tube supplier Sonbhadra, ASME BPE tubing Sonbhadra, ASTM A270 tube Sonbhadra, SS 316L electropolished pipe Sonbhadra</v>
      </c>
      <c r="AI1283" s="15" t="str">
        <f t="shared" si="19"/>
        <v>Electropolished Pipes Manufacturer &amp; Supplier in Sonbhadra</v>
      </c>
      <c r="AJ1283" s="15" t="str">
        <f t="shared" si="20"/>
        <v>EP-finished SS 304/316L pipes and tubes for VERIFY plants in Sonbhadra. ASME BPE SF1-SF4, Ra from 0.25 um, EN 10204 3.1 certificate with every lot.</v>
      </c>
      <c r="AK1283" s="15" t="str">
        <f t="shared" si="21"/>
        <v>Electropolished stainless steel pipes supplied by Sakshi Forge to VERIFY plants at UPSIDA Industrial Area, Sonbhadra</v>
      </c>
      <c r="AL1283" s="15" t="str">
        <f t="shared" si="22"/>
        <v>Electropolished SS 316L tube stock for Sonbhadra - Sakshi Forge</v>
      </c>
      <c r="AM1283" s="15" t="str">
        <f t="shared" si="23"/>
        <v>Home &gt; Market Area &gt; India &gt; Uttar Pradesh &gt; Sonbhadra</v>
      </c>
      <c r="AN1283" s="15">
        <f t="shared" si="24"/>
        <v>750</v>
      </c>
      <c r="AO1283" s="15">
        <f t="shared" si="25"/>
        <v>6</v>
      </c>
      <c r="AP1283" s="15">
        <f t="shared" si="26"/>
        <v>6</v>
      </c>
      <c r="AQ1283" s="15">
        <f t="shared" si="27"/>
        <v>22</v>
      </c>
      <c r="AR1283" s="31"/>
      <c r="AS1283" s="31"/>
      <c r="AT1283" s="35" t="s">
        <v>222</v>
      </c>
      <c r="AU1283" s="35"/>
    </row>
    <row r="1284" ht="15.75" customHeight="1">
      <c r="A1284" s="15" t="s">
        <v>6557</v>
      </c>
      <c r="B1284" s="15" t="s">
        <v>60</v>
      </c>
      <c r="C1284" s="15" t="s">
        <v>224</v>
      </c>
      <c r="D1284" s="15" t="s">
        <v>6558</v>
      </c>
      <c r="E1284" s="15" t="s">
        <v>6558</v>
      </c>
      <c r="F1284" s="58" t="s">
        <v>807</v>
      </c>
      <c r="G1284" s="66" t="s">
        <v>98</v>
      </c>
      <c r="H1284" s="18" t="s">
        <v>6560</v>
      </c>
      <c r="I1284" s="18" t="s">
        <v>8400</v>
      </c>
      <c r="J1284" s="18" t="s">
        <v>98</v>
      </c>
      <c r="K1284" s="18" t="s">
        <v>98</v>
      </c>
      <c r="L1284" s="18" t="s">
        <v>98</v>
      </c>
      <c r="M1284" s="18" t="s">
        <v>98</v>
      </c>
      <c r="N1284" s="18" t="s">
        <v>98</v>
      </c>
      <c r="O1284" s="18" t="s">
        <v>98</v>
      </c>
      <c r="P1284" s="15" t="str">
        <f t="shared" si="1"/>
        <v>VERIFY</v>
      </c>
      <c r="Q1284" s="15">
        <f t="shared" si="2"/>
        <v>1</v>
      </c>
      <c r="R1284" s="15">
        <f t="shared" si="3"/>
        <v>7</v>
      </c>
      <c r="S1284" s="15">
        <f t="shared" si="4"/>
        <v>1</v>
      </c>
      <c r="T1284" s="15" t="str">
        <f t="shared" si="5"/>
        <v>C-3</v>
      </c>
      <c r="U1284" s="15" t="str">
        <f t="shared" si="6"/>
        <v>T1-M7-H1-FC-3-VERIFY</v>
      </c>
      <c r="V1284" s="15">
        <f t="shared" si="7"/>
        <v>0</v>
      </c>
      <c r="W1284" s="31"/>
      <c r="X1284" s="15" t="str">
        <f t="shared" si="8"/>
        <v>songadh</v>
      </c>
      <c r="Y1284" s="32" t="str">
        <f t="shared" si="9"/>
        <v>https://steelmanufacturer.in/market-area/electropolished-pipes-manufacturer-in-songadh/</v>
      </c>
      <c r="Z1284" s="15" t="str">
        <f t="shared" si="10"/>
        <v>Electropolished Pipes Manufacturer in Songadh | Sakshi Forge</v>
      </c>
      <c r="AA1284" s="15" t="str">
        <f t="shared" si="11"/>
        <v>OK (60)</v>
      </c>
      <c r="AB1284" s="15" t="str">
        <f t="shared" si="12"/>
        <v>Electropolished pipes in Songadh: 304, 304L, 316 and 316L in SF1-SF4. VERIFY. Mill certified.</v>
      </c>
      <c r="AC1284" s="15" t="str">
        <f t="shared" si="13"/>
        <v>PENDING RESEARCH</v>
      </c>
      <c r="AD1284" s="15" t="str">
        <f t="shared" si="14"/>
        <v>Electropolished Pipes Manufacturer in Songadh</v>
      </c>
      <c r="AE1284" s="15" t="str">
        <f t="shared" si="15"/>
        <v>Electropolished Pipe &amp; Tube Manufacturing for Songadh - Grades, Finishes &amp; Certification</v>
      </c>
      <c r="AF1284" s="15" t="str">
        <f t="shared" si="16"/>
        <v>Electropolished Pipes Supplier in Songadh - Stock Sizes, Lead Time &amp; Delivery</v>
      </c>
      <c r="AG1284" s="15" t="str">
        <f t="shared" si="17"/>
        <v>Electropolished Pipes Wholesaler &amp; Stockist in Songadh - Bulk &amp; Project Pricing</v>
      </c>
      <c r="AH1284" s="15" t="str">
        <f t="shared" si="18"/>
        <v>electropolished pipes manufacturer in Songadh, electropolished pipes supplier in Songadh, electropolished pipes wholesaler in Songadh, electropolished tube manufacturer Songadh, EP pipe supplier Songadh, sanitary tube supplier Songadh, ASME BPE tubing Songadh, ASTM A270 tube Songadh, SS 316L electropolished pipe Songadh</v>
      </c>
      <c r="AI1284" s="15" t="str">
        <f t="shared" si="19"/>
        <v>Electropolished Pipes Manufacturer &amp; Supplier in Songadh</v>
      </c>
      <c r="AJ1284" s="15" t="str">
        <f t="shared" si="20"/>
        <v>EP-finished SS 304/316L pipes and tubes for VERIFY plants in Songadh. ASME BPE SF1-SF4, Ra from 0.25 um, EN 10204 3.1 certificate with every lot.</v>
      </c>
      <c r="AK1284" s="15" t="str">
        <f t="shared" si="21"/>
        <v>Electropolished stainless steel pipes supplied by Sakshi Forge to VERIFY plants at GIDC Industrial Area, Songadh</v>
      </c>
      <c r="AL1284" s="15" t="str">
        <f t="shared" si="22"/>
        <v>Electropolished SS 316L tube stock for Songadh - Sakshi Forge</v>
      </c>
      <c r="AM1284" s="15" t="str">
        <f t="shared" si="23"/>
        <v>Home &gt; Market Area &gt; India &gt; Gujarat &gt; Songadh</v>
      </c>
      <c r="AN1284" s="15">
        <f t="shared" si="24"/>
        <v>750</v>
      </c>
      <c r="AO1284" s="15">
        <f t="shared" si="25"/>
        <v>6</v>
      </c>
      <c r="AP1284" s="15">
        <f t="shared" si="26"/>
        <v>6</v>
      </c>
      <c r="AQ1284" s="15">
        <f t="shared" si="27"/>
        <v>22</v>
      </c>
      <c r="AR1284" s="31"/>
      <c r="AS1284" s="31"/>
      <c r="AT1284" s="35" t="s">
        <v>222</v>
      </c>
      <c r="AU1284" s="35"/>
    </row>
    <row r="1285" ht="15.75" customHeight="1">
      <c r="A1285" s="15" t="s">
        <v>6561</v>
      </c>
      <c r="B1285" s="15" t="s">
        <v>60</v>
      </c>
      <c r="C1285" s="15" t="s">
        <v>570</v>
      </c>
      <c r="D1285" s="15" t="s">
        <v>6562</v>
      </c>
      <c r="E1285" s="15" t="s">
        <v>6562</v>
      </c>
      <c r="F1285" s="58" t="s">
        <v>807</v>
      </c>
      <c r="G1285" s="66" t="s">
        <v>98</v>
      </c>
      <c r="H1285" s="18" t="s">
        <v>6564</v>
      </c>
      <c r="I1285" s="18" t="s">
        <v>8405</v>
      </c>
      <c r="J1285" s="18" t="s">
        <v>98</v>
      </c>
      <c r="K1285" s="18" t="s">
        <v>98</v>
      </c>
      <c r="L1285" s="18" t="s">
        <v>98</v>
      </c>
      <c r="M1285" s="18" t="s">
        <v>98</v>
      </c>
      <c r="N1285" s="18" t="s">
        <v>98</v>
      </c>
      <c r="O1285" s="18" t="s">
        <v>98</v>
      </c>
      <c r="P1285" s="15" t="str">
        <f t="shared" si="1"/>
        <v>VERIFY</v>
      </c>
      <c r="Q1285" s="15">
        <f t="shared" si="2"/>
        <v>2</v>
      </c>
      <c r="R1285" s="15">
        <f t="shared" si="3"/>
        <v>1</v>
      </c>
      <c r="S1285" s="15">
        <f t="shared" si="4"/>
        <v>2</v>
      </c>
      <c r="T1285" s="15" t="str">
        <f t="shared" si="5"/>
        <v>C-4</v>
      </c>
      <c r="U1285" s="15" t="str">
        <f t="shared" si="6"/>
        <v>T2-M1-H2-FC-4-VERIFY</v>
      </c>
      <c r="V1285" s="15">
        <f t="shared" si="7"/>
        <v>0</v>
      </c>
      <c r="W1285" s="31"/>
      <c r="X1285" s="15" t="str">
        <f t="shared" si="8"/>
        <v>sorab</v>
      </c>
      <c r="Y1285" s="32" t="str">
        <f t="shared" si="9"/>
        <v>https://steelmanufacturer.in/market-area/electropolished-pipes-manufacturer-in-sorab/</v>
      </c>
      <c r="Z1285" s="15" t="str">
        <f t="shared" si="10"/>
        <v>Electropolished Pipes Manufacturer in Sorab</v>
      </c>
      <c r="AA1285" s="15" t="str">
        <f t="shared" si="11"/>
        <v>OK (43)</v>
      </c>
      <c r="AB1285" s="15" t="str">
        <f t="shared" si="12"/>
        <v>EP-finished SS 304/316L pipes &amp; tubes for VERIFY plants in Sorab. ASTM A270, ASME BPE SF1-SF4, EN 10204 3.1 MTC. PMI tested.</v>
      </c>
      <c r="AC1285" s="15" t="str">
        <f t="shared" si="13"/>
        <v>PENDING RESEARCH</v>
      </c>
      <c r="AD1285" s="15" t="str">
        <f t="shared" si="14"/>
        <v>Electropolished Pipes Manufacturer in Sorab</v>
      </c>
      <c r="AE1285" s="15" t="str">
        <f t="shared" si="15"/>
        <v>How We Manufacture Electropolished Tube for Sorab Plants</v>
      </c>
      <c r="AF1285" s="15" t="str">
        <f t="shared" si="16"/>
        <v>Supplying Electropolished Pipes in Sorab: Availability, Sizes &amp; Dispatch</v>
      </c>
      <c r="AG1285" s="15" t="str">
        <f t="shared" si="17"/>
        <v>Wholesale Electropolished Pipe Supply for Sorab Projects</v>
      </c>
      <c r="AH1285" s="15" t="str">
        <f t="shared" si="18"/>
        <v>electropolished pipes manufacturer in Sorab, electropolished pipes supplier in Sorab, electropolished pipes wholesaler in Sorab, electropolished tube manufacturer Sorab, EP pipe supplier Sorab, sanitary tube supplier Sorab, ASME BPE tubing Sorab, ASTM A270 tube Sorab, SS 316L electropolished pipe Sorab</v>
      </c>
      <c r="AI1285" s="15" t="str">
        <f t="shared" si="19"/>
        <v>Electropolished Pipes Manufacturer &amp; Supplier in Sorab</v>
      </c>
      <c r="AJ1285" s="15" t="str">
        <f t="shared" si="20"/>
        <v>EP-finished SS 304/316L pipes and tubes for VERIFY plants in Sorab. ASME BPE SF1-SF4, Ra from 0.25 um, EN 10204 3.1 certificate with every lot.</v>
      </c>
      <c r="AK1285" s="15" t="str">
        <f t="shared" si="21"/>
        <v>Electropolished stainless steel pipes supplied by Sakshi Forge to VERIFY plants at KIADB Industrial Area, Sorab</v>
      </c>
      <c r="AL1285" s="15" t="str">
        <f t="shared" si="22"/>
        <v>Electropolished SS 316L tube stock for Sorab - Sakshi Forge</v>
      </c>
      <c r="AM1285" s="15" t="str">
        <f t="shared" si="23"/>
        <v>Home &gt; Market Area &gt; India &gt; Karnataka &gt; Sorab</v>
      </c>
      <c r="AN1285" s="15">
        <f t="shared" si="24"/>
        <v>750</v>
      </c>
      <c r="AO1285" s="15">
        <f t="shared" si="25"/>
        <v>6</v>
      </c>
      <c r="AP1285" s="15">
        <f t="shared" si="26"/>
        <v>6</v>
      </c>
      <c r="AQ1285" s="15">
        <f t="shared" si="27"/>
        <v>22</v>
      </c>
      <c r="AR1285" s="31"/>
      <c r="AS1285" s="31"/>
      <c r="AT1285" s="35" t="s">
        <v>222</v>
      </c>
      <c r="AU1285" s="35"/>
    </row>
    <row r="1286" ht="15.75" customHeight="1">
      <c r="A1286" s="15" t="s">
        <v>6565</v>
      </c>
      <c r="B1286" s="15" t="s">
        <v>60</v>
      </c>
      <c r="C1286" s="15" t="s">
        <v>1139</v>
      </c>
      <c r="D1286" s="15" t="s">
        <v>6566</v>
      </c>
      <c r="E1286" s="15" t="s">
        <v>6566</v>
      </c>
      <c r="F1286" s="58" t="s">
        <v>807</v>
      </c>
      <c r="G1286" s="66" t="s">
        <v>98</v>
      </c>
      <c r="H1286" s="18" t="s">
        <v>6568</v>
      </c>
      <c r="I1286" s="18" t="s">
        <v>8410</v>
      </c>
      <c r="J1286" s="18" t="s">
        <v>98</v>
      </c>
      <c r="K1286" s="18" t="s">
        <v>98</v>
      </c>
      <c r="L1286" s="18" t="s">
        <v>98</v>
      </c>
      <c r="M1286" s="18" t="s">
        <v>98</v>
      </c>
      <c r="N1286" s="18" t="s">
        <v>98</v>
      </c>
      <c r="O1286" s="18" t="s">
        <v>98</v>
      </c>
      <c r="P1286" s="15" t="str">
        <f t="shared" si="1"/>
        <v>VERIFY</v>
      </c>
      <c r="Q1286" s="15">
        <f t="shared" si="2"/>
        <v>3</v>
      </c>
      <c r="R1286" s="15">
        <f t="shared" si="3"/>
        <v>2</v>
      </c>
      <c r="S1286" s="15">
        <f t="shared" si="4"/>
        <v>3</v>
      </c>
      <c r="T1286" s="15" t="str">
        <f t="shared" si="5"/>
        <v>C-5</v>
      </c>
      <c r="U1286" s="15" t="str">
        <f t="shared" si="6"/>
        <v>T3-M2-H3-FC-5-VERIFY</v>
      </c>
      <c r="V1286" s="15">
        <f t="shared" si="7"/>
        <v>0</v>
      </c>
      <c r="W1286" s="31"/>
      <c r="X1286" s="15" t="str">
        <f t="shared" si="8"/>
        <v>srinagar-uk</v>
      </c>
      <c r="Y1286" s="32" t="str">
        <f t="shared" si="9"/>
        <v>https://steelmanufacturer.in/market-area/electropolished-pipes-manufacturer-in-srinagar-uk/</v>
      </c>
      <c r="Z1286" s="15" t="str">
        <f t="shared" si="10"/>
        <v>Electropolished Pipes Manufacturer in Srinagar-UK</v>
      </c>
      <c r="AA1286" s="15" t="str">
        <f t="shared" si="11"/>
        <v>OK (49)</v>
      </c>
      <c r="AB1286" s="15" t="str">
        <f t="shared" si="12"/>
        <v>Electropolished tube supply to SIIDCUL Industrial Area, Srinagar-UK. Ra from 0.25 um, SF4 finish, mill test certificate with every lot.</v>
      </c>
      <c r="AC1286" s="15" t="str">
        <f t="shared" si="13"/>
        <v>PENDING RESEARCH</v>
      </c>
      <c r="AD1286" s="15" t="str">
        <f t="shared" si="14"/>
        <v>Electropolished Pipes Manufacturer in Srinagar-UK</v>
      </c>
      <c r="AE1286" s="15" t="str">
        <f t="shared" si="15"/>
        <v>Electropolished Pipes Manufacturer in Srinagar-UK - Our Process &amp; Capability</v>
      </c>
      <c r="AF1286" s="15" t="str">
        <f t="shared" si="16"/>
        <v>Electropolished Pipes Supplier in Srinagar-UK - What We Hold in Stock</v>
      </c>
      <c r="AG1286" s="15" t="str">
        <f t="shared" si="17"/>
        <v>Bulk &amp; Wholesale Electropolished Pipe Rates for Srinagar-UK Buyers</v>
      </c>
      <c r="AH1286" s="15" t="str">
        <f t="shared" si="18"/>
        <v>electropolished pipes manufacturer in Srinagar-UK, electropolished pipes supplier in Srinagar-UK, electropolished pipes wholesaler in Srinagar-UK, electropolished tube manufacturer Srinagar-UK, EP pipe supplier Srinagar-UK, sanitary tube supplier Srinagar-UK, ASME BPE tubing Srinagar-UK, ASTM A270 tube Srinagar-UK, SS 316L electropolished pipe Srinagar-UK</v>
      </c>
      <c r="AI1286" s="15" t="str">
        <f t="shared" si="19"/>
        <v>Electropolished Pipes Manufacturer &amp; Supplier in Srinagar-UK</v>
      </c>
      <c r="AJ1286" s="15" t="str">
        <f t="shared" si="20"/>
        <v>EP-finished SS 304/316L pipes and tubes for VERIFY plants in Srinagar-UK. ASME BPE SF1-SF4, Ra from 0.25 um, EN 10204 3.1 certificate with every lot.</v>
      </c>
      <c r="AK1286" s="15" t="str">
        <f t="shared" si="21"/>
        <v>Electropolished stainless steel pipes supplied by Sakshi Forge to VERIFY plants at SIIDCUL Industrial Area, Srinagar-UK</v>
      </c>
      <c r="AL1286" s="15" t="str">
        <f t="shared" si="22"/>
        <v>Electropolished SS 316L tube stock for Srinagar-UK - Sakshi Forge</v>
      </c>
      <c r="AM1286" s="15" t="str">
        <f t="shared" si="23"/>
        <v>Home &gt; Market Area &gt; India &gt; Uttarakhand &gt; Srinagar-UK</v>
      </c>
      <c r="AN1286" s="15">
        <f t="shared" si="24"/>
        <v>750</v>
      </c>
      <c r="AO1286" s="15">
        <f t="shared" si="25"/>
        <v>6</v>
      </c>
      <c r="AP1286" s="15">
        <f t="shared" si="26"/>
        <v>6</v>
      </c>
      <c r="AQ1286" s="15">
        <f t="shared" si="27"/>
        <v>22</v>
      </c>
      <c r="AR1286" s="31"/>
      <c r="AS1286" s="31"/>
      <c r="AT1286" s="35" t="s">
        <v>222</v>
      </c>
      <c r="AU1286" s="35"/>
    </row>
    <row r="1287" ht="15.75" customHeight="1">
      <c r="A1287" s="15" t="s">
        <v>6569</v>
      </c>
      <c r="B1287" s="15" t="s">
        <v>60</v>
      </c>
      <c r="C1287" s="15" t="s">
        <v>570</v>
      </c>
      <c r="D1287" s="15" t="s">
        <v>6570</v>
      </c>
      <c r="E1287" s="15" t="s">
        <v>6570</v>
      </c>
      <c r="F1287" s="58" t="s">
        <v>807</v>
      </c>
      <c r="G1287" s="66" t="s">
        <v>98</v>
      </c>
      <c r="H1287" s="18" t="s">
        <v>6573</v>
      </c>
      <c r="I1287" s="18" t="s">
        <v>8405</v>
      </c>
      <c r="J1287" s="18" t="s">
        <v>98</v>
      </c>
      <c r="K1287" s="18" t="s">
        <v>98</v>
      </c>
      <c r="L1287" s="18" t="s">
        <v>98</v>
      </c>
      <c r="M1287" s="18" t="s">
        <v>98</v>
      </c>
      <c r="N1287" s="18" t="s">
        <v>98</v>
      </c>
      <c r="O1287" s="18" t="s">
        <v>98</v>
      </c>
      <c r="P1287" s="15" t="str">
        <f t="shared" si="1"/>
        <v>VERIFY</v>
      </c>
      <c r="Q1287" s="15">
        <f t="shared" si="2"/>
        <v>4</v>
      </c>
      <c r="R1287" s="15">
        <f t="shared" si="3"/>
        <v>3</v>
      </c>
      <c r="S1287" s="15">
        <f t="shared" si="4"/>
        <v>4</v>
      </c>
      <c r="T1287" s="15" t="str">
        <f t="shared" si="5"/>
        <v>C-6</v>
      </c>
      <c r="U1287" s="15" t="str">
        <f t="shared" si="6"/>
        <v>T4-M3-H4-FC-6-VERIFY</v>
      </c>
      <c r="V1287" s="15">
        <f t="shared" si="7"/>
        <v>0</v>
      </c>
      <c r="W1287" s="31"/>
      <c r="X1287" s="15" t="str">
        <f t="shared" si="8"/>
        <v>srirangapatna</v>
      </c>
      <c r="Y1287" s="32" t="str">
        <f t="shared" si="9"/>
        <v>https://steelmanufacturer.in/market-area/electropolished-pipes-manufacturer-in-srirangapatna/</v>
      </c>
      <c r="Z1287" s="15" t="str">
        <f t="shared" si="10"/>
        <v>Electropolished Pipes Manufacturer in Srirangapatna</v>
      </c>
      <c r="AA1287" s="15" t="str">
        <f t="shared" si="11"/>
        <v>OK (51)</v>
      </c>
      <c r="AB1287" s="15" t="str">
        <f t="shared" si="12"/>
        <v>EP stainless tube for VERIFY lines in Srirangapatna. VERIFY. ASTM A270 S2, PMI tested, EN 10204 3.1.</v>
      </c>
      <c r="AC1287" s="15" t="str">
        <f t="shared" si="13"/>
        <v>PENDING RESEARCH</v>
      </c>
      <c r="AD1287" s="15" t="str">
        <f t="shared" si="14"/>
        <v>Electropolished Pipes Manufacturer in Srirangapatna</v>
      </c>
      <c r="AE1287" s="15" t="str">
        <f t="shared" si="15"/>
        <v>Manufacturing Electropolished SS Tube for Srirangapatna: The Standards We Build To</v>
      </c>
      <c r="AF1287" s="15" t="str">
        <f t="shared" si="16"/>
        <v>Electropolished Pipe Supply Into Srirangapatna - Certification &amp; Transit</v>
      </c>
      <c r="AG1287" s="15" t="str">
        <f t="shared" si="17"/>
        <v>Electropolished Pipes Wholesaler in Srirangapatna - Project Quantities &amp; Terms</v>
      </c>
      <c r="AH1287" s="15" t="str">
        <f t="shared" si="18"/>
        <v>electropolished pipes manufacturer in Srirangapatna, electropolished pipes supplier in Srirangapatna, electropolished pipes wholesaler in Srirangapatna, electropolished tube manufacturer Srirangapatna, EP pipe supplier Srirangapatna, sanitary tube supplier Srirangapatna, ASME BPE tubing Srirangapatna, ASTM A270 tube Srirangapatna, SS 316L electropolished pipe Srirangapatna</v>
      </c>
      <c r="AI1287" s="15" t="str">
        <f t="shared" si="19"/>
        <v>Electropolished Pipes Manufacturer &amp; Supplier in Srirangapatna</v>
      </c>
      <c r="AJ1287" s="15" t="str">
        <f t="shared" si="20"/>
        <v>EP-finished SS 304/316L pipes and tubes for VERIFY plants in Srirangapatna. ASME BPE SF1-SF4, Ra from 0.25 um, EN 10204 3.1 certificate with every lot.</v>
      </c>
      <c r="AK1287" s="15" t="str">
        <f t="shared" si="21"/>
        <v>Electropolished stainless steel pipes supplied by Sakshi Forge to VERIFY plants at KIADB Industrial Area, Srirangapatna</v>
      </c>
      <c r="AL1287" s="15" t="str">
        <f t="shared" si="22"/>
        <v>Electropolished SS 316L tube stock for Srirangapatna - Sakshi Forge</v>
      </c>
      <c r="AM1287" s="15" t="str">
        <f t="shared" si="23"/>
        <v>Home &gt; Market Area &gt; India &gt; Karnataka &gt; Srirangapatna</v>
      </c>
      <c r="AN1287" s="15">
        <f t="shared" si="24"/>
        <v>750</v>
      </c>
      <c r="AO1287" s="15">
        <f t="shared" si="25"/>
        <v>6</v>
      </c>
      <c r="AP1287" s="15">
        <f t="shared" si="26"/>
        <v>6</v>
      </c>
      <c r="AQ1287" s="15">
        <f t="shared" si="27"/>
        <v>22</v>
      </c>
      <c r="AR1287" s="31"/>
      <c r="AS1287" s="31"/>
      <c r="AT1287" s="35" t="s">
        <v>222</v>
      </c>
      <c r="AU1287" s="35"/>
    </row>
    <row r="1288" ht="15.75" customHeight="1">
      <c r="A1288" s="15" t="s">
        <v>6576</v>
      </c>
      <c r="B1288" s="15" t="s">
        <v>60</v>
      </c>
      <c r="C1288" s="15" t="s">
        <v>236</v>
      </c>
      <c r="D1288" s="15" t="s">
        <v>6578</v>
      </c>
      <c r="E1288" s="15" t="s">
        <v>6578</v>
      </c>
      <c r="F1288" s="58" t="s">
        <v>807</v>
      </c>
      <c r="G1288" s="66" t="s">
        <v>98</v>
      </c>
      <c r="H1288" s="18" t="s">
        <v>6583</v>
      </c>
      <c r="I1288" s="18" t="s">
        <v>8391</v>
      </c>
      <c r="J1288" s="18" t="s">
        <v>98</v>
      </c>
      <c r="K1288" s="18" t="s">
        <v>98</v>
      </c>
      <c r="L1288" s="18" t="s">
        <v>98</v>
      </c>
      <c r="M1288" s="18" t="s">
        <v>98</v>
      </c>
      <c r="N1288" s="18" t="s">
        <v>98</v>
      </c>
      <c r="O1288" s="18" t="s">
        <v>98</v>
      </c>
      <c r="P1288" s="15" t="str">
        <f t="shared" si="1"/>
        <v>VERIFY</v>
      </c>
      <c r="Q1288" s="15">
        <f t="shared" si="2"/>
        <v>5</v>
      </c>
      <c r="R1288" s="15">
        <f t="shared" si="3"/>
        <v>4</v>
      </c>
      <c r="S1288" s="15">
        <f t="shared" si="4"/>
        <v>5</v>
      </c>
      <c r="T1288" s="15" t="str">
        <f t="shared" si="5"/>
        <v>C-1</v>
      </c>
      <c r="U1288" s="15" t="str">
        <f t="shared" si="6"/>
        <v>T5-M4-H5-FC-1-VERIFY</v>
      </c>
      <c r="V1288" s="15">
        <f t="shared" si="7"/>
        <v>0</v>
      </c>
      <c r="W1288" s="31"/>
      <c r="X1288" s="15" t="str">
        <f t="shared" si="8"/>
        <v>sujangarh</v>
      </c>
      <c r="Y1288" s="32" t="str">
        <f t="shared" si="9"/>
        <v>https://steelmanufacturer.in/market-area/electropolished-pipes-manufacturer-in-sujangarh/</v>
      </c>
      <c r="Z1288" s="15" t="str">
        <f t="shared" si="10"/>
        <v>Electropolished Pipes Manufacturer in Sujangarh</v>
      </c>
      <c r="AA1288" s="15" t="str">
        <f t="shared" si="11"/>
        <v>OK (47)</v>
      </c>
      <c r="AB1288" s="15" t="str">
        <f t="shared" si="12"/>
        <v>Sanitary electropolished pipes in Sujangarh for VERIFY plants. ASME BPE SF1-SF4, orbital-weld ready, 3.1 MTC. Mumbai-made.</v>
      </c>
      <c r="AC1288" s="15" t="str">
        <f t="shared" si="13"/>
        <v>PENDING RESEARCH</v>
      </c>
      <c r="AD1288" s="15" t="str">
        <f t="shared" si="14"/>
        <v>Electropolished Pipes Manufacturer in Sujangarh</v>
      </c>
      <c r="AE1288" s="15" t="str">
        <f t="shared" si="15"/>
        <v>Electropolished Tube Manufacturing Capability Serving Sujangarh</v>
      </c>
      <c r="AF1288" s="15" t="str">
        <f t="shared" si="16"/>
        <v>Electropolished Pipes Supplier in Sujangarh - From Order to Delivery</v>
      </c>
      <c r="AG1288" s="15" t="str">
        <f t="shared" si="17"/>
        <v>Stockist &amp; Wholesale Supply of Electropolished Pipes in Sujangarh</v>
      </c>
      <c r="AH1288" s="15" t="str">
        <f t="shared" si="18"/>
        <v>electropolished pipes manufacturer in Sujangarh, electropolished pipes supplier in Sujangarh, electropolished pipes wholesaler in Sujangarh, electropolished tube manufacturer Sujangarh, EP pipe supplier Sujangarh, sanitary tube supplier Sujangarh, ASME BPE tubing Sujangarh, ASTM A270 tube Sujangarh, SS 316L electropolished pipe Sujangarh</v>
      </c>
      <c r="AI1288" s="15" t="str">
        <f t="shared" si="19"/>
        <v>Electropolished Pipes Manufacturer &amp; Supplier in Sujangarh</v>
      </c>
      <c r="AJ1288" s="15" t="str">
        <f t="shared" si="20"/>
        <v>EP-finished SS 304/316L pipes and tubes for VERIFY plants in Sujangarh. ASME BPE SF1-SF4, Ra from 0.25 um, EN 10204 3.1 certificate with every lot.</v>
      </c>
      <c r="AK1288" s="15" t="str">
        <f t="shared" si="21"/>
        <v>Electropolished stainless steel pipes supplied by Sakshi Forge to VERIFY plants at RIICO Industrial Area, Sujangarh</v>
      </c>
      <c r="AL1288" s="15" t="str">
        <f t="shared" si="22"/>
        <v>Electropolished SS 316L tube stock for Sujangarh - Sakshi Forge</v>
      </c>
      <c r="AM1288" s="15" t="str">
        <f t="shared" si="23"/>
        <v>Home &gt; Market Area &gt; India &gt; Rajasthan &gt; Sujangarh</v>
      </c>
      <c r="AN1288" s="15">
        <f t="shared" si="24"/>
        <v>750</v>
      </c>
      <c r="AO1288" s="15">
        <f t="shared" si="25"/>
        <v>6</v>
      </c>
      <c r="AP1288" s="15">
        <f t="shared" si="26"/>
        <v>6</v>
      </c>
      <c r="AQ1288" s="15">
        <f t="shared" si="27"/>
        <v>22</v>
      </c>
      <c r="AR1288" s="31"/>
      <c r="AS1288" s="31"/>
      <c r="AT1288" s="35" t="s">
        <v>222</v>
      </c>
      <c r="AU1288" s="35"/>
    </row>
    <row r="1289" ht="15.75" customHeight="1">
      <c r="A1289" s="15" t="s">
        <v>6584</v>
      </c>
      <c r="B1289" s="15" t="s">
        <v>60</v>
      </c>
      <c r="C1289" s="15" t="s">
        <v>775</v>
      </c>
      <c r="D1289" s="15" t="s">
        <v>6585</v>
      </c>
      <c r="E1289" s="15" t="s">
        <v>6585</v>
      </c>
      <c r="F1289" s="58" t="s">
        <v>807</v>
      </c>
      <c r="G1289" s="66" t="s">
        <v>98</v>
      </c>
      <c r="H1289" s="18" t="s">
        <v>6587</v>
      </c>
      <c r="I1289" s="18" t="s">
        <v>8399</v>
      </c>
      <c r="J1289" s="18" t="s">
        <v>98</v>
      </c>
      <c r="K1289" s="18" t="s">
        <v>98</v>
      </c>
      <c r="L1289" s="18" t="s">
        <v>98</v>
      </c>
      <c r="M1289" s="18" t="s">
        <v>98</v>
      </c>
      <c r="N1289" s="18" t="s">
        <v>98</v>
      </c>
      <c r="O1289" s="18" t="s">
        <v>98</v>
      </c>
      <c r="P1289" s="15" t="str">
        <f t="shared" si="1"/>
        <v>VERIFY</v>
      </c>
      <c r="Q1289" s="15">
        <f t="shared" si="2"/>
        <v>6</v>
      </c>
      <c r="R1289" s="15">
        <f t="shared" si="3"/>
        <v>5</v>
      </c>
      <c r="S1289" s="15">
        <f t="shared" si="4"/>
        <v>1</v>
      </c>
      <c r="T1289" s="15" t="str">
        <f t="shared" si="5"/>
        <v>C-2</v>
      </c>
      <c r="U1289" s="15" t="str">
        <f t="shared" si="6"/>
        <v>T6-M5-H1-FC-2-VERIFY</v>
      </c>
      <c r="V1289" s="15">
        <f t="shared" si="7"/>
        <v>0</v>
      </c>
      <c r="W1289" s="31"/>
      <c r="X1289" s="15" t="str">
        <f t="shared" si="8"/>
        <v>sukma</v>
      </c>
      <c r="Y1289" s="32" t="str">
        <f t="shared" si="9"/>
        <v>https://steelmanufacturer.in/market-area/electropolished-pipes-manufacturer-in-sukma/</v>
      </c>
      <c r="Z1289" s="15" t="str">
        <f t="shared" si="10"/>
        <v>Electropolished Pipes Manufacturer in Sukma</v>
      </c>
      <c r="AA1289" s="15" t="str">
        <f t="shared" si="11"/>
        <v>OK (43)</v>
      </c>
      <c r="AB1289" s="15" t="str">
        <f t="shared" si="12"/>
        <v>Manufacturer of electropolished SS 316L tube serving Sukma. VERIFY. Ra 0.25-0.5 um, EN 10204 3.1 MTC.</v>
      </c>
      <c r="AC1289" s="15" t="str">
        <f t="shared" si="13"/>
        <v>PENDING RESEARCH</v>
      </c>
      <c r="AD1289" s="15" t="str">
        <f t="shared" si="14"/>
        <v>Electropolished Pipes Manufacturer in Sukma</v>
      </c>
      <c r="AE1289" s="15" t="str">
        <f t="shared" si="15"/>
        <v>Electropolished Pipe &amp; Tube Manufacturing for Sukma - Grades, Finishes &amp; Certification</v>
      </c>
      <c r="AF1289" s="15" t="str">
        <f t="shared" si="16"/>
        <v>Electropolished Pipes Supplier in Sukma - Stock Sizes, Lead Time &amp; Delivery</v>
      </c>
      <c r="AG1289" s="15" t="str">
        <f t="shared" si="17"/>
        <v>Electropolished Pipes Wholesaler &amp; Stockist in Sukma - Bulk &amp; Project Pricing</v>
      </c>
      <c r="AH1289" s="15" t="str">
        <f t="shared" si="18"/>
        <v>electropolished pipes manufacturer in Sukma, electropolished pipes supplier in Sukma, electropolished pipes wholesaler in Sukma, electropolished tube manufacturer Sukma, EP pipe supplier Sukma, sanitary tube supplier Sukma, ASME BPE tubing Sukma, ASTM A270 tube Sukma, SS 316L electropolished pipe Sukma</v>
      </c>
      <c r="AI1289" s="15" t="str">
        <f t="shared" si="19"/>
        <v>Electropolished Pipes Manufacturer &amp; Supplier in Sukma</v>
      </c>
      <c r="AJ1289" s="15" t="str">
        <f t="shared" si="20"/>
        <v>EP-finished SS 304/316L pipes and tubes for VERIFY plants in Sukma. ASME BPE SF1-SF4, Ra from 0.25 um, EN 10204 3.1 certificate with every lot.</v>
      </c>
      <c r="AK1289" s="15" t="str">
        <f t="shared" si="21"/>
        <v>Electropolished stainless steel pipes supplied by Sakshi Forge to VERIFY plants at CSIDC Industrial Area, Sukma</v>
      </c>
      <c r="AL1289" s="15" t="str">
        <f t="shared" si="22"/>
        <v>Electropolished SS 316L tube stock for Sukma - Sakshi Forge</v>
      </c>
      <c r="AM1289" s="15" t="str">
        <f t="shared" si="23"/>
        <v>Home &gt; Market Area &gt; India &gt; Chhattisgarh &gt; Sukma</v>
      </c>
      <c r="AN1289" s="15">
        <f t="shared" si="24"/>
        <v>750</v>
      </c>
      <c r="AO1289" s="15">
        <f t="shared" si="25"/>
        <v>6</v>
      </c>
      <c r="AP1289" s="15">
        <f t="shared" si="26"/>
        <v>6</v>
      </c>
      <c r="AQ1289" s="15">
        <f t="shared" si="27"/>
        <v>22</v>
      </c>
      <c r="AR1289" s="31"/>
      <c r="AS1289" s="31"/>
      <c r="AT1289" s="35" t="s">
        <v>222</v>
      </c>
      <c r="AU1289" s="35"/>
    </row>
    <row r="1290" ht="15.75" customHeight="1">
      <c r="A1290" s="15" t="s">
        <v>6588</v>
      </c>
      <c r="B1290" s="15" t="s">
        <v>60</v>
      </c>
      <c r="C1290" s="15" t="s">
        <v>775</v>
      </c>
      <c r="D1290" s="15" t="s">
        <v>6589</v>
      </c>
      <c r="E1290" s="15" t="s">
        <v>6589</v>
      </c>
      <c r="F1290" s="58" t="s">
        <v>807</v>
      </c>
      <c r="G1290" s="66" t="s">
        <v>98</v>
      </c>
      <c r="H1290" s="18" t="s">
        <v>6591</v>
      </c>
      <c r="I1290" s="18" t="s">
        <v>8399</v>
      </c>
      <c r="J1290" s="18" t="s">
        <v>98</v>
      </c>
      <c r="K1290" s="18" t="s">
        <v>98</v>
      </c>
      <c r="L1290" s="18" t="s">
        <v>98</v>
      </c>
      <c r="M1290" s="18" t="s">
        <v>98</v>
      </c>
      <c r="N1290" s="18" t="s">
        <v>98</v>
      </c>
      <c r="O1290" s="18" t="s">
        <v>98</v>
      </c>
      <c r="P1290" s="15" t="str">
        <f t="shared" si="1"/>
        <v>VERIFY</v>
      </c>
      <c r="Q1290" s="15">
        <f t="shared" si="2"/>
        <v>7</v>
      </c>
      <c r="R1290" s="15">
        <f t="shared" si="3"/>
        <v>6</v>
      </c>
      <c r="S1290" s="15">
        <f t="shared" si="4"/>
        <v>2</v>
      </c>
      <c r="T1290" s="15" t="str">
        <f t="shared" si="5"/>
        <v>C-3</v>
      </c>
      <c r="U1290" s="15" t="str">
        <f t="shared" si="6"/>
        <v>T7-M6-H2-FC-3-VERIFY</v>
      </c>
      <c r="V1290" s="15">
        <f t="shared" si="7"/>
        <v>0</v>
      </c>
      <c r="W1290" s="31"/>
      <c r="X1290" s="15" t="str">
        <f t="shared" si="8"/>
        <v>surajpur</v>
      </c>
      <c r="Y1290" s="32" t="str">
        <f t="shared" si="9"/>
        <v>https://steelmanufacturer.in/market-area/electropolished-pipes-manufacturer-in-surajpur/</v>
      </c>
      <c r="Z1290" s="15" t="str">
        <f t="shared" si="10"/>
        <v>Electropolished Pipes Manufacturer in Surajpur | ASME BPE SF1-SF4</v>
      </c>
      <c r="AA1290" s="15" t="str">
        <f t="shared" si="11"/>
        <v>OK (65)</v>
      </c>
      <c r="AB1290" s="15" t="str">
        <f t="shared" si="12"/>
        <v>EP tube and pipe for VERIFY plants around CSIDC Industrial Area, Surajpur. Made at our Mumbai works to ASTM A270 and ASME BPE SF1-SF4, with 3.1 MTC.</v>
      </c>
      <c r="AC1290" s="15" t="str">
        <f t="shared" si="13"/>
        <v>PENDING RESEARCH</v>
      </c>
      <c r="AD1290" s="15" t="str">
        <f t="shared" si="14"/>
        <v>Electropolished Pipes Manufacturer in Surajpur</v>
      </c>
      <c r="AE1290" s="15" t="str">
        <f t="shared" si="15"/>
        <v>How We Manufacture Electropolished Tube for Surajpur Plants</v>
      </c>
      <c r="AF1290" s="15" t="str">
        <f t="shared" si="16"/>
        <v>Supplying Electropolished Pipes in Surajpur: Availability, Sizes &amp; Dispatch</v>
      </c>
      <c r="AG1290" s="15" t="str">
        <f t="shared" si="17"/>
        <v>Wholesale Electropolished Pipe Supply for Surajpur Projects</v>
      </c>
      <c r="AH1290" s="15" t="str">
        <f t="shared" si="18"/>
        <v>electropolished pipes manufacturer in Surajpur, electropolished pipes supplier in Surajpur, electropolished pipes wholesaler in Surajpur, electropolished tube manufacturer Surajpur, EP pipe supplier Surajpur, sanitary tube supplier Surajpur, ASME BPE tubing Surajpur, ASTM A270 tube Surajpur, SS 316L electropolished pipe Surajpur</v>
      </c>
      <c r="AI1290" s="15" t="str">
        <f t="shared" si="19"/>
        <v>Electropolished Pipes Manufacturer &amp; Supplier in Surajpur</v>
      </c>
      <c r="AJ1290" s="15" t="str">
        <f t="shared" si="20"/>
        <v>EP-finished SS 304/316L pipes and tubes for VERIFY plants in Surajpur. ASME BPE SF1-SF4, Ra from 0.25 um, EN 10204 3.1 certificate with every lot.</v>
      </c>
      <c r="AK1290" s="15" t="str">
        <f t="shared" si="21"/>
        <v>Electropolished stainless steel pipes supplied by Sakshi Forge to VERIFY plants at CSIDC Industrial Area, Surajpur</v>
      </c>
      <c r="AL1290" s="15" t="str">
        <f t="shared" si="22"/>
        <v>Electropolished SS 316L tube stock for Surajpur - Sakshi Forge</v>
      </c>
      <c r="AM1290" s="15" t="str">
        <f t="shared" si="23"/>
        <v>Home &gt; Market Area &gt; India &gt; Chhattisgarh &gt; Surajpur</v>
      </c>
      <c r="AN1290" s="15">
        <f t="shared" si="24"/>
        <v>750</v>
      </c>
      <c r="AO1290" s="15">
        <f t="shared" si="25"/>
        <v>6</v>
      </c>
      <c r="AP1290" s="15">
        <f t="shared" si="26"/>
        <v>6</v>
      </c>
      <c r="AQ1290" s="15">
        <f t="shared" si="27"/>
        <v>22</v>
      </c>
      <c r="AR1290" s="31"/>
      <c r="AS1290" s="31"/>
      <c r="AT1290" s="35" t="s">
        <v>222</v>
      </c>
      <c r="AU1290" s="35"/>
    </row>
    <row r="1291" ht="15.75" customHeight="1">
      <c r="A1291" s="15" t="s">
        <v>6592</v>
      </c>
      <c r="B1291" s="15" t="s">
        <v>60</v>
      </c>
      <c r="C1291" s="15" t="s">
        <v>1165</v>
      </c>
      <c r="D1291" s="15" t="s">
        <v>6593</v>
      </c>
      <c r="E1291" s="15" t="s">
        <v>6593</v>
      </c>
      <c r="F1291" s="58" t="s">
        <v>807</v>
      </c>
      <c r="G1291" s="66" t="s">
        <v>98</v>
      </c>
      <c r="H1291" s="18" t="s">
        <v>6595</v>
      </c>
      <c r="I1291" s="18" t="s">
        <v>8404</v>
      </c>
      <c r="J1291" s="18" t="s">
        <v>98</v>
      </c>
      <c r="K1291" s="18" t="s">
        <v>98</v>
      </c>
      <c r="L1291" s="18" t="s">
        <v>98</v>
      </c>
      <c r="M1291" s="18" t="s">
        <v>98</v>
      </c>
      <c r="N1291" s="18" t="s">
        <v>98</v>
      </c>
      <c r="O1291" s="18" t="s">
        <v>98</v>
      </c>
      <c r="P1291" s="15" t="str">
        <f t="shared" si="1"/>
        <v>VERIFY</v>
      </c>
      <c r="Q1291" s="15">
        <f t="shared" si="2"/>
        <v>8</v>
      </c>
      <c r="R1291" s="15">
        <f t="shared" si="3"/>
        <v>7</v>
      </c>
      <c r="S1291" s="15">
        <f t="shared" si="4"/>
        <v>3</v>
      </c>
      <c r="T1291" s="15" t="str">
        <f t="shared" si="5"/>
        <v>C-4</v>
      </c>
      <c r="U1291" s="15" t="str">
        <f t="shared" si="6"/>
        <v>T8-M7-H3-FC-4-VERIFY</v>
      </c>
      <c r="V1291" s="15">
        <f t="shared" si="7"/>
        <v>0</v>
      </c>
      <c r="W1291" s="31"/>
      <c r="X1291" s="15" t="str">
        <f t="shared" si="8"/>
        <v>suri</v>
      </c>
      <c r="Y1291" s="32" t="str">
        <f t="shared" si="9"/>
        <v>https://steelmanufacturer.in/market-area/electropolished-pipes-manufacturer-in-suri/</v>
      </c>
      <c r="Z1291" s="15" t="str">
        <f t="shared" si="10"/>
        <v>Electropolished Pipes Manufacturer in Suri - EP Tube Stockist</v>
      </c>
      <c r="AA1291" s="15" t="str">
        <f t="shared" si="11"/>
        <v>OK (61)</v>
      </c>
      <c r="AB1291" s="15" t="str">
        <f t="shared" si="12"/>
        <v>Electropolished pipes in Suri: 304, 304L, 316 and 316L in SF1-SF4. VERIFY. Mill certified.</v>
      </c>
      <c r="AC1291" s="15" t="str">
        <f t="shared" si="13"/>
        <v>PENDING RESEARCH</v>
      </c>
      <c r="AD1291" s="15" t="str">
        <f t="shared" si="14"/>
        <v>Electropolished Pipes Manufacturer in Suri</v>
      </c>
      <c r="AE1291" s="15" t="str">
        <f t="shared" si="15"/>
        <v>Electropolished Pipes Manufacturer in Suri - Our Process &amp; Capability</v>
      </c>
      <c r="AF1291" s="15" t="str">
        <f t="shared" si="16"/>
        <v>Electropolished Pipes Supplier in Suri - What We Hold in Stock</v>
      </c>
      <c r="AG1291" s="15" t="str">
        <f t="shared" si="17"/>
        <v>Bulk &amp; Wholesale Electropolished Pipe Rates for Suri Buyers</v>
      </c>
      <c r="AH1291" s="15" t="str">
        <f t="shared" si="18"/>
        <v>electropolished pipes manufacturer in Suri, electropolished pipes supplier in Suri, electropolished pipes wholesaler in Suri, electropolished tube manufacturer Suri, EP pipe supplier Suri, sanitary tube supplier Suri, ASME BPE tubing Suri, ASTM A270 tube Suri, SS 316L electropolished pipe Suri</v>
      </c>
      <c r="AI1291" s="15" t="str">
        <f t="shared" si="19"/>
        <v>Electropolished Pipes Manufacturer &amp; Supplier in Suri</v>
      </c>
      <c r="AJ1291" s="15" t="str">
        <f t="shared" si="20"/>
        <v>EP-finished SS 304/316L pipes and tubes for VERIFY plants in Suri. ASME BPE SF1-SF4, Ra from 0.25 um, EN 10204 3.1 certificate with every lot.</v>
      </c>
      <c r="AK1291" s="15" t="str">
        <f t="shared" si="21"/>
        <v>Electropolished stainless steel pipes supplied by Sakshi Forge to VERIFY plants at WBIDC Industrial Area, Suri</v>
      </c>
      <c r="AL1291" s="15" t="str">
        <f t="shared" si="22"/>
        <v>Electropolished SS 316L tube stock for Suri - Sakshi Forge</v>
      </c>
      <c r="AM1291" s="15" t="str">
        <f t="shared" si="23"/>
        <v>Home &gt; Market Area &gt; India &gt; West Bengal &gt; Suri</v>
      </c>
      <c r="AN1291" s="15">
        <f t="shared" si="24"/>
        <v>750</v>
      </c>
      <c r="AO1291" s="15">
        <f t="shared" si="25"/>
        <v>6</v>
      </c>
      <c r="AP1291" s="15">
        <f t="shared" si="26"/>
        <v>6</v>
      </c>
      <c r="AQ1291" s="15">
        <f t="shared" si="27"/>
        <v>22</v>
      </c>
      <c r="AR1291" s="31"/>
      <c r="AS1291" s="31"/>
      <c r="AT1291" s="35" t="s">
        <v>222</v>
      </c>
      <c r="AU1291" s="35"/>
    </row>
    <row r="1292" ht="15.75" customHeight="1">
      <c r="A1292" s="15" t="s">
        <v>6596</v>
      </c>
      <c r="B1292" s="15" t="s">
        <v>60</v>
      </c>
      <c r="C1292" s="15" t="s">
        <v>424</v>
      </c>
      <c r="D1292" s="15" t="s">
        <v>6597</v>
      </c>
      <c r="E1292" s="15" t="s">
        <v>6597</v>
      </c>
      <c r="F1292" s="58" t="s">
        <v>807</v>
      </c>
      <c r="G1292" s="66" t="s">
        <v>98</v>
      </c>
      <c r="H1292" s="18" t="s">
        <v>6599</v>
      </c>
      <c r="I1292" s="18" t="s">
        <v>8406</v>
      </c>
      <c r="J1292" s="18" t="s">
        <v>98</v>
      </c>
      <c r="K1292" s="18" t="s">
        <v>98</v>
      </c>
      <c r="L1292" s="18" t="s">
        <v>98</v>
      </c>
      <c r="M1292" s="18" t="s">
        <v>98</v>
      </c>
      <c r="N1292" s="18" t="s">
        <v>98</v>
      </c>
      <c r="O1292" s="18" t="s">
        <v>98</v>
      </c>
      <c r="P1292" s="15" t="str">
        <f t="shared" si="1"/>
        <v>VERIFY</v>
      </c>
      <c r="Q1292" s="15">
        <f t="shared" si="2"/>
        <v>1</v>
      </c>
      <c r="R1292" s="15">
        <f t="shared" si="3"/>
        <v>1</v>
      </c>
      <c r="S1292" s="15">
        <f t="shared" si="4"/>
        <v>4</v>
      </c>
      <c r="T1292" s="15" t="str">
        <f t="shared" si="5"/>
        <v>C-5</v>
      </c>
      <c r="U1292" s="15" t="str">
        <f t="shared" si="6"/>
        <v>T1-M1-H4-FC-5-VERIFY</v>
      </c>
      <c r="V1292" s="15">
        <f t="shared" si="7"/>
        <v>0</v>
      </c>
      <c r="W1292" s="31"/>
      <c r="X1292" s="15" t="str">
        <f t="shared" si="8"/>
        <v>talcher</v>
      </c>
      <c r="Y1292" s="32" t="str">
        <f t="shared" si="9"/>
        <v>https://steelmanufacturer.in/market-area/electropolished-pipes-manufacturer-in-talcher/</v>
      </c>
      <c r="Z1292" s="15" t="str">
        <f t="shared" si="10"/>
        <v>Electropolished Pipes Manufacturer in Talcher | Sakshi Forge</v>
      </c>
      <c r="AA1292" s="15" t="str">
        <f t="shared" si="11"/>
        <v>OK (60)</v>
      </c>
      <c r="AB1292" s="15" t="str">
        <f t="shared" si="12"/>
        <v>EP-finished SS 304/316L pipes &amp; tubes for VERIFY plants in Talcher. ASTM A270, ASME BPE SF1-SF4, EN 10204 3.1 MTC. PMI tested.</v>
      </c>
      <c r="AC1292" s="15" t="str">
        <f t="shared" si="13"/>
        <v>PENDING RESEARCH</v>
      </c>
      <c r="AD1292" s="15" t="str">
        <f t="shared" si="14"/>
        <v>Electropolished Pipes Manufacturer in Talcher</v>
      </c>
      <c r="AE1292" s="15" t="str">
        <f t="shared" si="15"/>
        <v>Manufacturing Electropolished SS Tube for Talcher: The Standards We Build To</v>
      </c>
      <c r="AF1292" s="15" t="str">
        <f t="shared" si="16"/>
        <v>Electropolished Pipe Supply Into Talcher - Certification &amp; Transit</v>
      </c>
      <c r="AG1292" s="15" t="str">
        <f t="shared" si="17"/>
        <v>Electropolished Pipes Wholesaler in Talcher - Project Quantities &amp; Terms</v>
      </c>
      <c r="AH1292" s="15" t="str">
        <f t="shared" si="18"/>
        <v>electropolished pipes manufacturer in Talcher, electropolished pipes supplier in Talcher, electropolished pipes wholesaler in Talcher, electropolished tube manufacturer Talcher, EP pipe supplier Talcher, sanitary tube supplier Talcher, ASME BPE tubing Talcher, ASTM A270 tube Talcher, SS 316L electropolished pipe Talcher</v>
      </c>
      <c r="AI1292" s="15" t="str">
        <f t="shared" si="19"/>
        <v>Electropolished Pipes Manufacturer &amp; Supplier in Talcher</v>
      </c>
      <c r="AJ1292" s="15" t="str">
        <f t="shared" si="20"/>
        <v>EP-finished SS 304/316L pipes and tubes for VERIFY plants in Talcher. ASME BPE SF1-SF4, Ra from 0.25 um, EN 10204 3.1 certificate with every lot.</v>
      </c>
      <c r="AK1292" s="15" t="str">
        <f t="shared" si="21"/>
        <v>Electropolished stainless steel pipes supplied by Sakshi Forge to VERIFY plants at IDCO Industrial Area, Talcher</v>
      </c>
      <c r="AL1292" s="15" t="str">
        <f t="shared" si="22"/>
        <v>Electropolished SS 316L tube stock for Talcher - Sakshi Forge</v>
      </c>
      <c r="AM1292" s="15" t="str">
        <f t="shared" si="23"/>
        <v>Home &gt; Market Area &gt; India &gt; Odisha &gt; Talcher</v>
      </c>
      <c r="AN1292" s="15">
        <f t="shared" si="24"/>
        <v>750</v>
      </c>
      <c r="AO1292" s="15">
        <f t="shared" si="25"/>
        <v>6</v>
      </c>
      <c r="AP1292" s="15">
        <f t="shared" si="26"/>
        <v>6</v>
      </c>
      <c r="AQ1292" s="15">
        <f t="shared" si="27"/>
        <v>22</v>
      </c>
      <c r="AR1292" s="31"/>
      <c r="AS1292" s="31"/>
      <c r="AT1292" s="35" t="s">
        <v>222</v>
      </c>
      <c r="AU1292" s="35"/>
    </row>
    <row r="1293" ht="15.75" customHeight="1">
      <c r="A1293" s="15" t="s">
        <v>6600</v>
      </c>
      <c r="B1293" s="15" t="s">
        <v>60</v>
      </c>
      <c r="C1293" s="15" t="s">
        <v>236</v>
      </c>
      <c r="D1293" s="15" t="s">
        <v>6601</v>
      </c>
      <c r="E1293" s="15" t="s">
        <v>6601</v>
      </c>
      <c r="F1293" s="58" t="s">
        <v>807</v>
      </c>
      <c r="G1293" s="66" t="s">
        <v>98</v>
      </c>
      <c r="H1293" s="18" t="s">
        <v>6603</v>
      </c>
      <c r="I1293" s="18" t="s">
        <v>8391</v>
      </c>
      <c r="J1293" s="18" t="s">
        <v>98</v>
      </c>
      <c r="K1293" s="18" t="s">
        <v>98</v>
      </c>
      <c r="L1293" s="18" t="s">
        <v>98</v>
      </c>
      <c r="M1293" s="18" t="s">
        <v>98</v>
      </c>
      <c r="N1293" s="18" t="s">
        <v>98</v>
      </c>
      <c r="O1293" s="18" t="s">
        <v>98</v>
      </c>
      <c r="P1293" s="15" t="str">
        <f t="shared" si="1"/>
        <v>VERIFY</v>
      </c>
      <c r="Q1293" s="15">
        <f t="shared" si="2"/>
        <v>2</v>
      </c>
      <c r="R1293" s="15">
        <f t="shared" si="3"/>
        <v>2</v>
      </c>
      <c r="S1293" s="15">
        <f t="shared" si="4"/>
        <v>5</v>
      </c>
      <c r="T1293" s="15" t="str">
        <f t="shared" si="5"/>
        <v>C-6</v>
      </c>
      <c r="U1293" s="15" t="str">
        <f t="shared" si="6"/>
        <v>T2-M2-H5-FC-6-VERIFY</v>
      </c>
      <c r="V1293" s="15">
        <f t="shared" si="7"/>
        <v>0</v>
      </c>
      <c r="W1293" s="31"/>
      <c r="X1293" s="15" t="str">
        <f t="shared" si="8"/>
        <v>taranagar</v>
      </c>
      <c r="Y1293" s="32" t="str">
        <f t="shared" si="9"/>
        <v>https://steelmanufacturer.in/market-area/electropolished-pipes-manufacturer-in-taranagar/</v>
      </c>
      <c r="Z1293" s="15" t="str">
        <f t="shared" si="10"/>
        <v>Electropolished Pipes Manufacturer in Taranagar</v>
      </c>
      <c r="AA1293" s="15" t="str">
        <f t="shared" si="11"/>
        <v>OK (47)</v>
      </c>
      <c r="AB1293" s="15" t="str">
        <f t="shared" si="12"/>
        <v>Electropolished tube supply to RIICO Industrial Area, Taranagar. Ra from 0.25 um, SF4 finish, mill test certificate with every lot.</v>
      </c>
      <c r="AC1293" s="15" t="str">
        <f t="shared" si="13"/>
        <v>PENDING RESEARCH</v>
      </c>
      <c r="AD1293" s="15" t="str">
        <f t="shared" si="14"/>
        <v>Electropolished Pipes Manufacturer in Taranagar</v>
      </c>
      <c r="AE1293" s="15" t="str">
        <f t="shared" si="15"/>
        <v>Electropolished Tube Manufacturing Capability Serving Taranagar</v>
      </c>
      <c r="AF1293" s="15" t="str">
        <f t="shared" si="16"/>
        <v>Electropolished Pipes Supplier in Taranagar - From Order to Delivery</v>
      </c>
      <c r="AG1293" s="15" t="str">
        <f t="shared" si="17"/>
        <v>Stockist &amp; Wholesale Supply of Electropolished Pipes in Taranagar</v>
      </c>
      <c r="AH1293" s="15" t="str">
        <f t="shared" si="18"/>
        <v>electropolished pipes manufacturer in Taranagar, electropolished pipes supplier in Taranagar, electropolished pipes wholesaler in Taranagar, electropolished tube manufacturer Taranagar, EP pipe supplier Taranagar, sanitary tube supplier Taranagar, ASME BPE tubing Taranagar, ASTM A270 tube Taranagar, SS 316L electropolished pipe Taranagar</v>
      </c>
      <c r="AI1293" s="15" t="str">
        <f t="shared" si="19"/>
        <v>Electropolished Pipes Manufacturer &amp; Supplier in Taranagar</v>
      </c>
      <c r="AJ1293" s="15" t="str">
        <f t="shared" si="20"/>
        <v>EP-finished SS 304/316L pipes and tubes for VERIFY plants in Taranagar. ASME BPE SF1-SF4, Ra from 0.25 um, EN 10204 3.1 certificate with every lot.</v>
      </c>
      <c r="AK1293" s="15" t="str">
        <f t="shared" si="21"/>
        <v>Electropolished stainless steel pipes supplied by Sakshi Forge to VERIFY plants at RIICO Industrial Area, Taranagar</v>
      </c>
      <c r="AL1293" s="15" t="str">
        <f t="shared" si="22"/>
        <v>Electropolished SS 316L tube stock for Taranagar - Sakshi Forge</v>
      </c>
      <c r="AM1293" s="15" t="str">
        <f t="shared" si="23"/>
        <v>Home &gt; Market Area &gt; India &gt; Rajasthan &gt; Taranagar</v>
      </c>
      <c r="AN1293" s="15">
        <f t="shared" si="24"/>
        <v>750</v>
      </c>
      <c r="AO1293" s="15">
        <f t="shared" si="25"/>
        <v>6</v>
      </c>
      <c r="AP1293" s="15">
        <f t="shared" si="26"/>
        <v>6</v>
      </c>
      <c r="AQ1293" s="15">
        <f t="shared" si="27"/>
        <v>22</v>
      </c>
      <c r="AR1293" s="31"/>
      <c r="AS1293" s="31"/>
      <c r="AT1293" s="35" t="s">
        <v>222</v>
      </c>
      <c r="AU1293" s="35"/>
    </row>
    <row r="1294" ht="15.75" customHeight="1">
      <c r="A1294" s="15" t="s">
        <v>6604</v>
      </c>
      <c r="B1294" s="15" t="s">
        <v>60</v>
      </c>
      <c r="C1294" s="15" t="s">
        <v>570</v>
      </c>
      <c r="D1294" s="15" t="s">
        <v>6605</v>
      </c>
      <c r="E1294" s="15" t="s">
        <v>6605</v>
      </c>
      <c r="F1294" s="58" t="s">
        <v>807</v>
      </c>
      <c r="G1294" s="66" t="s">
        <v>98</v>
      </c>
      <c r="H1294" s="18" t="s">
        <v>6607</v>
      </c>
      <c r="I1294" s="18" t="s">
        <v>8405</v>
      </c>
      <c r="J1294" s="18" t="s">
        <v>98</v>
      </c>
      <c r="K1294" s="18" t="s">
        <v>98</v>
      </c>
      <c r="L1294" s="18" t="s">
        <v>98</v>
      </c>
      <c r="M1294" s="18" t="s">
        <v>98</v>
      </c>
      <c r="N1294" s="18" t="s">
        <v>98</v>
      </c>
      <c r="O1294" s="18" t="s">
        <v>98</v>
      </c>
      <c r="P1294" s="15" t="str">
        <f t="shared" si="1"/>
        <v>VERIFY</v>
      </c>
      <c r="Q1294" s="15">
        <f t="shared" si="2"/>
        <v>3</v>
      </c>
      <c r="R1294" s="15">
        <f t="shared" si="3"/>
        <v>3</v>
      </c>
      <c r="S1294" s="15">
        <f t="shared" si="4"/>
        <v>1</v>
      </c>
      <c r="T1294" s="15" t="str">
        <f t="shared" si="5"/>
        <v>C-1</v>
      </c>
      <c r="U1294" s="15" t="str">
        <f t="shared" si="6"/>
        <v>T3-M3-H1-FC-1-VERIFY</v>
      </c>
      <c r="V1294" s="15">
        <f t="shared" si="7"/>
        <v>0</v>
      </c>
      <c r="W1294" s="31"/>
      <c r="X1294" s="15" t="str">
        <f t="shared" si="8"/>
        <v>tarikere</v>
      </c>
      <c r="Y1294" s="32" t="str">
        <f t="shared" si="9"/>
        <v>https://steelmanufacturer.in/market-area/electropolished-pipes-manufacturer-in-tarikere/</v>
      </c>
      <c r="Z1294" s="15" t="str">
        <f t="shared" si="10"/>
        <v>Electropolished Pipes Manufacturer in Tarikere | EP Tube Supplier</v>
      </c>
      <c r="AA1294" s="15" t="str">
        <f t="shared" si="11"/>
        <v>OK (65)</v>
      </c>
      <c r="AB1294" s="15" t="str">
        <f t="shared" si="12"/>
        <v>EP stainless tube for VERIFY lines in Tarikere. VERIFY. ASTM A270 S2, PMI tested, EN 10204 3.1.</v>
      </c>
      <c r="AC1294" s="15" t="str">
        <f t="shared" si="13"/>
        <v>PENDING RESEARCH</v>
      </c>
      <c r="AD1294" s="15" t="str">
        <f t="shared" si="14"/>
        <v>Electropolished Pipes Manufacturer in Tarikere</v>
      </c>
      <c r="AE1294" s="15" t="str">
        <f t="shared" si="15"/>
        <v>Electropolished Pipe &amp; Tube Manufacturing for Tarikere - Grades, Finishes &amp; Certification</v>
      </c>
      <c r="AF1294" s="15" t="str">
        <f t="shared" si="16"/>
        <v>Electropolished Pipes Supplier in Tarikere - Stock Sizes, Lead Time &amp; Delivery</v>
      </c>
      <c r="AG1294" s="15" t="str">
        <f t="shared" si="17"/>
        <v>Electropolished Pipes Wholesaler &amp; Stockist in Tarikere - Bulk &amp; Project Pricing</v>
      </c>
      <c r="AH1294" s="15" t="str">
        <f t="shared" si="18"/>
        <v>electropolished pipes manufacturer in Tarikere, electropolished pipes supplier in Tarikere, electropolished pipes wholesaler in Tarikere, electropolished tube manufacturer Tarikere, EP pipe supplier Tarikere, sanitary tube supplier Tarikere, ASME BPE tubing Tarikere, ASTM A270 tube Tarikere, SS 316L electropolished pipe Tarikere</v>
      </c>
      <c r="AI1294" s="15" t="str">
        <f t="shared" si="19"/>
        <v>Electropolished Pipes Manufacturer &amp; Supplier in Tarikere</v>
      </c>
      <c r="AJ1294" s="15" t="str">
        <f t="shared" si="20"/>
        <v>EP-finished SS 304/316L pipes and tubes for VERIFY plants in Tarikere. ASME BPE SF1-SF4, Ra from 0.25 um, EN 10204 3.1 certificate with every lot.</v>
      </c>
      <c r="AK1294" s="15" t="str">
        <f t="shared" si="21"/>
        <v>Electropolished stainless steel pipes supplied by Sakshi Forge to VERIFY plants at KIADB Industrial Area, Tarikere</v>
      </c>
      <c r="AL1294" s="15" t="str">
        <f t="shared" si="22"/>
        <v>Electropolished SS 316L tube stock for Tarikere - Sakshi Forge</v>
      </c>
      <c r="AM1294" s="15" t="str">
        <f t="shared" si="23"/>
        <v>Home &gt; Market Area &gt; India &gt; Karnataka &gt; Tarikere</v>
      </c>
      <c r="AN1294" s="15">
        <f t="shared" si="24"/>
        <v>750</v>
      </c>
      <c r="AO1294" s="15">
        <f t="shared" si="25"/>
        <v>6</v>
      </c>
      <c r="AP1294" s="15">
        <f t="shared" si="26"/>
        <v>6</v>
      </c>
      <c r="AQ1294" s="15">
        <f t="shared" si="27"/>
        <v>22</v>
      </c>
      <c r="AR1294" s="31"/>
      <c r="AS1294" s="31"/>
      <c r="AT1294" s="35" t="s">
        <v>222</v>
      </c>
      <c r="AU1294" s="35"/>
    </row>
    <row r="1295" ht="15.75" customHeight="1">
      <c r="A1295" s="15" t="s">
        <v>6608</v>
      </c>
      <c r="B1295" s="15" t="s">
        <v>60</v>
      </c>
      <c r="C1295" s="15" t="s">
        <v>1139</v>
      </c>
      <c r="D1295" s="15" t="s">
        <v>6609</v>
      </c>
      <c r="E1295" s="15" t="s">
        <v>6609</v>
      </c>
      <c r="F1295" s="58" t="s">
        <v>807</v>
      </c>
      <c r="G1295" s="66" t="s">
        <v>98</v>
      </c>
      <c r="H1295" s="18" t="s">
        <v>6611</v>
      </c>
      <c r="I1295" s="18" t="s">
        <v>8410</v>
      </c>
      <c r="J1295" s="18" t="s">
        <v>98</v>
      </c>
      <c r="K1295" s="18" t="s">
        <v>98</v>
      </c>
      <c r="L1295" s="18" t="s">
        <v>98</v>
      </c>
      <c r="M1295" s="18" t="s">
        <v>98</v>
      </c>
      <c r="N1295" s="18" t="s">
        <v>98</v>
      </c>
      <c r="O1295" s="18" t="s">
        <v>98</v>
      </c>
      <c r="P1295" s="15" t="str">
        <f t="shared" si="1"/>
        <v>VERIFY</v>
      </c>
      <c r="Q1295" s="15">
        <f t="shared" si="2"/>
        <v>4</v>
      </c>
      <c r="R1295" s="15">
        <f t="shared" si="3"/>
        <v>4</v>
      </c>
      <c r="S1295" s="15">
        <f t="shared" si="4"/>
        <v>2</v>
      </c>
      <c r="T1295" s="15" t="str">
        <f t="shared" si="5"/>
        <v>C-2</v>
      </c>
      <c r="U1295" s="15" t="str">
        <f t="shared" si="6"/>
        <v>T4-M4-H2-FC-2-VERIFY</v>
      </c>
      <c r="V1295" s="15">
        <f t="shared" si="7"/>
        <v>0</v>
      </c>
      <c r="W1295" s="31"/>
      <c r="X1295" s="15" t="str">
        <f t="shared" si="8"/>
        <v>tehri</v>
      </c>
      <c r="Y1295" s="32" t="str">
        <f t="shared" si="9"/>
        <v>https://steelmanufacturer.in/market-area/electropolished-pipes-manufacturer-in-tehri/</v>
      </c>
      <c r="Z1295" s="15" t="str">
        <f t="shared" si="10"/>
        <v>Electropolished Pipes Manufacturer in Tehri - SS 304/316L EP Tube</v>
      </c>
      <c r="AA1295" s="15" t="str">
        <f t="shared" si="11"/>
        <v>OK (65)</v>
      </c>
      <c r="AB1295" s="15" t="str">
        <f t="shared" si="12"/>
        <v>Sanitary electropolished pipes in Tehri for VERIFY plants. ASME BPE SF1-SF4, orbital-weld ready, 3.1 MTC. Mumbai-made.</v>
      </c>
      <c r="AC1295" s="15" t="str">
        <f t="shared" si="13"/>
        <v>PENDING RESEARCH</v>
      </c>
      <c r="AD1295" s="15" t="str">
        <f t="shared" si="14"/>
        <v>Electropolished Pipes Manufacturer in Tehri</v>
      </c>
      <c r="AE1295" s="15" t="str">
        <f t="shared" si="15"/>
        <v>How We Manufacture Electropolished Tube for Tehri Plants</v>
      </c>
      <c r="AF1295" s="15" t="str">
        <f t="shared" si="16"/>
        <v>Supplying Electropolished Pipes in Tehri: Availability, Sizes &amp; Dispatch</v>
      </c>
      <c r="AG1295" s="15" t="str">
        <f t="shared" si="17"/>
        <v>Wholesale Electropolished Pipe Supply for Tehri Projects</v>
      </c>
      <c r="AH1295" s="15" t="str">
        <f t="shared" si="18"/>
        <v>electropolished pipes manufacturer in Tehri, electropolished pipes supplier in Tehri, electropolished pipes wholesaler in Tehri, electropolished tube manufacturer Tehri, EP pipe supplier Tehri, sanitary tube supplier Tehri, ASME BPE tubing Tehri, ASTM A270 tube Tehri, SS 316L electropolished pipe Tehri</v>
      </c>
      <c r="AI1295" s="15" t="str">
        <f t="shared" si="19"/>
        <v>Electropolished Pipes Manufacturer &amp; Supplier in Tehri</v>
      </c>
      <c r="AJ1295" s="15" t="str">
        <f t="shared" si="20"/>
        <v>EP-finished SS 304/316L pipes and tubes for VERIFY plants in Tehri. ASME BPE SF1-SF4, Ra from 0.25 um, EN 10204 3.1 certificate with every lot.</v>
      </c>
      <c r="AK1295" s="15" t="str">
        <f t="shared" si="21"/>
        <v>Electropolished stainless steel pipes supplied by Sakshi Forge to VERIFY plants at SIIDCUL Industrial Area, Tehri</v>
      </c>
      <c r="AL1295" s="15" t="str">
        <f t="shared" si="22"/>
        <v>Electropolished SS 316L tube stock for Tehri - Sakshi Forge</v>
      </c>
      <c r="AM1295" s="15" t="str">
        <f t="shared" si="23"/>
        <v>Home &gt; Market Area &gt; India &gt; Uttarakhand &gt; Tehri</v>
      </c>
      <c r="AN1295" s="15">
        <f t="shared" si="24"/>
        <v>750</v>
      </c>
      <c r="AO1295" s="15">
        <f t="shared" si="25"/>
        <v>6</v>
      </c>
      <c r="AP1295" s="15">
        <f t="shared" si="26"/>
        <v>6</v>
      </c>
      <c r="AQ1295" s="15">
        <f t="shared" si="27"/>
        <v>22</v>
      </c>
      <c r="AR1295" s="31"/>
      <c r="AS1295" s="31"/>
      <c r="AT1295" s="35" t="s">
        <v>222</v>
      </c>
      <c r="AU1295" s="35"/>
    </row>
    <row r="1296" ht="15.75" customHeight="1">
      <c r="A1296" s="15" t="s">
        <v>6612</v>
      </c>
      <c r="B1296" s="15" t="s">
        <v>60</v>
      </c>
      <c r="C1296" s="15" t="s">
        <v>413</v>
      </c>
      <c r="D1296" s="15" t="s">
        <v>6613</v>
      </c>
      <c r="E1296" s="15" t="s">
        <v>6613</v>
      </c>
      <c r="F1296" s="58" t="s">
        <v>807</v>
      </c>
      <c r="G1296" s="66" t="s">
        <v>98</v>
      </c>
      <c r="H1296" s="18" t="s">
        <v>6615</v>
      </c>
      <c r="I1296" s="18" t="s">
        <v>8393</v>
      </c>
      <c r="J1296" s="18" t="s">
        <v>98</v>
      </c>
      <c r="K1296" s="18" t="s">
        <v>98</v>
      </c>
      <c r="L1296" s="18" t="s">
        <v>98</v>
      </c>
      <c r="M1296" s="18" t="s">
        <v>98</v>
      </c>
      <c r="N1296" s="18" t="s">
        <v>98</v>
      </c>
      <c r="O1296" s="18" t="s">
        <v>98</v>
      </c>
      <c r="P1296" s="15" t="str">
        <f t="shared" si="1"/>
        <v>VERIFY</v>
      </c>
      <c r="Q1296" s="15">
        <f t="shared" si="2"/>
        <v>5</v>
      </c>
      <c r="R1296" s="15">
        <f t="shared" si="3"/>
        <v>5</v>
      </c>
      <c r="S1296" s="15">
        <f t="shared" si="4"/>
        <v>3</v>
      </c>
      <c r="T1296" s="15" t="str">
        <f t="shared" si="5"/>
        <v>C-3</v>
      </c>
      <c r="U1296" s="15" t="str">
        <f t="shared" si="6"/>
        <v>T5-M5-H3-FC-3-VERIFY</v>
      </c>
      <c r="V1296" s="15">
        <f t="shared" si="7"/>
        <v>0</v>
      </c>
      <c r="W1296" s="31"/>
      <c r="X1296" s="15" t="str">
        <f t="shared" si="8"/>
        <v>tekkali</v>
      </c>
      <c r="Y1296" s="32" t="str">
        <f t="shared" si="9"/>
        <v>https://steelmanufacturer.in/market-area/electropolished-pipes-manufacturer-in-tekkali/</v>
      </c>
      <c r="Z1296" s="15" t="str">
        <f t="shared" si="10"/>
        <v>Electropolished Pipes Manufacturer in Tekkali</v>
      </c>
      <c r="AA1296" s="15" t="str">
        <f t="shared" si="11"/>
        <v>OK (45)</v>
      </c>
      <c r="AB1296" s="15" t="str">
        <f t="shared" si="12"/>
        <v>Manufacturer of electropolished SS 316L tube serving Tekkali. VERIFY. Ra 0.25-0.5 um, EN 10204 3.1 MTC.</v>
      </c>
      <c r="AC1296" s="15" t="str">
        <f t="shared" si="13"/>
        <v>PENDING RESEARCH</v>
      </c>
      <c r="AD1296" s="15" t="str">
        <f t="shared" si="14"/>
        <v>Electropolished Pipes Manufacturer in Tekkali</v>
      </c>
      <c r="AE1296" s="15" t="str">
        <f t="shared" si="15"/>
        <v>Electropolished Pipes Manufacturer in Tekkali - Our Process &amp; Capability</v>
      </c>
      <c r="AF1296" s="15" t="str">
        <f t="shared" si="16"/>
        <v>Electropolished Pipes Supplier in Tekkali - What We Hold in Stock</v>
      </c>
      <c r="AG1296" s="15" t="str">
        <f t="shared" si="17"/>
        <v>Bulk &amp; Wholesale Electropolished Pipe Rates for Tekkali Buyers</v>
      </c>
      <c r="AH1296" s="15" t="str">
        <f t="shared" si="18"/>
        <v>electropolished pipes manufacturer in Tekkali, electropolished pipes supplier in Tekkali, electropolished pipes wholesaler in Tekkali, electropolished tube manufacturer Tekkali, EP pipe supplier Tekkali, sanitary tube supplier Tekkali, ASME BPE tubing Tekkali, ASTM A270 tube Tekkali, SS 316L electropolished pipe Tekkali</v>
      </c>
      <c r="AI1296" s="15" t="str">
        <f t="shared" si="19"/>
        <v>Electropolished Pipes Manufacturer &amp; Supplier in Tekkali</v>
      </c>
      <c r="AJ1296" s="15" t="str">
        <f t="shared" si="20"/>
        <v>EP-finished SS 304/316L pipes and tubes for VERIFY plants in Tekkali. ASME BPE SF1-SF4, Ra from 0.25 um, EN 10204 3.1 certificate with every lot.</v>
      </c>
      <c r="AK1296" s="15" t="str">
        <f t="shared" si="21"/>
        <v>Electropolished stainless steel pipes supplied by Sakshi Forge to VERIFY plants at APIIC Industrial Area, Tekkali</v>
      </c>
      <c r="AL1296" s="15" t="str">
        <f t="shared" si="22"/>
        <v>Electropolished SS 316L tube stock for Tekkali - Sakshi Forge</v>
      </c>
      <c r="AM1296" s="15" t="str">
        <f t="shared" si="23"/>
        <v>Home &gt; Market Area &gt; India &gt; Andhra Pradesh &gt; Tekkali</v>
      </c>
      <c r="AN1296" s="15">
        <f t="shared" si="24"/>
        <v>750</v>
      </c>
      <c r="AO1296" s="15">
        <f t="shared" si="25"/>
        <v>6</v>
      </c>
      <c r="AP1296" s="15">
        <f t="shared" si="26"/>
        <v>6</v>
      </c>
      <c r="AQ1296" s="15">
        <f t="shared" si="27"/>
        <v>22</v>
      </c>
      <c r="AR1296" s="31"/>
      <c r="AS1296" s="31"/>
      <c r="AT1296" s="35" t="s">
        <v>222</v>
      </c>
      <c r="AU1296" s="35"/>
    </row>
    <row r="1297" ht="15.75" customHeight="1">
      <c r="A1297" s="15" t="s">
        <v>6617</v>
      </c>
      <c r="B1297" s="15" t="s">
        <v>60</v>
      </c>
      <c r="C1297" s="15" t="s">
        <v>224</v>
      </c>
      <c r="D1297" s="15" t="s">
        <v>6620</v>
      </c>
      <c r="E1297" s="15" t="s">
        <v>6620</v>
      </c>
      <c r="F1297" s="58" t="s">
        <v>807</v>
      </c>
      <c r="G1297" s="66" t="s">
        <v>98</v>
      </c>
      <c r="H1297" s="18" t="s">
        <v>6624</v>
      </c>
      <c r="I1297" s="18" t="s">
        <v>8400</v>
      </c>
      <c r="J1297" s="18" t="s">
        <v>98</v>
      </c>
      <c r="K1297" s="18" t="s">
        <v>98</v>
      </c>
      <c r="L1297" s="18" t="s">
        <v>98</v>
      </c>
      <c r="M1297" s="18" t="s">
        <v>98</v>
      </c>
      <c r="N1297" s="18" t="s">
        <v>98</v>
      </c>
      <c r="O1297" s="18" t="s">
        <v>98</v>
      </c>
      <c r="P1297" s="15" t="str">
        <f t="shared" si="1"/>
        <v>VERIFY</v>
      </c>
      <c r="Q1297" s="15">
        <f t="shared" si="2"/>
        <v>6</v>
      </c>
      <c r="R1297" s="15">
        <f t="shared" si="3"/>
        <v>6</v>
      </c>
      <c r="S1297" s="15">
        <f t="shared" si="4"/>
        <v>4</v>
      </c>
      <c r="T1297" s="15" t="str">
        <f t="shared" si="5"/>
        <v>C-4</v>
      </c>
      <c r="U1297" s="15" t="str">
        <f t="shared" si="6"/>
        <v>T6-M6-H4-FC-4-VERIFY</v>
      </c>
      <c r="V1297" s="15">
        <f t="shared" si="7"/>
        <v>0</v>
      </c>
      <c r="W1297" s="31"/>
      <c r="X1297" s="15" t="str">
        <f t="shared" si="8"/>
        <v>thasra</v>
      </c>
      <c r="Y1297" s="32" t="str">
        <f t="shared" si="9"/>
        <v>https://steelmanufacturer.in/market-area/electropolished-pipes-manufacturer-in-thasra/</v>
      </c>
      <c r="Z1297" s="15" t="str">
        <f t="shared" si="10"/>
        <v>Electropolished Pipes Manufacturer in Thasra</v>
      </c>
      <c r="AA1297" s="15" t="str">
        <f t="shared" si="11"/>
        <v>OK (44)</v>
      </c>
      <c r="AB1297" s="15" t="str">
        <f t="shared" si="12"/>
        <v>EP tube and pipe for VERIFY plants around GIDC Industrial Area, Thasra. Made at our Mumbai works to ASTM A270 and ASME BPE SF1-SF4, with 3.1 MTC.</v>
      </c>
      <c r="AC1297" s="15" t="str">
        <f t="shared" si="13"/>
        <v>PENDING RESEARCH</v>
      </c>
      <c r="AD1297" s="15" t="str">
        <f t="shared" si="14"/>
        <v>Electropolished Pipes Manufacturer in Thasra</v>
      </c>
      <c r="AE1297" s="15" t="str">
        <f t="shared" si="15"/>
        <v>Manufacturing Electropolished SS Tube for Thasra: The Standards We Build To</v>
      </c>
      <c r="AF1297" s="15" t="str">
        <f t="shared" si="16"/>
        <v>Electropolished Pipe Supply Into Thasra - Certification &amp; Transit</v>
      </c>
      <c r="AG1297" s="15" t="str">
        <f t="shared" si="17"/>
        <v>Electropolished Pipes Wholesaler in Thasra - Project Quantities &amp; Terms</v>
      </c>
      <c r="AH1297" s="15" t="str">
        <f t="shared" si="18"/>
        <v>electropolished pipes manufacturer in Thasra, electropolished pipes supplier in Thasra, electropolished pipes wholesaler in Thasra, electropolished tube manufacturer Thasra, EP pipe supplier Thasra, sanitary tube supplier Thasra, ASME BPE tubing Thasra, ASTM A270 tube Thasra, SS 316L electropolished pipe Thasra</v>
      </c>
      <c r="AI1297" s="15" t="str">
        <f t="shared" si="19"/>
        <v>Electropolished Pipes Manufacturer &amp; Supplier in Thasra</v>
      </c>
      <c r="AJ1297" s="15" t="str">
        <f t="shared" si="20"/>
        <v>EP-finished SS 304/316L pipes and tubes for VERIFY plants in Thasra. ASME BPE SF1-SF4, Ra from 0.25 um, EN 10204 3.1 certificate with every lot.</v>
      </c>
      <c r="AK1297" s="15" t="str">
        <f t="shared" si="21"/>
        <v>Electropolished stainless steel pipes supplied by Sakshi Forge to VERIFY plants at GIDC Industrial Area, Thasra</v>
      </c>
      <c r="AL1297" s="15" t="str">
        <f t="shared" si="22"/>
        <v>Electropolished SS 316L tube stock for Thasra - Sakshi Forge</v>
      </c>
      <c r="AM1297" s="15" t="str">
        <f t="shared" si="23"/>
        <v>Home &gt; Market Area &gt; India &gt; Gujarat &gt; Thasra</v>
      </c>
      <c r="AN1297" s="15">
        <f t="shared" si="24"/>
        <v>750</v>
      </c>
      <c r="AO1297" s="15">
        <f t="shared" si="25"/>
        <v>6</v>
      </c>
      <c r="AP1297" s="15">
        <f t="shared" si="26"/>
        <v>6</v>
      </c>
      <c r="AQ1297" s="15">
        <f t="shared" si="27"/>
        <v>22</v>
      </c>
      <c r="AR1297" s="31"/>
      <c r="AS1297" s="31"/>
      <c r="AT1297" s="35" t="s">
        <v>222</v>
      </c>
      <c r="AU1297" s="35"/>
    </row>
    <row r="1298" ht="15.75" customHeight="1">
      <c r="A1298" s="15" t="s">
        <v>6627</v>
      </c>
      <c r="B1298" s="15" t="s">
        <v>60</v>
      </c>
      <c r="C1298" s="15" t="s">
        <v>958</v>
      </c>
      <c r="D1298" s="15" t="s">
        <v>6628</v>
      </c>
      <c r="E1298" s="15" t="s">
        <v>6628</v>
      </c>
      <c r="F1298" s="58" t="s">
        <v>807</v>
      </c>
      <c r="G1298" s="66" t="s">
        <v>98</v>
      </c>
      <c r="H1298" s="18" t="s">
        <v>6630</v>
      </c>
      <c r="I1298" s="18" t="s">
        <v>8403</v>
      </c>
      <c r="J1298" s="18" t="s">
        <v>98</v>
      </c>
      <c r="K1298" s="18" t="s">
        <v>98</v>
      </c>
      <c r="L1298" s="18" t="s">
        <v>98</v>
      </c>
      <c r="M1298" s="18" t="s">
        <v>98</v>
      </c>
      <c r="N1298" s="18" t="s">
        <v>98</v>
      </c>
      <c r="O1298" s="18" t="s">
        <v>98</v>
      </c>
      <c r="P1298" s="15" t="str">
        <f t="shared" si="1"/>
        <v>VERIFY</v>
      </c>
      <c r="Q1298" s="15">
        <f t="shared" si="2"/>
        <v>7</v>
      </c>
      <c r="R1298" s="15">
        <f t="shared" si="3"/>
        <v>7</v>
      </c>
      <c r="S1298" s="15">
        <f t="shared" si="4"/>
        <v>5</v>
      </c>
      <c r="T1298" s="15" t="str">
        <f t="shared" si="5"/>
        <v>C-5</v>
      </c>
      <c r="U1298" s="15" t="str">
        <f t="shared" si="6"/>
        <v>T7-M7-H5-FC-5-VERIFY</v>
      </c>
      <c r="V1298" s="15">
        <f t="shared" si="7"/>
        <v>0</v>
      </c>
      <c r="W1298" s="31"/>
      <c r="X1298" s="15" t="str">
        <f t="shared" si="8"/>
        <v>thiruporur</v>
      </c>
      <c r="Y1298" s="32" t="str">
        <f t="shared" si="9"/>
        <v>https://steelmanufacturer.in/market-area/electropolished-pipes-manufacturer-in-thiruporur/</v>
      </c>
      <c r="Z1298" s="15" t="str">
        <f t="shared" si="10"/>
        <v>Electropolished Pipes Manufacturer in Thiruporur</v>
      </c>
      <c r="AA1298" s="15" t="str">
        <f t="shared" si="11"/>
        <v>OK (48)</v>
      </c>
      <c r="AB1298" s="15" t="str">
        <f t="shared" si="12"/>
        <v>Electropolished pipes in Thiruporur: 304, 304L, 316 and 316L in SF1-SF4. VERIFY. Mill certified.</v>
      </c>
      <c r="AC1298" s="15" t="str">
        <f t="shared" si="13"/>
        <v>PENDING RESEARCH</v>
      </c>
      <c r="AD1298" s="15" t="str">
        <f t="shared" si="14"/>
        <v>Electropolished Pipes Manufacturer in Thiruporur</v>
      </c>
      <c r="AE1298" s="15" t="str">
        <f t="shared" si="15"/>
        <v>Electropolished Tube Manufacturing Capability Serving Thiruporur</v>
      </c>
      <c r="AF1298" s="15" t="str">
        <f t="shared" si="16"/>
        <v>Electropolished Pipes Supplier in Thiruporur - From Order to Delivery</v>
      </c>
      <c r="AG1298" s="15" t="str">
        <f t="shared" si="17"/>
        <v>Stockist &amp; Wholesale Supply of Electropolished Pipes in Thiruporur</v>
      </c>
      <c r="AH1298" s="15" t="str">
        <f t="shared" si="18"/>
        <v>electropolished pipes manufacturer in Thiruporur, electropolished pipes supplier in Thiruporur, electropolished pipes wholesaler in Thiruporur, electropolished tube manufacturer Thiruporur, EP pipe supplier Thiruporur, sanitary tube supplier Thiruporur, ASME BPE tubing Thiruporur, ASTM A270 tube Thiruporur, SS 316L electropolished pipe Thiruporur</v>
      </c>
      <c r="AI1298" s="15" t="str">
        <f t="shared" si="19"/>
        <v>Electropolished Pipes Manufacturer &amp; Supplier in Thiruporur</v>
      </c>
      <c r="AJ1298" s="15" t="str">
        <f t="shared" si="20"/>
        <v>EP-finished SS 304/316L pipes and tubes for VERIFY plants in Thiruporur. ASME BPE SF1-SF4, Ra from 0.25 um, EN 10204 3.1 certificate with every lot.</v>
      </c>
      <c r="AK1298" s="15" t="str">
        <f t="shared" si="21"/>
        <v>Electropolished stainless steel pipes supplied by Sakshi Forge to VERIFY plants at SIPCOT Industrial Area, Thiruporur</v>
      </c>
      <c r="AL1298" s="15" t="str">
        <f t="shared" si="22"/>
        <v>Electropolished SS 316L tube stock for Thiruporur - Sakshi Forge</v>
      </c>
      <c r="AM1298" s="15" t="str">
        <f t="shared" si="23"/>
        <v>Home &gt; Market Area &gt; India &gt; Tamil Nadu &gt; Thiruporur</v>
      </c>
      <c r="AN1298" s="15">
        <f t="shared" si="24"/>
        <v>750</v>
      </c>
      <c r="AO1298" s="15">
        <f t="shared" si="25"/>
        <v>6</v>
      </c>
      <c r="AP1298" s="15">
        <f t="shared" si="26"/>
        <v>6</v>
      </c>
      <c r="AQ1298" s="15">
        <f t="shared" si="27"/>
        <v>22</v>
      </c>
      <c r="AR1298" s="31"/>
      <c r="AS1298" s="31"/>
      <c r="AT1298" s="35" t="s">
        <v>222</v>
      </c>
      <c r="AU1298" s="35"/>
    </row>
    <row r="1299" ht="15.75" customHeight="1">
      <c r="A1299" s="15" t="s">
        <v>6631</v>
      </c>
      <c r="B1299" s="15" t="s">
        <v>60</v>
      </c>
      <c r="C1299" s="15" t="s">
        <v>1687</v>
      </c>
      <c r="D1299" s="15" t="s">
        <v>6632</v>
      </c>
      <c r="E1299" s="15" t="s">
        <v>6632</v>
      </c>
      <c r="F1299" s="58" t="s">
        <v>807</v>
      </c>
      <c r="G1299" s="66" t="s">
        <v>98</v>
      </c>
      <c r="H1299" s="18" t="s">
        <v>6634</v>
      </c>
      <c r="I1299" s="18" t="s">
        <v>8397</v>
      </c>
      <c r="J1299" s="18" t="s">
        <v>98</v>
      </c>
      <c r="K1299" s="18" t="s">
        <v>98</v>
      </c>
      <c r="L1299" s="18" t="s">
        <v>98</v>
      </c>
      <c r="M1299" s="18" t="s">
        <v>98</v>
      </c>
      <c r="N1299" s="18" t="s">
        <v>98</v>
      </c>
      <c r="O1299" s="18" t="s">
        <v>98</v>
      </c>
      <c r="P1299" s="15" t="str">
        <f t="shared" si="1"/>
        <v>VERIFY</v>
      </c>
      <c r="Q1299" s="15">
        <f t="shared" si="2"/>
        <v>8</v>
      </c>
      <c r="R1299" s="15">
        <f t="shared" si="3"/>
        <v>1</v>
      </c>
      <c r="S1299" s="15">
        <f t="shared" si="4"/>
        <v>1</v>
      </c>
      <c r="T1299" s="15" t="str">
        <f t="shared" si="5"/>
        <v>C-6</v>
      </c>
      <c r="U1299" s="15" t="str">
        <f t="shared" si="6"/>
        <v>T8-M1-H1-FC-6-VERIFY</v>
      </c>
      <c r="V1299" s="15">
        <f t="shared" si="7"/>
        <v>0</v>
      </c>
      <c r="W1299" s="31"/>
      <c r="X1299" s="15" t="str">
        <f t="shared" si="8"/>
        <v>thiruvalla</v>
      </c>
      <c r="Y1299" s="32" t="str">
        <f t="shared" si="9"/>
        <v>https://steelmanufacturer.in/market-area/electropolished-pipes-manufacturer-in-thiruvalla/</v>
      </c>
      <c r="Z1299" s="15" t="str">
        <f t="shared" si="10"/>
        <v>Electropolished Pipes Manufacturer in Thiruvalla</v>
      </c>
      <c r="AA1299" s="15" t="str">
        <f t="shared" si="11"/>
        <v>OK (48)</v>
      </c>
      <c r="AB1299" s="15" t="str">
        <f t="shared" si="12"/>
        <v>EP-finished SS 304/316L pipes &amp; tubes for VERIFY plants in Thiruvalla. ASTM A270, ASME BPE SF1-SF4, EN 10204 3.1 MTC. PMI tested.</v>
      </c>
      <c r="AC1299" s="15" t="str">
        <f t="shared" si="13"/>
        <v>PENDING RESEARCH</v>
      </c>
      <c r="AD1299" s="15" t="str">
        <f t="shared" si="14"/>
        <v>Electropolished Pipes Manufacturer in Thiruvalla</v>
      </c>
      <c r="AE1299" s="15" t="str">
        <f t="shared" si="15"/>
        <v>Electropolished Pipe &amp; Tube Manufacturing for Thiruvalla - Grades, Finishes &amp; Certification</v>
      </c>
      <c r="AF1299" s="15" t="str">
        <f t="shared" si="16"/>
        <v>Electropolished Pipes Supplier in Thiruvalla - Stock Sizes, Lead Time &amp; Delivery</v>
      </c>
      <c r="AG1299" s="15" t="str">
        <f t="shared" si="17"/>
        <v>Electropolished Pipes Wholesaler &amp; Stockist in Thiruvalla - Bulk &amp; Project Pricing</v>
      </c>
      <c r="AH1299" s="15" t="str">
        <f t="shared" si="18"/>
        <v>electropolished pipes manufacturer in Thiruvalla, electropolished pipes supplier in Thiruvalla, electropolished pipes wholesaler in Thiruvalla, electropolished tube manufacturer Thiruvalla, EP pipe supplier Thiruvalla, sanitary tube supplier Thiruvalla, ASME BPE tubing Thiruvalla, ASTM A270 tube Thiruvalla, SS 316L electropolished pipe Thiruvalla</v>
      </c>
      <c r="AI1299" s="15" t="str">
        <f t="shared" si="19"/>
        <v>Electropolished Pipes Manufacturer &amp; Supplier in Thiruvalla</v>
      </c>
      <c r="AJ1299" s="15" t="str">
        <f t="shared" si="20"/>
        <v>EP-finished SS 304/316L pipes and tubes for VERIFY plants in Thiruvalla. ASME BPE SF1-SF4, Ra from 0.25 um, EN 10204 3.1 certificate with every lot.</v>
      </c>
      <c r="AK1299" s="15" t="str">
        <f t="shared" si="21"/>
        <v>Electropolished stainless steel pipes supplied by Sakshi Forge to VERIFY plants at KINFRA Industrial Area, Thiruvalla</v>
      </c>
      <c r="AL1299" s="15" t="str">
        <f t="shared" si="22"/>
        <v>Electropolished SS 316L tube stock for Thiruvalla - Sakshi Forge</v>
      </c>
      <c r="AM1299" s="15" t="str">
        <f t="shared" si="23"/>
        <v>Home &gt; Market Area &gt; India &gt; Kerala &gt; Thiruvalla</v>
      </c>
      <c r="AN1299" s="15">
        <f t="shared" si="24"/>
        <v>750</v>
      </c>
      <c r="AO1299" s="15">
        <f t="shared" si="25"/>
        <v>6</v>
      </c>
      <c r="AP1299" s="15">
        <f t="shared" si="26"/>
        <v>6</v>
      </c>
      <c r="AQ1299" s="15">
        <f t="shared" si="27"/>
        <v>22</v>
      </c>
      <c r="AR1299" s="31"/>
      <c r="AS1299" s="31"/>
      <c r="AT1299" s="35" t="s">
        <v>222</v>
      </c>
      <c r="AU1299" s="35"/>
    </row>
    <row r="1300" ht="15.75" customHeight="1">
      <c r="A1300" s="15" t="s">
        <v>6635</v>
      </c>
      <c r="B1300" s="15" t="s">
        <v>60</v>
      </c>
      <c r="C1300" s="15" t="s">
        <v>1687</v>
      </c>
      <c r="D1300" s="15" t="s">
        <v>6636</v>
      </c>
      <c r="E1300" s="15" t="s">
        <v>6636</v>
      </c>
      <c r="F1300" s="58" t="s">
        <v>807</v>
      </c>
      <c r="G1300" s="66" t="s">
        <v>98</v>
      </c>
      <c r="H1300" s="18" t="s">
        <v>6638</v>
      </c>
      <c r="I1300" s="18" t="s">
        <v>8397</v>
      </c>
      <c r="J1300" s="18" t="s">
        <v>98</v>
      </c>
      <c r="K1300" s="18" t="s">
        <v>98</v>
      </c>
      <c r="L1300" s="18" t="s">
        <v>98</v>
      </c>
      <c r="M1300" s="18" t="s">
        <v>98</v>
      </c>
      <c r="N1300" s="18" t="s">
        <v>98</v>
      </c>
      <c r="O1300" s="18" t="s">
        <v>98</v>
      </c>
      <c r="P1300" s="15" t="str">
        <f t="shared" si="1"/>
        <v>VERIFY</v>
      </c>
      <c r="Q1300" s="15">
        <f t="shared" si="2"/>
        <v>1</v>
      </c>
      <c r="R1300" s="15">
        <f t="shared" si="3"/>
        <v>2</v>
      </c>
      <c r="S1300" s="15">
        <f t="shared" si="4"/>
        <v>2</v>
      </c>
      <c r="T1300" s="15" t="str">
        <f t="shared" si="5"/>
        <v>C-1</v>
      </c>
      <c r="U1300" s="15" t="str">
        <f t="shared" si="6"/>
        <v>T1-M2-H2-FC-1-VERIFY</v>
      </c>
      <c r="V1300" s="15">
        <f t="shared" si="7"/>
        <v>0</v>
      </c>
      <c r="W1300" s="31"/>
      <c r="X1300" s="15" t="str">
        <f t="shared" si="8"/>
        <v>thodupuzha</v>
      </c>
      <c r="Y1300" s="32" t="str">
        <f t="shared" si="9"/>
        <v>https://steelmanufacturer.in/market-area/electropolished-pipes-manufacturer-in-thodupuzha/</v>
      </c>
      <c r="Z1300" s="15" t="str">
        <f t="shared" si="10"/>
        <v>Electropolished Pipes Manufacturer in Thodupuzha | Sakshi Forge</v>
      </c>
      <c r="AA1300" s="15" t="str">
        <f t="shared" si="11"/>
        <v>OK (63)</v>
      </c>
      <c r="AB1300" s="15" t="str">
        <f t="shared" si="12"/>
        <v>Electropolished tube supply to KINFRA Industrial Area, Thodupuzha. Ra from 0.25 um, SF4 finish, mill test certificate with every lot.</v>
      </c>
      <c r="AC1300" s="15" t="str">
        <f t="shared" si="13"/>
        <v>PENDING RESEARCH</v>
      </c>
      <c r="AD1300" s="15" t="str">
        <f t="shared" si="14"/>
        <v>Electropolished Pipes Manufacturer in Thodupuzha</v>
      </c>
      <c r="AE1300" s="15" t="str">
        <f t="shared" si="15"/>
        <v>How We Manufacture Electropolished Tube for Thodupuzha Plants</v>
      </c>
      <c r="AF1300" s="15" t="str">
        <f t="shared" si="16"/>
        <v>Supplying Electropolished Pipes in Thodupuzha: Availability, Sizes &amp; Dispatch</v>
      </c>
      <c r="AG1300" s="15" t="str">
        <f t="shared" si="17"/>
        <v>Wholesale Electropolished Pipe Supply for Thodupuzha Projects</v>
      </c>
      <c r="AH1300" s="15" t="str">
        <f t="shared" si="18"/>
        <v>electropolished pipes manufacturer in Thodupuzha, electropolished pipes supplier in Thodupuzha, electropolished pipes wholesaler in Thodupuzha, electropolished tube manufacturer Thodupuzha, EP pipe supplier Thodupuzha, sanitary tube supplier Thodupuzha, ASME BPE tubing Thodupuzha, ASTM A270 tube Thodupuzha, SS 316L electropolished pipe Thodupuzha</v>
      </c>
      <c r="AI1300" s="15" t="str">
        <f t="shared" si="19"/>
        <v>Electropolished Pipes Manufacturer &amp; Supplier in Thodupuzha</v>
      </c>
      <c r="AJ1300" s="15" t="str">
        <f t="shared" si="20"/>
        <v>EP-finished SS 304/316L pipes and tubes for VERIFY plants in Thodupuzha. ASME BPE SF1-SF4, Ra from 0.25 um, EN 10204 3.1 certificate with every lot.</v>
      </c>
      <c r="AK1300" s="15" t="str">
        <f t="shared" si="21"/>
        <v>Electropolished stainless steel pipes supplied by Sakshi Forge to VERIFY plants at KINFRA Industrial Area, Thodupuzha</v>
      </c>
      <c r="AL1300" s="15" t="str">
        <f t="shared" si="22"/>
        <v>Electropolished SS 316L tube stock for Thodupuzha - Sakshi Forge</v>
      </c>
      <c r="AM1300" s="15" t="str">
        <f t="shared" si="23"/>
        <v>Home &gt; Market Area &gt; India &gt; Kerala &gt; Thodupuzha</v>
      </c>
      <c r="AN1300" s="15">
        <f t="shared" si="24"/>
        <v>750</v>
      </c>
      <c r="AO1300" s="15">
        <f t="shared" si="25"/>
        <v>6</v>
      </c>
      <c r="AP1300" s="15">
        <f t="shared" si="26"/>
        <v>6</v>
      </c>
      <c r="AQ1300" s="15">
        <f t="shared" si="27"/>
        <v>22</v>
      </c>
      <c r="AR1300" s="31"/>
      <c r="AS1300" s="31"/>
      <c r="AT1300" s="35" t="s">
        <v>222</v>
      </c>
      <c r="AU1300" s="35"/>
    </row>
    <row r="1301" ht="15.75" customHeight="1">
      <c r="A1301" s="15" t="s">
        <v>6639</v>
      </c>
      <c r="B1301" s="15" t="s">
        <v>60</v>
      </c>
      <c r="C1301" s="15" t="s">
        <v>236</v>
      </c>
      <c r="D1301" s="15" t="s">
        <v>6640</v>
      </c>
      <c r="E1301" s="15" t="s">
        <v>6640</v>
      </c>
      <c r="F1301" s="58" t="s">
        <v>807</v>
      </c>
      <c r="G1301" s="66" t="s">
        <v>98</v>
      </c>
      <c r="H1301" s="18" t="s">
        <v>6642</v>
      </c>
      <c r="I1301" s="18" t="s">
        <v>8391</v>
      </c>
      <c r="J1301" s="18" t="s">
        <v>98</v>
      </c>
      <c r="K1301" s="18" t="s">
        <v>98</v>
      </c>
      <c r="L1301" s="18" t="s">
        <v>98</v>
      </c>
      <c r="M1301" s="18" t="s">
        <v>98</v>
      </c>
      <c r="N1301" s="18" t="s">
        <v>98</v>
      </c>
      <c r="O1301" s="18" t="s">
        <v>98</v>
      </c>
      <c r="P1301" s="15" t="str">
        <f t="shared" si="1"/>
        <v>VERIFY</v>
      </c>
      <c r="Q1301" s="15">
        <f t="shared" si="2"/>
        <v>2</v>
      </c>
      <c r="R1301" s="15">
        <f t="shared" si="3"/>
        <v>3</v>
      </c>
      <c r="S1301" s="15">
        <f t="shared" si="4"/>
        <v>3</v>
      </c>
      <c r="T1301" s="15" t="str">
        <f t="shared" si="5"/>
        <v>C-2</v>
      </c>
      <c r="U1301" s="15" t="str">
        <f t="shared" si="6"/>
        <v>T2-M3-H3-FC-2-VERIFY</v>
      </c>
      <c r="V1301" s="15">
        <f t="shared" si="7"/>
        <v>0</v>
      </c>
      <c r="W1301" s="31"/>
      <c r="X1301" s="15" t="str">
        <f t="shared" si="8"/>
        <v>tijara</v>
      </c>
      <c r="Y1301" s="32" t="str">
        <f t="shared" si="9"/>
        <v>https://steelmanufacturer.in/market-area/electropolished-pipes-manufacturer-in-tijara/</v>
      </c>
      <c r="Z1301" s="15" t="str">
        <f t="shared" si="10"/>
        <v>Electropolished Pipes Manufacturer in Tijara</v>
      </c>
      <c r="AA1301" s="15" t="str">
        <f t="shared" si="11"/>
        <v>OK (44)</v>
      </c>
      <c r="AB1301" s="15" t="str">
        <f t="shared" si="12"/>
        <v>EP stainless tube for VERIFY lines in Tijara. VERIFY. ASTM A270 S2, PMI tested, EN 10204 3.1.</v>
      </c>
      <c r="AC1301" s="15" t="str">
        <f t="shared" si="13"/>
        <v>PENDING RESEARCH</v>
      </c>
      <c r="AD1301" s="15" t="str">
        <f t="shared" si="14"/>
        <v>Electropolished Pipes Manufacturer in Tijara</v>
      </c>
      <c r="AE1301" s="15" t="str">
        <f t="shared" si="15"/>
        <v>Electropolished Pipes Manufacturer in Tijara - Our Process &amp; Capability</v>
      </c>
      <c r="AF1301" s="15" t="str">
        <f t="shared" si="16"/>
        <v>Electropolished Pipes Supplier in Tijara - What We Hold in Stock</v>
      </c>
      <c r="AG1301" s="15" t="str">
        <f t="shared" si="17"/>
        <v>Bulk &amp; Wholesale Electropolished Pipe Rates for Tijara Buyers</v>
      </c>
      <c r="AH1301" s="15" t="str">
        <f t="shared" si="18"/>
        <v>electropolished pipes manufacturer in Tijara, electropolished pipes supplier in Tijara, electropolished pipes wholesaler in Tijara, electropolished tube manufacturer Tijara, EP pipe supplier Tijara, sanitary tube supplier Tijara, ASME BPE tubing Tijara, ASTM A270 tube Tijara, SS 316L electropolished pipe Tijara</v>
      </c>
      <c r="AI1301" s="15" t="str">
        <f t="shared" si="19"/>
        <v>Electropolished Pipes Manufacturer &amp; Supplier in Tijara</v>
      </c>
      <c r="AJ1301" s="15" t="str">
        <f t="shared" si="20"/>
        <v>EP-finished SS 304/316L pipes and tubes for VERIFY plants in Tijara. ASME BPE SF1-SF4, Ra from 0.25 um, EN 10204 3.1 certificate with every lot.</v>
      </c>
      <c r="AK1301" s="15" t="str">
        <f t="shared" si="21"/>
        <v>Electropolished stainless steel pipes supplied by Sakshi Forge to VERIFY plants at RIICO Industrial Area, Tijara</v>
      </c>
      <c r="AL1301" s="15" t="str">
        <f t="shared" si="22"/>
        <v>Electropolished SS 316L tube stock for Tijara - Sakshi Forge</v>
      </c>
      <c r="AM1301" s="15" t="str">
        <f t="shared" si="23"/>
        <v>Home &gt; Market Area &gt; India &gt; Rajasthan &gt; Tijara</v>
      </c>
      <c r="AN1301" s="15">
        <f t="shared" si="24"/>
        <v>750</v>
      </c>
      <c r="AO1301" s="15">
        <f t="shared" si="25"/>
        <v>6</v>
      </c>
      <c r="AP1301" s="15">
        <f t="shared" si="26"/>
        <v>6</v>
      </c>
      <c r="AQ1301" s="15">
        <f t="shared" si="27"/>
        <v>22</v>
      </c>
      <c r="AR1301" s="31"/>
      <c r="AS1301" s="31"/>
      <c r="AT1301" s="35" t="s">
        <v>222</v>
      </c>
      <c r="AU1301" s="35"/>
    </row>
    <row r="1302" ht="15.75" customHeight="1">
      <c r="A1302" s="15" t="s">
        <v>6643</v>
      </c>
      <c r="B1302" s="15" t="s">
        <v>60</v>
      </c>
      <c r="C1302" s="15" t="s">
        <v>842</v>
      </c>
      <c r="D1302" s="15" t="s">
        <v>6644</v>
      </c>
      <c r="E1302" s="15" t="s">
        <v>6644</v>
      </c>
      <c r="F1302" s="58" t="s">
        <v>807</v>
      </c>
      <c r="G1302" s="66" t="s">
        <v>98</v>
      </c>
      <c r="H1302" s="18" t="s">
        <v>6646</v>
      </c>
      <c r="I1302" s="18" t="s">
        <v>8413</v>
      </c>
      <c r="J1302" s="18" t="s">
        <v>98</v>
      </c>
      <c r="K1302" s="18" t="s">
        <v>98</v>
      </c>
      <c r="L1302" s="18" t="s">
        <v>98</v>
      </c>
      <c r="M1302" s="18" t="s">
        <v>98</v>
      </c>
      <c r="N1302" s="18" t="s">
        <v>98</v>
      </c>
      <c r="O1302" s="18" t="s">
        <v>98</v>
      </c>
      <c r="P1302" s="15" t="str">
        <f t="shared" si="1"/>
        <v>VERIFY</v>
      </c>
      <c r="Q1302" s="15">
        <f t="shared" si="2"/>
        <v>3</v>
      </c>
      <c r="R1302" s="15">
        <f t="shared" si="3"/>
        <v>4</v>
      </c>
      <c r="S1302" s="15">
        <f t="shared" si="4"/>
        <v>4</v>
      </c>
      <c r="T1302" s="15" t="str">
        <f t="shared" si="5"/>
        <v>C-3</v>
      </c>
      <c r="U1302" s="15" t="str">
        <f t="shared" si="6"/>
        <v>T3-M4-H4-FC-3-VERIFY</v>
      </c>
      <c r="V1302" s="15">
        <f t="shared" si="7"/>
        <v>0</v>
      </c>
      <c r="W1302" s="31"/>
      <c r="X1302" s="15" t="str">
        <f t="shared" si="8"/>
        <v>tikamgarh</v>
      </c>
      <c r="Y1302" s="32" t="str">
        <f t="shared" si="9"/>
        <v>https://steelmanufacturer.in/market-area/electropolished-pipes-manufacturer-in-tikamgarh/</v>
      </c>
      <c r="Z1302" s="15" t="str">
        <f t="shared" si="10"/>
        <v>Electropolished Pipes Manufacturer in Tikamgarh</v>
      </c>
      <c r="AA1302" s="15" t="str">
        <f t="shared" si="11"/>
        <v>OK (47)</v>
      </c>
      <c r="AB1302" s="15" t="str">
        <f t="shared" si="12"/>
        <v>Sanitary electropolished pipes in Tikamgarh for VERIFY plants. ASME BPE SF1-SF4, orbital-weld ready, 3.1 MTC. Mumbai-made.</v>
      </c>
      <c r="AC1302" s="15" t="str">
        <f t="shared" si="13"/>
        <v>PENDING RESEARCH</v>
      </c>
      <c r="AD1302" s="15" t="str">
        <f t="shared" si="14"/>
        <v>Electropolished Pipes Manufacturer in Tikamgarh</v>
      </c>
      <c r="AE1302" s="15" t="str">
        <f t="shared" si="15"/>
        <v>Manufacturing Electropolished SS Tube for Tikamgarh: The Standards We Build To</v>
      </c>
      <c r="AF1302" s="15" t="str">
        <f t="shared" si="16"/>
        <v>Electropolished Pipe Supply Into Tikamgarh - Certification &amp; Transit</v>
      </c>
      <c r="AG1302" s="15" t="str">
        <f t="shared" si="17"/>
        <v>Electropolished Pipes Wholesaler in Tikamgarh - Project Quantities &amp; Terms</v>
      </c>
      <c r="AH1302" s="15" t="str">
        <f t="shared" si="18"/>
        <v>electropolished pipes manufacturer in Tikamgarh, electropolished pipes supplier in Tikamgarh, electropolished pipes wholesaler in Tikamgarh, electropolished tube manufacturer Tikamgarh, EP pipe supplier Tikamgarh, sanitary tube supplier Tikamgarh, ASME BPE tubing Tikamgarh, ASTM A270 tube Tikamgarh, SS 316L electropolished pipe Tikamgarh</v>
      </c>
      <c r="AI1302" s="15" t="str">
        <f t="shared" si="19"/>
        <v>Electropolished Pipes Manufacturer &amp; Supplier in Tikamgarh</v>
      </c>
      <c r="AJ1302" s="15" t="str">
        <f t="shared" si="20"/>
        <v>EP-finished SS 304/316L pipes and tubes for VERIFY plants in Tikamgarh. ASME BPE SF1-SF4, Ra from 0.25 um, EN 10204 3.1 certificate with every lot.</v>
      </c>
      <c r="AK1302" s="15" t="str">
        <f t="shared" si="21"/>
        <v>Electropolished stainless steel pipes supplied by Sakshi Forge to VERIFY plants at MPIDC Industrial Area, Tikamgarh</v>
      </c>
      <c r="AL1302" s="15" t="str">
        <f t="shared" si="22"/>
        <v>Electropolished SS 316L tube stock for Tikamgarh - Sakshi Forge</v>
      </c>
      <c r="AM1302" s="15" t="str">
        <f t="shared" si="23"/>
        <v>Home &gt; Market Area &gt; India &gt; Madhya Pradesh &gt; Tikamgarh</v>
      </c>
      <c r="AN1302" s="15">
        <f t="shared" si="24"/>
        <v>750</v>
      </c>
      <c r="AO1302" s="15">
        <f t="shared" si="25"/>
        <v>6</v>
      </c>
      <c r="AP1302" s="15">
        <f t="shared" si="26"/>
        <v>6</v>
      </c>
      <c r="AQ1302" s="15">
        <f t="shared" si="27"/>
        <v>22</v>
      </c>
      <c r="AR1302" s="31"/>
      <c r="AS1302" s="31"/>
      <c r="AT1302" s="35" t="s">
        <v>222</v>
      </c>
      <c r="AU1302" s="35"/>
    </row>
    <row r="1303" ht="15.75" customHeight="1">
      <c r="A1303" s="15" t="s">
        <v>6647</v>
      </c>
      <c r="B1303" s="15" t="s">
        <v>60</v>
      </c>
      <c r="C1303" s="15" t="s">
        <v>958</v>
      </c>
      <c r="D1303" s="15" t="s">
        <v>6648</v>
      </c>
      <c r="E1303" s="15" t="s">
        <v>6648</v>
      </c>
      <c r="F1303" s="58" t="s">
        <v>807</v>
      </c>
      <c r="G1303" s="66" t="s">
        <v>98</v>
      </c>
      <c r="H1303" s="18" t="s">
        <v>6650</v>
      </c>
      <c r="I1303" s="18" t="s">
        <v>8403</v>
      </c>
      <c r="J1303" s="18" t="s">
        <v>98</v>
      </c>
      <c r="K1303" s="18" t="s">
        <v>98</v>
      </c>
      <c r="L1303" s="18" t="s">
        <v>98</v>
      </c>
      <c r="M1303" s="18" t="s">
        <v>98</v>
      </c>
      <c r="N1303" s="18" t="s">
        <v>98</v>
      </c>
      <c r="O1303" s="18" t="s">
        <v>98</v>
      </c>
      <c r="P1303" s="15" t="str">
        <f t="shared" si="1"/>
        <v>VERIFY</v>
      </c>
      <c r="Q1303" s="15">
        <f t="shared" si="2"/>
        <v>4</v>
      </c>
      <c r="R1303" s="15">
        <f t="shared" si="3"/>
        <v>5</v>
      </c>
      <c r="S1303" s="15">
        <f t="shared" si="4"/>
        <v>5</v>
      </c>
      <c r="T1303" s="15" t="str">
        <f t="shared" si="5"/>
        <v>C-4</v>
      </c>
      <c r="U1303" s="15" t="str">
        <f t="shared" si="6"/>
        <v>T4-M5-H5-FC-4-VERIFY</v>
      </c>
      <c r="V1303" s="15">
        <f t="shared" si="7"/>
        <v>0</v>
      </c>
      <c r="W1303" s="31"/>
      <c r="X1303" s="15" t="str">
        <f t="shared" si="8"/>
        <v>tindivanam</v>
      </c>
      <c r="Y1303" s="32" t="str">
        <f t="shared" si="9"/>
        <v>https://steelmanufacturer.in/market-area/electropolished-pipes-manufacturer-in-tindivanam/</v>
      </c>
      <c r="Z1303" s="15" t="str">
        <f t="shared" si="10"/>
        <v>Electropolished Pipes Manufacturer in Tindivanam</v>
      </c>
      <c r="AA1303" s="15" t="str">
        <f t="shared" si="11"/>
        <v>OK (48)</v>
      </c>
      <c r="AB1303" s="15" t="str">
        <f t="shared" si="12"/>
        <v>Manufacturer of electropolished SS 316L tube serving Tindivanam. VERIFY. Ra 0.25-0.5 um, EN 10204 3.1 MTC.</v>
      </c>
      <c r="AC1303" s="15" t="str">
        <f t="shared" si="13"/>
        <v>PENDING RESEARCH</v>
      </c>
      <c r="AD1303" s="15" t="str">
        <f t="shared" si="14"/>
        <v>Electropolished Pipes Manufacturer in Tindivanam</v>
      </c>
      <c r="AE1303" s="15" t="str">
        <f t="shared" si="15"/>
        <v>Electropolished Tube Manufacturing Capability Serving Tindivanam</v>
      </c>
      <c r="AF1303" s="15" t="str">
        <f t="shared" si="16"/>
        <v>Electropolished Pipes Supplier in Tindivanam - From Order to Delivery</v>
      </c>
      <c r="AG1303" s="15" t="str">
        <f t="shared" si="17"/>
        <v>Stockist &amp; Wholesale Supply of Electropolished Pipes in Tindivanam</v>
      </c>
      <c r="AH1303" s="15" t="str">
        <f t="shared" si="18"/>
        <v>electropolished pipes manufacturer in Tindivanam, electropolished pipes supplier in Tindivanam, electropolished pipes wholesaler in Tindivanam, electropolished tube manufacturer Tindivanam, EP pipe supplier Tindivanam, sanitary tube supplier Tindivanam, ASME BPE tubing Tindivanam, ASTM A270 tube Tindivanam, SS 316L electropolished pipe Tindivanam</v>
      </c>
      <c r="AI1303" s="15" t="str">
        <f t="shared" si="19"/>
        <v>Electropolished Pipes Manufacturer &amp; Supplier in Tindivanam</v>
      </c>
      <c r="AJ1303" s="15" t="str">
        <f t="shared" si="20"/>
        <v>EP-finished SS 304/316L pipes and tubes for VERIFY plants in Tindivanam. ASME BPE SF1-SF4, Ra from 0.25 um, EN 10204 3.1 certificate with every lot.</v>
      </c>
      <c r="AK1303" s="15" t="str">
        <f t="shared" si="21"/>
        <v>Electropolished stainless steel pipes supplied by Sakshi Forge to VERIFY plants at SIPCOT Industrial Area, Tindivanam</v>
      </c>
      <c r="AL1303" s="15" t="str">
        <f t="shared" si="22"/>
        <v>Electropolished SS 316L tube stock for Tindivanam - Sakshi Forge</v>
      </c>
      <c r="AM1303" s="15" t="str">
        <f t="shared" si="23"/>
        <v>Home &gt; Market Area &gt; India &gt; Tamil Nadu &gt; Tindivanam</v>
      </c>
      <c r="AN1303" s="15">
        <f t="shared" si="24"/>
        <v>750</v>
      </c>
      <c r="AO1303" s="15">
        <f t="shared" si="25"/>
        <v>6</v>
      </c>
      <c r="AP1303" s="15">
        <f t="shared" si="26"/>
        <v>6</v>
      </c>
      <c r="AQ1303" s="15">
        <f t="shared" si="27"/>
        <v>22</v>
      </c>
      <c r="AR1303" s="31"/>
      <c r="AS1303" s="31"/>
      <c r="AT1303" s="35" t="s">
        <v>222</v>
      </c>
      <c r="AU1303" s="35"/>
    </row>
    <row r="1304" ht="15.75" customHeight="1">
      <c r="A1304" s="15" t="s">
        <v>6651</v>
      </c>
      <c r="B1304" s="15" t="s">
        <v>60</v>
      </c>
      <c r="C1304" s="15" t="s">
        <v>958</v>
      </c>
      <c r="D1304" s="15" t="s">
        <v>6652</v>
      </c>
      <c r="E1304" s="15" t="s">
        <v>6652</v>
      </c>
      <c r="F1304" s="58" t="s">
        <v>807</v>
      </c>
      <c r="G1304" s="66" t="s">
        <v>98</v>
      </c>
      <c r="H1304" s="18" t="s">
        <v>6654</v>
      </c>
      <c r="I1304" s="18" t="s">
        <v>8403</v>
      </c>
      <c r="J1304" s="18" t="s">
        <v>98</v>
      </c>
      <c r="K1304" s="18" t="s">
        <v>98</v>
      </c>
      <c r="L1304" s="18" t="s">
        <v>98</v>
      </c>
      <c r="M1304" s="18" t="s">
        <v>98</v>
      </c>
      <c r="N1304" s="18" t="s">
        <v>98</v>
      </c>
      <c r="O1304" s="18" t="s">
        <v>98</v>
      </c>
      <c r="P1304" s="15" t="str">
        <f t="shared" si="1"/>
        <v>VERIFY</v>
      </c>
      <c r="Q1304" s="15">
        <f t="shared" si="2"/>
        <v>5</v>
      </c>
      <c r="R1304" s="15">
        <f t="shared" si="3"/>
        <v>6</v>
      </c>
      <c r="S1304" s="15">
        <f t="shared" si="4"/>
        <v>1</v>
      </c>
      <c r="T1304" s="15" t="str">
        <f t="shared" si="5"/>
        <v>C-5</v>
      </c>
      <c r="U1304" s="15" t="str">
        <f t="shared" si="6"/>
        <v>T5-M6-H1-FC-5-VERIFY</v>
      </c>
      <c r="V1304" s="15">
        <f t="shared" si="7"/>
        <v>0</v>
      </c>
      <c r="W1304" s="31"/>
      <c r="X1304" s="15" t="str">
        <f t="shared" si="8"/>
        <v>tiruvannamalai</v>
      </c>
      <c r="Y1304" s="32" t="str">
        <f t="shared" si="9"/>
        <v>https://steelmanufacturer.in/market-area/electropolished-pipes-manufacturer-in-tiruvannamalai/</v>
      </c>
      <c r="Z1304" s="15" t="str">
        <f t="shared" si="10"/>
        <v>Electropolished Pipes Manufacturer in Tiruvannamalai</v>
      </c>
      <c r="AA1304" s="15" t="str">
        <f t="shared" si="11"/>
        <v>OK (52)</v>
      </c>
      <c r="AB1304" s="15" t="str">
        <f t="shared" si="12"/>
        <v>EP tube and pipe for VERIFY plants around SIPCOT Industrial Area, Tiruvannamalai. Made at our Mumbai works to ASTM A270 and ASME BPE SF1-SF4, with 3.1 MTC.</v>
      </c>
      <c r="AC1304" s="15" t="str">
        <f t="shared" si="13"/>
        <v>PENDING RESEARCH</v>
      </c>
      <c r="AD1304" s="15" t="str">
        <f t="shared" si="14"/>
        <v>Electropolished Pipes Manufacturer in Tiruvannamalai</v>
      </c>
      <c r="AE1304" s="15" t="str">
        <f t="shared" si="15"/>
        <v>Electropolished Pipe &amp; Tube Manufacturing for Tiruvannamalai - Grades, Finishes &amp; Certification</v>
      </c>
      <c r="AF1304" s="15" t="str">
        <f t="shared" si="16"/>
        <v>Electropolished Pipes Supplier in Tiruvannamalai - Stock Sizes, Lead Time &amp; Delivery</v>
      </c>
      <c r="AG1304" s="15" t="str">
        <f t="shared" si="17"/>
        <v>Electropolished Pipes Wholesaler &amp; Stockist in Tiruvannamalai - Bulk &amp; Project Pricing</v>
      </c>
      <c r="AH1304" s="15" t="str">
        <f t="shared" si="18"/>
        <v>electropolished pipes manufacturer in Tiruvannamalai, electropolished pipes supplier in Tiruvannamalai, electropolished pipes wholesaler in Tiruvannamalai, electropolished tube manufacturer Tiruvannamalai, EP pipe supplier Tiruvannamalai, sanitary tube supplier Tiruvannamalai, ASME BPE tubing Tiruvannamalai, ASTM A270 tube Tiruvannamalai, SS 316L electropolished pipe Tiruvannamalai</v>
      </c>
      <c r="AI1304" s="15" t="str">
        <f t="shared" si="19"/>
        <v>Electropolished Pipes Manufacturer &amp; Supplier in Tiruvannamalai</v>
      </c>
      <c r="AJ1304" s="15" t="str">
        <f t="shared" si="20"/>
        <v>EP-finished SS 304/316L pipes and tubes for VERIFY plants in Tiruvannamalai. ASME BPE SF1-SF4, Ra from 0.25 um, EN 10204 3.1 certificate with every lot.</v>
      </c>
      <c r="AK1304" s="15" t="str">
        <f t="shared" si="21"/>
        <v>Electropolished stainless steel pipes supplied by Sakshi Forge to VERIFY plants at SIPCOT Industrial Area, Tiruvannamalai</v>
      </c>
      <c r="AL1304" s="15" t="str">
        <f t="shared" si="22"/>
        <v>Electropolished SS 316L tube stock for Tiruvannamalai - Sakshi Forge</v>
      </c>
      <c r="AM1304" s="15" t="str">
        <f t="shared" si="23"/>
        <v>Home &gt; Market Area &gt; India &gt; Tamil Nadu &gt; Tiruvannamalai</v>
      </c>
      <c r="AN1304" s="15">
        <f t="shared" si="24"/>
        <v>750</v>
      </c>
      <c r="AO1304" s="15">
        <f t="shared" si="25"/>
        <v>6</v>
      </c>
      <c r="AP1304" s="15">
        <f t="shared" si="26"/>
        <v>6</v>
      </c>
      <c r="AQ1304" s="15">
        <f t="shared" si="27"/>
        <v>22</v>
      </c>
      <c r="AR1304" s="31"/>
      <c r="AS1304" s="31"/>
      <c r="AT1304" s="35" t="s">
        <v>222</v>
      </c>
      <c r="AU1304" s="35"/>
    </row>
    <row r="1305" ht="15.75" customHeight="1">
      <c r="A1305" s="15" t="s">
        <v>6655</v>
      </c>
      <c r="B1305" s="15" t="s">
        <v>60</v>
      </c>
      <c r="C1305" s="15" t="s">
        <v>245</v>
      </c>
      <c r="D1305" s="15" t="s">
        <v>6656</v>
      </c>
      <c r="E1305" s="15" t="s">
        <v>6656</v>
      </c>
      <c r="F1305" s="58" t="s">
        <v>807</v>
      </c>
      <c r="G1305" s="66" t="s">
        <v>98</v>
      </c>
      <c r="H1305" s="18" t="s">
        <v>6658</v>
      </c>
      <c r="I1305" s="18" t="s">
        <v>8407</v>
      </c>
      <c r="J1305" s="18" t="s">
        <v>98</v>
      </c>
      <c r="K1305" s="18" t="s">
        <v>98</v>
      </c>
      <c r="L1305" s="18" t="s">
        <v>98</v>
      </c>
      <c r="M1305" s="18" t="s">
        <v>98</v>
      </c>
      <c r="N1305" s="18" t="s">
        <v>98</v>
      </c>
      <c r="O1305" s="18" t="s">
        <v>98</v>
      </c>
      <c r="P1305" s="15" t="str">
        <f t="shared" si="1"/>
        <v>VERIFY</v>
      </c>
      <c r="Q1305" s="15">
        <f t="shared" si="2"/>
        <v>6</v>
      </c>
      <c r="R1305" s="15">
        <f t="shared" si="3"/>
        <v>7</v>
      </c>
      <c r="S1305" s="15">
        <f t="shared" si="4"/>
        <v>2</v>
      </c>
      <c r="T1305" s="15" t="str">
        <f t="shared" si="5"/>
        <v>C-6</v>
      </c>
      <c r="U1305" s="15" t="str">
        <f t="shared" si="6"/>
        <v>T6-M7-H2-FC-6-VERIFY</v>
      </c>
      <c r="V1305" s="15">
        <f t="shared" si="7"/>
        <v>0</v>
      </c>
      <c r="W1305" s="31"/>
      <c r="X1305" s="15" t="str">
        <f t="shared" si="8"/>
        <v>tohana</v>
      </c>
      <c r="Y1305" s="32" t="str">
        <f t="shared" si="9"/>
        <v>https://steelmanufacturer.in/market-area/electropolished-pipes-manufacturer-in-tohana/</v>
      </c>
      <c r="Z1305" s="15" t="str">
        <f t="shared" si="10"/>
        <v>Electropolished Pipes Manufacturer in Tohana</v>
      </c>
      <c r="AA1305" s="15" t="str">
        <f t="shared" si="11"/>
        <v>OK (44)</v>
      </c>
      <c r="AB1305" s="15" t="str">
        <f t="shared" si="12"/>
        <v>Electropolished pipes in Tohana: 304, 304L, 316 and 316L in SF1-SF4. VERIFY. Mill certified.</v>
      </c>
      <c r="AC1305" s="15" t="str">
        <f t="shared" si="13"/>
        <v>PENDING RESEARCH</v>
      </c>
      <c r="AD1305" s="15" t="str">
        <f t="shared" si="14"/>
        <v>Electropolished Pipes Manufacturer in Tohana</v>
      </c>
      <c r="AE1305" s="15" t="str">
        <f t="shared" si="15"/>
        <v>How We Manufacture Electropolished Tube for Tohana Plants</v>
      </c>
      <c r="AF1305" s="15" t="str">
        <f t="shared" si="16"/>
        <v>Supplying Electropolished Pipes in Tohana: Availability, Sizes &amp; Dispatch</v>
      </c>
      <c r="AG1305" s="15" t="str">
        <f t="shared" si="17"/>
        <v>Wholesale Electropolished Pipe Supply for Tohana Projects</v>
      </c>
      <c r="AH1305" s="15" t="str">
        <f t="shared" si="18"/>
        <v>electropolished pipes manufacturer in Tohana, electropolished pipes supplier in Tohana, electropolished pipes wholesaler in Tohana, electropolished tube manufacturer Tohana, EP pipe supplier Tohana, sanitary tube supplier Tohana, ASME BPE tubing Tohana, ASTM A270 tube Tohana, SS 316L electropolished pipe Tohana</v>
      </c>
      <c r="AI1305" s="15" t="str">
        <f t="shared" si="19"/>
        <v>Electropolished Pipes Manufacturer &amp; Supplier in Tohana</v>
      </c>
      <c r="AJ1305" s="15" t="str">
        <f t="shared" si="20"/>
        <v>EP-finished SS 304/316L pipes and tubes for VERIFY plants in Tohana. ASME BPE SF1-SF4, Ra from 0.25 um, EN 10204 3.1 certificate with every lot.</v>
      </c>
      <c r="AK1305" s="15" t="str">
        <f t="shared" si="21"/>
        <v>Electropolished stainless steel pipes supplied by Sakshi Forge to VERIFY plants at HSIIDC Industrial Area, Tohana</v>
      </c>
      <c r="AL1305" s="15" t="str">
        <f t="shared" si="22"/>
        <v>Electropolished SS 316L tube stock for Tohana - Sakshi Forge</v>
      </c>
      <c r="AM1305" s="15" t="str">
        <f t="shared" si="23"/>
        <v>Home &gt; Market Area &gt; India &gt; Haryana &gt; Tohana</v>
      </c>
      <c r="AN1305" s="15">
        <f t="shared" si="24"/>
        <v>750</v>
      </c>
      <c r="AO1305" s="15">
        <f t="shared" si="25"/>
        <v>6</v>
      </c>
      <c r="AP1305" s="15">
        <f t="shared" si="26"/>
        <v>6</v>
      </c>
      <c r="AQ1305" s="15">
        <f t="shared" si="27"/>
        <v>22</v>
      </c>
      <c r="AR1305" s="31"/>
      <c r="AS1305" s="31"/>
      <c r="AT1305" s="35" t="s">
        <v>222</v>
      </c>
      <c r="AU1305" s="35"/>
    </row>
    <row r="1306" ht="15.75" customHeight="1">
      <c r="A1306" s="15" t="s">
        <v>6660</v>
      </c>
      <c r="B1306" s="15" t="s">
        <v>60</v>
      </c>
      <c r="C1306" s="15" t="s">
        <v>1312</v>
      </c>
      <c r="D1306" s="15" t="s">
        <v>6662</v>
      </c>
      <c r="E1306" s="15" t="s">
        <v>6662</v>
      </c>
      <c r="F1306" s="58" t="s">
        <v>807</v>
      </c>
      <c r="G1306" s="66" t="s">
        <v>98</v>
      </c>
      <c r="H1306" s="18" t="s">
        <v>6666</v>
      </c>
      <c r="I1306" s="18" t="s">
        <v>8392</v>
      </c>
      <c r="J1306" s="18" t="s">
        <v>98</v>
      </c>
      <c r="K1306" s="18" t="s">
        <v>98</v>
      </c>
      <c r="L1306" s="18" t="s">
        <v>98</v>
      </c>
      <c r="M1306" s="18" t="s">
        <v>98</v>
      </c>
      <c r="N1306" s="18" t="s">
        <v>98</v>
      </c>
      <c r="O1306" s="18" t="s">
        <v>98</v>
      </c>
      <c r="P1306" s="15" t="str">
        <f t="shared" si="1"/>
        <v>VERIFY</v>
      </c>
      <c r="Q1306" s="15">
        <f t="shared" si="2"/>
        <v>7</v>
      </c>
      <c r="R1306" s="15">
        <f t="shared" si="3"/>
        <v>1</v>
      </c>
      <c r="S1306" s="15">
        <f t="shared" si="4"/>
        <v>3</v>
      </c>
      <c r="T1306" s="15" t="str">
        <f t="shared" si="5"/>
        <v>C-1</v>
      </c>
      <c r="U1306" s="15" t="str">
        <f t="shared" si="6"/>
        <v>T7-M1-H3-FC-1-VERIFY</v>
      </c>
      <c r="V1306" s="15">
        <f t="shared" si="7"/>
        <v>0</v>
      </c>
      <c r="W1306" s="31"/>
      <c r="X1306" s="15" t="str">
        <f t="shared" si="8"/>
        <v>toopran</v>
      </c>
      <c r="Y1306" s="32" t="str">
        <f t="shared" si="9"/>
        <v>https://steelmanufacturer.in/market-area/electropolished-pipes-manufacturer-in-toopran/</v>
      </c>
      <c r="Z1306" s="15" t="str">
        <f t="shared" si="10"/>
        <v>Electropolished Pipes Manufacturer in Toopran | ASME BPE SF1-SF4</v>
      </c>
      <c r="AA1306" s="15" t="str">
        <f t="shared" si="11"/>
        <v>OK (64)</v>
      </c>
      <c r="AB1306" s="15" t="str">
        <f t="shared" si="12"/>
        <v>EP-finished SS 304/316L pipes &amp; tubes for VERIFY plants in Toopran. ASTM A270, ASME BPE SF1-SF4, EN 10204 3.1 MTC. PMI tested.</v>
      </c>
      <c r="AC1306" s="15" t="str">
        <f t="shared" si="13"/>
        <v>PENDING RESEARCH</v>
      </c>
      <c r="AD1306" s="15" t="str">
        <f t="shared" si="14"/>
        <v>Electropolished Pipes Manufacturer in Toopran</v>
      </c>
      <c r="AE1306" s="15" t="str">
        <f t="shared" si="15"/>
        <v>Electropolished Pipes Manufacturer in Toopran - Our Process &amp; Capability</v>
      </c>
      <c r="AF1306" s="15" t="str">
        <f t="shared" si="16"/>
        <v>Electropolished Pipes Supplier in Toopran - What We Hold in Stock</v>
      </c>
      <c r="AG1306" s="15" t="str">
        <f t="shared" si="17"/>
        <v>Bulk &amp; Wholesale Electropolished Pipe Rates for Toopran Buyers</v>
      </c>
      <c r="AH1306" s="15" t="str">
        <f t="shared" si="18"/>
        <v>electropolished pipes manufacturer in Toopran, electropolished pipes supplier in Toopran, electropolished pipes wholesaler in Toopran, electropolished tube manufacturer Toopran, EP pipe supplier Toopran, sanitary tube supplier Toopran, ASME BPE tubing Toopran, ASTM A270 tube Toopran, SS 316L electropolished pipe Toopran</v>
      </c>
      <c r="AI1306" s="15" t="str">
        <f t="shared" si="19"/>
        <v>Electropolished Pipes Manufacturer &amp; Supplier in Toopran</v>
      </c>
      <c r="AJ1306" s="15" t="str">
        <f t="shared" si="20"/>
        <v>EP-finished SS 304/316L pipes and tubes for VERIFY plants in Toopran. ASME BPE SF1-SF4, Ra from 0.25 um, EN 10204 3.1 certificate with every lot.</v>
      </c>
      <c r="AK1306" s="15" t="str">
        <f t="shared" si="21"/>
        <v>Electropolished stainless steel pipes supplied by Sakshi Forge to VERIFY plants at TSIIC Industrial Area, Toopran</v>
      </c>
      <c r="AL1306" s="15" t="str">
        <f t="shared" si="22"/>
        <v>Electropolished SS 316L tube stock for Toopran - Sakshi Forge</v>
      </c>
      <c r="AM1306" s="15" t="str">
        <f t="shared" si="23"/>
        <v>Home &gt; Market Area &gt; India &gt; Telangana &gt; Toopran</v>
      </c>
      <c r="AN1306" s="15">
        <f t="shared" si="24"/>
        <v>750</v>
      </c>
      <c r="AO1306" s="15">
        <f t="shared" si="25"/>
        <v>6</v>
      </c>
      <c r="AP1306" s="15">
        <f t="shared" si="26"/>
        <v>6</v>
      </c>
      <c r="AQ1306" s="15">
        <f t="shared" si="27"/>
        <v>22</v>
      </c>
      <c r="AR1306" s="31"/>
      <c r="AS1306" s="31"/>
      <c r="AT1306" s="35" t="s">
        <v>222</v>
      </c>
      <c r="AU1306" s="35"/>
    </row>
    <row r="1307" ht="15.75" customHeight="1">
      <c r="A1307" s="15" t="s">
        <v>6668</v>
      </c>
      <c r="B1307" s="15" t="s">
        <v>60</v>
      </c>
      <c r="C1307" s="15" t="s">
        <v>245</v>
      </c>
      <c r="D1307" s="15" t="s">
        <v>6669</v>
      </c>
      <c r="E1307" s="15" t="s">
        <v>6669</v>
      </c>
      <c r="F1307" s="58" t="s">
        <v>807</v>
      </c>
      <c r="G1307" s="66" t="s">
        <v>98</v>
      </c>
      <c r="H1307" s="18" t="s">
        <v>6671</v>
      </c>
      <c r="I1307" s="18" t="s">
        <v>8407</v>
      </c>
      <c r="J1307" s="18" t="s">
        <v>98</v>
      </c>
      <c r="K1307" s="18" t="s">
        <v>98</v>
      </c>
      <c r="L1307" s="18" t="s">
        <v>98</v>
      </c>
      <c r="M1307" s="18" t="s">
        <v>98</v>
      </c>
      <c r="N1307" s="18" t="s">
        <v>98</v>
      </c>
      <c r="O1307" s="18" t="s">
        <v>98</v>
      </c>
      <c r="P1307" s="15" t="str">
        <f t="shared" si="1"/>
        <v>VERIFY</v>
      </c>
      <c r="Q1307" s="15">
        <f t="shared" si="2"/>
        <v>8</v>
      </c>
      <c r="R1307" s="15">
        <f t="shared" si="3"/>
        <v>2</v>
      </c>
      <c r="S1307" s="15">
        <f t="shared" si="4"/>
        <v>4</v>
      </c>
      <c r="T1307" s="15" t="str">
        <f t="shared" si="5"/>
        <v>C-2</v>
      </c>
      <c r="U1307" s="15" t="str">
        <f t="shared" si="6"/>
        <v>T8-M2-H4-FC-2-VERIFY</v>
      </c>
      <c r="V1307" s="15">
        <f t="shared" si="7"/>
        <v>0</v>
      </c>
      <c r="W1307" s="31"/>
      <c r="X1307" s="15" t="str">
        <f t="shared" si="8"/>
        <v>tosham</v>
      </c>
      <c r="Y1307" s="32" t="str">
        <f t="shared" si="9"/>
        <v>https://steelmanufacturer.in/market-area/electropolished-pipes-manufacturer-in-tosham/</v>
      </c>
      <c r="Z1307" s="15" t="str">
        <f t="shared" si="10"/>
        <v>Electropolished Pipes Manufacturer in Tosham - EP Tube Stockist</v>
      </c>
      <c r="AA1307" s="15" t="str">
        <f t="shared" si="11"/>
        <v>OK (63)</v>
      </c>
      <c r="AB1307" s="15" t="str">
        <f t="shared" si="12"/>
        <v>Electropolished tube supply to HSIIDC Industrial Area, Tosham. Ra from 0.25 um, SF4 finish, mill test certificate with every lot.</v>
      </c>
      <c r="AC1307" s="15" t="str">
        <f t="shared" si="13"/>
        <v>PENDING RESEARCH</v>
      </c>
      <c r="AD1307" s="15" t="str">
        <f t="shared" si="14"/>
        <v>Electropolished Pipes Manufacturer in Tosham</v>
      </c>
      <c r="AE1307" s="15" t="str">
        <f t="shared" si="15"/>
        <v>Manufacturing Electropolished SS Tube for Tosham: The Standards We Build To</v>
      </c>
      <c r="AF1307" s="15" t="str">
        <f t="shared" si="16"/>
        <v>Electropolished Pipe Supply Into Tosham - Certification &amp; Transit</v>
      </c>
      <c r="AG1307" s="15" t="str">
        <f t="shared" si="17"/>
        <v>Electropolished Pipes Wholesaler in Tosham - Project Quantities &amp; Terms</v>
      </c>
      <c r="AH1307" s="15" t="str">
        <f t="shared" si="18"/>
        <v>electropolished pipes manufacturer in Tosham, electropolished pipes supplier in Tosham, electropolished pipes wholesaler in Tosham, electropolished tube manufacturer Tosham, EP pipe supplier Tosham, sanitary tube supplier Tosham, ASME BPE tubing Tosham, ASTM A270 tube Tosham, SS 316L electropolished pipe Tosham</v>
      </c>
      <c r="AI1307" s="15" t="str">
        <f t="shared" si="19"/>
        <v>Electropolished Pipes Manufacturer &amp; Supplier in Tosham</v>
      </c>
      <c r="AJ1307" s="15" t="str">
        <f t="shared" si="20"/>
        <v>EP-finished SS 304/316L pipes and tubes for VERIFY plants in Tosham. ASME BPE SF1-SF4, Ra from 0.25 um, EN 10204 3.1 certificate with every lot.</v>
      </c>
      <c r="AK1307" s="15" t="str">
        <f t="shared" si="21"/>
        <v>Electropolished stainless steel pipes supplied by Sakshi Forge to VERIFY plants at HSIIDC Industrial Area, Tosham</v>
      </c>
      <c r="AL1307" s="15" t="str">
        <f t="shared" si="22"/>
        <v>Electropolished SS 316L tube stock for Tosham - Sakshi Forge</v>
      </c>
      <c r="AM1307" s="15" t="str">
        <f t="shared" si="23"/>
        <v>Home &gt; Market Area &gt; India &gt; Haryana &gt; Tosham</v>
      </c>
      <c r="AN1307" s="15">
        <f t="shared" si="24"/>
        <v>750</v>
      </c>
      <c r="AO1307" s="15">
        <f t="shared" si="25"/>
        <v>6</v>
      </c>
      <c r="AP1307" s="15">
        <f t="shared" si="26"/>
        <v>6</v>
      </c>
      <c r="AQ1307" s="15">
        <f t="shared" si="27"/>
        <v>22</v>
      </c>
      <c r="AR1307" s="31"/>
      <c r="AS1307" s="31"/>
      <c r="AT1307" s="35" t="s">
        <v>222</v>
      </c>
      <c r="AU1307" s="35"/>
    </row>
    <row r="1308" ht="15.75" customHeight="1">
      <c r="A1308" s="15" t="s">
        <v>6672</v>
      </c>
      <c r="B1308" s="15" t="s">
        <v>60</v>
      </c>
      <c r="C1308" s="15" t="s">
        <v>413</v>
      </c>
      <c r="D1308" s="15" t="s">
        <v>6673</v>
      </c>
      <c r="E1308" s="15" t="s">
        <v>6673</v>
      </c>
      <c r="F1308" s="58" t="s">
        <v>807</v>
      </c>
      <c r="G1308" s="66" t="s">
        <v>98</v>
      </c>
      <c r="H1308" s="18" t="s">
        <v>6675</v>
      </c>
      <c r="I1308" s="18" t="s">
        <v>8393</v>
      </c>
      <c r="J1308" s="18" t="s">
        <v>98</v>
      </c>
      <c r="K1308" s="18" t="s">
        <v>98</v>
      </c>
      <c r="L1308" s="18" t="s">
        <v>98</v>
      </c>
      <c r="M1308" s="18" t="s">
        <v>98</v>
      </c>
      <c r="N1308" s="18" t="s">
        <v>98</v>
      </c>
      <c r="O1308" s="18" t="s">
        <v>98</v>
      </c>
      <c r="P1308" s="15" t="str">
        <f t="shared" si="1"/>
        <v>VERIFY</v>
      </c>
      <c r="Q1308" s="15">
        <f t="shared" si="2"/>
        <v>1</v>
      </c>
      <c r="R1308" s="15">
        <f t="shared" si="3"/>
        <v>3</v>
      </c>
      <c r="S1308" s="15">
        <f t="shared" si="4"/>
        <v>5</v>
      </c>
      <c r="T1308" s="15" t="str">
        <f t="shared" si="5"/>
        <v>C-3</v>
      </c>
      <c r="U1308" s="15" t="str">
        <f t="shared" si="6"/>
        <v>T1-M3-H5-FC-3-VERIFY</v>
      </c>
      <c r="V1308" s="15">
        <f t="shared" si="7"/>
        <v>0</v>
      </c>
      <c r="W1308" s="31"/>
      <c r="X1308" s="15" t="str">
        <f t="shared" si="8"/>
        <v>tuni</v>
      </c>
      <c r="Y1308" s="32" t="str">
        <f t="shared" si="9"/>
        <v>https://steelmanufacturer.in/market-area/electropolished-pipes-manufacturer-in-tuni/</v>
      </c>
      <c r="Z1308" s="15" t="str">
        <f t="shared" si="10"/>
        <v>Electropolished Pipes Manufacturer in Tuni | Sakshi Forge</v>
      </c>
      <c r="AA1308" s="15" t="str">
        <f t="shared" si="11"/>
        <v>OK (57)</v>
      </c>
      <c r="AB1308" s="15" t="str">
        <f t="shared" si="12"/>
        <v>EP stainless tube for VERIFY lines in Tuni. VERIFY. ASTM A270 S2, PMI tested, EN 10204 3.1.</v>
      </c>
      <c r="AC1308" s="15" t="str">
        <f t="shared" si="13"/>
        <v>PENDING RESEARCH</v>
      </c>
      <c r="AD1308" s="15" t="str">
        <f t="shared" si="14"/>
        <v>Electropolished Pipes Manufacturer in Tuni</v>
      </c>
      <c r="AE1308" s="15" t="str">
        <f t="shared" si="15"/>
        <v>Electropolished Tube Manufacturing Capability Serving Tuni</v>
      </c>
      <c r="AF1308" s="15" t="str">
        <f t="shared" si="16"/>
        <v>Electropolished Pipes Supplier in Tuni - From Order to Delivery</v>
      </c>
      <c r="AG1308" s="15" t="str">
        <f t="shared" si="17"/>
        <v>Stockist &amp; Wholesale Supply of Electropolished Pipes in Tuni</v>
      </c>
      <c r="AH1308" s="15" t="str">
        <f t="shared" si="18"/>
        <v>electropolished pipes manufacturer in Tuni, electropolished pipes supplier in Tuni, electropolished pipes wholesaler in Tuni, electropolished tube manufacturer Tuni, EP pipe supplier Tuni, sanitary tube supplier Tuni, ASME BPE tubing Tuni, ASTM A270 tube Tuni, SS 316L electropolished pipe Tuni</v>
      </c>
      <c r="AI1308" s="15" t="str">
        <f t="shared" si="19"/>
        <v>Electropolished Pipes Manufacturer &amp; Supplier in Tuni</v>
      </c>
      <c r="AJ1308" s="15" t="str">
        <f t="shared" si="20"/>
        <v>EP-finished SS 304/316L pipes and tubes for VERIFY plants in Tuni. ASME BPE SF1-SF4, Ra from 0.25 um, EN 10204 3.1 certificate with every lot.</v>
      </c>
      <c r="AK1308" s="15" t="str">
        <f t="shared" si="21"/>
        <v>Electropolished stainless steel pipes supplied by Sakshi Forge to VERIFY plants at APIIC Industrial Area, Tuni</v>
      </c>
      <c r="AL1308" s="15" t="str">
        <f t="shared" si="22"/>
        <v>Electropolished SS 316L tube stock for Tuni - Sakshi Forge</v>
      </c>
      <c r="AM1308" s="15" t="str">
        <f t="shared" si="23"/>
        <v>Home &gt; Market Area &gt; India &gt; Andhra Pradesh &gt; Tuni</v>
      </c>
      <c r="AN1308" s="15">
        <f t="shared" si="24"/>
        <v>750</v>
      </c>
      <c r="AO1308" s="15">
        <f t="shared" si="25"/>
        <v>6</v>
      </c>
      <c r="AP1308" s="15">
        <f t="shared" si="26"/>
        <v>6</v>
      </c>
      <c r="AQ1308" s="15">
        <f t="shared" si="27"/>
        <v>22</v>
      </c>
      <c r="AR1308" s="31"/>
      <c r="AS1308" s="31"/>
      <c r="AT1308" s="35" t="s">
        <v>222</v>
      </c>
      <c r="AU1308" s="35"/>
    </row>
    <row r="1309" ht="15.75" customHeight="1">
      <c r="A1309" s="15" t="s">
        <v>6676</v>
      </c>
      <c r="B1309" s="15" t="s">
        <v>60</v>
      </c>
      <c r="C1309" s="15" t="s">
        <v>224</v>
      </c>
      <c r="D1309" s="15" t="s">
        <v>6677</v>
      </c>
      <c r="E1309" s="15" t="s">
        <v>6677</v>
      </c>
      <c r="F1309" s="58" t="s">
        <v>807</v>
      </c>
      <c r="G1309" s="66" t="s">
        <v>98</v>
      </c>
      <c r="H1309" s="18" t="s">
        <v>6679</v>
      </c>
      <c r="I1309" s="18" t="s">
        <v>8400</v>
      </c>
      <c r="J1309" s="18" t="s">
        <v>98</v>
      </c>
      <c r="K1309" s="18" t="s">
        <v>98</v>
      </c>
      <c r="L1309" s="18" t="s">
        <v>98</v>
      </c>
      <c r="M1309" s="18" t="s">
        <v>98</v>
      </c>
      <c r="N1309" s="18" t="s">
        <v>98</v>
      </c>
      <c r="O1309" s="18" t="s">
        <v>98</v>
      </c>
      <c r="P1309" s="15" t="str">
        <f t="shared" si="1"/>
        <v>VERIFY</v>
      </c>
      <c r="Q1309" s="15">
        <f t="shared" si="2"/>
        <v>2</v>
      </c>
      <c r="R1309" s="15">
        <f t="shared" si="3"/>
        <v>4</v>
      </c>
      <c r="S1309" s="15">
        <f t="shared" si="4"/>
        <v>1</v>
      </c>
      <c r="T1309" s="15" t="str">
        <f t="shared" si="5"/>
        <v>C-4</v>
      </c>
      <c r="U1309" s="15" t="str">
        <f t="shared" si="6"/>
        <v>T2-M4-H1-FC-4-VERIFY</v>
      </c>
      <c r="V1309" s="15">
        <f t="shared" si="7"/>
        <v>0</v>
      </c>
      <c r="W1309" s="31"/>
      <c r="X1309" s="15" t="str">
        <f t="shared" si="8"/>
        <v>uchchhal</v>
      </c>
      <c r="Y1309" s="32" t="str">
        <f t="shared" si="9"/>
        <v>https://steelmanufacturer.in/market-area/electropolished-pipes-manufacturer-in-uchchhal/</v>
      </c>
      <c r="Z1309" s="15" t="str">
        <f t="shared" si="10"/>
        <v>Electropolished Pipes Manufacturer in Uchchhal</v>
      </c>
      <c r="AA1309" s="15" t="str">
        <f t="shared" si="11"/>
        <v>OK (46)</v>
      </c>
      <c r="AB1309" s="15" t="str">
        <f t="shared" si="12"/>
        <v>Sanitary electropolished pipes in Uchchhal for VERIFY plants. ASME BPE SF1-SF4, orbital-weld ready, 3.1 MTC. Mumbai-made.</v>
      </c>
      <c r="AC1309" s="15" t="str">
        <f t="shared" si="13"/>
        <v>PENDING RESEARCH</v>
      </c>
      <c r="AD1309" s="15" t="str">
        <f t="shared" si="14"/>
        <v>Electropolished Pipes Manufacturer in Uchchhal</v>
      </c>
      <c r="AE1309" s="15" t="str">
        <f t="shared" si="15"/>
        <v>Electropolished Pipe &amp; Tube Manufacturing for Uchchhal - Grades, Finishes &amp; Certification</v>
      </c>
      <c r="AF1309" s="15" t="str">
        <f t="shared" si="16"/>
        <v>Electropolished Pipes Supplier in Uchchhal - Stock Sizes, Lead Time &amp; Delivery</v>
      </c>
      <c r="AG1309" s="15" t="str">
        <f t="shared" si="17"/>
        <v>Electropolished Pipes Wholesaler &amp; Stockist in Uchchhal - Bulk &amp; Project Pricing</v>
      </c>
      <c r="AH1309" s="15" t="str">
        <f t="shared" si="18"/>
        <v>electropolished pipes manufacturer in Uchchhal, electropolished pipes supplier in Uchchhal, electropolished pipes wholesaler in Uchchhal, electropolished tube manufacturer Uchchhal, EP pipe supplier Uchchhal, sanitary tube supplier Uchchhal, ASME BPE tubing Uchchhal, ASTM A270 tube Uchchhal, SS 316L electropolished pipe Uchchhal</v>
      </c>
      <c r="AI1309" s="15" t="str">
        <f t="shared" si="19"/>
        <v>Electropolished Pipes Manufacturer &amp; Supplier in Uchchhal</v>
      </c>
      <c r="AJ1309" s="15" t="str">
        <f t="shared" si="20"/>
        <v>EP-finished SS 304/316L pipes and tubes for VERIFY plants in Uchchhal. ASME BPE SF1-SF4, Ra from 0.25 um, EN 10204 3.1 certificate with every lot.</v>
      </c>
      <c r="AK1309" s="15" t="str">
        <f t="shared" si="21"/>
        <v>Electropolished stainless steel pipes supplied by Sakshi Forge to VERIFY plants at GIDC Industrial Area, Uchchhal</v>
      </c>
      <c r="AL1309" s="15" t="str">
        <f t="shared" si="22"/>
        <v>Electropolished SS 316L tube stock for Uchchhal - Sakshi Forge</v>
      </c>
      <c r="AM1309" s="15" t="str">
        <f t="shared" si="23"/>
        <v>Home &gt; Market Area &gt; India &gt; Gujarat &gt; Uchchhal</v>
      </c>
      <c r="AN1309" s="15">
        <f t="shared" si="24"/>
        <v>750</v>
      </c>
      <c r="AO1309" s="15">
        <f t="shared" si="25"/>
        <v>6</v>
      </c>
      <c r="AP1309" s="15">
        <f t="shared" si="26"/>
        <v>6</v>
      </c>
      <c r="AQ1309" s="15">
        <f t="shared" si="27"/>
        <v>22</v>
      </c>
      <c r="AR1309" s="31"/>
      <c r="AS1309" s="31"/>
      <c r="AT1309" s="35" t="s">
        <v>222</v>
      </c>
      <c r="AU1309" s="35"/>
    </row>
    <row r="1310" ht="15.75" customHeight="1">
      <c r="A1310" s="15" t="s">
        <v>6680</v>
      </c>
      <c r="B1310" s="15" t="s">
        <v>60</v>
      </c>
      <c r="C1310" s="15" t="s">
        <v>264</v>
      </c>
      <c r="D1310" s="15" t="s">
        <v>6681</v>
      </c>
      <c r="E1310" s="15" t="s">
        <v>6681</v>
      </c>
      <c r="F1310" s="58" t="s">
        <v>807</v>
      </c>
      <c r="G1310" s="66" t="s">
        <v>98</v>
      </c>
      <c r="H1310" s="18" t="s">
        <v>6683</v>
      </c>
      <c r="I1310" s="18" t="s">
        <v>8395</v>
      </c>
      <c r="J1310" s="18" t="s">
        <v>98</v>
      </c>
      <c r="K1310" s="18" t="s">
        <v>98</v>
      </c>
      <c r="L1310" s="18" t="s">
        <v>98</v>
      </c>
      <c r="M1310" s="18" t="s">
        <v>98</v>
      </c>
      <c r="N1310" s="18" t="s">
        <v>98</v>
      </c>
      <c r="O1310" s="18" t="s">
        <v>98</v>
      </c>
      <c r="P1310" s="15" t="str">
        <f t="shared" si="1"/>
        <v>VERIFY</v>
      </c>
      <c r="Q1310" s="15">
        <f t="shared" si="2"/>
        <v>3</v>
      </c>
      <c r="R1310" s="15">
        <f t="shared" si="3"/>
        <v>5</v>
      </c>
      <c r="S1310" s="15">
        <f t="shared" si="4"/>
        <v>2</v>
      </c>
      <c r="T1310" s="15" t="str">
        <f t="shared" si="5"/>
        <v>C-5</v>
      </c>
      <c r="U1310" s="15" t="str">
        <f t="shared" si="6"/>
        <v>T3-M5-H2-FC-5-VERIFY</v>
      </c>
      <c r="V1310" s="15">
        <f t="shared" si="7"/>
        <v>0</v>
      </c>
      <c r="W1310" s="31"/>
      <c r="X1310" s="15" t="str">
        <f t="shared" si="8"/>
        <v>udgir</v>
      </c>
      <c r="Y1310" s="32" t="str">
        <f t="shared" si="9"/>
        <v>https://steelmanufacturer.in/market-area/electropolished-pipes-manufacturer-in-udgir/</v>
      </c>
      <c r="Z1310" s="15" t="str">
        <f t="shared" si="10"/>
        <v>Electropolished Pipes Manufacturer in Udgir | EP Tube Supplier</v>
      </c>
      <c r="AA1310" s="15" t="str">
        <f t="shared" si="11"/>
        <v>OK (62)</v>
      </c>
      <c r="AB1310" s="15" t="str">
        <f t="shared" si="12"/>
        <v>Manufacturer of electropolished SS 316L tube serving Udgir. VERIFY. Ra 0.25-0.5 um, EN 10204 3.1 MTC.</v>
      </c>
      <c r="AC1310" s="15" t="str">
        <f t="shared" si="13"/>
        <v>PENDING RESEARCH</v>
      </c>
      <c r="AD1310" s="15" t="str">
        <f t="shared" si="14"/>
        <v>Electropolished Pipes Manufacturer in Udgir</v>
      </c>
      <c r="AE1310" s="15" t="str">
        <f t="shared" si="15"/>
        <v>How We Manufacture Electropolished Tube for Udgir Plants</v>
      </c>
      <c r="AF1310" s="15" t="str">
        <f t="shared" si="16"/>
        <v>Supplying Electropolished Pipes in Udgir: Availability, Sizes &amp; Dispatch</v>
      </c>
      <c r="AG1310" s="15" t="str">
        <f t="shared" si="17"/>
        <v>Wholesale Electropolished Pipe Supply for Udgir Projects</v>
      </c>
      <c r="AH1310" s="15" t="str">
        <f t="shared" si="18"/>
        <v>electropolished pipes manufacturer in Udgir, electropolished pipes supplier in Udgir, electropolished pipes wholesaler in Udgir, electropolished tube manufacturer Udgir, EP pipe supplier Udgir, sanitary tube supplier Udgir, ASME BPE tubing Udgir, ASTM A270 tube Udgir, SS 316L electropolished pipe Udgir</v>
      </c>
      <c r="AI1310" s="15" t="str">
        <f t="shared" si="19"/>
        <v>Electropolished Pipes Manufacturer &amp; Supplier in Udgir</v>
      </c>
      <c r="AJ1310" s="15" t="str">
        <f t="shared" si="20"/>
        <v>EP-finished SS 304/316L pipes and tubes for VERIFY plants in Udgir. ASME BPE SF1-SF4, Ra from 0.25 um, EN 10204 3.1 certificate with every lot.</v>
      </c>
      <c r="AK1310" s="15" t="str">
        <f t="shared" si="21"/>
        <v>Electropolished stainless steel pipes supplied by Sakshi Forge to VERIFY plants at MIDC Industrial Area, Udgir</v>
      </c>
      <c r="AL1310" s="15" t="str">
        <f t="shared" si="22"/>
        <v>Electropolished SS 316L tube stock for Udgir - Sakshi Forge</v>
      </c>
      <c r="AM1310" s="15" t="str">
        <f t="shared" si="23"/>
        <v>Home &gt; Market Area &gt; India &gt; Maharashtra &gt; Udgir</v>
      </c>
      <c r="AN1310" s="15">
        <f t="shared" si="24"/>
        <v>750</v>
      </c>
      <c r="AO1310" s="15">
        <f t="shared" si="25"/>
        <v>6</v>
      </c>
      <c r="AP1310" s="15">
        <f t="shared" si="26"/>
        <v>6</v>
      </c>
      <c r="AQ1310" s="15">
        <f t="shared" si="27"/>
        <v>22</v>
      </c>
      <c r="AR1310" s="31"/>
      <c r="AS1310" s="31"/>
      <c r="AT1310" s="35" t="s">
        <v>222</v>
      </c>
      <c r="AU1310" s="35"/>
    </row>
    <row r="1311" ht="15.75" customHeight="1">
      <c r="A1311" s="15" t="s">
        <v>6684</v>
      </c>
      <c r="B1311" s="15" t="s">
        <v>60</v>
      </c>
      <c r="C1311" s="15" t="s">
        <v>958</v>
      </c>
      <c r="D1311" s="15" t="s">
        <v>6685</v>
      </c>
      <c r="E1311" s="15" t="s">
        <v>6685</v>
      </c>
      <c r="F1311" s="58" t="s">
        <v>807</v>
      </c>
      <c r="G1311" s="66" t="s">
        <v>98</v>
      </c>
      <c r="H1311" s="18" t="s">
        <v>6687</v>
      </c>
      <c r="I1311" s="18" t="s">
        <v>8403</v>
      </c>
      <c r="J1311" s="18" t="s">
        <v>98</v>
      </c>
      <c r="K1311" s="18" t="s">
        <v>98</v>
      </c>
      <c r="L1311" s="18" t="s">
        <v>98</v>
      </c>
      <c r="M1311" s="18" t="s">
        <v>98</v>
      </c>
      <c r="N1311" s="18" t="s">
        <v>98</v>
      </c>
      <c r="O1311" s="18" t="s">
        <v>98</v>
      </c>
      <c r="P1311" s="15" t="str">
        <f t="shared" si="1"/>
        <v>VERIFY</v>
      </c>
      <c r="Q1311" s="15">
        <f t="shared" si="2"/>
        <v>4</v>
      </c>
      <c r="R1311" s="15">
        <f t="shared" si="3"/>
        <v>6</v>
      </c>
      <c r="S1311" s="15">
        <f t="shared" si="4"/>
        <v>3</v>
      </c>
      <c r="T1311" s="15" t="str">
        <f t="shared" si="5"/>
        <v>C-6</v>
      </c>
      <c r="U1311" s="15" t="str">
        <f t="shared" si="6"/>
        <v>T4-M6-H3-FC-6-VERIFY</v>
      </c>
      <c r="V1311" s="15">
        <f t="shared" si="7"/>
        <v>0</v>
      </c>
      <c r="W1311" s="31"/>
      <c r="X1311" s="15" t="str">
        <f t="shared" si="8"/>
        <v>ulundurpet</v>
      </c>
      <c r="Y1311" s="32" t="str">
        <f t="shared" si="9"/>
        <v>https://steelmanufacturer.in/market-area/electropolished-pipes-manufacturer-in-ulundurpet/</v>
      </c>
      <c r="Z1311" s="15" t="str">
        <f t="shared" si="10"/>
        <v>Electropolished Pipes Manufacturer in Ulundurpet</v>
      </c>
      <c r="AA1311" s="15" t="str">
        <f t="shared" si="11"/>
        <v>OK (48)</v>
      </c>
      <c r="AB1311" s="15" t="str">
        <f t="shared" si="12"/>
        <v>EP tube and pipe for VERIFY plants around SIPCOT Industrial Area, Ulundurpet. Made at our Mumbai works to ASTM A270 and ASME BPE SF1-SF4, with 3.1 MTC.</v>
      </c>
      <c r="AC1311" s="15" t="str">
        <f t="shared" si="13"/>
        <v>PENDING RESEARCH</v>
      </c>
      <c r="AD1311" s="15" t="str">
        <f t="shared" si="14"/>
        <v>Electropolished Pipes Manufacturer in Ulundurpet</v>
      </c>
      <c r="AE1311" s="15" t="str">
        <f t="shared" si="15"/>
        <v>Electropolished Pipes Manufacturer in Ulundurpet - Our Process &amp; Capability</v>
      </c>
      <c r="AF1311" s="15" t="str">
        <f t="shared" si="16"/>
        <v>Electropolished Pipes Supplier in Ulundurpet - What We Hold in Stock</v>
      </c>
      <c r="AG1311" s="15" t="str">
        <f t="shared" si="17"/>
        <v>Bulk &amp; Wholesale Electropolished Pipe Rates for Ulundurpet Buyers</v>
      </c>
      <c r="AH1311" s="15" t="str">
        <f t="shared" si="18"/>
        <v>electropolished pipes manufacturer in Ulundurpet, electropolished pipes supplier in Ulundurpet, electropolished pipes wholesaler in Ulundurpet, electropolished tube manufacturer Ulundurpet, EP pipe supplier Ulundurpet, sanitary tube supplier Ulundurpet, ASME BPE tubing Ulundurpet, ASTM A270 tube Ulundurpet, SS 316L electropolished pipe Ulundurpet</v>
      </c>
      <c r="AI1311" s="15" t="str">
        <f t="shared" si="19"/>
        <v>Electropolished Pipes Manufacturer &amp; Supplier in Ulundurpet</v>
      </c>
      <c r="AJ1311" s="15" t="str">
        <f t="shared" si="20"/>
        <v>EP-finished SS 304/316L pipes and tubes for VERIFY plants in Ulundurpet. ASME BPE SF1-SF4, Ra from 0.25 um, EN 10204 3.1 certificate with every lot.</v>
      </c>
      <c r="AK1311" s="15" t="str">
        <f t="shared" si="21"/>
        <v>Electropolished stainless steel pipes supplied by Sakshi Forge to VERIFY plants at SIPCOT Industrial Area, Ulundurpet</v>
      </c>
      <c r="AL1311" s="15" t="str">
        <f t="shared" si="22"/>
        <v>Electropolished SS 316L tube stock for Ulundurpet - Sakshi Forge</v>
      </c>
      <c r="AM1311" s="15" t="str">
        <f t="shared" si="23"/>
        <v>Home &gt; Market Area &gt; India &gt; Tamil Nadu &gt; Ulundurpet</v>
      </c>
      <c r="AN1311" s="15">
        <f t="shared" si="24"/>
        <v>750</v>
      </c>
      <c r="AO1311" s="15">
        <f t="shared" si="25"/>
        <v>6</v>
      </c>
      <c r="AP1311" s="15">
        <f t="shared" si="26"/>
        <v>6</v>
      </c>
      <c r="AQ1311" s="15">
        <f t="shared" si="27"/>
        <v>22</v>
      </c>
      <c r="AR1311" s="31"/>
      <c r="AS1311" s="31"/>
      <c r="AT1311" s="35" t="s">
        <v>222</v>
      </c>
      <c r="AU1311" s="35"/>
    </row>
    <row r="1312" ht="15.75" customHeight="1">
      <c r="A1312" s="15" t="s">
        <v>6688</v>
      </c>
      <c r="B1312" s="15" t="s">
        <v>60</v>
      </c>
      <c r="C1312" s="15" t="s">
        <v>842</v>
      </c>
      <c r="D1312" s="15" t="s">
        <v>6689</v>
      </c>
      <c r="E1312" s="15" t="s">
        <v>6689</v>
      </c>
      <c r="F1312" s="58" t="s">
        <v>807</v>
      </c>
      <c r="G1312" s="66" t="s">
        <v>98</v>
      </c>
      <c r="H1312" s="18" t="s">
        <v>6691</v>
      </c>
      <c r="I1312" s="18" t="s">
        <v>8413</v>
      </c>
      <c r="J1312" s="18" t="s">
        <v>98</v>
      </c>
      <c r="K1312" s="18" t="s">
        <v>98</v>
      </c>
      <c r="L1312" s="18" t="s">
        <v>98</v>
      </c>
      <c r="M1312" s="18" t="s">
        <v>98</v>
      </c>
      <c r="N1312" s="18" t="s">
        <v>98</v>
      </c>
      <c r="O1312" s="18" t="s">
        <v>98</v>
      </c>
      <c r="P1312" s="15" t="str">
        <f t="shared" si="1"/>
        <v>VERIFY</v>
      </c>
      <c r="Q1312" s="15">
        <f t="shared" si="2"/>
        <v>5</v>
      </c>
      <c r="R1312" s="15">
        <f t="shared" si="3"/>
        <v>7</v>
      </c>
      <c r="S1312" s="15">
        <f t="shared" si="4"/>
        <v>4</v>
      </c>
      <c r="T1312" s="15" t="str">
        <f t="shared" si="5"/>
        <v>C-1</v>
      </c>
      <c r="U1312" s="15" t="str">
        <f t="shared" si="6"/>
        <v>T5-M7-H4-FC-1-VERIFY</v>
      </c>
      <c r="V1312" s="15">
        <f t="shared" si="7"/>
        <v>0</v>
      </c>
      <c r="W1312" s="31"/>
      <c r="X1312" s="15" t="str">
        <f t="shared" si="8"/>
        <v>umaria</v>
      </c>
      <c r="Y1312" s="32" t="str">
        <f t="shared" si="9"/>
        <v>https://steelmanufacturer.in/market-area/electropolished-pipes-manufacturer-in-umaria/</v>
      </c>
      <c r="Z1312" s="15" t="str">
        <f t="shared" si="10"/>
        <v>Electropolished Pipes Manufacturer in Umaria</v>
      </c>
      <c r="AA1312" s="15" t="str">
        <f t="shared" si="11"/>
        <v>OK (44)</v>
      </c>
      <c r="AB1312" s="15" t="str">
        <f t="shared" si="12"/>
        <v>Electropolished pipes in Umaria: 304, 304L, 316 and 316L in SF1-SF4. VERIFY. Mill certified.</v>
      </c>
      <c r="AC1312" s="15" t="str">
        <f t="shared" si="13"/>
        <v>PENDING RESEARCH</v>
      </c>
      <c r="AD1312" s="15" t="str">
        <f t="shared" si="14"/>
        <v>Electropolished Pipes Manufacturer in Umaria</v>
      </c>
      <c r="AE1312" s="15" t="str">
        <f t="shared" si="15"/>
        <v>Manufacturing Electropolished SS Tube for Umaria: The Standards We Build To</v>
      </c>
      <c r="AF1312" s="15" t="str">
        <f t="shared" si="16"/>
        <v>Electropolished Pipe Supply Into Umaria - Certification &amp; Transit</v>
      </c>
      <c r="AG1312" s="15" t="str">
        <f t="shared" si="17"/>
        <v>Electropolished Pipes Wholesaler in Umaria - Project Quantities &amp; Terms</v>
      </c>
      <c r="AH1312" s="15" t="str">
        <f t="shared" si="18"/>
        <v>electropolished pipes manufacturer in Umaria, electropolished pipes supplier in Umaria, electropolished pipes wholesaler in Umaria, electropolished tube manufacturer Umaria, EP pipe supplier Umaria, sanitary tube supplier Umaria, ASME BPE tubing Umaria, ASTM A270 tube Umaria, SS 316L electropolished pipe Umaria</v>
      </c>
      <c r="AI1312" s="15" t="str">
        <f t="shared" si="19"/>
        <v>Electropolished Pipes Manufacturer &amp; Supplier in Umaria</v>
      </c>
      <c r="AJ1312" s="15" t="str">
        <f t="shared" si="20"/>
        <v>EP-finished SS 304/316L pipes and tubes for VERIFY plants in Umaria. ASME BPE SF1-SF4, Ra from 0.25 um, EN 10204 3.1 certificate with every lot.</v>
      </c>
      <c r="AK1312" s="15" t="str">
        <f t="shared" si="21"/>
        <v>Electropolished stainless steel pipes supplied by Sakshi Forge to VERIFY plants at MPIDC Industrial Area, Umaria</v>
      </c>
      <c r="AL1312" s="15" t="str">
        <f t="shared" si="22"/>
        <v>Electropolished SS 316L tube stock for Umaria - Sakshi Forge</v>
      </c>
      <c r="AM1312" s="15" t="str">
        <f t="shared" si="23"/>
        <v>Home &gt; Market Area &gt; India &gt; Madhya Pradesh &gt; Umaria</v>
      </c>
      <c r="AN1312" s="15">
        <f t="shared" si="24"/>
        <v>750</v>
      </c>
      <c r="AO1312" s="15">
        <f t="shared" si="25"/>
        <v>6</v>
      </c>
      <c r="AP1312" s="15">
        <f t="shared" si="26"/>
        <v>6</v>
      </c>
      <c r="AQ1312" s="15">
        <f t="shared" si="27"/>
        <v>22</v>
      </c>
      <c r="AR1312" s="31"/>
      <c r="AS1312" s="31"/>
      <c r="AT1312" s="35" t="s">
        <v>222</v>
      </c>
      <c r="AU1312" s="35"/>
    </row>
    <row r="1313" ht="15.75" customHeight="1">
      <c r="A1313" s="15" t="s">
        <v>6692</v>
      </c>
      <c r="B1313" s="15" t="s">
        <v>60</v>
      </c>
      <c r="C1313" s="15" t="s">
        <v>224</v>
      </c>
      <c r="D1313" s="15" t="s">
        <v>6693</v>
      </c>
      <c r="E1313" s="15" t="s">
        <v>6693</v>
      </c>
      <c r="F1313" s="58" t="s">
        <v>807</v>
      </c>
      <c r="G1313" s="66" t="s">
        <v>98</v>
      </c>
      <c r="H1313" s="18" t="s">
        <v>6695</v>
      </c>
      <c r="I1313" s="18" t="s">
        <v>8400</v>
      </c>
      <c r="J1313" s="18" t="s">
        <v>98</v>
      </c>
      <c r="K1313" s="18" t="s">
        <v>98</v>
      </c>
      <c r="L1313" s="18" t="s">
        <v>98</v>
      </c>
      <c r="M1313" s="18" t="s">
        <v>98</v>
      </c>
      <c r="N1313" s="18" t="s">
        <v>98</v>
      </c>
      <c r="O1313" s="18" t="s">
        <v>98</v>
      </c>
      <c r="P1313" s="15" t="str">
        <f t="shared" si="1"/>
        <v>VERIFY</v>
      </c>
      <c r="Q1313" s="15">
        <f t="shared" si="2"/>
        <v>6</v>
      </c>
      <c r="R1313" s="15">
        <f t="shared" si="3"/>
        <v>1</v>
      </c>
      <c r="S1313" s="15">
        <f t="shared" si="4"/>
        <v>5</v>
      </c>
      <c r="T1313" s="15" t="str">
        <f t="shared" si="5"/>
        <v>C-2</v>
      </c>
      <c r="U1313" s="15" t="str">
        <f t="shared" si="6"/>
        <v>T6-M1-H5-FC-2-VERIFY</v>
      </c>
      <c r="V1313" s="15">
        <f t="shared" si="7"/>
        <v>0</v>
      </c>
      <c r="W1313" s="31"/>
      <c r="X1313" s="15" t="str">
        <f t="shared" si="8"/>
        <v>umreth</v>
      </c>
      <c r="Y1313" s="32" t="str">
        <f t="shared" si="9"/>
        <v>https://steelmanufacturer.in/market-area/electropolished-pipes-manufacturer-in-umreth/</v>
      </c>
      <c r="Z1313" s="15" t="str">
        <f t="shared" si="10"/>
        <v>Electropolished Pipes Manufacturer in Umreth</v>
      </c>
      <c r="AA1313" s="15" t="str">
        <f t="shared" si="11"/>
        <v>OK (44)</v>
      </c>
      <c r="AB1313" s="15" t="str">
        <f t="shared" si="12"/>
        <v>EP-finished SS 304/316L pipes &amp; tubes for VERIFY plants in Umreth. ASTM A270, ASME BPE SF1-SF4, EN 10204 3.1 MTC. PMI tested.</v>
      </c>
      <c r="AC1313" s="15" t="str">
        <f t="shared" si="13"/>
        <v>PENDING RESEARCH</v>
      </c>
      <c r="AD1313" s="15" t="str">
        <f t="shared" si="14"/>
        <v>Electropolished Pipes Manufacturer in Umreth</v>
      </c>
      <c r="AE1313" s="15" t="str">
        <f t="shared" si="15"/>
        <v>Electropolished Tube Manufacturing Capability Serving Umreth</v>
      </c>
      <c r="AF1313" s="15" t="str">
        <f t="shared" si="16"/>
        <v>Electropolished Pipes Supplier in Umreth - From Order to Delivery</v>
      </c>
      <c r="AG1313" s="15" t="str">
        <f t="shared" si="17"/>
        <v>Stockist &amp; Wholesale Supply of Electropolished Pipes in Umreth</v>
      </c>
      <c r="AH1313" s="15" t="str">
        <f t="shared" si="18"/>
        <v>electropolished pipes manufacturer in Umreth, electropolished pipes supplier in Umreth, electropolished pipes wholesaler in Umreth, electropolished tube manufacturer Umreth, EP pipe supplier Umreth, sanitary tube supplier Umreth, ASME BPE tubing Umreth, ASTM A270 tube Umreth, SS 316L electropolished pipe Umreth</v>
      </c>
      <c r="AI1313" s="15" t="str">
        <f t="shared" si="19"/>
        <v>Electropolished Pipes Manufacturer &amp; Supplier in Umreth</v>
      </c>
      <c r="AJ1313" s="15" t="str">
        <f t="shared" si="20"/>
        <v>EP-finished SS 304/316L pipes and tubes for VERIFY plants in Umreth. ASME BPE SF1-SF4, Ra from 0.25 um, EN 10204 3.1 certificate with every lot.</v>
      </c>
      <c r="AK1313" s="15" t="str">
        <f t="shared" si="21"/>
        <v>Electropolished stainless steel pipes supplied by Sakshi Forge to VERIFY plants at GIDC Industrial Area, Umreth</v>
      </c>
      <c r="AL1313" s="15" t="str">
        <f t="shared" si="22"/>
        <v>Electropolished SS 316L tube stock for Umreth - Sakshi Forge</v>
      </c>
      <c r="AM1313" s="15" t="str">
        <f t="shared" si="23"/>
        <v>Home &gt; Market Area &gt; India &gt; Gujarat &gt; Umreth</v>
      </c>
      <c r="AN1313" s="15">
        <f t="shared" si="24"/>
        <v>750</v>
      </c>
      <c r="AO1313" s="15">
        <f t="shared" si="25"/>
        <v>6</v>
      </c>
      <c r="AP1313" s="15">
        <f t="shared" si="26"/>
        <v>6</v>
      </c>
      <c r="AQ1313" s="15">
        <f t="shared" si="27"/>
        <v>22</v>
      </c>
      <c r="AR1313" s="31"/>
      <c r="AS1313" s="31"/>
      <c r="AT1313" s="35" t="s">
        <v>222</v>
      </c>
      <c r="AU1313" s="35"/>
    </row>
    <row r="1314" ht="15.75" customHeight="1">
      <c r="A1314" s="15" t="s">
        <v>6696</v>
      </c>
      <c r="B1314" s="15" t="s">
        <v>60</v>
      </c>
      <c r="C1314" s="15" t="s">
        <v>264</v>
      </c>
      <c r="D1314" s="15" t="s">
        <v>6697</v>
      </c>
      <c r="E1314" s="15" t="s">
        <v>6697</v>
      </c>
      <c r="F1314" s="58" t="s">
        <v>807</v>
      </c>
      <c r="G1314" s="66" t="s">
        <v>98</v>
      </c>
      <c r="H1314" s="18" t="s">
        <v>6699</v>
      </c>
      <c r="I1314" s="18" t="s">
        <v>8395</v>
      </c>
      <c r="J1314" s="18" t="s">
        <v>98</v>
      </c>
      <c r="K1314" s="18" t="s">
        <v>98</v>
      </c>
      <c r="L1314" s="18" t="s">
        <v>98</v>
      </c>
      <c r="M1314" s="18" t="s">
        <v>98</v>
      </c>
      <c r="N1314" s="18" t="s">
        <v>98</v>
      </c>
      <c r="O1314" s="18" t="s">
        <v>98</v>
      </c>
      <c r="P1314" s="15" t="str">
        <f t="shared" si="1"/>
        <v>VERIFY</v>
      </c>
      <c r="Q1314" s="15">
        <f t="shared" si="2"/>
        <v>7</v>
      </c>
      <c r="R1314" s="15">
        <f t="shared" si="3"/>
        <v>2</v>
      </c>
      <c r="S1314" s="15">
        <f t="shared" si="4"/>
        <v>1</v>
      </c>
      <c r="T1314" s="15" t="str">
        <f t="shared" si="5"/>
        <v>C-3</v>
      </c>
      <c r="U1314" s="15" t="str">
        <f t="shared" si="6"/>
        <v>T7-M2-H1-FC-3-VERIFY</v>
      </c>
      <c r="V1314" s="15">
        <f t="shared" si="7"/>
        <v>0</v>
      </c>
      <c r="W1314" s="31"/>
      <c r="X1314" s="15" t="str">
        <f t="shared" si="8"/>
        <v>umri</v>
      </c>
      <c r="Y1314" s="32" t="str">
        <f t="shared" si="9"/>
        <v>https://steelmanufacturer.in/market-area/electropolished-pipes-manufacturer-in-umri/</v>
      </c>
      <c r="Z1314" s="15" t="str">
        <f t="shared" si="10"/>
        <v>Electropolished Pipes Manufacturer in Umri | ASME BPE SF1-SF4</v>
      </c>
      <c r="AA1314" s="15" t="str">
        <f t="shared" si="11"/>
        <v>OK (61)</v>
      </c>
      <c r="AB1314" s="15" t="str">
        <f t="shared" si="12"/>
        <v>Electropolished tube supply to MIDC Industrial Area, Umri. Ra from 0.25 um, SF4 finish, mill test certificate with every lot.</v>
      </c>
      <c r="AC1314" s="15" t="str">
        <f t="shared" si="13"/>
        <v>PENDING RESEARCH</v>
      </c>
      <c r="AD1314" s="15" t="str">
        <f t="shared" si="14"/>
        <v>Electropolished Pipes Manufacturer in Umri</v>
      </c>
      <c r="AE1314" s="15" t="str">
        <f t="shared" si="15"/>
        <v>Electropolished Pipe &amp; Tube Manufacturing for Umri - Grades, Finishes &amp; Certification</v>
      </c>
      <c r="AF1314" s="15" t="str">
        <f t="shared" si="16"/>
        <v>Electropolished Pipes Supplier in Umri - Stock Sizes, Lead Time &amp; Delivery</v>
      </c>
      <c r="AG1314" s="15" t="str">
        <f t="shared" si="17"/>
        <v>Electropolished Pipes Wholesaler &amp; Stockist in Umri - Bulk &amp; Project Pricing</v>
      </c>
      <c r="AH1314" s="15" t="str">
        <f t="shared" si="18"/>
        <v>electropolished pipes manufacturer in Umri, electropolished pipes supplier in Umri, electropolished pipes wholesaler in Umri, electropolished tube manufacturer Umri, EP pipe supplier Umri, sanitary tube supplier Umri, ASME BPE tubing Umri, ASTM A270 tube Umri, SS 316L electropolished pipe Umri</v>
      </c>
      <c r="AI1314" s="15" t="str">
        <f t="shared" si="19"/>
        <v>Electropolished Pipes Manufacturer &amp; Supplier in Umri</v>
      </c>
      <c r="AJ1314" s="15" t="str">
        <f t="shared" si="20"/>
        <v>EP-finished SS 304/316L pipes and tubes for VERIFY plants in Umri. ASME BPE SF1-SF4, Ra from 0.25 um, EN 10204 3.1 certificate with every lot.</v>
      </c>
      <c r="AK1314" s="15" t="str">
        <f t="shared" si="21"/>
        <v>Electropolished stainless steel pipes supplied by Sakshi Forge to VERIFY plants at MIDC Industrial Area, Umri</v>
      </c>
      <c r="AL1314" s="15" t="str">
        <f t="shared" si="22"/>
        <v>Electropolished SS 316L tube stock for Umri - Sakshi Forge</v>
      </c>
      <c r="AM1314" s="15" t="str">
        <f t="shared" si="23"/>
        <v>Home &gt; Market Area &gt; India &gt; Maharashtra &gt; Umri</v>
      </c>
      <c r="AN1314" s="15">
        <f t="shared" si="24"/>
        <v>750</v>
      </c>
      <c r="AO1314" s="15">
        <f t="shared" si="25"/>
        <v>6</v>
      </c>
      <c r="AP1314" s="15">
        <f t="shared" si="26"/>
        <v>6</v>
      </c>
      <c r="AQ1314" s="15">
        <f t="shared" si="27"/>
        <v>22</v>
      </c>
      <c r="AR1314" s="31"/>
      <c r="AS1314" s="31"/>
      <c r="AT1314" s="35" t="s">
        <v>222</v>
      </c>
      <c r="AU1314" s="35"/>
    </row>
    <row r="1315" ht="15.75" customHeight="1">
      <c r="A1315" s="15" t="s">
        <v>6700</v>
      </c>
      <c r="B1315" s="15" t="s">
        <v>60</v>
      </c>
      <c r="C1315" s="15" t="s">
        <v>1139</v>
      </c>
      <c r="D1315" s="15" t="s">
        <v>6702</v>
      </c>
      <c r="E1315" s="15" t="s">
        <v>6702</v>
      </c>
      <c r="F1315" s="58" t="s">
        <v>807</v>
      </c>
      <c r="G1315" s="66" t="s">
        <v>98</v>
      </c>
      <c r="H1315" s="18" t="s">
        <v>6706</v>
      </c>
      <c r="I1315" s="18" t="s">
        <v>8410</v>
      </c>
      <c r="J1315" s="18" t="s">
        <v>98</v>
      </c>
      <c r="K1315" s="18" t="s">
        <v>98</v>
      </c>
      <c r="L1315" s="18" t="s">
        <v>98</v>
      </c>
      <c r="M1315" s="18" t="s">
        <v>98</v>
      </c>
      <c r="N1315" s="18" t="s">
        <v>98</v>
      </c>
      <c r="O1315" s="18" t="s">
        <v>98</v>
      </c>
      <c r="P1315" s="15" t="str">
        <f t="shared" si="1"/>
        <v>VERIFY</v>
      </c>
      <c r="Q1315" s="15">
        <f t="shared" si="2"/>
        <v>8</v>
      </c>
      <c r="R1315" s="15">
        <f t="shared" si="3"/>
        <v>3</v>
      </c>
      <c r="S1315" s="15">
        <f t="shared" si="4"/>
        <v>2</v>
      </c>
      <c r="T1315" s="15" t="str">
        <f t="shared" si="5"/>
        <v>C-4</v>
      </c>
      <c r="U1315" s="15" t="str">
        <f t="shared" si="6"/>
        <v>T8-M3-H2-FC-4-VERIFY</v>
      </c>
      <c r="V1315" s="15">
        <f t="shared" si="7"/>
        <v>0</v>
      </c>
      <c r="W1315" s="31"/>
      <c r="X1315" s="15" t="str">
        <f t="shared" si="8"/>
        <v>uttarkashi</v>
      </c>
      <c r="Y1315" s="32" t="str">
        <f t="shared" si="9"/>
        <v>https://steelmanufacturer.in/market-area/electropolished-pipes-manufacturer-in-uttarkashi/</v>
      </c>
      <c r="Z1315" s="15" t="str">
        <f t="shared" si="10"/>
        <v>Electropolished Pipes Manufacturer in Uttarkashi</v>
      </c>
      <c r="AA1315" s="15" t="str">
        <f t="shared" si="11"/>
        <v>OK (48)</v>
      </c>
      <c r="AB1315" s="15" t="str">
        <f t="shared" si="12"/>
        <v>EP stainless tube for VERIFY lines in Uttarkashi. VERIFY. ASTM A270 S2, PMI tested, EN 10204 3.1.</v>
      </c>
      <c r="AC1315" s="15" t="str">
        <f t="shared" si="13"/>
        <v>PENDING RESEARCH</v>
      </c>
      <c r="AD1315" s="15" t="str">
        <f t="shared" si="14"/>
        <v>Electropolished Pipes Manufacturer in Uttarkashi</v>
      </c>
      <c r="AE1315" s="15" t="str">
        <f t="shared" si="15"/>
        <v>How We Manufacture Electropolished Tube for Uttarkashi Plants</v>
      </c>
      <c r="AF1315" s="15" t="str">
        <f t="shared" si="16"/>
        <v>Supplying Electropolished Pipes in Uttarkashi: Availability, Sizes &amp; Dispatch</v>
      </c>
      <c r="AG1315" s="15" t="str">
        <f t="shared" si="17"/>
        <v>Wholesale Electropolished Pipe Supply for Uttarkashi Projects</v>
      </c>
      <c r="AH1315" s="15" t="str">
        <f t="shared" si="18"/>
        <v>electropolished pipes manufacturer in Uttarkashi, electropolished pipes supplier in Uttarkashi, electropolished pipes wholesaler in Uttarkashi, electropolished tube manufacturer Uttarkashi, EP pipe supplier Uttarkashi, sanitary tube supplier Uttarkashi, ASME BPE tubing Uttarkashi, ASTM A270 tube Uttarkashi, SS 316L electropolished pipe Uttarkashi</v>
      </c>
      <c r="AI1315" s="15" t="str">
        <f t="shared" si="19"/>
        <v>Electropolished Pipes Manufacturer &amp; Supplier in Uttarkashi</v>
      </c>
      <c r="AJ1315" s="15" t="str">
        <f t="shared" si="20"/>
        <v>EP-finished SS 304/316L pipes and tubes for VERIFY plants in Uttarkashi. ASME BPE SF1-SF4, Ra from 0.25 um, EN 10204 3.1 certificate with every lot.</v>
      </c>
      <c r="AK1315" s="15" t="str">
        <f t="shared" si="21"/>
        <v>Electropolished stainless steel pipes supplied by Sakshi Forge to VERIFY plants at SIIDCUL Industrial Area, Uttarkashi</v>
      </c>
      <c r="AL1315" s="15" t="str">
        <f t="shared" si="22"/>
        <v>Electropolished SS 316L tube stock for Uttarkashi - Sakshi Forge</v>
      </c>
      <c r="AM1315" s="15" t="str">
        <f t="shared" si="23"/>
        <v>Home &gt; Market Area &gt; India &gt; Uttarakhand &gt; Uttarkashi</v>
      </c>
      <c r="AN1315" s="15">
        <f t="shared" si="24"/>
        <v>750</v>
      </c>
      <c r="AO1315" s="15">
        <f t="shared" si="25"/>
        <v>6</v>
      </c>
      <c r="AP1315" s="15">
        <f t="shared" si="26"/>
        <v>6</v>
      </c>
      <c r="AQ1315" s="15">
        <f t="shared" si="27"/>
        <v>22</v>
      </c>
      <c r="AR1315" s="31"/>
      <c r="AS1315" s="31"/>
      <c r="AT1315" s="35" t="s">
        <v>222</v>
      </c>
      <c r="AU1315" s="35"/>
    </row>
    <row r="1316" ht="15.75" customHeight="1">
      <c r="A1316" s="15" t="s">
        <v>6709</v>
      </c>
      <c r="B1316" s="15" t="s">
        <v>60</v>
      </c>
      <c r="C1316" s="15" t="s">
        <v>224</v>
      </c>
      <c r="D1316" s="15" t="s">
        <v>6711</v>
      </c>
      <c r="E1316" s="15" t="s">
        <v>6711</v>
      </c>
      <c r="F1316" s="58" t="s">
        <v>807</v>
      </c>
      <c r="G1316" s="66" t="s">
        <v>98</v>
      </c>
      <c r="H1316" s="18" t="s">
        <v>4611</v>
      </c>
      <c r="I1316" s="18" t="s">
        <v>8400</v>
      </c>
      <c r="J1316" s="18" t="s">
        <v>98</v>
      </c>
      <c r="K1316" s="18" t="s">
        <v>98</v>
      </c>
      <c r="L1316" s="18" t="s">
        <v>98</v>
      </c>
      <c r="M1316" s="18" t="s">
        <v>98</v>
      </c>
      <c r="N1316" s="18" t="s">
        <v>98</v>
      </c>
      <c r="O1316" s="18" t="s">
        <v>98</v>
      </c>
      <c r="P1316" s="15" t="str">
        <f t="shared" si="1"/>
        <v>VERIFY</v>
      </c>
      <c r="Q1316" s="15">
        <f t="shared" si="2"/>
        <v>1</v>
      </c>
      <c r="R1316" s="15">
        <f t="shared" si="3"/>
        <v>4</v>
      </c>
      <c r="S1316" s="15">
        <f t="shared" si="4"/>
        <v>3</v>
      </c>
      <c r="T1316" s="15" t="str">
        <f t="shared" si="5"/>
        <v>C-5</v>
      </c>
      <c r="U1316" s="15" t="str">
        <f t="shared" si="6"/>
        <v>T1-M4-H3-FC-5-VERIFY</v>
      </c>
      <c r="V1316" s="15">
        <f t="shared" si="7"/>
        <v>0</v>
      </c>
      <c r="W1316" s="31"/>
      <c r="X1316" s="15" t="str">
        <f t="shared" si="8"/>
        <v>vagra-dahej</v>
      </c>
      <c r="Y1316" s="32" t="str">
        <f t="shared" si="9"/>
        <v>https://steelmanufacturer.in/market-area/electropolished-pipes-manufacturer-in-vagra-dahej/</v>
      </c>
      <c r="Z1316" s="15" t="str">
        <f t="shared" si="10"/>
        <v>Electropolished Pipes Manufacturer in Vagra-Dahej | Sakshi Forge</v>
      </c>
      <c r="AA1316" s="15" t="str">
        <f t="shared" si="11"/>
        <v>OK (64)</v>
      </c>
      <c r="AB1316" s="15" t="str">
        <f t="shared" si="12"/>
        <v>Sanitary electropolished pipes in Vagra-Dahej for VERIFY plants. ASME BPE SF1-SF4, orbital-weld ready, 3.1 MTC. Mumbai-made.</v>
      </c>
      <c r="AC1316" s="15" t="str">
        <f t="shared" si="13"/>
        <v>PENDING RESEARCH</v>
      </c>
      <c r="AD1316" s="15" t="str">
        <f t="shared" si="14"/>
        <v>Electropolished Pipes Manufacturer in Vagra-Dahej</v>
      </c>
      <c r="AE1316" s="15" t="str">
        <f t="shared" si="15"/>
        <v>Electropolished Pipes Manufacturer in Vagra-Dahej - Our Process &amp; Capability</v>
      </c>
      <c r="AF1316" s="15" t="str">
        <f t="shared" si="16"/>
        <v>Electropolished Pipes Supplier in Vagra-Dahej - What We Hold in Stock</v>
      </c>
      <c r="AG1316" s="15" t="str">
        <f t="shared" si="17"/>
        <v>Bulk &amp; Wholesale Electropolished Pipe Rates for Vagra-Dahej Buyers</v>
      </c>
      <c r="AH1316" s="15" t="str">
        <f t="shared" si="18"/>
        <v>electropolished pipes manufacturer in Vagra-Dahej, electropolished pipes supplier in Vagra-Dahej, electropolished pipes wholesaler in Vagra-Dahej, electropolished tube manufacturer Vagra-Dahej, EP pipe supplier Vagra-Dahej, sanitary tube supplier Vagra-Dahej, ASME BPE tubing Vagra-Dahej, ASTM A270 tube Vagra-Dahej, SS 316L electropolished pipe Vagra-Dahej</v>
      </c>
      <c r="AI1316" s="15" t="str">
        <f t="shared" si="19"/>
        <v>Electropolished Pipes Manufacturer &amp; Supplier in Vagra-Dahej</v>
      </c>
      <c r="AJ1316" s="15" t="str">
        <f t="shared" si="20"/>
        <v>EP-finished SS 304/316L pipes and tubes for VERIFY plants in Vagra-Dahej. ASME BPE SF1-SF4, Ra from 0.25 um, EN 10204 3.1 certificate with every lot.</v>
      </c>
      <c r="AK1316" s="15" t="str">
        <f t="shared" si="21"/>
        <v>Electropolished stainless steel pipes supplied by Sakshi Forge to VERIFY plants at GIDC Industrial Area, Vagra-Dahej</v>
      </c>
      <c r="AL1316" s="15" t="str">
        <f t="shared" si="22"/>
        <v>Electropolished SS 316L tube stock for Vagra-Dahej - Sakshi Forge</v>
      </c>
      <c r="AM1316" s="15" t="str">
        <f t="shared" si="23"/>
        <v>Home &gt; Market Area &gt; India &gt; Gujarat &gt; Vagra-Dahej</v>
      </c>
      <c r="AN1316" s="15">
        <f t="shared" si="24"/>
        <v>750</v>
      </c>
      <c r="AO1316" s="15">
        <f t="shared" si="25"/>
        <v>6</v>
      </c>
      <c r="AP1316" s="15">
        <f t="shared" si="26"/>
        <v>6</v>
      </c>
      <c r="AQ1316" s="15">
        <f t="shared" si="27"/>
        <v>22</v>
      </c>
      <c r="AR1316" s="31"/>
      <c r="AS1316" s="31"/>
      <c r="AT1316" s="35" t="s">
        <v>222</v>
      </c>
      <c r="AU1316" s="35"/>
    </row>
    <row r="1317" ht="15.75" customHeight="1">
      <c r="A1317" s="15" t="s">
        <v>6713</v>
      </c>
      <c r="B1317" s="15" t="s">
        <v>60</v>
      </c>
      <c r="C1317" s="15" t="s">
        <v>958</v>
      </c>
      <c r="D1317" s="15" t="s">
        <v>6714</v>
      </c>
      <c r="E1317" s="15" t="s">
        <v>6714</v>
      </c>
      <c r="F1317" s="58" t="s">
        <v>807</v>
      </c>
      <c r="G1317" s="66" t="s">
        <v>98</v>
      </c>
      <c r="H1317" s="18" t="s">
        <v>6716</v>
      </c>
      <c r="I1317" s="18" t="s">
        <v>8403</v>
      </c>
      <c r="J1317" s="18" t="s">
        <v>98</v>
      </c>
      <c r="K1317" s="18" t="s">
        <v>98</v>
      </c>
      <c r="L1317" s="18" t="s">
        <v>98</v>
      </c>
      <c r="M1317" s="18" t="s">
        <v>98</v>
      </c>
      <c r="N1317" s="18" t="s">
        <v>98</v>
      </c>
      <c r="O1317" s="18" t="s">
        <v>98</v>
      </c>
      <c r="P1317" s="15" t="str">
        <f t="shared" si="1"/>
        <v>VERIFY</v>
      </c>
      <c r="Q1317" s="15">
        <f t="shared" si="2"/>
        <v>2</v>
      </c>
      <c r="R1317" s="15">
        <f t="shared" si="3"/>
        <v>5</v>
      </c>
      <c r="S1317" s="15">
        <f t="shared" si="4"/>
        <v>4</v>
      </c>
      <c r="T1317" s="15" t="str">
        <f t="shared" si="5"/>
        <v>C-6</v>
      </c>
      <c r="U1317" s="15" t="str">
        <f t="shared" si="6"/>
        <v>T2-M5-H4-FC-6-VERIFY</v>
      </c>
      <c r="V1317" s="15">
        <f t="shared" si="7"/>
        <v>0</v>
      </c>
      <c r="W1317" s="31"/>
      <c r="X1317" s="15" t="str">
        <f t="shared" si="8"/>
        <v>vaniyambadi</v>
      </c>
      <c r="Y1317" s="32" t="str">
        <f t="shared" si="9"/>
        <v>https://steelmanufacturer.in/market-area/electropolished-pipes-manufacturer-in-vaniyambadi/</v>
      </c>
      <c r="Z1317" s="15" t="str">
        <f t="shared" si="10"/>
        <v>Electropolished Pipes Manufacturer in Vaniyambadi</v>
      </c>
      <c r="AA1317" s="15" t="str">
        <f t="shared" si="11"/>
        <v>OK (49)</v>
      </c>
      <c r="AB1317" s="15" t="str">
        <f t="shared" si="12"/>
        <v>Manufacturer of electropolished SS 316L tube serving Vaniyambadi. VERIFY. Ra 0.25-0.5 um, EN 10204 3.1 MTC.</v>
      </c>
      <c r="AC1317" s="15" t="str">
        <f t="shared" si="13"/>
        <v>PENDING RESEARCH</v>
      </c>
      <c r="AD1317" s="15" t="str">
        <f t="shared" si="14"/>
        <v>Electropolished Pipes Manufacturer in Vaniyambadi</v>
      </c>
      <c r="AE1317" s="15" t="str">
        <f t="shared" si="15"/>
        <v>Manufacturing Electropolished SS Tube for Vaniyambadi: The Standards We Build To</v>
      </c>
      <c r="AF1317" s="15" t="str">
        <f t="shared" si="16"/>
        <v>Electropolished Pipe Supply Into Vaniyambadi - Certification &amp; Transit</v>
      </c>
      <c r="AG1317" s="15" t="str">
        <f t="shared" si="17"/>
        <v>Electropolished Pipes Wholesaler in Vaniyambadi - Project Quantities &amp; Terms</v>
      </c>
      <c r="AH1317" s="15" t="str">
        <f t="shared" si="18"/>
        <v>electropolished pipes manufacturer in Vaniyambadi, electropolished pipes supplier in Vaniyambadi, electropolished pipes wholesaler in Vaniyambadi, electropolished tube manufacturer Vaniyambadi, EP pipe supplier Vaniyambadi, sanitary tube supplier Vaniyambadi, ASME BPE tubing Vaniyambadi, ASTM A270 tube Vaniyambadi, SS 316L electropolished pipe Vaniyambadi</v>
      </c>
      <c r="AI1317" s="15" t="str">
        <f t="shared" si="19"/>
        <v>Electropolished Pipes Manufacturer &amp; Supplier in Vaniyambadi</v>
      </c>
      <c r="AJ1317" s="15" t="str">
        <f t="shared" si="20"/>
        <v>EP-finished SS 304/316L pipes and tubes for VERIFY plants in Vaniyambadi. ASME BPE SF1-SF4, Ra from 0.25 um, EN 10204 3.1 certificate with every lot.</v>
      </c>
      <c r="AK1317" s="15" t="str">
        <f t="shared" si="21"/>
        <v>Electropolished stainless steel pipes supplied by Sakshi Forge to VERIFY plants at SIPCOT Industrial Area, Vaniyambadi</v>
      </c>
      <c r="AL1317" s="15" t="str">
        <f t="shared" si="22"/>
        <v>Electropolished SS 316L tube stock for Vaniyambadi - Sakshi Forge</v>
      </c>
      <c r="AM1317" s="15" t="str">
        <f t="shared" si="23"/>
        <v>Home &gt; Market Area &gt; India &gt; Tamil Nadu &gt; Vaniyambadi</v>
      </c>
      <c r="AN1317" s="15">
        <f t="shared" si="24"/>
        <v>750</v>
      </c>
      <c r="AO1317" s="15">
        <f t="shared" si="25"/>
        <v>6</v>
      </c>
      <c r="AP1317" s="15">
        <f t="shared" si="26"/>
        <v>6</v>
      </c>
      <c r="AQ1317" s="15">
        <f t="shared" si="27"/>
        <v>22</v>
      </c>
      <c r="AR1317" s="31"/>
      <c r="AS1317" s="31"/>
      <c r="AT1317" s="35" t="s">
        <v>222</v>
      </c>
      <c r="AU1317" s="35"/>
    </row>
    <row r="1318" ht="15.75" customHeight="1">
      <c r="A1318" s="15" t="s">
        <v>6717</v>
      </c>
      <c r="B1318" s="15" t="s">
        <v>60</v>
      </c>
      <c r="C1318" s="15" t="s">
        <v>1312</v>
      </c>
      <c r="D1318" s="15" t="s">
        <v>6718</v>
      </c>
      <c r="E1318" s="15" t="s">
        <v>6718</v>
      </c>
      <c r="F1318" s="58" t="s">
        <v>807</v>
      </c>
      <c r="G1318" s="66" t="s">
        <v>98</v>
      </c>
      <c r="H1318" s="18" t="s">
        <v>6720</v>
      </c>
      <c r="I1318" s="18" t="s">
        <v>8392</v>
      </c>
      <c r="J1318" s="18" t="s">
        <v>98</v>
      </c>
      <c r="K1318" s="18" t="s">
        <v>98</v>
      </c>
      <c r="L1318" s="18" t="s">
        <v>98</v>
      </c>
      <c r="M1318" s="18" t="s">
        <v>98</v>
      </c>
      <c r="N1318" s="18" t="s">
        <v>98</v>
      </c>
      <c r="O1318" s="18" t="s">
        <v>98</v>
      </c>
      <c r="P1318" s="15" t="str">
        <f t="shared" si="1"/>
        <v>VERIFY</v>
      </c>
      <c r="Q1318" s="15">
        <f t="shared" si="2"/>
        <v>3</v>
      </c>
      <c r="R1318" s="15">
        <f t="shared" si="3"/>
        <v>6</v>
      </c>
      <c r="S1318" s="15">
        <f t="shared" si="4"/>
        <v>5</v>
      </c>
      <c r="T1318" s="15" t="str">
        <f t="shared" si="5"/>
        <v>C-1</v>
      </c>
      <c r="U1318" s="15" t="str">
        <f t="shared" si="6"/>
        <v>T3-M6-H5-FC-1-VERIFY</v>
      </c>
      <c r="V1318" s="15">
        <f t="shared" si="7"/>
        <v>0</v>
      </c>
      <c r="W1318" s="31"/>
      <c r="X1318" s="15" t="str">
        <f t="shared" si="8"/>
        <v>vemulawada</v>
      </c>
      <c r="Y1318" s="32" t="str">
        <f t="shared" si="9"/>
        <v>https://steelmanufacturer.in/market-area/electropolished-pipes-manufacturer-in-vemulawada/</v>
      </c>
      <c r="Z1318" s="15" t="str">
        <f t="shared" si="10"/>
        <v>Electropolished Pipes Manufacturer in Vemulawada</v>
      </c>
      <c r="AA1318" s="15" t="str">
        <f t="shared" si="11"/>
        <v>OK (48)</v>
      </c>
      <c r="AB1318" s="15" t="str">
        <f t="shared" si="12"/>
        <v>EP tube and pipe for VERIFY plants around TSIIC Industrial Area, Vemulawada. Made at our Mumbai works to ASTM A270 and ASME BPE SF1-SF4, with 3.1 MTC.</v>
      </c>
      <c r="AC1318" s="15" t="str">
        <f t="shared" si="13"/>
        <v>PENDING RESEARCH</v>
      </c>
      <c r="AD1318" s="15" t="str">
        <f t="shared" si="14"/>
        <v>Electropolished Pipes Manufacturer in Vemulawada</v>
      </c>
      <c r="AE1318" s="15" t="str">
        <f t="shared" si="15"/>
        <v>Electropolished Tube Manufacturing Capability Serving Vemulawada</v>
      </c>
      <c r="AF1318" s="15" t="str">
        <f t="shared" si="16"/>
        <v>Electropolished Pipes Supplier in Vemulawada - From Order to Delivery</v>
      </c>
      <c r="AG1318" s="15" t="str">
        <f t="shared" si="17"/>
        <v>Stockist &amp; Wholesale Supply of Electropolished Pipes in Vemulawada</v>
      </c>
      <c r="AH1318" s="15" t="str">
        <f t="shared" si="18"/>
        <v>electropolished pipes manufacturer in Vemulawada, electropolished pipes supplier in Vemulawada, electropolished pipes wholesaler in Vemulawada, electropolished tube manufacturer Vemulawada, EP pipe supplier Vemulawada, sanitary tube supplier Vemulawada, ASME BPE tubing Vemulawada, ASTM A270 tube Vemulawada, SS 316L electropolished pipe Vemulawada</v>
      </c>
      <c r="AI1318" s="15" t="str">
        <f t="shared" si="19"/>
        <v>Electropolished Pipes Manufacturer &amp; Supplier in Vemulawada</v>
      </c>
      <c r="AJ1318" s="15" t="str">
        <f t="shared" si="20"/>
        <v>EP-finished SS 304/316L pipes and tubes for VERIFY plants in Vemulawada. ASME BPE SF1-SF4, Ra from 0.25 um, EN 10204 3.1 certificate with every lot.</v>
      </c>
      <c r="AK1318" s="15" t="str">
        <f t="shared" si="21"/>
        <v>Electropolished stainless steel pipes supplied by Sakshi Forge to VERIFY plants at TSIIC Industrial Area, Vemulawada</v>
      </c>
      <c r="AL1318" s="15" t="str">
        <f t="shared" si="22"/>
        <v>Electropolished SS 316L tube stock for Vemulawada - Sakshi Forge</v>
      </c>
      <c r="AM1318" s="15" t="str">
        <f t="shared" si="23"/>
        <v>Home &gt; Market Area &gt; India &gt; Telangana &gt; Vemulawada</v>
      </c>
      <c r="AN1318" s="15">
        <f t="shared" si="24"/>
        <v>750</v>
      </c>
      <c r="AO1318" s="15">
        <f t="shared" si="25"/>
        <v>6</v>
      </c>
      <c r="AP1318" s="15">
        <f t="shared" si="26"/>
        <v>6</v>
      </c>
      <c r="AQ1318" s="15">
        <f t="shared" si="27"/>
        <v>22</v>
      </c>
      <c r="AR1318" s="31"/>
      <c r="AS1318" s="31"/>
      <c r="AT1318" s="35" t="s">
        <v>222</v>
      </c>
      <c r="AU1318" s="35"/>
    </row>
    <row r="1319" ht="15.75" customHeight="1">
      <c r="A1319" s="15" t="s">
        <v>6721</v>
      </c>
      <c r="B1319" s="15" t="s">
        <v>60</v>
      </c>
      <c r="C1319" s="15" t="s">
        <v>1139</v>
      </c>
      <c r="D1319" s="15" t="s">
        <v>6722</v>
      </c>
      <c r="E1319" s="15" t="s">
        <v>6722</v>
      </c>
      <c r="F1319" s="58" t="s">
        <v>807</v>
      </c>
      <c r="G1319" s="66" t="s">
        <v>98</v>
      </c>
      <c r="H1319" s="18" t="s">
        <v>6724</v>
      </c>
      <c r="I1319" s="18" t="s">
        <v>8410</v>
      </c>
      <c r="J1319" s="18" t="s">
        <v>98</v>
      </c>
      <c r="K1319" s="18" t="s">
        <v>98</v>
      </c>
      <c r="L1319" s="18" t="s">
        <v>98</v>
      </c>
      <c r="M1319" s="18" t="s">
        <v>98</v>
      </c>
      <c r="N1319" s="18" t="s">
        <v>98</v>
      </c>
      <c r="O1319" s="18" t="s">
        <v>98</v>
      </c>
      <c r="P1319" s="15" t="str">
        <f t="shared" si="1"/>
        <v>VERIFY</v>
      </c>
      <c r="Q1319" s="15">
        <f t="shared" si="2"/>
        <v>4</v>
      </c>
      <c r="R1319" s="15">
        <f t="shared" si="3"/>
        <v>7</v>
      </c>
      <c r="S1319" s="15">
        <f t="shared" si="4"/>
        <v>1</v>
      </c>
      <c r="T1319" s="15" t="str">
        <f t="shared" si="5"/>
        <v>C-2</v>
      </c>
      <c r="U1319" s="15" t="str">
        <f t="shared" si="6"/>
        <v>T4-M7-H1-FC-2-VERIFY</v>
      </c>
      <c r="V1319" s="15">
        <f t="shared" si="7"/>
        <v>0</v>
      </c>
      <c r="W1319" s="31"/>
      <c r="X1319" s="15" t="str">
        <f t="shared" si="8"/>
        <v>vikasnagar</v>
      </c>
      <c r="Y1319" s="32" t="str">
        <f t="shared" si="9"/>
        <v>https://steelmanufacturer.in/market-area/electropolished-pipes-manufacturer-in-vikasnagar/</v>
      </c>
      <c r="Z1319" s="15" t="str">
        <f t="shared" si="10"/>
        <v>Electropolished Pipes Manufacturer in Vikasnagar</v>
      </c>
      <c r="AA1319" s="15" t="str">
        <f t="shared" si="11"/>
        <v>OK (48)</v>
      </c>
      <c r="AB1319" s="15" t="str">
        <f t="shared" si="12"/>
        <v>Electropolished pipes in Vikasnagar: 304, 304L, 316 and 316L in SF1-SF4. VERIFY. Mill certified.</v>
      </c>
      <c r="AC1319" s="15" t="str">
        <f t="shared" si="13"/>
        <v>PENDING RESEARCH</v>
      </c>
      <c r="AD1319" s="15" t="str">
        <f t="shared" si="14"/>
        <v>Electropolished Pipes Manufacturer in Vikasnagar</v>
      </c>
      <c r="AE1319" s="15" t="str">
        <f t="shared" si="15"/>
        <v>Electropolished Pipe &amp; Tube Manufacturing for Vikasnagar - Grades, Finishes &amp; Certification</v>
      </c>
      <c r="AF1319" s="15" t="str">
        <f t="shared" si="16"/>
        <v>Electropolished Pipes Supplier in Vikasnagar - Stock Sizes, Lead Time &amp; Delivery</v>
      </c>
      <c r="AG1319" s="15" t="str">
        <f t="shared" si="17"/>
        <v>Electropolished Pipes Wholesaler &amp; Stockist in Vikasnagar - Bulk &amp; Project Pricing</v>
      </c>
      <c r="AH1319" s="15" t="str">
        <f t="shared" si="18"/>
        <v>electropolished pipes manufacturer in Vikasnagar, electropolished pipes supplier in Vikasnagar, electropolished pipes wholesaler in Vikasnagar, electropolished tube manufacturer Vikasnagar, EP pipe supplier Vikasnagar, sanitary tube supplier Vikasnagar, ASME BPE tubing Vikasnagar, ASTM A270 tube Vikasnagar, SS 316L electropolished pipe Vikasnagar</v>
      </c>
      <c r="AI1319" s="15" t="str">
        <f t="shared" si="19"/>
        <v>Electropolished Pipes Manufacturer &amp; Supplier in Vikasnagar</v>
      </c>
      <c r="AJ1319" s="15" t="str">
        <f t="shared" si="20"/>
        <v>EP-finished SS 304/316L pipes and tubes for VERIFY plants in Vikasnagar. ASME BPE SF1-SF4, Ra from 0.25 um, EN 10204 3.1 certificate with every lot.</v>
      </c>
      <c r="AK1319" s="15" t="str">
        <f t="shared" si="21"/>
        <v>Electropolished stainless steel pipes supplied by Sakshi Forge to VERIFY plants at SIIDCUL Industrial Area, Vikasnagar</v>
      </c>
      <c r="AL1319" s="15" t="str">
        <f t="shared" si="22"/>
        <v>Electropolished SS 316L tube stock for Vikasnagar - Sakshi Forge</v>
      </c>
      <c r="AM1319" s="15" t="str">
        <f t="shared" si="23"/>
        <v>Home &gt; Market Area &gt; India &gt; Uttarakhand &gt; Vikasnagar</v>
      </c>
      <c r="AN1319" s="15">
        <f t="shared" si="24"/>
        <v>750</v>
      </c>
      <c r="AO1319" s="15">
        <f t="shared" si="25"/>
        <v>6</v>
      </c>
      <c r="AP1319" s="15">
        <f t="shared" si="26"/>
        <v>6</v>
      </c>
      <c r="AQ1319" s="15">
        <f t="shared" si="27"/>
        <v>22</v>
      </c>
      <c r="AR1319" s="31"/>
      <c r="AS1319" s="31"/>
      <c r="AT1319" s="35" t="s">
        <v>222</v>
      </c>
      <c r="AU1319" s="35"/>
    </row>
    <row r="1320" ht="15.75" customHeight="1">
      <c r="A1320" s="15" t="s">
        <v>6725</v>
      </c>
      <c r="B1320" s="15" t="s">
        <v>60</v>
      </c>
      <c r="C1320" s="15" t="s">
        <v>958</v>
      </c>
      <c r="D1320" s="15" t="s">
        <v>6726</v>
      </c>
      <c r="E1320" s="15" t="s">
        <v>6726</v>
      </c>
      <c r="F1320" s="58" t="s">
        <v>807</v>
      </c>
      <c r="G1320" s="66" t="s">
        <v>98</v>
      </c>
      <c r="H1320" s="18" t="s">
        <v>6728</v>
      </c>
      <c r="I1320" s="18" t="s">
        <v>8403</v>
      </c>
      <c r="J1320" s="18" t="s">
        <v>98</v>
      </c>
      <c r="K1320" s="18" t="s">
        <v>98</v>
      </c>
      <c r="L1320" s="18" t="s">
        <v>98</v>
      </c>
      <c r="M1320" s="18" t="s">
        <v>98</v>
      </c>
      <c r="N1320" s="18" t="s">
        <v>98</v>
      </c>
      <c r="O1320" s="18" t="s">
        <v>98</v>
      </c>
      <c r="P1320" s="15" t="str">
        <f t="shared" si="1"/>
        <v>VERIFY</v>
      </c>
      <c r="Q1320" s="15">
        <f t="shared" si="2"/>
        <v>5</v>
      </c>
      <c r="R1320" s="15">
        <f t="shared" si="3"/>
        <v>1</v>
      </c>
      <c r="S1320" s="15">
        <f t="shared" si="4"/>
        <v>2</v>
      </c>
      <c r="T1320" s="15" t="str">
        <f t="shared" si="5"/>
        <v>C-3</v>
      </c>
      <c r="U1320" s="15" t="str">
        <f t="shared" si="6"/>
        <v>T5-M1-H2-FC-3-VERIFY</v>
      </c>
      <c r="V1320" s="15">
        <f t="shared" si="7"/>
        <v>0</v>
      </c>
      <c r="W1320" s="31"/>
      <c r="X1320" s="15" t="str">
        <f t="shared" si="8"/>
        <v>vikravandi</v>
      </c>
      <c r="Y1320" s="32" t="str">
        <f t="shared" si="9"/>
        <v>https://steelmanufacturer.in/market-area/electropolished-pipes-manufacturer-in-vikravandi/</v>
      </c>
      <c r="Z1320" s="15" t="str">
        <f t="shared" si="10"/>
        <v>Electropolished Pipes Manufacturer in Vikravandi</v>
      </c>
      <c r="AA1320" s="15" t="str">
        <f t="shared" si="11"/>
        <v>OK (48)</v>
      </c>
      <c r="AB1320" s="15" t="str">
        <f t="shared" si="12"/>
        <v>EP-finished SS 304/316L pipes &amp; tubes for VERIFY plants in Vikravandi. ASTM A270, ASME BPE SF1-SF4, EN 10204 3.1 MTC. PMI tested.</v>
      </c>
      <c r="AC1320" s="15" t="str">
        <f t="shared" si="13"/>
        <v>PENDING RESEARCH</v>
      </c>
      <c r="AD1320" s="15" t="str">
        <f t="shared" si="14"/>
        <v>Electropolished Pipes Manufacturer in Vikravandi</v>
      </c>
      <c r="AE1320" s="15" t="str">
        <f t="shared" si="15"/>
        <v>How We Manufacture Electropolished Tube for Vikravandi Plants</v>
      </c>
      <c r="AF1320" s="15" t="str">
        <f t="shared" si="16"/>
        <v>Supplying Electropolished Pipes in Vikravandi: Availability, Sizes &amp; Dispatch</v>
      </c>
      <c r="AG1320" s="15" t="str">
        <f t="shared" si="17"/>
        <v>Wholesale Electropolished Pipe Supply for Vikravandi Projects</v>
      </c>
      <c r="AH1320" s="15" t="str">
        <f t="shared" si="18"/>
        <v>electropolished pipes manufacturer in Vikravandi, electropolished pipes supplier in Vikravandi, electropolished pipes wholesaler in Vikravandi, electropolished tube manufacturer Vikravandi, EP pipe supplier Vikravandi, sanitary tube supplier Vikravandi, ASME BPE tubing Vikravandi, ASTM A270 tube Vikravandi, SS 316L electropolished pipe Vikravandi</v>
      </c>
      <c r="AI1320" s="15" t="str">
        <f t="shared" si="19"/>
        <v>Electropolished Pipes Manufacturer &amp; Supplier in Vikravandi</v>
      </c>
      <c r="AJ1320" s="15" t="str">
        <f t="shared" si="20"/>
        <v>EP-finished SS 304/316L pipes and tubes for VERIFY plants in Vikravandi. ASME BPE SF1-SF4, Ra from 0.25 um, EN 10204 3.1 certificate with every lot.</v>
      </c>
      <c r="AK1320" s="15" t="str">
        <f t="shared" si="21"/>
        <v>Electropolished stainless steel pipes supplied by Sakshi Forge to VERIFY plants at SIPCOT Industrial Area, Vikravandi</v>
      </c>
      <c r="AL1320" s="15" t="str">
        <f t="shared" si="22"/>
        <v>Electropolished SS 316L tube stock for Vikravandi - Sakshi Forge</v>
      </c>
      <c r="AM1320" s="15" t="str">
        <f t="shared" si="23"/>
        <v>Home &gt; Market Area &gt; India &gt; Tamil Nadu &gt; Vikravandi</v>
      </c>
      <c r="AN1320" s="15">
        <f t="shared" si="24"/>
        <v>750</v>
      </c>
      <c r="AO1320" s="15">
        <f t="shared" si="25"/>
        <v>6</v>
      </c>
      <c r="AP1320" s="15">
        <f t="shared" si="26"/>
        <v>6</v>
      </c>
      <c r="AQ1320" s="15">
        <f t="shared" si="27"/>
        <v>22</v>
      </c>
      <c r="AR1320" s="31"/>
      <c r="AS1320" s="31"/>
      <c r="AT1320" s="35" t="s">
        <v>222</v>
      </c>
      <c r="AU1320" s="35"/>
    </row>
    <row r="1321" ht="15.75" customHeight="1">
      <c r="A1321" s="15" t="s">
        <v>6729</v>
      </c>
      <c r="B1321" s="15" t="s">
        <v>60</v>
      </c>
      <c r="C1321" s="15" t="s">
        <v>224</v>
      </c>
      <c r="D1321" s="15" t="s">
        <v>6730</v>
      </c>
      <c r="E1321" s="15" t="s">
        <v>6730</v>
      </c>
      <c r="F1321" s="58" t="s">
        <v>807</v>
      </c>
      <c r="G1321" s="66" t="s">
        <v>98</v>
      </c>
      <c r="H1321" s="18" t="s">
        <v>6732</v>
      </c>
      <c r="I1321" s="18" t="s">
        <v>8400</v>
      </c>
      <c r="J1321" s="18" t="s">
        <v>98</v>
      </c>
      <c r="K1321" s="18" t="s">
        <v>98</v>
      </c>
      <c r="L1321" s="18" t="s">
        <v>98</v>
      </c>
      <c r="M1321" s="18" t="s">
        <v>98</v>
      </c>
      <c r="N1321" s="18" t="s">
        <v>98</v>
      </c>
      <c r="O1321" s="18" t="s">
        <v>98</v>
      </c>
      <c r="P1321" s="15" t="str">
        <f t="shared" si="1"/>
        <v>VERIFY</v>
      </c>
      <c r="Q1321" s="15">
        <f t="shared" si="2"/>
        <v>6</v>
      </c>
      <c r="R1321" s="15">
        <f t="shared" si="3"/>
        <v>2</v>
      </c>
      <c r="S1321" s="15">
        <f t="shared" si="4"/>
        <v>3</v>
      </c>
      <c r="T1321" s="15" t="str">
        <f t="shared" si="5"/>
        <v>C-4</v>
      </c>
      <c r="U1321" s="15" t="str">
        <f t="shared" si="6"/>
        <v>T6-M2-H3-FC-4-VERIFY</v>
      </c>
      <c r="V1321" s="15">
        <f t="shared" si="7"/>
        <v>0</v>
      </c>
      <c r="W1321" s="31"/>
      <c r="X1321" s="15" t="str">
        <f t="shared" si="8"/>
        <v>vyara</v>
      </c>
      <c r="Y1321" s="32" t="str">
        <f t="shared" si="9"/>
        <v>https://steelmanufacturer.in/market-area/electropolished-pipes-manufacturer-in-vyara/</v>
      </c>
      <c r="Z1321" s="15" t="str">
        <f t="shared" si="10"/>
        <v>Electropolished Pipes Manufacturer in Vyara</v>
      </c>
      <c r="AA1321" s="15" t="str">
        <f t="shared" si="11"/>
        <v>OK (43)</v>
      </c>
      <c r="AB1321" s="15" t="str">
        <f t="shared" si="12"/>
        <v>Electropolished tube supply to GIDC Industrial Area, Vyara. Ra from 0.25 um, SF4 finish, mill test certificate with every lot.</v>
      </c>
      <c r="AC1321" s="15" t="str">
        <f t="shared" si="13"/>
        <v>PENDING RESEARCH</v>
      </c>
      <c r="AD1321" s="15" t="str">
        <f t="shared" si="14"/>
        <v>Electropolished Pipes Manufacturer in Vyara</v>
      </c>
      <c r="AE1321" s="15" t="str">
        <f t="shared" si="15"/>
        <v>Electropolished Pipes Manufacturer in Vyara - Our Process &amp; Capability</v>
      </c>
      <c r="AF1321" s="15" t="str">
        <f t="shared" si="16"/>
        <v>Electropolished Pipes Supplier in Vyara - What We Hold in Stock</v>
      </c>
      <c r="AG1321" s="15" t="str">
        <f t="shared" si="17"/>
        <v>Bulk &amp; Wholesale Electropolished Pipe Rates for Vyara Buyers</v>
      </c>
      <c r="AH1321" s="15" t="str">
        <f t="shared" si="18"/>
        <v>electropolished pipes manufacturer in Vyara, electropolished pipes supplier in Vyara, electropolished pipes wholesaler in Vyara, electropolished tube manufacturer Vyara, EP pipe supplier Vyara, sanitary tube supplier Vyara, ASME BPE tubing Vyara, ASTM A270 tube Vyara, SS 316L electropolished pipe Vyara</v>
      </c>
      <c r="AI1321" s="15" t="str">
        <f t="shared" si="19"/>
        <v>Electropolished Pipes Manufacturer &amp; Supplier in Vyara</v>
      </c>
      <c r="AJ1321" s="15" t="str">
        <f t="shared" si="20"/>
        <v>EP-finished SS 304/316L pipes and tubes for VERIFY plants in Vyara. ASME BPE SF1-SF4, Ra from 0.25 um, EN 10204 3.1 certificate with every lot.</v>
      </c>
      <c r="AK1321" s="15" t="str">
        <f t="shared" si="21"/>
        <v>Electropolished stainless steel pipes supplied by Sakshi Forge to VERIFY plants at GIDC Industrial Area, Vyara</v>
      </c>
      <c r="AL1321" s="15" t="str">
        <f t="shared" si="22"/>
        <v>Electropolished SS 316L tube stock for Vyara - Sakshi Forge</v>
      </c>
      <c r="AM1321" s="15" t="str">
        <f t="shared" si="23"/>
        <v>Home &gt; Market Area &gt; India &gt; Gujarat &gt; Vyara</v>
      </c>
      <c r="AN1321" s="15">
        <f t="shared" si="24"/>
        <v>750</v>
      </c>
      <c r="AO1321" s="15">
        <f t="shared" si="25"/>
        <v>6</v>
      </c>
      <c r="AP1321" s="15">
        <f t="shared" si="26"/>
        <v>6</v>
      </c>
      <c r="AQ1321" s="15">
        <f t="shared" si="27"/>
        <v>22</v>
      </c>
      <c r="AR1321" s="31"/>
      <c r="AS1321" s="31"/>
      <c r="AT1321" s="35" t="s">
        <v>222</v>
      </c>
      <c r="AU1321" s="35"/>
    </row>
    <row r="1322" ht="15.75" customHeight="1">
      <c r="A1322" s="15" t="s">
        <v>6733</v>
      </c>
      <c r="B1322" s="15" t="s">
        <v>60</v>
      </c>
      <c r="C1322" s="15" t="s">
        <v>413</v>
      </c>
      <c r="D1322" s="15" t="s">
        <v>6734</v>
      </c>
      <c r="E1322" s="15" t="s">
        <v>6734</v>
      </c>
      <c r="F1322" s="58" t="s">
        <v>807</v>
      </c>
      <c r="G1322" s="66" t="s">
        <v>98</v>
      </c>
      <c r="H1322" s="18" t="s">
        <v>6736</v>
      </c>
      <c r="I1322" s="18" t="s">
        <v>8393</v>
      </c>
      <c r="J1322" s="18" t="s">
        <v>98</v>
      </c>
      <c r="K1322" s="18" t="s">
        <v>98</v>
      </c>
      <c r="L1322" s="18" t="s">
        <v>98</v>
      </c>
      <c r="M1322" s="18" t="s">
        <v>98</v>
      </c>
      <c r="N1322" s="18" t="s">
        <v>98</v>
      </c>
      <c r="O1322" s="18" t="s">
        <v>98</v>
      </c>
      <c r="P1322" s="15" t="str">
        <f t="shared" si="1"/>
        <v>VERIFY</v>
      </c>
      <c r="Q1322" s="15">
        <f t="shared" si="2"/>
        <v>7</v>
      </c>
      <c r="R1322" s="15">
        <f t="shared" si="3"/>
        <v>3</v>
      </c>
      <c r="S1322" s="15">
        <f t="shared" si="4"/>
        <v>4</v>
      </c>
      <c r="T1322" s="15" t="str">
        <f t="shared" si="5"/>
        <v>C-5</v>
      </c>
      <c r="U1322" s="15" t="str">
        <f t="shared" si="6"/>
        <v>T7-M3-H4-FC-5-VERIFY</v>
      </c>
      <c r="V1322" s="15">
        <f t="shared" si="7"/>
        <v>0</v>
      </c>
      <c r="W1322" s="31"/>
      <c r="X1322" s="15" t="str">
        <f t="shared" si="8"/>
        <v>yelamanchili</v>
      </c>
      <c r="Y1322" s="32" t="str">
        <f t="shared" si="9"/>
        <v>https://steelmanufacturer.in/market-area/electropolished-pipes-manufacturer-in-yelamanchili/</v>
      </c>
      <c r="Z1322" s="15" t="str">
        <f t="shared" si="10"/>
        <v>Electropolished Pipes Manufacturer in Yelamanchili</v>
      </c>
      <c r="AA1322" s="15" t="str">
        <f t="shared" si="11"/>
        <v>OK (50)</v>
      </c>
      <c r="AB1322" s="15" t="str">
        <f t="shared" si="12"/>
        <v>EP stainless tube for VERIFY lines in Yelamanchili. VERIFY. ASTM A270 S2, PMI tested, EN 10204 3.1.</v>
      </c>
      <c r="AC1322" s="15" t="str">
        <f t="shared" si="13"/>
        <v>PENDING RESEARCH</v>
      </c>
      <c r="AD1322" s="15" t="str">
        <f t="shared" si="14"/>
        <v>Electropolished Pipes Manufacturer in Yelamanchili</v>
      </c>
      <c r="AE1322" s="15" t="str">
        <f t="shared" si="15"/>
        <v>Manufacturing Electropolished SS Tube for Yelamanchili: The Standards We Build To</v>
      </c>
      <c r="AF1322" s="15" t="str">
        <f t="shared" si="16"/>
        <v>Electropolished Pipe Supply Into Yelamanchili - Certification &amp; Transit</v>
      </c>
      <c r="AG1322" s="15" t="str">
        <f t="shared" si="17"/>
        <v>Electropolished Pipes Wholesaler in Yelamanchili - Project Quantities &amp; Terms</v>
      </c>
      <c r="AH1322" s="15" t="str">
        <f t="shared" si="18"/>
        <v>electropolished pipes manufacturer in Yelamanchili, electropolished pipes supplier in Yelamanchili, electropolished pipes wholesaler in Yelamanchili, electropolished tube manufacturer Yelamanchili, EP pipe supplier Yelamanchili, sanitary tube supplier Yelamanchili, ASME BPE tubing Yelamanchili, ASTM A270 tube Yelamanchili, SS 316L electropolished pipe Yelamanchili</v>
      </c>
      <c r="AI1322" s="15" t="str">
        <f t="shared" si="19"/>
        <v>Electropolished Pipes Manufacturer &amp; Supplier in Yelamanchili</v>
      </c>
      <c r="AJ1322" s="15" t="str">
        <f t="shared" si="20"/>
        <v>EP-finished SS 304/316L pipes and tubes for VERIFY plants in Yelamanchili. ASME BPE SF1-SF4, Ra from 0.25 um, EN 10204 3.1 certificate with every lot.</v>
      </c>
      <c r="AK1322" s="15" t="str">
        <f t="shared" si="21"/>
        <v>Electropolished stainless steel pipes supplied by Sakshi Forge to VERIFY plants at APIIC Industrial Area, Yelamanchili</v>
      </c>
      <c r="AL1322" s="15" t="str">
        <f t="shared" si="22"/>
        <v>Electropolished SS 316L tube stock for Yelamanchili - Sakshi Forge</v>
      </c>
      <c r="AM1322" s="15" t="str">
        <f t="shared" si="23"/>
        <v>Home &gt; Market Area &gt; India &gt; Andhra Pradesh &gt; Yelamanchili</v>
      </c>
      <c r="AN1322" s="15">
        <f t="shared" si="24"/>
        <v>750</v>
      </c>
      <c r="AO1322" s="15">
        <f t="shared" si="25"/>
        <v>6</v>
      </c>
      <c r="AP1322" s="15">
        <f t="shared" si="26"/>
        <v>6</v>
      </c>
      <c r="AQ1322" s="15">
        <f t="shared" si="27"/>
        <v>22</v>
      </c>
      <c r="AR1322" s="31"/>
      <c r="AS1322" s="31"/>
      <c r="AT1322" s="35" t="s">
        <v>222</v>
      </c>
      <c r="AU1322" s="35"/>
    </row>
    <row r="1323" ht="15.75" customHeight="1">
      <c r="A1323" s="15" t="s">
        <v>6737</v>
      </c>
      <c r="B1323" s="15" t="s">
        <v>60</v>
      </c>
      <c r="C1323" s="15" t="s">
        <v>1312</v>
      </c>
      <c r="D1323" s="15" t="s">
        <v>6738</v>
      </c>
      <c r="E1323" s="15" t="s">
        <v>6738</v>
      </c>
      <c r="F1323" s="58" t="s">
        <v>807</v>
      </c>
      <c r="G1323" s="66" t="s">
        <v>98</v>
      </c>
      <c r="H1323" s="18" t="s">
        <v>6740</v>
      </c>
      <c r="I1323" s="18" t="s">
        <v>8392</v>
      </c>
      <c r="J1323" s="18" t="s">
        <v>98</v>
      </c>
      <c r="K1323" s="18" t="s">
        <v>98</v>
      </c>
      <c r="L1323" s="18" t="s">
        <v>98</v>
      </c>
      <c r="M1323" s="18" t="s">
        <v>98</v>
      </c>
      <c r="N1323" s="18" t="s">
        <v>98</v>
      </c>
      <c r="O1323" s="18" t="s">
        <v>98</v>
      </c>
      <c r="P1323" s="15" t="str">
        <f t="shared" si="1"/>
        <v>VERIFY</v>
      </c>
      <c r="Q1323" s="15">
        <f t="shared" si="2"/>
        <v>8</v>
      </c>
      <c r="R1323" s="15">
        <f t="shared" si="3"/>
        <v>4</v>
      </c>
      <c r="S1323" s="15">
        <f t="shared" si="4"/>
        <v>5</v>
      </c>
      <c r="T1323" s="15" t="str">
        <f t="shared" si="5"/>
        <v>C-6</v>
      </c>
      <c r="U1323" s="15" t="str">
        <f t="shared" si="6"/>
        <v>T8-M4-H5-FC-6-VERIFY</v>
      </c>
      <c r="V1323" s="15">
        <f t="shared" si="7"/>
        <v>0</v>
      </c>
      <c r="W1323" s="31"/>
      <c r="X1323" s="15" t="str">
        <f t="shared" si="8"/>
        <v>yellareddy</v>
      </c>
      <c r="Y1323" s="32" t="str">
        <f t="shared" si="9"/>
        <v>https://steelmanufacturer.in/market-area/electropolished-pipes-manufacturer-in-yellareddy/</v>
      </c>
      <c r="Z1323" s="15" t="str">
        <f t="shared" si="10"/>
        <v>Electropolished Pipes Manufacturer in Yellareddy</v>
      </c>
      <c r="AA1323" s="15" t="str">
        <f t="shared" si="11"/>
        <v>OK (48)</v>
      </c>
      <c r="AB1323" s="15" t="str">
        <f t="shared" si="12"/>
        <v>Sanitary electropolished pipes in Yellareddy for VERIFY plants. ASME BPE SF1-SF4, orbital-weld ready, 3.1 MTC. Mumbai-made.</v>
      </c>
      <c r="AC1323" s="15" t="str">
        <f t="shared" si="13"/>
        <v>PENDING RESEARCH</v>
      </c>
      <c r="AD1323" s="15" t="str">
        <f t="shared" si="14"/>
        <v>Electropolished Pipes Manufacturer in Yellareddy</v>
      </c>
      <c r="AE1323" s="15" t="str">
        <f t="shared" si="15"/>
        <v>Electropolished Tube Manufacturing Capability Serving Yellareddy</v>
      </c>
      <c r="AF1323" s="15" t="str">
        <f t="shared" si="16"/>
        <v>Electropolished Pipes Supplier in Yellareddy - From Order to Delivery</v>
      </c>
      <c r="AG1323" s="15" t="str">
        <f t="shared" si="17"/>
        <v>Stockist &amp; Wholesale Supply of Electropolished Pipes in Yellareddy</v>
      </c>
      <c r="AH1323" s="15" t="str">
        <f t="shared" si="18"/>
        <v>electropolished pipes manufacturer in Yellareddy, electropolished pipes supplier in Yellareddy, electropolished pipes wholesaler in Yellareddy, electropolished tube manufacturer Yellareddy, EP pipe supplier Yellareddy, sanitary tube supplier Yellareddy, ASME BPE tubing Yellareddy, ASTM A270 tube Yellareddy, SS 316L electropolished pipe Yellareddy</v>
      </c>
      <c r="AI1323" s="15" t="str">
        <f t="shared" si="19"/>
        <v>Electropolished Pipes Manufacturer &amp; Supplier in Yellareddy</v>
      </c>
      <c r="AJ1323" s="15" t="str">
        <f t="shared" si="20"/>
        <v>EP-finished SS 304/316L pipes and tubes for VERIFY plants in Yellareddy. ASME BPE SF1-SF4, Ra from 0.25 um, EN 10204 3.1 certificate with every lot.</v>
      </c>
      <c r="AK1323" s="15" t="str">
        <f t="shared" si="21"/>
        <v>Electropolished stainless steel pipes supplied by Sakshi Forge to VERIFY plants at TSIIC Industrial Area, Yellareddy</v>
      </c>
      <c r="AL1323" s="15" t="str">
        <f t="shared" si="22"/>
        <v>Electropolished SS 316L tube stock for Yellareddy - Sakshi Forge</v>
      </c>
      <c r="AM1323" s="15" t="str">
        <f t="shared" si="23"/>
        <v>Home &gt; Market Area &gt; India &gt; Telangana &gt; Yellareddy</v>
      </c>
      <c r="AN1323" s="15">
        <f t="shared" si="24"/>
        <v>750</v>
      </c>
      <c r="AO1323" s="15">
        <f t="shared" si="25"/>
        <v>6</v>
      </c>
      <c r="AP1323" s="15">
        <f t="shared" si="26"/>
        <v>6</v>
      </c>
      <c r="AQ1323" s="15">
        <f t="shared" si="27"/>
        <v>22</v>
      </c>
      <c r="AR1323" s="31"/>
      <c r="AS1323" s="31"/>
      <c r="AT1323" s="35" t="s">
        <v>222</v>
      </c>
      <c r="AU1323" s="35"/>
    </row>
    <row r="1324" ht="15.75" customHeight="1">
      <c r="A1324" s="15" t="s">
        <v>6741</v>
      </c>
      <c r="B1324" s="15" t="s">
        <v>60</v>
      </c>
      <c r="C1324" s="15" t="s">
        <v>264</v>
      </c>
      <c r="D1324" s="15" t="s">
        <v>6742</v>
      </c>
      <c r="E1324" s="15" t="s">
        <v>6742</v>
      </c>
      <c r="F1324" s="58" t="s">
        <v>807</v>
      </c>
      <c r="G1324" s="66" t="s">
        <v>98</v>
      </c>
      <c r="H1324" s="18" t="s">
        <v>6745</v>
      </c>
      <c r="I1324" s="18" t="s">
        <v>8395</v>
      </c>
      <c r="J1324" s="18" t="s">
        <v>98</v>
      </c>
      <c r="K1324" s="18" t="s">
        <v>98</v>
      </c>
      <c r="L1324" s="18" t="s">
        <v>98</v>
      </c>
      <c r="M1324" s="18" t="s">
        <v>98</v>
      </c>
      <c r="N1324" s="18" t="s">
        <v>98</v>
      </c>
      <c r="O1324" s="18" t="s">
        <v>98</v>
      </c>
      <c r="P1324" s="15" t="str">
        <f t="shared" si="1"/>
        <v>VERIFY</v>
      </c>
      <c r="Q1324" s="15">
        <f t="shared" si="2"/>
        <v>1</v>
      </c>
      <c r="R1324" s="15">
        <f t="shared" si="3"/>
        <v>5</v>
      </c>
      <c r="S1324" s="15">
        <f t="shared" si="4"/>
        <v>1</v>
      </c>
      <c r="T1324" s="15" t="str">
        <f t="shared" si="5"/>
        <v>C-1</v>
      </c>
      <c r="U1324" s="15" t="str">
        <f t="shared" si="6"/>
        <v>T1-M5-H1-FC-1-VERIFY</v>
      </c>
      <c r="V1324" s="15">
        <f t="shared" si="7"/>
        <v>0</v>
      </c>
      <c r="W1324" s="31"/>
      <c r="X1324" s="15" t="str">
        <f t="shared" si="8"/>
        <v>yeola</v>
      </c>
      <c r="Y1324" s="32" t="str">
        <f t="shared" si="9"/>
        <v>https://steelmanufacturer.in/market-area/electropolished-pipes-manufacturer-in-yeola/</v>
      </c>
      <c r="Z1324" s="15" t="str">
        <f t="shared" si="10"/>
        <v>Electropolished Pipes Manufacturer in Yeola | Sakshi Forge</v>
      </c>
      <c r="AA1324" s="15" t="str">
        <f t="shared" si="11"/>
        <v>OK (58)</v>
      </c>
      <c r="AB1324" s="15" t="str">
        <f t="shared" si="12"/>
        <v>Manufacturer of electropolished SS 316L tube serving Yeola. VERIFY. Ra 0.25-0.5 um, EN 10204 3.1 MTC.</v>
      </c>
      <c r="AC1324" s="15" t="str">
        <f t="shared" si="13"/>
        <v>PENDING RESEARCH</v>
      </c>
      <c r="AD1324" s="15" t="str">
        <f t="shared" si="14"/>
        <v>Electropolished Pipes Manufacturer in Yeola</v>
      </c>
      <c r="AE1324" s="15" t="str">
        <f t="shared" si="15"/>
        <v>Electropolished Pipe &amp; Tube Manufacturing for Yeola - Grades, Finishes &amp; Certification</v>
      </c>
      <c r="AF1324" s="15" t="str">
        <f t="shared" si="16"/>
        <v>Electropolished Pipes Supplier in Yeola - Stock Sizes, Lead Time &amp; Delivery</v>
      </c>
      <c r="AG1324" s="15" t="str">
        <f t="shared" si="17"/>
        <v>Electropolished Pipes Wholesaler &amp; Stockist in Yeola - Bulk &amp; Project Pricing</v>
      </c>
      <c r="AH1324" s="15" t="str">
        <f t="shared" si="18"/>
        <v>electropolished pipes manufacturer in Yeola, electropolished pipes supplier in Yeola, electropolished pipes wholesaler in Yeola, electropolished tube manufacturer Yeola, EP pipe supplier Yeola, sanitary tube supplier Yeola, ASME BPE tubing Yeola, ASTM A270 tube Yeola, SS 316L electropolished pipe Yeola</v>
      </c>
      <c r="AI1324" s="15" t="str">
        <f t="shared" si="19"/>
        <v>Electropolished Pipes Manufacturer &amp; Supplier in Yeola</v>
      </c>
      <c r="AJ1324" s="15" t="str">
        <f t="shared" si="20"/>
        <v>EP-finished SS 304/316L pipes and tubes for VERIFY plants in Yeola. ASME BPE SF1-SF4, Ra from 0.25 um, EN 10204 3.1 certificate with every lot.</v>
      </c>
      <c r="AK1324" s="15" t="str">
        <f t="shared" si="21"/>
        <v>Electropolished stainless steel pipes supplied by Sakshi Forge to VERIFY plants at MIDC Industrial Area, Yeola</v>
      </c>
      <c r="AL1324" s="15" t="str">
        <f t="shared" si="22"/>
        <v>Electropolished SS 316L tube stock for Yeola - Sakshi Forge</v>
      </c>
      <c r="AM1324" s="15" t="str">
        <f t="shared" si="23"/>
        <v>Home &gt; Market Area &gt; India &gt; Maharashtra &gt; Yeola</v>
      </c>
      <c r="AN1324" s="15">
        <f t="shared" si="24"/>
        <v>750</v>
      </c>
      <c r="AO1324" s="15">
        <f t="shared" si="25"/>
        <v>6</v>
      </c>
      <c r="AP1324" s="15">
        <f t="shared" si="26"/>
        <v>6</v>
      </c>
      <c r="AQ1324" s="15">
        <f t="shared" si="27"/>
        <v>23</v>
      </c>
      <c r="AR1324" s="31"/>
      <c r="AS1324" s="31"/>
      <c r="AT1324" s="35" t="s">
        <v>222</v>
      </c>
      <c r="AU1324" s="35"/>
    </row>
    <row r="1325" ht="15.75" customHeight="1">
      <c r="A1325" s="15" t="s">
        <v>6748</v>
      </c>
      <c r="B1325" s="15" t="s">
        <v>403</v>
      </c>
      <c r="C1325" s="15" t="s">
        <v>98</v>
      </c>
      <c r="D1325" s="15" t="s">
        <v>6751</v>
      </c>
      <c r="E1325" s="15" t="s">
        <v>6751</v>
      </c>
      <c r="F1325" s="58" t="s">
        <v>807</v>
      </c>
      <c r="G1325" s="66" t="s">
        <v>98</v>
      </c>
      <c r="H1325" s="18" t="s">
        <v>98</v>
      </c>
      <c r="I1325" s="18" t="s">
        <v>98</v>
      </c>
      <c r="J1325" s="18" t="s">
        <v>98</v>
      </c>
      <c r="K1325" s="18" t="s">
        <v>98</v>
      </c>
      <c r="L1325" s="18" t="s">
        <v>98</v>
      </c>
      <c r="M1325" s="18" t="s">
        <v>604</v>
      </c>
      <c r="N1325" s="18" t="s">
        <v>421</v>
      </c>
      <c r="O1325" s="18" t="s">
        <v>98</v>
      </c>
      <c r="P1325" s="15" t="str">
        <f t="shared" si="1"/>
        <v>VERIFY</v>
      </c>
      <c r="Q1325" s="15">
        <f t="shared" si="2"/>
        <v>2</v>
      </c>
      <c r="R1325" s="15">
        <f t="shared" si="3"/>
        <v>6</v>
      </c>
      <c r="S1325" s="15">
        <f t="shared" si="4"/>
        <v>2</v>
      </c>
      <c r="T1325" s="15" t="str">
        <f t="shared" si="5"/>
        <v>C-2</v>
      </c>
      <c r="U1325" s="15" t="str">
        <f t="shared" si="6"/>
        <v>T2-M6-H2-FC-2-VERIFY</v>
      </c>
      <c r="V1325" s="15">
        <f t="shared" si="7"/>
        <v>0</v>
      </c>
      <c r="W1325" s="31"/>
      <c r="X1325" s="15" t="str">
        <f t="shared" si="8"/>
        <v>alice-springs-australia</v>
      </c>
      <c r="Y1325" s="32" t="str">
        <f t="shared" si="9"/>
        <v>https://steelmanufacturer.in/market-area/electropolished-pipes-manufacturer-in-alice-springs-australia/</v>
      </c>
      <c r="Z1325" s="15" t="str">
        <f t="shared" si="10"/>
        <v>Electropolished Pipes Manufacturer in Alice Springs</v>
      </c>
      <c r="AA1325" s="15" t="str">
        <f t="shared" si="11"/>
        <v>OK (51)</v>
      </c>
      <c r="AB1325" s="15" t="str">
        <f t="shared" si="12"/>
        <v>EP tube and pipe for VERIFY plants around VERIFY, Alice Springs. Made at our Mumbai works to ASTM A270 and ASME BPE SF1-SF4, with 3.1 MTC.</v>
      </c>
      <c r="AC1325" s="15" t="str">
        <f t="shared" si="13"/>
        <v>PENDING RESEARCH</v>
      </c>
      <c r="AD1325" s="15" t="str">
        <f t="shared" si="14"/>
        <v>Electropolished Pipes Manufacturer in Alice Springs</v>
      </c>
      <c r="AE1325" s="15" t="str">
        <f t="shared" si="15"/>
        <v>How We Manufacture Electropolished Tube for Alice Springs Plants</v>
      </c>
      <c r="AF1325" s="15" t="str">
        <f t="shared" si="16"/>
        <v>Supplying Electropolished Pipes in Alice Springs: Availability, Sizes &amp; Dispatch</v>
      </c>
      <c r="AG1325" s="15" t="str">
        <f t="shared" si="17"/>
        <v>Wholesale Electropolished Pipe Supply for Alice Springs Projects</v>
      </c>
      <c r="AH1325" s="15" t="str">
        <f t="shared" si="18"/>
        <v>electropolished pipes manufacturer in Alice Springs, electropolished pipes supplier in Alice Springs, electropolished pipes wholesaler in Alice Springs, electropolished tube manufacturer Alice Springs, EP pipe supplier Alice Springs, sanitary tube supplier Alice Springs, ASME BPE tubing Alice Springs, ASTM A270 tube Alice Springs, SS 316L electropolished pipe Alice Springs</v>
      </c>
      <c r="AI1325" s="15" t="str">
        <f t="shared" si="19"/>
        <v>Electropolished Pipes Manufacturer &amp; Supplier in Alice Springs</v>
      </c>
      <c r="AJ1325" s="15" t="str">
        <f t="shared" si="20"/>
        <v>EP-finished SS 304/316L pipes and tubes for VERIFY plants in Alice Springs. ASME BPE SF1-SF4, Ra from 0.25 um, EN 10204 3.1 certificate with every lot.</v>
      </c>
      <c r="AK1325" s="15" t="str">
        <f t="shared" si="21"/>
        <v>Electropolished stainless steel pipes supplied by Sakshi Forge to VERIFY plants at VERIFY, Alice Springs</v>
      </c>
      <c r="AL1325" s="15" t="str">
        <f t="shared" si="22"/>
        <v>Electropolished SS 316L tube stock for Alice Springs - Sakshi Forge</v>
      </c>
      <c r="AM1325" s="15" t="str">
        <f t="shared" si="23"/>
        <v>Home &gt; Market Area &gt; Australia &gt; VERIFY &gt; Alice Springs</v>
      </c>
      <c r="AN1325" s="15">
        <f t="shared" si="24"/>
        <v>750</v>
      </c>
      <c r="AO1325" s="15">
        <f t="shared" si="25"/>
        <v>6</v>
      </c>
      <c r="AP1325" s="15">
        <f t="shared" si="26"/>
        <v>6</v>
      </c>
      <c r="AQ1325" s="15">
        <f t="shared" si="27"/>
        <v>23</v>
      </c>
      <c r="AR1325" s="31"/>
      <c r="AS1325" s="31"/>
      <c r="AT1325" s="35" t="s">
        <v>222</v>
      </c>
      <c r="AU1325" s="35"/>
    </row>
    <row r="1326" ht="15.75" customHeight="1">
      <c r="A1326" s="15" t="s">
        <v>6755</v>
      </c>
      <c r="B1326" s="15" t="s">
        <v>403</v>
      </c>
      <c r="C1326" s="15" t="s">
        <v>98</v>
      </c>
      <c r="D1326" s="15" t="s">
        <v>6756</v>
      </c>
      <c r="E1326" s="15" t="s">
        <v>6756</v>
      </c>
      <c r="F1326" s="58" t="s">
        <v>807</v>
      </c>
      <c r="G1326" s="66" t="s">
        <v>98</v>
      </c>
      <c r="H1326" s="18" t="s">
        <v>98</v>
      </c>
      <c r="I1326" s="18" t="s">
        <v>98</v>
      </c>
      <c r="J1326" s="18" t="s">
        <v>98</v>
      </c>
      <c r="K1326" s="18" t="s">
        <v>98</v>
      </c>
      <c r="L1326" s="18" t="s">
        <v>98</v>
      </c>
      <c r="M1326" s="18" t="s">
        <v>604</v>
      </c>
      <c r="N1326" s="18" t="s">
        <v>421</v>
      </c>
      <c r="O1326" s="18" t="s">
        <v>98</v>
      </c>
      <c r="P1326" s="15" t="str">
        <f t="shared" si="1"/>
        <v>VERIFY</v>
      </c>
      <c r="Q1326" s="15">
        <f t="shared" si="2"/>
        <v>3</v>
      </c>
      <c r="R1326" s="15">
        <f t="shared" si="3"/>
        <v>7</v>
      </c>
      <c r="S1326" s="15">
        <f t="shared" si="4"/>
        <v>3</v>
      </c>
      <c r="T1326" s="15" t="str">
        <f t="shared" si="5"/>
        <v>C-3</v>
      </c>
      <c r="U1326" s="15" t="str">
        <f t="shared" si="6"/>
        <v>T3-M7-H3-FC-3-VERIFY</v>
      </c>
      <c r="V1326" s="15">
        <f t="shared" si="7"/>
        <v>0</v>
      </c>
      <c r="W1326" s="31"/>
      <c r="X1326" s="15" t="str">
        <f t="shared" si="8"/>
        <v>bathurst-australia</v>
      </c>
      <c r="Y1326" s="32" t="str">
        <f t="shared" si="9"/>
        <v>https://steelmanufacturer.in/market-area/electropolished-pipes-manufacturer-in-bathurst-australia/</v>
      </c>
      <c r="Z1326" s="15" t="str">
        <f t="shared" si="10"/>
        <v>Electropolished Pipes Manufacturer in Bathurst | EP Tube Supplier</v>
      </c>
      <c r="AA1326" s="15" t="str">
        <f t="shared" si="11"/>
        <v>OK (65)</v>
      </c>
      <c r="AB1326" s="15" t="str">
        <f t="shared" si="12"/>
        <v>Electropolished pipes in Bathurst: 304, 304L, 316 and 316L in SF1-SF4. 18-24 days sea from Nhava Sheva to Melbourne. Mill certified.</v>
      </c>
      <c r="AC1326" s="15" t="str">
        <f t="shared" si="13"/>
        <v>PENDING RESEARCH</v>
      </c>
      <c r="AD1326" s="15" t="str">
        <f t="shared" si="14"/>
        <v>Electropolished Pipes Manufacturer in Bathurst</v>
      </c>
      <c r="AE1326" s="15" t="str">
        <f t="shared" si="15"/>
        <v>Electropolished Pipes Manufacturer in Bathurst - Our Process &amp; Capability</v>
      </c>
      <c r="AF1326" s="15" t="str">
        <f t="shared" si="16"/>
        <v>Electropolished Pipes Supplier in Bathurst - What We Hold in Stock</v>
      </c>
      <c r="AG1326" s="15" t="str">
        <f t="shared" si="17"/>
        <v>Bulk &amp; Wholesale Electropolished Pipe Rates for Bathurst Buyers</v>
      </c>
      <c r="AH1326" s="15" t="str">
        <f t="shared" si="18"/>
        <v>electropolished pipes manufacturer in Bathurst, electropolished pipes supplier in Bathurst, electropolished pipes wholesaler in Bathurst, electropolished tube manufacturer Bathurst, EP pipe supplier Bathurst, sanitary tube supplier Bathurst, ASME BPE tubing Bathurst, ASTM A270 tube Bathurst, SS 316L electropolished pipe Bathurst</v>
      </c>
      <c r="AI1326" s="15" t="str">
        <f t="shared" si="19"/>
        <v>Electropolished Pipes Manufacturer &amp; Supplier in Bathurst</v>
      </c>
      <c r="AJ1326" s="15" t="str">
        <f t="shared" si="20"/>
        <v>EP-finished SS 304/316L pipes and tubes for VERIFY plants in Bathurst. ASME BPE SF1-SF4, Ra from 0.25 um, EN 10204 3.1 certificate with every lot.</v>
      </c>
      <c r="AK1326" s="15" t="str">
        <f t="shared" si="21"/>
        <v>Electropolished stainless steel pipes supplied by Sakshi Forge to VERIFY plants at VERIFY, Bathurst</v>
      </c>
      <c r="AL1326" s="15" t="str">
        <f t="shared" si="22"/>
        <v>Electropolished SS 316L tube stock for Bathurst - Sakshi Forge</v>
      </c>
      <c r="AM1326" s="15" t="str">
        <f t="shared" si="23"/>
        <v>Home &gt; Market Area &gt; Australia &gt; VERIFY &gt; Bathurst</v>
      </c>
      <c r="AN1326" s="15">
        <f t="shared" si="24"/>
        <v>750</v>
      </c>
      <c r="AO1326" s="15">
        <f t="shared" si="25"/>
        <v>6</v>
      </c>
      <c r="AP1326" s="15">
        <f t="shared" si="26"/>
        <v>6</v>
      </c>
      <c r="AQ1326" s="15">
        <f t="shared" si="27"/>
        <v>23</v>
      </c>
      <c r="AR1326" s="31"/>
      <c r="AS1326" s="31"/>
      <c r="AT1326" s="35" t="s">
        <v>222</v>
      </c>
      <c r="AU1326" s="35"/>
    </row>
    <row r="1327" ht="15.75" customHeight="1">
      <c r="A1327" s="15" t="s">
        <v>6757</v>
      </c>
      <c r="B1327" s="15" t="s">
        <v>403</v>
      </c>
      <c r="C1327" s="15" t="s">
        <v>98</v>
      </c>
      <c r="D1327" s="15" t="s">
        <v>6758</v>
      </c>
      <c r="E1327" s="15" t="s">
        <v>6758</v>
      </c>
      <c r="F1327" s="58" t="s">
        <v>807</v>
      </c>
      <c r="G1327" s="66" t="s">
        <v>98</v>
      </c>
      <c r="H1327" s="18" t="s">
        <v>98</v>
      </c>
      <c r="I1327" s="18" t="s">
        <v>98</v>
      </c>
      <c r="J1327" s="18" t="s">
        <v>98</v>
      </c>
      <c r="K1327" s="18" t="s">
        <v>98</v>
      </c>
      <c r="L1327" s="18" t="s">
        <v>98</v>
      </c>
      <c r="M1327" s="18" t="s">
        <v>604</v>
      </c>
      <c r="N1327" s="18" t="s">
        <v>421</v>
      </c>
      <c r="O1327" s="18" t="s">
        <v>98</v>
      </c>
      <c r="P1327" s="15" t="str">
        <f t="shared" si="1"/>
        <v>VERIFY</v>
      </c>
      <c r="Q1327" s="15">
        <f t="shared" si="2"/>
        <v>4</v>
      </c>
      <c r="R1327" s="15">
        <f t="shared" si="3"/>
        <v>1</v>
      </c>
      <c r="S1327" s="15">
        <f t="shared" si="4"/>
        <v>4</v>
      </c>
      <c r="T1327" s="15" t="str">
        <f t="shared" si="5"/>
        <v>C-4</v>
      </c>
      <c r="U1327" s="15" t="str">
        <f t="shared" si="6"/>
        <v>T4-M1-H4-FC-4-VERIFY</v>
      </c>
      <c r="V1327" s="15">
        <f t="shared" si="7"/>
        <v>0</v>
      </c>
      <c r="W1327" s="31"/>
      <c r="X1327" s="15" t="str">
        <f t="shared" si="8"/>
        <v>broome-australia</v>
      </c>
      <c r="Y1327" s="32" t="str">
        <f t="shared" si="9"/>
        <v>https://steelmanufacturer.in/market-area/electropolished-pipes-manufacturer-in-broome-australia/</v>
      </c>
      <c r="Z1327" s="15" t="str">
        <f t="shared" si="10"/>
        <v>Electropolished Pipes Manufacturer in Broome</v>
      </c>
      <c r="AA1327" s="15" t="str">
        <f t="shared" si="11"/>
        <v>OK (44)</v>
      </c>
      <c r="AB1327" s="15" t="str">
        <f t="shared" si="12"/>
        <v>EP-finished SS 304/316L pipes &amp; tubes for VERIFY plants in Broome. ASTM A270, ASME BPE SF1-SF4, EN 10204 3.1 MTC. PMI tested.</v>
      </c>
      <c r="AC1327" s="15" t="str">
        <f t="shared" si="13"/>
        <v>PENDING RESEARCH</v>
      </c>
      <c r="AD1327" s="15" t="str">
        <f t="shared" si="14"/>
        <v>Electropolished Pipes Manufacturer in Broome</v>
      </c>
      <c r="AE1327" s="15" t="str">
        <f t="shared" si="15"/>
        <v>Manufacturing Electropolished SS Tube for Broome: The Standards We Build To</v>
      </c>
      <c r="AF1327" s="15" t="str">
        <f t="shared" si="16"/>
        <v>Electropolished Pipe Supply Into Broome - Certification &amp; Transit</v>
      </c>
      <c r="AG1327" s="15" t="str">
        <f t="shared" si="17"/>
        <v>Electropolished Pipes Wholesaler in Broome - Project Quantities &amp; Terms</v>
      </c>
      <c r="AH1327" s="15" t="str">
        <f t="shared" si="18"/>
        <v>electropolished pipes manufacturer in Broome, electropolished pipes supplier in Broome, electropolished pipes wholesaler in Broome, electropolished tube manufacturer Broome, EP pipe supplier Broome, sanitary tube supplier Broome, ASME BPE tubing Broome, ASTM A270 tube Broome, SS 316L electropolished pipe Broome</v>
      </c>
      <c r="AI1327" s="15" t="str">
        <f t="shared" si="19"/>
        <v>Electropolished Pipes Manufacturer &amp; Supplier in Broome</v>
      </c>
      <c r="AJ1327" s="15" t="str">
        <f t="shared" si="20"/>
        <v>EP-finished SS 304/316L pipes and tubes for VERIFY plants in Broome. ASME BPE SF1-SF4, Ra from 0.25 um, EN 10204 3.1 certificate with every lot.</v>
      </c>
      <c r="AK1327" s="15" t="str">
        <f t="shared" si="21"/>
        <v>Electropolished stainless steel pipes supplied by Sakshi Forge to VERIFY plants at VERIFY, Broome</v>
      </c>
      <c r="AL1327" s="15" t="str">
        <f t="shared" si="22"/>
        <v>Electropolished SS 316L tube stock for Broome - Sakshi Forge</v>
      </c>
      <c r="AM1327" s="15" t="str">
        <f t="shared" si="23"/>
        <v>Home &gt; Market Area &gt; Australia &gt; VERIFY &gt; Broome</v>
      </c>
      <c r="AN1327" s="15">
        <f t="shared" si="24"/>
        <v>750</v>
      </c>
      <c r="AO1327" s="15">
        <f t="shared" si="25"/>
        <v>6</v>
      </c>
      <c r="AP1327" s="15">
        <f t="shared" si="26"/>
        <v>6</v>
      </c>
      <c r="AQ1327" s="15">
        <f t="shared" si="27"/>
        <v>23</v>
      </c>
      <c r="AR1327" s="31"/>
      <c r="AS1327" s="31"/>
      <c r="AT1327" s="35" t="s">
        <v>222</v>
      </c>
      <c r="AU1327" s="35"/>
    </row>
    <row r="1328" ht="15.75" customHeight="1">
      <c r="A1328" s="15" t="s">
        <v>6759</v>
      </c>
      <c r="B1328" s="15" t="s">
        <v>403</v>
      </c>
      <c r="C1328" s="15" t="s">
        <v>98</v>
      </c>
      <c r="D1328" s="15" t="s">
        <v>6760</v>
      </c>
      <c r="E1328" s="15" t="s">
        <v>6760</v>
      </c>
      <c r="F1328" s="58" t="s">
        <v>807</v>
      </c>
      <c r="G1328" s="66" t="s">
        <v>98</v>
      </c>
      <c r="H1328" s="18" t="s">
        <v>98</v>
      </c>
      <c r="I1328" s="18" t="s">
        <v>98</v>
      </c>
      <c r="J1328" s="18" t="s">
        <v>98</v>
      </c>
      <c r="K1328" s="18" t="s">
        <v>98</v>
      </c>
      <c r="L1328" s="18" t="s">
        <v>98</v>
      </c>
      <c r="M1328" s="18" t="s">
        <v>604</v>
      </c>
      <c r="N1328" s="18" t="s">
        <v>421</v>
      </c>
      <c r="O1328" s="18" t="s">
        <v>98</v>
      </c>
      <c r="P1328" s="15" t="str">
        <f t="shared" si="1"/>
        <v>VERIFY</v>
      </c>
      <c r="Q1328" s="15">
        <f t="shared" si="2"/>
        <v>5</v>
      </c>
      <c r="R1328" s="15">
        <f t="shared" si="3"/>
        <v>2</v>
      </c>
      <c r="S1328" s="15">
        <f t="shared" si="4"/>
        <v>5</v>
      </c>
      <c r="T1328" s="15" t="str">
        <f t="shared" si="5"/>
        <v>C-5</v>
      </c>
      <c r="U1328" s="15" t="str">
        <f t="shared" si="6"/>
        <v>T5-M2-H5-FC-5-VERIFY</v>
      </c>
      <c r="V1328" s="15">
        <f t="shared" si="7"/>
        <v>0</v>
      </c>
      <c r="W1328" s="31"/>
      <c r="X1328" s="15" t="str">
        <f t="shared" si="8"/>
        <v>bunbury-australia</v>
      </c>
      <c r="Y1328" s="32" t="str">
        <f t="shared" si="9"/>
        <v>https://steelmanufacturer.in/market-area/electropolished-pipes-manufacturer-in-bunbury-australia/</v>
      </c>
      <c r="Z1328" s="15" t="str">
        <f t="shared" si="10"/>
        <v>Electropolished Pipes Manufacturer in Bunbury</v>
      </c>
      <c r="AA1328" s="15" t="str">
        <f t="shared" si="11"/>
        <v>OK (45)</v>
      </c>
      <c r="AB1328" s="15" t="str">
        <f t="shared" si="12"/>
        <v>Electropolished tube supply to VERIFY, Bunbury. Ra from 0.25 um, SF4 finish, mill test certificate with every lot.</v>
      </c>
      <c r="AC1328" s="15" t="str">
        <f t="shared" si="13"/>
        <v>PENDING RESEARCH</v>
      </c>
      <c r="AD1328" s="15" t="str">
        <f t="shared" si="14"/>
        <v>Electropolished Pipes Manufacturer in Bunbury</v>
      </c>
      <c r="AE1328" s="15" t="str">
        <f t="shared" si="15"/>
        <v>Electropolished Tube Manufacturing Capability Serving Bunbury</v>
      </c>
      <c r="AF1328" s="15" t="str">
        <f t="shared" si="16"/>
        <v>Electropolished Pipes Supplier in Bunbury - From Order to Delivery</v>
      </c>
      <c r="AG1328" s="15" t="str">
        <f t="shared" si="17"/>
        <v>Stockist &amp; Wholesale Supply of Electropolished Pipes in Bunbury</v>
      </c>
      <c r="AH1328" s="15" t="str">
        <f t="shared" si="18"/>
        <v>electropolished pipes manufacturer in Bunbury, electropolished pipes supplier in Bunbury, electropolished pipes wholesaler in Bunbury, electropolished tube manufacturer Bunbury, EP pipe supplier Bunbury, sanitary tube supplier Bunbury, ASME BPE tubing Bunbury, ASTM A270 tube Bunbury, SS 316L electropolished pipe Bunbury</v>
      </c>
      <c r="AI1328" s="15" t="str">
        <f t="shared" si="19"/>
        <v>Electropolished Pipes Manufacturer &amp; Supplier in Bunbury</v>
      </c>
      <c r="AJ1328" s="15" t="str">
        <f t="shared" si="20"/>
        <v>EP-finished SS 304/316L pipes and tubes for VERIFY plants in Bunbury. ASME BPE SF1-SF4, Ra from 0.25 um, EN 10204 3.1 certificate with every lot.</v>
      </c>
      <c r="AK1328" s="15" t="str">
        <f t="shared" si="21"/>
        <v>Electropolished stainless steel pipes supplied by Sakshi Forge to VERIFY plants at VERIFY, Bunbury</v>
      </c>
      <c r="AL1328" s="15" t="str">
        <f t="shared" si="22"/>
        <v>Electropolished SS 316L tube stock for Bunbury - Sakshi Forge</v>
      </c>
      <c r="AM1328" s="15" t="str">
        <f t="shared" si="23"/>
        <v>Home &gt; Market Area &gt; Australia &gt; VERIFY &gt; Bunbury</v>
      </c>
      <c r="AN1328" s="15">
        <f t="shared" si="24"/>
        <v>750</v>
      </c>
      <c r="AO1328" s="15">
        <f t="shared" si="25"/>
        <v>6</v>
      </c>
      <c r="AP1328" s="15">
        <f t="shared" si="26"/>
        <v>6</v>
      </c>
      <c r="AQ1328" s="15">
        <f t="shared" si="27"/>
        <v>23</v>
      </c>
      <c r="AR1328" s="31"/>
      <c r="AS1328" s="31"/>
      <c r="AT1328" s="35" t="s">
        <v>222</v>
      </c>
      <c r="AU1328" s="35"/>
    </row>
    <row r="1329" ht="15.75" customHeight="1">
      <c r="A1329" s="15" t="s">
        <v>6761</v>
      </c>
      <c r="B1329" s="15" t="s">
        <v>403</v>
      </c>
      <c r="C1329" s="15" t="s">
        <v>98</v>
      </c>
      <c r="D1329" s="15" t="s">
        <v>6762</v>
      </c>
      <c r="E1329" s="15" t="s">
        <v>6762</v>
      </c>
      <c r="F1329" s="58" t="s">
        <v>807</v>
      </c>
      <c r="G1329" s="66" t="s">
        <v>98</v>
      </c>
      <c r="H1329" s="18" t="s">
        <v>98</v>
      </c>
      <c r="I1329" s="18" t="s">
        <v>98</v>
      </c>
      <c r="J1329" s="18" t="s">
        <v>98</v>
      </c>
      <c r="K1329" s="18" t="s">
        <v>98</v>
      </c>
      <c r="L1329" s="18" t="s">
        <v>98</v>
      </c>
      <c r="M1329" s="18" t="s">
        <v>604</v>
      </c>
      <c r="N1329" s="18" t="s">
        <v>421</v>
      </c>
      <c r="O1329" s="18" t="s">
        <v>98</v>
      </c>
      <c r="P1329" s="15" t="str">
        <f t="shared" si="1"/>
        <v>VERIFY</v>
      </c>
      <c r="Q1329" s="15">
        <f t="shared" si="2"/>
        <v>6</v>
      </c>
      <c r="R1329" s="15">
        <f t="shared" si="3"/>
        <v>3</v>
      </c>
      <c r="S1329" s="15">
        <f t="shared" si="4"/>
        <v>1</v>
      </c>
      <c r="T1329" s="15" t="str">
        <f t="shared" si="5"/>
        <v>C-6</v>
      </c>
      <c r="U1329" s="15" t="str">
        <f t="shared" si="6"/>
        <v>T6-M3-H1-FC-6-VERIFY</v>
      </c>
      <c r="V1329" s="15">
        <f t="shared" si="7"/>
        <v>0</v>
      </c>
      <c r="W1329" s="31"/>
      <c r="X1329" s="15" t="str">
        <f t="shared" si="8"/>
        <v>bundaberg-australia</v>
      </c>
      <c r="Y1329" s="32" t="str">
        <f t="shared" si="9"/>
        <v>https://steelmanufacturer.in/market-area/electropolished-pipes-manufacturer-in-bundaberg-australia/</v>
      </c>
      <c r="Z1329" s="15" t="str">
        <f t="shared" si="10"/>
        <v>Electropolished Pipes Manufacturer in Bundaberg</v>
      </c>
      <c r="AA1329" s="15" t="str">
        <f t="shared" si="11"/>
        <v>OK (47)</v>
      </c>
      <c r="AB1329" s="15" t="str">
        <f t="shared" si="12"/>
        <v>EP stainless tube for VERIFY lines in Bundaberg. 18-24 days sea from Nhava Sheva to Melbourne. ASTM A270 S2, PMI tested, EN 10204 3.1.</v>
      </c>
      <c r="AC1329" s="15" t="str">
        <f t="shared" si="13"/>
        <v>PENDING RESEARCH</v>
      </c>
      <c r="AD1329" s="15" t="str">
        <f t="shared" si="14"/>
        <v>Electropolished Pipes Manufacturer in Bundaberg</v>
      </c>
      <c r="AE1329" s="15" t="str">
        <f t="shared" si="15"/>
        <v>Electropolished Pipe &amp; Tube Manufacturing for Bundaberg - Grades, Finishes &amp; Certification</v>
      </c>
      <c r="AF1329" s="15" t="str">
        <f t="shared" si="16"/>
        <v>Electropolished Pipes Supplier in Bundaberg - Stock Sizes, Lead Time &amp; Delivery</v>
      </c>
      <c r="AG1329" s="15" t="str">
        <f t="shared" si="17"/>
        <v>Electropolished Pipes Wholesaler &amp; Stockist in Bundaberg - Bulk &amp; Project Pricing</v>
      </c>
      <c r="AH1329" s="15" t="str">
        <f t="shared" si="18"/>
        <v>electropolished pipes manufacturer in Bundaberg, electropolished pipes supplier in Bundaberg, electropolished pipes wholesaler in Bundaberg, electropolished tube manufacturer Bundaberg, EP pipe supplier Bundaberg, sanitary tube supplier Bundaberg, ASME BPE tubing Bundaberg, ASTM A270 tube Bundaberg, SS 316L electropolished pipe Bundaberg</v>
      </c>
      <c r="AI1329" s="15" t="str">
        <f t="shared" si="19"/>
        <v>Electropolished Pipes Manufacturer &amp; Supplier in Bundaberg</v>
      </c>
      <c r="AJ1329" s="15" t="str">
        <f t="shared" si="20"/>
        <v>EP-finished SS 304/316L pipes and tubes for VERIFY plants in Bundaberg. ASME BPE SF1-SF4, Ra from 0.25 um, EN 10204 3.1 certificate with every lot.</v>
      </c>
      <c r="AK1329" s="15" t="str">
        <f t="shared" si="21"/>
        <v>Electropolished stainless steel pipes supplied by Sakshi Forge to VERIFY plants at VERIFY, Bundaberg</v>
      </c>
      <c r="AL1329" s="15" t="str">
        <f t="shared" si="22"/>
        <v>Electropolished SS 316L tube stock for Bundaberg - Sakshi Forge</v>
      </c>
      <c r="AM1329" s="15" t="str">
        <f t="shared" si="23"/>
        <v>Home &gt; Market Area &gt; Australia &gt; VERIFY &gt; Bundaberg</v>
      </c>
      <c r="AN1329" s="15">
        <f t="shared" si="24"/>
        <v>750</v>
      </c>
      <c r="AO1329" s="15">
        <f t="shared" si="25"/>
        <v>6</v>
      </c>
      <c r="AP1329" s="15">
        <f t="shared" si="26"/>
        <v>6</v>
      </c>
      <c r="AQ1329" s="15">
        <f t="shared" si="27"/>
        <v>23</v>
      </c>
      <c r="AR1329" s="31"/>
      <c r="AS1329" s="31"/>
      <c r="AT1329" s="35" t="s">
        <v>222</v>
      </c>
      <c r="AU1329" s="35"/>
    </row>
    <row r="1330" ht="15.75" customHeight="1">
      <c r="A1330" s="15" t="s">
        <v>6763</v>
      </c>
      <c r="B1330" s="15" t="s">
        <v>403</v>
      </c>
      <c r="C1330" s="15" t="s">
        <v>98</v>
      </c>
      <c r="D1330" s="15" t="s">
        <v>6764</v>
      </c>
      <c r="E1330" s="15" t="s">
        <v>6764</v>
      </c>
      <c r="F1330" s="58" t="s">
        <v>807</v>
      </c>
      <c r="G1330" s="66" t="s">
        <v>98</v>
      </c>
      <c r="H1330" s="18" t="s">
        <v>98</v>
      </c>
      <c r="I1330" s="18" t="s">
        <v>98</v>
      </c>
      <c r="J1330" s="18" t="s">
        <v>98</v>
      </c>
      <c r="K1330" s="18" t="s">
        <v>98</v>
      </c>
      <c r="L1330" s="18" t="s">
        <v>98</v>
      </c>
      <c r="M1330" s="18" t="s">
        <v>604</v>
      </c>
      <c r="N1330" s="18" t="s">
        <v>421</v>
      </c>
      <c r="O1330" s="18" t="s">
        <v>98</v>
      </c>
      <c r="P1330" s="15" t="str">
        <f t="shared" si="1"/>
        <v>VERIFY</v>
      </c>
      <c r="Q1330" s="15">
        <f t="shared" si="2"/>
        <v>7</v>
      </c>
      <c r="R1330" s="15">
        <f t="shared" si="3"/>
        <v>4</v>
      </c>
      <c r="S1330" s="15">
        <f t="shared" si="4"/>
        <v>2</v>
      </c>
      <c r="T1330" s="15" t="str">
        <f t="shared" si="5"/>
        <v>C-1</v>
      </c>
      <c r="U1330" s="15" t="str">
        <f t="shared" si="6"/>
        <v>T7-M4-H2-FC-1-VERIFY</v>
      </c>
      <c r="V1330" s="15">
        <f t="shared" si="7"/>
        <v>0</v>
      </c>
      <c r="W1330" s="31"/>
      <c r="X1330" s="15" t="str">
        <f t="shared" si="8"/>
        <v>burnie-australia</v>
      </c>
      <c r="Y1330" s="32" t="str">
        <f t="shared" si="9"/>
        <v>https://steelmanufacturer.in/market-area/electropolished-pipes-manufacturer-in-burnie-australia/</v>
      </c>
      <c r="Z1330" s="15" t="str">
        <f t="shared" si="10"/>
        <v>Electropolished Pipes Manufacturer in Burnie | ASME BPE SF1-SF4</v>
      </c>
      <c r="AA1330" s="15" t="str">
        <f t="shared" si="11"/>
        <v>OK (63)</v>
      </c>
      <c r="AB1330" s="15" t="str">
        <f t="shared" si="12"/>
        <v>Sanitary electropolished pipes in Burnie for VERIFY plants. ASME BPE SF1-SF4, orbital-weld ready, 3.1 MTC. Mumbai-made.</v>
      </c>
      <c r="AC1330" s="15" t="str">
        <f t="shared" si="13"/>
        <v>PENDING RESEARCH</v>
      </c>
      <c r="AD1330" s="15" t="str">
        <f t="shared" si="14"/>
        <v>Electropolished Pipes Manufacturer in Burnie</v>
      </c>
      <c r="AE1330" s="15" t="str">
        <f t="shared" si="15"/>
        <v>How We Manufacture Electropolished Tube for Burnie Plants</v>
      </c>
      <c r="AF1330" s="15" t="str">
        <f t="shared" si="16"/>
        <v>Supplying Electropolished Pipes in Burnie: Availability, Sizes &amp; Dispatch</v>
      </c>
      <c r="AG1330" s="15" t="str">
        <f t="shared" si="17"/>
        <v>Wholesale Electropolished Pipe Supply for Burnie Projects</v>
      </c>
      <c r="AH1330" s="15" t="str">
        <f t="shared" si="18"/>
        <v>electropolished pipes manufacturer in Burnie, electropolished pipes supplier in Burnie, electropolished pipes wholesaler in Burnie, electropolished tube manufacturer Burnie, EP pipe supplier Burnie, sanitary tube supplier Burnie, ASME BPE tubing Burnie, ASTM A270 tube Burnie, SS 316L electropolished pipe Burnie</v>
      </c>
      <c r="AI1330" s="15" t="str">
        <f t="shared" si="19"/>
        <v>Electropolished Pipes Manufacturer &amp; Supplier in Burnie</v>
      </c>
      <c r="AJ1330" s="15" t="str">
        <f t="shared" si="20"/>
        <v>EP-finished SS 304/316L pipes and tubes for VERIFY plants in Burnie. ASME BPE SF1-SF4, Ra from 0.25 um, EN 10204 3.1 certificate with every lot.</v>
      </c>
      <c r="AK1330" s="15" t="str">
        <f t="shared" si="21"/>
        <v>Electropolished stainless steel pipes supplied by Sakshi Forge to VERIFY plants at VERIFY, Burnie</v>
      </c>
      <c r="AL1330" s="15" t="str">
        <f t="shared" si="22"/>
        <v>Electropolished SS 316L tube stock for Burnie - Sakshi Forge</v>
      </c>
      <c r="AM1330" s="15" t="str">
        <f t="shared" si="23"/>
        <v>Home &gt; Market Area &gt; Australia &gt; VERIFY &gt; Burnie</v>
      </c>
      <c r="AN1330" s="15">
        <f t="shared" si="24"/>
        <v>750</v>
      </c>
      <c r="AO1330" s="15">
        <f t="shared" si="25"/>
        <v>6</v>
      </c>
      <c r="AP1330" s="15">
        <f t="shared" si="26"/>
        <v>6</v>
      </c>
      <c r="AQ1330" s="15">
        <f t="shared" si="27"/>
        <v>23</v>
      </c>
      <c r="AR1330" s="31"/>
      <c r="AS1330" s="31"/>
      <c r="AT1330" s="35" t="s">
        <v>222</v>
      </c>
      <c r="AU1330" s="35"/>
    </row>
    <row r="1331" ht="15.75" customHeight="1">
      <c r="A1331" s="15" t="s">
        <v>6765</v>
      </c>
      <c r="B1331" s="15" t="s">
        <v>403</v>
      </c>
      <c r="C1331" s="15" t="s">
        <v>98</v>
      </c>
      <c r="D1331" s="15" t="s">
        <v>6766</v>
      </c>
      <c r="E1331" s="15" t="s">
        <v>6766</v>
      </c>
      <c r="F1331" s="58" t="s">
        <v>807</v>
      </c>
      <c r="G1331" s="66" t="s">
        <v>98</v>
      </c>
      <c r="H1331" s="18" t="s">
        <v>98</v>
      </c>
      <c r="I1331" s="18" t="s">
        <v>98</v>
      </c>
      <c r="J1331" s="18" t="s">
        <v>98</v>
      </c>
      <c r="K1331" s="18" t="s">
        <v>98</v>
      </c>
      <c r="L1331" s="18" t="s">
        <v>98</v>
      </c>
      <c r="M1331" s="18" t="s">
        <v>604</v>
      </c>
      <c r="N1331" s="18" t="s">
        <v>421</v>
      </c>
      <c r="O1331" s="18" t="s">
        <v>98</v>
      </c>
      <c r="P1331" s="15" t="str">
        <f t="shared" si="1"/>
        <v>VERIFY</v>
      </c>
      <c r="Q1331" s="15">
        <f t="shared" si="2"/>
        <v>8</v>
      </c>
      <c r="R1331" s="15">
        <f t="shared" si="3"/>
        <v>5</v>
      </c>
      <c r="S1331" s="15">
        <f t="shared" si="4"/>
        <v>3</v>
      </c>
      <c r="T1331" s="15" t="str">
        <f t="shared" si="5"/>
        <v>C-2</v>
      </c>
      <c r="U1331" s="15" t="str">
        <f t="shared" si="6"/>
        <v>T8-M5-H3-FC-2-VERIFY</v>
      </c>
      <c r="V1331" s="15">
        <f t="shared" si="7"/>
        <v>0</v>
      </c>
      <c r="W1331" s="31"/>
      <c r="X1331" s="15" t="str">
        <f t="shared" si="8"/>
        <v>coffs-harbour-australia</v>
      </c>
      <c r="Y1331" s="32" t="str">
        <f t="shared" si="9"/>
        <v>https://steelmanufacturer.in/market-area/electropolished-pipes-manufacturer-in-coffs-harbour-australia/</v>
      </c>
      <c r="Z1331" s="15" t="str">
        <f t="shared" si="10"/>
        <v>Electropolished Pipes Manufacturer in Coffs Harbour</v>
      </c>
      <c r="AA1331" s="15" t="str">
        <f t="shared" si="11"/>
        <v>OK (51)</v>
      </c>
      <c r="AB1331" s="15" t="str">
        <f t="shared" si="12"/>
        <v>Manufacturer of electropolished SS 316L tube serving Coffs Harbour. 18-24 days sea from Nhava Sheva to Melbourne. Ra 0.25-0.5 um, EN 10204 3.1 MTC.</v>
      </c>
      <c r="AC1331" s="15" t="str">
        <f t="shared" si="13"/>
        <v>PENDING RESEARCH</v>
      </c>
      <c r="AD1331" s="15" t="str">
        <f t="shared" si="14"/>
        <v>Electropolished Pipes Manufacturer in Coffs Harbour</v>
      </c>
      <c r="AE1331" s="15" t="str">
        <f t="shared" si="15"/>
        <v>Electropolished Pipes Manufacturer in Coffs Harbour - Our Process &amp; Capability</v>
      </c>
      <c r="AF1331" s="15" t="str">
        <f t="shared" si="16"/>
        <v>Electropolished Pipes Supplier in Coffs Harbour - What We Hold in Stock</v>
      </c>
      <c r="AG1331" s="15" t="str">
        <f t="shared" si="17"/>
        <v>Bulk &amp; Wholesale Electropolished Pipe Rates for Coffs Harbour Buyers</v>
      </c>
      <c r="AH1331" s="15" t="str">
        <f t="shared" si="18"/>
        <v>electropolished pipes manufacturer in Coffs Harbour, electropolished pipes supplier in Coffs Harbour, electropolished pipes wholesaler in Coffs Harbour, electropolished tube manufacturer Coffs Harbour, EP pipe supplier Coffs Harbour, sanitary tube supplier Coffs Harbour, ASME BPE tubing Coffs Harbour, ASTM A270 tube Coffs Harbour, SS 316L electropolished pipe Coffs Harbour</v>
      </c>
      <c r="AI1331" s="15" t="str">
        <f t="shared" si="19"/>
        <v>Electropolished Pipes Manufacturer &amp; Supplier in Coffs Harbour</v>
      </c>
      <c r="AJ1331" s="15" t="str">
        <f t="shared" si="20"/>
        <v>EP-finished SS 304/316L pipes and tubes for VERIFY plants in Coffs Harbour. ASME BPE SF1-SF4, Ra from 0.25 um, EN 10204 3.1 certificate with every lot.</v>
      </c>
      <c r="AK1331" s="15" t="str">
        <f t="shared" si="21"/>
        <v>Electropolished stainless steel pipes supplied by Sakshi Forge to VERIFY plants at VERIFY, Coffs Harbour</v>
      </c>
      <c r="AL1331" s="15" t="str">
        <f t="shared" si="22"/>
        <v>Electropolished SS 316L tube stock for Coffs Harbour - Sakshi Forge</v>
      </c>
      <c r="AM1331" s="15" t="str">
        <f t="shared" si="23"/>
        <v>Home &gt; Market Area &gt; Australia &gt; VERIFY &gt; Coffs Harbour</v>
      </c>
      <c r="AN1331" s="15">
        <f t="shared" si="24"/>
        <v>750</v>
      </c>
      <c r="AO1331" s="15">
        <f t="shared" si="25"/>
        <v>6</v>
      </c>
      <c r="AP1331" s="15">
        <f t="shared" si="26"/>
        <v>6</v>
      </c>
      <c r="AQ1331" s="15">
        <f t="shared" si="27"/>
        <v>23</v>
      </c>
      <c r="AR1331" s="31"/>
      <c r="AS1331" s="31"/>
      <c r="AT1331" s="35" t="s">
        <v>222</v>
      </c>
      <c r="AU1331" s="35"/>
    </row>
    <row r="1332" ht="15.75" customHeight="1">
      <c r="A1332" s="15" t="s">
        <v>6767</v>
      </c>
      <c r="B1332" s="15" t="s">
        <v>403</v>
      </c>
      <c r="C1332" s="15" t="s">
        <v>98</v>
      </c>
      <c r="D1332" s="15" t="s">
        <v>6768</v>
      </c>
      <c r="E1332" s="15" t="s">
        <v>6768</v>
      </c>
      <c r="F1332" s="58" t="s">
        <v>807</v>
      </c>
      <c r="G1332" s="66" t="s">
        <v>98</v>
      </c>
      <c r="H1332" s="18" t="s">
        <v>98</v>
      </c>
      <c r="I1332" s="18" t="s">
        <v>98</v>
      </c>
      <c r="J1332" s="18" t="s">
        <v>98</v>
      </c>
      <c r="K1332" s="18" t="s">
        <v>98</v>
      </c>
      <c r="L1332" s="18" t="s">
        <v>98</v>
      </c>
      <c r="M1332" s="18" t="s">
        <v>604</v>
      </c>
      <c r="N1332" s="18" t="s">
        <v>421</v>
      </c>
      <c r="O1332" s="18" t="s">
        <v>98</v>
      </c>
      <c r="P1332" s="15" t="str">
        <f t="shared" si="1"/>
        <v>VERIFY</v>
      </c>
      <c r="Q1332" s="15">
        <f t="shared" si="2"/>
        <v>1</v>
      </c>
      <c r="R1332" s="15">
        <f t="shared" si="3"/>
        <v>6</v>
      </c>
      <c r="S1332" s="15">
        <f t="shared" si="4"/>
        <v>4</v>
      </c>
      <c r="T1332" s="15" t="str">
        <f t="shared" si="5"/>
        <v>C-3</v>
      </c>
      <c r="U1332" s="15" t="str">
        <f t="shared" si="6"/>
        <v>T1-M6-H4-FC-3-VERIFY</v>
      </c>
      <c r="V1332" s="15">
        <f t="shared" si="7"/>
        <v>0</v>
      </c>
      <c r="W1332" s="31"/>
      <c r="X1332" s="15" t="str">
        <f t="shared" si="8"/>
        <v>devonport-australia</v>
      </c>
      <c r="Y1332" s="32" t="str">
        <f t="shared" si="9"/>
        <v>https://steelmanufacturer.in/market-area/electropolished-pipes-manufacturer-in-devonport-australia/</v>
      </c>
      <c r="Z1332" s="15" t="str">
        <f t="shared" si="10"/>
        <v>Electropolished Pipes Manufacturer in Devonport | Sakshi Forge</v>
      </c>
      <c r="AA1332" s="15" t="str">
        <f t="shared" si="11"/>
        <v>OK (62)</v>
      </c>
      <c r="AB1332" s="15" t="str">
        <f t="shared" si="12"/>
        <v>EP tube and pipe for VERIFY plants around VERIFY, Devonport. Made at our Mumbai works to ASTM A270 and ASME BPE SF1-SF4, with 3.1 MTC.</v>
      </c>
      <c r="AC1332" s="15" t="str">
        <f t="shared" si="13"/>
        <v>PENDING RESEARCH</v>
      </c>
      <c r="AD1332" s="15" t="str">
        <f t="shared" si="14"/>
        <v>Electropolished Pipes Manufacturer in Devonport</v>
      </c>
      <c r="AE1332" s="15" t="str">
        <f t="shared" si="15"/>
        <v>Manufacturing Electropolished SS Tube for Devonport: The Standards We Build To</v>
      </c>
      <c r="AF1332" s="15" t="str">
        <f t="shared" si="16"/>
        <v>Electropolished Pipe Supply Into Devonport - Certification &amp; Transit</v>
      </c>
      <c r="AG1332" s="15" t="str">
        <f t="shared" si="17"/>
        <v>Electropolished Pipes Wholesaler in Devonport - Project Quantities &amp; Terms</v>
      </c>
      <c r="AH1332" s="15" t="str">
        <f t="shared" si="18"/>
        <v>electropolished pipes manufacturer in Devonport, electropolished pipes supplier in Devonport, electropolished pipes wholesaler in Devonport, electropolished tube manufacturer Devonport, EP pipe supplier Devonport, sanitary tube supplier Devonport, ASME BPE tubing Devonport, ASTM A270 tube Devonport, SS 316L electropolished pipe Devonport</v>
      </c>
      <c r="AI1332" s="15" t="str">
        <f t="shared" si="19"/>
        <v>Electropolished Pipes Manufacturer &amp; Supplier in Devonport</v>
      </c>
      <c r="AJ1332" s="15" t="str">
        <f t="shared" si="20"/>
        <v>EP-finished SS 304/316L pipes and tubes for VERIFY plants in Devonport. ASME BPE SF1-SF4, Ra from 0.25 um, EN 10204 3.1 certificate with every lot.</v>
      </c>
      <c r="AK1332" s="15" t="str">
        <f t="shared" si="21"/>
        <v>Electropolished stainless steel pipes supplied by Sakshi Forge to VERIFY plants at VERIFY, Devonport</v>
      </c>
      <c r="AL1332" s="15" t="str">
        <f t="shared" si="22"/>
        <v>Electropolished SS 316L tube stock for Devonport - Sakshi Forge</v>
      </c>
      <c r="AM1332" s="15" t="str">
        <f t="shared" si="23"/>
        <v>Home &gt; Market Area &gt; Australia &gt; VERIFY &gt; Devonport</v>
      </c>
      <c r="AN1332" s="15">
        <f t="shared" si="24"/>
        <v>750</v>
      </c>
      <c r="AO1332" s="15">
        <f t="shared" si="25"/>
        <v>6</v>
      </c>
      <c r="AP1332" s="15">
        <f t="shared" si="26"/>
        <v>6</v>
      </c>
      <c r="AQ1332" s="15">
        <f t="shared" si="27"/>
        <v>23</v>
      </c>
      <c r="AR1332" s="31"/>
      <c r="AS1332" s="31"/>
      <c r="AT1332" s="35" t="s">
        <v>222</v>
      </c>
      <c r="AU1332" s="35"/>
    </row>
    <row r="1333" ht="15.75" customHeight="1">
      <c r="A1333" s="15" t="s">
        <v>6769</v>
      </c>
      <c r="B1333" s="15" t="s">
        <v>403</v>
      </c>
      <c r="C1333" s="15" t="s">
        <v>98</v>
      </c>
      <c r="D1333" s="15" t="s">
        <v>6770</v>
      </c>
      <c r="E1333" s="15" t="s">
        <v>6770</v>
      </c>
      <c r="F1333" s="58" t="s">
        <v>807</v>
      </c>
      <c r="G1333" s="66" t="s">
        <v>98</v>
      </c>
      <c r="H1333" s="18" t="s">
        <v>98</v>
      </c>
      <c r="I1333" s="18" t="s">
        <v>98</v>
      </c>
      <c r="J1333" s="18" t="s">
        <v>98</v>
      </c>
      <c r="K1333" s="18" t="s">
        <v>98</v>
      </c>
      <c r="L1333" s="18" t="s">
        <v>98</v>
      </c>
      <c r="M1333" s="18" t="s">
        <v>604</v>
      </c>
      <c r="N1333" s="18" t="s">
        <v>421</v>
      </c>
      <c r="O1333" s="18" t="s">
        <v>98</v>
      </c>
      <c r="P1333" s="15" t="str">
        <f t="shared" si="1"/>
        <v>VERIFY</v>
      </c>
      <c r="Q1333" s="15">
        <f t="shared" si="2"/>
        <v>2</v>
      </c>
      <c r="R1333" s="15">
        <f t="shared" si="3"/>
        <v>7</v>
      </c>
      <c r="S1333" s="15">
        <f t="shared" si="4"/>
        <v>5</v>
      </c>
      <c r="T1333" s="15" t="str">
        <f t="shared" si="5"/>
        <v>C-4</v>
      </c>
      <c r="U1333" s="15" t="str">
        <f t="shared" si="6"/>
        <v>T2-M7-H5-FC-4-VERIFY</v>
      </c>
      <c r="V1333" s="15">
        <f t="shared" si="7"/>
        <v>0</v>
      </c>
      <c r="W1333" s="31"/>
      <c r="X1333" s="15" t="str">
        <f t="shared" si="8"/>
        <v>dubbo-australia</v>
      </c>
      <c r="Y1333" s="32" t="str">
        <f t="shared" si="9"/>
        <v>https://steelmanufacturer.in/market-area/electropolished-pipes-manufacturer-in-dubbo-australia/</v>
      </c>
      <c r="Z1333" s="15" t="str">
        <f t="shared" si="10"/>
        <v>Electropolished Pipes Manufacturer in Dubbo</v>
      </c>
      <c r="AA1333" s="15" t="str">
        <f t="shared" si="11"/>
        <v>OK (43)</v>
      </c>
      <c r="AB1333" s="15" t="str">
        <f t="shared" si="12"/>
        <v>Electropolished pipes in Dubbo: 304, 304L, 316 and 316L in SF1-SF4. 18-24 days sea from Nhava Sheva to Melbourne. Mill certified.</v>
      </c>
      <c r="AC1333" s="15" t="str">
        <f t="shared" si="13"/>
        <v>PENDING RESEARCH</v>
      </c>
      <c r="AD1333" s="15" t="str">
        <f t="shared" si="14"/>
        <v>Electropolished Pipes Manufacturer in Dubbo</v>
      </c>
      <c r="AE1333" s="15" t="str">
        <f t="shared" si="15"/>
        <v>Electropolished Tube Manufacturing Capability Serving Dubbo</v>
      </c>
      <c r="AF1333" s="15" t="str">
        <f t="shared" si="16"/>
        <v>Electropolished Pipes Supplier in Dubbo - From Order to Delivery</v>
      </c>
      <c r="AG1333" s="15" t="str">
        <f t="shared" si="17"/>
        <v>Stockist &amp; Wholesale Supply of Electropolished Pipes in Dubbo</v>
      </c>
      <c r="AH1333" s="15" t="str">
        <f t="shared" si="18"/>
        <v>electropolished pipes manufacturer in Dubbo, electropolished pipes supplier in Dubbo, electropolished pipes wholesaler in Dubbo, electropolished tube manufacturer Dubbo, EP pipe supplier Dubbo, sanitary tube supplier Dubbo, ASME BPE tubing Dubbo, ASTM A270 tube Dubbo, SS 316L electropolished pipe Dubbo</v>
      </c>
      <c r="AI1333" s="15" t="str">
        <f t="shared" si="19"/>
        <v>Electropolished Pipes Manufacturer &amp; Supplier in Dubbo</v>
      </c>
      <c r="AJ1333" s="15" t="str">
        <f t="shared" si="20"/>
        <v>EP-finished SS 304/316L pipes and tubes for VERIFY plants in Dubbo. ASME BPE SF1-SF4, Ra from 0.25 um, EN 10204 3.1 certificate with every lot.</v>
      </c>
      <c r="AK1333" s="15" t="str">
        <f t="shared" si="21"/>
        <v>Electropolished stainless steel pipes supplied by Sakshi Forge to VERIFY plants at VERIFY, Dubbo</v>
      </c>
      <c r="AL1333" s="15" t="str">
        <f t="shared" si="22"/>
        <v>Electropolished SS 316L tube stock for Dubbo - Sakshi Forge</v>
      </c>
      <c r="AM1333" s="15" t="str">
        <f t="shared" si="23"/>
        <v>Home &gt; Market Area &gt; Australia &gt; VERIFY &gt; Dubbo</v>
      </c>
      <c r="AN1333" s="15">
        <f t="shared" si="24"/>
        <v>750</v>
      </c>
      <c r="AO1333" s="15">
        <f t="shared" si="25"/>
        <v>6</v>
      </c>
      <c r="AP1333" s="15">
        <f t="shared" si="26"/>
        <v>6</v>
      </c>
      <c r="AQ1333" s="15">
        <f t="shared" si="27"/>
        <v>23</v>
      </c>
      <c r="AR1333" s="31"/>
      <c r="AS1333" s="31"/>
      <c r="AT1333" s="35" t="s">
        <v>222</v>
      </c>
      <c r="AU1333" s="35"/>
    </row>
    <row r="1334" ht="15.75" customHeight="1">
      <c r="A1334" s="15" t="s">
        <v>6771</v>
      </c>
      <c r="B1334" s="15" t="s">
        <v>403</v>
      </c>
      <c r="C1334" s="15" t="s">
        <v>98</v>
      </c>
      <c r="D1334" s="15" t="s">
        <v>6772</v>
      </c>
      <c r="E1334" s="15" t="s">
        <v>6772</v>
      </c>
      <c r="F1334" s="58" t="s">
        <v>807</v>
      </c>
      <c r="G1334" s="66" t="s">
        <v>98</v>
      </c>
      <c r="H1334" s="18" t="s">
        <v>98</v>
      </c>
      <c r="I1334" s="18" t="s">
        <v>98</v>
      </c>
      <c r="J1334" s="18" t="s">
        <v>98</v>
      </c>
      <c r="K1334" s="18" t="s">
        <v>98</v>
      </c>
      <c r="L1334" s="18" t="s">
        <v>98</v>
      </c>
      <c r="M1334" s="18" t="s">
        <v>604</v>
      </c>
      <c r="N1334" s="18" t="s">
        <v>421</v>
      </c>
      <c r="O1334" s="18" t="s">
        <v>98</v>
      </c>
      <c r="P1334" s="15" t="str">
        <f t="shared" si="1"/>
        <v>VERIFY</v>
      </c>
      <c r="Q1334" s="15">
        <f t="shared" si="2"/>
        <v>3</v>
      </c>
      <c r="R1334" s="15">
        <f t="shared" si="3"/>
        <v>1</v>
      </c>
      <c r="S1334" s="15">
        <f t="shared" si="4"/>
        <v>1</v>
      </c>
      <c r="T1334" s="15" t="str">
        <f t="shared" si="5"/>
        <v>C-5</v>
      </c>
      <c r="U1334" s="15" t="str">
        <f t="shared" si="6"/>
        <v>T3-M1-H1-FC-5-VERIFY</v>
      </c>
      <c r="V1334" s="15">
        <f t="shared" si="7"/>
        <v>0</v>
      </c>
      <c r="W1334" s="31"/>
      <c r="X1334" s="15" t="str">
        <f t="shared" si="8"/>
        <v>geraldton-australia</v>
      </c>
      <c r="Y1334" s="32" t="str">
        <f t="shared" si="9"/>
        <v>https://steelmanufacturer.in/market-area/electropolished-pipes-manufacturer-in-geraldton-australia/</v>
      </c>
      <c r="Z1334" s="15" t="str">
        <f t="shared" si="10"/>
        <v>Electropolished Pipes Manufacturer in Geraldton</v>
      </c>
      <c r="AA1334" s="15" t="str">
        <f t="shared" si="11"/>
        <v>OK (47)</v>
      </c>
      <c r="AB1334" s="15" t="str">
        <f t="shared" si="12"/>
        <v>EP-finished SS 304/316L pipes &amp; tubes for VERIFY plants in Geraldton. ASTM A270, ASME BPE SF1-SF4, EN 10204 3.1 MTC. PMI tested.</v>
      </c>
      <c r="AC1334" s="15" t="str">
        <f t="shared" si="13"/>
        <v>PENDING RESEARCH</v>
      </c>
      <c r="AD1334" s="15" t="str">
        <f t="shared" si="14"/>
        <v>Electropolished Pipes Manufacturer in Geraldton</v>
      </c>
      <c r="AE1334" s="15" t="str">
        <f t="shared" si="15"/>
        <v>Electropolished Pipe &amp; Tube Manufacturing for Geraldton - Grades, Finishes &amp; Certification</v>
      </c>
      <c r="AF1334" s="15" t="str">
        <f t="shared" si="16"/>
        <v>Electropolished Pipes Supplier in Geraldton - Stock Sizes, Lead Time &amp; Delivery</v>
      </c>
      <c r="AG1334" s="15" t="str">
        <f t="shared" si="17"/>
        <v>Electropolished Pipes Wholesaler &amp; Stockist in Geraldton - Bulk &amp; Project Pricing</v>
      </c>
      <c r="AH1334" s="15" t="str">
        <f t="shared" si="18"/>
        <v>electropolished pipes manufacturer in Geraldton, electropolished pipes supplier in Geraldton, electropolished pipes wholesaler in Geraldton, electropolished tube manufacturer Geraldton, EP pipe supplier Geraldton, sanitary tube supplier Geraldton, ASME BPE tubing Geraldton, ASTM A270 tube Geraldton, SS 316L electropolished pipe Geraldton</v>
      </c>
      <c r="AI1334" s="15" t="str">
        <f t="shared" si="19"/>
        <v>Electropolished Pipes Manufacturer &amp; Supplier in Geraldton</v>
      </c>
      <c r="AJ1334" s="15" t="str">
        <f t="shared" si="20"/>
        <v>EP-finished SS 304/316L pipes and tubes for VERIFY plants in Geraldton. ASME BPE SF1-SF4, Ra from 0.25 um, EN 10204 3.1 certificate with every lot.</v>
      </c>
      <c r="AK1334" s="15" t="str">
        <f t="shared" si="21"/>
        <v>Electropolished stainless steel pipes supplied by Sakshi Forge to VERIFY plants at VERIFY, Geraldton</v>
      </c>
      <c r="AL1334" s="15" t="str">
        <f t="shared" si="22"/>
        <v>Electropolished SS 316L tube stock for Geraldton - Sakshi Forge</v>
      </c>
      <c r="AM1334" s="15" t="str">
        <f t="shared" si="23"/>
        <v>Home &gt; Market Area &gt; Australia &gt; VERIFY &gt; Geraldton</v>
      </c>
      <c r="AN1334" s="15">
        <f t="shared" si="24"/>
        <v>750</v>
      </c>
      <c r="AO1334" s="15">
        <f t="shared" si="25"/>
        <v>6</v>
      </c>
      <c r="AP1334" s="15">
        <f t="shared" si="26"/>
        <v>6</v>
      </c>
      <c r="AQ1334" s="15">
        <f t="shared" si="27"/>
        <v>23</v>
      </c>
      <c r="AR1334" s="31"/>
      <c r="AS1334" s="31"/>
      <c r="AT1334" s="35" t="s">
        <v>222</v>
      </c>
      <c r="AU1334" s="35"/>
    </row>
    <row r="1335" ht="15.75" customHeight="1">
      <c r="A1335" s="15" t="s">
        <v>6777</v>
      </c>
      <c r="B1335" s="15" t="s">
        <v>403</v>
      </c>
      <c r="C1335" s="15" t="s">
        <v>98</v>
      </c>
      <c r="D1335" s="15" t="s">
        <v>6780</v>
      </c>
      <c r="E1335" s="15" t="s">
        <v>6780</v>
      </c>
      <c r="F1335" s="58" t="s">
        <v>807</v>
      </c>
      <c r="G1335" s="66" t="s">
        <v>98</v>
      </c>
      <c r="H1335" s="18" t="s">
        <v>98</v>
      </c>
      <c r="I1335" s="18" t="s">
        <v>98</v>
      </c>
      <c r="J1335" s="18" t="s">
        <v>98</v>
      </c>
      <c r="K1335" s="18" t="s">
        <v>98</v>
      </c>
      <c r="L1335" s="18" t="s">
        <v>98</v>
      </c>
      <c r="M1335" s="18" t="s">
        <v>604</v>
      </c>
      <c r="N1335" s="18" t="s">
        <v>421</v>
      </c>
      <c r="O1335" s="18" t="s">
        <v>98</v>
      </c>
      <c r="P1335" s="15" t="str">
        <f t="shared" si="1"/>
        <v>VERIFY</v>
      </c>
      <c r="Q1335" s="15">
        <f t="shared" si="2"/>
        <v>4</v>
      </c>
      <c r="R1335" s="15">
        <f t="shared" si="3"/>
        <v>2</v>
      </c>
      <c r="S1335" s="15">
        <f t="shared" si="4"/>
        <v>2</v>
      </c>
      <c r="T1335" s="15" t="str">
        <f t="shared" si="5"/>
        <v>C-6</v>
      </c>
      <c r="U1335" s="15" t="str">
        <f t="shared" si="6"/>
        <v>T4-M2-H2-FC-6-VERIFY</v>
      </c>
      <c r="V1335" s="15">
        <f t="shared" si="7"/>
        <v>0</v>
      </c>
      <c r="W1335" s="31"/>
      <c r="X1335" s="15" t="str">
        <f t="shared" si="8"/>
        <v>gladstone-australia</v>
      </c>
      <c r="Y1335" s="32" t="str">
        <f t="shared" si="9"/>
        <v>https://steelmanufacturer.in/market-area/electropolished-pipes-manufacturer-in-gladstone-australia/</v>
      </c>
      <c r="Z1335" s="15" t="str">
        <f t="shared" si="10"/>
        <v>Electropolished Pipes Manufacturer in Gladstone</v>
      </c>
      <c r="AA1335" s="15" t="str">
        <f t="shared" si="11"/>
        <v>OK (47)</v>
      </c>
      <c r="AB1335" s="15" t="str">
        <f t="shared" si="12"/>
        <v>Electropolished tube supply to VERIFY, Gladstone. Ra from 0.25 um, SF4 finish, mill test certificate with every lot.</v>
      </c>
      <c r="AC1335" s="15" t="str">
        <f t="shared" si="13"/>
        <v>PENDING RESEARCH</v>
      </c>
      <c r="AD1335" s="15" t="str">
        <f t="shared" si="14"/>
        <v>Electropolished Pipes Manufacturer in Gladstone</v>
      </c>
      <c r="AE1335" s="15" t="str">
        <f t="shared" si="15"/>
        <v>How We Manufacture Electropolished Tube for Gladstone Plants</v>
      </c>
      <c r="AF1335" s="15" t="str">
        <f t="shared" si="16"/>
        <v>Supplying Electropolished Pipes in Gladstone: Availability, Sizes &amp; Dispatch</v>
      </c>
      <c r="AG1335" s="15" t="str">
        <f t="shared" si="17"/>
        <v>Wholesale Electropolished Pipe Supply for Gladstone Projects</v>
      </c>
      <c r="AH1335" s="15" t="str">
        <f t="shared" si="18"/>
        <v>electropolished pipes manufacturer in Gladstone, electropolished pipes supplier in Gladstone, electropolished pipes wholesaler in Gladstone, electropolished tube manufacturer Gladstone, EP pipe supplier Gladstone, sanitary tube supplier Gladstone, ASME BPE tubing Gladstone, ASTM A270 tube Gladstone, SS 316L electropolished pipe Gladstone</v>
      </c>
      <c r="AI1335" s="15" t="str">
        <f t="shared" si="19"/>
        <v>Electropolished Pipes Manufacturer &amp; Supplier in Gladstone</v>
      </c>
      <c r="AJ1335" s="15" t="str">
        <f t="shared" si="20"/>
        <v>EP-finished SS 304/316L pipes and tubes for VERIFY plants in Gladstone. ASME BPE SF1-SF4, Ra from 0.25 um, EN 10204 3.1 certificate with every lot.</v>
      </c>
      <c r="AK1335" s="15" t="str">
        <f t="shared" si="21"/>
        <v>Electropolished stainless steel pipes supplied by Sakshi Forge to VERIFY plants at VERIFY, Gladstone</v>
      </c>
      <c r="AL1335" s="15" t="str">
        <f t="shared" si="22"/>
        <v>Electropolished SS 316L tube stock for Gladstone - Sakshi Forge</v>
      </c>
      <c r="AM1335" s="15" t="str">
        <f t="shared" si="23"/>
        <v>Home &gt; Market Area &gt; Australia &gt; VERIFY &gt; Gladstone</v>
      </c>
      <c r="AN1335" s="15">
        <f t="shared" si="24"/>
        <v>750</v>
      </c>
      <c r="AO1335" s="15">
        <f t="shared" si="25"/>
        <v>6</v>
      </c>
      <c r="AP1335" s="15">
        <f t="shared" si="26"/>
        <v>6</v>
      </c>
      <c r="AQ1335" s="15">
        <f t="shared" si="27"/>
        <v>23</v>
      </c>
      <c r="AR1335" s="31"/>
      <c r="AS1335" s="31"/>
      <c r="AT1335" s="35" t="s">
        <v>222</v>
      </c>
      <c r="AU1335" s="35"/>
    </row>
    <row r="1336" ht="15.75" customHeight="1">
      <c r="A1336" s="15" t="s">
        <v>6781</v>
      </c>
      <c r="B1336" s="15" t="s">
        <v>403</v>
      </c>
      <c r="C1336" s="15" t="s">
        <v>98</v>
      </c>
      <c r="D1336" s="15" t="s">
        <v>6782</v>
      </c>
      <c r="E1336" s="15" t="s">
        <v>6782</v>
      </c>
      <c r="F1336" s="58" t="s">
        <v>807</v>
      </c>
      <c r="G1336" s="66" t="s">
        <v>98</v>
      </c>
      <c r="H1336" s="18" t="s">
        <v>98</v>
      </c>
      <c r="I1336" s="18" t="s">
        <v>98</v>
      </c>
      <c r="J1336" s="18" t="s">
        <v>98</v>
      </c>
      <c r="K1336" s="18" t="s">
        <v>98</v>
      </c>
      <c r="L1336" s="18" t="s">
        <v>98</v>
      </c>
      <c r="M1336" s="18" t="s">
        <v>604</v>
      </c>
      <c r="N1336" s="18" t="s">
        <v>421</v>
      </c>
      <c r="O1336" s="18" t="s">
        <v>98</v>
      </c>
      <c r="P1336" s="15" t="str">
        <f t="shared" si="1"/>
        <v>VERIFY</v>
      </c>
      <c r="Q1336" s="15">
        <f t="shared" si="2"/>
        <v>5</v>
      </c>
      <c r="R1336" s="15">
        <f t="shared" si="3"/>
        <v>3</v>
      </c>
      <c r="S1336" s="15">
        <f t="shared" si="4"/>
        <v>3</v>
      </c>
      <c r="T1336" s="15" t="str">
        <f t="shared" si="5"/>
        <v>C-1</v>
      </c>
      <c r="U1336" s="15" t="str">
        <f t="shared" si="6"/>
        <v>T5-M3-H3-FC-1-VERIFY</v>
      </c>
      <c r="V1336" s="15">
        <f t="shared" si="7"/>
        <v>0</v>
      </c>
      <c r="W1336" s="31"/>
      <c r="X1336" s="15" t="str">
        <f t="shared" si="8"/>
        <v>goulburn-australia</v>
      </c>
      <c r="Y1336" s="32" t="str">
        <f t="shared" si="9"/>
        <v>https://steelmanufacturer.in/market-area/electropolished-pipes-manufacturer-in-goulburn-australia/</v>
      </c>
      <c r="Z1336" s="15" t="str">
        <f t="shared" si="10"/>
        <v>Electropolished Pipes Manufacturer in Goulburn</v>
      </c>
      <c r="AA1336" s="15" t="str">
        <f t="shared" si="11"/>
        <v>OK (46)</v>
      </c>
      <c r="AB1336" s="15" t="str">
        <f t="shared" si="12"/>
        <v>EP stainless tube for VERIFY lines in Goulburn. 18-24 days sea from Nhava Sheva to Melbourne. ASTM A270 S2, PMI tested, EN 10204 3.1.</v>
      </c>
      <c r="AC1336" s="15" t="str">
        <f t="shared" si="13"/>
        <v>PENDING RESEARCH</v>
      </c>
      <c r="AD1336" s="15" t="str">
        <f t="shared" si="14"/>
        <v>Electropolished Pipes Manufacturer in Goulburn</v>
      </c>
      <c r="AE1336" s="15" t="str">
        <f t="shared" si="15"/>
        <v>Electropolished Pipes Manufacturer in Goulburn - Our Process &amp; Capability</v>
      </c>
      <c r="AF1336" s="15" t="str">
        <f t="shared" si="16"/>
        <v>Electropolished Pipes Supplier in Goulburn - What We Hold in Stock</v>
      </c>
      <c r="AG1336" s="15" t="str">
        <f t="shared" si="17"/>
        <v>Bulk &amp; Wholesale Electropolished Pipe Rates for Goulburn Buyers</v>
      </c>
      <c r="AH1336" s="15" t="str">
        <f t="shared" si="18"/>
        <v>electropolished pipes manufacturer in Goulburn, electropolished pipes supplier in Goulburn, electropolished pipes wholesaler in Goulburn, electropolished tube manufacturer Goulburn, EP pipe supplier Goulburn, sanitary tube supplier Goulburn, ASME BPE tubing Goulburn, ASTM A270 tube Goulburn, SS 316L electropolished pipe Goulburn</v>
      </c>
      <c r="AI1336" s="15" t="str">
        <f t="shared" si="19"/>
        <v>Electropolished Pipes Manufacturer &amp; Supplier in Goulburn</v>
      </c>
      <c r="AJ1336" s="15" t="str">
        <f t="shared" si="20"/>
        <v>EP-finished SS 304/316L pipes and tubes for VERIFY plants in Goulburn. ASME BPE SF1-SF4, Ra from 0.25 um, EN 10204 3.1 certificate with every lot.</v>
      </c>
      <c r="AK1336" s="15" t="str">
        <f t="shared" si="21"/>
        <v>Electropolished stainless steel pipes supplied by Sakshi Forge to VERIFY plants at VERIFY, Goulburn</v>
      </c>
      <c r="AL1336" s="15" t="str">
        <f t="shared" si="22"/>
        <v>Electropolished SS 316L tube stock for Goulburn - Sakshi Forge</v>
      </c>
      <c r="AM1336" s="15" t="str">
        <f t="shared" si="23"/>
        <v>Home &gt; Market Area &gt; Australia &gt; VERIFY &gt; Goulburn</v>
      </c>
      <c r="AN1336" s="15">
        <f t="shared" si="24"/>
        <v>750</v>
      </c>
      <c r="AO1336" s="15">
        <f t="shared" si="25"/>
        <v>6</v>
      </c>
      <c r="AP1336" s="15">
        <f t="shared" si="26"/>
        <v>6</v>
      </c>
      <c r="AQ1336" s="15">
        <f t="shared" si="27"/>
        <v>23</v>
      </c>
      <c r="AR1336" s="31"/>
      <c r="AS1336" s="31"/>
      <c r="AT1336" s="35" t="s">
        <v>222</v>
      </c>
      <c r="AU1336" s="35"/>
    </row>
    <row r="1337" ht="15.75" customHeight="1">
      <c r="A1337" s="15" t="s">
        <v>6783</v>
      </c>
      <c r="B1337" s="15" t="s">
        <v>403</v>
      </c>
      <c r="C1337" s="15" t="s">
        <v>98</v>
      </c>
      <c r="D1337" s="15" t="s">
        <v>6784</v>
      </c>
      <c r="E1337" s="15" t="s">
        <v>6784</v>
      </c>
      <c r="F1337" s="58" t="s">
        <v>807</v>
      </c>
      <c r="G1337" s="66" t="s">
        <v>98</v>
      </c>
      <c r="H1337" s="18" t="s">
        <v>98</v>
      </c>
      <c r="I1337" s="18" t="s">
        <v>98</v>
      </c>
      <c r="J1337" s="18" t="s">
        <v>98</v>
      </c>
      <c r="K1337" s="18" t="s">
        <v>98</v>
      </c>
      <c r="L1337" s="18" t="s">
        <v>98</v>
      </c>
      <c r="M1337" s="18" t="s">
        <v>604</v>
      </c>
      <c r="N1337" s="18" t="s">
        <v>421</v>
      </c>
      <c r="O1337" s="18" t="s">
        <v>98</v>
      </c>
      <c r="P1337" s="15" t="str">
        <f t="shared" si="1"/>
        <v>VERIFY</v>
      </c>
      <c r="Q1337" s="15">
        <f t="shared" si="2"/>
        <v>6</v>
      </c>
      <c r="R1337" s="15">
        <f t="shared" si="3"/>
        <v>4</v>
      </c>
      <c r="S1337" s="15">
        <f t="shared" si="4"/>
        <v>4</v>
      </c>
      <c r="T1337" s="15" t="str">
        <f t="shared" si="5"/>
        <v>C-2</v>
      </c>
      <c r="U1337" s="15" t="str">
        <f t="shared" si="6"/>
        <v>T6-M4-H4-FC-2-VERIFY</v>
      </c>
      <c r="V1337" s="15">
        <f t="shared" si="7"/>
        <v>0</v>
      </c>
      <c r="W1337" s="31"/>
      <c r="X1337" s="15" t="str">
        <f t="shared" si="8"/>
        <v>griffith-australia</v>
      </c>
      <c r="Y1337" s="32" t="str">
        <f t="shared" si="9"/>
        <v>https://steelmanufacturer.in/market-area/electropolished-pipes-manufacturer-in-griffith-australia/</v>
      </c>
      <c r="Z1337" s="15" t="str">
        <f t="shared" si="10"/>
        <v>Electropolished Pipes Manufacturer in Griffith</v>
      </c>
      <c r="AA1337" s="15" t="str">
        <f t="shared" si="11"/>
        <v>OK (46)</v>
      </c>
      <c r="AB1337" s="15" t="str">
        <f t="shared" si="12"/>
        <v>Sanitary electropolished pipes in Griffith for VERIFY plants. ASME BPE SF1-SF4, orbital-weld ready, 3.1 MTC. Mumbai-made.</v>
      </c>
      <c r="AC1337" s="15" t="str">
        <f t="shared" si="13"/>
        <v>PENDING RESEARCH</v>
      </c>
      <c r="AD1337" s="15" t="str">
        <f t="shared" si="14"/>
        <v>Electropolished Pipes Manufacturer in Griffith</v>
      </c>
      <c r="AE1337" s="15" t="str">
        <f t="shared" si="15"/>
        <v>Manufacturing Electropolished SS Tube for Griffith: The Standards We Build To</v>
      </c>
      <c r="AF1337" s="15" t="str">
        <f t="shared" si="16"/>
        <v>Electropolished Pipe Supply Into Griffith - Certification &amp; Transit</v>
      </c>
      <c r="AG1337" s="15" t="str">
        <f t="shared" si="17"/>
        <v>Electropolished Pipes Wholesaler in Griffith - Project Quantities &amp; Terms</v>
      </c>
      <c r="AH1337" s="15" t="str">
        <f t="shared" si="18"/>
        <v>electropolished pipes manufacturer in Griffith, electropolished pipes supplier in Griffith, electropolished pipes wholesaler in Griffith, electropolished tube manufacturer Griffith, EP pipe supplier Griffith, sanitary tube supplier Griffith, ASME BPE tubing Griffith, ASTM A270 tube Griffith, SS 316L electropolished pipe Griffith</v>
      </c>
      <c r="AI1337" s="15" t="str">
        <f t="shared" si="19"/>
        <v>Electropolished Pipes Manufacturer &amp; Supplier in Griffith</v>
      </c>
      <c r="AJ1337" s="15" t="str">
        <f t="shared" si="20"/>
        <v>EP-finished SS 304/316L pipes and tubes for VERIFY plants in Griffith. ASME BPE SF1-SF4, Ra from 0.25 um, EN 10204 3.1 certificate with every lot.</v>
      </c>
      <c r="AK1337" s="15" t="str">
        <f t="shared" si="21"/>
        <v>Electropolished stainless steel pipes supplied by Sakshi Forge to VERIFY plants at VERIFY, Griffith</v>
      </c>
      <c r="AL1337" s="15" t="str">
        <f t="shared" si="22"/>
        <v>Electropolished SS 316L tube stock for Griffith - Sakshi Forge</v>
      </c>
      <c r="AM1337" s="15" t="str">
        <f t="shared" si="23"/>
        <v>Home &gt; Market Area &gt; Australia &gt; VERIFY &gt; Griffith</v>
      </c>
      <c r="AN1337" s="15">
        <f t="shared" si="24"/>
        <v>750</v>
      </c>
      <c r="AO1337" s="15">
        <f t="shared" si="25"/>
        <v>6</v>
      </c>
      <c r="AP1337" s="15">
        <f t="shared" si="26"/>
        <v>6</v>
      </c>
      <c r="AQ1337" s="15">
        <f t="shared" si="27"/>
        <v>23</v>
      </c>
      <c r="AR1337" s="31"/>
      <c r="AS1337" s="31"/>
      <c r="AT1337" s="35" t="s">
        <v>222</v>
      </c>
      <c r="AU1337" s="35"/>
    </row>
    <row r="1338" ht="15.75" customHeight="1">
      <c r="A1338" s="15" t="s">
        <v>6785</v>
      </c>
      <c r="B1338" s="15" t="s">
        <v>403</v>
      </c>
      <c r="C1338" s="15" t="s">
        <v>98</v>
      </c>
      <c r="D1338" s="15" t="s">
        <v>6786</v>
      </c>
      <c r="E1338" s="15" t="s">
        <v>6786</v>
      </c>
      <c r="F1338" s="58" t="s">
        <v>807</v>
      </c>
      <c r="G1338" s="66" t="s">
        <v>98</v>
      </c>
      <c r="H1338" s="18" t="s">
        <v>98</v>
      </c>
      <c r="I1338" s="18" t="s">
        <v>98</v>
      </c>
      <c r="J1338" s="18" t="s">
        <v>98</v>
      </c>
      <c r="K1338" s="18" t="s">
        <v>98</v>
      </c>
      <c r="L1338" s="18" t="s">
        <v>98</v>
      </c>
      <c r="M1338" s="18" t="s">
        <v>604</v>
      </c>
      <c r="N1338" s="18" t="s">
        <v>421</v>
      </c>
      <c r="O1338" s="18" t="s">
        <v>98</v>
      </c>
      <c r="P1338" s="15" t="str">
        <f t="shared" si="1"/>
        <v>VERIFY</v>
      </c>
      <c r="Q1338" s="15">
        <f t="shared" si="2"/>
        <v>7</v>
      </c>
      <c r="R1338" s="15">
        <f t="shared" si="3"/>
        <v>5</v>
      </c>
      <c r="S1338" s="15">
        <f t="shared" si="4"/>
        <v>5</v>
      </c>
      <c r="T1338" s="15" t="str">
        <f t="shared" si="5"/>
        <v>C-3</v>
      </c>
      <c r="U1338" s="15" t="str">
        <f t="shared" si="6"/>
        <v>T7-M5-H5-FC-3-VERIFY</v>
      </c>
      <c r="V1338" s="15">
        <f t="shared" si="7"/>
        <v>0</v>
      </c>
      <c r="W1338" s="31"/>
      <c r="X1338" s="15" t="str">
        <f t="shared" si="8"/>
        <v>hervey-bay-australia</v>
      </c>
      <c r="Y1338" s="32" t="str">
        <f t="shared" si="9"/>
        <v>https://steelmanufacturer.in/market-area/electropolished-pipes-manufacturer-in-hervey-bay-australia/</v>
      </c>
      <c r="Z1338" s="15" t="str">
        <f t="shared" si="10"/>
        <v>Electropolished Pipes Manufacturer in Hervey Bay</v>
      </c>
      <c r="AA1338" s="15" t="str">
        <f t="shared" si="11"/>
        <v>OK (48)</v>
      </c>
      <c r="AB1338" s="15" t="str">
        <f t="shared" si="12"/>
        <v>Manufacturer of electropolished SS 316L tube serving Hervey Bay. 18-24 days sea from Nhava Sheva to Melbourne. Ra 0.25-0.5 um, EN 10204 3.1 MTC.</v>
      </c>
      <c r="AC1338" s="15" t="str">
        <f t="shared" si="13"/>
        <v>PENDING RESEARCH</v>
      </c>
      <c r="AD1338" s="15" t="str">
        <f t="shared" si="14"/>
        <v>Electropolished Pipes Manufacturer in Hervey Bay</v>
      </c>
      <c r="AE1338" s="15" t="str">
        <f t="shared" si="15"/>
        <v>Electropolished Tube Manufacturing Capability Serving Hervey Bay</v>
      </c>
      <c r="AF1338" s="15" t="str">
        <f t="shared" si="16"/>
        <v>Electropolished Pipes Supplier in Hervey Bay - From Order to Delivery</v>
      </c>
      <c r="AG1338" s="15" t="str">
        <f t="shared" si="17"/>
        <v>Stockist &amp; Wholesale Supply of Electropolished Pipes in Hervey Bay</v>
      </c>
      <c r="AH1338" s="15" t="str">
        <f t="shared" si="18"/>
        <v>electropolished pipes manufacturer in Hervey Bay, electropolished pipes supplier in Hervey Bay, electropolished pipes wholesaler in Hervey Bay, electropolished tube manufacturer Hervey Bay, EP pipe supplier Hervey Bay, sanitary tube supplier Hervey Bay, ASME BPE tubing Hervey Bay, ASTM A270 tube Hervey Bay, SS 316L electropolished pipe Hervey Bay</v>
      </c>
      <c r="AI1338" s="15" t="str">
        <f t="shared" si="19"/>
        <v>Electropolished Pipes Manufacturer &amp; Supplier in Hervey Bay</v>
      </c>
      <c r="AJ1338" s="15" t="str">
        <f t="shared" si="20"/>
        <v>EP-finished SS 304/316L pipes and tubes for VERIFY plants in Hervey Bay. ASME BPE SF1-SF4, Ra from 0.25 um, EN 10204 3.1 certificate with every lot.</v>
      </c>
      <c r="AK1338" s="15" t="str">
        <f t="shared" si="21"/>
        <v>Electropolished stainless steel pipes supplied by Sakshi Forge to VERIFY plants at VERIFY, Hervey Bay</v>
      </c>
      <c r="AL1338" s="15" t="str">
        <f t="shared" si="22"/>
        <v>Electropolished SS 316L tube stock for Hervey Bay - Sakshi Forge</v>
      </c>
      <c r="AM1338" s="15" t="str">
        <f t="shared" si="23"/>
        <v>Home &gt; Market Area &gt; Australia &gt; VERIFY &gt; Hervey Bay</v>
      </c>
      <c r="AN1338" s="15">
        <f t="shared" si="24"/>
        <v>750</v>
      </c>
      <c r="AO1338" s="15">
        <f t="shared" si="25"/>
        <v>6</v>
      </c>
      <c r="AP1338" s="15">
        <f t="shared" si="26"/>
        <v>6</v>
      </c>
      <c r="AQ1338" s="15">
        <f t="shared" si="27"/>
        <v>23</v>
      </c>
      <c r="AR1338" s="31"/>
      <c r="AS1338" s="31"/>
      <c r="AT1338" s="35" t="s">
        <v>222</v>
      </c>
      <c r="AU1338" s="35"/>
    </row>
    <row r="1339" ht="15.75" customHeight="1">
      <c r="A1339" s="15" t="s">
        <v>6787</v>
      </c>
      <c r="B1339" s="15" t="s">
        <v>403</v>
      </c>
      <c r="C1339" s="15" t="s">
        <v>98</v>
      </c>
      <c r="D1339" s="15" t="s">
        <v>6788</v>
      </c>
      <c r="E1339" s="15" t="s">
        <v>6788</v>
      </c>
      <c r="F1339" s="58" t="s">
        <v>807</v>
      </c>
      <c r="G1339" s="66" t="s">
        <v>98</v>
      </c>
      <c r="H1339" s="18" t="s">
        <v>98</v>
      </c>
      <c r="I1339" s="18" t="s">
        <v>98</v>
      </c>
      <c r="J1339" s="18" t="s">
        <v>98</v>
      </c>
      <c r="K1339" s="18" t="s">
        <v>98</v>
      </c>
      <c r="L1339" s="18" t="s">
        <v>98</v>
      </c>
      <c r="M1339" s="18" t="s">
        <v>604</v>
      </c>
      <c r="N1339" s="18" t="s">
        <v>421</v>
      </c>
      <c r="O1339" s="18" t="s">
        <v>98</v>
      </c>
      <c r="P1339" s="15" t="str">
        <f t="shared" si="1"/>
        <v>VERIFY</v>
      </c>
      <c r="Q1339" s="15">
        <f t="shared" si="2"/>
        <v>8</v>
      </c>
      <c r="R1339" s="15">
        <f t="shared" si="3"/>
        <v>6</v>
      </c>
      <c r="S1339" s="15">
        <f t="shared" si="4"/>
        <v>1</v>
      </c>
      <c r="T1339" s="15" t="str">
        <f t="shared" si="5"/>
        <v>C-4</v>
      </c>
      <c r="U1339" s="15" t="str">
        <f t="shared" si="6"/>
        <v>T8-M6-H1-FC-4-VERIFY</v>
      </c>
      <c r="V1339" s="15">
        <f t="shared" si="7"/>
        <v>0</v>
      </c>
      <c r="W1339" s="31"/>
      <c r="X1339" s="15" t="str">
        <f t="shared" si="8"/>
        <v>horsham-australia</v>
      </c>
      <c r="Y1339" s="32" t="str">
        <f t="shared" si="9"/>
        <v>https://steelmanufacturer.in/market-area/electropolished-pipes-manufacturer-in-horsham-australia/</v>
      </c>
      <c r="Z1339" s="15" t="str">
        <f t="shared" si="10"/>
        <v>Electropolished Pipes Manufacturer in Horsham - EP Tube Stockist</v>
      </c>
      <c r="AA1339" s="15" t="str">
        <f t="shared" si="11"/>
        <v>OK (64)</v>
      </c>
      <c r="AB1339" s="15" t="str">
        <f t="shared" si="12"/>
        <v>EP tube and pipe for VERIFY plants around VERIFY, Horsham. Made at our Mumbai works to ASTM A270 and ASME BPE SF1-SF4, with 3.1 MTC.</v>
      </c>
      <c r="AC1339" s="15" t="str">
        <f t="shared" si="13"/>
        <v>PENDING RESEARCH</v>
      </c>
      <c r="AD1339" s="15" t="str">
        <f t="shared" si="14"/>
        <v>Electropolished Pipes Manufacturer in Horsham</v>
      </c>
      <c r="AE1339" s="15" t="str">
        <f t="shared" si="15"/>
        <v>Electropolished Pipe &amp; Tube Manufacturing for Horsham - Grades, Finishes &amp; Certification</v>
      </c>
      <c r="AF1339" s="15" t="str">
        <f t="shared" si="16"/>
        <v>Electropolished Pipes Supplier in Horsham - Stock Sizes, Lead Time &amp; Delivery</v>
      </c>
      <c r="AG1339" s="15" t="str">
        <f t="shared" si="17"/>
        <v>Electropolished Pipes Wholesaler &amp; Stockist in Horsham - Bulk &amp; Project Pricing</v>
      </c>
      <c r="AH1339" s="15" t="str">
        <f t="shared" si="18"/>
        <v>electropolished pipes manufacturer in Horsham, electropolished pipes supplier in Horsham, electropolished pipes wholesaler in Horsham, electropolished tube manufacturer Horsham, EP pipe supplier Horsham, sanitary tube supplier Horsham, ASME BPE tubing Horsham, ASTM A270 tube Horsham, SS 316L electropolished pipe Horsham</v>
      </c>
      <c r="AI1339" s="15" t="str">
        <f t="shared" si="19"/>
        <v>Electropolished Pipes Manufacturer &amp; Supplier in Horsham</v>
      </c>
      <c r="AJ1339" s="15" t="str">
        <f t="shared" si="20"/>
        <v>EP-finished SS 304/316L pipes and tubes for VERIFY plants in Horsham. ASME BPE SF1-SF4, Ra from 0.25 um, EN 10204 3.1 certificate with every lot.</v>
      </c>
      <c r="AK1339" s="15" t="str">
        <f t="shared" si="21"/>
        <v>Electropolished stainless steel pipes supplied by Sakshi Forge to VERIFY plants at VERIFY, Horsham</v>
      </c>
      <c r="AL1339" s="15" t="str">
        <f t="shared" si="22"/>
        <v>Electropolished SS 316L tube stock for Horsham - Sakshi Forge</v>
      </c>
      <c r="AM1339" s="15" t="str">
        <f t="shared" si="23"/>
        <v>Home &gt; Market Area &gt; Australia &gt; VERIFY &gt; Horsham</v>
      </c>
      <c r="AN1339" s="15">
        <f t="shared" si="24"/>
        <v>750</v>
      </c>
      <c r="AO1339" s="15">
        <f t="shared" si="25"/>
        <v>6</v>
      </c>
      <c r="AP1339" s="15">
        <f t="shared" si="26"/>
        <v>6</v>
      </c>
      <c r="AQ1339" s="15">
        <f t="shared" si="27"/>
        <v>23</v>
      </c>
      <c r="AR1339" s="31"/>
      <c r="AS1339" s="31"/>
      <c r="AT1339" s="35" t="s">
        <v>222</v>
      </c>
      <c r="AU1339" s="35"/>
    </row>
    <row r="1340" ht="15.75" customHeight="1">
      <c r="A1340" s="15" t="s">
        <v>6789</v>
      </c>
      <c r="B1340" s="15" t="s">
        <v>403</v>
      </c>
      <c r="C1340" s="15" t="s">
        <v>98</v>
      </c>
      <c r="D1340" s="15" t="s">
        <v>6790</v>
      </c>
      <c r="E1340" s="15" t="s">
        <v>6790</v>
      </c>
      <c r="F1340" s="58" t="s">
        <v>807</v>
      </c>
      <c r="G1340" s="66" t="s">
        <v>98</v>
      </c>
      <c r="H1340" s="18" t="s">
        <v>98</v>
      </c>
      <c r="I1340" s="18" t="s">
        <v>98</v>
      </c>
      <c r="J1340" s="18" t="s">
        <v>98</v>
      </c>
      <c r="K1340" s="18" t="s">
        <v>98</v>
      </c>
      <c r="L1340" s="18" t="s">
        <v>98</v>
      </c>
      <c r="M1340" s="18" t="s">
        <v>604</v>
      </c>
      <c r="N1340" s="18" t="s">
        <v>421</v>
      </c>
      <c r="O1340" s="18" t="s">
        <v>98</v>
      </c>
      <c r="P1340" s="15" t="str">
        <f t="shared" si="1"/>
        <v>VERIFY</v>
      </c>
      <c r="Q1340" s="15">
        <f t="shared" si="2"/>
        <v>1</v>
      </c>
      <c r="R1340" s="15">
        <f t="shared" si="3"/>
        <v>7</v>
      </c>
      <c r="S1340" s="15">
        <f t="shared" si="4"/>
        <v>2</v>
      </c>
      <c r="T1340" s="15" t="str">
        <f t="shared" si="5"/>
        <v>C-5</v>
      </c>
      <c r="U1340" s="15" t="str">
        <f t="shared" si="6"/>
        <v>T1-M7-H2-FC-5-VERIFY</v>
      </c>
      <c r="V1340" s="15">
        <f t="shared" si="7"/>
        <v>0</v>
      </c>
      <c r="W1340" s="31"/>
      <c r="X1340" s="15" t="str">
        <f t="shared" si="8"/>
        <v>kalgoorlie-australia</v>
      </c>
      <c r="Y1340" s="32" t="str">
        <f t="shared" si="9"/>
        <v>https://steelmanufacturer.in/market-area/electropolished-pipes-manufacturer-in-kalgoorlie-australia/</v>
      </c>
      <c r="Z1340" s="15" t="str">
        <f t="shared" si="10"/>
        <v>Electropolished Pipes Manufacturer in Kalgoorlie | Sakshi Forge</v>
      </c>
      <c r="AA1340" s="15" t="str">
        <f t="shared" si="11"/>
        <v>OK (63)</v>
      </c>
      <c r="AB1340" s="15" t="str">
        <f t="shared" si="12"/>
        <v>Electropolished pipes in Kalgoorlie: 304, 304L, 316 and 316L in SF1-SF4. 18-24 days sea from Nhava Sheva to Melbourne. Mill certified.</v>
      </c>
      <c r="AC1340" s="15" t="str">
        <f t="shared" si="13"/>
        <v>PENDING RESEARCH</v>
      </c>
      <c r="AD1340" s="15" t="str">
        <f t="shared" si="14"/>
        <v>Electropolished Pipes Manufacturer in Kalgoorlie</v>
      </c>
      <c r="AE1340" s="15" t="str">
        <f t="shared" si="15"/>
        <v>How We Manufacture Electropolished Tube for Kalgoorlie Plants</v>
      </c>
      <c r="AF1340" s="15" t="str">
        <f t="shared" si="16"/>
        <v>Supplying Electropolished Pipes in Kalgoorlie: Availability, Sizes &amp; Dispatch</v>
      </c>
      <c r="AG1340" s="15" t="str">
        <f t="shared" si="17"/>
        <v>Wholesale Electropolished Pipe Supply for Kalgoorlie Projects</v>
      </c>
      <c r="AH1340" s="15" t="str">
        <f t="shared" si="18"/>
        <v>electropolished pipes manufacturer in Kalgoorlie, electropolished pipes supplier in Kalgoorlie, electropolished pipes wholesaler in Kalgoorlie, electropolished tube manufacturer Kalgoorlie, EP pipe supplier Kalgoorlie, sanitary tube supplier Kalgoorlie, ASME BPE tubing Kalgoorlie, ASTM A270 tube Kalgoorlie, SS 316L electropolished pipe Kalgoorlie</v>
      </c>
      <c r="AI1340" s="15" t="str">
        <f t="shared" si="19"/>
        <v>Electropolished Pipes Manufacturer &amp; Supplier in Kalgoorlie</v>
      </c>
      <c r="AJ1340" s="15" t="str">
        <f t="shared" si="20"/>
        <v>EP-finished SS 304/316L pipes and tubes for VERIFY plants in Kalgoorlie. ASME BPE SF1-SF4, Ra from 0.25 um, EN 10204 3.1 certificate with every lot.</v>
      </c>
      <c r="AK1340" s="15" t="str">
        <f t="shared" si="21"/>
        <v>Electropolished stainless steel pipes supplied by Sakshi Forge to VERIFY plants at VERIFY, Kalgoorlie</v>
      </c>
      <c r="AL1340" s="15" t="str">
        <f t="shared" si="22"/>
        <v>Electropolished SS 316L tube stock for Kalgoorlie - Sakshi Forge</v>
      </c>
      <c r="AM1340" s="15" t="str">
        <f t="shared" si="23"/>
        <v>Home &gt; Market Area &gt; Australia &gt; VERIFY &gt; Kalgoorlie</v>
      </c>
      <c r="AN1340" s="15">
        <f t="shared" si="24"/>
        <v>750</v>
      </c>
      <c r="AO1340" s="15">
        <f t="shared" si="25"/>
        <v>6</v>
      </c>
      <c r="AP1340" s="15">
        <f t="shared" si="26"/>
        <v>6</v>
      </c>
      <c r="AQ1340" s="15">
        <f t="shared" si="27"/>
        <v>23</v>
      </c>
      <c r="AR1340" s="31"/>
      <c r="AS1340" s="31"/>
      <c r="AT1340" s="35" t="s">
        <v>222</v>
      </c>
      <c r="AU1340" s="35"/>
    </row>
    <row r="1341" ht="15.75" customHeight="1">
      <c r="A1341" s="15" t="s">
        <v>6791</v>
      </c>
      <c r="B1341" s="15" t="s">
        <v>403</v>
      </c>
      <c r="C1341" s="15" t="s">
        <v>98</v>
      </c>
      <c r="D1341" s="15" t="s">
        <v>6792</v>
      </c>
      <c r="E1341" s="15" t="s">
        <v>6792</v>
      </c>
      <c r="F1341" s="58" t="s">
        <v>807</v>
      </c>
      <c r="G1341" s="66" t="s">
        <v>98</v>
      </c>
      <c r="H1341" s="18" t="s">
        <v>98</v>
      </c>
      <c r="I1341" s="18" t="s">
        <v>98</v>
      </c>
      <c r="J1341" s="18" t="s">
        <v>98</v>
      </c>
      <c r="K1341" s="18" t="s">
        <v>98</v>
      </c>
      <c r="L1341" s="18" t="s">
        <v>98</v>
      </c>
      <c r="M1341" s="18" t="s">
        <v>604</v>
      </c>
      <c r="N1341" s="18" t="s">
        <v>421</v>
      </c>
      <c r="O1341" s="18" t="s">
        <v>98</v>
      </c>
      <c r="P1341" s="15" t="str">
        <f t="shared" si="1"/>
        <v>VERIFY</v>
      </c>
      <c r="Q1341" s="15">
        <f t="shared" si="2"/>
        <v>2</v>
      </c>
      <c r="R1341" s="15">
        <f t="shared" si="3"/>
        <v>1</v>
      </c>
      <c r="S1341" s="15">
        <f t="shared" si="4"/>
        <v>3</v>
      </c>
      <c r="T1341" s="15" t="str">
        <f t="shared" si="5"/>
        <v>C-6</v>
      </c>
      <c r="U1341" s="15" t="str">
        <f t="shared" si="6"/>
        <v>T2-M1-H3-FC-6-VERIFY</v>
      </c>
      <c r="V1341" s="15">
        <f t="shared" si="7"/>
        <v>0</v>
      </c>
      <c r="W1341" s="31"/>
      <c r="X1341" s="15" t="str">
        <f t="shared" si="8"/>
        <v>karratha-australia</v>
      </c>
      <c r="Y1341" s="32" t="str">
        <f t="shared" si="9"/>
        <v>https://steelmanufacturer.in/market-area/electropolished-pipes-manufacturer-in-karratha-australia/</v>
      </c>
      <c r="Z1341" s="15" t="str">
        <f t="shared" si="10"/>
        <v>Electropolished Pipes Manufacturer in Karratha</v>
      </c>
      <c r="AA1341" s="15" t="str">
        <f t="shared" si="11"/>
        <v>OK (46)</v>
      </c>
      <c r="AB1341" s="15" t="str">
        <f t="shared" si="12"/>
        <v>EP-finished SS 304/316L pipes &amp; tubes for VERIFY plants in Karratha. ASTM A270, ASME BPE SF1-SF4, EN 10204 3.1 MTC. PMI tested.</v>
      </c>
      <c r="AC1341" s="15" t="str">
        <f t="shared" si="13"/>
        <v>PENDING RESEARCH</v>
      </c>
      <c r="AD1341" s="15" t="str">
        <f t="shared" si="14"/>
        <v>Electropolished Pipes Manufacturer in Karratha</v>
      </c>
      <c r="AE1341" s="15" t="str">
        <f t="shared" si="15"/>
        <v>Electropolished Pipes Manufacturer in Karratha - Our Process &amp; Capability</v>
      </c>
      <c r="AF1341" s="15" t="str">
        <f t="shared" si="16"/>
        <v>Electropolished Pipes Supplier in Karratha - What We Hold in Stock</v>
      </c>
      <c r="AG1341" s="15" t="str">
        <f t="shared" si="17"/>
        <v>Bulk &amp; Wholesale Electropolished Pipe Rates for Karratha Buyers</v>
      </c>
      <c r="AH1341" s="15" t="str">
        <f t="shared" si="18"/>
        <v>electropolished pipes manufacturer in Karratha, electropolished pipes supplier in Karratha, electropolished pipes wholesaler in Karratha, electropolished tube manufacturer Karratha, EP pipe supplier Karratha, sanitary tube supplier Karratha, ASME BPE tubing Karratha, ASTM A270 tube Karratha, SS 316L electropolished pipe Karratha</v>
      </c>
      <c r="AI1341" s="15" t="str">
        <f t="shared" si="19"/>
        <v>Electropolished Pipes Manufacturer &amp; Supplier in Karratha</v>
      </c>
      <c r="AJ1341" s="15" t="str">
        <f t="shared" si="20"/>
        <v>EP-finished SS 304/316L pipes and tubes for VERIFY plants in Karratha. ASME BPE SF1-SF4, Ra from 0.25 um, EN 10204 3.1 certificate with every lot.</v>
      </c>
      <c r="AK1341" s="15" t="str">
        <f t="shared" si="21"/>
        <v>Electropolished stainless steel pipes supplied by Sakshi Forge to VERIFY plants at VERIFY, Karratha</v>
      </c>
      <c r="AL1341" s="15" t="str">
        <f t="shared" si="22"/>
        <v>Electropolished SS 316L tube stock for Karratha - Sakshi Forge</v>
      </c>
      <c r="AM1341" s="15" t="str">
        <f t="shared" si="23"/>
        <v>Home &gt; Market Area &gt; Australia &gt; VERIFY &gt; Karratha</v>
      </c>
      <c r="AN1341" s="15">
        <f t="shared" si="24"/>
        <v>750</v>
      </c>
      <c r="AO1341" s="15">
        <f t="shared" si="25"/>
        <v>6</v>
      </c>
      <c r="AP1341" s="15">
        <f t="shared" si="26"/>
        <v>6</v>
      </c>
      <c r="AQ1341" s="15">
        <f t="shared" si="27"/>
        <v>23</v>
      </c>
      <c r="AR1341" s="31"/>
      <c r="AS1341" s="31"/>
      <c r="AT1341" s="35" t="s">
        <v>222</v>
      </c>
      <c r="AU1341" s="35"/>
    </row>
    <row r="1342" ht="15.75" customHeight="1">
      <c r="A1342" s="15" t="s">
        <v>6793</v>
      </c>
      <c r="B1342" s="15" t="s">
        <v>403</v>
      </c>
      <c r="C1342" s="15" t="s">
        <v>98</v>
      </c>
      <c r="D1342" s="15" t="s">
        <v>6794</v>
      </c>
      <c r="E1342" s="15" t="s">
        <v>6794</v>
      </c>
      <c r="F1342" s="58" t="s">
        <v>807</v>
      </c>
      <c r="G1342" s="66" t="s">
        <v>98</v>
      </c>
      <c r="H1342" s="18" t="s">
        <v>98</v>
      </c>
      <c r="I1342" s="18" t="s">
        <v>98</v>
      </c>
      <c r="J1342" s="18" t="s">
        <v>98</v>
      </c>
      <c r="K1342" s="18" t="s">
        <v>98</v>
      </c>
      <c r="L1342" s="18" t="s">
        <v>98</v>
      </c>
      <c r="M1342" s="18" t="s">
        <v>604</v>
      </c>
      <c r="N1342" s="18" t="s">
        <v>421</v>
      </c>
      <c r="O1342" s="18" t="s">
        <v>98</v>
      </c>
      <c r="P1342" s="15" t="str">
        <f t="shared" si="1"/>
        <v>VERIFY</v>
      </c>
      <c r="Q1342" s="15">
        <f t="shared" si="2"/>
        <v>3</v>
      </c>
      <c r="R1342" s="15">
        <f t="shared" si="3"/>
        <v>2</v>
      </c>
      <c r="S1342" s="15">
        <f t="shared" si="4"/>
        <v>4</v>
      </c>
      <c r="T1342" s="15" t="str">
        <f t="shared" si="5"/>
        <v>C-1</v>
      </c>
      <c r="U1342" s="15" t="str">
        <f t="shared" si="6"/>
        <v>T3-M2-H4-FC-1-VERIFY</v>
      </c>
      <c r="V1342" s="15">
        <f t="shared" si="7"/>
        <v>0</v>
      </c>
      <c r="W1342" s="31"/>
      <c r="X1342" s="15" t="str">
        <f t="shared" si="8"/>
        <v>katherine-australia</v>
      </c>
      <c r="Y1342" s="32" t="str">
        <f t="shared" si="9"/>
        <v>https://steelmanufacturer.in/market-area/electropolished-pipes-manufacturer-in-katherine-australia/</v>
      </c>
      <c r="Z1342" s="15" t="str">
        <f t="shared" si="10"/>
        <v>Electropolished Pipes Manufacturer in Katherine</v>
      </c>
      <c r="AA1342" s="15" t="str">
        <f t="shared" si="11"/>
        <v>OK (47)</v>
      </c>
      <c r="AB1342" s="15" t="str">
        <f t="shared" si="12"/>
        <v>Electropolished tube supply to VERIFY, Katherine. Ra from 0.25 um, SF4 finish, mill test certificate with every lot.</v>
      </c>
      <c r="AC1342" s="15" t="str">
        <f t="shared" si="13"/>
        <v>PENDING RESEARCH</v>
      </c>
      <c r="AD1342" s="15" t="str">
        <f t="shared" si="14"/>
        <v>Electropolished Pipes Manufacturer in Katherine</v>
      </c>
      <c r="AE1342" s="15" t="str">
        <f t="shared" si="15"/>
        <v>Manufacturing Electropolished SS Tube for Katherine: The Standards We Build To</v>
      </c>
      <c r="AF1342" s="15" t="str">
        <f t="shared" si="16"/>
        <v>Electropolished Pipe Supply Into Katherine - Certification &amp; Transit</v>
      </c>
      <c r="AG1342" s="15" t="str">
        <f t="shared" si="17"/>
        <v>Electropolished Pipes Wholesaler in Katherine - Project Quantities &amp; Terms</v>
      </c>
      <c r="AH1342" s="15" t="str">
        <f t="shared" si="18"/>
        <v>electropolished pipes manufacturer in Katherine, electropolished pipes supplier in Katherine, electropolished pipes wholesaler in Katherine, electropolished tube manufacturer Katherine, EP pipe supplier Katherine, sanitary tube supplier Katherine, ASME BPE tubing Katherine, ASTM A270 tube Katherine, SS 316L electropolished pipe Katherine</v>
      </c>
      <c r="AI1342" s="15" t="str">
        <f t="shared" si="19"/>
        <v>Electropolished Pipes Manufacturer &amp; Supplier in Katherine</v>
      </c>
      <c r="AJ1342" s="15" t="str">
        <f t="shared" si="20"/>
        <v>EP-finished SS 304/316L pipes and tubes for VERIFY plants in Katherine. ASME BPE SF1-SF4, Ra from 0.25 um, EN 10204 3.1 certificate with every lot.</v>
      </c>
      <c r="AK1342" s="15" t="str">
        <f t="shared" si="21"/>
        <v>Electropolished stainless steel pipes supplied by Sakshi Forge to VERIFY plants at VERIFY, Katherine</v>
      </c>
      <c r="AL1342" s="15" t="str">
        <f t="shared" si="22"/>
        <v>Electropolished SS 316L tube stock for Katherine - Sakshi Forge</v>
      </c>
      <c r="AM1342" s="15" t="str">
        <f t="shared" si="23"/>
        <v>Home &gt; Market Area &gt; Australia &gt; VERIFY &gt; Katherine</v>
      </c>
      <c r="AN1342" s="15">
        <f t="shared" si="24"/>
        <v>750</v>
      </c>
      <c r="AO1342" s="15">
        <f t="shared" si="25"/>
        <v>6</v>
      </c>
      <c r="AP1342" s="15">
        <f t="shared" si="26"/>
        <v>6</v>
      </c>
      <c r="AQ1342" s="15">
        <f t="shared" si="27"/>
        <v>23</v>
      </c>
      <c r="AR1342" s="31"/>
      <c r="AS1342" s="31"/>
      <c r="AT1342" s="35" t="s">
        <v>222</v>
      </c>
      <c r="AU1342" s="35"/>
    </row>
    <row r="1343" ht="15.75" customHeight="1">
      <c r="A1343" s="15" t="s">
        <v>6795</v>
      </c>
      <c r="B1343" s="15" t="s">
        <v>403</v>
      </c>
      <c r="C1343" s="15" t="s">
        <v>98</v>
      </c>
      <c r="D1343" s="15" t="s">
        <v>6796</v>
      </c>
      <c r="E1343" s="15" t="s">
        <v>6796</v>
      </c>
      <c r="F1343" s="58" t="s">
        <v>807</v>
      </c>
      <c r="G1343" s="66" t="s">
        <v>98</v>
      </c>
      <c r="H1343" s="18" t="s">
        <v>98</v>
      </c>
      <c r="I1343" s="18" t="s">
        <v>98</v>
      </c>
      <c r="J1343" s="18" t="s">
        <v>98</v>
      </c>
      <c r="K1343" s="18" t="s">
        <v>98</v>
      </c>
      <c r="L1343" s="18" t="s">
        <v>98</v>
      </c>
      <c r="M1343" s="18" t="s">
        <v>604</v>
      </c>
      <c r="N1343" s="18" t="s">
        <v>421</v>
      </c>
      <c r="O1343" s="18" t="s">
        <v>98</v>
      </c>
      <c r="P1343" s="15" t="str">
        <f t="shared" si="1"/>
        <v>VERIFY</v>
      </c>
      <c r="Q1343" s="15">
        <f t="shared" si="2"/>
        <v>4</v>
      </c>
      <c r="R1343" s="15">
        <f t="shared" si="3"/>
        <v>3</v>
      </c>
      <c r="S1343" s="15">
        <f t="shared" si="4"/>
        <v>5</v>
      </c>
      <c r="T1343" s="15" t="str">
        <f t="shared" si="5"/>
        <v>C-2</v>
      </c>
      <c r="U1343" s="15" t="str">
        <f t="shared" si="6"/>
        <v>T4-M3-H5-FC-2-VERIFY</v>
      </c>
      <c r="V1343" s="15">
        <f t="shared" si="7"/>
        <v>0</v>
      </c>
      <c r="W1343" s="31"/>
      <c r="X1343" s="15" t="str">
        <f t="shared" si="8"/>
        <v>lismore-australia</v>
      </c>
      <c r="Y1343" s="32" t="str">
        <f t="shared" si="9"/>
        <v>https://steelmanufacturer.in/market-area/electropolished-pipes-manufacturer-in-lismore-australia/</v>
      </c>
      <c r="Z1343" s="15" t="str">
        <f t="shared" si="10"/>
        <v>Electropolished Pipes Manufacturer in Lismore</v>
      </c>
      <c r="AA1343" s="15" t="str">
        <f t="shared" si="11"/>
        <v>OK (45)</v>
      </c>
      <c r="AB1343" s="15" t="str">
        <f t="shared" si="12"/>
        <v>EP stainless tube for VERIFY lines in Lismore. 18-24 days sea from Nhava Sheva to Melbourne. ASTM A270 S2, PMI tested, EN 10204 3.1.</v>
      </c>
      <c r="AC1343" s="15" t="str">
        <f t="shared" si="13"/>
        <v>PENDING RESEARCH</v>
      </c>
      <c r="AD1343" s="15" t="str">
        <f t="shared" si="14"/>
        <v>Electropolished Pipes Manufacturer in Lismore</v>
      </c>
      <c r="AE1343" s="15" t="str">
        <f t="shared" si="15"/>
        <v>Electropolished Tube Manufacturing Capability Serving Lismore</v>
      </c>
      <c r="AF1343" s="15" t="str">
        <f t="shared" si="16"/>
        <v>Electropolished Pipes Supplier in Lismore - From Order to Delivery</v>
      </c>
      <c r="AG1343" s="15" t="str">
        <f t="shared" si="17"/>
        <v>Stockist &amp; Wholesale Supply of Electropolished Pipes in Lismore</v>
      </c>
      <c r="AH1343" s="15" t="str">
        <f t="shared" si="18"/>
        <v>electropolished pipes manufacturer in Lismore, electropolished pipes supplier in Lismore, electropolished pipes wholesaler in Lismore, electropolished tube manufacturer Lismore, EP pipe supplier Lismore, sanitary tube supplier Lismore, ASME BPE tubing Lismore, ASTM A270 tube Lismore, SS 316L electropolished pipe Lismore</v>
      </c>
      <c r="AI1343" s="15" t="str">
        <f t="shared" si="19"/>
        <v>Electropolished Pipes Manufacturer &amp; Supplier in Lismore</v>
      </c>
      <c r="AJ1343" s="15" t="str">
        <f t="shared" si="20"/>
        <v>EP-finished SS 304/316L pipes and tubes for VERIFY plants in Lismore. ASME BPE SF1-SF4, Ra from 0.25 um, EN 10204 3.1 certificate with every lot.</v>
      </c>
      <c r="AK1343" s="15" t="str">
        <f t="shared" si="21"/>
        <v>Electropolished stainless steel pipes supplied by Sakshi Forge to VERIFY plants at VERIFY, Lismore</v>
      </c>
      <c r="AL1343" s="15" t="str">
        <f t="shared" si="22"/>
        <v>Electropolished SS 316L tube stock for Lismore - Sakshi Forge</v>
      </c>
      <c r="AM1343" s="15" t="str">
        <f t="shared" si="23"/>
        <v>Home &gt; Market Area &gt; Australia &gt; VERIFY &gt; Lismore</v>
      </c>
      <c r="AN1343" s="15">
        <f t="shared" si="24"/>
        <v>750</v>
      </c>
      <c r="AO1343" s="15">
        <f t="shared" si="25"/>
        <v>6</v>
      </c>
      <c r="AP1343" s="15">
        <f t="shared" si="26"/>
        <v>6</v>
      </c>
      <c r="AQ1343" s="15">
        <f t="shared" si="27"/>
        <v>23</v>
      </c>
      <c r="AR1343" s="31"/>
      <c r="AS1343" s="31"/>
      <c r="AT1343" s="35" t="s">
        <v>222</v>
      </c>
      <c r="AU1343" s="35"/>
    </row>
    <row r="1344" ht="15.75" customHeight="1">
      <c r="A1344" s="15" t="s">
        <v>6797</v>
      </c>
      <c r="B1344" s="15" t="s">
        <v>403</v>
      </c>
      <c r="C1344" s="15" t="s">
        <v>98</v>
      </c>
      <c r="D1344" s="15" t="s">
        <v>6798</v>
      </c>
      <c r="E1344" s="15" t="s">
        <v>6798</v>
      </c>
      <c r="F1344" s="58" t="s">
        <v>807</v>
      </c>
      <c r="G1344" s="66" t="s">
        <v>98</v>
      </c>
      <c r="H1344" s="18" t="s">
        <v>98</v>
      </c>
      <c r="I1344" s="18" t="s">
        <v>98</v>
      </c>
      <c r="J1344" s="18" t="s">
        <v>98</v>
      </c>
      <c r="K1344" s="18" t="s">
        <v>98</v>
      </c>
      <c r="L1344" s="18" t="s">
        <v>98</v>
      </c>
      <c r="M1344" s="18" t="s">
        <v>604</v>
      </c>
      <c r="N1344" s="18" t="s">
        <v>421</v>
      </c>
      <c r="O1344" s="18" t="s">
        <v>98</v>
      </c>
      <c r="P1344" s="15" t="str">
        <f t="shared" si="1"/>
        <v>VERIFY</v>
      </c>
      <c r="Q1344" s="15">
        <f t="shared" si="2"/>
        <v>5</v>
      </c>
      <c r="R1344" s="15">
        <f t="shared" si="3"/>
        <v>4</v>
      </c>
      <c r="S1344" s="15">
        <f t="shared" si="4"/>
        <v>1</v>
      </c>
      <c r="T1344" s="15" t="str">
        <f t="shared" si="5"/>
        <v>C-3</v>
      </c>
      <c r="U1344" s="15" t="str">
        <f t="shared" si="6"/>
        <v>T5-M4-H1-FC-3-VERIFY</v>
      </c>
      <c r="V1344" s="15">
        <f t="shared" si="7"/>
        <v>0</v>
      </c>
      <c r="W1344" s="31"/>
      <c r="X1344" s="15" t="str">
        <f t="shared" si="8"/>
        <v>mackay-australia</v>
      </c>
      <c r="Y1344" s="32" t="str">
        <f t="shared" si="9"/>
        <v>https://steelmanufacturer.in/market-area/electropolished-pipes-manufacturer-in-mackay-australia/</v>
      </c>
      <c r="Z1344" s="15" t="str">
        <f t="shared" si="10"/>
        <v>Electropolished Pipes Manufacturer in Mackay</v>
      </c>
      <c r="AA1344" s="15" t="str">
        <f t="shared" si="11"/>
        <v>OK (44)</v>
      </c>
      <c r="AB1344" s="15" t="str">
        <f t="shared" si="12"/>
        <v>Sanitary electropolished pipes in Mackay for VERIFY plants. ASME BPE SF1-SF4, orbital-weld ready, 3.1 MTC. Mumbai-made.</v>
      </c>
      <c r="AC1344" s="15" t="str">
        <f t="shared" si="13"/>
        <v>PENDING RESEARCH</v>
      </c>
      <c r="AD1344" s="15" t="str">
        <f t="shared" si="14"/>
        <v>Electropolished Pipes Manufacturer in Mackay</v>
      </c>
      <c r="AE1344" s="15" t="str">
        <f t="shared" si="15"/>
        <v>Electropolished Pipe &amp; Tube Manufacturing for Mackay - Grades, Finishes &amp; Certification</v>
      </c>
      <c r="AF1344" s="15" t="str">
        <f t="shared" si="16"/>
        <v>Electropolished Pipes Supplier in Mackay - Stock Sizes, Lead Time &amp; Delivery</v>
      </c>
      <c r="AG1344" s="15" t="str">
        <f t="shared" si="17"/>
        <v>Electropolished Pipes Wholesaler &amp; Stockist in Mackay - Bulk &amp; Project Pricing</v>
      </c>
      <c r="AH1344" s="15" t="str">
        <f t="shared" si="18"/>
        <v>electropolished pipes manufacturer in Mackay, electropolished pipes supplier in Mackay, electropolished pipes wholesaler in Mackay, electropolished tube manufacturer Mackay, EP pipe supplier Mackay, sanitary tube supplier Mackay, ASME BPE tubing Mackay, ASTM A270 tube Mackay, SS 316L electropolished pipe Mackay</v>
      </c>
      <c r="AI1344" s="15" t="str">
        <f t="shared" si="19"/>
        <v>Electropolished Pipes Manufacturer &amp; Supplier in Mackay</v>
      </c>
      <c r="AJ1344" s="15" t="str">
        <f t="shared" si="20"/>
        <v>EP-finished SS 304/316L pipes and tubes for VERIFY plants in Mackay. ASME BPE SF1-SF4, Ra from 0.25 um, EN 10204 3.1 certificate with every lot.</v>
      </c>
      <c r="AK1344" s="15" t="str">
        <f t="shared" si="21"/>
        <v>Electropolished stainless steel pipes supplied by Sakshi Forge to VERIFY plants at VERIFY, Mackay</v>
      </c>
      <c r="AL1344" s="15" t="str">
        <f t="shared" si="22"/>
        <v>Electropolished SS 316L tube stock for Mackay - Sakshi Forge</v>
      </c>
      <c r="AM1344" s="15" t="str">
        <f t="shared" si="23"/>
        <v>Home &gt; Market Area &gt; Australia &gt; VERIFY &gt; Mackay</v>
      </c>
      <c r="AN1344" s="15">
        <f t="shared" si="24"/>
        <v>750</v>
      </c>
      <c r="AO1344" s="15">
        <f t="shared" si="25"/>
        <v>6</v>
      </c>
      <c r="AP1344" s="15">
        <f t="shared" si="26"/>
        <v>6</v>
      </c>
      <c r="AQ1344" s="15">
        <f t="shared" si="27"/>
        <v>23</v>
      </c>
      <c r="AR1344" s="31"/>
      <c r="AS1344" s="31"/>
      <c r="AT1344" s="35" t="s">
        <v>222</v>
      </c>
      <c r="AU1344" s="35"/>
    </row>
    <row r="1345" ht="15.75" customHeight="1">
      <c r="A1345" s="15" t="s">
        <v>6801</v>
      </c>
      <c r="B1345" s="15" t="s">
        <v>403</v>
      </c>
      <c r="C1345" s="15" t="s">
        <v>98</v>
      </c>
      <c r="D1345" s="15" t="s">
        <v>6805</v>
      </c>
      <c r="E1345" s="15" t="s">
        <v>6805</v>
      </c>
      <c r="F1345" s="58" t="s">
        <v>807</v>
      </c>
      <c r="G1345" s="66" t="s">
        <v>98</v>
      </c>
      <c r="H1345" s="18" t="s">
        <v>98</v>
      </c>
      <c r="I1345" s="18" t="s">
        <v>98</v>
      </c>
      <c r="J1345" s="18" t="s">
        <v>98</v>
      </c>
      <c r="K1345" s="18" t="s">
        <v>98</v>
      </c>
      <c r="L1345" s="18" t="s">
        <v>98</v>
      </c>
      <c r="M1345" s="18" t="s">
        <v>604</v>
      </c>
      <c r="N1345" s="18" t="s">
        <v>421</v>
      </c>
      <c r="O1345" s="18" t="s">
        <v>98</v>
      </c>
      <c r="P1345" s="15" t="str">
        <f t="shared" si="1"/>
        <v>VERIFY</v>
      </c>
      <c r="Q1345" s="15">
        <f t="shared" si="2"/>
        <v>6</v>
      </c>
      <c r="R1345" s="15">
        <f t="shared" si="3"/>
        <v>5</v>
      </c>
      <c r="S1345" s="15">
        <f t="shared" si="4"/>
        <v>2</v>
      </c>
      <c r="T1345" s="15" t="str">
        <f t="shared" si="5"/>
        <v>C-4</v>
      </c>
      <c r="U1345" s="15" t="str">
        <f t="shared" si="6"/>
        <v>T6-M5-H2-FC-4-VERIFY</v>
      </c>
      <c r="V1345" s="15">
        <f t="shared" si="7"/>
        <v>0</v>
      </c>
      <c r="W1345" s="31"/>
      <c r="X1345" s="15" t="str">
        <f t="shared" si="8"/>
        <v>mildura-australia</v>
      </c>
      <c r="Y1345" s="32" t="str">
        <f t="shared" si="9"/>
        <v>https://steelmanufacturer.in/market-area/electropolished-pipes-manufacturer-in-mildura-australia/</v>
      </c>
      <c r="Z1345" s="15" t="str">
        <f t="shared" si="10"/>
        <v>Electropolished Pipes Manufacturer in Mildura</v>
      </c>
      <c r="AA1345" s="15" t="str">
        <f t="shared" si="11"/>
        <v>OK (45)</v>
      </c>
      <c r="AB1345" s="15" t="str">
        <f t="shared" si="12"/>
        <v>Manufacturer of electropolished SS 316L tube serving Mildura. 18-24 days sea from Nhava Sheva to Melbourne. Ra 0.25-0.5 um, EN 10204 3.1 MTC.</v>
      </c>
      <c r="AC1345" s="15" t="str">
        <f t="shared" si="13"/>
        <v>PENDING RESEARCH</v>
      </c>
      <c r="AD1345" s="15" t="str">
        <f t="shared" si="14"/>
        <v>Electropolished Pipes Manufacturer in Mildura</v>
      </c>
      <c r="AE1345" s="15" t="str">
        <f t="shared" si="15"/>
        <v>How We Manufacture Electropolished Tube for Mildura Plants</v>
      </c>
      <c r="AF1345" s="15" t="str">
        <f t="shared" si="16"/>
        <v>Supplying Electropolished Pipes in Mildura: Availability, Sizes &amp; Dispatch</v>
      </c>
      <c r="AG1345" s="15" t="str">
        <f t="shared" si="17"/>
        <v>Wholesale Electropolished Pipe Supply for Mildura Projects</v>
      </c>
      <c r="AH1345" s="15" t="str">
        <f t="shared" si="18"/>
        <v>electropolished pipes manufacturer in Mildura, electropolished pipes supplier in Mildura, electropolished pipes wholesaler in Mildura, electropolished tube manufacturer Mildura, EP pipe supplier Mildura, sanitary tube supplier Mildura, ASME BPE tubing Mildura, ASTM A270 tube Mildura, SS 316L electropolished pipe Mildura</v>
      </c>
      <c r="AI1345" s="15" t="str">
        <f t="shared" si="19"/>
        <v>Electropolished Pipes Manufacturer &amp; Supplier in Mildura</v>
      </c>
      <c r="AJ1345" s="15" t="str">
        <f t="shared" si="20"/>
        <v>EP-finished SS 304/316L pipes and tubes for VERIFY plants in Mildura. ASME BPE SF1-SF4, Ra from 0.25 um, EN 10204 3.1 certificate with every lot.</v>
      </c>
      <c r="AK1345" s="15" t="str">
        <f t="shared" si="21"/>
        <v>Electropolished stainless steel pipes supplied by Sakshi Forge to VERIFY plants at VERIFY, Mildura</v>
      </c>
      <c r="AL1345" s="15" t="str">
        <f t="shared" si="22"/>
        <v>Electropolished SS 316L tube stock for Mildura - Sakshi Forge</v>
      </c>
      <c r="AM1345" s="15" t="str">
        <f t="shared" si="23"/>
        <v>Home &gt; Market Area &gt; Australia &gt; VERIFY &gt; Mildura</v>
      </c>
      <c r="AN1345" s="15">
        <f t="shared" si="24"/>
        <v>750</v>
      </c>
      <c r="AO1345" s="15">
        <f t="shared" si="25"/>
        <v>6</v>
      </c>
      <c r="AP1345" s="15">
        <f t="shared" si="26"/>
        <v>6</v>
      </c>
      <c r="AQ1345" s="15">
        <f t="shared" si="27"/>
        <v>23</v>
      </c>
      <c r="AR1345" s="31"/>
      <c r="AS1345" s="31"/>
      <c r="AT1345" s="35" t="s">
        <v>222</v>
      </c>
      <c r="AU1345" s="35"/>
    </row>
    <row r="1346" ht="15.75" customHeight="1">
      <c r="A1346" s="15" t="s">
        <v>6807</v>
      </c>
      <c r="B1346" s="15" t="s">
        <v>403</v>
      </c>
      <c r="C1346" s="15" t="s">
        <v>98</v>
      </c>
      <c r="D1346" s="15" t="s">
        <v>6808</v>
      </c>
      <c r="E1346" s="15" t="s">
        <v>6808</v>
      </c>
      <c r="F1346" s="58" t="s">
        <v>807</v>
      </c>
      <c r="G1346" s="66" t="s">
        <v>98</v>
      </c>
      <c r="H1346" s="18" t="s">
        <v>98</v>
      </c>
      <c r="I1346" s="18" t="s">
        <v>98</v>
      </c>
      <c r="J1346" s="18" t="s">
        <v>98</v>
      </c>
      <c r="K1346" s="18" t="s">
        <v>98</v>
      </c>
      <c r="L1346" s="18" t="s">
        <v>98</v>
      </c>
      <c r="M1346" s="18" t="s">
        <v>604</v>
      </c>
      <c r="N1346" s="18" t="s">
        <v>421</v>
      </c>
      <c r="O1346" s="18" t="s">
        <v>98</v>
      </c>
      <c r="P1346" s="15" t="str">
        <f t="shared" si="1"/>
        <v>VERIFY</v>
      </c>
      <c r="Q1346" s="15">
        <f t="shared" si="2"/>
        <v>7</v>
      </c>
      <c r="R1346" s="15">
        <f t="shared" si="3"/>
        <v>6</v>
      </c>
      <c r="S1346" s="15">
        <f t="shared" si="4"/>
        <v>3</v>
      </c>
      <c r="T1346" s="15" t="str">
        <f t="shared" si="5"/>
        <v>C-5</v>
      </c>
      <c r="U1346" s="15" t="str">
        <f t="shared" si="6"/>
        <v>T7-M6-H3-FC-5-VERIFY</v>
      </c>
      <c r="V1346" s="15">
        <f t="shared" si="7"/>
        <v>0</v>
      </c>
      <c r="W1346" s="31"/>
      <c r="X1346" s="15" t="str">
        <f t="shared" si="8"/>
        <v>mount-gambier-australia</v>
      </c>
      <c r="Y1346" s="32" t="str">
        <f t="shared" si="9"/>
        <v>https://steelmanufacturer.in/market-area/electropolished-pipes-manufacturer-in-mount-gambier-australia/</v>
      </c>
      <c r="Z1346" s="15" t="str">
        <f t="shared" si="10"/>
        <v>Electropolished Pipes Manufacturer in Mount Gambier</v>
      </c>
      <c r="AA1346" s="15" t="str">
        <f t="shared" si="11"/>
        <v>OK (51)</v>
      </c>
      <c r="AB1346" s="15" t="str">
        <f t="shared" si="12"/>
        <v>EP tube and pipe for VERIFY plants around VERIFY, Mount Gambier. Made at our Mumbai works to ASTM A270 and ASME BPE SF1-SF4, with 3.1 MTC.</v>
      </c>
      <c r="AC1346" s="15" t="str">
        <f t="shared" si="13"/>
        <v>PENDING RESEARCH</v>
      </c>
      <c r="AD1346" s="15" t="str">
        <f t="shared" si="14"/>
        <v>Electropolished Pipes Manufacturer in Mount Gambier</v>
      </c>
      <c r="AE1346" s="15" t="str">
        <f t="shared" si="15"/>
        <v>Electropolished Pipes Manufacturer in Mount Gambier - Our Process &amp; Capability</v>
      </c>
      <c r="AF1346" s="15" t="str">
        <f t="shared" si="16"/>
        <v>Electropolished Pipes Supplier in Mount Gambier - What We Hold in Stock</v>
      </c>
      <c r="AG1346" s="15" t="str">
        <f t="shared" si="17"/>
        <v>Bulk &amp; Wholesale Electropolished Pipe Rates for Mount Gambier Buyers</v>
      </c>
      <c r="AH1346" s="15" t="str">
        <f t="shared" si="18"/>
        <v>electropolished pipes manufacturer in Mount Gambier, electropolished pipes supplier in Mount Gambier, electropolished pipes wholesaler in Mount Gambier, electropolished tube manufacturer Mount Gambier, EP pipe supplier Mount Gambier, sanitary tube supplier Mount Gambier, ASME BPE tubing Mount Gambier, ASTM A270 tube Mount Gambier, SS 316L electropolished pipe Mount Gambier</v>
      </c>
      <c r="AI1346" s="15" t="str">
        <f t="shared" si="19"/>
        <v>Electropolished Pipes Manufacturer &amp; Supplier in Mount Gambier</v>
      </c>
      <c r="AJ1346" s="15" t="str">
        <f t="shared" si="20"/>
        <v>EP-finished SS 304/316L pipes and tubes for VERIFY plants in Mount Gambier. ASME BPE SF1-SF4, Ra from 0.25 um, EN 10204 3.1 certificate with every lot.</v>
      </c>
      <c r="AK1346" s="15" t="str">
        <f t="shared" si="21"/>
        <v>Electropolished stainless steel pipes supplied by Sakshi Forge to VERIFY plants at VERIFY, Mount Gambier</v>
      </c>
      <c r="AL1346" s="15" t="str">
        <f t="shared" si="22"/>
        <v>Electropolished SS 316L tube stock for Mount Gambier - Sakshi Forge</v>
      </c>
      <c r="AM1346" s="15" t="str">
        <f t="shared" si="23"/>
        <v>Home &gt; Market Area &gt; Australia &gt; VERIFY &gt; Mount Gambier</v>
      </c>
      <c r="AN1346" s="15">
        <f t="shared" si="24"/>
        <v>750</v>
      </c>
      <c r="AO1346" s="15">
        <f t="shared" si="25"/>
        <v>6</v>
      </c>
      <c r="AP1346" s="15">
        <f t="shared" si="26"/>
        <v>6</v>
      </c>
      <c r="AQ1346" s="15">
        <f t="shared" si="27"/>
        <v>23</v>
      </c>
      <c r="AR1346" s="31"/>
      <c r="AS1346" s="31"/>
      <c r="AT1346" s="35" t="s">
        <v>222</v>
      </c>
      <c r="AU1346" s="35"/>
    </row>
    <row r="1347" ht="15.75" customHeight="1">
      <c r="A1347" s="15" t="s">
        <v>6809</v>
      </c>
      <c r="B1347" s="15" t="s">
        <v>403</v>
      </c>
      <c r="C1347" s="15" t="s">
        <v>98</v>
      </c>
      <c r="D1347" s="15" t="s">
        <v>6810</v>
      </c>
      <c r="E1347" s="15" t="s">
        <v>6810</v>
      </c>
      <c r="F1347" s="58" t="s">
        <v>807</v>
      </c>
      <c r="G1347" s="66" t="s">
        <v>98</v>
      </c>
      <c r="H1347" s="18" t="s">
        <v>98</v>
      </c>
      <c r="I1347" s="18" t="s">
        <v>98</v>
      </c>
      <c r="J1347" s="18" t="s">
        <v>98</v>
      </c>
      <c r="K1347" s="18" t="s">
        <v>98</v>
      </c>
      <c r="L1347" s="18" t="s">
        <v>98</v>
      </c>
      <c r="M1347" s="18" t="s">
        <v>604</v>
      </c>
      <c r="N1347" s="18" t="s">
        <v>421</v>
      </c>
      <c r="O1347" s="18" t="s">
        <v>98</v>
      </c>
      <c r="P1347" s="15" t="str">
        <f t="shared" si="1"/>
        <v>VERIFY</v>
      </c>
      <c r="Q1347" s="15">
        <f t="shared" si="2"/>
        <v>8</v>
      </c>
      <c r="R1347" s="15">
        <f t="shared" si="3"/>
        <v>7</v>
      </c>
      <c r="S1347" s="15">
        <f t="shared" si="4"/>
        <v>4</v>
      </c>
      <c r="T1347" s="15" t="str">
        <f t="shared" si="5"/>
        <v>C-6</v>
      </c>
      <c r="U1347" s="15" t="str">
        <f t="shared" si="6"/>
        <v>T8-M7-H4-FC-6-VERIFY</v>
      </c>
      <c r="V1347" s="15">
        <f t="shared" si="7"/>
        <v>0</v>
      </c>
      <c r="W1347" s="31"/>
      <c r="X1347" s="15" t="str">
        <f t="shared" si="8"/>
        <v>mount-isa-australia</v>
      </c>
      <c r="Y1347" s="32" t="str">
        <f t="shared" si="9"/>
        <v>https://steelmanufacturer.in/market-area/electropolished-pipes-manufacturer-in-mount-isa-australia/</v>
      </c>
      <c r="Z1347" s="15" t="str">
        <f t="shared" si="10"/>
        <v>Electropolished Pipes Manufacturer in Mount Isa</v>
      </c>
      <c r="AA1347" s="15" t="str">
        <f t="shared" si="11"/>
        <v>OK (47)</v>
      </c>
      <c r="AB1347" s="15" t="str">
        <f t="shared" si="12"/>
        <v>Electropolished pipes in Mount Isa: 304, 304L, 316 and 316L in SF1-SF4. 18-24 days sea from Nhava Sheva to Melbourne. Mill certified.</v>
      </c>
      <c r="AC1347" s="15" t="str">
        <f t="shared" si="13"/>
        <v>PENDING RESEARCH</v>
      </c>
      <c r="AD1347" s="15" t="str">
        <f t="shared" si="14"/>
        <v>Electropolished Pipes Manufacturer in Mount Isa</v>
      </c>
      <c r="AE1347" s="15" t="str">
        <f t="shared" si="15"/>
        <v>Manufacturing Electropolished SS Tube for Mount Isa: The Standards We Build To</v>
      </c>
      <c r="AF1347" s="15" t="str">
        <f t="shared" si="16"/>
        <v>Electropolished Pipe Supply Into Mount Isa - Certification &amp; Transit</v>
      </c>
      <c r="AG1347" s="15" t="str">
        <f t="shared" si="17"/>
        <v>Electropolished Pipes Wholesaler in Mount Isa - Project Quantities &amp; Terms</v>
      </c>
      <c r="AH1347" s="15" t="str">
        <f t="shared" si="18"/>
        <v>electropolished pipes manufacturer in Mount Isa, electropolished pipes supplier in Mount Isa, electropolished pipes wholesaler in Mount Isa, electropolished tube manufacturer Mount Isa, EP pipe supplier Mount Isa, sanitary tube supplier Mount Isa, ASME BPE tubing Mount Isa, ASTM A270 tube Mount Isa, SS 316L electropolished pipe Mount Isa</v>
      </c>
      <c r="AI1347" s="15" t="str">
        <f t="shared" si="19"/>
        <v>Electropolished Pipes Manufacturer &amp; Supplier in Mount Isa</v>
      </c>
      <c r="AJ1347" s="15" t="str">
        <f t="shared" si="20"/>
        <v>EP-finished SS 304/316L pipes and tubes for VERIFY plants in Mount Isa. ASME BPE SF1-SF4, Ra from 0.25 um, EN 10204 3.1 certificate with every lot.</v>
      </c>
      <c r="AK1347" s="15" t="str">
        <f t="shared" si="21"/>
        <v>Electropolished stainless steel pipes supplied by Sakshi Forge to VERIFY plants at VERIFY, Mount Isa</v>
      </c>
      <c r="AL1347" s="15" t="str">
        <f t="shared" si="22"/>
        <v>Electropolished SS 316L tube stock for Mount Isa - Sakshi Forge</v>
      </c>
      <c r="AM1347" s="15" t="str">
        <f t="shared" si="23"/>
        <v>Home &gt; Market Area &gt; Australia &gt; VERIFY &gt; Mount Isa</v>
      </c>
      <c r="AN1347" s="15">
        <f t="shared" si="24"/>
        <v>750</v>
      </c>
      <c r="AO1347" s="15">
        <f t="shared" si="25"/>
        <v>6</v>
      </c>
      <c r="AP1347" s="15">
        <f t="shared" si="26"/>
        <v>6</v>
      </c>
      <c r="AQ1347" s="15">
        <f t="shared" si="27"/>
        <v>23</v>
      </c>
      <c r="AR1347" s="31"/>
      <c r="AS1347" s="31"/>
      <c r="AT1347" s="35" t="s">
        <v>222</v>
      </c>
      <c r="AU1347" s="35"/>
    </row>
    <row r="1348" ht="15.75" customHeight="1">
      <c r="A1348" s="15" t="s">
        <v>6811</v>
      </c>
      <c r="B1348" s="15" t="s">
        <v>403</v>
      </c>
      <c r="C1348" s="15" t="s">
        <v>98</v>
      </c>
      <c r="D1348" s="15" t="s">
        <v>6812</v>
      </c>
      <c r="E1348" s="15" t="s">
        <v>6812</v>
      </c>
      <c r="F1348" s="58" t="s">
        <v>807</v>
      </c>
      <c r="G1348" s="66" t="s">
        <v>98</v>
      </c>
      <c r="H1348" s="18" t="s">
        <v>98</v>
      </c>
      <c r="I1348" s="18" t="s">
        <v>98</v>
      </c>
      <c r="J1348" s="18" t="s">
        <v>98</v>
      </c>
      <c r="K1348" s="18" t="s">
        <v>98</v>
      </c>
      <c r="L1348" s="18" t="s">
        <v>98</v>
      </c>
      <c r="M1348" s="18" t="s">
        <v>604</v>
      </c>
      <c r="N1348" s="18" t="s">
        <v>421</v>
      </c>
      <c r="O1348" s="18" t="s">
        <v>98</v>
      </c>
      <c r="P1348" s="15" t="str">
        <f t="shared" si="1"/>
        <v>VERIFY</v>
      </c>
      <c r="Q1348" s="15">
        <f t="shared" si="2"/>
        <v>1</v>
      </c>
      <c r="R1348" s="15">
        <f t="shared" si="3"/>
        <v>1</v>
      </c>
      <c r="S1348" s="15">
        <f t="shared" si="4"/>
        <v>5</v>
      </c>
      <c r="T1348" s="15" t="str">
        <f t="shared" si="5"/>
        <v>C-1</v>
      </c>
      <c r="U1348" s="15" t="str">
        <f t="shared" si="6"/>
        <v>T1-M1-H5-FC-1-VERIFY</v>
      </c>
      <c r="V1348" s="15">
        <f t="shared" si="7"/>
        <v>0</v>
      </c>
      <c r="W1348" s="31"/>
      <c r="X1348" s="15" t="str">
        <f t="shared" si="8"/>
        <v>nowra-australia</v>
      </c>
      <c r="Y1348" s="32" t="str">
        <f t="shared" si="9"/>
        <v>https://steelmanufacturer.in/market-area/electropolished-pipes-manufacturer-in-nowra-australia/</v>
      </c>
      <c r="Z1348" s="15" t="str">
        <f t="shared" si="10"/>
        <v>Electropolished Pipes Manufacturer in Nowra | Sakshi Forge</v>
      </c>
      <c r="AA1348" s="15" t="str">
        <f t="shared" si="11"/>
        <v>OK (58)</v>
      </c>
      <c r="AB1348" s="15" t="str">
        <f t="shared" si="12"/>
        <v>EP-finished SS 304/316L pipes &amp; tubes for VERIFY plants in Nowra. ASTM A270, ASME BPE SF1-SF4, EN 10204 3.1 MTC. PMI tested.</v>
      </c>
      <c r="AC1348" s="15" t="str">
        <f t="shared" si="13"/>
        <v>PENDING RESEARCH</v>
      </c>
      <c r="AD1348" s="15" t="str">
        <f t="shared" si="14"/>
        <v>Electropolished Pipes Manufacturer in Nowra</v>
      </c>
      <c r="AE1348" s="15" t="str">
        <f t="shared" si="15"/>
        <v>Electropolished Tube Manufacturing Capability Serving Nowra</v>
      </c>
      <c r="AF1348" s="15" t="str">
        <f t="shared" si="16"/>
        <v>Electropolished Pipes Supplier in Nowra - From Order to Delivery</v>
      </c>
      <c r="AG1348" s="15" t="str">
        <f t="shared" si="17"/>
        <v>Stockist &amp; Wholesale Supply of Electropolished Pipes in Nowra</v>
      </c>
      <c r="AH1348" s="15" t="str">
        <f t="shared" si="18"/>
        <v>electropolished pipes manufacturer in Nowra, electropolished pipes supplier in Nowra, electropolished pipes wholesaler in Nowra, electropolished tube manufacturer Nowra, EP pipe supplier Nowra, sanitary tube supplier Nowra, ASME BPE tubing Nowra, ASTM A270 tube Nowra, SS 316L electropolished pipe Nowra</v>
      </c>
      <c r="AI1348" s="15" t="str">
        <f t="shared" si="19"/>
        <v>Electropolished Pipes Manufacturer &amp; Supplier in Nowra</v>
      </c>
      <c r="AJ1348" s="15" t="str">
        <f t="shared" si="20"/>
        <v>EP-finished SS 304/316L pipes and tubes for VERIFY plants in Nowra. ASME BPE SF1-SF4, Ra from 0.25 um, EN 10204 3.1 certificate with every lot.</v>
      </c>
      <c r="AK1348" s="15" t="str">
        <f t="shared" si="21"/>
        <v>Electropolished stainless steel pipes supplied by Sakshi Forge to VERIFY plants at VERIFY, Nowra</v>
      </c>
      <c r="AL1348" s="15" t="str">
        <f t="shared" si="22"/>
        <v>Electropolished SS 316L tube stock for Nowra - Sakshi Forge</v>
      </c>
      <c r="AM1348" s="15" t="str">
        <f t="shared" si="23"/>
        <v>Home &gt; Market Area &gt; Australia &gt; VERIFY &gt; Nowra</v>
      </c>
      <c r="AN1348" s="15">
        <f t="shared" si="24"/>
        <v>750</v>
      </c>
      <c r="AO1348" s="15">
        <f t="shared" si="25"/>
        <v>6</v>
      </c>
      <c r="AP1348" s="15">
        <f t="shared" si="26"/>
        <v>6</v>
      </c>
      <c r="AQ1348" s="15">
        <f t="shared" si="27"/>
        <v>23</v>
      </c>
      <c r="AR1348" s="31"/>
      <c r="AS1348" s="31"/>
      <c r="AT1348" s="35" t="s">
        <v>222</v>
      </c>
      <c r="AU1348" s="35"/>
    </row>
    <row r="1349" ht="15.75" customHeight="1">
      <c r="A1349" s="15" t="s">
        <v>6813</v>
      </c>
      <c r="B1349" s="15" t="s">
        <v>403</v>
      </c>
      <c r="C1349" s="15" t="s">
        <v>98</v>
      </c>
      <c r="D1349" s="15" t="s">
        <v>6814</v>
      </c>
      <c r="E1349" s="15" t="s">
        <v>6814</v>
      </c>
      <c r="F1349" s="58" t="s">
        <v>807</v>
      </c>
      <c r="G1349" s="66" t="s">
        <v>98</v>
      </c>
      <c r="H1349" s="18" t="s">
        <v>98</v>
      </c>
      <c r="I1349" s="18" t="s">
        <v>98</v>
      </c>
      <c r="J1349" s="18" t="s">
        <v>98</v>
      </c>
      <c r="K1349" s="18" t="s">
        <v>98</v>
      </c>
      <c r="L1349" s="18" t="s">
        <v>98</v>
      </c>
      <c r="M1349" s="18" t="s">
        <v>604</v>
      </c>
      <c r="N1349" s="18" t="s">
        <v>421</v>
      </c>
      <c r="O1349" s="18" t="s">
        <v>98</v>
      </c>
      <c r="P1349" s="15" t="str">
        <f t="shared" si="1"/>
        <v>VERIFY</v>
      </c>
      <c r="Q1349" s="15">
        <f t="shared" si="2"/>
        <v>2</v>
      </c>
      <c r="R1349" s="15">
        <f t="shared" si="3"/>
        <v>2</v>
      </c>
      <c r="S1349" s="15">
        <f t="shared" si="4"/>
        <v>1</v>
      </c>
      <c r="T1349" s="15" t="str">
        <f t="shared" si="5"/>
        <v>C-2</v>
      </c>
      <c r="U1349" s="15" t="str">
        <f t="shared" si="6"/>
        <v>T2-M2-H1-FC-2-VERIFY</v>
      </c>
      <c r="V1349" s="15">
        <f t="shared" si="7"/>
        <v>0</v>
      </c>
      <c r="W1349" s="31"/>
      <c r="X1349" s="15" t="str">
        <f t="shared" si="8"/>
        <v>orange-australia</v>
      </c>
      <c r="Y1349" s="32" t="str">
        <f t="shared" si="9"/>
        <v>https://steelmanufacturer.in/market-area/electropolished-pipes-manufacturer-in-orange-australia/</v>
      </c>
      <c r="Z1349" s="15" t="str">
        <f t="shared" si="10"/>
        <v>Electropolished Pipes Manufacturer in Orange</v>
      </c>
      <c r="AA1349" s="15" t="str">
        <f t="shared" si="11"/>
        <v>OK (44)</v>
      </c>
      <c r="AB1349" s="15" t="str">
        <f t="shared" si="12"/>
        <v>Electropolished tube supply to VERIFY, Orange. Ra from 0.25 um, SF4 finish, mill test certificate with every lot.</v>
      </c>
      <c r="AC1349" s="15" t="str">
        <f t="shared" si="13"/>
        <v>PENDING RESEARCH</v>
      </c>
      <c r="AD1349" s="15" t="str">
        <f t="shared" si="14"/>
        <v>Electropolished Pipes Manufacturer in Orange</v>
      </c>
      <c r="AE1349" s="15" t="str">
        <f t="shared" si="15"/>
        <v>Electropolished Pipe &amp; Tube Manufacturing for Orange - Grades, Finishes &amp; Certification</v>
      </c>
      <c r="AF1349" s="15" t="str">
        <f t="shared" si="16"/>
        <v>Electropolished Pipes Supplier in Orange - Stock Sizes, Lead Time &amp; Delivery</v>
      </c>
      <c r="AG1349" s="15" t="str">
        <f t="shared" si="17"/>
        <v>Electropolished Pipes Wholesaler &amp; Stockist in Orange - Bulk &amp; Project Pricing</v>
      </c>
      <c r="AH1349" s="15" t="str">
        <f t="shared" si="18"/>
        <v>electropolished pipes manufacturer in Orange, electropolished pipes supplier in Orange, electropolished pipes wholesaler in Orange, electropolished tube manufacturer Orange, EP pipe supplier Orange, sanitary tube supplier Orange, ASME BPE tubing Orange, ASTM A270 tube Orange, SS 316L electropolished pipe Orange</v>
      </c>
      <c r="AI1349" s="15" t="str">
        <f t="shared" si="19"/>
        <v>Electropolished Pipes Manufacturer &amp; Supplier in Orange</v>
      </c>
      <c r="AJ1349" s="15" t="str">
        <f t="shared" si="20"/>
        <v>EP-finished SS 304/316L pipes and tubes for VERIFY plants in Orange. ASME BPE SF1-SF4, Ra from 0.25 um, EN 10204 3.1 certificate with every lot.</v>
      </c>
      <c r="AK1349" s="15" t="str">
        <f t="shared" si="21"/>
        <v>Electropolished stainless steel pipes supplied by Sakshi Forge to VERIFY plants at VERIFY, Orange</v>
      </c>
      <c r="AL1349" s="15" t="str">
        <f t="shared" si="22"/>
        <v>Electropolished SS 316L tube stock for Orange - Sakshi Forge</v>
      </c>
      <c r="AM1349" s="15" t="str">
        <f t="shared" si="23"/>
        <v>Home &gt; Market Area &gt; Australia &gt; VERIFY &gt; Orange</v>
      </c>
      <c r="AN1349" s="15">
        <f t="shared" si="24"/>
        <v>750</v>
      </c>
      <c r="AO1349" s="15">
        <f t="shared" si="25"/>
        <v>6</v>
      </c>
      <c r="AP1349" s="15">
        <f t="shared" si="26"/>
        <v>6</v>
      </c>
      <c r="AQ1349" s="15">
        <f t="shared" si="27"/>
        <v>23</v>
      </c>
      <c r="AR1349" s="31"/>
      <c r="AS1349" s="31"/>
      <c r="AT1349" s="35" t="s">
        <v>222</v>
      </c>
      <c r="AU1349" s="35"/>
    </row>
    <row r="1350" ht="15.75" customHeight="1">
      <c r="A1350" s="15" t="s">
        <v>6815</v>
      </c>
      <c r="B1350" s="15" t="s">
        <v>403</v>
      </c>
      <c r="C1350" s="15" t="s">
        <v>98</v>
      </c>
      <c r="D1350" s="15" t="s">
        <v>6816</v>
      </c>
      <c r="E1350" s="15" t="s">
        <v>6816</v>
      </c>
      <c r="F1350" s="58" t="s">
        <v>807</v>
      </c>
      <c r="G1350" s="66" t="s">
        <v>98</v>
      </c>
      <c r="H1350" s="18" t="s">
        <v>98</v>
      </c>
      <c r="I1350" s="18" t="s">
        <v>98</v>
      </c>
      <c r="J1350" s="18" t="s">
        <v>98</v>
      </c>
      <c r="K1350" s="18" t="s">
        <v>98</v>
      </c>
      <c r="L1350" s="18" t="s">
        <v>98</v>
      </c>
      <c r="M1350" s="18" t="s">
        <v>604</v>
      </c>
      <c r="N1350" s="18" t="s">
        <v>421</v>
      </c>
      <c r="O1350" s="18" t="s">
        <v>98</v>
      </c>
      <c r="P1350" s="15" t="str">
        <f t="shared" si="1"/>
        <v>VERIFY</v>
      </c>
      <c r="Q1350" s="15">
        <f t="shared" si="2"/>
        <v>3</v>
      </c>
      <c r="R1350" s="15">
        <f t="shared" si="3"/>
        <v>3</v>
      </c>
      <c r="S1350" s="15">
        <f t="shared" si="4"/>
        <v>2</v>
      </c>
      <c r="T1350" s="15" t="str">
        <f t="shared" si="5"/>
        <v>C-3</v>
      </c>
      <c r="U1350" s="15" t="str">
        <f t="shared" si="6"/>
        <v>T3-M3-H2-FC-3-VERIFY</v>
      </c>
      <c r="V1350" s="15">
        <f t="shared" si="7"/>
        <v>0</v>
      </c>
      <c r="W1350" s="31"/>
      <c r="X1350" s="15" t="str">
        <f t="shared" si="8"/>
        <v>port-augusta-australia</v>
      </c>
      <c r="Y1350" s="32" t="str">
        <f t="shared" si="9"/>
        <v>https://steelmanufacturer.in/market-area/electropolished-pipes-manufacturer-in-port-augusta-australia/</v>
      </c>
      <c r="Z1350" s="15" t="str">
        <f t="shared" si="10"/>
        <v>Electropolished Pipes Manufacturer in Port Augusta</v>
      </c>
      <c r="AA1350" s="15" t="str">
        <f t="shared" si="11"/>
        <v>OK (50)</v>
      </c>
      <c r="AB1350" s="15" t="str">
        <f t="shared" si="12"/>
        <v>EP stainless tube for VERIFY lines in Port Augusta. 18-24 days sea from Nhava Sheva to Melbourne. ASTM A270 S2, PMI tested, EN 10204 3.1.</v>
      </c>
      <c r="AC1350" s="15" t="str">
        <f t="shared" si="13"/>
        <v>PENDING RESEARCH</v>
      </c>
      <c r="AD1350" s="15" t="str">
        <f t="shared" si="14"/>
        <v>Electropolished Pipes Manufacturer in Port Augusta</v>
      </c>
      <c r="AE1350" s="15" t="str">
        <f t="shared" si="15"/>
        <v>How We Manufacture Electropolished Tube for Port Augusta Plants</v>
      </c>
      <c r="AF1350" s="15" t="str">
        <f t="shared" si="16"/>
        <v>Supplying Electropolished Pipes in Port Augusta: Availability, Sizes &amp; Dispatch</v>
      </c>
      <c r="AG1350" s="15" t="str">
        <f t="shared" si="17"/>
        <v>Wholesale Electropolished Pipe Supply for Port Augusta Projects</v>
      </c>
      <c r="AH1350" s="15" t="str">
        <f t="shared" si="18"/>
        <v>electropolished pipes manufacturer in Port Augusta, electropolished pipes supplier in Port Augusta, electropolished pipes wholesaler in Port Augusta, electropolished tube manufacturer Port Augusta, EP pipe supplier Port Augusta, sanitary tube supplier Port Augusta, ASME BPE tubing Port Augusta, ASTM A270 tube Port Augusta, SS 316L electropolished pipe Port Augusta</v>
      </c>
      <c r="AI1350" s="15" t="str">
        <f t="shared" si="19"/>
        <v>Electropolished Pipes Manufacturer &amp; Supplier in Port Augusta</v>
      </c>
      <c r="AJ1350" s="15" t="str">
        <f t="shared" si="20"/>
        <v>EP-finished SS 304/316L pipes and tubes for VERIFY plants in Port Augusta. ASME BPE SF1-SF4, Ra from 0.25 um, EN 10204 3.1 certificate with every lot.</v>
      </c>
      <c r="AK1350" s="15" t="str">
        <f t="shared" si="21"/>
        <v>Electropolished stainless steel pipes supplied by Sakshi Forge to VERIFY plants at VERIFY, Port Augusta</v>
      </c>
      <c r="AL1350" s="15" t="str">
        <f t="shared" si="22"/>
        <v>Electropolished SS 316L tube stock for Port Augusta - Sakshi Forge</v>
      </c>
      <c r="AM1350" s="15" t="str">
        <f t="shared" si="23"/>
        <v>Home &gt; Market Area &gt; Australia &gt; VERIFY &gt; Port Augusta</v>
      </c>
      <c r="AN1350" s="15">
        <f t="shared" si="24"/>
        <v>750</v>
      </c>
      <c r="AO1350" s="15">
        <f t="shared" si="25"/>
        <v>6</v>
      </c>
      <c r="AP1350" s="15">
        <f t="shared" si="26"/>
        <v>6</v>
      </c>
      <c r="AQ1350" s="15">
        <f t="shared" si="27"/>
        <v>23</v>
      </c>
      <c r="AR1350" s="31"/>
      <c r="AS1350" s="31"/>
      <c r="AT1350" s="35" t="s">
        <v>222</v>
      </c>
      <c r="AU1350" s="35"/>
    </row>
    <row r="1351" ht="15.75" customHeight="1">
      <c r="A1351" s="15" t="s">
        <v>6817</v>
      </c>
      <c r="B1351" s="15" t="s">
        <v>403</v>
      </c>
      <c r="C1351" s="15" t="s">
        <v>98</v>
      </c>
      <c r="D1351" s="15" t="s">
        <v>6819</v>
      </c>
      <c r="E1351" s="15" t="s">
        <v>6819</v>
      </c>
      <c r="F1351" s="58" t="s">
        <v>807</v>
      </c>
      <c r="G1351" s="66" t="s">
        <v>98</v>
      </c>
      <c r="H1351" s="18" t="s">
        <v>98</v>
      </c>
      <c r="I1351" s="18" t="s">
        <v>98</v>
      </c>
      <c r="J1351" s="18" t="s">
        <v>98</v>
      </c>
      <c r="K1351" s="18" t="s">
        <v>98</v>
      </c>
      <c r="L1351" s="18" t="s">
        <v>98</v>
      </c>
      <c r="M1351" s="18" t="s">
        <v>604</v>
      </c>
      <c r="N1351" s="18" t="s">
        <v>421</v>
      </c>
      <c r="O1351" s="18" t="s">
        <v>98</v>
      </c>
      <c r="P1351" s="15" t="str">
        <f t="shared" si="1"/>
        <v>VERIFY</v>
      </c>
      <c r="Q1351" s="15">
        <f t="shared" si="2"/>
        <v>4</v>
      </c>
      <c r="R1351" s="15">
        <f t="shared" si="3"/>
        <v>4</v>
      </c>
      <c r="S1351" s="15">
        <f t="shared" si="4"/>
        <v>3</v>
      </c>
      <c r="T1351" s="15" t="str">
        <f t="shared" si="5"/>
        <v>C-4</v>
      </c>
      <c r="U1351" s="15" t="str">
        <f t="shared" si="6"/>
        <v>T4-M4-H3-FC-4-VERIFY</v>
      </c>
      <c r="V1351" s="15">
        <f t="shared" si="7"/>
        <v>0</v>
      </c>
      <c r="W1351" s="31"/>
      <c r="X1351" s="15" t="str">
        <f t="shared" si="8"/>
        <v>port-hedland-australia</v>
      </c>
      <c r="Y1351" s="32" t="str">
        <f t="shared" si="9"/>
        <v>https://steelmanufacturer.in/market-area/electropolished-pipes-manufacturer-in-port-hedland-australia/</v>
      </c>
      <c r="Z1351" s="15" t="str">
        <f t="shared" si="10"/>
        <v>Electropolished Pipes Manufacturer in Port Hedland</v>
      </c>
      <c r="AA1351" s="15" t="str">
        <f t="shared" si="11"/>
        <v>OK (50)</v>
      </c>
      <c r="AB1351" s="15" t="str">
        <f t="shared" si="12"/>
        <v>Sanitary electropolished pipes in Port Hedland for VERIFY plants. ASME BPE SF1-SF4, orbital-weld ready, 3.1 MTC. Mumbai-made.</v>
      </c>
      <c r="AC1351" s="15" t="str">
        <f t="shared" si="13"/>
        <v>PENDING RESEARCH</v>
      </c>
      <c r="AD1351" s="15" t="str">
        <f t="shared" si="14"/>
        <v>Electropolished Pipes Manufacturer in Port Hedland</v>
      </c>
      <c r="AE1351" s="15" t="str">
        <f t="shared" si="15"/>
        <v>Electropolished Pipes Manufacturer in Port Hedland - Our Process &amp; Capability</v>
      </c>
      <c r="AF1351" s="15" t="str">
        <f t="shared" si="16"/>
        <v>Electropolished Pipes Supplier in Port Hedland - What We Hold in Stock</v>
      </c>
      <c r="AG1351" s="15" t="str">
        <f t="shared" si="17"/>
        <v>Bulk &amp; Wholesale Electropolished Pipe Rates for Port Hedland Buyers</v>
      </c>
      <c r="AH1351" s="15" t="str">
        <f t="shared" si="18"/>
        <v>electropolished pipes manufacturer in Port Hedland, electropolished pipes supplier in Port Hedland, electropolished pipes wholesaler in Port Hedland, electropolished tube manufacturer Port Hedland, EP pipe supplier Port Hedland, sanitary tube supplier Port Hedland, ASME BPE tubing Port Hedland, ASTM A270 tube Port Hedland, SS 316L electropolished pipe Port Hedland</v>
      </c>
      <c r="AI1351" s="15" t="str">
        <f t="shared" si="19"/>
        <v>Electropolished Pipes Manufacturer &amp; Supplier in Port Hedland</v>
      </c>
      <c r="AJ1351" s="15" t="str">
        <f t="shared" si="20"/>
        <v>EP-finished SS 304/316L pipes and tubes for VERIFY plants in Port Hedland. ASME BPE SF1-SF4, Ra from 0.25 um, EN 10204 3.1 certificate with every lot.</v>
      </c>
      <c r="AK1351" s="15" t="str">
        <f t="shared" si="21"/>
        <v>Electropolished stainless steel pipes supplied by Sakshi Forge to VERIFY plants at VERIFY, Port Hedland</v>
      </c>
      <c r="AL1351" s="15" t="str">
        <f t="shared" si="22"/>
        <v>Electropolished SS 316L tube stock for Port Hedland - Sakshi Forge</v>
      </c>
      <c r="AM1351" s="15" t="str">
        <f t="shared" si="23"/>
        <v>Home &gt; Market Area &gt; Australia &gt; VERIFY &gt; Port Hedland</v>
      </c>
      <c r="AN1351" s="15">
        <f t="shared" si="24"/>
        <v>750</v>
      </c>
      <c r="AO1351" s="15">
        <f t="shared" si="25"/>
        <v>6</v>
      </c>
      <c r="AP1351" s="15">
        <f t="shared" si="26"/>
        <v>6</v>
      </c>
      <c r="AQ1351" s="15">
        <f t="shared" si="27"/>
        <v>23</v>
      </c>
      <c r="AR1351" s="31"/>
      <c r="AS1351" s="31"/>
      <c r="AT1351" s="35" t="s">
        <v>222</v>
      </c>
      <c r="AU1351" s="35"/>
    </row>
    <row r="1352" ht="15.75" customHeight="1">
      <c r="A1352" s="15" t="s">
        <v>6823</v>
      </c>
      <c r="B1352" s="15" t="s">
        <v>403</v>
      </c>
      <c r="C1352" s="15" t="s">
        <v>98</v>
      </c>
      <c r="D1352" s="15" t="s">
        <v>6824</v>
      </c>
      <c r="E1352" s="15" t="s">
        <v>6824</v>
      </c>
      <c r="F1352" s="58" t="s">
        <v>807</v>
      </c>
      <c r="G1352" s="66" t="s">
        <v>98</v>
      </c>
      <c r="H1352" s="18" t="s">
        <v>98</v>
      </c>
      <c r="I1352" s="18" t="s">
        <v>98</v>
      </c>
      <c r="J1352" s="18" t="s">
        <v>98</v>
      </c>
      <c r="K1352" s="18" t="s">
        <v>98</v>
      </c>
      <c r="L1352" s="18" t="s">
        <v>98</v>
      </c>
      <c r="M1352" s="18" t="s">
        <v>604</v>
      </c>
      <c r="N1352" s="18" t="s">
        <v>421</v>
      </c>
      <c r="O1352" s="18" t="s">
        <v>98</v>
      </c>
      <c r="P1352" s="15" t="str">
        <f t="shared" si="1"/>
        <v>VERIFY</v>
      </c>
      <c r="Q1352" s="15">
        <f t="shared" si="2"/>
        <v>5</v>
      </c>
      <c r="R1352" s="15">
        <f t="shared" si="3"/>
        <v>5</v>
      </c>
      <c r="S1352" s="15">
        <f t="shared" si="4"/>
        <v>4</v>
      </c>
      <c r="T1352" s="15" t="str">
        <f t="shared" si="5"/>
        <v>C-5</v>
      </c>
      <c r="U1352" s="15" t="str">
        <f t="shared" si="6"/>
        <v>T5-M5-H4-FC-5-VERIFY</v>
      </c>
      <c r="V1352" s="15">
        <f t="shared" si="7"/>
        <v>0</v>
      </c>
      <c r="W1352" s="31"/>
      <c r="X1352" s="15" t="str">
        <f t="shared" si="8"/>
        <v>port-lincoln-australia</v>
      </c>
      <c r="Y1352" s="32" t="str">
        <f t="shared" si="9"/>
        <v>https://steelmanufacturer.in/market-area/electropolished-pipes-manufacturer-in-port-lincoln-australia/</v>
      </c>
      <c r="Z1352" s="15" t="str">
        <f t="shared" si="10"/>
        <v>Electropolished Pipes Manufacturer in Port Lincoln</v>
      </c>
      <c r="AA1352" s="15" t="str">
        <f t="shared" si="11"/>
        <v>OK (50)</v>
      </c>
      <c r="AB1352" s="15" t="str">
        <f t="shared" si="12"/>
        <v>Manufacturer of electropolished SS 316L tube serving Port Lincoln. 18-24 days sea from Nhava Sheva to Melbourne. Ra 0.25-0.5 um, EN 10204 3.1 MTC.</v>
      </c>
      <c r="AC1352" s="15" t="str">
        <f t="shared" si="13"/>
        <v>PENDING RESEARCH</v>
      </c>
      <c r="AD1352" s="15" t="str">
        <f t="shared" si="14"/>
        <v>Electropolished Pipes Manufacturer in Port Lincoln</v>
      </c>
      <c r="AE1352" s="15" t="str">
        <f t="shared" si="15"/>
        <v>Manufacturing Electropolished SS Tube for Port Lincoln: The Standards We Build To</v>
      </c>
      <c r="AF1352" s="15" t="str">
        <f t="shared" si="16"/>
        <v>Electropolished Pipe Supply Into Port Lincoln - Certification &amp; Transit</v>
      </c>
      <c r="AG1352" s="15" t="str">
        <f t="shared" si="17"/>
        <v>Electropolished Pipes Wholesaler in Port Lincoln - Project Quantities &amp; Terms</v>
      </c>
      <c r="AH1352" s="15" t="str">
        <f t="shared" si="18"/>
        <v>electropolished pipes manufacturer in Port Lincoln, electropolished pipes supplier in Port Lincoln, electropolished pipes wholesaler in Port Lincoln, electropolished tube manufacturer Port Lincoln, EP pipe supplier Port Lincoln, sanitary tube supplier Port Lincoln, ASME BPE tubing Port Lincoln, ASTM A270 tube Port Lincoln, SS 316L electropolished pipe Port Lincoln</v>
      </c>
      <c r="AI1352" s="15" t="str">
        <f t="shared" si="19"/>
        <v>Electropolished Pipes Manufacturer &amp; Supplier in Port Lincoln</v>
      </c>
      <c r="AJ1352" s="15" t="str">
        <f t="shared" si="20"/>
        <v>EP-finished SS 304/316L pipes and tubes for VERIFY plants in Port Lincoln. ASME BPE SF1-SF4, Ra from 0.25 um, EN 10204 3.1 certificate with every lot.</v>
      </c>
      <c r="AK1352" s="15" t="str">
        <f t="shared" si="21"/>
        <v>Electropolished stainless steel pipes supplied by Sakshi Forge to VERIFY plants at VERIFY, Port Lincoln</v>
      </c>
      <c r="AL1352" s="15" t="str">
        <f t="shared" si="22"/>
        <v>Electropolished SS 316L tube stock for Port Lincoln - Sakshi Forge</v>
      </c>
      <c r="AM1352" s="15" t="str">
        <f t="shared" si="23"/>
        <v>Home &gt; Market Area &gt; Australia &gt; VERIFY &gt; Port Lincoln</v>
      </c>
      <c r="AN1352" s="15">
        <f t="shared" si="24"/>
        <v>750</v>
      </c>
      <c r="AO1352" s="15">
        <f t="shared" si="25"/>
        <v>6</v>
      </c>
      <c r="AP1352" s="15">
        <f t="shared" si="26"/>
        <v>6</v>
      </c>
      <c r="AQ1352" s="15">
        <f t="shared" si="27"/>
        <v>23</v>
      </c>
      <c r="AR1352" s="31"/>
      <c r="AS1352" s="31"/>
      <c r="AT1352" s="35" t="s">
        <v>222</v>
      </c>
      <c r="AU1352" s="35"/>
    </row>
    <row r="1353" ht="15.75" customHeight="1">
      <c r="A1353" s="15" t="s">
        <v>6825</v>
      </c>
      <c r="B1353" s="15" t="s">
        <v>403</v>
      </c>
      <c r="C1353" s="15" t="s">
        <v>98</v>
      </c>
      <c r="D1353" s="15" t="s">
        <v>6826</v>
      </c>
      <c r="E1353" s="15" t="s">
        <v>6826</v>
      </c>
      <c r="F1353" s="58" t="s">
        <v>807</v>
      </c>
      <c r="G1353" s="66" t="s">
        <v>98</v>
      </c>
      <c r="H1353" s="18" t="s">
        <v>98</v>
      </c>
      <c r="I1353" s="18" t="s">
        <v>98</v>
      </c>
      <c r="J1353" s="18" t="s">
        <v>98</v>
      </c>
      <c r="K1353" s="18" t="s">
        <v>98</v>
      </c>
      <c r="L1353" s="18" t="s">
        <v>98</v>
      </c>
      <c r="M1353" s="18" t="s">
        <v>604</v>
      </c>
      <c r="N1353" s="18" t="s">
        <v>421</v>
      </c>
      <c r="O1353" s="18" t="s">
        <v>98</v>
      </c>
      <c r="P1353" s="15" t="str">
        <f t="shared" si="1"/>
        <v>VERIFY</v>
      </c>
      <c r="Q1353" s="15">
        <f t="shared" si="2"/>
        <v>6</v>
      </c>
      <c r="R1353" s="15">
        <f t="shared" si="3"/>
        <v>6</v>
      </c>
      <c r="S1353" s="15">
        <f t="shared" si="4"/>
        <v>5</v>
      </c>
      <c r="T1353" s="15" t="str">
        <f t="shared" si="5"/>
        <v>C-6</v>
      </c>
      <c r="U1353" s="15" t="str">
        <f t="shared" si="6"/>
        <v>T6-M6-H5-FC-6-VERIFY</v>
      </c>
      <c r="V1353" s="15">
        <f t="shared" si="7"/>
        <v>0</v>
      </c>
      <c r="W1353" s="31"/>
      <c r="X1353" s="15" t="str">
        <f t="shared" si="8"/>
        <v>port-macquarie-australia</v>
      </c>
      <c r="Y1353" s="32" t="str">
        <f t="shared" si="9"/>
        <v>https://steelmanufacturer.in/market-area/electropolished-pipes-manufacturer-in-port-macquarie-australia/</v>
      </c>
      <c r="Z1353" s="15" t="str">
        <f t="shared" si="10"/>
        <v>Electropolished Pipes Manufacturer in Port Macquarie</v>
      </c>
      <c r="AA1353" s="15" t="str">
        <f t="shared" si="11"/>
        <v>OK (52)</v>
      </c>
      <c r="AB1353" s="15" t="str">
        <f t="shared" si="12"/>
        <v>EP tube and pipe for VERIFY plants around VERIFY, Port Macquarie. Made at our Mumbai works to ASTM A270 and ASME BPE SF1-SF4, with 3.1 MTC.</v>
      </c>
      <c r="AC1353" s="15" t="str">
        <f t="shared" si="13"/>
        <v>PENDING RESEARCH</v>
      </c>
      <c r="AD1353" s="15" t="str">
        <f t="shared" si="14"/>
        <v>Electropolished Pipes Manufacturer in Port Macquarie</v>
      </c>
      <c r="AE1353" s="15" t="str">
        <f t="shared" si="15"/>
        <v>Electropolished Tube Manufacturing Capability Serving Port Macquarie</v>
      </c>
      <c r="AF1353" s="15" t="str">
        <f t="shared" si="16"/>
        <v>Electropolished Pipes Supplier in Port Macquarie - From Order to Delivery</v>
      </c>
      <c r="AG1353" s="15" t="str">
        <f t="shared" si="17"/>
        <v>Stockist &amp; Wholesale Supply of Electropolished Pipes in Port Macquarie</v>
      </c>
      <c r="AH1353" s="15" t="str">
        <f t="shared" si="18"/>
        <v>electropolished pipes manufacturer in Port Macquarie, electropolished pipes supplier in Port Macquarie, electropolished pipes wholesaler in Port Macquarie, electropolished tube manufacturer Port Macquarie, EP pipe supplier Port Macquarie, sanitary tube supplier Port Macquarie, ASME BPE tubing Port Macquarie, ASTM A270 tube Port Macquarie, SS 316L electropolished pipe Port Macquarie</v>
      </c>
      <c r="AI1353" s="15" t="str">
        <f t="shared" si="19"/>
        <v>Electropolished Pipes Manufacturer &amp; Supplier in Port Macquarie</v>
      </c>
      <c r="AJ1353" s="15" t="str">
        <f t="shared" si="20"/>
        <v>EP-finished SS 304/316L pipes and tubes for VERIFY plants in Port Macquarie. ASME BPE SF1-SF4, Ra from 0.25 um, EN 10204 3.1 certificate with every lot.</v>
      </c>
      <c r="AK1353" s="15" t="str">
        <f t="shared" si="21"/>
        <v>Electropolished stainless steel pipes supplied by Sakshi Forge to VERIFY plants at VERIFY, Port Macquarie</v>
      </c>
      <c r="AL1353" s="15" t="str">
        <f t="shared" si="22"/>
        <v>Electropolished SS 316L tube stock for Port Macquarie - Sakshi Forge</v>
      </c>
      <c r="AM1353" s="15" t="str">
        <f t="shared" si="23"/>
        <v>Home &gt; Market Area &gt; Australia &gt; VERIFY &gt; Port Macquarie</v>
      </c>
      <c r="AN1353" s="15">
        <f t="shared" si="24"/>
        <v>750</v>
      </c>
      <c r="AO1353" s="15">
        <f t="shared" si="25"/>
        <v>6</v>
      </c>
      <c r="AP1353" s="15">
        <f t="shared" si="26"/>
        <v>6</v>
      </c>
      <c r="AQ1353" s="15">
        <f t="shared" si="27"/>
        <v>23</v>
      </c>
      <c r="AR1353" s="31"/>
      <c r="AS1353" s="31"/>
      <c r="AT1353" s="35" t="s">
        <v>222</v>
      </c>
      <c r="AU1353" s="35"/>
    </row>
    <row r="1354" ht="15.75" customHeight="1">
      <c r="A1354" s="15" t="s">
        <v>6827</v>
      </c>
      <c r="B1354" s="15" t="s">
        <v>403</v>
      </c>
      <c r="C1354" s="15" t="s">
        <v>98</v>
      </c>
      <c r="D1354" s="15" t="s">
        <v>6828</v>
      </c>
      <c r="E1354" s="15" t="s">
        <v>6828</v>
      </c>
      <c r="F1354" s="58" t="s">
        <v>807</v>
      </c>
      <c r="G1354" s="66" t="s">
        <v>98</v>
      </c>
      <c r="H1354" s="18" t="s">
        <v>98</v>
      </c>
      <c r="I1354" s="18" t="s">
        <v>98</v>
      </c>
      <c r="J1354" s="18" t="s">
        <v>98</v>
      </c>
      <c r="K1354" s="18" t="s">
        <v>98</v>
      </c>
      <c r="L1354" s="18" t="s">
        <v>98</v>
      </c>
      <c r="M1354" s="18" t="s">
        <v>604</v>
      </c>
      <c r="N1354" s="18" t="s">
        <v>421</v>
      </c>
      <c r="O1354" s="18" t="s">
        <v>98</v>
      </c>
      <c r="P1354" s="15" t="str">
        <f t="shared" si="1"/>
        <v>VERIFY</v>
      </c>
      <c r="Q1354" s="15">
        <f t="shared" si="2"/>
        <v>7</v>
      </c>
      <c r="R1354" s="15">
        <f t="shared" si="3"/>
        <v>7</v>
      </c>
      <c r="S1354" s="15">
        <f t="shared" si="4"/>
        <v>1</v>
      </c>
      <c r="T1354" s="15" t="str">
        <f t="shared" si="5"/>
        <v>C-1</v>
      </c>
      <c r="U1354" s="15" t="str">
        <f t="shared" si="6"/>
        <v>T7-M7-H1-FC-1-VERIFY</v>
      </c>
      <c r="V1354" s="15">
        <f t="shared" si="7"/>
        <v>0</v>
      </c>
      <c r="W1354" s="31"/>
      <c r="X1354" s="15" t="str">
        <f t="shared" si="8"/>
        <v>rockhampton-australia</v>
      </c>
      <c r="Y1354" s="32" t="str">
        <f t="shared" si="9"/>
        <v>https://steelmanufacturer.in/market-area/electropolished-pipes-manufacturer-in-rockhampton-australia/</v>
      </c>
      <c r="Z1354" s="15" t="str">
        <f t="shared" si="10"/>
        <v>Electropolished Pipes Manufacturer in Rockhampton</v>
      </c>
      <c r="AA1354" s="15" t="str">
        <f t="shared" si="11"/>
        <v>OK (49)</v>
      </c>
      <c r="AB1354" s="15" t="str">
        <f t="shared" si="12"/>
        <v>Electropolished pipes in Rockhampton: 304, 304L, 316 and 316L in SF1-SF4. 18-24 days sea from Nhava Sheva to Melbourne. Mill certified.</v>
      </c>
      <c r="AC1354" s="15" t="str">
        <f t="shared" si="13"/>
        <v>PENDING RESEARCH</v>
      </c>
      <c r="AD1354" s="15" t="str">
        <f t="shared" si="14"/>
        <v>Electropolished Pipes Manufacturer in Rockhampton</v>
      </c>
      <c r="AE1354" s="15" t="str">
        <f t="shared" si="15"/>
        <v>Electropolished Pipe &amp; Tube Manufacturing for Rockhampton - Grades, Finishes &amp; Certification</v>
      </c>
      <c r="AF1354" s="15" t="str">
        <f t="shared" si="16"/>
        <v>Electropolished Pipes Supplier in Rockhampton - Stock Sizes, Lead Time &amp; Delivery</v>
      </c>
      <c r="AG1354" s="15" t="str">
        <f t="shared" si="17"/>
        <v>Electropolished Pipes Wholesaler &amp; Stockist in Rockhampton - Bulk &amp; Project Pricing</v>
      </c>
      <c r="AH1354" s="15" t="str">
        <f t="shared" si="18"/>
        <v>electropolished pipes manufacturer in Rockhampton, electropolished pipes supplier in Rockhampton, electropolished pipes wholesaler in Rockhampton, electropolished tube manufacturer Rockhampton, EP pipe supplier Rockhampton, sanitary tube supplier Rockhampton, ASME BPE tubing Rockhampton, ASTM A270 tube Rockhampton, SS 316L electropolished pipe Rockhampton</v>
      </c>
      <c r="AI1354" s="15" t="str">
        <f t="shared" si="19"/>
        <v>Electropolished Pipes Manufacturer &amp; Supplier in Rockhampton</v>
      </c>
      <c r="AJ1354" s="15" t="str">
        <f t="shared" si="20"/>
        <v>EP-finished SS 304/316L pipes and tubes for VERIFY plants in Rockhampton. ASME BPE SF1-SF4, Ra from 0.25 um, EN 10204 3.1 certificate with every lot.</v>
      </c>
      <c r="AK1354" s="15" t="str">
        <f t="shared" si="21"/>
        <v>Electropolished stainless steel pipes supplied by Sakshi Forge to VERIFY plants at VERIFY, Rockhampton</v>
      </c>
      <c r="AL1354" s="15" t="str">
        <f t="shared" si="22"/>
        <v>Electropolished SS 316L tube stock for Rockhampton - Sakshi Forge</v>
      </c>
      <c r="AM1354" s="15" t="str">
        <f t="shared" si="23"/>
        <v>Home &gt; Market Area &gt; Australia &gt; VERIFY &gt; Rockhampton</v>
      </c>
      <c r="AN1354" s="15">
        <f t="shared" si="24"/>
        <v>750</v>
      </c>
      <c r="AO1354" s="15">
        <f t="shared" si="25"/>
        <v>6</v>
      </c>
      <c r="AP1354" s="15">
        <f t="shared" si="26"/>
        <v>6</v>
      </c>
      <c r="AQ1354" s="15">
        <f t="shared" si="27"/>
        <v>23</v>
      </c>
      <c r="AR1354" s="31"/>
      <c r="AS1354" s="31"/>
      <c r="AT1354" s="35" t="s">
        <v>222</v>
      </c>
      <c r="AU1354" s="35"/>
    </row>
    <row r="1355" ht="15.75" customHeight="1">
      <c r="A1355" s="15" t="s">
        <v>6829</v>
      </c>
      <c r="B1355" s="15" t="s">
        <v>403</v>
      </c>
      <c r="C1355" s="15" t="s">
        <v>98</v>
      </c>
      <c r="D1355" s="15" t="s">
        <v>6830</v>
      </c>
      <c r="E1355" s="15" t="s">
        <v>6830</v>
      </c>
      <c r="F1355" s="58" t="s">
        <v>807</v>
      </c>
      <c r="G1355" s="66" t="s">
        <v>98</v>
      </c>
      <c r="H1355" s="18" t="s">
        <v>98</v>
      </c>
      <c r="I1355" s="18" t="s">
        <v>98</v>
      </c>
      <c r="J1355" s="18" t="s">
        <v>98</v>
      </c>
      <c r="K1355" s="18" t="s">
        <v>98</v>
      </c>
      <c r="L1355" s="18" t="s">
        <v>98</v>
      </c>
      <c r="M1355" s="18" t="s">
        <v>604</v>
      </c>
      <c r="N1355" s="18" t="s">
        <v>421</v>
      </c>
      <c r="O1355" s="18" t="s">
        <v>98</v>
      </c>
      <c r="P1355" s="15" t="str">
        <f t="shared" si="1"/>
        <v>VERIFY</v>
      </c>
      <c r="Q1355" s="15">
        <f t="shared" si="2"/>
        <v>8</v>
      </c>
      <c r="R1355" s="15">
        <f t="shared" si="3"/>
        <v>1</v>
      </c>
      <c r="S1355" s="15">
        <f t="shared" si="4"/>
        <v>2</v>
      </c>
      <c r="T1355" s="15" t="str">
        <f t="shared" si="5"/>
        <v>C-2</v>
      </c>
      <c r="U1355" s="15" t="str">
        <f t="shared" si="6"/>
        <v>T8-M1-H2-FC-2-VERIFY</v>
      </c>
      <c r="V1355" s="15">
        <f t="shared" si="7"/>
        <v>0</v>
      </c>
      <c r="W1355" s="31"/>
      <c r="X1355" s="15" t="str">
        <f t="shared" si="8"/>
        <v>sale-victoria-australia</v>
      </c>
      <c r="Y1355" s="32" t="str">
        <f t="shared" si="9"/>
        <v>https://steelmanufacturer.in/market-area/electropolished-pipes-manufacturer-in-sale-victoria-australia/</v>
      </c>
      <c r="Z1355" s="15" t="str">
        <f t="shared" si="10"/>
        <v>Electropolished Pipes Manufacturer in Sale-Victoria</v>
      </c>
      <c r="AA1355" s="15" t="str">
        <f t="shared" si="11"/>
        <v>OK (51)</v>
      </c>
      <c r="AB1355" s="15" t="str">
        <f t="shared" si="12"/>
        <v>EP-finished SS 304/316L pipes &amp; tubes for VERIFY plants in Sale-Victoria. ASTM A270, ASME BPE SF1-SF4, EN 10204 3.1 MTC. PMI tested.</v>
      </c>
      <c r="AC1355" s="15" t="str">
        <f t="shared" si="13"/>
        <v>PENDING RESEARCH</v>
      </c>
      <c r="AD1355" s="15" t="str">
        <f t="shared" si="14"/>
        <v>Electropolished Pipes Manufacturer in Sale-Victoria</v>
      </c>
      <c r="AE1355" s="15" t="str">
        <f t="shared" si="15"/>
        <v>How We Manufacture Electropolished Tube for Sale-Victoria Plants</v>
      </c>
      <c r="AF1355" s="15" t="str">
        <f t="shared" si="16"/>
        <v>Supplying Electropolished Pipes in Sale-Victoria: Availability, Sizes &amp; Dispatch</v>
      </c>
      <c r="AG1355" s="15" t="str">
        <f t="shared" si="17"/>
        <v>Wholesale Electropolished Pipe Supply for Sale-Victoria Projects</v>
      </c>
      <c r="AH1355" s="15" t="str">
        <f t="shared" si="18"/>
        <v>electropolished pipes manufacturer in Sale-Victoria, electropolished pipes supplier in Sale-Victoria, electropolished pipes wholesaler in Sale-Victoria, electropolished tube manufacturer Sale-Victoria, EP pipe supplier Sale-Victoria, sanitary tube supplier Sale-Victoria, ASME BPE tubing Sale-Victoria, ASTM A270 tube Sale-Victoria, SS 316L electropolished pipe Sale-Victoria</v>
      </c>
      <c r="AI1355" s="15" t="str">
        <f t="shared" si="19"/>
        <v>Electropolished Pipes Manufacturer &amp; Supplier in Sale-Victoria</v>
      </c>
      <c r="AJ1355" s="15" t="str">
        <f t="shared" si="20"/>
        <v>EP-finished SS 304/316L pipes and tubes for VERIFY plants in Sale-Victoria. ASME BPE SF1-SF4, Ra from 0.25 um, EN 10204 3.1 certificate with every lot.</v>
      </c>
      <c r="AK1355" s="15" t="str">
        <f t="shared" si="21"/>
        <v>Electropolished stainless steel pipes supplied by Sakshi Forge to VERIFY plants at VERIFY, Sale-Victoria</v>
      </c>
      <c r="AL1355" s="15" t="str">
        <f t="shared" si="22"/>
        <v>Electropolished SS 316L tube stock for Sale-Victoria - Sakshi Forge</v>
      </c>
      <c r="AM1355" s="15" t="str">
        <f t="shared" si="23"/>
        <v>Home &gt; Market Area &gt; Australia &gt; VERIFY &gt; Sale-Victoria</v>
      </c>
      <c r="AN1355" s="15">
        <f t="shared" si="24"/>
        <v>750</v>
      </c>
      <c r="AO1355" s="15">
        <f t="shared" si="25"/>
        <v>6</v>
      </c>
      <c r="AP1355" s="15">
        <f t="shared" si="26"/>
        <v>6</v>
      </c>
      <c r="AQ1355" s="15">
        <f t="shared" si="27"/>
        <v>23</v>
      </c>
      <c r="AR1355" s="31"/>
      <c r="AS1355" s="31"/>
      <c r="AT1355" s="35" t="s">
        <v>222</v>
      </c>
      <c r="AU1355" s="35"/>
    </row>
    <row r="1356" ht="15.75" customHeight="1">
      <c r="A1356" s="15" t="s">
        <v>6831</v>
      </c>
      <c r="B1356" s="15" t="s">
        <v>403</v>
      </c>
      <c r="C1356" s="15" t="s">
        <v>98</v>
      </c>
      <c r="D1356" s="15" t="s">
        <v>6832</v>
      </c>
      <c r="E1356" s="15" t="s">
        <v>6832</v>
      </c>
      <c r="F1356" s="58" t="s">
        <v>807</v>
      </c>
      <c r="G1356" s="66" t="s">
        <v>98</v>
      </c>
      <c r="H1356" s="18" t="s">
        <v>98</v>
      </c>
      <c r="I1356" s="18" t="s">
        <v>98</v>
      </c>
      <c r="J1356" s="18" t="s">
        <v>98</v>
      </c>
      <c r="K1356" s="18" t="s">
        <v>98</v>
      </c>
      <c r="L1356" s="18" t="s">
        <v>98</v>
      </c>
      <c r="M1356" s="18" t="s">
        <v>604</v>
      </c>
      <c r="N1356" s="18" t="s">
        <v>421</v>
      </c>
      <c r="O1356" s="18" t="s">
        <v>98</v>
      </c>
      <c r="P1356" s="15" t="str">
        <f t="shared" si="1"/>
        <v>VERIFY</v>
      </c>
      <c r="Q1356" s="15">
        <f t="shared" si="2"/>
        <v>1</v>
      </c>
      <c r="R1356" s="15">
        <f t="shared" si="3"/>
        <v>2</v>
      </c>
      <c r="S1356" s="15">
        <f t="shared" si="4"/>
        <v>3</v>
      </c>
      <c r="T1356" s="15" t="str">
        <f t="shared" si="5"/>
        <v>C-3</v>
      </c>
      <c r="U1356" s="15" t="str">
        <f t="shared" si="6"/>
        <v>T1-M2-H3-FC-3-VERIFY</v>
      </c>
      <c r="V1356" s="15">
        <f t="shared" si="7"/>
        <v>0</v>
      </c>
      <c r="W1356" s="31"/>
      <c r="X1356" s="15" t="str">
        <f t="shared" si="8"/>
        <v>sunshine-coast-australia</v>
      </c>
      <c r="Y1356" s="32" t="str">
        <f t="shared" si="9"/>
        <v>https://steelmanufacturer.in/market-area/electropolished-pipes-manufacturer-in-sunshine-coast-australia/</v>
      </c>
      <c r="Z1356" s="15" t="str">
        <f t="shared" si="10"/>
        <v>Electropolished Pipes Manufacturer in Sunshine Coast</v>
      </c>
      <c r="AA1356" s="15" t="str">
        <f t="shared" si="11"/>
        <v>OK (52)</v>
      </c>
      <c r="AB1356" s="15" t="str">
        <f t="shared" si="12"/>
        <v>Electropolished tube supply to VERIFY, Sunshine Coast. Ra from 0.25 um, SF4 finish, mill test certificate with every lot.</v>
      </c>
      <c r="AC1356" s="15" t="str">
        <f t="shared" si="13"/>
        <v>PENDING RESEARCH</v>
      </c>
      <c r="AD1356" s="15" t="str">
        <f t="shared" si="14"/>
        <v>Electropolished Pipes Manufacturer in Sunshine Coast</v>
      </c>
      <c r="AE1356" s="15" t="str">
        <f t="shared" si="15"/>
        <v>Electropolished Pipes Manufacturer in Sunshine Coast - Our Process &amp; Capability</v>
      </c>
      <c r="AF1356" s="15" t="str">
        <f t="shared" si="16"/>
        <v>Electropolished Pipes Supplier in Sunshine Coast - What We Hold in Stock</v>
      </c>
      <c r="AG1356" s="15" t="str">
        <f t="shared" si="17"/>
        <v>Bulk &amp; Wholesale Electropolished Pipe Rates for Sunshine Coast Buyers</v>
      </c>
      <c r="AH1356" s="15" t="str">
        <f t="shared" si="18"/>
        <v>electropolished pipes manufacturer in Sunshine Coast, electropolished pipes supplier in Sunshine Coast, electropolished pipes wholesaler in Sunshine Coast, electropolished tube manufacturer Sunshine Coast, EP pipe supplier Sunshine Coast, sanitary tube supplier Sunshine Coast, ASME BPE tubing Sunshine Coast, ASTM A270 tube Sunshine Coast, SS 316L electropolished pipe Sunshine Coast</v>
      </c>
      <c r="AI1356" s="15" t="str">
        <f t="shared" si="19"/>
        <v>Electropolished Pipes Manufacturer &amp; Supplier in Sunshine Coast</v>
      </c>
      <c r="AJ1356" s="15" t="str">
        <f t="shared" si="20"/>
        <v>EP-finished SS 304/316L pipes and tubes for VERIFY plants in Sunshine Coast. ASME BPE SF1-SF4, Ra from 0.25 um, EN 10204 3.1 certificate with every lot.</v>
      </c>
      <c r="AK1356" s="15" t="str">
        <f t="shared" si="21"/>
        <v>Electropolished stainless steel pipes supplied by Sakshi Forge to VERIFY plants at VERIFY, Sunshine Coast</v>
      </c>
      <c r="AL1356" s="15" t="str">
        <f t="shared" si="22"/>
        <v>Electropolished SS 316L tube stock for Sunshine Coast - Sakshi Forge</v>
      </c>
      <c r="AM1356" s="15" t="str">
        <f t="shared" si="23"/>
        <v>Home &gt; Market Area &gt; Australia &gt; VERIFY &gt; Sunshine Coast</v>
      </c>
      <c r="AN1356" s="15">
        <f t="shared" si="24"/>
        <v>750</v>
      </c>
      <c r="AO1356" s="15">
        <f t="shared" si="25"/>
        <v>6</v>
      </c>
      <c r="AP1356" s="15">
        <f t="shared" si="26"/>
        <v>6</v>
      </c>
      <c r="AQ1356" s="15">
        <f t="shared" si="27"/>
        <v>23</v>
      </c>
      <c r="AR1356" s="31"/>
      <c r="AS1356" s="31"/>
      <c r="AT1356" s="35" t="s">
        <v>222</v>
      </c>
      <c r="AU1356" s="35"/>
    </row>
    <row r="1357" ht="15.75" customHeight="1">
      <c r="A1357" s="15" t="s">
        <v>6833</v>
      </c>
      <c r="B1357" s="15" t="s">
        <v>403</v>
      </c>
      <c r="C1357" s="15" t="s">
        <v>98</v>
      </c>
      <c r="D1357" s="15" t="s">
        <v>6834</v>
      </c>
      <c r="E1357" s="15" t="s">
        <v>6834</v>
      </c>
      <c r="F1357" s="58" t="s">
        <v>807</v>
      </c>
      <c r="G1357" s="66" t="s">
        <v>98</v>
      </c>
      <c r="H1357" s="18" t="s">
        <v>98</v>
      </c>
      <c r="I1357" s="18" t="s">
        <v>98</v>
      </c>
      <c r="J1357" s="18" t="s">
        <v>98</v>
      </c>
      <c r="K1357" s="18" t="s">
        <v>98</v>
      </c>
      <c r="L1357" s="18" t="s">
        <v>98</v>
      </c>
      <c r="M1357" s="18" t="s">
        <v>604</v>
      </c>
      <c r="N1357" s="18" t="s">
        <v>421</v>
      </c>
      <c r="O1357" s="18" t="s">
        <v>98</v>
      </c>
      <c r="P1357" s="15" t="str">
        <f t="shared" si="1"/>
        <v>VERIFY</v>
      </c>
      <c r="Q1357" s="15">
        <f t="shared" si="2"/>
        <v>2</v>
      </c>
      <c r="R1357" s="15">
        <f t="shared" si="3"/>
        <v>3</v>
      </c>
      <c r="S1357" s="15">
        <f t="shared" si="4"/>
        <v>4</v>
      </c>
      <c r="T1357" s="15" t="str">
        <f t="shared" si="5"/>
        <v>C-4</v>
      </c>
      <c r="U1357" s="15" t="str">
        <f t="shared" si="6"/>
        <v>T2-M3-H4-FC-4-VERIFY</v>
      </c>
      <c r="V1357" s="15">
        <f t="shared" si="7"/>
        <v>0</v>
      </c>
      <c r="W1357" s="31"/>
      <c r="X1357" s="15" t="str">
        <f t="shared" si="8"/>
        <v>tamworth-australia</v>
      </c>
      <c r="Y1357" s="32" t="str">
        <f t="shared" si="9"/>
        <v>https://steelmanufacturer.in/market-area/electropolished-pipes-manufacturer-in-tamworth-australia/</v>
      </c>
      <c r="Z1357" s="15" t="str">
        <f t="shared" si="10"/>
        <v>Electropolished Pipes Manufacturer in Tamworth</v>
      </c>
      <c r="AA1357" s="15" t="str">
        <f t="shared" si="11"/>
        <v>OK (46)</v>
      </c>
      <c r="AB1357" s="15" t="str">
        <f t="shared" si="12"/>
        <v>EP stainless tube for VERIFY lines in Tamworth. 18-24 days sea from Nhava Sheva to Melbourne. ASTM A270 S2, PMI tested, EN 10204 3.1.</v>
      </c>
      <c r="AC1357" s="15" t="str">
        <f t="shared" si="13"/>
        <v>PENDING RESEARCH</v>
      </c>
      <c r="AD1357" s="15" t="str">
        <f t="shared" si="14"/>
        <v>Electropolished Pipes Manufacturer in Tamworth</v>
      </c>
      <c r="AE1357" s="15" t="str">
        <f t="shared" si="15"/>
        <v>Manufacturing Electropolished SS Tube for Tamworth: The Standards We Build To</v>
      </c>
      <c r="AF1357" s="15" t="str">
        <f t="shared" si="16"/>
        <v>Electropolished Pipe Supply Into Tamworth - Certification &amp; Transit</v>
      </c>
      <c r="AG1357" s="15" t="str">
        <f t="shared" si="17"/>
        <v>Electropolished Pipes Wholesaler in Tamworth - Project Quantities &amp; Terms</v>
      </c>
      <c r="AH1357" s="15" t="str">
        <f t="shared" si="18"/>
        <v>electropolished pipes manufacturer in Tamworth, electropolished pipes supplier in Tamworth, electropolished pipes wholesaler in Tamworth, electropolished tube manufacturer Tamworth, EP pipe supplier Tamworth, sanitary tube supplier Tamworth, ASME BPE tubing Tamworth, ASTM A270 tube Tamworth, SS 316L electropolished pipe Tamworth</v>
      </c>
      <c r="AI1357" s="15" t="str">
        <f t="shared" si="19"/>
        <v>Electropolished Pipes Manufacturer &amp; Supplier in Tamworth</v>
      </c>
      <c r="AJ1357" s="15" t="str">
        <f t="shared" si="20"/>
        <v>EP-finished SS 304/316L pipes and tubes for VERIFY plants in Tamworth. ASME BPE SF1-SF4, Ra from 0.25 um, EN 10204 3.1 certificate with every lot.</v>
      </c>
      <c r="AK1357" s="15" t="str">
        <f t="shared" si="21"/>
        <v>Electropolished stainless steel pipes supplied by Sakshi Forge to VERIFY plants at VERIFY, Tamworth</v>
      </c>
      <c r="AL1357" s="15" t="str">
        <f t="shared" si="22"/>
        <v>Electropolished SS 316L tube stock for Tamworth - Sakshi Forge</v>
      </c>
      <c r="AM1357" s="15" t="str">
        <f t="shared" si="23"/>
        <v>Home &gt; Market Area &gt; Australia &gt; VERIFY &gt; Tamworth</v>
      </c>
      <c r="AN1357" s="15">
        <f t="shared" si="24"/>
        <v>750</v>
      </c>
      <c r="AO1357" s="15">
        <f t="shared" si="25"/>
        <v>6</v>
      </c>
      <c r="AP1357" s="15">
        <f t="shared" si="26"/>
        <v>6</v>
      </c>
      <c r="AQ1357" s="15">
        <f t="shared" si="27"/>
        <v>23</v>
      </c>
      <c r="AR1357" s="31"/>
      <c r="AS1357" s="31"/>
      <c r="AT1357" s="35" t="s">
        <v>222</v>
      </c>
      <c r="AU1357" s="35"/>
    </row>
    <row r="1358" ht="15.75" customHeight="1">
      <c r="A1358" s="15" t="s">
        <v>6835</v>
      </c>
      <c r="B1358" s="15" t="s">
        <v>403</v>
      </c>
      <c r="C1358" s="15" t="s">
        <v>98</v>
      </c>
      <c r="D1358" s="15" t="s">
        <v>6836</v>
      </c>
      <c r="E1358" s="15" t="s">
        <v>6836</v>
      </c>
      <c r="F1358" s="58" t="s">
        <v>807</v>
      </c>
      <c r="G1358" s="66" t="s">
        <v>98</v>
      </c>
      <c r="H1358" s="18" t="s">
        <v>98</v>
      </c>
      <c r="I1358" s="18" t="s">
        <v>98</v>
      </c>
      <c r="J1358" s="18" t="s">
        <v>98</v>
      </c>
      <c r="K1358" s="18" t="s">
        <v>98</v>
      </c>
      <c r="L1358" s="18" t="s">
        <v>98</v>
      </c>
      <c r="M1358" s="18" t="s">
        <v>604</v>
      </c>
      <c r="N1358" s="18" t="s">
        <v>421</v>
      </c>
      <c r="O1358" s="18" t="s">
        <v>98</v>
      </c>
      <c r="P1358" s="15" t="str">
        <f t="shared" si="1"/>
        <v>VERIFY</v>
      </c>
      <c r="Q1358" s="15">
        <f t="shared" si="2"/>
        <v>3</v>
      </c>
      <c r="R1358" s="15">
        <f t="shared" si="3"/>
        <v>4</v>
      </c>
      <c r="S1358" s="15">
        <f t="shared" si="4"/>
        <v>5</v>
      </c>
      <c r="T1358" s="15" t="str">
        <f t="shared" si="5"/>
        <v>C-5</v>
      </c>
      <c r="U1358" s="15" t="str">
        <f t="shared" si="6"/>
        <v>T3-M4-H5-FC-5-VERIFY</v>
      </c>
      <c r="V1358" s="15">
        <f t="shared" si="7"/>
        <v>0</v>
      </c>
      <c r="W1358" s="31"/>
      <c r="X1358" s="15" t="str">
        <f t="shared" si="8"/>
        <v>traralgon-australia</v>
      </c>
      <c r="Y1358" s="32" t="str">
        <f t="shared" si="9"/>
        <v>https://steelmanufacturer.in/market-area/electropolished-pipes-manufacturer-in-traralgon-australia/</v>
      </c>
      <c r="Z1358" s="15" t="str">
        <f t="shared" si="10"/>
        <v>Electropolished Pipes Manufacturer in Traralgon</v>
      </c>
      <c r="AA1358" s="15" t="str">
        <f t="shared" si="11"/>
        <v>OK (47)</v>
      </c>
      <c r="AB1358" s="15" t="str">
        <f t="shared" si="12"/>
        <v>Sanitary electropolished pipes in Traralgon for VERIFY plants. ASME BPE SF1-SF4, orbital-weld ready, 3.1 MTC. Mumbai-made.</v>
      </c>
      <c r="AC1358" s="15" t="str">
        <f t="shared" si="13"/>
        <v>PENDING RESEARCH</v>
      </c>
      <c r="AD1358" s="15" t="str">
        <f t="shared" si="14"/>
        <v>Electropolished Pipes Manufacturer in Traralgon</v>
      </c>
      <c r="AE1358" s="15" t="str">
        <f t="shared" si="15"/>
        <v>Electropolished Tube Manufacturing Capability Serving Traralgon</v>
      </c>
      <c r="AF1358" s="15" t="str">
        <f t="shared" si="16"/>
        <v>Electropolished Pipes Supplier in Traralgon - From Order to Delivery</v>
      </c>
      <c r="AG1358" s="15" t="str">
        <f t="shared" si="17"/>
        <v>Stockist &amp; Wholesale Supply of Electropolished Pipes in Traralgon</v>
      </c>
      <c r="AH1358" s="15" t="str">
        <f t="shared" si="18"/>
        <v>electropolished pipes manufacturer in Traralgon, electropolished pipes supplier in Traralgon, electropolished pipes wholesaler in Traralgon, electropolished tube manufacturer Traralgon, EP pipe supplier Traralgon, sanitary tube supplier Traralgon, ASME BPE tubing Traralgon, ASTM A270 tube Traralgon, SS 316L electropolished pipe Traralgon</v>
      </c>
      <c r="AI1358" s="15" t="str">
        <f t="shared" si="19"/>
        <v>Electropolished Pipes Manufacturer &amp; Supplier in Traralgon</v>
      </c>
      <c r="AJ1358" s="15" t="str">
        <f t="shared" si="20"/>
        <v>EP-finished SS 304/316L pipes and tubes for VERIFY plants in Traralgon. ASME BPE SF1-SF4, Ra from 0.25 um, EN 10204 3.1 certificate with every lot.</v>
      </c>
      <c r="AK1358" s="15" t="str">
        <f t="shared" si="21"/>
        <v>Electropolished stainless steel pipes supplied by Sakshi Forge to VERIFY plants at VERIFY, Traralgon</v>
      </c>
      <c r="AL1358" s="15" t="str">
        <f t="shared" si="22"/>
        <v>Electropolished SS 316L tube stock for Traralgon - Sakshi Forge</v>
      </c>
      <c r="AM1358" s="15" t="str">
        <f t="shared" si="23"/>
        <v>Home &gt; Market Area &gt; Australia &gt; VERIFY &gt; Traralgon</v>
      </c>
      <c r="AN1358" s="15">
        <f t="shared" si="24"/>
        <v>750</v>
      </c>
      <c r="AO1358" s="15">
        <f t="shared" si="25"/>
        <v>6</v>
      </c>
      <c r="AP1358" s="15">
        <f t="shared" si="26"/>
        <v>6</v>
      </c>
      <c r="AQ1358" s="15">
        <f t="shared" si="27"/>
        <v>23</v>
      </c>
      <c r="AR1358" s="31"/>
      <c r="AS1358" s="31"/>
      <c r="AT1358" s="35" t="s">
        <v>222</v>
      </c>
      <c r="AU1358" s="35"/>
    </row>
    <row r="1359" ht="15.75" customHeight="1">
      <c r="A1359" s="15" t="s">
        <v>6837</v>
      </c>
      <c r="B1359" s="15" t="s">
        <v>403</v>
      </c>
      <c r="C1359" s="15" t="s">
        <v>98</v>
      </c>
      <c r="D1359" s="15" t="s">
        <v>6838</v>
      </c>
      <c r="E1359" s="15" t="s">
        <v>6838</v>
      </c>
      <c r="F1359" s="58" t="s">
        <v>807</v>
      </c>
      <c r="G1359" s="66" t="s">
        <v>98</v>
      </c>
      <c r="H1359" s="18" t="s">
        <v>98</v>
      </c>
      <c r="I1359" s="18" t="s">
        <v>98</v>
      </c>
      <c r="J1359" s="18" t="s">
        <v>98</v>
      </c>
      <c r="K1359" s="18" t="s">
        <v>98</v>
      </c>
      <c r="L1359" s="18" t="s">
        <v>98</v>
      </c>
      <c r="M1359" s="18" t="s">
        <v>604</v>
      </c>
      <c r="N1359" s="18" t="s">
        <v>421</v>
      </c>
      <c r="O1359" s="18" t="s">
        <v>98</v>
      </c>
      <c r="P1359" s="15" t="str">
        <f t="shared" si="1"/>
        <v>VERIFY</v>
      </c>
      <c r="Q1359" s="15">
        <f t="shared" si="2"/>
        <v>4</v>
      </c>
      <c r="R1359" s="15">
        <f t="shared" si="3"/>
        <v>5</v>
      </c>
      <c r="S1359" s="15">
        <f t="shared" si="4"/>
        <v>1</v>
      </c>
      <c r="T1359" s="15" t="str">
        <f t="shared" si="5"/>
        <v>C-6</v>
      </c>
      <c r="U1359" s="15" t="str">
        <f t="shared" si="6"/>
        <v>T4-M5-H1-FC-6-VERIFY</v>
      </c>
      <c r="V1359" s="15">
        <f t="shared" si="7"/>
        <v>0</v>
      </c>
      <c r="W1359" s="31"/>
      <c r="X1359" s="15" t="str">
        <f t="shared" si="8"/>
        <v>whyalla-australia</v>
      </c>
      <c r="Y1359" s="32" t="str">
        <f t="shared" si="9"/>
        <v>https://steelmanufacturer.in/market-area/electropolished-pipes-manufacturer-in-whyalla-australia/</v>
      </c>
      <c r="Z1359" s="15" t="str">
        <f t="shared" si="10"/>
        <v>Electropolished Pipes Manufacturer in Whyalla</v>
      </c>
      <c r="AA1359" s="15" t="str">
        <f t="shared" si="11"/>
        <v>OK (45)</v>
      </c>
      <c r="AB1359" s="15" t="str">
        <f t="shared" si="12"/>
        <v>Manufacturer of electropolished SS 316L tube serving Whyalla. 18-24 days sea from Nhava Sheva to Melbourne. Ra 0.25-0.5 um, EN 10204 3.1 MTC.</v>
      </c>
      <c r="AC1359" s="15" t="str">
        <f t="shared" si="13"/>
        <v>PENDING RESEARCH</v>
      </c>
      <c r="AD1359" s="15" t="str">
        <f t="shared" si="14"/>
        <v>Electropolished Pipes Manufacturer in Whyalla</v>
      </c>
      <c r="AE1359" s="15" t="str">
        <f t="shared" si="15"/>
        <v>Electropolished Pipe &amp; Tube Manufacturing for Whyalla - Grades, Finishes &amp; Certification</v>
      </c>
      <c r="AF1359" s="15" t="str">
        <f t="shared" si="16"/>
        <v>Electropolished Pipes Supplier in Whyalla - Stock Sizes, Lead Time &amp; Delivery</v>
      </c>
      <c r="AG1359" s="15" t="str">
        <f t="shared" si="17"/>
        <v>Electropolished Pipes Wholesaler &amp; Stockist in Whyalla - Bulk &amp; Project Pricing</v>
      </c>
      <c r="AH1359" s="15" t="str">
        <f t="shared" si="18"/>
        <v>electropolished pipes manufacturer in Whyalla, electropolished pipes supplier in Whyalla, electropolished pipes wholesaler in Whyalla, electropolished tube manufacturer Whyalla, EP pipe supplier Whyalla, sanitary tube supplier Whyalla, ASME BPE tubing Whyalla, ASTM A270 tube Whyalla, SS 316L electropolished pipe Whyalla</v>
      </c>
      <c r="AI1359" s="15" t="str">
        <f t="shared" si="19"/>
        <v>Electropolished Pipes Manufacturer &amp; Supplier in Whyalla</v>
      </c>
      <c r="AJ1359" s="15" t="str">
        <f t="shared" si="20"/>
        <v>EP-finished SS 304/316L pipes and tubes for VERIFY plants in Whyalla. ASME BPE SF1-SF4, Ra from 0.25 um, EN 10204 3.1 certificate with every lot.</v>
      </c>
      <c r="AK1359" s="15" t="str">
        <f t="shared" si="21"/>
        <v>Electropolished stainless steel pipes supplied by Sakshi Forge to VERIFY plants at VERIFY, Whyalla</v>
      </c>
      <c r="AL1359" s="15" t="str">
        <f t="shared" si="22"/>
        <v>Electropolished SS 316L tube stock for Whyalla - Sakshi Forge</v>
      </c>
      <c r="AM1359" s="15" t="str">
        <f t="shared" si="23"/>
        <v>Home &gt; Market Area &gt; Australia &gt; VERIFY &gt; Whyalla</v>
      </c>
      <c r="AN1359" s="15">
        <f t="shared" si="24"/>
        <v>750</v>
      </c>
      <c r="AO1359" s="15">
        <f t="shared" si="25"/>
        <v>6</v>
      </c>
      <c r="AP1359" s="15">
        <f t="shared" si="26"/>
        <v>6</v>
      </c>
      <c r="AQ1359" s="15">
        <f t="shared" si="27"/>
        <v>23</v>
      </c>
      <c r="AR1359" s="31"/>
      <c r="AS1359" s="31"/>
      <c r="AT1359" s="35" t="s">
        <v>222</v>
      </c>
      <c r="AU1359" s="35"/>
    </row>
    <row r="1360" ht="15.75" customHeight="1">
      <c r="A1360" s="15" t="s">
        <v>6839</v>
      </c>
      <c r="B1360" s="15" t="s">
        <v>219</v>
      </c>
      <c r="C1360" s="15" t="s">
        <v>98</v>
      </c>
      <c r="D1360" s="15" t="s">
        <v>6840</v>
      </c>
      <c r="E1360" s="15" t="s">
        <v>6840</v>
      </c>
      <c r="F1360" s="58" t="s">
        <v>807</v>
      </c>
      <c r="G1360" s="66" t="s">
        <v>98</v>
      </c>
      <c r="H1360" s="18" t="s">
        <v>98</v>
      </c>
      <c r="I1360" s="18" t="s">
        <v>98</v>
      </c>
      <c r="J1360" s="18" t="s">
        <v>98</v>
      </c>
      <c r="K1360" s="18" t="s">
        <v>98</v>
      </c>
      <c r="L1360" s="18" t="s">
        <v>98</v>
      </c>
      <c r="M1360" s="18" t="s">
        <v>520</v>
      </c>
      <c r="N1360" s="18" t="s">
        <v>220</v>
      </c>
      <c r="O1360" s="18" t="s">
        <v>98</v>
      </c>
      <c r="P1360" s="15" t="str">
        <f t="shared" si="1"/>
        <v>VERIFY</v>
      </c>
      <c r="Q1360" s="15">
        <f t="shared" si="2"/>
        <v>5</v>
      </c>
      <c r="R1360" s="15">
        <f t="shared" si="3"/>
        <v>6</v>
      </c>
      <c r="S1360" s="15">
        <f t="shared" si="4"/>
        <v>2</v>
      </c>
      <c r="T1360" s="15" t="str">
        <f t="shared" si="5"/>
        <v>C-1</v>
      </c>
      <c r="U1360" s="15" t="str">
        <f t="shared" si="6"/>
        <v>T5-M6-H2-FC-1-VERIFY</v>
      </c>
      <c r="V1360" s="15">
        <f t="shared" si="7"/>
        <v>0</v>
      </c>
      <c r="W1360" s="31"/>
      <c r="X1360" s="15" t="str">
        <f t="shared" si="8"/>
        <v>askar-bahrain</v>
      </c>
      <c r="Y1360" s="32" t="str">
        <f t="shared" si="9"/>
        <v>https://steelmanufacturer.in/market-area/electropolished-pipes-manufacturer-in-askar-bahrain/</v>
      </c>
      <c r="Z1360" s="15" t="str">
        <f t="shared" si="10"/>
        <v>Electropolished Pipes Manufacturer in Askar</v>
      </c>
      <c r="AA1360" s="15" t="str">
        <f t="shared" si="11"/>
        <v>OK (43)</v>
      </c>
      <c r="AB1360" s="15" t="str">
        <f t="shared" si="12"/>
        <v>EP tube and pipe for VERIFY plants around VERIFY, Askar. Made at our Mumbai works to ASTM A270 and ASME BPE SF1-SF4, with 3.1 MTC.</v>
      </c>
      <c r="AC1360" s="15" t="str">
        <f t="shared" si="13"/>
        <v>PENDING RESEARCH</v>
      </c>
      <c r="AD1360" s="15" t="str">
        <f t="shared" si="14"/>
        <v>Electropolished Pipes Manufacturer in Askar</v>
      </c>
      <c r="AE1360" s="15" t="str">
        <f t="shared" si="15"/>
        <v>How We Manufacture Electropolished Tube for Askar Plants</v>
      </c>
      <c r="AF1360" s="15" t="str">
        <f t="shared" si="16"/>
        <v>Supplying Electropolished Pipes in Askar: Availability, Sizes &amp; Dispatch</v>
      </c>
      <c r="AG1360" s="15" t="str">
        <f t="shared" si="17"/>
        <v>Wholesale Electropolished Pipe Supply for Askar Projects</v>
      </c>
      <c r="AH1360" s="15" t="str">
        <f t="shared" si="18"/>
        <v>electropolished pipes manufacturer in Askar, electropolished pipes supplier in Askar, electropolished pipes wholesaler in Askar, electropolished tube manufacturer Askar, EP pipe supplier Askar, sanitary tube supplier Askar, ASME BPE tubing Askar, ASTM A270 tube Askar, SS 316L electropolished pipe Askar</v>
      </c>
      <c r="AI1360" s="15" t="str">
        <f t="shared" si="19"/>
        <v>Electropolished Pipes Manufacturer &amp; Supplier in Askar</v>
      </c>
      <c r="AJ1360" s="15" t="str">
        <f t="shared" si="20"/>
        <v>EP-finished SS 304/316L pipes and tubes for VERIFY plants in Askar. ASME BPE SF1-SF4, Ra from 0.25 um, EN 10204 3.1 certificate with every lot.</v>
      </c>
      <c r="AK1360" s="15" t="str">
        <f t="shared" si="21"/>
        <v>Electropolished stainless steel pipes supplied by Sakshi Forge to VERIFY plants at VERIFY, Askar</v>
      </c>
      <c r="AL1360" s="15" t="str">
        <f t="shared" si="22"/>
        <v>Electropolished SS 316L tube stock for Askar - Sakshi Forge</v>
      </c>
      <c r="AM1360" s="15" t="str">
        <f t="shared" si="23"/>
        <v>Home &gt; Market Area &gt; Bahrain &gt; VERIFY &gt; Askar</v>
      </c>
      <c r="AN1360" s="15">
        <f t="shared" si="24"/>
        <v>750</v>
      </c>
      <c r="AO1360" s="15">
        <f t="shared" si="25"/>
        <v>6</v>
      </c>
      <c r="AP1360" s="15">
        <f t="shared" si="26"/>
        <v>6</v>
      </c>
      <c r="AQ1360" s="15">
        <f t="shared" si="27"/>
        <v>23</v>
      </c>
      <c r="AR1360" s="31"/>
      <c r="AS1360" s="31"/>
      <c r="AT1360" s="35" t="s">
        <v>222</v>
      </c>
      <c r="AU1360" s="35"/>
    </row>
    <row r="1361" ht="15.75" customHeight="1">
      <c r="A1361" s="15" t="s">
        <v>6844</v>
      </c>
      <c r="B1361" s="15" t="s">
        <v>219</v>
      </c>
      <c r="C1361" s="15" t="s">
        <v>98</v>
      </c>
      <c r="D1361" s="15" t="s">
        <v>6847</v>
      </c>
      <c r="E1361" s="15" t="s">
        <v>6847</v>
      </c>
      <c r="F1361" s="58" t="s">
        <v>807</v>
      </c>
      <c r="G1361" s="66" t="s">
        <v>98</v>
      </c>
      <c r="H1361" s="18" t="s">
        <v>98</v>
      </c>
      <c r="I1361" s="18" t="s">
        <v>98</v>
      </c>
      <c r="J1361" s="18" t="s">
        <v>98</v>
      </c>
      <c r="K1361" s="18" t="s">
        <v>98</v>
      </c>
      <c r="L1361" s="18" t="s">
        <v>98</v>
      </c>
      <c r="M1361" s="18" t="s">
        <v>520</v>
      </c>
      <c r="N1361" s="18" t="s">
        <v>220</v>
      </c>
      <c r="O1361" s="18" t="s">
        <v>98</v>
      </c>
      <c r="P1361" s="15" t="str">
        <f t="shared" si="1"/>
        <v>VERIFY</v>
      </c>
      <c r="Q1361" s="15">
        <f t="shared" si="2"/>
        <v>6</v>
      </c>
      <c r="R1361" s="15">
        <f t="shared" si="3"/>
        <v>7</v>
      </c>
      <c r="S1361" s="15">
        <f t="shared" si="4"/>
        <v>3</v>
      </c>
      <c r="T1361" s="15" t="str">
        <f t="shared" si="5"/>
        <v>C-2</v>
      </c>
      <c r="U1361" s="15" t="str">
        <f t="shared" si="6"/>
        <v>T6-M7-H3-FC-2-VERIFY</v>
      </c>
      <c r="V1361" s="15">
        <f t="shared" si="7"/>
        <v>0</v>
      </c>
      <c r="W1361" s="31"/>
      <c r="X1361" s="15" t="str">
        <f t="shared" si="8"/>
        <v>budaiya-bahrain</v>
      </c>
      <c r="Y1361" s="32" t="str">
        <f t="shared" si="9"/>
        <v>https://steelmanufacturer.in/market-area/electropolished-pipes-manufacturer-in-budaiya-bahrain/</v>
      </c>
      <c r="Z1361" s="15" t="str">
        <f t="shared" si="10"/>
        <v>Electropolished Pipes Manufacturer in Budaiya</v>
      </c>
      <c r="AA1361" s="15" t="str">
        <f t="shared" si="11"/>
        <v>OK (45)</v>
      </c>
      <c r="AB1361" s="15" t="str">
        <f t="shared" si="12"/>
        <v>Electropolished pipes in Budaiya: 304, 304L, 316 and 316L in SF1-SF4. 13-17 days sea from Nhava Sheva to Khalifa Bin Salman Port. Mill certified.</v>
      </c>
      <c r="AC1361" s="15" t="str">
        <f t="shared" si="13"/>
        <v>PENDING RESEARCH</v>
      </c>
      <c r="AD1361" s="15" t="str">
        <f t="shared" si="14"/>
        <v>Electropolished Pipes Manufacturer in Budaiya</v>
      </c>
      <c r="AE1361" s="15" t="str">
        <f t="shared" si="15"/>
        <v>Electropolished Pipes Manufacturer in Budaiya - Our Process &amp; Capability</v>
      </c>
      <c r="AF1361" s="15" t="str">
        <f t="shared" si="16"/>
        <v>Electropolished Pipes Supplier in Budaiya - What We Hold in Stock</v>
      </c>
      <c r="AG1361" s="15" t="str">
        <f t="shared" si="17"/>
        <v>Bulk &amp; Wholesale Electropolished Pipe Rates for Budaiya Buyers</v>
      </c>
      <c r="AH1361" s="15" t="str">
        <f t="shared" si="18"/>
        <v>electropolished pipes manufacturer in Budaiya, electropolished pipes supplier in Budaiya, electropolished pipes wholesaler in Budaiya, electropolished tube manufacturer Budaiya, EP pipe supplier Budaiya, sanitary tube supplier Budaiya, ASME BPE tubing Budaiya, ASTM A270 tube Budaiya, SS 316L electropolished pipe Budaiya</v>
      </c>
      <c r="AI1361" s="15" t="str">
        <f t="shared" si="19"/>
        <v>Electropolished Pipes Manufacturer &amp; Supplier in Budaiya</v>
      </c>
      <c r="AJ1361" s="15" t="str">
        <f t="shared" si="20"/>
        <v>EP-finished SS 304/316L pipes and tubes for VERIFY plants in Budaiya. ASME BPE SF1-SF4, Ra from 0.25 um, EN 10204 3.1 certificate with every lot.</v>
      </c>
      <c r="AK1361" s="15" t="str">
        <f t="shared" si="21"/>
        <v>Electropolished stainless steel pipes supplied by Sakshi Forge to VERIFY plants at VERIFY, Budaiya</v>
      </c>
      <c r="AL1361" s="15" t="str">
        <f t="shared" si="22"/>
        <v>Electropolished SS 316L tube stock for Budaiya - Sakshi Forge</v>
      </c>
      <c r="AM1361" s="15" t="str">
        <f t="shared" si="23"/>
        <v>Home &gt; Market Area &gt; Bahrain &gt; VERIFY &gt; Budaiya</v>
      </c>
      <c r="AN1361" s="15">
        <f t="shared" si="24"/>
        <v>750</v>
      </c>
      <c r="AO1361" s="15">
        <f t="shared" si="25"/>
        <v>6</v>
      </c>
      <c r="AP1361" s="15">
        <f t="shared" si="26"/>
        <v>6</v>
      </c>
      <c r="AQ1361" s="15">
        <f t="shared" si="27"/>
        <v>23</v>
      </c>
      <c r="AR1361" s="31"/>
      <c r="AS1361" s="31"/>
      <c r="AT1361" s="35" t="s">
        <v>222</v>
      </c>
      <c r="AU1361" s="35"/>
    </row>
    <row r="1362" ht="15.75" customHeight="1">
      <c r="A1362" s="15" t="s">
        <v>6851</v>
      </c>
      <c r="B1362" s="15" t="s">
        <v>219</v>
      </c>
      <c r="C1362" s="15" t="s">
        <v>98</v>
      </c>
      <c r="D1362" s="15" t="s">
        <v>5953</v>
      </c>
      <c r="E1362" s="15" t="s">
        <v>5953</v>
      </c>
      <c r="F1362" s="58" t="s">
        <v>807</v>
      </c>
      <c r="G1362" s="66" t="s">
        <v>98</v>
      </c>
      <c r="H1362" s="18" t="s">
        <v>98</v>
      </c>
      <c r="I1362" s="18" t="s">
        <v>98</v>
      </c>
      <c r="J1362" s="18" t="s">
        <v>98</v>
      </c>
      <c r="K1362" s="18" t="s">
        <v>98</v>
      </c>
      <c r="L1362" s="18" t="s">
        <v>98</v>
      </c>
      <c r="M1362" s="18" t="s">
        <v>520</v>
      </c>
      <c r="N1362" s="18" t="s">
        <v>220</v>
      </c>
      <c r="O1362" s="18" t="s">
        <v>98</v>
      </c>
      <c r="P1362" s="15" t="str">
        <f t="shared" si="1"/>
        <v>VERIFY</v>
      </c>
      <c r="Q1362" s="15">
        <f t="shared" si="2"/>
        <v>7</v>
      </c>
      <c r="R1362" s="15">
        <f t="shared" si="3"/>
        <v>1</v>
      </c>
      <c r="S1362" s="15">
        <f t="shared" si="4"/>
        <v>4</v>
      </c>
      <c r="T1362" s="15" t="str">
        <f t="shared" si="5"/>
        <v>C-3</v>
      </c>
      <c r="U1362" s="15" t="str">
        <f t="shared" si="6"/>
        <v>T7-M1-H4-FC-3-VERIFY</v>
      </c>
      <c r="V1362" s="15">
        <f t="shared" si="7"/>
        <v>0</v>
      </c>
      <c r="W1362" s="31"/>
      <c r="X1362" s="15" t="str">
        <f t="shared" si="8"/>
        <v>muharraq-bahrain</v>
      </c>
      <c r="Y1362" s="32" t="str">
        <f t="shared" si="9"/>
        <v>https://steelmanufacturer.in/market-area/electropolished-pipes-manufacturer-in-muharraq-bahrain/</v>
      </c>
      <c r="Z1362" s="15" t="str">
        <f t="shared" si="10"/>
        <v>Electropolished Pipes Manufacturer in Muharraq | ASME BPE SF1-SF4</v>
      </c>
      <c r="AA1362" s="15" t="str">
        <f t="shared" si="11"/>
        <v>OK (65)</v>
      </c>
      <c r="AB1362" s="15" t="str">
        <f t="shared" si="12"/>
        <v>EP-finished SS 304/316L pipes &amp; tubes for VERIFY plants in Muharraq. ASTM A270, ASME BPE SF1-SF4, EN 10204 3.1 MTC. PMI tested.</v>
      </c>
      <c r="AC1362" s="15" t="str">
        <f t="shared" si="13"/>
        <v>PENDING RESEARCH</v>
      </c>
      <c r="AD1362" s="15" t="str">
        <f t="shared" si="14"/>
        <v>Electropolished Pipes Manufacturer in Muharraq</v>
      </c>
      <c r="AE1362" s="15" t="str">
        <f t="shared" si="15"/>
        <v>Manufacturing Electropolished SS Tube for Muharraq: The Standards We Build To</v>
      </c>
      <c r="AF1362" s="15" t="str">
        <f t="shared" si="16"/>
        <v>Electropolished Pipe Supply Into Muharraq - Certification &amp; Transit</v>
      </c>
      <c r="AG1362" s="15" t="str">
        <f t="shared" si="17"/>
        <v>Electropolished Pipes Wholesaler in Muharraq - Project Quantities &amp; Terms</v>
      </c>
      <c r="AH1362" s="15" t="str">
        <f t="shared" si="18"/>
        <v>electropolished pipes manufacturer in Muharraq, electropolished pipes supplier in Muharraq, electropolished pipes wholesaler in Muharraq, electropolished tube manufacturer Muharraq, EP pipe supplier Muharraq, sanitary tube supplier Muharraq, ASME BPE tubing Muharraq, ASTM A270 tube Muharraq, SS 316L electropolished pipe Muharraq</v>
      </c>
      <c r="AI1362" s="15" t="str">
        <f t="shared" si="19"/>
        <v>Electropolished Pipes Manufacturer &amp; Supplier in Muharraq</v>
      </c>
      <c r="AJ1362" s="15" t="str">
        <f t="shared" si="20"/>
        <v>EP-finished SS 304/316L pipes and tubes for VERIFY plants in Muharraq. ASME BPE SF1-SF4, Ra from 0.25 um, EN 10204 3.1 certificate with every lot.</v>
      </c>
      <c r="AK1362" s="15" t="str">
        <f t="shared" si="21"/>
        <v>Electropolished stainless steel pipes supplied by Sakshi Forge to VERIFY plants at VERIFY, Muharraq</v>
      </c>
      <c r="AL1362" s="15" t="str">
        <f t="shared" si="22"/>
        <v>Electropolished SS 316L tube stock for Muharraq - Sakshi Forge</v>
      </c>
      <c r="AM1362" s="15" t="str">
        <f t="shared" si="23"/>
        <v>Home &gt; Market Area &gt; Bahrain &gt; VERIFY &gt; Muharraq</v>
      </c>
      <c r="AN1362" s="15">
        <f t="shared" si="24"/>
        <v>750</v>
      </c>
      <c r="AO1362" s="15">
        <f t="shared" si="25"/>
        <v>6</v>
      </c>
      <c r="AP1362" s="15">
        <f t="shared" si="26"/>
        <v>6</v>
      </c>
      <c r="AQ1362" s="15">
        <f t="shared" si="27"/>
        <v>23</v>
      </c>
      <c r="AR1362" s="31"/>
      <c r="AS1362" s="31"/>
      <c r="AT1362" s="35" t="s">
        <v>222</v>
      </c>
      <c r="AU1362" s="35"/>
    </row>
    <row r="1363" ht="15.75" customHeight="1">
      <c r="A1363" s="15" t="s">
        <v>6852</v>
      </c>
      <c r="B1363" s="15" t="s">
        <v>219</v>
      </c>
      <c r="C1363" s="15" t="s">
        <v>98</v>
      </c>
      <c r="D1363" s="15" t="s">
        <v>6853</v>
      </c>
      <c r="E1363" s="15" t="s">
        <v>6853</v>
      </c>
      <c r="F1363" s="58" t="s">
        <v>807</v>
      </c>
      <c r="G1363" s="66" t="s">
        <v>98</v>
      </c>
      <c r="H1363" s="18" t="s">
        <v>98</v>
      </c>
      <c r="I1363" s="18" t="s">
        <v>98</v>
      </c>
      <c r="J1363" s="18" t="s">
        <v>98</v>
      </c>
      <c r="K1363" s="18" t="s">
        <v>98</v>
      </c>
      <c r="L1363" s="18" t="s">
        <v>98</v>
      </c>
      <c r="M1363" s="18" t="s">
        <v>520</v>
      </c>
      <c r="N1363" s="18" t="s">
        <v>220</v>
      </c>
      <c r="O1363" s="18" t="s">
        <v>98</v>
      </c>
      <c r="P1363" s="15" t="str">
        <f t="shared" si="1"/>
        <v>VERIFY</v>
      </c>
      <c r="Q1363" s="15">
        <f t="shared" si="2"/>
        <v>8</v>
      </c>
      <c r="R1363" s="15">
        <f t="shared" si="3"/>
        <v>2</v>
      </c>
      <c r="S1363" s="15">
        <f t="shared" si="4"/>
        <v>5</v>
      </c>
      <c r="T1363" s="15" t="str">
        <f t="shared" si="5"/>
        <v>C-4</v>
      </c>
      <c r="U1363" s="15" t="str">
        <f t="shared" si="6"/>
        <v>T8-M2-H5-FC-4-VERIFY</v>
      </c>
      <c r="V1363" s="15">
        <f t="shared" si="7"/>
        <v>0</v>
      </c>
      <c r="W1363" s="31"/>
      <c r="X1363" s="15" t="str">
        <f t="shared" si="8"/>
        <v>zallaq-bahrain</v>
      </c>
      <c r="Y1363" s="32" t="str">
        <f t="shared" si="9"/>
        <v>https://steelmanufacturer.in/market-area/electropolished-pipes-manufacturer-in-zallaq-bahrain/</v>
      </c>
      <c r="Z1363" s="15" t="str">
        <f t="shared" si="10"/>
        <v>Electropolished Pipes Manufacturer in Zallaq - EP Tube Stockist</v>
      </c>
      <c r="AA1363" s="15" t="str">
        <f t="shared" si="11"/>
        <v>OK (63)</v>
      </c>
      <c r="AB1363" s="15" t="str">
        <f t="shared" si="12"/>
        <v>Electropolished tube supply to VERIFY, Zallaq. Ra from 0.25 um, SF4 finish, mill test certificate with every lot.</v>
      </c>
      <c r="AC1363" s="15" t="str">
        <f t="shared" si="13"/>
        <v>PENDING RESEARCH</v>
      </c>
      <c r="AD1363" s="15" t="str">
        <f t="shared" si="14"/>
        <v>Electropolished Pipes Manufacturer in Zallaq</v>
      </c>
      <c r="AE1363" s="15" t="str">
        <f t="shared" si="15"/>
        <v>Electropolished Tube Manufacturing Capability Serving Zallaq</v>
      </c>
      <c r="AF1363" s="15" t="str">
        <f t="shared" si="16"/>
        <v>Electropolished Pipes Supplier in Zallaq - From Order to Delivery</v>
      </c>
      <c r="AG1363" s="15" t="str">
        <f t="shared" si="17"/>
        <v>Stockist &amp; Wholesale Supply of Electropolished Pipes in Zallaq</v>
      </c>
      <c r="AH1363" s="15" t="str">
        <f t="shared" si="18"/>
        <v>electropolished pipes manufacturer in Zallaq, electropolished pipes supplier in Zallaq, electropolished pipes wholesaler in Zallaq, electropolished tube manufacturer Zallaq, EP pipe supplier Zallaq, sanitary tube supplier Zallaq, ASME BPE tubing Zallaq, ASTM A270 tube Zallaq, SS 316L electropolished pipe Zallaq</v>
      </c>
      <c r="AI1363" s="15" t="str">
        <f t="shared" si="19"/>
        <v>Electropolished Pipes Manufacturer &amp; Supplier in Zallaq</v>
      </c>
      <c r="AJ1363" s="15" t="str">
        <f t="shared" si="20"/>
        <v>EP-finished SS 304/316L pipes and tubes for VERIFY plants in Zallaq. ASME BPE SF1-SF4, Ra from 0.25 um, EN 10204 3.1 certificate with every lot.</v>
      </c>
      <c r="AK1363" s="15" t="str">
        <f t="shared" si="21"/>
        <v>Electropolished stainless steel pipes supplied by Sakshi Forge to VERIFY plants at VERIFY, Zallaq</v>
      </c>
      <c r="AL1363" s="15" t="str">
        <f t="shared" si="22"/>
        <v>Electropolished SS 316L tube stock for Zallaq - Sakshi Forge</v>
      </c>
      <c r="AM1363" s="15" t="str">
        <f t="shared" si="23"/>
        <v>Home &gt; Market Area &gt; Bahrain &gt; VERIFY &gt; Zallaq</v>
      </c>
      <c r="AN1363" s="15">
        <f t="shared" si="24"/>
        <v>750</v>
      </c>
      <c r="AO1363" s="15">
        <f t="shared" si="25"/>
        <v>6</v>
      </c>
      <c r="AP1363" s="15">
        <f t="shared" si="26"/>
        <v>6</v>
      </c>
      <c r="AQ1363" s="15">
        <f t="shared" si="27"/>
        <v>23</v>
      </c>
      <c r="AR1363" s="31"/>
      <c r="AS1363" s="31"/>
      <c r="AT1363" s="35" t="s">
        <v>222</v>
      </c>
      <c r="AU1363" s="35"/>
    </row>
    <row r="1364" ht="15.75" customHeight="1">
      <c r="A1364" s="15" t="s">
        <v>6854</v>
      </c>
      <c r="B1364" s="15" t="s">
        <v>243</v>
      </c>
      <c r="C1364" s="15" t="s">
        <v>98</v>
      </c>
      <c r="D1364" s="15" t="s">
        <v>6855</v>
      </c>
      <c r="E1364" s="15" t="s">
        <v>6855</v>
      </c>
      <c r="F1364" s="58" t="s">
        <v>807</v>
      </c>
      <c r="G1364" s="66" t="s">
        <v>98</v>
      </c>
      <c r="H1364" s="18" t="s">
        <v>98</v>
      </c>
      <c r="I1364" s="18" t="s">
        <v>98</v>
      </c>
      <c r="J1364" s="18" t="s">
        <v>98</v>
      </c>
      <c r="K1364" s="18" t="s">
        <v>98</v>
      </c>
      <c r="L1364" s="18" t="s">
        <v>98</v>
      </c>
      <c r="M1364" s="18" t="s">
        <v>550</v>
      </c>
      <c r="N1364" s="18" t="s">
        <v>254</v>
      </c>
      <c r="O1364" s="18" t="s">
        <v>98</v>
      </c>
      <c r="P1364" s="15" t="str">
        <f t="shared" si="1"/>
        <v>VERIFY</v>
      </c>
      <c r="Q1364" s="15">
        <f t="shared" si="2"/>
        <v>1</v>
      </c>
      <c r="R1364" s="15">
        <f t="shared" si="3"/>
        <v>3</v>
      </c>
      <c r="S1364" s="15">
        <f t="shared" si="4"/>
        <v>1</v>
      </c>
      <c r="T1364" s="15" t="str">
        <f t="shared" si="5"/>
        <v>C-5</v>
      </c>
      <c r="U1364" s="15" t="str">
        <f t="shared" si="6"/>
        <v>T1-M3-H1-FC-5-VERIFY</v>
      </c>
      <c r="V1364" s="15">
        <f t="shared" si="7"/>
        <v>0</v>
      </c>
      <c r="W1364" s="31"/>
      <c r="X1364" s="15" t="str">
        <f t="shared" si="8"/>
        <v>aachen-germany</v>
      </c>
      <c r="Y1364" s="32" t="str">
        <f t="shared" si="9"/>
        <v>https://steelmanufacturer.in/market-area/electropolished-pipes-manufacturer-in-aachen-germany/</v>
      </c>
      <c r="Z1364" s="15" t="str">
        <f t="shared" si="10"/>
        <v>Electropolished Pipes Manufacturer in Aachen | Sakshi Forge</v>
      </c>
      <c r="AA1364" s="15" t="str">
        <f t="shared" si="11"/>
        <v>OK (59)</v>
      </c>
      <c r="AB1364" s="15" t="str">
        <f t="shared" si="12"/>
        <v>EP stainless tube for VERIFY lines in Aachen. 24-30 days sea from Nhava Sheva to Hamburg. ASTM A270 S2, PMI tested, EN 10204 3.1.</v>
      </c>
      <c r="AC1364" s="15" t="str">
        <f t="shared" si="13"/>
        <v>PENDING RESEARCH</v>
      </c>
      <c r="AD1364" s="15" t="str">
        <f t="shared" si="14"/>
        <v>Electropolished Pipes Manufacturer in Aachen</v>
      </c>
      <c r="AE1364" s="15" t="str">
        <f t="shared" si="15"/>
        <v>Electropolished Pipe &amp; Tube Manufacturing for Aachen - Grades, Finishes &amp; Certification</v>
      </c>
      <c r="AF1364" s="15" t="str">
        <f t="shared" si="16"/>
        <v>Electropolished Pipes Supplier in Aachen - Stock Sizes, Lead Time &amp; Delivery</v>
      </c>
      <c r="AG1364" s="15" t="str">
        <f t="shared" si="17"/>
        <v>Electropolished Pipes Wholesaler &amp; Stockist in Aachen - Bulk &amp; Project Pricing</v>
      </c>
      <c r="AH1364" s="15" t="str">
        <f t="shared" si="18"/>
        <v>electropolished pipes manufacturer in Aachen, electropolished pipes supplier in Aachen, electropolished pipes wholesaler in Aachen, electropolished tube manufacturer Aachen, EP pipe supplier Aachen, sanitary tube supplier Aachen, ASME BPE tubing Aachen, ASTM A270 tube Aachen, SS 316L electropolished pipe Aachen</v>
      </c>
      <c r="AI1364" s="15" t="str">
        <f t="shared" si="19"/>
        <v>Electropolished Pipes Manufacturer &amp; Supplier in Aachen</v>
      </c>
      <c r="AJ1364" s="15" t="str">
        <f t="shared" si="20"/>
        <v>EP-finished SS 304/316L pipes and tubes for VERIFY plants in Aachen. ASME BPE SF1-SF4, Ra from 0.25 um, EN 10204 3.1 certificate with every lot.</v>
      </c>
      <c r="AK1364" s="15" t="str">
        <f t="shared" si="21"/>
        <v>Electropolished stainless steel pipes supplied by Sakshi Forge to VERIFY plants at VERIFY, Aachen</v>
      </c>
      <c r="AL1364" s="15" t="str">
        <f t="shared" si="22"/>
        <v>Electropolished SS 316L tube stock for Aachen - Sakshi Forge</v>
      </c>
      <c r="AM1364" s="15" t="str">
        <f t="shared" si="23"/>
        <v>Home &gt; Market Area &gt; Germany &gt; VERIFY &gt; Aachen</v>
      </c>
      <c r="AN1364" s="15">
        <f t="shared" si="24"/>
        <v>750</v>
      </c>
      <c r="AO1364" s="15">
        <f t="shared" si="25"/>
        <v>6</v>
      </c>
      <c r="AP1364" s="15">
        <f t="shared" si="26"/>
        <v>6</v>
      </c>
      <c r="AQ1364" s="15">
        <f t="shared" si="27"/>
        <v>23</v>
      </c>
      <c r="AR1364" s="31"/>
      <c r="AS1364" s="31"/>
      <c r="AT1364" s="35" t="s">
        <v>222</v>
      </c>
      <c r="AU1364" s="35"/>
    </row>
    <row r="1365" ht="15.75" customHeight="1">
      <c r="A1365" s="15" t="s">
        <v>6857</v>
      </c>
      <c r="B1365" s="15" t="s">
        <v>243</v>
      </c>
      <c r="C1365" s="15" t="s">
        <v>98</v>
      </c>
      <c r="D1365" s="15" t="s">
        <v>6858</v>
      </c>
      <c r="E1365" s="15" t="s">
        <v>6858</v>
      </c>
      <c r="F1365" s="58" t="s">
        <v>807</v>
      </c>
      <c r="G1365" s="66" t="s">
        <v>98</v>
      </c>
      <c r="H1365" s="18" t="s">
        <v>98</v>
      </c>
      <c r="I1365" s="18" t="s">
        <v>98</v>
      </c>
      <c r="J1365" s="18" t="s">
        <v>98</v>
      </c>
      <c r="K1365" s="18" t="s">
        <v>98</v>
      </c>
      <c r="L1365" s="18" t="s">
        <v>98</v>
      </c>
      <c r="M1365" s="18" t="s">
        <v>550</v>
      </c>
      <c r="N1365" s="18" t="s">
        <v>254</v>
      </c>
      <c r="O1365" s="18" t="s">
        <v>98</v>
      </c>
      <c r="P1365" s="15" t="str">
        <f t="shared" si="1"/>
        <v>VERIFY</v>
      </c>
      <c r="Q1365" s="15">
        <f t="shared" si="2"/>
        <v>2</v>
      </c>
      <c r="R1365" s="15">
        <f t="shared" si="3"/>
        <v>4</v>
      </c>
      <c r="S1365" s="15">
        <f t="shared" si="4"/>
        <v>2</v>
      </c>
      <c r="T1365" s="15" t="str">
        <f t="shared" si="5"/>
        <v>C-6</v>
      </c>
      <c r="U1365" s="15" t="str">
        <f t="shared" si="6"/>
        <v>T2-M4-H2-FC-6-VERIFY</v>
      </c>
      <c r="V1365" s="15">
        <f t="shared" si="7"/>
        <v>0</v>
      </c>
      <c r="W1365" s="31"/>
      <c r="X1365" s="15" t="str">
        <f t="shared" si="8"/>
        <v>bamberg-germany</v>
      </c>
      <c r="Y1365" s="32" t="str">
        <f t="shared" si="9"/>
        <v>https://steelmanufacturer.in/market-area/electropolished-pipes-manufacturer-in-bamberg-germany/</v>
      </c>
      <c r="Z1365" s="15" t="str">
        <f t="shared" si="10"/>
        <v>Electropolished Pipes Manufacturer in Bamberg</v>
      </c>
      <c r="AA1365" s="15" t="str">
        <f t="shared" si="11"/>
        <v>OK (45)</v>
      </c>
      <c r="AB1365" s="15" t="str">
        <f t="shared" si="12"/>
        <v>Sanitary electropolished pipes in Bamberg for VERIFY plants. ASME BPE SF1-SF4, orbital-weld ready, 3.1 MTC. Mumbai-made.</v>
      </c>
      <c r="AC1365" s="15" t="str">
        <f t="shared" si="13"/>
        <v>PENDING RESEARCH</v>
      </c>
      <c r="AD1365" s="15" t="str">
        <f t="shared" si="14"/>
        <v>Electropolished Pipes Manufacturer in Bamberg</v>
      </c>
      <c r="AE1365" s="15" t="str">
        <f t="shared" si="15"/>
        <v>How We Manufacture Electropolished Tube for Bamberg Plants</v>
      </c>
      <c r="AF1365" s="15" t="str">
        <f t="shared" si="16"/>
        <v>Supplying Electropolished Pipes in Bamberg: Availability, Sizes &amp; Dispatch</v>
      </c>
      <c r="AG1365" s="15" t="str">
        <f t="shared" si="17"/>
        <v>Wholesale Electropolished Pipe Supply for Bamberg Projects</v>
      </c>
      <c r="AH1365" s="15" t="str">
        <f t="shared" si="18"/>
        <v>electropolished pipes manufacturer in Bamberg, electropolished pipes supplier in Bamberg, electropolished pipes wholesaler in Bamberg, electropolished tube manufacturer Bamberg, EP pipe supplier Bamberg, sanitary tube supplier Bamberg, ASME BPE tubing Bamberg, ASTM A270 tube Bamberg, SS 316L electropolished pipe Bamberg</v>
      </c>
      <c r="AI1365" s="15" t="str">
        <f t="shared" si="19"/>
        <v>Electropolished Pipes Manufacturer &amp; Supplier in Bamberg</v>
      </c>
      <c r="AJ1365" s="15" t="str">
        <f t="shared" si="20"/>
        <v>EP-finished SS 304/316L pipes and tubes for VERIFY plants in Bamberg. ASME BPE SF1-SF4, Ra from 0.25 um, EN 10204 3.1 certificate with every lot.</v>
      </c>
      <c r="AK1365" s="15" t="str">
        <f t="shared" si="21"/>
        <v>Electropolished stainless steel pipes supplied by Sakshi Forge to VERIFY plants at VERIFY, Bamberg</v>
      </c>
      <c r="AL1365" s="15" t="str">
        <f t="shared" si="22"/>
        <v>Electropolished SS 316L tube stock for Bamberg - Sakshi Forge</v>
      </c>
      <c r="AM1365" s="15" t="str">
        <f t="shared" si="23"/>
        <v>Home &gt; Market Area &gt; Germany &gt; VERIFY &gt; Bamberg</v>
      </c>
      <c r="AN1365" s="15">
        <f t="shared" si="24"/>
        <v>750</v>
      </c>
      <c r="AO1365" s="15">
        <f t="shared" si="25"/>
        <v>6</v>
      </c>
      <c r="AP1365" s="15">
        <f t="shared" si="26"/>
        <v>6</v>
      </c>
      <c r="AQ1365" s="15">
        <f t="shared" si="27"/>
        <v>23</v>
      </c>
      <c r="AR1365" s="31"/>
      <c r="AS1365" s="31"/>
      <c r="AT1365" s="35" t="s">
        <v>222</v>
      </c>
      <c r="AU1365" s="35"/>
    </row>
    <row r="1366" ht="15.75" customHeight="1">
      <c r="A1366" s="15" t="s">
        <v>6859</v>
      </c>
      <c r="B1366" s="15" t="s">
        <v>243</v>
      </c>
      <c r="C1366" s="15" t="s">
        <v>98</v>
      </c>
      <c r="D1366" s="15" t="s">
        <v>6860</v>
      </c>
      <c r="E1366" s="15" t="s">
        <v>6860</v>
      </c>
      <c r="F1366" s="58" t="s">
        <v>807</v>
      </c>
      <c r="G1366" s="66" t="s">
        <v>98</v>
      </c>
      <c r="H1366" s="18" t="s">
        <v>98</v>
      </c>
      <c r="I1366" s="18" t="s">
        <v>98</v>
      </c>
      <c r="J1366" s="18" t="s">
        <v>98</v>
      </c>
      <c r="K1366" s="18" t="s">
        <v>98</v>
      </c>
      <c r="L1366" s="18" t="s">
        <v>98</v>
      </c>
      <c r="M1366" s="18" t="s">
        <v>550</v>
      </c>
      <c r="N1366" s="18" t="s">
        <v>254</v>
      </c>
      <c r="O1366" s="18" t="s">
        <v>98</v>
      </c>
      <c r="P1366" s="15" t="str">
        <f t="shared" si="1"/>
        <v>VERIFY</v>
      </c>
      <c r="Q1366" s="15">
        <f t="shared" si="2"/>
        <v>3</v>
      </c>
      <c r="R1366" s="15">
        <f t="shared" si="3"/>
        <v>5</v>
      </c>
      <c r="S1366" s="15">
        <f t="shared" si="4"/>
        <v>3</v>
      </c>
      <c r="T1366" s="15" t="str">
        <f t="shared" si="5"/>
        <v>C-1</v>
      </c>
      <c r="U1366" s="15" t="str">
        <f t="shared" si="6"/>
        <v>T3-M5-H3-FC-1-VERIFY</v>
      </c>
      <c r="V1366" s="15">
        <f t="shared" si="7"/>
        <v>0</v>
      </c>
      <c r="W1366" s="31"/>
      <c r="X1366" s="15" t="str">
        <f t="shared" si="8"/>
        <v>bayreuth-germany</v>
      </c>
      <c r="Y1366" s="32" t="str">
        <f t="shared" si="9"/>
        <v>https://steelmanufacturer.in/market-area/electropolished-pipes-manufacturer-in-bayreuth-germany/</v>
      </c>
      <c r="Z1366" s="15" t="str">
        <f t="shared" si="10"/>
        <v>Electropolished Pipes Manufacturer in Bayreuth | EP Tube Supplier</v>
      </c>
      <c r="AA1366" s="15" t="str">
        <f t="shared" si="11"/>
        <v>OK (65)</v>
      </c>
      <c r="AB1366" s="15" t="str">
        <f t="shared" si="12"/>
        <v>Manufacturer of electropolished SS 316L tube serving Bayreuth. 24-30 days sea from Nhava Sheva to Hamburg. Ra 0.25-0.5 um, EN 10204 3.1 MTC.</v>
      </c>
      <c r="AC1366" s="15" t="str">
        <f t="shared" si="13"/>
        <v>PENDING RESEARCH</v>
      </c>
      <c r="AD1366" s="15" t="str">
        <f t="shared" si="14"/>
        <v>Electropolished Pipes Manufacturer in Bayreuth</v>
      </c>
      <c r="AE1366" s="15" t="str">
        <f t="shared" si="15"/>
        <v>Electropolished Pipes Manufacturer in Bayreuth - Our Process &amp; Capability</v>
      </c>
      <c r="AF1366" s="15" t="str">
        <f t="shared" si="16"/>
        <v>Electropolished Pipes Supplier in Bayreuth - What We Hold in Stock</v>
      </c>
      <c r="AG1366" s="15" t="str">
        <f t="shared" si="17"/>
        <v>Bulk &amp; Wholesale Electropolished Pipe Rates for Bayreuth Buyers</v>
      </c>
      <c r="AH1366" s="15" t="str">
        <f t="shared" si="18"/>
        <v>electropolished pipes manufacturer in Bayreuth, electropolished pipes supplier in Bayreuth, electropolished pipes wholesaler in Bayreuth, electropolished tube manufacturer Bayreuth, EP pipe supplier Bayreuth, sanitary tube supplier Bayreuth, ASME BPE tubing Bayreuth, ASTM A270 tube Bayreuth, SS 316L electropolished pipe Bayreuth</v>
      </c>
      <c r="AI1366" s="15" t="str">
        <f t="shared" si="19"/>
        <v>Electropolished Pipes Manufacturer &amp; Supplier in Bayreuth</v>
      </c>
      <c r="AJ1366" s="15" t="str">
        <f t="shared" si="20"/>
        <v>EP-finished SS 304/316L pipes and tubes for VERIFY plants in Bayreuth. ASME BPE SF1-SF4, Ra from 0.25 um, EN 10204 3.1 certificate with every lot.</v>
      </c>
      <c r="AK1366" s="15" t="str">
        <f t="shared" si="21"/>
        <v>Electropolished stainless steel pipes supplied by Sakshi Forge to VERIFY plants at VERIFY, Bayreuth</v>
      </c>
      <c r="AL1366" s="15" t="str">
        <f t="shared" si="22"/>
        <v>Electropolished SS 316L tube stock for Bayreuth - Sakshi Forge</v>
      </c>
      <c r="AM1366" s="15" t="str">
        <f t="shared" si="23"/>
        <v>Home &gt; Market Area &gt; Germany &gt; VERIFY &gt; Bayreuth</v>
      </c>
      <c r="AN1366" s="15">
        <f t="shared" si="24"/>
        <v>750</v>
      </c>
      <c r="AO1366" s="15">
        <f t="shared" si="25"/>
        <v>6</v>
      </c>
      <c r="AP1366" s="15">
        <f t="shared" si="26"/>
        <v>6</v>
      </c>
      <c r="AQ1366" s="15">
        <f t="shared" si="27"/>
        <v>23</v>
      </c>
      <c r="AR1366" s="31"/>
      <c r="AS1366" s="31"/>
      <c r="AT1366" s="35" t="s">
        <v>222</v>
      </c>
      <c r="AU1366" s="35"/>
    </row>
    <row r="1367" ht="15.75" customHeight="1">
      <c r="A1367" s="15" t="s">
        <v>6861</v>
      </c>
      <c r="B1367" s="15" t="s">
        <v>243</v>
      </c>
      <c r="C1367" s="15" t="s">
        <v>98</v>
      </c>
      <c r="D1367" s="15" t="s">
        <v>6862</v>
      </c>
      <c r="E1367" s="15" t="s">
        <v>6862</v>
      </c>
      <c r="F1367" s="58" t="s">
        <v>807</v>
      </c>
      <c r="G1367" s="66" t="s">
        <v>98</v>
      </c>
      <c r="H1367" s="18" t="s">
        <v>98</v>
      </c>
      <c r="I1367" s="18" t="s">
        <v>98</v>
      </c>
      <c r="J1367" s="18" t="s">
        <v>98</v>
      </c>
      <c r="K1367" s="18" t="s">
        <v>98</v>
      </c>
      <c r="L1367" s="18" t="s">
        <v>98</v>
      </c>
      <c r="M1367" s="18" t="s">
        <v>550</v>
      </c>
      <c r="N1367" s="18" t="s">
        <v>254</v>
      </c>
      <c r="O1367" s="18" t="s">
        <v>98</v>
      </c>
      <c r="P1367" s="15" t="str">
        <f t="shared" si="1"/>
        <v>VERIFY</v>
      </c>
      <c r="Q1367" s="15">
        <f t="shared" si="2"/>
        <v>4</v>
      </c>
      <c r="R1367" s="15">
        <f t="shared" si="3"/>
        <v>6</v>
      </c>
      <c r="S1367" s="15">
        <f t="shared" si="4"/>
        <v>4</v>
      </c>
      <c r="T1367" s="15" t="str">
        <f t="shared" si="5"/>
        <v>C-2</v>
      </c>
      <c r="U1367" s="15" t="str">
        <f t="shared" si="6"/>
        <v>T4-M6-H4-FC-2-VERIFY</v>
      </c>
      <c r="V1367" s="15">
        <f t="shared" si="7"/>
        <v>0</v>
      </c>
      <c r="W1367" s="31"/>
      <c r="X1367" s="15" t="str">
        <f t="shared" si="8"/>
        <v>bitterfeld-germany</v>
      </c>
      <c r="Y1367" s="32" t="str">
        <f t="shared" si="9"/>
        <v>https://steelmanufacturer.in/market-area/electropolished-pipes-manufacturer-in-bitterfeld-germany/</v>
      </c>
      <c r="Z1367" s="15" t="str">
        <f t="shared" si="10"/>
        <v>Electropolished Pipes Manufacturer in Bitterfeld</v>
      </c>
      <c r="AA1367" s="15" t="str">
        <f t="shared" si="11"/>
        <v>OK (48)</v>
      </c>
      <c r="AB1367" s="15" t="str">
        <f t="shared" si="12"/>
        <v>EP tube and pipe for VERIFY plants around VERIFY, Bitterfeld. Made at our Mumbai works to ASTM A270 and ASME BPE SF1-SF4, with 3.1 MTC.</v>
      </c>
      <c r="AC1367" s="15" t="str">
        <f t="shared" si="13"/>
        <v>PENDING RESEARCH</v>
      </c>
      <c r="AD1367" s="15" t="str">
        <f t="shared" si="14"/>
        <v>Electropolished Pipes Manufacturer in Bitterfeld</v>
      </c>
      <c r="AE1367" s="15" t="str">
        <f t="shared" si="15"/>
        <v>Manufacturing Electropolished SS Tube for Bitterfeld: The Standards We Build To</v>
      </c>
      <c r="AF1367" s="15" t="str">
        <f t="shared" si="16"/>
        <v>Electropolished Pipe Supply Into Bitterfeld - Certification &amp; Transit</v>
      </c>
      <c r="AG1367" s="15" t="str">
        <f t="shared" si="17"/>
        <v>Electropolished Pipes Wholesaler in Bitterfeld - Project Quantities &amp; Terms</v>
      </c>
      <c r="AH1367" s="15" t="str">
        <f t="shared" si="18"/>
        <v>electropolished pipes manufacturer in Bitterfeld, electropolished pipes supplier in Bitterfeld, electropolished pipes wholesaler in Bitterfeld, electropolished tube manufacturer Bitterfeld, EP pipe supplier Bitterfeld, sanitary tube supplier Bitterfeld, ASME BPE tubing Bitterfeld, ASTM A270 tube Bitterfeld, SS 316L electropolished pipe Bitterfeld</v>
      </c>
      <c r="AI1367" s="15" t="str">
        <f t="shared" si="19"/>
        <v>Electropolished Pipes Manufacturer &amp; Supplier in Bitterfeld</v>
      </c>
      <c r="AJ1367" s="15" t="str">
        <f t="shared" si="20"/>
        <v>EP-finished SS 304/316L pipes and tubes for VERIFY plants in Bitterfeld. ASME BPE SF1-SF4, Ra from 0.25 um, EN 10204 3.1 certificate with every lot.</v>
      </c>
      <c r="AK1367" s="15" t="str">
        <f t="shared" si="21"/>
        <v>Electropolished stainless steel pipes supplied by Sakshi Forge to VERIFY plants at VERIFY, Bitterfeld</v>
      </c>
      <c r="AL1367" s="15" t="str">
        <f t="shared" si="22"/>
        <v>Electropolished SS 316L tube stock for Bitterfeld - Sakshi Forge</v>
      </c>
      <c r="AM1367" s="15" t="str">
        <f t="shared" si="23"/>
        <v>Home &gt; Market Area &gt; Germany &gt; VERIFY &gt; Bitterfeld</v>
      </c>
      <c r="AN1367" s="15">
        <f t="shared" si="24"/>
        <v>750</v>
      </c>
      <c r="AO1367" s="15">
        <f t="shared" si="25"/>
        <v>6</v>
      </c>
      <c r="AP1367" s="15">
        <f t="shared" si="26"/>
        <v>6</v>
      </c>
      <c r="AQ1367" s="15">
        <f t="shared" si="27"/>
        <v>23</v>
      </c>
      <c r="AR1367" s="31"/>
      <c r="AS1367" s="31"/>
      <c r="AT1367" s="35" t="s">
        <v>222</v>
      </c>
      <c r="AU1367" s="35"/>
    </row>
    <row r="1368" ht="15.75" customHeight="1">
      <c r="A1368" s="15" t="s">
        <v>6863</v>
      </c>
      <c r="B1368" s="15" t="s">
        <v>243</v>
      </c>
      <c r="C1368" s="15" t="s">
        <v>98</v>
      </c>
      <c r="D1368" s="15" t="s">
        <v>6864</v>
      </c>
      <c r="E1368" s="15" t="s">
        <v>6864</v>
      </c>
      <c r="F1368" s="58" t="s">
        <v>807</v>
      </c>
      <c r="G1368" s="66" t="s">
        <v>98</v>
      </c>
      <c r="H1368" s="18" t="s">
        <v>98</v>
      </c>
      <c r="I1368" s="18" t="s">
        <v>98</v>
      </c>
      <c r="J1368" s="18" t="s">
        <v>98</v>
      </c>
      <c r="K1368" s="18" t="s">
        <v>98</v>
      </c>
      <c r="L1368" s="18" t="s">
        <v>98</v>
      </c>
      <c r="M1368" s="18" t="s">
        <v>550</v>
      </c>
      <c r="N1368" s="18" t="s">
        <v>254</v>
      </c>
      <c r="O1368" s="18" t="s">
        <v>98</v>
      </c>
      <c r="P1368" s="15" t="str">
        <f t="shared" si="1"/>
        <v>VERIFY</v>
      </c>
      <c r="Q1368" s="15">
        <f t="shared" si="2"/>
        <v>5</v>
      </c>
      <c r="R1368" s="15">
        <f t="shared" si="3"/>
        <v>7</v>
      </c>
      <c r="S1368" s="15">
        <f t="shared" si="4"/>
        <v>5</v>
      </c>
      <c r="T1368" s="15" t="str">
        <f t="shared" si="5"/>
        <v>C-3</v>
      </c>
      <c r="U1368" s="15" t="str">
        <f t="shared" si="6"/>
        <v>T5-M7-H5-FC-3-VERIFY</v>
      </c>
      <c r="V1368" s="15">
        <f t="shared" si="7"/>
        <v>0</v>
      </c>
      <c r="W1368" s="31"/>
      <c r="X1368" s="15" t="str">
        <f t="shared" si="8"/>
        <v>bonn-germany</v>
      </c>
      <c r="Y1368" s="32" t="str">
        <f t="shared" si="9"/>
        <v>https://steelmanufacturer.in/market-area/electropolished-pipes-manufacturer-in-bonn-germany/</v>
      </c>
      <c r="Z1368" s="15" t="str">
        <f t="shared" si="10"/>
        <v>Electropolished Pipes Manufacturer in Bonn | Sanitary Tube Supply</v>
      </c>
      <c r="AA1368" s="15" t="str">
        <f t="shared" si="11"/>
        <v>OK (65)</v>
      </c>
      <c r="AB1368" s="15" t="str">
        <f t="shared" si="12"/>
        <v>Electropolished pipes in Bonn: 304, 304L, 316 and 316L in SF1-SF4. 24-30 days sea from Nhava Sheva to Hamburg. Mill certified.</v>
      </c>
      <c r="AC1368" s="15" t="str">
        <f t="shared" si="13"/>
        <v>PENDING RESEARCH</v>
      </c>
      <c r="AD1368" s="15" t="str">
        <f t="shared" si="14"/>
        <v>Electropolished Pipes Manufacturer in Bonn</v>
      </c>
      <c r="AE1368" s="15" t="str">
        <f t="shared" si="15"/>
        <v>Electropolished Tube Manufacturing Capability Serving Bonn</v>
      </c>
      <c r="AF1368" s="15" t="str">
        <f t="shared" si="16"/>
        <v>Electropolished Pipes Supplier in Bonn - From Order to Delivery</v>
      </c>
      <c r="AG1368" s="15" t="str">
        <f t="shared" si="17"/>
        <v>Stockist &amp; Wholesale Supply of Electropolished Pipes in Bonn</v>
      </c>
      <c r="AH1368" s="15" t="str">
        <f t="shared" si="18"/>
        <v>electropolished pipes manufacturer in Bonn, electropolished pipes supplier in Bonn, electropolished pipes wholesaler in Bonn, electropolished tube manufacturer Bonn, EP pipe supplier Bonn, sanitary tube supplier Bonn, ASME BPE tubing Bonn, ASTM A270 tube Bonn, SS 316L electropolished pipe Bonn</v>
      </c>
      <c r="AI1368" s="15" t="str">
        <f t="shared" si="19"/>
        <v>Electropolished Pipes Manufacturer &amp; Supplier in Bonn</v>
      </c>
      <c r="AJ1368" s="15" t="str">
        <f t="shared" si="20"/>
        <v>EP-finished SS 304/316L pipes and tubes for VERIFY plants in Bonn. ASME BPE SF1-SF4, Ra from 0.25 um, EN 10204 3.1 certificate with every lot.</v>
      </c>
      <c r="AK1368" s="15" t="str">
        <f t="shared" si="21"/>
        <v>Electropolished stainless steel pipes supplied by Sakshi Forge to VERIFY plants at VERIFY, Bonn</v>
      </c>
      <c r="AL1368" s="15" t="str">
        <f t="shared" si="22"/>
        <v>Electropolished SS 316L tube stock for Bonn - Sakshi Forge</v>
      </c>
      <c r="AM1368" s="15" t="str">
        <f t="shared" si="23"/>
        <v>Home &gt; Market Area &gt; Germany &gt; VERIFY &gt; Bonn</v>
      </c>
      <c r="AN1368" s="15">
        <f t="shared" si="24"/>
        <v>750</v>
      </c>
      <c r="AO1368" s="15">
        <f t="shared" si="25"/>
        <v>6</v>
      </c>
      <c r="AP1368" s="15">
        <f t="shared" si="26"/>
        <v>6</v>
      </c>
      <c r="AQ1368" s="15">
        <f t="shared" si="27"/>
        <v>23</v>
      </c>
      <c r="AR1368" s="31"/>
      <c r="AS1368" s="31"/>
      <c r="AT1368" s="35" t="s">
        <v>222</v>
      </c>
      <c r="AU1368" s="35"/>
    </row>
    <row r="1369" ht="15.75" customHeight="1">
      <c r="A1369" s="15" t="s">
        <v>6865</v>
      </c>
      <c r="B1369" s="15" t="s">
        <v>243</v>
      </c>
      <c r="C1369" s="15" t="s">
        <v>98</v>
      </c>
      <c r="D1369" s="15" t="s">
        <v>6866</v>
      </c>
      <c r="E1369" s="15" t="s">
        <v>6866</v>
      </c>
      <c r="F1369" s="58" t="s">
        <v>807</v>
      </c>
      <c r="G1369" s="66" t="s">
        <v>98</v>
      </c>
      <c r="H1369" s="18" t="s">
        <v>98</v>
      </c>
      <c r="I1369" s="18" t="s">
        <v>98</v>
      </c>
      <c r="J1369" s="18" t="s">
        <v>98</v>
      </c>
      <c r="K1369" s="18" t="s">
        <v>98</v>
      </c>
      <c r="L1369" s="18" t="s">
        <v>98</v>
      </c>
      <c r="M1369" s="18" t="s">
        <v>550</v>
      </c>
      <c r="N1369" s="18" t="s">
        <v>254</v>
      </c>
      <c r="O1369" s="18" t="s">
        <v>98</v>
      </c>
      <c r="P1369" s="15" t="str">
        <f t="shared" si="1"/>
        <v>VERIFY</v>
      </c>
      <c r="Q1369" s="15">
        <f t="shared" si="2"/>
        <v>6</v>
      </c>
      <c r="R1369" s="15">
        <f t="shared" si="3"/>
        <v>1</v>
      </c>
      <c r="S1369" s="15">
        <f t="shared" si="4"/>
        <v>1</v>
      </c>
      <c r="T1369" s="15" t="str">
        <f t="shared" si="5"/>
        <v>C-4</v>
      </c>
      <c r="U1369" s="15" t="str">
        <f t="shared" si="6"/>
        <v>T6-M1-H1-FC-4-VERIFY</v>
      </c>
      <c r="V1369" s="15">
        <f t="shared" si="7"/>
        <v>0</v>
      </c>
      <c r="W1369" s="31"/>
      <c r="X1369" s="15" t="str">
        <f t="shared" si="8"/>
        <v>braunschweig-germany</v>
      </c>
      <c r="Y1369" s="32" t="str">
        <f t="shared" si="9"/>
        <v>https://steelmanufacturer.in/market-area/electropolished-pipes-manufacturer-in-braunschweig-germany/</v>
      </c>
      <c r="Z1369" s="15" t="str">
        <f t="shared" si="10"/>
        <v>Electropolished Pipes Manufacturer in Braunschweig</v>
      </c>
      <c r="AA1369" s="15" t="str">
        <f t="shared" si="11"/>
        <v>OK (50)</v>
      </c>
      <c r="AB1369" s="15" t="str">
        <f t="shared" si="12"/>
        <v>EP-finished SS 304/316L pipes &amp; tubes for VERIFY plants in Braunschweig. ASTM A270, ASME BPE SF1-SF4, EN 10204 3.1 MTC. PMI tested.</v>
      </c>
      <c r="AC1369" s="15" t="str">
        <f t="shared" si="13"/>
        <v>PENDING RESEARCH</v>
      </c>
      <c r="AD1369" s="15" t="str">
        <f t="shared" si="14"/>
        <v>Electropolished Pipes Manufacturer in Braunschweig</v>
      </c>
      <c r="AE1369" s="15" t="str">
        <f t="shared" si="15"/>
        <v>Electropolished Pipe &amp; Tube Manufacturing for Braunschweig - Grades, Finishes &amp; Certification</v>
      </c>
      <c r="AF1369" s="15" t="str">
        <f t="shared" si="16"/>
        <v>Electropolished Pipes Supplier in Braunschweig - Stock Sizes, Lead Time &amp; Delivery</v>
      </c>
      <c r="AG1369" s="15" t="str">
        <f t="shared" si="17"/>
        <v>Electropolished Pipes Wholesaler &amp; Stockist in Braunschweig - Bulk &amp; Project Pricing</v>
      </c>
      <c r="AH1369" s="15" t="str">
        <f t="shared" si="18"/>
        <v>electropolished pipes manufacturer in Braunschweig, electropolished pipes supplier in Braunschweig, electropolished pipes wholesaler in Braunschweig, electropolished tube manufacturer Braunschweig, EP pipe supplier Braunschweig, sanitary tube supplier Braunschweig, ASME BPE tubing Braunschweig, ASTM A270 tube Braunschweig, SS 316L electropolished pipe Braunschweig</v>
      </c>
      <c r="AI1369" s="15" t="str">
        <f t="shared" si="19"/>
        <v>Electropolished Pipes Manufacturer &amp; Supplier in Braunschweig</v>
      </c>
      <c r="AJ1369" s="15" t="str">
        <f t="shared" si="20"/>
        <v>EP-finished SS 304/316L pipes and tubes for VERIFY plants in Braunschweig. ASME BPE SF1-SF4, Ra from 0.25 um, EN 10204 3.1 certificate with every lot.</v>
      </c>
      <c r="AK1369" s="15" t="str">
        <f t="shared" si="21"/>
        <v>Electropolished stainless steel pipes supplied by Sakshi Forge to VERIFY plants at VERIFY, Braunschweig</v>
      </c>
      <c r="AL1369" s="15" t="str">
        <f t="shared" si="22"/>
        <v>Electropolished SS 316L tube stock for Braunschweig - Sakshi Forge</v>
      </c>
      <c r="AM1369" s="15" t="str">
        <f t="shared" si="23"/>
        <v>Home &gt; Market Area &gt; Germany &gt; VERIFY &gt; Braunschweig</v>
      </c>
      <c r="AN1369" s="15">
        <f t="shared" si="24"/>
        <v>750</v>
      </c>
      <c r="AO1369" s="15">
        <f t="shared" si="25"/>
        <v>6</v>
      </c>
      <c r="AP1369" s="15">
        <f t="shared" si="26"/>
        <v>6</v>
      </c>
      <c r="AQ1369" s="15">
        <f t="shared" si="27"/>
        <v>23</v>
      </c>
      <c r="AR1369" s="31"/>
      <c r="AS1369" s="31"/>
      <c r="AT1369" s="35" t="s">
        <v>222</v>
      </c>
      <c r="AU1369" s="35"/>
    </row>
    <row r="1370" ht="15.75" customHeight="1">
      <c r="A1370" s="15" t="s">
        <v>6867</v>
      </c>
      <c r="B1370" s="15" t="s">
        <v>243</v>
      </c>
      <c r="C1370" s="15" t="s">
        <v>98</v>
      </c>
      <c r="D1370" s="15" t="s">
        <v>6868</v>
      </c>
      <c r="E1370" s="15" t="s">
        <v>6868</v>
      </c>
      <c r="F1370" s="58" t="s">
        <v>807</v>
      </c>
      <c r="G1370" s="66" t="s">
        <v>98</v>
      </c>
      <c r="H1370" s="18" t="s">
        <v>98</v>
      </c>
      <c r="I1370" s="18" t="s">
        <v>98</v>
      </c>
      <c r="J1370" s="18" t="s">
        <v>98</v>
      </c>
      <c r="K1370" s="18" t="s">
        <v>98</v>
      </c>
      <c r="L1370" s="18" t="s">
        <v>98</v>
      </c>
      <c r="M1370" s="18" t="s">
        <v>550</v>
      </c>
      <c r="N1370" s="18" t="s">
        <v>254</v>
      </c>
      <c r="O1370" s="18" t="s">
        <v>98</v>
      </c>
      <c r="P1370" s="15" t="str">
        <f t="shared" si="1"/>
        <v>VERIFY</v>
      </c>
      <c r="Q1370" s="15">
        <f t="shared" si="2"/>
        <v>7</v>
      </c>
      <c r="R1370" s="15">
        <f t="shared" si="3"/>
        <v>2</v>
      </c>
      <c r="S1370" s="15">
        <f t="shared" si="4"/>
        <v>2</v>
      </c>
      <c r="T1370" s="15" t="str">
        <f t="shared" si="5"/>
        <v>C-5</v>
      </c>
      <c r="U1370" s="15" t="str">
        <f t="shared" si="6"/>
        <v>T7-M2-H2-FC-5-VERIFY</v>
      </c>
      <c r="V1370" s="15">
        <f t="shared" si="7"/>
        <v>0</v>
      </c>
      <c r="W1370" s="31"/>
      <c r="X1370" s="15" t="str">
        <f t="shared" si="8"/>
        <v>celle-germany</v>
      </c>
      <c r="Y1370" s="32" t="str">
        <f t="shared" si="9"/>
        <v>https://steelmanufacturer.in/market-area/electropolished-pipes-manufacturer-in-celle-germany/</v>
      </c>
      <c r="Z1370" s="15" t="str">
        <f t="shared" si="10"/>
        <v>Electropolished Pipes Manufacturer in Celle | ASME BPE SF1-SF4</v>
      </c>
      <c r="AA1370" s="15" t="str">
        <f t="shared" si="11"/>
        <v>OK (62)</v>
      </c>
      <c r="AB1370" s="15" t="str">
        <f t="shared" si="12"/>
        <v>Electropolished tube supply to VERIFY, Celle. Ra from 0.25 um, SF4 finish, mill test certificate with every lot.</v>
      </c>
      <c r="AC1370" s="15" t="str">
        <f t="shared" si="13"/>
        <v>PENDING RESEARCH</v>
      </c>
      <c r="AD1370" s="15" t="str">
        <f t="shared" si="14"/>
        <v>Electropolished Pipes Manufacturer in Celle</v>
      </c>
      <c r="AE1370" s="15" t="str">
        <f t="shared" si="15"/>
        <v>How We Manufacture Electropolished Tube for Celle Plants</v>
      </c>
      <c r="AF1370" s="15" t="str">
        <f t="shared" si="16"/>
        <v>Supplying Electropolished Pipes in Celle: Availability, Sizes &amp; Dispatch</v>
      </c>
      <c r="AG1370" s="15" t="str">
        <f t="shared" si="17"/>
        <v>Wholesale Electropolished Pipe Supply for Celle Projects</v>
      </c>
      <c r="AH1370" s="15" t="str">
        <f t="shared" si="18"/>
        <v>electropolished pipes manufacturer in Celle, electropolished pipes supplier in Celle, electropolished pipes wholesaler in Celle, electropolished tube manufacturer Celle, EP pipe supplier Celle, sanitary tube supplier Celle, ASME BPE tubing Celle, ASTM A270 tube Celle, SS 316L electropolished pipe Celle</v>
      </c>
      <c r="AI1370" s="15" t="str">
        <f t="shared" si="19"/>
        <v>Electropolished Pipes Manufacturer &amp; Supplier in Celle</v>
      </c>
      <c r="AJ1370" s="15" t="str">
        <f t="shared" si="20"/>
        <v>EP-finished SS 304/316L pipes and tubes for VERIFY plants in Celle. ASME BPE SF1-SF4, Ra from 0.25 um, EN 10204 3.1 certificate with every lot.</v>
      </c>
      <c r="AK1370" s="15" t="str">
        <f t="shared" si="21"/>
        <v>Electropolished stainless steel pipes supplied by Sakshi Forge to VERIFY plants at VERIFY, Celle</v>
      </c>
      <c r="AL1370" s="15" t="str">
        <f t="shared" si="22"/>
        <v>Electropolished SS 316L tube stock for Celle - Sakshi Forge</v>
      </c>
      <c r="AM1370" s="15" t="str">
        <f t="shared" si="23"/>
        <v>Home &gt; Market Area &gt; Germany &gt; VERIFY &gt; Celle</v>
      </c>
      <c r="AN1370" s="15">
        <f t="shared" si="24"/>
        <v>750</v>
      </c>
      <c r="AO1370" s="15">
        <f t="shared" si="25"/>
        <v>6</v>
      </c>
      <c r="AP1370" s="15">
        <f t="shared" si="26"/>
        <v>6</v>
      </c>
      <c r="AQ1370" s="15">
        <f t="shared" si="27"/>
        <v>23</v>
      </c>
      <c r="AR1370" s="31"/>
      <c r="AS1370" s="31"/>
      <c r="AT1370" s="35" t="s">
        <v>222</v>
      </c>
      <c r="AU1370" s="35"/>
    </row>
    <row r="1371" ht="15.75" customHeight="1">
      <c r="A1371" s="15" t="s">
        <v>6873</v>
      </c>
      <c r="B1371" s="15" t="s">
        <v>243</v>
      </c>
      <c r="C1371" s="15" t="s">
        <v>98</v>
      </c>
      <c r="D1371" s="15" t="s">
        <v>6876</v>
      </c>
      <c r="E1371" s="15" t="s">
        <v>6876</v>
      </c>
      <c r="F1371" s="58" t="s">
        <v>807</v>
      </c>
      <c r="G1371" s="66" t="s">
        <v>98</v>
      </c>
      <c r="H1371" s="18" t="s">
        <v>98</v>
      </c>
      <c r="I1371" s="18" t="s">
        <v>98</v>
      </c>
      <c r="J1371" s="18" t="s">
        <v>98</v>
      </c>
      <c r="K1371" s="18" t="s">
        <v>98</v>
      </c>
      <c r="L1371" s="18" t="s">
        <v>98</v>
      </c>
      <c r="M1371" s="18" t="s">
        <v>550</v>
      </c>
      <c r="N1371" s="18" t="s">
        <v>254</v>
      </c>
      <c r="O1371" s="18" t="s">
        <v>98</v>
      </c>
      <c r="P1371" s="15" t="str">
        <f t="shared" si="1"/>
        <v>VERIFY</v>
      </c>
      <c r="Q1371" s="15">
        <f t="shared" si="2"/>
        <v>8</v>
      </c>
      <c r="R1371" s="15">
        <f t="shared" si="3"/>
        <v>3</v>
      </c>
      <c r="S1371" s="15">
        <f t="shared" si="4"/>
        <v>3</v>
      </c>
      <c r="T1371" s="15" t="str">
        <f t="shared" si="5"/>
        <v>C-6</v>
      </c>
      <c r="U1371" s="15" t="str">
        <f t="shared" si="6"/>
        <v>T8-M3-H3-FC-6-VERIFY</v>
      </c>
      <c r="V1371" s="15">
        <f t="shared" si="7"/>
        <v>0</v>
      </c>
      <c r="W1371" s="31"/>
      <c r="X1371" s="15" t="str">
        <f t="shared" si="8"/>
        <v>cottbus-germany</v>
      </c>
      <c r="Y1371" s="32" t="str">
        <f t="shared" si="9"/>
        <v>https://steelmanufacturer.in/market-area/electropolished-pipes-manufacturer-in-cottbus-germany/</v>
      </c>
      <c r="Z1371" s="15" t="str">
        <f t="shared" si="10"/>
        <v>Electropolished Pipes Manufacturer in Cottbus - EP Tube Stockist</v>
      </c>
      <c r="AA1371" s="15" t="str">
        <f t="shared" si="11"/>
        <v>OK (64)</v>
      </c>
      <c r="AB1371" s="15" t="str">
        <f t="shared" si="12"/>
        <v>EP stainless tube for VERIFY lines in Cottbus. 24-30 days sea from Nhava Sheva to Hamburg. ASTM A270 S2, PMI tested, EN 10204 3.1.</v>
      </c>
      <c r="AC1371" s="15" t="str">
        <f t="shared" si="13"/>
        <v>PENDING RESEARCH</v>
      </c>
      <c r="AD1371" s="15" t="str">
        <f t="shared" si="14"/>
        <v>Electropolished Pipes Manufacturer in Cottbus</v>
      </c>
      <c r="AE1371" s="15" t="str">
        <f t="shared" si="15"/>
        <v>Electropolished Pipes Manufacturer in Cottbus - Our Process &amp; Capability</v>
      </c>
      <c r="AF1371" s="15" t="str">
        <f t="shared" si="16"/>
        <v>Electropolished Pipes Supplier in Cottbus - What We Hold in Stock</v>
      </c>
      <c r="AG1371" s="15" t="str">
        <f t="shared" si="17"/>
        <v>Bulk &amp; Wholesale Electropolished Pipe Rates for Cottbus Buyers</v>
      </c>
      <c r="AH1371" s="15" t="str">
        <f t="shared" si="18"/>
        <v>electropolished pipes manufacturer in Cottbus, electropolished pipes supplier in Cottbus, electropolished pipes wholesaler in Cottbus, electropolished tube manufacturer Cottbus, EP pipe supplier Cottbus, sanitary tube supplier Cottbus, ASME BPE tubing Cottbus, ASTM A270 tube Cottbus, SS 316L electropolished pipe Cottbus</v>
      </c>
      <c r="AI1371" s="15" t="str">
        <f t="shared" si="19"/>
        <v>Electropolished Pipes Manufacturer &amp; Supplier in Cottbus</v>
      </c>
      <c r="AJ1371" s="15" t="str">
        <f t="shared" si="20"/>
        <v>EP-finished SS 304/316L pipes and tubes for VERIFY plants in Cottbus. ASME BPE SF1-SF4, Ra from 0.25 um, EN 10204 3.1 certificate with every lot.</v>
      </c>
      <c r="AK1371" s="15" t="str">
        <f t="shared" si="21"/>
        <v>Electropolished stainless steel pipes supplied by Sakshi Forge to VERIFY plants at VERIFY, Cottbus</v>
      </c>
      <c r="AL1371" s="15" t="str">
        <f t="shared" si="22"/>
        <v>Electropolished SS 316L tube stock for Cottbus - Sakshi Forge</v>
      </c>
      <c r="AM1371" s="15" t="str">
        <f t="shared" si="23"/>
        <v>Home &gt; Market Area &gt; Germany &gt; VERIFY &gt; Cottbus</v>
      </c>
      <c r="AN1371" s="15">
        <f t="shared" si="24"/>
        <v>750</v>
      </c>
      <c r="AO1371" s="15">
        <f t="shared" si="25"/>
        <v>6</v>
      </c>
      <c r="AP1371" s="15">
        <f t="shared" si="26"/>
        <v>6</v>
      </c>
      <c r="AQ1371" s="15">
        <f t="shared" si="27"/>
        <v>23</v>
      </c>
      <c r="AR1371" s="31"/>
      <c r="AS1371" s="31"/>
      <c r="AT1371" s="35" t="s">
        <v>222</v>
      </c>
      <c r="AU1371" s="35"/>
    </row>
    <row r="1372" ht="15.75" customHeight="1">
      <c r="A1372" s="15" t="s">
        <v>6878</v>
      </c>
      <c r="B1372" s="15" t="s">
        <v>243</v>
      </c>
      <c r="C1372" s="15" t="s">
        <v>98</v>
      </c>
      <c r="D1372" s="15" t="s">
        <v>6879</v>
      </c>
      <c r="E1372" s="15" t="s">
        <v>6879</v>
      </c>
      <c r="F1372" s="58" t="s">
        <v>807</v>
      </c>
      <c r="G1372" s="66" t="s">
        <v>98</v>
      </c>
      <c r="H1372" s="18" t="s">
        <v>98</v>
      </c>
      <c r="I1372" s="18" t="s">
        <v>98</v>
      </c>
      <c r="J1372" s="18" t="s">
        <v>98</v>
      </c>
      <c r="K1372" s="18" t="s">
        <v>98</v>
      </c>
      <c r="L1372" s="18" t="s">
        <v>98</v>
      </c>
      <c r="M1372" s="18" t="s">
        <v>550</v>
      </c>
      <c r="N1372" s="18" t="s">
        <v>254</v>
      </c>
      <c r="O1372" s="18" t="s">
        <v>98</v>
      </c>
      <c r="P1372" s="15" t="str">
        <f t="shared" si="1"/>
        <v>VERIFY</v>
      </c>
      <c r="Q1372" s="15">
        <f t="shared" si="2"/>
        <v>1</v>
      </c>
      <c r="R1372" s="15">
        <f t="shared" si="3"/>
        <v>4</v>
      </c>
      <c r="S1372" s="15">
        <f t="shared" si="4"/>
        <v>4</v>
      </c>
      <c r="T1372" s="15" t="str">
        <f t="shared" si="5"/>
        <v>C-1</v>
      </c>
      <c r="U1372" s="15" t="str">
        <f t="shared" si="6"/>
        <v>T1-M4-H4-FC-1-VERIFY</v>
      </c>
      <c r="V1372" s="15">
        <f t="shared" si="7"/>
        <v>0</v>
      </c>
      <c r="W1372" s="31"/>
      <c r="X1372" s="15" t="str">
        <f t="shared" si="8"/>
        <v>darmstadt-germany</v>
      </c>
      <c r="Y1372" s="32" t="str">
        <f t="shared" si="9"/>
        <v>https://steelmanufacturer.in/market-area/electropolished-pipes-manufacturer-in-darmstadt-germany/</v>
      </c>
      <c r="Z1372" s="15" t="str">
        <f t="shared" si="10"/>
        <v>Electropolished Pipes Manufacturer in Darmstadt | Sakshi Forge</v>
      </c>
      <c r="AA1372" s="15" t="str">
        <f t="shared" si="11"/>
        <v>OK (62)</v>
      </c>
      <c r="AB1372" s="15" t="str">
        <f t="shared" si="12"/>
        <v>Sanitary electropolished pipes in Darmstadt for VERIFY plants. ASME BPE SF1-SF4, orbital-weld ready, 3.1 MTC. Mumbai-made.</v>
      </c>
      <c r="AC1372" s="15" t="str">
        <f t="shared" si="13"/>
        <v>PENDING RESEARCH</v>
      </c>
      <c r="AD1372" s="15" t="str">
        <f t="shared" si="14"/>
        <v>Electropolished Pipes Manufacturer in Darmstadt</v>
      </c>
      <c r="AE1372" s="15" t="str">
        <f t="shared" si="15"/>
        <v>Manufacturing Electropolished SS Tube for Darmstadt: The Standards We Build To</v>
      </c>
      <c r="AF1372" s="15" t="str">
        <f t="shared" si="16"/>
        <v>Electropolished Pipe Supply Into Darmstadt - Certification &amp; Transit</v>
      </c>
      <c r="AG1372" s="15" t="str">
        <f t="shared" si="17"/>
        <v>Electropolished Pipes Wholesaler in Darmstadt - Project Quantities &amp; Terms</v>
      </c>
      <c r="AH1372" s="15" t="str">
        <f t="shared" si="18"/>
        <v>electropolished pipes manufacturer in Darmstadt, electropolished pipes supplier in Darmstadt, electropolished pipes wholesaler in Darmstadt, electropolished tube manufacturer Darmstadt, EP pipe supplier Darmstadt, sanitary tube supplier Darmstadt, ASME BPE tubing Darmstadt, ASTM A270 tube Darmstadt, SS 316L electropolished pipe Darmstadt</v>
      </c>
      <c r="AI1372" s="15" t="str">
        <f t="shared" si="19"/>
        <v>Electropolished Pipes Manufacturer &amp; Supplier in Darmstadt</v>
      </c>
      <c r="AJ1372" s="15" t="str">
        <f t="shared" si="20"/>
        <v>EP-finished SS 304/316L pipes and tubes for VERIFY plants in Darmstadt. ASME BPE SF1-SF4, Ra from 0.25 um, EN 10204 3.1 certificate with every lot.</v>
      </c>
      <c r="AK1372" s="15" t="str">
        <f t="shared" si="21"/>
        <v>Electropolished stainless steel pipes supplied by Sakshi Forge to VERIFY plants at VERIFY, Darmstadt</v>
      </c>
      <c r="AL1372" s="15" t="str">
        <f t="shared" si="22"/>
        <v>Electropolished SS 316L tube stock for Darmstadt - Sakshi Forge</v>
      </c>
      <c r="AM1372" s="15" t="str">
        <f t="shared" si="23"/>
        <v>Home &gt; Market Area &gt; Germany &gt; VERIFY &gt; Darmstadt</v>
      </c>
      <c r="AN1372" s="15">
        <f t="shared" si="24"/>
        <v>750</v>
      </c>
      <c r="AO1372" s="15">
        <f t="shared" si="25"/>
        <v>6</v>
      </c>
      <c r="AP1372" s="15">
        <f t="shared" si="26"/>
        <v>6</v>
      </c>
      <c r="AQ1372" s="15">
        <f t="shared" si="27"/>
        <v>23</v>
      </c>
      <c r="AR1372" s="31"/>
      <c r="AS1372" s="31"/>
      <c r="AT1372" s="35" t="s">
        <v>222</v>
      </c>
      <c r="AU1372" s="35"/>
    </row>
    <row r="1373" ht="15.75" customHeight="1">
      <c r="A1373" s="15" t="s">
        <v>6880</v>
      </c>
      <c r="B1373" s="15" t="s">
        <v>243</v>
      </c>
      <c r="C1373" s="15" t="s">
        <v>98</v>
      </c>
      <c r="D1373" s="15" t="s">
        <v>6881</v>
      </c>
      <c r="E1373" s="15" t="s">
        <v>6881</v>
      </c>
      <c r="F1373" s="58" t="s">
        <v>807</v>
      </c>
      <c r="G1373" s="66" t="s">
        <v>98</v>
      </c>
      <c r="H1373" s="18" t="s">
        <v>98</v>
      </c>
      <c r="I1373" s="18" t="s">
        <v>98</v>
      </c>
      <c r="J1373" s="18" t="s">
        <v>98</v>
      </c>
      <c r="K1373" s="18" t="s">
        <v>98</v>
      </c>
      <c r="L1373" s="18" t="s">
        <v>98</v>
      </c>
      <c r="M1373" s="18" t="s">
        <v>550</v>
      </c>
      <c r="N1373" s="18" t="s">
        <v>254</v>
      </c>
      <c r="O1373" s="18" t="s">
        <v>98</v>
      </c>
      <c r="P1373" s="15" t="str">
        <f t="shared" si="1"/>
        <v>VERIFY</v>
      </c>
      <c r="Q1373" s="15">
        <f t="shared" si="2"/>
        <v>2</v>
      </c>
      <c r="R1373" s="15">
        <f t="shared" si="3"/>
        <v>5</v>
      </c>
      <c r="S1373" s="15">
        <f t="shared" si="4"/>
        <v>5</v>
      </c>
      <c r="T1373" s="15" t="str">
        <f t="shared" si="5"/>
        <v>C-2</v>
      </c>
      <c r="U1373" s="15" t="str">
        <f t="shared" si="6"/>
        <v>T2-M5-H5-FC-2-VERIFY</v>
      </c>
      <c r="V1373" s="15">
        <f t="shared" si="7"/>
        <v>0</v>
      </c>
      <c r="W1373" s="31"/>
      <c r="X1373" s="15" t="str">
        <f t="shared" si="8"/>
        <v>dessau-germany</v>
      </c>
      <c r="Y1373" s="32" t="str">
        <f t="shared" si="9"/>
        <v>https://steelmanufacturer.in/market-area/electropolished-pipes-manufacturer-in-dessau-germany/</v>
      </c>
      <c r="Z1373" s="15" t="str">
        <f t="shared" si="10"/>
        <v>Electropolished Pipes Manufacturer in Dessau</v>
      </c>
      <c r="AA1373" s="15" t="str">
        <f t="shared" si="11"/>
        <v>OK (44)</v>
      </c>
      <c r="AB1373" s="15" t="str">
        <f t="shared" si="12"/>
        <v>Manufacturer of electropolished SS 316L tube serving Dessau. 24-30 days sea from Nhava Sheva to Hamburg. Ra 0.25-0.5 um, EN 10204 3.1 MTC.</v>
      </c>
      <c r="AC1373" s="15" t="str">
        <f t="shared" si="13"/>
        <v>PENDING RESEARCH</v>
      </c>
      <c r="AD1373" s="15" t="str">
        <f t="shared" si="14"/>
        <v>Electropolished Pipes Manufacturer in Dessau</v>
      </c>
      <c r="AE1373" s="15" t="str">
        <f t="shared" si="15"/>
        <v>Electropolished Tube Manufacturing Capability Serving Dessau</v>
      </c>
      <c r="AF1373" s="15" t="str">
        <f t="shared" si="16"/>
        <v>Electropolished Pipes Supplier in Dessau - From Order to Delivery</v>
      </c>
      <c r="AG1373" s="15" t="str">
        <f t="shared" si="17"/>
        <v>Stockist &amp; Wholesale Supply of Electropolished Pipes in Dessau</v>
      </c>
      <c r="AH1373" s="15" t="str">
        <f t="shared" si="18"/>
        <v>electropolished pipes manufacturer in Dessau, electropolished pipes supplier in Dessau, electropolished pipes wholesaler in Dessau, electropolished tube manufacturer Dessau, EP pipe supplier Dessau, sanitary tube supplier Dessau, ASME BPE tubing Dessau, ASTM A270 tube Dessau, SS 316L electropolished pipe Dessau</v>
      </c>
      <c r="AI1373" s="15" t="str">
        <f t="shared" si="19"/>
        <v>Electropolished Pipes Manufacturer &amp; Supplier in Dessau</v>
      </c>
      <c r="AJ1373" s="15" t="str">
        <f t="shared" si="20"/>
        <v>EP-finished SS 304/316L pipes and tubes for VERIFY plants in Dessau. ASME BPE SF1-SF4, Ra from 0.25 um, EN 10204 3.1 certificate with every lot.</v>
      </c>
      <c r="AK1373" s="15" t="str">
        <f t="shared" si="21"/>
        <v>Electropolished stainless steel pipes supplied by Sakshi Forge to VERIFY plants at VERIFY, Dessau</v>
      </c>
      <c r="AL1373" s="15" t="str">
        <f t="shared" si="22"/>
        <v>Electropolished SS 316L tube stock for Dessau - Sakshi Forge</v>
      </c>
      <c r="AM1373" s="15" t="str">
        <f t="shared" si="23"/>
        <v>Home &gt; Market Area &gt; Germany &gt; VERIFY &gt; Dessau</v>
      </c>
      <c r="AN1373" s="15">
        <f t="shared" si="24"/>
        <v>750</v>
      </c>
      <c r="AO1373" s="15">
        <f t="shared" si="25"/>
        <v>6</v>
      </c>
      <c r="AP1373" s="15">
        <f t="shared" si="26"/>
        <v>6</v>
      </c>
      <c r="AQ1373" s="15">
        <f t="shared" si="27"/>
        <v>23</v>
      </c>
      <c r="AR1373" s="31"/>
      <c r="AS1373" s="31"/>
      <c r="AT1373" s="35" t="s">
        <v>222</v>
      </c>
      <c r="AU1373" s="35"/>
    </row>
    <row r="1374" ht="15.75" customHeight="1">
      <c r="A1374" s="15" t="s">
        <v>6882</v>
      </c>
      <c r="B1374" s="15" t="s">
        <v>243</v>
      </c>
      <c r="C1374" s="15" t="s">
        <v>98</v>
      </c>
      <c r="D1374" s="15" t="s">
        <v>6883</v>
      </c>
      <c r="E1374" s="15" t="s">
        <v>6883</v>
      </c>
      <c r="F1374" s="58" t="s">
        <v>807</v>
      </c>
      <c r="G1374" s="66" t="s">
        <v>98</v>
      </c>
      <c r="H1374" s="18" t="s">
        <v>98</v>
      </c>
      <c r="I1374" s="18" t="s">
        <v>98</v>
      </c>
      <c r="J1374" s="18" t="s">
        <v>98</v>
      </c>
      <c r="K1374" s="18" t="s">
        <v>98</v>
      </c>
      <c r="L1374" s="18" t="s">
        <v>98</v>
      </c>
      <c r="M1374" s="18" t="s">
        <v>550</v>
      </c>
      <c r="N1374" s="18" t="s">
        <v>254</v>
      </c>
      <c r="O1374" s="18" t="s">
        <v>98</v>
      </c>
      <c r="P1374" s="15" t="str">
        <f t="shared" si="1"/>
        <v>VERIFY</v>
      </c>
      <c r="Q1374" s="15">
        <f t="shared" si="2"/>
        <v>3</v>
      </c>
      <c r="R1374" s="15">
        <f t="shared" si="3"/>
        <v>6</v>
      </c>
      <c r="S1374" s="15">
        <f t="shared" si="4"/>
        <v>1</v>
      </c>
      <c r="T1374" s="15" t="str">
        <f t="shared" si="5"/>
        <v>C-3</v>
      </c>
      <c r="U1374" s="15" t="str">
        <f t="shared" si="6"/>
        <v>T3-M6-H1-FC-3-VERIFY</v>
      </c>
      <c r="V1374" s="15">
        <f t="shared" si="7"/>
        <v>0</v>
      </c>
      <c r="W1374" s="31"/>
      <c r="X1374" s="15" t="str">
        <f t="shared" si="8"/>
        <v>emden-germany</v>
      </c>
      <c r="Y1374" s="32" t="str">
        <f t="shared" si="9"/>
        <v>https://steelmanufacturer.in/market-area/electropolished-pipes-manufacturer-in-emden-germany/</v>
      </c>
      <c r="Z1374" s="15" t="str">
        <f t="shared" si="10"/>
        <v>Electropolished Pipes Manufacturer in Emden | EP Tube Supplier</v>
      </c>
      <c r="AA1374" s="15" t="str">
        <f t="shared" si="11"/>
        <v>OK (62)</v>
      </c>
      <c r="AB1374" s="15" t="str">
        <f t="shared" si="12"/>
        <v>EP tube and pipe for VERIFY plants around VERIFY, Emden. Made at our Mumbai works to ASTM A270 and ASME BPE SF1-SF4, with 3.1 MTC.</v>
      </c>
      <c r="AC1374" s="15" t="str">
        <f t="shared" si="13"/>
        <v>PENDING RESEARCH</v>
      </c>
      <c r="AD1374" s="15" t="str">
        <f t="shared" si="14"/>
        <v>Electropolished Pipes Manufacturer in Emden</v>
      </c>
      <c r="AE1374" s="15" t="str">
        <f t="shared" si="15"/>
        <v>Electropolished Pipe &amp; Tube Manufacturing for Emden - Grades, Finishes &amp; Certification</v>
      </c>
      <c r="AF1374" s="15" t="str">
        <f t="shared" si="16"/>
        <v>Electropolished Pipes Supplier in Emden - Stock Sizes, Lead Time &amp; Delivery</v>
      </c>
      <c r="AG1374" s="15" t="str">
        <f t="shared" si="17"/>
        <v>Electropolished Pipes Wholesaler &amp; Stockist in Emden - Bulk &amp; Project Pricing</v>
      </c>
      <c r="AH1374" s="15" t="str">
        <f t="shared" si="18"/>
        <v>electropolished pipes manufacturer in Emden, electropolished pipes supplier in Emden, electropolished pipes wholesaler in Emden, electropolished tube manufacturer Emden, EP pipe supplier Emden, sanitary tube supplier Emden, ASME BPE tubing Emden, ASTM A270 tube Emden, SS 316L electropolished pipe Emden</v>
      </c>
      <c r="AI1374" s="15" t="str">
        <f t="shared" si="19"/>
        <v>Electropolished Pipes Manufacturer &amp; Supplier in Emden</v>
      </c>
      <c r="AJ1374" s="15" t="str">
        <f t="shared" si="20"/>
        <v>EP-finished SS 304/316L pipes and tubes for VERIFY plants in Emden. ASME BPE SF1-SF4, Ra from 0.25 um, EN 10204 3.1 certificate with every lot.</v>
      </c>
      <c r="AK1374" s="15" t="str">
        <f t="shared" si="21"/>
        <v>Electropolished stainless steel pipes supplied by Sakshi Forge to VERIFY plants at VERIFY, Emden</v>
      </c>
      <c r="AL1374" s="15" t="str">
        <f t="shared" si="22"/>
        <v>Electropolished SS 316L tube stock for Emden - Sakshi Forge</v>
      </c>
      <c r="AM1374" s="15" t="str">
        <f t="shared" si="23"/>
        <v>Home &gt; Market Area &gt; Germany &gt; VERIFY &gt; Emden</v>
      </c>
      <c r="AN1374" s="15">
        <f t="shared" si="24"/>
        <v>750</v>
      </c>
      <c r="AO1374" s="15">
        <f t="shared" si="25"/>
        <v>6</v>
      </c>
      <c r="AP1374" s="15">
        <f t="shared" si="26"/>
        <v>6</v>
      </c>
      <c r="AQ1374" s="15">
        <f t="shared" si="27"/>
        <v>23</v>
      </c>
      <c r="AR1374" s="31"/>
      <c r="AS1374" s="31"/>
      <c r="AT1374" s="35" t="s">
        <v>222</v>
      </c>
      <c r="AU1374" s="35"/>
    </row>
    <row r="1375" ht="15.75" customHeight="1">
      <c r="A1375" s="15" t="s">
        <v>6884</v>
      </c>
      <c r="B1375" s="15" t="s">
        <v>243</v>
      </c>
      <c r="C1375" s="15" t="s">
        <v>98</v>
      </c>
      <c r="D1375" s="15" t="s">
        <v>6885</v>
      </c>
      <c r="E1375" s="15" t="s">
        <v>6885</v>
      </c>
      <c r="F1375" s="58" t="s">
        <v>807</v>
      </c>
      <c r="G1375" s="66" t="s">
        <v>98</v>
      </c>
      <c r="H1375" s="18" t="s">
        <v>98</v>
      </c>
      <c r="I1375" s="18" t="s">
        <v>98</v>
      </c>
      <c r="J1375" s="18" t="s">
        <v>98</v>
      </c>
      <c r="K1375" s="18" t="s">
        <v>98</v>
      </c>
      <c r="L1375" s="18" t="s">
        <v>98</v>
      </c>
      <c r="M1375" s="18" t="s">
        <v>550</v>
      </c>
      <c r="N1375" s="18" t="s">
        <v>254</v>
      </c>
      <c r="O1375" s="18" t="s">
        <v>98</v>
      </c>
      <c r="P1375" s="15" t="str">
        <f t="shared" si="1"/>
        <v>VERIFY</v>
      </c>
      <c r="Q1375" s="15">
        <f t="shared" si="2"/>
        <v>4</v>
      </c>
      <c r="R1375" s="15">
        <f t="shared" si="3"/>
        <v>7</v>
      </c>
      <c r="S1375" s="15">
        <f t="shared" si="4"/>
        <v>2</v>
      </c>
      <c r="T1375" s="15" t="str">
        <f t="shared" si="5"/>
        <v>C-4</v>
      </c>
      <c r="U1375" s="15" t="str">
        <f t="shared" si="6"/>
        <v>T4-M7-H2-FC-4-VERIFY</v>
      </c>
      <c r="V1375" s="15">
        <f t="shared" si="7"/>
        <v>0</v>
      </c>
      <c r="W1375" s="31"/>
      <c r="X1375" s="15" t="str">
        <f t="shared" si="8"/>
        <v>erfurt-germany</v>
      </c>
      <c r="Y1375" s="32" t="str">
        <f t="shared" si="9"/>
        <v>https://steelmanufacturer.in/market-area/electropolished-pipes-manufacturer-in-erfurt-germany/</v>
      </c>
      <c r="Z1375" s="15" t="str">
        <f t="shared" si="10"/>
        <v>Electropolished Pipes Manufacturer in Erfurt</v>
      </c>
      <c r="AA1375" s="15" t="str">
        <f t="shared" si="11"/>
        <v>OK (44)</v>
      </c>
      <c r="AB1375" s="15" t="str">
        <f t="shared" si="12"/>
        <v>Electropolished pipes in Erfurt: 304, 304L, 316 and 316L in SF1-SF4. 24-30 days sea from Nhava Sheva to Hamburg. Mill certified.</v>
      </c>
      <c r="AC1375" s="15" t="str">
        <f t="shared" si="13"/>
        <v>PENDING RESEARCH</v>
      </c>
      <c r="AD1375" s="15" t="str">
        <f t="shared" si="14"/>
        <v>Electropolished Pipes Manufacturer in Erfurt</v>
      </c>
      <c r="AE1375" s="15" t="str">
        <f t="shared" si="15"/>
        <v>How We Manufacture Electropolished Tube for Erfurt Plants</v>
      </c>
      <c r="AF1375" s="15" t="str">
        <f t="shared" si="16"/>
        <v>Supplying Electropolished Pipes in Erfurt: Availability, Sizes &amp; Dispatch</v>
      </c>
      <c r="AG1375" s="15" t="str">
        <f t="shared" si="17"/>
        <v>Wholesale Electropolished Pipe Supply for Erfurt Projects</v>
      </c>
      <c r="AH1375" s="15" t="str">
        <f t="shared" si="18"/>
        <v>electropolished pipes manufacturer in Erfurt, electropolished pipes supplier in Erfurt, electropolished pipes wholesaler in Erfurt, electropolished tube manufacturer Erfurt, EP pipe supplier Erfurt, sanitary tube supplier Erfurt, ASME BPE tubing Erfurt, ASTM A270 tube Erfurt, SS 316L electropolished pipe Erfurt</v>
      </c>
      <c r="AI1375" s="15" t="str">
        <f t="shared" si="19"/>
        <v>Electropolished Pipes Manufacturer &amp; Supplier in Erfurt</v>
      </c>
      <c r="AJ1375" s="15" t="str">
        <f t="shared" si="20"/>
        <v>EP-finished SS 304/316L pipes and tubes for VERIFY plants in Erfurt. ASME BPE SF1-SF4, Ra from 0.25 um, EN 10204 3.1 certificate with every lot.</v>
      </c>
      <c r="AK1375" s="15" t="str">
        <f t="shared" si="21"/>
        <v>Electropolished stainless steel pipes supplied by Sakshi Forge to VERIFY plants at VERIFY, Erfurt</v>
      </c>
      <c r="AL1375" s="15" t="str">
        <f t="shared" si="22"/>
        <v>Electropolished SS 316L tube stock for Erfurt - Sakshi Forge</v>
      </c>
      <c r="AM1375" s="15" t="str">
        <f t="shared" si="23"/>
        <v>Home &gt; Market Area &gt; Germany &gt; VERIFY &gt; Erfurt</v>
      </c>
      <c r="AN1375" s="15">
        <f t="shared" si="24"/>
        <v>750</v>
      </c>
      <c r="AO1375" s="15">
        <f t="shared" si="25"/>
        <v>6</v>
      </c>
      <c r="AP1375" s="15">
        <f t="shared" si="26"/>
        <v>6</v>
      </c>
      <c r="AQ1375" s="15">
        <f t="shared" si="27"/>
        <v>23</v>
      </c>
      <c r="AR1375" s="31"/>
      <c r="AS1375" s="31"/>
      <c r="AT1375" s="35" t="s">
        <v>222</v>
      </c>
      <c r="AU1375" s="35"/>
    </row>
    <row r="1376" ht="15.75" customHeight="1">
      <c r="A1376" s="15" t="s">
        <v>6886</v>
      </c>
      <c r="B1376" s="15" t="s">
        <v>243</v>
      </c>
      <c r="C1376" s="15" t="s">
        <v>98</v>
      </c>
      <c r="D1376" s="15" t="s">
        <v>6887</v>
      </c>
      <c r="E1376" s="15" t="s">
        <v>6887</v>
      </c>
      <c r="F1376" s="58" t="s">
        <v>807</v>
      </c>
      <c r="G1376" s="66" t="s">
        <v>98</v>
      </c>
      <c r="H1376" s="18" t="s">
        <v>98</v>
      </c>
      <c r="I1376" s="18" t="s">
        <v>98</v>
      </c>
      <c r="J1376" s="18" t="s">
        <v>98</v>
      </c>
      <c r="K1376" s="18" t="s">
        <v>98</v>
      </c>
      <c r="L1376" s="18" t="s">
        <v>98</v>
      </c>
      <c r="M1376" s="18" t="s">
        <v>550</v>
      </c>
      <c r="N1376" s="18" t="s">
        <v>254</v>
      </c>
      <c r="O1376" s="18" t="s">
        <v>98</v>
      </c>
      <c r="P1376" s="15" t="str">
        <f t="shared" si="1"/>
        <v>VERIFY</v>
      </c>
      <c r="Q1376" s="15">
        <f t="shared" si="2"/>
        <v>5</v>
      </c>
      <c r="R1376" s="15">
        <f t="shared" si="3"/>
        <v>1</v>
      </c>
      <c r="S1376" s="15">
        <f t="shared" si="4"/>
        <v>3</v>
      </c>
      <c r="T1376" s="15" t="str">
        <f t="shared" si="5"/>
        <v>C-5</v>
      </c>
      <c r="U1376" s="15" t="str">
        <f t="shared" si="6"/>
        <v>T5-M1-H3-FC-5-VERIFY</v>
      </c>
      <c r="V1376" s="15">
        <f t="shared" si="7"/>
        <v>0</v>
      </c>
      <c r="W1376" s="31"/>
      <c r="X1376" s="15" t="str">
        <f t="shared" si="8"/>
        <v>erlangen-germany</v>
      </c>
      <c r="Y1376" s="32" t="str">
        <f t="shared" si="9"/>
        <v>https://steelmanufacturer.in/market-area/electropolished-pipes-manufacturer-in-erlangen-germany/</v>
      </c>
      <c r="Z1376" s="15" t="str">
        <f t="shared" si="10"/>
        <v>Electropolished Pipes Manufacturer in Erlangen</v>
      </c>
      <c r="AA1376" s="15" t="str">
        <f t="shared" si="11"/>
        <v>OK (46)</v>
      </c>
      <c r="AB1376" s="15" t="str">
        <f t="shared" si="12"/>
        <v>EP-finished SS 304/316L pipes &amp; tubes for VERIFY plants in Erlangen. ASTM A270, ASME BPE SF1-SF4, EN 10204 3.1 MTC. PMI tested.</v>
      </c>
      <c r="AC1376" s="15" t="str">
        <f t="shared" si="13"/>
        <v>PENDING RESEARCH</v>
      </c>
      <c r="AD1376" s="15" t="str">
        <f t="shared" si="14"/>
        <v>Electropolished Pipes Manufacturer in Erlangen</v>
      </c>
      <c r="AE1376" s="15" t="str">
        <f t="shared" si="15"/>
        <v>Electropolished Pipes Manufacturer in Erlangen - Our Process &amp; Capability</v>
      </c>
      <c r="AF1376" s="15" t="str">
        <f t="shared" si="16"/>
        <v>Electropolished Pipes Supplier in Erlangen - What We Hold in Stock</v>
      </c>
      <c r="AG1376" s="15" t="str">
        <f t="shared" si="17"/>
        <v>Bulk &amp; Wholesale Electropolished Pipe Rates for Erlangen Buyers</v>
      </c>
      <c r="AH1376" s="15" t="str">
        <f t="shared" si="18"/>
        <v>electropolished pipes manufacturer in Erlangen, electropolished pipes supplier in Erlangen, electropolished pipes wholesaler in Erlangen, electropolished tube manufacturer Erlangen, EP pipe supplier Erlangen, sanitary tube supplier Erlangen, ASME BPE tubing Erlangen, ASTM A270 tube Erlangen, SS 316L electropolished pipe Erlangen</v>
      </c>
      <c r="AI1376" s="15" t="str">
        <f t="shared" si="19"/>
        <v>Electropolished Pipes Manufacturer &amp; Supplier in Erlangen</v>
      </c>
      <c r="AJ1376" s="15" t="str">
        <f t="shared" si="20"/>
        <v>EP-finished SS 304/316L pipes and tubes for VERIFY plants in Erlangen. ASME BPE SF1-SF4, Ra from 0.25 um, EN 10204 3.1 certificate with every lot.</v>
      </c>
      <c r="AK1376" s="15" t="str">
        <f t="shared" si="21"/>
        <v>Electropolished stainless steel pipes supplied by Sakshi Forge to VERIFY plants at VERIFY, Erlangen</v>
      </c>
      <c r="AL1376" s="15" t="str">
        <f t="shared" si="22"/>
        <v>Electropolished SS 316L tube stock for Erlangen - Sakshi Forge</v>
      </c>
      <c r="AM1376" s="15" t="str">
        <f t="shared" si="23"/>
        <v>Home &gt; Market Area &gt; Germany &gt; VERIFY &gt; Erlangen</v>
      </c>
      <c r="AN1376" s="15">
        <f t="shared" si="24"/>
        <v>750</v>
      </c>
      <c r="AO1376" s="15">
        <f t="shared" si="25"/>
        <v>6</v>
      </c>
      <c r="AP1376" s="15">
        <f t="shared" si="26"/>
        <v>6</v>
      </c>
      <c r="AQ1376" s="15">
        <f t="shared" si="27"/>
        <v>23</v>
      </c>
      <c r="AR1376" s="31"/>
      <c r="AS1376" s="31"/>
      <c r="AT1376" s="35" t="s">
        <v>222</v>
      </c>
      <c r="AU1376" s="35"/>
    </row>
    <row r="1377" ht="15.75" customHeight="1">
      <c r="A1377" s="15" t="s">
        <v>6888</v>
      </c>
      <c r="B1377" s="15" t="s">
        <v>243</v>
      </c>
      <c r="C1377" s="15" t="s">
        <v>98</v>
      </c>
      <c r="D1377" s="15" t="s">
        <v>6889</v>
      </c>
      <c r="E1377" s="15" t="s">
        <v>6889</v>
      </c>
      <c r="F1377" s="58" t="s">
        <v>807</v>
      </c>
      <c r="G1377" s="66" t="s">
        <v>98</v>
      </c>
      <c r="H1377" s="18" t="s">
        <v>98</v>
      </c>
      <c r="I1377" s="18" t="s">
        <v>98</v>
      </c>
      <c r="J1377" s="18" t="s">
        <v>98</v>
      </c>
      <c r="K1377" s="18" t="s">
        <v>98</v>
      </c>
      <c r="L1377" s="18" t="s">
        <v>98</v>
      </c>
      <c r="M1377" s="18" t="s">
        <v>550</v>
      </c>
      <c r="N1377" s="18" t="s">
        <v>254</v>
      </c>
      <c r="O1377" s="18" t="s">
        <v>98</v>
      </c>
      <c r="P1377" s="15" t="str">
        <f t="shared" si="1"/>
        <v>VERIFY</v>
      </c>
      <c r="Q1377" s="15">
        <f t="shared" si="2"/>
        <v>6</v>
      </c>
      <c r="R1377" s="15">
        <f t="shared" si="3"/>
        <v>2</v>
      </c>
      <c r="S1377" s="15">
        <f t="shared" si="4"/>
        <v>4</v>
      </c>
      <c r="T1377" s="15" t="str">
        <f t="shared" si="5"/>
        <v>C-6</v>
      </c>
      <c r="U1377" s="15" t="str">
        <f t="shared" si="6"/>
        <v>T6-M2-H4-FC-6-VERIFY</v>
      </c>
      <c r="V1377" s="15">
        <f t="shared" si="7"/>
        <v>0</v>
      </c>
      <c r="W1377" s="31"/>
      <c r="X1377" s="15" t="str">
        <f t="shared" si="8"/>
        <v>flensburg-germany</v>
      </c>
      <c r="Y1377" s="32" t="str">
        <f t="shared" si="9"/>
        <v>https://steelmanufacturer.in/market-area/electropolished-pipes-manufacturer-in-flensburg-germany/</v>
      </c>
      <c r="Z1377" s="15" t="str">
        <f t="shared" si="10"/>
        <v>Electropolished Pipes Manufacturer in Flensburg</v>
      </c>
      <c r="AA1377" s="15" t="str">
        <f t="shared" si="11"/>
        <v>OK (47)</v>
      </c>
      <c r="AB1377" s="15" t="str">
        <f t="shared" si="12"/>
        <v>Electropolished tube supply to VERIFY, Flensburg. Ra from 0.25 um, SF4 finish, mill test certificate with every lot.</v>
      </c>
      <c r="AC1377" s="15" t="str">
        <f t="shared" si="13"/>
        <v>PENDING RESEARCH</v>
      </c>
      <c r="AD1377" s="15" t="str">
        <f t="shared" si="14"/>
        <v>Electropolished Pipes Manufacturer in Flensburg</v>
      </c>
      <c r="AE1377" s="15" t="str">
        <f t="shared" si="15"/>
        <v>Manufacturing Electropolished SS Tube for Flensburg: The Standards We Build To</v>
      </c>
      <c r="AF1377" s="15" t="str">
        <f t="shared" si="16"/>
        <v>Electropolished Pipe Supply Into Flensburg - Certification &amp; Transit</v>
      </c>
      <c r="AG1377" s="15" t="str">
        <f t="shared" si="17"/>
        <v>Electropolished Pipes Wholesaler in Flensburg - Project Quantities &amp; Terms</v>
      </c>
      <c r="AH1377" s="15" t="str">
        <f t="shared" si="18"/>
        <v>electropolished pipes manufacturer in Flensburg, electropolished pipes supplier in Flensburg, electropolished pipes wholesaler in Flensburg, electropolished tube manufacturer Flensburg, EP pipe supplier Flensburg, sanitary tube supplier Flensburg, ASME BPE tubing Flensburg, ASTM A270 tube Flensburg, SS 316L electropolished pipe Flensburg</v>
      </c>
      <c r="AI1377" s="15" t="str">
        <f t="shared" si="19"/>
        <v>Electropolished Pipes Manufacturer &amp; Supplier in Flensburg</v>
      </c>
      <c r="AJ1377" s="15" t="str">
        <f t="shared" si="20"/>
        <v>EP-finished SS 304/316L pipes and tubes for VERIFY plants in Flensburg. ASME BPE SF1-SF4, Ra from 0.25 um, EN 10204 3.1 certificate with every lot.</v>
      </c>
      <c r="AK1377" s="15" t="str">
        <f t="shared" si="21"/>
        <v>Electropolished stainless steel pipes supplied by Sakshi Forge to VERIFY plants at VERIFY, Flensburg</v>
      </c>
      <c r="AL1377" s="15" t="str">
        <f t="shared" si="22"/>
        <v>Electropolished SS 316L tube stock for Flensburg - Sakshi Forge</v>
      </c>
      <c r="AM1377" s="15" t="str">
        <f t="shared" si="23"/>
        <v>Home &gt; Market Area &gt; Germany &gt; VERIFY &gt; Flensburg</v>
      </c>
      <c r="AN1377" s="15">
        <f t="shared" si="24"/>
        <v>750</v>
      </c>
      <c r="AO1377" s="15">
        <f t="shared" si="25"/>
        <v>6</v>
      </c>
      <c r="AP1377" s="15">
        <f t="shared" si="26"/>
        <v>6</v>
      </c>
      <c r="AQ1377" s="15">
        <f t="shared" si="27"/>
        <v>23</v>
      </c>
      <c r="AR1377" s="31"/>
      <c r="AS1377" s="31"/>
      <c r="AT1377" s="35" t="s">
        <v>222</v>
      </c>
      <c r="AU1377" s="35"/>
    </row>
    <row r="1378" ht="15.75" customHeight="1">
      <c r="A1378" s="15" t="s">
        <v>6890</v>
      </c>
      <c r="B1378" s="15" t="s">
        <v>243</v>
      </c>
      <c r="C1378" s="15" t="s">
        <v>98</v>
      </c>
      <c r="D1378" s="15" t="s">
        <v>6891</v>
      </c>
      <c r="E1378" s="15" t="s">
        <v>6891</v>
      </c>
      <c r="F1378" s="58" t="s">
        <v>807</v>
      </c>
      <c r="G1378" s="66" t="s">
        <v>98</v>
      </c>
      <c r="H1378" s="18" t="s">
        <v>98</v>
      </c>
      <c r="I1378" s="18" t="s">
        <v>98</v>
      </c>
      <c r="J1378" s="18" t="s">
        <v>98</v>
      </c>
      <c r="K1378" s="18" t="s">
        <v>98</v>
      </c>
      <c r="L1378" s="18" t="s">
        <v>98</v>
      </c>
      <c r="M1378" s="18" t="s">
        <v>550</v>
      </c>
      <c r="N1378" s="18" t="s">
        <v>254</v>
      </c>
      <c r="O1378" s="18" t="s">
        <v>98</v>
      </c>
      <c r="P1378" s="15" t="str">
        <f t="shared" si="1"/>
        <v>VERIFY</v>
      </c>
      <c r="Q1378" s="15">
        <f t="shared" si="2"/>
        <v>7</v>
      </c>
      <c r="R1378" s="15">
        <f t="shared" si="3"/>
        <v>3</v>
      </c>
      <c r="S1378" s="15">
        <f t="shared" si="4"/>
        <v>5</v>
      </c>
      <c r="T1378" s="15" t="str">
        <f t="shared" si="5"/>
        <v>C-1</v>
      </c>
      <c r="U1378" s="15" t="str">
        <f t="shared" si="6"/>
        <v>T7-M3-H5-FC-1-VERIFY</v>
      </c>
      <c r="V1378" s="15">
        <f t="shared" si="7"/>
        <v>0</v>
      </c>
      <c r="W1378" s="31"/>
      <c r="X1378" s="15" t="str">
        <f t="shared" si="8"/>
        <v>frankfurt-oder-germany</v>
      </c>
      <c r="Y1378" s="32" t="str">
        <f t="shared" si="9"/>
        <v>https://steelmanufacturer.in/market-area/electropolished-pipes-manufacturer-in-frankfurt-oder-germany/</v>
      </c>
      <c r="Z1378" s="15" t="str">
        <f t="shared" si="10"/>
        <v>Electropolished Pipes Manufacturer in Frankfurt-Oder</v>
      </c>
      <c r="AA1378" s="15" t="str">
        <f t="shared" si="11"/>
        <v>OK (52)</v>
      </c>
      <c r="AB1378" s="15" t="str">
        <f t="shared" si="12"/>
        <v>EP stainless tube for VERIFY lines in Frankfurt-Oder. 24-30 days sea from Nhava Sheva to Hamburg. ASTM A270 S2, PMI tested, EN 10204 3.1.</v>
      </c>
      <c r="AC1378" s="15" t="str">
        <f t="shared" si="13"/>
        <v>PENDING RESEARCH</v>
      </c>
      <c r="AD1378" s="15" t="str">
        <f t="shared" si="14"/>
        <v>Electropolished Pipes Manufacturer in Frankfurt-Oder</v>
      </c>
      <c r="AE1378" s="15" t="str">
        <f t="shared" si="15"/>
        <v>Electropolished Tube Manufacturing Capability Serving Frankfurt-Oder</v>
      </c>
      <c r="AF1378" s="15" t="str">
        <f t="shared" si="16"/>
        <v>Electropolished Pipes Supplier in Frankfurt-Oder - From Order to Delivery</v>
      </c>
      <c r="AG1378" s="15" t="str">
        <f t="shared" si="17"/>
        <v>Stockist &amp; Wholesale Supply of Electropolished Pipes in Frankfurt-Oder</v>
      </c>
      <c r="AH1378" s="15" t="str">
        <f t="shared" si="18"/>
        <v>electropolished pipes manufacturer in Frankfurt-Oder, electropolished pipes supplier in Frankfurt-Oder, electropolished pipes wholesaler in Frankfurt-Oder, electropolished tube manufacturer Frankfurt-Oder, EP pipe supplier Frankfurt-Oder, sanitary tube supplier Frankfurt-Oder, ASME BPE tubing Frankfurt-Oder, ASTM A270 tube Frankfurt-Oder, SS 316L electropolished pipe Frankfurt-Oder</v>
      </c>
      <c r="AI1378" s="15" t="str">
        <f t="shared" si="19"/>
        <v>Electropolished Pipes Manufacturer &amp; Supplier in Frankfurt-Oder</v>
      </c>
      <c r="AJ1378" s="15" t="str">
        <f t="shared" si="20"/>
        <v>EP-finished SS 304/316L pipes and tubes for VERIFY plants in Frankfurt-Oder. ASME BPE SF1-SF4, Ra from 0.25 um, EN 10204 3.1 certificate with every lot.</v>
      </c>
      <c r="AK1378" s="15" t="str">
        <f t="shared" si="21"/>
        <v>Electropolished stainless steel pipes supplied by Sakshi Forge to VERIFY plants at VERIFY, Frankfurt-Oder</v>
      </c>
      <c r="AL1378" s="15" t="str">
        <f t="shared" si="22"/>
        <v>Electropolished SS 316L tube stock for Frankfurt-Oder - Sakshi Forge</v>
      </c>
      <c r="AM1378" s="15" t="str">
        <f t="shared" si="23"/>
        <v>Home &gt; Market Area &gt; Germany &gt; VERIFY &gt; Frankfurt-Oder</v>
      </c>
      <c r="AN1378" s="15">
        <f t="shared" si="24"/>
        <v>750</v>
      </c>
      <c r="AO1378" s="15">
        <f t="shared" si="25"/>
        <v>6</v>
      </c>
      <c r="AP1378" s="15">
        <f t="shared" si="26"/>
        <v>6</v>
      </c>
      <c r="AQ1378" s="15">
        <f t="shared" si="27"/>
        <v>23</v>
      </c>
      <c r="AR1378" s="31"/>
      <c r="AS1378" s="31"/>
      <c r="AT1378" s="35" t="s">
        <v>222</v>
      </c>
      <c r="AU1378" s="35"/>
    </row>
    <row r="1379" ht="15.75" customHeight="1">
      <c r="A1379" s="15" t="s">
        <v>6892</v>
      </c>
      <c r="B1379" s="15" t="s">
        <v>243</v>
      </c>
      <c r="C1379" s="15" t="s">
        <v>98</v>
      </c>
      <c r="D1379" s="15" t="s">
        <v>6893</v>
      </c>
      <c r="E1379" s="15" t="s">
        <v>6893</v>
      </c>
      <c r="F1379" s="58" t="s">
        <v>807</v>
      </c>
      <c r="G1379" s="66" t="s">
        <v>98</v>
      </c>
      <c r="H1379" s="18" t="s">
        <v>98</v>
      </c>
      <c r="I1379" s="18" t="s">
        <v>98</v>
      </c>
      <c r="J1379" s="18" t="s">
        <v>98</v>
      </c>
      <c r="K1379" s="18" t="s">
        <v>98</v>
      </c>
      <c r="L1379" s="18" t="s">
        <v>98</v>
      </c>
      <c r="M1379" s="18" t="s">
        <v>550</v>
      </c>
      <c r="N1379" s="18" t="s">
        <v>254</v>
      </c>
      <c r="O1379" s="18" t="s">
        <v>98</v>
      </c>
      <c r="P1379" s="15" t="str">
        <f t="shared" si="1"/>
        <v>VERIFY</v>
      </c>
      <c r="Q1379" s="15">
        <f t="shared" si="2"/>
        <v>8</v>
      </c>
      <c r="R1379" s="15">
        <f t="shared" si="3"/>
        <v>4</v>
      </c>
      <c r="S1379" s="15">
        <f t="shared" si="4"/>
        <v>1</v>
      </c>
      <c r="T1379" s="15" t="str">
        <f t="shared" si="5"/>
        <v>C-2</v>
      </c>
      <c r="U1379" s="15" t="str">
        <f t="shared" si="6"/>
        <v>T8-M4-H1-FC-2-VERIFY</v>
      </c>
      <c r="V1379" s="15">
        <f t="shared" si="7"/>
        <v>0</v>
      </c>
      <c r="W1379" s="31"/>
      <c r="X1379" s="15" t="str">
        <f t="shared" si="8"/>
        <v>fulda-germany</v>
      </c>
      <c r="Y1379" s="32" t="str">
        <f t="shared" si="9"/>
        <v>https://steelmanufacturer.in/market-area/electropolished-pipes-manufacturer-in-fulda-germany/</v>
      </c>
      <c r="Z1379" s="15" t="str">
        <f t="shared" si="10"/>
        <v>Electropolished Pipes Manufacturer in Fulda - EP Tube Stockist</v>
      </c>
      <c r="AA1379" s="15" t="str">
        <f t="shared" si="11"/>
        <v>OK (62)</v>
      </c>
      <c r="AB1379" s="15" t="str">
        <f t="shared" si="12"/>
        <v>Sanitary electropolished pipes in Fulda for VERIFY plants. ASME BPE SF1-SF4, orbital-weld ready, 3.1 MTC. Mumbai-made.</v>
      </c>
      <c r="AC1379" s="15" t="str">
        <f t="shared" si="13"/>
        <v>PENDING RESEARCH</v>
      </c>
      <c r="AD1379" s="15" t="str">
        <f t="shared" si="14"/>
        <v>Electropolished Pipes Manufacturer in Fulda</v>
      </c>
      <c r="AE1379" s="15" t="str">
        <f t="shared" si="15"/>
        <v>Electropolished Pipe &amp; Tube Manufacturing for Fulda - Grades, Finishes &amp; Certification</v>
      </c>
      <c r="AF1379" s="15" t="str">
        <f t="shared" si="16"/>
        <v>Electropolished Pipes Supplier in Fulda - Stock Sizes, Lead Time &amp; Delivery</v>
      </c>
      <c r="AG1379" s="15" t="str">
        <f t="shared" si="17"/>
        <v>Electropolished Pipes Wholesaler &amp; Stockist in Fulda - Bulk &amp; Project Pricing</v>
      </c>
      <c r="AH1379" s="15" t="str">
        <f t="shared" si="18"/>
        <v>electropolished pipes manufacturer in Fulda, electropolished pipes supplier in Fulda, electropolished pipes wholesaler in Fulda, electropolished tube manufacturer Fulda, EP pipe supplier Fulda, sanitary tube supplier Fulda, ASME BPE tubing Fulda, ASTM A270 tube Fulda, SS 316L electropolished pipe Fulda</v>
      </c>
      <c r="AI1379" s="15" t="str">
        <f t="shared" si="19"/>
        <v>Electropolished Pipes Manufacturer &amp; Supplier in Fulda</v>
      </c>
      <c r="AJ1379" s="15" t="str">
        <f t="shared" si="20"/>
        <v>EP-finished SS 304/316L pipes and tubes for VERIFY plants in Fulda. ASME BPE SF1-SF4, Ra from 0.25 um, EN 10204 3.1 certificate with every lot.</v>
      </c>
      <c r="AK1379" s="15" t="str">
        <f t="shared" si="21"/>
        <v>Electropolished stainless steel pipes supplied by Sakshi Forge to VERIFY plants at VERIFY, Fulda</v>
      </c>
      <c r="AL1379" s="15" t="str">
        <f t="shared" si="22"/>
        <v>Electropolished SS 316L tube stock for Fulda - Sakshi Forge</v>
      </c>
      <c r="AM1379" s="15" t="str">
        <f t="shared" si="23"/>
        <v>Home &gt; Market Area &gt; Germany &gt; VERIFY &gt; Fulda</v>
      </c>
      <c r="AN1379" s="15">
        <f t="shared" si="24"/>
        <v>750</v>
      </c>
      <c r="AO1379" s="15">
        <f t="shared" si="25"/>
        <v>6</v>
      </c>
      <c r="AP1379" s="15">
        <f t="shared" si="26"/>
        <v>6</v>
      </c>
      <c r="AQ1379" s="15">
        <f t="shared" si="27"/>
        <v>23</v>
      </c>
      <c r="AR1379" s="31"/>
      <c r="AS1379" s="31"/>
      <c r="AT1379" s="35" t="s">
        <v>222</v>
      </c>
      <c r="AU1379" s="35"/>
    </row>
    <row r="1380" ht="15.75" customHeight="1">
      <c r="A1380" s="15" t="s">
        <v>6894</v>
      </c>
      <c r="B1380" s="15" t="s">
        <v>243</v>
      </c>
      <c r="C1380" s="15" t="s">
        <v>98</v>
      </c>
      <c r="D1380" s="15" t="s">
        <v>6896</v>
      </c>
      <c r="E1380" s="15" t="s">
        <v>6896</v>
      </c>
      <c r="F1380" s="58" t="s">
        <v>807</v>
      </c>
      <c r="G1380" s="66" t="s">
        <v>98</v>
      </c>
      <c r="H1380" s="18" t="s">
        <v>98</v>
      </c>
      <c r="I1380" s="18" t="s">
        <v>98</v>
      </c>
      <c r="J1380" s="18" t="s">
        <v>98</v>
      </c>
      <c r="K1380" s="18" t="s">
        <v>98</v>
      </c>
      <c r="L1380" s="18" t="s">
        <v>98</v>
      </c>
      <c r="M1380" s="18" t="s">
        <v>550</v>
      </c>
      <c r="N1380" s="18" t="s">
        <v>254</v>
      </c>
      <c r="O1380" s="18" t="s">
        <v>98</v>
      </c>
      <c r="P1380" s="15" t="str">
        <f t="shared" si="1"/>
        <v>VERIFY</v>
      </c>
      <c r="Q1380" s="15">
        <f t="shared" si="2"/>
        <v>1</v>
      </c>
      <c r="R1380" s="15">
        <f t="shared" si="3"/>
        <v>5</v>
      </c>
      <c r="S1380" s="15">
        <f t="shared" si="4"/>
        <v>2</v>
      </c>
      <c r="T1380" s="15" t="str">
        <f t="shared" si="5"/>
        <v>C-3</v>
      </c>
      <c r="U1380" s="15" t="str">
        <f t="shared" si="6"/>
        <v>T1-M5-H2-FC-3-VERIFY</v>
      </c>
      <c r="V1380" s="15">
        <f t="shared" si="7"/>
        <v>0</v>
      </c>
      <c r="W1380" s="31"/>
      <c r="X1380" s="15" t="str">
        <f t="shared" si="8"/>
        <v>gera-germany</v>
      </c>
      <c r="Y1380" s="32" t="str">
        <f t="shared" si="9"/>
        <v>https://steelmanufacturer.in/market-area/electropolished-pipes-manufacturer-in-gera-germany/</v>
      </c>
      <c r="Z1380" s="15" t="str">
        <f t="shared" si="10"/>
        <v>Electropolished Pipes Manufacturer in Gera | Sakshi Forge</v>
      </c>
      <c r="AA1380" s="15" t="str">
        <f t="shared" si="11"/>
        <v>OK (57)</v>
      </c>
      <c r="AB1380" s="15" t="str">
        <f t="shared" si="12"/>
        <v>Manufacturer of electropolished SS 316L tube serving Gera. 24-30 days sea from Nhava Sheva to Hamburg. Ra 0.25-0.5 um, EN 10204 3.1 MTC.</v>
      </c>
      <c r="AC1380" s="15" t="str">
        <f t="shared" si="13"/>
        <v>PENDING RESEARCH</v>
      </c>
      <c r="AD1380" s="15" t="str">
        <f t="shared" si="14"/>
        <v>Electropolished Pipes Manufacturer in Gera</v>
      </c>
      <c r="AE1380" s="15" t="str">
        <f t="shared" si="15"/>
        <v>How We Manufacture Electropolished Tube for Gera Plants</v>
      </c>
      <c r="AF1380" s="15" t="str">
        <f t="shared" si="16"/>
        <v>Supplying Electropolished Pipes in Gera: Availability, Sizes &amp; Dispatch</v>
      </c>
      <c r="AG1380" s="15" t="str">
        <f t="shared" si="17"/>
        <v>Wholesale Electropolished Pipe Supply for Gera Projects</v>
      </c>
      <c r="AH1380" s="15" t="str">
        <f t="shared" si="18"/>
        <v>electropolished pipes manufacturer in Gera, electropolished pipes supplier in Gera, electropolished pipes wholesaler in Gera, electropolished tube manufacturer Gera, EP pipe supplier Gera, sanitary tube supplier Gera, ASME BPE tubing Gera, ASTM A270 tube Gera, SS 316L electropolished pipe Gera</v>
      </c>
      <c r="AI1380" s="15" t="str">
        <f t="shared" si="19"/>
        <v>Electropolished Pipes Manufacturer &amp; Supplier in Gera</v>
      </c>
      <c r="AJ1380" s="15" t="str">
        <f t="shared" si="20"/>
        <v>EP-finished SS 304/316L pipes and tubes for VERIFY plants in Gera. ASME BPE SF1-SF4, Ra from 0.25 um, EN 10204 3.1 certificate with every lot.</v>
      </c>
      <c r="AK1380" s="15" t="str">
        <f t="shared" si="21"/>
        <v>Electropolished stainless steel pipes supplied by Sakshi Forge to VERIFY plants at VERIFY, Gera</v>
      </c>
      <c r="AL1380" s="15" t="str">
        <f t="shared" si="22"/>
        <v>Electropolished SS 316L tube stock for Gera - Sakshi Forge</v>
      </c>
      <c r="AM1380" s="15" t="str">
        <f t="shared" si="23"/>
        <v>Home &gt; Market Area &gt; Germany &gt; VERIFY &gt; Gera</v>
      </c>
      <c r="AN1380" s="15">
        <f t="shared" si="24"/>
        <v>750</v>
      </c>
      <c r="AO1380" s="15">
        <f t="shared" si="25"/>
        <v>6</v>
      </c>
      <c r="AP1380" s="15">
        <f t="shared" si="26"/>
        <v>6</v>
      </c>
      <c r="AQ1380" s="15">
        <f t="shared" si="27"/>
        <v>23</v>
      </c>
      <c r="AR1380" s="31"/>
      <c r="AS1380" s="31"/>
      <c r="AT1380" s="35" t="s">
        <v>222</v>
      </c>
      <c r="AU1380" s="35"/>
    </row>
    <row r="1381" ht="15.75" customHeight="1">
      <c r="A1381" s="15" t="s">
        <v>6901</v>
      </c>
      <c r="B1381" s="15" t="s">
        <v>243</v>
      </c>
      <c r="C1381" s="15" t="s">
        <v>98</v>
      </c>
      <c r="D1381" s="15" t="s">
        <v>6902</v>
      </c>
      <c r="E1381" s="15" t="s">
        <v>6902</v>
      </c>
      <c r="F1381" s="58" t="s">
        <v>807</v>
      </c>
      <c r="G1381" s="66" t="s">
        <v>98</v>
      </c>
      <c r="H1381" s="18" t="s">
        <v>98</v>
      </c>
      <c r="I1381" s="18" t="s">
        <v>98</v>
      </c>
      <c r="J1381" s="18" t="s">
        <v>98</v>
      </c>
      <c r="K1381" s="18" t="s">
        <v>98</v>
      </c>
      <c r="L1381" s="18" t="s">
        <v>98</v>
      </c>
      <c r="M1381" s="18" t="s">
        <v>550</v>
      </c>
      <c r="N1381" s="18" t="s">
        <v>254</v>
      </c>
      <c r="O1381" s="18" t="s">
        <v>98</v>
      </c>
      <c r="P1381" s="15" t="str">
        <f t="shared" si="1"/>
        <v>VERIFY</v>
      </c>
      <c r="Q1381" s="15">
        <f t="shared" si="2"/>
        <v>2</v>
      </c>
      <c r="R1381" s="15">
        <f t="shared" si="3"/>
        <v>6</v>
      </c>
      <c r="S1381" s="15">
        <f t="shared" si="4"/>
        <v>3</v>
      </c>
      <c r="T1381" s="15" t="str">
        <f t="shared" si="5"/>
        <v>C-4</v>
      </c>
      <c r="U1381" s="15" t="str">
        <f t="shared" si="6"/>
        <v>T2-M6-H3-FC-4-VERIFY</v>
      </c>
      <c r="V1381" s="15">
        <f t="shared" si="7"/>
        <v>0</v>
      </c>
      <c r="W1381" s="31"/>
      <c r="X1381" s="15" t="str">
        <f t="shared" si="8"/>
        <v>giessen-germany</v>
      </c>
      <c r="Y1381" s="32" t="str">
        <f t="shared" si="9"/>
        <v>https://steelmanufacturer.in/market-area/electropolished-pipes-manufacturer-in-giessen-germany/</v>
      </c>
      <c r="Z1381" s="15" t="str">
        <f t="shared" si="10"/>
        <v>Electropolished Pipes Manufacturer in Giessen</v>
      </c>
      <c r="AA1381" s="15" t="str">
        <f t="shared" si="11"/>
        <v>OK (45)</v>
      </c>
      <c r="AB1381" s="15" t="str">
        <f t="shared" si="12"/>
        <v>EP tube and pipe for VERIFY plants around VERIFY, Giessen. Made at our Mumbai works to ASTM A270 and ASME BPE SF1-SF4, with 3.1 MTC.</v>
      </c>
      <c r="AC1381" s="15" t="str">
        <f t="shared" si="13"/>
        <v>PENDING RESEARCH</v>
      </c>
      <c r="AD1381" s="15" t="str">
        <f t="shared" si="14"/>
        <v>Electropolished Pipes Manufacturer in Giessen</v>
      </c>
      <c r="AE1381" s="15" t="str">
        <f t="shared" si="15"/>
        <v>Electropolished Pipes Manufacturer in Giessen - Our Process &amp; Capability</v>
      </c>
      <c r="AF1381" s="15" t="str">
        <f t="shared" si="16"/>
        <v>Electropolished Pipes Supplier in Giessen - What We Hold in Stock</v>
      </c>
      <c r="AG1381" s="15" t="str">
        <f t="shared" si="17"/>
        <v>Bulk &amp; Wholesale Electropolished Pipe Rates for Giessen Buyers</v>
      </c>
      <c r="AH1381" s="15" t="str">
        <f t="shared" si="18"/>
        <v>electropolished pipes manufacturer in Giessen, electropolished pipes supplier in Giessen, electropolished pipes wholesaler in Giessen, electropolished tube manufacturer Giessen, EP pipe supplier Giessen, sanitary tube supplier Giessen, ASME BPE tubing Giessen, ASTM A270 tube Giessen, SS 316L electropolished pipe Giessen</v>
      </c>
      <c r="AI1381" s="15" t="str">
        <f t="shared" si="19"/>
        <v>Electropolished Pipes Manufacturer &amp; Supplier in Giessen</v>
      </c>
      <c r="AJ1381" s="15" t="str">
        <f t="shared" si="20"/>
        <v>EP-finished SS 304/316L pipes and tubes for VERIFY plants in Giessen. ASME BPE SF1-SF4, Ra from 0.25 um, EN 10204 3.1 certificate with every lot.</v>
      </c>
      <c r="AK1381" s="15" t="str">
        <f t="shared" si="21"/>
        <v>Electropolished stainless steel pipes supplied by Sakshi Forge to VERIFY plants at VERIFY, Giessen</v>
      </c>
      <c r="AL1381" s="15" t="str">
        <f t="shared" si="22"/>
        <v>Electropolished SS 316L tube stock for Giessen - Sakshi Forge</v>
      </c>
      <c r="AM1381" s="15" t="str">
        <f t="shared" si="23"/>
        <v>Home &gt; Market Area &gt; Germany &gt; VERIFY &gt; Giessen</v>
      </c>
      <c r="AN1381" s="15">
        <f t="shared" si="24"/>
        <v>750</v>
      </c>
      <c r="AO1381" s="15">
        <f t="shared" si="25"/>
        <v>6</v>
      </c>
      <c r="AP1381" s="15">
        <f t="shared" si="26"/>
        <v>6</v>
      </c>
      <c r="AQ1381" s="15">
        <f t="shared" si="27"/>
        <v>23</v>
      </c>
      <c r="AR1381" s="31"/>
      <c r="AS1381" s="31"/>
      <c r="AT1381" s="35" t="s">
        <v>222</v>
      </c>
      <c r="AU1381" s="35"/>
    </row>
    <row r="1382" ht="15.75" customHeight="1">
      <c r="A1382" s="15" t="s">
        <v>6903</v>
      </c>
      <c r="B1382" s="15" t="s">
        <v>243</v>
      </c>
      <c r="C1382" s="15" t="s">
        <v>98</v>
      </c>
      <c r="D1382" s="15" t="s">
        <v>6904</v>
      </c>
      <c r="E1382" s="15" t="s">
        <v>6904</v>
      </c>
      <c r="F1382" s="58" t="s">
        <v>807</v>
      </c>
      <c r="G1382" s="66" t="s">
        <v>98</v>
      </c>
      <c r="H1382" s="18" t="s">
        <v>98</v>
      </c>
      <c r="I1382" s="18" t="s">
        <v>98</v>
      </c>
      <c r="J1382" s="18" t="s">
        <v>98</v>
      </c>
      <c r="K1382" s="18" t="s">
        <v>98</v>
      </c>
      <c r="L1382" s="18" t="s">
        <v>98</v>
      </c>
      <c r="M1382" s="18" t="s">
        <v>550</v>
      </c>
      <c r="N1382" s="18" t="s">
        <v>254</v>
      </c>
      <c r="O1382" s="18" t="s">
        <v>98</v>
      </c>
      <c r="P1382" s="15" t="str">
        <f t="shared" si="1"/>
        <v>VERIFY</v>
      </c>
      <c r="Q1382" s="15">
        <f t="shared" si="2"/>
        <v>3</v>
      </c>
      <c r="R1382" s="15">
        <f t="shared" si="3"/>
        <v>7</v>
      </c>
      <c r="S1382" s="15">
        <f t="shared" si="4"/>
        <v>4</v>
      </c>
      <c r="T1382" s="15" t="str">
        <f t="shared" si="5"/>
        <v>C-5</v>
      </c>
      <c r="U1382" s="15" t="str">
        <f t="shared" si="6"/>
        <v>T3-M7-H4-FC-5-VERIFY</v>
      </c>
      <c r="V1382" s="15">
        <f t="shared" si="7"/>
        <v>0</v>
      </c>
      <c r="W1382" s="31"/>
      <c r="X1382" s="15" t="str">
        <f t="shared" si="8"/>
        <v>gorlitz-germany</v>
      </c>
      <c r="Y1382" s="32" t="str">
        <f t="shared" si="9"/>
        <v>https://steelmanufacturer.in/market-area/electropolished-pipes-manufacturer-in-gorlitz-germany/</v>
      </c>
      <c r="Z1382" s="15" t="str">
        <f t="shared" si="10"/>
        <v>Electropolished Pipes Manufacturer in Gorlitz | EP Tube Supplier</v>
      </c>
      <c r="AA1382" s="15" t="str">
        <f t="shared" si="11"/>
        <v>OK (64)</v>
      </c>
      <c r="AB1382" s="15" t="str">
        <f t="shared" si="12"/>
        <v>Electropolished pipes in Gorlitz: 304, 304L, 316 and 316L in SF1-SF4. 24-30 days sea from Nhava Sheva to Hamburg. Mill certified.</v>
      </c>
      <c r="AC1382" s="15" t="str">
        <f t="shared" si="13"/>
        <v>PENDING RESEARCH</v>
      </c>
      <c r="AD1382" s="15" t="str">
        <f t="shared" si="14"/>
        <v>Electropolished Pipes Manufacturer in Gorlitz</v>
      </c>
      <c r="AE1382" s="15" t="str">
        <f t="shared" si="15"/>
        <v>Manufacturing Electropolished SS Tube for Gorlitz: The Standards We Build To</v>
      </c>
      <c r="AF1382" s="15" t="str">
        <f t="shared" si="16"/>
        <v>Electropolished Pipe Supply Into Gorlitz - Certification &amp; Transit</v>
      </c>
      <c r="AG1382" s="15" t="str">
        <f t="shared" si="17"/>
        <v>Electropolished Pipes Wholesaler in Gorlitz - Project Quantities &amp; Terms</v>
      </c>
      <c r="AH1382" s="15" t="str">
        <f t="shared" si="18"/>
        <v>electropolished pipes manufacturer in Gorlitz, electropolished pipes supplier in Gorlitz, electropolished pipes wholesaler in Gorlitz, electropolished tube manufacturer Gorlitz, EP pipe supplier Gorlitz, sanitary tube supplier Gorlitz, ASME BPE tubing Gorlitz, ASTM A270 tube Gorlitz, SS 316L electropolished pipe Gorlitz</v>
      </c>
      <c r="AI1382" s="15" t="str">
        <f t="shared" si="19"/>
        <v>Electropolished Pipes Manufacturer &amp; Supplier in Gorlitz</v>
      </c>
      <c r="AJ1382" s="15" t="str">
        <f t="shared" si="20"/>
        <v>EP-finished SS 304/316L pipes and tubes for VERIFY plants in Gorlitz. ASME BPE SF1-SF4, Ra from 0.25 um, EN 10204 3.1 certificate with every lot.</v>
      </c>
      <c r="AK1382" s="15" t="str">
        <f t="shared" si="21"/>
        <v>Electropolished stainless steel pipes supplied by Sakshi Forge to VERIFY plants at VERIFY, Gorlitz</v>
      </c>
      <c r="AL1382" s="15" t="str">
        <f t="shared" si="22"/>
        <v>Electropolished SS 316L tube stock for Gorlitz - Sakshi Forge</v>
      </c>
      <c r="AM1382" s="15" t="str">
        <f t="shared" si="23"/>
        <v>Home &gt; Market Area &gt; Germany &gt; VERIFY &gt; Gorlitz</v>
      </c>
      <c r="AN1382" s="15">
        <f t="shared" si="24"/>
        <v>750</v>
      </c>
      <c r="AO1382" s="15">
        <f t="shared" si="25"/>
        <v>6</v>
      </c>
      <c r="AP1382" s="15">
        <f t="shared" si="26"/>
        <v>6</v>
      </c>
      <c r="AQ1382" s="15">
        <f t="shared" si="27"/>
        <v>23</v>
      </c>
      <c r="AR1382" s="31"/>
      <c r="AS1382" s="31"/>
      <c r="AT1382" s="35" t="s">
        <v>222</v>
      </c>
      <c r="AU1382" s="35"/>
    </row>
    <row r="1383" ht="15.75" customHeight="1">
      <c r="A1383" s="15" t="s">
        <v>6905</v>
      </c>
      <c r="B1383" s="15" t="s">
        <v>243</v>
      </c>
      <c r="C1383" s="15" t="s">
        <v>98</v>
      </c>
      <c r="D1383" s="15" t="s">
        <v>6906</v>
      </c>
      <c r="E1383" s="15" t="s">
        <v>6906</v>
      </c>
      <c r="F1383" s="58" t="s">
        <v>807</v>
      </c>
      <c r="G1383" s="66" t="s">
        <v>98</v>
      </c>
      <c r="H1383" s="18" t="s">
        <v>98</v>
      </c>
      <c r="I1383" s="18" t="s">
        <v>98</v>
      </c>
      <c r="J1383" s="18" t="s">
        <v>98</v>
      </c>
      <c r="K1383" s="18" t="s">
        <v>98</v>
      </c>
      <c r="L1383" s="18" t="s">
        <v>98</v>
      </c>
      <c r="M1383" s="18" t="s">
        <v>550</v>
      </c>
      <c r="N1383" s="18" t="s">
        <v>254</v>
      </c>
      <c r="O1383" s="18" t="s">
        <v>98</v>
      </c>
      <c r="P1383" s="15" t="str">
        <f t="shared" si="1"/>
        <v>VERIFY</v>
      </c>
      <c r="Q1383" s="15">
        <f t="shared" si="2"/>
        <v>4</v>
      </c>
      <c r="R1383" s="15">
        <f t="shared" si="3"/>
        <v>1</v>
      </c>
      <c r="S1383" s="15">
        <f t="shared" si="4"/>
        <v>5</v>
      </c>
      <c r="T1383" s="15" t="str">
        <f t="shared" si="5"/>
        <v>C-6</v>
      </c>
      <c r="U1383" s="15" t="str">
        <f t="shared" si="6"/>
        <v>T4-M1-H5-FC-6-VERIFY</v>
      </c>
      <c r="V1383" s="15">
        <f t="shared" si="7"/>
        <v>0</v>
      </c>
      <c r="W1383" s="31"/>
      <c r="X1383" s="15" t="str">
        <f t="shared" si="8"/>
        <v>gottingen-germany</v>
      </c>
      <c r="Y1383" s="32" t="str">
        <f t="shared" si="9"/>
        <v>https://steelmanufacturer.in/market-area/electropolished-pipes-manufacturer-in-gottingen-germany/</v>
      </c>
      <c r="Z1383" s="15" t="str">
        <f t="shared" si="10"/>
        <v>Electropolished Pipes Manufacturer in Gottingen</v>
      </c>
      <c r="AA1383" s="15" t="str">
        <f t="shared" si="11"/>
        <v>OK (47)</v>
      </c>
      <c r="AB1383" s="15" t="str">
        <f t="shared" si="12"/>
        <v>EP-finished SS 304/316L pipes &amp; tubes for VERIFY plants in Gottingen. ASTM A270, ASME BPE SF1-SF4, EN 10204 3.1 MTC. PMI tested.</v>
      </c>
      <c r="AC1383" s="15" t="str">
        <f t="shared" si="13"/>
        <v>PENDING RESEARCH</v>
      </c>
      <c r="AD1383" s="15" t="str">
        <f t="shared" si="14"/>
        <v>Electropolished Pipes Manufacturer in Gottingen</v>
      </c>
      <c r="AE1383" s="15" t="str">
        <f t="shared" si="15"/>
        <v>Electropolished Tube Manufacturing Capability Serving Gottingen</v>
      </c>
      <c r="AF1383" s="15" t="str">
        <f t="shared" si="16"/>
        <v>Electropolished Pipes Supplier in Gottingen - From Order to Delivery</v>
      </c>
      <c r="AG1383" s="15" t="str">
        <f t="shared" si="17"/>
        <v>Stockist &amp; Wholesale Supply of Electropolished Pipes in Gottingen</v>
      </c>
      <c r="AH1383" s="15" t="str">
        <f t="shared" si="18"/>
        <v>electropolished pipes manufacturer in Gottingen, electropolished pipes supplier in Gottingen, electropolished pipes wholesaler in Gottingen, electropolished tube manufacturer Gottingen, EP pipe supplier Gottingen, sanitary tube supplier Gottingen, ASME BPE tubing Gottingen, ASTM A270 tube Gottingen, SS 316L electropolished pipe Gottingen</v>
      </c>
      <c r="AI1383" s="15" t="str">
        <f t="shared" si="19"/>
        <v>Electropolished Pipes Manufacturer &amp; Supplier in Gottingen</v>
      </c>
      <c r="AJ1383" s="15" t="str">
        <f t="shared" si="20"/>
        <v>EP-finished SS 304/316L pipes and tubes for VERIFY plants in Gottingen. ASME BPE SF1-SF4, Ra from 0.25 um, EN 10204 3.1 certificate with every lot.</v>
      </c>
      <c r="AK1383" s="15" t="str">
        <f t="shared" si="21"/>
        <v>Electropolished stainless steel pipes supplied by Sakshi Forge to VERIFY plants at VERIFY, Gottingen</v>
      </c>
      <c r="AL1383" s="15" t="str">
        <f t="shared" si="22"/>
        <v>Electropolished SS 316L tube stock for Gottingen - Sakshi Forge</v>
      </c>
      <c r="AM1383" s="15" t="str">
        <f t="shared" si="23"/>
        <v>Home &gt; Market Area &gt; Germany &gt; VERIFY &gt; Gottingen</v>
      </c>
      <c r="AN1383" s="15">
        <f t="shared" si="24"/>
        <v>750</v>
      </c>
      <c r="AO1383" s="15">
        <f t="shared" si="25"/>
        <v>6</v>
      </c>
      <c r="AP1383" s="15">
        <f t="shared" si="26"/>
        <v>6</v>
      </c>
      <c r="AQ1383" s="15">
        <f t="shared" si="27"/>
        <v>23</v>
      </c>
      <c r="AR1383" s="31"/>
      <c r="AS1383" s="31"/>
      <c r="AT1383" s="35" t="s">
        <v>222</v>
      </c>
      <c r="AU1383" s="35"/>
    </row>
    <row r="1384" ht="15.75" customHeight="1">
      <c r="A1384" s="15" t="s">
        <v>6907</v>
      </c>
      <c r="B1384" s="15" t="s">
        <v>243</v>
      </c>
      <c r="C1384" s="15" t="s">
        <v>98</v>
      </c>
      <c r="D1384" s="15" t="s">
        <v>6908</v>
      </c>
      <c r="E1384" s="15" t="s">
        <v>6908</v>
      </c>
      <c r="F1384" s="58" t="s">
        <v>807</v>
      </c>
      <c r="G1384" s="66" t="s">
        <v>98</v>
      </c>
      <c r="H1384" s="18" t="s">
        <v>98</v>
      </c>
      <c r="I1384" s="18" t="s">
        <v>98</v>
      </c>
      <c r="J1384" s="18" t="s">
        <v>98</v>
      </c>
      <c r="K1384" s="18" t="s">
        <v>98</v>
      </c>
      <c r="L1384" s="18" t="s">
        <v>98</v>
      </c>
      <c r="M1384" s="18" t="s">
        <v>550</v>
      </c>
      <c r="N1384" s="18" t="s">
        <v>254</v>
      </c>
      <c r="O1384" s="18" t="s">
        <v>98</v>
      </c>
      <c r="P1384" s="15" t="str">
        <f t="shared" si="1"/>
        <v>VERIFY</v>
      </c>
      <c r="Q1384" s="15">
        <f t="shared" si="2"/>
        <v>5</v>
      </c>
      <c r="R1384" s="15">
        <f t="shared" si="3"/>
        <v>2</v>
      </c>
      <c r="S1384" s="15">
        <f t="shared" si="4"/>
        <v>1</v>
      </c>
      <c r="T1384" s="15" t="str">
        <f t="shared" si="5"/>
        <v>C-1</v>
      </c>
      <c r="U1384" s="15" t="str">
        <f t="shared" si="6"/>
        <v>T5-M2-H1-FC-1-VERIFY</v>
      </c>
      <c r="V1384" s="15">
        <f t="shared" si="7"/>
        <v>0</v>
      </c>
      <c r="W1384" s="31"/>
      <c r="X1384" s="15" t="str">
        <f t="shared" si="8"/>
        <v>hanau-germany</v>
      </c>
      <c r="Y1384" s="32" t="str">
        <f t="shared" si="9"/>
        <v>https://steelmanufacturer.in/market-area/electropolished-pipes-manufacturer-in-hanau-germany/</v>
      </c>
      <c r="Z1384" s="15" t="str">
        <f t="shared" si="10"/>
        <v>Electropolished Pipes Manufacturer in Hanau</v>
      </c>
      <c r="AA1384" s="15" t="str">
        <f t="shared" si="11"/>
        <v>OK (43)</v>
      </c>
      <c r="AB1384" s="15" t="str">
        <f t="shared" si="12"/>
        <v>Electropolished tube supply to VERIFY, Hanau. Ra from 0.25 um, SF4 finish, mill test certificate with every lot.</v>
      </c>
      <c r="AC1384" s="15" t="str">
        <f t="shared" si="13"/>
        <v>PENDING RESEARCH</v>
      </c>
      <c r="AD1384" s="15" t="str">
        <f t="shared" si="14"/>
        <v>Electropolished Pipes Manufacturer in Hanau</v>
      </c>
      <c r="AE1384" s="15" t="str">
        <f t="shared" si="15"/>
        <v>Electropolished Pipe &amp; Tube Manufacturing for Hanau - Grades, Finishes &amp; Certification</v>
      </c>
      <c r="AF1384" s="15" t="str">
        <f t="shared" si="16"/>
        <v>Electropolished Pipes Supplier in Hanau - Stock Sizes, Lead Time &amp; Delivery</v>
      </c>
      <c r="AG1384" s="15" t="str">
        <f t="shared" si="17"/>
        <v>Electropolished Pipes Wholesaler &amp; Stockist in Hanau - Bulk &amp; Project Pricing</v>
      </c>
      <c r="AH1384" s="15" t="str">
        <f t="shared" si="18"/>
        <v>electropolished pipes manufacturer in Hanau, electropolished pipes supplier in Hanau, electropolished pipes wholesaler in Hanau, electropolished tube manufacturer Hanau, EP pipe supplier Hanau, sanitary tube supplier Hanau, ASME BPE tubing Hanau, ASTM A270 tube Hanau, SS 316L electropolished pipe Hanau</v>
      </c>
      <c r="AI1384" s="15" t="str">
        <f t="shared" si="19"/>
        <v>Electropolished Pipes Manufacturer &amp; Supplier in Hanau</v>
      </c>
      <c r="AJ1384" s="15" t="str">
        <f t="shared" si="20"/>
        <v>EP-finished SS 304/316L pipes and tubes for VERIFY plants in Hanau. ASME BPE SF1-SF4, Ra from 0.25 um, EN 10204 3.1 certificate with every lot.</v>
      </c>
      <c r="AK1384" s="15" t="str">
        <f t="shared" si="21"/>
        <v>Electropolished stainless steel pipes supplied by Sakshi Forge to VERIFY plants at VERIFY, Hanau</v>
      </c>
      <c r="AL1384" s="15" t="str">
        <f t="shared" si="22"/>
        <v>Electropolished SS 316L tube stock for Hanau - Sakshi Forge</v>
      </c>
      <c r="AM1384" s="15" t="str">
        <f t="shared" si="23"/>
        <v>Home &gt; Market Area &gt; Germany &gt; VERIFY &gt; Hanau</v>
      </c>
      <c r="AN1384" s="15">
        <f t="shared" si="24"/>
        <v>750</v>
      </c>
      <c r="AO1384" s="15">
        <f t="shared" si="25"/>
        <v>6</v>
      </c>
      <c r="AP1384" s="15">
        <f t="shared" si="26"/>
        <v>6</v>
      </c>
      <c r="AQ1384" s="15">
        <f t="shared" si="27"/>
        <v>24</v>
      </c>
      <c r="AR1384" s="31"/>
      <c r="AS1384" s="31"/>
      <c r="AT1384" s="35" t="s">
        <v>222</v>
      </c>
      <c r="AU1384" s="35"/>
    </row>
    <row r="1385" ht="15.75" customHeight="1">
      <c r="A1385" s="15" t="s">
        <v>6909</v>
      </c>
      <c r="B1385" s="15" t="s">
        <v>243</v>
      </c>
      <c r="C1385" s="15" t="s">
        <v>98</v>
      </c>
      <c r="D1385" s="15" t="s">
        <v>6910</v>
      </c>
      <c r="E1385" s="15" t="s">
        <v>6910</v>
      </c>
      <c r="F1385" s="58" t="s">
        <v>807</v>
      </c>
      <c r="G1385" s="66" t="s">
        <v>98</v>
      </c>
      <c r="H1385" s="18" t="s">
        <v>98</v>
      </c>
      <c r="I1385" s="18" t="s">
        <v>98</v>
      </c>
      <c r="J1385" s="18" t="s">
        <v>98</v>
      </c>
      <c r="K1385" s="18" t="s">
        <v>98</v>
      </c>
      <c r="L1385" s="18" t="s">
        <v>98</v>
      </c>
      <c r="M1385" s="18" t="s">
        <v>550</v>
      </c>
      <c r="N1385" s="18" t="s">
        <v>254</v>
      </c>
      <c r="O1385" s="18" t="s">
        <v>98</v>
      </c>
      <c r="P1385" s="15" t="str">
        <f t="shared" si="1"/>
        <v>VERIFY</v>
      </c>
      <c r="Q1385" s="15">
        <f t="shared" si="2"/>
        <v>6</v>
      </c>
      <c r="R1385" s="15">
        <f t="shared" si="3"/>
        <v>3</v>
      </c>
      <c r="S1385" s="15">
        <f t="shared" si="4"/>
        <v>2</v>
      </c>
      <c r="T1385" s="15" t="str">
        <f t="shared" si="5"/>
        <v>C-2</v>
      </c>
      <c r="U1385" s="15" t="str">
        <f t="shared" si="6"/>
        <v>T6-M3-H2-FC-2-VERIFY</v>
      </c>
      <c r="V1385" s="15">
        <f t="shared" si="7"/>
        <v>0</v>
      </c>
      <c r="W1385" s="31"/>
      <c r="X1385" s="15" t="str">
        <f t="shared" si="8"/>
        <v>heidelberg-germany</v>
      </c>
      <c r="Y1385" s="32" t="str">
        <f t="shared" si="9"/>
        <v>https://steelmanufacturer.in/market-area/electropolished-pipes-manufacturer-in-heidelberg-germany/</v>
      </c>
      <c r="Z1385" s="15" t="str">
        <f t="shared" si="10"/>
        <v>Electropolished Pipes Manufacturer in Heidelberg</v>
      </c>
      <c r="AA1385" s="15" t="str">
        <f t="shared" si="11"/>
        <v>OK (48)</v>
      </c>
      <c r="AB1385" s="15" t="str">
        <f t="shared" si="12"/>
        <v>EP stainless tube for VERIFY lines in Heidelberg. 24-30 days sea from Nhava Sheva to Hamburg. ASTM A270 S2, PMI tested, EN 10204 3.1.</v>
      </c>
      <c r="AC1385" s="15" t="str">
        <f t="shared" si="13"/>
        <v>PENDING RESEARCH</v>
      </c>
      <c r="AD1385" s="15" t="str">
        <f t="shared" si="14"/>
        <v>Electropolished Pipes Manufacturer in Heidelberg</v>
      </c>
      <c r="AE1385" s="15" t="str">
        <f t="shared" si="15"/>
        <v>How We Manufacture Electropolished Tube for Heidelberg Plants</v>
      </c>
      <c r="AF1385" s="15" t="str">
        <f t="shared" si="16"/>
        <v>Supplying Electropolished Pipes in Heidelberg: Availability, Sizes &amp; Dispatch</v>
      </c>
      <c r="AG1385" s="15" t="str">
        <f t="shared" si="17"/>
        <v>Wholesale Electropolished Pipe Supply for Heidelberg Projects</v>
      </c>
      <c r="AH1385" s="15" t="str">
        <f t="shared" si="18"/>
        <v>electropolished pipes manufacturer in Heidelberg, electropolished pipes supplier in Heidelberg, electropolished pipes wholesaler in Heidelberg, electropolished tube manufacturer Heidelberg, EP pipe supplier Heidelberg, sanitary tube supplier Heidelberg, ASME BPE tubing Heidelberg, ASTM A270 tube Heidelberg, SS 316L electropolished pipe Heidelberg</v>
      </c>
      <c r="AI1385" s="15" t="str">
        <f t="shared" si="19"/>
        <v>Electropolished Pipes Manufacturer &amp; Supplier in Heidelberg</v>
      </c>
      <c r="AJ1385" s="15" t="str">
        <f t="shared" si="20"/>
        <v>EP-finished SS 304/316L pipes and tubes for VERIFY plants in Heidelberg. ASME BPE SF1-SF4, Ra from 0.25 um, EN 10204 3.1 certificate with every lot.</v>
      </c>
      <c r="AK1385" s="15" t="str">
        <f t="shared" si="21"/>
        <v>Electropolished stainless steel pipes supplied by Sakshi Forge to VERIFY plants at VERIFY, Heidelberg</v>
      </c>
      <c r="AL1385" s="15" t="str">
        <f t="shared" si="22"/>
        <v>Electropolished SS 316L tube stock for Heidelberg - Sakshi Forge</v>
      </c>
      <c r="AM1385" s="15" t="str">
        <f t="shared" si="23"/>
        <v>Home &gt; Market Area &gt; Germany &gt; VERIFY &gt; Heidelberg</v>
      </c>
      <c r="AN1385" s="15">
        <f t="shared" si="24"/>
        <v>750</v>
      </c>
      <c r="AO1385" s="15">
        <f t="shared" si="25"/>
        <v>6</v>
      </c>
      <c r="AP1385" s="15">
        <f t="shared" si="26"/>
        <v>6</v>
      </c>
      <c r="AQ1385" s="15">
        <f t="shared" si="27"/>
        <v>24</v>
      </c>
      <c r="AR1385" s="31"/>
      <c r="AS1385" s="31"/>
      <c r="AT1385" s="35" t="s">
        <v>222</v>
      </c>
      <c r="AU1385" s="35"/>
    </row>
    <row r="1386" ht="15.75" customHeight="1">
      <c r="A1386" s="15" t="s">
        <v>6911</v>
      </c>
      <c r="B1386" s="15" t="s">
        <v>243</v>
      </c>
      <c r="C1386" s="15" t="s">
        <v>98</v>
      </c>
      <c r="D1386" s="15" t="s">
        <v>6912</v>
      </c>
      <c r="E1386" s="15" t="s">
        <v>6912</v>
      </c>
      <c r="F1386" s="58" t="s">
        <v>807</v>
      </c>
      <c r="G1386" s="66" t="s">
        <v>98</v>
      </c>
      <c r="H1386" s="18" t="s">
        <v>98</v>
      </c>
      <c r="I1386" s="18" t="s">
        <v>98</v>
      </c>
      <c r="J1386" s="18" t="s">
        <v>98</v>
      </c>
      <c r="K1386" s="18" t="s">
        <v>98</v>
      </c>
      <c r="L1386" s="18" t="s">
        <v>98</v>
      </c>
      <c r="M1386" s="18" t="s">
        <v>550</v>
      </c>
      <c r="N1386" s="18" t="s">
        <v>254</v>
      </c>
      <c r="O1386" s="18" t="s">
        <v>98</v>
      </c>
      <c r="P1386" s="15" t="str">
        <f t="shared" si="1"/>
        <v>VERIFY</v>
      </c>
      <c r="Q1386" s="15">
        <f t="shared" si="2"/>
        <v>7</v>
      </c>
      <c r="R1386" s="15">
        <f t="shared" si="3"/>
        <v>4</v>
      </c>
      <c r="S1386" s="15">
        <f t="shared" si="4"/>
        <v>3</v>
      </c>
      <c r="T1386" s="15" t="str">
        <f t="shared" si="5"/>
        <v>C-3</v>
      </c>
      <c r="U1386" s="15" t="str">
        <f t="shared" si="6"/>
        <v>T7-M4-H3-FC-3-VERIFY</v>
      </c>
      <c r="V1386" s="15">
        <f t="shared" si="7"/>
        <v>0</v>
      </c>
      <c r="W1386" s="31"/>
      <c r="X1386" s="15" t="str">
        <f t="shared" si="8"/>
        <v>heilbronn-germany</v>
      </c>
      <c r="Y1386" s="32" t="str">
        <f t="shared" si="9"/>
        <v>https://steelmanufacturer.in/market-area/electropolished-pipes-manufacturer-in-heilbronn-germany/</v>
      </c>
      <c r="Z1386" s="15" t="str">
        <f t="shared" si="10"/>
        <v>Electropolished Pipes Manufacturer in Heilbronn</v>
      </c>
      <c r="AA1386" s="15" t="str">
        <f t="shared" si="11"/>
        <v>OK (47)</v>
      </c>
      <c r="AB1386" s="15" t="str">
        <f t="shared" si="12"/>
        <v>Sanitary electropolished pipes in Heilbronn for VERIFY plants. ASME BPE SF1-SF4, orbital-weld ready, 3.1 MTC. Mumbai-made.</v>
      </c>
      <c r="AC1386" s="15" t="str">
        <f t="shared" si="13"/>
        <v>PENDING RESEARCH</v>
      </c>
      <c r="AD1386" s="15" t="str">
        <f t="shared" si="14"/>
        <v>Electropolished Pipes Manufacturer in Heilbronn</v>
      </c>
      <c r="AE1386" s="15" t="str">
        <f t="shared" si="15"/>
        <v>Electropolished Pipes Manufacturer in Heilbronn - Our Process &amp; Capability</v>
      </c>
      <c r="AF1386" s="15" t="str">
        <f t="shared" si="16"/>
        <v>Electropolished Pipes Supplier in Heilbronn - What We Hold in Stock</v>
      </c>
      <c r="AG1386" s="15" t="str">
        <f t="shared" si="17"/>
        <v>Bulk &amp; Wholesale Electropolished Pipe Rates for Heilbronn Buyers</v>
      </c>
      <c r="AH1386" s="15" t="str">
        <f t="shared" si="18"/>
        <v>electropolished pipes manufacturer in Heilbronn, electropolished pipes supplier in Heilbronn, electropolished pipes wholesaler in Heilbronn, electropolished tube manufacturer Heilbronn, EP pipe supplier Heilbronn, sanitary tube supplier Heilbronn, ASME BPE tubing Heilbronn, ASTM A270 tube Heilbronn, SS 316L electropolished pipe Heilbronn</v>
      </c>
      <c r="AI1386" s="15" t="str">
        <f t="shared" si="19"/>
        <v>Electropolished Pipes Manufacturer &amp; Supplier in Heilbronn</v>
      </c>
      <c r="AJ1386" s="15" t="str">
        <f t="shared" si="20"/>
        <v>EP-finished SS 304/316L pipes and tubes for VERIFY plants in Heilbronn. ASME BPE SF1-SF4, Ra from 0.25 um, EN 10204 3.1 certificate with every lot.</v>
      </c>
      <c r="AK1386" s="15" t="str">
        <f t="shared" si="21"/>
        <v>Electropolished stainless steel pipes supplied by Sakshi Forge to VERIFY plants at VERIFY, Heilbronn</v>
      </c>
      <c r="AL1386" s="15" t="str">
        <f t="shared" si="22"/>
        <v>Electropolished SS 316L tube stock for Heilbronn - Sakshi Forge</v>
      </c>
      <c r="AM1386" s="15" t="str">
        <f t="shared" si="23"/>
        <v>Home &gt; Market Area &gt; Germany &gt; VERIFY &gt; Heilbronn</v>
      </c>
      <c r="AN1386" s="15">
        <f t="shared" si="24"/>
        <v>750</v>
      </c>
      <c r="AO1386" s="15">
        <f t="shared" si="25"/>
        <v>6</v>
      </c>
      <c r="AP1386" s="15">
        <f t="shared" si="26"/>
        <v>6</v>
      </c>
      <c r="AQ1386" s="15">
        <f t="shared" si="27"/>
        <v>24</v>
      </c>
      <c r="AR1386" s="31"/>
      <c r="AS1386" s="31"/>
      <c r="AT1386" s="35" t="s">
        <v>222</v>
      </c>
      <c r="AU1386" s="35"/>
    </row>
    <row r="1387" ht="15.75" customHeight="1">
      <c r="A1387" s="15" t="s">
        <v>6913</v>
      </c>
      <c r="B1387" s="15" t="s">
        <v>243</v>
      </c>
      <c r="C1387" s="15" t="s">
        <v>98</v>
      </c>
      <c r="D1387" s="15" t="s">
        <v>6914</v>
      </c>
      <c r="E1387" s="15" t="s">
        <v>6914</v>
      </c>
      <c r="F1387" s="58" t="s">
        <v>807</v>
      </c>
      <c r="G1387" s="66" t="s">
        <v>98</v>
      </c>
      <c r="H1387" s="18" t="s">
        <v>98</v>
      </c>
      <c r="I1387" s="18" t="s">
        <v>98</v>
      </c>
      <c r="J1387" s="18" t="s">
        <v>98</v>
      </c>
      <c r="K1387" s="18" t="s">
        <v>98</v>
      </c>
      <c r="L1387" s="18" t="s">
        <v>98</v>
      </c>
      <c r="M1387" s="18" t="s">
        <v>550</v>
      </c>
      <c r="N1387" s="18" t="s">
        <v>254</v>
      </c>
      <c r="O1387" s="18" t="s">
        <v>98</v>
      </c>
      <c r="P1387" s="15" t="str">
        <f t="shared" si="1"/>
        <v>VERIFY</v>
      </c>
      <c r="Q1387" s="15">
        <f t="shared" si="2"/>
        <v>8</v>
      </c>
      <c r="R1387" s="15">
        <f t="shared" si="3"/>
        <v>5</v>
      </c>
      <c r="S1387" s="15">
        <f t="shared" si="4"/>
        <v>4</v>
      </c>
      <c r="T1387" s="15" t="str">
        <f t="shared" si="5"/>
        <v>C-4</v>
      </c>
      <c r="U1387" s="15" t="str">
        <f t="shared" si="6"/>
        <v>T8-M5-H4-FC-4-VERIFY</v>
      </c>
      <c r="V1387" s="15">
        <f t="shared" si="7"/>
        <v>0</v>
      </c>
      <c r="W1387" s="31"/>
      <c r="X1387" s="15" t="str">
        <f t="shared" si="8"/>
        <v>hildesheim-germany</v>
      </c>
      <c r="Y1387" s="32" t="str">
        <f t="shared" si="9"/>
        <v>https://steelmanufacturer.in/market-area/electropolished-pipes-manufacturer-in-hildesheim-germany/</v>
      </c>
      <c r="Z1387" s="15" t="str">
        <f t="shared" si="10"/>
        <v>Electropolished Pipes Manufacturer in Hildesheim</v>
      </c>
      <c r="AA1387" s="15" t="str">
        <f t="shared" si="11"/>
        <v>OK (48)</v>
      </c>
      <c r="AB1387" s="15" t="str">
        <f t="shared" si="12"/>
        <v>Manufacturer of electropolished SS 316L tube serving Hildesheim. 24-30 days sea from Nhava Sheva to Hamburg. Ra 0.25-0.5 um, EN 10204 3.1 MTC.</v>
      </c>
      <c r="AC1387" s="15" t="str">
        <f t="shared" si="13"/>
        <v>PENDING RESEARCH</v>
      </c>
      <c r="AD1387" s="15" t="str">
        <f t="shared" si="14"/>
        <v>Electropolished Pipes Manufacturer in Hildesheim</v>
      </c>
      <c r="AE1387" s="15" t="str">
        <f t="shared" si="15"/>
        <v>Manufacturing Electropolished SS Tube for Hildesheim: The Standards We Build To</v>
      </c>
      <c r="AF1387" s="15" t="str">
        <f t="shared" si="16"/>
        <v>Electropolished Pipe Supply Into Hildesheim - Certification &amp; Transit</v>
      </c>
      <c r="AG1387" s="15" t="str">
        <f t="shared" si="17"/>
        <v>Electropolished Pipes Wholesaler in Hildesheim - Project Quantities &amp; Terms</v>
      </c>
      <c r="AH1387" s="15" t="str">
        <f t="shared" si="18"/>
        <v>electropolished pipes manufacturer in Hildesheim, electropolished pipes supplier in Hildesheim, electropolished pipes wholesaler in Hildesheim, electropolished tube manufacturer Hildesheim, EP pipe supplier Hildesheim, sanitary tube supplier Hildesheim, ASME BPE tubing Hildesheim, ASTM A270 tube Hildesheim, SS 316L electropolished pipe Hildesheim</v>
      </c>
      <c r="AI1387" s="15" t="str">
        <f t="shared" si="19"/>
        <v>Electropolished Pipes Manufacturer &amp; Supplier in Hildesheim</v>
      </c>
      <c r="AJ1387" s="15" t="str">
        <f t="shared" si="20"/>
        <v>EP-finished SS 304/316L pipes and tubes for VERIFY plants in Hildesheim. ASME BPE SF1-SF4, Ra from 0.25 um, EN 10204 3.1 certificate with every lot.</v>
      </c>
      <c r="AK1387" s="15" t="str">
        <f t="shared" si="21"/>
        <v>Electropolished stainless steel pipes supplied by Sakshi Forge to VERIFY plants at VERIFY, Hildesheim</v>
      </c>
      <c r="AL1387" s="15" t="str">
        <f t="shared" si="22"/>
        <v>Electropolished SS 316L tube stock for Hildesheim - Sakshi Forge</v>
      </c>
      <c r="AM1387" s="15" t="str">
        <f t="shared" si="23"/>
        <v>Home &gt; Market Area &gt; Germany &gt; VERIFY &gt; Hildesheim</v>
      </c>
      <c r="AN1387" s="15">
        <f t="shared" si="24"/>
        <v>750</v>
      </c>
      <c r="AO1387" s="15">
        <f t="shared" si="25"/>
        <v>6</v>
      </c>
      <c r="AP1387" s="15">
        <f t="shared" si="26"/>
        <v>6</v>
      </c>
      <c r="AQ1387" s="15">
        <f t="shared" si="27"/>
        <v>24</v>
      </c>
      <c r="AR1387" s="31"/>
      <c r="AS1387" s="31"/>
      <c r="AT1387" s="35" t="s">
        <v>222</v>
      </c>
      <c r="AU1387" s="35"/>
    </row>
    <row r="1388" ht="15.75" customHeight="1">
      <c r="A1388" s="15" t="s">
        <v>6915</v>
      </c>
      <c r="B1388" s="15" t="s">
        <v>243</v>
      </c>
      <c r="C1388" s="15" t="s">
        <v>98</v>
      </c>
      <c r="D1388" s="15" t="s">
        <v>6916</v>
      </c>
      <c r="E1388" s="15" t="s">
        <v>6916</v>
      </c>
      <c r="F1388" s="58" t="s">
        <v>807</v>
      </c>
      <c r="G1388" s="66" t="s">
        <v>98</v>
      </c>
      <c r="H1388" s="18" t="s">
        <v>98</v>
      </c>
      <c r="I1388" s="18" t="s">
        <v>98</v>
      </c>
      <c r="J1388" s="18" t="s">
        <v>98</v>
      </c>
      <c r="K1388" s="18" t="s">
        <v>98</v>
      </c>
      <c r="L1388" s="18" t="s">
        <v>98</v>
      </c>
      <c r="M1388" s="18" t="s">
        <v>550</v>
      </c>
      <c r="N1388" s="18" t="s">
        <v>254</v>
      </c>
      <c r="O1388" s="18" t="s">
        <v>98</v>
      </c>
      <c r="P1388" s="15" t="str">
        <f t="shared" si="1"/>
        <v>VERIFY</v>
      </c>
      <c r="Q1388" s="15">
        <f t="shared" si="2"/>
        <v>1</v>
      </c>
      <c r="R1388" s="15">
        <f t="shared" si="3"/>
        <v>6</v>
      </c>
      <c r="S1388" s="15">
        <f t="shared" si="4"/>
        <v>5</v>
      </c>
      <c r="T1388" s="15" t="str">
        <f t="shared" si="5"/>
        <v>C-5</v>
      </c>
      <c r="U1388" s="15" t="str">
        <f t="shared" si="6"/>
        <v>T1-M6-H5-FC-5-VERIFY</v>
      </c>
      <c r="V1388" s="15">
        <f t="shared" si="7"/>
        <v>0</v>
      </c>
      <c r="W1388" s="31"/>
      <c r="X1388" s="15" t="str">
        <f t="shared" si="8"/>
        <v>ingolstadt-germany</v>
      </c>
      <c r="Y1388" s="32" t="str">
        <f t="shared" si="9"/>
        <v>https://steelmanufacturer.in/market-area/electropolished-pipes-manufacturer-in-ingolstadt-germany/</v>
      </c>
      <c r="Z1388" s="15" t="str">
        <f t="shared" si="10"/>
        <v>Electropolished Pipes Manufacturer in Ingolstadt | Sakshi Forge</v>
      </c>
      <c r="AA1388" s="15" t="str">
        <f t="shared" si="11"/>
        <v>OK (63)</v>
      </c>
      <c r="AB1388" s="15" t="str">
        <f t="shared" si="12"/>
        <v>EP tube and pipe for VERIFY plants around VERIFY, Ingolstadt. Made at our Mumbai works to ASTM A270 and ASME BPE SF1-SF4, with 3.1 MTC.</v>
      </c>
      <c r="AC1388" s="15" t="str">
        <f t="shared" si="13"/>
        <v>PENDING RESEARCH</v>
      </c>
      <c r="AD1388" s="15" t="str">
        <f t="shared" si="14"/>
        <v>Electropolished Pipes Manufacturer in Ingolstadt</v>
      </c>
      <c r="AE1388" s="15" t="str">
        <f t="shared" si="15"/>
        <v>Electropolished Tube Manufacturing Capability Serving Ingolstadt</v>
      </c>
      <c r="AF1388" s="15" t="str">
        <f t="shared" si="16"/>
        <v>Electropolished Pipes Supplier in Ingolstadt - From Order to Delivery</v>
      </c>
      <c r="AG1388" s="15" t="str">
        <f t="shared" si="17"/>
        <v>Stockist &amp; Wholesale Supply of Electropolished Pipes in Ingolstadt</v>
      </c>
      <c r="AH1388" s="15" t="str">
        <f t="shared" si="18"/>
        <v>electropolished pipes manufacturer in Ingolstadt, electropolished pipes supplier in Ingolstadt, electropolished pipes wholesaler in Ingolstadt, electropolished tube manufacturer Ingolstadt, EP pipe supplier Ingolstadt, sanitary tube supplier Ingolstadt, ASME BPE tubing Ingolstadt, ASTM A270 tube Ingolstadt, SS 316L electropolished pipe Ingolstadt</v>
      </c>
      <c r="AI1388" s="15" t="str">
        <f t="shared" si="19"/>
        <v>Electropolished Pipes Manufacturer &amp; Supplier in Ingolstadt</v>
      </c>
      <c r="AJ1388" s="15" t="str">
        <f t="shared" si="20"/>
        <v>EP-finished SS 304/316L pipes and tubes for VERIFY plants in Ingolstadt. ASME BPE SF1-SF4, Ra from 0.25 um, EN 10204 3.1 certificate with every lot.</v>
      </c>
      <c r="AK1388" s="15" t="str">
        <f t="shared" si="21"/>
        <v>Electropolished stainless steel pipes supplied by Sakshi Forge to VERIFY plants at VERIFY, Ingolstadt</v>
      </c>
      <c r="AL1388" s="15" t="str">
        <f t="shared" si="22"/>
        <v>Electropolished SS 316L tube stock for Ingolstadt - Sakshi Forge</v>
      </c>
      <c r="AM1388" s="15" t="str">
        <f t="shared" si="23"/>
        <v>Home &gt; Market Area &gt; Germany &gt; VERIFY &gt; Ingolstadt</v>
      </c>
      <c r="AN1388" s="15">
        <f t="shared" si="24"/>
        <v>750</v>
      </c>
      <c r="AO1388" s="15">
        <f t="shared" si="25"/>
        <v>6</v>
      </c>
      <c r="AP1388" s="15">
        <f t="shared" si="26"/>
        <v>6</v>
      </c>
      <c r="AQ1388" s="15">
        <f t="shared" si="27"/>
        <v>24</v>
      </c>
      <c r="AR1388" s="31"/>
      <c r="AS1388" s="31"/>
      <c r="AT1388" s="35" t="s">
        <v>222</v>
      </c>
      <c r="AU1388" s="35"/>
    </row>
    <row r="1389" ht="15.75" customHeight="1">
      <c r="A1389" s="15" t="s">
        <v>6917</v>
      </c>
      <c r="B1389" s="15" t="s">
        <v>243</v>
      </c>
      <c r="C1389" s="15" t="s">
        <v>98</v>
      </c>
      <c r="D1389" s="15" t="s">
        <v>6918</v>
      </c>
      <c r="E1389" s="15" t="s">
        <v>6918</v>
      </c>
      <c r="F1389" s="58" t="s">
        <v>807</v>
      </c>
      <c r="G1389" s="66" t="s">
        <v>98</v>
      </c>
      <c r="H1389" s="18" t="s">
        <v>98</v>
      </c>
      <c r="I1389" s="18" t="s">
        <v>98</v>
      </c>
      <c r="J1389" s="18" t="s">
        <v>98</v>
      </c>
      <c r="K1389" s="18" t="s">
        <v>98</v>
      </c>
      <c r="L1389" s="18" t="s">
        <v>98</v>
      </c>
      <c r="M1389" s="18" t="s">
        <v>550</v>
      </c>
      <c r="N1389" s="18" t="s">
        <v>254</v>
      </c>
      <c r="O1389" s="18" t="s">
        <v>98</v>
      </c>
      <c r="P1389" s="15" t="str">
        <f t="shared" si="1"/>
        <v>VERIFY</v>
      </c>
      <c r="Q1389" s="15">
        <f t="shared" si="2"/>
        <v>2</v>
      </c>
      <c r="R1389" s="15">
        <f t="shared" si="3"/>
        <v>7</v>
      </c>
      <c r="S1389" s="15">
        <f t="shared" si="4"/>
        <v>1</v>
      </c>
      <c r="T1389" s="15" t="str">
        <f t="shared" si="5"/>
        <v>C-6</v>
      </c>
      <c r="U1389" s="15" t="str">
        <f t="shared" si="6"/>
        <v>T2-M7-H1-FC-6-VERIFY</v>
      </c>
      <c r="V1389" s="15">
        <f t="shared" si="7"/>
        <v>0</v>
      </c>
      <c r="W1389" s="31"/>
      <c r="X1389" s="15" t="str">
        <f t="shared" si="8"/>
        <v>jena-germany</v>
      </c>
      <c r="Y1389" s="32" t="str">
        <f t="shared" si="9"/>
        <v>https://steelmanufacturer.in/market-area/electropolished-pipes-manufacturer-in-jena-germany/</v>
      </c>
      <c r="Z1389" s="15" t="str">
        <f t="shared" si="10"/>
        <v>Electropolished Pipes Manufacturer in Jena - ASTM A270 &amp; ASME BPE</v>
      </c>
      <c r="AA1389" s="15" t="str">
        <f t="shared" si="11"/>
        <v>OK (65)</v>
      </c>
      <c r="AB1389" s="15" t="str">
        <f t="shared" si="12"/>
        <v>Electropolished pipes in Jena: 304, 304L, 316 and 316L in SF1-SF4. 24-30 days sea from Nhava Sheva to Hamburg. Mill certified.</v>
      </c>
      <c r="AC1389" s="15" t="str">
        <f t="shared" si="13"/>
        <v>PENDING RESEARCH</v>
      </c>
      <c r="AD1389" s="15" t="str">
        <f t="shared" si="14"/>
        <v>Electropolished Pipes Manufacturer in Jena</v>
      </c>
      <c r="AE1389" s="15" t="str">
        <f t="shared" si="15"/>
        <v>Electropolished Pipe &amp; Tube Manufacturing for Jena - Grades, Finishes &amp; Certification</v>
      </c>
      <c r="AF1389" s="15" t="str">
        <f t="shared" si="16"/>
        <v>Electropolished Pipes Supplier in Jena - Stock Sizes, Lead Time &amp; Delivery</v>
      </c>
      <c r="AG1389" s="15" t="str">
        <f t="shared" si="17"/>
        <v>Electropolished Pipes Wholesaler &amp; Stockist in Jena - Bulk &amp; Project Pricing</v>
      </c>
      <c r="AH1389" s="15" t="str">
        <f t="shared" si="18"/>
        <v>electropolished pipes manufacturer in Jena, electropolished pipes supplier in Jena, electropolished pipes wholesaler in Jena, electropolished tube manufacturer Jena, EP pipe supplier Jena, sanitary tube supplier Jena, ASME BPE tubing Jena, ASTM A270 tube Jena, SS 316L electropolished pipe Jena</v>
      </c>
      <c r="AI1389" s="15" t="str">
        <f t="shared" si="19"/>
        <v>Electropolished Pipes Manufacturer &amp; Supplier in Jena</v>
      </c>
      <c r="AJ1389" s="15" t="str">
        <f t="shared" si="20"/>
        <v>EP-finished SS 304/316L pipes and tubes for VERIFY plants in Jena. ASME BPE SF1-SF4, Ra from 0.25 um, EN 10204 3.1 certificate with every lot.</v>
      </c>
      <c r="AK1389" s="15" t="str">
        <f t="shared" si="21"/>
        <v>Electropolished stainless steel pipes supplied by Sakshi Forge to VERIFY plants at VERIFY, Jena</v>
      </c>
      <c r="AL1389" s="15" t="str">
        <f t="shared" si="22"/>
        <v>Electropolished SS 316L tube stock for Jena - Sakshi Forge</v>
      </c>
      <c r="AM1389" s="15" t="str">
        <f t="shared" si="23"/>
        <v>Home &gt; Market Area &gt; Germany &gt; VERIFY &gt; Jena</v>
      </c>
      <c r="AN1389" s="15">
        <f t="shared" si="24"/>
        <v>750</v>
      </c>
      <c r="AO1389" s="15">
        <f t="shared" si="25"/>
        <v>6</v>
      </c>
      <c r="AP1389" s="15">
        <f t="shared" si="26"/>
        <v>6</v>
      </c>
      <c r="AQ1389" s="15">
        <f t="shared" si="27"/>
        <v>24</v>
      </c>
      <c r="AR1389" s="31"/>
      <c r="AS1389" s="31"/>
      <c r="AT1389" s="35" t="s">
        <v>222</v>
      </c>
      <c r="AU1389" s="35"/>
    </row>
    <row r="1390" ht="15.75" customHeight="1">
      <c r="A1390" s="15" t="s">
        <v>6921</v>
      </c>
      <c r="B1390" s="15" t="s">
        <v>243</v>
      </c>
      <c r="C1390" s="15" t="s">
        <v>98</v>
      </c>
      <c r="D1390" s="15" t="s">
        <v>6923</v>
      </c>
      <c r="E1390" s="15" t="s">
        <v>6923</v>
      </c>
      <c r="F1390" s="58" t="s">
        <v>807</v>
      </c>
      <c r="G1390" s="66" t="s">
        <v>98</v>
      </c>
      <c r="H1390" s="18" t="s">
        <v>98</v>
      </c>
      <c r="I1390" s="18" t="s">
        <v>98</v>
      </c>
      <c r="J1390" s="18" t="s">
        <v>98</v>
      </c>
      <c r="K1390" s="18" t="s">
        <v>98</v>
      </c>
      <c r="L1390" s="18" t="s">
        <v>98</v>
      </c>
      <c r="M1390" s="18" t="s">
        <v>550</v>
      </c>
      <c r="N1390" s="18" t="s">
        <v>254</v>
      </c>
      <c r="O1390" s="18" t="s">
        <v>98</v>
      </c>
      <c r="P1390" s="15" t="str">
        <f t="shared" si="1"/>
        <v>VERIFY</v>
      </c>
      <c r="Q1390" s="15">
        <f t="shared" si="2"/>
        <v>3</v>
      </c>
      <c r="R1390" s="15">
        <f t="shared" si="3"/>
        <v>1</v>
      </c>
      <c r="S1390" s="15">
        <f t="shared" si="4"/>
        <v>2</v>
      </c>
      <c r="T1390" s="15" t="str">
        <f t="shared" si="5"/>
        <v>C-1</v>
      </c>
      <c r="U1390" s="15" t="str">
        <f t="shared" si="6"/>
        <v>T3-M1-H2-FC-1-VERIFY</v>
      </c>
      <c r="V1390" s="15">
        <f t="shared" si="7"/>
        <v>0</v>
      </c>
      <c r="W1390" s="31"/>
      <c r="X1390" s="15" t="str">
        <f t="shared" si="8"/>
        <v>kaiserslautern-germany</v>
      </c>
      <c r="Y1390" s="32" t="str">
        <f t="shared" si="9"/>
        <v>https://steelmanufacturer.in/market-area/electropolished-pipes-manufacturer-in-kaiserslautern-germany/</v>
      </c>
      <c r="Z1390" s="15" t="str">
        <f t="shared" si="10"/>
        <v>Electropolished Pipes Manufacturer in Kaiserslautern</v>
      </c>
      <c r="AA1390" s="15" t="str">
        <f t="shared" si="11"/>
        <v>OK (52)</v>
      </c>
      <c r="AB1390" s="15" t="str">
        <f t="shared" si="12"/>
        <v>EP-finished SS 304/316L pipes &amp; tubes for VERIFY plants in Kaiserslautern. ASTM A270, ASME BPE SF1-SF4, EN 10204 3.1 MTC. PMI tested.</v>
      </c>
      <c r="AC1390" s="15" t="str">
        <f t="shared" si="13"/>
        <v>PENDING RESEARCH</v>
      </c>
      <c r="AD1390" s="15" t="str">
        <f t="shared" si="14"/>
        <v>Electropolished Pipes Manufacturer in Kaiserslautern</v>
      </c>
      <c r="AE1390" s="15" t="str">
        <f t="shared" si="15"/>
        <v>How We Manufacture Electropolished Tube for Kaiserslautern Plants</v>
      </c>
      <c r="AF1390" s="15" t="str">
        <f t="shared" si="16"/>
        <v>Supplying Electropolished Pipes in Kaiserslautern: Availability, Sizes &amp; Dispatch</v>
      </c>
      <c r="AG1390" s="15" t="str">
        <f t="shared" si="17"/>
        <v>Wholesale Electropolished Pipe Supply for Kaiserslautern Projects</v>
      </c>
      <c r="AH1390" s="15" t="str">
        <f t="shared" si="18"/>
        <v>electropolished pipes manufacturer in Kaiserslautern, electropolished pipes supplier in Kaiserslautern, electropolished pipes wholesaler in Kaiserslautern, electropolished tube manufacturer Kaiserslautern, EP pipe supplier Kaiserslautern, sanitary tube supplier Kaiserslautern, ASME BPE tubing Kaiserslautern, ASTM A270 tube Kaiserslautern, SS 316L electropolished pipe Kaiserslautern</v>
      </c>
      <c r="AI1390" s="15" t="str">
        <f t="shared" si="19"/>
        <v>Electropolished Pipes Manufacturer &amp; Supplier in Kaiserslautern</v>
      </c>
      <c r="AJ1390" s="15" t="str">
        <f t="shared" si="20"/>
        <v>EP-finished SS 304/316L pipes and tubes for VERIFY plants in Kaiserslautern. ASME BPE SF1-SF4, Ra from 0.25 um, EN 10204 3.1 certificate with every lot.</v>
      </c>
      <c r="AK1390" s="15" t="str">
        <f t="shared" si="21"/>
        <v>Electropolished stainless steel pipes supplied by Sakshi Forge to VERIFY plants at VERIFY, Kaiserslautern</v>
      </c>
      <c r="AL1390" s="15" t="str">
        <f t="shared" si="22"/>
        <v>Electropolished SS 316L tube stock for Kaiserslautern - Sakshi Forge</v>
      </c>
      <c r="AM1390" s="15" t="str">
        <f t="shared" si="23"/>
        <v>Home &gt; Market Area &gt; Germany &gt; VERIFY &gt; Kaiserslautern</v>
      </c>
      <c r="AN1390" s="15">
        <f t="shared" si="24"/>
        <v>750</v>
      </c>
      <c r="AO1390" s="15">
        <f t="shared" si="25"/>
        <v>6</v>
      </c>
      <c r="AP1390" s="15">
        <f t="shared" si="26"/>
        <v>6</v>
      </c>
      <c r="AQ1390" s="15">
        <f t="shared" si="27"/>
        <v>24</v>
      </c>
      <c r="AR1390" s="31"/>
      <c r="AS1390" s="31"/>
      <c r="AT1390" s="35" t="s">
        <v>222</v>
      </c>
      <c r="AU1390" s="35"/>
    </row>
    <row r="1391" ht="15.75" customHeight="1">
      <c r="A1391" s="15" t="s">
        <v>6926</v>
      </c>
      <c r="B1391" s="15" t="s">
        <v>243</v>
      </c>
      <c r="C1391" s="15" t="s">
        <v>98</v>
      </c>
      <c r="D1391" s="15" t="s">
        <v>6928</v>
      </c>
      <c r="E1391" s="15" t="s">
        <v>6928</v>
      </c>
      <c r="F1391" s="58" t="s">
        <v>807</v>
      </c>
      <c r="G1391" s="66" t="s">
        <v>98</v>
      </c>
      <c r="H1391" s="18" t="s">
        <v>98</v>
      </c>
      <c r="I1391" s="18" t="s">
        <v>98</v>
      </c>
      <c r="J1391" s="18" t="s">
        <v>98</v>
      </c>
      <c r="K1391" s="18" t="s">
        <v>98</v>
      </c>
      <c r="L1391" s="18" t="s">
        <v>98</v>
      </c>
      <c r="M1391" s="18" t="s">
        <v>550</v>
      </c>
      <c r="N1391" s="18" t="s">
        <v>254</v>
      </c>
      <c r="O1391" s="18" t="s">
        <v>98</v>
      </c>
      <c r="P1391" s="15" t="str">
        <f t="shared" si="1"/>
        <v>VERIFY</v>
      </c>
      <c r="Q1391" s="15">
        <f t="shared" si="2"/>
        <v>4</v>
      </c>
      <c r="R1391" s="15">
        <f t="shared" si="3"/>
        <v>2</v>
      </c>
      <c r="S1391" s="15">
        <f t="shared" si="4"/>
        <v>3</v>
      </c>
      <c r="T1391" s="15" t="str">
        <f t="shared" si="5"/>
        <v>C-2</v>
      </c>
      <c r="U1391" s="15" t="str">
        <f t="shared" si="6"/>
        <v>T4-M2-H3-FC-2-VERIFY</v>
      </c>
      <c r="V1391" s="15">
        <f t="shared" si="7"/>
        <v>0</v>
      </c>
      <c r="W1391" s="31"/>
      <c r="X1391" s="15" t="str">
        <f t="shared" si="8"/>
        <v>kassel-germany</v>
      </c>
      <c r="Y1391" s="32" t="str">
        <f t="shared" si="9"/>
        <v>https://steelmanufacturer.in/market-area/electropolished-pipes-manufacturer-in-kassel-germany/</v>
      </c>
      <c r="Z1391" s="15" t="str">
        <f t="shared" si="10"/>
        <v>Electropolished Pipes Manufacturer in Kassel</v>
      </c>
      <c r="AA1391" s="15" t="str">
        <f t="shared" si="11"/>
        <v>OK (44)</v>
      </c>
      <c r="AB1391" s="15" t="str">
        <f t="shared" si="12"/>
        <v>Electropolished tube supply to VERIFY, Kassel. Ra from 0.25 um, SF4 finish, mill test certificate with every lot.</v>
      </c>
      <c r="AC1391" s="15" t="str">
        <f t="shared" si="13"/>
        <v>PENDING RESEARCH</v>
      </c>
      <c r="AD1391" s="15" t="str">
        <f t="shared" si="14"/>
        <v>Electropolished Pipes Manufacturer in Kassel</v>
      </c>
      <c r="AE1391" s="15" t="str">
        <f t="shared" si="15"/>
        <v>Electropolished Pipes Manufacturer in Kassel - Our Process &amp; Capability</v>
      </c>
      <c r="AF1391" s="15" t="str">
        <f t="shared" si="16"/>
        <v>Electropolished Pipes Supplier in Kassel - What We Hold in Stock</v>
      </c>
      <c r="AG1391" s="15" t="str">
        <f t="shared" si="17"/>
        <v>Bulk &amp; Wholesale Electropolished Pipe Rates for Kassel Buyers</v>
      </c>
      <c r="AH1391" s="15" t="str">
        <f t="shared" si="18"/>
        <v>electropolished pipes manufacturer in Kassel, electropolished pipes supplier in Kassel, electropolished pipes wholesaler in Kassel, electropolished tube manufacturer Kassel, EP pipe supplier Kassel, sanitary tube supplier Kassel, ASME BPE tubing Kassel, ASTM A270 tube Kassel, SS 316L electropolished pipe Kassel</v>
      </c>
      <c r="AI1391" s="15" t="str">
        <f t="shared" si="19"/>
        <v>Electropolished Pipes Manufacturer &amp; Supplier in Kassel</v>
      </c>
      <c r="AJ1391" s="15" t="str">
        <f t="shared" si="20"/>
        <v>EP-finished SS 304/316L pipes and tubes for VERIFY plants in Kassel. ASME BPE SF1-SF4, Ra from 0.25 um, EN 10204 3.1 certificate with every lot.</v>
      </c>
      <c r="AK1391" s="15" t="str">
        <f t="shared" si="21"/>
        <v>Electropolished stainless steel pipes supplied by Sakshi Forge to VERIFY plants at VERIFY, Kassel</v>
      </c>
      <c r="AL1391" s="15" t="str">
        <f t="shared" si="22"/>
        <v>Electropolished SS 316L tube stock for Kassel - Sakshi Forge</v>
      </c>
      <c r="AM1391" s="15" t="str">
        <f t="shared" si="23"/>
        <v>Home &gt; Market Area &gt; Germany &gt; VERIFY &gt; Kassel</v>
      </c>
      <c r="AN1391" s="15">
        <f t="shared" si="24"/>
        <v>750</v>
      </c>
      <c r="AO1391" s="15">
        <f t="shared" si="25"/>
        <v>6</v>
      </c>
      <c r="AP1391" s="15">
        <f t="shared" si="26"/>
        <v>6</v>
      </c>
      <c r="AQ1391" s="15">
        <f t="shared" si="27"/>
        <v>24</v>
      </c>
      <c r="AR1391" s="31"/>
      <c r="AS1391" s="31"/>
      <c r="AT1391" s="35" t="s">
        <v>222</v>
      </c>
      <c r="AU1391" s="35"/>
    </row>
    <row r="1392" ht="15.75" customHeight="1">
      <c r="A1392" s="15" t="s">
        <v>6929</v>
      </c>
      <c r="B1392" s="15" t="s">
        <v>243</v>
      </c>
      <c r="C1392" s="15" t="s">
        <v>98</v>
      </c>
      <c r="D1392" s="15" t="s">
        <v>6930</v>
      </c>
      <c r="E1392" s="15" t="s">
        <v>6930</v>
      </c>
      <c r="F1392" s="58" t="s">
        <v>807</v>
      </c>
      <c r="G1392" s="66" t="s">
        <v>98</v>
      </c>
      <c r="H1392" s="18" t="s">
        <v>98</v>
      </c>
      <c r="I1392" s="18" t="s">
        <v>98</v>
      </c>
      <c r="J1392" s="18" t="s">
        <v>98</v>
      </c>
      <c r="K1392" s="18" t="s">
        <v>98</v>
      </c>
      <c r="L1392" s="18" t="s">
        <v>98</v>
      </c>
      <c r="M1392" s="18" t="s">
        <v>550</v>
      </c>
      <c r="N1392" s="18" t="s">
        <v>254</v>
      </c>
      <c r="O1392" s="18" t="s">
        <v>98</v>
      </c>
      <c r="P1392" s="15" t="str">
        <f t="shared" si="1"/>
        <v>VERIFY</v>
      </c>
      <c r="Q1392" s="15">
        <f t="shared" si="2"/>
        <v>5</v>
      </c>
      <c r="R1392" s="15">
        <f t="shared" si="3"/>
        <v>3</v>
      </c>
      <c r="S1392" s="15">
        <f t="shared" si="4"/>
        <v>4</v>
      </c>
      <c r="T1392" s="15" t="str">
        <f t="shared" si="5"/>
        <v>C-3</v>
      </c>
      <c r="U1392" s="15" t="str">
        <f t="shared" si="6"/>
        <v>T5-M3-H4-FC-3-VERIFY</v>
      </c>
      <c r="V1392" s="15">
        <f t="shared" si="7"/>
        <v>0</v>
      </c>
      <c r="W1392" s="31"/>
      <c r="X1392" s="15" t="str">
        <f t="shared" si="8"/>
        <v>kempten-germany</v>
      </c>
      <c r="Y1392" s="32" t="str">
        <f t="shared" si="9"/>
        <v>https://steelmanufacturer.in/market-area/electropolished-pipes-manufacturer-in-kempten-germany/</v>
      </c>
      <c r="Z1392" s="15" t="str">
        <f t="shared" si="10"/>
        <v>Electropolished Pipes Manufacturer in Kempten</v>
      </c>
      <c r="AA1392" s="15" t="str">
        <f t="shared" si="11"/>
        <v>OK (45)</v>
      </c>
      <c r="AB1392" s="15" t="str">
        <f t="shared" si="12"/>
        <v>EP stainless tube for VERIFY lines in Kempten. 24-30 days sea from Nhava Sheva to Hamburg. ASTM A270 S2, PMI tested, EN 10204 3.1.</v>
      </c>
      <c r="AC1392" s="15" t="str">
        <f t="shared" si="13"/>
        <v>PENDING RESEARCH</v>
      </c>
      <c r="AD1392" s="15" t="str">
        <f t="shared" si="14"/>
        <v>Electropolished Pipes Manufacturer in Kempten</v>
      </c>
      <c r="AE1392" s="15" t="str">
        <f t="shared" si="15"/>
        <v>Manufacturing Electropolished SS Tube for Kempten: The Standards We Build To</v>
      </c>
      <c r="AF1392" s="15" t="str">
        <f t="shared" si="16"/>
        <v>Electropolished Pipe Supply Into Kempten - Certification &amp; Transit</v>
      </c>
      <c r="AG1392" s="15" t="str">
        <f t="shared" si="17"/>
        <v>Electropolished Pipes Wholesaler in Kempten - Project Quantities &amp; Terms</v>
      </c>
      <c r="AH1392" s="15" t="str">
        <f t="shared" si="18"/>
        <v>electropolished pipes manufacturer in Kempten, electropolished pipes supplier in Kempten, electropolished pipes wholesaler in Kempten, electropolished tube manufacturer Kempten, EP pipe supplier Kempten, sanitary tube supplier Kempten, ASME BPE tubing Kempten, ASTM A270 tube Kempten, SS 316L electropolished pipe Kempten</v>
      </c>
      <c r="AI1392" s="15" t="str">
        <f t="shared" si="19"/>
        <v>Electropolished Pipes Manufacturer &amp; Supplier in Kempten</v>
      </c>
      <c r="AJ1392" s="15" t="str">
        <f t="shared" si="20"/>
        <v>EP-finished SS 304/316L pipes and tubes for VERIFY plants in Kempten. ASME BPE SF1-SF4, Ra from 0.25 um, EN 10204 3.1 certificate with every lot.</v>
      </c>
      <c r="AK1392" s="15" t="str">
        <f t="shared" si="21"/>
        <v>Electropolished stainless steel pipes supplied by Sakshi Forge to VERIFY plants at VERIFY, Kempten</v>
      </c>
      <c r="AL1392" s="15" t="str">
        <f t="shared" si="22"/>
        <v>Electropolished SS 316L tube stock for Kempten - Sakshi Forge</v>
      </c>
      <c r="AM1392" s="15" t="str">
        <f t="shared" si="23"/>
        <v>Home &gt; Market Area &gt; Germany &gt; VERIFY &gt; Kempten</v>
      </c>
      <c r="AN1392" s="15">
        <f t="shared" si="24"/>
        <v>750</v>
      </c>
      <c r="AO1392" s="15">
        <f t="shared" si="25"/>
        <v>6</v>
      </c>
      <c r="AP1392" s="15">
        <f t="shared" si="26"/>
        <v>6</v>
      </c>
      <c r="AQ1392" s="15">
        <f t="shared" si="27"/>
        <v>24</v>
      </c>
      <c r="AR1392" s="31"/>
      <c r="AS1392" s="31"/>
      <c r="AT1392" s="35" t="s">
        <v>222</v>
      </c>
      <c r="AU1392" s="35"/>
    </row>
    <row r="1393" ht="15.75" customHeight="1">
      <c r="A1393" s="15" t="s">
        <v>6931</v>
      </c>
      <c r="B1393" s="15" t="s">
        <v>243</v>
      </c>
      <c r="C1393" s="15" t="s">
        <v>98</v>
      </c>
      <c r="D1393" s="15" t="s">
        <v>6932</v>
      </c>
      <c r="E1393" s="15" t="s">
        <v>6932</v>
      </c>
      <c r="F1393" s="58" t="s">
        <v>807</v>
      </c>
      <c r="G1393" s="66" t="s">
        <v>98</v>
      </c>
      <c r="H1393" s="18" t="s">
        <v>98</v>
      </c>
      <c r="I1393" s="18" t="s">
        <v>98</v>
      </c>
      <c r="J1393" s="18" t="s">
        <v>98</v>
      </c>
      <c r="K1393" s="18" t="s">
        <v>98</v>
      </c>
      <c r="L1393" s="18" t="s">
        <v>98</v>
      </c>
      <c r="M1393" s="18" t="s">
        <v>550</v>
      </c>
      <c r="N1393" s="18" t="s">
        <v>254</v>
      </c>
      <c r="O1393" s="18" t="s">
        <v>98</v>
      </c>
      <c r="P1393" s="15" t="str">
        <f t="shared" si="1"/>
        <v>VERIFY</v>
      </c>
      <c r="Q1393" s="15">
        <f t="shared" si="2"/>
        <v>6</v>
      </c>
      <c r="R1393" s="15">
        <f t="shared" si="3"/>
        <v>4</v>
      </c>
      <c r="S1393" s="15">
        <f t="shared" si="4"/>
        <v>5</v>
      </c>
      <c r="T1393" s="15" t="str">
        <f t="shared" si="5"/>
        <v>C-4</v>
      </c>
      <c r="U1393" s="15" t="str">
        <f t="shared" si="6"/>
        <v>T6-M4-H5-FC-4-VERIFY</v>
      </c>
      <c r="V1393" s="15">
        <f t="shared" si="7"/>
        <v>0</v>
      </c>
      <c r="W1393" s="31"/>
      <c r="X1393" s="15" t="str">
        <f t="shared" si="8"/>
        <v>koblenz-germany</v>
      </c>
      <c r="Y1393" s="32" t="str">
        <f t="shared" si="9"/>
        <v>https://steelmanufacturer.in/market-area/electropolished-pipes-manufacturer-in-koblenz-germany/</v>
      </c>
      <c r="Z1393" s="15" t="str">
        <f t="shared" si="10"/>
        <v>Electropolished Pipes Manufacturer in Koblenz</v>
      </c>
      <c r="AA1393" s="15" t="str">
        <f t="shared" si="11"/>
        <v>OK (45)</v>
      </c>
      <c r="AB1393" s="15" t="str">
        <f t="shared" si="12"/>
        <v>Sanitary electropolished pipes in Koblenz for VERIFY plants. ASME BPE SF1-SF4, orbital-weld ready, 3.1 MTC. Mumbai-made.</v>
      </c>
      <c r="AC1393" s="15" t="str">
        <f t="shared" si="13"/>
        <v>PENDING RESEARCH</v>
      </c>
      <c r="AD1393" s="15" t="str">
        <f t="shared" si="14"/>
        <v>Electropolished Pipes Manufacturer in Koblenz</v>
      </c>
      <c r="AE1393" s="15" t="str">
        <f t="shared" si="15"/>
        <v>Electropolished Tube Manufacturing Capability Serving Koblenz</v>
      </c>
      <c r="AF1393" s="15" t="str">
        <f t="shared" si="16"/>
        <v>Electropolished Pipes Supplier in Koblenz - From Order to Delivery</v>
      </c>
      <c r="AG1393" s="15" t="str">
        <f t="shared" si="17"/>
        <v>Stockist &amp; Wholesale Supply of Electropolished Pipes in Koblenz</v>
      </c>
      <c r="AH1393" s="15" t="str">
        <f t="shared" si="18"/>
        <v>electropolished pipes manufacturer in Koblenz, electropolished pipes supplier in Koblenz, electropolished pipes wholesaler in Koblenz, electropolished tube manufacturer Koblenz, EP pipe supplier Koblenz, sanitary tube supplier Koblenz, ASME BPE tubing Koblenz, ASTM A270 tube Koblenz, SS 316L electropolished pipe Koblenz</v>
      </c>
      <c r="AI1393" s="15" t="str">
        <f t="shared" si="19"/>
        <v>Electropolished Pipes Manufacturer &amp; Supplier in Koblenz</v>
      </c>
      <c r="AJ1393" s="15" t="str">
        <f t="shared" si="20"/>
        <v>EP-finished SS 304/316L pipes and tubes for VERIFY plants in Koblenz. ASME BPE SF1-SF4, Ra from 0.25 um, EN 10204 3.1 certificate with every lot.</v>
      </c>
      <c r="AK1393" s="15" t="str">
        <f t="shared" si="21"/>
        <v>Electropolished stainless steel pipes supplied by Sakshi Forge to VERIFY plants at VERIFY, Koblenz</v>
      </c>
      <c r="AL1393" s="15" t="str">
        <f t="shared" si="22"/>
        <v>Electropolished SS 316L tube stock for Koblenz - Sakshi Forge</v>
      </c>
      <c r="AM1393" s="15" t="str">
        <f t="shared" si="23"/>
        <v>Home &gt; Market Area &gt; Germany &gt; VERIFY &gt; Koblenz</v>
      </c>
      <c r="AN1393" s="15">
        <f t="shared" si="24"/>
        <v>750</v>
      </c>
      <c r="AO1393" s="15">
        <f t="shared" si="25"/>
        <v>6</v>
      </c>
      <c r="AP1393" s="15">
        <f t="shared" si="26"/>
        <v>6</v>
      </c>
      <c r="AQ1393" s="15">
        <f t="shared" si="27"/>
        <v>24</v>
      </c>
      <c r="AR1393" s="31"/>
      <c r="AS1393" s="31"/>
      <c r="AT1393" s="35" t="s">
        <v>222</v>
      </c>
      <c r="AU1393" s="35"/>
    </row>
    <row r="1394" ht="15.75" customHeight="1">
      <c r="A1394" s="15" t="s">
        <v>6933</v>
      </c>
      <c r="B1394" s="15" t="s">
        <v>243</v>
      </c>
      <c r="C1394" s="15" t="s">
        <v>98</v>
      </c>
      <c r="D1394" s="15" t="s">
        <v>6934</v>
      </c>
      <c r="E1394" s="15" t="s">
        <v>6934</v>
      </c>
      <c r="F1394" s="58" t="s">
        <v>807</v>
      </c>
      <c r="G1394" s="66" t="s">
        <v>98</v>
      </c>
      <c r="H1394" s="18" t="s">
        <v>98</v>
      </c>
      <c r="I1394" s="18" t="s">
        <v>98</v>
      </c>
      <c r="J1394" s="18" t="s">
        <v>98</v>
      </c>
      <c r="K1394" s="18" t="s">
        <v>98</v>
      </c>
      <c r="L1394" s="18" t="s">
        <v>98</v>
      </c>
      <c r="M1394" s="18" t="s">
        <v>550</v>
      </c>
      <c r="N1394" s="18" t="s">
        <v>254</v>
      </c>
      <c r="O1394" s="18" t="s">
        <v>98</v>
      </c>
      <c r="P1394" s="15" t="str">
        <f t="shared" si="1"/>
        <v>VERIFY</v>
      </c>
      <c r="Q1394" s="15">
        <f t="shared" si="2"/>
        <v>7</v>
      </c>
      <c r="R1394" s="15">
        <f t="shared" si="3"/>
        <v>5</v>
      </c>
      <c r="S1394" s="15">
        <f t="shared" si="4"/>
        <v>1</v>
      </c>
      <c r="T1394" s="15" t="str">
        <f t="shared" si="5"/>
        <v>C-5</v>
      </c>
      <c r="U1394" s="15" t="str">
        <f t="shared" si="6"/>
        <v>T7-M5-H1-FC-5-VERIFY</v>
      </c>
      <c r="V1394" s="15">
        <f t="shared" si="7"/>
        <v>0</v>
      </c>
      <c r="W1394" s="31"/>
      <c r="X1394" s="15" t="str">
        <f t="shared" si="8"/>
        <v>konstanz-germany</v>
      </c>
      <c r="Y1394" s="32" t="str">
        <f t="shared" si="9"/>
        <v>https://steelmanufacturer.in/market-area/electropolished-pipes-manufacturer-in-konstanz-germany/</v>
      </c>
      <c r="Z1394" s="15" t="str">
        <f t="shared" si="10"/>
        <v>Electropolished Pipes Manufacturer in Konstanz | ASME BPE SF1-SF4</v>
      </c>
      <c r="AA1394" s="15" t="str">
        <f t="shared" si="11"/>
        <v>OK (65)</v>
      </c>
      <c r="AB1394" s="15" t="str">
        <f t="shared" si="12"/>
        <v>Manufacturer of electropolished SS 316L tube serving Konstanz. 24-30 days sea from Nhava Sheva to Hamburg. Ra 0.25-0.5 um, EN 10204 3.1 MTC.</v>
      </c>
      <c r="AC1394" s="15" t="str">
        <f t="shared" si="13"/>
        <v>PENDING RESEARCH</v>
      </c>
      <c r="AD1394" s="15" t="str">
        <f t="shared" si="14"/>
        <v>Electropolished Pipes Manufacturer in Konstanz</v>
      </c>
      <c r="AE1394" s="15" t="str">
        <f t="shared" si="15"/>
        <v>Electropolished Pipe &amp; Tube Manufacturing for Konstanz - Grades, Finishes &amp; Certification</v>
      </c>
      <c r="AF1394" s="15" t="str">
        <f t="shared" si="16"/>
        <v>Electropolished Pipes Supplier in Konstanz - Stock Sizes, Lead Time &amp; Delivery</v>
      </c>
      <c r="AG1394" s="15" t="str">
        <f t="shared" si="17"/>
        <v>Electropolished Pipes Wholesaler &amp; Stockist in Konstanz - Bulk &amp; Project Pricing</v>
      </c>
      <c r="AH1394" s="15" t="str">
        <f t="shared" si="18"/>
        <v>electropolished pipes manufacturer in Konstanz, electropolished pipes supplier in Konstanz, electropolished pipes wholesaler in Konstanz, electropolished tube manufacturer Konstanz, EP pipe supplier Konstanz, sanitary tube supplier Konstanz, ASME BPE tubing Konstanz, ASTM A270 tube Konstanz, SS 316L electropolished pipe Konstanz</v>
      </c>
      <c r="AI1394" s="15" t="str">
        <f t="shared" si="19"/>
        <v>Electropolished Pipes Manufacturer &amp; Supplier in Konstanz</v>
      </c>
      <c r="AJ1394" s="15" t="str">
        <f t="shared" si="20"/>
        <v>EP-finished SS 304/316L pipes and tubes for VERIFY plants in Konstanz. ASME BPE SF1-SF4, Ra from 0.25 um, EN 10204 3.1 certificate with every lot.</v>
      </c>
      <c r="AK1394" s="15" t="str">
        <f t="shared" si="21"/>
        <v>Electropolished stainless steel pipes supplied by Sakshi Forge to VERIFY plants at VERIFY, Konstanz</v>
      </c>
      <c r="AL1394" s="15" t="str">
        <f t="shared" si="22"/>
        <v>Electropolished SS 316L tube stock for Konstanz - Sakshi Forge</v>
      </c>
      <c r="AM1394" s="15" t="str">
        <f t="shared" si="23"/>
        <v>Home &gt; Market Area &gt; Germany &gt; VERIFY &gt; Konstanz</v>
      </c>
      <c r="AN1394" s="15">
        <f t="shared" si="24"/>
        <v>750</v>
      </c>
      <c r="AO1394" s="15">
        <f t="shared" si="25"/>
        <v>6</v>
      </c>
      <c r="AP1394" s="15">
        <f t="shared" si="26"/>
        <v>6</v>
      </c>
      <c r="AQ1394" s="15">
        <f t="shared" si="27"/>
        <v>24</v>
      </c>
      <c r="AR1394" s="31"/>
      <c r="AS1394" s="31"/>
      <c r="AT1394" s="35" t="s">
        <v>222</v>
      </c>
      <c r="AU1394" s="35"/>
    </row>
    <row r="1395" ht="15.75" customHeight="1">
      <c r="A1395" s="15" t="s">
        <v>6935</v>
      </c>
      <c r="B1395" s="15" t="s">
        <v>243</v>
      </c>
      <c r="C1395" s="15" t="s">
        <v>98</v>
      </c>
      <c r="D1395" s="15" t="s">
        <v>6936</v>
      </c>
      <c r="E1395" s="15" t="s">
        <v>6936</v>
      </c>
      <c r="F1395" s="58" t="s">
        <v>807</v>
      </c>
      <c r="G1395" s="66" t="s">
        <v>98</v>
      </c>
      <c r="H1395" s="18" t="s">
        <v>98</v>
      </c>
      <c r="I1395" s="18" t="s">
        <v>98</v>
      </c>
      <c r="J1395" s="18" t="s">
        <v>98</v>
      </c>
      <c r="K1395" s="18" t="s">
        <v>98</v>
      </c>
      <c r="L1395" s="18" t="s">
        <v>98</v>
      </c>
      <c r="M1395" s="18" t="s">
        <v>550</v>
      </c>
      <c r="N1395" s="18" t="s">
        <v>254</v>
      </c>
      <c r="O1395" s="18" t="s">
        <v>98</v>
      </c>
      <c r="P1395" s="15" t="str">
        <f t="shared" si="1"/>
        <v>VERIFY</v>
      </c>
      <c r="Q1395" s="15">
        <f t="shared" si="2"/>
        <v>8</v>
      </c>
      <c r="R1395" s="15">
        <f t="shared" si="3"/>
        <v>6</v>
      </c>
      <c r="S1395" s="15">
        <f t="shared" si="4"/>
        <v>2</v>
      </c>
      <c r="T1395" s="15" t="str">
        <f t="shared" si="5"/>
        <v>C-6</v>
      </c>
      <c r="U1395" s="15" t="str">
        <f t="shared" si="6"/>
        <v>T8-M6-H2-FC-6-VERIFY</v>
      </c>
      <c r="V1395" s="15">
        <f t="shared" si="7"/>
        <v>0</v>
      </c>
      <c r="W1395" s="31"/>
      <c r="X1395" s="15" t="str">
        <f t="shared" si="8"/>
        <v>landshut-germany</v>
      </c>
      <c r="Y1395" s="32" t="str">
        <f t="shared" si="9"/>
        <v>https://steelmanufacturer.in/market-area/electropolished-pipes-manufacturer-in-landshut-germany/</v>
      </c>
      <c r="Z1395" s="15" t="str">
        <f t="shared" si="10"/>
        <v>Electropolished Pipes Manufacturer in Landshut - EP Tube Stockist</v>
      </c>
      <c r="AA1395" s="15" t="str">
        <f t="shared" si="11"/>
        <v>OK (65)</v>
      </c>
      <c r="AB1395" s="15" t="str">
        <f t="shared" si="12"/>
        <v>EP tube and pipe for VERIFY plants around VERIFY, Landshut. Made at our Mumbai works to ASTM A270 and ASME BPE SF1-SF4, with 3.1 MTC.</v>
      </c>
      <c r="AC1395" s="15" t="str">
        <f t="shared" si="13"/>
        <v>PENDING RESEARCH</v>
      </c>
      <c r="AD1395" s="15" t="str">
        <f t="shared" si="14"/>
        <v>Electropolished Pipes Manufacturer in Landshut</v>
      </c>
      <c r="AE1395" s="15" t="str">
        <f t="shared" si="15"/>
        <v>How We Manufacture Electropolished Tube for Landshut Plants</v>
      </c>
      <c r="AF1395" s="15" t="str">
        <f t="shared" si="16"/>
        <v>Supplying Electropolished Pipes in Landshut: Availability, Sizes &amp; Dispatch</v>
      </c>
      <c r="AG1395" s="15" t="str">
        <f t="shared" si="17"/>
        <v>Wholesale Electropolished Pipe Supply for Landshut Projects</v>
      </c>
      <c r="AH1395" s="15" t="str">
        <f t="shared" si="18"/>
        <v>electropolished pipes manufacturer in Landshut, electropolished pipes supplier in Landshut, electropolished pipes wholesaler in Landshut, electropolished tube manufacturer Landshut, EP pipe supplier Landshut, sanitary tube supplier Landshut, ASME BPE tubing Landshut, ASTM A270 tube Landshut, SS 316L electropolished pipe Landshut</v>
      </c>
      <c r="AI1395" s="15" t="str">
        <f t="shared" si="19"/>
        <v>Electropolished Pipes Manufacturer &amp; Supplier in Landshut</v>
      </c>
      <c r="AJ1395" s="15" t="str">
        <f t="shared" si="20"/>
        <v>EP-finished SS 304/316L pipes and tubes for VERIFY plants in Landshut. ASME BPE SF1-SF4, Ra from 0.25 um, EN 10204 3.1 certificate with every lot.</v>
      </c>
      <c r="AK1395" s="15" t="str">
        <f t="shared" si="21"/>
        <v>Electropolished stainless steel pipes supplied by Sakshi Forge to VERIFY plants at VERIFY, Landshut</v>
      </c>
      <c r="AL1395" s="15" t="str">
        <f t="shared" si="22"/>
        <v>Electropolished SS 316L tube stock for Landshut - Sakshi Forge</v>
      </c>
      <c r="AM1395" s="15" t="str">
        <f t="shared" si="23"/>
        <v>Home &gt; Market Area &gt; Germany &gt; VERIFY &gt; Landshut</v>
      </c>
      <c r="AN1395" s="15">
        <f t="shared" si="24"/>
        <v>750</v>
      </c>
      <c r="AO1395" s="15">
        <f t="shared" si="25"/>
        <v>6</v>
      </c>
      <c r="AP1395" s="15">
        <f t="shared" si="26"/>
        <v>6</v>
      </c>
      <c r="AQ1395" s="15">
        <f t="shared" si="27"/>
        <v>24</v>
      </c>
      <c r="AR1395" s="31"/>
      <c r="AS1395" s="31"/>
      <c r="AT1395" s="35" t="s">
        <v>222</v>
      </c>
      <c r="AU1395" s="35"/>
    </row>
    <row r="1396" ht="15.75" customHeight="1">
      <c r="A1396" s="15" t="s">
        <v>6937</v>
      </c>
      <c r="B1396" s="15" t="s">
        <v>243</v>
      </c>
      <c r="C1396" s="15" t="s">
        <v>98</v>
      </c>
      <c r="D1396" s="15" t="s">
        <v>6938</v>
      </c>
      <c r="E1396" s="15" t="s">
        <v>6938</v>
      </c>
      <c r="F1396" s="58" t="s">
        <v>807</v>
      </c>
      <c r="G1396" s="66" t="s">
        <v>98</v>
      </c>
      <c r="H1396" s="18" t="s">
        <v>98</v>
      </c>
      <c r="I1396" s="18" t="s">
        <v>98</v>
      </c>
      <c r="J1396" s="18" t="s">
        <v>98</v>
      </c>
      <c r="K1396" s="18" t="s">
        <v>98</v>
      </c>
      <c r="L1396" s="18" t="s">
        <v>98</v>
      </c>
      <c r="M1396" s="18" t="s">
        <v>550</v>
      </c>
      <c r="N1396" s="18" t="s">
        <v>254</v>
      </c>
      <c r="O1396" s="18" t="s">
        <v>98</v>
      </c>
      <c r="P1396" s="15" t="str">
        <f t="shared" si="1"/>
        <v>VERIFY</v>
      </c>
      <c r="Q1396" s="15">
        <f t="shared" si="2"/>
        <v>1</v>
      </c>
      <c r="R1396" s="15">
        <f t="shared" si="3"/>
        <v>7</v>
      </c>
      <c r="S1396" s="15">
        <f t="shared" si="4"/>
        <v>3</v>
      </c>
      <c r="T1396" s="15" t="str">
        <f t="shared" si="5"/>
        <v>C-1</v>
      </c>
      <c r="U1396" s="15" t="str">
        <f t="shared" si="6"/>
        <v>T1-M7-H3-FC-1-VERIFY</v>
      </c>
      <c r="V1396" s="15">
        <f t="shared" si="7"/>
        <v>0</v>
      </c>
      <c r="W1396" s="31"/>
      <c r="X1396" s="15" t="str">
        <f t="shared" si="8"/>
        <v>lubeck-germany</v>
      </c>
      <c r="Y1396" s="32" t="str">
        <f t="shared" si="9"/>
        <v>https://steelmanufacturer.in/market-area/electropolished-pipes-manufacturer-in-lubeck-germany/</v>
      </c>
      <c r="Z1396" s="15" t="str">
        <f t="shared" si="10"/>
        <v>Electropolished Pipes Manufacturer in Lubeck | Sakshi Forge</v>
      </c>
      <c r="AA1396" s="15" t="str">
        <f t="shared" si="11"/>
        <v>OK (59)</v>
      </c>
      <c r="AB1396" s="15" t="str">
        <f t="shared" si="12"/>
        <v>Electropolished pipes in Lubeck: 304, 304L, 316 and 316L in SF1-SF4. 24-30 days sea from Nhava Sheva to Hamburg. Mill certified.</v>
      </c>
      <c r="AC1396" s="15" t="str">
        <f t="shared" si="13"/>
        <v>PENDING RESEARCH</v>
      </c>
      <c r="AD1396" s="15" t="str">
        <f t="shared" si="14"/>
        <v>Electropolished Pipes Manufacturer in Lubeck</v>
      </c>
      <c r="AE1396" s="15" t="str">
        <f t="shared" si="15"/>
        <v>Electropolished Pipes Manufacturer in Lubeck - Our Process &amp; Capability</v>
      </c>
      <c r="AF1396" s="15" t="str">
        <f t="shared" si="16"/>
        <v>Electropolished Pipes Supplier in Lubeck - What We Hold in Stock</v>
      </c>
      <c r="AG1396" s="15" t="str">
        <f t="shared" si="17"/>
        <v>Bulk &amp; Wholesale Electropolished Pipe Rates for Lubeck Buyers</v>
      </c>
      <c r="AH1396" s="15" t="str">
        <f t="shared" si="18"/>
        <v>electropolished pipes manufacturer in Lubeck, electropolished pipes supplier in Lubeck, electropolished pipes wholesaler in Lubeck, electropolished tube manufacturer Lubeck, EP pipe supplier Lubeck, sanitary tube supplier Lubeck, ASME BPE tubing Lubeck, ASTM A270 tube Lubeck, SS 316L electropolished pipe Lubeck</v>
      </c>
      <c r="AI1396" s="15" t="str">
        <f t="shared" si="19"/>
        <v>Electropolished Pipes Manufacturer &amp; Supplier in Lubeck</v>
      </c>
      <c r="AJ1396" s="15" t="str">
        <f t="shared" si="20"/>
        <v>EP-finished SS 304/316L pipes and tubes for VERIFY plants in Lubeck. ASME BPE SF1-SF4, Ra from 0.25 um, EN 10204 3.1 certificate with every lot.</v>
      </c>
      <c r="AK1396" s="15" t="str">
        <f t="shared" si="21"/>
        <v>Electropolished stainless steel pipes supplied by Sakshi Forge to VERIFY plants at VERIFY, Lubeck</v>
      </c>
      <c r="AL1396" s="15" t="str">
        <f t="shared" si="22"/>
        <v>Electropolished SS 316L tube stock for Lubeck - Sakshi Forge</v>
      </c>
      <c r="AM1396" s="15" t="str">
        <f t="shared" si="23"/>
        <v>Home &gt; Market Area &gt; Germany &gt; VERIFY &gt; Lubeck</v>
      </c>
      <c r="AN1396" s="15">
        <f t="shared" si="24"/>
        <v>750</v>
      </c>
      <c r="AO1396" s="15">
        <f t="shared" si="25"/>
        <v>6</v>
      </c>
      <c r="AP1396" s="15">
        <f t="shared" si="26"/>
        <v>6</v>
      </c>
      <c r="AQ1396" s="15">
        <f t="shared" si="27"/>
        <v>24</v>
      </c>
      <c r="AR1396" s="31"/>
      <c r="AS1396" s="31"/>
      <c r="AT1396" s="35" t="s">
        <v>222</v>
      </c>
      <c r="AU1396" s="35"/>
    </row>
    <row r="1397" ht="15.75" customHeight="1">
      <c r="A1397" s="15" t="s">
        <v>6939</v>
      </c>
      <c r="B1397" s="15" t="s">
        <v>243</v>
      </c>
      <c r="C1397" s="15" t="s">
        <v>98</v>
      </c>
      <c r="D1397" s="15" t="s">
        <v>6940</v>
      </c>
      <c r="E1397" s="15" t="s">
        <v>6940</v>
      </c>
      <c r="F1397" s="58" t="s">
        <v>807</v>
      </c>
      <c r="G1397" s="66" t="s">
        <v>98</v>
      </c>
      <c r="H1397" s="18" t="s">
        <v>98</v>
      </c>
      <c r="I1397" s="18" t="s">
        <v>98</v>
      </c>
      <c r="J1397" s="18" t="s">
        <v>98</v>
      </c>
      <c r="K1397" s="18" t="s">
        <v>98</v>
      </c>
      <c r="L1397" s="18" t="s">
        <v>98</v>
      </c>
      <c r="M1397" s="18" t="s">
        <v>550</v>
      </c>
      <c r="N1397" s="18" t="s">
        <v>254</v>
      </c>
      <c r="O1397" s="18" t="s">
        <v>98</v>
      </c>
      <c r="P1397" s="15" t="str">
        <f t="shared" si="1"/>
        <v>VERIFY</v>
      </c>
      <c r="Q1397" s="15">
        <f t="shared" si="2"/>
        <v>2</v>
      </c>
      <c r="R1397" s="15">
        <f t="shared" si="3"/>
        <v>1</v>
      </c>
      <c r="S1397" s="15">
        <f t="shared" si="4"/>
        <v>4</v>
      </c>
      <c r="T1397" s="15" t="str">
        <f t="shared" si="5"/>
        <v>C-2</v>
      </c>
      <c r="U1397" s="15" t="str">
        <f t="shared" si="6"/>
        <v>T2-M1-H4-FC-2-VERIFY</v>
      </c>
      <c r="V1397" s="15">
        <f t="shared" si="7"/>
        <v>0</v>
      </c>
      <c r="W1397" s="31"/>
      <c r="X1397" s="15" t="str">
        <f t="shared" si="8"/>
        <v>luneburg-germany</v>
      </c>
      <c r="Y1397" s="32" t="str">
        <f t="shared" si="9"/>
        <v>https://steelmanufacturer.in/market-area/electropolished-pipes-manufacturer-in-luneburg-germany/</v>
      </c>
      <c r="Z1397" s="15" t="str">
        <f t="shared" si="10"/>
        <v>Electropolished Pipes Manufacturer in Luneburg</v>
      </c>
      <c r="AA1397" s="15" t="str">
        <f t="shared" si="11"/>
        <v>OK (46)</v>
      </c>
      <c r="AB1397" s="15" t="str">
        <f t="shared" si="12"/>
        <v>EP-finished SS 304/316L pipes &amp; tubes for VERIFY plants in Luneburg. ASTM A270, ASME BPE SF1-SF4, EN 10204 3.1 MTC. PMI tested.</v>
      </c>
      <c r="AC1397" s="15" t="str">
        <f t="shared" si="13"/>
        <v>PENDING RESEARCH</v>
      </c>
      <c r="AD1397" s="15" t="str">
        <f t="shared" si="14"/>
        <v>Electropolished Pipes Manufacturer in Luneburg</v>
      </c>
      <c r="AE1397" s="15" t="str">
        <f t="shared" si="15"/>
        <v>Manufacturing Electropolished SS Tube for Luneburg: The Standards We Build To</v>
      </c>
      <c r="AF1397" s="15" t="str">
        <f t="shared" si="16"/>
        <v>Electropolished Pipe Supply Into Luneburg - Certification &amp; Transit</v>
      </c>
      <c r="AG1397" s="15" t="str">
        <f t="shared" si="17"/>
        <v>Electropolished Pipes Wholesaler in Luneburg - Project Quantities &amp; Terms</v>
      </c>
      <c r="AH1397" s="15" t="str">
        <f t="shared" si="18"/>
        <v>electropolished pipes manufacturer in Luneburg, electropolished pipes supplier in Luneburg, electropolished pipes wholesaler in Luneburg, electropolished tube manufacturer Luneburg, EP pipe supplier Luneburg, sanitary tube supplier Luneburg, ASME BPE tubing Luneburg, ASTM A270 tube Luneburg, SS 316L electropolished pipe Luneburg</v>
      </c>
      <c r="AI1397" s="15" t="str">
        <f t="shared" si="19"/>
        <v>Electropolished Pipes Manufacturer &amp; Supplier in Luneburg</v>
      </c>
      <c r="AJ1397" s="15" t="str">
        <f t="shared" si="20"/>
        <v>EP-finished SS 304/316L pipes and tubes for VERIFY plants in Luneburg. ASME BPE SF1-SF4, Ra from 0.25 um, EN 10204 3.1 certificate with every lot.</v>
      </c>
      <c r="AK1397" s="15" t="str">
        <f t="shared" si="21"/>
        <v>Electropolished stainless steel pipes supplied by Sakshi Forge to VERIFY plants at VERIFY, Luneburg</v>
      </c>
      <c r="AL1397" s="15" t="str">
        <f t="shared" si="22"/>
        <v>Electropolished SS 316L tube stock for Luneburg - Sakshi Forge</v>
      </c>
      <c r="AM1397" s="15" t="str">
        <f t="shared" si="23"/>
        <v>Home &gt; Market Area &gt; Germany &gt; VERIFY &gt; Luneburg</v>
      </c>
      <c r="AN1397" s="15">
        <f t="shared" si="24"/>
        <v>750</v>
      </c>
      <c r="AO1397" s="15">
        <f t="shared" si="25"/>
        <v>6</v>
      </c>
      <c r="AP1397" s="15">
        <f t="shared" si="26"/>
        <v>6</v>
      </c>
      <c r="AQ1397" s="15">
        <f t="shared" si="27"/>
        <v>24</v>
      </c>
      <c r="AR1397" s="31"/>
      <c r="AS1397" s="31"/>
      <c r="AT1397" s="35" t="s">
        <v>222</v>
      </c>
      <c r="AU1397" s="35"/>
    </row>
    <row r="1398" ht="15.75" customHeight="1">
      <c r="A1398" s="15" t="s">
        <v>6941</v>
      </c>
      <c r="B1398" s="15" t="s">
        <v>243</v>
      </c>
      <c r="C1398" s="15" t="s">
        <v>98</v>
      </c>
      <c r="D1398" s="15" t="s">
        <v>6942</v>
      </c>
      <c r="E1398" s="15" t="s">
        <v>6942</v>
      </c>
      <c r="F1398" s="58" t="s">
        <v>807</v>
      </c>
      <c r="G1398" s="66" t="s">
        <v>98</v>
      </c>
      <c r="H1398" s="18" t="s">
        <v>98</v>
      </c>
      <c r="I1398" s="18" t="s">
        <v>98</v>
      </c>
      <c r="J1398" s="18" t="s">
        <v>98</v>
      </c>
      <c r="K1398" s="18" t="s">
        <v>98</v>
      </c>
      <c r="L1398" s="18" t="s">
        <v>98</v>
      </c>
      <c r="M1398" s="18" t="s">
        <v>550</v>
      </c>
      <c r="N1398" s="18" t="s">
        <v>254</v>
      </c>
      <c r="O1398" s="18" t="s">
        <v>98</v>
      </c>
      <c r="P1398" s="15" t="str">
        <f t="shared" si="1"/>
        <v>VERIFY</v>
      </c>
      <c r="Q1398" s="15">
        <f t="shared" si="2"/>
        <v>3</v>
      </c>
      <c r="R1398" s="15">
        <f t="shared" si="3"/>
        <v>2</v>
      </c>
      <c r="S1398" s="15">
        <f t="shared" si="4"/>
        <v>5</v>
      </c>
      <c r="T1398" s="15" t="str">
        <f t="shared" si="5"/>
        <v>C-3</v>
      </c>
      <c r="U1398" s="15" t="str">
        <f t="shared" si="6"/>
        <v>T3-M2-H5-FC-3-VERIFY</v>
      </c>
      <c r="V1398" s="15">
        <f t="shared" si="7"/>
        <v>0</v>
      </c>
      <c r="W1398" s="31"/>
      <c r="X1398" s="15" t="str">
        <f t="shared" si="8"/>
        <v>mainz-germany</v>
      </c>
      <c r="Y1398" s="32" t="str">
        <f t="shared" si="9"/>
        <v>https://steelmanufacturer.in/market-area/electropolished-pipes-manufacturer-in-mainz-germany/</v>
      </c>
      <c r="Z1398" s="15" t="str">
        <f t="shared" si="10"/>
        <v>Electropolished Pipes Manufacturer in Mainz | EP Tube Supplier</v>
      </c>
      <c r="AA1398" s="15" t="str">
        <f t="shared" si="11"/>
        <v>OK (62)</v>
      </c>
      <c r="AB1398" s="15" t="str">
        <f t="shared" si="12"/>
        <v>Electropolished tube supply to VERIFY, Mainz. Ra from 0.25 um, SF4 finish, mill test certificate with every lot.</v>
      </c>
      <c r="AC1398" s="15" t="str">
        <f t="shared" si="13"/>
        <v>PENDING RESEARCH</v>
      </c>
      <c r="AD1398" s="15" t="str">
        <f t="shared" si="14"/>
        <v>Electropolished Pipes Manufacturer in Mainz</v>
      </c>
      <c r="AE1398" s="15" t="str">
        <f t="shared" si="15"/>
        <v>Electropolished Tube Manufacturing Capability Serving Mainz</v>
      </c>
      <c r="AF1398" s="15" t="str">
        <f t="shared" si="16"/>
        <v>Electropolished Pipes Supplier in Mainz - From Order to Delivery</v>
      </c>
      <c r="AG1398" s="15" t="str">
        <f t="shared" si="17"/>
        <v>Stockist &amp; Wholesale Supply of Electropolished Pipes in Mainz</v>
      </c>
      <c r="AH1398" s="15" t="str">
        <f t="shared" si="18"/>
        <v>electropolished pipes manufacturer in Mainz, electropolished pipes supplier in Mainz, electropolished pipes wholesaler in Mainz, electropolished tube manufacturer Mainz, EP pipe supplier Mainz, sanitary tube supplier Mainz, ASME BPE tubing Mainz, ASTM A270 tube Mainz, SS 316L electropolished pipe Mainz</v>
      </c>
      <c r="AI1398" s="15" t="str">
        <f t="shared" si="19"/>
        <v>Electropolished Pipes Manufacturer &amp; Supplier in Mainz</v>
      </c>
      <c r="AJ1398" s="15" t="str">
        <f t="shared" si="20"/>
        <v>EP-finished SS 304/316L pipes and tubes for VERIFY plants in Mainz. ASME BPE SF1-SF4, Ra from 0.25 um, EN 10204 3.1 certificate with every lot.</v>
      </c>
      <c r="AK1398" s="15" t="str">
        <f t="shared" si="21"/>
        <v>Electropolished stainless steel pipes supplied by Sakshi Forge to VERIFY plants at VERIFY, Mainz</v>
      </c>
      <c r="AL1398" s="15" t="str">
        <f t="shared" si="22"/>
        <v>Electropolished SS 316L tube stock for Mainz - Sakshi Forge</v>
      </c>
      <c r="AM1398" s="15" t="str">
        <f t="shared" si="23"/>
        <v>Home &gt; Market Area &gt; Germany &gt; VERIFY &gt; Mainz</v>
      </c>
      <c r="AN1398" s="15">
        <f t="shared" si="24"/>
        <v>750</v>
      </c>
      <c r="AO1398" s="15">
        <f t="shared" si="25"/>
        <v>6</v>
      </c>
      <c r="AP1398" s="15">
        <f t="shared" si="26"/>
        <v>6</v>
      </c>
      <c r="AQ1398" s="15">
        <f t="shared" si="27"/>
        <v>24</v>
      </c>
      <c r="AR1398" s="31"/>
      <c r="AS1398" s="31"/>
      <c r="AT1398" s="35" t="s">
        <v>222</v>
      </c>
      <c r="AU1398" s="35"/>
    </row>
    <row r="1399" ht="15.75" customHeight="1">
      <c r="A1399" s="15" t="s">
        <v>6943</v>
      </c>
      <c r="B1399" s="15" t="s">
        <v>243</v>
      </c>
      <c r="C1399" s="15" t="s">
        <v>98</v>
      </c>
      <c r="D1399" s="15" t="s">
        <v>6944</v>
      </c>
      <c r="E1399" s="15" t="s">
        <v>6944</v>
      </c>
      <c r="F1399" s="58" t="s">
        <v>807</v>
      </c>
      <c r="G1399" s="66" t="s">
        <v>98</v>
      </c>
      <c r="H1399" s="18" t="s">
        <v>98</v>
      </c>
      <c r="I1399" s="18" t="s">
        <v>98</v>
      </c>
      <c r="J1399" s="18" t="s">
        <v>98</v>
      </c>
      <c r="K1399" s="18" t="s">
        <v>98</v>
      </c>
      <c r="L1399" s="18" t="s">
        <v>98</v>
      </c>
      <c r="M1399" s="18" t="s">
        <v>550</v>
      </c>
      <c r="N1399" s="18" t="s">
        <v>254</v>
      </c>
      <c r="O1399" s="18" t="s">
        <v>98</v>
      </c>
      <c r="P1399" s="15" t="str">
        <f t="shared" si="1"/>
        <v>VERIFY</v>
      </c>
      <c r="Q1399" s="15">
        <f t="shared" si="2"/>
        <v>4</v>
      </c>
      <c r="R1399" s="15">
        <f t="shared" si="3"/>
        <v>3</v>
      </c>
      <c r="S1399" s="15">
        <f t="shared" si="4"/>
        <v>1</v>
      </c>
      <c r="T1399" s="15" t="str">
        <f t="shared" si="5"/>
        <v>C-4</v>
      </c>
      <c r="U1399" s="15" t="str">
        <f t="shared" si="6"/>
        <v>T4-M3-H1-FC-4-VERIFY</v>
      </c>
      <c r="V1399" s="15">
        <f t="shared" si="7"/>
        <v>0</v>
      </c>
      <c r="W1399" s="31"/>
      <c r="X1399" s="15" t="str">
        <f t="shared" si="8"/>
        <v>merseburg-germany</v>
      </c>
      <c r="Y1399" s="32" t="str">
        <f t="shared" si="9"/>
        <v>https://steelmanufacturer.in/market-area/electropolished-pipes-manufacturer-in-merseburg-germany/</v>
      </c>
      <c r="Z1399" s="15" t="str">
        <f t="shared" si="10"/>
        <v>Electropolished Pipes Manufacturer in Merseburg</v>
      </c>
      <c r="AA1399" s="15" t="str">
        <f t="shared" si="11"/>
        <v>OK (47)</v>
      </c>
      <c r="AB1399" s="15" t="str">
        <f t="shared" si="12"/>
        <v>EP stainless tube for VERIFY lines in Merseburg. 24-30 days sea from Nhava Sheva to Hamburg. ASTM A270 S2, PMI tested, EN 10204 3.1.</v>
      </c>
      <c r="AC1399" s="15" t="str">
        <f t="shared" si="13"/>
        <v>PENDING RESEARCH</v>
      </c>
      <c r="AD1399" s="15" t="str">
        <f t="shared" si="14"/>
        <v>Electropolished Pipes Manufacturer in Merseburg</v>
      </c>
      <c r="AE1399" s="15" t="str">
        <f t="shared" si="15"/>
        <v>Electropolished Pipe &amp; Tube Manufacturing for Merseburg - Grades, Finishes &amp; Certification</v>
      </c>
      <c r="AF1399" s="15" t="str">
        <f t="shared" si="16"/>
        <v>Electropolished Pipes Supplier in Merseburg - Stock Sizes, Lead Time &amp; Delivery</v>
      </c>
      <c r="AG1399" s="15" t="str">
        <f t="shared" si="17"/>
        <v>Electropolished Pipes Wholesaler &amp; Stockist in Merseburg - Bulk &amp; Project Pricing</v>
      </c>
      <c r="AH1399" s="15" t="str">
        <f t="shared" si="18"/>
        <v>electropolished pipes manufacturer in Merseburg, electropolished pipes supplier in Merseburg, electropolished pipes wholesaler in Merseburg, electropolished tube manufacturer Merseburg, EP pipe supplier Merseburg, sanitary tube supplier Merseburg, ASME BPE tubing Merseburg, ASTM A270 tube Merseburg, SS 316L electropolished pipe Merseburg</v>
      </c>
      <c r="AI1399" s="15" t="str">
        <f t="shared" si="19"/>
        <v>Electropolished Pipes Manufacturer &amp; Supplier in Merseburg</v>
      </c>
      <c r="AJ1399" s="15" t="str">
        <f t="shared" si="20"/>
        <v>EP-finished SS 304/316L pipes and tubes for VERIFY plants in Merseburg. ASME BPE SF1-SF4, Ra from 0.25 um, EN 10204 3.1 certificate with every lot.</v>
      </c>
      <c r="AK1399" s="15" t="str">
        <f t="shared" si="21"/>
        <v>Electropolished stainless steel pipes supplied by Sakshi Forge to VERIFY plants at VERIFY, Merseburg</v>
      </c>
      <c r="AL1399" s="15" t="str">
        <f t="shared" si="22"/>
        <v>Electropolished SS 316L tube stock for Merseburg - Sakshi Forge</v>
      </c>
      <c r="AM1399" s="15" t="str">
        <f t="shared" si="23"/>
        <v>Home &gt; Market Area &gt; Germany &gt; VERIFY &gt; Merseburg</v>
      </c>
      <c r="AN1399" s="15">
        <f t="shared" si="24"/>
        <v>750</v>
      </c>
      <c r="AO1399" s="15">
        <f t="shared" si="25"/>
        <v>6</v>
      </c>
      <c r="AP1399" s="15">
        <f t="shared" si="26"/>
        <v>6</v>
      </c>
      <c r="AQ1399" s="15">
        <f t="shared" si="27"/>
        <v>24</v>
      </c>
      <c r="AR1399" s="31"/>
      <c r="AS1399" s="31"/>
      <c r="AT1399" s="35" t="s">
        <v>222</v>
      </c>
      <c r="AU1399" s="35"/>
    </row>
    <row r="1400" ht="15.75" customHeight="1">
      <c r="A1400" s="15" t="s">
        <v>6946</v>
      </c>
      <c r="B1400" s="15" t="s">
        <v>243</v>
      </c>
      <c r="C1400" s="15" t="s">
        <v>98</v>
      </c>
      <c r="D1400" s="15" t="s">
        <v>6948</v>
      </c>
      <c r="E1400" s="15" t="s">
        <v>6948</v>
      </c>
      <c r="F1400" s="58" t="s">
        <v>807</v>
      </c>
      <c r="G1400" s="66" t="s">
        <v>98</v>
      </c>
      <c r="H1400" s="18" t="s">
        <v>98</v>
      </c>
      <c r="I1400" s="18" t="s">
        <v>98</v>
      </c>
      <c r="J1400" s="18" t="s">
        <v>98</v>
      </c>
      <c r="K1400" s="18" t="s">
        <v>98</v>
      </c>
      <c r="L1400" s="18" t="s">
        <v>98</v>
      </c>
      <c r="M1400" s="18" t="s">
        <v>550</v>
      </c>
      <c r="N1400" s="18" t="s">
        <v>254</v>
      </c>
      <c r="O1400" s="18" t="s">
        <v>98</v>
      </c>
      <c r="P1400" s="15" t="str">
        <f t="shared" si="1"/>
        <v>VERIFY</v>
      </c>
      <c r="Q1400" s="15">
        <f t="shared" si="2"/>
        <v>5</v>
      </c>
      <c r="R1400" s="15">
        <f t="shared" si="3"/>
        <v>4</v>
      </c>
      <c r="S1400" s="15">
        <f t="shared" si="4"/>
        <v>2</v>
      </c>
      <c r="T1400" s="15" t="str">
        <f t="shared" si="5"/>
        <v>C-5</v>
      </c>
      <c r="U1400" s="15" t="str">
        <f t="shared" si="6"/>
        <v>T5-M4-H2-FC-5-VERIFY</v>
      </c>
      <c r="V1400" s="15">
        <f t="shared" si="7"/>
        <v>0</v>
      </c>
      <c r="W1400" s="31"/>
      <c r="X1400" s="15" t="str">
        <f t="shared" si="8"/>
        <v>munster-germany</v>
      </c>
      <c r="Y1400" s="32" t="str">
        <f t="shared" si="9"/>
        <v>https://steelmanufacturer.in/market-area/electropolished-pipes-manufacturer-in-munster-germany/</v>
      </c>
      <c r="Z1400" s="15" t="str">
        <f t="shared" si="10"/>
        <v>Electropolished Pipes Manufacturer in Munster</v>
      </c>
      <c r="AA1400" s="15" t="str">
        <f t="shared" si="11"/>
        <v>OK (45)</v>
      </c>
      <c r="AB1400" s="15" t="str">
        <f t="shared" si="12"/>
        <v>Sanitary electropolished pipes in Munster for VERIFY plants. ASME BPE SF1-SF4, orbital-weld ready, 3.1 MTC. Mumbai-made.</v>
      </c>
      <c r="AC1400" s="15" t="str">
        <f t="shared" si="13"/>
        <v>PENDING RESEARCH</v>
      </c>
      <c r="AD1400" s="15" t="str">
        <f t="shared" si="14"/>
        <v>Electropolished Pipes Manufacturer in Munster</v>
      </c>
      <c r="AE1400" s="15" t="str">
        <f t="shared" si="15"/>
        <v>How We Manufacture Electropolished Tube for Munster Plants</v>
      </c>
      <c r="AF1400" s="15" t="str">
        <f t="shared" si="16"/>
        <v>Supplying Electropolished Pipes in Munster: Availability, Sizes &amp; Dispatch</v>
      </c>
      <c r="AG1400" s="15" t="str">
        <f t="shared" si="17"/>
        <v>Wholesale Electropolished Pipe Supply for Munster Projects</v>
      </c>
      <c r="AH1400" s="15" t="str">
        <f t="shared" si="18"/>
        <v>electropolished pipes manufacturer in Munster, electropolished pipes supplier in Munster, electropolished pipes wholesaler in Munster, electropolished tube manufacturer Munster, EP pipe supplier Munster, sanitary tube supplier Munster, ASME BPE tubing Munster, ASTM A270 tube Munster, SS 316L electropolished pipe Munster</v>
      </c>
      <c r="AI1400" s="15" t="str">
        <f t="shared" si="19"/>
        <v>Electropolished Pipes Manufacturer &amp; Supplier in Munster</v>
      </c>
      <c r="AJ1400" s="15" t="str">
        <f t="shared" si="20"/>
        <v>EP-finished SS 304/316L pipes and tubes for VERIFY plants in Munster. ASME BPE SF1-SF4, Ra from 0.25 um, EN 10204 3.1 certificate with every lot.</v>
      </c>
      <c r="AK1400" s="15" t="str">
        <f t="shared" si="21"/>
        <v>Electropolished stainless steel pipes supplied by Sakshi Forge to VERIFY plants at VERIFY, Munster</v>
      </c>
      <c r="AL1400" s="15" t="str">
        <f t="shared" si="22"/>
        <v>Electropolished SS 316L tube stock for Munster - Sakshi Forge</v>
      </c>
      <c r="AM1400" s="15" t="str">
        <f t="shared" si="23"/>
        <v>Home &gt; Market Area &gt; Germany &gt; VERIFY &gt; Munster</v>
      </c>
      <c r="AN1400" s="15">
        <f t="shared" si="24"/>
        <v>750</v>
      </c>
      <c r="AO1400" s="15">
        <f t="shared" si="25"/>
        <v>6</v>
      </c>
      <c r="AP1400" s="15">
        <f t="shared" si="26"/>
        <v>6</v>
      </c>
      <c r="AQ1400" s="15">
        <f t="shared" si="27"/>
        <v>24</v>
      </c>
      <c r="AR1400" s="31"/>
      <c r="AS1400" s="31"/>
      <c r="AT1400" s="35" t="s">
        <v>222</v>
      </c>
      <c r="AU1400" s="35"/>
    </row>
    <row r="1401" ht="15.75" customHeight="1">
      <c r="A1401" s="15" t="s">
        <v>6952</v>
      </c>
      <c r="B1401" s="15" t="s">
        <v>243</v>
      </c>
      <c r="C1401" s="15" t="s">
        <v>98</v>
      </c>
      <c r="D1401" s="15" t="s">
        <v>6953</v>
      </c>
      <c r="E1401" s="15" t="s">
        <v>6953</v>
      </c>
      <c r="F1401" s="58" t="s">
        <v>807</v>
      </c>
      <c r="G1401" s="66" t="s">
        <v>98</v>
      </c>
      <c r="H1401" s="18" t="s">
        <v>98</v>
      </c>
      <c r="I1401" s="18" t="s">
        <v>98</v>
      </c>
      <c r="J1401" s="18" t="s">
        <v>98</v>
      </c>
      <c r="K1401" s="18" t="s">
        <v>98</v>
      </c>
      <c r="L1401" s="18" t="s">
        <v>98</v>
      </c>
      <c r="M1401" s="18" t="s">
        <v>550</v>
      </c>
      <c r="N1401" s="18" t="s">
        <v>254</v>
      </c>
      <c r="O1401" s="18" t="s">
        <v>98</v>
      </c>
      <c r="P1401" s="15" t="str">
        <f t="shared" si="1"/>
        <v>VERIFY</v>
      </c>
      <c r="Q1401" s="15">
        <f t="shared" si="2"/>
        <v>6</v>
      </c>
      <c r="R1401" s="15">
        <f t="shared" si="3"/>
        <v>5</v>
      </c>
      <c r="S1401" s="15">
        <f t="shared" si="4"/>
        <v>3</v>
      </c>
      <c r="T1401" s="15" t="str">
        <f t="shared" si="5"/>
        <v>C-6</v>
      </c>
      <c r="U1401" s="15" t="str">
        <f t="shared" si="6"/>
        <v>T6-M5-H3-FC-6-VERIFY</v>
      </c>
      <c r="V1401" s="15">
        <f t="shared" si="7"/>
        <v>0</v>
      </c>
      <c r="W1401" s="31"/>
      <c r="X1401" s="15" t="str">
        <f t="shared" si="8"/>
        <v>neubrandenburg-germany</v>
      </c>
      <c r="Y1401" s="32" t="str">
        <f t="shared" si="9"/>
        <v>https://steelmanufacturer.in/market-area/electropolished-pipes-manufacturer-in-neubrandenburg-germany/</v>
      </c>
      <c r="Z1401" s="15" t="str">
        <f t="shared" si="10"/>
        <v>Electropolished Pipes Manufacturer in Neubrandenburg</v>
      </c>
      <c r="AA1401" s="15" t="str">
        <f t="shared" si="11"/>
        <v>OK (52)</v>
      </c>
      <c r="AB1401" s="15" t="str">
        <f t="shared" si="12"/>
        <v>Manufacturer of electropolished SS 316L tube serving Neubrandenburg. 24-30 days sea from Nhava Sheva to Hamburg. Ra 0.25-0.5 um, EN 10204 3.1 MTC.</v>
      </c>
      <c r="AC1401" s="15" t="str">
        <f t="shared" si="13"/>
        <v>PENDING RESEARCH</v>
      </c>
      <c r="AD1401" s="15" t="str">
        <f t="shared" si="14"/>
        <v>Electropolished Pipes Manufacturer in Neubrandenburg</v>
      </c>
      <c r="AE1401" s="15" t="str">
        <f t="shared" si="15"/>
        <v>Electropolished Pipes Manufacturer in Neubrandenburg - Our Process &amp; Capability</v>
      </c>
      <c r="AF1401" s="15" t="str">
        <f t="shared" si="16"/>
        <v>Electropolished Pipes Supplier in Neubrandenburg - What We Hold in Stock</v>
      </c>
      <c r="AG1401" s="15" t="str">
        <f t="shared" si="17"/>
        <v>Bulk &amp; Wholesale Electropolished Pipe Rates for Neubrandenburg Buyers</v>
      </c>
      <c r="AH1401" s="15" t="str">
        <f t="shared" si="18"/>
        <v>electropolished pipes manufacturer in Neubrandenburg, electropolished pipes supplier in Neubrandenburg, electropolished pipes wholesaler in Neubrandenburg, electropolished tube manufacturer Neubrandenburg, EP pipe supplier Neubrandenburg, sanitary tube supplier Neubrandenburg, ASME BPE tubing Neubrandenburg, ASTM A270 tube Neubrandenburg, SS 316L electropolished pipe Neubrandenburg</v>
      </c>
      <c r="AI1401" s="15" t="str">
        <f t="shared" si="19"/>
        <v>Electropolished Pipes Manufacturer &amp; Supplier in Neubrandenburg</v>
      </c>
      <c r="AJ1401" s="15" t="str">
        <f t="shared" si="20"/>
        <v>EP-finished SS 304/316L pipes and tubes for VERIFY plants in Neubrandenburg. ASME BPE SF1-SF4, Ra from 0.25 um, EN 10204 3.1 certificate with every lot.</v>
      </c>
      <c r="AK1401" s="15" t="str">
        <f t="shared" si="21"/>
        <v>Electropolished stainless steel pipes supplied by Sakshi Forge to VERIFY plants at VERIFY, Neubrandenburg</v>
      </c>
      <c r="AL1401" s="15" t="str">
        <f t="shared" si="22"/>
        <v>Electropolished SS 316L tube stock for Neubrandenburg - Sakshi Forge</v>
      </c>
      <c r="AM1401" s="15" t="str">
        <f t="shared" si="23"/>
        <v>Home &gt; Market Area &gt; Germany &gt; VERIFY &gt; Neubrandenburg</v>
      </c>
      <c r="AN1401" s="15">
        <f t="shared" si="24"/>
        <v>750</v>
      </c>
      <c r="AO1401" s="15">
        <f t="shared" si="25"/>
        <v>6</v>
      </c>
      <c r="AP1401" s="15">
        <f t="shared" si="26"/>
        <v>6</v>
      </c>
      <c r="AQ1401" s="15">
        <f t="shared" si="27"/>
        <v>24</v>
      </c>
      <c r="AR1401" s="31"/>
      <c r="AS1401" s="31"/>
      <c r="AT1401" s="35" t="s">
        <v>222</v>
      </c>
      <c r="AU1401" s="35"/>
    </row>
    <row r="1402" ht="15.75" customHeight="1">
      <c r="A1402" s="15" t="s">
        <v>6954</v>
      </c>
      <c r="B1402" s="15" t="s">
        <v>243</v>
      </c>
      <c r="C1402" s="15" t="s">
        <v>98</v>
      </c>
      <c r="D1402" s="15" t="s">
        <v>6955</v>
      </c>
      <c r="E1402" s="15" t="s">
        <v>6955</v>
      </c>
      <c r="F1402" s="58" t="s">
        <v>807</v>
      </c>
      <c r="G1402" s="66" t="s">
        <v>98</v>
      </c>
      <c r="H1402" s="18" t="s">
        <v>98</v>
      </c>
      <c r="I1402" s="18" t="s">
        <v>98</v>
      </c>
      <c r="J1402" s="18" t="s">
        <v>98</v>
      </c>
      <c r="K1402" s="18" t="s">
        <v>98</v>
      </c>
      <c r="L1402" s="18" t="s">
        <v>98</v>
      </c>
      <c r="M1402" s="18" t="s">
        <v>550</v>
      </c>
      <c r="N1402" s="18" t="s">
        <v>254</v>
      </c>
      <c r="O1402" s="18" t="s">
        <v>98</v>
      </c>
      <c r="P1402" s="15" t="str">
        <f t="shared" si="1"/>
        <v>VERIFY</v>
      </c>
      <c r="Q1402" s="15">
        <f t="shared" si="2"/>
        <v>7</v>
      </c>
      <c r="R1402" s="15">
        <f t="shared" si="3"/>
        <v>6</v>
      </c>
      <c r="S1402" s="15">
        <f t="shared" si="4"/>
        <v>4</v>
      </c>
      <c r="T1402" s="15" t="str">
        <f t="shared" si="5"/>
        <v>C-1</v>
      </c>
      <c r="U1402" s="15" t="str">
        <f t="shared" si="6"/>
        <v>T7-M6-H4-FC-1-VERIFY</v>
      </c>
      <c r="V1402" s="15">
        <f t="shared" si="7"/>
        <v>0</v>
      </c>
      <c r="W1402" s="31"/>
      <c r="X1402" s="15" t="str">
        <f t="shared" si="8"/>
        <v>offenbach-germany</v>
      </c>
      <c r="Y1402" s="32" t="str">
        <f t="shared" si="9"/>
        <v>https://steelmanufacturer.in/market-area/electropolished-pipes-manufacturer-in-offenbach-germany/</v>
      </c>
      <c r="Z1402" s="15" t="str">
        <f t="shared" si="10"/>
        <v>Electropolished Pipes Manufacturer in Offenbach</v>
      </c>
      <c r="AA1402" s="15" t="str">
        <f t="shared" si="11"/>
        <v>OK (47)</v>
      </c>
      <c r="AB1402" s="15" t="str">
        <f t="shared" si="12"/>
        <v>EP tube and pipe for VERIFY plants around VERIFY, Offenbach. Made at our Mumbai works to ASTM A270 and ASME BPE SF1-SF4, with 3.1 MTC.</v>
      </c>
      <c r="AC1402" s="15" t="str">
        <f t="shared" si="13"/>
        <v>PENDING RESEARCH</v>
      </c>
      <c r="AD1402" s="15" t="str">
        <f t="shared" si="14"/>
        <v>Electropolished Pipes Manufacturer in Offenbach</v>
      </c>
      <c r="AE1402" s="15" t="str">
        <f t="shared" si="15"/>
        <v>Manufacturing Electropolished SS Tube for Offenbach: The Standards We Build To</v>
      </c>
      <c r="AF1402" s="15" t="str">
        <f t="shared" si="16"/>
        <v>Electropolished Pipe Supply Into Offenbach - Certification &amp; Transit</v>
      </c>
      <c r="AG1402" s="15" t="str">
        <f t="shared" si="17"/>
        <v>Electropolished Pipes Wholesaler in Offenbach - Project Quantities &amp; Terms</v>
      </c>
      <c r="AH1402" s="15" t="str">
        <f t="shared" si="18"/>
        <v>electropolished pipes manufacturer in Offenbach, electropolished pipes supplier in Offenbach, electropolished pipes wholesaler in Offenbach, electropolished tube manufacturer Offenbach, EP pipe supplier Offenbach, sanitary tube supplier Offenbach, ASME BPE tubing Offenbach, ASTM A270 tube Offenbach, SS 316L electropolished pipe Offenbach</v>
      </c>
      <c r="AI1402" s="15" t="str">
        <f t="shared" si="19"/>
        <v>Electropolished Pipes Manufacturer &amp; Supplier in Offenbach</v>
      </c>
      <c r="AJ1402" s="15" t="str">
        <f t="shared" si="20"/>
        <v>EP-finished SS 304/316L pipes and tubes for VERIFY plants in Offenbach. ASME BPE SF1-SF4, Ra from 0.25 um, EN 10204 3.1 certificate with every lot.</v>
      </c>
      <c r="AK1402" s="15" t="str">
        <f t="shared" si="21"/>
        <v>Electropolished stainless steel pipes supplied by Sakshi Forge to VERIFY plants at VERIFY, Offenbach</v>
      </c>
      <c r="AL1402" s="15" t="str">
        <f t="shared" si="22"/>
        <v>Electropolished SS 316L tube stock for Offenbach - Sakshi Forge</v>
      </c>
      <c r="AM1402" s="15" t="str">
        <f t="shared" si="23"/>
        <v>Home &gt; Market Area &gt; Germany &gt; VERIFY &gt; Offenbach</v>
      </c>
      <c r="AN1402" s="15">
        <f t="shared" si="24"/>
        <v>750</v>
      </c>
      <c r="AO1402" s="15">
        <f t="shared" si="25"/>
        <v>6</v>
      </c>
      <c r="AP1402" s="15">
        <f t="shared" si="26"/>
        <v>6</v>
      </c>
      <c r="AQ1402" s="15">
        <f t="shared" si="27"/>
        <v>24</v>
      </c>
      <c r="AR1402" s="31"/>
      <c r="AS1402" s="31"/>
      <c r="AT1402" s="35" t="s">
        <v>222</v>
      </c>
      <c r="AU1402" s="35"/>
    </row>
    <row r="1403" ht="15.75" customHeight="1">
      <c r="A1403" s="15" t="s">
        <v>6956</v>
      </c>
      <c r="B1403" s="15" t="s">
        <v>243</v>
      </c>
      <c r="C1403" s="15" t="s">
        <v>98</v>
      </c>
      <c r="D1403" s="15" t="s">
        <v>6957</v>
      </c>
      <c r="E1403" s="15" t="s">
        <v>6957</v>
      </c>
      <c r="F1403" s="58" t="s">
        <v>807</v>
      </c>
      <c r="G1403" s="66" t="s">
        <v>98</v>
      </c>
      <c r="H1403" s="18" t="s">
        <v>98</v>
      </c>
      <c r="I1403" s="18" t="s">
        <v>98</v>
      </c>
      <c r="J1403" s="18" t="s">
        <v>98</v>
      </c>
      <c r="K1403" s="18" t="s">
        <v>98</v>
      </c>
      <c r="L1403" s="18" t="s">
        <v>98</v>
      </c>
      <c r="M1403" s="18" t="s">
        <v>550</v>
      </c>
      <c r="N1403" s="18" t="s">
        <v>254</v>
      </c>
      <c r="O1403" s="18" t="s">
        <v>98</v>
      </c>
      <c r="P1403" s="15" t="str">
        <f t="shared" si="1"/>
        <v>VERIFY</v>
      </c>
      <c r="Q1403" s="15">
        <f t="shared" si="2"/>
        <v>8</v>
      </c>
      <c r="R1403" s="15">
        <f t="shared" si="3"/>
        <v>7</v>
      </c>
      <c r="S1403" s="15">
        <f t="shared" si="4"/>
        <v>5</v>
      </c>
      <c r="T1403" s="15" t="str">
        <f t="shared" si="5"/>
        <v>C-2</v>
      </c>
      <c r="U1403" s="15" t="str">
        <f t="shared" si="6"/>
        <v>T8-M7-H5-FC-2-VERIFY</v>
      </c>
      <c r="V1403" s="15">
        <f t="shared" si="7"/>
        <v>0</v>
      </c>
      <c r="W1403" s="31"/>
      <c r="X1403" s="15" t="str">
        <f t="shared" si="8"/>
        <v>oldenburg-germany</v>
      </c>
      <c r="Y1403" s="32" t="str">
        <f t="shared" si="9"/>
        <v>https://steelmanufacturer.in/market-area/electropolished-pipes-manufacturer-in-oldenburg-germany/</v>
      </c>
      <c r="Z1403" s="15" t="str">
        <f t="shared" si="10"/>
        <v>Electropolished Pipes Manufacturer in Oldenburg</v>
      </c>
      <c r="AA1403" s="15" t="str">
        <f t="shared" si="11"/>
        <v>OK (47)</v>
      </c>
      <c r="AB1403" s="15" t="str">
        <f t="shared" si="12"/>
        <v>Electropolished pipes in Oldenburg: 304, 304L, 316 and 316L in SF1-SF4. 24-30 days sea from Nhava Sheva to Hamburg. Mill certified.</v>
      </c>
      <c r="AC1403" s="15" t="str">
        <f t="shared" si="13"/>
        <v>PENDING RESEARCH</v>
      </c>
      <c r="AD1403" s="15" t="str">
        <f t="shared" si="14"/>
        <v>Electropolished Pipes Manufacturer in Oldenburg</v>
      </c>
      <c r="AE1403" s="15" t="str">
        <f t="shared" si="15"/>
        <v>Electropolished Tube Manufacturing Capability Serving Oldenburg</v>
      </c>
      <c r="AF1403" s="15" t="str">
        <f t="shared" si="16"/>
        <v>Electropolished Pipes Supplier in Oldenburg - From Order to Delivery</v>
      </c>
      <c r="AG1403" s="15" t="str">
        <f t="shared" si="17"/>
        <v>Stockist &amp; Wholesale Supply of Electropolished Pipes in Oldenburg</v>
      </c>
      <c r="AH1403" s="15" t="str">
        <f t="shared" si="18"/>
        <v>electropolished pipes manufacturer in Oldenburg, electropolished pipes supplier in Oldenburg, electropolished pipes wholesaler in Oldenburg, electropolished tube manufacturer Oldenburg, EP pipe supplier Oldenburg, sanitary tube supplier Oldenburg, ASME BPE tubing Oldenburg, ASTM A270 tube Oldenburg, SS 316L electropolished pipe Oldenburg</v>
      </c>
      <c r="AI1403" s="15" t="str">
        <f t="shared" si="19"/>
        <v>Electropolished Pipes Manufacturer &amp; Supplier in Oldenburg</v>
      </c>
      <c r="AJ1403" s="15" t="str">
        <f t="shared" si="20"/>
        <v>EP-finished SS 304/316L pipes and tubes for VERIFY plants in Oldenburg. ASME BPE SF1-SF4, Ra from 0.25 um, EN 10204 3.1 certificate with every lot.</v>
      </c>
      <c r="AK1403" s="15" t="str">
        <f t="shared" si="21"/>
        <v>Electropolished stainless steel pipes supplied by Sakshi Forge to VERIFY plants at VERIFY, Oldenburg</v>
      </c>
      <c r="AL1403" s="15" t="str">
        <f t="shared" si="22"/>
        <v>Electropolished SS 316L tube stock for Oldenburg - Sakshi Forge</v>
      </c>
      <c r="AM1403" s="15" t="str">
        <f t="shared" si="23"/>
        <v>Home &gt; Market Area &gt; Germany &gt; VERIFY &gt; Oldenburg</v>
      </c>
      <c r="AN1403" s="15">
        <f t="shared" si="24"/>
        <v>750</v>
      </c>
      <c r="AO1403" s="15">
        <f t="shared" si="25"/>
        <v>6</v>
      </c>
      <c r="AP1403" s="15">
        <f t="shared" si="26"/>
        <v>6</v>
      </c>
      <c r="AQ1403" s="15">
        <f t="shared" si="27"/>
        <v>24</v>
      </c>
      <c r="AR1403" s="31"/>
      <c r="AS1403" s="31"/>
      <c r="AT1403" s="35" t="s">
        <v>222</v>
      </c>
      <c r="AU1403" s="35"/>
    </row>
    <row r="1404" ht="15.75" customHeight="1">
      <c r="A1404" s="15" t="s">
        <v>6958</v>
      </c>
      <c r="B1404" s="15" t="s">
        <v>243</v>
      </c>
      <c r="C1404" s="15" t="s">
        <v>98</v>
      </c>
      <c r="D1404" s="15" t="s">
        <v>6959</v>
      </c>
      <c r="E1404" s="15" t="s">
        <v>6959</v>
      </c>
      <c r="F1404" s="58" t="s">
        <v>807</v>
      </c>
      <c r="G1404" s="66" t="s">
        <v>98</v>
      </c>
      <c r="H1404" s="18" t="s">
        <v>98</v>
      </c>
      <c r="I1404" s="18" t="s">
        <v>98</v>
      </c>
      <c r="J1404" s="18" t="s">
        <v>98</v>
      </c>
      <c r="K1404" s="18" t="s">
        <v>98</v>
      </c>
      <c r="L1404" s="18" t="s">
        <v>98</v>
      </c>
      <c r="M1404" s="18" t="s">
        <v>550</v>
      </c>
      <c r="N1404" s="18" t="s">
        <v>254</v>
      </c>
      <c r="O1404" s="18" t="s">
        <v>98</v>
      </c>
      <c r="P1404" s="15" t="str">
        <f t="shared" si="1"/>
        <v>VERIFY</v>
      </c>
      <c r="Q1404" s="15">
        <f t="shared" si="2"/>
        <v>1</v>
      </c>
      <c r="R1404" s="15">
        <f t="shared" si="3"/>
        <v>1</v>
      </c>
      <c r="S1404" s="15">
        <f t="shared" si="4"/>
        <v>1</v>
      </c>
      <c r="T1404" s="15" t="str">
        <f t="shared" si="5"/>
        <v>C-3</v>
      </c>
      <c r="U1404" s="15" t="str">
        <f t="shared" si="6"/>
        <v>T1-M1-H1-FC-3-VERIFY</v>
      </c>
      <c r="V1404" s="15">
        <f t="shared" si="7"/>
        <v>0</v>
      </c>
      <c r="W1404" s="31"/>
      <c r="X1404" s="15" t="str">
        <f t="shared" si="8"/>
        <v>osnabruck-germany</v>
      </c>
      <c r="Y1404" s="32" t="str">
        <f t="shared" si="9"/>
        <v>https://steelmanufacturer.in/market-area/electropolished-pipes-manufacturer-in-osnabruck-germany/</v>
      </c>
      <c r="Z1404" s="15" t="str">
        <f t="shared" si="10"/>
        <v>Electropolished Pipes Manufacturer in Osnabruck | Sakshi Forge</v>
      </c>
      <c r="AA1404" s="15" t="str">
        <f t="shared" si="11"/>
        <v>OK (62)</v>
      </c>
      <c r="AB1404" s="15" t="str">
        <f t="shared" si="12"/>
        <v>EP-finished SS 304/316L pipes &amp; tubes for VERIFY plants in Osnabruck. ASTM A270, ASME BPE SF1-SF4, EN 10204 3.1 MTC. PMI tested.</v>
      </c>
      <c r="AC1404" s="15" t="str">
        <f t="shared" si="13"/>
        <v>PENDING RESEARCH</v>
      </c>
      <c r="AD1404" s="15" t="str">
        <f t="shared" si="14"/>
        <v>Electropolished Pipes Manufacturer in Osnabruck</v>
      </c>
      <c r="AE1404" s="15" t="str">
        <f t="shared" si="15"/>
        <v>Electropolished Pipe &amp; Tube Manufacturing for Osnabruck - Grades, Finishes &amp; Certification</v>
      </c>
      <c r="AF1404" s="15" t="str">
        <f t="shared" si="16"/>
        <v>Electropolished Pipes Supplier in Osnabruck - Stock Sizes, Lead Time &amp; Delivery</v>
      </c>
      <c r="AG1404" s="15" t="str">
        <f t="shared" si="17"/>
        <v>Electropolished Pipes Wholesaler &amp; Stockist in Osnabruck - Bulk &amp; Project Pricing</v>
      </c>
      <c r="AH1404" s="15" t="str">
        <f t="shared" si="18"/>
        <v>electropolished pipes manufacturer in Osnabruck, electropolished pipes supplier in Osnabruck, electropolished pipes wholesaler in Osnabruck, electropolished tube manufacturer Osnabruck, EP pipe supplier Osnabruck, sanitary tube supplier Osnabruck, ASME BPE tubing Osnabruck, ASTM A270 tube Osnabruck, SS 316L electropolished pipe Osnabruck</v>
      </c>
      <c r="AI1404" s="15" t="str">
        <f t="shared" si="19"/>
        <v>Electropolished Pipes Manufacturer &amp; Supplier in Osnabruck</v>
      </c>
      <c r="AJ1404" s="15" t="str">
        <f t="shared" si="20"/>
        <v>EP-finished SS 304/316L pipes and tubes for VERIFY plants in Osnabruck. ASME BPE SF1-SF4, Ra from 0.25 um, EN 10204 3.1 certificate with every lot.</v>
      </c>
      <c r="AK1404" s="15" t="str">
        <f t="shared" si="21"/>
        <v>Electropolished stainless steel pipes supplied by Sakshi Forge to VERIFY plants at VERIFY, Osnabruck</v>
      </c>
      <c r="AL1404" s="15" t="str">
        <f t="shared" si="22"/>
        <v>Electropolished SS 316L tube stock for Osnabruck - Sakshi Forge</v>
      </c>
      <c r="AM1404" s="15" t="str">
        <f t="shared" si="23"/>
        <v>Home &gt; Market Area &gt; Germany &gt; VERIFY &gt; Osnabruck</v>
      </c>
      <c r="AN1404" s="15">
        <f t="shared" si="24"/>
        <v>750</v>
      </c>
      <c r="AO1404" s="15">
        <f t="shared" si="25"/>
        <v>6</v>
      </c>
      <c r="AP1404" s="15">
        <f t="shared" si="26"/>
        <v>6</v>
      </c>
      <c r="AQ1404" s="15">
        <f t="shared" si="27"/>
        <v>24</v>
      </c>
      <c r="AR1404" s="31"/>
      <c r="AS1404" s="31"/>
      <c r="AT1404" s="35" t="s">
        <v>222</v>
      </c>
      <c r="AU1404" s="35"/>
    </row>
    <row r="1405" ht="15.75" customHeight="1">
      <c r="A1405" s="15" t="s">
        <v>6960</v>
      </c>
      <c r="B1405" s="15" t="s">
        <v>243</v>
      </c>
      <c r="C1405" s="15" t="s">
        <v>98</v>
      </c>
      <c r="D1405" s="15" t="s">
        <v>6961</v>
      </c>
      <c r="E1405" s="15" t="s">
        <v>6961</v>
      </c>
      <c r="F1405" s="58" t="s">
        <v>807</v>
      </c>
      <c r="G1405" s="66" t="s">
        <v>98</v>
      </c>
      <c r="H1405" s="18" t="s">
        <v>98</v>
      </c>
      <c r="I1405" s="18" t="s">
        <v>98</v>
      </c>
      <c r="J1405" s="18" t="s">
        <v>98</v>
      </c>
      <c r="K1405" s="18" t="s">
        <v>98</v>
      </c>
      <c r="L1405" s="18" t="s">
        <v>98</v>
      </c>
      <c r="M1405" s="18" t="s">
        <v>550</v>
      </c>
      <c r="N1405" s="18" t="s">
        <v>254</v>
      </c>
      <c r="O1405" s="18" t="s">
        <v>98</v>
      </c>
      <c r="P1405" s="15" t="str">
        <f t="shared" si="1"/>
        <v>VERIFY</v>
      </c>
      <c r="Q1405" s="15">
        <f t="shared" si="2"/>
        <v>2</v>
      </c>
      <c r="R1405" s="15">
        <f t="shared" si="3"/>
        <v>2</v>
      </c>
      <c r="S1405" s="15">
        <f t="shared" si="4"/>
        <v>2</v>
      </c>
      <c r="T1405" s="15" t="str">
        <f t="shared" si="5"/>
        <v>C-4</v>
      </c>
      <c r="U1405" s="15" t="str">
        <f t="shared" si="6"/>
        <v>T2-M2-H2-FC-4-VERIFY</v>
      </c>
      <c r="V1405" s="15">
        <f t="shared" si="7"/>
        <v>0</v>
      </c>
      <c r="W1405" s="31"/>
      <c r="X1405" s="15" t="str">
        <f t="shared" si="8"/>
        <v>paderborn-germany</v>
      </c>
      <c r="Y1405" s="32" t="str">
        <f t="shared" si="9"/>
        <v>https://steelmanufacturer.in/market-area/electropolished-pipes-manufacturer-in-paderborn-germany/</v>
      </c>
      <c r="Z1405" s="15" t="str">
        <f t="shared" si="10"/>
        <v>Electropolished Pipes Manufacturer in Paderborn</v>
      </c>
      <c r="AA1405" s="15" t="str">
        <f t="shared" si="11"/>
        <v>OK (47)</v>
      </c>
      <c r="AB1405" s="15" t="str">
        <f t="shared" si="12"/>
        <v>Electropolished tube supply to VERIFY, Paderborn. Ra from 0.25 um, SF4 finish, mill test certificate with every lot.</v>
      </c>
      <c r="AC1405" s="15" t="str">
        <f t="shared" si="13"/>
        <v>PENDING RESEARCH</v>
      </c>
      <c r="AD1405" s="15" t="str">
        <f t="shared" si="14"/>
        <v>Electropolished Pipes Manufacturer in Paderborn</v>
      </c>
      <c r="AE1405" s="15" t="str">
        <f t="shared" si="15"/>
        <v>How We Manufacture Electropolished Tube for Paderborn Plants</v>
      </c>
      <c r="AF1405" s="15" t="str">
        <f t="shared" si="16"/>
        <v>Supplying Electropolished Pipes in Paderborn: Availability, Sizes &amp; Dispatch</v>
      </c>
      <c r="AG1405" s="15" t="str">
        <f t="shared" si="17"/>
        <v>Wholesale Electropolished Pipe Supply for Paderborn Projects</v>
      </c>
      <c r="AH1405" s="15" t="str">
        <f t="shared" si="18"/>
        <v>electropolished pipes manufacturer in Paderborn, electropolished pipes supplier in Paderborn, electropolished pipes wholesaler in Paderborn, electropolished tube manufacturer Paderborn, EP pipe supplier Paderborn, sanitary tube supplier Paderborn, ASME BPE tubing Paderborn, ASTM A270 tube Paderborn, SS 316L electropolished pipe Paderborn</v>
      </c>
      <c r="AI1405" s="15" t="str">
        <f t="shared" si="19"/>
        <v>Electropolished Pipes Manufacturer &amp; Supplier in Paderborn</v>
      </c>
      <c r="AJ1405" s="15" t="str">
        <f t="shared" si="20"/>
        <v>EP-finished SS 304/316L pipes and tubes for VERIFY plants in Paderborn. ASME BPE SF1-SF4, Ra from 0.25 um, EN 10204 3.1 certificate with every lot.</v>
      </c>
      <c r="AK1405" s="15" t="str">
        <f t="shared" si="21"/>
        <v>Electropolished stainless steel pipes supplied by Sakshi Forge to VERIFY plants at VERIFY, Paderborn</v>
      </c>
      <c r="AL1405" s="15" t="str">
        <f t="shared" si="22"/>
        <v>Electropolished SS 316L tube stock for Paderborn - Sakshi Forge</v>
      </c>
      <c r="AM1405" s="15" t="str">
        <f t="shared" si="23"/>
        <v>Home &gt; Market Area &gt; Germany &gt; VERIFY &gt; Paderborn</v>
      </c>
      <c r="AN1405" s="15">
        <f t="shared" si="24"/>
        <v>750</v>
      </c>
      <c r="AO1405" s="15">
        <f t="shared" si="25"/>
        <v>6</v>
      </c>
      <c r="AP1405" s="15">
        <f t="shared" si="26"/>
        <v>6</v>
      </c>
      <c r="AQ1405" s="15">
        <f t="shared" si="27"/>
        <v>24</v>
      </c>
      <c r="AR1405" s="31"/>
      <c r="AS1405" s="31"/>
      <c r="AT1405" s="35" t="s">
        <v>222</v>
      </c>
      <c r="AU1405" s="35"/>
    </row>
    <row r="1406" ht="15.75" customHeight="1">
      <c r="A1406" s="15" t="s">
        <v>6962</v>
      </c>
      <c r="B1406" s="15" t="s">
        <v>243</v>
      </c>
      <c r="C1406" s="15" t="s">
        <v>98</v>
      </c>
      <c r="D1406" s="15" t="s">
        <v>6963</v>
      </c>
      <c r="E1406" s="15" t="s">
        <v>6963</v>
      </c>
      <c r="F1406" s="58" t="s">
        <v>807</v>
      </c>
      <c r="G1406" s="66" t="s">
        <v>98</v>
      </c>
      <c r="H1406" s="18" t="s">
        <v>98</v>
      </c>
      <c r="I1406" s="18" t="s">
        <v>98</v>
      </c>
      <c r="J1406" s="18" t="s">
        <v>98</v>
      </c>
      <c r="K1406" s="18" t="s">
        <v>98</v>
      </c>
      <c r="L1406" s="18" t="s">
        <v>98</v>
      </c>
      <c r="M1406" s="18" t="s">
        <v>550</v>
      </c>
      <c r="N1406" s="18" t="s">
        <v>254</v>
      </c>
      <c r="O1406" s="18" t="s">
        <v>98</v>
      </c>
      <c r="P1406" s="15" t="str">
        <f t="shared" si="1"/>
        <v>VERIFY</v>
      </c>
      <c r="Q1406" s="15">
        <f t="shared" si="2"/>
        <v>3</v>
      </c>
      <c r="R1406" s="15">
        <f t="shared" si="3"/>
        <v>3</v>
      </c>
      <c r="S1406" s="15">
        <f t="shared" si="4"/>
        <v>3</v>
      </c>
      <c r="T1406" s="15" t="str">
        <f t="shared" si="5"/>
        <v>C-5</v>
      </c>
      <c r="U1406" s="15" t="str">
        <f t="shared" si="6"/>
        <v>T3-M3-H3-FC-5-VERIFY</v>
      </c>
      <c r="V1406" s="15">
        <f t="shared" si="7"/>
        <v>0</v>
      </c>
      <c r="W1406" s="31"/>
      <c r="X1406" s="15" t="str">
        <f t="shared" si="8"/>
        <v>pforzheim-germany</v>
      </c>
      <c r="Y1406" s="32" t="str">
        <f t="shared" si="9"/>
        <v>https://steelmanufacturer.in/market-area/electropolished-pipes-manufacturer-in-pforzheim-germany/</v>
      </c>
      <c r="Z1406" s="15" t="str">
        <f t="shared" si="10"/>
        <v>Electropolished Pipes Manufacturer in Pforzheim</v>
      </c>
      <c r="AA1406" s="15" t="str">
        <f t="shared" si="11"/>
        <v>OK (47)</v>
      </c>
      <c r="AB1406" s="15" t="str">
        <f t="shared" si="12"/>
        <v>EP stainless tube for VERIFY lines in Pforzheim. 24-30 days sea from Nhava Sheva to Hamburg. ASTM A270 S2, PMI tested, EN 10204 3.1.</v>
      </c>
      <c r="AC1406" s="15" t="str">
        <f t="shared" si="13"/>
        <v>PENDING RESEARCH</v>
      </c>
      <c r="AD1406" s="15" t="str">
        <f t="shared" si="14"/>
        <v>Electropolished Pipes Manufacturer in Pforzheim</v>
      </c>
      <c r="AE1406" s="15" t="str">
        <f t="shared" si="15"/>
        <v>Electropolished Pipes Manufacturer in Pforzheim - Our Process &amp; Capability</v>
      </c>
      <c r="AF1406" s="15" t="str">
        <f t="shared" si="16"/>
        <v>Electropolished Pipes Supplier in Pforzheim - What We Hold in Stock</v>
      </c>
      <c r="AG1406" s="15" t="str">
        <f t="shared" si="17"/>
        <v>Bulk &amp; Wholesale Electropolished Pipe Rates for Pforzheim Buyers</v>
      </c>
      <c r="AH1406" s="15" t="str">
        <f t="shared" si="18"/>
        <v>electropolished pipes manufacturer in Pforzheim, electropolished pipes supplier in Pforzheim, electropolished pipes wholesaler in Pforzheim, electropolished tube manufacturer Pforzheim, EP pipe supplier Pforzheim, sanitary tube supplier Pforzheim, ASME BPE tubing Pforzheim, ASTM A270 tube Pforzheim, SS 316L electropolished pipe Pforzheim</v>
      </c>
      <c r="AI1406" s="15" t="str">
        <f t="shared" si="19"/>
        <v>Electropolished Pipes Manufacturer &amp; Supplier in Pforzheim</v>
      </c>
      <c r="AJ1406" s="15" t="str">
        <f t="shared" si="20"/>
        <v>EP-finished SS 304/316L pipes and tubes for VERIFY plants in Pforzheim. ASME BPE SF1-SF4, Ra from 0.25 um, EN 10204 3.1 certificate with every lot.</v>
      </c>
      <c r="AK1406" s="15" t="str">
        <f t="shared" si="21"/>
        <v>Electropolished stainless steel pipes supplied by Sakshi Forge to VERIFY plants at VERIFY, Pforzheim</v>
      </c>
      <c r="AL1406" s="15" t="str">
        <f t="shared" si="22"/>
        <v>Electropolished SS 316L tube stock for Pforzheim - Sakshi Forge</v>
      </c>
      <c r="AM1406" s="15" t="str">
        <f t="shared" si="23"/>
        <v>Home &gt; Market Area &gt; Germany &gt; VERIFY &gt; Pforzheim</v>
      </c>
      <c r="AN1406" s="15">
        <f t="shared" si="24"/>
        <v>750</v>
      </c>
      <c r="AO1406" s="15">
        <f t="shared" si="25"/>
        <v>6</v>
      </c>
      <c r="AP1406" s="15">
        <f t="shared" si="26"/>
        <v>6</v>
      </c>
      <c r="AQ1406" s="15">
        <f t="shared" si="27"/>
        <v>24</v>
      </c>
      <c r="AR1406" s="31"/>
      <c r="AS1406" s="31"/>
      <c r="AT1406" s="35" t="s">
        <v>222</v>
      </c>
      <c r="AU1406" s="35"/>
    </row>
    <row r="1407" ht="15.75" customHeight="1">
      <c r="A1407" s="15" t="s">
        <v>6964</v>
      </c>
      <c r="B1407" s="15" t="s">
        <v>243</v>
      </c>
      <c r="C1407" s="15" t="s">
        <v>98</v>
      </c>
      <c r="D1407" s="15" t="s">
        <v>6965</v>
      </c>
      <c r="E1407" s="15" t="s">
        <v>6965</v>
      </c>
      <c r="F1407" s="58" t="s">
        <v>807</v>
      </c>
      <c r="G1407" s="66" t="s">
        <v>98</v>
      </c>
      <c r="H1407" s="18" t="s">
        <v>98</v>
      </c>
      <c r="I1407" s="18" t="s">
        <v>98</v>
      </c>
      <c r="J1407" s="18" t="s">
        <v>98</v>
      </c>
      <c r="K1407" s="18" t="s">
        <v>98</v>
      </c>
      <c r="L1407" s="18" t="s">
        <v>98</v>
      </c>
      <c r="M1407" s="18" t="s">
        <v>550</v>
      </c>
      <c r="N1407" s="18" t="s">
        <v>254</v>
      </c>
      <c r="O1407" s="18" t="s">
        <v>98</v>
      </c>
      <c r="P1407" s="15" t="str">
        <f t="shared" si="1"/>
        <v>VERIFY</v>
      </c>
      <c r="Q1407" s="15">
        <f t="shared" si="2"/>
        <v>4</v>
      </c>
      <c r="R1407" s="15">
        <f t="shared" si="3"/>
        <v>4</v>
      </c>
      <c r="S1407" s="15">
        <f t="shared" si="4"/>
        <v>4</v>
      </c>
      <c r="T1407" s="15" t="str">
        <f t="shared" si="5"/>
        <v>C-6</v>
      </c>
      <c r="U1407" s="15" t="str">
        <f t="shared" si="6"/>
        <v>T4-M4-H4-FC-6-VERIFY</v>
      </c>
      <c r="V1407" s="15">
        <f t="shared" si="7"/>
        <v>0</v>
      </c>
      <c r="W1407" s="31"/>
      <c r="X1407" s="15" t="str">
        <f t="shared" si="8"/>
        <v>plauen-germany</v>
      </c>
      <c r="Y1407" s="32" t="str">
        <f t="shared" si="9"/>
        <v>https://steelmanufacturer.in/market-area/electropolished-pipes-manufacturer-in-plauen-germany/</v>
      </c>
      <c r="Z1407" s="15" t="str">
        <f t="shared" si="10"/>
        <v>Electropolished Pipes Manufacturer in Plauen</v>
      </c>
      <c r="AA1407" s="15" t="str">
        <f t="shared" si="11"/>
        <v>OK (44)</v>
      </c>
      <c r="AB1407" s="15" t="str">
        <f t="shared" si="12"/>
        <v>Sanitary electropolished pipes in Plauen for VERIFY plants. ASME BPE SF1-SF4, orbital-weld ready, 3.1 MTC. Mumbai-made.</v>
      </c>
      <c r="AC1407" s="15" t="str">
        <f t="shared" si="13"/>
        <v>PENDING RESEARCH</v>
      </c>
      <c r="AD1407" s="15" t="str">
        <f t="shared" si="14"/>
        <v>Electropolished Pipes Manufacturer in Plauen</v>
      </c>
      <c r="AE1407" s="15" t="str">
        <f t="shared" si="15"/>
        <v>Manufacturing Electropolished SS Tube for Plauen: The Standards We Build To</v>
      </c>
      <c r="AF1407" s="15" t="str">
        <f t="shared" si="16"/>
        <v>Electropolished Pipe Supply Into Plauen - Certification &amp; Transit</v>
      </c>
      <c r="AG1407" s="15" t="str">
        <f t="shared" si="17"/>
        <v>Electropolished Pipes Wholesaler in Plauen - Project Quantities &amp; Terms</v>
      </c>
      <c r="AH1407" s="15" t="str">
        <f t="shared" si="18"/>
        <v>electropolished pipes manufacturer in Plauen, electropolished pipes supplier in Plauen, electropolished pipes wholesaler in Plauen, electropolished tube manufacturer Plauen, EP pipe supplier Plauen, sanitary tube supplier Plauen, ASME BPE tubing Plauen, ASTM A270 tube Plauen, SS 316L electropolished pipe Plauen</v>
      </c>
      <c r="AI1407" s="15" t="str">
        <f t="shared" si="19"/>
        <v>Electropolished Pipes Manufacturer &amp; Supplier in Plauen</v>
      </c>
      <c r="AJ1407" s="15" t="str">
        <f t="shared" si="20"/>
        <v>EP-finished SS 304/316L pipes and tubes for VERIFY plants in Plauen. ASME BPE SF1-SF4, Ra from 0.25 um, EN 10204 3.1 certificate with every lot.</v>
      </c>
      <c r="AK1407" s="15" t="str">
        <f t="shared" si="21"/>
        <v>Electropolished stainless steel pipes supplied by Sakshi Forge to VERIFY plants at VERIFY, Plauen</v>
      </c>
      <c r="AL1407" s="15" t="str">
        <f t="shared" si="22"/>
        <v>Electropolished SS 316L tube stock for Plauen - Sakshi Forge</v>
      </c>
      <c r="AM1407" s="15" t="str">
        <f t="shared" si="23"/>
        <v>Home &gt; Market Area &gt; Germany &gt; VERIFY &gt; Plauen</v>
      </c>
      <c r="AN1407" s="15">
        <f t="shared" si="24"/>
        <v>750</v>
      </c>
      <c r="AO1407" s="15">
        <f t="shared" si="25"/>
        <v>6</v>
      </c>
      <c r="AP1407" s="15">
        <f t="shared" si="26"/>
        <v>6</v>
      </c>
      <c r="AQ1407" s="15">
        <f t="shared" si="27"/>
        <v>24</v>
      </c>
      <c r="AR1407" s="31"/>
      <c r="AS1407" s="31"/>
      <c r="AT1407" s="35" t="s">
        <v>222</v>
      </c>
      <c r="AU1407" s="35"/>
    </row>
    <row r="1408" ht="15.75" customHeight="1">
      <c r="A1408" s="15" t="s">
        <v>6966</v>
      </c>
      <c r="B1408" s="15" t="s">
        <v>243</v>
      </c>
      <c r="C1408" s="15" t="s">
        <v>98</v>
      </c>
      <c r="D1408" s="15" t="s">
        <v>6967</v>
      </c>
      <c r="E1408" s="15" t="s">
        <v>6967</v>
      </c>
      <c r="F1408" s="58" t="s">
        <v>807</v>
      </c>
      <c r="G1408" s="66" t="s">
        <v>98</v>
      </c>
      <c r="H1408" s="18" t="s">
        <v>98</v>
      </c>
      <c r="I1408" s="18" t="s">
        <v>98</v>
      </c>
      <c r="J1408" s="18" t="s">
        <v>98</v>
      </c>
      <c r="K1408" s="18" t="s">
        <v>98</v>
      </c>
      <c r="L1408" s="18" t="s">
        <v>98</v>
      </c>
      <c r="M1408" s="18" t="s">
        <v>550</v>
      </c>
      <c r="N1408" s="18" t="s">
        <v>254</v>
      </c>
      <c r="O1408" s="18" t="s">
        <v>98</v>
      </c>
      <c r="P1408" s="15" t="str">
        <f t="shared" si="1"/>
        <v>VERIFY</v>
      </c>
      <c r="Q1408" s="15">
        <f t="shared" si="2"/>
        <v>5</v>
      </c>
      <c r="R1408" s="15">
        <f t="shared" si="3"/>
        <v>5</v>
      </c>
      <c r="S1408" s="15">
        <f t="shared" si="4"/>
        <v>5</v>
      </c>
      <c r="T1408" s="15" t="str">
        <f t="shared" si="5"/>
        <v>C-1</v>
      </c>
      <c r="U1408" s="15" t="str">
        <f t="shared" si="6"/>
        <v>T5-M5-H5-FC-1-VERIFY</v>
      </c>
      <c r="V1408" s="15">
        <f t="shared" si="7"/>
        <v>0</v>
      </c>
      <c r="W1408" s="31"/>
      <c r="X1408" s="15" t="str">
        <f t="shared" si="8"/>
        <v>potsdam-germany</v>
      </c>
      <c r="Y1408" s="32" t="str">
        <f t="shared" si="9"/>
        <v>https://steelmanufacturer.in/market-area/electropolished-pipes-manufacturer-in-potsdam-germany/</v>
      </c>
      <c r="Z1408" s="15" t="str">
        <f t="shared" si="10"/>
        <v>Electropolished Pipes Manufacturer in Potsdam</v>
      </c>
      <c r="AA1408" s="15" t="str">
        <f t="shared" si="11"/>
        <v>OK (45)</v>
      </c>
      <c r="AB1408" s="15" t="str">
        <f t="shared" si="12"/>
        <v>Manufacturer of electropolished SS 316L tube serving Potsdam. 24-30 days sea from Nhava Sheva to Hamburg. Ra 0.25-0.5 um, EN 10204 3.1 MTC.</v>
      </c>
      <c r="AC1408" s="15" t="str">
        <f t="shared" si="13"/>
        <v>PENDING RESEARCH</v>
      </c>
      <c r="AD1408" s="15" t="str">
        <f t="shared" si="14"/>
        <v>Electropolished Pipes Manufacturer in Potsdam</v>
      </c>
      <c r="AE1408" s="15" t="str">
        <f t="shared" si="15"/>
        <v>Electropolished Tube Manufacturing Capability Serving Potsdam</v>
      </c>
      <c r="AF1408" s="15" t="str">
        <f t="shared" si="16"/>
        <v>Electropolished Pipes Supplier in Potsdam - From Order to Delivery</v>
      </c>
      <c r="AG1408" s="15" t="str">
        <f t="shared" si="17"/>
        <v>Stockist &amp; Wholesale Supply of Electropolished Pipes in Potsdam</v>
      </c>
      <c r="AH1408" s="15" t="str">
        <f t="shared" si="18"/>
        <v>electropolished pipes manufacturer in Potsdam, electropolished pipes supplier in Potsdam, electropolished pipes wholesaler in Potsdam, electropolished tube manufacturer Potsdam, EP pipe supplier Potsdam, sanitary tube supplier Potsdam, ASME BPE tubing Potsdam, ASTM A270 tube Potsdam, SS 316L electropolished pipe Potsdam</v>
      </c>
      <c r="AI1408" s="15" t="str">
        <f t="shared" si="19"/>
        <v>Electropolished Pipes Manufacturer &amp; Supplier in Potsdam</v>
      </c>
      <c r="AJ1408" s="15" t="str">
        <f t="shared" si="20"/>
        <v>EP-finished SS 304/316L pipes and tubes for VERIFY plants in Potsdam. ASME BPE SF1-SF4, Ra from 0.25 um, EN 10204 3.1 certificate with every lot.</v>
      </c>
      <c r="AK1408" s="15" t="str">
        <f t="shared" si="21"/>
        <v>Electropolished stainless steel pipes supplied by Sakshi Forge to VERIFY plants at VERIFY, Potsdam</v>
      </c>
      <c r="AL1408" s="15" t="str">
        <f t="shared" si="22"/>
        <v>Electropolished SS 316L tube stock for Potsdam - Sakshi Forge</v>
      </c>
      <c r="AM1408" s="15" t="str">
        <f t="shared" si="23"/>
        <v>Home &gt; Market Area &gt; Germany &gt; VERIFY &gt; Potsdam</v>
      </c>
      <c r="AN1408" s="15">
        <f t="shared" si="24"/>
        <v>750</v>
      </c>
      <c r="AO1408" s="15">
        <f t="shared" si="25"/>
        <v>6</v>
      </c>
      <c r="AP1408" s="15">
        <f t="shared" si="26"/>
        <v>6</v>
      </c>
      <c r="AQ1408" s="15">
        <f t="shared" si="27"/>
        <v>24</v>
      </c>
      <c r="AR1408" s="31"/>
      <c r="AS1408" s="31"/>
      <c r="AT1408" s="35" t="s">
        <v>222</v>
      </c>
      <c r="AU1408" s="35"/>
    </row>
    <row r="1409" ht="15.75" customHeight="1">
      <c r="A1409" s="15" t="s">
        <v>6968</v>
      </c>
      <c r="B1409" s="15" t="s">
        <v>243</v>
      </c>
      <c r="C1409" s="15" t="s">
        <v>98</v>
      </c>
      <c r="D1409" s="15" t="s">
        <v>6969</v>
      </c>
      <c r="E1409" s="15" t="s">
        <v>6969</v>
      </c>
      <c r="F1409" s="58" t="s">
        <v>807</v>
      </c>
      <c r="G1409" s="66" t="s">
        <v>98</v>
      </c>
      <c r="H1409" s="18" t="s">
        <v>98</v>
      </c>
      <c r="I1409" s="18" t="s">
        <v>98</v>
      </c>
      <c r="J1409" s="18" t="s">
        <v>98</v>
      </c>
      <c r="K1409" s="18" t="s">
        <v>98</v>
      </c>
      <c r="L1409" s="18" t="s">
        <v>98</v>
      </c>
      <c r="M1409" s="18" t="s">
        <v>550</v>
      </c>
      <c r="N1409" s="18" t="s">
        <v>254</v>
      </c>
      <c r="O1409" s="18" t="s">
        <v>98</v>
      </c>
      <c r="P1409" s="15" t="str">
        <f t="shared" si="1"/>
        <v>VERIFY</v>
      </c>
      <c r="Q1409" s="15">
        <f t="shared" si="2"/>
        <v>6</v>
      </c>
      <c r="R1409" s="15">
        <f t="shared" si="3"/>
        <v>6</v>
      </c>
      <c r="S1409" s="15">
        <f t="shared" si="4"/>
        <v>1</v>
      </c>
      <c r="T1409" s="15" t="str">
        <f t="shared" si="5"/>
        <v>C-2</v>
      </c>
      <c r="U1409" s="15" t="str">
        <f t="shared" si="6"/>
        <v>T6-M6-H1-FC-2-VERIFY</v>
      </c>
      <c r="V1409" s="15">
        <f t="shared" si="7"/>
        <v>0</v>
      </c>
      <c r="W1409" s="31"/>
      <c r="X1409" s="15" t="str">
        <f t="shared" si="8"/>
        <v>reutlingen-germany</v>
      </c>
      <c r="Y1409" s="32" t="str">
        <f t="shared" si="9"/>
        <v>https://steelmanufacturer.in/market-area/electropolished-pipes-manufacturer-in-reutlingen-germany/</v>
      </c>
      <c r="Z1409" s="15" t="str">
        <f t="shared" si="10"/>
        <v>Electropolished Pipes Manufacturer in Reutlingen</v>
      </c>
      <c r="AA1409" s="15" t="str">
        <f t="shared" si="11"/>
        <v>OK (48)</v>
      </c>
      <c r="AB1409" s="15" t="str">
        <f t="shared" si="12"/>
        <v>EP tube and pipe for VERIFY plants around VERIFY, Reutlingen. Made at our Mumbai works to ASTM A270 and ASME BPE SF1-SF4, with 3.1 MTC.</v>
      </c>
      <c r="AC1409" s="15" t="str">
        <f t="shared" si="13"/>
        <v>PENDING RESEARCH</v>
      </c>
      <c r="AD1409" s="15" t="str">
        <f t="shared" si="14"/>
        <v>Electropolished Pipes Manufacturer in Reutlingen</v>
      </c>
      <c r="AE1409" s="15" t="str">
        <f t="shared" si="15"/>
        <v>Electropolished Pipe &amp; Tube Manufacturing for Reutlingen - Grades, Finishes &amp; Certification</v>
      </c>
      <c r="AF1409" s="15" t="str">
        <f t="shared" si="16"/>
        <v>Electropolished Pipes Supplier in Reutlingen - Stock Sizes, Lead Time &amp; Delivery</v>
      </c>
      <c r="AG1409" s="15" t="str">
        <f t="shared" si="17"/>
        <v>Electropolished Pipes Wholesaler &amp; Stockist in Reutlingen - Bulk &amp; Project Pricing</v>
      </c>
      <c r="AH1409" s="15" t="str">
        <f t="shared" si="18"/>
        <v>electropolished pipes manufacturer in Reutlingen, electropolished pipes supplier in Reutlingen, electropolished pipes wholesaler in Reutlingen, electropolished tube manufacturer Reutlingen, EP pipe supplier Reutlingen, sanitary tube supplier Reutlingen, ASME BPE tubing Reutlingen, ASTM A270 tube Reutlingen, SS 316L electropolished pipe Reutlingen</v>
      </c>
      <c r="AI1409" s="15" t="str">
        <f t="shared" si="19"/>
        <v>Electropolished Pipes Manufacturer &amp; Supplier in Reutlingen</v>
      </c>
      <c r="AJ1409" s="15" t="str">
        <f t="shared" si="20"/>
        <v>EP-finished SS 304/316L pipes and tubes for VERIFY plants in Reutlingen. ASME BPE SF1-SF4, Ra from 0.25 um, EN 10204 3.1 certificate with every lot.</v>
      </c>
      <c r="AK1409" s="15" t="str">
        <f t="shared" si="21"/>
        <v>Electropolished stainless steel pipes supplied by Sakshi Forge to VERIFY plants at VERIFY, Reutlingen</v>
      </c>
      <c r="AL1409" s="15" t="str">
        <f t="shared" si="22"/>
        <v>Electropolished SS 316L tube stock for Reutlingen - Sakshi Forge</v>
      </c>
      <c r="AM1409" s="15" t="str">
        <f t="shared" si="23"/>
        <v>Home &gt; Market Area &gt; Germany &gt; VERIFY &gt; Reutlingen</v>
      </c>
      <c r="AN1409" s="15">
        <f t="shared" si="24"/>
        <v>750</v>
      </c>
      <c r="AO1409" s="15">
        <f t="shared" si="25"/>
        <v>6</v>
      </c>
      <c r="AP1409" s="15">
        <f t="shared" si="26"/>
        <v>6</v>
      </c>
      <c r="AQ1409" s="15">
        <f t="shared" si="27"/>
        <v>24</v>
      </c>
      <c r="AR1409" s="31"/>
      <c r="AS1409" s="31"/>
      <c r="AT1409" s="35" t="s">
        <v>222</v>
      </c>
      <c r="AU1409" s="35"/>
    </row>
    <row r="1410" ht="15.75" customHeight="1">
      <c r="A1410" s="15" t="s">
        <v>6972</v>
      </c>
      <c r="B1410" s="15" t="s">
        <v>243</v>
      </c>
      <c r="C1410" s="15" t="s">
        <v>98</v>
      </c>
      <c r="D1410" s="15" t="s">
        <v>6974</v>
      </c>
      <c r="E1410" s="15" t="s">
        <v>6974</v>
      </c>
      <c r="F1410" s="58" t="s">
        <v>807</v>
      </c>
      <c r="G1410" s="66" t="s">
        <v>98</v>
      </c>
      <c r="H1410" s="18" t="s">
        <v>98</v>
      </c>
      <c r="I1410" s="18" t="s">
        <v>98</v>
      </c>
      <c r="J1410" s="18" t="s">
        <v>98</v>
      </c>
      <c r="K1410" s="18" t="s">
        <v>98</v>
      </c>
      <c r="L1410" s="18" t="s">
        <v>98</v>
      </c>
      <c r="M1410" s="18" t="s">
        <v>550</v>
      </c>
      <c r="N1410" s="18" t="s">
        <v>254</v>
      </c>
      <c r="O1410" s="18" t="s">
        <v>98</v>
      </c>
      <c r="P1410" s="15" t="str">
        <f t="shared" si="1"/>
        <v>VERIFY</v>
      </c>
      <c r="Q1410" s="15">
        <f t="shared" si="2"/>
        <v>7</v>
      </c>
      <c r="R1410" s="15">
        <f t="shared" si="3"/>
        <v>7</v>
      </c>
      <c r="S1410" s="15">
        <f t="shared" si="4"/>
        <v>2</v>
      </c>
      <c r="T1410" s="15" t="str">
        <f t="shared" si="5"/>
        <v>C-3</v>
      </c>
      <c r="U1410" s="15" t="str">
        <f t="shared" si="6"/>
        <v>T7-M7-H2-FC-3-VERIFY</v>
      </c>
      <c r="V1410" s="15">
        <f t="shared" si="7"/>
        <v>0</v>
      </c>
      <c r="W1410" s="31"/>
      <c r="X1410" s="15" t="str">
        <f t="shared" si="8"/>
        <v>rosenheim-germany</v>
      </c>
      <c r="Y1410" s="32" t="str">
        <f t="shared" si="9"/>
        <v>https://steelmanufacturer.in/market-area/electropolished-pipes-manufacturer-in-rosenheim-germany/</v>
      </c>
      <c r="Z1410" s="15" t="str">
        <f t="shared" si="10"/>
        <v>Electropolished Pipes Manufacturer in Rosenheim</v>
      </c>
      <c r="AA1410" s="15" t="str">
        <f t="shared" si="11"/>
        <v>OK (47)</v>
      </c>
      <c r="AB1410" s="15" t="str">
        <f t="shared" si="12"/>
        <v>Electropolished pipes in Rosenheim: 304, 304L, 316 and 316L in SF1-SF4. 24-30 days sea from Nhava Sheva to Hamburg. Mill certified.</v>
      </c>
      <c r="AC1410" s="15" t="str">
        <f t="shared" si="13"/>
        <v>PENDING RESEARCH</v>
      </c>
      <c r="AD1410" s="15" t="str">
        <f t="shared" si="14"/>
        <v>Electropolished Pipes Manufacturer in Rosenheim</v>
      </c>
      <c r="AE1410" s="15" t="str">
        <f t="shared" si="15"/>
        <v>How We Manufacture Electropolished Tube for Rosenheim Plants</v>
      </c>
      <c r="AF1410" s="15" t="str">
        <f t="shared" si="16"/>
        <v>Supplying Electropolished Pipes in Rosenheim: Availability, Sizes &amp; Dispatch</v>
      </c>
      <c r="AG1410" s="15" t="str">
        <f t="shared" si="17"/>
        <v>Wholesale Electropolished Pipe Supply for Rosenheim Projects</v>
      </c>
      <c r="AH1410" s="15" t="str">
        <f t="shared" si="18"/>
        <v>electropolished pipes manufacturer in Rosenheim, electropolished pipes supplier in Rosenheim, electropolished pipes wholesaler in Rosenheim, electropolished tube manufacturer Rosenheim, EP pipe supplier Rosenheim, sanitary tube supplier Rosenheim, ASME BPE tubing Rosenheim, ASTM A270 tube Rosenheim, SS 316L electropolished pipe Rosenheim</v>
      </c>
      <c r="AI1410" s="15" t="str">
        <f t="shared" si="19"/>
        <v>Electropolished Pipes Manufacturer &amp; Supplier in Rosenheim</v>
      </c>
      <c r="AJ1410" s="15" t="str">
        <f t="shared" si="20"/>
        <v>EP-finished SS 304/316L pipes and tubes for VERIFY plants in Rosenheim. ASME BPE SF1-SF4, Ra from 0.25 um, EN 10204 3.1 certificate with every lot.</v>
      </c>
      <c r="AK1410" s="15" t="str">
        <f t="shared" si="21"/>
        <v>Electropolished stainless steel pipes supplied by Sakshi Forge to VERIFY plants at VERIFY, Rosenheim</v>
      </c>
      <c r="AL1410" s="15" t="str">
        <f t="shared" si="22"/>
        <v>Electropolished SS 316L tube stock for Rosenheim - Sakshi Forge</v>
      </c>
      <c r="AM1410" s="15" t="str">
        <f t="shared" si="23"/>
        <v>Home &gt; Market Area &gt; Germany &gt; VERIFY &gt; Rosenheim</v>
      </c>
      <c r="AN1410" s="15">
        <f t="shared" si="24"/>
        <v>750</v>
      </c>
      <c r="AO1410" s="15">
        <f t="shared" si="25"/>
        <v>6</v>
      </c>
      <c r="AP1410" s="15">
        <f t="shared" si="26"/>
        <v>6</v>
      </c>
      <c r="AQ1410" s="15">
        <f t="shared" si="27"/>
        <v>24</v>
      </c>
      <c r="AR1410" s="31"/>
      <c r="AS1410" s="31"/>
      <c r="AT1410" s="35" t="s">
        <v>222</v>
      </c>
      <c r="AU1410" s="35"/>
    </row>
    <row r="1411" ht="15.75" customHeight="1">
      <c r="A1411" s="15" t="s">
        <v>6977</v>
      </c>
      <c r="B1411" s="15" t="s">
        <v>243</v>
      </c>
      <c r="C1411" s="15" t="s">
        <v>98</v>
      </c>
      <c r="D1411" s="15" t="s">
        <v>6978</v>
      </c>
      <c r="E1411" s="15" t="s">
        <v>6978</v>
      </c>
      <c r="F1411" s="58" t="s">
        <v>807</v>
      </c>
      <c r="G1411" s="66" t="s">
        <v>98</v>
      </c>
      <c r="H1411" s="18" t="s">
        <v>98</v>
      </c>
      <c r="I1411" s="18" t="s">
        <v>98</v>
      </c>
      <c r="J1411" s="18" t="s">
        <v>98</v>
      </c>
      <c r="K1411" s="18" t="s">
        <v>98</v>
      </c>
      <c r="L1411" s="18" t="s">
        <v>98</v>
      </c>
      <c r="M1411" s="18" t="s">
        <v>550</v>
      </c>
      <c r="N1411" s="18" t="s">
        <v>254</v>
      </c>
      <c r="O1411" s="18" t="s">
        <v>98</v>
      </c>
      <c r="P1411" s="15" t="str">
        <f t="shared" si="1"/>
        <v>VERIFY</v>
      </c>
      <c r="Q1411" s="15">
        <f t="shared" si="2"/>
        <v>8</v>
      </c>
      <c r="R1411" s="15">
        <f t="shared" si="3"/>
        <v>1</v>
      </c>
      <c r="S1411" s="15">
        <f t="shared" si="4"/>
        <v>3</v>
      </c>
      <c r="T1411" s="15" t="str">
        <f t="shared" si="5"/>
        <v>C-4</v>
      </c>
      <c r="U1411" s="15" t="str">
        <f t="shared" si="6"/>
        <v>T8-M1-H3-FC-4-VERIFY</v>
      </c>
      <c r="V1411" s="15">
        <f t="shared" si="7"/>
        <v>0</v>
      </c>
      <c r="W1411" s="31"/>
      <c r="X1411" s="15" t="str">
        <f t="shared" si="8"/>
        <v>saarbrucken-germany</v>
      </c>
      <c r="Y1411" s="32" t="str">
        <f t="shared" si="9"/>
        <v>https://steelmanufacturer.in/market-area/electropolished-pipes-manufacturer-in-saarbrucken-germany/</v>
      </c>
      <c r="Z1411" s="15" t="str">
        <f t="shared" si="10"/>
        <v>Electropolished Pipes Manufacturer in Saarbrucken</v>
      </c>
      <c r="AA1411" s="15" t="str">
        <f t="shared" si="11"/>
        <v>OK (49)</v>
      </c>
      <c r="AB1411" s="15" t="str">
        <f t="shared" si="12"/>
        <v>EP-finished SS 304/316L pipes &amp; tubes for VERIFY plants in Saarbrucken. ASTM A270, ASME BPE SF1-SF4, EN 10204 3.1 MTC. PMI tested.</v>
      </c>
      <c r="AC1411" s="15" t="str">
        <f t="shared" si="13"/>
        <v>PENDING RESEARCH</v>
      </c>
      <c r="AD1411" s="15" t="str">
        <f t="shared" si="14"/>
        <v>Electropolished Pipes Manufacturer in Saarbrucken</v>
      </c>
      <c r="AE1411" s="15" t="str">
        <f t="shared" si="15"/>
        <v>Electropolished Pipes Manufacturer in Saarbrucken - Our Process &amp; Capability</v>
      </c>
      <c r="AF1411" s="15" t="str">
        <f t="shared" si="16"/>
        <v>Electropolished Pipes Supplier in Saarbrucken - What We Hold in Stock</v>
      </c>
      <c r="AG1411" s="15" t="str">
        <f t="shared" si="17"/>
        <v>Bulk &amp; Wholesale Electropolished Pipe Rates for Saarbrucken Buyers</v>
      </c>
      <c r="AH1411" s="15" t="str">
        <f t="shared" si="18"/>
        <v>electropolished pipes manufacturer in Saarbrucken, electropolished pipes supplier in Saarbrucken, electropolished pipes wholesaler in Saarbrucken, electropolished tube manufacturer Saarbrucken, EP pipe supplier Saarbrucken, sanitary tube supplier Saarbrucken, ASME BPE tubing Saarbrucken, ASTM A270 tube Saarbrucken, SS 316L electropolished pipe Saarbrucken</v>
      </c>
      <c r="AI1411" s="15" t="str">
        <f t="shared" si="19"/>
        <v>Electropolished Pipes Manufacturer &amp; Supplier in Saarbrucken</v>
      </c>
      <c r="AJ1411" s="15" t="str">
        <f t="shared" si="20"/>
        <v>EP-finished SS 304/316L pipes and tubes for VERIFY plants in Saarbrucken. ASME BPE SF1-SF4, Ra from 0.25 um, EN 10204 3.1 certificate with every lot.</v>
      </c>
      <c r="AK1411" s="15" t="str">
        <f t="shared" si="21"/>
        <v>Electropolished stainless steel pipes supplied by Sakshi Forge to VERIFY plants at VERIFY, Saarbrucken</v>
      </c>
      <c r="AL1411" s="15" t="str">
        <f t="shared" si="22"/>
        <v>Electropolished SS 316L tube stock for Saarbrucken - Sakshi Forge</v>
      </c>
      <c r="AM1411" s="15" t="str">
        <f t="shared" si="23"/>
        <v>Home &gt; Market Area &gt; Germany &gt; VERIFY &gt; Saarbrucken</v>
      </c>
      <c r="AN1411" s="15">
        <f t="shared" si="24"/>
        <v>750</v>
      </c>
      <c r="AO1411" s="15">
        <f t="shared" si="25"/>
        <v>6</v>
      </c>
      <c r="AP1411" s="15">
        <f t="shared" si="26"/>
        <v>6</v>
      </c>
      <c r="AQ1411" s="15">
        <f t="shared" si="27"/>
        <v>24</v>
      </c>
      <c r="AR1411" s="31"/>
      <c r="AS1411" s="31"/>
      <c r="AT1411" s="35" t="s">
        <v>222</v>
      </c>
      <c r="AU1411" s="35"/>
    </row>
    <row r="1412" ht="15.75" customHeight="1">
      <c r="A1412" s="15" t="s">
        <v>6979</v>
      </c>
      <c r="B1412" s="15" t="s">
        <v>243</v>
      </c>
      <c r="C1412" s="15" t="s">
        <v>98</v>
      </c>
      <c r="D1412" s="15" t="s">
        <v>6980</v>
      </c>
      <c r="E1412" s="15" t="s">
        <v>6980</v>
      </c>
      <c r="F1412" s="58" t="s">
        <v>807</v>
      </c>
      <c r="G1412" s="66" t="s">
        <v>98</v>
      </c>
      <c r="H1412" s="18" t="s">
        <v>98</v>
      </c>
      <c r="I1412" s="18" t="s">
        <v>98</v>
      </c>
      <c r="J1412" s="18" t="s">
        <v>98</v>
      </c>
      <c r="K1412" s="18" t="s">
        <v>98</v>
      </c>
      <c r="L1412" s="18" t="s">
        <v>98</v>
      </c>
      <c r="M1412" s="18" t="s">
        <v>550</v>
      </c>
      <c r="N1412" s="18" t="s">
        <v>254</v>
      </c>
      <c r="O1412" s="18" t="s">
        <v>98</v>
      </c>
      <c r="P1412" s="15" t="str">
        <f t="shared" si="1"/>
        <v>VERIFY</v>
      </c>
      <c r="Q1412" s="15">
        <f t="shared" si="2"/>
        <v>1</v>
      </c>
      <c r="R1412" s="15">
        <f t="shared" si="3"/>
        <v>2</v>
      </c>
      <c r="S1412" s="15">
        <f t="shared" si="4"/>
        <v>4</v>
      </c>
      <c r="T1412" s="15" t="str">
        <f t="shared" si="5"/>
        <v>C-5</v>
      </c>
      <c r="U1412" s="15" t="str">
        <f t="shared" si="6"/>
        <v>T1-M2-H4-FC-5-VERIFY</v>
      </c>
      <c r="V1412" s="15">
        <f t="shared" si="7"/>
        <v>0</v>
      </c>
      <c r="W1412" s="31"/>
      <c r="X1412" s="15" t="str">
        <f t="shared" si="8"/>
        <v>salzgitter-germany</v>
      </c>
      <c r="Y1412" s="32" t="str">
        <f t="shared" si="9"/>
        <v>https://steelmanufacturer.in/market-area/electropolished-pipes-manufacturer-in-salzgitter-germany/</v>
      </c>
      <c r="Z1412" s="15" t="str">
        <f t="shared" si="10"/>
        <v>Electropolished Pipes Manufacturer in Salzgitter | Sakshi Forge</v>
      </c>
      <c r="AA1412" s="15" t="str">
        <f t="shared" si="11"/>
        <v>OK (63)</v>
      </c>
      <c r="AB1412" s="15" t="str">
        <f t="shared" si="12"/>
        <v>Electropolished tube supply to VERIFY, Salzgitter. Ra from 0.25 um, SF4 finish, mill test certificate with every lot.</v>
      </c>
      <c r="AC1412" s="15" t="str">
        <f t="shared" si="13"/>
        <v>PENDING RESEARCH</v>
      </c>
      <c r="AD1412" s="15" t="str">
        <f t="shared" si="14"/>
        <v>Electropolished Pipes Manufacturer in Salzgitter</v>
      </c>
      <c r="AE1412" s="15" t="str">
        <f t="shared" si="15"/>
        <v>Manufacturing Electropolished SS Tube for Salzgitter: The Standards We Build To</v>
      </c>
      <c r="AF1412" s="15" t="str">
        <f t="shared" si="16"/>
        <v>Electropolished Pipe Supply Into Salzgitter - Certification &amp; Transit</v>
      </c>
      <c r="AG1412" s="15" t="str">
        <f t="shared" si="17"/>
        <v>Electropolished Pipes Wholesaler in Salzgitter - Project Quantities &amp; Terms</v>
      </c>
      <c r="AH1412" s="15" t="str">
        <f t="shared" si="18"/>
        <v>electropolished pipes manufacturer in Salzgitter, electropolished pipes supplier in Salzgitter, electropolished pipes wholesaler in Salzgitter, electropolished tube manufacturer Salzgitter, EP pipe supplier Salzgitter, sanitary tube supplier Salzgitter, ASME BPE tubing Salzgitter, ASTM A270 tube Salzgitter, SS 316L electropolished pipe Salzgitter</v>
      </c>
      <c r="AI1412" s="15" t="str">
        <f t="shared" si="19"/>
        <v>Electropolished Pipes Manufacturer &amp; Supplier in Salzgitter</v>
      </c>
      <c r="AJ1412" s="15" t="str">
        <f t="shared" si="20"/>
        <v>EP-finished SS 304/316L pipes and tubes for VERIFY plants in Salzgitter. ASME BPE SF1-SF4, Ra from 0.25 um, EN 10204 3.1 certificate with every lot.</v>
      </c>
      <c r="AK1412" s="15" t="str">
        <f t="shared" si="21"/>
        <v>Electropolished stainless steel pipes supplied by Sakshi Forge to VERIFY plants at VERIFY, Salzgitter</v>
      </c>
      <c r="AL1412" s="15" t="str">
        <f t="shared" si="22"/>
        <v>Electropolished SS 316L tube stock for Salzgitter - Sakshi Forge</v>
      </c>
      <c r="AM1412" s="15" t="str">
        <f t="shared" si="23"/>
        <v>Home &gt; Market Area &gt; Germany &gt; VERIFY &gt; Salzgitter</v>
      </c>
      <c r="AN1412" s="15">
        <f t="shared" si="24"/>
        <v>750</v>
      </c>
      <c r="AO1412" s="15">
        <f t="shared" si="25"/>
        <v>6</v>
      </c>
      <c r="AP1412" s="15">
        <f t="shared" si="26"/>
        <v>6</v>
      </c>
      <c r="AQ1412" s="15">
        <f t="shared" si="27"/>
        <v>24</v>
      </c>
      <c r="AR1412" s="31"/>
      <c r="AS1412" s="31"/>
      <c r="AT1412" s="35" t="s">
        <v>222</v>
      </c>
      <c r="AU1412" s="35"/>
    </row>
    <row r="1413" ht="15.75" customHeight="1">
      <c r="A1413" s="15" t="s">
        <v>6981</v>
      </c>
      <c r="B1413" s="15" t="s">
        <v>243</v>
      </c>
      <c r="C1413" s="15" t="s">
        <v>98</v>
      </c>
      <c r="D1413" s="15" t="s">
        <v>6982</v>
      </c>
      <c r="E1413" s="15" t="s">
        <v>6982</v>
      </c>
      <c r="F1413" s="58" t="s">
        <v>807</v>
      </c>
      <c r="G1413" s="66" t="s">
        <v>98</v>
      </c>
      <c r="H1413" s="18" t="s">
        <v>98</v>
      </c>
      <c r="I1413" s="18" t="s">
        <v>98</v>
      </c>
      <c r="J1413" s="18" t="s">
        <v>98</v>
      </c>
      <c r="K1413" s="18" t="s">
        <v>98</v>
      </c>
      <c r="L1413" s="18" t="s">
        <v>98</v>
      </c>
      <c r="M1413" s="18" t="s">
        <v>550</v>
      </c>
      <c r="N1413" s="18" t="s">
        <v>254</v>
      </c>
      <c r="O1413" s="18" t="s">
        <v>98</v>
      </c>
      <c r="P1413" s="15" t="str">
        <f t="shared" si="1"/>
        <v>VERIFY</v>
      </c>
      <c r="Q1413" s="15">
        <f t="shared" si="2"/>
        <v>2</v>
      </c>
      <c r="R1413" s="15">
        <f t="shared" si="3"/>
        <v>3</v>
      </c>
      <c r="S1413" s="15">
        <f t="shared" si="4"/>
        <v>5</v>
      </c>
      <c r="T1413" s="15" t="str">
        <f t="shared" si="5"/>
        <v>C-6</v>
      </c>
      <c r="U1413" s="15" t="str">
        <f t="shared" si="6"/>
        <v>T2-M3-H5-FC-6-VERIFY</v>
      </c>
      <c r="V1413" s="15">
        <f t="shared" si="7"/>
        <v>0</v>
      </c>
      <c r="W1413" s="31"/>
      <c r="X1413" s="15" t="str">
        <f t="shared" si="8"/>
        <v>schwerin-germany</v>
      </c>
      <c r="Y1413" s="32" t="str">
        <f t="shared" si="9"/>
        <v>https://steelmanufacturer.in/market-area/electropolished-pipes-manufacturer-in-schwerin-germany/</v>
      </c>
      <c r="Z1413" s="15" t="str">
        <f t="shared" si="10"/>
        <v>Electropolished Pipes Manufacturer in Schwerin</v>
      </c>
      <c r="AA1413" s="15" t="str">
        <f t="shared" si="11"/>
        <v>OK (46)</v>
      </c>
      <c r="AB1413" s="15" t="str">
        <f t="shared" si="12"/>
        <v>EP stainless tube for VERIFY lines in Schwerin. 24-30 days sea from Nhava Sheva to Hamburg. ASTM A270 S2, PMI tested, EN 10204 3.1.</v>
      </c>
      <c r="AC1413" s="15" t="str">
        <f t="shared" si="13"/>
        <v>PENDING RESEARCH</v>
      </c>
      <c r="AD1413" s="15" t="str">
        <f t="shared" si="14"/>
        <v>Electropolished Pipes Manufacturer in Schwerin</v>
      </c>
      <c r="AE1413" s="15" t="str">
        <f t="shared" si="15"/>
        <v>Electropolished Tube Manufacturing Capability Serving Schwerin</v>
      </c>
      <c r="AF1413" s="15" t="str">
        <f t="shared" si="16"/>
        <v>Electropolished Pipes Supplier in Schwerin - From Order to Delivery</v>
      </c>
      <c r="AG1413" s="15" t="str">
        <f t="shared" si="17"/>
        <v>Stockist &amp; Wholesale Supply of Electropolished Pipes in Schwerin</v>
      </c>
      <c r="AH1413" s="15" t="str">
        <f t="shared" si="18"/>
        <v>electropolished pipes manufacturer in Schwerin, electropolished pipes supplier in Schwerin, electropolished pipes wholesaler in Schwerin, electropolished tube manufacturer Schwerin, EP pipe supplier Schwerin, sanitary tube supplier Schwerin, ASME BPE tubing Schwerin, ASTM A270 tube Schwerin, SS 316L electropolished pipe Schwerin</v>
      </c>
      <c r="AI1413" s="15" t="str">
        <f t="shared" si="19"/>
        <v>Electropolished Pipes Manufacturer &amp; Supplier in Schwerin</v>
      </c>
      <c r="AJ1413" s="15" t="str">
        <f t="shared" si="20"/>
        <v>EP-finished SS 304/316L pipes and tubes for VERIFY plants in Schwerin. ASME BPE SF1-SF4, Ra from 0.25 um, EN 10204 3.1 certificate with every lot.</v>
      </c>
      <c r="AK1413" s="15" t="str">
        <f t="shared" si="21"/>
        <v>Electropolished stainless steel pipes supplied by Sakshi Forge to VERIFY plants at VERIFY, Schwerin</v>
      </c>
      <c r="AL1413" s="15" t="str">
        <f t="shared" si="22"/>
        <v>Electropolished SS 316L tube stock for Schwerin - Sakshi Forge</v>
      </c>
      <c r="AM1413" s="15" t="str">
        <f t="shared" si="23"/>
        <v>Home &gt; Market Area &gt; Germany &gt; VERIFY &gt; Schwerin</v>
      </c>
      <c r="AN1413" s="15">
        <f t="shared" si="24"/>
        <v>750</v>
      </c>
      <c r="AO1413" s="15">
        <f t="shared" si="25"/>
        <v>6</v>
      </c>
      <c r="AP1413" s="15">
        <f t="shared" si="26"/>
        <v>6</v>
      </c>
      <c r="AQ1413" s="15">
        <f t="shared" si="27"/>
        <v>24</v>
      </c>
      <c r="AR1413" s="31"/>
      <c r="AS1413" s="31"/>
      <c r="AT1413" s="35" t="s">
        <v>222</v>
      </c>
      <c r="AU1413" s="35"/>
    </row>
    <row r="1414" ht="15.75" customHeight="1">
      <c r="A1414" s="15" t="s">
        <v>6983</v>
      </c>
      <c r="B1414" s="15" t="s">
        <v>243</v>
      </c>
      <c r="C1414" s="15" t="s">
        <v>98</v>
      </c>
      <c r="D1414" s="15" t="s">
        <v>6984</v>
      </c>
      <c r="E1414" s="15" t="s">
        <v>6984</v>
      </c>
      <c r="F1414" s="58" t="s">
        <v>807</v>
      </c>
      <c r="G1414" s="66" t="s">
        <v>98</v>
      </c>
      <c r="H1414" s="18" t="s">
        <v>98</v>
      </c>
      <c r="I1414" s="18" t="s">
        <v>98</v>
      </c>
      <c r="J1414" s="18" t="s">
        <v>98</v>
      </c>
      <c r="K1414" s="18" t="s">
        <v>98</v>
      </c>
      <c r="L1414" s="18" t="s">
        <v>98</v>
      </c>
      <c r="M1414" s="18" t="s">
        <v>550</v>
      </c>
      <c r="N1414" s="18" t="s">
        <v>254</v>
      </c>
      <c r="O1414" s="18" t="s">
        <v>98</v>
      </c>
      <c r="P1414" s="15" t="str">
        <f t="shared" si="1"/>
        <v>VERIFY</v>
      </c>
      <c r="Q1414" s="15">
        <f t="shared" si="2"/>
        <v>3</v>
      </c>
      <c r="R1414" s="15">
        <f t="shared" si="3"/>
        <v>4</v>
      </c>
      <c r="S1414" s="15">
        <f t="shared" si="4"/>
        <v>1</v>
      </c>
      <c r="T1414" s="15" t="str">
        <f t="shared" si="5"/>
        <v>C-1</v>
      </c>
      <c r="U1414" s="15" t="str">
        <f t="shared" si="6"/>
        <v>T3-M4-H1-FC-1-VERIFY</v>
      </c>
      <c r="V1414" s="15">
        <f t="shared" si="7"/>
        <v>0</v>
      </c>
      <c r="W1414" s="31"/>
      <c r="X1414" s="15" t="str">
        <f t="shared" si="8"/>
        <v>siegen-germany</v>
      </c>
      <c r="Y1414" s="32" t="str">
        <f t="shared" si="9"/>
        <v>https://steelmanufacturer.in/market-area/electropolished-pipes-manufacturer-in-siegen-germany/</v>
      </c>
      <c r="Z1414" s="15" t="str">
        <f t="shared" si="10"/>
        <v>Electropolished Pipes Manufacturer in Siegen | EP Tube Supplier</v>
      </c>
      <c r="AA1414" s="15" t="str">
        <f t="shared" si="11"/>
        <v>OK (63)</v>
      </c>
      <c r="AB1414" s="15" t="str">
        <f t="shared" si="12"/>
        <v>Sanitary electropolished pipes in Siegen for VERIFY plants. ASME BPE SF1-SF4, orbital-weld ready, 3.1 MTC. Mumbai-made.</v>
      </c>
      <c r="AC1414" s="15" t="str">
        <f t="shared" si="13"/>
        <v>PENDING RESEARCH</v>
      </c>
      <c r="AD1414" s="15" t="str">
        <f t="shared" si="14"/>
        <v>Electropolished Pipes Manufacturer in Siegen</v>
      </c>
      <c r="AE1414" s="15" t="str">
        <f t="shared" si="15"/>
        <v>Electropolished Pipe &amp; Tube Manufacturing for Siegen - Grades, Finishes &amp; Certification</v>
      </c>
      <c r="AF1414" s="15" t="str">
        <f t="shared" si="16"/>
        <v>Electropolished Pipes Supplier in Siegen - Stock Sizes, Lead Time &amp; Delivery</v>
      </c>
      <c r="AG1414" s="15" t="str">
        <f t="shared" si="17"/>
        <v>Electropolished Pipes Wholesaler &amp; Stockist in Siegen - Bulk &amp; Project Pricing</v>
      </c>
      <c r="AH1414" s="15" t="str">
        <f t="shared" si="18"/>
        <v>electropolished pipes manufacturer in Siegen, electropolished pipes supplier in Siegen, electropolished pipes wholesaler in Siegen, electropolished tube manufacturer Siegen, EP pipe supplier Siegen, sanitary tube supplier Siegen, ASME BPE tubing Siegen, ASTM A270 tube Siegen, SS 316L electropolished pipe Siegen</v>
      </c>
      <c r="AI1414" s="15" t="str">
        <f t="shared" si="19"/>
        <v>Electropolished Pipes Manufacturer &amp; Supplier in Siegen</v>
      </c>
      <c r="AJ1414" s="15" t="str">
        <f t="shared" si="20"/>
        <v>EP-finished SS 304/316L pipes and tubes for VERIFY plants in Siegen. ASME BPE SF1-SF4, Ra from 0.25 um, EN 10204 3.1 certificate with every lot.</v>
      </c>
      <c r="AK1414" s="15" t="str">
        <f t="shared" si="21"/>
        <v>Electropolished stainless steel pipes supplied by Sakshi Forge to VERIFY plants at VERIFY, Siegen</v>
      </c>
      <c r="AL1414" s="15" t="str">
        <f t="shared" si="22"/>
        <v>Electropolished SS 316L tube stock for Siegen - Sakshi Forge</v>
      </c>
      <c r="AM1414" s="15" t="str">
        <f t="shared" si="23"/>
        <v>Home &gt; Market Area &gt; Germany &gt; VERIFY &gt; Siegen</v>
      </c>
      <c r="AN1414" s="15">
        <f t="shared" si="24"/>
        <v>750</v>
      </c>
      <c r="AO1414" s="15">
        <f t="shared" si="25"/>
        <v>6</v>
      </c>
      <c r="AP1414" s="15">
        <f t="shared" si="26"/>
        <v>6</v>
      </c>
      <c r="AQ1414" s="15">
        <f t="shared" si="27"/>
        <v>24</v>
      </c>
      <c r="AR1414" s="31"/>
      <c r="AS1414" s="31"/>
      <c r="AT1414" s="35" t="s">
        <v>222</v>
      </c>
      <c r="AU1414" s="35"/>
    </row>
    <row r="1415" ht="15.75" customHeight="1">
      <c r="A1415" s="15" t="s">
        <v>6985</v>
      </c>
      <c r="B1415" s="15" t="s">
        <v>243</v>
      </c>
      <c r="C1415" s="15" t="s">
        <v>98</v>
      </c>
      <c r="D1415" s="15" t="s">
        <v>6986</v>
      </c>
      <c r="E1415" s="15" t="s">
        <v>6986</v>
      </c>
      <c r="F1415" s="58" t="s">
        <v>807</v>
      </c>
      <c r="G1415" s="66" t="s">
        <v>98</v>
      </c>
      <c r="H1415" s="18" t="s">
        <v>98</v>
      </c>
      <c r="I1415" s="18" t="s">
        <v>98</v>
      </c>
      <c r="J1415" s="18" t="s">
        <v>98</v>
      </c>
      <c r="K1415" s="18" t="s">
        <v>98</v>
      </c>
      <c r="L1415" s="18" t="s">
        <v>98</v>
      </c>
      <c r="M1415" s="18" t="s">
        <v>550</v>
      </c>
      <c r="N1415" s="18" t="s">
        <v>254</v>
      </c>
      <c r="O1415" s="18" t="s">
        <v>98</v>
      </c>
      <c r="P1415" s="15" t="str">
        <f t="shared" si="1"/>
        <v>VERIFY</v>
      </c>
      <c r="Q1415" s="15">
        <f t="shared" si="2"/>
        <v>4</v>
      </c>
      <c r="R1415" s="15">
        <f t="shared" si="3"/>
        <v>5</v>
      </c>
      <c r="S1415" s="15">
        <f t="shared" si="4"/>
        <v>2</v>
      </c>
      <c r="T1415" s="15" t="str">
        <f t="shared" si="5"/>
        <v>C-2</v>
      </c>
      <c r="U1415" s="15" t="str">
        <f t="shared" si="6"/>
        <v>T4-M5-H2-FC-2-VERIFY</v>
      </c>
      <c r="V1415" s="15">
        <f t="shared" si="7"/>
        <v>0</v>
      </c>
      <c r="W1415" s="31"/>
      <c r="X1415" s="15" t="str">
        <f t="shared" si="8"/>
        <v>trier-germany</v>
      </c>
      <c r="Y1415" s="32" t="str">
        <f t="shared" si="9"/>
        <v>https://steelmanufacturer.in/market-area/electropolished-pipes-manufacturer-in-trier-germany/</v>
      </c>
      <c r="Z1415" s="15" t="str">
        <f t="shared" si="10"/>
        <v>Electropolished Pipes Manufacturer in Trier - SS 304/316L EP Tube</v>
      </c>
      <c r="AA1415" s="15" t="str">
        <f t="shared" si="11"/>
        <v>OK (65)</v>
      </c>
      <c r="AB1415" s="15" t="str">
        <f t="shared" si="12"/>
        <v>Manufacturer of electropolished SS 316L tube serving Trier. 24-30 days sea from Nhava Sheva to Hamburg. Ra 0.25-0.5 um, EN 10204 3.1 MTC.</v>
      </c>
      <c r="AC1415" s="15" t="str">
        <f t="shared" si="13"/>
        <v>PENDING RESEARCH</v>
      </c>
      <c r="AD1415" s="15" t="str">
        <f t="shared" si="14"/>
        <v>Electropolished Pipes Manufacturer in Trier</v>
      </c>
      <c r="AE1415" s="15" t="str">
        <f t="shared" si="15"/>
        <v>How We Manufacture Electropolished Tube for Trier Plants</v>
      </c>
      <c r="AF1415" s="15" t="str">
        <f t="shared" si="16"/>
        <v>Supplying Electropolished Pipes in Trier: Availability, Sizes &amp; Dispatch</v>
      </c>
      <c r="AG1415" s="15" t="str">
        <f t="shared" si="17"/>
        <v>Wholesale Electropolished Pipe Supply for Trier Projects</v>
      </c>
      <c r="AH1415" s="15" t="str">
        <f t="shared" si="18"/>
        <v>electropolished pipes manufacturer in Trier, electropolished pipes supplier in Trier, electropolished pipes wholesaler in Trier, electropolished tube manufacturer Trier, EP pipe supplier Trier, sanitary tube supplier Trier, ASME BPE tubing Trier, ASTM A270 tube Trier, SS 316L electropolished pipe Trier</v>
      </c>
      <c r="AI1415" s="15" t="str">
        <f t="shared" si="19"/>
        <v>Electropolished Pipes Manufacturer &amp; Supplier in Trier</v>
      </c>
      <c r="AJ1415" s="15" t="str">
        <f t="shared" si="20"/>
        <v>EP-finished SS 304/316L pipes and tubes for VERIFY plants in Trier. ASME BPE SF1-SF4, Ra from 0.25 um, EN 10204 3.1 certificate with every lot.</v>
      </c>
      <c r="AK1415" s="15" t="str">
        <f t="shared" si="21"/>
        <v>Electropolished stainless steel pipes supplied by Sakshi Forge to VERIFY plants at VERIFY, Trier</v>
      </c>
      <c r="AL1415" s="15" t="str">
        <f t="shared" si="22"/>
        <v>Electropolished SS 316L tube stock for Trier - Sakshi Forge</v>
      </c>
      <c r="AM1415" s="15" t="str">
        <f t="shared" si="23"/>
        <v>Home &gt; Market Area &gt; Germany &gt; VERIFY &gt; Trier</v>
      </c>
      <c r="AN1415" s="15">
        <f t="shared" si="24"/>
        <v>750</v>
      </c>
      <c r="AO1415" s="15">
        <f t="shared" si="25"/>
        <v>6</v>
      </c>
      <c r="AP1415" s="15">
        <f t="shared" si="26"/>
        <v>6</v>
      </c>
      <c r="AQ1415" s="15">
        <f t="shared" si="27"/>
        <v>24</v>
      </c>
      <c r="AR1415" s="31"/>
      <c r="AS1415" s="31"/>
      <c r="AT1415" s="35" t="s">
        <v>222</v>
      </c>
      <c r="AU1415" s="35"/>
    </row>
    <row r="1416" ht="15.75" customHeight="1">
      <c r="A1416" s="15" t="s">
        <v>6987</v>
      </c>
      <c r="B1416" s="15" t="s">
        <v>243</v>
      </c>
      <c r="C1416" s="15" t="s">
        <v>98</v>
      </c>
      <c r="D1416" s="15" t="s">
        <v>6988</v>
      </c>
      <c r="E1416" s="15" t="s">
        <v>6988</v>
      </c>
      <c r="F1416" s="58" t="s">
        <v>807</v>
      </c>
      <c r="G1416" s="66" t="s">
        <v>98</v>
      </c>
      <c r="H1416" s="18" t="s">
        <v>98</v>
      </c>
      <c r="I1416" s="18" t="s">
        <v>98</v>
      </c>
      <c r="J1416" s="18" t="s">
        <v>98</v>
      </c>
      <c r="K1416" s="18" t="s">
        <v>98</v>
      </c>
      <c r="L1416" s="18" t="s">
        <v>98</v>
      </c>
      <c r="M1416" s="18" t="s">
        <v>550</v>
      </c>
      <c r="N1416" s="18" t="s">
        <v>254</v>
      </c>
      <c r="O1416" s="18" t="s">
        <v>98</v>
      </c>
      <c r="P1416" s="15" t="str">
        <f t="shared" si="1"/>
        <v>VERIFY</v>
      </c>
      <c r="Q1416" s="15">
        <f t="shared" si="2"/>
        <v>5</v>
      </c>
      <c r="R1416" s="15">
        <f t="shared" si="3"/>
        <v>6</v>
      </c>
      <c r="S1416" s="15">
        <f t="shared" si="4"/>
        <v>3</v>
      </c>
      <c r="T1416" s="15" t="str">
        <f t="shared" si="5"/>
        <v>C-3</v>
      </c>
      <c r="U1416" s="15" t="str">
        <f t="shared" si="6"/>
        <v>T5-M6-H3-FC-3-VERIFY</v>
      </c>
      <c r="V1416" s="15">
        <f t="shared" si="7"/>
        <v>0</v>
      </c>
      <c r="W1416" s="31"/>
      <c r="X1416" s="15" t="str">
        <f t="shared" si="8"/>
        <v>tubingen-germany</v>
      </c>
      <c r="Y1416" s="32" t="str">
        <f t="shared" si="9"/>
        <v>https://steelmanufacturer.in/market-area/electropolished-pipes-manufacturer-in-tubingen-germany/</v>
      </c>
      <c r="Z1416" s="15" t="str">
        <f t="shared" si="10"/>
        <v>Electropolished Pipes Manufacturer in Tubingen</v>
      </c>
      <c r="AA1416" s="15" t="str">
        <f t="shared" si="11"/>
        <v>OK (46)</v>
      </c>
      <c r="AB1416" s="15" t="str">
        <f t="shared" si="12"/>
        <v>EP tube and pipe for VERIFY plants around VERIFY, Tubingen. Made at our Mumbai works to ASTM A270 and ASME BPE SF1-SF4, with 3.1 MTC.</v>
      </c>
      <c r="AC1416" s="15" t="str">
        <f t="shared" si="13"/>
        <v>PENDING RESEARCH</v>
      </c>
      <c r="AD1416" s="15" t="str">
        <f t="shared" si="14"/>
        <v>Electropolished Pipes Manufacturer in Tubingen</v>
      </c>
      <c r="AE1416" s="15" t="str">
        <f t="shared" si="15"/>
        <v>Electropolished Pipes Manufacturer in Tubingen - Our Process &amp; Capability</v>
      </c>
      <c r="AF1416" s="15" t="str">
        <f t="shared" si="16"/>
        <v>Electropolished Pipes Supplier in Tubingen - What We Hold in Stock</v>
      </c>
      <c r="AG1416" s="15" t="str">
        <f t="shared" si="17"/>
        <v>Bulk &amp; Wholesale Electropolished Pipe Rates for Tubingen Buyers</v>
      </c>
      <c r="AH1416" s="15" t="str">
        <f t="shared" si="18"/>
        <v>electropolished pipes manufacturer in Tubingen, electropolished pipes supplier in Tubingen, electropolished pipes wholesaler in Tubingen, electropolished tube manufacturer Tubingen, EP pipe supplier Tubingen, sanitary tube supplier Tubingen, ASME BPE tubing Tubingen, ASTM A270 tube Tubingen, SS 316L electropolished pipe Tubingen</v>
      </c>
      <c r="AI1416" s="15" t="str">
        <f t="shared" si="19"/>
        <v>Electropolished Pipes Manufacturer &amp; Supplier in Tubingen</v>
      </c>
      <c r="AJ1416" s="15" t="str">
        <f t="shared" si="20"/>
        <v>EP-finished SS 304/316L pipes and tubes for VERIFY plants in Tubingen. ASME BPE SF1-SF4, Ra from 0.25 um, EN 10204 3.1 certificate with every lot.</v>
      </c>
      <c r="AK1416" s="15" t="str">
        <f t="shared" si="21"/>
        <v>Electropolished stainless steel pipes supplied by Sakshi Forge to VERIFY plants at VERIFY, Tubingen</v>
      </c>
      <c r="AL1416" s="15" t="str">
        <f t="shared" si="22"/>
        <v>Electropolished SS 316L tube stock for Tubingen - Sakshi Forge</v>
      </c>
      <c r="AM1416" s="15" t="str">
        <f t="shared" si="23"/>
        <v>Home &gt; Market Area &gt; Germany &gt; VERIFY &gt; Tubingen</v>
      </c>
      <c r="AN1416" s="15">
        <f t="shared" si="24"/>
        <v>750</v>
      </c>
      <c r="AO1416" s="15">
        <f t="shared" si="25"/>
        <v>6</v>
      </c>
      <c r="AP1416" s="15">
        <f t="shared" si="26"/>
        <v>6</v>
      </c>
      <c r="AQ1416" s="15">
        <f t="shared" si="27"/>
        <v>24</v>
      </c>
      <c r="AR1416" s="31"/>
      <c r="AS1416" s="31"/>
      <c r="AT1416" s="35" t="s">
        <v>222</v>
      </c>
      <c r="AU1416" s="35"/>
    </row>
    <row r="1417" ht="15.75" customHeight="1">
      <c r="A1417" s="15" t="s">
        <v>6989</v>
      </c>
      <c r="B1417" s="15" t="s">
        <v>243</v>
      </c>
      <c r="C1417" s="15" t="s">
        <v>98</v>
      </c>
      <c r="D1417" s="15" t="s">
        <v>6990</v>
      </c>
      <c r="E1417" s="15" t="s">
        <v>6990</v>
      </c>
      <c r="F1417" s="58" t="s">
        <v>807</v>
      </c>
      <c r="G1417" s="66" t="s">
        <v>98</v>
      </c>
      <c r="H1417" s="18" t="s">
        <v>98</v>
      </c>
      <c r="I1417" s="18" t="s">
        <v>98</v>
      </c>
      <c r="J1417" s="18" t="s">
        <v>98</v>
      </c>
      <c r="K1417" s="18" t="s">
        <v>98</v>
      </c>
      <c r="L1417" s="18" t="s">
        <v>98</v>
      </c>
      <c r="M1417" s="18" t="s">
        <v>550</v>
      </c>
      <c r="N1417" s="18" t="s">
        <v>254</v>
      </c>
      <c r="O1417" s="18" t="s">
        <v>98</v>
      </c>
      <c r="P1417" s="15" t="str">
        <f t="shared" si="1"/>
        <v>VERIFY</v>
      </c>
      <c r="Q1417" s="15">
        <f t="shared" si="2"/>
        <v>6</v>
      </c>
      <c r="R1417" s="15">
        <f t="shared" si="3"/>
        <v>7</v>
      </c>
      <c r="S1417" s="15">
        <f t="shared" si="4"/>
        <v>4</v>
      </c>
      <c r="T1417" s="15" t="str">
        <f t="shared" si="5"/>
        <v>C-4</v>
      </c>
      <c r="U1417" s="15" t="str">
        <f t="shared" si="6"/>
        <v>T6-M7-H4-FC-4-VERIFY</v>
      </c>
      <c r="V1417" s="15">
        <f t="shared" si="7"/>
        <v>0</v>
      </c>
      <c r="W1417" s="31"/>
      <c r="X1417" s="15" t="str">
        <f t="shared" si="8"/>
        <v>weissenfels-germany</v>
      </c>
      <c r="Y1417" s="32" t="str">
        <f t="shared" si="9"/>
        <v>https://steelmanufacturer.in/market-area/electropolished-pipes-manufacturer-in-weissenfels-germany/</v>
      </c>
      <c r="Z1417" s="15" t="str">
        <f t="shared" si="10"/>
        <v>Electropolished Pipes Manufacturer in Weissenfels</v>
      </c>
      <c r="AA1417" s="15" t="str">
        <f t="shared" si="11"/>
        <v>OK (49)</v>
      </c>
      <c r="AB1417" s="15" t="str">
        <f t="shared" si="12"/>
        <v>Electropolished pipes in Weissenfels: 304, 304L, 316 and 316L in SF1-SF4. 24-30 days sea from Nhava Sheva to Hamburg. Mill certified.</v>
      </c>
      <c r="AC1417" s="15" t="str">
        <f t="shared" si="13"/>
        <v>PENDING RESEARCH</v>
      </c>
      <c r="AD1417" s="15" t="str">
        <f t="shared" si="14"/>
        <v>Electropolished Pipes Manufacturer in Weissenfels</v>
      </c>
      <c r="AE1417" s="15" t="str">
        <f t="shared" si="15"/>
        <v>Manufacturing Electropolished SS Tube for Weissenfels: The Standards We Build To</v>
      </c>
      <c r="AF1417" s="15" t="str">
        <f t="shared" si="16"/>
        <v>Electropolished Pipe Supply Into Weissenfels - Certification &amp; Transit</v>
      </c>
      <c r="AG1417" s="15" t="str">
        <f t="shared" si="17"/>
        <v>Electropolished Pipes Wholesaler in Weissenfels - Project Quantities &amp; Terms</v>
      </c>
      <c r="AH1417" s="15" t="str">
        <f t="shared" si="18"/>
        <v>electropolished pipes manufacturer in Weissenfels, electropolished pipes supplier in Weissenfels, electropolished pipes wholesaler in Weissenfels, electropolished tube manufacturer Weissenfels, EP pipe supplier Weissenfels, sanitary tube supplier Weissenfels, ASME BPE tubing Weissenfels, ASTM A270 tube Weissenfels, SS 316L electropolished pipe Weissenfels</v>
      </c>
      <c r="AI1417" s="15" t="str">
        <f t="shared" si="19"/>
        <v>Electropolished Pipes Manufacturer &amp; Supplier in Weissenfels</v>
      </c>
      <c r="AJ1417" s="15" t="str">
        <f t="shared" si="20"/>
        <v>EP-finished SS 304/316L pipes and tubes for VERIFY plants in Weissenfels. ASME BPE SF1-SF4, Ra from 0.25 um, EN 10204 3.1 certificate with every lot.</v>
      </c>
      <c r="AK1417" s="15" t="str">
        <f t="shared" si="21"/>
        <v>Electropolished stainless steel pipes supplied by Sakshi Forge to VERIFY plants at VERIFY, Weissenfels</v>
      </c>
      <c r="AL1417" s="15" t="str">
        <f t="shared" si="22"/>
        <v>Electropolished SS 316L tube stock for Weissenfels - Sakshi Forge</v>
      </c>
      <c r="AM1417" s="15" t="str">
        <f t="shared" si="23"/>
        <v>Home &gt; Market Area &gt; Germany &gt; VERIFY &gt; Weissenfels</v>
      </c>
      <c r="AN1417" s="15">
        <f t="shared" si="24"/>
        <v>750</v>
      </c>
      <c r="AO1417" s="15">
        <f t="shared" si="25"/>
        <v>6</v>
      </c>
      <c r="AP1417" s="15">
        <f t="shared" si="26"/>
        <v>6</v>
      </c>
      <c r="AQ1417" s="15">
        <f t="shared" si="27"/>
        <v>24</v>
      </c>
      <c r="AR1417" s="31"/>
      <c r="AS1417" s="31"/>
      <c r="AT1417" s="35" t="s">
        <v>222</v>
      </c>
      <c r="AU1417" s="35"/>
    </row>
    <row r="1418" ht="15.75" customHeight="1">
      <c r="A1418" s="15" t="s">
        <v>6991</v>
      </c>
      <c r="B1418" s="15" t="s">
        <v>243</v>
      </c>
      <c r="C1418" s="15" t="s">
        <v>98</v>
      </c>
      <c r="D1418" s="15" t="s">
        <v>6992</v>
      </c>
      <c r="E1418" s="15" t="s">
        <v>6992</v>
      </c>
      <c r="F1418" s="58" t="s">
        <v>807</v>
      </c>
      <c r="G1418" s="66" t="s">
        <v>98</v>
      </c>
      <c r="H1418" s="18" t="s">
        <v>98</v>
      </c>
      <c r="I1418" s="18" t="s">
        <v>98</v>
      </c>
      <c r="J1418" s="18" t="s">
        <v>98</v>
      </c>
      <c r="K1418" s="18" t="s">
        <v>98</v>
      </c>
      <c r="L1418" s="18" t="s">
        <v>98</v>
      </c>
      <c r="M1418" s="18" t="s">
        <v>550</v>
      </c>
      <c r="N1418" s="18" t="s">
        <v>254</v>
      </c>
      <c r="O1418" s="18" t="s">
        <v>98</v>
      </c>
      <c r="P1418" s="15" t="str">
        <f t="shared" si="1"/>
        <v>VERIFY</v>
      </c>
      <c r="Q1418" s="15">
        <f t="shared" si="2"/>
        <v>7</v>
      </c>
      <c r="R1418" s="15">
        <f t="shared" si="3"/>
        <v>1</v>
      </c>
      <c r="S1418" s="15">
        <f t="shared" si="4"/>
        <v>5</v>
      </c>
      <c r="T1418" s="15" t="str">
        <f t="shared" si="5"/>
        <v>C-5</v>
      </c>
      <c r="U1418" s="15" t="str">
        <f t="shared" si="6"/>
        <v>T7-M1-H5-FC-5-VERIFY</v>
      </c>
      <c r="V1418" s="15">
        <f t="shared" si="7"/>
        <v>0</v>
      </c>
      <c r="W1418" s="31"/>
      <c r="X1418" s="15" t="str">
        <f t="shared" si="8"/>
        <v>wiesbaden-germany</v>
      </c>
      <c r="Y1418" s="32" t="str">
        <f t="shared" si="9"/>
        <v>https://steelmanufacturer.in/market-area/electropolished-pipes-manufacturer-in-wiesbaden-germany/</v>
      </c>
      <c r="Z1418" s="15" t="str">
        <f t="shared" si="10"/>
        <v>Electropolished Pipes Manufacturer in Wiesbaden</v>
      </c>
      <c r="AA1418" s="15" t="str">
        <f t="shared" si="11"/>
        <v>OK (47)</v>
      </c>
      <c r="AB1418" s="15" t="str">
        <f t="shared" si="12"/>
        <v>EP-finished SS 304/316L pipes &amp; tubes for VERIFY plants in Wiesbaden. ASTM A270, ASME BPE SF1-SF4, EN 10204 3.1 MTC. PMI tested.</v>
      </c>
      <c r="AC1418" s="15" t="str">
        <f t="shared" si="13"/>
        <v>PENDING RESEARCH</v>
      </c>
      <c r="AD1418" s="15" t="str">
        <f t="shared" si="14"/>
        <v>Electropolished Pipes Manufacturer in Wiesbaden</v>
      </c>
      <c r="AE1418" s="15" t="str">
        <f t="shared" si="15"/>
        <v>Electropolished Tube Manufacturing Capability Serving Wiesbaden</v>
      </c>
      <c r="AF1418" s="15" t="str">
        <f t="shared" si="16"/>
        <v>Electropolished Pipes Supplier in Wiesbaden - From Order to Delivery</v>
      </c>
      <c r="AG1418" s="15" t="str">
        <f t="shared" si="17"/>
        <v>Stockist &amp; Wholesale Supply of Electropolished Pipes in Wiesbaden</v>
      </c>
      <c r="AH1418" s="15" t="str">
        <f t="shared" si="18"/>
        <v>electropolished pipes manufacturer in Wiesbaden, electropolished pipes supplier in Wiesbaden, electropolished pipes wholesaler in Wiesbaden, electropolished tube manufacturer Wiesbaden, EP pipe supplier Wiesbaden, sanitary tube supplier Wiesbaden, ASME BPE tubing Wiesbaden, ASTM A270 tube Wiesbaden, SS 316L electropolished pipe Wiesbaden</v>
      </c>
      <c r="AI1418" s="15" t="str">
        <f t="shared" si="19"/>
        <v>Electropolished Pipes Manufacturer &amp; Supplier in Wiesbaden</v>
      </c>
      <c r="AJ1418" s="15" t="str">
        <f t="shared" si="20"/>
        <v>EP-finished SS 304/316L pipes and tubes for VERIFY plants in Wiesbaden. ASME BPE SF1-SF4, Ra from 0.25 um, EN 10204 3.1 certificate with every lot.</v>
      </c>
      <c r="AK1418" s="15" t="str">
        <f t="shared" si="21"/>
        <v>Electropolished stainless steel pipes supplied by Sakshi Forge to VERIFY plants at VERIFY, Wiesbaden</v>
      </c>
      <c r="AL1418" s="15" t="str">
        <f t="shared" si="22"/>
        <v>Electropolished SS 316L tube stock for Wiesbaden - Sakshi Forge</v>
      </c>
      <c r="AM1418" s="15" t="str">
        <f t="shared" si="23"/>
        <v>Home &gt; Market Area &gt; Germany &gt; VERIFY &gt; Wiesbaden</v>
      </c>
      <c r="AN1418" s="15">
        <f t="shared" si="24"/>
        <v>750</v>
      </c>
      <c r="AO1418" s="15">
        <f t="shared" si="25"/>
        <v>6</v>
      </c>
      <c r="AP1418" s="15">
        <f t="shared" si="26"/>
        <v>6</v>
      </c>
      <c r="AQ1418" s="15">
        <f t="shared" si="27"/>
        <v>24</v>
      </c>
      <c r="AR1418" s="31"/>
      <c r="AS1418" s="31"/>
      <c r="AT1418" s="35" t="s">
        <v>222</v>
      </c>
      <c r="AU1418" s="35"/>
    </row>
    <row r="1419" ht="15.75" customHeight="1">
      <c r="A1419" s="15" t="s">
        <v>6993</v>
      </c>
      <c r="B1419" s="15" t="s">
        <v>243</v>
      </c>
      <c r="C1419" s="15" t="s">
        <v>98</v>
      </c>
      <c r="D1419" s="15" t="s">
        <v>6994</v>
      </c>
      <c r="E1419" s="15" t="s">
        <v>6994</v>
      </c>
      <c r="F1419" s="58" t="s">
        <v>807</v>
      </c>
      <c r="G1419" s="66" t="s">
        <v>98</v>
      </c>
      <c r="H1419" s="18" t="s">
        <v>98</v>
      </c>
      <c r="I1419" s="18" t="s">
        <v>98</v>
      </c>
      <c r="J1419" s="18" t="s">
        <v>98</v>
      </c>
      <c r="K1419" s="18" t="s">
        <v>98</v>
      </c>
      <c r="L1419" s="18" t="s">
        <v>98</v>
      </c>
      <c r="M1419" s="18" t="s">
        <v>550</v>
      </c>
      <c r="N1419" s="18" t="s">
        <v>254</v>
      </c>
      <c r="O1419" s="18" t="s">
        <v>98</v>
      </c>
      <c r="P1419" s="15" t="str">
        <f t="shared" si="1"/>
        <v>VERIFY</v>
      </c>
      <c r="Q1419" s="15">
        <f t="shared" si="2"/>
        <v>8</v>
      </c>
      <c r="R1419" s="15">
        <f t="shared" si="3"/>
        <v>2</v>
      </c>
      <c r="S1419" s="15">
        <f t="shared" si="4"/>
        <v>1</v>
      </c>
      <c r="T1419" s="15" t="str">
        <f t="shared" si="5"/>
        <v>C-6</v>
      </c>
      <c r="U1419" s="15" t="str">
        <f t="shared" si="6"/>
        <v>T8-M2-H1-FC-6-VERIFY</v>
      </c>
      <c r="V1419" s="15">
        <f t="shared" si="7"/>
        <v>0</v>
      </c>
      <c r="W1419" s="31"/>
      <c r="X1419" s="15" t="str">
        <f t="shared" si="8"/>
        <v>wilhelmshaven-germany</v>
      </c>
      <c r="Y1419" s="32" t="str">
        <f t="shared" si="9"/>
        <v>https://steelmanufacturer.in/market-area/electropolished-pipes-manufacturer-in-wilhelmshaven-germany/</v>
      </c>
      <c r="Z1419" s="15" t="str">
        <f t="shared" si="10"/>
        <v>Electropolished Pipes Manufacturer in Wilhelmshaven</v>
      </c>
      <c r="AA1419" s="15" t="str">
        <f t="shared" si="11"/>
        <v>OK (51)</v>
      </c>
      <c r="AB1419" s="15" t="str">
        <f t="shared" si="12"/>
        <v>Electropolished tube supply to VERIFY, Wilhelmshaven. Ra from 0.25 um, SF4 finish, mill test certificate with every lot.</v>
      </c>
      <c r="AC1419" s="15" t="str">
        <f t="shared" si="13"/>
        <v>PENDING RESEARCH</v>
      </c>
      <c r="AD1419" s="15" t="str">
        <f t="shared" si="14"/>
        <v>Electropolished Pipes Manufacturer in Wilhelmshaven</v>
      </c>
      <c r="AE1419" s="15" t="str">
        <f t="shared" si="15"/>
        <v>Electropolished Pipe &amp; Tube Manufacturing for Wilhelmshaven - Grades, Finishes &amp; Certification</v>
      </c>
      <c r="AF1419" s="15" t="str">
        <f t="shared" si="16"/>
        <v>Electropolished Pipes Supplier in Wilhelmshaven - Stock Sizes, Lead Time &amp; Delivery</v>
      </c>
      <c r="AG1419" s="15" t="str">
        <f t="shared" si="17"/>
        <v>Electropolished Pipes Wholesaler &amp; Stockist in Wilhelmshaven - Bulk &amp; Project Pricing</v>
      </c>
      <c r="AH1419" s="15" t="str">
        <f t="shared" si="18"/>
        <v>electropolished pipes manufacturer in Wilhelmshaven, electropolished pipes supplier in Wilhelmshaven, electropolished pipes wholesaler in Wilhelmshaven, electropolished tube manufacturer Wilhelmshaven, EP pipe supplier Wilhelmshaven, sanitary tube supplier Wilhelmshaven, ASME BPE tubing Wilhelmshaven, ASTM A270 tube Wilhelmshaven, SS 316L electropolished pipe Wilhelmshaven</v>
      </c>
      <c r="AI1419" s="15" t="str">
        <f t="shared" si="19"/>
        <v>Electropolished Pipes Manufacturer &amp; Supplier in Wilhelmshaven</v>
      </c>
      <c r="AJ1419" s="15" t="str">
        <f t="shared" si="20"/>
        <v>EP-finished SS 304/316L pipes and tubes for VERIFY plants in Wilhelmshaven. ASME BPE SF1-SF4, Ra from 0.25 um, EN 10204 3.1 certificate with every lot.</v>
      </c>
      <c r="AK1419" s="15" t="str">
        <f t="shared" si="21"/>
        <v>Electropolished stainless steel pipes supplied by Sakshi Forge to VERIFY plants at VERIFY, Wilhelmshaven</v>
      </c>
      <c r="AL1419" s="15" t="str">
        <f t="shared" si="22"/>
        <v>Electropolished SS 316L tube stock for Wilhelmshaven - Sakshi Forge</v>
      </c>
      <c r="AM1419" s="15" t="str">
        <f t="shared" si="23"/>
        <v>Home &gt; Market Area &gt; Germany &gt; VERIFY &gt; Wilhelmshaven</v>
      </c>
      <c r="AN1419" s="15">
        <f t="shared" si="24"/>
        <v>750</v>
      </c>
      <c r="AO1419" s="15">
        <f t="shared" si="25"/>
        <v>6</v>
      </c>
      <c r="AP1419" s="15">
        <f t="shared" si="26"/>
        <v>6</v>
      </c>
      <c r="AQ1419" s="15">
        <f t="shared" si="27"/>
        <v>24</v>
      </c>
      <c r="AR1419" s="31"/>
      <c r="AS1419" s="31"/>
      <c r="AT1419" s="35" t="s">
        <v>222</v>
      </c>
      <c r="AU1419" s="35"/>
    </row>
    <row r="1420" ht="15.75" customHeight="1">
      <c r="A1420" s="15" t="s">
        <v>6997</v>
      </c>
      <c r="B1420" s="15" t="s">
        <v>243</v>
      </c>
      <c r="C1420" s="15" t="s">
        <v>98</v>
      </c>
      <c r="D1420" s="15" t="s">
        <v>7000</v>
      </c>
      <c r="E1420" s="15" t="s">
        <v>7000</v>
      </c>
      <c r="F1420" s="58" t="s">
        <v>807</v>
      </c>
      <c r="G1420" s="66" t="s">
        <v>98</v>
      </c>
      <c r="H1420" s="18" t="s">
        <v>98</v>
      </c>
      <c r="I1420" s="18" t="s">
        <v>98</v>
      </c>
      <c r="J1420" s="18" t="s">
        <v>98</v>
      </c>
      <c r="K1420" s="18" t="s">
        <v>98</v>
      </c>
      <c r="L1420" s="18" t="s">
        <v>98</v>
      </c>
      <c r="M1420" s="18" t="s">
        <v>550</v>
      </c>
      <c r="N1420" s="18" t="s">
        <v>254</v>
      </c>
      <c r="O1420" s="18" t="s">
        <v>98</v>
      </c>
      <c r="P1420" s="15" t="str">
        <f t="shared" si="1"/>
        <v>VERIFY</v>
      </c>
      <c r="Q1420" s="15">
        <f t="shared" si="2"/>
        <v>1</v>
      </c>
      <c r="R1420" s="15">
        <f t="shared" si="3"/>
        <v>3</v>
      </c>
      <c r="S1420" s="15">
        <f t="shared" si="4"/>
        <v>2</v>
      </c>
      <c r="T1420" s="15" t="str">
        <f t="shared" si="5"/>
        <v>C-1</v>
      </c>
      <c r="U1420" s="15" t="str">
        <f t="shared" si="6"/>
        <v>T1-M3-H2-FC-1-VERIFY</v>
      </c>
      <c r="V1420" s="15">
        <f t="shared" si="7"/>
        <v>0</v>
      </c>
      <c r="W1420" s="31"/>
      <c r="X1420" s="15" t="str">
        <f t="shared" si="8"/>
        <v>wolfsburg-germany</v>
      </c>
      <c r="Y1420" s="32" t="str">
        <f t="shared" si="9"/>
        <v>https://steelmanufacturer.in/market-area/electropolished-pipes-manufacturer-in-wolfsburg-germany/</v>
      </c>
      <c r="Z1420" s="15" t="str">
        <f t="shared" si="10"/>
        <v>Electropolished Pipes Manufacturer in Wolfsburg | Sakshi Forge</v>
      </c>
      <c r="AA1420" s="15" t="str">
        <f t="shared" si="11"/>
        <v>OK (62)</v>
      </c>
      <c r="AB1420" s="15" t="str">
        <f t="shared" si="12"/>
        <v>EP stainless tube for VERIFY lines in Wolfsburg. 24-30 days sea from Nhava Sheva to Hamburg. ASTM A270 S2, PMI tested, EN 10204 3.1.</v>
      </c>
      <c r="AC1420" s="15" t="str">
        <f t="shared" si="13"/>
        <v>PENDING RESEARCH</v>
      </c>
      <c r="AD1420" s="15" t="str">
        <f t="shared" si="14"/>
        <v>Electropolished Pipes Manufacturer in Wolfsburg</v>
      </c>
      <c r="AE1420" s="15" t="str">
        <f t="shared" si="15"/>
        <v>How We Manufacture Electropolished Tube for Wolfsburg Plants</v>
      </c>
      <c r="AF1420" s="15" t="str">
        <f t="shared" si="16"/>
        <v>Supplying Electropolished Pipes in Wolfsburg: Availability, Sizes &amp; Dispatch</v>
      </c>
      <c r="AG1420" s="15" t="str">
        <f t="shared" si="17"/>
        <v>Wholesale Electropolished Pipe Supply for Wolfsburg Projects</v>
      </c>
      <c r="AH1420" s="15" t="str">
        <f t="shared" si="18"/>
        <v>electropolished pipes manufacturer in Wolfsburg, electropolished pipes supplier in Wolfsburg, electropolished pipes wholesaler in Wolfsburg, electropolished tube manufacturer Wolfsburg, EP pipe supplier Wolfsburg, sanitary tube supplier Wolfsburg, ASME BPE tubing Wolfsburg, ASTM A270 tube Wolfsburg, SS 316L electropolished pipe Wolfsburg</v>
      </c>
      <c r="AI1420" s="15" t="str">
        <f t="shared" si="19"/>
        <v>Electropolished Pipes Manufacturer &amp; Supplier in Wolfsburg</v>
      </c>
      <c r="AJ1420" s="15" t="str">
        <f t="shared" si="20"/>
        <v>EP-finished SS 304/316L pipes and tubes for VERIFY plants in Wolfsburg. ASME BPE SF1-SF4, Ra from 0.25 um, EN 10204 3.1 certificate with every lot.</v>
      </c>
      <c r="AK1420" s="15" t="str">
        <f t="shared" si="21"/>
        <v>Electropolished stainless steel pipes supplied by Sakshi Forge to VERIFY plants at VERIFY, Wolfsburg</v>
      </c>
      <c r="AL1420" s="15" t="str">
        <f t="shared" si="22"/>
        <v>Electropolished SS 316L tube stock for Wolfsburg - Sakshi Forge</v>
      </c>
      <c r="AM1420" s="15" t="str">
        <f t="shared" si="23"/>
        <v>Home &gt; Market Area &gt; Germany &gt; VERIFY &gt; Wolfsburg</v>
      </c>
      <c r="AN1420" s="15">
        <f t="shared" si="24"/>
        <v>750</v>
      </c>
      <c r="AO1420" s="15">
        <f t="shared" si="25"/>
        <v>6</v>
      </c>
      <c r="AP1420" s="15">
        <f t="shared" si="26"/>
        <v>6</v>
      </c>
      <c r="AQ1420" s="15">
        <f t="shared" si="27"/>
        <v>24</v>
      </c>
      <c r="AR1420" s="31"/>
      <c r="AS1420" s="31"/>
      <c r="AT1420" s="35" t="s">
        <v>222</v>
      </c>
      <c r="AU1420" s="35"/>
    </row>
    <row r="1421" ht="15.75" customHeight="1">
      <c r="A1421" s="15" t="s">
        <v>7002</v>
      </c>
      <c r="B1421" s="15" t="s">
        <v>243</v>
      </c>
      <c r="C1421" s="15" t="s">
        <v>98</v>
      </c>
      <c r="D1421" s="15" t="s">
        <v>7003</v>
      </c>
      <c r="E1421" s="15" t="s">
        <v>7003</v>
      </c>
      <c r="F1421" s="58" t="s">
        <v>807</v>
      </c>
      <c r="G1421" s="66" t="s">
        <v>98</v>
      </c>
      <c r="H1421" s="18" t="s">
        <v>98</v>
      </c>
      <c r="I1421" s="18" t="s">
        <v>98</v>
      </c>
      <c r="J1421" s="18" t="s">
        <v>98</v>
      </c>
      <c r="K1421" s="18" t="s">
        <v>98</v>
      </c>
      <c r="L1421" s="18" t="s">
        <v>98</v>
      </c>
      <c r="M1421" s="18" t="s">
        <v>550</v>
      </c>
      <c r="N1421" s="18" t="s">
        <v>254</v>
      </c>
      <c r="O1421" s="18" t="s">
        <v>98</v>
      </c>
      <c r="P1421" s="15" t="str">
        <f t="shared" si="1"/>
        <v>VERIFY</v>
      </c>
      <c r="Q1421" s="15">
        <f t="shared" si="2"/>
        <v>2</v>
      </c>
      <c r="R1421" s="15">
        <f t="shared" si="3"/>
        <v>4</v>
      </c>
      <c r="S1421" s="15">
        <f t="shared" si="4"/>
        <v>3</v>
      </c>
      <c r="T1421" s="15" t="str">
        <f t="shared" si="5"/>
        <v>C-2</v>
      </c>
      <c r="U1421" s="15" t="str">
        <f t="shared" si="6"/>
        <v>T2-M4-H3-FC-2-VERIFY</v>
      </c>
      <c r="V1421" s="15">
        <f t="shared" si="7"/>
        <v>0</v>
      </c>
      <c r="W1421" s="31"/>
      <c r="X1421" s="15" t="str">
        <f t="shared" si="8"/>
        <v>worms-germany</v>
      </c>
      <c r="Y1421" s="32" t="str">
        <f t="shared" si="9"/>
        <v>https://steelmanufacturer.in/market-area/electropolished-pipes-manufacturer-in-worms-germany/</v>
      </c>
      <c r="Z1421" s="15" t="str">
        <f t="shared" si="10"/>
        <v>Electropolished Pipes Manufacturer in Worms</v>
      </c>
      <c r="AA1421" s="15" t="str">
        <f t="shared" si="11"/>
        <v>OK (43)</v>
      </c>
      <c r="AB1421" s="15" t="str">
        <f t="shared" si="12"/>
        <v>Sanitary electropolished pipes in Worms for VERIFY plants. ASME BPE SF1-SF4, orbital-weld ready, 3.1 MTC. Mumbai-made.</v>
      </c>
      <c r="AC1421" s="15" t="str">
        <f t="shared" si="13"/>
        <v>PENDING RESEARCH</v>
      </c>
      <c r="AD1421" s="15" t="str">
        <f t="shared" si="14"/>
        <v>Electropolished Pipes Manufacturer in Worms</v>
      </c>
      <c r="AE1421" s="15" t="str">
        <f t="shared" si="15"/>
        <v>Electropolished Pipes Manufacturer in Worms - Our Process &amp; Capability</v>
      </c>
      <c r="AF1421" s="15" t="str">
        <f t="shared" si="16"/>
        <v>Electropolished Pipes Supplier in Worms - What We Hold in Stock</v>
      </c>
      <c r="AG1421" s="15" t="str">
        <f t="shared" si="17"/>
        <v>Bulk &amp; Wholesale Electropolished Pipe Rates for Worms Buyers</v>
      </c>
      <c r="AH1421" s="15" t="str">
        <f t="shared" si="18"/>
        <v>electropolished pipes manufacturer in Worms, electropolished pipes supplier in Worms, electropolished pipes wholesaler in Worms, electropolished tube manufacturer Worms, EP pipe supplier Worms, sanitary tube supplier Worms, ASME BPE tubing Worms, ASTM A270 tube Worms, SS 316L electropolished pipe Worms</v>
      </c>
      <c r="AI1421" s="15" t="str">
        <f t="shared" si="19"/>
        <v>Electropolished Pipes Manufacturer &amp; Supplier in Worms</v>
      </c>
      <c r="AJ1421" s="15" t="str">
        <f t="shared" si="20"/>
        <v>EP-finished SS 304/316L pipes and tubes for VERIFY plants in Worms. ASME BPE SF1-SF4, Ra from 0.25 um, EN 10204 3.1 certificate with every lot.</v>
      </c>
      <c r="AK1421" s="15" t="str">
        <f t="shared" si="21"/>
        <v>Electropolished stainless steel pipes supplied by Sakshi Forge to VERIFY plants at VERIFY, Worms</v>
      </c>
      <c r="AL1421" s="15" t="str">
        <f t="shared" si="22"/>
        <v>Electropolished SS 316L tube stock for Worms - Sakshi Forge</v>
      </c>
      <c r="AM1421" s="15" t="str">
        <f t="shared" si="23"/>
        <v>Home &gt; Market Area &gt; Germany &gt; VERIFY &gt; Worms</v>
      </c>
      <c r="AN1421" s="15">
        <f t="shared" si="24"/>
        <v>750</v>
      </c>
      <c r="AO1421" s="15">
        <f t="shared" si="25"/>
        <v>6</v>
      </c>
      <c r="AP1421" s="15">
        <f t="shared" si="26"/>
        <v>6</v>
      </c>
      <c r="AQ1421" s="15">
        <f t="shared" si="27"/>
        <v>24</v>
      </c>
      <c r="AR1421" s="31"/>
      <c r="AS1421" s="31"/>
      <c r="AT1421" s="35" t="s">
        <v>222</v>
      </c>
      <c r="AU1421" s="35"/>
    </row>
    <row r="1422" ht="15.75" customHeight="1">
      <c r="A1422" s="15" t="s">
        <v>7004</v>
      </c>
      <c r="B1422" s="15" t="s">
        <v>243</v>
      </c>
      <c r="C1422" s="15" t="s">
        <v>98</v>
      </c>
      <c r="D1422" s="15" t="s">
        <v>7005</v>
      </c>
      <c r="E1422" s="15" t="s">
        <v>7005</v>
      </c>
      <c r="F1422" s="58" t="s">
        <v>807</v>
      </c>
      <c r="G1422" s="66" t="s">
        <v>98</v>
      </c>
      <c r="H1422" s="18" t="s">
        <v>98</v>
      </c>
      <c r="I1422" s="18" t="s">
        <v>98</v>
      </c>
      <c r="J1422" s="18" t="s">
        <v>98</v>
      </c>
      <c r="K1422" s="18" t="s">
        <v>98</v>
      </c>
      <c r="L1422" s="18" t="s">
        <v>98</v>
      </c>
      <c r="M1422" s="18" t="s">
        <v>550</v>
      </c>
      <c r="N1422" s="18" t="s">
        <v>254</v>
      </c>
      <c r="O1422" s="18" t="s">
        <v>98</v>
      </c>
      <c r="P1422" s="15" t="str">
        <f t="shared" si="1"/>
        <v>VERIFY</v>
      </c>
      <c r="Q1422" s="15">
        <f t="shared" si="2"/>
        <v>3</v>
      </c>
      <c r="R1422" s="15">
        <f t="shared" si="3"/>
        <v>5</v>
      </c>
      <c r="S1422" s="15">
        <f t="shared" si="4"/>
        <v>4</v>
      </c>
      <c r="T1422" s="15" t="str">
        <f t="shared" si="5"/>
        <v>C-3</v>
      </c>
      <c r="U1422" s="15" t="str">
        <f t="shared" si="6"/>
        <v>T3-M5-H4-FC-3-VERIFY</v>
      </c>
      <c r="V1422" s="15">
        <f t="shared" si="7"/>
        <v>0</v>
      </c>
      <c r="W1422" s="31"/>
      <c r="X1422" s="15" t="str">
        <f t="shared" si="8"/>
        <v>wurzburg-germany</v>
      </c>
      <c r="Y1422" s="32" t="str">
        <f t="shared" si="9"/>
        <v>https://steelmanufacturer.in/market-area/electropolished-pipes-manufacturer-in-wurzburg-germany/</v>
      </c>
      <c r="Z1422" s="15" t="str">
        <f t="shared" si="10"/>
        <v>Electropolished Pipes Manufacturer in Wurzburg | EP Tube Supplier</v>
      </c>
      <c r="AA1422" s="15" t="str">
        <f t="shared" si="11"/>
        <v>OK (65)</v>
      </c>
      <c r="AB1422" s="15" t="str">
        <f t="shared" si="12"/>
        <v>Manufacturer of electropolished SS 316L tube serving Wurzburg. 24-30 days sea from Nhava Sheva to Hamburg. Ra 0.25-0.5 um, EN 10204 3.1 MTC.</v>
      </c>
      <c r="AC1422" s="15" t="str">
        <f t="shared" si="13"/>
        <v>PENDING RESEARCH</v>
      </c>
      <c r="AD1422" s="15" t="str">
        <f t="shared" si="14"/>
        <v>Electropolished Pipes Manufacturer in Wurzburg</v>
      </c>
      <c r="AE1422" s="15" t="str">
        <f t="shared" si="15"/>
        <v>Manufacturing Electropolished SS Tube for Wurzburg: The Standards We Build To</v>
      </c>
      <c r="AF1422" s="15" t="str">
        <f t="shared" si="16"/>
        <v>Electropolished Pipe Supply Into Wurzburg - Certification &amp; Transit</v>
      </c>
      <c r="AG1422" s="15" t="str">
        <f t="shared" si="17"/>
        <v>Electropolished Pipes Wholesaler in Wurzburg - Project Quantities &amp; Terms</v>
      </c>
      <c r="AH1422" s="15" t="str">
        <f t="shared" si="18"/>
        <v>electropolished pipes manufacturer in Wurzburg, electropolished pipes supplier in Wurzburg, electropolished pipes wholesaler in Wurzburg, electropolished tube manufacturer Wurzburg, EP pipe supplier Wurzburg, sanitary tube supplier Wurzburg, ASME BPE tubing Wurzburg, ASTM A270 tube Wurzburg, SS 316L electropolished pipe Wurzburg</v>
      </c>
      <c r="AI1422" s="15" t="str">
        <f t="shared" si="19"/>
        <v>Electropolished Pipes Manufacturer &amp; Supplier in Wurzburg</v>
      </c>
      <c r="AJ1422" s="15" t="str">
        <f t="shared" si="20"/>
        <v>EP-finished SS 304/316L pipes and tubes for VERIFY plants in Wurzburg. ASME BPE SF1-SF4, Ra from 0.25 um, EN 10204 3.1 certificate with every lot.</v>
      </c>
      <c r="AK1422" s="15" t="str">
        <f t="shared" si="21"/>
        <v>Electropolished stainless steel pipes supplied by Sakshi Forge to VERIFY plants at VERIFY, Wurzburg</v>
      </c>
      <c r="AL1422" s="15" t="str">
        <f t="shared" si="22"/>
        <v>Electropolished SS 316L tube stock for Wurzburg - Sakshi Forge</v>
      </c>
      <c r="AM1422" s="15" t="str">
        <f t="shared" si="23"/>
        <v>Home &gt; Market Area &gt; Germany &gt; VERIFY &gt; Wurzburg</v>
      </c>
      <c r="AN1422" s="15">
        <f t="shared" si="24"/>
        <v>750</v>
      </c>
      <c r="AO1422" s="15">
        <f t="shared" si="25"/>
        <v>6</v>
      </c>
      <c r="AP1422" s="15">
        <f t="shared" si="26"/>
        <v>6</v>
      </c>
      <c r="AQ1422" s="15">
        <f t="shared" si="27"/>
        <v>24</v>
      </c>
      <c r="AR1422" s="31"/>
      <c r="AS1422" s="31"/>
      <c r="AT1422" s="35" t="s">
        <v>222</v>
      </c>
      <c r="AU1422" s="35"/>
    </row>
    <row r="1423" ht="15.75" customHeight="1">
      <c r="A1423" s="15" t="s">
        <v>7006</v>
      </c>
      <c r="B1423" s="15" t="s">
        <v>243</v>
      </c>
      <c r="C1423" s="15" t="s">
        <v>98</v>
      </c>
      <c r="D1423" s="15" t="s">
        <v>7007</v>
      </c>
      <c r="E1423" s="15" t="s">
        <v>7007</v>
      </c>
      <c r="F1423" s="58" t="s">
        <v>807</v>
      </c>
      <c r="G1423" s="66" t="s">
        <v>98</v>
      </c>
      <c r="H1423" s="18" t="s">
        <v>98</v>
      </c>
      <c r="I1423" s="18" t="s">
        <v>98</v>
      </c>
      <c r="J1423" s="18" t="s">
        <v>98</v>
      </c>
      <c r="K1423" s="18" t="s">
        <v>98</v>
      </c>
      <c r="L1423" s="18" t="s">
        <v>98</v>
      </c>
      <c r="M1423" s="18" t="s">
        <v>550</v>
      </c>
      <c r="N1423" s="18" t="s">
        <v>254</v>
      </c>
      <c r="O1423" s="18" t="s">
        <v>98</v>
      </c>
      <c r="P1423" s="15" t="str">
        <f t="shared" si="1"/>
        <v>VERIFY</v>
      </c>
      <c r="Q1423" s="15">
        <f t="shared" si="2"/>
        <v>4</v>
      </c>
      <c r="R1423" s="15">
        <f t="shared" si="3"/>
        <v>6</v>
      </c>
      <c r="S1423" s="15">
        <f t="shared" si="4"/>
        <v>5</v>
      </c>
      <c r="T1423" s="15" t="str">
        <f t="shared" si="5"/>
        <v>C-4</v>
      </c>
      <c r="U1423" s="15" t="str">
        <f t="shared" si="6"/>
        <v>T4-M6-H5-FC-4-VERIFY</v>
      </c>
      <c r="V1423" s="15">
        <f t="shared" si="7"/>
        <v>0</v>
      </c>
      <c r="W1423" s="31"/>
      <c r="X1423" s="15" t="str">
        <f t="shared" si="8"/>
        <v>zwickau-germany</v>
      </c>
      <c r="Y1423" s="32" t="str">
        <f t="shared" si="9"/>
        <v>https://steelmanufacturer.in/market-area/electropolished-pipes-manufacturer-in-zwickau-germany/</v>
      </c>
      <c r="Z1423" s="15" t="str">
        <f t="shared" si="10"/>
        <v>Electropolished Pipes Manufacturer in Zwickau</v>
      </c>
      <c r="AA1423" s="15" t="str">
        <f t="shared" si="11"/>
        <v>OK (45)</v>
      </c>
      <c r="AB1423" s="15" t="str">
        <f t="shared" si="12"/>
        <v>EP tube and pipe for VERIFY plants around VERIFY, Zwickau. Made at our Mumbai works to ASTM A270 and ASME BPE SF1-SF4, with 3.1 MTC.</v>
      </c>
      <c r="AC1423" s="15" t="str">
        <f t="shared" si="13"/>
        <v>PENDING RESEARCH</v>
      </c>
      <c r="AD1423" s="15" t="str">
        <f t="shared" si="14"/>
        <v>Electropolished Pipes Manufacturer in Zwickau</v>
      </c>
      <c r="AE1423" s="15" t="str">
        <f t="shared" si="15"/>
        <v>Electropolished Tube Manufacturing Capability Serving Zwickau</v>
      </c>
      <c r="AF1423" s="15" t="str">
        <f t="shared" si="16"/>
        <v>Electropolished Pipes Supplier in Zwickau - From Order to Delivery</v>
      </c>
      <c r="AG1423" s="15" t="str">
        <f t="shared" si="17"/>
        <v>Stockist &amp; Wholesale Supply of Electropolished Pipes in Zwickau</v>
      </c>
      <c r="AH1423" s="15" t="str">
        <f t="shared" si="18"/>
        <v>electropolished pipes manufacturer in Zwickau, electropolished pipes supplier in Zwickau, electropolished pipes wholesaler in Zwickau, electropolished tube manufacturer Zwickau, EP pipe supplier Zwickau, sanitary tube supplier Zwickau, ASME BPE tubing Zwickau, ASTM A270 tube Zwickau, SS 316L electropolished pipe Zwickau</v>
      </c>
      <c r="AI1423" s="15" t="str">
        <f t="shared" si="19"/>
        <v>Electropolished Pipes Manufacturer &amp; Supplier in Zwickau</v>
      </c>
      <c r="AJ1423" s="15" t="str">
        <f t="shared" si="20"/>
        <v>EP-finished SS 304/316L pipes and tubes for VERIFY plants in Zwickau. ASME BPE SF1-SF4, Ra from 0.25 um, EN 10204 3.1 certificate with every lot.</v>
      </c>
      <c r="AK1423" s="15" t="str">
        <f t="shared" si="21"/>
        <v>Electropolished stainless steel pipes supplied by Sakshi Forge to VERIFY plants at VERIFY, Zwickau</v>
      </c>
      <c r="AL1423" s="15" t="str">
        <f t="shared" si="22"/>
        <v>Electropolished SS 316L tube stock for Zwickau - Sakshi Forge</v>
      </c>
      <c r="AM1423" s="15" t="str">
        <f t="shared" si="23"/>
        <v>Home &gt; Market Area &gt; Germany &gt; VERIFY &gt; Zwickau</v>
      </c>
      <c r="AN1423" s="15">
        <f t="shared" si="24"/>
        <v>750</v>
      </c>
      <c r="AO1423" s="15">
        <f t="shared" si="25"/>
        <v>6</v>
      </c>
      <c r="AP1423" s="15">
        <f t="shared" si="26"/>
        <v>6</v>
      </c>
      <c r="AQ1423" s="15">
        <f t="shared" si="27"/>
        <v>24</v>
      </c>
      <c r="AR1423" s="31"/>
      <c r="AS1423" s="31"/>
      <c r="AT1423" s="35" t="s">
        <v>222</v>
      </c>
      <c r="AU1423" s="35"/>
    </row>
    <row r="1424" ht="15.75" customHeight="1">
      <c r="A1424" s="15" t="s">
        <v>7008</v>
      </c>
      <c r="B1424" s="15" t="s">
        <v>445</v>
      </c>
      <c r="C1424" s="15" t="s">
        <v>98</v>
      </c>
      <c r="D1424" s="15" t="s">
        <v>7009</v>
      </c>
      <c r="E1424" s="15" t="s">
        <v>7009</v>
      </c>
      <c r="F1424" s="58" t="s">
        <v>807</v>
      </c>
      <c r="G1424" s="66" t="s">
        <v>98</v>
      </c>
      <c r="H1424" s="18" t="s">
        <v>98</v>
      </c>
      <c r="I1424" s="18" t="s">
        <v>98</v>
      </c>
      <c r="J1424" s="18" t="s">
        <v>98</v>
      </c>
      <c r="K1424" s="18" t="s">
        <v>98</v>
      </c>
      <c r="L1424" s="18" t="s">
        <v>98</v>
      </c>
      <c r="M1424" s="18" t="s">
        <v>643</v>
      </c>
      <c r="N1424" s="18" t="s">
        <v>453</v>
      </c>
      <c r="O1424" s="18" t="s">
        <v>98</v>
      </c>
      <c r="P1424" s="15" t="str">
        <f t="shared" si="1"/>
        <v>VERIFY</v>
      </c>
      <c r="Q1424" s="15">
        <f t="shared" si="2"/>
        <v>5</v>
      </c>
      <c r="R1424" s="15">
        <f t="shared" si="3"/>
        <v>7</v>
      </c>
      <c r="S1424" s="15">
        <f t="shared" si="4"/>
        <v>1</v>
      </c>
      <c r="T1424" s="15" t="str">
        <f t="shared" si="5"/>
        <v>C-5</v>
      </c>
      <c r="U1424" s="15" t="str">
        <f t="shared" si="6"/>
        <v>T5-M7-H1-FC-5-VERIFY</v>
      </c>
      <c r="V1424" s="15">
        <f t="shared" si="7"/>
        <v>0</v>
      </c>
      <c r="W1424" s="31"/>
      <c r="X1424" s="15" t="str">
        <f t="shared" si="8"/>
        <v>ambon-indonesia</v>
      </c>
      <c r="Y1424" s="32" t="str">
        <f t="shared" si="9"/>
        <v>https://steelmanufacturer.in/market-area/electropolished-pipes-manufacturer-in-ambon-indonesia/</v>
      </c>
      <c r="Z1424" s="15" t="str">
        <f t="shared" si="10"/>
        <v>Electropolished Pipes Manufacturer in Ambon</v>
      </c>
      <c r="AA1424" s="15" t="str">
        <f t="shared" si="11"/>
        <v>OK (43)</v>
      </c>
      <c r="AB1424" s="15" t="str">
        <f t="shared" si="12"/>
        <v>Electropolished pipes in Ambon: 304, 304L, 316 and 316L in SF1-SF4. 10-14 days sea from Nhava Sheva to Tanjung Priok. Mill certified.</v>
      </c>
      <c r="AC1424" s="15" t="str">
        <f t="shared" si="13"/>
        <v>PENDING RESEARCH</v>
      </c>
      <c r="AD1424" s="15" t="str">
        <f t="shared" si="14"/>
        <v>Electropolished Pipes Manufacturer in Ambon</v>
      </c>
      <c r="AE1424" s="15" t="str">
        <f t="shared" si="15"/>
        <v>Electropolished Pipe &amp; Tube Manufacturing for Ambon - Grades, Finishes &amp; Certification</v>
      </c>
      <c r="AF1424" s="15" t="str">
        <f t="shared" si="16"/>
        <v>Electropolished Pipes Supplier in Ambon - Stock Sizes, Lead Time &amp; Delivery</v>
      </c>
      <c r="AG1424" s="15" t="str">
        <f t="shared" si="17"/>
        <v>Electropolished Pipes Wholesaler &amp; Stockist in Ambon - Bulk &amp; Project Pricing</v>
      </c>
      <c r="AH1424" s="15" t="str">
        <f t="shared" si="18"/>
        <v>electropolished pipes manufacturer in Ambon, electropolished pipes supplier in Ambon, electropolished pipes wholesaler in Ambon, electropolished tube manufacturer Ambon, EP pipe supplier Ambon, sanitary tube supplier Ambon, ASME BPE tubing Ambon, ASTM A270 tube Ambon, SS 316L electropolished pipe Ambon</v>
      </c>
      <c r="AI1424" s="15" t="str">
        <f t="shared" si="19"/>
        <v>Electropolished Pipes Manufacturer &amp; Supplier in Ambon</v>
      </c>
      <c r="AJ1424" s="15" t="str">
        <f t="shared" si="20"/>
        <v>EP-finished SS 304/316L pipes and tubes for VERIFY plants in Ambon. ASME BPE SF1-SF4, Ra from 0.25 um, EN 10204 3.1 certificate with every lot.</v>
      </c>
      <c r="AK1424" s="15" t="str">
        <f t="shared" si="21"/>
        <v>Electropolished stainless steel pipes supplied by Sakshi Forge to VERIFY plants at VERIFY, Ambon</v>
      </c>
      <c r="AL1424" s="15" t="str">
        <f t="shared" si="22"/>
        <v>Electropolished SS 316L tube stock for Ambon - Sakshi Forge</v>
      </c>
      <c r="AM1424" s="15" t="str">
        <f t="shared" si="23"/>
        <v>Home &gt; Market Area &gt; Indonesia &gt; VERIFY &gt; Ambon</v>
      </c>
      <c r="AN1424" s="15">
        <f t="shared" si="24"/>
        <v>750</v>
      </c>
      <c r="AO1424" s="15">
        <f t="shared" si="25"/>
        <v>6</v>
      </c>
      <c r="AP1424" s="15">
        <f t="shared" si="26"/>
        <v>6</v>
      </c>
      <c r="AQ1424" s="15">
        <f t="shared" si="27"/>
        <v>24</v>
      </c>
      <c r="AR1424" s="31"/>
      <c r="AS1424" s="31"/>
      <c r="AT1424" s="35" t="s">
        <v>222</v>
      </c>
      <c r="AU1424" s="35"/>
    </row>
    <row r="1425" ht="15.75" customHeight="1">
      <c r="A1425" s="15" t="s">
        <v>7011</v>
      </c>
      <c r="B1425" s="15" t="s">
        <v>445</v>
      </c>
      <c r="C1425" s="15" t="s">
        <v>98</v>
      </c>
      <c r="D1425" s="15" t="s">
        <v>7012</v>
      </c>
      <c r="E1425" s="15" t="s">
        <v>7012</v>
      </c>
      <c r="F1425" s="58" t="s">
        <v>807</v>
      </c>
      <c r="G1425" s="66" t="s">
        <v>98</v>
      </c>
      <c r="H1425" s="18" t="s">
        <v>98</v>
      </c>
      <c r="I1425" s="18" t="s">
        <v>98</v>
      </c>
      <c r="J1425" s="18" t="s">
        <v>98</v>
      </c>
      <c r="K1425" s="18" t="s">
        <v>98</v>
      </c>
      <c r="L1425" s="18" t="s">
        <v>98</v>
      </c>
      <c r="M1425" s="18" t="s">
        <v>643</v>
      </c>
      <c r="N1425" s="18" t="s">
        <v>453</v>
      </c>
      <c r="O1425" s="18" t="s">
        <v>98</v>
      </c>
      <c r="P1425" s="15" t="str">
        <f t="shared" si="1"/>
        <v>VERIFY</v>
      </c>
      <c r="Q1425" s="15">
        <f t="shared" si="2"/>
        <v>6</v>
      </c>
      <c r="R1425" s="15">
        <f t="shared" si="3"/>
        <v>1</v>
      </c>
      <c r="S1425" s="15">
        <f t="shared" si="4"/>
        <v>2</v>
      </c>
      <c r="T1425" s="15" t="str">
        <f t="shared" si="5"/>
        <v>C-6</v>
      </c>
      <c r="U1425" s="15" t="str">
        <f t="shared" si="6"/>
        <v>T6-M1-H2-FC-6-VERIFY</v>
      </c>
      <c r="V1425" s="15">
        <f t="shared" si="7"/>
        <v>0</v>
      </c>
      <c r="W1425" s="31"/>
      <c r="X1425" s="15" t="str">
        <f t="shared" si="8"/>
        <v>banda-aceh-indonesia</v>
      </c>
      <c r="Y1425" s="32" t="str">
        <f t="shared" si="9"/>
        <v>https://steelmanufacturer.in/market-area/electropolished-pipes-manufacturer-in-banda-aceh-indonesia/</v>
      </c>
      <c r="Z1425" s="15" t="str">
        <f t="shared" si="10"/>
        <v>Electropolished Pipes Manufacturer in Banda Aceh</v>
      </c>
      <c r="AA1425" s="15" t="str">
        <f t="shared" si="11"/>
        <v>OK (48)</v>
      </c>
      <c r="AB1425" s="15" t="str">
        <f t="shared" si="12"/>
        <v>EP-finished SS 304/316L pipes &amp; tubes for VERIFY plants in Banda Aceh. ASTM A270, ASME BPE SF1-SF4, EN 10204 3.1 MTC. PMI tested.</v>
      </c>
      <c r="AC1425" s="15" t="str">
        <f t="shared" si="13"/>
        <v>PENDING RESEARCH</v>
      </c>
      <c r="AD1425" s="15" t="str">
        <f t="shared" si="14"/>
        <v>Electropolished Pipes Manufacturer in Banda Aceh</v>
      </c>
      <c r="AE1425" s="15" t="str">
        <f t="shared" si="15"/>
        <v>How We Manufacture Electropolished Tube for Banda Aceh Plants</v>
      </c>
      <c r="AF1425" s="15" t="str">
        <f t="shared" si="16"/>
        <v>Supplying Electropolished Pipes in Banda Aceh: Availability, Sizes &amp; Dispatch</v>
      </c>
      <c r="AG1425" s="15" t="str">
        <f t="shared" si="17"/>
        <v>Wholesale Electropolished Pipe Supply for Banda Aceh Projects</v>
      </c>
      <c r="AH1425" s="15" t="str">
        <f t="shared" si="18"/>
        <v>electropolished pipes manufacturer in Banda Aceh, electropolished pipes supplier in Banda Aceh, electropolished pipes wholesaler in Banda Aceh, electropolished tube manufacturer Banda Aceh, EP pipe supplier Banda Aceh, sanitary tube supplier Banda Aceh, ASME BPE tubing Banda Aceh, ASTM A270 tube Banda Aceh, SS 316L electropolished pipe Banda Aceh</v>
      </c>
      <c r="AI1425" s="15" t="str">
        <f t="shared" si="19"/>
        <v>Electropolished Pipes Manufacturer &amp; Supplier in Banda Aceh</v>
      </c>
      <c r="AJ1425" s="15" t="str">
        <f t="shared" si="20"/>
        <v>EP-finished SS 304/316L pipes and tubes for VERIFY plants in Banda Aceh. ASME BPE SF1-SF4, Ra from 0.25 um, EN 10204 3.1 certificate with every lot.</v>
      </c>
      <c r="AK1425" s="15" t="str">
        <f t="shared" si="21"/>
        <v>Electropolished stainless steel pipes supplied by Sakshi Forge to VERIFY plants at VERIFY, Banda Aceh</v>
      </c>
      <c r="AL1425" s="15" t="str">
        <f t="shared" si="22"/>
        <v>Electropolished SS 316L tube stock for Banda Aceh - Sakshi Forge</v>
      </c>
      <c r="AM1425" s="15" t="str">
        <f t="shared" si="23"/>
        <v>Home &gt; Market Area &gt; Indonesia &gt; VERIFY &gt; Banda Aceh</v>
      </c>
      <c r="AN1425" s="15">
        <f t="shared" si="24"/>
        <v>750</v>
      </c>
      <c r="AO1425" s="15">
        <f t="shared" si="25"/>
        <v>6</v>
      </c>
      <c r="AP1425" s="15">
        <f t="shared" si="26"/>
        <v>6</v>
      </c>
      <c r="AQ1425" s="15">
        <f t="shared" si="27"/>
        <v>24</v>
      </c>
      <c r="AR1425" s="31"/>
      <c r="AS1425" s="31"/>
      <c r="AT1425" s="35" t="s">
        <v>222</v>
      </c>
      <c r="AU1425" s="35"/>
    </row>
    <row r="1426" ht="15.75" customHeight="1">
      <c r="A1426" s="15" t="s">
        <v>7013</v>
      </c>
      <c r="B1426" s="15" t="s">
        <v>445</v>
      </c>
      <c r="C1426" s="15" t="s">
        <v>98</v>
      </c>
      <c r="D1426" s="15" t="s">
        <v>7014</v>
      </c>
      <c r="E1426" s="15" t="s">
        <v>7014</v>
      </c>
      <c r="F1426" s="58" t="s">
        <v>807</v>
      </c>
      <c r="G1426" s="66" t="s">
        <v>98</v>
      </c>
      <c r="H1426" s="18" t="s">
        <v>98</v>
      </c>
      <c r="I1426" s="18" t="s">
        <v>98</v>
      </c>
      <c r="J1426" s="18" t="s">
        <v>98</v>
      </c>
      <c r="K1426" s="18" t="s">
        <v>98</v>
      </c>
      <c r="L1426" s="18" t="s">
        <v>98</v>
      </c>
      <c r="M1426" s="18" t="s">
        <v>643</v>
      </c>
      <c r="N1426" s="18" t="s">
        <v>453</v>
      </c>
      <c r="O1426" s="18" t="s">
        <v>98</v>
      </c>
      <c r="P1426" s="15" t="str">
        <f t="shared" si="1"/>
        <v>VERIFY</v>
      </c>
      <c r="Q1426" s="15">
        <f t="shared" si="2"/>
        <v>7</v>
      </c>
      <c r="R1426" s="15">
        <f t="shared" si="3"/>
        <v>2</v>
      </c>
      <c r="S1426" s="15">
        <f t="shared" si="4"/>
        <v>3</v>
      </c>
      <c r="T1426" s="15" t="str">
        <f t="shared" si="5"/>
        <v>C-1</v>
      </c>
      <c r="U1426" s="15" t="str">
        <f t="shared" si="6"/>
        <v>T7-M2-H3-FC-1-VERIFY</v>
      </c>
      <c r="V1426" s="15">
        <f t="shared" si="7"/>
        <v>0</v>
      </c>
      <c r="W1426" s="31"/>
      <c r="X1426" s="15" t="str">
        <f t="shared" si="8"/>
        <v>banjarmasin-indonesia</v>
      </c>
      <c r="Y1426" s="32" t="str">
        <f t="shared" si="9"/>
        <v>https://steelmanufacturer.in/market-area/electropolished-pipes-manufacturer-in-banjarmasin-indonesia/</v>
      </c>
      <c r="Z1426" s="15" t="str">
        <f t="shared" si="10"/>
        <v>Electropolished Pipes Manufacturer in Banjarmasin</v>
      </c>
      <c r="AA1426" s="15" t="str">
        <f t="shared" si="11"/>
        <v>OK (49)</v>
      </c>
      <c r="AB1426" s="15" t="str">
        <f t="shared" si="12"/>
        <v>Electropolished tube supply to VERIFY, Banjarmasin. Ra from 0.25 um, SF4 finish, mill test certificate with every lot.</v>
      </c>
      <c r="AC1426" s="15" t="str">
        <f t="shared" si="13"/>
        <v>PENDING RESEARCH</v>
      </c>
      <c r="AD1426" s="15" t="str">
        <f t="shared" si="14"/>
        <v>Electropolished Pipes Manufacturer in Banjarmasin</v>
      </c>
      <c r="AE1426" s="15" t="str">
        <f t="shared" si="15"/>
        <v>Electropolished Pipes Manufacturer in Banjarmasin - Our Process &amp; Capability</v>
      </c>
      <c r="AF1426" s="15" t="str">
        <f t="shared" si="16"/>
        <v>Electropolished Pipes Supplier in Banjarmasin - What We Hold in Stock</v>
      </c>
      <c r="AG1426" s="15" t="str">
        <f t="shared" si="17"/>
        <v>Bulk &amp; Wholesale Electropolished Pipe Rates for Banjarmasin Buyers</v>
      </c>
      <c r="AH1426" s="15" t="str">
        <f t="shared" si="18"/>
        <v>electropolished pipes manufacturer in Banjarmasin, electropolished pipes supplier in Banjarmasin, electropolished pipes wholesaler in Banjarmasin, electropolished tube manufacturer Banjarmasin, EP pipe supplier Banjarmasin, sanitary tube supplier Banjarmasin, ASME BPE tubing Banjarmasin, ASTM A270 tube Banjarmasin, SS 316L electropolished pipe Banjarmasin</v>
      </c>
      <c r="AI1426" s="15" t="str">
        <f t="shared" si="19"/>
        <v>Electropolished Pipes Manufacturer &amp; Supplier in Banjarmasin</v>
      </c>
      <c r="AJ1426" s="15" t="str">
        <f t="shared" si="20"/>
        <v>EP-finished SS 304/316L pipes and tubes for VERIFY plants in Banjarmasin. ASME BPE SF1-SF4, Ra from 0.25 um, EN 10204 3.1 certificate with every lot.</v>
      </c>
      <c r="AK1426" s="15" t="str">
        <f t="shared" si="21"/>
        <v>Electropolished stainless steel pipes supplied by Sakshi Forge to VERIFY plants at VERIFY, Banjarmasin</v>
      </c>
      <c r="AL1426" s="15" t="str">
        <f t="shared" si="22"/>
        <v>Electropolished SS 316L tube stock for Banjarmasin - Sakshi Forge</v>
      </c>
      <c r="AM1426" s="15" t="str">
        <f t="shared" si="23"/>
        <v>Home &gt; Market Area &gt; Indonesia &gt; VERIFY &gt; Banjarmasin</v>
      </c>
      <c r="AN1426" s="15">
        <f t="shared" si="24"/>
        <v>750</v>
      </c>
      <c r="AO1426" s="15">
        <f t="shared" si="25"/>
        <v>6</v>
      </c>
      <c r="AP1426" s="15">
        <f t="shared" si="26"/>
        <v>6</v>
      </c>
      <c r="AQ1426" s="15">
        <f t="shared" si="27"/>
        <v>24</v>
      </c>
      <c r="AR1426" s="31"/>
      <c r="AS1426" s="31"/>
      <c r="AT1426" s="35" t="s">
        <v>222</v>
      </c>
      <c r="AU1426" s="35"/>
    </row>
    <row r="1427" ht="15.75" customHeight="1">
      <c r="A1427" s="15" t="s">
        <v>7015</v>
      </c>
      <c r="B1427" s="15" t="s">
        <v>445</v>
      </c>
      <c r="C1427" s="15" t="s">
        <v>98</v>
      </c>
      <c r="D1427" s="15" t="s">
        <v>7016</v>
      </c>
      <c r="E1427" s="15" t="s">
        <v>7016</v>
      </c>
      <c r="F1427" s="58" t="s">
        <v>807</v>
      </c>
      <c r="G1427" s="66" t="s">
        <v>98</v>
      </c>
      <c r="H1427" s="18" t="s">
        <v>98</v>
      </c>
      <c r="I1427" s="18" t="s">
        <v>98</v>
      </c>
      <c r="J1427" s="18" t="s">
        <v>98</v>
      </c>
      <c r="K1427" s="18" t="s">
        <v>98</v>
      </c>
      <c r="L1427" s="18" t="s">
        <v>98</v>
      </c>
      <c r="M1427" s="18" t="s">
        <v>643</v>
      </c>
      <c r="N1427" s="18" t="s">
        <v>453</v>
      </c>
      <c r="O1427" s="18" t="s">
        <v>98</v>
      </c>
      <c r="P1427" s="15" t="str">
        <f t="shared" si="1"/>
        <v>VERIFY</v>
      </c>
      <c r="Q1427" s="15">
        <f t="shared" si="2"/>
        <v>8</v>
      </c>
      <c r="R1427" s="15">
        <f t="shared" si="3"/>
        <v>3</v>
      </c>
      <c r="S1427" s="15">
        <f t="shared" si="4"/>
        <v>4</v>
      </c>
      <c r="T1427" s="15" t="str">
        <f t="shared" si="5"/>
        <v>C-2</v>
      </c>
      <c r="U1427" s="15" t="str">
        <f t="shared" si="6"/>
        <v>T8-M3-H4-FC-2-VERIFY</v>
      </c>
      <c r="V1427" s="15">
        <f t="shared" si="7"/>
        <v>0</v>
      </c>
      <c r="W1427" s="31"/>
      <c r="X1427" s="15" t="str">
        <f t="shared" si="8"/>
        <v>banyuwangi-indonesia</v>
      </c>
      <c r="Y1427" s="32" t="str">
        <f t="shared" si="9"/>
        <v>https://steelmanufacturer.in/market-area/electropolished-pipes-manufacturer-in-banyuwangi-indonesia/</v>
      </c>
      <c r="Z1427" s="15" t="str">
        <f t="shared" si="10"/>
        <v>Electropolished Pipes Manufacturer in Banyuwangi</v>
      </c>
      <c r="AA1427" s="15" t="str">
        <f t="shared" si="11"/>
        <v>OK (48)</v>
      </c>
      <c r="AB1427" s="15" t="str">
        <f t="shared" si="12"/>
        <v>EP stainless tube for VERIFY lines in Banyuwangi. 10-14 days sea from Nhava Sheva to Tanjung Priok. ASTM A270 S2, PMI tested, EN 10204 3.1.</v>
      </c>
      <c r="AC1427" s="15" t="str">
        <f t="shared" si="13"/>
        <v>PENDING RESEARCH</v>
      </c>
      <c r="AD1427" s="15" t="str">
        <f t="shared" si="14"/>
        <v>Electropolished Pipes Manufacturer in Banyuwangi</v>
      </c>
      <c r="AE1427" s="15" t="str">
        <f t="shared" si="15"/>
        <v>Manufacturing Electropolished SS Tube for Banyuwangi: The Standards We Build To</v>
      </c>
      <c r="AF1427" s="15" t="str">
        <f t="shared" si="16"/>
        <v>Electropolished Pipe Supply Into Banyuwangi - Certification &amp; Transit</v>
      </c>
      <c r="AG1427" s="15" t="str">
        <f t="shared" si="17"/>
        <v>Electropolished Pipes Wholesaler in Banyuwangi - Project Quantities &amp; Terms</v>
      </c>
      <c r="AH1427" s="15" t="str">
        <f t="shared" si="18"/>
        <v>electropolished pipes manufacturer in Banyuwangi, electropolished pipes supplier in Banyuwangi, electropolished pipes wholesaler in Banyuwangi, electropolished tube manufacturer Banyuwangi, EP pipe supplier Banyuwangi, sanitary tube supplier Banyuwangi, ASME BPE tubing Banyuwangi, ASTM A270 tube Banyuwangi, SS 316L electropolished pipe Banyuwangi</v>
      </c>
      <c r="AI1427" s="15" t="str">
        <f t="shared" si="19"/>
        <v>Electropolished Pipes Manufacturer &amp; Supplier in Banyuwangi</v>
      </c>
      <c r="AJ1427" s="15" t="str">
        <f t="shared" si="20"/>
        <v>EP-finished SS 304/316L pipes and tubes for VERIFY plants in Banyuwangi. ASME BPE SF1-SF4, Ra from 0.25 um, EN 10204 3.1 certificate with every lot.</v>
      </c>
      <c r="AK1427" s="15" t="str">
        <f t="shared" si="21"/>
        <v>Electropolished stainless steel pipes supplied by Sakshi Forge to VERIFY plants at VERIFY, Banyuwangi</v>
      </c>
      <c r="AL1427" s="15" t="str">
        <f t="shared" si="22"/>
        <v>Electropolished SS 316L tube stock for Banyuwangi - Sakshi Forge</v>
      </c>
      <c r="AM1427" s="15" t="str">
        <f t="shared" si="23"/>
        <v>Home &gt; Market Area &gt; Indonesia &gt; VERIFY &gt; Banyuwangi</v>
      </c>
      <c r="AN1427" s="15">
        <f t="shared" si="24"/>
        <v>750</v>
      </c>
      <c r="AO1427" s="15">
        <f t="shared" si="25"/>
        <v>6</v>
      </c>
      <c r="AP1427" s="15">
        <f t="shared" si="26"/>
        <v>6</v>
      </c>
      <c r="AQ1427" s="15">
        <f t="shared" si="27"/>
        <v>24</v>
      </c>
      <c r="AR1427" s="31"/>
      <c r="AS1427" s="31"/>
      <c r="AT1427" s="35" t="s">
        <v>222</v>
      </c>
      <c r="AU1427" s="35"/>
    </row>
    <row r="1428" ht="15.75" customHeight="1">
      <c r="A1428" s="15" t="s">
        <v>7017</v>
      </c>
      <c r="B1428" s="15" t="s">
        <v>445</v>
      </c>
      <c r="C1428" s="15" t="s">
        <v>98</v>
      </c>
      <c r="D1428" s="15" t="s">
        <v>7018</v>
      </c>
      <c r="E1428" s="15" t="s">
        <v>7018</v>
      </c>
      <c r="F1428" s="58" t="s">
        <v>807</v>
      </c>
      <c r="G1428" s="66" t="s">
        <v>98</v>
      </c>
      <c r="H1428" s="18" t="s">
        <v>98</v>
      </c>
      <c r="I1428" s="18" t="s">
        <v>98</v>
      </c>
      <c r="J1428" s="18" t="s">
        <v>98</v>
      </c>
      <c r="K1428" s="18" t="s">
        <v>98</v>
      </c>
      <c r="L1428" s="18" t="s">
        <v>98</v>
      </c>
      <c r="M1428" s="18" t="s">
        <v>643</v>
      </c>
      <c r="N1428" s="18" t="s">
        <v>453</v>
      </c>
      <c r="O1428" s="18" t="s">
        <v>98</v>
      </c>
      <c r="P1428" s="15" t="str">
        <f t="shared" si="1"/>
        <v>VERIFY</v>
      </c>
      <c r="Q1428" s="15">
        <f t="shared" si="2"/>
        <v>1</v>
      </c>
      <c r="R1428" s="15">
        <f t="shared" si="3"/>
        <v>4</v>
      </c>
      <c r="S1428" s="15">
        <f t="shared" si="4"/>
        <v>5</v>
      </c>
      <c r="T1428" s="15" t="str">
        <f t="shared" si="5"/>
        <v>C-3</v>
      </c>
      <c r="U1428" s="15" t="str">
        <f t="shared" si="6"/>
        <v>T1-M4-H5-FC-3-VERIFY</v>
      </c>
      <c r="V1428" s="15">
        <f t="shared" si="7"/>
        <v>0</v>
      </c>
      <c r="W1428" s="31"/>
      <c r="X1428" s="15" t="str">
        <f t="shared" si="8"/>
        <v>cilacap-indonesia</v>
      </c>
      <c r="Y1428" s="32" t="str">
        <f t="shared" si="9"/>
        <v>https://steelmanufacturer.in/market-area/electropolished-pipes-manufacturer-in-cilacap-indonesia/</v>
      </c>
      <c r="Z1428" s="15" t="str">
        <f t="shared" si="10"/>
        <v>Electropolished Pipes Manufacturer in Cilacap | Sakshi Forge</v>
      </c>
      <c r="AA1428" s="15" t="str">
        <f t="shared" si="11"/>
        <v>OK (60)</v>
      </c>
      <c r="AB1428" s="15" t="str">
        <f t="shared" si="12"/>
        <v>Sanitary electropolished pipes in Cilacap for VERIFY plants. ASME BPE SF1-SF4, orbital-weld ready, 3.1 MTC. Mumbai-made.</v>
      </c>
      <c r="AC1428" s="15" t="str">
        <f t="shared" si="13"/>
        <v>PENDING RESEARCH</v>
      </c>
      <c r="AD1428" s="15" t="str">
        <f t="shared" si="14"/>
        <v>Electropolished Pipes Manufacturer in Cilacap</v>
      </c>
      <c r="AE1428" s="15" t="str">
        <f t="shared" si="15"/>
        <v>Electropolished Tube Manufacturing Capability Serving Cilacap</v>
      </c>
      <c r="AF1428" s="15" t="str">
        <f t="shared" si="16"/>
        <v>Electropolished Pipes Supplier in Cilacap - From Order to Delivery</v>
      </c>
      <c r="AG1428" s="15" t="str">
        <f t="shared" si="17"/>
        <v>Stockist &amp; Wholesale Supply of Electropolished Pipes in Cilacap</v>
      </c>
      <c r="AH1428" s="15" t="str">
        <f t="shared" si="18"/>
        <v>electropolished pipes manufacturer in Cilacap, electropolished pipes supplier in Cilacap, electropolished pipes wholesaler in Cilacap, electropolished tube manufacturer Cilacap, EP pipe supplier Cilacap, sanitary tube supplier Cilacap, ASME BPE tubing Cilacap, ASTM A270 tube Cilacap, SS 316L electropolished pipe Cilacap</v>
      </c>
      <c r="AI1428" s="15" t="str">
        <f t="shared" si="19"/>
        <v>Electropolished Pipes Manufacturer &amp; Supplier in Cilacap</v>
      </c>
      <c r="AJ1428" s="15" t="str">
        <f t="shared" si="20"/>
        <v>EP-finished SS 304/316L pipes and tubes for VERIFY plants in Cilacap. ASME BPE SF1-SF4, Ra from 0.25 um, EN 10204 3.1 certificate with every lot.</v>
      </c>
      <c r="AK1428" s="15" t="str">
        <f t="shared" si="21"/>
        <v>Electropolished stainless steel pipes supplied by Sakshi Forge to VERIFY plants at VERIFY, Cilacap</v>
      </c>
      <c r="AL1428" s="15" t="str">
        <f t="shared" si="22"/>
        <v>Electropolished SS 316L tube stock for Cilacap - Sakshi Forge</v>
      </c>
      <c r="AM1428" s="15" t="str">
        <f t="shared" si="23"/>
        <v>Home &gt; Market Area &gt; Indonesia &gt; VERIFY &gt; Cilacap</v>
      </c>
      <c r="AN1428" s="15">
        <f t="shared" si="24"/>
        <v>750</v>
      </c>
      <c r="AO1428" s="15">
        <f t="shared" si="25"/>
        <v>6</v>
      </c>
      <c r="AP1428" s="15">
        <f t="shared" si="26"/>
        <v>6</v>
      </c>
      <c r="AQ1428" s="15">
        <f t="shared" si="27"/>
        <v>24</v>
      </c>
      <c r="AR1428" s="31"/>
      <c r="AS1428" s="31"/>
      <c r="AT1428" s="35" t="s">
        <v>222</v>
      </c>
      <c r="AU1428" s="35"/>
    </row>
    <row r="1429" ht="15.75" customHeight="1">
      <c r="A1429" s="15" t="s">
        <v>7019</v>
      </c>
      <c r="B1429" s="15" t="s">
        <v>445</v>
      </c>
      <c r="C1429" s="15" t="s">
        <v>98</v>
      </c>
      <c r="D1429" s="15" t="s">
        <v>7020</v>
      </c>
      <c r="E1429" s="15" t="s">
        <v>7020</v>
      </c>
      <c r="F1429" s="58" t="s">
        <v>807</v>
      </c>
      <c r="G1429" s="66" t="s">
        <v>98</v>
      </c>
      <c r="H1429" s="18" t="s">
        <v>98</v>
      </c>
      <c r="I1429" s="18" t="s">
        <v>98</v>
      </c>
      <c r="J1429" s="18" t="s">
        <v>98</v>
      </c>
      <c r="K1429" s="18" t="s">
        <v>98</v>
      </c>
      <c r="L1429" s="18" t="s">
        <v>98</v>
      </c>
      <c r="M1429" s="18" t="s">
        <v>643</v>
      </c>
      <c r="N1429" s="18" t="s">
        <v>453</v>
      </c>
      <c r="O1429" s="18" t="s">
        <v>98</v>
      </c>
      <c r="P1429" s="15" t="str">
        <f t="shared" si="1"/>
        <v>VERIFY</v>
      </c>
      <c r="Q1429" s="15">
        <f t="shared" si="2"/>
        <v>2</v>
      </c>
      <c r="R1429" s="15">
        <f t="shared" si="3"/>
        <v>5</v>
      </c>
      <c r="S1429" s="15">
        <f t="shared" si="4"/>
        <v>1</v>
      </c>
      <c r="T1429" s="15" t="str">
        <f t="shared" si="5"/>
        <v>C-4</v>
      </c>
      <c r="U1429" s="15" t="str">
        <f t="shared" si="6"/>
        <v>T2-M5-H1-FC-4-VERIFY</v>
      </c>
      <c r="V1429" s="15">
        <f t="shared" si="7"/>
        <v>0</v>
      </c>
      <c r="W1429" s="31"/>
      <c r="X1429" s="15" t="str">
        <f t="shared" si="8"/>
        <v>cirebon-indonesia</v>
      </c>
      <c r="Y1429" s="32" t="str">
        <f t="shared" si="9"/>
        <v>https://steelmanufacturer.in/market-area/electropolished-pipes-manufacturer-in-cirebon-indonesia/</v>
      </c>
      <c r="Z1429" s="15" t="str">
        <f t="shared" si="10"/>
        <v>Electropolished Pipes Manufacturer in Cirebon</v>
      </c>
      <c r="AA1429" s="15" t="str">
        <f t="shared" si="11"/>
        <v>OK (45)</v>
      </c>
      <c r="AB1429" s="15" t="str">
        <f t="shared" si="12"/>
        <v>Manufacturer of electropolished SS 316L tube serving Cirebon. 10-14 days sea from Nhava Sheva to Tanjung Priok. Ra 0.25-0.5 um, EN 10204 3.1 MTC.</v>
      </c>
      <c r="AC1429" s="15" t="str">
        <f t="shared" si="13"/>
        <v>PENDING RESEARCH</v>
      </c>
      <c r="AD1429" s="15" t="str">
        <f t="shared" si="14"/>
        <v>Electropolished Pipes Manufacturer in Cirebon</v>
      </c>
      <c r="AE1429" s="15" t="str">
        <f t="shared" si="15"/>
        <v>Electropolished Pipe &amp; Tube Manufacturing for Cirebon - Grades, Finishes &amp; Certification</v>
      </c>
      <c r="AF1429" s="15" t="str">
        <f t="shared" si="16"/>
        <v>Electropolished Pipes Supplier in Cirebon - Stock Sizes, Lead Time &amp; Delivery</v>
      </c>
      <c r="AG1429" s="15" t="str">
        <f t="shared" si="17"/>
        <v>Electropolished Pipes Wholesaler &amp; Stockist in Cirebon - Bulk &amp; Project Pricing</v>
      </c>
      <c r="AH1429" s="15" t="str">
        <f t="shared" si="18"/>
        <v>electropolished pipes manufacturer in Cirebon, electropolished pipes supplier in Cirebon, electropolished pipes wholesaler in Cirebon, electropolished tube manufacturer Cirebon, EP pipe supplier Cirebon, sanitary tube supplier Cirebon, ASME BPE tubing Cirebon, ASTM A270 tube Cirebon, SS 316L electropolished pipe Cirebon</v>
      </c>
      <c r="AI1429" s="15" t="str">
        <f t="shared" si="19"/>
        <v>Electropolished Pipes Manufacturer &amp; Supplier in Cirebon</v>
      </c>
      <c r="AJ1429" s="15" t="str">
        <f t="shared" si="20"/>
        <v>EP-finished SS 304/316L pipes and tubes for VERIFY plants in Cirebon. ASME BPE SF1-SF4, Ra from 0.25 um, EN 10204 3.1 certificate with every lot.</v>
      </c>
      <c r="AK1429" s="15" t="str">
        <f t="shared" si="21"/>
        <v>Electropolished stainless steel pipes supplied by Sakshi Forge to VERIFY plants at VERIFY, Cirebon</v>
      </c>
      <c r="AL1429" s="15" t="str">
        <f t="shared" si="22"/>
        <v>Electropolished SS 316L tube stock for Cirebon - Sakshi Forge</v>
      </c>
      <c r="AM1429" s="15" t="str">
        <f t="shared" si="23"/>
        <v>Home &gt; Market Area &gt; Indonesia &gt; VERIFY &gt; Cirebon</v>
      </c>
      <c r="AN1429" s="15">
        <f t="shared" si="24"/>
        <v>750</v>
      </c>
      <c r="AO1429" s="15">
        <f t="shared" si="25"/>
        <v>6</v>
      </c>
      <c r="AP1429" s="15">
        <f t="shared" si="26"/>
        <v>6</v>
      </c>
      <c r="AQ1429" s="15">
        <f t="shared" si="27"/>
        <v>24</v>
      </c>
      <c r="AR1429" s="31"/>
      <c r="AS1429" s="31"/>
      <c r="AT1429" s="35" t="s">
        <v>222</v>
      </c>
      <c r="AU1429" s="35"/>
    </row>
    <row r="1430" ht="15.75" customHeight="1">
      <c r="A1430" s="15" t="s">
        <v>7023</v>
      </c>
      <c r="B1430" s="15" t="s">
        <v>445</v>
      </c>
      <c r="C1430" s="15" t="s">
        <v>98</v>
      </c>
      <c r="D1430" s="15" t="s">
        <v>7025</v>
      </c>
      <c r="E1430" s="15" t="s">
        <v>7025</v>
      </c>
      <c r="F1430" s="58" t="s">
        <v>807</v>
      </c>
      <c r="G1430" s="66" t="s">
        <v>98</v>
      </c>
      <c r="H1430" s="18" t="s">
        <v>98</v>
      </c>
      <c r="I1430" s="18" t="s">
        <v>98</v>
      </c>
      <c r="J1430" s="18" t="s">
        <v>98</v>
      </c>
      <c r="K1430" s="18" t="s">
        <v>98</v>
      </c>
      <c r="L1430" s="18" t="s">
        <v>98</v>
      </c>
      <c r="M1430" s="18" t="s">
        <v>643</v>
      </c>
      <c r="N1430" s="18" t="s">
        <v>453</v>
      </c>
      <c r="O1430" s="18" t="s">
        <v>98</v>
      </c>
      <c r="P1430" s="15" t="str">
        <f t="shared" si="1"/>
        <v>VERIFY</v>
      </c>
      <c r="Q1430" s="15">
        <f t="shared" si="2"/>
        <v>3</v>
      </c>
      <c r="R1430" s="15">
        <f t="shared" si="3"/>
        <v>6</v>
      </c>
      <c r="S1430" s="15">
        <f t="shared" si="4"/>
        <v>2</v>
      </c>
      <c r="T1430" s="15" t="str">
        <f t="shared" si="5"/>
        <v>C-5</v>
      </c>
      <c r="U1430" s="15" t="str">
        <f t="shared" si="6"/>
        <v>T3-M6-H2-FC-5-VERIFY</v>
      </c>
      <c r="V1430" s="15">
        <f t="shared" si="7"/>
        <v>0</v>
      </c>
      <c r="W1430" s="31"/>
      <c r="X1430" s="15" t="str">
        <f t="shared" si="8"/>
        <v>denpasar-indonesia</v>
      </c>
      <c r="Y1430" s="32" t="str">
        <f t="shared" si="9"/>
        <v>https://steelmanufacturer.in/market-area/electropolished-pipes-manufacturer-in-denpasar-indonesia/</v>
      </c>
      <c r="Z1430" s="15" t="str">
        <f t="shared" si="10"/>
        <v>Electropolished Pipes Manufacturer in Denpasar | EP Tube Supplier</v>
      </c>
      <c r="AA1430" s="15" t="str">
        <f t="shared" si="11"/>
        <v>OK (65)</v>
      </c>
      <c r="AB1430" s="15" t="str">
        <f t="shared" si="12"/>
        <v>EP tube and pipe for VERIFY plants around VERIFY, Denpasar. Made at our Mumbai works to ASTM A270 and ASME BPE SF1-SF4, with 3.1 MTC.</v>
      </c>
      <c r="AC1430" s="15" t="str">
        <f t="shared" si="13"/>
        <v>PENDING RESEARCH</v>
      </c>
      <c r="AD1430" s="15" t="str">
        <f t="shared" si="14"/>
        <v>Electropolished Pipes Manufacturer in Denpasar</v>
      </c>
      <c r="AE1430" s="15" t="str">
        <f t="shared" si="15"/>
        <v>How We Manufacture Electropolished Tube for Denpasar Plants</v>
      </c>
      <c r="AF1430" s="15" t="str">
        <f t="shared" si="16"/>
        <v>Supplying Electropolished Pipes in Denpasar: Availability, Sizes &amp; Dispatch</v>
      </c>
      <c r="AG1430" s="15" t="str">
        <f t="shared" si="17"/>
        <v>Wholesale Electropolished Pipe Supply for Denpasar Projects</v>
      </c>
      <c r="AH1430" s="15" t="str">
        <f t="shared" si="18"/>
        <v>electropolished pipes manufacturer in Denpasar, electropolished pipes supplier in Denpasar, electropolished pipes wholesaler in Denpasar, electropolished tube manufacturer Denpasar, EP pipe supplier Denpasar, sanitary tube supplier Denpasar, ASME BPE tubing Denpasar, ASTM A270 tube Denpasar, SS 316L electropolished pipe Denpasar</v>
      </c>
      <c r="AI1430" s="15" t="str">
        <f t="shared" si="19"/>
        <v>Electropolished Pipes Manufacturer &amp; Supplier in Denpasar</v>
      </c>
      <c r="AJ1430" s="15" t="str">
        <f t="shared" si="20"/>
        <v>EP-finished SS 304/316L pipes and tubes for VERIFY plants in Denpasar. ASME BPE SF1-SF4, Ra from 0.25 um, EN 10204 3.1 certificate with every lot.</v>
      </c>
      <c r="AK1430" s="15" t="str">
        <f t="shared" si="21"/>
        <v>Electropolished stainless steel pipes supplied by Sakshi Forge to VERIFY plants at VERIFY, Denpasar</v>
      </c>
      <c r="AL1430" s="15" t="str">
        <f t="shared" si="22"/>
        <v>Electropolished SS 316L tube stock for Denpasar - Sakshi Forge</v>
      </c>
      <c r="AM1430" s="15" t="str">
        <f t="shared" si="23"/>
        <v>Home &gt; Market Area &gt; Indonesia &gt; VERIFY &gt; Denpasar</v>
      </c>
      <c r="AN1430" s="15">
        <f t="shared" si="24"/>
        <v>750</v>
      </c>
      <c r="AO1430" s="15">
        <f t="shared" si="25"/>
        <v>6</v>
      </c>
      <c r="AP1430" s="15">
        <f t="shared" si="26"/>
        <v>6</v>
      </c>
      <c r="AQ1430" s="15">
        <f t="shared" si="27"/>
        <v>24</v>
      </c>
      <c r="AR1430" s="31"/>
      <c r="AS1430" s="31"/>
      <c r="AT1430" s="35" t="s">
        <v>222</v>
      </c>
      <c r="AU1430" s="35"/>
    </row>
    <row r="1431" ht="15.75" customHeight="1">
      <c r="A1431" s="15" t="s">
        <v>7027</v>
      </c>
      <c r="B1431" s="15" t="s">
        <v>445</v>
      </c>
      <c r="C1431" s="15" t="s">
        <v>98</v>
      </c>
      <c r="D1431" s="15" t="s">
        <v>7028</v>
      </c>
      <c r="E1431" s="15" t="s">
        <v>7028</v>
      </c>
      <c r="F1431" s="58" t="s">
        <v>807</v>
      </c>
      <c r="G1431" s="66" t="s">
        <v>98</v>
      </c>
      <c r="H1431" s="18" t="s">
        <v>98</v>
      </c>
      <c r="I1431" s="18" t="s">
        <v>98</v>
      </c>
      <c r="J1431" s="18" t="s">
        <v>98</v>
      </c>
      <c r="K1431" s="18" t="s">
        <v>98</v>
      </c>
      <c r="L1431" s="18" t="s">
        <v>98</v>
      </c>
      <c r="M1431" s="18" t="s">
        <v>643</v>
      </c>
      <c r="N1431" s="18" t="s">
        <v>453</v>
      </c>
      <c r="O1431" s="18" t="s">
        <v>98</v>
      </c>
      <c r="P1431" s="15" t="str">
        <f t="shared" si="1"/>
        <v>VERIFY</v>
      </c>
      <c r="Q1431" s="15">
        <f t="shared" si="2"/>
        <v>4</v>
      </c>
      <c r="R1431" s="15">
        <f t="shared" si="3"/>
        <v>7</v>
      </c>
      <c r="S1431" s="15">
        <f t="shared" si="4"/>
        <v>3</v>
      </c>
      <c r="T1431" s="15" t="str">
        <f t="shared" si="5"/>
        <v>C-6</v>
      </c>
      <c r="U1431" s="15" t="str">
        <f t="shared" si="6"/>
        <v>T4-M7-H3-FC-6-VERIFY</v>
      </c>
      <c r="V1431" s="15">
        <f t="shared" si="7"/>
        <v>0</v>
      </c>
      <c r="W1431" s="31"/>
      <c r="X1431" s="15" t="str">
        <f t="shared" si="8"/>
        <v>garut-indonesia</v>
      </c>
      <c r="Y1431" s="32" t="str">
        <f t="shared" si="9"/>
        <v>https://steelmanufacturer.in/market-area/electropolished-pipes-manufacturer-in-garut-indonesia/</v>
      </c>
      <c r="Z1431" s="15" t="str">
        <f t="shared" si="10"/>
        <v>Electropolished Pipes Manufacturer in Garut - SS 304/316L EP Tube</v>
      </c>
      <c r="AA1431" s="15" t="str">
        <f t="shared" si="11"/>
        <v>OK (65)</v>
      </c>
      <c r="AB1431" s="15" t="str">
        <f t="shared" si="12"/>
        <v>Electropolished pipes in Garut: 304, 304L, 316 and 316L in SF1-SF4. 10-14 days sea from Nhava Sheva to Tanjung Priok. Mill certified.</v>
      </c>
      <c r="AC1431" s="15" t="str">
        <f t="shared" si="13"/>
        <v>PENDING RESEARCH</v>
      </c>
      <c r="AD1431" s="15" t="str">
        <f t="shared" si="14"/>
        <v>Electropolished Pipes Manufacturer in Garut</v>
      </c>
      <c r="AE1431" s="15" t="str">
        <f t="shared" si="15"/>
        <v>Electropolished Pipes Manufacturer in Garut - Our Process &amp; Capability</v>
      </c>
      <c r="AF1431" s="15" t="str">
        <f t="shared" si="16"/>
        <v>Electropolished Pipes Supplier in Garut - What We Hold in Stock</v>
      </c>
      <c r="AG1431" s="15" t="str">
        <f t="shared" si="17"/>
        <v>Bulk &amp; Wholesale Electropolished Pipe Rates for Garut Buyers</v>
      </c>
      <c r="AH1431" s="15" t="str">
        <f t="shared" si="18"/>
        <v>electropolished pipes manufacturer in Garut, electropolished pipes supplier in Garut, electropolished pipes wholesaler in Garut, electropolished tube manufacturer Garut, EP pipe supplier Garut, sanitary tube supplier Garut, ASME BPE tubing Garut, ASTM A270 tube Garut, SS 316L electropolished pipe Garut</v>
      </c>
      <c r="AI1431" s="15" t="str">
        <f t="shared" si="19"/>
        <v>Electropolished Pipes Manufacturer &amp; Supplier in Garut</v>
      </c>
      <c r="AJ1431" s="15" t="str">
        <f t="shared" si="20"/>
        <v>EP-finished SS 304/316L pipes and tubes for VERIFY plants in Garut. ASME BPE SF1-SF4, Ra from 0.25 um, EN 10204 3.1 certificate with every lot.</v>
      </c>
      <c r="AK1431" s="15" t="str">
        <f t="shared" si="21"/>
        <v>Electropolished stainless steel pipes supplied by Sakshi Forge to VERIFY plants at VERIFY, Garut</v>
      </c>
      <c r="AL1431" s="15" t="str">
        <f t="shared" si="22"/>
        <v>Electropolished SS 316L tube stock for Garut - Sakshi Forge</v>
      </c>
      <c r="AM1431" s="15" t="str">
        <f t="shared" si="23"/>
        <v>Home &gt; Market Area &gt; Indonesia &gt; VERIFY &gt; Garut</v>
      </c>
      <c r="AN1431" s="15">
        <f t="shared" si="24"/>
        <v>750</v>
      </c>
      <c r="AO1431" s="15">
        <f t="shared" si="25"/>
        <v>6</v>
      </c>
      <c r="AP1431" s="15">
        <f t="shared" si="26"/>
        <v>6</v>
      </c>
      <c r="AQ1431" s="15">
        <f t="shared" si="27"/>
        <v>24</v>
      </c>
      <c r="AR1431" s="31"/>
      <c r="AS1431" s="31"/>
      <c r="AT1431" s="35" t="s">
        <v>222</v>
      </c>
      <c r="AU1431" s="35"/>
    </row>
    <row r="1432" ht="15.75" customHeight="1">
      <c r="A1432" s="15" t="s">
        <v>7029</v>
      </c>
      <c r="B1432" s="15" t="s">
        <v>445</v>
      </c>
      <c r="C1432" s="15" t="s">
        <v>98</v>
      </c>
      <c r="D1432" s="15" t="s">
        <v>7030</v>
      </c>
      <c r="E1432" s="15" t="s">
        <v>7030</v>
      </c>
      <c r="F1432" s="58" t="s">
        <v>807</v>
      </c>
      <c r="G1432" s="66" t="s">
        <v>98</v>
      </c>
      <c r="H1432" s="18" t="s">
        <v>98</v>
      </c>
      <c r="I1432" s="18" t="s">
        <v>98</v>
      </c>
      <c r="J1432" s="18" t="s">
        <v>98</v>
      </c>
      <c r="K1432" s="18" t="s">
        <v>98</v>
      </c>
      <c r="L1432" s="18" t="s">
        <v>98</v>
      </c>
      <c r="M1432" s="18" t="s">
        <v>643</v>
      </c>
      <c r="N1432" s="18" t="s">
        <v>453</v>
      </c>
      <c r="O1432" s="18" t="s">
        <v>98</v>
      </c>
      <c r="P1432" s="15" t="str">
        <f t="shared" si="1"/>
        <v>VERIFY</v>
      </c>
      <c r="Q1432" s="15">
        <f t="shared" si="2"/>
        <v>5</v>
      </c>
      <c r="R1432" s="15">
        <f t="shared" si="3"/>
        <v>1</v>
      </c>
      <c r="S1432" s="15">
        <f t="shared" si="4"/>
        <v>4</v>
      </c>
      <c r="T1432" s="15" t="str">
        <f t="shared" si="5"/>
        <v>C-1</v>
      </c>
      <c r="U1432" s="15" t="str">
        <f t="shared" si="6"/>
        <v>T5-M1-H4-FC-1-VERIFY</v>
      </c>
      <c r="V1432" s="15">
        <f t="shared" si="7"/>
        <v>0</v>
      </c>
      <c r="W1432" s="31"/>
      <c r="X1432" s="15" t="str">
        <f t="shared" si="8"/>
        <v>indramayu-indonesia</v>
      </c>
      <c r="Y1432" s="32" t="str">
        <f t="shared" si="9"/>
        <v>https://steelmanufacturer.in/market-area/electropolished-pipes-manufacturer-in-indramayu-indonesia/</v>
      </c>
      <c r="Z1432" s="15" t="str">
        <f t="shared" si="10"/>
        <v>Electropolished Pipes Manufacturer in Indramayu</v>
      </c>
      <c r="AA1432" s="15" t="str">
        <f t="shared" si="11"/>
        <v>OK (47)</v>
      </c>
      <c r="AB1432" s="15" t="str">
        <f t="shared" si="12"/>
        <v>EP-finished SS 304/316L pipes &amp; tubes for VERIFY plants in Indramayu. ASTM A270, ASME BPE SF1-SF4, EN 10204 3.1 MTC. PMI tested.</v>
      </c>
      <c r="AC1432" s="15" t="str">
        <f t="shared" si="13"/>
        <v>PENDING RESEARCH</v>
      </c>
      <c r="AD1432" s="15" t="str">
        <f t="shared" si="14"/>
        <v>Electropolished Pipes Manufacturer in Indramayu</v>
      </c>
      <c r="AE1432" s="15" t="str">
        <f t="shared" si="15"/>
        <v>Manufacturing Electropolished SS Tube for Indramayu: The Standards We Build To</v>
      </c>
      <c r="AF1432" s="15" t="str">
        <f t="shared" si="16"/>
        <v>Electropolished Pipe Supply Into Indramayu - Certification &amp; Transit</v>
      </c>
      <c r="AG1432" s="15" t="str">
        <f t="shared" si="17"/>
        <v>Electropolished Pipes Wholesaler in Indramayu - Project Quantities &amp; Terms</v>
      </c>
      <c r="AH1432" s="15" t="str">
        <f t="shared" si="18"/>
        <v>electropolished pipes manufacturer in Indramayu, electropolished pipes supplier in Indramayu, electropolished pipes wholesaler in Indramayu, electropolished tube manufacturer Indramayu, EP pipe supplier Indramayu, sanitary tube supplier Indramayu, ASME BPE tubing Indramayu, ASTM A270 tube Indramayu, SS 316L electropolished pipe Indramayu</v>
      </c>
      <c r="AI1432" s="15" t="str">
        <f t="shared" si="19"/>
        <v>Electropolished Pipes Manufacturer &amp; Supplier in Indramayu</v>
      </c>
      <c r="AJ1432" s="15" t="str">
        <f t="shared" si="20"/>
        <v>EP-finished SS 304/316L pipes and tubes for VERIFY plants in Indramayu. ASME BPE SF1-SF4, Ra from 0.25 um, EN 10204 3.1 certificate with every lot.</v>
      </c>
      <c r="AK1432" s="15" t="str">
        <f t="shared" si="21"/>
        <v>Electropolished stainless steel pipes supplied by Sakshi Forge to VERIFY plants at VERIFY, Indramayu</v>
      </c>
      <c r="AL1432" s="15" t="str">
        <f t="shared" si="22"/>
        <v>Electropolished SS 316L tube stock for Indramayu - Sakshi Forge</v>
      </c>
      <c r="AM1432" s="15" t="str">
        <f t="shared" si="23"/>
        <v>Home &gt; Market Area &gt; Indonesia &gt; VERIFY &gt; Indramayu</v>
      </c>
      <c r="AN1432" s="15">
        <f t="shared" si="24"/>
        <v>750</v>
      </c>
      <c r="AO1432" s="15">
        <f t="shared" si="25"/>
        <v>6</v>
      </c>
      <c r="AP1432" s="15">
        <f t="shared" si="26"/>
        <v>6</v>
      </c>
      <c r="AQ1432" s="15">
        <f t="shared" si="27"/>
        <v>24</v>
      </c>
      <c r="AR1432" s="31"/>
      <c r="AS1432" s="31"/>
      <c r="AT1432" s="35" t="s">
        <v>222</v>
      </c>
      <c r="AU1432" s="35"/>
    </row>
    <row r="1433" ht="15.75" customHeight="1">
      <c r="A1433" s="15" t="s">
        <v>7031</v>
      </c>
      <c r="B1433" s="15" t="s">
        <v>445</v>
      </c>
      <c r="C1433" s="15" t="s">
        <v>98</v>
      </c>
      <c r="D1433" s="15" t="s">
        <v>7032</v>
      </c>
      <c r="E1433" s="15" t="s">
        <v>7032</v>
      </c>
      <c r="F1433" s="58" t="s">
        <v>807</v>
      </c>
      <c r="G1433" s="66" t="s">
        <v>98</v>
      </c>
      <c r="H1433" s="18" t="s">
        <v>98</v>
      </c>
      <c r="I1433" s="18" t="s">
        <v>98</v>
      </c>
      <c r="J1433" s="18" t="s">
        <v>98</v>
      </c>
      <c r="K1433" s="18" t="s">
        <v>98</v>
      </c>
      <c r="L1433" s="18" t="s">
        <v>98</v>
      </c>
      <c r="M1433" s="18" t="s">
        <v>643</v>
      </c>
      <c r="N1433" s="18" t="s">
        <v>453</v>
      </c>
      <c r="O1433" s="18" t="s">
        <v>98</v>
      </c>
      <c r="P1433" s="15" t="str">
        <f t="shared" si="1"/>
        <v>VERIFY</v>
      </c>
      <c r="Q1433" s="15">
        <f t="shared" si="2"/>
        <v>6</v>
      </c>
      <c r="R1433" s="15">
        <f t="shared" si="3"/>
        <v>2</v>
      </c>
      <c r="S1433" s="15">
        <f t="shared" si="4"/>
        <v>5</v>
      </c>
      <c r="T1433" s="15" t="str">
        <f t="shared" si="5"/>
        <v>C-2</v>
      </c>
      <c r="U1433" s="15" t="str">
        <f t="shared" si="6"/>
        <v>T6-M2-H5-FC-2-VERIFY</v>
      </c>
      <c r="V1433" s="15">
        <f t="shared" si="7"/>
        <v>0</v>
      </c>
      <c r="W1433" s="31"/>
      <c r="X1433" s="15" t="str">
        <f t="shared" si="8"/>
        <v>jambi-indonesia</v>
      </c>
      <c r="Y1433" s="32" t="str">
        <f t="shared" si="9"/>
        <v>https://steelmanufacturer.in/market-area/electropolished-pipes-manufacturer-in-jambi-indonesia/</v>
      </c>
      <c r="Z1433" s="15" t="str">
        <f t="shared" si="10"/>
        <v>Electropolished Pipes Manufacturer in Jambi</v>
      </c>
      <c r="AA1433" s="15" t="str">
        <f t="shared" si="11"/>
        <v>OK (43)</v>
      </c>
      <c r="AB1433" s="15" t="str">
        <f t="shared" si="12"/>
        <v>Electropolished tube supply to VERIFY, Jambi. Ra from 0.25 um, SF4 finish, mill test certificate with every lot.</v>
      </c>
      <c r="AC1433" s="15" t="str">
        <f t="shared" si="13"/>
        <v>PENDING RESEARCH</v>
      </c>
      <c r="AD1433" s="15" t="str">
        <f t="shared" si="14"/>
        <v>Electropolished Pipes Manufacturer in Jambi</v>
      </c>
      <c r="AE1433" s="15" t="str">
        <f t="shared" si="15"/>
        <v>Electropolished Tube Manufacturing Capability Serving Jambi</v>
      </c>
      <c r="AF1433" s="15" t="str">
        <f t="shared" si="16"/>
        <v>Electropolished Pipes Supplier in Jambi - From Order to Delivery</v>
      </c>
      <c r="AG1433" s="15" t="str">
        <f t="shared" si="17"/>
        <v>Stockist &amp; Wholesale Supply of Electropolished Pipes in Jambi</v>
      </c>
      <c r="AH1433" s="15" t="str">
        <f t="shared" si="18"/>
        <v>electropolished pipes manufacturer in Jambi, electropolished pipes supplier in Jambi, electropolished pipes wholesaler in Jambi, electropolished tube manufacturer Jambi, EP pipe supplier Jambi, sanitary tube supplier Jambi, ASME BPE tubing Jambi, ASTM A270 tube Jambi, SS 316L electropolished pipe Jambi</v>
      </c>
      <c r="AI1433" s="15" t="str">
        <f t="shared" si="19"/>
        <v>Electropolished Pipes Manufacturer &amp; Supplier in Jambi</v>
      </c>
      <c r="AJ1433" s="15" t="str">
        <f t="shared" si="20"/>
        <v>EP-finished SS 304/316L pipes and tubes for VERIFY plants in Jambi. ASME BPE SF1-SF4, Ra from 0.25 um, EN 10204 3.1 certificate with every lot.</v>
      </c>
      <c r="AK1433" s="15" t="str">
        <f t="shared" si="21"/>
        <v>Electropolished stainless steel pipes supplied by Sakshi Forge to VERIFY plants at VERIFY, Jambi</v>
      </c>
      <c r="AL1433" s="15" t="str">
        <f t="shared" si="22"/>
        <v>Electropolished SS 316L tube stock for Jambi - Sakshi Forge</v>
      </c>
      <c r="AM1433" s="15" t="str">
        <f t="shared" si="23"/>
        <v>Home &gt; Market Area &gt; Indonesia &gt; VERIFY &gt; Jambi</v>
      </c>
      <c r="AN1433" s="15">
        <f t="shared" si="24"/>
        <v>750</v>
      </c>
      <c r="AO1433" s="15">
        <f t="shared" si="25"/>
        <v>6</v>
      </c>
      <c r="AP1433" s="15">
        <f t="shared" si="26"/>
        <v>6</v>
      </c>
      <c r="AQ1433" s="15">
        <f t="shared" si="27"/>
        <v>24</v>
      </c>
      <c r="AR1433" s="31"/>
      <c r="AS1433" s="31"/>
      <c r="AT1433" s="35" t="s">
        <v>222</v>
      </c>
      <c r="AU1433" s="35"/>
    </row>
    <row r="1434" ht="15.75" customHeight="1">
      <c r="A1434" s="15" t="s">
        <v>7033</v>
      </c>
      <c r="B1434" s="15" t="s">
        <v>445</v>
      </c>
      <c r="C1434" s="15" t="s">
        <v>98</v>
      </c>
      <c r="D1434" s="15" t="s">
        <v>7034</v>
      </c>
      <c r="E1434" s="15" t="s">
        <v>7034</v>
      </c>
      <c r="F1434" s="58" t="s">
        <v>807</v>
      </c>
      <c r="G1434" s="66" t="s">
        <v>98</v>
      </c>
      <c r="H1434" s="18" t="s">
        <v>98</v>
      </c>
      <c r="I1434" s="18" t="s">
        <v>98</v>
      </c>
      <c r="J1434" s="18" t="s">
        <v>98</v>
      </c>
      <c r="K1434" s="18" t="s">
        <v>98</v>
      </c>
      <c r="L1434" s="18" t="s">
        <v>98</v>
      </c>
      <c r="M1434" s="18" t="s">
        <v>643</v>
      </c>
      <c r="N1434" s="18" t="s">
        <v>453</v>
      </c>
      <c r="O1434" s="18" t="s">
        <v>98</v>
      </c>
      <c r="P1434" s="15" t="str">
        <f t="shared" si="1"/>
        <v>VERIFY</v>
      </c>
      <c r="Q1434" s="15">
        <f t="shared" si="2"/>
        <v>7</v>
      </c>
      <c r="R1434" s="15">
        <f t="shared" si="3"/>
        <v>3</v>
      </c>
      <c r="S1434" s="15">
        <f t="shared" si="4"/>
        <v>1</v>
      </c>
      <c r="T1434" s="15" t="str">
        <f t="shared" si="5"/>
        <v>C-3</v>
      </c>
      <c r="U1434" s="15" t="str">
        <f t="shared" si="6"/>
        <v>T7-M3-H1-FC-3-VERIFY</v>
      </c>
      <c r="V1434" s="15">
        <f t="shared" si="7"/>
        <v>0</v>
      </c>
      <c r="W1434" s="31"/>
      <c r="X1434" s="15" t="str">
        <f t="shared" si="8"/>
        <v>jayapura-indonesia</v>
      </c>
      <c r="Y1434" s="32" t="str">
        <f t="shared" si="9"/>
        <v>https://steelmanufacturer.in/market-area/electropolished-pipes-manufacturer-in-jayapura-indonesia/</v>
      </c>
      <c r="Z1434" s="15" t="str">
        <f t="shared" si="10"/>
        <v>Electropolished Pipes Manufacturer in Jayapura | ASME BPE SF1-SF4</v>
      </c>
      <c r="AA1434" s="15" t="str">
        <f t="shared" si="11"/>
        <v>OK (65)</v>
      </c>
      <c r="AB1434" s="15" t="str">
        <f t="shared" si="12"/>
        <v>EP stainless tube for VERIFY lines in Jayapura. 10-14 days sea from Nhava Sheva to Tanjung Priok. ASTM A270 S2, PMI tested, EN 10204 3.1.</v>
      </c>
      <c r="AC1434" s="15" t="str">
        <f t="shared" si="13"/>
        <v>PENDING RESEARCH</v>
      </c>
      <c r="AD1434" s="15" t="str">
        <f t="shared" si="14"/>
        <v>Electropolished Pipes Manufacturer in Jayapura</v>
      </c>
      <c r="AE1434" s="15" t="str">
        <f t="shared" si="15"/>
        <v>Electropolished Pipe &amp; Tube Manufacturing for Jayapura - Grades, Finishes &amp; Certification</v>
      </c>
      <c r="AF1434" s="15" t="str">
        <f t="shared" si="16"/>
        <v>Electropolished Pipes Supplier in Jayapura - Stock Sizes, Lead Time &amp; Delivery</v>
      </c>
      <c r="AG1434" s="15" t="str">
        <f t="shared" si="17"/>
        <v>Electropolished Pipes Wholesaler &amp; Stockist in Jayapura - Bulk &amp; Project Pricing</v>
      </c>
      <c r="AH1434" s="15" t="str">
        <f t="shared" si="18"/>
        <v>electropolished pipes manufacturer in Jayapura, electropolished pipes supplier in Jayapura, electropolished pipes wholesaler in Jayapura, electropolished tube manufacturer Jayapura, EP pipe supplier Jayapura, sanitary tube supplier Jayapura, ASME BPE tubing Jayapura, ASTM A270 tube Jayapura, SS 316L electropolished pipe Jayapura</v>
      </c>
      <c r="AI1434" s="15" t="str">
        <f t="shared" si="19"/>
        <v>Electropolished Pipes Manufacturer &amp; Supplier in Jayapura</v>
      </c>
      <c r="AJ1434" s="15" t="str">
        <f t="shared" si="20"/>
        <v>EP-finished SS 304/316L pipes and tubes for VERIFY plants in Jayapura. ASME BPE SF1-SF4, Ra from 0.25 um, EN 10204 3.1 certificate with every lot.</v>
      </c>
      <c r="AK1434" s="15" t="str">
        <f t="shared" si="21"/>
        <v>Electropolished stainless steel pipes supplied by Sakshi Forge to VERIFY plants at VERIFY, Jayapura</v>
      </c>
      <c r="AL1434" s="15" t="str">
        <f t="shared" si="22"/>
        <v>Electropolished SS 316L tube stock for Jayapura - Sakshi Forge</v>
      </c>
      <c r="AM1434" s="15" t="str">
        <f t="shared" si="23"/>
        <v>Home &gt; Market Area &gt; Indonesia &gt; VERIFY &gt; Jayapura</v>
      </c>
      <c r="AN1434" s="15">
        <f t="shared" si="24"/>
        <v>750</v>
      </c>
      <c r="AO1434" s="15">
        <f t="shared" si="25"/>
        <v>6</v>
      </c>
      <c r="AP1434" s="15">
        <f t="shared" si="26"/>
        <v>6</v>
      </c>
      <c r="AQ1434" s="15">
        <f t="shared" si="27"/>
        <v>24</v>
      </c>
      <c r="AR1434" s="31"/>
      <c r="AS1434" s="31"/>
      <c r="AT1434" s="35" t="s">
        <v>222</v>
      </c>
      <c r="AU1434" s="35"/>
    </row>
    <row r="1435" ht="15.75" customHeight="1">
      <c r="A1435" s="15" t="s">
        <v>7035</v>
      </c>
      <c r="B1435" s="15" t="s">
        <v>445</v>
      </c>
      <c r="C1435" s="15" t="s">
        <v>98</v>
      </c>
      <c r="D1435" s="15" t="s">
        <v>7036</v>
      </c>
      <c r="E1435" s="15" t="s">
        <v>7036</v>
      </c>
      <c r="F1435" s="58" t="s">
        <v>807</v>
      </c>
      <c r="G1435" s="66" t="s">
        <v>98</v>
      </c>
      <c r="H1435" s="18" t="s">
        <v>98</v>
      </c>
      <c r="I1435" s="18" t="s">
        <v>98</v>
      </c>
      <c r="J1435" s="18" t="s">
        <v>98</v>
      </c>
      <c r="K1435" s="18" t="s">
        <v>98</v>
      </c>
      <c r="L1435" s="18" t="s">
        <v>98</v>
      </c>
      <c r="M1435" s="18" t="s">
        <v>643</v>
      </c>
      <c r="N1435" s="18" t="s">
        <v>453</v>
      </c>
      <c r="O1435" s="18" t="s">
        <v>98</v>
      </c>
      <c r="P1435" s="15" t="str">
        <f t="shared" si="1"/>
        <v>VERIFY</v>
      </c>
      <c r="Q1435" s="15">
        <f t="shared" si="2"/>
        <v>8</v>
      </c>
      <c r="R1435" s="15">
        <f t="shared" si="3"/>
        <v>4</v>
      </c>
      <c r="S1435" s="15">
        <f t="shared" si="4"/>
        <v>2</v>
      </c>
      <c r="T1435" s="15" t="str">
        <f t="shared" si="5"/>
        <v>C-4</v>
      </c>
      <c r="U1435" s="15" t="str">
        <f t="shared" si="6"/>
        <v>T8-M4-H2-FC-4-VERIFY</v>
      </c>
      <c r="V1435" s="15">
        <f t="shared" si="7"/>
        <v>0</v>
      </c>
      <c r="W1435" s="31"/>
      <c r="X1435" s="15" t="str">
        <f t="shared" si="8"/>
        <v>jember-indonesia</v>
      </c>
      <c r="Y1435" s="32" t="str">
        <f t="shared" si="9"/>
        <v>https://steelmanufacturer.in/market-area/electropolished-pipes-manufacturer-in-jember-indonesia/</v>
      </c>
      <c r="Z1435" s="15" t="str">
        <f t="shared" si="10"/>
        <v>Electropolished Pipes Manufacturer in Jember - EP Tube Stockist</v>
      </c>
      <c r="AA1435" s="15" t="str">
        <f t="shared" si="11"/>
        <v>OK (63)</v>
      </c>
      <c r="AB1435" s="15" t="str">
        <f t="shared" si="12"/>
        <v>Sanitary electropolished pipes in Jember for VERIFY plants. ASME BPE SF1-SF4, orbital-weld ready, 3.1 MTC. Mumbai-made.</v>
      </c>
      <c r="AC1435" s="15" t="str">
        <f t="shared" si="13"/>
        <v>PENDING RESEARCH</v>
      </c>
      <c r="AD1435" s="15" t="str">
        <f t="shared" si="14"/>
        <v>Electropolished Pipes Manufacturer in Jember</v>
      </c>
      <c r="AE1435" s="15" t="str">
        <f t="shared" si="15"/>
        <v>How We Manufacture Electropolished Tube for Jember Plants</v>
      </c>
      <c r="AF1435" s="15" t="str">
        <f t="shared" si="16"/>
        <v>Supplying Electropolished Pipes in Jember: Availability, Sizes &amp; Dispatch</v>
      </c>
      <c r="AG1435" s="15" t="str">
        <f t="shared" si="17"/>
        <v>Wholesale Electropolished Pipe Supply for Jember Projects</v>
      </c>
      <c r="AH1435" s="15" t="str">
        <f t="shared" si="18"/>
        <v>electropolished pipes manufacturer in Jember, electropolished pipes supplier in Jember, electropolished pipes wholesaler in Jember, electropolished tube manufacturer Jember, EP pipe supplier Jember, sanitary tube supplier Jember, ASME BPE tubing Jember, ASTM A270 tube Jember, SS 316L electropolished pipe Jember</v>
      </c>
      <c r="AI1435" s="15" t="str">
        <f t="shared" si="19"/>
        <v>Electropolished Pipes Manufacturer &amp; Supplier in Jember</v>
      </c>
      <c r="AJ1435" s="15" t="str">
        <f t="shared" si="20"/>
        <v>EP-finished SS 304/316L pipes and tubes for VERIFY plants in Jember. ASME BPE SF1-SF4, Ra from 0.25 um, EN 10204 3.1 certificate with every lot.</v>
      </c>
      <c r="AK1435" s="15" t="str">
        <f t="shared" si="21"/>
        <v>Electropolished stainless steel pipes supplied by Sakshi Forge to VERIFY plants at VERIFY, Jember</v>
      </c>
      <c r="AL1435" s="15" t="str">
        <f t="shared" si="22"/>
        <v>Electropolished SS 316L tube stock for Jember - Sakshi Forge</v>
      </c>
      <c r="AM1435" s="15" t="str">
        <f t="shared" si="23"/>
        <v>Home &gt; Market Area &gt; Indonesia &gt; VERIFY &gt; Jember</v>
      </c>
      <c r="AN1435" s="15">
        <f t="shared" si="24"/>
        <v>750</v>
      </c>
      <c r="AO1435" s="15">
        <f t="shared" si="25"/>
        <v>6</v>
      </c>
      <c r="AP1435" s="15">
        <f t="shared" si="26"/>
        <v>6</v>
      </c>
      <c r="AQ1435" s="15">
        <f t="shared" si="27"/>
        <v>24</v>
      </c>
      <c r="AR1435" s="31"/>
      <c r="AS1435" s="31"/>
      <c r="AT1435" s="35" t="s">
        <v>222</v>
      </c>
      <c r="AU1435" s="35"/>
    </row>
    <row r="1436" ht="15.75" customHeight="1">
      <c r="A1436" s="15" t="s">
        <v>7037</v>
      </c>
      <c r="B1436" s="15" t="s">
        <v>445</v>
      </c>
      <c r="C1436" s="15" t="s">
        <v>98</v>
      </c>
      <c r="D1436" s="15" t="s">
        <v>7038</v>
      </c>
      <c r="E1436" s="15" t="s">
        <v>7038</v>
      </c>
      <c r="F1436" s="58" t="s">
        <v>807</v>
      </c>
      <c r="G1436" s="66" t="s">
        <v>98</v>
      </c>
      <c r="H1436" s="18" t="s">
        <v>98</v>
      </c>
      <c r="I1436" s="18" t="s">
        <v>98</v>
      </c>
      <c r="J1436" s="18" t="s">
        <v>98</v>
      </c>
      <c r="K1436" s="18" t="s">
        <v>98</v>
      </c>
      <c r="L1436" s="18" t="s">
        <v>98</v>
      </c>
      <c r="M1436" s="18" t="s">
        <v>643</v>
      </c>
      <c r="N1436" s="18" t="s">
        <v>453</v>
      </c>
      <c r="O1436" s="18" t="s">
        <v>98</v>
      </c>
      <c r="P1436" s="15" t="str">
        <f t="shared" si="1"/>
        <v>VERIFY</v>
      </c>
      <c r="Q1436" s="15">
        <f t="shared" si="2"/>
        <v>1</v>
      </c>
      <c r="R1436" s="15">
        <f t="shared" si="3"/>
        <v>5</v>
      </c>
      <c r="S1436" s="15">
        <f t="shared" si="4"/>
        <v>3</v>
      </c>
      <c r="T1436" s="15" t="str">
        <f t="shared" si="5"/>
        <v>C-5</v>
      </c>
      <c r="U1436" s="15" t="str">
        <f t="shared" si="6"/>
        <v>T1-M5-H3-FC-5-VERIFY</v>
      </c>
      <c r="V1436" s="15">
        <f t="shared" si="7"/>
        <v>0</v>
      </c>
      <c r="W1436" s="31"/>
      <c r="X1436" s="15" t="str">
        <f t="shared" si="8"/>
        <v>kediri-indonesia</v>
      </c>
      <c r="Y1436" s="32" t="str">
        <f t="shared" si="9"/>
        <v>https://steelmanufacturer.in/market-area/electropolished-pipes-manufacturer-in-kediri-indonesia/</v>
      </c>
      <c r="Z1436" s="15" t="str">
        <f t="shared" si="10"/>
        <v>Electropolished Pipes Manufacturer in Kediri | Sakshi Forge</v>
      </c>
      <c r="AA1436" s="15" t="str">
        <f t="shared" si="11"/>
        <v>OK (59)</v>
      </c>
      <c r="AB1436" s="15" t="str">
        <f t="shared" si="12"/>
        <v>Manufacturer of electropolished SS 316L tube serving Kediri. 10-14 days sea from Nhava Sheva to Tanjung Priok. Ra 0.25-0.5 um, EN 10204 3.1 MTC.</v>
      </c>
      <c r="AC1436" s="15" t="str">
        <f t="shared" si="13"/>
        <v>PENDING RESEARCH</v>
      </c>
      <c r="AD1436" s="15" t="str">
        <f t="shared" si="14"/>
        <v>Electropolished Pipes Manufacturer in Kediri</v>
      </c>
      <c r="AE1436" s="15" t="str">
        <f t="shared" si="15"/>
        <v>Electropolished Pipes Manufacturer in Kediri - Our Process &amp; Capability</v>
      </c>
      <c r="AF1436" s="15" t="str">
        <f t="shared" si="16"/>
        <v>Electropolished Pipes Supplier in Kediri - What We Hold in Stock</v>
      </c>
      <c r="AG1436" s="15" t="str">
        <f t="shared" si="17"/>
        <v>Bulk &amp; Wholesale Electropolished Pipe Rates for Kediri Buyers</v>
      </c>
      <c r="AH1436" s="15" t="str">
        <f t="shared" si="18"/>
        <v>electropolished pipes manufacturer in Kediri, electropolished pipes supplier in Kediri, electropolished pipes wholesaler in Kediri, electropolished tube manufacturer Kediri, EP pipe supplier Kediri, sanitary tube supplier Kediri, ASME BPE tubing Kediri, ASTM A270 tube Kediri, SS 316L electropolished pipe Kediri</v>
      </c>
      <c r="AI1436" s="15" t="str">
        <f t="shared" si="19"/>
        <v>Electropolished Pipes Manufacturer &amp; Supplier in Kediri</v>
      </c>
      <c r="AJ1436" s="15" t="str">
        <f t="shared" si="20"/>
        <v>EP-finished SS 304/316L pipes and tubes for VERIFY plants in Kediri. ASME BPE SF1-SF4, Ra from 0.25 um, EN 10204 3.1 certificate with every lot.</v>
      </c>
      <c r="AK1436" s="15" t="str">
        <f t="shared" si="21"/>
        <v>Electropolished stainless steel pipes supplied by Sakshi Forge to VERIFY plants at VERIFY, Kediri</v>
      </c>
      <c r="AL1436" s="15" t="str">
        <f t="shared" si="22"/>
        <v>Electropolished SS 316L tube stock for Kediri - Sakshi Forge</v>
      </c>
      <c r="AM1436" s="15" t="str">
        <f t="shared" si="23"/>
        <v>Home &gt; Market Area &gt; Indonesia &gt; VERIFY &gt; Kediri</v>
      </c>
      <c r="AN1436" s="15">
        <f t="shared" si="24"/>
        <v>750</v>
      </c>
      <c r="AO1436" s="15">
        <f t="shared" si="25"/>
        <v>6</v>
      </c>
      <c r="AP1436" s="15">
        <f t="shared" si="26"/>
        <v>6</v>
      </c>
      <c r="AQ1436" s="15">
        <f t="shared" si="27"/>
        <v>24</v>
      </c>
      <c r="AR1436" s="31"/>
      <c r="AS1436" s="31"/>
      <c r="AT1436" s="35" t="s">
        <v>222</v>
      </c>
      <c r="AU1436" s="35"/>
    </row>
    <row r="1437" ht="15.75" customHeight="1">
      <c r="A1437" s="15" t="s">
        <v>7039</v>
      </c>
      <c r="B1437" s="15" t="s">
        <v>445</v>
      </c>
      <c r="C1437" s="15" t="s">
        <v>98</v>
      </c>
      <c r="D1437" s="15" t="s">
        <v>7040</v>
      </c>
      <c r="E1437" s="15" t="s">
        <v>7040</v>
      </c>
      <c r="F1437" s="58" t="s">
        <v>807</v>
      </c>
      <c r="G1437" s="66" t="s">
        <v>98</v>
      </c>
      <c r="H1437" s="18" t="s">
        <v>98</v>
      </c>
      <c r="I1437" s="18" t="s">
        <v>98</v>
      </c>
      <c r="J1437" s="18" t="s">
        <v>98</v>
      </c>
      <c r="K1437" s="18" t="s">
        <v>98</v>
      </c>
      <c r="L1437" s="18" t="s">
        <v>98</v>
      </c>
      <c r="M1437" s="18" t="s">
        <v>643</v>
      </c>
      <c r="N1437" s="18" t="s">
        <v>453</v>
      </c>
      <c r="O1437" s="18" t="s">
        <v>98</v>
      </c>
      <c r="P1437" s="15" t="str">
        <f t="shared" si="1"/>
        <v>VERIFY</v>
      </c>
      <c r="Q1437" s="15">
        <f t="shared" si="2"/>
        <v>2</v>
      </c>
      <c r="R1437" s="15">
        <f t="shared" si="3"/>
        <v>6</v>
      </c>
      <c r="S1437" s="15">
        <f t="shared" si="4"/>
        <v>4</v>
      </c>
      <c r="T1437" s="15" t="str">
        <f t="shared" si="5"/>
        <v>C-6</v>
      </c>
      <c r="U1437" s="15" t="str">
        <f t="shared" si="6"/>
        <v>T2-M6-H4-FC-6-VERIFY</v>
      </c>
      <c r="V1437" s="15">
        <f t="shared" si="7"/>
        <v>0</v>
      </c>
      <c r="W1437" s="31"/>
      <c r="X1437" s="15" t="str">
        <f t="shared" si="8"/>
        <v>kendari-indonesia</v>
      </c>
      <c r="Y1437" s="32" t="str">
        <f t="shared" si="9"/>
        <v>https://steelmanufacturer.in/market-area/electropolished-pipes-manufacturer-in-kendari-indonesia/</v>
      </c>
      <c r="Z1437" s="15" t="str">
        <f t="shared" si="10"/>
        <v>Electropolished Pipes Manufacturer in Kendari</v>
      </c>
      <c r="AA1437" s="15" t="str">
        <f t="shared" si="11"/>
        <v>OK (45)</v>
      </c>
      <c r="AB1437" s="15" t="str">
        <f t="shared" si="12"/>
        <v>EP tube and pipe for VERIFY plants around VERIFY, Kendari. Made at our Mumbai works to ASTM A270 and ASME BPE SF1-SF4, with 3.1 MTC.</v>
      </c>
      <c r="AC1437" s="15" t="str">
        <f t="shared" si="13"/>
        <v>PENDING RESEARCH</v>
      </c>
      <c r="AD1437" s="15" t="str">
        <f t="shared" si="14"/>
        <v>Electropolished Pipes Manufacturer in Kendari</v>
      </c>
      <c r="AE1437" s="15" t="str">
        <f t="shared" si="15"/>
        <v>Manufacturing Electropolished SS Tube for Kendari: The Standards We Build To</v>
      </c>
      <c r="AF1437" s="15" t="str">
        <f t="shared" si="16"/>
        <v>Electropolished Pipe Supply Into Kendari - Certification &amp; Transit</v>
      </c>
      <c r="AG1437" s="15" t="str">
        <f t="shared" si="17"/>
        <v>Electropolished Pipes Wholesaler in Kendari - Project Quantities &amp; Terms</v>
      </c>
      <c r="AH1437" s="15" t="str">
        <f t="shared" si="18"/>
        <v>electropolished pipes manufacturer in Kendari, electropolished pipes supplier in Kendari, electropolished pipes wholesaler in Kendari, electropolished tube manufacturer Kendari, EP pipe supplier Kendari, sanitary tube supplier Kendari, ASME BPE tubing Kendari, ASTM A270 tube Kendari, SS 316L electropolished pipe Kendari</v>
      </c>
      <c r="AI1437" s="15" t="str">
        <f t="shared" si="19"/>
        <v>Electropolished Pipes Manufacturer &amp; Supplier in Kendari</v>
      </c>
      <c r="AJ1437" s="15" t="str">
        <f t="shared" si="20"/>
        <v>EP-finished SS 304/316L pipes and tubes for VERIFY plants in Kendari. ASME BPE SF1-SF4, Ra from 0.25 um, EN 10204 3.1 certificate with every lot.</v>
      </c>
      <c r="AK1437" s="15" t="str">
        <f t="shared" si="21"/>
        <v>Electropolished stainless steel pipes supplied by Sakshi Forge to VERIFY plants at VERIFY, Kendari</v>
      </c>
      <c r="AL1437" s="15" t="str">
        <f t="shared" si="22"/>
        <v>Electropolished SS 316L tube stock for Kendari - Sakshi Forge</v>
      </c>
      <c r="AM1437" s="15" t="str">
        <f t="shared" si="23"/>
        <v>Home &gt; Market Area &gt; Indonesia &gt; VERIFY &gt; Kendari</v>
      </c>
      <c r="AN1437" s="15">
        <f t="shared" si="24"/>
        <v>750</v>
      </c>
      <c r="AO1437" s="15">
        <f t="shared" si="25"/>
        <v>6</v>
      </c>
      <c r="AP1437" s="15">
        <f t="shared" si="26"/>
        <v>6</v>
      </c>
      <c r="AQ1437" s="15">
        <f t="shared" si="27"/>
        <v>24</v>
      </c>
      <c r="AR1437" s="31"/>
      <c r="AS1437" s="31"/>
      <c r="AT1437" s="35" t="s">
        <v>222</v>
      </c>
      <c r="AU1437" s="35"/>
    </row>
    <row r="1438" ht="15.75" customHeight="1">
      <c r="A1438" s="15" t="s">
        <v>7041</v>
      </c>
      <c r="B1438" s="15" t="s">
        <v>445</v>
      </c>
      <c r="C1438" s="15" t="s">
        <v>98</v>
      </c>
      <c r="D1438" s="15" t="s">
        <v>7042</v>
      </c>
      <c r="E1438" s="15" t="s">
        <v>7042</v>
      </c>
      <c r="F1438" s="58" t="s">
        <v>807</v>
      </c>
      <c r="G1438" s="66" t="s">
        <v>98</v>
      </c>
      <c r="H1438" s="18" t="s">
        <v>98</v>
      </c>
      <c r="I1438" s="18" t="s">
        <v>98</v>
      </c>
      <c r="J1438" s="18" t="s">
        <v>98</v>
      </c>
      <c r="K1438" s="18" t="s">
        <v>98</v>
      </c>
      <c r="L1438" s="18" t="s">
        <v>98</v>
      </c>
      <c r="M1438" s="18" t="s">
        <v>643</v>
      </c>
      <c r="N1438" s="18" t="s">
        <v>453</v>
      </c>
      <c r="O1438" s="18" t="s">
        <v>98</v>
      </c>
      <c r="P1438" s="15" t="str">
        <f t="shared" si="1"/>
        <v>VERIFY</v>
      </c>
      <c r="Q1438" s="15">
        <f t="shared" si="2"/>
        <v>3</v>
      </c>
      <c r="R1438" s="15">
        <f t="shared" si="3"/>
        <v>7</v>
      </c>
      <c r="S1438" s="15">
        <f t="shared" si="4"/>
        <v>5</v>
      </c>
      <c r="T1438" s="15" t="str">
        <f t="shared" si="5"/>
        <v>C-1</v>
      </c>
      <c r="U1438" s="15" t="str">
        <f t="shared" si="6"/>
        <v>T3-M7-H5-FC-1-VERIFY</v>
      </c>
      <c r="V1438" s="15">
        <f t="shared" si="7"/>
        <v>0</v>
      </c>
      <c r="W1438" s="31"/>
      <c r="X1438" s="15" t="str">
        <f t="shared" si="8"/>
        <v>kudus-indonesia</v>
      </c>
      <c r="Y1438" s="32" t="str">
        <f t="shared" si="9"/>
        <v>https://steelmanufacturer.in/market-area/electropolished-pipes-manufacturer-in-kudus-indonesia/</v>
      </c>
      <c r="Z1438" s="15" t="str">
        <f t="shared" si="10"/>
        <v>Electropolished Pipes Manufacturer in Kudus | EP Tube Supplier</v>
      </c>
      <c r="AA1438" s="15" t="str">
        <f t="shared" si="11"/>
        <v>OK (62)</v>
      </c>
      <c r="AB1438" s="15" t="str">
        <f t="shared" si="12"/>
        <v>Electropolished pipes in Kudus: 304, 304L, 316 and 316L in SF1-SF4. 10-14 days sea from Nhava Sheva to Tanjung Priok. Mill certified.</v>
      </c>
      <c r="AC1438" s="15" t="str">
        <f t="shared" si="13"/>
        <v>PENDING RESEARCH</v>
      </c>
      <c r="AD1438" s="15" t="str">
        <f t="shared" si="14"/>
        <v>Electropolished Pipes Manufacturer in Kudus</v>
      </c>
      <c r="AE1438" s="15" t="str">
        <f t="shared" si="15"/>
        <v>Electropolished Tube Manufacturing Capability Serving Kudus</v>
      </c>
      <c r="AF1438" s="15" t="str">
        <f t="shared" si="16"/>
        <v>Electropolished Pipes Supplier in Kudus - From Order to Delivery</v>
      </c>
      <c r="AG1438" s="15" t="str">
        <f t="shared" si="17"/>
        <v>Stockist &amp; Wholesale Supply of Electropolished Pipes in Kudus</v>
      </c>
      <c r="AH1438" s="15" t="str">
        <f t="shared" si="18"/>
        <v>electropolished pipes manufacturer in Kudus, electropolished pipes supplier in Kudus, electropolished pipes wholesaler in Kudus, electropolished tube manufacturer Kudus, EP pipe supplier Kudus, sanitary tube supplier Kudus, ASME BPE tubing Kudus, ASTM A270 tube Kudus, SS 316L electropolished pipe Kudus</v>
      </c>
      <c r="AI1438" s="15" t="str">
        <f t="shared" si="19"/>
        <v>Electropolished Pipes Manufacturer &amp; Supplier in Kudus</v>
      </c>
      <c r="AJ1438" s="15" t="str">
        <f t="shared" si="20"/>
        <v>EP-finished SS 304/316L pipes and tubes for VERIFY plants in Kudus. ASME BPE SF1-SF4, Ra from 0.25 um, EN 10204 3.1 certificate with every lot.</v>
      </c>
      <c r="AK1438" s="15" t="str">
        <f t="shared" si="21"/>
        <v>Electropolished stainless steel pipes supplied by Sakshi Forge to VERIFY plants at VERIFY, Kudus</v>
      </c>
      <c r="AL1438" s="15" t="str">
        <f t="shared" si="22"/>
        <v>Electropolished SS 316L tube stock for Kudus - Sakshi Forge</v>
      </c>
      <c r="AM1438" s="15" t="str">
        <f t="shared" si="23"/>
        <v>Home &gt; Market Area &gt; Indonesia &gt; VERIFY &gt; Kudus</v>
      </c>
      <c r="AN1438" s="15">
        <f t="shared" si="24"/>
        <v>750</v>
      </c>
      <c r="AO1438" s="15">
        <f t="shared" si="25"/>
        <v>6</v>
      </c>
      <c r="AP1438" s="15">
        <f t="shared" si="26"/>
        <v>6</v>
      </c>
      <c r="AQ1438" s="15">
        <f t="shared" si="27"/>
        <v>24</v>
      </c>
      <c r="AR1438" s="31"/>
      <c r="AS1438" s="31"/>
      <c r="AT1438" s="35" t="s">
        <v>222</v>
      </c>
      <c r="AU1438" s="35"/>
    </row>
    <row r="1439" ht="15.75" customHeight="1">
      <c r="A1439" s="15" t="s">
        <v>7043</v>
      </c>
      <c r="B1439" s="15" t="s">
        <v>445</v>
      </c>
      <c r="C1439" s="15" t="s">
        <v>98</v>
      </c>
      <c r="D1439" s="15" t="s">
        <v>7045</v>
      </c>
      <c r="E1439" s="15" t="s">
        <v>7045</v>
      </c>
      <c r="F1439" s="58" t="s">
        <v>807</v>
      </c>
      <c r="G1439" s="66" t="s">
        <v>98</v>
      </c>
      <c r="H1439" s="18" t="s">
        <v>98</v>
      </c>
      <c r="I1439" s="18" t="s">
        <v>98</v>
      </c>
      <c r="J1439" s="18" t="s">
        <v>98</v>
      </c>
      <c r="K1439" s="18" t="s">
        <v>98</v>
      </c>
      <c r="L1439" s="18" t="s">
        <v>98</v>
      </c>
      <c r="M1439" s="18" t="s">
        <v>643</v>
      </c>
      <c r="N1439" s="18" t="s">
        <v>453</v>
      </c>
      <c r="O1439" s="18" t="s">
        <v>98</v>
      </c>
      <c r="P1439" s="15" t="str">
        <f t="shared" si="1"/>
        <v>VERIFY</v>
      </c>
      <c r="Q1439" s="15">
        <f t="shared" si="2"/>
        <v>4</v>
      </c>
      <c r="R1439" s="15">
        <f t="shared" si="3"/>
        <v>1</v>
      </c>
      <c r="S1439" s="15">
        <f t="shared" si="4"/>
        <v>1</v>
      </c>
      <c r="T1439" s="15" t="str">
        <f t="shared" si="5"/>
        <v>C-2</v>
      </c>
      <c r="U1439" s="15" t="str">
        <f t="shared" si="6"/>
        <v>T4-M1-H1-FC-2-VERIFY</v>
      </c>
      <c r="V1439" s="15">
        <f t="shared" si="7"/>
        <v>0</v>
      </c>
      <c r="W1439" s="31"/>
      <c r="X1439" s="15" t="str">
        <f t="shared" si="8"/>
        <v>kupang-indonesia</v>
      </c>
      <c r="Y1439" s="32" t="str">
        <f t="shared" si="9"/>
        <v>https://steelmanufacturer.in/market-area/electropolished-pipes-manufacturer-in-kupang-indonesia/</v>
      </c>
      <c r="Z1439" s="15" t="str">
        <f t="shared" si="10"/>
        <v>Electropolished Pipes Manufacturer in Kupang</v>
      </c>
      <c r="AA1439" s="15" t="str">
        <f t="shared" si="11"/>
        <v>OK (44)</v>
      </c>
      <c r="AB1439" s="15" t="str">
        <f t="shared" si="12"/>
        <v>EP-finished SS 304/316L pipes &amp; tubes for VERIFY plants in Kupang. ASTM A270, ASME BPE SF1-SF4, EN 10204 3.1 MTC. PMI tested.</v>
      </c>
      <c r="AC1439" s="15" t="str">
        <f t="shared" si="13"/>
        <v>PENDING RESEARCH</v>
      </c>
      <c r="AD1439" s="15" t="str">
        <f t="shared" si="14"/>
        <v>Electropolished Pipes Manufacturer in Kupang</v>
      </c>
      <c r="AE1439" s="15" t="str">
        <f t="shared" si="15"/>
        <v>Electropolished Pipe &amp; Tube Manufacturing for Kupang - Grades, Finishes &amp; Certification</v>
      </c>
      <c r="AF1439" s="15" t="str">
        <f t="shared" si="16"/>
        <v>Electropolished Pipes Supplier in Kupang - Stock Sizes, Lead Time &amp; Delivery</v>
      </c>
      <c r="AG1439" s="15" t="str">
        <f t="shared" si="17"/>
        <v>Electropolished Pipes Wholesaler &amp; Stockist in Kupang - Bulk &amp; Project Pricing</v>
      </c>
      <c r="AH1439" s="15" t="str">
        <f t="shared" si="18"/>
        <v>electropolished pipes manufacturer in Kupang, electropolished pipes supplier in Kupang, electropolished pipes wholesaler in Kupang, electropolished tube manufacturer Kupang, EP pipe supplier Kupang, sanitary tube supplier Kupang, ASME BPE tubing Kupang, ASTM A270 tube Kupang, SS 316L electropolished pipe Kupang</v>
      </c>
      <c r="AI1439" s="15" t="str">
        <f t="shared" si="19"/>
        <v>Electropolished Pipes Manufacturer &amp; Supplier in Kupang</v>
      </c>
      <c r="AJ1439" s="15" t="str">
        <f t="shared" si="20"/>
        <v>EP-finished SS 304/316L pipes and tubes for VERIFY plants in Kupang. ASME BPE SF1-SF4, Ra from 0.25 um, EN 10204 3.1 certificate with every lot.</v>
      </c>
      <c r="AK1439" s="15" t="str">
        <f t="shared" si="21"/>
        <v>Electropolished stainless steel pipes supplied by Sakshi Forge to VERIFY plants at VERIFY, Kupang</v>
      </c>
      <c r="AL1439" s="15" t="str">
        <f t="shared" si="22"/>
        <v>Electropolished SS 316L tube stock for Kupang - Sakshi Forge</v>
      </c>
      <c r="AM1439" s="15" t="str">
        <f t="shared" si="23"/>
        <v>Home &gt; Market Area &gt; Indonesia &gt; VERIFY &gt; Kupang</v>
      </c>
      <c r="AN1439" s="15">
        <f t="shared" si="24"/>
        <v>750</v>
      </c>
      <c r="AO1439" s="15">
        <f t="shared" si="25"/>
        <v>6</v>
      </c>
      <c r="AP1439" s="15">
        <f t="shared" si="26"/>
        <v>6</v>
      </c>
      <c r="AQ1439" s="15">
        <f t="shared" si="27"/>
        <v>24</v>
      </c>
      <c r="AR1439" s="31"/>
      <c r="AS1439" s="31"/>
      <c r="AT1439" s="35" t="s">
        <v>222</v>
      </c>
      <c r="AU1439" s="35"/>
    </row>
    <row r="1440" ht="15.75" customHeight="1">
      <c r="A1440" s="15" t="s">
        <v>7051</v>
      </c>
      <c r="B1440" s="15" t="s">
        <v>445</v>
      </c>
      <c r="C1440" s="15" t="s">
        <v>98</v>
      </c>
      <c r="D1440" s="15" t="s">
        <v>7052</v>
      </c>
      <c r="E1440" s="15" t="s">
        <v>7052</v>
      </c>
      <c r="F1440" s="58" t="s">
        <v>807</v>
      </c>
      <c r="G1440" s="66" t="s">
        <v>98</v>
      </c>
      <c r="H1440" s="18" t="s">
        <v>98</v>
      </c>
      <c r="I1440" s="18" t="s">
        <v>98</v>
      </c>
      <c r="J1440" s="18" t="s">
        <v>98</v>
      </c>
      <c r="K1440" s="18" t="s">
        <v>98</v>
      </c>
      <c r="L1440" s="18" t="s">
        <v>98</v>
      </c>
      <c r="M1440" s="18" t="s">
        <v>643</v>
      </c>
      <c r="N1440" s="18" t="s">
        <v>453</v>
      </c>
      <c r="O1440" s="18" t="s">
        <v>98</v>
      </c>
      <c r="P1440" s="15" t="str">
        <f t="shared" si="1"/>
        <v>VERIFY</v>
      </c>
      <c r="Q1440" s="15">
        <f t="shared" si="2"/>
        <v>5</v>
      </c>
      <c r="R1440" s="15">
        <f t="shared" si="3"/>
        <v>2</v>
      </c>
      <c r="S1440" s="15">
        <f t="shared" si="4"/>
        <v>2</v>
      </c>
      <c r="T1440" s="15" t="str">
        <f t="shared" si="5"/>
        <v>C-3</v>
      </c>
      <c r="U1440" s="15" t="str">
        <f t="shared" si="6"/>
        <v>T5-M2-H2-FC-3-VERIFY</v>
      </c>
      <c r="V1440" s="15">
        <f t="shared" si="7"/>
        <v>0</v>
      </c>
      <c r="W1440" s="31"/>
      <c r="X1440" s="15" t="str">
        <f t="shared" si="8"/>
        <v>lampung-indonesia</v>
      </c>
      <c r="Y1440" s="32" t="str">
        <f t="shared" si="9"/>
        <v>https://steelmanufacturer.in/market-area/electropolished-pipes-manufacturer-in-lampung-indonesia/</v>
      </c>
      <c r="Z1440" s="15" t="str">
        <f t="shared" si="10"/>
        <v>Electropolished Pipes Manufacturer in Lampung</v>
      </c>
      <c r="AA1440" s="15" t="str">
        <f t="shared" si="11"/>
        <v>OK (45)</v>
      </c>
      <c r="AB1440" s="15" t="str">
        <f t="shared" si="12"/>
        <v>Electropolished tube supply to VERIFY, Lampung. Ra from 0.25 um, SF4 finish, mill test certificate with every lot.</v>
      </c>
      <c r="AC1440" s="15" t="str">
        <f t="shared" si="13"/>
        <v>PENDING RESEARCH</v>
      </c>
      <c r="AD1440" s="15" t="str">
        <f t="shared" si="14"/>
        <v>Electropolished Pipes Manufacturer in Lampung</v>
      </c>
      <c r="AE1440" s="15" t="str">
        <f t="shared" si="15"/>
        <v>How We Manufacture Electropolished Tube for Lampung Plants</v>
      </c>
      <c r="AF1440" s="15" t="str">
        <f t="shared" si="16"/>
        <v>Supplying Electropolished Pipes in Lampung: Availability, Sizes &amp; Dispatch</v>
      </c>
      <c r="AG1440" s="15" t="str">
        <f t="shared" si="17"/>
        <v>Wholesale Electropolished Pipe Supply for Lampung Projects</v>
      </c>
      <c r="AH1440" s="15" t="str">
        <f t="shared" si="18"/>
        <v>electropolished pipes manufacturer in Lampung, electropolished pipes supplier in Lampung, electropolished pipes wholesaler in Lampung, electropolished tube manufacturer Lampung, EP pipe supplier Lampung, sanitary tube supplier Lampung, ASME BPE tubing Lampung, ASTM A270 tube Lampung, SS 316L electropolished pipe Lampung</v>
      </c>
      <c r="AI1440" s="15" t="str">
        <f t="shared" si="19"/>
        <v>Electropolished Pipes Manufacturer &amp; Supplier in Lampung</v>
      </c>
      <c r="AJ1440" s="15" t="str">
        <f t="shared" si="20"/>
        <v>EP-finished SS 304/316L pipes and tubes for VERIFY plants in Lampung. ASME BPE SF1-SF4, Ra from 0.25 um, EN 10204 3.1 certificate with every lot.</v>
      </c>
      <c r="AK1440" s="15" t="str">
        <f t="shared" si="21"/>
        <v>Electropolished stainless steel pipes supplied by Sakshi Forge to VERIFY plants at VERIFY, Lampung</v>
      </c>
      <c r="AL1440" s="15" t="str">
        <f t="shared" si="22"/>
        <v>Electropolished SS 316L tube stock for Lampung - Sakshi Forge</v>
      </c>
      <c r="AM1440" s="15" t="str">
        <f t="shared" si="23"/>
        <v>Home &gt; Market Area &gt; Indonesia &gt; VERIFY &gt; Lampung</v>
      </c>
      <c r="AN1440" s="15">
        <f t="shared" si="24"/>
        <v>750</v>
      </c>
      <c r="AO1440" s="15">
        <f t="shared" si="25"/>
        <v>6</v>
      </c>
      <c r="AP1440" s="15">
        <f t="shared" si="26"/>
        <v>6</v>
      </c>
      <c r="AQ1440" s="15">
        <f t="shared" si="27"/>
        <v>24</v>
      </c>
      <c r="AR1440" s="31"/>
      <c r="AS1440" s="31"/>
      <c r="AT1440" s="35" t="s">
        <v>222</v>
      </c>
      <c r="AU1440" s="35"/>
    </row>
    <row r="1441" ht="15.75" customHeight="1">
      <c r="A1441" s="15" t="s">
        <v>7053</v>
      </c>
      <c r="B1441" s="15" t="s">
        <v>445</v>
      </c>
      <c r="C1441" s="15" t="s">
        <v>98</v>
      </c>
      <c r="D1441" s="15" t="s">
        <v>7054</v>
      </c>
      <c r="E1441" s="15" t="s">
        <v>7054</v>
      </c>
      <c r="F1441" s="58" t="s">
        <v>807</v>
      </c>
      <c r="G1441" s="66" t="s">
        <v>98</v>
      </c>
      <c r="H1441" s="18" t="s">
        <v>98</v>
      </c>
      <c r="I1441" s="18" t="s">
        <v>98</v>
      </c>
      <c r="J1441" s="18" t="s">
        <v>98</v>
      </c>
      <c r="K1441" s="18" t="s">
        <v>98</v>
      </c>
      <c r="L1441" s="18" t="s">
        <v>98</v>
      </c>
      <c r="M1441" s="18" t="s">
        <v>643</v>
      </c>
      <c r="N1441" s="18" t="s">
        <v>453</v>
      </c>
      <c r="O1441" s="18" t="s">
        <v>98</v>
      </c>
      <c r="P1441" s="15" t="str">
        <f t="shared" si="1"/>
        <v>VERIFY</v>
      </c>
      <c r="Q1441" s="15">
        <f t="shared" si="2"/>
        <v>6</v>
      </c>
      <c r="R1441" s="15">
        <f t="shared" si="3"/>
        <v>3</v>
      </c>
      <c r="S1441" s="15">
        <f t="shared" si="4"/>
        <v>3</v>
      </c>
      <c r="T1441" s="15" t="str">
        <f t="shared" si="5"/>
        <v>C-4</v>
      </c>
      <c r="U1441" s="15" t="str">
        <f t="shared" si="6"/>
        <v>T6-M3-H3-FC-4-VERIFY</v>
      </c>
      <c r="V1441" s="15">
        <f t="shared" si="7"/>
        <v>0</v>
      </c>
      <c r="W1441" s="31"/>
      <c r="X1441" s="15" t="str">
        <f t="shared" si="8"/>
        <v>madiun-indonesia</v>
      </c>
      <c r="Y1441" s="32" t="str">
        <f t="shared" si="9"/>
        <v>https://steelmanufacturer.in/market-area/electropolished-pipes-manufacturer-in-madiun-indonesia/</v>
      </c>
      <c r="Z1441" s="15" t="str">
        <f t="shared" si="10"/>
        <v>Electropolished Pipes Manufacturer in Madiun</v>
      </c>
      <c r="AA1441" s="15" t="str">
        <f t="shared" si="11"/>
        <v>OK (44)</v>
      </c>
      <c r="AB1441" s="15" t="str">
        <f t="shared" si="12"/>
        <v>EP stainless tube for VERIFY lines in Madiun. 10-14 days sea from Nhava Sheva to Tanjung Priok. ASTM A270 S2, PMI tested, EN 10204 3.1.</v>
      </c>
      <c r="AC1441" s="15" t="str">
        <f t="shared" si="13"/>
        <v>PENDING RESEARCH</v>
      </c>
      <c r="AD1441" s="15" t="str">
        <f t="shared" si="14"/>
        <v>Electropolished Pipes Manufacturer in Madiun</v>
      </c>
      <c r="AE1441" s="15" t="str">
        <f t="shared" si="15"/>
        <v>Electropolished Pipes Manufacturer in Madiun - Our Process &amp; Capability</v>
      </c>
      <c r="AF1441" s="15" t="str">
        <f t="shared" si="16"/>
        <v>Electropolished Pipes Supplier in Madiun - What We Hold in Stock</v>
      </c>
      <c r="AG1441" s="15" t="str">
        <f t="shared" si="17"/>
        <v>Bulk &amp; Wholesale Electropolished Pipe Rates for Madiun Buyers</v>
      </c>
      <c r="AH1441" s="15" t="str">
        <f t="shared" si="18"/>
        <v>electropolished pipes manufacturer in Madiun, electropolished pipes supplier in Madiun, electropolished pipes wholesaler in Madiun, electropolished tube manufacturer Madiun, EP pipe supplier Madiun, sanitary tube supplier Madiun, ASME BPE tubing Madiun, ASTM A270 tube Madiun, SS 316L electropolished pipe Madiun</v>
      </c>
      <c r="AI1441" s="15" t="str">
        <f t="shared" si="19"/>
        <v>Electropolished Pipes Manufacturer &amp; Supplier in Madiun</v>
      </c>
      <c r="AJ1441" s="15" t="str">
        <f t="shared" si="20"/>
        <v>EP-finished SS 304/316L pipes and tubes for VERIFY plants in Madiun. ASME BPE SF1-SF4, Ra from 0.25 um, EN 10204 3.1 certificate with every lot.</v>
      </c>
      <c r="AK1441" s="15" t="str">
        <f t="shared" si="21"/>
        <v>Electropolished stainless steel pipes supplied by Sakshi Forge to VERIFY plants at VERIFY, Madiun</v>
      </c>
      <c r="AL1441" s="15" t="str">
        <f t="shared" si="22"/>
        <v>Electropolished SS 316L tube stock for Madiun - Sakshi Forge</v>
      </c>
      <c r="AM1441" s="15" t="str">
        <f t="shared" si="23"/>
        <v>Home &gt; Market Area &gt; Indonesia &gt; VERIFY &gt; Madiun</v>
      </c>
      <c r="AN1441" s="15">
        <f t="shared" si="24"/>
        <v>750</v>
      </c>
      <c r="AO1441" s="15">
        <f t="shared" si="25"/>
        <v>6</v>
      </c>
      <c r="AP1441" s="15">
        <f t="shared" si="26"/>
        <v>6</v>
      </c>
      <c r="AQ1441" s="15">
        <f t="shared" si="27"/>
        <v>24</v>
      </c>
      <c r="AR1441" s="31"/>
      <c r="AS1441" s="31"/>
      <c r="AT1441" s="35" t="s">
        <v>222</v>
      </c>
      <c r="AU1441" s="35"/>
    </row>
    <row r="1442" ht="15.75" customHeight="1">
      <c r="A1442" s="15" t="s">
        <v>7055</v>
      </c>
      <c r="B1442" s="15" t="s">
        <v>445</v>
      </c>
      <c r="C1442" s="15" t="s">
        <v>98</v>
      </c>
      <c r="D1442" s="15" t="s">
        <v>7056</v>
      </c>
      <c r="E1442" s="15" t="s">
        <v>7056</v>
      </c>
      <c r="F1442" s="58" t="s">
        <v>807</v>
      </c>
      <c r="G1442" s="66" t="s">
        <v>98</v>
      </c>
      <c r="H1442" s="18" t="s">
        <v>98</v>
      </c>
      <c r="I1442" s="18" t="s">
        <v>98</v>
      </c>
      <c r="J1442" s="18" t="s">
        <v>98</v>
      </c>
      <c r="K1442" s="18" t="s">
        <v>98</v>
      </c>
      <c r="L1442" s="18" t="s">
        <v>98</v>
      </c>
      <c r="M1442" s="18" t="s">
        <v>643</v>
      </c>
      <c r="N1442" s="18" t="s">
        <v>453</v>
      </c>
      <c r="O1442" s="18" t="s">
        <v>98</v>
      </c>
      <c r="P1442" s="15" t="str">
        <f t="shared" si="1"/>
        <v>VERIFY</v>
      </c>
      <c r="Q1442" s="15">
        <f t="shared" si="2"/>
        <v>7</v>
      </c>
      <c r="R1442" s="15">
        <f t="shared" si="3"/>
        <v>4</v>
      </c>
      <c r="S1442" s="15">
        <f t="shared" si="4"/>
        <v>4</v>
      </c>
      <c r="T1442" s="15" t="str">
        <f t="shared" si="5"/>
        <v>C-5</v>
      </c>
      <c r="U1442" s="15" t="str">
        <f t="shared" si="6"/>
        <v>T7-M4-H4-FC-5-VERIFY</v>
      </c>
      <c r="V1442" s="15">
        <f t="shared" si="7"/>
        <v>0</v>
      </c>
      <c r="W1442" s="31"/>
      <c r="X1442" s="15" t="str">
        <f t="shared" si="8"/>
        <v>magelang-indonesia</v>
      </c>
      <c r="Y1442" s="32" t="str">
        <f t="shared" si="9"/>
        <v>https://steelmanufacturer.in/market-area/electropolished-pipes-manufacturer-in-magelang-indonesia/</v>
      </c>
      <c r="Z1442" s="15" t="str">
        <f t="shared" si="10"/>
        <v>Electropolished Pipes Manufacturer in Magelang | ASME BPE SF1-SF4</v>
      </c>
      <c r="AA1442" s="15" t="str">
        <f t="shared" si="11"/>
        <v>OK (65)</v>
      </c>
      <c r="AB1442" s="15" t="str">
        <f t="shared" si="12"/>
        <v>Sanitary electropolished pipes in Magelang for VERIFY plants. ASME BPE SF1-SF4, orbital-weld ready, 3.1 MTC. Mumbai-made.</v>
      </c>
      <c r="AC1442" s="15" t="str">
        <f t="shared" si="13"/>
        <v>PENDING RESEARCH</v>
      </c>
      <c r="AD1442" s="15" t="str">
        <f t="shared" si="14"/>
        <v>Electropolished Pipes Manufacturer in Magelang</v>
      </c>
      <c r="AE1442" s="15" t="str">
        <f t="shared" si="15"/>
        <v>Manufacturing Electropolished SS Tube for Magelang: The Standards We Build To</v>
      </c>
      <c r="AF1442" s="15" t="str">
        <f t="shared" si="16"/>
        <v>Electropolished Pipe Supply Into Magelang - Certification &amp; Transit</v>
      </c>
      <c r="AG1442" s="15" t="str">
        <f t="shared" si="17"/>
        <v>Electropolished Pipes Wholesaler in Magelang - Project Quantities &amp; Terms</v>
      </c>
      <c r="AH1442" s="15" t="str">
        <f t="shared" si="18"/>
        <v>electropolished pipes manufacturer in Magelang, electropolished pipes supplier in Magelang, electropolished pipes wholesaler in Magelang, electropolished tube manufacturer Magelang, EP pipe supplier Magelang, sanitary tube supplier Magelang, ASME BPE tubing Magelang, ASTM A270 tube Magelang, SS 316L electropolished pipe Magelang</v>
      </c>
      <c r="AI1442" s="15" t="str">
        <f t="shared" si="19"/>
        <v>Electropolished Pipes Manufacturer &amp; Supplier in Magelang</v>
      </c>
      <c r="AJ1442" s="15" t="str">
        <f t="shared" si="20"/>
        <v>EP-finished SS 304/316L pipes and tubes for VERIFY plants in Magelang. ASME BPE SF1-SF4, Ra from 0.25 um, EN 10204 3.1 certificate with every lot.</v>
      </c>
      <c r="AK1442" s="15" t="str">
        <f t="shared" si="21"/>
        <v>Electropolished stainless steel pipes supplied by Sakshi Forge to VERIFY plants at VERIFY, Magelang</v>
      </c>
      <c r="AL1442" s="15" t="str">
        <f t="shared" si="22"/>
        <v>Electropolished SS 316L tube stock for Magelang - Sakshi Forge</v>
      </c>
      <c r="AM1442" s="15" t="str">
        <f t="shared" si="23"/>
        <v>Home &gt; Market Area &gt; Indonesia &gt; VERIFY &gt; Magelang</v>
      </c>
      <c r="AN1442" s="15">
        <f t="shared" si="24"/>
        <v>750</v>
      </c>
      <c r="AO1442" s="15">
        <f t="shared" si="25"/>
        <v>6</v>
      </c>
      <c r="AP1442" s="15">
        <f t="shared" si="26"/>
        <v>6</v>
      </c>
      <c r="AQ1442" s="15">
        <f t="shared" si="27"/>
        <v>24</v>
      </c>
      <c r="AR1442" s="31"/>
      <c r="AS1442" s="31"/>
      <c r="AT1442" s="35" t="s">
        <v>222</v>
      </c>
      <c r="AU1442" s="35"/>
    </row>
    <row r="1443" ht="15.75" customHeight="1">
      <c r="A1443" s="15" t="s">
        <v>7057</v>
      </c>
      <c r="B1443" s="15" t="s">
        <v>445</v>
      </c>
      <c r="C1443" s="15" t="s">
        <v>98</v>
      </c>
      <c r="D1443" s="15" t="s">
        <v>7058</v>
      </c>
      <c r="E1443" s="15" t="s">
        <v>7058</v>
      </c>
      <c r="F1443" s="58" t="s">
        <v>807</v>
      </c>
      <c r="G1443" s="66" t="s">
        <v>98</v>
      </c>
      <c r="H1443" s="18" t="s">
        <v>98</v>
      </c>
      <c r="I1443" s="18" t="s">
        <v>98</v>
      </c>
      <c r="J1443" s="18" t="s">
        <v>98</v>
      </c>
      <c r="K1443" s="18" t="s">
        <v>98</v>
      </c>
      <c r="L1443" s="18" t="s">
        <v>98</v>
      </c>
      <c r="M1443" s="18" t="s">
        <v>643</v>
      </c>
      <c r="N1443" s="18" t="s">
        <v>453</v>
      </c>
      <c r="O1443" s="18" t="s">
        <v>98</v>
      </c>
      <c r="P1443" s="15" t="str">
        <f t="shared" si="1"/>
        <v>VERIFY</v>
      </c>
      <c r="Q1443" s="15">
        <f t="shared" si="2"/>
        <v>8</v>
      </c>
      <c r="R1443" s="15">
        <f t="shared" si="3"/>
        <v>5</v>
      </c>
      <c r="S1443" s="15">
        <f t="shared" si="4"/>
        <v>5</v>
      </c>
      <c r="T1443" s="15" t="str">
        <f t="shared" si="5"/>
        <v>C-6</v>
      </c>
      <c r="U1443" s="15" t="str">
        <f t="shared" si="6"/>
        <v>T8-M5-H5-FC-6-VERIFY</v>
      </c>
      <c r="V1443" s="15">
        <f t="shared" si="7"/>
        <v>0</v>
      </c>
      <c r="W1443" s="31"/>
      <c r="X1443" s="15" t="str">
        <f t="shared" si="8"/>
        <v>malang-indonesia</v>
      </c>
      <c r="Y1443" s="32" t="str">
        <f t="shared" si="9"/>
        <v>https://steelmanufacturer.in/market-area/electropolished-pipes-manufacturer-in-malang-indonesia/</v>
      </c>
      <c r="Z1443" s="15" t="str">
        <f t="shared" si="10"/>
        <v>Electropolished Pipes Manufacturer in Malang - EP Tube Stockist</v>
      </c>
      <c r="AA1443" s="15" t="str">
        <f t="shared" si="11"/>
        <v>OK (63)</v>
      </c>
      <c r="AB1443" s="15" t="str">
        <f t="shared" si="12"/>
        <v>Manufacturer of electropolished SS 316L tube serving Malang. 10-14 days sea from Nhava Sheva to Tanjung Priok. Ra 0.25-0.5 um, EN 10204 3.1 MTC.</v>
      </c>
      <c r="AC1443" s="15" t="str">
        <f t="shared" si="13"/>
        <v>PENDING RESEARCH</v>
      </c>
      <c r="AD1443" s="15" t="str">
        <f t="shared" si="14"/>
        <v>Electropolished Pipes Manufacturer in Malang</v>
      </c>
      <c r="AE1443" s="15" t="str">
        <f t="shared" si="15"/>
        <v>Electropolished Tube Manufacturing Capability Serving Malang</v>
      </c>
      <c r="AF1443" s="15" t="str">
        <f t="shared" si="16"/>
        <v>Electropolished Pipes Supplier in Malang - From Order to Delivery</v>
      </c>
      <c r="AG1443" s="15" t="str">
        <f t="shared" si="17"/>
        <v>Stockist &amp; Wholesale Supply of Electropolished Pipes in Malang</v>
      </c>
      <c r="AH1443" s="15" t="str">
        <f t="shared" si="18"/>
        <v>electropolished pipes manufacturer in Malang, electropolished pipes supplier in Malang, electropolished pipes wholesaler in Malang, electropolished tube manufacturer Malang, EP pipe supplier Malang, sanitary tube supplier Malang, ASME BPE tubing Malang, ASTM A270 tube Malang, SS 316L electropolished pipe Malang</v>
      </c>
      <c r="AI1443" s="15" t="str">
        <f t="shared" si="19"/>
        <v>Electropolished Pipes Manufacturer &amp; Supplier in Malang</v>
      </c>
      <c r="AJ1443" s="15" t="str">
        <f t="shared" si="20"/>
        <v>EP-finished SS 304/316L pipes and tubes for VERIFY plants in Malang. ASME BPE SF1-SF4, Ra from 0.25 um, EN 10204 3.1 certificate with every lot.</v>
      </c>
      <c r="AK1443" s="15" t="str">
        <f t="shared" si="21"/>
        <v>Electropolished stainless steel pipes supplied by Sakshi Forge to VERIFY plants at VERIFY, Malang</v>
      </c>
      <c r="AL1443" s="15" t="str">
        <f t="shared" si="22"/>
        <v>Electropolished SS 316L tube stock for Malang - Sakshi Forge</v>
      </c>
      <c r="AM1443" s="15" t="str">
        <f t="shared" si="23"/>
        <v>Home &gt; Market Area &gt; Indonesia &gt; VERIFY &gt; Malang</v>
      </c>
      <c r="AN1443" s="15">
        <f t="shared" si="24"/>
        <v>750</v>
      </c>
      <c r="AO1443" s="15">
        <f t="shared" si="25"/>
        <v>6</v>
      </c>
      <c r="AP1443" s="15">
        <f t="shared" si="26"/>
        <v>6</v>
      </c>
      <c r="AQ1443" s="15">
        <f t="shared" si="27"/>
        <v>24</v>
      </c>
      <c r="AR1443" s="31"/>
      <c r="AS1443" s="31"/>
      <c r="AT1443" s="35" t="s">
        <v>222</v>
      </c>
      <c r="AU1443" s="35"/>
    </row>
    <row r="1444" ht="15.75" customHeight="1">
      <c r="A1444" s="15" t="s">
        <v>7059</v>
      </c>
      <c r="B1444" s="15" t="s">
        <v>445</v>
      </c>
      <c r="C1444" s="15" t="s">
        <v>98</v>
      </c>
      <c r="D1444" s="15" t="s">
        <v>7060</v>
      </c>
      <c r="E1444" s="15" t="s">
        <v>7060</v>
      </c>
      <c r="F1444" s="58" t="s">
        <v>807</v>
      </c>
      <c r="G1444" s="66" t="s">
        <v>98</v>
      </c>
      <c r="H1444" s="18" t="s">
        <v>98</v>
      </c>
      <c r="I1444" s="18" t="s">
        <v>98</v>
      </c>
      <c r="J1444" s="18" t="s">
        <v>98</v>
      </c>
      <c r="K1444" s="18" t="s">
        <v>98</v>
      </c>
      <c r="L1444" s="18" t="s">
        <v>98</v>
      </c>
      <c r="M1444" s="18" t="s">
        <v>643</v>
      </c>
      <c r="N1444" s="18" t="s">
        <v>453</v>
      </c>
      <c r="O1444" s="18" t="s">
        <v>98</v>
      </c>
      <c r="P1444" s="15" t="str">
        <f t="shared" si="1"/>
        <v>VERIFY</v>
      </c>
      <c r="Q1444" s="15">
        <f t="shared" si="2"/>
        <v>1</v>
      </c>
      <c r="R1444" s="15">
        <f t="shared" si="3"/>
        <v>6</v>
      </c>
      <c r="S1444" s="15">
        <f t="shared" si="4"/>
        <v>1</v>
      </c>
      <c r="T1444" s="15" t="str">
        <f t="shared" si="5"/>
        <v>C-1</v>
      </c>
      <c r="U1444" s="15" t="str">
        <f t="shared" si="6"/>
        <v>T1-M6-H1-FC-1-VERIFY</v>
      </c>
      <c r="V1444" s="15">
        <f t="shared" si="7"/>
        <v>0</v>
      </c>
      <c r="W1444" s="31"/>
      <c r="X1444" s="15" t="str">
        <f t="shared" si="8"/>
        <v>manado-indonesia</v>
      </c>
      <c r="Y1444" s="32" t="str">
        <f t="shared" si="9"/>
        <v>https://steelmanufacturer.in/market-area/electropolished-pipes-manufacturer-in-manado-indonesia/</v>
      </c>
      <c r="Z1444" s="15" t="str">
        <f t="shared" si="10"/>
        <v>Electropolished Pipes Manufacturer in Manado | Sakshi Forge</v>
      </c>
      <c r="AA1444" s="15" t="str">
        <f t="shared" si="11"/>
        <v>OK (59)</v>
      </c>
      <c r="AB1444" s="15" t="str">
        <f t="shared" si="12"/>
        <v>EP tube and pipe for VERIFY plants around VERIFY, Manado. Made at our Mumbai works to ASTM A270 and ASME BPE SF1-SF4, with 3.1 MTC.</v>
      </c>
      <c r="AC1444" s="15" t="str">
        <f t="shared" si="13"/>
        <v>PENDING RESEARCH</v>
      </c>
      <c r="AD1444" s="15" t="str">
        <f t="shared" si="14"/>
        <v>Electropolished Pipes Manufacturer in Manado</v>
      </c>
      <c r="AE1444" s="15" t="str">
        <f t="shared" si="15"/>
        <v>Electropolished Pipe &amp; Tube Manufacturing for Manado - Grades, Finishes &amp; Certification</v>
      </c>
      <c r="AF1444" s="15" t="str">
        <f t="shared" si="16"/>
        <v>Electropolished Pipes Supplier in Manado - Stock Sizes, Lead Time &amp; Delivery</v>
      </c>
      <c r="AG1444" s="15" t="str">
        <f t="shared" si="17"/>
        <v>Electropolished Pipes Wholesaler &amp; Stockist in Manado - Bulk &amp; Project Pricing</v>
      </c>
      <c r="AH1444" s="15" t="str">
        <f t="shared" si="18"/>
        <v>electropolished pipes manufacturer in Manado, electropolished pipes supplier in Manado, electropolished pipes wholesaler in Manado, electropolished tube manufacturer Manado, EP pipe supplier Manado, sanitary tube supplier Manado, ASME BPE tubing Manado, ASTM A270 tube Manado, SS 316L electropolished pipe Manado</v>
      </c>
      <c r="AI1444" s="15" t="str">
        <f t="shared" si="19"/>
        <v>Electropolished Pipes Manufacturer &amp; Supplier in Manado</v>
      </c>
      <c r="AJ1444" s="15" t="str">
        <f t="shared" si="20"/>
        <v>EP-finished SS 304/316L pipes and tubes for VERIFY plants in Manado. ASME BPE SF1-SF4, Ra from 0.25 um, EN 10204 3.1 certificate with every lot.</v>
      </c>
      <c r="AK1444" s="15" t="str">
        <f t="shared" si="21"/>
        <v>Electropolished stainless steel pipes supplied by Sakshi Forge to VERIFY plants at VERIFY, Manado</v>
      </c>
      <c r="AL1444" s="15" t="str">
        <f t="shared" si="22"/>
        <v>Electropolished SS 316L tube stock for Manado - Sakshi Forge</v>
      </c>
      <c r="AM1444" s="15" t="str">
        <f t="shared" si="23"/>
        <v>Home &gt; Market Area &gt; Indonesia &gt; VERIFY &gt; Manado</v>
      </c>
      <c r="AN1444" s="15">
        <f t="shared" si="24"/>
        <v>750</v>
      </c>
      <c r="AO1444" s="15">
        <f t="shared" si="25"/>
        <v>6</v>
      </c>
      <c r="AP1444" s="15">
        <f t="shared" si="26"/>
        <v>6</v>
      </c>
      <c r="AQ1444" s="15">
        <f t="shared" si="27"/>
        <v>25</v>
      </c>
      <c r="AR1444" s="31"/>
      <c r="AS1444" s="31"/>
      <c r="AT1444" s="35" t="s">
        <v>222</v>
      </c>
      <c r="AU1444" s="35"/>
    </row>
    <row r="1445" ht="15.75" customHeight="1">
      <c r="A1445" s="15" t="s">
        <v>7061</v>
      </c>
      <c r="B1445" s="15" t="s">
        <v>445</v>
      </c>
      <c r="C1445" s="15" t="s">
        <v>98</v>
      </c>
      <c r="D1445" s="15" t="s">
        <v>7062</v>
      </c>
      <c r="E1445" s="15" t="s">
        <v>7062</v>
      </c>
      <c r="F1445" s="58" t="s">
        <v>807</v>
      </c>
      <c r="G1445" s="66" t="s">
        <v>98</v>
      </c>
      <c r="H1445" s="18" t="s">
        <v>98</v>
      </c>
      <c r="I1445" s="18" t="s">
        <v>98</v>
      </c>
      <c r="J1445" s="18" t="s">
        <v>98</v>
      </c>
      <c r="K1445" s="18" t="s">
        <v>98</v>
      </c>
      <c r="L1445" s="18" t="s">
        <v>98</v>
      </c>
      <c r="M1445" s="18" t="s">
        <v>643</v>
      </c>
      <c r="N1445" s="18" t="s">
        <v>453</v>
      </c>
      <c r="O1445" s="18" t="s">
        <v>98</v>
      </c>
      <c r="P1445" s="15" t="str">
        <f t="shared" si="1"/>
        <v>VERIFY</v>
      </c>
      <c r="Q1445" s="15">
        <f t="shared" si="2"/>
        <v>2</v>
      </c>
      <c r="R1445" s="15">
        <f t="shared" si="3"/>
        <v>7</v>
      </c>
      <c r="S1445" s="15">
        <f t="shared" si="4"/>
        <v>2</v>
      </c>
      <c r="T1445" s="15" t="str">
        <f t="shared" si="5"/>
        <v>C-2</v>
      </c>
      <c r="U1445" s="15" t="str">
        <f t="shared" si="6"/>
        <v>T2-M7-H2-FC-2-VERIFY</v>
      </c>
      <c r="V1445" s="15">
        <f t="shared" si="7"/>
        <v>0</v>
      </c>
      <c r="W1445" s="31"/>
      <c r="X1445" s="15" t="str">
        <f t="shared" si="8"/>
        <v>mataram-indonesia</v>
      </c>
      <c r="Y1445" s="32" t="str">
        <f t="shared" si="9"/>
        <v>https://steelmanufacturer.in/market-area/electropolished-pipes-manufacturer-in-mataram-indonesia/</v>
      </c>
      <c r="Z1445" s="15" t="str">
        <f t="shared" si="10"/>
        <v>Electropolished Pipes Manufacturer in Mataram</v>
      </c>
      <c r="AA1445" s="15" t="str">
        <f t="shared" si="11"/>
        <v>OK (45)</v>
      </c>
      <c r="AB1445" s="15" t="str">
        <f t="shared" si="12"/>
        <v>Electropolished pipes in Mataram: 304, 304L, 316 and 316L in SF1-SF4. 10-14 days sea from Nhava Sheva to Tanjung Priok. Mill certified.</v>
      </c>
      <c r="AC1445" s="15" t="str">
        <f t="shared" si="13"/>
        <v>PENDING RESEARCH</v>
      </c>
      <c r="AD1445" s="15" t="str">
        <f t="shared" si="14"/>
        <v>Electropolished Pipes Manufacturer in Mataram</v>
      </c>
      <c r="AE1445" s="15" t="str">
        <f t="shared" si="15"/>
        <v>How We Manufacture Electropolished Tube for Mataram Plants</v>
      </c>
      <c r="AF1445" s="15" t="str">
        <f t="shared" si="16"/>
        <v>Supplying Electropolished Pipes in Mataram: Availability, Sizes &amp; Dispatch</v>
      </c>
      <c r="AG1445" s="15" t="str">
        <f t="shared" si="17"/>
        <v>Wholesale Electropolished Pipe Supply for Mataram Projects</v>
      </c>
      <c r="AH1445" s="15" t="str">
        <f t="shared" si="18"/>
        <v>electropolished pipes manufacturer in Mataram, electropolished pipes supplier in Mataram, electropolished pipes wholesaler in Mataram, electropolished tube manufacturer Mataram, EP pipe supplier Mataram, sanitary tube supplier Mataram, ASME BPE tubing Mataram, ASTM A270 tube Mataram, SS 316L electropolished pipe Mataram</v>
      </c>
      <c r="AI1445" s="15" t="str">
        <f t="shared" si="19"/>
        <v>Electropolished Pipes Manufacturer &amp; Supplier in Mataram</v>
      </c>
      <c r="AJ1445" s="15" t="str">
        <f t="shared" si="20"/>
        <v>EP-finished SS 304/316L pipes and tubes for VERIFY plants in Mataram. ASME BPE SF1-SF4, Ra from 0.25 um, EN 10204 3.1 certificate with every lot.</v>
      </c>
      <c r="AK1445" s="15" t="str">
        <f t="shared" si="21"/>
        <v>Electropolished stainless steel pipes supplied by Sakshi Forge to VERIFY plants at VERIFY, Mataram</v>
      </c>
      <c r="AL1445" s="15" t="str">
        <f t="shared" si="22"/>
        <v>Electropolished SS 316L tube stock for Mataram - Sakshi Forge</v>
      </c>
      <c r="AM1445" s="15" t="str">
        <f t="shared" si="23"/>
        <v>Home &gt; Market Area &gt; Indonesia &gt; VERIFY &gt; Mataram</v>
      </c>
      <c r="AN1445" s="15">
        <f t="shared" si="24"/>
        <v>750</v>
      </c>
      <c r="AO1445" s="15">
        <f t="shared" si="25"/>
        <v>6</v>
      </c>
      <c r="AP1445" s="15">
        <f t="shared" si="26"/>
        <v>6</v>
      </c>
      <c r="AQ1445" s="15">
        <f t="shared" si="27"/>
        <v>25</v>
      </c>
      <c r="AR1445" s="31"/>
      <c r="AS1445" s="31"/>
      <c r="AT1445" s="35" t="s">
        <v>222</v>
      </c>
      <c r="AU1445" s="35"/>
    </row>
    <row r="1446" ht="15.75" customHeight="1">
      <c r="A1446" s="15" t="s">
        <v>7063</v>
      </c>
      <c r="B1446" s="15" t="s">
        <v>445</v>
      </c>
      <c r="C1446" s="15" t="s">
        <v>98</v>
      </c>
      <c r="D1446" s="15" t="s">
        <v>7064</v>
      </c>
      <c r="E1446" s="15" t="s">
        <v>7064</v>
      </c>
      <c r="F1446" s="58" t="s">
        <v>807</v>
      </c>
      <c r="G1446" s="66" t="s">
        <v>98</v>
      </c>
      <c r="H1446" s="18" t="s">
        <v>98</v>
      </c>
      <c r="I1446" s="18" t="s">
        <v>98</v>
      </c>
      <c r="J1446" s="18" t="s">
        <v>98</v>
      </c>
      <c r="K1446" s="18" t="s">
        <v>98</v>
      </c>
      <c r="L1446" s="18" t="s">
        <v>98</v>
      </c>
      <c r="M1446" s="18" t="s">
        <v>643</v>
      </c>
      <c r="N1446" s="18" t="s">
        <v>453</v>
      </c>
      <c r="O1446" s="18" t="s">
        <v>98</v>
      </c>
      <c r="P1446" s="15" t="str">
        <f t="shared" si="1"/>
        <v>VERIFY</v>
      </c>
      <c r="Q1446" s="15">
        <f t="shared" si="2"/>
        <v>3</v>
      </c>
      <c r="R1446" s="15">
        <f t="shared" si="3"/>
        <v>1</v>
      </c>
      <c r="S1446" s="15">
        <f t="shared" si="4"/>
        <v>3</v>
      </c>
      <c r="T1446" s="15" t="str">
        <f t="shared" si="5"/>
        <v>C-3</v>
      </c>
      <c r="U1446" s="15" t="str">
        <f t="shared" si="6"/>
        <v>T3-M1-H3-FC-3-VERIFY</v>
      </c>
      <c r="V1446" s="15">
        <f t="shared" si="7"/>
        <v>0</v>
      </c>
      <c r="W1446" s="31"/>
      <c r="X1446" s="15" t="str">
        <f t="shared" si="8"/>
        <v>mojokerto-indonesia</v>
      </c>
      <c r="Y1446" s="32" t="str">
        <f t="shared" si="9"/>
        <v>https://steelmanufacturer.in/market-area/electropolished-pipes-manufacturer-in-mojokerto-indonesia/</v>
      </c>
      <c r="Z1446" s="15" t="str">
        <f t="shared" si="10"/>
        <v>Electropolished Pipes Manufacturer in Mojokerto</v>
      </c>
      <c r="AA1446" s="15" t="str">
        <f t="shared" si="11"/>
        <v>OK (47)</v>
      </c>
      <c r="AB1446" s="15" t="str">
        <f t="shared" si="12"/>
        <v>EP-finished SS 304/316L pipes &amp; tubes for VERIFY plants in Mojokerto. ASTM A270, ASME BPE SF1-SF4, EN 10204 3.1 MTC. PMI tested.</v>
      </c>
      <c r="AC1446" s="15" t="str">
        <f t="shared" si="13"/>
        <v>PENDING RESEARCH</v>
      </c>
      <c r="AD1446" s="15" t="str">
        <f t="shared" si="14"/>
        <v>Electropolished Pipes Manufacturer in Mojokerto</v>
      </c>
      <c r="AE1446" s="15" t="str">
        <f t="shared" si="15"/>
        <v>Electropolished Pipes Manufacturer in Mojokerto - Our Process &amp; Capability</v>
      </c>
      <c r="AF1446" s="15" t="str">
        <f t="shared" si="16"/>
        <v>Electropolished Pipes Supplier in Mojokerto - What We Hold in Stock</v>
      </c>
      <c r="AG1446" s="15" t="str">
        <f t="shared" si="17"/>
        <v>Bulk &amp; Wholesale Electropolished Pipe Rates for Mojokerto Buyers</v>
      </c>
      <c r="AH1446" s="15" t="str">
        <f t="shared" si="18"/>
        <v>electropolished pipes manufacturer in Mojokerto, electropolished pipes supplier in Mojokerto, electropolished pipes wholesaler in Mojokerto, electropolished tube manufacturer Mojokerto, EP pipe supplier Mojokerto, sanitary tube supplier Mojokerto, ASME BPE tubing Mojokerto, ASTM A270 tube Mojokerto, SS 316L electropolished pipe Mojokerto</v>
      </c>
      <c r="AI1446" s="15" t="str">
        <f t="shared" si="19"/>
        <v>Electropolished Pipes Manufacturer &amp; Supplier in Mojokerto</v>
      </c>
      <c r="AJ1446" s="15" t="str">
        <f t="shared" si="20"/>
        <v>EP-finished SS 304/316L pipes and tubes for VERIFY plants in Mojokerto. ASME BPE SF1-SF4, Ra from 0.25 um, EN 10204 3.1 certificate with every lot.</v>
      </c>
      <c r="AK1446" s="15" t="str">
        <f t="shared" si="21"/>
        <v>Electropolished stainless steel pipes supplied by Sakshi Forge to VERIFY plants at VERIFY, Mojokerto</v>
      </c>
      <c r="AL1446" s="15" t="str">
        <f t="shared" si="22"/>
        <v>Electropolished SS 316L tube stock for Mojokerto - Sakshi Forge</v>
      </c>
      <c r="AM1446" s="15" t="str">
        <f t="shared" si="23"/>
        <v>Home &gt; Market Area &gt; Indonesia &gt; VERIFY &gt; Mojokerto</v>
      </c>
      <c r="AN1446" s="15">
        <f t="shared" si="24"/>
        <v>750</v>
      </c>
      <c r="AO1446" s="15">
        <f t="shared" si="25"/>
        <v>6</v>
      </c>
      <c r="AP1446" s="15">
        <f t="shared" si="26"/>
        <v>6</v>
      </c>
      <c r="AQ1446" s="15">
        <f t="shared" si="27"/>
        <v>25</v>
      </c>
      <c r="AR1446" s="31"/>
      <c r="AS1446" s="31"/>
      <c r="AT1446" s="35" t="s">
        <v>222</v>
      </c>
      <c r="AU1446" s="35"/>
    </row>
    <row r="1447" ht="15.75" customHeight="1">
      <c r="A1447" s="15" t="s">
        <v>7065</v>
      </c>
      <c r="B1447" s="15" t="s">
        <v>445</v>
      </c>
      <c r="C1447" s="15" t="s">
        <v>98</v>
      </c>
      <c r="D1447" s="15" t="s">
        <v>7066</v>
      </c>
      <c r="E1447" s="15" t="s">
        <v>7066</v>
      </c>
      <c r="F1447" s="58" t="s">
        <v>807</v>
      </c>
      <c r="G1447" s="66" t="s">
        <v>98</v>
      </c>
      <c r="H1447" s="18" t="s">
        <v>98</v>
      </c>
      <c r="I1447" s="18" t="s">
        <v>98</v>
      </c>
      <c r="J1447" s="18" t="s">
        <v>98</v>
      </c>
      <c r="K1447" s="18" t="s">
        <v>98</v>
      </c>
      <c r="L1447" s="18" t="s">
        <v>98</v>
      </c>
      <c r="M1447" s="18" t="s">
        <v>643</v>
      </c>
      <c r="N1447" s="18" t="s">
        <v>453</v>
      </c>
      <c r="O1447" s="18" t="s">
        <v>98</v>
      </c>
      <c r="P1447" s="15" t="str">
        <f t="shared" si="1"/>
        <v>VERIFY</v>
      </c>
      <c r="Q1447" s="15">
        <f t="shared" si="2"/>
        <v>4</v>
      </c>
      <c r="R1447" s="15">
        <f t="shared" si="3"/>
        <v>2</v>
      </c>
      <c r="S1447" s="15">
        <f t="shared" si="4"/>
        <v>4</v>
      </c>
      <c r="T1447" s="15" t="str">
        <f t="shared" si="5"/>
        <v>C-4</v>
      </c>
      <c r="U1447" s="15" t="str">
        <f t="shared" si="6"/>
        <v>T4-M2-H4-FC-4-VERIFY</v>
      </c>
      <c r="V1447" s="15">
        <f t="shared" si="7"/>
        <v>0</v>
      </c>
      <c r="W1447" s="31"/>
      <c r="X1447" s="15" t="str">
        <f t="shared" si="8"/>
        <v>padang-indonesia</v>
      </c>
      <c r="Y1447" s="32" t="str">
        <f t="shared" si="9"/>
        <v>https://steelmanufacturer.in/market-area/electropolished-pipes-manufacturer-in-padang-indonesia/</v>
      </c>
      <c r="Z1447" s="15" t="str">
        <f t="shared" si="10"/>
        <v>Electropolished Pipes Manufacturer in Padang</v>
      </c>
      <c r="AA1447" s="15" t="str">
        <f t="shared" si="11"/>
        <v>OK (44)</v>
      </c>
      <c r="AB1447" s="15" t="str">
        <f t="shared" si="12"/>
        <v>Electropolished tube supply to VERIFY, Padang. Ra from 0.25 um, SF4 finish, mill test certificate with every lot.</v>
      </c>
      <c r="AC1447" s="15" t="str">
        <f t="shared" si="13"/>
        <v>PENDING RESEARCH</v>
      </c>
      <c r="AD1447" s="15" t="str">
        <f t="shared" si="14"/>
        <v>Electropolished Pipes Manufacturer in Padang</v>
      </c>
      <c r="AE1447" s="15" t="str">
        <f t="shared" si="15"/>
        <v>Manufacturing Electropolished SS Tube for Padang: The Standards We Build To</v>
      </c>
      <c r="AF1447" s="15" t="str">
        <f t="shared" si="16"/>
        <v>Electropolished Pipe Supply Into Padang - Certification &amp; Transit</v>
      </c>
      <c r="AG1447" s="15" t="str">
        <f t="shared" si="17"/>
        <v>Electropolished Pipes Wholesaler in Padang - Project Quantities &amp; Terms</v>
      </c>
      <c r="AH1447" s="15" t="str">
        <f t="shared" si="18"/>
        <v>electropolished pipes manufacturer in Padang, electropolished pipes supplier in Padang, electropolished pipes wholesaler in Padang, electropolished tube manufacturer Padang, EP pipe supplier Padang, sanitary tube supplier Padang, ASME BPE tubing Padang, ASTM A270 tube Padang, SS 316L electropolished pipe Padang</v>
      </c>
      <c r="AI1447" s="15" t="str">
        <f t="shared" si="19"/>
        <v>Electropolished Pipes Manufacturer &amp; Supplier in Padang</v>
      </c>
      <c r="AJ1447" s="15" t="str">
        <f t="shared" si="20"/>
        <v>EP-finished SS 304/316L pipes and tubes for VERIFY plants in Padang. ASME BPE SF1-SF4, Ra from 0.25 um, EN 10204 3.1 certificate with every lot.</v>
      </c>
      <c r="AK1447" s="15" t="str">
        <f t="shared" si="21"/>
        <v>Electropolished stainless steel pipes supplied by Sakshi Forge to VERIFY plants at VERIFY, Padang</v>
      </c>
      <c r="AL1447" s="15" t="str">
        <f t="shared" si="22"/>
        <v>Electropolished SS 316L tube stock for Padang - Sakshi Forge</v>
      </c>
      <c r="AM1447" s="15" t="str">
        <f t="shared" si="23"/>
        <v>Home &gt; Market Area &gt; Indonesia &gt; VERIFY &gt; Padang</v>
      </c>
      <c r="AN1447" s="15">
        <f t="shared" si="24"/>
        <v>750</v>
      </c>
      <c r="AO1447" s="15">
        <f t="shared" si="25"/>
        <v>6</v>
      </c>
      <c r="AP1447" s="15">
        <f t="shared" si="26"/>
        <v>6</v>
      </c>
      <c r="AQ1447" s="15">
        <f t="shared" si="27"/>
        <v>25</v>
      </c>
      <c r="AR1447" s="31"/>
      <c r="AS1447" s="31"/>
      <c r="AT1447" s="35" t="s">
        <v>222</v>
      </c>
      <c r="AU1447" s="35"/>
    </row>
    <row r="1448" ht="15.75" customHeight="1">
      <c r="A1448" s="15" t="s">
        <v>7067</v>
      </c>
      <c r="B1448" s="15" t="s">
        <v>445</v>
      </c>
      <c r="C1448" s="15" t="s">
        <v>98</v>
      </c>
      <c r="D1448" s="15" t="s">
        <v>7068</v>
      </c>
      <c r="E1448" s="15" t="s">
        <v>7068</v>
      </c>
      <c r="F1448" s="58" t="s">
        <v>807</v>
      </c>
      <c r="G1448" s="66" t="s">
        <v>98</v>
      </c>
      <c r="H1448" s="18" t="s">
        <v>98</v>
      </c>
      <c r="I1448" s="18" t="s">
        <v>98</v>
      </c>
      <c r="J1448" s="18" t="s">
        <v>98</v>
      </c>
      <c r="K1448" s="18" t="s">
        <v>98</v>
      </c>
      <c r="L1448" s="18" t="s">
        <v>98</v>
      </c>
      <c r="M1448" s="18" t="s">
        <v>643</v>
      </c>
      <c r="N1448" s="18" t="s">
        <v>453</v>
      </c>
      <c r="O1448" s="18" t="s">
        <v>98</v>
      </c>
      <c r="P1448" s="15" t="str">
        <f t="shared" si="1"/>
        <v>VERIFY</v>
      </c>
      <c r="Q1448" s="15">
        <f t="shared" si="2"/>
        <v>5</v>
      </c>
      <c r="R1448" s="15">
        <f t="shared" si="3"/>
        <v>3</v>
      </c>
      <c r="S1448" s="15">
        <f t="shared" si="4"/>
        <v>5</v>
      </c>
      <c r="T1448" s="15" t="str">
        <f t="shared" si="5"/>
        <v>C-5</v>
      </c>
      <c r="U1448" s="15" t="str">
        <f t="shared" si="6"/>
        <v>T5-M3-H5-FC-5-VERIFY</v>
      </c>
      <c r="V1448" s="15">
        <f t="shared" si="7"/>
        <v>0</v>
      </c>
      <c r="W1448" s="31"/>
      <c r="X1448" s="15" t="str">
        <f t="shared" si="8"/>
        <v>palu-indonesia</v>
      </c>
      <c r="Y1448" s="32" t="str">
        <f t="shared" si="9"/>
        <v>https://steelmanufacturer.in/market-area/electropolished-pipes-manufacturer-in-palu-indonesia/</v>
      </c>
      <c r="Z1448" s="15" t="str">
        <f t="shared" si="10"/>
        <v>Electropolished Pipes Manufacturer in Palu | Sanitary Tube Supply</v>
      </c>
      <c r="AA1448" s="15" t="str">
        <f t="shared" si="11"/>
        <v>OK (65)</v>
      </c>
      <c r="AB1448" s="15" t="str">
        <f t="shared" si="12"/>
        <v>EP stainless tube for VERIFY lines in Palu. 10-14 days sea from Nhava Sheva to Tanjung Priok. ASTM A270 S2, PMI tested, EN 10204 3.1.</v>
      </c>
      <c r="AC1448" s="15" t="str">
        <f t="shared" si="13"/>
        <v>PENDING RESEARCH</v>
      </c>
      <c r="AD1448" s="15" t="str">
        <f t="shared" si="14"/>
        <v>Electropolished Pipes Manufacturer in Palu</v>
      </c>
      <c r="AE1448" s="15" t="str">
        <f t="shared" si="15"/>
        <v>Electropolished Tube Manufacturing Capability Serving Palu</v>
      </c>
      <c r="AF1448" s="15" t="str">
        <f t="shared" si="16"/>
        <v>Electropolished Pipes Supplier in Palu - From Order to Delivery</v>
      </c>
      <c r="AG1448" s="15" t="str">
        <f t="shared" si="17"/>
        <v>Stockist &amp; Wholesale Supply of Electropolished Pipes in Palu</v>
      </c>
      <c r="AH1448" s="15" t="str">
        <f t="shared" si="18"/>
        <v>electropolished pipes manufacturer in Palu, electropolished pipes supplier in Palu, electropolished pipes wholesaler in Palu, electropolished tube manufacturer Palu, EP pipe supplier Palu, sanitary tube supplier Palu, ASME BPE tubing Palu, ASTM A270 tube Palu, SS 316L electropolished pipe Palu</v>
      </c>
      <c r="AI1448" s="15" t="str">
        <f t="shared" si="19"/>
        <v>Electropolished Pipes Manufacturer &amp; Supplier in Palu</v>
      </c>
      <c r="AJ1448" s="15" t="str">
        <f t="shared" si="20"/>
        <v>EP-finished SS 304/316L pipes and tubes for VERIFY plants in Palu. ASME BPE SF1-SF4, Ra from 0.25 um, EN 10204 3.1 certificate with every lot.</v>
      </c>
      <c r="AK1448" s="15" t="str">
        <f t="shared" si="21"/>
        <v>Electropolished stainless steel pipes supplied by Sakshi Forge to VERIFY plants at VERIFY, Palu</v>
      </c>
      <c r="AL1448" s="15" t="str">
        <f t="shared" si="22"/>
        <v>Electropolished SS 316L tube stock for Palu - Sakshi Forge</v>
      </c>
      <c r="AM1448" s="15" t="str">
        <f t="shared" si="23"/>
        <v>Home &gt; Market Area &gt; Indonesia &gt; VERIFY &gt; Palu</v>
      </c>
      <c r="AN1448" s="15">
        <f t="shared" si="24"/>
        <v>750</v>
      </c>
      <c r="AO1448" s="15">
        <f t="shared" si="25"/>
        <v>6</v>
      </c>
      <c r="AP1448" s="15">
        <f t="shared" si="26"/>
        <v>6</v>
      </c>
      <c r="AQ1448" s="15">
        <f t="shared" si="27"/>
        <v>25</v>
      </c>
      <c r="AR1448" s="31"/>
      <c r="AS1448" s="31"/>
      <c r="AT1448" s="35" t="s">
        <v>222</v>
      </c>
      <c r="AU1448" s="35"/>
    </row>
    <row r="1449" ht="15.75" customHeight="1">
      <c r="A1449" s="15" t="s">
        <v>7073</v>
      </c>
      <c r="B1449" s="15" t="s">
        <v>445</v>
      </c>
      <c r="C1449" s="15" t="s">
        <v>98</v>
      </c>
      <c r="D1449" s="15" t="s">
        <v>7075</v>
      </c>
      <c r="E1449" s="15" t="s">
        <v>7075</v>
      </c>
      <c r="F1449" s="58" t="s">
        <v>807</v>
      </c>
      <c r="G1449" s="66" t="s">
        <v>98</v>
      </c>
      <c r="H1449" s="18" t="s">
        <v>98</v>
      </c>
      <c r="I1449" s="18" t="s">
        <v>98</v>
      </c>
      <c r="J1449" s="18" t="s">
        <v>98</v>
      </c>
      <c r="K1449" s="18" t="s">
        <v>98</v>
      </c>
      <c r="L1449" s="18" t="s">
        <v>98</v>
      </c>
      <c r="M1449" s="18" t="s">
        <v>643</v>
      </c>
      <c r="N1449" s="18" t="s">
        <v>453</v>
      </c>
      <c r="O1449" s="18" t="s">
        <v>98</v>
      </c>
      <c r="P1449" s="15" t="str">
        <f t="shared" si="1"/>
        <v>VERIFY</v>
      </c>
      <c r="Q1449" s="15">
        <f t="shared" si="2"/>
        <v>6</v>
      </c>
      <c r="R1449" s="15">
        <f t="shared" si="3"/>
        <v>4</v>
      </c>
      <c r="S1449" s="15">
        <f t="shared" si="4"/>
        <v>1</v>
      </c>
      <c r="T1449" s="15" t="str">
        <f t="shared" si="5"/>
        <v>C-6</v>
      </c>
      <c r="U1449" s="15" t="str">
        <f t="shared" si="6"/>
        <v>T6-M4-H1-FC-6-VERIFY</v>
      </c>
      <c r="V1449" s="15">
        <f t="shared" si="7"/>
        <v>0</v>
      </c>
      <c r="W1449" s="31"/>
      <c r="X1449" s="15" t="str">
        <f t="shared" si="8"/>
        <v>pekalongan-indonesia</v>
      </c>
      <c r="Y1449" s="32" t="str">
        <f t="shared" si="9"/>
        <v>https://steelmanufacturer.in/market-area/electropolished-pipes-manufacturer-in-pekalongan-indonesia/</v>
      </c>
      <c r="Z1449" s="15" t="str">
        <f t="shared" si="10"/>
        <v>Electropolished Pipes Manufacturer in Pekalongan</v>
      </c>
      <c r="AA1449" s="15" t="str">
        <f t="shared" si="11"/>
        <v>OK (48)</v>
      </c>
      <c r="AB1449" s="15" t="str">
        <f t="shared" si="12"/>
        <v>Sanitary electropolished pipes in Pekalongan for VERIFY plants. ASME BPE SF1-SF4, orbital-weld ready, 3.1 MTC. Mumbai-made.</v>
      </c>
      <c r="AC1449" s="15" t="str">
        <f t="shared" si="13"/>
        <v>PENDING RESEARCH</v>
      </c>
      <c r="AD1449" s="15" t="str">
        <f t="shared" si="14"/>
        <v>Electropolished Pipes Manufacturer in Pekalongan</v>
      </c>
      <c r="AE1449" s="15" t="str">
        <f t="shared" si="15"/>
        <v>Electropolished Pipe &amp; Tube Manufacturing for Pekalongan - Grades, Finishes &amp; Certification</v>
      </c>
      <c r="AF1449" s="15" t="str">
        <f t="shared" si="16"/>
        <v>Electropolished Pipes Supplier in Pekalongan - Stock Sizes, Lead Time &amp; Delivery</v>
      </c>
      <c r="AG1449" s="15" t="str">
        <f t="shared" si="17"/>
        <v>Electropolished Pipes Wholesaler &amp; Stockist in Pekalongan - Bulk &amp; Project Pricing</v>
      </c>
      <c r="AH1449" s="15" t="str">
        <f t="shared" si="18"/>
        <v>electropolished pipes manufacturer in Pekalongan, electropolished pipes supplier in Pekalongan, electropolished pipes wholesaler in Pekalongan, electropolished tube manufacturer Pekalongan, EP pipe supplier Pekalongan, sanitary tube supplier Pekalongan, ASME BPE tubing Pekalongan, ASTM A270 tube Pekalongan, SS 316L electropolished pipe Pekalongan</v>
      </c>
      <c r="AI1449" s="15" t="str">
        <f t="shared" si="19"/>
        <v>Electropolished Pipes Manufacturer &amp; Supplier in Pekalongan</v>
      </c>
      <c r="AJ1449" s="15" t="str">
        <f t="shared" si="20"/>
        <v>EP-finished SS 304/316L pipes and tubes for VERIFY plants in Pekalongan. ASME BPE SF1-SF4, Ra from 0.25 um, EN 10204 3.1 certificate with every lot.</v>
      </c>
      <c r="AK1449" s="15" t="str">
        <f t="shared" si="21"/>
        <v>Electropolished stainless steel pipes supplied by Sakshi Forge to VERIFY plants at VERIFY, Pekalongan</v>
      </c>
      <c r="AL1449" s="15" t="str">
        <f t="shared" si="22"/>
        <v>Electropolished SS 316L tube stock for Pekalongan - Sakshi Forge</v>
      </c>
      <c r="AM1449" s="15" t="str">
        <f t="shared" si="23"/>
        <v>Home &gt; Market Area &gt; Indonesia &gt; VERIFY &gt; Pekalongan</v>
      </c>
      <c r="AN1449" s="15">
        <f t="shared" si="24"/>
        <v>750</v>
      </c>
      <c r="AO1449" s="15">
        <f t="shared" si="25"/>
        <v>6</v>
      </c>
      <c r="AP1449" s="15">
        <f t="shared" si="26"/>
        <v>6</v>
      </c>
      <c r="AQ1449" s="15">
        <f t="shared" si="27"/>
        <v>25</v>
      </c>
      <c r="AR1449" s="31"/>
      <c r="AS1449" s="31"/>
      <c r="AT1449" s="35" t="s">
        <v>222</v>
      </c>
      <c r="AU1449" s="35"/>
    </row>
    <row r="1450" ht="15.75" customHeight="1">
      <c r="A1450" s="15" t="s">
        <v>7076</v>
      </c>
      <c r="B1450" s="15" t="s">
        <v>445</v>
      </c>
      <c r="C1450" s="15" t="s">
        <v>98</v>
      </c>
      <c r="D1450" s="15" t="s">
        <v>7077</v>
      </c>
      <c r="E1450" s="15" t="s">
        <v>7077</v>
      </c>
      <c r="F1450" s="58" t="s">
        <v>807</v>
      </c>
      <c r="G1450" s="66" t="s">
        <v>98</v>
      </c>
      <c r="H1450" s="18" t="s">
        <v>98</v>
      </c>
      <c r="I1450" s="18" t="s">
        <v>98</v>
      </c>
      <c r="J1450" s="18" t="s">
        <v>98</v>
      </c>
      <c r="K1450" s="18" t="s">
        <v>98</v>
      </c>
      <c r="L1450" s="18" t="s">
        <v>98</v>
      </c>
      <c r="M1450" s="18" t="s">
        <v>643</v>
      </c>
      <c r="N1450" s="18" t="s">
        <v>453</v>
      </c>
      <c r="O1450" s="18" t="s">
        <v>98</v>
      </c>
      <c r="P1450" s="15" t="str">
        <f t="shared" si="1"/>
        <v>VERIFY</v>
      </c>
      <c r="Q1450" s="15">
        <f t="shared" si="2"/>
        <v>7</v>
      </c>
      <c r="R1450" s="15">
        <f t="shared" si="3"/>
        <v>5</v>
      </c>
      <c r="S1450" s="15">
        <f t="shared" si="4"/>
        <v>2</v>
      </c>
      <c r="T1450" s="15" t="str">
        <f t="shared" si="5"/>
        <v>C-1</v>
      </c>
      <c r="U1450" s="15" t="str">
        <f t="shared" si="6"/>
        <v>T7-M5-H2-FC-1-VERIFY</v>
      </c>
      <c r="V1450" s="15">
        <f t="shared" si="7"/>
        <v>0</v>
      </c>
      <c r="W1450" s="31"/>
      <c r="X1450" s="15" t="str">
        <f t="shared" si="8"/>
        <v>pontianak-indonesia</v>
      </c>
      <c r="Y1450" s="32" t="str">
        <f t="shared" si="9"/>
        <v>https://steelmanufacturer.in/market-area/electropolished-pipes-manufacturer-in-pontianak-indonesia/</v>
      </c>
      <c r="Z1450" s="15" t="str">
        <f t="shared" si="10"/>
        <v>Electropolished Pipes Manufacturer in Pontianak</v>
      </c>
      <c r="AA1450" s="15" t="str">
        <f t="shared" si="11"/>
        <v>OK (47)</v>
      </c>
      <c r="AB1450" s="15" t="str">
        <f t="shared" si="12"/>
        <v>Manufacturer of electropolished SS 316L tube serving Pontianak. 10-14 days sea from Nhava Sheva to Tanjung Priok. Ra 0.25-0.5 um, EN 10204 3.1 MTC.</v>
      </c>
      <c r="AC1450" s="15" t="str">
        <f t="shared" si="13"/>
        <v>PENDING RESEARCH</v>
      </c>
      <c r="AD1450" s="15" t="str">
        <f t="shared" si="14"/>
        <v>Electropolished Pipes Manufacturer in Pontianak</v>
      </c>
      <c r="AE1450" s="15" t="str">
        <f t="shared" si="15"/>
        <v>How We Manufacture Electropolished Tube for Pontianak Plants</v>
      </c>
      <c r="AF1450" s="15" t="str">
        <f t="shared" si="16"/>
        <v>Supplying Electropolished Pipes in Pontianak: Availability, Sizes &amp; Dispatch</v>
      </c>
      <c r="AG1450" s="15" t="str">
        <f t="shared" si="17"/>
        <v>Wholesale Electropolished Pipe Supply for Pontianak Projects</v>
      </c>
      <c r="AH1450" s="15" t="str">
        <f t="shared" si="18"/>
        <v>electropolished pipes manufacturer in Pontianak, electropolished pipes supplier in Pontianak, electropolished pipes wholesaler in Pontianak, electropolished tube manufacturer Pontianak, EP pipe supplier Pontianak, sanitary tube supplier Pontianak, ASME BPE tubing Pontianak, ASTM A270 tube Pontianak, SS 316L electropolished pipe Pontianak</v>
      </c>
      <c r="AI1450" s="15" t="str">
        <f t="shared" si="19"/>
        <v>Electropolished Pipes Manufacturer &amp; Supplier in Pontianak</v>
      </c>
      <c r="AJ1450" s="15" t="str">
        <f t="shared" si="20"/>
        <v>EP-finished SS 304/316L pipes and tubes for VERIFY plants in Pontianak. ASME BPE SF1-SF4, Ra from 0.25 um, EN 10204 3.1 certificate with every lot.</v>
      </c>
      <c r="AK1450" s="15" t="str">
        <f t="shared" si="21"/>
        <v>Electropolished stainless steel pipes supplied by Sakshi Forge to VERIFY plants at VERIFY, Pontianak</v>
      </c>
      <c r="AL1450" s="15" t="str">
        <f t="shared" si="22"/>
        <v>Electropolished SS 316L tube stock for Pontianak - Sakshi Forge</v>
      </c>
      <c r="AM1450" s="15" t="str">
        <f t="shared" si="23"/>
        <v>Home &gt; Market Area &gt; Indonesia &gt; VERIFY &gt; Pontianak</v>
      </c>
      <c r="AN1450" s="15">
        <f t="shared" si="24"/>
        <v>750</v>
      </c>
      <c r="AO1450" s="15">
        <f t="shared" si="25"/>
        <v>6</v>
      </c>
      <c r="AP1450" s="15">
        <f t="shared" si="26"/>
        <v>6</v>
      </c>
      <c r="AQ1450" s="15">
        <f t="shared" si="27"/>
        <v>25</v>
      </c>
      <c r="AR1450" s="31"/>
      <c r="AS1450" s="31"/>
      <c r="AT1450" s="35" t="s">
        <v>222</v>
      </c>
      <c r="AU1450" s="35"/>
    </row>
    <row r="1451" ht="15.75" customHeight="1">
      <c r="A1451" s="15" t="s">
        <v>7078</v>
      </c>
      <c r="B1451" s="15" t="s">
        <v>445</v>
      </c>
      <c r="C1451" s="15" t="s">
        <v>98</v>
      </c>
      <c r="D1451" s="15" t="s">
        <v>7079</v>
      </c>
      <c r="E1451" s="15" t="s">
        <v>7079</v>
      </c>
      <c r="F1451" s="58" t="s">
        <v>807</v>
      </c>
      <c r="G1451" s="66" t="s">
        <v>98</v>
      </c>
      <c r="H1451" s="18" t="s">
        <v>98</v>
      </c>
      <c r="I1451" s="18" t="s">
        <v>98</v>
      </c>
      <c r="J1451" s="18" t="s">
        <v>98</v>
      </c>
      <c r="K1451" s="18" t="s">
        <v>98</v>
      </c>
      <c r="L1451" s="18" t="s">
        <v>98</v>
      </c>
      <c r="M1451" s="18" t="s">
        <v>643</v>
      </c>
      <c r="N1451" s="18" t="s">
        <v>453</v>
      </c>
      <c r="O1451" s="18" t="s">
        <v>98</v>
      </c>
      <c r="P1451" s="15" t="str">
        <f t="shared" si="1"/>
        <v>VERIFY</v>
      </c>
      <c r="Q1451" s="15">
        <f t="shared" si="2"/>
        <v>8</v>
      </c>
      <c r="R1451" s="15">
        <f t="shared" si="3"/>
        <v>6</v>
      </c>
      <c r="S1451" s="15">
        <f t="shared" si="4"/>
        <v>3</v>
      </c>
      <c r="T1451" s="15" t="str">
        <f t="shared" si="5"/>
        <v>C-2</v>
      </c>
      <c r="U1451" s="15" t="str">
        <f t="shared" si="6"/>
        <v>T8-M6-H3-FC-2-VERIFY</v>
      </c>
      <c r="V1451" s="15">
        <f t="shared" si="7"/>
        <v>0</v>
      </c>
      <c r="W1451" s="31"/>
      <c r="X1451" s="15" t="str">
        <f t="shared" si="8"/>
        <v>probolinggo-indonesia</v>
      </c>
      <c r="Y1451" s="32" t="str">
        <f t="shared" si="9"/>
        <v>https://steelmanufacturer.in/market-area/electropolished-pipes-manufacturer-in-probolinggo-indonesia/</v>
      </c>
      <c r="Z1451" s="15" t="str">
        <f t="shared" si="10"/>
        <v>Electropolished Pipes Manufacturer in Probolinggo</v>
      </c>
      <c r="AA1451" s="15" t="str">
        <f t="shared" si="11"/>
        <v>OK (49)</v>
      </c>
      <c r="AB1451" s="15" t="str">
        <f t="shared" si="12"/>
        <v>EP tube and pipe for VERIFY plants around VERIFY, Probolinggo. Made at our Mumbai works to ASTM A270 and ASME BPE SF1-SF4, with 3.1 MTC.</v>
      </c>
      <c r="AC1451" s="15" t="str">
        <f t="shared" si="13"/>
        <v>PENDING RESEARCH</v>
      </c>
      <c r="AD1451" s="15" t="str">
        <f t="shared" si="14"/>
        <v>Electropolished Pipes Manufacturer in Probolinggo</v>
      </c>
      <c r="AE1451" s="15" t="str">
        <f t="shared" si="15"/>
        <v>Electropolished Pipes Manufacturer in Probolinggo - Our Process &amp; Capability</v>
      </c>
      <c r="AF1451" s="15" t="str">
        <f t="shared" si="16"/>
        <v>Electropolished Pipes Supplier in Probolinggo - What We Hold in Stock</v>
      </c>
      <c r="AG1451" s="15" t="str">
        <f t="shared" si="17"/>
        <v>Bulk &amp; Wholesale Electropolished Pipe Rates for Probolinggo Buyers</v>
      </c>
      <c r="AH1451" s="15" t="str">
        <f t="shared" si="18"/>
        <v>electropolished pipes manufacturer in Probolinggo, electropolished pipes supplier in Probolinggo, electropolished pipes wholesaler in Probolinggo, electropolished tube manufacturer Probolinggo, EP pipe supplier Probolinggo, sanitary tube supplier Probolinggo, ASME BPE tubing Probolinggo, ASTM A270 tube Probolinggo, SS 316L electropolished pipe Probolinggo</v>
      </c>
      <c r="AI1451" s="15" t="str">
        <f t="shared" si="19"/>
        <v>Electropolished Pipes Manufacturer &amp; Supplier in Probolinggo</v>
      </c>
      <c r="AJ1451" s="15" t="str">
        <f t="shared" si="20"/>
        <v>EP-finished SS 304/316L pipes and tubes for VERIFY plants in Probolinggo. ASME BPE SF1-SF4, Ra from 0.25 um, EN 10204 3.1 certificate with every lot.</v>
      </c>
      <c r="AK1451" s="15" t="str">
        <f t="shared" si="21"/>
        <v>Electropolished stainless steel pipes supplied by Sakshi Forge to VERIFY plants at VERIFY, Probolinggo</v>
      </c>
      <c r="AL1451" s="15" t="str">
        <f t="shared" si="22"/>
        <v>Electropolished SS 316L tube stock for Probolinggo - Sakshi Forge</v>
      </c>
      <c r="AM1451" s="15" t="str">
        <f t="shared" si="23"/>
        <v>Home &gt; Market Area &gt; Indonesia &gt; VERIFY &gt; Probolinggo</v>
      </c>
      <c r="AN1451" s="15">
        <f t="shared" si="24"/>
        <v>750</v>
      </c>
      <c r="AO1451" s="15">
        <f t="shared" si="25"/>
        <v>6</v>
      </c>
      <c r="AP1451" s="15">
        <f t="shared" si="26"/>
        <v>6</v>
      </c>
      <c r="AQ1451" s="15">
        <f t="shared" si="27"/>
        <v>25</v>
      </c>
      <c r="AR1451" s="31"/>
      <c r="AS1451" s="31"/>
      <c r="AT1451" s="35" t="s">
        <v>222</v>
      </c>
      <c r="AU1451" s="35"/>
    </row>
    <row r="1452" ht="15.75" customHeight="1">
      <c r="A1452" s="15" t="s">
        <v>7080</v>
      </c>
      <c r="B1452" s="15" t="s">
        <v>445</v>
      </c>
      <c r="C1452" s="15" t="s">
        <v>98</v>
      </c>
      <c r="D1452" s="15" t="s">
        <v>7081</v>
      </c>
      <c r="E1452" s="15" t="s">
        <v>7081</v>
      </c>
      <c r="F1452" s="58" t="s">
        <v>807</v>
      </c>
      <c r="G1452" s="66" t="s">
        <v>98</v>
      </c>
      <c r="H1452" s="18" t="s">
        <v>98</v>
      </c>
      <c r="I1452" s="18" t="s">
        <v>98</v>
      </c>
      <c r="J1452" s="18" t="s">
        <v>98</v>
      </c>
      <c r="K1452" s="18" t="s">
        <v>98</v>
      </c>
      <c r="L1452" s="18" t="s">
        <v>98</v>
      </c>
      <c r="M1452" s="18" t="s">
        <v>643</v>
      </c>
      <c r="N1452" s="18" t="s">
        <v>453</v>
      </c>
      <c r="O1452" s="18" t="s">
        <v>98</v>
      </c>
      <c r="P1452" s="15" t="str">
        <f t="shared" si="1"/>
        <v>VERIFY</v>
      </c>
      <c r="Q1452" s="15">
        <f t="shared" si="2"/>
        <v>1</v>
      </c>
      <c r="R1452" s="15">
        <f t="shared" si="3"/>
        <v>7</v>
      </c>
      <c r="S1452" s="15">
        <f t="shared" si="4"/>
        <v>4</v>
      </c>
      <c r="T1452" s="15" t="str">
        <f t="shared" si="5"/>
        <v>C-3</v>
      </c>
      <c r="U1452" s="15" t="str">
        <f t="shared" si="6"/>
        <v>T1-M7-H4-FC-3-VERIFY</v>
      </c>
      <c r="V1452" s="15">
        <f t="shared" si="7"/>
        <v>0</v>
      </c>
      <c r="W1452" s="31"/>
      <c r="X1452" s="15" t="str">
        <f t="shared" si="8"/>
        <v>purwakarta-indonesia</v>
      </c>
      <c r="Y1452" s="32" t="str">
        <f t="shared" si="9"/>
        <v>https://steelmanufacturer.in/market-area/electropolished-pipes-manufacturer-in-purwakarta-indonesia/</v>
      </c>
      <c r="Z1452" s="15" t="str">
        <f t="shared" si="10"/>
        <v>Electropolished Pipes Manufacturer in Purwakarta | Sakshi Forge</v>
      </c>
      <c r="AA1452" s="15" t="str">
        <f t="shared" si="11"/>
        <v>OK (63)</v>
      </c>
      <c r="AB1452" s="15" t="str">
        <f t="shared" si="12"/>
        <v>Electropolished pipes in Purwakarta: 304, 304L, 316 and 316L in SF1-SF4. 10-14 days sea from Nhava Sheva to Tanjung Priok. Mill certified.</v>
      </c>
      <c r="AC1452" s="15" t="str">
        <f t="shared" si="13"/>
        <v>PENDING RESEARCH</v>
      </c>
      <c r="AD1452" s="15" t="str">
        <f t="shared" si="14"/>
        <v>Electropolished Pipes Manufacturer in Purwakarta</v>
      </c>
      <c r="AE1452" s="15" t="str">
        <f t="shared" si="15"/>
        <v>Manufacturing Electropolished SS Tube for Purwakarta: The Standards We Build To</v>
      </c>
      <c r="AF1452" s="15" t="str">
        <f t="shared" si="16"/>
        <v>Electropolished Pipe Supply Into Purwakarta - Certification &amp; Transit</v>
      </c>
      <c r="AG1452" s="15" t="str">
        <f t="shared" si="17"/>
        <v>Electropolished Pipes Wholesaler in Purwakarta - Project Quantities &amp; Terms</v>
      </c>
      <c r="AH1452" s="15" t="str">
        <f t="shared" si="18"/>
        <v>electropolished pipes manufacturer in Purwakarta, electropolished pipes supplier in Purwakarta, electropolished pipes wholesaler in Purwakarta, electropolished tube manufacturer Purwakarta, EP pipe supplier Purwakarta, sanitary tube supplier Purwakarta, ASME BPE tubing Purwakarta, ASTM A270 tube Purwakarta, SS 316L electropolished pipe Purwakarta</v>
      </c>
      <c r="AI1452" s="15" t="str">
        <f t="shared" si="19"/>
        <v>Electropolished Pipes Manufacturer &amp; Supplier in Purwakarta</v>
      </c>
      <c r="AJ1452" s="15" t="str">
        <f t="shared" si="20"/>
        <v>EP-finished SS 304/316L pipes and tubes for VERIFY plants in Purwakarta. ASME BPE SF1-SF4, Ra from 0.25 um, EN 10204 3.1 certificate with every lot.</v>
      </c>
      <c r="AK1452" s="15" t="str">
        <f t="shared" si="21"/>
        <v>Electropolished stainless steel pipes supplied by Sakshi Forge to VERIFY plants at VERIFY, Purwakarta</v>
      </c>
      <c r="AL1452" s="15" t="str">
        <f t="shared" si="22"/>
        <v>Electropolished SS 316L tube stock for Purwakarta - Sakshi Forge</v>
      </c>
      <c r="AM1452" s="15" t="str">
        <f t="shared" si="23"/>
        <v>Home &gt; Market Area &gt; Indonesia &gt; VERIFY &gt; Purwakarta</v>
      </c>
      <c r="AN1452" s="15">
        <f t="shared" si="24"/>
        <v>750</v>
      </c>
      <c r="AO1452" s="15">
        <f t="shared" si="25"/>
        <v>6</v>
      </c>
      <c r="AP1452" s="15">
        <f t="shared" si="26"/>
        <v>6</v>
      </c>
      <c r="AQ1452" s="15">
        <f t="shared" si="27"/>
        <v>25</v>
      </c>
      <c r="AR1452" s="31"/>
      <c r="AS1452" s="31"/>
      <c r="AT1452" s="35" t="s">
        <v>222</v>
      </c>
      <c r="AU1452" s="35"/>
    </row>
    <row r="1453" ht="15.75" customHeight="1">
      <c r="A1453" s="15" t="s">
        <v>7082</v>
      </c>
      <c r="B1453" s="15" t="s">
        <v>445</v>
      </c>
      <c r="C1453" s="15" t="s">
        <v>98</v>
      </c>
      <c r="D1453" s="15" t="s">
        <v>7083</v>
      </c>
      <c r="E1453" s="15" t="s">
        <v>7083</v>
      </c>
      <c r="F1453" s="58" t="s">
        <v>807</v>
      </c>
      <c r="G1453" s="66" t="s">
        <v>98</v>
      </c>
      <c r="H1453" s="18" t="s">
        <v>98</v>
      </c>
      <c r="I1453" s="18" t="s">
        <v>98</v>
      </c>
      <c r="J1453" s="18" t="s">
        <v>98</v>
      </c>
      <c r="K1453" s="18" t="s">
        <v>98</v>
      </c>
      <c r="L1453" s="18" t="s">
        <v>98</v>
      </c>
      <c r="M1453" s="18" t="s">
        <v>643</v>
      </c>
      <c r="N1453" s="18" t="s">
        <v>453</v>
      </c>
      <c r="O1453" s="18" t="s">
        <v>98</v>
      </c>
      <c r="P1453" s="15" t="str">
        <f t="shared" si="1"/>
        <v>VERIFY</v>
      </c>
      <c r="Q1453" s="15">
        <f t="shared" si="2"/>
        <v>2</v>
      </c>
      <c r="R1453" s="15">
        <f t="shared" si="3"/>
        <v>1</v>
      </c>
      <c r="S1453" s="15">
        <f t="shared" si="4"/>
        <v>5</v>
      </c>
      <c r="T1453" s="15" t="str">
        <f t="shared" si="5"/>
        <v>C-4</v>
      </c>
      <c r="U1453" s="15" t="str">
        <f t="shared" si="6"/>
        <v>T2-M1-H5-FC-4-VERIFY</v>
      </c>
      <c r="V1453" s="15">
        <f t="shared" si="7"/>
        <v>0</v>
      </c>
      <c r="W1453" s="31"/>
      <c r="X1453" s="15" t="str">
        <f t="shared" si="8"/>
        <v>purwokerto-indonesia</v>
      </c>
      <c r="Y1453" s="32" t="str">
        <f t="shared" si="9"/>
        <v>https://steelmanufacturer.in/market-area/electropolished-pipes-manufacturer-in-purwokerto-indonesia/</v>
      </c>
      <c r="Z1453" s="15" t="str">
        <f t="shared" si="10"/>
        <v>Electropolished Pipes Manufacturer in Purwokerto</v>
      </c>
      <c r="AA1453" s="15" t="str">
        <f t="shared" si="11"/>
        <v>OK (48)</v>
      </c>
      <c r="AB1453" s="15" t="str">
        <f t="shared" si="12"/>
        <v>EP-finished SS 304/316L pipes &amp; tubes for VERIFY plants in Purwokerto. ASTM A270, ASME BPE SF1-SF4, EN 10204 3.1 MTC. PMI tested.</v>
      </c>
      <c r="AC1453" s="15" t="str">
        <f t="shared" si="13"/>
        <v>PENDING RESEARCH</v>
      </c>
      <c r="AD1453" s="15" t="str">
        <f t="shared" si="14"/>
        <v>Electropolished Pipes Manufacturer in Purwokerto</v>
      </c>
      <c r="AE1453" s="15" t="str">
        <f t="shared" si="15"/>
        <v>Electropolished Tube Manufacturing Capability Serving Purwokerto</v>
      </c>
      <c r="AF1453" s="15" t="str">
        <f t="shared" si="16"/>
        <v>Electropolished Pipes Supplier in Purwokerto - From Order to Delivery</v>
      </c>
      <c r="AG1453" s="15" t="str">
        <f t="shared" si="17"/>
        <v>Stockist &amp; Wholesale Supply of Electropolished Pipes in Purwokerto</v>
      </c>
      <c r="AH1453" s="15" t="str">
        <f t="shared" si="18"/>
        <v>electropolished pipes manufacturer in Purwokerto, electropolished pipes supplier in Purwokerto, electropolished pipes wholesaler in Purwokerto, electropolished tube manufacturer Purwokerto, EP pipe supplier Purwokerto, sanitary tube supplier Purwokerto, ASME BPE tubing Purwokerto, ASTM A270 tube Purwokerto, SS 316L electropolished pipe Purwokerto</v>
      </c>
      <c r="AI1453" s="15" t="str">
        <f t="shared" si="19"/>
        <v>Electropolished Pipes Manufacturer &amp; Supplier in Purwokerto</v>
      </c>
      <c r="AJ1453" s="15" t="str">
        <f t="shared" si="20"/>
        <v>EP-finished SS 304/316L pipes and tubes for VERIFY plants in Purwokerto. ASME BPE SF1-SF4, Ra from 0.25 um, EN 10204 3.1 certificate with every lot.</v>
      </c>
      <c r="AK1453" s="15" t="str">
        <f t="shared" si="21"/>
        <v>Electropolished stainless steel pipes supplied by Sakshi Forge to VERIFY plants at VERIFY, Purwokerto</v>
      </c>
      <c r="AL1453" s="15" t="str">
        <f t="shared" si="22"/>
        <v>Electropolished SS 316L tube stock for Purwokerto - Sakshi Forge</v>
      </c>
      <c r="AM1453" s="15" t="str">
        <f t="shared" si="23"/>
        <v>Home &gt; Market Area &gt; Indonesia &gt; VERIFY &gt; Purwokerto</v>
      </c>
      <c r="AN1453" s="15">
        <f t="shared" si="24"/>
        <v>750</v>
      </c>
      <c r="AO1453" s="15">
        <f t="shared" si="25"/>
        <v>6</v>
      </c>
      <c r="AP1453" s="15">
        <f t="shared" si="26"/>
        <v>6</v>
      </c>
      <c r="AQ1453" s="15">
        <f t="shared" si="27"/>
        <v>25</v>
      </c>
      <c r="AR1453" s="31"/>
      <c r="AS1453" s="31"/>
      <c r="AT1453" s="35" t="s">
        <v>222</v>
      </c>
      <c r="AU1453" s="35"/>
    </row>
    <row r="1454" ht="15.75" customHeight="1">
      <c r="A1454" s="15" t="s">
        <v>7084</v>
      </c>
      <c r="B1454" s="15" t="s">
        <v>445</v>
      </c>
      <c r="C1454" s="15" t="s">
        <v>98</v>
      </c>
      <c r="D1454" s="15" t="s">
        <v>7085</v>
      </c>
      <c r="E1454" s="15" t="s">
        <v>7085</v>
      </c>
      <c r="F1454" s="58" t="s">
        <v>807</v>
      </c>
      <c r="G1454" s="66" t="s">
        <v>98</v>
      </c>
      <c r="H1454" s="18" t="s">
        <v>98</v>
      </c>
      <c r="I1454" s="18" t="s">
        <v>98</v>
      </c>
      <c r="J1454" s="18" t="s">
        <v>98</v>
      </c>
      <c r="K1454" s="18" t="s">
        <v>98</v>
      </c>
      <c r="L1454" s="18" t="s">
        <v>98</v>
      </c>
      <c r="M1454" s="18" t="s">
        <v>643</v>
      </c>
      <c r="N1454" s="18" t="s">
        <v>453</v>
      </c>
      <c r="O1454" s="18" t="s">
        <v>98</v>
      </c>
      <c r="P1454" s="15" t="str">
        <f t="shared" si="1"/>
        <v>VERIFY</v>
      </c>
      <c r="Q1454" s="15">
        <f t="shared" si="2"/>
        <v>3</v>
      </c>
      <c r="R1454" s="15">
        <f t="shared" si="3"/>
        <v>2</v>
      </c>
      <c r="S1454" s="15">
        <f t="shared" si="4"/>
        <v>1</v>
      </c>
      <c r="T1454" s="15" t="str">
        <f t="shared" si="5"/>
        <v>C-5</v>
      </c>
      <c r="U1454" s="15" t="str">
        <f t="shared" si="6"/>
        <v>T3-M2-H1-FC-5-VERIFY</v>
      </c>
      <c r="V1454" s="15">
        <f t="shared" si="7"/>
        <v>0</v>
      </c>
      <c r="W1454" s="31"/>
      <c r="X1454" s="15" t="str">
        <f t="shared" si="8"/>
        <v>samarinda-indonesia</v>
      </c>
      <c r="Y1454" s="32" t="str">
        <f t="shared" si="9"/>
        <v>https://steelmanufacturer.in/market-area/electropolished-pipes-manufacturer-in-samarinda-indonesia/</v>
      </c>
      <c r="Z1454" s="15" t="str">
        <f t="shared" si="10"/>
        <v>Electropolished Pipes Manufacturer in Samarinda</v>
      </c>
      <c r="AA1454" s="15" t="str">
        <f t="shared" si="11"/>
        <v>OK (47)</v>
      </c>
      <c r="AB1454" s="15" t="str">
        <f t="shared" si="12"/>
        <v>Electropolished tube supply to VERIFY, Samarinda. Ra from 0.25 um, SF4 finish, mill test certificate with every lot.</v>
      </c>
      <c r="AC1454" s="15" t="str">
        <f t="shared" si="13"/>
        <v>PENDING RESEARCH</v>
      </c>
      <c r="AD1454" s="15" t="str">
        <f t="shared" si="14"/>
        <v>Electropolished Pipes Manufacturer in Samarinda</v>
      </c>
      <c r="AE1454" s="15" t="str">
        <f t="shared" si="15"/>
        <v>Electropolished Pipe &amp; Tube Manufacturing for Samarinda - Grades, Finishes &amp; Certification</v>
      </c>
      <c r="AF1454" s="15" t="str">
        <f t="shared" si="16"/>
        <v>Electropolished Pipes Supplier in Samarinda - Stock Sizes, Lead Time &amp; Delivery</v>
      </c>
      <c r="AG1454" s="15" t="str">
        <f t="shared" si="17"/>
        <v>Electropolished Pipes Wholesaler &amp; Stockist in Samarinda - Bulk &amp; Project Pricing</v>
      </c>
      <c r="AH1454" s="15" t="str">
        <f t="shared" si="18"/>
        <v>electropolished pipes manufacturer in Samarinda, electropolished pipes supplier in Samarinda, electropolished pipes wholesaler in Samarinda, electropolished tube manufacturer Samarinda, EP pipe supplier Samarinda, sanitary tube supplier Samarinda, ASME BPE tubing Samarinda, ASTM A270 tube Samarinda, SS 316L electropolished pipe Samarinda</v>
      </c>
      <c r="AI1454" s="15" t="str">
        <f t="shared" si="19"/>
        <v>Electropolished Pipes Manufacturer &amp; Supplier in Samarinda</v>
      </c>
      <c r="AJ1454" s="15" t="str">
        <f t="shared" si="20"/>
        <v>EP-finished SS 304/316L pipes and tubes for VERIFY plants in Samarinda. ASME BPE SF1-SF4, Ra from 0.25 um, EN 10204 3.1 certificate with every lot.</v>
      </c>
      <c r="AK1454" s="15" t="str">
        <f t="shared" si="21"/>
        <v>Electropolished stainless steel pipes supplied by Sakshi Forge to VERIFY plants at VERIFY, Samarinda</v>
      </c>
      <c r="AL1454" s="15" t="str">
        <f t="shared" si="22"/>
        <v>Electropolished SS 316L tube stock for Samarinda - Sakshi Forge</v>
      </c>
      <c r="AM1454" s="15" t="str">
        <f t="shared" si="23"/>
        <v>Home &gt; Market Area &gt; Indonesia &gt; VERIFY &gt; Samarinda</v>
      </c>
      <c r="AN1454" s="15">
        <f t="shared" si="24"/>
        <v>750</v>
      </c>
      <c r="AO1454" s="15">
        <f t="shared" si="25"/>
        <v>6</v>
      </c>
      <c r="AP1454" s="15">
        <f t="shared" si="26"/>
        <v>6</v>
      </c>
      <c r="AQ1454" s="15">
        <f t="shared" si="27"/>
        <v>25</v>
      </c>
      <c r="AR1454" s="31"/>
      <c r="AS1454" s="31"/>
      <c r="AT1454" s="35" t="s">
        <v>222</v>
      </c>
      <c r="AU1454" s="35"/>
    </row>
    <row r="1455" ht="15.75" customHeight="1">
      <c r="A1455" s="15" t="s">
        <v>7086</v>
      </c>
      <c r="B1455" s="15" t="s">
        <v>445</v>
      </c>
      <c r="C1455" s="15" t="s">
        <v>98</v>
      </c>
      <c r="D1455" s="15" t="s">
        <v>7087</v>
      </c>
      <c r="E1455" s="15" t="s">
        <v>7087</v>
      </c>
      <c r="F1455" s="58" t="s">
        <v>807</v>
      </c>
      <c r="G1455" s="66" t="s">
        <v>98</v>
      </c>
      <c r="H1455" s="18" t="s">
        <v>98</v>
      </c>
      <c r="I1455" s="18" t="s">
        <v>98</v>
      </c>
      <c r="J1455" s="18" t="s">
        <v>98</v>
      </c>
      <c r="K1455" s="18" t="s">
        <v>98</v>
      </c>
      <c r="L1455" s="18" t="s">
        <v>98</v>
      </c>
      <c r="M1455" s="18" t="s">
        <v>643</v>
      </c>
      <c r="N1455" s="18" t="s">
        <v>453</v>
      </c>
      <c r="O1455" s="18" t="s">
        <v>98</v>
      </c>
      <c r="P1455" s="15" t="str">
        <f t="shared" si="1"/>
        <v>VERIFY</v>
      </c>
      <c r="Q1455" s="15">
        <f t="shared" si="2"/>
        <v>4</v>
      </c>
      <c r="R1455" s="15">
        <f t="shared" si="3"/>
        <v>3</v>
      </c>
      <c r="S1455" s="15">
        <f t="shared" si="4"/>
        <v>2</v>
      </c>
      <c r="T1455" s="15" t="str">
        <f t="shared" si="5"/>
        <v>C-6</v>
      </c>
      <c r="U1455" s="15" t="str">
        <f t="shared" si="6"/>
        <v>T4-M3-H2-FC-6-VERIFY</v>
      </c>
      <c r="V1455" s="15">
        <f t="shared" si="7"/>
        <v>0</v>
      </c>
      <c r="W1455" s="31"/>
      <c r="X1455" s="15" t="str">
        <f t="shared" si="8"/>
        <v>solo-indonesia</v>
      </c>
      <c r="Y1455" s="32" t="str">
        <f t="shared" si="9"/>
        <v>https://steelmanufacturer.in/market-area/electropolished-pipes-manufacturer-in-solo-indonesia/</v>
      </c>
      <c r="Z1455" s="15" t="str">
        <f t="shared" si="10"/>
        <v>Electropolished Pipes Manufacturer in Solo - SS 304/316L EP Tube</v>
      </c>
      <c r="AA1455" s="15" t="str">
        <f t="shared" si="11"/>
        <v>OK (64)</v>
      </c>
      <c r="AB1455" s="15" t="str">
        <f t="shared" si="12"/>
        <v>EP stainless tube for VERIFY lines in Solo. 10-14 days sea from Nhava Sheva to Tanjung Priok. ASTM A270 S2, PMI tested, EN 10204 3.1.</v>
      </c>
      <c r="AC1455" s="15" t="str">
        <f t="shared" si="13"/>
        <v>PENDING RESEARCH</v>
      </c>
      <c r="AD1455" s="15" t="str">
        <f t="shared" si="14"/>
        <v>Electropolished Pipes Manufacturer in Solo</v>
      </c>
      <c r="AE1455" s="15" t="str">
        <f t="shared" si="15"/>
        <v>How We Manufacture Electropolished Tube for Solo Plants</v>
      </c>
      <c r="AF1455" s="15" t="str">
        <f t="shared" si="16"/>
        <v>Supplying Electropolished Pipes in Solo: Availability, Sizes &amp; Dispatch</v>
      </c>
      <c r="AG1455" s="15" t="str">
        <f t="shared" si="17"/>
        <v>Wholesale Electropolished Pipe Supply for Solo Projects</v>
      </c>
      <c r="AH1455" s="15" t="str">
        <f t="shared" si="18"/>
        <v>electropolished pipes manufacturer in Solo, electropolished pipes supplier in Solo, electropolished pipes wholesaler in Solo, electropolished tube manufacturer Solo, EP pipe supplier Solo, sanitary tube supplier Solo, ASME BPE tubing Solo, ASTM A270 tube Solo, SS 316L electropolished pipe Solo</v>
      </c>
      <c r="AI1455" s="15" t="str">
        <f t="shared" si="19"/>
        <v>Electropolished Pipes Manufacturer &amp; Supplier in Solo</v>
      </c>
      <c r="AJ1455" s="15" t="str">
        <f t="shared" si="20"/>
        <v>EP-finished SS 304/316L pipes and tubes for VERIFY plants in Solo. ASME BPE SF1-SF4, Ra from 0.25 um, EN 10204 3.1 certificate with every lot.</v>
      </c>
      <c r="AK1455" s="15" t="str">
        <f t="shared" si="21"/>
        <v>Electropolished stainless steel pipes supplied by Sakshi Forge to VERIFY plants at VERIFY, Solo</v>
      </c>
      <c r="AL1455" s="15" t="str">
        <f t="shared" si="22"/>
        <v>Electropolished SS 316L tube stock for Solo - Sakshi Forge</v>
      </c>
      <c r="AM1455" s="15" t="str">
        <f t="shared" si="23"/>
        <v>Home &gt; Market Area &gt; Indonesia &gt; VERIFY &gt; Solo</v>
      </c>
      <c r="AN1455" s="15">
        <f t="shared" si="24"/>
        <v>750</v>
      </c>
      <c r="AO1455" s="15">
        <f t="shared" si="25"/>
        <v>6</v>
      </c>
      <c r="AP1455" s="15">
        <f t="shared" si="26"/>
        <v>6</v>
      </c>
      <c r="AQ1455" s="15">
        <f t="shared" si="27"/>
        <v>25</v>
      </c>
      <c r="AR1455" s="31"/>
      <c r="AS1455" s="31"/>
      <c r="AT1455" s="35" t="s">
        <v>222</v>
      </c>
      <c r="AU1455" s="35"/>
    </row>
    <row r="1456" ht="15.75" customHeight="1">
      <c r="A1456" s="15" t="s">
        <v>7088</v>
      </c>
      <c r="B1456" s="15" t="s">
        <v>445</v>
      </c>
      <c r="C1456" s="15" t="s">
        <v>98</v>
      </c>
      <c r="D1456" s="15" t="s">
        <v>7089</v>
      </c>
      <c r="E1456" s="15" t="s">
        <v>7089</v>
      </c>
      <c r="F1456" s="58" t="s">
        <v>807</v>
      </c>
      <c r="G1456" s="66" t="s">
        <v>98</v>
      </c>
      <c r="H1456" s="18" t="s">
        <v>98</v>
      </c>
      <c r="I1456" s="18" t="s">
        <v>98</v>
      </c>
      <c r="J1456" s="18" t="s">
        <v>98</v>
      </c>
      <c r="K1456" s="18" t="s">
        <v>98</v>
      </c>
      <c r="L1456" s="18" t="s">
        <v>98</v>
      </c>
      <c r="M1456" s="18" t="s">
        <v>643</v>
      </c>
      <c r="N1456" s="18" t="s">
        <v>453</v>
      </c>
      <c r="O1456" s="18" t="s">
        <v>98</v>
      </c>
      <c r="P1456" s="15" t="str">
        <f t="shared" si="1"/>
        <v>VERIFY</v>
      </c>
      <c r="Q1456" s="15">
        <f t="shared" si="2"/>
        <v>5</v>
      </c>
      <c r="R1456" s="15">
        <f t="shared" si="3"/>
        <v>4</v>
      </c>
      <c r="S1456" s="15">
        <f t="shared" si="4"/>
        <v>3</v>
      </c>
      <c r="T1456" s="15" t="str">
        <f t="shared" si="5"/>
        <v>C-1</v>
      </c>
      <c r="U1456" s="15" t="str">
        <f t="shared" si="6"/>
        <v>T5-M4-H3-FC-1-VERIFY</v>
      </c>
      <c r="V1456" s="15">
        <f t="shared" si="7"/>
        <v>0</v>
      </c>
      <c r="W1456" s="31"/>
      <c r="X1456" s="15" t="str">
        <f t="shared" si="8"/>
        <v>sorong-indonesia</v>
      </c>
      <c r="Y1456" s="32" t="str">
        <f t="shared" si="9"/>
        <v>https://steelmanufacturer.in/market-area/electropolished-pipes-manufacturer-in-sorong-indonesia/</v>
      </c>
      <c r="Z1456" s="15" t="str">
        <f t="shared" si="10"/>
        <v>Electropolished Pipes Manufacturer in Sorong</v>
      </c>
      <c r="AA1456" s="15" t="str">
        <f t="shared" si="11"/>
        <v>OK (44)</v>
      </c>
      <c r="AB1456" s="15" t="str">
        <f t="shared" si="12"/>
        <v>Sanitary electropolished pipes in Sorong for VERIFY plants. ASME BPE SF1-SF4, orbital-weld ready, 3.1 MTC. Mumbai-made.</v>
      </c>
      <c r="AC1456" s="15" t="str">
        <f t="shared" si="13"/>
        <v>PENDING RESEARCH</v>
      </c>
      <c r="AD1456" s="15" t="str">
        <f t="shared" si="14"/>
        <v>Electropolished Pipes Manufacturer in Sorong</v>
      </c>
      <c r="AE1456" s="15" t="str">
        <f t="shared" si="15"/>
        <v>Electropolished Pipes Manufacturer in Sorong - Our Process &amp; Capability</v>
      </c>
      <c r="AF1456" s="15" t="str">
        <f t="shared" si="16"/>
        <v>Electropolished Pipes Supplier in Sorong - What We Hold in Stock</v>
      </c>
      <c r="AG1456" s="15" t="str">
        <f t="shared" si="17"/>
        <v>Bulk &amp; Wholesale Electropolished Pipe Rates for Sorong Buyers</v>
      </c>
      <c r="AH1456" s="15" t="str">
        <f t="shared" si="18"/>
        <v>electropolished pipes manufacturer in Sorong, electropolished pipes supplier in Sorong, electropolished pipes wholesaler in Sorong, electropolished tube manufacturer Sorong, EP pipe supplier Sorong, sanitary tube supplier Sorong, ASME BPE tubing Sorong, ASTM A270 tube Sorong, SS 316L electropolished pipe Sorong</v>
      </c>
      <c r="AI1456" s="15" t="str">
        <f t="shared" si="19"/>
        <v>Electropolished Pipes Manufacturer &amp; Supplier in Sorong</v>
      </c>
      <c r="AJ1456" s="15" t="str">
        <f t="shared" si="20"/>
        <v>EP-finished SS 304/316L pipes and tubes for VERIFY plants in Sorong. ASME BPE SF1-SF4, Ra from 0.25 um, EN 10204 3.1 certificate with every lot.</v>
      </c>
      <c r="AK1456" s="15" t="str">
        <f t="shared" si="21"/>
        <v>Electropolished stainless steel pipes supplied by Sakshi Forge to VERIFY plants at VERIFY, Sorong</v>
      </c>
      <c r="AL1456" s="15" t="str">
        <f t="shared" si="22"/>
        <v>Electropolished SS 316L tube stock for Sorong - Sakshi Forge</v>
      </c>
      <c r="AM1456" s="15" t="str">
        <f t="shared" si="23"/>
        <v>Home &gt; Market Area &gt; Indonesia &gt; VERIFY &gt; Sorong</v>
      </c>
      <c r="AN1456" s="15">
        <f t="shared" si="24"/>
        <v>750</v>
      </c>
      <c r="AO1456" s="15">
        <f t="shared" si="25"/>
        <v>6</v>
      </c>
      <c r="AP1456" s="15">
        <f t="shared" si="26"/>
        <v>6</v>
      </c>
      <c r="AQ1456" s="15">
        <f t="shared" si="27"/>
        <v>25</v>
      </c>
      <c r="AR1456" s="31"/>
      <c r="AS1456" s="31"/>
      <c r="AT1456" s="35" t="s">
        <v>222</v>
      </c>
      <c r="AU1456" s="35"/>
    </row>
    <row r="1457" ht="15.75" customHeight="1">
      <c r="A1457" s="15" t="s">
        <v>7090</v>
      </c>
      <c r="B1457" s="15" t="s">
        <v>445</v>
      </c>
      <c r="C1457" s="15" t="s">
        <v>98</v>
      </c>
      <c r="D1457" s="15" t="s">
        <v>7091</v>
      </c>
      <c r="E1457" s="15" t="s">
        <v>7091</v>
      </c>
      <c r="F1457" s="58" t="s">
        <v>807</v>
      </c>
      <c r="G1457" s="66" t="s">
        <v>98</v>
      </c>
      <c r="H1457" s="18" t="s">
        <v>98</v>
      </c>
      <c r="I1457" s="18" t="s">
        <v>98</v>
      </c>
      <c r="J1457" s="18" t="s">
        <v>98</v>
      </c>
      <c r="K1457" s="18" t="s">
        <v>98</v>
      </c>
      <c r="L1457" s="18" t="s">
        <v>98</v>
      </c>
      <c r="M1457" s="18" t="s">
        <v>643</v>
      </c>
      <c r="N1457" s="18" t="s">
        <v>453</v>
      </c>
      <c r="O1457" s="18" t="s">
        <v>98</v>
      </c>
      <c r="P1457" s="15" t="str">
        <f t="shared" si="1"/>
        <v>VERIFY</v>
      </c>
      <c r="Q1457" s="15">
        <f t="shared" si="2"/>
        <v>6</v>
      </c>
      <c r="R1457" s="15">
        <f t="shared" si="3"/>
        <v>5</v>
      </c>
      <c r="S1457" s="15">
        <f t="shared" si="4"/>
        <v>4</v>
      </c>
      <c r="T1457" s="15" t="str">
        <f t="shared" si="5"/>
        <v>C-2</v>
      </c>
      <c r="U1457" s="15" t="str">
        <f t="shared" si="6"/>
        <v>T6-M5-H4-FC-2-VERIFY</v>
      </c>
      <c r="V1457" s="15">
        <f t="shared" si="7"/>
        <v>0</v>
      </c>
      <c r="W1457" s="31"/>
      <c r="X1457" s="15" t="str">
        <f t="shared" si="8"/>
        <v>subang-indonesia</v>
      </c>
      <c r="Y1457" s="32" t="str">
        <f t="shared" si="9"/>
        <v>https://steelmanufacturer.in/market-area/electropolished-pipes-manufacturer-in-subang-indonesia/</v>
      </c>
      <c r="Z1457" s="15" t="str">
        <f t="shared" si="10"/>
        <v>Electropolished Pipes Manufacturer in Subang</v>
      </c>
      <c r="AA1457" s="15" t="str">
        <f t="shared" si="11"/>
        <v>OK (44)</v>
      </c>
      <c r="AB1457" s="15" t="str">
        <f t="shared" si="12"/>
        <v>Manufacturer of electropolished SS 316L tube serving Subang. 10-14 days sea from Nhava Sheva to Tanjung Priok. Ra 0.25-0.5 um, EN 10204 3.1 MTC.</v>
      </c>
      <c r="AC1457" s="15" t="str">
        <f t="shared" si="13"/>
        <v>PENDING RESEARCH</v>
      </c>
      <c r="AD1457" s="15" t="str">
        <f t="shared" si="14"/>
        <v>Electropolished Pipes Manufacturer in Subang</v>
      </c>
      <c r="AE1457" s="15" t="str">
        <f t="shared" si="15"/>
        <v>Manufacturing Electropolished SS Tube for Subang: The Standards We Build To</v>
      </c>
      <c r="AF1457" s="15" t="str">
        <f t="shared" si="16"/>
        <v>Electropolished Pipe Supply Into Subang - Certification &amp; Transit</v>
      </c>
      <c r="AG1457" s="15" t="str">
        <f t="shared" si="17"/>
        <v>Electropolished Pipes Wholesaler in Subang - Project Quantities &amp; Terms</v>
      </c>
      <c r="AH1457" s="15" t="str">
        <f t="shared" si="18"/>
        <v>electropolished pipes manufacturer in Subang, electropolished pipes supplier in Subang, electropolished pipes wholesaler in Subang, electropolished tube manufacturer Subang, EP pipe supplier Subang, sanitary tube supplier Subang, ASME BPE tubing Subang, ASTM A270 tube Subang, SS 316L electropolished pipe Subang</v>
      </c>
      <c r="AI1457" s="15" t="str">
        <f t="shared" si="19"/>
        <v>Electropolished Pipes Manufacturer &amp; Supplier in Subang</v>
      </c>
      <c r="AJ1457" s="15" t="str">
        <f t="shared" si="20"/>
        <v>EP-finished SS 304/316L pipes and tubes for VERIFY plants in Subang. ASME BPE SF1-SF4, Ra from 0.25 um, EN 10204 3.1 certificate with every lot.</v>
      </c>
      <c r="AK1457" s="15" t="str">
        <f t="shared" si="21"/>
        <v>Electropolished stainless steel pipes supplied by Sakshi Forge to VERIFY plants at VERIFY, Subang</v>
      </c>
      <c r="AL1457" s="15" t="str">
        <f t="shared" si="22"/>
        <v>Electropolished SS 316L tube stock for Subang - Sakshi Forge</v>
      </c>
      <c r="AM1457" s="15" t="str">
        <f t="shared" si="23"/>
        <v>Home &gt; Market Area &gt; Indonesia &gt; VERIFY &gt; Subang</v>
      </c>
      <c r="AN1457" s="15">
        <f t="shared" si="24"/>
        <v>750</v>
      </c>
      <c r="AO1457" s="15">
        <f t="shared" si="25"/>
        <v>6</v>
      </c>
      <c r="AP1457" s="15">
        <f t="shared" si="26"/>
        <v>6</v>
      </c>
      <c r="AQ1457" s="15">
        <f t="shared" si="27"/>
        <v>25</v>
      </c>
      <c r="AR1457" s="31"/>
      <c r="AS1457" s="31"/>
      <c r="AT1457" s="35" t="s">
        <v>222</v>
      </c>
      <c r="AU1457" s="35"/>
    </row>
    <row r="1458" ht="15.75" customHeight="1">
      <c r="A1458" s="15" t="s">
        <v>7092</v>
      </c>
      <c r="B1458" s="15" t="s">
        <v>445</v>
      </c>
      <c r="C1458" s="15" t="s">
        <v>98</v>
      </c>
      <c r="D1458" s="15" t="s">
        <v>7093</v>
      </c>
      <c r="E1458" s="15" t="s">
        <v>7093</v>
      </c>
      <c r="F1458" s="58" t="s">
        <v>807</v>
      </c>
      <c r="G1458" s="66" t="s">
        <v>98</v>
      </c>
      <c r="H1458" s="18" t="s">
        <v>98</v>
      </c>
      <c r="I1458" s="18" t="s">
        <v>98</v>
      </c>
      <c r="J1458" s="18" t="s">
        <v>98</v>
      </c>
      <c r="K1458" s="18" t="s">
        <v>98</v>
      </c>
      <c r="L1458" s="18" t="s">
        <v>98</v>
      </c>
      <c r="M1458" s="18" t="s">
        <v>643</v>
      </c>
      <c r="N1458" s="18" t="s">
        <v>453</v>
      </c>
      <c r="O1458" s="18" t="s">
        <v>98</v>
      </c>
      <c r="P1458" s="15" t="str">
        <f t="shared" si="1"/>
        <v>VERIFY</v>
      </c>
      <c r="Q1458" s="15">
        <f t="shared" si="2"/>
        <v>7</v>
      </c>
      <c r="R1458" s="15">
        <f t="shared" si="3"/>
        <v>6</v>
      </c>
      <c r="S1458" s="15">
        <f t="shared" si="4"/>
        <v>5</v>
      </c>
      <c r="T1458" s="15" t="str">
        <f t="shared" si="5"/>
        <v>C-3</v>
      </c>
      <c r="U1458" s="15" t="str">
        <f t="shared" si="6"/>
        <v>T7-M6-H5-FC-3-VERIFY</v>
      </c>
      <c r="V1458" s="15">
        <f t="shared" si="7"/>
        <v>0</v>
      </c>
      <c r="W1458" s="31"/>
      <c r="X1458" s="15" t="str">
        <f t="shared" si="8"/>
        <v>sukabumi-indonesia</v>
      </c>
      <c r="Y1458" s="32" t="str">
        <f t="shared" si="9"/>
        <v>https://steelmanufacturer.in/market-area/electropolished-pipes-manufacturer-in-sukabumi-indonesia/</v>
      </c>
      <c r="Z1458" s="15" t="str">
        <f t="shared" si="10"/>
        <v>Electropolished Pipes Manufacturer in Sukabumi | ASME BPE SF1-SF4</v>
      </c>
      <c r="AA1458" s="15" t="str">
        <f t="shared" si="11"/>
        <v>OK (65)</v>
      </c>
      <c r="AB1458" s="15" t="str">
        <f t="shared" si="12"/>
        <v>EP tube and pipe for VERIFY plants around VERIFY, Sukabumi. Made at our Mumbai works to ASTM A270 and ASME BPE SF1-SF4, with 3.1 MTC.</v>
      </c>
      <c r="AC1458" s="15" t="str">
        <f t="shared" si="13"/>
        <v>PENDING RESEARCH</v>
      </c>
      <c r="AD1458" s="15" t="str">
        <f t="shared" si="14"/>
        <v>Electropolished Pipes Manufacturer in Sukabumi</v>
      </c>
      <c r="AE1458" s="15" t="str">
        <f t="shared" si="15"/>
        <v>Electropolished Tube Manufacturing Capability Serving Sukabumi</v>
      </c>
      <c r="AF1458" s="15" t="str">
        <f t="shared" si="16"/>
        <v>Electropolished Pipes Supplier in Sukabumi - From Order to Delivery</v>
      </c>
      <c r="AG1458" s="15" t="str">
        <f t="shared" si="17"/>
        <v>Stockist &amp; Wholesale Supply of Electropolished Pipes in Sukabumi</v>
      </c>
      <c r="AH1458" s="15" t="str">
        <f t="shared" si="18"/>
        <v>electropolished pipes manufacturer in Sukabumi, electropolished pipes supplier in Sukabumi, electropolished pipes wholesaler in Sukabumi, electropolished tube manufacturer Sukabumi, EP pipe supplier Sukabumi, sanitary tube supplier Sukabumi, ASME BPE tubing Sukabumi, ASTM A270 tube Sukabumi, SS 316L electropolished pipe Sukabumi</v>
      </c>
      <c r="AI1458" s="15" t="str">
        <f t="shared" si="19"/>
        <v>Electropolished Pipes Manufacturer &amp; Supplier in Sukabumi</v>
      </c>
      <c r="AJ1458" s="15" t="str">
        <f t="shared" si="20"/>
        <v>EP-finished SS 304/316L pipes and tubes for VERIFY plants in Sukabumi. ASME BPE SF1-SF4, Ra from 0.25 um, EN 10204 3.1 certificate with every lot.</v>
      </c>
      <c r="AK1458" s="15" t="str">
        <f t="shared" si="21"/>
        <v>Electropolished stainless steel pipes supplied by Sakshi Forge to VERIFY plants at VERIFY, Sukabumi</v>
      </c>
      <c r="AL1458" s="15" t="str">
        <f t="shared" si="22"/>
        <v>Electropolished SS 316L tube stock for Sukabumi - Sakshi Forge</v>
      </c>
      <c r="AM1458" s="15" t="str">
        <f t="shared" si="23"/>
        <v>Home &gt; Market Area &gt; Indonesia &gt; VERIFY &gt; Sukabumi</v>
      </c>
      <c r="AN1458" s="15">
        <f t="shared" si="24"/>
        <v>750</v>
      </c>
      <c r="AO1458" s="15">
        <f t="shared" si="25"/>
        <v>6</v>
      </c>
      <c r="AP1458" s="15">
        <f t="shared" si="26"/>
        <v>6</v>
      </c>
      <c r="AQ1458" s="15">
        <f t="shared" si="27"/>
        <v>25</v>
      </c>
      <c r="AR1458" s="31"/>
      <c r="AS1458" s="31"/>
      <c r="AT1458" s="35" t="s">
        <v>222</v>
      </c>
      <c r="AU1458" s="35"/>
    </row>
    <row r="1459" ht="15.75" customHeight="1">
      <c r="A1459" s="15" t="s">
        <v>7094</v>
      </c>
      <c r="B1459" s="15" t="s">
        <v>445</v>
      </c>
      <c r="C1459" s="15" t="s">
        <v>98</v>
      </c>
      <c r="D1459" s="15" t="s">
        <v>7095</v>
      </c>
      <c r="E1459" s="15" t="s">
        <v>7095</v>
      </c>
      <c r="F1459" s="58" t="s">
        <v>807</v>
      </c>
      <c r="G1459" s="66" t="s">
        <v>98</v>
      </c>
      <c r="H1459" s="18" t="s">
        <v>98</v>
      </c>
      <c r="I1459" s="18" t="s">
        <v>98</v>
      </c>
      <c r="J1459" s="18" t="s">
        <v>98</v>
      </c>
      <c r="K1459" s="18" t="s">
        <v>98</v>
      </c>
      <c r="L1459" s="18" t="s">
        <v>98</v>
      </c>
      <c r="M1459" s="18" t="s">
        <v>643</v>
      </c>
      <c r="N1459" s="18" t="s">
        <v>453</v>
      </c>
      <c r="O1459" s="18" t="s">
        <v>98</v>
      </c>
      <c r="P1459" s="15" t="str">
        <f t="shared" si="1"/>
        <v>VERIFY</v>
      </c>
      <c r="Q1459" s="15">
        <f t="shared" si="2"/>
        <v>8</v>
      </c>
      <c r="R1459" s="15">
        <f t="shared" si="3"/>
        <v>7</v>
      </c>
      <c r="S1459" s="15">
        <f t="shared" si="4"/>
        <v>1</v>
      </c>
      <c r="T1459" s="15" t="str">
        <f t="shared" si="5"/>
        <v>C-4</v>
      </c>
      <c r="U1459" s="15" t="str">
        <f t="shared" si="6"/>
        <v>T8-M7-H1-FC-4-VERIFY</v>
      </c>
      <c r="V1459" s="15">
        <f t="shared" si="7"/>
        <v>0</v>
      </c>
      <c r="W1459" s="31"/>
      <c r="X1459" s="15" t="str">
        <f t="shared" si="8"/>
        <v>tasikmalaya-indonesia</v>
      </c>
      <c r="Y1459" s="32" t="str">
        <f t="shared" si="9"/>
        <v>https://steelmanufacturer.in/market-area/electropolished-pipes-manufacturer-in-tasikmalaya-indonesia/</v>
      </c>
      <c r="Z1459" s="15" t="str">
        <f t="shared" si="10"/>
        <v>Electropolished Pipes Manufacturer in Tasikmalaya</v>
      </c>
      <c r="AA1459" s="15" t="str">
        <f t="shared" si="11"/>
        <v>OK (49)</v>
      </c>
      <c r="AB1459" s="15" t="str">
        <f t="shared" si="12"/>
        <v>Electropolished pipes in Tasikmalaya: 304, 304L, 316 and 316L in SF1-SF4. 10-14 days sea from Nhava Sheva to Tanjung Priok. Mill certified.</v>
      </c>
      <c r="AC1459" s="15" t="str">
        <f t="shared" si="13"/>
        <v>PENDING RESEARCH</v>
      </c>
      <c r="AD1459" s="15" t="str">
        <f t="shared" si="14"/>
        <v>Electropolished Pipes Manufacturer in Tasikmalaya</v>
      </c>
      <c r="AE1459" s="15" t="str">
        <f t="shared" si="15"/>
        <v>Electropolished Pipe &amp; Tube Manufacturing for Tasikmalaya - Grades, Finishes &amp; Certification</v>
      </c>
      <c r="AF1459" s="15" t="str">
        <f t="shared" si="16"/>
        <v>Electropolished Pipes Supplier in Tasikmalaya - Stock Sizes, Lead Time &amp; Delivery</v>
      </c>
      <c r="AG1459" s="15" t="str">
        <f t="shared" si="17"/>
        <v>Electropolished Pipes Wholesaler &amp; Stockist in Tasikmalaya - Bulk &amp; Project Pricing</v>
      </c>
      <c r="AH1459" s="15" t="str">
        <f t="shared" si="18"/>
        <v>electropolished pipes manufacturer in Tasikmalaya, electropolished pipes supplier in Tasikmalaya, electropolished pipes wholesaler in Tasikmalaya, electropolished tube manufacturer Tasikmalaya, EP pipe supplier Tasikmalaya, sanitary tube supplier Tasikmalaya, ASME BPE tubing Tasikmalaya, ASTM A270 tube Tasikmalaya, SS 316L electropolished pipe Tasikmalaya</v>
      </c>
      <c r="AI1459" s="15" t="str">
        <f t="shared" si="19"/>
        <v>Electropolished Pipes Manufacturer &amp; Supplier in Tasikmalaya</v>
      </c>
      <c r="AJ1459" s="15" t="str">
        <f t="shared" si="20"/>
        <v>EP-finished SS 304/316L pipes and tubes for VERIFY plants in Tasikmalaya. ASME BPE SF1-SF4, Ra from 0.25 um, EN 10204 3.1 certificate with every lot.</v>
      </c>
      <c r="AK1459" s="15" t="str">
        <f t="shared" si="21"/>
        <v>Electropolished stainless steel pipes supplied by Sakshi Forge to VERIFY plants at VERIFY, Tasikmalaya</v>
      </c>
      <c r="AL1459" s="15" t="str">
        <f t="shared" si="22"/>
        <v>Electropolished SS 316L tube stock for Tasikmalaya - Sakshi Forge</v>
      </c>
      <c r="AM1459" s="15" t="str">
        <f t="shared" si="23"/>
        <v>Home &gt; Market Area &gt; Indonesia &gt; VERIFY &gt; Tasikmalaya</v>
      </c>
      <c r="AN1459" s="15">
        <f t="shared" si="24"/>
        <v>750</v>
      </c>
      <c r="AO1459" s="15">
        <f t="shared" si="25"/>
        <v>6</v>
      </c>
      <c r="AP1459" s="15">
        <f t="shared" si="26"/>
        <v>6</v>
      </c>
      <c r="AQ1459" s="15">
        <f t="shared" si="27"/>
        <v>25</v>
      </c>
      <c r="AR1459" s="31"/>
      <c r="AS1459" s="31"/>
      <c r="AT1459" s="35" t="s">
        <v>222</v>
      </c>
      <c r="AU1459" s="35"/>
    </row>
    <row r="1460" ht="15.75" customHeight="1">
      <c r="A1460" s="15" t="s">
        <v>7096</v>
      </c>
      <c r="B1460" s="15" t="s">
        <v>445</v>
      </c>
      <c r="C1460" s="15" t="s">
        <v>98</v>
      </c>
      <c r="D1460" s="15" t="s">
        <v>7097</v>
      </c>
      <c r="E1460" s="15" t="s">
        <v>7097</v>
      </c>
      <c r="F1460" s="58" t="s">
        <v>807</v>
      </c>
      <c r="G1460" s="66" t="s">
        <v>98</v>
      </c>
      <c r="H1460" s="18" t="s">
        <v>98</v>
      </c>
      <c r="I1460" s="18" t="s">
        <v>98</v>
      </c>
      <c r="J1460" s="18" t="s">
        <v>98</v>
      </c>
      <c r="K1460" s="18" t="s">
        <v>98</v>
      </c>
      <c r="L1460" s="18" t="s">
        <v>98</v>
      </c>
      <c r="M1460" s="18" t="s">
        <v>643</v>
      </c>
      <c r="N1460" s="18" t="s">
        <v>453</v>
      </c>
      <c r="O1460" s="18" t="s">
        <v>98</v>
      </c>
      <c r="P1460" s="15" t="str">
        <f t="shared" si="1"/>
        <v>VERIFY</v>
      </c>
      <c r="Q1460" s="15">
        <f t="shared" si="2"/>
        <v>1</v>
      </c>
      <c r="R1460" s="15">
        <f t="shared" si="3"/>
        <v>1</v>
      </c>
      <c r="S1460" s="15">
        <f t="shared" si="4"/>
        <v>2</v>
      </c>
      <c r="T1460" s="15" t="str">
        <f t="shared" si="5"/>
        <v>C-5</v>
      </c>
      <c r="U1460" s="15" t="str">
        <f t="shared" si="6"/>
        <v>T1-M1-H2-FC-5-VERIFY</v>
      </c>
      <c r="V1460" s="15">
        <f t="shared" si="7"/>
        <v>0</v>
      </c>
      <c r="W1460" s="31"/>
      <c r="X1460" s="15" t="str">
        <f t="shared" si="8"/>
        <v>tegal-indonesia</v>
      </c>
      <c r="Y1460" s="32" t="str">
        <f t="shared" si="9"/>
        <v>https://steelmanufacturer.in/market-area/electropolished-pipes-manufacturer-in-tegal-indonesia/</v>
      </c>
      <c r="Z1460" s="15" t="str">
        <f t="shared" si="10"/>
        <v>Electropolished Pipes Manufacturer in Tegal | Sakshi Forge</v>
      </c>
      <c r="AA1460" s="15" t="str">
        <f t="shared" si="11"/>
        <v>OK (58)</v>
      </c>
      <c r="AB1460" s="15" t="str">
        <f t="shared" si="12"/>
        <v>EP-finished SS 304/316L pipes &amp; tubes for VERIFY plants in Tegal. ASTM A270, ASME BPE SF1-SF4, EN 10204 3.1 MTC. PMI tested.</v>
      </c>
      <c r="AC1460" s="15" t="str">
        <f t="shared" si="13"/>
        <v>PENDING RESEARCH</v>
      </c>
      <c r="AD1460" s="15" t="str">
        <f t="shared" si="14"/>
        <v>Electropolished Pipes Manufacturer in Tegal</v>
      </c>
      <c r="AE1460" s="15" t="str">
        <f t="shared" si="15"/>
        <v>How We Manufacture Electropolished Tube for Tegal Plants</v>
      </c>
      <c r="AF1460" s="15" t="str">
        <f t="shared" si="16"/>
        <v>Supplying Electropolished Pipes in Tegal: Availability, Sizes &amp; Dispatch</v>
      </c>
      <c r="AG1460" s="15" t="str">
        <f t="shared" si="17"/>
        <v>Wholesale Electropolished Pipe Supply for Tegal Projects</v>
      </c>
      <c r="AH1460" s="15" t="str">
        <f t="shared" si="18"/>
        <v>electropolished pipes manufacturer in Tegal, electropolished pipes supplier in Tegal, electropolished pipes wholesaler in Tegal, electropolished tube manufacturer Tegal, EP pipe supplier Tegal, sanitary tube supplier Tegal, ASME BPE tubing Tegal, ASTM A270 tube Tegal, SS 316L electropolished pipe Tegal</v>
      </c>
      <c r="AI1460" s="15" t="str">
        <f t="shared" si="19"/>
        <v>Electropolished Pipes Manufacturer &amp; Supplier in Tegal</v>
      </c>
      <c r="AJ1460" s="15" t="str">
        <f t="shared" si="20"/>
        <v>EP-finished SS 304/316L pipes and tubes for VERIFY plants in Tegal. ASME BPE SF1-SF4, Ra from 0.25 um, EN 10204 3.1 certificate with every lot.</v>
      </c>
      <c r="AK1460" s="15" t="str">
        <f t="shared" si="21"/>
        <v>Electropolished stainless steel pipes supplied by Sakshi Forge to VERIFY plants at VERIFY, Tegal</v>
      </c>
      <c r="AL1460" s="15" t="str">
        <f t="shared" si="22"/>
        <v>Electropolished SS 316L tube stock for Tegal - Sakshi Forge</v>
      </c>
      <c r="AM1460" s="15" t="str">
        <f t="shared" si="23"/>
        <v>Home &gt; Market Area &gt; Indonesia &gt; VERIFY &gt; Tegal</v>
      </c>
      <c r="AN1460" s="15">
        <f t="shared" si="24"/>
        <v>750</v>
      </c>
      <c r="AO1460" s="15">
        <f t="shared" si="25"/>
        <v>6</v>
      </c>
      <c r="AP1460" s="15">
        <f t="shared" si="26"/>
        <v>6</v>
      </c>
      <c r="AQ1460" s="15">
        <f t="shared" si="27"/>
        <v>25</v>
      </c>
      <c r="AR1460" s="31"/>
      <c r="AS1460" s="31"/>
      <c r="AT1460" s="35" t="s">
        <v>222</v>
      </c>
      <c r="AU1460" s="35"/>
    </row>
    <row r="1461" ht="15.75" customHeight="1">
      <c r="A1461" s="15" t="s">
        <v>7100</v>
      </c>
      <c r="B1461" s="15" t="s">
        <v>445</v>
      </c>
      <c r="C1461" s="15" t="s">
        <v>98</v>
      </c>
      <c r="D1461" s="15" t="s">
        <v>7102</v>
      </c>
      <c r="E1461" s="15" t="s">
        <v>7102</v>
      </c>
      <c r="F1461" s="58" t="s">
        <v>807</v>
      </c>
      <c r="G1461" s="66" t="s">
        <v>98</v>
      </c>
      <c r="H1461" s="18" t="s">
        <v>98</v>
      </c>
      <c r="I1461" s="18" t="s">
        <v>98</v>
      </c>
      <c r="J1461" s="18" t="s">
        <v>98</v>
      </c>
      <c r="K1461" s="18" t="s">
        <v>98</v>
      </c>
      <c r="L1461" s="18" t="s">
        <v>98</v>
      </c>
      <c r="M1461" s="18" t="s">
        <v>643</v>
      </c>
      <c r="N1461" s="18" t="s">
        <v>453</v>
      </c>
      <c r="O1461" s="18" t="s">
        <v>98</v>
      </c>
      <c r="P1461" s="15" t="str">
        <f t="shared" si="1"/>
        <v>VERIFY</v>
      </c>
      <c r="Q1461" s="15">
        <f t="shared" si="2"/>
        <v>2</v>
      </c>
      <c r="R1461" s="15">
        <f t="shared" si="3"/>
        <v>2</v>
      </c>
      <c r="S1461" s="15">
        <f t="shared" si="4"/>
        <v>3</v>
      </c>
      <c r="T1461" s="15" t="str">
        <f t="shared" si="5"/>
        <v>C-6</v>
      </c>
      <c r="U1461" s="15" t="str">
        <f t="shared" si="6"/>
        <v>T2-M2-H3-FC-6-VERIFY</v>
      </c>
      <c r="V1461" s="15">
        <f t="shared" si="7"/>
        <v>0</v>
      </c>
      <c r="W1461" s="31"/>
      <c r="X1461" s="15" t="str">
        <f t="shared" si="8"/>
        <v>yogyakarta-indonesia</v>
      </c>
      <c r="Y1461" s="32" t="str">
        <f t="shared" si="9"/>
        <v>https://steelmanufacturer.in/market-area/electropolished-pipes-manufacturer-in-yogyakarta-indonesia/</v>
      </c>
      <c r="Z1461" s="15" t="str">
        <f t="shared" si="10"/>
        <v>Electropolished Pipes Manufacturer in Yogyakarta</v>
      </c>
      <c r="AA1461" s="15" t="str">
        <f t="shared" si="11"/>
        <v>OK (48)</v>
      </c>
      <c r="AB1461" s="15" t="str">
        <f t="shared" si="12"/>
        <v>Electropolished tube supply to VERIFY, Yogyakarta. Ra from 0.25 um, SF4 finish, mill test certificate with every lot.</v>
      </c>
      <c r="AC1461" s="15" t="str">
        <f t="shared" si="13"/>
        <v>PENDING RESEARCH</v>
      </c>
      <c r="AD1461" s="15" t="str">
        <f t="shared" si="14"/>
        <v>Electropolished Pipes Manufacturer in Yogyakarta</v>
      </c>
      <c r="AE1461" s="15" t="str">
        <f t="shared" si="15"/>
        <v>Electropolished Pipes Manufacturer in Yogyakarta - Our Process &amp; Capability</v>
      </c>
      <c r="AF1461" s="15" t="str">
        <f t="shared" si="16"/>
        <v>Electropolished Pipes Supplier in Yogyakarta - What We Hold in Stock</v>
      </c>
      <c r="AG1461" s="15" t="str">
        <f t="shared" si="17"/>
        <v>Bulk &amp; Wholesale Electropolished Pipe Rates for Yogyakarta Buyers</v>
      </c>
      <c r="AH1461" s="15" t="str">
        <f t="shared" si="18"/>
        <v>electropolished pipes manufacturer in Yogyakarta, electropolished pipes supplier in Yogyakarta, electropolished pipes wholesaler in Yogyakarta, electropolished tube manufacturer Yogyakarta, EP pipe supplier Yogyakarta, sanitary tube supplier Yogyakarta, ASME BPE tubing Yogyakarta, ASTM A270 tube Yogyakarta, SS 316L electropolished pipe Yogyakarta</v>
      </c>
      <c r="AI1461" s="15" t="str">
        <f t="shared" si="19"/>
        <v>Electropolished Pipes Manufacturer &amp; Supplier in Yogyakarta</v>
      </c>
      <c r="AJ1461" s="15" t="str">
        <f t="shared" si="20"/>
        <v>EP-finished SS 304/316L pipes and tubes for VERIFY plants in Yogyakarta. ASME BPE SF1-SF4, Ra from 0.25 um, EN 10204 3.1 certificate with every lot.</v>
      </c>
      <c r="AK1461" s="15" t="str">
        <f t="shared" si="21"/>
        <v>Electropolished stainless steel pipes supplied by Sakshi Forge to VERIFY plants at VERIFY, Yogyakarta</v>
      </c>
      <c r="AL1461" s="15" t="str">
        <f t="shared" si="22"/>
        <v>Electropolished SS 316L tube stock for Yogyakarta - Sakshi Forge</v>
      </c>
      <c r="AM1461" s="15" t="str">
        <f t="shared" si="23"/>
        <v>Home &gt; Market Area &gt; Indonesia &gt; VERIFY &gt; Yogyakarta</v>
      </c>
      <c r="AN1461" s="15">
        <f t="shared" si="24"/>
        <v>750</v>
      </c>
      <c r="AO1461" s="15">
        <f t="shared" si="25"/>
        <v>6</v>
      </c>
      <c r="AP1461" s="15">
        <f t="shared" si="26"/>
        <v>6</v>
      </c>
      <c r="AQ1461" s="15">
        <f t="shared" si="27"/>
        <v>25</v>
      </c>
      <c r="AR1461" s="31"/>
      <c r="AS1461" s="31"/>
      <c r="AT1461" s="35" t="s">
        <v>222</v>
      </c>
      <c r="AU1461" s="35"/>
    </row>
    <row r="1462" ht="15.75" customHeight="1">
      <c r="A1462" s="15" t="s">
        <v>7105</v>
      </c>
      <c r="B1462" s="15" t="s">
        <v>301</v>
      </c>
      <c r="C1462" s="15" t="s">
        <v>98</v>
      </c>
      <c r="D1462" s="15" t="s">
        <v>7106</v>
      </c>
      <c r="E1462" s="15" t="s">
        <v>7106</v>
      </c>
      <c r="F1462" s="58" t="s">
        <v>807</v>
      </c>
      <c r="G1462" s="66" t="s">
        <v>98</v>
      </c>
      <c r="H1462" s="18" t="s">
        <v>98</v>
      </c>
      <c r="I1462" s="18" t="s">
        <v>98</v>
      </c>
      <c r="J1462" s="18" t="s">
        <v>98</v>
      </c>
      <c r="K1462" s="18" t="s">
        <v>98</v>
      </c>
      <c r="L1462" s="18" t="s">
        <v>98</v>
      </c>
      <c r="M1462" s="18" t="s">
        <v>580</v>
      </c>
      <c r="N1462" s="18" t="s">
        <v>378</v>
      </c>
      <c r="O1462" s="18" t="s">
        <v>98</v>
      </c>
      <c r="P1462" s="15" t="str">
        <f t="shared" si="1"/>
        <v>VERIFY</v>
      </c>
      <c r="Q1462" s="15">
        <f t="shared" si="2"/>
        <v>3</v>
      </c>
      <c r="R1462" s="15">
        <f t="shared" si="3"/>
        <v>3</v>
      </c>
      <c r="S1462" s="15">
        <f t="shared" si="4"/>
        <v>4</v>
      </c>
      <c r="T1462" s="15" t="str">
        <f t="shared" si="5"/>
        <v>C-1</v>
      </c>
      <c r="U1462" s="15" t="str">
        <f t="shared" si="6"/>
        <v>T3-M3-H4-FC-1-VERIFY</v>
      </c>
      <c r="V1462" s="15">
        <f t="shared" si="7"/>
        <v>0</v>
      </c>
      <c r="W1462" s="31"/>
      <c r="X1462" s="15" t="str">
        <f t="shared" si="8"/>
        <v>agrigento-italy</v>
      </c>
      <c r="Y1462" s="32" t="str">
        <f t="shared" si="9"/>
        <v>https://steelmanufacturer.in/market-area/electropolished-pipes-manufacturer-in-agrigento-italy/</v>
      </c>
      <c r="Z1462" s="15" t="str">
        <f t="shared" si="10"/>
        <v>Electropolished Pipes Manufacturer in Agrigento</v>
      </c>
      <c r="AA1462" s="15" t="str">
        <f t="shared" si="11"/>
        <v>OK (47)</v>
      </c>
      <c r="AB1462" s="15" t="str">
        <f t="shared" si="12"/>
        <v>EP stainless tube for VERIFY lines in Agrigento. 18-24 days sea from Nhava Sheva to Genoa. ASTM A270 S2, PMI tested, EN 10204 3.1.</v>
      </c>
      <c r="AC1462" s="15" t="str">
        <f t="shared" si="13"/>
        <v>PENDING RESEARCH</v>
      </c>
      <c r="AD1462" s="15" t="str">
        <f t="shared" si="14"/>
        <v>Electropolished Pipes Manufacturer in Agrigento</v>
      </c>
      <c r="AE1462" s="15" t="str">
        <f t="shared" si="15"/>
        <v>Manufacturing Electropolished SS Tube for Agrigento: The Standards We Build To</v>
      </c>
      <c r="AF1462" s="15" t="str">
        <f t="shared" si="16"/>
        <v>Electropolished Pipe Supply Into Agrigento - Certification &amp; Transit</v>
      </c>
      <c r="AG1462" s="15" t="str">
        <f t="shared" si="17"/>
        <v>Electropolished Pipes Wholesaler in Agrigento - Project Quantities &amp; Terms</v>
      </c>
      <c r="AH1462" s="15" t="str">
        <f t="shared" si="18"/>
        <v>electropolished pipes manufacturer in Agrigento, electropolished pipes supplier in Agrigento, electropolished pipes wholesaler in Agrigento, electropolished tube manufacturer Agrigento, EP pipe supplier Agrigento, sanitary tube supplier Agrigento, ASME BPE tubing Agrigento, ASTM A270 tube Agrigento, SS 316L electropolished pipe Agrigento</v>
      </c>
      <c r="AI1462" s="15" t="str">
        <f t="shared" si="19"/>
        <v>Electropolished Pipes Manufacturer &amp; Supplier in Agrigento</v>
      </c>
      <c r="AJ1462" s="15" t="str">
        <f t="shared" si="20"/>
        <v>EP-finished SS 304/316L pipes and tubes for VERIFY plants in Agrigento. ASME BPE SF1-SF4, Ra from 0.25 um, EN 10204 3.1 certificate with every lot.</v>
      </c>
      <c r="AK1462" s="15" t="str">
        <f t="shared" si="21"/>
        <v>Electropolished stainless steel pipes supplied by Sakshi Forge to VERIFY plants at VERIFY, Agrigento</v>
      </c>
      <c r="AL1462" s="15" t="str">
        <f t="shared" si="22"/>
        <v>Electropolished SS 316L tube stock for Agrigento - Sakshi Forge</v>
      </c>
      <c r="AM1462" s="15" t="str">
        <f t="shared" si="23"/>
        <v>Home &gt; Market Area &gt; Italy &gt; VERIFY &gt; Agrigento</v>
      </c>
      <c r="AN1462" s="15">
        <f t="shared" si="24"/>
        <v>750</v>
      </c>
      <c r="AO1462" s="15">
        <f t="shared" si="25"/>
        <v>6</v>
      </c>
      <c r="AP1462" s="15">
        <f t="shared" si="26"/>
        <v>6</v>
      </c>
      <c r="AQ1462" s="15">
        <f t="shared" si="27"/>
        <v>25</v>
      </c>
      <c r="AR1462" s="31"/>
      <c r="AS1462" s="31"/>
      <c r="AT1462" s="35" t="s">
        <v>222</v>
      </c>
      <c r="AU1462" s="35"/>
    </row>
    <row r="1463" ht="15.75" customHeight="1">
      <c r="A1463" s="15" t="s">
        <v>7108</v>
      </c>
      <c r="B1463" s="15" t="s">
        <v>301</v>
      </c>
      <c r="C1463" s="15" t="s">
        <v>98</v>
      </c>
      <c r="D1463" s="15" t="s">
        <v>7109</v>
      </c>
      <c r="E1463" s="15" t="s">
        <v>7109</v>
      </c>
      <c r="F1463" s="58" t="s">
        <v>807</v>
      </c>
      <c r="G1463" s="66" t="s">
        <v>98</v>
      </c>
      <c r="H1463" s="18" t="s">
        <v>98</v>
      </c>
      <c r="I1463" s="18" t="s">
        <v>98</v>
      </c>
      <c r="J1463" s="18" t="s">
        <v>98</v>
      </c>
      <c r="K1463" s="18" t="s">
        <v>98</v>
      </c>
      <c r="L1463" s="18" t="s">
        <v>98</v>
      </c>
      <c r="M1463" s="18" t="s">
        <v>580</v>
      </c>
      <c r="N1463" s="18" t="s">
        <v>378</v>
      </c>
      <c r="O1463" s="18" t="s">
        <v>98</v>
      </c>
      <c r="P1463" s="15" t="str">
        <f t="shared" si="1"/>
        <v>VERIFY</v>
      </c>
      <c r="Q1463" s="15">
        <f t="shared" si="2"/>
        <v>4</v>
      </c>
      <c r="R1463" s="15">
        <f t="shared" si="3"/>
        <v>4</v>
      </c>
      <c r="S1463" s="15">
        <f t="shared" si="4"/>
        <v>5</v>
      </c>
      <c r="T1463" s="15" t="str">
        <f t="shared" si="5"/>
        <v>C-2</v>
      </c>
      <c r="U1463" s="15" t="str">
        <f t="shared" si="6"/>
        <v>T4-M4-H5-FC-2-VERIFY</v>
      </c>
      <c r="V1463" s="15">
        <f t="shared" si="7"/>
        <v>0</v>
      </c>
      <c r="W1463" s="31"/>
      <c r="X1463" s="15" t="str">
        <f t="shared" si="8"/>
        <v>alessandria-italy</v>
      </c>
      <c r="Y1463" s="32" t="str">
        <f t="shared" si="9"/>
        <v>https://steelmanufacturer.in/market-area/electropolished-pipes-manufacturer-in-alessandria-italy/</v>
      </c>
      <c r="Z1463" s="15" t="str">
        <f t="shared" si="10"/>
        <v>Electropolished Pipes Manufacturer in Alessandria</v>
      </c>
      <c r="AA1463" s="15" t="str">
        <f t="shared" si="11"/>
        <v>OK (49)</v>
      </c>
      <c r="AB1463" s="15" t="str">
        <f t="shared" si="12"/>
        <v>Sanitary electropolished pipes in Alessandria for VERIFY plants. ASME BPE SF1-SF4, orbital-weld ready, 3.1 MTC. Mumbai-made.</v>
      </c>
      <c r="AC1463" s="15" t="str">
        <f t="shared" si="13"/>
        <v>PENDING RESEARCH</v>
      </c>
      <c r="AD1463" s="15" t="str">
        <f t="shared" si="14"/>
        <v>Electropolished Pipes Manufacturer in Alessandria</v>
      </c>
      <c r="AE1463" s="15" t="str">
        <f t="shared" si="15"/>
        <v>Electropolished Tube Manufacturing Capability Serving Alessandria</v>
      </c>
      <c r="AF1463" s="15" t="str">
        <f t="shared" si="16"/>
        <v>Electropolished Pipes Supplier in Alessandria - From Order to Delivery</v>
      </c>
      <c r="AG1463" s="15" t="str">
        <f t="shared" si="17"/>
        <v>Stockist &amp; Wholesale Supply of Electropolished Pipes in Alessandria</v>
      </c>
      <c r="AH1463" s="15" t="str">
        <f t="shared" si="18"/>
        <v>electropolished pipes manufacturer in Alessandria, electropolished pipes supplier in Alessandria, electropolished pipes wholesaler in Alessandria, electropolished tube manufacturer Alessandria, EP pipe supplier Alessandria, sanitary tube supplier Alessandria, ASME BPE tubing Alessandria, ASTM A270 tube Alessandria, SS 316L electropolished pipe Alessandria</v>
      </c>
      <c r="AI1463" s="15" t="str">
        <f t="shared" si="19"/>
        <v>Electropolished Pipes Manufacturer &amp; Supplier in Alessandria</v>
      </c>
      <c r="AJ1463" s="15" t="str">
        <f t="shared" si="20"/>
        <v>EP-finished SS 304/316L pipes and tubes for VERIFY plants in Alessandria. ASME BPE SF1-SF4, Ra from 0.25 um, EN 10204 3.1 certificate with every lot.</v>
      </c>
      <c r="AK1463" s="15" t="str">
        <f t="shared" si="21"/>
        <v>Electropolished stainless steel pipes supplied by Sakshi Forge to VERIFY plants at VERIFY, Alessandria</v>
      </c>
      <c r="AL1463" s="15" t="str">
        <f t="shared" si="22"/>
        <v>Electropolished SS 316L tube stock for Alessandria - Sakshi Forge</v>
      </c>
      <c r="AM1463" s="15" t="str">
        <f t="shared" si="23"/>
        <v>Home &gt; Market Area &gt; Italy &gt; VERIFY &gt; Alessandria</v>
      </c>
      <c r="AN1463" s="15">
        <f t="shared" si="24"/>
        <v>750</v>
      </c>
      <c r="AO1463" s="15">
        <f t="shared" si="25"/>
        <v>6</v>
      </c>
      <c r="AP1463" s="15">
        <f t="shared" si="26"/>
        <v>6</v>
      </c>
      <c r="AQ1463" s="15">
        <f t="shared" si="27"/>
        <v>25</v>
      </c>
      <c r="AR1463" s="31"/>
      <c r="AS1463" s="31"/>
      <c r="AT1463" s="35" t="s">
        <v>222</v>
      </c>
      <c r="AU1463" s="35"/>
    </row>
    <row r="1464" ht="15.75" customHeight="1">
      <c r="A1464" s="15" t="s">
        <v>7110</v>
      </c>
      <c r="B1464" s="15" t="s">
        <v>301</v>
      </c>
      <c r="C1464" s="15" t="s">
        <v>98</v>
      </c>
      <c r="D1464" s="15" t="s">
        <v>7111</v>
      </c>
      <c r="E1464" s="15" t="s">
        <v>7111</v>
      </c>
      <c r="F1464" s="58" t="s">
        <v>807</v>
      </c>
      <c r="G1464" s="66" t="s">
        <v>98</v>
      </c>
      <c r="H1464" s="18" t="s">
        <v>98</v>
      </c>
      <c r="I1464" s="18" t="s">
        <v>98</v>
      </c>
      <c r="J1464" s="18" t="s">
        <v>98</v>
      </c>
      <c r="K1464" s="18" t="s">
        <v>98</v>
      </c>
      <c r="L1464" s="18" t="s">
        <v>98</v>
      </c>
      <c r="M1464" s="18" t="s">
        <v>580</v>
      </c>
      <c r="N1464" s="18" t="s">
        <v>378</v>
      </c>
      <c r="O1464" s="18" t="s">
        <v>98</v>
      </c>
      <c r="P1464" s="15" t="str">
        <f t="shared" si="1"/>
        <v>VERIFY</v>
      </c>
      <c r="Q1464" s="15">
        <f t="shared" si="2"/>
        <v>5</v>
      </c>
      <c r="R1464" s="15">
        <f t="shared" si="3"/>
        <v>5</v>
      </c>
      <c r="S1464" s="15">
        <f t="shared" si="4"/>
        <v>1</v>
      </c>
      <c r="T1464" s="15" t="str">
        <f t="shared" si="5"/>
        <v>C-3</v>
      </c>
      <c r="U1464" s="15" t="str">
        <f t="shared" si="6"/>
        <v>T5-M5-H1-FC-3-VERIFY</v>
      </c>
      <c r="V1464" s="15">
        <f t="shared" si="7"/>
        <v>0</v>
      </c>
      <c r="W1464" s="31"/>
      <c r="X1464" s="15" t="str">
        <f t="shared" si="8"/>
        <v>arezzo-italy</v>
      </c>
      <c r="Y1464" s="32" t="str">
        <f t="shared" si="9"/>
        <v>https://steelmanufacturer.in/market-area/electropolished-pipes-manufacturer-in-arezzo-italy/</v>
      </c>
      <c r="Z1464" s="15" t="str">
        <f t="shared" si="10"/>
        <v>Electropolished Pipes Manufacturer in Arezzo</v>
      </c>
      <c r="AA1464" s="15" t="str">
        <f t="shared" si="11"/>
        <v>OK (44)</v>
      </c>
      <c r="AB1464" s="15" t="str">
        <f t="shared" si="12"/>
        <v>Manufacturer of electropolished SS 316L tube serving Arezzo. 18-24 days sea from Nhava Sheva to Genoa. Ra 0.25-0.5 um, EN 10204 3.1 MTC.</v>
      </c>
      <c r="AC1464" s="15" t="str">
        <f t="shared" si="13"/>
        <v>PENDING RESEARCH</v>
      </c>
      <c r="AD1464" s="15" t="str">
        <f t="shared" si="14"/>
        <v>Electropolished Pipes Manufacturer in Arezzo</v>
      </c>
      <c r="AE1464" s="15" t="str">
        <f t="shared" si="15"/>
        <v>Electropolished Pipe &amp; Tube Manufacturing for Arezzo - Grades, Finishes &amp; Certification</v>
      </c>
      <c r="AF1464" s="15" t="str">
        <f t="shared" si="16"/>
        <v>Electropolished Pipes Supplier in Arezzo - Stock Sizes, Lead Time &amp; Delivery</v>
      </c>
      <c r="AG1464" s="15" t="str">
        <f t="shared" si="17"/>
        <v>Electropolished Pipes Wholesaler &amp; Stockist in Arezzo - Bulk &amp; Project Pricing</v>
      </c>
      <c r="AH1464" s="15" t="str">
        <f t="shared" si="18"/>
        <v>electropolished pipes manufacturer in Arezzo, electropolished pipes supplier in Arezzo, electropolished pipes wholesaler in Arezzo, electropolished tube manufacturer Arezzo, EP pipe supplier Arezzo, sanitary tube supplier Arezzo, ASME BPE tubing Arezzo, ASTM A270 tube Arezzo, SS 316L electropolished pipe Arezzo</v>
      </c>
      <c r="AI1464" s="15" t="str">
        <f t="shared" si="19"/>
        <v>Electropolished Pipes Manufacturer &amp; Supplier in Arezzo</v>
      </c>
      <c r="AJ1464" s="15" t="str">
        <f t="shared" si="20"/>
        <v>EP-finished SS 304/316L pipes and tubes for VERIFY plants in Arezzo. ASME BPE SF1-SF4, Ra from 0.25 um, EN 10204 3.1 certificate with every lot.</v>
      </c>
      <c r="AK1464" s="15" t="str">
        <f t="shared" si="21"/>
        <v>Electropolished stainless steel pipes supplied by Sakshi Forge to VERIFY plants at VERIFY, Arezzo</v>
      </c>
      <c r="AL1464" s="15" t="str">
        <f t="shared" si="22"/>
        <v>Electropolished SS 316L tube stock for Arezzo - Sakshi Forge</v>
      </c>
      <c r="AM1464" s="15" t="str">
        <f t="shared" si="23"/>
        <v>Home &gt; Market Area &gt; Italy &gt; VERIFY &gt; Arezzo</v>
      </c>
      <c r="AN1464" s="15">
        <f t="shared" si="24"/>
        <v>750</v>
      </c>
      <c r="AO1464" s="15">
        <f t="shared" si="25"/>
        <v>6</v>
      </c>
      <c r="AP1464" s="15">
        <f t="shared" si="26"/>
        <v>6</v>
      </c>
      <c r="AQ1464" s="15">
        <f t="shared" si="27"/>
        <v>25</v>
      </c>
      <c r="AR1464" s="31"/>
      <c r="AS1464" s="31"/>
      <c r="AT1464" s="35" t="s">
        <v>222</v>
      </c>
      <c r="AU1464" s="35"/>
    </row>
    <row r="1465" ht="15.75" customHeight="1">
      <c r="A1465" s="15" t="s">
        <v>7112</v>
      </c>
      <c r="B1465" s="15" t="s">
        <v>301</v>
      </c>
      <c r="C1465" s="15" t="s">
        <v>98</v>
      </c>
      <c r="D1465" s="15" t="s">
        <v>7113</v>
      </c>
      <c r="E1465" s="15" t="s">
        <v>7113</v>
      </c>
      <c r="F1465" s="58" t="s">
        <v>807</v>
      </c>
      <c r="G1465" s="66" t="s">
        <v>98</v>
      </c>
      <c r="H1465" s="18" t="s">
        <v>98</v>
      </c>
      <c r="I1465" s="18" t="s">
        <v>98</v>
      </c>
      <c r="J1465" s="18" t="s">
        <v>98</v>
      </c>
      <c r="K1465" s="18" t="s">
        <v>98</v>
      </c>
      <c r="L1465" s="18" t="s">
        <v>98</v>
      </c>
      <c r="M1465" s="18" t="s">
        <v>580</v>
      </c>
      <c r="N1465" s="18" t="s">
        <v>378</v>
      </c>
      <c r="O1465" s="18" t="s">
        <v>98</v>
      </c>
      <c r="P1465" s="15" t="str">
        <f t="shared" si="1"/>
        <v>VERIFY</v>
      </c>
      <c r="Q1465" s="15">
        <f t="shared" si="2"/>
        <v>6</v>
      </c>
      <c r="R1465" s="15">
        <f t="shared" si="3"/>
        <v>6</v>
      </c>
      <c r="S1465" s="15">
        <f t="shared" si="4"/>
        <v>2</v>
      </c>
      <c r="T1465" s="15" t="str">
        <f t="shared" si="5"/>
        <v>C-4</v>
      </c>
      <c r="U1465" s="15" t="str">
        <f t="shared" si="6"/>
        <v>T6-M6-H2-FC-4-VERIFY</v>
      </c>
      <c r="V1465" s="15">
        <f t="shared" si="7"/>
        <v>0</v>
      </c>
      <c r="W1465" s="31"/>
      <c r="X1465" s="15" t="str">
        <f t="shared" si="8"/>
        <v>ascoli-piceno-italy</v>
      </c>
      <c r="Y1465" s="32" t="str">
        <f t="shared" si="9"/>
        <v>https://steelmanufacturer.in/market-area/electropolished-pipes-manufacturer-in-ascoli-piceno-italy/</v>
      </c>
      <c r="Z1465" s="15" t="str">
        <f t="shared" si="10"/>
        <v>Electropolished Pipes Manufacturer in Ascoli Piceno</v>
      </c>
      <c r="AA1465" s="15" t="str">
        <f t="shared" si="11"/>
        <v>OK (51)</v>
      </c>
      <c r="AB1465" s="15" t="str">
        <f t="shared" si="12"/>
        <v>EP tube and pipe for VERIFY plants around VERIFY, Ascoli Piceno. Made at our Mumbai works to ASTM A270 and ASME BPE SF1-SF4, with 3.1 MTC.</v>
      </c>
      <c r="AC1465" s="15" t="str">
        <f t="shared" si="13"/>
        <v>PENDING RESEARCH</v>
      </c>
      <c r="AD1465" s="15" t="str">
        <f t="shared" si="14"/>
        <v>Electropolished Pipes Manufacturer in Ascoli Piceno</v>
      </c>
      <c r="AE1465" s="15" t="str">
        <f t="shared" si="15"/>
        <v>How We Manufacture Electropolished Tube for Ascoli Piceno Plants</v>
      </c>
      <c r="AF1465" s="15" t="str">
        <f t="shared" si="16"/>
        <v>Supplying Electropolished Pipes in Ascoli Piceno: Availability, Sizes &amp; Dispatch</v>
      </c>
      <c r="AG1465" s="15" t="str">
        <f t="shared" si="17"/>
        <v>Wholesale Electropolished Pipe Supply for Ascoli Piceno Projects</v>
      </c>
      <c r="AH1465" s="15" t="str">
        <f t="shared" si="18"/>
        <v>electropolished pipes manufacturer in Ascoli Piceno, electropolished pipes supplier in Ascoli Piceno, electropolished pipes wholesaler in Ascoli Piceno, electropolished tube manufacturer Ascoli Piceno, EP pipe supplier Ascoli Piceno, sanitary tube supplier Ascoli Piceno, ASME BPE tubing Ascoli Piceno, ASTM A270 tube Ascoli Piceno, SS 316L electropolished pipe Ascoli Piceno</v>
      </c>
      <c r="AI1465" s="15" t="str">
        <f t="shared" si="19"/>
        <v>Electropolished Pipes Manufacturer &amp; Supplier in Ascoli Piceno</v>
      </c>
      <c r="AJ1465" s="15" t="str">
        <f t="shared" si="20"/>
        <v>EP-finished SS 304/316L pipes and tubes for VERIFY plants in Ascoli Piceno. ASME BPE SF1-SF4, Ra from 0.25 um, EN 10204 3.1 certificate with every lot.</v>
      </c>
      <c r="AK1465" s="15" t="str">
        <f t="shared" si="21"/>
        <v>Electropolished stainless steel pipes supplied by Sakshi Forge to VERIFY plants at VERIFY, Ascoli Piceno</v>
      </c>
      <c r="AL1465" s="15" t="str">
        <f t="shared" si="22"/>
        <v>Electropolished SS 316L tube stock for Ascoli Piceno - Sakshi Forge</v>
      </c>
      <c r="AM1465" s="15" t="str">
        <f t="shared" si="23"/>
        <v>Home &gt; Market Area &gt; Italy &gt; VERIFY &gt; Ascoli Piceno</v>
      </c>
      <c r="AN1465" s="15">
        <f t="shared" si="24"/>
        <v>750</v>
      </c>
      <c r="AO1465" s="15">
        <f t="shared" si="25"/>
        <v>6</v>
      </c>
      <c r="AP1465" s="15">
        <f t="shared" si="26"/>
        <v>6</v>
      </c>
      <c r="AQ1465" s="15">
        <f t="shared" si="27"/>
        <v>25</v>
      </c>
      <c r="AR1465" s="31"/>
      <c r="AS1465" s="31"/>
      <c r="AT1465" s="35" t="s">
        <v>222</v>
      </c>
      <c r="AU1465" s="35"/>
    </row>
    <row r="1466" ht="15.75" customHeight="1">
      <c r="A1466" s="15" t="s">
        <v>7114</v>
      </c>
      <c r="B1466" s="15" t="s">
        <v>301</v>
      </c>
      <c r="C1466" s="15" t="s">
        <v>98</v>
      </c>
      <c r="D1466" s="15" t="s">
        <v>7115</v>
      </c>
      <c r="E1466" s="15" t="s">
        <v>7115</v>
      </c>
      <c r="F1466" s="58" t="s">
        <v>807</v>
      </c>
      <c r="G1466" s="66" t="s">
        <v>98</v>
      </c>
      <c r="H1466" s="18" t="s">
        <v>98</v>
      </c>
      <c r="I1466" s="18" t="s">
        <v>98</v>
      </c>
      <c r="J1466" s="18" t="s">
        <v>98</v>
      </c>
      <c r="K1466" s="18" t="s">
        <v>98</v>
      </c>
      <c r="L1466" s="18" t="s">
        <v>98</v>
      </c>
      <c r="M1466" s="18" t="s">
        <v>580</v>
      </c>
      <c r="N1466" s="18" t="s">
        <v>378</v>
      </c>
      <c r="O1466" s="18" t="s">
        <v>98</v>
      </c>
      <c r="P1466" s="15" t="str">
        <f t="shared" si="1"/>
        <v>VERIFY</v>
      </c>
      <c r="Q1466" s="15">
        <f t="shared" si="2"/>
        <v>7</v>
      </c>
      <c r="R1466" s="15">
        <f t="shared" si="3"/>
        <v>7</v>
      </c>
      <c r="S1466" s="15">
        <f t="shared" si="4"/>
        <v>3</v>
      </c>
      <c r="T1466" s="15" t="str">
        <f t="shared" si="5"/>
        <v>C-5</v>
      </c>
      <c r="U1466" s="15" t="str">
        <f t="shared" si="6"/>
        <v>T7-M7-H3-FC-5-VERIFY</v>
      </c>
      <c r="V1466" s="15">
        <f t="shared" si="7"/>
        <v>0</v>
      </c>
      <c r="W1466" s="31"/>
      <c r="X1466" s="15" t="str">
        <f t="shared" si="8"/>
        <v>asti-italy</v>
      </c>
      <c r="Y1466" s="32" t="str">
        <f t="shared" si="9"/>
        <v>https://steelmanufacturer.in/market-area/electropolished-pipes-manufacturer-in-asti-italy/</v>
      </c>
      <c r="Z1466" s="15" t="str">
        <f t="shared" si="10"/>
        <v>Electropolished Pipes Manufacturer in Asti | ASME BPE SF1-SF4</v>
      </c>
      <c r="AA1466" s="15" t="str">
        <f t="shared" si="11"/>
        <v>OK (61)</v>
      </c>
      <c r="AB1466" s="15" t="str">
        <f t="shared" si="12"/>
        <v>Electropolished pipes in Asti: 304, 304L, 316 and 316L in SF1-SF4. 18-24 days sea from Nhava Sheva to Genoa. Mill certified.</v>
      </c>
      <c r="AC1466" s="15" t="str">
        <f t="shared" si="13"/>
        <v>PENDING RESEARCH</v>
      </c>
      <c r="AD1466" s="15" t="str">
        <f t="shared" si="14"/>
        <v>Electropolished Pipes Manufacturer in Asti</v>
      </c>
      <c r="AE1466" s="15" t="str">
        <f t="shared" si="15"/>
        <v>Electropolished Pipes Manufacturer in Asti - Our Process &amp; Capability</v>
      </c>
      <c r="AF1466" s="15" t="str">
        <f t="shared" si="16"/>
        <v>Electropolished Pipes Supplier in Asti - What We Hold in Stock</v>
      </c>
      <c r="AG1466" s="15" t="str">
        <f t="shared" si="17"/>
        <v>Bulk &amp; Wholesale Electropolished Pipe Rates for Asti Buyers</v>
      </c>
      <c r="AH1466" s="15" t="str">
        <f t="shared" si="18"/>
        <v>electropolished pipes manufacturer in Asti, electropolished pipes supplier in Asti, electropolished pipes wholesaler in Asti, electropolished tube manufacturer Asti, EP pipe supplier Asti, sanitary tube supplier Asti, ASME BPE tubing Asti, ASTM A270 tube Asti, SS 316L electropolished pipe Asti</v>
      </c>
      <c r="AI1466" s="15" t="str">
        <f t="shared" si="19"/>
        <v>Electropolished Pipes Manufacturer &amp; Supplier in Asti</v>
      </c>
      <c r="AJ1466" s="15" t="str">
        <f t="shared" si="20"/>
        <v>EP-finished SS 304/316L pipes and tubes for VERIFY plants in Asti. ASME BPE SF1-SF4, Ra from 0.25 um, EN 10204 3.1 certificate with every lot.</v>
      </c>
      <c r="AK1466" s="15" t="str">
        <f t="shared" si="21"/>
        <v>Electropolished stainless steel pipes supplied by Sakshi Forge to VERIFY plants at VERIFY, Asti</v>
      </c>
      <c r="AL1466" s="15" t="str">
        <f t="shared" si="22"/>
        <v>Electropolished SS 316L tube stock for Asti - Sakshi Forge</v>
      </c>
      <c r="AM1466" s="15" t="str">
        <f t="shared" si="23"/>
        <v>Home &gt; Market Area &gt; Italy &gt; VERIFY &gt; Asti</v>
      </c>
      <c r="AN1466" s="15">
        <f t="shared" si="24"/>
        <v>750</v>
      </c>
      <c r="AO1466" s="15">
        <f t="shared" si="25"/>
        <v>6</v>
      </c>
      <c r="AP1466" s="15">
        <f t="shared" si="26"/>
        <v>6</v>
      </c>
      <c r="AQ1466" s="15">
        <f t="shared" si="27"/>
        <v>25</v>
      </c>
      <c r="AR1466" s="31"/>
      <c r="AS1466" s="31"/>
      <c r="AT1466" s="35" t="s">
        <v>222</v>
      </c>
      <c r="AU1466" s="35"/>
    </row>
    <row r="1467" ht="15.75" customHeight="1">
      <c r="A1467" s="15" t="s">
        <v>7116</v>
      </c>
      <c r="B1467" s="15" t="s">
        <v>301</v>
      </c>
      <c r="C1467" s="15" t="s">
        <v>98</v>
      </c>
      <c r="D1467" s="15" t="s">
        <v>7117</v>
      </c>
      <c r="E1467" s="15" t="s">
        <v>7117</v>
      </c>
      <c r="F1467" s="58" t="s">
        <v>807</v>
      </c>
      <c r="G1467" s="66" t="s">
        <v>98</v>
      </c>
      <c r="H1467" s="18" t="s">
        <v>98</v>
      </c>
      <c r="I1467" s="18" t="s">
        <v>98</v>
      </c>
      <c r="J1467" s="18" t="s">
        <v>98</v>
      </c>
      <c r="K1467" s="18" t="s">
        <v>98</v>
      </c>
      <c r="L1467" s="18" t="s">
        <v>98</v>
      </c>
      <c r="M1467" s="18" t="s">
        <v>580</v>
      </c>
      <c r="N1467" s="18" t="s">
        <v>378</v>
      </c>
      <c r="O1467" s="18" t="s">
        <v>98</v>
      </c>
      <c r="P1467" s="15" t="str">
        <f t="shared" si="1"/>
        <v>VERIFY</v>
      </c>
      <c r="Q1467" s="15">
        <f t="shared" si="2"/>
        <v>8</v>
      </c>
      <c r="R1467" s="15">
        <f t="shared" si="3"/>
        <v>1</v>
      </c>
      <c r="S1467" s="15">
        <f t="shared" si="4"/>
        <v>4</v>
      </c>
      <c r="T1467" s="15" t="str">
        <f t="shared" si="5"/>
        <v>C-6</v>
      </c>
      <c r="U1467" s="15" t="str">
        <f t="shared" si="6"/>
        <v>T8-M1-H4-FC-6-VERIFY</v>
      </c>
      <c r="V1467" s="15">
        <f t="shared" si="7"/>
        <v>0</v>
      </c>
      <c r="W1467" s="31"/>
      <c r="X1467" s="15" t="str">
        <f t="shared" si="8"/>
        <v>avellino-italy</v>
      </c>
      <c r="Y1467" s="32" t="str">
        <f t="shared" si="9"/>
        <v>https://steelmanufacturer.in/market-area/electropolished-pipes-manufacturer-in-avellino-italy/</v>
      </c>
      <c r="Z1467" s="15" t="str">
        <f t="shared" si="10"/>
        <v>Electropolished Pipes Manufacturer in Avellino - EP Tube Stockist</v>
      </c>
      <c r="AA1467" s="15" t="str">
        <f t="shared" si="11"/>
        <v>OK (65)</v>
      </c>
      <c r="AB1467" s="15" t="str">
        <f t="shared" si="12"/>
        <v>EP-finished SS 304/316L pipes &amp; tubes for VERIFY plants in Avellino. ASTM A270, ASME BPE SF1-SF4, EN 10204 3.1 MTC. PMI tested.</v>
      </c>
      <c r="AC1467" s="15" t="str">
        <f t="shared" si="13"/>
        <v>PENDING RESEARCH</v>
      </c>
      <c r="AD1467" s="15" t="str">
        <f t="shared" si="14"/>
        <v>Electropolished Pipes Manufacturer in Avellino</v>
      </c>
      <c r="AE1467" s="15" t="str">
        <f t="shared" si="15"/>
        <v>Manufacturing Electropolished SS Tube for Avellino: The Standards We Build To</v>
      </c>
      <c r="AF1467" s="15" t="str">
        <f t="shared" si="16"/>
        <v>Electropolished Pipe Supply Into Avellino - Certification &amp; Transit</v>
      </c>
      <c r="AG1467" s="15" t="str">
        <f t="shared" si="17"/>
        <v>Electropolished Pipes Wholesaler in Avellino - Project Quantities &amp; Terms</v>
      </c>
      <c r="AH1467" s="15" t="str">
        <f t="shared" si="18"/>
        <v>electropolished pipes manufacturer in Avellino, electropolished pipes supplier in Avellino, electropolished pipes wholesaler in Avellino, electropolished tube manufacturer Avellino, EP pipe supplier Avellino, sanitary tube supplier Avellino, ASME BPE tubing Avellino, ASTM A270 tube Avellino, SS 316L electropolished pipe Avellino</v>
      </c>
      <c r="AI1467" s="15" t="str">
        <f t="shared" si="19"/>
        <v>Electropolished Pipes Manufacturer &amp; Supplier in Avellino</v>
      </c>
      <c r="AJ1467" s="15" t="str">
        <f t="shared" si="20"/>
        <v>EP-finished SS 304/316L pipes and tubes for VERIFY plants in Avellino. ASME BPE SF1-SF4, Ra from 0.25 um, EN 10204 3.1 certificate with every lot.</v>
      </c>
      <c r="AK1467" s="15" t="str">
        <f t="shared" si="21"/>
        <v>Electropolished stainless steel pipes supplied by Sakshi Forge to VERIFY plants at VERIFY, Avellino</v>
      </c>
      <c r="AL1467" s="15" t="str">
        <f t="shared" si="22"/>
        <v>Electropolished SS 316L tube stock for Avellino - Sakshi Forge</v>
      </c>
      <c r="AM1467" s="15" t="str">
        <f t="shared" si="23"/>
        <v>Home &gt; Market Area &gt; Italy &gt; VERIFY &gt; Avellino</v>
      </c>
      <c r="AN1467" s="15">
        <f t="shared" si="24"/>
        <v>750</v>
      </c>
      <c r="AO1467" s="15">
        <f t="shared" si="25"/>
        <v>6</v>
      </c>
      <c r="AP1467" s="15">
        <f t="shared" si="26"/>
        <v>6</v>
      </c>
      <c r="AQ1467" s="15">
        <f t="shared" si="27"/>
        <v>25</v>
      </c>
      <c r="AR1467" s="31"/>
      <c r="AS1467" s="31"/>
      <c r="AT1467" s="35" t="s">
        <v>222</v>
      </c>
      <c r="AU1467" s="35"/>
    </row>
    <row r="1468" ht="15.75" customHeight="1">
      <c r="A1468" s="15" t="s">
        <v>7118</v>
      </c>
      <c r="B1468" s="15" t="s">
        <v>301</v>
      </c>
      <c r="C1468" s="15" t="s">
        <v>98</v>
      </c>
      <c r="D1468" s="15" t="s">
        <v>7119</v>
      </c>
      <c r="E1468" s="15" t="s">
        <v>7119</v>
      </c>
      <c r="F1468" s="58" t="s">
        <v>807</v>
      </c>
      <c r="G1468" s="66" t="s">
        <v>98</v>
      </c>
      <c r="H1468" s="18" t="s">
        <v>98</v>
      </c>
      <c r="I1468" s="18" t="s">
        <v>98</v>
      </c>
      <c r="J1468" s="18" t="s">
        <v>98</v>
      </c>
      <c r="K1468" s="18" t="s">
        <v>98</v>
      </c>
      <c r="L1468" s="18" t="s">
        <v>98</v>
      </c>
      <c r="M1468" s="18" t="s">
        <v>580</v>
      </c>
      <c r="N1468" s="18" t="s">
        <v>378</v>
      </c>
      <c r="O1468" s="18" t="s">
        <v>98</v>
      </c>
      <c r="P1468" s="15" t="str">
        <f t="shared" si="1"/>
        <v>VERIFY</v>
      </c>
      <c r="Q1468" s="15">
        <f t="shared" si="2"/>
        <v>1</v>
      </c>
      <c r="R1468" s="15">
        <f t="shared" si="3"/>
        <v>2</v>
      </c>
      <c r="S1468" s="15">
        <f t="shared" si="4"/>
        <v>5</v>
      </c>
      <c r="T1468" s="15" t="str">
        <f t="shared" si="5"/>
        <v>C-1</v>
      </c>
      <c r="U1468" s="15" t="str">
        <f t="shared" si="6"/>
        <v>T1-M2-H5-FC-1-VERIFY</v>
      </c>
      <c r="V1468" s="15">
        <f t="shared" si="7"/>
        <v>0</v>
      </c>
      <c r="W1468" s="31"/>
      <c r="X1468" s="15" t="str">
        <f t="shared" si="8"/>
        <v>benevento-italy</v>
      </c>
      <c r="Y1468" s="32" t="str">
        <f t="shared" si="9"/>
        <v>https://steelmanufacturer.in/market-area/electropolished-pipes-manufacturer-in-benevento-italy/</v>
      </c>
      <c r="Z1468" s="15" t="str">
        <f t="shared" si="10"/>
        <v>Electropolished Pipes Manufacturer in Benevento | Sakshi Forge</v>
      </c>
      <c r="AA1468" s="15" t="str">
        <f t="shared" si="11"/>
        <v>OK (62)</v>
      </c>
      <c r="AB1468" s="15" t="str">
        <f t="shared" si="12"/>
        <v>Electropolished tube supply to VERIFY, Benevento. Ra from 0.25 um, SF4 finish, mill test certificate with every lot.</v>
      </c>
      <c r="AC1468" s="15" t="str">
        <f t="shared" si="13"/>
        <v>PENDING RESEARCH</v>
      </c>
      <c r="AD1468" s="15" t="str">
        <f t="shared" si="14"/>
        <v>Electropolished Pipes Manufacturer in Benevento</v>
      </c>
      <c r="AE1468" s="15" t="str">
        <f t="shared" si="15"/>
        <v>Electropolished Tube Manufacturing Capability Serving Benevento</v>
      </c>
      <c r="AF1468" s="15" t="str">
        <f t="shared" si="16"/>
        <v>Electropolished Pipes Supplier in Benevento - From Order to Delivery</v>
      </c>
      <c r="AG1468" s="15" t="str">
        <f t="shared" si="17"/>
        <v>Stockist &amp; Wholesale Supply of Electropolished Pipes in Benevento</v>
      </c>
      <c r="AH1468" s="15" t="str">
        <f t="shared" si="18"/>
        <v>electropolished pipes manufacturer in Benevento, electropolished pipes supplier in Benevento, electropolished pipes wholesaler in Benevento, electropolished tube manufacturer Benevento, EP pipe supplier Benevento, sanitary tube supplier Benevento, ASME BPE tubing Benevento, ASTM A270 tube Benevento, SS 316L electropolished pipe Benevento</v>
      </c>
      <c r="AI1468" s="15" t="str">
        <f t="shared" si="19"/>
        <v>Electropolished Pipes Manufacturer &amp; Supplier in Benevento</v>
      </c>
      <c r="AJ1468" s="15" t="str">
        <f t="shared" si="20"/>
        <v>EP-finished SS 304/316L pipes and tubes for VERIFY plants in Benevento. ASME BPE SF1-SF4, Ra from 0.25 um, EN 10204 3.1 certificate with every lot.</v>
      </c>
      <c r="AK1468" s="15" t="str">
        <f t="shared" si="21"/>
        <v>Electropolished stainless steel pipes supplied by Sakshi Forge to VERIFY plants at VERIFY, Benevento</v>
      </c>
      <c r="AL1468" s="15" t="str">
        <f t="shared" si="22"/>
        <v>Electropolished SS 316L tube stock for Benevento - Sakshi Forge</v>
      </c>
      <c r="AM1468" s="15" t="str">
        <f t="shared" si="23"/>
        <v>Home &gt; Market Area &gt; Italy &gt; VERIFY &gt; Benevento</v>
      </c>
      <c r="AN1468" s="15">
        <f t="shared" si="24"/>
        <v>750</v>
      </c>
      <c r="AO1468" s="15">
        <f t="shared" si="25"/>
        <v>6</v>
      </c>
      <c r="AP1468" s="15">
        <f t="shared" si="26"/>
        <v>6</v>
      </c>
      <c r="AQ1468" s="15">
        <f t="shared" si="27"/>
        <v>25</v>
      </c>
      <c r="AR1468" s="31"/>
      <c r="AS1468" s="31"/>
      <c r="AT1468" s="35" t="s">
        <v>222</v>
      </c>
      <c r="AU1468" s="35"/>
    </row>
    <row r="1469" ht="15.75" customHeight="1">
      <c r="A1469" s="15" t="s">
        <v>7120</v>
      </c>
      <c r="B1469" s="15" t="s">
        <v>301</v>
      </c>
      <c r="C1469" s="15" t="s">
        <v>98</v>
      </c>
      <c r="D1469" s="15" t="s">
        <v>7121</v>
      </c>
      <c r="E1469" s="15" t="s">
        <v>7121</v>
      </c>
      <c r="F1469" s="58" t="s">
        <v>807</v>
      </c>
      <c r="G1469" s="66" t="s">
        <v>98</v>
      </c>
      <c r="H1469" s="18" t="s">
        <v>98</v>
      </c>
      <c r="I1469" s="18" t="s">
        <v>98</v>
      </c>
      <c r="J1469" s="18" t="s">
        <v>98</v>
      </c>
      <c r="K1469" s="18" t="s">
        <v>98</v>
      </c>
      <c r="L1469" s="18" t="s">
        <v>98</v>
      </c>
      <c r="M1469" s="18" t="s">
        <v>580</v>
      </c>
      <c r="N1469" s="18" t="s">
        <v>378</v>
      </c>
      <c r="O1469" s="18" t="s">
        <v>98</v>
      </c>
      <c r="P1469" s="15" t="str">
        <f t="shared" si="1"/>
        <v>VERIFY</v>
      </c>
      <c r="Q1469" s="15">
        <f t="shared" si="2"/>
        <v>2</v>
      </c>
      <c r="R1469" s="15">
        <f t="shared" si="3"/>
        <v>3</v>
      </c>
      <c r="S1469" s="15">
        <f t="shared" si="4"/>
        <v>1</v>
      </c>
      <c r="T1469" s="15" t="str">
        <f t="shared" si="5"/>
        <v>C-2</v>
      </c>
      <c r="U1469" s="15" t="str">
        <f t="shared" si="6"/>
        <v>T2-M3-H1-FC-2-VERIFY</v>
      </c>
      <c r="V1469" s="15">
        <f t="shared" si="7"/>
        <v>0</v>
      </c>
      <c r="W1469" s="31"/>
      <c r="X1469" s="15" t="str">
        <f t="shared" si="8"/>
        <v>biella-italy</v>
      </c>
      <c r="Y1469" s="32" t="str">
        <f t="shared" si="9"/>
        <v>https://steelmanufacturer.in/market-area/electropolished-pipes-manufacturer-in-biella-italy/</v>
      </c>
      <c r="Z1469" s="15" t="str">
        <f t="shared" si="10"/>
        <v>Electropolished Pipes Manufacturer in Biella</v>
      </c>
      <c r="AA1469" s="15" t="str">
        <f t="shared" si="11"/>
        <v>OK (44)</v>
      </c>
      <c r="AB1469" s="15" t="str">
        <f t="shared" si="12"/>
        <v>EP stainless tube for VERIFY lines in Biella. 18-24 days sea from Nhava Sheva to Genoa. ASTM A270 S2, PMI tested, EN 10204 3.1.</v>
      </c>
      <c r="AC1469" s="15" t="str">
        <f t="shared" si="13"/>
        <v>PENDING RESEARCH</v>
      </c>
      <c r="AD1469" s="15" t="str">
        <f t="shared" si="14"/>
        <v>Electropolished Pipes Manufacturer in Biella</v>
      </c>
      <c r="AE1469" s="15" t="str">
        <f t="shared" si="15"/>
        <v>Electropolished Pipe &amp; Tube Manufacturing for Biella - Grades, Finishes &amp; Certification</v>
      </c>
      <c r="AF1469" s="15" t="str">
        <f t="shared" si="16"/>
        <v>Electropolished Pipes Supplier in Biella - Stock Sizes, Lead Time &amp; Delivery</v>
      </c>
      <c r="AG1469" s="15" t="str">
        <f t="shared" si="17"/>
        <v>Electropolished Pipes Wholesaler &amp; Stockist in Biella - Bulk &amp; Project Pricing</v>
      </c>
      <c r="AH1469" s="15" t="str">
        <f t="shared" si="18"/>
        <v>electropolished pipes manufacturer in Biella, electropolished pipes supplier in Biella, electropolished pipes wholesaler in Biella, electropolished tube manufacturer Biella, EP pipe supplier Biella, sanitary tube supplier Biella, ASME BPE tubing Biella, ASTM A270 tube Biella, SS 316L electropolished pipe Biella</v>
      </c>
      <c r="AI1469" s="15" t="str">
        <f t="shared" si="19"/>
        <v>Electropolished Pipes Manufacturer &amp; Supplier in Biella</v>
      </c>
      <c r="AJ1469" s="15" t="str">
        <f t="shared" si="20"/>
        <v>EP-finished SS 304/316L pipes and tubes for VERIFY plants in Biella. ASME BPE SF1-SF4, Ra from 0.25 um, EN 10204 3.1 certificate with every lot.</v>
      </c>
      <c r="AK1469" s="15" t="str">
        <f t="shared" si="21"/>
        <v>Electropolished stainless steel pipes supplied by Sakshi Forge to VERIFY plants at VERIFY, Biella</v>
      </c>
      <c r="AL1469" s="15" t="str">
        <f t="shared" si="22"/>
        <v>Electropolished SS 316L tube stock for Biella - Sakshi Forge</v>
      </c>
      <c r="AM1469" s="15" t="str">
        <f t="shared" si="23"/>
        <v>Home &gt; Market Area &gt; Italy &gt; VERIFY &gt; Biella</v>
      </c>
      <c r="AN1469" s="15">
        <f t="shared" si="24"/>
        <v>750</v>
      </c>
      <c r="AO1469" s="15">
        <f t="shared" si="25"/>
        <v>6</v>
      </c>
      <c r="AP1469" s="15">
        <f t="shared" si="26"/>
        <v>6</v>
      </c>
      <c r="AQ1469" s="15">
        <f t="shared" si="27"/>
        <v>25</v>
      </c>
      <c r="AR1469" s="31"/>
      <c r="AS1469" s="31"/>
      <c r="AT1469" s="35" t="s">
        <v>222</v>
      </c>
      <c r="AU1469" s="35"/>
    </row>
    <row r="1470" ht="15.75" customHeight="1">
      <c r="A1470" s="15" t="s">
        <v>7122</v>
      </c>
      <c r="B1470" s="15" t="s">
        <v>301</v>
      </c>
      <c r="C1470" s="15" t="s">
        <v>98</v>
      </c>
      <c r="D1470" s="15" t="s">
        <v>7123</v>
      </c>
      <c r="E1470" s="15" t="s">
        <v>7123</v>
      </c>
      <c r="F1470" s="58" t="s">
        <v>807</v>
      </c>
      <c r="G1470" s="66" t="s">
        <v>98</v>
      </c>
      <c r="H1470" s="18" t="s">
        <v>98</v>
      </c>
      <c r="I1470" s="18" t="s">
        <v>98</v>
      </c>
      <c r="J1470" s="18" t="s">
        <v>98</v>
      </c>
      <c r="K1470" s="18" t="s">
        <v>98</v>
      </c>
      <c r="L1470" s="18" t="s">
        <v>98</v>
      </c>
      <c r="M1470" s="18" t="s">
        <v>580</v>
      </c>
      <c r="N1470" s="18" t="s">
        <v>378</v>
      </c>
      <c r="O1470" s="18" t="s">
        <v>98</v>
      </c>
      <c r="P1470" s="15" t="str">
        <f t="shared" si="1"/>
        <v>VERIFY</v>
      </c>
      <c r="Q1470" s="15">
        <f t="shared" si="2"/>
        <v>3</v>
      </c>
      <c r="R1470" s="15">
        <f t="shared" si="3"/>
        <v>4</v>
      </c>
      <c r="S1470" s="15">
        <f t="shared" si="4"/>
        <v>2</v>
      </c>
      <c r="T1470" s="15" t="str">
        <f t="shared" si="5"/>
        <v>C-3</v>
      </c>
      <c r="U1470" s="15" t="str">
        <f t="shared" si="6"/>
        <v>T3-M4-H2-FC-3-VERIFY</v>
      </c>
      <c r="V1470" s="15">
        <f t="shared" si="7"/>
        <v>0</v>
      </c>
      <c r="W1470" s="31"/>
      <c r="X1470" s="15" t="str">
        <f t="shared" si="8"/>
        <v>bolzano-italy</v>
      </c>
      <c r="Y1470" s="32" t="str">
        <f t="shared" si="9"/>
        <v>https://steelmanufacturer.in/market-area/electropolished-pipes-manufacturer-in-bolzano-italy/</v>
      </c>
      <c r="Z1470" s="15" t="str">
        <f t="shared" si="10"/>
        <v>Electropolished Pipes Manufacturer in Bolzano | EP Tube Supplier</v>
      </c>
      <c r="AA1470" s="15" t="str">
        <f t="shared" si="11"/>
        <v>OK (64)</v>
      </c>
      <c r="AB1470" s="15" t="str">
        <f t="shared" si="12"/>
        <v>Sanitary electropolished pipes in Bolzano for VERIFY plants. ASME BPE SF1-SF4, orbital-weld ready, 3.1 MTC. Mumbai-made.</v>
      </c>
      <c r="AC1470" s="15" t="str">
        <f t="shared" si="13"/>
        <v>PENDING RESEARCH</v>
      </c>
      <c r="AD1470" s="15" t="str">
        <f t="shared" si="14"/>
        <v>Electropolished Pipes Manufacturer in Bolzano</v>
      </c>
      <c r="AE1470" s="15" t="str">
        <f t="shared" si="15"/>
        <v>How We Manufacture Electropolished Tube for Bolzano Plants</v>
      </c>
      <c r="AF1470" s="15" t="str">
        <f t="shared" si="16"/>
        <v>Supplying Electropolished Pipes in Bolzano: Availability, Sizes &amp; Dispatch</v>
      </c>
      <c r="AG1470" s="15" t="str">
        <f t="shared" si="17"/>
        <v>Wholesale Electropolished Pipe Supply for Bolzano Projects</v>
      </c>
      <c r="AH1470" s="15" t="str">
        <f t="shared" si="18"/>
        <v>electropolished pipes manufacturer in Bolzano, electropolished pipes supplier in Bolzano, electropolished pipes wholesaler in Bolzano, electropolished tube manufacturer Bolzano, EP pipe supplier Bolzano, sanitary tube supplier Bolzano, ASME BPE tubing Bolzano, ASTM A270 tube Bolzano, SS 316L electropolished pipe Bolzano</v>
      </c>
      <c r="AI1470" s="15" t="str">
        <f t="shared" si="19"/>
        <v>Electropolished Pipes Manufacturer &amp; Supplier in Bolzano</v>
      </c>
      <c r="AJ1470" s="15" t="str">
        <f t="shared" si="20"/>
        <v>EP-finished SS 304/316L pipes and tubes for VERIFY plants in Bolzano. ASME BPE SF1-SF4, Ra from 0.25 um, EN 10204 3.1 certificate with every lot.</v>
      </c>
      <c r="AK1470" s="15" t="str">
        <f t="shared" si="21"/>
        <v>Electropolished stainless steel pipes supplied by Sakshi Forge to VERIFY plants at VERIFY, Bolzano</v>
      </c>
      <c r="AL1470" s="15" t="str">
        <f t="shared" si="22"/>
        <v>Electropolished SS 316L tube stock for Bolzano - Sakshi Forge</v>
      </c>
      <c r="AM1470" s="15" t="str">
        <f t="shared" si="23"/>
        <v>Home &gt; Market Area &gt; Italy &gt; VERIFY &gt; Bolzano</v>
      </c>
      <c r="AN1470" s="15">
        <f t="shared" si="24"/>
        <v>750</v>
      </c>
      <c r="AO1470" s="15">
        <f t="shared" si="25"/>
        <v>6</v>
      </c>
      <c r="AP1470" s="15">
        <f t="shared" si="26"/>
        <v>6</v>
      </c>
      <c r="AQ1470" s="15">
        <f t="shared" si="27"/>
        <v>25</v>
      </c>
      <c r="AR1470" s="31"/>
      <c r="AS1470" s="31"/>
      <c r="AT1470" s="35" t="s">
        <v>222</v>
      </c>
      <c r="AU1470" s="35"/>
    </row>
    <row r="1471" ht="15.75" customHeight="1">
      <c r="A1471" s="15" t="s">
        <v>7128</v>
      </c>
      <c r="B1471" s="15" t="s">
        <v>301</v>
      </c>
      <c r="C1471" s="15" t="s">
        <v>98</v>
      </c>
      <c r="D1471" s="15" t="s">
        <v>7130</v>
      </c>
      <c r="E1471" s="15" t="s">
        <v>7130</v>
      </c>
      <c r="F1471" s="58" t="s">
        <v>807</v>
      </c>
      <c r="G1471" s="66" t="s">
        <v>98</v>
      </c>
      <c r="H1471" s="18" t="s">
        <v>98</v>
      </c>
      <c r="I1471" s="18" t="s">
        <v>98</v>
      </c>
      <c r="J1471" s="18" t="s">
        <v>98</v>
      </c>
      <c r="K1471" s="18" t="s">
        <v>98</v>
      </c>
      <c r="L1471" s="18" t="s">
        <v>98</v>
      </c>
      <c r="M1471" s="18" t="s">
        <v>580</v>
      </c>
      <c r="N1471" s="18" t="s">
        <v>378</v>
      </c>
      <c r="O1471" s="18" t="s">
        <v>98</v>
      </c>
      <c r="P1471" s="15" t="str">
        <f t="shared" si="1"/>
        <v>VERIFY</v>
      </c>
      <c r="Q1471" s="15">
        <f t="shared" si="2"/>
        <v>4</v>
      </c>
      <c r="R1471" s="15">
        <f t="shared" si="3"/>
        <v>5</v>
      </c>
      <c r="S1471" s="15">
        <f t="shared" si="4"/>
        <v>3</v>
      </c>
      <c r="T1471" s="15" t="str">
        <f t="shared" si="5"/>
        <v>C-4</v>
      </c>
      <c r="U1471" s="15" t="str">
        <f t="shared" si="6"/>
        <v>T4-M5-H3-FC-4-VERIFY</v>
      </c>
      <c r="V1471" s="15">
        <f t="shared" si="7"/>
        <v>0</v>
      </c>
      <c r="W1471" s="31"/>
      <c r="X1471" s="15" t="str">
        <f t="shared" si="8"/>
        <v>brindisi-italy</v>
      </c>
      <c r="Y1471" s="32" t="str">
        <f t="shared" si="9"/>
        <v>https://steelmanufacturer.in/market-area/electropolished-pipes-manufacturer-in-brindisi-italy/</v>
      </c>
      <c r="Z1471" s="15" t="str">
        <f t="shared" si="10"/>
        <v>Electropolished Pipes Manufacturer in Brindisi</v>
      </c>
      <c r="AA1471" s="15" t="str">
        <f t="shared" si="11"/>
        <v>OK (46)</v>
      </c>
      <c r="AB1471" s="15" t="str">
        <f t="shared" si="12"/>
        <v>Manufacturer of electropolished SS 316L tube serving Brindisi. 18-24 days sea from Nhava Sheva to Genoa. Ra 0.25-0.5 um, EN 10204 3.1 MTC.</v>
      </c>
      <c r="AC1471" s="15" t="str">
        <f t="shared" si="13"/>
        <v>PENDING RESEARCH</v>
      </c>
      <c r="AD1471" s="15" t="str">
        <f t="shared" si="14"/>
        <v>Electropolished Pipes Manufacturer in Brindisi</v>
      </c>
      <c r="AE1471" s="15" t="str">
        <f t="shared" si="15"/>
        <v>Electropolished Pipes Manufacturer in Brindisi - Our Process &amp; Capability</v>
      </c>
      <c r="AF1471" s="15" t="str">
        <f t="shared" si="16"/>
        <v>Electropolished Pipes Supplier in Brindisi - What We Hold in Stock</v>
      </c>
      <c r="AG1471" s="15" t="str">
        <f t="shared" si="17"/>
        <v>Bulk &amp; Wholesale Electropolished Pipe Rates for Brindisi Buyers</v>
      </c>
      <c r="AH1471" s="15" t="str">
        <f t="shared" si="18"/>
        <v>electropolished pipes manufacturer in Brindisi, electropolished pipes supplier in Brindisi, electropolished pipes wholesaler in Brindisi, electropolished tube manufacturer Brindisi, EP pipe supplier Brindisi, sanitary tube supplier Brindisi, ASME BPE tubing Brindisi, ASTM A270 tube Brindisi, SS 316L electropolished pipe Brindisi</v>
      </c>
      <c r="AI1471" s="15" t="str">
        <f t="shared" si="19"/>
        <v>Electropolished Pipes Manufacturer &amp; Supplier in Brindisi</v>
      </c>
      <c r="AJ1471" s="15" t="str">
        <f t="shared" si="20"/>
        <v>EP-finished SS 304/316L pipes and tubes for VERIFY plants in Brindisi. ASME BPE SF1-SF4, Ra from 0.25 um, EN 10204 3.1 certificate with every lot.</v>
      </c>
      <c r="AK1471" s="15" t="str">
        <f t="shared" si="21"/>
        <v>Electropolished stainless steel pipes supplied by Sakshi Forge to VERIFY plants at VERIFY, Brindisi</v>
      </c>
      <c r="AL1471" s="15" t="str">
        <f t="shared" si="22"/>
        <v>Electropolished SS 316L tube stock for Brindisi - Sakshi Forge</v>
      </c>
      <c r="AM1471" s="15" t="str">
        <f t="shared" si="23"/>
        <v>Home &gt; Market Area &gt; Italy &gt; VERIFY &gt; Brindisi</v>
      </c>
      <c r="AN1471" s="15">
        <f t="shared" si="24"/>
        <v>750</v>
      </c>
      <c r="AO1471" s="15">
        <f t="shared" si="25"/>
        <v>6</v>
      </c>
      <c r="AP1471" s="15">
        <f t="shared" si="26"/>
        <v>6</v>
      </c>
      <c r="AQ1471" s="15">
        <f t="shared" si="27"/>
        <v>25</v>
      </c>
      <c r="AR1471" s="31"/>
      <c r="AS1471" s="31"/>
      <c r="AT1471" s="35" t="s">
        <v>222</v>
      </c>
      <c r="AU1471" s="35"/>
    </row>
    <row r="1472" ht="15.75" customHeight="1">
      <c r="A1472" s="15" t="s">
        <v>7131</v>
      </c>
      <c r="B1472" s="15" t="s">
        <v>301</v>
      </c>
      <c r="C1472" s="15" t="s">
        <v>98</v>
      </c>
      <c r="D1472" s="15" t="s">
        <v>7132</v>
      </c>
      <c r="E1472" s="15" t="s">
        <v>7132</v>
      </c>
      <c r="F1472" s="58" t="s">
        <v>807</v>
      </c>
      <c r="G1472" s="66" t="s">
        <v>98</v>
      </c>
      <c r="H1472" s="18" t="s">
        <v>98</v>
      </c>
      <c r="I1472" s="18" t="s">
        <v>98</v>
      </c>
      <c r="J1472" s="18" t="s">
        <v>98</v>
      </c>
      <c r="K1472" s="18" t="s">
        <v>98</v>
      </c>
      <c r="L1472" s="18" t="s">
        <v>98</v>
      </c>
      <c r="M1472" s="18" t="s">
        <v>580</v>
      </c>
      <c r="N1472" s="18" t="s">
        <v>378</v>
      </c>
      <c r="O1472" s="18" t="s">
        <v>98</v>
      </c>
      <c r="P1472" s="15" t="str">
        <f t="shared" si="1"/>
        <v>VERIFY</v>
      </c>
      <c r="Q1472" s="15">
        <f t="shared" si="2"/>
        <v>5</v>
      </c>
      <c r="R1472" s="15">
        <f t="shared" si="3"/>
        <v>6</v>
      </c>
      <c r="S1472" s="15">
        <f t="shared" si="4"/>
        <v>4</v>
      </c>
      <c r="T1472" s="15" t="str">
        <f t="shared" si="5"/>
        <v>C-5</v>
      </c>
      <c r="U1472" s="15" t="str">
        <f t="shared" si="6"/>
        <v>T5-M6-H4-FC-5-VERIFY</v>
      </c>
      <c r="V1472" s="15">
        <f t="shared" si="7"/>
        <v>0</v>
      </c>
      <c r="W1472" s="31"/>
      <c r="X1472" s="15" t="str">
        <f t="shared" si="8"/>
        <v>cagliari-italy</v>
      </c>
      <c r="Y1472" s="32" t="str">
        <f t="shared" si="9"/>
        <v>https://steelmanufacturer.in/market-area/electropolished-pipes-manufacturer-in-cagliari-italy/</v>
      </c>
      <c r="Z1472" s="15" t="str">
        <f t="shared" si="10"/>
        <v>Electropolished Pipes Manufacturer in Cagliari</v>
      </c>
      <c r="AA1472" s="15" t="str">
        <f t="shared" si="11"/>
        <v>OK (46)</v>
      </c>
      <c r="AB1472" s="15" t="str">
        <f t="shared" si="12"/>
        <v>EP tube and pipe for VERIFY plants around VERIFY, Cagliari. Made at our Mumbai works to ASTM A270 and ASME BPE SF1-SF4, with 3.1 MTC.</v>
      </c>
      <c r="AC1472" s="15" t="str">
        <f t="shared" si="13"/>
        <v>PENDING RESEARCH</v>
      </c>
      <c r="AD1472" s="15" t="str">
        <f t="shared" si="14"/>
        <v>Electropolished Pipes Manufacturer in Cagliari</v>
      </c>
      <c r="AE1472" s="15" t="str">
        <f t="shared" si="15"/>
        <v>Manufacturing Electropolished SS Tube for Cagliari: The Standards We Build To</v>
      </c>
      <c r="AF1472" s="15" t="str">
        <f t="shared" si="16"/>
        <v>Electropolished Pipe Supply Into Cagliari - Certification &amp; Transit</v>
      </c>
      <c r="AG1472" s="15" t="str">
        <f t="shared" si="17"/>
        <v>Electropolished Pipes Wholesaler in Cagliari - Project Quantities &amp; Terms</v>
      </c>
      <c r="AH1472" s="15" t="str">
        <f t="shared" si="18"/>
        <v>electropolished pipes manufacturer in Cagliari, electropolished pipes supplier in Cagliari, electropolished pipes wholesaler in Cagliari, electropolished tube manufacturer Cagliari, EP pipe supplier Cagliari, sanitary tube supplier Cagliari, ASME BPE tubing Cagliari, ASTM A270 tube Cagliari, SS 316L electropolished pipe Cagliari</v>
      </c>
      <c r="AI1472" s="15" t="str">
        <f t="shared" si="19"/>
        <v>Electropolished Pipes Manufacturer &amp; Supplier in Cagliari</v>
      </c>
      <c r="AJ1472" s="15" t="str">
        <f t="shared" si="20"/>
        <v>EP-finished SS 304/316L pipes and tubes for VERIFY plants in Cagliari. ASME BPE SF1-SF4, Ra from 0.25 um, EN 10204 3.1 certificate with every lot.</v>
      </c>
      <c r="AK1472" s="15" t="str">
        <f t="shared" si="21"/>
        <v>Electropolished stainless steel pipes supplied by Sakshi Forge to VERIFY plants at VERIFY, Cagliari</v>
      </c>
      <c r="AL1472" s="15" t="str">
        <f t="shared" si="22"/>
        <v>Electropolished SS 316L tube stock for Cagliari - Sakshi Forge</v>
      </c>
      <c r="AM1472" s="15" t="str">
        <f t="shared" si="23"/>
        <v>Home &gt; Market Area &gt; Italy &gt; VERIFY &gt; Cagliari</v>
      </c>
      <c r="AN1472" s="15">
        <f t="shared" si="24"/>
        <v>750</v>
      </c>
      <c r="AO1472" s="15">
        <f t="shared" si="25"/>
        <v>6</v>
      </c>
      <c r="AP1472" s="15">
        <f t="shared" si="26"/>
        <v>6</v>
      </c>
      <c r="AQ1472" s="15">
        <f t="shared" si="27"/>
        <v>25</v>
      </c>
      <c r="AR1472" s="31"/>
      <c r="AS1472" s="31"/>
      <c r="AT1472" s="35" t="s">
        <v>222</v>
      </c>
      <c r="AU1472" s="35"/>
    </row>
    <row r="1473" ht="15.75" customHeight="1">
      <c r="A1473" s="15" t="s">
        <v>7133</v>
      </c>
      <c r="B1473" s="15" t="s">
        <v>301</v>
      </c>
      <c r="C1473" s="15" t="s">
        <v>98</v>
      </c>
      <c r="D1473" s="15" t="s">
        <v>7134</v>
      </c>
      <c r="E1473" s="15" t="s">
        <v>7134</v>
      </c>
      <c r="F1473" s="58" t="s">
        <v>807</v>
      </c>
      <c r="G1473" s="66" t="s">
        <v>98</v>
      </c>
      <c r="H1473" s="18" t="s">
        <v>98</v>
      </c>
      <c r="I1473" s="18" t="s">
        <v>98</v>
      </c>
      <c r="J1473" s="18" t="s">
        <v>98</v>
      </c>
      <c r="K1473" s="18" t="s">
        <v>98</v>
      </c>
      <c r="L1473" s="18" t="s">
        <v>98</v>
      </c>
      <c r="M1473" s="18" t="s">
        <v>580</v>
      </c>
      <c r="N1473" s="18" t="s">
        <v>378</v>
      </c>
      <c r="O1473" s="18" t="s">
        <v>98</v>
      </c>
      <c r="P1473" s="15" t="str">
        <f t="shared" si="1"/>
        <v>VERIFY</v>
      </c>
      <c r="Q1473" s="15">
        <f t="shared" si="2"/>
        <v>6</v>
      </c>
      <c r="R1473" s="15">
        <f t="shared" si="3"/>
        <v>7</v>
      </c>
      <c r="S1473" s="15">
        <f t="shared" si="4"/>
        <v>5</v>
      </c>
      <c r="T1473" s="15" t="str">
        <f t="shared" si="5"/>
        <v>C-6</v>
      </c>
      <c r="U1473" s="15" t="str">
        <f t="shared" si="6"/>
        <v>T6-M7-H5-FC-6-VERIFY</v>
      </c>
      <c r="V1473" s="15">
        <f t="shared" si="7"/>
        <v>0</v>
      </c>
      <c r="W1473" s="31"/>
      <c r="X1473" s="15" t="str">
        <f t="shared" si="8"/>
        <v>caltanissetta-italy</v>
      </c>
      <c r="Y1473" s="32" t="str">
        <f t="shared" si="9"/>
        <v>https://steelmanufacturer.in/market-area/electropolished-pipes-manufacturer-in-caltanissetta-italy/</v>
      </c>
      <c r="Z1473" s="15" t="str">
        <f t="shared" si="10"/>
        <v>Electropolished Pipes Manufacturer in Caltanissetta</v>
      </c>
      <c r="AA1473" s="15" t="str">
        <f t="shared" si="11"/>
        <v>OK (51)</v>
      </c>
      <c r="AB1473" s="15" t="str">
        <f t="shared" si="12"/>
        <v>Electropolished pipes in Caltanissetta: 304, 304L, 316 and 316L in SF1-SF4. 18-24 days sea from Nhava Sheva to Genoa. Mill certified.</v>
      </c>
      <c r="AC1473" s="15" t="str">
        <f t="shared" si="13"/>
        <v>PENDING RESEARCH</v>
      </c>
      <c r="AD1473" s="15" t="str">
        <f t="shared" si="14"/>
        <v>Electropolished Pipes Manufacturer in Caltanissetta</v>
      </c>
      <c r="AE1473" s="15" t="str">
        <f t="shared" si="15"/>
        <v>Electropolished Tube Manufacturing Capability Serving Caltanissetta</v>
      </c>
      <c r="AF1473" s="15" t="str">
        <f t="shared" si="16"/>
        <v>Electropolished Pipes Supplier in Caltanissetta - From Order to Delivery</v>
      </c>
      <c r="AG1473" s="15" t="str">
        <f t="shared" si="17"/>
        <v>Stockist &amp; Wholesale Supply of Electropolished Pipes in Caltanissetta</v>
      </c>
      <c r="AH1473" s="15" t="str">
        <f t="shared" si="18"/>
        <v>electropolished pipes manufacturer in Caltanissetta, electropolished pipes supplier in Caltanissetta, electropolished pipes wholesaler in Caltanissetta, electropolished tube manufacturer Caltanissetta, EP pipe supplier Caltanissetta, sanitary tube supplier Caltanissetta, ASME BPE tubing Caltanissetta, ASTM A270 tube Caltanissetta, SS 316L electropolished pipe Caltanissetta</v>
      </c>
      <c r="AI1473" s="15" t="str">
        <f t="shared" si="19"/>
        <v>Electropolished Pipes Manufacturer &amp; Supplier in Caltanissetta</v>
      </c>
      <c r="AJ1473" s="15" t="str">
        <f t="shared" si="20"/>
        <v>EP-finished SS 304/316L pipes and tubes for VERIFY plants in Caltanissetta. ASME BPE SF1-SF4, Ra from 0.25 um, EN 10204 3.1 certificate with every lot.</v>
      </c>
      <c r="AK1473" s="15" t="str">
        <f t="shared" si="21"/>
        <v>Electropolished stainless steel pipes supplied by Sakshi Forge to VERIFY plants at VERIFY, Caltanissetta</v>
      </c>
      <c r="AL1473" s="15" t="str">
        <f t="shared" si="22"/>
        <v>Electropolished SS 316L tube stock for Caltanissetta - Sakshi Forge</v>
      </c>
      <c r="AM1473" s="15" t="str">
        <f t="shared" si="23"/>
        <v>Home &gt; Market Area &gt; Italy &gt; VERIFY &gt; Caltanissetta</v>
      </c>
      <c r="AN1473" s="15">
        <f t="shared" si="24"/>
        <v>750</v>
      </c>
      <c r="AO1473" s="15">
        <f t="shared" si="25"/>
        <v>6</v>
      </c>
      <c r="AP1473" s="15">
        <f t="shared" si="26"/>
        <v>6</v>
      </c>
      <c r="AQ1473" s="15">
        <f t="shared" si="27"/>
        <v>25</v>
      </c>
      <c r="AR1473" s="31"/>
      <c r="AS1473" s="31"/>
      <c r="AT1473" s="35" t="s">
        <v>222</v>
      </c>
      <c r="AU1473" s="35"/>
    </row>
    <row r="1474" ht="15.75" customHeight="1">
      <c r="A1474" s="15" t="s">
        <v>7135</v>
      </c>
      <c r="B1474" s="15" t="s">
        <v>301</v>
      </c>
      <c r="C1474" s="15" t="s">
        <v>98</v>
      </c>
      <c r="D1474" s="15" t="s">
        <v>7136</v>
      </c>
      <c r="E1474" s="15" t="s">
        <v>7136</v>
      </c>
      <c r="F1474" s="58" t="s">
        <v>807</v>
      </c>
      <c r="G1474" s="66" t="s">
        <v>98</v>
      </c>
      <c r="H1474" s="18" t="s">
        <v>98</v>
      </c>
      <c r="I1474" s="18" t="s">
        <v>98</v>
      </c>
      <c r="J1474" s="18" t="s">
        <v>98</v>
      </c>
      <c r="K1474" s="18" t="s">
        <v>98</v>
      </c>
      <c r="L1474" s="18" t="s">
        <v>98</v>
      </c>
      <c r="M1474" s="18" t="s">
        <v>580</v>
      </c>
      <c r="N1474" s="18" t="s">
        <v>378</v>
      </c>
      <c r="O1474" s="18" t="s">
        <v>98</v>
      </c>
      <c r="P1474" s="15" t="str">
        <f t="shared" si="1"/>
        <v>VERIFY</v>
      </c>
      <c r="Q1474" s="15">
        <f t="shared" si="2"/>
        <v>7</v>
      </c>
      <c r="R1474" s="15">
        <f t="shared" si="3"/>
        <v>1</v>
      </c>
      <c r="S1474" s="15">
        <f t="shared" si="4"/>
        <v>1</v>
      </c>
      <c r="T1474" s="15" t="str">
        <f t="shared" si="5"/>
        <v>C-1</v>
      </c>
      <c r="U1474" s="15" t="str">
        <f t="shared" si="6"/>
        <v>T7-M1-H1-FC-1-VERIFY</v>
      </c>
      <c r="V1474" s="15">
        <f t="shared" si="7"/>
        <v>0</v>
      </c>
      <c r="W1474" s="31"/>
      <c r="X1474" s="15" t="str">
        <f t="shared" si="8"/>
        <v>campobasso-italy</v>
      </c>
      <c r="Y1474" s="32" t="str">
        <f t="shared" si="9"/>
        <v>https://steelmanufacturer.in/market-area/electropolished-pipes-manufacturer-in-campobasso-italy/</v>
      </c>
      <c r="Z1474" s="15" t="str">
        <f t="shared" si="10"/>
        <v>Electropolished Pipes Manufacturer in Campobasso</v>
      </c>
      <c r="AA1474" s="15" t="str">
        <f t="shared" si="11"/>
        <v>OK (48)</v>
      </c>
      <c r="AB1474" s="15" t="str">
        <f t="shared" si="12"/>
        <v>EP-finished SS 304/316L pipes &amp; tubes for VERIFY plants in Campobasso. ASTM A270, ASME BPE SF1-SF4, EN 10204 3.1 MTC. PMI tested.</v>
      </c>
      <c r="AC1474" s="15" t="str">
        <f t="shared" si="13"/>
        <v>PENDING RESEARCH</v>
      </c>
      <c r="AD1474" s="15" t="str">
        <f t="shared" si="14"/>
        <v>Electropolished Pipes Manufacturer in Campobasso</v>
      </c>
      <c r="AE1474" s="15" t="str">
        <f t="shared" si="15"/>
        <v>Electropolished Pipe &amp; Tube Manufacturing for Campobasso - Grades, Finishes &amp; Certification</v>
      </c>
      <c r="AF1474" s="15" t="str">
        <f t="shared" si="16"/>
        <v>Electropolished Pipes Supplier in Campobasso - Stock Sizes, Lead Time &amp; Delivery</v>
      </c>
      <c r="AG1474" s="15" t="str">
        <f t="shared" si="17"/>
        <v>Electropolished Pipes Wholesaler &amp; Stockist in Campobasso - Bulk &amp; Project Pricing</v>
      </c>
      <c r="AH1474" s="15" t="str">
        <f t="shared" si="18"/>
        <v>electropolished pipes manufacturer in Campobasso, electropolished pipes supplier in Campobasso, electropolished pipes wholesaler in Campobasso, electropolished tube manufacturer Campobasso, EP pipe supplier Campobasso, sanitary tube supplier Campobasso, ASME BPE tubing Campobasso, ASTM A270 tube Campobasso, SS 316L electropolished pipe Campobasso</v>
      </c>
      <c r="AI1474" s="15" t="str">
        <f t="shared" si="19"/>
        <v>Electropolished Pipes Manufacturer &amp; Supplier in Campobasso</v>
      </c>
      <c r="AJ1474" s="15" t="str">
        <f t="shared" si="20"/>
        <v>EP-finished SS 304/316L pipes and tubes for VERIFY plants in Campobasso. ASME BPE SF1-SF4, Ra from 0.25 um, EN 10204 3.1 certificate with every lot.</v>
      </c>
      <c r="AK1474" s="15" t="str">
        <f t="shared" si="21"/>
        <v>Electropolished stainless steel pipes supplied by Sakshi Forge to VERIFY plants at VERIFY, Campobasso</v>
      </c>
      <c r="AL1474" s="15" t="str">
        <f t="shared" si="22"/>
        <v>Electropolished SS 316L tube stock for Campobasso - Sakshi Forge</v>
      </c>
      <c r="AM1474" s="15" t="str">
        <f t="shared" si="23"/>
        <v>Home &gt; Market Area &gt; Italy &gt; VERIFY &gt; Campobasso</v>
      </c>
      <c r="AN1474" s="15">
        <f t="shared" si="24"/>
        <v>750</v>
      </c>
      <c r="AO1474" s="15">
        <f t="shared" si="25"/>
        <v>6</v>
      </c>
      <c r="AP1474" s="15">
        <f t="shared" si="26"/>
        <v>6</v>
      </c>
      <c r="AQ1474" s="15">
        <f t="shared" si="27"/>
        <v>25</v>
      </c>
      <c r="AR1474" s="31"/>
      <c r="AS1474" s="31"/>
      <c r="AT1474" s="35" t="s">
        <v>222</v>
      </c>
      <c r="AU1474" s="35"/>
    </row>
    <row r="1475" ht="15.75" customHeight="1">
      <c r="A1475" s="15" t="s">
        <v>7137</v>
      </c>
      <c r="B1475" s="15" t="s">
        <v>301</v>
      </c>
      <c r="C1475" s="15" t="s">
        <v>98</v>
      </c>
      <c r="D1475" s="15" t="s">
        <v>7138</v>
      </c>
      <c r="E1475" s="15" t="s">
        <v>7138</v>
      </c>
      <c r="F1475" s="58" t="s">
        <v>807</v>
      </c>
      <c r="G1475" s="66" t="s">
        <v>98</v>
      </c>
      <c r="H1475" s="18" t="s">
        <v>98</v>
      </c>
      <c r="I1475" s="18" t="s">
        <v>98</v>
      </c>
      <c r="J1475" s="18" t="s">
        <v>98</v>
      </c>
      <c r="K1475" s="18" t="s">
        <v>98</v>
      </c>
      <c r="L1475" s="18" t="s">
        <v>98</v>
      </c>
      <c r="M1475" s="18" t="s">
        <v>580</v>
      </c>
      <c r="N1475" s="18" t="s">
        <v>378</v>
      </c>
      <c r="O1475" s="18" t="s">
        <v>98</v>
      </c>
      <c r="P1475" s="15" t="str">
        <f t="shared" si="1"/>
        <v>VERIFY</v>
      </c>
      <c r="Q1475" s="15">
        <f t="shared" si="2"/>
        <v>8</v>
      </c>
      <c r="R1475" s="15">
        <f t="shared" si="3"/>
        <v>2</v>
      </c>
      <c r="S1475" s="15">
        <f t="shared" si="4"/>
        <v>2</v>
      </c>
      <c r="T1475" s="15" t="str">
        <f t="shared" si="5"/>
        <v>C-2</v>
      </c>
      <c r="U1475" s="15" t="str">
        <f t="shared" si="6"/>
        <v>T8-M2-H2-FC-2-VERIFY</v>
      </c>
      <c r="V1475" s="15">
        <f t="shared" si="7"/>
        <v>0</v>
      </c>
      <c r="W1475" s="31"/>
      <c r="X1475" s="15" t="str">
        <f t="shared" si="8"/>
        <v>caserta-italy</v>
      </c>
      <c r="Y1475" s="32" t="str">
        <f t="shared" si="9"/>
        <v>https://steelmanufacturer.in/market-area/electropolished-pipes-manufacturer-in-caserta-italy/</v>
      </c>
      <c r="Z1475" s="15" t="str">
        <f t="shared" si="10"/>
        <v>Electropolished Pipes Manufacturer in Caserta - EP Tube Stockist</v>
      </c>
      <c r="AA1475" s="15" t="str">
        <f t="shared" si="11"/>
        <v>OK (64)</v>
      </c>
      <c r="AB1475" s="15" t="str">
        <f t="shared" si="12"/>
        <v>Electropolished tube supply to VERIFY, Caserta. Ra from 0.25 um, SF4 finish, mill test certificate with every lot.</v>
      </c>
      <c r="AC1475" s="15" t="str">
        <f t="shared" si="13"/>
        <v>PENDING RESEARCH</v>
      </c>
      <c r="AD1475" s="15" t="str">
        <f t="shared" si="14"/>
        <v>Electropolished Pipes Manufacturer in Caserta</v>
      </c>
      <c r="AE1475" s="15" t="str">
        <f t="shared" si="15"/>
        <v>How We Manufacture Electropolished Tube for Caserta Plants</v>
      </c>
      <c r="AF1475" s="15" t="str">
        <f t="shared" si="16"/>
        <v>Supplying Electropolished Pipes in Caserta: Availability, Sizes &amp; Dispatch</v>
      </c>
      <c r="AG1475" s="15" t="str">
        <f t="shared" si="17"/>
        <v>Wholesale Electropolished Pipe Supply for Caserta Projects</v>
      </c>
      <c r="AH1475" s="15" t="str">
        <f t="shared" si="18"/>
        <v>electropolished pipes manufacturer in Caserta, electropolished pipes supplier in Caserta, electropolished pipes wholesaler in Caserta, electropolished tube manufacturer Caserta, EP pipe supplier Caserta, sanitary tube supplier Caserta, ASME BPE tubing Caserta, ASTM A270 tube Caserta, SS 316L electropolished pipe Caserta</v>
      </c>
      <c r="AI1475" s="15" t="str">
        <f t="shared" si="19"/>
        <v>Electropolished Pipes Manufacturer &amp; Supplier in Caserta</v>
      </c>
      <c r="AJ1475" s="15" t="str">
        <f t="shared" si="20"/>
        <v>EP-finished SS 304/316L pipes and tubes for VERIFY plants in Caserta. ASME BPE SF1-SF4, Ra from 0.25 um, EN 10204 3.1 certificate with every lot.</v>
      </c>
      <c r="AK1475" s="15" t="str">
        <f t="shared" si="21"/>
        <v>Electropolished stainless steel pipes supplied by Sakshi Forge to VERIFY plants at VERIFY, Caserta</v>
      </c>
      <c r="AL1475" s="15" t="str">
        <f t="shared" si="22"/>
        <v>Electropolished SS 316L tube stock for Caserta - Sakshi Forge</v>
      </c>
      <c r="AM1475" s="15" t="str">
        <f t="shared" si="23"/>
        <v>Home &gt; Market Area &gt; Italy &gt; VERIFY &gt; Caserta</v>
      </c>
      <c r="AN1475" s="15">
        <f t="shared" si="24"/>
        <v>750</v>
      </c>
      <c r="AO1475" s="15">
        <f t="shared" si="25"/>
        <v>6</v>
      </c>
      <c r="AP1475" s="15">
        <f t="shared" si="26"/>
        <v>6</v>
      </c>
      <c r="AQ1475" s="15">
        <f t="shared" si="27"/>
        <v>25</v>
      </c>
      <c r="AR1475" s="31"/>
      <c r="AS1475" s="31"/>
      <c r="AT1475" s="35" t="s">
        <v>222</v>
      </c>
      <c r="AU1475" s="35"/>
    </row>
    <row r="1476" ht="15.75" customHeight="1">
      <c r="A1476" s="15" t="s">
        <v>7139</v>
      </c>
      <c r="B1476" s="15" t="s">
        <v>301</v>
      </c>
      <c r="C1476" s="15" t="s">
        <v>98</v>
      </c>
      <c r="D1476" s="15" t="s">
        <v>7140</v>
      </c>
      <c r="E1476" s="15" t="s">
        <v>7140</v>
      </c>
      <c r="F1476" s="58" t="s">
        <v>807</v>
      </c>
      <c r="G1476" s="66" t="s">
        <v>98</v>
      </c>
      <c r="H1476" s="18" t="s">
        <v>98</v>
      </c>
      <c r="I1476" s="18" t="s">
        <v>98</v>
      </c>
      <c r="J1476" s="18" t="s">
        <v>98</v>
      </c>
      <c r="K1476" s="18" t="s">
        <v>98</v>
      </c>
      <c r="L1476" s="18" t="s">
        <v>98</v>
      </c>
      <c r="M1476" s="18" t="s">
        <v>580</v>
      </c>
      <c r="N1476" s="18" t="s">
        <v>378</v>
      </c>
      <c r="O1476" s="18" t="s">
        <v>98</v>
      </c>
      <c r="P1476" s="15" t="str">
        <f t="shared" si="1"/>
        <v>VERIFY</v>
      </c>
      <c r="Q1476" s="15">
        <f t="shared" si="2"/>
        <v>1</v>
      </c>
      <c r="R1476" s="15">
        <f t="shared" si="3"/>
        <v>3</v>
      </c>
      <c r="S1476" s="15">
        <f t="shared" si="4"/>
        <v>3</v>
      </c>
      <c r="T1476" s="15" t="str">
        <f t="shared" si="5"/>
        <v>C-3</v>
      </c>
      <c r="U1476" s="15" t="str">
        <f t="shared" si="6"/>
        <v>T1-M3-H3-FC-3-VERIFY</v>
      </c>
      <c r="V1476" s="15">
        <f t="shared" si="7"/>
        <v>0</v>
      </c>
      <c r="W1476" s="31"/>
      <c r="X1476" s="15" t="str">
        <f t="shared" si="8"/>
        <v>catanzaro-italy</v>
      </c>
      <c r="Y1476" s="32" t="str">
        <f t="shared" si="9"/>
        <v>https://steelmanufacturer.in/market-area/electropolished-pipes-manufacturer-in-catanzaro-italy/</v>
      </c>
      <c r="Z1476" s="15" t="str">
        <f t="shared" si="10"/>
        <v>Electropolished Pipes Manufacturer in Catanzaro | Sakshi Forge</v>
      </c>
      <c r="AA1476" s="15" t="str">
        <f t="shared" si="11"/>
        <v>OK (62)</v>
      </c>
      <c r="AB1476" s="15" t="str">
        <f t="shared" si="12"/>
        <v>EP stainless tube for VERIFY lines in Catanzaro. 18-24 days sea from Nhava Sheva to Genoa. ASTM A270 S2, PMI tested, EN 10204 3.1.</v>
      </c>
      <c r="AC1476" s="15" t="str">
        <f t="shared" si="13"/>
        <v>PENDING RESEARCH</v>
      </c>
      <c r="AD1476" s="15" t="str">
        <f t="shared" si="14"/>
        <v>Electropolished Pipes Manufacturer in Catanzaro</v>
      </c>
      <c r="AE1476" s="15" t="str">
        <f t="shared" si="15"/>
        <v>Electropolished Pipes Manufacturer in Catanzaro - Our Process &amp; Capability</v>
      </c>
      <c r="AF1476" s="15" t="str">
        <f t="shared" si="16"/>
        <v>Electropolished Pipes Supplier in Catanzaro - What We Hold in Stock</v>
      </c>
      <c r="AG1476" s="15" t="str">
        <f t="shared" si="17"/>
        <v>Bulk &amp; Wholesale Electropolished Pipe Rates for Catanzaro Buyers</v>
      </c>
      <c r="AH1476" s="15" t="str">
        <f t="shared" si="18"/>
        <v>electropolished pipes manufacturer in Catanzaro, electropolished pipes supplier in Catanzaro, electropolished pipes wholesaler in Catanzaro, electropolished tube manufacturer Catanzaro, EP pipe supplier Catanzaro, sanitary tube supplier Catanzaro, ASME BPE tubing Catanzaro, ASTM A270 tube Catanzaro, SS 316L electropolished pipe Catanzaro</v>
      </c>
      <c r="AI1476" s="15" t="str">
        <f t="shared" si="19"/>
        <v>Electropolished Pipes Manufacturer &amp; Supplier in Catanzaro</v>
      </c>
      <c r="AJ1476" s="15" t="str">
        <f t="shared" si="20"/>
        <v>EP-finished SS 304/316L pipes and tubes for VERIFY plants in Catanzaro. ASME BPE SF1-SF4, Ra from 0.25 um, EN 10204 3.1 certificate with every lot.</v>
      </c>
      <c r="AK1476" s="15" t="str">
        <f t="shared" si="21"/>
        <v>Electropolished stainless steel pipes supplied by Sakshi Forge to VERIFY plants at VERIFY, Catanzaro</v>
      </c>
      <c r="AL1476" s="15" t="str">
        <f t="shared" si="22"/>
        <v>Electropolished SS 316L tube stock for Catanzaro - Sakshi Forge</v>
      </c>
      <c r="AM1476" s="15" t="str">
        <f t="shared" si="23"/>
        <v>Home &gt; Market Area &gt; Italy &gt; VERIFY &gt; Catanzaro</v>
      </c>
      <c r="AN1476" s="15">
        <f t="shared" si="24"/>
        <v>750</v>
      </c>
      <c r="AO1476" s="15">
        <f t="shared" si="25"/>
        <v>6</v>
      </c>
      <c r="AP1476" s="15">
        <f t="shared" si="26"/>
        <v>6</v>
      </c>
      <c r="AQ1476" s="15">
        <f t="shared" si="27"/>
        <v>25</v>
      </c>
      <c r="AR1476" s="31"/>
      <c r="AS1476" s="31"/>
      <c r="AT1476" s="35" t="s">
        <v>222</v>
      </c>
      <c r="AU1476" s="35"/>
    </row>
    <row r="1477" ht="15.75" customHeight="1">
      <c r="A1477" s="15" t="s">
        <v>7141</v>
      </c>
      <c r="B1477" s="15" t="s">
        <v>301</v>
      </c>
      <c r="C1477" s="15" t="s">
        <v>98</v>
      </c>
      <c r="D1477" s="15" t="s">
        <v>7142</v>
      </c>
      <c r="E1477" s="15" t="s">
        <v>7142</v>
      </c>
      <c r="F1477" s="58" t="s">
        <v>807</v>
      </c>
      <c r="G1477" s="66" t="s">
        <v>98</v>
      </c>
      <c r="H1477" s="18" t="s">
        <v>98</v>
      </c>
      <c r="I1477" s="18" t="s">
        <v>98</v>
      </c>
      <c r="J1477" s="18" t="s">
        <v>98</v>
      </c>
      <c r="K1477" s="18" t="s">
        <v>98</v>
      </c>
      <c r="L1477" s="18" t="s">
        <v>98</v>
      </c>
      <c r="M1477" s="18" t="s">
        <v>580</v>
      </c>
      <c r="N1477" s="18" t="s">
        <v>378</v>
      </c>
      <c r="O1477" s="18" t="s">
        <v>98</v>
      </c>
      <c r="P1477" s="15" t="str">
        <f t="shared" si="1"/>
        <v>VERIFY</v>
      </c>
      <c r="Q1477" s="15">
        <f t="shared" si="2"/>
        <v>2</v>
      </c>
      <c r="R1477" s="15">
        <f t="shared" si="3"/>
        <v>4</v>
      </c>
      <c r="S1477" s="15">
        <f t="shared" si="4"/>
        <v>4</v>
      </c>
      <c r="T1477" s="15" t="str">
        <f t="shared" si="5"/>
        <v>C-4</v>
      </c>
      <c r="U1477" s="15" t="str">
        <f t="shared" si="6"/>
        <v>T2-M4-H4-FC-4-VERIFY</v>
      </c>
      <c r="V1477" s="15">
        <f t="shared" si="7"/>
        <v>0</v>
      </c>
      <c r="W1477" s="31"/>
      <c r="X1477" s="15" t="str">
        <f t="shared" si="8"/>
        <v>cesena-italy</v>
      </c>
      <c r="Y1477" s="32" t="str">
        <f t="shared" si="9"/>
        <v>https://steelmanufacturer.in/market-area/electropolished-pipes-manufacturer-in-cesena-italy/</v>
      </c>
      <c r="Z1477" s="15" t="str">
        <f t="shared" si="10"/>
        <v>Electropolished Pipes Manufacturer in Cesena</v>
      </c>
      <c r="AA1477" s="15" t="str">
        <f t="shared" si="11"/>
        <v>OK (44)</v>
      </c>
      <c r="AB1477" s="15" t="str">
        <f t="shared" si="12"/>
        <v>Sanitary electropolished pipes in Cesena for VERIFY plants. ASME BPE SF1-SF4, orbital-weld ready, 3.1 MTC. Mumbai-made.</v>
      </c>
      <c r="AC1477" s="15" t="str">
        <f t="shared" si="13"/>
        <v>PENDING RESEARCH</v>
      </c>
      <c r="AD1477" s="15" t="str">
        <f t="shared" si="14"/>
        <v>Electropolished Pipes Manufacturer in Cesena</v>
      </c>
      <c r="AE1477" s="15" t="str">
        <f t="shared" si="15"/>
        <v>Manufacturing Electropolished SS Tube for Cesena: The Standards We Build To</v>
      </c>
      <c r="AF1477" s="15" t="str">
        <f t="shared" si="16"/>
        <v>Electropolished Pipe Supply Into Cesena - Certification &amp; Transit</v>
      </c>
      <c r="AG1477" s="15" t="str">
        <f t="shared" si="17"/>
        <v>Electropolished Pipes Wholesaler in Cesena - Project Quantities &amp; Terms</v>
      </c>
      <c r="AH1477" s="15" t="str">
        <f t="shared" si="18"/>
        <v>electropolished pipes manufacturer in Cesena, electropolished pipes supplier in Cesena, electropolished pipes wholesaler in Cesena, electropolished tube manufacturer Cesena, EP pipe supplier Cesena, sanitary tube supplier Cesena, ASME BPE tubing Cesena, ASTM A270 tube Cesena, SS 316L electropolished pipe Cesena</v>
      </c>
      <c r="AI1477" s="15" t="str">
        <f t="shared" si="19"/>
        <v>Electropolished Pipes Manufacturer &amp; Supplier in Cesena</v>
      </c>
      <c r="AJ1477" s="15" t="str">
        <f t="shared" si="20"/>
        <v>EP-finished SS 304/316L pipes and tubes for VERIFY plants in Cesena. ASME BPE SF1-SF4, Ra from 0.25 um, EN 10204 3.1 certificate with every lot.</v>
      </c>
      <c r="AK1477" s="15" t="str">
        <f t="shared" si="21"/>
        <v>Electropolished stainless steel pipes supplied by Sakshi Forge to VERIFY plants at VERIFY, Cesena</v>
      </c>
      <c r="AL1477" s="15" t="str">
        <f t="shared" si="22"/>
        <v>Electropolished SS 316L tube stock for Cesena - Sakshi Forge</v>
      </c>
      <c r="AM1477" s="15" t="str">
        <f t="shared" si="23"/>
        <v>Home &gt; Market Area &gt; Italy &gt; VERIFY &gt; Cesena</v>
      </c>
      <c r="AN1477" s="15">
        <f t="shared" si="24"/>
        <v>750</v>
      </c>
      <c r="AO1477" s="15">
        <f t="shared" si="25"/>
        <v>6</v>
      </c>
      <c r="AP1477" s="15">
        <f t="shared" si="26"/>
        <v>6</v>
      </c>
      <c r="AQ1477" s="15">
        <f t="shared" si="27"/>
        <v>25</v>
      </c>
      <c r="AR1477" s="31"/>
      <c r="AS1477" s="31"/>
      <c r="AT1477" s="35" t="s">
        <v>222</v>
      </c>
      <c r="AU1477" s="35"/>
    </row>
    <row r="1478" ht="15.75" customHeight="1">
      <c r="A1478" s="15" t="s">
        <v>7143</v>
      </c>
      <c r="B1478" s="15" t="s">
        <v>301</v>
      </c>
      <c r="C1478" s="15" t="s">
        <v>98</v>
      </c>
      <c r="D1478" s="15" t="s">
        <v>7144</v>
      </c>
      <c r="E1478" s="15" t="s">
        <v>7144</v>
      </c>
      <c r="F1478" s="58" t="s">
        <v>807</v>
      </c>
      <c r="G1478" s="66" t="s">
        <v>98</v>
      </c>
      <c r="H1478" s="18" t="s">
        <v>98</v>
      </c>
      <c r="I1478" s="18" t="s">
        <v>98</v>
      </c>
      <c r="J1478" s="18" t="s">
        <v>98</v>
      </c>
      <c r="K1478" s="18" t="s">
        <v>98</v>
      </c>
      <c r="L1478" s="18" t="s">
        <v>98</v>
      </c>
      <c r="M1478" s="18" t="s">
        <v>580</v>
      </c>
      <c r="N1478" s="18" t="s">
        <v>378</v>
      </c>
      <c r="O1478" s="18" t="s">
        <v>98</v>
      </c>
      <c r="P1478" s="15" t="str">
        <f t="shared" si="1"/>
        <v>VERIFY</v>
      </c>
      <c r="Q1478" s="15">
        <f t="shared" si="2"/>
        <v>3</v>
      </c>
      <c r="R1478" s="15">
        <f t="shared" si="3"/>
        <v>5</v>
      </c>
      <c r="S1478" s="15">
        <f t="shared" si="4"/>
        <v>5</v>
      </c>
      <c r="T1478" s="15" t="str">
        <f t="shared" si="5"/>
        <v>C-5</v>
      </c>
      <c r="U1478" s="15" t="str">
        <f t="shared" si="6"/>
        <v>T3-M5-H5-FC-5-VERIFY</v>
      </c>
      <c r="V1478" s="15">
        <f t="shared" si="7"/>
        <v>0</v>
      </c>
      <c r="W1478" s="31"/>
      <c r="X1478" s="15" t="str">
        <f t="shared" si="8"/>
        <v>chieti-italy</v>
      </c>
      <c r="Y1478" s="32" t="str">
        <f t="shared" si="9"/>
        <v>https://steelmanufacturer.in/market-area/electropolished-pipes-manufacturer-in-chieti-italy/</v>
      </c>
      <c r="Z1478" s="15" t="str">
        <f t="shared" si="10"/>
        <v>Electropolished Pipes Manufacturer in Chieti | EP Tube Supplier</v>
      </c>
      <c r="AA1478" s="15" t="str">
        <f t="shared" si="11"/>
        <v>OK (63)</v>
      </c>
      <c r="AB1478" s="15" t="str">
        <f t="shared" si="12"/>
        <v>Manufacturer of electropolished SS 316L tube serving Chieti. 18-24 days sea from Nhava Sheva to Genoa. Ra 0.25-0.5 um, EN 10204 3.1 MTC.</v>
      </c>
      <c r="AC1478" s="15" t="str">
        <f t="shared" si="13"/>
        <v>PENDING RESEARCH</v>
      </c>
      <c r="AD1478" s="15" t="str">
        <f t="shared" si="14"/>
        <v>Electropolished Pipes Manufacturer in Chieti</v>
      </c>
      <c r="AE1478" s="15" t="str">
        <f t="shared" si="15"/>
        <v>Electropolished Tube Manufacturing Capability Serving Chieti</v>
      </c>
      <c r="AF1478" s="15" t="str">
        <f t="shared" si="16"/>
        <v>Electropolished Pipes Supplier in Chieti - From Order to Delivery</v>
      </c>
      <c r="AG1478" s="15" t="str">
        <f t="shared" si="17"/>
        <v>Stockist &amp; Wholesale Supply of Electropolished Pipes in Chieti</v>
      </c>
      <c r="AH1478" s="15" t="str">
        <f t="shared" si="18"/>
        <v>electropolished pipes manufacturer in Chieti, electropolished pipes supplier in Chieti, electropolished pipes wholesaler in Chieti, electropolished tube manufacturer Chieti, EP pipe supplier Chieti, sanitary tube supplier Chieti, ASME BPE tubing Chieti, ASTM A270 tube Chieti, SS 316L electropolished pipe Chieti</v>
      </c>
      <c r="AI1478" s="15" t="str">
        <f t="shared" si="19"/>
        <v>Electropolished Pipes Manufacturer &amp; Supplier in Chieti</v>
      </c>
      <c r="AJ1478" s="15" t="str">
        <f t="shared" si="20"/>
        <v>EP-finished SS 304/316L pipes and tubes for VERIFY plants in Chieti. ASME BPE SF1-SF4, Ra from 0.25 um, EN 10204 3.1 certificate with every lot.</v>
      </c>
      <c r="AK1478" s="15" t="str">
        <f t="shared" si="21"/>
        <v>Electropolished stainless steel pipes supplied by Sakshi Forge to VERIFY plants at VERIFY, Chieti</v>
      </c>
      <c r="AL1478" s="15" t="str">
        <f t="shared" si="22"/>
        <v>Electropolished SS 316L tube stock for Chieti - Sakshi Forge</v>
      </c>
      <c r="AM1478" s="15" t="str">
        <f t="shared" si="23"/>
        <v>Home &gt; Market Area &gt; Italy &gt; VERIFY &gt; Chieti</v>
      </c>
      <c r="AN1478" s="15">
        <f t="shared" si="24"/>
        <v>750</v>
      </c>
      <c r="AO1478" s="15">
        <f t="shared" si="25"/>
        <v>6</v>
      </c>
      <c r="AP1478" s="15">
        <f t="shared" si="26"/>
        <v>6</v>
      </c>
      <c r="AQ1478" s="15">
        <f t="shared" si="27"/>
        <v>25</v>
      </c>
      <c r="AR1478" s="31"/>
      <c r="AS1478" s="31"/>
      <c r="AT1478" s="35" t="s">
        <v>222</v>
      </c>
      <c r="AU1478" s="35"/>
    </row>
    <row r="1479" ht="15.75" customHeight="1">
      <c r="A1479" s="15" t="s">
        <v>7145</v>
      </c>
      <c r="B1479" s="15" t="s">
        <v>301</v>
      </c>
      <c r="C1479" s="15" t="s">
        <v>98</v>
      </c>
      <c r="D1479" s="15" t="s">
        <v>7146</v>
      </c>
      <c r="E1479" s="15" t="s">
        <v>7146</v>
      </c>
      <c r="F1479" s="58" t="s">
        <v>807</v>
      </c>
      <c r="G1479" s="66" t="s">
        <v>98</v>
      </c>
      <c r="H1479" s="18" t="s">
        <v>98</v>
      </c>
      <c r="I1479" s="18" t="s">
        <v>98</v>
      </c>
      <c r="J1479" s="18" t="s">
        <v>98</v>
      </c>
      <c r="K1479" s="18" t="s">
        <v>98</v>
      </c>
      <c r="L1479" s="18" t="s">
        <v>98</v>
      </c>
      <c r="M1479" s="18" t="s">
        <v>580</v>
      </c>
      <c r="N1479" s="18" t="s">
        <v>378</v>
      </c>
      <c r="O1479" s="18" t="s">
        <v>98</v>
      </c>
      <c r="P1479" s="15" t="str">
        <f t="shared" si="1"/>
        <v>VERIFY</v>
      </c>
      <c r="Q1479" s="15">
        <f t="shared" si="2"/>
        <v>4</v>
      </c>
      <c r="R1479" s="15">
        <f t="shared" si="3"/>
        <v>6</v>
      </c>
      <c r="S1479" s="15">
        <f t="shared" si="4"/>
        <v>1</v>
      </c>
      <c r="T1479" s="15" t="str">
        <f t="shared" si="5"/>
        <v>C-6</v>
      </c>
      <c r="U1479" s="15" t="str">
        <f t="shared" si="6"/>
        <v>T4-M6-H1-FC-6-VERIFY</v>
      </c>
      <c r="V1479" s="15">
        <f t="shared" si="7"/>
        <v>0</v>
      </c>
      <c r="W1479" s="31"/>
      <c r="X1479" s="15" t="str">
        <f t="shared" si="8"/>
        <v>cosenza-italy</v>
      </c>
      <c r="Y1479" s="32" t="str">
        <f t="shared" si="9"/>
        <v>https://steelmanufacturer.in/market-area/electropolished-pipes-manufacturer-in-cosenza-italy/</v>
      </c>
      <c r="Z1479" s="15" t="str">
        <f t="shared" si="10"/>
        <v>Electropolished Pipes Manufacturer in Cosenza</v>
      </c>
      <c r="AA1479" s="15" t="str">
        <f t="shared" si="11"/>
        <v>OK (45)</v>
      </c>
      <c r="AB1479" s="15" t="str">
        <f t="shared" si="12"/>
        <v>EP tube and pipe for VERIFY plants around VERIFY, Cosenza. Made at our Mumbai works to ASTM A270 and ASME BPE SF1-SF4, with 3.1 MTC.</v>
      </c>
      <c r="AC1479" s="15" t="str">
        <f t="shared" si="13"/>
        <v>PENDING RESEARCH</v>
      </c>
      <c r="AD1479" s="15" t="str">
        <f t="shared" si="14"/>
        <v>Electropolished Pipes Manufacturer in Cosenza</v>
      </c>
      <c r="AE1479" s="15" t="str">
        <f t="shared" si="15"/>
        <v>Electropolished Pipe &amp; Tube Manufacturing for Cosenza - Grades, Finishes &amp; Certification</v>
      </c>
      <c r="AF1479" s="15" t="str">
        <f t="shared" si="16"/>
        <v>Electropolished Pipes Supplier in Cosenza - Stock Sizes, Lead Time &amp; Delivery</v>
      </c>
      <c r="AG1479" s="15" t="str">
        <f t="shared" si="17"/>
        <v>Electropolished Pipes Wholesaler &amp; Stockist in Cosenza - Bulk &amp; Project Pricing</v>
      </c>
      <c r="AH1479" s="15" t="str">
        <f t="shared" si="18"/>
        <v>electropolished pipes manufacturer in Cosenza, electropolished pipes supplier in Cosenza, electropolished pipes wholesaler in Cosenza, electropolished tube manufacturer Cosenza, EP pipe supplier Cosenza, sanitary tube supplier Cosenza, ASME BPE tubing Cosenza, ASTM A270 tube Cosenza, SS 316L electropolished pipe Cosenza</v>
      </c>
      <c r="AI1479" s="15" t="str">
        <f t="shared" si="19"/>
        <v>Electropolished Pipes Manufacturer &amp; Supplier in Cosenza</v>
      </c>
      <c r="AJ1479" s="15" t="str">
        <f t="shared" si="20"/>
        <v>EP-finished SS 304/316L pipes and tubes for VERIFY plants in Cosenza. ASME BPE SF1-SF4, Ra from 0.25 um, EN 10204 3.1 certificate with every lot.</v>
      </c>
      <c r="AK1479" s="15" t="str">
        <f t="shared" si="21"/>
        <v>Electropolished stainless steel pipes supplied by Sakshi Forge to VERIFY plants at VERIFY, Cosenza</v>
      </c>
      <c r="AL1479" s="15" t="str">
        <f t="shared" si="22"/>
        <v>Electropolished SS 316L tube stock for Cosenza - Sakshi Forge</v>
      </c>
      <c r="AM1479" s="15" t="str">
        <f t="shared" si="23"/>
        <v>Home &gt; Market Area &gt; Italy &gt; VERIFY &gt; Cosenza</v>
      </c>
      <c r="AN1479" s="15">
        <f t="shared" si="24"/>
        <v>750</v>
      </c>
      <c r="AO1479" s="15">
        <f t="shared" si="25"/>
        <v>6</v>
      </c>
      <c r="AP1479" s="15">
        <f t="shared" si="26"/>
        <v>6</v>
      </c>
      <c r="AQ1479" s="15">
        <f t="shared" si="27"/>
        <v>25</v>
      </c>
      <c r="AR1479" s="31"/>
      <c r="AS1479" s="31"/>
      <c r="AT1479" s="35" t="s">
        <v>222</v>
      </c>
      <c r="AU1479" s="35"/>
    </row>
    <row r="1480" ht="15.75" customHeight="1">
      <c r="A1480" s="15" t="s">
        <v>7148</v>
      </c>
      <c r="B1480" s="15" t="s">
        <v>301</v>
      </c>
      <c r="C1480" s="15" t="s">
        <v>98</v>
      </c>
      <c r="D1480" s="15" t="s">
        <v>7151</v>
      </c>
      <c r="E1480" s="15" t="s">
        <v>7151</v>
      </c>
      <c r="F1480" s="58" t="s">
        <v>807</v>
      </c>
      <c r="G1480" s="66" t="s">
        <v>98</v>
      </c>
      <c r="H1480" s="18" t="s">
        <v>98</v>
      </c>
      <c r="I1480" s="18" t="s">
        <v>98</v>
      </c>
      <c r="J1480" s="18" t="s">
        <v>98</v>
      </c>
      <c r="K1480" s="18" t="s">
        <v>98</v>
      </c>
      <c r="L1480" s="18" t="s">
        <v>98</v>
      </c>
      <c r="M1480" s="18" t="s">
        <v>580</v>
      </c>
      <c r="N1480" s="18" t="s">
        <v>378</v>
      </c>
      <c r="O1480" s="18" t="s">
        <v>98</v>
      </c>
      <c r="P1480" s="15" t="str">
        <f t="shared" si="1"/>
        <v>VERIFY</v>
      </c>
      <c r="Q1480" s="15">
        <f t="shared" si="2"/>
        <v>5</v>
      </c>
      <c r="R1480" s="15">
        <f t="shared" si="3"/>
        <v>7</v>
      </c>
      <c r="S1480" s="15">
        <f t="shared" si="4"/>
        <v>2</v>
      </c>
      <c r="T1480" s="15" t="str">
        <f t="shared" si="5"/>
        <v>C-1</v>
      </c>
      <c r="U1480" s="15" t="str">
        <f t="shared" si="6"/>
        <v>T5-M7-H2-FC-1-VERIFY</v>
      </c>
      <c r="V1480" s="15">
        <f t="shared" si="7"/>
        <v>0</v>
      </c>
      <c r="W1480" s="31"/>
      <c r="X1480" s="15" t="str">
        <f t="shared" si="8"/>
        <v>cuneo-italy</v>
      </c>
      <c r="Y1480" s="32" t="str">
        <f t="shared" si="9"/>
        <v>https://steelmanufacturer.in/market-area/electropolished-pipes-manufacturer-in-cuneo-italy/</v>
      </c>
      <c r="Z1480" s="15" t="str">
        <f t="shared" si="10"/>
        <v>Electropolished Pipes Manufacturer in Cuneo</v>
      </c>
      <c r="AA1480" s="15" t="str">
        <f t="shared" si="11"/>
        <v>OK (43)</v>
      </c>
      <c r="AB1480" s="15" t="str">
        <f t="shared" si="12"/>
        <v>Electropolished pipes in Cuneo: 304, 304L, 316 and 316L in SF1-SF4. 18-24 days sea from Nhava Sheva to Genoa. Mill certified.</v>
      </c>
      <c r="AC1480" s="15" t="str">
        <f t="shared" si="13"/>
        <v>PENDING RESEARCH</v>
      </c>
      <c r="AD1480" s="15" t="str">
        <f t="shared" si="14"/>
        <v>Electropolished Pipes Manufacturer in Cuneo</v>
      </c>
      <c r="AE1480" s="15" t="str">
        <f t="shared" si="15"/>
        <v>How We Manufacture Electropolished Tube for Cuneo Plants</v>
      </c>
      <c r="AF1480" s="15" t="str">
        <f t="shared" si="16"/>
        <v>Supplying Electropolished Pipes in Cuneo: Availability, Sizes &amp; Dispatch</v>
      </c>
      <c r="AG1480" s="15" t="str">
        <f t="shared" si="17"/>
        <v>Wholesale Electropolished Pipe Supply for Cuneo Projects</v>
      </c>
      <c r="AH1480" s="15" t="str">
        <f t="shared" si="18"/>
        <v>electropolished pipes manufacturer in Cuneo, electropolished pipes supplier in Cuneo, electropolished pipes wholesaler in Cuneo, electropolished tube manufacturer Cuneo, EP pipe supplier Cuneo, sanitary tube supplier Cuneo, ASME BPE tubing Cuneo, ASTM A270 tube Cuneo, SS 316L electropolished pipe Cuneo</v>
      </c>
      <c r="AI1480" s="15" t="str">
        <f t="shared" si="19"/>
        <v>Electropolished Pipes Manufacturer &amp; Supplier in Cuneo</v>
      </c>
      <c r="AJ1480" s="15" t="str">
        <f t="shared" si="20"/>
        <v>EP-finished SS 304/316L pipes and tubes for VERIFY plants in Cuneo. ASME BPE SF1-SF4, Ra from 0.25 um, EN 10204 3.1 certificate with every lot.</v>
      </c>
      <c r="AK1480" s="15" t="str">
        <f t="shared" si="21"/>
        <v>Electropolished stainless steel pipes supplied by Sakshi Forge to VERIFY plants at VERIFY, Cuneo</v>
      </c>
      <c r="AL1480" s="15" t="str">
        <f t="shared" si="22"/>
        <v>Electropolished SS 316L tube stock for Cuneo - Sakshi Forge</v>
      </c>
      <c r="AM1480" s="15" t="str">
        <f t="shared" si="23"/>
        <v>Home &gt; Market Area &gt; Italy &gt; VERIFY &gt; Cuneo</v>
      </c>
      <c r="AN1480" s="15">
        <f t="shared" si="24"/>
        <v>750</v>
      </c>
      <c r="AO1480" s="15">
        <f t="shared" si="25"/>
        <v>6</v>
      </c>
      <c r="AP1480" s="15">
        <f t="shared" si="26"/>
        <v>6</v>
      </c>
      <c r="AQ1480" s="15">
        <f t="shared" si="27"/>
        <v>25</v>
      </c>
      <c r="AR1480" s="31"/>
      <c r="AS1480" s="31"/>
      <c r="AT1480" s="35" t="s">
        <v>222</v>
      </c>
      <c r="AU1480" s="35"/>
    </row>
    <row r="1481" ht="15.75" customHeight="1">
      <c r="A1481" s="15" t="s">
        <v>7154</v>
      </c>
      <c r="B1481" s="15" t="s">
        <v>301</v>
      </c>
      <c r="C1481" s="15" t="s">
        <v>98</v>
      </c>
      <c r="D1481" s="15" t="s">
        <v>7155</v>
      </c>
      <c r="E1481" s="15" t="s">
        <v>7155</v>
      </c>
      <c r="F1481" s="58" t="s">
        <v>807</v>
      </c>
      <c r="G1481" s="66" t="s">
        <v>98</v>
      </c>
      <c r="H1481" s="18" t="s">
        <v>98</v>
      </c>
      <c r="I1481" s="18" t="s">
        <v>98</v>
      </c>
      <c r="J1481" s="18" t="s">
        <v>98</v>
      </c>
      <c r="K1481" s="18" t="s">
        <v>98</v>
      </c>
      <c r="L1481" s="18" t="s">
        <v>98</v>
      </c>
      <c r="M1481" s="18" t="s">
        <v>580</v>
      </c>
      <c r="N1481" s="18" t="s">
        <v>378</v>
      </c>
      <c r="O1481" s="18" t="s">
        <v>98</v>
      </c>
      <c r="P1481" s="15" t="str">
        <f t="shared" si="1"/>
        <v>VERIFY</v>
      </c>
      <c r="Q1481" s="15">
        <f t="shared" si="2"/>
        <v>6</v>
      </c>
      <c r="R1481" s="15">
        <f t="shared" si="3"/>
        <v>1</v>
      </c>
      <c r="S1481" s="15">
        <f t="shared" si="4"/>
        <v>3</v>
      </c>
      <c r="T1481" s="15" t="str">
        <f t="shared" si="5"/>
        <v>C-2</v>
      </c>
      <c r="U1481" s="15" t="str">
        <f t="shared" si="6"/>
        <v>T6-M1-H3-FC-2-VERIFY</v>
      </c>
      <c r="V1481" s="15">
        <f t="shared" si="7"/>
        <v>0</v>
      </c>
      <c r="W1481" s="31"/>
      <c r="X1481" s="15" t="str">
        <f t="shared" si="8"/>
        <v>faenza-italy</v>
      </c>
      <c r="Y1481" s="32" t="str">
        <f t="shared" si="9"/>
        <v>https://steelmanufacturer.in/market-area/electropolished-pipes-manufacturer-in-faenza-italy/</v>
      </c>
      <c r="Z1481" s="15" t="str">
        <f t="shared" si="10"/>
        <v>Electropolished Pipes Manufacturer in Faenza</v>
      </c>
      <c r="AA1481" s="15" t="str">
        <f t="shared" si="11"/>
        <v>OK (44)</v>
      </c>
      <c r="AB1481" s="15" t="str">
        <f t="shared" si="12"/>
        <v>EP-finished SS 304/316L pipes &amp; tubes for VERIFY plants in Faenza. ASTM A270, ASME BPE SF1-SF4, EN 10204 3.1 MTC. PMI tested.</v>
      </c>
      <c r="AC1481" s="15" t="str">
        <f t="shared" si="13"/>
        <v>PENDING RESEARCH</v>
      </c>
      <c r="AD1481" s="15" t="str">
        <f t="shared" si="14"/>
        <v>Electropolished Pipes Manufacturer in Faenza</v>
      </c>
      <c r="AE1481" s="15" t="str">
        <f t="shared" si="15"/>
        <v>Electropolished Pipes Manufacturer in Faenza - Our Process &amp; Capability</v>
      </c>
      <c r="AF1481" s="15" t="str">
        <f t="shared" si="16"/>
        <v>Electropolished Pipes Supplier in Faenza - What We Hold in Stock</v>
      </c>
      <c r="AG1481" s="15" t="str">
        <f t="shared" si="17"/>
        <v>Bulk &amp; Wholesale Electropolished Pipe Rates for Faenza Buyers</v>
      </c>
      <c r="AH1481" s="15" t="str">
        <f t="shared" si="18"/>
        <v>electropolished pipes manufacturer in Faenza, electropolished pipes supplier in Faenza, electropolished pipes wholesaler in Faenza, electropolished tube manufacturer Faenza, EP pipe supplier Faenza, sanitary tube supplier Faenza, ASME BPE tubing Faenza, ASTM A270 tube Faenza, SS 316L electropolished pipe Faenza</v>
      </c>
      <c r="AI1481" s="15" t="str">
        <f t="shared" si="19"/>
        <v>Electropolished Pipes Manufacturer &amp; Supplier in Faenza</v>
      </c>
      <c r="AJ1481" s="15" t="str">
        <f t="shared" si="20"/>
        <v>EP-finished SS 304/316L pipes and tubes for VERIFY plants in Faenza. ASME BPE SF1-SF4, Ra from 0.25 um, EN 10204 3.1 certificate with every lot.</v>
      </c>
      <c r="AK1481" s="15" t="str">
        <f t="shared" si="21"/>
        <v>Electropolished stainless steel pipes supplied by Sakshi Forge to VERIFY plants at VERIFY, Faenza</v>
      </c>
      <c r="AL1481" s="15" t="str">
        <f t="shared" si="22"/>
        <v>Electropolished SS 316L tube stock for Faenza - Sakshi Forge</v>
      </c>
      <c r="AM1481" s="15" t="str">
        <f t="shared" si="23"/>
        <v>Home &gt; Market Area &gt; Italy &gt; VERIFY &gt; Faenza</v>
      </c>
      <c r="AN1481" s="15">
        <f t="shared" si="24"/>
        <v>750</v>
      </c>
      <c r="AO1481" s="15">
        <f t="shared" si="25"/>
        <v>6</v>
      </c>
      <c r="AP1481" s="15">
        <f t="shared" si="26"/>
        <v>6</v>
      </c>
      <c r="AQ1481" s="15">
        <f t="shared" si="27"/>
        <v>25</v>
      </c>
      <c r="AR1481" s="31"/>
      <c r="AS1481" s="31"/>
      <c r="AT1481" s="35" t="s">
        <v>222</v>
      </c>
      <c r="AU1481" s="35"/>
    </row>
    <row r="1482" ht="15.75" customHeight="1">
      <c r="A1482" s="15" t="s">
        <v>7156</v>
      </c>
      <c r="B1482" s="15" t="s">
        <v>301</v>
      </c>
      <c r="C1482" s="15" t="s">
        <v>98</v>
      </c>
      <c r="D1482" s="15" t="s">
        <v>7157</v>
      </c>
      <c r="E1482" s="15" t="s">
        <v>7157</v>
      </c>
      <c r="F1482" s="58" t="s">
        <v>807</v>
      </c>
      <c r="G1482" s="66" t="s">
        <v>98</v>
      </c>
      <c r="H1482" s="18" t="s">
        <v>98</v>
      </c>
      <c r="I1482" s="18" t="s">
        <v>98</v>
      </c>
      <c r="J1482" s="18" t="s">
        <v>98</v>
      </c>
      <c r="K1482" s="18" t="s">
        <v>98</v>
      </c>
      <c r="L1482" s="18" t="s">
        <v>98</v>
      </c>
      <c r="M1482" s="18" t="s">
        <v>580</v>
      </c>
      <c r="N1482" s="18" t="s">
        <v>378</v>
      </c>
      <c r="O1482" s="18" t="s">
        <v>98</v>
      </c>
      <c r="P1482" s="15" t="str">
        <f t="shared" si="1"/>
        <v>VERIFY</v>
      </c>
      <c r="Q1482" s="15">
        <f t="shared" si="2"/>
        <v>7</v>
      </c>
      <c r="R1482" s="15">
        <f t="shared" si="3"/>
        <v>2</v>
      </c>
      <c r="S1482" s="15">
        <f t="shared" si="4"/>
        <v>4</v>
      </c>
      <c r="T1482" s="15" t="str">
        <f t="shared" si="5"/>
        <v>C-3</v>
      </c>
      <c r="U1482" s="15" t="str">
        <f t="shared" si="6"/>
        <v>T7-M2-H4-FC-3-VERIFY</v>
      </c>
      <c r="V1482" s="15">
        <f t="shared" si="7"/>
        <v>0</v>
      </c>
      <c r="W1482" s="31"/>
      <c r="X1482" s="15" t="str">
        <f t="shared" si="8"/>
        <v>foggia-italy</v>
      </c>
      <c r="Y1482" s="32" t="str">
        <f t="shared" si="9"/>
        <v>https://steelmanufacturer.in/market-area/electropolished-pipes-manufacturer-in-foggia-italy/</v>
      </c>
      <c r="Z1482" s="15" t="str">
        <f t="shared" si="10"/>
        <v>Electropolished Pipes Manufacturer in Foggia | ASME BPE SF1-SF4</v>
      </c>
      <c r="AA1482" s="15" t="str">
        <f t="shared" si="11"/>
        <v>OK (63)</v>
      </c>
      <c r="AB1482" s="15" t="str">
        <f t="shared" si="12"/>
        <v>Electropolished tube supply to VERIFY, Foggia. Ra from 0.25 um, SF4 finish, mill test certificate with every lot.</v>
      </c>
      <c r="AC1482" s="15" t="str">
        <f t="shared" si="13"/>
        <v>PENDING RESEARCH</v>
      </c>
      <c r="AD1482" s="15" t="str">
        <f t="shared" si="14"/>
        <v>Electropolished Pipes Manufacturer in Foggia</v>
      </c>
      <c r="AE1482" s="15" t="str">
        <f t="shared" si="15"/>
        <v>Manufacturing Electropolished SS Tube for Foggia: The Standards We Build To</v>
      </c>
      <c r="AF1482" s="15" t="str">
        <f t="shared" si="16"/>
        <v>Electropolished Pipe Supply Into Foggia - Certification &amp; Transit</v>
      </c>
      <c r="AG1482" s="15" t="str">
        <f t="shared" si="17"/>
        <v>Electropolished Pipes Wholesaler in Foggia - Project Quantities &amp; Terms</v>
      </c>
      <c r="AH1482" s="15" t="str">
        <f t="shared" si="18"/>
        <v>electropolished pipes manufacturer in Foggia, electropolished pipes supplier in Foggia, electropolished pipes wholesaler in Foggia, electropolished tube manufacturer Foggia, EP pipe supplier Foggia, sanitary tube supplier Foggia, ASME BPE tubing Foggia, ASTM A270 tube Foggia, SS 316L electropolished pipe Foggia</v>
      </c>
      <c r="AI1482" s="15" t="str">
        <f t="shared" si="19"/>
        <v>Electropolished Pipes Manufacturer &amp; Supplier in Foggia</v>
      </c>
      <c r="AJ1482" s="15" t="str">
        <f t="shared" si="20"/>
        <v>EP-finished SS 304/316L pipes and tubes for VERIFY plants in Foggia. ASME BPE SF1-SF4, Ra from 0.25 um, EN 10204 3.1 certificate with every lot.</v>
      </c>
      <c r="AK1482" s="15" t="str">
        <f t="shared" si="21"/>
        <v>Electropolished stainless steel pipes supplied by Sakshi Forge to VERIFY plants at VERIFY, Foggia</v>
      </c>
      <c r="AL1482" s="15" t="str">
        <f t="shared" si="22"/>
        <v>Electropolished SS 316L tube stock for Foggia - Sakshi Forge</v>
      </c>
      <c r="AM1482" s="15" t="str">
        <f t="shared" si="23"/>
        <v>Home &gt; Market Area &gt; Italy &gt; VERIFY &gt; Foggia</v>
      </c>
      <c r="AN1482" s="15">
        <f t="shared" si="24"/>
        <v>750</v>
      </c>
      <c r="AO1482" s="15">
        <f t="shared" si="25"/>
        <v>6</v>
      </c>
      <c r="AP1482" s="15">
        <f t="shared" si="26"/>
        <v>6</v>
      </c>
      <c r="AQ1482" s="15">
        <f t="shared" si="27"/>
        <v>25</v>
      </c>
      <c r="AR1482" s="31"/>
      <c r="AS1482" s="31"/>
      <c r="AT1482" s="35" t="s">
        <v>222</v>
      </c>
      <c r="AU1482" s="35"/>
    </row>
    <row r="1483" ht="15.75" customHeight="1">
      <c r="A1483" s="15" t="s">
        <v>7158</v>
      </c>
      <c r="B1483" s="15" t="s">
        <v>301</v>
      </c>
      <c r="C1483" s="15" t="s">
        <v>98</v>
      </c>
      <c r="D1483" s="15" t="s">
        <v>7159</v>
      </c>
      <c r="E1483" s="15" t="s">
        <v>7159</v>
      </c>
      <c r="F1483" s="58" t="s">
        <v>807</v>
      </c>
      <c r="G1483" s="66" t="s">
        <v>98</v>
      </c>
      <c r="H1483" s="18" t="s">
        <v>98</v>
      </c>
      <c r="I1483" s="18" t="s">
        <v>98</v>
      </c>
      <c r="J1483" s="18" t="s">
        <v>98</v>
      </c>
      <c r="K1483" s="18" t="s">
        <v>98</v>
      </c>
      <c r="L1483" s="18" t="s">
        <v>98</v>
      </c>
      <c r="M1483" s="18" t="s">
        <v>580</v>
      </c>
      <c r="N1483" s="18" t="s">
        <v>378</v>
      </c>
      <c r="O1483" s="18" t="s">
        <v>98</v>
      </c>
      <c r="P1483" s="15" t="str">
        <f t="shared" si="1"/>
        <v>VERIFY</v>
      </c>
      <c r="Q1483" s="15">
        <f t="shared" si="2"/>
        <v>8</v>
      </c>
      <c r="R1483" s="15">
        <f t="shared" si="3"/>
        <v>3</v>
      </c>
      <c r="S1483" s="15">
        <f t="shared" si="4"/>
        <v>5</v>
      </c>
      <c r="T1483" s="15" t="str">
        <f t="shared" si="5"/>
        <v>C-4</v>
      </c>
      <c r="U1483" s="15" t="str">
        <f t="shared" si="6"/>
        <v>T8-M3-H5-FC-4-VERIFY</v>
      </c>
      <c r="V1483" s="15">
        <f t="shared" si="7"/>
        <v>0</v>
      </c>
      <c r="W1483" s="31"/>
      <c r="X1483" s="15" t="str">
        <f t="shared" si="8"/>
        <v>forli-italy</v>
      </c>
      <c r="Y1483" s="32" t="str">
        <f t="shared" si="9"/>
        <v>https://steelmanufacturer.in/market-area/electropolished-pipes-manufacturer-in-forli-italy/</v>
      </c>
      <c r="Z1483" s="15" t="str">
        <f t="shared" si="10"/>
        <v>Electropolished Pipes Manufacturer in Forli - EP Tube Stockist</v>
      </c>
      <c r="AA1483" s="15" t="str">
        <f t="shared" si="11"/>
        <v>OK (62)</v>
      </c>
      <c r="AB1483" s="15" t="str">
        <f t="shared" si="12"/>
        <v>EP stainless tube for VERIFY lines in Forli. 18-24 days sea from Nhava Sheva to Genoa. ASTM A270 S2, PMI tested, EN 10204 3.1.</v>
      </c>
      <c r="AC1483" s="15" t="str">
        <f t="shared" si="13"/>
        <v>PENDING RESEARCH</v>
      </c>
      <c r="AD1483" s="15" t="str">
        <f t="shared" si="14"/>
        <v>Electropolished Pipes Manufacturer in Forli</v>
      </c>
      <c r="AE1483" s="15" t="str">
        <f t="shared" si="15"/>
        <v>Electropolished Tube Manufacturing Capability Serving Forli</v>
      </c>
      <c r="AF1483" s="15" t="str">
        <f t="shared" si="16"/>
        <v>Electropolished Pipes Supplier in Forli - From Order to Delivery</v>
      </c>
      <c r="AG1483" s="15" t="str">
        <f t="shared" si="17"/>
        <v>Stockist &amp; Wholesale Supply of Electropolished Pipes in Forli</v>
      </c>
      <c r="AH1483" s="15" t="str">
        <f t="shared" si="18"/>
        <v>electropolished pipes manufacturer in Forli, electropolished pipes supplier in Forli, electropolished pipes wholesaler in Forli, electropolished tube manufacturer Forli, EP pipe supplier Forli, sanitary tube supplier Forli, ASME BPE tubing Forli, ASTM A270 tube Forli, SS 316L electropolished pipe Forli</v>
      </c>
      <c r="AI1483" s="15" t="str">
        <f t="shared" si="19"/>
        <v>Electropolished Pipes Manufacturer &amp; Supplier in Forli</v>
      </c>
      <c r="AJ1483" s="15" t="str">
        <f t="shared" si="20"/>
        <v>EP-finished SS 304/316L pipes and tubes for VERIFY plants in Forli. ASME BPE SF1-SF4, Ra from 0.25 um, EN 10204 3.1 certificate with every lot.</v>
      </c>
      <c r="AK1483" s="15" t="str">
        <f t="shared" si="21"/>
        <v>Electropolished stainless steel pipes supplied by Sakshi Forge to VERIFY plants at VERIFY, Forli</v>
      </c>
      <c r="AL1483" s="15" t="str">
        <f t="shared" si="22"/>
        <v>Electropolished SS 316L tube stock for Forli - Sakshi Forge</v>
      </c>
      <c r="AM1483" s="15" t="str">
        <f t="shared" si="23"/>
        <v>Home &gt; Market Area &gt; Italy &gt; VERIFY &gt; Forli</v>
      </c>
      <c r="AN1483" s="15">
        <f t="shared" si="24"/>
        <v>750</v>
      </c>
      <c r="AO1483" s="15">
        <f t="shared" si="25"/>
        <v>6</v>
      </c>
      <c r="AP1483" s="15">
        <f t="shared" si="26"/>
        <v>6</v>
      </c>
      <c r="AQ1483" s="15">
        <f t="shared" si="27"/>
        <v>25</v>
      </c>
      <c r="AR1483" s="31"/>
      <c r="AS1483" s="31"/>
      <c r="AT1483" s="35" t="s">
        <v>222</v>
      </c>
      <c r="AU1483" s="35"/>
    </row>
    <row r="1484" ht="15.75" customHeight="1">
      <c r="A1484" s="15" t="s">
        <v>7160</v>
      </c>
      <c r="B1484" s="15" t="s">
        <v>301</v>
      </c>
      <c r="C1484" s="15" t="s">
        <v>98</v>
      </c>
      <c r="D1484" s="15" t="s">
        <v>7161</v>
      </c>
      <c r="E1484" s="15" t="s">
        <v>7161</v>
      </c>
      <c r="F1484" s="58" t="s">
        <v>807</v>
      </c>
      <c r="G1484" s="66" t="s">
        <v>98</v>
      </c>
      <c r="H1484" s="18" t="s">
        <v>98</v>
      </c>
      <c r="I1484" s="18" t="s">
        <v>98</v>
      </c>
      <c r="J1484" s="18" t="s">
        <v>98</v>
      </c>
      <c r="K1484" s="18" t="s">
        <v>98</v>
      </c>
      <c r="L1484" s="18" t="s">
        <v>98</v>
      </c>
      <c r="M1484" s="18" t="s">
        <v>580</v>
      </c>
      <c r="N1484" s="18" t="s">
        <v>378</v>
      </c>
      <c r="O1484" s="18" t="s">
        <v>98</v>
      </c>
      <c r="P1484" s="15" t="str">
        <f t="shared" si="1"/>
        <v>VERIFY</v>
      </c>
      <c r="Q1484" s="15">
        <f t="shared" si="2"/>
        <v>1</v>
      </c>
      <c r="R1484" s="15">
        <f t="shared" si="3"/>
        <v>4</v>
      </c>
      <c r="S1484" s="15">
        <f t="shared" si="4"/>
        <v>1</v>
      </c>
      <c r="T1484" s="15" t="str">
        <f t="shared" si="5"/>
        <v>C-5</v>
      </c>
      <c r="U1484" s="15" t="str">
        <f t="shared" si="6"/>
        <v>T1-M4-H1-FC-5-VERIFY</v>
      </c>
      <c r="V1484" s="15">
        <f t="shared" si="7"/>
        <v>0</v>
      </c>
      <c r="W1484" s="31"/>
      <c r="X1484" s="15" t="str">
        <f t="shared" si="8"/>
        <v>grosseto-italy</v>
      </c>
      <c r="Y1484" s="32" t="str">
        <f t="shared" si="9"/>
        <v>https://steelmanufacturer.in/market-area/electropolished-pipes-manufacturer-in-grosseto-italy/</v>
      </c>
      <c r="Z1484" s="15" t="str">
        <f t="shared" si="10"/>
        <v>Electropolished Pipes Manufacturer in Grosseto | Sakshi Forge</v>
      </c>
      <c r="AA1484" s="15" t="str">
        <f t="shared" si="11"/>
        <v>OK (61)</v>
      </c>
      <c r="AB1484" s="15" t="str">
        <f t="shared" si="12"/>
        <v>Sanitary electropolished pipes in Grosseto for VERIFY plants. ASME BPE SF1-SF4, orbital-weld ready, 3.1 MTC. Mumbai-made.</v>
      </c>
      <c r="AC1484" s="15" t="str">
        <f t="shared" si="13"/>
        <v>PENDING RESEARCH</v>
      </c>
      <c r="AD1484" s="15" t="str">
        <f t="shared" si="14"/>
        <v>Electropolished Pipes Manufacturer in Grosseto</v>
      </c>
      <c r="AE1484" s="15" t="str">
        <f t="shared" si="15"/>
        <v>Electropolished Pipe &amp; Tube Manufacturing for Grosseto - Grades, Finishes &amp; Certification</v>
      </c>
      <c r="AF1484" s="15" t="str">
        <f t="shared" si="16"/>
        <v>Electropolished Pipes Supplier in Grosseto - Stock Sizes, Lead Time &amp; Delivery</v>
      </c>
      <c r="AG1484" s="15" t="str">
        <f t="shared" si="17"/>
        <v>Electropolished Pipes Wholesaler &amp; Stockist in Grosseto - Bulk &amp; Project Pricing</v>
      </c>
      <c r="AH1484" s="15" t="str">
        <f t="shared" si="18"/>
        <v>electropolished pipes manufacturer in Grosseto, electropolished pipes supplier in Grosseto, electropolished pipes wholesaler in Grosseto, electropolished tube manufacturer Grosseto, EP pipe supplier Grosseto, sanitary tube supplier Grosseto, ASME BPE tubing Grosseto, ASTM A270 tube Grosseto, SS 316L electropolished pipe Grosseto</v>
      </c>
      <c r="AI1484" s="15" t="str">
        <f t="shared" si="19"/>
        <v>Electropolished Pipes Manufacturer &amp; Supplier in Grosseto</v>
      </c>
      <c r="AJ1484" s="15" t="str">
        <f t="shared" si="20"/>
        <v>EP-finished SS 304/316L pipes and tubes for VERIFY plants in Grosseto. ASME BPE SF1-SF4, Ra from 0.25 um, EN 10204 3.1 certificate with every lot.</v>
      </c>
      <c r="AK1484" s="15" t="str">
        <f t="shared" si="21"/>
        <v>Electropolished stainless steel pipes supplied by Sakshi Forge to VERIFY plants at VERIFY, Grosseto</v>
      </c>
      <c r="AL1484" s="15" t="str">
        <f t="shared" si="22"/>
        <v>Electropolished SS 316L tube stock for Grosseto - Sakshi Forge</v>
      </c>
      <c r="AM1484" s="15" t="str">
        <f t="shared" si="23"/>
        <v>Home &gt; Market Area &gt; Italy &gt; VERIFY &gt; Grosseto</v>
      </c>
      <c r="AN1484" s="15">
        <f t="shared" si="24"/>
        <v>750</v>
      </c>
      <c r="AO1484" s="15">
        <f t="shared" si="25"/>
        <v>6</v>
      </c>
      <c r="AP1484" s="15">
        <f t="shared" si="26"/>
        <v>6</v>
      </c>
      <c r="AQ1484" s="15">
        <f t="shared" si="27"/>
        <v>25</v>
      </c>
      <c r="AR1484" s="31"/>
      <c r="AS1484" s="31"/>
      <c r="AT1484" s="35" t="s">
        <v>222</v>
      </c>
      <c r="AU1484" s="35"/>
    </row>
    <row r="1485" ht="15.75" customHeight="1">
      <c r="A1485" s="15" t="s">
        <v>7162</v>
      </c>
      <c r="B1485" s="15" t="s">
        <v>301</v>
      </c>
      <c r="C1485" s="15" t="s">
        <v>98</v>
      </c>
      <c r="D1485" s="15" t="s">
        <v>7163</v>
      </c>
      <c r="E1485" s="15" t="s">
        <v>7163</v>
      </c>
      <c r="F1485" s="58" t="s">
        <v>807</v>
      </c>
      <c r="G1485" s="66" t="s">
        <v>98</v>
      </c>
      <c r="H1485" s="18" t="s">
        <v>98</v>
      </c>
      <c r="I1485" s="18" t="s">
        <v>98</v>
      </c>
      <c r="J1485" s="18" t="s">
        <v>98</v>
      </c>
      <c r="K1485" s="18" t="s">
        <v>98</v>
      </c>
      <c r="L1485" s="18" t="s">
        <v>98</v>
      </c>
      <c r="M1485" s="18" t="s">
        <v>580</v>
      </c>
      <c r="N1485" s="18" t="s">
        <v>378</v>
      </c>
      <c r="O1485" s="18" t="s">
        <v>98</v>
      </c>
      <c r="P1485" s="15" t="str">
        <f t="shared" si="1"/>
        <v>VERIFY</v>
      </c>
      <c r="Q1485" s="15">
        <f t="shared" si="2"/>
        <v>2</v>
      </c>
      <c r="R1485" s="15">
        <f t="shared" si="3"/>
        <v>5</v>
      </c>
      <c r="S1485" s="15">
        <f t="shared" si="4"/>
        <v>2</v>
      </c>
      <c r="T1485" s="15" t="str">
        <f t="shared" si="5"/>
        <v>C-6</v>
      </c>
      <c r="U1485" s="15" t="str">
        <f t="shared" si="6"/>
        <v>T2-M5-H2-FC-6-VERIFY</v>
      </c>
      <c r="V1485" s="15">
        <f t="shared" si="7"/>
        <v>0</v>
      </c>
      <c r="W1485" s="31"/>
      <c r="X1485" s="15" t="str">
        <f t="shared" si="8"/>
        <v>imola-italy</v>
      </c>
      <c r="Y1485" s="32" t="str">
        <f t="shared" si="9"/>
        <v>https://steelmanufacturer.in/market-area/electropolished-pipes-manufacturer-in-imola-italy/</v>
      </c>
      <c r="Z1485" s="15" t="str">
        <f t="shared" si="10"/>
        <v>Electropolished Pipes Manufacturer in Imola</v>
      </c>
      <c r="AA1485" s="15" t="str">
        <f t="shared" si="11"/>
        <v>OK (43)</v>
      </c>
      <c r="AB1485" s="15" t="str">
        <f t="shared" si="12"/>
        <v>Manufacturer of electropolished SS 316L tube serving Imola. 18-24 days sea from Nhava Sheva to Genoa. Ra 0.25-0.5 um, EN 10204 3.1 MTC.</v>
      </c>
      <c r="AC1485" s="15" t="str">
        <f t="shared" si="13"/>
        <v>PENDING RESEARCH</v>
      </c>
      <c r="AD1485" s="15" t="str">
        <f t="shared" si="14"/>
        <v>Electropolished Pipes Manufacturer in Imola</v>
      </c>
      <c r="AE1485" s="15" t="str">
        <f t="shared" si="15"/>
        <v>How We Manufacture Electropolished Tube for Imola Plants</v>
      </c>
      <c r="AF1485" s="15" t="str">
        <f t="shared" si="16"/>
        <v>Supplying Electropolished Pipes in Imola: Availability, Sizes &amp; Dispatch</v>
      </c>
      <c r="AG1485" s="15" t="str">
        <f t="shared" si="17"/>
        <v>Wholesale Electropolished Pipe Supply for Imola Projects</v>
      </c>
      <c r="AH1485" s="15" t="str">
        <f t="shared" si="18"/>
        <v>electropolished pipes manufacturer in Imola, electropolished pipes supplier in Imola, electropolished pipes wholesaler in Imola, electropolished tube manufacturer Imola, EP pipe supplier Imola, sanitary tube supplier Imola, ASME BPE tubing Imola, ASTM A270 tube Imola, SS 316L electropolished pipe Imola</v>
      </c>
      <c r="AI1485" s="15" t="str">
        <f t="shared" si="19"/>
        <v>Electropolished Pipes Manufacturer &amp; Supplier in Imola</v>
      </c>
      <c r="AJ1485" s="15" t="str">
        <f t="shared" si="20"/>
        <v>EP-finished SS 304/316L pipes and tubes for VERIFY plants in Imola. ASME BPE SF1-SF4, Ra from 0.25 um, EN 10204 3.1 certificate with every lot.</v>
      </c>
      <c r="AK1485" s="15" t="str">
        <f t="shared" si="21"/>
        <v>Electropolished stainless steel pipes supplied by Sakshi Forge to VERIFY plants at VERIFY, Imola</v>
      </c>
      <c r="AL1485" s="15" t="str">
        <f t="shared" si="22"/>
        <v>Electropolished SS 316L tube stock for Imola - Sakshi Forge</v>
      </c>
      <c r="AM1485" s="15" t="str">
        <f t="shared" si="23"/>
        <v>Home &gt; Market Area &gt; Italy &gt; VERIFY &gt; Imola</v>
      </c>
      <c r="AN1485" s="15">
        <f t="shared" si="24"/>
        <v>750</v>
      </c>
      <c r="AO1485" s="15">
        <f t="shared" si="25"/>
        <v>6</v>
      </c>
      <c r="AP1485" s="15">
        <f t="shared" si="26"/>
        <v>6</v>
      </c>
      <c r="AQ1485" s="15">
        <f t="shared" si="27"/>
        <v>25</v>
      </c>
      <c r="AR1485" s="31"/>
      <c r="AS1485" s="31"/>
      <c r="AT1485" s="35" t="s">
        <v>222</v>
      </c>
      <c r="AU1485" s="35"/>
    </row>
    <row r="1486" ht="15.75" customHeight="1">
      <c r="A1486" s="15" t="s">
        <v>7164</v>
      </c>
      <c r="B1486" s="15" t="s">
        <v>301</v>
      </c>
      <c r="C1486" s="15" t="s">
        <v>98</v>
      </c>
      <c r="D1486" s="15" t="s">
        <v>7165</v>
      </c>
      <c r="E1486" s="15" t="s">
        <v>7165</v>
      </c>
      <c r="F1486" s="58" t="s">
        <v>807</v>
      </c>
      <c r="G1486" s="66" t="s">
        <v>98</v>
      </c>
      <c r="H1486" s="18" t="s">
        <v>98</v>
      </c>
      <c r="I1486" s="18" t="s">
        <v>98</v>
      </c>
      <c r="J1486" s="18" t="s">
        <v>98</v>
      </c>
      <c r="K1486" s="18" t="s">
        <v>98</v>
      </c>
      <c r="L1486" s="18" t="s">
        <v>98</v>
      </c>
      <c r="M1486" s="18" t="s">
        <v>580</v>
      </c>
      <c r="N1486" s="18" t="s">
        <v>378</v>
      </c>
      <c r="O1486" s="18" t="s">
        <v>98</v>
      </c>
      <c r="P1486" s="15" t="str">
        <f t="shared" si="1"/>
        <v>VERIFY</v>
      </c>
      <c r="Q1486" s="15">
        <f t="shared" si="2"/>
        <v>3</v>
      </c>
      <c r="R1486" s="15">
        <f t="shared" si="3"/>
        <v>6</v>
      </c>
      <c r="S1486" s="15">
        <f t="shared" si="4"/>
        <v>3</v>
      </c>
      <c r="T1486" s="15" t="str">
        <f t="shared" si="5"/>
        <v>C-1</v>
      </c>
      <c r="U1486" s="15" t="str">
        <f t="shared" si="6"/>
        <v>T3-M6-H3-FC-1-VERIFY</v>
      </c>
      <c r="V1486" s="15">
        <f t="shared" si="7"/>
        <v>0</v>
      </c>
      <c r="W1486" s="31"/>
      <c r="X1486" s="15" t="str">
        <f t="shared" si="8"/>
        <v>laquila-italy</v>
      </c>
      <c r="Y1486" s="32" t="str">
        <f t="shared" si="9"/>
        <v>https://steelmanufacturer.in/market-area/electropolished-pipes-manufacturer-in-laquila-italy/</v>
      </c>
      <c r="Z1486" s="15" t="str">
        <f t="shared" si="10"/>
        <v>Electropolished Pipes Manufacturer in LAquila | EP Tube Supplier</v>
      </c>
      <c r="AA1486" s="15" t="str">
        <f t="shared" si="11"/>
        <v>OK (64)</v>
      </c>
      <c r="AB1486" s="15" t="str">
        <f t="shared" si="12"/>
        <v>EP tube and pipe for VERIFY plants around VERIFY, LAquila. Made at our Mumbai works to ASTM A270 and ASME BPE SF1-SF4, with 3.1 MTC.</v>
      </c>
      <c r="AC1486" s="15" t="str">
        <f t="shared" si="13"/>
        <v>PENDING RESEARCH</v>
      </c>
      <c r="AD1486" s="15" t="str">
        <f t="shared" si="14"/>
        <v>Electropolished Pipes Manufacturer in LAquila</v>
      </c>
      <c r="AE1486" s="15" t="str">
        <f t="shared" si="15"/>
        <v>Electropolished Pipes Manufacturer in LAquila - Our Process &amp; Capability</v>
      </c>
      <c r="AF1486" s="15" t="str">
        <f t="shared" si="16"/>
        <v>Electropolished Pipes Supplier in LAquila - What We Hold in Stock</v>
      </c>
      <c r="AG1486" s="15" t="str">
        <f t="shared" si="17"/>
        <v>Bulk &amp; Wholesale Electropolished Pipe Rates for LAquila Buyers</v>
      </c>
      <c r="AH1486" s="15" t="str">
        <f t="shared" si="18"/>
        <v>electropolished pipes manufacturer in LAquila, electropolished pipes supplier in LAquila, electropolished pipes wholesaler in LAquila, electropolished tube manufacturer LAquila, EP pipe supplier LAquila, sanitary tube supplier LAquila, ASME BPE tubing LAquila, ASTM A270 tube LAquila, SS 316L electropolished pipe LAquila</v>
      </c>
      <c r="AI1486" s="15" t="str">
        <f t="shared" si="19"/>
        <v>Electropolished Pipes Manufacturer &amp; Supplier in LAquila</v>
      </c>
      <c r="AJ1486" s="15" t="str">
        <f t="shared" si="20"/>
        <v>EP-finished SS 304/316L pipes and tubes for VERIFY plants in LAquila. ASME BPE SF1-SF4, Ra from 0.25 um, EN 10204 3.1 certificate with every lot.</v>
      </c>
      <c r="AK1486" s="15" t="str">
        <f t="shared" si="21"/>
        <v>Electropolished stainless steel pipes supplied by Sakshi Forge to VERIFY plants at VERIFY, LAquila</v>
      </c>
      <c r="AL1486" s="15" t="str">
        <f t="shared" si="22"/>
        <v>Electropolished SS 316L tube stock for LAquila - Sakshi Forge</v>
      </c>
      <c r="AM1486" s="15" t="str">
        <f t="shared" si="23"/>
        <v>Home &gt; Market Area &gt; Italy &gt; VERIFY &gt; LAquila</v>
      </c>
      <c r="AN1486" s="15">
        <f t="shared" si="24"/>
        <v>750</v>
      </c>
      <c r="AO1486" s="15">
        <f t="shared" si="25"/>
        <v>6</v>
      </c>
      <c r="AP1486" s="15">
        <f t="shared" si="26"/>
        <v>6</v>
      </c>
      <c r="AQ1486" s="15">
        <f t="shared" si="27"/>
        <v>25</v>
      </c>
      <c r="AR1486" s="31"/>
      <c r="AS1486" s="31"/>
      <c r="AT1486" s="35" t="s">
        <v>222</v>
      </c>
      <c r="AU1486" s="35"/>
    </row>
    <row r="1487" ht="15.75" customHeight="1">
      <c r="A1487" s="15" t="s">
        <v>7166</v>
      </c>
      <c r="B1487" s="15" t="s">
        <v>301</v>
      </c>
      <c r="C1487" s="15" t="s">
        <v>98</v>
      </c>
      <c r="D1487" s="15" t="s">
        <v>7167</v>
      </c>
      <c r="E1487" s="15" t="s">
        <v>7167</v>
      </c>
      <c r="F1487" s="58" t="s">
        <v>807</v>
      </c>
      <c r="G1487" s="66" t="s">
        <v>98</v>
      </c>
      <c r="H1487" s="18" t="s">
        <v>98</v>
      </c>
      <c r="I1487" s="18" t="s">
        <v>98</v>
      </c>
      <c r="J1487" s="18" t="s">
        <v>98</v>
      </c>
      <c r="K1487" s="18" t="s">
        <v>98</v>
      </c>
      <c r="L1487" s="18" t="s">
        <v>98</v>
      </c>
      <c r="M1487" s="18" t="s">
        <v>580</v>
      </c>
      <c r="N1487" s="18" t="s">
        <v>378</v>
      </c>
      <c r="O1487" s="18" t="s">
        <v>98</v>
      </c>
      <c r="P1487" s="15" t="str">
        <f t="shared" si="1"/>
        <v>VERIFY</v>
      </c>
      <c r="Q1487" s="15">
        <f t="shared" si="2"/>
        <v>4</v>
      </c>
      <c r="R1487" s="15">
        <f t="shared" si="3"/>
        <v>7</v>
      </c>
      <c r="S1487" s="15">
        <f t="shared" si="4"/>
        <v>4</v>
      </c>
      <c r="T1487" s="15" t="str">
        <f t="shared" si="5"/>
        <v>C-2</v>
      </c>
      <c r="U1487" s="15" t="str">
        <f t="shared" si="6"/>
        <v>T4-M7-H4-FC-2-VERIFY</v>
      </c>
      <c r="V1487" s="15">
        <f t="shared" si="7"/>
        <v>0</v>
      </c>
      <c r="W1487" s="31"/>
      <c r="X1487" s="15" t="str">
        <f t="shared" si="8"/>
        <v>la-spezia-italy</v>
      </c>
      <c r="Y1487" s="32" t="str">
        <f t="shared" si="9"/>
        <v>https://steelmanufacturer.in/market-area/electropolished-pipes-manufacturer-in-la-spezia-italy/</v>
      </c>
      <c r="Z1487" s="15" t="str">
        <f t="shared" si="10"/>
        <v>Electropolished Pipes Manufacturer in La Spezia</v>
      </c>
      <c r="AA1487" s="15" t="str">
        <f t="shared" si="11"/>
        <v>OK (47)</v>
      </c>
      <c r="AB1487" s="15" t="str">
        <f t="shared" si="12"/>
        <v>Electropolished pipes in La Spezia: 304, 304L, 316 and 316L in SF1-SF4. 18-24 days sea from Nhava Sheva to Genoa. Mill certified.</v>
      </c>
      <c r="AC1487" s="15" t="str">
        <f t="shared" si="13"/>
        <v>PENDING RESEARCH</v>
      </c>
      <c r="AD1487" s="15" t="str">
        <f t="shared" si="14"/>
        <v>Electropolished Pipes Manufacturer in La Spezia</v>
      </c>
      <c r="AE1487" s="15" t="str">
        <f t="shared" si="15"/>
        <v>Manufacturing Electropolished SS Tube for La Spezia: The Standards We Build To</v>
      </c>
      <c r="AF1487" s="15" t="str">
        <f t="shared" si="16"/>
        <v>Electropolished Pipe Supply Into La Spezia - Certification &amp; Transit</v>
      </c>
      <c r="AG1487" s="15" t="str">
        <f t="shared" si="17"/>
        <v>Electropolished Pipes Wholesaler in La Spezia - Project Quantities &amp; Terms</v>
      </c>
      <c r="AH1487" s="15" t="str">
        <f t="shared" si="18"/>
        <v>electropolished pipes manufacturer in La Spezia, electropolished pipes supplier in La Spezia, electropolished pipes wholesaler in La Spezia, electropolished tube manufacturer La Spezia, EP pipe supplier La Spezia, sanitary tube supplier La Spezia, ASME BPE tubing La Spezia, ASTM A270 tube La Spezia, SS 316L electropolished pipe La Spezia</v>
      </c>
      <c r="AI1487" s="15" t="str">
        <f t="shared" si="19"/>
        <v>Electropolished Pipes Manufacturer &amp; Supplier in La Spezia</v>
      </c>
      <c r="AJ1487" s="15" t="str">
        <f t="shared" si="20"/>
        <v>EP-finished SS 304/316L pipes and tubes for VERIFY plants in La Spezia. ASME BPE SF1-SF4, Ra from 0.25 um, EN 10204 3.1 certificate with every lot.</v>
      </c>
      <c r="AK1487" s="15" t="str">
        <f t="shared" si="21"/>
        <v>Electropolished stainless steel pipes supplied by Sakshi Forge to VERIFY plants at VERIFY, La Spezia</v>
      </c>
      <c r="AL1487" s="15" t="str">
        <f t="shared" si="22"/>
        <v>Electropolished SS 316L tube stock for La Spezia - Sakshi Forge</v>
      </c>
      <c r="AM1487" s="15" t="str">
        <f t="shared" si="23"/>
        <v>Home &gt; Market Area &gt; Italy &gt; VERIFY &gt; La Spezia</v>
      </c>
      <c r="AN1487" s="15">
        <f t="shared" si="24"/>
        <v>750</v>
      </c>
      <c r="AO1487" s="15">
        <f t="shared" si="25"/>
        <v>6</v>
      </c>
      <c r="AP1487" s="15">
        <f t="shared" si="26"/>
        <v>6</v>
      </c>
      <c r="AQ1487" s="15">
        <f t="shared" si="27"/>
        <v>25</v>
      </c>
      <c r="AR1487" s="31"/>
      <c r="AS1487" s="31"/>
      <c r="AT1487" s="35" t="s">
        <v>222</v>
      </c>
      <c r="AU1487" s="35"/>
    </row>
    <row r="1488" ht="15.75" customHeight="1">
      <c r="A1488" s="15" t="s">
        <v>7168</v>
      </c>
      <c r="B1488" s="15" t="s">
        <v>301</v>
      </c>
      <c r="C1488" s="15" t="s">
        <v>98</v>
      </c>
      <c r="D1488" s="15" t="s">
        <v>7169</v>
      </c>
      <c r="E1488" s="15" t="s">
        <v>7169</v>
      </c>
      <c r="F1488" s="58" t="s">
        <v>807</v>
      </c>
      <c r="G1488" s="66" t="s">
        <v>98</v>
      </c>
      <c r="H1488" s="18" t="s">
        <v>98</v>
      </c>
      <c r="I1488" s="18" t="s">
        <v>98</v>
      </c>
      <c r="J1488" s="18" t="s">
        <v>98</v>
      </c>
      <c r="K1488" s="18" t="s">
        <v>98</v>
      </c>
      <c r="L1488" s="18" t="s">
        <v>98</v>
      </c>
      <c r="M1488" s="18" t="s">
        <v>580</v>
      </c>
      <c r="N1488" s="18" t="s">
        <v>378</v>
      </c>
      <c r="O1488" s="18" t="s">
        <v>98</v>
      </c>
      <c r="P1488" s="15" t="str">
        <f t="shared" si="1"/>
        <v>VERIFY</v>
      </c>
      <c r="Q1488" s="15">
        <f t="shared" si="2"/>
        <v>5</v>
      </c>
      <c r="R1488" s="15">
        <f t="shared" si="3"/>
        <v>1</v>
      </c>
      <c r="S1488" s="15">
        <f t="shared" si="4"/>
        <v>5</v>
      </c>
      <c r="T1488" s="15" t="str">
        <f t="shared" si="5"/>
        <v>C-3</v>
      </c>
      <c r="U1488" s="15" t="str">
        <f t="shared" si="6"/>
        <v>T5-M1-H5-FC-3-VERIFY</v>
      </c>
      <c r="V1488" s="15">
        <f t="shared" si="7"/>
        <v>0</v>
      </c>
      <c r="W1488" s="31"/>
      <c r="X1488" s="15" t="str">
        <f t="shared" si="8"/>
        <v>lecce-italy</v>
      </c>
      <c r="Y1488" s="32" t="str">
        <f t="shared" si="9"/>
        <v>https://steelmanufacturer.in/market-area/electropolished-pipes-manufacturer-in-lecce-italy/</v>
      </c>
      <c r="Z1488" s="15" t="str">
        <f t="shared" si="10"/>
        <v>Electropolished Pipes Manufacturer in Lecce</v>
      </c>
      <c r="AA1488" s="15" t="str">
        <f t="shared" si="11"/>
        <v>OK (43)</v>
      </c>
      <c r="AB1488" s="15" t="str">
        <f t="shared" si="12"/>
        <v>EP-finished SS 304/316L pipes &amp; tubes for VERIFY plants in Lecce. ASTM A270, ASME BPE SF1-SF4, EN 10204 3.1 MTC. PMI tested.</v>
      </c>
      <c r="AC1488" s="15" t="str">
        <f t="shared" si="13"/>
        <v>PENDING RESEARCH</v>
      </c>
      <c r="AD1488" s="15" t="str">
        <f t="shared" si="14"/>
        <v>Electropolished Pipes Manufacturer in Lecce</v>
      </c>
      <c r="AE1488" s="15" t="str">
        <f t="shared" si="15"/>
        <v>Electropolished Tube Manufacturing Capability Serving Lecce</v>
      </c>
      <c r="AF1488" s="15" t="str">
        <f t="shared" si="16"/>
        <v>Electropolished Pipes Supplier in Lecce - From Order to Delivery</v>
      </c>
      <c r="AG1488" s="15" t="str">
        <f t="shared" si="17"/>
        <v>Stockist &amp; Wholesale Supply of Electropolished Pipes in Lecce</v>
      </c>
      <c r="AH1488" s="15" t="str">
        <f t="shared" si="18"/>
        <v>electropolished pipes manufacturer in Lecce, electropolished pipes supplier in Lecce, electropolished pipes wholesaler in Lecce, electropolished tube manufacturer Lecce, EP pipe supplier Lecce, sanitary tube supplier Lecce, ASME BPE tubing Lecce, ASTM A270 tube Lecce, SS 316L electropolished pipe Lecce</v>
      </c>
      <c r="AI1488" s="15" t="str">
        <f t="shared" si="19"/>
        <v>Electropolished Pipes Manufacturer &amp; Supplier in Lecce</v>
      </c>
      <c r="AJ1488" s="15" t="str">
        <f t="shared" si="20"/>
        <v>EP-finished SS 304/316L pipes and tubes for VERIFY plants in Lecce. ASME BPE SF1-SF4, Ra from 0.25 um, EN 10204 3.1 certificate with every lot.</v>
      </c>
      <c r="AK1488" s="15" t="str">
        <f t="shared" si="21"/>
        <v>Electropolished stainless steel pipes supplied by Sakshi Forge to VERIFY plants at VERIFY, Lecce</v>
      </c>
      <c r="AL1488" s="15" t="str">
        <f t="shared" si="22"/>
        <v>Electropolished SS 316L tube stock for Lecce - Sakshi Forge</v>
      </c>
      <c r="AM1488" s="15" t="str">
        <f t="shared" si="23"/>
        <v>Home &gt; Market Area &gt; Italy &gt; VERIFY &gt; Lecce</v>
      </c>
      <c r="AN1488" s="15">
        <f t="shared" si="24"/>
        <v>750</v>
      </c>
      <c r="AO1488" s="15">
        <f t="shared" si="25"/>
        <v>6</v>
      </c>
      <c r="AP1488" s="15">
        <f t="shared" si="26"/>
        <v>6</v>
      </c>
      <c r="AQ1488" s="15">
        <f t="shared" si="27"/>
        <v>25</v>
      </c>
      <c r="AR1488" s="31"/>
      <c r="AS1488" s="31"/>
      <c r="AT1488" s="35" t="s">
        <v>222</v>
      </c>
      <c r="AU1488" s="35"/>
    </row>
    <row r="1489" ht="15.75" customHeight="1">
      <c r="A1489" s="15" t="s">
        <v>7170</v>
      </c>
      <c r="B1489" s="15" t="s">
        <v>301</v>
      </c>
      <c r="C1489" s="15" t="s">
        <v>98</v>
      </c>
      <c r="D1489" s="15" t="s">
        <v>7172</v>
      </c>
      <c r="E1489" s="15" t="s">
        <v>7172</v>
      </c>
      <c r="F1489" s="58" t="s">
        <v>807</v>
      </c>
      <c r="G1489" s="66" t="s">
        <v>98</v>
      </c>
      <c r="H1489" s="18" t="s">
        <v>98</v>
      </c>
      <c r="I1489" s="18" t="s">
        <v>98</v>
      </c>
      <c r="J1489" s="18" t="s">
        <v>98</v>
      </c>
      <c r="K1489" s="18" t="s">
        <v>98</v>
      </c>
      <c r="L1489" s="18" t="s">
        <v>98</v>
      </c>
      <c r="M1489" s="18" t="s">
        <v>580</v>
      </c>
      <c r="N1489" s="18" t="s">
        <v>378</v>
      </c>
      <c r="O1489" s="18" t="s">
        <v>98</v>
      </c>
      <c r="P1489" s="15" t="str">
        <f t="shared" si="1"/>
        <v>VERIFY</v>
      </c>
      <c r="Q1489" s="15">
        <f t="shared" si="2"/>
        <v>6</v>
      </c>
      <c r="R1489" s="15">
        <f t="shared" si="3"/>
        <v>2</v>
      </c>
      <c r="S1489" s="15">
        <f t="shared" si="4"/>
        <v>1</v>
      </c>
      <c r="T1489" s="15" t="str">
        <f t="shared" si="5"/>
        <v>C-4</v>
      </c>
      <c r="U1489" s="15" t="str">
        <f t="shared" si="6"/>
        <v>T6-M2-H1-FC-4-VERIFY</v>
      </c>
      <c r="V1489" s="15">
        <f t="shared" si="7"/>
        <v>0</v>
      </c>
      <c r="W1489" s="31"/>
      <c r="X1489" s="15" t="str">
        <f t="shared" si="8"/>
        <v>livorno-italy</v>
      </c>
      <c r="Y1489" s="32" t="str">
        <f t="shared" si="9"/>
        <v>https://steelmanufacturer.in/market-area/electropolished-pipes-manufacturer-in-livorno-italy/</v>
      </c>
      <c r="Z1489" s="15" t="str">
        <f t="shared" si="10"/>
        <v>Electropolished Pipes Manufacturer in Livorno</v>
      </c>
      <c r="AA1489" s="15" t="str">
        <f t="shared" si="11"/>
        <v>OK (45)</v>
      </c>
      <c r="AB1489" s="15" t="str">
        <f t="shared" si="12"/>
        <v>Electropolished tube supply to VERIFY, Livorno. Ra from 0.25 um, SF4 finish, mill test certificate with every lot.</v>
      </c>
      <c r="AC1489" s="15" t="str">
        <f t="shared" si="13"/>
        <v>PENDING RESEARCH</v>
      </c>
      <c r="AD1489" s="15" t="str">
        <f t="shared" si="14"/>
        <v>Electropolished Pipes Manufacturer in Livorno</v>
      </c>
      <c r="AE1489" s="15" t="str">
        <f t="shared" si="15"/>
        <v>Electropolished Pipe &amp; Tube Manufacturing for Livorno - Grades, Finishes &amp; Certification</v>
      </c>
      <c r="AF1489" s="15" t="str">
        <f t="shared" si="16"/>
        <v>Electropolished Pipes Supplier in Livorno - Stock Sizes, Lead Time &amp; Delivery</v>
      </c>
      <c r="AG1489" s="15" t="str">
        <f t="shared" si="17"/>
        <v>Electropolished Pipes Wholesaler &amp; Stockist in Livorno - Bulk &amp; Project Pricing</v>
      </c>
      <c r="AH1489" s="15" t="str">
        <f t="shared" si="18"/>
        <v>electropolished pipes manufacturer in Livorno, electropolished pipes supplier in Livorno, electropolished pipes wholesaler in Livorno, electropolished tube manufacturer Livorno, EP pipe supplier Livorno, sanitary tube supplier Livorno, ASME BPE tubing Livorno, ASTM A270 tube Livorno, SS 316L electropolished pipe Livorno</v>
      </c>
      <c r="AI1489" s="15" t="str">
        <f t="shared" si="19"/>
        <v>Electropolished Pipes Manufacturer &amp; Supplier in Livorno</v>
      </c>
      <c r="AJ1489" s="15" t="str">
        <f t="shared" si="20"/>
        <v>EP-finished SS 304/316L pipes and tubes for VERIFY plants in Livorno. ASME BPE SF1-SF4, Ra from 0.25 um, EN 10204 3.1 certificate with every lot.</v>
      </c>
      <c r="AK1489" s="15" t="str">
        <f t="shared" si="21"/>
        <v>Electropolished stainless steel pipes supplied by Sakshi Forge to VERIFY plants at VERIFY, Livorno</v>
      </c>
      <c r="AL1489" s="15" t="str">
        <f t="shared" si="22"/>
        <v>Electropolished SS 316L tube stock for Livorno - Sakshi Forge</v>
      </c>
      <c r="AM1489" s="15" t="str">
        <f t="shared" si="23"/>
        <v>Home &gt; Market Area &gt; Italy &gt; VERIFY &gt; Livorno</v>
      </c>
      <c r="AN1489" s="15">
        <f t="shared" si="24"/>
        <v>750</v>
      </c>
      <c r="AO1489" s="15">
        <f t="shared" si="25"/>
        <v>6</v>
      </c>
      <c r="AP1489" s="15">
        <f t="shared" si="26"/>
        <v>6</v>
      </c>
      <c r="AQ1489" s="15">
        <f t="shared" si="27"/>
        <v>25</v>
      </c>
      <c r="AR1489" s="31"/>
      <c r="AS1489" s="31"/>
      <c r="AT1489" s="35" t="s">
        <v>222</v>
      </c>
      <c r="AU1489" s="35"/>
    </row>
    <row r="1490" ht="15.75" customHeight="1">
      <c r="A1490" s="15" t="s">
        <v>7177</v>
      </c>
      <c r="B1490" s="15" t="s">
        <v>301</v>
      </c>
      <c r="C1490" s="15" t="s">
        <v>98</v>
      </c>
      <c r="D1490" s="15" t="s">
        <v>7178</v>
      </c>
      <c r="E1490" s="15" t="s">
        <v>7178</v>
      </c>
      <c r="F1490" s="58" t="s">
        <v>807</v>
      </c>
      <c r="G1490" s="66" t="s">
        <v>98</v>
      </c>
      <c r="H1490" s="18" t="s">
        <v>98</v>
      </c>
      <c r="I1490" s="18" t="s">
        <v>98</v>
      </c>
      <c r="J1490" s="18" t="s">
        <v>98</v>
      </c>
      <c r="K1490" s="18" t="s">
        <v>98</v>
      </c>
      <c r="L1490" s="18" t="s">
        <v>98</v>
      </c>
      <c r="M1490" s="18" t="s">
        <v>580</v>
      </c>
      <c r="N1490" s="18" t="s">
        <v>378</v>
      </c>
      <c r="O1490" s="18" t="s">
        <v>98</v>
      </c>
      <c r="P1490" s="15" t="str">
        <f t="shared" si="1"/>
        <v>VERIFY</v>
      </c>
      <c r="Q1490" s="15">
        <f t="shared" si="2"/>
        <v>7</v>
      </c>
      <c r="R1490" s="15">
        <f t="shared" si="3"/>
        <v>3</v>
      </c>
      <c r="S1490" s="15">
        <f t="shared" si="4"/>
        <v>2</v>
      </c>
      <c r="T1490" s="15" t="str">
        <f t="shared" si="5"/>
        <v>C-5</v>
      </c>
      <c r="U1490" s="15" t="str">
        <f t="shared" si="6"/>
        <v>T7-M3-H2-FC-5-VERIFY</v>
      </c>
      <c r="V1490" s="15">
        <f t="shared" si="7"/>
        <v>0</v>
      </c>
      <c r="W1490" s="31"/>
      <c r="X1490" s="15" t="str">
        <f t="shared" si="8"/>
        <v>lucca-italy</v>
      </c>
      <c r="Y1490" s="32" t="str">
        <f t="shared" si="9"/>
        <v>https://steelmanufacturer.in/market-area/electropolished-pipes-manufacturer-in-lucca-italy/</v>
      </c>
      <c r="Z1490" s="15" t="str">
        <f t="shared" si="10"/>
        <v>Electropolished Pipes Manufacturer in Lucca | ASME BPE SF1-SF4</v>
      </c>
      <c r="AA1490" s="15" t="str">
        <f t="shared" si="11"/>
        <v>OK (62)</v>
      </c>
      <c r="AB1490" s="15" t="str">
        <f t="shared" si="12"/>
        <v>EP stainless tube for VERIFY lines in Lucca. 18-24 days sea from Nhava Sheva to Genoa. ASTM A270 S2, PMI tested, EN 10204 3.1.</v>
      </c>
      <c r="AC1490" s="15" t="str">
        <f t="shared" si="13"/>
        <v>PENDING RESEARCH</v>
      </c>
      <c r="AD1490" s="15" t="str">
        <f t="shared" si="14"/>
        <v>Electropolished Pipes Manufacturer in Lucca</v>
      </c>
      <c r="AE1490" s="15" t="str">
        <f t="shared" si="15"/>
        <v>How We Manufacture Electropolished Tube for Lucca Plants</v>
      </c>
      <c r="AF1490" s="15" t="str">
        <f t="shared" si="16"/>
        <v>Supplying Electropolished Pipes in Lucca: Availability, Sizes &amp; Dispatch</v>
      </c>
      <c r="AG1490" s="15" t="str">
        <f t="shared" si="17"/>
        <v>Wholesale Electropolished Pipe Supply for Lucca Projects</v>
      </c>
      <c r="AH1490" s="15" t="str">
        <f t="shared" si="18"/>
        <v>electropolished pipes manufacturer in Lucca, electropolished pipes supplier in Lucca, electropolished pipes wholesaler in Lucca, electropolished tube manufacturer Lucca, EP pipe supplier Lucca, sanitary tube supplier Lucca, ASME BPE tubing Lucca, ASTM A270 tube Lucca, SS 316L electropolished pipe Lucca</v>
      </c>
      <c r="AI1490" s="15" t="str">
        <f t="shared" si="19"/>
        <v>Electropolished Pipes Manufacturer &amp; Supplier in Lucca</v>
      </c>
      <c r="AJ1490" s="15" t="str">
        <f t="shared" si="20"/>
        <v>EP-finished SS 304/316L pipes and tubes for VERIFY plants in Lucca. ASME BPE SF1-SF4, Ra from 0.25 um, EN 10204 3.1 certificate with every lot.</v>
      </c>
      <c r="AK1490" s="15" t="str">
        <f t="shared" si="21"/>
        <v>Electropolished stainless steel pipes supplied by Sakshi Forge to VERIFY plants at VERIFY, Lucca</v>
      </c>
      <c r="AL1490" s="15" t="str">
        <f t="shared" si="22"/>
        <v>Electropolished SS 316L tube stock for Lucca - Sakshi Forge</v>
      </c>
      <c r="AM1490" s="15" t="str">
        <f t="shared" si="23"/>
        <v>Home &gt; Market Area &gt; Italy &gt; VERIFY &gt; Lucca</v>
      </c>
      <c r="AN1490" s="15">
        <f t="shared" si="24"/>
        <v>750</v>
      </c>
      <c r="AO1490" s="15">
        <f t="shared" si="25"/>
        <v>6</v>
      </c>
      <c r="AP1490" s="15">
        <f t="shared" si="26"/>
        <v>6</v>
      </c>
      <c r="AQ1490" s="15">
        <f t="shared" si="27"/>
        <v>25</v>
      </c>
      <c r="AR1490" s="31"/>
      <c r="AS1490" s="31"/>
      <c r="AT1490" s="35" t="s">
        <v>222</v>
      </c>
      <c r="AU1490" s="35"/>
    </row>
    <row r="1491" ht="15.75" customHeight="1">
      <c r="A1491" s="15" t="s">
        <v>7179</v>
      </c>
      <c r="B1491" s="15" t="s">
        <v>301</v>
      </c>
      <c r="C1491" s="15" t="s">
        <v>98</v>
      </c>
      <c r="D1491" s="15" t="s">
        <v>7180</v>
      </c>
      <c r="E1491" s="15" t="s">
        <v>7180</v>
      </c>
      <c r="F1491" s="58" t="s">
        <v>807</v>
      </c>
      <c r="G1491" s="66" t="s">
        <v>98</v>
      </c>
      <c r="H1491" s="18" t="s">
        <v>98</v>
      </c>
      <c r="I1491" s="18" t="s">
        <v>98</v>
      </c>
      <c r="J1491" s="18" t="s">
        <v>98</v>
      </c>
      <c r="K1491" s="18" t="s">
        <v>98</v>
      </c>
      <c r="L1491" s="18" t="s">
        <v>98</v>
      </c>
      <c r="M1491" s="18" t="s">
        <v>580</v>
      </c>
      <c r="N1491" s="18" t="s">
        <v>378</v>
      </c>
      <c r="O1491" s="18" t="s">
        <v>98</v>
      </c>
      <c r="P1491" s="15" t="str">
        <f t="shared" si="1"/>
        <v>VERIFY</v>
      </c>
      <c r="Q1491" s="15">
        <f t="shared" si="2"/>
        <v>8</v>
      </c>
      <c r="R1491" s="15">
        <f t="shared" si="3"/>
        <v>4</v>
      </c>
      <c r="S1491" s="15">
        <f t="shared" si="4"/>
        <v>3</v>
      </c>
      <c r="T1491" s="15" t="str">
        <f t="shared" si="5"/>
        <v>C-6</v>
      </c>
      <c r="U1491" s="15" t="str">
        <f t="shared" si="6"/>
        <v>T8-M4-H3-FC-6-VERIFY</v>
      </c>
      <c r="V1491" s="15">
        <f t="shared" si="7"/>
        <v>0</v>
      </c>
      <c r="W1491" s="31"/>
      <c r="X1491" s="15" t="str">
        <f t="shared" si="8"/>
        <v>macerata-italy</v>
      </c>
      <c r="Y1491" s="32" t="str">
        <f t="shared" si="9"/>
        <v>https://steelmanufacturer.in/market-area/electropolished-pipes-manufacturer-in-macerata-italy/</v>
      </c>
      <c r="Z1491" s="15" t="str">
        <f t="shared" si="10"/>
        <v>Electropolished Pipes Manufacturer in Macerata - EP Tube Stockist</v>
      </c>
      <c r="AA1491" s="15" t="str">
        <f t="shared" si="11"/>
        <v>OK (65)</v>
      </c>
      <c r="AB1491" s="15" t="str">
        <f t="shared" si="12"/>
        <v>Sanitary electropolished pipes in Macerata for VERIFY plants. ASME BPE SF1-SF4, orbital-weld ready, 3.1 MTC. Mumbai-made.</v>
      </c>
      <c r="AC1491" s="15" t="str">
        <f t="shared" si="13"/>
        <v>PENDING RESEARCH</v>
      </c>
      <c r="AD1491" s="15" t="str">
        <f t="shared" si="14"/>
        <v>Electropolished Pipes Manufacturer in Macerata</v>
      </c>
      <c r="AE1491" s="15" t="str">
        <f t="shared" si="15"/>
        <v>Electropolished Pipes Manufacturer in Macerata - Our Process &amp; Capability</v>
      </c>
      <c r="AF1491" s="15" t="str">
        <f t="shared" si="16"/>
        <v>Electropolished Pipes Supplier in Macerata - What We Hold in Stock</v>
      </c>
      <c r="AG1491" s="15" t="str">
        <f t="shared" si="17"/>
        <v>Bulk &amp; Wholesale Electropolished Pipe Rates for Macerata Buyers</v>
      </c>
      <c r="AH1491" s="15" t="str">
        <f t="shared" si="18"/>
        <v>electropolished pipes manufacturer in Macerata, electropolished pipes supplier in Macerata, electropolished pipes wholesaler in Macerata, electropolished tube manufacturer Macerata, EP pipe supplier Macerata, sanitary tube supplier Macerata, ASME BPE tubing Macerata, ASTM A270 tube Macerata, SS 316L electropolished pipe Macerata</v>
      </c>
      <c r="AI1491" s="15" t="str">
        <f t="shared" si="19"/>
        <v>Electropolished Pipes Manufacturer &amp; Supplier in Macerata</v>
      </c>
      <c r="AJ1491" s="15" t="str">
        <f t="shared" si="20"/>
        <v>EP-finished SS 304/316L pipes and tubes for VERIFY plants in Macerata. ASME BPE SF1-SF4, Ra from 0.25 um, EN 10204 3.1 certificate with every lot.</v>
      </c>
      <c r="AK1491" s="15" t="str">
        <f t="shared" si="21"/>
        <v>Electropolished stainless steel pipes supplied by Sakshi Forge to VERIFY plants at VERIFY, Macerata</v>
      </c>
      <c r="AL1491" s="15" t="str">
        <f t="shared" si="22"/>
        <v>Electropolished SS 316L tube stock for Macerata - Sakshi Forge</v>
      </c>
      <c r="AM1491" s="15" t="str">
        <f t="shared" si="23"/>
        <v>Home &gt; Market Area &gt; Italy &gt; VERIFY &gt; Macerata</v>
      </c>
      <c r="AN1491" s="15">
        <f t="shared" si="24"/>
        <v>750</v>
      </c>
      <c r="AO1491" s="15">
        <f t="shared" si="25"/>
        <v>6</v>
      </c>
      <c r="AP1491" s="15">
        <f t="shared" si="26"/>
        <v>6</v>
      </c>
      <c r="AQ1491" s="15">
        <f t="shared" si="27"/>
        <v>25</v>
      </c>
      <c r="AR1491" s="31"/>
      <c r="AS1491" s="31"/>
      <c r="AT1491" s="35" t="s">
        <v>222</v>
      </c>
      <c r="AU1491" s="35"/>
    </row>
    <row r="1492" ht="15.75" customHeight="1">
      <c r="A1492" s="15" t="s">
        <v>7181</v>
      </c>
      <c r="B1492" s="15" t="s">
        <v>301</v>
      </c>
      <c r="C1492" s="15" t="s">
        <v>98</v>
      </c>
      <c r="D1492" s="15" t="s">
        <v>7182</v>
      </c>
      <c r="E1492" s="15" t="s">
        <v>7182</v>
      </c>
      <c r="F1492" s="58" t="s">
        <v>807</v>
      </c>
      <c r="G1492" s="66" t="s">
        <v>98</v>
      </c>
      <c r="H1492" s="18" t="s">
        <v>98</v>
      </c>
      <c r="I1492" s="18" t="s">
        <v>98</v>
      </c>
      <c r="J1492" s="18" t="s">
        <v>98</v>
      </c>
      <c r="K1492" s="18" t="s">
        <v>98</v>
      </c>
      <c r="L1492" s="18" t="s">
        <v>98</v>
      </c>
      <c r="M1492" s="18" t="s">
        <v>580</v>
      </c>
      <c r="N1492" s="18" t="s">
        <v>378</v>
      </c>
      <c r="O1492" s="18" t="s">
        <v>98</v>
      </c>
      <c r="P1492" s="15" t="str">
        <f t="shared" si="1"/>
        <v>VERIFY</v>
      </c>
      <c r="Q1492" s="15">
        <f t="shared" si="2"/>
        <v>1</v>
      </c>
      <c r="R1492" s="15">
        <f t="shared" si="3"/>
        <v>5</v>
      </c>
      <c r="S1492" s="15">
        <f t="shared" si="4"/>
        <v>4</v>
      </c>
      <c r="T1492" s="15" t="str">
        <f t="shared" si="5"/>
        <v>C-1</v>
      </c>
      <c r="U1492" s="15" t="str">
        <f t="shared" si="6"/>
        <v>T1-M5-H4-FC-1-VERIFY</v>
      </c>
      <c r="V1492" s="15">
        <f t="shared" si="7"/>
        <v>0</v>
      </c>
      <c r="W1492" s="31"/>
      <c r="X1492" s="15" t="str">
        <f t="shared" si="8"/>
        <v>matera-italy</v>
      </c>
      <c r="Y1492" s="32" t="str">
        <f t="shared" si="9"/>
        <v>https://steelmanufacturer.in/market-area/electropolished-pipes-manufacturer-in-matera-italy/</v>
      </c>
      <c r="Z1492" s="15" t="str">
        <f t="shared" si="10"/>
        <v>Electropolished Pipes Manufacturer in Matera | Sakshi Forge</v>
      </c>
      <c r="AA1492" s="15" t="str">
        <f t="shared" si="11"/>
        <v>OK (59)</v>
      </c>
      <c r="AB1492" s="15" t="str">
        <f t="shared" si="12"/>
        <v>Manufacturer of electropolished SS 316L tube serving Matera. 18-24 days sea from Nhava Sheva to Genoa. Ra 0.25-0.5 um, EN 10204 3.1 MTC.</v>
      </c>
      <c r="AC1492" s="15" t="str">
        <f t="shared" si="13"/>
        <v>PENDING RESEARCH</v>
      </c>
      <c r="AD1492" s="15" t="str">
        <f t="shared" si="14"/>
        <v>Electropolished Pipes Manufacturer in Matera</v>
      </c>
      <c r="AE1492" s="15" t="str">
        <f t="shared" si="15"/>
        <v>Manufacturing Electropolished SS Tube for Matera: The Standards We Build To</v>
      </c>
      <c r="AF1492" s="15" t="str">
        <f t="shared" si="16"/>
        <v>Electropolished Pipe Supply Into Matera - Certification &amp; Transit</v>
      </c>
      <c r="AG1492" s="15" t="str">
        <f t="shared" si="17"/>
        <v>Electropolished Pipes Wholesaler in Matera - Project Quantities &amp; Terms</v>
      </c>
      <c r="AH1492" s="15" t="str">
        <f t="shared" si="18"/>
        <v>electropolished pipes manufacturer in Matera, electropolished pipes supplier in Matera, electropolished pipes wholesaler in Matera, electropolished tube manufacturer Matera, EP pipe supplier Matera, sanitary tube supplier Matera, ASME BPE tubing Matera, ASTM A270 tube Matera, SS 316L electropolished pipe Matera</v>
      </c>
      <c r="AI1492" s="15" t="str">
        <f t="shared" si="19"/>
        <v>Electropolished Pipes Manufacturer &amp; Supplier in Matera</v>
      </c>
      <c r="AJ1492" s="15" t="str">
        <f t="shared" si="20"/>
        <v>EP-finished SS 304/316L pipes and tubes for VERIFY plants in Matera. ASME BPE SF1-SF4, Ra from 0.25 um, EN 10204 3.1 certificate with every lot.</v>
      </c>
      <c r="AK1492" s="15" t="str">
        <f t="shared" si="21"/>
        <v>Electropolished stainless steel pipes supplied by Sakshi Forge to VERIFY plants at VERIFY, Matera</v>
      </c>
      <c r="AL1492" s="15" t="str">
        <f t="shared" si="22"/>
        <v>Electropolished SS 316L tube stock for Matera - Sakshi Forge</v>
      </c>
      <c r="AM1492" s="15" t="str">
        <f t="shared" si="23"/>
        <v>Home &gt; Market Area &gt; Italy &gt; VERIFY &gt; Matera</v>
      </c>
      <c r="AN1492" s="15">
        <f t="shared" si="24"/>
        <v>750</v>
      </c>
      <c r="AO1492" s="15">
        <f t="shared" si="25"/>
        <v>6</v>
      </c>
      <c r="AP1492" s="15">
        <f t="shared" si="26"/>
        <v>6</v>
      </c>
      <c r="AQ1492" s="15">
        <f t="shared" si="27"/>
        <v>25</v>
      </c>
      <c r="AR1492" s="31"/>
      <c r="AS1492" s="31"/>
      <c r="AT1492" s="35" t="s">
        <v>222</v>
      </c>
      <c r="AU1492" s="35"/>
    </row>
    <row r="1493" ht="15.75" customHeight="1">
      <c r="A1493" s="15" t="s">
        <v>7183</v>
      </c>
      <c r="B1493" s="15" t="s">
        <v>301</v>
      </c>
      <c r="C1493" s="15" t="s">
        <v>98</v>
      </c>
      <c r="D1493" s="15" t="s">
        <v>7184</v>
      </c>
      <c r="E1493" s="15" t="s">
        <v>7184</v>
      </c>
      <c r="F1493" s="58" t="s">
        <v>807</v>
      </c>
      <c r="G1493" s="66" t="s">
        <v>98</v>
      </c>
      <c r="H1493" s="18" t="s">
        <v>98</v>
      </c>
      <c r="I1493" s="18" t="s">
        <v>98</v>
      </c>
      <c r="J1493" s="18" t="s">
        <v>98</v>
      </c>
      <c r="K1493" s="18" t="s">
        <v>98</v>
      </c>
      <c r="L1493" s="18" t="s">
        <v>98</v>
      </c>
      <c r="M1493" s="18" t="s">
        <v>580</v>
      </c>
      <c r="N1493" s="18" t="s">
        <v>378</v>
      </c>
      <c r="O1493" s="18" t="s">
        <v>98</v>
      </c>
      <c r="P1493" s="15" t="str">
        <f t="shared" si="1"/>
        <v>VERIFY</v>
      </c>
      <c r="Q1493" s="15">
        <f t="shared" si="2"/>
        <v>2</v>
      </c>
      <c r="R1493" s="15">
        <f t="shared" si="3"/>
        <v>6</v>
      </c>
      <c r="S1493" s="15">
        <f t="shared" si="4"/>
        <v>5</v>
      </c>
      <c r="T1493" s="15" t="str">
        <f t="shared" si="5"/>
        <v>C-2</v>
      </c>
      <c r="U1493" s="15" t="str">
        <f t="shared" si="6"/>
        <v>T2-M6-H5-FC-2-VERIFY</v>
      </c>
      <c r="V1493" s="15">
        <f t="shared" si="7"/>
        <v>0</v>
      </c>
      <c r="W1493" s="31"/>
      <c r="X1493" s="15" t="str">
        <f t="shared" si="8"/>
        <v>messina-italy</v>
      </c>
      <c r="Y1493" s="32" t="str">
        <f t="shared" si="9"/>
        <v>https://steelmanufacturer.in/market-area/electropolished-pipes-manufacturer-in-messina-italy/</v>
      </c>
      <c r="Z1493" s="15" t="str">
        <f t="shared" si="10"/>
        <v>Electropolished Pipes Manufacturer in Messina</v>
      </c>
      <c r="AA1493" s="15" t="str">
        <f t="shared" si="11"/>
        <v>OK (45)</v>
      </c>
      <c r="AB1493" s="15" t="str">
        <f t="shared" si="12"/>
        <v>EP tube and pipe for VERIFY plants around VERIFY, Messina. Made at our Mumbai works to ASTM A270 and ASME BPE SF1-SF4, with 3.1 MTC.</v>
      </c>
      <c r="AC1493" s="15" t="str">
        <f t="shared" si="13"/>
        <v>PENDING RESEARCH</v>
      </c>
      <c r="AD1493" s="15" t="str">
        <f t="shared" si="14"/>
        <v>Electropolished Pipes Manufacturer in Messina</v>
      </c>
      <c r="AE1493" s="15" t="str">
        <f t="shared" si="15"/>
        <v>Electropolished Tube Manufacturing Capability Serving Messina</v>
      </c>
      <c r="AF1493" s="15" t="str">
        <f t="shared" si="16"/>
        <v>Electropolished Pipes Supplier in Messina - From Order to Delivery</v>
      </c>
      <c r="AG1493" s="15" t="str">
        <f t="shared" si="17"/>
        <v>Stockist &amp; Wholesale Supply of Electropolished Pipes in Messina</v>
      </c>
      <c r="AH1493" s="15" t="str">
        <f t="shared" si="18"/>
        <v>electropolished pipes manufacturer in Messina, electropolished pipes supplier in Messina, electropolished pipes wholesaler in Messina, electropolished tube manufacturer Messina, EP pipe supplier Messina, sanitary tube supplier Messina, ASME BPE tubing Messina, ASTM A270 tube Messina, SS 316L electropolished pipe Messina</v>
      </c>
      <c r="AI1493" s="15" t="str">
        <f t="shared" si="19"/>
        <v>Electropolished Pipes Manufacturer &amp; Supplier in Messina</v>
      </c>
      <c r="AJ1493" s="15" t="str">
        <f t="shared" si="20"/>
        <v>EP-finished SS 304/316L pipes and tubes for VERIFY plants in Messina. ASME BPE SF1-SF4, Ra from 0.25 um, EN 10204 3.1 certificate with every lot.</v>
      </c>
      <c r="AK1493" s="15" t="str">
        <f t="shared" si="21"/>
        <v>Electropolished stainless steel pipes supplied by Sakshi Forge to VERIFY plants at VERIFY, Messina</v>
      </c>
      <c r="AL1493" s="15" t="str">
        <f t="shared" si="22"/>
        <v>Electropolished SS 316L tube stock for Messina - Sakshi Forge</v>
      </c>
      <c r="AM1493" s="15" t="str">
        <f t="shared" si="23"/>
        <v>Home &gt; Market Area &gt; Italy &gt; VERIFY &gt; Messina</v>
      </c>
      <c r="AN1493" s="15">
        <f t="shared" si="24"/>
        <v>750</v>
      </c>
      <c r="AO1493" s="15">
        <f t="shared" si="25"/>
        <v>6</v>
      </c>
      <c r="AP1493" s="15">
        <f t="shared" si="26"/>
        <v>6</v>
      </c>
      <c r="AQ1493" s="15">
        <f t="shared" si="27"/>
        <v>25</v>
      </c>
      <c r="AR1493" s="31"/>
      <c r="AS1493" s="31"/>
      <c r="AT1493" s="35" t="s">
        <v>222</v>
      </c>
      <c r="AU1493" s="35"/>
    </row>
    <row r="1494" ht="15.75" customHeight="1">
      <c r="A1494" s="15" t="s">
        <v>7185</v>
      </c>
      <c r="B1494" s="15" t="s">
        <v>301</v>
      </c>
      <c r="C1494" s="15" t="s">
        <v>98</v>
      </c>
      <c r="D1494" s="15" t="s">
        <v>7186</v>
      </c>
      <c r="E1494" s="15" t="s">
        <v>7186</v>
      </c>
      <c r="F1494" s="58" t="s">
        <v>807</v>
      </c>
      <c r="G1494" s="66" t="s">
        <v>98</v>
      </c>
      <c r="H1494" s="18" t="s">
        <v>98</v>
      </c>
      <c r="I1494" s="18" t="s">
        <v>98</v>
      </c>
      <c r="J1494" s="18" t="s">
        <v>98</v>
      </c>
      <c r="K1494" s="18" t="s">
        <v>98</v>
      </c>
      <c r="L1494" s="18" t="s">
        <v>98</v>
      </c>
      <c r="M1494" s="18" t="s">
        <v>580</v>
      </c>
      <c r="N1494" s="18" t="s">
        <v>378</v>
      </c>
      <c r="O1494" s="18" t="s">
        <v>98</v>
      </c>
      <c r="P1494" s="15" t="str">
        <f t="shared" si="1"/>
        <v>VERIFY</v>
      </c>
      <c r="Q1494" s="15">
        <f t="shared" si="2"/>
        <v>3</v>
      </c>
      <c r="R1494" s="15">
        <f t="shared" si="3"/>
        <v>7</v>
      </c>
      <c r="S1494" s="15">
        <f t="shared" si="4"/>
        <v>1</v>
      </c>
      <c r="T1494" s="15" t="str">
        <f t="shared" si="5"/>
        <v>C-3</v>
      </c>
      <c r="U1494" s="15" t="str">
        <f t="shared" si="6"/>
        <v>T3-M7-H1-FC-3-VERIFY</v>
      </c>
      <c r="V1494" s="15">
        <f t="shared" si="7"/>
        <v>0</v>
      </c>
      <c r="W1494" s="31"/>
      <c r="X1494" s="15" t="str">
        <f t="shared" si="8"/>
        <v>novara-italy</v>
      </c>
      <c r="Y1494" s="32" t="str">
        <f t="shared" si="9"/>
        <v>https://steelmanufacturer.in/market-area/electropolished-pipes-manufacturer-in-novara-italy/</v>
      </c>
      <c r="Z1494" s="15" t="str">
        <f t="shared" si="10"/>
        <v>Electropolished Pipes Manufacturer in Novara | EP Tube Supplier</v>
      </c>
      <c r="AA1494" s="15" t="str">
        <f t="shared" si="11"/>
        <v>OK (63)</v>
      </c>
      <c r="AB1494" s="15" t="str">
        <f t="shared" si="12"/>
        <v>Electropolished pipes in Novara: 304, 304L, 316 and 316L in SF1-SF4. 18-24 days sea from Nhava Sheva to Genoa. Mill certified.</v>
      </c>
      <c r="AC1494" s="15" t="str">
        <f t="shared" si="13"/>
        <v>PENDING RESEARCH</v>
      </c>
      <c r="AD1494" s="15" t="str">
        <f t="shared" si="14"/>
        <v>Electropolished Pipes Manufacturer in Novara</v>
      </c>
      <c r="AE1494" s="15" t="str">
        <f t="shared" si="15"/>
        <v>Electropolished Pipe &amp; Tube Manufacturing for Novara - Grades, Finishes &amp; Certification</v>
      </c>
      <c r="AF1494" s="15" t="str">
        <f t="shared" si="16"/>
        <v>Electropolished Pipes Supplier in Novara - Stock Sizes, Lead Time &amp; Delivery</v>
      </c>
      <c r="AG1494" s="15" t="str">
        <f t="shared" si="17"/>
        <v>Electropolished Pipes Wholesaler &amp; Stockist in Novara - Bulk &amp; Project Pricing</v>
      </c>
      <c r="AH1494" s="15" t="str">
        <f t="shared" si="18"/>
        <v>electropolished pipes manufacturer in Novara, electropolished pipes supplier in Novara, electropolished pipes wholesaler in Novara, electropolished tube manufacturer Novara, EP pipe supplier Novara, sanitary tube supplier Novara, ASME BPE tubing Novara, ASTM A270 tube Novara, SS 316L electropolished pipe Novara</v>
      </c>
      <c r="AI1494" s="15" t="str">
        <f t="shared" si="19"/>
        <v>Electropolished Pipes Manufacturer &amp; Supplier in Novara</v>
      </c>
      <c r="AJ1494" s="15" t="str">
        <f t="shared" si="20"/>
        <v>EP-finished SS 304/316L pipes and tubes for VERIFY plants in Novara. ASME BPE SF1-SF4, Ra from 0.25 um, EN 10204 3.1 certificate with every lot.</v>
      </c>
      <c r="AK1494" s="15" t="str">
        <f t="shared" si="21"/>
        <v>Electropolished stainless steel pipes supplied by Sakshi Forge to VERIFY plants at VERIFY, Novara</v>
      </c>
      <c r="AL1494" s="15" t="str">
        <f t="shared" si="22"/>
        <v>Electropolished SS 316L tube stock for Novara - Sakshi Forge</v>
      </c>
      <c r="AM1494" s="15" t="str">
        <f t="shared" si="23"/>
        <v>Home &gt; Market Area &gt; Italy &gt; VERIFY &gt; Novara</v>
      </c>
      <c r="AN1494" s="15">
        <f t="shared" si="24"/>
        <v>750</v>
      </c>
      <c r="AO1494" s="15">
        <f t="shared" si="25"/>
        <v>6</v>
      </c>
      <c r="AP1494" s="15">
        <f t="shared" si="26"/>
        <v>6</v>
      </c>
      <c r="AQ1494" s="15">
        <f t="shared" si="27"/>
        <v>25</v>
      </c>
      <c r="AR1494" s="31"/>
      <c r="AS1494" s="31"/>
      <c r="AT1494" s="35" t="s">
        <v>222</v>
      </c>
      <c r="AU1494" s="35"/>
    </row>
    <row r="1495" ht="15.75" customHeight="1">
      <c r="A1495" s="15" t="s">
        <v>7187</v>
      </c>
      <c r="B1495" s="15" t="s">
        <v>301</v>
      </c>
      <c r="C1495" s="15" t="s">
        <v>98</v>
      </c>
      <c r="D1495" s="15" t="s">
        <v>7188</v>
      </c>
      <c r="E1495" s="15" t="s">
        <v>7188</v>
      </c>
      <c r="F1495" s="58" t="s">
        <v>807</v>
      </c>
      <c r="G1495" s="66" t="s">
        <v>98</v>
      </c>
      <c r="H1495" s="18" t="s">
        <v>98</v>
      </c>
      <c r="I1495" s="18" t="s">
        <v>98</v>
      </c>
      <c r="J1495" s="18" t="s">
        <v>98</v>
      </c>
      <c r="K1495" s="18" t="s">
        <v>98</v>
      </c>
      <c r="L1495" s="18" t="s">
        <v>98</v>
      </c>
      <c r="M1495" s="18" t="s">
        <v>580</v>
      </c>
      <c r="N1495" s="18" t="s">
        <v>378</v>
      </c>
      <c r="O1495" s="18" t="s">
        <v>98</v>
      </c>
      <c r="P1495" s="15" t="str">
        <f t="shared" si="1"/>
        <v>VERIFY</v>
      </c>
      <c r="Q1495" s="15">
        <f t="shared" si="2"/>
        <v>4</v>
      </c>
      <c r="R1495" s="15">
        <f t="shared" si="3"/>
        <v>1</v>
      </c>
      <c r="S1495" s="15">
        <f t="shared" si="4"/>
        <v>2</v>
      </c>
      <c r="T1495" s="15" t="str">
        <f t="shared" si="5"/>
        <v>C-4</v>
      </c>
      <c r="U1495" s="15" t="str">
        <f t="shared" si="6"/>
        <v>T4-M1-H2-FC-4-VERIFY</v>
      </c>
      <c r="V1495" s="15">
        <f t="shared" si="7"/>
        <v>0</v>
      </c>
      <c r="W1495" s="31"/>
      <c r="X1495" s="15" t="str">
        <f t="shared" si="8"/>
        <v>nuoro-italy</v>
      </c>
      <c r="Y1495" s="32" t="str">
        <f t="shared" si="9"/>
        <v>https://steelmanufacturer.in/market-area/electropolished-pipes-manufacturer-in-nuoro-italy/</v>
      </c>
      <c r="Z1495" s="15" t="str">
        <f t="shared" si="10"/>
        <v>Electropolished Pipes Manufacturer in Nuoro - SS 304/316L EP Tube</v>
      </c>
      <c r="AA1495" s="15" t="str">
        <f t="shared" si="11"/>
        <v>OK (65)</v>
      </c>
      <c r="AB1495" s="15" t="str">
        <f t="shared" si="12"/>
        <v>EP-finished SS 304/316L pipes &amp; tubes for VERIFY plants in Nuoro. ASTM A270, ASME BPE SF1-SF4, EN 10204 3.1 MTC. PMI tested.</v>
      </c>
      <c r="AC1495" s="15" t="str">
        <f t="shared" si="13"/>
        <v>PENDING RESEARCH</v>
      </c>
      <c r="AD1495" s="15" t="str">
        <f t="shared" si="14"/>
        <v>Electropolished Pipes Manufacturer in Nuoro</v>
      </c>
      <c r="AE1495" s="15" t="str">
        <f t="shared" si="15"/>
        <v>How We Manufacture Electropolished Tube for Nuoro Plants</v>
      </c>
      <c r="AF1495" s="15" t="str">
        <f t="shared" si="16"/>
        <v>Supplying Electropolished Pipes in Nuoro: Availability, Sizes &amp; Dispatch</v>
      </c>
      <c r="AG1495" s="15" t="str">
        <f t="shared" si="17"/>
        <v>Wholesale Electropolished Pipe Supply for Nuoro Projects</v>
      </c>
      <c r="AH1495" s="15" t="str">
        <f t="shared" si="18"/>
        <v>electropolished pipes manufacturer in Nuoro, electropolished pipes supplier in Nuoro, electropolished pipes wholesaler in Nuoro, electropolished tube manufacturer Nuoro, EP pipe supplier Nuoro, sanitary tube supplier Nuoro, ASME BPE tubing Nuoro, ASTM A270 tube Nuoro, SS 316L electropolished pipe Nuoro</v>
      </c>
      <c r="AI1495" s="15" t="str">
        <f t="shared" si="19"/>
        <v>Electropolished Pipes Manufacturer &amp; Supplier in Nuoro</v>
      </c>
      <c r="AJ1495" s="15" t="str">
        <f t="shared" si="20"/>
        <v>EP-finished SS 304/316L pipes and tubes for VERIFY plants in Nuoro. ASME BPE SF1-SF4, Ra from 0.25 um, EN 10204 3.1 certificate with every lot.</v>
      </c>
      <c r="AK1495" s="15" t="str">
        <f t="shared" si="21"/>
        <v>Electropolished stainless steel pipes supplied by Sakshi Forge to VERIFY plants at VERIFY, Nuoro</v>
      </c>
      <c r="AL1495" s="15" t="str">
        <f t="shared" si="22"/>
        <v>Electropolished SS 316L tube stock for Nuoro - Sakshi Forge</v>
      </c>
      <c r="AM1495" s="15" t="str">
        <f t="shared" si="23"/>
        <v>Home &gt; Market Area &gt; Italy &gt; VERIFY &gt; Nuoro</v>
      </c>
      <c r="AN1495" s="15">
        <f t="shared" si="24"/>
        <v>750</v>
      </c>
      <c r="AO1495" s="15">
        <f t="shared" si="25"/>
        <v>6</v>
      </c>
      <c r="AP1495" s="15">
        <f t="shared" si="26"/>
        <v>6</v>
      </c>
      <c r="AQ1495" s="15">
        <f t="shared" si="27"/>
        <v>25</v>
      </c>
      <c r="AR1495" s="31"/>
      <c r="AS1495" s="31"/>
      <c r="AT1495" s="35" t="s">
        <v>222</v>
      </c>
      <c r="AU1495" s="35"/>
    </row>
    <row r="1496" ht="15.75" customHeight="1">
      <c r="A1496" s="15" t="s">
        <v>7189</v>
      </c>
      <c r="B1496" s="15" t="s">
        <v>301</v>
      </c>
      <c r="C1496" s="15" t="s">
        <v>98</v>
      </c>
      <c r="D1496" s="15" t="s">
        <v>7190</v>
      </c>
      <c r="E1496" s="15" t="s">
        <v>7190</v>
      </c>
      <c r="F1496" s="58" t="s">
        <v>807</v>
      </c>
      <c r="G1496" s="66" t="s">
        <v>98</v>
      </c>
      <c r="H1496" s="18" t="s">
        <v>98</v>
      </c>
      <c r="I1496" s="18" t="s">
        <v>98</v>
      </c>
      <c r="J1496" s="18" t="s">
        <v>98</v>
      </c>
      <c r="K1496" s="18" t="s">
        <v>98</v>
      </c>
      <c r="L1496" s="18" t="s">
        <v>98</v>
      </c>
      <c r="M1496" s="18" t="s">
        <v>580</v>
      </c>
      <c r="N1496" s="18" t="s">
        <v>378</v>
      </c>
      <c r="O1496" s="18" t="s">
        <v>98</v>
      </c>
      <c r="P1496" s="15" t="str">
        <f t="shared" si="1"/>
        <v>VERIFY</v>
      </c>
      <c r="Q1496" s="15">
        <f t="shared" si="2"/>
        <v>5</v>
      </c>
      <c r="R1496" s="15">
        <f t="shared" si="3"/>
        <v>2</v>
      </c>
      <c r="S1496" s="15">
        <f t="shared" si="4"/>
        <v>3</v>
      </c>
      <c r="T1496" s="15" t="str">
        <f t="shared" si="5"/>
        <v>C-5</v>
      </c>
      <c r="U1496" s="15" t="str">
        <f t="shared" si="6"/>
        <v>T5-M2-H3-FC-5-VERIFY</v>
      </c>
      <c r="V1496" s="15">
        <f t="shared" si="7"/>
        <v>0</v>
      </c>
      <c r="W1496" s="31"/>
      <c r="X1496" s="15" t="str">
        <f t="shared" si="8"/>
        <v>olbia-italy</v>
      </c>
      <c r="Y1496" s="32" t="str">
        <f t="shared" si="9"/>
        <v>https://steelmanufacturer.in/market-area/electropolished-pipes-manufacturer-in-olbia-italy/</v>
      </c>
      <c r="Z1496" s="15" t="str">
        <f t="shared" si="10"/>
        <v>Electropolished Pipes Manufacturer in Olbia</v>
      </c>
      <c r="AA1496" s="15" t="str">
        <f t="shared" si="11"/>
        <v>OK (43)</v>
      </c>
      <c r="AB1496" s="15" t="str">
        <f t="shared" si="12"/>
        <v>Electropolished tube supply to VERIFY, Olbia. Ra from 0.25 um, SF4 finish, mill test certificate with every lot.</v>
      </c>
      <c r="AC1496" s="15" t="str">
        <f t="shared" si="13"/>
        <v>PENDING RESEARCH</v>
      </c>
      <c r="AD1496" s="15" t="str">
        <f t="shared" si="14"/>
        <v>Electropolished Pipes Manufacturer in Olbia</v>
      </c>
      <c r="AE1496" s="15" t="str">
        <f t="shared" si="15"/>
        <v>Electropolished Pipes Manufacturer in Olbia - Our Process &amp; Capability</v>
      </c>
      <c r="AF1496" s="15" t="str">
        <f t="shared" si="16"/>
        <v>Electropolished Pipes Supplier in Olbia - What We Hold in Stock</v>
      </c>
      <c r="AG1496" s="15" t="str">
        <f t="shared" si="17"/>
        <v>Bulk &amp; Wholesale Electropolished Pipe Rates for Olbia Buyers</v>
      </c>
      <c r="AH1496" s="15" t="str">
        <f t="shared" si="18"/>
        <v>electropolished pipes manufacturer in Olbia, electropolished pipes supplier in Olbia, electropolished pipes wholesaler in Olbia, electropolished tube manufacturer Olbia, EP pipe supplier Olbia, sanitary tube supplier Olbia, ASME BPE tubing Olbia, ASTM A270 tube Olbia, SS 316L electropolished pipe Olbia</v>
      </c>
      <c r="AI1496" s="15" t="str">
        <f t="shared" si="19"/>
        <v>Electropolished Pipes Manufacturer &amp; Supplier in Olbia</v>
      </c>
      <c r="AJ1496" s="15" t="str">
        <f t="shared" si="20"/>
        <v>EP-finished SS 304/316L pipes and tubes for VERIFY plants in Olbia. ASME BPE SF1-SF4, Ra from 0.25 um, EN 10204 3.1 certificate with every lot.</v>
      </c>
      <c r="AK1496" s="15" t="str">
        <f t="shared" si="21"/>
        <v>Electropolished stainless steel pipes supplied by Sakshi Forge to VERIFY plants at VERIFY, Olbia</v>
      </c>
      <c r="AL1496" s="15" t="str">
        <f t="shared" si="22"/>
        <v>Electropolished SS 316L tube stock for Olbia - Sakshi Forge</v>
      </c>
      <c r="AM1496" s="15" t="str">
        <f t="shared" si="23"/>
        <v>Home &gt; Market Area &gt; Italy &gt; VERIFY &gt; Olbia</v>
      </c>
      <c r="AN1496" s="15">
        <f t="shared" si="24"/>
        <v>750</v>
      </c>
      <c r="AO1496" s="15">
        <f t="shared" si="25"/>
        <v>6</v>
      </c>
      <c r="AP1496" s="15">
        <f t="shared" si="26"/>
        <v>6</v>
      </c>
      <c r="AQ1496" s="15">
        <f t="shared" si="27"/>
        <v>25</v>
      </c>
      <c r="AR1496" s="31"/>
      <c r="AS1496" s="31"/>
      <c r="AT1496" s="35" t="s">
        <v>222</v>
      </c>
      <c r="AU1496" s="35"/>
    </row>
    <row r="1497" ht="15.75" customHeight="1">
      <c r="A1497" s="15" t="s">
        <v>7194</v>
      </c>
      <c r="B1497" s="15" t="s">
        <v>301</v>
      </c>
      <c r="C1497" s="15" t="s">
        <v>98</v>
      </c>
      <c r="D1497" s="15" t="s">
        <v>7197</v>
      </c>
      <c r="E1497" s="15" t="s">
        <v>7197</v>
      </c>
      <c r="F1497" s="58" t="s">
        <v>807</v>
      </c>
      <c r="G1497" s="66" t="s">
        <v>98</v>
      </c>
      <c r="H1497" s="18" t="s">
        <v>98</v>
      </c>
      <c r="I1497" s="18" t="s">
        <v>98</v>
      </c>
      <c r="J1497" s="18" t="s">
        <v>98</v>
      </c>
      <c r="K1497" s="18" t="s">
        <v>98</v>
      </c>
      <c r="L1497" s="18" t="s">
        <v>98</v>
      </c>
      <c r="M1497" s="18" t="s">
        <v>580</v>
      </c>
      <c r="N1497" s="18" t="s">
        <v>378</v>
      </c>
      <c r="O1497" s="18" t="s">
        <v>98</v>
      </c>
      <c r="P1497" s="15" t="str">
        <f t="shared" si="1"/>
        <v>VERIFY</v>
      </c>
      <c r="Q1497" s="15">
        <f t="shared" si="2"/>
        <v>6</v>
      </c>
      <c r="R1497" s="15">
        <f t="shared" si="3"/>
        <v>3</v>
      </c>
      <c r="S1497" s="15">
        <f t="shared" si="4"/>
        <v>4</v>
      </c>
      <c r="T1497" s="15" t="str">
        <f t="shared" si="5"/>
        <v>C-6</v>
      </c>
      <c r="U1497" s="15" t="str">
        <f t="shared" si="6"/>
        <v>T6-M3-H4-FC-6-VERIFY</v>
      </c>
      <c r="V1497" s="15">
        <f t="shared" si="7"/>
        <v>0</v>
      </c>
      <c r="W1497" s="31"/>
      <c r="X1497" s="15" t="str">
        <f t="shared" si="8"/>
        <v>oristano-italy</v>
      </c>
      <c r="Y1497" s="32" t="str">
        <f t="shared" si="9"/>
        <v>https://steelmanufacturer.in/market-area/electropolished-pipes-manufacturer-in-oristano-italy/</v>
      </c>
      <c r="Z1497" s="15" t="str">
        <f t="shared" si="10"/>
        <v>Electropolished Pipes Manufacturer in Oristano</v>
      </c>
      <c r="AA1497" s="15" t="str">
        <f t="shared" si="11"/>
        <v>OK (46)</v>
      </c>
      <c r="AB1497" s="15" t="str">
        <f t="shared" si="12"/>
        <v>EP stainless tube for VERIFY lines in Oristano. 18-24 days sea from Nhava Sheva to Genoa. ASTM A270 S2, PMI tested, EN 10204 3.1.</v>
      </c>
      <c r="AC1497" s="15" t="str">
        <f t="shared" si="13"/>
        <v>PENDING RESEARCH</v>
      </c>
      <c r="AD1497" s="15" t="str">
        <f t="shared" si="14"/>
        <v>Electropolished Pipes Manufacturer in Oristano</v>
      </c>
      <c r="AE1497" s="15" t="str">
        <f t="shared" si="15"/>
        <v>Manufacturing Electropolished SS Tube for Oristano: The Standards We Build To</v>
      </c>
      <c r="AF1497" s="15" t="str">
        <f t="shared" si="16"/>
        <v>Electropolished Pipe Supply Into Oristano - Certification &amp; Transit</v>
      </c>
      <c r="AG1497" s="15" t="str">
        <f t="shared" si="17"/>
        <v>Electropolished Pipes Wholesaler in Oristano - Project Quantities &amp; Terms</v>
      </c>
      <c r="AH1497" s="15" t="str">
        <f t="shared" si="18"/>
        <v>electropolished pipes manufacturer in Oristano, electropolished pipes supplier in Oristano, electropolished pipes wholesaler in Oristano, electropolished tube manufacturer Oristano, EP pipe supplier Oristano, sanitary tube supplier Oristano, ASME BPE tubing Oristano, ASTM A270 tube Oristano, SS 316L electropolished pipe Oristano</v>
      </c>
      <c r="AI1497" s="15" t="str">
        <f t="shared" si="19"/>
        <v>Electropolished Pipes Manufacturer &amp; Supplier in Oristano</v>
      </c>
      <c r="AJ1497" s="15" t="str">
        <f t="shared" si="20"/>
        <v>EP-finished SS 304/316L pipes and tubes for VERIFY plants in Oristano. ASME BPE SF1-SF4, Ra from 0.25 um, EN 10204 3.1 certificate with every lot.</v>
      </c>
      <c r="AK1497" s="15" t="str">
        <f t="shared" si="21"/>
        <v>Electropolished stainless steel pipes supplied by Sakshi Forge to VERIFY plants at VERIFY, Oristano</v>
      </c>
      <c r="AL1497" s="15" t="str">
        <f t="shared" si="22"/>
        <v>Electropolished SS 316L tube stock for Oristano - Sakshi Forge</v>
      </c>
      <c r="AM1497" s="15" t="str">
        <f t="shared" si="23"/>
        <v>Home &gt; Market Area &gt; Italy &gt; VERIFY &gt; Oristano</v>
      </c>
      <c r="AN1497" s="15">
        <f t="shared" si="24"/>
        <v>750</v>
      </c>
      <c r="AO1497" s="15">
        <f t="shared" si="25"/>
        <v>6</v>
      </c>
      <c r="AP1497" s="15">
        <f t="shared" si="26"/>
        <v>6</v>
      </c>
      <c r="AQ1497" s="15">
        <f t="shared" si="27"/>
        <v>25</v>
      </c>
      <c r="AR1497" s="31"/>
      <c r="AS1497" s="31"/>
      <c r="AT1497" s="35" t="s">
        <v>222</v>
      </c>
      <c r="AU1497" s="35"/>
    </row>
    <row r="1498" ht="15.75" customHeight="1">
      <c r="A1498" s="15" t="s">
        <v>7200</v>
      </c>
      <c r="B1498" s="15" t="s">
        <v>301</v>
      </c>
      <c r="C1498" s="15" t="s">
        <v>98</v>
      </c>
      <c r="D1498" s="15" t="s">
        <v>7201</v>
      </c>
      <c r="E1498" s="15" t="s">
        <v>7201</v>
      </c>
      <c r="F1498" s="58" t="s">
        <v>807</v>
      </c>
      <c r="G1498" s="66" t="s">
        <v>98</v>
      </c>
      <c r="H1498" s="18" t="s">
        <v>98</v>
      </c>
      <c r="I1498" s="18" t="s">
        <v>98</v>
      </c>
      <c r="J1498" s="18" t="s">
        <v>98</v>
      </c>
      <c r="K1498" s="18" t="s">
        <v>98</v>
      </c>
      <c r="L1498" s="18" t="s">
        <v>98</v>
      </c>
      <c r="M1498" s="18" t="s">
        <v>580</v>
      </c>
      <c r="N1498" s="18" t="s">
        <v>378</v>
      </c>
      <c r="O1498" s="18" t="s">
        <v>98</v>
      </c>
      <c r="P1498" s="15" t="str">
        <f t="shared" si="1"/>
        <v>VERIFY</v>
      </c>
      <c r="Q1498" s="15">
        <f t="shared" si="2"/>
        <v>7</v>
      </c>
      <c r="R1498" s="15">
        <f t="shared" si="3"/>
        <v>4</v>
      </c>
      <c r="S1498" s="15">
        <f t="shared" si="4"/>
        <v>5</v>
      </c>
      <c r="T1498" s="15" t="str">
        <f t="shared" si="5"/>
        <v>C-1</v>
      </c>
      <c r="U1498" s="15" t="str">
        <f t="shared" si="6"/>
        <v>T7-M4-H5-FC-1-VERIFY</v>
      </c>
      <c r="V1498" s="15">
        <f t="shared" si="7"/>
        <v>0</v>
      </c>
      <c r="W1498" s="31"/>
      <c r="X1498" s="15" t="str">
        <f t="shared" si="8"/>
        <v>palermo-italy</v>
      </c>
      <c r="Y1498" s="32" t="str">
        <f t="shared" si="9"/>
        <v>https://steelmanufacturer.in/market-area/electropolished-pipes-manufacturer-in-palermo-italy/</v>
      </c>
      <c r="Z1498" s="15" t="str">
        <f t="shared" si="10"/>
        <v>Electropolished Pipes Manufacturer in Palermo | ASME BPE SF1-SF4</v>
      </c>
      <c r="AA1498" s="15" t="str">
        <f t="shared" si="11"/>
        <v>OK (64)</v>
      </c>
      <c r="AB1498" s="15" t="str">
        <f t="shared" si="12"/>
        <v>Sanitary electropolished pipes in Palermo for VERIFY plants. ASME BPE SF1-SF4, orbital-weld ready, 3.1 MTC. Mumbai-made.</v>
      </c>
      <c r="AC1498" s="15" t="str">
        <f t="shared" si="13"/>
        <v>PENDING RESEARCH</v>
      </c>
      <c r="AD1498" s="15" t="str">
        <f t="shared" si="14"/>
        <v>Electropolished Pipes Manufacturer in Palermo</v>
      </c>
      <c r="AE1498" s="15" t="str">
        <f t="shared" si="15"/>
        <v>Electropolished Tube Manufacturing Capability Serving Palermo</v>
      </c>
      <c r="AF1498" s="15" t="str">
        <f t="shared" si="16"/>
        <v>Electropolished Pipes Supplier in Palermo - From Order to Delivery</v>
      </c>
      <c r="AG1498" s="15" t="str">
        <f t="shared" si="17"/>
        <v>Stockist &amp; Wholesale Supply of Electropolished Pipes in Palermo</v>
      </c>
      <c r="AH1498" s="15" t="str">
        <f t="shared" si="18"/>
        <v>electropolished pipes manufacturer in Palermo, electropolished pipes supplier in Palermo, electropolished pipes wholesaler in Palermo, electropolished tube manufacturer Palermo, EP pipe supplier Palermo, sanitary tube supplier Palermo, ASME BPE tubing Palermo, ASTM A270 tube Palermo, SS 316L electropolished pipe Palermo</v>
      </c>
      <c r="AI1498" s="15" t="str">
        <f t="shared" si="19"/>
        <v>Electropolished Pipes Manufacturer &amp; Supplier in Palermo</v>
      </c>
      <c r="AJ1498" s="15" t="str">
        <f t="shared" si="20"/>
        <v>EP-finished SS 304/316L pipes and tubes for VERIFY plants in Palermo. ASME BPE SF1-SF4, Ra from 0.25 um, EN 10204 3.1 certificate with every lot.</v>
      </c>
      <c r="AK1498" s="15" t="str">
        <f t="shared" si="21"/>
        <v>Electropolished stainless steel pipes supplied by Sakshi Forge to VERIFY plants at VERIFY, Palermo</v>
      </c>
      <c r="AL1498" s="15" t="str">
        <f t="shared" si="22"/>
        <v>Electropolished SS 316L tube stock for Palermo - Sakshi Forge</v>
      </c>
      <c r="AM1498" s="15" t="str">
        <f t="shared" si="23"/>
        <v>Home &gt; Market Area &gt; Italy &gt; VERIFY &gt; Palermo</v>
      </c>
      <c r="AN1498" s="15">
        <f t="shared" si="24"/>
        <v>750</v>
      </c>
      <c r="AO1498" s="15">
        <f t="shared" si="25"/>
        <v>6</v>
      </c>
      <c r="AP1498" s="15">
        <f t="shared" si="26"/>
        <v>6</v>
      </c>
      <c r="AQ1498" s="15">
        <f t="shared" si="27"/>
        <v>25</v>
      </c>
      <c r="AR1498" s="31"/>
      <c r="AS1498" s="31"/>
      <c r="AT1498" s="35" t="s">
        <v>222</v>
      </c>
      <c r="AU1498" s="35"/>
    </row>
    <row r="1499" ht="15.75" customHeight="1">
      <c r="A1499" s="15" t="s">
        <v>7202</v>
      </c>
      <c r="B1499" s="15" t="s">
        <v>301</v>
      </c>
      <c r="C1499" s="15" t="s">
        <v>98</v>
      </c>
      <c r="D1499" s="15" t="s">
        <v>7203</v>
      </c>
      <c r="E1499" s="15" t="s">
        <v>7203</v>
      </c>
      <c r="F1499" s="58" t="s">
        <v>807</v>
      </c>
      <c r="G1499" s="66" t="s">
        <v>98</v>
      </c>
      <c r="H1499" s="18" t="s">
        <v>98</v>
      </c>
      <c r="I1499" s="18" t="s">
        <v>98</v>
      </c>
      <c r="J1499" s="18" t="s">
        <v>98</v>
      </c>
      <c r="K1499" s="18" t="s">
        <v>98</v>
      </c>
      <c r="L1499" s="18" t="s">
        <v>98</v>
      </c>
      <c r="M1499" s="18" t="s">
        <v>580</v>
      </c>
      <c r="N1499" s="18" t="s">
        <v>378</v>
      </c>
      <c r="O1499" s="18" t="s">
        <v>98</v>
      </c>
      <c r="P1499" s="15" t="str">
        <f t="shared" si="1"/>
        <v>VERIFY</v>
      </c>
      <c r="Q1499" s="15">
        <f t="shared" si="2"/>
        <v>8</v>
      </c>
      <c r="R1499" s="15">
        <f t="shared" si="3"/>
        <v>5</v>
      </c>
      <c r="S1499" s="15">
        <f t="shared" si="4"/>
        <v>1</v>
      </c>
      <c r="T1499" s="15" t="str">
        <f t="shared" si="5"/>
        <v>C-2</v>
      </c>
      <c r="U1499" s="15" t="str">
        <f t="shared" si="6"/>
        <v>T8-M5-H1-FC-2-VERIFY</v>
      </c>
      <c r="V1499" s="15">
        <f t="shared" si="7"/>
        <v>0</v>
      </c>
      <c r="W1499" s="31"/>
      <c r="X1499" s="15" t="str">
        <f t="shared" si="8"/>
        <v>pesaro-italy</v>
      </c>
      <c r="Y1499" s="32" t="str">
        <f t="shared" si="9"/>
        <v>https://steelmanufacturer.in/market-area/electropolished-pipes-manufacturer-in-pesaro-italy/</v>
      </c>
      <c r="Z1499" s="15" t="str">
        <f t="shared" si="10"/>
        <v>Electropolished Pipes Manufacturer in Pesaro - EP Tube Stockist</v>
      </c>
      <c r="AA1499" s="15" t="str">
        <f t="shared" si="11"/>
        <v>OK (63)</v>
      </c>
      <c r="AB1499" s="15" t="str">
        <f t="shared" si="12"/>
        <v>Manufacturer of electropolished SS 316L tube serving Pesaro. 18-24 days sea from Nhava Sheva to Genoa. Ra 0.25-0.5 um, EN 10204 3.1 MTC.</v>
      </c>
      <c r="AC1499" s="15" t="str">
        <f t="shared" si="13"/>
        <v>PENDING RESEARCH</v>
      </c>
      <c r="AD1499" s="15" t="str">
        <f t="shared" si="14"/>
        <v>Electropolished Pipes Manufacturer in Pesaro</v>
      </c>
      <c r="AE1499" s="15" t="str">
        <f t="shared" si="15"/>
        <v>Electropolished Pipe &amp; Tube Manufacturing for Pesaro - Grades, Finishes &amp; Certification</v>
      </c>
      <c r="AF1499" s="15" t="str">
        <f t="shared" si="16"/>
        <v>Electropolished Pipes Supplier in Pesaro - Stock Sizes, Lead Time &amp; Delivery</v>
      </c>
      <c r="AG1499" s="15" t="str">
        <f t="shared" si="17"/>
        <v>Electropolished Pipes Wholesaler &amp; Stockist in Pesaro - Bulk &amp; Project Pricing</v>
      </c>
      <c r="AH1499" s="15" t="str">
        <f t="shared" si="18"/>
        <v>electropolished pipes manufacturer in Pesaro, electropolished pipes supplier in Pesaro, electropolished pipes wholesaler in Pesaro, electropolished tube manufacturer Pesaro, EP pipe supplier Pesaro, sanitary tube supplier Pesaro, ASME BPE tubing Pesaro, ASTM A270 tube Pesaro, SS 316L electropolished pipe Pesaro</v>
      </c>
      <c r="AI1499" s="15" t="str">
        <f t="shared" si="19"/>
        <v>Electropolished Pipes Manufacturer &amp; Supplier in Pesaro</v>
      </c>
      <c r="AJ1499" s="15" t="str">
        <f t="shared" si="20"/>
        <v>EP-finished SS 304/316L pipes and tubes for VERIFY plants in Pesaro. ASME BPE SF1-SF4, Ra from 0.25 um, EN 10204 3.1 certificate with every lot.</v>
      </c>
      <c r="AK1499" s="15" t="str">
        <f t="shared" si="21"/>
        <v>Electropolished stainless steel pipes supplied by Sakshi Forge to VERIFY plants at VERIFY, Pesaro</v>
      </c>
      <c r="AL1499" s="15" t="str">
        <f t="shared" si="22"/>
        <v>Electropolished SS 316L tube stock for Pesaro - Sakshi Forge</v>
      </c>
      <c r="AM1499" s="15" t="str">
        <f t="shared" si="23"/>
        <v>Home &gt; Market Area &gt; Italy &gt; VERIFY &gt; Pesaro</v>
      </c>
      <c r="AN1499" s="15">
        <f t="shared" si="24"/>
        <v>750</v>
      </c>
      <c r="AO1499" s="15">
        <f t="shared" si="25"/>
        <v>6</v>
      </c>
      <c r="AP1499" s="15">
        <f t="shared" si="26"/>
        <v>6</v>
      </c>
      <c r="AQ1499" s="15">
        <f t="shared" si="27"/>
        <v>25</v>
      </c>
      <c r="AR1499" s="31"/>
      <c r="AS1499" s="31"/>
      <c r="AT1499" s="35" t="s">
        <v>222</v>
      </c>
      <c r="AU1499" s="35"/>
    </row>
    <row r="1500" ht="15.75" customHeight="1">
      <c r="A1500" s="15" t="s">
        <v>7204</v>
      </c>
      <c r="B1500" s="15" t="s">
        <v>301</v>
      </c>
      <c r="C1500" s="15" t="s">
        <v>98</v>
      </c>
      <c r="D1500" s="15" t="s">
        <v>7205</v>
      </c>
      <c r="E1500" s="15" t="s">
        <v>7205</v>
      </c>
      <c r="F1500" s="58" t="s">
        <v>807</v>
      </c>
      <c r="G1500" s="66" t="s">
        <v>98</v>
      </c>
      <c r="H1500" s="18" t="s">
        <v>98</v>
      </c>
      <c r="I1500" s="18" t="s">
        <v>98</v>
      </c>
      <c r="J1500" s="18" t="s">
        <v>98</v>
      </c>
      <c r="K1500" s="18" t="s">
        <v>98</v>
      </c>
      <c r="L1500" s="18" t="s">
        <v>98</v>
      </c>
      <c r="M1500" s="18" t="s">
        <v>580</v>
      </c>
      <c r="N1500" s="18" t="s">
        <v>378</v>
      </c>
      <c r="O1500" s="18" t="s">
        <v>98</v>
      </c>
      <c r="P1500" s="15" t="str">
        <f t="shared" si="1"/>
        <v>VERIFY</v>
      </c>
      <c r="Q1500" s="15">
        <f t="shared" si="2"/>
        <v>1</v>
      </c>
      <c r="R1500" s="15">
        <f t="shared" si="3"/>
        <v>6</v>
      </c>
      <c r="S1500" s="15">
        <f t="shared" si="4"/>
        <v>2</v>
      </c>
      <c r="T1500" s="15" t="str">
        <f t="shared" si="5"/>
        <v>C-3</v>
      </c>
      <c r="U1500" s="15" t="str">
        <f t="shared" si="6"/>
        <v>T1-M6-H2-FC-3-VERIFY</v>
      </c>
      <c r="V1500" s="15">
        <f t="shared" si="7"/>
        <v>0</v>
      </c>
      <c r="W1500" s="31"/>
      <c r="X1500" s="15" t="str">
        <f t="shared" si="8"/>
        <v>pescara-italy</v>
      </c>
      <c r="Y1500" s="32" t="str">
        <f t="shared" si="9"/>
        <v>https://steelmanufacturer.in/market-area/electropolished-pipes-manufacturer-in-pescara-italy/</v>
      </c>
      <c r="Z1500" s="15" t="str">
        <f t="shared" si="10"/>
        <v>Electropolished Pipes Manufacturer in Pescara | Sakshi Forge</v>
      </c>
      <c r="AA1500" s="15" t="str">
        <f t="shared" si="11"/>
        <v>OK (60)</v>
      </c>
      <c r="AB1500" s="15" t="str">
        <f t="shared" si="12"/>
        <v>EP tube and pipe for VERIFY plants around VERIFY, Pescara. Made at our Mumbai works to ASTM A270 and ASME BPE SF1-SF4, with 3.1 MTC.</v>
      </c>
      <c r="AC1500" s="15" t="str">
        <f t="shared" si="13"/>
        <v>PENDING RESEARCH</v>
      </c>
      <c r="AD1500" s="15" t="str">
        <f t="shared" si="14"/>
        <v>Electropolished Pipes Manufacturer in Pescara</v>
      </c>
      <c r="AE1500" s="15" t="str">
        <f t="shared" si="15"/>
        <v>How We Manufacture Electropolished Tube for Pescara Plants</v>
      </c>
      <c r="AF1500" s="15" t="str">
        <f t="shared" si="16"/>
        <v>Supplying Electropolished Pipes in Pescara: Availability, Sizes &amp; Dispatch</v>
      </c>
      <c r="AG1500" s="15" t="str">
        <f t="shared" si="17"/>
        <v>Wholesale Electropolished Pipe Supply for Pescara Projects</v>
      </c>
      <c r="AH1500" s="15" t="str">
        <f t="shared" si="18"/>
        <v>electropolished pipes manufacturer in Pescara, electropolished pipes supplier in Pescara, electropolished pipes wholesaler in Pescara, electropolished tube manufacturer Pescara, EP pipe supplier Pescara, sanitary tube supplier Pescara, ASME BPE tubing Pescara, ASTM A270 tube Pescara, SS 316L electropolished pipe Pescara</v>
      </c>
      <c r="AI1500" s="15" t="str">
        <f t="shared" si="19"/>
        <v>Electropolished Pipes Manufacturer &amp; Supplier in Pescara</v>
      </c>
      <c r="AJ1500" s="15" t="str">
        <f t="shared" si="20"/>
        <v>EP-finished SS 304/316L pipes and tubes for VERIFY plants in Pescara. ASME BPE SF1-SF4, Ra from 0.25 um, EN 10204 3.1 certificate with every lot.</v>
      </c>
      <c r="AK1500" s="15" t="str">
        <f t="shared" si="21"/>
        <v>Electropolished stainless steel pipes supplied by Sakshi Forge to VERIFY plants at VERIFY, Pescara</v>
      </c>
      <c r="AL1500" s="15" t="str">
        <f t="shared" si="22"/>
        <v>Electropolished SS 316L tube stock for Pescara - Sakshi Forge</v>
      </c>
      <c r="AM1500" s="15" t="str">
        <f t="shared" si="23"/>
        <v>Home &gt; Market Area &gt; Italy &gt; VERIFY &gt; Pescara</v>
      </c>
      <c r="AN1500" s="15">
        <f t="shared" si="24"/>
        <v>750</v>
      </c>
      <c r="AO1500" s="15">
        <f t="shared" si="25"/>
        <v>6</v>
      </c>
      <c r="AP1500" s="15">
        <f t="shared" si="26"/>
        <v>6</v>
      </c>
      <c r="AQ1500" s="15">
        <f t="shared" si="27"/>
        <v>25</v>
      </c>
      <c r="AR1500" s="31"/>
      <c r="AS1500" s="31"/>
      <c r="AT1500" s="35" t="s">
        <v>222</v>
      </c>
      <c r="AU1500" s="35"/>
    </row>
    <row r="1501" ht="15.75" customHeight="1">
      <c r="A1501" s="15" t="s">
        <v>7206</v>
      </c>
      <c r="B1501" s="15" t="s">
        <v>301</v>
      </c>
      <c r="C1501" s="15" t="s">
        <v>98</v>
      </c>
      <c r="D1501" s="15" t="s">
        <v>7207</v>
      </c>
      <c r="E1501" s="15" t="s">
        <v>7207</v>
      </c>
      <c r="F1501" s="58" t="s">
        <v>807</v>
      </c>
      <c r="G1501" s="66" t="s">
        <v>98</v>
      </c>
      <c r="H1501" s="18" t="s">
        <v>98</v>
      </c>
      <c r="I1501" s="18" t="s">
        <v>98</v>
      </c>
      <c r="J1501" s="18" t="s">
        <v>98</v>
      </c>
      <c r="K1501" s="18" t="s">
        <v>98</v>
      </c>
      <c r="L1501" s="18" t="s">
        <v>98</v>
      </c>
      <c r="M1501" s="18" t="s">
        <v>580</v>
      </c>
      <c r="N1501" s="18" t="s">
        <v>378</v>
      </c>
      <c r="O1501" s="18" t="s">
        <v>98</v>
      </c>
      <c r="P1501" s="15" t="str">
        <f t="shared" si="1"/>
        <v>VERIFY</v>
      </c>
      <c r="Q1501" s="15">
        <f t="shared" si="2"/>
        <v>2</v>
      </c>
      <c r="R1501" s="15">
        <f t="shared" si="3"/>
        <v>7</v>
      </c>
      <c r="S1501" s="15">
        <f t="shared" si="4"/>
        <v>3</v>
      </c>
      <c r="T1501" s="15" t="str">
        <f t="shared" si="5"/>
        <v>C-4</v>
      </c>
      <c r="U1501" s="15" t="str">
        <f t="shared" si="6"/>
        <v>T2-M7-H3-FC-4-VERIFY</v>
      </c>
      <c r="V1501" s="15">
        <f t="shared" si="7"/>
        <v>0</v>
      </c>
      <c r="W1501" s="31"/>
      <c r="X1501" s="15" t="str">
        <f t="shared" si="8"/>
        <v>pisa-italy</v>
      </c>
      <c r="Y1501" s="32" t="str">
        <f t="shared" si="9"/>
        <v>https://steelmanufacturer.in/market-area/electropolished-pipes-manufacturer-in-pisa-italy/</v>
      </c>
      <c r="Z1501" s="15" t="str">
        <f t="shared" si="10"/>
        <v>Electropolished Pipes Manufacturer in Pisa - ASTM A270 &amp; ASME BPE</v>
      </c>
      <c r="AA1501" s="15" t="str">
        <f t="shared" si="11"/>
        <v>OK (65)</v>
      </c>
      <c r="AB1501" s="15" t="str">
        <f t="shared" si="12"/>
        <v>Electropolished pipes in Pisa: 304, 304L, 316 and 316L in SF1-SF4. 18-24 days sea from Nhava Sheva to Genoa. Mill certified.</v>
      </c>
      <c r="AC1501" s="15" t="str">
        <f t="shared" si="13"/>
        <v>PENDING RESEARCH</v>
      </c>
      <c r="AD1501" s="15" t="str">
        <f t="shared" si="14"/>
        <v>Electropolished Pipes Manufacturer in Pisa</v>
      </c>
      <c r="AE1501" s="15" t="str">
        <f t="shared" si="15"/>
        <v>Electropolished Pipes Manufacturer in Pisa - Our Process &amp; Capability</v>
      </c>
      <c r="AF1501" s="15" t="str">
        <f t="shared" si="16"/>
        <v>Electropolished Pipes Supplier in Pisa - What We Hold in Stock</v>
      </c>
      <c r="AG1501" s="15" t="str">
        <f t="shared" si="17"/>
        <v>Bulk &amp; Wholesale Electropolished Pipe Rates for Pisa Buyers</v>
      </c>
      <c r="AH1501" s="15" t="str">
        <f t="shared" si="18"/>
        <v>electropolished pipes manufacturer in Pisa, electropolished pipes supplier in Pisa, electropolished pipes wholesaler in Pisa, electropolished tube manufacturer Pisa, EP pipe supplier Pisa, sanitary tube supplier Pisa, ASME BPE tubing Pisa, ASTM A270 tube Pisa, SS 316L electropolished pipe Pisa</v>
      </c>
      <c r="AI1501" s="15" t="str">
        <f t="shared" si="19"/>
        <v>Electropolished Pipes Manufacturer &amp; Supplier in Pisa</v>
      </c>
      <c r="AJ1501" s="15" t="str">
        <f t="shared" si="20"/>
        <v>EP-finished SS 304/316L pipes and tubes for VERIFY plants in Pisa. ASME BPE SF1-SF4, Ra from 0.25 um, EN 10204 3.1 certificate with every lot.</v>
      </c>
      <c r="AK1501" s="15" t="str">
        <f t="shared" si="21"/>
        <v>Electropolished stainless steel pipes supplied by Sakshi Forge to VERIFY plants at VERIFY, Pisa</v>
      </c>
      <c r="AL1501" s="15" t="str">
        <f t="shared" si="22"/>
        <v>Electropolished SS 316L tube stock for Pisa - Sakshi Forge</v>
      </c>
      <c r="AM1501" s="15" t="str">
        <f t="shared" si="23"/>
        <v>Home &gt; Market Area &gt; Italy &gt; VERIFY &gt; Pisa</v>
      </c>
      <c r="AN1501" s="15">
        <f t="shared" si="24"/>
        <v>750</v>
      </c>
      <c r="AO1501" s="15">
        <f t="shared" si="25"/>
        <v>6</v>
      </c>
      <c r="AP1501" s="15">
        <f t="shared" si="26"/>
        <v>6</v>
      </c>
      <c r="AQ1501" s="15">
        <f t="shared" si="27"/>
        <v>25</v>
      </c>
      <c r="AR1501" s="31"/>
      <c r="AS1501" s="31"/>
      <c r="AT1501" s="35" t="s">
        <v>222</v>
      </c>
      <c r="AU1501" s="35"/>
    </row>
    <row r="1502" ht="15.75" customHeight="1">
      <c r="A1502" s="15" t="s">
        <v>7208</v>
      </c>
      <c r="B1502" s="15" t="s">
        <v>301</v>
      </c>
      <c r="C1502" s="15" t="s">
        <v>98</v>
      </c>
      <c r="D1502" s="15" t="s">
        <v>7209</v>
      </c>
      <c r="E1502" s="15" t="s">
        <v>7209</v>
      </c>
      <c r="F1502" s="58" t="s">
        <v>807</v>
      </c>
      <c r="G1502" s="66" t="s">
        <v>98</v>
      </c>
      <c r="H1502" s="18" t="s">
        <v>98</v>
      </c>
      <c r="I1502" s="18" t="s">
        <v>98</v>
      </c>
      <c r="J1502" s="18" t="s">
        <v>98</v>
      </c>
      <c r="K1502" s="18" t="s">
        <v>98</v>
      </c>
      <c r="L1502" s="18" t="s">
        <v>98</v>
      </c>
      <c r="M1502" s="18" t="s">
        <v>580</v>
      </c>
      <c r="N1502" s="18" t="s">
        <v>378</v>
      </c>
      <c r="O1502" s="18" t="s">
        <v>98</v>
      </c>
      <c r="P1502" s="15" t="str">
        <f t="shared" si="1"/>
        <v>VERIFY</v>
      </c>
      <c r="Q1502" s="15">
        <f t="shared" si="2"/>
        <v>3</v>
      </c>
      <c r="R1502" s="15">
        <f t="shared" si="3"/>
        <v>1</v>
      </c>
      <c r="S1502" s="15">
        <f t="shared" si="4"/>
        <v>4</v>
      </c>
      <c r="T1502" s="15" t="str">
        <f t="shared" si="5"/>
        <v>C-5</v>
      </c>
      <c r="U1502" s="15" t="str">
        <f t="shared" si="6"/>
        <v>T3-M1-H4-FC-5-VERIFY</v>
      </c>
      <c r="V1502" s="15">
        <f t="shared" si="7"/>
        <v>0</v>
      </c>
      <c r="W1502" s="31"/>
      <c r="X1502" s="15" t="str">
        <f t="shared" si="8"/>
        <v>pistoia-italy</v>
      </c>
      <c r="Y1502" s="32" t="str">
        <f t="shared" si="9"/>
        <v>https://steelmanufacturer.in/market-area/electropolished-pipes-manufacturer-in-pistoia-italy/</v>
      </c>
      <c r="Z1502" s="15" t="str">
        <f t="shared" si="10"/>
        <v>Electropolished Pipes Manufacturer in Pistoia | EP Tube Supplier</v>
      </c>
      <c r="AA1502" s="15" t="str">
        <f t="shared" si="11"/>
        <v>OK (64)</v>
      </c>
      <c r="AB1502" s="15" t="str">
        <f t="shared" si="12"/>
        <v>EP-finished SS 304/316L pipes &amp; tubes for VERIFY plants in Pistoia. ASTM A270, ASME BPE SF1-SF4, EN 10204 3.1 MTC. PMI tested.</v>
      </c>
      <c r="AC1502" s="15" t="str">
        <f t="shared" si="13"/>
        <v>PENDING RESEARCH</v>
      </c>
      <c r="AD1502" s="15" t="str">
        <f t="shared" si="14"/>
        <v>Electropolished Pipes Manufacturer in Pistoia</v>
      </c>
      <c r="AE1502" s="15" t="str">
        <f t="shared" si="15"/>
        <v>Manufacturing Electropolished SS Tube for Pistoia: The Standards We Build To</v>
      </c>
      <c r="AF1502" s="15" t="str">
        <f t="shared" si="16"/>
        <v>Electropolished Pipe Supply Into Pistoia - Certification &amp; Transit</v>
      </c>
      <c r="AG1502" s="15" t="str">
        <f t="shared" si="17"/>
        <v>Electropolished Pipes Wholesaler in Pistoia - Project Quantities &amp; Terms</v>
      </c>
      <c r="AH1502" s="15" t="str">
        <f t="shared" si="18"/>
        <v>electropolished pipes manufacturer in Pistoia, electropolished pipes supplier in Pistoia, electropolished pipes wholesaler in Pistoia, electropolished tube manufacturer Pistoia, EP pipe supplier Pistoia, sanitary tube supplier Pistoia, ASME BPE tubing Pistoia, ASTM A270 tube Pistoia, SS 316L electropolished pipe Pistoia</v>
      </c>
      <c r="AI1502" s="15" t="str">
        <f t="shared" si="19"/>
        <v>Electropolished Pipes Manufacturer &amp; Supplier in Pistoia</v>
      </c>
      <c r="AJ1502" s="15" t="str">
        <f t="shared" si="20"/>
        <v>EP-finished SS 304/316L pipes and tubes for VERIFY plants in Pistoia. ASME BPE SF1-SF4, Ra from 0.25 um, EN 10204 3.1 certificate with every lot.</v>
      </c>
      <c r="AK1502" s="15" t="str">
        <f t="shared" si="21"/>
        <v>Electropolished stainless steel pipes supplied by Sakshi Forge to VERIFY plants at VERIFY, Pistoia</v>
      </c>
      <c r="AL1502" s="15" t="str">
        <f t="shared" si="22"/>
        <v>Electropolished SS 316L tube stock for Pistoia - Sakshi Forge</v>
      </c>
      <c r="AM1502" s="15" t="str">
        <f t="shared" si="23"/>
        <v>Home &gt; Market Area &gt; Italy &gt; VERIFY &gt; Pistoia</v>
      </c>
      <c r="AN1502" s="15">
        <f t="shared" si="24"/>
        <v>750</v>
      </c>
      <c r="AO1502" s="15">
        <f t="shared" si="25"/>
        <v>6</v>
      </c>
      <c r="AP1502" s="15">
        <f t="shared" si="26"/>
        <v>6</v>
      </c>
      <c r="AQ1502" s="15">
        <f t="shared" si="27"/>
        <v>25</v>
      </c>
      <c r="AR1502" s="31"/>
      <c r="AS1502" s="31"/>
      <c r="AT1502" s="35" t="s">
        <v>222</v>
      </c>
      <c r="AU1502" s="35"/>
    </row>
    <row r="1503" ht="15.75" customHeight="1">
      <c r="A1503" s="15" t="s">
        <v>7210</v>
      </c>
      <c r="B1503" s="15" t="s">
        <v>301</v>
      </c>
      <c r="C1503" s="15" t="s">
        <v>98</v>
      </c>
      <c r="D1503" s="15" t="s">
        <v>7211</v>
      </c>
      <c r="E1503" s="15" t="s">
        <v>7211</v>
      </c>
      <c r="F1503" s="58" t="s">
        <v>807</v>
      </c>
      <c r="G1503" s="66" t="s">
        <v>98</v>
      </c>
      <c r="H1503" s="18" t="s">
        <v>98</v>
      </c>
      <c r="I1503" s="18" t="s">
        <v>98</v>
      </c>
      <c r="J1503" s="18" t="s">
        <v>98</v>
      </c>
      <c r="K1503" s="18" t="s">
        <v>98</v>
      </c>
      <c r="L1503" s="18" t="s">
        <v>98</v>
      </c>
      <c r="M1503" s="18" t="s">
        <v>580</v>
      </c>
      <c r="N1503" s="18" t="s">
        <v>378</v>
      </c>
      <c r="O1503" s="18" t="s">
        <v>98</v>
      </c>
      <c r="P1503" s="15" t="str">
        <f t="shared" si="1"/>
        <v>VERIFY</v>
      </c>
      <c r="Q1503" s="15">
        <f t="shared" si="2"/>
        <v>4</v>
      </c>
      <c r="R1503" s="15">
        <f t="shared" si="3"/>
        <v>2</v>
      </c>
      <c r="S1503" s="15">
        <f t="shared" si="4"/>
        <v>5</v>
      </c>
      <c r="T1503" s="15" t="str">
        <f t="shared" si="5"/>
        <v>C-6</v>
      </c>
      <c r="U1503" s="15" t="str">
        <f t="shared" si="6"/>
        <v>T4-M2-H5-FC-6-VERIFY</v>
      </c>
      <c r="V1503" s="15">
        <f t="shared" si="7"/>
        <v>0</v>
      </c>
      <c r="W1503" s="31"/>
      <c r="X1503" s="15" t="str">
        <f t="shared" si="8"/>
        <v>pordenone-italy</v>
      </c>
      <c r="Y1503" s="32" t="str">
        <f t="shared" si="9"/>
        <v>https://steelmanufacturer.in/market-area/electropolished-pipes-manufacturer-in-pordenone-italy/</v>
      </c>
      <c r="Z1503" s="15" t="str">
        <f t="shared" si="10"/>
        <v>Electropolished Pipes Manufacturer in Pordenone</v>
      </c>
      <c r="AA1503" s="15" t="str">
        <f t="shared" si="11"/>
        <v>OK (47)</v>
      </c>
      <c r="AB1503" s="15" t="str">
        <f t="shared" si="12"/>
        <v>Electropolished tube supply to VERIFY, Pordenone. Ra from 0.25 um, SF4 finish, mill test certificate with every lot.</v>
      </c>
      <c r="AC1503" s="15" t="str">
        <f t="shared" si="13"/>
        <v>PENDING RESEARCH</v>
      </c>
      <c r="AD1503" s="15" t="str">
        <f t="shared" si="14"/>
        <v>Electropolished Pipes Manufacturer in Pordenone</v>
      </c>
      <c r="AE1503" s="15" t="str">
        <f t="shared" si="15"/>
        <v>Electropolished Tube Manufacturing Capability Serving Pordenone</v>
      </c>
      <c r="AF1503" s="15" t="str">
        <f t="shared" si="16"/>
        <v>Electropolished Pipes Supplier in Pordenone - From Order to Delivery</v>
      </c>
      <c r="AG1503" s="15" t="str">
        <f t="shared" si="17"/>
        <v>Stockist &amp; Wholesale Supply of Electropolished Pipes in Pordenone</v>
      </c>
      <c r="AH1503" s="15" t="str">
        <f t="shared" si="18"/>
        <v>electropolished pipes manufacturer in Pordenone, electropolished pipes supplier in Pordenone, electropolished pipes wholesaler in Pordenone, electropolished tube manufacturer Pordenone, EP pipe supplier Pordenone, sanitary tube supplier Pordenone, ASME BPE tubing Pordenone, ASTM A270 tube Pordenone, SS 316L electropolished pipe Pordenone</v>
      </c>
      <c r="AI1503" s="15" t="str">
        <f t="shared" si="19"/>
        <v>Electropolished Pipes Manufacturer &amp; Supplier in Pordenone</v>
      </c>
      <c r="AJ1503" s="15" t="str">
        <f t="shared" si="20"/>
        <v>EP-finished SS 304/316L pipes and tubes for VERIFY plants in Pordenone. ASME BPE SF1-SF4, Ra from 0.25 um, EN 10204 3.1 certificate with every lot.</v>
      </c>
      <c r="AK1503" s="15" t="str">
        <f t="shared" si="21"/>
        <v>Electropolished stainless steel pipes supplied by Sakshi Forge to VERIFY plants at VERIFY, Pordenone</v>
      </c>
      <c r="AL1503" s="15" t="str">
        <f t="shared" si="22"/>
        <v>Electropolished SS 316L tube stock for Pordenone - Sakshi Forge</v>
      </c>
      <c r="AM1503" s="15" t="str">
        <f t="shared" si="23"/>
        <v>Home &gt; Market Area &gt; Italy &gt; VERIFY &gt; Pordenone</v>
      </c>
      <c r="AN1503" s="15">
        <f t="shared" si="24"/>
        <v>750</v>
      </c>
      <c r="AO1503" s="15">
        <f t="shared" si="25"/>
        <v>6</v>
      </c>
      <c r="AP1503" s="15">
        <f t="shared" si="26"/>
        <v>6</v>
      </c>
      <c r="AQ1503" s="15">
        <f t="shared" si="27"/>
        <v>25</v>
      </c>
      <c r="AR1503" s="31"/>
      <c r="AS1503" s="31"/>
      <c r="AT1503" s="35" t="s">
        <v>222</v>
      </c>
      <c r="AU1503" s="35"/>
    </row>
    <row r="1504" ht="15.75" customHeight="1">
      <c r="A1504" s="15" t="s">
        <v>7212</v>
      </c>
      <c r="B1504" s="15" t="s">
        <v>301</v>
      </c>
      <c r="C1504" s="15" t="s">
        <v>98</v>
      </c>
      <c r="D1504" s="15" t="s">
        <v>7213</v>
      </c>
      <c r="E1504" s="15" t="s">
        <v>7213</v>
      </c>
      <c r="F1504" s="58" t="s">
        <v>807</v>
      </c>
      <c r="G1504" s="66" t="s">
        <v>98</v>
      </c>
      <c r="H1504" s="18" t="s">
        <v>98</v>
      </c>
      <c r="I1504" s="18" t="s">
        <v>98</v>
      </c>
      <c r="J1504" s="18" t="s">
        <v>98</v>
      </c>
      <c r="K1504" s="18" t="s">
        <v>98</v>
      </c>
      <c r="L1504" s="18" t="s">
        <v>98</v>
      </c>
      <c r="M1504" s="18" t="s">
        <v>580</v>
      </c>
      <c r="N1504" s="18" t="s">
        <v>378</v>
      </c>
      <c r="O1504" s="18" t="s">
        <v>98</v>
      </c>
      <c r="P1504" s="15" t="str">
        <f t="shared" si="1"/>
        <v>VERIFY</v>
      </c>
      <c r="Q1504" s="15">
        <f t="shared" si="2"/>
        <v>5</v>
      </c>
      <c r="R1504" s="15">
        <f t="shared" si="3"/>
        <v>3</v>
      </c>
      <c r="S1504" s="15">
        <f t="shared" si="4"/>
        <v>1</v>
      </c>
      <c r="T1504" s="15" t="str">
        <f t="shared" si="5"/>
        <v>C-1</v>
      </c>
      <c r="U1504" s="15" t="str">
        <f t="shared" si="6"/>
        <v>T5-M3-H1-FC-1-VERIFY</v>
      </c>
      <c r="V1504" s="15">
        <f t="shared" si="7"/>
        <v>0</v>
      </c>
      <c r="W1504" s="31"/>
      <c r="X1504" s="15" t="str">
        <f t="shared" si="8"/>
        <v>potenza-italy</v>
      </c>
      <c r="Y1504" s="32" t="str">
        <f t="shared" si="9"/>
        <v>https://steelmanufacturer.in/market-area/electropolished-pipes-manufacturer-in-potenza-italy/</v>
      </c>
      <c r="Z1504" s="15" t="str">
        <f t="shared" si="10"/>
        <v>Electropolished Pipes Manufacturer in Potenza</v>
      </c>
      <c r="AA1504" s="15" t="str">
        <f t="shared" si="11"/>
        <v>OK (45)</v>
      </c>
      <c r="AB1504" s="15" t="str">
        <f t="shared" si="12"/>
        <v>EP stainless tube for VERIFY lines in Potenza. 18-24 days sea from Nhava Sheva to Genoa. ASTM A270 S2, PMI tested, EN 10204 3.1.</v>
      </c>
      <c r="AC1504" s="15" t="str">
        <f t="shared" si="13"/>
        <v>PENDING RESEARCH</v>
      </c>
      <c r="AD1504" s="15" t="str">
        <f t="shared" si="14"/>
        <v>Electropolished Pipes Manufacturer in Potenza</v>
      </c>
      <c r="AE1504" s="15" t="str">
        <f t="shared" si="15"/>
        <v>Electropolished Pipe &amp; Tube Manufacturing for Potenza - Grades, Finishes &amp; Certification</v>
      </c>
      <c r="AF1504" s="15" t="str">
        <f t="shared" si="16"/>
        <v>Electropolished Pipes Supplier in Potenza - Stock Sizes, Lead Time &amp; Delivery</v>
      </c>
      <c r="AG1504" s="15" t="str">
        <f t="shared" si="17"/>
        <v>Electropolished Pipes Wholesaler &amp; Stockist in Potenza - Bulk &amp; Project Pricing</v>
      </c>
      <c r="AH1504" s="15" t="str">
        <f t="shared" si="18"/>
        <v>electropolished pipes manufacturer in Potenza, electropolished pipes supplier in Potenza, electropolished pipes wholesaler in Potenza, electropolished tube manufacturer Potenza, EP pipe supplier Potenza, sanitary tube supplier Potenza, ASME BPE tubing Potenza, ASTM A270 tube Potenza, SS 316L electropolished pipe Potenza</v>
      </c>
      <c r="AI1504" s="15" t="str">
        <f t="shared" si="19"/>
        <v>Electropolished Pipes Manufacturer &amp; Supplier in Potenza</v>
      </c>
      <c r="AJ1504" s="15" t="str">
        <f t="shared" si="20"/>
        <v>EP-finished SS 304/316L pipes and tubes for VERIFY plants in Potenza. ASME BPE SF1-SF4, Ra from 0.25 um, EN 10204 3.1 certificate with every lot.</v>
      </c>
      <c r="AK1504" s="15" t="str">
        <f t="shared" si="21"/>
        <v>Electropolished stainless steel pipes supplied by Sakshi Forge to VERIFY plants at VERIFY, Potenza</v>
      </c>
      <c r="AL1504" s="15" t="str">
        <f t="shared" si="22"/>
        <v>Electropolished SS 316L tube stock for Potenza - Sakshi Forge</v>
      </c>
      <c r="AM1504" s="15" t="str">
        <f t="shared" si="23"/>
        <v>Home &gt; Market Area &gt; Italy &gt; VERIFY &gt; Potenza</v>
      </c>
      <c r="AN1504" s="15">
        <f t="shared" si="24"/>
        <v>750</v>
      </c>
      <c r="AO1504" s="15">
        <f t="shared" si="25"/>
        <v>6</v>
      </c>
      <c r="AP1504" s="15">
        <f t="shared" si="26"/>
        <v>6</v>
      </c>
      <c r="AQ1504" s="15">
        <f t="shared" si="27"/>
        <v>26</v>
      </c>
      <c r="AR1504" s="31"/>
      <c r="AS1504" s="31"/>
      <c r="AT1504" s="35" t="s">
        <v>222</v>
      </c>
      <c r="AU1504" s="35"/>
    </row>
    <row r="1505" ht="15.75" customHeight="1">
      <c r="A1505" s="15" t="s">
        <v>7214</v>
      </c>
      <c r="B1505" s="15" t="s">
        <v>301</v>
      </c>
      <c r="C1505" s="15" t="s">
        <v>98</v>
      </c>
      <c r="D1505" s="15" t="s">
        <v>7215</v>
      </c>
      <c r="E1505" s="15" t="s">
        <v>7215</v>
      </c>
      <c r="F1505" s="58" t="s">
        <v>807</v>
      </c>
      <c r="G1505" s="66" t="s">
        <v>98</v>
      </c>
      <c r="H1505" s="18" t="s">
        <v>98</v>
      </c>
      <c r="I1505" s="18" t="s">
        <v>98</v>
      </c>
      <c r="J1505" s="18" t="s">
        <v>98</v>
      </c>
      <c r="K1505" s="18" t="s">
        <v>98</v>
      </c>
      <c r="L1505" s="18" t="s">
        <v>98</v>
      </c>
      <c r="M1505" s="18" t="s">
        <v>580</v>
      </c>
      <c r="N1505" s="18" t="s">
        <v>378</v>
      </c>
      <c r="O1505" s="18" t="s">
        <v>98</v>
      </c>
      <c r="P1505" s="15" t="str">
        <f t="shared" si="1"/>
        <v>VERIFY</v>
      </c>
      <c r="Q1505" s="15">
        <f t="shared" si="2"/>
        <v>6</v>
      </c>
      <c r="R1505" s="15">
        <f t="shared" si="3"/>
        <v>4</v>
      </c>
      <c r="S1505" s="15">
        <f t="shared" si="4"/>
        <v>2</v>
      </c>
      <c r="T1505" s="15" t="str">
        <f t="shared" si="5"/>
        <v>C-2</v>
      </c>
      <c r="U1505" s="15" t="str">
        <f t="shared" si="6"/>
        <v>T6-M4-H2-FC-2-VERIFY</v>
      </c>
      <c r="V1505" s="15">
        <f t="shared" si="7"/>
        <v>0</v>
      </c>
      <c r="W1505" s="31"/>
      <c r="X1505" s="15" t="str">
        <f t="shared" si="8"/>
        <v>prato-italy</v>
      </c>
      <c r="Y1505" s="32" t="str">
        <f t="shared" si="9"/>
        <v>https://steelmanufacturer.in/market-area/electropolished-pipes-manufacturer-in-prato-italy/</v>
      </c>
      <c r="Z1505" s="15" t="str">
        <f t="shared" si="10"/>
        <v>Electropolished Pipes Manufacturer in Prato</v>
      </c>
      <c r="AA1505" s="15" t="str">
        <f t="shared" si="11"/>
        <v>OK (43)</v>
      </c>
      <c r="AB1505" s="15" t="str">
        <f t="shared" si="12"/>
        <v>Sanitary electropolished pipes in Prato for VERIFY plants. ASME BPE SF1-SF4, orbital-weld ready, 3.1 MTC. Mumbai-made.</v>
      </c>
      <c r="AC1505" s="15" t="str">
        <f t="shared" si="13"/>
        <v>PENDING RESEARCH</v>
      </c>
      <c r="AD1505" s="15" t="str">
        <f t="shared" si="14"/>
        <v>Electropolished Pipes Manufacturer in Prato</v>
      </c>
      <c r="AE1505" s="15" t="str">
        <f t="shared" si="15"/>
        <v>How We Manufacture Electropolished Tube for Prato Plants</v>
      </c>
      <c r="AF1505" s="15" t="str">
        <f t="shared" si="16"/>
        <v>Supplying Electropolished Pipes in Prato: Availability, Sizes &amp; Dispatch</v>
      </c>
      <c r="AG1505" s="15" t="str">
        <f t="shared" si="17"/>
        <v>Wholesale Electropolished Pipe Supply for Prato Projects</v>
      </c>
      <c r="AH1505" s="15" t="str">
        <f t="shared" si="18"/>
        <v>electropolished pipes manufacturer in Prato, electropolished pipes supplier in Prato, electropolished pipes wholesaler in Prato, electropolished tube manufacturer Prato, EP pipe supplier Prato, sanitary tube supplier Prato, ASME BPE tubing Prato, ASTM A270 tube Prato, SS 316L electropolished pipe Prato</v>
      </c>
      <c r="AI1505" s="15" t="str">
        <f t="shared" si="19"/>
        <v>Electropolished Pipes Manufacturer &amp; Supplier in Prato</v>
      </c>
      <c r="AJ1505" s="15" t="str">
        <f t="shared" si="20"/>
        <v>EP-finished SS 304/316L pipes and tubes for VERIFY plants in Prato. ASME BPE SF1-SF4, Ra from 0.25 um, EN 10204 3.1 certificate with every lot.</v>
      </c>
      <c r="AK1505" s="15" t="str">
        <f t="shared" si="21"/>
        <v>Electropolished stainless steel pipes supplied by Sakshi Forge to VERIFY plants at VERIFY, Prato</v>
      </c>
      <c r="AL1505" s="15" t="str">
        <f t="shared" si="22"/>
        <v>Electropolished SS 316L tube stock for Prato - Sakshi Forge</v>
      </c>
      <c r="AM1505" s="15" t="str">
        <f t="shared" si="23"/>
        <v>Home &gt; Market Area &gt; Italy &gt; VERIFY &gt; Prato</v>
      </c>
      <c r="AN1505" s="15">
        <f t="shared" si="24"/>
        <v>750</v>
      </c>
      <c r="AO1505" s="15">
        <f t="shared" si="25"/>
        <v>6</v>
      </c>
      <c r="AP1505" s="15">
        <f t="shared" si="26"/>
        <v>6</v>
      </c>
      <c r="AQ1505" s="15">
        <f t="shared" si="27"/>
        <v>26</v>
      </c>
      <c r="AR1505" s="31"/>
      <c r="AS1505" s="31"/>
      <c r="AT1505" s="35" t="s">
        <v>222</v>
      </c>
      <c r="AU1505" s="35"/>
    </row>
    <row r="1506" ht="15.75" customHeight="1">
      <c r="A1506" s="15" t="s">
        <v>7216</v>
      </c>
      <c r="B1506" s="15" t="s">
        <v>301</v>
      </c>
      <c r="C1506" s="15" t="s">
        <v>98</v>
      </c>
      <c r="D1506" s="15" t="s">
        <v>7218</v>
      </c>
      <c r="E1506" s="15" t="s">
        <v>7218</v>
      </c>
      <c r="F1506" s="58" t="s">
        <v>807</v>
      </c>
      <c r="G1506" s="66" t="s">
        <v>98</v>
      </c>
      <c r="H1506" s="18" t="s">
        <v>98</v>
      </c>
      <c r="I1506" s="18" t="s">
        <v>98</v>
      </c>
      <c r="J1506" s="18" t="s">
        <v>98</v>
      </c>
      <c r="K1506" s="18" t="s">
        <v>98</v>
      </c>
      <c r="L1506" s="18" t="s">
        <v>98</v>
      </c>
      <c r="M1506" s="18" t="s">
        <v>580</v>
      </c>
      <c r="N1506" s="18" t="s">
        <v>378</v>
      </c>
      <c r="O1506" s="18" t="s">
        <v>98</v>
      </c>
      <c r="P1506" s="15" t="str">
        <f t="shared" si="1"/>
        <v>VERIFY</v>
      </c>
      <c r="Q1506" s="15">
        <f t="shared" si="2"/>
        <v>7</v>
      </c>
      <c r="R1506" s="15">
        <f t="shared" si="3"/>
        <v>5</v>
      </c>
      <c r="S1506" s="15">
        <f t="shared" si="4"/>
        <v>3</v>
      </c>
      <c r="T1506" s="15" t="str">
        <f t="shared" si="5"/>
        <v>C-3</v>
      </c>
      <c r="U1506" s="15" t="str">
        <f t="shared" si="6"/>
        <v>T7-M5-H3-FC-3-VERIFY</v>
      </c>
      <c r="V1506" s="15">
        <f t="shared" si="7"/>
        <v>0</v>
      </c>
      <c r="W1506" s="31"/>
      <c r="X1506" s="15" t="str">
        <f t="shared" si="8"/>
        <v>ragusa-italy</v>
      </c>
      <c r="Y1506" s="32" t="str">
        <f t="shared" si="9"/>
        <v>https://steelmanufacturer.in/market-area/electropolished-pipes-manufacturer-in-ragusa-italy/</v>
      </c>
      <c r="Z1506" s="15" t="str">
        <f t="shared" si="10"/>
        <v>Electropolished Pipes Manufacturer in Ragusa | ASME BPE SF1-SF4</v>
      </c>
      <c r="AA1506" s="15" t="str">
        <f t="shared" si="11"/>
        <v>OK (63)</v>
      </c>
      <c r="AB1506" s="15" t="str">
        <f t="shared" si="12"/>
        <v>Manufacturer of electropolished SS 316L tube serving Ragusa. 18-24 days sea from Nhava Sheva to Genoa. Ra 0.25-0.5 um, EN 10204 3.1 MTC.</v>
      </c>
      <c r="AC1506" s="15" t="str">
        <f t="shared" si="13"/>
        <v>PENDING RESEARCH</v>
      </c>
      <c r="AD1506" s="15" t="str">
        <f t="shared" si="14"/>
        <v>Electropolished Pipes Manufacturer in Ragusa</v>
      </c>
      <c r="AE1506" s="15" t="str">
        <f t="shared" si="15"/>
        <v>Electropolished Pipes Manufacturer in Ragusa - Our Process &amp; Capability</v>
      </c>
      <c r="AF1506" s="15" t="str">
        <f t="shared" si="16"/>
        <v>Electropolished Pipes Supplier in Ragusa - What We Hold in Stock</v>
      </c>
      <c r="AG1506" s="15" t="str">
        <f t="shared" si="17"/>
        <v>Bulk &amp; Wholesale Electropolished Pipe Rates for Ragusa Buyers</v>
      </c>
      <c r="AH1506" s="15" t="str">
        <f t="shared" si="18"/>
        <v>electropolished pipes manufacturer in Ragusa, electropolished pipes supplier in Ragusa, electropolished pipes wholesaler in Ragusa, electropolished tube manufacturer Ragusa, EP pipe supplier Ragusa, sanitary tube supplier Ragusa, ASME BPE tubing Ragusa, ASTM A270 tube Ragusa, SS 316L electropolished pipe Ragusa</v>
      </c>
      <c r="AI1506" s="15" t="str">
        <f t="shared" si="19"/>
        <v>Electropolished Pipes Manufacturer &amp; Supplier in Ragusa</v>
      </c>
      <c r="AJ1506" s="15" t="str">
        <f t="shared" si="20"/>
        <v>EP-finished SS 304/316L pipes and tubes for VERIFY plants in Ragusa. ASME BPE SF1-SF4, Ra from 0.25 um, EN 10204 3.1 certificate with every lot.</v>
      </c>
      <c r="AK1506" s="15" t="str">
        <f t="shared" si="21"/>
        <v>Electropolished stainless steel pipes supplied by Sakshi Forge to VERIFY plants at VERIFY, Ragusa</v>
      </c>
      <c r="AL1506" s="15" t="str">
        <f t="shared" si="22"/>
        <v>Electropolished SS 316L tube stock for Ragusa - Sakshi Forge</v>
      </c>
      <c r="AM1506" s="15" t="str">
        <f t="shared" si="23"/>
        <v>Home &gt; Market Area &gt; Italy &gt; VERIFY &gt; Ragusa</v>
      </c>
      <c r="AN1506" s="15">
        <f t="shared" si="24"/>
        <v>750</v>
      </c>
      <c r="AO1506" s="15">
        <f t="shared" si="25"/>
        <v>6</v>
      </c>
      <c r="AP1506" s="15">
        <f t="shared" si="26"/>
        <v>6</v>
      </c>
      <c r="AQ1506" s="15">
        <f t="shared" si="27"/>
        <v>26</v>
      </c>
      <c r="AR1506" s="31"/>
      <c r="AS1506" s="31"/>
      <c r="AT1506" s="35" t="s">
        <v>222</v>
      </c>
      <c r="AU1506" s="35"/>
    </row>
    <row r="1507" ht="15.75" customHeight="1">
      <c r="A1507" s="15" t="s">
        <v>7223</v>
      </c>
      <c r="B1507" s="15" t="s">
        <v>301</v>
      </c>
      <c r="C1507" s="15" t="s">
        <v>98</v>
      </c>
      <c r="D1507" s="15" t="s">
        <v>7226</v>
      </c>
      <c r="E1507" s="15" t="s">
        <v>7226</v>
      </c>
      <c r="F1507" s="58" t="s">
        <v>807</v>
      </c>
      <c r="G1507" s="66" t="s">
        <v>98</v>
      </c>
      <c r="H1507" s="18" t="s">
        <v>98</v>
      </c>
      <c r="I1507" s="18" t="s">
        <v>98</v>
      </c>
      <c r="J1507" s="18" t="s">
        <v>98</v>
      </c>
      <c r="K1507" s="18" t="s">
        <v>98</v>
      </c>
      <c r="L1507" s="18" t="s">
        <v>98</v>
      </c>
      <c r="M1507" s="18" t="s">
        <v>580</v>
      </c>
      <c r="N1507" s="18" t="s">
        <v>378</v>
      </c>
      <c r="O1507" s="18" t="s">
        <v>98</v>
      </c>
      <c r="P1507" s="15" t="str">
        <f t="shared" si="1"/>
        <v>VERIFY</v>
      </c>
      <c r="Q1507" s="15">
        <f t="shared" si="2"/>
        <v>8</v>
      </c>
      <c r="R1507" s="15">
        <f t="shared" si="3"/>
        <v>6</v>
      </c>
      <c r="S1507" s="15">
        <f t="shared" si="4"/>
        <v>4</v>
      </c>
      <c r="T1507" s="15" t="str">
        <f t="shared" si="5"/>
        <v>C-4</v>
      </c>
      <c r="U1507" s="15" t="str">
        <f t="shared" si="6"/>
        <v>T8-M6-H4-FC-4-VERIFY</v>
      </c>
      <c r="V1507" s="15">
        <f t="shared" si="7"/>
        <v>0</v>
      </c>
      <c r="W1507" s="31"/>
      <c r="X1507" s="15" t="str">
        <f t="shared" si="8"/>
        <v>reggio-calabria-italy</v>
      </c>
      <c r="Y1507" s="32" t="str">
        <f t="shared" si="9"/>
        <v>https://steelmanufacturer.in/market-area/electropolished-pipes-manufacturer-in-reggio-calabria-italy/</v>
      </c>
      <c r="Z1507" s="15" t="str">
        <f t="shared" si="10"/>
        <v>Electropolished Pipes Manufacturer in Reggio Calabria</v>
      </c>
      <c r="AA1507" s="15" t="str">
        <f t="shared" si="11"/>
        <v>OK (53)</v>
      </c>
      <c r="AB1507" s="15" t="str">
        <f t="shared" si="12"/>
        <v>EP tube and pipe for VERIFY plants around VERIFY, Reggio Calabria. Made at our Mumbai works to ASTM A270 and ASME BPE SF1-SF4, with 3.1 MTC.</v>
      </c>
      <c r="AC1507" s="15" t="str">
        <f t="shared" si="13"/>
        <v>PENDING RESEARCH</v>
      </c>
      <c r="AD1507" s="15" t="str">
        <f t="shared" si="14"/>
        <v>Electropolished Pipes Manufacturer in Reggio Calabria</v>
      </c>
      <c r="AE1507" s="15" t="str">
        <f t="shared" si="15"/>
        <v>Manufacturing Electropolished SS Tube for Reggio Calabria: The Standards We Build To</v>
      </c>
      <c r="AF1507" s="15" t="str">
        <f t="shared" si="16"/>
        <v>Electropolished Pipe Supply Into Reggio Calabria - Certification &amp; Transit</v>
      </c>
      <c r="AG1507" s="15" t="str">
        <f t="shared" si="17"/>
        <v>Electropolished Pipes Wholesaler in Reggio Calabria - Project Quantities &amp; Terms</v>
      </c>
      <c r="AH1507" s="15" t="str">
        <f t="shared" si="18"/>
        <v>electropolished pipes manufacturer in Reggio Calabria, electropolished pipes supplier in Reggio Calabria, electropolished pipes wholesaler in Reggio Calabria, electropolished tube manufacturer Reggio Calabria, EP pipe supplier Reggio Calabria, sanitary tube supplier Reggio Calabria, ASME BPE tubing Reggio Calabria, ASTM A270 tube Reggio Calabria, SS 316L electropolished pipe Reggio Calabria</v>
      </c>
      <c r="AI1507" s="15" t="str">
        <f t="shared" si="19"/>
        <v>Electropolished Pipes Manufacturer &amp; Supplier in Reggio Calabria</v>
      </c>
      <c r="AJ1507" s="15" t="str">
        <f t="shared" si="20"/>
        <v>EP-finished SS 304/316L pipes and tubes for VERIFY plants in Reggio Calabria. ASME BPE SF1-SF4, Ra from 0.25 um, EN 10204 3.1 certificate with every lot.</v>
      </c>
      <c r="AK1507" s="15" t="str">
        <f t="shared" si="21"/>
        <v>Electropolished stainless steel pipes supplied by Sakshi Forge to VERIFY plants at VERIFY, Reggio Calabria</v>
      </c>
      <c r="AL1507" s="15" t="str">
        <f t="shared" si="22"/>
        <v>Electropolished SS 316L tube stock for Reggio Calabria - Sakshi Forge</v>
      </c>
      <c r="AM1507" s="15" t="str">
        <f t="shared" si="23"/>
        <v>Home &gt; Market Area &gt; Italy &gt; VERIFY &gt; Reggio Calabria</v>
      </c>
      <c r="AN1507" s="15">
        <f t="shared" si="24"/>
        <v>750</v>
      </c>
      <c r="AO1507" s="15">
        <f t="shared" si="25"/>
        <v>6</v>
      </c>
      <c r="AP1507" s="15">
        <f t="shared" si="26"/>
        <v>6</v>
      </c>
      <c r="AQ1507" s="15">
        <f t="shared" si="27"/>
        <v>26</v>
      </c>
      <c r="AR1507" s="31"/>
      <c r="AS1507" s="31"/>
      <c r="AT1507" s="35" t="s">
        <v>222</v>
      </c>
      <c r="AU1507" s="35"/>
    </row>
    <row r="1508" ht="15.75" customHeight="1">
      <c r="A1508" s="15" t="s">
        <v>7227</v>
      </c>
      <c r="B1508" s="15" t="s">
        <v>301</v>
      </c>
      <c r="C1508" s="15" t="s">
        <v>98</v>
      </c>
      <c r="D1508" s="15" t="s">
        <v>7228</v>
      </c>
      <c r="E1508" s="15" t="s">
        <v>7228</v>
      </c>
      <c r="F1508" s="58" t="s">
        <v>807</v>
      </c>
      <c r="G1508" s="66" t="s">
        <v>98</v>
      </c>
      <c r="H1508" s="18" t="s">
        <v>98</v>
      </c>
      <c r="I1508" s="18" t="s">
        <v>98</v>
      </c>
      <c r="J1508" s="18" t="s">
        <v>98</v>
      </c>
      <c r="K1508" s="18" t="s">
        <v>98</v>
      </c>
      <c r="L1508" s="18" t="s">
        <v>98</v>
      </c>
      <c r="M1508" s="18" t="s">
        <v>580</v>
      </c>
      <c r="N1508" s="18" t="s">
        <v>378</v>
      </c>
      <c r="O1508" s="18" t="s">
        <v>98</v>
      </c>
      <c r="P1508" s="15" t="str">
        <f t="shared" si="1"/>
        <v>VERIFY</v>
      </c>
      <c r="Q1508" s="15">
        <f t="shared" si="2"/>
        <v>1</v>
      </c>
      <c r="R1508" s="15">
        <f t="shared" si="3"/>
        <v>7</v>
      </c>
      <c r="S1508" s="15">
        <f t="shared" si="4"/>
        <v>5</v>
      </c>
      <c r="T1508" s="15" t="str">
        <f t="shared" si="5"/>
        <v>C-5</v>
      </c>
      <c r="U1508" s="15" t="str">
        <f t="shared" si="6"/>
        <v>T1-M7-H5-FC-5-VERIFY</v>
      </c>
      <c r="V1508" s="15">
        <f t="shared" si="7"/>
        <v>0</v>
      </c>
      <c r="W1508" s="31"/>
      <c r="X1508" s="15" t="str">
        <f t="shared" si="8"/>
        <v>rimini-italy</v>
      </c>
      <c r="Y1508" s="32" t="str">
        <f t="shared" si="9"/>
        <v>https://steelmanufacturer.in/market-area/electropolished-pipes-manufacturer-in-rimini-italy/</v>
      </c>
      <c r="Z1508" s="15" t="str">
        <f t="shared" si="10"/>
        <v>Electropolished Pipes Manufacturer in Rimini | Sakshi Forge</v>
      </c>
      <c r="AA1508" s="15" t="str">
        <f t="shared" si="11"/>
        <v>OK (59)</v>
      </c>
      <c r="AB1508" s="15" t="str">
        <f t="shared" si="12"/>
        <v>Electropolished pipes in Rimini: 304, 304L, 316 and 316L in SF1-SF4. 18-24 days sea from Nhava Sheva to Genoa. Mill certified.</v>
      </c>
      <c r="AC1508" s="15" t="str">
        <f t="shared" si="13"/>
        <v>PENDING RESEARCH</v>
      </c>
      <c r="AD1508" s="15" t="str">
        <f t="shared" si="14"/>
        <v>Electropolished Pipes Manufacturer in Rimini</v>
      </c>
      <c r="AE1508" s="15" t="str">
        <f t="shared" si="15"/>
        <v>Electropolished Tube Manufacturing Capability Serving Rimini</v>
      </c>
      <c r="AF1508" s="15" t="str">
        <f t="shared" si="16"/>
        <v>Electropolished Pipes Supplier in Rimini - From Order to Delivery</v>
      </c>
      <c r="AG1508" s="15" t="str">
        <f t="shared" si="17"/>
        <v>Stockist &amp; Wholesale Supply of Electropolished Pipes in Rimini</v>
      </c>
      <c r="AH1508" s="15" t="str">
        <f t="shared" si="18"/>
        <v>electropolished pipes manufacturer in Rimini, electropolished pipes supplier in Rimini, electropolished pipes wholesaler in Rimini, electropolished tube manufacturer Rimini, EP pipe supplier Rimini, sanitary tube supplier Rimini, ASME BPE tubing Rimini, ASTM A270 tube Rimini, SS 316L electropolished pipe Rimini</v>
      </c>
      <c r="AI1508" s="15" t="str">
        <f t="shared" si="19"/>
        <v>Electropolished Pipes Manufacturer &amp; Supplier in Rimini</v>
      </c>
      <c r="AJ1508" s="15" t="str">
        <f t="shared" si="20"/>
        <v>EP-finished SS 304/316L pipes and tubes for VERIFY plants in Rimini. ASME BPE SF1-SF4, Ra from 0.25 um, EN 10204 3.1 certificate with every lot.</v>
      </c>
      <c r="AK1508" s="15" t="str">
        <f t="shared" si="21"/>
        <v>Electropolished stainless steel pipes supplied by Sakshi Forge to VERIFY plants at VERIFY, Rimini</v>
      </c>
      <c r="AL1508" s="15" t="str">
        <f t="shared" si="22"/>
        <v>Electropolished SS 316L tube stock for Rimini - Sakshi Forge</v>
      </c>
      <c r="AM1508" s="15" t="str">
        <f t="shared" si="23"/>
        <v>Home &gt; Market Area &gt; Italy &gt; VERIFY &gt; Rimini</v>
      </c>
      <c r="AN1508" s="15">
        <f t="shared" si="24"/>
        <v>750</v>
      </c>
      <c r="AO1508" s="15">
        <f t="shared" si="25"/>
        <v>6</v>
      </c>
      <c r="AP1508" s="15">
        <f t="shared" si="26"/>
        <v>6</v>
      </c>
      <c r="AQ1508" s="15">
        <f t="shared" si="27"/>
        <v>26</v>
      </c>
      <c r="AR1508" s="31"/>
      <c r="AS1508" s="31"/>
      <c r="AT1508" s="35" t="s">
        <v>222</v>
      </c>
      <c r="AU1508" s="35"/>
    </row>
    <row r="1509" ht="15.75" customHeight="1">
      <c r="A1509" s="15" t="s">
        <v>7229</v>
      </c>
      <c r="B1509" s="15" t="s">
        <v>301</v>
      </c>
      <c r="C1509" s="15" t="s">
        <v>98</v>
      </c>
      <c r="D1509" s="15" t="s">
        <v>7230</v>
      </c>
      <c r="E1509" s="15" t="s">
        <v>7230</v>
      </c>
      <c r="F1509" s="58" t="s">
        <v>807</v>
      </c>
      <c r="G1509" s="66" t="s">
        <v>98</v>
      </c>
      <c r="H1509" s="18" t="s">
        <v>98</v>
      </c>
      <c r="I1509" s="18" t="s">
        <v>98</v>
      </c>
      <c r="J1509" s="18" t="s">
        <v>98</v>
      </c>
      <c r="K1509" s="18" t="s">
        <v>98</v>
      </c>
      <c r="L1509" s="18" t="s">
        <v>98</v>
      </c>
      <c r="M1509" s="18" t="s">
        <v>580</v>
      </c>
      <c r="N1509" s="18" t="s">
        <v>378</v>
      </c>
      <c r="O1509" s="18" t="s">
        <v>98</v>
      </c>
      <c r="P1509" s="15" t="str">
        <f t="shared" si="1"/>
        <v>VERIFY</v>
      </c>
      <c r="Q1509" s="15">
        <f t="shared" si="2"/>
        <v>2</v>
      </c>
      <c r="R1509" s="15">
        <f t="shared" si="3"/>
        <v>1</v>
      </c>
      <c r="S1509" s="15">
        <f t="shared" si="4"/>
        <v>1</v>
      </c>
      <c r="T1509" s="15" t="str">
        <f t="shared" si="5"/>
        <v>C-6</v>
      </c>
      <c r="U1509" s="15" t="str">
        <f t="shared" si="6"/>
        <v>T2-M1-H1-FC-6-VERIFY</v>
      </c>
      <c r="V1509" s="15">
        <f t="shared" si="7"/>
        <v>0</v>
      </c>
      <c r="W1509" s="31"/>
      <c r="X1509" s="15" t="str">
        <f t="shared" si="8"/>
        <v>salerno-italy</v>
      </c>
      <c r="Y1509" s="32" t="str">
        <f t="shared" si="9"/>
        <v>https://steelmanufacturer.in/market-area/electropolished-pipes-manufacturer-in-salerno-italy/</v>
      </c>
      <c r="Z1509" s="15" t="str">
        <f t="shared" si="10"/>
        <v>Electropolished Pipes Manufacturer in Salerno</v>
      </c>
      <c r="AA1509" s="15" t="str">
        <f t="shared" si="11"/>
        <v>OK (45)</v>
      </c>
      <c r="AB1509" s="15" t="str">
        <f t="shared" si="12"/>
        <v>EP-finished SS 304/316L pipes &amp; tubes for VERIFY plants in Salerno. ASTM A270, ASME BPE SF1-SF4, EN 10204 3.1 MTC. PMI tested.</v>
      </c>
      <c r="AC1509" s="15" t="str">
        <f t="shared" si="13"/>
        <v>PENDING RESEARCH</v>
      </c>
      <c r="AD1509" s="15" t="str">
        <f t="shared" si="14"/>
        <v>Electropolished Pipes Manufacturer in Salerno</v>
      </c>
      <c r="AE1509" s="15" t="str">
        <f t="shared" si="15"/>
        <v>Electropolished Pipe &amp; Tube Manufacturing for Salerno - Grades, Finishes &amp; Certification</v>
      </c>
      <c r="AF1509" s="15" t="str">
        <f t="shared" si="16"/>
        <v>Electropolished Pipes Supplier in Salerno - Stock Sizes, Lead Time &amp; Delivery</v>
      </c>
      <c r="AG1509" s="15" t="str">
        <f t="shared" si="17"/>
        <v>Electropolished Pipes Wholesaler &amp; Stockist in Salerno - Bulk &amp; Project Pricing</v>
      </c>
      <c r="AH1509" s="15" t="str">
        <f t="shared" si="18"/>
        <v>electropolished pipes manufacturer in Salerno, electropolished pipes supplier in Salerno, electropolished pipes wholesaler in Salerno, electropolished tube manufacturer Salerno, EP pipe supplier Salerno, sanitary tube supplier Salerno, ASME BPE tubing Salerno, ASTM A270 tube Salerno, SS 316L electropolished pipe Salerno</v>
      </c>
      <c r="AI1509" s="15" t="str">
        <f t="shared" si="19"/>
        <v>Electropolished Pipes Manufacturer &amp; Supplier in Salerno</v>
      </c>
      <c r="AJ1509" s="15" t="str">
        <f t="shared" si="20"/>
        <v>EP-finished SS 304/316L pipes and tubes for VERIFY plants in Salerno. ASME BPE SF1-SF4, Ra from 0.25 um, EN 10204 3.1 certificate with every lot.</v>
      </c>
      <c r="AK1509" s="15" t="str">
        <f t="shared" si="21"/>
        <v>Electropolished stainless steel pipes supplied by Sakshi Forge to VERIFY plants at VERIFY, Salerno</v>
      </c>
      <c r="AL1509" s="15" t="str">
        <f t="shared" si="22"/>
        <v>Electropolished SS 316L tube stock for Salerno - Sakshi Forge</v>
      </c>
      <c r="AM1509" s="15" t="str">
        <f t="shared" si="23"/>
        <v>Home &gt; Market Area &gt; Italy &gt; VERIFY &gt; Salerno</v>
      </c>
      <c r="AN1509" s="15">
        <f t="shared" si="24"/>
        <v>750</v>
      </c>
      <c r="AO1509" s="15">
        <f t="shared" si="25"/>
        <v>6</v>
      </c>
      <c r="AP1509" s="15">
        <f t="shared" si="26"/>
        <v>6</v>
      </c>
      <c r="AQ1509" s="15">
        <f t="shared" si="27"/>
        <v>26</v>
      </c>
      <c r="AR1509" s="31"/>
      <c r="AS1509" s="31"/>
      <c r="AT1509" s="35" t="s">
        <v>222</v>
      </c>
      <c r="AU1509" s="35"/>
    </row>
    <row r="1510" ht="15.75" customHeight="1">
      <c r="A1510" s="15" t="s">
        <v>7231</v>
      </c>
      <c r="B1510" s="15" t="s">
        <v>301</v>
      </c>
      <c r="C1510" s="15" t="s">
        <v>98</v>
      </c>
      <c r="D1510" s="15" t="s">
        <v>7232</v>
      </c>
      <c r="E1510" s="15" t="s">
        <v>7232</v>
      </c>
      <c r="F1510" s="58" t="s">
        <v>807</v>
      </c>
      <c r="G1510" s="66" t="s">
        <v>98</v>
      </c>
      <c r="H1510" s="18" t="s">
        <v>98</v>
      </c>
      <c r="I1510" s="18" t="s">
        <v>98</v>
      </c>
      <c r="J1510" s="18" t="s">
        <v>98</v>
      </c>
      <c r="K1510" s="18" t="s">
        <v>98</v>
      </c>
      <c r="L1510" s="18" t="s">
        <v>98</v>
      </c>
      <c r="M1510" s="18" t="s">
        <v>580</v>
      </c>
      <c r="N1510" s="18" t="s">
        <v>378</v>
      </c>
      <c r="O1510" s="18" t="s">
        <v>98</v>
      </c>
      <c r="P1510" s="15" t="str">
        <f t="shared" si="1"/>
        <v>VERIFY</v>
      </c>
      <c r="Q1510" s="15">
        <f t="shared" si="2"/>
        <v>3</v>
      </c>
      <c r="R1510" s="15">
        <f t="shared" si="3"/>
        <v>2</v>
      </c>
      <c r="S1510" s="15">
        <f t="shared" si="4"/>
        <v>2</v>
      </c>
      <c r="T1510" s="15" t="str">
        <f t="shared" si="5"/>
        <v>C-1</v>
      </c>
      <c r="U1510" s="15" t="str">
        <f t="shared" si="6"/>
        <v>T3-M2-H2-FC-1-VERIFY</v>
      </c>
      <c r="V1510" s="15">
        <f t="shared" si="7"/>
        <v>0</v>
      </c>
      <c r="W1510" s="31"/>
      <c r="X1510" s="15" t="str">
        <f t="shared" si="8"/>
        <v>sassari-italy</v>
      </c>
      <c r="Y1510" s="32" t="str">
        <f t="shared" si="9"/>
        <v>https://steelmanufacturer.in/market-area/electropolished-pipes-manufacturer-in-sassari-italy/</v>
      </c>
      <c r="Z1510" s="15" t="str">
        <f t="shared" si="10"/>
        <v>Electropolished Pipes Manufacturer in Sassari | EP Tube Supplier</v>
      </c>
      <c r="AA1510" s="15" t="str">
        <f t="shared" si="11"/>
        <v>OK (64)</v>
      </c>
      <c r="AB1510" s="15" t="str">
        <f t="shared" si="12"/>
        <v>Electropolished tube supply to VERIFY, Sassari. Ra from 0.25 um, SF4 finish, mill test certificate with every lot.</v>
      </c>
      <c r="AC1510" s="15" t="str">
        <f t="shared" si="13"/>
        <v>PENDING RESEARCH</v>
      </c>
      <c r="AD1510" s="15" t="str">
        <f t="shared" si="14"/>
        <v>Electropolished Pipes Manufacturer in Sassari</v>
      </c>
      <c r="AE1510" s="15" t="str">
        <f t="shared" si="15"/>
        <v>How We Manufacture Electropolished Tube for Sassari Plants</v>
      </c>
      <c r="AF1510" s="15" t="str">
        <f t="shared" si="16"/>
        <v>Supplying Electropolished Pipes in Sassari: Availability, Sizes &amp; Dispatch</v>
      </c>
      <c r="AG1510" s="15" t="str">
        <f t="shared" si="17"/>
        <v>Wholesale Electropolished Pipe Supply for Sassari Projects</v>
      </c>
      <c r="AH1510" s="15" t="str">
        <f t="shared" si="18"/>
        <v>electropolished pipes manufacturer in Sassari, electropolished pipes supplier in Sassari, electropolished pipes wholesaler in Sassari, electropolished tube manufacturer Sassari, EP pipe supplier Sassari, sanitary tube supplier Sassari, ASME BPE tubing Sassari, ASTM A270 tube Sassari, SS 316L electropolished pipe Sassari</v>
      </c>
      <c r="AI1510" s="15" t="str">
        <f t="shared" si="19"/>
        <v>Electropolished Pipes Manufacturer &amp; Supplier in Sassari</v>
      </c>
      <c r="AJ1510" s="15" t="str">
        <f t="shared" si="20"/>
        <v>EP-finished SS 304/316L pipes and tubes for VERIFY plants in Sassari. ASME BPE SF1-SF4, Ra from 0.25 um, EN 10204 3.1 certificate with every lot.</v>
      </c>
      <c r="AK1510" s="15" t="str">
        <f t="shared" si="21"/>
        <v>Electropolished stainless steel pipes supplied by Sakshi Forge to VERIFY plants at VERIFY, Sassari</v>
      </c>
      <c r="AL1510" s="15" t="str">
        <f t="shared" si="22"/>
        <v>Electropolished SS 316L tube stock for Sassari - Sakshi Forge</v>
      </c>
      <c r="AM1510" s="15" t="str">
        <f t="shared" si="23"/>
        <v>Home &gt; Market Area &gt; Italy &gt; VERIFY &gt; Sassari</v>
      </c>
      <c r="AN1510" s="15">
        <f t="shared" si="24"/>
        <v>750</v>
      </c>
      <c r="AO1510" s="15">
        <f t="shared" si="25"/>
        <v>6</v>
      </c>
      <c r="AP1510" s="15">
        <f t="shared" si="26"/>
        <v>6</v>
      </c>
      <c r="AQ1510" s="15">
        <f t="shared" si="27"/>
        <v>26</v>
      </c>
      <c r="AR1510" s="31"/>
      <c r="AS1510" s="31"/>
      <c r="AT1510" s="35" t="s">
        <v>222</v>
      </c>
      <c r="AU1510" s="35"/>
    </row>
    <row r="1511" ht="15.75" customHeight="1">
      <c r="A1511" s="15" t="s">
        <v>7233</v>
      </c>
      <c r="B1511" s="15" t="s">
        <v>301</v>
      </c>
      <c r="C1511" s="15" t="s">
        <v>98</v>
      </c>
      <c r="D1511" s="15" t="s">
        <v>7234</v>
      </c>
      <c r="E1511" s="15" t="s">
        <v>7234</v>
      </c>
      <c r="F1511" s="58" t="s">
        <v>807</v>
      </c>
      <c r="G1511" s="66" t="s">
        <v>98</v>
      </c>
      <c r="H1511" s="18" t="s">
        <v>98</v>
      </c>
      <c r="I1511" s="18" t="s">
        <v>98</v>
      </c>
      <c r="J1511" s="18" t="s">
        <v>98</v>
      </c>
      <c r="K1511" s="18" t="s">
        <v>98</v>
      </c>
      <c r="L1511" s="18" t="s">
        <v>98</v>
      </c>
      <c r="M1511" s="18" t="s">
        <v>580</v>
      </c>
      <c r="N1511" s="18" t="s">
        <v>378</v>
      </c>
      <c r="O1511" s="18" t="s">
        <v>98</v>
      </c>
      <c r="P1511" s="15" t="str">
        <f t="shared" si="1"/>
        <v>VERIFY</v>
      </c>
      <c r="Q1511" s="15">
        <f t="shared" si="2"/>
        <v>4</v>
      </c>
      <c r="R1511" s="15">
        <f t="shared" si="3"/>
        <v>3</v>
      </c>
      <c r="S1511" s="15">
        <f t="shared" si="4"/>
        <v>3</v>
      </c>
      <c r="T1511" s="15" t="str">
        <f t="shared" si="5"/>
        <v>C-2</v>
      </c>
      <c r="U1511" s="15" t="str">
        <f t="shared" si="6"/>
        <v>T4-M3-H3-FC-2-VERIFY</v>
      </c>
      <c r="V1511" s="15">
        <f t="shared" si="7"/>
        <v>0</v>
      </c>
      <c r="W1511" s="31"/>
      <c r="X1511" s="15" t="str">
        <f t="shared" si="8"/>
        <v>savona-italy</v>
      </c>
      <c r="Y1511" s="32" t="str">
        <f t="shared" si="9"/>
        <v>https://steelmanufacturer.in/market-area/electropolished-pipes-manufacturer-in-savona-italy/</v>
      </c>
      <c r="Z1511" s="15" t="str">
        <f t="shared" si="10"/>
        <v>Electropolished Pipes Manufacturer in Savona</v>
      </c>
      <c r="AA1511" s="15" t="str">
        <f t="shared" si="11"/>
        <v>OK (44)</v>
      </c>
      <c r="AB1511" s="15" t="str">
        <f t="shared" si="12"/>
        <v>EP stainless tube for VERIFY lines in Savona. 18-24 days sea from Nhava Sheva to Genoa. ASTM A270 S2, PMI tested, EN 10204 3.1.</v>
      </c>
      <c r="AC1511" s="15" t="str">
        <f t="shared" si="13"/>
        <v>PENDING RESEARCH</v>
      </c>
      <c r="AD1511" s="15" t="str">
        <f t="shared" si="14"/>
        <v>Electropolished Pipes Manufacturer in Savona</v>
      </c>
      <c r="AE1511" s="15" t="str">
        <f t="shared" si="15"/>
        <v>Electropolished Pipes Manufacturer in Savona - Our Process &amp; Capability</v>
      </c>
      <c r="AF1511" s="15" t="str">
        <f t="shared" si="16"/>
        <v>Electropolished Pipes Supplier in Savona - What We Hold in Stock</v>
      </c>
      <c r="AG1511" s="15" t="str">
        <f t="shared" si="17"/>
        <v>Bulk &amp; Wholesale Electropolished Pipe Rates for Savona Buyers</v>
      </c>
      <c r="AH1511" s="15" t="str">
        <f t="shared" si="18"/>
        <v>electropolished pipes manufacturer in Savona, electropolished pipes supplier in Savona, electropolished pipes wholesaler in Savona, electropolished tube manufacturer Savona, EP pipe supplier Savona, sanitary tube supplier Savona, ASME BPE tubing Savona, ASTM A270 tube Savona, SS 316L electropolished pipe Savona</v>
      </c>
      <c r="AI1511" s="15" t="str">
        <f t="shared" si="19"/>
        <v>Electropolished Pipes Manufacturer &amp; Supplier in Savona</v>
      </c>
      <c r="AJ1511" s="15" t="str">
        <f t="shared" si="20"/>
        <v>EP-finished SS 304/316L pipes and tubes for VERIFY plants in Savona. ASME BPE SF1-SF4, Ra from 0.25 um, EN 10204 3.1 certificate with every lot.</v>
      </c>
      <c r="AK1511" s="15" t="str">
        <f t="shared" si="21"/>
        <v>Electropolished stainless steel pipes supplied by Sakshi Forge to VERIFY plants at VERIFY, Savona</v>
      </c>
      <c r="AL1511" s="15" t="str">
        <f t="shared" si="22"/>
        <v>Electropolished SS 316L tube stock for Savona - Sakshi Forge</v>
      </c>
      <c r="AM1511" s="15" t="str">
        <f t="shared" si="23"/>
        <v>Home &gt; Market Area &gt; Italy &gt; VERIFY &gt; Savona</v>
      </c>
      <c r="AN1511" s="15">
        <f t="shared" si="24"/>
        <v>750</v>
      </c>
      <c r="AO1511" s="15">
        <f t="shared" si="25"/>
        <v>6</v>
      </c>
      <c r="AP1511" s="15">
        <f t="shared" si="26"/>
        <v>6</v>
      </c>
      <c r="AQ1511" s="15">
        <f t="shared" si="27"/>
        <v>26</v>
      </c>
      <c r="AR1511" s="31"/>
      <c r="AS1511" s="31"/>
      <c r="AT1511" s="35" t="s">
        <v>222</v>
      </c>
      <c r="AU1511" s="35"/>
    </row>
    <row r="1512" ht="15.75" customHeight="1">
      <c r="A1512" s="15" t="s">
        <v>7235</v>
      </c>
      <c r="B1512" s="15" t="s">
        <v>301</v>
      </c>
      <c r="C1512" s="15" t="s">
        <v>98</v>
      </c>
      <c r="D1512" s="15" t="s">
        <v>7236</v>
      </c>
      <c r="E1512" s="15" t="s">
        <v>7236</v>
      </c>
      <c r="F1512" s="58" t="s">
        <v>807</v>
      </c>
      <c r="G1512" s="66" t="s">
        <v>98</v>
      </c>
      <c r="H1512" s="18" t="s">
        <v>98</v>
      </c>
      <c r="I1512" s="18" t="s">
        <v>98</v>
      </c>
      <c r="J1512" s="18" t="s">
        <v>98</v>
      </c>
      <c r="K1512" s="18" t="s">
        <v>98</v>
      </c>
      <c r="L1512" s="18" t="s">
        <v>98</v>
      </c>
      <c r="M1512" s="18" t="s">
        <v>580</v>
      </c>
      <c r="N1512" s="18" t="s">
        <v>378</v>
      </c>
      <c r="O1512" s="18" t="s">
        <v>98</v>
      </c>
      <c r="P1512" s="15" t="str">
        <f t="shared" si="1"/>
        <v>VERIFY</v>
      </c>
      <c r="Q1512" s="15">
        <f t="shared" si="2"/>
        <v>5</v>
      </c>
      <c r="R1512" s="15">
        <f t="shared" si="3"/>
        <v>4</v>
      </c>
      <c r="S1512" s="15">
        <f t="shared" si="4"/>
        <v>4</v>
      </c>
      <c r="T1512" s="15" t="str">
        <f t="shared" si="5"/>
        <v>C-3</v>
      </c>
      <c r="U1512" s="15" t="str">
        <f t="shared" si="6"/>
        <v>T5-M4-H4-FC-3-VERIFY</v>
      </c>
      <c r="V1512" s="15">
        <f t="shared" si="7"/>
        <v>0</v>
      </c>
      <c r="W1512" s="31"/>
      <c r="X1512" s="15" t="str">
        <f t="shared" si="8"/>
        <v>siena-italy</v>
      </c>
      <c r="Y1512" s="32" t="str">
        <f t="shared" si="9"/>
        <v>https://steelmanufacturer.in/market-area/electropolished-pipes-manufacturer-in-siena-italy/</v>
      </c>
      <c r="Z1512" s="15" t="str">
        <f t="shared" si="10"/>
        <v>Electropolished Pipes Manufacturer in Siena</v>
      </c>
      <c r="AA1512" s="15" t="str">
        <f t="shared" si="11"/>
        <v>OK (43)</v>
      </c>
      <c r="AB1512" s="15" t="str">
        <f t="shared" si="12"/>
        <v>Sanitary electropolished pipes in Siena for VERIFY plants. ASME BPE SF1-SF4, orbital-weld ready, 3.1 MTC. Mumbai-made.</v>
      </c>
      <c r="AC1512" s="15" t="str">
        <f t="shared" si="13"/>
        <v>PENDING RESEARCH</v>
      </c>
      <c r="AD1512" s="15" t="str">
        <f t="shared" si="14"/>
        <v>Electropolished Pipes Manufacturer in Siena</v>
      </c>
      <c r="AE1512" s="15" t="str">
        <f t="shared" si="15"/>
        <v>Manufacturing Electropolished SS Tube for Siena: The Standards We Build To</v>
      </c>
      <c r="AF1512" s="15" t="str">
        <f t="shared" si="16"/>
        <v>Electropolished Pipe Supply Into Siena - Certification &amp; Transit</v>
      </c>
      <c r="AG1512" s="15" t="str">
        <f t="shared" si="17"/>
        <v>Electropolished Pipes Wholesaler in Siena - Project Quantities &amp; Terms</v>
      </c>
      <c r="AH1512" s="15" t="str">
        <f t="shared" si="18"/>
        <v>electropolished pipes manufacturer in Siena, electropolished pipes supplier in Siena, electropolished pipes wholesaler in Siena, electropolished tube manufacturer Siena, EP pipe supplier Siena, sanitary tube supplier Siena, ASME BPE tubing Siena, ASTM A270 tube Siena, SS 316L electropolished pipe Siena</v>
      </c>
      <c r="AI1512" s="15" t="str">
        <f t="shared" si="19"/>
        <v>Electropolished Pipes Manufacturer &amp; Supplier in Siena</v>
      </c>
      <c r="AJ1512" s="15" t="str">
        <f t="shared" si="20"/>
        <v>EP-finished SS 304/316L pipes and tubes for VERIFY plants in Siena. ASME BPE SF1-SF4, Ra from 0.25 um, EN 10204 3.1 certificate with every lot.</v>
      </c>
      <c r="AK1512" s="15" t="str">
        <f t="shared" si="21"/>
        <v>Electropolished stainless steel pipes supplied by Sakshi Forge to VERIFY plants at VERIFY, Siena</v>
      </c>
      <c r="AL1512" s="15" t="str">
        <f t="shared" si="22"/>
        <v>Electropolished SS 316L tube stock for Siena - Sakshi Forge</v>
      </c>
      <c r="AM1512" s="15" t="str">
        <f t="shared" si="23"/>
        <v>Home &gt; Market Area &gt; Italy &gt; VERIFY &gt; Siena</v>
      </c>
      <c r="AN1512" s="15">
        <f t="shared" si="24"/>
        <v>750</v>
      </c>
      <c r="AO1512" s="15">
        <f t="shared" si="25"/>
        <v>6</v>
      </c>
      <c r="AP1512" s="15">
        <f t="shared" si="26"/>
        <v>6</v>
      </c>
      <c r="AQ1512" s="15">
        <f t="shared" si="27"/>
        <v>26</v>
      </c>
      <c r="AR1512" s="31"/>
      <c r="AS1512" s="31"/>
      <c r="AT1512" s="35" t="s">
        <v>222</v>
      </c>
      <c r="AU1512" s="35"/>
    </row>
    <row r="1513" ht="15.75" customHeight="1">
      <c r="A1513" s="15" t="s">
        <v>7237</v>
      </c>
      <c r="B1513" s="15" t="s">
        <v>301</v>
      </c>
      <c r="C1513" s="15" t="s">
        <v>98</v>
      </c>
      <c r="D1513" s="15" t="s">
        <v>7238</v>
      </c>
      <c r="E1513" s="15" t="s">
        <v>7238</v>
      </c>
      <c r="F1513" s="58" t="s">
        <v>807</v>
      </c>
      <c r="G1513" s="66" t="s">
        <v>98</v>
      </c>
      <c r="H1513" s="18" t="s">
        <v>98</v>
      </c>
      <c r="I1513" s="18" t="s">
        <v>98</v>
      </c>
      <c r="J1513" s="18" t="s">
        <v>98</v>
      </c>
      <c r="K1513" s="18" t="s">
        <v>98</v>
      </c>
      <c r="L1513" s="18" t="s">
        <v>98</v>
      </c>
      <c r="M1513" s="18" t="s">
        <v>580</v>
      </c>
      <c r="N1513" s="18" t="s">
        <v>378</v>
      </c>
      <c r="O1513" s="18" t="s">
        <v>98</v>
      </c>
      <c r="P1513" s="15" t="str">
        <f t="shared" si="1"/>
        <v>VERIFY</v>
      </c>
      <c r="Q1513" s="15">
        <f t="shared" si="2"/>
        <v>6</v>
      </c>
      <c r="R1513" s="15">
        <f t="shared" si="3"/>
        <v>5</v>
      </c>
      <c r="S1513" s="15">
        <f t="shared" si="4"/>
        <v>5</v>
      </c>
      <c r="T1513" s="15" t="str">
        <f t="shared" si="5"/>
        <v>C-4</v>
      </c>
      <c r="U1513" s="15" t="str">
        <f t="shared" si="6"/>
        <v>T6-M5-H5-FC-4-VERIFY</v>
      </c>
      <c r="V1513" s="15">
        <f t="shared" si="7"/>
        <v>0</v>
      </c>
      <c r="W1513" s="31"/>
      <c r="X1513" s="15" t="str">
        <f t="shared" si="8"/>
        <v>siracusa-italy</v>
      </c>
      <c r="Y1513" s="32" t="str">
        <f t="shared" si="9"/>
        <v>https://steelmanufacturer.in/market-area/electropolished-pipes-manufacturer-in-siracusa-italy/</v>
      </c>
      <c r="Z1513" s="15" t="str">
        <f t="shared" si="10"/>
        <v>Electropolished Pipes Manufacturer in Siracusa</v>
      </c>
      <c r="AA1513" s="15" t="str">
        <f t="shared" si="11"/>
        <v>OK (46)</v>
      </c>
      <c r="AB1513" s="15" t="str">
        <f t="shared" si="12"/>
        <v>Manufacturer of electropolished SS 316L tube serving Siracusa. 18-24 days sea from Nhava Sheva to Genoa. Ra 0.25-0.5 um, EN 10204 3.1 MTC.</v>
      </c>
      <c r="AC1513" s="15" t="str">
        <f t="shared" si="13"/>
        <v>PENDING RESEARCH</v>
      </c>
      <c r="AD1513" s="15" t="str">
        <f t="shared" si="14"/>
        <v>Electropolished Pipes Manufacturer in Siracusa</v>
      </c>
      <c r="AE1513" s="15" t="str">
        <f t="shared" si="15"/>
        <v>Electropolished Tube Manufacturing Capability Serving Siracusa</v>
      </c>
      <c r="AF1513" s="15" t="str">
        <f t="shared" si="16"/>
        <v>Electropolished Pipes Supplier in Siracusa - From Order to Delivery</v>
      </c>
      <c r="AG1513" s="15" t="str">
        <f t="shared" si="17"/>
        <v>Stockist &amp; Wholesale Supply of Electropolished Pipes in Siracusa</v>
      </c>
      <c r="AH1513" s="15" t="str">
        <f t="shared" si="18"/>
        <v>electropolished pipes manufacturer in Siracusa, electropolished pipes supplier in Siracusa, electropolished pipes wholesaler in Siracusa, electropolished tube manufacturer Siracusa, EP pipe supplier Siracusa, sanitary tube supplier Siracusa, ASME BPE tubing Siracusa, ASTM A270 tube Siracusa, SS 316L electropolished pipe Siracusa</v>
      </c>
      <c r="AI1513" s="15" t="str">
        <f t="shared" si="19"/>
        <v>Electropolished Pipes Manufacturer &amp; Supplier in Siracusa</v>
      </c>
      <c r="AJ1513" s="15" t="str">
        <f t="shared" si="20"/>
        <v>EP-finished SS 304/316L pipes and tubes for VERIFY plants in Siracusa. ASME BPE SF1-SF4, Ra from 0.25 um, EN 10204 3.1 certificate with every lot.</v>
      </c>
      <c r="AK1513" s="15" t="str">
        <f t="shared" si="21"/>
        <v>Electropolished stainless steel pipes supplied by Sakshi Forge to VERIFY plants at VERIFY, Siracusa</v>
      </c>
      <c r="AL1513" s="15" t="str">
        <f t="shared" si="22"/>
        <v>Electropolished SS 316L tube stock for Siracusa - Sakshi Forge</v>
      </c>
      <c r="AM1513" s="15" t="str">
        <f t="shared" si="23"/>
        <v>Home &gt; Market Area &gt; Italy &gt; VERIFY &gt; Siracusa</v>
      </c>
      <c r="AN1513" s="15">
        <f t="shared" si="24"/>
        <v>750</v>
      </c>
      <c r="AO1513" s="15">
        <f t="shared" si="25"/>
        <v>6</v>
      </c>
      <c r="AP1513" s="15">
        <f t="shared" si="26"/>
        <v>6</v>
      </c>
      <c r="AQ1513" s="15">
        <f t="shared" si="27"/>
        <v>26</v>
      </c>
      <c r="AR1513" s="31"/>
      <c r="AS1513" s="31"/>
      <c r="AT1513" s="35" t="s">
        <v>222</v>
      </c>
      <c r="AU1513" s="35"/>
    </row>
    <row r="1514" ht="15.75" customHeight="1">
      <c r="A1514" s="15" t="s">
        <v>7239</v>
      </c>
      <c r="B1514" s="15" t="s">
        <v>301</v>
      </c>
      <c r="C1514" s="15" t="s">
        <v>98</v>
      </c>
      <c r="D1514" s="15" t="s">
        <v>7240</v>
      </c>
      <c r="E1514" s="15" t="s">
        <v>7240</v>
      </c>
      <c r="F1514" s="58" t="s">
        <v>807</v>
      </c>
      <c r="G1514" s="66" t="s">
        <v>98</v>
      </c>
      <c r="H1514" s="18" t="s">
        <v>98</v>
      </c>
      <c r="I1514" s="18" t="s">
        <v>98</v>
      </c>
      <c r="J1514" s="18" t="s">
        <v>98</v>
      </c>
      <c r="K1514" s="18" t="s">
        <v>98</v>
      </c>
      <c r="L1514" s="18" t="s">
        <v>98</v>
      </c>
      <c r="M1514" s="18" t="s">
        <v>580</v>
      </c>
      <c r="N1514" s="18" t="s">
        <v>378</v>
      </c>
      <c r="O1514" s="18" t="s">
        <v>98</v>
      </c>
      <c r="P1514" s="15" t="str">
        <f t="shared" si="1"/>
        <v>VERIFY</v>
      </c>
      <c r="Q1514" s="15">
        <f t="shared" si="2"/>
        <v>7</v>
      </c>
      <c r="R1514" s="15">
        <f t="shared" si="3"/>
        <v>6</v>
      </c>
      <c r="S1514" s="15">
        <f t="shared" si="4"/>
        <v>1</v>
      </c>
      <c r="T1514" s="15" t="str">
        <f t="shared" si="5"/>
        <v>C-5</v>
      </c>
      <c r="U1514" s="15" t="str">
        <f t="shared" si="6"/>
        <v>T7-M6-H1-FC-5-VERIFY</v>
      </c>
      <c r="V1514" s="15">
        <f t="shared" si="7"/>
        <v>0</v>
      </c>
      <c r="W1514" s="31"/>
      <c r="X1514" s="15" t="str">
        <f t="shared" si="8"/>
        <v>taranto-italy</v>
      </c>
      <c r="Y1514" s="32" t="str">
        <f t="shared" si="9"/>
        <v>https://steelmanufacturer.in/market-area/electropolished-pipes-manufacturer-in-taranto-italy/</v>
      </c>
      <c r="Z1514" s="15" t="str">
        <f t="shared" si="10"/>
        <v>Electropolished Pipes Manufacturer in Taranto | ASME BPE SF1-SF4</v>
      </c>
      <c r="AA1514" s="15" t="str">
        <f t="shared" si="11"/>
        <v>OK (64)</v>
      </c>
      <c r="AB1514" s="15" t="str">
        <f t="shared" si="12"/>
        <v>EP tube and pipe for VERIFY plants around VERIFY, Taranto. Made at our Mumbai works to ASTM A270 and ASME BPE SF1-SF4, with 3.1 MTC.</v>
      </c>
      <c r="AC1514" s="15" t="str">
        <f t="shared" si="13"/>
        <v>PENDING RESEARCH</v>
      </c>
      <c r="AD1514" s="15" t="str">
        <f t="shared" si="14"/>
        <v>Electropolished Pipes Manufacturer in Taranto</v>
      </c>
      <c r="AE1514" s="15" t="str">
        <f t="shared" si="15"/>
        <v>Electropolished Pipe &amp; Tube Manufacturing for Taranto - Grades, Finishes &amp; Certification</v>
      </c>
      <c r="AF1514" s="15" t="str">
        <f t="shared" si="16"/>
        <v>Electropolished Pipes Supplier in Taranto - Stock Sizes, Lead Time &amp; Delivery</v>
      </c>
      <c r="AG1514" s="15" t="str">
        <f t="shared" si="17"/>
        <v>Electropolished Pipes Wholesaler &amp; Stockist in Taranto - Bulk &amp; Project Pricing</v>
      </c>
      <c r="AH1514" s="15" t="str">
        <f t="shared" si="18"/>
        <v>electropolished pipes manufacturer in Taranto, electropolished pipes supplier in Taranto, electropolished pipes wholesaler in Taranto, electropolished tube manufacturer Taranto, EP pipe supplier Taranto, sanitary tube supplier Taranto, ASME BPE tubing Taranto, ASTM A270 tube Taranto, SS 316L electropolished pipe Taranto</v>
      </c>
      <c r="AI1514" s="15" t="str">
        <f t="shared" si="19"/>
        <v>Electropolished Pipes Manufacturer &amp; Supplier in Taranto</v>
      </c>
      <c r="AJ1514" s="15" t="str">
        <f t="shared" si="20"/>
        <v>EP-finished SS 304/316L pipes and tubes for VERIFY plants in Taranto. ASME BPE SF1-SF4, Ra from 0.25 um, EN 10204 3.1 certificate with every lot.</v>
      </c>
      <c r="AK1514" s="15" t="str">
        <f t="shared" si="21"/>
        <v>Electropolished stainless steel pipes supplied by Sakshi Forge to VERIFY plants at VERIFY, Taranto</v>
      </c>
      <c r="AL1514" s="15" t="str">
        <f t="shared" si="22"/>
        <v>Electropolished SS 316L tube stock for Taranto - Sakshi Forge</v>
      </c>
      <c r="AM1514" s="15" t="str">
        <f t="shared" si="23"/>
        <v>Home &gt; Market Area &gt; Italy &gt; VERIFY &gt; Taranto</v>
      </c>
      <c r="AN1514" s="15">
        <f t="shared" si="24"/>
        <v>750</v>
      </c>
      <c r="AO1514" s="15">
        <f t="shared" si="25"/>
        <v>6</v>
      </c>
      <c r="AP1514" s="15">
        <f t="shared" si="26"/>
        <v>6</v>
      </c>
      <c r="AQ1514" s="15">
        <f t="shared" si="27"/>
        <v>26</v>
      </c>
      <c r="AR1514" s="31"/>
      <c r="AS1514" s="31"/>
      <c r="AT1514" s="35" t="s">
        <v>222</v>
      </c>
      <c r="AU1514" s="35"/>
    </row>
    <row r="1515" ht="15.75" customHeight="1">
      <c r="A1515" s="15" t="s">
        <v>7241</v>
      </c>
      <c r="B1515" s="15" t="s">
        <v>301</v>
      </c>
      <c r="C1515" s="15" t="s">
        <v>98</v>
      </c>
      <c r="D1515" s="15" t="s">
        <v>7242</v>
      </c>
      <c r="E1515" s="15" t="s">
        <v>7242</v>
      </c>
      <c r="F1515" s="58" t="s">
        <v>807</v>
      </c>
      <c r="G1515" s="66" t="s">
        <v>98</v>
      </c>
      <c r="H1515" s="18" t="s">
        <v>98</v>
      </c>
      <c r="I1515" s="18" t="s">
        <v>98</v>
      </c>
      <c r="J1515" s="18" t="s">
        <v>98</v>
      </c>
      <c r="K1515" s="18" t="s">
        <v>98</v>
      </c>
      <c r="L1515" s="18" t="s">
        <v>98</v>
      </c>
      <c r="M1515" s="18" t="s">
        <v>580</v>
      </c>
      <c r="N1515" s="18" t="s">
        <v>378</v>
      </c>
      <c r="O1515" s="18" t="s">
        <v>98</v>
      </c>
      <c r="P1515" s="15" t="str">
        <f t="shared" si="1"/>
        <v>VERIFY</v>
      </c>
      <c r="Q1515" s="15">
        <f t="shared" si="2"/>
        <v>8</v>
      </c>
      <c r="R1515" s="15">
        <f t="shared" si="3"/>
        <v>7</v>
      </c>
      <c r="S1515" s="15">
        <f t="shared" si="4"/>
        <v>2</v>
      </c>
      <c r="T1515" s="15" t="str">
        <f t="shared" si="5"/>
        <v>C-6</v>
      </c>
      <c r="U1515" s="15" t="str">
        <f t="shared" si="6"/>
        <v>T8-M7-H2-FC-6-VERIFY</v>
      </c>
      <c r="V1515" s="15">
        <f t="shared" si="7"/>
        <v>0</v>
      </c>
      <c r="W1515" s="31"/>
      <c r="X1515" s="15" t="str">
        <f t="shared" si="8"/>
        <v>teramo-italy</v>
      </c>
      <c r="Y1515" s="32" t="str">
        <f t="shared" si="9"/>
        <v>https://steelmanufacturer.in/market-area/electropolished-pipes-manufacturer-in-teramo-italy/</v>
      </c>
      <c r="Z1515" s="15" t="str">
        <f t="shared" si="10"/>
        <v>Electropolished Pipes Manufacturer in Teramo - EP Tube Stockist</v>
      </c>
      <c r="AA1515" s="15" t="str">
        <f t="shared" si="11"/>
        <v>OK (63)</v>
      </c>
      <c r="AB1515" s="15" t="str">
        <f t="shared" si="12"/>
        <v>Electropolished pipes in Teramo: 304, 304L, 316 and 316L in SF1-SF4. 18-24 days sea from Nhava Sheva to Genoa. Mill certified.</v>
      </c>
      <c r="AC1515" s="15" t="str">
        <f t="shared" si="13"/>
        <v>PENDING RESEARCH</v>
      </c>
      <c r="AD1515" s="15" t="str">
        <f t="shared" si="14"/>
        <v>Electropolished Pipes Manufacturer in Teramo</v>
      </c>
      <c r="AE1515" s="15" t="str">
        <f t="shared" si="15"/>
        <v>How We Manufacture Electropolished Tube for Teramo Plants</v>
      </c>
      <c r="AF1515" s="15" t="str">
        <f t="shared" si="16"/>
        <v>Supplying Electropolished Pipes in Teramo: Availability, Sizes &amp; Dispatch</v>
      </c>
      <c r="AG1515" s="15" t="str">
        <f t="shared" si="17"/>
        <v>Wholesale Electropolished Pipe Supply for Teramo Projects</v>
      </c>
      <c r="AH1515" s="15" t="str">
        <f t="shared" si="18"/>
        <v>electropolished pipes manufacturer in Teramo, electropolished pipes supplier in Teramo, electropolished pipes wholesaler in Teramo, electropolished tube manufacturer Teramo, EP pipe supplier Teramo, sanitary tube supplier Teramo, ASME BPE tubing Teramo, ASTM A270 tube Teramo, SS 316L electropolished pipe Teramo</v>
      </c>
      <c r="AI1515" s="15" t="str">
        <f t="shared" si="19"/>
        <v>Electropolished Pipes Manufacturer &amp; Supplier in Teramo</v>
      </c>
      <c r="AJ1515" s="15" t="str">
        <f t="shared" si="20"/>
        <v>EP-finished SS 304/316L pipes and tubes for VERIFY plants in Teramo. ASME BPE SF1-SF4, Ra from 0.25 um, EN 10204 3.1 certificate with every lot.</v>
      </c>
      <c r="AK1515" s="15" t="str">
        <f t="shared" si="21"/>
        <v>Electropolished stainless steel pipes supplied by Sakshi Forge to VERIFY plants at VERIFY, Teramo</v>
      </c>
      <c r="AL1515" s="15" t="str">
        <f t="shared" si="22"/>
        <v>Electropolished SS 316L tube stock for Teramo - Sakshi Forge</v>
      </c>
      <c r="AM1515" s="15" t="str">
        <f t="shared" si="23"/>
        <v>Home &gt; Market Area &gt; Italy &gt; VERIFY &gt; Teramo</v>
      </c>
      <c r="AN1515" s="15">
        <f t="shared" si="24"/>
        <v>750</v>
      </c>
      <c r="AO1515" s="15">
        <f t="shared" si="25"/>
        <v>6</v>
      </c>
      <c r="AP1515" s="15">
        <f t="shared" si="26"/>
        <v>6</v>
      </c>
      <c r="AQ1515" s="15">
        <f t="shared" si="27"/>
        <v>26</v>
      </c>
      <c r="AR1515" s="31"/>
      <c r="AS1515" s="31"/>
      <c r="AT1515" s="35" t="s">
        <v>222</v>
      </c>
      <c r="AU1515" s="35"/>
    </row>
    <row r="1516" ht="15.75" customHeight="1">
      <c r="A1516" s="15" t="s">
        <v>7243</v>
      </c>
      <c r="B1516" s="15" t="s">
        <v>301</v>
      </c>
      <c r="C1516" s="15" t="s">
        <v>98</v>
      </c>
      <c r="D1516" s="15" t="s">
        <v>7244</v>
      </c>
      <c r="E1516" s="15" t="s">
        <v>7244</v>
      </c>
      <c r="F1516" s="58" t="s">
        <v>807</v>
      </c>
      <c r="G1516" s="66" t="s">
        <v>98</v>
      </c>
      <c r="H1516" s="18" t="s">
        <v>98</v>
      </c>
      <c r="I1516" s="18" t="s">
        <v>98</v>
      </c>
      <c r="J1516" s="18" t="s">
        <v>98</v>
      </c>
      <c r="K1516" s="18" t="s">
        <v>98</v>
      </c>
      <c r="L1516" s="18" t="s">
        <v>98</v>
      </c>
      <c r="M1516" s="18" t="s">
        <v>580</v>
      </c>
      <c r="N1516" s="18" t="s">
        <v>378</v>
      </c>
      <c r="O1516" s="18" t="s">
        <v>98</v>
      </c>
      <c r="P1516" s="15" t="str">
        <f t="shared" si="1"/>
        <v>VERIFY</v>
      </c>
      <c r="Q1516" s="15">
        <f t="shared" si="2"/>
        <v>1</v>
      </c>
      <c r="R1516" s="15">
        <f t="shared" si="3"/>
        <v>1</v>
      </c>
      <c r="S1516" s="15">
        <f t="shared" si="4"/>
        <v>3</v>
      </c>
      <c r="T1516" s="15" t="str">
        <f t="shared" si="5"/>
        <v>C-1</v>
      </c>
      <c r="U1516" s="15" t="str">
        <f t="shared" si="6"/>
        <v>T1-M1-H3-FC-1-VERIFY</v>
      </c>
      <c r="V1516" s="15">
        <f t="shared" si="7"/>
        <v>0</v>
      </c>
      <c r="W1516" s="31"/>
      <c r="X1516" s="15" t="str">
        <f t="shared" si="8"/>
        <v>terni-italy</v>
      </c>
      <c r="Y1516" s="32" t="str">
        <f t="shared" si="9"/>
        <v>https://steelmanufacturer.in/market-area/electropolished-pipes-manufacturer-in-terni-italy/</v>
      </c>
      <c r="Z1516" s="15" t="str">
        <f t="shared" si="10"/>
        <v>Electropolished Pipes Manufacturer in Terni | Sakshi Forge</v>
      </c>
      <c r="AA1516" s="15" t="str">
        <f t="shared" si="11"/>
        <v>OK (58)</v>
      </c>
      <c r="AB1516" s="15" t="str">
        <f t="shared" si="12"/>
        <v>EP-finished SS 304/316L pipes &amp; tubes for VERIFY plants in Terni. ASTM A270, ASME BPE SF1-SF4, EN 10204 3.1 MTC. PMI tested.</v>
      </c>
      <c r="AC1516" s="15" t="str">
        <f t="shared" si="13"/>
        <v>PENDING RESEARCH</v>
      </c>
      <c r="AD1516" s="15" t="str">
        <f t="shared" si="14"/>
        <v>Electropolished Pipes Manufacturer in Terni</v>
      </c>
      <c r="AE1516" s="15" t="str">
        <f t="shared" si="15"/>
        <v>Electropolished Pipes Manufacturer in Terni - Our Process &amp; Capability</v>
      </c>
      <c r="AF1516" s="15" t="str">
        <f t="shared" si="16"/>
        <v>Electropolished Pipes Supplier in Terni - What We Hold in Stock</v>
      </c>
      <c r="AG1516" s="15" t="str">
        <f t="shared" si="17"/>
        <v>Bulk &amp; Wholesale Electropolished Pipe Rates for Terni Buyers</v>
      </c>
      <c r="AH1516" s="15" t="str">
        <f t="shared" si="18"/>
        <v>electropolished pipes manufacturer in Terni, electropolished pipes supplier in Terni, electropolished pipes wholesaler in Terni, electropolished tube manufacturer Terni, EP pipe supplier Terni, sanitary tube supplier Terni, ASME BPE tubing Terni, ASTM A270 tube Terni, SS 316L electropolished pipe Terni</v>
      </c>
      <c r="AI1516" s="15" t="str">
        <f t="shared" si="19"/>
        <v>Electropolished Pipes Manufacturer &amp; Supplier in Terni</v>
      </c>
      <c r="AJ1516" s="15" t="str">
        <f t="shared" si="20"/>
        <v>EP-finished SS 304/316L pipes and tubes for VERIFY plants in Terni. ASME BPE SF1-SF4, Ra from 0.25 um, EN 10204 3.1 certificate with every lot.</v>
      </c>
      <c r="AK1516" s="15" t="str">
        <f t="shared" si="21"/>
        <v>Electropolished stainless steel pipes supplied by Sakshi Forge to VERIFY plants at VERIFY, Terni</v>
      </c>
      <c r="AL1516" s="15" t="str">
        <f t="shared" si="22"/>
        <v>Electropolished SS 316L tube stock for Terni - Sakshi Forge</v>
      </c>
      <c r="AM1516" s="15" t="str">
        <f t="shared" si="23"/>
        <v>Home &gt; Market Area &gt; Italy &gt; VERIFY &gt; Terni</v>
      </c>
      <c r="AN1516" s="15">
        <f t="shared" si="24"/>
        <v>750</v>
      </c>
      <c r="AO1516" s="15">
        <f t="shared" si="25"/>
        <v>6</v>
      </c>
      <c r="AP1516" s="15">
        <f t="shared" si="26"/>
        <v>6</v>
      </c>
      <c r="AQ1516" s="15">
        <f t="shared" si="27"/>
        <v>26</v>
      </c>
      <c r="AR1516" s="31"/>
      <c r="AS1516" s="31"/>
      <c r="AT1516" s="35" t="s">
        <v>222</v>
      </c>
      <c r="AU1516" s="35"/>
    </row>
    <row r="1517" ht="15.75" customHeight="1">
      <c r="A1517" s="15" t="s">
        <v>7245</v>
      </c>
      <c r="B1517" s="15" t="s">
        <v>301</v>
      </c>
      <c r="C1517" s="15" t="s">
        <v>98</v>
      </c>
      <c r="D1517" s="15" t="s">
        <v>7248</v>
      </c>
      <c r="E1517" s="15" t="s">
        <v>7248</v>
      </c>
      <c r="F1517" s="58" t="s">
        <v>807</v>
      </c>
      <c r="G1517" s="66" t="s">
        <v>98</v>
      </c>
      <c r="H1517" s="18" t="s">
        <v>98</v>
      </c>
      <c r="I1517" s="18" t="s">
        <v>98</v>
      </c>
      <c r="J1517" s="18" t="s">
        <v>98</v>
      </c>
      <c r="K1517" s="18" t="s">
        <v>98</v>
      </c>
      <c r="L1517" s="18" t="s">
        <v>98</v>
      </c>
      <c r="M1517" s="18" t="s">
        <v>580</v>
      </c>
      <c r="N1517" s="18" t="s">
        <v>378</v>
      </c>
      <c r="O1517" s="18" t="s">
        <v>98</v>
      </c>
      <c r="P1517" s="15" t="str">
        <f t="shared" si="1"/>
        <v>VERIFY</v>
      </c>
      <c r="Q1517" s="15">
        <f t="shared" si="2"/>
        <v>2</v>
      </c>
      <c r="R1517" s="15">
        <f t="shared" si="3"/>
        <v>2</v>
      </c>
      <c r="S1517" s="15">
        <f t="shared" si="4"/>
        <v>4</v>
      </c>
      <c r="T1517" s="15" t="str">
        <f t="shared" si="5"/>
        <v>C-2</v>
      </c>
      <c r="U1517" s="15" t="str">
        <f t="shared" si="6"/>
        <v>T2-M2-H4-FC-2-VERIFY</v>
      </c>
      <c r="V1517" s="15">
        <f t="shared" si="7"/>
        <v>0</v>
      </c>
      <c r="W1517" s="31"/>
      <c r="X1517" s="15" t="str">
        <f t="shared" si="8"/>
        <v>trapani-italy</v>
      </c>
      <c r="Y1517" s="32" t="str">
        <f t="shared" si="9"/>
        <v>https://steelmanufacturer.in/market-area/electropolished-pipes-manufacturer-in-trapani-italy/</v>
      </c>
      <c r="Z1517" s="15" t="str">
        <f t="shared" si="10"/>
        <v>Electropolished Pipes Manufacturer in Trapani</v>
      </c>
      <c r="AA1517" s="15" t="str">
        <f t="shared" si="11"/>
        <v>OK (45)</v>
      </c>
      <c r="AB1517" s="15" t="str">
        <f t="shared" si="12"/>
        <v>Electropolished tube supply to VERIFY, Trapani. Ra from 0.25 um, SF4 finish, mill test certificate with every lot.</v>
      </c>
      <c r="AC1517" s="15" t="str">
        <f t="shared" si="13"/>
        <v>PENDING RESEARCH</v>
      </c>
      <c r="AD1517" s="15" t="str">
        <f t="shared" si="14"/>
        <v>Electropolished Pipes Manufacturer in Trapani</v>
      </c>
      <c r="AE1517" s="15" t="str">
        <f t="shared" si="15"/>
        <v>Manufacturing Electropolished SS Tube for Trapani: The Standards We Build To</v>
      </c>
      <c r="AF1517" s="15" t="str">
        <f t="shared" si="16"/>
        <v>Electropolished Pipe Supply Into Trapani - Certification &amp; Transit</v>
      </c>
      <c r="AG1517" s="15" t="str">
        <f t="shared" si="17"/>
        <v>Electropolished Pipes Wholesaler in Trapani - Project Quantities &amp; Terms</v>
      </c>
      <c r="AH1517" s="15" t="str">
        <f t="shared" si="18"/>
        <v>electropolished pipes manufacturer in Trapani, electropolished pipes supplier in Trapani, electropolished pipes wholesaler in Trapani, electropolished tube manufacturer Trapani, EP pipe supplier Trapani, sanitary tube supplier Trapani, ASME BPE tubing Trapani, ASTM A270 tube Trapani, SS 316L electropolished pipe Trapani</v>
      </c>
      <c r="AI1517" s="15" t="str">
        <f t="shared" si="19"/>
        <v>Electropolished Pipes Manufacturer &amp; Supplier in Trapani</v>
      </c>
      <c r="AJ1517" s="15" t="str">
        <f t="shared" si="20"/>
        <v>EP-finished SS 304/316L pipes and tubes for VERIFY plants in Trapani. ASME BPE SF1-SF4, Ra from 0.25 um, EN 10204 3.1 certificate with every lot.</v>
      </c>
      <c r="AK1517" s="15" t="str">
        <f t="shared" si="21"/>
        <v>Electropolished stainless steel pipes supplied by Sakshi Forge to VERIFY plants at VERIFY, Trapani</v>
      </c>
      <c r="AL1517" s="15" t="str">
        <f t="shared" si="22"/>
        <v>Electropolished SS 316L tube stock for Trapani - Sakshi Forge</v>
      </c>
      <c r="AM1517" s="15" t="str">
        <f t="shared" si="23"/>
        <v>Home &gt; Market Area &gt; Italy &gt; VERIFY &gt; Trapani</v>
      </c>
      <c r="AN1517" s="15">
        <f t="shared" si="24"/>
        <v>750</v>
      </c>
      <c r="AO1517" s="15">
        <f t="shared" si="25"/>
        <v>6</v>
      </c>
      <c r="AP1517" s="15">
        <f t="shared" si="26"/>
        <v>6</v>
      </c>
      <c r="AQ1517" s="15">
        <f t="shared" si="27"/>
        <v>26</v>
      </c>
      <c r="AR1517" s="31"/>
      <c r="AS1517" s="31"/>
      <c r="AT1517" s="35" t="s">
        <v>222</v>
      </c>
      <c r="AU1517" s="35"/>
    </row>
    <row r="1518" ht="15.75" customHeight="1">
      <c r="A1518" s="15" t="s">
        <v>7253</v>
      </c>
      <c r="B1518" s="15" t="s">
        <v>301</v>
      </c>
      <c r="C1518" s="15" t="s">
        <v>98</v>
      </c>
      <c r="D1518" s="15" t="s">
        <v>7254</v>
      </c>
      <c r="E1518" s="15" t="s">
        <v>7254</v>
      </c>
      <c r="F1518" s="58" t="s">
        <v>807</v>
      </c>
      <c r="G1518" s="66" t="s">
        <v>98</v>
      </c>
      <c r="H1518" s="18" t="s">
        <v>98</v>
      </c>
      <c r="I1518" s="18" t="s">
        <v>98</v>
      </c>
      <c r="J1518" s="18" t="s">
        <v>98</v>
      </c>
      <c r="K1518" s="18" t="s">
        <v>98</v>
      </c>
      <c r="L1518" s="18" t="s">
        <v>98</v>
      </c>
      <c r="M1518" s="18" t="s">
        <v>580</v>
      </c>
      <c r="N1518" s="18" t="s">
        <v>378</v>
      </c>
      <c r="O1518" s="18" t="s">
        <v>98</v>
      </c>
      <c r="P1518" s="15" t="str">
        <f t="shared" si="1"/>
        <v>VERIFY</v>
      </c>
      <c r="Q1518" s="15">
        <f t="shared" si="2"/>
        <v>3</v>
      </c>
      <c r="R1518" s="15">
        <f t="shared" si="3"/>
        <v>3</v>
      </c>
      <c r="S1518" s="15">
        <f t="shared" si="4"/>
        <v>5</v>
      </c>
      <c r="T1518" s="15" t="str">
        <f t="shared" si="5"/>
        <v>C-3</v>
      </c>
      <c r="U1518" s="15" t="str">
        <f t="shared" si="6"/>
        <v>T3-M3-H5-FC-3-VERIFY</v>
      </c>
      <c r="V1518" s="15">
        <f t="shared" si="7"/>
        <v>0</v>
      </c>
      <c r="W1518" s="31"/>
      <c r="X1518" s="15" t="str">
        <f t="shared" si="8"/>
        <v>trento-italy</v>
      </c>
      <c r="Y1518" s="32" t="str">
        <f t="shared" si="9"/>
        <v>https://steelmanufacturer.in/market-area/electropolished-pipes-manufacturer-in-trento-italy/</v>
      </c>
      <c r="Z1518" s="15" t="str">
        <f t="shared" si="10"/>
        <v>Electropolished Pipes Manufacturer in Trento | EP Tube Supplier</v>
      </c>
      <c r="AA1518" s="15" t="str">
        <f t="shared" si="11"/>
        <v>OK (63)</v>
      </c>
      <c r="AB1518" s="15" t="str">
        <f t="shared" si="12"/>
        <v>EP stainless tube for VERIFY lines in Trento. 18-24 days sea from Nhava Sheva to Genoa. ASTM A270 S2, PMI tested, EN 10204 3.1.</v>
      </c>
      <c r="AC1518" s="15" t="str">
        <f t="shared" si="13"/>
        <v>PENDING RESEARCH</v>
      </c>
      <c r="AD1518" s="15" t="str">
        <f t="shared" si="14"/>
        <v>Electropolished Pipes Manufacturer in Trento</v>
      </c>
      <c r="AE1518" s="15" t="str">
        <f t="shared" si="15"/>
        <v>Electropolished Tube Manufacturing Capability Serving Trento</v>
      </c>
      <c r="AF1518" s="15" t="str">
        <f t="shared" si="16"/>
        <v>Electropolished Pipes Supplier in Trento - From Order to Delivery</v>
      </c>
      <c r="AG1518" s="15" t="str">
        <f t="shared" si="17"/>
        <v>Stockist &amp; Wholesale Supply of Electropolished Pipes in Trento</v>
      </c>
      <c r="AH1518" s="15" t="str">
        <f t="shared" si="18"/>
        <v>electropolished pipes manufacturer in Trento, electropolished pipes supplier in Trento, electropolished pipes wholesaler in Trento, electropolished tube manufacturer Trento, EP pipe supplier Trento, sanitary tube supplier Trento, ASME BPE tubing Trento, ASTM A270 tube Trento, SS 316L electropolished pipe Trento</v>
      </c>
      <c r="AI1518" s="15" t="str">
        <f t="shared" si="19"/>
        <v>Electropolished Pipes Manufacturer &amp; Supplier in Trento</v>
      </c>
      <c r="AJ1518" s="15" t="str">
        <f t="shared" si="20"/>
        <v>EP-finished SS 304/316L pipes and tubes for VERIFY plants in Trento. ASME BPE SF1-SF4, Ra from 0.25 um, EN 10204 3.1 certificate with every lot.</v>
      </c>
      <c r="AK1518" s="15" t="str">
        <f t="shared" si="21"/>
        <v>Electropolished stainless steel pipes supplied by Sakshi Forge to VERIFY plants at VERIFY, Trento</v>
      </c>
      <c r="AL1518" s="15" t="str">
        <f t="shared" si="22"/>
        <v>Electropolished SS 316L tube stock for Trento - Sakshi Forge</v>
      </c>
      <c r="AM1518" s="15" t="str">
        <f t="shared" si="23"/>
        <v>Home &gt; Market Area &gt; Italy &gt; VERIFY &gt; Trento</v>
      </c>
      <c r="AN1518" s="15">
        <f t="shared" si="24"/>
        <v>750</v>
      </c>
      <c r="AO1518" s="15">
        <f t="shared" si="25"/>
        <v>6</v>
      </c>
      <c r="AP1518" s="15">
        <f t="shared" si="26"/>
        <v>6</v>
      </c>
      <c r="AQ1518" s="15">
        <f t="shared" si="27"/>
        <v>26</v>
      </c>
      <c r="AR1518" s="31"/>
      <c r="AS1518" s="31"/>
      <c r="AT1518" s="35" t="s">
        <v>222</v>
      </c>
      <c r="AU1518" s="35"/>
    </row>
    <row r="1519" ht="15.75" customHeight="1">
      <c r="A1519" s="15" t="s">
        <v>7255</v>
      </c>
      <c r="B1519" s="15" t="s">
        <v>301</v>
      </c>
      <c r="C1519" s="15" t="s">
        <v>98</v>
      </c>
      <c r="D1519" s="15" t="s">
        <v>7256</v>
      </c>
      <c r="E1519" s="15" t="s">
        <v>7256</v>
      </c>
      <c r="F1519" s="58" t="s">
        <v>807</v>
      </c>
      <c r="G1519" s="66" t="s">
        <v>98</v>
      </c>
      <c r="H1519" s="18" t="s">
        <v>98</v>
      </c>
      <c r="I1519" s="18" t="s">
        <v>98</v>
      </c>
      <c r="J1519" s="18" t="s">
        <v>98</v>
      </c>
      <c r="K1519" s="18" t="s">
        <v>98</v>
      </c>
      <c r="L1519" s="18" t="s">
        <v>98</v>
      </c>
      <c r="M1519" s="18" t="s">
        <v>580</v>
      </c>
      <c r="N1519" s="18" t="s">
        <v>378</v>
      </c>
      <c r="O1519" s="18" t="s">
        <v>98</v>
      </c>
      <c r="P1519" s="15" t="str">
        <f t="shared" si="1"/>
        <v>VERIFY</v>
      </c>
      <c r="Q1519" s="15">
        <f t="shared" si="2"/>
        <v>4</v>
      </c>
      <c r="R1519" s="15">
        <f t="shared" si="3"/>
        <v>4</v>
      </c>
      <c r="S1519" s="15">
        <f t="shared" si="4"/>
        <v>1</v>
      </c>
      <c r="T1519" s="15" t="str">
        <f t="shared" si="5"/>
        <v>C-4</v>
      </c>
      <c r="U1519" s="15" t="str">
        <f t="shared" si="6"/>
        <v>T4-M4-H1-FC-4-VERIFY</v>
      </c>
      <c r="V1519" s="15">
        <f t="shared" si="7"/>
        <v>0</v>
      </c>
      <c r="W1519" s="31"/>
      <c r="X1519" s="15" t="str">
        <f t="shared" si="8"/>
        <v>trieste-italy</v>
      </c>
      <c r="Y1519" s="32" t="str">
        <f t="shared" si="9"/>
        <v>https://steelmanufacturer.in/market-area/electropolished-pipes-manufacturer-in-trieste-italy/</v>
      </c>
      <c r="Z1519" s="15" t="str">
        <f t="shared" si="10"/>
        <v>Electropolished Pipes Manufacturer in Trieste</v>
      </c>
      <c r="AA1519" s="15" t="str">
        <f t="shared" si="11"/>
        <v>OK (45)</v>
      </c>
      <c r="AB1519" s="15" t="str">
        <f t="shared" si="12"/>
        <v>Sanitary electropolished pipes in Trieste for VERIFY plants. ASME BPE SF1-SF4, orbital-weld ready, 3.1 MTC. Mumbai-made.</v>
      </c>
      <c r="AC1519" s="15" t="str">
        <f t="shared" si="13"/>
        <v>PENDING RESEARCH</v>
      </c>
      <c r="AD1519" s="15" t="str">
        <f t="shared" si="14"/>
        <v>Electropolished Pipes Manufacturer in Trieste</v>
      </c>
      <c r="AE1519" s="15" t="str">
        <f t="shared" si="15"/>
        <v>Electropolished Pipe &amp; Tube Manufacturing for Trieste - Grades, Finishes &amp; Certification</v>
      </c>
      <c r="AF1519" s="15" t="str">
        <f t="shared" si="16"/>
        <v>Electropolished Pipes Supplier in Trieste - Stock Sizes, Lead Time &amp; Delivery</v>
      </c>
      <c r="AG1519" s="15" t="str">
        <f t="shared" si="17"/>
        <v>Electropolished Pipes Wholesaler &amp; Stockist in Trieste - Bulk &amp; Project Pricing</v>
      </c>
      <c r="AH1519" s="15" t="str">
        <f t="shared" si="18"/>
        <v>electropolished pipes manufacturer in Trieste, electropolished pipes supplier in Trieste, electropolished pipes wholesaler in Trieste, electropolished tube manufacturer Trieste, EP pipe supplier Trieste, sanitary tube supplier Trieste, ASME BPE tubing Trieste, ASTM A270 tube Trieste, SS 316L electropolished pipe Trieste</v>
      </c>
      <c r="AI1519" s="15" t="str">
        <f t="shared" si="19"/>
        <v>Electropolished Pipes Manufacturer &amp; Supplier in Trieste</v>
      </c>
      <c r="AJ1519" s="15" t="str">
        <f t="shared" si="20"/>
        <v>EP-finished SS 304/316L pipes and tubes for VERIFY plants in Trieste. ASME BPE SF1-SF4, Ra from 0.25 um, EN 10204 3.1 certificate with every lot.</v>
      </c>
      <c r="AK1519" s="15" t="str">
        <f t="shared" si="21"/>
        <v>Electropolished stainless steel pipes supplied by Sakshi Forge to VERIFY plants at VERIFY, Trieste</v>
      </c>
      <c r="AL1519" s="15" t="str">
        <f t="shared" si="22"/>
        <v>Electropolished SS 316L tube stock for Trieste - Sakshi Forge</v>
      </c>
      <c r="AM1519" s="15" t="str">
        <f t="shared" si="23"/>
        <v>Home &gt; Market Area &gt; Italy &gt; VERIFY &gt; Trieste</v>
      </c>
      <c r="AN1519" s="15">
        <f t="shared" si="24"/>
        <v>750</v>
      </c>
      <c r="AO1519" s="15">
        <f t="shared" si="25"/>
        <v>6</v>
      </c>
      <c r="AP1519" s="15">
        <f t="shared" si="26"/>
        <v>6</v>
      </c>
      <c r="AQ1519" s="15">
        <f t="shared" si="27"/>
        <v>26</v>
      </c>
      <c r="AR1519" s="31"/>
      <c r="AS1519" s="31"/>
      <c r="AT1519" s="35" t="s">
        <v>222</v>
      </c>
      <c r="AU1519" s="35"/>
    </row>
    <row r="1520" ht="15.75" customHeight="1">
      <c r="A1520" s="15" t="s">
        <v>7257</v>
      </c>
      <c r="B1520" s="15" t="s">
        <v>301</v>
      </c>
      <c r="C1520" s="15" t="s">
        <v>98</v>
      </c>
      <c r="D1520" s="15" t="s">
        <v>7258</v>
      </c>
      <c r="E1520" s="15" t="s">
        <v>7258</v>
      </c>
      <c r="F1520" s="58" t="s">
        <v>807</v>
      </c>
      <c r="G1520" s="66" t="s">
        <v>98</v>
      </c>
      <c r="H1520" s="18" t="s">
        <v>98</v>
      </c>
      <c r="I1520" s="18" t="s">
        <v>98</v>
      </c>
      <c r="J1520" s="18" t="s">
        <v>98</v>
      </c>
      <c r="K1520" s="18" t="s">
        <v>98</v>
      </c>
      <c r="L1520" s="18" t="s">
        <v>98</v>
      </c>
      <c r="M1520" s="18" t="s">
        <v>580</v>
      </c>
      <c r="N1520" s="18" t="s">
        <v>378</v>
      </c>
      <c r="O1520" s="18" t="s">
        <v>98</v>
      </c>
      <c r="P1520" s="15" t="str">
        <f t="shared" si="1"/>
        <v>VERIFY</v>
      </c>
      <c r="Q1520" s="15">
        <f t="shared" si="2"/>
        <v>5</v>
      </c>
      <c r="R1520" s="15">
        <f t="shared" si="3"/>
        <v>5</v>
      </c>
      <c r="S1520" s="15">
        <f t="shared" si="4"/>
        <v>2</v>
      </c>
      <c r="T1520" s="15" t="str">
        <f t="shared" si="5"/>
        <v>C-5</v>
      </c>
      <c r="U1520" s="15" t="str">
        <f t="shared" si="6"/>
        <v>T5-M5-H2-FC-5-VERIFY</v>
      </c>
      <c r="V1520" s="15">
        <f t="shared" si="7"/>
        <v>0</v>
      </c>
      <c r="W1520" s="31"/>
      <c r="X1520" s="15" t="str">
        <f t="shared" si="8"/>
        <v>udine-italy</v>
      </c>
      <c r="Y1520" s="32" t="str">
        <f t="shared" si="9"/>
        <v>https://steelmanufacturer.in/market-area/electropolished-pipes-manufacturer-in-udine-italy/</v>
      </c>
      <c r="Z1520" s="15" t="str">
        <f t="shared" si="10"/>
        <v>Electropolished Pipes Manufacturer in Udine</v>
      </c>
      <c r="AA1520" s="15" t="str">
        <f t="shared" si="11"/>
        <v>OK (43)</v>
      </c>
      <c r="AB1520" s="15" t="str">
        <f t="shared" si="12"/>
        <v>Manufacturer of electropolished SS 316L tube serving Udine. 18-24 days sea from Nhava Sheva to Genoa. Ra 0.25-0.5 um, EN 10204 3.1 MTC.</v>
      </c>
      <c r="AC1520" s="15" t="str">
        <f t="shared" si="13"/>
        <v>PENDING RESEARCH</v>
      </c>
      <c r="AD1520" s="15" t="str">
        <f t="shared" si="14"/>
        <v>Electropolished Pipes Manufacturer in Udine</v>
      </c>
      <c r="AE1520" s="15" t="str">
        <f t="shared" si="15"/>
        <v>How We Manufacture Electropolished Tube for Udine Plants</v>
      </c>
      <c r="AF1520" s="15" t="str">
        <f t="shared" si="16"/>
        <v>Supplying Electropolished Pipes in Udine: Availability, Sizes &amp; Dispatch</v>
      </c>
      <c r="AG1520" s="15" t="str">
        <f t="shared" si="17"/>
        <v>Wholesale Electropolished Pipe Supply for Udine Projects</v>
      </c>
      <c r="AH1520" s="15" t="str">
        <f t="shared" si="18"/>
        <v>electropolished pipes manufacturer in Udine, electropolished pipes supplier in Udine, electropolished pipes wholesaler in Udine, electropolished tube manufacturer Udine, EP pipe supplier Udine, sanitary tube supplier Udine, ASME BPE tubing Udine, ASTM A270 tube Udine, SS 316L electropolished pipe Udine</v>
      </c>
      <c r="AI1520" s="15" t="str">
        <f t="shared" si="19"/>
        <v>Electropolished Pipes Manufacturer &amp; Supplier in Udine</v>
      </c>
      <c r="AJ1520" s="15" t="str">
        <f t="shared" si="20"/>
        <v>EP-finished SS 304/316L pipes and tubes for VERIFY plants in Udine. ASME BPE SF1-SF4, Ra from 0.25 um, EN 10204 3.1 certificate with every lot.</v>
      </c>
      <c r="AK1520" s="15" t="str">
        <f t="shared" si="21"/>
        <v>Electropolished stainless steel pipes supplied by Sakshi Forge to VERIFY plants at VERIFY, Udine</v>
      </c>
      <c r="AL1520" s="15" t="str">
        <f t="shared" si="22"/>
        <v>Electropolished SS 316L tube stock for Udine - Sakshi Forge</v>
      </c>
      <c r="AM1520" s="15" t="str">
        <f t="shared" si="23"/>
        <v>Home &gt; Market Area &gt; Italy &gt; VERIFY &gt; Udine</v>
      </c>
      <c r="AN1520" s="15">
        <f t="shared" si="24"/>
        <v>750</v>
      </c>
      <c r="AO1520" s="15">
        <f t="shared" si="25"/>
        <v>6</v>
      </c>
      <c r="AP1520" s="15">
        <f t="shared" si="26"/>
        <v>6</v>
      </c>
      <c r="AQ1520" s="15">
        <f t="shared" si="27"/>
        <v>26</v>
      </c>
      <c r="AR1520" s="31"/>
      <c r="AS1520" s="31"/>
      <c r="AT1520" s="35" t="s">
        <v>222</v>
      </c>
      <c r="AU1520" s="35"/>
    </row>
    <row r="1521" ht="15.75" customHeight="1">
      <c r="A1521" s="15" t="s">
        <v>7259</v>
      </c>
      <c r="B1521" s="15" t="s">
        <v>301</v>
      </c>
      <c r="C1521" s="15" t="s">
        <v>98</v>
      </c>
      <c r="D1521" s="15" t="s">
        <v>7260</v>
      </c>
      <c r="E1521" s="15" t="s">
        <v>7260</v>
      </c>
      <c r="F1521" s="58" t="s">
        <v>807</v>
      </c>
      <c r="G1521" s="66" t="s">
        <v>98</v>
      </c>
      <c r="H1521" s="18" t="s">
        <v>98</v>
      </c>
      <c r="I1521" s="18" t="s">
        <v>98</v>
      </c>
      <c r="J1521" s="18" t="s">
        <v>98</v>
      </c>
      <c r="K1521" s="18" t="s">
        <v>98</v>
      </c>
      <c r="L1521" s="18" t="s">
        <v>98</v>
      </c>
      <c r="M1521" s="18" t="s">
        <v>580</v>
      </c>
      <c r="N1521" s="18" t="s">
        <v>378</v>
      </c>
      <c r="O1521" s="18" t="s">
        <v>98</v>
      </c>
      <c r="P1521" s="15" t="str">
        <f t="shared" si="1"/>
        <v>VERIFY</v>
      </c>
      <c r="Q1521" s="15">
        <f t="shared" si="2"/>
        <v>6</v>
      </c>
      <c r="R1521" s="15">
        <f t="shared" si="3"/>
        <v>6</v>
      </c>
      <c r="S1521" s="15">
        <f t="shared" si="4"/>
        <v>3</v>
      </c>
      <c r="T1521" s="15" t="str">
        <f t="shared" si="5"/>
        <v>C-6</v>
      </c>
      <c r="U1521" s="15" t="str">
        <f t="shared" si="6"/>
        <v>T6-M6-H3-FC-6-VERIFY</v>
      </c>
      <c r="V1521" s="15">
        <f t="shared" si="7"/>
        <v>0</v>
      </c>
      <c r="W1521" s="31"/>
      <c r="X1521" s="15" t="str">
        <f t="shared" si="8"/>
        <v>vercelli-italy</v>
      </c>
      <c r="Y1521" s="32" t="str">
        <f t="shared" si="9"/>
        <v>https://steelmanufacturer.in/market-area/electropolished-pipes-manufacturer-in-vercelli-italy/</v>
      </c>
      <c r="Z1521" s="15" t="str">
        <f t="shared" si="10"/>
        <v>Electropolished Pipes Manufacturer in Vercelli</v>
      </c>
      <c r="AA1521" s="15" t="str">
        <f t="shared" si="11"/>
        <v>OK (46)</v>
      </c>
      <c r="AB1521" s="15" t="str">
        <f t="shared" si="12"/>
        <v>EP tube and pipe for VERIFY plants around VERIFY, Vercelli. Made at our Mumbai works to ASTM A270 and ASME BPE SF1-SF4, with 3.1 MTC.</v>
      </c>
      <c r="AC1521" s="15" t="str">
        <f t="shared" si="13"/>
        <v>PENDING RESEARCH</v>
      </c>
      <c r="AD1521" s="15" t="str">
        <f t="shared" si="14"/>
        <v>Electropolished Pipes Manufacturer in Vercelli</v>
      </c>
      <c r="AE1521" s="15" t="str">
        <f t="shared" si="15"/>
        <v>Electropolished Pipes Manufacturer in Vercelli - Our Process &amp; Capability</v>
      </c>
      <c r="AF1521" s="15" t="str">
        <f t="shared" si="16"/>
        <v>Electropolished Pipes Supplier in Vercelli - What We Hold in Stock</v>
      </c>
      <c r="AG1521" s="15" t="str">
        <f t="shared" si="17"/>
        <v>Bulk &amp; Wholesale Electropolished Pipe Rates for Vercelli Buyers</v>
      </c>
      <c r="AH1521" s="15" t="str">
        <f t="shared" si="18"/>
        <v>electropolished pipes manufacturer in Vercelli, electropolished pipes supplier in Vercelli, electropolished pipes wholesaler in Vercelli, electropolished tube manufacturer Vercelli, EP pipe supplier Vercelli, sanitary tube supplier Vercelli, ASME BPE tubing Vercelli, ASTM A270 tube Vercelli, SS 316L electropolished pipe Vercelli</v>
      </c>
      <c r="AI1521" s="15" t="str">
        <f t="shared" si="19"/>
        <v>Electropolished Pipes Manufacturer &amp; Supplier in Vercelli</v>
      </c>
      <c r="AJ1521" s="15" t="str">
        <f t="shared" si="20"/>
        <v>EP-finished SS 304/316L pipes and tubes for VERIFY plants in Vercelli. ASME BPE SF1-SF4, Ra from 0.25 um, EN 10204 3.1 certificate with every lot.</v>
      </c>
      <c r="AK1521" s="15" t="str">
        <f t="shared" si="21"/>
        <v>Electropolished stainless steel pipes supplied by Sakshi Forge to VERIFY plants at VERIFY, Vercelli</v>
      </c>
      <c r="AL1521" s="15" t="str">
        <f t="shared" si="22"/>
        <v>Electropolished SS 316L tube stock for Vercelli - Sakshi Forge</v>
      </c>
      <c r="AM1521" s="15" t="str">
        <f t="shared" si="23"/>
        <v>Home &gt; Market Area &gt; Italy &gt; VERIFY &gt; Vercelli</v>
      </c>
      <c r="AN1521" s="15">
        <f t="shared" si="24"/>
        <v>750</v>
      </c>
      <c r="AO1521" s="15">
        <f t="shared" si="25"/>
        <v>6</v>
      </c>
      <c r="AP1521" s="15">
        <f t="shared" si="26"/>
        <v>6</v>
      </c>
      <c r="AQ1521" s="15">
        <f t="shared" si="27"/>
        <v>26</v>
      </c>
      <c r="AR1521" s="31"/>
      <c r="AS1521" s="31"/>
      <c r="AT1521" s="35" t="s">
        <v>222</v>
      </c>
      <c r="AU1521" s="35"/>
    </row>
    <row r="1522" ht="15.75" customHeight="1">
      <c r="A1522" s="15" t="s">
        <v>7261</v>
      </c>
      <c r="B1522" s="15" t="s">
        <v>217</v>
      </c>
      <c r="C1522" s="15" t="s">
        <v>98</v>
      </c>
      <c r="D1522" s="15" t="s">
        <v>7262</v>
      </c>
      <c r="E1522" s="15" t="s">
        <v>7262</v>
      </c>
      <c r="F1522" s="58" t="s">
        <v>807</v>
      </c>
      <c r="G1522" s="66" t="s">
        <v>98</v>
      </c>
      <c r="H1522" s="18" t="s">
        <v>98</v>
      </c>
      <c r="I1522" s="18" t="s">
        <v>98</v>
      </c>
      <c r="J1522" s="18" t="s">
        <v>98</v>
      </c>
      <c r="K1522" s="18" t="s">
        <v>98</v>
      </c>
      <c r="L1522" s="18" t="s">
        <v>98</v>
      </c>
      <c r="M1522" s="18" t="s">
        <v>513</v>
      </c>
      <c r="N1522" s="18" t="s">
        <v>218</v>
      </c>
      <c r="O1522" s="18" t="s">
        <v>98</v>
      </c>
      <c r="P1522" s="15" t="str">
        <f t="shared" si="1"/>
        <v>VERIFY</v>
      </c>
      <c r="Q1522" s="15">
        <f t="shared" si="2"/>
        <v>7</v>
      </c>
      <c r="R1522" s="15">
        <f t="shared" si="3"/>
        <v>7</v>
      </c>
      <c r="S1522" s="15">
        <f t="shared" si="4"/>
        <v>4</v>
      </c>
      <c r="T1522" s="15" t="str">
        <f t="shared" si="5"/>
        <v>C-1</v>
      </c>
      <c r="U1522" s="15" t="str">
        <f t="shared" si="6"/>
        <v>T7-M7-H4-FC-1-VERIFY</v>
      </c>
      <c r="V1522" s="15">
        <f t="shared" si="7"/>
        <v>0</v>
      </c>
      <c r="W1522" s="31"/>
      <c r="X1522" s="15" t="str">
        <f t="shared" si="8"/>
        <v>fahaheel-kuwait</v>
      </c>
      <c r="Y1522" s="32" t="str">
        <f t="shared" si="9"/>
        <v>https://steelmanufacturer.in/market-area/electropolished-pipes-manufacturer-in-fahaheel-kuwait/</v>
      </c>
      <c r="Z1522" s="15" t="str">
        <f t="shared" si="10"/>
        <v>Electropolished Pipes Manufacturer in Fahaheel | ASME BPE SF1-SF4</v>
      </c>
      <c r="AA1522" s="15" t="str">
        <f t="shared" si="11"/>
        <v>OK (65)</v>
      </c>
      <c r="AB1522" s="15" t="str">
        <f t="shared" si="12"/>
        <v>Electropolished pipes in Fahaheel: 304, 304L, 316 and 316L in SF1-SF4. 14-18 days sea from Nhava Sheva to Shuwaikh. Mill certified.</v>
      </c>
      <c r="AC1522" s="15" t="str">
        <f t="shared" si="13"/>
        <v>PENDING RESEARCH</v>
      </c>
      <c r="AD1522" s="15" t="str">
        <f t="shared" si="14"/>
        <v>Electropolished Pipes Manufacturer in Fahaheel</v>
      </c>
      <c r="AE1522" s="15" t="str">
        <f t="shared" si="15"/>
        <v>Manufacturing Electropolished SS Tube for Fahaheel: The Standards We Build To</v>
      </c>
      <c r="AF1522" s="15" t="str">
        <f t="shared" si="16"/>
        <v>Electropolished Pipe Supply Into Fahaheel - Certification &amp; Transit</v>
      </c>
      <c r="AG1522" s="15" t="str">
        <f t="shared" si="17"/>
        <v>Electropolished Pipes Wholesaler in Fahaheel - Project Quantities &amp; Terms</v>
      </c>
      <c r="AH1522" s="15" t="str">
        <f t="shared" si="18"/>
        <v>electropolished pipes manufacturer in Fahaheel, electropolished pipes supplier in Fahaheel, electropolished pipes wholesaler in Fahaheel, electropolished tube manufacturer Fahaheel, EP pipe supplier Fahaheel, sanitary tube supplier Fahaheel, ASME BPE tubing Fahaheel, ASTM A270 tube Fahaheel, SS 316L electropolished pipe Fahaheel</v>
      </c>
      <c r="AI1522" s="15" t="str">
        <f t="shared" si="19"/>
        <v>Electropolished Pipes Manufacturer &amp; Supplier in Fahaheel</v>
      </c>
      <c r="AJ1522" s="15" t="str">
        <f t="shared" si="20"/>
        <v>EP-finished SS 304/316L pipes and tubes for VERIFY plants in Fahaheel. ASME BPE SF1-SF4, Ra from 0.25 um, EN 10204 3.1 certificate with every lot.</v>
      </c>
      <c r="AK1522" s="15" t="str">
        <f t="shared" si="21"/>
        <v>Electropolished stainless steel pipes supplied by Sakshi Forge to VERIFY plants at VERIFY, Fahaheel</v>
      </c>
      <c r="AL1522" s="15" t="str">
        <f t="shared" si="22"/>
        <v>Electropolished SS 316L tube stock for Fahaheel - Sakshi Forge</v>
      </c>
      <c r="AM1522" s="15" t="str">
        <f t="shared" si="23"/>
        <v>Home &gt; Market Area &gt; Kuwait &gt; VERIFY &gt; Fahaheel</v>
      </c>
      <c r="AN1522" s="15">
        <f t="shared" si="24"/>
        <v>750</v>
      </c>
      <c r="AO1522" s="15">
        <f t="shared" si="25"/>
        <v>6</v>
      </c>
      <c r="AP1522" s="15">
        <f t="shared" si="26"/>
        <v>6</v>
      </c>
      <c r="AQ1522" s="15">
        <f t="shared" si="27"/>
        <v>26</v>
      </c>
      <c r="AR1522" s="31"/>
      <c r="AS1522" s="31"/>
      <c r="AT1522" s="35" t="s">
        <v>222</v>
      </c>
      <c r="AU1522" s="35"/>
    </row>
    <row r="1523" ht="15.75" customHeight="1">
      <c r="A1523" s="15" t="s">
        <v>7264</v>
      </c>
      <c r="B1523" s="15" t="s">
        <v>217</v>
      </c>
      <c r="C1523" s="15" t="s">
        <v>98</v>
      </c>
      <c r="D1523" s="15" t="s">
        <v>7149</v>
      </c>
      <c r="E1523" s="15" t="s">
        <v>7149</v>
      </c>
      <c r="F1523" s="58" t="s">
        <v>807</v>
      </c>
      <c r="G1523" s="66" t="s">
        <v>98</v>
      </c>
      <c r="H1523" s="18" t="s">
        <v>98</v>
      </c>
      <c r="I1523" s="18" t="s">
        <v>98</v>
      </c>
      <c r="J1523" s="18" t="s">
        <v>98</v>
      </c>
      <c r="K1523" s="18" t="s">
        <v>98</v>
      </c>
      <c r="L1523" s="18" t="s">
        <v>98</v>
      </c>
      <c r="M1523" s="18" t="s">
        <v>513</v>
      </c>
      <c r="N1523" s="18" t="s">
        <v>218</v>
      </c>
      <c r="O1523" s="18" t="s">
        <v>98</v>
      </c>
      <c r="P1523" s="15" t="str">
        <f t="shared" si="1"/>
        <v>VERIFY</v>
      </c>
      <c r="Q1523" s="15">
        <f t="shared" si="2"/>
        <v>8</v>
      </c>
      <c r="R1523" s="15">
        <f t="shared" si="3"/>
        <v>1</v>
      </c>
      <c r="S1523" s="15">
        <f t="shared" si="4"/>
        <v>5</v>
      </c>
      <c r="T1523" s="15" t="str">
        <f t="shared" si="5"/>
        <v>C-2</v>
      </c>
      <c r="U1523" s="15" t="str">
        <f t="shared" si="6"/>
        <v>T8-M1-H5-FC-2-VERIFY</v>
      </c>
      <c r="V1523" s="15">
        <f t="shared" si="7"/>
        <v>0</v>
      </c>
      <c r="W1523" s="31"/>
      <c r="X1523" s="15" t="str">
        <f t="shared" si="8"/>
        <v>hawalli-kuwait</v>
      </c>
      <c r="Y1523" s="32" t="str">
        <f t="shared" si="9"/>
        <v>https://steelmanufacturer.in/market-area/electropolished-pipes-manufacturer-in-hawalli-kuwait/</v>
      </c>
      <c r="Z1523" s="15" t="str">
        <f t="shared" si="10"/>
        <v>Electropolished Pipes Manufacturer in Hawalli - EP Tube Stockist</v>
      </c>
      <c r="AA1523" s="15" t="str">
        <f t="shared" si="11"/>
        <v>OK (64)</v>
      </c>
      <c r="AB1523" s="15" t="str">
        <f t="shared" si="12"/>
        <v>EP-finished SS 304/316L pipes &amp; tubes for VERIFY plants in Hawalli. ASTM A270, ASME BPE SF1-SF4, EN 10204 3.1 MTC. PMI tested.</v>
      </c>
      <c r="AC1523" s="15" t="str">
        <f t="shared" si="13"/>
        <v>PENDING RESEARCH</v>
      </c>
      <c r="AD1523" s="15" t="str">
        <f t="shared" si="14"/>
        <v>Electropolished Pipes Manufacturer in Hawalli</v>
      </c>
      <c r="AE1523" s="15" t="str">
        <f t="shared" si="15"/>
        <v>Electropolished Tube Manufacturing Capability Serving Hawalli</v>
      </c>
      <c r="AF1523" s="15" t="str">
        <f t="shared" si="16"/>
        <v>Electropolished Pipes Supplier in Hawalli - From Order to Delivery</v>
      </c>
      <c r="AG1523" s="15" t="str">
        <f t="shared" si="17"/>
        <v>Stockist &amp; Wholesale Supply of Electropolished Pipes in Hawalli</v>
      </c>
      <c r="AH1523" s="15" t="str">
        <f t="shared" si="18"/>
        <v>electropolished pipes manufacturer in Hawalli, electropolished pipes supplier in Hawalli, electropolished pipes wholesaler in Hawalli, electropolished tube manufacturer Hawalli, EP pipe supplier Hawalli, sanitary tube supplier Hawalli, ASME BPE tubing Hawalli, ASTM A270 tube Hawalli, SS 316L electropolished pipe Hawalli</v>
      </c>
      <c r="AI1523" s="15" t="str">
        <f t="shared" si="19"/>
        <v>Electropolished Pipes Manufacturer &amp; Supplier in Hawalli</v>
      </c>
      <c r="AJ1523" s="15" t="str">
        <f t="shared" si="20"/>
        <v>EP-finished SS 304/316L pipes and tubes for VERIFY plants in Hawalli. ASME BPE SF1-SF4, Ra from 0.25 um, EN 10204 3.1 certificate with every lot.</v>
      </c>
      <c r="AK1523" s="15" t="str">
        <f t="shared" si="21"/>
        <v>Electropolished stainless steel pipes supplied by Sakshi Forge to VERIFY plants at VERIFY, Hawalli</v>
      </c>
      <c r="AL1523" s="15" t="str">
        <f t="shared" si="22"/>
        <v>Electropolished SS 316L tube stock for Hawalli - Sakshi Forge</v>
      </c>
      <c r="AM1523" s="15" t="str">
        <f t="shared" si="23"/>
        <v>Home &gt; Market Area &gt; Kuwait &gt; VERIFY &gt; Hawalli</v>
      </c>
      <c r="AN1523" s="15">
        <f t="shared" si="24"/>
        <v>750</v>
      </c>
      <c r="AO1523" s="15">
        <f t="shared" si="25"/>
        <v>6</v>
      </c>
      <c r="AP1523" s="15">
        <f t="shared" si="26"/>
        <v>6</v>
      </c>
      <c r="AQ1523" s="15">
        <f t="shared" si="27"/>
        <v>26</v>
      </c>
      <c r="AR1523" s="31"/>
      <c r="AS1523" s="31"/>
      <c r="AT1523" s="35" t="s">
        <v>222</v>
      </c>
      <c r="AU1523" s="35"/>
    </row>
    <row r="1524" ht="15.75" customHeight="1">
      <c r="A1524" s="15" t="s">
        <v>7265</v>
      </c>
      <c r="B1524" s="15" t="s">
        <v>217</v>
      </c>
      <c r="C1524" s="15" t="s">
        <v>98</v>
      </c>
      <c r="D1524" s="15" t="s">
        <v>7266</v>
      </c>
      <c r="E1524" s="15" t="s">
        <v>7266</v>
      </c>
      <c r="F1524" s="58" t="s">
        <v>807</v>
      </c>
      <c r="G1524" s="66" t="s">
        <v>98</v>
      </c>
      <c r="H1524" s="18" t="s">
        <v>98</v>
      </c>
      <c r="I1524" s="18" t="s">
        <v>98</v>
      </c>
      <c r="J1524" s="18" t="s">
        <v>98</v>
      </c>
      <c r="K1524" s="18" t="s">
        <v>98</v>
      </c>
      <c r="L1524" s="18" t="s">
        <v>98</v>
      </c>
      <c r="M1524" s="18" t="s">
        <v>513</v>
      </c>
      <c r="N1524" s="18" t="s">
        <v>218</v>
      </c>
      <c r="O1524" s="18" t="s">
        <v>98</v>
      </c>
      <c r="P1524" s="15" t="str">
        <f t="shared" si="1"/>
        <v>VERIFY</v>
      </c>
      <c r="Q1524" s="15">
        <f t="shared" si="2"/>
        <v>1</v>
      </c>
      <c r="R1524" s="15">
        <f t="shared" si="3"/>
        <v>2</v>
      </c>
      <c r="S1524" s="15">
        <f t="shared" si="4"/>
        <v>1</v>
      </c>
      <c r="T1524" s="15" t="str">
        <f t="shared" si="5"/>
        <v>C-3</v>
      </c>
      <c r="U1524" s="15" t="str">
        <f t="shared" si="6"/>
        <v>T1-M2-H1-FC-3-VERIFY</v>
      </c>
      <c r="V1524" s="15">
        <f t="shared" si="7"/>
        <v>0</v>
      </c>
      <c r="W1524" s="31"/>
      <c r="X1524" s="15" t="str">
        <f t="shared" si="8"/>
        <v>mangaf-kuwait</v>
      </c>
      <c r="Y1524" s="32" t="str">
        <f t="shared" si="9"/>
        <v>https://steelmanufacturer.in/market-area/electropolished-pipes-manufacturer-in-mangaf-kuwait/</v>
      </c>
      <c r="Z1524" s="15" t="str">
        <f t="shared" si="10"/>
        <v>Electropolished Pipes Manufacturer in Mangaf | Sakshi Forge</v>
      </c>
      <c r="AA1524" s="15" t="str">
        <f t="shared" si="11"/>
        <v>OK (59)</v>
      </c>
      <c r="AB1524" s="15" t="str">
        <f t="shared" si="12"/>
        <v>Electropolished tube supply to VERIFY, Mangaf. Ra from 0.25 um, SF4 finish, mill test certificate with every lot.</v>
      </c>
      <c r="AC1524" s="15" t="str">
        <f t="shared" si="13"/>
        <v>PENDING RESEARCH</v>
      </c>
      <c r="AD1524" s="15" t="str">
        <f t="shared" si="14"/>
        <v>Electropolished Pipes Manufacturer in Mangaf</v>
      </c>
      <c r="AE1524" s="15" t="str">
        <f t="shared" si="15"/>
        <v>Electropolished Pipe &amp; Tube Manufacturing for Mangaf - Grades, Finishes &amp; Certification</v>
      </c>
      <c r="AF1524" s="15" t="str">
        <f t="shared" si="16"/>
        <v>Electropolished Pipes Supplier in Mangaf - Stock Sizes, Lead Time &amp; Delivery</v>
      </c>
      <c r="AG1524" s="15" t="str">
        <f t="shared" si="17"/>
        <v>Electropolished Pipes Wholesaler &amp; Stockist in Mangaf - Bulk &amp; Project Pricing</v>
      </c>
      <c r="AH1524" s="15" t="str">
        <f t="shared" si="18"/>
        <v>electropolished pipes manufacturer in Mangaf, electropolished pipes supplier in Mangaf, electropolished pipes wholesaler in Mangaf, electropolished tube manufacturer Mangaf, EP pipe supplier Mangaf, sanitary tube supplier Mangaf, ASME BPE tubing Mangaf, ASTM A270 tube Mangaf, SS 316L electropolished pipe Mangaf</v>
      </c>
      <c r="AI1524" s="15" t="str">
        <f t="shared" si="19"/>
        <v>Electropolished Pipes Manufacturer &amp; Supplier in Mangaf</v>
      </c>
      <c r="AJ1524" s="15" t="str">
        <f t="shared" si="20"/>
        <v>EP-finished SS 304/316L pipes and tubes for VERIFY plants in Mangaf. ASME BPE SF1-SF4, Ra from 0.25 um, EN 10204 3.1 certificate with every lot.</v>
      </c>
      <c r="AK1524" s="15" t="str">
        <f t="shared" si="21"/>
        <v>Electropolished stainless steel pipes supplied by Sakshi Forge to VERIFY plants at VERIFY, Mangaf</v>
      </c>
      <c r="AL1524" s="15" t="str">
        <f t="shared" si="22"/>
        <v>Electropolished SS 316L tube stock for Mangaf - Sakshi Forge</v>
      </c>
      <c r="AM1524" s="15" t="str">
        <f t="shared" si="23"/>
        <v>Home &gt; Market Area &gt; Kuwait &gt; VERIFY &gt; Mangaf</v>
      </c>
      <c r="AN1524" s="15">
        <f t="shared" si="24"/>
        <v>750</v>
      </c>
      <c r="AO1524" s="15">
        <f t="shared" si="25"/>
        <v>6</v>
      </c>
      <c r="AP1524" s="15">
        <f t="shared" si="26"/>
        <v>6</v>
      </c>
      <c r="AQ1524" s="15">
        <f t="shared" si="27"/>
        <v>26</v>
      </c>
      <c r="AR1524" s="31"/>
      <c r="AS1524" s="31"/>
      <c r="AT1524" s="35" t="s">
        <v>222</v>
      </c>
      <c r="AU1524" s="35"/>
    </row>
    <row r="1525" ht="15.75" customHeight="1">
      <c r="A1525" s="15" t="s">
        <v>7267</v>
      </c>
      <c r="B1525" s="15" t="s">
        <v>217</v>
      </c>
      <c r="C1525" s="15" t="s">
        <v>98</v>
      </c>
      <c r="D1525" s="15" t="s">
        <v>7268</v>
      </c>
      <c r="E1525" s="15" t="s">
        <v>7268</v>
      </c>
      <c r="F1525" s="58" t="s">
        <v>807</v>
      </c>
      <c r="G1525" s="66" t="s">
        <v>98</v>
      </c>
      <c r="H1525" s="18" t="s">
        <v>98</v>
      </c>
      <c r="I1525" s="18" t="s">
        <v>98</v>
      </c>
      <c r="J1525" s="18" t="s">
        <v>98</v>
      </c>
      <c r="K1525" s="18" t="s">
        <v>98</v>
      </c>
      <c r="L1525" s="18" t="s">
        <v>98</v>
      </c>
      <c r="M1525" s="18" t="s">
        <v>513</v>
      </c>
      <c r="N1525" s="18" t="s">
        <v>218</v>
      </c>
      <c r="O1525" s="18" t="s">
        <v>98</v>
      </c>
      <c r="P1525" s="15" t="str">
        <f t="shared" si="1"/>
        <v>VERIFY</v>
      </c>
      <c r="Q1525" s="15">
        <f t="shared" si="2"/>
        <v>2</v>
      </c>
      <c r="R1525" s="15">
        <f t="shared" si="3"/>
        <v>3</v>
      </c>
      <c r="S1525" s="15">
        <f t="shared" si="4"/>
        <v>2</v>
      </c>
      <c r="T1525" s="15" t="str">
        <f t="shared" si="5"/>
        <v>C-4</v>
      </c>
      <c r="U1525" s="15" t="str">
        <f t="shared" si="6"/>
        <v>T2-M3-H2-FC-4-VERIFY</v>
      </c>
      <c r="V1525" s="15">
        <f t="shared" si="7"/>
        <v>0</v>
      </c>
      <c r="W1525" s="31"/>
      <c r="X1525" s="15" t="str">
        <f t="shared" si="8"/>
        <v>salmiya-kuwait</v>
      </c>
      <c r="Y1525" s="32" t="str">
        <f t="shared" si="9"/>
        <v>https://steelmanufacturer.in/market-area/electropolished-pipes-manufacturer-in-salmiya-kuwait/</v>
      </c>
      <c r="Z1525" s="15" t="str">
        <f t="shared" si="10"/>
        <v>Electropolished Pipes Manufacturer in Salmiya</v>
      </c>
      <c r="AA1525" s="15" t="str">
        <f t="shared" si="11"/>
        <v>OK (45)</v>
      </c>
      <c r="AB1525" s="15" t="str">
        <f t="shared" si="12"/>
        <v>EP stainless tube for VERIFY lines in Salmiya. 14-18 days sea from Nhava Sheva to Shuwaikh. ASTM A270 S2, PMI tested, EN 10204 3.1.</v>
      </c>
      <c r="AC1525" s="15" t="str">
        <f t="shared" si="13"/>
        <v>PENDING RESEARCH</v>
      </c>
      <c r="AD1525" s="15" t="str">
        <f t="shared" si="14"/>
        <v>Electropolished Pipes Manufacturer in Salmiya</v>
      </c>
      <c r="AE1525" s="15" t="str">
        <f t="shared" si="15"/>
        <v>How We Manufacture Electropolished Tube for Salmiya Plants</v>
      </c>
      <c r="AF1525" s="15" t="str">
        <f t="shared" si="16"/>
        <v>Supplying Electropolished Pipes in Salmiya: Availability, Sizes &amp; Dispatch</v>
      </c>
      <c r="AG1525" s="15" t="str">
        <f t="shared" si="17"/>
        <v>Wholesale Electropolished Pipe Supply for Salmiya Projects</v>
      </c>
      <c r="AH1525" s="15" t="str">
        <f t="shared" si="18"/>
        <v>electropolished pipes manufacturer in Salmiya, electropolished pipes supplier in Salmiya, electropolished pipes wholesaler in Salmiya, electropolished tube manufacturer Salmiya, EP pipe supplier Salmiya, sanitary tube supplier Salmiya, ASME BPE tubing Salmiya, ASTM A270 tube Salmiya, SS 316L electropolished pipe Salmiya</v>
      </c>
      <c r="AI1525" s="15" t="str">
        <f t="shared" si="19"/>
        <v>Electropolished Pipes Manufacturer &amp; Supplier in Salmiya</v>
      </c>
      <c r="AJ1525" s="15" t="str">
        <f t="shared" si="20"/>
        <v>EP-finished SS 304/316L pipes and tubes for VERIFY plants in Salmiya. ASME BPE SF1-SF4, Ra from 0.25 um, EN 10204 3.1 certificate with every lot.</v>
      </c>
      <c r="AK1525" s="15" t="str">
        <f t="shared" si="21"/>
        <v>Electropolished stainless steel pipes supplied by Sakshi Forge to VERIFY plants at VERIFY, Salmiya</v>
      </c>
      <c r="AL1525" s="15" t="str">
        <f t="shared" si="22"/>
        <v>Electropolished SS 316L tube stock for Salmiya - Sakshi Forge</v>
      </c>
      <c r="AM1525" s="15" t="str">
        <f t="shared" si="23"/>
        <v>Home &gt; Market Area &gt; Kuwait &gt; VERIFY &gt; Salmiya</v>
      </c>
      <c r="AN1525" s="15">
        <f t="shared" si="24"/>
        <v>750</v>
      </c>
      <c r="AO1525" s="15">
        <f t="shared" si="25"/>
        <v>6</v>
      </c>
      <c r="AP1525" s="15">
        <f t="shared" si="26"/>
        <v>6</v>
      </c>
      <c r="AQ1525" s="15">
        <f t="shared" si="27"/>
        <v>26</v>
      </c>
      <c r="AR1525" s="31"/>
      <c r="AS1525" s="31"/>
      <c r="AT1525" s="35" t="s">
        <v>222</v>
      </c>
      <c r="AU1525" s="35"/>
    </row>
    <row r="1526" ht="15.75" customHeight="1">
      <c r="A1526" s="15" t="s">
        <v>7269</v>
      </c>
      <c r="B1526" s="15" t="s">
        <v>430</v>
      </c>
      <c r="C1526" s="15" t="s">
        <v>98</v>
      </c>
      <c r="D1526" s="15" t="s">
        <v>7270</v>
      </c>
      <c r="E1526" s="15" t="s">
        <v>7270</v>
      </c>
      <c r="F1526" s="58" t="s">
        <v>807</v>
      </c>
      <c r="G1526" s="66" t="s">
        <v>98</v>
      </c>
      <c r="H1526" s="18" t="s">
        <v>98</v>
      </c>
      <c r="I1526" s="18" t="s">
        <v>98</v>
      </c>
      <c r="J1526" s="18" t="s">
        <v>98</v>
      </c>
      <c r="K1526" s="18" t="s">
        <v>98</v>
      </c>
      <c r="L1526" s="18" t="s">
        <v>98</v>
      </c>
      <c r="M1526" s="18" t="s">
        <v>627</v>
      </c>
      <c r="N1526" s="18" t="s">
        <v>444</v>
      </c>
      <c r="O1526" s="18" t="s">
        <v>98</v>
      </c>
      <c r="P1526" s="15" t="str">
        <f t="shared" si="1"/>
        <v>VERIFY</v>
      </c>
      <c r="Q1526" s="15">
        <f t="shared" si="2"/>
        <v>3</v>
      </c>
      <c r="R1526" s="15">
        <f t="shared" si="3"/>
        <v>4</v>
      </c>
      <c r="S1526" s="15">
        <f t="shared" si="4"/>
        <v>3</v>
      </c>
      <c r="T1526" s="15" t="str">
        <f t="shared" si="5"/>
        <v>C-5</v>
      </c>
      <c r="U1526" s="15" t="str">
        <f t="shared" si="6"/>
        <v>T3-M4-H3-FC-5-VERIFY</v>
      </c>
      <c r="V1526" s="15">
        <f t="shared" si="7"/>
        <v>0</v>
      </c>
      <c r="W1526" s="31"/>
      <c r="X1526" s="15" t="str">
        <f t="shared" si="8"/>
        <v>batu-pahat-malaysia</v>
      </c>
      <c r="Y1526" s="32" t="str">
        <f t="shared" si="9"/>
        <v>https://steelmanufacturer.in/market-area/electropolished-pipes-manufacturer-in-batu-pahat-malaysia/</v>
      </c>
      <c r="Z1526" s="15" t="str">
        <f t="shared" si="10"/>
        <v>Electropolished Pipes Manufacturer in Batu Pahat</v>
      </c>
      <c r="AA1526" s="15" t="str">
        <f t="shared" si="11"/>
        <v>OK (48)</v>
      </c>
      <c r="AB1526" s="15" t="str">
        <f t="shared" si="12"/>
        <v>Sanitary electropolished pipes in Batu Pahat for VERIFY plants. ASME BPE SF1-SF4, orbital-weld ready, 3.1 MTC. Mumbai-made.</v>
      </c>
      <c r="AC1526" s="15" t="str">
        <f t="shared" si="13"/>
        <v>PENDING RESEARCH</v>
      </c>
      <c r="AD1526" s="15" t="str">
        <f t="shared" si="14"/>
        <v>Electropolished Pipes Manufacturer in Batu Pahat</v>
      </c>
      <c r="AE1526" s="15" t="str">
        <f t="shared" si="15"/>
        <v>Electropolished Pipes Manufacturer in Batu Pahat - Our Process &amp; Capability</v>
      </c>
      <c r="AF1526" s="15" t="str">
        <f t="shared" si="16"/>
        <v>Electropolished Pipes Supplier in Batu Pahat - What We Hold in Stock</v>
      </c>
      <c r="AG1526" s="15" t="str">
        <f t="shared" si="17"/>
        <v>Bulk &amp; Wholesale Electropolished Pipe Rates for Batu Pahat Buyers</v>
      </c>
      <c r="AH1526" s="15" t="str">
        <f t="shared" si="18"/>
        <v>electropolished pipes manufacturer in Batu Pahat, electropolished pipes supplier in Batu Pahat, electropolished pipes wholesaler in Batu Pahat, electropolished tube manufacturer Batu Pahat, EP pipe supplier Batu Pahat, sanitary tube supplier Batu Pahat, ASME BPE tubing Batu Pahat, ASTM A270 tube Batu Pahat, SS 316L electropolished pipe Batu Pahat</v>
      </c>
      <c r="AI1526" s="15" t="str">
        <f t="shared" si="19"/>
        <v>Electropolished Pipes Manufacturer &amp; Supplier in Batu Pahat</v>
      </c>
      <c r="AJ1526" s="15" t="str">
        <f t="shared" si="20"/>
        <v>EP-finished SS 304/316L pipes and tubes for VERIFY plants in Batu Pahat. ASME BPE SF1-SF4, Ra from 0.25 um, EN 10204 3.1 certificate with every lot.</v>
      </c>
      <c r="AK1526" s="15" t="str">
        <f t="shared" si="21"/>
        <v>Electropolished stainless steel pipes supplied by Sakshi Forge to VERIFY plants at VERIFY, Batu Pahat</v>
      </c>
      <c r="AL1526" s="15" t="str">
        <f t="shared" si="22"/>
        <v>Electropolished SS 316L tube stock for Batu Pahat - Sakshi Forge</v>
      </c>
      <c r="AM1526" s="15" t="str">
        <f t="shared" si="23"/>
        <v>Home &gt; Market Area &gt; Malaysia &gt; VERIFY &gt; Batu Pahat</v>
      </c>
      <c r="AN1526" s="15">
        <f t="shared" si="24"/>
        <v>750</v>
      </c>
      <c r="AO1526" s="15">
        <f t="shared" si="25"/>
        <v>6</v>
      </c>
      <c r="AP1526" s="15">
        <f t="shared" si="26"/>
        <v>6</v>
      </c>
      <c r="AQ1526" s="15">
        <f t="shared" si="27"/>
        <v>26</v>
      </c>
      <c r="AR1526" s="31"/>
      <c r="AS1526" s="31"/>
      <c r="AT1526" s="35" t="s">
        <v>222</v>
      </c>
      <c r="AU1526" s="35"/>
    </row>
    <row r="1527" ht="15.75" customHeight="1">
      <c r="A1527" s="15" t="s">
        <v>7274</v>
      </c>
      <c r="B1527" s="15" t="s">
        <v>430</v>
      </c>
      <c r="C1527" s="15" t="s">
        <v>98</v>
      </c>
      <c r="D1527" s="15" t="s">
        <v>7276</v>
      </c>
      <c r="E1527" s="15" t="s">
        <v>7276</v>
      </c>
      <c r="F1527" s="58" t="s">
        <v>807</v>
      </c>
      <c r="G1527" s="66" t="s">
        <v>98</v>
      </c>
      <c r="H1527" s="18" t="s">
        <v>98</v>
      </c>
      <c r="I1527" s="18" t="s">
        <v>98</v>
      </c>
      <c r="J1527" s="18" t="s">
        <v>98</v>
      </c>
      <c r="K1527" s="18" t="s">
        <v>98</v>
      </c>
      <c r="L1527" s="18" t="s">
        <v>98</v>
      </c>
      <c r="M1527" s="18" t="s">
        <v>627</v>
      </c>
      <c r="N1527" s="18" t="s">
        <v>444</v>
      </c>
      <c r="O1527" s="18" t="s">
        <v>98</v>
      </c>
      <c r="P1527" s="15" t="str">
        <f t="shared" si="1"/>
        <v>VERIFY</v>
      </c>
      <c r="Q1527" s="15">
        <f t="shared" si="2"/>
        <v>4</v>
      </c>
      <c r="R1527" s="15">
        <f t="shared" si="3"/>
        <v>5</v>
      </c>
      <c r="S1527" s="15">
        <f t="shared" si="4"/>
        <v>4</v>
      </c>
      <c r="T1527" s="15" t="str">
        <f t="shared" si="5"/>
        <v>C-6</v>
      </c>
      <c r="U1527" s="15" t="str">
        <f t="shared" si="6"/>
        <v>T4-M5-H4-FC-6-VERIFY</v>
      </c>
      <c r="V1527" s="15">
        <f t="shared" si="7"/>
        <v>0</v>
      </c>
      <c r="W1527" s="31"/>
      <c r="X1527" s="15" t="str">
        <f t="shared" si="8"/>
        <v>bentong-malaysia</v>
      </c>
      <c r="Y1527" s="32" t="str">
        <f t="shared" si="9"/>
        <v>https://steelmanufacturer.in/market-area/electropolished-pipes-manufacturer-in-bentong-malaysia/</v>
      </c>
      <c r="Z1527" s="15" t="str">
        <f t="shared" si="10"/>
        <v>Electropolished Pipes Manufacturer in Bentong</v>
      </c>
      <c r="AA1527" s="15" t="str">
        <f t="shared" si="11"/>
        <v>OK (45)</v>
      </c>
      <c r="AB1527" s="15" t="str">
        <f t="shared" si="12"/>
        <v>Manufacturer of electropolished SS 316L tube serving Bentong. 8-12 days sea from Nhava Sheva to Port Klang. Ra 0.25-0.5 um, EN 10204 3.1 MTC.</v>
      </c>
      <c r="AC1527" s="15" t="str">
        <f t="shared" si="13"/>
        <v>PENDING RESEARCH</v>
      </c>
      <c r="AD1527" s="15" t="str">
        <f t="shared" si="14"/>
        <v>Electropolished Pipes Manufacturer in Bentong</v>
      </c>
      <c r="AE1527" s="15" t="str">
        <f t="shared" si="15"/>
        <v>Manufacturing Electropolished SS Tube for Bentong: The Standards We Build To</v>
      </c>
      <c r="AF1527" s="15" t="str">
        <f t="shared" si="16"/>
        <v>Electropolished Pipe Supply Into Bentong - Certification &amp; Transit</v>
      </c>
      <c r="AG1527" s="15" t="str">
        <f t="shared" si="17"/>
        <v>Electropolished Pipes Wholesaler in Bentong - Project Quantities &amp; Terms</v>
      </c>
      <c r="AH1527" s="15" t="str">
        <f t="shared" si="18"/>
        <v>electropolished pipes manufacturer in Bentong, electropolished pipes supplier in Bentong, electropolished pipes wholesaler in Bentong, electropolished tube manufacturer Bentong, EP pipe supplier Bentong, sanitary tube supplier Bentong, ASME BPE tubing Bentong, ASTM A270 tube Bentong, SS 316L electropolished pipe Bentong</v>
      </c>
      <c r="AI1527" s="15" t="str">
        <f t="shared" si="19"/>
        <v>Electropolished Pipes Manufacturer &amp; Supplier in Bentong</v>
      </c>
      <c r="AJ1527" s="15" t="str">
        <f t="shared" si="20"/>
        <v>EP-finished SS 304/316L pipes and tubes for VERIFY plants in Bentong. ASME BPE SF1-SF4, Ra from 0.25 um, EN 10204 3.1 certificate with every lot.</v>
      </c>
      <c r="AK1527" s="15" t="str">
        <f t="shared" si="21"/>
        <v>Electropolished stainless steel pipes supplied by Sakshi Forge to VERIFY plants at VERIFY, Bentong</v>
      </c>
      <c r="AL1527" s="15" t="str">
        <f t="shared" si="22"/>
        <v>Electropolished SS 316L tube stock for Bentong - Sakshi Forge</v>
      </c>
      <c r="AM1527" s="15" t="str">
        <f t="shared" si="23"/>
        <v>Home &gt; Market Area &gt; Malaysia &gt; VERIFY &gt; Bentong</v>
      </c>
      <c r="AN1527" s="15">
        <f t="shared" si="24"/>
        <v>750</v>
      </c>
      <c r="AO1527" s="15">
        <f t="shared" si="25"/>
        <v>6</v>
      </c>
      <c r="AP1527" s="15">
        <f t="shared" si="26"/>
        <v>6</v>
      </c>
      <c r="AQ1527" s="15">
        <f t="shared" si="27"/>
        <v>26</v>
      </c>
      <c r="AR1527" s="31"/>
      <c r="AS1527" s="31"/>
      <c r="AT1527" s="35" t="s">
        <v>222</v>
      </c>
      <c r="AU1527" s="35"/>
    </row>
    <row r="1528" ht="15.75" customHeight="1">
      <c r="A1528" s="15" t="s">
        <v>7280</v>
      </c>
      <c r="B1528" s="15" t="s">
        <v>430</v>
      </c>
      <c r="C1528" s="15" t="s">
        <v>98</v>
      </c>
      <c r="D1528" s="15" t="s">
        <v>7281</v>
      </c>
      <c r="E1528" s="15" t="s">
        <v>7281</v>
      </c>
      <c r="F1528" s="58" t="s">
        <v>807</v>
      </c>
      <c r="G1528" s="66" t="s">
        <v>98</v>
      </c>
      <c r="H1528" s="18" t="s">
        <v>98</v>
      </c>
      <c r="I1528" s="18" t="s">
        <v>98</v>
      </c>
      <c r="J1528" s="18" t="s">
        <v>98</v>
      </c>
      <c r="K1528" s="18" t="s">
        <v>98</v>
      </c>
      <c r="L1528" s="18" t="s">
        <v>98</v>
      </c>
      <c r="M1528" s="18" t="s">
        <v>627</v>
      </c>
      <c r="N1528" s="18" t="s">
        <v>444</v>
      </c>
      <c r="O1528" s="18" t="s">
        <v>98</v>
      </c>
      <c r="P1528" s="15" t="str">
        <f t="shared" si="1"/>
        <v>VERIFY</v>
      </c>
      <c r="Q1528" s="15">
        <f t="shared" si="2"/>
        <v>5</v>
      </c>
      <c r="R1528" s="15">
        <f t="shared" si="3"/>
        <v>6</v>
      </c>
      <c r="S1528" s="15">
        <f t="shared" si="4"/>
        <v>5</v>
      </c>
      <c r="T1528" s="15" t="str">
        <f t="shared" si="5"/>
        <v>C-1</v>
      </c>
      <c r="U1528" s="15" t="str">
        <f t="shared" si="6"/>
        <v>T5-M6-H5-FC-1-VERIFY</v>
      </c>
      <c r="V1528" s="15">
        <f t="shared" si="7"/>
        <v>0</v>
      </c>
      <c r="W1528" s="31"/>
      <c r="X1528" s="15" t="str">
        <f t="shared" si="8"/>
        <v>kemaman-malaysia</v>
      </c>
      <c r="Y1528" s="32" t="str">
        <f t="shared" si="9"/>
        <v>https://steelmanufacturer.in/market-area/electropolished-pipes-manufacturer-in-kemaman-malaysia/</v>
      </c>
      <c r="Z1528" s="15" t="str">
        <f t="shared" si="10"/>
        <v>Electropolished Pipes Manufacturer in Kemaman</v>
      </c>
      <c r="AA1528" s="15" t="str">
        <f t="shared" si="11"/>
        <v>OK (45)</v>
      </c>
      <c r="AB1528" s="15" t="str">
        <f t="shared" si="12"/>
        <v>EP tube and pipe for VERIFY plants around VERIFY, Kemaman. Made at our Mumbai works to ASTM A270 and ASME BPE SF1-SF4, with 3.1 MTC.</v>
      </c>
      <c r="AC1528" s="15" t="str">
        <f t="shared" si="13"/>
        <v>PENDING RESEARCH</v>
      </c>
      <c r="AD1528" s="15" t="str">
        <f t="shared" si="14"/>
        <v>Electropolished Pipes Manufacturer in Kemaman</v>
      </c>
      <c r="AE1528" s="15" t="str">
        <f t="shared" si="15"/>
        <v>Electropolished Tube Manufacturing Capability Serving Kemaman</v>
      </c>
      <c r="AF1528" s="15" t="str">
        <f t="shared" si="16"/>
        <v>Electropolished Pipes Supplier in Kemaman - From Order to Delivery</v>
      </c>
      <c r="AG1528" s="15" t="str">
        <f t="shared" si="17"/>
        <v>Stockist &amp; Wholesale Supply of Electropolished Pipes in Kemaman</v>
      </c>
      <c r="AH1528" s="15" t="str">
        <f t="shared" si="18"/>
        <v>electropolished pipes manufacturer in Kemaman, electropolished pipes supplier in Kemaman, electropolished pipes wholesaler in Kemaman, electropolished tube manufacturer Kemaman, EP pipe supplier Kemaman, sanitary tube supplier Kemaman, ASME BPE tubing Kemaman, ASTM A270 tube Kemaman, SS 316L electropolished pipe Kemaman</v>
      </c>
      <c r="AI1528" s="15" t="str">
        <f t="shared" si="19"/>
        <v>Electropolished Pipes Manufacturer &amp; Supplier in Kemaman</v>
      </c>
      <c r="AJ1528" s="15" t="str">
        <f t="shared" si="20"/>
        <v>EP-finished SS 304/316L pipes and tubes for VERIFY plants in Kemaman. ASME BPE SF1-SF4, Ra from 0.25 um, EN 10204 3.1 certificate with every lot.</v>
      </c>
      <c r="AK1528" s="15" t="str">
        <f t="shared" si="21"/>
        <v>Electropolished stainless steel pipes supplied by Sakshi Forge to VERIFY plants at VERIFY, Kemaman</v>
      </c>
      <c r="AL1528" s="15" t="str">
        <f t="shared" si="22"/>
        <v>Electropolished SS 316L tube stock for Kemaman - Sakshi Forge</v>
      </c>
      <c r="AM1528" s="15" t="str">
        <f t="shared" si="23"/>
        <v>Home &gt; Market Area &gt; Malaysia &gt; VERIFY &gt; Kemaman</v>
      </c>
      <c r="AN1528" s="15">
        <f t="shared" si="24"/>
        <v>750</v>
      </c>
      <c r="AO1528" s="15">
        <f t="shared" si="25"/>
        <v>6</v>
      </c>
      <c r="AP1528" s="15">
        <f t="shared" si="26"/>
        <v>6</v>
      </c>
      <c r="AQ1528" s="15">
        <f t="shared" si="27"/>
        <v>26</v>
      </c>
      <c r="AR1528" s="31"/>
      <c r="AS1528" s="31"/>
      <c r="AT1528" s="35" t="s">
        <v>222</v>
      </c>
      <c r="AU1528" s="35"/>
    </row>
    <row r="1529" ht="15.75" customHeight="1">
      <c r="A1529" s="15" t="s">
        <v>7282</v>
      </c>
      <c r="B1529" s="15" t="s">
        <v>430</v>
      </c>
      <c r="C1529" s="15" t="s">
        <v>98</v>
      </c>
      <c r="D1529" s="15" t="s">
        <v>7283</v>
      </c>
      <c r="E1529" s="15" t="s">
        <v>7283</v>
      </c>
      <c r="F1529" s="58" t="s">
        <v>807</v>
      </c>
      <c r="G1529" s="66" t="s">
        <v>98</v>
      </c>
      <c r="H1529" s="18" t="s">
        <v>98</v>
      </c>
      <c r="I1529" s="18" t="s">
        <v>98</v>
      </c>
      <c r="J1529" s="18" t="s">
        <v>98</v>
      </c>
      <c r="K1529" s="18" t="s">
        <v>98</v>
      </c>
      <c r="L1529" s="18" t="s">
        <v>98</v>
      </c>
      <c r="M1529" s="18" t="s">
        <v>627</v>
      </c>
      <c r="N1529" s="18" t="s">
        <v>444</v>
      </c>
      <c r="O1529" s="18" t="s">
        <v>98</v>
      </c>
      <c r="P1529" s="15" t="str">
        <f t="shared" si="1"/>
        <v>VERIFY</v>
      </c>
      <c r="Q1529" s="15">
        <f t="shared" si="2"/>
        <v>6</v>
      </c>
      <c r="R1529" s="15">
        <f t="shared" si="3"/>
        <v>7</v>
      </c>
      <c r="S1529" s="15">
        <f t="shared" si="4"/>
        <v>1</v>
      </c>
      <c r="T1529" s="15" t="str">
        <f t="shared" si="5"/>
        <v>C-2</v>
      </c>
      <c r="U1529" s="15" t="str">
        <f t="shared" si="6"/>
        <v>T6-M7-H1-FC-2-VERIFY</v>
      </c>
      <c r="V1529" s="15">
        <f t="shared" si="7"/>
        <v>0</v>
      </c>
      <c r="W1529" s="31"/>
      <c r="X1529" s="15" t="str">
        <f t="shared" si="8"/>
        <v>kluang-malaysia</v>
      </c>
      <c r="Y1529" s="32" t="str">
        <f t="shared" si="9"/>
        <v>https://steelmanufacturer.in/market-area/electropolished-pipes-manufacturer-in-kluang-malaysia/</v>
      </c>
      <c r="Z1529" s="15" t="str">
        <f t="shared" si="10"/>
        <v>Electropolished Pipes Manufacturer in Kluang</v>
      </c>
      <c r="AA1529" s="15" t="str">
        <f t="shared" si="11"/>
        <v>OK (44)</v>
      </c>
      <c r="AB1529" s="15" t="str">
        <f t="shared" si="12"/>
        <v>Electropolished pipes in Kluang: 304, 304L, 316 and 316L in SF1-SF4. 8-12 days sea from Nhava Sheva to Port Klang. Mill certified.</v>
      </c>
      <c r="AC1529" s="15" t="str">
        <f t="shared" si="13"/>
        <v>PENDING RESEARCH</v>
      </c>
      <c r="AD1529" s="15" t="str">
        <f t="shared" si="14"/>
        <v>Electropolished Pipes Manufacturer in Kluang</v>
      </c>
      <c r="AE1529" s="15" t="str">
        <f t="shared" si="15"/>
        <v>Electropolished Pipe &amp; Tube Manufacturing for Kluang - Grades, Finishes &amp; Certification</v>
      </c>
      <c r="AF1529" s="15" t="str">
        <f t="shared" si="16"/>
        <v>Electropolished Pipes Supplier in Kluang - Stock Sizes, Lead Time &amp; Delivery</v>
      </c>
      <c r="AG1529" s="15" t="str">
        <f t="shared" si="17"/>
        <v>Electropolished Pipes Wholesaler &amp; Stockist in Kluang - Bulk &amp; Project Pricing</v>
      </c>
      <c r="AH1529" s="15" t="str">
        <f t="shared" si="18"/>
        <v>electropolished pipes manufacturer in Kluang, electropolished pipes supplier in Kluang, electropolished pipes wholesaler in Kluang, electropolished tube manufacturer Kluang, EP pipe supplier Kluang, sanitary tube supplier Kluang, ASME BPE tubing Kluang, ASTM A270 tube Kluang, SS 316L electropolished pipe Kluang</v>
      </c>
      <c r="AI1529" s="15" t="str">
        <f t="shared" si="19"/>
        <v>Electropolished Pipes Manufacturer &amp; Supplier in Kluang</v>
      </c>
      <c r="AJ1529" s="15" t="str">
        <f t="shared" si="20"/>
        <v>EP-finished SS 304/316L pipes and tubes for VERIFY plants in Kluang. ASME BPE SF1-SF4, Ra from 0.25 um, EN 10204 3.1 certificate with every lot.</v>
      </c>
      <c r="AK1529" s="15" t="str">
        <f t="shared" si="21"/>
        <v>Electropolished stainless steel pipes supplied by Sakshi Forge to VERIFY plants at VERIFY, Kluang</v>
      </c>
      <c r="AL1529" s="15" t="str">
        <f t="shared" si="22"/>
        <v>Electropolished SS 316L tube stock for Kluang - Sakshi Forge</v>
      </c>
      <c r="AM1529" s="15" t="str">
        <f t="shared" si="23"/>
        <v>Home &gt; Market Area &gt; Malaysia &gt; VERIFY &gt; Kluang</v>
      </c>
      <c r="AN1529" s="15">
        <f t="shared" si="24"/>
        <v>750</v>
      </c>
      <c r="AO1529" s="15">
        <f t="shared" si="25"/>
        <v>6</v>
      </c>
      <c r="AP1529" s="15">
        <f t="shared" si="26"/>
        <v>6</v>
      </c>
      <c r="AQ1529" s="15">
        <f t="shared" si="27"/>
        <v>26</v>
      </c>
      <c r="AR1529" s="31"/>
      <c r="AS1529" s="31"/>
      <c r="AT1529" s="35" t="s">
        <v>222</v>
      </c>
      <c r="AU1529" s="35"/>
    </row>
    <row r="1530" ht="15.75" customHeight="1">
      <c r="A1530" s="15" t="s">
        <v>7284</v>
      </c>
      <c r="B1530" s="15" t="s">
        <v>430</v>
      </c>
      <c r="C1530" s="15" t="s">
        <v>98</v>
      </c>
      <c r="D1530" s="15" t="s">
        <v>7285</v>
      </c>
      <c r="E1530" s="15" t="s">
        <v>7285</v>
      </c>
      <c r="F1530" s="58" t="s">
        <v>807</v>
      </c>
      <c r="G1530" s="66" t="s">
        <v>98</v>
      </c>
      <c r="H1530" s="18" t="s">
        <v>98</v>
      </c>
      <c r="I1530" s="18" t="s">
        <v>98</v>
      </c>
      <c r="J1530" s="18" t="s">
        <v>98</v>
      </c>
      <c r="K1530" s="18" t="s">
        <v>98</v>
      </c>
      <c r="L1530" s="18" t="s">
        <v>98</v>
      </c>
      <c r="M1530" s="18" t="s">
        <v>627</v>
      </c>
      <c r="N1530" s="18" t="s">
        <v>444</v>
      </c>
      <c r="O1530" s="18" t="s">
        <v>98</v>
      </c>
      <c r="P1530" s="15" t="str">
        <f t="shared" si="1"/>
        <v>VERIFY</v>
      </c>
      <c r="Q1530" s="15">
        <f t="shared" si="2"/>
        <v>7</v>
      </c>
      <c r="R1530" s="15">
        <f t="shared" si="3"/>
        <v>1</v>
      </c>
      <c r="S1530" s="15">
        <f t="shared" si="4"/>
        <v>2</v>
      </c>
      <c r="T1530" s="15" t="str">
        <f t="shared" si="5"/>
        <v>C-3</v>
      </c>
      <c r="U1530" s="15" t="str">
        <f t="shared" si="6"/>
        <v>T7-M1-H2-FC-3-VERIFY</v>
      </c>
      <c r="V1530" s="15">
        <f t="shared" si="7"/>
        <v>0</v>
      </c>
      <c r="W1530" s="31"/>
      <c r="X1530" s="15" t="str">
        <f t="shared" si="8"/>
        <v>kota-bharu-malaysia</v>
      </c>
      <c r="Y1530" s="32" t="str">
        <f t="shared" si="9"/>
        <v>https://steelmanufacturer.in/market-area/electropolished-pipes-manufacturer-in-kota-bharu-malaysia/</v>
      </c>
      <c r="Z1530" s="15" t="str">
        <f t="shared" si="10"/>
        <v>Electropolished Pipes Manufacturer in Kota Bharu</v>
      </c>
      <c r="AA1530" s="15" t="str">
        <f t="shared" si="11"/>
        <v>OK (48)</v>
      </c>
      <c r="AB1530" s="15" t="str">
        <f t="shared" si="12"/>
        <v>EP-finished SS 304/316L pipes &amp; tubes for VERIFY plants in Kota Bharu. ASTM A270, ASME BPE SF1-SF4, EN 10204 3.1 MTC. PMI tested.</v>
      </c>
      <c r="AC1530" s="15" t="str">
        <f t="shared" si="13"/>
        <v>PENDING RESEARCH</v>
      </c>
      <c r="AD1530" s="15" t="str">
        <f t="shared" si="14"/>
        <v>Electropolished Pipes Manufacturer in Kota Bharu</v>
      </c>
      <c r="AE1530" s="15" t="str">
        <f t="shared" si="15"/>
        <v>How We Manufacture Electropolished Tube for Kota Bharu Plants</v>
      </c>
      <c r="AF1530" s="15" t="str">
        <f t="shared" si="16"/>
        <v>Supplying Electropolished Pipes in Kota Bharu: Availability, Sizes &amp; Dispatch</v>
      </c>
      <c r="AG1530" s="15" t="str">
        <f t="shared" si="17"/>
        <v>Wholesale Electropolished Pipe Supply for Kota Bharu Projects</v>
      </c>
      <c r="AH1530" s="15" t="str">
        <f t="shared" si="18"/>
        <v>electropolished pipes manufacturer in Kota Bharu, electropolished pipes supplier in Kota Bharu, electropolished pipes wholesaler in Kota Bharu, electropolished tube manufacturer Kota Bharu, EP pipe supplier Kota Bharu, sanitary tube supplier Kota Bharu, ASME BPE tubing Kota Bharu, ASTM A270 tube Kota Bharu, SS 316L electropolished pipe Kota Bharu</v>
      </c>
      <c r="AI1530" s="15" t="str">
        <f t="shared" si="19"/>
        <v>Electropolished Pipes Manufacturer &amp; Supplier in Kota Bharu</v>
      </c>
      <c r="AJ1530" s="15" t="str">
        <f t="shared" si="20"/>
        <v>EP-finished SS 304/316L pipes and tubes for VERIFY plants in Kota Bharu. ASME BPE SF1-SF4, Ra from 0.25 um, EN 10204 3.1 certificate with every lot.</v>
      </c>
      <c r="AK1530" s="15" t="str">
        <f t="shared" si="21"/>
        <v>Electropolished stainless steel pipes supplied by Sakshi Forge to VERIFY plants at VERIFY, Kota Bharu</v>
      </c>
      <c r="AL1530" s="15" t="str">
        <f t="shared" si="22"/>
        <v>Electropolished SS 316L tube stock for Kota Bharu - Sakshi Forge</v>
      </c>
      <c r="AM1530" s="15" t="str">
        <f t="shared" si="23"/>
        <v>Home &gt; Market Area &gt; Malaysia &gt; VERIFY &gt; Kota Bharu</v>
      </c>
      <c r="AN1530" s="15">
        <f t="shared" si="24"/>
        <v>750</v>
      </c>
      <c r="AO1530" s="15">
        <f t="shared" si="25"/>
        <v>6</v>
      </c>
      <c r="AP1530" s="15">
        <f t="shared" si="26"/>
        <v>6</v>
      </c>
      <c r="AQ1530" s="15">
        <f t="shared" si="27"/>
        <v>26</v>
      </c>
      <c r="AR1530" s="31"/>
      <c r="AS1530" s="31"/>
      <c r="AT1530" s="35" t="s">
        <v>222</v>
      </c>
      <c r="AU1530" s="35"/>
    </row>
    <row r="1531" ht="15.75" customHeight="1">
      <c r="A1531" s="15" t="s">
        <v>7286</v>
      </c>
      <c r="B1531" s="15" t="s">
        <v>430</v>
      </c>
      <c r="C1531" s="15" t="s">
        <v>98</v>
      </c>
      <c r="D1531" s="15" t="s">
        <v>7287</v>
      </c>
      <c r="E1531" s="15" t="s">
        <v>7287</v>
      </c>
      <c r="F1531" s="58" t="s">
        <v>807</v>
      </c>
      <c r="G1531" s="66" t="s">
        <v>98</v>
      </c>
      <c r="H1531" s="18" t="s">
        <v>98</v>
      </c>
      <c r="I1531" s="18" t="s">
        <v>98</v>
      </c>
      <c r="J1531" s="18" t="s">
        <v>98</v>
      </c>
      <c r="K1531" s="18" t="s">
        <v>98</v>
      </c>
      <c r="L1531" s="18" t="s">
        <v>98</v>
      </c>
      <c r="M1531" s="18" t="s">
        <v>627</v>
      </c>
      <c r="N1531" s="18" t="s">
        <v>444</v>
      </c>
      <c r="O1531" s="18" t="s">
        <v>98</v>
      </c>
      <c r="P1531" s="15" t="str">
        <f t="shared" si="1"/>
        <v>VERIFY</v>
      </c>
      <c r="Q1531" s="15">
        <f t="shared" si="2"/>
        <v>8</v>
      </c>
      <c r="R1531" s="15">
        <f t="shared" si="3"/>
        <v>2</v>
      </c>
      <c r="S1531" s="15">
        <f t="shared" si="4"/>
        <v>3</v>
      </c>
      <c r="T1531" s="15" t="str">
        <f t="shared" si="5"/>
        <v>C-4</v>
      </c>
      <c r="U1531" s="15" t="str">
        <f t="shared" si="6"/>
        <v>T8-M2-H3-FC-4-VERIFY</v>
      </c>
      <c r="V1531" s="15">
        <f t="shared" si="7"/>
        <v>0</v>
      </c>
      <c r="W1531" s="31"/>
      <c r="X1531" s="15" t="str">
        <f t="shared" si="8"/>
        <v>kuala-terengganu-malaysia</v>
      </c>
      <c r="Y1531" s="32" t="str">
        <f t="shared" si="9"/>
        <v>https://steelmanufacturer.in/market-area/electropolished-pipes-manufacturer-in-kuala-terengganu-malaysia/</v>
      </c>
      <c r="Z1531" s="15" t="str">
        <f t="shared" si="10"/>
        <v>Electropolished Pipes Manufacturer in Kuala Terengganu</v>
      </c>
      <c r="AA1531" s="15" t="str">
        <f t="shared" si="11"/>
        <v>OK (54)</v>
      </c>
      <c r="AB1531" s="15" t="str">
        <f t="shared" si="12"/>
        <v>Electropolished tube supply to VERIFY, Kuala Terengganu. Ra from 0.25 um, SF4 finish, mill test certificate with every lot.</v>
      </c>
      <c r="AC1531" s="15" t="str">
        <f t="shared" si="13"/>
        <v>PENDING RESEARCH</v>
      </c>
      <c r="AD1531" s="15" t="str">
        <f t="shared" si="14"/>
        <v>Electropolished Pipes Manufacturer in Kuala Terengganu</v>
      </c>
      <c r="AE1531" s="15" t="str">
        <f t="shared" si="15"/>
        <v>Electropolished Pipes Manufacturer in Kuala Terengganu - Our Process &amp; Capability</v>
      </c>
      <c r="AF1531" s="15" t="str">
        <f t="shared" si="16"/>
        <v>Electropolished Pipes Supplier in Kuala Terengganu - What We Hold in Stock</v>
      </c>
      <c r="AG1531" s="15" t="str">
        <f t="shared" si="17"/>
        <v>Bulk &amp; Wholesale Electropolished Pipe Rates for Kuala Terengganu Buyers</v>
      </c>
      <c r="AH1531" s="15" t="str">
        <f t="shared" si="18"/>
        <v>electropolished pipes manufacturer in Kuala Terengganu, electropolished pipes supplier in Kuala Terengganu, electropolished pipes wholesaler in Kuala Terengganu, electropolished tube manufacturer Kuala Terengganu, EP pipe supplier Kuala Terengganu, sanitary tube supplier Kuala Terengganu, ASME BPE tubing Kuala Terengganu, ASTM A270 tube Kuala Terengganu, SS 316L electropolished pipe Kuala Terengganu</v>
      </c>
      <c r="AI1531" s="15" t="str">
        <f t="shared" si="19"/>
        <v>Electropolished Pipes Manufacturer &amp; Supplier in Kuala Terengganu</v>
      </c>
      <c r="AJ1531" s="15" t="str">
        <f t="shared" si="20"/>
        <v>EP-finished SS 304/316L pipes and tubes for VERIFY plants in Kuala Terengganu. ASME BPE SF1-SF4, Ra from 0.25 um, EN 10204 3.1 certificate with every lot.</v>
      </c>
      <c r="AK1531" s="15" t="str">
        <f t="shared" si="21"/>
        <v>Electropolished stainless steel pipes supplied by Sakshi Forge to VERIFY plants at VERIFY, Kuala Terengganu</v>
      </c>
      <c r="AL1531" s="15" t="str">
        <f t="shared" si="22"/>
        <v>Electropolished SS 316L tube stock for Kuala Terengganu - Sakshi Forge</v>
      </c>
      <c r="AM1531" s="15" t="str">
        <f t="shared" si="23"/>
        <v>Home &gt; Market Area &gt; Malaysia &gt; VERIFY &gt; Kuala Terengganu</v>
      </c>
      <c r="AN1531" s="15">
        <f t="shared" si="24"/>
        <v>750</v>
      </c>
      <c r="AO1531" s="15">
        <f t="shared" si="25"/>
        <v>6</v>
      </c>
      <c r="AP1531" s="15">
        <f t="shared" si="26"/>
        <v>6</v>
      </c>
      <c r="AQ1531" s="15">
        <f t="shared" si="27"/>
        <v>26</v>
      </c>
      <c r="AR1531" s="31"/>
      <c r="AS1531" s="31"/>
      <c r="AT1531" s="35" t="s">
        <v>222</v>
      </c>
      <c r="AU1531" s="35"/>
    </row>
    <row r="1532" ht="15.75" customHeight="1">
      <c r="A1532" s="15" t="s">
        <v>7288</v>
      </c>
      <c r="B1532" s="15" t="s">
        <v>430</v>
      </c>
      <c r="C1532" s="15" t="s">
        <v>98</v>
      </c>
      <c r="D1532" s="15" t="s">
        <v>7289</v>
      </c>
      <c r="E1532" s="15" t="s">
        <v>7289</v>
      </c>
      <c r="F1532" s="58" t="s">
        <v>807</v>
      </c>
      <c r="G1532" s="66" t="s">
        <v>98</v>
      </c>
      <c r="H1532" s="18" t="s">
        <v>98</v>
      </c>
      <c r="I1532" s="18" t="s">
        <v>98</v>
      </c>
      <c r="J1532" s="18" t="s">
        <v>98</v>
      </c>
      <c r="K1532" s="18" t="s">
        <v>98</v>
      </c>
      <c r="L1532" s="18" t="s">
        <v>98</v>
      </c>
      <c r="M1532" s="18" t="s">
        <v>627</v>
      </c>
      <c r="N1532" s="18" t="s">
        <v>444</v>
      </c>
      <c r="O1532" s="18" t="s">
        <v>98</v>
      </c>
      <c r="P1532" s="15" t="str">
        <f t="shared" si="1"/>
        <v>VERIFY</v>
      </c>
      <c r="Q1532" s="15">
        <f t="shared" si="2"/>
        <v>1</v>
      </c>
      <c r="R1532" s="15">
        <f t="shared" si="3"/>
        <v>3</v>
      </c>
      <c r="S1532" s="15">
        <f t="shared" si="4"/>
        <v>4</v>
      </c>
      <c r="T1532" s="15" t="str">
        <f t="shared" si="5"/>
        <v>C-5</v>
      </c>
      <c r="U1532" s="15" t="str">
        <f t="shared" si="6"/>
        <v>T1-M3-H4-FC-5-VERIFY</v>
      </c>
      <c r="V1532" s="15">
        <f t="shared" si="7"/>
        <v>0</v>
      </c>
      <c r="W1532" s="31"/>
      <c r="X1532" s="15" t="str">
        <f t="shared" si="8"/>
        <v>labuan-malaysia</v>
      </c>
      <c r="Y1532" s="32" t="str">
        <f t="shared" si="9"/>
        <v>https://steelmanufacturer.in/market-area/electropolished-pipes-manufacturer-in-labuan-malaysia/</v>
      </c>
      <c r="Z1532" s="15" t="str">
        <f t="shared" si="10"/>
        <v>Electropolished Pipes Manufacturer in Labuan | Sakshi Forge</v>
      </c>
      <c r="AA1532" s="15" t="str">
        <f t="shared" si="11"/>
        <v>OK (59)</v>
      </c>
      <c r="AB1532" s="15" t="str">
        <f t="shared" si="12"/>
        <v>EP stainless tube for VERIFY lines in Labuan. 8-12 days sea from Nhava Sheva to Port Klang. ASTM A270 S2, PMI tested, EN 10204 3.1.</v>
      </c>
      <c r="AC1532" s="15" t="str">
        <f t="shared" si="13"/>
        <v>PENDING RESEARCH</v>
      </c>
      <c r="AD1532" s="15" t="str">
        <f t="shared" si="14"/>
        <v>Electropolished Pipes Manufacturer in Labuan</v>
      </c>
      <c r="AE1532" s="15" t="str">
        <f t="shared" si="15"/>
        <v>Manufacturing Electropolished SS Tube for Labuan: The Standards We Build To</v>
      </c>
      <c r="AF1532" s="15" t="str">
        <f t="shared" si="16"/>
        <v>Electropolished Pipe Supply Into Labuan - Certification &amp; Transit</v>
      </c>
      <c r="AG1532" s="15" t="str">
        <f t="shared" si="17"/>
        <v>Electropolished Pipes Wholesaler in Labuan - Project Quantities &amp; Terms</v>
      </c>
      <c r="AH1532" s="15" t="str">
        <f t="shared" si="18"/>
        <v>electropolished pipes manufacturer in Labuan, electropolished pipes supplier in Labuan, electropolished pipes wholesaler in Labuan, electropolished tube manufacturer Labuan, EP pipe supplier Labuan, sanitary tube supplier Labuan, ASME BPE tubing Labuan, ASTM A270 tube Labuan, SS 316L electropolished pipe Labuan</v>
      </c>
      <c r="AI1532" s="15" t="str">
        <f t="shared" si="19"/>
        <v>Electropolished Pipes Manufacturer &amp; Supplier in Labuan</v>
      </c>
      <c r="AJ1532" s="15" t="str">
        <f t="shared" si="20"/>
        <v>EP-finished SS 304/316L pipes and tubes for VERIFY plants in Labuan. ASME BPE SF1-SF4, Ra from 0.25 um, EN 10204 3.1 certificate with every lot.</v>
      </c>
      <c r="AK1532" s="15" t="str">
        <f t="shared" si="21"/>
        <v>Electropolished stainless steel pipes supplied by Sakshi Forge to VERIFY plants at VERIFY, Labuan</v>
      </c>
      <c r="AL1532" s="15" t="str">
        <f t="shared" si="22"/>
        <v>Electropolished SS 316L tube stock for Labuan - Sakshi Forge</v>
      </c>
      <c r="AM1532" s="15" t="str">
        <f t="shared" si="23"/>
        <v>Home &gt; Market Area &gt; Malaysia &gt; VERIFY &gt; Labuan</v>
      </c>
      <c r="AN1532" s="15">
        <f t="shared" si="24"/>
        <v>750</v>
      </c>
      <c r="AO1532" s="15">
        <f t="shared" si="25"/>
        <v>6</v>
      </c>
      <c r="AP1532" s="15">
        <f t="shared" si="26"/>
        <v>6</v>
      </c>
      <c r="AQ1532" s="15">
        <f t="shared" si="27"/>
        <v>26</v>
      </c>
      <c r="AR1532" s="31"/>
      <c r="AS1532" s="31"/>
      <c r="AT1532" s="35" t="s">
        <v>222</v>
      </c>
      <c r="AU1532" s="35"/>
    </row>
    <row r="1533" ht="15.75" customHeight="1">
      <c r="A1533" s="15" t="s">
        <v>7290</v>
      </c>
      <c r="B1533" s="15" t="s">
        <v>430</v>
      </c>
      <c r="C1533" s="15" t="s">
        <v>98</v>
      </c>
      <c r="D1533" s="15" t="s">
        <v>7291</v>
      </c>
      <c r="E1533" s="15" t="s">
        <v>7291</v>
      </c>
      <c r="F1533" s="58" t="s">
        <v>807</v>
      </c>
      <c r="G1533" s="66" t="s">
        <v>98</v>
      </c>
      <c r="H1533" s="18" t="s">
        <v>98</v>
      </c>
      <c r="I1533" s="18" t="s">
        <v>98</v>
      </c>
      <c r="J1533" s="18" t="s">
        <v>98</v>
      </c>
      <c r="K1533" s="18" t="s">
        <v>98</v>
      </c>
      <c r="L1533" s="18" t="s">
        <v>98</v>
      </c>
      <c r="M1533" s="18" t="s">
        <v>627</v>
      </c>
      <c r="N1533" s="18" t="s">
        <v>444</v>
      </c>
      <c r="O1533" s="18" t="s">
        <v>98</v>
      </c>
      <c r="P1533" s="15" t="str">
        <f t="shared" si="1"/>
        <v>VERIFY</v>
      </c>
      <c r="Q1533" s="15">
        <f t="shared" si="2"/>
        <v>2</v>
      </c>
      <c r="R1533" s="15">
        <f t="shared" si="3"/>
        <v>4</v>
      </c>
      <c r="S1533" s="15">
        <f t="shared" si="4"/>
        <v>5</v>
      </c>
      <c r="T1533" s="15" t="str">
        <f t="shared" si="5"/>
        <v>C-6</v>
      </c>
      <c r="U1533" s="15" t="str">
        <f t="shared" si="6"/>
        <v>T2-M4-H5-FC-6-VERIFY</v>
      </c>
      <c r="V1533" s="15">
        <f t="shared" si="7"/>
        <v>0</v>
      </c>
      <c r="W1533" s="31"/>
      <c r="X1533" s="15" t="str">
        <f t="shared" si="8"/>
        <v>lahad-datu-malaysia</v>
      </c>
      <c r="Y1533" s="32" t="str">
        <f t="shared" si="9"/>
        <v>https://steelmanufacturer.in/market-area/electropolished-pipes-manufacturer-in-lahad-datu-malaysia/</v>
      </c>
      <c r="Z1533" s="15" t="str">
        <f t="shared" si="10"/>
        <v>Electropolished Pipes Manufacturer in Lahad Datu</v>
      </c>
      <c r="AA1533" s="15" t="str">
        <f t="shared" si="11"/>
        <v>OK (48)</v>
      </c>
      <c r="AB1533" s="15" t="str">
        <f t="shared" si="12"/>
        <v>Sanitary electropolished pipes in Lahad Datu for VERIFY plants. ASME BPE SF1-SF4, orbital-weld ready, 3.1 MTC. Mumbai-made.</v>
      </c>
      <c r="AC1533" s="15" t="str">
        <f t="shared" si="13"/>
        <v>PENDING RESEARCH</v>
      </c>
      <c r="AD1533" s="15" t="str">
        <f t="shared" si="14"/>
        <v>Electropolished Pipes Manufacturer in Lahad Datu</v>
      </c>
      <c r="AE1533" s="15" t="str">
        <f t="shared" si="15"/>
        <v>Electropolished Tube Manufacturing Capability Serving Lahad Datu</v>
      </c>
      <c r="AF1533" s="15" t="str">
        <f t="shared" si="16"/>
        <v>Electropolished Pipes Supplier in Lahad Datu - From Order to Delivery</v>
      </c>
      <c r="AG1533" s="15" t="str">
        <f t="shared" si="17"/>
        <v>Stockist &amp; Wholesale Supply of Electropolished Pipes in Lahad Datu</v>
      </c>
      <c r="AH1533" s="15" t="str">
        <f t="shared" si="18"/>
        <v>electropolished pipes manufacturer in Lahad Datu, electropolished pipes supplier in Lahad Datu, electropolished pipes wholesaler in Lahad Datu, electropolished tube manufacturer Lahad Datu, EP pipe supplier Lahad Datu, sanitary tube supplier Lahad Datu, ASME BPE tubing Lahad Datu, ASTM A270 tube Lahad Datu, SS 316L electropolished pipe Lahad Datu</v>
      </c>
      <c r="AI1533" s="15" t="str">
        <f t="shared" si="19"/>
        <v>Electropolished Pipes Manufacturer &amp; Supplier in Lahad Datu</v>
      </c>
      <c r="AJ1533" s="15" t="str">
        <f t="shared" si="20"/>
        <v>EP-finished SS 304/316L pipes and tubes for VERIFY plants in Lahad Datu. ASME BPE SF1-SF4, Ra from 0.25 um, EN 10204 3.1 certificate with every lot.</v>
      </c>
      <c r="AK1533" s="15" t="str">
        <f t="shared" si="21"/>
        <v>Electropolished stainless steel pipes supplied by Sakshi Forge to VERIFY plants at VERIFY, Lahad Datu</v>
      </c>
      <c r="AL1533" s="15" t="str">
        <f t="shared" si="22"/>
        <v>Electropolished SS 316L tube stock for Lahad Datu - Sakshi Forge</v>
      </c>
      <c r="AM1533" s="15" t="str">
        <f t="shared" si="23"/>
        <v>Home &gt; Market Area &gt; Malaysia &gt; VERIFY &gt; Lahad Datu</v>
      </c>
      <c r="AN1533" s="15">
        <f t="shared" si="24"/>
        <v>750</v>
      </c>
      <c r="AO1533" s="15">
        <f t="shared" si="25"/>
        <v>6</v>
      </c>
      <c r="AP1533" s="15">
        <f t="shared" si="26"/>
        <v>6</v>
      </c>
      <c r="AQ1533" s="15">
        <f t="shared" si="27"/>
        <v>26</v>
      </c>
      <c r="AR1533" s="31"/>
      <c r="AS1533" s="31"/>
      <c r="AT1533" s="35" t="s">
        <v>222</v>
      </c>
      <c r="AU1533" s="35"/>
    </row>
    <row r="1534" ht="15.75" customHeight="1">
      <c r="A1534" s="15" t="s">
        <v>7292</v>
      </c>
      <c r="B1534" s="15" t="s">
        <v>430</v>
      </c>
      <c r="C1534" s="15" t="s">
        <v>98</v>
      </c>
      <c r="D1534" s="15" t="s">
        <v>7293</v>
      </c>
      <c r="E1534" s="15" t="s">
        <v>7293</v>
      </c>
      <c r="F1534" s="58" t="s">
        <v>807</v>
      </c>
      <c r="G1534" s="66" t="s">
        <v>98</v>
      </c>
      <c r="H1534" s="18" t="s">
        <v>98</v>
      </c>
      <c r="I1534" s="18" t="s">
        <v>98</v>
      </c>
      <c r="J1534" s="18" t="s">
        <v>98</v>
      </c>
      <c r="K1534" s="18" t="s">
        <v>98</v>
      </c>
      <c r="L1534" s="18" t="s">
        <v>98</v>
      </c>
      <c r="M1534" s="18" t="s">
        <v>627</v>
      </c>
      <c r="N1534" s="18" t="s">
        <v>444</v>
      </c>
      <c r="O1534" s="18" t="s">
        <v>98</v>
      </c>
      <c r="P1534" s="15" t="str">
        <f t="shared" si="1"/>
        <v>VERIFY</v>
      </c>
      <c r="Q1534" s="15">
        <f t="shared" si="2"/>
        <v>3</v>
      </c>
      <c r="R1534" s="15">
        <f t="shared" si="3"/>
        <v>5</v>
      </c>
      <c r="S1534" s="15">
        <f t="shared" si="4"/>
        <v>1</v>
      </c>
      <c r="T1534" s="15" t="str">
        <f t="shared" si="5"/>
        <v>C-1</v>
      </c>
      <c r="U1534" s="15" t="str">
        <f t="shared" si="6"/>
        <v>T3-M5-H1-FC-1-VERIFY</v>
      </c>
      <c r="V1534" s="15">
        <f t="shared" si="7"/>
        <v>0</v>
      </c>
      <c r="W1534" s="31"/>
      <c r="X1534" s="15" t="str">
        <f t="shared" si="8"/>
        <v>miri-malaysia</v>
      </c>
      <c r="Y1534" s="32" t="str">
        <f t="shared" si="9"/>
        <v>https://steelmanufacturer.in/market-area/electropolished-pipes-manufacturer-in-miri-malaysia/</v>
      </c>
      <c r="Z1534" s="15" t="str">
        <f t="shared" si="10"/>
        <v>Electropolished Pipes Manufacturer in Miri | EP Tube Supplier</v>
      </c>
      <c r="AA1534" s="15" t="str">
        <f t="shared" si="11"/>
        <v>OK (61)</v>
      </c>
      <c r="AB1534" s="15" t="str">
        <f t="shared" si="12"/>
        <v>Manufacturer of electropolished SS 316L tube serving Miri. 8-12 days sea from Nhava Sheva to Port Klang. Ra 0.25-0.5 um, EN 10204 3.1 MTC.</v>
      </c>
      <c r="AC1534" s="15" t="str">
        <f t="shared" si="13"/>
        <v>PENDING RESEARCH</v>
      </c>
      <c r="AD1534" s="15" t="str">
        <f t="shared" si="14"/>
        <v>Electropolished Pipes Manufacturer in Miri</v>
      </c>
      <c r="AE1534" s="15" t="str">
        <f t="shared" si="15"/>
        <v>Electropolished Pipe &amp; Tube Manufacturing for Miri - Grades, Finishes &amp; Certification</v>
      </c>
      <c r="AF1534" s="15" t="str">
        <f t="shared" si="16"/>
        <v>Electropolished Pipes Supplier in Miri - Stock Sizes, Lead Time &amp; Delivery</v>
      </c>
      <c r="AG1534" s="15" t="str">
        <f t="shared" si="17"/>
        <v>Electropolished Pipes Wholesaler &amp; Stockist in Miri - Bulk &amp; Project Pricing</v>
      </c>
      <c r="AH1534" s="15" t="str">
        <f t="shared" si="18"/>
        <v>electropolished pipes manufacturer in Miri, electropolished pipes supplier in Miri, electropolished pipes wholesaler in Miri, electropolished tube manufacturer Miri, EP pipe supplier Miri, sanitary tube supplier Miri, ASME BPE tubing Miri, ASTM A270 tube Miri, SS 316L electropolished pipe Miri</v>
      </c>
      <c r="AI1534" s="15" t="str">
        <f t="shared" si="19"/>
        <v>Electropolished Pipes Manufacturer &amp; Supplier in Miri</v>
      </c>
      <c r="AJ1534" s="15" t="str">
        <f t="shared" si="20"/>
        <v>EP-finished SS 304/316L pipes and tubes for VERIFY plants in Miri. ASME BPE SF1-SF4, Ra from 0.25 um, EN 10204 3.1 certificate with every lot.</v>
      </c>
      <c r="AK1534" s="15" t="str">
        <f t="shared" si="21"/>
        <v>Electropolished stainless steel pipes supplied by Sakshi Forge to VERIFY plants at VERIFY, Miri</v>
      </c>
      <c r="AL1534" s="15" t="str">
        <f t="shared" si="22"/>
        <v>Electropolished SS 316L tube stock for Miri - Sakshi Forge</v>
      </c>
      <c r="AM1534" s="15" t="str">
        <f t="shared" si="23"/>
        <v>Home &gt; Market Area &gt; Malaysia &gt; VERIFY &gt; Miri</v>
      </c>
      <c r="AN1534" s="15">
        <f t="shared" si="24"/>
        <v>750</v>
      </c>
      <c r="AO1534" s="15">
        <f t="shared" si="25"/>
        <v>6</v>
      </c>
      <c r="AP1534" s="15">
        <f t="shared" si="26"/>
        <v>6</v>
      </c>
      <c r="AQ1534" s="15">
        <f t="shared" si="27"/>
        <v>26</v>
      </c>
      <c r="AR1534" s="31"/>
      <c r="AS1534" s="31"/>
      <c r="AT1534" s="35" t="s">
        <v>222</v>
      </c>
      <c r="AU1534" s="35"/>
    </row>
    <row r="1535" ht="15.75" customHeight="1">
      <c r="A1535" s="15" t="s">
        <v>7294</v>
      </c>
      <c r="B1535" s="15" t="s">
        <v>430</v>
      </c>
      <c r="C1535" s="15" t="s">
        <v>98</v>
      </c>
      <c r="D1535" s="15" t="s">
        <v>7295</v>
      </c>
      <c r="E1535" s="15" t="s">
        <v>7295</v>
      </c>
      <c r="F1535" s="58" t="s">
        <v>807</v>
      </c>
      <c r="G1535" s="66" t="s">
        <v>98</v>
      </c>
      <c r="H1535" s="18" t="s">
        <v>98</v>
      </c>
      <c r="I1535" s="18" t="s">
        <v>98</v>
      </c>
      <c r="J1535" s="18" t="s">
        <v>98</v>
      </c>
      <c r="K1535" s="18" t="s">
        <v>98</v>
      </c>
      <c r="L1535" s="18" t="s">
        <v>98</v>
      </c>
      <c r="M1535" s="18" t="s">
        <v>627</v>
      </c>
      <c r="N1535" s="18" t="s">
        <v>444</v>
      </c>
      <c r="O1535" s="18" t="s">
        <v>98</v>
      </c>
      <c r="P1535" s="15" t="str">
        <f t="shared" si="1"/>
        <v>VERIFY</v>
      </c>
      <c r="Q1535" s="15">
        <f t="shared" si="2"/>
        <v>4</v>
      </c>
      <c r="R1535" s="15">
        <f t="shared" si="3"/>
        <v>6</v>
      </c>
      <c r="S1535" s="15">
        <f t="shared" si="4"/>
        <v>2</v>
      </c>
      <c r="T1535" s="15" t="str">
        <f t="shared" si="5"/>
        <v>C-2</v>
      </c>
      <c r="U1535" s="15" t="str">
        <f t="shared" si="6"/>
        <v>T4-M6-H2-FC-2-VERIFY</v>
      </c>
      <c r="V1535" s="15">
        <f t="shared" si="7"/>
        <v>0</v>
      </c>
      <c r="W1535" s="31"/>
      <c r="X1535" s="15" t="str">
        <f t="shared" si="8"/>
        <v>muar-malaysia</v>
      </c>
      <c r="Y1535" s="32" t="str">
        <f t="shared" si="9"/>
        <v>https://steelmanufacturer.in/market-area/electropolished-pipes-manufacturer-in-muar-malaysia/</v>
      </c>
      <c r="Z1535" s="15" t="str">
        <f t="shared" si="10"/>
        <v>Electropolished Pipes Manufacturer in Muar - SS 304/316L EP Tube</v>
      </c>
      <c r="AA1535" s="15" t="str">
        <f t="shared" si="11"/>
        <v>OK (64)</v>
      </c>
      <c r="AB1535" s="15" t="str">
        <f t="shared" si="12"/>
        <v>EP tube and pipe for VERIFY plants around VERIFY, Muar. Made at our Mumbai works to ASTM A270 and ASME BPE SF1-SF4, with 3.1 MTC.</v>
      </c>
      <c r="AC1535" s="15" t="str">
        <f t="shared" si="13"/>
        <v>PENDING RESEARCH</v>
      </c>
      <c r="AD1535" s="15" t="str">
        <f t="shared" si="14"/>
        <v>Electropolished Pipes Manufacturer in Muar</v>
      </c>
      <c r="AE1535" s="15" t="str">
        <f t="shared" si="15"/>
        <v>How We Manufacture Electropolished Tube for Muar Plants</v>
      </c>
      <c r="AF1535" s="15" t="str">
        <f t="shared" si="16"/>
        <v>Supplying Electropolished Pipes in Muar: Availability, Sizes &amp; Dispatch</v>
      </c>
      <c r="AG1535" s="15" t="str">
        <f t="shared" si="17"/>
        <v>Wholesale Electropolished Pipe Supply for Muar Projects</v>
      </c>
      <c r="AH1535" s="15" t="str">
        <f t="shared" si="18"/>
        <v>electropolished pipes manufacturer in Muar, electropolished pipes supplier in Muar, electropolished pipes wholesaler in Muar, electropolished tube manufacturer Muar, EP pipe supplier Muar, sanitary tube supplier Muar, ASME BPE tubing Muar, ASTM A270 tube Muar, SS 316L electropolished pipe Muar</v>
      </c>
      <c r="AI1535" s="15" t="str">
        <f t="shared" si="19"/>
        <v>Electropolished Pipes Manufacturer &amp; Supplier in Muar</v>
      </c>
      <c r="AJ1535" s="15" t="str">
        <f t="shared" si="20"/>
        <v>EP-finished SS 304/316L pipes and tubes for VERIFY plants in Muar. ASME BPE SF1-SF4, Ra from 0.25 um, EN 10204 3.1 certificate with every lot.</v>
      </c>
      <c r="AK1535" s="15" t="str">
        <f t="shared" si="21"/>
        <v>Electropolished stainless steel pipes supplied by Sakshi Forge to VERIFY plants at VERIFY, Muar</v>
      </c>
      <c r="AL1535" s="15" t="str">
        <f t="shared" si="22"/>
        <v>Electropolished SS 316L tube stock for Muar - Sakshi Forge</v>
      </c>
      <c r="AM1535" s="15" t="str">
        <f t="shared" si="23"/>
        <v>Home &gt; Market Area &gt; Malaysia &gt; VERIFY &gt; Muar</v>
      </c>
      <c r="AN1535" s="15">
        <f t="shared" si="24"/>
        <v>750</v>
      </c>
      <c r="AO1535" s="15">
        <f t="shared" si="25"/>
        <v>6</v>
      </c>
      <c r="AP1535" s="15">
        <f t="shared" si="26"/>
        <v>6</v>
      </c>
      <c r="AQ1535" s="15">
        <f t="shared" si="27"/>
        <v>26</v>
      </c>
      <c r="AR1535" s="31"/>
      <c r="AS1535" s="31"/>
      <c r="AT1535" s="35" t="s">
        <v>222</v>
      </c>
      <c r="AU1535" s="35"/>
    </row>
    <row r="1536" ht="15.75" customHeight="1">
      <c r="A1536" s="15" t="s">
        <v>7296</v>
      </c>
      <c r="B1536" s="15" t="s">
        <v>430</v>
      </c>
      <c r="C1536" s="15" t="s">
        <v>98</v>
      </c>
      <c r="D1536" s="15" t="s">
        <v>7297</v>
      </c>
      <c r="E1536" s="15" t="s">
        <v>7297</v>
      </c>
      <c r="F1536" s="58" t="s">
        <v>807</v>
      </c>
      <c r="G1536" s="66" t="s">
        <v>98</v>
      </c>
      <c r="H1536" s="18" t="s">
        <v>98</v>
      </c>
      <c r="I1536" s="18" t="s">
        <v>98</v>
      </c>
      <c r="J1536" s="18" t="s">
        <v>98</v>
      </c>
      <c r="K1536" s="18" t="s">
        <v>98</v>
      </c>
      <c r="L1536" s="18" t="s">
        <v>98</v>
      </c>
      <c r="M1536" s="18" t="s">
        <v>627</v>
      </c>
      <c r="N1536" s="18" t="s">
        <v>444</v>
      </c>
      <c r="O1536" s="18" t="s">
        <v>98</v>
      </c>
      <c r="P1536" s="15" t="str">
        <f t="shared" si="1"/>
        <v>VERIFY</v>
      </c>
      <c r="Q1536" s="15">
        <f t="shared" si="2"/>
        <v>5</v>
      </c>
      <c r="R1536" s="15">
        <f t="shared" si="3"/>
        <v>7</v>
      </c>
      <c r="S1536" s="15">
        <f t="shared" si="4"/>
        <v>3</v>
      </c>
      <c r="T1536" s="15" t="str">
        <f t="shared" si="5"/>
        <v>C-3</v>
      </c>
      <c r="U1536" s="15" t="str">
        <f t="shared" si="6"/>
        <v>T5-M7-H3-FC-3-VERIFY</v>
      </c>
      <c r="V1536" s="15">
        <f t="shared" si="7"/>
        <v>0</v>
      </c>
      <c r="W1536" s="31"/>
      <c r="X1536" s="15" t="str">
        <f t="shared" si="8"/>
        <v>port-dickson-malaysia</v>
      </c>
      <c r="Y1536" s="32" t="str">
        <f t="shared" si="9"/>
        <v>https://steelmanufacturer.in/market-area/electropolished-pipes-manufacturer-in-port-dickson-malaysia/</v>
      </c>
      <c r="Z1536" s="15" t="str">
        <f t="shared" si="10"/>
        <v>Electropolished Pipes Manufacturer in Port Dickson</v>
      </c>
      <c r="AA1536" s="15" t="str">
        <f t="shared" si="11"/>
        <v>OK (50)</v>
      </c>
      <c r="AB1536" s="15" t="str">
        <f t="shared" si="12"/>
        <v>Electropolished pipes in Port Dickson: 304, 304L, 316 and 316L in SF1-SF4. 8-12 days sea from Nhava Sheva to Port Klang. Mill certified.</v>
      </c>
      <c r="AC1536" s="15" t="str">
        <f t="shared" si="13"/>
        <v>PENDING RESEARCH</v>
      </c>
      <c r="AD1536" s="15" t="str">
        <f t="shared" si="14"/>
        <v>Electropolished Pipes Manufacturer in Port Dickson</v>
      </c>
      <c r="AE1536" s="15" t="str">
        <f t="shared" si="15"/>
        <v>Electropolished Pipes Manufacturer in Port Dickson - Our Process &amp; Capability</v>
      </c>
      <c r="AF1536" s="15" t="str">
        <f t="shared" si="16"/>
        <v>Electropolished Pipes Supplier in Port Dickson - What We Hold in Stock</v>
      </c>
      <c r="AG1536" s="15" t="str">
        <f t="shared" si="17"/>
        <v>Bulk &amp; Wholesale Electropolished Pipe Rates for Port Dickson Buyers</v>
      </c>
      <c r="AH1536" s="15" t="str">
        <f t="shared" si="18"/>
        <v>electropolished pipes manufacturer in Port Dickson, electropolished pipes supplier in Port Dickson, electropolished pipes wholesaler in Port Dickson, electropolished tube manufacturer Port Dickson, EP pipe supplier Port Dickson, sanitary tube supplier Port Dickson, ASME BPE tubing Port Dickson, ASTM A270 tube Port Dickson, SS 316L electropolished pipe Port Dickson</v>
      </c>
      <c r="AI1536" s="15" t="str">
        <f t="shared" si="19"/>
        <v>Electropolished Pipes Manufacturer &amp; Supplier in Port Dickson</v>
      </c>
      <c r="AJ1536" s="15" t="str">
        <f t="shared" si="20"/>
        <v>EP-finished SS 304/316L pipes and tubes for VERIFY plants in Port Dickson. ASME BPE SF1-SF4, Ra from 0.25 um, EN 10204 3.1 certificate with every lot.</v>
      </c>
      <c r="AK1536" s="15" t="str">
        <f t="shared" si="21"/>
        <v>Electropolished stainless steel pipes supplied by Sakshi Forge to VERIFY plants at VERIFY, Port Dickson</v>
      </c>
      <c r="AL1536" s="15" t="str">
        <f t="shared" si="22"/>
        <v>Electropolished SS 316L tube stock for Port Dickson - Sakshi Forge</v>
      </c>
      <c r="AM1536" s="15" t="str">
        <f t="shared" si="23"/>
        <v>Home &gt; Market Area &gt; Malaysia &gt; VERIFY &gt; Port Dickson</v>
      </c>
      <c r="AN1536" s="15">
        <f t="shared" si="24"/>
        <v>750</v>
      </c>
      <c r="AO1536" s="15">
        <f t="shared" si="25"/>
        <v>6</v>
      </c>
      <c r="AP1536" s="15">
        <f t="shared" si="26"/>
        <v>6</v>
      </c>
      <c r="AQ1536" s="15">
        <f t="shared" si="27"/>
        <v>26</v>
      </c>
      <c r="AR1536" s="31"/>
      <c r="AS1536" s="31"/>
      <c r="AT1536" s="35" t="s">
        <v>222</v>
      </c>
      <c r="AU1536" s="35"/>
    </row>
    <row r="1537" ht="15.75" customHeight="1">
      <c r="A1537" s="15" t="s">
        <v>7298</v>
      </c>
      <c r="B1537" s="15" t="s">
        <v>430</v>
      </c>
      <c r="C1537" s="15" t="s">
        <v>98</v>
      </c>
      <c r="D1537" s="15" t="s">
        <v>7299</v>
      </c>
      <c r="E1537" s="15" t="s">
        <v>7299</v>
      </c>
      <c r="F1537" s="58" t="s">
        <v>807</v>
      </c>
      <c r="G1537" s="66" t="s">
        <v>98</v>
      </c>
      <c r="H1537" s="18" t="s">
        <v>98</v>
      </c>
      <c r="I1537" s="18" t="s">
        <v>98</v>
      </c>
      <c r="J1537" s="18" t="s">
        <v>98</v>
      </c>
      <c r="K1537" s="18" t="s">
        <v>98</v>
      </c>
      <c r="L1537" s="18" t="s">
        <v>98</v>
      </c>
      <c r="M1537" s="18" t="s">
        <v>627</v>
      </c>
      <c r="N1537" s="18" t="s">
        <v>444</v>
      </c>
      <c r="O1537" s="18" t="s">
        <v>98</v>
      </c>
      <c r="P1537" s="15" t="str">
        <f t="shared" si="1"/>
        <v>VERIFY</v>
      </c>
      <c r="Q1537" s="15">
        <f t="shared" si="2"/>
        <v>6</v>
      </c>
      <c r="R1537" s="15">
        <f t="shared" si="3"/>
        <v>1</v>
      </c>
      <c r="S1537" s="15">
        <f t="shared" si="4"/>
        <v>4</v>
      </c>
      <c r="T1537" s="15" t="str">
        <f t="shared" si="5"/>
        <v>C-4</v>
      </c>
      <c r="U1537" s="15" t="str">
        <f t="shared" si="6"/>
        <v>T6-M1-H4-FC-4-VERIFY</v>
      </c>
      <c r="V1537" s="15">
        <f t="shared" si="7"/>
        <v>0</v>
      </c>
      <c r="W1537" s="31"/>
      <c r="X1537" s="15" t="str">
        <f t="shared" si="8"/>
        <v>sandakan-malaysia</v>
      </c>
      <c r="Y1537" s="32" t="str">
        <f t="shared" si="9"/>
        <v>https://steelmanufacturer.in/market-area/electropolished-pipes-manufacturer-in-sandakan-malaysia/</v>
      </c>
      <c r="Z1537" s="15" t="str">
        <f t="shared" si="10"/>
        <v>Electropolished Pipes Manufacturer in Sandakan</v>
      </c>
      <c r="AA1537" s="15" t="str">
        <f t="shared" si="11"/>
        <v>OK (46)</v>
      </c>
      <c r="AB1537" s="15" t="str">
        <f t="shared" si="12"/>
        <v>EP-finished SS 304/316L pipes &amp; tubes for VERIFY plants in Sandakan. ASTM A270, ASME BPE SF1-SF4, EN 10204 3.1 MTC. PMI tested.</v>
      </c>
      <c r="AC1537" s="15" t="str">
        <f t="shared" si="13"/>
        <v>PENDING RESEARCH</v>
      </c>
      <c r="AD1537" s="15" t="str">
        <f t="shared" si="14"/>
        <v>Electropolished Pipes Manufacturer in Sandakan</v>
      </c>
      <c r="AE1537" s="15" t="str">
        <f t="shared" si="15"/>
        <v>Manufacturing Electropolished SS Tube for Sandakan: The Standards We Build To</v>
      </c>
      <c r="AF1537" s="15" t="str">
        <f t="shared" si="16"/>
        <v>Electropolished Pipe Supply Into Sandakan - Certification &amp; Transit</v>
      </c>
      <c r="AG1537" s="15" t="str">
        <f t="shared" si="17"/>
        <v>Electropolished Pipes Wholesaler in Sandakan - Project Quantities &amp; Terms</v>
      </c>
      <c r="AH1537" s="15" t="str">
        <f t="shared" si="18"/>
        <v>electropolished pipes manufacturer in Sandakan, electropolished pipes supplier in Sandakan, electropolished pipes wholesaler in Sandakan, electropolished tube manufacturer Sandakan, EP pipe supplier Sandakan, sanitary tube supplier Sandakan, ASME BPE tubing Sandakan, ASTM A270 tube Sandakan, SS 316L electropolished pipe Sandakan</v>
      </c>
      <c r="AI1537" s="15" t="str">
        <f t="shared" si="19"/>
        <v>Electropolished Pipes Manufacturer &amp; Supplier in Sandakan</v>
      </c>
      <c r="AJ1537" s="15" t="str">
        <f t="shared" si="20"/>
        <v>EP-finished SS 304/316L pipes and tubes for VERIFY plants in Sandakan. ASME BPE SF1-SF4, Ra from 0.25 um, EN 10204 3.1 certificate with every lot.</v>
      </c>
      <c r="AK1537" s="15" t="str">
        <f t="shared" si="21"/>
        <v>Electropolished stainless steel pipes supplied by Sakshi Forge to VERIFY plants at VERIFY, Sandakan</v>
      </c>
      <c r="AL1537" s="15" t="str">
        <f t="shared" si="22"/>
        <v>Electropolished SS 316L tube stock for Sandakan - Sakshi Forge</v>
      </c>
      <c r="AM1537" s="15" t="str">
        <f t="shared" si="23"/>
        <v>Home &gt; Market Area &gt; Malaysia &gt; VERIFY &gt; Sandakan</v>
      </c>
      <c r="AN1537" s="15">
        <f t="shared" si="24"/>
        <v>750</v>
      </c>
      <c r="AO1537" s="15">
        <f t="shared" si="25"/>
        <v>6</v>
      </c>
      <c r="AP1537" s="15">
        <f t="shared" si="26"/>
        <v>6</v>
      </c>
      <c r="AQ1537" s="15">
        <f t="shared" si="27"/>
        <v>26</v>
      </c>
      <c r="AR1537" s="31"/>
      <c r="AS1537" s="31"/>
      <c r="AT1537" s="35" t="s">
        <v>222</v>
      </c>
      <c r="AU1537" s="35"/>
    </row>
    <row r="1538" ht="15.75" customHeight="1">
      <c r="A1538" s="15" t="s">
        <v>7302</v>
      </c>
      <c r="B1538" s="15" t="s">
        <v>430</v>
      </c>
      <c r="C1538" s="15" t="s">
        <v>98</v>
      </c>
      <c r="D1538" s="15" t="s">
        <v>7306</v>
      </c>
      <c r="E1538" s="15" t="s">
        <v>7306</v>
      </c>
      <c r="F1538" s="58" t="s">
        <v>807</v>
      </c>
      <c r="G1538" s="66" t="s">
        <v>98</v>
      </c>
      <c r="H1538" s="18" t="s">
        <v>98</v>
      </c>
      <c r="I1538" s="18" t="s">
        <v>98</v>
      </c>
      <c r="J1538" s="18" t="s">
        <v>98</v>
      </c>
      <c r="K1538" s="18" t="s">
        <v>98</v>
      </c>
      <c r="L1538" s="18" t="s">
        <v>98</v>
      </c>
      <c r="M1538" s="18" t="s">
        <v>627</v>
      </c>
      <c r="N1538" s="18" t="s">
        <v>444</v>
      </c>
      <c r="O1538" s="18" t="s">
        <v>98</v>
      </c>
      <c r="P1538" s="15" t="str">
        <f t="shared" si="1"/>
        <v>VERIFY</v>
      </c>
      <c r="Q1538" s="15">
        <f t="shared" si="2"/>
        <v>7</v>
      </c>
      <c r="R1538" s="15">
        <f t="shared" si="3"/>
        <v>2</v>
      </c>
      <c r="S1538" s="15">
        <f t="shared" si="4"/>
        <v>5</v>
      </c>
      <c r="T1538" s="15" t="str">
        <f t="shared" si="5"/>
        <v>C-5</v>
      </c>
      <c r="U1538" s="15" t="str">
        <f t="shared" si="6"/>
        <v>T7-M2-H5-FC-5-VERIFY</v>
      </c>
      <c r="V1538" s="15">
        <f t="shared" si="7"/>
        <v>0</v>
      </c>
      <c r="W1538" s="31"/>
      <c r="X1538" s="15" t="str">
        <f t="shared" si="8"/>
        <v>segamat-malaysia</v>
      </c>
      <c r="Y1538" s="32" t="str">
        <f t="shared" si="9"/>
        <v>https://steelmanufacturer.in/market-area/electropolished-pipes-manufacturer-in-segamat-malaysia/</v>
      </c>
      <c r="Z1538" s="15" t="str">
        <f t="shared" si="10"/>
        <v>Electropolished Pipes Manufacturer in Segamat | ASME BPE SF1-SF4</v>
      </c>
      <c r="AA1538" s="15" t="str">
        <f t="shared" si="11"/>
        <v>OK (64)</v>
      </c>
      <c r="AB1538" s="15" t="str">
        <f t="shared" si="12"/>
        <v>Electropolished tube supply to VERIFY, Segamat. Ra from 0.25 um, SF4 finish, mill test certificate with every lot.</v>
      </c>
      <c r="AC1538" s="15" t="str">
        <f t="shared" si="13"/>
        <v>PENDING RESEARCH</v>
      </c>
      <c r="AD1538" s="15" t="str">
        <f t="shared" si="14"/>
        <v>Electropolished Pipes Manufacturer in Segamat</v>
      </c>
      <c r="AE1538" s="15" t="str">
        <f t="shared" si="15"/>
        <v>Electropolished Tube Manufacturing Capability Serving Segamat</v>
      </c>
      <c r="AF1538" s="15" t="str">
        <f t="shared" si="16"/>
        <v>Electropolished Pipes Supplier in Segamat - From Order to Delivery</v>
      </c>
      <c r="AG1538" s="15" t="str">
        <f t="shared" si="17"/>
        <v>Stockist &amp; Wholesale Supply of Electropolished Pipes in Segamat</v>
      </c>
      <c r="AH1538" s="15" t="str">
        <f t="shared" si="18"/>
        <v>electropolished pipes manufacturer in Segamat, electropolished pipes supplier in Segamat, electropolished pipes wholesaler in Segamat, electropolished tube manufacturer Segamat, EP pipe supplier Segamat, sanitary tube supplier Segamat, ASME BPE tubing Segamat, ASTM A270 tube Segamat, SS 316L electropolished pipe Segamat</v>
      </c>
      <c r="AI1538" s="15" t="str">
        <f t="shared" si="19"/>
        <v>Electropolished Pipes Manufacturer &amp; Supplier in Segamat</v>
      </c>
      <c r="AJ1538" s="15" t="str">
        <f t="shared" si="20"/>
        <v>EP-finished SS 304/316L pipes and tubes for VERIFY plants in Segamat. ASME BPE SF1-SF4, Ra from 0.25 um, EN 10204 3.1 certificate with every lot.</v>
      </c>
      <c r="AK1538" s="15" t="str">
        <f t="shared" si="21"/>
        <v>Electropolished stainless steel pipes supplied by Sakshi Forge to VERIFY plants at VERIFY, Segamat</v>
      </c>
      <c r="AL1538" s="15" t="str">
        <f t="shared" si="22"/>
        <v>Electropolished SS 316L tube stock for Segamat - Sakshi Forge</v>
      </c>
      <c r="AM1538" s="15" t="str">
        <f t="shared" si="23"/>
        <v>Home &gt; Market Area &gt; Malaysia &gt; VERIFY &gt; Segamat</v>
      </c>
      <c r="AN1538" s="15">
        <f t="shared" si="24"/>
        <v>750</v>
      </c>
      <c r="AO1538" s="15">
        <f t="shared" si="25"/>
        <v>6</v>
      </c>
      <c r="AP1538" s="15">
        <f t="shared" si="26"/>
        <v>6</v>
      </c>
      <c r="AQ1538" s="15">
        <f t="shared" si="27"/>
        <v>26</v>
      </c>
      <c r="AR1538" s="31"/>
      <c r="AS1538" s="31"/>
      <c r="AT1538" s="35" t="s">
        <v>222</v>
      </c>
      <c r="AU1538" s="35"/>
    </row>
    <row r="1539" ht="15.75" customHeight="1">
      <c r="A1539" s="15" t="s">
        <v>7307</v>
      </c>
      <c r="B1539" s="15" t="s">
        <v>430</v>
      </c>
      <c r="C1539" s="15" t="s">
        <v>98</v>
      </c>
      <c r="D1539" s="15" t="s">
        <v>7308</v>
      </c>
      <c r="E1539" s="15" t="s">
        <v>7308</v>
      </c>
      <c r="F1539" s="58" t="s">
        <v>807</v>
      </c>
      <c r="G1539" s="66" t="s">
        <v>98</v>
      </c>
      <c r="H1539" s="18" t="s">
        <v>98</v>
      </c>
      <c r="I1539" s="18" t="s">
        <v>98</v>
      </c>
      <c r="J1539" s="18" t="s">
        <v>98</v>
      </c>
      <c r="K1539" s="18" t="s">
        <v>98</v>
      </c>
      <c r="L1539" s="18" t="s">
        <v>98</v>
      </c>
      <c r="M1539" s="18" t="s">
        <v>627</v>
      </c>
      <c r="N1539" s="18" t="s">
        <v>444</v>
      </c>
      <c r="O1539" s="18" t="s">
        <v>98</v>
      </c>
      <c r="P1539" s="15" t="str">
        <f t="shared" si="1"/>
        <v>VERIFY</v>
      </c>
      <c r="Q1539" s="15">
        <f t="shared" si="2"/>
        <v>8</v>
      </c>
      <c r="R1539" s="15">
        <f t="shared" si="3"/>
        <v>3</v>
      </c>
      <c r="S1539" s="15">
        <f t="shared" si="4"/>
        <v>1</v>
      </c>
      <c r="T1539" s="15" t="str">
        <f t="shared" si="5"/>
        <v>C-6</v>
      </c>
      <c r="U1539" s="15" t="str">
        <f t="shared" si="6"/>
        <v>T8-M3-H1-FC-6-VERIFY</v>
      </c>
      <c r="V1539" s="15">
        <f t="shared" si="7"/>
        <v>0</v>
      </c>
      <c r="W1539" s="31"/>
      <c r="X1539" s="15" t="str">
        <f t="shared" si="8"/>
        <v>sibu-malaysia</v>
      </c>
      <c r="Y1539" s="32" t="str">
        <f t="shared" si="9"/>
        <v>https://steelmanufacturer.in/market-area/electropolished-pipes-manufacturer-in-sibu-malaysia/</v>
      </c>
      <c r="Z1539" s="15" t="str">
        <f t="shared" si="10"/>
        <v>Electropolished Pipes Manufacturer in Sibu - EP Tube Stockist</v>
      </c>
      <c r="AA1539" s="15" t="str">
        <f t="shared" si="11"/>
        <v>OK (61)</v>
      </c>
      <c r="AB1539" s="15" t="str">
        <f t="shared" si="12"/>
        <v>EP stainless tube for VERIFY lines in Sibu. 8-12 days sea from Nhava Sheva to Port Klang. ASTM A270 S2, PMI tested, EN 10204 3.1.</v>
      </c>
      <c r="AC1539" s="15" t="str">
        <f t="shared" si="13"/>
        <v>PENDING RESEARCH</v>
      </c>
      <c r="AD1539" s="15" t="str">
        <f t="shared" si="14"/>
        <v>Electropolished Pipes Manufacturer in Sibu</v>
      </c>
      <c r="AE1539" s="15" t="str">
        <f t="shared" si="15"/>
        <v>Electropolished Pipe &amp; Tube Manufacturing for Sibu - Grades, Finishes &amp; Certification</v>
      </c>
      <c r="AF1539" s="15" t="str">
        <f t="shared" si="16"/>
        <v>Electropolished Pipes Supplier in Sibu - Stock Sizes, Lead Time &amp; Delivery</v>
      </c>
      <c r="AG1539" s="15" t="str">
        <f t="shared" si="17"/>
        <v>Electropolished Pipes Wholesaler &amp; Stockist in Sibu - Bulk &amp; Project Pricing</v>
      </c>
      <c r="AH1539" s="15" t="str">
        <f t="shared" si="18"/>
        <v>electropolished pipes manufacturer in Sibu, electropolished pipes supplier in Sibu, electropolished pipes wholesaler in Sibu, electropolished tube manufacturer Sibu, EP pipe supplier Sibu, sanitary tube supplier Sibu, ASME BPE tubing Sibu, ASTM A270 tube Sibu, SS 316L electropolished pipe Sibu</v>
      </c>
      <c r="AI1539" s="15" t="str">
        <f t="shared" si="19"/>
        <v>Electropolished Pipes Manufacturer &amp; Supplier in Sibu</v>
      </c>
      <c r="AJ1539" s="15" t="str">
        <f t="shared" si="20"/>
        <v>EP-finished SS 304/316L pipes and tubes for VERIFY plants in Sibu. ASME BPE SF1-SF4, Ra from 0.25 um, EN 10204 3.1 certificate with every lot.</v>
      </c>
      <c r="AK1539" s="15" t="str">
        <f t="shared" si="21"/>
        <v>Electropolished stainless steel pipes supplied by Sakshi Forge to VERIFY plants at VERIFY, Sibu</v>
      </c>
      <c r="AL1539" s="15" t="str">
        <f t="shared" si="22"/>
        <v>Electropolished SS 316L tube stock for Sibu - Sakshi Forge</v>
      </c>
      <c r="AM1539" s="15" t="str">
        <f t="shared" si="23"/>
        <v>Home &gt; Market Area &gt; Malaysia &gt; VERIFY &gt; Sibu</v>
      </c>
      <c r="AN1539" s="15">
        <f t="shared" si="24"/>
        <v>750</v>
      </c>
      <c r="AO1539" s="15">
        <f t="shared" si="25"/>
        <v>6</v>
      </c>
      <c r="AP1539" s="15">
        <f t="shared" si="26"/>
        <v>6</v>
      </c>
      <c r="AQ1539" s="15">
        <f t="shared" si="27"/>
        <v>26</v>
      </c>
      <c r="AR1539" s="31"/>
      <c r="AS1539" s="31"/>
      <c r="AT1539" s="35" t="s">
        <v>222</v>
      </c>
      <c r="AU1539" s="35"/>
    </row>
    <row r="1540" ht="15.75" customHeight="1">
      <c r="A1540" s="15" t="s">
        <v>7309</v>
      </c>
      <c r="B1540" s="15" t="s">
        <v>430</v>
      </c>
      <c r="C1540" s="15" t="s">
        <v>98</v>
      </c>
      <c r="D1540" s="15" t="s">
        <v>7310</v>
      </c>
      <c r="E1540" s="15" t="s">
        <v>7310</v>
      </c>
      <c r="F1540" s="58" t="s">
        <v>807</v>
      </c>
      <c r="G1540" s="66" t="s">
        <v>98</v>
      </c>
      <c r="H1540" s="18" t="s">
        <v>98</v>
      </c>
      <c r="I1540" s="18" t="s">
        <v>98</v>
      </c>
      <c r="J1540" s="18" t="s">
        <v>98</v>
      </c>
      <c r="K1540" s="18" t="s">
        <v>98</v>
      </c>
      <c r="L1540" s="18" t="s">
        <v>98</v>
      </c>
      <c r="M1540" s="18" t="s">
        <v>627</v>
      </c>
      <c r="N1540" s="18" t="s">
        <v>444</v>
      </c>
      <c r="O1540" s="18" t="s">
        <v>98</v>
      </c>
      <c r="P1540" s="15" t="str">
        <f t="shared" si="1"/>
        <v>VERIFY</v>
      </c>
      <c r="Q1540" s="15">
        <f t="shared" si="2"/>
        <v>1</v>
      </c>
      <c r="R1540" s="15">
        <f t="shared" si="3"/>
        <v>4</v>
      </c>
      <c r="S1540" s="15">
        <f t="shared" si="4"/>
        <v>2</v>
      </c>
      <c r="T1540" s="15" t="str">
        <f t="shared" si="5"/>
        <v>C-1</v>
      </c>
      <c r="U1540" s="15" t="str">
        <f t="shared" si="6"/>
        <v>T1-M4-H2-FC-1-VERIFY</v>
      </c>
      <c r="V1540" s="15">
        <f t="shared" si="7"/>
        <v>0</v>
      </c>
      <c r="W1540" s="31"/>
      <c r="X1540" s="15" t="str">
        <f t="shared" si="8"/>
        <v>sitiawan-malaysia</v>
      </c>
      <c r="Y1540" s="32" t="str">
        <f t="shared" si="9"/>
        <v>https://steelmanufacturer.in/market-area/electropolished-pipes-manufacturer-in-sitiawan-malaysia/</v>
      </c>
      <c r="Z1540" s="15" t="str">
        <f t="shared" si="10"/>
        <v>Electropolished Pipes Manufacturer in Sitiawan | Sakshi Forge</v>
      </c>
      <c r="AA1540" s="15" t="str">
        <f t="shared" si="11"/>
        <v>OK (61)</v>
      </c>
      <c r="AB1540" s="15" t="str">
        <f t="shared" si="12"/>
        <v>Sanitary electropolished pipes in Sitiawan for VERIFY plants. ASME BPE SF1-SF4, orbital-weld ready, 3.1 MTC. Mumbai-made.</v>
      </c>
      <c r="AC1540" s="15" t="str">
        <f t="shared" si="13"/>
        <v>PENDING RESEARCH</v>
      </c>
      <c r="AD1540" s="15" t="str">
        <f t="shared" si="14"/>
        <v>Electropolished Pipes Manufacturer in Sitiawan</v>
      </c>
      <c r="AE1540" s="15" t="str">
        <f t="shared" si="15"/>
        <v>How We Manufacture Electropolished Tube for Sitiawan Plants</v>
      </c>
      <c r="AF1540" s="15" t="str">
        <f t="shared" si="16"/>
        <v>Supplying Electropolished Pipes in Sitiawan: Availability, Sizes &amp; Dispatch</v>
      </c>
      <c r="AG1540" s="15" t="str">
        <f t="shared" si="17"/>
        <v>Wholesale Electropolished Pipe Supply for Sitiawan Projects</v>
      </c>
      <c r="AH1540" s="15" t="str">
        <f t="shared" si="18"/>
        <v>electropolished pipes manufacturer in Sitiawan, electropolished pipes supplier in Sitiawan, electropolished pipes wholesaler in Sitiawan, electropolished tube manufacturer Sitiawan, EP pipe supplier Sitiawan, sanitary tube supplier Sitiawan, ASME BPE tubing Sitiawan, ASTM A270 tube Sitiawan, SS 316L electropolished pipe Sitiawan</v>
      </c>
      <c r="AI1540" s="15" t="str">
        <f t="shared" si="19"/>
        <v>Electropolished Pipes Manufacturer &amp; Supplier in Sitiawan</v>
      </c>
      <c r="AJ1540" s="15" t="str">
        <f t="shared" si="20"/>
        <v>EP-finished SS 304/316L pipes and tubes for VERIFY plants in Sitiawan. ASME BPE SF1-SF4, Ra from 0.25 um, EN 10204 3.1 certificate with every lot.</v>
      </c>
      <c r="AK1540" s="15" t="str">
        <f t="shared" si="21"/>
        <v>Electropolished stainless steel pipes supplied by Sakshi Forge to VERIFY plants at VERIFY, Sitiawan</v>
      </c>
      <c r="AL1540" s="15" t="str">
        <f t="shared" si="22"/>
        <v>Electropolished SS 316L tube stock for Sitiawan - Sakshi Forge</v>
      </c>
      <c r="AM1540" s="15" t="str">
        <f t="shared" si="23"/>
        <v>Home &gt; Market Area &gt; Malaysia &gt; VERIFY &gt; Sitiawan</v>
      </c>
      <c r="AN1540" s="15">
        <f t="shared" si="24"/>
        <v>750</v>
      </c>
      <c r="AO1540" s="15">
        <f t="shared" si="25"/>
        <v>6</v>
      </c>
      <c r="AP1540" s="15">
        <f t="shared" si="26"/>
        <v>6</v>
      </c>
      <c r="AQ1540" s="15">
        <f t="shared" si="27"/>
        <v>26</v>
      </c>
      <c r="AR1540" s="31"/>
      <c r="AS1540" s="31"/>
      <c r="AT1540" s="35" t="s">
        <v>222</v>
      </c>
      <c r="AU1540" s="35"/>
    </row>
    <row r="1541" ht="15.75" customHeight="1">
      <c r="A1541" s="15" t="s">
        <v>7311</v>
      </c>
      <c r="B1541" s="15" t="s">
        <v>430</v>
      </c>
      <c r="C1541" s="15" t="s">
        <v>98</v>
      </c>
      <c r="D1541" s="15" t="s">
        <v>7312</v>
      </c>
      <c r="E1541" s="15" t="s">
        <v>7312</v>
      </c>
      <c r="F1541" s="58" t="s">
        <v>807</v>
      </c>
      <c r="G1541" s="66" t="s">
        <v>98</v>
      </c>
      <c r="H1541" s="18" t="s">
        <v>98</v>
      </c>
      <c r="I1541" s="18" t="s">
        <v>98</v>
      </c>
      <c r="J1541" s="18" t="s">
        <v>98</v>
      </c>
      <c r="K1541" s="18" t="s">
        <v>98</v>
      </c>
      <c r="L1541" s="18" t="s">
        <v>98</v>
      </c>
      <c r="M1541" s="18" t="s">
        <v>627</v>
      </c>
      <c r="N1541" s="18" t="s">
        <v>444</v>
      </c>
      <c r="O1541" s="18" t="s">
        <v>98</v>
      </c>
      <c r="P1541" s="15" t="str">
        <f t="shared" si="1"/>
        <v>VERIFY</v>
      </c>
      <c r="Q1541" s="15">
        <f t="shared" si="2"/>
        <v>2</v>
      </c>
      <c r="R1541" s="15">
        <f t="shared" si="3"/>
        <v>5</v>
      </c>
      <c r="S1541" s="15">
        <f t="shared" si="4"/>
        <v>3</v>
      </c>
      <c r="T1541" s="15" t="str">
        <f t="shared" si="5"/>
        <v>C-2</v>
      </c>
      <c r="U1541" s="15" t="str">
        <f t="shared" si="6"/>
        <v>T2-M5-H3-FC-2-VERIFY</v>
      </c>
      <c r="V1541" s="15">
        <f t="shared" si="7"/>
        <v>0</v>
      </c>
      <c r="W1541" s="31"/>
      <c r="X1541" s="15" t="str">
        <f t="shared" si="8"/>
        <v>sri-aman-malaysia</v>
      </c>
      <c r="Y1541" s="32" t="str">
        <f t="shared" si="9"/>
        <v>https://steelmanufacturer.in/market-area/electropolished-pipes-manufacturer-in-sri-aman-malaysia/</v>
      </c>
      <c r="Z1541" s="15" t="str">
        <f t="shared" si="10"/>
        <v>Electropolished Pipes Manufacturer in Sri Aman</v>
      </c>
      <c r="AA1541" s="15" t="str">
        <f t="shared" si="11"/>
        <v>OK (46)</v>
      </c>
      <c r="AB1541" s="15" t="str">
        <f t="shared" si="12"/>
        <v>Manufacturer of electropolished SS 316L tube serving Sri Aman. 8-12 days sea from Nhava Sheva to Port Klang. Ra 0.25-0.5 um, EN 10204 3.1 MTC.</v>
      </c>
      <c r="AC1541" s="15" t="str">
        <f t="shared" si="13"/>
        <v>PENDING RESEARCH</v>
      </c>
      <c r="AD1541" s="15" t="str">
        <f t="shared" si="14"/>
        <v>Electropolished Pipes Manufacturer in Sri Aman</v>
      </c>
      <c r="AE1541" s="15" t="str">
        <f t="shared" si="15"/>
        <v>Electropolished Pipes Manufacturer in Sri Aman - Our Process &amp; Capability</v>
      </c>
      <c r="AF1541" s="15" t="str">
        <f t="shared" si="16"/>
        <v>Electropolished Pipes Supplier in Sri Aman - What We Hold in Stock</v>
      </c>
      <c r="AG1541" s="15" t="str">
        <f t="shared" si="17"/>
        <v>Bulk &amp; Wholesale Electropolished Pipe Rates for Sri Aman Buyers</v>
      </c>
      <c r="AH1541" s="15" t="str">
        <f t="shared" si="18"/>
        <v>electropolished pipes manufacturer in Sri Aman, electropolished pipes supplier in Sri Aman, electropolished pipes wholesaler in Sri Aman, electropolished tube manufacturer Sri Aman, EP pipe supplier Sri Aman, sanitary tube supplier Sri Aman, ASME BPE tubing Sri Aman, ASTM A270 tube Sri Aman, SS 316L electropolished pipe Sri Aman</v>
      </c>
      <c r="AI1541" s="15" t="str">
        <f t="shared" si="19"/>
        <v>Electropolished Pipes Manufacturer &amp; Supplier in Sri Aman</v>
      </c>
      <c r="AJ1541" s="15" t="str">
        <f t="shared" si="20"/>
        <v>EP-finished SS 304/316L pipes and tubes for VERIFY plants in Sri Aman. ASME BPE SF1-SF4, Ra from 0.25 um, EN 10204 3.1 certificate with every lot.</v>
      </c>
      <c r="AK1541" s="15" t="str">
        <f t="shared" si="21"/>
        <v>Electropolished stainless steel pipes supplied by Sakshi Forge to VERIFY plants at VERIFY, Sri Aman</v>
      </c>
      <c r="AL1541" s="15" t="str">
        <f t="shared" si="22"/>
        <v>Electropolished SS 316L tube stock for Sri Aman - Sakshi Forge</v>
      </c>
      <c r="AM1541" s="15" t="str">
        <f t="shared" si="23"/>
        <v>Home &gt; Market Area &gt; Malaysia &gt; VERIFY &gt; Sri Aman</v>
      </c>
      <c r="AN1541" s="15">
        <f t="shared" si="24"/>
        <v>750</v>
      </c>
      <c r="AO1541" s="15">
        <f t="shared" si="25"/>
        <v>6</v>
      </c>
      <c r="AP1541" s="15">
        <f t="shared" si="26"/>
        <v>6</v>
      </c>
      <c r="AQ1541" s="15">
        <f t="shared" si="27"/>
        <v>26</v>
      </c>
      <c r="AR1541" s="31"/>
      <c r="AS1541" s="31"/>
      <c r="AT1541" s="35" t="s">
        <v>222</v>
      </c>
      <c r="AU1541" s="35"/>
    </row>
    <row r="1542" ht="15.75" customHeight="1">
      <c r="A1542" s="15" t="s">
        <v>7313</v>
      </c>
      <c r="B1542" s="15" t="s">
        <v>430</v>
      </c>
      <c r="C1542" s="15" t="s">
        <v>98</v>
      </c>
      <c r="D1542" s="15" t="s">
        <v>7314</v>
      </c>
      <c r="E1542" s="15" t="s">
        <v>7314</v>
      </c>
      <c r="F1542" s="58" t="s">
        <v>807</v>
      </c>
      <c r="G1542" s="66" t="s">
        <v>98</v>
      </c>
      <c r="H1542" s="18" t="s">
        <v>98</v>
      </c>
      <c r="I1542" s="18" t="s">
        <v>98</v>
      </c>
      <c r="J1542" s="18" t="s">
        <v>98</v>
      </c>
      <c r="K1542" s="18" t="s">
        <v>98</v>
      </c>
      <c r="L1542" s="18" t="s">
        <v>98</v>
      </c>
      <c r="M1542" s="18" t="s">
        <v>627</v>
      </c>
      <c r="N1542" s="18" t="s">
        <v>444</v>
      </c>
      <c r="O1542" s="18" t="s">
        <v>98</v>
      </c>
      <c r="P1542" s="15" t="str">
        <f t="shared" si="1"/>
        <v>VERIFY</v>
      </c>
      <c r="Q1542" s="15">
        <f t="shared" si="2"/>
        <v>3</v>
      </c>
      <c r="R1542" s="15">
        <f t="shared" si="3"/>
        <v>6</v>
      </c>
      <c r="S1542" s="15">
        <f t="shared" si="4"/>
        <v>4</v>
      </c>
      <c r="T1542" s="15" t="str">
        <f t="shared" si="5"/>
        <v>C-3</v>
      </c>
      <c r="U1542" s="15" t="str">
        <f t="shared" si="6"/>
        <v>T3-M6-H4-FC-3-VERIFY</v>
      </c>
      <c r="V1542" s="15">
        <f t="shared" si="7"/>
        <v>0</v>
      </c>
      <c r="W1542" s="31"/>
      <c r="X1542" s="15" t="str">
        <f t="shared" si="8"/>
        <v>taiping-malaysia</v>
      </c>
      <c r="Y1542" s="32" t="str">
        <f t="shared" si="9"/>
        <v>https://steelmanufacturer.in/market-area/electropolished-pipes-manufacturer-in-taiping-malaysia/</v>
      </c>
      <c r="Z1542" s="15" t="str">
        <f t="shared" si="10"/>
        <v>Electropolished Pipes Manufacturer in Taiping | EP Tube Supplier</v>
      </c>
      <c r="AA1542" s="15" t="str">
        <f t="shared" si="11"/>
        <v>OK (64)</v>
      </c>
      <c r="AB1542" s="15" t="str">
        <f t="shared" si="12"/>
        <v>EP tube and pipe for VERIFY plants around VERIFY, Taiping. Made at our Mumbai works to ASTM A270 and ASME BPE SF1-SF4, with 3.1 MTC.</v>
      </c>
      <c r="AC1542" s="15" t="str">
        <f t="shared" si="13"/>
        <v>PENDING RESEARCH</v>
      </c>
      <c r="AD1542" s="15" t="str">
        <f t="shared" si="14"/>
        <v>Electropolished Pipes Manufacturer in Taiping</v>
      </c>
      <c r="AE1542" s="15" t="str">
        <f t="shared" si="15"/>
        <v>Manufacturing Electropolished SS Tube for Taiping: The Standards We Build To</v>
      </c>
      <c r="AF1542" s="15" t="str">
        <f t="shared" si="16"/>
        <v>Electropolished Pipe Supply Into Taiping - Certification &amp; Transit</v>
      </c>
      <c r="AG1542" s="15" t="str">
        <f t="shared" si="17"/>
        <v>Electropolished Pipes Wholesaler in Taiping - Project Quantities &amp; Terms</v>
      </c>
      <c r="AH1542" s="15" t="str">
        <f t="shared" si="18"/>
        <v>electropolished pipes manufacturer in Taiping, electropolished pipes supplier in Taiping, electropolished pipes wholesaler in Taiping, electropolished tube manufacturer Taiping, EP pipe supplier Taiping, sanitary tube supplier Taiping, ASME BPE tubing Taiping, ASTM A270 tube Taiping, SS 316L electropolished pipe Taiping</v>
      </c>
      <c r="AI1542" s="15" t="str">
        <f t="shared" si="19"/>
        <v>Electropolished Pipes Manufacturer &amp; Supplier in Taiping</v>
      </c>
      <c r="AJ1542" s="15" t="str">
        <f t="shared" si="20"/>
        <v>EP-finished SS 304/316L pipes and tubes for VERIFY plants in Taiping. ASME BPE SF1-SF4, Ra from 0.25 um, EN 10204 3.1 certificate with every lot.</v>
      </c>
      <c r="AK1542" s="15" t="str">
        <f t="shared" si="21"/>
        <v>Electropolished stainless steel pipes supplied by Sakshi Forge to VERIFY plants at VERIFY, Taiping</v>
      </c>
      <c r="AL1542" s="15" t="str">
        <f t="shared" si="22"/>
        <v>Electropolished SS 316L tube stock for Taiping - Sakshi Forge</v>
      </c>
      <c r="AM1542" s="15" t="str">
        <f t="shared" si="23"/>
        <v>Home &gt; Market Area &gt; Malaysia &gt; VERIFY &gt; Taiping</v>
      </c>
      <c r="AN1542" s="15">
        <f t="shared" si="24"/>
        <v>750</v>
      </c>
      <c r="AO1542" s="15">
        <f t="shared" si="25"/>
        <v>6</v>
      </c>
      <c r="AP1542" s="15">
        <f t="shared" si="26"/>
        <v>6</v>
      </c>
      <c r="AQ1542" s="15">
        <f t="shared" si="27"/>
        <v>26</v>
      </c>
      <c r="AR1542" s="31"/>
      <c r="AS1542" s="31"/>
      <c r="AT1542" s="35" t="s">
        <v>222</v>
      </c>
      <c r="AU1542" s="35"/>
    </row>
    <row r="1543" ht="15.75" customHeight="1">
      <c r="A1543" s="15" t="s">
        <v>7315</v>
      </c>
      <c r="B1543" s="15" t="s">
        <v>430</v>
      </c>
      <c r="C1543" s="15" t="s">
        <v>98</v>
      </c>
      <c r="D1543" s="15" t="s">
        <v>7316</v>
      </c>
      <c r="E1543" s="15" t="s">
        <v>7316</v>
      </c>
      <c r="F1543" s="58" t="s">
        <v>807</v>
      </c>
      <c r="G1543" s="66" t="s">
        <v>98</v>
      </c>
      <c r="H1543" s="18" t="s">
        <v>98</v>
      </c>
      <c r="I1543" s="18" t="s">
        <v>98</v>
      </c>
      <c r="J1543" s="18" t="s">
        <v>98</v>
      </c>
      <c r="K1543" s="18" t="s">
        <v>98</v>
      </c>
      <c r="L1543" s="18" t="s">
        <v>98</v>
      </c>
      <c r="M1543" s="18" t="s">
        <v>627</v>
      </c>
      <c r="N1543" s="18" t="s">
        <v>444</v>
      </c>
      <c r="O1543" s="18" t="s">
        <v>98</v>
      </c>
      <c r="P1543" s="15" t="str">
        <f t="shared" si="1"/>
        <v>VERIFY</v>
      </c>
      <c r="Q1543" s="15">
        <f t="shared" si="2"/>
        <v>4</v>
      </c>
      <c r="R1543" s="15">
        <f t="shared" si="3"/>
        <v>7</v>
      </c>
      <c r="S1543" s="15">
        <f t="shared" si="4"/>
        <v>5</v>
      </c>
      <c r="T1543" s="15" t="str">
        <f t="shared" si="5"/>
        <v>C-4</v>
      </c>
      <c r="U1543" s="15" t="str">
        <f t="shared" si="6"/>
        <v>T4-M7-H5-FC-4-VERIFY</v>
      </c>
      <c r="V1543" s="15">
        <f t="shared" si="7"/>
        <v>0</v>
      </c>
      <c r="W1543" s="31"/>
      <c r="X1543" s="15" t="str">
        <f t="shared" si="8"/>
        <v>tawau-malaysia</v>
      </c>
      <c r="Y1543" s="32" t="str">
        <f t="shared" si="9"/>
        <v>https://steelmanufacturer.in/market-area/electropolished-pipes-manufacturer-in-tawau-malaysia/</v>
      </c>
      <c r="Z1543" s="15" t="str">
        <f t="shared" si="10"/>
        <v>Electropolished Pipes Manufacturer in Tawau - SS 304/316L EP Tube</v>
      </c>
      <c r="AA1543" s="15" t="str">
        <f t="shared" si="11"/>
        <v>OK (65)</v>
      </c>
      <c r="AB1543" s="15" t="str">
        <f t="shared" si="12"/>
        <v>Electropolished pipes in Tawau: 304, 304L, 316 and 316L in SF1-SF4. 8-12 days sea from Nhava Sheva to Port Klang. Mill certified.</v>
      </c>
      <c r="AC1543" s="15" t="str">
        <f t="shared" si="13"/>
        <v>PENDING RESEARCH</v>
      </c>
      <c r="AD1543" s="15" t="str">
        <f t="shared" si="14"/>
        <v>Electropolished Pipes Manufacturer in Tawau</v>
      </c>
      <c r="AE1543" s="15" t="str">
        <f t="shared" si="15"/>
        <v>Electropolished Tube Manufacturing Capability Serving Tawau</v>
      </c>
      <c r="AF1543" s="15" t="str">
        <f t="shared" si="16"/>
        <v>Electropolished Pipes Supplier in Tawau - From Order to Delivery</v>
      </c>
      <c r="AG1543" s="15" t="str">
        <f t="shared" si="17"/>
        <v>Stockist &amp; Wholesale Supply of Electropolished Pipes in Tawau</v>
      </c>
      <c r="AH1543" s="15" t="str">
        <f t="shared" si="18"/>
        <v>electropolished pipes manufacturer in Tawau, electropolished pipes supplier in Tawau, electropolished pipes wholesaler in Tawau, electropolished tube manufacturer Tawau, EP pipe supplier Tawau, sanitary tube supplier Tawau, ASME BPE tubing Tawau, ASTM A270 tube Tawau, SS 316L electropolished pipe Tawau</v>
      </c>
      <c r="AI1543" s="15" t="str">
        <f t="shared" si="19"/>
        <v>Electropolished Pipes Manufacturer &amp; Supplier in Tawau</v>
      </c>
      <c r="AJ1543" s="15" t="str">
        <f t="shared" si="20"/>
        <v>EP-finished SS 304/316L pipes and tubes for VERIFY plants in Tawau. ASME BPE SF1-SF4, Ra from 0.25 um, EN 10204 3.1 certificate with every lot.</v>
      </c>
      <c r="AK1543" s="15" t="str">
        <f t="shared" si="21"/>
        <v>Electropolished stainless steel pipes supplied by Sakshi Forge to VERIFY plants at VERIFY, Tawau</v>
      </c>
      <c r="AL1543" s="15" t="str">
        <f t="shared" si="22"/>
        <v>Electropolished SS 316L tube stock for Tawau - Sakshi Forge</v>
      </c>
      <c r="AM1543" s="15" t="str">
        <f t="shared" si="23"/>
        <v>Home &gt; Market Area &gt; Malaysia &gt; VERIFY &gt; Tawau</v>
      </c>
      <c r="AN1543" s="15">
        <f t="shared" si="24"/>
        <v>750</v>
      </c>
      <c r="AO1543" s="15">
        <f t="shared" si="25"/>
        <v>6</v>
      </c>
      <c r="AP1543" s="15">
        <f t="shared" si="26"/>
        <v>6</v>
      </c>
      <c r="AQ1543" s="15">
        <f t="shared" si="27"/>
        <v>26</v>
      </c>
      <c r="AR1543" s="31"/>
      <c r="AS1543" s="31"/>
      <c r="AT1543" s="35" t="s">
        <v>222</v>
      </c>
      <c r="AU1543" s="35"/>
    </row>
    <row r="1544" ht="15.75" customHeight="1">
      <c r="A1544" s="15" t="s">
        <v>7317</v>
      </c>
      <c r="B1544" s="15" t="s">
        <v>430</v>
      </c>
      <c r="C1544" s="15" t="s">
        <v>98</v>
      </c>
      <c r="D1544" s="15" t="s">
        <v>7318</v>
      </c>
      <c r="E1544" s="15" t="s">
        <v>7318</v>
      </c>
      <c r="F1544" s="58" t="s">
        <v>807</v>
      </c>
      <c r="G1544" s="66" t="s">
        <v>98</v>
      </c>
      <c r="H1544" s="18" t="s">
        <v>98</v>
      </c>
      <c r="I1544" s="18" t="s">
        <v>98</v>
      </c>
      <c r="J1544" s="18" t="s">
        <v>98</v>
      </c>
      <c r="K1544" s="18" t="s">
        <v>98</v>
      </c>
      <c r="L1544" s="18" t="s">
        <v>98</v>
      </c>
      <c r="M1544" s="18" t="s">
        <v>627</v>
      </c>
      <c r="N1544" s="18" t="s">
        <v>444</v>
      </c>
      <c r="O1544" s="18" t="s">
        <v>98</v>
      </c>
      <c r="P1544" s="15" t="str">
        <f t="shared" si="1"/>
        <v>VERIFY</v>
      </c>
      <c r="Q1544" s="15">
        <f t="shared" si="2"/>
        <v>5</v>
      </c>
      <c r="R1544" s="15">
        <f t="shared" si="3"/>
        <v>1</v>
      </c>
      <c r="S1544" s="15">
        <f t="shared" si="4"/>
        <v>1</v>
      </c>
      <c r="T1544" s="15" t="str">
        <f t="shared" si="5"/>
        <v>C-5</v>
      </c>
      <c r="U1544" s="15" t="str">
        <f t="shared" si="6"/>
        <v>T5-M1-H1-FC-5-VERIFY</v>
      </c>
      <c r="V1544" s="15">
        <f t="shared" si="7"/>
        <v>0</v>
      </c>
      <c r="W1544" s="31"/>
      <c r="X1544" s="15" t="str">
        <f t="shared" si="8"/>
        <v>teluk-intan-malaysia</v>
      </c>
      <c r="Y1544" s="32" t="str">
        <f t="shared" si="9"/>
        <v>https://steelmanufacturer.in/market-area/electropolished-pipes-manufacturer-in-teluk-intan-malaysia/</v>
      </c>
      <c r="Z1544" s="15" t="str">
        <f t="shared" si="10"/>
        <v>Electropolished Pipes Manufacturer in Teluk Intan</v>
      </c>
      <c r="AA1544" s="15" t="str">
        <f t="shared" si="11"/>
        <v>OK (49)</v>
      </c>
      <c r="AB1544" s="15" t="str">
        <f t="shared" si="12"/>
        <v>EP-finished SS 304/316L pipes &amp; tubes for VERIFY plants in Teluk Intan. ASTM A270, ASME BPE SF1-SF4, EN 10204 3.1 MTC. PMI tested.</v>
      </c>
      <c r="AC1544" s="15" t="str">
        <f t="shared" si="13"/>
        <v>PENDING RESEARCH</v>
      </c>
      <c r="AD1544" s="15" t="str">
        <f t="shared" si="14"/>
        <v>Electropolished Pipes Manufacturer in Teluk Intan</v>
      </c>
      <c r="AE1544" s="15" t="str">
        <f t="shared" si="15"/>
        <v>Electropolished Pipe &amp; Tube Manufacturing for Teluk Intan - Grades, Finishes &amp; Certification</v>
      </c>
      <c r="AF1544" s="15" t="str">
        <f t="shared" si="16"/>
        <v>Electropolished Pipes Supplier in Teluk Intan - Stock Sizes, Lead Time &amp; Delivery</v>
      </c>
      <c r="AG1544" s="15" t="str">
        <f t="shared" si="17"/>
        <v>Electropolished Pipes Wholesaler &amp; Stockist in Teluk Intan - Bulk &amp; Project Pricing</v>
      </c>
      <c r="AH1544" s="15" t="str">
        <f t="shared" si="18"/>
        <v>electropolished pipes manufacturer in Teluk Intan, electropolished pipes supplier in Teluk Intan, electropolished pipes wholesaler in Teluk Intan, electropolished tube manufacturer Teluk Intan, EP pipe supplier Teluk Intan, sanitary tube supplier Teluk Intan, ASME BPE tubing Teluk Intan, ASTM A270 tube Teluk Intan, SS 316L electropolished pipe Teluk Intan</v>
      </c>
      <c r="AI1544" s="15" t="str">
        <f t="shared" si="19"/>
        <v>Electropolished Pipes Manufacturer &amp; Supplier in Teluk Intan</v>
      </c>
      <c r="AJ1544" s="15" t="str">
        <f t="shared" si="20"/>
        <v>EP-finished SS 304/316L pipes and tubes for VERIFY plants in Teluk Intan. ASME BPE SF1-SF4, Ra from 0.25 um, EN 10204 3.1 certificate with every lot.</v>
      </c>
      <c r="AK1544" s="15" t="str">
        <f t="shared" si="21"/>
        <v>Electropolished stainless steel pipes supplied by Sakshi Forge to VERIFY plants at VERIFY, Teluk Intan</v>
      </c>
      <c r="AL1544" s="15" t="str">
        <f t="shared" si="22"/>
        <v>Electropolished SS 316L tube stock for Teluk Intan - Sakshi Forge</v>
      </c>
      <c r="AM1544" s="15" t="str">
        <f t="shared" si="23"/>
        <v>Home &gt; Market Area &gt; Malaysia &gt; VERIFY &gt; Teluk Intan</v>
      </c>
      <c r="AN1544" s="15">
        <f t="shared" si="24"/>
        <v>750</v>
      </c>
      <c r="AO1544" s="15">
        <f t="shared" si="25"/>
        <v>6</v>
      </c>
      <c r="AP1544" s="15">
        <f t="shared" si="26"/>
        <v>6</v>
      </c>
      <c r="AQ1544" s="15">
        <f t="shared" si="27"/>
        <v>26</v>
      </c>
      <c r="AR1544" s="31"/>
      <c r="AS1544" s="31"/>
      <c r="AT1544" s="35" t="s">
        <v>222</v>
      </c>
      <c r="AU1544" s="35"/>
    </row>
    <row r="1545" ht="15.75" customHeight="1">
      <c r="A1545" s="15" t="s">
        <v>7319</v>
      </c>
      <c r="B1545" s="15" t="s">
        <v>430</v>
      </c>
      <c r="C1545" s="15" t="s">
        <v>98</v>
      </c>
      <c r="D1545" s="15" t="s">
        <v>7320</v>
      </c>
      <c r="E1545" s="15" t="s">
        <v>7320</v>
      </c>
      <c r="F1545" s="58" t="s">
        <v>807</v>
      </c>
      <c r="G1545" s="66" t="s">
        <v>98</v>
      </c>
      <c r="H1545" s="18" t="s">
        <v>98</v>
      </c>
      <c r="I1545" s="18" t="s">
        <v>98</v>
      </c>
      <c r="J1545" s="18" t="s">
        <v>98</v>
      </c>
      <c r="K1545" s="18" t="s">
        <v>98</v>
      </c>
      <c r="L1545" s="18" t="s">
        <v>98</v>
      </c>
      <c r="M1545" s="18" t="s">
        <v>627</v>
      </c>
      <c r="N1545" s="18" t="s">
        <v>444</v>
      </c>
      <c r="O1545" s="18" t="s">
        <v>98</v>
      </c>
      <c r="P1545" s="15" t="str">
        <f t="shared" si="1"/>
        <v>VERIFY</v>
      </c>
      <c r="Q1545" s="15">
        <f t="shared" si="2"/>
        <v>6</v>
      </c>
      <c r="R1545" s="15">
        <f t="shared" si="3"/>
        <v>2</v>
      </c>
      <c r="S1545" s="15">
        <f t="shared" si="4"/>
        <v>2</v>
      </c>
      <c r="T1545" s="15" t="str">
        <f t="shared" si="5"/>
        <v>C-6</v>
      </c>
      <c r="U1545" s="15" t="str">
        <f t="shared" si="6"/>
        <v>T6-M2-H2-FC-6-VERIFY</v>
      </c>
      <c r="V1545" s="15">
        <f t="shared" si="7"/>
        <v>0</v>
      </c>
      <c r="W1545" s="31"/>
      <c r="X1545" s="15" t="str">
        <f t="shared" si="8"/>
        <v>temerloh-malaysia</v>
      </c>
      <c r="Y1545" s="32" t="str">
        <f t="shared" si="9"/>
        <v>https://steelmanufacturer.in/market-area/electropolished-pipes-manufacturer-in-temerloh-malaysia/</v>
      </c>
      <c r="Z1545" s="15" t="str">
        <f t="shared" si="10"/>
        <v>Electropolished Pipes Manufacturer in Temerloh</v>
      </c>
      <c r="AA1545" s="15" t="str">
        <f t="shared" si="11"/>
        <v>OK (46)</v>
      </c>
      <c r="AB1545" s="15" t="str">
        <f t="shared" si="12"/>
        <v>Electropolished tube supply to VERIFY, Temerloh. Ra from 0.25 um, SF4 finish, mill test certificate with every lot.</v>
      </c>
      <c r="AC1545" s="15" t="str">
        <f t="shared" si="13"/>
        <v>PENDING RESEARCH</v>
      </c>
      <c r="AD1545" s="15" t="str">
        <f t="shared" si="14"/>
        <v>Electropolished Pipes Manufacturer in Temerloh</v>
      </c>
      <c r="AE1545" s="15" t="str">
        <f t="shared" si="15"/>
        <v>How We Manufacture Electropolished Tube for Temerloh Plants</v>
      </c>
      <c r="AF1545" s="15" t="str">
        <f t="shared" si="16"/>
        <v>Supplying Electropolished Pipes in Temerloh: Availability, Sizes &amp; Dispatch</v>
      </c>
      <c r="AG1545" s="15" t="str">
        <f t="shared" si="17"/>
        <v>Wholesale Electropolished Pipe Supply for Temerloh Projects</v>
      </c>
      <c r="AH1545" s="15" t="str">
        <f t="shared" si="18"/>
        <v>electropolished pipes manufacturer in Temerloh, electropolished pipes supplier in Temerloh, electropolished pipes wholesaler in Temerloh, electropolished tube manufacturer Temerloh, EP pipe supplier Temerloh, sanitary tube supplier Temerloh, ASME BPE tubing Temerloh, ASTM A270 tube Temerloh, SS 316L electropolished pipe Temerloh</v>
      </c>
      <c r="AI1545" s="15" t="str">
        <f t="shared" si="19"/>
        <v>Electropolished Pipes Manufacturer &amp; Supplier in Temerloh</v>
      </c>
      <c r="AJ1545" s="15" t="str">
        <f t="shared" si="20"/>
        <v>EP-finished SS 304/316L pipes and tubes for VERIFY plants in Temerloh. ASME BPE SF1-SF4, Ra from 0.25 um, EN 10204 3.1 certificate with every lot.</v>
      </c>
      <c r="AK1545" s="15" t="str">
        <f t="shared" si="21"/>
        <v>Electropolished stainless steel pipes supplied by Sakshi Forge to VERIFY plants at VERIFY, Temerloh</v>
      </c>
      <c r="AL1545" s="15" t="str">
        <f t="shared" si="22"/>
        <v>Electropolished SS 316L tube stock for Temerloh - Sakshi Forge</v>
      </c>
      <c r="AM1545" s="15" t="str">
        <f t="shared" si="23"/>
        <v>Home &gt; Market Area &gt; Malaysia &gt; VERIFY &gt; Temerloh</v>
      </c>
      <c r="AN1545" s="15">
        <f t="shared" si="24"/>
        <v>750</v>
      </c>
      <c r="AO1545" s="15">
        <f t="shared" si="25"/>
        <v>6</v>
      </c>
      <c r="AP1545" s="15">
        <f t="shared" si="26"/>
        <v>6</v>
      </c>
      <c r="AQ1545" s="15">
        <f t="shared" si="27"/>
        <v>26</v>
      </c>
      <c r="AR1545" s="31"/>
      <c r="AS1545" s="31"/>
      <c r="AT1545" s="35" t="s">
        <v>222</v>
      </c>
      <c r="AU1545" s="35"/>
    </row>
    <row r="1546" ht="15.75" customHeight="1">
      <c r="A1546" s="15" t="s">
        <v>7321</v>
      </c>
      <c r="B1546" s="15" t="s">
        <v>255</v>
      </c>
      <c r="C1546" s="15" t="s">
        <v>98</v>
      </c>
      <c r="D1546" s="15" t="s">
        <v>7322</v>
      </c>
      <c r="E1546" s="15" t="s">
        <v>7322</v>
      </c>
      <c r="F1546" s="58" t="s">
        <v>807</v>
      </c>
      <c r="G1546" s="66" t="s">
        <v>98</v>
      </c>
      <c r="H1546" s="18" t="s">
        <v>98</v>
      </c>
      <c r="I1546" s="18" t="s">
        <v>98</v>
      </c>
      <c r="J1546" s="18" t="s">
        <v>98</v>
      </c>
      <c r="K1546" s="18" t="s">
        <v>98</v>
      </c>
      <c r="L1546" s="18" t="s">
        <v>98</v>
      </c>
      <c r="M1546" s="18" t="s">
        <v>561</v>
      </c>
      <c r="N1546" s="18" t="s">
        <v>297</v>
      </c>
      <c r="O1546" s="18" t="s">
        <v>98</v>
      </c>
      <c r="P1546" s="15" t="str">
        <f t="shared" si="1"/>
        <v>VERIFY</v>
      </c>
      <c r="Q1546" s="15">
        <f t="shared" si="2"/>
        <v>7</v>
      </c>
      <c r="R1546" s="15">
        <f t="shared" si="3"/>
        <v>3</v>
      </c>
      <c r="S1546" s="15">
        <f t="shared" si="4"/>
        <v>3</v>
      </c>
      <c r="T1546" s="15" t="str">
        <f t="shared" si="5"/>
        <v>C-1</v>
      </c>
      <c r="U1546" s="15" t="str">
        <f t="shared" si="6"/>
        <v>T7-M3-H3-FC-1-VERIFY</v>
      </c>
      <c r="V1546" s="15">
        <f t="shared" si="7"/>
        <v>0</v>
      </c>
      <c r="W1546" s="31"/>
      <c r="X1546" s="15" t="str">
        <f t="shared" si="8"/>
        <v>alkmaar-netherlands</v>
      </c>
      <c r="Y1546" s="32" t="str">
        <f t="shared" si="9"/>
        <v>https://steelmanufacturer.in/market-area/electropolished-pipes-manufacturer-in-alkmaar-netherlands/</v>
      </c>
      <c r="Z1546" s="15" t="str">
        <f t="shared" si="10"/>
        <v>Electropolished Pipes Manufacturer in Alkmaar | ASME BPE SF1-SF4</v>
      </c>
      <c r="AA1546" s="15" t="str">
        <f t="shared" si="11"/>
        <v>OK (64)</v>
      </c>
      <c r="AB1546" s="15" t="str">
        <f t="shared" si="12"/>
        <v>EP stainless tube for VERIFY lines in Alkmaar. 23-29 days sea from Nhava Sheva to Rotterdam. ASTM A270 S2, PMI tested, EN 10204 3.1.</v>
      </c>
      <c r="AC1546" s="15" t="str">
        <f t="shared" si="13"/>
        <v>PENDING RESEARCH</v>
      </c>
      <c r="AD1546" s="15" t="str">
        <f t="shared" si="14"/>
        <v>Electropolished Pipes Manufacturer in Alkmaar</v>
      </c>
      <c r="AE1546" s="15" t="str">
        <f t="shared" si="15"/>
        <v>Electropolished Pipes Manufacturer in Alkmaar - Our Process &amp; Capability</v>
      </c>
      <c r="AF1546" s="15" t="str">
        <f t="shared" si="16"/>
        <v>Electropolished Pipes Supplier in Alkmaar - What We Hold in Stock</v>
      </c>
      <c r="AG1546" s="15" t="str">
        <f t="shared" si="17"/>
        <v>Bulk &amp; Wholesale Electropolished Pipe Rates for Alkmaar Buyers</v>
      </c>
      <c r="AH1546" s="15" t="str">
        <f t="shared" si="18"/>
        <v>electropolished pipes manufacturer in Alkmaar, electropolished pipes supplier in Alkmaar, electropolished pipes wholesaler in Alkmaar, electropolished tube manufacturer Alkmaar, EP pipe supplier Alkmaar, sanitary tube supplier Alkmaar, ASME BPE tubing Alkmaar, ASTM A270 tube Alkmaar, SS 316L electropolished pipe Alkmaar</v>
      </c>
      <c r="AI1546" s="15" t="str">
        <f t="shared" si="19"/>
        <v>Electropolished Pipes Manufacturer &amp; Supplier in Alkmaar</v>
      </c>
      <c r="AJ1546" s="15" t="str">
        <f t="shared" si="20"/>
        <v>EP-finished SS 304/316L pipes and tubes for VERIFY plants in Alkmaar. ASME BPE SF1-SF4, Ra from 0.25 um, EN 10204 3.1 certificate with every lot.</v>
      </c>
      <c r="AK1546" s="15" t="str">
        <f t="shared" si="21"/>
        <v>Electropolished stainless steel pipes supplied by Sakshi Forge to VERIFY plants at VERIFY, Alkmaar</v>
      </c>
      <c r="AL1546" s="15" t="str">
        <f t="shared" si="22"/>
        <v>Electropolished SS 316L tube stock for Alkmaar - Sakshi Forge</v>
      </c>
      <c r="AM1546" s="15" t="str">
        <f t="shared" si="23"/>
        <v>Home &gt; Market Area &gt; Netherlands &gt; VERIFY &gt; Alkmaar</v>
      </c>
      <c r="AN1546" s="15">
        <f t="shared" si="24"/>
        <v>750</v>
      </c>
      <c r="AO1546" s="15">
        <f t="shared" si="25"/>
        <v>6</v>
      </c>
      <c r="AP1546" s="15">
        <f t="shared" si="26"/>
        <v>6</v>
      </c>
      <c r="AQ1546" s="15">
        <f t="shared" si="27"/>
        <v>26</v>
      </c>
      <c r="AR1546" s="31"/>
      <c r="AS1546" s="31"/>
      <c r="AT1546" s="35" t="s">
        <v>222</v>
      </c>
      <c r="AU1546" s="35"/>
    </row>
    <row r="1547" ht="15.75" customHeight="1">
      <c r="A1547" s="15" t="s">
        <v>7323</v>
      </c>
      <c r="B1547" s="15" t="s">
        <v>255</v>
      </c>
      <c r="C1547" s="15" t="s">
        <v>98</v>
      </c>
      <c r="D1547" s="15" t="s">
        <v>7325</v>
      </c>
      <c r="E1547" s="15" t="s">
        <v>7325</v>
      </c>
      <c r="F1547" s="58" t="s">
        <v>807</v>
      </c>
      <c r="G1547" s="66" t="s">
        <v>98</v>
      </c>
      <c r="H1547" s="18" t="s">
        <v>98</v>
      </c>
      <c r="I1547" s="18" t="s">
        <v>98</v>
      </c>
      <c r="J1547" s="18" t="s">
        <v>98</v>
      </c>
      <c r="K1547" s="18" t="s">
        <v>98</v>
      </c>
      <c r="L1547" s="18" t="s">
        <v>98</v>
      </c>
      <c r="M1547" s="18" t="s">
        <v>561</v>
      </c>
      <c r="N1547" s="18" t="s">
        <v>297</v>
      </c>
      <c r="O1547" s="18" t="s">
        <v>98</v>
      </c>
      <c r="P1547" s="15" t="str">
        <f t="shared" si="1"/>
        <v>VERIFY</v>
      </c>
      <c r="Q1547" s="15">
        <f t="shared" si="2"/>
        <v>8</v>
      </c>
      <c r="R1547" s="15">
        <f t="shared" si="3"/>
        <v>4</v>
      </c>
      <c r="S1547" s="15">
        <f t="shared" si="4"/>
        <v>4</v>
      </c>
      <c r="T1547" s="15" t="str">
        <f t="shared" si="5"/>
        <v>C-2</v>
      </c>
      <c r="U1547" s="15" t="str">
        <f t="shared" si="6"/>
        <v>T8-M4-H4-FC-2-VERIFY</v>
      </c>
      <c r="V1547" s="15">
        <f t="shared" si="7"/>
        <v>0</v>
      </c>
      <c r="W1547" s="31"/>
      <c r="X1547" s="15" t="str">
        <f t="shared" si="8"/>
        <v>almere-netherlands</v>
      </c>
      <c r="Y1547" s="32" t="str">
        <f t="shared" si="9"/>
        <v>https://steelmanufacturer.in/market-area/electropolished-pipes-manufacturer-in-almere-netherlands/</v>
      </c>
      <c r="Z1547" s="15" t="str">
        <f t="shared" si="10"/>
        <v>Electropolished Pipes Manufacturer in Almere - EP Tube Stockist</v>
      </c>
      <c r="AA1547" s="15" t="str">
        <f t="shared" si="11"/>
        <v>OK (63)</v>
      </c>
      <c r="AB1547" s="15" t="str">
        <f t="shared" si="12"/>
        <v>Sanitary electropolished pipes in Almere for VERIFY plants. ASME BPE SF1-SF4, orbital-weld ready, 3.1 MTC. Mumbai-made.</v>
      </c>
      <c r="AC1547" s="15" t="str">
        <f t="shared" si="13"/>
        <v>PENDING RESEARCH</v>
      </c>
      <c r="AD1547" s="15" t="str">
        <f t="shared" si="14"/>
        <v>Electropolished Pipes Manufacturer in Almere</v>
      </c>
      <c r="AE1547" s="15" t="str">
        <f t="shared" si="15"/>
        <v>Manufacturing Electropolished SS Tube for Almere: The Standards We Build To</v>
      </c>
      <c r="AF1547" s="15" t="str">
        <f t="shared" si="16"/>
        <v>Electropolished Pipe Supply Into Almere - Certification &amp; Transit</v>
      </c>
      <c r="AG1547" s="15" t="str">
        <f t="shared" si="17"/>
        <v>Electropolished Pipes Wholesaler in Almere - Project Quantities &amp; Terms</v>
      </c>
      <c r="AH1547" s="15" t="str">
        <f t="shared" si="18"/>
        <v>electropolished pipes manufacturer in Almere, electropolished pipes supplier in Almere, electropolished pipes wholesaler in Almere, electropolished tube manufacturer Almere, EP pipe supplier Almere, sanitary tube supplier Almere, ASME BPE tubing Almere, ASTM A270 tube Almere, SS 316L electropolished pipe Almere</v>
      </c>
      <c r="AI1547" s="15" t="str">
        <f t="shared" si="19"/>
        <v>Electropolished Pipes Manufacturer &amp; Supplier in Almere</v>
      </c>
      <c r="AJ1547" s="15" t="str">
        <f t="shared" si="20"/>
        <v>EP-finished SS 304/316L pipes and tubes for VERIFY plants in Almere. ASME BPE SF1-SF4, Ra from 0.25 um, EN 10204 3.1 certificate with every lot.</v>
      </c>
      <c r="AK1547" s="15" t="str">
        <f t="shared" si="21"/>
        <v>Electropolished stainless steel pipes supplied by Sakshi Forge to VERIFY plants at VERIFY, Almere</v>
      </c>
      <c r="AL1547" s="15" t="str">
        <f t="shared" si="22"/>
        <v>Electropolished SS 316L tube stock for Almere - Sakshi Forge</v>
      </c>
      <c r="AM1547" s="15" t="str">
        <f t="shared" si="23"/>
        <v>Home &gt; Market Area &gt; Netherlands &gt; VERIFY &gt; Almere</v>
      </c>
      <c r="AN1547" s="15">
        <f t="shared" si="24"/>
        <v>750</v>
      </c>
      <c r="AO1547" s="15">
        <f t="shared" si="25"/>
        <v>6</v>
      </c>
      <c r="AP1547" s="15">
        <f t="shared" si="26"/>
        <v>6</v>
      </c>
      <c r="AQ1547" s="15">
        <f t="shared" si="27"/>
        <v>26</v>
      </c>
      <c r="AR1547" s="31"/>
      <c r="AS1547" s="31"/>
      <c r="AT1547" s="35" t="s">
        <v>222</v>
      </c>
      <c r="AU1547" s="35"/>
    </row>
    <row r="1548" ht="15.75" customHeight="1">
      <c r="A1548" s="15" t="s">
        <v>7330</v>
      </c>
      <c r="B1548" s="15" t="s">
        <v>255</v>
      </c>
      <c r="C1548" s="15" t="s">
        <v>98</v>
      </c>
      <c r="D1548" s="15" t="s">
        <v>7331</v>
      </c>
      <c r="E1548" s="15" t="s">
        <v>7331</v>
      </c>
      <c r="F1548" s="58" t="s">
        <v>807</v>
      </c>
      <c r="G1548" s="66" t="s">
        <v>98</v>
      </c>
      <c r="H1548" s="18" t="s">
        <v>98</v>
      </c>
      <c r="I1548" s="18" t="s">
        <v>98</v>
      </c>
      <c r="J1548" s="18" t="s">
        <v>98</v>
      </c>
      <c r="K1548" s="18" t="s">
        <v>98</v>
      </c>
      <c r="L1548" s="18" t="s">
        <v>98</v>
      </c>
      <c r="M1548" s="18" t="s">
        <v>561</v>
      </c>
      <c r="N1548" s="18" t="s">
        <v>297</v>
      </c>
      <c r="O1548" s="18" t="s">
        <v>98</v>
      </c>
      <c r="P1548" s="15" t="str">
        <f t="shared" si="1"/>
        <v>VERIFY</v>
      </c>
      <c r="Q1548" s="15">
        <f t="shared" si="2"/>
        <v>1</v>
      </c>
      <c r="R1548" s="15">
        <f t="shared" si="3"/>
        <v>5</v>
      </c>
      <c r="S1548" s="15">
        <f t="shared" si="4"/>
        <v>5</v>
      </c>
      <c r="T1548" s="15" t="str">
        <f t="shared" si="5"/>
        <v>C-3</v>
      </c>
      <c r="U1548" s="15" t="str">
        <f t="shared" si="6"/>
        <v>T1-M5-H5-FC-3-VERIFY</v>
      </c>
      <c r="V1548" s="15">
        <f t="shared" si="7"/>
        <v>0</v>
      </c>
      <c r="W1548" s="31"/>
      <c r="X1548" s="15" t="str">
        <f t="shared" si="8"/>
        <v>alphen-netherlands</v>
      </c>
      <c r="Y1548" s="32" t="str">
        <f t="shared" si="9"/>
        <v>https://steelmanufacturer.in/market-area/electropolished-pipes-manufacturer-in-alphen-netherlands/</v>
      </c>
      <c r="Z1548" s="15" t="str">
        <f t="shared" si="10"/>
        <v>Electropolished Pipes Manufacturer in Alphen | Sakshi Forge</v>
      </c>
      <c r="AA1548" s="15" t="str">
        <f t="shared" si="11"/>
        <v>OK (59)</v>
      </c>
      <c r="AB1548" s="15" t="str">
        <f t="shared" si="12"/>
        <v>Manufacturer of electropolished SS 316L tube serving Alphen. 23-29 days sea from Nhava Sheva to Rotterdam. Ra 0.25-0.5 um, EN 10204 3.1 MTC.</v>
      </c>
      <c r="AC1548" s="15" t="str">
        <f t="shared" si="13"/>
        <v>PENDING RESEARCH</v>
      </c>
      <c r="AD1548" s="15" t="str">
        <f t="shared" si="14"/>
        <v>Electropolished Pipes Manufacturer in Alphen</v>
      </c>
      <c r="AE1548" s="15" t="str">
        <f t="shared" si="15"/>
        <v>Electropolished Tube Manufacturing Capability Serving Alphen</v>
      </c>
      <c r="AF1548" s="15" t="str">
        <f t="shared" si="16"/>
        <v>Electropolished Pipes Supplier in Alphen - From Order to Delivery</v>
      </c>
      <c r="AG1548" s="15" t="str">
        <f t="shared" si="17"/>
        <v>Stockist &amp; Wholesale Supply of Electropolished Pipes in Alphen</v>
      </c>
      <c r="AH1548" s="15" t="str">
        <f t="shared" si="18"/>
        <v>electropolished pipes manufacturer in Alphen, electropolished pipes supplier in Alphen, electropolished pipes wholesaler in Alphen, electropolished tube manufacturer Alphen, EP pipe supplier Alphen, sanitary tube supplier Alphen, ASME BPE tubing Alphen, ASTM A270 tube Alphen, SS 316L electropolished pipe Alphen</v>
      </c>
      <c r="AI1548" s="15" t="str">
        <f t="shared" si="19"/>
        <v>Electropolished Pipes Manufacturer &amp; Supplier in Alphen</v>
      </c>
      <c r="AJ1548" s="15" t="str">
        <f t="shared" si="20"/>
        <v>EP-finished SS 304/316L pipes and tubes for VERIFY plants in Alphen. ASME BPE SF1-SF4, Ra from 0.25 um, EN 10204 3.1 certificate with every lot.</v>
      </c>
      <c r="AK1548" s="15" t="str">
        <f t="shared" si="21"/>
        <v>Electropolished stainless steel pipes supplied by Sakshi Forge to VERIFY plants at VERIFY, Alphen</v>
      </c>
      <c r="AL1548" s="15" t="str">
        <f t="shared" si="22"/>
        <v>Electropolished SS 316L tube stock for Alphen - Sakshi Forge</v>
      </c>
      <c r="AM1548" s="15" t="str">
        <f t="shared" si="23"/>
        <v>Home &gt; Market Area &gt; Netherlands &gt; VERIFY &gt; Alphen</v>
      </c>
      <c r="AN1548" s="15">
        <f t="shared" si="24"/>
        <v>750</v>
      </c>
      <c r="AO1548" s="15">
        <f t="shared" si="25"/>
        <v>6</v>
      </c>
      <c r="AP1548" s="15">
        <f t="shared" si="26"/>
        <v>6</v>
      </c>
      <c r="AQ1548" s="15">
        <f t="shared" si="27"/>
        <v>26</v>
      </c>
      <c r="AR1548" s="31"/>
      <c r="AS1548" s="31"/>
      <c r="AT1548" s="35" t="s">
        <v>222</v>
      </c>
      <c r="AU1548" s="35"/>
    </row>
    <row r="1549" ht="15.75" customHeight="1">
      <c r="A1549" s="15" t="s">
        <v>7332</v>
      </c>
      <c r="B1549" s="15" t="s">
        <v>255</v>
      </c>
      <c r="C1549" s="15" t="s">
        <v>98</v>
      </c>
      <c r="D1549" s="15" t="s">
        <v>7333</v>
      </c>
      <c r="E1549" s="15" t="s">
        <v>7333</v>
      </c>
      <c r="F1549" s="58" t="s">
        <v>807</v>
      </c>
      <c r="G1549" s="66" t="s">
        <v>98</v>
      </c>
      <c r="H1549" s="18" t="s">
        <v>98</v>
      </c>
      <c r="I1549" s="18" t="s">
        <v>98</v>
      </c>
      <c r="J1549" s="18" t="s">
        <v>98</v>
      </c>
      <c r="K1549" s="18" t="s">
        <v>98</v>
      </c>
      <c r="L1549" s="18" t="s">
        <v>98</v>
      </c>
      <c r="M1549" s="18" t="s">
        <v>561</v>
      </c>
      <c r="N1549" s="18" t="s">
        <v>297</v>
      </c>
      <c r="O1549" s="18" t="s">
        <v>98</v>
      </c>
      <c r="P1549" s="15" t="str">
        <f t="shared" si="1"/>
        <v>VERIFY</v>
      </c>
      <c r="Q1549" s="15">
        <f t="shared" si="2"/>
        <v>2</v>
      </c>
      <c r="R1549" s="15">
        <f t="shared" si="3"/>
        <v>6</v>
      </c>
      <c r="S1549" s="15">
        <f t="shared" si="4"/>
        <v>1</v>
      </c>
      <c r="T1549" s="15" t="str">
        <f t="shared" si="5"/>
        <v>C-4</v>
      </c>
      <c r="U1549" s="15" t="str">
        <f t="shared" si="6"/>
        <v>T2-M6-H1-FC-4-VERIFY</v>
      </c>
      <c r="V1549" s="15">
        <f t="shared" si="7"/>
        <v>0</v>
      </c>
      <c r="W1549" s="31"/>
      <c r="X1549" s="15" t="str">
        <f t="shared" si="8"/>
        <v>amersfoort-netherlands</v>
      </c>
      <c r="Y1549" s="32" t="str">
        <f t="shared" si="9"/>
        <v>https://steelmanufacturer.in/market-area/electropolished-pipes-manufacturer-in-amersfoort-netherlands/</v>
      </c>
      <c r="Z1549" s="15" t="str">
        <f t="shared" si="10"/>
        <v>Electropolished Pipes Manufacturer in Amersfoort</v>
      </c>
      <c r="AA1549" s="15" t="str">
        <f t="shared" si="11"/>
        <v>OK (48)</v>
      </c>
      <c r="AB1549" s="15" t="str">
        <f t="shared" si="12"/>
        <v>EP tube and pipe for VERIFY plants around VERIFY, Amersfoort. Made at our Mumbai works to ASTM A270 and ASME BPE SF1-SF4, with 3.1 MTC.</v>
      </c>
      <c r="AC1549" s="15" t="str">
        <f t="shared" si="13"/>
        <v>PENDING RESEARCH</v>
      </c>
      <c r="AD1549" s="15" t="str">
        <f t="shared" si="14"/>
        <v>Electropolished Pipes Manufacturer in Amersfoort</v>
      </c>
      <c r="AE1549" s="15" t="str">
        <f t="shared" si="15"/>
        <v>Electropolished Pipe &amp; Tube Manufacturing for Amersfoort - Grades, Finishes &amp; Certification</v>
      </c>
      <c r="AF1549" s="15" t="str">
        <f t="shared" si="16"/>
        <v>Electropolished Pipes Supplier in Amersfoort - Stock Sizes, Lead Time &amp; Delivery</v>
      </c>
      <c r="AG1549" s="15" t="str">
        <f t="shared" si="17"/>
        <v>Electropolished Pipes Wholesaler &amp; Stockist in Amersfoort - Bulk &amp; Project Pricing</v>
      </c>
      <c r="AH1549" s="15" t="str">
        <f t="shared" si="18"/>
        <v>electropolished pipes manufacturer in Amersfoort, electropolished pipes supplier in Amersfoort, electropolished pipes wholesaler in Amersfoort, electropolished tube manufacturer Amersfoort, EP pipe supplier Amersfoort, sanitary tube supplier Amersfoort, ASME BPE tubing Amersfoort, ASTM A270 tube Amersfoort, SS 316L electropolished pipe Amersfoort</v>
      </c>
      <c r="AI1549" s="15" t="str">
        <f t="shared" si="19"/>
        <v>Electropolished Pipes Manufacturer &amp; Supplier in Amersfoort</v>
      </c>
      <c r="AJ1549" s="15" t="str">
        <f t="shared" si="20"/>
        <v>EP-finished SS 304/316L pipes and tubes for VERIFY plants in Amersfoort. ASME BPE SF1-SF4, Ra from 0.25 um, EN 10204 3.1 certificate with every lot.</v>
      </c>
      <c r="AK1549" s="15" t="str">
        <f t="shared" si="21"/>
        <v>Electropolished stainless steel pipes supplied by Sakshi Forge to VERIFY plants at VERIFY, Amersfoort</v>
      </c>
      <c r="AL1549" s="15" t="str">
        <f t="shared" si="22"/>
        <v>Electropolished SS 316L tube stock for Amersfoort - Sakshi Forge</v>
      </c>
      <c r="AM1549" s="15" t="str">
        <f t="shared" si="23"/>
        <v>Home &gt; Market Area &gt; Netherlands &gt; VERIFY &gt; Amersfoort</v>
      </c>
      <c r="AN1549" s="15">
        <f t="shared" si="24"/>
        <v>750</v>
      </c>
      <c r="AO1549" s="15">
        <f t="shared" si="25"/>
        <v>6</v>
      </c>
      <c r="AP1549" s="15">
        <f t="shared" si="26"/>
        <v>6</v>
      </c>
      <c r="AQ1549" s="15">
        <f t="shared" si="27"/>
        <v>26</v>
      </c>
      <c r="AR1549" s="31"/>
      <c r="AS1549" s="31"/>
      <c r="AT1549" s="35" t="s">
        <v>222</v>
      </c>
      <c r="AU1549" s="35"/>
    </row>
    <row r="1550" ht="15.75" customHeight="1">
      <c r="A1550" s="15" t="s">
        <v>7334</v>
      </c>
      <c r="B1550" s="15" t="s">
        <v>255</v>
      </c>
      <c r="C1550" s="15" t="s">
        <v>98</v>
      </c>
      <c r="D1550" s="15" t="s">
        <v>7335</v>
      </c>
      <c r="E1550" s="15" t="s">
        <v>7335</v>
      </c>
      <c r="F1550" s="58" t="s">
        <v>807</v>
      </c>
      <c r="G1550" s="66" t="s">
        <v>98</v>
      </c>
      <c r="H1550" s="18" t="s">
        <v>98</v>
      </c>
      <c r="I1550" s="18" t="s">
        <v>98</v>
      </c>
      <c r="J1550" s="18" t="s">
        <v>98</v>
      </c>
      <c r="K1550" s="18" t="s">
        <v>98</v>
      </c>
      <c r="L1550" s="18" t="s">
        <v>98</v>
      </c>
      <c r="M1550" s="18" t="s">
        <v>561</v>
      </c>
      <c r="N1550" s="18" t="s">
        <v>297</v>
      </c>
      <c r="O1550" s="18" t="s">
        <v>98</v>
      </c>
      <c r="P1550" s="15" t="str">
        <f t="shared" si="1"/>
        <v>VERIFY</v>
      </c>
      <c r="Q1550" s="15">
        <f t="shared" si="2"/>
        <v>3</v>
      </c>
      <c r="R1550" s="15">
        <f t="shared" si="3"/>
        <v>7</v>
      </c>
      <c r="S1550" s="15">
        <f t="shared" si="4"/>
        <v>2</v>
      </c>
      <c r="T1550" s="15" t="str">
        <f t="shared" si="5"/>
        <v>C-5</v>
      </c>
      <c r="U1550" s="15" t="str">
        <f t="shared" si="6"/>
        <v>T3-M7-H2-FC-5-VERIFY</v>
      </c>
      <c r="V1550" s="15">
        <f t="shared" si="7"/>
        <v>0</v>
      </c>
      <c r="W1550" s="31"/>
      <c r="X1550" s="15" t="str">
        <f t="shared" si="8"/>
        <v>apeldoorn-netherlands</v>
      </c>
      <c r="Y1550" s="32" t="str">
        <f t="shared" si="9"/>
        <v>https://steelmanufacturer.in/market-area/electropolished-pipes-manufacturer-in-apeldoorn-netherlands/</v>
      </c>
      <c r="Z1550" s="15" t="str">
        <f t="shared" si="10"/>
        <v>Electropolished Pipes Manufacturer in Apeldoorn</v>
      </c>
      <c r="AA1550" s="15" t="str">
        <f t="shared" si="11"/>
        <v>OK (47)</v>
      </c>
      <c r="AB1550" s="15" t="str">
        <f t="shared" si="12"/>
        <v>Electropolished pipes in Apeldoorn: 304, 304L, 316 and 316L in SF1-SF4. 23-29 days sea from Nhava Sheva to Rotterdam. Mill certified.</v>
      </c>
      <c r="AC1550" s="15" t="str">
        <f t="shared" si="13"/>
        <v>PENDING RESEARCH</v>
      </c>
      <c r="AD1550" s="15" t="str">
        <f t="shared" si="14"/>
        <v>Electropolished Pipes Manufacturer in Apeldoorn</v>
      </c>
      <c r="AE1550" s="15" t="str">
        <f t="shared" si="15"/>
        <v>How We Manufacture Electropolished Tube for Apeldoorn Plants</v>
      </c>
      <c r="AF1550" s="15" t="str">
        <f t="shared" si="16"/>
        <v>Supplying Electropolished Pipes in Apeldoorn: Availability, Sizes &amp; Dispatch</v>
      </c>
      <c r="AG1550" s="15" t="str">
        <f t="shared" si="17"/>
        <v>Wholesale Electropolished Pipe Supply for Apeldoorn Projects</v>
      </c>
      <c r="AH1550" s="15" t="str">
        <f t="shared" si="18"/>
        <v>electropolished pipes manufacturer in Apeldoorn, electropolished pipes supplier in Apeldoorn, electropolished pipes wholesaler in Apeldoorn, electropolished tube manufacturer Apeldoorn, EP pipe supplier Apeldoorn, sanitary tube supplier Apeldoorn, ASME BPE tubing Apeldoorn, ASTM A270 tube Apeldoorn, SS 316L electropolished pipe Apeldoorn</v>
      </c>
      <c r="AI1550" s="15" t="str">
        <f t="shared" si="19"/>
        <v>Electropolished Pipes Manufacturer &amp; Supplier in Apeldoorn</v>
      </c>
      <c r="AJ1550" s="15" t="str">
        <f t="shared" si="20"/>
        <v>EP-finished SS 304/316L pipes and tubes for VERIFY plants in Apeldoorn. ASME BPE SF1-SF4, Ra from 0.25 um, EN 10204 3.1 certificate with every lot.</v>
      </c>
      <c r="AK1550" s="15" t="str">
        <f t="shared" si="21"/>
        <v>Electropolished stainless steel pipes supplied by Sakshi Forge to VERIFY plants at VERIFY, Apeldoorn</v>
      </c>
      <c r="AL1550" s="15" t="str">
        <f t="shared" si="22"/>
        <v>Electropolished SS 316L tube stock for Apeldoorn - Sakshi Forge</v>
      </c>
      <c r="AM1550" s="15" t="str">
        <f t="shared" si="23"/>
        <v>Home &gt; Market Area &gt; Netherlands &gt; VERIFY &gt; Apeldoorn</v>
      </c>
      <c r="AN1550" s="15">
        <f t="shared" si="24"/>
        <v>750</v>
      </c>
      <c r="AO1550" s="15">
        <f t="shared" si="25"/>
        <v>6</v>
      </c>
      <c r="AP1550" s="15">
        <f t="shared" si="26"/>
        <v>6</v>
      </c>
      <c r="AQ1550" s="15">
        <f t="shared" si="27"/>
        <v>26</v>
      </c>
      <c r="AR1550" s="31"/>
      <c r="AS1550" s="31"/>
      <c r="AT1550" s="35" t="s">
        <v>222</v>
      </c>
      <c r="AU1550" s="35"/>
    </row>
    <row r="1551" ht="15.75" customHeight="1">
      <c r="A1551" s="15" t="s">
        <v>7336</v>
      </c>
      <c r="B1551" s="15" t="s">
        <v>255</v>
      </c>
      <c r="C1551" s="15" t="s">
        <v>98</v>
      </c>
      <c r="D1551" s="15" t="s">
        <v>7337</v>
      </c>
      <c r="E1551" s="15" t="s">
        <v>7337</v>
      </c>
      <c r="F1551" s="58" t="s">
        <v>807</v>
      </c>
      <c r="G1551" s="66" t="s">
        <v>98</v>
      </c>
      <c r="H1551" s="18" t="s">
        <v>98</v>
      </c>
      <c r="I1551" s="18" t="s">
        <v>98</v>
      </c>
      <c r="J1551" s="18" t="s">
        <v>98</v>
      </c>
      <c r="K1551" s="18" t="s">
        <v>98</v>
      </c>
      <c r="L1551" s="18" t="s">
        <v>98</v>
      </c>
      <c r="M1551" s="18" t="s">
        <v>561</v>
      </c>
      <c r="N1551" s="18" t="s">
        <v>297</v>
      </c>
      <c r="O1551" s="18" t="s">
        <v>98</v>
      </c>
      <c r="P1551" s="15" t="str">
        <f t="shared" si="1"/>
        <v>VERIFY</v>
      </c>
      <c r="Q1551" s="15">
        <f t="shared" si="2"/>
        <v>4</v>
      </c>
      <c r="R1551" s="15">
        <f t="shared" si="3"/>
        <v>1</v>
      </c>
      <c r="S1551" s="15">
        <f t="shared" si="4"/>
        <v>3</v>
      </c>
      <c r="T1551" s="15" t="str">
        <f t="shared" si="5"/>
        <v>C-6</v>
      </c>
      <c r="U1551" s="15" t="str">
        <f t="shared" si="6"/>
        <v>T4-M1-H3-FC-6-VERIFY</v>
      </c>
      <c r="V1551" s="15">
        <f t="shared" si="7"/>
        <v>0</v>
      </c>
      <c r="W1551" s="31"/>
      <c r="X1551" s="15" t="str">
        <f t="shared" si="8"/>
        <v>assen-netherlands</v>
      </c>
      <c r="Y1551" s="32" t="str">
        <f t="shared" si="9"/>
        <v>https://steelmanufacturer.in/market-area/electropolished-pipes-manufacturer-in-assen-netherlands/</v>
      </c>
      <c r="Z1551" s="15" t="str">
        <f t="shared" si="10"/>
        <v>Electropolished Pipes Manufacturer in Assen - SS 304/316L EP Tube</v>
      </c>
      <c r="AA1551" s="15" t="str">
        <f t="shared" si="11"/>
        <v>OK (65)</v>
      </c>
      <c r="AB1551" s="15" t="str">
        <f t="shared" si="12"/>
        <v>EP-finished SS 304/316L pipes &amp; tubes for VERIFY plants in Assen. ASTM A270, ASME BPE SF1-SF4, EN 10204 3.1 MTC. PMI tested.</v>
      </c>
      <c r="AC1551" s="15" t="str">
        <f t="shared" si="13"/>
        <v>PENDING RESEARCH</v>
      </c>
      <c r="AD1551" s="15" t="str">
        <f t="shared" si="14"/>
        <v>Electropolished Pipes Manufacturer in Assen</v>
      </c>
      <c r="AE1551" s="15" t="str">
        <f t="shared" si="15"/>
        <v>Electropolished Pipes Manufacturer in Assen - Our Process &amp; Capability</v>
      </c>
      <c r="AF1551" s="15" t="str">
        <f t="shared" si="16"/>
        <v>Electropolished Pipes Supplier in Assen - What We Hold in Stock</v>
      </c>
      <c r="AG1551" s="15" t="str">
        <f t="shared" si="17"/>
        <v>Bulk &amp; Wholesale Electropolished Pipe Rates for Assen Buyers</v>
      </c>
      <c r="AH1551" s="15" t="str">
        <f t="shared" si="18"/>
        <v>electropolished pipes manufacturer in Assen, electropolished pipes supplier in Assen, electropolished pipes wholesaler in Assen, electropolished tube manufacturer Assen, EP pipe supplier Assen, sanitary tube supplier Assen, ASME BPE tubing Assen, ASTM A270 tube Assen, SS 316L electropolished pipe Assen</v>
      </c>
      <c r="AI1551" s="15" t="str">
        <f t="shared" si="19"/>
        <v>Electropolished Pipes Manufacturer &amp; Supplier in Assen</v>
      </c>
      <c r="AJ1551" s="15" t="str">
        <f t="shared" si="20"/>
        <v>EP-finished SS 304/316L pipes and tubes for VERIFY plants in Assen. ASME BPE SF1-SF4, Ra from 0.25 um, EN 10204 3.1 certificate with every lot.</v>
      </c>
      <c r="AK1551" s="15" t="str">
        <f t="shared" si="21"/>
        <v>Electropolished stainless steel pipes supplied by Sakshi Forge to VERIFY plants at VERIFY, Assen</v>
      </c>
      <c r="AL1551" s="15" t="str">
        <f t="shared" si="22"/>
        <v>Electropolished SS 316L tube stock for Assen - Sakshi Forge</v>
      </c>
      <c r="AM1551" s="15" t="str">
        <f t="shared" si="23"/>
        <v>Home &gt; Market Area &gt; Netherlands &gt; VERIFY &gt; Assen</v>
      </c>
      <c r="AN1551" s="15">
        <f t="shared" si="24"/>
        <v>750</v>
      </c>
      <c r="AO1551" s="15">
        <f t="shared" si="25"/>
        <v>6</v>
      </c>
      <c r="AP1551" s="15">
        <f t="shared" si="26"/>
        <v>6</v>
      </c>
      <c r="AQ1551" s="15">
        <f t="shared" si="27"/>
        <v>26</v>
      </c>
      <c r="AR1551" s="31"/>
      <c r="AS1551" s="31"/>
      <c r="AT1551" s="35" t="s">
        <v>222</v>
      </c>
      <c r="AU1551" s="35"/>
    </row>
    <row r="1552" ht="15.75" customHeight="1">
      <c r="A1552" s="15" t="s">
        <v>7338</v>
      </c>
      <c r="B1552" s="15" t="s">
        <v>255</v>
      </c>
      <c r="C1552" s="15" t="s">
        <v>98</v>
      </c>
      <c r="D1552" s="15" t="s">
        <v>7339</v>
      </c>
      <c r="E1552" s="15" t="s">
        <v>7339</v>
      </c>
      <c r="F1552" s="58" t="s">
        <v>807</v>
      </c>
      <c r="G1552" s="66" t="s">
        <v>98</v>
      </c>
      <c r="H1552" s="18" t="s">
        <v>98</v>
      </c>
      <c r="I1552" s="18" t="s">
        <v>98</v>
      </c>
      <c r="J1552" s="18" t="s">
        <v>98</v>
      </c>
      <c r="K1552" s="18" t="s">
        <v>98</v>
      </c>
      <c r="L1552" s="18" t="s">
        <v>98</v>
      </c>
      <c r="M1552" s="18" t="s">
        <v>561</v>
      </c>
      <c r="N1552" s="18" t="s">
        <v>297</v>
      </c>
      <c r="O1552" s="18" t="s">
        <v>98</v>
      </c>
      <c r="P1552" s="15" t="str">
        <f t="shared" si="1"/>
        <v>VERIFY</v>
      </c>
      <c r="Q1552" s="15">
        <f t="shared" si="2"/>
        <v>5</v>
      </c>
      <c r="R1552" s="15">
        <f t="shared" si="3"/>
        <v>2</v>
      </c>
      <c r="S1552" s="15">
        <f t="shared" si="4"/>
        <v>4</v>
      </c>
      <c r="T1552" s="15" t="str">
        <f t="shared" si="5"/>
        <v>C-1</v>
      </c>
      <c r="U1552" s="15" t="str">
        <f t="shared" si="6"/>
        <v>T5-M2-H4-FC-1-VERIFY</v>
      </c>
      <c r="V1552" s="15">
        <f t="shared" si="7"/>
        <v>0</v>
      </c>
      <c r="W1552" s="31"/>
      <c r="X1552" s="15" t="str">
        <f t="shared" si="8"/>
        <v>bergen-op-zoom-netherlands</v>
      </c>
      <c r="Y1552" s="32" t="str">
        <f t="shared" si="9"/>
        <v>https://steelmanufacturer.in/market-area/electropolished-pipes-manufacturer-in-bergen-op-zoom-netherlands/</v>
      </c>
      <c r="Z1552" s="15" t="str">
        <f t="shared" si="10"/>
        <v>Electropolished Pipes Manufacturer in Bergen op Zoom</v>
      </c>
      <c r="AA1552" s="15" t="str">
        <f t="shared" si="11"/>
        <v>OK (52)</v>
      </c>
      <c r="AB1552" s="15" t="str">
        <f t="shared" si="12"/>
        <v>Electropolished tube supply to VERIFY, Bergen op Zoom. Ra from 0.25 um, SF4 finish, mill test certificate with every lot.</v>
      </c>
      <c r="AC1552" s="15" t="str">
        <f t="shared" si="13"/>
        <v>PENDING RESEARCH</v>
      </c>
      <c r="AD1552" s="15" t="str">
        <f t="shared" si="14"/>
        <v>Electropolished Pipes Manufacturer in Bergen op Zoom</v>
      </c>
      <c r="AE1552" s="15" t="str">
        <f t="shared" si="15"/>
        <v>Manufacturing Electropolished SS Tube for Bergen op Zoom: The Standards We Build To</v>
      </c>
      <c r="AF1552" s="15" t="str">
        <f t="shared" si="16"/>
        <v>Electropolished Pipe Supply Into Bergen op Zoom - Certification &amp; Transit</v>
      </c>
      <c r="AG1552" s="15" t="str">
        <f t="shared" si="17"/>
        <v>Electropolished Pipes Wholesaler in Bergen op Zoom - Project Quantities &amp; Terms</v>
      </c>
      <c r="AH1552" s="15" t="str">
        <f t="shared" si="18"/>
        <v>electropolished pipes manufacturer in Bergen op Zoom, electropolished pipes supplier in Bergen op Zoom, electropolished pipes wholesaler in Bergen op Zoom, electropolished tube manufacturer Bergen op Zoom, EP pipe supplier Bergen op Zoom, sanitary tube supplier Bergen op Zoom, ASME BPE tubing Bergen op Zoom, ASTM A270 tube Bergen op Zoom, SS 316L electropolished pipe Bergen op Zoom</v>
      </c>
      <c r="AI1552" s="15" t="str">
        <f t="shared" si="19"/>
        <v>Electropolished Pipes Manufacturer &amp; Supplier in Bergen op Zoom</v>
      </c>
      <c r="AJ1552" s="15" t="str">
        <f t="shared" si="20"/>
        <v>EP-finished SS 304/316L pipes and tubes for VERIFY plants in Bergen op Zoom. ASME BPE SF1-SF4, Ra from 0.25 um, EN 10204 3.1 certificate with every lot.</v>
      </c>
      <c r="AK1552" s="15" t="str">
        <f t="shared" si="21"/>
        <v>Electropolished stainless steel pipes supplied by Sakshi Forge to VERIFY plants at VERIFY, Bergen op Zoom</v>
      </c>
      <c r="AL1552" s="15" t="str">
        <f t="shared" si="22"/>
        <v>Electropolished SS 316L tube stock for Bergen op Zoom - Sakshi Forge</v>
      </c>
      <c r="AM1552" s="15" t="str">
        <f t="shared" si="23"/>
        <v>Home &gt; Market Area &gt; Netherlands &gt; VERIFY &gt; Bergen op Zoom</v>
      </c>
      <c r="AN1552" s="15">
        <f t="shared" si="24"/>
        <v>750</v>
      </c>
      <c r="AO1552" s="15">
        <f t="shared" si="25"/>
        <v>6</v>
      </c>
      <c r="AP1552" s="15">
        <f t="shared" si="26"/>
        <v>6</v>
      </c>
      <c r="AQ1552" s="15">
        <f t="shared" si="27"/>
        <v>26</v>
      </c>
      <c r="AR1552" s="31"/>
      <c r="AS1552" s="31"/>
      <c r="AT1552" s="35" t="s">
        <v>222</v>
      </c>
      <c r="AU1552" s="35"/>
    </row>
    <row r="1553" ht="15.75" customHeight="1">
      <c r="A1553" s="15" t="s">
        <v>7340</v>
      </c>
      <c r="B1553" s="15" t="s">
        <v>255</v>
      </c>
      <c r="C1553" s="15" t="s">
        <v>98</v>
      </c>
      <c r="D1553" s="15" t="s">
        <v>7341</v>
      </c>
      <c r="E1553" s="15" t="s">
        <v>7341</v>
      </c>
      <c r="F1553" s="58" t="s">
        <v>807</v>
      </c>
      <c r="G1553" s="66" t="s">
        <v>98</v>
      </c>
      <c r="H1553" s="18" t="s">
        <v>98</v>
      </c>
      <c r="I1553" s="18" t="s">
        <v>98</v>
      </c>
      <c r="J1553" s="18" t="s">
        <v>98</v>
      </c>
      <c r="K1553" s="18" t="s">
        <v>98</v>
      </c>
      <c r="L1553" s="18" t="s">
        <v>98</v>
      </c>
      <c r="M1553" s="18" t="s">
        <v>561</v>
      </c>
      <c r="N1553" s="18" t="s">
        <v>297</v>
      </c>
      <c r="O1553" s="18" t="s">
        <v>98</v>
      </c>
      <c r="P1553" s="15" t="str">
        <f t="shared" si="1"/>
        <v>VERIFY</v>
      </c>
      <c r="Q1553" s="15">
        <f t="shared" si="2"/>
        <v>6</v>
      </c>
      <c r="R1553" s="15">
        <f t="shared" si="3"/>
        <v>3</v>
      </c>
      <c r="S1553" s="15">
        <f t="shared" si="4"/>
        <v>5</v>
      </c>
      <c r="T1553" s="15" t="str">
        <f t="shared" si="5"/>
        <v>C-2</v>
      </c>
      <c r="U1553" s="15" t="str">
        <f t="shared" si="6"/>
        <v>T6-M3-H5-FC-2-VERIFY</v>
      </c>
      <c r="V1553" s="15">
        <f t="shared" si="7"/>
        <v>0</v>
      </c>
      <c r="W1553" s="31"/>
      <c r="X1553" s="15" t="str">
        <f t="shared" si="8"/>
        <v>den-bosch-netherlands</v>
      </c>
      <c r="Y1553" s="32" t="str">
        <f t="shared" si="9"/>
        <v>https://steelmanufacturer.in/market-area/electropolished-pipes-manufacturer-in-den-bosch-netherlands/</v>
      </c>
      <c r="Z1553" s="15" t="str">
        <f t="shared" si="10"/>
        <v>Electropolished Pipes Manufacturer in Den Bosch</v>
      </c>
      <c r="AA1553" s="15" t="str">
        <f t="shared" si="11"/>
        <v>OK (47)</v>
      </c>
      <c r="AB1553" s="15" t="str">
        <f t="shared" si="12"/>
        <v>EP stainless tube for VERIFY lines in Den Bosch. 23-29 days sea from Nhava Sheva to Rotterdam. ASTM A270 S2, PMI tested, EN 10204 3.1.</v>
      </c>
      <c r="AC1553" s="15" t="str">
        <f t="shared" si="13"/>
        <v>PENDING RESEARCH</v>
      </c>
      <c r="AD1553" s="15" t="str">
        <f t="shared" si="14"/>
        <v>Electropolished Pipes Manufacturer in Den Bosch</v>
      </c>
      <c r="AE1553" s="15" t="str">
        <f t="shared" si="15"/>
        <v>Electropolished Tube Manufacturing Capability Serving Den Bosch</v>
      </c>
      <c r="AF1553" s="15" t="str">
        <f t="shared" si="16"/>
        <v>Electropolished Pipes Supplier in Den Bosch - From Order to Delivery</v>
      </c>
      <c r="AG1553" s="15" t="str">
        <f t="shared" si="17"/>
        <v>Stockist &amp; Wholesale Supply of Electropolished Pipes in Den Bosch</v>
      </c>
      <c r="AH1553" s="15" t="str">
        <f t="shared" si="18"/>
        <v>electropolished pipes manufacturer in Den Bosch, electropolished pipes supplier in Den Bosch, electropolished pipes wholesaler in Den Bosch, electropolished tube manufacturer Den Bosch, EP pipe supplier Den Bosch, sanitary tube supplier Den Bosch, ASME BPE tubing Den Bosch, ASTM A270 tube Den Bosch, SS 316L electropolished pipe Den Bosch</v>
      </c>
      <c r="AI1553" s="15" t="str">
        <f t="shared" si="19"/>
        <v>Electropolished Pipes Manufacturer &amp; Supplier in Den Bosch</v>
      </c>
      <c r="AJ1553" s="15" t="str">
        <f t="shared" si="20"/>
        <v>EP-finished SS 304/316L pipes and tubes for VERIFY plants in Den Bosch. ASME BPE SF1-SF4, Ra from 0.25 um, EN 10204 3.1 certificate with every lot.</v>
      </c>
      <c r="AK1553" s="15" t="str">
        <f t="shared" si="21"/>
        <v>Electropolished stainless steel pipes supplied by Sakshi Forge to VERIFY plants at VERIFY, Den Bosch</v>
      </c>
      <c r="AL1553" s="15" t="str">
        <f t="shared" si="22"/>
        <v>Electropolished SS 316L tube stock for Den Bosch - Sakshi Forge</v>
      </c>
      <c r="AM1553" s="15" t="str">
        <f t="shared" si="23"/>
        <v>Home &gt; Market Area &gt; Netherlands &gt; VERIFY &gt; Den Bosch</v>
      </c>
      <c r="AN1553" s="15">
        <f t="shared" si="24"/>
        <v>750</v>
      </c>
      <c r="AO1553" s="15">
        <f t="shared" si="25"/>
        <v>6</v>
      </c>
      <c r="AP1553" s="15">
        <f t="shared" si="26"/>
        <v>6</v>
      </c>
      <c r="AQ1553" s="15">
        <f t="shared" si="27"/>
        <v>26</v>
      </c>
      <c r="AR1553" s="31"/>
      <c r="AS1553" s="31"/>
      <c r="AT1553" s="35" t="s">
        <v>222</v>
      </c>
      <c r="AU1553" s="35"/>
    </row>
    <row r="1554" ht="15.75" customHeight="1">
      <c r="A1554" s="15" t="s">
        <v>7342</v>
      </c>
      <c r="B1554" s="15" t="s">
        <v>255</v>
      </c>
      <c r="C1554" s="15" t="s">
        <v>98</v>
      </c>
      <c r="D1554" s="15" t="s">
        <v>7343</v>
      </c>
      <c r="E1554" s="15" t="s">
        <v>7343</v>
      </c>
      <c r="F1554" s="58" t="s">
        <v>807</v>
      </c>
      <c r="G1554" s="66" t="s">
        <v>98</v>
      </c>
      <c r="H1554" s="18" t="s">
        <v>98</v>
      </c>
      <c r="I1554" s="18" t="s">
        <v>98</v>
      </c>
      <c r="J1554" s="18" t="s">
        <v>98</v>
      </c>
      <c r="K1554" s="18" t="s">
        <v>98</v>
      </c>
      <c r="L1554" s="18" t="s">
        <v>98</v>
      </c>
      <c r="M1554" s="18" t="s">
        <v>561</v>
      </c>
      <c r="N1554" s="18" t="s">
        <v>297</v>
      </c>
      <c r="O1554" s="18" t="s">
        <v>98</v>
      </c>
      <c r="P1554" s="15" t="str">
        <f t="shared" si="1"/>
        <v>VERIFY</v>
      </c>
      <c r="Q1554" s="15">
        <f t="shared" si="2"/>
        <v>7</v>
      </c>
      <c r="R1554" s="15">
        <f t="shared" si="3"/>
        <v>4</v>
      </c>
      <c r="S1554" s="15">
        <f t="shared" si="4"/>
        <v>1</v>
      </c>
      <c r="T1554" s="15" t="str">
        <f t="shared" si="5"/>
        <v>C-3</v>
      </c>
      <c r="U1554" s="15" t="str">
        <f t="shared" si="6"/>
        <v>T7-M4-H1-FC-3-VERIFY</v>
      </c>
      <c r="V1554" s="15">
        <f t="shared" si="7"/>
        <v>0</v>
      </c>
      <c r="W1554" s="31"/>
      <c r="X1554" s="15" t="str">
        <f t="shared" si="8"/>
        <v>den-helder-netherlands</v>
      </c>
      <c r="Y1554" s="32" t="str">
        <f t="shared" si="9"/>
        <v>https://steelmanufacturer.in/market-area/electropolished-pipes-manufacturer-in-den-helder-netherlands/</v>
      </c>
      <c r="Z1554" s="15" t="str">
        <f t="shared" si="10"/>
        <v>Electropolished Pipes Manufacturer in Den Helder</v>
      </c>
      <c r="AA1554" s="15" t="str">
        <f t="shared" si="11"/>
        <v>OK (48)</v>
      </c>
      <c r="AB1554" s="15" t="str">
        <f t="shared" si="12"/>
        <v>Sanitary electropolished pipes in Den Helder for VERIFY plants. ASME BPE SF1-SF4, orbital-weld ready, 3.1 MTC. Mumbai-made.</v>
      </c>
      <c r="AC1554" s="15" t="str">
        <f t="shared" si="13"/>
        <v>PENDING RESEARCH</v>
      </c>
      <c r="AD1554" s="15" t="str">
        <f t="shared" si="14"/>
        <v>Electropolished Pipes Manufacturer in Den Helder</v>
      </c>
      <c r="AE1554" s="15" t="str">
        <f t="shared" si="15"/>
        <v>Electropolished Pipe &amp; Tube Manufacturing for Den Helder - Grades, Finishes &amp; Certification</v>
      </c>
      <c r="AF1554" s="15" t="str">
        <f t="shared" si="16"/>
        <v>Electropolished Pipes Supplier in Den Helder - Stock Sizes, Lead Time &amp; Delivery</v>
      </c>
      <c r="AG1554" s="15" t="str">
        <f t="shared" si="17"/>
        <v>Electropolished Pipes Wholesaler &amp; Stockist in Den Helder - Bulk &amp; Project Pricing</v>
      </c>
      <c r="AH1554" s="15" t="str">
        <f t="shared" si="18"/>
        <v>electropolished pipes manufacturer in Den Helder, electropolished pipes supplier in Den Helder, electropolished pipes wholesaler in Den Helder, electropolished tube manufacturer Den Helder, EP pipe supplier Den Helder, sanitary tube supplier Den Helder, ASME BPE tubing Den Helder, ASTM A270 tube Den Helder, SS 316L electropolished pipe Den Helder</v>
      </c>
      <c r="AI1554" s="15" t="str">
        <f t="shared" si="19"/>
        <v>Electropolished Pipes Manufacturer &amp; Supplier in Den Helder</v>
      </c>
      <c r="AJ1554" s="15" t="str">
        <f t="shared" si="20"/>
        <v>EP-finished SS 304/316L pipes and tubes for VERIFY plants in Den Helder. ASME BPE SF1-SF4, Ra from 0.25 um, EN 10204 3.1 certificate with every lot.</v>
      </c>
      <c r="AK1554" s="15" t="str">
        <f t="shared" si="21"/>
        <v>Electropolished stainless steel pipes supplied by Sakshi Forge to VERIFY plants at VERIFY, Den Helder</v>
      </c>
      <c r="AL1554" s="15" t="str">
        <f t="shared" si="22"/>
        <v>Electropolished SS 316L tube stock for Den Helder - Sakshi Forge</v>
      </c>
      <c r="AM1554" s="15" t="str">
        <f t="shared" si="23"/>
        <v>Home &gt; Market Area &gt; Netherlands &gt; VERIFY &gt; Den Helder</v>
      </c>
      <c r="AN1554" s="15">
        <f t="shared" si="24"/>
        <v>750</v>
      </c>
      <c r="AO1554" s="15">
        <f t="shared" si="25"/>
        <v>6</v>
      </c>
      <c r="AP1554" s="15">
        <f t="shared" si="26"/>
        <v>6</v>
      </c>
      <c r="AQ1554" s="15">
        <f t="shared" si="27"/>
        <v>26</v>
      </c>
      <c r="AR1554" s="31"/>
      <c r="AS1554" s="31"/>
      <c r="AT1554" s="35" t="s">
        <v>222</v>
      </c>
      <c r="AU1554" s="35"/>
    </row>
    <row r="1555" ht="15.75" customHeight="1">
      <c r="A1555" s="15" t="s">
        <v>7344</v>
      </c>
      <c r="B1555" s="15" t="s">
        <v>255</v>
      </c>
      <c r="C1555" s="15" t="s">
        <v>98</v>
      </c>
      <c r="D1555" s="15" t="s">
        <v>7345</v>
      </c>
      <c r="E1555" s="15" t="s">
        <v>7345</v>
      </c>
      <c r="F1555" s="58" t="s">
        <v>807</v>
      </c>
      <c r="G1555" s="66" t="s">
        <v>98</v>
      </c>
      <c r="H1555" s="18" t="s">
        <v>98</v>
      </c>
      <c r="I1555" s="18" t="s">
        <v>98</v>
      </c>
      <c r="J1555" s="18" t="s">
        <v>98</v>
      </c>
      <c r="K1555" s="18" t="s">
        <v>98</v>
      </c>
      <c r="L1555" s="18" t="s">
        <v>98</v>
      </c>
      <c r="M1555" s="18" t="s">
        <v>561</v>
      </c>
      <c r="N1555" s="18" t="s">
        <v>297</v>
      </c>
      <c r="O1555" s="18" t="s">
        <v>98</v>
      </c>
      <c r="P1555" s="15" t="str">
        <f t="shared" si="1"/>
        <v>VERIFY</v>
      </c>
      <c r="Q1555" s="15">
        <f t="shared" si="2"/>
        <v>8</v>
      </c>
      <c r="R1555" s="15">
        <f t="shared" si="3"/>
        <v>5</v>
      </c>
      <c r="S1555" s="15">
        <f t="shared" si="4"/>
        <v>2</v>
      </c>
      <c r="T1555" s="15" t="str">
        <f t="shared" si="5"/>
        <v>C-4</v>
      </c>
      <c r="U1555" s="15" t="str">
        <f t="shared" si="6"/>
        <v>T8-M5-H2-FC-4-VERIFY</v>
      </c>
      <c r="V1555" s="15">
        <f t="shared" si="7"/>
        <v>0</v>
      </c>
      <c r="W1555" s="31"/>
      <c r="X1555" s="15" t="str">
        <f t="shared" si="8"/>
        <v>deventer-netherlands</v>
      </c>
      <c r="Y1555" s="32" t="str">
        <f t="shared" si="9"/>
        <v>https://steelmanufacturer.in/market-area/electropolished-pipes-manufacturer-in-deventer-netherlands/</v>
      </c>
      <c r="Z1555" s="15" t="str">
        <f t="shared" si="10"/>
        <v>Electropolished Pipes Manufacturer in Deventer - EP Tube Stockist</v>
      </c>
      <c r="AA1555" s="15" t="str">
        <f t="shared" si="11"/>
        <v>OK (65)</v>
      </c>
      <c r="AB1555" s="15" t="str">
        <f t="shared" si="12"/>
        <v>Manufacturer of electropolished SS 316L tube serving Deventer. 23-29 days sea from Nhava Sheva to Rotterdam. Ra 0.25-0.5 um, EN 10204 3.1 MTC.</v>
      </c>
      <c r="AC1555" s="15" t="str">
        <f t="shared" si="13"/>
        <v>PENDING RESEARCH</v>
      </c>
      <c r="AD1555" s="15" t="str">
        <f t="shared" si="14"/>
        <v>Electropolished Pipes Manufacturer in Deventer</v>
      </c>
      <c r="AE1555" s="15" t="str">
        <f t="shared" si="15"/>
        <v>How We Manufacture Electropolished Tube for Deventer Plants</v>
      </c>
      <c r="AF1555" s="15" t="str">
        <f t="shared" si="16"/>
        <v>Supplying Electropolished Pipes in Deventer: Availability, Sizes &amp; Dispatch</v>
      </c>
      <c r="AG1555" s="15" t="str">
        <f t="shared" si="17"/>
        <v>Wholesale Electropolished Pipe Supply for Deventer Projects</v>
      </c>
      <c r="AH1555" s="15" t="str">
        <f t="shared" si="18"/>
        <v>electropolished pipes manufacturer in Deventer, electropolished pipes supplier in Deventer, electropolished pipes wholesaler in Deventer, electropolished tube manufacturer Deventer, EP pipe supplier Deventer, sanitary tube supplier Deventer, ASME BPE tubing Deventer, ASTM A270 tube Deventer, SS 316L electropolished pipe Deventer</v>
      </c>
      <c r="AI1555" s="15" t="str">
        <f t="shared" si="19"/>
        <v>Electropolished Pipes Manufacturer &amp; Supplier in Deventer</v>
      </c>
      <c r="AJ1555" s="15" t="str">
        <f t="shared" si="20"/>
        <v>EP-finished SS 304/316L pipes and tubes for VERIFY plants in Deventer. ASME BPE SF1-SF4, Ra from 0.25 um, EN 10204 3.1 certificate with every lot.</v>
      </c>
      <c r="AK1555" s="15" t="str">
        <f t="shared" si="21"/>
        <v>Electropolished stainless steel pipes supplied by Sakshi Forge to VERIFY plants at VERIFY, Deventer</v>
      </c>
      <c r="AL1555" s="15" t="str">
        <f t="shared" si="22"/>
        <v>Electropolished SS 316L tube stock for Deventer - Sakshi Forge</v>
      </c>
      <c r="AM1555" s="15" t="str">
        <f t="shared" si="23"/>
        <v>Home &gt; Market Area &gt; Netherlands &gt; VERIFY &gt; Deventer</v>
      </c>
      <c r="AN1555" s="15">
        <f t="shared" si="24"/>
        <v>750</v>
      </c>
      <c r="AO1555" s="15">
        <f t="shared" si="25"/>
        <v>6</v>
      </c>
      <c r="AP1555" s="15">
        <f t="shared" si="26"/>
        <v>6</v>
      </c>
      <c r="AQ1555" s="15">
        <f t="shared" si="27"/>
        <v>26</v>
      </c>
      <c r="AR1555" s="31"/>
      <c r="AS1555" s="31"/>
      <c r="AT1555" s="35" t="s">
        <v>222</v>
      </c>
      <c r="AU1555" s="35"/>
    </row>
    <row r="1556" ht="15.75" customHeight="1">
      <c r="A1556" s="15" t="s">
        <v>7346</v>
      </c>
      <c r="B1556" s="15" t="s">
        <v>255</v>
      </c>
      <c r="C1556" s="15" t="s">
        <v>98</v>
      </c>
      <c r="D1556" s="15" t="s">
        <v>7347</v>
      </c>
      <c r="E1556" s="15" t="s">
        <v>7347</v>
      </c>
      <c r="F1556" s="58" t="s">
        <v>807</v>
      </c>
      <c r="G1556" s="66" t="s">
        <v>98</v>
      </c>
      <c r="H1556" s="18" t="s">
        <v>98</v>
      </c>
      <c r="I1556" s="18" t="s">
        <v>98</v>
      </c>
      <c r="J1556" s="18" t="s">
        <v>98</v>
      </c>
      <c r="K1556" s="18" t="s">
        <v>98</v>
      </c>
      <c r="L1556" s="18" t="s">
        <v>98</v>
      </c>
      <c r="M1556" s="18" t="s">
        <v>561</v>
      </c>
      <c r="N1556" s="18" t="s">
        <v>297</v>
      </c>
      <c r="O1556" s="18" t="s">
        <v>98</v>
      </c>
      <c r="P1556" s="15" t="str">
        <f t="shared" si="1"/>
        <v>VERIFY</v>
      </c>
      <c r="Q1556" s="15">
        <f t="shared" si="2"/>
        <v>1</v>
      </c>
      <c r="R1556" s="15">
        <f t="shared" si="3"/>
        <v>6</v>
      </c>
      <c r="S1556" s="15">
        <f t="shared" si="4"/>
        <v>3</v>
      </c>
      <c r="T1556" s="15" t="str">
        <f t="shared" si="5"/>
        <v>C-5</v>
      </c>
      <c r="U1556" s="15" t="str">
        <f t="shared" si="6"/>
        <v>T1-M6-H3-FC-5-VERIFY</v>
      </c>
      <c r="V1556" s="15">
        <f t="shared" si="7"/>
        <v>0</v>
      </c>
      <c r="W1556" s="31"/>
      <c r="X1556" s="15" t="str">
        <f t="shared" si="8"/>
        <v>dordrecht-netherlands</v>
      </c>
      <c r="Y1556" s="32" t="str">
        <f t="shared" si="9"/>
        <v>https://steelmanufacturer.in/market-area/electropolished-pipes-manufacturer-in-dordrecht-netherlands/</v>
      </c>
      <c r="Z1556" s="15" t="str">
        <f t="shared" si="10"/>
        <v>Electropolished Pipes Manufacturer in Dordrecht | Sakshi Forge</v>
      </c>
      <c r="AA1556" s="15" t="str">
        <f t="shared" si="11"/>
        <v>OK (62)</v>
      </c>
      <c r="AB1556" s="15" t="str">
        <f t="shared" si="12"/>
        <v>EP tube and pipe for VERIFY plants around VERIFY, Dordrecht. Made at our Mumbai works to ASTM A270 and ASME BPE SF1-SF4, with 3.1 MTC.</v>
      </c>
      <c r="AC1556" s="15" t="str">
        <f t="shared" si="13"/>
        <v>PENDING RESEARCH</v>
      </c>
      <c r="AD1556" s="15" t="str">
        <f t="shared" si="14"/>
        <v>Electropolished Pipes Manufacturer in Dordrecht</v>
      </c>
      <c r="AE1556" s="15" t="str">
        <f t="shared" si="15"/>
        <v>Electropolished Pipes Manufacturer in Dordrecht - Our Process &amp; Capability</v>
      </c>
      <c r="AF1556" s="15" t="str">
        <f t="shared" si="16"/>
        <v>Electropolished Pipes Supplier in Dordrecht - What We Hold in Stock</v>
      </c>
      <c r="AG1556" s="15" t="str">
        <f t="shared" si="17"/>
        <v>Bulk &amp; Wholesale Electropolished Pipe Rates for Dordrecht Buyers</v>
      </c>
      <c r="AH1556" s="15" t="str">
        <f t="shared" si="18"/>
        <v>electropolished pipes manufacturer in Dordrecht, electropolished pipes supplier in Dordrecht, electropolished pipes wholesaler in Dordrecht, electropolished tube manufacturer Dordrecht, EP pipe supplier Dordrecht, sanitary tube supplier Dordrecht, ASME BPE tubing Dordrecht, ASTM A270 tube Dordrecht, SS 316L electropolished pipe Dordrecht</v>
      </c>
      <c r="AI1556" s="15" t="str">
        <f t="shared" si="19"/>
        <v>Electropolished Pipes Manufacturer &amp; Supplier in Dordrecht</v>
      </c>
      <c r="AJ1556" s="15" t="str">
        <f t="shared" si="20"/>
        <v>EP-finished SS 304/316L pipes and tubes for VERIFY plants in Dordrecht. ASME BPE SF1-SF4, Ra from 0.25 um, EN 10204 3.1 certificate with every lot.</v>
      </c>
      <c r="AK1556" s="15" t="str">
        <f t="shared" si="21"/>
        <v>Electropolished stainless steel pipes supplied by Sakshi Forge to VERIFY plants at VERIFY, Dordrecht</v>
      </c>
      <c r="AL1556" s="15" t="str">
        <f t="shared" si="22"/>
        <v>Electropolished SS 316L tube stock for Dordrecht - Sakshi Forge</v>
      </c>
      <c r="AM1556" s="15" t="str">
        <f t="shared" si="23"/>
        <v>Home &gt; Market Area &gt; Netherlands &gt; VERIFY &gt; Dordrecht</v>
      </c>
      <c r="AN1556" s="15">
        <f t="shared" si="24"/>
        <v>750</v>
      </c>
      <c r="AO1556" s="15">
        <f t="shared" si="25"/>
        <v>6</v>
      </c>
      <c r="AP1556" s="15">
        <f t="shared" si="26"/>
        <v>6</v>
      </c>
      <c r="AQ1556" s="15">
        <f t="shared" si="27"/>
        <v>26</v>
      </c>
      <c r="AR1556" s="31"/>
      <c r="AS1556" s="31"/>
      <c r="AT1556" s="35" t="s">
        <v>222</v>
      </c>
      <c r="AU1556" s="35"/>
    </row>
    <row r="1557" ht="15.75" customHeight="1">
      <c r="A1557" s="15" t="s">
        <v>7351</v>
      </c>
      <c r="B1557" s="15" t="s">
        <v>255</v>
      </c>
      <c r="C1557" s="15" t="s">
        <v>98</v>
      </c>
      <c r="D1557" s="15" t="s">
        <v>7354</v>
      </c>
      <c r="E1557" s="15" t="s">
        <v>7354</v>
      </c>
      <c r="F1557" s="58" t="s">
        <v>807</v>
      </c>
      <c r="G1557" s="66" t="s">
        <v>98</v>
      </c>
      <c r="H1557" s="18" t="s">
        <v>98</v>
      </c>
      <c r="I1557" s="18" t="s">
        <v>98</v>
      </c>
      <c r="J1557" s="18" t="s">
        <v>98</v>
      </c>
      <c r="K1557" s="18" t="s">
        <v>98</v>
      </c>
      <c r="L1557" s="18" t="s">
        <v>98</v>
      </c>
      <c r="M1557" s="18" t="s">
        <v>561</v>
      </c>
      <c r="N1557" s="18" t="s">
        <v>297</v>
      </c>
      <c r="O1557" s="18" t="s">
        <v>98</v>
      </c>
      <c r="P1557" s="15" t="str">
        <f t="shared" si="1"/>
        <v>VERIFY</v>
      </c>
      <c r="Q1557" s="15">
        <f t="shared" si="2"/>
        <v>2</v>
      </c>
      <c r="R1557" s="15">
        <f t="shared" si="3"/>
        <v>7</v>
      </c>
      <c r="S1557" s="15">
        <f t="shared" si="4"/>
        <v>4</v>
      </c>
      <c r="T1557" s="15" t="str">
        <f t="shared" si="5"/>
        <v>C-6</v>
      </c>
      <c r="U1557" s="15" t="str">
        <f t="shared" si="6"/>
        <v>T2-M7-H4-FC-6-VERIFY</v>
      </c>
      <c r="V1557" s="15">
        <f t="shared" si="7"/>
        <v>0</v>
      </c>
      <c r="W1557" s="31"/>
      <c r="X1557" s="15" t="str">
        <f t="shared" si="8"/>
        <v>ede-netherlands</v>
      </c>
      <c r="Y1557" s="32" t="str">
        <f t="shared" si="9"/>
        <v>https://steelmanufacturer.in/market-area/electropolished-pipes-manufacturer-in-ede-netherlands/</v>
      </c>
      <c r="Z1557" s="15" t="str">
        <f t="shared" si="10"/>
        <v>Electropolished Pipes Manufacturer in Ede - ASTM A270 &amp; ASME BPE</v>
      </c>
      <c r="AA1557" s="15" t="str">
        <f t="shared" si="11"/>
        <v>OK (64)</v>
      </c>
      <c r="AB1557" s="15" t="str">
        <f t="shared" si="12"/>
        <v>Electropolished pipes in Ede: 304, 304L, 316 and 316L in SF1-SF4. 23-29 days sea from Nhava Sheva to Rotterdam. Mill certified.</v>
      </c>
      <c r="AC1557" s="15" t="str">
        <f t="shared" si="13"/>
        <v>PENDING RESEARCH</v>
      </c>
      <c r="AD1557" s="15" t="str">
        <f t="shared" si="14"/>
        <v>Electropolished Pipes Manufacturer in Ede</v>
      </c>
      <c r="AE1557" s="15" t="str">
        <f t="shared" si="15"/>
        <v>Manufacturing Electropolished SS Tube for Ede: The Standards We Build To</v>
      </c>
      <c r="AF1557" s="15" t="str">
        <f t="shared" si="16"/>
        <v>Electropolished Pipe Supply Into Ede - Certification &amp; Transit</v>
      </c>
      <c r="AG1557" s="15" t="str">
        <f t="shared" si="17"/>
        <v>Electropolished Pipes Wholesaler in Ede - Project Quantities &amp; Terms</v>
      </c>
      <c r="AH1557" s="15" t="str">
        <f t="shared" si="18"/>
        <v>electropolished pipes manufacturer in Ede, electropolished pipes supplier in Ede, electropolished pipes wholesaler in Ede, electropolished tube manufacturer Ede, EP pipe supplier Ede, sanitary tube supplier Ede, ASME BPE tubing Ede, ASTM A270 tube Ede, SS 316L electropolished pipe Ede</v>
      </c>
      <c r="AI1557" s="15" t="str">
        <f t="shared" si="19"/>
        <v>Electropolished Pipes Manufacturer &amp; Supplier in Ede</v>
      </c>
      <c r="AJ1557" s="15" t="str">
        <f t="shared" si="20"/>
        <v>EP-finished SS 304/316L pipes and tubes for VERIFY plants in Ede. ASME BPE SF1-SF4, Ra from 0.25 um, EN 10204 3.1 certificate with every lot.</v>
      </c>
      <c r="AK1557" s="15" t="str">
        <f t="shared" si="21"/>
        <v>Electropolished stainless steel pipes supplied by Sakshi Forge to VERIFY plants at VERIFY, Ede</v>
      </c>
      <c r="AL1557" s="15" t="str">
        <f t="shared" si="22"/>
        <v>Electropolished SS 316L tube stock for Ede - Sakshi Forge</v>
      </c>
      <c r="AM1557" s="15" t="str">
        <f t="shared" si="23"/>
        <v>Home &gt; Market Area &gt; Netherlands &gt; VERIFY &gt; Ede</v>
      </c>
      <c r="AN1557" s="15">
        <f t="shared" si="24"/>
        <v>750</v>
      </c>
      <c r="AO1557" s="15">
        <f t="shared" si="25"/>
        <v>6</v>
      </c>
      <c r="AP1557" s="15">
        <f t="shared" si="26"/>
        <v>6</v>
      </c>
      <c r="AQ1557" s="15">
        <f t="shared" si="27"/>
        <v>26</v>
      </c>
      <c r="AR1557" s="31"/>
      <c r="AS1557" s="31"/>
      <c r="AT1557" s="35" t="s">
        <v>222</v>
      </c>
      <c r="AU1557" s="35"/>
    </row>
    <row r="1558" ht="15.75" customHeight="1">
      <c r="A1558" s="15" t="s">
        <v>7355</v>
      </c>
      <c r="B1558" s="15" t="s">
        <v>255</v>
      </c>
      <c r="C1558" s="15" t="s">
        <v>98</v>
      </c>
      <c r="D1558" s="15" t="s">
        <v>7356</v>
      </c>
      <c r="E1558" s="15" t="s">
        <v>7356</v>
      </c>
      <c r="F1558" s="58" t="s">
        <v>807</v>
      </c>
      <c r="G1558" s="66" t="s">
        <v>98</v>
      </c>
      <c r="H1558" s="18" t="s">
        <v>98</v>
      </c>
      <c r="I1558" s="18" t="s">
        <v>98</v>
      </c>
      <c r="J1558" s="18" t="s">
        <v>98</v>
      </c>
      <c r="K1558" s="18" t="s">
        <v>98</v>
      </c>
      <c r="L1558" s="18" t="s">
        <v>98</v>
      </c>
      <c r="M1558" s="18" t="s">
        <v>561</v>
      </c>
      <c r="N1558" s="18" t="s">
        <v>297</v>
      </c>
      <c r="O1558" s="18" t="s">
        <v>98</v>
      </c>
      <c r="P1558" s="15" t="str">
        <f t="shared" si="1"/>
        <v>VERIFY</v>
      </c>
      <c r="Q1558" s="15">
        <f t="shared" si="2"/>
        <v>3</v>
      </c>
      <c r="R1558" s="15">
        <f t="shared" si="3"/>
        <v>1</v>
      </c>
      <c r="S1558" s="15">
        <f t="shared" si="4"/>
        <v>5</v>
      </c>
      <c r="T1558" s="15" t="str">
        <f t="shared" si="5"/>
        <v>C-1</v>
      </c>
      <c r="U1558" s="15" t="str">
        <f t="shared" si="6"/>
        <v>T3-M1-H5-FC-1-VERIFY</v>
      </c>
      <c r="V1558" s="15">
        <f t="shared" si="7"/>
        <v>0</v>
      </c>
      <c r="W1558" s="31"/>
      <c r="X1558" s="15" t="str">
        <f t="shared" si="8"/>
        <v>emmen-netherlands</v>
      </c>
      <c r="Y1558" s="32" t="str">
        <f t="shared" si="9"/>
        <v>https://steelmanufacturer.in/market-area/electropolished-pipes-manufacturer-in-emmen-netherlands/</v>
      </c>
      <c r="Z1558" s="15" t="str">
        <f t="shared" si="10"/>
        <v>Electropolished Pipes Manufacturer in Emmen | EP Tube Supplier</v>
      </c>
      <c r="AA1558" s="15" t="str">
        <f t="shared" si="11"/>
        <v>OK (62)</v>
      </c>
      <c r="AB1558" s="15" t="str">
        <f t="shared" si="12"/>
        <v>EP-finished SS 304/316L pipes &amp; tubes for VERIFY plants in Emmen. ASTM A270, ASME BPE SF1-SF4, EN 10204 3.1 MTC. PMI tested.</v>
      </c>
      <c r="AC1558" s="15" t="str">
        <f t="shared" si="13"/>
        <v>PENDING RESEARCH</v>
      </c>
      <c r="AD1558" s="15" t="str">
        <f t="shared" si="14"/>
        <v>Electropolished Pipes Manufacturer in Emmen</v>
      </c>
      <c r="AE1558" s="15" t="str">
        <f t="shared" si="15"/>
        <v>Electropolished Tube Manufacturing Capability Serving Emmen</v>
      </c>
      <c r="AF1558" s="15" t="str">
        <f t="shared" si="16"/>
        <v>Electropolished Pipes Supplier in Emmen - From Order to Delivery</v>
      </c>
      <c r="AG1558" s="15" t="str">
        <f t="shared" si="17"/>
        <v>Stockist &amp; Wholesale Supply of Electropolished Pipes in Emmen</v>
      </c>
      <c r="AH1558" s="15" t="str">
        <f t="shared" si="18"/>
        <v>electropolished pipes manufacturer in Emmen, electropolished pipes supplier in Emmen, electropolished pipes wholesaler in Emmen, electropolished tube manufacturer Emmen, EP pipe supplier Emmen, sanitary tube supplier Emmen, ASME BPE tubing Emmen, ASTM A270 tube Emmen, SS 316L electropolished pipe Emmen</v>
      </c>
      <c r="AI1558" s="15" t="str">
        <f t="shared" si="19"/>
        <v>Electropolished Pipes Manufacturer &amp; Supplier in Emmen</v>
      </c>
      <c r="AJ1558" s="15" t="str">
        <f t="shared" si="20"/>
        <v>EP-finished SS 304/316L pipes and tubes for VERIFY plants in Emmen. ASME BPE SF1-SF4, Ra from 0.25 um, EN 10204 3.1 certificate with every lot.</v>
      </c>
      <c r="AK1558" s="15" t="str">
        <f t="shared" si="21"/>
        <v>Electropolished stainless steel pipes supplied by Sakshi Forge to VERIFY plants at VERIFY, Emmen</v>
      </c>
      <c r="AL1558" s="15" t="str">
        <f t="shared" si="22"/>
        <v>Electropolished SS 316L tube stock for Emmen - Sakshi Forge</v>
      </c>
      <c r="AM1558" s="15" t="str">
        <f t="shared" si="23"/>
        <v>Home &gt; Market Area &gt; Netherlands &gt; VERIFY &gt; Emmen</v>
      </c>
      <c r="AN1558" s="15">
        <f t="shared" si="24"/>
        <v>750</v>
      </c>
      <c r="AO1558" s="15">
        <f t="shared" si="25"/>
        <v>6</v>
      </c>
      <c r="AP1558" s="15">
        <f t="shared" si="26"/>
        <v>6</v>
      </c>
      <c r="AQ1558" s="15">
        <f t="shared" si="27"/>
        <v>26</v>
      </c>
      <c r="AR1558" s="31"/>
      <c r="AS1558" s="31"/>
      <c r="AT1558" s="35" t="s">
        <v>222</v>
      </c>
      <c r="AU1558" s="35"/>
    </row>
    <row r="1559" ht="15.75" customHeight="1">
      <c r="A1559" s="15" t="s">
        <v>7357</v>
      </c>
      <c r="B1559" s="15" t="s">
        <v>255</v>
      </c>
      <c r="C1559" s="15" t="s">
        <v>98</v>
      </c>
      <c r="D1559" s="15" t="s">
        <v>7358</v>
      </c>
      <c r="E1559" s="15" t="s">
        <v>7358</v>
      </c>
      <c r="F1559" s="58" t="s">
        <v>807</v>
      </c>
      <c r="G1559" s="66" t="s">
        <v>98</v>
      </c>
      <c r="H1559" s="18" t="s">
        <v>98</v>
      </c>
      <c r="I1559" s="18" t="s">
        <v>98</v>
      </c>
      <c r="J1559" s="18" t="s">
        <v>98</v>
      </c>
      <c r="K1559" s="18" t="s">
        <v>98</v>
      </c>
      <c r="L1559" s="18" t="s">
        <v>98</v>
      </c>
      <c r="M1559" s="18" t="s">
        <v>561</v>
      </c>
      <c r="N1559" s="18" t="s">
        <v>297</v>
      </c>
      <c r="O1559" s="18" t="s">
        <v>98</v>
      </c>
      <c r="P1559" s="15" t="str">
        <f t="shared" si="1"/>
        <v>VERIFY</v>
      </c>
      <c r="Q1559" s="15">
        <f t="shared" si="2"/>
        <v>4</v>
      </c>
      <c r="R1559" s="15">
        <f t="shared" si="3"/>
        <v>2</v>
      </c>
      <c r="S1559" s="15">
        <f t="shared" si="4"/>
        <v>1</v>
      </c>
      <c r="T1559" s="15" t="str">
        <f t="shared" si="5"/>
        <v>C-2</v>
      </c>
      <c r="U1559" s="15" t="str">
        <f t="shared" si="6"/>
        <v>T4-M2-H1-FC-2-VERIFY</v>
      </c>
      <c r="V1559" s="15">
        <f t="shared" si="7"/>
        <v>0</v>
      </c>
      <c r="W1559" s="31"/>
      <c r="X1559" s="15" t="str">
        <f t="shared" si="8"/>
        <v>gouda-netherlands</v>
      </c>
      <c r="Y1559" s="32" t="str">
        <f t="shared" si="9"/>
        <v>https://steelmanufacturer.in/market-area/electropolished-pipes-manufacturer-in-gouda-netherlands/</v>
      </c>
      <c r="Z1559" s="15" t="str">
        <f t="shared" si="10"/>
        <v>Electropolished Pipes Manufacturer in Gouda - SS 304/316L EP Tube</v>
      </c>
      <c r="AA1559" s="15" t="str">
        <f t="shared" si="11"/>
        <v>OK (65)</v>
      </c>
      <c r="AB1559" s="15" t="str">
        <f t="shared" si="12"/>
        <v>Electropolished tube supply to VERIFY, Gouda. Ra from 0.25 um, SF4 finish, mill test certificate with every lot.</v>
      </c>
      <c r="AC1559" s="15" t="str">
        <f t="shared" si="13"/>
        <v>PENDING RESEARCH</v>
      </c>
      <c r="AD1559" s="15" t="str">
        <f t="shared" si="14"/>
        <v>Electropolished Pipes Manufacturer in Gouda</v>
      </c>
      <c r="AE1559" s="15" t="str">
        <f t="shared" si="15"/>
        <v>Electropolished Pipe &amp; Tube Manufacturing for Gouda - Grades, Finishes &amp; Certification</v>
      </c>
      <c r="AF1559" s="15" t="str">
        <f t="shared" si="16"/>
        <v>Electropolished Pipes Supplier in Gouda - Stock Sizes, Lead Time &amp; Delivery</v>
      </c>
      <c r="AG1559" s="15" t="str">
        <f t="shared" si="17"/>
        <v>Electropolished Pipes Wholesaler &amp; Stockist in Gouda - Bulk &amp; Project Pricing</v>
      </c>
      <c r="AH1559" s="15" t="str">
        <f t="shared" si="18"/>
        <v>electropolished pipes manufacturer in Gouda, electropolished pipes supplier in Gouda, electropolished pipes wholesaler in Gouda, electropolished tube manufacturer Gouda, EP pipe supplier Gouda, sanitary tube supplier Gouda, ASME BPE tubing Gouda, ASTM A270 tube Gouda, SS 316L electropolished pipe Gouda</v>
      </c>
      <c r="AI1559" s="15" t="str">
        <f t="shared" si="19"/>
        <v>Electropolished Pipes Manufacturer &amp; Supplier in Gouda</v>
      </c>
      <c r="AJ1559" s="15" t="str">
        <f t="shared" si="20"/>
        <v>EP-finished SS 304/316L pipes and tubes for VERIFY plants in Gouda. ASME BPE SF1-SF4, Ra from 0.25 um, EN 10204 3.1 certificate with every lot.</v>
      </c>
      <c r="AK1559" s="15" t="str">
        <f t="shared" si="21"/>
        <v>Electropolished stainless steel pipes supplied by Sakshi Forge to VERIFY plants at VERIFY, Gouda</v>
      </c>
      <c r="AL1559" s="15" t="str">
        <f t="shared" si="22"/>
        <v>Electropolished SS 316L tube stock for Gouda - Sakshi Forge</v>
      </c>
      <c r="AM1559" s="15" t="str">
        <f t="shared" si="23"/>
        <v>Home &gt; Market Area &gt; Netherlands &gt; VERIFY &gt; Gouda</v>
      </c>
      <c r="AN1559" s="15">
        <f t="shared" si="24"/>
        <v>750</v>
      </c>
      <c r="AO1559" s="15">
        <f t="shared" si="25"/>
        <v>6</v>
      </c>
      <c r="AP1559" s="15">
        <f t="shared" si="26"/>
        <v>6</v>
      </c>
      <c r="AQ1559" s="15">
        <f t="shared" si="27"/>
        <v>26</v>
      </c>
      <c r="AR1559" s="31"/>
      <c r="AS1559" s="31"/>
      <c r="AT1559" s="35" t="s">
        <v>222</v>
      </c>
      <c r="AU1559" s="35"/>
    </row>
    <row r="1560" ht="15.75" customHeight="1">
      <c r="A1560" s="15" t="s">
        <v>7359</v>
      </c>
      <c r="B1560" s="15" t="s">
        <v>255</v>
      </c>
      <c r="C1560" s="15" t="s">
        <v>98</v>
      </c>
      <c r="D1560" s="15" t="s">
        <v>7360</v>
      </c>
      <c r="E1560" s="15" t="s">
        <v>7360</v>
      </c>
      <c r="F1560" s="58" t="s">
        <v>807</v>
      </c>
      <c r="G1560" s="66" t="s">
        <v>98</v>
      </c>
      <c r="H1560" s="18" t="s">
        <v>98</v>
      </c>
      <c r="I1560" s="18" t="s">
        <v>98</v>
      </c>
      <c r="J1560" s="18" t="s">
        <v>98</v>
      </c>
      <c r="K1560" s="18" t="s">
        <v>98</v>
      </c>
      <c r="L1560" s="18" t="s">
        <v>98</v>
      </c>
      <c r="M1560" s="18" t="s">
        <v>561</v>
      </c>
      <c r="N1560" s="18" t="s">
        <v>297</v>
      </c>
      <c r="O1560" s="18" t="s">
        <v>98</v>
      </c>
      <c r="P1560" s="15" t="str">
        <f t="shared" si="1"/>
        <v>VERIFY</v>
      </c>
      <c r="Q1560" s="15">
        <f t="shared" si="2"/>
        <v>5</v>
      </c>
      <c r="R1560" s="15">
        <f t="shared" si="3"/>
        <v>3</v>
      </c>
      <c r="S1560" s="15">
        <f t="shared" si="4"/>
        <v>2</v>
      </c>
      <c r="T1560" s="15" t="str">
        <f t="shared" si="5"/>
        <v>C-3</v>
      </c>
      <c r="U1560" s="15" t="str">
        <f t="shared" si="6"/>
        <v>T5-M3-H2-FC-3-VERIFY</v>
      </c>
      <c r="V1560" s="15">
        <f t="shared" si="7"/>
        <v>0</v>
      </c>
      <c r="W1560" s="31"/>
      <c r="X1560" s="15" t="str">
        <f t="shared" si="8"/>
        <v>haarlem-netherlands</v>
      </c>
      <c r="Y1560" s="32" t="str">
        <f t="shared" si="9"/>
        <v>https://steelmanufacturer.in/market-area/electropolished-pipes-manufacturer-in-haarlem-netherlands/</v>
      </c>
      <c r="Z1560" s="15" t="str">
        <f t="shared" si="10"/>
        <v>Electropolished Pipes Manufacturer in Haarlem</v>
      </c>
      <c r="AA1560" s="15" t="str">
        <f t="shared" si="11"/>
        <v>OK (45)</v>
      </c>
      <c r="AB1560" s="15" t="str">
        <f t="shared" si="12"/>
        <v>EP stainless tube for VERIFY lines in Haarlem. 23-29 days sea from Nhava Sheva to Rotterdam. ASTM A270 S2, PMI tested, EN 10204 3.1.</v>
      </c>
      <c r="AC1560" s="15" t="str">
        <f t="shared" si="13"/>
        <v>PENDING RESEARCH</v>
      </c>
      <c r="AD1560" s="15" t="str">
        <f t="shared" si="14"/>
        <v>Electropolished Pipes Manufacturer in Haarlem</v>
      </c>
      <c r="AE1560" s="15" t="str">
        <f t="shared" si="15"/>
        <v>How We Manufacture Electropolished Tube for Haarlem Plants</v>
      </c>
      <c r="AF1560" s="15" t="str">
        <f t="shared" si="16"/>
        <v>Supplying Electropolished Pipes in Haarlem: Availability, Sizes &amp; Dispatch</v>
      </c>
      <c r="AG1560" s="15" t="str">
        <f t="shared" si="17"/>
        <v>Wholesale Electropolished Pipe Supply for Haarlem Projects</v>
      </c>
      <c r="AH1560" s="15" t="str">
        <f t="shared" si="18"/>
        <v>electropolished pipes manufacturer in Haarlem, electropolished pipes supplier in Haarlem, electropolished pipes wholesaler in Haarlem, electropolished tube manufacturer Haarlem, EP pipe supplier Haarlem, sanitary tube supplier Haarlem, ASME BPE tubing Haarlem, ASTM A270 tube Haarlem, SS 316L electropolished pipe Haarlem</v>
      </c>
      <c r="AI1560" s="15" t="str">
        <f t="shared" si="19"/>
        <v>Electropolished Pipes Manufacturer &amp; Supplier in Haarlem</v>
      </c>
      <c r="AJ1560" s="15" t="str">
        <f t="shared" si="20"/>
        <v>EP-finished SS 304/316L pipes and tubes for VERIFY plants in Haarlem. ASME BPE SF1-SF4, Ra from 0.25 um, EN 10204 3.1 certificate with every lot.</v>
      </c>
      <c r="AK1560" s="15" t="str">
        <f t="shared" si="21"/>
        <v>Electropolished stainless steel pipes supplied by Sakshi Forge to VERIFY plants at VERIFY, Haarlem</v>
      </c>
      <c r="AL1560" s="15" t="str">
        <f t="shared" si="22"/>
        <v>Electropolished SS 316L tube stock for Haarlem - Sakshi Forge</v>
      </c>
      <c r="AM1560" s="15" t="str">
        <f t="shared" si="23"/>
        <v>Home &gt; Market Area &gt; Netherlands &gt; VERIFY &gt; Haarlem</v>
      </c>
      <c r="AN1560" s="15">
        <f t="shared" si="24"/>
        <v>750</v>
      </c>
      <c r="AO1560" s="15">
        <f t="shared" si="25"/>
        <v>6</v>
      </c>
      <c r="AP1560" s="15">
        <f t="shared" si="26"/>
        <v>6</v>
      </c>
      <c r="AQ1560" s="15">
        <f t="shared" si="27"/>
        <v>26</v>
      </c>
      <c r="AR1560" s="31"/>
      <c r="AS1560" s="31"/>
      <c r="AT1560" s="35" t="s">
        <v>222</v>
      </c>
      <c r="AU1560" s="35"/>
    </row>
    <row r="1561" ht="15.75" customHeight="1">
      <c r="A1561" s="15" t="s">
        <v>7361</v>
      </c>
      <c r="B1561" s="15" t="s">
        <v>255</v>
      </c>
      <c r="C1561" s="15" t="s">
        <v>98</v>
      </c>
      <c r="D1561" s="15" t="s">
        <v>7362</v>
      </c>
      <c r="E1561" s="15" t="s">
        <v>7362</v>
      </c>
      <c r="F1561" s="58" t="s">
        <v>807</v>
      </c>
      <c r="G1561" s="66" t="s">
        <v>98</v>
      </c>
      <c r="H1561" s="18" t="s">
        <v>98</v>
      </c>
      <c r="I1561" s="18" t="s">
        <v>98</v>
      </c>
      <c r="J1561" s="18" t="s">
        <v>98</v>
      </c>
      <c r="K1561" s="18" t="s">
        <v>98</v>
      </c>
      <c r="L1561" s="18" t="s">
        <v>98</v>
      </c>
      <c r="M1561" s="18" t="s">
        <v>561</v>
      </c>
      <c r="N1561" s="18" t="s">
        <v>297</v>
      </c>
      <c r="O1561" s="18" t="s">
        <v>98</v>
      </c>
      <c r="P1561" s="15" t="str">
        <f t="shared" si="1"/>
        <v>VERIFY</v>
      </c>
      <c r="Q1561" s="15">
        <f t="shared" si="2"/>
        <v>6</v>
      </c>
      <c r="R1561" s="15">
        <f t="shared" si="3"/>
        <v>4</v>
      </c>
      <c r="S1561" s="15">
        <f t="shared" si="4"/>
        <v>3</v>
      </c>
      <c r="T1561" s="15" t="str">
        <f t="shared" si="5"/>
        <v>C-4</v>
      </c>
      <c r="U1561" s="15" t="str">
        <f t="shared" si="6"/>
        <v>T6-M4-H3-FC-4-VERIFY</v>
      </c>
      <c r="V1561" s="15">
        <f t="shared" si="7"/>
        <v>0</v>
      </c>
      <c r="W1561" s="31"/>
      <c r="X1561" s="15" t="str">
        <f t="shared" si="8"/>
        <v>heerlen-netherlands</v>
      </c>
      <c r="Y1561" s="32" t="str">
        <f t="shared" si="9"/>
        <v>https://steelmanufacturer.in/market-area/electropolished-pipes-manufacturer-in-heerlen-netherlands/</v>
      </c>
      <c r="Z1561" s="15" t="str">
        <f t="shared" si="10"/>
        <v>Electropolished Pipes Manufacturer in Heerlen</v>
      </c>
      <c r="AA1561" s="15" t="str">
        <f t="shared" si="11"/>
        <v>OK (45)</v>
      </c>
      <c r="AB1561" s="15" t="str">
        <f t="shared" si="12"/>
        <v>Sanitary electropolished pipes in Heerlen for VERIFY plants. ASME BPE SF1-SF4, orbital-weld ready, 3.1 MTC. Mumbai-made.</v>
      </c>
      <c r="AC1561" s="15" t="str">
        <f t="shared" si="13"/>
        <v>PENDING RESEARCH</v>
      </c>
      <c r="AD1561" s="15" t="str">
        <f t="shared" si="14"/>
        <v>Electropolished Pipes Manufacturer in Heerlen</v>
      </c>
      <c r="AE1561" s="15" t="str">
        <f t="shared" si="15"/>
        <v>Electropolished Pipes Manufacturer in Heerlen - Our Process &amp; Capability</v>
      </c>
      <c r="AF1561" s="15" t="str">
        <f t="shared" si="16"/>
        <v>Electropolished Pipes Supplier in Heerlen - What We Hold in Stock</v>
      </c>
      <c r="AG1561" s="15" t="str">
        <f t="shared" si="17"/>
        <v>Bulk &amp; Wholesale Electropolished Pipe Rates for Heerlen Buyers</v>
      </c>
      <c r="AH1561" s="15" t="str">
        <f t="shared" si="18"/>
        <v>electropolished pipes manufacturer in Heerlen, electropolished pipes supplier in Heerlen, electropolished pipes wholesaler in Heerlen, electropolished tube manufacturer Heerlen, EP pipe supplier Heerlen, sanitary tube supplier Heerlen, ASME BPE tubing Heerlen, ASTM A270 tube Heerlen, SS 316L electropolished pipe Heerlen</v>
      </c>
      <c r="AI1561" s="15" t="str">
        <f t="shared" si="19"/>
        <v>Electropolished Pipes Manufacturer &amp; Supplier in Heerlen</v>
      </c>
      <c r="AJ1561" s="15" t="str">
        <f t="shared" si="20"/>
        <v>EP-finished SS 304/316L pipes and tubes for VERIFY plants in Heerlen. ASME BPE SF1-SF4, Ra from 0.25 um, EN 10204 3.1 certificate with every lot.</v>
      </c>
      <c r="AK1561" s="15" t="str">
        <f t="shared" si="21"/>
        <v>Electropolished stainless steel pipes supplied by Sakshi Forge to VERIFY plants at VERIFY, Heerlen</v>
      </c>
      <c r="AL1561" s="15" t="str">
        <f t="shared" si="22"/>
        <v>Electropolished SS 316L tube stock for Heerlen - Sakshi Forge</v>
      </c>
      <c r="AM1561" s="15" t="str">
        <f t="shared" si="23"/>
        <v>Home &gt; Market Area &gt; Netherlands &gt; VERIFY &gt; Heerlen</v>
      </c>
      <c r="AN1561" s="15">
        <f t="shared" si="24"/>
        <v>750</v>
      </c>
      <c r="AO1561" s="15">
        <f t="shared" si="25"/>
        <v>6</v>
      </c>
      <c r="AP1561" s="15">
        <f t="shared" si="26"/>
        <v>6</v>
      </c>
      <c r="AQ1561" s="15">
        <f t="shared" si="27"/>
        <v>26</v>
      </c>
      <c r="AR1561" s="31"/>
      <c r="AS1561" s="31"/>
      <c r="AT1561" s="35" t="s">
        <v>222</v>
      </c>
      <c r="AU1561" s="35"/>
    </row>
    <row r="1562" ht="15.75" customHeight="1">
      <c r="A1562" s="15" t="s">
        <v>7363</v>
      </c>
      <c r="B1562" s="15" t="s">
        <v>255</v>
      </c>
      <c r="C1562" s="15" t="s">
        <v>98</v>
      </c>
      <c r="D1562" s="15" t="s">
        <v>7364</v>
      </c>
      <c r="E1562" s="15" t="s">
        <v>7364</v>
      </c>
      <c r="F1562" s="58" t="s">
        <v>807</v>
      </c>
      <c r="G1562" s="66" t="s">
        <v>98</v>
      </c>
      <c r="H1562" s="18" t="s">
        <v>98</v>
      </c>
      <c r="I1562" s="18" t="s">
        <v>98</v>
      </c>
      <c r="J1562" s="18" t="s">
        <v>98</v>
      </c>
      <c r="K1562" s="18" t="s">
        <v>98</v>
      </c>
      <c r="L1562" s="18" t="s">
        <v>98</v>
      </c>
      <c r="M1562" s="18" t="s">
        <v>561</v>
      </c>
      <c r="N1562" s="18" t="s">
        <v>297</v>
      </c>
      <c r="O1562" s="18" t="s">
        <v>98</v>
      </c>
      <c r="P1562" s="15" t="str">
        <f t="shared" si="1"/>
        <v>VERIFY</v>
      </c>
      <c r="Q1562" s="15">
        <f t="shared" si="2"/>
        <v>7</v>
      </c>
      <c r="R1562" s="15">
        <f t="shared" si="3"/>
        <v>5</v>
      </c>
      <c r="S1562" s="15">
        <f t="shared" si="4"/>
        <v>4</v>
      </c>
      <c r="T1562" s="15" t="str">
        <f t="shared" si="5"/>
        <v>C-5</v>
      </c>
      <c r="U1562" s="15" t="str">
        <f t="shared" si="6"/>
        <v>T7-M5-H4-FC-5-VERIFY</v>
      </c>
      <c r="V1562" s="15">
        <f t="shared" si="7"/>
        <v>0</v>
      </c>
      <c r="W1562" s="31"/>
      <c r="X1562" s="15" t="str">
        <f t="shared" si="8"/>
        <v>helmond-netherlands</v>
      </c>
      <c r="Y1562" s="32" t="str">
        <f t="shared" si="9"/>
        <v>https://steelmanufacturer.in/market-area/electropolished-pipes-manufacturer-in-helmond-netherlands/</v>
      </c>
      <c r="Z1562" s="15" t="str">
        <f t="shared" si="10"/>
        <v>Electropolished Pipes Manufacturer in Helmond | ASME BPE SF1-SF4</v>
      </c>
      <c r="AA1562" s="15" t="str">
        <f t="shared" si="11"/>
        <v>OK (64)</v>
      </c>
      <c r="AB1562" s="15" t="str">
        <f t="shared" si="12"/>
        <v>Manufacturer of electropolished SS 316L tube serving Helmond. 23-29 days sea from Nhava Sheva to Rotterdam. Ra 0.25-0.5 um, EN 10204 3.1 MTC.</v>
      </c>
      <c r="AC1562" s="15" t="str">
        <f t="shared" si="13"/>
        <v>PENDING RESEARCH</v>
      </c>
      <c r="AD1562" s="15" t="str">
        <f t="shared" si="14"/>
        <v>Electropolished Pipes Manufacturer in Helmond</v>
      </c>
      <c r="AE1562" s="15" t="str">
        <f t="shared" si="15"/>
        <v>Manufacturing Electropolished SS Tube for Helmond: The Standards We Build To</v>
      </c>
      <c r="AF1562" s="15" t="str">
        <f t="shared" si="16"/>
        <v>Electropolished Pipe Supply Into Helmond - Certification &amp; Transit</v>
      </c>
      <c r="AG1562" s="15" t="str">
        <f t="shared" si="17"/>
        <v>Electropolished Pipes Wholesaler in Helmond - Project Quantities &amp; Terms</v>
      </c>
      <c r="AH1562" s="15" t="str">
        <f t="shared" si="18"/>
        <v>electropolished pipes manufacturer in Helmond, electropolished pipes supplier in Helmond, electropolished pipes wholesaler in Helmond, electropolished tube manufacturer Helmond, EP pipe supplier Helmond, sanitary tube supplier Helmond, ASME BPE tubing Helmond, ASTM A270 tube Helmond, SS 316L electropolished pipe Helmond</v>
      </c>
      <c r="AI1562" s="15" t="str">
        <f t="shared" si="19"/>
        <v>Electropolished Pipes Manufacturer &amp; Supplier in Helmond</v>
      </c>
      <c r="AJ1562" s="15" t="str">
        <f t="shared" si="20"/>
        <v>EP-finished SS 304/316L pipes and tubes for VERIFY plants in Helmond. ASME BPE SF1-SF4, Ra from 0.25 um, EN 10204 3.1 certificate with every lot.</v>
      </c>
      <c r="AK1562" s="15" t="str">
        <f t="shared" si="21"/>
        <v>Electropolished stainless steel pipes supplied by Sakshi Forge to VERIFY plants at VERIFY, Helmond</v>
      </c>
      <c r="AL1562" s="15" t="str">
        <f t="shared" si="22"/>
        <v>Electropolished SS 316L tube stock for Helmond - Sakshi Forge</v>
      </c>
      <c r="AM1562" s="15" t="str">
        <f t="shared" si="23"/>
        <v>Home &gt; Market Area &gt; Netherlands &gt; VERIFY &gt; Helmond</v>
      </c>
      <c r="AN1562" s="15">
        <f t="shared" si="24"/>
        <v>750</v>
      </c>
      <c r="AO1562" s="15">
        <f t="shared" si="25"/>
        <v>6</v>
      </c>
      <c r="AP1562" s="15">
        <f t="shared" si="26"/>
        <v>6</v>
      </c>
      <c r="AQ1562" s="15">
        <f t="shared" si="27"/>
        <v>26</v>
      </c>
      <c r="AR1562" s="31"/>
      <c r="AS1562" s="31"/>
      <c r="AT1562" s="35" t="s">
        <v>222</v>
      </c>
      <c r="AU1562" s="35"/>
    </row>
    <row r="1563" ht="15.75" customHeight="1">
      <c r="A1563" s="15" t="s">
        <v>7365</v>
      </c>
      <c r="B1563" s="15" t="s">
        <v>255</v>
      </c>
      <c r="C1563" s="15" t="s">
        <v>98</v>
      </c>
      <c r="D1563" s="15" t="s">
        <v>7366</v>
      </c>
      <c r="E1563" s="15" t="s">
        <v>7366</v>
      </c>
      <c r="F1563" s="58" t="s">
        <v>807</v>
      </c>
      <c r="G1563" s="66" t="s">
        <v>98</v>
      </c>
      <c r="H1563" s="18" t="s">
        <v>98</v>
      </c>
      <c r="I1563" s="18" t="s">
        <v>98</v>
      </c>
      <c r="J1563" s="18" t="s">
        <v>98</v>
      </c>
      <c r="K1563" s="18" t="s">
        <v>98</v>
      </c>
      <c r="L1563" s="18" t="s">
        <v>98</v>
      </c>
      <c r="M1563" s="18" t="s">
        <v>561</v>
      </c>
      <c r="N1563" s="18" t="s">
        <v>297</v>
      </c>
      <c r="O1563" s="18" t="s">
        <v>98</v>
      </c>
      <c r="P1563" s="15" t="str">
        <f t="shared" si="1"/>
        <v>VERIFY</v>
      </c>
      <c r="Q1563" s="15">
        <f t="shared" si="2"/>
        <v>8</v>
      </c>
      <c r="R1563" s="15">
        <f t="shared" si="3"/>
        <v>6</v>
      </c>
      <c r="S1563" s="15">
        <f t="shared" si="4"/>
        <v>5</v>
      </c>
      <c r="T1563" s="15" t="str">
        <f t="shared" si="5"/>
        <v>C-6</v>
      </c>
      <c r="U1563" s="15" t="str">
        <f t="shared" si="6"/>
        <v>T8-M6-H5-FC-6-VERIFY</v>
      </c>
      <c r="V1563" s="15">
        <f t="shared" si="7"/>
        <v>0</v>
      </c>
      <c r="W1563" s="31"/>
      <c r="X1563" s="15" t="str">
        <f t="shared" si="8"/>
        <v>hengelo-netherlands</v>
      </c>
      <c r="Y1563" s="32" t="str">
        <f t="shared" si="9"/>
        <v>https://steelmanufacturer.in/market-area/electropolished-pipes-manufacturer-in-hengelo-netherlands/</v>
      </c>
      <c r="Z1563" s="15" t="str">
        <f t="shared" si="10"/>
        <v>Electropolished Pipes Manufacturer in Hengelo - EP Tube Stockist</v>
      </c>
      <c r="AA1563" s="15" t="str">
        <f t="shared" si="11"/>
        <v>OK (64)</v>
      </c>
      <c r="AB1563" s="15" t="str">
        <f t="shared" si="12"/>
        <v>EP tube and pipe for VERIFY plants around VERIFY, Hengelo. Made at our Mumbai works to ASTM A270 and ASME BPE SF1-SF4, with 3.1 MTC.</v>
      </c>
      <c r="AC1563" s="15" t="str">
        <f t="shared" si="13"/>
        <v>PENDING RESEARCH</v>
      </c>
      <c r="AD1563" s="15" t="str">
        <f t="shared" si="14"/>
        <v>Electropolished Pipes Manufacturer in Hengelo</v>
      </c>
      <c r="AE1563" s="15" t="str">
        <f t="shared" si="15"/>
        <v>Electropolished Tube Manufacturing Capability Serving Hengelo</v>
      </c>
      <c r="AF1563" s="15" t="str">
        <f t="shared" si="16"/>
        <v>Electropolished Pipes Supplier in Hengelo - From Order to Delivery</v>
      </c>
      <c r="AG1563" s="15" t="str">
        <f t="shared" si="17"/>
        <v>Stockist &amp; Wholesale Supply of Electropolished Pipes in Hengelo</v>
      </c>
      <c r="AH1563" s="15" t="str">
        <f t="shared" si="18"/>
        <v>electropolished pipes manufacturer in Hengelo, electropolished pipes supplier in Hengelo, electropolished pipes wholesaler in Hengelo, electropolished tube manufacturer Hengelo, EP pipe supplier Hengelo, sanitary tube supplier Hengelo, ASME BPE tubing Hengelo, ASTM A270 tube Hengelo, SS 316L electropolished pipe Hengelo</v>
      </c>
      <c r="AI1563" s="15" t="str">
        <f t="shared" si="19"/>
        <v>Electropolished Pipes Manufacturer &amp; Supplier in Hengelo</v>
      </c>
      <c r="AJ1563" s="15" t="str">
        <f t="shared" si="20"/>
        <v>EP-finished SS 304/316L pipes and tubes for VERIFY plants in Hengelo. ASME BPE SF1-SF4, Ra from 0.25 um, EN 10204 3.1 certificate with every lot.</v>
      </c>
      <c r="AK1563" s="15" t="str">
        <f t="shared" si="21"/>
        <v>Electropolished stainless steel pipes supplied by Sakshi Forge to VERIFY plants at VERIFY, Hengelo</v>
      </c>
      <c r="AL1563" s="15" t="str">
        <f t="shared" si="22"/>
        <v>Electropolished SS 316L tube stock for Hengelo - Sakshi Forge</v>
      </c>
      <c r="AM1563" s="15" t="str">
        <f t="shared" si="23"/>
        <v>Home &gt; Market Area &gt; Netherlands &gt; VERIFY &gt; Hengelo</v>
      </c>
      <c r="AN1563" s="15">
        <f t="shared" si="24"/>
        <v>750</v>
      </c>
      <c r="AO1563" s="15">
        <f t="shared" si="25"/>
        <v>6</v>
      </c>
      <c r="AP1563" s="15">
        <f t="shared" si="26"/>
        <v>6</v>
      </c>
      <c r="AQ1563" s="15">
        <f t="shared" si="27"/>
        <v>26</v>
      </c>
      <c r="AR1563" s="31"/>
      <c r="AS1563" s="31"/>
      <c r="AT1563" s="35" t="s">
        <v>222</v>
      </c>
      <c r="AU1563" s="35"/>
    </row>
    <row r="1564" ht="15.75" customHeight="1">
      <c r="A1564" s="15" t="s">
        <v>7367</v>
      </c>
      <c r="B1564" s="15" t="s">
        <v>255</v>
      </c>
      <c r="C1564" s="15" t="s">
        <v>98</v>
      </c>
      <c r="D1564" s="15" t="s">
        <v>7368</v>
      </c>
      <c r="E1564" s="15" t="s">
        <v>7368</v>
      </c>
      <c r="F1564" s="58" t="s">
        <v>807</v>
      </c>
      <c r="G1564" s="66" t="s">
        <v>98</v>
      </c>
      <c r="H1564" s="18" t="s">
        <v>98</v>
      </c>
      <c r="I1564" s="18" t="s">
        <v>98</v>
      </c>
      <c r="J1564" s="18" t="s">
        <v>98</v>
      </c>
      <c r="K1564" s="18" t="s">
        <v>98</v>
      </c>
      <c r="L1564" s="18" t="s">
        <v>98</v>
      </c>
      <c r="M1564" s="18" t="s">
        <v>561</v>
      </c>
      <c r="N1564" s="18" t="s">
        <v>297</v>
      </c>
      <c r="O1564" s="18" t="s">
        <v>98</v>
      </c>
      <c r="P1564" s="15" t="str">
        <f t="shared" si="1"/>
        <v>VERIFY</v>
      </c>
      <c r="Q1564" s="15">
        <f t="shared" si="2"/>
        <v>1</v>
      </c>
      <c r="R1564" s="15">
        <f t="shared" si="3"/>
        <v>7</v>
      </c>
      <c r="S1564" s="15">
        <f t="shared" si="4"/>
        <v>1</v>
      </c>
      <c r="T1564" s="15" t="str">
        <f t="shared" si="5"/>
        <v>C-1</v>
      </c>
      <c r="U1564" s="15" t="str">
        <f t="shared" si="6"/>
        <v>T1-M7-H1-FC-1-VERIFY</v>
      </c>
      <c r="V1564" s="15">
        <f t="shared" si="7"/>
        <v>0</v>
      </c>
      <c r="W1564" s="31"/>
      <c r="X1564" s="15" t="str">
        <f t="shared" si="8"/>
        <v>hoorn-netherlands</v>
      </c>
      <c r="Y1564" s="32" t="str">
        <f t="shared" si="9"/>
        <v>https://steelmanufacturer.in/market-area/electropolished-pipes-manufacturer-in-hoorn-netherlands/</v>
      </c>
      <c r="Z1564" s="15" t="str">
        <f t="shared" si="10"/>
        <v>Electropolished Pipes Manufacturer in Hoorn | Sakshi Forge</v>
      </c>
      <c r="AA1564" s="15" t="str">
        <f t="shared" si="11"/>
        <v>OK (58)</v>
      </c>
      <c r="AB1564" s="15" t="str">
        <f t="shared" si="12"/>
        <v>Electropolished pipes in Hoorn: 304, 304L, 316 and 316L in SF1-SF4. 23-29 days sea from Nhava Sheva to Rotterdam. Mill certified.</v>
      </c>
      <c r="AC1564" s="15" t="str">
        <f t="shared" si="13"/>
        <v>PENDING RESEARCH</v>
      </c>
      <c r="AD1564" s="15" t="str">
        <f t="shared" si="14"/>
        <v>Electropolished Pipes Manufacturer in Hoorn</v>
      </c>
      <c r="AE1564" s="15" t="str">
        <f t="shared" si="15"/>
        <v>Electropolished Pipe &amp; Tube Manufacturing for Hoorn - Grades, Finishes &amp; Certification</v>
      </c>
      <c r="AF1564" s="15" t="str">
        <f t="shared" si="16"/>
        <v>Electropolished Pipes Supplier in Hoorn - Stock Sizes, Lead Time &amp; Delivery</v>
      </c>
      <c r="AG1564" s="15" t="str">
        <f t="shared" si="17"/>
        <v>Electropolished Pipes Wholesaler &amp; Stockist in Hoorn - Bulk &amp; Project Pricing</v>
      </c>
      <c r="AH1564" s="15" t="str">
        <f t="shared" si="18"/>
        <v>electropolished pipes manufacturer in Hoorn, electropolished pipes supplier in Hoorn, electropolished pipes wholesaler in Hoorn, electropolished tube manufacturer Hoorn, EP pipe supplier Hoorn, sanitary tube supplier Hoorn, ASME BPE tubing Hoorn, ASTM A270 tube Hoorn, SS 316L electropolished pipe Hoorn</v>
      </c>
      <c r="AI1564" s="15" t="str">
        <f t="shared" si="19"/>
        <v>Electropolished Pipes Manufacturer &amp; Supplier in Hoorn</v>
      </c>
      <c r="AJ1564" s="15" t="str">
        <f t="shared" si="20"/>
        <v>EP-finished SS 304/316L pipes and tubes for VERIFY plants in Hoorn. ASME BPE SF1-SF4, Ra from 0.25 um, EN 10204 3.1 certificate with every lot.</v>
      </c>
      <c r="AK1564" s="15" t="str">
        <f t="shared" si="21"/>
        <v>Electropolished stainless steel pipes supplied by Sakshi Forge to VERIFY plants at VERIFY, Hoorn</v>
      </c>
      <c r="AL1564" s="15" t="str">
        <f t="shared" si="22"/>
        <v>Electropolished SS 316L tube stock for Hoorn - Sakshi Forge</v>
      </c>
      <c r="AM1564" s="15" t="str">
        <f t="shared" si="23"/>
        <v>Home &gt; Market Area &gt; Netherlands &gt; VERIFY &gt; Hoorn</v>
      </c>
      <c r="AN1564" s="15">
        <f t="shared" si="24"/>
        <v>750</v>
      </c>
      <c r="AO1564" s="15">
        <f t="shared" si="25"/>
        <v>6</v>
      </c>
      <c r="AP1564" s="15">
        <f t="shared" si="26"/>
        <v>6</v>
      </c>
      <c r="AQ1564" s="15">
        <f t="shared" si="27"/>
        <v>27</v>
      </c>
      <c r="AR1564" s="31"/>
      <c r="AS1564" s="31"/>
      <c r="AT1564" s="35" t="s">
        <v>222</v>
      </c>
      <c r="AU1564" s="35"/>
    </row>
    <row r="1565" ht="15.75" customHeight="1">
      <c r="A1565" s="15" t="s">
        <v>7369</v>
      </c>
      <c r="B1565" s="15" t="s">
        <v>255</v>
      </c>
      <c r="C1565" s="15" t="s">
        <v>98</v>
      </c>
      <c r="D1565" s="15" t="s">
        <v>7370</v>
      </c>
      <c r="E1565" s="15" t="s">
        <v>7370</v>
      </c>
      <c r="F1565" s="58" t="s">
        <v>807</v>
      </c>
      <c r="G1565" s="66" t="s">
        <v>98</v>
      </c>
      <c r="H1565" s="18" t="s">
        <v>98</v>
      </c>
      <c r="I1565" s="18" t="s">
        <v>98</v>
      </c>
      <c r="J1565" s="18" t="s">
        <v>98</v>
      </c>
      <c r="K1565" s="18" t="s">
        <v>98</v>
      </c>
      <c r="L1565" s="18" t="s">
        <v>98</v>
      </c>
      <c r="M1565" s="18" t="s">
        <v>561</v>
      </c>
      <c r="N1565" s="18" t="s">
        <v>297</v>
      </c>
      <c r="O1565" s="18" t="s">
        <v>98</v>
      </c>
      <c r="P1565" s="15" t="str">
        <f t="shared" si="1"/>
        <v>VERIFY</v>
      </c>
      <c r="Q1565" s="15">
        <f t="shared" si="2"/>
        <v>2</v>
      </c>
      <c r="R1565" s="15">
        <f t="shared" si="3"/>
        <v>1</v>
      </c>
      <c r="S1565" s="15">
        <f t="shared" si="4"/>
        <v>2</v>
      </c>
      <c r="T1565" s="15" t="str">
        <f t="shared" si="5"/>
        <v>C-2</v>
      </c>
      <c r="U1565" s="15" t="str">
        <f t="shared" si="6"/>
        <v>T2-M1-H2-FC-2-VERIFY</v>
      </c>
      <c r="V1565" s="15">
        <f t="shared" si="7"/>
        <v>0</v>
      </c>
      <c r="W1565" s="31"/>
      <c r="X1565" s="15" t="str">
        <f t="shared" si="8"/>
        <v>leeuwarden-netherlands</v>
      </c>
      <c r="Y1565" s="32" t="str">
        <f t="shared" si="9"/>
        <v>https://steelmanufacturer.in/market-area/electropolished-pipes-manufacturer-in-leeuwarden-netherlands/</v>
      </c>
      <c r="Z1565" s="15" t="str">
        <f t="shared" si="10"/>
        <v>Electropolished Pipes Manufacturer in Leeuwarden</v>
      </c>
      <c r="AA1565" s="15" t="str">
        <f t="shared" si="11"/>
        <v>OK (48)</v>
      </c>
      <c r="AB1565" s="15" t="str">
        <f t="shared" si="12"/>
        <v>EP-finished SS 304/316L pipes &amp; tubes for VERIFY plants in Leeuwarden. ASTM A270, ASME BPE SF1-SF4, EN 10204 3.1 MTC. PMI tested.</v>
      </c>
      <c r="AC1565" s="15" t="str">
        <f t="shared" si="13"/>
        <v>PENDING RESEARCH</v>
      </c>
      <c r="AD1565" s="15" t="str">
        <f t="shared" si="14"/>
        <v>Electropolished Pipes Manufacturer in Leeuwarden</v>
      </c>
      <c r="AE1565" s="15" t="str">
        <f t="shared" si="15"/>
        <v>How We Manufacture Electropolished Tube for Leeuwarden Plants</v>
      </c>
      <c r="AF1565" s="15" t="str">
        <f t="shared" si="16"/>
        <v>Supplying Electropolished Pipes in Leeuwarden: Availability, Sizes &amp; Dispatch</v>
      </c>
      <c r="AG1565" s="15" t="str">
        <f t="shared" si="17"/>
        <v>Wholesale Electropolished Pipe Supply for Leeuwarden Projects</v>
      </c>
      <c r="AH1565" s="15" t="str">
        <f t="shared" si="18"/>
        <v>electropolished pipes manufacturer in Leeuwarden, electropolished pipes supplier in Leeuwarden, electropolished pipes wholesaler in Leeuwarden, electropolished tube manufacturer Leeuwarden, EP pipe supplier Leeuwarden, sanitary tube supplier Leeuwarden, ASME BPE tubing Leeuwarden, ASTM A270 tube Leeuwarden, SS 316L electropolished pipe Leeuwarden</v>
      </c>
      <c r="AI1565" s="15" t="str">
        <f t="shared" si="19"/>
        <v>Electropolished Pipes Manufacturer &amp; Supplier in Leeuwarden</v>
      </c>
      <c r="AJ1565" s="15" t="str">
        <f t="shared" si="20"/>
        <v>EP-finished SS 304/316L pipes and tubes for VERIFY plants in Leeuwarden. ASME BPE SF1-SF4, Ra from 0.25 um, EN 10204 3.1 certificate with every lot.</v>
      </c>
      <c r="AK1565" s="15" t="str">
        <f t="shared" si="21"/>
        <v>Electropolished stainless steel pipes supplied by Sakshi Forge to VERIFY plants at VERIFY, Leeuwarden</v>
      </c>
      <c r="AL1565" s="15" t="str">
        <f t="shared" si="22"/>
        <v>Electropolished SS 316L tube stock for Leeuwarden - Sakshi Forge</v>
      </c>
      <c r="AM1565" s="15" t="str">
        <f t="shared" si="23"/>
        <v>Home &gt; Market Area &gt; Netherlands &gt; VERIFY &gt; Leeuwarden</v>
      </c>
      <c r="AN1565" s="15">
        <f t="shared" si="24"/>
        <v>750</v>
      </c>
      <c r="AO1565" s="15">
        <f t="shared" si="25"/>
        <v>6</v>
      </c>
      <c r="AP1565" s="15">
        <f t="shared" si="26"/>
        <v>6</v>
      </c>
      <c r="AQ1565" s="15">
        <f t="shared" si="27"/>
        <v>27</v>
      </c>
      <c r="AR1565" s="31"/>
      <c r="AS1565" s="31"/>
      <c r="AT1565" s="35" t="s">
        <v>222</v>
      </c>
      <c r="AU1565" s="35"/>
    </row>
    <row r="1566" ht="15.75" customHeight="1">
      <c r="A1566" s="15" t="s">
        <v>7371</v>
      </c>
      <c r="B1566" s="15" t="s">
        <v>255</v>
      </c>
      <c r="C1566" s="15" t="s">
        <v>98</v>
      </c>
      <c r="D1566" s="15" t="s">
        <v>7374</v>
      </c>
      <c r="E1566" s="15" t="s">
        <v>7374</v>
      </c>
      <c r="F1566" s="58" t="s">
        <v>807</v>
      </c>
      <c r="G1566" s="66" t="s">
        <v>98</v>
      </c>
      <c r="H1566" s="18" t="s">
        <v>98</v>
      </c>
      <c r="I1566" s="18" t="s">
        <v>98</v>
      </c>
      <c r="J1566" s="18" t="s">
        <v>98</v>
      </c>
      <c r="K1566" s="18" t="s">
        <v>98</v>
      </c>
      <c r="L1566" s="18" t="s">
        <v>98</v>
      </c>
      <c r="M1566" s="18" t="s">
        <v>561</v>
      </c>
      <c r="N1566" s="18" t="s">
        <v>297</v>
      </c>
      <c r="O1566" s="18" t="s">
        <v>98</v>
      </c>
      <c r="P1566" s="15" t="str">
        <f t="shared" si="1"/>
        <v>VERIFY</v>
      </c>
      <c r="Q1566" s="15">
        <f t="shared" si="2"/>
        <v>3</v>
      </c>
      <c r="R1566" s="15">
        <f t="shared" si="3"/>
        <v>2</v>
      </c>
      <c r="S1566" s="15">
        <f t="shared" si="4"/>
        <v>3</v>
      </c>
      <c r="T1566" s="15" t="str">
        <f t="shared" si="5"/>
        <v>C-3</v>
      </c>
      <c r="U1566" s="15" t="str">
        <f t="shared" si="6"/>
        <v>T3-M2-H3-FC-3-VERIFY</v>
      </c>
      <c r="V1566" s="15">
        <f t="shared" si="7"/>
        <v>0</v>
      </c>
      <c r="W1566" s="31"/>
      <c r="X1566" s="15" t="str">
        <f t="shared" si="8"/>
        <v>maastricht-netherlands</v>
      </c>
      <c r="Y1566" s="32" t="str">
        <f t="shared" si="9"/>
        <v>https://steelmanufacturer.in/market-area/electropolished-pipes-manufacturer-in-maastricht-netherlands/</v>
      </c>
      <c r="Z1566" s="15" t="str">
        <f t="shared" si="10"/>
        <v>Electropolished Pipes Manufacturer in Maastricht</v>
      </c>
      <c r="AA1566" s="15" t="str">
        <f t="shared" si="11"/>
        <v>OK (48)</v>
      </c>
      <c r="AB1566" s="15" t="str">
        <f t="shared" si="12"/>
        <v>Electropolished tube supply to VERIFY, Maastricht. Ra from 0.25 um, SF4 finish, mill test certificate with every lot.</v>
      </c>
      <c r="AC1566" s="15" t="str">
        <f t="shared" si="13"/>
        <v>PENDING RESEARCH</v>
      </c>
      <c r="AD1566" s="15" t="str">
        <f t="shared" si="14"/>
        <v>Electropolished Pipes Manufacturer in Maastricht</v>
      </c>
      <c r="AE1566" s="15" t="str">
        <f t="shared" si="15"/>
        <v>Electropolished Pipes Manufacturer in Maastricht - Our Process &amp; Capability</v>
      </c>
      <c r="AF1566" s="15" t="str">
        <f t="shared" si="16"/>
        <v>Electropolished Pipes Supplier in Maastricht - What We Hold in Stock</v>
      </c>
      <c r="AG1566" s="15" t="str">
        <f t="shared" si="17"/>
        <v>Bulk &amp; Wholesale Electropolished Pipe Rates for Maastricht Buyers</v>
      </c>
      <c r="AH1566" s="15" t="str">
        <f t="shared" si="18"/>
        <v>electropolished pipes manufacturer in Maastricht, electropolished pipes supplier in Maastricht, electropolished pipes wholesaler in Maastricht, electropolished tube manufacturer Maastricht, EP pipe supplier Maastricht, sanitary tube supplier Maastricht, ASME BPE tubing Maastricht, ASTM A270 tube Maastricht, SS 316L electropolished pipe Maastricht</v>
      </c>
      <c r="AI1566" s="15" t="str">
        <f t="shared" si="19"/>
        <v>Electropolished Pipes Manufacturer &amp; Supplier in Maastricht</v>
      </c>
      <c r="AJ1566" s="15" t="str">
        <f t="shared" si="20"/>
        <v>EP-finished SS 304/316L pipes and tubes for VERIFY plants in Maastricht. ASME BPE SF1-SF4, Ra from 0.25 um, EN 10204 3.1 certificate with every lot.</v>
      </c>
      <c r="AK1566" s="15" t="str">
        <f t="shared" si="21"/>
        <v>Electropolished stainless steel pipes supplied by Sakshi Forge to VERIFY plants at VERIFY, Maastricht</v>
      </c>
      <c r="AL1566" s="15" t="str">
        <f t="shared" si="22"/>
        <v>Electropolished SS 316L tube stock for Maastricht - Sakshi Forge</v>
      </c>
      <c r="AM1566" s="15" t="str">
        <f t="shared" si="23"/>
        <v>Home &gt; Market Area &gt; Netherlands &gt; VERIFY &gt; Maastricht</v>
      </c>
      <c r="AN1566" s="15">
        <f t="shared" si="24"/>
        <v>750</v>
      </c>
      <c r="AO1566" s="15">
        <f t="shared" si="25"/>
        <v>6</v>
      </c>
      <c r="AP1566" s="15">
        <f t="shared" si="26"/>
        <v>6</v>
      </c>
      <c r="AQ1566" s="15">
        <f t="shared" si="27"/>
        <v>27</v>
      </c>
      <c r="AR1566" s="31"/>
      <c r="AS1566" s="31"/>
      <c r="AT1566" s="35" t="s">
        <v>222</v>
      </c>
      <c r="AU1566" s="35"/>
    </row>
    <row r="1567" ht="15.75" customHeight="1">
      <c r="A1567" s="15" t="s">
        <v>7376</v>
      </c>
      <c r="B1567" s="15" t="s">
        <v>255</v>
      </c>
      <c r="C1567" s="15" t="s">
        <v>98</v>
      </c>
      <c r="D1567" s="15" t="s">
        <v>7377</v>
      </c>
      <c r="E1567" s="15" t="s">
        <v>7377</v>
      </c>
      <c r="F1567" s="58" t="s">
        <v>807</v>
      </c>
      <c r="G1567" s="66" t="s">
        <v>98</v>
      </c>
      <c r="H1567" s="18" t="s">
        <v>98</v>
      </c>
      <c r="I1567" s="18" t="s">
        <v>98</v>
      </c>
      <c r="J1567" s="18" t="s">
        <v>98</v>
      </c>
      <c r="K1567" s="18" t="s">
        <v>98</v>
      </c>
      <c r="L1567" s="18" t="s">
        <v>98</v>
      </c>
      <c r="M1567" s="18" t="s">
        <v>561</v>
      </c>
      <c r="N1567" s="18" t="s">
        <v>297</v>
      </c>
      <c r="O1567" s="18" t="s">
        <v>98</v>
      </c>
      <c r="P1567" s="15" t="str">
        <f t="shared" si="1"/>
        <v>VERIFY</v>
      </c>
      <c r="Q1567" s="15">
        <f t="shared" si="2"/>
        <v>4</v>
      </c>
      <c r="R1567" s="15">
        <f t="shared" si="3"/>
        <v>3</v>
      </c>
      <c r="S1567" s="15">
        <f t="shared" si="4"/>
        <v>4</v>
      </c>
      <c r="T1567" s="15" t="str">
        <f t="shared" si="5"/>
        <v>C-4</v>
      </c>
      <c r="U1567" s="15" t="str">
        <f t="shared" si="6"/>
        <v>T4-M3-H4-FC-4-VERIFY</v>
      </c>
      <c r="V1567" s="15">
        <f t="shared" si="7"/>
        <v>0</v>
      </c>
      <c r="W1567" s="31"/>
      <c r="X1567" s="15" t="str">
        <f t="shared" si="8"/>
        <v>roermond-netherlands</v>
      </c>
      <c r="Y1567" s="32" t="str">
        <f t="shared" si="9"/>
        <v>https://steelmanufacturer.in/market-area/electropolished-pipes-manufacturer-in-roermond-netherlands/</v>
      </c>
      <c r="Z1567" s="15" t="str">
        <f t="shared" si="10"/>
        <v>Electropolished Pipes Manufacturer in Roermond</v>
      </c>
      <c r="AA1567" s="15" t="str">
        <f t="shared" si="11"/>
        <v>OK (46)</v>
      </c>
      <c r="AB1567" s="15" t="str">
        <f t="shared" si="12"/>
        <v>EP stainless tube for VERIFY lines in Roermond. 23-29 days sea from Nhava Sheva to Rotterdam. ASTM A270 S2, PMI tested, EN 10204 3.1.</v>
      </c>
      <c r="AC1567" s="15" t="str">
        <f t="shared" si="13"/>
        <v>PENDING RESEARCH</v>
      </c>
      <c r="AD1567" s="15" t="str">
        <f t="shared" si="14"/>
        <v>Electropolished Pipes Manufacturer in Roermond</v>
      </c>
      <c r="AE1567" s="15" t="str">
        <f t="shared" si="15"/>
        <v>Manufacturing Electropolished SS Tube for Roermond: The Standards We Build To</v>
      </c>
      <c r="AF1567" s="15" t="str">
        <f t="shared" si="16"/>
        <v>Electropolished Pipe Supply Into Roermond - Certification &amp; Transit</v>
      </c>
      <c r="AG1567" s="15" t="str">
        <f t="shared" si="17"/>
        <v>Electropolished Pipes Wholesaler in Roermond - Project Quantities &amp; Terms</v>
      </c>
      <c r="AH1567" s="15" t="str">
        <f t="shared" si="18"/>
        <v>electropolished pipes manufacturer in Roermond, electropolished pipes supplier in Roermond, electropolished pipes wholesaler in Roermond, electropolished tube manufacturer Roermond, EP pipe supplier Roermond, sanitary tube supplier Roermond, ASME BPE tubing Roermond, ASTM A270 tube Roermond, SS 316L electropolished pipe Roermond</v>
      </c>
      <c r="AI1567" s="15" t="str">
        <f t="shared" si="19"/>
        <v>Electropolished Pipes Manufacturer &amp; Supplier in Roermond</v>
      </c>
      <c r="AJ1567" s="15" t="str">
        <f t="shared" si="20"/>
        <v>EP-finished SS 304/316L pipes and tubes for VERIFY plants in Roermond. ASME BPE SF1-SF4, Ra from 0.25 um, EN 10204 3.1 certificate with every lot.</v>
      </c>
      <c r="AK1567" s="15" t="str">
        <f t="shared" si="21"/>
        <v>Electropolished stainless steel pipes supplied by Sakshi Forge to VERIFY plants at VERIFY, Roermond</v>
      </c>
      <c r="AL1567" s="15" t="str">
        <f t="shared" si="22"/>
        <v>Electropolished SS 316L tube stock for Roermond - Sakshi Forge</v>
      </c>
      <c r="AM1567" s="15" t="str">
        <f t="shared" si="23"/>
        <v>Home &gt; Market Area &gt; Netherlands &gt; VERIFY &gt; Roermond</v>
      </c>
      <c r="AN1567" s="15">
        <f t="shared" si="24"/>
        <v>750</v>
      </c>
      <c r="AO1567" s="15">
        <f t="shared" si="25"/>
        <v>6</v>
      </c>
      <c r="AP1567" s="15">
        <f t="shared" si="26"/>
        <v>6</v>
      </c>
      <c r="AQ1567" s="15">
        <f t="shared" si="27"/>
        <v>27</v>
      </c>
      <c r="AR1567" s="31"/>
      <c r="AS1567" s="31"/>
      <c r="AT1567" s="35" t="s">
        <v>222</v>
      </c>
      <c r="AU1567" s="35"/>
    </row>
    <row r="1568" ht="15.75" customHeight="1">
      <c r="A1568" s="15" t="s">
        <v>7378</v>
      </c>
      <c r="B1568" s="15" t="s">
        <v>255</v>
      </c>
      <c r="C1568" s="15" t="s">
        <v>98</v>
      </c>
      <c r="D1568" s="15" t="s">
        <v>7379</v>
      </c>
      <c r="E1568" s="15" t="s">
        <v>7379</v>
      </c>
      <c r="F1568" s="58" t="s">
        <v>807</v>
      </c>
      <c r="G1568" s="66" t="s">
        <v>98</v>
      </c>
      <c r="H1568" s="18" t="s">
        <v>98</v>
      </c>
      <c r="I1568" s="18" t="s">
        <v>98</v>
      </c>
      <c r="J1568" s="18" t="s">
        <v>98</v>
      </c>
      <c r="K1568" s="18" t="s">
        <v>98</v>
      </c>
      <c r="L1568" s="18" t="s">
        <v>98</v>
      </c>
      <c r="M1568" s="18" t="s">
        <v>561</v>
      </c>
      <c r="N1568" s="18" t="s">
        <v>297</v>
      </c>
      <c r="O1568" s="18" t="s">
        <v>98</v>
      </c>
      <c r="P1568" s="15" t="str">
        <f t="shared" si="1"/>
        <v>VERIFY</v>
      </c>
      <c r="Q1568" s="15">
        <f t="shared" si="2"/>
        <v>5</v>
      </c>
      <c r="R1568" s="15">
        <f t="shared" si="3"/>
        <v>4</v>
      </c>
      <c r="S1568" s="15">
        <f t="shared" si="4"/>
        <v>5</v>
      </c>
      <c r="T1568" s="15" t="str">
        <f t="shared" si="5"/>
        <v>C-5</v>
      </c>
      <c r="U1568" s="15" t="str">
        <f t="shared" si="6"/>
        <v>T5-M4-H5-FC-5-VERIFY</v>
      </c>
      <c r="V1568" s="15">
        <f t="shared" si="7"/>
        <v>0</v>
      </c>
      <c r="W1568" s="31"/>
      <c r="X1568" s="15" t="str">
        <f t="shared" si="8"/>
        <v>roosendaal-netherlands</v>
      </c>
      <c r="Y1568" s="32" t="str">
        <f t="shared" si="9"/>
        <v>https://steelmanufacturer.in/market-area/electropolished-pipes-manufacturer-in-roosendaal-netherlands/</v>
      </c>
      <c r="Z1568" s="15" t="str">
        <f t="shared" si="10"/>
        <v>Electropolished Pipes Manufacturer in Roosendaal</v>
      </c>
      <c r="AA1568" s="15" t="str">
        <f t="shared" si="11"/>
        <v>OK (48)</v>
      </c>
      <c r="AB1568" s="15" t="str">
        <f t="shared" si="12"/>
        <v>Sanitary electropolished pipes in Roosendaal for VERIFY plants. ASME BPE SF1-SF4, orbital-weld ready, 3.1 MTC. Mumbai-made.</v>
      </c>
      <c r="AC1568" s="15" t="str">
        <f t="shared" si="13"/>
        <v>PENDING RESEARCH</v>
      </c>
      <c r="AD1568" s="15" t="str">
        <f t="shared" si="14"/>
        <v>Electropolished Pipes Manufacturer in Roosendaal</v>
      </c>
      <c r="AE1568" s="15" t="str">
        <f t="shared" si="15"/>
        <v>Electropolished Tube Manufacturing Capability Serving Roosendaal</v>
      </c>
      <c r="AF1568" s="15" t="str">
        <f t="shared" si="16"/>
        <v>Electropolished Pipes Supplier in Roosendaal - From Order to Delivery</v>
      </c>
      <c r="AG1568" s="15" t="str">
        <f t="shared" si="17"/>
        <v>Stockist &amp; Wholesale Supply of Electropolished Pipes in Roosendaal</v>
      </c>
      <c r="AH1568" s="15" t="str">
        <f t="shared" si="18"/>
        <v>electropolished pipes manufacturer in Roosendaal, electropolished pipes supplier in Roosendaal, electropolished pipes wholesaler in Roosendaal, electropolished tube manufacturer Roosendaal, EP pipe supplier Roosendaal, sanitary tube supplier Roosendaal, ASME BPE tubing Roosendaal, ASTM A270 tube Roosendaal, SS 316L electropolished pipe Roosendaal</v>
      </c>
      <c r="AI1568" s="15" t="str">
        <f t="shared" si="19"/>
        <v>Electropolished Pipes Manufacturer &amp; Supplier in Roosendaal</v>
      </c>
      <c r="AJ1568" s="15" t="str">
        <f t="shared" si="20"/>
        <v>EP-finished SS 304/316L pipes and tubes for VERIFY plants in Roosendaal. ASME BPE SF1-SF4, Ra from 0.25 um, EN 10204 3.1 certificate with every lot.</v>
      </c>
      <c r="AK1568" s="15" t="str">
        <f t="shared" si="21"/>
        <v>Electropolished stainless steel pipes supplied by Sakshi Forge to VERIFY plants at VERIFY, Roosendaal</v>
      </c>
      <c r="AL1568" s="15" t="str">
        <f t="shared" si="22"/>
        <v>Electropolished SS 316L tube stock for Roosendaal - Sakshi Forge</v>
      </c>
      <c r="AM1568" s="15" t="str">
        <f t="shared" si="23"/>
        <v>Home &gt; Market Area &gt; Netherlands &gt; VERIFY &gt; Roosendaal</v>
      </c>
      <c r="AN1568" s="15">
        <f t="shared" si="24"/>
        <v>750</v>
      </c>
      <c r="AO1568" s="15">
        <f t="shared" si="25"/>
        <v>6</v>
      </c>
      <c r="AP1568" s="15">
        <f t="shared" si="26"/>
        <v>6</v>
      </c>
      <c r="AQ1568" s="15">
        <f t="shared" si="27"/>
        <v>27</v>
      </c>
      <c r="AR1568" s="31"/>
      <c r="AS1568" s="31"/>
      <c r="AT1568" s="35" t="s">
        <v>222</v>
      </c>
      <c r="AU1568" s="35"/>
    </row>
    <row r="1569" ht="15.75" customHeight="1">
      <c r="A1569" s="15" t="s">
        <v>7380</v>
      </c>
      <c r="B1569" s="15" t="s">
        <v>255</v>
      </c>
      <c r="C1569" s="15" t="s">
        <v>98</v>
      </c>
      <c r="D1569" s="15" t="s">
        <v>7381</v>
      </c>
      <c r="E1569" s="15" t="s">
        <v>7381</v>
      </c>
      <c r="F1569" s="58" t="s">
        <v>807</v>
      </c>
      <c r="G1569" s="66" t="s">
        <v>98</v>
      </c>
      <c r="H1569" s="18" t="s">
        <v>98</v>
      </c>
      <c r="I1569" s="18" t="s">
        <v>98</v>
      </c>
      <c r="J1569" s="18" t="s">
        <v>98</v>
      </c>
      <c r="K1569" s="18" t="s">
        <v>98</v>
      </c>
      <c r="L1569" s="18" t="s">
        <v>98</v>
      </c>
      <c r="M1569" s="18" t="s">
        <v>561</v>
      </c>
      <c r="N1569" s="18" t="s">
        <v>297</v>
      </c>
      <c r="O1569" s="18" t="s">
        <v>98</v>
      </c>
      <c r="P1569" s="15" t="str">
        <f t="shared" si="1"/>
        <v>VERIFY</v>
      </c>
      <c r="Q1569" s="15">
        <f t="shared" si="2"/>
        <v>6</v>
      </c>
      <c r="R1569" s="15">
        <f t="shared" si="3"/>
        <v>5</v>
      </c>
      <c r="S1569" s="15">
        <f t="shared" si="4"/>
        <v>1</v>
      </c>
      <c r="T1569" s="15" t="str">
        <f t="shared" si="5"/>
        <v>C-6</v>
      </c>
      <c r="U1569" s="15" t="str">
        <f t="shared" si="6"/>
        <v>T6-M5-H1-FC-6-VERIFY</v>
      </c>
      <c r="V1569" s="15">
        <f t="shared" si="7"/>
        <v>0</v>
      </c>
      <c r="W1569" s="31"/>
      <c r="X1569" s="15" t="str">
        <f t="shared" si="8"/>
        <v>sittard-netherlands</v>
      </c>
      <c r="Y1569" s="32" t="str">
        <f t="shared" si="9"/>
        <v>https://steelmanufacturer.in/market-area/electropolished-pipes-manufacturer-in-sittard-netherlands/</v>
      </c>
      <c r="Z1569" s="15" t="str">
        <f t="shared" si="10"/>
        <v>Electropolished Pipes Manufacturer in Sittard</v>
      </c>
      <c r="AA1569" s="15" t="str">
        <f t="shared" si="11"/>
        <v>OK (45)</v>
      </c>
      <c r="AB1569" s="15" t="str">
        <f t="shared" si="12"/>
        <v>Manufacturer of electropolished SS 316L tube serving Sittard. 23-29 days sea from Nhava Sheva to Rotterdam. Ra 0.25-0.5 um, EN 10204 3.1 MTC.</v>
      </c>
      <c r="AC1569" s="15" t="str">
        <f t="shared" si="13"/>
        <v>PENDING RESEARCH</v>
      </c>
      <c r="AD1569" s="15" t="str">
        <f t="shared" si="14"/>
        <v>Electropolished Pipes Manufacturer in Sittard</v>
      </c>
      <c r="AE1569" s="15" t="str">
        <f t="shared" si="15"/>
        <v>Electropolished Pipe &amp; Tube Manufacturing for Sittard - Grades, Finishes &amp; Certification</v>
      </c>
      <c r="AF1569" s="15" t="str">
        <f t="shared" si="16"/>
        <v>Electropolished Pipes Supplier in Sittard - Stock Sizes, Lead Time &amp; Delivery</v>
      </c>
      <c r="AG1569" s="15" t="str">
        <f t="shared" si="17"/>
        <v>Electropolished Pipes Wholesaler &amp; Stockist in Sittard - Bulk &amp; Project Pricing</v>
      </c>
      <c r="AH1569" s="15" t="str">
        <f t="shared" si="18"/>
        <v>electropolished pipes manufacturer in Sittard, electropolished pipes supplier in Sittard, electropolished pipes wholesaler in Sittard, electropolished tube manufacturer Sittard, EP pipe supplier Sittard, sanitary tube supplier Sittard, ASME BPE tubing Sittard, ASTM A270 tube Sittard, SS 316L electropolished pipe Sittard</v>
      </c>
      <c r="AI1569" s="15" t="str">
        <f t="shared" si="19"/>
        <v>Electropolished Pipes Manufacturer &amp; Supplier in Sittard</v>
      </c>
      <c r="AJ1569" s="15" t="str">
        <f t="shared" si="20"/>
        <v>EP-finished SS 304/316L pipes and tubes for VERIFY plants in Sittard. ASME BPE SF1-SF4, Ra from 0.25 um, EN 10204 3.1 certificate with every lot.</v>
      </c>
      <c r="AK1569" s="15" t="str">
        <f t="shared" si="21"/>
        <v>Electropolished stainless steel pipes supplied by Sakshi Forge to VERIFY plants at VERIFY, Sittard</v>
      </c>
      <c r="AL1569" s="15" t="str">
        <f t="shared" si="22"/>
        <v>Electropolished SS 316L tube stock for Sittard - Sakshi Forge</v>
      </c>
      <c r="AM1569" s="15" t="str">
        <f t="shared" si="23"/>
        <v>Home &gt; Market Area &gt; Netherlands &gt; VERIFY &gt; Sittard</v>
      </c>
      <c r="AN1569" s="15">
        <f t="shared" si="24"/>
        <v>750</v>
      </c>
      <c r="AO1569" s="15">
        <f t="shared" si="25"/>
        <v>6</v>
      </c>
      <c r="AP1569" s="15">
        <f t="shared" si="26"/>
        <v>6</v>
      </c>
      <c r="AQ1569" s="15">
        <f t="shared" si="27"/>
        <v>27</v>
      </c>
      <c r="AR1569" s="31"/>
      <c r="AS1569" s="31"/>
      <c r="AT1569" s="35" t="s">
        <v>222</v>
      </c>
      <c r="AU1569" s="35"/>
    </row>
    <row r="1570" ht="15.75" customHeight="1">
      <c r="A1570" s="15" t="s">
        <v>7382</v>
      </c>
      <c r="B1570" s="15" t="s">
        <v>255</v>
      </c>
      <c r="C1570" s="15" t="s">
        <v>98</v>
      </c>
      <c r="D1570" s="15" t="s">
        <v>7383</v>
      </c>
      <c r="E1570" s="15" t="s">
        <v>7383</v>
      </c>
      <c r="F1570" s="58" t="s">
        <v>807</v>
      </c>
      <c r="G1570" s="66" t="s">
        <v>98</v>
      </c>
      <c r="H1570" s="18" t="s">
        <v>98</v>
      </c>
      <c r="I1570" s="18" t="s">
        <v>98</v>
      </c>
      <c r="J1570" s="18" t="s">
        <v>98</v>
      </c>
      <c r="K1570" s="18" t="s">
        <v>98</v>
      </c>
      <c r="L1570" s="18" t="s">
        <v>98</v>
      </c>
      <c r="M1570" s="18" t="s">
        <v>561</v>
      </c>
      <c r="N1570" s="18" t="s">
        <v>297</v>
      </c>
      <c r="O1570" s="18" t="s">
        <v>98</v>
      </c>
      <c r="P1570" s="15" t="str">
        <f t="shared" si="1"/>
        <v>VERIFY</v>
      </c>
      <c r="Q1570" s="15">
        <f t="shared" si="2"/>
        <v>7</v>
      </c>
      <c r="R1570" s="15">
        <f t="shared" si="3"/>
        <v>6</v>
      </c>
      <c r="S1570" s="15">
        <f t="shared" si="4"/>
        <v>2</v>
      </c>
      <c r="T1570" s="15" t="str">
        <f t="shared" si="5"/>
        <v>C-1</v>
      </c>
      <c r="U1570" s="15" t="str">
        <f t="shared" si="6"/>
        <v>T7-M6-H2-FC-1-VERIFY</v>
      </c>
      <c r="V1570" s="15">
        <f t="shared" si="7"/>
        <v>0</v>
      </c>
      <c r="W1570" s="31"/>
      <c r="X1570" s="15" t="str">
        <f t="shared" si="8"/>
        <v>veenendaal-netherlands</v>
      </c>
      <c r="Y1570" s="32" t="str">
        <f t="shared" si="9"/>
        <v>https://steelmanufacturer.in/market-area/electropolished-pipes-manufacturer-in-veenendaal-netherlands/</v>
      </c>
      <c r="Z1570" s="15" t="str">
        <f t="shared" si="10"/>
        <v>Electropolished Pipes Manufacturer in Veenendaal</v>
      </c>
      <c r="AA1570" s="15" t="str">
        <f t="shared" si="11"/>
        <v>OK (48)</v>
      </c>
      <c r="AB1570" s="15" t="str">
        <f t="shared" si="12"/>
        <v>EP tube and pipe for VERIFY plants around VERIFY, Veenendaal. Made at our Mumbai works to ASTM A270 and ASME BPE SF1-SF4, with 3.1 MTC.</v>
      </c>
      <c r="AC1570" s="15" t="str">
        <f t="shared" si="13"/>
        <v>PENDING RESEARCH</v>
      </c>
      <c r="AD1570" s="15" t="str">
        <f t="shared" si="14"/>
        <v>Electropolished Pipes Manufacturer in Veenendaal</v>
      </c>
      <c r="AE1570" s="15" t="str">
        <f t="shared" si="15"/>
        <v>How We Manufacture Electropolished Tube for Veenendaal Plants</v>
      </c>
      <c r="AF1570" s="15" t="str">
        <f t="shared" si="16"/>
        <v>Supplying Electropolished Pipes in Veenendaal: Availability, Sizes &amp; Dispatch</v>
      </c>
      <c r="AG1570" s="15" t="str">
        <f t="shared" si="17"/>
        <v>Wholesale Electropolished Pipe Supply for Veenendaal Projects</v>
      </c>
      <c r="AH1570" s="15" t="str">
        <f t="shared" si="18"/>
        <v>electropolished pipes manufacturer in Veenendaal, electropolished pipes supplier in Veenendaal, electropolished pipes wholesaler in Veenendaal, electropolished tube manufacturer Veenendaal, EP pipe supplier Veenendaal, sanitary tube supplier Veenendaal, ASME BPE tubing Veenendaal, ASTM A270 tube Veenendaal, SS 316L electropolished pipe Veenendaal</v>
      </c>
      <c r="AI1570" s="15" t="str">
        <f t="shared" si="19"/>
        <v>Electropolished Pipes Manufacturer &amp; Supplier in Veenendaal</v>
      </c>
      <c r="AJ1570" s="15" t="str">
        <f t="shared" si="20"/>
        <v>EP-finished SS 304/316L pipes and tubes for VERIFY plants in Veenendaal. ASME BPE SF1-SF4, Ra from 0.25 um, EN 10204 3.1 certificate with every lot.</v>
      </c>
      <c r="AK1570" s="15" t="str">
        <f t="shared" si="21"/>
        <v>Electropolished stainless steel pipes supplied by Sakshi Forge to VERIFY plants at VERIFY, Veenendaal</v>
      </c>
      <c r="AL1570" s="15" t="str">
        <f t="shared" si="22"/>
        <v>Electropolished SS 316L tube stock for Veenendaal - Sakshi Forge</v>
      </c>
      <c r="AM1570" s="15" t="str">
        <f t="shared" si="23"/>
        <v>Home &gt; Market Area &gt; Netherlands &gt; VERIFY &gt; Veenendaal</v>
      </c>
      <c r="AN1570" s="15">
        <f t="shared" si="24"/>
        <v>750</v>
      </c>
      <c r="AO1570" s="15">
        <f t="shared" si="25"/>
        <v>6</v>
      </c>
      <c r="AP1570" s="15">
        <f t="shared" si="26"/>
        <v>6</v>
      </c>
      <c r="AQ1570" s="15">
        <f t="shared" si="27"/>
        <v>27</v>
      </c>
      <c r="AR1570" s="31"/>
      <c r="AS1570" s="31"/>
      <c r="AT1570" s="35" t="s">
        <v>222</v>
      </c>
      <c r="AU1570" s="35"/>
    </row>
    <row r="1571" ht="15.75" customHeight="1">
      <c r="A1571" s="15" t="s">
        <v>7384</v>
      </c>
      <c r="B1571" s="15" t="s">
        <v>255</v>
      </c>
      <c r="C1571" s="15" t="s">
        <v>98</v>
      </c>
      <c r="D1571" s="15" t="s">
        <v>7385</v>
      </c>
      <c r="E1571" s="15" t="s">
        <v>7385</v>
      </c>
      <c r="F1571" s="58" t="s">
        <v>807</v>
      </c>
      <c r="G1571" s="66" t="s">
        <v>98</v>
      </c>
      <c r="H1571" s="18" t="s">
        <v>98</v>
      </c>
      <c r="I1571" s="18" t="s">
        <v>98</v>
      </c>
      <c r="J1571" s="18" t="s">
        <v>98</v>
      </c>
      <c r="K1571" s="18" t="s">
        <v>98</v>
      </c>
      <c r="L1571" s="18" t="s">
        <v>98</v>
      </c>
      <c r="M1571" s="18" t="s">
        <v>561</v>
      </c>
      <c r="N1571" s="18" t="s">
        <v>297</v>
      </c>
      <c r="O1571" s="18" t="s">
        <v>98</v>
      </c>
      <c r="P1571" s="15" t="str">
        <f t="shared" si="1"/>
        <v>VERIFY</v>
      </c>
      <c r="Q1571" s="15">
        <f t="shared" si="2"/>
        <v>8</v>
      </c>
      <c r="R1571" s="15">
        <f t="shared" si="3"/>
        <v>7</v>
      </c>
      <c r="S1571" s="15">
        <f t="shared" si="4"/>
        <v>3</v>
      </c>
      <c r="T1571" s="15" t="str">
        <f t="shared" si="5"/>
        <v>C-2</v>
      </c>
      <c r="U1571" s="15" t="str">
        <f t="shared" si="6"/>
        <v>T8-M7-H3-FC-2-VERIFY</v>
      </c>
      <c r="V1571" s="15">
        <f t="shared" si="7"/>
        <v>0</v>
      </c>
      <c r="W1571" s="31"/>
      <c r="X1571" s="15" t="str">
        <f t="shared" si="8"/>
        <v>venlo-netherlands</v>
      </c>
      <c r="Y1571" s="32" t="str">
        <f t="shared" si="9"/>
        <v>https://steelmanufacturer.in/market-area/electropolished-pipes-manufacturer-in-venlo-netherlands/</v>
      </c>
      <c r="Z1571" s="15" t="str">
        <f t="shared" si="10"/>
        <v>Electropolished Pipes Manufacturer in Venlo - EP Tube Stockist</v>
      </c>
      <c r="AA1571" s="15" t="str">
        <f t="shared" si="11"/>
        <v>OK (62)</v>
      </c>
      <c r="AB1571" s="15" t="str">
        <f t="shared" si="12"/>
        <v>Electropolished pipes in Venlo: 304, 304L, 316 and 316L in SF1-SF4. 23-29 days sea from Nhava Sheva to Rotterdam. Mill certified.</v>
      </c>
      <c r="AC1571" s="15" t="str">
        <f t="shared" si="13"/>
        <v>PENDING RESEARCH</v>
      </c>
      <c r="AD1571" s="15" t="str">
        <f t="shared" si="14"/>
        <v>Electropolished Pipes Manufacturer in Venlo</v>
      </c>
      <c r="AE1571" s="15" t="str">
        <f t="shared" si="15"/>
        <v>Electropolished Pipes Manufacturer in Venlo - Our Process &amp; Capability</v>
      </c>
      <c r="AF1571" s="15" t="str">
        <f t="shared" si="16"/>
        <v>Electropolished Pipes Supplier in Venlo - What We Hold in Stock</v>
      </c>
      <c r="AG1571" s="15" t="str">
        <f t="shared" si="17"/>
        <v>Bulk &amp; Wholesale Electropolished Pipe Rates for Venlo Buyers</v>
      </c>
      <c r="AH1571" s="15" t="str">
        <f t="shared" si="18"/>
        <v>electropolished pipes manufacturer in Venlo, electropolished pipes supplier in Venlo, electropolished pipes wholesaler in Venlo, electropolished tube manufacturer Venlo, EP pipe supplier Venlo, sanitary tube supplier Venlo, ASME BPE tubing Venlo, ASTM A270 tube Venlo, SS 316L electropolished pipe Venlo</v>
      </c>
      <c r="AI1571" s="15" t="str">
        <f t="shared" si="19"/>
        <v>Electropolished Pipes Manufacturer &amp; Supplier in Venlo</v>
      </c>
      <c r="AJ1571" s="15" t="str">
        <f t="shared" si="20"/>
        <v>EP-finished SS 304/316L pipes and tubes for VERIFY plants in Venlo. ASME BPE SF1-SF4, Ra from 0.25 um, EN 10204 3.1 certificate with every lot.</v>
      </c>
      <c r="AK1571" s="15" t="str">
        <f t="shared" si="21"/>
        <v>Electropolished stainless steel pipes supplied by Sakshi Forge to VERIFY plants at VERIFY, Venlo</v>
      </c>
      <c r="AL1571" s="15" t="str">
        <f t="shared" si="22"/>
        <v>Electropolished SS 316L tube stock for Venlo - Sakshi Forge</v>
      </c>
      <c r="AM1571" s="15" t="str">
        <f t="shared" si="23"/>
        <v>Home &gt; Market Area &gt; Netherlands &gt; VERIFY &gt; Venlo</v>
      </c>
      <c r="AN1571" s="15">
        <f t="shared" si="24"/>
        <v>750</v>
      </c>
      <c r="AO1571" s="15">
        <f t="shared" si="25"/>
        <v>6</v>
      </c>
      <c r="AP1571" s="15">
        <f t="shared" si="26"/>
        <v>6</v>
      </c>
      <c r="AQ1571" s="15">
        <f t="shared" si="27"/>
        <v>27</v>
      </c>
      <c r="AR1571" s="31"/>
      <c r="AS1571" s="31"/>
      <c r="AT1571" s="35" t="s">
        <v>222</v>
      </c>
      <c r="AU1571" s="35"/>
    </row>
    <row r="1572" ht="15.75" customHeight="1">
      <c r="A1572" s="15" t="s">
        <v>7386</v>
      </c>
      <c r="B1572" s="15" t="s">
        <v>215</v>
      </c>
      <c r="C1572" s="15" t="s">
        <v>98</v>
      </c>
      <c r="D1572" s="15" t="s">
        <v>7387</v>
      </c>
      <c r="E1572" s="15" t="s">
        <v>7387</v>
      </c>
      <c r="F1572" s="58" t="s">
        <v>807</v>
      </c>
      <c r="G1572" s="66" t="s">
        <v>98</v>
      </c>
      <c r="H1572" s="18" t="s">
        <v>98</v>
      </c>
      <c r="I1572" s="18" t="s">
        <v>98</v>
      </c>
      <c r="J1572" s="18" t="s">
        <v>98</v>
      </c>
      <c r="K1572" s="18" t="s">
        <v>98</v>
      </c>
      <c r="L1572" s="18" t="s">
        <v>98</v>
      </c>
      <c r="M1572" s="18" t="s">
        <v>503</v>
      </c>
      <c r="N1572" s="18" t="s">
        <v>216</v>
      </c>
      <c r="O1572" s="18" t="s">
        <v>98</v>
      </c>
      <c r="P1572" s="15" t="str">
        <f t="shared" si="1"/>
        <v>VERIFY</v>
      </c>
      <c r="Q1572" s="15">
        <f t="shared" si="2"/>
        <v>1</v>
      </c>
      <c r="R1572" s="15">
        <f t="shared" si="3"/>
        <v>1</v>
      </c>
      <c r="S1572" s="15">
        <f t="shared" si="4"/>
        <v>4</v>
      </c>
      <c r="T1572" s="15" t="str">
        <f t="shared" si="5"/>
        <v>C-3</v>
      </c>
      <c r="U1572" s="15" t="str">
        <f t="shared" si="6"/>
        <v>T1-M1-H4-FC-3-VERIFY</v>
      </c>
      <c r="V1572" s="15">
        <f t="shared" si="7"/>
        <v>0</v>
      </c>
      <c r="W1572" s="31"/>
      <c r="X1572" s="15" t="str">
        <f t="shared" si="8"/>
        <v>adam-oman</v>
      </c>
      <c r="Y1572" s="32" t="str">
        <f t="shared" si="9"/>
        <v>https://steelmanufacturer.in/market-area/electropolished-pipes-manufacturer-in-adam-oman/</v>
      </c>
      <c r="Z1572" s="15" t="str">
        <f t="shared" si="10"/>
        <v>Electropolished Pipes Manufacturer in Adam | Sakshi Forge</v>
      </c>
      <c r="AA1572" s="15" t="str">
        <f t="shared" si="11"/>
        <v>OK (57)</v>
      </c>
      <c r="AB1572" s="15" t="str">
        <f t="shared" si="12"/>
        <v>EP-finished SS 304/316L pipes &amp; tubes for VERIFY plants in Adam. ASTM A270, ASME BPE SF1-SF4, EN 10204 3.1 MTC. PMI tested.</v>
      </c>
      <c r="AC1572" s="15" t="str">
        <f t="shared" si="13"/>
        <v>PENDING RESEARCH</v>
      </c>
      <c r="AD1572" s="15" t="str">
        <f t="shared" si="14"/>
        <v>Electropolished Pipes Manufacturer in Adam</v>
      </c>
      <c r="AE1572" s="15" t="str">
        <f t="shared" si="15"/>
        <v>Manufacturing Electropolished SS Tube for Adam: The Standards We Build To</v>
      </c>
      <c r="AF1572" s="15" t="str">
        <f t="shared" si="16"/>
        <v>Electropolished Pipe Supply Into Adam - Certification &amp; Transit</v>
      </c>
      <c r="AG1572" s="15" t="str">
        <f t="shared" si="17"/>
        <v>Electropolished Pipes Wholesaler in Adam - Project Quantities &amp; Terms</v>
      </c>
      <c r="AH1572" s="15" t="str">
        <f t="shared" si="18"/>
        <v>electropolished pipes manufacturer in Adam, electropolished pipes supplier in Adam, electropolished pipes wholesaler in Adam, electropolished tube manufacturer Adam, EP pipe supplier Adam, sanitary tube supplier Adam, ASME BPE tubing Adam, ASTM A270 tube Adam, SS 316L electropolished pipe Adam</v>
      </c>
      <c r="AI1572" s="15" t="str">
        <f t="shared" si="19"/>
        <v>Electropolished Pipes Manufacturer &amp; Supplier in Adam</v>
      </c>
      <c r="AJ1572" s="15" t="str">
        <f t="shared" si="20"/>
        <v>EP-finished SS 304/316L pipes and tubes for VERIFY plants in Adam. ASME BPE SF1-SF4, Ra from 0.25 um, EN 10204 3.1 certificate with every lot.</v>
      </c>
      <c r="AK1572" s="15" t="str">
        <f t="shared" si="21"/>
        <v>Electropolished stainless steel pipes supplied by Sakshi Forge to VERIFY plants at VERIFY, Adam</v>
      </c>
      <c r="AL1572" s="15" t="str">
        <f t="shared" si="22"/>
        <v>Electropolished SS 316L tube stock for Adam - Sakshi Forge</v>
      </c>
      <c r="AM1572" s="15" t="str">
        <f t="shared" si="23"/>
        <v>Home &gt; Market Area &gt; Oman &gt; VERIFY &gt; Adam</v>
      </c>
      <c r="AN1572" s="15">
        <f t="shared" si="24"/>
        <v>750</v>
      </c>
      <c r="AO1572" s="15">
        <f t="shared" si="25"/>
        <v>6</v>
      </c>
      <c r="AP1572" s="15">
        <f t="shared" si="26"/>
        <v>6</v>
      </c>
      <c r="AQ1572" s="15">
        <f t="shared" si="27"/>
        <v>27</v>
      </c>
      <c r="AR1572" s="31"/>
      <c r="AS1572" s="31"/>
      <c r="AT1572" s="35" t="s">
        <v>222</v>
      </c>
      <c r="AU1572" s="35"/>
    </row>
    <row r="1573" ht="15.75" customHeight="1">
      <c r="A1573" s="15" t="s">
        <v>7389</v>
      </c>
      <c r="B1573" s="15" t="s">
        <v>215</v>
      </c>
      <c r="C1573" s="15" t="s">
        <v>98</v>
      </c>
      <c r="D1573" s="15" t="s">
        <v>7390</v>
      </c>
      <c r="E1573" s="15" t="s">
        <v>7390</v>
      </c>
      <c r="F1573" s="58" t="s">
        <v>807</v>
      </c>
      <c r="G1573" s="66" t="s">
        <v>98</v>
      </c>
      <c r="H1573" s="18" t="s">
        <v>98</v>
      </c>
      <c r="I1573" s="18" t="s">
        <v>98</v>
      </c>
      <c r="J1573" s="18" t="s">
        <v>98</v>
      </c>
      <c r="K1573" s="18" t="s">
        <v>98</v>
      </c>
      <c r="L1573" s="18" t="s">
        <v>98</v>
      </c>
      <c r="M1573" s="18" t="s">
        <v>503</v>
      </c>
      <c r="N1573" s="18" t="s">
        <v>216</v>
      </c>
      <c r="O1573" s="18" t="s">
        <v>98</v>
      </c>
      <c r="P1573" s="15" t="str">
        <f t="shared" si="1"/>
        <v>VERIFY</v>
      </c>
      <c r="Q1573" s="15">
        <f t="shared" si="2"/>
        <v>2</v>
      </c>
      <c r="R1573" s="15">
        <f t="shared" si="3"/>
        <v>2</v>
      </c>
      <c r="S1573" s="15">
        <f t="shared" si="4"/>
        <v>5</v>
      </c>
      <c r="T1573" s="15" t="str">
        <f t="shared" si="5"/>
        <v>C-4</v>
      </c>
      <c r="U1573" s="15" t="str">
        <f t="shared" si="6"/>
        <v>T2-M2-H5-FC-4-VERIFY</v>
      </c>
      <c r="V1573" s="15">
        <f t="shared" si="7"/>
        <v>0</v>
      </c>
      <c r="W1573" s="31"/>
      <c r="X1573" s="15" t="str">
        <f t="shared" si="8"/>
        <v>bahla-oman</v>
      </c>
      <c r="Y1573" s="32" t="str">
        <f t="shared" si="9"/>
        <v>https://steelmanufacturer.in/market-area/electropolished-pipes-manufacturer-in-bahla-oman/</v>
      </c>
      <c r="Z1573" s="15" t="str">
        <f t="shared" si="10"/>
        <v>Electropolished Pipes Manufacturer in Bahla</v>
      </c>
      <c r="AA1573" s="15" t="str">
        <f t="shared" si="11"/>
        <v>OK (43)</v>
      </c>
      <c r="AB1573" s="15" t="str">
        <f t="shared" si="12"/>
        <v>Electropolished tube supply to VERIFY, Bahla. Ra from 0.25 um, SF4 finish, mill test certificate with every lot.</v>
      </c>
      <c r="AC1573" s="15" t="str">
        <f t="shared" si="13"/>
        <v>PENDING RESEARCH</v>
      </c>
      <c r="AD1573" s="15" t="str">
        <f t="shared" si="14"/>
        <v>Electropolished Pipes Manufacturer in Bahla</v>
      </c>
      <c r="AE1573" s="15" t="str">
        <f t="shared" si="15"/>
        <v>Electropolished Tube Manufacturing Capability Serving Bahla</v>
      </c>
      <c r="AF1573" s="15" t="str">
        <f t="shared" si="16"/>
        <v>Electropolished Pipes Supplier in Bahla - From Order to Delivery</v>
      </c>
      <c r="AG1573" s="15" t="str">
        <f t="shared" si="17"/>
        <v>Stockist &amp; Wholesale Supply of Electropolished Pipes in Bahla</v>
      </c>
      <c r="AH1573" s="15" t="str">
        <f t="shared" si="18"/>
        <v>electropolished pipes manufacturer in Bahla, electropolished pipes supplier in Bahla, electropolished pipes wholesaler in Bahla, electropolished tube manufacturer Bahla, EP pipe supplier Bahla, sanitary tube supplier Bahla, ASME BPE tubing Bahla, ASTM A270 tube Bahla, SS 316L electropolished pipe Bahla</v>
      </c>
      <c r="AI1573" s="15" t="str">
        <f t="shared" si="19"/>
        <v>Electropolished Pipes Manufacturer &amp; Supplier in Bahla</v>
      </c>
      <c r="AJ1573" s="15" t="str">
        <f t="shared" si="20"/>
        <v>EP-finished SS 304/316L pipes and tubes for VERIFY plants in Bahla. ASME BPE SF1-SF4, Ra from 0.25 um, EN 10204 3.1 certificate with every lot.</v>
      </c>
      <c r="AK1573" s="15" t="str">
        <f t="shared" si="21"/>
        <v>Electropolished stainless steel pipes supplied by Sakshi Forge to VERIFY plants at VERIFY, Bahla</v>
      </c>
      <c r="AL1573" s="15" t="str">
        <f t="shared" si="22"/>
        <v>Electropolished SS 316L tube stock for Bahla - Sakshi Forge</v>
      </c>
      <c r="AM1573" s="15" t="str">
        <f t="shared" si="23"/>
        <v>Home &gt; Market Area &gt; Oman &gt; VERIFY &gt; Bahla</v>
      </c>
      <c r="AN1573" s="15">
        <f t="shared" si="24"/>
        <v>750</v>
      </c>
      <c r="AO1573" s="15">
        <f t="shared" si="25"/>
        <v>6</v>
      </c>
      <c r="AP1573" s="15">
        <f t="shared" si="26"/>
        <v>6</v>
      </c>
      <c r="AQ1573" s="15">
        <f t="shared" si="27"/>
        <v>27</v>
      </c>
      <c r="AR1573" s="31"/>
      <c r="AS1573" s="31"/>
      <c r="AT1573" s="35" t="s">
        <v>222</v>
      </c>
      <c r="AU1573" s="35"/>
    </row>
    <row r="1574" ht="15.75" customHeight="1">
      <c r="A1574" s="15" t="s">
        <v>7391</v>
      </c>
      <c r="B1574" s="15" t="s">
        <v>215</v>
      </c>
      <c r="C1574" s="15" t="s">
        <v>98</v>
      </c>
      <c r="D1574" s="15" t="s">
        <v>7392</v>
      </c>
      <c r="E1574" s="15" t="s">
        <v>7392</v>
      </c>
      <c r="F1574" s="58" t="s">
        <v>807</v>
      </c>
      <c r="G1574" s="66" t="s">
        <v>98</v>
      </c>
      <c r="H1574" s="18" t="s">
        <v>98</v>
      </c>
      <c r="I1574" s="18" t="s">
        <v>98</v>
      </c>
      <c r="J1574" s="18" t="s">
        <v>98</v>
      </c>
      <c r="K1574" s="18" t="s">
        <v>98</v>
      </c>
      <c r="L1574" s="18" t="s">
        <v>98</v>
      </c>
      <c r="M1574" s="18" t="s">
        <v>503</v>
      </c>
      <c r="N1574" s="18" t="s">
        <v>216</v>
      </c>
      <c r="O1574" s="18" t="s">
        <v>98</v>
      </c>
      <c r="P1574" s="15" t="str">
        <f t="shared" si="1"/>
        <v>VERIFY</v>
      </c>
      <c r="Q1574" s="15">
        <f t="shared" si="2"/>
        <v>3</v>
      </c>
      <c r="R1574" s="15">
        <f t="shared" si="3"/>
        <v>3</v>
      </c>
      <c r="S1574" s="15">
        <f t="shared" si="4"/>
        <v>1</v>
      </c>
      <c r="T1574" s="15" t="str">
        <f t="shared" si="5"/>
        <v>C-5</v>
      </c>
      <c r="U1574" s="15" t="str">
        <f t="shared" si="6"/>
        <v>T3-M3-H1-FC-5-VERIFY</v>
      </c>
      <c r="V1574" s="15">
        <f t="shared" si="7"/>
        <v>0</v>
      </c>
      <c r="W1574" s="31"/>
      <c r="X1574" s="15" t="str">
        <f t="shared" si="8"/>
        <v>bidbid-oman</v>
      </c>
      <c r="Y1574" s="32" t="str">
        <f t="shared" si="9"/>
        <v>https://steelmanufacturer.in/market-area/electropolished-pipes-manufacturer-in-bidbid-oman/</v>
      </c>
      <c r="Z1574" s="15" t="str">
        <f t="shared" si="10"/>
        <v>Electropolished Pipes Manufacturer in Bidbid | EP Tube Supplier</v>
      </c>
      <c r="AA1574" s="15" t="str">
        <f t="shared" si="11"/>
        <v>OK (63)</v>
      </c>
      <c r="AB1574" s="15" t="str">
        <f t="shared" si="12"/>
        <v>EP stainless tube for VERIFY lines in Bidbid. 7-10 days sea from Nhava Sheva to Sohar. ASTM A270 S2, PMI tested, EN 10204 3.1.</v>
      </c>
      <c r="AC1574" s="15" t="str">
        <f t="shared" si="13"/>
        <v>PENDING RESEARCH</v>
      </c>
      <c r="AD1574" s="15" t="str">
        <f t="shared" si="14"/>
        <v>Electropolished Pipes Manufacturer in Bidbid</v>
      </c>
      <c r="AE1574" s="15" t="str">
        <f t="shared" si="15"/>
        <v>Electropolished Pipe &amp; Tube Manufacturing for Bidbid - Grades, Finishes &amp; Certification</v>
      </c>
      <c r="AF1574" s="15" t="str">
        <f t="shared" si="16"/>
        <v>Electropolished Pipes Supplier in Bidbid - Stock Sizes, Lead Time &amp; Delivery</v>
      </c>
      <c r="AG1574" s="15" t="str">
        <f t="shared" si="17"/>
        <v>Electropolished Pipes Wholesaler &amp; Stockist in Bidbid - Bulk &amp; Project Pricing</v>
      </c>
      <c r="AH1574" s="15" t="str">
        <f t="shared" si="18"/>
        <v>electropolished pipes manufacturer in Bidbid, electropolished pipes supplier in Bidbid, electropolished pipes wholesaler in Bidbid, electropolished tube manufacturer Bidbid, EP pipe supplier Bidbid, sanitary tube supplier Bidbid, ASME BPE tubing Bidbid, ASTM A270 tube Bidbid, SS 316L electropolished pipe Bidbid</v>
      </c>
      <c r="AI1574" s="15" t="str">
        <f t="shared" si="19"/>
        <v>Electropolished Pipes Manufacturer &amp; Supplier in Bidbid</v>
      </c>
      <c r="AJ1574" s="15" t="str">
        <f t="shared" si="20"/>
        <v>EP-finished SS 304/316L pipes and tubes for VERIFY plants in Bidbid. ASME BPE SF1-SF4, Ra from 0.25 um, EN 10204 3.1 certificate with every lot.</v>
      </c>
      <c r="AK1574" s="15" t="str">
        <f t="shared" si="21"/>
        <v>Electropolished stainless steel pipes supplied by Sakshi Forge to VERIFY plants at VERIFY, Bidbid</v>
      </c>
      <c r="AL1574" s="15" t="str">
        <f t="shared" si="22"/>
        <v>Electropolished SS 316L tube stock for Bidbid - Sakshi Forge</v>
      </c>
      <c r="AM1574" s="15" t="str">
        <f t="shared" si="23"/>
        <v>Home &gt; Market Area &gt; Oman &gt; VERIFY &gt; Bidbid</v>
      </c>
      <c r="AN1574" s="15">
        <f t="shared" si="24"/>
        <v>750</v>
      </c>
      <c r="AO1574" s="15">
        <f t="shared" si="25"/>
        <v>6</v>
      </c>
      <c r="AP1574" s="15">
        <f t="shared" si="26"/>
        <v>6</v>
      </c>
      <c r="AQ1574" s="15">
        <f t="shared" si="27"/>
        <v>27</v>
      </c>
      <c r="AR1574" s="31"/>
      <c r="AS1574" s="31"/>
      <c r="AT1574" s="35" t="s">
        <v>222</v>
      </c>
      <c r="AU1574" s="35"/>
    </row>
    <row r="1575" ht="15.75" customHeight="1">
      <c r="A1575" s="15" t="s">
        <v>7393</v>
      </c>
      <c r="B1575" s="15" t="s">
        <v>215</v>
      </c>
      <c r="C1575" s="15" t="s">
        <v>98</v>
      </c>
      <c r="D1575" s="15" t="s">
        <v>7394</v>
      </c>
      <c r="E1575" s="15" t="s">
        <v>7394</v>
      </c>
      <c r="F1575" s="58" t="s">
        <v>807</v>
      </c>
      <c r="G1575" s="66" t="s">
        <v>98</v>
      </c>
      <c r="H1575" s="18" t="s">
        <v>98</v>
      </c>
      <c r="I1575" s="18" t="s">
        <v>98</v>
      </c>
      <c r="J1575" s="18" t="s">
        <v>98</v>
      </c>
      <c r="K1575" s="18" t="s">
        <v>98</v>
      </c>
      <c r="L1575" s="18" t="s">
        <v>98</v>
      </c>
      <c r="M1575" s="18" t="s">
        <v>503</v>
      </c>
      <c r="N1575" s="18" t="s">
        <v>216</v>
      </c>
      <c r="O1575" s="18" t="s">
        <v>98</v>
      </c>
      <c r="P1575" s="15" t="str">
        <f t="shared" si="1"/>
        <v>VERIFY</v>
      </c>
      <c r="Q1575" s="15">
        <f t="shared" si="2"/>
        <v>4</v>
      </c>
      <c r="R1575" s="15">
        <f t="shared" si="3"/>
        <v>4</v>
      </c>
      <c r="S1575" s="15">
        <f t="shared" si="4"/>
        <v>2</v>
      </c>
      <c r="T1575" s="15" t="str">
        <f t="shared" si="5"/>
        <v>C-6</v>
      </c>
      <c r="U1575" s="15" t="str">
        <f t="shared" si="6"/>
        <v>T4-M4-H2-FC-6-VERIFY</v>
      </c>
      <c r="V1575" s="15">
        <f t="shared" si="7"/>
        <v>0</v>
      </c>
      <c r="W1575" s="31"/>
      <c r="X1575" s="15" t="str">
        <f t="shared" si="8"/>
        <v>haima-oman</v>
      </c>
      <c r="Y1575" s="32" t="str">
        <f t="shared" si="9"/>
        <v>https://steelmanufacturer.in/market-area/electropolished-pipes-manufacturer-in-haima-oman/</v>
      </c>
      <c r="Z1575" s="15" t="str">
        <f t="shared" si="10"/>
        <v>Electropolished Pipes Manufacturer in Haima - SS 304/316L EP Tube</v>
      </c>
      <c r="AA1575" s="15" t="str">
        <f t="shared" si="11"/>
        <v>OK (65)</v>
      </c>
      <c r="AB1575" s="15" t="str">
        <f t="shared" si="12"/>
        <v>Sanitary electropolished pipes in Haima for VERIFY plants. ASME BPE SF1-SF4, orbital-weld ready, 3.1 MTC. Mumbai-made.</v>
      </c>
      <c r="AC1575" s="15" t="str">
        <f t="shared" si="13"/>
        <v>PENDING RESEARCH</v>
      </c>
      <c r="AD1575" s="15" t="str">
        <f t="shared" si="14"/>
        <v>Electropolished Pipes Manufacturer in Haima</v>
      </c>
      <c r="AE1575" s="15" t="str">
        <f t="shared" si="15"/>
        <v>How We Manufacture Electropolished Tube for Haima Plants</v>
      </c>
      <c r="AF1575" s="15" t="str">
        <f t="shared" si="16"/>
        <v>Supplying Electropolished Pipes in Haima: Availability, Sizes &amp; Dispatch</v>
      </c>
      <c r="AG1575" s="15" t="str">
        <f t="shared" si="17"/>
        <v>Wholesale Electropolished Pipe Supply for Haima Projects</v>
      </c>
      <c r="AH1575" s="15" t="str">
        <f t="shared" si="18"/>
        <v>electropolished pipes manufacturer in Haima, electropolished pipes supplier in Haima, electropolished pipes wholesaler in Haima, electropolished tube manufacturer Haima, EP pipe supplier Haima, sanitary tube supplier Haima, ASME BPE tubing Haima, ASTM A270 tube Haima, SS 316L electropolished pipe Haima</v>
      </c>
      <c r="AI1575" s="15" t="str">
        <f t="shared" si="19"/>
        <v>Electropolished Pipes Manufacturer &amp; Supplier in Haima</v>
      </c>
      <c r="AJ1575" s="15" t="str">
        <f t="shared" si="20"/>
        <v>EP-finished SS 304/316L pipes and tubes for VERIFY plants in Haima. ASME BPE SF1-SF4, Ra from 0.25 um, EN 10204 3.1 certificate with every lot.</v>
      </c>
      <c r="AK1575" s="15" t="str">
        <f t="shared" si="21"/>
        <v>Electropolished stainless steel pipes supplied by Sakshi Forge to VERIFY plants at VERIFY, Haima</v>
      </c>
      <c r="AL1575" s="15" t="str">
        <f t="shared" si="22"/>
        <v>Electropolished SS 316L tube stock for Haima - Sakshi Forge</v>
      </c>
      <c r="AM1575" s="15" t="str">
        <f t="shared" si="23"/>
        <v>Home &gt; Market Area &gt; Oman &gt; VERIFY &gt; Haima</v>
      </c>
      <c r="AN1575" s="15">
        <f t="shared" si="24"/>
        <v>750</v>
      </c>
      <c r="AO1575" s="15">
        <f t="shared" si="25"/>
        <v>6</v>
      </c>
      <c r="AP1575" s="15">
        <f t="shared" si="26"/>
        <v>6</v>
      </c>
      <c r="AQ1575" s="15">
        <f t="shared" si="27"/>
        <v>27</v>
      </c>
      <c r="AR1575" s="31"/>
      <c r="AS1575" s="31"/>
      <c r="AT1575" s="35" t="s">
        <v>222</v>
      </c>
      <c r="AU1575" s="35"/>
    </row>
    <row r="1576" ht="15.75" customHeight="1">
      <c r="A1576" s="15" t="s">
        <v>7397</v>
      </c>
      <c r="B1576" s="15" t="s">
        <v>215</v>
      </c>
      <c r="C1576" s="15" t="s">
        <v>98</v>
      </c>
      <c r="D1576" s="15" t="s">
        <v>7399</v>
      </c>
      <c r="E1576" s="15" t="s">
        <v>7399</v>
      </c>
      <c r="F1576" s="58" t="s">
        <v>807</v>
      </c>
      <c r="G1576" s="66" t="s">
        <v>98</v>
      </c>
      <c r="H1576" s="18" t="s">
        <v>98</v>
      </c>
      <c r="I1576" s="18" t="s">
        <v>98</v>
      </c>
      <c r="J1576" s="18" t="s">
        <v>98</v>
      </c>
      <c r="K1576" s="18" t="s">
        <v>98</v>
      </c>
      <c r="L1576" s="18" t="s">
        <v>98</v>
      </c>
      <c r="M1576" s="18" t="s">
        <v>503</v>
      </c>
      <c r="N1576" s="18" t="s">
        <v>216</v>
      </c>
      <c r="O1576" s="18" t="s">
        <v>98</v>
      </c>
      <c r="P1576" s="15" t="str">
        <f t="shared" si="1"/>
        <v>VERIFY</v>
      </c>
      <c r="Q1576" s="15">
        <f t="shared" si="2"/>
        <v>5</v>
      </c>
      <c r="R1576" s="15">
        <f t="shared" si="3"/>
        <v>5</v>
      </c>
      <c r="S1576" s="15">
        <f t="shared" si="4"/>
        <v>3</v>
      </c>
      <c r="T1576" s="15" t="str">
        <f t="shared" si="5"/>
        <v>C-1</v>
      </c>
      <c r="U1576" s="15" t="str">
        <f t="shared" si="6"/>
        <v>T5-M5-H3-FC-1-VERIFY</v>
      </c>
      <c r="V1576" s="15">
        <f t="shared" si="7"/>
        <v>0</v>
      </c>
      <c r="W1576" s="31"/>
      <c r="X1576" s="15" t="str">
        <f t="shared" si="8"/>
        <v>khasab-oman</v>
      </c>
      <c r="Y1576" s="32" t="str">
        <f t="shared" si="9"/>
        <v>https://steelmanufacturer.in/market-area/electropolished-pipes-manufacturer-in-khasab-oman/</v>
      </c>
      <c r="Z1576" s="15" t="str">
        <f t="shared" si="10"/>
        <v>Electropolished Pipes Manufacturer in Khasab</v>
      </c>
      <c r="AA1576" s="15" t="str">
        <f t="shared" si="11"/>
        <v>OK (44)</v>
      </c>
      <c r="AB1576" s="15" t="str">
        <f t="shared" si="12"/>
        <v>Manufacturer of electropolished SS 316L tube serving Khasab. 7-10 days sea from Nhava Sheva to Sohar. Ra 0.25-0.5 um, EN 10204 3.1 MTC.</v>
      </c>
      <c r="AC1576" s="15" t="str">
        <f t="shared" si="13"/>
        <v>PENDING RESEARCH</v>
      </c>
      <c r="AD1576" s="15" t="str">
        <f t="shared" si="14"/>
        <v>Electropolished Pipes Manufacturer in Khasab</v>
      </c>
      <c r="AE1576" s="15" t="str">
        <f t="shared" si="15"/>
        <v>Electropolished Pipes Manufacturer in Khasab - Our Process &amp; Capability</v>
      </c>
      <c r="AF1576" s="15" t="str">
        <f t="shared" si="16"/>
        <v>Electropolished Pipes Supplier in Khasab - What We Hold in Stock</v>
      </c>
      <c r="AG1576" s="15" t="str">
        <f t="shared" si="17"/>
        <v>Bulk &amp; Wholesale Electropolished Pipe Rates for Khasab Buyers</v>
      </c>
      <c r="AH1576" s="15" t="str">
        <f t="shared" si="18"/>
        <v>electropolished pipes manufacturer in Khasab, electropolished pipes supplier in Khasab, electropolished pipes wholesaler in Khasab, electropolished tube manufacturer Khasab, EP pipe supplier Khasab, sanitary tube supplier Khasab, ASME BPE tubing Khasab, ASTM A270 tube Khasab, SS 316L electropolished pipe Khasab</v>
      </c>
      <c r="AI1576" s="15" t="str">
        <f t="shared" si="19"/>
        <v>Electropolished Pipes Manufacturer &amp; Supplier in Khasab</v>
      </c>
      <c r="AJ1576" s="15" t="str">
        <f t="shared" si="20"/>
        <v>EP-finished SS 304/316L pipes and tubes for VERIFY plants in Khasab. ASME BPE SF1-SF4, Ra from 0.25 um, EN 10204 3.1 certificate with every lot.</v>
      </c>
      <c r="AK1576" s="15" t="str">
        <f t="shared" si="21"/>
        <v>Electropolished stainless steel pipes supplied by Sakshi Forge to VERIFY plants at VERIFY, Khasab</v>
      </c>
      <c r="AL1576" s="15" t="str">
        <f t="shared" si="22"/>
        <v>Electropolished SS 316L tube stock for Khasab - Sakshi Forge</v>
      </c>
      <c r="AM1576" s="15" t="str">
        <f t="shared" si="23"/>
        <v>Home &gt; Market Area &gt; Oman &gt; VERIFY &gt; Khasab</v>
      </c>
      <c r="AN1576" s="15">
        <f t="shared" si="24"/>
        <v>750</v>
      </c>
      <c r="AO1576" s="15">
        <f t="shared" si="25"/>
        <v>6</v>
      </c>
      <c r="AP1576" s="15">
        <f t="shared" si="26"/>
        <v>6</v>
      </c>
      <c r="AQ1576" s="15">
        <f t="shared" si="27"/>
        <v>27</v>
      </c>
      <c r="AR1576" s="31"/>
      <c r="AS1576" s="31"/>
      <c r="AT1576" s="35" t="s">
        <v>222</v>
      </c>
      <c r="AU1576" s="35"/>
    </row>
    <row r="1577" ht="15.75" customHeight="1">
      <c r="A1577" s="15" t="s">
        <v>7404</v>
      </c>
      <c r="B1577" s="15" t="s">
        <v>215</v>
      </c>
      <c r="C1577" s="15" t="s">
        <v>98</v>
      </c>
      <c r="D1577" s="15" t="s">
        <v>7405</v>
      </c>
      <c r="E1577" s="15" t="s">
        <v>7405</v>
      </c>
      <c r="F1577" s="58" t="s">
        <v>807</v>
      </c>
      <c r="G1577" s="66" t="s">
        <v>98</v>
      </c>
      <c r="H1577" s="18" t="s">
        <v>98</v>
      </c>
      <c r="I1577" s="18" t="s">
        <v>98</v>
      </c>
      <c r="J1577" s="18" t="s">
        <v>98</v>
      </c>
      <c r="K1577" s="18" t="s">
        <v>98</v>
      </c>
      <c r="L1577" s="18" t="s">
        <v>98</v>
      </c>
      <c r="M1577" s="18" t="s">
        <v>503</v>
      </c>
      <c r="N1577" s="18" t="s">
        <v>216</v>
      </c>
      <c r="O1577" s="18" t="s">
        <v>98</v>
      </c>
      <c r="P1577" s="15" t="str">
        <f t="shared" si="1"/>
        <v>VERIFY</v>
      </c>
      <c r="Q1577" s="15">
        <f t="shared" si="2"/>
        <v>6</v>
      </c>
      <c r="R1577" s="15">
        <f t="shared" si="3"/>
        <v>6</v>
      </c>
      <c r="S1577" s="15">
        <f t="shared" si="4"/>
        <v>4</v>
      </c>
      <c r="T1577" s="15" t="str">
        <f t="shared" si="5"/>
        <v>C-2</v>
      </c>
      <c r="U1577" s="15" t="str">
        <f t="shared" si="6"/>
        <v>T6-M6-H4-FC-2-VERIFY</v>
      </c>
      <c r="V1577" s="15">
        <f t="shared" si="7"/>
        <v>0</v>
      </c>
      <c r="W1577" s="31"/>
      <c r="X1577" s="15" t="str">
        <f t="shared" si="8"/>
        <v>mahout-oman</v>
      </c>
      <c r="Y1577" s="32" t="str">
        <f t="shared" si="9"/>
        <v>https://steelmanufacturer.in/market-area/electropolished-pipes-manufacturer-in-mahout-oman/</v>
      </c>
      <c r="Z1577" s="15" t="str">
        <f t="shared" si="10"/>
        <v>Electropolished Pipes Manufacturer in Mahout</v>
      </c>
      <c r="AA1577" s="15" t="str">
        <f t="shared" si="11"/>
        <v>OK (44)</v>
      </c>
      <c r="AB1577" s="15" t="str">
        <f t="shared" si="12"/>
        <v>EP tube and pipe for VERIFY plants around VERIFY, Mahout. Made at our Mumbai works to ASTM A270 and ASME BPE SF1-SF4, with 3.1 MTC.</v>
      </c>
      <c r="AC1577" s="15" t="str">
        <f t="shared" si="13"/>
        <v>PENDING RESEARCH</v>
      </c>
      <c r="AD1577" s="15" t="str">
        <f t="shared" si="14"/>
        <v>Electropolished Pipes Manufacturer in Mahout</v>
      </c>
      <c r="AE1577" s="15" t="str">
        <f t="shared" si="15"/>
        <v>Manufacturing Electropolished SS Tube for Mahout: The Standards We Build To</v>
      </c>
      <c r="AF1577" s="15" t="str">
        <f t="shared" si="16"/>
        <v>Electropolished Pipe Supply Into Mahout - Certification &amp; Transit</v>
      </c>
      <c r="AG1577" s="15" t="str">
        <f t="shared" si="17"/>
        <v>Electropolished Pipes Wholesaler in Mahout - Project Quantities &amp; Terms</v>
      </c>
      <c r="AH1577" s="15" t="str">
        <f t="shared" si="18"/>
        <v>electropolished pipes manufacturer in Mahout, electropolished pipes supplier in Mahout, electropolished pipes wholesaler in Mahout, electropolished tube manufacturer Mahout, EP pipe supplier Mahout, sanitary tube supplier Mahout, ASME BPE tubing Mahout, ASTM A270 tube Mahout, SS 316L electropolished pipe Mahout</v>
      </c>
      <c r="AI1577" s="15" t="str">
        <f t="shared" si="19"/>
        <v>Electropolished Pipes Manufacturer &amp; Supplier in Mahout</v>
      </c>
      <c r="AJ1577" s="15" t="str">
        <f t="shared" si="20"/>
        <v>EP-finished SS 304/316L pipes and tubes for VERIFY plants in Mahout. ASME BPE SF1-SF4, Ra from 0.25 um, EN 10204 3.1 certificate with every lot.</v>
      </c>
      <c r="AK1577" s="15" t="str">
        <f t="shared" si="21"/>
        <v>Electropolished stainless steel pipes supplied by Sakshi Forge to VERIFY plants at VERIFY, Mahout</v>
      </c>
      <c r="AL1577" s="15" t="str">
        <f t="shared" si="22"/>
        <v>Electropolished SS 316L tube stock for Mahout - Sakshi Forge</v>
      </c>
      <c r="AM1577" s="15" t="str">
        <f t="shared" si="23"/>
        <v>Home &gt; Market Area &gt; Oman &gt; VERIFY &gt; Mahout</v>
      </c>
      <c r="AN1577" s="15">
        <f t="shared" si="24"/>
        <v>750</v>
      </c>
      <c r="AO1577" s="15">
        <f t="shared" si="25"/>
        <v>6</v>
      </c>
      <c r="AP1577" s="15">
        <f t="shared" si="26"/>
        <v>6</v>
      </c>
      <c r="AQ1577" s="15">
        <f t="shared" si="27"/>
        <v>27</v>
      </c>
      <c r="AR1577" s="31"/>
      <c r="AS1577" s="31"/>
      <c r="AT1577" s="35" t="s">
        <v>222</v>
      </c>
      <c r="AU1577" s="35"/>
    </row>
    <row r="1578" ht="15.75" customHeight="1">
      <c r="A1578" s="15" t="s">
        <v>7406</v>
      </c>
      <c r="B1578" s="15" t="s">
        <v>215</v>
      </c>
      <c r="C1578" s="15" t="s">
        <v>98</v>
      </c>
      <c r="D1578" s="15" t="s">
        <v>7407</v>
      </c>
      <c r="E1578" s="15" t="s">
        <v>7407</v>
      </c>
      <c r="F1578" s="58" t="s">
        <v>807</v>
      </c>
      <c r="G1578" s="66" t="s">
        <v>98</v>
      </c>
      <c r="H1578" s="18" t="s">
        <v>98</v>
      </c>
      <c r="I1578" s="18" t="s">
        <v>98</v>
      </c>
      <c r="J1578" s="18" t="s">
        <v>98</v>
      </c>
      <c r="K1578" s="18" t="s">
        <v>98</v>
      </c>
      <c r="L1578" s="18" t="s">
        <v>98</v>
      </c>
      <c r="M1578" s="18" t="s">
        <v>503</v>
      </c>
      <c r="N1578" s="18" t="s">
        <v>216</v>
      </c>
      <c r="O1578" s="18" t="s">
        <v>98</v>
      </c>
      <c r="P1578" s="15" t="str">
        <f t="shared" si="1"/>
        <v>VERIFY</v>
      </c>
      <c r="Q1578" s="15">
        <f t="shared" si="2"/>
        <v>7</v>
      </c>
      <c r="R1578" s="15">
        <f t="shared" si="3"/>
        <v>7</v>
      </c>
      <c r="S1578" s="15">
        <f t="shared" si="4"/>
        <v>5</v>
      </c>
      <c r="T1578" s="15" t="str">
        <f t="shared" si="5"/>
        <v>C-3</v>
      </c>
      <c r="U1578" s="15" t="str">
        <f t="shared" si="6"/>
        <v>T7-M7-H5-FC-3-VERIFY</v>
      </c>
      <c r="V1578" s="15">
        <f t="shared" si="7"/>
        <v>0</v>
      </c>
      <c r="W1578" s="31"/>
      <c r="X1578" s="15" t="str">
        <f t="shared" si="8"/>
        <v>rustaq-oman</v>
      </c>
      <c r="Y1578" s="32" t="str">
        <f t="shared" si="9"/>
        <v>https://steelmanufacturer.in/market-area/electropolished-pipes-manufacturer-in-rustaq-oman/</v>
      </c>
      <c r="Z1578" s="15" t="str">
        <f t="shared" si="10"/>
        <v>Electropolished Pipes Manufacturer in Rustaq | ASME BPE SF1-SF4</v>
      </c>
      <c r="AA1578" s="15" t="str">
        <f t="shared" si="11"/>
        <v>OK (63)</v>
      </c>
      <c r="AB1578" s="15" t="str">
        <f t="shared" si="12"/>
        <v>Electropolished pipes in Rustaq: 304, 304L, 316 and 316L in SF1-SF4. 7-10 days sea from Nhava Sheva to Sohar. Mill certified.</v>
      </c>
      <c r="AC1578" s="15" t="str">
        <f t="shared" si="13"/>
        <v>PENDING RESEARCH</v>
      </c>
      <c r="AD1578" s="15" t="str">
        <f t="shared" si="14"/>
        <v>Electropolished Pipes Manufacturer in Rustaq</v>
      </c>
      <c r="AE1578" s="15" t="str">
        <f t="shared" si="15"/>
        <v>Electropolished Tube Manufacturing Capability Serving Rustaq</v>
      </c>
      <c r="AF1578" s="15" t="str">
        <f t="shared" si="16"/>
        <v>Electropolished Pipes Supplier in Rustaq - From Order to Delivery</v>
      </c>
      <c r="AG1578" s="15" t="str">
        <f t="shared" si="17"/>
        <v>Stockist &amp; Wholesale Supply of Electropolished Pipes in Rustaq</v>
      </c>
      <c r="AH1578" s="15" t="str">
        <f t="shared" si="18"/>
        <v>electropolished pipes manufacturer in Rustaq, electropolished pipes supplier in Rustaq, electropolished pipes wholesaler in Rustaq, electropolished tube manufacturer Rustaq, EP pipe supplier Rustaq, sanitary tube supplier Rustaq, ASME BPE tubing Rustaq, ASTM A270 tube Rustaq, SS 316L electropolished pipe Rustaq</v>
      </c>
      <c r="AI1578" s="15" t="str">
        <f t="shared" si="19"/>
        <v>Electropolished Pipes Manufacturer &amp; Supplier in Rustaq</v>
      </c>
      <c r="AJ1578" s="15" t="str">
        <f t="shared" si="20"/>
        <v>EP-finished SS 304/316L pipes and tubes for VERIFY plants in Rustaq. ASME BPE SF1-SF4, Ra from 0.25 um, EN 10204 3.1 certificate with every lot.</v>
      </c>
      <c r="AK1578" s="15" t="str">
        <f t="shared" si="21"/>
        <v>Electropolished stainless steel pipes supplied by Sakshi Forge to VERIFY plants at VERIFY, Rustaq</v>
      </c>
      <c r="AL1578" s="15" t="str">
        <f t="shared" si="22"/>
        <v>Electropolished SS 316L tube stock for Rustaq - Sakshi Forge</v>
      </c>
      <c r="AM1578" s="15" t="str">
        <f t="shared" si="23"/>
        <v>Home &gt; Market Area &gt; Oman &gt; VERIFY &gt; Rustaq</v>
      </c>
      <c r="AN1578" s="15">
        <f t="shared" si="24"/>
        <v>750</v>
      </c>
      <c r="AO1578" s="15">
        <f t="shared" si="25"/>
        <v>6</v>
      </c>
      <c r="AP1578" s="15">
        <f t="shared" si="26"/>
        <v>6</v>
      </c>
      <c r="AQ1578" s="15">
        <f t="shared" si="27"/>
        <v>27</v>
      </c>
      <c r="AR1578" s="31"/>
      <c r="AS1578" s="31"/>
      <c r="AT1578" s="35" t="s">
        <v>222</v>
      </c>
      <c r="AU1578" s="35"/>
    </row>
    <row r="1579" ht="15.75" customHeight="1">
      <c r="A1579" s="15" t="s">
        <v>7408</v>
      </c>
      <c r="B1579" s="15" t="s">
        <v>215</v>
      </c>
      <c r="C1579" s="15" t="s">
        <v>98</v>
      </c>
      <c r="D1579" s="15" t="s">
        <v>7409</v>
      </c>
      <c r="E1579" s="15" t="s">
        <v>7409</v>
      </c>
      <c r="F1579" s="58" t="s">
        <v>807</v>
      </c>
      <c r="G1579" s="66" t="s">
        <v>98</v>
      </c>
      <c r="H1579" s="18" t="s">
        <v>98</v>
      </c>
      <c r="I1579" s="18" t="s">
        <v>98</v>
      </c>
      <c r="J1579" s="18" t="s">
        <v>98</v>
      </c>
      <c r="K1579" s="18" t="s">
        <v>98</v>
      </c>
      <c r="L1579" s="18" t="s">
        <v>98</v>
      </c>
      <c r="M1579" s="18" t="s">
        <v>503</v>
      </c>
      <c r="N1579" s="18" t="s">
        <v>216</v>
      </c>
      <c r="O1579" s="18" t="s">
        <v>98</v>
      </c>
      <c r="P1579" s="15" t="str">
        <f t="shared" si="1"/>
        <v>VERIFY</v>
      </c>
      <c r="Q1579" s="15">
        <f t="shared" si="2"/>
        <v>8</v>
      </c>
      <c r="R1579" s="15">
        <f t="shared" si="3"/>
        <v>1</v>
      </c>
      <c r="S1579" s="15">
        <f t="shared" si="4"/>
        <v>1</v>
      </c>
      <c r="T1579" s="15" t="str">
        <f t="shared" si="5"/>
        <v>C-4</v>
      </c>
      <c r="U1579" s="15" t="str">
        <f t="shared" si="6"/>
        <v>T8-M1-H1-FC-4-VERIFY</v>
      </c>
      <c r="V1579" s="15">
        <f t="shared" si="7"/>
        <v>0</v>
      </c>
      <c r="W1579" s="31"/>
      <c r="X1579" s="15" t="str">
        <f t="shared" si="8"/>
        <v>saham-oman</v>
      </c>
      <c r="Y1579" s="32" t="str">
        <f t="shared" si="9"/>
        <v>https://steelmanufacturer.in/market-area/electropolished-pipes-manufacturer-in-saham-oman/</v>
      </c>
      <c r="Z1579" s="15" t="str">
        <f t="shared" si="10"/>
        <v>Electropolished Pipes Manufacturer in Saham - EP Tube Stockist</v>
      </c>
      <c r="AA1579" s="15" t="str">
        <f t="shared" si="11"/>
        <v>OK (62)</v>
      </c>
      <c r="AB1579" s="15" t="str">
        <f t="shared" si="12"/>
        <v>EP-finished SS 304/316L pipes &amp; tubes for VERIFY plants in Saham. ASTM A270, ASME BPE SF1-SF4, EN 10204 3.1 MTC. PMI tested.</v>
      </c>
      <c r="AC1579" s="15" t="str">
        <f t="shared" si="13"/>
        <v>PENDING RESEARCH</v>
      </c>
      <c r="AD1579" s="15" t="str">
        <f t="shared" si="14"/>
        <v>Electropolished Pipes Manufacturer in Saham</v>
      </c>
      <c r="AE1579" s="15" t="str">
        <f t="shared" si="15"/>
        <v>Electropolished Pipe &amp; Tube Manufacturing for Saham - Grades, Finishes &amp; Certification</v>
      </c>
      <c r="AF1579" s="15" t="str">
        <f t="shared" si="16"/>
        <v>Electropolished Pipes Supplier in Saham - Stock Sizes, Lead Time &amp; Delivery</v>
      </c>
      <c r="AG1579" s="15" t="str">
        <f t="shared" si="17"/>
        <v>Electropolished Pipes Wholesaler &amp; Stockist in Saham - Bulk &amp; Project Pricing</v>
      </c>
      <c r="AH1579" s="15" t="str">
        <f t="shared" si="18"/>
        <v>electropolished pipes manufacturer in Saham, electropolished pipes supplier in Saham, electropolished pipes wholesaler in Saham, electropolished tube manufacturer Saham, EP pipe supplier Saham, sanitary tube supplier Saham, ASME BPE tubing Saham, ASTM A270 tube Saham, SS 316L electropolished pipe Saham</v>
      </c>
      <c r="AI1579" s="15" t="str">
        <f t="shared" si="19"/>
        <v>Electropolished Pipes Manufacturer &amp; Supplier in Saham</v>
      </c>
      <c r="AJ1579" s="15" t="str">
        <f t="shared" si="20"/>
        <v>EP-finished SS 304/316L pipes and tubes for VERIFY plants in Saham. ASME BPE SF1-SF4, Ra from 0.25 um, EN 10204 3.1 certificate with every lot.</v>
      </c>
      <c r="AK1579" s="15" t="str">
        <f t="shared" si="21"/>
        <v>Electropolished stainless steel pipes supplied by Sakshi Forge to VERIFY plants at VERIFY, Saham</v>
      </c>
      <c r="AL1579" s="15" t="str">
        <f t="shared" si="22"/>
        <v>Electropolished SS 316L tube stock for Saham - Sakshi Forge</v>
      </c>
      <c r="AM1579" s="15" t="str">
        <f t="shared" si="23"/>
        <v>Home &gt; Market Area &gt; Oman &gt; VERIFY &gt; Saham</v>
      </c>
      <c r="AN1579" s="15">
        <f t="shared" si="24"/>
        <v>750</v>
      </c>
      <c r="AO1579" s="15">
        <f t="shared" si="25"/>
        <v>6</v>
      </c>
      <c r="AP1579" s="15">
        <f t="shared" si="26"/>
        <v>6</v>
      </c>
      <c r="AQ1579" s="15">
        <f t="shared" si="27"/>
        <v>27</v>
      </c>
      <c r="AR1579" s="31"/>
      <c r="AS1579" s="31"/>
      <c r="AT1579" s="35" t="s">
        <v>222</v>
      </c>
      <c r="AU1579" s="35"/>
    </row>
    <row r="1580" ht="15.75" customHeight="1">
      <c r="A1580" s="15" t="s">
        <v>7410</v>
      </c>
      <c r="B1580" s="15" t="s">
        <v>215</v>
      </c>
      <c r="C1580" s="15" t="s">
        <v>98</v>
      </c>
      <c r="D1580" s="15" t="s">
        <v>7411</v>
      </c>
      <c r="E1580" s="15" t="s">
        <v>7411</v>
      </c>
      <c r="F1580" s="58" t="s">
        <v>807</v>
      </c>
      <c r="G1580" s="66" t="s">
        <v>98</v>
      </c>
      <c r="H1580" s="18" t="s">
        <v>98</v>
      </c>
      <c r="I1580" s="18" t="s">
        <v>98</v>
      </c>
      <c r="J1580" s="18" t="s">
        <v>98</v>
      </c>
      <c r="K1580" s="18" t="s">
        <v>98</v>
      </c>
      <c r="L1580" s="18" t="s">
        <v>98</v>
      </c>
      <c r="M1580" s="18" t="s">
        <v>503</v>
      </c>
      <c r="N1580" s="18" t="s">
        <v>216</v>
      </c>
      <c r="O1580" s="18" t="s">
        <v>98</v>
      </c>
      <c r="P1580" s="15" t="str">
        <f t="shared" si="1"/>
        <v>VERIFY</v>
      </c>
      <c r="Q1580" s="15">
        <f t="shared" si="2"/>
        <v>1</v>
      </c>
      <c r="R1580" s="15">
        <f t="shared" si="3"/>
        <v>2</v>
      </c>
      <c r="S1580" s="15">
        <f t="shared" si="4"/>
        <v>2</v>
      </c>
      <c r="T1580" s="15" t="str">
        <f t="shared" si="5"/>
        <v>C-5</v>
      </c>
      <c r="U1580" s="15" t="str">
        <f t="shared" si="6"/>
        <v>T1-M2-H2-FC-5-VERIFY</v>
      </c>
      <c r="V1580" s="15">
        <f t="shared" si="7"/>
        <v>0</v>
      </c>
      <c r="W1580" s="31"/>
      <c r="X1580" s="15" t="str">
        <f t="shared" si="8"/>
        <v>samail-oman</v>
      </c>
      <c r="Y1580" s="32" t="str">
        <f t="shared" si="9"/>
        <v>https://steelmanufacturer.in/market-area/electropolished-pipes-manufacturer-in-samail-oman/</v>
      </c>
      <c r="Z1580" s="15" t="str">
        <f t="shared" si="10"/>
        <v>Electropolished Pipes Manufacturer in Samail | Sakshi Forge</v>
      </c>
      <c r="AA1580" s="15" t="str">
        <f t="shared" si="11"/>
        <v>OK (59)</v>
      </c>
      <c r="AB1580" s="15" t="str">
        <f t="shared" si="12"/>
        <v>Electropolished tube supply to VERIFY, Samail. Ra from 0.25 um, SF4 finish, mill test certificate with every lot.</v>
      </c>
      <c r="AC1580" s="15" t="str">
        <f t="shared" si="13"/>
        <v>PENDING RESEARCH</v>
      </c>
      <c r="AD1580" s="15" t="str">
        <f t="shared" si="14"/>
        <v>Electropolished Pipes Manufacturer in Samail</v>
      </c>
      <c r="AE1580" s="15" t="str">
        <f t="shared" si="15"/>
        <v>How We Manufacture Electropolished Tube for Samail Plants</v>
      </c>
      <c r="AF1580" s="15" t="str">
        <f t="shared" si="16"/>
        <v>Supplying Electropolished Pipes in Samail: Availability, Sizes &amp; Dispatch</v>
      </c>
      <c r="AG1580" s="15" t="str">
        <f t="shared" si="17"/>
        <v>Wholesale Electropolished Pipe Supply for Samail Projects</v>
      </c>
      <c r="AH1580" s="15" t="str">
        <f t="shared" si="18"/>
        <v>electropolished pipes manufacturer in Samail, electropolished pipes supplier in Samail, electropolished pipes wholesaler in Samail, electropolished tube manufacturer Samail, EP pipe supplier Samail, sanitary tube supplier Samail, ASME BPE tubing Samail, ASTM A270 tube Samail, SS 316L electropolished pipe Samail</v>
      </c>
      <c r="AI1580" s="15" t="str">
        <f t="shared" si="19"/>
        <v>Electropolished Pipes Manufacturer &amp; Supplier in Samail</v>
      </c>
      <c r="AJ1580" s="15" t="str">
        <f t="shared" si="20"/>
        <v>EP-finished SS 304/316L pipes and tubes for VERIFY plants in Samail. ASME BPE SF1-SF4, Ra from 0.25 um, EN 10204 3.1 certificate with every lot.</v>
      </c>
      <c r="AK1580" s="15" t="str">
        <f t="shared" si="21"/>
        <v>Electropolished stainless steel pipes supplied by Sakshi Forge to VERIFY plants at VERIFY, Samail</v>
      </c>
      <c r="AL1580" s="15" t="str">
        <f t="shared" si="22"/>
        <v>Electropolished SS 316L tube stock for Samail - Sakshi Forge</v>
      </c>
      <c r="AM1580" s="15" t="str">
        <f t="shared" si="23"/>
        <v>Home &gt; Market Area &gt; Oman &gt; VERIFY &gt; Samail</v>
      </c>
      <c r="AN1580" s="15">
        <f t="shared" si="24"/>
        <v>750</v>
      </c>
      <c r="AO1580" s="15">
        <f t="shared" si="25"/>
        <v>6</v>
      </c>
      <c r="AP1580" s="15">
        <f t="shared" si="26"/>
        <v>6</v>
      </c>
      <c r="AQ1580" s="15">
        <f t="shared" si="27"/>
        <v>27</v>
      </c>
      <c r="AR1580" s="31"/>
      <c r="AS1580" s="31"/>
      <c r="AT1580" s="35" t="s">
        <v>222</v>
      </c>
      <c r="AU1580" s="35"/>
    </row>
    <row r="1581" ht="15.75" customHeight="1">
      <c r="A1581" s="15" t="s">
        <v>7412</v>
      </c>
      <c r="B1581" s="15" t="s">
        <v>215</v>
      </c>
      <c r="C1581" s="15" t="s">
        <v>98</v>
      </c>
      <c r="D1581" s="15" t="s">
        <v>7413</v>
      </c>
      <c r="E1581" s="15" t="s">
        <v>7413</v>
      </c>
      <c r="F1581" s="58" t="s">
        <v>807</v>
      </c>
      <c r="G1581" s="66" t="s">
        <v>98</v>
      </c>
      <c r="H1581" s="18" t="s">
        <v>98</v>
      </c>
      <c r="I1581" s="18" t="s">
        <v>98</v>
      </c>
      <c r="J1581" s="18" t="s">
        <v>98</v>
      </c>
      <c r="K1581" s="18" t="s">
        <v>98</v>
      </c>
      <c r="L1581" s="18" t="s">
        <v>98</v>
      </c>
      <c r="M1581" s="18" t="s">
        <v>503</v>
      </c>
      <c r="N1581" s="18" t="s">
        <v>216</v>
      </c>
      <c r="O1581" s="18" t="s">
        <v>98</v>
      </c>
      <c r="P1581" s="15" t="str">
        <f t="shared" si="1"/>
        <v>VERIFY</v>
      </c>
      <c r="Q1581" s="15">
        <f t="shared" si="2"/>
        <v>2</v>
      </c>
      <c r="R1581" s="15">
        <f t="shared" si="3"/>
        <v>3</v>
      </c>
      <c r="S1581" s="15">
        <f t="shared" si="4"/>
        <v>3</v>
      </c>
      <c r="T1581" s="15" t="str">
        <f t="shared" si="5"/>
        <v>C-6</v>
      </c>
      <c r="U1581" s="15" t="str">
        <f t="shared" si="6"/>
        <v>T2-M3-H3-FC-6-VERIFY</v>
      </c>
      <c r="V1581" s="15">
        <f t="shared" si="7"/>
        <v>0</v>
      </c>
      <c r="W1581" s="31"/>
      <c r="X1581" s="15" t="str">
        <f t="shared" si="8"/>
        <v>shinas-oman</v>
      </c>
      <c r="Y1581" s="32" t="str">
        <f t="shared" si="9"/>
        <v>https://steelmanufacturer.in/market-area/electropolished-pipes-manufacturer-in-shinas-oman/</v>
      </c>
      <c r="Z1581" s="15" t="str">
        <f t="shared" si="10"/>
        <v>Electropolished Pipes Manufacturer in Shinas</v>
      </c>
      <c r="AA1581" s="15" t="str">
        <f t="shared" si="11"/>
        <v>OK (44)</v>
      </c>
      <c r="AB1581" s="15" t="str">
        <f t="shared" si="12"/>
        <v>EP stainless tube for VERIFY lines in Shinas. 7-10 days sea from Nhava Sheva to Sohar. ASTM A270 S2, PMI tested, EN 10204 3.1.</v>
      </c>
      <c r="AC1581" s="15" t="str">
        <f t="shared" si="13"/>
        <v>PENDING RESEARCH</v>
      </c>
      <c r="AD1581" s="15" t="str">
        <f t="shared" si="14"/>
        <v>Electropolished Pipes Manufacturer in Shinas</v>
      </c>
      <c r="AE1581" s="15" t="str">
        <f t="shared" si="15"/>
        <v>Electropolished Pipes Manufacturer in Shinas - Our Process &amp; Capability</v>
      </c>
      <c r="AF1581" s="15" t="str">
        <f t="shared" si="16"/>
        <v>Electropolished Pipes Supplier in Shinas - What We Hold in Stock</v>
      </c>
      <c r="AG1581" s="15" t="str">
        <f t="shared" si="17"/>
        <v>Bulk &amp; Wholesale Electropolished Pipe Rates for Shinas Buyers</v>
      </c>
      <c r="AH1581" s="15" t="str">
        <f t="shared" si="18"/>
        <v>electropolished pipes manufacturer in Shinas, electropolished pipes supplier in Shinas, electropolished pipes wholesaler in Shinas, electropolished tube manufacturer Shinas, EP pipe supplier Shinas, sanitary tube supplier Shinas, ASME BPE tubing Shinas, ASTM A270 tube Shinas, SS 316L electropolished pipe Shinas</v>
      </c>
      <c r="AI1581" s="15" t="str">
        <f t="shared" si="19"/>
        <v>Electropolished Pipes Manufacturer &amp; Supplier in Shinas</v>
      </c>
      <c r="AJ1581" s="15" t="str">
        <f t="shared" si="20"/>
        <v>EP-finished SS 304/316L pipes and tubes for VERIFY plants in Shinas. ASME BPE SF1-SF4, Ra from 0.25 um, EN 10204 3.1 certificate with every lot.</v>
      </c>
      <c r="AK1581" s="15" t="str">
        <f t="shared" si="21"/>
        <v>Electropolished stainless steel pipes supplied by Sakshi Forge to VERIFY plants at VERIFY, Shinas</v>
      </c>
      <c r="AL1581" s="15" t="str">
        <f t="shared" si="22"/>
        <v>Electropolished SS 316L tube stock for Shinas - Sakshi Forge</v>
      </c>
      <c r="AM1581" s="15" t="str">
        <f t="shared" si="23"/>
        <v>Home &gt; Market Area &gt; Oman &gt; VERIFY &gt; Shinas</v>
      </c>
      <c r="AN1581" s="15">
        <f t="shared" si="24"/>
        <v>750</v>
      </c>
      <c r="AO1581" s="15">
        <f t="shared" si="25"/>
        <v>6</v>
      </c>
      <c r="AP1581" s="15">
        <f t="shared" si="26"/>
        <v>6</v>
      </c>
      <c r="AQ1581" s="15">
        <f t="shared" si="27"/>
        <v>27</v>
      </c>
      <c r="AR1581" s="31"/>
      <c r="AS1581" s="31"/>
      <c r="AT1581" s="35" t="s">
        <v>222</v>
      </c>
      <c r="AU1581" s="35"/>
    </row>
    <row r="1582" ht="15.75" customHeight="1">
      <c r="A1582" s="15" t="s">
        <v>7414</v>
      </c>
      <c r="B1582" s="15" t="s">
        <v>210</v>
      </c>
      <c r="C1582" s="15" t="s">
        <v>98</v>
      </c>
      <c r="D1582" s="15" t="s">
        <v>7415</v>
      </c>
      <c r="E1582" s="15" t="s">
        <v>7415</v>
      </c>
      <c r="F1582" s="58" t="s">
        <v>807</v>
      </c>
      <c r="G1582" s="66" t="s">
        <v>98</v>
      </c>
      <c r="H1582" s="18" t="s">
        <v>98</v>
      </c>
      <c r="I1582" s="18" t="s">
        <v>98</v>
      </c>
      <c r="J1582" s="18" t="s">
        <v>98</v>
      </c>
      <c r="K1582" s="18" t="s">
        <v>98</v>
      </c>
      <c r="L1582" s="18" t="s">
        <v>98</v>
      </c>
      <c r="M1582" s="18" t="s">
        <v>491</v>
      </c>
      <c r="N1582" s="18" t="s">
        <v>214</v>
      </c>
      <c r="O1582" s="18" t="s">
        <v>98</v>
      </c>
      <c r="P1582" s="15" t="str">
        <f t="shared" si="1"/>
        <v>VERIFY</v>
      </c>
      <c r="Q1582" s="15">
        <f t="shared" si="2"/>
        <v>3</v>
      </c>
      <c r="R1582" s="15">
        <f t="shared" si="3"/>
        <v>4</v>
      </c>
      <c r="S1582" s="15">
        <f t="shared" si="4"/>
        <v>4</v>
      </c>
      <c r="T1582" s="15" t="str">
        <f t="shared" si="5"/>
        <v>C-1</v>
      </c>
      <c r="U1582" s="15" t="str">
        <f t="shared" si="6"/>
        <v>T3-M4-H4-FC-1-VERIFY</v>
      </c>
      <c r="V1582" s="15">
        <f t="shared" si="7"/>
        <v>0</v>
      </c>
      <c r="W1582" s="31"/>
      <c r="X1582" s="15" t="str">
        <f t="shared" si="8"/>
        <v>al-daayen-qatar</v>
      </c>
      <c r="Y1582" s="32" t="str">
        <f t="shared" si="9"/>
        <v>https://steelmanufacturer.in/market-area/electropolished-pipes-manufacturer-in-al-daayen-qatar/</v>
      </c>
      <c r="Z1582" s="15" t="str">
        <f t="shared" si="10"/>
        <v>Electropolished Pipes Manufacturer in Al Daayen</v>
      </c>
      <c r="AA1582" s="15" t="str">
        <f t="shared" si="11"/>
        <v>OK (47)</v>
      </c>
      <c r="AB1582" s="15" t="str">
        <f t="shared" si="12"/>
        <v>Sanitary electropolished pipes in Al Daayen for VERIFY plants. ASME BPE SF1-SF4, orbital-weld ready, 3.1 MTC. Mumbai-made.</v>
      </c>
      <c r="AC1582" s="15" t="str">
        <f t="shared" si="13"/>
        <v>PENDING RESEARCH</v>
      </c>
      <c r="AD1582" s="15" t="str">
        <f t="shared" si="14"/>
        <v>Electropolished Pipes Manufacturer in Al Daayen</v>
      </c>
      <c r="AE1582" s="15" t="str">
        <f t="shared" si="15"/>
        <v>Manufacturing Electropolished SS Tube for Al Daayen: The Standards We Build To</v>
      </c>
      <c r="AF1582" s="15" t="str">
        <f t="shared" si="16"/>
        <v>Electropolished Pipe Supply Into Al Daayen - Certification &amp; Transit</v>
      </c>
      <c r="AG1582" s="15" t="str">
        <f t="shared" si="17"/>
        <v>Electropolished Pipes Wholesaler in Al Daayen - Project Quantities &amp; Terms</v>
      </c>
      <c r="AH1582" s="15" t="str">
        <f t="shared" si="18"/>
        <v>electropolished pipes manufacturer in Al Daayen, electropolished pipes supplier in Al Daayen, electropolished pipes wholesaler in Al Daayen, electropolished tube manufacturer Al Daayen, EP pipe supplier Al Daayen, sanitary tube supplier Al Daayen, ASME BPE tubing Al Daayen, ASTM A270 tube Al Daayen, SS 316L electropolished pipe Al Daayen</v>
      </c>
      <c r="AI1582" s="15" t="str">
        <f t="shared" si="19"/>
        <v>Electropolished Pipes Manufacturer &amp; Supplier in Al Daayen</v>
      </c>
      <c r="AJ1582" s="15" t="str">
        <f t="shared" si="20"/>
        <v>EP-finished SS 304/316L pipes and tubes for VERIFY plants in Al Daayen. ASME BPE SF1-SF4, Ra from 0.25 um, EN 10204 3.1 certificate with every lot.</v>
      </c>
      <c r="AK1582" s="15" t="str">
        <f t="shared" si="21"/>
        <v>Electropolished stainless steel pipes supplied by Sakshi Forge to VERIFY plants at VERIFY, Al Daayen</v>
      </c>
      <c r="AL1582" s="15" t="str">
        <f t="shared" si="22"/>
        <v>Electropolished SS 316L tube stock for Al Daayen - Sakshi Forge</v>
      </c>
      <c r="AM1582" s="15" t="str">
        <f t="shared" si="23"/>
        <v>Home &gt; Market Area &gt; Qatar &gt; VERIFY &gt; Al Daayen</v>
      </c>
      <c r="AN1582" s="15">
        <f t="shared" si="24"/>
        <v>750</v>
      </c>
      <c r="AO1582" s="15">
        <f t="shared" si="25"/>
        <v>6</v>
      </c>
      <c r="AP1582" s="15">
        <f t="shared" si="26"/>
        <v>6</v>
      </c>
      <c r="AQ1582" s="15">
        <f t="shared" si="27"/>
        <v>27</v>
      </c>
      <c r="AR1582" s="31"/>
      <c r="AS1582" s="31"/>
      <c r="AT1582" s="35" t="s">
        <v>222</v>
      </c>
      <c r="AU1582" s="35"/>
    </row>
    <row r="1583" ht="15.75" customHeight="1">
      <c r="A1583" s="15" t="s">
        <v>7417</v>
      </c>
      <c r="B1583" s="15" t="s">
        <v>210</v>
      </c>
      <c r="C1583" s="15" t="s">
        <v>98</v>
      </c>
      <c r="D1583" s="15" t="s">
        <v>7418</v>
      </c>
      <c r="E1583" s="15" t="s">
        <v>7418</v>
      </c>
      <c r="F1583" s="58" t="s">
        <v>807</v>
      </c>
      <c r="G1583" s="66" t="s">
        <v>98</v>
      </c>
      <c r="H1583" s="18" t="s">
        <v>98</v>
      </c>
      <c r="I1583" s="18" t="s">
        <v>98</v>
      </c>
      <c r="J1583" s="18" t="s">
        <v>98</v>
      </c>
      <c r="K1583" s="18" t="s">
        <v>98</v>
      </c>
      <c r="L1583" s="18" t="s">
        <v>98</v>
      </c>
      <c r="M1583" s="18" t="s">
        <v>491</v>
      </c>
      <c r="N1583" s="18" t="s">
        <v>214</v>
      </c>
      <c r="O1583" s="18" t="s">
        <v>98</v>
      </c>
      <c r="P1583" s="15" t="str">
        <f t="shared" si="1"/>
        <v>VERIFY</v>
      </c>
      <c r="Q1583" s="15">
        <f t="shared" si="2"/>
        <v>4</v>
      </c>
      <c r="R1583" s="15">
        <f t="shared" si="3"/>
        <v>5</v>
      </c>
      <c r="S1583" s="15">
        <f t="shared" si="4"/>
        <v>5</v>
      </c>
      <c r="T1583" s="15" t="str">
        <f t="shared" si="5"/>
        <v>C-2</v>
      </c>
      <c r="U1583" s="15" t="str">
        <f t="shared" si="6"/>
        <v>T4-M5-H5-FC-2-VERIFY</v>
      </c>
      <c r="V1583" s="15">
        <f t="shared" si="7"/>
        <v>0</v>
      </c>
      <c r="W1583" s="31"/>
      <c r="X1583" s="15" t="str">
        <f t="shared" si="8"/>
        <v>al-ghuwayriyah-qatar</v>
      </c>
      <c r="Y1583" s="32" t="str">
        <f t="shared" si="9"/>
        <v>https://steelmanufacturer.in/market-area/electropolished-pipes-manufacturer-in-al-ghuwayriyah-qatar/</v>
      </c>
      <c r="Z1583" s="15" t="str">
        <f t="shared" si="10"/>
        <v>Electropolished Pipes Manufacturer in Al Ghuwayriyah</v>
      </c>
      <c r="AA1583" s="15" t="str">
        <f t="shared" si="11"/>
        <v>OK (52)</v>
      </c>
      <c r="AB1583" s="15" t="str">
        <f t="shared" si="12"/>
        <v>Manufacturer of electropolished SS 316L tube serving Al Ghuwayriyah. 12-15 days sea from Nhava Sheva to Hamad Port. Ra 0.25-0.5 um, EN 10204 3.1 MTC.</v>
      </c>
      <c r="AC1583" s="15" t="str">
        <f t="shared" si="13"/>
        <v>PENDING RESEARCH</v>
      </c>
      <c r="AD1583" s="15" t="str">
        <f t="shared" si="14"/>
        <v>Electropolished Pipes Manufacturer in Al Ghuwayriyah</v>
      </c>
      <c r="AE1583" s="15" t="str">
        <f t="shared" si="15"/>
        <v>Electropolished Tube Manufacturing Capability Serving Al Ghuwayriyah</v>
      </c>
      <c r="AF1583" s="15" t="str">
        <f t="shared" si="16"/>
        <v>Electropolished Pipes Supplier in Al Ghuwayriyah - From Order to Delivery</v>
      </c>
      <c r="AG1583" s="15" t="str">
        <f t="shared" si="17"/>
        <v>Stockist &amp; Wholesale Supply of Electropolished Pipes in Al Ghuwayriyah</v>
      </c>
      <c r="AH1583" s="15" t="str">
        <f t="shared" si="18"/>
        <v>electropolished pipes manufacturer in Al Ghuwayriyah, electropolished pipes supplier in Al Ghuwayriyah, electropolished pipes wholesaler in Al Ghuwayriyah, electropolished tube manufacturer Al Ghuwayriyah, EP pipe supplier Al Ghuwayriyah, sanitary tube supplier Al Ghuwayriyah, ASME BPE tubing Al Ghuwayriyah, ASTM A270 tube Al Ghuwayriyah, SS 316L electropolished pipe Al Ghuwayriyah</v>
      </c>
      <c r="AI1583" s="15" t="str">
        <f t="shared" si="19"/>
        <v>Electropolished Pipes Manufacturer &amp; Supplier in Al Ghuwayriyah</v>
      </c>
      <c r="AJ1583" s="15" t="str">
        <f t="shared" si="20"/>
        <v>EP-finished SS 304/316L pipes and tubes for VERIFY plants in Al Ghuwayriyah. ASME BPE SF1-SF4, Ra from 0.25 um, EN 10204 3.1 certificate with every lot.</v>
      </c>
      <c r="AK1583" s="15" t="str">
        <f t="shared" si="21"/>
        <v>Electropolished stainless steel pipes supplied by Sakshi Forge to VERIFY plants at VERIFY, Al Ghuwayriyah</v>
      </c>
      <c r="AL1583" s="15" t="str">
        <f t="shared" si="22"/>
        <v>Electropolished SS 316L tube stock for Al Ghuwayriyah - Sakshi Forge</v>
      </c>
      <c r="AM1583" s="15" t="str">
        <f t="shared" si="23"/>
        <v>Home &gt; Market Area &gt; Qatar &gt; VERIFY &gt; Al Ghuwayriyah</v>
      </c>
      <c r="AN1583" s="15">
        <f t="shared" si="24"/>
        <v>750</v>
      </c>
      <c r="AO1583" s="15">
        <f t="shared" si="25"/>
        <v>6</v>
      </c>
      <c r="AP1583" s="15">
        <f t="shared" si="26"/>
        <v>6</v>
      </c>
      <c r="AQ1583" s="15">
        <f t="shared" si="27"/>
        <v>27</v>
      </c>
      <c r="AR1583" s="31"/>
      <c r="AS1583" s="31"/>
      <c r="AT1583" s="35" t="s">
        <v>222</v>
      </c>
      <c r="AU1583" s="35"/>
    </row>
    <row r="1584" ht="15.75" customHeight="1">
      <c r="A1584" s="15" t="s">
        <v>7419</v>
      </c>
      <c r="B1584" s="15" t="s">
        <v>210</v>
      </c>
      <c r="C1584" s="15" t="s">
        <v>98</v>
      </c>
      <c r="D1584" s="15" t="s">
        <v>7420</v>
      </c>
      <c r="E1584" s="15" t="s">
        <v>7420</v>
      </c>
      <c r="F1584" s="58" t="s">
        <v>807</v>
      </c>
      <c r="G1584" s="66" t="s">
        <v>98</v>
      </c>
      <c r="H1584" s="18" t="s">
        <v>98</v>
      </c>
      <c r="I1584" s="18" t="s">
        <v>98</v>
      </c>
      <c r="J1584" s="18" t="s">
        <v>98</v>
      </c>
      <c r="K1584" s="18" t="s">
        <v>98</v>
      </c>
      <c r="L1584" s="18" t="s">
        <v>98</v>
      </c>
      <c r="M1584" s="18" t="s">
        <v>491</v>
      </c>
      <c r="N1584" s="18" t="s">
        <v>214</v>
      </c>
      <c r="O1584" s="18" t="s">
        <v>98</v>
      </c>
      <c r="P1584" s="15" t="str">
        <f t="shared" si="1"/>
        <v>VERIFY</v>
      </c>
      <c r="Q1584" s="15">
        <f t="shared" si="2"/>
        <v>5</v>
      </c>
      <c r="R1584" s="15">
        <f t="shared" si="3"/>
        <v>6</v>
      </c>
      <c r="S1584" s="15">
        <f t="shared" si="4"/>
        <v>1</v>
      </c>
      <c r="T1584" s="15" t="str">
        <f t="shared" si="5"/>
        <v>C-3</v>
      </c>
      <c r="U1584" s="15" t="str">
        <f t="shared" si="6"/>
        <v>T5-M6-H1-FC-3-VERIFY</v>
      </c>
      <c r="V1584" s="15">
        <f t="shared" si="7"/>
        <v>0</v>
      </c>
      <c r="W1584" s="31"/>
      <c r="X1584" s="15" t="str">
        <f t="shared" si="8"/>
        <v>al-shamal-qatar</v>
      </c>
      <c r="Y1584" s="32" t="str">
        <f t="shared" si="9"/>
        <v>https://steelmanufacturer.in/market-area/electropolished-pipes-manufacturer-in-al-shamal-qatar/</v>
      </c>
      <c r="Z1584" s="15" t="str">
        <f t="shared" si="10"/>
        <v>Electropolished Pipes Manufacturer in Al Shamal</v>
      </c>
      <c r="AA1584" s="15" t="str">
        <f t="shared" si="11"/>
        <v>OK (47)</v>
      </c>
      <c r="AB1584" s="15" t="str">
        <f t="shared" si="12"/>
        <v>EP tube and pipe for VERIFY plants around VERIFY, Al Shamal. Made at our Mumbai works to ASTM A270 and ASME BPE SF1-SF4, with 3.1 MTC.</v>
      </c>
      <c r="AC1584" s="15" t="str">
        <f t="shared" si="13"/>
        <v>PENDING RESEARCH</v>
      </c>
      <c r="AD1584" s="15" t="str">
        <f t="shared" si="14"/>
        <v>Electropolished Pipes Manufacturer in Al Shamal</v>
      </c>
      <c r="AE1584" s="15" t="str">
        <f t="shared" si="15"/>
        <v>Electropolished Pipe &amp; Tube Manufacturing for Al Shamal - Grades, Finishes &amp; Certification</v>
      </c>
      <c r="AF1584" s="15" t="str">
        <f t="shared" si="16"/>
        <v>Electropolished Pipes Supplier in Al Shamal - Stock Sizes, Lead Time &amp; Delivery</v>
      </c>
      <c r="AG1584" s="15" t="str">
        <f t="shared" si="17"/>
        <v>Electropolished Pipes Wholesaler &amp; Stockist in Al Shamal - Bulk &amp; Project Pricing</v>
      </c>
      <c r="AH1584" s="15" t="str">
        <f t="shared" si="18"/>
        <v>electropolished pipes manufacturer in Al Shamal, electropolished pipes supplier in Al Shamal, electropolished pipes wholesaler in Al Shamal, electropolished tube manufacturer Al Shamal, EP pipe supplier Al Shamal, sanitary tube supplier Al Shamal, ASME BPE tubing Al Shamal, ASTM A270 tube Al Shamal, SS 316L electropolished pipe Al Shamal</v>
      </c>
      <c r="AI1584" s="15" t="str">
        <f t="shared" si="19"/>
        <v>Electropolished Pipes Manufacturer &amp; Supplier in Al Shamal</v>
      </c>
      <c r="AJ1584" s="15" t="str">
        <f t="shared" si="20"/>
        <v>EP-finished SS 304/316L pipes and tubes for VERIFY plants in Al Shamal. ASME BPE SF1-SF4, Ra from 0.25 um, EN 10204 3.1 certificate with every lot.</v>
      </c>
      <c r="AK1584" s="15" t="str">
        <f t="shared" si="21"/>
        <v>Electropolished stainless steel pipes supplied by Sakshi Forge to VERIFY plants at VERIFY, Al Shamal</v>
      </c>
      <c r="AL1584" s="15" t="str">
        <f t="shared" si="22"/>
        <v>Electropolished SS 316L tube stock for Al Shamal - Sakshi Forge</v>
      </c>
      <c r="AM1584" s="15" t="str">
        <f t="shared" si="23"/>
        <v>Home &gt; Market Area &gt; Qatar &gt; VERIFY &gt; Al Shamal</v>
      </c>
      <c r="AN1584" s="15">
        <f t="shared" si="24"/>
        <v>750</v>
      </c>
      <c r="AO1584" s="15">
        <f t="shared" si="25"/>
        <v>6</v>
      </c>
      <c r="AP1584" s="15">
        <f t="shared" si="26"/>
        <v>6</v>
      </c>
      <c r="AQ1584" s="15">
        <f t="shared" si="27"/>
        <v>27</v>
      </c>
      <c r="AR1584" s="31"/>
      <c r="AS1584" s="31"/>
      <c r="AT1584" s="35" t="s">
        <v>222</v>
      </c>
      <c r="AU1584" s="35"/>
    </row>
    <row r="1585" ht="15.75" customHeight="1">
      <c r="A1585" s="15" t="s">
        <v>7421</v>
      </c>
      <c r="B1585" s="15" t="s">
        <v>210</v>
      </c>
      <c r="C1585" s="15" t="s">
        <v>98</v>
      </c>
      <c r="D1585" s="15" t="s">
        <v>7422</v>
      </c>
      <c r="E1585" s="15" t="s">
        <v>7422</v>
      </c>
      <c r="F1585" s="58" t="s">
        <v>807</v>
      </c>
      <c r="G1585" s="66" t="s">
        <v>98</v>
      </c>
      <c r="H1585" s="18" t="s">
        <v>98</v>
      </c>
      <c r="I1585" s="18" t="s">
        <v>98</v>
      </c>
      <c r="J1585" s="18" t="s">
        <v>98</v>
      </c>
      <c r="K1585" s="18" t="s">
        <v>98</v>
      </c>
      <c r="L1585" s="18" t="s">
        <v>98</v>
      </c>
      <c r="M1585" s="18" t="s">
        <v>491</v>
      </c>
      <c r="N1585" s="18" t="s">
        <v>214</v>
      </c>
      <c r="O1585" s="18" t="s">
        <v>98</v>
      </c>
      <c r="P1585" s="15" t="str">
        <f t="shared" si="1"/>
        <v>VERIFY</v>
      </c>
      <c r="Q1585" s="15">
        <f t="shared" si="2"/>
        <v>6</v>
      </c>
      <c r="R1585" s="15">
        <f t="shared" si="3"/>
        <v>7</v>
      </c>
      <c r="S1585" s="15">
        <f t="shared" si="4"/>
        <v>2</v>
      </c>
      <c r="T1585" s="15" t="str">
        <f t="shared" si="5"/>
        <v>C-4</v>
      </c>
      <c r="U1585" s="15" t="str">
        <f t="shared" si="6"/>
        <v>T6-M7-H2-FC-4-VERIFY</v>
      </c>
      <c r="V1585" s="15">
        <f t="shared" si="7"/>
        <v>0</v>
      </c>
      <c r="W1585" s="31"/>
      <c r="X1585" s="15" t="str">
        <f t="shared" si="8"/>
        <v>madinat-ash-shamal-qatar</v>
      </c>
      <c r="Y1585" s="32" t="str">
        <f t="shared" si="9"/>
        <v>https://steelmanufacturer.in/market-area/electropolished-pipes-manufacturer-in-madinat-ash-shamal-qatar/</v>
      </c>
      <c r="Z1585" s="15" t="str">
        <f t="shared" si="10"/>
        <v>Electropolished Pipes Manufacturer in Madinat ash Shamal</v>
      </c>
      <c r="AA1585" s="15" t="str">
        <f t="shared" si="11"/>
        <v>OK (56)</v>
      </c>
      <c r="AB1585" s="15" t="str">
        <f t="shared" si="12"/>
        <v>Electropolished pipes in Madinat ash Shamal: 304, 304L, 316 and 316L in SF1-SF4. 12-15 days sea from Nhava Sheva to Hamad Port. Mill certified.</v>
      </c>
      <c r="AC1585" s="15" t="str">
        <f t="shared" si="13"/>
        <v>PENDING RESEARCH</v>
      </c>
      <c r="AD1585" s="15" t="str">
        <f t="shared" si="14"/>
        <v>Electropolished Pipes Manufacturer in Madinat ash Shamal</v>
      </c>
      <c r="AE1585" s="15" t="str">
        <f t="shared" si="15"/>
        <v>How We Manufacture Electropolished Tube for Madinat ash Shamal Plants</v>
      </c>
      <c r="AF1585" s="15" t="str">
        <f t="shared" si="16"/>
        <v>Supplying Electropolished Pipes in Madinat ash Shamal: Availability, Sizes &amp; Dispatch</v>
      </c>
      <c r="AG1585" s="15" t="str">
        <f t="shared" si="17"/>
        <v>Wholesale Electropolished Pipe Supply for Madinat ash Shamal Projects</v>
      </c>
      <c r="AH1585" s="15" t="str">
        <f t="shared" si="18"/>
        <v>electropolished pipes manufacturer in Madinat ash Shamal, electropolished pipes supplier in Madinat ash Shamal, electropolished pipes wholesaler in Madinat ash Shamal, electropolished tube manufacturer Madinat ash Shamal, EP pipe supplier Madinat ash Shamal, sanitary tube supplier Madinat ash Shamal, ASME BPE tubing Madinat ash Shamal, ASTM A270 tube Madinat ash Shamal, SS 316L electropolished pipe Madinat ash Shamal</v>
      </c>
      <c r="AI1585" s="15" t="str">
        <f t="shared" si="19"/>
        <v>Electropolished Pipes Manufacturer &amp; Supplier in Madinat ash Shamal</v>
      </c>
      <c r="AJ1585" s="15" t="str">
        <f t="shared" si="20"/>
        <v>EP-finished SS 304/316L pipes and tubes for VERIFY plants in Madinat ash Shamal. ASME BPE SF1-SF4, Ra from 0.25 um, EN 10204 3.1 certificate with every lot.</v>
      </c>
      <c r="AK1585" s="15" t="str">
        <f t="shared" si="21"/>
        <v>Electropolished stainless steel pipes supplied by Sakshi Forge to VERIFY plants at VERIFY, Madinat ash Shamal</v>
      </c>
      <c r="AL1585" s="15" t="str">
        <f t="shared" si="22"/>
        <v>Electropolished SS 316L tube stock for Madinat ash Shamal - Sakshi Forge</v>
      </c>
      <c r="AM1585" s="15" t="str">
        <f t="shared" si="23"/>
        <v>Home &gt; Market Area &gt; Qatar &gt; VERIFY &gt; Madinat ash Shamal</v>
      </c>
      <c r="AN1585" s="15">
        <f t="shared" si="24"/>
        <v>750</v>
      </c>
      <c r="AO1585" s="15">
        <f t="shared" si="25"/>
        <v>6</v>
      </c>
      <c r="AP1585" s="15">
        <f t="shared" si="26"/>
        <v>6</v>
      </c>
      <c r="AQ1585" s="15">
        <f t="shared" si="27"/>
        <v>27</v>
      </c>
      <c r="AR1585" s="31"/>
      <c r="AS1585" s="31"/>
      <c r="AT1585" s="35" t="s">
        <v>222</v>
      </c>
      <c r="AU1585" s="35"/>
    </row>
    <row r="1586" ht="15.75" customHeight="1">
      <c r="A1586" s="15" t="s">
        <v>7426</v>
      </c>
      <c r="B1586" s="15" t="s">
        <v>186</v>
      </c>
      <c r="C1586" s="15" t="s">
        <v>98</v>
      </c>
      <c r="D1586" s="15" t="s">
        <v>7428</v>
      </c>
      <c r="E1586" s="15" t="s">
        <v>7428</v>
      </c>
      <c r="F1586" s="58" t="s">
        <v>807</v>
      </c>
      <c r="G1586" s="66" t="s">
        <v>98</v>
      </c>
      <c r="H1586" s="18" t="s">
        <v>98</v>
      </c>
      <c r="I1586" s="18" t="s">
        <v>98</v>
      </c>
      <c r="J1586" s="18" t="s">
        <v>98</v>
      </c>
      <c r="K1586" s="18" t="s">
        <v>98</v>
      </c>
      <c r="L1586" s="18" t="s">
        <v>98</v>
      </c>
      <c r="M1586" s="18" t="s">
        <v>484</v>
      </c>
      <c r="N1586" s="18" t="s">
        <v>208</v>
      </c>
      <c r="O1586" s="18" t="s">
        <v>98</v>
      </c>
      <c r="P1586" s="15" t="str">
        <f t="shared" si="1"/>
        <v>VERIFY</v>
      </c>
      <c r="Q1586" s="15">
        <f t="shared" si="2"/>
        <v>7</v>
      </c>
      <c r="R1586" s="15">
        <f t="shared" si="3"/>
        <v>1</v>
      </c>
      <c r="S1586" s="15">
        <f t="shared" si="4"/>
        <v>3</v>
      </c>
      <c r="T1586" s="15" t="str">
        <f t="shared" si="5"/>
        <v>C-5</v>
      </c>
      <c r="U1586" s="15" t="str">
        <f t="shared" si="6"/>
        <v>T7-M1-H3-FC-5-VERIFY</v>
      </c>
      <c r="V1586" s="15">
        <f t="shared" si="7"/>
        <v>0</v>
      </c>
      <c r="W1586" s="31"/>
      <c r="X1586" s="15" t="str">
        <f t="shared" si="8"/>
        <v>afif-saudi-arabia</v>
      </c>
      <c r="Y1586" s="32" t="str">
        <f t="shared" si="9"/>
        <v>https://steelmanufacturer.in/market-area/electropolished-pipes-manufacturer-in-afif-saudi-arabia/</v>
      </c>
      <c r="Z1586" s="15" t="str">
        <f t="shared" si="10"/>
        <v>Electropolished Pipes Manufacturer in Afif | ASME BPE SF1-SF4</v>
      </c>
      <c r="AA1586" s="15" t="str">
        <f t="shared" si="11"/>
        <v>OK (61)</v>
      </c>
      <c r="AB1586" s="15" t="str">
        <f t="shared" si="12"/>
        <v>EP-finished SS 304/316L pipes &amp; tubes for VERIFY plants in Afif. ASTM A270, ASME BPE SF1-SF4, EN 10204 3.1 MTC. PMI tested.</v>
      </c>
      <c r="AC1586" s="15" t="str">
        <f t="shared" si="13"/>
        <v>PENDING RESEARCH</v>
      </c>
      <c r="AD1586" s="15" t="str">
        <f t="shared" si="14"/>
        <v>Electropolished Pipes Manufacturer in Afif</v>
      </c>
      <c r="AE1586" s="15" t="str">
        <f t="shared" si="15"/>
        <v>Electropolished Pipes Manufacturer in Afif - Our Process &amp; Capability</v>
      </c>
      <c r="AF1586" s="15" t="str">
        <f t="shared" si="16"/>
        <v>Electropolished Pipes Supplier in Afif - What We Hold in Stock</v>
      </c>
      <c r="AG1586" s="15" t="str">
        <f t="shared" si="17"/>
        <v>Bulk &amp; Wholesale Electropolished Pipe Rates for Afif Buyers</v>
      </c>
      <c r="AH1586" s="15" t="str">
        <f t="shared" si="18"/>
        <v>electropolished pipes manufacturer in Afif, electropolished pipes supplier in Afif, electropolished pipes wholesaler in Afif, electropolished tube manufacturer Afif, EP pipe supplier Afif, sanitary tube supplier Afif, ASME BPE tubing Afif, ASTM A270 tube Afif, SS 316L electropolished pipe Afif</v>
      </c>
      <c r="AI1586" s="15" t="str">
        <f t="shared" si="19"/>
        <v>Electropolished Pipes Manufacturer &amp; Supplier in Afif</v>
      </c>
      <c r="AJ1586" s="15" t="str">
        <f t="shared" si="20"/>
        <v>EP-finished SS 304/316L pipes and tubes for VERIFY plants in Afif. ASME BPE SF1-SF4, Ra from 0.25 um, EN 10204 3.1 certificate with every lot.</v>
      </c>
      <c r="AK1586" s="15" t="str">
        <f t="shared" si="21"/>
        <v>Electropolished stainless steel pipes supplied by Sakshi Forge to VERIFY plants at VERIFY, Afif</v>
      </c>
      <c r="AL1586" s="15" t="str">
        <f t="shared" si="22"/>
        <v>Electropolished SS 316L tube stock for Afif - Sakshi Forge</v>
      </c>
      <c r="AM1586" s="15" t="str">
        <f t="shared" si="23"/>
        <v>Home &gt; Market Area &gt; Saudi Arabia &gt; VERIFY &gt; Afif</v>
      </c>
      <c r="AN1586" s="15">
        <f t="shared" si="24"/>
        <v>750</v>
      </c>
      <c r="AO1586" s="15">
        <f t="shared" si="25"/>
        <v>6</v>
      </c>
      <c r="AP1586" s="15">
        <f t="shared" si="26"/>
        <v>6</v>
      </c>
      <c r="AQ1586" s="15">
        <f t="shared" si="27"/>
        <v>27</v>
      </c>
      <c r="AR1586" s="31"/>
      <c r="AS1586" s="31"/>
      <c r="AT1586" s="35" t="s">
        <v>222</v>
      </c>
      <c r="AU1586" s="35"/>
    </row>
    <row r="1587" ht="15.75" customHeight="1">
      <c r="A1587" s="15" t="s">
        <v>7432</v>
      </c>
      <c r="B1587" s="15" t="s">
        <v>186</v>
      </c>
      <c r="C1587" s="15" t="s">
        <v>98</v>
      </c>
      <c r="D1587" s="15" t="s">
        <v>7433</v>
      </c>
      <c r="E1587" s="15" t="s">
        <v>7433</v>
      </c>
      <c r="F1587" s="58" t="s">
        <v>807</v>
      </c>
      <c r="G1587" s="66" t="s">
        <v>98</v>
      </c>
      <c r="H1587" s="18" t="s">
        <v>98</v>
      </c>
      <c r="I1587" s="18" t="s">
        <v>98</v>
      </c>
      <c r="J1587" s="18" t="s">
        <v>98</v>
      </c>
      <c r="K1587" s="18" t="s">
        <v>98</v>
      </c>
      <c r="L1587" s="18" t="s">
        <v>98</v>
      </c>
      <c r="M1587" s="18" t="s">
        <v>484</v>
      </c>
      <c r="N1587" s="18" t="s">
        <v>208</v>
      </c>
      <c r="O1587" s="18" t="s">
        <v>98</v>
      </c>
      <c r="P1587" s="15" t="str">
        <f t="shared" si="1"/>
        <v>VERIFY</v>
      </c>
      <c r="Q1587" s="15">
        <f t="shared" si="2"/>
        <v>8</v>
      </c>
      <c r="R1587" s="15">
        <f t="shared" si="3"/>
        <v>2</v>
      </c>
      <c r="S1587" s="15">
        <f t="shared" si="4"/>
        <v>4</v>
      </c>
      <c r="T1587" s="15" t="str">
        <f t="shared" si="5"/>
        <v>C-6</v>
      </c>
      <c r="U1587" s="15" t="str">
        <f t="shared" si="6"/>
        <v>T8-M2-H4-FC-6-VERIFY</v>
      </c>
      <c r="V1587" s="15">
        <f t="shared" si="7"/>
        <v>0</v>
      </c>
      <c r="W1587" s="31"/>
      <c r="X1587" s="15" t="str">
        <f t="shared" si="8"/>
        <v>al-baha-saudi-arabia</v>
      </c>
      <c r="Y1587" s="32" t="str">
        <f t="shared" si="9"/>
        <v>https://steelmanufacturer.in/market-area/electropolished-pipes-manufacturer-in-al-baha-saudi-arabia/</v>
      </c>
      <c r="Z1587" s="15" t="str">
        <f t="shared" si="10"/>
        <v>Electropolished Pipes Manufacturer in Al Baha - EP Tube Stockist</v>
      </c>
      <c r="AA1587" s="15" t="str">
        <f t="shared" si="11"/>
        <v>OK (64)</v>
      </c>
      <c r="AB1587" s="15" t="str">
        <f t="shared" si="12"/>
        <v>Electropolished tube supply to VERIFY, Al Baha. Ra from 0.25 um, SF4 finish, mill test certificate with every lot.</v>
      </c>
      <c r="AC1587" s="15" t="str">
        <f t="shared" si="13"/>
        <v>PENDING RESEARCH</v>
      </c>
      <c r="AD1587" s="15" t="str">
        <f t="shared" si="14"/>
        <v>Electropolished Pipes Manufacturer in Al Baha</v>
      </c>
      <c r="AE1587" s="15" t="str">
        <f t="shared" si="15"/>
        <v>Manufacturing Electropolished SS Tube for Al Baha: The Standards We Build To</v>
      </c>
      <c r="AF1587" s="15" t="str">
        <f t="shared" si="16"/>
        <v>Electropolished Pipe Supply Into Al Baha - Certification &amp; Transit</v>
      </c>
      <c r="AG1587" s="15" t="str">
        <f t="shared" si="17"/>
        <v>Electropolished Pipes Wholesaler in Al Baha - Project Quantities &amp; Terms</v>
      </c>
      <c r="AH1587" s="15" t="str">
        <f t="shared" si="18"/>
        <v>electropolished pipes manufacturer in Al Baha, electropolished pipes supplier in Al Baha, electropolished pipes wholesaler in Al Baha, electropolished tube manufacturer Al Baha, EP pipe supplier Al Baha, sanitary tube supplier Al Baha, ASME BPE tubing Al Baha, ASTM A270 tube Al Baha, SS 316L electropolished pipe Al Baha</v>
      </c>
      <c r="AI1587" s="15" t="str">
        <f t="shared" si="19"/>
        <v>Electropolished Pipes Manufacturer &amp; Supplier in Al Baha</v>
      </c>
      <c r="AJ1587" s="15" t="str">
        <f t="shared" si="20"/>
        <v>EP-finished SS 304/316L pipes and tubes for VERIFY plants in Al Baha. ASME BPE SF1-SF4, Ra from 0.25 um, EN 10204 3.1 certificate with every lot.</v>
      </c>
      <c r="AK1587" s="15" t="str">
        <f t="shared" si="21"/>
        <v>Electropolished stainless steel pipes supplied by Sakshi Forge to VERIFY plants at VERIFY, Al Baha</v>
      </c>
      <c r="AL1587" s="15" t="str">
        <f t="shared" si="22"/>
        <v>Electropolished SS 316L tube stock for Al Baha - Sakshi Forge</v>
      </c>
      <c r="AM1587" s="15" t="str">
        <f t="shared" si="23"/>
        <v>Home &gt; Market Area &gt; Saudi Arabia &gt; VERIFY &gt; Al Baha</v>
      </c>
      <c r="AN1587" s="15">
        <f t="shared" si="24"/>
        <v>750</v>
      </c>
      <c r="AO1587" s="15">
        <f t="shared" si="25"/>
        <v>6</v>
      </c>
      <c r="AP1587" s="15">
        <f t="shared" si="26"/>
        <v>6</v>
      </c>
      <c r="AQ1587" s="15">
        <f t="shared" si="27"/>
        <v>27</v>
      </c>
      <c r="AR1587" s="31"/>
      <c r="AS1587" s="31"/>
      <c r="AT1587" s="35" t="s">
        <v>222</v>
      </c>
      <c r="AU1587" s="35"/>
    </row>
    <row r="1588" ht="15.75" customHeight="1">
      <c r="A1588" s="15" t="s">
        <v>7434</v>
      </c>
      <c r="B1588" s="15" t="s">
        <v>186</v>
      </c>
      <c r="C1588" s="15" t="s">
        <v>98</v>
      </c>
      <c r="D1588" s="15" t="s">
        <v>7435</v>
      </c>
      <c r="E1588" s="15" t="s">
        <v>7435</v>
      </c>
      <c r="F1588" s="58" t="s">
        <v>807</v>
      </c>
      <c r="G1588" s="66" t="s">
        <v>98</v>
      </c>
      <c r="H1588" s="18" t="s">
        <v>98</v>
      </c>
      <c r="I1588" s="18" t="s">
        <v>98</v>
      </c>
      <c r="J1588" s="18" t="s">
        <v>98</v>
      </c>
      <c r="K1588" s="18" t="s">
        <v>98</v>
      </c>
      <c r="L1588" s="18" t="s">
        <v>98</v>
      </c>
      <c r="M1588" s="18" t="s">
        <v>484</v>
      </c>
      <c r="N1588" s="18" t="s">
        <v>208</v>
      </c>
      <c r="O1588" s="18" t="s">
        <v>98</v>
      </c>
      <c r="P1588" s="15" t="str">
        <f t="shared" si="1"/>
        <v>VERIFY</v>
      </c>
      <c r="Q1588" s="15">
        <f t="shared" si="2"/>
        <v>1</v>
      </c>
      <c r="R1588" s="15">
        <f t="shared" si="3"/>
        <v>3</v>
      </c>
      <c r="S1588" s="15">
        <f t="shared" si="4"/>
        <v>5</v>
      </c>
      <c r="T1588" s="15" t="str">
        <f t="shared" si="5"/>
        <v>C-1</v>
      </c>
      <c r="U1588" s="15" t="str">
        <f t="shared" si="6"/>
        <v>T1-M3-H5-FC-1-VERIFY</v>
      </c>
      <c r="V1588" s="15">
        <f t="shared" si="7"/>
        <v>0</v>
      </c>
      <c r="W1588" s="31"/>
      <c r="X1588" s="15" t="str">
        <f t="shared" si="8"/>
        <v>al-majmaah-saudi-arabia</v>
      </c>
      <c r="Y1588" s="32" t="str">
        <f t="shared" si="9"/>
        <v>https://steelmanufacturer.in/market-area/electropolished-pipes-manufacturer-in-al-majmaah-saudi-arabia/</v>
      </c>
      <c r="Z1588" s="15" t="str">
        <f t="shared" si="10"/>
        <v>Electropolished Pipes Manufacturer in Al Majmaah | Sakshi Forge</v>
      </c>
      <c r="AA1588" s="15" t="str">
        <f t="shared" si="11"/>
        <v>OK (63)</v>
      </c>
      <c r="AB1588" s="15" t="str">
        <f t="shared" si="12"/>
        <v>EP stainless tube for VERIFY lines in Al Majmaah. 12-16 days sea from Nhava Sheva to Dammam. ASTM A270 S2, PMI tested, EN 10204 3.1.</v>
      </c>
      <c r="AC1588" s="15" t="str">
        <f t="shared" si="13"/>
        <v>PENDING RESEARCH</v>
      </c>
      <c r="AD1588" s="15" t="str">
        <f t="shared" si="14"/>
        <v>Electropolished Pipes Manufacturer in Al Majmaah</v>
      </c>
      <c r="AE1588" s="15" t="str">
        <f t="shared" si="15"/>
        <v>Electropolished Tube Manufacturing Capability Serving Al Majmaah</v>
      </c>
      <c r="AF1588" s="15" t="str">
        <f t="shared" si="16"/>
        <v>Electropolished Pipes Supplier in Al Majmaah - From Order to Delivery</v>
      </c>
      <c r="AG1588" s="15" t="str">
        <f t="shared" si="17"/>
        <v>Stockist &amp; Wholesale Supply of Electropolished Pipes in Al Majmaah</v>
      </c>
      <c r="AH1588" s="15" t="str">
        <f t="shared" si="18"/>
        <v>electropolished pipes manufacturer in Al Majmaah, electropolished pipes supplier in Al Majmaah, electropolished pipes wholesaler in Al Majmaah, electropolished tube manufacturer Al Majmaah, EP pipe supplier Al Majmaah, sanitary tube supplier Al Majmaah, ASME BPE tubing Al Majmaah, ASTM A270 tube Al Majmaah, SS 316L electropolished pipe Al Majmaah</v>
      </c>
      <c r="AI1588" s="15" t="str">
        <f t="shared" si="19"/>
        <v>Electropolished Pipes Manufacturer &amp; Supplier in Al Majmaah</v>
      </c>
      <c r="AJ1588" s="15" t="str">
        <f t="shared" si="20"/>
        <v>EP-finished SS 304/316L pipes and tubes for VERIFY plants in Al Majmaah. ASME BPE SF1-SF4, Ra from 0.25 um, EN 10204 3.1 certificate with every lot.</v>
      </c>
      <c r="AK1588" s="15" t="str">
        <f t="shared" si="21"/>
        <v>Electropolished stainless steel pipes supplied by Sakshi Forge to VERIFY plants at VERIFY, Al Majmaah</v>
      </c>
      <c r="AL1588" s="15" t="str">
        <f t="shared" si="22"/>
        <v>Electropolished SS 316L tube stock for Al Majmaah - Sakshi Forge</v>
      </c>
      <c r="AM1588" s="15" t="str">
        <f t="shared" si="23"/>
        <v>Home &gt; Market Area &gt; Saudi Arabia &gt; VERIFY &gt; Al Majmaah</v>
      </c>
      <c r="AN1588" s="15">
        <f t="shared" si="24"/>
        <v>750</v>
      </c>
      <c r="AO1588" s="15">
        <f t="shared" si="25"/>
        <v>6</v>
      </c>
      <c r="AP1588" s="15">
        <f t="shared" si="26"/>
        <v>6</v>
      </c>
      <c r="AQ1588" s="15">
        <f t="shared" si="27"/>
        <v>27</v>
      </c>
      <c r="AR1588" s="31"/>
      <c r="AS1588" s="31"/>
      <c r="AT1588" s="35" t="s">
        <v>222</v>
      </c>
      <c r="AU1588" s="35"/>
    </row>
    <row r="1589" ht="15.75" customHeight="1">
      <c r="A1589" s="15" t="s">
        <v>7436</v>
      </c>
      <c r="B1589" s="15" t="s">
        <v>186</v>
      </c>
      <c r="C1589" s="15" t="s">
        <v>98</v>
      </c>
      <c r="D1589" s="15" t="s">
        <v>7437</v>
      </c>
      <c r="E1589" s="15" t="s">
        <v>7437</v>
      </c>
      <c r="F1589" s="58" t="s">
        <v>807</v>
      </c>
      <c r="G1589" s="66" t="s">
        <v>98</v>
      </c>
      <c r="H1589" s="18" t="s">
        <v>98</v>
      </c>
      <c r="I1589" s="18" t="s">
        <v>98</v>
      </c>
      <c r="J1589" s="18" t="s">
        <v>98</v>
      </c>
      <c r="K1589" s="18" t="s">
        <v>98</v>
      </c>
      <c r="L1589" s="18" t="s">
        <v>98</v>
      </c>
      <c r="M1589" s="18" t="s">
        <v>484</v>
      </c>
      <c r="N1589" s="18" t="s">
        <v>208</v>
      </c>
      <c r="O1589" s="18" t="s">
        <v>98</v>
      </c>
      <c r="P1589" s="15" t="str">
        <f t="shared" si="1"/>
        <v>VERIFY</v>
      </c>
      <c r="Q1589" s="15">
        <f t="shared" si="2"/>
        <v>2</v>
      </c>
      <c r="R1589" s="15">
        <f t="shared" si="3"/>
        <v>4</v>
      </c>
      <c r="S1589" s="15">
        <f t="shared" si="4"/>
        <v>1</v>
      </c>
      <c r="T1589" s="15" t="str">
        <f t="shared" si="5"/>
        <v>C-2</v>
      </c>
      <c r="U1589" s="15" t="str">
        <f t="shared" si="6"/>
        <v>T2-M4-H1-FC-2-VERIFY</v>
      </c>
      <c r="V1589" s="15">
        <f t="shared" si="7"/>
        <v>0</v>
      </c>
      <c r="W1589" s="31"/>
      <c r="X1589" s="15" t="str">
        <f t="shared" si="8"/>
        <v>arar-saudi-arabia</v>
      </c>
      <c r="Y1589" s="32" t="str">
        <f t="shared" si="9"/>
        <v>https://steelmanufacturer.in/market-area/electropolished-pipes-manufacturer-in-arar-saudi-arabia/</v>
      </c>
      <c r="Z1589" s="15" t="str">
        <f t="shared" si="10"/>
        <v>Electropolished Pipes Manufacturer in Arar - ASTM A270 &amp; ASME BPE</v>
      </c>
      <c r="AA1589" s="15" t="str">
        <f t="shared" si="11"/>
        <v>OK (65)</v>
      </c>
      <c r="AB1589" s="15" t="str">
        <f t="shared" si="12"/>
        <v>Sanitary electropolished pipes in Arar for VERIFY plants. ASME BPE SF1-SF4, orbital-weld ready, 3.1 MTC. Mumbai-made.</v>
      </c>
      <c r="AC1589" s="15" t="str">
        <f t="shared" si="13"/>
        <v>PENDING RESEARCH</v>
      </c>
      <c r="AD1589" s="15" t="str">
        <f t="shared" si="14"/>
        <v>Electropolished Pipes Manufacturer in Arar</v>
      </c>
      <c r="AE1589" s="15" t="str">
        <f t="shared" si="15"/>
        <v>Electropolished Pipe &amp; Tube Manufacturing for Arar - Grades, Finishes &amp; Certification</v>
      </c>
      <c r="AF1589" s="15" t="str">
        <f t="shared" si="16"/>
        <v>Electropolished Pipes Supplier in Arar - Stock Sizes, Lead Time &amp; Delivery</v>
      </c>
      <c r="AG1589" s="15" t="str">
        <f t="shared" si="17"/>
        <v>Electropolished Pipes Wholesaler &amp; Stockist in Arar - Bulk &amp; Project Pricing</v>
      </c>
      <c r="AH1589" s="15" t="str">
        <f t="shared" si="18"/>
        <v>electropolished pipes manufacturer in Arar, electropolished pipes supplier in Arar, electropolished pipes wholesaler in Arar, electropolished tube manufacturer Arar, EP pipe supplier Arar, sanitary tube supplier Arar, ASME BPE tubing Arar, ASTM A270 tube Arar, SS 316L electropolished pipe Arar</v>
      </c>
      <c r="AI1589" s="15" t="str">
        <f t="shared" si="19"/>
        <v>Electropolished Pipes Manufacturer &amp; Supplier in Arar</v>
      </c>
      <c r="AJ1589" s="15" t="str">
        <f t="shared" si="20"/>
        <v>EP-finished SS 304/316L pipes and tubes for VERIFY plants in Arar. ASME BPE SF1-SF4, Ra from 0.25 um, EN 10204 3.1 certificate with every lot.</v>
      </c>
      <c r="AK1589" s="15" t="str">
        <f t="shared" si="21"/>
        <v>Electropolished stainless steel pipes supplied by Sakshi Forge to VERIFY plants at VERIFY, Arar</v>
      </c>
      <c r="AL1589" s="15" t="str">
        <f t="shared" si="22"/>
        <v>Electropolished SS 316L tube stock for Arar - Sakshi Forge</v>
      </c>
      <c r="AM1589" s="15" t="str">
        <f t="shared" si="23"/>
        <v>Home &gt; Market Area &gt; Saudi Arabia &gt; VERIFY &gt; Arar</v>
      </c>
      <c r="AN1589" s="15">
        <f t="shared" si="24"/>
        <v>750</v>
      </c>
      <c r="AO1589" s="15">
        <f t="shared" si="25"/>
        <v>6</v>
      </c>
      <c r="AP1589" s="15">
        <f t="shared" si="26"/>
        <v>6</v>
      </c>
      <c r="AQ1589" s="15">
        <f t="shared" si="27"/>
        <v>27</v>
      </c>
      <c r="AR1589" s="31"/>
      <c r="AS1589" s="31"/>
      <c r="AT1589" s="35" t="s">
        <v>222</v>
      </c>
      <c r="AU1589" s="35"/>
    </row>
    <row r="1590" ht="15.75" customHeight="1">
      <c r="A1590" s="15" t="s">
        <v>7438</v>
      </c>
      <c r="B1590" s="15" t="s">
        <v>186</v>
      </c>
      <c r="C1590" s="15" t="s">
        <v>98</v>
      </c>
      <c r="D1590" s="15" t="s">
        <v>7439</v>
      </c>
      <c r="E1590" s="15" t="s">
        <v>7439</v>
      </c>
      <c r="F1590" s="58" t="s">
        <v>807</v>
      </c>
      <c r="G1590" s="66" t="s">
        <v>98</v>
      </c>
      <c r="H1590" s="18" t="s">
        <v>98</v>
      </c>
      <c r="I1590" s="18" t="s">
        <v>98</v>
      </c>
      <c r="J1590" s="18" t="s">
        <v>98</v>
      </c>
      <c r="K1590" s="18" t="s">
        <v>98</v>
      </c>
      <c r="L1590" s="18" t="s">
        <v>98</v>
      </c>
      <c r="M1590" s="18" t="s">
        <v>484</v>
      </c>
      <c r="N1590" s="18" t="s">
        <v>208</v>
      </c>
      <c r="O1590" s="18" t="s">
        <v>98</v>
      </c>
      <c r="P1590" s="15" t="str">
        <f t="shared" si="1"/>
        <v>VERIFY</v>
      </c>
      <c r="Q1590" s="15">
        <f t="shared" si="2"/>
        <v>3</v>
      </c>
      <c r="R1590" s="15">
        <f t="shared" si="3"/>
        <v>5</v>
      </c>
      <c r="S1590" s="15">
        <f t="shared" si="4"/>
        <v>2</v>
      </c>
      <c r="T1590" s="15" t="str">
        <f t="shared" si="5"/>
        <v>C-3</v>
      </c>
      <c r="U1590" s="15" t="str">
        <f t="shared" si="6"/>
        <v>T3-M5-H2-FC-3-VERIFY</v>
      </c>
      <c r="V1590" s="15">
        <f t="shared" si="7"/>
        <v>0</v>
      </c>
      <c r="W1590" s="31"/>
      <c r="X1590" s="15" t="str">
        <f t="shared" si="8"/>
        <v>bisha-saudi-arabia</v>
      </c>
      <c r="Y1590" s="32" t="str">
        <f t="shared" si="9"/>
        <v>https://steelmanufacturer.in/market-area/electropolished-pipes-manufacturer-in-bisha-saudi-arabia/</v>
      </c>
      <c r="Z1590" s="15" t="str">
        <f t="shared" si="10"/>
        <v>Electropolished Pipes Manufacturer in Bisha | EP Tube Supplier</v>
      </c>
      <c r="AA1590" s="15" t="str">
        <f t="shared" si="11"/>
        <v>OK (62)</v>
      </c>
      <c r="AB1590" s="15" t="str">
        <f t="shared" si="12"/>
        <v>Manufacturer of electropolished SS 316L tube serving Bisha. 12-16 days sea from Nhava Sheva to Dammam. Ra 0.25-0.5 um, EN 10204 3.1 MTC.</v>
      </c>
      <c r="AC1590" s="15" t="str">
        <f t="shared" si="13"/>
        <v>PENDING RESEARCH</v>
      </c>
      <c r="AD1590" s="15" t="str">
        <f t="shared" si="14"/>
        <v>Electropolished Pipes Manufacturer in Bisha</v>
      </c>
      <c r="AE1590" s="15" t="str">
        <f t="shared" si="15"/>
        <v>How We Manufacture Electropolished Tube for Bisha Plants</v>
      </c>
      <c r="AF1590" s="15" t="str">
        <f t="shared" si="16"/>
        <v>Supplying Electropolished Pipes in Bisha: Availability, Sizes &amp; Dispatch</v>
      </c>
      <c r="AG1590" s="15" t="str">
        <f t="shared" si="17"/>
        <v>Wholesale Electropolished Pipe Supply for Bisha Projects</v>
      </c>
      <c r="AH1590" s="15" t="str">
        <f t="shared" si="18"/>
        <v>electropolished pipes manufacturer in Bisha, electropolished pipes supplier in Bisha, electropolished pipes wholesaler in Bisha, electropolished tube manufacturer Bisha, EP pipe supplier Bisha, sanitary tube supplier Bisha, ASME BPE tubing Bisha, ASTM A270 tube Bisha, SS 316L electropolished pipe Bisha</v>
      </c>
      <c r="AI1590" s="15" t="str">
        <f t="shared" si="19"/>
        <v>Electropolished Pipes Manufacturer &amp; Supplier in Bisha</v>
      </c>
      <c r="AJ1590" s="15" t="str">
        <f t="shared" si="20"/>
        <v>EP-finished SS 304/316L pipes and tubes for VERIFY plants in Bisha. ASME BPE SF1-SF4, Ra from 0.25 um, EN 10204 3.1 certificate with every lot.</v>
      </c>
      <c r="AK1590" s="15" t="str">
        <f t="shared" si="21"/>
        <v>Electropolished stainless steel pipes supplied by Sakshi Forge to VERIFY plants at VERIFY, Bisha</v>
      </c>
      <c r="AL1590" s="15" t="str">
        <f t="shared" si="22"/>
        <v>Electropolished SS 316L tube stock for Bisha - Sakshi Forge</v>
      </c>
      <c r="AM1590" s="15" t="str">
        <f t="shared" si="23"/>
        <v>Home &gt; Market Area &gt; Saudi Arabia &gt; VERIFY &gt; Bisha</v>
      </c>
      <c r="AN1590" s="15">
        <f t="shared" si="24"/>
        <v>750</v>
      </c>
      <c r="AO1590" s="15">
        <f t="shared" si="25"/>
        <v>6</v>
      </c>
      <c r="AP1590" s="15">
        <f t="shared" si="26"/>
        <v>6</v>
      </c>
      <c r="AQ1590" s="15">
        <f t="shared" si="27"/>
        <v>27</v>
      </c>
      <c r="AR1590" s="31"/>
      <c r="AS1590" s="31"/>
      <c r="AT1590" s="35" t="s">
        <v>222</v>
      </c>
      <c r="AU1590" s="35"/>
    </row>
    <row r="1591" ht="15.75" customHeight="1">
      <c r="A1591" s="15" t="s">
        <v>7440</v>
      </c>
      <c r="B1591" s="15" t="s">
        <v>186</v>
      </c>
      <c r="C1591" s="15" t="s">
        <v>98</v>
      </c>
      <c r="D1591" s="15" t="s">
        <v>7441</v>
      </c>
      <c r="E1591" s="15" t="s">
        <v>7441</v>
      </c>
      <c r="F1591" s="58" t="s">
        <v>807</v>
      </c>
      <c r="G1591" s="66" t="s">
        <v>98</v>
      </c>
      <c r="H1591" s="18" t="s">
        <v>98</v>
      </c>
      <c r="I1591" s="18" t="s">
        <v>98</v>
      </c>
      <c r="J1591" s="18" t="s">
        <v>98</v>
      </c>
      <c r="K1591" s="18" t="s">
        <v>98</v>
      </c>
      <c r="L1591" s="18" t="s">
        <v>98</v>
      </c>
      <c r="M1591" s="18" t="s">
        <v>484</v>
      </c>
      <c r="N1591" s="18" t="s">
        <v>208</v>
      </c>
      <c r="O1591" s="18" t="s">
        <v>98</v>
      </c>
      <c r="P1591" s="15" t="str">
        <f t="shared" si="1"/>
        <v>VERIFY</v>
      </c>
      <c r="Q1591" s="15">
        <f t="shared" si="2"/>
        <v>4</v>
      </c>
      <c r="R1591" s="15">
        <f t="shared" si="3"/>
        <v>6</v>
      </c>
      <c r="S1591" s="15">
        <f t="shared" si="4"/>
        <v>3</v>
      </c>
      <c r="T1591" s="15" t="str">
        <f t="shared" si="5"/>
        <v>C-4</v>
      </c>
      <c r="U1591" s="15" t="str">
        <f t="shared" si="6"/>
        <v>T4-M6-H3-FC-4-VERIFY</v>
      </c>
      <c r="V1591" s="15">
        <f t="shared" si="7"/>
        <v>0</v>
      </c>
      <c r="W1591" s="31"/>
      <c r="X1591" s="15" t="str">
        <f t="shared" si="8"/>
        <v>dawadmi-saudi-arabia</v>
      </c>
      <c r="Y1591" s="32" t="str">
        <f t="shared" si="9"/>
        <v>https://steelmanufacturer.in/market-area/electropolished-pipes-manufacturer-in-dawadmi-saudi-arabia/</v>
      </c>
      <c r="Z1591" s="15" t="str">
        <f t="shared" si="10"/>
        <v>Electropolished Pipes Manufacturer in Dawadmi</v>
      </c>
      <c r="AA1591" s="15" t="str">
        <f t="shared" si="11"/>
        <v>OK (45)</v>
      </c>
      <c r="AB1591" s="15" t="str">
        <f t="shared" si="12"/>
        <v>EP tube and pipe for VERIFY plants around VERIFY, Dawadmi. Made at our Mumbai works to ASTM A270 and ASME BPE SF1-SF4, with 3.1 MTC.</v>
      </c>
      <c r="AC1591" s="15" t="str">
        <f t="shared" si="13"/>
        <v>PENDING RESEARCH</v>
      </c>
      <c r="AD1591" s="15" t="str">
        <f t="shared" si="14"/>
        <v>Electropolished Pipes Manufacturer in Dawadmi</v>
      </c>
      <c r="AE1591" s="15" t="str">
        <f t="shared" si="15"/>
        <v>Electropolished Pipes Manufacturer in Dawadmi - Our Process &amp; Capability</v>
      </c>
      <c r="AF1591" s="15" t="str">
        <f t="shared" si="16"/>
        <v>Electropolished Pipes Supplier in Dawadmi - What We Hold in Stock</v>
      </c>
      <c r="AG1591" s="15" t="str">
        <f t="shared" si="17"/>
        <v>Bulk &amp; Wholesale Electropolished Pipe Rates for Dawadmi Buyers</v>
      </c>
      <c r="AH1591" s="15" t="str">
        <f t="shared" si="18"/>
        <v>electropolished pipes manufacturer in Dawadmi, electropolished pipes supplier in Dawadmi, electropolished pipes wholesaler in Dawadmi, electropolished tube manufacturer Dawadmi, EP pipe supplier Dawadmi, sanitary tube supplier Dawadmi, ASME BPE tubing Dawadmi, ASTM A270 tube Dawadmi, SS 316L electropolished pipe Dawadmi</v>
      </c>
      <c r="AI1591" s="15" t="str">
        <f t="shared" si="19"/>
        <v>Electropolished Pipes Manufacturer &amp; Supplier in Dawadmi</v>
      </c>
      <c r="AJ1591" s="15" t="str">
        <f t="shared" si="20"/>
        <v>EP-finished SS 304/316L pipes and tubes for VERIFY plants in Dawadmi. ASME BPE SF1-SF4, Ra from 0.25 um, EN 10204 3.1 certificate with every lot.</v>
      </c>
      <c r="AK1591" s="15" t="str">
        <f t="shared" si="21"/>
        <v>Electropolished stainless steel pipes supplied by Sakshi Forge to VERIFY plants at VERIFY, Dawadmi</v>
      </c>
      <c r="AL1591" s="15" t="str">
        <f t="shared" si="22"/>
        <v>Electropolished SS 316L tube stock for Dawadmi - Sakshi Forge</v>
      </c>
      <c r="AM1591" s="15" t="str">
        <f t="shared" si="23"/>
        <v>Home &gt; Market Area &gt; Saudi Arabia &gt; VERIFY &gt; Dawadmi</v>
      </c>
      <c r="AN1591" s="15">
        <f t="shared" si="24"/>
        <v>750</v>
      </c>
      <c r="AO1591" s="15">
        <f t="shared" si="25"/>
        <v>6</v>
      </c>
      <c r="AP1591" s="15">
        <f t="shared" si="26"/>
        <v>6</v>
      </c>
      <c r="AQ1591" s="15">
        <f t="shared" si="27"/>
        <v>27</v>
      </c>
      <c r="AR1591" s="31"/>
      <c r="AS1591" s="31"/>
      <c r="AT1591" s="35" t="s">
        <v>222</v>
      </c>
      <c r="AU1591" s="35"/>
    </row>
    <row r="1592" ht="15.75" customHeight="1">
      <c r="A1592" s="15" t="s">
        <v>7442</v>
      </c>
      <c r="B1592" s="15" t="s">
        <v>186</v>
      </c>
      <c r="C1592" s="15" t="s">
        <v>98</v>
      </c>
      <c r="D1592" s="15" t="s">
        <v>7443</v>
      </c>
      <c r="E1592" s="15" t="s">
        <v>7443</v>
      </c>
      <c r="F1592" s="58" t="s">
        <v>807</v>
      </c>
      <c r="G1592" s="66" t="s">
        <v>98</v>
      </c>
      <c r="H1592" s="18" t="s">
        <v>98</v>
      </c>
      <c r="I1592" s="18" t="s">
        <v>98</v>
      </c>
      <c r="J1592" s="18" t="s">
        <v>98</v>
      </c>
      <c r="K1592" s="18" t="s">
        <v>98</v>
      </c>
      <c r="L1592" s="18" t="s">
        <v>98</v>
      </c>
      <c r="M1592" s="18" t="s">
        <v>484</v>
      </c>
      <c r="N1592" s="18" t="s">
        <v>208</v>
      </c>
      <c r="O1592" s="18" t="s">
        <v>98</v>
      </c>
      <c r="P1592" s="15" t="str">
        <f t="shared" si="1"/>
        <v>VERIFY</v>
      </c>
      <c r="Q1592" s="15">
        <f t="shared" si="2"/>
        <v>5</v>
      </c>
      <c r="R1592" s="15">
        <f t="shared" si="3"/>
        <v>7</v>
      </c>
      <c r="S1592" s="15">
        <f t="shared" si="4"/>
        <v>4</v>
      </c>
      <c r="T1592" s="15" t="str">
        <f t="shared" si="5"/>
        <v>C-5</v>
      </c>
      <c r="U1592" s="15" t="str">
        <f t="shared" si="6"/>
        <v>T5-M7-H4-FC-5-VERIFY</v>
      </c>
      <c r="V1592" s="15">
        <f t="shared" si="7"/>
        <v>0</v>
      </c>
      <c r="W1592" s="31"/>
      <c r="X1592" s="15" t="str">
        <f t="shared" si="8"/>
        <v>hafar-al-batin-saudi-arabia</v>
      </c>
      <c r="Y1592" s="32" t="str">
        <f t="shared" si="9"/>
        <v>https://steelmanufacturer.in/market-area/electropolished-pipes-manufacturer-in-hafar-al-batin-saudi-arabia/</v>
      </c>
      <c r="Z1592" s="15" t="str">
        <f t="shared" si="10"/>
        <v>Electropolished Pipes Manufacturer in Hafar Al Batin</v>
      </c>
      <c r="AA1592" s="15" t="str">
        <f t="shared" si="11"/>
        <v>OK (52)</v>
      </c>
      <c r="AB1592" s="15" t="str">
        <f t="shared" si="12"/>
        <v>Electropolished pipes in Hafar Al Batin: 304, 304L, 316 and 316L in SF1-SF4. 12-16 days sea from Nhava Sheva to Dammam. Mill certified.</v>
      </c>
      <c r="AC1592" s="15" t="str">
        <f t="shared" si="13"/>
        <v>PENDING RESEARCH</v>
      </c>
      <c r="AD1592" s="15" t="str">
        <f t="shared" si="14"/>
        <v>Electropolished Pipes Manufacturer in Hafar Al Batin</v>
      </c>
      <c r="AE1592" s="15" t="str">
        <f t="shared" si="15"/>
        <v>Manufacturing Electropolished SS Tube for Hafar Al Batin: The Standards We Build To</v>
      </c>
      <c r="AF1592" s="15" t="str">
        <f t="shared" si="16"/>
        <v>Electropolished Pipe Supply Into Hafar Al Batin - Certification &amp; Transit</v>
      </c>
      <c r="AG1592" s="15" t="str">
        <f t="shared" si="17"/>
        <v>Electropolished Pipes Wholesaler in Hafar Al Batin - Project Quantities &amp; Terms</v>
      </c>
      <c r="AH1592" s="15" t="str">
        <f t="shared" si="18"/>
        <v>electropolished pipes manufacturer in Hafar Al Batin, electropolished pipes supplier in Hafar Al Batin, electropolished pipes wholesaler in Hafar Al Batin, electropolished tube manufacturer Hafar Al Batin, EP pipe supplier Hafar Al Batin, sanitary tube supplier Hafar Al Batin, ASME BPE tubing Hafar Al Batin, ASTM A270 tube Hafar Al Batin, SS 316L electropolished pipe Hafar Al Batin</v>
      </c>
      <c r="AI1592" s="15" t="str">
        <f t="shared" si="19"/>
        <v>Electropolished Pipes Manufacturer &amp; Supplier in Hafar Al Batin</v>
      </c>
      <c r="AJ1592" s="15" t="str">
        <f t="shared" si="20"/>
        <v>EP-finished SS 304/316L pipes and tubes for VERIFY plants in Hafar Al Batin. ASME BPE SF1-SF4, Ra from 0.25 um, EN 10204 3.1 certificate with every lot.</v>
      </c>
      <c r="AK1592" s="15" t="str">
        <f t="shared" si="21"/>
        <v>Electropolished stainless steel pipes supplied by Sakshi Forge to VERIFY plants at VERIFY, Hafar Al Batin</v>
      </c>
      <c r="AL1592" s="15" t="str">
        <f t="shared" si="22"/>
        <v>Electropolished SS 316L tube stock for Hafar Al Batin - Sakshi Forge</v>
      </c>
      <c r="AM1592" s="15" t="str">
        <f t="shared" si="23"/>
        <v>Home &gt; Market Area &gt; Saudi Arabia &gt; VERIFY &gt; Hafar Al Batin</v>
      </c>
      <c r="AN1592" s="15">
        <f t="shared" si="24"/>
        <v>750</v>
      </c>
      <c r="AO1592" s="15">
        <f t="shared" si="25"/>
        <v>6</v>
      </c>
      <c r="AP1592" s="15">
        <f t="shared" si="26"/>
        <v>6</v>
      </c>
      <c r="AQ1592" s="15">
        <f t="shared" si="27"/>
        <v>27</v>
      </c>
      <c r="AR1592" s="31"/>
      <c r="AS1592" s="31"/>
      <c r="AT1592" s="35" t="s">
        <v>222</v>
      </c>
      <c r="AU1592" s="35"/>
    </row>
    <row r="1593" ht="15.75" customHeight="1">
      <c r="A1593" s="15" t="s">
        <v>7444</v>
      </c>
      <c r="B1593" s="15" t="s">
        <v>186</v>
      </c>
      <c r="C1593" s="15" t="s">
        <v>98</v>
      </c>
      <c r="D1593" s="15" t="s">
        <v>7445</v>
      </c>
      <c r="E1593" s="15" t="s">
        <v>7445</v>
      </c>
      <c r="F1593" s="58" t="s">
        <v>807</v>
      </c>
      <c r="G1593" s="66" t="s">
        <v>98</v>
      </c>
      <c r="H1593" s="18" t="s">
        <v>98</v>
      </c>
      <c r="I1593" s="18" t="s">
        <v>98</v>
      </c>
      <c r="J1593" s="18" t="s">
        <v>98</v>
      </c>
      <c r="K1593" s="18" t="s">
        <v>98</v>
      </c>
      <c r="L1593" s="18" t="s">
        <v>98</v>
      </c>
      <c r="M1593" s="18" t="s">
        <v>484</v>
      </c>
      <c r="N1593" s="18" t="s">
        <v>208</v>
      </c>
      <c r="O1593" s="18" t="s">
        <v>98</v>
      </c>
      <c r="P1593" s="15" t="str">
        <f t="shared" si="1"/>
        <v>VERIFY</v>
      </c>
      <c r="Q1593" s="15">
        <f t="shared" si="2"/>
        <v>6</v>
      </c>
      <c r="R1593" s="15">
        <f t="shared" si="3"/>
        <v>1</v>
      </c>
      <c r="S1593" s="15">
        <f t="shared" si="4"/>
        <v>5</v>
      </c>
      <c r="T1593" s="15" t="str">
        <f t="shared" si="5"/>
        <v>C-6</v>
      </c>
      <c r="U1593" s="15" t="str">
        <f t="shared" si="6"/>
        <v>T6-M1-H5-FC-6-VERIFY</v>
      </c>
      <c r="V1593" s="15">
        <f t="shared" si="7"/>
        <v>0</v>
      </c>
      <c r="W1593" s="31"/>
      <c r="X1593" s="15" t="str">
        <f t="shared" si="8"/>
        <v>khamis-mushait-saudi-arabia</v>
      </c>
      <c r="Y1593" s="32" t="str">
        <f t="shared" si="9"/>
        <v>https://steelmanufacturer.in/market-area/electropolished-pipes-manufacturer-in-khamis-mushait-saudi-arabia/</v>
      </c>
      <c r="Z1593" s="15" t="str">
        <f t="shared" si="10"/>
        <v>Electropolished Pipes Manufacturer in Khamis Mushait</v>
      </c>
      <c r="AA1593" s="15" t="str">
        <f t="shared" si="11"/>
        <v>OK (52)</v>
      </c>
      <c r="AB1593" s="15" t="str">
        <f t="shared" si="12"/>
        <v>EP-finished SS 304/316L pipes &amp; tubes for VERIFY plants in Khamis Mushait. ASTM A270, ASME BPE SF1-SF4, EN 10204 3.1 MTC. PMI tested.</v>
      </c>
      <c r="AC1593" s="15" t="str">
        <f t="shared" si="13"/>
        <v>PENDING RESEARCH</v>
      </c>
      <c r="AD1593" s="15" t="str">
        <f t="shared" si="14"/>
        <v>Electropolished Pipes Manufacturer in Khamis Mushait</v>
      </c>
      <c r="AE1593" s="15" t="str">
        <f t="shared" si="15"/>
        <v>Electropolished Tube Manufacturing Capability Serving Khamis Mushait</v>
      </c>
      <c r="AF1593" s="15" t="str">
        <f t="shared" si="16"/>
        <v>Electropolished Pipes Supplier in Khamis Mushait - From Order to Delivery</v>
      </c>
      <c r="AG1593" s="15" t="str">
        <f t="shared" si="17"/>
        <v>Stockist &amp; Wholesale Supply of Electropolished Pipes in Khamis Mushait</v>
      </c>
      <c r="AH1593" s="15" t="str">
        <f t="shared" si="18"/>
        <v>electropolished pipes manufacturer in Khamis Mushait, electropolished pipes supplier in Khamis Mushait, electropolished pipes wholesaler in Khamis Mushait, electropolished tube manufacturer Khamis Mushait, EP pipe supplier Khamis Mushait, sanitary tube supplier Khamis Mushait, ASME BPE tubing Khamis Mushait, ASTM A270 tube Khamis Mushait, SS 316L electropolished pipe Khamis Mushait</v>
      </c>
      <c r="AI1593" s="15" t="str">
        <f t="shared" si="19"/>
        <v>Electropolished Pipes Manufacturer &amp; Supplier in Khamis Mushait</v>
      </c>
      <c r="AJ1593" s="15" t="str">
        <f t="shared" si="20"/>
        <v>EP-finished SS 304/316L pipes and tubes for VERIFY plants in Khamis Mushait. ASME BPE SF1-SF4, Ra from 0.25 um, EN 10204 3.1 certificate with every lot.</v>
      </c>
      <c r="AK1593" s="15" t="str">
        <f t="shared" si="21"/>
        <v>Electropolished stainless steel pipes supplied by Sakshi Forge to VERIFY plants at VERIFY, Khamis Mushait</v>
      </c>
      <c r="AL1593" s="15" t="str">
        <f t="shared" si="22"/>
        <v>Electropolished SS 316L tube stock for Khamis Mushait - Sakshi Forge</v>
      </c>
      <c r="AM1593" s="15" t="str">
        <f t="shared" si="23"/>
        <v>Home &gt; Market Area &gt; Saudi Arabia &gt; VERIFY &gt; Khamis Mushait</v>
      </c>
      <c r="AN1593" s="15">
        <f t="shared" si="24"/>
        <v>750</v>
      </c>
      <c r="AO1593" s="15">
        <f t="shared" si="25"/>
        <v>6</v>
      </c>
      <c r="AP1593" s="15">
        <f t="shared" si="26"/>
        <v>6</v>
      </c>
      <c r="AQ1593" s="15">
        <f t="shared" si="27"/>
        <v>27</v>
      </c>
      <c r="AR1593" s="31"/>
      <c r="AS1593" s="31"/>
      <c r="AT1593" s="35" t="s">
        <v>222</v>
      </c>
      <c r="AU1593" s="35"/>
    </row>
    <row r="1594" ht="15.75" customHeight="1">
      <c r="A1594" s="15" t="s">
        <v>7446</v>
      </c>
      <c r="B1594" s="15" t="s">
        <v>186</v>
      </c>
      <c r="C1594" s="15" t="s">
        <v>98</v>
      </c>
      <c r="D1594" s="15" t="s">
        <v>7447</v>
      </c>
      <c r="E1594" s="15" t="s">
        <v>7447</v>
      </c>
      <c r="F1594" s="58" t="s">
        <v>807</v>
      </c>
      <c r="G1594" s="66" t="s">
        <v>98</v>
      </c>
      <c r="H1594" s="18" t="s">
        <v>98</v>
      </c>
      <c r="I1594" s="18" t="s">
        <v>98</v>
      </c>
      <c r="J1594" s="18" t="s">
        <v>98</v>
      </c>
      <c r="K1594" s="18" t="s">
        <v>98</v>
      </c>
      <c r="L1594" s="18" t="s">
        <v>98</v>
      </c>
      <c r="M1594" s="18" t="s">
        <v>484</v>
      </c>
      <c r="N1594" s="18" t="s">
        <v>208</v>
      </c>
      <c r="O1594" s="18" t="s">
        <v>98</v>
      </c>
      <c r="P1594" s="15" t="str">
        <f t="shared" si="1"/>
        <v>VERIFY</v>
      </c>
      <c r="Q1594" s="15">
        <f t="shared" si="2"/>
        <v>7</v>
      </c>
      <c r="R1594" s="15">
        <f t="shared" si="3"/>
        <v>2</v>
      </c>
      <c r="S1594" s="15">
        <f t="shared" si="4"/>
        <v>1</v>
      </c>
      <c r="T1594" s="15" t="str">
        <f t="shared" si="5"/>
        <v>C-1</v>
      </c>
      <c r="U1594" s="15" t="str">
        <f t="shared" si="6"/>
        <v>T7-M2-H1-FC-1-VERIFY</v>
      </c>
      <c r="V1594" s="15">
        <f t="shared" si="7"/>
        <v>0</v>
      </c>
      <c r="W1594" s="31"/>
      <c r="X1594" s="15" t="str">
        <f t="shared" si="8"/>
        <v>layla-saudi-arabia</v>
      </c>
      <c r="Y1594" s="32" t="str">
        <f t="shared" si="9"/>
        <v>https://steelmanufacturer.in/market-area/electropolished-pipes-manufacturer-in-layla-saudi-arabia/</v>
      </c>
      <c r="Z1594" s="15" t="str">
        <f t="shared" si="10"/>
        <v>Electropolished Pipes Manufacturer in Layla | ASME BPE SF1-SF4</v>
      </c>
      <c r="AA1594" s="15" t="str">
        <f t="shared" si="11"/>
        <v>OK (62)</v>
      </c>
      <c r="AB1594" s="15" t="str">
        <f t="shared" si="12"/>
        <v>Electropolished tube supply to VERIFY, Layla. Ra from 0.25 um, SF4 finish, mill test certificate with every lot.</v>
      </c>
      <c r="AC1594" s="15" t="str">
        <f t="shared" si="13"/>
        <v>PENDING RESEARCH</v>
      </c>
      <c r="AD1594" s="15" t="str">
        <f t="shared" si="14"/>
        <v>Electropolished Pipes Manufacturer in Layla</v>
      </c>
      <c r="AE1594" s="15" t="str">
        <f t="shared" si="15"/>
        <v>Electropolished Pipe &amp; Tube Manufacturing for Layla - Grades, Finishes &amp; Certification</v>
      </c>
      <c r="AF1594" s="15" t="str">
        <f t="shared" si="16"/>
        <v>Electropolished Pipes Supplier in Layla - Stock Sizes, Lead Time &amp; Delivery</v>
      </c>
      <c r="AG1594" s="15" t="str">
        <f t="shared" si="17"/>
        <v>Electropolished Pipes Wholesaler &amp; Stockist in Layla - Bulk &amp; Project Pricing</v>
      </c>
      <c r="AH1594" s="15" t="str">
        <f t="shared" si="18"/>
        <v>electropolished pipes manufacturer in Layla, electropolished pipes supplier in Layla, electropolished pipes wholesaler in Layla, electropolished tube manufacturer Layla, EP pipe supplier Layla, sanitary tube supplier Layla, ASME BPE tubing Layla, ASTM A270 tube Layla, SS 316L electropolished pipe Layla</v>
      </c>
      <c r="AI1594" s="15" t="str">
        <f t="shared" si="19"/>
        <v>Electropolished Pipes Manufacturer &amp; Supplier in Layla</v>
      </c>
      <c r="AJ1594" s="15" t="str">
        <f t="shared" si="20"/>
        <v>EP-finished SS 304/316L pipes and tubes for VERIFY plants in Layla. ASME BPE SF1-SF4, Ra from 0.25 um, EN 10204 3.1 certificate with every lot.</v>
      </c>
      <c r="AK1594" s="15" t="str">
        <f t="shared" si="21"/>
        <v>Electropolished stainless steel pipes supplied by Sakshi Forge to VERIFY plants at VERIFY, Layla</v>
      </c>
      <c r="AL1594" s="15" t="str">
        <f t="shared" si="22"/>
        <v>Electropolished SS 316L tube stock for Layla - Sakshi Forge</v>
      </c>
      <c r="AM1594" s="15" t="str">
        <f t="shared" si="23"/>
        <v>Home &gt; Market Area &gt; Saudi Arabia &gt; VERIFY &gt; Layla</v>
      </c>
      <c r="AN1594" s="15">
        <f t="shared" si="24"/>
        <v>750</v>
      </c>
      <c r="AO1594" s="15">
        <f t="shared" si="25"/>
        <v>6</v>
      </c>
      <c r="AP1594" s="15">
        <f t="shared" si="26"/>
        <v>6</v>
      </c>
      <c r="AQ1594" s="15">
        <f t="shared" si="27"/>
        <v>27</v>
      </c>
      <c r="AR1594" s="31"/>
      <c r="AS1594" s="31"/>
      <c r="AT1594" s="35" t="s">
        <v>222</v>
      </c>
      <c r="AU1594" s="35"/>
    </row>
    <row r="1595" ht="15.75" customHeight="1">
      <c r="A1595" s="15" t="s">
        <v>7448</v>
      </c>
      <c r="B1595" s="15" t="s">
        <v>186</v>
      </c>
      <c r="C1595" s="15" t="s">
        <v>98</v>
      </c>
      <c r="D1595" s="15" t="s">
        <v>7450</v>
      </c>
      <c r="E1595" s="15" t="s">
        <v>7450</v>
      </c>
      <c r="F1595" s="58" t="s">
        <v>807</v>
      </c>
      <c r="G1595" s="66" t="s">
        <v>98</v>
      </c>
      <c r="H1595" s="18" t="s">
        <v>98</v>
      </c>
      <c r="I1595" s="18" t="s">
        <v>98</v>
      </c>
      <c r="J1595" s="18" t="s">
        <v>98</v>
      </c>
      <c r="K1595" s="18" t="s">
        <v>98</v>
      </c>
      <c r="L1595" s="18" t="s">
        <v>98</v>
      </c>
      <c r="M1595" s="18" t="s">
        <v>484</v>
      </c>
      <c r="N1595" s="18" t="s">
        <v>208</v>
      </c>
      <c r="O1595" s="18" t="s">
        <v>98</v>
      </c>
      <c r="P1595" s="15" t="str">
        <f t="shared" si="1"/>
        <v>VERIFY</v>
      </c>
      <c r="Q1595" s="15">
        <f t="shared" si="2"/>
        <v>8</v>
      </c>
      <c r="R1595" s="15">
        <f t="shared" si="3"/>
        <v>3</v>
      </c>
      <c r="S1595" s="15">
        <f t="shared" si="4"/>
        <v>2</v>
      </c>
      <c r="T1595" s="15" t="str">
        <f t="shared" si="5"/>
        <v>C-2</v>
      </c>
      <c r="U1595" s="15" t="str">
        <f t="shared" si="6"/>
        <v>T8-M3-H2-FC-2-VERIFY</v>
      </c>
      <c r="V1595" s="15">
        <f t="shared" si="7"/>
        <v>0</v>
      </c>
      <c r="W1595" s="31"/>
      <c r="X1595" s="15" t="str">
        <f t="shared" si="8"/>
        <v>qatif-saudi-arabia</v>
      </c>
      <c r="Y1595" s="32" t="str">
        <f t="shared" si="9"/>
        <v>https://steelmanufacturer.in/market-area/electropolished-pipes-manufacturer-in-qatif-saudi-arabia/</v>
      </c>
      <c r="Z1595" s="15" t="str">
        <f t="shared" si="10"/>
        <v>Electropolished Pipes Manufacturer in Qatif - EP Tube Stockist</v>
      </c>
      <c r="AA1595" s="15" t="str">
        <f t="shared" si="11"/>
        <v>OK (62)</v>
      </c>
      <c r="AB1595" s="15" t="str">
        <f t="shared" si="12"/>
        <v>EP stainless tube for VERIFY lines in Qatif. 12-16 days sea from Nhava Sheva to Dammam. ASTM A270 S2, PMI tested, EN 10204 3.1.</v>
      </c>
      <c r="AC1595" s="15" t="str">
        <f t="shared" si="13"/>
        <v>PENDING RESEARCH</v>
      </c>
      <c r="AD1595" s="15" t="str">
        <f t="shared" si="14"/>
        <v>Electropolished Pipes Manufacturer in Qatif</v>
      </c>
      <c r="AE1595" s="15" t="str">
        <f t="shared" si="15"/>
        <v>How We Manufacture Electropolished Tube for Qatif Plants</v>
      </c>
      <c r="AF1595" s="15" t="str">
        <f t="shared" si="16"/>
        <v>Supplying Electropolished Pipes in Qatif: Availability, Sizes &amp; Dispatch</v>
      </c>
      <c r="AG1595" s="15" t="str">
        <f t="shared" si="17"/>
        <v>Wholesale Electropolished Pipe Supply for Qatif Projects</v>
      </c>
      <c r="AH1595" s="15" t="str">
        <f t="shared" si="18"/>
        <v>electropolished pipes manufacturer in Qatif, electropolished pipes supplier in Qatif, electropolished pipes wholesaler in Qatif, electropolished tube manufacturer Qatif, EP pipe supplier Qatif, sanitary tube supplier Qatif, ASME BPE tubing Qatif, ASTM A270 tube Qatif, SS 316L electropolished pipe Qatif</v>
      </c>
      <c r="AI1595" s="15" t="str">
        <f t="shared" si="19"/>
        <v>Electropolished Pipes Manufacturer &amp; Supplier in Qatif</v>
      </c>
      <c r="AJ1595" s="15" t="str">
        <f t="shared" si="20"/>
        <v>EP-finished SS 304/316L pipes and tubes for VERIFY plants in Qatif. ASME BPE SF1-SF4, Ra from 0.25 um, EN 10204 3.1 certificate with every lot.</v>
      </c>
      <c r="AK1595" s="15" t="str">
        <f t="shared" si="21"/>
        <v>Electropolished stainless steel pipes supplied by Sakshi Forge to VERIFY plants at VERIFY, Qatif</v>
      </c>
      <c r="AL1595" s="15" t="str">
        <f t="shared" si="22"/>
        <v>Electropolished SS 316L tube stock for Qatif - Sakshi Forge</v>
      </c>
      <c r="AM1595" s="15" t="str">
        <f t="shared" si="23"/>
        <v>Home &gt; Market Area &gt; Saudi Arabia &gt; VERIFY &gt; Qatif</v>
      </c>
      <c r="AN1595" s="15">
        <f t="shared" si="24"/>
        <v>750</v>
      </c>
      <c r="AO1595" s="15">
        <f t="shared" si="25"/>
        <v>6</v>
      </c>
      <c r="AP1595" s="15">
        <f t="shared" si="26"/>
        <v>6</v>
      </c>
      <c r="AQ1595" s="15">
        <f t="shared" si="27"/>
        <v>27</v>
      </c>
      <c r="AR1595" s="31"/>
      <c r="AS1595" s="31"/>
      <c r="AT1595" s="35" t="s">
        <v>222</v>
      </c>
      <c r="AU1595" s="35"/>
    </row>
    <row r="1596" ht="15.75" customHeight="1">
      <c r="A1596" s="15" t="s">
        <v>7456</v>
      </c>
      <c r="B1596" s="15" t="s">
        <v>186</v>
      </c>
      <c r="C1596" s="15" t="s">
        <v>98</v>
      </c>
      <c r="D1596" s="15" t="s">
        <v>7457</v>
      </c>
      <c r="E1596" s="15" t="s">
        <v>7457</v>
      </c>
      <c r="F1596" s="58" t="s">
        <v>807</v>
      </c>
      <c r="G1596" s="66" t="s">
        <v>98</v>
      </c>
      <c r="H1596" s="18" t="s">
        <v>98</v>
      </c>
      <c r="I1596" s="18" t="s">
        <v>98</v>
      </c>
      <c r="J1596" s="18" t="s">
        <v>98</v>
      </c>
      <c r="K1596" s="18" t="s">
        <v>98</v>
      </c>
      <c r="L1596" s="18" t="s">
        <v>98</v>
      </c>
      <c r="M1596" s="18" t="s">
        <v>484</v>
      </c>
      <c r="N1596" s="18" t="s">
        <v>208</v>
      </c>
      <c r="O1596" s="18" t="s">
        <v>98</v>
      </c>
      <c r="P1596" s="15" t="str">
        <f t="shared" si="1"/>
        <v>VERIFY</v>
      </c>
      <c r="Q1596" s="15">
        <f t="shared" si="2"/>
        <v>1</v>
      </c>
      <c r="R1596" s="15">
        <f t="shared" si="3"/>
        <v>4</v>
      </c>
      <c r="S1596" s="15">
        <f t="shared" si="4"/>
        <v>3</v>
      </c>
      <c r="T1596" s="15" t="str">
        <f t="shared" si="5"/>
        <v>C-3</v>
      </c>
      <c r="U1596" s="15" t="str">
        <f t="shared" si="6"/>
        <v>T1-M4-H3-FC-3-VERIFY</v>
      </c>
      <c r="V1596" s="15">
        <f t="shared" si="7"/>
        <v>0</v>
      </c>
      <c r="W1596" s="31"/>
      <c r="X1596" s="15" t="str">
        <f t="shared" si="8"/>
        <v>qurayyat-saudi-arabia</v>
      </c>
      <c r="Y1596" s="32" t="str">
        <f t="shared" si="9"/>
        <v>https://steelmanufacturer.in/market-area/electropolished-pipes-manufacturer-in-qurayyat-saudi-arabia/</v>
      </c>
      <c r="Z1596" s="15" t="str">
        <f t="shared" si="10"/>
        <v>Electropolished Pipes Manufacturer in Qurayyat | Sakshi Forge</v>
      </c>
      <c r="AA1596" s="15" t="str">
        <f t="shared" si="11"/>
        <v>OK (61)</v>
      </c>
      <c r="AB1596" s="15" t="str">
        <f t="shared" si="12"/>
        <v>Sanitary electropolished pipes in Qurayyat for VERIFY plants. ASME BPE SF1-SF4, orbital-weld ready, 3.1 MTC. Mumbai-made.</v>
      </c>
      <c r="AC1596" s="15" t="str">
        <f t="shared" si="13"/>
        <v>PENDING RESEARCH</v>
      </c>
      <c r="AD1596" s="15" t="str">
        <f t="shared" si="14"/>
        <v>Electropolished Pipes Manufacturer in Qurayyat</v>
      </c>
      <c r="AE1596" s="15" t="str">
        <f t="shared" si="15"/>
        <v>Electropolished Pipes Manufacturer in Qurayyat - Our Process &amp; Capability</v>
      </c>
      <c r="AF1596" s="15" t="str">
        <f t="shared" si="16"/>
        <v>Electropolished Pipes Supplier in Qurayyat - What We Hold in Stock</v>
      </c>
      <c r="AG1596" s="15" t="str">
        <f t="shared" si="17"/>
        <v>Bulk &amp; Wholesale Electropolished Pipe Rates for Qurayyat Buyers</v>
      </c>
      <c r="AH1596" s="15" t="str">
        <f t="shared" si="18"/>
        <v>electropolished pipes manufacturer in Qurayyat, electropolished pipes supplier in Qurayyat, electropolished pipes wholesaler in Qurayyat, electropolished tube manufacturer Qurayyat, EP pipe supplier Qurayyat, sanitary tube supplier Qurayyat, ASME BPE tubing Qurayyat, ASTM A270 tube Qurayyat, SS 316L electropolished pipe Qurayyat</v>
      </c>
      <c r="AI1596" s="15" t="str">
        <f t="shared" si="19"/>
        <v>Electropolished Pipes Manufacturer &amp; Supplier in Qurayyat</v>
      </c>
      <c r="AJ1596" s="15" t="str">
        <f t="shared" si="20"/>
        <v>EP-finished SS 304/316L pipes and tubes for VERIFY plants in Qurayyat. ASME BPE SF1-SF4, Ra from 0.25 um, EN 10204 3.1 certificate with every lot.</v>
      </c>
      <c r="AK1596" s="15" t="str">
        <f t="shared" si="21"/>
        <v>Electropolished stainless steel pipes supplied by Sakshi Forge to VERIFY plants at VERIFY, Qurayyat</v>
      </c>
      <c r="AL1596" s="15" t="str">
        <f t="shared" si="22"/>
        <v>Electropolished SS 316L tube stock for Qurayyat - Sakshi Forge</v>
      </c>
      <c r="AM1596" s="15" t="str">
        <f t="shared" si="23"/>
        <v>Home &gt; Market Area &gt; Saudi Arabia &gt; VERIFY &gt; Qurayyat</v>
      </c>
      <c r="AN1596" s="15">
        <f t="shared" si="24"/>
        <v>750</v>
      </c>
      <c r="AO1596" s="15">
        <f t="shared" si="25"/>
        <v>6</v>
      </c>
      <c r="AP1596" s="15">
        <f t="shared" si="26"/>
        <v>6</v>
      </c>
      <c r="AQ1596" s="15">
        <f t="shared" si="27"/>
        <v>27</v>
      </c>
      <c r="AR1596" s="31"/>
      <c r="AS1596" s="31"/>
      <c r="AT1596" s="35" t="s">
        <v>222</v>
      </c>
      <c r="AU1596" s="35"/>
    </row>
    <row r="1597" ht="15.75" customHeight="1">
      <c r="A1597" s="15" t="s">
        <v>7458</v>
      </c>
      <c r="B1597" s="15" t="s">
        <v>186</v>
      </c>
      <c r="C1597" s="15" t="s">
        <v>98</v>
      </c>
      <c r="D1597" s="15" t="s">
        <v>7459</v>
      </c>
      <c r="E1597" s="15" t="s">
        <v>7459</v>
      </c>
      <c r="F1597" s="58" t="s">
        <v>807</v>
      </c>
      <c r="G1597" s="66" t="s">
        <v>98</v>
      </c>
      <c r="H1597" s="18" t="s">
        <v>98</v>
      </c>
      <c r="I1597" s="18" t="s">
        <v>98</v>
      </c>
      <c r="J1597" s="18" t="s">
        <v>98</v>
      </c>
      <c r="K1597" s="18" t="s">
        <v>98</v>
      </c>
      <c r="L1597" s="18" t="s">
        <v>98</v>
      </c>
      <c r="M1597" s="18" t="s">
        <v>484</v>
      </c>
      <c r="N1597" s="18" t="s">
        <v>208</v>
      </c>
      <c r="O1597" s="18" t="s">
        <v>98</v>
      </c>
      <c r="P1597" s="15" t="str">
        <f t="shared" si="1"/>
        <v>VERIFY</v>
      </c>
      <c r="Q1597" s="15">
        <f t="shared" si="2"/>
        <v>2</v>
      </c>
      <c r="R1597" s="15">
        <f t="shared" si="3"/>
        <v>5</v>
      </c>
      <c r="S1597" s="15">
        <f t="shared" si="4"/>
        <v>4</v>
      </c>
      <c r="T1597" s="15" t="str">
        <f t="shared" si="5"/>
        <v>C-4</v>
      </c>
      <c r="U1597" s="15" t="str">
        <f t="shared" si="6"/>
        <v>T2-M5-H4-FC-4-VERIFY</v>
      </c>
      <c r="V1597" s="15">
        <f t="shared" si="7"/>
        <v>0</v>
      </c>
      <c r="W1597" s="31"/>
      <c r="X1597" s="15" t="str">
        <f t="shared" si="8"/>
        <v>rafha-saudi-arabia</v>
      </c>
      <c r="Y1597" s="32" t="str">
        <f t="shared" si="9"/>
        <v>https://steelmanufacturer.in/market-area/electropolished-pipes-manufacturer-in-rafha-saudi-arabia/</v>
      </c>
      <c r="Z1597" s="15" t="str">
        <f t="shared" si="10"/>
        <v>Electropolished Pipes Manufacturer in Rafha</v>
      </c>
      <c r="AA1597" s="15" t="str">
        <f t="shared" si="11"/>
        <v>OK (43)</v>
      </c>
      <c r="AB1597" s="15" t="str">
        <f t="shared" si="12"/>
        <v>Manufacturer of electropolished SS 316L tube serving Rafha. 12-16 days sea from Nhava Sheva to Dammam. Ra 0.25-0.5 um, EN 10204 3.1 MTC.</v>
      </c>
      <c r="AC1597" s="15" t="str">
        <f t="shared" si="13"/>
        <v>PENDING RESEARCH</v>
      </c>
      <c r="AD1597" s="15" t="str">
        <f t="shared" si="14"/>
        <v>Electropolished Pipes Manufacturer in Rafha</v>
      </c>
      <c r="AE1597" s="15" t="str">
        <f t="shared" si="15"/>
        <v>Manufacturing Electropolished SS Tube for Rafha: The Standards We Build To</v>
      </c>
      <c r="AF1597" s="15" t="str">
        <f t="shared" si="16"/>
        <v>Electropolished Pipe Supply Into Rafha - Certification &amp; Transit</v>
      </c>
      <c r="AG1597" s="15" t="str">
        <f t="shared" si="17"/>
        <v>Electropolished Pipes Wholesaler in Rafha - Project Quantities &amp; Terms</v>
      </c>
      <c r="AH1597" s="15" t="str">
        <f t="shared" si="18"/>
        <v>electropolished pipes manufacturer in Rafha, electropolished pipes supplier in Rafha, electropolished pipes wholesaler in Rafha, electropolished tube manufacturer Rafha, EP pipe supplier Rafha, sanitary tube supplier Rafha, ASME BPE tubing Rafha, ASTM A270 tube Rafha, SS 316L electropolished pipe Rafha</v>
      </c>
      <c r="AI1597" s="15" t="str">
        <f t="shared" si="19"/>
        <v>Electropolished Pipes Manufacturer &amp; Supplier in Rafha</v>
      </c>
      <c r="AJ1597" s="15" t="str">
        <f t="shared" si="20"/>
        <v>EP-finished SS 304/316L pipes and tubes for VERIFY plants in Rafha. ASME BPE SF1-SF4, Ra from 0.25 um, EN 10204 3.1 certificate with every lot.</v>
      </c>
      <c r="AK1597" s="15" t="str">
        <f t="shared" si="21"/>
        <v>Electropolished stainless steel pipes supplied by Sakshi Forge to VERIFY plants at VERIFY, Rafha</v>
      </c>
      <c r="AL1597" s="15" t="str">
        <f t="shared" si="22"/>
        <v>Electropolished SS 316L tube stock for Rafha - Sakshi Forge</v>
      </c>
      <c r="AM1597" s="15" t="str">
        <f t="shared" si="23"/>
        <v>Home &gt; Market Area &gt; Saudi Arabia &gt; VERIFY &gt; Rafha</v>
      </c>
      <c r="AN1597" s="15">
        <f t="shared" si="24"/>
        <v>750</v>
      </c>
      <c r="AO1597" s="15">
        <f t="shared" si="25"/>
        <v>6</v>
      </c>
      <c r="AP1597" s="15">
        <f t="shared" si="26"/>
        <v>6</v>
      </c>
      <c r="AQ1597" s="15">
        <f t="shared" si="27"/>
        <v>27</v>
      </c>
      <c r="AR1597" s="31"/>
      <c r="AS1597" s="31"/>
      <c r="AT1597" s="35" t="s">
        <v>222</v>
      </c>
      <c r="AU1597" s="35"/>
    </row>
    <row r="1598" ht="15.75" customHeight="1">
      <c r="A1598" s="15" t="s">
        <v>7460</v>
      </c>
      <c r="B1598" s="15" t="s">
        <v>186</v>
      </c>
      <c r="C1598" s="15" t="s">
        <v>98</v>
      </c>
      <c r="D1598" s="15" t="s">
        <v>7461</v>
      </c>
      <c r="E1598" s="15" t="s">
        <v>7461</v>
      </c>
      <c r="F1598" s="58" t="s">
        <v>807</v>
      </c>
      <c r="G1598" s="66" t="s">
        <v>98</v>
      </c>
      <c r="H1598" s="18" t="s">
        <v>98</v>
      </c>
      <c r="I1598" s="18" t="s">
        <v>98</v>
      </c>
      <c r="J1598" s="18" t="s">
        <v>98</v>
      </c>
      <c r="K1598" s="18" t="s">
        <v>98</v>
      </c>
      <c r="L1598" s="18" t="s">
        <v>98</v>
      </c>
      <c r="M1598" s="18" t="s">
        <v>484</v>
      </c>
      <c r="N1598" s="18" t="s">
        <v>208</v>
      </c>
      <c r="O1598" s="18" t="s">
        <v>98</v>
      </c>
      <c r="P1598" s="15" t="str">
        <f t="shared" si="1"/>
        <v>VERIFY</v>
      </c>
      <c r="Q1598" s="15">
        <f t="shared" si="2"/>
        <v>3</v>
      </c>
      <c r="R1598" s="15">
        <f t="shared" si="3"/>
        <v>6</v>
      </c>
      <c r="S1598" s="15">
        <f t="shared" si="4"/>
        <v>5</v>
      </c>
      <c r="T1598" s="15" t="str">
        <f t="shared" si="5"/>
        <v>C-5</v>
      </c>
      <c r="U1598" s="15" t="str">
        <f t="shared" si="6"/>
        <v>T3-M6-H5-FC-5-VERIFY</v>
      </c>
      <c r="V1598" s="15">
        <f t="shared" si="7"/>
        <v>0</v>
      </c>
      <c r="W1598" s="31"/>
      <c r="X1598" s="15" t="str">
        <f t="shared" si="8"/>
        <v>safwa-saudi-arabia</v>
      </c>
      <c r="Y1598" s="32" t="str">
        <f t="shared" si="9"/>
        <v>https://steelmanufacturer.in/market-area/electropolished-pipes-manufacturer-in-safwa-saudi-arabia/</v>
      </c>
      <c r="Z1598" s="15" t="str">
        <f t="shared" si="10"/>
        <v>Electropolished Pipes Manufacturer in Safwa | EP Tube Supplier</v>
      </c>
      <c r="AA1598" s="15" t="str">
        <f t="shared" si="11"/>
        <v>OK (62)</v>
      </c>
      <c r="AB1598" s="15" t="str">
        <f t="shared" si="12"/>
        <v>EP tube and pipe for VERIFY plants around VERIFY, Safwa. Made at our Mumbai works to ASTM A270 and ASME BPE SF1-SF4, with 3.1 MTC.</v>
      </c>
      <c r="AC1598" s="15" t="str">
        <f t="shared" si="13"/>
        <v>PENDING RESEARCH</v>
      </c>
      <c r="AD1598" s="15" t="str">
        <f t="shared" si="14"/>
        <v>Electropolished Pipes Manufacturer in Safwa</v>
      </c>
      <c r="AE1598" s="15" t="str">
        <f t="shared" si="15"/>
        <v>Electropolished Tube Manufacturing Capability Serving Safwa</v>
      </c>
      <c r="AF1598" s="15" t="str">
        <f t="shared" si="16"/>
        <v>Electropolished Pipes Supplier in Safwa - From Order to Delivery</v>
      </c>
      <c r="AG1598" s="15" t="str">
        <f t="shared" si="17"/>
        <v>Stockist &amp; Wholesale Supply of Electropolished Pipes in Safwa</v>
      </c>
      <c r="AH1598" s="15" t="str">
        <f t="shared" si="18"/>
        <v>electropolished pipes manufacturer in Safwa, electropolished pipes supplier in Safwa, electropolished pipes wholesaler in Safwa, electropolished tube manufacturer Safwa, EP pipe supplier Safwa, sanitary tube supplier Safwa, ASME BPE tubing Safwa, ASTM A270 tube Safwa, SS 316L electropolished pipe Safwa</v>
      </c>
      <c r="AI1598" s="15" t="str">
        <f t="shared" si="19"/>
        <v>Electropolished Pipes Manufacturer &amp; Supplier in Safwa</v>
      </c>
      <c r="AJ1598" s="15" t="str">
        <f t="shared" si="20"/>
        <v>EP-finished SS 304/316L pipes and tubes for VERIFY plants in Safwa. ASME BPE SF1-SF4, Ra from 0.25 um, EN 10204 3.1 certificate with every lot.</v>
      </c>
      <c r="AK1598" s="15" t="str">
        <f t="shared" si="21"/>
        <v>Electropolished stainless steel pipes supplied by Sakshi Forge to VERIFY plants at VERIFY, Safwa</v>
      </c>
      <c r="AL1598" s="15" t="str">
        <f t="shared" si="22"/>
        <v>Electropolished SS 316L tube stock for Safwa - Sakshi Forge</v>
      </c>
      <c r="AM1598" s="15" t="str">
        <f t="shared" si="23"/>
        <v>Home &gt; Market Area &gt; Saudi Arabia &gt; VERIFY &gt; Safwa</v>
      </c>
      <c r="AN1598" s="15">
        <f t="shared" si="24"/>
        <v>750</v>
      </c>
      <c r="AO1598" s="15">
        <f t="shared" si="25"/>
        <v>6</v>
      </c>
      <c r="AP1598" s="15">
        <f t="shared" si="26"/>
        <v>6</v>
      </c>
      <c r="AQ1598" s="15">
        <f t="shared" si="27"/>
        <v>27</v>
      </c>
      <c r="AR1598" s="31"/>
      <c r="AS1598" s="31"/>
      <c r="AT1598" s="35" t="s">
        <v>222</v>
      </c>
      <c r="AU1598" s="35"/>
    </row>
    <row r="1599" ht="15.75" customHeight="1">
      <c r="A1599" s="15" t="s">
        <v>7462</v>
      </c>
      <c r="B1599" s="15" t="s">
        <v>186</v>
      </c>
      <c r="C1599" s="15" t="s">
        <v>98</v>
      </c>
      <c r="D1599" s="15" t="s">
        <v>7463</v>
      </c>
      <c r="E1599" s="15" t="s">
        <v>7463</v>
      </c>
      <c r="F1599" s="58" t="s">
        <v>807</v>
      </c>
      <c r="G1599" s="66" t="s">
        <v>98</v>
      </c>
      <c r="H1599" s="18" t="s">
        <v>98</v>
      </c>
      <c r="I1599" s="18" t="s">
        <v>98</v>
      </c>
      <c r="J1599" s="18" t="s">
        <v>98</v>
      </c>
      <c r="K1599" s="18" t="s">
        <v>98</v>
      </c>
      <c r="L1599" s="18" t="s">
        <v>98</v>
      </c>
      <c r="M1599" s="18" t="s">
        <v>484</v>
      </c>
      <c r="N1599" s="18" t="s">
        <v>208</v>
      </c>
      <c r="O1599" s="18" t="s">
        <v>98</v>
      </c>
      <c r="P1599" s="15" t="str">
        <f t="shared" si="1"/>
        <v>VERIFY</v>
      </c>
      <c r="Q1599" s="15">
        <f t="shared" si="2"/>
        <v>4</v>
      </c>
      <c r="R1599" s="15">
        <f t="shared" si="3"/>
        <v>7</v>
      </c>
      <c r="S1599" s="15">
        <f t="shared" si="4"/>
        <v>1</v>
      </c>
      <c r="T1599" s="15" t="str">
        <f t="shared" si="5"/>
        <v>C-6</v>
      </c>
      <c r="U1599" s="15" t="str">
        <f t="shared" si="6"/>
        <v>T4-M7-H1-FC-6-VERIFY</v>
      </c>
      <c r="V1599" s="15">
        <f t="shared" si="7"/>
        <v>0</v>
      </c>
      <c r="W1599" s="31"/>
      <c r="X1599" s="15" t="str">
        <f t="shared" si="8"/>
        <v>sakaka-saudi-arabia</v>
      </c>
      <c r="Y1599" s="32" t="str">
        <f t="shared" si="9"/>
        <v>https://steelmanufacturer.in/market-area/electropolished-pipes-manufacturer-in-sakaka-saudi-arabia/</v>
      </c>
      <c r="Z1599" s="15" t="str">
        <f t="shared" si="10"/>
        <v>Electropolished Pipes Manufacturer in Sakaka</v>
      </c>
      <c r="AA1599" s="15" t="str">
        <f t="shared" si="11"/>
        <v>OK (44)</v>
      </c>
      <c r="AB1599" s="15" t="str">
        <f t="shared" si="12"/>
        <v>Electropolished pipes in Sakaka: 304, 304L, 316 and 316L in SF1-SF4. 12-16 days sea from Nhava Sheva to Dammam. Mill certified.</v>
      </c>
      <c r="AC1599" s="15" t="str">
        <f t="shared" si="13"/>
        <v>PENDING RESEARCH</v>
      </c>
      <c r="AD1599" s="15" t="str">
        <f t="shared" si="14"/>
        <v>Electropolished Pipes Manufacturer in Sakaka</v>
      </c>
      <c r="AE1599" s="15" t="str">
        <f t="shared" si="15"/>
        <v>Electropolished Pipe &amp; Tube Manufacturing for Sakaka - Grades, Finishes &amp; Certification</v>
      </c>
      <c r="AF1599" s="15" t="str">
        <f t="shared" si="16"/>
        <v>Electropolished Pipes Supplier in Sakaka - Stock Sizes, Lead Time &amp; Delivery</v>
      </c>
      <c r="AG1599" s="15" t="str">
        <f t="shared" si="17"/>
        <v>Electropolished Pipes Wholesaler &amp; Stockist in Sakaka - Bulk &amp; Project Pricing</v>
      </c>
      <c r="AH1599" s="15" t="str">
        <f t="shared" si="18"/>
        <v>electropolished pipes manufacturer in Sakaka, electropolished pipes supplier in Sakaka, electropolished pipes wholesaler in Sakaka, electropolished tube manufacturer Sakaka, EP pipe supplier Sakaka, sanitary tube supplier Sakaka, ASME BPE tubing Sakaka, ASTM A270 tube Sakaka, SS 316L electropolished pipe Sakaka</v>
      </c>
      <c r="AI1599" s="15" t="str">
        <f t="shared" si="19"/>
        <v>Electropolished Pipes Manufacturer &amp; Supplier in Sakaka</v>
      </c>
      <c r="AJ1599" s="15" t="str">
        <f t="shared" si="20"/>
        <v>EP-finished SS 304/316L pipes and tubes for VERIFY plants in Sakaka. ASME BPE SF1-SF4, Ra from 0.25 um, EN 10204 3.1 certificate with every lot.</v>
      </c>
      <c r="AK1599" s="15" t="str">
        <f t="shared" si="21"/>
        <v>Electropolished stainless steel pipes supplied by Sakshi Forge to VERIFY plants at VERIFY, Sakaka</v>
      </c>
      <c r="AL1599" s="15" t="str">
        <f t="shared" si="22"/>
        <v>Electropolished SS 316L tube stock for Sakaka - Sakshi Forge</v>
      </c>
      <c r="AM1599" s="15" t="str">
        <f t="shared" si="23"/>
        <v>Home &gt; Market Area &gt; Saudi Arabia &gt; VERIFY &gt; Sakaka</v>
      </c>
      <c r="AN1599" s="15">
        <f t="shared" si="24"/>
        <v>750</v>
      </c>
      <c r="AO1599" s="15">
        <f t="shared" si="25"/>
        <v>6</v>
      </c>
      <c r="AP1599" s="15">
        <f t="shared" si="26"/>
        <v>6</v>
      </c>
      <c r="AQ1599" s="15">
        <f t="shared" si="27"/>
        <v>27</v>
      </c>
      <c r="AR1599" s="31"/>
      <c r="AS1599" s="31"/>
      <c r="AT1599" s="35" t="s">
        <v>222</v>
      </c>
      <c r="AU1599" s="35"/>
    </row>
    <row r="1600" ht="15.75" customHeight="1">
      <c r="A1600" s="15" t="s">
        <v>7464</v>
      </c>
      <c r="B1600" s="15" t="s">
        <v>186</v>
      </c>
      <c r="C1600" s="15" t="s">
        <v>98</v>
      </c>
      <c r="D1600" s="15" t="s">
        <v>7465</v>
      </c>
      <c r="E1600" s="15" t="s">
        <v>7465</v>
      </c>
      <c r="F1600" s="58" t="s">
        <v>807</v>
      </c>
      <c r="G1600" s="66" t="s">
        <v>98</v>
      </c>
      <c r="H1600" s="18" t="s">
        <v>98</v>
      </c>
      <c r="I1600" s="18" t="s">
        <v>98</v>
      </c>
      <c r="J1600" s="18" t="s">
        <v>98</v>
      </c>
      <c r="K1600" s="18" t="s">
        <v>98</v>
      </c>
      <c r="L1600" s="18" t="s">
        <v>98</v>
      </c>
      <c r="M1600" s="18" t="s">
        <v>484</v>
      </c>
      <c r="N1600" s="18" t="s">
        <v>208</v>
      </c>
      <c r="O1600" s="18" t="s">
        <v>98</v>
      </c>
      <c r="P1600" s="15" t="str">
        <f t="shared" si="1"/>
        <v>VERIFY</v>
      </c>
      <c r="Q1600" s="15">
        <f t="shared" si="2"/>
        <v>5</v>
      </c>
      <c r="R1600" s="15">
        <f t="shared" si="3"/>
        <v>1</v>
      </c>
      <c r="S1600" s="15">
        <f t="shared" si="4"/>
        <v>2</v>
      </c>
      <c r="T1600" s="15" t="str">
        <f t="shared" si="5"/>
        <v>C-1</v>
      </c>
      <c r="U1600" s="15" t="str">
        <f t="shared" si="6"/>
        <v>T5-M1-H2-FC-1-VERIFY</v>
      </c>
      <c r="V1600" s="15">
        <f t="shared" si="7"/>
        <v>0</v>
      </c>
      <c r="W1600" s="31"/>
      <c r="X1600" s="15" t="str">
        <f t="shared" si="8"/>
        <v>shaqra-saudi-arabia</v>
      </c>
      <c r="Y1600" s="32" t="str">
        <f t="shared" si="9"/>
        <v>https://steelmanufacturer.in/market-area/electropolished-pipes-manufacturer-in-shaqra-saudi-arabia/</v>
      </c>
      <c r="Z1600" s="15" t="str">
        <f t="shared" si="10"/>
        <v>Electropolished Pipes Manufacturer in Shaqra</v>
      </c>
      <c r="AA1600" s="15" t="str">
        <f t="shared" si="11"/>
        <v>OK (44)</v>
      </c>
      <c r="AB1600" s="15" t="str">
        <f t="shared" si="12"/>
        <v>EP-finished SS 304/316L pipes &amp; tubes for VERIFY plants in Shaqra. ASTM A270, ASME BPE SF1-SF4, EN 10204 3.1 MTC. PMI tested.</v>
      </c>
      <c r="AC1600" s="15" t="str">
        <f t="shared" si="13"/>
        <v>PENDING RESEARCH</v>
      </c>
      <c r="AD1600" s="15" t="str">
        <f t="shared" si="14"/>
        <v>Electropolished Pipes Manufacturer in Shaqra</v>
      </c>
      <c r="AE1600" s="15" t="str">
        <f t="shared" si="15"/>
        <v>How We Manufacture Electropolished Tube for Shaqra Plants</v>
      </c>
      <c r="AF1600" s="15" t="str">
        <f t="shared" si="16"/>
        <v>Supplying Electropolished Pipes in Shaqra: Availability, Sizes &amp; Dispatch</v>
      </c>
      <c r="AG1600" s="15" t="str">
        <f t="shared" si="17"/>
        <v>Wholesale Electropolished Pipe Supply for Shaqra Projects</v>
      </c>
      <c r="AH1600" s="15" t="str">
        <f t="shared" si="18"/>
        <v>electropolished pipes manufacturer in Shaqra, electropolished pipes supplier in Shaqra, electropolished pipes wholesaler in Shaqra, electropolished tube manufacturer Shaqra, EP pipe supplier Shaqra, sanitary tube supplier Shaqra, ASME BPE tubing Shaqra, ASTM A270 tube Shaqra, SS 316L electropolished pipe Shaqra</v>
      </c>
      <c r="AI1600" s="15" t="str">
        <f t="shared" si="19"/>
        <v>Electropolished Pipes Manufacturer &amp; Supplier in Shaqra</v>
      </c>
      <c r="AJ1600" s="15" t="str">
        <f t="shared" si="20"/>
        <v>EP-finished SS 304/316L pipes and tubes for VERIFY plants in Shaqra. ASME BPE SF1-SF4, Ra from 0.25 um, EN 10204 3.1 certificate with every lot.</v>
      </c>
      <c r="AK1600" s="15" t="str">
        <f t="shared" si="21"/>
        <v>Electropolished stainless steel pipes supplied by Sakshi Forge to VERIFY plants at VERIFY, Shaqra</v>
      </c>
      <c r="AL1600" s="15" t="str">
        <f t="shared" si="22"/>
        <v>Electropolished SS 316L tube stock for Shaqra - Sakshi Forge</v>
      </c>
      <c r="AM1600" s="15" t="str">
        <f t="shared" si="23"/>
        <v>Home &gt; Market Area &gt; Saudi Arabia &gt; VERIFY &gt; Shaqra</v>
      </c>
      <c r="AN1600" s="15">
        <f t="shared" si="24"/>
        <v>750</v>
      </c>
      <c r="AO1600" s="15">
        <f t="shared" si="25"/>
        <v>6</v>
      </c>
      <c r="AP1600" s="15">
        <f t="shared" si="26"/>
        <v>6</v>
      </c>
      <c r="AQ1600" s="15">
        <f t="shared" si="27"/>
        <v>27</v>
      </c>
      <c r="AR1600" s="31"/>
      <c r="AS1600" s="31"/>
      <c r="AT1600" s="35" t="s">
        <v>222</v>
      </c>
      <c r="AU1600" s="35"/>
    </row>
    <row r="1601" ht="15.75" customHeight="1">
      <c r="A1601" s="15" t="s">
        <v>7466</v>
      </c>
      <c r="B1601" s="15" t="s">
        <v>186</v>
      </c>
      <c r="C1601" s="15" t="s">
        <v>98</v>
      </c>
      <c r="D1601" s="15" t="s">
        <v>7467</v>
      </c>
      <c r="E1601" s="15" t="s">
        <v>7467</v>
      </c>
      <c r="F1601" s="58" t="s">
        <v>807</v>
      </c>
      <c r="G1601" s="66" t="s">
        <v>98</v>
      </c>
      <c r="H1601" s="18" t="s">
        <v>98</v>
      </c>
      <c r="I1601" s="18" t="s">
        <v>98</v>
      </c>
      <c r="J1601" s="18" t="s">
        <v>98</v>
      </c>
      <c r="K1601" s="18" t="s">
        <v>98</v>
      </c>
      <c r="L1601" s="18" t="s">
        <v>98</v>
      </c>
      <c r="M1601" s="18" t="s">
        <v>484</v>
      </c>
      <c r="N1601" s="18" t="s">
        <v>208</v>
      </c>
      <c r="O1601" s="18" t="s">
        <v>98</v>
      </c>
      <c r="P1601" s="15" t="str">
        <f t="shared" si="1"/>
        <v>VERIFY</v>
      </c>
      <c r="Q1601" s="15">
        <f t="shared" si="2"/>
        <v>6</v>
      </c>
      <c r="R1601" s="15">
        <f t="shared" si="3"/>
        <v>2</v>
      </c>
      <c r="S1601" s="15">
        <f t="shared" si="4"/>
        <v>3</v>
      </c>
      <c r="T1601" s="15" t="str">
        <f t="shared" si="5"/>
        <v>C-2</v>
      </c>
      <c r="U1601" s="15" t="str">
        <f t="shared" si="6"/>
        <v>T6-M2-H3-FC-2-VERIFY</v>
      </c>
      <c r="V1601" s="15">
        <f t="shared" si="7"/>
        <v>0</v>
      </c>
      <c r="W1601" s="31"/>
      <c r="X1601" s="15" t="str">
        <f t="shared" si="8"/>
        <v>taif-saudi-arabia</v>
      </c>
      <c r="Y1601" s="32" t="str">
        <f t="shared" si="9"/>
        <v>https://steelmanufacturer.in/market-area/electropolished-pipes-manufacturer-in-taif-saudi-arabia/</v>
      </c>
      <c r="Z1601" s="15" t="str">
        <f t="shared" si="10"/>
        <v>Electropolished Pipes Manufacturer in Taif</v>
      </c>
      <c r="AA1601" s="15" t="str">
        <f t="shared" si="11"/>
        <v>OK (42)</v>
      </c>
      <c r="AB1601" s="15" t="str">
        <f t="shared" si="12"/>
        <v>Electropolished tube supply to VERIFY, Taif. Ra from 0.25 um, SF4 finish, mill test certificate with every lot.</v>
      </c>
      <c r="AC1601" s="15" t="str">
        <f t="shared" si="13"/>
        <v>PENDING RESEARCH</v>
      </c>
      <c r="AD1601" s="15" t="str">
        <f t="shared" si="14"/>
        <v>Electropolished Pipes Manufacturer in Taif</v>
      </c>
      <c r="AE1601" s="15" t="str">
        <f t="shared" si="15"/>
        <v>Electropolished Pipes Manufacturer in Taif - Our Process &amp; Capability</v>
      </c>
      <c r="AF1601" s="15" t="str">
        <f t="shared" si="16"/>
        <v>Electropolished Pipes Supplier in Taif - What We Hold in Stock</v>
      </c>
      <c r="AG1601" s="15" t="str">
        <f t="shared" si="17"/>
        <v>Bulk &amp; Wholesale Electropolished Pipe Rates for Taif Buyers</v>
      </c>
      <c r="AH1601" s="15" t="str">
        <f t="shared" si="18"/>
        <v>electropolished pipes manufacturer in Taif, electropolished pipes supplier in Taif, electropolished pipes wholesaler in Taif, electropolished tube manufacturer Taif, EP pipe supplier Taif, sanitary tube supplier Taif, ASME BPE tubing Taif, ASTM A270 tube Taif, SS 316L electropolished pipe Taif</v>
      </c>
      <c r="AI1601" s="15" t="str">
        <f t="shared" si="19"/>
        <v>Electropolished Pipes Manufacturer &amp; Supplier in Taif</v>
      </c>
      <c r="AJ1601" s="15" t="str">
        <f t="shared" si="20"/>
        <v>EP-finished SS 304/316L pipes and tubes for VERIFY plants in Taif. ASME BPE SF1-SF4, Ra from 0.25 um, EN 10204 3.1 certificate with every lot.</v>
      </c>
      <c r="AK1601" s="15" t="str">
        <f t="shared" si="21"/>
        <v>Electropolished stainless steel pipes supplied by Sakshi Forge to VERIFY plants at VERIFY, Taif</v>
      </c>
      <c r="AL1601" s="15" t="str">
        <f t="shared" si="22"/>
        <v>Electropolished SS 316L tube stock for Taif - Sakshi Forge</v>
      </c>
      <c r="AM1601" s="15" t="str">
        <f t="shared" si="23"/>
        <v>Home &gt; Market Area &gt; Saudi Arabia &gt; VERIFY &gt; Taif</v>
      </c>
      <c r="AN1601" s="15">
        <f t="shared" si="24"/>
        <v>750</v>
      </c>
      <c r="AO1601" s="15">
        <f t="shared" si="25"/>
        <v>6</v>
      </c>
      <c r="AP1601" s="15">
        <f t="shared" si="26"/>
        <v>6</v>
      </c>
      <c r="AQ1601" s="15">
        <f t="shared" si="27"/>
        <v>27</v>
      </c>
      <c r="AR1601" s="31"/>
      <c r="AS1601" s="31"/>
      <c r="AT1601" s="35" t="s">
        <v>222</v>
      </c>
      <c r="AU1601" s="35"/>
    </row>
    <row r="1602" ht="15.75" customHeight="1">
      <c r="A1602" s="15" t="s">
        <v>7468</v>
      </c>
      <c r="B1602" s="15" t="s">
        <v>186</v>
      </c>
      <c r="C1602" s="15" t="s">
        <v>98</v>
      </c>
      <c r="D1602" s="15" t="s">
        <v>7469</v>
      </c>
      <c r="E1602" s="15" t="s">
        <v>7469</v>
      </c>
      <c r="F1602" s="58" t="s">
        <v>807</v>
      </c>
      <c r="G1602" s="66" t="s">
        <v>98</v>
      </c>
      <c r="H1602" s="18" t="s">
        <v>98</v>
      </c>
      <c r="I1602" s="18" t="s">
        <v>98</v>
      </c>
      <c r="J1602" s="18" t="s">
        <v>98</v>
      </c>
      <c r="K1602" s="18" t="s">
        <v>98</v>
      </c>
      <c r="L1602" s="18" t="s">
        <v>98</v>
      </c>
      <c r="M1602" s="18" t="s">
        <v>484</v>
      </c>
      <c r="N1602" s="18" t="s">
        <v>208</v>
      </c>
      <c r="O1602" s="18" t="s">
        <v>98</v>
      </c>
      <c r="P1602" s="15" t="str">
        <f t="shared" si="1"/>
        <v>VERIFY</v>
      </c>
      <c r="Q1602" s="15">
        <f t="shared" si="2"/>
        <v>7</v>
      </c>
      <c r="R1602" s="15">
        <f t="shared" si="3"/>
        <v>3</v>
      </c>
      <c r="S1602" s="15">
        <f t="shared" si="4"/>
        <v>4</v>
      </c>
      <c r="T1602" s="15" t="str">
        <f t="shared" si="5"/>
        <v>C-3</v>
      </c>
      <c r="U1602" s="15" t="str">
        <f t="shared" si="6"/>
        <v>T7-M3-H4-FC-3-VERIFY</v>
      </c>
      <c r="V1602" s="15">
        <f t="shared" si="7"/>
        <v>0</v>
      </c>
      <c r="W1602" s="31"/>
      <c r="X1602" s="15" t="str">
        <f t="shared" si="8"/>
        <v>turaif-saudi-arabia</v>
      </c>
      <c r="Y1602" s="32" t="str">
        <f t="shared" si="9"/>
        <v>https://steelmanufacturer.in/market-area/electropolished-pipes-manufacturer-in-turaif-saudi-arabia/</v>
      </c>
      <c r="Z1602" s="15" t="str">
        <f t="shared" si="10"/>
        <v>Electropolished Pipes Manufacturer in Turaif | ASME BPE SF1-SF4</v>
      </c>
      <c r="AA1602" s="15" t="str">
        <f t="shared" si="11"/>
        <v>OK (63)</v>
      </c>
      <c r="AB1602" s="15" t="str">
        <f t="shared" si="12"/>
        <v>EP stainless tube for VERIFY lines in Turaif. 12-16 days sea from Nhava Sheva to Dammam. ASTM A270 S2, PMI tested, EN 10204 3.1.</v>
      </c>
      <c r="AC1602" s="15" t="str">
        <f t="shared" si="13"/>
        <v>PENDING RESEARCH</v>
      </c>
      <c r="AD1602" s="15" t="str">
        <f t="shared" si="14"/>
        <v>Electropolished Pipes Manufacturer in Turaif</v>
      </c>
      <c r="AE1602" s="15" t="str">
        <f t="shared" si="15"/>
        <v>Manufacturing Electropolished SS Tube for Turaif: The Standards We Build To</v>
      </c>
      <c r="AF1602" s="15" t="str">
        <f t="shared" si="16"/>
        <v>Electropolished Pipe Supply Into Turaif - Certification &amp; Transit</v>
      </c>
      <c r="AG1602" s="15" t="str">
        <f t="shared" si="17"/>
        <v>Electropolished Pipes Wholesaler in Turaif - Project Quantities &amp; Terms</v>
      </c>
      <c r="AH1602" s="15" t="str">
        <f t="shared" si="18"/>
        <v>electropolished pipes manufacturer in Turaif, electropolished pipes supplier in Turaif, electropolished pipes wholesaler in Turaif, electropolished tube manufacturer Turaif, EP pipe supplier Turaif, sanitary tube supplier Turaif, ASME BPE tubing Turaif, ASTM A270 tube Turaif, SS 316L electropolished pipe Turaif</v>
      </c>
      <c r="AI1602" s="15" t="str">
        <f t="shared" si="19"/>
        <v>Electropolished Pipes Manufacturer &amp; Supplier in Turaif</v>
      </c>
      <c r="AJ1602" s="15" t="str">
        <f t="shared" si="20"/>
        <v>EP-finished SS 304/316L pipes and tubes for VERIFY plants in Turaif. ASME BPE SF1-SF4, Ra from 0.25 um, EN 10204 3.1 certificate with every lot.</v>
      </c>
      <c r="AK1602" s="15" t="str">
        <f t="shared" si="21"/>
        <v>Electropolished stainless steel pipes supplied by Sakshi Forge to VERIFY plants at VERIFY, Turaif</v>
      </c>
      <c r="AL1602" s="15" t="str">
        <f t="shared" si="22"/>
        <v>Electropolished SS 316L tube stock for Turaif - Sakshi Forge</v>
      </c>
      <c r="AM1602" s="15" t="str">
        <f t="shared" si="23"/>
        <v>Home &gt; Market Area &gt; Saudi Arabia &gt; VERIFY &gt; Turaif</v>
      </c>
      <c r="AN1602" s="15">
        <f t="shared" si="24"/>
        <v>750</v>
      </c>
      <c r="AO1602" s="15">
        <f t="shared" si="25"/>
        <v>6</v>
      </c>
      <c r="AP1602" s="15">
        <f t="shared" si="26"/>
        <v>6</v>
      </c>
      <c r="AQ1602" s="15">
        <f t="shared" si="27"/>
        <v>27</v>
      </c>
      <c r="AR1602" s="31"/>
      <c r="AS1602" s="31"/>
      <c r="AT1602" s="35" t="s">
        <v>222</v>
      </c>
      <c r="AU1602" s="35"/>
    </row>
    <row r="1603" ht="15.75" customHeight="1">
      <c r="A1603" s="15" t="s">
        <v>7470</v>
      </c>
      <c r="B1603" s="15" t="s">
        <v>186</v>
      </c>
      <c r="C1603" s="15" t="s">
        <v>98</v>
      </c>
      <c r="D1603" s="15" t="s">
        <v>7471</v>
      </c>
      <c r="E1603" s="15" t="s">
        <v>7471</v>
      </c>
      <c r="F1603" s="58" t="s">
        <v>807</v>
      </c>
      <c r="G1603" s="66" t="s">
        <v>98</v>
      </c>
      <c r="H1603" s="18" t="s">
        <v>98</v>
      </c>
      <c r="I1603" s="18" t="s">
        <v>98</v>
      </c>
      <c r="J1603" s="18" t="s">
        <v>98</v>
      </c>
      <c r="K1603" s="18" t="s">
        <v>98</v>
      </c>
      <c r="L1603" s="18" t="s">
        <v>98</v>
      </c>
      <c r="M1603" s="18" t="s">
        <v>484</v>
      </c>
      <c r="N1603" s="18" t="s">
        <v>208</v>
      </c>
      <c r="O1603" s="18" t="s">
        <v>98</v>
      </c>
      <c r="P1603" s="15" t="str">
        <f t="shared" si="1"/>
        <v>VERIFY</v>
      </c>
      <c r="Q1603" s="15">
        <f t="shared" si="2"/>
        <v>8</v>
      </c>
      <c r="R1603" s="15">
        <f t="shared" si="3"/>
        <v>4</v>
      </c>
      <c r="S1603" s="15">
        <f t="shared" si="4"/>
        <v>5</v>
      </c>
      <c r="T1603" s="15" t="str">
        <f t="shared" si="5"/>
        <v>C-4</v>
      </c>
      <c r="U1603" s="15" t="str">
        <f t="shared" si="6"/>
        <v>T8-M4-H5-FC-4-VERIFY</v>
      </c>
      <c r="V1603" s="15">
        <f t="shared" si="7"/>
        <v>0</v>
      </c>
      <c r="W1603" s="31"/>
      <c r="X1603" s="15" t="str">
        <f t="shared" si="8"/>
        <v>unaizah-saudi-arabia</v>
      </c>
      <c r="Y1603" s="32" t="str">
        <f t="shared" si="9"/>
        <v>https://steelmanufacturer.in/market-area/electropolished-pipes-manufacturer-in-unaizah-saudi-arabia/</v>
      </c>
      <c r="Z1603" s="15" t="str">
        <f t="shared" si="10"/>
        <v>Electropolished Pipes Manufacturer in Unaizah - EP Tube Stockist</v>
      </c>
      <c r="AA1603" s="15" t="str">
        <f t="shared" si="11"/>
        <v>OK (64)</v>
      </c>
      <c r="AB1603" s="15" t="str">
        <f t="shared" si="12"/>
        <v>Sanitary electropolished pipes in Unaizah for VERIFY plants. ASME BPE SF1-SF4, orbital-weld ready, 3.1 MTC. Mumbai-made.</v>
      </c>
      <c r="AC1603" s="15" t="str">
        <f t="shared" si="13"/>
        <v>PENDING RESEARCH</v>
      </c>
      <c r="AD1603" s="15" t="str">
        <f t="shared" si="14"/>
        <v>Electropolished Pipes Manufacturer in Unaizah</v>
      </c>
      <c r="AE1603" s="15" t="str">
        <f t="shared" si="15"/>
        <v>Electropolished Tube Manufacturing Capability Serving Unaizah</v>
      </c>
      <c r="AF1603" s="15" t="str">
        <f t="shared" si="16"/>
        <v>Electropolished Pipes Supplier in Unaizah - From Order to Delivery</v>
      </c>
      <c r="AG1603" s="15" t="str">
        <f t="shared" si="17"/>
        <v>Stockist &amp; Wholesale Supply of Electropolished Pipes in Unaizah</v>
      </c>
      <c r="AH1603" s="15" t="str">
        <f t="shared" si="18"/>
        <v>electropolished pipes manufacturer in Unaizah, electropolished pipes supplier in Unaizah, electropolished pipes wholesaler in Unaizah, electropolished tube manufacturer Unaizah, EP pipe supplier Unaizah, sanitary tube supplier Unaizah, ASME BPE tubing Unaizah, ASTM A270 tube Unaizah, SS 316L electropolished pipe Unaizah</v>
      </c>
      <c r="AI1603" s="15" t="str">
        <f t="shared" si="19"/>
        <v>Electropolished Pipes Manufacturer &amp; Supplier in Unaizah</v>
      </c>
      <c r="AJ1603" s="15" t="str">
        <f t="shared" si="20"/>
        <v>EP-finished SS 304/316L pipes and tubes for VERIFY plants in Unaizah. ASME BPE SF1-SF4, Ra from 0.25 um, EN 10204 3.1 certificate with every lot.</v>
      </c>
      <c r="AK1603" s="15" t="str">
        <f t="shared" si="21"/>
        <v>Electropolished stainless steel pipes supplied by Sakshi Forge to VERIFY plants at VERIFY, Unaizah</v>
      </c>
      <c r="AL1603" s="15" t="str">
        <f t="shared" si="22"/>
        <v>Electropolished SS 316L tube stock for Unaizah - Sakshi Forge</v>
      </c>
      <c r="AM1603" s="15" t="str">
        <f t="shared" si="23"/>
        <v>Home &gt; Market Area &gt; Saudi Arabia &gt; VERIFY &gt; Unaizah</v>
      </c>
      <c r="AN1603" s="15">
        <f t="shared" si="24"/>
        <v>750</v>
      </c>
      <c r="AO1603" s="15">
        <f t="shared" si="25"/>
        <v>6</v>
      </c>
      <c r="AP1603" s="15">
        <f t="shared" si="26"/>
        <v>6</v>
      </c>
      <c r="AQ1603" s="15">
        <f t="shared" si="27"/>
        <v>27</v>
      </c>
      <c r="AR1603" s="31"/>
      <c r="AS1603" s="31"/>
      <c r="AT1603" s="35" t="s">
        <v>222</v>
      </c>
      <c r="AU1603" s="35"/>
    </row>
    <row r="1604" ht="15.75" customHeight="1">
      <c r="A1604" s="15" t="s">
        <v>7472</v>
      </c>
      <c r="B1604" s="15" t="s">
        <v>186</v>
      </c>
      <c r="C1604" s="15" t="s">
        <v>98</v>
      </c>
      <c r="D1604" s="15" t="s">
        <v>7473</v>
      </c>
      <c r="E1604" s="15" t="s">
        <v>7473</v>
      </c>
      <c r="F1604" s="58" t="s">
        <v>807</v>
      </c>
      <c r="G1604" s="66" t="s">
        <v>98</v>
      </c>
      <c r="H1604" s="18" t="s">
        <v>98</v>
      </c>
      <c r="I1604" s="18" t="s">
        <v>98</v>
      </c>
      <c r="J1604" s="18" t="s">
        <v>98</v>
      </c>
      <c r="K1604" s="18" t="s">
        <v>98</v>
      </c>
      <c r="L1604" s="18" t="s">
        <v>98</v>
      </c>
      <c r="M1604" s="18" t="s">
        <v>484</v>
      </c>
      <c r="N1604" s="18" t="s">
        <v>208</v>
      </c>
      <c r="O1604" s="18" t="s">
        <v>98</v>
      </c>
      <c r="P1604" s="15" t="str">
        <f t="shared" si="1"/>
        <v>VERIFY</v>
      </c>
      <c r="Q1604" s="15">
        <f t="shared" si="2"/>
        <v>1</v>
      </c>
      <c r="R1604" s="15">
        <f t="shared" si="3"/>
        <v>5</v>
      </c>
      <c r="S1604" s="15">
        <f t="shared" si="4"/>
        <v>1</v>
      </c>
      <c r="T1604" s="15" t="str">
        <f t="shared" si="5"/>
        <v>C-5</v>
      </c>
      <c r="U1604" s="15" t="str">
        <f t="shared" si="6"/>
        <v>T1-M5-H1-FC-5-VERIFY</v>
      </c>
      <c r="V1604" s="15">
        <f t="shared" si="7"/>
        <v>0</v>
      </c>
      <c r="W1604" s="31"/>
      <c r="X1604" s="15" t="str">
        <f t="shared" si="8"/>
        <v>wadi-ad-dawasir-saudi-arabia</v>
      </c>
      <c r="Y1604" s="32" t="str">
        <f t="shared" si="9"/>
        <v>https://steelmanufacturer.in/market-area/electropolished-pipes-manufacturer-in-wadi-ad-dawasir-saudi-arabia/</v>
      </c>
      <c r="Z1604" s="15" t="str">
        <f t="shared" si="10"/>
        <v>Electropolished Pipes Manufacturer in Wadi ad-Dawasir</v>
      </c>
      <c r="AA1604" s="15" t="str">
        <f t="shared" si="11"/>
        <v>OK (53)</v>
      </c>
      <c r="AB1604" s="15" t="str">
        <f t="shared" si="12"/>
        <v>Manufacturer of electropolished SS 316L tube serving Wadi ad-Dawasir. 12-16 days sea from Nhava Sheva to Dammam. Ra 0.25-0.5 um, EN 10204 3.1 MTC.</v>
      </c>
      <c r="AC1604" s="15" t="str">
        <f t="shared" si="13"/>
        <v>PENDING RESEARCH</v>
      </c>
      <c r="AD1604" s="15" t="str">
        <f t="shared" si="14"/>
        <v>Electropolished Pipes Manufacturer in Wadi ad-Dawasir</v>
      </c>
      <c r="AE1604" s="15" t="str">
        <f t="shared" si="15"/>
        <v>Electropolished Pipe &amp; Tube Manufacturing for Wadi ad-Dawasir - Grades, Finishes &amp; Certification</v>
      </c>
      <c r="AF1604" s="15" t="str">
        <f t="shared" si="16"/>
        <v>Electropolished Pipes Supplier in Wadi ad-Dawasir - Stock Sizes, Lead Time &amp; Delivery</v>
      </c>
      <c r="AG1604" s="15" t="str">
        <f t="shared" si="17"/>
        <v>Electropolished Pipes Wholesaler &amp; Stockist in Wadi ad-Dawasir - Bulk &amp; Project Pricing</v>
      </c>
      <c r="AH1604" s="15" t="str">
        <f t="shared" si="18"/>
        <v>electropolished pipes manufacturer in Wadi ad-Dawasir, electropolished pipes supplier in Wadi ad-Dawasir, electropolished pipes wholesaler in Wadi ad-Dawasir, electropolished tube manufacturer Wadi ad-Dawasir, EP pipe supplier Wadi ad-Dawasir, sanitary tube supplier Wadi ad-Dawasir, ASME BPE tubing Wadi ad-Dawasir, ASTM A270 tube Wadi ad-Dawasir, SS 316L electropolished pipe Wadi ad-Dawasir</v>
      </c>
      <c r="AI1604" s="15" t="str">
        <f t="shared" si="19"/>
        <v>Electropolished Pipes Manufacturer &amp; Supplier in Wadi ad-Dawasir</v>
      </c>
      <c r="AJ1604" s="15" t="str">
        <f t="shared" si="20"/>
        <v>EP-finished SS 304/316L pipes and tubes for VERIFY plants in Wadi ad-Dawasir. ASME BPE SF1-SF4, Ra from 0.25 um, EN 10204 3.1 certificate with every lot.</v>
      </c>
      <c r="AK1604" s="15" t="str">
        <f t="shared" si="21"/>
        <v>Electropolished stainless steel pipes supplied by Sakshi Forge to VERIFY plants at VERIFY, Wadi ad-Dawasir</v>
      </c>
      <c r="AL1604" s="15" t="str">
        <f t="shared" si="22"/>
        <v>Electropolished SS 316L tube stock for Wadi ad-Dawasir - Sakshi Forge</v>
      </c>
      <c r="AM1604" s="15" t="str">
        <f t="shared" si="23"/>
        <v>Home &gt; Market Area &gt; Saudi Arabia &gt; VERIFY &gt; Wadi ad-Dawasir</v>
      </c>
      <c r="AN1604" s="15">
        <f t="shared" si="24"/>
        <v>750</v>
      </c>
      <c r="AO1604" s="15">
        <f t="shared" si="25"/>
        <v>6</v>
      </c>
      <c r="AP1604" s="15">
        <f t="shared" si="26"/>
        <v>6</v>
      </c>
      <c r="AQ1604" s="15">
        <f t="shared" si="27"/>
        <v>27</v>
      </c>
      <c r="AR1604" s="31"/>
      <c r="AS1604" s="31"/>
      <c r="AT1604" s="35" t="s">
        <v>222</v>
      </c>
      <c r="AU1604" s="35"/>
    </row>
    <row r="1605" ht="15.75" customHeight="1">
      <c r="A1605" s="15" t="s">
        <v>7477</v>
      </c>
      <c r="B1605" s="15" t="s">
        <v>186</v>
      </c>
      <c r="C1605" s="15" t="s">
        <v>98</v>
      </c>
      <c r="D1605" s="15" t="s">
        <v>7480</v>
      </c>
      <c r="E1605" s="15" t="s">
        <v>7480</v>
      </c>
      <c r="F1605" s="58" t="s">
        <v>807</v>
      </c>
      <c r="G1605" s="66" t="s">
        <v>98</v>
      </c>
      <c r="H1605" s="18" t="s">
        <v>98</v>
      </c>
      <c r="I1605" s="18" t="s">
        <v>98</v>
      </c>
      <c r="J1605" s="18" t="s">
        <v>98</v>
      </c>
      <c r="K1605" s="18" t="s">
        <v>98</v>
      </c>
      <c r="L1605" s="18" t="s">
        <v>98</v>
      </c>
      <c r="M1605" s="18" t="s">
        <v>484</v>
      </c>
      <c r="N1605" s="18" t="s">
        <v>208</v>
      </c>
      <c r="O1605" s="18" t="s">
        <v>98</v>
      </c>
      <c r="P1605" s="15" t="str">
        <f t="shared" si="1"/>
        <v>VERIFY</v>
      </c>
      <c r="Q1605" s="15">
        <f t="shared" si="2"/>
        <v>2</v>
      </c>
      <c r="R1605" s="15">
        <f t="shared" si="3"/>
        <v>6</v>
      </c>
      <c r="S1605" s="15">
        <f t="shared" si="4"/>
        <v>2</v>
      </c>
      <c r="T1605" s="15" t="str">
        <f t="shared" si="5"/>
        <v>C-6</v>
      </c>
      <c r="U1605" s="15" t="str">
        <f t="shared" si="6"/>
        <v>T2-M6-H2-FC-6-VERIFY</v>
      </c>
      <c r="V1605" s="15">
        <f t="shared" si="7"/>
        <v>0</v>
      </c>
      <c r="W1605" s="31"/>
      <c r="X1605" s="15" t="str">
        <f t="shared" si="8"/>
        <v>zulfi-saudi-arabia</v>
      </c>
      <c r="Y1605" s="32" t="str">
        <f t="shared" si="9"/>
        <v>https://steelmanufacturer.in/market-area/electropolished-pipes-manufacturer-in-zulfi-saudi-arabia/</v>
      </c>
      <c r="Z1605" s="15" t="str">
        <f t="shared" si="10"/>
        <v>Electropolished Pipes Manufacturer in Zulfi</v>
      </c>
      <c r="AA1605" s="15" t="str">
        <f t="shared" si="11"/>
        <v>OK (43)</v>
      </c>
      <c r="AB1605" s="15" t="str">
        <f t="shared" si="12"/>
        <v>EP tube and pipe for VERIFY plants around VERIFY, Zulfi. Made at our Mumbai works to ASTM A270 and ASME BPE SF1-SF4, with 3.1 MTC.</v>
      </c>
      <c r="AC1605" s="15" t="str">
        <f t="shared" si="13"/>
        <v>PENDING RESEARCH</v>
      </c>
      <c r="AD1605" s="15" t="str">
        <f t="shared" si="14"/>
        <v>Electropolished Pipes Manufacturer in Zulfi</v>
      </c>
      <c r="AE1605" s="15" t="str">
        <f t="shared" si="15"/>
        <v>How We Manufacture Electropolished Tube for Zulfi Plants</v>
      </c>
      <c r="AF1605" s="15" t="str">
        <f t="shared" si="16"/>
        <v>Supplying Electropolished Pipes in Zulfi: Availability, Sizes &amp; Dispatch</v>
      </c>
      <c r="AG1605" s="15" t="str">
        <f t="shared" si="17"/>
        <v>Wholesale Electropolished Pipe Supply for Zulfi Projects</v>
      </c>
      <c r="AH1605" s="15" t="str">
        <f t="shared" si="18"/>
        <v>electropolished pipes manufacturer in Zulfi, electropolished pipes supplier in Zulfi, electropolished pipes wholesaler in Zulfi, electropolished tube manufacturer Zulfi, EP pipe supplier Zulfi, sanitary tube supplier Zulfi, ASME BPE tubing Zulfi, ASTM A270 tube Zulfi, SS 316L electropolished pipe Zulfi</v>
      </c>
      <c r="AI1605" s="15" t="str">
        <f t="shared" si="19"/>
        <v>Electropolished Pipes Manufacturer &amp; Supplier in Zulfi</v>
      </c>
      <c r="AJ1605" s="15" t="str">
        <f t="shared" si="20"/>
        <v>EP-finished SS 304/316L pipes and tubes for VERIFY plants in Zulfi. ASME BPE SF1-SF4, Ra from 0.25 um, EN 10204 3.1 certificate with every lot.</v>
      </c>
      <c r="AK1605" s="15" t="str">
        <f t="shared" si="21"/>
        <v>Electropolished stainless steel pipes supplied by Sakshi Forge to VERIFY plants at VERIFY, Zulfi</v>
      </c>
      <c r="AL1605" s="15" t="str">
        <f t="shared" si="22"/>
        <v>Electropolished SS 316L tube stock for Zulfi - Sakshi Forge</v>
      </c>
      <c r="AM1605" s="15" t="str">
        <f t="shared" si="23"/>
        <v>Home &gt; Market Area &gt; Saudi Arabia &gt; VERIFY &gt; Zulfi</v>
      </c>
      <c r="AN1605" s="15">
        <f t="shared" si="24"/>
        <v>750</v>
      </c>
      <c r="AO1605" s="15">
        <f t="shared" si="25"/>
        <v>6</v>
      </c>
      <c r="AP1605" s="15">
        <f t="shared" si="26"/>
        <v>6</v>
      </c>
      <c r="AQ1605" s="15">
        <f t="shared" si="27"/>
        <v>27</v>
      </c>
      <c r="AR1605" s="31"/>
      <c r="AS1605" s="31"/>
      <c r="AT1605" s="35" t="s">
        <v>222</v>
      </c>
      <c r="AU1605" s="35"/>
    </row>
    <row r="1606" ht="15.75" customHeight="1">
      <c r="A1606" s="15" t="s">
        <v>7481</v>
      </c>
      <c r="B1606" s="15" t="s">
        <v>422</v>
      </c>
      <c r="C1606" s="15" t="s">
        <v>98</v>
      </c>
      <c r="D1606" s="15" t="s">
        <v>7482</v>
      </c>
      <c r="E1606" s="15" t="s">
        <v>7482</v>
      </c>
      <c r="F1606" s="58" t="s">
        <v>807</v>
      </c>
      <c r="G1606" s="66" t="s">
        <v>98</v>
      </c>
      <c r="H1606" s="18" t="s">
        <v>98</v>
      </c>
      <c r="I1606" s="18" t="s">
        <v>98</v>
      </c>
      <c r="J1606" s="18" t="s">
        <v>98</v>
      </c>
      <c r="K1606" s="18" t="s">
        <v>98</v>
      </c>
      <c r="L1606" s="18" t="s">
        <v>98</v>
      </c>
      <c r="M1606" s="18" t="s">
        <v>614</v>
      </c>
      <c r="N1606" s="18" t="s">
        <v>429</v>
      </c>
      <c r="O1606" s="18" t="s">
        <v>98</v>
      </c>
      <c r="P1606" s="15" t="str">
        <f t="shared" si="1"/>
        <v>VERIFY</v>
      </c>
      <c r="Q1606" s="15">
        <f t="shared" si="2"/>
        <v>3</v>
      </c>
      <c r="R1606" s="15">
        <f t="shared" si="3"/>
        <v>7</v>
      </c>
      <c r="S1606" s="15">
        <f t="shared" si="4"/>
        <v>3</v>
      </c>
      <c r="T1606" s="15" t="str">
        <f t="shared" si="5"/>
        <v>C-1</v>
      </c>
      <c r="U1606" s="15" t="str">
        <f t="shared" si="6"/>
        <v>T3-M7-H3-FC-1-VERIFY</v>
      </c>
      <c r="V1606" s="15">
        <f t="shared" si="7"/>
        <v>0</v>
      </c>
      <c r="W1606" s="31"/>
      <c r="X1606" s="15" t="str">
        <f t="shared" si="8"/>
        <v>boon-lay-singapore</v>
      </c>
      <c r="Y1606" s="32" t="str">
        <f t="shared" si="9"/>
        <v>https://steelmanufacturer.in/market-area/electropolished-pipes-manufacturer-in-boon-lay-singapore/</v>
      </c>
      <c r="Z1606" s="15" t="str">
        <f t="shared" si="10"/>
        <v>Electropolished Pipes Manufacturer in Boon Lay | EP Tube Supplier</v>
      </c>
      <c r="AA1606" s="15" t="str">
        <f t="shared" si="11"/>
        <v>OK (65)</v>
      </c>
      <c r="AB1606" s="15" t="str">
        <f t="shared" si="12"/>
        <v>Electropolished pipes in Boon Lay: 304, 304L, 316 and 316L in SF1-SF4. 6-9 days sea from Nhava Sheva to Singapore. Mill certified.</v>
      </c>
      <c r="AC1606" s="15" t="str">
        <f t="shared" si="13"/>
        <v>PENDING RESEARCH</v>
      </c>
      <c r="AD1606" s="15" t="str">
        <f t="shared" si="14"/>
        <v>Electropolished Pipes Manufacturer in Boon Lay</v>
      </c>
      <c r="AE1606" s="15" t="str">
        <f t="shared" si="15"/>
        <v>Electropolished Pipes Manufacturer in Boon Lay - Our Process &amp; Capability</v>
      </c>
      <c r="AF1606" s="15" t="str">
        <f t="shared" si="16"/>
        <v>Electropolished Pipes Supplier in Boon Lay - What We Hold in Stock</v>
      </c>
      <c r="AG1606" s="15" t="str">
        <f t="shared" si="17"/>
        <v>Bulk &amp; Wholesale Electropolished Pipe Rates for Boon Lay Buyers</v>
      </c>
      <c r="AH1606" s="15" t="str">
        <f t="shared" si="18"/>
        <v>electropolished pipes manufacturer in Boon Lay, electropolished pipes supplier in Boon Lay, electropolished pipes wholesaler in Boon Lay, electropolished tube manufacturer Boon Lay, EP pipe supplier Boon Lay, sanitary tube supplier Boon Lay, ASME BPE tubing Boon Lay, ASTM A270 tube Boon Lay, SS 316L electropolished pipe Boon Lay</v>
      </c>
      <c r="AI1606" s="15" t="str">
        <f t="shared" si="19"/>
        <v>Electropolished Pipes Manufacturer &amp; Supplier in Boon Lay</v>
      </c>
      <c r="AJ1606" s="15" t="str">
        <f t="shared" si="20"/>
        <v>EP-finished SS 304/316L pipes and tubes for VERIFY plants in Boon Lay. ASME BPE SF1-SF4, Ra from 0.25 um, EN 10204 3.1 certificate with every lot.</v>
      </c>
      <c r="AK1606" s="15" t="str">
        <f t="shared" si="21"/>
        <v>Electropolished stainless steel pipes supplied by Sakshi Forge to VERIFY plants at VERIFY, Boon Lay</v>
      </c>
      <c r="AL1606" s="15" t="str">
        <f t="shared" si="22"/>
        <v>Electropolished SS 316L tube stock for Boon Lay - Sakshi Forge</v>
      </c>
      <c r="AM1606" s="15" t="str">
        <f t="shared" si="23"/>
        <v>Home &gt; Market Area &gt; Singapore &gt; VERIFY &gt; Boon Lay</v>
      </c>
      <c r="AN1606" s="15">
        <f t="shared" si="24"/>
        <v>750</v>
      </c>
      <c r="AO1606" s="15">
        <f t="shared" si="25"/>
        <v>6</v>
      </c>
      <c r="AP1606" s="15">
        <f t="shared" si="26"/>
        <v>6</v>
      </c>
      <c r="AQ1606" s="15">
        <f t="shared" si="27"/>
        <v>27</v>
      </c>
      <c r="AR1606" s="31"/>
      <c r="AS1606" s="31"/>
      <c r="AT1606" s="35" t="s">
        <v>222</v>
      </c>
      <c r="AU1606" s="35"/>
    </row>
    <row r="1607" ht="15.75" customHeight="1">
      <c r="A1607" s="15" t="s">
        <v>7484</v>
      </c>
      <c r="B1607" s="15" t="s">
        <v>422</v>
      </c>
      <c r="C1607" s="15" t="s">
        <v>98</v>
      </c>
      <c r="D1607" s="15" t="s">
        <v>7485</v>
      </c>
      <c r="E1607" s="15" t="s">
        <v>7485</v>
      </c>
      <c r="F1607" s="58" t="s">
        <v>807</v>
      </c>
      <c r="G1607" s="66" t="s">
        <v>98</v>
      </c>
      <c r="H1607" s="18" t="s">
        <v>98</v>
      </c>
      <c r="I1607" s="18" t="s">
        <v>98</v>
      </c>
      <c r="J1607" s="18" t="s">
        <v>98</v>
      </c>
      <c r="K1607" s="18" t="s">
        <v>98</v>
      </c>
      <c r="L1607" s="18" t="s">
        <v>98</v>
      </c>
      <c r="M1607" s="18" t="s">
        <v>614</v>
      </c>
      <c r="N1607" s="18" t="s">
        <v>429</v>
      </c>
      <c r="O1607" s="18" t="s">
        <v>98</v>
      </c>
      <c r="P1607" s="15" t="str">
        <f t="shared" si="1"/>
        <v>VERIFY</v>
      </c>
      <c r="Q1607" s="15">
        <f t="shared" si="2"/>
        <v>4</v>
      </c>
      <c r="R1607" s="15">
        <f t="shared" si="3"/>
        <v>1</v>
      </c>
      <c r="S1607" s="15">
        <f t="shared" si="4"/>
        <v>4</v>
      </c>
      <c r="T1607" s="15" t="str">
        <f t="shared" si="5"/>
        <v>C-2</v>
      </c>
      <c r="U1607" s="15" t="str">
        <f t="shared" si="6"/>
        <v>T4-M1-H4-FC-2-VERIFY</v>
      </c>
      <c r="V1607" s="15">
        <f t="shared" si="7"/>
        <v>0</v>
      </c>
      <c r="W1607" s="31"/>
      <c r="X1607" s="15" t="str">
        <f t="shared" si="8"/>
        <v>serangoon-singapore</v>
      </c>
      <c r="Y1607" s="32" t="str">
        <f t="shared" si="9"/>
        <v>https://steelmanufacturer.in/market-area/electropolished-pipes-manufacturer-in-serangoon-singapore/</v>
      </c>
      <c r="Z1607" s="15" t="str">
        <f t="shared" si="10"/>
        <v>Electropolished Pipes Manufacturer in Serangoon</v>
      </c>
      <c r="AA1607" s="15" t="str">
        <f t="shared" si="11"/>
        <v>OK (47)</v>
      </c>
      <c r="AB1607" s="15" t="str">
        <f t="shared" si="12"/>
        <v>EP-finished SS 304/316L pipes &amp; tubes for VERIFY plants in Serangoon. ASTM A270, ASME BPE SF1-SF4, EN 10204 3.1 MTC. PMI tested.</v>
      </c>
      <c r="AC1607" s="15" t="str">
        <f t="shared" si="13"/>
        <v>PENDING RESEARCH</v>
      </c>
      <c r="AD1607" s="15" t="str">
        <f t="shared" si="14"/>
        <v>Electropolished Pipes Manufacturer in Serangoon</v>
      </c>
      <c r="AE1607" s="15" t="str">
        <f t="shared" si="15"/>
        <v>Manufacturing Electropolished SS Tube for Serangoon: The Standards We Build To</v>
      </c>
      <c r="AF1607" s="15" t="str">
        <f t="shared" si="16"/>
        <v>Electropolished Pipe Supply Into Serangoon - Certification &amp; Transit</v>
      </c>
      <c r="AG1607" s="15" t="str">
        <f t="shared" si="17"/>
        <v>Electropolished Pipes Wholesaler in Serangoon - Project Quantities &amp; Terms</v>
      </c>
      <c r="AH1607" s="15" t="str">
        <f t="shared" si="18"/>
        <v>electropolished pipes manufacturer in Serangoon, electropolished pipes supplier in Serangoon, electropolished pipes wholesaler in Serangoon, electropolished tube manufacturer Serangoon, EP pipe supplier Serangoon, sanitary tube supplier Serangoon, ASME BPE tubing Serangoon, ASTM A270 tube Serangoon, SS 316L electropolished pipe Serangoon</v>
      </c>
      <c r="AI1607" s="15" t="str">
        <f t="shared" si="19"/>
        <v>Electropolished Pipes Manufacturer &amp; Supplier in Serangoon</v>
      </c>
      <c r="AJ1607" s="15" t="str">
        <f t="shared" si="20"/>
        <v>EP-finished SS 304/316L pipes and tubes for VERIFY plants in Serangoon. ASME BPE SF1-SF4, Ra from 0.25 um, EN 10204 3.1 certificate with every lot.</v>
      </c>
      <c r="AK1607" s="15" t="str">
        <f t="shared" si="21"/>
        <v>Electropolished stainless steel pipes supplied by Sakshi Forge to VERIFY plants at VERIFY, Serangoon</v>
      </c>
      <c r="AL1607" s="15" t="str">
        <f t="shared" si="22"/>
        <v>Electropolished SS 316L tube stock for Serangoon - Sakshi Forge</v>
      </c>
      <c r="AM1607" s="15" t="str">
        <f t="shared" si="23"/>
        <v>Home &gt; Market Area &gt; Singapore &gt; VERIFY &gt; Serangoon</v>
      </c>
      <c r="AN1607" s="15">
        <f t="shared" si="24"/>
        <v>750</v>
      </c>
      <c r="AO1607" s="15">
        <f t="shared" si="25"/>
        <v>6</v>
      </c>
      <c r="AP1607" s="15">
        <f t="shared" si="26"/>
        <v>6</v>
      </c>
      <c r="AQ1607" s="15">
        <f t="shared" si="27"/>
        <v>27</v>
      </c>
      <c r="AR1607" s="31"/>
      <c r="AS1607" s="31"/>
      <c r="AT1607" s="35" t="s">
        <v>222</v>
      </c>
      <c r="AU1607" s="35"/>
    </row>
    <row r="1608" ht="15.75" customHeight="1">
      <c r="A1608" s="15" t="s">
        <v>7486</v>
      </c>
      <c r="B1608" s="15" t="s">
        <v>422</v>
      </c>
      <c r="C1608" s="15" t="s">
        <v>98</v>
      </c>
      <c r="D1608" s="15" t="s">
        <v>7487</v>
      </c>
      <c r="E1608" s="15" t="s">
        <v>7487</v>
      </c>
      <c r="F1608" s="58" t="s">
        <v>807</v>
      </c>
      <c r="G1608" s="66" t="s">
        <v>98</v>
      </c>
      <c r="H1608" s="18" t="s">
        <v>98</v>
      </c>
      <c r="I1608" s="18" t="s">
        <v>98</v>
      </c>
      <c r="J1608" s="18" t="s">
        <v>98</v>
      </c>
      <c r="K1608" s="18" t="s">
        <v>98</v>
      </c>
      <c r="L1608" s="18" t="s">
        <v>98</v>
      </c>
      <c r="M1608" s="18" t="s">
        <v>614</v>
      </c>
      <c r="N1608" s="18" t="s">
        <v>429</v>
      </c>
      <c r="O1608" s="18" t="s">
        <v>98</v>
      </c>
      <c r="P1608" s="15" t="str">
        <f t="shared" si="1"/>
        <v>VERIFY</v>
      </c>
      <c r="Q1608" s="15">
        <f t="shared" si="2"/>
        <v>5</v>
      </c>
      <c r="R1608" s="15">
        <f t="shared" si="3"/>
        <v>2</v>
      </c>
      <c r="S1608" s="15">
        <f t="shared" si="4"/>
        <v>5</v>
      </c>
      <c r="T1608" s="15" t="str">
        <f t="shared" si="5"/>
        <v>C-3</v>
      </c>
      <c r="U1608" s="15" t="str">
        <f t="shared" si="6"/>
        <v>T5-M2-H5-FC-3-VERIFY</v>
      </c>
      <c r="V1608" s="15">
        <f t="shared" si="7"/>
        <v>0</v>
      </c>
      <c r="W1608" s="31"/>
      <c r="X1608" s="15" t="str">
        <f t="shared" si="8"/>
        <v>toa-payoh-singapore</v>
      </c>
      <c r="Y1608" s="32" t="str">
        <f t="shared" si="9"/>
        <v>https://steelmanufacturer.in/market-area/electropolished-pipes-manufacturer-in-toa-payoh-singapore/</v>
      </c>
      <c r="Z1608" s="15" t="str">
        <f t="shared" si="10"/>
        <v>Electropolished Pipes Manufacturer in Toa Payoh</v>
      </c>
      <c r="AA1608" s="15" t="str">
        <f t="shared" si="11"/>
        <v>OK (47)</v>
      </c>
      <c r="AB1608" s="15" t="str">
        <f t="shared" si="12"/>
        <v>Electropolished tube supply to VERIFY, Toa Payoh. Ra from 0.25 um, SF4 finish, mill test certificate with every lot.</v>
      </c>
      <c r="AC1608" s="15" t="str">
        <f t="shared" si="13"/>
        <v>PENDING RESEARCH</v>
      </c>
      <c r="AD1608" s="15" t="str">
        <f t="shared" si="14"/>
        <v>Electropolished Pipes Manufacturer in Toa Payoh</v>
      </c>
      <c r="AE1608" s="15" t="str">
        <f t="shared" si="15"/>
        <v>Electropolished Tube Manufacturing Capability Serving Toa Payoh</v>
      </c>
      <c r="AF1608" s="15" t="str">
        <f t="shared" si="16"/>
        <v>Electropolished Pipes Supplier in Toa Payoh - From Order to Delivery</v>
      </c>
      <c r="AG1608" s="15" t="str">
        <f t="shared" si="17"/>
        <v>Stockist &amp; Wholesale Supply of Electropolished Pipes in Toa Payoh</v>
      </c>
      <c r="AH1608" s="15" t="str">
        <f t="shared" si="18"/>
        <v>electropolished pipes manufacturer in Toa Payoh, electropolished pipes supplier in Toa Payoh, electropolished pipes wholesaler in Toa Payoh, electropolished tube manufacturer Toa Payoh, EP pipe supplier Toa Payoh, sanitary tube supplier Toa Payoh, ASME BPE tubing Toa Payoh, ASTM A270 tube Toa Payoh, SS 316L electropolished pipe Toa Payoh</v>
      </c>
      <c r="AI1608" s="15" t="str">
        <f t="shared" si="19"/>
        <v>Electropolished Pipes Manufacturer &amp; Supplier in Toa Payoh</v>
      </c>
      <c r="AJ1608" s="15" t="str">
        <f t="shared" si="20"/>
        <v>EP-finished SS 304/316L pipes and tubes for VERIFY plants in Toa Payoh. ASME BPE SF1-SF4, Ra from 0.25 um, EN 10204 3.1 certificate with every lot.</v>
      </c>
      <c r="AK1608" s="15" t="str">
        <f t="shared" si="21"/>
        <v>Electropolished stainless steel pipes supplied by Sakshi Forge to VERIFY plants at VERIFY, Toa Payoh</v>
      </c>
      <c r="AL1608" s="15" t="str">
        <f t="shared" si="22"/>
        <v>Electropolished SS 316L tube stock for Toa Payoh - Sakshi Forge</v>
      </c>
      <c r="AM1608" s="15" t="str">
        <f t="shared" si="23"/>
        <v>Home &gt; Market Area &gt; Singapore &gt; VERIFY &gt; Toa Payoh</v>
      </c>
      <c r="AN1608" s="15">
        <f t="shared" si="24"/>
        <v>750</v>
      </c>
      <c r="AO1608" s="15">
        <f t="shared" si="25"/>
        <v>6</v>
      </c>
      <c r="AP1608" s="15">
        <f t="shared" si="26"/>
        <v>6</v>
      </c>
      <c r="AQ1608" s="15">
        <f t="shared" si="27"/>
        <v>27</v>
      </c>
      <c r="AR1608" s="31"/>
      <c r="AS1608" s="31"/>
      <c r="AT1608" s="35" t="s">
        <v>222</v>
      </c>
      <c r="AU1608" s="35"/>
    </row>
    <row r="1609" ht="15.75" customHeight="1">
      <c r="A1609" s="15" t="s">
        <v>7488</v>
      </c>
      <c r="B1609" s="15" t="s">
        <v>422</v>
      </c>
      <c r="C1609" s="15" t="s">
        <v>98</v>
      </c>
      <c r="D1609" s="15" t="s">
        <v>7489</v>
      </c>
      <c r="E1609" s="15" t="s">
        <v>7489</v>
      </c>
      <c r="F1609" s="58" t="s">
        <v>807</v>
      </c>
      <c r="G1609" s="66" t="s">
        <v>98</v>
      </c>
      <c r="H1609" s="18" t="s">
        <v>98</v>
      </c>
      <c r="I1609" s="18" t="s">
        <v>98</v>
      </c>
      <c r="J1609" s="18" t="s">
        <v>98</v>
      </c>
      <c r="K1609" s="18" t="s">
        <v>98</v>
      </c>
      <c r="L1609" s="18" t="s">
        <v>98</v>
      </c>
      <c r="M1609" s="18" t="s">
        <v>614</v>
      </c>
      <c r="N1609" s="18" t="s">
        <v>429</v>
      </c>
      <c r="O1609" s="18" t="s">
        <v>98</v>
      </c>
      <c r="P1609" s="15" t="str">
        <f t="shared" si="1"/>
        <v>VERIFY</v>
      </c>
      <c r="Q1609" s="15">
        <f t="shared" si="2"/>
        <v>6</v>
      </c>
      <c r="R1609" s="15">
        <f t="shared" si="3"/>
        <v>3</v>
      </c>
      <c r="S1609" s="15">
        <f t="shared" si="4"/>
        <v>1</v>
      </c>
      <c r="T1609" s="15" t="str">
        <f t="shared" si="5"/>
        <v>C-4</v>
      </c>
      <c r="U1609" s="15" t="str">
        <f t="shared" si="6"/>
        <v>T6-M3-H1-FC-4-VERIFY</v>
      </c>
      <c r="V1609" s="15">
        <f t="shared" si="7"/>
        <v>0</v>
      </c>
      <c r="W1609" s="31"/>
      <c r="X1609" s="15" t="str">
        <f t="shared" si="8"/>
        <v>yishun-singapore</v>
      </c>
      <c r="Y1609" s="32" t="str">
        <f t="shared" si="9"/>
        <v>https://steelmanufacturer.in/market-area/electropolished-pipes-manufacturer-in-yishun-singapore/</v>
      </c>
      <c r="Z1609" s="15" t="str">
        <f t="shared" si="10"/>
        <v>Electropolished Pipes Manufacturer in Yishun</v>
      </c>
      <c r="AA1609" s="15" t="str">
        <f t="shared" si="11"/>
        <v>OK (44)</v>
      </c>
      <c r="AB1609" s="15" t="str">
        <f t="shared" si="12"/>
        <v>EP stainless tube for VERIFY lines in Yishun. 6-9 days sea from Nhava Sheva to Singapore. ASTM A270 S2, PMI tested, EN 10204 3.1.</v>
      </c>
      <c r="AC1609" s="15" t="str">
        <f t="shared" si="13"/>
        <v>PENDING RESEARCH</v>
      </c>
      <c r="AD1609" s="15" t="str">
        <f t="shared" si="14"/>
        <v>Electropolished Pipes Manufacturer in Yishun</v>
      </c>
      <c r="AE1609" s="15" t="str">
        <f t="shared" si="15"/>
        <v>Electropolished Pipe &amp; Tube Manufacturing for Yishun - Grades, Finishes &amp; Certification</v>
      </c>
      <c r="AF1609" s="15" t="str">
        <f t="shared" si="16"/>
        <v>Electropolished Pipes Supplier in Yishun - Stock Sizes, Lead Time &amp; Delivery</v>
      </c>
      <c r="AG1609" s="15" t="str">
        <f t="shared" si="17"/>
        <v>Electropolished Pipes Wholesaler &amp; Stockist in Yishun - Bulk &amp; Project Pricing</v>
      </c>
      <c r="AH1609" s="15" t="str">
        <f t="shared" si="18"/>
        <v>electropolished pipes manufacturer in Yishun, electropolished pipes supplier in Yishun, electropolished pipes wholesaler in Yishun, electropolished tube manufacturer Yishun, EP pipe supplier Yishun, sanitary tube supplier Yishun, ASME BPE tubing Yishun, ASTM A270 tube Yishun, SS 316L electropolished pipe Yishun</v>
      </c>
      <c r="AI1609" s="15" t="str">
        <f t="shared" si="19"/>
        <v>Electropolished Pipes Manufacturer &amp; Supplier in Yishun</v>
      </c>
      <c r="AJ1609" s="15" t="str">
        <f t="shared" si="20"/>
        <v>EP-finished SS 304/316L pipes and tubes for VERIFY plants in Yishun. ASME BPE SF1-SF4, Ra from 0.25 um, EN 10204 3.1 certificate with every lot.</v>
      </c>
      <c r="AK1609" s="15" t="str">
        <f t="shared" si="21"/>
        <v>Electropolished stainless steel pipes supplied by Sakshi Forge to VERIFY plants at VERIFY, Yishun</v>
      </c>
      <c r="AL1609" s="15" t="str">
        <f t="shared" si="22"/>
        <v>Electropolished SS 316L tube stock for Yishun - Sakshi Forge</v>
      </c>
      <c r="AM1609" s="15" t="str">
        <f t="shared" si="23"/>
        <v>Home &gt; Market Area &gt; Singapore &gt; VERIFY &gt; Yishun</v>
      </c>
      <c r="AN1609" s="15">
        <f t="shared" si="24"/>
        <v>750</v>
      </c>
      <c r="AO1609" s="15">
        <f t="shared" si="25"/>
        <v>6</v>
      </c>
      <c r="AP1609" s="15">
        <f t="shared" si="26"/>
        <v>6</v>
      </c>
      <c r="AQ1609" s="15">
        <f t="shared" si="27"/>
        <v>27</v>
      </c>
      <c r="AR1609" s="31"/>
      <c r="AS1609" s="31"/>
      <c r="AT1609" s="35" t="s">
        <v>222</v>
      </c>
      <c r="AU1609" s="35"/>
    </row>
    <row r="1610" ht="15.75" customHeight="1">
      <c r="A1610" s="15" t="s">
        <v>7490</v>
      </c>
      <c r="B1610" s="15" t="s">
        <v>380</v>
      </c>
      <c r="C1610" s="15" t="s">
        <v>98</v>
      </c>
      <c r="D1610" s="15" t="s">
        <v>7491</v>
      </c>
      <c r="E1610" s="15" t="s">
        <v>7491</v>
      </c>
      <c r="F1610" s="58" t="s">
        <v>807</v>
      </c>
      <c r="G1610" s="66" t="s">
        <v>98</v>
      </c>
      <c r="H1610" s="18" t="s">
        <v>98</v>
      </c>
      <c r="I1610" s="18" t="s">
        <v>98</v>
      </c>
      <c r="J1610" s="18" t="s">
        <v>98</v>
      </c>
      <c r="K1610" s="18" t="s">
        <v>98</v>
      </c>
      <c r="L1610" s="18" t="s">
        <v>98</v>
      </c>
      <c r="M1610" s="18" t="s">
        <v>596</v>
      </c>
      <c r="N1610" s="18" t="s">
        <v>402</v>
      </c>
      <c r="O1610" s="18" t="s">
        <v>98</v>
      </c>
      <c r="P1610" s="15" t="str">
        <f t="shared" si="1"/>
        <v>VERIFY</v>
      </c>
      <c r="Q1610" s="15">
        <f t="shared" si="2"/>
        <v>7</v>
      </c>
      <c r="R1610" s="15">
        <f t="shared" si="3"/>
        <v>4</v>
      </c>
      <c r="S1610" s="15">
        <f t="shared" si="4"/>
        <v>2</v>
      </c>
      <c r="T1610" s="15" t="str">
        <f t="shared" si="5"/>
        <v>C-5</v>
      </c>
      <c r="U1610" s="15" t="str">
        <f t="shared" si="6"/>
        <v>T7-M4-H2-FC-5-VERIFY</v>
      </c>
      <c r="V1610" s="15">
        <f t="shared" si="7"/>
        <v>0</v>
      </c>
      <c r="W1610" s="31"/>
      <c r="X1610" s="15" t="str">
        <f t="shared" si="8"/>
        <v>albacete-spain</v>
      </c>
      <c r="Y1610" s="32" t="str">
        <f t="shared" si="9"/>
        <v>https://steelmanufacturer.in/market-area/electropolished-pipes-manufacturer-in-albacete-spain/</v>
      </c>
      <c r="Z1610" s="15" t="str">
        <f t="shared" si="10"/>
        <v>Electropolished Pipes Manufacturer in Albacete | ASME BPE SF1-SF4</v>
      </c>
      <c r="AA1610" s="15" t="str">
        <f t="shared" si="11"/>
        <v>OK (65)</v>
      </c>
      <c r="AB1610" s="15" t="str">
        <f t="shared" si="12"/>
        <v>Sanitary electropolished pipes in Albacete for VERIFY plants. ASME BPE SF1-SF4, orbital-weld ready, 3.1 MTC. Mumbai-made.</v>
      </c>
      <c r="AC1610" s="15" t="str">
        <f t="shared" si="13"/>
        <v>PENDING RESEARCH</v>
      </c>
      <c r="AD1610" s="15" t="str">
        <f t="shared" si="14"/>
        <v>Electropolished Pipes Manufacturer in Albacete</v>
      </c>
      <c r="AE1610" s="15" t="str">
        <f t="shared" si="15"/>
        <v>How We Manufacture Electropolished Tube for Albacete Plants</v>
      </c>
      <c r="AF1610" s="15" t="str">
        <f t="shared" si="16"/>
        <v>Supplying Electropolished Pipes in Albacete: Availability, Sizes &amp; Dispatch</v>
      </c>
      <c r="AG1610" s="15" t="str">
        <f t="shared" si="17"/>
        <v>Wholesale Electropolished Pipe Supply for Albacete Projects</v>
      </c>
      <c r="AH1610" s="15" t="str">
        <f t="shared" si="18"/>
        <v>electropolished pipes manufacturer in Albacete, electropolished pipes supplier in Albacete, electropolished pipes wholesaler in Albacete, electropolished tube manufacturer Albacete, EP pipe supplier Albacete, sanitary tube supplier Albacete, ASME BPE tubing Albacete, ASTM A270 tube Albacete, SS 316L electropolished pipe Albacete</v>
      </c>
      <c r="AI1610" s="15" t="str">
        <f t="shared" si="19"/>
        <v>Electropolished Pipes Manufacturer &amp; Supplier in Albacete</v>
      </c>
      <c r="AJ1610" s="15" t="str">
        <f t="shared" si="20"/>
        <v>EP-finished SS 304/316L pipes and tubes for VERIFY plants in Albacete. ASME BPE SF1-SF4, Ra from 0.25 um, EN 10204 3.1 certificate with every lot.</v>
      </c>
      <c r="AK1610" s="15" t="str">
        <f t="shared" si="21"/>
        <v>Electropolished stainless steel pipes supplied by Sakshi Forge to VERIFY plants at VERIFY, Albacete</v>
      </c>
      <c r="AL1610" s="15" t="str">
        <f t="shared" si="22"/>
        <v>Electropolished SS 316L tube stock for Albacete - Sakshi Forge</v>
      </c>
      <c r="AM1610" s="15" t="str">
        <f t="shared" si="23"/>
        <v>Home &gt; Market Area &gt; Spain &gt; VERIFY &gt; Albacete</v>
      </c>
      <c r="AN1610" s="15">
        <f t="shared" si="24"/>
        <v>750</v>
      </c>
      <c r="AO1610" s="15">
        <f t="shared" si="25"/>
        <v>6</v>
      </c>
      <c r="AP1610" s="15">
        <f t="shared" si="26"/>
        <v>6</v>
      </c>
      <c r="AQ1610" s="15">
        <f t="shared" si="27"/>
        <v>27</v>
      </c>
      <c r="AR1610" s="31"/>
      <c r="AS1610" s="31"/>
      <c r="AT1610" s="35" t="s">
        <v>222</v>
      </c>
      <c r="AU1610" s="35"/>
    </row>
    <row r="1611" ht="15.75" customHeight="1">
      <c r="A1611" s="15" t="s">
        <v>7492</v>
      </c>
      <c r="B1611" s="15" t="s">
        <v>380</v>
      </c>
      <c r="C1611" s="15" t="s">
        <v>98</v>
      </c>
      <c r="D1611" s="15" t="s">
        <v>7493</v>
      </c>
      <c r="E1611" s="15" t="s">
        <v>7493</v>
      </c>
      <c r="F1611" s="58" t="s">
        <v>807</v>
      </c>
      <c r="G1611" s="66" t="s">
        <v>98</v>
      </c>
      <c r="H1611" s="18" t="s">
        <v>98</v>
      </c>
      <c r="I1611" s="18" t="s">
        <v>98</v>
      </c>
      <c r="J1611" s="18" t="s">
        <v>98</v>
      </c>
      <c r="K1611" s="18" t="s">
        <v>98</v>
      </c>
      <c r="L1611" s="18" t="s">
        <v>98</v>
      </c>
      <c r="M1611" s="18" t="s">
        <v>596</v>
      </c>
      <c r="N1611" s="18" t="s">
        <v>402</v>
      </c>
      <c r="O1611" s="18" t="s">
        <v>98</v>
      </c>
      <c r="P1611" s="15" t="str">
        <f t="shared" si="1"/>
        <v>VERIFY</v>
      </c>
      <c r="Q1611" s="15">
        <f t="shared" si="2"/>
        <v>8</v>
      </c>
      <c r="R1611" s="15">
        <f t="shared" si="3"/>
        <v>5</v>
      </c>
      <c r="S1611" s="15">
        <f t="shared" si="4"/>
        <v>3</v>
      </c>
      <c r="T1611" s="15" t="str">
        <f t="shared" si="5"/>
        <v>C-6</v>
      </c>
      <c r="U1611" s="15" t="str">
        <f t="shared" si="6"/>
        <v>T8-M5-H3-FC-6-VERIFY</v>
      </c>
      <c r="V1611" s="15">
        <f t="shared" si="7"/>
        <v>0</v>
      </c>
      <c r="W1611" s="31"/>
      <c r="X1611" s="15" t="str">
        <f t="shared" si="8"/>
        <v>alcorcon-spain</v>
      </c>
      <c r="Y1611" s="32" t="str">
        <f t="shared" si="9"/>
        <v>https://steelmanufacturer.in/market-area/electropolished-pipes-manufacturer-in-alcorcon-spain/</v>
      </c>
      <c r="Z1611" s="15" t="str">
        <f t="shared" si="10"/>
        <v>Electropolished Pipes Manufacturer in Alcorcon - EP Tube Stockist</v>
      </c>
      <c r="AA1611" s="15" t="str">
        <f t="shared" si="11"/>
        <v>OK (65)</v>
      </c>
      <c r="AB1611" s="15" t="str">
        <f t="shared" si="12"/>
        <v>Manufacturer of electropolished SS 316L tube serving Alcorcon. 19-25 days sea from Nhava Sheva to Valencia. Ra 0.25-0.5 um, EN 10204 3.1 MTC.</v>
      </c>
      <c r="AC1611" s="15" t="str">
        <f t="shared" si="13"/>
        <v>PENDING RESEARCH</v>
      </c>
      <c r="AD1611" s="15" t="str">
        <f t="shared" si="14"/>
        <v>Electropolished Pipes Manufacturer in Alcorcon</v>
      </c>
      <c r="AE1611" s="15" t="str">
        <f t="shared" si="15"/>
        <v>Electropolished Pipes Manufacturer in Alcorcon - Our Process &amp; Capability</v>
      </c>
      <c r="AF1611" s="15" t="str">
        <f t="shared" si="16"/>
        <v>Electropolished Pipes Supplier in Alcorcon - What We Hold in Stock</v>
      </c>
      <c r="AG1611" s="15" t="str">
        <f t="shared" si="17"/>
        <v>Bulk &amp; Wholesale Electropolished Pipe Rates for Alcorcon Buyers</v>
      </c>
      <c r="AH1611" s="15" t="str">
        <f t="shared" si="18"/>
        <v>electropolished pipes manufacturer in Alcorcon, electropolished pipes supplier in Alcorcon, electropolished pipes wholesaler in Alcorcon, electropolished tube manufacturer Alcorcon, EP pipe supplier Alcorcon, sanitary tube supplier Alcorcon, ASME BPE tubing Alcorcon, ASTM A270 tube Alcorcon, SS 316L electropolished pipe Alcorcon</v>
      </c>
      <c r="AI1611" s="15" t="str">
        <f t="shared" si="19"/>
        <v>Electropolished Pipes Manufacturer &amp; Supplier in Alcorcon</v>
      </c>
      <c r="AJ1611" s="15" t="str">
        <f t="shared" si="20"/>
        <v>EP-finished SS 304/316L pipes and tubes for VERIFY plants in Alcorcon. ASME BPE SF1-SF4, Ra from 0.25 um, EN 10204 3.1 certificate with every lot.</v>
      </c>
      <c r="AK1611" s="15" t="str">
        <f t="shared" si="21"/>
        <v>Electropolished stainless steel pipes supplied by Sakshi Forge to VERIFY plants at VERIFY, Alcorcon</v>
      </c>
      <c r="AL1611" s="15" t="str">
        <f t="shared" si="22"/>
        <v>Electropolished SS 316L tube stock for Alcorcon - Sakshi Forge</v>
      </c>
      <c r="AM1611" s="15" t="str">
        <f t="shared" si="23"/>
        <v>Home &gt; Market Area &gt; Spain &gt; VERIFY &gt; Alcorcon</v>
      </c>
      <c r="AN1611" s="15">
        <f t="shared" si="24"/>
        <v>750</v>
      </c>
      <c r="AO1611" s="15">
        <f t="shared" si="25"/>
        <v>6</v>
      </c>
      <c r="AP1611" s="15">
        <f t="shared" si="26"/>
        <v>6</v>
      </c>
      <c r="AQ1611" s="15">
        <f t="shared" si="27"/>
        <v>27</v>
      </c>
      <c r="AR1611" s="31"/>
      <c r="AS1611" s="31"/>
      <c r="AT1611" s="35" t="s">
        <v>222</v>
      </c>
      <c r="AU1611" s="35"/>
    </row>
    <row r="1612" ht="15.75" customHeight="1">
      <c r="A1612" s="15" t="s">
        <v>7494</v>
      </c>
      <c r="B1612" s="15" t="s">
        <v>380</v>
      </c>
      <c r="C1612" s="15" t="s">
        <v>98</v>
      </c>
      <c r="D1612" s="15" t="s">
        <v>7495</v>
      </c>
      <c r="E1612" s="15" t="s">
        <v>7495</v>
      </c>
      <c r="F1612" s="58" t="s">
        <v>807</v>
      </c>
      <c r="G1612" s="66" t="s">
        <v>98</v>
      </c>
      <c r="H1612" s="18" t="s">
        <v>98</v>
      </c>
      <c r="I1612" s="18" t="s">
        <v>98</v>
      </c>
      <c r="J1612" s="18" t="s">
        <v>98</v>
      </c>
      <c r="K1612" s="18" t="s">
        <v>98</v>
      </c>
      <c r="L1612" s="18" t="s">
        <v>98</v>
      </c>
      <c r="M1612" s="18" t="s">
        <v>596</v>
      </c>
      <c r="N1612" s="18" t="s">
        <v>402</v>
      </c>
      <c r="O1612" s="18" t="s">
        <v>98</v>
      </c>
      <c r="P1612" s="15" t="str">
        <f t="shared" si="1"/>
        <v>VERIFY</v>
      </c>
      <c r="Q1612" s="15">
        <f t="shared" si="2"/>
        <v>1</v>
      </c>
      <c r="R1612" s="15">
        <f t="shared" si="3"/>
        <v>6</v>
      </c>
      <c r="S1612" s="15">
        <f t="shared" si="4"/>
        <v>4</v>
      </c>
      <c r="T1612" s="15" t="str">
        <f t="shared" si="5"/>
        <v>C-1</v>
      </c>
      <c r="U1612" s="15" t="str">
        <f t="shared" si="6"/>
        <v>T1-M6-H4-FC-1-VERIFY</v>
      </c>
      <c r="V1612" s="15">
        <f t="shared" si="7"/>
        <v>0</v>
      </c>
      <c r="W1612" s="31"/>
      <c r="X1612" s="15" t="str">
        <f t="shared" si="8"/>
        <v>alcoy-spain</v>
      </c>
      <c r="Y1612" s="32" t="str">
        <f t="shared" si="9"/>
        <v>https://steelmanufacturer.in/market-area/electropolished-pipes-manufacturer-in-alcoy-spain/</v>
      </c>
      <c r="Z1612" s="15" t="str">
        <f t="shared" si="10"/>
        <v>Electropolished Pipes Manufacturer in Alcoy | Sakshi Forge</v>
      </c>
      <c r="AA1612" s="15" t="str">
        <f t="shared" si="11"/>
        <v>OK (58)</v>
      </c>
      <c r="AB1612" s="15" t="str">
        <f t="shared" si="12"/>
        <v>EP tube and pipe for VERIFY plants around VERIFY, Alcoy. Made at our Mumbai works to ASTM A270 and ASME BPE SF1-SF4, with 3.1 MTC.</v>
      </c>
      <c r="AC1612" s="15" t="str">
        <f t="shared" si="13"/>
        <v>PENDING RESEARCH</v>
      </c>
      <c r="AD1612" s="15" t="str">
        <f t="shared" si="14"/>
        <v>Electropolished Pipes Manufacturer in Alcoy</v>
      </c>
      <c r="AE1612" s="15" t="str">
        <f t="shared" si="15"/>
        <v>Manufacturing Electropolished SS Tube for Alcoy: The Standards We Build To</v>
      </c>
      <c r="AF1612" s="15" t="str">
        <f t="shared" si="16"/>
        <v>Electropolished Pipe Supply Into Alcoy - Certification &amp; Transit</v>
      </c>
      <c r="AG1612" s="15" t="str">
        <f t="shared" si="17"/>
        <v>Electropolished Pipes Wholesaler in Alcoy - Project Quantities &amp; Terms</v>
      </c>
      <c r="AH1612" s="15" t="str">
        <f t="shared" si="18"/>
        <v>electropolished pipes manufacturer in Alcoy, electropolished pipes supplier in Alcoy, electropolished pipes wholesaler in Alcoy, electropolished tube manufacturer Alcoy, EP pipe supplier Alcoy, sanitary tube supplier Alcoy, ASME BPE tubing Alcoy, ASTM A270 tube Alcoy, SS 316L electropolished pipe Alcoy</v>
      </c>
      <c r="AI1612" s="15" t="str">
        <f t="shared" si="19"/>
        <v>Electropolished Pipes Manufacturer &amp; Supplier in Alcoy</v>
      </c>
      <c r="AJ1612" s="15" t="str">
        <f t="shared" si="20"/>
        <v>EP-finished SS 304/316L pipes and tubes for VERIFY plants in Alcoy. ASME BPE SF1-SF4, Ra from 0.25 um, EN 10204 3.1 certificate with every lot.</v>
      </c>
      <c r="AK1612" s="15" t="str">
        <f t="shared" si="21"/>
        <v>Electropolished stainless steel pipes supplied by Sakshi Forge to VERIFY plants at VERIFY, Alcoy</v>
      </c>
      <c r="AL1612" s="15" t="str">
        <f t="shared" si="22"/>
        <v>Electropolished SS 316L tube stock for Alcoy - Sakshi Forge</v>
      </c>
      <c r="AM1612" s="15" t="str">
        <f t="shared" si="23"/>
        <v>Home &gt; Market Area &gt; Spain &gt; VERIFY &gt; Alcoy</v>
      </c>
      <c r="AN1612" s="15">
        <f t="shared" si="24"/>
        <v>750</v>
      </c>
      <c r="AO1612" s="15">
        <f t="shared" si="25"/>
        <v>6</v>
      </c>
      <c r="AP1612" s="15">
        <f t="shared" si="26"/>
        <v>6</v>
      </c>
      <c r="AQ1612" s="15">
        <f t="shared" si="27"/>
        <v>27</v>
      </c>
      <c r="AR1612" s="31"/>
      <c r="AS1612" s="31"/>
      <c r="AT1612" s="35" t="s">
        <v>222</v>
      </c>
      <c r="AU1612" s="35"/>
    </row>
    <row r="1613" ht="15.75" customHeight="1">
      <c r="A1613" s="15" t="s">
        <v>7496</v>
      </c>
      <c r="B1613" s="15" t="s">
        <v>380</v>
      </c>
      <c r="C1613" s="15" t="s">
        <v>98</v>
      </c>
      <c r="D1613" s="15" t="s">
        <v>7497</v>
      </c>
      <c r="E1613" s="15" t="s">
        <v>7497</v>
      </c>
      <c r="F1613" s="58" t="s">
        <v>807</v>
      </c>
      <c r="G1613" s="66" t="s">
        <v>98</v>
      </c>
      <c r="H1613" s="18" t="s">
        <v>98</v>
      </c>
      <c r="I1613" s="18" t="s">
        <v>98</v>
      </c>
      <c r="J1613" s="18" t="s">
        <v>98</v>
      </c>
      <c r="K1613" s="18" t="s">
        <v>98</v>
      </c>
      <c r="L1613" s="18" t="s">
        <v>98</v>
      </c>
      <c r="M1613" s="18" t="s">
        <v>596</v>
      </c>
      <c r="N1613" s="18" t="s">
        <v>402</v>
      </c>
      <c r="O1613" s="18" t="s">
        <v>98</v>
      </c>
      <c r="P1613" s="15" t="str">
        <f t="shared" si="1"/>
        <v>VERIFY</v>
      </c>
      <c r="Q1613" s="15">
        <f t="shared" si="2"/>
        <v>2</v>
      </c>
      <c r="R1613" s="15">
        <f t="shared" si="3"/>
        <v>7</v>
      </c>
      <c r="S1613" s="15">
        <f t="shared" si="4"/>
        <v>5</v>
      </c>
      <c r="T1613" s="15" t="str">
        <f t="shared" si="5"/>
        <v>C-2</v>
      </c>
      <c r="U1613" s="15" t="str">
        <f t="shared" si="6"/>
        <v>T2-M7-H5-FC-2-VERIFY</v>
      </c>
      <c r="V1613" s="15">
        <f t="shared" si="7"/>
        <v>0</v>
      </c>
      <c r="W1613" s="31"/>
      <c r="X1613" s="15" t="str">
        <f t="shared" si="8"/>
        <v>algeciras-spain</v>
      </c>
      <c r="Y1613" s="32" t="str">
        <f t="shared" si="9"/>
        <v>https://steelmanufacturer.in/market-area/electropolished-pipes-manufacturer-in-algeciras-spain/</v>
      </c>
      <c r="Z1613" s="15" t="str">
        <f t="shared" si="10"/>
        <v>Electropolished Pipes Manufacturer in Algeciras</v>
      </c>
      <c r="AA1613" s="15" t="str">
        <f t="shared" si="11"/>
        <v>OK (47)</v>
      </c>
      <c r="AB1613" s="15" t="str">
        <f t="shared" si="12"/>
        <v>Electropolished pipes in Algeciras: 304, 304L, 316 and 316L in SF1-SF4. 19-25 days sea from Nhava Sheva to Valencia. Mill certified.</v>
      </c>
      <c r="AC1613" s="15" t="str">
        <f t="shared" si="13"/>
        <v>PENDING RESEARCH</v>
      </c>
      <c r="AD1613" s="15" t="str">
        <f t="shared" si="14"/>
        <v>Electropolished Pipes Manufacturer in Algeciras</v>
      </c>
      <c r="AE1613" s="15" t="str">
        <f t="shared" si="15"/>
        <v>Electropolished Tube Manufacturing Capability Serving Algeciras</v>
      </c>
      <c r="AF1613" s="15" t="str">
        <f t="shared" si="16"/>
        <v>Electropolished Pipes Supplier in Algeciras - From Order to Delivery</v>
      </c>
      <c r="AG1613" s="15" t="str">
        <f t="shared" si="17"/>
        <v>Stockist &amp; Wholesale Supply of Electropolished Pipes in Algeciras</v>
      </c>
      <c r="AH1613" s="15" t="str">
        <f t="shared" si="18"/>
        <v>electropolished pipes manufacturer in Algeciras, electropolished pipes supplier in Algeciras, electropolished pipes wholesaler in Algeciras, electropolished tube manufacturer Algeciras, EP pipe supplier Algeciras, sanitary tube supplier Algeciras, ASME BPE tubing Algeciras, ASTM A270 tube Algeciras, SS 316L electropolished pipe Algeciras</v>
      </c>
      <c r="AI1613" s="15" t="str">
        <f t="shared" si="19"/>
        <v>Electropolished Pipes Manufacturer &amp; Supplier in Algeciras</v>
      </c>
      <c r="AJ1613" s="15" t="str">
        <f t="shared" si="20"/>
        <v>EP-finished SS 304/316L pipes and tubes for VERIFY plants in Algeciras. ASME BPE SF1-SF4, Ra from 0.25 um, EN 10204 3.1 certificate with every lot.</v>
      </c>
      <c r="AK1613" s="15" t="str">
        <f t="shared" si="21"/>
        <v>Electropolished stainless steel pipes supplied by Sakshi Forge to VERIFY plants at VERIFY, Algeciras</v>
      </c>
      <c r="AL1613" s="15" t="str">
        <f t="shared" si="22"/>
        <v>Electropolished SS 316L tube stock for Algeciras - Sakshi Forge</v>
      </c>
      <c r="AM1613" s="15" t="str">
        <f t="shared" si="23"/>
        <v>Home &gt; Market Area &gt; Spain &gt; VERIFY &gt; Algeciras</v>
      </c>
      <c r="AN1613" s="15">
        <f t="shared" si="24"/>
        <v>750</v>
      </c>
      <c r="AO1613" s="15">
        <f t="shared" si="25"/>
        <v>6</v>
      </c>
      <c r="AP1613" s="15">
        <f t="shared" si="26"/>
        <v>6</v>
      </c>
      <c r="AQ1613" s="15">
        <f t="shared" si="27"/>
        <v>27</v>
      </c>
      <c r="AR1613" s="31"/>
      <c r="AS1613" s="31"/>
      <c r="AT1613" s="35" t="s">
        <v>222</v>
      </c>
      <c r="AU1613" s="35"/>
    </row>
    <row r="1614" ht="15.75" customHeight="1">
      <c r="A1614" s="15" t="s">
        <v>7499</v>
      </c>
      <c r="B1614" s="15" t="s">
        <v>380</v>
      </c>
      <c r="C1614" s="15" t="s">
        <v>98</v>
      </c>
      <c r="D1614" s="15" t="s">
        <v>7501</v>
      </c>
      <c r="E1614" s="15" t="s">
        <v>7501</v>
      </c>
      <c r="F1614" s="58" t="s">
        <v>807</v>
      </c>
      <c r="G1614" s="66" t="s">
        <v>98</v>
      </c>
      <c r="H1614" s="18" t="s">
        <v>98</v>
      </c>
      <c r="I1614" s="18" t="s">
        <v>98</v>
      </c>
      <c r="J1614" s="18" t="s">
        <v>98</v>
      </c>
      <c r="K1614" s="18" t="s">
        <v>98</v>
      </c>
      <c r="L1614" s="18" t="s">
        <v>98</v>
      </c>
      <c r="M1614" s="18" t="s">
        <v>596</v>
      </c>
      <c r="N1614" s="18" t="s">
        <v>402</v>
      </c>
      <c r="O1614" s="18" t="s">
        <v>98</v>
      </c>
      <c r="P1614" s="15" t="str">
        <f t="shared" si="1"/>
        <v>VERIFY</v>
      </c>
      <c r="Q1614" s="15">
        <f t="shared" si="2"/>
        <v>3</v>
      </c>
      <c r="R1614" s="15">
        <f t="shared" si="3"/>
        <v>1</v>
      </c>
      <c r="S1614" s="15">
        <f t="shared" si="4"/>
        <v>1</v>
      </c>
      <c r="T1614" s="15" t="str">
        <f t="shared" si="5"/>
        <v>C-3</v>
      </c>
      <c r="U1614" s="15" t="str">
        <f t="shared" si="6"/>
        <v>T3-M1-H1-FC-3-VERIFY</v>
      </c>
      <c r="V1614" s="15">
        <f t="shared" si="7"/>
        <v>0</v>
      </c>
      <c r="W1614" s="31"/>
      <c r="X1614" s="15" t="str">
        <f t="shared" si="8"/>
        <v>almeria-spain</v>
      </c>
      <c r="Y1614" s="32" t="str">
        <f t="shared" si="9"/>
        <v>https://steelmanufacturer.in/market-area/electropolished-pipes-manufacturer-in-almeria-spain/</v>
      </c>
      <c r="Z1614" s="15" t="str">
        <f t="shared" si="10"/>
        <v>Electropolished Pipes Manufacturer in Almeria | EP Tube Supplier</v>
      </c>
      <c r="AA1614" s="15" t="str">
        <f t="shared" si="11"/>
        <v>OK (64)</v>
      </c>
      <c r="AB1614" s="15" t="str">
        <f t="shared" si="12"/>
        <v>EP-finished SS 304/316L pipes &amp; tubes for VERIFY plants in Almeria. ASTM A270, ASME BPE SF1-SF4, EN 10204 3.1 MTC. PMI tested.</v>
      </c>
      <c r="AC1614" s="15" t="str">
        <f t="shared" si="13"/>
        <v>PENDING RESEARCH</v>
      </c>
      <c r="AD1614" s="15" t="str">
        <f t="shared" si="14"/>
        <v>Electropolished Pipes Manufacturer in Almeria</v>
      </c>
      <c r="AE1614" s="15" t="str">
        <f t="shared" si="15"/>
        <v>Electropolished Pipe &amp; Tube Manufacturing for Almeria - Grades, Finishes &amp; Certification</v>
      </c>
      <c r="AF1614" s="15" t="str">
        <f t="shared" si="16"/>
        <v>Electropolished Pipes Supplier in Almeria - Stock Sizes, Lead Time &amp; Delivery</v>
      </c>
      <c r="AG1614" s="15" t="str">
        <f t="shared" si="17"/>
        <v>Electropolished Pipes Wholesaler &amp; Stockist in Almeria - Bulk &amp; Project Pricing</v>
      </c>
      <c r="AH1614" s="15" t="str">
        <f t="shared" si="18"/>
        <v>electropolished pipes manufacturer in Almeria, electropolished pipes supplier in Almeria, electropolished pipes wholesaler in Almeria, electropolished tube manufacturer Almeria, EP pipe supplier Almeria, sanitary tube supplier Almeria, ASME BPE tubing Almeria, ASTM A270 tube Almeria, SS 316L electropolished pipe Almeria</v>
      </c>
      <c r="AI1614" s="15" t="str">
        <f t="shared" si="19"/>
        <v>Electropolished Pipes Manufacturer &amp; Supplier in Almeria</v>
      </c>
      <c r="AJ1614" s="15" t="str">
        <f t="shared" si="20"/>
        <v>EP-finished SS 304/316L pipes and tubes for VERIFY plants in Almeria. ASME BPE SF1-SF4, Ra from 0.25 um, EN 10204 3.1 certificate with every lot.</v>
      </c>
      <c r="AK1614" s="15" t="str">
        <f t="shared" si="21"/>
        <v>Electropolished stainless steel pipes supplied by Sakshi Forge to VERIFY plants at VERIFY, Almeria</v>
      </c>
      <c r="AL1614" s="15" t="str">
        <f t="shared" si="22"/>
        <v>Electropolished SS 316L tube stock for Almeria - Sakshi Forge</v>
      </c>
      <c r="AM1614" s="15" t="str">
        <f t="shared" si="23"/>
        <v>Home &gt; Market Area &gt; Spain &gt; VERIFY &gt; Almeria</v>
      </c>
      <c r="AN1614" s="15">
        <f t="shared" si="24"/>
        <v>750</v>
      </c>
      <c r="AO1614" s="15">
        <f t="shared" si="25"/>
        <v>6</v>
      </c>
      <c r="AP1614" s="15">
        <f t="shared" si="26"/>
        <v>6</v>
      </c>
      <c r="AQ1614" s="15">
        <f t="shared" si="27"/>
        <v>27</v>
      </c>
      <c r="AR1614" s="31"/>
      <c r="AS1614" s="31"/>
      <c r="AT1614" s="35" t="s">
        <v>222</v>
      </c>
      <c r="AU1614" s="35"/>
    </row>
    <row r="1615" ht="15.75" customHeight="1">
      <c r="A1615" s="15" t="s">
        <v>7504</v>
      </c>
      <c r="B1615" s="15" t="s">
        <v>380</v>
      </c>
      <c r="C1615" s="15" t="s">
        <v>98</v>
      </c>
      <c r="D1615" s="15" t="s">
        <v>7505</v>
      </c>
      <c r="E1615" s="15" t="s">
        <v>7505</v>
      </c>
      <c r="F1615" s="58" t="s">
        <v>807</v>
      </c>
      <c r="G1615" s="66" t="s">
        <v>98</v>
      </c>
      <c r="H1615" s="18" t="s">
        <v>98</v>
      </c>
      <c r="I1615" s="18" t="s">
        <v>98</v>
      </c>
      <c r="J1615" s="18" t="s">
        <v>98</v>
      </c>
      <c r="K1615" s="18" t="s">
        <v>98</v>
      </c>
      <c r="L1615" s="18" t="s">
        <v>98</v>
      </c>
      <c r="M1615" s="18" t="s">
        <v>596</v>
      </c>
      <c r="N1615" s="18" t="s">
        <v>402</v>
      </c>
      <c r="O1615" s="18" t="s">
        <v>98</v>
      </c>
      <c r="P1615" s="15" t="str">
        <f t="shared" si="1"/>
        <v>VERIFY</v>
      </c>
      <c r="Q1615" s="15">
        <f t="shared" si="2"/>
        <v>4</v>
      </c>
      <c r="R1615" s="15">
        <f t="shared" si="3"/>
        <v>2</v>
      </c>
      <c r="S1615" s="15">
        <f t="shared" si="4"/>
        <v>2</v>
      </c>
      <c r="T1615" s="15" t="str">
        <f t="shared" si="5"/>
        <v>C-4</v>
      </c>
      <c r="U1615" s="15" t="str">
        <f t="shared" si="6"/>
        <v>T4-M2-H2-FC-4-VERIFY</v>
      </c>
      <c r="V1615" s="15">
        <f t="shared" si="7"/>
        <v>0</v>
      </c>
      <c r="W1615" s="31"/>
      <c r="X1615" s="15" t="str">
        <f t="shared" si="8"/>
        <v>antequera-spain</v>
      </c>
      <c r="Y1615" s="32" t="str">
        <f t="shared" si="9"/>
        <v>https://steelmanufacturer.in/market-area/electropolished-pipes-manufacturer-in-antequera-spain/</v>
      </c>
      <c r="Z1615" s="15" t="str">
        <f t="shared" si="10"/>
        <v>Electropolished Pipes Manufacturer in Antequera</v>
      </c>
      <c r="AA1615" s="15" t="str">
        <f t="shared" si="11"/>
        <v>OK (47)</v>
      </c>
      <c r="AB1615" s="15" t="str">
        <f t="shared" si="12"/>
        <v>Electropolished tube supply to VERIFY, Antequera. Ra from 0.25 um, SF4 finish, mill test certificate with every lot.</v>
      </c>
      <c r="AC1615" s="15" t="str">
        <f t="shared" si="13"/>
        <v>PENDING RESEARCH</v>
      </c>
      <c r="AD1615" s="15" t="str">
        <f t="shared" si="14"/>
        <v>Electropolished Pipes Manufacturer in Antequera</v>
      </c>
      <c r="AE1615" s="15" t="str">
        <f t="shared" si="15"/>
        <v>How We Manufacture Electropolished Tube for Antequera Plants</v>
      </c>
      <c r="AF1615" s="15" t="str">
        <f t="shared" si="16"/>
        <v>Supplying Electropolished Pipes in Antequera: Availability, Sizes &amp; Dispatch</v>
      </c>
      <c r="AG1615" s="15" t="str">
        <f t="shared" si="17"/>
        <v>Wholesale Electropolished Pipe Supply for Antequera Projects</v>
      </c>
      <c r="AH1615" s="15" t="str">
        <f t="shared" si="18"/>
        <v>electropolished pipes manufacturer in Antequera, electropolished pipes supplier in Antequera, electropolished pipes wholesaler in Antequera, electropolished tube manufacturer Antequera, EP pipe supplier Antequera, sanitary tube supplier Antequera, ASME BPE tubing Antequera, ASTM A270 tube Antequera, SS 316L electropolished pipe Antequera</v>
      </c>
      <c r="AI1615" s="15" t="str">
        <f t="shared" si="19"/>
        <v>Electropolished Pipes Manufacturer &amp; Supplier in Antequera</v>
      </c>
      <c r="AJ1615" s="15" t="str">
        <f t="shared" si="20"/>
        <v>EP-finished SS 304/316L pipes and tubes for VERIFY plants in Antequera. ASME BPE SF1-SF4, Ra from 0.25 um, EN 10204 3.1 certificate with every lot.</v>
      </c>
      <c r="AK1615" s="15" t="str">
        <f t="shared" si="21"/>
        <v>Electropolished stainless steel pipes supplied by Sakshi Forge to VERIFY plants at VERIFY, Antequera</v>
      </c>
      <c r="AL1615" s="15" t="str">
        <f t="shared" si="22"/>
        <v>Electropolished SS 316L tube stock for Antequera - Sakshi Forge</v>
      </c>
      <c r="AM1615" s="15" t="str">
        <f t="shared" si="23"/>
        <v>Home &gt; Market Area &gt; Spain &gt; VERIFY &gt; Antequera</v>
      </c>
      <c r="AN1615" s="15">
        <f t="shared" si="24"/>
        <v>750</v>
      </c>
      <c r="AO1615" s="15">
        <f t="shared" si="25"/>
        <v>6</v>
      </c>
      <c r="AP1615" s="15">
        <f t="shared" si="26"/>
        <v>6</v>
      </c>
      <c r="AQ1615" s="15">
        <f t="shared" si="27"/>
        <v>27</v>
      </c>
      <c r="AR1615" s="31"/>
      <c r="AS1615" s="31"/>
      <c r="AT1615" s="35" t="s">
        <v>222</v>
      </c>
      <c r="AU1615" s="35"/>
    </row>
    <row r="1616" ht="15.75" customHeight="1">
      <c r="A1616" s="15" t="s">
        <v>7506</v>
      </c>
      <c r="B1616" s="15" t="s">
        <v>380</v>
      </c>
      <c r="C1616" s="15" t="s">
        <v>98</v>
      </c>
      <c r="D1616" s="15" t="s">
        <v>7507</v>
      </c>
      <c r="E1616" s="15" t="s">
        <v>7507</v>
      </c>
      <c r="F1616" s="58" t="s">
        <v>807</v>
      </c>
      <c r="G1616" s="66" t="s">
        <v>98</v>
      </c>
      <c r="H1616" s="18" t="s">
        <v>98</v>
      </c>
      <c r="I1616" s="18" t="s">
        <v>98</v>
      </c>
      <c r="J1616" s="18" t="s">
        <v>98</v>
      </c>
      <c r="K1616" s="18" t="s">
        <v>98</v>
      </c>
      <c r="L1616" s="18" t="s">
        <v>98</v>
      </c>
      <c r="M1616" s="18" t="s">
        <v>596</v>
      </c>
      <c r="N1616" s="18" t="s">
        <v>402</v>
      </c>
      <c r="O1616" s="18" t="s">
        <v>98</v>
      </c>
      <c r="P1616" s="15" t="str">
        <f t="shared" si="1"/>
        <v>VERIFY</v>
      </c>
      <c r="Q1616" s="15">
        <f t="shared" si="2"/>
        <v>5</v>
      </c>
      <c r="R1616" s="15">
        <f t="shared" si="3"/>
        <v>3</v>
      </c>
      <c r="S1616" s="15">
        <f t="shared" si="4"/>
        <v>3</v>
      </c>
      <c r="T1616" s="15" t="str">
        <f t="shared" si="5"/>
        <v>C-5</v>
      </c>
      <c r="U1616" s="15" t="str">
        <f t="shared" si="6"/>
        <v>T5-M3-H3-FC-5-VERIFY</v>
      </c>
      <c r="V1616" s="15">
        <f t="shared" si="7"/>
        <v>0</v>
      </c>
      <c r="W1616" s="31"/>
      <c r="X1616" s="15" t="str">
        <f t="shared" si="8"/>
        <v>aranjuez-spain</v>
      </c>
      <c r="Y1616" s="32" t="str">
        <f t="shared" si="9"/>
        <v>https://steelmanufacturer.in/market-area/electropolished-pipes-manufacturer-in-aranjuez-spain/</v>
      </c>
      <c r="Z1616" s="15" t="str">
        <f t="shared" si="10"/>
        <v>Electropolished Pipes Manufacturer in Aranjuez</v>
      </c>
      <c r="AA1616" s="15" t="str">
        <f t="shared" si="11"/>
        <v>OK (46)</v>
      </c>
      <c r="AB1616" s="15" t="str">
        <f t="shared" si="12"/>
        <v>EP stainless tube for VERIFY lines in Aranjuez. 19-25 days sea from Nhava Sheva to Valencia. ASTM A270 S2, PMI tested, EN 10204 3.1.</v>
      </c>
      <c r="AC1616" s="15" t="str">
        <f t="shared" si="13"/>
        <v>PENDING RESEARCH</v>
      </c>
      <c r="AD1616" s="15" t="str">
        <f t="shared" si="14"/>
        <v>Electropolished Pipes Manufacturer in Aranjuez</v>
      </c>
      <c r="AE1616" s="15" t="str">
        <f t="shared" si="15"/>
        <v>Electropolished Pipes Manufacturer in Aranjuez - Our Process &amp; Capability</v>
      </c>
      <c r="AF1616" s="15" t="str">
        <f t="shared" si="16"/>
        <v>Electropolished Pipes Supplier in Aranjuez - What We Hold in Stock</v>
      </c>
      <c r="AG1616" s="15" t="str">
        <f t="shared" si="17"/>
        <v>Bulk &amp; Wholesale Electropolished Pipe Rates for Aranjuez Buyers</v>
      </c>
      <c r="AH1616" s="15" t="str">
        <f t="shared" si="18"/>
        <v>electropolished pipes manufacturer in Aranjuez, electropolished pipes supplier in Aranjuez, electropolished pipes wholesaler in Aranjuez, electropolished tube manufacturer Aranjuez, EP pipe supplier Aranjuez, sanitary tube supplier Aranjuez, ASME BPE tubing Aranjuez, ASTM A270 tube Aranjuez, SS 316L electropolished pipe Aranjuez</v>
      </c>
      <c r="AI1616" s="15" t="str">
        <f t="shared" si="19"/>
        <v>Electropolished Pipes Manufacturer &amp; Supplier in Aranjuez</v>
      </c>
      <c r="AJ1616" s="15" t="str">
        <f t="shared" si="20"/>
        <v>EP-finished SS 304/316L pipes and tubes for VERIFY plants in Aranjuez. ASME BPE SF1-SF4, Ra from 0.25 um, EN 10204 3.1 certificate with every lot.</v>
      </c>
      <c r="AK1616" s="15" t="str">
        <f t="shared" si="21"/>
        <v>Electropolished stainless steel pipes supplied by Sakshi Forge to VERIFY plants at VERIFY, Aranjuez</v>
      </c>
      <c r="AL1616" s="15" t="str">
        <f t="shared" si="22"/>
        <v>Electropolished SS 316L tube stock for Aranjuez - Sakshi Forge</v>
      </c>
      <c r="AM1616" s="15" t="str">
        <f t="shared" si="23"/>
        <v>Home &gt; Market Area &gt; Spain &gt; VERIFY &gt; Aranjuez</v>
      </c>
      <c r="AN1616" s="15">
        <f t="shared" si="24"/>
        <v>750</v>
      </c>
      <c r="AO1616" s="15">
        <f t="shared" si="25"/>
        <v>6</v>
      </c>
      <c r="AP1616" s="15">
        <f t="shared" si="26"/>
        <v>6</v>
      </c>
      <c r="AQ1616" s="15">
        <f t="shared" si="27"/>
        <v>27</v>
      </c>
      <c r="AR1616" s="31"/>
      <c r="AS1616" s="31"/>
      <c r="AT1616" s="35" t="s">
        <v>222</v>
      </c>
      <c r="AU1616" s="35"/>
    </row>
    <row r="1617" ht="15.75" customHeight="1">
      <c r="A1617" s="15" t="s">
        <v>7508</v>
      </c>
      <c r="B1617" s="15" t="s">
        <v>380</v>
      </c>
      <c r="C1617" s="15" t="s">
        <v>98</v>
      </c>
      <c r="D1617" s="15" t="s">
        <v>7509</v>
      </c>
      <c r="E1617" s="15" t="s">
        <v>7509</v>
      </c>
      <c r="F1617" s="58" t="s">
        <v>807</v>
      </c>
      <c r="G1617" s="66" t="s">
        <v>98</v>
      </c>
      <c r="H1617" s="18" t="s">
        <v>98</v>
      </c>
      <c r="I1617" s="18" t="s">
        <v>98</v>
      </c>
      <c r="J1617" s="18" t="s">
        <v>98</v>
      </c>
      <c r="K1617" s="18" t="s">
        <v>98</v>
      </c>
      <c r="L1617" s="18" t="s">
        <v>98</v>
      </c>
      <c r="M1617" s="18" t="s">
        <v>596</v>
      </c>
      <c r="N1617" s="18" t="s">
        <v>402</v>
      </c>
      <c r="O1617" s="18" t="s">
        <v>98</v>
      </c>
      <c r="P1617" s="15" t="str">
        <f t="shared" si="1"/>
        <v>VERIFY</v>
      </c>
      <c r="Q1617" s="15">
        <f t="shared" si="2"/>
        <v>6</v>
      </c>
      <c r="R1617" s="15">
        <f t="shared" si="3"/>
        <v>4</v>
      </c>
      <c r="S1617" s="15">
        <f t="shared" si="4"/>
        <v>4</v>
      </c>
      <c r="T1617" s="15" t="str">
        <f t="shared" si="5"/>
        <v>C-6</v>
      </c>
      <c r="U1617" s="15" t="str">
        <f t="shared" si="6"/>
        <v>T6-M4-H4-FC-6-VERIFY</v>
      </c>
      <c r="V1617" s="15">
        <f t="shared" si="7"/>
        <v>0</v>
      </c>
      <c r="W1617" s="31"/>
      <c r="X1617" s="15" t="str">
        <f t="shared" si="8"/>
        <v>arganda-spain</v>
      </c>
      <c r="Y1617" s="32" t="str">
        <f t="shared" si="9"/>
        <v>https://steelmanufacturer.in/market-area/electropolished-pipes-manufacturer-in-arganda-spain/</v>
      </c>
      <c r="Z1617" s="15" t="str">
        <f t="shared" si="10"/>
        <v>Electropolished Pipes Manufacturer in Arganda</v>
      </c>
      <c r="AA1617" s="15" t="str">
        <f t="shared" si="11"/>
        <v>OK (45)</v>
      </c>
      <c r="AB1617" s="15" t="str">
        <f t="shared" si="12"/>
        <v>Sanitary electropolished pipes in Arganda for VERIFY plants. ASME BPE SF1-SF4, orbital-weld ready, 3.1 MTC. Mumbai-made.</v>
      </c>
      <c r="AC1617" s="15" t="str">
        <f t="shared" si="13"/>
        <v>PENDING RESEARCH</v>
      </c>
      <c r="AD1617" s="15" t="str">
        <f t="shared" si="14"/>
        <v>Electropolished Pipes Manufacturer in Arganda</v>
      </c>
      <c r="AE1617" s="15" t="str">
        <f t="shared" si="15"/>
        <v>Manufacturing Electropolished SS Tube for Arganda: The Standards We Build To</v>
      </c>
      <c r="AF1617" s="15" t="str">
        <f t="shared" si="16"/>
        <v>Electropolished Pipe Supply Into Arganda - Certification &amp; Transit</v>
      </c>
      <c r="AG1617" s="15" t="str">
        <f t="shared" si="17"/>
        <v>Electropolished Pipes Wholesaler in Arganda - Project Quantities &amp; Terms</v>
      </c>
      <c r="AH1617" s="15" t="str">
        <f t="shared" si="18"/>
        <v>electropolished pipes manufacturer in Arganda, electropolished pipes supplier in Arganda, electropolished pipes wholesaler in Arganda, electropolished tube manufacturer Arganda, EP pipe supplier Arganda, sanitary tube supplier Arganda, ASME BPE tubing Arganda, ASTM A270 tube Arganda, SS 316L electropolished pipe Arganda</v>
      </c>
      <c r="AI1617" s="15" t="str">
        <f t="shared" si="19"/>
        <v>Electropolished Pipes Manufacturer &amp; Supplier in Arganda</v>
      </c>
      <c r="AJ1617" s="15" t="str">
        <f t="shared" si="20"/>
        <v>EP-finished SS 304/316L pipes and tubes for VERIFY plants in Arganda. ASME BPE SF1-SF4, Ra from 0.25 um, EN 10204 3.1 certificate with every lot.</v>
      </c>
      <c r="AK1617" s="15" t="str">
        <f t="shared" si="21"/>
        <v>Electropolished stainless steel pipes supplied by Sakshi Forge to VERIFY plants at VERIFY, Arganda</v>
      </c>
      <c r="AL1617" s="15" t="str">
        <f t="shared" si="22"/>
        <v>Electropolished SS 316L tube stock for Arganda - Sakshi Forge</v>
      </c>
      <c r="AM1617" s="15" t="str">
        <f t="shared" si="23"/>
        <v>Home &gt; Market Area &gt; Spain &gt; VERIFY &gt; Arganda</v>
      </c>
      <c r="AN1617" s="15">
        <f t="shared" si="24"/>
        <v>750</v>
      </c>
      <c r="AO1617" s="15">
        <f t="shared" si="25"/>
        <v>6</v>
      </c>
      <c r="AP1617" s="15">
        <f t="shared" si="26"/>
        <v>6</v>
      </c>
      <c r="AQ1617" s="15">
        <f t="shared" si="27"/>
        <v>27</v>
      </c>
      <c r="AR1617" s="31"/>
      <c r="AS1617" s="31"/>
      <c r="AT1617" s="35" t="s">
        <v>222</v>
      </c>
      <c r="AU1617" s="35"/>
    </row>
    <row r="1618" ht="15.75" customHeight="1">
      <c r="A1618" s="15" t="s">
        <v>7510</v>
      </c>
      <c r="B1618" s="15" t="s">
        <v>380</v>
      </c>
      <c r="C1618" s="15" t="s">
        <v>98</v>
      </c>
      <c r="D1618" s="15" t="s">
        <v>7511</v>
      </c>
      <c r="E1618" s="15" t="s">
        <v>7511</v>
      </c>
      <c r="F1618" s="58" t="s">
        <v>807</v>
      </c>
      <c r="G1618" s="66" t="s">
        <v>98</v>
      </c>
      <c r="H1618" s="18" t="s">
        <v>98</v>
      </c>
      <c r="I1618" s="18" t="s">
        <v>98</v>
      </c>
      <c r="J1618" s="18" t="s">
        <v>98</v>
      </c>
      <c r="K1618" s="18" t="s">
        <v>98</v>
      </c>
      <c r="L1618" s="18" t="s">
        <v>98</v>
      </c>
      <c r="M1618" s="18" t="s">
        <v>596</v>
      </c>
      <c r="N1618" s="18" t="s">
        <v>402</v>
      </c>
      <c r="O1618" s="18" t="s">
        <v>98</v>
      </c>
      <c r="P1618" s="15" t="str">
        <f t="shared" si="1"/>
        <v>VERIFY</v>
      </c>
      <c r="Q1618" s="15">
        <f t="shared" si="2"/>
        <v>7</v>
      </c>
      <c r="R1618" s="15">
        <f t="shared" si="3"/>
        <v>5</v>
      </c>
      <c r="S1618" s="15">
        <f t="shared" si="4"/>
        <v>5</v>
      </c>
      <c r="T1618" s="15" t="str">
        <f t="shared" si="5"/>
        <v>C-1</v>
      </c>
      <c r="U1618" s="15" t="str">
        <f t="shared" si="6"/>
        <v>T7-M5-H5-FC-1-VERIFY</v>
      </c>
      <c r="V1618" s="15">
        <f t="shared" si="7"/>
        <v>0</v>
      </c>
      <c r="W1618" s="31"/>
      <c r="X1618" s="15" t="str">
        <f t="shared" si="8"/>
        <v>avila-spain</v>
      </c>
      <c r="Y1618" s="32" t="str">
        <f t="shared" si="9"/>
        <v>https://steelmanufacturer.in/market-area/electropolished-pipes-manufacturer-in-avila-spain/</v>
      </c>
      <c r="Z1618" s="15" t="str">
        <f t="shared" si="10"/>
        <v>Electropolished Pipes Manufacturer in Avila | ASME BPE SF1-SF4</v>
      </c>
      <c r="AA1618" s="15" t="str">
        <f t="shared" si="11"/>
        <v>OK (62)</v>
      </c>
      <c r="AB1618" s="15" t="str">
        <f t="shared" si="12"/>
        <v>Manufacturer of electropolished SS 316L tube serving Avila. 19-25 days sea from Nhava Sheva to Valencia. Ra 0.25-0.5 um, EN 10204 3.1 MTC.</v>
      </c>
      <c r="AC1618" s="15" t="str">
        <f t="shared" si="13"/>
        <v>PENDING RESEARCH</v>
      </c>
      <c r="AD1618" s="15" t="str">
        <f t="shared" si="14"/>
        <v>Electropolished Pipes Manufacturer in Avila</v>
      </c>
      <c r="AE1618" s="15" t="str">
        <f t="shared" si="15"/>
        <v>Electropolished Tube Manufacturing Capability Serving Avila</v>
      </c>
      <c r="AF1618" s="15" t="str">
        <f t="shared" si="16"/>
        <v>Electropolished Pipes Supplier in Avila - From Order to Delivery</v>
      </c>
      <c r="AG1618" s="15" t="str">
        <f t="shared" si="17"/>
        <v>Stockist &amp; Wholesale Supply of Electropolished Pipes in Avila</v>
      </c>
      <c r="AH1618" s="15" t="str">
        <f t="shared" si="18"/>
        <v>electropolished pipes manufacturer in Avila, electropolished pipes supplier in Avila, electropolished pipes wholesaler in Avila, electropolished tube manufacturer Avila, EP pipe supplier Avila, sanitary tube supplier Avila, ASME BPE tubing Avila, ASTM A270 tube Avila, SS 316L electropolished pipe Avila</v>
      </c>
      <c r="AI1618" s="15" t="str">
        <f t="shared" si="19"/>
        <v>Electropolished Pipes Manufacturer &amp; Supplier in Avila</v>
      </c>
      <c r="AJ1618" s="15" t="str">
        <f t="shared" si="20"/>
        <v>EP-finished SS 304/316L pipes and tubes for VERIFY plants in Avila. ASME BPE SF1-SF4, Ra from 0.25 um, EN 10204 3.1 certificate with every lot.</v>
      </c>
      <c r="AK1618" s="15" t="str">
        <f t="shared" si="21"/>
        <v>Electropolished stainless steel pipes supplied by Sakshi Forge to VERIFY plants at VERIFY, Avila</v>
      </c>
      <c r="AL1618" s="15" t="str">
        <f t="shared" si="22"/>
        <v>Electropolished SS 316L tube stock for Avila - Sakshi Forge</v>
      </c>
      <c r="AM1618" s="15" t="str">
        <f t="shared" si="23"/>
        <v>Home &gt; Market Area &gt; Spain &gt; VERIFY &gt; Avila</v>
      </c>
      <c r="AN1618" s="15">
        <f t="shared" si="24"/>
        <v>750</v>
      </c>
      <c r="AO1618" s="15">
        <f t="shared" si="25"/>
        <v>6</v>
      </c>
      <c r="AP1618" s="15">
        <f t="shared" si="26"/>
        <v>6</v>
      </c>
      <c r="AQ1618" s="15">
        <f t="shared" si="27"/>
        <v>27</v>
      </c>
      <c r="AR1618" s="31"/>
      <c r="AS1618" s="31"/>
      <c r="AT1618" s="35" t="s">
        <v>222</v>
      </c>
      <c r="AU1618" s="35"/>
    </row>
    <row r="1619" ht="15.75" customHeight="1">
      <c r="A1619" s="15" t="s">
        <v>7512</v>
      </c>
      <c r="B1619" s="15" t="s">
        <v>380</v>
      </c>
      <c r="C1619" s="15" t="s">
        <v>98</v>
      </c>
      <c r="D1619" s="15" t="s">
        <v>7513</v>
      </c>
      <c r="E1619" s="15" t="s">
        <v>7513</v>
      </c>
      <c r="F1619" s="58" t="s">
        <v>807</v>
      </c>
      <c r="G1619" s="66" t="s">
        <v>98</v>
      </c>
      <c r="H1619" s="18" t="s">
        <v>98</v>
      </c>
      <c r="I1619" s="18" t="s">
        <v>98</v>
      </c>
      <c r="J1619" s="18" t="s">
        <v>98</v>
      </c>
      <c r="K1619" s="18" t="s">
        <v>98</v>
      </c>
      <c r="L1619" s="18" t="s">
        <v>98</v>
      </c>
      <c r="M1619" s="18" t="s">
        <v>596</v>
      </c>
      <c r="N1619" s="18" t="s">
        <v>402</v>
      </c>
      <c r="O1619" s="18" t="s">
        <v>98</v>
      </c>
      <c r="P1619" s="15" t="str">
        <f t="shared" si="1"/>
        <v>VERIFY</v>
      </c>
      <c r="Q1619" s="15">
        <f t="shared" si="2"/>
        <v>8</v>
      </c>
      <c r="R1619" s="15">
        <f t="shared" si="3"/>
        <v>6</v>
      </c>
      <c r="S1619" s="15">
        <f t="shared" si="4"/>
        <v>1</v>
      </c>
      <c r="T1619" s="15" t="str">
        <f t="shared" si="5"/>
        <v>C-2</v>
      </c>
      <c r="U1619" s="15" t="str">
        <f t="shared" si="6"/>
        <v>T8-M6-H1-FC-2-VERIFY</v>
      </c>
      <c r="V1619" s="15">
        <f t="shared" si="7"/>
        <v>0</v>
      </c>
      <c r="W1619" s="31"/>
      <c r="X1619" s="15" t="str">
        <f t="shared" si="8"/>
        <v>aviles-spain</v>
      </c>
      <c r="Y1619" s="32" t="str">
        <f t="shared" si="9"/>
        <v>https://steelmanufacturer.in/market-area/electropolished-pipes-manufacturer-in-aviles-spain/</v>
      </c>
      <c r="Z1619" s="15" t="str">
        <f t="shared" si="10"/>
        <v>Electropolished Pipes Manufacturer in Aviles - EP Tube Stockist</v>
      </c>
      <c r="AA1619" s="15" t="str">
        <f t="shared" si="11"/>
        <v>OK (63)</v>
      </c>
      <c r="AB1619" s="15" t="str">
        <f t="shared" si="12"/>
        <v>EP tube and pipe for VERIFY plants around VERIFY, Aviles. Made at our Mumbai works to ASTM A270 and ASME BPE SF1-SF4, with 3.1 MTC.</v>
      </c>
      <c r="AC1619" s="15" t="str">
        <f t="shared" si="13"/>
        <v>PENDING RESEARCH</v>
      </c>
      <c r="AD1619" s="15" t="str">
        <f t="shared" si="14"/>
        <v>Electropolished Pipes Manufacturer in Aviles</v>
      </c>
      <c r="AE1619" s="15" t="str">
        <f t="shared" si="15"/>
        <v>Electropolished Pipe &amp; Tube Manufacturing for Aviles - Grades, Finishes &amp; Certification</v>
      </c>
      <c r="AF1619" s="15" t="str">
        <f t="shared" si="16"/>
        <v>Electropolished Pipes Supplier in Aviles - Stock Sizes, Lead Time &amp; Delivery</v>
      </c>
      <c r="AG1619" s="15" t="str">
        <f t="shared" si="17"/>
        <v>Electropolished Pipes Wholesaler &amp; Stockist in Aviles - Bulk &amp; Project Pricing</v>
      </c>
      <c r="AH1619" s="15" t="str">
        <f t="shared" si="18"/>
        <v>electropolished pipes manufacturer in Aviles, electropolished pipes supplier in Aviles, electropolished pipes wholesaler in Aviles, electropolished tube manufacturer Aviles, EP pipe supplier Aviles, sanitary tube supplier Aviles, ASME BPE tubing Aviles, ASTM A270 tube Aviles, SS 316L electropolished pipe Aviles</v>
      </c>
      <c r="AI1619" s="15" t="str">
        <f t="shared" si="19"/>
        <v>Electropolished Pipes Manufacturer &amp; Supplier in Aviles</v>
      </c>
      <c r="AJ1619" s="15" t="str">
        <f t="shared" si="20"/>
        <v>EP-finished SS 304/316L pipes and tubes for VERIFY plants in Aviles. ASME BPE SF1-SF4, Ra from 0.25 um, EN 10204 3.1 certificate with every lot.</v>
      </c>
      <c r="AK1619" s="15" t="str">
        <f t="shared" si="21"/>
        <v>Electropolished stainless steel pipes supplied by Sakshi Forge to VERIFY plants at VERIFY, Aviles</v>
      </c>
      <c r="AL1619" s="15" t="str">
        <f t="shared" si="22"/>
        <v>Electropolished SS 316L tube stock for Aviles - Sakshi Forge</v>
      </c>
      <c r="AM1619" s="15" t="str">
        <f t="shared" si="23"/>
        <v>Home &gt; Market Area &gt; Spain &gt; VERIFY &gt; Aviles</v>
      </c>
      <c r="AN1619" s="15">
        <f t="shared" si="24"/>
        <v>750</v>
      </c>
      <c r="AO1619" s="15">
        <f t="shared" si="25"/>
        <v>6</v>
      </c>
      <c r="AP1619" s="15">
        <f t="shared" si="26"/>
        <v>6</v>
      </c>
      <c r="AQ1619" s="15">
        <f t="shared" si="27"/>
        <v>27</v>
      </c>
      <c r="AR1619" s="31"/>
      <c r="AS1619" s="31"/>
      <c r="AT1619" s="35" t="s">
        <v>222</v>
      </c>
      <c r="AU1619" s="35"/>
    </row>
    <row r="1620" ht="15.75" customHeight="1">
      <c r="A1620" s="15" t="s">
        <v>7514</v>
      </c>
      <c r="B1620" s="15" t="s">
        <v>380</v>
      </c>
      <c r="C1620" s="15" t="s">
        <v>98</v>
      </c>
      <c r="D1620" s="15" t="s">
        <v>7515</v>
      </c>
      <c r="E1620" s="15" t="s">
        <v>7515</v>
      </c>
      <c r="F1620" s="58" t="s">
        <v>807</v>
      </c>
      <c r="G1620" s="66" t="s">
        <v>98</v>
      </c>
      <c r="H1620" s="18" t="s">
        <v>98</v>
      </c>
      <c r="I1620" s="18" t="s">
        <v>98</v>
      </c>
      <c r="J1620" s="18" t="s">
        <v>98</v>
      </c>
      <c r="K1620" s="18" t="s">
        <v>98</v>
      </c>
      <c r="L1620" s="18" t="s">
        <v>98</v>
      </c>
      <c r="M1620" s="18" t="s">
        <v>596</v>
      </c>
      <c r="N1620" s="18" t="s">
        <v>402</v>
      </c>
      <c r="O1620" s="18" t="s">
        <v>98</v>
      </c>
      <c r="P1620" s="15" t="str">
        <f t="shared" si="1"/>
        <v>VERIFY</v>
      </c>
      <c r="Q1620" s="15">
        <f t="shared" si="2"/>
        <v>1</v>
      </c>
      <c r="R1620" s="15">
        <f t="shared" si="3"/>
        <v>7</v>
      </c>
      <c r="S1620" s="15">
        <f t="shared" si="4"/>
        <v>2</v>
      </c>
      <c r="T1620" s="15" t="str">
        <f t="shared" si="5"/>
        <v>C-3</v>
      </c>
      <c r="U1620" s="15" t="str">
        <f t="shared" si="6"/>
        <v>T1-M7-H2-FC-3-VERIFY</v>
      </c>
      <c r="V1620" s="15">
        <f t="shared" si="7"/>
        <v>0</v>
      </c>
      <c r="W1620" s="31"/>
      <c r="X1620" s="15" t="str">
        <f t="shared" si="8"/>
        <v>badajoz-spain</v>
      </c>
      <c r="Y1620" s="32" t="str">
        <f t="shared" si="9"/>
        <v>https://steelmanufacturer.in/market-area/electropolished-pipes-manufacturer-in-badajoz-spain/</v>
      </c>
      <c r="Z1620" s="15" t="str">
        <f t="shared" si="10"/>
        <v>Electropolished Pipes Manufacturer in Badajoz | Sakshi Forge</v>
      </c>
      <c r="AA1620" s="15" t="str">
        <f t="shared" si="11"/>
        <v>OK (60)</v>
      </c>
      <c r="AB1620" s="15" t="str">
        <f t="shared" si="12"/>
        <v>Electropolished pipes in Badajoz: 304, 304L, 316 and 316L in SF1-SF4. 19-25 days sea from Nhava Sheva to Valencia. Mill certified.</v>
      </c>
      <c r="AC1620" s="15" t="str">
        <f t="shared" si="13"/>
        <v>PENDING RESEARCH</v>
      </c>
      <c r="AD1620" s="15" t="str">
        <f t="shared" si="14"/>
        <v>Electropolished Pipes Manufacturer in Badajoz</v>
      </c>
      <c r="AE1620" s="15" t="str">
        <f t="shared" si="15"/>
        <v>How We Manufacture Electropolished Tube for Badajoz Plants</v>
      </c>
      <c r="AF1620" s="15" t="str">
        <f t="shared" si="16"/>
        <v>Supplying Electropolished Pipes in Badajoz: Availability, Sizes &amp; Dispatch</v>
      </c>
      <c r="AG1620" s="15" t="str">
        <f t="shared" si="17"/>
        <v>Wholesale Electropolished Pipe Supply for Badajoz Projects</v>
      </c>
      <c r="AH1620" s="15" t="str">
        <f t="shared" si="18"/>
        <v>electropolished pipes manufacturer in Badajoz, electropolished pipes supplier in Badajoz, electropolished pipes wholesaler in Badajoz, electropolished tube manufacturer Badajoz, EP pipe supplier Badajoz, sanitary tube supplier Badajoz, ASME BPE tubing Badajoz, ASTM A270 tube Badajoz, SS 316L electropolished pipe Badajoz</v>
      </c>
      <c r="AI1620" s="15" t="str">
        <f t="shared" si="19"/>
        <v>Electropolished Pipes Manufacturer &amp; Supplier in Badajoz</v>
      </c>
      <c r="AJ1620" s="15" t="str">
        <f t="shared" si="20"/>
        <v>EP-finished SS 304/316L pipes and tubes for VERIFY plants in Badajoz. ASME BPE SF1-SF4, Ra from 0.25 um, EN 10204 3.1 certificate with every lot.</v>
      </c>
      <c r="AK1620" s="15" t="str">
        <f t="shared" si="21"/>
        <v>Electropolished stainless steel pipes supplied by Sakshi Forge to VERIFY plants at VERIFY, Badajoz</v>
      </c>
      <c r="AL1620" s="15" t="str">
        <f t="shared" si="22"/>
        <v>Electropolished SS 316L tube stock for Badajoz - Sakshi Forge</v>
      </c>
      <c r="AM1620" s="15" t="str">
        <f t="shared" si="23"/>
        <v>Home &gt; Market Area &gt; Spain &gt; VERIFY &gt; Badajoz</v>
      </c>
      <c r="AN1620" s="15">
        <f t="shared" si="24"/>
        <v>750</v>
      </c>
      <c r="AO1620" s="15">
        <f t="shared" si="25"/>
        <v>6</v>
      </c>
      <c r="AP1620" s="15">
        <f t="shared" si="26"/>
        <v>6</v>
      </c>
      <c r="AQ1620" s="15">
        <f t="shared" si="27"/>
        <v>27</v>
      </c>
      <c r="AR1620" s="31"/>
      <c r="AS1620" s="31"/>
      <c r="AT1620" s="35" t="s">
        <v>222</v>
      </c>
      <c r="AU1620" s="35"/>
    </row>
    <row r="1621" ht="15.75" customHeight="1">
      <c r="A1621" s="15" t="s">
        <v>7516</v>
      </c>
      <c r="B1621" s="15" t="s">
        <v>380</v>
      </c>
      <c r="C1621" s="15" t="s">
        <v>98</v>
      </c>
      <c r="D1621" s="15" t="s">
        <v>7517</v>
      </c>
      <c r="E1621" s="15" t="s">
        <v>7517</v>
      </c>
      <c r="F1621" s="58" t="s">
        <v>807</v>
      </c>
      <c r="G1621" s="66" t="s">
        <v>98</v>
      </c>
      <c r="H1621" s="18" t="s">
        <v>98</v>
      </c>
      <c r="I1621" s="18" t="s">
        <v>98</v>
      </c>
      <c r="J1621" s="18" t="s">
        <v>98</v>
      </c>
      <c r="K1621" s="18" t="s">
        <v>98</v>
      </c>
      <c r="L1621" s="18" t="s">
        <v>98</v>
      </c>
      <c r="M1621" s="18" t="s">
        <v>596</v>
      </c>
      <c r="N1621" s="18" t="s">
        <v>402</v>
      </c>
      <c r="O1621" s="18" t="s">
        <v>98</v>
      </c>
      <c r="P1621" s="15" t="str">
        <f t="shared" si="1"/>
        <v>VERIFY</v>
      </c>
      <c r="Q1621" s="15">
        <f t="shared" si="2"/>
        <v>2</v>
      </c>
      <c r="R1621" s="15">
        <f t="shared" si="3"/>
        <v>1</v>
      </c>
      <c r="S1621" s="15">
        <f t="shared" si="4"/>
        <v>3</v>
      </c>
      <c r="T1621" s="15" t="str">
        <f t="shared" si="5"/>
        <v>C-4</v>
      </c>
      <c r="U1621" s="15" t="str">
        <f t="shared" si="6"/>
        <v>T2-M1-H3-FC-4-VERIFY</v>
      </c>
      <c r="V1621" s="15">
        <f t="shared" si="7"/>
        <v>0</v>
      </c>
      <c r="W1621" s="31"/>
      <c r="X1621" s="15" t="str">
        <f t="shared" si="8"/>
        <v>benidorm-spain</v>
      </c>
      <c r="Y1621" s="32" t="str">
        <f t="shared" si="9"/>
        <v>https://steelmanufacturer.in/market-area/electropolished-pipes-manufacturer-in-benidorm-spain/</v>
      </c>
      <c r="Z1621" s="15" t="str">
        <f t="shared" si="10"/>
        <v>Electropolished Pipes Manufacturer in Benidorm</v>
      </c>
      <c r="AA1621" s="15" t="str">
        <f t="shared" si="11"/>
        <v>OK (46)</v>
      </c>
      <c r="AB1621" s="15" t="str">
        <f t="shared" si="12"/>
        <v>EP-finished SS 304/316L pipes &amp; tubes for VERIFY plants in Benidorm. ASTM A270, ASME BPE SF1-SF4, EN 10204 3.1 MTC. PMI tested.</v>
      </c>
      <c r="AC1621" s="15" t="str">
        <f t="shared" si="13"/>
        <v>PENDING RESEARCH</v>
      </c>
      <c r="AD1621" s="15" t="str">
        <f t="shared" si="14"/>
        <v>Electropolished Pipes Manufacturer in Benidorm</v>
      </c>
      <c r="AE1621" s="15" t="str">
        <f t="shared" si="15"/>
        <v>Electropolished Pipes Manufacturer in Benidorm - Our Process &amp; Capability</v>
      </c>
      <c r="AF1621" s="15" t="str">
        <f t="shared" si="16"/>
        <v>Electropolished Pipes Supplier in Benidorm - What We Hold in Stock</v>
      </c>
      <c r="AG1621" s="15" t="str">
        <f t="shared" si="17"/>
        <v>Bulk &amp; Wholesale Electropolished Pipe Rates for Benidorm Buyers</v>
      </c>
      <c r="AH1621" s="15" t="str">
        <f t="shared" si="18"/>
        <v>electropolished pipes manufacturer in Benidorm, electropolished pipes supplier in Benidorm, electropolished pipes wholesaler in Benidorm, electropolished tube manufacturer Benidorm, EP pipe supplier Benidorm, sanitary tube supplier Benidorm, ASME BPE tubing Benidorm, ASTM A270 tube Benidorm, SS 316L electropolished pipe Benidorm</v>
      </c>
      <c r="AI1621" s="15" t="str">
        <f t="shared" si="19"/>
        <v>Electropolished Pipes Manufacturer &amp; Supplier in Benidorm</v>
      </c>
      <c r="AJ1621" s="15" t="str">
        <f t="shared" si="20"/>
        <v>EP-finished SS 304/316L pipes and tubes for VERIFY plants in Benidorm. ASME BPE SF1-SF4, Ra from 0.25 um, EN 10204 3.1 certificate with every lot.</v>
      </c>
      <c r="AK1621" s="15" t="str">
        <f t="shared" si="21"/>
        <v>Electropolished stainless steel pipes supplied by Sakshi Forge to VERIFY plants at VERIFY, Benidorm</v>
      </c>
      <c r="AL1621" s="15" t="str">
        <f t="shared" si="22"/>
        <v>Electropolished SS 316L tube stock for Benidorm - Sakshi Forge</v>
      </c>
      <c r="AM1621" s="15" t="str">
        <f t="shared" si="23"/>
        <v>Home &gt; Market Area &gt; Spain &gt; VERIFY &gt; Benidorm</v>
      </c>
      <c r="AN1621" s="15">
        <f t="shared" si="24"/>
        <v>750</v>
      </c>
      <c r="AO1621" s="15">
        <f t="shared" si="25"/>
        <v>6</v>
      </c>
      <c r="AP1621" s="15">
        <f t="shared" si="26"/>
        <v>6</v>
      </c>
      <c r="AQ1621" s="15">
        <f t="shared" si="27"/>
        <v>27</v>
      </c>
      <c r="AR1621" s="31"/>
      <c r="AS1621" s="31"/>
      <c r="AT1621" s="35" t="s">
        <v>222</v>
      </c>
      <c r="AU1621" s="35"/>
    </row>
    <row r="1622" ht="15.75" customHeight="1">
      <c r="A1622" s="15" t="s">
        <v>7518</v>
      </c>
      <c r="B1622" s="15" t="s">
        <v>380</v>
      </c>
      <c r="C1622" s="15" t="s">
        <v>98</v>
      </c>
      <c r="D1622" s="15" t="s">
        <v>7519</v>
      </c>
      <c r="E1622" s="15" t="s">
        <v>7519</v>
      </c>
      <c r="F1622" s="58" t="s">
        <v>807</v>
      </c>
      <c r="G1622" s="66" t="s">
        <v>98</v>
      </c>
      <c r="H1622" s="18" t="s">
        <v>98</v>
      </c>
      <c r="I1622" s="18" t="s">
        <v>98</v>
      </c>
      <c r="J1622" s="18" t="s">
        <v>98</v>
      </c>
      <c r="K1622" s="18" t="s">
        <v>98</v>
      </c>
      <c r="L1622" s="18" t="s">
        <v>98</v>
      </c>
      <c r="M1622" s="18" t="s">
        <v>596</v>
      </c>
      <c r="N1622" s="18" t="s">
        <v>402</v>
      </c>
      <c r="O1622" s="18" t="s">
        <v>98</v>
      </c>
      <c r="P1622" s="15" t="str">
        <f t="shared" si="1"/>
        <v>VERIFY</v>
      </c>
      <c r="Q1622" s="15">
        <f t="shared" si="2"/>
        <v>3</v>
      </c>
      <c r="R1622" s="15">
        <f t="shared" si="3"/>
        <v>2</v>
      </c>
      <c r="S1622" s="15">
        <f t="shared" si="4"/>
        <v>4</v>
      </c>
      <c r="T1622" s="15" t="str">
        <f t="shared" si="5"/>
        <v>C-5</v>
      </c>
      <c r="U1622" s="15" t="str">
        <f t="shared" si="6"/>
        <v>T3-M2-H4-FC-5-VERIFY</v>
      </c>
      <c r="V1622" s="15">
        <f t="shared" si="7"/>
        <v>0</v>
      </c>
      <c r="W1622" s="31"/>
      <c r="X1622" s="15" t="str">
        <f t="shared" si="8"/>
        <v>caceres-spain</v>
      </c>
      <c r="Y1622" s="32" t="str">
        <f t="shared" si="9"/>
        <v>https://steelmanufacturer.in/market-area/electropolished-pipes-manufacturer-in-caceres-spain/</v>
      </c>
      <c r="Z1622" s="15" t="str">
        <f t="shared" si="10"/>
        <v>Electropolished Pipes Manufacturer in Caceres | EP Tube Supplier</v>
      </c>
      <c r="AA1622" s="15" t="str">
        <f t="shared" si="11"/>
        <v>OK (64)</v>
      </c>
      <c r="AB1622" s="15" t="str">
        <f t="shared" si="12"/>
        <v>Electropolished tube supply to VERIFY, Caceres. Ra from 0.25 um, SF4 finish, mill test certificate with every lot.</v>
      </c>
      <c r="AC1622" s="15" t="str">
        <f t="shared" si="13"/>
        <v>PENDING RESEARCH</v>
      </c>
      <c r="AD1622" s="15" t="str">
        <f t="shared" si="14"/>
        <v>Electropolished Pipes Manufacturer in Caceres</v>
      </c>
      <c r="AE1622" s="15" t="str">
        <f t="shared" si="15"/>
        <v>Manufacturing Electropolished SS Tube for Caceres: The Standards We Build To</v>
      </c>
      <c r="AF1622" s="15" t="str">
        <f t="shared" si="16"/>
        <v>Electropolished Pipe Supply Into Caceres - Certification &amp; Transit</v>
      </c>
      <c r="AG1622" s="15" t="str">
        <f t="shared" si="17"/>
        <v>Electropolished Pipes Wholesaler in Caceres - Project Quantities &amp; Terms</v>
      </c>
      <c r="AH1622" s="15" t="str">
        <f t="shared" si="18"/>
        <v>electropolished pipes manufacturer in Caceres, electropolished pipes supplier in Caceres, electropolished pipes wholesaler in Caceres, electropolished tube manufacturer Caceres, EP pipe supplier Caceres, sanitary tube supplier Caceres, ASME BPE tubing Caceres, ASTM A270 tube Caceres, SS 316L electropolished pipe Caceres</v>
      </c>
      <c r="AI1622" s="15" t="str">
        <f t="shared" si="19"/>
        <v>Electropolished Pipes Manufacturer &amp; Supplier in Caceres</v>
      </c>
      <c r="AJ1622" s="15" t="str">
        <f t="shared" si="20"/>
        <v>EP-finished SS 304/316L pipes and tubes for VERIFY plants in Caceres. ASME BPE SF1-SF4, Ra from 0.25 um, EN 10204 3.1 certificate with every lot.</v>
      </c>
      <c r="AK1622" s="15" t="str">
        <f t="shared" si="21"/>
        <v>Electropolished stainless steel pipes supplied by Sakshi Forge to VERIFY plants at VERIFY, Caceres</v>
      </c>
      <c r="AL1622" s="15" t="str">
        <f t="shared" si="22"/>
        <v>Electropolished SS 316L tube stock for Caceres - Sakshi Forge</v>
      </c>
      <c r="AM1622" s="15" t="str">
        <f t="shared" si="23"/>
        <v>Home &gt; Market Area &gt; Spain &gt; VERIFY &gt; Caceres</v>
      </c>
      <c r="AN1622" s="15">
        <f t="shared" si="24"/>
        <v>750</v>
      </c>
      <c r="AO1622" s="15">
        <f t="shared" si="25"/>
        <v>6</v>
      </c>
      <c r="AP1622" s="15">
        <f t="shared" si="26"/>
        <v>6</v>
      </c>
      <c r="AQ1622" s="15">
        <f t="shared" si="27"/>
        <v>27</v>
      </c>
      <c r="AR1622" s="31"/>
      <c r="AS1622" s="31"/>
      <c r="AT1622" s="35" t="s">
        <v>222</v>
      </c>
      <c r="AU1622" s="35"/>
    </row>
    <row r="1623" ht="15.75" customHeight="1">
      <c r="A1623" s="15" t="s">
        <v>7520</v>
      </c>
      <c r="B1623" s="15" t="s">
        <v>380</v>
      </c>
      <c r="C1623" s="15" t="s">
        <v>98</v>
      </c>
      <c r="D1623" s="15" t="s">
        <v>7521</v>
      </c>
      <c r="E1623" s="15" t="s">
        <v>7521</v>
      </c>
      <c r="F1623" s="58" t="s">
        <v>807</v>
      </c>
      <c r="G1623" s="66" t="s">
        <v>98</v>
      </c>
      <c r="H1623" s="18" t="s">
        <v>98</v>
      </c>
      <c r="I1623" s="18" t="s">
        <v>98</v>
      </c>
      <c r="J1623" s="18" t="s">
        <v>98</v>
      </c>
      <c r="K1623" s="18" t="s">
        <v>98</v>
      </c>
      <c r="L1623" s="18" t="s">
        <v>98</v>
      </c>
      <c r="M1623" s="18" t="s">
        <v>596</v>
      </c>
      <c r="N1623" s="18" t="s">
        <v>402</v>
      </c>
      <c r="O1623" s="18" t="s">
        <v>98</v>
      </c>
      <c r="P1623" s="15" t="str">
        <f t="shared" si="1"/>
        <v>VERIFY</v>
      </c>
      <c r="Q1623" s="15">
        <f t="shared" si="2"/>
        <v>4</v>
      </c>
      <c r="R1623" s="15">
        <f t="shared" si="3"/>
        <v>3</v>
      </c>
      <c r="S1623" s="15">
        <f t="shared" si="4"/>
        <v>5</v>
      </c>
      <c r="T1623" s="15" t="str">
        <f t="shared" si="5"/>
        <v>C-6</v>
      </c>
      <c r="U1623" s="15" t="str">
        <f t="shared" si="6"/>
        <v>T4-M3-H5-FC-6-VERIFY</v>
      </c>
      <c r="V1623" s="15">
        <f t="shared" si="7"/>
        <v>0</v>
      </c>
      <c r="W1623" s="31"/>
      <c r="X1623" s="15" t="str">
        <f t="shared" si="8"/>
        <v>cadiz-spain</v>
      </c>
      <c r="Y1623" s="32" t="str">
        <f t="shared" si="9"/>
        <v>https://steelmanufacturer.in/market-area/electropolished-pipes-manufacturer-in-cadiz-spain/</v>
      </c>
      <c r="Z1623" s="15" t="str">
        <f t="shared" si="10"/>
        <v>Electropolished Pipes Manufacturer in Cadiz - SS 304/316L EP Tube</v>
      </c>
      <c r="AA1623" s="15" t="str">
        <f t="shared" si="11"/>
        <v>OK (65)</v>
      </c>
      <c r="AB1623" s="15" t="str">
        <f t="shared" si="12"/>
        <v>EP stainless tube for VERIFY lines in Cadiz. 19-25 days sea from Nhava Sheva to Valencia. ASTM A270 S2, PMI tested, EN 10204 3.1.</v>
      </c>
      <c r="AC1623" s="15" t="str">
        <f t="shared" si="13"/>
        <v>PENDING RESEARCH</v>
      </c>
      <c r="AD1623" s="15" t="str">
        <f t="shared" si="14"/>
        <v>Electropolished Pipes Manufacturer in Cadiz</v>
      </c>
      <c r="AE1623" s="15" t="str">
        <f t="shared" si="15"/>
        <v>Electropolished Tube Manufacturing Capability Serving Cadiz</v>
      </c>
      <c r="AF1623" s="15" t="str">
        <f t="shared" si="16"/>
        <v>Electropolished Pipes Supplier in Cadiz - From Order to Delivery</v>
      </c>
      <c r="AG1623" s="15" t="str">
        <f t="shared" si="17"/>
        <v>Stockist &amp; Wholesale Supply of Electropolished Pipes in Cadiz</v>
      </c>
      <c r="AH1623" s="15" t="str">
        <f t="shared" si="18"/>
        <v>electropolished pipes manufacturer in Cadiz, electropolished pipes supplier in Cadiz, electropolished pipes wholesaler in Cadiz, electropolished tube manufacturer Cadiz, EP pipe supplier Cadiz, sanitary tube supplier Cadiz, ASME BPE tubing Cadiz, ASTM A270 tube Cadiz, SS 316L electropolished pipe Cadiz</v>
      </c>
      <c r="AI1623" s="15" t="str">
        <f t="shared" si="19"/>
        <v>Electropolished Pipes Manufacturer &amp; Supplier in Cadiz</v>
      </c>
      <c r="AJ1623" s="15" t="str">
        <f t="shared" si="20"/>
        <v>EP-finished SS 304/316L pipes and tubes for VERIFY plants in Cadiz. ASME BPE SF1-SF4, Ra from 0.25 um, EN 10204 3.1 certificate with every lot.</v>
      </c>
      <c r="AK1623" s="15" t="str">
        <f t="shared" si="21"/>
        <v>Electropolished stainless steel pipes supplied by Sakshi Forge to VERIFY plants at VERIFY, Cadiz</v>
      </c>
      <c r="AL1623" s="15" t="str">
        <f t="shared" si="22"/>
        <v>Electropolished SS 316L tube stock for Cadiz - Sakshi Forge</v>
      </c>
      <c r="AM1623" s="15" t="str">
        <f t="shared" si="23"/>
        <v>Home &gt; Market Area &gt; Spain &gt; VERIFY &gt; Cadiz</v>
      </c>
      <c r="AN1623" s="15">
        <f t="shared" si="24"/>
        <v>750</v>
      </c>
      <c r="AO1623" s="15">
        <f t="shared" si="25"/>
        <v>6</v>
      </c>
      <c r="AP1623" s="15">
        <f t="shared" si="26"/>
        <v>6</v>
      </c>
      <c r="AQ1623" s="15">
        <f t="shared" si="27"/>
        <v>27</v>
      </c>
      <c r="AR1623" s="31"/>
      <c r="AS1623" s="31"/>
      <c r="AT1623" s="35" t="s">
        <v>222</v>
      </c>
      <c r="AU1623" s="35"/>
    </row>
    <row r="1624" ht="15.75" customHeight="1">
      <c r="A1624" s="15" t="s">
        <v>7524</v>
      </c>
      <c r="B1624" s="15" t="s">
        <v>380</v>
      </c>
      <c r="C1624" s="15" t="s">
        <v>98</v>
      </c>
      <c r="D1624" s="15" t="s">
        <v>7526</v>
      </c>
      <c r="E1624" s="15" t="s">
        <v>7526</v>
      </c>
      <c r="F1624" s="58" t="s">
        <v>807</v>
      </c>
      <c r="G1624" s="66" t="s">
        <v>98</v>
      </c>
      <c r="H1624" s="18" t="s">
        <v>98</v>
      </c>
      <c r="I1624" s="18" t="s">
        <v>98</v>
      </c>
      <c r="J1624" s="18" t="s">
        <v>98</v>
      </c>
      <c r="K1624" s="18" t="s">
        <v>98</v>
      </c>
      <c r="L1624" s="18" t="s">
        <v>98</v>
      </c>
      <c r="M1624" s="18" t="s">
        <v>596</v>
      </c>
      <c r="N1624" s="18" t="s">
        <v>402</v>
      </c>
      <c r="O1624" s="18" t="s">
        <v>98</v>
      </c>
      <c r="P1624" s="15" t="str">
        <f t="shared" si="1"/>
        <v>VERIFY</v>
      </c>
      <c r="Q1624" s="15">
        <f t="shared" si="2"/>
        <v>5</v>
      </c>
      <c r="R1624" s="15">
        <f t="shared" si="3"/>
        <v>4</v>
      </c>
      <c r="S1624" s="15">
        <f t="shared" si="4"/>
        <v>1</v>
      </c>
      <c r="T1624" s="15" t="str">
        <f t="shared" si="5"/>
        <v>C-1</v>
      </c>
      <c r="U1624" s="15" t="str">
        <f t="shared" si="6"/>
        <v>T5-M4-H1-FC-1-VERIFY</v>
      </c>
      <c r="V1624" s="15">
        <f t="shared" si="7"/>
        <v>0</v>
      </c>
      <c r="W1624" s="31"/>
      <c r="X1624" s="15" t="str">
        <f t="shared" si="8"/>
        <v>cieza-spain</v>
      </c>
      <c r="Y1624" s="32" t="str">
        <f t="shared" si="9"/>
        <v>https://steelmanufacturer.in/market-area/electropolished-pipes-manufacturer-in-cieza-spain/</v>
      </c>
      <c r="Z1624" s="15" t="str">
        <f t="shared" si="10"/>
        <v>Electropolished Pipes Manufacturer in Cieza</v>
      </c>
      <c r="AA1624" s="15" t="str">
        <f t="shared" si="11"/>
        <v>OK (43)</v>
      </c>
      <c r="AB1624" s="15" t="str">
        <f t="shared" si="12"/>
        <v>Sanitary electropolished pipes in Cieza for VERIFY plants. ASME BPE SF1-SF4, orbital-weld ready, 3.1 MTC. Mumbai-made.</v>
      </c>
      <c r="AC1624" s="15" t="str">
        <f t="shared" si="13"/>
        <v>PENDING RESEARCH</v>
      </c>
      <c r="AD1624" s="15" t="str">
        <f t="shared" si="14"/>
        <v>Electropolished Pipes Manufacturer in Cieza</v>
      </c>
      <c r="AE1624" s="15" t="str">
        <f t="shared" si="15"/>
        <v>Electropolished Pipe &amp; Tube Manufacturing for Cieza - Grades, Finishes &amp; Certification</v>
      </c>
      <c r="AF1624" s="15" t="str">
        <f t="shared" si="16"/>
        <v>Electropolished Pipes Supplier in Cieza - Stock Sizes, Lead Time &amp; Delivery</v>
      </c>
      <c r="AG1624" s="15" t="str">
        <f t="shared" si="17"/>
        <v>Electropolished Pipes Wholesaler &amp; Stockist in Cieza - Bulk &amp; Project Pricing</v>
      </c>
      <c r="AH1624" s="15" t="str">
        <f t="shared" si="18"/>
        <v>electropolished pipes manufacturer in Cieza, electropolished pipes supplier in Cieza, electropolished pipes wholesaler in Cieza, electropolished tube manufacturer Cieza, EP pipe supplier Cieza, sanitary tube supplier Cieza, ASME BPE tubing Cieza, ASTM A270 tube Cieza, SS 316L electropolished pipe Cieza</v>
      </c>
      <c r="AI1624" s="15" t="str">
        <f t="shared" si="19"/>
        <v>Electropolished Pipes Manufacturer &amp; Supplier in Cieza</v>
      </c>
      <c r="AJ1624" s="15" t="str">
        <f t="shared" si="20"/>
        <v>EP-finished SS 304/316L pipes and tubes for VERIFY plants in Cieza. ASME BPE SF1-SF4, Ra from 0.25 um, EN 10204 3.1 certificate with every lot.</v>
      </c>
      <c r="AK1624" s="15" t="str">
        <f t="shared" si="21"/>
        <v>Electropolished stainless steel pipes supplied by Sakshi Forge to VERIFY plants at VERIFY, Cieza</v>
      </c>
      <c r="AL1624" s="15" t="str">
        <f t="shared" si="22"/>
        <v>Electropolished SS 316L tube stock for Cieza - Sakshi Forge</v>
      </c>
      <c r="AM1624" s="15" t="str">
        <f t="shared" si="23"/>
        <v>Home &gt; Market Area &gt; Spain &gt; VERIFY &gt; Cieza</v>
      </c>
      <c r="AN1624" s="15">
        <f t="shared" si="24"/>
        <v>750</v>
      </c>
      <c r="AO1624" s="15">
        <f t="shared" si="25"/>
        <v>6</v>
      </c>
      <c r="AP1624" s="15">
        <f t="shared" si="26"/>
        <v>6</v>
      </c>
      <c r="AQ1624" s="15">
        <f t="shared" si="27"/>
        <v>28</v>
      </c>
      <c r="AR1624" s="31"/>
      <c r="AS1624" s="31"/>
      <c r="AT1624" s="35" t="s">
        <v>222</v>
      </c>
      <c r="AU1624" s="35"/>
    </row>
    <row r="1625" ht="15.75" customHeight="1">
      <c r="A1625" s="15" t="s">
        <v>7527</v>
      </c>
      <c r="B1625" s="15" t="s">
        <v>380</v>
      </c>
      <c r="C1625" s="15" t="s">
        <v>98</v>
      </c>
      <c r="D1625" s="15" t="s">
        <v>7528</v>
      </c>
      <c r="E1625" s="15" t="s">
        <v>7528</v>
      </c>
      <c r="F1625" s="58" t="s">
        <v>807</v>
      </c>
      <c r="G1625" s="66" t="s">
        <v>98</v>
      </c>
      <c r="H1625" s="18" t="s">
        <v>98</v>
      </c>
      <c r="I1625" s="18" t="s">
        <v>98</v>
      </c>
      <c r="J1625" s="18" t="s">
        <v>98</v>
      </c>
      <c r="K1625" s="18" t="s">
        <v>98</v>
      </c>
      <c r="L1625" s="18" t="s">
        <v>98</v>
      </c>
      <c r="M1625" s="18" t="s">
        <v>596</v>
      </c>
      <c r="N1625" s="18" t="s">
        <v>402</v>
      </c>
      <c r="O1625" s="18" t="s">
        <v>98</v>
      </c>
      <c r="P1625" s="15" t="str">
        <f t="shared" si="1"/>
        <v>VERIFY</v>
      </c>
      <c r="Q1625" s="15">
        <f t="shared" si="2"/>
        <v>6</v>
      </c>
      <c r="R1625" s="15">
        <f t="shared" si="3"/>
        <v>5</v>
      </c>
      <c r="S1625" s="15">
        <f t="shared" si="4"/>
        <v>2</v>
      </c>
      <c r="T1625" s="15" t="str">
        <f t="shared" si="5"/>
        <v>C-2</v>
      </c>
      <c r="U1625" s="15" t="str">
        <f t="shared" si="6"/>
        <v>T6-M5-H2-FC-2-VERIFY</v>
      </c>
      <c r="V1625" s="15">
        <f t="shared" si="7"/>
        <v>0</v>
      </c>
      <c r="W1625" s="31"/>
      <c r="X1625" s="15" t="str">
        <f t="shared" si="8"/>
        <v>ciudad-real-spain</v>
      </c>
      <c r="Y1625" s="32" t="str">
        <f t="shared" si="9"/>
        <v>https://steelmanufacturer.in/market-area/electropolished-pipes-manufacturer-in-ciudad-real-spain/</v>
      </c>
      <c r="Z1625" s="15" t="str">
        <f t="shared" si="10"/>
        <v>Electropolished Pipes Manufacturer in Ciudad Real</v>
      </c>
      <c r="AA1625" s="15" t="str">
        <f t="shared" si="11"/>
        <v>OK (49)</v>
      </c>
      <c r="AB1625" s="15" t="str">
        <f t="shared" si="12"/>
        <v>Manufacturer of electropolished SS 316L tube serving Ciudad Real. 19-25 days sea from Nhava Sheva to Valencia. Ra 0.25-0.5 um, EN 10204 3.1 MTC.</v>
      </c>
      <c r="AC1625" s="15" t="str">
        <f t="shared" si="13"/>
        <v>PENDING RESEARCH</v>
      </c>
      <c r="AD1625" s="15" t="str">
        <f t="shared" si="14"/>
        <v>Electropolished Pipes Manufacturer in Ciudad Real</v>
      </c>
      <c r="AE1625" s="15" t="str">
        <f t="shared" si="15"/>
        <v>How We Manufacture Electropolished Tube for Ciudad Real Plants</v>
      </c>
      <c r="AF1625" s="15" t="str">
        <f t="shared" si="16"/>
        <v>Supplying Electropolished Pipes in Ciudad Real: Availability, Sizes &amp; Dispatch</v>
      </c>
      <c r="AG1625" s="15" t="str">
        <f t="shared" si="17"/>
        <v>Wholesale Electropolished Pipe Supply for Ciudad Real Projects</v>
      </c>
      <c r="AH1625" s="15" t="str">
        <f t="shared" si="18"/>
        <v>electropolished pipes manufacturer in Ciudad Real, electropolished pipes supplier in Ciudad Real, electropolished pipes wholesaler in Ciudad Real, electropolished tube manufacturer Ciudad Real, EP pipe supplier Ciudad Real, sanitary tube supplier Ciudad Real, ASME BPE tubing Ciudad Real, ASTM A270 tube Ciudad Real, SS 316L electropolished pipe Ciudad Real</v>
      </c>
      <c r="AI1625" s="15" t="str">
        <f t="shared" si="19"/>
        <v>Electropolished Pipes Manufacturer &amp; Supplier in Ciudad Real</v>
      </c>
      <c r="AJ1625" s="15" t="str">
        <f t="shared" si="20"/>
        <v>EP-finished SS 304/316L pipes and tubes for VERIFY plants in Ciudad Real. ASME BPE SF1-SF4, Ra from 0.25 um, EN 10204 3.1 certificate with every lot.</v>
      </c>
      <c r="AK1625" s="15" t="str">
        <f t="shared" si="21"/>
        <v>Electropolished stainless steel pipes supplied by Sakshi Forge to VERIFY plants at VERIFY, Ciudad Real</v>
      </c>
      <c r="AL1625" s="15" t="str">
        <f t="shared" si="22"/>
        <v>Electropolished SS 316L tube stock for Ciudad Real - Sakshi Forge</v>
      </c>
      <c r="AM1625" s="15" t="str">
        <f t="shared" si="23"/>
        <v>Home &gt; Market Area &gt; Spain &gt; VERIFY &gt; Ciudad Real</v>
      </c>
      <c r="AN1625" s="15">
        <f t="shared" si="24"/>
        <v>750</v>
      </c>
      <c r="AO1625" s="15">
        <f t="shared" si="25"/>
        <v>6</v>
      </c>
      <c r="AP1625" s="15">
        <f t="shared" si="26"/>
        <v>6</v>
      </c>
      <c r="AQ1625" s="15">
        <f t="shared" si="27"/>
        <v>28</v>
      </c>
      <c r="AR1625" s="31"/>
      <c r="AS1625" s="31"/>
      <c r="AT1625" s="35" t="s">
        <v>222</v>
      </c>
      <c r="AU1625" s="35"/>
    </row>
    <row r="1626" ht="15.75" customHeight="1">
      <c r="A1626" s="15" t="s">
        <v>7529</v>
      </c>
      <c r="B1626" s="15" t="s">
        <v>380</v>
      </c>
      <c r="C1626" s="15" t="s">
        <v>98</v>
      </c>
      <c r="D1626" s="15" t="s">
        <v>7530</v>
      </c>
      <c r="E1626" s="15" t="s">
        <v>7530</v>
      </c>
      <c r="F1626" s="58" t="s">
        <v>807</v>
      </c>
      <c r="G1626" s="66" t="s">
        <v>98</v>
      </c>
      <c r="H1626" s="18" t="s">
        <v>98</v>
      </c>
      <c r="I1626" s="18" t="s">
        <v>98</v>
      </c>
      <c r="J1626" s="18" t="s">
        <v>98</v>
      </c>
      <c r="K1626" s="18" t="s">
        <v>98</v>
      </c>
      <c r="L1626" s="18" t="s">
        <v>98</v>
      </c>
      <c r="M1626" s="18" t="s">
        <v>596</v>
      </c>
      <c r="N1626" s="18" t="s">
        <v>402</v>
      </c>
      <c r="O1626" s="18" t="s">
        <v>98</v>
      </c>
      <c r="P1626" s="15" t="str">
        <f t="shared" si="1"/>
        <v>VERIFY</v>
      </c>
      <c r="Q1626" s="15">
        <f t="shared" si="2"/>
        <v>7</v>
      </c>
      <c r="R1626" s="15">
        <f t="shared" si="3"/>
        <v>6</v>
      </c>
      <c r="S1626" s="15">
        <f t="shared" si="4"/>
        <v>3</v>
      </c>
      <c r="T1626" s="15" t="str">
        <f t="shared" si="5"/>
        <v>C-3</v>
      </c>
      <c r="U1626" s="15" t="str">
        <f t="shared" si="6"/>
        <v>T7-M6-H3-FC-3-VERIFY</v>
      </c>
      <c r="V1626" s="15">
        <f t="shared" si="7"/>
        <v>0</v>
      </c>
      <c r="W1626" s="31"/>
      <c r="X1626" s="15" t="str">
        <f t="shared" si="8"/>
        <v>coslada-spain</v>
      </c>
      <c r="Y1626" s="32" t="str">
        <f t="shared" si="9"/>
        <v>https://steelmanufacturer.in/market-area/electropolished-pipes-manufacturer-in-coslada-spain/</v>
      </c>
      <c r="Z1626" s="15" t="str">
        <f t="shared" si="10"/>
        <v>Electropolished Pipes Manufacturer in Coslada | ASME BPE SF1-SF4</v>
      </c>
      <c r="AA1626" s="15" t="str">
        <f t="shared" si="11"/>
        <v>OK (64)</v>
      </c>
      <c r="AB1626" s="15" t="str">
        <f t="shared" si="12"/>
        <v>EP tube and pipe for VERIFY plants around VERIFY, Coslada. Made at our Mumbai works to ASTM A270 and ASME BPE SF1-SF4, with 3.1 MTC.</v>
      </c>
      <c r="AC1626" s="15" t="str">
        <f t="shared" si="13"/>
        <v>PENDING RESEARCH</v>
      </c>
      <c r="AD1626" s="15" t="str">
        <f t="shared" si="14"/>
        <v>Electropolished Pipes Manufacturer in Coslada</v>
      </c>
      <c r="AE1626" s="15" t="str">
        <f t="shared" si="15"/>
        <v>Electropolished Pipes Manufacturer in Coslada - Our Process &amp; Capability</v>
      </c>
      <c r="AF1626" s="15" t="str">
        <f t="shared" si="16"/>
        <v>Electropolished Pipes Supplier in Coslada - What We Hold in Stock</v>
      </c>
      <c r="AG1626" s="15" t="str">
        <f t="shared" si="17"/>
        <v>Bulk &amp; Wholesale Electropolished Pipe Rates for Coslada Buyers</v>
      </c>
      <c r="AH1626" s="15" t="str">
        <f t="shared" si="18"/>
        <v>electropolished pipes manufacturer in Coslada, electropolished pipes supplier in Coslada, electropolished pipes wholesaler in Coslada, electropolished tube manufacturer Coslada, EP pipe supplier Coslada, sanitary tube supplier Coslada, ASME BPE tubing Coslada, ASTM A270 tube Coslada, SS 316L electropolished pipe Coslada</v>
      </c>
      <c r="AI1626" s="15" t="str">
        <f t="shared" si="19"/>
        <v>Electropolished Pipes Manufacturer &amp; Supplier in Coslada</v>
      </c>
      <c r="AJ1626" s="15" t="str">
        <f t="shared" si="20"/>
        <v>EP-finished SS 304/316L pipes and tubes for VERIFY plants in Coslada. ASME BPE SF1-SF4, Ra from 0.25 um, EN 10204 3.1 certificate with every lot.</v>
      </c>
      <c r="AK1626" s="15" t="str">
        <f t="shared" si="21"/>
        <v>Electropolished stainless steel pipes supplied by Sakshi Forge to VERIFY plants at VERIFY, Coslada</v>
      </c>
      <c r="AL1626" s="15" t="str">
        <f t="shared" si="22"/>
        <v>Electropolished SS 316L tube stock for Coslada - Sakshi Forge</v>
      </c>
      <c r="AM1626" s="15" t="str">
        <f t="shared" si="23"/>
        <v>Home &gt; Market Area &gt; Spain &gt; VERIFY &gt; Coslada</v>
      </c>
      <c r="AN1626" s="15">
        <f t="shared" si="24"/>
        <v>750</v>
      </c>
      <c r="AO1626" s="15">
        <f t="shared" si="25"/>
        <v>6</v>
      </c>
      <c r="AP1626" s="15">
        <f t="shared" si="26"/>
        <v>6</v>
      </c>
      <c r="AQ1626" s="15">
        <f t="shared" si="27"/>
        <v>28</v>
      </c>
      <c r="AR1626" s="31"/>
      <c r="AS1626" s="31"/>
      <c r="AT1626" s="35" t="s">
        <v>222</v>
      </c>
      <c r="AU1626" s="35"/>
    </row>
    <row r="1627" ht="15.75" customHeight="1">
      <c r="A1627" s="15" t="s">
        <v>7531</v>
      </c>
      <c r="B1627" s="15" t="s">
        <v>380</v>
      </c>
      <c r="C1627" s="15" t="s">
        <v>98</v>
      </c>
      <c r="D1627" s="15" t="s">
        <v>7532</v>
      </c>
      <c r="E1627" s="15" t="s">
        <v>7532</v>
      </c>
      <c r="F1627" s="58" t="s">
        <v>807</v>
      </c>
      <c r="G1627" s="66" t="s">
        <v>98</v>
      </c>
      <c r="H1627" s="18" t="s">
        <v>98</v>
      </c>
      <c r="I1627" s="18" t="s">
        <v>98</v>
      </c>
      <c r="J1627" s="18" t="s">
        <v>98</v>
      </c>
      <c r="K1627" s="18" t="s">
        <v>98</v>
      </c>
      <c r="L1627" s="18" t="s">
        <v>98</v>
      </c>
      <c r="M1627" s="18" t="s">
        <v>596</v>
      </c>
      <c r="N1627" s="18" t="s">
        <v>402</v>
      </c>
      <c r="O1627" s="18" t="s">
        <v>98</v>
      </c>
      <c r="P1627" s="15" t="str">
        <f t="shared" si="1"/>
        <v>VERIFY</v>
      </c>
      <c r="Q1627" s="15">
        <f t="shared" si="2"/>
        <v>8</v>
      </c>
      <c r="R1627" s="15">
        <f t="shared" si="3"/>
        <v>7</v>
      </c>
      <c r="S1627" s="15">
        <f t="shared" si="4"/>
        <v>4</v>
      </c>
      <c r="T1627" s="15" t="str">
        <f t="shared" si="5"/>
        <v>C-4</v>
      </c>
      <c r="U1627" s="15" t="str">
        <f t="shared" si="6"/>
        <v>T8-M7-H4-FC-4-VERIFY</v>
      </c>
      <c r="V1627" s="15">
        <f t="shared" si="7"/>
        <v>0</v>
      </c>
      <c r="W1627" s="31"/>
      <c r="X1627" s="15" t="str">
        <f t="shared" si="8"/>
        <v>cuenca-spain</v>
      </c>
      <c r="Y1627" s="32" t="str">
        <f t="shared" si="9"/>
        <v>https://steelmanufacturer.in/market-area/electropolished-pipes-manufacturer-in-cuenca-spain/</v>
      </c>
      <c r="Z1627" s="15" t="str">
        <f t="shared" si="10"/>
        <v>Electropolished Pipes Manufacturer in Cuenca - EP Tube Stockist</v>
      </c>
      <c r="AA1627" s="15" t="str">
        <f t="shared" si="11"/>
        <v>OK (63)</v>
      </c>
      <c r="AB1627" s="15" t="str">
        <f t="shared" si="12"/>
        <v>Electropolished pipes in Cuenca: 304, 304L, 316 and 316L in SF1-SF4. 19-25 days sea from Nhava Sheva to Valencia. Mill certified.</v>
      </c>
      <c r="AC1627" s="15" t="str">
        <f t="shared" si="13"/>
        <v>PENDING RESEARCH</v>
      </c>
      <c r="AD1627" s="15" t="str">
        <f t="shared" si="14"/>
        <v>Electropolished Pipes Manufacturer in Cuenca</v>
      </c>
      <c r="AE1627" s="15" t="str">
        <f t="shared" si="15"/>
        <v>Manufacturing Electropolished SS Tube for Cuenca: The Standards We Build To</v>
      </c>
      <c r="AF1627" s="15" t="str">
        <f t="shared" si="16"/>
        <v>Electropolished Pipe Supply Into Cuenca - Certification &amp; Transit</v>
      </c>
      <c r="AG1627" s="15" t="str">
        <f t="shared" si="17"/>
        <v>Electropolished Pipes Wholesaler in Cuenca - Project Quantities &amp; Terms</v>
      </c>
      <c r="AH1627" s="15" t="str">
        <f t="shared" si="18"/>
        <v>electropolished pipes manufacturer in Cuenca, electropolished pipes supplier in Cuenca, electropolished pipes wholesaler in Cuenca, electropolished tube manufacturer Cuenca, EP pipe supplier Cuenca, sanitary tube supplier Cuenca, ASME BPE tubing Cuenca, ASTM A270 tube Cuenca, SS 316L electropolished pipe Cuenca</v>
      </c>
      <c r="AI1627" s="15" t="str">
        <f t="shared" si="19"/>
        <v>Electropolished Pipes Manufacturer &amp; Supplier in Cuenca</v>
      </c>
      <c r="AJ1627" s="15" t="str">
        <f t="shared" si="20"/>
        <v>EP-finished SS 304/316L pipes and tubes for VERIFY plants in Cuenca. ASME BPE SF1-SF4, Ra from 0.25 um, EN 10204 3.1 certificate with every lot.</v>
      </c>
      <c r="AK1627" s="15" t="str">
        <f t="shared" si="21"/>
        <v>Electropolished stainless steel pipes supplied by Sakshi Forge to VERIFY plants at VERIFY, Cuenca</v>
      </c>
      <c r="AL1627" s="15" t="str">
        <f t="shared" si="22"/>
        <v>Electropolished SS 316L tube stock for Cuenca - Sakshi Forge</v>
      </c>
      <c r="AM1627" s="15" t="str">
        <f t="shared" si="23"/>
        <v>Home &gt; Market Area &gt; Spain &gt; VERIFY &gt; Cuenca</v>
      </c>
      <c r="AN1627" s="15">
        <f t="shared" si="24"/>
        <v>750</v>
      </c>
      <c r="AO1627" s="15">
        <f t="shared" si="25"/>
        <v>6</v>
      </c>
      <c r="AP1627" s="15">
        <f t="shared" si="26"/>
        <v>6</v>
      </c>
      <c r="AQ1627" s="15">
        <f t="shared" si="27"/>
        <v>28</v>
      </c>
      <c r="AR1627" s="31"/>
      <c r="AS1627" s="31"/>
      <c r="AT1627" s="35" t="s">
        <v>222</v>
      </c>
      <c r="AU1627" s="35"/>
    </row>
    <row r="1628" ht="15.75" customHeight="1">
      <c r="A1628" s="15" t="s">
        <v>7533</v>
      </c>
      <c r="B1628" s="15" t="s">
        <v>380</v>
      </c>
      <c r="C1628" s="15" t="s">
        <v>98</v>
      </c>
      <c r="D1628" s="15" t="s">
        <v>7534</v>
      </c>
      <c r="E1628" s="15" t="s">
        <v>7534</v>
      </c>
      <c r="F1628" s="58" t="s">
        <v>807</v>
      </c>
      <c r="G1628" s="66" t="s">
        <v>98</v>
      </c>
      <c r="H1628" s="18" t="s">
        <v>98</v>
      </c>
      <c r="I1628" s="18" t="s">
        <v>98</v>
      </c>
      <c r="J1628" s="18" t="s">
        <v>98</v>
      </c>
      <c r="K1628" s="18" t="s">
        <v>98</v>
      </c>
      <c r="L1628" s="18" t="s">
        <v>98</v>
      </c>
      <c r="M1628" s="18" t="s">
        <v>596</v>
      </c>
      <c r="N1628" s="18" t="s">
        <v>402</v>
      </c>
      <c r="O1628" s="18" t="s">
        <v>98</v>
      </c>
      <c r="P1628" s="15" t="str">
        <f t="shared" si="1"/>
        <v>VERIFY</v>
      </c>
      <c r="Q1628" s="15">
        <f t="shared" si="2"/>
        <v>1</v>
      </c>
      <c r="R1628" s="15">
        <f t="shared" si="3"/>
        <v>1</v>
      </c>
      <c r="S1628" s="15">
        <f t="shared" si="4"/>
        <v>5</v>
      </c>
      <c r="T1628" s="15" t="str">
        <f t="shared" si="5"/>
        <v>C-5</v>
      </c>
      <c r="U1628" s="15" t="str">
        <f t="shared" si="6"/>
        <v>T1-M1-H5-FC-5-VERIFY</v>
      </c>
      <c r="V1628" s="15">
        <f t="shared" si="7"/>
        <v>0</v>
      </c>
      <c r="W1628" s="31"/>
      <c r="X1628" s="15" t="str">
        <f t="shared" si="8"/>
        <v>denia-spain</v>
      </c>
      <c r="Y1628" s="32" t="str">
        <f t="shared" si="9"/>
        <v>https://steelmanufacturer.in/market-area/electropolished-pipes-manufacturer-in-denia-spain/</v>
      </c>
      <c r="Z1628" s="15" t="str">
        <f t="shared" si="10"/>
        <v>Electropolished Pipes Manufacturer in Denia | Sakshi Forge</v>
      </c>
      <c r="AA1628" s="15" t="str">
        <f t="shared" si="11"/>
        <v>OK (58)</v>
      </c>
      <c r="AB1628" s="15" t="str">
        <f t="shared" si="12"/>
        <v>EP-finished SS 304/316L pipes &amp; tubes for VERIFY plants in Denia. ASTM A270, ASME BPE SF1-SF4, EN 10204 3.1 MTC. PMI tested.</v>
      </c>
      <c r="AC1628" s="15" t="str">
        <f t="shared" si="13"/>
        <v>PENDING RESEARCH</v>
      </c>
      <c r="AD1628" s="15" t="str">
        <f t="shared" si="14"/>
        <v>Electropolished Pipes Manufacturer in Denia</v>
      </c>
      <c r="AE1628" s="15" t="str">
        <f t="shared" si="15"/>
        <v>Electropolished Tube Manufacturing Capability Serving Denia</v>
      </c>
      <c r="AF1628" s="15" t="str">
        <f t="shared" si="16"/>
        <v>Electropolished Pipes Supplier in Denia - From Order to Delivery</v>
      </c>
      <c r="AG1628" s="15" t="str">
        <f t="shared" si="17"/>
        <v>Stockist &amp; Wholesale Supply of Electropolished Pipes in Denia</v>
      </c>
      <c r="AH1628" s="15" t="str">
        <f t="shared" si="18"/>
        <v>electropolished pipes manufacturer in Denia, electropolished pipes supplier in Denia, electropolished pipes wholesaler in Denia, electropolished tube manufacturer Denia, EP pipe supplier Denia, sanitary tube supplier Denia, ASME BPE tubing Denia, ASTM A270 tube Denia, SS 316L electropolished pipe Denia</v>
      </c>
      <c r="AI1628" s="15" t="str">
        <f t="shared" si="19"/>
        <v>Electropolished Pipes Manufacturer &amp; Supplier in Denia</v>
      </c>
      <c r="AJ1628" s="15" t="str">
        <f t="shared" si="20"/>
        <v>EP-finished SS 304/316L pipes and tubes for VERIFY plants in Denia. ASME BPE SF1-SF4, Ra from 0.25 um, EN 10204 3.1 certificate with every lot.</v>
      </c>
      <c r="AK1628" s="15" t="str">
        <f t="shared" si="21"/>
        <v>Electropolished stainless steel pipes supplied by Sakshi Forge to VERIFY plants at VERIFY, Denia</v>
      </c>
      <c r="AL1628" s="15" t="str">
        <f t="shared" si="22"/>
        <v>Electropolished SS 316L tube stock for Denia - Sakshi Forge</v>
      </c>
      <c r="AM1628" s="15" t="str">
        <f t="shared" si="23"/>
        <v>Home &gt; Market Area &gt; Spain &gt; VERIFY &gt; Denia</v>
      </c>
      <c r="AN1628" s="15">
        <f t="shared" si="24"/>
        <v>750</v>
      </c>
      <c r="AO1628" s="15">
        <f t="shared" si="25"/>
        <v>6</v>
      </c>
      <c r="AP1628" s="15">
        <f t="shared" si="26"/>
        <v>6</v>
      </c>
      <c r="AQ1628" s="15">
        <f t="shared" si="27"/>
        <v>28</v>
      </c>
      <c r="AR1628" s="31"/>
      <c r="AS1628" s="31"/>
      <c r="AT1628" s="35" t="s">
        <v>222</v>
      </c>
      <c r="AU1628" s="35"/>
    </row>
    <row r="1629" ht="15.75" customHeight="1">
      <c r="A1629" s="15" t="s">
        <v>7535</v>
      </c>
      <c r="B1629" s="15" t="s">
        <v>380</v>
      </c>
      <c r="C1629" s="15" t="s">
        <v>98</v>
      </c>
      <c r="D1629" s="15" t="s">
        <v>7536</v>
      </c>
      <c r="E1629" s="15" t="s">
        <v>7536</v>
      </c>
      <c r="F1629" s="58" t="s">
        <v>807</v>
      </c>
      <c r="G1629" s="66" t="s">
        <v>98</v>
      </c>
      <c r="H1629" s="18" t="s">
        <v>98</v>
      </c>
      <c r="I1629" s="18" t="s">
        <v>98</v>
      </c>
      <c r="J1629" s="18" t="s">
        <v>98</v>
      </c>
      <c r="K1629" s="18" t="s">
        <v>98</v>
      </c>
      <c r="L1629" s="18" t="s">
        <v>98</v>
      </c>
      <c r="M1629" s="18" t="s">
        <v>596</v>
      </c>
      <c r="N1629" s="18" t="s">
        <v>402</v>
      </c>
      <c r="O1629" s="18" t="s">
        <v>98</v>
      </c>
      <c r="P1629" s="15" t="str">
        <f t="shared" si="1"/>
        <v>VERIFY</v>
      </c>
      <c r="Q1629" s="15">
        <f t="shared" si="2"/>
        <v>2</v>
      </c>
      <c r="R1629" s="15">
        <f t="shared" si="3"/>
        <v>2</v>
      </c>
      <c r="S1629" s="15">
        <f t="shared" si="4"/>
        <v>1</v>
      </c>
      <c r="T1629" s="15" t="str">
        <f t="shared" si="5"/>
        <v>C-6</v>
      </c>
      <c r="U1629" s="15" t="str">
        <f t="shared" si="6"/>
        <v>T2-M2-H1-FC-6-VERIFY</v>
      </c>
      <c r="V1629" s="15">
        <f t="shared" si="7"/>
        <v>0</v>
      </c>
      <c r="W1629" s="31"/>
      <c r="X1629" s="15" t="str">
        <f t="shared" si="8"/>
        <v>elda-spain</v>
      </c>
      <c r="Y1629" s="32" t="str">
        <f t="shared" si="9"/>
        <v>https://steelmanufacturer.in/market-area/electropolished-pipes-manufacturer-in-elda-spain/</v>
      </c>
      <c r="Z1629" s="15" t="str">
        <f t="shared" si="10"/>
        <v>Electropolished Pipes Manufacturer in Elda - ASTM A270 &amp; ASME BPE</v>
      </c>
      <c r="AA1629" s="15" t="str">
        <f t="shared" si="11"/>
        <v>OK (65)</v>
      </c>
      <c r="AB1629" s="15" t="str">
        <f t="shared" si="12"/>
        <v>Electropolished tube supply to VERIFY, Elda. Ra from 0.25 um, SF4 finish, mill test certificate with every lot.</v>
      </c>
      <c r="AC1629" s="15" t="str">
        <f t="shared" si="13"/>
        <v>PENDING RESEARCH</v>
      </c>
      <c r="AD1629" s="15" t="str">
        <f t="shared" si="14"/>
        <v>Electropolished Pipes Manufacturer in Elda</v>
      </c>
      <c r="AE1629" s="15" t="str">
        <f t="shared" si="15"/>
        <v>Electropolished Pipe &amp; Tube Manufacturing for Elda - Grades, Finishes &amp; Certification</v>
      </c>
      <c r="AF1629" s="15" t="str">
        <f t="shared" si="16"/>
        <v>Electropolished Pipes Supplier in Elda - Stock Sizes, Lead Time &amp; Delivery</v>
      </c>
      <c r="AG1629" s="15" t="str">
        <f t="shared" si="17"/>
        <v>Electropolished Pipes Wholesaler &amp; Stockist in Elda - Bulk &amp; Project Pricing</v>
      </c>
      <c r="AH1629" s="15" t="str">
        <f t="shared" si="18"/>
        <v>electropolished pipes manufacturer in Elda, electropolished pipes supplier in Elda, electropolished pipes wholesaler in Elda, electropolished tube manufacturer Elda, EP pipe supplier Elda, sanitary tube supplier Elda, ASME BPE tubing Elda, ASTM A270 tube Elda, SS 316L electropolished pipe Elda</v>
      </c>
      <c r="AI1629" s="15" t="str">
        <f t="shared" si="19"/>
        <v>Electropolished Pipes Manufacturer &amp; Supplier in Elda</v>
      </c>
      <c r="AJ1629" s="15" t="str">
        <f t="shared" si="20"/>
        <v>EP-finished SS 304/316L pipes and tubes for VERIFY plants in Elda. ASME BPE SF1-SF4, Ra from 0.25 um, EN 10204 3.1 certificate with every lot.</v>
      </c>
      <c r="AK1629" s="15" t="str">
        <f t="shared" si="21"/>
        <v>Electropolished stainless steel pipes supplied by Sakshi Forge to VERIFY plants at VERIFY, Elda</v>
      </c>
      <c r="AL1629" s="15" t="str">
        <f t="shared" si="22"/>
        <v>Electropolished SS 316L tube stock for Elda - Sakshi Forge</v>
      </c>
      <c r="AM1629" s="15" t="str">
        <f t="shared" si="23"/>
        <v>Home &gt; Market Area &gt; Spain &gt; VERIFY &gt; Elda</v>
      </c>
      <c r="AN1629" s="15">
        <f t="shared" si="24"/>
        <v>750</v>
      </c>
      <c r="AO1629" s="15">
        <f t="shared" si="25"/>
        <v>6</v>
      </c>
      <c r="AP1629" s="15">
        <f t="shared" si="26"/>
        <v>6</v>
      </c>
      <c r="AQ1629" s="15">
        <f t="shared" si="27"/>
        <v>28</v>
      </c>
      <c r="AR1629" s="31"/>
      <c r="AS1629" s="31"/>
      <c r="AT1629" s="35" t="s">
        <v>222</v>
      </c>
      <c r="AU1629" s="35"/>
    </row>
    <row r="1630" ht="15.75" customHeight="1">
      <c r="A1630" s="15" t="s">
        <v>7537</v>
      </c>
      <c r="B1630" s="15" t="s">
        <v>380</v>
      </c>
      <c r="C1630" s="15" t="s">
        <v>98</v>
      </c>
      <c r="D1630" s="15" t="s">
        <v>7538</v>
      </c>
      <c r="E1630" s="15" t="s">
        <v>7538</v>
      </c>
      <c r="F1630" s="58" t="s">
        <v>807</v>
      </c>
      <c r="G1630" s="66" t="s">
        <v>98</v>
      </c>
      <c r="H1630" s="18" t="s">
        <v>98</v>
      </c>
      <c r="I1630" s="18" t="s">
        <v>98</v>
      </c>
      <c r="J1630" s="18" t="s">
        <v>98</v>
      </c>
      <c r="K1630" s="18" t="s">
        <v>98</v>
      </c>
      <c r="L1630" s="18" t="s">
        <v>98</v>
      </c>
      <c r="M1630" s="18" t="s">
        <v>596</v>
      </c>
      <c r="N1630" s="18" t="s">
        <v>402</v>
      </c>
      <c r="O1630" s="18" t="s">
        <v>98</v>
      </c>
      <c r="P1630" s="15" t="str">
        <f t="shared" si="1"/>
        <v>VERIFY</v>
      </c>
      <c r="Q1630" s="15">
        <f t="shared" si="2"/>
        <v>3</v>
      </c>
      <c r="R1630" s="15">
        <f t="shared" si="3"/>
        <v>3</v>
      </c>
      <c r="S1630" s="15">
        <f t="shared" si="4"/>
        <v>2</v>
      </c>
      <c r="T1630" s="15" t="str">
        <f t="shared" si="5"/>
        <v>C-1</v>
      </c>
      <c r="U1630" s="15" t="str">
        <f t="shared" si="6"/>
        <v>T3-M3-H2-FC-1-VERIFY</v>
      </c>
      <c r="V1630" s="15">
        <f t="shared" si="7"/>
        <v>0</v>
      </c>
      <c r="W1630" s="31"/>
      <c r="X1630" s="15" t="str">
        <f t="shared" si="8"/>
        <v>ferrol-spain</v>
      </c>
      <c r="Y1630" s="32" t="str">
        <f t="shared" si="9"/>
        <v>https://steelmanufacturer.in/market-area/electropolished-pipes-manufacturer-in-ferrol-spain/</v>
      </c>
      <c r="Z1630" s="15" t="str">
        <f t="shared" si="10"/>
        <v>Electropolished Pipes Manufacturer in Ferrol | EP Tube Supplier</v>
      </c>
      <c r="AA1630" s="15" t="str">
        <f t="shared" si="11"/>
        <v>OK (63)</v>
      </c>
      <c r="AB1630" s="15" t="str">
        <f t="shared" si="12"/>
        <v>EP stainless tube for VERIFY lines in Ferrol. 19-25 days sea from Nhava Sheva to Valencia. ASTM A270 S2, PMI tested, EN 10204 3.1.</v>
      </c>
      <c r="AC1630" s="15" t="str">
        <f t="shared" si="13"/>
        <v>PENDING RESEARCH</v>
      </c>
      <c r="AD1630" s="15" t="str">
        <f t="shared" si="14"/>
        <v>Electropolished Pipes Manufacturer in Ferrol</v>
      </c>
      <c r="AE1630" s="15" t="str">
        <f t="shared" si="15"/>
        <v>How We Manufacture Electropolished Tube for Ferrol Plants</v>
      </c>
      <c r="AF1630" s="15" t="str">
        <f t="shared" si="16"/>
        <v>Supplying Electropolished Pipes in Ferrol: Availability, Sizes &amp; Dispatch</v>
      </c>
      <c r="AG1630" s="15" t="str">
        <f t="shared" si="17"/>
        <v>Wholesale Electropolished Pipe Supply for Ferrol Projects</v>
      </c>
      <c r="AH1630" s="15" t="str">
        <f t="shared" si="18"/>
        <v>electropolished pipes manufacturer in Ferrol, electropolished pipes supplier in Ferrol, electropolished pipes wholesaler in Ferrol, electropolished tube manufacturer Ferrol, EP pipe supplier Ferrol, sanitary tube supplier Ferrol, ASME BPE tubing Ferrol, ASTM A270 tube Ferrol, SS 316L electropolished pipe Ferrol</v>
      </c>
      <c r="AI1630" s="15" t="str">
        <f t="shared" si="19"/>
        <v>Electropolished Pipes Manufacturer &amp; Supplier in Ferrol</v>
      </c>
      <c r="AJ1630" s="15" t="str">
        <f t="shared" si="20"/>
        <v>EP-finished SS 304/316L pipes and tubes for VERIFY plants in Ferrol. ASME BPE SF1-SF4, Ra from 0.25 um, EN 10204 3.1 certificate with every lot.</v>
      </c>
      <c r="AK1630" s="15" t="str">
        <f t="shared" si="21"/>
        <v>Electropolished stainless steel pipes supplied by Sakshi Forge to VERIFY plants at VERIFY, Ferrol</v>
      </c>
      <c r="AL1630" s="15" t="str">
        <f t="shared" si="22"/>
        <v>Electropolished SS 316L tube stock for Ferrol - Sakshi Forge</v>
      </c>
      <c r="AM1630" s="15" t="str">
        <f t="shared" si="23"/>
        <v>Home &gt; Market Area &gt; Spain &gt; VERIFY &gt; Ferrol</v>
      </c>
      <c r="AN1630" s="15">
        <f t="shared" si="24"/>
        <v>750</v>
      </c>
      <c r="AO1630" s="15">
        <f t="shared" si="25"/>
        <v>6</v>
      </c>
      <c r="AP1630" s="15">
        <f t="shared" si="26"/>
        <v>6</v>
      </c>
      <c r="AQ1630" s="15">
        <f t="shared" si="27"/>
        <v>28</v>
      </c>
      <c r="AR1630" s="31"/>
      <c r="AS1630" s="31"/>
      <c r="AT1630" s="35" t="s">
        <v>222</v>
      </c>
      <c r="AU1630" s="35"/>
    </row>
    <row r="1631" ht="15.75" customHeight="1">
      <c r="A1631" s="15" t="s">
        <v>7539</v>
      </c>
      <c r="B1631" s="15" t="s">
        <v>380</v>
      </c>
      <c r="C1631" s="15" t="s">
        <v>98</v>
      </c>
      <c r="D1631" s="15" t="s">
        <v>7540</v>
      </c>
      <c r="E1631" s="15" t="s">
        <v>7540</v>
      </c>
      <c r="F1631" s="58" t="s">
        <v>807</v>
      </c>
      <c r="G1631" s="66" t="s">
        <v>98</v>
      </c>
      <c r="H1631" s="18" t="s">
        <v>98</v>
      </c>
      <c r="I1631" s="18" t="s">
        <v>98</v>
      </c>
      <c r="J1631" s="18" t="s">
        <v>98</v>
      </c>
      <c r="K1631" s="18" t="s">
        <v>98</v>
      </c>
      <c r="L1631" s="18" t="s">
        <v>98</v>
      </c>
      <c r="M1631" s="18" t="s">
        <v>596</v>
      </c>
      <c r="N1631" s="18" t="s">
        <v>402</v>
      </c>
      <c r="O1631" s="18" t="s">
        <v>98</v>
      </c>
      <c r="P1631" s="15" t="str">
        <f t="shared" si="1"/>
        <v>VERIFY</v>
      </c>
      <c r="Q1631" s="15">
        <f t="shared" si="2"/>
        <v>4</v>
      </c>
      <c r="R1631" s="15">
        <f t="shared" si="3"/>
        <v>4</v>
      </c>
      <c r="S1631" s="15">
        <f t="shared" si="4"/>
        <v>3</v>
      </c>
      <c r="T1631" s="15" t="str">
        <f t="shared" si="5"/>
        <v>C-2</v>
      </c>
      <c r="U1631" s="15" t="str">
        <f t="shared" si="6"/>
        <v>T4-M4-H3-FC-2-VERIFY</v>
      </c>
      <c r="V1631" s="15">
        <f t="shared" si="7"/>
        <v>0</v>
      </c>
      <c r="W1631" s="31"/>
      <c r="X1631" s="15" t="str">
        <f t="shared" si="8"/>
        <v>fuenlabrada-spain</v>
      </c>
      <c r="Y1631" s="32" t="str">
        <f t="shared" si="9"/>
        <v>https://steelmanufacturer.in/market-area/electropolished-pipes-manufacturer-in-fuenlabrada-spain/</v>
      </c>
      <c r="Z1631" s="15" t="str">
        <f t="shared" si="10"/>
        <v>Electropolished Pipes Manufacturer in Fuenlabrada</v>
      </c>
      <c r="AA1631" s="15" t="str">
        <f t="shared" si="11"/>
        <v>OK (49)</v>
      </c>
      <c r="AB1631" s="15" t="str">
        <f t="shared" si="12"/>
        <v>Sanitary electropolished pipes in Fuenlabrada for VERIFY plants. ASME BPE SF1-SF4, orbital-weld ready, 3.1 MTC. Mumbai-made.</v>
      </c>
      <c r="AC1631" s="15" t="str">
        <f t="shared" si="13"/>
        <v>PENDING RESEARCH</v>
      </c>
      <c r="AD1631" s="15" t="str">
        <f t="shared" si="14"/>
        <v>Electropolished Pipes Manufacturer in Fuenlabrada</v>
      </c>
      <c r="AE1631" s="15" t="str">
        <f t="shared" si="15"/>
        <v>Electropolished Pipes Manufacturer in Fuenlabrada - Our Process &amp; Capability</v>
      </c>
      <c r="AF1631" s="15" t="str">
        <f t="shared" si="16"/>
        <v>Electropolished Pipes Supplier in Fuenlabrada - What We Hold in Stock</v>
      </c>
      <c r="AG1631" s="15" t="str">
        <f t="shared" si="17"/>
        <v>Bulk &amp; Wholesale Electropolished Pipe Rates for Fuenlabrada Buyers</v>
      </c>
      <c r="AH1631" s="15" t="str">
        <f t="shared" si="18"/>
        <v>electropolished pipes manufacturer in Fuenlabrada, electropolished pipes supplier in Fuenlabrada, electropolished pipes wholesaler in Fuenlabrada, electropolished tube manufacturer Fuenlabrada, EP pipe supplier Fuenlabrada, sanitary tube supplier Fuenlabrada, ASME BPE tubing Fuenlabrada, ASTM A270 tube Fuenlabrada, SS 316L electropolished pipe Fuenlabrada</v>
      </c>
      <c r="AI1631" s="15" t="str">
        <f t="shared" si="19"/>
        <v>Electropolished Pipes Manufacturer &amp; Supplier in Fuenlabrada</v>
      </c>
      <c r="AJ1631" s="15" t="str">
        <f t="shared" si="20"/>
        <v>EP-finished SS 304/316L pipes and tubes for VERIFY plants in Fuenlabrada. ASME BPE SF1-SF4, Ra from 0.25 um, EN 10204 3.1 certificate with every lot.</v>
      </c>
      <c r="AK1631" s="15" t="str">
        <f t="shared" si="21"/>
        <v>Electropolished stainless steel pipes supplied by Sakshi Forge to VERIFY plants at VERIFY, Fuenlabrada</v>
      </c>
      <c r="AL1631" s="15" t="str">
        <f t="shared" si="22"/>
        <v>Electropolished SS 316L tube stock for Fuenlabrada - Sakshi Forge</v>
      </c>
      <c r="AM1631" s="15" t="str">
        <f t="shared" si="23"/>
        <v>Home &gt; Market Area &gt; Spain &gt; VERIFY &gt; Fuenlabrada</v>
      </c>
      <c r="AN1631" s="15">
        <f t="shared" si="24"/>
        <v>750</v>
      </c>
      <c r="AO1631" s="15">
        <f t="shared" si="25"/>
        <v>6</v>
      </c>
      <c r="AP1631" s="15">
        <f t="shared" si="26"/>
        <v>6</v>
      </c>
      <c r="AQ1631" s="15">
        <f t="shared" si="27"/>
        <v>28</v>
      </c>
      <c r="AR1631" s="31"/>
      <c r="AS1631" s="31"/>
      <c r="AT1631" s="35" t="s">
        <v>222</v>
      </c>
      <c r="AU1631" s="35"/>
    </row>
    <row r="1632" ht="15.75" customHeight="1">
      <c r="A1632" s="15" t="s">
        <v>7541</v>
      </c>
      <c r="B1632" s="15" t="s">
        <v>380</v>
      </c>
      <c r="C1632" s="15" t="s">
        <v>98</v>
      </c>
      <c r="D1632" s="15" t="s">
        <v>7542</v>
      </c>
      <c r="E1632" s="15" t="s">
        <v>7542</v>
      </c>
      <c r="F1632" s="58" t="s">
        <v>807</v>
      </c>
      <c r="G1632" s="66" t="s">
        <v>98</v>
      </c>
      <c r="H1632" s="18" t="s">
        <v>98</v>
      </c>
      <c r="I1632" s="18" t="s">
        <v>98</v>
      </c>
      <c r="J1632" s="18" t="s">
        <v>98</v>
      </c>
      <c r="K1632" s="18" t="s">
        <v>98</v>
      </c>
      <c r="L1632" s="18" t="s">
        <v>98</v>
      </c>
      <c r="M1632" s="18" t="s">
        <v>596</v>
      </c>
      <c r="N1632" s="18" t="s">
        <v>402</v>
      </c>
      <c r="O1632" s="18" t="s">
        <v>98</v>
      </c>
      <c r="P1632" s="15" t="str">
        <f t="shared" si="1"/>
        <v>VERIFY</v>
      </c>
      <c r="Q1632" s="15">
        <f t="shared" si="2"/>
        <v>5</v>
      </c>
      <c r="R1632" s="15">
        <f t="shared" si="3"/>
        <v>5</v>
      </c>
      <c r="S1632" s="15">
        <f t="shared" si="4"/>
        <v>4</v>
      </c>
      <c r="T1632" s="15" t="str">
        <f t="shared" si="5"/>
        <v>C-3</v>
      </c>
      <c r="U1632" s="15" t="str">
        <f t="shared" si="6"/>
        <v>T5-M5-H4-FC-3-VERIFY</v>
      </c>
      <c r="V1632" s="15">
        <f t="shared" si="7"/>
        <v>0</v>
      </c>
      <c r="W1632" s="31"/>
      <c r="X1632" s="15" t="str">
        <f t="shared" si="8"/>
        <v>gandia-spain</v>
      </c>
      <c r="Y1632" s="32" t="str">
        <f t="shared" si="9"/>
        <v>https://steelmanufacturer.in/market-area/electropolished-pipes-manufacturer-in-gandia-spain/</v>
      </c>
      <c r="Z1632" s="15" t="str">
        <f t="shared" si="10"/>
        <v>Electropolished Pipes Manufacturer in Gandia</v>
      </c>
      <c r="AA1632" s="15" t="str">
        <f t="shared" si="11"/>
        <v>OK (44)</v>
      </c>
      <c r="AB1632" s="15" t="str">
        <f t="shared" si="12"/>
        <v>Manufacturer of electropolished SS 316L tube serving Gandia. 19-25 days sea from Nhava Sheva to Valencia. Ra 0.25-0.5 um, EN 10204 3.1 MTC.</v>
      </c>
      <c r="AC1632" s="15" t="str">
        <f t="shared" si="13"/>
        <v>PENDING RESEARCH</v>
      </c>
      <c r="AD1632" s="15" t="str">
        <f t="shared" si="14"/>
        <v>Electropolished Pipes Manufacturer in Gandia</v>
      </c>
      <c r="AE1632" s="15" t="str">
        <f t="shared" si="15"/>
        <v>Manufacturing Electropolished SS Tube for Gandia: The Standards We Build To</v>
      </c>
      <c r="AF1632" s="15" t="str">
        <f t="shared" si="16"/>
        <v>Electropolished Pipe Supply Into Gandia - Certification &amp; Transit</v>
      </c>
      <c r="AG1632" s="15" t="str">
        <f t="shared" si="17"/>
        <v>Electropolished Pipes Wholesaler in Gandia - Project Quantities &amp; Terms</v>
      </c>
      <c r="AH1632" s="15" t="str">
        <f t="shared" si="18"/>
        <v>electropolished pipes manufacturer in Gandia, electropolished pipes supplier in Gandia, electropolished pipes wholesaler in Gandia, electropolished tube manufacturer Gandia, EP pipe supplier Gandia, sanitary tube supplier Gandia, ASME BPE tubing Gandia, ASTM A270 tube Gandia, SS 316L electropolished pipe Gandia</v>
      </c>
      <c r="AI1632" s="15" t="str">
        <f t="shared" si="19"/>
        <v>Electropolished Pipes Manufacturer &amp; Supplier in Gandia</v>
      </c>
      <c r="AJ1632" s="15" t="str">
        <f t="shared" si="20"/>
        <v>EP-finished SS 304/316L pipes and tubes for VERIFY plants in Gandia. ASME BPE SF1-SF4, Ra from 0.25 um, EN 10204 3.1 certificate with every lot.</v>
      </c>
      <c r="AK1632" s="15" t="str">
        <f t="shared" si="21"/>
        <v>Electropolished stainless steel pipes supplied by Sakshi Forge to VERIFY plants at VERIFY, Gandia</v>
      </c>
      <c r="AL1632" s="15" t="str">
        <f t="shared" si="22"/>
        <v>Electropolished SS 316L tube stock for Gandia - Sakshi Forge</v>
      </c>
      <c r="AM1632" s="15" t="str">
        <f t="shared" si="23"/>
        <v>Home &gt; Market Area &gt; Spain &gt; VERIFY &gt; Gandia</v>
      </c>
      <c r="AN1632" s="15">
        <f t="shared" si="24"/>
        <v>750</v>
      </c>
      <c r="AO1632" s="15">
        <f t="shared" si="25"/>
        <v>6</v>
      </c>
      <c r="AP1632" s="15">
        <f t="shared" si="26"/>
        <v>6</v>
      </c>
      <c r="AQ1632" s="15">
        <f t="shared" si="27"/>
        <v>28</v>
      </c>
      <c r="AR1632" s="31"/>
      <c r="AS1632" s="31"/>
      <c r="AT1632" s="35" t="s">
        <v>222</v>
      </c>
      <c r="AU1632" s="35"/>
    </row>
    <row r="1633" ht="15.75" customHeight="1">
      <c r="A1633" s="15" t="s">
        <v>7543</v>
      </c>
      <c r="B1633" s="15" t="s">
        <v>380</v>
      </c>
      <c r="C1633" s="15" t="s">
        <v>98</v>
      </c>
      <c r="D1633" s="15" t="s">
        <v>7545</v>
      </c>
      <c r="E1633" s="15" t="s">
        <v>7545</v>
      </c>
      <c r="F1633" s="58" t="s">
        <v>807</v>
      </c>
      <c r="G1633" s="66" t="s">
        <v>98</v>
      </c>
      <c r="H1633" s="18" t="s">
        <v>98</v>
      </c>
      <c r="I1633" s="18" t="s">
        <v>98</v>
      </c>
      <c r="J1633" s="18" t="s">
        <v>98</v>
      </c>
      <c r="K1633" s="18" t="s">
        <v>98</v>
      </c>
      <c r="L1633" s="18" t="s">
        <v>98</v>
      </c>
      <c r="M1633" s="18" t="s">
        <v>596</v>
      </c>
      <c r="N1633" s="18" t="s">
        <v>402</v>
      </c>
      <c r="O1633" s="18" t="s">
        <v>98</v>
      </c>
      <c r="P1633" s="15" t="str">
        <f t="shared" si="1"/>
        <v>VERIFY</v>
      </c>
      <c r="Q1633" s="15">
        <f t="shared" si="2"/>
        <v>6</v>
      </c>
      <c r="R1633" s="15">
        <f t="shared" si="3"/>
        <v>6</v>
      </c>
      <c r="S1633" s="15">
        <f t="shared" si="4"/>
        <v>5</v>
      </c>
      <c r="T1633" s="15" t="str">
        <f t="shared" si="5"/>
        <v>C-4</v>
      </c>
      <c r="U1633" s="15" t="str">
        <f t="shared" si="6"/>
        <v>T6-M6-H5-FC-4-VERIFY</v>
      </c>
      <c r="V1633" s="15">
        <f t="shared" si="7"/>
        <v>0</v>
      </c>
      <c r="W1633" s="31"/>
      <c r="X1633" s="15" t="str">
        <f t="shared" si="8"/>
        <v>getxo-spain</v>
      </c>
      <c r="Y1633" s="32" t="str">
        <f t="shared" si="9"/>
        <v>https://steelmanufacturer.in/market-area/electropolished-pipes-manufacturer-in-getxo-spain/</v>
      </c>
      <c r="Z1633" s="15" t="str">
        <f t="shared" si="10"/>
        <v>Electropolished Pipes Manufacturer in Getxo</v>
      </c>
      <c r="AA1633" s="15" t="str">
        <f t="shared" si="11"/>
        <v>OK (43)</v>
      </c>
      <c r="AB1633" s="15" t="str">
        <f t="shared" si="12"/>
        <v>EP tube and pipe for VERIFY plants around VERIFY, Getxo. Made at our Mumbai works to ASTM A270 and ASME BPE SF1-SF4, with 3.1 MTC.</v>
      </c>
      <c r="AC1633" s="15" t="str">
        <f t="shared" si="13"/>
        <v>PENDING RESEARCH</v>
      </c>
      <c r="AD1633" s="15" t="str">
        <f t="shared" si="14"/>
        <v>Electropolished Pipes Manufacturer in Getxo</v>
      </c>
      <c r="AE1633" s="15" t="str">
        <f t="shared" si="15"/>
        <v>Electropolished Tube Manufacturing Capability Serving Getxo</v>
      </c>
      <c r="AF1633" s="15" t="str">
        <f t="shared" si="16"/>
        <v>Electropolished Pipes Supplier in Getxo - From Order to Delivery</v>
      </c>
      <c r="AG1633" s="15" t="str">
        <f t="shared" si="17"/>
        <v>Stockist &amp; Wholesale Supply of Electropolished Pipes in Getxo</v>
      </c>
      <c r="AH1633" s="15" t="str">
        <f t="shared" si="18"/>
        <v>electropolished pipes manufacturer in Getxo, electropolished pipes supplier in Getxo, electropolished pipes wholesaler in Getxo, electropolished tube manufacturer Getxo, EP pipe supplier Getxo, sanitary tube supplier Getxo, ASME BPE tubing Getxo, ASTM A270 tube Getxo, SS 316L electropolished pipe Getxo</v>
      </c>
      <c r="AI1633" s="15" t="str">
        <f t="shared" si="19"/>
        <v>Electropolished Pipes Manufacturer &amp; Supplier in Getxo</v>
      </c>
      <c r="AJ1633" s="15" t="str">
        <f t="shared" si="20"/>
        <v>EP-finished SS 304/316L pipes and tubes for VERIFY plants in Getxo. ASME BPE SF1-SF4, Ra from 0.25 um, EN 10204 3.1 certificate with every lot.</v>
      </c>
      <c r="AK1633" s="15" t="str">
        <f t="shared" si="21"/>
        <v>Electropolished stainless steel pipes supplied by Sakshi Forge to VERIFY plants at VERIFY, Getxo</v>
      </c>
      <c r="AL1633" s="15" t="str">
        <f t="shared" si="22"/>
        <v>Electropolished SS 316L tube stock for Getxo - Sakshi Forge</v>
      </c>
      <c r="AM1633" s="15" t="str">
        <f t="shared" si="23"/>
        <v>Home &gt; Market Area &gt; Spain &gt; VERIFY &gt; Getxo</v>
      </c>
      <c r="AN1633" s="15">
        <f t="shared" si="24"/>
        <v>750</v>
      </c>
      <c r="AO1633" s="15">
        <f t="shared" si="25"/>
        <v>6</v>
      </c>
      <c r="AP1633" s="15">
        <f t="shared" si="26"/>
        <v>6</v>
      </c>
      <c r="AQ1633" s="15">
        <f t="shared" si="27"/>
        <v>28</v>
      </c>
      <c r="AR1633" s="31"/>
      <c r="AS1633" s="31"/>
      <c r="AT1633" s="35" t="s">
        <v>222</v>
      </c>
      <c r="AU1633" s="35"/>
    </row>
    <row r="1634" ht="15.75" customHeight="1">
      <c r="A1634" s="15" t="s">
        <v>7550</v>
      </c>
      <c r="B1634" s="15" t="s">
        <v>380</v>
      </c>
      <c r="C1634" s="15" t="s">
        <v>98</v>
      </c>
      <c r="D1634" s="15" t="s">
        <v>7551</v>
      </c>
      <c r="E1634" s="15" t="s">
        <v>7551</v>
      </c>
      <c r="F1634" s="58" t="s">
        <v>807</v>
      </c>
      <c r="G1634" s="66" t="s">
        <v>98</v>
      </c>
      <c r="H1634" s="18" t="s">
        <v>98</v>
      </c>
      <c r="I1634" s="18" t="s">
        <v>98</v>
      </c>
      <c r="J1634" s="18" t="s">
        <v>98</v>
      </c>
      <c r="K1634" s="18" t="s">
        <v>98</v>
      </c>
      <c r="L1634" s="18" t="s">
        <v>98</v>
      </c>
      <c r="M1634" s="18" t="s">
        <v>596</v>
      </c>
      <c r="N1634" s="18" t="s">
        <v>402</v>
      </c>
      <c r="O1634" s="18" t="s">
        <v>98</v>
      </c>
      <c r="P1634" s="15" t="str">
        <f t="shared" si="1"/>
        <v>VERIFY</v>
      </c>
      <c r="Q1634" s="15">
        <f t="shared" si="2"/>
        <v>7</v>
      </c>
      <c r="R1634" s="15">
        <f t="shared" si="3"/>
        <v>7</v>
      </c>
      <c r="S1634" s="15">
        <f t="shared" si="4"/>
        <v>1</v>
      </c>
      <c r="T1634" s="15" t="str">
        <f t="shared" si="5"/>
        <v>C-5</v>
      </c>
      <c r="U1634" s="15" t="str">
        <f t="shared" si="6"/>
        <v>T7-M7-H1-FC-5-VERIFY</v>
      </c>
      <c r="V1634" s="15">
        <f t="shared" si="7"/>
        <v>0</v>
      </c>
      <c r="W1634" s="31"/>
      <c r="X1634" s="15" t="str">
        <f t="shared" si="8"/>
        <v>guadalajara-spain</v>
      </c>
      <c r="Y1634" s="32" t="str">
        <f t="shared" si="9"/>
        <v>https://steelmanufacturer.in/market-area/electropolished-pipes-manufacturer-in-guadalajara-spain/</v>
      </c>
      <c r="Z1634" s="15" t="str">
        <f t="shared" si="10"/>
        <v>Electropolished Pipes Manufacturer in Guadalajara</v>
      </c>
      <c r="AA1634" s="15" t="str">
        <f t="shared" si="11"/>
        <v>OK (49)</v>
      </c>
      <c r="AB1634" s="15" t="str">
        <f t="shared" si="12"/>
        <v>Electropolished pipes in Guadalajara: 304, 304L, 316 and 316L in SF1-SF4. 19-25 days sea from Nhava Sheva to Valencia. Mill certified.</v>
      </c>
      <c r="AC1634" s="15" t="str">
        <f t="shared" si="13"/>
        <v>PENDING RESEARCH</v>
      </c>
      <c r="AD1634" s="15" t="str">
        <f t="shared" si="14"/>
        <v>Electropolished Pipes Manufacturer in Guadalajara</v>
      </c>
      <c r="AE1634" s="15" t="str">
        <f t="shared" si="15"/>
        <v>Electropolished Pipe &amp; Tube Manufacturing for Guadalajara - Grades, Finishes &amp; Certification</v>
      </c>
      <c r="AF1634" s="15" t="str">
        <f t="shared" si="16"/>
        <v>Electropolished Pipes Supplier in Guadalajara - Stock Sizes, Lead Time &amp; Delivery</v>
      </c>
      <c r="AG1634" s="15" t="str">
        <f t="shared" si="17"/>
        <v>Electropolished Pipes Wholesaler &amp; Stockist in Guadalajara - Bulk &amp; Project Pricing</v>
      </c>
      <c r="AH1634" s="15" t="str">
        <f t="shared" si="18"/>
        <v>electropolished pipes manufacturer in Guadalajara, electropolished pipes supplier in Guadalajara, electropolished pipes wholesaler in Guadalajara, electropolished tube manufacturer Guadalajara, EP pipe supplier Guadalajara, sanitary tube supplier Guadalajara, ASME BPE tubing Guadalajara, ASTM A270 tube Guadalajara, SS 316L electropolished pipe Guadalajara</v>
      </c>
      <c r="AI1634" s="15" t="str">
        <f t="shared" si="19"/>
        <v>Electropolished Pipes Manufacturer &amp; Supplier in Guadalajara</v>
      </c>
      <c r="AJ1634" s="15" t="str">
        <f t="shared" si="20"/>
        <v>EP-finished SS 304/316L pipes and tubes for VERIFY plants in Guadalajara. ASME BPE SF1-SF4, Ra from 0.25 um, EN 10204 3.1 certificate with every lot.</v>
      </c>
      <c r="AK1634" s="15" t="str">
        <f t="shared" si="21"/>
        <v>Electropolished stainless steel pipes supplied by Sakshi Forge to VERIFY plants at VERIFY, Guadalajara</v>
      </c>
      <c r="AL1634" s="15" t="str">
        <f t="shared" si="22"/>
        <v>Electropolished SS 316L tube stock for Guadalajara - Sakshi Forge</v>
      </c>
      <c r="AM1634" s="15" t="str">
        <f t="shared" si="23"/>
        <v>Home &gt; Market Area &gt; Spain &gt; VERIFY &gt; Guadalajara</v>
      </c>
      <c r="AN1634" s="15">
        <f t="shared" si="24"/>
        <v>750</v>
      </c>
      <c r="AO1634" s="15">
        <f t="shared" si="25"/>
        <v>6</v>
      </c>
      <c r="AP1634" s="15">
        <f t="shared" si="26"/>
        <v>6</v>
      </c>
      <c r="AQ1634" s="15">
        <f t="shared" si="27"/>
        <v>28</v>
      </c>
      <c r="AR1634" s="31"/>
      <c r="AS1634" s="31"/>
      <c r="AT1634" s="35" t="s">
        <v>222</v>
      </c>
      <c r="AU1634" s="35"/>
    </row>
    <row r="1635" ht="15.75" customHeight="1">
      <c r="A1635" s="15" t="s">
        <v>7552</v>
      </c>
      <c r="B1635" s="15" t="s">
        <v>380</v>
      </c>
      <c r="C1635" s="15" t="s">
        <v>98</v>
      </c>
      <c r="D1635" s="15" t="s">
        <v>7553</v>
      </c>
      <c r="E1635" s="15" t="s">
        <v>7553</v>
      </c>
      <c r="F1635" s="58" t="s">
        <v>807</v>
      </c>
      <c r="G1635" s="66" t="s">
        <v>98</v>
      </c>
      <c r="H1635" s="18" t="s">
        <v>98</v>
      </c>
      <c r="I1635" s="18" t="s">
        <v>98</v>
      </c>
      <c r="J1635" s="18" t="s">
        <v>98</v>
      </c>
      <c r="K1635" s="18" t="s">
        <v>98</v>
      </c>
      <c r="L1635" s="18" t="s">
        <v>98</v>
      </c>
      <c r="M1635" s="18" t="s">
        <v>596</v>
      </c>
      <c r="N1635" s="18" t="s">
        <v>402</v>
      </c>
      <c r="O1635" s="18" t="s">
        <v>98</v>
      </c>
      <c r="P1635" s="15" t="str">
        <f t="shared" si="1"/>
        <v>VERIFY</v>
      </c>
      <c r="Q1635" s="15">
        <f t="shared" si="2"/>
        <v>8</v>
      </c>
      <c r="R1635" s="15">
        <f t="shared" si="3"/>
        <v>1</v>
      </c>
      <c r="S1635" s="15">
        <f t="shared" si="4"/>
        <v>2</v>
      </c>
      <c r="T1635" s="15" t="str">
        <f t="shared" si="5"/>
        <v>C-6</v>
      </c>
      <c r="U1635" s="15" t="str">
        <f t="shared" si="6"/>
        <v>T8-M1-H2-FC-6-VERIFY</v>
      </c>
      <c r="V1635" s="15">
        <f t="shared" si="7"/>
        <v>0</v>
      </c>
      <c r="W1635" s="31"/>
      <c r="X1635" s="15" t="str">
        <f t="shared" si="8"/>
        <v>huesca-spain</v>
      </c>
      <c r="Y1635" s="32" t="str">
        <f t="shared" si="9"/>
        <v>https://steelmanufacturer.in/market-area/electropolished-pipes-manufacturer-in-huesca-spain/</v>
      </c>
      <c r="Z1635" s="15" t="str">
        <f t="shared" si="10"/>
        <v>Electropolished Pipes Manufacturer in Huesca - EP Tube Stockist</v>
      </c>
      <c r="AA1635" s="15" t="str">
        <f t="shared" si="11"/>
        <v>OK (63)</v>
      </c>
      <c r="AB1635" s="15" t="str">
        <f t="shared" si="12"/>
        <v>EP-finished SS 304/316L pipes &amp; tubes for VERIFY plants in Huesca. ASTM A270, ASME BPE SF1-SF4, EN 10204 3.1 MTC. PMI tested.</v>
      </c>
      <c r="AC1635" s="15" t="str">
        <f t="shared" si="13"/>
        <v>PENDING RESEARCH</v>
      </c>
      <c r="AD1635" s="15" t="str">
        <f t="shared" si="14"/>
        <v>Electropolished Pipes Manufacturer in Huesca</v>
      </c>
      <c r="AE1635" s="15" t="str">
        <f t="shared" si="15"/>
        <v>How We Manufacture Electropolished Tube for Huesca Plants</v>
      </c>
      <c r="AF1635" s="15" t="str">
        <f t="shared" si="16"/>
        <v>Supplying Electropolished Pipes in Huesca: Availability, Sizes &amp; Dispatch</v>
      </c>
      <c r="AG1635" s="15" t="str">
        <f t="shared" si="17"/>
        <v>Wholesale Electropolished Pipe Supply for Huesca Projects</v>
      </c>
      <c r="AH1635" s="15" t="str">
        <f t="shared" si="18"/>
        <v>electropolished pipes manufacturer in Huesca, electropolished pipes supplier in Huesca, electropolished pipes wholesaler in Huesca, electropolished tube manufacturer Huesca, EP pipe supplier Huesca, sanitary tube supplier Huesca, ASME BPE tubing Huesca, ASTM A270 tube Huesca, SS 316L electropolished pipe Huesca</v>
      </c>
      <c r="AI1635" s="15" t="str">
        <f t="shared" si="19"/>
        <v>Electropolished Pipes Manufacturer &amp; Supplier in Huesca</v>
      </c>
      <c r="AJ1635" s="15" t="str">
        <f t="shared" si="20"/>
        <v>EP-finished SS 304/316L pipes and tubes for VERIFY plants in Huesca. ASME BPE SF1-SF4, Ra from 0.25 um, EN 10204 3.1 certificate with every lot.</v>
      </c>
      <c r="AK1635" s="15" t="str">
        <f t="shared" si="21"/>
        <v>Electropolished stainless steel pipes supplied by Sakshi Forge to VERIFY plants at VERIFY, Huesca</v>
      </c>
      <c r="AL1635" s="15" t="str">
        <f t="shared" si="22"/>
        <v>Electropolished SS 316L tube stock for Huesca - Sakshi Forge</v>
      </c>
      <c r="AM1635" s="15" t="str">
        <f t="shared" si="23"/>
        <v>Home &gt; Market Area &gt; Spain &gt; VERIFY &gt; Huesca</v>
      </c>
      <c r="AN1635" s="15">
        <f t="shared" si="24"/>
        <v>750</v>
      </c>
      <c r="AO1635" s="15">
        <f t="shared" si="25"/>
        <v>6</v>
      </c>
      <c r="AP1635" s="15">
        <f t="shared" si="26"/>
        <v>6</v>
      </c>
      <c r="AQ1635" s="15">
        <f t="shared" si="27"/>
        <v>28</v>
      </c>
      <c r="AR1635" s="31"/>
      <c r="AS1635" s="31"/>
      <c r="AT1635" s="35" t="s">
        <v>222</v>
      </c>
      <c r="AU1635" s="35"/>
    </row>
    <row r="1636" ht="15.75" customHeight="1">
      <c r="A1636" s="15" t="s">
        <v>7554</v>
      </c>
      <c r="B1636" s="15" t="s">
        <v>380</v>
      </c>
      <c r="C1636" s="15" t="s">
        <v>98</v>
      </c>
      <c r="D1636" s="15" t="s">
        <v>7555</v>
      </c>
      <c r="E1636" s="15" t="s">
        <v>7555</v>
      </c>
      <c r="F1636" s="58" t="s">
        <v>807</v>
      </c>
      <c r="G1636" s="66" t="s">
        <v>98</v>
      </c>
      <c r="H1636" s="18" t="s">
        <v>98</v>
      </c>
      <c r="I1636" s="18" t="s">
        <v>98</v>
      </c>
      <c r="J1636" s="18" t="s">
        <v>98</v>
      </c>
      <c r="K1636" s="18" t="s">
        <v>98</v>
      </c>
      <c r="L1636" s="18" t="s">
        <v>98</v>
      </c>
      <c r="M1636" s="18" t="s">
        <v>596</v>
      </c>
      <c r="N1636" s="18" t="s">
        <v>402</v>
      </c>
      <c r="O1636" s="18" t="s">
        <v>98</v>
      </c>
      <c r="P1636" s="15" t="str">
        <f t="shared" si="1"/>
        <v>VERIFY</v>
      </c>
      <c r="Q1636" s="15">
        <f t="shared" si="2"/>
        <v>1</v>
      </c>
      <c r="R1636" s="15">
        <f t="shared" si="3"/>
        <v>2</v>
      </c>
      <c r="S1636" s="15">
        <f t="shared" si="4"/>
        <v>3</v>
      </c>
      <c r="T1636" s="15" t="str">
        <f t="shared" si="5"/>
        <v>C-1</v>
      </c>
      <c r="U1636" s="15" t="str">
        <f t="shared" si="6"/>
        <v>T1-M2-H3-FC-1-VERIFY</v>
      </c>
      <c r="V1636" s="15">
        <f t="shared" si="7"/>
        <v>0</v>
      </c>
      <c r="W1636" s="31"/>
      <c r="X1636" s="15" t="str">
        <f t="shared" si="8"/>
        <v>igualada-spain</v>
      </c>
      <c r="Y1636" s="32" t="str">
        <f t="shared" si="9"/>
        <v>https://steelmanufacturer.in/market-area/electropolished-pipes-manufacturer-in-igualada-spain/</v>
      </c>
      <c r="Z1636" s="15" t="str">
        <f t="shared" si="10"/>
        <v>Electropolished Pipes Manufacturer in Igualada | Sakshi Forge</v>
      </c>
      <c r="AA1636" s="15" t="str">
        <f t="shared" si="11"/>
        <v>OK (61)</v>
      </c>
      <c r="AB1636" s="15" t="str">
        <f t="shared" si="12"/>
        <v>Electropolished tube supply to VERIFY, Igualada. Ra from 0.25 um, SF4 finish, mill test certificate with every lot.</v>
      </c>
      <c r="AC1636" s="15" t="str">
        <f t="shared" si="13"/>
        <v>PENDING RESEARCH</v>
      </c>
      <c r="AD1636" s="15" t="str">
        <f t="shared" si="14"/>
        <v>Electropolished Pipes Manufacturer in Igualada</v>
      </c>
      <c r="AE1636" s="15" t="str">
        <f t="shared" si="15"/>
        <v>Electropolished Pipes Manufacturer in Igualada - Our Process &amp; Capability</v>
      </c>
      <c r="AF1636" s="15" t="str">
        <f t="shared" si="16"/>
        <v>Electropolished Pipes Supplier in Igualada - What We Hold in Stock</v>
      </c>
      <c r="AG1636" s="15" t="str">
        <f t="shared" si="17"/>
        <v>Bulk &amp; Wholesale Electropolished Pipe Rates for Igualada Buyers</v>
      </c>
      <c r="AH1636" s="15" t="str">
        <f t="shared" si="18"/>
        <v>electropolished pipes manufacturer in Igualada, electropolished pipes supplier in Igualada, electropolished pipes wholesaler in Igualada, electropolished tube manufacturer Igualada, EP pipe supplier Igualada, sanitary tube supplier Igualada, ASME BPE tubing Igualada, ASTM A270 tube Igualada, SS 316L electropolished pipe Igualada</v>
      </c>
      <c r="AI1636" s="15" t="str">
        <f t="shared" si="19"/>
        <v>Electropolished Pipes Manufacturer &amp; Supplier in Igualada</v>
      </c>
      <c r="AJ1636" s="15" t="str">
        <f t="shared" si="20"/>
        <v>EP-finished SS 304/316L pipes and tubes for VERIFY plants in Igualada. ASME BPE SF1-SF4, Ra from 0.25 um, EN 10204 3.1 certificate with every lot.</v>
      </c>
      <c r="AK1636" s="15" t="str">
        <f t="shared" si="21"/>
        <v>Electropolished stainless steel pipes supplied by Sakshi Forge to VERIFY plants at VERIFY, Igualada</v>
      </c>
      <c r="AL1636" s="15" t="str">
        <f t="shared" si="22"/>
        <v>Electropolished SS 316L tube stock for Igualada - Sakshi Forge</v>
      </c>
      <c r="AM1636" s="15" t="str">
        <f t="shared" si="23"/>
        <v>Home &gt; Market Area &gt; Spain &gt; VERIFY &gt; Igualada</v>
      </c>
      <c r="AN1636" s="15">
        <f t="shared" si="24"/>
        <v>750</v>
      </c>
      <c r="AO1636" s="15">
        <f t="shared" si="25"/>
        <v>6</v>
      </c>
      <c r="AP1636" s="15">
        <f t="shared" si="26"/>
        <v>6</v>
      </c>
      <c r="AQ1636" s="15">
        <f t="shared" si="27"/>
        <v>28</v>
      </c>
      <c r="AR1636" s="31"/>
      <c r="AS1636" s="31"/>
      <c r="AT1636" s="35" t="s">
        <v>222</v>
      </c>
      <c r="AU1636" s="35"/>
    </row>
    <row r="1637" ht="15.75" customHeight="1">
      <c r="A1637" s="15" t="s">
        <v>7556</v>
      </c>
      <c r="B1637" s="15" t="s">
        <v>380</v>
      </c>
      <c r="C1637" s="15" t="s">
        <v>98</v>
      </c>
      <c r="D1637" s="15" t="s">
        <v>7557</v>
      </c>
      <c r="E1637" s="15" t="s">
        <v>7557</v>
      </c>
      <c r="F1637" s="58" t="s">
        <v>807</v>
      </c>
      <c r="G1637" s="66" t="s">
        <v>98</v>
      </c>
      <c r="H1637" s="18" t="s">
        <v>98</v>
      </c>
      <c r="I1637" s="18" t="s">
        <v>98</v>
      </c>
      <c r="J1637" s="18" t="s">
        <v>98</v>
      </c>
      <c r="K1637" s="18" t="s">
        <v>98</v>
      </c>
      <c r="L1637" s="18" t="s">
        <v>98</v>
      </c>
      <c r="M1637" s="18" t="s">
        <v>596</v>
      </c>
      <c r="N1637" s="18" t="s">
        <v>402</v>
      </c>
      <c r="O1637" s="18" t="s">
        <v>98</v>
      </c>
      <c r="P1637" s="15" t="str">
        <f t="shared" si="1"/>
        <v>VERIFY</v>
      </c>
      <c r="Q1637" s="15">
        <f t="shared" si="2"/>
        <v>2</v>
      </c>
      <c r="R1637" s="15">
        <f t="shared" si="3"/>
        <v>3</v>
      </c>
      <c r="S1637" s="15">
        <f t="shared" si="4"/>
        <v>4</v>
      </c>
      <c r="T1637" s="15" t="str">
        <f t="shared" si="5"/>
        <v>C-2</v>
      </c>
      <c r="U1637" s="15" t="str">
        <f t="shared" si="6"/>
        <v>T2-M3-H4-FC-2-VERIFY</v>
      </c>
      <c r="V1637" s="15">
        <f t="shared" si="7"/>
        <v>0</v>
      </c>
      <c r="W1637" s="31"/>
      <c r="X1637" s="15" t="str">
        <f t="shared" si="8"/>
        <v>jaen-spain</v>
      </c>
      <c r="Y1637" s="32" t="str">
        <f t="shared" si="9"/>
        <v>https://steelmanufacturer.in/market-area/electropolished-pipes-manufacturer-in-jaen-spain/</v>
      </c>
      <c r="Z1637" s="15" t="str">
        <f t="shared" si="10"/>
        <v>Electropolished Pipes Manufacturer in Jaen - ASTM A270 &amp; ASME BPE</v>
      </c>
      <c r="AA1637" s="15" t="str">
        <f t="shared" si="11"/>
        <v>OK (65)</v>
      </c>
      <c r="AB1637" s="15" t="str">
        <f t="shared" si="12"/>
        <v>EP stainless tube for VERIFY lines in Jaen. 19-25 days sea from Nhava Sheva to Valencia. ASTM A270 S2, PMI tested, EN 10204 3.1.</v>
      </c>
      <c r="AC1637" s="15" t="str">
        <f t="shared" si="13"/>
        <v>PENDING RESEARCH</v>
      </c>
      <c r="AD1637" s="15" t="str">
        <f t="shared" si="14"/>
        <v>Electropolished Pipes Manufacturer in Jaen</v>
      </c>
      <c r="AE1637" s="15" t="str">
        <f t="shared" si="15"/>
        <v>Manufacturing Electropolished SS Tube for Jaen: The Standards We Build To</v>
      </c>
      <c r="AF1637" s="15" t="str">
        <f t="shared" si="16"/>
        <v>Electropolished Pipe Supply Into Jaen - Certification &amp; Transit</v>
      </c>
      <c r="AG1637" s="15" t="str">
        <f t="shared" si="17"/>
        <v>Electropolished Pipes Wholesaler in Jaen - Project Quantities &amp; Terms</v>
      </c>
      <c r="AH1637" s="15" t="str">
        <f t="shared" si="18"/>
        <v>electropolished pipes manufacturer in Jaen, electropolished pipes supplier in Jaen, electropolished pipes wholesaler in Jaen, electropolished tube manufacturer Jaen, EP pipe supplier Jaen, sanitary tube supplier Jaen, ASME BPE tubing Jaen, ASTM A270 tube Jaen, SS 316L electropolished pipe Jaen</v>
      </c>
      <c r="AI1637" s="15" t="str">
        <f t="shared" si="19"/>
        <v>Electropolished Pipes Manufacturer &amp; Supplier in Jaen</v>
      </c>
      <c r="AJ1637" s="15" t="str">
        <f t="shared" si="20"/>
        <v>EP-finished SS 304/316L pipes and tubes for VERIFY plants in Jaen. ASME BPE SF1-SF4, Ra from 0.25 um, EN 10204 3.1 certificate with every lot.</v>
      </c>
      <c r="AK1637" s="15" t="str">
        <f t="shared" si="21"/>
        <v>Electropolished stainless steel pipes supplied by Sakshi Forge to VERIFY plants at VERIFY, Jaen</v>
      </c>
      <c r="AL1637" s="15" t="str">
        <f t="shared" si="22"/>
        <v>Electropolished SS 316L tube stock for Jaen - Sakshi Forge</v>
      </c>
      <c r="AM1637" s="15" t="str">
        <f t="shared" si="23"/>
        <v>Home &gt; Market Area &gt; Spain &gt; VERIFY &gt; Jaen</v>
      </c>
      <c r="AN1637" s="15">
        <f t="shared" si="24"/>
        <v>750</v>
      </c>
      <c r="AO1637" s="15">
        <f t="shared" si="25"/>
        <v>6</v>
      </c>
      <c r="AP1637" s="15">
        <f t="shared" si="26"/>
        <v>6</v>
      </c>
      <c r="AQ1637" s="15">
        <f t="shared" si="27"/>
        <v>28</v>
      </c>
      <c r="AR1637" s="31"/>
      <c r="AS1637" s="31"/>
      <c r="AT1637" s="35" t="s">
        <v>222</v>
      </c>
      <c r="AU1637" s="35"/>
    </row>
    <row r="1638" ht="15.75" customHeight="1">
      <c r="A1638" s="15" t="s">
        <v>7558</v>
      </c>
      <c r="B1638" s="15" t="s">
        <v>380</v>
      </c>
      <c r="C1638" s="15" t="s">
        <v>98</v>
      </c>
      <c r="D1638" s="15" t="s">
        <v>7559</v>
      </c>
      <c r="E1638" s="15" t="s">
        <v>7559</v>
      </c>
      <c r="F1638" s="58" t="s">
        <v>807</v>
      </c>
      <c r="G1638" s="66" t="s">
        <v>98</v>
      </c>
      <c r="H1638" s="18" t="s">
        <v>98</v>
      </c>
      <c r="I1638" s="18" t="s">
        <v>98</v>
      </c>
      <c r="J1638" s="18" t="s">
        <v>98</v>
      </c>
      <c r="K1638" s="18" t="s">
        <v>98</v>
      </c>
      <c r="L1638" s="18" t="s">
        <v>98</v>
      </c>
      <c r="M1638" s="18" t="s">
        <v>596</v>
      </c>
      <c r="N1638" s="18" t="s">
        <v>402</v>
      </c>
      <c r="O1638" s="18" t="s">
        <v>98</v>
      </c>
      <c r="P1638" s="15" t="str">
        <f t="shared" si="1"/>
        <v>VERIFY</v>
      </c>
      <c r="Q1638" s="15">
        <f t="shared" si="2"/>
        <v>3</v>
      </c>
      <c r="R1638" s="15">
        <f t="shared" si="3"/>
        <v>4</v>
      </c>
      <c r="S1638" s="15">
        <f t="shared" si="4"/>
        <v>5</v>
      </c>
      <c r="T1638" s="15" t="str">
        <f t="shared" si="5"/>
        <v>C-3</v>
      </c>
      <c r="U1638" s="15" t="str">
        <f t="shared" si="6"/>
        <v>T3-M4-H5-FC-3-VERIFY</v>
      </c>
      <c r="V1638" s="15">
        <f t="shared" si="7"/>
        <v>0</v>
      </c>
      <c r="W1638" s="31"/>
      <c r="X1638" s="15" t="str">
        <f t="shared" si="8"/>
        <v>jerez-spain</v>
      </c>
      <c r="Y1638" s="32" t="str">
        <f t="shared" si="9"/>
        <v>https://steelmanufacturer.in/market-area/electropolished-pipes-manufacturer-in-jerez-spain/</v>
      </c>
      <c r="Z1638" s="15" t="str">
        <f t="shared" si="10"/>
        <v>Electropolished Pipes Manufacturer in Jerez | EP Tube Supplier</v>
      </c>
      <c r="AA1638" s="15" t="str">
        <f t="shared" si="11"/>
        <v>OK (62)</v>
      </c>
      <c r="AB1638" s="15" t="str">
        <f t="shared" si="12"/>
        <v>Sanitary electropolished pipes in Jerez for VERIFY plants. ASME BPE SF1-SF4, orbital-weld ready, 3.1 MTC. Mumbai-made.</v>
      </c>
      <c r="AC1638" s="15" t="str">
        <f t="shared" si="13"/>
        <v>PENDING RESEARCH</v>
      </c>
      <c r="AD1638" s="15" t="str">
        <f t="shared" si="14"/>
        <v>Electropolished Pipes Manufacturer in Jerez</v>
      </c>
      <c r="AE1638" s="15" t="str">
        <f t="shared" si="15"/>
        <v>Electropolished Tube Manufacturing Capability Serving Jerez</v>
      </c>
      <c r="AF1638" s="15" t="str">
        <f t="shared" si="16"/>
        <v>Electropolished Pipes Supplier in Jerez - From Order to Delivery</v>
      </c>
      <c r="AG1638" s="15" t="str">
        <f t="shared" si="17"/>
        <v>Stockist &amp; Wholesale Supply of Electropolished Pipes in Jerez</v>
      </c>
      <c r="AH1638" s="15" t="str">
        <f t="shared" si="18"/>
        <v>electropolished pipes manufacturer in Jerez, electropolished pipes supplier in Jerez, electropolished pipes wholesaler in Jerez, electropolished tube manufacturer Jerez, EP pipe supplier Jerez, sanitary tube supplier Jerez, ASME BPE tubing Jerez, ASTM A270 tube Jerez, SS 316L electropolished pipe Jerez</v>
      </c>
      <c r="AI1638" s="15" t="str">
        <f t="shared" si="19"/>
        <v>Electropolished Pipes Manufacturer &amp; Supplier in Jerez</v>
      </c>
      <c r="AJ1638" s="15" t="str">
        <f t="shared" si="20"/>
        <v>EP-finished SS 304/316L pipes and tubes for VERIFY plants in Jerez. ASME BPE SF1-SF4, Ra from 0.25 um, EN 10204 3.1 certificate with every lot.</v>
      </c>
      <c r="AK1638" s="15" t="str">
        <f t="shared" si="21"/>
        <v>Electropolished stainless steel pipes supplied by Sakshi Forge to VERIFY plants at VERIFY, Jerez</v>
      </c>
      <c r="AL1638" s="15" t="str">
        <f t="shared" si="22"/>
        <v>Electropolished SS 316L tube stock for Jerez - Sakshi Forge</v>
      </c>
      <c r="AM1638" s="15" t="str">
        <f t="shared" si="23"/>
        <v>Home &gt; Market Area &gt; Spain &gt; VERIFY &gt; Jerez</v>
      </c>
      <c r="AN1638" s="15">
        <f t="shared" si="24"/>
        <v>750</v>
      </c>
      <c r="AO1638" s="15">
        <f t="shared" si="25"/>
        <v>6</v>
      </c>
      <c r="AP1638" s="15">
        <f t="shared" si="26"/>
        <v>6</v>
      </c>
      <c r="AQ1638" s="15">
        <f t="shared" si="27"/>
        <v>28</v>
      </c>
      <c r="AR1638" s="31"/>
      <c r="AS1638" s="31"/>
      <c r="AT1638" s="35" t="s">
        <v>222</v>
      </c>
      <c r="AU1638" s="35"/>
    </row>
    <row r="1639" ht="15.75" customHeight="1">
      <c r="A1639" s="15" t="s">
        <v>7560</v>
      </c>
      <c r="B1639" s="15" t="s">
        <v>380</v>
      </c>
      <c r="C1639" s="15" t="s">
        <v>98</v>
      </c>
      <c r="D1639" s="15" t="s">
        <v>7561</v>
      </c>
      <c r="E1639" s="15" t="s">
        <v>7561</v>
      </c>
      <c r="F1639" s="58" t="s">
        <v>807</v>
      </c>
      <c r="G1639" s="66" t="s">
        <v>98</v>
      </c>
      <c r="H1639" s="18" t="s">
        <v>98</v>
      </c>
      <c r="I1639" s="18" t="s">
        <v>98</v>
      </c>
      <c r="J1639" s="18" t="s">
        <v>98</v>
      </c>
      <c r="K1639" s="18" t="s">
        <v>98</v>
      </c>
      <c r="L1639" s="18" t="s">
        <v>98</v>
      </c>
      <c r="M1639" s="18" t="s">
        <v>596</v>
      </c>
      <c r="N1639" s="18" t="s">
        <v>402</v>
      </c>
      <c r="O1639" s="18" t="s">
        <v>98</v>
      </c>
      <c r="P1639" s="15" t="str">
        <f t="shared" si="1"/>
        <v>VERIFY</v>
      </c>
      <c r="Q1639" s="15">
        <f t="shared" si="2"/>
        <v>4</v>
      </c>
      <c r="R1639" s="15">
        <f t="shared" si="3"/>
        <v>5</v>
      </c>
      <c r="S1639" s="15">
        <f t="shared" si="4"/>
        <v>1</v>
      </c>
      <c r="T1639" s="15" t="str">
        <f t="shared" si="5"/>
        <v>C-4</v>
      </c>
      <c r="U1639" s="15" t="str">
        <f t="shared" si="6"/>
        <v>T4-M5-H1-FC-4-VERIFY</v>
      </c>
      <c r="V1639" s="15">
        <f t="shared" si="7"/>
        <v>0</v>
      </c>
      <c r="W1639" s="31"/>
      <c r="X1639" s="15" t="str">
        <f t="shared" si="8"/>
        <v>leganes-spain</v>
      </c>
      <c r="Y1639" s="32" t="str">
        <f t="shared" si="9"/>
        <v>https://steelmanufacturer.in/market-area/electropolished-pipes-manufacturer-in-leganes-spain/</v>
      </c>
      <c r="Z1639" s="15" t="str">
        <f t="shared" si="10"/>
        <v>Electropolished Pipes Manufacturer in Leganes</v>
      </c>
      <c r="AA1639" s="15" t="str">
        <f t="shared" si="11"/>
        <v>OK (45)</v>
      </c>
      <c r="AB1639" s="15" t="str">
        <f t="shared" si="12"/>
        <v>Manufacturer of electropolished SS 316L tube serving Leganes. 19-25 days sea from Nhava Sheva to Valencia. Ra 0.25-0.5 um, EN 10204 3.1 MTC.</v>
      </c>
      <c r="AC1639" s="15" t="str">
        <f t="shared" si="13"/>
        <v>PENDING RESEARCH</v>
      </c>
      <c r="AD1639" s="15" t="str">
        <f t="shared" si="14"/>
        <v>Electropolished Pipes Manufacturer in Leganes</v>
      </c>
      <c r="AE1639" s="15" t="str">
        <f t="shared" si="15"/>
        <v>Electropolished Pipe &amp; Tube Manufacturing for Leganes - Grades, Finishes &amp; Certification</v>
      </c>
      <c r="AF1639" s="15" t="str">
        <f t="shared" si="16"/>
        <v>Electropolished Pipes Supplier in Leganes - Stock Sizes, Lead Time &amp; Delivery</v>
      </c>
      <c r="AG1639" s="15" t="str">
        <f t="shared" si="17"/>
        <v>Electropolished Pipes Wholesaler &amp; Stockist in Leganes - Bulk &amp; Project Pricing</v>
      </c>
      <c r="AH1639" s="15" t="str">
        <f t="shared" si="18"/>
        <v>electropolished pipes manufacturer in Leganes, electropolished pipes supplier in Leganes, electropolished pipes wholesaler in Leganes, electropolished tube manufacturer Leganes, EP pipe supplier Leganes, sanitary tube supplier Leganes, ASME BPE tubing Leganes, ASTM A270 tube Leganes, SS 316L electropolished pipe Leganes</v>
      </c>
      <c r="AI1639" s="15" t="str">
        <f t="shared" si="19"/>
        <v>Electropolished Pipes Manufacturer &amp; Supplier in Leganes</v>
      </c>
      <c r="AJ1639" s="15" t="str">
        <f t="shared" si="20"/>
        <v>EP-finished SS 304/316L pipes and tubes for VERIFY plants in Leganes. ASME BPE SF1-SF4, Ra from 0.25 um, EN 10204 3.1 certificate with every lot.</v>
      </c>
      <c r="AK1639" s="15" t="str">
        <f t="shared" si="21"/>
        <v>Electropolished stainless steel pipes supplied by Sakshi Forge to VERIFY plants at VERIFY, Leganes</v>
      </c>
      <c r="AL1639" s="15" t="str">
        <f t="shared" si="22"/>
        <v>Electropolished SS 316L tube stock for Leganes - Sakshi Forge</v>
      </c>
      <c r="AM1639" s="15" t="str">
        <f t="shared" si="23"/>
        <v>Home &gt; Market Area &gt; Spain &gt; VERIFY &gt; Leganes</v>
      </c>
      <c r="AN1639" s="15">
        <f t="shared" si="24"/>
        <v>750</v>
      </c>
      <c r="AO1639" s="15">
        <f t="shared" si="25"/>
        <v>6</v>
      </c>
      <c r="AP1639" s="15">
        <f t="shared" si="26"/>
        <v>6</v>
      </c>
      <c r="AQ1639" s="15">
        <f t="shared" si="27"/>
        <v>28</v>
      </c>
      <c r="AR1639" s="31"/>
      <c r="AS1639" s="31"/>
      <c r="AT1639" s="35" t="s">
        <v>222</v>
      </c>
      <c r="AU1639" s="35"/>
    </row>
    <row r="1640" ht="15.75" customHeight="1">
      <c r="A1640" s="15" t="s">
        <v>7562</v>
      </c>
      <c r="B1640" s="15" t="s">
        <v>380</v>
      </c>
      <c r="C1640" s="15" t="s">
        <v>98</v>
      </c>
      <c r="D1640" s="15" t="s">
        <v>7563</v>
      </c>
      <c r="E1640" s="15" t="s">
        <v>7563</v>
      </c>
      <c r="F1640" s="58" t="s">
        <v>807</v>
      </c>
      <c r="G1640" s="66" t="s">
        <v>98</v>
      </c>
      <c r="H1640" s="18" t="s">
        <v>98</v>
      </c>
      <c r="I1640" s="18" t="s">
        <v>98</v>
      </c>
      <c r="J1640" s="18" t="s">
        <v>98</v>
      </c>
      <c r="K1640" s="18" t="s">
        <v>98</v>
      </c>
      <c r="L1640" s="18" t="s">
        <v>98</v>
      </c>
      <c r="M1640" s="18" t="s">
        <v>596</v>
      </c>
      <c r="N1640" s="18" t="s">
        <v>402</v>
      </c>
      <c r="O1640" s="18" t="s">
        <v>98</v>
      </c>
      <c r="P1640" s="15" t="str">
        <f t="shared" si="1"/>
        <v>VERIFY</v>
      </c>
      <c r="Q1640" s="15">
        <f t="shared" si="2"/>
        <v>5</v>
      </c>
      <c r="R1640" s="15">
        <f t="shared" si="3"/>
        <v>6</v>
      </c>
      <c r="S1640" s="15">
        <f t="shared" si="4"/>
        <v>2</v>
      </c>
      <c r="T1640" s="15" t="str">
        <f t="shared" si="5"/>
        <v>C-5</v>
      </c>
      <c r="U1640" s="15" t="str">
        <f t="shared" si="6"/>
        <v>T5-M6-H2-FC-5-VERIFY</v>
      </c>
      <c r="V1640" s="15">
        <f t="shared" si="7"/>
        <v>0</v>
      </c>
      <c r="W1640" s="31"/>
      <c r="X1640" s="15" t="str">
        <f t="shared" si="8"/>
        <v>linares-spain</v>
      </c>
      <c r="Y1640" s="32" t="str">
        <f t="shared" si="9"/>
        <v>https://steelmanufacturer.in/market-area/electropolished-pipes-manufacturer-in-linares-spain/</v>
      </c>
      <c r="Z1640" s="15" t="str">
        <f t="shared" si="10"/>
        <v>Electropolished Pipes Manufacturer in Linares</v>
      </c>
      <c r="AA1640" s="15" t="str">
        <f t="shared" si="11"/>
        <v>OK (45)</v>
      </c>
      <c r="AB1640" s="15" t="str">
        <f t="shared" si="12"/>
        <v>EP tube and pipe for VERIFY plants around VERIFY, Linares. Made at our Mumbai works to ASTM A270 and ASME BPE SF1-SF4, with 3.1 MTC.</v>
      </c>
      <c r="AC1640" s="15" t="str">
        <f t="shared" si="13"/>
        <v>PENDING RESEARCH</v>
      </c>
      <c r="AD1640" s="15" t="str">
        <f t="shared" si="14"/>
        <v>Electropolished Pipes Manufacturer in Linares</v>
      </c>
      <c r="AE1640" s="15" t="str">
        <f t="shared" si="15"/>
        <v>How We Manufacture Electropolished Tube for Linares Plants</v>
      </c>
      <c r="AF1640" s="15" t="str">
        <f t="shared" si="16"/>
        <v>Supplying Electropolished Pipes in Linares: Availability, Sizes &amp; Dispatch</v>
      </c>
      <c r="AG1640" s="15" t="str">
        <f t="shared" si="17"/>
        <v>Wholesale Electropolished Pipe Supply for Linares Projects</v>
      </c>
      <c r="AH1640" s="15" t="str">
        <f t="shared" si="18"/>
        <v>electropolished pipes manufacturer in Linares, electropolished pipes supplier in Linares, electropolished pipes wholesaler in Linares, electropolished tube manufacturer Linares, EP pipe supplier Linares, sanitary tube supplier Linares, ASME BPE tubing Linares, ASTM A270 tube Linares, SS 316L electropolished pipe Linares</v>
      </c>
      <c r="AI1640" s="15" t="str">
        <f t="shared" si="19"/>
        <v>Electropolished Pipes Manufacturer &amp; Supplier in Linares</v>
      </c>
      <c r="AJ1640" s="15" t="str">
        <f t="shared" si="20"/>
        <v>EP-finished SS 304/316L pipes and tubes for VERIFY plants in Linares. ASME BPE SF1-SF4, Ra from 0.25 um, EN 10204 3.1 certificate with every lot.</v>
      </c>
      <c r="AK1640" s="15" t="str">
        <f t="shared" si="21"/>
        <v>Electropolished stainless steel pipes supplied by Sakshi Forge to VERIFY plants at VERIFY, Linares</v>
      </c>
      <c r="AL1640" s="15" t="str">
        <f t="shared" si="22"/>
        <v>Electropolished SS 316L tube stock for Linares - Sakshi Forge</v>
      </c>
      <c r="AM1640" s="15" t="str">
        <f t="shared" si="23"/>
        <v>Home &gt; Market Area &gt; Spain &gt; VERIFY &gt; Linares</v>
      </c>
      <c r="AN1640" s="15">
        <f t="shared" si="24"/>
        <v>750</v>
      </c>
      <c r="AO1640" s="15">
        <f t="shared" si="25"/>
        <v>6</v>
      </c>
      <c r="AP1640" s="15">
        <f t="shared" si="26"/>
        <v>6</v>
      </c>
      <c r="AQ1640" s="15">
        <f t="shared" si="27"/>
        <v>28</v>
      </c>
      <c r="AR1640" s="31"/>
      <c r="AS1640" s="31"/>
      <c r="AT1640" s="35" t="s">
        <v>222</v>
      </c>
      <c r="AU1640" s="35"/>
    </row>
    <row r="1641" ht="15.75" customHeight="1">
      <c r="A1641" s="15" t="s">
        <v>7564</v>
      </c>
      <c r="B1641" s="15" t="s">
        <v>380</v>
      </c>
      <c r="C1641" s="15" t="s">
        <v>98</v>
      </c>
      <c r="D1641" s="15" t="s">
        <v>7565</v>
      </c>
      <c r="E1641" s="15" t="s">
        <v>7565</v>
      </c>
      <c r="F1641" s="58" t="s">
        <v>807</v>
      </c>
      <c r="G1641" s="66" t="s">
        <v>98</v>
      </c>
      <c r="H1641" s="18" t="s">
        <v>98</v>
      </c>
      <c r="I1641" s="18" t="s">
        <v>98</v>
      </c>
      <c r="J1641" s="18" t="s">
        <v>98</v>
      </c>
      <c r="K1641" s="18" t="s">
        <v>98</v>
      </c>
      <c r="L1641" s="18" t="s">
        <v>98</v>
      </c>
      <c r="M1641" s="18" t="s">
        <v>596</v>
      </c>
      <c r="N1641" s="18" t="s">
        <v>402</v>
      </c>
      <c r="O1641" s="18" t="s">
        <v>98</v>
      </c>
      <c r="P1641" s="15" t="str">
        <f t="shared" si="1"/>
        <v>VERIFY</v>
      </c>
      <c r="Q1641" s="15">
        <f t="shared" si="2"/>
        <v>6</v>
      </c>
      <c r="R1641" s="15">
        <f t="shared" si="3"/>
        <v>7</v>
      </c>
      <c r="S1641" s="15">
        <f t="shared" si="4"/>
        <v>3</v>
      </c>
      <c r="T1641" s="15" t="str">
        <f t="shared" si="5"/>
        <v>C-6</v>
      </c>
      <c r="U1641" s="15" t="str">
        <f t="shared" si="6"/>
        <v>T6-M7-H3-FC-6-VERIFY</v>
      </c>
      <c r="V1641" s="15">
        <f t="shared" si="7"/>
        <v>0</v>
      </c>
      <c r="W1641" s="31"/>
      <c r="X1641" s="15" t="str">
        <f t="shared" si="8"/>
        <v>logrono-spain</v>
      </c>
      <c r="Y1641" s="32" t="str">
        <f t="shared" si="9"/>
        <v>https://steelmanufacturer.in/market-area/electropolished-pipes-manufacturer-in-logrono-spain/</v>
      </c>
      <c r="Z1641" s="15" t="str">
        <f t="shared" si="10"/>
        <v>Electropolished Pipes Manufacturer in Logrono</v>
      </c>
      <c r="AA1641" s="15" t="str">
        <f t="shared" si="11"/>
        <v>OK (45)</v>
      </c>
      <c r="AB1641" s="15" t="str">
        <f t="shared" si="12"/>
        <v>Electropolished pipes in Logrono: 304, 304L, 316 and 316L in SF1-SF4. 19-25 days sea from Nhava Sheva to Valencia. Mill certified.</v>
      </c>
      <c r="AC1641" s="15" t="str">
        <f t="shared" si="13"/>
        <v>PENDING RESEARCH</v>
      </c>
      <c r="AD1641" s="15" t="str">
        <f t="shared" si="14"/>
        <v>Electropolished Pipes Manufacturer in Logrono</v>
      </c>
      <c r="AE1641" s="15" t="str">
        <f t="shared" si="15"/>
        <v>Electropolished Pipes Manufacturer in Logrono - Our Process &amp; Capability</v>
      </c>
      <c r="AF1641" s="15" t="str">
        <f t="shared" si="16"/>
        <v>Electropolished Pipes Supplier in Logrono - What We Hold in Stock</v>
      </c>
      <c r="AG1641" s="15" t="str">
        <f t="shared" si="17"/>
        <v>Bulk &amp; Wholesale Electropolished Pipe Rates for Logrono Buyers</v>
      </c>
      <c r="AH1641" s="15" t="str">
        <f t="shared" si="18"/>
        <v>electropolished pipes manufacturer in Logrono, electropolished pipes supplier in Logrono, electropolished pipes wholesaler in Logrono, electropolished tube manufacturer Logrono, EP pipe supplier Logrono, sanitary tube supplier Logrono, ASME BPE tubing Logrono, ASTM A270 tube Logrono, SS 316L electropolished pipe Logrono</v>
      </c>
      <c r="AI1641" s="15" t="str">
        <f t="shared" si="19"/>
        <v>Electropolished Pipes Manufacturer &amp; Supplier in Logrono</v>
      </c>
      <c r="AJ1641" s="15" t="str">
        <f t="shared" si="20"/>
        <v>EP-finished SS 304/316L pipes and tubes for VERIFY plants in Logrono. ASME BPE SF1-SF4, Ra from 0.25 um, EN 10204 3.1 certificate with every lot.</v>
      </c>
      <c r="AK1641" s="15" t="str">
        <f t="shared" si="21"/>
        <v>Electropolished stainless steel pipes supplied by Sakshi Forge to VERIFY plants at VERIFY, Logrono</v>
      </c>
      <c r="AL1641" s="15" t="str">
        <f t="shared" si="22"/>
        <v>Electropolished SS 316L tube stock for Logrono - Sakshi Forge</v>
      </c>
      <c r="AM1641" s="15" t="str">
        <f t="shared" si="23"/>
        <v>Home &gt; Market Area &gt; Spain &gt; VERIFY &gt; Logrono</v>
      </c>
      <c r="AN1641" s="15">
        <f t="shared" si="24"/>
        <v>750</v>
      </c>
      <c r="AO1641" s="15">
        <f t="shared" si="25"/>
        <v>6</v>
      </c>
      <c r="AP1641" s="15">
        <f t="shared" si="26"/>
        <v>6</v>
      </c>
      <c r="AQ1641" s="15">
        <f t="shared" si="27"/>
        <v>28</v>
      </c>
      <c r="AR1641" s="31"/>
      <c r="AS1641" s="31"/>
      <c r="AT1641" s="35" t="s">
        <v>222</v>
      </c>
      <c r="AU1641" s="35"/>
    </row>
    <row r="1642" ht="15.75" customHeight="1">
      <c r="A1642" s="15" t="s">
        <v>7566</v>
      </c>
      <c r="B1642" s="15" t="s">
        <v>380</v>
      </c>
      <c r="C1642" s="15" t="s">
        <v>98</v>
      </c>
      <c r="D1642" s="15" t="s">
        <v>7567</v>
      </c>
      <c r="E1642" s="15" t="s">
        <v>7567</v>
      </c>
      <c r="F1642" s="58" t="s">
        <v>807</v>
      </c>
      <c r="G1642" s="66" t="s">
        <v>98</v>
      </c>
      <c r="H1642" s="18" t="s">
        <v>98</v>
      </c>
      <c r="I1642" s="18" t="s">
        <v>98</v>
      </c>
      <c r="J1642" s="18" t="s">
        <v>98</v>
      </c>
      <c r="K1642" s="18" t="s">
        <v>98</v>
      </c>
      <c r="L1642" s="18" t="s">
        <v>98</v>
      </c>
      <c r="M1642" s="18" t="s">
        <v>596</v>
      </c>
      <c r="N1642" s="18" t="s">
        <v>402</v>
      </c>
      <c r="O1642" s="18" t="s">
        <v>98</v>
      </c>
      <c r="P1642" s="15" t="str">
        <f t="shared" si="1"/>
        <v>VERIFY</v>
      </c>
      <c r="Q1642" s="15">
        <f t="shared" si="2"/>
        <v>7</v>
      </c>
      <c r="R1642" s="15">
        <f t="shared" si="3"/>
        <v>1</v>
      </c>
      <c r="S1642" s="15">
        <f t="shared" si="4"/>
        <v>4</v>
      </c>
      <c r="T1642" s="15" t="str">
        <f t="shared" si="5"/>
        <v>C-1</v>
      </c>
      <c r="U1642" s="15" t="str">
        <f t="shared" si="6"/>
        <v>T7-M1-H4-FC-1-VERIFY</v>
      </c>
      <c r="V1642" s="15">
        <f t="shared" si="7"/>
        <v>0</v>
      </c>
      <c r="W1642" s="31"/>
      <c r="X1642" s="15" t="str">
        <f t="shared" si="8"/>
        <v>lorca-spain</v>
      </c>
      <c r="Y1642" s="32" t="str">
        <f t="shared" si="9"/>
        <v>https://steelmanufacturer.in/market-area/electropolished-pipes-manufacturer-in-lorca-spain/</v>
      </c>
      <c r="Z1642" s="15" t="str">
        <f t="shared" si="10"/>
        <v>Electropolished Pipes Manufacturer in Lorca | ASME BPE SF1-SF4</v>
      </c>
      <c r="AA1642" s="15" t="str">
        <f t="shared" si="11"/>
        <v>OK (62)</v>
      </c>
      <c r="AB1642" s="15" t="str">
        <f t="shared" si="12"/>
        <v>EP-finished SS 304/316L pipes &amp; tubes for VERIFY plants in Lorca. ASTM A270, ASME BPE SF1-SF4, EN 10204 3.1 MTC. PMI tested.</v>
      </c>
      <c r="AC1642" s="15" t="str">
        <f t="shared" si="13"/>
        <v>PENDING RESEARCH</v>
      </c>
      <c r="AD1642" s="15" t="str">
        <f t="shared" si="14"/>
        <v>Electropolished Pipes Manufacturer in Lorca</v>
      </c>
      <c r="AE1642" s="15" t="str">
        <f t="shared" si="15"/>
        <v>Manufacturing Electropolished SS Tube for Lorca: The Standards We Build To</v>
      </c>
      <c r="AF1642" s="15" t="str">
        <f t="shared" si="16"/>
        <v>Electropolished Pipe Supply Into Lorca - Certification &amp; Transit</v>
      </c>
      <c r="AG1642" s="15" t="str">
        <f t="shared" si="17"/>
        <v>Electropolished Pipes Wholesaler in Lorca - Project Quantities &amp; Terms</v>
      </c>
      <c r="AH1642" s="15" t="str">
        <f t="shared" si="18"/>
        <v>electropolished pipes manufacturer in Lorca, electropolished pipes supplier in Lorca, electropolished pipes wholesaler in Lorca, electropolished tube manufacturer Lorca, EP pipe supplier Lorca, sanitary tube supplier Lorca, ASME BPE tubing Lorca, ASTM A270 tube Lorca, SS 316L electropolished pipe Lorca</v>
      </c>
      <c r="AI1642" s="15" t="str">
        <f t="shared" si="19"/>
        <v>Electropolished Pipes Manufacturer &amp; Supplier in Lorca</v>
      </c>
      <c r="AJ1642" s="15" t="str">
        <f t="shared" si="20"/>
        <v>EP-finished SS 304/316L pipes and tubes for VERIFY plants in Lorca. ASME BPE SF1-SF4, Ra from 0.25 um, EN 10204 3.1 certificate with every lot.</v>
      </c>
      <c r="AK1642" s="15" t="str">
        <f t="shared" si="21"/>
        <v>Electropolished stainless steel pipes supplied by Sakshi Forge to VERIFY plants at VERIFY, Lorca</v>
      </c>
      <c r="AL1642" s="15" t="str">
        <f t="shared" si="22"/>
        <v>Electropolished SS 316L tube stock for Lorca - Sakshi Forge</v>
      </c>
      <c r="AM1642" s="15" t="str">
        <f t="shared" si="23"/>
        <v>Home &gt; Market Area &gt; Spain &gt; VERIFY &gt; Lorca</v>
      </c>
      <c r="AN1642" s="15">
        <f t="shared" si="24"/>
        <v>750</v>
      </c>
      <c r="AO1642" s="15">
        <f t="shared" si="25"/>
        <v>6</v>
      </c>
      <c r="AP1642" s="15">
        <f t="shared" si="26"/>
        <v>6</v>
      </c>
      <c r="AQ1642" s="15">
        <f t="shared" si="27"/>
        <v>28</v>
      </c>
      <c r="AR1642" s="31"/>
      <c r="AS1642" s="31"/>
      <c r="AT1642" s="35" t="s">
        <v>222</v>
      </c>
      <c r="AU1642" s="35"/>
    </row>
    <row r="1643" ht="15.75" customHeight="1">
      <c r="A1643" s="15" t="s">
        <v>7571</v>
      </c>
      <c r="B1643" s="15" t="s">
        <v>380</v>
      </c>
      <c r="C1643" s="15" t="s">
        <v>98</v>
      </c>
      <c r="D1643" s="15" t="s">
        <v>7575</v>
      </c>
      <c r="E1643" s="15" t="s">
        <v>7575</v>
      </c>
      <c r="F1643" s="58" t="s">
        <v>807</v>
      </c>
      <c r="G1643" s="66" t="s">
        <v>98</v>
      </c>
      <c r="H1643" s="18" t="s">
        <v>98</v>
      </c>
      <c r="I1643" s="18" t="s">
        <v>98</v>
      </c>
      <c r="J1643" s="18" t="s">
        <v>98</v>
      </c>
      <c r="K1643" s="18" t="s">
        <v>98</v>
      </c>
      <c r="L1643" s="18" t="s">
        <v>98</v>
      </c>
      <c r="M1643" s="18" t="s">
        <v>596</v>
      </c>
      <c r="N1643" s="18" t="s">
        <v>402</v>
      </c>
      <c r="O1643" s="18" t="s">
        <v>98</v>
      </c>
      <c r="P1643" s="15" t="str">
        <f t="shared" si="1"/>
        <v>VERIFY</v>
      </c>
      <c r="Q1643" s="15">
        <f t="shared" si="2"/>
        <v>8</v>
      </c>
      <c r="R1643" s="15">
        <f t="shared" si="3"/>
        <v>2</v>
      </c>
      <c r="S1643" s="15">
        <f t="shared" si="4"/>
        <v>5</v>
      </c>
      <c r="T1643" s="15" t="str">
        <f t="shared" si="5"/>
        <v>C-2</v>
      </c>
      <c r="U1643" s="15" t="str">
        <f t="shared" si="6"/>
        <v>T8-M2-H5-FC-2-VERIFY</v>
      </c>
      <c r="V1643" s="15">
        <f t="shared" si="7"/>
        <v>0</v>
      </c>
      <c r="W1643" s="31"/>
      <c r="X1643" s="15" t="str">
        <f t="shared" si="8"/>
        <v>lugo-spain</v>
      </c>
      <c r="Y1643" s="32" t="str">
        <f t="shared" si="9"/>
        <v>https://steelmanufacturer.in/market-area/electropolished-pipes-manufacturer-in-lugo-spain/</v>
      </c>
      <c r="Z1643" s="15" t="str">
        <f t="shared" si="10"/>
        <v>Electropolished Pipes Manufacturer in Lugo - EP Tube Stockist</v>
      </c>
      <c r="AA1643" s="15" t="str">
        <f t="shared" si="11"/>
        <v>OK (61)</v>
      </c>
      <c r="AB1643" s="15" t="str">
        <f t="shared" si="12"/>
        <v>Electropolished tube supply to VERIFY, Lugo. Ra from 0.25 um, SF4 finish, mill test certificate with every lot.</v>
      </c>
      <c r="AC1643" s="15" t="str">
        <f t="shared" si="13"/>
        <v>PENDING RESEARCH</v>
      </c>
      <c r="AD1643" s="15" t="str">
        <f t="shared" si="14"/>
        <v>Electropolished Pipes Manufacturer in Lugo</v>
      </c>
      <c r="AE1643" s="15" t="str">
        <f t="shared" si="15"/>
        <v>Electropolished Tube Manufacturing Capability Serving Lugo</v>
      </c>
      <c r="AF1643" s="15" t="str">
        <f t="shared" si="16"/>
        <v>Electropolished Pipes Supplier in Lugo - From Order to Delivery</v>
      </c>
      <c r="AG1643" s="15" t="str">
        <f t="shared" si="17"/>
        <v>Stockist &amp; Wholesale Supply of Electropolished Pipes in Lugo</v>
      </c>
      <c r="AH1643" s="15" t="str">
        <f t="shared" si="18"/>
        <v>electropolished pipes manufacturer in Lugo, electropolished pipes supplier in Lugo, electropolished pipes wholesaler in Lugo, electropolished tube manufacturer Lugo, EP pipe supplier Lugo, sanitary tube supplier Lugo, ASME BPE tubing Lugo, ASTM A270 tube Lugo, SS 316L electropolished pipe Lugo</v>
      </c>
      <c r="AI1643" s="15" t="str">
        <f t="shared" si="19"/>
        <v>Electropolished Pipes Manufacturer &amp; Supplier in Lugo</v>
      </c>
      <c r="AJ1643" s="15" t="str">
        <f t="shared" si="20"/>
        <v>EP-finished SS 304/316L pipes and tubes for VERIFY plants in Lugo. ASME BPE SF1-SF4, Ra from 0.25 um, EN 10204 3.1 certificate with every lot.</v>
      </c>
      <c r="AK1643" s="15" t="str">
        <f t="shared" si="21"/>
        <v>Electropolished stainless steel pipes supplied by Sakshi Forge to VERIFY plants at VERIFY, Lugo</v>
      </c>
      <c r="AL1643" s="15" t="str">
        <f t="shared" si="22"/>
        <v>Electropolished SS 316L tube stock for Lugo - Sakshi Forge</v>
      </c>
      <c r="AM1643" s="15" t="str">
        <f t="shared" si="23"/>
        <v>Home &gt; Market Area &gt; Spain &gt; VERIFY &gt; Lugo</v>
      </c>
      <c r="AN1643" s="15">
        <f t="shared" si="24"/>
        <v>750</v>
      </c>
      <c r="AO1643" s="15">
        <f t="shared" si="25"/>
        <v>6</v>
      </c>
      <c r="AP1643" s="15">
        <f t="shared" si="26"/>
        <v>6</v>
      </c>
      <c r="AQ1643" s="15">
        <f t="shared" si="27"/>
        <v>28</v>
      </c>
      <c r="AR1643" s="31"/>
      <c r="AS1643" s="31"/>
      <c r="AT1643" s="35" t="s">
        <v>222</v>
      </c>
      <c r="AU1643" s="35"/>
    </row>
    <row r="1644" ht="15.75" customHeight="1">
      <c r="A1644" s="15" t="s">
        <v>7576</v>
      </c>
      <c r="B1644" s="15" t="s">
        <v>380</v>
      </c>
      <c r="C1644" s="15" t="s">
        <v>98</v>
      </c>
      <c r="D1644" s="15" t="s">
        <v>7577</v>
      </c>
      <c r="E1644" s="15" t="s">
        <v>7577</v>
      </c>
      <c r="F1644" s="58" t="s">
        <v>807</v>
      </c>
      <c r="G1644" s="66" t="s">
        <v>98</v>
      </c>
      <c r="H1644" s="18" t="s">
        <v>98</v>
      </c>
      <c r="I1644" s="18" t="s">
        <v>98</v>
      </c>
      <c r="J1644" s="18" t="s">
        <v>98</v>
      </c>
      <c r="K1644" s="18" t="s">
        <v>98</v>
      </c>
      <c r="L1644" s="18" t="s">
        <v>98</v>
      </c>
      <c r="M1644" s="18" t="s">
        <v>596</v>
      </c>
      <c r="N1644" s="18" t="s">
        <v>402</v>
      </c>
      <c r="O1644" s="18" t="s">
        <v>98</v>
      </c>
      <c r="P1644" s="15" t="str">
        <f t="shared" si="1"/>
        <v>VERIFY</v>
      </c>
      <c r="Q1644" s="15">
        <f t="shared" si="2"/>
        <v>1</v>
      </c>
      <c r="R1644" s="15">
        <f t="shared" si="3"/>
        <v>3</v>
      </c>
      <c r="S1644" s="15">
        <f t="shared" si="4"/>
        <v>1</v>
      </c>
      <c r="T1644" s="15" t="str">
        <f t="shared" si="5"/>
        <v>C-3</v>
      </c>
      <c r="U1644" s="15" t="str">
        <f t="shared" si="6"/>
        <v>T1-M3-H1-FC-3-VERIFY</v>
      </c>
      <c r="V1644" s="15">
        <f t="shared" si="7"/>
        <v>0</v>
      </c>
      <c r="W1644" s="31"/>
      <c r="X1644" s="15" t="str">
        <f t="shared" si="8"/>
        <v>manresa-spain</v>
      </c>
      <c r="Y1644" s="32" t="str">
        <f t="shared" si="9"/>
        <v>https://steelmanufacturer.in/market-area/electropolished-pipes-manufacturer-in-manresa-spain/</v>
      </c>
      <c r="Z1644" s="15" t="str">
        <f t="shared" si="10"/>
        <v>Electropolished Pipes Manufacturer in Manresa | Sakshi Forge</v>
      </c>
      <c r="AA1644" s="15" t="str">
        <f t="shared" si="11"/>
        <v>OK (60)</v>
      </c>
      <c r="AB1644" s="15" t="str">
        <f t="shared" si="12"/>
        <v>EP stainless tube for VERIFY lines in Manresa. 19-25 days sea from Nhava Sheva to Valencia. ASTM A270 S2, PMI tested, EN 10204 3.1.</v>
      </c>
      <c r="AC1644" s="15" t="str">
        <f t="shared" si="13"/>
        <v>PENDING RESEARCH</v>
      </c>
      <c r="AD1644" s="15" t="str">
        <f t="shared" si="14"/>
        <v>Electropolished Pipes Manufacturer in Manresa</v>
      </c>
      <c r="AE1644" s="15" t="str">
        <f t="shared" si="15"/>
        <v>Electropolished Pipe &amp; Tube Manufacturing for Manresa - Grades, Finishes &amp; Certification</v>
      </c>
      <c r="AF1644" s="15" t="str">
        <f t="shared" si="16"/>
        <v>Electropolished Pipes Supplier in Manresa - Stock Sizes, Lead Time &amp; Delivery</v>
      </c>
      <c r="AG1644" s="15" t="str">
        <f t="shared" si="17"/>
        <v>Electropolished Pipes Wholesaler &amp; Stockist in Manresa - Bulk &amp; Project Pricing</v>
      </c>
      <c r="AH1644" s="15" t="str">
        <f t="shared" si="18"/>
        <v>electropolished pipes manufacturer in Manresa, electropolished pipes supplier in Manresa, electropolished pipes wholesaler in Manresa, electropolished tube manufacturer Manresa, EP pipe supplier Manresa, sanitary tube supplier Manresa, ASME BPE tubing Manresa, ASTM A270 tube Manresa, SS 316L electropolished pipe Manresa</v>
      </c>
      <c r="AI1644" s="15" t="str">
        <f t="shared" si="19"/>
        <v>Electropolished Pipes Manufacturer &amp; Supplier in Manresa</v>
      </c>
      <c r="AJ1644" s="15" t="str">
        <f t="shared" si="20"/>
        <v>EP-finished SS 304/316L pipes and tubes for VERIFY plants in Manresa. ASME BPE SF1-SF4, Ra from 0.25 um, EN 10204 3.1 certificate with every lot.</v>
      </c>
      <c r="AK1644" s="15" t="str">
        <f t="shared" si="21"/>
        <v>Electropolished stainless steel pipes supplied by Sakshi Forge to VERIFY plants at VERIFY, Manresa</v>
      </c>
      <c r="AL1644" s="15" t="str">
        <f t="shared" si="22"/>
        <v>Electropolished SS 316L tube stock for Manresa - Sakshi Forge</v>
      </c>
      <c r="AM1644" s="15" t="str">
        <f t="shared" si="23"/>
        <v>Home &gt; Market Area &gt; Spain &gt; VERIFY &gt; Manresa</v>
      </c>
      <c r="AN1644" s="15">
        <f t="shared" si="24"/>
        <v>750</v>
      </c>
      <c r="AO1644" s="15">
        <f t="shared" si="25"/>
        <v>6</v>
      </c>
      <c r="AP1644" s="15">
        <f t="shared" si="26"/>
        <v>6</v>
      </c>
      <c r="AQ1644" s="15">
        <f t="shared" si="27"/>
        <v>28</v>
      </c>
      <c r="AR1644" s="31"/>
      <c r="AS1644" s="31"/>
      <c r="AT1644" s="35" t="s">
        <v>222</v>
      </c>
      <c r="AU1644" s="35"/>
    </row>
    <row r="1645" ht="15.75" customHeight="1">
      <c r="A1645" s="15" t="s">
        <v>7578</v>
      </c>
      <c r="B1645" s="15" t="s">
        <v>380</v>
      </c>
      <c r="C1645" s="15" t="s">
        <v>98</v>
      </c>
      <c r="D1645" s="15" t="s">
        <v>7579</v>
      </c>
      <c r="E1645" s="15" t="s">
        <v>7579</v>
      </c>
      <c r="F1645" s="58" t="s">
        <v>807</v>
      </c>
      <c r="G1645" s="66" t="s">
        <v>98</v>
      </c>
      <c r="H1645" s="18" t="s">
        <v>98</v>
      </c>
      <c r="I1645" s="18" t="s">
        <v>98</v>
      </c>
      <c r="J1645" s="18" t="s">
        <v>98</v>
      </c>
      <c r="K1645" s="18" t="s">
        <v>98</v>
      </c>
      <c r="L1645" s="18" t="s">
        <v>98</v>
      </c>
      <c r="M1645" s="18" t="s">
        <v>596</v>
      </c>
      <c r="N1645" s="18" t="s">
        <v>402</v>
      </c>
      <c r="O1645" s="18" t="s">
        <v>98</v>
      </c>
      <c r="P1645" s="15" t="str">
        <f t="shared" si="1"/>
        <v>VERIFY</v>
      </c>
      <c r="Q1645" s="15">
        <f t="shared" si="2"/>
        <v>2</v>
      </c>
      <c r="R1645" s="15">
        <f t="shared" si="3"/>
        <v>4</v>
      </c>
      <c r="S1645" s="15">
        <f t="shared" si="4"/>
        <v>2</v>
      </c>
      <c r="T1645" s="15" t="str">
        <f t="shared" si="5"/>
        <v>C-4</v>
      </c>
      <c r="U1645" s="15" t="str">
        <f t="shared" si="6"/>
        <v>T2-M4-H2-FC-4-VERIFY</v>
      </c>
      <c r="V1645" s="15">
        <f t="shared" si="7"/>
        <v>0</v>
      </c>
      <c r="W1645" s="31"/>
      <c r="X1645" s="15" t="str">
        <f t="shared" si="8"/>
        <v>mataro-spain</v>
      </c>
      <c r="Y1645" s="32" t="str">
        <f t="shared" si="9"/>
        <v>https://steelmanufacturer.in/market-area/electropolished-pipes-manufacturer-in-mataro-spain/</v>
      </c>
      <c r="Z1645" s="15" t="str">
        <f t="shared" si="10"/>
        <v>Electropolished Pipes Manufacturer in Mataro</v>
      </c>
      <c r="AA1645" s="15" t="str">
        <f t="shared" si="11"/>
        <v>OK (44)</v>
      </c>
      <c r="AB1645" s="15" t="str">
        <f t="shared" si="12"/>
        <v>Sanitary electropolished pipes in Mataro for VERIFY plants. ASME BPE SF1-SF4, orbital-weld ready, 3.1 MTC. Mumbai-made.</v>
      </c>
      <c r="AC1645" s="15" t="str">
        <f t="shared" si="13"/>
        <v>PENDING RESEARCH</v>
      </c>
      <c r="AD1645" s="15" t="str">
        <f t="shared" si="14"/>
        <v>Electropolished Pipes Manufacturer in Mataro</v>
      </c>
      <c r="AE1645" s="15" t="str">
        <f t="shared" si="15"/>
        <v>How We Manufacture Electropolished Tube for Mataro Plants</v>
      </c>
      <c r="AF1645" s="15" t="str">
        <f t="shared" si="16"/>
        <v>Supplying Electropolished Pipes in Mataro: Availability, Sizes &amp; Dispatch</v>
      </c>
      <c r="AG1645" s="15" t="str">
        <f t="shared" si="17"/>
        <v>Wholesale Electropolished Pipe Supply for Mataro Projects</v>
      </c>
      <c r="AH1645" s="15" t="str">
        <f t="shared" si="18"/>
        <v>electropolished pipes manufacturer in Mataro, electropolished pipes supplier in Mataro, electropolished pipes wholesaler in Mataro, electropolished tube manufacturer Mataro, EP pipe supplier Mataro, sanitary tube supplier Mataro, ASME BPE tubing Mataro, ASTM A270 tube Mataro, SS 316L electropolished pipe Mataro</v>
      </c>
      <c r="AI1645" s="15" t="str">
        <f t="shared" si="19"/>
        <v>Electropolished Pipes Manufacturer &amp; Supplier in Mataro</v>
      </c>
      <c r="AJ1645" s="15" t="str">
        <f t="shared" si="20"/>
        <v>EP-finished SS 304/316L pipes and tubes for VERIFY plants in Mataro. ASME BPE SF1-SF4, Ra from 0.25 um, EN 10204 3.1 certificate with every lot.</v>
      </c>
      <c r="AK1645" s="15" t="str">
        <f t="shared" si="21"/>
        <v>Electropolished stainless steel pipes supplied by Sakshi Forge to VERIFY plants at VERIFY, Mataro</v>
      </c>
      <c r="AL1645" s="15" t="str">
        <f t="shared" si="22"/>
        <v>Electropolished SS 316L tube stock for Mataro - Sakshi Forge</v>
      </c>
      <c r="AM1645" s="15" t="str">
        <f t="shared" si="23"/>
        <v>Home &gt; Market Area &gt; Spain &gt; VERIFY &gt; Mataro</v>
      </c>
      <c r="AN1645" s="15">
        <f t="shared" si="24"/>
        <v>750</v>
      </c>
      <c r="AO1645" s="15">
        <f t="shared" si="25"/>
        <v>6</v>
      </c>
      <c r="AP1645" s="15">
        <f t="shared" si="26"/>
        <v>6</v>
      </c>
      <c r="AQ1645" s="15">
        <f t="shared" si="27"/>
        <v>28</v>
      </c>
      <c r="AR1645" s="31"/>
      <c r="AS1645" s="31"/>
      <c r="AT1645" s="35" t="s">
        <v>222</v>
      </c>
      <c r="AU1645" s="35"/>
    </row>
    <row r="1646" ht="15.75" customHeight="1">
      <c r="A1646" s="15" t="s">
        <v>7580</v>
      </c>
      <c r="B1646" s="15" t="s">
        <v>380</v>
      </c>
      <c r="C1646" s="15" t="s">
        <v>98</v>
      </c>
      <c r="D1646" s="15" t="s">
        <v>7581</v>
      </c>
      <c r="E1646" s="15" t="s">
        <v>7581</v>
      </c>
      <c r="F1646" s="58" t="s">
        <v>807</v>
      </c>
      <c r="G1646" s="66" t="s">
        <v>98</v>
      </c>
      <c r="H1646" s="18" t="s">
        <v>98</v>
      </c>
      <c r="I1646" s="18" t="s">
        <v>98</v>
      </c>
      <c r="J1646" s="18" t="s">
        <v>98</v>
      </c>
      <c r="K1646" s="18" t="s">
        <v>98</v>
      </c>
      <c r="L1646" s="18" t="s">
        <v>98</v>
      </c>
      <c r="M1646" s="18" t="s">
        <v>596</v>
      </c>
      <c r="N1646" s="18" t="s">
        <v>402</v>
      </c>
      <c r="O1646" s="18" t="s">
        <v>98</v>
      </c>
      <c r="P1646" s="15" t="str">
        <f t="shared" si="1"/>
        <v>VERIFY</v>
      </c>
      <c r="Q1646" s="15">
        <f t="shared" si="2"/>
        <v>3</v>
      </c>
      <c r="R1646" s="15">
        <f t="shared" si="3"/>
        <v>5</v>
      </c>
      <c r="S1646" s="15">
        <f t="shared" si="4"/>
        <v>3</v>
      </c>
      <c r="T1646" s="15" t="str">
        <f t="shared" si="5"/>
        <v>C-5</v>
      </c>
      <c r="U1646" s="15" t="str">
        <f t="shared" si="6"/>
        <v>T3-M5-H3-FC-5-VERIFY</v>
      </c>
      <c r="V1646" s="15">
        <f t="shared" si="7"/>
        <v>0</v>
      </c>
      <c r="W1646" s="31"/>
      <c r="X1646" s="15" t="str">
        <f t="shared" si="8"/>
        <v>merida-spain</v>
      </c>
      <c r="Y1646" s="32" t="str">
        <f t="shared" si="9"/>
        <v>https://steelmanufacturer.in/market-area/electropolished-pipes-manufacturer-in-merida-spain/</v>
      </c>
      <c r="Z1646" s="15" t="str">
        <f t="shared" si="10"/>
        <v>Electropolished Pipes Manufacturer in Merida | EP Tube Supplier</v>
      </c>
      <c r="AA1646" s="15" t="str">
        <f t="shared" si="11"/>
        <v>OK (63)</v>
      </c>
      <c r="AB1646" s="15" t="str">
        <f t="shared" si="12"/>
        <v>Manufacturer of electropolished SS 316L tube serving Merida. 19-25 days sea from Nhava Sheva to Valencia. Ra 0.25-0.5 um, EN 10204 3.1 MTC.</v>
      </c>
      <c r="AC1646" s="15" t="str">
        <f t="shared" si="13"/>
        <v>PENDING RESEARCH</v>
      </c>
      <c r="AD1646" s="15" t="str">
        <f t="shared" si="14"/>
        <v>Electropolished Pipes Manufacturer in Merida</v>
      </c>
      <c r="AE1646" s="15" t="str">
        <f t="shared" si="15"/>
        <v>Electropolished Pipes Manufacturer in Merida - Our Process &amp; Capability</v>
      </c>
      <c r="AF1646" s="15" t="str">
        <f t="shared" si="16"/>
        <v>Electropolished Pipes Supplier in Merida - What We Hold in Stock</v>
      </c>
      <c r="AG1646" s="15" t="str">
        <f t="shared" si="17"/>
        <v>Bulk &amp; Wholesale Electropolished Pipe Rates for Merida Buyers</v>
      </c>
      <c r="AH1646" s="15" t="str">
        <f t="shared" si="18"/>
        <v>electropolished pipes manufacturer in Merida, electropolished pipes supplier in Merida, electropolished pipes wholesaler in Merida, electropolished tube manufacturer Merida, EP pipe supplier Merida, sanitary tube supplier Merida, ASME BPE tubing Merida, ASTM A270 tube Merida, SS 316L electropolished pipe Merida</v>
      </c>
      <c r="AI1646" s="15" t="str">
        <f t="shared" si="19"/>
        <v>Electropolished Pipes Manufacturer &amp; Supplier in Merida</v>
      </c>
      <c r="AJ1646" s="15" t="str">
        <f t="shared" si="20"/>
        <v>EP-finished SS 304/316L pipes and tubes for VERIFY plants in Merida. ASME BPE SF1-SF4, Ra from 0.25 um, EN 10204 3.1 certificate with every lot.</v>
      </c>
      <c r="AK1646" s="15" t="str">
        <f t="shared" si="21"/>
        <v>Electropolished stainless steel pipes supplied by Sakshi Forge to VERIFY plants at VERIFY, Merida</v>
      </c>
      <c r="AL1646" s="15" t="str">
        <f t="shared" si="22"/>
        <v>Electropolished SS 316L tube stock for Merida - Sakshi Forge</v>
      </c>
      <c r="AM1646" s="15" t="str">
        <f t="shared" si="23"/>
        <v>Home &gt; Market Area &gt; Spain &gt; VERIFY &gt; Merida</v>
      </c>
      <c r="AN1646" s="15">
        <f t="shared" si="24"/>
        <v>750</v>
      </c>
      <c r="AO1646" s="15">
        <f t="shared" si="25"/>
        <v>6</v>
      </c>
      <c r="AP1646" s="15">
        <f t="shared" si="26"/>
        <v>6</v>
      </c>
      <c r="AQ1646" s="15">
        <f t="shared" si="27"/>
        <v>28</v>
      </c>
      <c r="AR1646" s="31"/>
      <c r="AS1646" s="31"/>
      <c r="AT1646" s="35" t="s">
        <v>222</v>
      </c>
      <c r="AU1646" s="35"/>
    </row>
    <row r="1647" ht="15.75" customHeight="1">
      <c r="A1647" s="15" t="s">
        <v>7582</v>
      </c>
      <c r="B1647" s="15" t="s">
        <v>380</v>
      </c>
      <c r="C1647" s="15" t="s">
        <v>98</v>
      </c>
      <c r="D1647" s="15" t="s">
        <v>7583</v>
      </c>
      <c r="E1647" s="15" t="s">
        <v>7583</v>
      </c>
      <c r="F1647" s="58" t="s">
        <v>807</v>
      </c>
      <c r="G1647" s="66" t="s">
        <v>98</v>
      </c>
      <c r="H1647" s="18" t="s">
        <v>98</v>
      </c>
      <c r="I1647" s="18" t="s">
        <v>98</v>
      </c>
      <c r="J1647" s="18" t="s">
        <v>98</v>
      </c>
      <c r="K1647" s="18" t="s">
        <v>98</v>
      </c>
      <c r="L1647" s="18" t="s">
        <v>98</v>
      </c>
      <c r="M1647" s="18" t="s">
        <v>596</v>
      </c>
      <c r="N1647" s="18" t="s">
        <v>402</v>
      </c>
      <c r="O1647" s="18" t="s">
        <v>98</v>
      </c>
      <c r="P1647" s="15" t="str">
        <f t="shared" si="1"/>
        <v>VERIFY</v>
      </c>
      <c r="Q1647" s="15">
        <f t="shared" si="2"/>
        <v>4</v>
      </c>
      <c r="R1647" s="15">
        <f t="shared" si="3"/>
        <v>6</v>
      </c>
      <c r="S1647" s="15">
        <f t="shared" si="4"/>
        <v>4</v>
      </c>
      <c r="T1647" s="15" t="str">
        <f t="shared" si="5"/>
        <v>C-6</v>
      </c>
      <c r="U1647" s="15" t="str">
        <f t="shared" si="6"/>
        <v>T4-M6-H4-FC-6-VERIFY</v>
      </c>
      <c r="V1647" s="15">
        <f t="shared" si="7"/>
        <v>0</v>
      </c>
      <c r="W1647" s="31"/>
      <c r="X1647" s="15" t="str">
        <f t="shared" si="8"/>
        <v>mostoles-spain</v>
      </c>
      <c r="Y1647" s="32" t="str">
        <f t="shared" si="9"/>
        <v>https://steelmanufacturer.in/market-area/electropolished-pipes-manufacturer-in-mostoles-spain/</v>
      </c>
      <c r="Z1647" s="15" t="str">
        <f t="shared" si="10"/>
        <v>Electropolished Pipes Manufacturer in Mostoles</v>
      </c>
      <c r="AA1647" s="15" t="str">
        <f t="shared" si="11"/>
        <v>OK (46)</v>
      </c>
      <c r="AB1647" s="15" t="str">
        <f t="shared" si="12"/>
        <v>EP tube and pipe for VERIFY plants around VERIFY, Mostoles. Made at our Mumbai works to ASTM A270 and ASME BPE SF1-SF4, with 3.1 MTC.</v>
      </c>
      <c r="AC1647" s="15" t="str">
        <f t="shared" si="13"/>
        <v>PENDING RESEARCH</v>
      </c>
      <c r="AD1647" s="15" t="str">
        <f t="shared" si="14"/>
        <v>Electropolished Pipes Manufacturer in Mostoles</v>
      </c>
      <c r="AE1647" s="15" t="str">
        <f t="shared" si="15"/>
        <v>Manufacturing Electropolished SS Tube for Mostoles: The Standards We Build To</v>
      </c>
      <c r="AF1647" s="15" t="str">
        <f t="shared" si="16"/>
        <v>Electropolished Pipe Supply Into Mostoles - Certification &amp; Transit</v>
      </c>
      <c r="AG1647" s="15" t="str">
        <f t="shared" si="17"/>
        <v>Electropolished Pipes Wholesaler in Mostoles - Project Quantities &amp; Terms</v>
      </c>
      <c r="AH1647" s="15" t="str">
        <f t="shared" si="18"/>
        <v>electropolished pipes manufacturer in Mostoles, electropolished pipes supplier in Mostoles, electropolished pipes wholesaler in Mostoles, electropolished tube manufacturer Mostoles, EP pipe supplier Mostoles, sanitary tube supplier Mostoles, ASME BPE tubing Mostoles, ASTM A270 tube Mostoles, SS 316L electropolished pipe Mostoles</v>
      </c>
      <c r="AI1647" s="15" t="str">
        <f t="shared" si="19"/>
        <v>Electropolished Pipes Manufacturer &amp; Supplier in Mostoles</v>
      </c>
      <c r="AJ1647" s="15" t="str">
        <f t="shared" si="20"/>
        <v>EP-finished SS 304/316L pipes and tubes for VERIFY plants in Mostoles. ASME BPE SF1-SF4, Ra from 0.25 um, EN 10204 3.1 certificate with every lot.</v>
      </c>
      <c r="AK1647" s="15" t="str">
        <f t="shared" si="21"/>
        <v>Electropolished stainless steel pipes supplied by Sakshi Forge to VERIFY plants at VERIFY, Mostoles</v>
      </c>
      <c r="AL1647" s="15" t="str">
        <f t="shared" si="22"/>
        <v>Electropolished SS 316L tube stock for Mostoles - Sakshi Forge</v>
      </c>
      <c r="AM1647" s="15" t="str">
        <f t="shared" si="23"/>
        <v>Home &gt; Market Area &gt; Spain &gt; VERIFY &gt; Mostoles</v>
      </c>
      <c r="AN1647" s="15">
        <f t="shared" si="24"/>
        <v>750</v>
      </c>
      <c r="AO1647" s="15">
        <f t="shared" si="25"/>
        <v>6</v>
      </c>
      <c r="AP1647" s="15">
        <f t="shared" si="26"/>
        <v>6</v>
      </c>
      <c r="AQ1647" s="15">
        <f t="shared" si="27"/>
        <v>28</v>
      </c>
      <c r="AR1647" s="31"/>
      <c r="AS1647" s="31"/>
      <c r="AT1647" s="35" t="s">
        <v>222</v>
      </c>
      <c r="AU1647" s="35"/>
    </row>
    <row r="1648" ht="15.75" customHeight="1">
      <c r="A1648" s="15" t="s">
        <v>7584</v>
      </c>
      <c r="B1648" s="15" t="s">
        <v>380</v>
      </c>
      <c r="C1648" s="15" t="s">
        <v>98</v>
      </c>
      <c r="D1648" s="15" t="s">
        <v>7585</v>
      </c>
      <c r="E1648" s="15" t="s">
        <v>7585</v>
      </c>
      <c r="F1648" s="58" t="s">
        <v>807</v>
      </c>
      <c r="G1648" s="66" t="s">
        <v>98</v>
      </c>
      <c r="H1648" s="18" t="s">
        <v>98</v>
      </c>
      <c r="I1648" s="18" t="s">
        <v>98</v>
      </c>
      <c r="J1648" s="18" t="s">
        <v>98</v>
      </c>
      <c r="K1648" s="18" t="s">
        <v>98</v>
      </c>
      <c r="L1648" s="18" t="s">
        <v>98</v>
      </c>
      <c r="M1648" s="18" t="s">
        <v>596</v>
      </c>
      <c r="N1648" s="18" t="s">
        <v>402</v>
      </c>
      <c r="O1648" s="18" t="s">
        <v>98</v>
      </c>
      <c r="P1648" s="15" t="str">
        <f t="shared" si="1"/>
        <v>VERIFY</v>
      </c>
      <c r="Q1648" s="15">
        <f t="shared" si="2"/>
        <v>5</v>
      </c>
      <c r="R1648" s="15">
        <f t="shared" si="3"/>
        <v>7</v>
      </c>
      <c r="S1648" s="15">
        <f t="shared" si="4"/>
        <v>5</v>
      </c>
      <c r="T1648" s="15" t="str">
        <f t="shared" si="5"/>
        <v>C-1</v>
      </c>
      <c r="U1648" s="15" t="str">
        <f t="shared" si="6"/>
        <v>T5-M7-H5-FC-1-VERIFY</v>
      </c>
      <c r="V1648" s="15">
        <f t="shared" si="7"/>
        <v>0</v>
      </c>
      <c r="W1648" s="31"/>
      <c r="X1648" s="15" t="str">
        <f t="shared" si="8"/>
        <v>motril-spain</v>
      </c>
      <c r="Y1648" s="32" t="str">
        <f t="shared" si="9"/>
        <v>https://steelmanufacturer.in/market-area/electropolished-pipes-manufacturer-in-motril-spain/</v>
      </c>
      <c r="Z1648" s="15" t="str">
        <f t="shared" si="10"/>
        <v>Electropolished Pipes Manufacturer in Motril</v>
      </c>
      <c r="AA1648" s="15" t="str">
        <f t="shared" si="11"/>
        <v>OK (44)</v>
      </c>
      <c r="AB1648" s="15" t="str">
        <f t="shared" si="12"/>
        <v>Electropolished pipes in Motril: 304, 304L, 316 and 316L in SF1-SF4. 19-25 days sea from Nhava Sheva to Valencia. Mill certified.</v>
      </c>
      <c r="AC1648" s="15" t="str">
        <f t="shared" si="13"/>
        <v>PENDING RESEARCH</v>
      </c>
      <c r="AD1648" s="15" t="str">
        <f t="shared" si="14"/>
        <v>Electropolished Pipes Manufacturer in Motril</v>
      </c>
      <c r="AE1648" s="15" t="str">
        <f t="shared" si="15"/>
        <v>Electropolished Tube Manufacturing Capability Serving Motril</v>
      </c>
      <c r="AF1648" s="15" t="str">
        <f t="shared" si="16"/>
        <v>Electropolished Pipes Supplier in Motril - From Order to Delivery</v>
      </c>
      <c r="AG1648" s="15" t="str">
        <f t="shared" si="17"/>
        <v>Stockist &amp; Wholesale Supply of Electropolished Pipes in Motril</v>
      </c>
      <c r="AH1648" s="15" t="str">
        <f t="shared" si="18"/>
        <v>electropolished pipes manufacturer in Motril, electropolished pipes supplier in Motril, electropolished pipes wholesaler in Motril, electropolished tube manufacturer Motril, EP pipe supplier Motril, sanitary tube supplier Motril, ASME BPE tubing Motril, ASTM A270 tube Motril, SS 316L electropolished pipe Motril</v>
      </c>
      <c r="AI1648" s="15" t="str">
        <f t="shared" si="19"/>
        <v>Electropolished Pipes Manufacturer &amp; Supplier in Motril</v>
      </c>
      <c r="AJ1648" s="15" t="str">
        <f t="shared" si="20"/>
        <v>EP-finished SS 304/316L pipes and tubes for VERIFY plants in Motril. ASME BPE SF1-SF4, Ra from 0.25 um, EN 10204 3.1 certificate with every lot.</v>
      </c>
      <c r="AK1648" s="15" t="str">
        <f t="shared" si="21"/>
        <v>Electropolished stainless steel pipes supplied by Sakshi Forge to VERIFY plants at VERIFY, Motril</v>
      </c>
      <c r="AL1648" s="15" t="str">
        <f t="shared" si="22"/>
        <v>Electropolished SS 316L tube stock for Motril - Sakshi Forge</v>
      </c>
      <c r="AM1648" s="15" t="str">
        <f t="shared" si="23"/>
        <v>Home &gt; Market Area &gt; Spain &gt; VERIFY &gt; Motril</v>
      </c>
      <c r="AN1648" s="15">
        <f t="shared" si="24"/>
        <v>750</v>
      </c>
      <c r="AO1648" s="15">
        <f t="shared" si="25"/>
        <v>6</v>
      </c>
      <c r="AP1648" s="15">
        <f t="shared" si="26"/>
        <v>6</v>
      </c>
      <c r="AQ1648" s="15">
        <f t="shared" si="27"/>
        <v>28</v>
      </c>
      <c r="AR1648" s="31"/>
      <c r="AS1648" s="31"/>
      <c r="AT1648" s="35" t="s">
        <v>222</v>
      </c>
      <c r="AU1648" s="35"/>
    </row>
    <row r="1649" ht="15.75" customHeight="1">
      <c r="A1649" s="15" t="s">
        <v>7586</v>
      </c>
      <c r="B1649" s="15" t="s">
        <v>380</v>
      </c>
      <c r="C1649" s="15" t="s">
        <v>98</v>
      </c>
      <c r="D1649" s="15" t="s">
        <v>7587</v>
      </c>
      <c r="E1649" s="15" t="s">
        <v>7587</v>
      </c>
      <c r="F1649" s="58" t="s">
        <v>807</v>
      </c>
      <c r="G1649" s="66" t="s">
        <v>98</v>
      </c>
      <c r="H1649" s="18" t="s">
        <v>98</v>
      </c>
      <c r="I1649" s="18" t="s">
        <v>98</v>
      </c>
      <c r="J1649" s="18" t="s">
        <v>98</v>
      </c>
      <c r="K1649" s="18" t="s">
        <v>98</v>
      </c>
      <c r="L1649" s="18" t="s">
        <v>98</v>
      </c>
      <c r="M1649" s="18" t="s">
        <v>596</v>
      </c>
      <c r="N1649" s="18" t="s">
        <v>402</v>
      </c>
      <c r="O1649" s="18" t="s">
        <v>98</v>
      </c>
      <c r="P1649" s="15" t="str">
        <f t="shared" si="1"/>
        <v>VERIFY</v>
      </c>
      <c r="Q1649" s="15">
        <f t="shared" si="2"/>
        <v>6</v>
      </c>
      <c r="R1649" s="15">
        <f t="shared" si="3"/>
        <v>1</v>
      </c>
      <c r="S1649" s="15">
        <f t="shared" si="4"/>
        <v>1</v>
      </c>
      <c r="T1649" s="15" t="str">
        <f t="shared" si="5"/>
        <v>C-2</v>
      </c>
      <c r="U1649" s="15" t="str">
        <f t="shared" si="6"/>
        <v>T6-M1-H1-FC-2-VERIFY</v>
      </c>
      <c r="V1649" s="15">
        <f t="shared" si="7"/>
        <v>0</v>
      </c>
      <c r="W1649" s="31"/>
      <c r="X1649" s="15" t="str">
        <f t="shared" si="8"/>
        <v>ourense-spain</v>
      </c>
      <c r="Y1649" s="32" t="str">
        <f t="shared" si="9"/>
        <v>https://steelmanufacturer.in/market-area/electropolished-pipes-manufacturer-in-ourense-spain/</v>
      </c>
      <c r="Z1649" s="15" t="str">
        <f t="shared" si="10"/>
        <v>Electropolished Pipes Manufacturer in Ourense</v>
      </c>
      <c r="AA1649" s="15" t="str">
        <f t="shared" si="11"/>
        <v>OK (45)</v>
      </c>
      <c r="AB1649" s="15" t="str">
        <f t="shared" si="12"/>
        <v>EP-finished SS 304/316L pipes &amp; tubes for VERIFY plants in Ourense. ASTM A270, ASME BPE SF1-SF4, EN 10204 3.1 MTC. PMI tested.</v>
      </c>
      <c r="AC1649" s="15" t="str">
        <f t="shared" si="13"/>
        <v>PENDING RESEARCH</v>
      </c>
      <c r="AD1649" s="15" t="str">
        <f t="shared" si="14"/>
        <v>Electropolished Pipes Manufacturer in Ourense</v>
      </c>
      <c r="AE1649" s="15" t="str">
        <f t="shared" si="15"/>
        <v>Electropolished Pipe &amp; Tube Manufacturing for Ourense - Grades, Finishes &amp; Certification</v>
      </c>
      <c r="AF1649" s="15" t="str">
        <f t="shared" si="16"/>
        <v>Electropolished Pipes Supplier in Ourense - Stock Sizes, Lead Time &amp; Delivery</v>
      </c>
      <c r="AG1649" s="15" t="str">
        <f t="shared" si="17"/>
        <v>Electropolished Pipes Wholesaler &amp; Stockist in Ourense - Bulk &amp; Project Pricing</v>
      </c>
      <c r="AH1649" s="15" t="str">
        <f t="shared" si="18"/>
        <v>electropolished pipes manufacturer in Ourense, electropolished pipes supplier in Ourense, electropolished pipes wholesaler in Ourense, electropolished tube manufacturer Ourense, EP pipe supplier Ourense, sanitary tube supplier Ourense, ASME BPE tubing Ourense, ASTM A270 tube Ourense, SS 316L electropolished pipe Ourense</v>
      </c>
      <c r="AI1649" s="15" t="str">
        <f t="shared" si="19"/>
        <v>Electropolished Pipes Manufacturer &amp; Supplier in Ourense</v>
      </c>
      <c r="AJ1649" s="15" t="str">
        <f t="shared" si="20"/>
        <v>EP-finished SS 304/316L pipes and tubes for VERIFY plants in Ourense. ASME BPE SF1-SF4, Ra from 0.25 um, EN 10204 3.1 certificate with every lot.</v>
      </c>
      <c r="AK1649" s="15" t="str">
        <f t="shared" si="21"/>
        <v>Electropolished stainless steel pipes supplied by Sakshi Forge to VERIFY plants at VERIFY, Ourense</v>
      </c>
      <c r="AL1649" s="15" t="str">
        <f t="shared" si="22"/>
        <v>Electropolished SS 316L tube stock for Ourense - Sakshi Forge</v>
      </c>
      <c r="AM1649" s="15" t="str">
        <f t="shared" si="23"/>
        <v>Home &gt; Market Area &gt; Spain &gt; VERIFY &gt; Ourense</v>
      </c>
      <c r="AN1649" s="15">
        <f t="shared" si="24"/>
        <v>750</v>
      </c>
      <c r="AO1649" s="15">
        <f t="shared" si="25"/>
        <v>6</v>
      </c>
      <c r="AP1649" s="15">
        <f t="shared" si="26"/>
        <v>6</v>
      </c>
      <c r="AQ1649" s="15">
        <f t="shared" si="27"/>
        <v>28</v>
      </c>
      <c r="AR1649" s="31"/>
      <c r="AS1649" s="31"/>
      <c r="AT1649" s="35" t="s">
        <v>222</v>
      </c>
      <c r="AU1649" s="35"/>
    </row>
    <row r="1650" ht="15.75" customHeight="1">
      <c r="A1650" s="15" t="s">
        <v>7588</v>
      </c>
      <c r="B1650" s="15" t="s">
        <v>380</v>
      </c>
      <c r="C1650" s="15" t="s">
        <v>98</v>
      </c>
      <c r="D1650" s="15" t="s">
        <v>7589</v>
      </c>
      <c r="E1650" s="15" t="s">
        <v>7589</v>
      </c>
      <c r="F1650" s="58" t="s">
        <v>807</v>
      </c>
      <c r="G1650" s="66" t="s">
        <v>98</v>
      </c>
      <c r="H1650" s="18" t="s">
        <v>98</v>
      </c>
      <c r="I1650" s="18" t="s">
        <v>98</v>
      </c>
      <c r="J1650" s="18" t="s">
        <v>98</v>
      </c>
      <c r="K1650" s="18" t="s">
        <v>98</v>
      </c>
      <c r="L1650" s="18" t="s">
        <v>98</v>
      </c>
      <c r="M1650" s="18" t="s">
        <v>596</v>
      </c>
      <c r="N1650" s="18" t="s">
        <v>402</v>
      </c>
      <c r="O1650" s="18" t="s">
        <v>98</v>
      </c>
      <c r="P1650" s="15" t="str">
        <f t="shared" si="1"/>
        <v>VERIFY</v>
      </c>
      <c r="Q1650" s="15">
        <f t="shared" si="2"/>
        <v>7</v>
      </c>
      <c r="R1650" s="15">
        <f t="shared" si="3"/>
        <v>2</v>
      </c>
      <c r="S1650" s="15">
        <f t="shared" si="4"/>
        <v>2</v>
      </c>
      <c r="T1650" s="15" t="str">
        <f t="shared" si="5"/>
        <v>C-3</v>
      </c>
      <c r="U1650" s="15" t="str">
        <f t="shared" si="6"/>
        <v>T7-M2-H2-FC-3-VERIFY</v>
      </c>
      <c r="V1650" s="15">
        <f t="shared" si="7"/>
        <v>0</v>
      </c>
      <c r="W1650" s="31"/>
      <c r="X1650" s="15" t="str">
        <f t="shared" si="8"/>
        <v>palencia-spain</v>
      </c>
      <c r="Y1650" s="32" t="str">
        <f t="shared" si="9"/>
        <v>https://steelmanufacturer.in/market-area/electropolished-pipes-manufacturer-in-palencia-spain/</v>
      </c>
      <c r="Z1650" s="15" t="str">
        <f t="shared" si="10"/>
        <v>Electropolished Pipes Manufacturer in Palencia | ASME BPE SF1-SF4</v>
      </c>
      <c r="AA1650" s="15" t="str">
        <f t="shared" si="11"/>
        <v>OK (65)</v>
      </c>
      <c r="AB1650" s="15" t="str">
        <f t="shared" si="12"/>
        <v>Electropolished tube supply to VERIFY, Palencia. Ra from 0.25 um, SF4 finish, mill test certificate with every lot.</v>
      </c>
      <c r="AC1650" s="15" t="str">
        <f t="shared" si="13"/>
        <v>PENDING RESEARCH</v>
      </c>
      <c r="AD1650" s="15" t="str">
        <f t="shared" si="14"/>
        <v>Electropolished Pipes Manufacturer in Palencia</v>
      </c>
      <c r="AE1650" s="15" t="str">
        <f t="shared" si="15"/>
        <v>How We Manufacture Electropolished Tube for Palencia Plants</v>
      </c>
      <c r="AF1650" s="15" t="str">
        <f t="shared" si="16"/>
        <v>Supplying Electropolished Pipes in Palencia: Availability, Sizes &amp; Dispatch</v>
      </c>
      <c r="AG1650" s="15" t="str">
        <f t="shared" si="17"/>
        <v>Wholesale Electropolished Pipe Supply for Palencia Projects</v>
      </c>
      <c r="AH1650" s="15" t="str">
        <f t="shared" si="18"/>
        <v>electropolished pipes manufacturer in Palencia, electropolished pipes supplier in Palencia, electropolished pipes wholesaler in Palencia, electropolished tube manufacturer Palencia, EP pipe supplier Palencia, sanitary tube supplier Palencia, ASME BPE tubing Palencia, ASTM A270 tube Palencia, SS 316L electropolished pipe Palencia</v>
      </c>
      <c r="AI1650" s="15" t="str">
        <f t="shared" si="19"/>
        <v>Electropolished Pipes Manufacturer &amp; Supplier in Palencia</v>
      </c>
      <c r="AJ1650" s="15" t="str">
        <f t="shared" si="20"/>
        <v>EP-finished SS 304/316L pipes and tubes for VERIFY plants in Palencia. ASME BPE SF1-SF4, Ra from 0.25 um, EN 10204 3.1 certificate with every lot.</v>
      </c>
      <c r="AK1650" s="15" t="str">
        <f t="shared" si="21"/>
        <v>Electropolished stainless steel pipes supplied by Sakshi Forge to VERIFY plants at VERIFY, Palencia</v>
      </c>
      <c r="AL1650" s="15" t="str">
        <f t="shared" si="22"/>
        <v>Electropolished SS 316L tube stock for Palencia - Sakshi Forge</v>
      </c>
      <c r="AM1650" s="15" t="str">
        <f t="shared" si="23"/>
        <v>Home &gt; Market Area &gt; Spain &gt; VERIFY &gt; Palencia</v>
      </c>
      <c r="AN1650" s="15">
        <f t="shared" si="24"/>
        <v>750</v>
      </c>
      <c r="AO1650" s="15">
        <f t="shared" si="25"/>
        <v>6</v>
      </c>
      <c r="AP1650" s="15">
        <f t="shared" si="26"/>
        <v>6</v>
      </c>
      <c r="AQ1650" s="15">
        <f t="shared" si="27"/>
        <v>28</v>
      </c>
      <c r="AR1650" s="31"/>
      <c r="AS1650" s="31"/>
      <c r="AT1650" s="35" t="s">
        <v>222</v>
      </c>
      <c r="AU1650" s="35"/>
    </row>
    <row r="1651" ht="15.75" customHeight="1">
      <c r="A1651" s="15" t="s">
        <v>7590</v>
      </c>
      <c r="B1651" s="15" t="s">
        <v>380</v>
      </c>
      <c r="C1651" s="15" t="s">
        <v>98</v>
      </c>
      <c r="D1651" s="15" t="s">
        <v>7591</v>
      </c>
      <c r="E1651" s="15" t="s">
        <v>7591</v>
      </c>
      <c r="F1651" s="58" t="s">
        <v>807</v>
      </c>
      <c r="G1651" s="66" t="s">
        <v>98</v>
      </c>
      <c r="H1651" s="18" t="s">
        <v>98</v>
      </c>
      <c r="I1651" s="18" t="s">
        <v>98</v>
      </c>
      <c r="J1651" s="18" t="s">
        <v>98</v>
      </c>
      <c r="K1651" s="18" t="s">
        <v>98</v>
      </c>
      <c r="L1651" s="18" t="s">
        <v>98</v>
      </c>
      <c r="M1651" s="18" t="s">
        <v>596</v>
      </c>
      <c r="N1651" s="18" t="s">
        <v>402</v>
      </c>
      <c r="O1651" s="18" t="s">
        <v>98</v>
      </c>
      <c r="P1651" s="15" t="str">
        <f t="shared" si="1"/>
        <v>VERIFY</v>
      </c>
      <c r="Q1651" s="15">
        <f t="shared" si="2"/>
        <v>8</v>
      </c>
      <c r="R1651" s="15">
        <f t="shared" si="3"/>
        <v>3</v>
      </c>
      <c r="S1651" s="15">
        <f t="shared" si="4"/>
        <v>3</v>
      </c>
      <c r="T1651" s="15" t="str">
        <f t="shared" si="5"/>
        <v>C-4</v>
      </c>
      <c r="U1651" s="15" t="str">
        <f t="shared" si="6"/>
        <v>T8-M3-H3-FC-4-VERIFY</v>
      </c>
      <c r="V1651" s="15">
        <f t="shared" si="7"/>
        <v>0</v>
      </c>
      <c r="W1651" s="31"/>
      <c r="X1651" s="15" t="str">
        <f t="shared" si="8"/>
        <v>pinto-spain</v>
      </c>
      <c r="Y1651" s="32" t="str">
        <f t="shared" si="9"/>
        <v>https://steelmanufacturer.in/market-area/electropolished-pipes-manufacturer-in-pinto-spain/</v>
      </c>
      <c r="Z1651" s="15" t="str">
        <f t="shared" si="10"/>
        <v>Electropolished Pipes Manufacturer in Pinto - EP Tube Stockist</v>
      </c>
      <c r="AA1651" s="15" t="str">
        <f t="shared" si="11"/>
        <v>OK (62)</v>
      </c>
      <c r="AB1651" s="15" t="str">
        <f t="shared" si="12"/>
        <v>EP stainless tube for VERIFY lines in Pinto. 19-25 days sea from Nhava Sheva to Valencia. ASTM A270 S2, PMI tested, EN 10204 3.1.</v>
      </c>
      <c r="AC1651" s="15" t="str">
        <f t="shared" si="13"/>
        <v>PENDING RESEARCH</v>
      </c>
      <c r="AD1651" s="15" t="str">
        <f t="shared" si="14"/>
        <v>Electropolished Pipes Manufacturer in Pinto</v>
      </c>
      <c r="AE1651" s="15" t="str">
        <f t="shared" si="15"/>
        <v>Electropolished Pipes Manufacturer in Pinto - Our Process &amp; Capability</v>
      </c>
      <c r="AF1651" s="15" t="str">
        <f t="shared" si="16"/>
        <v>Electropolished Pipes Supplier in Pinto - What We Hold in Stock</v>
      </c>
      <c r="AG1651" s="15" t="str">
        <f t="shared" si="17"/>
        <v>Bulk &amp; Wholesale Electropolished Pipe Rates for Pinto Buyers</v>
      </c>
      <c r="AH1651" s="15" t="str">
        <f t="shared" si="18"/>
        <v>electropolished pipes manufacturer in Pinto, electropolished pipes supplier in Pinto, electropolished pipes wholesaler in Pinto, electropolished tube manufacturer Pinto, EP pipe supplier Pinto, sanitary tube supplier Pinto, ASME BPE tubing Pinto, ASTM A270 tube Pinto, SS 316L electropolished pipe Pinto</v>
      </c>
      <c r="AI1651" s="15" t="str">
        <f t="shared" si="19"/>
        <v>Electropolished Pipes Manufacturer &amp; Supplier in Pinto</v>
      </c>
      <c r="AJ1651" s="15" t="str">
        <f t="shared" si="20"/>
        <v>EP-finished SS 304/316L pipes and tubes for VERIFY plants in Pinto. ASME BPE SF1-SF4, Ra from 0.25 um, EN 10204 3.1 certificate with every lot.</v>
      </c>
      <c r="AK1651" s="15" t="str">
        <f t="shared" si="21"/>
        <v>Electropolished stainless steel pipes supplied by Sakshi Forge to VERIFY plants at VERIFY, Pinto</v>
      </c>
      <c r="AL1651" s="15" t="str">
        <f t="shared" si="22"/>
        <v>Electropolished SS 316L tube stock for Pinto - Sakshi Forge</v>
      </c>
      <c r="AM1651" s="15" t="str">
        <f t="shared" si="23"/>
        <v>Home &gt; Market Area &gt; Spain &gt; VERIFY &gt; Pinto</v>
      </c>
      <c r="AN1651" s="15">
        <f t="shared" si="24"/>
        <v>750</v>
      </c>
      <c r="AO1651" s="15">
        <f t="shared" si="25"/>
        <v>6</v>
      </c>
      <c r="AP1651" s="15">
        <f t="shared" si="26"/>
        <v>6</v>
      </c>
      <c r="AQ1651" s="15">
        <f t="shared" si="27"/>
        <v>28</v>
      </c>
      <c r="AR1651" s="31"/>
      <c r="AS1651" s="31"/>
      <c r="AT1651" s="35" t="s">
        <v>222</v>
      </c>
      <c r="AU1651" s="35"/>
    </row>
    <row r="1652" ht="15.75" customHeight="1">
      <c r="A1652" s="15" t="s">
        <v>7593</v>
      </c>
      <c r="B1652" s="15" t="s">
        <v>380</v>
      </c>
      <c r="C1652" s="15" t="s">
        <v>98</v>
      </c>
      <c r="D1652" s="15" t="s">
        <v>7595</v>
      </c>
      <c r="E1652" s="15" t="s">
        <v>7595</v>
      </c>
      <c r="F1652" s="58" t="s">
        <v>807</v>
      </c>
      <c r="G1652" s="66" t="s">
        <v>98</v>
      </c>
      <c r="H1652" s="18" t="s">
        <v>98</v>
      </c>
      <c r="I1652" s="18" t="s">
        <v>98</v>
      </c>
      <c r="J1652" s="18" t="s">
        <v>98</v>
      </c>
      <c r="K1652" s="18" t="s">
        <v>98</v>
      </c>
      <c r="L1652" s="18" t="s">
        <v>98</v>
      </c>
      <c r="M1652" s="18" t="s">
        <v>596</v>
      </c>
      <c r="N1652" s="18" t="s">
        <v>402</v>
      </c>
      <c r="O1652" s="18" t="s">
        <v>98</v>
      </c>
      <c r="P1652" s="15" t="str">
        <f t="shared" si="1"/>
        <v>VERIFY</v>
      </c>
      <c r="Q1652" s="15">
        <f t="shared" si="2"/>
        <v>1</v>
      </c>
      <c r="R1652" s="15">
        <f t="shared" si="3"/>
        <v>4</v>
      </c>
      <c r="S1652" s="15">
        <f t="shared" si="4"/>
        <v>4</v>
      </c>
      <c r="T1652" s="15" t="str">
        <f t="shared" si="5"/>
        <v>C-5</v>
      </c>
      <c r="U1652" s="15" t="str">
        <f t="shared" si="6"/>
        <v>T1-M4-H4-FC-5-VERIFY</v>
      </c>
      <c r="V1652" s="15">
        <f t="shared" si="7"/>
        <v>0</v>
      </c>
      <c r="W1652" s="31"/>
      <c r="X1652" s="15" t="str">
        <f t="shared" si="8"/>
        <v>plasencia-spain</v>
      </c>
      <c r="Y1652" s="32" t="str">
        <f t="shared" si="9"/>
        <v>https://steelmanufacturer.in/market-area/electropolished-pipes-manufacturer-in-plasencia-spain/</v>
      </c>
      <c r="Z1652" s="15" t="str">
        <f t="shared" si="10"/>
        <v>Electropolished Pipes Manufacturer in Plasencia | Sakshi Forge</v>
      </c>
      <c r="AA1652" s="15" t="str">
        <f t="shared" si="11"/>
        <v>OK (62)</v>
      </c>
      <c r="AB1652" s="15" t="str">
        <f t="shared" si="12"/>
        <v>Sanitary electropolished pipes in Plasencia for VERIFY plants. ASME BPE SF1-SF4, orbital-weld ready, 3.1 MTC. Mumbai-made.</v>
      </c>
      <c r="AC1652" s="15" t="str">
        <f t="shared" si="13"/>
        <v>PENDING RESEARCH</v>
      </c>
      <c r="AD1652" s="15" t="str">
        <f t="shared" si="14"/>
        <v>Electropolished Pipes Manufacturer in Plasencia</v>
      </c>
      <c r="AE1652" s="15" t="str">
        <f t="shared" si="15"/>
        <v>Manufacturing Electropolished SS Tube for Plasencia: The Standards We Build To</v>
      </c>
      <c r="AF1652" s="15" t="str">
        <f t="shared" si="16"/>
        <v>Electropolished Pipe Supply Into Plasencia - Certification &amp; Transit</v>
      </c>
      <c r="AG1652" s="15" t="str">
        <f t="shared" si="17"/>
        <v>Electropolished Pipes Wholesaler in Plasencia - Project Quantities &amp; Terms</v>
      </c>
      <c r="AH1652" s="15" t="str">
        <f t="shared" si="18"/>
        <v>electropolished pipes manufacturer in Plasencia, electropolished pipes supplier in Plasencia, electropolished pipes wholesaler in Plasencia, electropolished tube manufacturer Plasencia, EP pipe supplier Plasencia, sanitary tube supplier Plasencia, ASME BPE tubing Plasencia, ASTM A270 tube Plasencia, SS 316L electropolished pipe Plasencia</v>
      </c>
      <c r="AI1652" s="15" t="str">
        <f t="shared" si="19"/>
        <v>Electropolished Pipes Manufacturer &amp; Supplier in Plasencia</v>
      </c>
      <c r="AJ1652" s="15" t="str">
        <f t="shared" si="20"/>
        <v>EP-finished SS 304/316L pipes and tubes for VERIFY plants in Plasencia. ASME BPE SF1-SF4, Ra from 0.25 um, EN 10204 3.1 certificate with every lot.</v>
      </c>
      <c r="AK1652" s="15" t="str">
        <f t="shared" si="21"/>
        <v>Electropolished stainless steel pipes supplied by Sakshi Forge to VERIFY plants at VERIFY, Plasencia</v>
      </c>
      <c r="AL1652" s="15" t="str">
        <f t="shared" si="22"/>
        <v>Electropolished SS 316L tube stock for Plasencia - Sakshi Forge</v>
      </c>
      <c r="AM1652" s="15" t="str">
        <f t="shared" si="23"/>
        <v>Home &gt; Market Area &gt; Spain &gt; VERIFY &gt; Plasencia</v>
      </c>
      <c r="AN1652" s="15">
        <f t="shared" si="24"/>
        <v>750</v>
      </c>
      <c r="AO1652" s="15">
        <f t="shared" si="25"/>
        <v>6</v>
      </c>
      <c r="AP1652" s="15">
        <f t="shared" si="26"/>
        <v>6</v>
      </c>
      <c r="AQ1652" s="15">
        <f t="shared" si="27"/>
        <v>28</v>
      </c>
      <c r="AR1652" s="31"/>
      <c r="AS1652" s="31"/>
      <c r="AT1652" s="35" t="s">
        <v>222</v>
      </c>
      <c r="AU1652" s="35"/>
    </row>
    <row r="1653" ht="15.75" customHeight="1">
      <c r="A1653" s="15" t="s">
        <v>7600</v>
      </c>
      <c r="B1653" s="15" t="s">
        <v>380</v>
      </c>
      <c r="C1653" s="15" t="s">
        <v>98</v>
      </c>
      <c r="D1653" s="15" t="s">
        <v>7601</v>
      </c>
      <c r="E1653" s="15" t="s">
        <v>7601</v>
      </c>
      <c r="F1653" s="58" t="s">
        <v>807</v>
      </c>
      <c r="G1653" s="66" t="s">
        <v>98</v>
      </c>
      <c r="H1653" s="18" t="s">
        <v>98</v>
      </c>
      <c r="I1653" s="18" t="s">
        <v>98</v>
      </c>
      <c r="J1653" s="18" t="s">
        <v>98</v>
      </c>
      <c r="K1653" s="18" t="s">
        <v>98</v>
      </c>
      <c r="L1653" s="18" t="s">
        <v>98</v>
      </c>
      <c r="M1653" s="18" t="s">
        <v>596</v>
      </c>
      <c r="N1653" s="18" t="s">
        <v>402</v>
      </c>
      <c r="O1653" s="18" t="s">
        <v>98</v>
      </c>
      <c r="P1653" s="15" t="str">
        <f t="shared" si="1"/>
        <v>VERIFY</v>
      </c>
      <c r="Q1653" s="15">
        <f t="shared" si="2"/>
        <v>2</v>
      </c>
      <c r="R1653" s="15">
        <f t="shared" si="3"/>
        <v>5</v>
      </c>
      <c r="S1653" s="15">
        <f t="shared" si="4"/>
        <v>5</v>
      </c>
      <c r="T1653" s="15" t="str">
        <f t="shared" si="5"/>
        <v>C-6</v>
      </c>
      <c r="U1653" s="15" t="str">
        <f t="shared" si="6"/>
        <v>T2-M5-H5-FC-6-VERIFY</v>
      </c>
      <c r="V1653" s="15">
        <f t="shared" si="7"/>
        <v>0</v>
      </c>
      <c r="W1653" s="31"/>
      <c r="X1653" s="15" t="str">
        <f t="shared" si="8"/>
        <v>pontevedra-spain</v>
      </c>
      <c r="Y1653" s="32" t="str">
        <f t="shared" si="9"/>
        <v>https://steelmanufacturer.in/market-area/electropolished-pipes-manufacturer-in-pontevedra-spain/</v>
      </c>
      <c r="Z1653" s="15" t="str">
        <f t="shared" si="10"/>
        <v>Electropolished Pipes Manufacturer in Pontevedra</v>
      </c>
      <c r="AA1653" s="15" t="str">
        <f t="shared" si="11"/>
        <v>OK (48)</v>
      </c>
      <c r="AB1653" s="15" t="str">
        <f t="shared" si="12"/>
        <v>Manufacturer of electropolished SS 316L tube serving Pontevedra. 19-25 days sea from Nhava Sheva to Valencia. Ra 0.25-0.5 um, EN 10204 3.1 MTC.</v>
      </c>
      <c r="AC1653" s="15" t="str">
        <f t="shared" si="13"/>
        <v>PENDING RESEARCH</v>
      </c>
      <c r="AD1653" s="15" t="str">
        <f t="shared" si="14"/>
        <v>Electropolished Pipes Manufacturer in Pontevedra</v>
      </c>
      <c r="AE1653" s="15" t="str">
        <f t="shared" si="15"/>
        <v>Electropolished Tube Manufacturing Capability Serving Pontevedra</v>
      </c>
      <c r="AF1653" s="15" t="str">
        <f t="shared" si="16"/>
        <v>Electropolished Pipes Supplier in Pontevedra - From Order to Delivery</v>
      </c>
      <c r="AG1653" s="15" t="str">
        <f t="shared" si="17"/>
        <v>Stockist &amp; Wholesale Supply of Electropolished Pipes in Pontevedra</v>
      </c>
      <c r="AH1653" s="15" t="str">
        <f t="shared" si="18"/>
        <v>electropolished pipes manufacturer in Pontevedra, electropolished pipes supplier in Pontevedra, electropolished pipes wholesaler in Pontevedra, electropolished tube manufacturer Pontevedra, EP pipe supplier Pontevedra, sanitary tube supplier Pontevedra, ASME BPE tubing Pontevedra, ASTM A270 tube Pontevedra, SS 316L electropolished pipe Pontevedra</v>
      </c>
      <c r="AI1653" s="15" t="str">
        <f t="shared" si="19"/>
        <v>Electropolished Pipes Manufacturer &amp; Supplier in Pontevedra</v>
      </c>
      <c r="AJ1653" s="15" t="str">
        <f t="shared" si="20"/>
        <v>EP-finished SS 304/316L pipes and tubes for VERIFY plants in Pontevedra. ASME BPE SF1-SF4, Ra from 0.25 um, EN 10204 3.1 certificate with every lot.</v>
      </c>
      <c r="AK1653" s="15" t="str">
        <f t="shared" si="21"/>
        <v>Electropolished stainless steel pipes supplied by Sakshi Forge to VERIFY plants at VERIFY, Pontevedra</v>
      </c>
      <c r="AL1653" s="15" t="str">
        <f t="shared" si="22"/>
        <v>Electropolished SS 316L tube stock for Pontevedra - Sakshi Forge</v>
      </c>
      <c r="AM1653" s="15" t="str">
        <f t="shared" si="23"/>
        <v>Home &gt; Market Area &gt; Spain &gt; VERIFY &gt; Pontevedra</v>
      </c>
      <c r="AN1653" s="15">
        <f t="shared" si="24"/>
        <v>750</v>
      </c>
      <c r="AO1653" s="15">
        <f t="shared" si="25"/>
        <v>6</v>
      </c>
      <c r="AP1653" s="15">
        <f t="shared" si="26"/>
        <v>6</v>
      </c>
      <c r="AQ1653" s="15">
        <f t="shared" si="27"/>
        <v>28</v>
      </c>
      <c r="AR1653" s="31"/>
      <c r="AS1653" s="31"/>
      <c r="AT1653" s="35" t="s">
        <v>222</v>
      </c>
      <c r="AU1653" s="35"/>
    </row>
    <row r="1654" ht="15.75" customHeight="1">
      <c r="A1654" s="15" t="s">
        <v>7602</v>
      </c>
      <c r="B1654" s="15" t="s">
        <v>380</v>
      </c>
      <c r="C1654" s="15" t="s">
        <v>98</v>
      </c>
      <c r="D1654" s="15" t="s">
        <v>7603</v>
      </c>
      <c r="E1654" s="15" t="s">
        <v>7603</v>
      </c>
      <c r="F1654" s="58" t="s">
        <v>807</v>
      </c>
      <c r="G1654" s="66" t="s">
        <v>98</v>
      </c>
      <c r="H1654" s="18" t="s">
        <v>98</v>
      </c>
      <c r="I1654" s="18" t="s">
        <v>98</v>
      </c>
      <c r="J1654" s="18" t="s">
        <v>98</v>
      </c>
      <c r="K1654" s="18" t="s">
        <v>98</v>
      </c>
      <c r="L1654" s="18" t="s">
        <v>98</v>
      </c>
      <c r="M1654" s="18" t="s">
        <v>596</v>
      </c>
      <c r="N1654" s="18" t="s">
        <v>402</v>
      </c>
      <c r="O1654" s="18" t="s">
        <v>98</v>
      </c>
      <c r="P1654" s="15" t="str">
        <f t="shared" si="1"/>
        <v>VERIFY</v>
      </c>
      <c r="Q1654" s="15">
        <f t="shared" si="2"/>
        <v>3</v>
      </c>
      <c r="R1654" s="15">
        <f t="shared" si="3"/>
        <v>6</v>
      </c>
      <c r="S1654" s="15">
        <f t="shared" si="4"/>
        <v>1</v>
      </c>
      <c r="T1654" s="15" t="str">
        <f t="shared" si="5"/>
        <v>C-1</v>
      </c>
      <c r="U1654" s="15" t="str">
        <f t="shared" si="6"/>
        <v>T3-M6-H1-FC-1-VERIFY</v>
      </c>
      <c r="V1654" s="15">
        <f t="shared" si="7"/>
        <v>0</v>
      </c>
      <c r="W1654" s="31"/>
      <c r="X1654" s="15" t="str">
        <f t="shared" si="8"/>
        <v>reus-spain</v>
      </c>
      <c r="Y1654" s="32" t="str">
        <f t="shared" si="9"/>
        <v>https://steelmanufacturer.in/market-area/electropolished-pipes-manufacturer-in-reus-spain/</v>
      </c>
      <c r="Z1654" s="15" t="str">
        <f t="shared" si="10"/>
        <v>Electropolished Pipes Manufacturer in Reus | EP Tube Supplier</v>
      </c>
      <c r="AA1654" s="15" t="str">
        <f t="shared" si="11"/>
        <v>OK (61)</v>
      </c>
      <c r="AB1654" s="15" t="str">
        <f t="shared" si="12"/>
        <v>EP tube and pipe for VERIFY plants around VERIFY, Reus. Made at our Mumbai works to ASTM A270 and ASME BPE SF1-SF4, with 3.1 MTC.</v>
      </c>
      <c r="AC1654" s="15" t="str">
        <f t="shared" si="13"/>
        <v>PENDING RESEARCH</v>
      </c>
      <c r="AD1654" s="15" t="str">
        <f t="shared" si="14"/>
        <v>Electropolished Pipes Manufacturer in Reus</v>
      </c>
      <c r="AE1654" s="15" t="str">
        <f t="shared" si="15"/>
        <v>Electropolished Pipe &amp; Tube Manufacturing for Reus - Grades, Finishes &amp; Certification</v>
      </c>
      <c r="AF1654" s="15" t="str">
        <f t="shared" si="16"/>
        <v>Electropolished Pipes Supplier in Reus - Stock Sizes, Lead Time &amp; Delivery</v>
      </c>
      <c r="AG1654" s="15" t="str">
        <f t="shared" si="17"/>
        <v>Electropolished Pipes Wholesaler &amp; Stockist in Reus - Bulk &amp; Project Pricing</v>
      </c>
      <c r="AH1654" s="15" t="str">
        <f t="shared" si="18"/>
        <v>electropolished pipes manufacturer in Reus, electropolished pipes supplier in Reus, electropolished pipes wholesaler in Reus, electropolished tube manufacturer Reus, EP pipe supplier Reus, sanitary tube supplier Reus, ASME BPE tubing Reus, ASTM A270 tube Reus, SS 316L electropolished pipe Reus</v>
      </c>
      <c r="AI1654" s="15" t="str">
        <f t="shared" si="19"/>
        <v>Electropolished Pipes Manufacturer &amp; Supplier in Reus</v>
      </c>
      <c r="AJ1654" s="15" t="str">
        <f t="shared" si="20"/>
        <v>EP-finished SS 304/316L pipes and tubes for VERIFY plants in Reus. ASME BPE SF1-SF4, Ra from 0.25 um, EN 10204 3.1 certificate with every lot.</v>
      </c>
      <c r="AK1654" s="15" t="str">
        <f t="shared" si="21"/>
        <v>Electropolished stainless steel pipes supplied by Sakshi Forge to VERIFY plants at VERIFY, Reus</v>
      </c>
      <c r="AL1654" s="15" t="str">
        <f t="shared" si="22"/>
        <v>Electropolished SS 316L tube stock for Reus - Sakshi Forge</v>
      </c>
      <c r="AM1654" s="15" t="str">
        <f t="shared" si="23"/>
        <v>Home &gt; Market Area &gt; Spain &gt; VERIFY &gt; Reus</v>
      </c>
      <c r="AN1654" s="15">
        <f t="shared" si="24"/>
        <v>750</v>
      </c>
      <c r="AO1654" s="15">
        <f t="shared" si="25"/>
        <v>6</v>
      </c>
      <c r="AP1654" s="15">
        <f t="shared" si="26"/>
        <v>6</v>
      </c>
      <c r="AQ1654" s="15">
        <f t="shared" si="27"/>
        <v>28</v>
      </c>
      <c r="AR1654" s="31"/>
      <c r="AS1654" s="31"/>
      <c r="AT1654" s="35" t="s">
        <v>222</v>
      </c>
      <c r="AU1654" s="35"/>
    </row>
    <row r="1655" ht="15.75" customHeight="1">
      <c r="A1655" s="15" t="s">
        <v>7604</v>
      </c>
      <c r="B1655" s="15" t="s">
        <v>380</v>
      </c>
      <c r="C1655" s="15" t="s">
        <v>98</v>
      </c>
      <c r="D1655" s="15" t="s">
        <v>7605</v>
      </c>
      <c r="E1655" s="15" t="s">
        <v>7605</v>
      </c>
      <c r="F1655" s="58" t="s">
        <v>807</v>
      </c>
      <c r="G1655" s="66" t="s">
        <v>98</v>
      </c>
      <c r="H1655" s="18" t="s">
        <v>98</v>
      </c>
      <c r="I1655" s="18" t="s">
        <v>98</v>
      </c>
      <c r="J1655" s="18" t="s">
        <v>98</v>
      </c>
      <c r="K1655" s="18" t="s">
        <v>98</v>
      </c>
      <c r="L1655" s="18" t="s">
        <v>98</v>
      </c>
      <c r="M1655" s="18" t="s">
        <v>596</v>
      </c>
      <c r="N1655" s="18" t="s">
        <v>402</v>
      </c>
      <c r="O1655" s="18" t="s">
        <v>98</v>
      </c>
      <c r="P1655" s="15" t="str">
        <f t="shared" si="1"/>
        <v>VERIFY</v>
      </c>
      <c r="Q1655" s="15">
        <f t="shared" si="2"/>
        <v>4</v>
      </c>
      <c r="R1655" s="15">
        <f t="shared" si="3"/>
        <v>7</v>
      </c>
      <c r="S1655" s="15">
        <f t="shared" si="4"/>
        <v>2</v>
      </c>
      <c r="T1655" s="15" t="str">
        <f t="shared" si="5"/>
        <v>C-2</v>
      </c>
      <c r="U1655" s="15" t="str">
        <f t="shared" si="6"/>
        <v>T4-M7-H2-FC-2-VERIFY</v>
      </c>
      <c r="V1655" s="15">
        <f t="shared" si="7"/>
        <v>0</v>
      </c>
      <c r="W1655" s="31"/>
      <c r="X1655" s="15" t="str">
        <f t="shared" si="8"/>
        <v>sabadell-spain</v>
      </c>
      <c r="Y1655" s="32" t="str">
        <f t="shared" si="9"/>
        <v>https://steelmanufacturer.in/market-area/electropolished-pipes-manufacturer-in-sabadell-spain/</v>
      </c>
      <c r="Z1655" s="15" t="str">
        <f t="shared" si="10"/>
        <v>Electropolished Pipes Manufacturer in Sabadell</v>
      </c>
      <c r="AA1655" s="15" t="str">
        <f t="shared" si="11"/>
        <v>OK (46)</v>
      </c>
      <c r="AB1655" s="15" t="str">
        <f t="shared" si="12"/>
        <v>Electropolished pipes in Sabadell: 304, 304L, 316 and 316L in SF1-SF4. 19-25 days sea from Nhava Sheva to Valencia. Mill certified.</v>
      </c>
      <c r="AC1655" s="15" t="str">
        <f t="shared" si="13"/>
        <v>PENDING RESEARCH</v>
      </c>
      <c r="AD1655" s="15" t="str">
        <f t="shared" si="14"/>
        <v>Electropolished Pipes Manufacturer in Sabadell</v>
      </c>
      <c r="AE1655" s="15" t="str">
        <f t="shared" si="15"/>
        <v>How We Manufacture Electropolished Tube for Sabadell Plants</v>
      </c>
      <c r="AF1655" s="15" t="str">
        <f t="shared" si="16"/>
        <v>Supplying Electropolished Pipes in Sabadell: Availability, Sizes &amp; Dispatch</v>
      </c>
      <c r="AG1655" s="15" t="str">
        <f t="shared" si="17"/>
        <v>Wholesale Electropolished Pipe Supply for Sabadell Projects</v>
      </c>
      <c r="AH1655" s="15" t="str">
        <f t="shared" si="18"/>
        <v>electropolished pipes manufacturer in Sabadell, electropolished pipes supplier in Sabadell, electropolished pipes wholesaler in Sabadell, electropolished tube manufacturer Sabadell, EP pipe supplier Sabadell, sanitary tube supplier Sabadell, ASME BPE tubing Sabadell, ASTM A270 tube Sabadell, SS 316L electropolished pipe Sabadell</v>
      </c>
      <c r="AI1655" s="15" t="str">
        <f t="shared" si="19"/>
        <v>Electropolished Pipes Manufacturer &amp; Supplier in Sabadell</v>
      </c>
      <c r="AJ1655" s="15" t="str">
        <f t="shared" si="20"/>
        <v>EP-finished SS 304/316L pipes and tubes for VERIFY plants in Sabadell. ASME BPE SF1-SF4, Ra from 0.25 um, EN 10204 3.1 certificate with every lot.</v>
      </c>
      <c r="AK1655" s="15" t="str">
        <f t="shared" si="21"/>
        <v>Electropolished stainless steel pipes supplied by Sakshi Forge to VERIFY plants at VERIFY, Sabadell</v>
      </c>
      <c r="AL1655" s="15" t="str">
        <f t="shared" si="22"/>
        <v>Electropolished SS 316L tube stock for Sabadell - Sakshi Forge</v>
      </c>
      <c r="AM1655" s="15" t="str">
        <f t="shared" si="23"/>
        <v>Home &gt; Market Area &gt; Spain &gt; VERIFY &gt; Sabadell</v>
      </c>
      <c r="AN1655" s="15">
        <f t="shared" si="24"/>
        <v>750</v>
      </c>
      <c r="AO1655" s="15">
        <f t="shared" si="25"/>
        <v>6</v>
      </c>
      <c r="AP1655" s="15">
        <f t="shared" si="26"/>
        <v>6</v>
      </c>
      <c r="AQ1655" s="15">
        <f t="shared" si="27"/>
        <v>28</v>
      </c>
      <c r="AR1655" s="31"/>
      <c r="AS1655" s="31"/>
      <c r="AT1655" s="35" t="s">
        <v>222</v>
      </c>
      <c r="AU1655" s="35"/>
    </row>
    <row r="1656" ht="15.75" customHeight="1">
      <c r="A1656" s="15" t="s">
        <v>7606</v>
      </c>
      <c r="B1656" s="15" t="s">
        <v>380</v>
      </c>
      <c r="C1656" s="15" t="s">
        <v>98</v>
      </c>
      <c r="D1656" s="15" t="s">
        <v>7607</v>
      </c>
      <c r="E1656" s="15" t="s">
        <v>7607</v>
      </c>
      <c r="F1656" s="58" t="s">
        <v>807</v>
      </c>
      <c r="G1656" s="66" t="s">
        <v>98</v>
      </c>
      <c r="H1656" s="18" t="s">
        <v>98</v>
      </c>
      <c r="I1656" s="18" t="s">
        <v>98</v>
      </c>
      <c r="J1656" s="18" t="s">
        <v>98</v>
      </c>
      <c r="K1656" s="18" t="s">
        <v>98</v>
      </c>
      <c r="L1656" s="18" t="s">
        <v>98</v>
      </c>
      <c r="M1656" s="18" t="s">
        <v>596</v>
      </c>
      <c r="N1656" s="18" t="s">
        <v>402</v>
      </c>
      <c r="O1656" s="18" t="s">
        <v>98</v>
      </c>
      <c r="P1656" s="15" t="str">
        <f t="shared" si="1"/>
        <v>VERIFY</v>
      </c>
      <c r="Q1656" s="15">
        <f t="shared" si="2"/>
        <v>5</v>
      </c>
      <c r="R1656" s="15">
        <f t="shared" si="3"/>
        <v>1</v>
      </c>
      <c r="S1656" s="15">
        <f t="shared" si="4"/>
        <v>3</v>
      </c>
      <c r="T1656" s="15" t="str">
        <f t="shared" si="5"/>
        <v>C-3</v>
      </c>
      <c r="U1656" s="15" t="str">
        <f t="shared" si="6"/>
        <v>T5-M1-H3-FC-3-VERIFY</v>
      </c>
      <c r="V1656" s="15">
        <f t="shared" si="7"/>
        <v>0</v>
      </c>
      <c r="W1656" s="31"/>
      <c r="X1656" s="15" t="str">
        <f t="shared" si="8"/>
        <v>sagunto-spain</v>
      </c>
      <c r="Y1656" s="32" t="str">
        <f t="shared" si="9"/>
        <v>https://steelmanufacturer.in/market-area/electropolished-pipes-manufacturer-in-sagunto-spain/</v>
      </c>
      <c r="Z1656" s="15" t="str">
        <f t="shared" si="10"/>
        <v>Electropolished Pipes Manufacturer in Sagunto</v>
      </c>
      <c r="AA1656" s="15" t="str">
        <f t="shared" si="11"/>
        <v>OK (45)</v>
      </c>
      <c r="AB1656" s="15" t="str">
        <f t="shared" si="12"/>
        <v>EP-finished SS 304/316L pipes &amp; tubes for VERIFY plants in Sagunto. ASTM A270, ASME BPE SF1-SF4, EN 10204 3.1 MTC. PMI tested.</v>
      </c>
      <c r="AC1656" s="15" t="str">
        <f t="shared" si="13"/>
        <v>PENDING RESEARCH</v>
      </c>
      <c r="AD1656" s="15" t="str">
        <f t="shared" si="14"/>
        <v>Electropolished Pipes Manufacturer in Sagunto</v>
      </c>
      <c r="AE1656" s="15" t="str">
        <f t="shared" si="15"/>
        <v>Electropolished Pipes Manufacturer in Sagunto - Our Process &amp; Capability</v>
      </c>
      <c r="AF1656" s="15" t="str">
        <f t="shared" si="16"/>
        <v>Electropolished Pipes Supplier in Sagunto - What We Hold in Stock</v>
      </c>
      <c r="AG1656" s="15" t="str">
        <f t="shared" si="17"/>
        <v>Bulk &amp; Wholesale Electropolished Pipe Rates for Sagunto Buyers</v>
      </c>
      <c r="AH1656" s="15" t="str">
        <f t="shared" si="18"/>
        <v>electropolished pipes manufacturer in Sagunto, electropolished pipes supplier in Sagunto, electropolished pipes wholesaler in Sagunto, electropolished tube manufacturer Sagunto, EP pipe supplier Sagunto, sanitary tube supplier Sagunto, ASME BPE tubing Sagunto, ASTM A270 tube Sagunto, SS 316L electropolished pipe Sagunto</v>
      </c>
      <c r="AI1656" s="15" t="str">
        <f t="shared" si="19"/>
        <v>Electropolished Pipes Manufacturer &amp; Supplier in Sagunto</v>
      </c>
      <c r="AJ1656" s="15" t="str">
        <f t="shared" si="20"/>
        <v>EP-finished SS 304/316L pipes and tubes for VERIFY plants in Sagunto. ASME BPE SF1-SF4, Ra from 0.25 um, EN 10204 3.1 certificate with every lot.</v>
      </c>
      <c r="AK1656" s="15" t="str">
        <f t="shared" si="21"/>
        <v>Electropolished stainless steel pipes supplied by Sakshi Forge to VERIFY plants at VERIFY, Sagunto</v>
      </c>
      <c r="AL1656" s="15" t="str">
        <f t="shared" si="22"/>
        <v>Electropolished SS 316L tube stock for Sagunto - Sakshi Forge</v>
      </c>
      <c r="AM1656" s="15" t="str">
        <f t="shared" si="23"/>
        <v>Home &gt; Market Area &gt; Spain &gt; VERIFY &gt; Sagunto</v>
      </c>
      <c r="AN1656" s="15">
        <f t="shared" si="24"/>
        <v>750</v>
      </c>
      <c r="AO1656" s="15">
        <f t="shared" si="25"/>
        <v>6</v>
      </c>
      <c r="AP1656" s="15">
        <f t="shared" si="26"/>
        <v>6</v>
      </c>
      <c r="AQ1656" s="15">
        <f t="shared" si="27"/>
        <v>28</v>
      </c>
      <c r="AR1656" s="31"/>
      <c r="AS1656" s="31"/>
      <c r="AT1656" s="35" t="s">
        <v>222</v>
      </c>
      <c r="AU1656" s="35"/>
    </row>
    <row r="1657" ht="15.75" customHeight="1">
      <c r="A1657" s="15" t="s">
        <v>7608</v>
      </c>
      <c r="B1657" s="15" t="s">
        <v>380</v>
      </c>
      <c r="C1657" s="15" t="s">
        <v>98</v>
      </c>
      <c r="D1657" s="15" t="s">
        <v>7609</v>
      </c>
      <c r="E1657" s="15" t="s">
        <v>7609</v>
      </c>
      <c r="F1657" s="58" t="s">
        <v>807</v>
      </c>
      <c r="G1657" s="66" t="s">
        <v>98</v>
      </c>
      <c r="H1657" s="18" t="s">
        <v>98</v>
      </c>
      <c r="I1657" s="18" t="s">
        <v>98</v>
      </c>
      <c r="J1657" s="18" t="s">
        <v>98</v>
      </c>
      <c r="K1657" s="18" t="s">
        <v>98</v>
      </c>
      <c r="L1657" s="18" t="s">
        <v>98</v>
      </c>
      <c r="M1657" s="18" t="s">
        <v>596</v>
      </c>
      <c r="N1657" s="18" t="s">
        <v>402</v>
      </c>
      <c r="O1657" s="18" t="s">
        <v>98</v>
      </c>
      <c r="P1657" s="15" t="str">
        <f t="shared" si="1"/>
        <v>VERIFY</v>
      </c>
      <c r="Q1657" s="15">
        <f t="shared" si="2"/>
        <v>6</v>
      </c>
      <c r="R1657" s="15">
        <f t="shared" si="3"/>
        <v>2</v>
      </c>
      <c r="S1657" s="15">
        <f t="shared" si="4"/>
        <v>4</v>
      </c>
      <c r="T1657" s="15" t="str">
        <f t="shared" si="5"/>
        <v>C-4</v>
      </c>
      <c r="U1657" s="15" t="str">
        <f t="shared" si="6"/>
        <v>T6-M2-H4-FC-4-VERIFY</v>
      </c>
      <c r="V1657" s="15">
        <f t="shared" si="7"/>
        <v>0</v>
      </c>
      <c r="W1657" s="31"/>
      <c r="X1657" s="15" t="str">
        <f t="shared" si="8"/>
        <v>segovia-spain</v>
      </c>
      <c r="Y1657" s="32" t="str">
        <f t="shared" si="9"/>
        <v>https://steelmanufacturer.in/market-area/electropolished-pipes-manufacturer-in-segovia-spain/</v>
      </c>
      <c r="Z1657" s="15" t="str">
        <f t="shared" si="10"/>
        <v>Electropolished Pipes Manufacturer in Segovia</v>
      </c>
      <c r="AA1657" s="15" t="str">
        <f t="shared" si="11"/>
        <v>OK (45)</v>
      </c>
      <c r="AB1657" s="15" t="str">
        <f t="shared" si="12"/>
        <v>Electropolished tube supply to VERIFY, Segovia. Ra from 0.25 um, SF4 finish, mill test certificate with every lot.</v>
      </c>
      <c r="AC1657" s="15" t="str">
        <f t="shared" si="13"/>
        <v>PENDING RESEARCH</v>
      </c>
      <c r="AD1657" s="15" t="str">
        <f t="shared" si="14"/>
        <v>Electropolished Pipes Manufacturer in Segovia</v>
      </c>
      <c r="AE1657" s="15" t="str">
        <f t="shared" si="15"/>
        <v>Manufacturing Electropolished SS Tube for Segovia: The Standards We Build To</v>
      </c>
      <c r="AF1657" s="15" t="str">
        <f t="shared" si="16"/>
        <v>Electropolished Pipe Supply Into Segovia - Certification &amp; Transit</v>
      </c>
      <c r="AG1657" s="15" t="str">
        <f t="shared" si="17"/>
        <v>Electropolished Pipes Wholesaler in Segovia - Project Quantities &amp; Terms</v>
      </c>
      <c r="AH1657" s="15" t="str">
        <f t="shared" si="18"/>
        <v>electropolished pipes manufacturer in Segovia, electropolished pipes supplier in Segovia, electropolished pipes wholesaler in Segovia, electropolished tube manufacturer Segovia, EP pipe supplier Segovia, sanitary tube supplier Segovia, ASME BPE tubing Segovia, ASTM A270 tube Segovia, SS 316L electropolished pipe Segovia</v>
      </c>
      <c r="AI1657" s="15" t="str">
        <f t="shared" si="19"/>
        <v>Electropolished Pipes Manufacturer &amp; Supplier in Segovia</v>
      </c>
      <c r="AJ1657" s="15" t="str">
        <f t="shared" si="20"/>
        <v>EP-finished SS 304/316L pipes and tubes for VERIFY plants in Segovia. ASME BPE SF1-SF4, Ra from 0.25 um, EN 10204 3.1 certificate with every lot.</v>
      </c>
      <c r="AK1657" s="15" t="str">
        <f t="shared" si="21"/>
        <v>Electropolished stainless steel pipes supplied by Sakshi Forge to VERIFY plants at VERIFY, Segovia</v>
      </c>
      <c r="AL1657" s="15" t="str">
        <f t="shared" si="22"/>
        <v>Electropolished SS 316L tube stock for Segovia - Sakshi Forge</v>
      </c>
      <c r="AM1657" s="15" t="str">
        <f t="shared" si="23"/>
        <v>Home &gt; Market Area &gt; Spain &gt; VERIFY &gt; Segovia</v>
      </c>
      <c r="AN1657" s="15">
        <f t="shared" si="24"/>
        <v>750</v>
      </c>
      <c r="AO1657" s="15">
        <f t="shared" si="25"/>
        <v>6</v>
      </c>
      <c r="AP1657" s="15">
        <f t="shared" si="26"/>
        <v>6</v>
      </c>
      <c r="AQ1657" s="15">
        <f t="shared" si="27"/>
        <v>28</v>
      </c>
      <c r="AR1657" s="31"/>
      <c r="AS1657" s="31"/>
      <c r="AT1657" s="35" t="s">
        <v>222</v>
      </c>
      <c r="AU1657" s="35"/>
    </row>
    <row r="1658" ht="15.75" customHeight="1">
      <c r="A1658" s="15" t="s">
        <v>7610</v>
      </c>
      <c r="B1658" s="15" t="s">
        <v>380</v>
      </c>
      <c r="C1658" s="15" t="s">
        <v>98</v>
      </c>
      <c r="D1658" s="15" t="s">
        <v>7611</v>
      </c>
      <c r="E1658" s="15" t="s">
        <v>7611</v>
      </c>
      <c r="F1658" s="58" t="s">
        <v>807</v>
      </c>
      <c r="G1658" s="66" t="s">
        <v>98</v>
      </c>
      <c r="H1658" s="18" t="s">
        <v>98</v>
      </c>
      <c r="I1658" s="18" t="s">
        <v>98</v>
      </c>
      <c r="J1658" s="18" t="s">
        <v>98</v>
      </c>
      <c r="K1658" s="18" t="s">
        <v>98</v>
      </c>
      <c r="L1658" s="18" t="s">
        <v>98</v>
      </c>
      <c r="M1658" s="18" t="s">
        <v>596</v>
      </c>
      <c r="N1658" s="18" t="s">
        <v>402</v>
      </c>
      <c r="O1658" s="18" t="s">
        <v>98</v>
      </c>
      <c r="P1658" s="15" t="str">
        <f t="shared" si="1"/>
        <v>VERIFY</v>
      </c>
      <c r="Q1658" s="15">
        <f t="shared" si="2"/>
        <v>7</v>
      </c>
      <c r="R1658" s="15">
        <f t="shared" si="3"/>
        <v>3</v>
      </c>
      <c r="S1658" s="15">
        <f t="shared" si="4"/>
        <v>5</v>
      </c>
      <c r="T1658" s="15" t="str">
        <f t="shared" si="5"/>
        <v>C-5</v>
      </c>
      <c r="U1658" s="15" t="str">
        <f t="shared" si="6"/>
        <v>T7-M3-H5-FC-5-VERIFY</v>
      </c>
      <c r="V1658" s="15">
        <f t="shared" si="7"/>
        <v>0</v>
      </c>
      <c r="W1658" s="31"/>
      <c r="X1658" s="15" t="str">
        <f t="shared" si="8"/>
        <v>soria-spain</v>
      </c>
      <c r="Y1658" s="32" t="str">
        <f t="shared" si="9"/>
        <v>https://steelmanufacturer.in/market-area/electropolished-pipes-manufacturer-in-soria-spain/</v>
      </c>
      <c r="Z1658" s="15" t="str">
        <f t="shared" si="10"/>
        <v>Electropolished Pipes Manufacturer in Soria | ASME BPE SF1-SF4</v>
      </c>
      <c r="AA1658" s="15" t="str">
        <f t="shared" si="11"/>
        <v>OK (62)</v>
      </c>
      <c r="AB1658" s="15" t="str">
        <f t="shared" si="12"/>
        <v>EP stainless tube for VERIFY lines in Soria. 19-25 days sea from Nhava Sheva to Valencia. ASTM A270 S2, PMI tested, EN 10204 3.1.</v>
      </c>
      <c r="AC1658" s="15" t="str">
        <f t="shared" si="13"/>
        <v>PENDING RESEARCH</v>
      </c>
      <c r="AD1658" s="15" t="str">
        <f t="shared" si="14"/>
        <v>Electropolished Pipes Manufacturer in Soria</v>
      </c>
      <c r="AE1658" s="15" t="str">
        <f t="shared" si="15"/>
        <v>Electropolished Tube Manufacturing Capability Serving Soria</v>
      </c>
      <c r="AF1658" s="15" t="str">
        <f t="shared" si="16"/>
        <v>Electropolished Pipes Supplier in Soria - From Order to Delivery</v>
      </c>
      <c r="AG1658" s="15" t="str">
        <f t="shared" si="17"/>
        <v>Stockist &amp; Wholesale Supply of Electropolished Pipes in Soria</v>
      </c>
      <c r="AH1658" s="15" t="str">
        <f t="shared" si="18"/>
        <v>electropolished pipes manufacturer in Soria, electropolished pipes supplier in Soria, electropolished pipes wholesaler in Soria, electropolished tube manufacturer Soria, EP pipe supplier Soria, sanitary tube supplier Soria, ASME BPE tubing Soria, ASTM A270 tube Soria, SS 316L electropolished pipe Soria</v>
      </c>
      <c r="AI1658" s="15" t="str">
        <f t="shared" si="19"/>
        <v>Electropolished Pipes Manufacturer &amp; Supplier in Soria</v>
      </c>
      <c r="AJ1658" s="15" t="str">
        <f t="shared" si="20"/>
        <v>EP-finished SS 304/316L pipes and tubes for VERIFY plants in Soria. ASME BPE SF1-SF4, Ra from 0.25 um, EN 10204 3.1 certificate with every lot.</v>
      </c>
      <c r="AK1658" s="15" t="str">
        <f t="shared" si="21"/>
        <v>Electropolished stainless steel pipes supplied by Sakshi Forge to VERIFY plants at VERIFY, Soria</v>
      </c>
      <c r="AL1658" s="15" t="str">
        <f t="shared" si="22"/>
        <v>Electropolished SS 316L tube stock for Soria - Sakshi Forge</v>
      </c>
      <c r="AM1658" s="15" t="str">
        <f t="shared" si="23"/>
        <v>Home &gt; Market Area &gt; Spain &gt; VERIFY &gt; Soria</v>
      </c>
      <c r="AN1658" s="15">
        <f t="shared" si="24"/>
        <v>750</v>
      </c>
      <c r="AO1658" s="15">
        <f t="shared" si="25"/>
        <v>6</v>
      </c>
      <c r="AP1658" s="15">
        <f t="shared" si="26"/>
        <v>6</v>
      </c>
      <c r="AQ1658" s="15">
        <f t="shared" si="27"/>
        <v>28</v>
      </c>
      <c r="AR1658" s="31"/>
      <c r="AS1658" s="31"/>
      <c r="AT1658" s="35" t="s">
        <v>222</v>
      </c>
      <c r="AU1658" s="35"/>
    </row>
    <row r="1659" ht="15.75" customHeight="1">
      <c r="A1659" s="15" t="s">
        <v>7612</v>
      </c>
      <c r="B1659" s="15" t="s">
        <v>380</v>
      </c>
      <c r="C1659" s="15" t="s">
        <v>98</v>
      </c>
      <c r="D1659" s="15" t="s">
        <v>7613</v>
      </c>
      <c r="E1659" s="15" t="s">
        <v>7613</v>
      </c>
      <c r="F1659" s="58" t="s">
        <v>807</v>
      </c>
      <c r="G1659" s="66" t="s">
        <v>98</v>
      </c>
      <c r="H1659" s="18" t="s">
        <v>98</v>
      </c>
      <c r="I1659" s="18" t="s">
        <v>98</v>
      </c>
      <c r="J1659" s="18" t="s">
        <v>98</v>
      </c>
      <c r="K1659" s="18" t="s">
        <v>98</v>
      </c>
      <c r="L1659" s="18" t="s">
        <v>98</v>
      </c>
      <c r="M1659" s="18" t="s">
        <v>596</v>
      </c>
      <c r="N1659" s="18" t="s">
        <v>402</v>
      </c>
      <c r="O1659" s="18" t="s">
        <v>98</v>
      </c>
      <c r="P1659" s="15" t="str">
        <f t="shared" si="1"/>
        <v>VERIFY</v>
      </c>
      <c r="Q1659" s="15">
        <f t="shared" si="2"/>
        <v>8</v>
      </c>
      <c r="R1659" s="15">
        <f t="shared" si="3"/>
        <v>4</v>
      </c>
      <c r="S1659" s="15">
        <f t="shared" si="4"/>
        <v>1</v>
      </c>
      <c r="T1659" s="15" t="str">
        <f t="shared" si="5"/>
        <v>C-6</v>
      </c>
      <c r="U1659" s="15" t="str">
        <f t="shared" si="6"/>
        <v>T8-M4-H1-FC-6-VERIFY</v>
      </c>
      <c r="V1659" s="15">
        <f t="shared" si="7"/>
        <v>0</v>
      </c>
      <c r="W1659" s="31"/>
      <c r="X1659" s="15" t="str">
        <f t="shared" si="8"/>
        <v>talavera-spain</v>
      </c>
      <c r="Y1659" s="32" t="str">
        <f t="shared" si="9"/>
        <v>https://steelmanufacturer.in/market-area/electropolished-pipes-manufacturer-in-talavera-spain/</v>
      </c>
      <c r="Z1659" s="15" t="str">
        <f t="shared" si="10"/>
        <v>Electropolished Pipes Manufacturer in Talavera - EP Tube Stockist</v>
      </c>
      <c r="AA1659" s="15" t="str">
        <f t="shared" si="11"/>
        <v>OK (65)</v>
      </c>
      <c r="AB1659" s="15" t="str">
        <f t="shared" si="12"/>
        <v>Sanitary electropolished pipes in Talavera for VERIFY plants. ASME BPE SF1-SF4, orbital-weld ready, 3.1 MTC. Mumbai-made.</v>
      </c>
      <c r="AC1659" s="15" t="str">
        <f t="shared" si="13"/>
        <v>PENDING RESEARCH</v>
      </c>
      <c r="AD1659" s="15" t="str">
        <f t="shared" si="14"/>
        <v>Electropolished Pipes Manufacturer in Talavera</v>
      </c>
      <c r="AE1659" s="15" t="str">
        <f t="shared" si="15"/>
        <v>Electropolished Pipe &amp; Tube Manufacturing for Talavera - Grades, Finishes &amp; Certification</v>
      </c>
      <c r="AF1659" s="15" t="str">
        <f t="shared" si="16"/>
        <v>Electropolished Pipes Supplier in Talavera - Stock Sizes, Lead Time &amp; Delivery</v>
      </c>
      <c r="AG1659" s="15" t="str">
        <f t="shared" si="17"/>
        <v>Electropolished Pipes Wholesaler &amp; Stockist in Talavera - Bulk &amp; Project Pricing</v>
      </c>
      <c r="AH1659" s="15" t="str">
        <f t="shared" si="18"/>
        <v>electropolished pipes manufacturer in Talavera, electropolished pipes supplier in Talavera, electropolished pipes wholesaler in Talavera, electropolished tube manufacturer Talavera, EP pipe supplier Talavera, sanitary tube supplier Talavera, ASME BPE tubing Talavera, ASTM A270 tube Talavera, SS 316L electropolished pipe Talavera</v>
      </c>
      <c r="AI1659" s="15" t="str">
        <f t="shared" si="19"/>
        <v>Electropolished Pipes Manufacturer &amp; Supplier in Talavera</v>
      </c>
      <c r="AJ1659" s="15" t="str">
        <f t="shared" si="20"/>
        <v>EP-finished SS 304/316L pipes and tubes for VERIFY plants in Talavera. ASME BPE SF1-SF4, Ra from 0.25 um, EN 10204 3.1 certificate with every lot.</v>
      </c>
      <c r="AK1659" s="15" t="str">
        <f t="shared" si="21"/>
        <v>Electropolished stainless steel pipes supplied by Sakshi Forge to VERIFY plants at VERIFY, Talavera</v>
      </c>
      <c r="AL1659" s="15" t="str">
        <f t="shared" si="22"/>
        <v>Electropolished SS 316L tube stock for Talavera - Sakshi Forge</v>
      </c>
      <c r="AM1659" s="15" t="str">
        <f t="shared" si="23"/>
        <v>Home &gt; Market Area &gt; Spain &gt; VERIFY &gt; Talavera</v>
      </c>
      <c r="AN1659" s="15">
        <f t="shared" si="24"/>
        <v>750</v>
      </c>
      <c r="AO1659" s="15">
        <f t="shared" si="25"/>
        <v>6</v>
      </c>
      <c r="AP1659" s="15">
        <f t="shared" si="26"/>
        <v>6</v>
      </c>
      <c r="AQ1659" s="15">
        <f t="shared" si="27"/>
        <v>28</v>
      </c>
      <c r="AR1659" s="31"/>
      <c r="AS1659" s="31"/>
      <c r="AT1659" s="35" t="s">
        <v>222</v>
      </c>
      <c r="AU1659" s="35"/>
    </row>
    <row r="1660" ht="15.75" customHeight="1">
      <c r="A1660" s="15" t="s">
        <v>7614</v>
      </c>
      <c r="B1660" s="15" t="s">
        <v>380</v>
      </c>
      <c r="C1660" s="15" t="s">
        <v>98</v>
      </c>
      <c r="D1660" s="15" t="s">
        <v>7615</v>
      </c>
      <c r="E1660" s="15" t="s">
        <v>7615</v>
      </c>
      <c r="F1660" s="58" t="s">
        <v>807</v>
      </c>
      <c r="G1660" s="66" t="s">
        <v>98</v>
      </c>
      <c r="H1660" s="18" t="s">
        <v>98</v>
      </c>
      <c r="I1660" s="18" t="s">
        <v>98</v>
      </c>
      <c r="J1660" s="18" t="s">
        <v>98</v>
      </c>
      <c r="K1660" s="18" t="s">
        <v>98</v>
      </c>
      <c r="L1660" s="18" t="s">
        <v>98</v>
      </c>
      <c r="M1660" s="18" t="s">
        <v>596</v>
      </c>
      <c r="N1660" s="18" t="s">
        <v>402</v>
      </c>
      <c r="O1660" s="18" t="s">
        <v>98</v>
      </c>
      <c r="P1660" s="15" t="str">
        <f t="shared" si="1"/>
        <v>VERIFY</v>
      </c>
      <c r="Q1660" s="15">
        <f t="shared" si="2"/>
        <v>1</v>
      </c>
      <c r="R1660" s="15">
        <f t="shared" si="3"/>
        <v>5</v>
      </c>
      <c r="S1660" s="15">
        <f t="shared" si="4"/>
        <v>2</v>
      </c>
      <c r="T1660" s="15" t="str">
        <f t="shared" si="5"/>
        <v>C-1</v>
      </c>
      <c r="U1660" s="15" t="str">
        <f t="shared" si="6"/>
        <v>T1-M5-H2-FC-1-VERIFY</v>
      </c>
      <c r="V1660" s="15">
        <f t="shared" si="7"/>
        <v>0</v>
      </c>
      <c r="W1660" s="31"/>
      <c r="X1660" s="15" t="str">
        <f t="shared" si="8"/>
        <v>terrassa-spain</v>
      </c>
      <c r="Y1660" s="32" t="str">
        <f t="shared" si="9"/>
        <v>https://steelmanufacturer.in/market-area/electropolished-pipes-manufacturer-in-terrassa-spain/</v>
      </c>
      <c r="Z1660" s="15" t="str">
        <f t="shared" si="10"/>
        <v>Electropolished Pipes Manufacturer in Terrassa | Sakshi Forge</v>
      </c>
      <c r="AA1660" s="15" t="str">
        <f t="shared" si="11"/>
        <v>OK (61)</v>
      </c>
      <c r="AB1660" s="15" t="str">
        <f t="shared" si="12"/>
        <v>Manufacturer of electropolished SS 316L tube serving Terrassa. 19-25 days sea from Nhava Sheva to Valencia. Ra 0.25-0.5 um, EN 10204 3.1 MTC.</v>
      </c>
      <c r="AC1660" s="15" t="str">
        <f t="shared" si="13"/>
        <v>PENDING RESEARCH</v>
      </c>
      <c r="AD1660" s="15" t="str">
        <f t="shared" si="14"/>
        <v>Electropolished Pipes Manufacturer in Terrassa</v>
      </c>
      <c r="AE1660" s="15" t="str">
        <f t="shared" si="15"/>
        <v>How We Manufacture Electropolished Tube for Terrassa Plants</v>
      </c>
      <c r="AF1660" s="15" t="str">
        <f t="shared" si="16"/>
        <v>Supplying Electropolished Pipes in Terrassa: Availability, Sizes &amp; Dispatch</v>
      </c>
      <c r="AG1660" s="15" t="str">
        <f t="shared" si="17"/>
        <v>Wholesale Electropolished Pipe Supply for Terrassa Projects</v>
      </c>
      <c r="AH1660" s="15" t="str">
        <f t="shared" si="18"/>
        <v>electropolished pipes manufacturer in Terrassa, electropolished pipes supplier in Terrassa, electropolished pipes wholesaler in Terrassa, electropolished tube manufacturer Terrassa, EP pipe supplier Terrassa, sanitary tube supplier Terrassa, ASME BPE tubing Terrassa, ASTM A270 tube Terrassa, SS 316L electropolished pipe Terrassa</v>
      </c>
      <c r="AI1660" s="15" t="str">
        <f t="shared" si="19"/>
        <v>Electropolished Pipes Manufacturer &amp; Supplier in Terrassa</v>
      </c>
      <c r="AJ1660" s="15" t="str">
        <f t="shared" si="20"/>
        <v>EP-finished SS 304/316L pipes and tubes for VERIFY plants in Terrassa. ASME BPE SF1-SF4, Ra from 0.25 um, EN 10204 3.1 certificate with every lot.</v>
      </c>
      <c r="AK1660" s="15" t="str">
        <f t="shared" si="21"/>
        <v>Electropolished stainless steel pipes supplied by Sakshi Forge to VERIFY plants at VERIFY, Terrassa</v>
      </c>
      <c r="AL1660" s="15" t="str">
        <f t="shared" si="22"/>
        <v>Electropolished SS 316L tube stock for Terrassa - Sakshi Forge</v>
      </c>
      <c r="AM1660" s="15" t="str">
        <f t="shared" si="23"/>
        <v>Home &gt; Market Area &gt; Spain &gt; VERIFY &gt; Terrassa</v>
      </c>
      <c r="AN1660" s="15">
        <f t="shared" si="24"/>
        <v>750</v>
      </c>
      <c r="AO1660" s="15">
        <f t="shared" si="25"/>
        <v>6</v>
      </c>
      <c r="AP1660" s="15">
        <f t="shared" si="26"/>
        <v>6</v>
      </c>
      <c r="AQ1660" s="15">
        <f t="shared" si="27"/>
        <v>28</v>
      </c>
      <c r="AR1660" s="31"/>
      <c r="AS1660" s="31"/>
      <c r="AT1660" s="35" t="s">
        <v>222</v>
      </c>
      <c r="AU1660" s="35"/>
    </row>
    <row r="1661" ht="15.75" customHeight="1">
      <c r="A1661" s="15" t="s">
        <v>7616</v>
      </c>
      <c r="B1661" s="15" t="s">
        <v>380</v>
      </c>
      <c r="C1661" s="15" t="s">
        <v>98</v>
      </c>
      <c r="D1661" s="15" t="s">
        <v>7617</v>
      </c>
      <c r="E1661" s="15" t="s">
        <v>7617</v>
      </c>
      <c r="F1661" s="58" t="s">
        <v>807</v>
      </c>
      <c r="G1661" s="66" t="s">
        <v>98</v>
      </c>
      <c r="H1661" s="18" t="s">
        <v>98</v>
      </c>
      <c r="I1661" s="18" t="s">
        <v>98</v>
      </c>
      <c r="J1661" s="18" t="s">
        <v>98</v>
      </c>
      <c r="K1661" s="18" t="s">
        <v>98</v>
      </c>
      <c r="L1661" s="18" t="s">
        <v>98</v>
      </c>
      <c r="M1661" s="18" t="s">
        <v>596</v>
      </c>
      <c r="N1661" s="18" t="s">
        <v>402</v>
      </c>
      <c r="O1661" s="18" t="s">
        <v>98</v>
      </c>
      <c r="P1661" s="15" t="str">
        <f t="shared" si="1"/>
        <v>VERIFY</v>
      </c>
      <c r="Q1661" s="15">
        <f t="shared" si="2"/>
        <v>2</v>
      </c>
      <c r="R1661" s="15">
        <f t="shared" si="3"/>
        <v>6</v>
      </c>
      <c r="S1661" s="15">
        <f t="shared" si="4"/>
        <v>3</v>
      </c>
      <c r="T1661" s="15" t="str">
        <f t="shared" si="5"/>
        <v>C-2</v>
      </c>
      <c r="U1661" s="15" t="str">
        <f t="shared" si="6"/>
        <v>T2-M6-H3-FC-2-VERIFY</v>
      </c>
      <c r="V1661" s="15">
        <f t="shared" si="7"/>
        <v>0</v>
      </c>
      <c r="W1661" s="31"/>
      <c r="X1661" s="15" t="str">
        <f t="shared" si="8"/>
        <v>teruel-spain</v>
      </c>
      <c r="Y1661" s="32" t="str">
        <f t="shared" si="9"/>
        <v>https://steelmanufacturer.in/market-area/electropolished-pipes-manufacturer-in-teruel-spain/</v>
      </c>
      <c r="Z1661" s="15" t="str">
        <f t="shared" si="10"/>
        <v>Electropolished Pipes Manufacturer in Teruel</v>
      </c>
      <c r="AA1661" s="15" t="str">
        <f t="shared" si="11"/>
        <v>OK (44)</v>
      </c>
      <c r="AB1661" s="15" t="str">
        <f t="shared" si="12"/>
        <v>EP tube and pipe for VERIFY plants around VERIFY, Teruel. Made at our Mumbai works to ASTM A270 and ASME BPE SF1-SF4, with 3.1 MTC.</v>
      </c>
      <c r="AC1661" s="15" t="str">
        <f t="shared" si="13"/>
        <v>PENDING RESEARCH</v>
      </c>
      <c r="AD1661" s="15" t="str">
        <f t="shared" si="14"/>
        <v>Electropolished Pipes Manufacturer in Teruel</v>
      </c>
      <c r="AE1661" s="15" t="str">
        <f t="shared" si="15"/>
        <v>Electropolished Pipes Manufacturer in Teruel - Our Process &amp; Capability</v>
      </c>
      <c r="AF1661" s="15" t="str">
        <f t="shared" si="16"/>
        <v>Electropolished Pipes Supplier in Teruel - What We Hold in Stock</v>
      </c>
      <c r="AG1661" s="15" t="str">
        <f t="shared" si="17"/>
        <v>Bulk &amp; Wholesale Electropolished Pipe Rates for Teruel Buyers</v>
      </c>
      <c r="AH1661" s="15" t="str">
        <f t="shared" si="18"/>
        <v>electropolished pipes manufacturer in Teruel, electropolished pipes supplier in Teruel, electropolished pipes wholesaler in Teruel, electropolished tube manufacturer Teruel, EP pipe supplier Teruel, sanitary tube supplier Teruel, ASME BPE tubing Teruel, ASTM A270 tube Teruel, SS 316L electropolished pipe Teruel</v>
      </c>
      <c r="AI1661" s="15" t="str">
        <f t="shared" si="19"/>
        <v>Electropolished Pipes Manufacturer &amp; Supplier in Teruel</v>
      </c>
      <c r="AJ1661" s="15" t="str">
        <f t="shared" si="20"/>
        <v>EP-finished SS 304/316L pipes and tubes for VERIFY plants in Teruel. ASME BPE SF1-SF4, Ra from 0.25 um, EN 10204 3.1 certificate with every lot.</v>
      </c>
      <c r="AK1661" s="15" t="str">
        <f t="shared" si="21"/>
        <v>Electropolished stainless steel pipes supplied by Sakshi Forge to VERIFY plants at VERIFY, Teruel</v>
      </c>
      <c r="AL1661" s="15" t="str">
        <f t="shared" si="22"/>
        <v>Electropolished SS 316L tube stock for Teruel - Sakshi Forge</v>
      </c>
      <c r="AM1661" s="15" t="str">
        <f t="shared" si="23"/>
        <v>Home &gt; Market Area &gt; Spain &gt; VERIFY &gt; Teruel</v>
      </c>
      <c r="AN1661" s="15">
        <f t="shared" si="24"/>
        <v>750</v>
      </c>
      <c r="AO1661" s="15">
        <f t="shared" si="25"/>
        <v>6</v>
      </c>
      <c r="AP1661" s="15">
        <f t="shared" si="26"/>
        <v>6</v>
      </c>
      <c r="AQ1661" s="15">
        <f t="shared" si="27"/>
        <v>28</v>
      </c>
      <c r="AR1661" s="31"/>
      <c r="AS1661" s="31"/>
      <c r="AT1661" s="35" t="s">
        <v>222</v>
      </c>
      <c r="AU1661" s="35"/>
    </row>
    <row r="1662" ht="15.75" customHeight="1">
      <c r="A1662" s="15" t="s">
        <v>7618</v>
      </c>
      <c r="B1662" s="15" t="s">
        <v>380</v>
      </c>
      <c r="C1662" s="15" t="s">
        <v>98</v>
      </c>
      <c r="D1662" s="15" t="s">
        <v>7619</v>
      </c>
      <c r="E1662" s="15" t="s">
        <v>9556</v>
      </c>
      <c r="F1662" s="58" t="s">
        <v>807</v>
      </c>
      <c r="G1662" s="66" t="s">
        <v>98</v>
      </c>
      <c r="H1662" s="18" t="s">
        <v>98</v>
      </c>
      <c r="I1662" s="18" t="s">
        <v>98</v>
      </c>
      <c r="J1662" s="18" t="s">
        <v>98</v>
      </c>
      <c r="K1662" s="18" t="s">
        <v>98</v>
      </c>
      <c r="L1662" s="18" t="s">
        <v>98</v>
      </c>
      <c r="M1662" s="18" t="s">
        <v>596</v>
      </c>
      <c r="N1662" s="18" t="s">
        <v>402</v>
      </c>
      <c r="O1662" s="18" t="s">
        <v>98</v>
      </c>
      <c r="P1662" s="15" t="str">
        <f t="shared" si="1"/>
        <v>VERIFY</v>
      </c>
      <c r="Q1662" s="15">
        <f t="shared" si="2"/>
        <v>3</v>
      </c>
      <c r="R1662" s="15">
        <f t="shared" si="3"/>
        <v>7</v>
      </c>
      <c r="S1662" s="15">
        <f t="shared" si="4"/>
        <v>4</v>
      </c>
      <c r="T1662" s="15" t="str">
        <f t="shared" si="5"/>
        <v>C-3</v>
      </c>
      <c r="U1662" s="15" t="str">
        <f t="shared" si="6"/>
        <v>T3-M7-H4-FC-3-VERIFY</v>
      </c>
      <c r="V1662" s="15">
        <f t="shared" si="7"/>
        <v>0</v>
      </c>
      <c r="W1662" s="31"/>
      <c r="X1662" s="15" t="str">
        <f t="shared" si="8"/>
        <v>toledo-spain</v>
      </c>
      <c r="Y1662" s="32" t="str">
        <f t="shared" si="9"/>
        <v>https://steelmanufacturer.in/market-area/electropolished-pipes-manufacturer-in-toledo-spain/</v>
      </c>
      <c r="Z1662" s="15" t="str">
        <f t="shared" si="10"/>
        <v>Electropolished Pipes Manufacturer in Toledo, Spain</v>
      </c>
      <c r="AA1662" s="15" t="str">
        <f t="shared" si="11"/>
        <v>OK (51)</v>
      </c>
      <c r="AB1662" s="15" t="str">
        <f t="shared" si="12"/>
        <v>Electropolished pipes in Toledo, Spain: 304, 304L, 316 and 316L in SF1-SF4. 19-25 days sea from Nhava Sheva to Valencia. Mill certified.</v>
      </c>
      <c r="AC1662" s="15" t="str">
        <f t="shared" si="13"/>
        <v>PENDING RESEARCH</v>
      </c>
      <c r="AD1662" s="15" t="str">
        <f t="shared" si="14"/>
        <v>Electropolished Pipes Manufacturer in Toledo, Spain</v>
      </c>
      <c r="AE1662" s="15" t="str">
        <f t="shared" si="15"/>
        <v>Manufacturing Electropolished SS Tube for Toledo, Spain: The Standards We Build To</v>
      </c>
      <c r="AF1662" s="15" t="str">
        <f t="shared" si="16"/>
        <v>Electropolished Pipe Supply Into Toledo, Spain - Certification &amp; Transit</v>
      </c>
      <c r="AG1662" s="15" t="str">
        <f t="shared" si="17"/>
        <v>Electropolished Pipes Wholesaler in Toledo, Spain - Project Quantities &amp; Terms</v>
      </c>
      <c r="AH1662" s="15" t="str">
        <f t="shared" si="18"/>
        <v>electropolished pipes manufacturer in Toledo, electropolished pipes supplier in Toledo, electropolished pipes wholesaler in Toledo, electropolished tube manufacturer Toledo, EP pipe supplier Toledo, sanitary tube supplier Toledo, ASME BPE tubing Toledo, ASTM A270 tube Toledo, SS 316L electropolished pipe Toledo</v>
      </c>
      <c r="AI1662" s="15" t="str">
        <f t="shared" si="19"/>
        <v>Electropolished Pipes Manufacturer &amp; Supplier in Toledo, Spain</v>
      </c>
      <c r="AJ1662" s="15" t="str">
        <f t="shared" si="20"/>
        <v>EP-finished SS 304/316L pipes and tubes for VERIFY plants in Toledo, Spain. ASME BPE SF1-SF4, Ra from 0.25 um, EN 10204 3.1 certificate with every lot.</v>
      </c>
      <c r="AK1662" s="15" t="str">
        <f t="shared" si="21"/>
        <v>Electropolished stainless steel pipes supplied by Sakshi Forge to VERIFY plants at VERIFY, Toledo, Spain</v>
      </c>
      <c r="AL1662" s="15" t="str">
        <f t="shared" si="22"/>
        <v>Electropolished SS 316L tube stock for Toledo, Spain - Sakshi Forge</v>
      </c>
      <c r="AM1662" s="15" t="str">
        <f t="shared" si="23"/>
        <v>Home &gt; Market Area &gt; Spain &gt; VERIFY &gt; Toledo</v>
      </c>
      <c r="AN1662" s="15">
        <f t="shared" si="24"/>
        <v>750</v>
      </c>
      <c r="AO1662" s="15">
        <f t="shared" si="25"/>
        <v>6</v>
      </c>
      <c r="AP1662" s="15">
        <f t="shared" si="26"/>
        <v>6</v>
      </c>
      <c r="AQ1662" s="15">
        <f t="shared" si="27"/>
        <v>28</v>
      </c>
      <c r="AR1662" s="31"/>
      <c r="AS1662" s="31"/>
      <c r="AT1662" s="35" t="s">
        <v>222</v>
      </c>
      <c r="AU1662" s="35"/>
    </row>
    <row r="1663" ht="15.75" customHeight="1">
      <c r="A1663" s="15" t="s">
        <v>7620</v>
      </c>
      <c r="B1663" s="15" t="s">
        <v>380</v>
      </c>
      <c r="C1663" s="15" t="s">
        <v>98</v>
      </c>
      <c r="D1663" s="15" t="s">
        <v>7621</v>
      </c>
      <c r="E1663" s="15" t="s">
        <v>7621</v>
      </c>
      <c r="F1663" s="58" t="s">
        <v>807</v>
      </c>
      <c r="G1663" s="66" t="s">
        <v>98</v>
      </c>
      <c r="H1663" s="18" t="s">
        <v>98</v>
      </c>
      <c r="I1663" s="18" t="s">
        <v>98</v>
      </c>
      <c r="J1663" s="18" t="s">
        <v>98</v>
      </c>
      <c r="K1663" s="18" t="s">
        <v>98</v>
      </c>
      <c r="L1663" s="18" t="s">
        <v>98</v>
      </c>
      <c r="M1663" s="18" t="s">
        <v>596</v>
      </c>
      <c r="N1663" s="18" t="s">
        <v>402</v>
      </c>
      <c r="O1663" s="18" t="s">
        <v>98</v>
      </c>
      <c r="P1663" s="15" t="str">
        <f t="shared" si="1"/>
        <v>VERIFY</v>
      </c>
      <c r="Q1663" s="15">
        <f t="shared" si="2"/>
        <v>4</v>
      </c>
      <c r="R1663" s="15">
        <f t="shared" si="3"/>
        <v>1</v>
      </c>
      <c r="S1663" s="15">
        <f t="shared" si="4"/>
        <v>5</v>
      </c>
      <c r="T1663" s="15" t="str">
        <f t="shared" si="5"/>
        <v>C-4</v>
      </c>
      <c r="U1663" s="15" t="str">
        <f t="shared" si="6"/>
        <v>T4-M1-H5-FC-4-VERIFY</v>
      </c>
      <c r="V1663" s="15">
        <f t="shared" si="7"/>
        <v>0</v>
      </c>
      <c r="W1663" s="31"/>
      <c r="X1663" s="15" t="str">
        <f t="shared" si="8"/>
        <v>torrejon-spain</v>
      </c>
      <c r="Y1663" s="32" t="str">
        <f t="shared" si="9"/>
        <v>https://steelmanufacturer.in/market-area/electropolished-pipes-manufacturer-in-torrejon-spain/</v>
      </c>
      <c r="Z1663" s="15" t="str">
        <f t="shared" si="10"/>
        <v>Electropolished Pipes Manufacturer in Torrejon</v>
      </c>
      <c r="AA1663" s="15" t="str">
        <f t="shared" si="11"/>
        <v>OK (46)</v>
      </c>
      <c r="AB1663" s="15" t="str">
        <f t="shared" si="12"/>
        <v>EP-finished SS 304/316L pipes &amp; tubes for VERIFY plants in Torrejon. ASTM A270, ASME BPE SF1-SF4, EN 10204 3.1 MTC. PMI tested.</v>
      </c>
      <c r="AC1663" s="15" t="str">
        <f t="shared" si="13"/>
        <v>PENDING RESEARCH</v>
      </c>
      <c r="AD1663" s="15" t="str">
        <f t="shared" si="14"/>
        <v>Electropolished Pipes Manufacturer in Torrejon</v>
      </c>
      <c r="AE1663" s="15" t="str">
        <f t="shared" si="15"/>
        <v>Electropolished Tube Manufacturing Capability Serving Torrejon</v>
      </c>
      <c r="AF1663" s="15" t="str">
        <f t="shared" si="16"/>
        <v>Electropolished Pipes Supplier in Torrejon - From Order to Delivery</v>
      </c>
      <c r="AG1663" s="15" t="str">
        <f t="shared" si="17"/>
        <v>Stockist &amp; Wholesale Supply of Electropolished Pipes in Torrejon</v>
      </c>
      <c r="AH1663" s="15" t="str">
        <f t="shared" si="18"/>
        <v>electropolished pipes manufacturer in Torrejon, electropolished pipes supplier in Torrejon, electropolished pipes wholesaler in Torrejon, electropolished tube manufacturer Torrejon, EP pipe supplier Torrejon, sanitary tube supplier Torrejon, ASME BPE tubing Torrejon, ASTM A270 tube Torrejon, SS 316L electropolished pipe Torrejon</v>
      </c>
      <c r="AI1663" s="15" t="str">
        <f t="shared" si="19"/>
        <v>Electropolished Pipes Manufacturer &amp; Supplier in Torrejon</v>
      </c>
      <c r="AJ1663" s="15" t="str">
        <f t="shared" si="20"/>
        <v>EP-finished SS 304/316L pipes and tubes for VERIFY plants in Torrejon. ASME BPE SF1-SF4, Ra from 0.25 um, EN 10204 3.1 certificate with every lot.</v>
      </c>
      <c r="AK1663" s="15" t="str">
        <f t="shared" si="21"/>
        <v>Electropolished stainless steel pipes supplied by Sakshi Forge to VERIFY plants at VERIFY, Torrejon</v>
      </c>
      <c r="AL1663" s="15" t="str">
        <f t="shared" si="22"/>
        <v>Electropolished SS 316L tube stock for Torrejon - Sakshi Forge</v>
      </c>
      <c r="AM1663" s="15" t="str">
        <f t="shared" si="23"/>
        <v>Home &gt; Market Area &gt; Spain &gt; VERIFY &gt; Torrejon</v>
      </c>
      <c r="AN1663" s="15">
        <f t="shared" si="24"/>
        <v>750</v>
      </c>
      <c r="AO1663" s="15">
        <f t="shared" si="25"/>
        <v>6</v>
      </c>
      <c r="AP1663" s="15">
        <f t="shared" si="26"/>
        <v>6</v>
      </c>
      <c r="AQ1663" s="15">
        <f t="shared" si="27"/>
        <v>28</v>
      </c>
      <c r="AR1663" s="31"/>
      <c r="AS1663" s="31"/>
      <c r="AT1663" s="35" t="s">
        <v>222</v>
      </c>
      <c r="AU1663" s="35"/>
    </row>
    <row r="1664" ht="15.75" customHeight="1">
      <c r="A1664" s="15" t="s">
        <v>7623</v>
      </c>
      <c r="B1664" s="15" t="s">
        <v>380</v>
      </c>
      <c r="C1664" s="15" t="s">
        <v>98</v>
      </c>
      <c r="D1664" s="15" t="s">
        <v>7626</v>
      </c>
      <c r="E1664" s="15" t="s">
        <v>7626</v>
      </c>
      <c r="F1664" s="58" t="s">
        <v>807</v>
      </c>
      <c r="G1664" s="66" t="s">
        <v>98</v>
      </c>
      <c r="H1664" s="18" t="s">
        <v>98</v>
      </c>
      <c r="I1664" s="18" t="s">
        <v>98</v>
      </c>
      <c r="J1664" s="18" t="s">
        <v>98</v>
      </c>
      <c r="K1664" s="18" t="s">
        <v>98</v>
      </c>
      <c r="L1664" s="18" t="s">
        <v>98</v>
      </c>
      <c r="M1664" s="18" t="s">
        <v>596</v>
      </c>
      <c r="N1664" s="18" t="s">
        <v>402</v>
      </c>
      <c r="O1664" s="18" t="s">
        <v>98</v>
      </c>
      <c r="P1664" s="15" t="str">
        <f t="shared" si="1"/>
        <v>VERIFY</v>
      </c>
      <c r="Q1664" s="15">
        <f t="shared" si="2"/>
        <v>5</v>
      </c>
      <c r="R1664" s="15">
        <f t="shared" si="3"/>
        <v>2</v>
      </c>
      <c r="S1664" s="15">
        <f t="shared" si="4"/>
        <v>1</v>
      </c>
      <c r="T1664" s="15" t="str">
        <f t="shared" si="5"/>
        <v>C-5</v>
      </c>
      <c r="U1664" s="15" t="str">
        <f t="shared" si="6"/>
        <v>T5-M2-H1-FC-5-VERIFY</v>
      </c>
      <c r="V1664" s="15">
        <f t="shared" si="7"/>
        <v>0</v>
      </c>
      <c r="W1664" s="31"/>
      <c r="X1664" s="15" t="str">
        <f t="shared" si="8"/>
        <v>torrelavega-spain</v>
      </c>
      <c r="Y1664" s="32" t="str">
        <f t="shared" si="9"/>
        <v>https://steelmanufacturer.in/market-area/electropolished-pipes-manufacturer-in-torrelavega-spain/</v>
      </c>
      <c r="Z1664" s="15" t="str">
        <f t="shared" si="10"/>
        <v>Electropolished Pipes Manufacturer in Torrelavega</v>
      </c>
      <c r="AA1664" s="15" t="str">
        <f t="shared" si="11"/>
        <v>OK (49)</v>
      </c>
      <c r="AB1664" s="15" t="str">
        <f t="shared" si="12"/>
        <v>Electropolished tube supply to VERIFY, Torrelavega. Ra from 0.25 um, SF4 finish, mill test certificate with every lot.</v>
      </c>
      <c r="AC1664" s="15" t="str">
        <f t="shared" si="13"/>
        <v>PENDING RESEARCH</v>
      </c>
      <c r="AD1664" s="15" t="str">
        <f t="shared" si="14"/>
        <v>Electropolished Pipes Manufacturer in Torrelavega</v>
      </c>
      <c r="AE1664" s="15" t="str">
        <f t="shared" si="15"/>
        <v>Electropolished Pipe &amp; Tube Manufacturing for Torrelavega - Grades, Finishes &amp; Certification</v>
      </c>
      <c r="AF1664" s="15" t="str">
        <f t="shared" si="16"/>
        <v>Electropolished Pipes Supplier in Torrelavega - Stock Sizes, Lead Time &amp; Delivery</v>
      </c>
      <c r="AG1664" s="15" t="str">
        <f t="shared" si="17"/>
        <v>Electropolished Pipes Wholesaler &amp; Stockist in Torrelavega - Bulk &amp; Project Pricing</v>
      </c>
      <c r="AH1664" s="15" t="str">
        <f t="shared" si="18"/>
        <v>electropolished pipes manufacturer in Torrelavega, electropolished pipes supplier in Torrelavega, electropolished pipes wholesaler in Torrelavega, electropolished tube manufacturer Torrelavega, EP pipe supplier Torrelavega, sanitary tube supplier Torrelavega, ASME BPE tubing Torrelavega, ASTM A270 tube Torrelavega, SS 316L electropolished pipe Torrelavega</v>
      </c>
      <c r="AI1664" s="15" t="str">
        <f t="shared" si="19"/>
        <v>Electropolished Pipes Manufacturer &amp; Supplier in Torrelavega</v>
      </c>
      <c r="AJ1664" s="15" t="str">
        <f t="shared" si="20"/>
        <v>EP-finished SS 304/316L pipes and tubes for VERIFY plants in Torrelavega. ASME BPE SF1-SF4, Ra from 0.25 um, EN 10204 3.1 certificate with every lot.</v>
      </c>
      <c r="AK1664" s="15" t="str">
        <f t="shared" si="21"/>
        <v>Electropolished stainless steel pipes supplied by Sakshi Forge to VERIFY plants at VERIFY, Torrelavega</v>
      </c>
      <c r="AL1664" s="15" t="str">
        <f t="shared" si="22"/>
        <v>Electropolished SS 316L tube stock for Torrelavega - Sakshi Forge</v>
      </c>
      <c r="AM1664" s="15" t="str">
        <f t="shared" si="23"/>
        <v>Home &gt; Market Area &gt; Spain &gt; VERIFY &gt; Torrelavega</v>
      </c>
      <c r="AN1664" s="15">
        <f t="shared" si="24"/>
        <v>750</v>
      </c>
      <c r="AO1664" s="15">
        <f t="shared" si="25"/>
        <v>6</v>
      </c>
      <c r="AP1664" s="15">
        <f t="shared" si="26"/>
        <v>6</v>
      </c>
      <c r="AQ1664" s="15">
        <f t="shared" si="27"/>
        <v>28</v>
      </c>
      <c r="AR1664" s="31"/>
      <c r="AS1664" s="31"/>
      <c r="AT1664" s="35" t="s">
        <v>222</v>
      </c>
      <c r="AU1664" s="35"/>
    </row>
    <row r="1665" ht="15.75" customHeight="1">
      <c r="A1665" s="15" t="s">
        <v>7630</v>
      </c>
      <c r="B1665" s="15" t="s">
        <v>380</v>
      </c>
      <c r="C1665" s="15" t="s">
        <v>98</v>
      </c>
      <c r="D1665" s="15" t="s">
        <v>7631</v>
      </c>
      <c r="E1665" s="15" t="s">
        <v>7631</v>
      </c>
      <c r="F1665" s="58" t="s">
        <v>807</v>
      </c>
      <c r="G1665" s="66" t="s">
        <v>98</v>
      </c>
      <c r="H1665" s="18" t="s">
        <v>98</v>
      </c>
      <c r="I1665" s="18" t="s">
        <v>98</v>
      </c>
      <c r="J1665" s="18" t="s">
        <v>98</v>
      </c>
      <c r="K1665" s="18" t="s">
        <v>98</v>
      </c>
      <c r="L1665" s="18" t="s">
        <v>98</v>
      </c>
      <c r="M1665" s="18" t="s">
        <v>596</v>
      </c>
      <c r="N1665" s="18" t="s">
        <v>402</v>
      </c>
      <c r="O1665" s="18" t="s">
        <v>98</v>
      </c>
      <c r="P1665" s="15" t="str">
        <f t="shared" si="1"/>
        <v>VERIFY</v>
      </c>
      <c r="Q1665" s="15">
        <f t="shared" si="2"/>
        <v>6</v>
      </c>
      <c r="R1665" s="15">
        <f t="shared" si="3"/>
        <v>3</v>
      </c>
      <c r="S1665" s="15">
        <f t="shared" si="4"/>
        <v>2</v>
      </c>
      <c r="T1665" s="15" t="str">
        <f t="shared" si="5"/>
        <v>C-6</v>
      </c>
      <c r="U1665" s="15" t="str">
        <f t="shared" si="6"/>
        <v>T6-M3-H2-FC-6-VERIFY</v>
      </c>
      <c r="V1665" s="15">
        <f t="shared" si="7"/>
        <v>0</v>
      </c>
      <c r="W1665" s="31"/>
      <c r="X1665" s="15" t="str">
        <f t="shared" si="8"/>
        <v>ubeda-spain</v>
      </c>
      <c r="Y1665" s="32" t="str">
        <f t="shared" si="9"/>
        <v>https://steelmanufacturer.in/market-area/electropolished-pipes-manufacturer-in-ubeda-spain/</v>
      </c>
      <c r="Z1665" s="15" t="str">
        <f t="shared" si="10"/>
        <v>Electropolished Pipes Manufacturer in Ubeda</v>
      </c>
      <c r="AA1665" s="15" t="str">
        <f t="shared" si="11"/>
        <v>OK (43)</v>
      </c>
      <c r="AB1665" s="15" t="str">
        <f t="shared" si="12"/>
        <v>EP stainless tube for VERIFY lines in Ubeda. 19-25 days sea from Nhava Sheva to Valencia. ASTM A270 S2, PMI tested, EN 10204 3.1.</v>
      </c>
      <c r="AC1665" s="15" t="str">
        <f t="shared" si="13"/>
        <v>PENDING RESEARCH</v>
      </c>
      <c r="AD1665" s="15" t="str">
        <f t="shared" si="14"/>
        <v>Electropolished Pipes Manufacturer in Ubeda</v>
      </c>
      <c r="AE1665" s="15" t="str">
        <f t="shared" si="15"/>
        <v>How We Manufacture Electropolished Tube for Ubeda Plants</v>
      </c>
      <c r="AF1665" s="15" t="str">
        <f t="shared" si="16"/>
        <v>Supplying Electropolished Pipes in Ubeda: Availability, Sizes &amp; Dispatch</v>
      </c>
      <c r="AG1665" s="15" t="str">
        <f t="shared" si="17"/>
        <v>Wholesale Electropolished Pipe Supply for Ubeda Projects</v>
      </c>
      <c r="AH1665" s="15" t="str">
        <f t="shared" si="18"/>
        <v>electropolished pipes manufacturer in Ubeda, electropolished pipes supplier in Ubeda, electropolished pipes wholesaler in Ubeda, electropolished tube manufacturer Ubeda, EP pipe supplier Ubeda, sanitary tube supplier Ubeda, ASME BPE tubing Ubeda, ASTM A270 tube Ubeda, SS 316L electropolished pipe Ubeda</v>
      </c>
      <c r="AI1665" s="15" t="str">
        <f t="shared" si="19"/>
        <v>Electropolished Pipes Manufacturer &amp; Supplier in Ubeda</v>
      </c>
      <c r="AJ1665" s="15" t="str">
        <f t="shared" si="20"/>
        <v>EP-finished SS 304/316L pipes and tubes for VERIFY plants in Ubeda. ASME BPE SF1-SF4, Ra from 0.25 um, EN 10204 3.1 certificate with every lot.</v>
      </c>
      <c r="AK1665" s="15" t="str">
        <f t="shared" si="21"/>
        <v>Electropolished stainless steel pipes supplied by Sakshi Forge to VERIFY plants at VERIFY, Ubeda</v>
      </c>
      <c r="AL1665" s="15" t="str">
        <f t="shared" si="22"/>
        <v>Electropolished SS 316L tube stock for Ubeda - Sakshi Forge</v>
      </c>
      <c r="AM1665" s="15" t="str">
        <f t="shared" si="23"/>
        <v>Home &gt; Market Area &gt; Spain &gt; VERIFY &gt; Ubeda</v>
      </c>
      <c r="AN1665" s="15">
        <f t="shared" si="24"/>
        <v>750</v>
      </c>
      <c r="AO1665" s="15">
        <f t="shared" si="25"/>
        <v>6</v>
      </c>
      <c r="AP1665" s="15">
        <f t="shared" si="26"/>
        <v>6</v>
      </c>
      <c r="AQ1665" s="15">
        <f t="shared" si="27"/>
        <v>28</v>
      </c>
      <c r="AR1665" s="31"/>
      <c r="AS1665" s="31"/>
      <c r="AT1665" s="35" t="s">
        <v>222</v>
      </c>
      <c r="AU1665" s="35"/>
    </row>
    <row r="1666" ht="15.75" customHeight="1">
      <c r="A1666" s="15" t="s">
        <v>7632</v>
      </c>
      <c r="B1666" s="15" t="s">
        <v>380</v>
      </c>
      <c r="C1666" s="15" t="s">
        <v>98</v>
      </c>
      <c r="D1666" s="15" t="s">
        <v>7633</v>
      </c>
      <c r="E1666" s="15" t="s">
        <v>7633</v>
      </c>
      <c r="F1666" s="58" t="s">
        <v>807</v>
      </c>
      <c r="G1666" s="66" t="s">
        <v>98</v>
      </c>
      <c r="H1666" s="18" t="s">
        <v>98</v>
      </c>
      <c r="I1666" s="18" t="s">
        <v>98</v>
      </c>
      <c r="J1666" s="18" t="s">
        <v>98</v>
      </c>
      <c r="K1666" s="18" t="s">
        <v>98</v>
      </c>
      <c r="L1666" s="18" t="s">
        <v>98</v>
      </c>
      <c r="M1666" s="18" t="s">
        <v>596</v>
      </c>
      <c r="N1666" s="18" t="s">
        <v>402</v>
      </c>
      <c r="O1666" s="18" t="s">
        <v>98</v>
      </c>
      <c r="P1666" s="15" t="str">
        <f t="shared" si="1"/>
        <v>VERIFY</v>
      </c>
      <c r="Q1666" s="15">
        <f t="shared" si="2"/>
        <v>7</v>
      </c>
      <c r="R1666" s="15">
        <f t="shared" si="3"/>
        <v>4</v>
      </c>
      <c r="S1666" s="15">
        <f t="shared" si="4"/>
        <v>3</v>
      </c>
      <c r="T1666" s="15" t="str">
        <f t="shared" si="5"/>
        <v>C-1</v>
      </c>
      <c r="U1666" s="15" t="str">
        <f t="shared" si="6"/>
        <v>T7-M4-H3-FC-1-VERIFY</v>
      </c>
      <c r="V1666" s="15">
        <f t="shared" si="7"/>
        <v>0</v>
      </c>
      <c r="W1666" s="31"/>
      <c r="X1666" s="15" t="str">
        <f t="shared" si="8"/>
        <v>valdemoro-spain</v>
      </c>
      <c r="Y1666" s="32" t="str">
        <f t="shared" si="9"/>
        <v>https://steelmanufacturer.in/market-area/electropolished-pipes-manufacturer-in-valdemoro-spain/</v>
      </c>
      <c r="Z1666" s="15" t="str">
        <f t="shared" si="10"/>
        <v>Electropolished Pipes Manufacturer in Valdemoro</v>
      </c>
      <c r="AA1666" s="15" t="str">
        <f t="shared" si="11"/>
        <v>OK (47)</v>
      </c>
      <c r="AB1666" s="15" t="str">
        <f t="shared" si="12"/>
        <v>Sanitary electropolished pipes in Valdemoro for VERIFY plants. ASME BPE SF1-SF4, orbital-weld ready, 3.1 MTC. Mumbai-made.</v>
      </c>
      <c r="AC1666" s="15" t="str">
        <f t="shared" si="13"/>
        <v>PENDING RESEARCH</v>
      </c>
      <c r="AD1666" s="15" t="str">
        <f t="shared" si="14"/>
        <v>Electropolished Pipes Manufacturer in Valdemoro</v>
      </c>
      <c r="AE1666" s="15" t="str">
        <f t="shared" si="15"/>
        <v>Electropolished Pipes Manufacturer in Valdemoro - Our Process &amp; Capability</v>
      </c>
      <c r="AF1666" s="15" t="str">
        <f t="shared" si="16"/>
        <v>Electropolished Pipes Supplier in Valdemoro - What We Hold in Stock</v>
      </c>
      <c r="AG1666" s="15" t="str">
        <f t="shared" si="17"/>
        <v>Bulk &amp; Wholesale Electropolished Pipe Rates for Valdemoro Buyers</v>
      </c>
      <c r="AH1666" s="15" t="str">
        <f t="shared" si="18"/>
        <v>electropolished pipes manufacturer in Valdemoro, electropolished pipes supplier in Valdemoro, electropolished pipes wholesaler in Valdemoro, electropolished tube manufacturer Valdemoro, EP pipe supplier Valdemoro, sanitary tube supplier Valdemoro, ASME BPE tubing Valdemoro, ASTM A270 tube Valdemoro, SS 316L electropolished pipe Valdemoro</v>
      </c>
      <c r="AI1666" s="15" t="str">
        <f t="shared" si="19"/>
        <v>Electropolished Pipes Manufacturer &amp; Supplier in Valdemoro</v>
      </c>
      <c r="AJ1666" s="15" t="str">
        <f t="shared" si="20"/>
        <v>EP-finished SS 304/316L pipes and tubes for VERIFY plants in Valdemoro. ASME BPE SF1-SF4, Ra from 0.25 um, EN 10204 3.1 certificate with every lot.</v>
      </c>
      <c r="AK1666" s="15" t="str">
        <f t="shared" si="21"/>
        <v>Electropolished stainless steel pipes supplied by Sakshi Forge to VERIFY plants at VERIFY, Valdemoro</v>
      </c>
      <c r="AL1666" s="15" t="str">
        <f t="shared" si="22"/>
        <v>Electropolished SS 316L tube stock for Valdemoro - Sakshi Forge</v>
      </c>
      <c r="AM1666" s="15" t="str">
        <f t="shared" si="23"/>
        <v>Home &gt; Market Area &gt; Spain &gt; VERIFY &gt; Valdemoro</v>
      </c>
      <c r="AN1666" s="15">
        <f t="shared" si="24"/>
        <v>750</v>
      </c>
      <c r="AO1666" s="15">
        <f t="shared" si="25"/>
        <v>6</v>
      </c>
      <c r="AP1666" s="15">
        <f t="shared" si="26"/>
        <v>6</v>
      </c>
      <c r="AQ1666" s="15">
        <f t="shared" si="27"/>
        <v>28</v>
      </c>
      <c r="AR1666" s="31"/>
      <c r="AS1666" s="31"/>
      <c r="AT1666" s="35" t="s">
        <v>222</v>
      </c>
      <c r="AU1666" s="35"/>
    </row>
    <row r="1667" ht="15.75" customHeight="1">
      <c r="A1667" s="15" t="s">
        <v>7634</v>
      </c>
      <c r="B1667" s="15" t="s">
        <v>380</v>
      </c>
      <c r="C1667" s="15" t="s">
        <v>98</v>
      </c>
      <c r="D1667" s="15" t="s">
        <v>7635</v>
      </c>
      <c r="E1667" s="15" t="s">
        <v>7635</v>
      </c>
      <c r="F1667" s="58" t="s">
        <v>807</v>
      </c>
      <c r="G1667" s="66" t="s">
        <v>98</v>
      </c>
      <c r="H1667" s="18" t="s">
        <v>98</v>
      </c>
      <c r="I1667" s="18" t="s">
        <v>98</v>
      </c>
      <c r="J1667" s="18" t="s">
        <v>98</v>
      </c>
      <c r="K1667" s="18" t="s">
        <v>98</v>
      </c>
      <c r="L1667" s="18" t="s">
        <v>98</v>
      </c>
      <c r="M1667" s="18" t="s">
        <v>596</v>
      </c>
      <c r="N1667" s="18" t="s">
        <v>402</v>
      </c>
      <c r="O1667" s="18" t="s">
        <v>98</v>
      </c>
      <c r="P1667" s="15" t="str">
        <f t="shared" si="1"/>
        <v>VERIFY</v>
      </c>
      <c r="Q1667" s="15">
        <f t="shared" si="2"/>
        <v>8</v>
      </c>
      <c r="R1667" s="15">
        <f t="shared" si="3"/>
        <v>5</v>
      </c>
      <c r="S1667" s="15">
        <f t="shared" si="4"/>
        <v>4</v>
      </c>
      <c r="T1667" s="15" t="str">
        <f t="shared" si="5"/>
        <v>C-2</v>
      </c>
      <c r="U1667" s="15" t="str">
        <f t="shared" si="6"/>
        <v>T8-M5-H4-FC-2-VERIFY</v>
      </c>
      <c r="V1667" s="15">
        <f t="shared" si="7"/>
        <v>0</v>
      </c>
      <c r="W1667" s="31"/>
      <c r="X1667" s="15" t="str">
        <f t="shared" si="8"/>
        <v>vic-spain</v>
      </c>
      <c r="Y1667" s="32" t="str">
        <f t="shared" si="9"/>
        <v>https://steelmanufacturer.in/market-area/electropolished-pipes-manufacturer-in-vic-spain/</v>
      </c>
      <c r="Z1667" s="15" t="str">
        <f t="shared" si="10"/>
        <v>Electropolished Pipes Manufacturer in Vic - EP Tube Stockist</v>
      </c>
      <c r="AA1667" s="15" t="str">
        <f t="shared" si="11"/>
        <v>OK (60)</v>
      </c>
      <c r="AB1667" s="15" t="str">
        <f t="shared" si="12"/>
        <v>Manufacturer of electropolished SS 316L tube serving Vic. 19-25 days sea from Nhava Sheva to Valencia. Ra 0.25-0.5 um, EN 10204 3.1 MTC.</v>
      </c>
      <c r="AC1667" s="15" t="str">
        <f t="shared" si="13"/>
        <v>PENDING RESEARCH</v>
      </c>
      <c r="AD1667" s="15" t="str">
        <f t="shared" si="14"/>
        <v>Electropolished Pipes Manufacturer in Vic</v>
      </c>
      <c r="AE1667" s="15" t="str">
        <f t="shared" si="15"/>
        <v>Manufacturing Electropolished SS Tube for Vic: The Standards We Build To</v>
      </c>
      <c r="AF1667" s="15" t="str">
        <f t="shared" si="16"/>
        <v>Electropolished Pipe Supply Into Vic - Certification &amp; Transit</v>
      </c>
      <c r="AG1667" s="15" t="str">
        <f t="shared" si="17"/>
        <v>Electropolished Pipes Wholesaler in Vic - Project Quantities &amp; Terms</v>
      </c>
      <c r="AH1667" s="15" t="str">
        <f t="shared" si="18"/>
        <v>electropolished pipes manufacturer in Vic, electropolished pipes supplier in Vic, electropolished pipes wholesaler in Vic, electropolished tube manufacturer Vic, EP pipe supplier Vic, sanitary tube supplier Vic, ASME BPE tubing Vic, ASTM A270 tube Vic, SS 316L electropolished pipe Vic</v>
      </c>
      <c r="AI1667" s="15" t="str">
        <f t="shared" si="19"/>
        <v>Electropolished Pipes Manufacturer &amp; Supplier in Vic</v>
      </c>
      <c r="AJ1667" s="15" t="str">
        <f t="shared" si="20"/>
        <v>EP-finished SS 304/316L pipes and tubes for VERIFY plants in Vic. ASME BPE SF1-SF4, Ra from 0.25 um, EN 10204 3.1 certificate with every lot.</v>
      </c>
      <c r="AK1667" s="15" t="str">
        <f t="shared" si="21"/>
        <v>Electropolished stainless steel pipes supplied by Sakshi Forge to VERIFY plants at VERIFY, Vic</v>
      </c>
      <c r="AL1667" s="15" t="str">
        <f t="shared" si="22"/>
        <v>Electropolished SS 316L tube stock for Vic - Sakshi Forge</v>
      </c>
      <c r="AM1667" s="15" t="str">
        <f t="shared" si="23"/>
        <v>Home &gt; Market Area &gt; Spain &gt; VERIFY &gt; Vic</v>
      </c>
      <c r="AN1667" s="15">
        <f t="shared" si="24"/>
        <v>750</v>
      </c>
      <c r="AO1667" s="15">
        <f t="shared" si="25"/>
        <v>6</v>
      </c>
      <c r="AP1667" s="15">
        <f t="shared" si="26"/>
        <v>6</v>
      </c>
      <c r="AQ1667" s="15">
        <f t="shared" si="27"/>
        <v>28</v>
      </c>
      <c r="AR1667" s="31"/>
      <c r="AS1667" s="31"/>
      <c r="AT1667" s="35" t="s">
        <v>222</v>
      </c>
      <c r="AU1667" s="35"/>
    </row>
    <row r="1668" ht="15.75" customHeight="1">
      <c r="A1668" s="15" t="s">
        <v>7636</v>
      </c>
      <c r="B1668" s="15" t="s">
        <v>380</v>
      </c>
      <c r="C1668" s="15" t="s">
        <v>98</v>
      </c>
      <c r="D1668" s="15" t="s">
        <v>7637</v>
      </c>
      <c r="E1668" s="15" t="s">
        <v>7637</v>
      </c>
      <c r="F1668" s="58" t="s">
        <v>807</v>
      </c>
      <c r="G1668" s="66" t="s">
        <v>98</v>
      </c>
      <c r="H1668" s="18" t="s">
        <v>98</v>
      </c>
      <c r="I1668" s="18" t="s">
        <v>98</v>
      </c>
      <c r="J1668" s="18" t="s">
        <v>98</v>
      </c>
      <c r="K1668" s="18" t="s">
        <v>98</v>
      </c>
      <c r="L1668" s="18" t="s">
        <v>98</v>
      </c>
      <c r="M1668" s="18" t="s">
        <v>596</v>
      </c>
      <c r="N1668" s="18" t="s">
        <v>402</v>
      </c>
      <c r="O1668" s="18" t="s">
        <v>98</v>
      </c>
      <c r="P1668" s="15" t="str">
        <f t="shared" si="1"/>
        <v>VERIFY</v>
      </c>
      <c r="Q1668" s="15">
        <f t="shared" si="2"/>
        <v>1</v>
      </c>
      <c r="R1668" s="15">
        <f t="shared" si="3"/>
        <v>6</v>
      </c>
      <c r="S1668" s="15">
        <f t="shared" si="4"/>
        <v>5</v>
      </c>
      <c r="T1668" s="15" t="str">
        <f t="shared" si="5"/>
        <v>C-3</v>
      </c>
      <c r="U1668" s="15" t="str">
        <f t="shared" si="6"/>
        <v>T1-M6-H5-FC-3-VERIFY</v>
      </c>
      <c r="V1668" s="15">
        <f t="shared" si="7"/>
        <v>0</v>
      </c>
      <c r="W1668" s="31"/>
      <c r="X1668" s="15" t="str">
        <f t="shared" si="8"/>
        <v>yecla-spain</v>
      </c>
      <c r="Y1668" s="32" t="str">
        <f t="shared" si="9"/>
        <v>https://steelmanufacturer.in/market-area/electropolished-pipes-manufacturer-in-yecla-spain/</v>
      </c>
      <c r="Z1668" s="15" t="str">
        <f t="shared" si="10"/>
        <v>Electropolished Pipes Manufacturer in Yecla | Sakshi Forge</v>
      </c>
      <c r="AA1668" s="15" t="str">
        <f t="shared" si="11"/>
        <v>OK (58)</v>
      </c>
      <c r="AB1668" s="15" t="str">
        <f t="shared" si="12"/>
        <v>EP tube and pipe for VERIFY plants around VERIFY, Yecla. Made at our Mumbai works to ASTM A270 and ASME BPE SF1-SF4, with 3.1 MTC.</v>
      </c>
      <c r="AC1668" s="15" t="str">
        <f t="shared" si="13"/>
        <v>PENDING RESEARCH</v>
      </c>
      <c r="AD1668" s="15" t="str">
        <f t="shared" si="14"/>
        <v>Electropolished Pipes Manufacturer in Yecla</v>
      </c>
      <c r="AE1668" s="15" t="str">
        <f t="shared" si="15"/>
        <v>Electropolished Tube Manufacturing Capability Serving Yecla</v>
      </c>
      <c r="AF1668" s="15" t="str">
        <f t="shared" si="16"/>
        <v>Electropolished Pipes Supplier in Yecla - From Order to Delivery</v>
      </c>
      <c r="AG1668" s="15" t="str">
        <f t="shared" si="17"/>
        <v>Stockist &amp; Wholesale Supply of Electropolished Pipes in Yecla</v>
      </c>
      <c r="AH1668" s="15" t="str">
        <f t="shared" si="18"/>
        <v>electropolished pipes manufacturer in Yecla, electropolished pipes supplier in Yecla, electropolished pipes wholesaler in Yecla, electropolished tube manufacturer Yecla, EP pipe supplier Yecla, sanitary tube supplier Yecla, ASME BPE tubing Yecla, ASTM A270 tube Yecla, SS 316L electropolished pipe Yecla</v>
      </c>
      <c r="AI1668" s="15" t="str">
        <f t="shared" si="19"/>
        <v>Electropolished Pipes Manufacturer &amp; Supplier in Yecla</v>
      </c>
      <c r="AJ1668" s="15" t="str">
        <f t="shared" si="20"/>
        <v>EP-finished SS 304/316L pipes and tubes for VERIFY plants in Yecla. ASME BPE SF1-SF4, Ra from 0.25 um, EN 10204 3.1 certificate with every lot.</v>
      </c>
      <c r="AK1668" s="15" t="str">
        <f t="shared" si="21"/>
        <v>Electropolished stainless steel pipes supplied by Sakshi Forge to VERIFY plants at VERIFY, Yecla</v>
      </c>
      <c r="AL1668" s="15" t="str">
        <f t="shared" si="22"/>
        <v>Electropolished SS 316L tube stock for Yecla - Sakshi Forge</v>
      </c>
      <c r="AM1668" s="15" t="str">
        <f t="shared" si="23"/>
        <v>Home &gt; Market Area &gt; Spain &gt; VERIFY &gt; Yecla</v>
      </c>
      <c r="AN1668" s="15">
        <f t="shared" si="24"/>
        <v>750</v>
      </c>
      <c r="AO1668" s="15">
        <f t="shared" si="25"/>
        <v>6</v>
      </c>
      <c r="AP1668" s="15">
        <f t="shared" si="26"/>
        <v>6</v>
      </c>
      <c r="AQ1668" s="15">
        <f t="shared" si="27"/>
        <v>28</v>
      </c>
      <c r="AR1668" s="31"/>
      <c r="AS1668" s="31"/>
      <c r="AT1668" s="35" t="s">
        <v>222</v>
      </c>
      <c r="AU1668" s="35"/>
    </row>
    <row r="1669" ht="15.75" customHeight="1">
      <c r="A1669" s="15" t="s">
        <v>7638</v>
      </c>
      <c r="B1669" s="15" t="s">
        <v>380</v>
      </c>
      <c r="C1669" s="15" t="s">
        <v>98</v>
      </c>
      <c r="D1669" s="15" t="s">
        <v>7639</v>
      </c>
      <c r="E1669" s="15" t="s">
        <v>7639</v>
      </c>
      <c r="F1669" s="58" t="s">
        <v>807</v>
      </c>
      <c r="G1669" s="66" t="s">
        <v>98</v>
      </c>
      <c r="H1669" s="18" t="s">
        <v>98</v>
      </c>
      <c r="I1669" s="18" t="s">
        <v>98</v>
      </c>
      <c r="J1669" s="18" t="s">
        <v>98</v>
      </c>
      <c r="K1669" s="18" t="s">
        <v>98</v>
      </c>
      <c r="L1669" s="18" t="s">
        <v>98</v>
      </c>
      <c r="M1669" s="18" t="s">
        <v>596</v>
      </c>
      <c r="N1669" s="18" t="s">
        <v>402</v>
      </c>
      <c r="O1669" s="18" t="s">
        <v>98</v>
      </c>
      <c r="P1669" s="15" t="str">
        <f t="shared" si="1"/>
        <v>VERIFY</v>
      </c>
      <c r="Q1669" s="15">
        <f t="shared" si="2"/>
        <v>2</v>
      </c>
      <c r="R1669" s="15">
        <f t="shared" si="3"/>
        <v>7</v>
      </c>
      <c r="S1669" s="15">
        <f t="shared" si="4"/>
        <v>1</v>
      </c>
      <c r="T1669" s="15" t="str">
        <f t="shared" si="5"/>
        <v>C-4</v>
      </c>
      <c r="U1669" s="15" t="str">
        <f t="shared" si="6"/>
        <v>T2-M7-H1-FC-4-VERIFY</v>
      </c>
      <c r="V1669" s="15">
        <f t="shared" si="7"/>
        <v>0</v>
      </c>
      <c r="W1669" s="31"/>
      <c r="X1669" s="15" t="str">
        <f t="shared" si="8"/>
        <v>zamora-spain</v>
      </c>
      <c r="Y1669" s="32" t="str">
        <f t="shared" si="9"/>
        <v>https://steelmanufacturer.in/market-area/electropolished-pipes-manufacturer-in-zamora-spain/</v>
      </c>
      <c r="Z1669" s="15" t="str">
        <f t="shared" si="10"/>
        <v>Electropolished Pipes Manufacturer in Zamora</v>
      </c>
      <c r="AA1669" s="15" t="str">
        <f t="shared" si="11"/>
        <v>OK (44)</v>
      </c>
      <c r="AB1669" s="15" t="str">
        <f t="shared" si="12"/>
        <v>Electropolished pipes in Zamora: 304, 304L, 316 and 316L in SF1-SF4. 19-25 days sea from Nhava Sheva to Valencia. Mill certified.</v>
      </c>
      <c r="AC1669" s="15" t="str">
        <f t="shared" si="13"/>
        <v>PENDING RESEARCH</v>
      </c>
      <c r="AD1669" s="15" t="str">
        <f t="shared" si="14"/>
        <v>Electropolished Pipes Manufacturer in Zamora</v>
      </c>
      <c r="AE1669" s="15" t="str">
        <f t="shared" si="15"/>
        <v>Electropolished Pipe &amp; Tube Manufacturing for Zamora - Grades, Finishes &amp; Certification</v>
      </c>
      <c r="AF1669" s="15" t="str">
        <f t="shared" si="16"/>
        <v>Electropolished Pipes Supplier in Zamora - Stock Sizes, Lead Time &amp; Delivery</v>
      </c>
      <c r="AG1669" s="15" t="str">
        <f t="shared" si="17"/>
        <v>Electropolished Pipes Wholesaler &amp; Stockist in Zamora - Bulk &amp; Project Pricing</v>
      </c>
      <c r="AH1669" s="15" t="str">
        <f t="shared" si="18"/>
        <v>electropolished pipes manufacturer in Zamora, electropolished pipes supplier in Zamora, electropolished pipes wholesaler in Zamora, electropolished tube manufacturer Zamora, EP pipe supplier Zamora, sanitary tube supplier Zamora, ASME BPE tubing Zamora, ASTM A270 tube Zamora, SS 316L electropolished pipe Zamora</v>
      </c>
      <c r="AI1669" s="15" t="str">
        <f t="shared" si="19"/>
        <v>Electropolished Pipes Manufacturer &amp; Supplier in Zamora</v>
      </c>
      <c r="AJ1669" s="15" t="str">
        <f t="shared" si="20"/>
        <v>EP-finished SS 304/316L pipes and tubes for VERIFY plants in Zamora. ASME BPE SF1-SF4, Ra from 0.25 um, EN 10204 3.1 certificate with every lot.</v>
      </c>
      <c r="AK1669" s="15" t="str">
        <f t="shared" si="21"/>
        <v>Electropolished stainless steel pipes supplied by Sakshi Forge to VERIFY plants at VERIFY, Zamora</v>
      </c>
      <c r="AL1669" s="15" t="str">
        <f t="shared" si="22"/>
        <v>Electropolished SS 316L tube stock for Zamora - Sakshi Forge</v>
      </c>
      <c r="AM1669" s="15" t="str">
        <f t="shared" si="23"/>
        <v>Home &gt; Market Area &gt; Spain &gt; VERIFY &gt; Zamora</v>
      </c>
      <c r="AN1669" s="15">
        <f t="shared" si="24"/>
        <v>750</v>
      </c>
      <c r="AO1669" s="15">
        <f t="shared" si="25"/>
        <v>6</v>
      </c>
      <c r="AP1669" s="15">
        <f t="shared" si="26"/>
        <v>6</v>
      </c>
      <c r="AQ1669" s="15">
        <f t="shared" si="27"/>
        <v>28</v>
      </c>
      <c r="AR1669" s="31"/>
      <c r="AS1669" s="31"/>
      <c r="AT1669" s="35" t="s">
        <v>222</v>
      </c>
      <c r="AU1669" s="35"/>
    </row>
    <row r="1670" ht="15.75" customHeight="1">
      <c r="A1670" s="15" t="s">
        <v>7640</v>
      </c>
      <c r="B1670" s="15" t="s">
        <v>148</v>
      </c>
      <c r="C1670" s="15" t="s">
        <v>98</v>
      </c>
      <c r="D1670" s="15" t="s">
        <v>7641</v>
      </c>
      <c r="E1670" s="15" t="s">
        <v>7641</v>
      </c>
      <c r="F1670" s="58" t="s">
        <v>807</v>
      </c>
      <c r="G1670" s="66" t="s">
        <v>98</v>
      </c>
      <c r="H1670" s="18" t="s">
        <v>98</v>
      </c>
      <c r="I1670" s="18" t="s">
        <v>98</v>
      </c>
      <c r="J1670" s="18" t="s">
        <v>98</v>
      </c>
      <c r="K1670" s="18" t="s">
        <v>98</v>
      </c>
      <c r="L1670" s="18" t="s">
        <v>98</v>
      </c>
      <c r="M1670" s="18" t="s">
        <v>477</v>
      </c>
      <c r="N1670" s="18" t="s">
        <v>184</v>
      </c>
      <c r="O1670" s="18" t="s">
        <v>98</v>
      </c>
      <c r="P1670" s="15" t="str">
        <f t="shared" si="1"/>
        <v>VERIFY</v>
      </c>
      <c r="Q1670" s="15">
        <f t="shared" si="2"/>
        <v>3</v>
      </c>
      <c r="R1670" s="15">
        <f t="shared" si="3"/>
        <v>1</v>
      </c>
      <c r="S1670" s="15">
        <f t="shared" si="4"/>
        <v>2</v>
      </c>
      <c r="T1670" s="15" t="str">
        <f t="shared" si="5"/>
        <v>C-5</v>
      </c>
      <c r="U1670" s="15" t="str">
        <f t="shared" si="6"/>
        <v>T3-M1-H2-FC-5-VERIFY</v>
      </c>
      <c r="V1670" s="15">
        <f t="shared" si="7"/>
        <v>0</v>
      </c>
      <c r="W1670" s="31"/>
      <c r="X1670" s="15" t="str">
        <f t="shared" si="8"/>
        <v>al-hamriyah-uae</v>
      </c>
      <c r="Y1670" s="32" t="str">
        <f t="shared" si="9"/>
        <v>https://steelmanufacturer.in/market-area/electropolished-pipes-manufacturer-in-al-hamriyah-uae/</v>
      </c>
      <c r="Z1670" s="15" t="str">
        <f t="shared" si="10"/>
        <v>Electropolished Pipes Manufacturer in Al Hamriyah</v>
      </c>
      <c r="AA1670" s="15" t="str">
        <f t="shared" si="11"/>
        <v>OK (49)</v>
      </c>
      <c r="AB1670" s="15" t="str">
        <f t="shared" si="12"/>
        <v>EP-finished SS 304/316L pipes &amp; tubes for VERIFY plants in Al Hamriyah. ASTM A270, ASME BPE SF1-SF4, EN 10204 3.1 MTC. PMI tested.</v>
      </c>
      <c r="AC1670" s="15" t="str">
        <f t="shared" si="13"/>
        <v>PENDING RESEARCH</v>
      </c>
      <c r="AD1670" s="15" t="str">
        <f t="shared" si="14"/>
        <v>Electropolished Pipes Manufacturer in Al Hamriyah</v>
      </c>
      <c r="AE1670" s="15" t="str">
        <f t="shared" si="15"/>
        <v>How We Manufacture Electropolished Tube for Al Hamriyah Plants</v>
      </c>
      <c r="AF1670" s="15" t="str">
        <f t="shared" si="16"/>
        <v>Supplying Electropolished Pipes in Al Hamriyah: Availability, Sizes &amp; Dispatch</v>
      </c>
      <c r="AG1670" s="15" t="str">
        <f t="shared" si="17"/>
        <v>Wholesale Electropolished Pipe Supply for Al Hamriyah Projects</v>
      </c>
      <c r="AH1670" s="15" t="str">
        <f t="shared" si="18"/>
        <v>electropolished pipes manufacturer in Al Hamriyah, electropolished pipes supplier in Al Hamriyah, electropolished pipes wholesaler in Al Hamriyah, electropolished tube manufacturer Al Hamriyah, EP pipe supplier Al Hamriyah, sanitary tube supplier Al Hamriyah, ASME BPE tubing Al Hamriyah, ASTM A270 tube Al Hamriyah, SS 316L electropolished pipe Al Hamriyah</v>
      </c>
      <c r="AI1670" s="15" t="str">
        <f t="shared" si="19"/>
        <v>Electropolished Pipes Manufacturer &amp; Supplier in Al Hamriyah</v>
      </c>
      <c r="AJ1670" s="15" t="str">
        <f t="shared" si="20"/>
        <v>EP-finished SS 304/316L pipes and tubes for VERIFY plants in Al Hamriyah. ASME BPE SF1-SF4, Ra from 0.25 um, EN 10204 3.1 certificate with every lot.</v>
      </c>
      <c r="AK1670" s="15" t="str">
        <f t="shared" si="21"/>
        <v>Electropolished stainless steel pipes supplied by Sakshi Forge to VERIFY plants at VERIFY, Al Hamriyah</v>
      </c>
      <c r="AL1670" s="15" t="str">
        <f t="shared" si="22"/>
        <v>Electropolished SS 316L tube stock for Al Hamriyah - Sakshi Forge</v>
      </c>
      <c r="AM1670" s="15" t="str">
        <f t="shared" si="23"/>
        <v>Home &gt; Market Area &gt; UAE &gt; VERIFY &gt; Al Hamriyah</v>
      </c>
      <c r="AN1670" s="15">
        <f t="shared" si="24"/>
        <v>750</v>
      </c>
      <c r="AO1670" s="15">
        <f t="shared" si="25"/>
        <v>6</v>
      </c>
      <c r="AP1670" s="15">
        <f t="shared" si="26"/>
        <v>6</v>
      </c>
      <c r="AQ1670" s="15">
        <f t="shared" si="27"/>
        <v>28</v>
      </c>
      <c r="AR1670" s="31"/>
      <c r="AS1670" s="31"/>
      <c r="AT1670" s="35" t="s">
        <v>222</v>
      </c>
      <c r="AU1670" s="35"/>
    </row>
    <row r="1671" ht="15.75" customHeight="1">
      <c r="A1671" s="15" t="s">
        <v>7643</v>
      </c>
      <c r="B1671" s="15" t="s">
        <v>148</v>
      </c>
      <c r="C1671" s="15" t="s">
        <v>98</v>
      </c>
      <c r="D1671" s="15" t="s">
        <v>7644</v>
      </c>
      <c r="E1671" s="15" t="s">
        <v>7644</v>
      </c>
      <c r="F1671" s="58" t="s">
        <v>807</v>
      </c>
      <c r="G1671" s="66" t="s">
        <v>98</v>
      </c>
      <c r="H1671" s="18" t="s">
        <v>98</v>
      </c>
      <c r="I1671" s="18" t="s">
        <v>98</v>
      </c>
      <c r="J1671" s="18" t="s">
        <v>98</v>
      </c>
      <c r="K1671" s="18" t="s">
        <v>98</v>
      </c>
      <c r="L1671" s="18" t="s">
        <v>98</v>
      </c>
      <c r="M1671" s="18" t="s">
        <v>477</v>
      </c>
      <c r="N1671" s="18" t="s">
        <v>184</v>
      </c>
      <c r="O1671" s="18" t="s">
        <v>98</v>
      </c>
      <c r="P1671" s="15" t="str">
        <f t="shared" si="1"/>
        <v>VERIFY</v>
      </c>
      <c r="Q1671" s="15">
        <f t="shared" si="2"/>
        <v>4</v>
      </c>
      <c r="R1671" s="15">
        <f t="shared" si="3"/>
        <v>2</v>
      </c>
      <c r="S1671" s="15">
        <f t="shared" si="4"/>
        <v>3</v>
      </c>
      <c r="T1671" s="15" t="str">
        <f t="shared" si="5"/>
        <v>C-6</v>
      </c>
      <c r="U1671" s="15" t="str">
        <f t="shared" si="6"/>
        <v>T4-M2-H3-FC-6-VERIFY</v>
      </c>
      <c r="V1671" s="15">
        <f t="shared" si="7"/>
        <v>0</v>
      </c>
      <c r="W1671" s="31"/>
      <c r="X1671" s="15" t="str">
        <f t="shared" si="8"/>
        <v>dhaid-uae</v>
      </c>
      <c r="Y1671" s="32" t="str">
        <f t="shared" si="9"/>
        <v>https://steelmanufacturer.in/market-area/electropolished-pipes-manufacturer-in-dhaid-uae/</v>
      </c>
      <c r="Z1671" s="15" t="str">
        <f t="shared" si="10"/>
        <v>Electropolished Pipes Manufacturer in Dhaid - SS 304/316L EP Tube</v>
      </c>
      <c r="AA1671" s="15" t="str">
        <f t="shared" si="11"/>
        <v>OK (65)</v>
      </c>
      <c r="AB1671" s="15" t="str">
        <f t="shared" si="12"/>
        <v>Electropolished tube supply to VERIFY, Dhaid. Ra from 0.25 um, SF4 finish, mill test certificate with every lot.</v>
      </c>
      <c r="AC1671" s="15" t="str">
        <f t="shared" si="13"/>
        <v>PENDING RESEARCH</v>
      </c>
      <c r="AD1671" s="15" t="str">
        <f t="shared" si="14"/>
        <v>Electropolished Pipes Manufacturer in Dhaid</v>
      </c>
      <c r="AE1671" s="15" t="str">
        <f t="shared" si="15"/>
        <v>Electropolished Pipes Manufacturer in Dhaid - Our Process &amp; Capability</v>
      </c>
      <c r="AF1671" s="15" t="str">
        <f t="shared" si="16"/>
        <v>Electropolished Pipes Supplier in Dhaid - What We Hold in Stock</v>
      </c>
      <c r="AG1671" s="15" t="str">
        <f t="shared" si="17"/>
        <v>Bulk &amp; Wholesale Electropolished Pipe Rates for Dhaid Buyers</v>
      </c>
      <c r="AH1671" s="15" t="str">
        <f t="shared" si="18"/>
        <v>electropolished pipes manufacturer in Dhaid, electropolished pipes supplier in Dhaid, electropolished pipes wholesaler in Dhaid, electropolished tube manufacturer Dhaid, EP pipe supplier Dhaid, sanitary tube supplier Dhaid, ASME BPE tubing Dhaid, ASTM A270 tube Dhaid, SS 316L electropolished pipe Dhaid</v>
      </c>
      <c r="AI1671" s="15" t="str">
        <f t="shared" si="19"/>
        <v>Electropolished Pipes Manufacturer &amp; Supplier in Dhaid</v>
      </c>
      <c r="AJ1671" s="15" t="str">
        <f t="shared" si="20"/>
        <v>EP-finished SS 304/316L pipes and tubes for VERIFY plants in Dhaid. ASME BPE SF1-SF4, Ra from 0.25 um, EN 10204 3.1 certificate with every lot.</v>
      </c>
      <c r="AK1671" s="15" t="str">
        <f t="shared" si="21"/>
        <v>Electropolished stainless steel pipes supplied by Sakshi Forge to VERIFY plants at VERIFY, Dhaid</v>
      </c>
      <c r="AL1671" s="15" t="str">
        <f t="shared" si="22"/>
        <v>Electropolished SS 316L tube stock for Dhaid - Sakshi Forge</v>
      </c>
      <c r="AM1671" s="15" t="str">
        <f t="shared" si="23"/>
        <v>Home &gt; Market Area &gt; UAE &gt; VERIFY &gt; Dhaid</v>
      </c>
      <c r="AN1671" s="15">
        <f t="shared" si="24"/>
        <v>750</v>
      </c>
      <c r="AO1671" s="15">
        <f t="shared" si="25"/>
        <v>6</v>
      </c>
      <c r="AP1671" s="15">
        <f t="shared" si="26"/>
        <v>6</v>
      </c>
      <c r="AQ1671" s="15">
        <f t="shared" si="27"/>
        <v>28</v>
      </c>
      <c r="AR1671" s="31"/>
      <c r="AS1671" s="31"/>
      <c r="AT1671" s="35" t="s">
        <v>222</v>
      </c>
      <c r="AU1671" s="35"/>
    </row>
    <row r="1672" ht="15.75" customHeight="1">
      <c r="A1672" s="15" t="s">
        <v>7645</v>
      </c>
      <c r="B1672" s="15" t="s">
        <v>148</v>
      </c>
      <c r="C1672" s="15" t="s">
        <v>98</v>
      </c>
      <c r="D1672" s="15" t="s">
        <v>7646</v>
      </c>
      <c r="E1672" s="15" t="s">
        <v>7646</v>
      </c>
      <c r="F1672" s="58" t="s">
        <v>807</v>
      </c>
      <c r="G1672" s="66" t="s">
        <v>98</v>
      </c>
      <c r="H1672" s="18" t="s">
        <v>98</v>
      </c>
      <c r="I1672" s="18" t="s">
        <v>98</v>
      </c>
      <c r="J1672" s="18" t="s">
        <v>98</v>
      </c>
      <c r="K1672" s="18" t="s">
        <v>98</v>
      </c>
      <c r="L1672" s="18" t="s">
        <v>98</v>
      </c>
      <c r="M1672" s="18" t="s">
        <v>477</v>
      </c>
      <c r="N1672" s="18" t="s">
        <v>184</v>
      </c>
      <c r="O1672" s="18" t="s">
        <v>98</v>
      </c>
      <c r="P1672" s="15" t="str">
        <f t="shared" si="1"/>
        <v>VERIFY</v>
      </c>
      <c r="Q1672" s="15">
        <f t="shared" si="2"/>
        <v>5</v>
      </c>
      <c r="R1672" s="15">
        <f t="shared" si="3"/>
        <v>3</v>
      </c>
      <c r="S1672" s="15">
        <f t="shared" si="4"/>
        <v>4</v>
      </c>
      <c r="T1672" s="15" t="str">
        <f t="shared" si="5"/>
        <v>C-1</v>
      </c>
      <c r="U1672" s="15" t="str">
        <f t="shared" si="6"/>
        <v>T5-M3-H4-FC-1-VERIFY</v>
      </c>
      <c r="V1672" s="15">
        <f t="shared" si="7"/>
        <v>0</v>
      </c>
      <c r="W1672" s="31"/>
      <c r="X1672" s="15" t="str">
        <f t="shared" si="8"/>
        <v>dibba-uae</v>
      </c>
      <c r="Y1672" s="32" t="str">
        <f t="shared" si="9"/>
        <v>https://steelmanufacturer.in/market-area/electropolished-pipes-manufacturer-in-dibba-uae/</v>
      </c>
      <c r="Z1672" s="15" t="str">
        <f t="shared" si="10"/>
        <v>Electropolished Pipes Manufacturer in Dibba</v>
      </c>
      <c r="AA1672" s="15" t="str">
        <f t="shared" si="11"/>
        <v>OK (43)</v>
      </c>
      <c r="AB1672" s="15" t="str">
        <f t="shared" si="12"/>
        <v>EP stainless tube for VERIFY lines in Dibba. 10-14 days sea from Nhava Sheva to Jebel Ali. ASTM A270 S2, PMI tested, EN 10204 3.1.</v>
      </c>
      <c r="AC1672" s="15" t="str">
        <f t="shared" si="13"/>
        <v>PENDING RESEARCH</v>
      </c>
      <c r="AD1672" s="15" t="str">
        <f t="shared" si="14"/>
        <v>Electropolished Pipes Manufacturer in Dibba</v>
      </c>
      <c r="AE1672" s="15" t="str">
        <f t="shared" si="15"/>
        <v>Manufacturing Electropolished SS Tube for Dibba: The Standards We Build To</v>
      </c>
      <c r="AF1672" s="15" t="str">
        <f t="shared" si="16"/>
        <v>Electropolished Pipe Supply Into Dibba - Certification &amp; Transit</v>
      </c>
      <c r="AG1672" s="15" t="str">
        <f t="shared" si="17"/>
        <v>Electropolished Pipes Wholesaler in Dibba - Project Quantities &amp; Terms</v>
      </c>
      <c r="AH1672" s="15" t="str">
        <f t="shared" si="18"/>
        <v>electropolished pipes manufacturer in Dibba, electropolished pipes supplier in Dibba, electropolished pipes wholesaler in Dibba, electropolished tube manufacturer Dibba, EP pipe supplier Dibba, sanitary tube supplier Dibba, ASME BPE tubing Dibba, ASTM A270 tube Dibba, SS 316L electropolished pipe Dibba</v>
      </c>
      <c r="AI1672" s="15" t="str">
        <f t="shared" si="19"/>
        <v>Electropolished Pipes Manufacturer &amp; Supplier in Dibba</v>
      </c>
      <c r="AJ1672" s="15" t="str">
        <f t="shared" si="20"/>
        <v>EP-finished SS 304/316L pipes and tubes for VERIFY plants in Dibba. ASME BPE SF1-SF4, Ra from 0.25 um, EN 10204 3.1 certificate with every lot.</v>
      </c>
      <c r="AK1672" s="15" t="str">
        <f t="shared" si="21"/>
        <v>Electropolished stainless steel pipes supplied by Sakshi Forge to VERIFY plants at VERIFY, Dibba</v>
      </c>
      <c r="AL1672" s="15" t="str">
        <f t="shared" si="22"/>
        <v>Electropolished SS 316L tube stock for Dibba - Sakshi Forge</v>
      </c>
      <c r="AM1672" s="15" t="str">
        <f t="shared" si="23"/>
        <v>Home &gt; Market Area &gt; UAE &gt; VERIFY &gt; Dibba</v>
      </c>
      <c r="AN1672" s="15">
        <f t="shared" si="24"/>
        <v>750</v>
      </c>
      <c r="AO1672" s="15">
        <f t="shared" si="25"/>
        <v>6</v>
      </c>
      <c r="AP1672" s="15">
        <f t="shared" si="26"/>
        <v>6</v>
      </c>
      <c r="AQ1672" s="15">
        <f t="shared" si="27"/>
        <v>28</v>
      </c>
      <c r="AR1672" s="31"/>
      <c r="AS1672" s="31"/>
      <c r="AT1672" s="35" t="s">
        <v>222</v>
      </c>
      <c r="AU1672" s="35"/>
    </row>
    <row r="1673" ht="15.75" customHeight="1">
      <c r="A1673" s="15" t="s">
        <v>7647</v>
      </c>
      <c r="B1673" s="15" t="s">
        <v>148</v>
      </c>
      <c r="C1673" s="15" t="s">
        <v>98</v>
      </c>
      <c r="D1673" s="15" t="s">
        <v>7648</v>
      </c>
      <c r="E1673" s="15" t="s">
        <v>7648</v>
      </c>
      <c r="F1673" s="58" t="s">
        <v>807</v>
      </c>
      <c r="G1673" s="66" t="s">
        <v>98</v>
      </c>
      <c r="H1673" s="18" t="s">
        <v>98</v>
      </c>
      <c r="I1673" s="18" t="s">
        <v>98</v>
      </c>
      <c r="J1673" s="18" t="s">
        <v>98</v>
      </c>
      <c r="K1673" s="18" t="s">
        <v>98</v>
      </c>
      <c r="L1673" s="18" t="s">
        <v>98</v>
      </c>
      <c r="M1673" s="18" t="s">
        <v>477</v>
      </c>
      <c r="N1673" s="18" t="s">
        <v>184</v>
      </c>
      <c r="O1673" s="18" t="s">
        <v>98</v>
      </c>
      <c r="P1673" s="15" t="str">
        <f t="shared" si="1"/>
        <v>VERIFY</v>
      </c>
      <c r="Q1673" s="15">
        <f t="shared" si="2"/>
        <v>6</v>
      </c>
      <c r="R1673" s="15">
        <f t="shared" si="3"/>
        <v>4</v>
      </c>
      <c r="S1673" s="15">
        <f t="shared" si="4"/>
        <v>5</v>
      </c>
      <c r="T1673" s="15" t="str">
        <f t="shared" si="5"/>
        <v>C-2</v>
      </c>
      <c r="U1673" s="15" t="str">
        <f t="shared" si="6"/>
        <v>T6-M4-H5-FC-2-VERIFY</v>
      </c>
      <c r="V1673" s="15">
        <f t="shared" si="7"/>
        <v>0</v>
      </c>
      <c r="W1673" s="31"/>
      <c r="X1673" s="15" t="str">
        <f t="shared" si="8"/>
        <v>ghayathi-uae</v>
      </c>
      <c r="Y1673" s="32" t="str">
        <f t="shared" si="9"/>
        <v>https://steelmanufacturer.in/market-area/electropolished-pipes-manufacturer-in-ghayathi-uae/</v>
      </c>
      <c r="Z1673" s="15" t="str">
        <f t="shared" si="10"/>
        <v>Electropolished Pipes Manufacturer in Ghayathi</v>
      </c>
      <c r="AA1673" s="15" t="str">
        <f t="shared" si="11"/>
        <v>OK (46)</v>
      </c>
      <c r="AB1673" s="15" t="str">
        <f t="shared" si="12"/>
        <v>Sanitary electropolished pipes in Ghayathi for VERIFY plants. ASME BPE SF1-SF4, orbital-weld ready, 3.1 MTC. Mumbai-made.</v>
      </c>
      <c r="AC1673" s="15" t="str">
        <f t="shared" si="13"/>
        <v>PENDING RESEARCH</v>
      </c>
      <c r="AD1673" s="15" t="str">
        <f t="shared" si="14"/>
        <v>Electropolished Pipes Manufacturer in Ghayathi</v>
      </c>
      <c r="AE1673" s="15" t="str">
        <f t="shared" si="15"/>
        <v>Electropolished Tube Manufacturing Capability Serving Ghayathi</v>
      </c>
      <c r="AF1673" s="15" t="str">
        <f t="shared" si="16"/>
        <v>Electropolished Pipes Supplier in Ghayathi - From Order to Delivery</v>
      </c>
      <c r="AG1673" s="15" t="str">
        <f t="shared" si="17"/>
        <v>Stockist &amp; Wholesale Supply of Electropolished Pipes in Ghayathi</v>
      </c>
      <c r="AH1673" s="15" t="str">
        <f t="shared" si="18"/>
        <v>electropolished pipes manufacturer in Ghayathi, electropolished pipes supplier in Ghayathi, electropolished pipes wholesaler in Ghayathi, electropolished tube manufacturer Ghayathi, EP pipe supplier Ghayathi, sanitary tube supplier Ghayathi, ASME BPE tubing Ghayathi, ASTM A270 tube Ghayathi, SS 316L electropolished pipe Ghayathi</v>
      </c>
      <c r="AI1673" s="15" t="str">
        <f t="shared" si="19"/>
        <v>Electropolished Pipes Manufacturer &amp; Supplier in Ghayathi</v>
      </c>
      <c r="AJ1673" s="15" t="str">
        <f t="shared" si="20"/>
        <v>EP-finished SS 304/316L pipes and tubes for VERIFY plants in Ghayathi. ASME BPE SF1-SF4, Ra from 0.25 um, EN 10204 3.1 certificate with every lot.</v>
      </c>
      <c r="AK1673" s="15" t="str">
        <f t="shared" si="21"/>
        <v>Electropolished stainless steel pipes supplied by Sakshi Forge to VERIFY plants at VERIFY, Ghayathi</v>
      </c>
      <c r="AL1673" s="15" t="str">
        <f t="shared" si="22"/>
        <v>Electropolished SS 316L tube stock for Ghayathi - Sakshi Forge</v>
      </c>
      <c r="AM1673" s="15" t="str">
        <f t="shared" si="23"/>
        <v>Home &gt; Market Area &gt; UAE &gt; VERIFY &gt; Ghayathi</v>
      </c>
      <c r="AN1673" s="15">
        <f t="shared" si="24"/>
        <v>750</v>
      </c>
      <c r="AO1673" s="15">
        <f t="shared" si="25"/>
        <v>6</v>
      </c>
      <c r="AP1673" s="15">
        <f t="shared" si="26"/>
        <v>6</v>
      </c>
      <c r="AQ1673" s="15">
        <f t="shared" si="27"/>
        <v>28</v>
      </c>
      <c r="AR1673" s="31"/>
      <c r="AS1673" s="31"/>
      <c r="AT1673" s="35" t="s">
        <v>222</v>
      </c>
      <c r="AU1673" s="35"/>
    </row>
    <row r="1674" ht="15.75" customHeight="1">
      <c r="A1674" s="15" t="s">
        <v>7649</v>
      </c>
      <c r="B1674" s="15" t="s">
        <v>148</v>
      </c>
      <c r="C1674" s="15" t="s">
        <v>98</v>
      </c>
      <c r="D1674" s="15" t="s">
        <v>7650</v>
      </c>
      <c r="E1674" s="15" t="s">
        <v>7650</v>
      </c>
      <c r="F1674" s="58" t="s">
        <v>807</v>
      </c>
      <c r="G1674" s="66" t="s">
        <v>98</v>
      </c>
      <c r="H1674" s="18" t="s">
        <v>98</v>
      </c>
      <c r="I1674" s="18" t="s">
        <v>98</v>
      </c>
      <c r="J1674" s="18" t="s">
        <v>98</v>
      </c>
      <c r="K1674" s="18" t="s">
        <v>98</v>
      </c>
      <c r="L1674" s="18" t="s">
        <v>98</v>
      </c>
      <c r="M1674" s="18" t="s">
        <v>477</v>
      </c>
      <c r="N1674" s="18" t="s">
        <v>184</v>
      </c>
      <c r="O1674" s="18" t="s">
        <v>98</v>
      </c>
      <c r="P1674" s="15" t="str">
        <f t="shared" si="1"/>
        <v>VERIFY</v>
      </c>
      <c r="Q1674" s="15">
        <f t="shared" si="2"/>
        <v>7</v>
      </c>
      <c r="R1674" s="15">
        <f t="shared" si="3"/>
        <v>5</v>
      </c>
      <c r="S1674" s="15">
        <f t="shared" si="4"/>
        <v>1</v>
      </c>
      <c r="T1674" s="15" t="str">
        <f t="shared" si="5"/>
        <v>C-3</v>
      </c>
      <c r="U1674" s="15" t="str">
        <f t="shared" si="6"/>
        <v>T7-M5-H1-FC-3-VERIFY</v>
      </c>
      <c r="V1674" s="15">
        <f t="shared" si="7"/>
        <v>0</v>
      </c>
      <c r="W1674" s="31"/>
      <c r="X1674" s="15" t="str">
        <f t="shared" si="8"/>
        <v>kalba-uae</v>
      </c>
      <c r="Y1674" s="32" t="str">
        <f t="shared" si="9"/>
        <v>https://steelmanufacturer.in/market-area/electropolished-pipes-manufacturer-in-kalba-uae/</v>
      </c>
      <c r="Z1674" s="15" t="str">
        <f t="shared" si="10"/>
        <v>Electropolished Pipes Manufacturer in Kalba | ASME BPE SF1-SF4</v>
      </c>
      <c r="AA1674" s="15" t="str">
        <f t="shared" si="11"/>
        <v>OK (62)</v>
      </c>
      <c r="AB1674" s="15" t="str">
        <f t="shared" si="12"/>
        <v>Manufacturer of electropolished SS 316L tube serving Kalba. 10-14 days sea from Nhava Sheva to Jebel Ali. Ra 0.25-0.5 um, EN 10204 3.1 MTC.</v>
      </c>
      <c r="AC1674" s="15" t="str">
        <f t="shared" si="13"/>
        <v>PENDING RESEARCH</v>
      </c>
      <c r="AD1674" s="15" t="str">
        <f t="shared" si="14"/>
        <v>Electropolished Pipes Manufacturer in Kalba</v>
      </c>
      <c r="AE1674" s="15" t="str">
        <f t="shared" si="15"/>
        <v>Electropolished Pipe &amp; Tube Manufacturing for Kalba - Grades, Finishes &amp; Certification</v>
      </c>
      <c r="AF1674" s="15" t="str">
        <f t="shared" si="16"/>
        <v>Electropolished Pipes Supplier in Kalba - Stock Sizes, Lead Time &amp; Delivery</v>
      </c>
      <c r="AG1674" s="15" t="str">
        <f t="shared" si="17"/>
        <v>Electropolished Pipes Wholesaler &amp; Stockist in Kalba - Bulk &amp; Project Pricing</v>
      </c>
      <c r="AH1674" s="15" t="str">
        <f t="shared" si="18"/>
        <v>electropolished pipes manufacturer in Kalba, electropolished pipes supplier in Kalba, electropolished pipes wholesaler in Kalba, electropolished tube manufacturer Kalba, EP pipe supplier Kalba, sanitary tube supplier Kalba, ASME BPE tubing Kalba, ASTM A270 tube Kalba, SS 316L electropolished pipe Kalba</v>
      </c>
      <c r="AI1674" s="15" t="str">
        <f t="shared" si="19"/>
        <v>Electropolished Pipes Manufacturer &amp; Supplier in Kalba</v>
      </c>
      <c r="AJ1674" s="15" t="str">
        <f t="shared" si="20"/>
        <v>EP-finished SS 304/316L pipes and tubes for VERIFY plants in Kalba. ASME BPE SF1-SF4, Ra from 0.25 um, EN 10204 3.1 certificate with every lot.</v>
      </c>
      <c r="AK1674" s="15" t="str">
        <f t="shared" si="21"/>
        <v>Electropolished stainless steel pipes supplied by Sakshi Forge to VERIFY plants at VERIFY, Kalba</v>
      </c>
      <c r="AL1674" s="15" t="str">
        <f t="shared" si="22"/>
        <v>Electropolished SS 316L tube stock for Kalba - Sakshi Forge</v>
      </c>
      <c r="AM1674" s="15" t="str">
        <f t="shared" si="23"/>
        <v>Home &gt; Market Area &gt; UAE &gt; VERIFY &gt; Kalba</v>
      </c>
      <c r="AN1674" s="15">
        <f t="shared" si="24"/>
        <v>750</v>
      </c>
      <c r="AO1674" s="15">
        <f t="shared" si="25"/>
        <v>6</v>
      </c>
      <c r="AP1674" s="15">
        <f t="shared" si="26"/>
        <v>6</v>
      </c>
      <c r="AQ1674" s="15">
        <f t="shared" si="27"/>
        <v>28</v>
      </c>
      <c r="AR1674" s="31"/>
      <c r="AS1674" s="31"/>
      <c r="AT1674" s="35" t="s">
        <v>222</v>
      </c>
      <c r="AU1674" s="35"/>
    </row>
    <row r="1675" ht="15.75" customHeight="1">
      <c r="A1675" s="15" t="s">
        <v>7651</v>
      </c>
      <c r="B1675" s="15" t="s">
        <v>148</v>
      </c>
      <c r="C1675" s="15" t="s">
        <v>98</v>
      </c>
      <c r="D1675" s="15" t="s">
        <v>7652</v>
      </c>
      <c r="E1675" s="15" t="s">
        <v>7652</v>
      </c>
      <c r="F1675" s="58" t="s">
        <v>807</v>
      </c>
      <c r="G1675" s="66" t="s">
        <v>98</v>
      </c>
      <c r="H1675" s="18" t="s">
        <v>98</v>
      </c>
      <c r="I1675" s="18" t="s">
        <v>98</v>
      </c>
      <c r="J1675" s="18" t="s">
        <v>98</v>
      </c>
      <c r="K1675" s="18" t="s">
        <v>98</v>
      </c>
      <c r="L1675" s="18" t="s">
        <v>98</v>
      </c>
      <c r="M1675" s="18" t="s">
        <v>477</v>
      </c>
      <c r="N1675" s="18" t="s">
        <v>184</v>
      </c>
      <c r="O1675" s="18" t="s">
        <v>98</v>
      </c>
      <c r="P1675" s="15" t="str">
        <f t="shared" si="1"/>
        <v>VERIFY</v>
      </c>
      <c r="Q1675" s="15">
        <f t="shared" si="2"/>
        <v>8</v>
      </c>
      <c r="R1675" s="15">
        <f t="shared" si="3"/>
        <v>6</v>
      </c>
      <c r="S1675" s="15">
        <f t="shared" si="4"/>
        <v>2</v>
      </c>
      <c r="T1675" s="15" t="str">
        <f t="shared" si="5"/>
        <v>C-4</v>
      </c>
      <c r="U1675" s="15" t="str">
        <f t="shared" si="6"/>
        <v>T8-M6-H2-FC-4-VERIFY</v>
      </c>
      <c r="V1675" s="15">
        <f t="shared" si="7"/>
        <v>0</v>
      </c>
      <c r="W1675" s="31"/>
      <c r="X1675" s="15" t="str">
        <f t="shared" si="8"/>
        <v>khor-fakkan-uae</v>
      </c>
      <c r="Y1675" s="32" t="str">
        <f t="shared" si="9"/>
        <v>https://steelmanufacturer.in/market-area/electropolished-pipes-manufacturer-in-khor-fakkan-uae/</v>
      </c>
      <c r="Z1675" s="15" t="str">
        <f t="shared" si="10"/>
        <v>Electropolished Pipes Manufacturer in Khor Fakkan</v>
      </c>
      <c r="AA1675" s="15" t="str">
        <f t="shared" si="11"/>
        <v>OK (49)</v>
      </c>
      <c r="AB1675" s="15" t="str">
        <f t="shared" si="12"/>
        <v>EP tube and pipe for VERIFY plants around VERIFY, Khor Fakkan. Made at our Mumbai works to ASTM A270 and ASME BPE SF1-SF4, with 3.1 MTC.</v>
      </c>
      <c r="AC1675" s="15" t="str">
        <f t="shared" si="13"/>
        <v>PENDING RESEARCH</v>
      </c>
      <c r="AD1675" s="15" t="str">
        <f t="shared" si="14"/>
        <v>Electropolished Pipes Manufacturer in Khor Fakkan</v>
      </c>
      <c r="AE1675" s="15" t="str">
        <f t="shared" si="15"/>
        <v>How We Manufacture Electropolished Tube for Khor Fakkan Plants</v>
      </c>
      <c r="AF1675" s="15" t="str">
        <f t="shared" si="16"/>
        <v>Supplying Electropolished Pipes in Khor Fakkan: Availability, Sizes &amp; Dispatch</v>
      </c>
      <c r="AG1675" s="15" t="str">
        <f t="shared" si="17"/>
        <v>Wholesale Electropolished Pipe Supply for Khor Fakkan Projects</v>
      </c>
      <c r="AH1675" s="15" t="str">
        <f t="shared" si="18"/>
        <v>electropolished pipes manufacturer in Khor Fakkan, electropolished pipes supplier in Khor Fakkan, electropolished pipes wholesaler in Khor Fakkan, electropolished tube manufacturer Khor Fakkan, EP pipe supplier Khor Fakkan, sanitary tube supplier Khor Fakkan, ASME BPE tubing Khor Fakkan, ASTM A270 tube Khor Fakkan, SS 316L electropolished pipe Khor Fakkan</v>
      </c>
      <c r="AI1675" s="15" t="str">
        <f t="shared" si="19"/>
        <v>Electropolished Pipes Manufacturer &amp; Supplier in Khor Fakkan</v>
      </c>
      <c r="AJ1675" s="15" t="str">
        <f t="shared" si="20"/>
        <v>EP-finished SS 304/316L pipes and tubes for VERIFY plants in Khor Fakkan. ASME BPE SF1-SF4, Ra from 0.25 um, EN 10204 3.1 certificate with every lot.</v>
      </c>
      <c r="AK1675" s="15" t="str">
        <f t="shared" si="21"/>
        <v>Electropolished stainless steel pipes supplied by Sakshi Forge to VERIFY plants at VERIFY, Khor Fakkan</v>
      </c>
      <c r="AL1675" s="15" t="str">
        <f t="shared" si="22"/>
        <v>Electropolished SS 316L tube stock for Khor Fakkan - Sakshi Forge</v>
      </c>
      <c r="AM1675" s="15" t="str">
        <f t="shared" si="23"/>
        <v>Home &gt; Market Area &gt; UAE &gt; VERIFY &gt; Khor Fakkan</v>
      </c>
      <c r="AN1675" s="15">
        <f t="shared" si="24"/>
        <v>750</v>
      </c>
      <c r="AO1675" s="15">
        <f t="shared" si="25"/>
        <v>6</v>
      </c>
      <c r="AP1675" s="15">
        <f t="shared" si="26"/>
        <v>6</v>
      </c>
      <c r="AQ1675" s="15">
        <f t="shared" si="27"/>
        <v>28</v>
      </c>
      <c r="AR1675" s="31"/>
      <c r="AS1675" s="31"/>
      <c r="AT1675" s="35" t="s">
        <v>222</v>
      </c>
      <c r="AU1675" s="35"/>
    </row>
    <row r="1676" ht="15.75" customHeight="1">
      <c r="A1676" s="15" t="s">
        <v>7653</v>
      </c>
      <c r="B1676" s="15" t="s">
        <v>148</v>
      </c>
      <c r="C1676" s="15" t="s">
        <v>98</v>
      </c>
      <c r="D1676" s="15" t="s">
        <v>7654</v>
      </c>
      <c r="E1676" s="15" t="s">
        <v>7654</v>
      </c>
      <c r="F1676" s="58" t="s">
        <v>807</v>
      </c>
      <c r="G1676" s="66" t="s">
        <v>98</v>
      </c>
      <c r="H1676" s="18" t="s">
        <v>98</v>
      </c>
      <c r="I1676" s="18" t="s">
        <v>98</v>
      </c>
      <c r="J1676" s="18" t="s">
        <v>98</v>
      </c>
      <c r="K1676" s="18" t="s">
        <v>98</v>
      </c>
      <c r="L1676" s="18" t="s">
        <v>98</v>
      </c>
      <c r="M1676" s="18" t="s">
        <v>477</v>
      </c>
      <c r="N1676" s="18" t="s">
        <v>184</v>
      </c>
      <c r="O1676" s="18" t="s">
        <v>98</v>
      </c>
      <c r="P1676" s="15" t="str">
        <f t="shared" si="1"/>
        <v>VERIFY</v>
      </c>
      <c r="Q1676" s="15">
        <f t="shared" si="2"/>
        <v>1</v>
      </c>
      <c r="R1676" s="15">
        <f t="shared" si="3"/>
        <v>7</v>
      </c>
      <c r="S1676" s="15">
        <f t="shared" si="4"/>
        <v>3</v>
      </c>
      <c r="T1676" s="15" t="str">
        <f t="shared" si="5"/>
        <v>C-5</v>
      </c>
      <c r="U1676" s="15" t="str">
        <f t="shared" si="6"/>
        <v>T1-M7-H3-FC-5-VERIFY</v>
      </c>
      <c r="V1676" s="15">
        <f t="shared" si="7"/>
        <v>0</v>
      </c>
      <c r="W1676" s="31"/>
      <c r="X1676" s="15" t="str">
        <f t="shared" si="8"/>
        <v>liwa-uae</v>
      </c>
      <c r="Y1676" s="32" t="str">
        <f t="shared" si="9"/>
        <v>https://steelmanufacturer.in/market-area/electropolished-pipes-manufacturer-in-liwa-uae/</v>
      </c>
      <c r="Z1676" s="15" t="str">
        <f t="shared" si="10"/>
        <v>Electropolished Pipes Manufacturer in Liwa | Sakshi Forge</v>
      </c>
      <c r="AA1676" s="15" t="str">
        <f t="shared" si="11"/>
        <v>OK (57)</v>
      </c>
      <c r="AB1676" s="15" t="str">
        <f t="shared" si="12"/>
        <v>Electropolished pipes in Liwa: 304, 304L, 316 and 316L in SF1-SF4. 10-14 days sea from Nhava Sheva to Jebel Ali. Mill certified.</v>
      </c>
      <c r="AC1676" s="15" t="str">
        <f t="shared" si="13"/>
        <v>PENDING RESEARCH</v>
      </c>
      <c r="AD1676" s="15" t="str">
        <f t="shared" si="14"/>
        <v>Electropolished Pipes Manufacturer in Liwa</v>
      </c>
      <c r="AE1676" s="15" t="str">
        <f t="shared" si="15"/>
        <v>Electropolished Pipes Manufacturer in Liwa - Our Process &amp; Capability</v>
      </c>
      <c r="AF1676" s="15" t="str">
        <f t="shared" si="16"/>
        <v>Electropolished Pipes Supplier in Liwa - What We Hold in Stock</v>
      </c>
      <c r="AG1676" s="15" t="str">
        <f t="shared" si="17"/>
        <v>Bulk &amp; Wholesale Electropolished Pipe Rates for Liwa Buyers</v>
      </c>
      <c r="AH1676" s="15" t="str">
        <f t="shared" si="18"/>
        <v>electropolished pipes manufacturer in Liwa, electropolished pipes supplier in Liwa, electropolished pipes wholesaler in Liwa, electropolished tube manufacturer Liwa, EP pipe supplier Liwa, sanitary tube supplier Liwa, ASME BPE tubing Liwa, ASTM A270 tube Liwa, SS 316L electropolished pipe Liwa</v>
      </c>
      <c r="AI1676" s="15" t="str">
        <f t="shared" si="19"/>
        <v>Electropolished Pipes Manufacturer &amp; Supplier in Liwa</v>
      </c>
      <c r="AJ1676" s="15" t="str">
        <f t="shared" si="20"/>
        <v>EP-finished SS 304/316L pipes and tubes for VERIFY plants in Liwa. ASME BPE SF1-SF4, Ra from 0.25 um, EN 10204 3.1 certificate with every lot.</v>
      </c>
      <c r="AK1676" s="15" t="str">
        <f t="shared" si="21"/>
        <v>Electropolished stainless steel pipes supplied by Sakshi Forge to VERIFY plants at VERIFY, Liwa</v>
      </c>
      <c r="AL1676" s="15" t="str">
        <f t="shared" si="22"/>
        <v>Electropolished SS 316L tube stock for Liwa - Sakshi Forge</v>
      </c>
      <c r="AM1676" s="15" t="str">
        <f t="shared" si="23"/>
        <v>Home &gt; Market Area &gt; UAE &gt; VERIFY &gt; Liwa</v>
      </c>
      <c r="AN1676" s="15">
        <f t="shared" si="24"/>
        <v>750</v>
      </c>
      <c r="AO1676" s="15">
        <f t="shared" si="25"/>
        <v>6</v>
      </c>
      <c r="AP1676" s="15">
        <f t="shared" si="26"/>
        <v>6</v>
      </c>
      <c r="AQ1676" s="15">
        <f t="shared" si="27"/>
        <v>28</v>
      </c>
      <c r="AR1676" s="31"/>
      <c r="AS1676" s="31"/>
      <c r="AT1676" s="35" t="s">
        <v>222</v>
      </c>
      <c r="AU1676" s="35"/>
    </row>
    <row r="1677" ht="15.75" customHeight="1">
      <c r="A1677" s="15" t="s">
        <v>7656</v>
      </c>
      <c r="B1677" s="15" t="s">
        <v>148</v>
      </c>
      <c r="C1677" s="15" t="s">
        <v>98</v>
      </c>
      <c r="D1677" s="15" t="s">
        <v>7659</v>
      </c>
      <c r="E1677" s="15" t="s">
        <v>7659</v>
      </c>
      <c r="F1677" s="58" t="s">
        <v>807</v>
      </c>
      <c r="G1677" s="66" t="s">
        <v>98</v>
      </c>
      <c r="H1677" s="18" t="s">
        <v>98</v>
      </c>
      <c r="I1677" s="18" t="s">
        <v>98</v>
      </c>
      <c r="J1677" s="18" t="s">
        <v>98</v>
      </c>
      <c r="K1677" s="18" t="s">
        <v>98</v>
      </c>
      <c r="L1677" s="18" t="s">
        <v>98</v>
      </c>
      <c r="M1677" s="18" t="s">
        <v>477</v>
      </c>
      <c r="N1677" s="18" t="s">
        <v>184</v>
      </c>
      <c r="O1677" s="18" t="s">
        <v>98</v>
      </c>
      <c r="P1677" s="15" t="str">
        <f t="shared" si="1"/>
        <v>VERIFY</v>
      </c>
      <c r="Q1677" s="15">
        <f t="shared" si="2"/>
        <v>2</v>
      </c>
      <c r="R1677" s="15">
        <f t="shared" si="3"/>
        <v>1</v>
      </c>
      <c r="S1677" s="15">
        <f t="shared" si="4"/>
        <v>4</v>
      </c>
      <c r="T1677" s="15" t="str">
        <f t="shared" si="5"/>
        <v>C-6</v>
      </c>
      <c r="U1677" s="15" t="str">
        <f t="shared" si="6"/>
        <v>T2-M1-H4-FC-6-VERIFY</v>
      </c>
      <c r="V1677" s="15">
        <f t="shared" si="7"/>
        <v>0</v>
      </c>
      <c r="W1677" s="31"/>
      <c r="X1677" s="15" t="str">
        <f t="shared" si="8"/>
        <v>madinat-zayed-uae</v>
      </c>
      <c r="Y1677" s="32" t="str">
        <f t="shared" si="9"/>
        <v>https://steelmanufacturer.in/market-area/electropolished-pipes-manufacturer-in-madinat-zayed-uae/</v>
      </c>
      <c r="Z1677" s="15" t="str">
        <f t="shared" si="10"/>
        <v>Electropolished Pipes Manufacturer in Madinat Zayed</v>
      </c>
      <c r="AA1677" s="15" t="str">
        <f t="shared" si="11"/>
        <v>OK (51)</v>
      </c>
      <c r="AB1677" s="15" t="str">
        <f t="shared" si="12"/>
        <v>EP-finished SS 304/316L pipes &amp; tubes for VERIFY plants in Madinat Zayed. ASTM A270, ASME BPE SF1-SF4, EN 10204 3.1 MTC. PMI tested.</v>
      </c>
      <c r="AC1677" s="15" t="str">
        <f t="shared" si="13"/>
        <v>PENDING RESEARCH</v>
      </c>
      <c r="AD1677" s="15" t="str">
        <f t="shared" si="14"/>
        <v>Electropolished Pipes Manufacturer in Madinat Zayed</v>
      </c>
      <c r="AE1677" s="15" t="str">
        <f t="shared" si="15"/>
        <v>Manufacturing Electropolished SS Tube for Madinat Zayed: The Standards We Build To</v>
      </c>
      <c r="AF1677" s="15" t="str">
        <f t="shared" si="16"/>
        <v>Electropolished Pipe Supply Into Madinat Zayed - Certification &amp; Transit</v>
      </c>
      <c r="AG1677" s="15" t="str">
        <f t="shared" si="17"/>
        <v>Electropolished Pipes Wholesaler in Madinat Zayed - Project Quantities &amp; Terms</v>
      </c>
      <c r="AH1677" s="15" t="str">
        <f t="shared" si="18"/>
        <v>electropolished pipes manufacturer in Madinat Zayed, electropolished pipes supplier in Madinat Zayed, electropolished pipes wholesaler in Madinat Zayed, electropolished tube manufacturer Madinat Zayed, EP pipe supplier Madinat Zayed, sanitary tube supplier Madinat Zayed, ASME BPE tubing Madinat Zayed, ASTM A270 tube Madinat Zayed, SS 316L electropolished pipe Madinat Zayed</v>
      </c>
      <c r="AI1677" s="15" t="str">
        <f t="shared" si="19"/>
        <v>Electropolished Pipes Manufacturer &amp; Supplier in Madinat Zayed</v>
      </c>
      <c r="AJ1677" s="15" t="str">
        <f t="shared" si="20"/>
        <v>EP-finished SS 304/316L pipes and tubes for VERIFY plants in Madinat Zayed. ASME BPE SF1-SF4, Ra from 0.25 um, EN 10204 3.1 certificate with every lot.</v>
      </c>
      <c r="AK1677" s="15" t="str">
        <f t="shared" si="21"/>
        <v>Electropolished stainless steel pipes supplied by Sakshi Forge to VERIFY plants at VERIFY, Madinat Zayed</v>
      </c>
      <c r="AL1677" s="15" t="str">
        <f t="shared" si="22"/>
        <v>Electropolished SS 316L tube stock for Madinat Zayed - Sakshi Forge</v>
      </c>
      <c r="AM1677" s="15" t="str">
        <f t="shared" si="23"/>
        <v>Home &gt; Market Area &gt; UAE &gt; VERIFY &gt; Madinat Zayed</v>
      </c>
      <c r="AN1677" s="15">
        <f t="shared" si="24"/>
        <v>750</v>
      </c>
      <c r="AO1677" s="15">
        <f t="shared" si="25"/>
        <v>6</v>
      </c>
      <c r="AP1677" s="15">
        <f t="shared" si="26"/>
        <v>6</v>
      </c>
      <c r="AQ1677" s="15">
        <f t="shared" si="27"/>
        <v>28</v>
      </c>
      <c r="AR1677" s="31"/>
      <c r="AS1677" s="31"/>
      <c r="AT1677" s="35" t="s">
        <v>222</v>
      </c>
      <c r="AU1677" s="35"/>
    </row>
    <row r="1678" ht="15.75" customHeight="1">
      <c r="A1678" s="15" t="s">
        <v>7663</v>
      </c>
      <c r="B1678" s="15" t="s">
        <v>148</v>
      </c>
      <c r="C1678" s="15" t="s">
        <v>98</v>
      </c>
      <c r="D1678" s="15" t="s">
        <v>7665</v>
      </c>
      <c r="E1678" s="15" t="s">
        <v>7665</v>
      </c>
      <c r="F1678" s="58" t="s">
        <v>807</v>
      </c>
      <c r="G1678" s="66" t="s">
        <v>98</v>
      </c>
      <c r="H1678" s="18" t="s">
        <v>98</v>
      </c>
      <c r="I1678" s="18" t="s">
        <v>98</v>
      </c>
      <c r="J1678" s="18" t="s">
        <v>98</v>
      </c>
      <c r="K1678" s="18" t="s">
        <v>98</v>
      </c>
      <c r="L1678" s="18" t="s">
        <v>98</v>
      </c>
      <c r="M1678" s="18" t="s">
        <v>477</v>
      </c>
      <c r="N1678" s="18" t="s">
        <v>184</v>
      </c>
      <c r="O1678" s="18" t="s">
        <v>98</v>
      </c>
      <c r="P1678" s="15" t="str">
        <f t="shared" si="1"/>
        <v>VERIFY</v>
      </c>
      <c r="Q1678" s="15">
        <f t="shared" si="2"/>
        <v>3</v>
      </c>
      <c r="R1678" s="15">
        <f t="shared" si="3"/>
        <v>2</v>
      </c>
      <c r="S1678" s="15">
        <f t="shared" si="4"/>
        <v>5</v>
      </c>
      <c r="T1678" s="15" t="str">
        <f t="shared" si="5"/>
        <v>C-1</v>
      </c>
      <c r="U1678" s="15" t="str">
        <f t="shared" si="6"/>
        <v>T3-M2-H5-FC-1-VERIFY</v>
      </c>
      <c r="V1678" s="15">
        <f t="shared" si="7"/>
        <v>0</v>
      </c>
      <c r="W1678" s="31"/>
      <c r="X1678" s="15" t="str">
        <f t="shared" si="8"/>
        <v>masafi-uae</v>
      </c>
      <c r="Y1678" s="32" t="str">
        <f t="shared" si="9"/>
        <v>https://steelmanufacturer.in/market-area/electropolished-pipes-manufacturer-in-masafi-uae/</v>
      </c>
      <c r="Z1678" s="15" t="str">
        <f t="shared" si="10"/>
        <v>Electropolished Pipes Manufacturer in Masafi | EP Tube Supplier</v>
      </c>
      <c r="AA1678" s="15" t="str">
        <f t="shared" si="11"/>
        <v>OK (63)</v>
      </c>
      <c r="AB1678" s="15" t="str">
        <f t="shared" si="12"/>
        <v>Electropolished tube supply to VERIFY, Masafi. Ra from 0.25 um, SF4 finish, mill test certificate with every lot.</v>
      </c>
      <c r="AC1678" s="15" t="str">
        <f t="shared" si="13"/>
        <v>PENDING RESEARCH</v>
      </c>
      <c r="AD1678" s="15" t="str">
        <f t="shared" si="14"/>
        <v>Electropolished Pipes Manufacturer in Masafi</v>
      </c>
      <c r="AE1678" s="15" t="str">
        <f t="shared" si="15"/>
        <v>Electropolished Tube Manufacturing Capability Serving Masafi</v>
      </c>
      <c r="AF1678" s="15" t="str">
        <f t="shared" si="16"/>
        <v>Electropolished Pipes Supplier in Masafi - From Order to Delivery</v>
      </c>
      <c r="AG1678" s="15" t="str">
        <f t="shared" si="17"/>
        <v>Stockist &amp; Wholesale Supply of Electropolished Pipes in Masafi</v>
      </c>
      <c r="AH1678" s="15" t="str">
        <f t="shared" si="18"/>
        <v>electropolished pipes manufacturer in Masafi, electropolished pipes supplier in Masafi, electropolished pipes wholesaler in Masafi, electropolished tube manufacturer Masafi, EP pipe supplier Masafi, sanitary tube supplier Masafi, ASME BPE tubing Masafi, ASTM A270 tube Masafi, SS 316L electropolished pipe Masafi</v>
      </c>
      <c r="AI1678" s="15" t="str">
        <f t="shared" si="19"/>
        <v>Electropolished Pipes Manufacturer &amp; Supplier in Masafi</v>
      </c>
      <c r="AJ1678" s="15" t="str">
        <f t="shared" si="20"/>
        <v>EP-finished SS 304/316L pipes and tubes for VERIFY plants in Masafi. ASME BPE SF1-SF4, Ra from 0.25 um, EN 10204 3.1 certificate with every lot.</v>
      </c>
      <c r="AK1678" s="15" t="str">
        <f t="shared" si="21"/>
        <v>Electropolished stainless steel pipes supplied by Sakshi Forge to VERIFY plants at VERIFY, Masafi</v>
      </c>
      <c r="AL1678" s="15" t="str">
        <f t="shared" si="22"/>
        <v>Electropolished SS 316L tube stock for Masafi - Sakshi Forge</v>
      </c>
      <c r="AM1678" s="15" t="str">
        <f t="shared" si="23"/>
        <v>Home &gt; Market Area &gt; UAE &gt; VERIFY &gt; Masafi</v>
      </c>
      <c r="AN1678" s="15">
        <f t="shared" si="24"/>
        <v>750</v>
      </c>
      <c r="AO1678" s="15">
        <f t="shared" si="25"/>
        <v>6</v>
      </c>
      <c r="AP1678" s="15">
        <f t="shared" si="26"/>
        <v>6</v>
      </c>
      <c r="AQ1678" s="15">
        <f t="shared" si="27"/>
        <v>28</v>
      </c>
      <c r="AR1678" s="31"/>
      <c r="AS1678" s="31"/>
      <c r="AT1678" s="35" t="s">
        <v>222</v>
      </c>
      <c r="AU1678" s="35"/>
    </row>
    <row r="1679" ht="15.75" customHeight="1">
      <c r="A1679" s="15" t="s">
        <v>7666</v>
      </c>
      <c r="B1679" s="15" t="s">
        <v>148</v>
      </c>
      <c r="C1679" s="15" t="s">
        <v>98</v>
      </c>
      <c r="D1679" s="15" t="s">
        <v>7667</v>
      </c>
      <c r="E1679" s="15" t="s">
        <v>7667</v>
      </c>
      <c r="F1679" s="58" t="s">
        <v>807</v>
      </c>
      <c r="G1679" s="66" t="s">
        <v>98</v>
      </c>
      <c r="H1679" s="18" t="s">
        <v>98</v>
      </c>
      <c r="I1679" s="18" t="s">
        <v>98</v>
      </c>
      <c r="J1679" s="18" t="s">
        <v>98</v>
      </c>
      <c r="K1679" s="18" t="s">
        <v>98</v>
      </c>
      <c r="L1679" s="18" t="s">
        <v>98</v>
      </c>
      <c r="M1679" s="18" t="s">
        <v>477</v>
      </c>
      <c r="N1679" s="18" t="s">
        <v>184</v>
      </c>
      <c r="O1679" s="18" t="s">
        <v>98</v>
      </c>
      <c r="P1679" s="15" t="str">
        <f t="shared" si="1"/>
        <v>VERIFY</v>
      </c>
      <c r="Q1679" s="15">
        <f t="shared" si="2"/>
        <v>4</v>
      </c>
      <c r="R1679" s="15">
        <f t="shared" si="3"/>
        <v>3</v>
      </c>
      <c r="S1679" s="15">
        <f t="shared" si="4"/>
        <v>1</v>
      </c>
      <c r="T1679" s="15" t="str">
        <f t="shared" si="5"/>
        <v>C-2</v>
      </c>
      <c r="U1679" s="15" t="str">
        <f t="shared" si="6"/>
        <v>T4-M3-H1-FC-2-VERIFY</v>
      </c>
      <c r="V1679" s="15">
        <f t="shared" si="7"/>
        <v>0</v>
      </c>
      <c r="W1679" s="31"/>
      <c r="X1679" s="15" t="str">
        <f t="shared" si="8"/>
        <v>ruwais-uae</v>
      </c>
      <c r="Y1679" s="32" t="str">
        <f t="shared" si="9"/>
        <v>https://steelmanufacturer.in/market-area/electropolished-pipes-manufacturer-in-ruwais-uae/</v>
      </c>
      <c r="Z1679" s="15" t="str">
        <f t="shared" si="10"/>
        <v>Electropolished Pipes Manufacturer in Ruwais</v>
      </c>
      <c r="AA1679" s="15" t="str">
        <f t="shared" si="11"/>
        <v>OK (44)</v>
      </c>
      <c r="AB1679" s="15" t="str">
        <f t="shared" si="12"/>
        <v>EP stainless tube for VERIFY lines in Ruwais. 10-14 days sea from Nhava Sheva to Jebel Ali. ASTM A270 S2, PMI tested, EN 10204 3.1.</v>
      </c>
      <c r="AC1679" s="15" t="str">
        <f t="shared" si="13"/>
        <v>PENDING RESEARCH</v>
      </c>
      <c r="AD1679" s="15" t="str">
        <f t="shared" si="14"/>
        <v>Electropolished Pipes Manufacturer in Ruwais</v>
      </c>
      <c r="AE1679" s="15" t="str">
        <f t="shared" si="15"/>
        <v>Electropolished Pipe &amp; Tube Manufacturing for Ruwais - Grades, Finishes &amp; Certification</v>
      </c>
      <c r="AF1679" s="15" t="str">
        <f t="shared" si="16"/>
        <v>Electropolished Pipes Supplier in Ruwais - Stock Sizes, Lead Time &amp; Delivery</v>
      </c>
      <c r="AG1679" s="15" t="str">
        <f t="shared" si="17"/>
        <v>Electropolished Pipes Wholesaler &amp; Stockist in Ruwais - Bulk &amp; Project Pricing</v>
      </c>
      <c r="AH1679" s="15" t="str">
        <f t="shared" si="18"/>
        <v>electropolished pipes manufacturer in Ruwais, electropolished pipes supplier in Ruwais, electropolished pipes wholesaler in Ruwais, electropolished tube manufacturer Ruwais, EP pipe supplier Ruwais, sanitary tube supplier Ruwais, ASME BPE tubing Ruwais, ASTM A270 tube Ruwais, SS 316L electropolished pipe Ruwais</v>
      </c>
      <c r="AI1679" s="15" t="str">
        <f t="shared" si="19"/>
        <v>Electropolished Pipes Manufacturer &amp; Supplier in Ruwais</v>
      </c>
      <c r="AJ1679" s="15" t="str">
        <f t="shared" si="20"/>
        <v>EP-finished SS 304/316L pipes and tubes for VERIFY plants in Ruwais. ASME BPE SF1-SF4, Ra from 0.25 um, EN 10204 3.1 certificate with every lot.</v>
      </c>
      <c r="AK1679" s="15" t="str">
        <f t="shared" si="21"/>
        <v>Electropolished stainless steel pipes supplied by Sakshi Forge to VERIFY plants at VERIFY, Ruwais</v>
      </c>
      <c r="AL1679" s="15" t="str">
        <f t="shared" si="22"/>
        <v>Electropolished SS 316L tube stock for Ruwais - Sakshi Forge</v>
      </c>
      <c r="AM1679" s="15" t="str">
        <f t="shared" si="23"/>
        <v>Home &gt; Market Area &gt; UAE &gt; VERIFY &gt; Ruwais</v>
      </c>
      <c r="AN1679" s="15">
        <f t="shared" si="24"/>
        <v>750</v>
      </c>
      <c r="AO1679" s="15">
        <f t="shared" si="25"/>
        <v>6</v>
      </c>
      <c r="AP1679" s="15">
        <f t="shared" si="26"/>
        <v>6</v>
      </c>
      <c r="AQ1679" s="15">
        <f t="shared" si="27"/>
        <v>28</v>
      </c>
      <c r="AR1679" s="31"/>
      <c r="AS1679" s="31"/>
      <c r="AT1679" s="35" t="s">
        <v>222</v>
      </c>
      <c r="AU1679" s="35"/>
    </row>
    <row r="1680" ht="15.75" customHeight="1">
      <c r="A1680" s="15" t="s">
        <v>7668</v>
      </c>
      <c r="B1680" s="15" t="s">
        <v>234</v>
      </c>
      <c r="C1680" s="15" t="s">
        <v>98</v>
      </c>
      <c r="D1680" s="15" t="s">
        <v>7669</v>
      </c>
      <c r="E1680" s="15" t="s">
        <v>7669</v>
      </c>
      <c r="F1680" s="58" t="s">
        <v>807</v>
      </c>
      <c r="G1680" s="66" t="s">
        <v>98</v>
      </c>
      <c r="H1680" s="18" t="s">
        <v>98</v>
      </c>
      <c r="I1680" s="18" t="s">
        <v>98</v>
      </c>
      <c r="J1680" s="18" t="s">
        <v>98</v>
      </c>
      <c r="K1680" s="18" t="s">
        <v>98</v>
      </c>
      <c r="L1680" s="18" t="s">
        <v>98</v>
      </c>
      <c r="M1680" s="18" t="s">
        <v>540</v>
      </c>
      <c r="N1680" s="18" t="s">
        <v>242</v>
      </c>
      <c r="O1680" s="18" t="s">
        <v>98</v>
      </c>
      <c r="P1680" s="15" t="str">
        <f t="shared" si="1"/>
        <v>VERIFY</v>
      </c>
      <c r="Q1680" s="15">
        <f t="shared" si="2"/>
        <v>5</v>
      </c>
      <c r="R1680" s="15">
        <f t="shared" si="3"/>
        <v>4</v>
      </c>
      <c r="S1680" s="15">
        <f t="shared" si="4"/>
        <v>2</v>
      </c>
      <c r="T1680" s="15" t="str">
        <f t="shared" si="5"/>
        <v>C-3</v>
      </c>
      <c r="U1680" s="15" t="str">
        <f t="shared" si="6"/>
        <v>T5-M4-H2-FC-3-VERIFY</v>
      </c>
      <c r="V1680" s="15">
        <f t="shared" si="7"/>
        <v>0</v>
      </c>
      <c r="W1680" s="31"/>
      <c r="X1680" s="15" t="str">
        <f t="shared" si="8"/>
        <v>bangor-wales-uk</v>
      </c>
      <c r="Y1680" s="32" t="str">
        <f t="shared" si="9"/>
        <v>https://steelmanufacturer.in/market-area/electropolished-pipes-manufacturer-in-bangor-wales-uk/</v>
      </c>
      <c r="Z1680" s="15" t="str">
        <f t="shared" si="10"/>
        <v>Electropolished Pipes Manufacturer in Bangor-Wales</v>
      </c>
      <c r="AA1680" s="15" t="str">
        <f t="shared" si="11"/>
        <v>OK (50)</v>
      </c>
      <c r="AB1680" s="15" t="str">
        <f t="shared" si="12"/>
        <v>Sanitary electropolished pipes in Bangor-Wales for VERIFY plants. ASME BPE SF1-SF4, orbital-weld ready, 3.1 MTC. Mumbai-made.</v>
      </c>
      <c r="AC1680" s="15" t="str">
        <f t="shared" si="13"/>
        <v>PENDING RESEARCH</v>
      </c>
      <c r="AD1680" s="15" t="str">
        <f t="shared" si="14"/>
        <v>Electropolished Pipes Manufacturer in Bangor-Wales</v>
      </c>
      <c r="AE1680" s="15" t="str">
        <f t="shared" si="15"/>
        <v>How We Manufacture Electropolished Tube for Bangor-Wales Plants</v>
      </c>
      <c r="AF1680" s="15" t="str">
        <f t="shared" si="16"/>
        <v>Supplying Electropolished Pipes in Bangor-Wales: Availability, Sizes &amp; Dispatch</v>
      </c>
      <c r="AG1680" s="15" t="str">
        <f t="shared" si="17"/>
        <v>Wholesale Electropolished Pipe Supply for Bangor-Wales Projects</v>
      </c>
      <c r="AH1680" s="15" t="str">
        <f t="shared" si="18"/>
        <v>electropolished pipes manufacturer in Bangor-Wales, electropolished pipes supplier in Bangor-Wales, electropolished pipes wholesaler in Bangor-Wales, electropolished tube manufacturer Bangor-Wales, EP pipe supplier Bangor-Wales, sanitary tube supplier Bangor-Wales, ASME BPE tubing Bangor-Wales, ASTM A270 tube Bangor-Wales, SS 316L electropolished pipe Bangor-Wales</v>
      </c>
      <c r="AI1680" s="15" t="str">
        <f t="shared" si="19"/>
        <v>Electropolished Pipes Manufacturer &amp; Supplier in Bangor-Wales</v>
      </c>
      <c r="AJ1680" s="15" t="str">
        <f t="shared" si="20"/>
        <v>EP-finished SS 304/316L pipes and tubes for VERIFY plants in Bangor-Wales. ASME BPE SF1-SF4, Ra from 0.25 um, EN 10204 3.1 certificate with every lot.</v>
      </c>
      <c r="AK1680" s="15" t="str">
        <f t="shared" si="21"/>
        <v>Electropolished stainless steel pipes supplied by Sakshi Forge to VERIFY plants at VERIFY, Bangor-Wales</v>
      </c>
      <c r="AL1680" s="15" t="str">
        <f t="shared" si="22"/>
        <v>Electropolished SS 316L tube stock for Bangor-Wales - Sakshi Forge</v>
      </c>
      <c r="AM1680" s="15" t="str">
        <f t="shared" si="23"/>
        <v>Home &gt; Market Area &gt; UK &gt; VERIFY &gt; Bangor-Wales</v>
      </c>
      <c r="AN1680" s="15">
        <f t="shared" si="24"/>
        <v>750</v>
      </c>
      <c r="AO1680" s="15">
        <f t="shared" si="25"/>
        <v>6</v>
      </c>
      <c r="AP1680" s="15">
        <f t="shared" si="26"/>
        <v>6</v>
      </c>
      <c r="AQ1680" s="15">
        <f t="shared" si="27"/>
        <v>28</v>
      </c>
      <c r="AR1680" s="31"/>
      <c r="AS1680" s="31"/>
      <c r="AT1680" s="35" t="s">
        <v>222</v>
      </c>
      <c r="AU1680" s="35"/>
    </row>
    <row r="1681" ht="15.75" customHeight="1">
      <c r="A1681" s="15" t="s">
        <v>7671</v>
      </c>
      <c r="B1681" s="15" t="s">
        <v>234</v>
      </c>
      <c r="C1681" s="15" t="s">
        <v>98</v>
      </c>
      <c r="D1681" s="15" t="s">
        <v>7672</v>
      </c>
      <c r="E1681" s="15" t="s">
        <v>7672</v>
      </c>
      <c r="F1681" s="58" t="s">
        <v>807</v>
      </c>
      <c r="G1681" s="66" t="s">
        <v>98</v>
      </c>
      <c r="H1681" s="18" t="s">
        <v>98</v>
      </c>
      <c r="I1681" s="18" t="s">
        <v>98</v>
      </c>
      <c r="J1681" s="18" t="s">
        <v>98</v>
      </c>
      <c r="K1681" s="18" t="s">
        <v>98</v>
      </c>
      <c r="L1681" s="18" t="s">
        <v>98</v>
      </c>
      <c r="M1681" s="18" t="s">
        <v>540</v>
      </c>
      <c r="N1681" s="18" t="s">
        <v>242</v>
      </c>
      <c r="O1681" s="18" t="s">
        <v>98</v>
      </c>
      <c r="P1681" s="15" t="str">
        <f t="shared" si="1"/>
        <v>VERIFY</v>
      </c>
      <c r="Q1681" s="15">
        <f t="shared" si="2"/>
        <v>6</v>
      </c>
      <c r="R1681" s="15">
        <f t="shared" si="3"/>
        <v>5</v>
      </c>
      <c r="S1681" s="15">
        <f t="shared" si="4"/>
        <v>3</v>
      </c>
      <c r="T1681" s="15" t="str">
        <f t="shared" si="5"/>
        <v>C-4</v>
      </c>
      <c r="U1681" s="15" t="str">
        <f t="shared" si="6"/>
        <v>T6-M5-H3-FC-4-VERIFY</v>
      </c>
      <c r="V1681" s="15">
        <f t="shared" si="7"/>
        <v>0</v>
      </c>
      <c r="W1681" s="31"/>
      <c r="X1681" s="15" t="str">
        <f t="shared" si="8"/>
        <v>barnsley-uk</v>
      </c>
      <c r="Y1681" s="32" t="str">
        <f t="shared" si="9"/>
        <v>https://steelmanufacturer.in/market-area/electropolished-pipes-manufacturer-in-barnsley-uk/</v>
      </c>
      <c r="Z1681" s="15" t="str">
        <f t="shared" si="10"/>
        <v>Electropolished Pipes Manufacturer in Barnsley</v>
      </c>
      <c r="AA1681" s="15" t="str">
        <f t="shared" si="11"/>
        <v>OK (46)</v>
      </c>
      <c r="AB1681" s="15" t="str">
        <f t="shared" si="12"/>
        <v>Manufacturer of electropolished SS 316L tube serving Barnsley. 22-28 days sea from Nhava Sheva to Felixstowe. Ra 0.25-0.5 um, EN 10204 3.1 MTC.</v>
      </c>
      <c r="AC1681" s="15" t="str">
        <f t="shared" si="13"/>
        <v>PENDING RESEARCH</v>
      </c>
      <c r="AD1681" s="15" t="str">
        <f t="shared" si="14"/>
        <v>Electropolished Pipes Manufacturer in Barnsley</v>
      </c>
      <c r="AE1681" s="15" t="str">
        <f t="shared" si="15"/>
        <v>Electropolished Pipes Manufacturer in Barnsley - Our Process &amp; Capability</v>
      </c>
      <c r="AF1681" s="15" t="str">
        <f t="shared" si="16"/>
        <v>Electropolished Pipes Supplier in Barnsley - What We Hold in Stock</v>
      </c>
      <c r="AG1681" s="15" t="str">
        <f t="shared" si="17"/>
        <v>Bulk &amp; Wholesale Electropolished Pipe Rates for Barnsley Buyers</v>
      </c>
      <c r="AH1681" s="15" t="str">
        <f t="shared" si="18"/>
        <v>electropolished pipes manufacturer in Barnsley, electropolished pipes supplier in Barnsley, electropolished pipes wholesaler in Barnsley, electropolished tube manufacturer Barnsley, EP pipe supplier Barnsley, sanitary tube supplier Barnsley, ASME BPE tubing Barnsley, ASTM A270 tube Barnsley, SS 316L electropolished pipe Barnsley</v>
      </c>
      <c r="AI1681" s="15" t="str">
        <f t="shared" si="19"/>
        <v>Electropolished Pipes Manufacturer &amp; Supplier in Barnsley</v>
      </c>
      <c r="AJ1681" s="15" t="str">
        <f t="shared" si="20"/>
        <v>EP-finished SS 304/316L pipes and tubes for VERIFY plants in Barnsley. ASME BPE SF1-SF4, Ra from 0.25 um, EN 10204 3.1 certificate with every lot.</v>
      </c>
      <c r="AK1681" s="15" t="str">
        <f t="shared" si="21"/>
        <v>Electropolished stainless steel pipes supplied by Sakshi Forge to VERIFY plants at VERIFY, Barnsley</v>
      </c>
      <c r="AL1681" s="15" t="str">
        <f t="shared" si="22"/>
        <v>Electropolished SS 316L tube stock for Barnsley - Sakshi Forge</v>
      </c>
      <c r="AM1681" s="15" t="str">
        <f t="shared" si="23"/>
        <v>Home &gt; Market Area &gt; UK &gt; VERIFY &gt; Barnsley</v>
      </c>
      <c r="AN1681" s="15">
        <f t="shared" si="24"/>
        <v>750</v>
      </c>
      <c r="AO1681" s="15">
        <f t="shared" si="25"/>
        <v>6</v>
      </c>
      <c r="AP1681" s="15">
        <f t="shared" si="26"/>
        <v>6</v>
      </c>
      <c r="AQ1681" s="15">
        <f t="shared" si="27"/>
        <v>28</v>
      </c>
      <c r="AR1681" s="31"/>
      <c r="AS1681" s="31"/>
      <c r="AT1681" s="35" t="s">
        <v>222</v>
      </c>
      <c r="AU1681" s="35"/>
    </row>
    <row r="1682" ht="15.75" customHeight="1">
      <c r="A1682" s="15" t="s">
        <v>7673</v>
      </c>
      <c r="B1682" s="15" t="s">
        <v>234</v>
      </c>
      <c r="C1682" s="15" t="s">
        <v>98</v>
      </c>
      <c r="D1682" s="15" t="s">
        <v>7674</v>
      </c>
      <c r="E1682" s="15" t="s">
        <v>7674</v>
      </c>
      <c r="F1682" s="58" t="s">
        <v>807</v>
      </c>
      <c r="G1682" s="66" t="s">
        <v>98</v>
      </c>
      <c r="H1682" s="18" t="s">
        <v>98</v>
      </c>
      <c r="I1682" s="18" t="s">
        <v>98</v>
      </c>
      <c r="J1682" s="18" t="s">
        <v>98</v>
      </c>
      <c r="K1682" s="18" t="s">
        <v>98</v>
      </c>
      <c r="L1682" s="18" t="s">
        <v>98</v>
      </c>
      <c r="M1682" s="18" t="s">
        <v>540</v>
      </c>
      <c r="N1682" s="18" t="s">
        <v>242</v>
      </c>
      <c r="O1682" s="18" t="s">
        <v>98</v>
      </c>
      <c r="P1682" s="15" t="str">
        <f t="shared" si="1"/>
        <v>VERIFY</v>
      </c>
      <c r="Q1682" s="15">
        <f t="shared" si="2"/>
        <v>7</v>
      </c>
      <c r="R1682" s="15">
        <f t="shared" si="3"/>
        <v>6</v>
      </c>
      <c r="S1682" s="15">
        <f t="shared" si="4"/>
        <v>4</v>
      </c>
      <c r="T1682" s="15" t="str">
        <f t="shared" si="5"/>
        <v>C-5</v>
      </c>
      <c r="U1682" s="15" t="str">
        <f t="shared" si="6"/>
        <v>T7-M6-H4-FC-5-VERIFY</v>
      </c>
      <c r="V1682" s="15">
        <f t="shared" si="7"/>
        <v>0</v>
      </c>
      <c r="W1682" s="31"/>
      <c r="X1682" s="15" t="str">
        <f t="shared" si="8"/>
        <v>basingstoke-uk</v>
      </c>
      <c r="Y1682" s="32" t="str">
        <f t="shared" si="9"/>
        <v>https://steelmanufacturer.in/market-area/electropolished-pipes-manufacturer-in-basingstoke-uk/</v>
      </c>
      <c r="Z1682" s="15" t="str">
        <f t="shared" si="10"/>
        <v>Electropolished Pipes Manufacturer in Basingstoke</v>
      </c>
      <c r="AA1682" s="15" t="str">
        <f t="shared" si="11"/>
        <v>OK (49)</v>
      </c>
      <c r="AB1682" s="15" t="str">
        <f t="shared" si="12"/>
        <v>EP tube and pipe for VERIFY plants around VERIFY, Basingstoke. Made at our Mumbai works to ASTM A270 and ASME BPE SF1-SF4, with 3.1 MTC.</v>
      </c>
      <c r="AC1682" s="15" t="str">
        <f t="shared" si="13"/>
        <v>PENDING RESEARCH</v>
      </c>
      <c r="AD1682" s="15" t="str">
        <f t="shared" si="14"/>
        <v>Electropolished Pipes Manufacturer in Basingstoke</v>
      </c>
      <c r="AE1682" s="15" t="str">
        <f t="shared" si="15"/>
        <v>Manufacturing Electropolished SS Tube for Basingstoke: The Standards We Build To</v>
      </c>
      <c r="AF1682" s="15" t="str">
        <f t="shared" si="16"/>
        <v>Electropolished Pipe Supply Into Basingstoke - Certification &amp; Transit</v>
      </c>
      <c r="AG1682" s="15" t="str">
        <f t="shared" si="17"/>
        <v>Electropolished Pipes Wholesaler in Basingstoke - Project Quantities &amp; Terms</v>
      </c>
      <c r="AH1682" s="15" t="str">
        <f t="shared" si="18"/>
        <v>electropolished pipes manufacturer in Basingstoke, electropolished pipes supplier in Basingstoke, electropolished pipes wholesaler in Basingstoke, electropolished tube manufacturer Basingstoke, EP pipe supplier Basingstoke, sanitary tube supplier Basingstoke, ASME BPE tubing Basingstoke, ASTM A270 tube Basingstoke, SS 316L electropolished pipe Basingstoke</v>
      </c>
      <c r="AI1682" s="15" t="str">
        <f t="shared" si="19"/>
        <v>Electropolished Pipes Manufacturer &amp; Supplier in Basingstoke</v>
      </c>
      <c r="AJ1682" s="15" t="str">
        <f t="shared" si="20"/>
        <v>EP-finished SS 304/316L pipes and tubes for VERIFY plants in Basingstoke. ASME BPE SF1-SF4, Ra from 0.25 um, EN 10204 3.1 certificate with every lot.</v>
      </c>
      <c r="AK1682" s="15" t="str">
        <f t="shared" si="21"/>
        <v>Electropolished stainless steel pipes supplied by Sakshi Forge to VERIFY plants at VERIFY, Basingstoke</v>
      </c>
      <c r="AL1682" s="15" t="str">
        <f t="shared" si="22"/>
        <v>Electropolished SS 316L tube stock for Basingstoke - Sakshi Forge</v>
      </c>
      <c r="AM1682" s="15" t="str">
        <f t="shared" si="23"/>
        <v>Home &gt; Market Area &gt; UK &gt; VERIFY &gt; Basingstoke</v>
      </c>
      <c r="AN1682" s="15">
        <f t="shared" si="24"/>
        <v>750</v>
      </c>
      <c r="AO1682" s="15">
        <f t="shared" si="25"/>
        <v>6</v>
      </c>
      <c r="AP1682" s="15">
        <f t="shared" si="26"/>
        <v>6</v>
      </c>
      <c r="AQ1682" s="15">
        <f t="shared" si="27"/>
        <v>28</v>
      </c>
      <c r="AR1682" s="31"/>
      <c r="AS1682" s="31"/>
      <c r="AT1682" s="35" t="s">
        <v>222</v>
      </c>
      <c r="AU1682" s="35"/>
    </row>
    <row r="1683" ht="15.75" customHeight="1">
      <c r="A1683" s="15" t="s">
        <v>7675</v>
      </c>
      <c r="B1683" s="15" t="s">
        <v>234</v>
      </c>
      <c r="C1683" s="15" t="s">
        <v>98</v>
      </c>
      <c r="D1683" s="15" t="s">
        <v>7676</v>
      </c>
      <c r="E1683" s="15" t="s">
        <v>7676</v>
      </c>
      <c r="F1683" s="58" t="s">
        <v>807</v>
      </c>
      <c r="G1683" s="66" t="s">
        <v>98</v>
      </c>
      <c r="H1683" s="18" t="s">
        <v>98</v>
      </c>
      <c r="I1683" s="18" t="s">
        <v>98</v>
      </c>
      <c r="J1683" s="18" t="s">
        <v>98</v>
      </c>
      <c r="K1683" s="18" t="s">
        <v>98</v>
      </c>
      <c r="L1683" s="18" t="s">
        <v>98</v>
      </c>
      <c r="M1683" s="18" t="s">
        <v>540</v>
      </c>
      <c r="N1683" s="18" t="s">
        <v>242</v>
      </c>
      <c r="O1683" s="18" t="s">
        <v>98</v>
      </c>
      <c r="P1683" s="15" t="str">
        <f t="shared" si="1"/>
        <v>VERIFY</v>
      </c>
      <c r="Q1683" s="15">
        <f t="shared" si="2"/>
        <v>8</v>
      </c>
      <c r="R1683" s="15">
        <f t="shared" si="3"/>
        <v>7</v>
      </c>
      <c r="S1683" s="15">
        <f t="shared" si="4"/>
        <v>5</v>
      </c>
      <c r="T1683" s="15" t="str">
        <f t="shared" si="5"/>
        <v>C-6</v>
      </c>
      <c r="U1683" s="15" t="str">
        <f t="shared" si="6"/>
        <v>T8-M7-H5-FC-6-VERIFY</v>
      </c>
      <c r="V1683" s="15">
        <f t="shared" si="7"/>
        <v>0</v>
      </c>
      <c r="W1683" s="31"/>
      <c r="X1683" s="15" t="str">
        <f t="shared" si="8"/>
        <v>bath-uk</v>
      </c>
      <c r="Y1683" s="32" t="str">
        <f t="shared" si="9"/>
        <v>https://steelmanufacturer.in/market-area/electropolished-pipes-manufacturer-in-bath-uk/</v>
      </c>
      <c r="Z1683" s="15" t="str">
        <f t="shared" si="10"/>
        <v>Electropolished Pipes Manufacturer in Bath - EP Tube Stockist</v>
      </c>
      <c r="AA1683" s="15" t="str">
        <f t="shared" si="11"/>
        <v>OK (61)</v>
      </c>
      <c r="AB1683" s="15" t="str">
        <f t="shared" si="12"/>
        <v>Electropolished pipes in Bath: 304, 304L, 316 and 316L in SF1-SF4. 22-28 days sea from Nhava Sheva to Felixstowe. Mill certified.</v>
      </c>
      <c r="AC1683" s="15" t="str">
        <f t="shared" si="13"/>
        <v>PENDING RESEARCH</v>
      </c>
      <c r="AD1683" s="15" t="str">
        <f t="shared" si="14"/>
        <v>Electropolished Pipes Manufacturer in Bath</v>
      </c>
      <c r="AE1683" s="15" t="str">
        <f t="shared" si="15"/>
        <v>Electropolished Tube Manufacturing Capability Serving Bath</v>
      </c>
      <c r="AF1683" s="15" t="str">
        <f t="shared" si="16"/>
        <v>Electropolished Pipes Supplier in Bath - From Order to Delivery</v>
      </c>
      <c r="AG1683" s="15" t="str">
        <f t="shared" si="17"/>
        <v>Stockist &amp; Wholesale Supply of Electropolished Pipes in Bath</v>
      </c>
      <c r="AH1683" s="15" t="str">
        <f t="shared" si="18"/>
        <v>electropolished pipes manufacturer in Bath, electropolished pipes supplier in Bath, electropolished pipes wholesaler in Bath, electropolished tube manufacturer Bath, EP pipe supplier Bath, sanitary tube supplier Bath, ASME BPE tubing Bath, ASTM A270 tube Bath, SS 316L electropolished pipe Bath</v>
      </c>
      <c r="AI1683" s="15" t="str">
        <f t="shared" si="19"/>
        <v>Electropolished Pipes Manufacturer &amp; Supplier in Bath</v>
      </c>
      <c r="AJ1683" s="15" t="str">
        <f t="shared" si="20"/>
        <v>EP-finished SS 304/316L pipes and tubes for VERIFY plants in Bath. ASME BPE SF1-SF4, Ra from 0.25 um, EN 10204 3.1 certificate with every lot.</v>
      </c>
      <c r="AK1683" s="15" t="str">
        <f t="shared" si="21"/>
        <v>Electropolished stainless steel pipes supplied by Sakshi Forge to VERIFY plants at VERIFY, Bath</v>
      </c>
      <c r="AL1683" s="15" t="str">
        <f t="shared" si="22"/>
        <v>Electropolished SS 316L tube stock for Bath - Sakshi Forge</v>
      </c>
      <c r="AM1683" s="15" t="str">
        <f t="shared" si="23"/>
        <v>Home &gt; Market Area &gt; UK &gt; VERIFY &gt; Bath</v>
      </c>
      <c r="AN1683" s="15">
        <f t="shared" si="24"/>
        <v>750</v>
      </c>
      <c r="AO1683" s="15">
        <f t="shared" si="25"/>
        <v>6</v>
      </c>
      <c r="AP1683" s="15">
        <f t="shared" si="26"/>
        <v>6</v>
      </c>
      <c r="AQ1683" s="15">
        <f t="shared" si="27"/>
        <v>28</v>
      </c>
      <c r="AR1683" s="31"/>
      <c r="AS1683" s="31"/>
      <c r="AT1683" s="35" t="s">
        <v>222</v>
      </c>
      <c r="AU1683" s="35"/>
    </row>
    <row r="1684" ht="15.75" customHeight="1">
      <c r="A1684" s="15" t="s">
        <v>7677</v>
      </c>
      <c r="B1684" s="15" t="s">
        <v>234</v>
      </c>
      <c r="C1684" s="15" t="s">
        <v>98</v>
      </c>
      <c r="D1684" s="15" t="s">
        <v>7678</v>
      </c>
      <c r="E1684" s="15" t="s">
        <v>7678</v>
      </c>
      <c r="F1684" s="58" t="s">
        <v>807</v>
      </c>
      <c r="G1684" s="66" t="s">
        <v>98</v>
      </c>
      <c r="H1684" s="18" t="s">
        <v>98</v>
      </c>
      <c r="I1684" s="18" t="s">
        <v>98</v>
      </c>
      <c r="J1684" s="18" t="s">
        <v>98</v>
      </c>
      <c r="K1684" s="18" t="s">
        <v>98</v>
      </c>
      <c r="L1684" s="18" t="s">
        <v>98</v>
      </c>
      <c r="M1684" s="18" t="s">
        <v>540</v>
      </c>
      <c r="N1684" s="18" t="s">
        <v>242</v>
      </c>
      <c r="O1684" s="18" t="s">
        <v>98</v>
      </c>
      <c r="P1684" s="15" t="str">
        <f t="shared" si="1"/>
        <v>VERIFY</v>
      </c>
      <c r="Q1684" s="15">
        <f t="shared" si="2"/>
        <v>1</v>
      </c>
      <c r="R1684" s="15">
        <f t="shared" si="3"/>
        <v>1</v>
      </c>
      <c r="S1684" s="15">
        <f t="shared" si="4"/>
        <v>1</v>
      </c>
      <c r="T1684" s="15" t="str">
        <f t="shared" si="5"/>
        <v>C-1</v>
      </c>
      <c r="U1684" s="15" t="str">
        <f t="shared" si="6"/>
        <v>T1-M1-H1-FC-1-VERIFY</v>
      </c>
      <c r="V1684" s="15">
        <f t="shared" si="7"/>
        <v>0</v>
      </c>
      <c r="W1684" s="31"/>
      <c r="X1684" s="15" t="str">
        <f t="shared" si="8"/>
        <v>blackburn-uk</v>
      </c>
      <c r="Y1684" s="32" t="str">
        <f t="shared" si="9"/>
        <v>https://steelmanufacturer.in/market-area/electropolished-pipes-manufacturer-in-blackburn-uk/</v>
      </c>
      <c r="Z1684" s="15" t="str">
        <f t="shared" si="10"/>
        <v>Electropolished Pipes Manufacturer in Blackburn | Sakshi Forge</v>
      </c>
      <c r="AA1684" s="15" t="str">
        <f t="shared" si="11"/>
        <v>OK (62)</v>
      </c>
      <c r="AB1684" s="15" t="str">
        <f t="shared" si="12"/>
        <v>EP-finished SS 304/316L pipes &amp; tubes for VERIFY plants in Blackburn. ASTM A270, ASME BPE SF1-SF4, EN 10204 3.1 MTC. PMI tested.</v>
      </c>
      <c r="AC1684" s="15" t="str">
        <f t="shared" si="13"/>
        <v>PENDING RESEARCH</v>
      </c>
      <c r="AD1684" s="15" t="str">
        <f t="shared" si="14"/>
        <v>Electropolished Pipes Manufacturer in Blackburn</v>
      </c>
      <c r="AE1684" s="15" t="str">
        <f t="shared" si="15"/>
        <v>Electropolished Pipe &amp; Tube Manufacturing for Blackburn - Grades, Finishes &amp; Certification</v>
      </c>
      <c r="AF1684" s="15" t="str">
        <f t="shared" si="16"/>
        <v>Electropolished Pipes Supplier in Blackburn - Stock Sizes, Lead Time &amp; Delivery</v>
      </c>
      <c r="AG1684" s="15" t="str">
        <f t="shared" si="17"/>
        <v>Electropolished Pipes Wholesaler &amp; Stockist in Blackburn - Bulk &amp; Project Pricing</v>
      </c>
      <c r="AH1684" s="15" t="str">
        <f t="shared" si="18"/>
        <v>electropolished pipes manufacturer in Blackburn, electropolished pipes supplier in Blackburn, electropolished pipes wholesaler in Blackburn, electropolished tube manufacturer Blackburn, EP pipe supplier Blackburn, sanitary tube supplier Blackburn, ASME BPE tubing Blackburn, ASTM A270 tube Blackburn, SS 316L electropolished pipe Blackburn</v>
      </c>
      <c r="AI1684" s="15" t="str">
        <f t="shared" si="19"/>
        <v>Electropolished Pipes Manufacturer &amp; Supplier in Blackburn</v>
      </c>
      <c r="AJ1684" s="15" t="str">
        <f t="shared" si="20"/>
        <v>EP-finished SS 304/316L pipes and tubes for VERIFY plants in Blackburn. ASME BPE SF1-SF4, Ra from 0.25 um, EN 10204 3.1 certificate with every lot.</v>
      </c>
      <c r="AK1684" s="15" t="str">
        <f t="shared" si="21"/>
        <v>Electropolished stainless steel pipes supplied by Sakshi Forge to VERIFY plants at VERIFY, Blackburn</v>
      </c>
      <c r="AL1684" s="15" t="str">
        <f t="shared" si="22"/>
        <v>Electropolished SS 316L tube stock for Blackburn - Sakshi Forge</v>
      </c>
      <c r="AM1684" s="15" t="str">
        <f t="shared" si="23"/>
        <v>Home &gt; Market Area &gt; UK &gt; VERIFY &gt; Blackburn</v>
      </c>
      <c r="AN1684" s="15">
        <f t="shared" si="24"/>
        <v>750</v>
      </c>
      <c r="AO1684" s="15">
        <f t="shared" si="25"/>
        <v>6</v>
      </c>
      <c r="AP1684" s="15">
        <f t="shared" si="26"/>
        <v>6</v>
      </c>
      <c r="AQ1684" s="15">
        <f t="shared" si="27"/>
        <v>29</v>
      </c>
      <c r="AR1684" s="31"/>
      <c r="AS1684" s="31"/>
      <c r="AT1684" s="35" t="s">
        <v>222</v>
      </c>
      <c r="AU1684" s="35"/>
    </row>
    <row r="1685" ht="15.75" customHeight="1">
      <c r="A1685" s="15" t="s">
        <v>7679</v>
      </c>
      <c r="B1685" s="15" t="s">
        <v>234</v>
      </c>
      <c r="C1685" s="15" t="s">
        <v>98</v>
      </c>
      <c r="D1685" s="15" t="s">
        <v>7680</v>
      </c>
      <c r="E1685" s="15" t="s">
        <v>7680</v>
      </c>
      <c r="F1685" s="58" t="s">
        <v>807</v>
      </c>
      <c r="G1685" s="66" t="s">
        <v>98</v>
      </c>
      <c r="H1685" s="18" t="s">
        <v>98</v>
      </c>
      <c r="I1685" s="18" t="s">
        <v>98</v>
      </c>
      <c r="J1685" s="18" t="s">
        <v>98</v>
      </c>
      <c r="K1685" s="18" t="s">
        <v>98</v>
      </c>
      <c r="L1685" s="18" t="s">
        <v>98</v>
      </c>
      <c r="M1685" s="18" t="s">
        <v>540</v>
      </c>
      <c r="N1685" s="18" t="s">
        <v>242</v>
      </c>
      <c r="O1685" s="18" t="s">
        <v>98</v>
      </c>
      <c r="P1685" s="15" t="str">
        <f t="shared" si="1"/>
        <v>VERIFY</v>
      </c>
      <c r="Q1685" s="15">
        <f t="shared" si="2"/>
        <v>2</v>
      </c>
      <c r="R1685" s="15">
        <f t="shared" si="3"/>
        <v>2</v>
      </c>
      <c r="S1685" s="15">
        <f t="shared" si="4"/>
        <v>2</v>
      </c>
      <c r="T1685" s="15" t="str">
        <f t="shared" si="5"/>
        <v>C-2</v>
      </c>
      <c r="U1685" s="15" t="str">
        <f t="shared" si="6"/>
        <v>T2-M2-H2-FC-2-VERIFY</v>
      </c>
      <c r="V1685" s="15">
        <f t="shared" si="7"/>
        <v>0</v>
      </c>
      <c r="W1685" s="31"/>
      <c r="X1685" s="15" t="str">
        <f t="shared" si="8"/>
        <v>bolton-uk</v>
      </c>
      <c r="Y1685" s="32" t="str">
        <f t="shared" si="9"/>
        <v>https://steelmanufacturer.in/market-area/electropolished-pipes-manufacturer-in-bolton-uk/</v>
      </c>
      <c r="Z1685" s="15" t="str">
        <f t="shared" si="10"/>
        <v>Electropolished Pipes Manufacturer in Bolton</v>
      </c>
      <c r="AA1685" s="15" t="str">
        <f t="shared" si="11"/>
        <v>OK (44)</v>
      </c>
      <c r="AB1685" s="15" t="str">
        <f t="shared" si="12"/>
        <v>Electropolished tube supply to VERIFY, Bolton. Ra from 0.25 um, SF4 finish, mill test certificate with every lot.</v>
      </c>
      <c r="AC1685" s="15" t="str">
        <f t="shared" si="13"/>
        <v>PENDING RESEARCH</v>
      </c>
      <c r="AD1685" s="15" t="str">
        <f t="shared" si="14"/>
        <v>Electropolished Pipes Manufacturer in Bolton</v>
      </c>
      <c r="AE1685" s="15" t="str">
        <f t="shared" si="15"/>
        <v>How We Manufacture Electropolished Tube for Bolton Plants</v>
      </c>
      <c r="AF1685" s="15" t="str">
        <f t="shared" si="16"/>
        <v>Supplying Electropolished Pipes in Bolton: Availability, Sizes &amp; Dispatch</v>
      </c>
      <c r="AG1685" s="15" t="str">
        <f t="shared" si="17"/>
        <v>Wholesale Electropolished Pipe Supply for Bolton Projects</v>
      </c>
      <c r="AH1685" s="15" t="str">
        <f t="shared" si="18"/>
        <v>electropolished pipes manufacturer in Bolton, electropolished pipes supplier in Bolton, electropolished pipes wholesaler in Bolton, electropolished tube manufacturer Bolton, EP pipe supplier Bolton, sanitary tube supplier Bolton, ASME BPE tubing Bolton, ASTM A270 tube Bolton, SS 316L electropolished pipe Bolton</v>
      </c>
      <c r="AI1685" s="15" t="str">
        <f t="shared" si="19"/>
        <v>Electropolished Pipes Manufacturer &amp; Supplier in Bolton</v>
      </c>
      <c r="AJ1685" s="15" t="str">
        <f t="shared" si="20"/>
        <v>EP-finished SS 304/316L pipes and tubes for VERIFY plants in Bolton. ASME BPE SF1-SF4, Ra from 0.25 um, EN 10204 3.1 certificate with every lot.</v>
      </c>
      <c r="AK1685" s="15" t="str">
        <f t="shared" si="21"/>
        <v>Electropolished stainless steel pipes supplied by Sakshi Forge to VERIFY plants at VERIFY, Bolton</v>
      </c>
      <c r="AL1685" s="15" t="str">
        <f t="shared" si="22"/>
        <v>Electropolished SS 316L tube stock for Bolton - Sakshi Forge</v>
      </c>
      <c r="AM1685" s="15" t="str">
        <f t="shared" si="23"/>
        <v>Home &gt; Market Area &gt; UK &gt; VERIFY &gt; Bolton</v>
      </c>
      <c r="AN1685" s="15">
        <f t="shared" si="24"/>
        <v>750</v>
      </c>
      <c r="AO1685" s="15">
        <f t="shared" si="25"/>
        <v>6</v>
      </c>
      <c r="AP1685" s="15">
        <f t="shared" si="26"/>
        <v>6</v>
      </c>
      <c r="AQ1685" s="15">
        <f t="shared" si="27"/>
        <v>29</v>
      </c>
      <c r="AR1685" s="31"/>
      <c r="AS1685" s="31"/>
      <c r="AT1685" s="35" t="s">
        <v>222</v>
      </c>
      <c r="AU1685" s="35"/>
    </row>
    <row r="1686" ht="15.75" customHeight="1">
      <c r="A1686" s="15" t="s">
        <v>7681</v>
      </c>
      <c r="B1686" s="15" t="s">
        <v>234</v>
      </c>
      <c r="C1686" s="15" t="s">
        <v>98</v>
      </c>
      <c r="D1686" s="15" t="s">
        <v>7682</v>
      </c>
      <c r="E1686" s="15" t="s">
        <v>7682</v>
      </c>
      <c r="F1686" s="58" t="s">
        <v>807</v>
      </c>
      <c r="G1686" s="66" t="s">
        <v>98</v>
      </c>
      <c r="H1686" s="18" t="s">
        <v>98</v>
      </c>
      <c r="I1686" s="18" t="s">
        <v>98</v>
      </c>
      <c r="J1686" s="18" t="s">
        <v>98</v>
      </c>
      <c r="K1686" s="18" t="s">
        <v>98</v>
      </c>
      <c r="L1686" s="18" t="s">
        <v>98</v>
      </c>
      <c r="M1686" s="18" t="s">
        <v>540</v>
      </c>
      <c r="N1686" s="18" t="s">
        <v>242</v>
      </c>
      <c r="O1686" s="18" t="s">
        <v>98</v>
      </c>
      <c r="P1686" s="15" t="str">
        <f t="shared" si="1"/>
        <v>VERIFY</v>
      </c>
      <c r="Q1686" s="15">
        <f t="shared" si="2"/>
        <v>3</v>
      </c>
      <c r="R1686" s="15">
        <f t="shared" si="3"/>
        <v>3</v>
      </c>
      <c r="S1686" s="15">
        <f t="shared" si="4"/>
        <v>3</v>
      </c>
      <c r="T1686" s="15" t="str">
        <f t="shared" si="5"/>
        <v>C-3</v>
      </c>
      <c r="U1686" s="15" t="str">
        <f t="shared" si="6"/>
        <v>T3-M3-H3-FC-3-VERIFY</v>
      </c>
      <c r="V1686" s="15">
        <f t="shared" si="7"/>
        <v>0</v>
      </c>
      <c r="W1686" s="31"/>
      <c r="X1686" s="15" t="str">
        <f t="shared" si="8"/>
        <v>bournemouth-uk</v>
      </c>
      <c r="Y1686" s="32" t="str">
        <f t="shared" si="9"/>
        <v>https://steelmanufacturer.in/market-area/electropolished-pipes-manufacturer-in-bournemouth-uk/</v>
      </c>
      <c r="Z1686" s="15" t="str">
        <f t="shared" si="10"/>
        <v>Electropolished Pipes Manufacturer in Bournemouth</v>
      </c>
      <c r="AA1686" s="15" t="str">
        <f t="shared" si="11"/>
        <v>OK (49)</v>
      </c>
      <c r="AB1686" s="15" t="str">
        <f t="shared" si="12"/>
        <v>EP stainless tube for VERIFY lines in Bournemouth. 22-28 days sea from Nhava Sheva to Felixstowe. ASTM A270 S2, PMI tested, EN 10204 3.1.</v>
      </c>
      <c r="AC1686" s="15" t="str">
        <f t="shared" si="13"/>
        <v>PENDING RESEARCH</v>
      </c>
      <c r="AD1686" s="15" t="str">
        <f t="shared" si="14"/>
        <v>Electropolished Pipes Manufacturer in Bournemouth</v>
      </c>
      <c r="AE1686" s="15" t="str">
        <f t="shared" si="15"/>
        <v>Electropolished Pipes Manufacturer in Bournemouth - Our Process &amp; Capability</v>
      </c>
      <c r="AF1686" s="15" t="str">
        <f t="shared" si="16"/>
        <v>Electropolished Pipes Supplier in Bournemouth - What We Hold in Stock</v>
      </c>
      <c r="AG1686" s="15" t="str">
        <f t="shared" si="17"/>
        <v>Bulk &amp; Wholesale Electropolished Pipe Rates for Bournemouth Buyers</v>
      </c>
      <c r="AH1686" s="15" t="str">
        <f t="shared" si="18"/>
        <v>electropolished pipes manufacturer in Bournemouth, electropolished pipes supplier in Bournemouth, electropolished pipes wholesaler in Bournemouth, electropolished tube manufacturer Bournemouth, EP pipe supplier Bournemouth, sanitary tube supplier Bournemouth, ASME BPE tubing Bournemouth, ASTM A270 tube Bournemouth, SS 316L electropolished pipe Bournemouth</v>
      </c>
      <c r="AI1686" s="15" t="str">
        <f t="shared" si="19"/>
        <v>Electropolished Pipes Manufacturer &amp; Supplier in Bournemouth</v>
      </c>
      <c r="AJ1686" s="15" t="str">
        <f t="shared" si="20"/>
        <v>EP-finished SS 304/316L pipes and tubes for VERIFY plants in Bournemouth. ASME BPE SF1-SF4, Ra from 0.25 um, EN 10204 3.1 certificate with every lot.</v>
      </c>
      <c r="AK1686" s="15" t="str">
        <f t="shared" si="21"/>
        <v>Electropolished stainless steel pipes supplied by Sakshi Forge to VERIFY plants at VERIFY, Bournemouth</v>
      </c>
      <c r="AL1686" s="15" t="str">
        <f t="shared" si="22"/>
        <v>Electropolished SS 316L tube stock for Bournemouth - Sakshi Forge</v>
      </c>
      <c r="AM1686" s="15" t="str">
        <f t="shared" si="23"/>
        <v>Home &gt; Market Area &gt; UK &gt; VERIFY &gt; Bournemouth</v>
      </c>
      <c r="AN1686" s="15">
        <f t="shared" si="24"/>
        <v>750</v>
      </c>
      <c r="AO1686" s="15">
        <f t="shared" si="25"/>
        <v>6</v>
      </c>
      <c r="AP1686" s="15">
        <f t="shared" si="26"/>
        <v>6</v>
      </c>
      <c r="AQ1686" s="15">
        <f t="shared" si="27"/>
        <v>29</v>
      </c>
      <c r="AR1686" s="31"/>
      <c r="AS1686" s="31"/>
      <c r="AT1686" s="35" t="s">
        <v>222</v>
      </c>
      <c r="AU1686" s="35"/>
    </row>
    <row r="1687" ht="15.75" customHeight="1">
      <c r="A1687" s="15" t="s">
        <v>7683</v>
      </c>
      <c r="B1687" s="15" t="s">
        <v>234</v>
      </c>
      <c r="C1687" s="15" t="s">
        <v>98</v>
      </c>
      <c r="D1687" s="15" t="s">
        <v>7684</v>
      </c>
      <c r="E1687" s="15" t="s">
        <v>7684</v>
      </c>
      <c r="F1687" s="58" t="s">
        <v>807</v>
      </c>
      <c r="G1687" s="66" t="s">
        <v>98</v>
      </c>
      <c r="H1687" s="18" t="s">
        <v>98</v>
      </c>
      <c r="I1687" s="18" t="s">
        <v>98</v>
      </c>
      <c r="J1687" s="18" t="s">
        <v>98</v>
      </c>
      <c r="K1687" s="18" t="s">
        <v>98</v>
      </c>
      <c r="L1687" s="18" t="s">
        <v>98</v>
      </c>
      <c r="M1687" s="18" t="s">
        <v>540</v>
      </c>
      <c r="N1687" s="18" t="s">
        <v>242</v>
      </c>
      <c r="O1687" s="18" t="s">
        <v>98</v>
      </c>
      <c r="P1687" s="15" t="str">
        <f t="shared" si="1"/>
        <v>VERIFY</v>
      </c>
      <c r="Q1687" s="15">
        <f t="shared" si="2"/>
        <v>4</v>
      </c>
      <c r="R1687" s="15">
        <f t="shared" si="3"/>
        <v>4</v>
      </c>
      <c r="S1687" s="15">
        <f t="shared" si="4"/>
        <v>4</v>
      </c>
      <c r="T1687" s="15" t="str">
        <f t="shared" si="5"/>
        <v>C-4</v>
      </c>
      <c r="U1687" s="15" t="str">
        <f t="shared" si="6"/>
        <v>T4-M4-H4-FC-4-VERIFY</v>
      </c>
      <c r="V1687" s="15">
        <f t="shared" si="7"/>
        <v>0</v>
      </c>
      <c r="W1687" s="31"/>
      <c r="X1687" s="15" t="str">
        <f t="shared" si="8"/>
        <v>bradford-uk</v>
      </c>
      <c r="Y1687" s="32" t="str">
        <f t="shared" si="9"/>
        <v>https://steelmanufacturer.in/market-area/electropolished-pipes-manufacturer-in-bradford-uk/</v>
      </c>
      <c r="Z1687" s="15" t="str">
        <f t="shared" si="10"/>
        <v>Electropolished Pipes Manufacturer in Bradford</v>
      </c>
      <c r="AA1687" s="15" t="str">
        <f t="shared" si="11"/>
        <v>OK (46)</v>
      </c>
      <c r="AB1687" s="15" t="str">
        <f t="shared" si="12"/>
        <v>Sanitary electropolished pipes in Bradford for VERIFY plants. ASME BPE SF1-SF4, orbital-weld ready, 3.1 MTC. Mumbai-made.</v>
      </c>
      <c r="AC1687" s="15" t="str">
        <f t="shared" si="13"/>
        <v>PENDING RESEARCH</v>
      </c>
      <c r="AD1687" s="15" t="str">
        <f t="shared" si="14"/>
        <v>Electropolished Pipes Manufacturer in Bradford</v>
      </c>
      <c r="AE1687" s="15" t="str">
        <f t="shared" si="15"/>
        <v>Manufacturing Electropolished SS Tube for Bradford: The Standards We Build To</v>
      </c>
      <c r="AF1687" s="15" t="str">
        <f t="shared" si="16"/>
        <v>Electropolished Pipe Supply Into Bradford - Certification &amp; Transit</v>
      </c>
      <c r="AG1687" s="15" t="str">
        <f t="shared" si="17"/>
        <v>Electropolished Pipes Wholesaler in Bradford - Project Quantities &amp; Terms</v>
      </c>
      <c r="AH1687" s="15" t="str">
        <f t="shared" si="18"/>
        <v>electropolished pipes manufacturer in Bradford, electropolished pipes supplier in Bradford, electropolished pipes wholesaler in Bradford, electropolished tube manufacturer Bradford, EP pipe supplier Bradford, sanitary tube supplier Bradford, ASME BPE tubing Bradford, ASTM A270 tube Bradford, SS 316L electropolished pipe Bradford</v>
      </c>
      <c r="AI1687" s="15" t="str">
        <f t="shared" si="19"/>
        <v>Electropolished Pipes Manufacturer &amp; Supplier in Bradford</v>
      </c>
      <c r="AJ1687" s="15" t="str">
        <f t="shared" si="20"/>
        <v>EP-finished SS 304/316L pipes and tubes for VERIFY plants in Bradford. ASME BPE SF1-SF4, Ra from 0.25 um, EN 10204 3.1 certificate with every lot.</v>
      </c>
      <c r="AK1687" s="15" t="str">
        <f t="shared" si="21"/>
        <v>Electropolished stainless steel pipes supplied by Sakshi Forge to VERIFY plants at VERIFY, Bradford</v>
      </c>
      <c r="AL1687" s="15" t="str">
        <f t="shared" si="22"/>
        <v>Electropolished SS 316L tube stock for Bradford - Sakshi Forge</v>
      </c>
      <c r="AM1687" s="15" t="str">
        <f t="shared" si="23"/>
        <v>Home &gt; Market Area &gt; UK &gt; VERIFY &gt; Bradford</v>
      </c>
      <c r="AN1687" s="15">
        <f t="shared" si="24"/>
        <v>750</v>
      </c>
      <c r="AO1687" s="15">
        <f t="shared" si="25"/>
        <v>6</v>
      </c>
      <c r="AP1687" s="15">
        <f t="shared" si="26"/>
        <v>6</v>
      </c>
      <c r="AQ1687" s="15">
        <f t="shared" si="27"/>
        <v>29</v>
      </c>
      <c r="AR1687" s="31"/>
      <c r="AS1687" s="31"/>
      <c r="AT1687" s="35" t="s">
        <v>222</v>
      </c>
      <c r="AU1687" s="35"/>
    </row>
    <row r="1688" ht="15.75" customHeight="1">
      <c r="A1688" s="15" t="s">
        <v>7685</v>
      </c>
      <c r="B1688" s="15" t="s">
        <v>234</v>
      </c>
      <c r="C1688" s="15" t="s">
        <v>98</v>
      </c>
      <c r="D1688" s="15" t="s">
        <v>7686</v>
      </c>
      <c r="E1688" s="15" t="s">
        <v>7686</v>
      </c>
      <c r="F1688" s="58" t="s">
        <v>807</v>
      </c>
      <c r="G1688" s="66" t="s">
        <v>98</v>
      </c>
      <c r="H1688" s="18" t="s">
        <v>98</v>
      </c>
      <c r="I1688" s="18" t="s">
        <v>98</v>
      </c>
      <c r="J1688" s="18" t="s">
        <v>98</v>
      </c>
      <c r="K1688" s="18" t="s">
        <v>98</v>
      </c>
      <c r="L1688" s="18" t="s">
        <v>98</v>
      </c>
      <c r="M1688" s="18" t="s">
        <v>540</v>
      </c>
      <c r="N1688" s="18" t="s">
        <v>242</v>
      </c>
      <c r="O1688" s="18" t="s">
        <v>98</v>
      </c>
      <c r="P1688" s="15" t="str">
        <f t="shared" si="1"/>
        <v>VERIFY</v>
      </c>
      <c r="Q1688" s="15">
        <f t="shared" si="2"/>
        <v>5</v>
      </c>
      <c r="R1688" s="15">
        <f t="shared" si="3"/>
        <v>5</v>
      </c>
      <c r="S1688" s="15">
        <f t="shared" si="4"/>
        <v>5</v>
      </c>
      <c r="T1688" s="15" t="str">
        <f t="shared" si="5"/>
        <v>C-5</v>
      </c>
      <c r="U1688" s="15" t="str">
        <f t="shared" si="6"/>
        <v>T5-M5-H5-FC-5-VERIFY</v>
      </c>
      <c r="V1688" s="15">
        <f t="shared" si="7"/>
        <v>0</v>
      </c>
      <c r="W1688" s="31"/>
      <c r="X1688" s="15" t="str">
        <f t="shared" si="8"/>
        <v>brighton-uk</v>
      </c>
      <c r="Y1688" s="32" t="str">
        <f t="shared" si="9"/>
        <v>https://steelmanufacturer.in/market-area/electropolished-pipes-manufacturer-in-brighton-uk/</v>
      </c>
      <c r="Z1688" s="15" t="str">
        <f t="shared" si="10"/>
        <v>Electropolished Pipes Manufacturer in Brighton</v>
      </c>
      <c r="AA1688" s="15" t="str">
        <f t="shared" si="11"/>
        <v>OK (46)</v>
      </c>
      <c r="AB1688" s="15" t="str">
        <f t="shared" si="12"/>
        <v>Manufacturer of electropolished SS 316L tube serving Brighton. 22-28 days sea from Nhava Sheva to Felixstowe. Ra 0.25-0.5 um, EN 10204 3.1 MTC.</v>
      </c>
      <c r="AC1688" s="15" t="str">
        <f t="shared" si="13"/>
        <v>PENDING RESEARCH</v>
      </c>
      <c r="AD1688" s="15" t="str">
        <f t="shared" si="14"/>
        <v>Electropolished Pipes Manufacturer in Brighton</v>
      </c>
      <c r="AE1688" s="15" t="str">
        <f t="shared" si="15"/>
        <v>Electropolished Tube Manufacturing Capability Serving Brighton</v>
      </c>
      <c r="AF1688" s="15" t="str">
        <f t="shared" si="16"/>
        <v>Electropolished Pipes Supplier in Brighton - From Order to Delivery</v>
      </c>
      <c r="AG1688" s="15" t="str">
        <f t="shared" si="17"/>
        <v>Stockist &amp; Wholesale Supply of Electropolished Pipes in Brighton</v>
      </c>
      <c r="AH1688" s="15" t="str">
        <f t="shared" si="18"/>
        <v>electropolished pipes manufacturer in Brighton, electropolished pipes supplier in Brighton, electropolished pipes wholesaler in Brighton, electropolished tube manufacturer Brighton, EP pipe supplier Brighton, sanitary tube supplier Brighton, ASME BPE tubing Brighton, ASTM A270 tube Brighton, SS 316L electropolished pipe Brighton</v>
      </c>
      <c r="AI1688" s="15" t="str">
        <f t="shared" si="19"/>
        <v>Electropolished Pipes Manufacturer &amp; Supplier in Brighton</v>
      </c>
      <c r="AJ1688" s="15" t="str">
        <f t="shared" si="20"/>
        <v>EP-finished SS 304/316L pipes and tubes for VERIFY plants in Brighton. ASME BPE SF1-SF4, Ra from 0.25 um, EN 10204 3.1 certificate with every lot.</v>
      </c>
      <c r="AK1688" s="15" t="str">
        <f t="shared" si="21"/>
        <v>Electropolished stainless steel pipes supplied by Sakshi Forge to VERIFY plants at VERIFY, Brighton</v>
      </c>
      <c r="AL1688" s="15" t="str">
        <f t="shared" si="22"/>
        <v>Electropolished SS 316L tube stock for Brighton - Sakshi Forge</v>
      </c>
      <c r="AM1688" s="15" t="str">
        <f t="shared" si="23"/>
        <v>Home &gt; Market Area &gt; UK &gt; VERIFY &gt; Brighton</v>
      </c>
      <c r="AN1688" s="15">
        <f t="shared" si="24"/>
        <v>750</v>
      </c>
      <c r="AO1688" s="15">
        <f t="shared" si="25"/>
        <v>6</v>
      </c>
      <c r="AP1688" s="15">
        <f t="shared" si="26"/>
        <v>6</v>
      </c>
      <c r="AQ1688" s="15">
        <f t="shared" si="27"/>
        <v>29</v>
      </c>
      <c r="AR1688" s="31"/>
      <c r="AS1688" s="31"/>
      <c r="AT1688" s="35" t="s">
        <v>222</v>
      </c>
      <c r="AU1688" s="35"/>
    </row>
    <row r="1689" ht="15.75" customHeight="1">
      <c r="A1689" s="15" t="s">
        <v>7687</v>
      </c>
      <c r="B1689" s="15" t="s">
        <v>234</v>
      </c>
      <c r="C1689" s="15" t="s">
        <v>98</v>
      </c>
      <c r="D1689" s="15" t="s">
        <v>7688</v>
      </c>
      <c r="E1689" s="15" t="s">
        <v>7688</v>
      </c>
      <c r="F1689" s="58" t="s">
        <v>807</v>
      </c>
      <c r="G1689" s="66" t="s">
        <v>98</v>
      </c>
      <c r="H1689" s="18" t="s">
        <v>98</v>
      </c>
      <c r="I1689" s="18" t="s">
        <v>98</v>
      </c>
      <c r="J1689" s="18" t="s">
        <v>98</v>
      </c>
      <c r="K1689" s="18" t="s">
        <v>98</v>
      </c>
      <c r="L1689" s="18" t="s">
        <v>98</v>
      </c>
      <c r="M1689" s="18" t="s">
        <v>540</v>
      </c>
      <c r="N1689" s="18" t="s">
        <v>242</v>
      </c>
      <c r="O1689" s="18" t="s">
        <v>98</v>
      </c>
      <c r="P1689" s="15" t="str">
        <f t="shared" si="1"/>
        <v>VERIFY</v>
      </c>
      <c r="Q1689" s="15">
        <f t="shared" si="2"/>
        <v>6</v>
      </c>
      <c r="R1689" s="15">
        <f t="shared" si="3"/>
        <v>6</v>
      </c>
      <c r="S1689" s="15">
        <f t="shared" si="4"/>
        <v>1</v>
      </c>
      <c r="T1689" s="15" t="str">
        <f t="shared" si="5"/>
        <v>C-6</v>
      </c>
      <c r="U1689" s="15" t="str">
        <f t="shared" si="6"/>
        <v>T6-M6-H1-FC-6-VERIFY</v>
      </c>
      <c r="V1689" s="15">
        <f t="shared" si="7"/>
        <v>0</v>
      </c>
      <c r="W1689" s="31"/>
      <c r="X1689" s="15" t="str">
        <f t="shared" si="8"/>
        <v>burnley-uk</v>
      </c>
      <c r="Y1689" s="32" t="str">
        <f t="shared" si="9"/>
        <v>https://steelmanufacturer.in/market-area/electropolished-pipes-manufacturer-in-burnley-uk/</v>
      </c>
      <c r="Z1689" s="15" t="str">
        <f t="shared" si="10"/>
        <v>Electropolished Pipes Manufacturer in Burnley</v>
      </c>
      <c r="AA1689" s="15" t="str">
        <f t="shared" si="11"/>
        <v>OK (45)</v>
      </c>
      <c r="AB1689" s="15" t="str">
        <f t="shared" si="12"/>
        <v>EP tube and pipe for VERIFY plants around VERIFY, Burnley. Made at our Mumbai works to ASTM A270 and ASME BPE SF1-SF4, with 3.1 MTC.</v>
      </c>
      <c r="AC1689" s="15" t="str">
        <f t="shared" si="13"/>
        <v>PENDING RESEARCH</v>
      </c>
      <c r="AD1689" s="15" t="str">
        <f t="shared" si="14"/>
        <v>Electropolished Pipes Manufacturer in Burnley</v>
      </c>
      <c r="AE1689" s="15" t="str">
        <f t="shared" si="15"/>
        <v>Electropolished Pipe &amp; Tube Manufacturing for Burnley - Grades, Finishes &amp; Certification</v>
      </c>
      <c r="AF1689" s="15" t="str">
        <f t="shared" si="16"/>
        <v>Electropolished Pipes Supplier in Burnley - Stock Sizes, Lead Time &amp; Delivery</v>
      </c>
      <c r="AG1689" s="15" t="str">
        <f t="shared" si="17"/>
        <v>Electropolished Pipes Wholesaler &amp; Stockist in Burnley - Bulk &amp; Project Pricing</v>
      </c>
      <c r="AH1689" s="15" t="str">
        <f t="shared" si="18"/>
        <v>electropolished pipes manufacturer in Burnley, electropolished pipes supplier in Burnley, electropolished pipes wholesaler in Burnley, electropolished tube manufacturer Burnley, EP pipe supplier Burnley, sanitary tube supplier Burnley, ASME BPE tubing Burnley, ASTM A270 tube Burnley, SS 316L electropolished pipe Burnley</v>
      </c>
      <c r="AI1689" s="15" t="str">
        <f t="shared" si="19"/>
        <v>Electropolished Pipes Manufacturer &amp; Supplier in Burnley</v>
      </c>
      <c r="AJ1689" s="15" t="str">
        <f t="shared" si="20"/>
        <v>EP-finished SS 304/316L pipes and tubes for VERIFY plants in Burnley. ASME BPE SF1-SF4, Ra from 0.25 um, EN 10204 3.1 certificate with every lot.</v>
      </c>
      <c r="AK1689" s="15" t="str">
        <f t="shared" si="21"/>
        <v>Electropolished stainless steel pipes supplied by Sakshi Forge to VERIFY plants at VERIFY, Burnley</v>
      </c>
      <c r="AL1689" s="15" t="str">
        <f t="shared" si="22"/>
        <v>Electropolished SS 316L tube stock for Burnley - Sakshi Forge</v>
      </c>
      <c r="AM1689" s="15" t="str">
        <f t="shared" si="23"/>
        <v>Home &gt; Market Area &gt; UK &gt; VERIFY &gt; Burnley</v>
      </c>
      <c r="AN1689" s="15">
        <f t="shared" si="24"/>
        <v>750</v>
      </c>
      <c r="AO1689" s="15">
        <f t="shared" si="25"/>
        <v>6</v>
      </c>
      <c r="AP1689" s="15">
        <f t="shared" si="26"/>
        <v>6</v>
      </c>
      <c r="AQ1689" s="15">
        <f t="shared" si="27"/>
        <v>29</v>
      </c>
      <c r="AR1689" s="31"/>
      <c r="AS1689" s="31"/>
      <c r="AT1689" s="35" t="s">
        <v>222</v>
      </c>
      <c r="AU1689" s="35"/>
    </row>
    <row r="1690" ht="15.75" customHeight="1">
      <c r="A1690" s="15" t="s">
        <v>7689</v>
      </c>
      <c r="B1690" s="15" t="s">
        <v>234</v>
      </c>
      <c r="C1690" s="15" t="s">
        <v>98</v>
      </c>
      <c r="D1690" s="15" t="s">
        <v>7690</v>
      </c>
      <c r="E1690" s="15" t="s">
        <v>7690</v>
      </c>
      <c r="F1690" s="58" t="s">
        <v>807</v>
      </c>
      <c r="G1690" s="66" t="s">
        <v>98</v>
      </c>
      <c r="H1690" s="18" t="s">
        <v>98</v>
      </c>
      <c r="I1690" s="18" t="s">
        <v>98</v>
      </c>
      <c r="J1690" s="18" t="s">
        <v>98</v>
      </c>
      <c r="K1690" s="18" t="s">
        <v>98</v>
      </c>
      <c r="L1690" s="18" t="s">
        <v>98</v>
      </c>
      <c r="M1690" s="18" t="s">
        <v>540</v>
      </c>
      <c r="N1690" s="18" t="s">
        <v>242</v>
      </c>
      <c r="O1690" s="18" t="s">
        <v>98</v>
      </c>
      <c r="P1690" s="15" t="str">
        <f t="shared" si="1"/>
        <v>VERIFY</v>
      </c>
      <c r="Q1690" s="15">
        <f t="shared" si="2"/>
        <v>7</v>
      </c>
      <c r="R1690" s="15">
        <f t="shared" si="3"/>
        <v>7</v>
      </c>
      <c r="S1690" s="15">
        <f t="shared" si="4"/>
        <v>2</v>
      </c>
      <c r="T1690" s="15" t="str">
        <f t="shared" si="5"/>
        <v>C-1</v>
      </c>
      <c r="U1690" s="15" t="str">
        <f t="shared" si="6"/>
        <v>T7-M7-H2-FC-1-VERIFY</v>
      </c>
      <c r="V1690" s="15">
        <f t="shared" si="7"/>
        <v>0</v>
      </c>
      <c r="W1690" s="31"/>
      <c r="X1690" s="15" t="str">
        <f t="shared" si="8"/>
        <v>canterbury-uk</v>
      </c>
      <c r="Y1690" s="32" t="str">
        <f t="shared" si="9"/>
        <v>https://steelmanufacturer.in/market-area/electropolished-pipes-manufacturer-in-canterbury-uk/</v>
      </c>
      <c r="Z1690" s="15" t="str">
        <f t="shared" si="10"/>
        <v>Electropolished Pipes Manufacturer in Canterbury</v>
      </c>
      <c r="AA1690" s="15" t="str">
        <f t="shared" si="11"/>
        <v>OK (48)</v>
      </c>
      <c r="AB1690" s="15" t="str">
        <f t="shared" si="12"/>
        <v>Electropolished pipes in Canterbury: 304, 304L, 316 and 316L in SF1-SF4. 22-28 days sea from Nhava Sheva to Felixstowe. Mill certified.</v>
      </c>
      <c r="AC1690" s="15" t="str">
        <f t="shared" si="13"/>
        <v>PENDING RESEARCH</v>
      </c>
      <c r="AD1690" s="15" t="str">
        <f t="shared" si="14"/>
        <v>Electropolished Pipes Manufacturer in Canterbury</v>
      </c>
      <c r="AE1690" s="15" t="str">
        <f t="shared" si="15"/>
        <v>How We Manufacture Electropolished Tube for Canterbury Plants</v>
      </c>
      <c r="AF1690" s="15" t="str">
        <f t="shared" si="16"/>
        <v>Supplying Electropolished Pipes in Canterbury: Availability, Sizes &amp; Dispatch</v>
      </c>
      <c r="AG1690" s="15" t="str">
        <f t="shared" si="17"/>
        <v>Wholesale Electropolished Pipe Supply for Canterbury Projects</v>
      </c>
      <c r="AH1690" s="15" t="str">
        <f t="shared" si="18"/>
        <v>electropolished pipes manufacturer in Canterbury, electropolished pipes supplier in Canterbury, electropolished pipes wholesaler in Canterbury, electropolished tube manufacturer Canterbury, EP pipe supplier Canterbury, sanitary tube supplier Canterbury, ASME BPE tubing Canterbury, ASTM A270 tube Canterbury, SS 316L electropolished pipe Canterbury</v>
      </c>
      <c r="AI1690" s="15" t="str">
        <f t="shared" si="19"/>
        <v>Electropolished Pipes Manufacturer &amp; Supplier in Canterbury</v>
      </c>
      <c r="AJ1690" s="15" t="str">
        <f t="shared" si="20"/>
        <v>EP-finished SS 304/316L pipes and tubes for VERIFY plants in Canterbury. ASME BPE SF1-SF4, Ra from 0.25 um, EN 10204 3.1 certificate with every lot.</v>
      </c>
      <c r="AK1690" s="15" t="str">
        <f t="shared" si="21"/>
        <v>Electropolished stainless steel pipes supplied by Sakshi Forge to VERIFY plants at VERIFY, Canterbury</v>
      </c>
      <c r="AL1690" s="15" t="str">
        <f t="shared" si="22"/>
        <v>Electropolished SS 316L tube stock for Canterbury - Sakshi Forge</v>
      </c>
      <c r="AM1690" s="15" t="str">
        <f t="shared" si="23"/>
        <v>Home &gt; Market Area &gt; UK &gt; VERIFY &gt; Canterbury</v>
      </c>
      <c r="AN1690" s="15">
        <f t="shared" si="24"/>
        <v>750</v>
      </c>
      <c r="AO1690" s="15">
        <f t="shared" si="25"/>
        <v>6</v>
      </c>
      <c r="AP1690" s="15">
        <f t="shared" si="26"/>
        <v>6</v>
      </c>
      <c r="AQ1690" s="15">
        <f t="shared" si="27"/>
        <v>29</v>
      </c>
      <c r="AR1690" s="31"/>
      <c r="AS1690" s="31"/>
      <c r="AT1690" s="35" t="s">
        <v>222</v>
      </c>
      <c r="AU1690" s="35"/>
    </row>
    <row r="1691" ht="15.75" customHeight="1">
      <c r="A1691" s="15" t="s">
        <v>7694</v>
      </c>
      <c r="B1691" s="15" t="s">
        <v>234</v>
      </c>
      <c r="C1691" s="15" t="s">
        <v>98</v>
      </c>
      <c r="D1691" s="15" t="s">
        <v>7695</v>
      </c>
      <c r="E1691" s="15" t="s">
        <v>7695</v>
      </c>
      <c r="F1691" s="58" t="s">
        <v>807</v>
      </c>
      <c r="G1691" s="66" t="s">
        <v>98</v>
      </c>
      <c r="H1691" s="18" t="s">
        <v>98</v>
      </c>
      <c r="I1691" s="18" t="s">
        <v>98</v>
      </c>
      <c r="J1691" s="18" t="s">
        <v>98</v>
      </c>
      <c r="K1691" s="18" t="s">
        <v>98</v>
      </c>
      <c r="L1691" s="18" t="s">
        <v>98</v>
      </c>
      <c r="M1691" s="18" t="s">
        <v>540</v>
      </c>
      <c r="N1691" s="18" t="s">
        <v>242</v>
      </c>
      <c r="O1691" s="18" t="s">
        <v>98</v>
      </c>
      <c r="P1691" s="15" t="str">
        <f t="shared" si="1"/>
        <v>VERIFY</v>
      </c>
      <c r="Q1691" s="15">
        <f t="shared" si="2"/>
        <v>8</v>
      </c>
      <c r="R1691" s="15">
        <f t="shared" si="3"/>
        <v>1</v>
      </c>
      <c r="S1691" s="15">
        <f t="shared" si="4"/>
        <v>3</v>
      </c>
      <c r="T1691" s="15" t="str">
        <f t="shared" si="5"/>
        <v>C-2</v>
      </c>
      <c r="U1691" s="15" t="str">
        <f t="shared" si="6"/>
        <v>T8-M1-H3-FC-2-VERIFY</v>
      </c>
      <c r="V1691" s="15">
        <f t="shared" si="7"/>
        <v>0</v>
      </c>
      <c r="W1691" s="31"/>
      <c r="X1691" s="15" t="str">
        <f t="shared" si="8"/>
        <v>carlisle-uk</v>
      </c>
      <c r="Y1691" s="32" t="str">
        <f t="shared" si="9"/>
        <v>https://steelmanufacturer.in/market-area/electropolished-pipes-manufacturer-in-carlisle-uk/</v>
      </c>
      <c r="Z1691" s="15" t="str">
        <f t="shared" si="10"/>
        <v>Electropolished Pipes Manufacturer in Carlisle - EP Tube Stockist</v>
      </c>
      <c r="AA1691" s="15" t="str">
        <f t="shared" si="11"/>
        <v>OK (65)</v>
      </c>
      <c r="AB1691" s="15" t="str">
        <f t="shared" si="12"/>
        <v>EP-finished SS 304/316L pipes &amp; tubes for VERIFY plants in Carlisle. ASTM A270, ASME BPE SF1-SF4, EN 10204 3.1 MTC. PMI tested.</v>
      </c>
      <c r="AC1691" s="15" t="str">
        <f t="shared" si="13"/>
        <v>PENDING RESEARCH</v>
      </c>
      <c r="AD1691" s="15" t="str">
        <f t="shared" si="14"/>
        <v>Electropolished Pipes Manufacturer in Carlisle</v>
      </c>
      <c r="AE1691" s="15" t="str">
        <f t="shared" si="15"/>
        <v>Electropolished Pipes Manufacturer in Carlisle - Our Process &amp; Capability</v>
      </c>
      <c r="AF1691" s="15" t="str">
        <f t="shared" si="16"/>
        <v>Electropolished Pipes Supplier in Carlisle - What We Hold in Stock</v>
      </c>
      <c r="AG1691" s="15" t="str">
        <f t="shared" si="17"/>
        <v>Bulk &amp; Wholesale Electropolished Pipe Rates for Carlisle Buyers</v>
      </c>
      <c r="AH1691" s="15" t="str">
        <f t="shared" si="18"/>
        <v>electropolished pipes manufacturer in Carlisle, electropolished pipes supplier in Carlisle, electropolished pipes wholesaler in Carlisle, electropolished tube manufacturer Carlisle, EP pipe supplier Carlisle, sanitary tube supplier Carlisle, ASME BPE tubing Carlisle, ASTM A270 tube Carlisle, SS 316L electropolished pipe Carlisle</v>
      </c>
      <c r="AI1691" s="15" t="str">
        <f t="shared" si="19"/>
        <v>Electropolished Pipes Manufacturer &amp; Supplier in Carlisle</v>
      </c>
      <c r="AJ1691" s="15" t="str">
        <f t="shared" si="20"/>
        <v>EP-finished SS 304/316L pipes and tubes for VERIFY plants in Carlisle. ASME BPE SF1-SF4, Ra from 0.25 um, EN 10204 3.1 certificate with every lot.</v>
      </c>
      <c r="AK1691" s="15" t="str">
        <f t="shared" si="21"/>
        <v>Electropolished stainless steel pipes supplied by Sakshi Forge to VERIFY plants at VERIFY, Carlisle</v>
      </c>
      <c r="AL1691" s="15" t="str">
        <f t="shared" si="22"/>
        <v>Electropolished SS 316L tube stock for Carlisle - Sakshi Forge</v>
      </c>
      <c r="AM1691" s="15" t="str">
        <f t="shared" si="23"/>
        <v>Home &gt; Market Area &gt; UK &gt; VERIFY &gt; Carlisle</v>
      </c>
      <c r="AN1691" s="15">
        <f t="shared" si="24"/>
        <v>750</v>
      </c>
      <c r="AO1691" s="15">
        <f t="shared" si="25"/>
        <v>6</v>
      </c>
      <c r="AP1691" s="15">
        <f t="shared" si="26"/>
        <v>6</v>
      </c>
      <c r="AQ1691" s="15">
        <f t="shared" si="27"/>
        <v>29</v>
      </c>
      <c r="AR1691" s="31"/>
      <c r="AS1691" s="31"/>
      <c r="AT1691" s="35" t="s">
        <v>222</v>
      </c>
      <c r="AU1691" s="35"/>
    </row>
    <row r="1692" ht="15.75" customHeight="1">
      <c r="A1692" s="15" t="s">
        <v>7699</v>
      </c>
      <c r="B1692" s="15" t="s">
        <v>234</v>
      </c>
      <c r="C1692" s="15" t="s">
        <v>98</v>
      </c>
      <c r="D1692" s="15" t="s">
        <v>7700</v>
      </c>
      <c r="E1692" s="15" t="s">
        <v>7700</v>
      </c>
      <c r="F1692" s="58" t="s">
        <v>807</v>
      </c>
      <c r="G1692" s="66" t="s">
        <v>98</v>
      </c>
      <c r="H1692" s="18" t="s">
        <v>98</v>
      </c>
      <c r="I1692" s="18" t="s">
        <v>98</v>
      </c>
      <c r="J1692" s="18" t="s">
        <v>98</v>
      </c>
      <c r="K1692" s="18" t="s">
        <v>98</v>
      </c>
      <c r="L1692" s="18" t="s">
        <v>98</v>
      </c>
      <c r="M1692" s="18" t="s">
        <v>540</v>
      </c>
      <c r="N1692" s="18" t="s">
        <v>242</v>
      </c>
      <c r="O1692" s="18" t="s">
        <v>98</v>
      </c>
      <c r="P1692" s="15" t="str">
        <f t="shared" si="1"/>
        <v>VERIFY</v>
      </c>
      <c r="Q1692" s="15">
        <f t="shared" si="2"/>
        <v>1</v>
      </c>
      <c r="R1692" s="15">
        <f t="shared" si="3"/>
        <v>2</v>
      </c>
      <c r="S1692" s="15">
        <f t="shared" si="4"/>
        <v>4</v>
      </c>
      <c r="T1692" s="15" t="str">
        <f t="shared" si="5"/>
        <v>C-3</v>
      </c>
      <c r="U1692" s="15" t="str">
        <f t="shared" si="6"/>
        <v>T1-M2-H4-FC-3-VERIFY</v>
      </c>
      <c r="V1692" s="15">
        <f t="shared" si="7"/>
        <v>0</v>
      </c>
      <c r="W1692" s="31"/>
      <c r="X1692" s="15" t="str">
        <f t="shared" si="8"/>
        <v>chelmsford-uk</v>
      </c>
      <c r="Y1692" s="32" t="str">
        <f t="shared" si="9"/>
        <v>https://steelmanufacturer.in/market-area/electropolished-pipes-manufacturer-in-chelmsford-uk/</v>
      </c>
      <c r="Z1692" s="15" t="str">
        <f t="shared" si="10"/>
        <v>Electropolished Pipes Manufacturer in Chelmsford | Sakshi Forge</v>
      </c>
      <c r="AA1692" s="15" t="str">
        <f t="shared" si="11"/>
        <v>OK (63)</v>
      </c>
      <c r="AB1692" s="15" t="str">
        <f t="shared" si="12"/>
        <v>Electropolished tube supply to VERIFY, Chelmsford. Ra from 0.25 um, SF4 finish, mill test certificate with every lot.</v>
      </c>
      <c r="AC1692" s="15" t="str">
        <f t="shared" si="13"/>
        <v>PENDING RESEARCH</v>
      </c>
      <c r="AD1692" s="15" t="str">
        <f t="shared" si="14"/>
        <v>Electropolished Pipes Manufacturer in Chelmsford</v>
      </c>
      <c r="AE1692" s="15" t="str">
        <f t="shared" si="15"/>
        <v>Manufacturing Electropolished SS Tube for Chelmsford: The Standards We Build To</v>
      </c>
      <c r="AF1692" s="15" t="str">
        <f t="shared" si="16"/>
        <v>Electropolished Pipe Supply Into Chelmsford - Certification &amp; Transit</v>
      </c>
      <c r="AG1692" s="15" t="str">
        <f t="shared" si="17"/>
        <v>Electropolished Pipes Wholesaler in Chelmsford - Project Quantities &amp; Terms</v>
      </c>
      <c r="AH1692" s="15" t="str">
        <f t="shared" si="18"/>
        <v>electropolished pipes manufacturer in Chelmsford, electropolished pipes supplier in Chelmsford, electropolished pipes wholesaler in Chelmsford, electropolished tube manufacturer Chelmsford, EP pipe supplier Chelmsford, sanitary tube supplier Chelmsford, ASME BPE tubing Chelmsford, ASTM A270 tube Chelmsford, SS 316L electropolished pipe Chelmsford</v>
      </c>
      <c r="AI1692" s="15" t="str">
        <f t="shared" si="19"/>
        <v>Electropolished Pipes Manufacturer &amp; Supplier in Chelmsford</v>
      </c>
      <c r="AJ1692" s="15" t="str">
        <f t="shared" si="20"/>
        <v>EP-finished SS 304/316L pipes and tubes for VERIFY plants in Chelmsford. ASME BPE SF1-SF4, Ra from 0.25 um, EN 10204 3.1 certificate with every lot.</v>
      </c>
      <c r="AK1692" s="15" t="str">
        <f t="shared" si="21"/>
        <v>Electropolished stainless steel pipes supplied by Sakshi Forge to VERIFY plants at VERIFY, Chelmsford</v>
      </c>
      <c r="AL1692" s="15" t="str">
        <f t="shared" si="22"/>
        <v>Electropolished SS 316L tube stock for Chelmsford - Sakshi Forge</v>
      </c>
      <c r="AM1692" s="15" t="str">
        <f t="shared" si="23"/>
        <v>Home &gt; Market Area &gt; UK &gt; VERIFY &gt; Chelmsford</v>
      </c>
      <c r="AN1692" s="15">
        <f t="shared" si="24"/>
        <v>750</v>
      </c>
      <c r="AO1692" s="15">
        <f t="shared" si="25"/>
        <v>6</v>
      </c>
      <c r="AP1692" s="15">
        <f t="shared" si="26"/>
        <v>6</v>
      </c>
      <c r="AQ1692" s="15">
        <f t="shared" si="27"/>
        <v>29</v>
      </c>
      <c r="AR1692" s="31"/>
      <c r="AS1692" s="31"/>
      <c r="AT1692" s="35" t="s">
        <v>222</v>
      </c>
      <c r="AU1692" s="35"/>
    </row>
    <row r="1693" ht="15.75" customHeight="1">
      <c r="A1693" s="15" t="s">
        <v>7701</v>
      </c>
      <c r="B1693" s="15" t="s">
        <v>234</v>
      </c>
      <c r="C1693" s="15" t="s">
        <v>98</v>
      </c>
      <c r="D1693" s="15" t="s">
        <v>7702</v>
      </c>
      <c r="E1693" s="15" t="s">
        <v>7702</v>
      </c>
      <c r="F1693" s="58" t="s">
        <v>807</v>
      </c>
      <c r="G1693" s="66" t="s">
        <v>98</v>
      </c>
      <c r="H1693" s="18" t="s">
        <v>98</v>
      </c>
      <c r="I1693" s="18" t="s">
        <v>98</v>
      </c>
      <c r="J1693" s="18" t="s">
        <v>98</v>
      </c>
      <c r="K1693" s="18" t="s">
        <v>98</v>
      </c>
      <c r="L1693" s="18" t="s">
        <v>98</v>
      </c>
      <c r="M1693" s="18" t="s">
        <v>540</v>
      </c>
      <c r="N1693" s="18" t="s">
        <v>242</v>
      </c>
      <c r="O1693" s="18" t="s">
        <v>98</v>
      </c>
      <c r="P1693" s="15" t="str">
        <f t="shared" si="1"/>
        <v>VERIFY</v>
      </c>
      <c r="Q1693" s="15">
        <f t="shared" si="2"/>
        <v>2</v>
      </c>
      <c r="R1693" s="15">
        <f t="shared" si="3"/>
        <v>3</v>
      </c>
      <c r="S1693" s="15">
        <f t="shared" si="4"/>
        <v>5</v>
      </c>
      <c r="T1693" s="15" t="str">
        <f t="shared" si="5"/>
        <v>C-4</v>
      </c>
      <c r="U1693" s="15" t="str">
        <f t="shared" si="6"/>
        <v>T2-M3-H5-FC-4-VERIFY</v>
      </c>
      <c r="V1693" s="15">
        <f t="shared" si="7"/>
        <v>0</v>
      </c>
      <c r="W1693" s="31"/>
      <c r="X1693" s="15" t="str">
        <f t="shared" si="8"/>
        <v>chester-uk</v>
      </c>
      <c r="Y1693" s="32" t="str">
        <f t="shared" si="9"/>
        <v>https://steelmanufacturer.in/market-area/electropolished-pipes-manufacturer-in-chester-uk/</v>
      </c>
      <c r="Z1693" s="15" t="str">
        <f t="shared" si="10"/>
        <v>Electropolished Pipes Manufacturer in Chester</v>
      </c>
      <c r="AA1693" s="15" t="str">
        <f t="shared" si="11"/>
        <v>OK (45)</v>
      </c>
      <c r="AB1693" s="15" t="str">
        <f t="shared" si="12"/>
        <v>EP stainless tube for VERIFY lines in Chester. 22-28 days sea from Nhava Sheva to Felixstowe. ASTM A270 S2, PMI tested, EN 10204 3.1.</v>
      </c>
      <c r="AC1693" s="15" t="str">
        <f t="shared" si="13"/>
        <v>PENDING RESEARCH</v>
      </c>
      <c r="AD1693" s="15" t="str">
        <f t="shared" si="14"/>
        <v>Electropolished Pipes Manufacturer in Chester</v>
      </c>
      <c r="AE1693" s="15" t="str">
        <f t="shared" si="15"/>
        <v>Electropolished Tube Manufacturing Capability Serving Chester</v>
      </c>
      <c r="AF1693" s="15" t="str">
        <f t="shared" si="16"/>
        <v>Electropolished Pipes Supplier in Chester - From Order to Delivery</v>
      </c>
      <c r="AG1693" s="15" t="str">
        <f t="shared" si="17"/>
        <v>Stockist &amp; Wholesale Supply of Electropolished Pipes in Chester</v>
      </c>
      <c r="AH1693" s="15" t="str">
        <f t="shared" si="18"/>
        <v>electropolished pipes manufacturer in Chester, electropolished pipes supplier in Chester, electropolished pipes wholesaler in Chester, electropolished tube manufacturer Chester, EP pipe supplier Chester, sanitary tube supplier Chester, ASME BPE tubing Chester, ASTM A270 tube Chester, SS 316L electropolished pipe Chester</v>
      </c>
      <c r="AI1693" s="15" t="str">
        <f t="shared" si="19"/>
        <v>Electropolished Pipes Manufacturer &amp; Supplier in Chester</v>
      </c>
      <c r="AJ1693" s="15" t="str">
        <f t="shared" si="20"/>
        <v>EP-finished SS 304/316L pipes and tubes for VERIFY plants in Chester. ASME BPE SF1-SF4, Ra from 0.25 um, EN 10204 3.1 certificate with every lot.</v>
      </c>
      <c r="AK1693" s="15" t="str">
        <f t="shared" si="21"/>
        <v>Electropolished stainless steel pipes supplied by Sakshi Forge to VERIFY plants at VERIFY, Chester</v>
      </c>
      <c r="AL1693" s="15" t="str">
        <f t="shared" si="22"/>
        <v>Electropolished SS 316L tube stock for Chester - Sakshi Forge</v>
      </c>
      <c r="AM1693" s="15" t="str">
        <f t="shared" si="23"/>
        <v>Home &gt; Market Area &gt; UK &gt; VERIFY &gt; Chester</v>
      </c>
      <c r="AN1693" s="15">
        <f t="shared" si="24"/>
        <v>750</v>
      </c>
      <c r="AO1693" s="15">
        <f t="shared" si="25"/>
        <v>6</v>
      </c>
      <c r="AP1693" s="15">
        <f t="shared" si="26"/>
        <v>6</v>
      </c>
      <c r="AQ1693" s="15">
        <f t="shared" si="27"/>
        <v>29</v>
      </c>
      <c r="AR1693" s="31"/>
      <c r="AS1693" s="31"/>
      <c r="AT1693" s="35" t="s">
        <v>222</v>
      </c>
      <c r="AU1693" s="35"/>
    </row>
    <row r="1694" ht="15.75" customHeight="1">
      <c r="A1694" s="15" t="s">
        <v>7703</v>
      </c>
      <c r="B1694" s="15" t="s">
        <v>234</v>
      </c>
      <c r="C1694" s="15" t="s">
        <v>98</v>
      </c>
      <c r="D1694" s="15" t="s">
        <v>7704</v>
      </c>
      <c r="E1694" s="15" t="s">
        <v>7704</v>
      </c>
      <c r="F1694" s="58" t="s">
        <v>807</v>
      </c>
      <c r="G1694" s="66" t="s">
        <v>98</v>
      </c>
      <c r="H1694" s="18" t="s">
        <v>98</v>
      </c>
      <c r="I1694" s="18" t="s">
        <v>98</v>
      </c>
      <c r="J1694" s="18" t="s">
        <v>98</v>
      </c>
      <c r="K1694" s="18" t="s">
        <v>98</v>
      </c>
      <c r="L1694" s="18" t="s">
        <v>98</v>
      </c>
      <c r="M1694" s="18" t="s">
        <v>540</v>
      </c>
      <c r="N1694" s="18" t="s">
        <v>242</v>
      </c>
      <c r="O1694" s="18" t="s">
        <v>98</v>
      </c>
      <c r="P1694" s="15" t="str">
        <f t="shared" si="1"/>
        <v>VERIFY</v>
      </c>
      <c r="Q1694" s="15">
        <f t="shared" si="2"/>
        <v>3</v>
      </c>
      <c r="R1694" s="15">
        <f t="shared" si="3"/>
        <v>4</v>
      </c>
      <c r="S1694" s="15">
        <f t="shared" si="4"/>
        <v>1</v>
      </c>
      <c r="T1694" s="15" t="str">
        <f t="shared" si="5"/>
        <v>C-5</v>
      </c>
      <c r="U1694" s="15" t="str">
        <f t="shared" si="6"/>
        <v>T3-M4-H1-FC-5-VERIFY</v>
      </c>
      <c r="V1694" s="15">
        <f t="shared" si="7"/>
        <v>0</v>
      </c>
      <c r="W1694" s="31"/>
      <c r="X1694" s="15" t="str">
        <f t="shared" si="8"/>
        <v>chesterfield-uk</v>
      </c>
      <c r="Y1694" s="32" t="str">
        <f t="shared" si="9"/>
        <v>https://steelmanufacturer.in/market-area/electropolished-pipes-manufacturer-in-chesterfield-uk/</v>
      </c>
      <c r="Z1694" s="15" t="str">
        <f t="shared" si="10"/>
        <v>Electropolished Pipes Manufacturer in Chesterfield</v>
      </c>
      <c r="AA1694" s="15" t="str">
        <f t="shared" si="11"/>
        <v>OK (50)</v>
      </c>
      <c r="AB1694" s="15" t="str">
        <f t="shared" si="12"/>
        <v>Sanitary electropolished pipes in Chesterfield for VERIFY plants. ASME BPE SF1-SF4, orbital-weld ready, 3.1 MTC. Mumbai-made.</v>
      </c>
      <c r="AC1694" s="15" t="str">
        <f t="shared" si="13"/>
        <v>PENDING RESEARCH</v>
      </c>
      <c r="AD1694" s="15" t="str">
        <f t="shared" si="14"/>
        <v>Electropolished Pipes Manufacturer in Chesterfield</v>
      </c>
      <c r="AE1694" s="15" t="str">
        <f t="shared" si="15"/>
        <v>Electropolished Pipe &amp; Tube Manufacturing for Chesterfield - Grades, Finishes &amp; Certification</v>
      </c>
      <c r="AF1694" s="15" t="str">
        <f t="shared" si="16"/>
        <v>Electropolished Pipes Supplier in Chesterfield - Stock Sizes, Lead Time &amp; Delivery</v>
      </c>
      <c r="AG1694" s="15" t="str">
        <f t="shared" si="17"/>
        <v>Electropolished Pipes Wholesaler &amp; Stockist in Chesterfield - Bulk &amp; Project Pricing</v>
      </c>
      <c r="AH1694" s="15" t="str">
        <f t="shared" si="18"/>
        <v>electropolished pipes manufacturer in Chesterfield, electropolished pipes supplier in Chesterfield, electropolished pipes wholesaler in Chesterfield, electropolished tube manufacturer Chesterfield, EP pipe supplier Chesterfield, sanitary tube supplier Chesterfield, ASME BPE tubing Chesterfield, ASTM A270 tube Chesterfield, SS 316L electropolished pipe Chesterfield</v>
      </c>
      <c r="AI1694" s="15" t="str">
        <f t="shared" si="19"/>
        <v>Electropolished Pipes Manufacturer &amp; Supplier in Chesterfield</v>
      </c>
      <c r="AJ1694" s="15" t="str">
        <f t="shared" si="20"/>
        <v>EP-finished SS 304/316L pipes and tubes for VERIFY plants in Chesterfield. ASME BPE SF1-SF4, Ra from 0.25 um, EN 10204 3.1 certificate with every lot.</v>
      </c>
      <c r="AK1694" s="15" t="str">
        <f t="shared" si="21"/>
        <v>Electropolished stainless steel pipes supplied by Sakshi Forge to VERIFY plants at VERIFY, Chesterfield</v>
      </c>
      <c r="AL1694" s="15" t="str">
        <f t="shared" si="22"/>
        <v>Electropolished SS 316L tube stock for Chesterfield - Sakshi Forge</v>
      </c>
      <c r="AM1694" s="15" t="str">
        <f t="shared" si="23"/>
        <v>Home &gt; Market Area &gt; UK &gt; VERIFY &gt; Chesterfield</v>
      </c>
      <c r="AN1694" s="15">
        <f t="shared" si="24"/>
        <v>750</v>
      </c>
      <c r="AO1694" s="15">
        <f t="shared" si="25"/>
        <v>6</v>
      </c>
      <c r="AP1694" s="15">
        <f t="shared" si="26"/>
        <v>6</v>
      </c>
      <c r="AQ1694" s="15">
        <f t="shared" si="27"/>
        <v>29</v>
      </c>
      <c r="AR1694" s="31"/>
      <c r="AS1694" s="31"/>
      <c r="AT1694" s="35" t="s">
        <v>222</v>
      </c>
      <c r="AU1694" s="35"/>
    </row>
    <row r="1695" ht="15.75" customHeight="1">
      <c r="A1695" s="15" t="s">
        <v>7705</v>
      </c>
      <c r="B1695" s="15" t="s">
        <v>234</v>
      </c>
      <c r="C1695" s="15" t="s">
        <v>98</v>
      </c>
      <c r="D1695" s="15" t="s">
        <v>7706</v>
      </c>
      <c r="E1695" s="15" t="s">
        <v>7706</v>
      </c>
      <c r="F1695" s="58" t="s">
        <v>807</v>
      </c>
      <c r="G1695" s="66" t="s">
        <v>98</v>
      </c>
      <c r="H1695" s="18" t="s">
        <v>98</v>
      </c>
      <c r="I1695" s="18" t="s">
        <v>98</v>
      </c>
      <c r="J1695" s="18" t="s">
        <v>98</v>
      </c>
      <c r="K1695" s="18" t="s">
        <v>98</v>
      </c>
      <c r="L1695" s="18" t="s">
        <v>98</v>
      </c>
      <c r="M1695" s="18" t="s">
        <v>540</v>
      </c>
      <c r="N1695" s="18" t="s">
        <v>242</v>
      </c>
      <c r="O1695" s="18" t="s">
        <v>98</v>
      </c>
      <c r="P1695" s="15" t="str">
        <f t="shared" si="1"/>
        <v>VERIFY</v>
      </c>
      <c r="Q1695" s="15">
        <f t="shared" si="2"/>
        <v>4</v>
      </c>
      <c r="R1695" s="15">
        <f t="shared" si="3"/>
        <v>5</v>
      </c>
      <c r="S1695" s="15">
        <f t="shared" si="4"/>
        <v>2</v>
      </c>
      <c r="T1695" s="15" t="str">
        <f t="shared" si="5"/>
        <v>C-6</v>
      </c>
      <c r="U1695" s="15" t="str">
        <f t="shared" si="6"/>
        <v>T4-M5-H2-FC-6-VERIFY</v>
      </c>
      <c r="V1695" s="15">
        <f t="shared" si="7"/>
        <v>0</v>
      </c>
      <c r="W1695" s="31"/>
      <c r="X1695" s="15" t="str">
        <f t="shared" si="8"/>
        <v>colchester-uk</v>
      </c>
      <c r="Y1695" s="32" t="str">
        <f t="shared" si="9"/>
        <v>https://steelmanufacturer.in/market-area/electropolished-pipes-manufacturer-in-colchester-uk/</v>
      </c>
      <c r="Z1695" s="15" t="str">
        <f t="shared" si="10"/>
        <v>Electropolished Pipes Manufacturer in Colchester</v>
      </c>
      <c r="AA1695" s="15" t="str">
        <f t="shared" si="11"/>
        <v>OK (48)</v>
      </c>
      <c r="AB1695" s="15" t="str">
        <f t="shared" si="12"/>
        <v>Manufacturer of electropolished SS 316L tube serving Colchester. 22-28 days sea from Nhava Sheva to Felixstowe. Ra 0.25-0.5 um, EN 10204 3.1 MTC.</v>
      </c>
      <c r="AC1695" s="15" t="str">
        <f t="shared" si="13"/>
        <v>PENDING RESEARCH</v>
      </c>
      <c r="AD1695" s="15" t="str">
        <f t="shared" si="14"/>
        <v>Electropolished Pipes Manufacturer in Colchester</v>
      </c>
      <c r="AE1695" s="15" t="str">
        <f t="shared" si="15"/>
        <v>How We Manufacture Electropolished Tube for Colchester Plants</v>
      </c>
      <c r="AF1695" s="15" t="str">
        <f t="shared" si="16"/>
        <v>Supplying Electropolished Pipes in Colchester: Availability, Sizes &amp; Dispatch</v>
      </c>
      <c r="AG1695" s="15" t="str">
        <f t="shared" si="17"/>
        <v>Wholesale Electropolished Pipe Supply for Colchester Projects</v>
      </c>
      <c r="AH1695" s="15" t="str">
        <f t="shared" si="18"/>
        <v>electropolished pipes manufacturer in Colchester, electropolished pipes supplier in Colchester, electropolished pipes wholesaler in Colchester, electropolished tube manufacturer Colchester, EP pipe supplier Colchester, sanitary tube supplier Colchester, ASME BPE tubing Colchester, ASTM A270 tube Colchester, SS 316L electropolished pipe Colchester</v>
      </c>
      <c r="AI1695" s="15" t="str">
        <f t="shared" si="19"/>
        <v>Electropolished Pipes Manufacturer &amp; Supplier in Colchester</v>
      </c>
      <c r="AJ1695" s="15" t="str">
        <f t="shared" si="20"/>
        <v>EP-finished SS 304/316L pipes and tubes for VERIFY plants in Colchester. ASME BPE SF1-SF4, Ra from 0.25 um, EN 10204 3.1 certificate with every lot.</v>
      </c>
      <c r="AK1695" s="15" t="str">
        <f t="shared" si="21"/>
        <v>Electropolished stainless steel pipes supplied by Sakshi Forge to VERIFY plants at VERIFY, Colchester</v>
      </c>
      <c r="AL1695" s="15" t="str">
        <f t="shared" si="22"/>
        <v>Electropolished SS 316L tube stock for Colchester - Sakshi Forge</v>
      </c>
      <c r="AM1695" s="15" t="str">
        <f t="shared" si="23"/>
        <v>Home &gt; Market Area &gt; UK &gt; VERIFY &gt; Colchester</v>
      </c>
      <c r="AN1695" s="15">
        <f t="shared" si="24"/>
        <v>750</v>
      </c>
      <c r="AO1695" s="15">
        <f t="shared" si="25"/>
        <v>6</v>
      </c>
      <c r="AP1695" s="15">
        <f t="shared" si="26"/>
        <v>6</v>
      </c>
      <c r="AQ1695" s="15">
        <f t="shared" si="27"/>
        <v>29</v>
      </c>
      <c r="AR1695" s="31"/>
      <c r="AS1695" s="31"/>
      <c r="AT1695" s="35" t="s">
        <v>222</v>
      </c>
      <c r="AU1695" s="35"/>
    </row>
    <row r="1696" ht="15.75" customHeight="1">
      <c r="A1696" s="15" t="s">
        <v>7707</v>
      </c>
      <c r="B1696" s="15" t="s">
        <v>234</v>
      </c>
      <c r="C1696" s="15" t="s">
        <v>98</v>
      </c>
      <c r="D1696" s="15" t="s">
        <v>7708</v>
      </c>
      <c r="E1696" s="15" t="s">
        <v>7708</v>
      </c>
      <c r="F1696" s="58" t="s">
        <v>807</v>
      </c>
      <c r="G1696" s="66" t="s">
        <v>98</v>
      </c>
      <c r="H1696" s="18" t="s">
        <v>98</v>
      </c>
      <c r="I1696" s="18" t="s">
        <v>98</v>
      </c>
      <c r="J1696" s="18" t="s">
        <v>98</v>
      </c>
      <c r="K1696" s="18" t="s">
        <v>98</v>
      </c>
      <c r="L1696" s="18" t="s">
        <v>98</v>
      </c>
      <c r="M1696" s="18" t="s">
        <v>540</v>
      </c>
      <c r="N1696" s="18" t="s">
        <v>242</v>
      </c>
      <c r="O1696" s="18" t="s">
        <v>98</v>
      </c>
      <c r="P1696" s="15" t="str">
        <f t="shared" si="1"/>
        <v>VERIFY</v>
      </c>
      <c r="Q1696" s="15">
        <f t="shared" si="2"/>
        <v>5</v>
      </c>
      <c r="R1696" s="15">
        <f t="shared" si="3"/>
        <v>6</v>
      </c>
      <c r="S1696" s="15">
        <f t="shared" si="4"/>
        <v>3</v>
      </c>
      <c r="T1696" s="15" t="str">
        <f t="shared" si="5"/>
        <v>C-1</v>
      </c>
      <c r="U1696" s="15" t="str">
        <f t="shared" si="6"/>
        <v>T5-M6-H3-FC-1-VERIFY</v>
      </c>
      <c r="V1696" s="15">
        <f t="shared" si="7"/>
        <v>0</v>
      </c>
      <c r="W1696" s="31"/>
      <c r="X1696" s="15" t="str">
        <f t="shared" si="8"/>
        <v>crawley-uk</v>
      </c>
      <c r="Y1696" s="32" t="str">
        <f t="shared" si="9"/>
        <v>https://steelmanufacturer.in/market-area/electropolished-pipes-manufacturer-in-crawley-uk/</v>
      </c>
      <c r="Z1696" s="15" t="str">
        <f t="shared" si="10"/>
        <v>Electropolished Pipes Manufacturer in Crawley</v>
      </c>
      <c r="AA1696" s="15" t="str">
        <f t="shared" si="11"/>
        <v>OK (45)</v>
      </c>
      <c r="AB1696" s="15" t="str">
        <f t="shared" si="12"/>
        <v>EP tube and pipe for VERIFY plants around VERIFY, Crawley. Made at our Mumbai works to ASTM A270 and ASME BPE SF1-SF4, with 3.1 MTC.</v>
      </c>
      <c r="AC1696" s="15" t="str">
        <f t="shared" si="13"/>
        <v>PENDING RESEARCH</v>
      </c>
      <c r="AD1696" s="15" t="str">
        <f t="shared" si="14"/>
        <v>Electropolished Pipes Manufacturer in Crawley</v>
      </c>
      <c r="AE1696" s="15" t="str">
        <f t="shared" si="15"/>
        <v>Electropolished Pipes Manufacturer in Crawley - Our Process &amp; Capability</v>
      </c>
      <c r="AF1696" s="15" t="str">
        <f t="shared" si="16"/>
        <v>Electropolished Pipes Supplier in Crawley - What We Hold in Stock</v>
      </c>
      <c r="AG1696" s="15" t="str">
        <f t="shared" si="17"/>
        <v>Bulk &amp; Wholesale Electropolished Pipe Rates for Crawley Buyers</v>
      </c>
      <c r="AH1696" s="15" t="str">
        <f t="shared" si="18"/>
        <v>electropolished pipes manufacturer in Crawley, electropolished pipes supplier in Crawley, electropolished pipes wholesaler in Crawley, electropolished tube manufacturer Crawley, EP pipe supplier Crawley, sanitary tube supplier Crawley, ASME BPE tubing Crawley, ASTM A270 tube Crawley, SS 316L electropolished pipe Crawley</v>
      </c>
      <c r="AI1696" s="15" t="str">
        <f t="shared" si="19"/>
        <v>Electropolished Pipes Manufacturer &amp; Supplier in Crawley</v>
      </c>
      <c r="AJ1696" s="15" t="str">
        <f t="shared" si="20"/>
        <v>EP-finished SS 304/316L pipes and tubes for VERIFY plants in Crawley. ASME BPE SF1-SF4, Ra from 0.25 um, EN 10204 3.1 certificate with every lot.</v>
      </c>
      <c r="AK1696" s="15" t="str">
        <f t="shared" si="21"/>
        <v>Electropolished stainless steel pipes supplied by Sakshi Forge to VERIFY plants at VERIFY, Crawley</v>
      </c>
      <c r="AL1696" s="15" t="str">
        <f t="shared" si="22"/>
        <v>Electropolished SS 316L tube stock for Crawley - Sakshi Forge</v>
      </c>
      <c r="AM1696" s="15" t="str">
        <f t="shared" si="23"/>
        <v>Home &gt; Market Area &gt; UK &gt; VERIFY &gt; Crawley</v>
      </c>
      <c r="AN1696" s="15">
        <f t="shared" si="24"/>
        <v>750</v>
      </c>
      <c r="AO1696" s="15">
        <f t="shared" si="25"/>
        <v>6</v>
      </c>
      <c r="AP1696" s="15">
        <f t="shared" si="26"/>
        <v>6</v>
      </c>
      <c r="AQ1696" s="15">
        <f t="shared" si="27"/>
        <v>29</v>
      </c>
      <c r="AR1696" s="31"/>
      <c r="AS1696" s="31"/>
      <c r="AT1696" s="35" t="s">
        <v>222</v>
      </c>
      <c r="AU1696" s="35"/>
    </row>
    <row r="1697" ht="15.75" customHeight="1">
      <c r="A1697" s="15" t="s">
        <v>7709</v>
      </c>
      <c r="B1697" s="15" t="s">
        <v>234</v>
      </c>
      <c r="C1697" s="15" t="s">
        <v>98</v>
      </c>
      <c r="D1697" s="15" t="s">
        <v>7710</v>
      </c>
      <c r="E1697" s="15" t="s">
        <v>7710</v>
      </c>
      <c r="F1697" s="58" t="s">
        <v>807</v>
      </c>
      <c r="G1697" s="66" t="s">
        <v>98</v>
      </c>
      <c r="H1697" s="18" t="s">
        <v>98</v>
      </c>
      <c r="I1697" s="18" t="s">
        <v>98</v>
      </c>
      <c r="J1697" s="18" t="s">
        <v>98</v>
      </c>
      <c r="K1697" s="18" t="s">
        <v>98</v>
      </c>
      <c r="L1697" s="18" t="s">
        <v>98</v>
      </c>
      <c r="M1697" s="18" t="s">
        <v>540</v>
      </c>
      <c r="N1697" s="18" t="s">
        <v>242</v>
      </c>
      <c r="O1697" s="18" t="s">
        <v>98</v>
      </c>
      <c r="P1697" s="15" t="str">
        <f t="shared" si="1"/>
        <v>VERIFY</v>
      </c>
      <c r="Q1697" s="15">
        <f t="shared" si="2"/>
        <v>6</v>
      </c>
      <c r="R1697" s="15">
        <f t="shared" si="3"/>
        <v>7</v>
      </c>
      <c r="S1697" s="15">
        <f t="shared" si="4"/>
        <v>4</v>
      </c>
      <c r="T1697" s="15" t="str">
        <f t="shared" si="5"/>
        <v>C-2</v>
      </c>
      <c r="U1697" s="15" t="str">
        <f t="shared" si="6"/>
        <v>T6-M7-H4-FC-2-VERIFY</v>
      </c>
      <c r="V1697" s="15">
        <f t="shared" si="7"/>
        <v>0</v>
      </c>
      <c r="W1697" s="31"/>
      <c r="X1697" s="15" t="str">
        <f t="shared" si="8"/>
        <v>doncaster-uk</v>
      </c>
      <c r="Y1697" s="32" t="str">
        <f t="shared" si="9"/>
        <v>https://steelmanufacturer.in/market-area/electropolished-pipes-manufacturer-in-doncaster-uk/</v>
      </c>
      <c r="Z1697" s="15" t="str">
        <f t="shared" si="10"/>
        <v>Electropolished Pipes Manufacturer in Doncaster</v>
      </c>
      <c r="AA1697" s="15" t="str">
        <f t="shared" si="11"/>
        <v>OK (47)</v>
      </c>
      <c r="AB1697" s="15" t="str">
        <f t="shared" si="12"/>
        <v>Electropolished pipes in Doncaster: 304, 304L, 316 and 316L in SF1-SF4. 22-28 days sea from Nhava Sheva to Felixstowe. Mill certified.</v>
      </c>
      <c r="AC1697" s="15" t="str">
        <f t="shared" si="13"/>
        <v>PENDING RESEARCH</v>
      </c>
      <c r="AD1697" s="15" t="str">
        <f t="shared" si="14"/>
        <v>Electropolished Pipes Manufacturer in Doncaster</v>
      </c>
      <c r="AE1697" s="15" t="str">
        <f t="shared" si="15"/>
        <v>Manufacturing Electropolished SS Tube for Doncaster: The Standards We Build To</v>
      </c>
      <c r="AF1697" s="15" t="str">
        <f t="shared" si="16"/>
        <v>Electropolished Pipe Supply Into Doncaster - Certification &amp; Transit</v>
      </c>
      <c r="AG1697" s="15" t="str">
        <f t="shared" si="17"/>
        <v>Electropolished Pipes Wholesaler in Doncaster - Project Quantities &amp; Terms</v>
      </c>
      <c r="AH1697" s="15" t="str">
        <f t="shared" si="18"/>
        <v>electropolished pipes manufacturer in Doncaster, electropolished pipes supplier in Doncaster, electropolished pipes wholesaler in Doncaster, electropolished tube manufacturer Doncaster, EP pipe supplier Doncaster, sanitary tube supplier Doncaster, ASME BPE tubing Doncaster, ASTM A270 tube Doncaster, SS 316L electropolished pipe Doncaster</v>
      </c>
      <c r="AI1697" s="15" t="str">
        <f t="shared" si="19"/>
        <v>Electropolished Pipes Manufacturer &amp; Supplier in Doncaster</v>
      </c>
      <c r="AJ1697" s="15" t="str">
        <f t="shared" si="20"/>
        <v>EP-finished SS 304/316L pipes and tubes for VERIFY plants in Doncaster. ASME BPE SF1-SF4, Ra from 0.25 um, EN 10204 3.1 certificate with every lot.</v>
      </c>
      <c r="AK1697" s="15" t="str">
        <f t="shared" si="21"/>
        <v>Electropolished stainless steel pipes supplied by Sakshi Forge to VERIFY plants at VERIFY, Doncaster</v>
      </c>
      <c r="AL1697" s="15" t="str">
        <f t="shared" si="22"/>
        <v>Electropolished SS 316L tube stock for Doncaster - Sakshi Forge</v>
      </c>
      <c r="AM1697" s="15" t="str">
        <f t="shared" si="23"/>
        <v>Home &gt; Market Area &gt; UK &gt; VERIFY &gt; Doncaster</v>
      </c>
      <c r="AN1697" s="15">
        <f t="shared" si="24"/>
        <v>750</v>
      </c>
      <c r="AO1697" s="15">
        <f t="shared" si="25"/>
        <v>6</v>
      </c>
      <c r="AP1697" s="15">
        <f t="shared" si="26"/>
        <v>6</v>
      </c>
      <c r="AQ1697" s="15">
        <f t="shared" si="27"/>
        <v>29</v>
      </c>
      <c r="AR1697" s="31"/>
      <c r="AS1697" s="31"/>
      <c r="AT1697" s="35" t="s">
        <v>222</v>
      </c>
      <c r="AU1697" s="35"/>
    </row>
    <row r="1698" ht="15.75" customHeight="1">
      <c r="A1698" s="15" t="s">
        <v>7711</v>
      </c>
      <c r="B1698" s="15" t="s">
        <v>234</v>
      </c>
      <c r="C1698" s="15" t="s">
        <v>98</v>
      </c>
      <c r="D1698" s="15" t="s">
        <v>7712</v>
      </c>
      <c r="E1698" s="15" t="s">
        <v>7712</v>
      </c>
      <c r="F1698" s="58" t="s">
        <v>807</v>
      </c>
      <c r="G1698" s="66" t="s">
        <v>98</v>
      </c>
      <c r="H1698" s="18" t="s">
        <v>98</v>
      </c>
      <c r="I1698" s="18" t="s">
        <v>98</v>
      </c>
      <c r="J1698" s="18" t="s">
        <v>98</v>
      </c>
      <c r="K1698" s="18" t="s">
        <v>98</v>
      </c>
      <c r="L1698" s="18" t="s">
        <v>98</v>
      </c>
      <c r="M1698" s="18" t="s">
        <v>540</v>
      </c>
      <c r="N1698" s="18" t="s">
        <v>242</v>
      </c>
      <c r="O1698" s="18" t="s">
        <v>98</v>
      </c>
      <c r="P1698" s="15" t="str">
        <f t="shared" si="1"/>
        <v>VERIFY</v>
      </c>
      <c r="Q1698" s="15">
        <f t="shared" si="2"/>
        <v>7</v>
      </c>
      <c r="R1698" s="15">
        <f t="shared" si="3"/>
        <v>1</v>
      </c>
      <c r="S1698" s="15">
        <f t="shared" si="4"/>
        <v>5</v>
      </c>
      <c r="T1698" s="15" t="str">
        <f t="shared" si="5"/>
        <v>C-3</v>
      </c>
      <c r="U1698" s="15" t="str">
        <f t="shared" si="6"/>
        <v>T7-M1-H5-FC-3-VERIFY</v>
      </c>
      <c r="V1698" s="15">
        <f t="shared" si="7"/>
        <v>0</v>
      </c>
      <c r="W1698" s="31"/>
      <c r="X1698" s="15" t="str">
        <f t="shared" si="8"/>
        <v>durham-uk</v>
      </c>
      <c r="Y1698" s="32" t="str">
        <f t="shared" si="9"/>
        <v>https://steelmanufacturer.in/market-area/electropolished-pipes-manufacturer-in-durham-uk/</v>
      </c>
      <c r="Z1698" s="15" t="str">
        <f t="shared" si="10"/>
        <v>Electropolished Pipes Manufacturer in Durham | ASME BPE SF1-SF4</v>
      </c>
      <c r="AA1698" s="15" t="str">
        <f t="shared" si="11"/>
        <v>OK (63)</v>
      </c>
      <c r="AB1698" s="15" t="str">
        <f t="shared" si="12"/>
        <v>EP-finished SS 304/316L pipes &amp; tubes for VERIFY plants in Durham. ASTM A270, ASME BPE SF1-SF4, EN 10204 3.1 MTC. PMI tested.</v>
      </c>
      <c r="AC1698" s="15" t="str">
        <f t="shared" si="13"/>
        <v>PENDING RESEARCH</v>
      </c>
      <c r="AD1698" s="15" t="str">
        <f t="shared" si="14"/>
        <v>Electropolished Pipes Manufacturer in Durham</v>
      </c>
      <c r="AE1698" s="15" t="str">
        <f t="shared" si="15"/>
        <v>Electropolished Tube Manufacturing Capability Serving Durham</v>
      </c>
      <c r="AF1698" s="15" t="str">
        <f t="shared" si="16"/>
        <v>Electropolished Pipes Supplier in Durham - From Order to Delivery</v>
      </c>
      <c r="AG1698" s="15" t="str">
        <f t="shared" si="17"/>
        <v>Stockist &amp; Wholesale Supply of Electropolished Pipes in Durham</v>
      </c>
      <c r="AH1698" s="15" t="str">
        <f t="shared" si="18"/>
        <v>electropolished pipes manufacturer in Durham, electropolished pipes supplier in Durham, electropolished pipes wholesaler in Durham, electropolished tube manufacturer Durham, EP pipe supplier Durham, sanitary tube supplier Durham, ASME BPE tubing Durham, ASTM A270 tube Durham, SS 316L electropolished pipe Durham</v>
      </c>
      <c r="AI1698" s="15" t="str">
        <f t="shared" si="19"/>
        <v>Electropolished Pipes Manufacturer &amp; Supplier in Durham</v>
      </c>
      <c r="AJ1698" s="15" t="str">
        <f t="shared" si="20"/>
        <v>EP-finished SS 304/316L pipes and tubes for VERIFY plants in Durham. ASME BPE SF1-SF4, Ra from 0.25 um, EN 10204 3.1 certificate with every lot.</v>
      </c>
      <c r="AK1698" s="15" t="str">
        <f t="shared" si="21"/>
        <v>Electropolished stainless steel pipes supplied by Sakshi Forge to VERIFY plants at VERIFY, Durham</v>
      </c>
      <c r="AL1698" s="15" t="str">
        <f t="shared" si="22"/>
        <v>Electropolished SS 316L tube stock for Durham - Sakshi Forge</v>
      </c>
      <c r="AM1698" s="15" t="str">
        <f t="shared" si="23"/>
        <v>Home &gt; Market Area &gt; UK &gt; VERIFY &gt; Durham</v>
      </c>
      <c r="AN1698" s="15">
        <f t="shared" si="24"/>
        <v>750</v>
      </c>
      <c r="AO1698" s="15">
        <f t="shared" si="25"/>
        <v>6</v>
      </c>
      <c r="AP1698" s="15">
        <f t="shared" si="26"/>
        <v>6</v>
      </c>
      <c r="AQ1698" s="15">
        <f t="shared" si="27"/>
        <v>29</v>
      </c>
      <c r="AR1698" s="31"/>
      <c r="AS1698" s="31"/>
      <c r="AT1698" s="35" t="s">
        <v>222</v>
      </c>
      <c r="AU1698" s="35"/>
    </row>
    <row r="1699" ht="15.75" customHeight="1">
      <c r="A1699" s="15" t="s">
        <v>7713</v>
      </c>
      <c r="B1699" s="15" t="s">
        <v>234</v>
      </c>
      <c r="C1699" s="15" t="s">
        <v>98</v>
      </c>
      <c r="D1699" s="15" t="s">
        <v>7714</v>
      </c>
      <c r="E1699" s="15" t="s">
        <v>7714</v>
      </c>
      <c r="F1699" s="58" t="s">
        <v>807</v>
      </c>
      <c r="G1699" s="66" t="s">
        <v>98</v>
      </c>
      <c r="H1699" s="18" t="s">
        <v>98</v>
      </c>
      <c r="I1699" s="18" t="s">
        <v>98</v>
      </c>
      <c r="J1699" s="18" t="s">
        <v>98</v>
      </c>
      <c r="K1699" s="18" t="s">
        <v>98</v>
      </c>
      <c r="L1699" s="18" t="s">
        <v>98</v>
      </c>
      <c r="M1699" s="18" t="s">
        <v>540</v>
      </c>
      <c r="N1699" s="18" t="s">
        <v>242</v>
      </c>
      <c r="O1699" s="18" t="s">
        <v>98</v>
      </c>
      <c r="P1699" s="15" t="str">
        <f t="shared" si="1"/>
        <v>VERIFY</v>
      </c>
      <c r="Q1699" s="15">
        <f t="shared" si="2"/>
        <v>8</v>
      </c>
      <c r="R1699" s="15">
        <f t="shared" si="3"/>
        <v>2</v>
      </c>
      <c r="S1699" s="15">
        <f t="shared" si="4"/>
        <v>1</v>
      </c>
      <c r="T1699" s="15" t="str">
        <f t="shared" si="5"/>
        <v>C-4</v>
      </c>
      <c r="U1699" s="15" t="str">
        <f t="shared" si="6"/>
        <v>T8-M2-H1-FC-4-VERIFY</v>
      </c>
      <c r="V1699" s="15">
        <f t="shared" si="7"/>
        <v>0</v>
      </c>
      <c r="W1699" s="31"/>
      <c r="X1699" s="15" t="str">
        <f t="shared" si="8"/>
        <v>exeter-uk</v>
      </c>
      <c r="Y1699" s="32" t="str">
        <f t="shared" si="9"/>
        <v>https://steelmanufacturer.in/market-area/electropolished-pipes-manufacturer-in-exeter-uk/</v>
      </c>
      <c r="Z1699" s="15" t="str">
        <f t="shared" si="10"/>
        <v>Electropolished Pipes Manufacturer in Exeter - EP Tube Stockist</v>
      </c>
      <c r="AA1699" s="15" t="str">
        <f t="shared" si="11"/>
        <v>OK (63)</v>
      </c>
      <c r="AB1699" s="15" t="str">
        <f t="shared" si="12"/>
        <v>Electropolished tube supply to VERIFY, Exeter. Ra from 0.25 um, SF4 finish, mill test certificate with every lot.</v>
      </c>
      <c r="AC1699" s="15" t="str">
        <f t="shared" si="13"/>
        <v>PENDING RESEARCH</v>
      </c>
      <c r="AD1699" s="15" t="str">
        <f t="shared" si="14"/>
        <v>Electropolished Pipes Manufacturer in Exeter</v>
      </c>
      <c r="AE1699" s="15" t="str">
        <f t="shared" si="15"/>
        <v>Electropolished Pipe &amp; Tube Manufacturing for Exeter - Grades, Finishes &amp; Certification</v>
      </c>
      <c r="AF1699" s="15" t="str">
        <f t="shared" si="16"/>
        <v>Electropolished Pipes Supplier in Exeter - Stock Sizes, Lead Time &amp; Delivery</v>
      </c>
      <c r="AG1699" s="15" t="str">
        <f t="shared" si="17"/>
        <v>Electropolished Pipes Wholesaler &amp; Stockist in Exeter - Bulk &amp; Project Pricing</v>
      </c>
      <c r="AH1699" s="15" t="str">
        <f t="shared" si="18"/>
        <v>electropolished pipes manufacturer in Exeter, electropolished pipes supplier in Exeter, electropolished pipes wholesaler in Exeter, electropolished tube manufacturer Exeter, EP pipe supplier Exeter, sanitary tube supplier Exeter, ASME BPE tubing Exeter, ASTM A270 tube Exeter, SS 316L electropolished pipe Exeter</v>
      </c>
      <c r="AI1699" s="15" t="str">
        <f t="shared" si="19"/>
        <v>Electropolished Pipes Manufacturer &amp; Supplier in Exeter</v>
      </c>
      <c r="AJ1699" s="15" t="str">
        <f t="shared" si="20"/>
        <v>EP-finished SS 304/316L pipes and tubes for VERIFY plants in Exeter. ASME BPE SF1-SF4, Ra from 0.25 um, EN 10204 3.1 certificate with every lot.</v>
      </c>
      <c r="AK1699" s="15" t="str">
        <f t="shared" si="21"/>
        <v>Electropolished stainless steel pipes supplied by Sakshi Forge to VERIFY plants at VERIFY, Exeter</v>
      </c>
      <c r="AL1699" s="15" t="str">
        <f t="shared" si="22"/>
        <v>Electropolished SS 316L tube stock for Exeter - Sakshi Forge</v>
      </c>
      <c r="AM1699" s="15" t="str">
        <f t="shared" si="23"/>
        <v>Home &gt; Market Area &gt; UK &gt; VERIFY &gt; Exeter</v>
      </c>
      <c r="AN1699" s="15">
        <f t="shared" si="24"/>
        <v>750</v>
      </c>
      <c r="AO1699" s="15">
        <f t="shared" si="25"/>
        <v>6</v>
      </c>
      <c r="AP1699" s="15">
        <f t="shared" si="26"/>
        <v>6</v>
      </c>
      <c r="AQ1699" s="15">
        <f t="shared" si="27"/>
        <v>29</v>
      </c>
      <c r="AR1699" s="31"/>
      <c r="AS1699" s="31"/>
      <c r="AT1699" s="35" t="s">
        <v>222</v>
      </c>
      <c r="AU1699" s="35"/>
    </row>
    <row r="1700" ht="15.75" customHeight="1">
      <c r="A1700" s="15" t="s">
        <v>7715</v>
      </c>
      <c r="B1700" s="15" t="s">
        <v>234</v>
      </c>
      <c r="C1700" s="15" t="s">
        <v>98</v>
      </c>
      <c r="D1700" s="15" t="s">
        <v>7716</v>
      </c>
      <c r="E1700" s="15" t="s">
        <v>7716</v>
      </c>
      <c r="F1700" s="58" t="s">
        <v>807</v>
      </c>
      <c r="G1700" s="66" t="s">
        <v>98</v>
      </c>
      <c r="H1700" s="18" t="s">
        <v>98</v>
      </c>
      <c r="I1700" s="18" t="s">
        <v>98</v>
      </c>
      <c r="J1700" s="18" t="s">
        <v>98</v>
      </c>
      <c r="K1700" s="18" t="s">
        <v>98</v>
      </c>
      <c r="L1700" s="18" t="s">
        <v>98</v>
      </c>
      <c r="M1700" s="18" t="s">
        <v>540</v>
      </c>
      <c r="N1700" s="18" t="s">
        <v>242</v>
      </c>
      <c r="O1700" s="18" t="s">
        <v>98</v>
      </c>
      <c r="P1700" s="15" t="str">
        <f t="shared" si="1"/>
        <v>VERIFY</v>
      </c>
      <c r="Q1700" s="15">
        <f t="shared" si="2"/>
        <v>1</v>
      </c>
      <c r="R1700" s="15">
        <f t="shared" si="3"/>
        <v>3</v>
      </c>
      <c r="S1700" s="15">
        <f t="shared" si="4"/>
        <v>2</v>
      </c>
      <c r="T1700" s="15" t="str">
        <f t="shared" si="5"/>
        <v>C-5</v>
      </c>
      <c r="U1700" s="15" t="str">
        <f t="shared" si="6"/>
        <v>T1-M3-H2-FC-5-VERIFY</v>
      </c>
      <c r="V1700" s="15">
        <f t="shared" si="7"/>
        <v>0</v>
      </c>
      <c r="W1700" s="31"/>
      <c r="X1700" s="15" t="str">
        <f t="shared" si="8"/>
        <v>falkirk-uk</v>
      </c>
      <c r="Y1700" s="32" t="str">
        <f t="shared" si="9"/>
        <v>https://steelmanufacturer.in/market-area/electropolished-pipes-manufacturer-in-falkirk-uk/</v>
      </c>
      <c r="Z1700" s="15" t="str">
        <f t="shared" si="10"/>
        <v>Electropolished Pipes Manufacturer in Falkirk | Sakshi Forge</v>
      </c>
      <c r="AA1700" s="15" t="str">
        <f t="shared" si="11"/>
        <v>OK (60)</v>
      </c>
      <c r="AB1700" s="15" t="str">
        <f t="shared" si="12"/>
        <v>EP stainless tube for VERIFY lines in Falkirk. 22-28 days sea from Nhava Sheva to Felixstowe. ASTM A270 S2, PMI tested, EN 10204 3.1.</v>
      </c>
      <c r="AC1700" s="15" t="str">
        <f t="shared" si="13"/>
        <v>PENDING RESEARCH</v>
      </c>
      <c r="AD1700" s="15" t="str">
        <f t="shared" si="14"/>
        <v>Electropolished Pipes Manufacturer in Falkirk</v>
      </c>
      <c r="AE1700" s="15" t="str">
        <f t="shared" si="15"/>
        <v>How We Manufacture Electropolished Tube for Falkirk Plants</v>
      </c>
      <c r="AF1700" s="15" t="str">
        <f t="shared" si="16"/>
        <v>Supplying Electropolished Pipes in Falkirk: Availability, Sizes &amp; Dispatch</v>
      </c>
      <c r="AG1700" s="15" t="str">
        <f t="shared" si="17"/>
        <v>Wholesale Electropolished Pipe Supply for Falkirk Projects</v>
      </c>
      <c r="AH1700" s="15" t="str">
        <f t="shared" si="18"/>
        <v>electropolished pipes manufacturer in Falkirk, electropolished pipes supplier in Falkirk, electropolished pipes wholesaler in Falkirk, electropolished tube manufacturer Falkirk, EP pipe supplier Falkirk, sanitary tube supplier Falkirk, ASME BPE tubing Falkirk, ASTM A270 tube Falkirk, SS 316L electropolished pipe Falkirk</v>
      </c>
      <c r="AI1700" s="15" t="str">
        <f t="shared" si="19"/>
        <v>Electropolished Pipes Manufacturer &amp; Supplier in Falkirk</v>
      </c>
      <c r="AJ1700" s="15" t="str">
        <f t="shared" si="20"/>
        <v>EP-finished SS 304/316L pipes and tubes for VERIFY plants in Falkirk. ASME BPE SF1-SF4, Ra from 0.25 um, EN 10204 3.1 certificate with every lot.</v>
      </c>
      <c r="AK1700" s="15" t="str">
        <f t="shared" si="21"/>
        <v>Electropolished stainless steel pipes supplied by Sakshi Forge to VERIFY plants at VERIFY, Falkirk</v>
      </c>
      <c r="AL1700" s="15" t="str">
        <f t="shared" si="22"/>
        <v>Electropolished SS 316L tube stock for Falkirk - Sakshi Forge</v>
      </c>
      <c r="AM1700" s="15" t="str">
        <f t="shared" si="23"/>
        <v>Home &gt; Market Area &gt; UK &gt; VERIFY &gt; Falkirk</v>
      </c>
      <c r="AN1700" s="15">
        <f t="shared" si="24"/>
        <v>750</v>
      </c>
      <c r="AO1700" s="15">
        <f t="shared" si="25"/>
        <v>6</v>
      </c>
      <c r="AP1700" s="15">
        <f t="shared" si="26"/>
        <v>6</v>
      </c>
      <c r="AQ1700" s="15">
        <f t="shared" si="27"/>
        <v>29</v>
      </c>
      <c r="AR1700" s="31"/>
      <c r="AS1700" s="31"/>
      <c r="AT1700" s="35" t="s">
        <v>222</v>
      </c>
      <c r="AU1700" s="35"/>
    </row>
    <row r="1701" ht="15.75" customHeight="1">
      <c r="A1701" s="15" t="s">
        <v>7717</v>
      </c>
      <c r="B1701" s="15" t="s">
        <v>234</v>
      </c>
      <c r="C1701" s="15" t="s">
        <v>98</v>
      </c>
      <c r="D1701" s="15" t="s">
        <v>7718</v>
      </c>
      <c r="E1701" s="15" t="s">
        <v>7718</v>
      </c>
      <c r="F1701" s="58" t="s">
        <v>807</v>
      </c>
      <c r="G1701" s="66" t="s">
        <v>98</v>
      </c>
      <c r="H1701" s="18" t="s">
        <v>98</v>
      </c>
      <c r="I1701" s="18" t="s">
        <v>98</v>
      </c>
      <c r="J1701" s="18" t="s">
        <v>98</v>
      </c>
      <c r="K1701" s="18" t="s">
        <v>98</v>
      </c>
      <c r="L1701" s="18" t="s">
        <v>98</v>
      </c>
      <c r="M1701" s="18" t="s">
        <v>540</v>
      </c>
      <c r="N1701" s="18" t="s">
        <v>242</v>
      </c>
      <c r="O1701" s="18" t="s">
        <v>98</v>
      </c>
      <c r="P1701" s="15" t="str">
        <f t="shared" si="1"/>
        <v>VERIFY</v>
      </c>
      <c r="Q1701" s="15">
        <f t="shared" si="2"/>
        <v>2</v>
      </c>
      <c r="R1701" s="15">
        <f t="shared" si="3"/>
        <v>4</v>
      </c>
      <c r="S1701" s="15">
        <f t="shared" si="4"/>
        <v>3</v>
      </c>
      <c r="T1701" s="15" t="str">
        <f t="shared" si="5"/>
        <v>C-6</v>
      </c>
      <c r="U1701" s="15" t="str">
        <f t="shared" si="6"/>
        <v>T2-M4-H3-FC-6-VERIFY</v>
      </c>
      <c r="V1701" s="15">
        <f t="shared" si="7"/>
        <v>0</v>
      </c>
      <c r="W1701" s="31"/>
      <c r="X1701" s="15" t="str">
        <f t="shared" si="8"/>
        <v>gloucester-uk</v>
      </c>
      <c r="Y1701" s="32" t="str">
        <f t="shared" si="9"/>
        <v>https://steelmanufacturer.in/market-area/electropolished-pipes-manufacturer-in-gloucester-uk/</v>
      </c>
      <c r="Z1701" s="15" t="str">
        <f t="shared" si="10"/>
        <v>Electropolished Pipes Manufacturer in Gloucester</v>
      </c>
      <c r="AA1701" s="15" t="str">
        <f t="shared" si="11"/>
        <v>OK (48)</v>
      </c>
      <c r="AB1701" s="15" t="str">
        <f t="shared" si="12"/>
        <v>Sanitary electropolished pipes in Gloucester for VERIFY plants. ASME BPE SF1-SF4, orbital-weld ready, 3.1 MTC. Mumbai-made.</v>
      </c>
      <c r="AC1701" s="15" t="str">
        <f t="shared" si="13"/>
        <v>PENDING RESEARCH</v>
      </c>
      <c r="AD1701" s="15" t="str">
        <f t="shared" si="14"/>
        <v>Electropolished Pipes Manufacturer in Gloucester</v>
      </c>
      <c r="AE1701" s="15" t="str">
        <f t="shared" si="15"/>
        <v>Electropolished Pipes Manufacturer in Gloucester - Our Process &amp; Capability</v>
      </c>
      <c r="AF1701" s="15" t="str">
        <f t="shared" si="16"/>
        <v>Electropolished Pipes Supplier in Gloucester - What We Hold in Stock</v>
      </c>
      <c r="AG1701" s="15" t="str">
        <f t="shared" si="17"/>
        <v>Bulk &amp; Wholesale Electropolished Pipe Rates for Gloucester Buyers</v>
      </c>
      <c r="AH1701" s="15" t="str">
        <f t="shared" si="18"/>
        <v>electropolished pipes manufacturer in Gloucester, electropolished pipes supplier in Gloucester, electropolished pipes wholesaler in Gloucester, electropolished tube manufacturer Gloucester, EP pipe supplier Gloucester, sanitary tube supplier Gloucester, ASME BPE tubing Gloucester, ASTM A270 tube Gloucester, SS 316L electropolished pipe Gloucester</v>
      </c>
      <c r="AI1701" s="15" t="str">
        <f t="shared" si="19"/>
        <v>Electropolished Pipes Manufacturer &amp; Supplier in Gloucester</v>
      </c>
      <c r="AJ1701" s="15" t="str">
        <f t="shared" si="20"/>
        <v>EP-finished SS 304/316L pipes and tubes for VERIFY plants in Gloucester. ASME BPE SF1-SF4, Ra from 0.25 um, EN 10204 3.1 certificate with every lot.</v>
      </c>
      <c r="AK1701" s="15" t="str">
        <f t="shared" si="21"/>
        <v>Electropolished stainless steel pipes supplied by Sakshi Forge to VERIFY plants at VERIFY, Gloucester</v>
      </c>
      <c r="AL1701" s="15" t="str">
        <f t="shared" si="22"/>
        <v>Electropolished SS 316L tube stock for Gloucester - Sakshi Forge</v>
      </c>
      <c r="AM1701" s="15" t="str">
        <f t="shared" si="23"/>
        <v>Home &gt; Market Area &gt; UK &gt; VERIFY &gt; Gloucester</v>
      </c>
      <c r="AN1701" s="15">
        <f t="shared" si="24"/>
        <v>750</v>
      </c>
      <c r="AO1701" s="15">
        <f t="shared" si="25"/>
        <v>6</v>
      </c>
      <c r="AP1701" s="15">
        <f t="shared" si="26"/>
        <v>6</v>
      </c>
      <c r="AQ1701" s="15">
        <f t="shared" si="27"/>
        <v>29</v>
      </c>
      <c r="AR1701" s="31"/>
      <c r="AS1701" s="31"/>
      <c r="AT1701" s="35" t="s">
        <v>222</v>
      </c>
      <c r="AU1701" s="35"/>
    </row>
    <row r="1702" ht="15.75" customHeight="1">
      <c r="A1702" s="15" t="s">
        <v>7719</v>
      </c>
      <c r="B1702" s="15" t="s">
        <v>234</v>
      </c>
      <c r="C1702" s="15" t="s">
        <v>98</v>
      </c>
      <c r="D1702" s="15" t="s">
        <v>7720</v>
      </c>
      <c r="E1702" s="15" t="s">
        <v>7720</v>
      </c>
      <c r="F1702" s="58" t="s">
        <v>807</v>
      </c>
      <c r="G1702" s="66" t="s">
        <v>98</v>
      </c>
      <c r="H1702" s="18" t="s">
        <v>98</v>
      </c>
      <c r="I1702" s="18" t="s">
        <v>98</v>
      </c>
      <c r="J1702" s="18" t="s">
        <v>98</v>
      </c>
      <c r="K1702" s="18" t="s">
        <v>98</v>
      </c>
      <c r="L1702" s="18" t="s">
        <v>98</v>
      </c>
      <c r="M1702" s="18" t="s">
        <v>540</v>
      </c>
      <c r="N1702" s="18" t="s">
        <v>242</v>
      </c>
      <c r="O1702" s="18" t="s">
        <v>98</v>
      </c>
      <c r="P1702" s="15" t="str">
        <f t="shared" si="1"/>
        <v>VERIFY</v>
      </c>
      <c r="Q1702" s="15">
        <f t="shared" si="2"/>
        <v>3</v>
      </c>
      <c r="R1702" s="15">
        <f t="shared" si="3"/>
        <v>5</v>
      </c>
      <c r="S1702" s="15">
        <f t="shared" si="4"/>
        <v>4</v>
      </c>
      <c r="T1702" s="15" t="str">
        <f t="shared" si="5"/>
        <v>C-1</v>
      </c>
      <c r="U1702" s="15" t="str">
        <f t="shared" si="6"/>
        <v>T3-M5-H4-FC-1-VERIFY</v>
      </c>
      <c r="V1702" s="15">
        <f t="shared" si="7"/>
        <v>0</v>
      </c>
      <c r="W1702" s="31"/>
      <c r="X1702" s="15" t="str">
        <f t="shared" si="8"/>
        <v>grimsby-uk</v>
      </c>
      <c r="Y1702" s="32" t="str">
        <f t="shared" si="9"/>
        <v>https://steelmanufacturer.in/market-area/electropolished-pipes-manufacturer-in-grimsby-uk/</v>
      </c>
      <c r="Z1702" s="15" t="str">
        <f t="shared" si="10"/>
        <v>Electropolished Pipes Manufacturer in Grimsby | EP Tube Supplier</v>
      </c>
      <c r="AA1702" s="15" t="str">
        <f t="shared" si="11"/>
        <v>OK (64)</v>
      </c>
      <c r="AB1702" s="15" t="str">
        <f t="shared" si="12"/>
        <v>Manufacturer of electropolished SS 316L tube serving Grimsby. 22-28 days sea from Nhava Sheva to Felixstowe. Ra 0.25-0.5 um, EN 10204 3.1 MTC.</v>
      </c>
      <c r="AC1702" s="15" t="str">
        <f t="shared" si="13"/>
        <v>PENDING RESEARCH</v>
      </c>
      <c r="AD1702" s="15" t="str">
        <f t="shared" si="14"/>
        <v>Electropolished Pipes Manufacturer in Grimsby</v>
      </c>
      <c r="AE1702" s="15" t="str">
        <f t="shared" si="15"/>
        <v>Manufacturing Electropolished SS Tube for Grimsby: The Standards We Build To</v>
      </c>
      <c r="AF1702" s="15" t="str">
        <f t="shared" si="16"/>
        <v>Electropolished Pipe Supply Into Grimsby - Certification &amp; Transit</v>
      </c>
      <c r="AG1702" s="15" t="str">
        <f t="shared" si="17"/>
        <v>Electropolished Pipes Wholesaler in Grimsby - Project Quantities &amp; Terms</v>
      </c>
      <c r="AH1702" s="15" t="str">
        <f t="shared" si="18"/>
        <v>electropolished pipes manufacturer in Grimsby, electropolished pipes supplier in Grimsby, electropolished pipes wholesaler in Grimsby, electropolished tube manufacturer Grimsby, EP pipe supplier Grimsby, sanitary tube supplier Grimsby, ASME BPE tubing Grimsby, ASTM A270 tube Grimsby, SS 316L electropolished pipe Grimsby</v>
      </c>
      <c r="AI1702" s="15" t="str">
        <f t="shared" si="19"/>
        <v>Electropolished Pipes Manufacturer &amp; Supplier in Grimsby</v>
      </c>
      <c r="AJ1702" s="15" t="str">
        <f t="shared" si="20"/>
        <v>EP-finished SS 304/316L pipes and tubes for VERIFY plants in Grimsby. ASME BPE SF1-SF4, Ra from 0.25 um, EN 10204 3.1 certificate with every lot.</v>
      </c>
      <c r="AK1702" s="15" t="str">
        <f t="shared" si="21"/>
        <v>Electropolished stainless steel pipes supplied by Sakshi Forge to VERIFY plants at VERIFY, Grimsby</v>
      </c>
      <c r="AL1702" s="15" t="str">
        <f t="shared" si="22"/>
        <v>Electropolished SS 316L tube stock for Grimsby - Sakshi Forge</v>
      </c>
      <c r="AM1702" s="15" t="str">
        <f t="shared" si="23"/>
        <v>Home &gt; Market Area &gt; UK &gt; VERIFY &gt; Grimsby</v>
      </c>
      <c r="AN1702" s="15">
        <f t="shared" si="24"/>
        <v>750</v>
      </c>
      <c r="AO1702" s="15">
        <f t="shared" si="25"/>
        <v>6</v>
      </c>
      <c r="AP1702" s="15">
        <f t="shared" si="26"/>
        <v>6</v>
      </c>
      <c r="AQ1702" s="15">
        <f t="shared" si="27"/>
        <v>29</v>
      </c>
      <c r="AR1702" s="31"/>
      <c r="AS1702" s="31"/>
      <c r="AT1702" s="35" t="s">
        <v>222</v>
      </c>
      <c r="AU1702" s="35"/>
    </row>
    <row r="1703" ht="15.75" customHeight="1">
      <c r="A1703" s="15" t="s">
        <v>7721</v>
      </c>
      <c r="B1703" s="15" t="s">
        <v>234</v>
      </c>
      <c r="C1703" s="15" t="s">
        <v>98</v>
      </c>
      <c r="D1703" s="15" t="s">
        <v>7722</v>
      </c>
      <c r="E1703" s="15" t="s">
        <v>7722</v>
      </c>
      <c r="F1703" s="58" t="s">
        <v>807</v>
      </c>
      <c r="G1703" s="66" t="s">
        <v>98</v>
      </c>
      <c r="H1703" s="18" t="s">
        <v>98</v>
      </c>
      <c r="I1703" s="18" t="s">
        <v>98</v>
      </c>
      <c r="J1703" s="18" t="s">
        <v>98</v>
      </c>
      <c r="K1703" s="18" t="s">
        <v>98</v>
      </c>
      <c r="L1703" s="18" t="s">
        <v>98</v>
      </c>
      <c r="M1703" s="18" t="s">
        <v>540</v>
      </c>
      <c r="N1703" s="18" t="s">
        <v>242</v>
      </c>
      <c r="O1703" s="18" t="s">
        <v>98</v>
      </c>
      <c r="P1703" s="15" t="str">
        <f t="shared" si="1"/>
        <v>VERIFY</v>
      </c>
      <c r="Q1703" s="15">
        <f t="shared" si="2"/>
        <v>4</v>
      </c>
      <c r="R1703" s="15">
        <f t="shared" si="3"/>
        <v>6</v>
      </c>
      <c r="S1703" s="15">
        <f t="shared" si="4"/>
        <v>5</v>
      </c>
      <c r="T1703" s="15" t="str">
        <f t="shared" si="5"/>
        <v>C-2</v>
      </c>
      <c r="U1703" s="15" t="str">
        <f t="shared" si="6"/>
        <v>T4-M6-H5-FC-2-VERIFY</v>
      </c>
      <c r="V1703" s="15">
        <f t="shared" si="7"/>
        <v>0</v>
      </c>
      <c r="W1703" s="31"/>
      <c r="X1703" s="15" t="str">
        <f t="shared" si="8"/>
        <v>guildford-uk</v>
      </c>
      <c r="Y1703" s="32" t="str">
        <f t="shared" si="9"/>
        <v>https://steelmanufacturer.in/market-area/electropolished-pipes-manufacturer-in-guildford-uk/</v>
      </c>
      <c r="Z1703" s="15" t="str">
        <f t="shared" si="10"/>
        <v>Electropolished Pipes Manufacturer in Guildford</v>
      </c>
      <c r="AA1703" s="15" t="str">
        <f t="shared" si="11"/>
        <v>OK (47)</v>
      </c>
      <c r="AB1703" s="15" t="str">
        <f t="shared" si="12"/>
        <v>EP tube and pipe for VERIFY plants around VERIFY, Guildford. Made at our Mumbai works to ASTM A270 and ASME BPE SF1-SF4, with 3.1 MTC.</v>
      </c>
      <c r="AC1703" s="15" t="str">
        <f t="shared" si="13"/>
        <v>PENDING RESEARCH</v>
      </c>
      <c r="AD1703" s="15" t="str">
        <f t="shared" si="14"/>
        <v>Electropolished Pipes Manufacturer in Guildford</v>
      </c>
      <c r="AE1703" s="15" t="str">
        <f t="shared" si="15"/>
        <v>Electropolished Tube Manufacturing Capability Serving Guildford</v>
      </c>
      <c r="AF1703" s="15" t="str">
        <f t="shared" si="16"/>
        <v>Electropolished Pipes Supplier in Guildford - From Order to Delivery</v>
      </c>
      <c r="AG1703" s="15" t="str">
        <f t="shared" si="17"/>
        <v>Stockist &amp; Wholesale Supply of Electropolished Pipes in Guildford</v>
      </c>
      <c r="AH1703" s="15" t="str">
        <f t="shared" si="18"/>
        <v>electropolished pipes manufacturer in Guildford, electropolished pipes supplier in Guildford, electropolished pipes wholesaler in Guildford, electropolished tube manufacturer Guildford, EP pipe supplier Guildford, sanitary tube supplier Guildford, ASME BPE tubing Guildford, ASTM A270 tube Guildford, SS 316L electropolished pipe Guildford</v>
      </c>
      <c r="AI1703" s="15" t="str">
        <f t="shared" si="19"/>
        <v>Electropolished Pipes Manufacturer &amp; Supplier in Guildford</v>
      </c>
      <c r="AJ1703" s="15" t="str">
        <f t="shared" si="20"/>
        <v>EP-finished SS 304/316L pipes and tubes for VERIFY plants in Guildford. ASME BPE SF1-SF4, Ra from 0.25 um, EN 10204 3.1 certificate with every lot.</v>
      </c>
      <c r="AK1703" s="15" t="str">
        <f t="shared" si="21"/>
        <v>Electropolished stainless steel pipes supplied by Sakshi Forge to VERIFY plants at VERIFY, Guildford</v>
      </c>
      <c r="AL1703" s="15" t="str">
        <f t="shared" si="22"/>
        <v>Electropolished SS 316L tube stock for Guildford - Sakshi Forge</v>
      </c>
      <c r="AM1703" s="15" t="str">
        <f t="shared" si="23"/>
        <v>Home &gt; Market Area &gt; UK &gt; VERIFY &gt; Guildford</v>
      </c>
      <c r="AN1703" s="15">
        <f t="shared" si="24"/>
        <v>750</v>
      </c>
      <c r="AO1703" s="15">
        <f t="shared" si="25"/>
        <v>6</v>
      </c>
      <c r="AP1703" s="15">
        <f t="shared" si="26"/>
        <v>6</v>
      </c>
      <c r="AQ1703" s="15">
        <f t="shared" si="27"/>
        <v>29</v>
      </c>
      <c r="AR1703" s="31"/>
      <c r="AS1703" s="31"/>
      <c r="AT1703" s="35" t="s">
        <v>222</v>
      </c>
      <c r="AU1703" s="35"/>
    </row>
    <row r="1704" ht="15.75" customHeight="1">
      <c r="A1704" s="15" t="s">
        <v>7723</v>
      </c>
      <c r="B1704" s="15" t="s">
        <v>234</v>
      </c>
      <c r="C1704" s="15" t="s">
        <v>98</v>
      </c>
      <c r="D1704" s="15" t="s">
        <v>7724</v>
      </c>
      <c r="E1704" s="15" t="s">
        <v>7724</v>
      </c>
      <c r="F1704" s="58" t="s">
        <v>807</v>
      </c>
      <c r="G1704" s="66" t="s">
        <v>98</v>
      </c>
      <c r="H1704" s="18" t="s">
        <v>98</v>
      </c>
      <c r="I1704" s="18" t="s">
        <v>98</v>
      </c>
      <c r="J1704" s="18" t="s">
        <v>98</v>
      </c>
      <c r="K1704" s="18" t="s">
        <v>98</v>
      </c>
      <c r="L1704" s="18" t="s">
        <v>98</v>
      </c>
      <c r="M1704" s="18" t="s">
        <v>540</v>
      </c>
      <c r="N1704" s="18" t="s">
        <v>242</v>
      </c>
      <c r="O1704" s="18" t="s">
        <v>98</v>
      </c>
      <c r="P1704" s="15" t="str">
        <f t="shared" si="1"/>
        <v>VERIFY</v>
      </c>
      <c r="Q1704" s="15">
        <f t="shared" si="2"/>
        <v>5</v>
      </c>
      <c r="R1704" s="15">
        <f t="shared" si="3"/>
        <v>7</v>
      </c>
      <c r="S1704" s="15">
        <f t="shared" si="4"/>
        <v>1</v>
      </c>
      <c r="T1704" s="15" t="str">
        <f t="shared" si="5"/>
        <v>C-3</v>
      </c>
      <c r="U1704" s="15" t="str">
        <f t="shared" si="6"/>
        <v>T5-M7-H1-FC-3-VERIFY</v>
      </c>
      <c r="V1704" s="15">
        <f t="shared" si="7"/>
        <v>0</v>
      </c>
      <c r="W1704" s="31"/>
      <c r="X1704" s="15" t="str">
        <f t="shared" si="8"/>
        <v>halifax-uk</v>
      </c>
      <c r="Y1704" s="32" t="str">
        <f t="shared" si="9"/>
        <v>https://steelmanufacturer.in/market-area/electropolished-pipes-manufacturer-in-halifax-uk/</v>
      </c>
      <c r="Z1704" s="15" t="str">
        <f t="shared" si="10"/>
        <v>Electropolished Pipes Manufacturer in Halifax</v>
      </c>
      <c r="AA1704" s="15" t="str">
        <f t="shared" si="11"/>
        <v>OK (45)</v>
      </c>
      <c r="AB1704" s="15" t="str">
        <f t="shared" si="12"/>
        <v>Electropolished pipes in Halifax: 304, 304L, 316 and 316L in SF1-SF4. 22-28 days sea from Nhava Sheva to Felixstowe. Mill certified.</v>
      </c>
      <c r="AC1704" s="15" t="str">
        <f t="shared" si="13"/>
        <v>PENDING RESEARCH</v>
      </c>
      <c r="AD1704" s="15" t="str">
        <f t="shared" si="14"/>
        <v>Electropolished Pipes Manufacturer in Halifax</v>
      </c>
      <c r="AE1704" s="15" t="str">
        <f t="shared" si="15"/>
        <v>Electropolished Pipe &amp; Tube Manufacturing for Halifax - Grades, Finishes &amp; Certification</v>
      </c>
      <c r="AF1704" s="15" t="str">
        <f t="shared" si="16"/>
        <v>Electropolished Pipes Supplier in Halifax - Stock Sizes, Lead Time &amp; Delivery</v>
      </c>
      <c r="AG1704" s="15" t="str">
        <f t="shared" si="17"/>
        <v>Electropolished Pipes Wholesaler &amp; Stockist in Halifax - Bulk &amp; Project Pricing</v>
      </c>
      <c r="AH1704" s="15" t="str">
        <f t="shared" si="18"/>
        <v>electropolished pipes manufacturer in Halifax, electropolished pipes supplier in Halifax, electropolished pipes wholesaler in Halifax, electropolished tube manufacturer Halifax, EP pipe supplier Halifax, sanitary tube supplier Halifax, ASME BPE tubing Halifax, ASTM A270 tube Halifax, SS 316L electropolished pipe Halifax</v>
      </c>
      <c r="AI1704" s="15" t="str">
        <f t="shared" si="19"/>
        <v>Electropolished Pipes Manufacturer &amp; Supplier in Halifax</v>
      </c>
      <c r="AJ1704" s="15" t="str">
        <f t="shared" si="20"/>
        <v>EP-finished SS 304/316L pipes and tubes for VERIFY plants in Halifax. ASME BPE SF1-SF4, Ra from 0.25 um, EN 10204 3.1 certificate with every lot.</v>
      </c>
      <c r="AK1704" s="15" t="str">
        <f t="shared" si="21"/>
        <v>Electropolished stainless steel pipes supplied by Sakshi Forge to VERIFY plants at VERIFY, Halifax</v>
      </c>
      <c r="AL1704" s="15" t="str">
        <f t="shared" si="22"/>
        <v>Electropolished SS 316L tube stock for Halifax - Sakshi Forge</v>
      </c>
      <c r="AM1704" s="15" t="str">
        <f t="shared" si="23"/>
        <v>Home &gt; Market Area &gt; UK &gt; VERIFY &gt; Halifax</v>
      </c>
      <c r="AN1704" s="15">
        <f t="shared" si="24"/>
        <v>750</v>
      </c>
      <c r="AO1704" s="15">
        <f t="shared" si="25"/>
        <v>6</v>
      </c>
      <c r="AP1704" s="15">
        <f t="shared" si="26"/>
        <v>6</v>
      </c>
      <c r="AQ1704" s="15">
        <f t="shared" si="27"/>
        <v>29</v>
      </c>
      <c r="AR1704" s="31"/>
      <c r="AS1704" s="31"/>
      <c r="AT1704" s="35" t="s">
        <v>222</v>
      </c>
      <c r="AU1704" s="35"/>
    </row>
    <row r="1705" ht="15.75" customHeight="1">
      <c r="A1705" s="15" t="s">
        <v>7725</v>
      </c>
      <c r="B1705" s="15" t="s">
        <v>234</v>
      </c>
      <c r="C1705" s="15" t="s">
        <v>98</v>
      </c>
      <c r="D1705" s="15" t="s">
        <v>7726</v>
      </c>
      <c r="E1705" s="15" t="s">
        <v>7726</v>
      </c>
      <c r="F1705" s="58" t="s">
        <v>807</v>
      </c>
      <c r="G1705" s="66" t="s">
        <v>98</v>
      </c>
      <c r="H1705" s="18" t="s">
        <v>98</v>
      </c>
      <c r="I1705" s="18" t="s">
        <v>98</v>
      </c>
      <c r="J1705" s="18" t="s">
        <v>98</v>
      </c>
      <c r="K1705" s="18" t="s">
        <v>98</v>
      </c>
      <c r="L1705" s="18" t="s">
        <v>98</v>
      </c>
      <c r="M1705" s="18" t="s">
        <v>540</v>
      </c>
      <c r="N1705" s="18" t="s">
        <v>242</v>
      </c>
      <c r="O1705" s="18" t="s">
        <v>98</v>
      </c>
      <c r="P1705" s="15" t="str">
        <f t="shared" si="1"/>
        <v>VERIFY</v>
      </c>
      <c r="Q1705" s="15">
        <f t="shared" si="2"/>
        <v>6</v>
      </c>
      <c r="R1705" s="15">
        <f t="shared" si="3"/>
        <v>1</v>
      </c>
      <c r="S1705" s="15">
        <f t="shared" si="4"/>
        <v>2</v>
      </c>
      <c r="T1705" s="15" t="str">
        <f t="shared" si="5"/>
        <v>C-4</v>
      </c>
      <c r="U1705" s="15" t="str">
        <f t="shared" si="6"/>
        <v>T6-M1-H2-FC-4-VERIFY</v>
      </c>
      <c r="V1705" s="15">
        <f t="shared" si="7"/>
        <v>0</v>
      </c>
      <c r="W1705" s="31"/>
      <c r="X1705" s="15" t="str">
        <f t="shared" si="8"/>
        <v>harrogate-uk</v>
      </c>
      <c r="Y1705" s="32" t="str">
        <f t="shared" si="9"/>
        <v>https://steelmanufacturer.in/market-area/electropolished-pipes-manufacturer-in-harrogate-uk/</v>
      </c>
      <c r="Z1705" s="15" t="str">
        <f t="shared" si="10"/>
        <v>Electropolished Pipes Manufacturer in Harrogate</v>
      </c>
      <c r="AA1705" s="15" t="str">
        <f t="shared" si="11"/>
        <v>OK (47)</v>
      </c>
      <c r="AB1705" s="15" t="str">
        <f t="shared" si="12"/>
        <v>EP-finished SS 304/316L pipes &amp; tubes for VERIFY plants in Harrogate. ASTM A270, ASME BPE SF1-SF4, EN 10204 3.1 MTC. PMI tested.</v>
      </c>
      <c r="AC1705" s="15" t="str">
        <f t="shared" si="13"/>
        <v>PENDING RESEARCH</v>
      </c>
      <c r="AD1705" s="15" t="str">
        <f t="shared" si="14"/>
        <v>Electropolished Pipes Manufacturer in Harrogate</v>
      </c>
      <c r="AE1705" s="15" t="str">
        <f t="shared" si="15"/>
        <v>How We Manufacture Electropolished Tube for Harrogate Plants</v>
      </c>
      <c r="AF1705" s="15" t="str">
        <f t="shared" si="16"/>
        <v>Supplying Electropolished Pipes in Harrogate: Availability, Sizes &amp; Dispatch</v>
      </c>
      <c r="AG1705" s="15" t="str">
        <f t="shared" si="17"/>
        <v>Wholesale Electropolished Pipe Supply for Harrogate Projects</v>
      </c>
      <c r="AH1705" s="15" t="str">
        <f t="shared" si="18"/>
        <v>electropolished pipes manufacturer in Harrogate, electropolished pipes supplier in Harrogate, electropolished pipes wholesaler in Harrogate, electropolished tube manufacturer Harrogate, EP pipe supplier Harrogate, sanitary tube supplier Harrogate, ASME BPE tubing Harrogate, ASTM A270 tube Harrogate, SS 316L electropolished pipe Harrogate</v>
      </c>
      <c r="AI1705" s="15" t="str">
        <f t="shared" si="19"/>
        <v>Electropolished Pipes Manufacturer &amp; Supplier in Harrogate</v>
      </c>
      <c r="AJ1705" s="15" t="str">
        <f t="shared" si="20"/>
        <v>EP-finished SS 304/316L pipes and tubes for VERIFY plants in Harrogate. ASME BPE SF1-SF4, Ra from 0.25 um, EN 10204 3.1 certificate with every lot.</v>
      </c>
      <c r="AK1705" s="15" t="str">
        <f t="shared" si="21"/>
        <v>Electropolished stainless steel pipes supplied by Sakshi Forge to VERIFY plants at VERIFY, Harrogate</v>
      </c>
      <c r="AL1705" s="15" t="str">
        <f t="shared" si="22"/>
        <v>Electropolished SS 316L tube stock for Harrogate - Sakshi Forge</v>
      </c>
      <c r="AM1705" s="15" t="str">
        <f t="shared" si="23"/>
        <v>Home &gt; Market Area &gt; UK &gt; VERIFY &gt; Harrogate</v>
      </c>
      <c r="AN1705" s="15">
        <f t="shared" si="24"/>
        <v>750</v>
      </c>
      <c r="AO1705" s="15">
        <f t="shared" si="25"/>
        <v>6</v>
      </c>
      <c r="AP1705" s="15">
        <f t="shared" si="26"/>
        <v>6</v>
      </c>
      <c r="AQ1705" s="15">
        <f t="shared" si="27"/>
        <v>29</v>
      </c>
      <c r="AR1705" s="31"/>
      <c r="AS1705" s="31"/>
      <c r="AT1705" s="35" t="s">
        <v>222</v>
      </c>
      <c r="AU1705" s="35"/>
    </row>
    <row r="1706" ht="15.75" customHeight="1">
      <c r="A1706" s="15" t="s">
        <v>7729</v>
      </c>
      <c r="B1706" s="15" t="s">
        <v>234</v>
      </c>
      <c r="C1706" s="15" t="s">
        <v>98</v>
      </c>
      <c r="D1706" s="15" t="s">
        <v>7731</v>
      </c>
      <c r="E1706" s="15" t="s">
        <v>7731</v>
      </c>
      <c r="F1706" s="58" t="s">
        <v>807</v>
      </c>
      <c r="G1706" s="66" t="s">
        <v>98</v>
      </c>
      <c r="H1706" s="18" t="s">
        <v>98</v>
      </c>
      <c r="I1706" s="18" t="s">
        <v>98</v>
      </c>
      <c r="J1706" s="18" t="s">
        <v>98</v>
      </c>
      <c r="K1706" s="18" t="s">
        <v>98</v>
      </c>
      <c r="L1706" s="18" t="s">
        <v>98</v>
      </c>
      <c r="M1706" s="18" t="s">
        <v>540</v>
      </c>
      <c r="N1706" s="18" t="s">
        <v>242</v>
      </c>
      <c r="O1706" s="18" t="s">
        <v>98</v>
      </c>
      <c r="P1706" s="15" t="str">
        <f t="shared" si="1"/>
        <v>VERIFY</v>
      </c>
      <c r="Q1706" s="15">
        <f t="shared" si="2"/>
        <v>7</v>
      </c>
      <c r="R1706" s="15">
        <f t="shared" si="3"/>
        <v>2</v>
      </c>
      <c r="S1706" s="15">
        <f t="shared" si="4"/>
        <v>3</v>
      </c>
      <c r="T1706" s="15" t="str">
        <f t="shared" si="5"/>
        <v>C-5</v>
      </c>
      <c r="U1706" s="15" t="str">
        <f t="shared" si="6"/>
        <v>T7-M2-H3-FC-5-VERIFY</v>
      </c>
      <c r="V1706" s="15">
        <f t="shared" si="7"/>
        <v>0</v>
      </c>
      <c r="W1706" s="31"/>
      <c r="X1706" s="15" t="str">
        <f t="shared" si="8"/>
        <v>high-wycombe-uk</v>
      </c>
      <c r="Y1706" s="32" t="str">
        <f t="shared" si="9"/>
        <v>https://steelmanufacturer.in/market-area/electropolished-pipes-manufacturer-in-high-wycombe-uk/</v>
      </c>
      <c r="Z1706" s="15" t="str">
        <f t="shared" si="10"/>
        <v>Electropolished Pipes Manufacturer in High Wycombe</v>
      </c>
      <c r="AA1706" s="15" t="str">
        <f t="shared" si="11"/>
        <v>OK (50)</v>
      </c>
      <c r="AB1706" s="15" t="str">
        <f t="shared" si="12"/>
        <v>Electropolished tube supply to VERIFY, High Wycombe. Ra from 0.25 um, SF4 finish, mill test certificate with every lot.</v>
      </c>
      <c r="AC1706" s="15" t="str">
        <f t="shared" si="13"/>
        <v>PENDING RESEARCH</v>
      </c>
      <c r="AD1706" s="15" t="str">
        <f t="shared" si="14"/>
        <v>Electropolished Pipes Manufacturer in High Wycombe</v>
      </c>
      <c r="AE1706" s="15" t="str">
        <f t="shared" si="15"/>
        <v>Electropolished Pipes Manufacturer in High Wycombe - Our Process &amp; Capability</v>
      </c>
      <c r="AF1706" s="15" t="str">
        <f t="shared" si="16"/>
        <v>Electropolished Pipes Supplier in High Wycombe - What We Hold in Stock</v>
      </c>
      <c r="AG1706" s="15" t="str">
        <f t="shared" si="17"/>
        <v>Bulk &amp; Wholesale Electropolished Pipe Rates for High Wycombe Buyers</v>
      </c>
      <c r="AH1706" s="15" t="str">
        <f t="shared" si="18"/>
        <v>electropolished pipes manufacturer in High Wycombe, electropolished pipes supplier in High Wycombe, electropolished pipes wholesaler in High Wycombe, electropolished tube manufacturer High Wycombe, EP pipe supplier High Wycombe, sanitary tube supplier High Wycombe, ASME BPE tubing High Wycombe, ASTM A270 tube High Wycombe, SS 316L electropolished pipe High Wycombe</v>
      </c>
      <c r="AI1706" s="15" t="str">
        <f t="shared" si="19"/>
        <v>Electropolished Pipes Manufacturer &amp; Supplier in High Wycombe</v>
      </c>
      <c r="AJ1706" s="15" t="str">
        <f t="shared" si="20"/>
        <v>EP-finished SS 304/316L pipes and tubes for VERIFY plants in High Wycombe. ASME BPE SF1-SF4, Ra from 0.25 um, EN 10204 3.1 certificate with every lot.</v>
      </c>
      <c r="AK1706" s="15" t="str">
        <f t="shared" si="21"/>
        <v>Electropolished stainless steel pipes supplied by Sakshi Forge to VERIFY plants at VERIFY, High Wycombe</v>
      </c>
      <c r="AL1706" s="15" t="str">
        <f t="shared" si="22"/>
        <v>Electropolished SS 316L tube stock for High Wycombe - Sakshi Forge</v>
      </c>
      <c r="AM1706" s="15" t="str">
        <f t="shared" si="23"/>
        <v>Home &gt; Market Area &gt; UK &gt; VERIFY &gt; High Wycombe</v>
      </c>
      <c r="AN1706" s="15">
        <f t="shared" si="24"/>
        <v>750</v>
      </c>
      <c r="AO1706" s="15">
        <f t="shared" si="25"/>
        <v>6</v>
      </c>
      <c r="AP1706" s="15">
        <f t="shared" si="26"/>
        <v>6</v>
      </c>
      <c r="AQ1706" s="15">
        <f t="shared" si="27"/>
        <v>29</v>
      </c>
      <c r="AR1706" s="31"/>
      <c r="AS1706" s="31"/>
      <c r="AT1706" s="35" t="s">
        <v>222</v>
      </c>
      <c r="AU1706" s="35"/>
    </row>
    <row r="1707" ht="15.75" customHeight="1">
      <c r="A1707" s="15" t="s">
        <v>7734</v>
      </c>
      <c r="B1707" s="15" t="s">
        <v>234</v>
      </c>
      <c r="C1707" s="15" t="s">
        <v>98</v>
      </c>
      <c r="D1707" s="15" t="s">
        <v>7735</v>
      </c>
      <c r="E1707" s="15" t="s">
        <v>7735</v>
      </c>
      <c r="F1707" s="58" t="s">
        <v>807</v>
      </c>
      <c r="G1707" s="66" t="s">
        <v>98</v>
      </c>
      <c r="H1707" s="18" t="s">
        <v>98</v>
      </c>
      <c r="I1707" s="18" t="s">
        <v>98</v>
      </c>
      <c r="J1707" s="18" t="s">
        <v>98</v>
      </c>
      <c r="K1707" s="18" t="s">
        <v>98</v>
      </c>
      <c r="L1707" s="18" t="s">
        <v>98</v>
      </c>
      <c r="M1707" s="18" t="s">
        <v>540</v>
      </c>
      <c r="N1707" s="18" t="s">
        <v>242</v>
      </c>
      <c r="O1707" s="18" t="s">
        <v>98</v>
      </c>
      <c r="P1707" s="15" t="str">
        <f t="shared" si="1"/>
        <v>VERIFY</v>
      </c>
      <c r="Q1707" s="15">
        <f t="shared" si="2"/>
        <v>8</v>
      </c>
      <c r="R1707" s="15">
        <f t="shared" si="3"/>
        <v>3</v>
      </c>
      <c r="S1707" s="15">
        <f t="shared" si="4"/>
        <v>4</v>
      </c>
      <c r="T1707" s="15" t="str">
        <f t="shared" si="5"/>
        <v>C-6</v>
      </c>
      <c r="U1707" s="15" t="str">
        <f t="shared" si="6"/>
        <v>T8-M3-H4-FC-6-VERIFY</v>
      </c>
      <c r="V1707" s="15">
        <f t="shared" si="7"/>
        <v>0</v>
      </c>
      <c r="W1707" s="31"/>
      <c r="X1707" s="15" t="str">
        <f t="shared" si="8"/>
        <v>huddersfield-uk</v>
      </c>
      <c r="Y1707" s="32" t="str">
        <f t="shared" si="9"/>
        <v>https://steelmanufacturer.in/market-area/electropolished-pipes-manufacturer-in-huddersfield-uk/</v>
      </c>
      <c r="Z1707" s="15" t="str">
        <f t="shared" si="10"/>
        <v>Electropolished Pipes Manufacturer in Huddersfield</v>
      </c>
      <c r="AA1707" s="15" t="str">
        <f t="shared" si="11"/>
        <v>OK (50)</v>
      </c>
      <c r="AB1707" s="15" t="str">
        <f t="shared" si="12"/>
        <v>EP stainless tube for VERIFY lines in Huddersfield. 22-28 days sea from Nhava Sheva to Felixstowe. ASTM A270 S2, PMI tested, EN 10204 3.1.</v>
      </c>
      <c r="AC1707" s="15" t="str">
        <f t="shared" si="13"/>
        <v>PENDING RESEARCH</v>
      </c>
      <c r="AD1707" s="15" t="str">
        <f t="shared" si="14"/>
        <v>Electropolished Pipes Manufacturer in Huddersfield</v>
      </c>
      <c r="AE1707" s="15" t="str">
        <f t="shared" si="15"/>
        <v>Manufacturing Electropolished SS Tube for Huddersfield: The Standards We Build To</v>
      </c>
      <c r="AF1707" s="15" t="str">
        <f t="shared" si="16"/>
        <v>Electropolished Pipe Supply Into Huddersfield - Certification &amp; Transit</v>
      </c>
      <c r="AG1707" s="15" t="str">
        <f t="shared" si="17"/>
        <v>Electropolished Pipes Wholesaler in Huddersfield - Project Quantities &amp; Terms</v>
      </c>
      <c r="AH1707" s="15" t="str">
        <f t="shared" si="18"/>
        <v>electropolished pipes manufacturer in Huddersfield, electropolished pipes supplier in Huddersfield, electropolished pipes wholesaler in Huddersfield, electropolished tube manufacturer Huddersfield, EP pipe supplier Huddersfield, sanitary tube supplier Huddersfield, ASME BPE tubing Huddersfield, ASTM A270 tube Huddersfield, SS 316L electropolished pipe Huddersfield</v>
      </c>
      <c r="AI1707" s="15" t="str">
        <f t="shared" si="19"/>
        <v>Electropolished Pipes Manufacturer &amp; Supplier in Huddersfield</v>
      </c>
      <c r="AJ1707" s="15" t="str">
        <f t="shared" si="20"/>
        <v>EP-finished SS 304/316L pipes and tubes for VERIFY plants in Huddersfield. ASME BPE SF1-SF4, Ra from 0.25 um, EN 10204 3.1 certificate with every lot.</v>
      </c>
      <c r="AK1707" s="15" t="str">
        <f t="shared" si="21"/>
        <v>Electropolished stainless steel pipes supplied by Sakshi Forge to VERIFY plants at VERIFY, Huddersfield</v>
      </c>
      <c r="AL1707" s="15" t="str">
        <f t="shared" si="22"/>
        <v>Electropolished SS 316L tube stock for Huddersfield - Sakshi Forge</v>
      </c>
      <c r="AM1707" s="15" t="str">
        <f t="shared" si="23"/>
        <v>Home &gt; Market Area &gt; UK &gt; VERIFY &gt; Huddersfield</v>
      </c>
      <c r="AN1707" s="15">
        <f t="shared" si="24"/>
        <v>750</v>
      </c>
      <c r="AO1707" s="15">
        <f t="shared" si="25"/>
        <v>6</v>
      </c>
      <c r="AP1707" s="15">
        <f t="shared" si="26"/>
        <v>6</v>
      </c>
      <c r="AQ1707" s="15">
        <f t="shared" si="27"/>
        <v>29</v>
      </c>
      <c r="AR1707" s="31"/>
      <c r="AS1707" s="31"/>
      <c r="AT1707" s="35" t="s">
        <v>222</v>
      </c>
      <c r="AU1707" s="35"/>
    </row>
    <row r="1708" ht="15.75" customHeight="1">
      <c r="A1708" s="15" t="s">
        <v>7736</v>
      </c>
      <c r="B1708" s="15" t="s">
        <v>234</v>
      </c>
      <c r="C1708" s="15" t="s">
        <v>98</v>
      </c>
      <c r="D1708" s="15" t="s">
        <v>7737</v>
      </c>
      <c r="E1708" s="15" t="s">
        <v>7737</v>
      </c>
      <c r="F1708" s="58" t="s">
        <v>807</v>
      </c>
      <c r="G1708" s="66" t="s">
        <v>98</v>
      </c>
      <c r="H1708" s="18" t="s">
        <v>98</v>
      </c>
      <c r="I1708" s="18" t="s">
        <v>98</v>
      </c>
      <c r="J1708" s="18" t="s">
        <v>98</v>
      </c>
      <c r="K1708" s="18" t="s">
        <v>98</v>
      </c>
      <c r="L1708" s="18" t="s">
        <v>98</v>
      </c>
      <c r="M1708" s="18" t="s">
        <v>540</v>
      </c>
      <c r="N1708" s="18" t="s">
        <v>242</v>
      </c>
      <c r="O1708" s="18" t="s">
        <v>98</v>
      </c>
      <c r="P1708" s="15" t="str">
        <f t="shared" si="1"/>
        <v>VERIFY</v>
      </c>
      <c r="Q1708" s="15">
        <f t="shared" si="2"/>
        <v>1</v>
      </c>
      <c r="R1708" s="15">
        <f t="shared" si="3"/>
        <v>4</v>
      </c>
      <c r="S1708" s="15">
        <f t="shared" si="4"/>
        <v>5</v>
      </c>
      <c r="T1708" s="15" t="str">
        <f t="shared" si="5"/>
        <v>C-1</v>
      </c>
      <c r="U1708" s="15" t="str">
        <f t="shared" si="6"/>
        <v>T1-M4-H5-FC-1-VERIFY</v>
      </c>
      <c r="V1708" s="15">
        <f t="shared" si="7"/>
        <v>0</v>
      </c>
      <c r="W1708" s="31"/>
      <c r="X1708" s="15" t="str">
        <f t="shared" si="8"/>
        <v>inverness-uk</v>
      </c>
      <c r="Y1708" s="32" t="str">
        <f t="shared" si="9"/>
        <v>https://steelmanufacturer.in/market-area/electropolished-pipes-manufacturer-in-inverness-uk/</v>
      </c>
      <c r="Z1708" s="15" t="str">
        <f t="shared" si="10"/>
        <v>Electropolished Pipes Manufacturer in Inverness | Sakshi Forge</v>
      </c>
      <c r="AA1708" s="15" t="str">
        <f t="shared" si="11"/>
        <v>OK (62)</v>
      </c>
      <c r="AB1708" s="15" t="str">
        <f t="shared" si="12"/>
        <v>Sanitary electropolished pipes in Inverness for VERIFY plants. ASME BPE SF1-SF4, orbital-weld ready, 3.1 MTC. Mumbai-made.</v>
      </c>
      <c r="AC1708" s="15" t="str">
        <f t="shared" si="13"/>
        <v>PENDING RESEARCH</v>
      </c>
      <c r="AD1708" s="15" t="str">
        <f t="shared" si="14"/>
        <v>Electropolished Pipes Manufacturer in Inverness</v>
      </c>
      <c r="AE1708" s="15" t="str">
        <f t="shared" si="15"/>
        <v>Electropolished Tube Manufacturing Capability Serving Inverness</v>
      </c>
      <c r="AF1708" s="15" t="str">
        <f t="shared" si="16"/>
        <v>Electropolished Pipes Supplier in Inverness - From Order to Delivery</v>
      </c>
      <c r="AG1708" s="15" t="str">
        <f t="shared" si="17"/>
        <v>Stockist &amp; Wholesale Supply of Electropolished Pipes in Inverness</v>
      </c>
      <c r="AH1708" s="15" t="str">
        <f t="shared" si="18"/>
        <v>electropolished pipes manufacturer in Inverness, electropolished pipes supplier in Inverness, electropolished pipes wholesaler in Inverness, electropolished tube manufacturer Inverness, EP pipe supplier Inverness, sanitary tube supplier Inverness, ASME BPE tubing Inverness, ASTM A270 tube Inverness, SS 316L electropolished pipe Inverness</v>
      </c>
      <c r="AI1708" s="15" t="str">
        <f t="shared" si="19"/>
        <v>Electropolished Pipes Manufacturer &amp; Supplier in Inverness</v>
      </c>
      <c r="AJ1708" s="15" t="str">
        <f t="shared" si="20"/>
        <v>EP-finished SS 304/316L pipes and tubes for VERIFY plants in Inverness. ASME BPE SF1-SF4, Ra from 0.25 um, EN 10204 3.1 certificate with every lot.</v>
      </c>
      <c r="AK1708" s="15" t="str">
        <f t="shared" si="21"/>
        <v>Electropolished stainless steel pipes supplied by Sakshi Forge to VERIFY plants at VERIFY, Inverness</v>
      </c>
      <c r="AL1708" s="15" t="str">
        <f t="shared" si="22"/>
        <v>Electropolished SS 316L tube stock for Inverness - Sakshi Forge</v>
      </c>
      <c r="AM1708" s="15" t="str">
        <f t="shared" si="23"/>
        <v>Home &gt; Market Area &gt; UK &gt; VERIFY &gt; Inverness</v>
      </c>
      <c r="AN1708" s="15">
        <f t="shared" si="24"/>
        <v>750</v>
      </c>
      <c r="AO1708" s="15">
        <f t="shared" si="25"/>
        <v>6</v>
      </c>
      <c r="AP1708" s="15">
        <f t="shared" si="26"/>
        <v>6</v>
      </c>
      <c r="AQ1708" s="15">
        <f t="shared" si="27"/>
        <v>29</v>
      </c>
      <c r="AR1708" s="31"/>
      <c r="AS1708" s="31"/>
      <c r="AT1708" s="35" t="s">
        <v>222</v>
      </c>
      <c r="AU1708" s="35"/>
    </row>
    <row r="1709" ht="15.75" customHeight="1">
      <c r="A1709" s="15" t="s">
        <v>7738</v>
      </c>
      <c r="B1709" s="15" t="s">
        <v>234</v>
      </c>
      <c r="C1709" s="15" t="s">
        <v>98</v>
      </c>
      <c r="D1709" s="15" t="s">
        <v>7739</v>
      </c>
      <c r="E1709" s="15" t="s">
        <v>7739</v>
      </c>
      <c r="F1709" s="58" t="s">
        <v>807</v>
      </c>
      <c r="G1709" s="66" t="s">
        <v>98</v>
      </c>
      <c r="H1709" s="18" t="s">
        <v>98</v>
      </c>
      <c r="I1709" s="18" t="s">
        <v>98</v>
      </c>
      <c r="J1709" s="18" t="s">
        <v>98</v>
      </c>
      <c r="K1709" s="18" t="s">
        <v>98</v>
      </c>
      <c r="L1709" s="18" t="s">
        <v>98</v>
      </c>
      <c r="M1709" s="18" t="s">
        <v>540</v>
      </c>
      <c r="N1709" s="18" t="s">
        <v>242</v>
      </c>
      <c r="O1709" s="18" t="s">
        <v>98</v>
      </c>
      <c r="P1709" s="15" t="str">
        <f t="shared" si="1"/>
        <v>VERIFY</v>
      </c>
      <c r="Q1709" s="15">
        <f t="shared" si="2"/>
        <v>2</v>
      </c>
      <c r="R1709" s="15">
        <f t="shared" si="3"/>
        <v>5</v>
      </c>
      <c r="S1709" s="15">
        <f t="shared" si="4"/>
        <v>1</v>
      </c>
      <c r="T1709" s="15" t="str">
        <f t="shared" si="5"/>
        <v>C-2</v>
      </c>
      <c r="U1709" s="15" t="str">
        <f t="shared" si="6"/>
        <v>T2-M5-H1-FC-2-VERIFY</v>
      </c>
      <c r="V1709" s="15">
        <f t="shared" si="7"/>
        <v>0</v>
      </c>
      <c r="W1709" s="31"/>
      <c r="X1709" s="15" t="str">
        <f t="shared" si="8"/>
        <v>ipswich-uk</v>
      </c>
      <c r="Y1709" s="32" t="str">
        <f t="shared" si="9"/>
        <v>https://steelmanufacturer.in/market-area/electropolished-pipes-manufacturer-in-ipswich-uk/</v>
      </c>
      <c r="Z1709" s="15" t="str">
        <f t="shared" si="10"/>
        <v>Electropolished Pipes Manufacturer in Ipswich</v>
      </c>
      <c r="AA1709" s="15" t="str">
        <f t="shared" si="11"/>
        <v>OK (45)</v>
      </c>
      <c r="AB1709" s="15" t="str">
        <f t="shared" si="12"/>
        <v>Manufacturer of electropolished SS 316L tube serving Ipswich. 22-28 days sea from Nhava Sheva to Felixstowe. Ra 0.25-0.5 um, EN 10204 3.1 MTC.</v>
      </c>
      <c r="AC1709" s="15" t="str">
        <f t="shared" si="13"/>
        <v>PENDING RESEARCH</v>
      </c>
      <c r="AD1709" s="15" t="str">
        <f t="shared" si="14"/>
        <v>Electropolished Pipes Manufacturer in Ipswich</v>
      </c>
      <c r="AE1709" s="15" t="str">
        <f t="shared" si="15"/>
        <v>Electropolished Pipe &amp; Tube Manufacturing for Ipswich - Grades, Finishes &amp; Certification</v>
      </c>
      <c r="AF1709" s="15" t="str">
        <f t="shared" si="16"/>
        <v>Electropolished Pipes Supplier in Ipswich - Stock Sizes, Lead Time &amp; Delivery</v>
      </c>
      <c r="AG1709" s="15" t="str">
        <f t="shared" si="17"/>
        <v>Electropolished Pipes Wholesaler &amp; Stockist in Ipswich - Bulk &amp; Project Pricing</v>
      </c>
      <c r="AH1709" s="15" t="str">
        <f t="shared" si="18"/>
        <v>electropolished pipes manufacturer in Ipswich, electropolished pipes supplier in Ipswich, electropolished pipes wholesaler in Ipswich, electropolished tube manufacturer Ipswich, EP pipe supplier Ipswich, sanitary tube supplier Ipswich, ASME BPE tubing Ipswich, ASTM A270 tube Ipswich, SS 316L electropolished pipe Ipswich</v>
      </c>
      <c r="AI1709" s="15" t="str">
        <f t="shared" si="19"/>
        <v>Electropolished Pipes Manufacturer &amp; Supplier in Ipswich</v>
      </c>
      <c r="AJ1709" s="15" t="str">
        <f t="shared" si="20"/>
        <v>EP-finished SS 304/316L pipes and tubes for VERIFY plants in Ipswich. ASME BPE SF1-SF4, Ra from 0.25 um, EN 10204 3.1 certificate with every lot.</v>
      </c>
      <c r="AK1709" s="15" t="str">
        <f t="shared" si="21"/>
        <v>Electropolished stainless steel pipes supplied by Sakshi Forge to VERIFY plants at VERIFY, Ipswich</v>
      </c>
      <c r="AL1709" s="15" t="str">
        <f t="shared" si="22"/>
        <v>Electropolished SS 316L tube stock for Ipswich - Sakshi Forge</v>
      </c>
      <c r="AM1709" s="15" t="str">
        <f t="shared" si="23"/>
        <v>Home &gt; Market Area &gt; UK &gt; VERIFY &gt; Ipswich</v>
      </c>
      <c r="AN1709" s="15">
        <f t="shared" si="24"/>
        <v>750</v>
      </c>
      <c r="AO1709" s="15">
        <f t="shared" si="25"/>
        <v>6</v>
      </c>
      <c r="AP1709" s="15">
        <f t="shared" si="26"/>
        <v>6</v>
      </c>
      <c r="AQ1709" s="15">
        <f t="shared" si="27"/>
        <v>29</v>
      </c>
      <c r="AR1709" s="31"/>
      <c r="AS1709" s="31"/>
      <c r="AT1709" s="35" t="s">
        <v>222</v>
      </c>
      <c r="AU1709" s="35"/>
    </row>
    <row r="1710" ht="15.75" customHeight="1">
      <c r="A1710" s="15" t="s">
        <v>7740</v>
      </c>
      <c r="B1710" s="15" t="s">
        <v>234</v>
      </c>
      <c r="C1710" s="15" t="s">
        <v>98</v>
      </c>
      <c r="D1710" s="15" t="s">
        <v>7741</v>
      </c>
      <c r="E1710" s="15" t="s">
        <v>7741</v>
      </c>
      <c r="F1710" s="58" t="s">
        <v>807</v>
      </c>
      <c r="G1710" s="66" t="s">
        <v>98</v>
      </c>
      <c r="H1710" s="18" t="s">
        <v>98</v>
      </c>
      <c r="I1710" s="18" t="s">
        <v>98</v>
      </c>
      <c r="J1710" s="18" t="s">
        <v>98</v>
      </c>
      <c r="K1710" s="18" t="s">
        <v>98</v>
      </c>
      <c r="L1710" s="18" t="s">
        <v>98</v>
      </c>
      <c r="M1710" s="18" t="s">
        <v>540</v>
      </c>
      <c r="N1710" s="18" t="s">
        <v>242</v>
      </c>
      <c r="O1710" s="18" t="s">
        <v>98</v>
      </c>
      <c r="P1710" s="15" t="str">
        <f t="shared" si="1"/>
        <v>VERIFY</v>
      </c>
      <c r="Q1710" s="15">
        <f t="shared" si="2"/>
        <v>3</v>
      </c>
      <c r="R1710" s="15">
        <f t="shared" si="3"/>
        <v>6</v>
      </c>
      <c r="S1710" s="15">
        <f t="shared" si="4"/>
        <v>2</v>
      </c>
      <c r="T1710" s="15" t="str">
        <f t="shared" si="5"/>
        <v>C-3</v>
      </c>
      <c r="U1710" s="15" t="str">
        <f t="shared" si="6"/>
        <v>T3-M6-H2-FC-3-VERIFY</v>
      </c>
      <c r="V1710" s="15">
        <f t="shared" si="7"/>
        <v>0</v>
      </c>
      <c r="W1710" s="31"/>
      <c r="X1710" s="15" t="str">
        <f t="shared" si="8"/>
        <v>kilmarnock-uk</v>
      </c>
      <c r="Y1710" s="32" t="str">
        <f t="shared" si="9"/>
        <v>https://steelmanufacturer.in/market-area/electropolished-pipes-manufacturer-in-kilmarnock-uk/</v>
      </c>
      <c r="Z1710" s="15" t="str">
        <f t="shared" si="10"/>
        <v>Electropolished Pipes Manufacturer in Kilmarnock</v>
      </c>
      <c r="AA1710" s="15" t="str">
        <f t="shared" si="11"/>
        <v>OK (48)</v>
      </c>
      <c r="AB1710" s="15" t="str">
        <f t="shared" si="12"/>
        <v>EP tube and pipe for VERIFY plants around VERIFY, Kilmarnock. Made at our Mumbai works to ASTM A270 and ASME BPE SF1-SF4, with 3.1 MTC.</v>
      </c>
      <c r="AC1710" s="15" t="str">
        <f t="shared" si="13"/>
        <v>PENDING RESEARCH</v>
      </c>
      <c r="AD1710" s="15" t="str">
        <f t="shared" si="14"/>
        <v>Electropolished Pipes Manufacturer in Kilmarnock</v>
      </c>
      <c r="AE1710" s="15" t="str">
        <f t="shared" si="15"/>
        <v>How We Manufacture Electropolished Tube for Kilmarnock Plants</v>
      </c>
      <c r="AF1710" s="15" t="str">
        <f t="shared" si="16"/>
        <v>Supplying Electropolished Pipes in Kilmarnock: Availability, Sizes &amp; Dispatch</v>
      </c>
      <c r="AG1710" s="15" t="str">
        <f t="shared" si="17"/>
        <v>Wholesale Electropolished Pipe Supply for Kilmarnock Projects</v>
      </c>
      <c r="AH1710" s="15" t="str">
        <f t="shared" si="18"/>
        <v>electropolished pipes manufacturer in Kilmarnock, electropolished pipes supplier in Kilmarnock, electropolished pipes wholesaler in Kilmarnock, electropolished tube manufacturer Kilmarnock, EP pipe supplier Kilmarnock, sanitary tube supplier Kilmarnock, ASME BPE tubing Kilmarnock, ASTM A270 tube Kilmarnock, SS 316L electropolished pipe Kilmarnock</v>
      </c>
      <c r="AI1710" s="15" t="str">
        <f t="shared" si="19"/>
        <v>Electropolished Pipes Manufacturer &amp; Supplier in Kilmarnock</v>
      </c>
      <c r="AJ1710" s="15" t="str">
        <f t="shared" si="20"/>
        <v>EP-finished SS 304/316L pipes and tubes for VERIFY plants in Kilmarnock. ASME BPE SF1-SF4, Ra from 0.25 um, EN 10204 3.1 certificate with every lot.</v>
      </c>
      <c r="AK1710" s="15" t="str">
        <f t="shared" si="21"/>
        <v>Electropolished stainless steel pipes supplied by Sakshi Forge to VERIFY plants at VERIFY, Kilmarnock</v>
      </c>
      <c r="AL1710" s="15" t="str">
        <f t="shared" si="22"/>
        <v>Electropolished SS 316L tube stock for Kilmarnock - Sakshi Forge</v>
      </c>
      <c r="AM1710" s="15" t="str">
        <f t="shared" si="23"/>
        <v>Home &gt; Market Area &gt; UK &gt; VERIFY &gt; Kilmarnock</v>
      </c>
      <c r="AN1710" s="15">
        <f t="shared" si="24"/>
        <v>750</v>
      </c>
      <c r="AO1710" s="15">
        <f t="shared" si="25"/>
        <v>6</v>
      </c>
      <c r="AP1710" s="15">
        <f t="shared" si="26"/>
        <v>6</v>
      </c>
      <c r="AQ1710" s="15">
        <f t="shared" si="27"/>
        <v>29</v>
      </c>
      <c r="AR1710" s="31"/>
      <c r="AS1710" s="31"/>
      <c r="AT1710" s="35" t="s">
        <v>222</v>
      </c>
      <c r="AU1710" s="35"/>
    </row>
    <row r="1711" ht="15.75" customHeight="1">
      <c r="A1711" s="15" t="s">
        <v>7742</v>
      </c>
      <c r="B1711" s="15" t="s">
        <v>234</v>
      </c>
      <c r="C1711" s="15" t="s">
        <v>98</v>
      </c>
      <c r="D1711" s="15" t="s">
        <v>7743</v>
      </c>
      <c r="E1711" s="15" t="s">
        <v>7743</v>
      </c>
      <c r="F1711" s="58" t="s">
        <v>807</v>
      </c>
      <c r="G1711" s="66" t="s">
        <v>98</v>
      </c>
      <c r="H1711" s="18" t="s">
        <v>98</v>
      </c>
      <c r="I1711" s="18" t="s">
        <v>98</v>
      </c>
      <c r="J1711" s="18" t="s">
        <v>98</v>
      </c>
      <c r="K1711" s="18" t="s">
        <v>98</v>
      </c>
      <c r="L1711" s="18" t="s">
        <v>98</v>
      </c>
      <c r="M1711" s="18" t="s">
        <v>540</v>
      </c>
      <c r="N1711" s="18" t="s">
        <v>242</v>
      </c>
      <c r="O1711" s="18" t="s">
        <v>98</v>
      </c>
      <c r="P1711" s="15" t="str">
        <f t="shared" si="1"/>
        <v>VERIFY</v>
      </c>
      <c r="Q1711" s="15">
        <f t="shared" si="2"/>
        <v>4</v>
      </c>
      <c r="R1711" s="15">
        <f t="shared" si="3"/>
        <v>7</v>
      </c>
      <c r="S1711" s="15">
        <f t="shared" si="4"/>
        <v>3</v>
      </c>
      <c r="T1711" s="15" t="str">
        <f t="shared" si="5"/>
        <v>C-4</v>
      </c>
      <c r="U1711" s="15" t="str">
        <f t="shared" si="6"/>
        <v>T4-M7-H3-FC-4-VERIFY</v>
      </c>
      <c r="V1711" s="15">
        <f t="shared" si="7"/>
        <v>0</v>
      </c>
      <c r="W1711" s="31"/>
      <c r="X1711" s="15" t="str">
        <f t="shared" si="8"/>
        <v>lancaster-uk</v>
      </c>
      <c r="Y1711" s="32" t="str">
        <f t="shared" si="9"/>
        <v>https://steelmanufacturer.in/market-area/electropolished-pipes-manufacturer-in-lancaster-uk/</v>
      </c>
      <c r="Z1711" s="15" t="str">
        <f t="shared" si="10"/>
        <v>Electropolished Pipes Manufacturer in Lancaster</v>
      </c>
      <c r="AA1711" s="15" t="str">
        <f t="shared" si="11"/>
        <v>OK (47)</v>
      </c>
      <c r="AB1711" s="15" t="str">
        <f t="shared" si="12"/>
        <v>Electropolished pipes in Lancaster: 304, 304L, 316 and 316L in SF1-SF4. 22-28 days sea from Nhava Sheva to Felixstowe. Mill certified.</v>
      </c>
      <c r="AC1711" s="15" t="str">
        <f t="shared" si="13"/>
        <v>PENDING RESEARCH</v>
      </c>
      <c r="AD1711" s="15" t="str">
        <f t="shared" si="14"/>
        <v>Electropolished Pipes Manufacturer in Lancaster</v>
      </c>
      <c r="AE1711" s="15" t="str">
        <f t="shared" si="15"/>
        <v>Electropolished Pipes Manufacturer in Lancaster - Our Process &amp; Capability</v>
      </c>
      <c r="AF1711" s="15" t="str">
        <f t="shared" si="16"/>
        <v>Electropolished Pipes Supplier in Lancaster - What We Hold in Stock</v>
      </c>
      <c r="AG1711" s="15" t="str">
        <f t="shared" si="17"/>
        <v>Bulk &amp; Wholesale Electropolished Pipe Rates for Lancaster Buyers</v>
      </c>
      <c r="AH1711" s="15" t="str">
        <f t="shared" si="18"/>
        <v>electropolished pipes manufacturer in Lancaster, electropolished pipes supplier in Lancaster, electropolished pipes wholesaler in Lancaster, electropolished tube manufacturer Lancaster, EP pipe supplier Lancaster, sanitary tube supplier Lancaster, ASME BPE tubing Lancaster, ASTM A270 tube Lancaster, SS 316L electropolished pipe Lancaster</v>
      </c>
      <c r="AI1711" s="15" t="str">
        <f t="shared" si="19"/>
        <v>Electropolished Pipes Manufacturer &amp; Supplier in Lancaster</v>
      </c>
      <c r="AJ1711" s="15" t="str">
        <f t="shared" si="20"/>
        <v>EP-finished SS 304/316L pipes and tubes for VERIFY plants in Lancaster. ASME BPE SF1-SF4, Ra from 0.25 um, EN 10204 3.1 certificate with every lot.</v>
      </c>
      <c r="AK1711" s="15" t="str">
        <f t="shared" si="21"/>
        <v>Electropolished stainless steel pipes supplied by Sakshi Forge to VERIFY plants at VERIFY, Lancaster</v>
      </c>
      <c r="AL1711" s="15" t="str">
        <f t="shared" si="22"/>
        <v>Electropolished SS 316L tube stock for Lancaster - Sakshi Forge</v>
      </c>
      <c r="AM1711" s="15" t="str">
        <f t="shared" si="23"/>
        <v>Home &gt; Market Area &gt; UK &gt; VERIFY &gt; Lancaster</v>
      </c>
      <c r="AN1711" s="15">
        <f t="shared" si="24"/>
        <v>750</v>
      </c>
      <c r="AO1711" s="15">
        <f t="shared" si="25"/>
        <v>6</v>
      </c>
      <c r="AP1711" s="15">
        <f t="shared" si="26"/>
        <v>6</v>
      </c>
      <c r="AQ1711" s="15">
        <f t="shared" si="27"/>
        <v>29</v>
      </c>
      <c r="AR1711" s="31"/>
      <c r="AS1711" s="31"/>
      <c r="AT1711" s="35" t="s">
        <v>222</v>
      </c>
      <c r="AU1711" s="35"/>
    </row>
    <row r="1712" ht="15.75" customHeight="1">
      <c r="A1712" s="15" t="s">
        <v>7744</v>
      </c>
      <c r="B1712" s="15" t="s">
        <v>234</v>
      </c>
      <c r="C1712" s="15" t="s">
        <v>98</v>
      </c>
      <c r="D1712" s="15" t="s">
        <v>7745</v>
      </c>
      <c r="E1712" s="15" t="s">
        <v>7745</v>
      </c>
      <c r="F1712" s="58" t="s">
        <v>807</v>
      </c>
      <c r="G1712" s="66" t="s">
        <v>98</v>
      </c>
      <c r="H1712" s="18" t="s">
        <v>98</v>
      </c>
      <c r="I1712" s="18" t="s">
        <v>98</v>
      </c>
      <c r="J1712" s="18" t="s">
        <v>98</v>
      </c>
      <c r="K1712" s="18" t="s">
        <v>98</v>
      </c>
      <c r="L1712" s="18" t="s">
        <v>98</v>
      </c>
      <c r="M1712" s="18" t="s">
        <v>540</v>
      </c>
      <c r="N1712" s="18" t="s">
        <v>242</v>
      </c>
      <c r="O1712" s="18" t="s">
        <v>98</v>
      </c>
      <c r="P1712" s="15" t="str">
        <f t="shared" si="1"/>
        <v>VERIFY</v>
      </c>
      <c r="Q1712" s="15">
        <f t="shared" si="2"/>
        <v>5</v>
      </c>
      <c r="R1712" s="15">
        <f t="shared" si="3"/>
        <v>1</v>
      </c>
      <c r="S1712" s="15">
        <f t="shared" si="4"/>
        <v>4</v>
      </c>
      <c r="T1712" s="15" t="str">
        <f t="shared" si="5"/>
        <v>C-5</v>
      </c>
      <c r="U1712" s="15" t="str">
        <f t="shared" si="6"/>
        <v>T5-M1-H4-FC-5-VERIFY</v>
      </c>
      <c r="V1712" s="15">
        <f t="shared" si="7"/>
        <v>0</v>
      </c>
      <c r="W1712" s="31"/>
      <c r="X1712" s="15" t="str">
        <f t="shared" si="8"/>
        <v>lincoln-uk-uk</v>
      </c>
      <c r="Y1712" s="32" t="str">
        <f t="shared" si="9"/>
        <v>https://steelmanufacturer.in/market-area/electropolished-pipes-manufacturer-in-lincoln-uk-uk/</v>
      </c>
      <c r="Z1712" s="15" t="str">
        <f t="shared" si="10"/>
        <v>Electropolished Pipes Manufacturer in Lincoln-UK</v>
      </c>
      <c r="AA1712" s="15" t="str">
        <f t="shared" si="11"/>
        <v>OK (48)</v>
      </c>
      <c r="AB1712" s="15" t="str">
        <f t="shared" si="12"/>
        <v>EP-finished SS 304/316L pipes &amp; tubes for VERIFY plants in Lincoln-UK. ASTM A270, ASME BPE SF1-SF4, EN 10204 3.1 MTC. PMI tested.</v>
      </c>
      <c r="AC1712" s="15" t="str">
        <f t="shared" si="13"/>
        <v>PENDING RESEARCH</v>
      </c>
      <c r="AD1712" s="15" t="str">
        <f t="shared" si="14"/>
        <v>Electropolished Pipes Manufacturer in Lincoln-UK</v>
      </c>
      <c r="AE1712" s="15" t="str">
        <f t="shared" si="15"/>
        <v>Manufacturing Electropolished SS Tube for Lincoln-UK: The Standards We Build To</v>
      </c>
      <c r="AF1712" s="15" t="str">
        <f t="shared" si="16"/>
        <v>Electropolished Pipe Supply Into Lincoln-UK - Certification &amp; Transit</v>
      </c>
      <c r="AG1712" s="15" t="str">
        <f t="shared" si="17"/>
        <v>Electropolished Pipes Wholesaler in Lincoln-UK - Project Quantities &amp; Terms</v>
      </c>
      <c r="AH1712" s="15" t="str">
        <f t="shared" si="18"/>
        <v>electropolished pipes manufacturer in Lincoln-UK, electropolished pipes supplier in Lincoln-UK, electropolished pipes wholesaler in Lincoln-UK, electropolished tube manufacturer Lincoln-UK, EP pipe supplier Lincoln-UK, sanitary tube supplier Lincoln-UK, ASME BPE tubing Lincoln-UK, ASTM A270 tube Lincoln-UK, SS 316L electropolished pipe Lincoln-UK</v>
      </c>
      <c r="AI1712" s="15" t="str">
        <f t="shared" si="19"/>
        <v>Electropolished Pipes Manufacturer &amp; Supplier in Lincoln-UK</v>
      </c>
      <c r="AJ1712" s="15" t="str">
        <f t="shared" si="20"/>
        <v>EP-finished SS 304/316L pipes and tubes for VERIFY plants in Lincoln-UK. ASME BPE SF1-SF4, Ra from 0.25 um, EN 10204 3.1 certificate with every lot.</v>
      </c>
      <c r="AK1712" s="15" t="str">
        <f t="shared" si="21"/>
        <v>Electropolished stainless steel pipes supplied by Sakshi Forge to VERIFY plants at VERIFY, Lincoln-UK</v>
      </c>
      <c r="AL1712" s="15" t="str">
        <f t="shared" si="22"/>
        <v>Electropolished SS 316L tube stock for Lincoln-UK - Sakshi Forge</v>
      </c>
      <c r="AM1712" s="15" t="str">
        <f t="shared" si="23"/>
        <v>Home &gt; Market Area &gt; UK &gt; VERIFY &gt; Lincoln-UK</v>
      </c>
      <c r="AN1712" s="15">
        <f t="shared" si="24"/>
        <v>750</v>
      </c>
      <c r="AO1712" s="15">
        <f t="shared" si="25"/>
        <v>6</v>
      </c>
      <c r="AP1712" s="15">
        <f t="shared" si="26"/>
        <v>6</v>
      </c>
      <c r="AQ1712" s="15">
        <f t="shared" si="27"/>
        <v>29</v>
      </c>
      <c r="AR1712" s="31"/>
      <c r="AS1712" s="31"/>
      <c r="AT1712" s="35" t="s">
        <v>222</v>
      </c>
      <c r="AU1712" s="35"/>
    </row>
    <row r="1713" ht="15.75" customHeight="1">
      <c r="A1713" s="15" t="s">
        <v>7746</v>
      </c>
      <c r="B1713" s="15" t="s">
        <v>234</v>
      </c>
      <c r="C1713" s="15" t="s">
        <v>98</v>
      </c>
      <c r="D1713" s="15" t="s">
        <v>7747</v>
      </c>
      <c r="E1713" s="15" t="s">
        <v>7747</v>
      </c>
      <c r="F1713" s="58" t="s">
        <v>807</v>
      </c>
      <c r="G1713" s="66" t="s">
        <v>98</v>
      </c>
      <c r="H1713" s="18" t="s">
        <v>98</v>
      </c>
      <c r="I1713" s="18" t="s">
        <v>98</v>
      </c>
      <c r="J1713" s="18" t="s">
        <v>98</v>
      </c>
      <c r="K1713" s="18" t="s">
        <v>98</v>
      </c>
      <c r="L1713" s="18" t="s">
        <v>98</v>
      </c>
      <c r="M1713" s="18" t="s">
        <v>540</v>
      </c>
      <c r="N1713" s="18" t="s">
        <v>242</v>
      </c>
      <c r="O1713" s="18" t="s">
        <v>98</v>
      </c>
      <c r="P1713" s="15" t="str">
        <f t="shared" si="1"/>
        <v>VERIFY</v>
      </c>
      <c r="Q1713" s="15">
        <f t="shared" si="2"/>
        <v>6</v>
      </c>
      <c r="R1713" s="15">
        <f t="shared" si="3"/>
        <v>2</v>
      </c>
      <c r="S1713" s="15">
        <f t="shared" si="4"/>
        <v>5</v>
      </c>
      <c r="T1713" s="15" t="str">
        <f t="shared" si="5"/>
        <v>C-6</v>
      </c>
      <c r="U1713" s="15" t="str">
        <f t="shared" si="6"/>
        <v>T6-M2-H5-FC-6-VERIFY</v>
      </c>
      <c r="V1713" s="15">
        <f t="shared" si="7"/>
        <v>0</v>
      </c>
      <c r="W1713" s="31"/>
      <c r="X1713" s="15" t="str">
        <f t="shared" si="8"/>
        <v>londonderry-uk</v>
      </c>
      <c r="Y1713" s="32" t="str">
        <f t="shared" si="9"/>
        <v>https://steelmanufacturer.in/market-area/electropolished-pipes-manufacturer-in-londonderry-uk/</v>
      </c>
      <c r="Z1713" s="15" t="str">
        <f t="shared" si="10"/>
        <v>Electropolished Pipes Manufacturer in Londonderry</v>
      </c>
      <c r="AA1713" s="15" t="str">
        <f t="shared" si="11"/>
        <v>OK (49)</v>
      </c>
      <c r="AB1713" s="15" t="str">
        <f t="shared" si="12"/>
        <v>Electropolished tube supply to VERIFY, Londonderry. Ra from 0.25 um, SF4 finish, mill test certificate with every lot.</v>
      </c>
      <c r="AC1713" s="15" t="str">
        <f t="shared" si="13"/>
        <v>PENDING RESEARCH</v>
      </c>
      <c r="AD1713" s="15" t="str">
        <f t="shared" si="14"/>
        <v>Electropolished Pipes Manufacturer in Londonderry</v>
      </c>
      <c r="AE1713" s="15" t="str">
        <f t="shared" si="15"/>
        <v>Electropolished Tube Manufacturing Capability Serving Londonderry</v>
      </c>
      <c r="AF1713" s="15" t="str">
        <f t="shared" si="16"/>
        <v>Electropolished Pipes Supplier in Londonderry - From Order to Delivery</v>
      </c>
      <c r="AG1713" s="15" t="str">
        <f t="shared" si="17"/>
        <v>Stockist &amp; Wholesale Supply of Electropolished Pipes in Londonderry</v>
      </c>
      <c r="AH1713" s="15" t="str">
        <f t="shared" si="18"/>
        <v>electropolished pipes manufacturer in Londonderry, electropolished pipes supplier in Londonderry, electropolished pipes wholesaler in Londonderry, electropolished tube manufacturer Londonderry, EP pipe supplier Londonderry, sanitary tube supplier Londonderry, ASME BPE tubing Londonderry, ASTM A270 tube Londonderry, SS 316L electropolished pipe Londonderry</v>
      </c>
      <c r="AI1713" s="15" t="str">
        <f t="shared" si="19"/>
        <v>Electropolished Pipes Manufacturer &amp; Supplier in Londonderry</v>
      </c>
      <c r="AJ1713" s="15" t="str">
        <f t="shared" si="20"/>
        <v>EP-finished SS 304/316L pipes and tubes for VERIFY plants in Londonderry. ASME BPE SF1-SF4, Ra from 0.25 um, EN 10204 3.1 certificate with every lot.</v>
      </c>
      <c r="AK1713" s="15" t="str">
        <f t="shared" si="21"/>
        <v>Electropolished stainless steel pipes supplied by Sakshi Forge to VERIFY plants at VERIFY, Londonderry</v>
      </c>
      <c r="AL1713" s="15" t="str">
        <f t="shared" si="22"/>
        <v>Electropolished SS 316L tube stock for Londonderry - Sakshi Forge</v>
      </c>
      <c r="AM1713" s="15" t="str">
        <f t="shared" si="23"/>
        <v>Home &gt; Market Area &gt; UK &gt; VERIFY &gt; Londonderry</v>
      </c>
      <c r="AN1713" s="15">
        <f t="shared" si="24"/>
        <v>750</v>
      </c>
      <c r="AO1713" s="15">
        <f t="shared" si="25"/>
        <v>6</v>
      </c>
      <c r="AP1713" s="15">
        <f t="shared" si="26"/>
        <v>6</v>
      </c>
      <c r="AQ1713" s="15">
        <f t="shared" si="27"/>
        <v>29</v>
      </c>
      <c r="AR1713" s="31"/>
      <c r="AS1713" s="31"/>
      <c r="AT1713" s="35" t="s">
        <v>222</v>
      </c>
      <c r="AU1713" s="35"/>
    </row>
    <row r="1714" ht="15.75" customHeight="1">
      <c r="A1714" s="15" t="s">
        <v>7748</v>
      </c>
      <c r="B1714" s="15" t="s">
        <v>234</v>
      </c>
      <c r="C1714" s="15" t="s">
        <v>98</v>
      </c>
      <c r="D1714" s="15" t="s">
        <v>7749</v>
      </c>
      <c r="E1714" s="15" t="s">
        <v>7749</v>
      </c>
      <c r="F1714" s="58" t="s">
        <v>807</v>
      </c>
      <c r="G1714" s="66" t="s">
        <v>98</v>
      </c>
      <c r="H1714" s="18" t="s">
        <v>98</v>
      </c>
      <c r="I1714" s="18" t="s">
        <v>98</v>
      </c>
      <c r="J1714" s="18" t="s">
        <v>98</v>
      </c>
      <c r="K1714" s="18" t="s">
        <v>98</v>
      </c>
      <c r="L1714" s="18" t="s">
        <v>98</v>
      </c>
      <c r="M1714" s="18" t="s">
        <v>540</v>
      </c>
      <c r="N1714" s="18" t="s">
        <v>242</v>
      </c>
      <c r="O1714" s="18" t="s">
        <v>98</v>
      </c>
      <c r="P1714" s="15" t="str">
        <f t="shared" si="1"/>
        <v>VERIFY</v>
      </c>
      <c r="Q1714" s="15">
        <f t="shared" si="2"/>
        <v>7</v>
      </c>
      <c r="R1714" s="15">
        <f t="shared" si="3"/>
        <v>3</v>
      </c>
      <c r="S1714" s="15">
        <f t="shared" si="4"/>
        <v>1</v>
      </c>
      <c r="T1714" s="15" t="str">
        <f t="shared" si="5"/>
        <v>C-1</v>
      </c>
      <c r="U1714" s="15" t="str">
        <f t="shared" si="6"/>
        <v>T7-M3-H1-FC-1-VERIFY</v>
      </c>
      <c r="V1714" s="15">
        <f t="shared" si="7"/>
        <v>0</v>
      </c>
      <c r="W1714" s="31"/>
      <c r="X1714" s="15" t="str">
        <f t="shared" si="8"/>
        <v>luton-uk</v>
      </c>
      <c r="Y1714" s="32" t="str">
        <f t="shared" si="9"/>
        <v>https://steelmanufacturer.in/market-area/electropolished-pipes-manufacturer-in-luton-uk/</v>
      </c>
      <c r="Z1714" s="15" t="str">
        <f t="shared" si="10"/>
        <v>Electropolished Pipes Manufacturer in Luton | ASME BPE SF1-SF4</v>
      </c>
      <c r="AA1714" s="15" t="str">
        <f t="shared" si="11"/>
        <v>OK (62)</v>
      </c>
      <c r="AB1714" s="15" t="str">
        <f t="shared" si="12"/>
        <v>EP stainless tube for VERIFY lines in Luton. 22-28 days sea from Nhava Sheva to Felixstowe. ASTM A270 S2, PMI tested, EN 10204 3.1.</v>
      </c>
      <c r="AC1714" s="15" t="str">
        <f t="shared" si="13"/>
        <v>PENDING RESEARCH</v>
      </c>
      <c r="AD1714" s="15" t="str">
        <f t="shared" si="14"/>
        <v>Electropolished Pipes Manufacturer in Luton</v>
      </c>
      <c r="AE1714" s="15" t="str">
        <f t="shared" si="15"/>
        <v>Electropolished Pipe &amp; Tube Manufacturing for Luton - Grades, Finishes &amp; Certification</v>
      </c>
      <c r="AF1714" s="15" t="str">
        <f t="shared" si="16"/>
        <v>Electropolished Pipes Supplier in Luton - Stock Sizes, Lead Time &amp; Delivery</v>
      </c>
      <c r="AG1714" s="15" t="str">
        <f t="shared" si="17"/>
        <v>Electropolished Pipes Wholesaler &amp; Stockist in Luton - Bulk &amp; Project Pricing</v>
      </c>
      <c r="AH1714" s="15" t="str">
        <f t="shared" si="18"/>
        <v>electropolished pipes manufacturer in Luton, electropolished pipes supplier in Luton, electropolished pipes wholesaler in Luton, electropolished tube manufacturer Luton, EP pipe supplier Luton, sanitary tube supplier Luton, ASME BPE tubing Luton, ASTM A270 tube Luton, SS 316L electropolished pipe Luton</v>
      </c>
      <c r="AI1714" s="15" t="str">
        <f t="shared" si="19"/>
        <v>Electropolished Pipes Manufacturer &amp; Supplier in Luton</v>
      </c>
      <c r="AJ1714" s="15" t="str">
        <f t="shared" si="20"/>
        <v>EP-finished SS 304/316L pipes and tubes for VERIFY plants in Luton. ASME BPE SF1-SF4, Ra from 0.25 um, EN 10204 3.1 certificate with every lot.</v>
      </c>
      <c r="AK1714" s="15" t="str">
        <f t="shared" si="21"/>
        <v>Electropolished stainless steel pipes supplied by Sakshi Forge to VERIFY plants at VERIFY, Luton</v>
      </c>
      <c r="AL1714" s="15" t="str">
        <f t="shared" si="22"/>
        <v>Electropolished SS 316L tube stock for Luton - Sakshi Forge</v>
      </c>
      <c r="AM1714" s="15" t="str">
        <f t="shared" si="23"/>
        <v>Home &gt; Market Area &gt; UK &gt; VERIFY &gt; Luton</v>
      </c>
      <c r="AN1714" s="15">
        <f t="shared" si="24"/>
        <v>750</v>
      </c>
      <c r="AO1714" s="15">
        <f t="shared" si="25"/>
        <v>6</v>
      </c>
      <c r="AP1714" s="15">
        <f t="shared" si="26"/>
        <v>6</v>
      </c>
      <c r="AQ1714" s="15">
        <f t="shared" si="27"/>
        <v>29</v>
      </c>
      <c r="AR1714" s="31"/>
      <c r="AS1714" s="31"/>
      <c r="AT1714" s="35" t="s">
        <v>222</v>
      </c>
      <c r="AU1714" s="35"/>
    </row>
    <row r="1715" ht="15.75" customHeight="1">
      <c r="A1715" s="15" t="s">
        <v>7750</v>
      </c>
      <c r="B1715" s="15" t="s">
        <v>234</v>
      </c>
      <c r="C1715" s="15" t="s">
        <v>98</v>
      </c>
      <c r="D1715" s="15" t="s">
        <v>7751</v>
      </c>
      <c r="E1715" s="15" t="s">
        <v>7751</v>
      </c>
      <c r="F1715" s="58" t="s">
        <v>807</v>
      </c>
      <c r="G1715" s="66" t="s">
        <v>98</v>
      </c>
      <c r="H1715" s="18" t="s">
        <v>98</v>
      </c>
      <c r="I1715" s="18" t="s">
        <v>98</v>
      </c>
      <c r="J1715" s="18" t="s">
        <v>98</v>
      </c>
      <c r="K1715" s="18" t="s">
        <v>98</v>
      </c>
      <c r="L1715" s="18" t="s">
        <v>98</v>
      </c>
      <c r="M1715" s="18" t="s">
        <v>540</v>
      </c>
      <c r="N1715" s="18" t="s">
        <v>242</v>
      </c>
      <c r="O1715" s="18" t="s">
        <v>98</v>
      </c>
      <c r="P1715" s="15" t="str">
        <f t="shared" si="1"/>
        <v>VERIFY</v>
      </c>
      <c r="Q1715" s="15">
        <f t="shared" si="2"/>
        <v>8</v>
      </c>
      <c r="R1715" s="15">
        <f t="shared" si="3"/>
        <v>4</v>
      </c>
      <c r="S1715" s="15">
        <f t="shared" si="4"/>
        <v>2</v>
      </c>
      <c r="T1715" s="15" t="str">
        <f t="shared" si="5"/>
        <v>C-2</v>
      </c>
      <c r="U1715" s="15" t="str">
        <f t="shared" si="6"/>
        <v>T8-M4-H2-FC-2-VERIFY</v>
      </c>
      <c r="V1715" s="15">
        <f t="shared" si="7"/>
        <v>0</v>
      </c>
      <c r="W1715" s="31"/>
      <c r="X1715" s="15" t="str">
        <f t="shared" si="8"/>
        <v>maidstone-uk</v>
      </c>
      <c r="Y1715" s="32" t="str">
        <f t="shared" si="9"/>
        <v>https://steelmanufacturer.in/market-area/electropolished-pipes-manufacturer-in-maidstone-uk/</v>
      </c>
      <c r="Z1715" s="15" t="str">
        <f t="shared" si="10"/>
        <v>Electropolished Pipes Manufacturer in Maidstone</v>
      </c>
      <c r="AA1715" s="15" t="str">
        <f t="shared" si="11"/>
        <v>OK (47)</v>
      </c>
      <c r="AB1715" s="15" t="str">
        <f t="shared" si="12"/>
        <v>Sanitary electropolished pipes in Maidstone for VERIFY plants. ASME BPE SF1-SF4, orbital-weld ready, 3.1 MTC. Mumbai-made.</v>
      </c>
      <c r="AC1715" s="15" t="str">
        <f t="shared" si="13"/>
        <v>PENDING RESEARCH</v>
      </c>
      <c r="AD1715" s="15" t="str">
        <f t="shared" si="14"/>
        <v>Electropolished Pipes Manufacturer in Maidstone</v>
      </c>
      <c r="AE1715" s="15" t="str">
        <f t="shared" si="15"/>
        <v>How We Manufacture Electropolished Tube for Maidstone Plants</v>
      </c>
      <c r="AF1715" s="15" t="str">
        <f t="shared" si="16"/>
        <v>Supplying Electropolished Pipes in Maidstone: Availability, Sizes &amp; Dispatch</v>
      </c>
      <c r="AG1715" s="15" t="str">
        <f t="shared" si="17"/>
        <v>Wholesale Electropolished Pipe Supply for Maidstone Projects</v>
      </c>
      <c r="AH1715" s="15" t="str">
        <f t="shared" si="18"/>
        <v>electropolished pipes manufacturer in Maidstone, electropolished pipes supplier in Maidstone, electropolished pipes wholesaler in Maidstone, electropolished tube manufacturer Maidstone, EP pipe supplier Maidstone, sanitary tube supplier Maidstone, ASME BPE tubing Maidstone, ASTM A270 tube Maidstone, SS 316L electropolished pipe Maidstone</v>
      </c>
      <c r="AI1715" s="15" t="str">
        <f t="shared" si="19"/>
        <v>Electropolished Pipes Manufacturer &amp; Supplier in Maidstone</v>
      </c>
      <c r="AJ1715" s="15" t="str">
        <f t="shared" si="20"/>
        <v>EP-finished SS 304/316L pipes and tubes for VERIFY plants in Maidstone. ASME BPE SF1-SF4, Ra from 0.25 um, EN 10204 3.1 certificate with every lot.</v>
      </c>
      <c r="AK1715" s="15" t="str">
        <f t="shared" si="21"/>
        <v>Electropolished stainless steel pipes supplied by Sakshi Forge to VERIFY plants at VERIFY, Maidstone</v>
      </c>
      <c r="AL1715" s="15" t="str">
        <f t="shared" si="22"/>
        <v>Electropolished SS 316L tube stock for Maidstone - Sakshi Forge</v>
      </c>
      <c r="AM1715" s="15" t="str">
        <f t="shared" si="23"/>
        <v>Home &gt; Market Area &gt; UK &gt; VERIFY &gt; Maidstone</v>
      </c>
      <c r="AN1715" s="15">
        <f t="shared" si="24"/>
        <v>750</v>
      </c>
      <c r="AO1715" s="15">
        <f t="shared" si="25"/>
        <v>6</v>
      </c>
      <c r="AP1715" s="15">
        <f t="shared" si="26"/>
        <v>6</v>
      </c>
      <c r="AQ1715" s="15">
        <f t="shared" si="27"/>
        <v>29</v>
      </c>
      <c r="AR1715" s="31"/>
      <c r="AS1715" s="31"/>
      <c r="AT1715" s="35" t="s">
        <v>222</v>
      </c>
      <c r="AU1715" s="35"/>
    </row>
    <row r="1716" ht="15.75" customHeight="1">
      <c r="A1716" s="15" t="s">
        <v>7752</v>
      </c>
      <c r="B1716" s="15" t="s">
        <v>234</v>
      </c>
      <c r="C1716" s="15" t="s">
        <v>98</v>
      </c>
      <c r="D1716" s="15" t="s">
        <v>7753</v>
      </c>
      <c r="E1716" s="15" t="s">
        <v>7753</v>
      </c>
      <c r="F1716" s="58" t="s">
        <v>807</v>
      </c>
      <c r="G1716" s="66" t="s">
        <v>98</v>
      </c>
      <c r="H1716" s="18" t="s">
        <v>98</v>
      </c>
      <c r="I1716" s="18" t="s">
        <v>98</v>
      </c>
      <c r="J1716" s="18" t="s">
        <v>98</v>
      </c>
      <c r="K1716" s="18" t="s">
        <v>98</v>
      </c>
      <c r="L1716" s="18" t="s">
        <v>98</v>
      </c>
      <c r="M1716" s="18" t="s">
        <v>540</v>
      </c>
      <c r="N1716" s="18" t="s">
        <v>242</v>
      </c>
      <c r="O1716" s="18" t="s">
        <v>98</v>
      </c>
      <c r="P1716" s="15" t="str">
        <f t="shared" si="1"/>
        <v>VERIFY</v>
      </c>
      <c r="Q1716" s="15">
        <f t="shared" si="2"/>
        <v>1</v>
      </c>
      <c r="R1716" s="15">
        <f t="shared" si="3"/>
        <v>5</v>
      </c>
      <c r="S1716" s="15">
        <f t="shared" si="4"/>
        <v>3</v>
      </c>
      <c r="T1716" s="15" t="str">
        <f t="shared" si="5"/>
        <v>C-3</v>
      </c>
      <c r="U1716" s="15" t="str">
        <f t="shared" si="6"/>
        <v>T1-M5-H3-FC-3-VERIFY</v>
      </c>
      <c r="V1716" s="15">
        <f t="shared" si="7"/>
        <v>0</v>
      </c>
      <c r="W1716" s="31"/>
      <c r="X1716" s="15" t="str">
        <f t="shared" si="8"/>
        <v>mansfield-uk</v>
      </c>
      <c r="Y1716" s="32" t="str">
        <f t="shared" si="9"/>
        <v>https://steelmanufacturer.in/market-area/electropolished-pipes-manufacturer-in-mansfield-uk/</v>
      </c>
      <c r="Z1716" s="15" t="str">
        <f t="shared" si="10"/>
        <v>Electropolished Pipes Manufacturer in Mansfield | Sakshi Forge</v>
      </c>
      <c r="AA1716" s="15" t="str">
        <f t="shared" si="11"/>
        <v>OK (62)</v>
      </c>
      <c r="AB1716" s="15" t="str">
        <f t="shared" si="12"/>
        <v>Manufacturer of electropolished SS 316L tube serving Mansfield. 22-28 days sea from Nhava Sheva to Felixstowe. Ra 0.25-0.5 um, EN 10204 3.1 MTC.</v>
      </c>
      <c r="AC1716" s="15" t="str">
        <f t="shared" si="13"/>
        <v>PENDING RESEARCH</v>
      </c>
      <c r="AD1716" s="15" t="str">
        <f t="shared" si="14"/>
        <v>Electropolished Pipes Manufacturer in Mansfield</v>
      </c>
      <c r="AE1716" s="15" t="str">
        <f t="shared" si="15"/>
        <v>Electropolished Pipes Manufacturer in Mansfield - Our Process &amp; Capability</v>
      </c>
      <c r="AF1716" s="15" t="str">
        <f t="shared" si="16"/>
        <v>Electropolished Pipes Supplier in Mansfield - What We Hold in Stock</v>
      </c>
      <c r="AG1716" s="15" t="str">
        <f t="shared" si="17"/>
        <v>Bulk &amp; Wholesale Electropolished Pipe Rates for Mansfield Buyers</v>
      </c>
      <c r="AH1716" s="15" t="str">
        <f t="shared" si="18"/>
        <v>electropolished pipes manufacturer in Mansfield, electropolished pipes supplier in Mansfield, electropolished pipes wholesaler in Mansfield, electropolished tube manufacturer Mansfield, EP pipe supplier Mansfield, sanitary tube supplier Mansfield, ASME BPE tubing Mansfield, ASTM A270 tube Mansfield, SS 316L electropolished pipe Mansfield</v>
      </c>
      <c r="AI1716" s="15" t="str">
        <f t="shared" si="19"/>
        <v>Electropolished Pipes Manufacturer &amp; Supplier in Mansfield</v>
      </c>
      <c r="AJ1716" s="15" t="str">
        <f t="shared" si="20"/>
        <v>EP-finished SS 304/316L pipes and tubes for VERIFY plants in Mansfield. ASME BPE SF1-SF4, Ra from 0.25 um, EN 10204 3.1 certificate with every lot.</v>
      </c>
      <c r="AK1716" s="15" t="str">
        <f t="shared" si="21"/>
        <v>Electropolished stainless steel pipes supplied by Sakshi Forge to VERIFY plants at VERIFY, Mansfield</v>
      </c>
      <c r="AL1716" s="15" t="str">
        <f t="shared" si="22"/>
        <v>Electropolished SS 316L tube stock for Mansfield - Sakshi Forge</v>
      </c>
      <c r="AM1716" s="15" t="str">
        <f t="shared" si="23"/>
        <v>Home &gt; Market Area &gt; UK &gt; VERIFY &gt; Mansfield</v>
      </c>
      <c r="AN1716" s="15">
        <f t="shared" si="24"/>
        <v>750</v>
      </c>
      <c r="AO1716" s="15">
        <f t="shared" si="25"/>
        <v>6</v>
      </c>
      <c r="AP1716" s="15">
        <f t="shared" si="26"/>
        <v>6</v>
      </c>
      <c r="AQ1716" s="15">
        <f t="shared" si="27"/>
        <v>29</v>
      </c>
      <c r="AR1716" s="31"/>
      <c r="AS1716" s="31"/>
      <c r="AT1716" s="35" t="s">
        <v>222</v>
      </c>
      <c r="AU1716" s="35"/>
    </row>
    <row r="1717" ht="15.75" customHeight="1">
      <c r="A1717" s="15" t="s">
        <v>7754</v>
      </c>
      <c r="B1717" s="15" t="s">
        <v>234</v>
      </c>
      <c r="C1717" s="15" t="s">
        <v>98</v>
      </c>
      <c r="D1717" s="15" t="s">
        <v>7755</v>
      </c>
      <c r="E1717" s="15" t="s">
        <v>7755</v>
      </c>
      <c r="F1717" s="58" t="s">
        <v>807</v>
      </c>
      <c r="G1717" s="66" t="s">
        <v>98</v>
      </c>
      <c r="H1717" s="18" t="s">
        <v>98</v>
      </c>
      <c r="I1717" s="18" t="s">
        <v>98</v>
      </c>
      <c r="J1717" s="18" t="s">
        <v>98</v>
      </c>
      <c r="K1717" s="18" t="s">
        <v>98</v>
      </c>
      <c r="L1717" s="18" t="s">
        <v>98</v>
      </c>
      <c r="M1717" s="18" t="s">
        <v>540</v>
      </c>
      <c r="N1717" s="18" t="s">
        <v>242</v>
      </c>
      <c r="O1717" s="18" t="s">
        <v>98</v>
      </c>
      <c r="P1717" s="15" t="str">
        <f t="shared" si="1"/>
        <v>VERIFY</v>
      </c>
      <c r="Q1717" s="15">
        <f t="shared" si="2"/>
        <v>2</v>
      </c>
      <c r="R1717" s="15">
        <f t="shared" si="3"/>
        <v>6</v>
      </c>
      <c r="S1717" s="15">
        <f t="shared" si="4"/>
        <v>4</v>
      </c>
      <c r="T1717" s="15" t="str">
        <f t="shared" si="5"/>
        <v>C-4</v>
      </c>
      <c r="U1717" s="15" t="str">
        <f t="shared" si="6"/>
        <v>T2-M6-H4-FC-4-VERIFY</v>
      </c>
      <c r="V1717" s="15">
        <f t="shared" si="7"/>
        <v>0</v>
      </c>
      <c r="W1717" s="31"/>
      <c r="X1717" s="15" t="str">
        <f t="shared" si="8"/>
        <v>middlesbrough-uk</v>
      </c>
      <c r="Y1717" s="32" t="str">
        <f t="shared" si="9"/>
        <v>https://steelmanufacturer.in/market-area/electropolished-pipes-manufacturer-in-middlesbrough-uk/</v>
      </c>
      <c r="Z1717" s="15" t="str">
        <f t="shared" si="10"/>
        <v>Electropolished Pipes Manufacturer in Middlesbrough</v>
      </c>
      <c r="AA1717" s="15" t="str">
        <f t="shared" si="11"/>
        <v>OK (51)</v>
      </c>
      <c r="AB1717" s="15" t="str">
        <f t="shared" si="12"/>
        <v>EP tube and pipe for VERIFY plants around VERIFY, Middlesbrough. Made at our Mumbai works to ASTM A270 and ASME BPE SF1-SF4, with 3.1 MTC.</v>
      </c>
      <c r="AC1717" s="15" t="str">
        <f t="shared" si="13"/>
        <v>PENDING RESEARCH</v>
      </c>
      <c r="AD1717" s="15" t="str">
        <f t="shared" si="14"/>
        <v>Electropolished Pipes Manufacturer in Middlesbrough</v>
      </c>
      <c r="AE1717" s="15" t="str">
        <f t="shared" si="15"/>
        <v>Manufacturing Electropolished SS Tube for Middlesbrough: The Standards We Build To</v>
      </c>
      <c r="AF1717" s="15" t="str">
        <f t="shared" si="16"/>
        <v>Electropolished Pipe Supply Into Middlesbrough - Certification &amp; Transit</v>
      </c>
      <c r="AG1717" s="15" t="str">
        <f t="shared" si="17"/>
        <v>Electropolished Pipes Wholesaler in Middlesbrough - Project Quantities &amp; Terms</v>
      </c>
      <c r="AH1717" s="15" t="str">
        <f t="shared" si="18"/>
        <v>electropolished pipes manufacturer in Middlesbrough, electropolished pipes supplier in Middlesbrough, electropolished pipes wholesaler in Middlesbrough, electropolished tube manufacturer Middlesbrough, EP pipe supplier Middlesbrough, sanitary tube supplier Middlesbrough, ASME BPE tubing Middlesbrough, ASTM A270 tube Middlesbrough, SS 316L electropolished pipe Middlesbrough</v>
      </c>
      <c r="AI1717" s="15" t="str">
        <f t="shared" si="19"/>
        <v>Electropolished Pipes Manufacturer &amp; Supplier in Middlesbrough</v>
      </c>
      <c r="AJ1717" s="15" t="str">
        <f t="shared" si="20"/>
        <v>EP-finished SS 304/316L pipes and tubes for VERIFY plants in Middlesbrough. ASME BPE SF1-SF4, Ra from 0.25 um, EN 10204 3.1 certificate with every lot.</v>
      </c>
      <c r="AK1717" s="15" t="str">
        <f t="shared" si="21"/>
        <v>Electropolished stainless steel pipes supplied by Sakshi Forge to VERIFY plants at VERIFY, Middlesbrough</v>
      </c>
      <c r="AL1717" s="15" t="str">
        <f t="shared" si="22"/>
        <v>Electropolished SS 316L tube stock for Middlesbrough - Sakshi Forge</v>
      </c>
      <c r="AM1717" s="15" t="str">
        <f t="shared" si="23"/>
        <v>Home &gt; Market Area &gt; UK &gt; VERIFY &gt; Middlesbrough</v>
      </c>
      <c r="AN1717" s="15">
        <f t="shared" si="24"/>
        <v>750</v>
      </c>
      <c r="AO1717" s="15">
        <f t="shared" si="25"/>
        <v>6</v>
      </c>
      <c r="AP1717" s="15">
        <f t="shared" si="26"/>
        <v>6</v>
      </c>
      <c r="AQ1717" s="15">
        <f t="shared" si="27"/>
        <v>29</v>
      </c>
      <c r="AR1717" s="31"/>
      <c r="AS1717" s="31"/>
      <c r="AT1717" s="35" t="s">
        <v>222</v>
      </c>
      <c r="AU1717" s="35"/>
    </row>
    <row r="1718" ht="15.75" customHeight="1">
      <c r="A1718" s="15" t="s">
        <v>7756</v>
      </c>
      <c r="B1718" s="15" t="s">
        <v>234</v>
      </c>
      <c r="C1718" s="15" t="s">
        <v>98</v>
      </c>
      <c r="D1718" s="15" t="s">
        <v>7757</v>
      </c>
      <c r="E1718" s="15" t="s">
        <v>7757</v>
      </c>
      <c r="F1718" s="58" t="s">
        <v>807</v>
      </c>
      <c r="G1718" s="66" t="s">
        <v>98</v>
      </c>
      <c r="H1718" s="18" t="s">
        <v>98</v>
      </c>
      <c r="I1718" s="18" t="s">
        <v>98</v>
      </c>
      <c r="J1718" s="18" t="s">
        <v>98</v>
      </c>
      <c r="K1718" s="18" t="s">
        <v>98</v>
      </c>
      <c r="L1718" s="18" t="s">
        <v>98</v>
      </c>
      <c r="M1718" s="18" t="s">
        <v>540</v>
      </c>
      <c r="N1718" s="18" t="s">
        <v>242</v>
      </c>
      <c r="O1718" s="18" t="s">
        <v>98</v>
      </c>
      <c r="P1718" s="15" t="str">
        <f t="shared" si="1"/>
        <v>VERIFY</v>
      </c>
      <c r="Q1718" s="15">
        <f t="shared" si="2"/>
        <v>3</v>
      </c>
      <c r="R1718" s="15">
        <f t="shared" si="3"/>
        <v>7</v>
      </c>
      <c r="S1718" s="15">
        <f t="shared" si="4"/>
        <v>5</v>
      </c>
      <c r="T1718" s="15" t="str">
        <f t="shared" si="5"/>
        <v>C-5</v>
      </c>
      <c r="U1718" s="15" t="str">
        <f t="shared" si="6"/>
        <v>T3-M7-H5-FC-5-VERIFY</v>
      </c>
      <c r="V1718" s="15">
        <f t="shared" si="7"/>
        <v>0</v>
      </c>
      <c r="W1718" s="31"/>
      <c r="X1718" s="15" t="str">
        <f t="shared" si="8"/>
        <v>newport-wales-uk</v>
      </c>
      <c r="Y1718" s="32" t="str">
        <f t="shared" si="9"/>
        <v>https://steelmanufacturer.in/market-area/electropolished-pipes-manufacturer-in-newport-wales-uk/</v>
      </c>
      <c r="Z1718" s="15" t="str">
        <f t="shared" si="10"/>
        <v>Electropolished Pipes Manufacturer in Newport-Wales</v>
      </c>
      <c r="AA1718" s="15" t="str">
        <f t="shared" si="11"/>
        <v>OK (51)</v>
      </c>
      <c r="AB1718" s="15" t="str">
        <f t="shared" si="12"/>
        <v>Electropolished pipes in Newport-Wales: 304, 304L, 316 and 316L in SF1-SF4. 22-28 days sea from Nhava Sheva to Felixstowe. Mill certified.</v>
      </c>
      <c r="AC1718" s="15" t="str">
        <f t="shared" si="13"/>
        <v>PENDING RESEARCH</v>
      </c>
      <c r="AD1718" s="15" t="str">
        <f t="shared" si="14"/>
        <v>Electropolished Pipes Manufacturer in Newport-Wales</v>
      </c>
      <c r="AE1718" s="15" t="str">
        <f t="shared" si="15"/>
        <v>Electropolished Tube Manufacturing Capability Serving Newport-Wales</v>
      </c>
      <c r="AF1718" s="15" t="str">
        <f t="shared" si="16"/>
        <v>Electropolished Pipes Supplier in Newport-Wales - From Order to Delivery</v>
      </c>
      <c r="AG1718" s="15" t="str">
        <f t="shared" si="17"/>
        <v>Stockist &amp; Wholesale Supply of Electropolished Pipes in Newport-Wales</v>
      </c>
      <c r="AH1718" s="15" t="str">
        <f t="shared" si="18"/>
        <v>electropolished pipes manufacturer in Newport-Wales, electropolished pipes supplier in Newport-Wales, electropolished pipes wholesaler in Newport-Wales, electropolished tube manufacturer Newport-Wales, EP pipe supplier Newport-Wales, sanitary tube supplier Newport-Wales, ASME BPE tubing Newport-Wales, ASTM A270 tube Newport-Wales, SS 316L electropolished pipe Newport-Wales</v>
      </c>
      <c r="AI1718" s="15" t="str">
        <f t="shared" si="19"/>
        <v>Electropolished Pipes Manufacturer &amp; Supplier in Newport-Wales</v>
      </c>
      <c r="AJ1718" s="15" t="str">
        <f t="shared" si="20"/>
        <v>EP-finished SS 304/316L pipes and tubes for VERIFY plants in Newport-Wales. ASME BPE SF1-SF4, Ra from 0.25 um, EN 10204 3.1 certificate with every lot.</v>
      </c>
      <c r="AK1718" s="15" t="str">
        <f t="shared" si="21"/>
        <v>Electropolished stainless steel pipes supplied by Sakshi Forge to VERIFY plants at VERIFY, Newport-Wales</v>
      </c>
      <c r="AL1718" s="15" t="str">
        <f t="shared" si="22"/>
        <v>Electropolished SS 316L tube stock for Newport-Wales - Sakshi Forge</v>
      </c>
      <c r="AM1718" s="15" t="str">
        <f t="shared" si="23"/>
        <v>Home &gt; Market Area &gt; UK &gt; VERIFY &gt; Newport-Wales</v>
      </c>
      <c r="AN1718" s="15">
        <f t="shared" si="24"/>
        <v>750</v>
      </c>
      <c r="AO1718" s="15">
        <f t="shared" si="25"/>
        <v>6</v>
      </c>
      <c r="AP1718" s="15">
        <f t="shared" si="26"/>
        <v>6</v>
      </c>
      <c r="AQ1718" s="15">
        <f t="shared" si="27"/>
        <v>29</v>
      </c>
      <c r="AR1718" s="31"/>
      <c r="AS1718" s="31"/>
      <c r="AT1718" s="35" t="s">
        <v>222</v>
      </c>
      <c r="AU1718" s="35"/>
    </row>
    <row r="1719" ht="15.75" customHeight="1">
      <c r="A1719" s="15" t="s">
        <v>7758</v>
      </c>
      <c r="B1719" s="15" t="s">
        <v>234</v>
      </c>
      <c r="C1719" s="15" t="s">
        <v>98</v>
      </c>
      <c r="D1719" s="15" t="s">
        <v>7759</v>
      </c>
      <c r="E1719" s="15" t="s">
        <v>7759</v>
      </c>
      <c r="F1719" s="58" t="s">
        <v>807</v>
      </c>
      <c r="G1719" s="66" t="s">
        <v>98</v>
      </c>
      <c r="H1719" s="18" t="s">
        <v>98</v>
      </c>
      <c r="I1719" s="18" t="s">
        <v>98</v>
      </c>
      <c r="J1719" s="18" t="s">
        <v>98</v>
      </c>
      <c r="K1719" s="18" t="s">
        <v>98</v>
      </c>
      <c r="L1719" s="18" t="s">
        <v>98</v>
      </c>
      <c r="M1719" s="18" t="s">
        <v>540</v>
      </c>
      <c r="N1719" s="18" t="s">
        <v>242</v>
      </c>
      <c r="O1719" s="18" t="s">
        <v>98</v>
      </c>
      <c r="P1719" s="15" t="str">
        <f t="shared" si="1"/>
        <v>VERIFY</v>
      </c>
      <c r="Q1719" s="15">
        <f t="shared" si="2"/>
        <v>4</v>
      </c>
      <c r="R1719" s="15">
        <f t="shared" si="3"/>
        <v>1</v>
      </c>
      <c r="S1719" s="15">
        <f t="shared" si="4"/>
        <v>1</v>
      </c>
      <c r="T1719" s="15" t="str">
        <f t="shared" si="5"/>
        <v>C-6</v>
      </c>
      <c r="U1719" s="15" t="str">
        <f t="shared" si="6"/>
        <v>T4-M1-H1-FC-6-VERIFY</v>
      </c>
      <c r="V1719" s="15">
        <f t="shared" si="7"/>
        <v>0</v>
      </c>
      <c r="W1719" s="31"/>
      <c r="X1719" s="15" t="str">
        <f t="shared" si="8"/>
        <v>northampton-uk</v>
      </c>
      <c r="Y1719" s="32" t="str">
        <f t="shared" si="9"/>
        <v>https://steelmanufacturer.in/market-area/electropolished-pipes-manufacturer-in-northampton-uk/</v>
      </c>
      <c r="Z1719" s="15" t="str">
        <f t="shared" si="10"/>
        <v>Electropolished Pipes Manufacturer in Northampton</v>
      </c>
      <c r="AA1719" s="15" t="str">
        <f t="shared" si="11"/>
        <v>OK (49)</v>
      </c>
      <c r="AB1719" s="15" t="str">
        <f t="shared" si="12"/>
        <v>EP-finished SS 304/316L pipes &amp; tubes for VERIFY plants in Northampton. ASTM A270, ASME BPE SF1-SF4, EN 10204 3.1 MTC. PMI tested.</v>
      </c>
      <c r="AC1719" s="15" t="str">
        <f t="shared" si="13"/>
        <v>PENDING RESEARCH</v>
      </c>
      <c r="AD1719" s="15" t="str">
        <f t="shared" si="14"/>
        <v>Electropolished Pipes Manufacturer in Northampton</v>
      </c>
      <c r="AE1719" s="15" t="str">
        <f t="shared" si="15"/>
        <v>Electropolished Pipe &amp; Tube Manufacturing for Northampton - Grades, Finishes &amp; Certification</v>
      </c>
      <c r="AF1719" s="15" t="str">
        <f t="shared" si="16"/>
        <v>Electropolished Pipes Supplier in Northampton - Stock Sizes, Lead Time &amp; Delivery</v>
      </c>
      <c r="AG1719" s="15" t="str">
        <f t="shared" si="17"/>
        <v>Electropolished Pipes Wholesaler &amp; Stockist in Northampton - Bulk &amp; Project Pricing</v>
      </c>
      <c r="AH1719" s="15" t="str">
        <f t="shared" si="18"/>
        <v>electropolished pipes manufacturer in Northampton, electropolished pipes supplier in Northampton, electropolished pipes wholesaler in Northampton, electropolished tube manufacturer Northampton, EP pipe supplier Northampton, sanitary tube supplier Northampton, ASME BPE tubing Northampton, ASTM A270 tube Northampton, SS 316L electropolished pipe Northampton</v>
      </c>
      <c r="AI1719" s="15" t="str">
        <f t="shared" si="19"/>
        <v>Electropolished Pipes Manufacturer &amp; Supplier in Northampton</v>
      </c>
      <c r="AJ1719" s="15" t="str">
        <f t="shared" si="20"/>
        <v>EP-finished SS 304/316L pipes and tubes for VERIFY plants in Northampton. ASME BPE SF1-SF4, Ra from 0.25 um, EN 10204 3.1 certificate with every lot.</v>
      </c>
      <c r="AK1719" s="15" t="str">
        <f t="shared" si="21"/>
        <v>Electropolished stainless steel pipes supplied by Sakshi Forge to VERIFY plants at VERIFY, Northampton</v>
      </c>
      <c r="AL1719" s="15" t="str">
        <f t="shared" si="22"/>
        <v>Electropolished SS 316L tube stock for Northampton - Sakshi Forge</v>
      </c>
      <c r="AM1719" s="15" t="str">
        <f t="shared" si="23"/>
        <v>Home &gt; Market Area &gt; UK &gt; VERIFY &gt; Northampton</v>
      </c>
      <c r="AN1719" s="15">
        <f t="shared" si="24"/>
        <v>750</v>
      </c>
      <c r="AO1719" s="15">
        <f t="shared" si="25"/>
        <v>6</v>
      </c>
      <c r="AP1719" s="15">
        <f t="shared" si="26"/>
        <v>6</v>
      </c>
      <c r="AQ1719" s="15">
        <f t="shared" si="27"/>
        <v>29</v>
      </c>
      <c r="AR1719" s="31"/>
      <c r="AS1719" s="31"/>
      <c r="AT1719" s="35" t="s">
        <v>222</v>
      </c>
      <c r="AU1719" s="35"/>
    </row>
    <row r="1720" ht="15.75" customHeight="1">
      <c r="A1720" s="15" t="s">
        <v>7762</v>
      </c>
      <c r="B1720" s="15" t="s">
        <v>234</v>
      </c>
      <c r="C1720" s="15" t="s">
        <v>98</v>
      </c>
      <c r="D1720" s="15" t="s">
        <v>7763</v>
      </c>
      <c r="E1720" s="15" t="s">
        <v>7763</v>
      </c>
      <c r="F1720" s="58" t="s">
        <v>807</v>
      </c>
      <c r="G1720" s="66" t="s">
        <v>98</v>
      </c>
      <c r="H1720" s="18" t="s">
        <v>98</v>
      </c>
      <c r="I1720" s="18" t="s">
        <v>98</v>
      </c>
      <c r="J1720" s="18" t="s">
        <v>98</v>
      </c>
      <c r="K1720" s="18" t="s">
        <v>98</v>
      </c>
      <c r="L1720" s="18" t="s">
        <v>98</v>
      </c>
      <c r="M1720" s="18" t="s">
        <v>540</v>
      </c>
      <c r="N1720" s="18" t="s">
        <v>242</v>
      </c>
      <c r="O1720" s="18" t="s">
        <v>98</v>
      </c>
      <c r="P1720" s="15" t="str">
        <f t="shared" si="1"/>
        <v>VERIFY</v>
      </c>
      <c r="Q1720" s="15">
        <f t="shared" si="2"/>
        <v>5</v>
      </c>
      <c r="R1720" s="15">
        <f t="shared" si="3"/>
        <v>2</v>
      </c>
      <c r="S1720" s="15">
        <f t="shared" si="4"/>
        <v>2</v>
      </c>
      <c r="T1720" s="15" t="str">
        <f t="shared" si="5"/>
        <v>C-1</v>
      </c>
      <c r="U1720" s="15" t="str">
        <f t="shared" si="6"/>
        <v>T5-M2-H2-FC-1-VERIFY</v>
      </c>
      <c r="V1720" s="15">
        <f t="shared" si="7"/>
        <v>0</v>
      </c>
      <c r="W1720" s="31"/>
      <c r="X1720" s="15" t="str">
        <f t="shared" si="8"/>
        <v>paisley-uk</v>
      </c>
      <c r="Y1720" s="32" t="str">
        <f t="shared" si="9"/>
        <v>https://steelmanufacturer.in/market-area/electropolished-pipes-manufacturer-in-paisley-uk/</v>
      </c>
      <c r="Z1720" s="15" t="str">
        <f t="shared" si="10"/>
        <v>Electropolished Pipes Manufacturer in Paisley</v>
      </c>
      <c r="AA1720" s="15" t="str">
        <f t="shared" si="11"/>
        <v>OK (45)</v>
      </c>
      <c r="AB1720" s="15" t="str">
        <f t="shared" si="12"/>
        <v>Electropolished tube supply to VERIFY, Paisley. Ra from 0.25 um, SF4 finish, mill test certificate with every lot.</v>
      </c>
      <c r="AC1720" s="15" t="str">
        <f t="shared" si="13"/>
        <v>PENDING RESEARCH</v>
      </c>
      <c r="AD1720" s="15" t="str">
        <f t="shared" si="14"/>
        <v>Electropolished Pipes Manufacturer in Paisley</v>
      </c>
      <c r="AE1720" s="15" t="str">
        <f t="shared" si="15"/>
        <v>How We Manufacture Electropolished Tube for Paisley Plants</v>
      </c>
      <c r="AF1720" s="15" t="str">
        <f t="shared" si="16"/>
        <v>Supplying Electropolished Pipes in Paisley: Availability, Sizes &amp; Dispatch</v>
      </c>
      <c r="AG1720" s="15" t="str">
        <f t="shared" si="17"/>
        <v>Wholesale Electropolished Pipe Supply for Paisley Projects</v>
      </c>
      <c r="AH1720" s="15" t="str">
        <f t="shared" si="18"/>
        <v>electropolished pipes manufacturer in Paisley, electropolished pipes supplier in Paisley, electropolished pipes wholesaler in Paisley, electropolished tube manufacturer Paisley, EP pipe supplier Paisley, sanitary tube supplier Paisley, ASME BPE tubing Paisley, ASTM A270 tube Paisley, SS 316L electropolished pipe Paisley</v>
      </c>
      <c r="AI1720" s="15" t="str">
        <f t="shared" si="19"/>
        <v>Electropolished Pipes Manufacturer &amp; Supplier in Paisley</v>
      </c>
      <c r="AJ1720" s="15" t="str">
        <f t="shared" si="20"/>
        <v>EP-finished SS 304/316L pipes and tubes for VERIFY plants in Paisley. ASME BPE SF1-SF4, Ra from 0.25 um, EN 10204 3.1 certificate with every lot.</v>
      </c>
      <c r="AK1720" s="15" t="str">
        <f t="shared" si="21"/>
        <v>Electropolished stainless steel pipes supplied by Sakshi Forge to VERIFY plants at VERIFY, Paisley</v>
      </c>
      <c r="AL1720" s="15" t="str">
        <f t="shared" si="22"/>
        <v>Electropolished SS 316L tube stock for Paisley - Sakshi Forge</v>
      </c>
      <c r="AM1720" s="15" t="str">
        <f t="shared" si="23"/>
        <v>Home &gt; Market Area &gt; UK &gt; VERIFY &gt; Paisley</v>
      </c>
      <c r="AN1720" s="15">
        <f t="shared" si="24"/>
        <v>750</v>
      </c>
      <c r="AO1720" s="15">
        <f t="shared" si="25"/>
        <v>6</v>
      </c>
      <c r="AP1720" s="15">
        <f t="shared" si="26"/>
        <v>6</v>
      </c>
      <c r="AQ1720" s="15">
        <f t="shared" si="27"/>
        <v>29</v>
      </c>
      <c r="AR1720" s="31"/>
      <c r="AS1720" s="31"/>
      <c r="AT1720" s="35" t="s">
        <v>222</v>
      </c>
      <c r="AU1720" s="35"/>
    </row>
    <row r="1721" ht="15.75" customHeight="1">
      <c r="A1721" s="15" t="s">
        <v>7767</v>
      </c>
      <c r="B1721" s="15" t="s">
        <v>234</v>
      </c>
      <c r="C1721" s="15" t="s">
        <v>98</v>
      </c>
      <c r="D1721" s="15" t="s">
        <v>7768</v>
      </c>
      <c r="E1721" s="15" t="s">
        <v>7768</v>
      </c>
      <c r="F1721" s="58" t="s">
        <v>807</v>
      </c>
      <c r="G1721" s="66" t="s">
        <v>98</v>
      </c>
      <c r="H1721" s="18" t="s">
        <v>98</v>
      </c>
      <c r="I1721" s="18" t="s">
        <v>98</v>
      </c>
      <c r="J1721" s="18" t="s">
        <v>98</v>
      </c>
      <c r="K1721" s="18" t="s">
        <v>98</v>
      </c>
      <c r="L1721" s="18" t="s">
        <v>98</v>
      </c>
      <c r="M1721" s="18" t="s">
        <v>540</v>
      </c>
      <c r="N1721" s="18" t="s">
        <v>242</v>
      </c>
      <c r="O1721" s="18" t="s">
        <v>98</v>
      </c>
      <c r="P1721" s="15" t="str">
        <f t="shared" si="1"/>
        <v>VERIFY</v>
      </c>
      <c r="Q1721" s="15">
        <f t="shared" si="2"/>
        <v>6</v>
      </c>
      <c r="R1721" s="15">
        <f t="shared" si="3"/>
        <v>3</v>
      </c>
      <c r="S1721" s="15">
        <f t="shared" si="4"/>
        <v>3</v>
      </c>
      <c r="T1721" s="15" t="str">
        <f t="shared" si="5"/>
        <v>C-2</v>
      </c>
      <c r="U1721" s="15" t="str">
        <f t="shared" si="6"/>
        <v>T6-M3-H3-FC-2-VERIFY</v>
      </c>
      <c r="V1721" s="15">
        <f t="shared" si="7"/>
        <v>0</v>
      </c>
      <c r="W1721" s="31"/>
      <c r="X1721" s="15" t="str">
        <f t="shared" si="8"/>
        <v>perth-scotland-uk</v>
      </c>
      <c r="Y1721" s="32" t="str">
        <f t="shared" si="9"/>
        <v>https://steelmanufacturer.in/market-area/electropolished-pipes-manufacturer-in-perth-scotland-uk/</v>
      </c>
      <c r="Z1721" s="15" t="str">
        <f t="shared" si="10"/>
        <v>Electropolished Pipes Manufacturer in Perth-Scotland</v>
      </c>
      <c r="AA1721" s="15" t="str">
        <f t="shared" si="11"/>
        <v>OK (52)</v>
      </c>
      <c r="AB1721" s="15" t="str">
        <f t="shared" si="12"/>
        <v>EP stainless tube for VERIFY lines in Perth-Scotland. 22-28 days sea from Nhava Sheva to Felixstowe. ASTM A270 S2, PMI tested, EN 10204 3.1.</v>
      </c>
      <c r="AC1721" s="15" t="str">
        <f t="shared" si="13"/>
        <v>PENDING RESEARCH</v>
      </c>
      <c r="AD1721" s="15" t="str">
        <f t="shared" si="14"/>
        <v>Electropolished Pipes Manufacturer in Perth-Scotland</v>
      </c>
      <c r="AE1721" s="15" t="str">
        <f t="shared" si="15"/>
        <v>Electropolished Pipes Manufacturer in Perth-Scotland - Our Process &amp; Capability</v>
      </c>
      <c r="AF1721" s="15" t="str">
        <f t="shared" si="16"/>
        <v>Electropolished Pipes Supplier in Perth-Scotland - What We Hold in Stock</v>
      </c>
      <c r="AG1721" s="15" t="str">
        <f t="shared" si="17"/>
        <v>Bulk &amp; Wholesale Electropolished Pipe Rates for Perth-Scotland Buyers</v>
      </c>
      <c r="AH1721" s="15" t="str">
        <f t="shared" si="18"/>
        <v>electropolished pipes manufacturer in Perth-Scotland, electropolished pipes supplier in Perth-Scotland, electropolished pipes wholesaler in Perth-Scotland, electropolished tube manufacturer Perth-Scotland, EP pipe supplier Perth-Scotland, sanitary tube supplier Perth-Scotland, ASME BPE tubing Perth-Scotland, ASTM A270 tube Perth-Scotland, SS 316L electropolished pipe Perth-Scotland</v>
      </c>
      <c r="AI1721" s="15" t="str">
        <f t="shared" si="19"/>
        <v>Electropolished Pipes Manufacturer &amp; Supplier in Perth-Scotland</v>
      </c>
      <c r="AJ1721" s="15" t="str">
        <f t="shared" si="20"/>
        <v>EP-finished SS 304/316L pipes and tubes for VERIFY plants in Perth-Scotland. ASME BPE SF1-SF4, Ra from 0.25 um, EN 10204 3.1 certificate with every lot.</v>
      </c>
      <c r="AK1721" s="15" t="str">
        <f t="shared" si="21"/>
        <v>Electropolished stainless steel pipes supplied by Sakshi Forge to VERIFY plants at VERIFY, Perth-Scotland</v>
      </c>
      <c r="AL1721" s="15" t="str">
        <f t="shared" si="22"/>
        <v>Electropolished SS 316L tube stock for Perth-Scotland - Sakshi Forge</v>
      </c>
      <c r="AM1721" s="15" t="str">
        <f t="shared" si="23"/>
        <v>Home &gt; Market Area &gt; UK &gt; VERIFY &gt; Perth-Scotland</v>
      </c>
      <c r="AN1721" s="15">
        <f t="shared" si="24"/>
        <v>750</v>
      </c>
      <c r="AO1721" s="15">
        <f t="shared" si="25"/>
        <v>6</v>
      </c>
      <c r="AP1721" s="15">
        <f t="shared" si="26"/>
        <v>6</v>
      </c>
      <c r="AQ1721" s="15">
        <f t="shared" si="27"/>
        <v>29</v>
      </c>
      <c r="AR1721" s="31"/>
      <c r="AS1721" s="31"/>
      <c r="AT1721" s="35" t="s">
        <v>222</v>
      </c>
      <c r="AU1721" s="35"/>
    </row>
    <row r="1722" ht="15.75" customHeight="1">
      <c r="A1722" s="15" t="s">
        <v>7769</v>
      </c>
      <c r="B1722" s="15" t="s">
        <v>234</v>
      </c>
      <c r="C1722" s="15" t="s">
        <v>98</v>
      </c>
      <c r="D1722" s="15" t="s">
        <v>7770</v>
      </c>
      <c r="E1722" s="15" t="s">
        <v>7770</v>
      </c>
      <c r="F1722" s="58" t="s">
        <v>807</v>
      </c>
      <c r="G1722" s="66" t="s">
        <v>98</v>
      </c>
      <c r="H1722" s="18" t="s">
        <v>98</v>
      </c>
      <c r="I1722" s="18" t="s">
        <v>98</v>
      </c>
      <c r="J1722" s="18" t="s">
        <v>98</v>
      </c>
      <c r="K1722" s="18" t="s">
        <v>98</v>
      </c>
      <c r="L1722" s="18" t="s">
        <v>98</v>
      </c>
      <c r="M1722" s="18" t="s">
        <v>540</v>
      </c>
      <c r="N1722" s="18" t="s">
        <v>242</v>
      </c>
      <c r="O1722" s="18" t="s">
        <v>98</v>
      </c>
      <c r="P1722" s="15" t="str">
        <f t="shared" si="1"/>
        <v>VERIFY</v>
      </c>
      <c r="Q1722" s="15">
        <f t="shared" si="2"/>
        <v>7</v>
      </c>
      <c r="R1722" s="15">
        <f t="shared" si="3"/>
        <v>4</v>
      </c>
      <c r="S1722" s="15">
        <f t="shared" si="4"/>
        <v>4</v>
      </c>
      <c r="T1722" s="15" t="str">
        <f t="shared" si="5"/>
        <v>C-3</v>
      </c>
      <c r="U1722" s="15" t="str">
        <f t="shared" si="6"/>
        <v>T7-M4-H4-FC-3-VERIFY</v>
      </c>
      <c r="V1722" s="15">
        <f t="shared" si="7"/>
        <v>0</v>
      </c>
      <c r="W1722" s="31"/>
      <c r="X1722" s="15" t="str">
        <f t="shared" si="8"/>
        <v>peterborough-uk</v>
      </c>
      <c r="Y1722" s="32" t="str">
        <f t="shared" si="9"/>
        <v>https://steelmanufacturer.in/market-area/electropolished-pipes-manufacturer-in-peterborough-uk/</v>
      </c>
      <c r="Z1722" s="15" t="str">
        <f t="shared" si="10"/>
        <v>Electropolished Pipes Manufacturer in Peterborough</v>
      </c>
      <c r="AA1722" s="15" t="str">
        <f t="shared" si="11"/>
        <v>OK (50)</v>
      </c>
      <c r="AB1722" s="15" t="str">
        <f t="shared" si="12"/>
        <v>Sanitary electropolished pipes in Peterborough for VERIFY plants. ASME BPE SF1-SF4, orbital-weld ready, 3.1 MTC. Mumbai-made.</v>
      </c>
      <c r="AC1722" s="15" t="str">
        <f t="shared" si="13"/>
        <v>PENDING RESEARCH</v>
      </c>
      <c r="AD1722" s="15" t="str">
        <f t="shared" si="14"/>
        <v>Electropolished Pipes Manufacturer in Peterborough</v>
      </c>
      <c r="AE1722" s="15" t="str">
        <f t="shared" si="15"/>
        <v>Manufacturing Electropolished SS Tube for Peterborough: The Standards We Build To</v>
      </c>
      <c r="AF1722" s="15" t="str">
        <f t="shared" si="16"/>
        <v>Electropolished Pipe Supply Into Peterborough - Certification &amp; Transit</v>
      </c>
      <c r="AG1722" s="15" t="str">
        <f t="shared" si="17"/>
        <v>Electropolished Pipes Wholesaler in Peterborough - Project Quantities &amp; Terms</v>
      </c>
      <c r="AH1722" s="15" t="str">
        <f t="shared" si="18"/>
        <v>electropolished pipes manufacturer in Peterborough, electropolished pipes supplier in Peterborough, electropolished pipes wholesaler in Peterborough, electropolished tube manufacturer Peterborough, EP pipe supplier Peterborough, sanitary tube supplier Peterborough, ASME BPE tubing Peterborough, ASTM A270 tube Peterborough, SS 316L electropolished pipe Peterborough</v>
      </c>
      <c r="AI1722" s="15" t="str">
        <f t="shared" si="19"/>
        <v>Electropolished Pipes Manufacturer &amp; Supplier in Peterborough</v>
      </c>
      <c r="AJ1722" s="15" t="str">
        <f t="shared" si="20"/>
        <v>EP-finished SS 304/316L pipes and tubes for VERIFY plants in Peterborough. ASME BPE SF1-SF4, Ra from 0.25 um, EN 10204 3.1 certificate with every lot.</v>
      </c>
      <c r="AK1722" s="15" t="str">
        <f t="shared" si="21"/>
        <v>Electropolished stainless steel pipes supplied by Sakshi Forge to VERIFY plants at VERIFY, Peterborough</v>
      </c>
      <c r="AL1722" s="15" t="str">
        <f t="shared" si="22"/>
        <v>Electropolished SS 316L tube stock for Peterborough - Sakshi Forge</v>
      </c>
      <c r="AM1722" s="15" t="str">
        <f t="shared" si="23"/>
        <v>Home &gt; Market Area &gt; UK &gt; VERIFY &gt; Peterborough</v>
      </c>
      <c r="AN1722" s="15">
        <f t="shared" si="24"/>
        <v>750</v>
      </c>
      <c r="AO1722" s="15">
        <f t="shared" si="25"/>
        <v>6</v>
      </c>
      <c r="AP1722" s="15">
        <f t="shared" si="26"/>
        <v>6</v>
      </c>
      <c r="AQ1722" s="15">
        <f t="shared" si="27"/>
        <v>29</v>
      </c>
      <c r="AR1722" s="31"/>
      <c r="AS1722" s="31"/>
      <c r="AT1722" s="35" t="s">
        <v>222</v>
      </c>
      <c r="AU1722" s="35"/>
    </row>
    <row r="1723" ht="15.75" customHeight="1">
      <c r="A1723" s="15" t="s">
        <v>7771</v>
      </c>
      <c r="B1723" s="15" t="s">
        <v>234</v>
      </c>
      <c r="C1723" s="15" t="s">
        <v>98</v>
      </c>
      <c r="D1723" s="15" t="s">
        <v>7772</v>
      </c>
      <c r="E1723" s="15" t="s">
        <v>7772</v>
      </c>
      <c r="F1723" s="58" t="s">
        <v>807</v>
      </c>
      <c r="G1723" s="66" t="s">
        <v>98</v>
      </c>
      <c r="H1723" s="18" t="s">
        <v>98</v>
      </c>
      <c r="I1723" s="18" t="s">
        <v>98</v>
      </c>
      <c r="J1723" s="18" t="s">
        <v>98</v>
      </c>
      <c r="K1723" s="18" t="s">
        <v>98</v>
      </c>
      <c r="L1723" s="18" t="s">
        <v>98</v>
      </c>
      <c r="M1723" s="18" t="s">
        <v>540</v>
      </c>
      <c r="N1723" s="18" t="s">
        <v>242</v>
      </c>
      <c r="O1723" s="18" t="s">
        <v>98</v>
      </c>
      <c r="P1723" s="15" t="str">
        <f t="shared" si="1"/>
        <v>VERIFY</v>
      </c>
      <c r="Q1723" s="15">
        <f t="shared" si="2"/>
        <v>8</v>
      </c>
      <c r="R1723" s="15">
        <f t="shared" si="3"/>
        <v>5</v>
      </c>
      <c r="S1723" s="15">
        <f t="shared" si="4"/>
        <v>5</v>
      </c>
      <c r="T1723" s="15" t="str">
        <f t="shared" si="5"/>
        <v>C-4</v>
      </c>
      <c r="U1723" s="15" t="str">
        <f t="shared" si="6"/>
        <v>T8-M5-H5-FC-4-VERIFY</v>
      </c>
      <c r="V1723" s="15">
        <f t="shared" si="7"/>
        <v>0</v>
      </c>
      <c r="W1723" s="31"/>
      <c r="X1723" s="15" t="str">
        <f t="shared" si="8"/>
        <v>portsmouth-uk</v>
      </c>
      <c r="Y1723" s="32" t="str">
        <f t="shared" si="9"/>
        <v>https://steelmanufacturer.in/market-area/electropolished-pipes-manufacturer-in-portsmouth-uk/</v>
      </c>
      <c r="Z1723" s="15" t="str">
        <f t="shared" si="10"/>
        <v>Electropolished Pipes Manufacturer in Portsmouth</v>
      </c>
      <c r="AA1723" s="15" t="str">
        <f t="shared" si="11"/>
        <v>OK (48)</v>
      </c>
      <c r="AB1723" s="15" t="str">
        <f t="shared" si="12"/>
        <v>Manufacturer of electropolished SS 316L tube serving Portsmouth. 22-28 days sea from Nhava Sheva to Felixstowe. Ra 0.25-0.5 um, EN 10204 3.1 MTC.</v>
      </c>
      <c r="AC1723" s="15" t="str">
        <f t="shared" si="13"/>
        <v>PENDING RESEARCH</v>
      </c>
      <c r="AD1723" s="15" t="str">
        <f t="shared" si="14"/>
        <v>Electropolished Pipes Manufacturer in Portsmouth</v>
      </c>
      <c r="AE1723" s="15" t="str">
        <f t="shared" si="15"/>
        <v>Electropolished Tube Manufacturing Capability Serving Portsmouth</v>
      </c>
      <c r="AF1723" s="15" t="str">
        <f t="shared" si="16"/>
        <v>Electropolished Pipes Supplier in Portsmouth - From Order to Delivery</v>
      </c>
      <c r="AG1723" s="15" t="str">
        <f t="shared" si="17"/>
        <v>Stockist &amp; Wholesale Supply of Electropolished Pipes in Portsmouth</v>
      </c>
      <c r="AH1723" s="15" t="str">
        <f t="shared" si="18"/>
        <v>electropolished pipes manufacturer in Portsmouth, electropolished pipes supplier in Portsmouth, electropolished pipes wholesaler in Portsmouth, electropolished tube manufacturer Portsmouth, EP pipe supplier Portsmouth, sanitary tube supplier Portsmouth, ASME BPE tubing Portsmouth, ASTM A270 tube Portsmouth, SS 316L electropolished pipe Portsmouth</v>
      </c>
      <c r="AI1723" s="15" t="str">
        <f t="shared" si="19"/>
        <v>Electropolished Pipes Manufacturer &amp; Supplier in Portsmouth</v>
      </c>
      <c r="AJ1723" s="15" t="str">
        <f t="shared" si="20"/>
        <v>EP-finished SS 304/316L pipes and tubes for VERIFY plants in Portsmouth. ASME BPE SF1-SF4, Ra from 0.25 um, EN 10204 3.1 certificate with every lot.</v>
      </c>
      <c r="AK1723" s="15" t="str">
        <f t="shared" si="21"/>
        <v>Electropolished stainless steel pipes supplied by Sakshi Forge to VERIFY plants at VERIFY, Portsmouth</v>
      </c>
      <c r="AL1723" s="15" t="str">
        <f t="shared" si="22"/>
        <v>Electropolished SS 316L tube stock for Portsmouth - Sakshi Forge</v>
      </c>
      <c r="AM1723" s="15" t="str">
        <f t="shared" si="23"/>
        <v>Home &gt; Market Area &gt; UK &gt; VERIFY &gt; Portsmouth</v>
      </c>
      <c r="AN1723" s="15">
        <f t="shared" si="24"/>
        <v>750</v>
      </c>
      <c r="AO1723" s="15">
        <f t="shared" si="25"/>
        <v>6</v>
      </c>
      <c r="AP1723" s="15">
        <f t="shared" si="26"/>
        <v>6</v>
      </c>
      <c r="AQ1723" s="15">
        <f t="shared" si="27"/>
        <v>29</v>
      </c>
      <c r="AR1723" s="31"/>
      <c r="AS1723" s="31"/>
      <c r="AT1723" s="35" t="s">
        <v>222</v>
      </c>
      <c r="AU1723" s="35"/>
    </row>
    <row r="1724" ht="15.75" customHeight="1">
      <c r="A1724" s="15" t="s">
        <v>7773</v>
      </c>
      <c r="B1724" s="15" t="s">
        <v>234</v>
      </c>
      <c r="C1724" s="15" t="s">
        <v>98</v>
      </c>
      <c r="D1724" s="15" t="s">
        <v>7774</v>
      </c>
      <c r="E1724" s="15" t="s">
        <v>7774</v>
      </c>
      <c r="F1724" s="58" t="s">
        <v>807</v>
      </c>
      <c r="G1724" s="66" t="s">
        <v>98</v>
      </c>
      <c r="H1724" s="18" t="s">
        <v>98</v>
      </c>
      <c r="I1724" s="18" t="s">
        <v>98</v>
      </c>
      <c r="J1724" s="18" t="s">
        <v>98</v>
      </c>
      <c r="K1724" s="18" t="s">
        <v>98</v>
      </c>
      <c r="L1724" s="18" t="s">
        <v>98</v>
      </c>
      <c r="M1724" s="18" t="s">
        <v>540</v>
      </c>
      <c r="N1724" s="18" t="s">
        <v>242</v>
      </c>
      <c r="O1724" s="18" t="s">
        <v>98</v>
      </c>
      <c r="P1724" s="15" t="str">
        <f t="shared" si="1"/>
        <v>VERIFY</v>
      </c>
      <c r="Q1724" s="15">
        <f t="shared" si="2"/>
        <v>1</v>
      </c>
      <c r="R1724" s="15">
        <f t="shared" si="3"/>
        <v>6</v>
      </c>
      <c r="S1724" s="15">
        <f t="shared" si="4"/>
        <v>1</v>
      </c>
      <c r="T1724" s="15" t="str">
        <f t="shared" si="5"/>
        <v>C-5</v>
      </c>
      <c r="U1724" s="15" t="str">
        <f t="shared" si="6"/>
        <v>T1-M6-H1-FC-5-VERIFY</v>
      </c>
      <c r="V1724" s="15">
        <f t="shared" si="7"/>
        <v>0</v>
      </c>
      <c r="W1724" s="31"/>
      <c r="X1724" s="15" t="str">
        <f t="shared" si="8"/>
        <v>rotherham-uk</v>
      </c>
      <c r="Y1724" s="32" t="str">
        <f t="shared" si="9"/>
        <v>https://steelmanufacturer.in/market-area/electropolished-pipes-manufacturer-in-rotherham-uk/</v>
      </c>
      <c r="Z1724" s="15" t="str">
        <f t="shared" si="10"/>
        <v>Electropolished Pipes Manufacturer in Rotherham | Sakshi Forge</v>
      </c>
      <c r="AA1724" s="15" t="str">
        <f t="shared" si="11"/>
        <v>OK (62)</v>
      </c>
      <c r="AB1724" s="15" t="str">
        <f t="shared" si="12"/>
        <v>EP tube and pipe for VERIFY plants around VERIFY, Rotherham. Made at our Mumbai works to ASTM A270 and ASME BPE SF1-SF4, with 3.1 MTC.</v>
      </c>
      <c r="AC1724" s="15" t="str">
        <f t="shared" si="13"/>
        <v>PENDING RESEARCH</v>
      </c>
      <c r="AD1724" s="15" t="str">
        <f t="shared" si="14"/>
        <v>Electropolished Pipes Manufacturer in Rotherham</v>
      </c>
      <c r="AE1724" s="15" t="str">
        <f t="shared" si="15"/>
        <v>Electropolished Pipe &amp; Tube Manufacturing for Rotherham - Grades, Finishes &amp; Certification</v>
      </c>
      <c r="AF1724" s="15" t="str">
        <f t="shared" si="16"/>
        <v>Electropolished Pipes Supplier in Rotherham - Stock Sizes, Lead Time &amp; Delivery</v>
      </c>
      <c r="AG1724" s="15" t="str">
        <f t="shared" si="17"/>
        <v>Electropolished Pipes Wholesaler &amp; Stockist in Rotherham - Bulk &amp; Project Pricing</v>
      </c>
      <c r="AH1724" s="15" t="str">
        <f t="shared" si="18"/>
        <v>electropolished pipes manufacturer in Rotherham, electropolished pipes supplier in Rotherham, electropolished pipes wholesaler in Rotherham, electropolished tube manufacturer Rotherham, EP pipe supplier Rotherham, sanitary tube supplier Rotherham, ASME BPE tubing Rotherham, ASTM A270 tube Rotherham, SS 316L electropolished pipe Rotherham</v>
      </c>
      <c r="AI1724" s="15" t="str">
        <f t="shared" si="19"/>
        <v>Electropolished Pipes Manufacturer &amp; Supplier in Rotherham</v>
      </c>
      <c r="AJ1724" s="15" t="str">
        <f t="shared" si="20"/>
        <v>EP-finished SS 304/316L pipes and tubes for VERIFY plants in Rotherham. ASME BPE SF1-SF4, Ra from 0.25 um, EN 10204 3.1 certificate with every lot.</v>
      </c>
      <c r="AK1724" s="15" t="str">
        <f t="shared" si="21"/>
        <v>Electropolished stainless steel pipes supplied by Sakshi Forge to VERIFY plants at VERIFY, Rotherham</v>
      </c>
      <c r="AL1724" s="15" t="str">
        <f t="shared" si="22"/>
        <v>Electropolished SS 316L tube stock for Rotherham - Sakshi Forge</v>
      </c>
      <c r="AM1724" s="15" t="str">
        <f t="shared" si="23"/>
        <v>Home &gt; Market Area &gt; UK &gt; VERIFY &gt; Rotherham</v>
      </c>
      <c r="AN1724" s="15">
        <f t="shared" si="24"/>
        <v>750</v>
      </c>
      <c r="AO1724" s="15">
        <f t="shared" si="25"/>
        <v>6</v>
      </c>
      <c r="AP1724" s="15">
        <f t="shared" si="26"/>
        <v>6</v>
      </c>
      <c r="AQ1724" s="15">
        <f t="shared" si="27"/>
        <v>29</v>
      </c>
      <c r="AR1724" s="31"/>
      <c r="AS1724" s="31"/>
      <c r="AT1724" s="35" t="s">
        <v>222</v>
      </c>
      <c r="AU1724" s="35"/>
    </row>
    <row r="1725" ht="15.75" customHeight="1">
      <c r="A1725" s="15" t="s">
        <v>7775</v>
      </c>
      <c r="B1725" s="15" t="s">
        <v>234</v>
      </c>
      <c r="C1725" s="15" t="s">
        <v>98</v>
      </c>
      <c r="D1725" s="15" t="s">
        <v>7776</v>
      </c>
      <c r="E1725" s="15" t="s">
        <v>7776</v>
      </c>
      <c r="F1725" s="58" t="s">
        <v>807</v>
      </c>
      <c r="G1725" s="66" t="s">
        <v>98</v>
      </c>
      <c r="H1725" s="18" t="s">
        <v>98</v>
      </c>
      <c r="I1725" s="18" t="s">
        <v>98</v>
      </c>
      <c r="J1725" s="18" t="s">
        <v>98</v>
      </c>
      <c r="K1725" s="18" t="s">
        <v>98</v>
      </c>
      <c r="L1725" s="18" t="s">
        <v>98</v>
      </c>
      <c r="M1725" s="18" t="s">
        <v>540</v>
      </c>
      <c r="N1725" s="18" t="s">
        <v>242</v>
      </c>
      <c r="O1725" s="18" t="s">
        <v>98</v>
      </c>
      <c r="P1725" s="15" t="str">
        <f t="shared" si="1"/>
        <v>VERIFY</v>
      </c>
      <c r="Q1725" s="15">
        <f t="shared" si="2"/>
        <v>2</v>
      </c>
      <c r="R1725" s="15">
        <f t="shared" si="3"/>
        <v>7</v>
      </c>
      <c r="S1725" s="15">
        <f t="shared" si="4"/>
        <v>2</v>
      </c>
      <c r="T1725" s="15" t="str">
        <f t="shared" si="5"/>
        <v>C-6</v>
      </c>
      <c r="U1725" s="15" t="str">
        <f t="shared" si="6"/>
        <v>T2-M7-H2-FC-6-VERIFY</v>
      </c>
      <c r="V1725" s="15">
        <f t="shared" si="7"/>
        <v>1</v>
      </c>
      <c r="W1725" s="31"/>
      <c r="X1725" s="15" t="str">
        <f t="shared" si="8"/>
        <v>scunthorpe-uk</v>
      </c>
      <c r="Y1725" s="32" t="str">
        <f t="shared" si="9"/>
        <v>https://steelmanufacturer.in/market-area/electropolished-pipes-manufacturer-in-scunthorpe-uk/</v>
      </c>
      <c r="Z1725" s="15" t="str">
        <f t="shared" si="10"/>
        <v>Electropolished Pipes Manufacturer in Scunthorpe</v>
      </c>
      <c r="AA1725" s="15" t="str">
        <f t="shared" si="11"/>
        <v>OK (48)</v>
      </c>
      <c r="AB1725" s="15" t="str">
        <f t="shared" si="12"/>
        <v>Electropolished pipes in Scunthorpe: 304, 304L, 316 and 316L in SF1-SF4. 22-28 days sea from Nhava Sheva to Felixstowe. Mill certified.</v>
      </c>
      <c r="AC1725" s="15" t="str">
        <f t="shared" si="13"/>
        <v>PENDING RESEARCH</v>
      </c>
      <c r="AD1725" s="15" t="str">
        <f t="shared" si="14"/>
        <v>Electropolished Pipes Manufacturer in Scunthorpe</v>
      </c>
      <c r="AE1725" s="15" t="str">
        <f t="shared" si="15"/>
        <v>How We Manufacture Electropolished Tube for Scunthorpe Plants</v>
      </c>
      <c r="AF1725" s="15" t="str">
        <f t="shared" si="16"/>
        <v>Supplying Electropolished Pipes in Scunthorpe: Availability, Sizes &amp; Dispatch</v>
      </c>
      <c r="AG1725" s="15" t="str">
        <f t="shared" si="17"/>
        <v>Wholesale Electropolished Pipe Supply for Scunthorpe Projects</v>
      </c>
      <c r="AH1725" s="15" t="str">
        <f t="shared" si="18"/>
        <v>electropolished pipes manufacturer in Scunthorpe, electropolished pipes supplier in Scunthorpe, electropolished pipes wholesaler in Scunthorpe, electropolished tube manufacturer Scunthorpe, EP pipe supplier Scunthorpe, sanitary tube supplier Scunthorpe, ASME BPE tubing Scunthorpe, ASTM A270 tube Scunthorpe, SS 316L electropolished pipe Scunthorpe</v>
      </c>
      <c r="AI1725" s="15" t="str">
        <f t="shared" si="19"/>
        <v>Electropolished Pipes Manufacturer &amp; Supplier in Scunthorpe</v>
      </c>
      <c r="AJ1725" s="15" t="str">
        <f t="shared" si="20"/>
        <v>EP-finished SS 304/316L pipes and tubes for VERIFY plants in Scunthorpe. ASME BPE SF1-SF4, Ra from 0.25 um, EN 10204 3.1 certificate with every lot.</v>
      </c>
      <c r="AK1725" s="15" t="str">
        <f t="shared" si="21"/>
        <v>Electropolished stainless steel pipes supplied by Sakshi Forge to VERIFY plants at VERIFY, Scunthorpe</v>
      </c>
      <c r="AL1725" s="15" t="str">
        <f t="shared" si="22"/>
        <v>Electropolished SS 316L tube stock for Scunthorpe - Sakshi Forge</v>
      </c>
      <c r="AM1725" s="15" t="str">
        <f t="shared" si="23"/>
        <v>Home &gt; Market Area &gt; UK &gt; VERIFY &gt; Scunthorpe</v>
      </c>
      <c r="AN1725" s="15">
        <f t="shared" si="24"/>
        <v>750</v>
      </c>
      <c r="AO1725" s="15">
        <f t="shared" si="25"/>
        <v>6</v>
      </c>
      <c r="AP1725" s="15">
        <f t="shared" si="26"/>
        <v>6</v>
      </c>
      <c r="AQ1725" s="15">
        <f t="shared" si="27"/>
        <v>29</v>
      </c>
      <c r="AR1725" s="31"/>
      <c r="AS1725" s="31"/>
      <c r="AT1725" s="35" t="s">
        <v>222</v>
      </c>
      <c r="AU1725" s="35"/>
    </row>
    <row r="1726" ht="15.75" customHeight="1">
      <c r="A1726" s="15" t="s">
        <v>7777</v>
      </c>
      <c r="B1726" s="15" t="s">
        <v>234</v>
      </c>
      <c r="C1726" s="15" t="s">
        <v>98</v>
      </c>
      <c r="D1726" s="15" t="s">
        <v>7778</v>
      </c>
      <c r="E1726" s="15" t="s">
        <v>7778</v>
      </c>
      <c r="F1726" s="58" t="s">
        <v>807</v>
      </c>
      <c r="G1726" s="66" t="s">
        <v>98</v>
      </c>
      <c r="H1726" s="18" t="s">
        <v>98</v>
      </c>
      <c r="I1726" s="18" t="s">
        <v>98</v>
      </c>
      <c r="J1726" s="18" t="s">
        <v>98</v>
      </c>
      <c r="K1726" s="18" t="s">
        <v>98</v>
      </c>
      <c r="L1726" s="18" t="s">
        <v>98</v>
      </c>
      <c r="M1726" s="18" t="s">
        <v>540</v>
      </c>
      <c r="N1726" s="18" t="s">
        <v>242</v>
      </c>
      <c r="O1726" s="18" t="s">
        <v>98</v>
      </c>
      <c r="P1726" s="15" t="str">
        <f t="shared" si="1"/>
        <v>VERIFY</v>
      </c>
      <c r="Q1726" s="15">
        <f t="shared" si="2"/>
        <v>3</v>
      </c>
      <c r="R1726" s="15">
        <f t="shared" si="3"/>
        <v>1</v>
      </c>
      <c r="S1726" s="15">
        <f t="shared" si="4"/>
        <v>3</v>
      </c>
      <c r="T1726" s="15" t="str">
        <f t="shared" si="5"/>
        <v>C-1</v>
      </c>
      <c r="U1726" s="15" t="str">
        <f t="shared" si="6"/>
        <v>T3-M1-H3-FC-1-VERIFY</v>
      </c>
      <c r="V1726" s="15">
        <f t="shared" si="7"/>
        <v>1</v>
      </c>
      <c r="W1726" s="31"/>
      <c r="X1726" s="15" t="str">
        <f t="shared" si="8"/>
        <v>shrewsbury-uk</v>
      </c>
      <c r="Y1726" s="32" t="str">
        <f t="shared" si="9"/>
        <v>https://steelmanufacturer.in/market-area/electropolished-pipes-manufacturer-in-shrewsbury-uk/</v>
      </c>
      <c r="Z1726" s="15" t="str">
        <f t="shared" si="10"/>
        <v>Electropolished Pipes Manufacturer in Shrewsbury</v>
      </c>
      <c r="AA1726" s="15" t="str">
        <f t="shared" si="11"/>
        <v>OK (48)</v>
      </c>
      <c r="AB1726" s="15" t="str">
        <f t="shared" si="12"/>
        <v>EP-finished SS 304/316L pipes &amp; tubes for VERIFY plants in Shrewsbury. ASTM A270, ASME BPE SF1-SF4, EN 10204 3.1 MTC. PMI tested.</v>
      </c>
      <c r="AC1726" s="15" t="str">
        <f t="shared" si="13"/>
        <v>PENDING RESEARCH</v>
      </c>
      <c r="AD1726" s="15" t="str">
        <f t="shared" si="14"/>
        <v>Electropolished Pipes Manufacturer in Shrewsbury</v>
      </c>
      <c r="AE1726" s="15" t="str">
        <f t="shared" si="15"/>
        <v>Electropolished Pipes Manufacturer in Shrewsbury - Our Process &amp; Capability</v>
      </c>
      <c r="AF1726" s="15" t="str">
        <f t="shared" si="16"/>
        <v>Electropolished Pipes Supplier in Shrewsbury - What We Hold in Stock</v>
      </c>
      <c r="AG1726" s="15" t="str">
        <f t="shared" si="17"/>
        <v>Bulk &amp; Wholesale Electropolished Pipe Rates for Shrewsbury Buyers</v>
      </c>
      <c r="AH1726" s="15" t="str">
        <f t="shared" si="18"/>
        <v>electropolished pipes manufacturer in Shrewsbury, electropolished pipes supplier in Shrewsbury, electropolished pipes wholesaler in Shrewsbury, electropolished tube manufacturer Shrewsbury, EP pipe supplier Shrewsbury, sanitary tube supplier Shrewsbury, ASME BPE tubing Shrewsbury, ASTM A270 tube Shrewsbury, SS 316L electropolished pipe Shrewsbury</v>
      </c>
      <c r="AI1726" s="15" t="str">
        <f t="shared" si="19"/>
        <v>Electropolished Pipes Manufacturer &amp; Supplier in Shrewsbury</v>
      </c>
      <c r="AJ1726" s="15" t="str">
        <f t="shared" si="20"/>
        <v>EP-finished SS 304/316L pipes and tubes for VERIFY plants in Shrewsbury. ASME BPE SF1-SF4, Ra from 0.25 um, EN 10204 3.1 certificate with every lot.</v>
      </c>
      <c r="AK1726" s="15" t="str">
        <f t="shared" si="21"/>
        <v>Electropolished stainless steel pipes supplied by Sakshi Forge to VERIFY plants at VERIFY, Shrewsbury</v>
      </c>
      <c r="AL1726" s="15" t="str">
        <f t="shared" si="22"/>
        <v>Electropolished SS 316L tube stock for Shrewsbury - Sakshi Forge</v>
      </c>
      <c r="AM1726" s="15" t="str">
        <f t="shared" si="23"/>
        <v>Home &gt; Market Area &gt; UK &gt; VERIFY &gt; Shrewsbury</v>
      </c>
      <c r="AN1726" s="15">
        <f t="shared" si="24"/>
        <v>750</v>
      </c>
      <c r="AO1726" s="15">
        <f t="shared" si="25"/>
        <v>6</v>
      </c>
      <c r="AP1726" s="15">
        <f t="shared" si="26"/>
        <v>6</v>
      </c>
      <c r="AQ1726" s="15">
        <f t="shared" si="27"/>
        <v>29</v>
      </c>
      <c r="AR1726" s="31"/>
      <c r="AS1726" s="31"/>
      <c r="AT1726" s="35" t="s">
        <v>222</v>
      </c>
      <c r="AU1726" s="35"/>
    </row>
    <row r="1727" ht="15.75" customHeight="1">
      <c r="A1727" s="15" t="s">
        <v>7779</v>
      </c>
      <c r="B1727" s="15" t="s">
        <v>234</v>
      </c>
      <c r="C1727" s="15" t="s">
        <v>98</v>
      </c>
      <c r="D1727" s="15" t="s">
        <v>7780</v>
      </c>
      <c r="E1727" s="15" t="s">
        <v>7780</v>
      </c>
      <c r="F1727" s="58" t="s">
        <v>807</v>
      </c>
      <c r="G1727" s="66" t="s">
        <v>98</v>
      </c>
      <c r="H1727" s="18" t="s">
        <v>98</v>
      </c>
      <c r="I1727" s="18" t="s">
        <v>98</v>
      </c>
      <c r="J1727" s="18" t="s">
        <v>98</v>
      </c>
      <c r="K1727" s="18" t="s">
        <v>98</v>
      </c>
      <c r="L1727" s="18" t="s">
        <v>98</v>
      </c>
      <c r="M1727" s="18" t="s">
        <v>540</v>
      </c>
      <c r="N1727" s="18" t="s">
        <v>242</v>
      </c>
      <c r="O1727" s="18" t="s">
        <v>98</v>
      </c>
      <c r="P1727" s="15" t="str">
        <f t="shared" si="1"/>
        <v>VERIFY</v>
      </c>
      <c r="Q1727" s="15">
        <f t="shared" si="2"/>
        <v>4</v>
      </c>
      <c r="R1727" s="15">
        <f t="shared" si="3"/>
        <v>2</v>
      </c>
      <c r="S1727" s="15">
        <f t="shared" si="4"/>
        <v>4</v>
      </c>
      <c r="T1727" s="15" t="str">
        <f t="shared" si="5"/>
        <v>C-2</v>
      </c>
      <c r="U1727" s="15" t="str">
        <f t="shared" si="6"/>
        <v>T4-M2-H4-FC-2-VERIFY</v>
      </c>
      <c r="V1727" s="15">
        <f t="shared" si="7"/>
        <v>1</v>
      </c>
      <c r="W1727" s="31"/>
      <c r="X1727" s="15" t="str">
        <f t="shared" si="8"/>
        <v>slough-uk</v>
      </c>
      <c r="Y1727" s="32" t="str">
        <f t="shared" si="9"/>
        <v>https://steelmanufacturer.in/market-area/electropolished-pipes-manufacturer-in-slough-uk/</v>
      </c>
      <c r="Z1727" s="15" t="str">
        <f t="shared" si="10"/>
        <v>Electropolished Pipes Manufacturer in Slough</v>
      </c>
      <c r="AA1727" s="15" t="str">
        <f t="shared" si="11"/>
        <v>OK (44)</v>
      </c>
      <c r="AB1727" s="15" t="str">
        <f t="shared" si="12"/>
        <v>Electropolished tube supply to VERIFY, Slough. Ra from 0.25 um, SF4 finish, mill test certificate with every lot.</v>
      </c>
      <c r="AC1727" s="15" t="str">
        <f t="shared" si="13"/>
        <v>PENDING RESEARCH</v>
      </c>
      <c r="AD1727" s="15" t="str">
        <f t="shared" si="14"/>
        <v>Electropolished Pipes Manufacturer in Slough</v>
      </c>
      <c r="AE1727" s="15" t="str">
        <f t="shared" si="15"/>
        <v>Manufacturing Electropolished SS Tube for Slough: The Standards We Build To</v>
      </c>
      <c r="AF1727" s="15" t="str">
        <f t="shared" si="16"/>
        <v>Electropolished Pipe Supply Into Slough - Certification &amp; Transit</v>
      </c>
      <c r="AG1727" s="15" t="str">
        <f t="shared" si="17"/>
        <v>Electropolished Pipes Wholesaler in Slough - Project Quantities &amp; Terms</v>
      </c>
      <c r="AH1727" s="15" t="str">
        <f t="shared" si="18"/>
        <v>electropolished pipes manufacturer in Slough, electropolished pipes supplier in Slough, electropolished pipes wholesaler in Slough, electropolished tube manufacturer Slough, EP pipe supplier Slough, sanitary tube supplier Slough, ASME BPE tubing Slough, ASTM A270 tube Slough, SS 316L electropolished pipe Slough</v>
      </c>
      <c r="AI1727" s="15" t="str">
        <f t="shared" si="19"/>
        <v>Electropolished Pipes Manufacturer &amp; Supplier in Slough</v>
      </c>
      <c r="AJ1727" s="15" t="str">
        <f t="shared" si="20"/>
        <v>EP-finished SS 304/316L pipes and tubes for VERIFY plants in Slough. ASME BPE SF1-SF4, Ra from 0.25 um, EN 10204 3.1 certificate with every lot.</v>
      </c>
      <c r="AK1727" s="15" t="str">
        <f t="shared" si="21"/>
        <v>Electropolished stainless steel pipes supplied by Sakshi Forge to VERIFY plants at VERIFY, Slough</v>
      </c>
      <c r="AL1727" s="15" t="str">
        <f t="shared" si="22"/>
        <v>Electropolished SS 316L tube stock for Slough - Sakshi Forge</v>
      </c>
      <c r="AM1727" s="15" t="str">
        <f t="shared" si="23"/>
        <v>Home &gt; Market Area &gt; UK &gt; VERIFY &gt; Slough</v>
      </c>
      <c r="AN1727" s="15">
        <f t="shared" si="24"/>
        <v>750</v>
      </c>
      <c r="AO1727" s="15">
        <f t="shared" si="25"/>
        <v>6</v>
      </c>
      <c r="AP1727" s="15">
        <f t="shared" si="26"/>
        <v>6</v>
      </c>
      <c r="AQ1727" s="15">
        <f t="shared" si="27"/>
        <v>29</v>
      </c>
      <c r="AR1727" s="31"/>
      <c r="AS1727" s="31"/>
      <c r="AT1727" s="35" t="s">
        <v>222</v>
      </c>
      <c r="AU1727" s="35"/>
    </row>
    <row r="1728" ht="15.75" customHeight="1">
      <c r="A1728" s="15" t="s">
        <v>7781</v>
      </c>
      <c r="B1728" s="15" t="s">
        <v>234</v>
      </c>
      <c r="C1728" s="15" t="s">
        <v>98</v>
      </c>
      <c r="D1728" s="15" t="s">
        <v>7782</v>
      </c>
      <c r="E1728" s="15" t="s">
        <v>7782</v>
      </c>
      <c r="F1728" s="58" t="s">
        <v>807</v>
      </c>
      <c r="G1728" s="66" t="s">
        <v>98</v>
      </c>
      <c r="H1728" s="18" t="s">
        <v>98</v>
      </c>
      <c r="I1728" s="18" t="s">
        <v>98</v>
      </c>
      <c r="J1728" s="18" t="s">
        <v>98</v>
      </c>
      <c r="K1728" s="18" t="s">
        <v>98</v>
      </c>
      <c r="L1728" s="18" t="s">
        <v>98</v>
      </c>
      <c r="M1728" s="18" t="s">
        <v>540</v>
      </c>
      <c r="N1728" s="18" t="s">
        <v>242</v>
      </c>
      <c r="O1728" s="18" t="s">
        <v>98</v>
      </c>
      <c r="P1728" s="15" t="str">
        <f t="shared" si="1"/>
        <v>VERIFY</v>
      </c>
      <c r="Q1728" s="15">
        <f t="shared" si="2"/>
        <v>5</v>
      </c>
      <c r="R1728" s="15">
        <f t="shared" si="3"/>
        <v>3</v>
      </c>
      <c r="S1728" s="15">
        <f t="shared" si="4"/>
        <v>5</v>
      </c>
      <c r="T1728" s="15" t="str">
        <f t="shared" si="5"/>
        <v>C-3</v>
      </c>
      <c r="U1728" s="15" t="str">
        <f t="shared" si="6"/>
        <v>T5-M3-H5-FC-3-VERIFY</v>
      </c>
      <c r="V1728" s="15">
        <f t="shared" si="7"/>
        <v>1</v>
      </c>
      <c r="W1728" s="31"/>
      <c r="X1728" s="15" t="str">
        <f t="shared" si="8"/>
        <v>st-albans-uk</v>
      </c>
      <c r="Y1728" s="32" t="str">
        <f t="shared" si="9"/>
        <v>https://steelmanufacturer.in/market-area/electropolished-pipes-manufacturer-in-st-albans-uk/</v>
      </c>
      <c r="Z1728" s="15" t="str">
        <f t="shared" si="10"/>
        <v>Electropolished Pipes Manufacturer in St Albans</v>
      </c>
      <c r="AA1728" s="15" t="str">
        <f t="shared" si="11"/>
        <v>OK (47)</v>
      </c>
      <c r="AB1728" s="15" t="str">
        <f t="shared" si="12"/>
        <v>EP stainless tube for VERIFY lines in St Albans. 22-28 days sea from Nhava Sheva to Felixstowe. ASTM A270 S2, PMI tested, EN 10204 3.1.</v>
      </c>
      <c r="AC1728" s="15" t="str">
        <f t="shared" si="13"/>
        <v>PENDING RESEARCH</v>
      </c>
      <c r="AD1728" s="15" t="str">
        <f t="shared" si="14"/>
        <v>Electropolished Pipes Manufacturer in St Albans</v>
      </c>
      <c r="AE1728" s="15" t="str">
        <f t="shared" si="15"/>
        <v>Electropolished Tube Manufacturing Capability Serving St Albans</v>
      </c>
      <c r="AF1728" s="15" t="str">
        <f t="shared" si="16"/>
        <v>Electropolished Pipes Supplier in St Albans - From Order to Delivery</v>
      </c>
      <c r="AG1728" s="15" t="str">
        <f t="shared" si="17"/>
        <v>Stockist &amp; Wholesale Supply of Electropolished Pipes in St Albans</v>
      </c>
      <c r="AH1728" s="15" t="str">
        <f t="shared" si="18"/>
        <v>electropolished pipes manufacturer in St Albans, electropolished pipes supplier in St Albans, electropolished pipes wholesaler in St Albans, electropolished tube manufacturer St Albans, EP pipe supplier St Albans, sanitary tube supplier St Albans, ASME BPE tubing St Albans, ASTM A270 tube St Albans, SS 316L electropolished pipe St Albans</v>
      </c>
      <c r="AI1728" s="15" t="str">
        <f t="shared" si="19"/>
        <v>Electropolished Pipes Manufacturer &amp; Supplier in St Albans</v>
      </c>
      <c r="AJ1728" s="15" t="str">
        <f t="shared" si="20"/>
        <v>EP-finished SS 304/316L pipes and tubes for VERIFY plants in St Albans. ASME BPE SF1-SF4, Ra from 0.25 um, EN 10204 3.1 certificate with every lot.</v>
      </c>
      <c r="AK1728" s="15" t="str">
        <f t="shared" si="21"/>
        <v>Electropolished stainless steel pipes supplied by Sakshi Forge to VERIFY plants at VERIFY, St Albans</v>
      </c>
      <c r="AL1728" s="15" t="str">
        <f t="shared" si="22"/>
        <v>Electropolished SS 316L tube stock for St Albans - Sakshi Forge</v>
      </c>
      <c r="AM1728" s="15" t="str">
        <f t="shared" si="23"/>
        <v>Home &gt; Market Area &gt; UK &gt; VERIFY &gt; St Albans</v>
      </c>
      <c r="AN1728" s="15">
        <f t="shared" si="24"/>
        <v>750</v>
      </c>
      <c r="AO1728" s="15">
        <f t="shared" si="25"/>
        <v>6</v>
      </c>
      <c r="AP1728" s="15">
        <f t="shared" si="26"/>
        <v>6</v>
      </c>
      <c r="AQ1728" s="15">
        <f t="shared" si="27"/>
        <v>29</v>
      </c>
      <c r="AR1728" s="31"/>
      <c r="AS1728" s="31"/>
      <c r="AT1728" s="35" t="s">
        <v>222</v>
      </c>
      <c r="AU1728" s="35"/>
    </row>
    <row r="1729" ht="15.75" customHeight="1">
      <c r="A1729" s="15" t="s">
        <v>7783</v>
      </c>
      <c r="B1729" s="15" t="s">
        <v>234</v>
      </c>
      <c r="C1729" s="15" t="s">
        <v>98</v>
      </c>
      <c r="D1729" s="15" t="s">
        <v>7784</v>
      </c>
      <c r="E1729" s="15" t="s">
        <v>7784</v>
      </c>
      <c r="F1729" s="58" t="s">
        <v>807</v>
      </c>
      <c r="G1729" s="66" t="s">
        <v>98</v>
      </c>
      <c r="H1729" s="18" t="s">
        <v>98</v>
      </c>
      <c r="I1729" s="18" t="s">
        <v>98</v>
      </c>
      <c r="J1729" s="18" t="s">
        <v>98</v>
      </c>
      <c r="K1729" s="18" t="s">
        <v>98</v>
      </c>
      <c r="L1729" s="18" t="s">
        <v>98</v>
      </c>
      <c r="M1729" s="18" t="s">
        <v>540</v>
      </c>
      <c r="N1729" s="18" t="s">
        <v>242</v>
      </c>
      <c r="O1729" s="18" t="s">
        <v>98</v>
      </c>
      <c r="P1729" s="15" t="str">
        <f t="shared" si="1"/>
        <v>VERIFY</v>
      </c>
      <c r="Q1729" s="15">
        <f t="shared" si="2"/>
        <v>6</v>
      </c>
      <c r="R1729" s="15">
        <f t="shared" si="3"/>
        <v>4</v>
      </c>
      <c r="S1729" s="15">
        <f t="shared" si="4"/>
        <v>1</v>
      </c>
      <c r="T1729" s="15" t="str">
        <f t="shared" si="5"/>
        <v>C-4</v>
      </c>
      <c r="U1729" s="15" t="str">
        <f t="shared" si="6"/>
        <v>T6-M4-H1-FC-4-VERIFY</v>
      </c>
      <c r="V1729" s="15">
        <f t="shared" si="7"/>
        <v>1</v>
      </c>
      <c r="W1729" s="31"/>
      <c r="X1729" s="15" t="str">
        <f t="shared" si="8"/>
        <v>stirling-uk</v>
      </c>
      <c r="Y1729" s="32" t="str">
        <f t="shared" si="9"/>
        <v>https://steelmanufacturer.in/market-area/electropolished-pipes-manufacturer-in-stirling-uk/</v>
      </c>
      <c r="Z1729" s="15" t="str">
        <f t="shared" si="10"/>
        <v>Electropolished Pipes Manufacturer in Stirling</v>
      </c>
      <c r="AA1729" s="15" t="str">
        <f t="shared" si="11"/>
        <v>OK (46)</v>
      </c>
      <c r="AB1729" s="15" t="str">
        <f t="shared" si="12"/>
        <v>Sanitary electropolished pipes in Stirling for VERIFY plants. ASME BPE SF1-SF4, orbital-weld ready, 3.1 MTC. Mumbai-made.</v>
      </c>
      <c r="AC1729" s="15" t="str">
        <f t="shared" si="13"/>
        <v>PENDING RESEARCH</v>
      </c>
      <c r="AD1729" s="15" t="str">
        <f t="shared" si="14"/>
        <v>Electropolished Pipes Manufacturer in Stirling</v>
      </c>
      <c r="AE1729" s="15" t="str">
        <f t="shared" si="15"/>
        <v>Electropolished Pipe &amp; Tube Manufacturing for Stirling - Grades, Finishes &amp; Certification</v>
      </c>
      <c r="AF1729" s="15" t="str">
        <f t="shared" si="16"/>
        <v>Electropolished Pipes Supplier in Stirling - Stock Sizes, Lead Time &amp; Delivery</v>
      </c>
      <c r="AG1729" s="15" t="str">
        <f t="shared" si="17"/>
        <v>Electropolished Pipes Wholesaler &amp; Stockist in Stirling - Bulk &amp; Project Pricing</v>
      </c>
      <c r="AH1729" s="15" t="str">
        <f t="shared" si="18"/>
        <v>electropolished pipes manufacturer in Stirling, electropolished pipes supplier in Stirling, electropolished pipes wholesaler in Stirling, electropolished tube manufacturer Stirling, EP pipe supplier Stirling, sanitary tube supplier Stirling, ASME BPE tubing Stirling, ASTM A270 tube Stirling, SS 316L electropolished pipe Stirling</v>
      </c>
      <c r="AI1729" s="15" t="str">
        <f t="shared" si="19"/>
        <v>Electropolished Pipes Manufacturer &amp; Supplier in Stirling</v>
      </c>
      <c r="AJ1729" s="15" t="str">
        <f t="shared" si="20"/>
        <v>EP-finished SS 304/316L pipes and tubes for VERIFY plants in Stirling. ASME BPE SF1-SF4, Ra from 0.25 um, EN 10204 3.1 certificate with every lot.</v>
      </c>
      <c r="AK1729" s="15" t="str">
        <f t="shared" si="21"/>
        <v>Electropolished stainless steel pipes supplied by Sakshi Forge to VERIFY plants at VERIFY, Stirling</v>
      </c>
      <c r="AL1729" s="15" t="str">
        <f t="shared" si="22"/>
        <v>Electropolished SS 316L tube stock for Stirling - Sakshi Forge</v>
      </c>
      <c r="AM1729" s="15" t="str">
        <f t="shared" si="23"/>
        <v>Home &gt; Market Area &gt; UK &gt; VERIFY &gt; Stirling</v>
      </c>
      <c r="AN1729" s="15">
        <f t="shared" si="24"/>
        <v>750</v>
      </c>
      <c r="AO1729" s="15">
        <f t="shared" si="25"/>
        <v>6</v>
      </c>
      <c r="AP1729" s="15">
        <f t="shared" si="26"/>
        <v>6</v>
      </c>
      <c r="AQ1729" s="15">
        <f t="shared" si="27"/>
        <v>29</v>
      </c>
      <c r="AR1729" s="31"/>
      <c r="AS1729" s="31"/>
      <c r="AT1729" s="35" t="s">
        <v>222</v>
      </c>
      <c r="AU1729" s="35"/>
    </row>
    <row r="1730" ht="15.75" customHeight="1">
      <c r="A1730" s="15" t="s">
        <v>7785</v>
      </c>
      <c r="B1730" s="15" t="s">
        <v>234</v>
      </c>
      <c r="C1730" s="15" t="s">
        <v>98</v>
      </c>
      <c r="D1730" s="15" t="s">
        <v>7786</v>
      </c>
      <c r="E1730" s="15" t="s">
        <v>7786</v>
      </c>
      <c r="F1730" s="58" t="s">
        <v>807</v>
      </c>
      <c r="G1730" s="66" t="s">
        <v>98</v>
      </c>
      <c r="H1730" s="18" t="s">
        <v>98</v>
      </c>
      <c r="I1730" s="18" t="s">
        <v>98</v>
      </c>
      <c r="J1730" s="18" t="s">
        <v>98</v>
      </c>
      <c r="K1730" s="18" t="s">
        <v>98</v>
      </c>
      <c r="L1730" s="18" t="s">
        <v>98</v>
      </c>
      <c r="M1730" s="18" t="s">
        <v>540</v>
      </c>
      <c r="N1730" s="18" t="s">
        <v>242</v>
      </c>
      <c r="O1730" s="18" t="s">
        <v>98</v>
      </c>
      <c r="P1730" s="15" t="str">
        <f t="shared" si="1"/>
        <v>VERIFY</v>
      </c>
      <c r="Q1730" s="15">
        <f t="shared" si="2"/>
        <v>7</v>
      </c>
      <c r="R1730" s="15">
        <f t="shared" si="3"/>
        <v>5</v>
      </c>
      <c r="S1730" s="15">
        <f t="shared" si="4"/>
        <v>2</v>
      </c>
      <c r="T1730" s="15" t="str">
        <f t="shared" si="5"/>
        <v>C-5</v>
      </c>
      <c r="U1730" s="15" t="str">
        <f t="shared" si="6"/>
        <v>T7-M5-H2-FC-5-VERIFY</v>
      </c>
      <c r="V1730" s="15">
        <f t="shared" si="7"/>
        <v>1</v>
      </c>
      <c r="W1730" s="31"/>
      <c r="X1730" s="15" t="str">
        <f t="shared" si="8"/>
        <v>sunderland-uk</v>
      </c>
      <c r="Y1730" s="32" t="str">
        <f t="shared" si="9"/>
        <v>https://steelmanufacturer.in/market-area/electropolished-pipes-manufacturer-in-sunderland-uk/</v>
      </c>
      <c r="Z1730" s="15" t="str">
        <f t="shared" si="10"/>
        <v>Electropolished Pipes Manufacturer in Sunderland</v>
      </c>
      <c r="AA1730" s="15" t="str">
        <f t="shared" si="11"/>
        <v>OK (48)</v>
      </c>
      <c r="AB1730" s="15" t="str">
        <f t="shared" si="12"/>
        <v>Manufacturer of electropolished SS 316L tube serving Sunderland. 22-28 days sea from Nhava Sheva to Felixstowe. Ra 0.25-0.5 um, EN 10204 3.1 MTC.</v>
      </c>
      <c r="AC1730" s="15" t="str">
        <f t="shared" si="13"/>
        <v>PENDING RESEARCH</v>
      </c>
      <c r="AD1730" s="15" t="str">
        <f t="shared" si="14"/>
        <v>Electropolished Pipes Manufacturer in Sunderland</v>
      </c>
      <c r="AE1730" s="15" t="str">
        <f t="shared" si="15"/>
        <v>How We Manufacture Electropolished Tube for Sunderland Plants</v>
      </c>
      <c r="AF1730" s="15" t="str">
        <f t="shared" si="16"/>
        <v>Supplying Electropolished Pipes in Sunderland: Availability, Sizes &amp; Dispatch</v>
      </c>
      <c r="AG1730" s="15" t="str">
        <f t="shared" si="17"/>
        <v>Wholesale Electropolished Pipe Supply for Sunderland Projects</v>
      </c>
      <c r="AH1730" s="15" t="str">
        <f t="shared" si="18"/>
        <v>electropolished pipes manufacturer in Sunderland, electropolished pipes supplier in Sunderland, electropolished pipes wholesaler in Sunderland, electropolished tube manufacturer Sunderland, EP pipe supplier Sunderland, sanitary tube supplier Sunderland, ASME BPE tubing Sunderland, ASTM A270 tube Sunderland, SS 316L electropolished pipe Sunderland</v>
      </c>
      <c r="AI1730" s="15" t="str">
        <f t="shared" si="19"/>
        <v>Electropolished Pipes Manufacturer &amp; Supplier in Sunderland</v>
      </c>
      <c r="AJ1730" s="15" t="str">
        <f t="shared" si="20"/>
        <v>EP-finished SS 304/316L pipes and tubes for VERIFY plants in Sunderland. ASME BPE SF1-SF4, Ra from 0.25 um, EN 10204 3.1 certificate with every lot.</v>
      </c>
      <c r="AK1730" s="15" t="str">
        <f t="shared" si="21"/>
        <v>Electropolished stainless steel pipes supplied by Sakshi Forge to VERIFY plants at VERIFY, Sunderland</v>
      </c>
      <c r="AL1730" s="15" t="str">
        <f t="shared" si="22"/>
        <v>Electropolished SS 316L tube stock for Sunderland - Sakshi Forge</v>
      </c>
      <c r="AM1730" s="15" t="str">
        <f t="shared" si="23"/>
        <v>Home &gt; Market Area &gt; UK &gt; VERIFY &gt; Sunderland</v>
      </c>
      <c r="AN1730" s="15">
        <f t="shared" si="24"/>
        <v>750</v>
      </c>
      <c r="AO1730" s="15">
        <f t="shared" si="25"/>
        <v>6</v>
      </c>
      <c r="AP1730" s="15">
        <f t="shared" si="26"/>
        <v>6</v>
      </c>
      <c r="AQ1730" s="15">
        <f t="shared" si="27"/>
        <v>29</v>
      </c>
      <c r="AR1730" s="31"/>
      <c r="AS1730" s="31"/>
      <c r="AT1730" s="35" t="s">
        <v>222</v>
      </c>
      <c r="AU1730" s="35"/>
    </row>
    <row r="1731" ht="15.75" customHeight="1">
      <c r="A1731" s="15" t="s">
        <v>7787</v>
      </c>
      <c r="B1731" s="15" t="s">
        <v>234</v>
      </c>
      <c r="C1731" s="15" t="s">
        <v>98</v>
      </c>
      <c r="D1731" s="15" t="s">
        <v>7788</v>
      </c>
      <c r="E1731" s="15" t="s">
        <v>7788</v>
      </c>
      <c r="F1731" s="58" t="s">
        <v>807</v>
      </c>
      <c r="G1731" s="66" t="s">
        <v>98</v>
      </c>
      <c r="H1731" s="18" t="s">
        <v>98</v>
      </c>
      <c r="I1731" s="18" t="s">
        <v>98</v>
      </c>
      <c r="J1731" s="18" t="s">
        <v>98</v>
      </c>
      <c r="K1731" s="18" t="s">
        <v>98</v>
      </c>
      <c r="L1731" s="18" t="s">
        <v>98</v>
      </c>
      <c r="M1731" s="18" t="s">
        <v>540</v>
      </c>
      <c r="N1731" s="18" t="s">
        <v>242</v>
      </c>
      <c r="O1731" s="18" t="s">
        <v>98</v>
      </c>
      <c r="P1731" s="15" t="str">
        <f t="shared" si="1"/>
        <v>VERIFY</v>
      </c>
      <c r="Q1731" s="15">
        <f t="shared" si="2"/>
        <v>8</v>
      </c>
      <c r="R1731" s="15">
        <f t="shared" si="3"/>
        <v>6</v>
      </c>
      <c r="S1731" s="15">
        <f t="shared" si="4"/>
        <v>3</v>
      </c>
      <c r="T1731" s="15" t="str">
        <f t="shared" si="5"/>
        <v>C-6</v>
      </c>
      <c r="U1731" s="15" t="str">
        <f t="shared" si="6"/>
        <v>T8-M6-H3-FC-6-VERIFY</v>
      </c>
      <c r="V1731" s="15">
        <f t="shared" si="7"/>
        <v>1</v>
      </c>
      <c r="W1731" s="31"/>
      <c r="X1731" s="15" t="str">
        <f t="shared" si="8"/>
        <v>taunton-uk</v>
      </c>
      <c r="Y1731" s="32" t="str">
        <f t="shared" si="9"/>
        <v>https://steelmanufacturer.in/market-area/electropolished-pipes-manufacturer-in-taunton-uk/</v>
      </c>
      <c r="Z1731" s="15" t="str">
        <f t="shared" si="10"/>
        <v>Electropolished Pipes Manufacturer in Taunton - EP Tube Stockist</v>
      </c>
      <c r="AA1731" s="15" t="str">
        <f t="shared" si="11"/>
        <v>OK (64)</v>
      </c>
      <c r="AB1731" s="15" t="str">
        <f t="shared" si="12"/>
        <v>EP tube and pipe for VERIFY plants around VERIFY, Taunton. Made at our Mumbai works to ASTM A270 and ASME BPE SF1-SF4, with 3.1 MTC.</v>
      </c>
      <c r="AC1731" s="15" t="str">
        <f t="shared" si="13"/>
        <v>PENDING RESEARCH</v>
      </c>
      <c r="AD1731" s="15" t="str">
        <f t="shared" si="14"/>
        <v>Electropolished Pipes Manufacturer in Taunton</v>
      </c>
      <c r="AE1731" s="15" t="str">
        <f t="shared" si="15"/>
        <v>Electropolished Pipes Manufacturer in Taunton - Our Process &amp; Capability</v>
      </c>
      <c r="AF1731" s="15" t="str">
        <f t="shared" si="16"/>
        <v>Electropolished Pipes Supplier in Taunton - What We Hold in Stock</v>
      </c>
      <c r="AG1731" s="15" t="str">
        <f t="shared" si="17"/>
        <v>Bulk &amp; Wholesale Electropolished Pipe Rates for Taunton Buyers</v>
      </c>
      <c r="AH1731" s="15" t="str">
        <f t="shared" si="18"/>
        <v>electropolished pipes manufacturer in Taunton, electropolished pipes supplier in Taunton, electropolished pipes wholesaler in Taunton, electropolished tube manufacturer Taunton, EP pipe supplier Taunton, sanitary tube supplier Taunton, ASME BPE tubing Taunton, ASTM A270 tube Taunton, SS 316L electropolished pipe Taunton</v>
      </c>
      <c r="AI1731" s="15" t="str">
        <f t="shared" si="19"/>
        <v>Electropolished Pipes Manufacturer &amp; Supplier in Taunton</v>
      </c>
      <c r="AJ1731" s="15" t="str">
        <f t="shared" si="20"/>
        <v>EP-finished SS 304/316L pipes and tubes for VERIFY plants in Taunton. ASME BPE SF1-SF4, Ra from 0.25 um, EN 10204 3.1 certificate with every lot.</v>
      </c>
      <c r="AK1731" s="15" t="str">
        <f t="shared" si="21"/>
        <v>Electropolished stainless steel pipes supplied by Sakshi Forge to VERIFY plants at VERIFY, Taunton</v>
      </c>
      <c r="AL1731" s="15" t="str">
        <f t="shared" si="22"/>
        <v>Electropolished SS 316L tube stock for Taunton - Sakshi Forge</v>
      </c>
      <c r="AM1731" s="15" t="str">
        <f t="shared" si="23"/>
        <v>Home &gt; Market Area &gt; UK &gt; VERIFY &gt; Taunton</v>
      </c>
      <c r="AN1731" s="15">
        <f t="shared" si="24"/>
        <v>750</v>
      </c>
      <c r="AO1731" s="15">
        <f t="shared" si="25"/>
        <v>6</v>
      </c>
      <c r="AP1731" s="15">
        <f t="shared" si="26"/>
        <v>6</v>
      </c>
      <c r="AQ1731" s="15">
        <f t="shared" si="27"/>
        <v>29</v>
      </c>
      <c r="AR1731" s="31"/>
      <c r="AS1731" s="31"/>
      <c r="AT1731" s="35" t="s">
        <v>222</v>
      </c>
      <c r="AU1731" s="35"/>
    </row>
    <row r="1732" ht="15.75" customHeight="1">
      <c r="A1732" s="15" t="s">
        <v>7789</v>
      </c>
      <c r="B1732" s="15" t="s">
        <v>234</v>
      </c>
      <c r="C1732" s="15" t="s">
        <v>98</v>
      </c>
      <c r="D1732" s="15" t="s">
        <v>7790</v>
      </c>
      <c r="E1732" s="15" t="s">
        <v>7790</v>
      </c>
      <c r="F1732" s="58" t="s">
        <v>807</v>
      </c>
      <c r="G1732" s="66" t="s">
        <v>98</v>
      </c>
      <c r="H1732" s="18" t="s">
        <v>98</v>
      </c>
      <c r="I1732" s="18" t="s">
        <v>98</v>
      </c>
      <c r="J1732" s="18" t="s">
        <v>98</v>
      </c>
      <c r="K1732" s="18" t="s">
        <v>98</v>
      </c>
      <c r="L1732" s="18" t="s">
        <v>98</v>
      </c>
      <c r="M1732" s="18" t="s">
        <v>540</v>
      </c>
      <c r="N1732" s="18" t="s">
        <v>242</v>
      </c>
      <c r="O1732" s="18" t="s">
        <v>98</v>
      </c>
      <c r="P1732" s="15" t="str">
        <f t="shared" si="1"/>
        <v>VERIFY</v>
      </c>
      <c r="Q1732" s="15">
        <f t="shared" si="2"/>
        <v>1</v>
      </c>
      <c r="R1732" s="15">
        <f t="shared" si="3"/>
        <v>7</v>
      </c>
      <c r="S1732" s="15">
        <f t="shared" si="4"/>
        <v>4</v>
      </c>
      <c r="T1732" s="15" t="str">
        <f t="shared" si="5"/>
        <v>C-1</v>
      </c>
      <c r="U1732" s="15" t="str">
        <f t="shared" si="6"/>
        <v>T1-M7-H4-FC-1-VERIFY</v>
      </c>
      <c r="V1732" s="15">
        <f t="shared" si="7"/>
        <v>1</v>
      </c>
      <c r="W1732" s="31"/>
      <c r="X1732" s="15" t="str">
        <f t="shared" si="8"/>
        <v>telford-uk</v>
      </c>
      <c r="Y1732" s="32" t="str">
        <f t="shared" si="9"/>
        <v>https://steelmanufacturer.in/market-area/electropolished-pipes-manufacturer-in-telford-uk/</v>
      </c>
      <c r="Z1732" s="15" t="str">
        <f t="shared" si="10"/>
        <v>Electropolished Pipes Manufacturer in Telford | Sakshi Forge</v>
      </c>
      <c r="AA1732" s="15" t="str">
        <f t="shared" si="11"/>
        <v>OK (60)</v>
      </c>
      <c r="AB1732" s="15" t="str">
        <f t="shared" si="12"/>
        <v>Electropolished pipes in Telford: 304, 304L, 316 and 316L in SF1-SF4. 22-28 days sea from Nhava Sheva to Felixstowe. Mill certified.</v>
      </c>
      <c r="AC1732" s="15" t="str">
        <f t="shared" si="13"/>
        <v>PENDING RESEARCH</v>
      </c>
      <c r="AD1732" s="15" t="str">
        <f t="shared" si="14"/>
        <v>Electropolished Pipes Manufacturer in Telford</v>
      </c>
      <c r="AE1732" s="15" t="str">
        <f t="shared" si="15"/>
        <v>Manufacturing Electropolished SS Tube for Telford: The Standards We Build To</v>
      </c>
      <c r="AF1732" s="15" t="str">
        <f t="shared" si="16"/>
        <v>Electropolished Pipe Supply Into Telford - Certification &amp; Transit</v>
      </c>
      <c r="AG1732" s="15" t="str">
        <f t="shared" si="17"/>
        <v>Electropolished Pipes Wholesaler in Telford - Project Quantities &amp; Terms</v>
      </c>
      <c r="AH1732" s="15" t="str">
        <f t="shared" si="18"/>
        <v>electropolished pipes manufacturer in Telford, electropolished pipes supplier in Telford, electropolished pipes wholesaler in Telford, electropolished tube manufacturer Telford, EP pipe supplier Telford, sanitary tube supplier Telford, ASME BPE tubing Telford, ASTM A270 tube Telford, SS 316L electropolished pipe Telford</v>
      </c>
      <c r="AI1732" s="15" t="str">
        <f t="shared" si="19"/>
        <v>Electropolished Pipes Manufacturer &amp; Supplier in Telford</v>
      </c>
      <c r="AJ1732" s="15" t="str">
        <f t="shared" si="20"/>
        <v>EP-finished SS 304/316L pipes and tubes for VERIFY plants in Telford. ASME BPE SF1-SF4, Ra from 0.25 um, EN 10204 3.1 certificate with every lot.</v>
      </c>
      <c r="AK1732" s="15" t="str">
        <f t="shared" si="21"/>
        <v>Electropolished stainless steel pipes supplied by Sakshi Forge to VERIFY plants at VERIFY, Telford</v>
      </c>
      <c r="AL1732" s="15" t="str">
        <f t="shared" si="22"/>
        <v>Electropolished SS 316L tube stock for Telford - Sakshi Forge</v>
      </c>
      <c r="AM1732" s="15" t="str">
        <f t="shared" si="23"/>
        <v>Home &gt; Market Area &gt; UK &gt; VERIFY &gt; Telford</v>
      </c>
      <c r="AN1732" s="15">
        <f t="shared" si="24"/>
        <v>750</v>
      </c>
      <c r="AO1732" s="15">
        <f t="shared" si="25"/>
        <v>6</v>
      </c>
      <c r="AP1732" s="15">
        <f t="shared" si="26"/>
        <v>6</v>
      </c>
      <c r="AQ1732" s="15">
        <f t="shared" si="27"/>
        <v>29</v>
      </c>
      <c r="AR1732" s="31"/>
      <c r="AS1732" s="31"/>
      <c r="AT1732" s="35" t="s">
        <v>222</v>
      </c>
      <c r="AU1732" s="35"/>
    </row>
    <row r="1733" ht="15.75" customHeight="1">
      <c r="A1733" s="15" t="s">
        <v>7791</v>
      </c>
      <c r="B1733" s="15" t="s">
        <v>234</v>
      </c>
      <c r="C1733" s="15" t="s">
        <v>98</v>
      </c>
      <c r="D1733" s="15" t="s">
        <v>7792</v>
      </c>
      <c r="E1733" s="15" t="s">
        <v>7792</v>
      </c>
      <c r="F1733" s="58" t="s">
        <v>807</v>
      </c>
      <c r="G1733" s="66" t="s">
        <v>98</v>
      </c>
      <c r="H1733" s="18" t="s">
        <v>98</v>
      </c>
      <c r="I1733" s="18" t="s">
        <v>98</v>
      </c>
      <c r="J1733" s="18" t="s">
        <v>98</v>
      </c>
      <c r="K1733" s="18" t="s">
        <v>98</v>
      </c>
      <c r="L1733" s="18" t="s">
        <v>98</v>
      </c>
      <c r="M1733" s="18" t="s">
        <v>540</v>
      </c>
      <c r="N1733" s="18" t="s">
        <v>242</v>
      </c>
      <c r="O1733" s="18" t="s">
        <v>98</v>
      </c>
      <c r="P1733" s="15" t="str">
        <f t="shared" si="1"/>
        <v>VERIFY</v>
      </c>
      <c r="Q1733" s="15">
        <f t="shared" si="2"/>
        <v>2</v>
      </c>
      <c r="R1733" s="15">
        <f t="shared" si="3"/>
        <v>1</v>
      </c>
      <c r="S1733" s="15">
        <f t="shared" si="4"/>
        <v>5</v>
      </c>
      <c r="T1733" s="15" t="str">
        <f t="shared" si="5"/>
        <v>C-2</v>
      </c>
      <c r="U1733" s="15" t="str">
        <f t="shared" si="6"/>
        <v>T2-M1-H5-FC-2-VERIFY</v>
      </c>
      <c r="V1733" s="15">
        <f t="shared" si="7"/>
        <v>1</v>
      </c>
      <c r="W1733" s="31"/>
      <c r="X1733" s="15" t="str">
        <f t="shared" si="8"/>
        <v>warrington-uk</v>
      </c>
      <c r="Y1733" s="32" t="str">
        <f t="shared" si="9"/>
        <v>https://steelmanufacturer.in/market-area/electropolished-pipes-manufacturer-in-warrington-uk/</v>
      </c>
      <c r="Z1733" s="15" t="str">
        <f t="shared" si="10"/>
        <v>Electropolished Pipes Manufacturer in Warrington</v>
      </c>
      <c r="AA1733" s="15" t="str">
        <f t="shared" si="11"/>
        <v>OK (48)</v>
      </c>
      <c r="AB1733" s="15" t="str">
        <f t="shared" si="12"/>
        <v>EP-finished SS 304/316L pipes &amp; tubes for VERIFY plants in Warrington. ASTM A270, ASME BPE SF1-SF4, EN 10204 3.1 MTC. PMI tested.</v>
      </c>
      <c r="AC1733" s="15" t="str">
        <f t="shared" si="13"/>
        <v>PENDING RESEARCH</v>
      </c>
      <c r="AD1733" s="15" t="str">
        <f t="shared" si="14"/>
        <v>Electropolished Pipes Manufacturer in Warrington</v>
      </c>
      <c r="AE1733" s="15" t="str">
        <f t="shared" si="15"/>
        <v>Electropolished Tube Manufacturing Capability Serving Warrington</v>
      </c>
      <c r="AF1733" s="15" t="str">
        <f t="shared" si="16"/>
        <v>Electropolished Pipes Supplier in Warrington - From Order to Delivery</v>
      </c>
      <c r="AG1733" s="15" t="str">
        <f t="shared" si="17"/>
        <v>Stockist &amp; Wholesale Supply of Electropolished Pipes in Warrington</v>
      </c>
      <c r="AH1733" s="15" t="str">
        <f t="shared" si="18"/>
        <v>electropolished pipes manufacturer in Warrington, electropolished pipes supplier in Warrington, electropolished pipes wholesaler in Warrington, electropolished tube manufacturer Warrington, EP pipe supplier Warrington, sanitary tube supplier Warrington, ASME BPE tubing Warrington, ASTM A270 tube Warrington, SS 316L electropolished pipe Warrington</v>
      </c>
      <c r="AI1733" s="15" t="str">
        <f t="shared" si="19"/>
        <v>Electropolished Pipes Manufacturer &amp; Supplier in Warrington</v>
      </c>
      <c r="AJ1733" s="15" t="str">
        <f t="shared" si="20"/>
        <v>EP-finished SS 304/316L pipes and tubes for VERIFY plants in Warrington. ASME BPE SF1-SF4, Ra from 0.25 um, EN 10204 3.1 certificate with every lot.</v>
      </c>
      <c r="AK1733" s="15" t="str">
        <f t="shared" si="21"/>
        <v>Electropolished stainless steel pipes supplied by Sakshi Forge to VERIFY plants at VERIFY, Warrington</v>
      </c>
      <c r="AL1733" s="15" t="str">
        <f t="shared" si="22"/>
        <v>Electropolished SS 316L tube stock for Warrington - Sakshi Forge</v>
      </c>
      <c r="AM1733" s="15" t="str">
        <f t="shared" si="23"/>
        <v>Home &gt; Market Area &gt; UK &gt; VERIFY &gt; Warrington</v>
      </c>
      <c r="AN1733" s="15">
        <f t="shared" si="24"/>
        <v>750</v>
      </c>
      <c r="AO1733" s="15">
        <f t="shared" si="25"/>
        <v>6</v>
      </c>
      <c r="AP1733" s="15">
        <f t="shared" si="26"/>
        <v>6</v>
      </c>
      <c r="AQ1733" s="15">
        <f t="shared" si="27"/>
        <v>29</v>
      </c>
      <c r="AR1733" s="31"/>
      <c r="AS1733" s="31"/>
      <c r="AT1733" s="35" t="s">
        <v>222</v>
      </c>
      <c r="AU1733" s="35"/>
    </row>
    <row r="1734" ht="15.75" customHeight="1">
      <c r="A1734" s="15" t="s">
        <v>7793</v>
      </c>
      <c r="B1734" s="15" t="s">
        <v>234</v>
      </c>
      <c r="C1734" s="15" t="s">
        <v>98</v>
      </c>
      <c r="D1734" s="15" t="s">
        <v>7795</v>
      </c>
      <c r="E1734" s="15" t="s">
        <v>7795</v>
      </c>
      <c r="F1734" s="58" t="s">
        <v>807</v>
      </c>
      <c r="G1734" s="66" t="s">
        <v>98</v>
      </c>
      <c r="H1734" s="18" t="s">
        <v>98</v>
      </c>
      <c r="I1734" s="18" t="s">
        <v>98</v>
      </c>
      <c r="J1734" s="18" t="s">
        <v>98</v>
      </c>
      <c r="K1734" s="18" t="s">
        <v>98</v>
      </c>
      <c r="L1734" s="18" t="s">
        <v>98</v>
      </c>
      <c r="M1734" s="18" t="s">
        <v>540</v>
      </c>
      <c r="N1734" s="18" t="s">
        <v>242</v>
      </c>
      <c r="O1734" s="18" t="s">
        <v>98</v>
      </c>
      <c r="P1734" s="15" t="str">
        <f t="shared" si="1"/>
        <v>VERIFY</v>
      </c>
      <c r="Q1734" s="15">
        <f t="shared" si="2"/>
        <v>3</v>
      </c>
      <c r="R1734" s="15">
        <f t="shared" si="3"/>
        <v>2</v>
      </c>
      <c r="S1734" s="15">
        <f t="shared" si="4"/>
        <v>1</v>
      </c>
      <c r="T1734" s="15" t="str">
        <f t="shared" si="5"/>
        <v>C-3</v>
      </c>
      <c r="U1734" s="15" t="str">
        <f t="shared" si="6"/>
        <v>T3-M2-H1-FC-3-VERIFY</v>
      </c>
      <c r="V1734" s="15">
        <f t="shared" si="7"/>
        <v>1</v>
      </c>
      <c r="W1734" s="31"/>
      <c r="X1734" s="15" t="str">
        <f t="shared" si="8"/>
        <v>warwick-uk</v>
      </c>
      <c r="Y1734" s="32" t="str">
        <f t="shared" si="9"/>
        <v>https://steelmanufacturer.in/market-area/electropolished-pipes-manufacturer-in-warwick-uk/</v>
      </c>
      <c r="Z1734" s="15" t="str">
        <f t="shared" si="10"/>
        <v>Electropolished Pipes Manufacturer in Warwick | EP Tube Supplier</v>
      </c>
      <c r="AA1734" s="15" t="str">
        <f t="shared" si="11"/>
        <v>OK (64)</v>
      </c>
      <c r="AB1734" s="15" t="str">
        <f t="shared" si="12"/>
        <v>Electropolished tube supply to VERIFY, Warwick. Ra from 0.25 um, SF4 finish, mill test certificate with every lot.</v>
      </c>
      <c r="AC1734" s="15" t="str">
        <f t="shared" si="13"/>
        <v>PENDING RESEARCH</v>
      </c>
      <c r="AD1734" s="15" t="str">
        <f t="shared" si="14"/>
        <v>Electropolished Pipes Manufacturer in Warwick</v>
      </c>
      <c r="AE1734" s="15" t="str">
        <f t="shared" si="15"/>
        <v>Electropolished Pipe &amp; Tube Manufacturing for Warwick - Grades, Finishes &amp; Certification</v>
      </c>
      <c r="AF1734" s="15" t="str">
        <f t="shared" si="16"/>
        <v>Electropolished Pipes Supplier in Warwick - Stock Sizes, Lead Time &amp; Delivery</v>
      </c>
      <c r="AG1734" s="15" t="str">
        <f t="shared" si="17"/>
        <v>Electropolished Pipes Wholesaler &amp; Stockist in Warwick - Bulk &amp; Project Pricing</v>
      </c>
      <c r="AH1734" s="15" t="str">
        <f t="shared" si="18"/>
        <v>electropolished pipes manufacturer in Warwick, electropolished pipes supplier in Warwick, electropolished pipes wholesaler in Warwick, electropolished tube manufacturer Warwick, EP pipe supplier Warwick, sanitary tube supplier Warwick, ASME BPE tubing Warwick, ASTM A270 tube Warwick, SS 316L electropolished pipe Warwick</v>
      </c>
      <c r="AI1734" s="15" t="str">
        <f t="shared" si="19"/>
        <v>Electropolished Pipes Manufacturer &amp; Supplier in Warwick</v>
      </c>
      <c r="AJ1734" s="15" t="str">
        <f t="shared" si="20"/>
        <v>EP-finished SS 304/316L pipes and tubes for VERIFY plants in Warwick. ASME BPE SF1-SF4, Ra from 0.25 um, EN 10204 3.1 certificate with every lot.</v>
      </c>
      <c r="AK1734" s="15" t="str">
        <f t="shared" si="21"/>
        <v>Electropolished stainless steel pipes supplied by Sakshi Forge to VERIFY plants at VERIFY, Warwick</v>
      </c>
      <c r="AL1734" s="15" t="str">
        <f t="shared" si="22"/>
        <v>Electropolished SS 316L tube stock for Warwick - Sakshi Forge</v>
      </c>
      <c r="AM1734" s="15" t="str">
        <f t="shared" si="23"/>
        <v>Home &gt; Market Area &gt; UK &gt; VERIFY &gt; Warwick</v>
      </c>
      <c r="AN1734" s="15">
        <f t="shared" si="24"/>
        <v>750</v>
      </c>
      <c r="AO1734" s="15">
        <f t="shared" si="25"/>
        <v>6</v>
      </c>
      <c r="AP1734" s="15">
        <f t="shared" si="26"/>
        <v>6</v>
      </c>
      <c r="AQ1734" s="15">
        <f t="shared" si="27"/>
        <v>29</v>
      </c>
      <c r="AR1734" s="31"/>
      <c r="AS1734" s="31"/>
      <c r="AT1734" s="35" t="s">
        <v>222</v>
      </c>
      <c r="AU1734" s="35"/>
    </row>
    <row r="1735" ht="15.75" customHeight="1">
      <c r="A1735" s="15" t="s">
        <v>7797</v>
      </c>
      <c r="B1735" s="15" t="s">
        <v>234</v>
      </c>
      <c r="C1735" s="15" t="s">
        <v>98</v>
      </c>
      <c r="D1735" s="15" t="s">
        <v>7800</v>
      </c>
      <c r="E1735" s="15" t="s">
        <v>7800</v>
      </c>
      <c r="F1735" s="58" t="s">
        <v>807</v>
      </c>
      <c r="G1735" s="66" t="s">
        <v>98</v>
      </c>
      <c r="H1735" s="18" t="s">
        <v>98</v>
      </c>
      <c r="I1735" s="18" t="s">
        <v>98</v>
      </c>
      <c r="J1735" s="18" t="s">
        <v>98</v>
      </c>
      <c r="K1735" s="18" t="s">
        <v>98</v>
      </c>
      <c r="L1735" s="18" t="s">
        <v>98</v>
      </c>
      <c r="M1735" s="18" t="s">
        <v>540</v>
      </c>
      <c r="N1735" s="18" t="s">
        <v>242</v>
      </c>
      <c r="O1735" s="18" t="s">
        <v>98</v>
      </c>
      <c r="P1735" s="15" t="str">
        <f t="shared" si="1"/>
        <v>VERIFY</v>
      </c>
      <c r="Q1735" s="15">
        <f t="shared" si="2"/>
        <v>4</v>
      </c>
      <c r="R1735" s="15">
        <f t="shared" si="3"/>
        <v>3</v>
      </c>
      <c r="S1735" s="15">
        <f t="shared" si="4"/>
        <v>2</v>
      </c>
      <c r="T1735" s="15" t="str">
        <f t="shared" si="5"/>
        <v>C-4</v>
      </c>
      <c r="U1735" s="15" t="str">
        <f t="shared" si="6"/>
        <v>T4-M3-H2-FC-4-VERIFY</v>
      </c>
      <c r="V1735" s="15">
        <f t="shared" si="7"/>
        <v>1</v>
      </c>
      <c r="W1735" s="31"/>
      <c r="X1735" s="15" t="str">
        <f t="shared" si="8"/>
        <v>watford-uk</v>
      </c>
      <c r="Y1735" s="32" t="str">
        <f t="shared" si="9"/>
        <v>https://steelmanufacturer.in/market-area/electropolished-pipes-manufacturer-in-watford-uk/</v>
      </c>
      <c r="Z1735" s="15" t="str">
        <f t="shared" si="10"/>
        <v>Electropolished Pipes Manufacturer in Watford</v>
      </c>
      <c r="AA1735" s="15" t="str">
        <f t="shared" si="11"/>
        <v>OK (45)</v>
      </c>
      <c r="AB1735" s="15" t="str">
        <f t="shared" si="12"/>
        <v>EP stainless tube for VERIFY lines in Watford. 22-28 days sea from Nhava Sheva to Felixstowe. ASTM A270 S2, PMI tested, EN 10204 3.1.</v>
      </c>
      <c r="AC1735" s="15" t="str">
        <f t="shared" si="13"/>
        <v>PENDING RESEARCH</v>
      </c>
      <c r="AD1735" s="15" t="str">
        <f t="shared" si="14"/>
        <v>Electropolished Pipes Manufacturer in Watford</v>
      </c>
      <c r="AE1735" s="15" t="str">
        <f t="shared" si="15"/>
        <v>How We Manufacture Electropolished Tube for Watford Plants</v>
      </c>
      <c r="AF1735" s="15" t="str">
        <f t="shared" si="16"/>
        <v>Supplying Electropolished Pipes in Watford: Availability, Sizes &amp; Dispatch</v>
      </c>
      <c r="AG1735" s="15" t="str">
        <f t="shared" si="17"/>
        <v>Wholesale Electropolished Pipe Supply for Watford Projects</v>
      </c>
      <c r="AH1735" s="15" t="str">
        <f t="shared" si="18"/>
        <v>electropolished pipes manufacturer in Watford, electropolished pipes supplier in Watford, electropolished pipes wholesaler in Watford, electropolished tube manufacturer Watford, EP pipe supplier Watford, sanitary tube supplier Watford, ASME BPE tubing Watford, ASTM A270 tube Watford, SS 316L electropolished pipe Watford</v>
      </c>
      <c r="AI1735" s="15" t="str">
        <f t="shared" si="19"/>
        <v>Electropolished Pipes Manufacturer &amp; Supplier in Watford</v>
      </c>
      <c r="AJ1735" s="15" t="str">
        <f t="shared" si="20"/>
        <v>EP-finished SS 304/316L pipes and tubes for VERIFY plants in Watford. ASME BPE SF1-SF4, Ra from 0.25 um, EN 10204 3.1 certificate with every lot.</v>
      </c>
      <c r="AK1735" s="15" t="str">
        <f t="shared" si="21"/>
        <v>Electropolished stainless steel pipes supplied by Sakshi Forge to VERIFY plants at VERIFY, Watford</v>
      </c>
      <c r="AL1735" s="15" t="str">
        <f t="shared" si="22"/>
        <v>Electropolished SS 316L tube stock for Watford - Sakshi Forge</v>
      </c>
      <c r="AM1735" s="15" t="str">
        <f t="shared" si="23"/>
        <v>Home &gt; Market Area &gt; UK &gt; VERIFY &gt; Watford</v>
      </c>
      <c r="AN1735" s="15">
        <f t="shared" si="24"/>
        <v>750</v>
      </c>
      <c r="AO1735" s="15">
        <f t="shared" si="25"/>
        <v>6</v>
      </c>
      <c r="AP1735" s="15">
        <f t="shared" si="26"/>
        <v>6</v>
      </c>
      <c r="AQ1735" s="15">
        <f t="shared" si="27"/>
        <v>29</v>
      </c>
      <c r="AR1735" s="31"/>
      <c r="AS1735" s="31"/>
      <c r="AT1735" s="35" t="s">
        <v>222</v>
      </c>
      <c r="AU1735" s="35"/>
    </row>
    <row r="1736" ht="15.75" customHeight="1">
      <c r="A1736" s="15" t="s">
        <v>7802</v>
      </c>
      <c r="B1736" s="15" t="s">
        <v>234</v>
      </c>
      <c r="C1736" s="15" t="s">
        <v>98</v>
      </c>
      <c r="D1736" s="15" t="s">
        <v>7803</v>
      </c>
      <c r="E1736" s="15" t="s">
        <v>7803</v>
      </c>
      <c r="F1736" s="58" t="s">
        <v>807</v>
      </c>
      <c r="G1736" s="66" t="s">
        <v>98</v>
      </c>
      <c r="H1736" s="18" t="s">
        <v>98</v>
      </c>
      <c r="I1736" s="18" t="s">
        <v>98</v>
      </c>
      <c r="J1736" s="18" t="s">
        <v>98</v>
      </c>
      <c r="K1736" s="18" t="s">
        <v>98</v>
      </c>
      <c r="L1736" s="18" t="s">
        <v>98</v>
      </c>
      <c r="M1736" s="18" t="s">
        <v>540</v>
      </c>
      <c r="N1736" s="18" t="s">
        <v>242</v>
      </c>
      <c r="O1736" s="18" t="s">
        <v>98</v>
      </c>
      <c r="P1736" s="15" t="str">
        <f t="shared" si="1"/>
        <v>VERIFY</v>
      </c>
      <c r="Q1736" s="15">
        <f t="shared" si="2"/>
        <v>5</v>
      </c>
      <c r="R1736" s="15">
        <f t="shared" si="3"/>
        <v>4</v>
      </c>
      <c r="S1736" s="15">
        <f t="shared" si="4"/>
        <v>3</v>
      </c>
      <c r="T1736" s="15" t="str">
        <f t="shared" si="5"/>
        <v>C-5</v>
      </c>
      <c r="U1736" s="15" t="str">
        <f t="shared" si="6"/>
        <v>T5-M4-H3-FC-5-VERIFY</v>
      </c>
      <c r="V1736" s="15">
        <f t="shared" si="7"/>
        <v>1</v>
      </c>
      <c r="W1736" s="31"/>
      <c r="X1736" s="15" t="str">
        <f t="shared" si="8"/>
        <v>wigan-uk</v>
      </c>
      <c r="Y1736" s="32" t="str">
        <f t="shared" si="9"/>
        <v>https://steelmanufacturer.in/market-area/electropolished-pipes-manufacturer-in-wigan-uk/</v>
      </c>
      <c r="Z1736" s="15" t="str">
        <f t="shared" si="10"/>
        <v>Electropolished Pipes Manufacturer in Wigan</v>
      </c>
      <c r="AA1736" s="15" t="str">
        <f t="shared" si="11"/>
        <v>OK (43)</v>
      </c>
      <c r="AB1736" s="15" t="str">
        <f t="shared" si="12"/>
        <v>Sanitary electropolished pipes in Wigan for VERIFY plants. ASME BPE SF1-SF4, orbital-weld ready, 3.1 MTC. Mumbai-made.</v>
      </c>
      <c r="AC1736" s="15" t="str">
        <f t="shared" si="13"/>
        <v>PENDING RESEARCH</v>
      </c>
      <c r="AD1736" s="15" t="str">
        <f t="shared" si="14"/>
        <v>Electropolished Pipes Manufacturer in Wigan</v>
      </c>
      <c r="AE1736" s="15" t="str">
        <f t="shared" si="15"/>
        <v>Electropolished Pipes Manufacturer in Wigan - Our Process &amp; Capability</v>
      </c>
      <c r="AF1736" s="15" t="str">
        <f t="shared" si="16"/>
        <v>Electropolished Pipes Supplier in Wigan - What We Hold in Stock</v>
      </c>
      <c r="AG1736" s="15" t="str">
        <f t="shared" si="17"/>
        <v>Bulk &amp; Wholesale Electropolished Pipe Rates for Wigan Buyers</v>
      </c>
      <c r="AH1736" s="15" t="str">
        <f t="shared" si="18"/>
        <v>electropolished pipes manufacturer in Wigan, electropolished pipes supplier in Wigan, electropolished pipes wholesaler in Wigan, electropolished tube manufacturer Wigan, EP pipe supplier Wigan, sanitary tube supplier Wigan, ASME BPE tubing Wigan, ASTM A270 tube Wigan, SS 316L electropolished pipe Wigan</v>
      </c>
      <c r="AI1736" s="15" t="str">
        <f t="shared" si="19"/>
        <v>Electropolished Pipes Manufacturer &amp; Supplier in Wigan</v>
      </c>
      <c r="AJ1736" s="15" t="str">
        <f t="shared" si="20"/>
        <v>EP-finished SS 304/316L pipes and tubes for VERIFY plants in Wigan. ASME BPE SF1-SF4, Ra from 0.25 um, EN 10204 3.1 certificate with every lot.</v>
      </c>
      <c r="AK1736" s="15" t="str">
        <f t="shared" si="21"/>
        <v>Electropolished stainless steel pipes supplied by Sakshi Forge to VERIFY plants at VERIFY, Wigan</v>
      </c>
      <c r="AL1736" s="15" t="str">
        <f t="shared" si="22"/>
        <v>Electropolished SS 316L tube stock for Wigan - Sakshi Forge</v>
      </c>
      <c r="AM1736" s="15" t="str">
        <f t="shared" si="23"/>
        <v>Home &gt; Market Area &gt; UK &gt; VERIFY &gt; Wigan</v>
      </c>
      <c r="AN1736" s="15">
        <f t="shared" si="24"/>
        <v>750</v>
      </c>
      <c r="AO1736" s="15">
        <f t="shared" si="25"/>
        <v>6</v>
      </c>
      <c r="AP1736" s="15">
        <f t="shared" si="26"/>
        <v>6</v>
      </c>
      <c r="AQ1736" s="15">
        <f t="shared" si="27"/>
        <v>29</v>
      </c>
      <c r="AR1736" s="31"/>
      <c r="AS1736" s="31"/>
      <c r="AT1736" s="35" t="s">
        <v>222</v>
      </c>
      <c r="AU1736" s="35"/>
    </row>
    <row r="1737" ht="15.75" customHeight="1">
      <c r="A1737" s="15" t="s">
        <v>7804</v>
      </c>
      <c r="B1737" s="15" t="s">
        <v>234</v>
      </c>
      <c r="C1737" s="15" t="s">
        <v>98</v>
      </c>
      <c r="D1737" s="15" t="s">
        <v>7805</v>
      </c>
      <c r="E1737" s="15" t="s">
        <v>7805</v>
      </c>
      <c r="F1737" s="58" t="s">
        <v>807</v>
      </c>
      <c r="G1737" s="66" t="s">
        <v>98</v>
      </c>
      <c r="H1737" s="18" t="s">
        <v>98</v>
      </c>
      <c r="I1737" s="18" t="s">
        <v>98</v>
      </c>
      <c r="J1737" s="18" t="s">
        <v>98</v>
      </c>
      <c r="K1737" s="18" t="s">
        <v>98</v>
      </c>
      <c r="L1737" s="18" t="s">
        <v>98</v>
      </c>
      <c r="M1737" s="18" t="s">
        <v>540</v>
      </c>
      <c r="N1737" s="18" t="s">
        <v>242</v>
      </c>
      <c r="O1737" s="18" t="s">
        <v>98</v>
      </c>
      <c r="P1737" s="15" t="str">
        <f t="shared" si="1"/>
        <v>VERIFY</v>
      </c>
      <c r="Q1737" s="15">
        <f t="shared" si="2"/>
        <v>6</v>
      </c>
      <c r="R1737" s="15">
        <f t="shared" si="3"/>
        <v>5</v>
      </c>
      <c r="S1737" s="15">
        <f t="shared" si="4"/>
        <v>4</v>
      </c>
      <c r="T1737" s="15" t="str">
        <f t="shared" si="5"/>
        <v>C-6</v>
      </c>
      <c r="U1737" s="15" t="str">
        <f t="shared" si="6"/>
        <v>T6-M5-H4-FC-6-VERIFY</v>
      </c>
      <c r="V1737" s="15">
        <f t="shared" si="7"/>
        <v>1</v>
      </c>
      <c r="W1737" s="31"/>
      <c r="X1737" s="15" t="str">
        <f t="shared" si="8"/>
        <v>worcester-uk</v>
      </c>
      <c r="Y1737" s="32" t="str">
        <f t="shared" si="9"/>
        <v>https://steelmanufacturer.in/market-area/electropolished-pipes-manufacturer-in-worcester-uk/</v>
      </c>
      <c r="Z1737" s="15" t="str">
        <f t="shared" si="10"/>
        <v>Electropolished Pipes Manufacturer in Worcester</v>
      </c>
      <c r="AA1737" s="15" t="str">
        <f t="shared" si="11"/>
        <v>OK (47)</v>
      </c>
      <c r="AB1737" s="15" t="str">
        <f t="shared" si="12"/>
        <v>Manufacturer of electropolished SS 316L tube serving Worcester. 22-28 days sea from Nhava Sheva to Felixstowe. Ra 0.25-0.5 um, EN 10204 3.1 MTC.</v>
      </c>
      <c r="AC1737" s="15" t="str">
        <f t="shared" si="13"/>
        <v>PENDING RESEARCH</v>
      </c>
      <c r="AD1737" s="15" t="str">
        <f t="shared" si="14"/>
        <v>Electropolished Pipes Manufacturer in Worcester</v>
      </c>
      <c r="AE1737" s="15" t="str">
        <f t="shared" si="15"/>
        <v>Manufacturing Electropolished SS Tube for Worcester: The Standards We Build To</v>
      </c>
      <c r="AF1737" s="15" t="str">
        <f t="shared" si="16"/>
        <v>Electropolished Pipe Supply Into Worcester - Certification &amp; Transit</v>
      </c>
      <c r="AG1737" s="15" t="str">
        <f t="shared" si="17"/>
        <v>Electropolished Pipes Wholesaler in Worcester - Project Quantities &amp; Terms</v>
      </c>
      <c r="AH1737" s="15" t="str">
        <f t="shared" si="18"/>
        <v>electropolished pipes manufacturer in Worcester, electropolished pipes supplier in Worcester, electropolished pipes wholesaler in Worcester, electropolished tube manufacturer Worcester, EP pipe supplier Worcester, sanitary tube supplier Worcester, ASME BPE tubing Worcester, ASTM A270 tube Worcester, SS 316L electropolished pipe Worcester</v>
      </c>
      <c r="AI1737" s="15" t="str">
        <f t="shared" si="19"/>
        <v>Electropolished Pipes Manufacturer &amp; Supplier in Worcester</v>
      </c>
      <c r="AJ1737" s="15" t="str">
        <f t="shared" si="20"/>
        <v>EP-finished SS 304/316L pipes and tubes for VERIFY plants in Worcester. ASME BPE SF1-SF4, Ra from 0.25 um, EN 10204 3.1 certificate with every lot.</v>
      </c>
      <c r="AK1737" s="15" t="str">
        <f t="shared" si="21"/>
        <v>Electropolished stainless steel pipes supplied by Sakshi Forge to VERIFY plants at VERIFY, Worcester</v>
      </c>
      <c r="AL1737" s="15" t="str">
        <f t="shared" si="22"/>
        <v>Electropolished SS 316L tube stock for Worcester - Sakshi Forge</v>
      </c>
      <c r="AM1737" s="15" t="str">
        <f t="shared" si="23"/>
        <v>Home &gt; Market Area &gt; UK &gt; VERIFY &gt; Worcester</v>
      </c>
      <c r="AN1737" s="15">
        <f t="shared" si="24"/>
        <v>750</v>
      </c>
      <c r="AO1737" s="15">
        <f t="shared" si="25"/>
        <v>6</v>
      </c>
      <c r="AP1737" s="15">
        <f t="shared" si="26"/>
        <v>6</v>
      </c>
      <c r="AQ1737" s="15">
        <f t="shared" si="27"/>
        <v>29</v>
      </c>
      <c r="AR1737" s="31"/>
      <c r="AS1737" s="31"/>
      <c r="AT1737" s="35" t="s">
        <v>222</v>
      </c>
      <c r="AU1737" s="35"/>
    </row>
    <row r="1738" ht="15.75" customHeight="1">
      <c r="A1738" s="15" t="s">
        <v>7806</v>
      </c>
      <c r="B1738" s="15" t="s">
        <v>234</v>
      </c>
      <c r="C1738" s="15" t="s">
        <v>98</v>
      </c>
      <c r="D1738" s="15" t="s">
        <v>7807</v>
      </c>
      <c r="E1738" s="15" t="s">
        <v>7807</v>
      </c>
      <c r="F1738" s="58" t="s">
        <v>807</v>
      </c>
      <c r="G1738" s="66" t="s">
        <v>98</v>
      </c>
      <c r="H1738" s="18" t="s">
        <v>98</v>
      </c>
      <c r="I1738" s="18" t="s">
        <v>98</v>
      </c>
      <c r="J1738" s="18" t="s">
        <v>98</v>
      </c>
      <c r="K1738" s="18" t="s">
        <v>98</v>
      </c>
      <c r="L1738" s="18" t="s">
        <v>98</v>
      </c>
      <c r="M1738" s="18" t="s">
        <v>540</v>
      </c>
      <c r="N1738" s="18" t="s">
        <v>242</v>
      </c>
      <c r="O1738" s="18" t="s">
        <v>98</v>
      </c>
      <c r="P1738" s="15" t="str">
        <f t="shared" si="1"/>
        <v>VERIFY</v>
      </c>
      <c r="Q1738" s="15">
        <f t="shared" si="2"/>
        <v>7</v>
      </c>
      <c r="R1738" s="15">
        <f t="shared" si="3"/>
        <v>6</v>
      </c>
      <c r="S1738" s="15">
        <f t="shared" si="4"/>
        <v>5</v>
      </c>
      <c r="T1738" s="15" t="str">
        <f t="shared" si="5"/>
        <v>C-1</v>
      </c>
      <c r="U1738" s="15" t="str">
        <f t="shared" si="6"/>
        <v>T7-M6-H5-FC-1-VERIFY</v>
      </c>
      <c r="V1738" s="15">
        <f t="shared" si="7"/>
        <v>1</v>
      </c>
      <c r="W1738" s="31"/>
      <c r="X1738" s="15" t="str">
        <f t="shared" si="8"/>
        <v>wrexham-uk</v>
      </c>
      <c r="Y1738" s="32" t="str">
        <f t="shared" si="9"/>
        <v>https://steelmanufacturer.in/market-area/electropolished-pipes-manufacturer-in-wrexham-uk/</v>
      </c>
      <c r="Z1738" s="15" t="str">
        <f t="shared" si="10"/>
        <v>Electropolished Pipes Manufacturer in Wrexham | ASME BPE SF1-SF4</v>
      </c>
      <c r="AA1738" s="15" t="str">
        <f t="shared" si="11"/>
        <v>OK (64)</v>
      </c>
      <c r="AB1738" s="15" t="str">
        <f t="shared" si="12"/>
        <v>EP tube and pipe for VERIFY plants around VERIFY, Wrexham. Made at our Mumbai works to ASTM A270 and ASME BPE SF1-SF4, with 3.1 MTC.</v>
      </c>
      <c r="AC1738" s="15" t="str">
        <f t="shared" si="13"/>
        <v>PENDING RESEARCH</v>
      </c>
      <c r="AD1738" s="15" t="str">
        <f t="shared" si="14"/>
        <v>Electropolished Pipes Manufacturer in Wrexham</v>
      </c>
      <c r="AE1738" s="15" t="str">
        <f t="shared" si="15"/>
        <v>Electropolished Tube Manufacturing Capability Serving Wrexham</v>
      </c>
      <c r="AF1738" s="15" t="str">
        <f t="shared" si="16"/>
        <v>Electropolished Pipes Supplier in Wrexham - From Order to Delivery</v>
      </c>
      <c r="AG1738" s="15" t="str">
        <f t="shared" si="17"/>
        <v>Stockist &amp; Wholesale Supply of Electropolished Pipes in Wrexham</v>
      </c>
      <c r="AH1738" s="15" t="str">
        <f t="shared" si="18"/>
        <v>electropolished pipes manufacturer in Wrexham, electropolished pipes supplier in Wrexham, electropolished pipes wholesaler in Wrexham, electropolished tube manufacturer Wrexham, EP pipe supplier Wrexham, sanitary tube supplier Wrexham, ASME BPE tubing Wrexham, ASTM A270 tube Wrexham, SS 316L electropolished pipe Wrexham</v>
      </c>
      <c r="AI1738" s="15" t="str">
        <f t="shared" si="19"/>
        <v>Electropolished Pipes Manufacturer &amp; Supplier in Wrexham</v>
      </c>
      <c r="AJ1738" s="15" t="str">
        <f t="shared" si="20"/>
        <v>EP-finished SS 304/316L pipes and tubes for VERIFY plants in Wrexham. ASME BPE SF1-SF4, Ra from 0.25 um, EN 10204 3.1 certificate with every lot.</v>
      </c>
      <c r="AK1738" s="15" t="str">
        <f t="shared" si="21"/>
        <v>Electropolished stainless steel pipes supplied by Sakshi Forge to VERIFY plants at VERIFY, Wrexham</v>
      </c>
      <c r="AL1738" s="15" t="str">
        <f t="shared" si="22"/>
        <v>Electropolished SS 316L tube stock for Wrexham - Sakshi Forge</v>
      </c>
      <c r="AM1738" s="15" t="str">
        <f t="shared" si="23"/>
        <v>Home &gt; Market Area &gt; UK &gt; VERIFY &gt; Wrexham</v>
      </c>
      <c r="AN1738" s="15">
        <f t="shared" si="24"/>
        <v>750</v>
      </c>
      <c r="AO1738" s="15">
        <f t="shared" si="25"/>
        <v>6</v>
      </c>
      <c r="AP1738" s="15">
        <f t="shared" si="26"/>
        <v>6</v>
      </c>
      <c r="AQ1738" s="15">
        <f t="shared" si="27"/>
        <v>29</v>
      </c>
      <c r="AR1738" s="31"/>
      <c r="AS1738" s="31"/>
      <c r="AT1738" s="35" t="s">
        <v>222</v>
      </c>
      <c r="AU1738" s="35"/>
    </row>
    <row r="1739" ht="15.75" customHeight="1">
      <c r="A1739" s="15" t="s">
        <v>7808</v>
      </c>
      <c r="B1739" s="15" t="s">
        <v>234</v>
      </c>
      <c r="C1739" s="15" t="s">
        <v>98</v>
      </c>
      <c r="D1739" s="15" t="s">
        <v>7809</v>
      </c>
      <c r="E1739" s="15" t="s">
        <v>7809</v>
      </c>
      <c r="F1739" s="58" t="s">
        <v>807</v>
      </c>
      <c r="G1739" s="66" t="s">
        <v>98</v>
      </c>
      <c r="H1739" s="18" t="s">
        <v>98</v>
      </c>
      <c r="I1739" s="18" t="s">
        <v>98</v>
      </c>
      <c r="J1739" s="18" t="s">
        <v>98</v>
      </c>
      <c r="K1739" s="18" t="s">
        <v>98</v>
      </c>
      <c r="L1739" s="18" t="s">
        <v>98</v>
      </c>
      <c r="M1739" s="18" t="s">
        <v>540</v>
      </c>
      <c r="N1739" s="18" t="s">
        <v>242</v>
      </c>
      <c r="O1739" s="18" t="s">
        <v>98</v>
      </c>
      <c r="P1739" s="15" t="str">
        <f t="shared" si="1"/>
        <v>VERIFY</v>
      </c>
      <c r="Q1739" s="15">
        <f t="shared" si="2"/>
        <v>8</v>
      </c>
      <c r="R1739" s="15">
        <f t="shared" si="3"/>
        <v>7</v>
      </c>
      <c r="S1739" s="15">
        <f t="shared" si="4"/>
        <v>1</v>
      </c>
      <c r="T1739" s="15" t="str">
        <f t="shared" si="5"/>
        <v>C-2</v>
      </c>
      <c r="U1739" s="15" t="str">
        <f t="shared" si="6"/>
        <v>T8-M7-H1-FC-2-VERIFY</v>
      </c>
      <c r="V1739" s="15">
        <f t="shared" si="7"/>
        <v>1</v>
      </c>
      <c r="W1739" s="31"/>
      <c r="X1739" s="15" t="str">
        <f t="shared" si="8"/>
        <v>york-uk</v>
      </c>
      <c r="Y1739" s="32" t="str">
        <f t="shared" si="9"/>
        <v>https://steelmanufacturer.in/market-area/electropolished-pipes-manufacturer-in-york-uk/</v>
      </c>
      <c r="Z1739" s="15" t="str">
        <f t="shared" si="10"/>
        <v>Electropolished Pipes Manufacturer in York - EP Tube Stockist</v>
      </c>
      <c r="AA1739" s="15" t="str">
        <f t="shared" si="11"/>
        <v>OK (61)</v>
      </c>
      <c r="AB1739" s="15" t="str">
        <f t="shared" si="12"/>
        <v>Electropolished pipes in York: 304, 304L, 316 and 316L in SF1-SF4. 22-28 days sea from Nhava Sheva to Felixstowe. Mill certified.</v>
      </c>
      <c r="AC1739" s="15" t="str">
        <f t="shared" si="13"/>
        <v>PENDING RESEARCH</v>
      </c>
      <c r="AD1739" s="15" t="str">
        <f t="shared" si="14"/>
        <v>Electropolished Pipes Manufacturer in York</v>
      </c>
      <c r="AE1739" s="15" t="str">
        <f t="shared" si="15"/>
        <v>Electropolished Pipe &amp; Tube Manufacturing for York - Grades, Finishes &amp; Certification</v>
      </c>
      <c r="AF1739" s="15" t="str">
        <f t="shared" si="16"/>
        <v>Electropolished Pipes Supplier in York - Stock Sizes, Lead Time &amp; Delivery</v>
      </c>
      <c r="AG1739" s="15" t="str">
        <f t="shared" si="17"/>
        <v>Electropolished Pipes Wholesaler &amp; Stockist in York - Bulk &amp; Project Pricing</v>
      </c>
      <c r="AH1739" s="15" t="str">
        <f t="shared" si="18"/>
        <v>electropolished pipes manufacturer in York, electropolished pipes supplier in York, electropolished pipes wholesaler in York, electropolished tube manufacturer York, EP pipe supplier York, sanitary tube supplier York, ASME BPE tubing York, ASTM A270 tube York, SS 316L electropolished pipe York</v>
      </c>
      <c r="AI1739" s="15" t="str">
        <f t="shared" si="19"/>
        <v>Electropolished Pipes Manufacturer &amp; Supplier in York</v>
      </c>
      <c r="AJ1739" s="15" t="str">
        <f t="shared" si="20"/>
        <v>EP-finished SS 304/316L pipes and tubes for VERIFY plants in York. ASME BPE SF1-SF4, Ra from 0.25 um, EN 10204 3.1 certificate with every lot.</v>
      </c>
      <c r="AK1739" s="15" t="str">
        <f t="shared" si="21"/>
        <v>Electropolished stainless steel pipes supplied by Sakshi Forge to VERIFY plants at VERIFY, York</v>
      </c>
      <c r="AL1739" s="15" t="str">
        <f t="shared" si="22"/>
        <v>Electropolished SS 316L tube stock for York - Sakshi Forge</v>
      </c>
      <c r="AM1739" s="15" t="str">
        <f t="shared" si="23"/>
        <v>Home &gt; Market Area &gt; UK &gt; VERIFY &gt; York</v>
      </c>
      <c r="AN1739" s="15">
        <f t="shared" si="24"/>
        <v>750</v>
      </c>
      <c r="AO1739" s="15">
        <f t="shared" si="25"/>
        <v>6</v>
      </c>
      <c r="AP1739" s="15">
        <f t="shared" si="26"/>
        <v>6</v>
      </c>
      <c r="AQ1739" s="15">
        <f t="shared" si="27"/>
        <v>29</v>
      </c>
      <c r="AR1739" s="31"/>
      <c r="AS1739" s="31"/>
      <c r="AT1739" s="35" t="s">
        <v>222</v>
      </c>
      <c r="AU1739" s="35"/>
    </row>
    <row r="1740" ht="15.75" customHeight="1">
      <c r="A1740" s="15" t="s">
        <v>7810</v>
      </c>
      <c r="B1740" s="15" t="s">
        <v>221</v>
      </c>
      <c r="C1740" s="15" t="s">
        <v>98</v>
      </c>
      <c r="D1740" s="15" t="s">
        <v>7811</v>
      </c>
      <c r="E1740" s="15" t="s">
        <v>7811</v>
      </c>
      <c r="F1740" s="58" t="s">
        <v>807</v>
      </c>
      <c r="G1740" s="66" t="s">
        <v>98</v>
      </c>
      <c r="H1740" s="18" t="s">
        <v>98</v>
      </c>
      <c r="I1740" s="18" t="s">
        <v>98</v>
      </c>
      <c r="J1740" s="18" t="s">
        <v>98</v>
      </c>
      <c r="K1740" s="18" t="s">
        <v>98</v>
      </c>
      <c r="L1740" s="18" t="s">
        <v>98</v>
      </c>
      <c r="M1740" s="18" t="s">
        <v>530</v>
      </c>
      <c r="N1740" s="18" t="s">
        <v>233</v>
      </c>
      <c r="O1740" s="18" t="s">
        <v>98</v>
      </c>
      <c r="P1740" s="15" t="str">
        <f t="shared" si="1"/>
        <v>VERIFY</v>
      </c>
      <c r="Q1740" s="15">
        <f t="shared" si="2"/>
        <v>1</v>
      </c>
      <c r="R1740" s="15">
        <f t="shared" si="3"/>
        <v>1</v>
      </c>
      <c r="S1740" s="15">
        <f t="shared" si="4"/>
        <v>2</v>
      </c>
      <c r="T1740" s="15" t="str">
        <f t="shared" si="5"/>
        <v>C-3</v>
      </c>
      <c r="U1740" s="15" t="str">
        <f t="shared" si="6"/>
        <v>T1-M1-H2-FC-3-VERIFY</v>
      </c>
      <c r="V1740" s="15">
        <f t="shared" si="7"/>
        <v>1</v>
      </c>
      <c r="W1740" s="31"/>
      <c r="X1740" s="15" t="str">
        <f t="shared" si="8"/>
        <v>albuquerque-usa</v>
      </c>
      <c r="Y1740" s="32" t="str">
        <f t="shared" si="9"/>
        <v>https://steelmanufacturer.in/market-area/electropolished-pipes-manufacturer-in-albuquerque-usa/</v>
      </c>
      <c r="Z1740" s="15" t="str">
        <f t="shared" si="10"/>
        <v>Electropolished Pipes Manufacturer in Albuquerque | Sakshi Forge</v>
      </c>
      <c r="AA1740" s="15" t="str">
        <f t="shared" si="11"/>
        <v>OK (64)</v>
      </c>
      <c r="AB1740" s="15" t="str">
        <f t="shared" si="12"/>
        <v>EP-finished SS 304/316L pipes &amp; tubes for VERIFY plants in Albuquerque. ASTM A270, ASME BPE SF1-SF4, EN 10204 3.1 MTC. PMI tested.</v>
      </c>
      <c r="AC1740" s="15" t="str">
        <f t="shared" si="13"/>
        <v>PENDING RESEARCH</v>
      </c>
      <c r="AD1740" s="15" t="str">
        <f t="shared" si="14"/>
        <v>Electropolished Pipes Manufacturer in Albuquerque</v>
      </c>
      <c r="AE1740" s="15" t="str">
        <f t="shared" si="15"/>
        <v>How We Manufacture Electropolished Tube for Albuquerque Plants</v>
      </c>
      <c r="AF1740" s="15" t="str">
        <f t="shared" si="16"/>
        <v>Supplying Electropolished Pipes in Albuquerque: Availability, Sizes &amp; Dispatch</v>
      </c>
      <c r="AG1740" s="15" t="str">
        <f t="shared" si="17"/>
        <v>Wholesale Electropolished Pipe Supply for Albuquerque Projects</v>
      </c>
      <c r="AH1740" s="15" t="str">
        <f t="shared" si="18"/>
        <v>electropolished pipes manufacturer in Albuquerque, electropolished pipes supplier in Albuquerque, electropolished pipes wholesaler in Albuquerque, electropolished tube manufacturer Albuquerque, EP pipe supplier Albuquerque, sanitary tube supplier Albuquerque, ASME BPE tubing Albuquerque, ASTM A270 tube Albuquerque, SS 316L electropolished pipe Albuquerque</v>
      </c>
      <c r="AI1740" s="15" t="str">
        <f t="shared" si="19"/>
        <v>Electropolished Pipes Manufacturer &amp; Supplier in Albuquerque</v>
      </c>
      <c r="AJ1740" s="15" t="str">
        <f t="shared" si="20"/>
        <v>EP-finished SS 304/316L pipes and tubes for VERIFY plants in Albuquerque. ASME BPE SF1-SF4, Ra from 0.25 um, EN 10204 3.1 certificate with every lot.</v>
      </c>
      <c r="AK1740" s="15" t="str">
        <f t="shared" si="21"/>
        <v>Electropolished stainless steel pipes supplied by Sakshi Forge to VERIFY plants at VERIFY, Albuquerque</v>
      </c>
      <c r="AL1740" s="15" t="str">
        <f t="shared" si="22"/>
        <v>Electropolished SS 316L tube stock for Albuquerque - Sakshi Forge</v>
      </c>
      <c r="AM1740" s="15" t="str">
        <f t="shared" si="23"/>
        <v>Home &gt; Market Area &gt; USA &gt; VERIFY &gt; Albuquerque</v>
      </c>
      <c r="AN1740" s="15">
        <f t="shared" si="24"/>
        <v>750</v>
      </c>
      <c r="AO1740" s="15">
        <f t="shared" si="25"/>
        <v>6</v>
      </c>
      <c r="AP1740" s="15">
        <f t="shared" si="26"/>
        <v>6</v>
      </c>
      <c r="AQ1740" s="15">
        <f t="shared" si="27"/>
        <v>29</v>
      </c>
      <c r="AR1740" s="31"/>
      <c r="AS1740" s="31"/>
      <c r="AT1740" s="35" t="s">
        <v>222</v>
      </c>
      <c r="AU1740" s="35"/>
    </row>
    <row r="1741" ht="15.75" customHeight="1">
      <c r="A1741" s="15" t="s">
        <v>7813</v>
      </c>
      <c r="B1741" s="15" t="s">
        <v>221</v>
      </c>
      <c r="C1741" s="15" t="s">
        <v>98</v>
      </c>
      <c r="D1741" s="15" t="s">
        <v>7814</v>
      </c>
      <c r="E1741" s="15" t="s">
        <v>7814</v>
      </c>
      <c r="F1741" s="58" t="s">
        <v>807</v>
      </c>
      <c r="G1741" s="66" t="s">
        <v>98</v>
      </c>
      <c r="H1741" s="18" t="s">
        <v>98</v>
      </c>
      <c r="I1741" s="18" t="s">
        <v>98</v>
      </c>
      <c r="J1741" s="18" t="s">
        <v>98</v>
      </c>
      <c r="K1741" s="18" t="s">
        <v>98</v>
      </c>
      <c r="L1741" s="18" t="s">
        <v>98</v>
      </c>
      <c r="M1741" s="18" t="s">
        <v>530</v>
      </c>
      <c r="N1741" s="18" t="s">
        <v>233</v>
      </c>
      <c r="O1741" s="18" t="s">
        <v>98</v>
      </c>
      <c r="P1741" s="15" t="str">
        <f t="shared" si="1"/>
        <v>VERIFY</v>
      </c>
      <c r="Q1741" s="15">
        <f t="shared" si="2"/>
        <v>2</v>
      </c>
      <c r="R1741" s="15">
        <f t="shared" si="3"/>
        <v>2</v>
      </c>
      <c r="S1741" s="15">
        <f t="shared" si="4"/>
        <v>3</v>
      </c>
      <c r="T1741" s="15" t="str">
        <f t="shared" si="5"/>
        <v>C-4</v>
      </c>
      <c r="U1741" s="15" t="str">
        <f t="shared" si="6"/>
        <v>T2-M2-H3-FC-4-VERIFY</v>
      </c>
      <c r="V1741" s="15">
        <f t="shared" si="7"/>
        <v>1</v>
      </c>
      <c r="W1741" s="31"/>
      <c r="X1741" s="15" t="str">
        <f t="shared" si="8"/>
        <v>allentown-usa</v>
      </c>
      <c r="Y1741" s="32" t="str">
        <f t="shared" si="9"/>
        <v>https://steelmanufacturer.in/market-area/electropolished-pipes-manufacturer-in-allentown-usa/</v>
      </c>
      <c r="Z1741" s="15" t="str">
        <f t="shared" si="10"/>
        <v>Electropolished Pipes Manufacturer in Allentown</v>
      </c>
      <c r="AA1741" s="15" t="str">
        <f t="shared" si="11"/>
        <v>OK (47)</v>
      </c>
      <c r="AB1741" s="15" t="str">
        <f t="shared" si="12"/>
        <v>Electropolished tube supply to VERIFY, Allentown. Ra from 0.25 um, SF4 finish, mill test certificate with every lot.</v>
      </c>
      <c r="AC1741" s="15" t="str">
        <f t="shared" si="13"/>
        <v>PENDING RESEARCH</v>
      </c>
      <c r="AD1741" s="15" t="str">
        <f t="shared" si="14"/>
        <v>Electropolished Pipes Manufacturer in Allentown</v>
      </c>
      <c r="AE1741" s="15" t="str">
        <f t="shared" si="15"/>
        <v>Electropolished Pipes Manufacturer in Allentown - Our Process &amp; Capability</v>
      </c>
      <c r="AF1741" s="15" t="str">
        <f t="shared" si="16"/>
        <v>Electropolished Pipes Supplier in Allentown - What We Hold in Stock</v>
      </c>
      <c r="AG1741" s="15" t="str">
        <f t="shared" si="17"/>
        <v>Bulk &amp; Wholesale Electropolished Pipe Rates for Allentown Buyers</v>
      </c>
      <c r="AH1741" s="15" t="str">
        <f t="shared" si="18"/>
        <v>electropolished pipes manufacturer in Allentown, electropolished pipes supplier in Allentown, electropolished pipes wholesaler in Allentown, electropolished tube manufacturer Allentown, EP pipe supplier Allentown, sanitary tube supplier Allentown, ASME BPE tubing Allentown, ASTM A270 tube Allentown, SS 316L electropolished pipe Allentown</v>
      </c>
      <c r="AI1741" s="15" t="str">
        <f t="shared" si="19"/>
        <v>Electropolished Pipes Manufacturer &amp; Supplier in Allentown</v>
      </c>
      <c r="AJ1741" s="15" t="str">
        <f t="shared" si="20"/>
        <v>EP-finished SS 304/316L pipes and tubes for VERIFY plants in Allentown. ASME BPE SF1-SF4, Ra from 0.25 um, EN 10204 3.1 certificate with every lot.</v>
      </c>
      <c r="AK1741" s="15" t="str">
        <f t="shared" si="21"/>
        <v>Electropolished stainless steel pipes supplied by Sakshi Forge to VERIFY plants at VERIFY, Allentown</v>
      </c>
      <c r="AL1741" s="15" t="str">
        <f t="shared" si="22"/>
        <v>Electropolished SS 316L tube stock for Allentown - Sakshi Forge</v>
      </c>
      <c r="AM1741" s="15" t="str">
        <f t="shared" si="23"/>
        <v>Home &gt; Market Area &gt; USA &gt; VERIFY &gt; Allentown</v>
      </c>
      <c r="AN1741" s="15">
        <f t="shared" si="24"/>
        <v>750</v>
      </c>
      <c r="AO1741" s="15">
        <f t="shared" si="25"/>
        <v>6</v>
      </c>
      <c r="AP1741" s="15">
        <f t="shared" si="26"/>
        <v>6</v>
      </c>
      <c r="AQ1741" s="15">
        <f t="shared" si="27"/>
        <v>29</v>
      </c>
      <c r="AR1741" s="31"/>
      <c r="AS1741" s="31"/>
      <c r="AT1741" s="35" t="s">
        <v>222</v>
      </c>
      <c r="AU1741" s="35"/>
    </row>
    <row r="1742" ht="15.75" customHeight="1">
      <c r="A1742" s="15" t="s">
        <v>7815</v>
      </c>
      <c r="B1742" s="15" t="s">
        <v>221</v>
      </c>
      <c r="C1742" s="15" t="s">
        <v>98</v>
      </c>
      <c r="D1742" s="15" t="s">
        <v>7816</v>
      </c>
      <c r="E1742" s="15" t="s">
        <v>7816</v>
      </c>
      <c r="F1742" s="58" t="s">
        <v>807</v>
      </c>
      <c r="G1742" s="66" t="s">
        <v>98</v>
      </c>
      <c r="H1742" s="18" t="s">
        <v>98</v>
      </c>
      <c r="I1742" s="18" t="s">
        <v>98</v>
      </c>
      <c r="J1742" s="18" t="s">
        <v>98</v>
      </c>
      <c r="K1742" s="18" t="s">
        <v>98</v>
      </c>
      <c r="L1742" s="18" t="s">
        <v>98</v>
      </c>
      <c r="M1742" s="18" t="s">
        <v>530</v>
      </c>
      <c r="N1742" s="18" t="s">
        <v>233</v>
      </c>
      <c r="O1742" s="18" t="s">
        <v>98</v>
      </c>
      <c r="P1742" s="15" t="str">
        <f t="shared" si="1"/>
        <v>VERIFY</v>
      </c>
      <c r="Q1742" s="15">
        <f t="shared" si="2"/>
        <v>3</v>
      </c>
      <c r="R1742" s="15">
        <f t="shared" si="3"/>
        <v>3</v>
      </c>
      <c r="S1742" s="15">
        <f t="shared" si="4"/>
        <v>4</v>
      </c>
      <c r="T1742" s="15" t="str">
        <f t="shared" si="5"/>
        <v>C-5</v>
      </c>
      <c r="U1742" s="15" t="str">
        <f t="shared" si="6"/>
        <v>T3-M3-H4-FC-5-VERIFY</v>
      </c>
      <c r="V1742" s="15">
        <f t="shared" si="7"/>
        <v>1</v>
      </c>
      <c r="W1742" s="31"/>
      <c r="X1742" s="15" t="str">
        <f t="shared" si="8"/>
        <v>anaheim-usa</v>
      </c>
      <c r="Y1742" s="32" t="str">
        <f t="shared" si="9"/>
        <v>https://steelmanufacturer.in/market-area/electropolished-pipes-manufacturer-in-anaheim-usa/</v>
      </c>
      <c r="Z1742" s="15" t="str">
        <f t="shared" si="10"/>
        <v>Electropolished Pipes Manufacturer in Anaheim | EP Tube Supplier</v>
      </c>
      <c r="AA1742" s="15" t="str">
        <f t="shared" si="11"/>
        <v>OK (64)</v>
      </c>
      <c r="AB1742" s="15" t="str">
        <f t="shared" si="12"/>
        <v>EP stainless tube for VERIFY lines in Anaheim. 28-35 days sea from Nhava Sheva to US East Coast. ASTM A270 S2, PMI tested, EN 10204 3.1.</v>
      </c>
      <c r="AC1742" s="15" t="str">
        <f t="shared" si="13"/>
        <v>PENDING RESEARCH</v>
      </c>
      <c r="AD1742" s="15" t="str">
        <f t="shared" si="14"/>
        <v>Electropolished Pipes Manufacturer in Anaheim</v>
      </c>
      <c r="AE1742" s="15" t="str">
        <f t="shared" si="15"/>
        <v>Manufacturing Electropolished SS Tube for Anaheim: The Standards We Build To</v>
      </c>
      <c r="AF1742" s="15" t="str">
        <f t="shared" si="16"/>
        <v>Electropolished Pipe Supply Into Anaheim - Certification &amp; Transit</v>
      </c>
      <c r="AG1742" s="15" t="str">
        <f t="shared" si="17"/>
        <v>Electropolished Pipes Wholesaler in Anaheim - Project Quantities &amp; Terms</v>
      </c>
      <c r="AH1742" s="15" t="str">
        <f t="shared" si="18"/>
        <v>electropolished pipes manufacturer in Anaheim, electropolished pipes supplier in Anaheim, electropolished pipes wholesaler in Anaheim, electropolished tube manufacturer Anaheim, EP pipe supplier Anaheim, sanitary tube supplier Anaheim, ASME BPE tubing Anaheim, ASTM A270 tube Anaheim, SS 316L electropolished pipe Anaheim</v>
      </c>
      <c r="AI1742" s="15" t="str">
        <f t="shared" si="19"/>
        <v>Electropolished Pipes Manufacturer &amp; Supplier in Anaheim</v>
      </c>
      <c r="AJ1742" s="15" t="str">
        <f t="shared" si="20"/>
        <v>EP-finished SS 304/316L pipes and tubes for VERIFY plants in Anaheim. ASME BPE SF1-SF4, Ra from 0.25 um, EN 10204 3.1 certificate with every lot.</v>
      </c>
      <c r="AK1742" s="15" t="str">
        <f t="shared" si="21"/>
        <v>Electropolished stainless steel pipes supplied by Sakshi Forge to VERIFY plants at VERIFY, Anaheim</v>
      </c>
      <c r="AL1742" s="15" t="str">
        <f t="shared" si="22"/>
        <v>Electropolished SS 316L tube stock for Anaheim - Sakshi Forge</v>
      </c>
      <c r="AM1742" s="15" t="str">
        <f t="shared" si="23"/>
        <v>Home &gt; Market Area &gt; USA &gt; VERIFY &gt; Anaheim</v>
      </c>
      <c r="AN1742" s="15">
        <f t="shared" si="24"/>
        <v>750</v>
      </c>
      <c r="AO1742" s="15">
        <f t="shared" si="25"/>
        <v>6</v>
      </c>
      <c r="AP1742" s="15">
        <f t="shared" si="26"/>
        <v>6</v>
      </c>
      <c r="AQ1742" s="15">
        <f t="shared" si="27"/>
        <v>29</v>
      </c>
      <c r="AR1742" s="31"/>
      <c r="AS1742" s="31"/>
      <c r="AT1742" s="35" t="s">
        <v>222</v>
      </c>
      <c r="AU1742" s="35"/>
    </row>
    <row r="1743" ht="15.75" customHeight="1">
      <c r="A1743" s="15" t="s">
        <v>7817</v>
      </c>
      <c r="B1743" s="15" t="s">
        <v>221</v>
      </c>
      <c r="C1743" s="15" t="s">
        <v>98</v>
      </c>
      <c r="D1743" s="15" t="s">
        <v>7818</v>
      </c>
      <c r="E1743" s="15" t="s">
        <v>7818</v>
      </c>
      <c r="F1743" s="58" t="s">
        <v>807</v>
      </c>
      <c r="G1743" s="66" t="s">
        <v>98</v>
      </c>
      <c r="H1743" s="18" t="s">
        <v>98</v>
      </c>
      <c r="I1743" s="18" t="s">
        <v>98</v>
      </c>
      <c r="J1743" s="18" t="s">
        <v>98</v>
      </c>
      <c r="K1743" s="18" t="s">
        <v>98</v>
      </c>
      <c r="L1743" s="18" t="s">
        <v>98</v>
      </c>
      <c r="M1743" s="18" t="s">
        <v>530</v>
      </c>
      <c r="N1743" s="18" t="s">
        <v>233</v>
      </c>
      <c r="O1743" s="18" t="s">
        <v>98</v>
      </c>
      <c r="P1743" s="15" t="str">
        <f t="shared" si="1"/>
        <v>VERIFY</v>
      </c>
      <c r="Q1743" s="15">
        <f t="shared" si="2"/>
        <v>4</v>
      </c>
      <c r="R1743" s="15">
        <f t="shared" si="3"/>
        <v>4</v>
      </c>
      <c r="S1743" s="15">
        <f t="shared" si="4"/>
        <v>5</v>
      </c>
      <c r="T1743" s="15" t="str">
        <f t="shared" si="5"/>
        <v>C-6</v>
      </c>
      <c r="U1743" s="15" t="str">
        <f t="shared" si="6"/>
        <v>T4-M4-H5-FC-6-VERIFY</v>
      </c>
      <c r="V1743" s="15">
        <f t="shared" si="7"/>
        <v>1</v>
      </c>
      <c r="W1743" s="31"/>
      <c r="X1743" s="15" t="str">
        <f t="shared" si="8"/>
        <v>bakersfield-usa</v>
      </c>
      <c r="Y1743" s="32" t="str">
        <f t="shared" si="9"/>
        <v>https://steelmanufacturer.in/market-area/electropolished-pipes-manufacturer-in-bakersfield-usa/</v>
      </c>
      <c r="Z1743" s="15" t="str">
        <f t="shared" si="10"/>
        <v>Electropolished Pipes Manufacturer in Bakersfield</v>
      </c>
      <c r="AA1743" s="15" t="str">
        <f t="shared" si="11"/>
        <v>OK (49)</v>
      </c>
      <c r="AB1743" s="15" t="str">
        <f t="shared" si="12"/>
        <v>Sanitary electropolished pipes in Bakersfield for VERIFY plants. ASME BPE SF1-SF4, orbital-weld ready, 3.1 MTC. Mumbai-made.</v>
      </c>
      <c r="AC1743" s="15" t="str">
        <f t="shared" si="13"/>
        <v>PENDING RESEARCH</v>
      </c>
      <c r="AD1743" s="15" t="str">
        <f t="shared" si="14"/>
        <v>Electropolished Pipes Manufacturer in Bakersfield</v>
      </c>
      <c r="AE1743" s="15" t="str">
        <f t="shared" si="15"/>
        <v>Electropolished Tube Manufacturing Capability Serving Bakersfield</v>
      </c>
      <c r="AF1743" s="15" t="str">
        <f t="shared" si="16"/>
        <v>Electropolished Pipes Supplier in Bakersfield - From Order to Delivery</v>
      </c>
      <c r="AG1743" s="15" t="str">
        <f t="shared" si="17"/>
        <v>Stockist &amp; Wholesale Supply of Electropolished Pipes in Bakersfield</v>
      </c>
      <c r="AH1743" s="15" t="str">
        <f t="shared" si="18"/>
        <v>electropolished pipes manufacturer in Bakersfield, electropolished pipes supplier in Bakersfield, electropolished pipes wholesaler in Bakersfield, electropolished tube manufacturer Bakersfield, EP pipe supplier Bakersfield, sanitary tube supplier Bakersfield, ASME BPE tubing Bakersfield, ASTM A270 tube Bakersfield, SS 316L electropolished pipe Bakersfield</v>
      </c>
      <c r="AI1743" s="15" t="str">
        <f t="shared" si="19"/>
        <v>Electropolished Pipes Manufacturer &amp; Supplier in Bakersfield</v>
      </c>
      <c r="AJ1743" s="15" t="str">
        <f t="shared" si="20"/>
        <v>EP-finished SS 304/316L pipes and tubes for VERIFY plants in Bakersfield. ASME BPE SF1-SF4, Ra from 0.25 um, EN 10204 3.1 certificate with every lot.</v>
      </c>
      <c r="AK1743" s="15" t="str">
        <f t="shared" si="21"/>
        <v>Electropolished stainless steel pipes supplied by Sakshi Forge to VERIFY plants at VERIFY, Bakersfield</v>
      </c>
      <c r="AL1743" s="15" t="str">
        <f t="shared" si="22"/>
        <v>Electropolished SS 316L tube stock for Bakersfield - Sakshi Forge</v>
      </c>
      <c r="AM1743" s="15" t="str">
        <f t="shared" si="23"/>
        <v>Home &gt; Market Area &gt; USA &gt; VERIFY &gt; Bakersfield</v>
      </c>
      <c r="AN1743" s="15">
        <f t="shared" si="24"/>
        <v>750</v>
      </c>
      <c r="AO1743" s="15">
        <f t="shared" si="25"/>
        <v>6</v>
      </c>
      <c r="AP1743" s="15">
        <f t="shared" si="26"/>
        <v>6</v>
      </c>
      <c r="AQ1743" s="15">
        <f t="shared" si="27"/>
        <v>29</v>
      </c>
      <c r="AR1743" s="31"/>
      <c r="AS1743" s="31"/>
      <c r="AT1743" s="35" t="s">
        <v>222</v>
      </c>
      <c r="AU1743" s="35"/>
    </row>
    <row r="1744" ht="15.75" customHeight="1">
      <c r="A1744" s="15" t="s">
        <v>7819</v>
      </c>
      <c r="B1744" s="15" t="s">
        <v>221</v>
      </c>
      <c r="C1744" s="15" t="s">
        <v>98</v>
      </c>
      <c r="D1744" s="15" t="s">
        <v>7820</v>
      </c>
      <c r="E1744" s="15" t="s">
        <v>7820</v>
      </c>
      <c r="F1744" s="58" t="s">
        <v>807</v>
      </c>
      <c r="G1744" s="66" t="s">
        <v>98</v>
      </c>
      <c r="H1744" s="18" t="s">
        <v>98</v>
      </c>
      <c r="I1744" s="18" t="s">
        <v>98</v>
      </c>
      <c r="J1744" s="18" t="s">
        <v>98</v>
      </c>
      <c r="K1744" s="18" t="s">
        <v>98</v>
      </c>
      <c r="L1744" s="18" t="s">
        <v>98</v>
      </c>
      <c r="M1744" s="18" t="s">
        <v>530</v>
      </c>
      <c r="N1744" s="18" t="s">
        <v>233</v>
      </c>
      <c r="O1744" s="18" t="s">
        <v>98</v>
      </c>
      <c r="P1744" s="15" t="str">
        <f t="shared" si="1"/>
        <v>VERIFY</v>
      </c>
      <c r="Q1744" s="15">
        <f t="shared" si="2"/>
        <v>5</v>
      </c>
      <c r="R1744" s="15">
        <f t="shared" si="3"/>
        <v>5</v>
      </c>
      <c r="S1744" s="15">
        <f t="shared" si="4"/>
        <v>1</v>
      </c>
      <c r="T1744" s="15" t="str">
        <f t="shared" si="5"/>
        <v>C-1</v>
      </c>
      <c r="U1744" s="15" t="str">
        <f t="shared" si="6"/>
        <v>T5-M5-H1-FC-1-VERIFY</v>
      </c>
      <c r="V1744" s="15">
        <f t="shared" si="7"/>
        <v>1</v>
      </c>
      <c r="W1744" s="31"/>
      <c r="X1744" s="15" t="str">
        <f t="shared" si="8"/>
        <v>baton-rouge-usa</v>
      </c>
      <c r="Y1744" s="32" t="str">
        <f t="shared" si="9"/>
        <v>https://steelmanufacturer.in/market-area/electropolished-pipes-manufacturer-in-baton-rouge-usa/</v>
      </c>
      <c r="Z1744" s="15" t="str">
        <f t="shared" si="10"/>
        <v>Electropolished Pipes Manufacturer in Baton Rouge</v>
      </c>
      <c r="AA1744" s="15" t="str">
        <f t="shared" si="11"/>
        <v>OK (49)</v>
      </c>
      <c r="AB1744" s="15" t="str">
        <f t="shared" si="12"/>
        <v>Manufacturer of electropolished SS 316L tube serving Baton Rouge. 28-35 days sea from Nhava Sheva to US East Coast. Ra 0.25-0.5 um, EN 10204 3.1 MTC.</v>
      </c>
      <c r="AC1744" s="15" t="str">
        <f t="shared" si="13"/>
        <v>PENDING RESEARCH</v>
      </c>
      <c r="AD1744" s="15" t="str">
        <f t="shared" si="14"/>
        <v>Electropolished Pipes Manufacturer in Baton Rouge</v>
      </c>
      <c r="AE1744" s="15" t="str">
        <f t="shared" si="15"/>
        <v>Electropolished Pipe &amp; Tube Manufacturing for Baton Rouge - Grades, Finishes &amp; Certification</v>
      </c>
      <c r="AF1744" s="15" t="str">
        <f t="shared" si="16"/>
        <v>Electropolished Pipes Supplier in Baton Rouge - Stock Sizes, Lead Time &amp; Delivery</v>
      </c>
      <c r="AG1744" s="15" t="str">
        <f t="shared" si="17"/>
        <v>Electropolished Pipes Wholesaler &amp; Stockist in Baton Rouge - Bulk &amp; Project Pricing</v>
      </c>
      <c r="AH1744" s="15" t="str">
        <f t="shared" si="18"/>
        <v>electropolished pipes manufacturer in Baton Rouge, electropolished pipes supplier in Baton Rouge, electropolished pipes wholesaler in Baton Rouge, electropolished tube manufacturer Baton Rouge, EP pipe supplier Baton Rouge, sanitary tube supplier Baton Rouge, ASME BPE tubing Baton Rouge, ASTM A270 tube Baton Rouge, SS 316L electropolished pipe Baton Rouge</v>
      </c>
      <c r="AI1744" s="15" t="str">
        <f t="shared" si="19"/>
        <v>Electropolished Pipes Manufacturer &amp; Supplier in Baton Rouge</v>
      </c>
      <c r="AJ1744" s="15" t="str">
        <f t="shared" si="20"/>
        <v>EP-finished SS 304/316L pipes and tubes for VERIFY plants in Baton Rouge. ASME BPE SF1-SF4, Ra from 0.25 um, EN 10204 3.1 certificate with every lot.</v>
      </c>
      <c r="AK1744" s="15" t="str">
        <f t="shared" si="21"/>
        <v>Electropolished stainless steel pipes supplied by Sakshi Forge to VERIFY plants at VERIFY, Baton Rouge</v>
      </c>
      <c r="AL1744" s="15" t="str">
        <f t="shared" si="22"/>
        <v>Electropolished SS 316L tube stock for Baton Rouge - Sakshi Forge</v>
      </c>
      <c r="AM1744" s="15" t="str">
        <f t="shared" si="23"/>
        <v>Home &gt; Market Area &gt; USA &gt; VERIFY &gt; Baton Rouge</v>
      </c>
      <c r="AN1744" s="15">
        <f t="shared" si="24"/>
        <v>750</v>
      </c>
      <c r="AO1744" s="15">
        <f t="shared" si="25"/>
        <v>6</v>
      </c>
      <c r="AP1744" s="15">
        <f t="shared" si="26"/>
        <v>6</v>
      </c>
      <c r="AQ1744" s="15">
        <f t="shared" si="27"/>
        <v>30</v>
      </c>
      <c r="AR1744" s="31"/>
      <c r="AS1744" s="31"/>
      <c r="AT1744" s="35" t="s">
        <v>222</v>
      </c>
      <c r="AU1744" s="35"/>
    </row>
    <row r="1745" ht="15.75" customHeight="1">
      <c r="A1745" s="15" t="s">
        <v>7821</v>
      </c>
      <c r="B1745" s="15" t="s">
        <v>221</v>
      </c>
      <c r="C1745" s="15" t="s">
        <v>98</v>
      </c>
      <c r="D1745" s="15" t="s">
        <v>7822</v>
      </c>
      <c r="E1745" s="15" t="s">
        <v>7822</v>
      </c>
      <c r="F1745" s="58" t="s">
        <v>807</v>
      </c>
      <c r="G1745" s="66" t="s">
        <v>98</v>
      </c>
      <c r="H1745" s="18" t="s">
        <v>98</v>
      </c>
      <c r="I1745" s="18" t="s">
        <v>98</v>
      </c>
      <c r="J1745" s="18" t="s">
        <v>98</v>
      </c>
      <c r="K1745" s="18" t="s">
        <v>98</v>
      </c>
      <c r="L1745" s="18" t="s">
        <v>98</v>
      </c>
      <c r="M1745" s="18" t="s">
        <v>530</v>
      </c>
      <c r="N1745" s="18" t="s">
        <v>233</v>
      </c>
      <c r="O1745" s="18" t="s">
        <v>98</v>
      </c>
      <c r="P1745" s="15" t="str">
        <f t="shared" si="1"/>
        <v>VERIFY</v>
      </c>
      <c r="Q1745" s="15">
        <f t="shared" si="2"/>
        <v>6</v>
      </c>
      <c r="R1745" s="15">
        <f t="shared" si="3"/>
        <v>6</v>
      </c>
      <c r="S1745" s="15">
        <f t="shared" si="4"/>
        <v>2</v>
      </c>
      <c r="T1745" s="15" t="str">
        <f t="shared" si="5"/>
        <v>C-2</v>
      </c>
      <c r="U1745" s="15" t="str">
        <f t="shared" si="6"/>
        <v>T6-M6-H2-FC-2-VERIFY</v>
      </c>
      <c r="V1745" s="15">
        <f t="shared" si="7"/>
        <v>1</v>
      </c>
      <c r="W1745" s="31"/>
      <c r="X1745" s="15" t="str">
        <f t="shared" si="8"/>
        <v>billings-usa</v>
      </c>
      <c r="Y1745" s="32" t="str">
        <f t="shared" si="9"/>
        <v>https://steelmanufacturer.in/market-area/electropolished-pipes-manufacturer-in-billings-usa/</v>
      </c>
      <c r="Z1745" s="15" t="str">
        <f t="shared" si="10"/>
        <v>Electropolished Pipes Manufacturer in Billings</v>
      </c>
      <c r="AA1745" s="15" t="str">
        <f t="shared" si="11"/>
        <v>OK (46)</v>
      </c>
      <c r="AB1745" s="15" t="str">
        <f t="shared" si="12"/>
        <v>EP tube and pipe for VERIFY plants around VERIFY, Billings. Made at our Mumbai works to ASTM A270 and ASME BPE SF1-SF4, with 3.1 MTC.</v>
      </c>
      <c r="AC1745" s="15" t="str">
        <f t="shared" si="13"/>
        <v>PENDING RESEARCH</v>
      </c>
      <c r="AD1745" s="15" t="str">
        <f t="shared" si="14"/>
        <v>Electropolished Pipes Manufacturer in Billings</v>
      </c>
      <c r="AE1745" s="15" t="str">
        <f t="shared" si="15"/>
        <v>How We Manufacture Electropolished Tube for Billings Plants</v>
      </c>
      <c r="AF1745" s="15" t="str">
        <f t="shared" si="16"/>
        <v>Supplying Electropolished Pipes in Billings: Availability, Sizes &amp; Dispatch</v>
      </c>
      <c r="AG1745" s="15" t="str">
        <f t="shared" si="17"/>
        <v>Wholesale Electropolished Pipe Supply for Billings Projects</v>
      </c>
      <c r="AH1745" s="15" t="str">
        <f t="shared" si="18"/>
        <v>electropolished pipes manufacturer in Billings, electropolished pipes supplier in Billings, electropolished pipes wholesaler in Billings, electropolished tube manufacturer Billings, EP pipe supplier Billings, sanitary tube supplier Billings, ASME BPE tubing Billings, ASTM A270 tube Billings, SS 316L electropolished pipe Billings</v>
      </c>
      <c r="AI1745" s="15" t="str">
        <f t="shared" si="19"/>
        <v>Electropolished Pipes Manufacturer &amp; Supplier in Billings</v>
      </c>
      <c r="AJ1745" s="15" t="str">
        <f t="shared" si="20"/>
        <v>EP-finished SS 304/316L pipes and tubes for VERIFY plants in Billings. ASME BPE SF1-SF4, Ra from 0.25 um, EN 10204 3.1 certificate with every lot.</v>
      </c>
      <c r="AK1745" s="15" t="str">
        <f t="shared" si="21"/>
        <v>Electropolished stainless steel pipes supplied by Sakshi Forge to VERIFY plants at VERIFY, Billings</v>
      </c>
      <c r="AL1745" s="15" t="str">
        <f t="shared" si="22"/>
        <v>Electropolished SS 316L tube stock for Billings - Sakshi Forge</v>
      </c>
      <c r="AM1745" s="15" t="str">
        <f t="shared" si="23"/>
        <v>Home &gt; Market Area &gt; USA &gt; VERIFY &gt; Billings</v>
      </c>
      <c r="AN1745" s="15">
        <f t="shared" si="24"/>
        <v>750</v>
      </c>
      <c r="AO1745" s="15">
        <f t="shared" si="25"/>
        <v>6</v>
      </c>
      <c r="AP1745" s="15">
        <f t="shared" si="26"/>
        <v>6</v>
      </c>
      <c r="AQ1745" s="15">
        <f t="shared" si="27"/>
        <v>30</v>
      </c>
      <c r="AR1745" s="31"/>
      <c r="AS1745" s="31"/>
      <c r="AT1745" s="35" t="s">
        <v>222</v>
      </c>
      <c r="AU1745" s="35"/>
    </row>
    <row r="1746" ht="15.75" customHeight="1">
      <c r="A1746" s="15" t="s">
        <v>7827</v>
      </c>
      <c r="B1746" s="15" t="s">
        <v>221</v>
      </c>
      <c r="C1746" s="15" t="s">
        <v>98</v>
      </c>
      <c r="D1746" s="15" t="s">
        <v>7830</v>
      </c>
      <c r="E1746" s="15" t="s">
        <v>7830</v>
      </c>
      <c r="F1746" s="58" t="s">
        <v>807</v>
      </c>
      <c r="G1746" s="66" t="s">
        <v>98</v>
      </c>
      <c r="H1746" s="18" t="s">
        <v>98</v>
      </c>
      <c r="I1746" s="18" t="s">
        <v>98</v>
      </c>
      <c r="J1746" s="18" t="s">
        <v>98</v>
      </c>
      <c r="K1746" s="18" t="s">
        <v>98</v>
      </c>
      <c r="L1746" s="18" t="s">
        <v>98</v>
      </c>
      <c r="M1746" s="18" t="s">
        <v>530</v>
      </c>
      <c r="N1746" s="18" t="s">
        <v>233</v>
      </c>
      <c r="O1746" s="18" t="s">
        <v>98</v>
      </c>
      <c r="P1746" s="15" t="str">
        <f t="shared" si="1"/>
        <v>VERIFY</v>
      </c>
      <c r="Q1746" s="15">
        <f t="shared" si="2"/>
        <v>7</v>
      </c>
      <c r="R1746" s="15">
        <f t="shared" si="3"/>
        <v>7</v>
      </c>
      <c r="S1746" s="15">
        <f t="shared" si="4"/>
        <v>3</v>
      </c>
      <c r="T1746" s="15" t="str">
        <f t="shared" si="5"/>
        <v>C-3</v>
      </c>
      <c r="U1746" s="15" t="str">
        <f t="shared" si="6"/>
        <v>T7-M7-H3-FC-3-VERIFY</v>
      </c>
      <c r="V1746" s="15">
        <f t="shared" si="7"/>
        <v>1</v>
      </c>
      <c r="W1746" s="31"/>
      <c r="X1746" s="15" t="str">
        <f t="shared" si="8"/>
        <v>buffalo-usa</v>
      </c>
      <c r="Y1746" s="32" t="str">
        <f t="shared" si="9"/>
        <v>https://steelmanufacturer.in/market-area/electropolished-pipes-manufacturer-in-buffalo-usa/</v>
      </c>
      <c r="Z1746" s="15" t="str">
        <f t="shared" si="10"/>
        <v>Electropolished Pipes Manufacturer in Buffalo | ASME BPE SF1-SF4</v>
      </c>
      <c r="AA1746" s="15" t="str">
        <f t="shared" si="11"/>
        <v>OK (64)</v>
      </c>
      <c r="AB1746" s="15" t="str">
        <f t="shared" si="12"/>
        <v>Electropolished pipes in Buffalo: 304, 304L, 316 and 316L in SF1-SF4. 28-35 days sea from Nhava Sheva to US East Coast. Mill certified.</v>
      </c>
      <c r="AC1746" s="15" t="str">
        <f t="shared" si="13"/>
        <v>PENDING RESEARCH</v>
      </c>
      <c r="AD1746" s="15" t="str">
        <f t="shared" si="14"/>
        <v>Electropolished Pipes Manufacturer in Buffalo</v>
      </c>
      <c r="AE1746" s="15" t="str">
        <f t="shared" si="15"/>
        <v>Electropolished Pipes Manufacturer in Buffalo - Our Process &amp; Capability</v>
      </c>
      <c r="AF1746" s="15" t="str">
        <f t="shared" si="16"/>
        <v>Electropolished Pipes Supplier in Buffalo - What We Hold in Stock</v>
      </c>
      <c r="AG1746" s="15" t="str">
        <f t="shared" si="17"/>
        <v>Bulk &amp; Wholesale Electropolished Pipe Rates for Buffalo Buyers</v>
      </c>
      <c r="AH1746" s="15" t="str">
        <f t="shared" si="18"/>
        <v>electropolished pipes manufacturer in Buffalo, electropolished pipes supplier in Buffalo, electropolished pipes wholesaler in Buffalo, electropolished tube manufacturer Buffalo, EP pipe supplier Buffalo, sanitary tube supplier Buffalo, ASME BPE tubing Buffalo, ASTM A270 tube Buffalo, SS 316L electropolished pipe Buffalo</v>
      </c>
      <c r="AI1746" s="15" t="str">
        <f t="shared" si="19"/>
        <v>Electropolished Pipes Manufacturer &amp; Supplier in Buffalo</v>
      </c>
      <c r="AJ1746" s="15" t="str">
        <f t="shared" si="20"/>
        <v>EP-finished SS 304/316L pipes and tubes for VERIFY plants in Buffalo. ASME BPE SF1-SF4, Ra from 0.25 um, EN 10204 3.1 certificate with every lot.</v>
      </c>
      <c r="AK1746" s="15" t="str">
        <f t="shared" si="21"/>
        <v>Electropolished stainless steel pipes supplied by Sakshi Forge to VERIFY plants at VERIFY, Buffalo</v>
      </c>
      <c r="AL1746" s="15" t="str">
        <f t="shared" si="22"/>
        <v>Electropolished SS 316L tube stock for Buffalo - Sakshi Forge</v>
      </c>
      <c r="AM1746" s="15" t="str">
        <f t="shared" si="23"/>
        <v>Home &gt; Market Area &gt; USA &gt; VERIFY &gt; Buffalo</v>
      </c>
      <c r="AN1746" s="15">
        <f t="shared" si="24"/>
        <v>750</v>
      </c>
      <c r="AO1746" s="15">
        <f t="shared" si="25"/>
        <v>6</v>
      </c>
      <c r="AP1746" s="15">
        <f t="shared" si="26"/>
        <v>6</v>
      </c>
      <c r="AQ1746" s="15">
        <f t="shared" si="27"/>
        <v>30</v>
      </c>
      <c r="AR1746" s="31"/>
      <c r="AS1746" s="31"/>
      <c r="AT1746" s="35" t="s">
        <v>222</v>
      </c>
      <c r="AU1746" s="35"/>
    </row>
    <row r="1747" ht="15.75" customHeight="1">
      <c r="A1747" s="15" t="s">
        <v>7831</v>
      </c>
      <c r="B1747" s="15" t="s">
        <v>221</v>
      </c>
      <c r="C1747" s="15" t="s">
        <v>98</v>
      </c>
      <c r="D1747" s="15" t="s">
        <v>7832</v>
      </c>
      <c r="E1747" s="15" t="s">
        <v>7832</v>
      </c>
      <c r="F1747" s="58" t="s">
        <v>807</v>
      </c>
      <c r="G1747" s="66" t="s">
        <v>98</v>
      </c>
      <c r="H1747" s="18" t="s">
        <v>98</v>
      </c>
      <c r="I1747" s="18" t="s">
        <v>98</v>
      </c>
      <c r="J1747" s="18" t="s">
        <v>98</v>
      </c>
      <c r="K1747" s="18" t="s">
        <v>98</v>
      </c>
      <c r="L1747" s="18" t="s">
        <v>98</v>
      </c>
      <c r="M1747" s="18" t="s">
        <v>530</v>
      </c>
      <c r="N1747" s="18" t="s">
        <v>233</v>
      </c>
      <c r="O1747" s="18" t="s">
        <v>98</v>
      </c>
      <c r="P1747" s="15" t="str">
        <f t="shared" si="1"/>
        <v>VERIFY</v>
      </c>
      <c r="Q1747" s="15">
        <f t="shared" si="2"/>
        <v>8</v>
      </c>
      <c r="R1747" s="15">
        <f t="shared" si="3"/>
        <v>1</v>
      </c>
      <c r="S1747" s="15">
        <f t="shared" si="4"/>
        <v>4</v>
      </c>
      <c r="T1747" s="15" t="str">
        <f t="shared" si="5"/>
        <v>C-4</v>
      </c>
      <c r="U1747" s="15" t="str">
        <f t="shared" si="6"/>
        <v>T8-M1-H4-FC-4-VERIFY</v>
      </c>
      <c r="V1747" s="15">
        <f t="shared" si="7"/>
        <v>1</v>
      </c>
      <c r="W1747" s="31"/>
      <c r="X1747" s="15" t="str">
        <f t="shared" si="8"/>
        <v>charleston-sc-usa</v>
      </c>
      <c r="Y1747" s="32" t="str">
        <f t="shared" si="9"/>
        <v>https://steelmanufacturer.in/market-area/electropolished-pipes-manufacturer-in-charleston-sc-usa/</v>
      </c>
      <c r="Z1747" s="15" t="str">
        <f t="shared" si="10"/>
        <v>Electropolished Pipes Manufacturer in Charleston-SC</v>
      </c>
      <c r="AA1747" s="15" t="str">
        <f t="shared" si="11"/>
        <v>OK (51)</v>
      </c>
      <c r="AB1747" s="15" t="str">
        <f t="shared" si="12"/>
        <v>EP-finished SS 304/316L pipes &amp; tubes for VERIFY plants in Charleston-SC. ASTM A270, ASME BPE SF1-SF4, EN 10204 3.1 MTC. PMI tested.</v>
      </c>
      <c r="AC1747" s="15" t="str">
        <f t="shared" si="13"/>
        <v>PENDING RESEARCH</v>
      </c>
      <c r="AD1747" s="15" t="str">
        <f t="shared" si="14"/>
        <v>Electropolished Pipes Manufacturer in Charleston-SC</v>
      </c>
      <c r="AE1747" s="15" t="str">
        <f t="shared" si="15"/>
        <v>Manufacturing Electropolished SS Tube for Charleston-SC: The Standards We Build To</v>
      </c>
      <c r="AF1747" s="15" t="str">
        <f t="shared" si="16"/>
        <v>Electropolished Pipe Supply Into Charleston-SC - Certification &amp; Transit</v>
      </c>
      <c r="AG1747" s="15" t="str">
        <f t="shared" si="17"/>
        <v>Electropolished Pipes Wholesaler in Charleston-SC - Project Quantities &amp; Terms</v>
      </c>
      <c r="AH1747" s="15" t="str">
        <f t="shared" si="18"/>
        <v>electropolished pipes manufacturer in Charleston-SC, electropolished pipes supplier in Charleston-SC, electropolished pipes wholesaler in Charleston-SC, electropolished tube manufacturer Charleston-SC, EP pipe supplier Charleston-SC, sanitary tube supplier Charleston-SC, ASME BPE tubing Charleston-SC, ASTM A270 tube Charleston-SC, SS 316L electropolished pipe Charleston-SC</v>
      </c>
      <c r="AI1747" s="15" t="str">
        <f t="shared" si="19"/>
        <v>Electropolished Pipes Manufacturer &amp; Supplier in Charleston-SC</v>
      </c>
      <c r="AJ1747" s="15" t="str">
        <f t="shared" si="20"/>
        <v>EP-finished SS 304/316L pipes and tubes for VERIFY plants in Charleston-SC. ASME BPE SF1-SF4, Ra from 0.25 um, EN 10204 3.1 certificate with every lot.</v>
      </c>
      <c r="AK1747" s="15" t="str">
        <f t="shared" si="21"/>
        <v>Electropolished stainless steel pipes supplied by Sakshi Forge to VERIFY plants at VERIFY, Charleston-SC</v>
      </c>
      <c r="AL1747" s="15" t="str">
        <f t="shared" si="22"/>
        <v>Electropolished SS 316L tube stock for Charleston-SC - Sakshi Forge</v>
      </c>
      <c r="AM1747" s="15" t="str">
        <f t="shared" si="23"/>
        <v>Home &gt; Market Area &gt; USA &gt; VERIFY &gt; Charleston-SC</v>
      </c>
      <c r="AN1747" s="15">
        <f t="shared" si="24"/>
        <v>750</v>
      </c>
      <c r="AO1747" s="15">
        <f t="shared" si="25"/>
        <v>6</v>
      </c>
      <c r="AP1747" s="15">
        <f t="shared" si="26"/>
        <v>6</v>
      </c>
      <c r="AQ1747" s="15">
        <f t="shared" si="27"/>
        <v>30</v>
      </c>
      <c r="AR1747" s="31"/>
      <c r="AS1747" s="31"/>
      <c r="AT1747" s="35" t="s">
        <v>222</v>
      </c>
      <c r="AU1747" s="35"/>
    </row>
    <row r="1748" ht="15.75" customHeight="1">
      <c r="A1748" s="15" t="s">
        <v>7833</v>
      </c>
      <c r="B1748" s="15" t="s">
        <v>221</v>
      </c>
      <c r="C1748" s="15" t="s">
        <v>98</v>
      </c>
      <c r="D1748" s="15" t="s">
        <v>7834</v>
      </c>
      <c r="E1748" s="15" t="s">
        <v>7834</v>
      </c>
      <c r="F1748" s="58" t="s">
        <v>807</v>
      </c>
      <c r="G1748" s="66" t="s">
        <v>98</v>
      </c>
      <c r="H1748" s="18" t="s">
        <v>98</v>
      </c>
      <c r="I1748" s="18" t="s">
        <v>98</v>
      </c>
      <c r="J1748" s="18" t="s">
        <v>98</v>
      </c>
      <c r="K1748" s="18" t="s">
        <v>98</v>
      </c>
      <c r="L1748" s="18" t="s">
        <v>98</v>
      </c>
      <c r="M1748" s="18" t="s">
        <v>530</v>
      </c>
      <c r="N1748" s="18" t="s">
        <v>233</v>
      </c>
      <c r="O1748" s="18" t="s">
        <v>98</v>
      </c>
      <c r="P1748" s="15" t="str">
        <f t="shared" si="1"/>
        <v>VERIFY</v>
      </c>
      <c r="Q1748" s="15">
        <f t="shared" si="2"/>
        <v>1</v>
      </c>
      <c r="R1748" s="15">
        <f t="shared" si="3"/>
        <v>2</v>
      </c>
      <c r="S1748" s="15">
        <f t="shared" si="4"/>
        <v>5</v>
      </c>
      <c r="T1748" s="15" t="str">
        <f t="shared" si="5"/>
        <v>C-5</v>
      </c>
      <c r="U1748" s="15" t="str">
        <f t="shared" si="6"/>
        <v>T1-M2-H5-FC-5-VERIFY</v>
      </c>
      <c r="V1748" s="15">
        <f t="shared" si="7"/>
        <v>1</v>
      </c>
      <c r="W1748" s="31"/>
      <c r="X1748" s="15" t="str">
        <f t="shared" si="8"/>
        <v>chattanooga-usa</v>
      </c>
      <c r="Y1748" s="32" t="str">
        <f t="shared" si="9"/>
        <v>https://steelmanufacturer.in/market-area/electropolished-pipes-manufacturer-in-chattanooga-usa/</v>
      </c>
      <c r="Z1748" s="15" t="str">
        <f t="shared" si="10"/>
        <v>Electropolished Pipes Manufacturer in Chattanooga | Sakshi Forge</v>
      </c>
      <c r="AA1748" s="15" t="str">
        <f t="shared" si="11"/>
        <v>OK (64)</v>
      </c>
      <c r="AB1748" s="15" t="str">
        <f t="shared" si="12"/>
        <v>Electropolished tube supply to VERIFY, Chattanooga. Ra from 0.25 um, SF4 finish, mill test certificate with every lot.</v>
      </c>
      <c r="AC1748" s="15" t="str">
        <f t="shared" si="13"/>
        <v>PENDING RESEARCH</v>
      </c>
      <c r="AD1748" s="15" t="str">
        <f t="shared" si="14"/>
        <v>Electropolished Pipes Manufacturer in Chattanooga</v>
      </c>
      <c r="AE1748" s="15" t="str">
        <f t="shared" si="15"/>
        <v>Electropolished Tube Manufacturing Capability Serving Chattanooga</v>
      </c>
      <c r="AF1748" s="15" t="str">
        <f t="shared" si="16"/>
        <v>Electropolished Pipes Supplier in Chattanooga - From Order to Delivery</v>
      </c>
      <c r="AG1748" s="15" t="str">
        <f t="shared" si="17"/>
        <v>Stockist &amp; Wholesale Supply of Electropolished Pipes in Chattanooga</v>
      </c>
      <c r="AH1748" s="15" t="str">
        <f t="shared" si="18"/>
        <v>electropolished pipes manufacturer in Chattanooga, electropolished pipes supplier in Chattanooga, electropolished pipes wholesaler in Chattanooga, electropolished tube manufacturer Chattanooga, EP pipe supplier Chattanooga, sanitary tube supplier Chattanooga, ASME BPE tubing Chattanooga, ASTM A270 tube Chattanooga, SS 316L electropolished pipe Chattanooga</v>
      </c>
      <c r="AI1748" s="15" t="str">
        <f t="shared" si="19"/>
        <v>Electropolished Pipes Manufacturer &amp; Supplier in Chattanooga</v>
      </c>
      <c r="AJ1748" s="15" t="str">
        <f t="shared" si="20"/>
        <v>EP-finished SS 304/316L pipes and tubes for VERIFY plants in Chattanooga. ASME BPE SF1-SF4, Ra from 0.25 um, EN 10204 3.1 certificate with every lot.</v>
      </c>
      <c r="AK1748" s="15" t="str">
        <f t="shared" si="21"/>
        <v>Electropolished stainless steel pipes supplied by Sakshi Forge to VERIFY plants at VERIFY, Chattanooga</v>
      </c>
      <c r="AL1748" s="15" t="str">
        <f t="shared" si="22"/>
        <v>Electropolished SS 316L tube stock for Chattanooga - Sakshi Forge</v>
      </c>
      <c r="AM1748" s="15" t="str">
        <f t="shared" si="23"/>
        <v>Home &gt; Market Area &gt; USA &gt; VERIFY &gt; Chattanooga</v>
      </c>
      <c r="AN1748" s="15">
        <f t="shared" si="24"/>
        <v>750</v>
      </c>
      <c r="AO1748" s="15">
        <f t="shared" si="25"/>
        <v>6</v>
      </c>
      <c r="AP1748" s="15">
        <f t="shared" si="26"/>
        <v>6</v>
      </c>
      <c r="AQ1748" s="15">
        <f t="shared" si="27"/>
        <v>30</v>
      </c>
      <c r="AR1748" s="31"/>
      <c r="AS1748" s="31"/>
      <c r="AT1748" s="35" t="s">
        <v>222</v>
      </c>
      <c r="AU1748" s="35"/>
    </row>
    <row r="1749" ht="15.75" customHeight="1">
      <c r="A1749" s="15" t="s">
        <v>7835</v>
      </c>
      <c r="B1749" s="15" t="s">
        <v>221</v>
      </c>
      <c r="C1749" s="15" t="s">
        <v>98</v>
      </c>
      <c r="D1749" s="15" t="s">
        <v>7836</v>
      </c>
      <c r="E1749" s="15" t="s">
        <v>7836</v>
      </c>
      <c r="F1749" s="58" t="s">
        <v>807</v>
      </c>
      <c r="G1749" s="66" t="s">
        <v>98</v>
      </c>
      <c r="H1749" s="18" t="s">
        <v>98</v>
      </c>
      <c r="I1749" s="18" t="s">
        <v>98</v>
      </c>
      <c r="J1749" s="18" t="s">
        <v>98</v>
      </c>
      <c r="K1749" s="18" t="s">
        <v>98</v>
      </c>
      <c r="L1749" s="18" t="s">
        <v>98</v>
      </c>
      <c r="M1749" s="18" t="s">
        <v>530</v>
      </c>
      <c r="N1749" s="18" t="s">
        <v>233</v>
      </c>
      <c r="O1749" s="18" t="s">
        <v>98</v>
      </c>
      <c r="P1749" s="15" t="str">
        <f t="shared" si="1"/>
        <v>VERIFY</v>
      </c>
      <c r="Q1749" s="15">
        <f t="shared" si="2"/>
        <v>2</v>
      </c>
      <c r="R1749" s="15">
        <f t="shared" si="3"/>
        <v>3</v>
      </c>
      <c r="S1749" s="15">
        <f t="shared" si="4"/>
        <v>1</v>
      </c>
      <c r="T1749" s="15" t="str">
        <f t="shared" si="5"/>
        <v>C-6</v>
      </c>
      <c r="U1749" s="15" t="str">
        <f t="shared" si="6"/>
        <v>T2-M3-H1-FC-6-VERIFY</v>
      </c>
      <c r="V1749" s="15">
        <f t="shared" si="7"/>
        <v>1</v>
      </c>
      <c r="W1749" s="31"/>
      <c r="X1749" s="15" t="str">
        <f t="shared" si="8"/>
        <v>colorado-springs-usa</v>
      </c>
      <c r="Y1749" s="32" t="str">
        <f t="shared" si="9"/>
        <v>https://steelmanufacturer.in/market-area/electropolished-pipes-manufacturer-in-colorado-springs-usa/</v>
      </c>
      <c r="Z1749" s="15" t="str">
        <f t="shared" si="10"/>
        <v>Electropolished Pipes Manufacturer in Colorado Springs</v>
      </c>
      <c r="AA1749" s="15" t="str">
        <f t="shared" si="11"/>
        <v>OK (54)</v>
      </c>
      <c r="AB1749" s="15" t="str">
        <f t="shared" si="12"/>
        <v>EP stainless tube for VERIFY lines in Colorado Springs. 28-35 days sea from Nhava Sheva to US East Coast. ASTM A270 S2, PMI tested, EN 10204 3.1.</v>
      </c>
      <c r="AC1749" s="15" t="str">
        <f t="shared" si="13"/>
        <v>PENDING RESEARCH</v>
      </c>
      <c r="AD1749" s="15" t="str">
        <f t="shared" si="14"/>
        <v>Electropolished Pipes Manufacturer in Colorado Springs</v>
      </c>
      <c r="AE1749" s="15" t="str">
        <f t="shared" si="15"/>
        <v>Electropolished Pipe &amp; Tube Manufacturing for Colorado Springs - Grades, Finishes &amp; Certification</v>
      </c>
      <c r="AF1749" s="15" t="str">
        <f t="shared" si="16"/>
        <v>Electropolished Pipes Supplier in Colorado Springs - Stock Sizes, Lead Time &amp; Delivery</v>
      </c>
      <c r="AG1749" s="15" t="str">
        <f t="shared" si="17"/>
        <v>Electropolished Pipes Wholesaler &amp; Stockist in Colorado Springs - Bulk &amp; Project Pricing</v>
      </c>
      <c r="AH1749" s="15" t="str">
        <f t="shared" si="18"/>
        <v>electropolished pipes manufacturer in Colorado Springs, electropolished pipes supplier in Colorado Springs, electropolished pipes wholesaler in Colorado Springs, electropolished tube manufacturer Colorado Springs, EP pipe supplier Colorado Springs, sanitary tube supplier Colorado Springs, ASME BPE tubing Colorado Springs, ASTM A270 tube Colorado Springs, SS 316L electropolished pipe Colorado Springs</v>
      </c>
      <c r="AI1749" s="15" t="str">
        <f t="shared" si="19"/>
        <v>Electropolished Pipes Manufacturer &amp; Supplier in Colorado Springs</v>
      </c>
      <c r="AJ1749" s="15" t="str">
        <f t="shared" si="20"/>
        <v>EP-finished SS 304/316L pipes and tubes for VERIFY plants in Colorado Springs. ASME BPE SF1-SF4, Ra from 0.25 um, EN 10204 3.1 certificate with every lot.</v>
      </c>
      <c r="AK1749" s="15" t="str">
        <f t="shared" si="21"/>
        <v>Electropolished stainless steel pipes supplied by Sakshi Forge to VERIFY plants at VERIFY, Colorado Springs</v>
      </c>
      <c r="AL1749" s="15" t="str">
        <f t="shared" si="22"/>
        <v>Electropolished SS 316L tube stock for Colorado Springs - Sakshi Forge</v>
      </c>
      <c r="AM1749" s="15" t="str">
        <f t="shared" si="23"/>
        <v>Home &gt; Market Area &gt; USA &gt; VERIFY &gt; Colorado Springs</v>
      </c>
      <c r="AN1749" s="15">
        <f t="shared" si="24"/>
        <v>750</v>
      </c>
      <c r="AO1749" s="15">
        <f t="shared" si="25"/>
        <v>6</v>
      </c>
      <c r="AP1749" s="15">
        <f t="shared" si="26"/>
        <v>6</v>
      </c>
      <c r="AQ1749" s="15">
        <f t="shared" si="27"/>
        <v>30</v>
      </c>
      <c r="AR1749" s="31"/>
      <c r="AS1749" s="31"/>
      <c r="AT1749" s="35" t="s">
        <v>222</v>
      </c>
      <c r="AU1749" s="35"/>
    </row>
    <row r="1750" ht="15.75" customHeight="1">
      <c r="A1750" s="15" t="s">
        <v>7837</v>
      </c>
      <c r="B1750" s="15" t="s">
        <v>221</v>
      </c>
      <c r="C1750" s="15" t="s">
        <v>98</v>
      </c>
      <c r="D1750" s="15" t="s">
        <v>7838</v>
      </c>
      <c r="E1750" s="15" t="s">
        <v>7838</v>
      </c>
      <c r="F1750" s="58" t="s">
        <v>807</v>
      </c>
      <c r="G1750" s="66" t="s">
        <v>98</v>
      </c>
      <c r="H1750" s="18" t="s">
        <v>98</v>
      </c>
      <c r="I1750" s="18" t="s">
        <v>98</v>
      </c>
      <c r="J1750" s="18" t="s">
        <v>98</v>
      </c>
      <c r="K1750" s="18" t="s">
        <v>98</v>
      </c>
      <c r="L1750" s="18" t="s">
        <v>98</v>
      </c>
      <c r="M1750" s="18" t="s">
        <v>530</v>
      </c>
      <c r="N1750" s="18" t="s">
        <v>233</v>
      </c>
      <c r="O1750" s="18" t="s">
        <v>98</v>
      </c>
      <c r="P1750" s="15" t="str">
        <f t="shared" si="1"/>
        <v>VERIFY</v>
      </c>
      <c r="Q1750" s="15">
        <f t="shared" si="2"/>
        <v>3</v>
      </c>
      <c r="R1750" s="15">
        <f t="shared" si="3"/>
        <v>4</v>
      </c>
      <c r="S1750" s="15">
        <f t="shared" si="4"/>
        <v>2</v>
      </c>
      <c r="T1750" s="15" t="str">
        <f t="shared" si="5"/>
        <v>C-1</v>
      </c>
      <c r="U1750" s="15" t="str">
        <f t="shared" si="6"/>
        <v>T3-M4-H2-FC-1-VERIFY</v>
      </c>
      <c r="V1750" s="15">
        <f t="shared" si="7"/>
        <v>1</v>
      </c>
      <c r="W1750" s="31"/>
      <c r="X1750" s="15" t="str">
        <f t="shared" si="8"/>
        <v>corpus-christi-usa</v>
      </c>
      <c r="Y1750" s="32" t="str">
        <f t="shared" si="9"/>
        <v>https://steelmanufacturer.in/market-area/electropolished-pipes-manufacturer-in-corpus-christi-usa/</v>
      </c>
      <c r="Z1750" s="15" t="str">
        <f t="shared" si="10"/>
        <v>Electropolished Pipes Manufacturer in Corpus Christi</v>
      </c>
      <c r="AA1750" s="15" t="str">
        <f t="shared" si="11"/>
        <v>OK (52)</v>
      </c>
      <c r="AB1750" s="15" t="str">
        <f t="shared" si="12"/>
        <v>Sanitary electropolished pipes in Corpus Christi for VERIFY plants. ASME BPE SF1-SF4, orbital-weld ready, 3.1 MTC. Mumbai-made.</v>
      </c>
      <c r="AC1750" s="15" t="str">
        <f t="shared" si="13"/>
        <v>PENDING RESEARCH</v>
      </c>
      <c r="AD1750" s="15" t="str">
        <f t="shared" si="14"/>
        <v>Electropolished Pipes Manufacturer in Corpus Christi</v>
      </c>
      <c r="AE1750" s="15" t="str">
        <f t="shared" si="15"/>
        <v>How We Manufacture Electropolished Tube for Corpus Christi Plants</v>
      </c>
      <c r="AF1750" s="15" t="str">
        <f t="shared" si="16"/>
        <v>Supplying Electropolished Pipes in Corpus Christi: Availability, Sizes &amp; Dispatch</v>
      </c>
      <c r="AG1750" s="15" t="str">
        <f t="shared" si="17"/>
        <v>Wholesale Electropolished Pipe Supply for Corpus Christi Projects</v>
      </c>
      <c r="AH1750" s="15" t="str">
        <f t="shared" si="18"/>
        <v>electropolished pipes manufacturer in Corpus Christi, electropolished pipes supplier in Corpus Christi, electropolished pipes wholesaler in Corpus Christi, electropolished tube manufacturer Corpus Christi, EP pipe supplier Corpus Christi, sanitary tube supplier Corpus Christi, ASME BPE tubing Corpus Christi, ASTM A270 tube Corpus Christi, SS 316L electropolished pipe Corpus Christi</v>
      </c>
      <c r="AI1750" s="15" t="str">
        <f t="shared" si="19"/>
        <v>Electropolished Pipes Manufacturer &amp; Supplier in Corpus Christi</v>
      </c>
      <c r="AJ1750" s="15" t="str">
        <f t="shared" si="20"/>
        <v>EP-finished SS 304/316L pipes and tubes for VERIFY plants in Corpus Christi. ASME BPE SF1-SF4, Ra from 0.25 um, EN 10204 3.1 certificate with every lot.</v>
      </c>
      <c r="AK1750" s="15" t="str">
        <f t="shared" si="21"/>
        <v>Electropolished stainless steel pipes supplied by Sakshi Forge to VERIFY plants at VERIFY, Corpus Christi</v>
      </c>
      <c r="AL1750" s="15" t="str">
        <f t="shared" si="22"/>
        <v>Electropolished SS 316L tube stock for Corpus Christi - Sakshi Forge</v>
      </c>
      <c r="AM1750" s="15" t="str">
        <f t="shared" si="23"/>
        <v>Home &gt; Market Area &gt; USA &gt; VERIFY &gt; Corpus Christi</v>
      </c>
      <c r="AN1750" s="15">
        <f t="shared" si="24"/>
        <v>750</v>
      </c>
      <c r="AO1750" s="15">
        <f t="shared" si="25"/>
        <v>6</v>
      </c>
      <c r="AP1750" s="15">
        <f t="shared" si="26"/>
        <v>6</v>
      </c>
      <c r="AQ1750" s="15">
        <f t="shared" si="27"/>
        <v>30</v>
      </c>
      <c r="AR1750" s="31"/>
      <c r="AS1750" s="31"/>
      <c r="AT1750" s="35" t="s">
        <v>222</v>
      </c>
      <c r="AU1750" s="35"/>
    </row>
    <row r="1751" ht="15.75" customHeight="1">
      <c r="A1751" s="15" t="s">
        <v>7839</v>
      </c>
      <c r="B1751" s="15" t="s">
        <v>221</v>
      </c>
      <c r="C1751" s="15" t="s">
        <v>98</v>
      </c>
      <c r="D1751" s="15" t="s">
        <v>7840</v>
      </c>
      <c r="E1751" s="15" t="s">
        <v>7840</v>
      </c>
      <c r="F1751" s="58" t="s">
        <v>807</v>
      </c>
      <c r="G1751" s="66" t="s">
        <v>98</v>
      </c>
      <c r="H1751" s="18" t="s">
        <v>98</v>
      </c>
      <c r="I1751" s="18" t="s">
        <v>98</v>
      </c>
      <c r="J1751" s="18" t="s">
        <v>98</v>
      </c>
      <c r="K1751" s="18" t="s">
        <v>98</v>
      </c>
      <c r="L1751" s="18" t="s">
        <v>98</v>
      </c>
      <c r="M1751" s="18" t="s">
        <v>530</v>
      </c>
      <c r="N1751" s="18" t="s">
        <v>233</v>
      </c>
      <c r="O1751" s="18" t="s">
        <v>98</v>
      </c>
      <c r="P1751" s="15" t="str">
        <f t="shared" si="1"/>
        <v>VERIFY</v>
      </c>
      <c r="Q1751" s="15">
        <f t="shared" si="2"/>
        <v>4</v>
      </c>
      <c r="R1751" s="15">
        <f t="shared" si="3"/>
        <v>5</v>
      </c>
      <c r="S1751" s="15">
        <f t="shared" si="4"/>
        <v>3</v>
      </c>
      <c r="T1751" s="15" t="str">
        <f t="shared" si="5"/>
        <v>C-2</v>
      </c>
      <c r="U1751" s="15" t="str">
        <f t="shared" si="6"/>
        <v>T4-M5-H3-FC-2-VERIFY</v>
      </c>
      <c r="V1751" s="15">
        <f t="shared" si="7"/>
        <v>1</v>
      </c>
      <c r="W1751" s="31"/>
      <c r="X1751" s="15" t="str">
        <f t="shared" si="8"/>
        <v>dayton-usa</v>
      </c>
      <c r="Y1751" s="32" t="str">
        <f t="shared" si="9"/>
        <v>https://steelmanufacturer.in/market-area/electropolished-pipes-manufacturer-in-dayton-usa/</v>
      </c>
      <c r="Z1751" s="15" t="str">
        <f t="shared" si="10"/>
        <v>Electropolished Pipes Manufacturer in Dayton</v>
      </c>
      <c r="AA1751" s="15" t="str">
        <f t="shared" si="11"/>
        <v>OK (44)</v>
      </c>
      <c r="AB1751" s="15" t="str">
        <f t="shared" si="12"/>
        <v>Manufacturer of electropolished SS 316L tube serving Dayton. 28-35 days sea from Nhava Sheva to US East Coast. Ra 0.25-0.5 um, EN 10204 3.1 MTC.</v>
      </c>
      <c r="AC1751" s="15" t="str">
        <f t="shared" si="13"/>
        <v>PENDING RESEARCH</v>
      </c>
      <c r="AD1751" s="15" t="str">
        <f t="shared" si="14"/>
        <v>Electropolished Pipes Manufacturer in Dayton</v>
      </c>
      <c r="AE1751" s="15" t="str">
        <f t="shared" si="15"/>
        <v>Electropolished Pipes Manufacturer in Dayton - Our Process &amp; Capability</v>
      </c>
      <c r="AF1751" s="15" t="str">
        <f t="shared" si="16"/>
        <v>Electropolished Pipes Supplier in Dayton - What We Hold in Stock</v>
      </c>
      <c r="AG1751" s="15" t="str">
        <f t="shared" si="17"/>
        <v>Bulk &amp; Wholesale Electropolished Pipe Rates for Dayton Buyers</v>
      </c>
      <c r="AH1751" s="15" t="str">
        <f t="shared" si="18"/>
        <v>electropolished pipes manufacturer in Dayton, electropolished pipes supplier in Dayton, electropolished pipes wholesaler in Dayton, electropolished tube manufacturer Dayton, EP pipe supplier Dayton, sanitary tube supplier Dayton, ASME BPE tubing Dayton, ASTM A270 tube Dayton, SS 316L electropolished pipe Dayton</v>
      </c>
      <c r="AI1751" s="15" t="str">
        <f t="shared" si="19"/>
        <v>Electropolished Pipes Manufacturer &amp; Supplier in Dayton</v>
      </c>
      <c r="AJ1751" s="15" t="str">
        <f t="shared" si="20"/>
        <v>EP-finished SS 304/316L pipes and tubes for VERIFY plants in Dayton. ASME BPE SF1-SF4, Ra from 0.25 um, EN 10204 3.1 certificate with every lot.</v>
      </c>
      <c r="AK1751" s="15" t="str">
        <f t="shared" si="21"/>
        <v>Electropolished stainless steel pipes supplied by Sakshi Forge to VERIFY plants at VERIFY, Dayton</v>
      </c>
      <c r="AL1751" s="15" t="str">
        <f t="shared" si="22"/>
        <v>Electropolished SS 316L tube stock for Dayton - Sakshi Forge</v>
      </c>
      <c r="AM1751" s="15" t="str">
        <f t="shared" si="23"/>
        <v>Home &gt; Market Area &gt; USA &gt; VERIFY &gt; Dayton</v>
      </c>
      <c r="AN1751" s="15">
        <f t="shared" si="24"/>
        <v>750</v>
      </c>
      <c r="AO1751" s="15">
        <f t="shared" si="25"/>
        <v>6</v>
      </c>
      <c r="AP1751" s="15">
        <f t="shared" si="26"/>
        <v>6</v>
      </c>
      <c r="AQ1751" s="15">
        <f t="shared" si="27"/>
        <v>30</v>
      </c>
      <c r="AR1751" s="31"/>
      <c r="AS1751" s="31"/>
      <c r="AT1751" s="35" t="s">
        <v>222</v>
      </c>
      <c r="AU1751" s="35"/>
    </row>
    <row r="1752" ht="15.75" customHeight="1">
      <c r="A1752" s="15" t="s">
        <v>7841</v>
      </c>
      <c r="B1752" s="15" t="s">
        <v>221</v>
      </c>
      <c r="C1752" s="15" t="s">
        <v>98</v>
      </c>
      <c r="D1752" s="15" t="s">
        <v>7842</v>
      </c>
      <c r="E1752" s="15" t="s">
        <v>7842</v>
      </c>
      <c r="F1752" s="58" t="s">
        <v>807</v>
      </c>
      <c r="G1752" s="66" t="s">
        <v>98</v>
      </c>
      <c r="H1752" s="18" t="s">
        <v>98</v>
      </c>
      <c r="I1752" s="18" t="s">
        <v>98</v>
      </c>
      <c r="J1752" s="18" t="s">
        <v>98</v>
      </c>
      <c r="K1752" s="18" t="s">
        <v>98</v>
      </c>
      <c r="L1752" s="18" t="s">
        <v>98</v>
      </c>
      <c r="M1752" s="18" t="s">
        <v>530</v>
      </c>
      <c r="N1752" s="18" t="s">
        <v>233</v>
      </c>
      <c r="O1752" s="18" t="s">
        <v>98</v>
      </c>
      <c r="P1752" s="15" t="str">
        <f t="shared" si="1"/>
        <v>VERIFY</v>
      </c>
      <c r="Q1752" s="15">
        <f t="shared" si="2"/>
        <v>5</v>
      </c>
      <c r="R1752" s="15">
        <f t="shared" si="3"/>
        <v>6</v>
      </c>
      <c r="S1752" s="15">
        <f t="shared" si="4"/>
        <v>4</v>
      </c>
      <c r="T1752" s="15" t="str">
        <f t="shared" si="5"/>
        <v>C-3</v>
      </c>
      <c r="U1752" s="15" t="str">
        <f t="shared" si="6"/>
        <v>T5-M6-H4-FC-3-VERIFY</v>
      </c>
      <c r="V1752" s="15">
        <f t="shared" si="7"/>
        <v>1</v>
      </c>
      <c r="W1752" s="31"/>
      <c r="X1752" s="15" t="str">
        <f t="shared" si="8"/>
        <v>duluth-usa</v>
      </c>
      <c r="Y1752" s="32" t="str">
        <f t="shared" si="9"/>
        <v>https://steelmanufacturer.in/market-area/electropolished-pipes-manufacturer-in-duluth-usa/</v>
      </c>
      <c r="Z1752" s="15" t="str">
        <f t="shared" si="10"/>
        <v>Electropolished Pipes Manufacturer in Duluth</v>
      </c>
      <c r="AA1752" s="15" t="str">
        <f t="shared" si="11"/>
        <v>OK (44)</v>
      </c>
      <c r="AB1752" s="15" t="str">
        <f t="shared" si="12"/>
        <v>EP tube and pipe for VERIFY plants around VERIFY, Duluth. Made at our Mumbai works to ASTM A270 and ASME BPE SF1-SF4, with 3.1 MTC.</v>
      </c>
      <c r="AC1752" s="15" t="str">
        <f t="shared" si="13"/>
        <v>PENDING RESEARCH</v>
      </c>
      <c r="AD1752" s="15" t="str">
        <f t="shared" si="14"/>
        <v>Electropolished Pipes Manufacturer in Duluth</v>
      </c>
      <c r="AE1752" s="15" t="str">
        <f t="shared" si="15"/>
        <v>Manufacturing Electropolished SS Tube for Duluth: The Standards We Build To</v>
      </c>
      <c r="AF1752" s="15" t="str">
        <f t="shared" si="16"/>
        <v>Electropolished Pipe Supply Into Duluth - Certification &amp; Transit</v>
      </c>
      <c r="AG1752" s="15" t="str">
        <f t="shared" si="17"/>
        <v>Electropolished Pipes Wholesaler in Duluth - Project Quantities &amp; Terms</v>
      </c>
      <c r="AH1752" s="15" t="str">
        <f t="shared" si="18"/>
        <v>electropolished pipes manufacturer in Duluth, electropolished pipes supplier in Duluth, electropolished pipes wholesaler in Duluth, electropolished tube manufacturer Duluth, EP pipe supplier Duluth, sanitary tube supplier Duluth, ASME BPE tubing Duluth, ASTM A270 tube Duluth, SS 316L electropolished pipe Duluth</v>
      </c>
      <c r="AI1752" s="15" t="str">
        <f t="shared" si="19"/>
        <v>Electropolished Pipes Manufacturer &amp; Supplier in Duluth</v>
      </c>
      <c r="AJ1752" s="15" t="str">
        <f t="shared" si="20"/>
        <v>EP-finished SS 304/316L pipes and tubes for VERIFY plants in Duluth. ASME BPE SF1-SF4, Ra from 0.25 um, EN 10204 3.1 certificate with every lot.</v>
      </c>
      <c r="AK1752" s="15" t="str">
        <f t="shared" si="21"/>
        <v>Electropolished stainless steel pipes supplied by Sakshi Forge to VERIFY plants at VERIFY, Duluth</v>
      </c>
      <c r="AL1752" s="15" t="str">
        <f t="shared" si="22"/>
        <v>Electropolished SS 316L tube stock for Duluth - Sakshi Forge</v>
      </c>
      <c r="AM1752" s="15" t="str">
        <f t="shared" si="23"/>
        <v>Home &gt; Market Area &gt; USA &gt; VERIFY &gt; Duluth</v>
      </c>
      <c r="AN1752" s="15">
        <f t="shared" si="24"/>
        <v>750</v>
      </c>
      <c r="AO1752" s="15">
        <f t="shared" si="25"/>
        <v>6</v>
      </c>
      <c r="AP1752" s="15">
        <f t="shared" si="26"/>
        <v>6</v>
      </c>
      <c r="AQ1752" s="15">
        <f t="shared" si="27"/>
        <v>30</v>
      </c>
      <c r="AR1752" s="31"/>
      <c r="AS1752" s="31"/>
      <c r="AT1752" s="35" t="s">
        <v>222</v>
      </c>
      <c r="AU1752" s="35"/>
    </row>
    <row r="1753" ht="15.75" customHeight="1">
      <c r="A1753" s="15" t="s">
        <v>7843</v>
      </c>
      <c r="B1753" s="15" t="s">
        <v>221</v>
      </c>
      <c r="C1753" s="15" t="s">
        <v>98</v>
      </c>
      <c r="D1753" s="15" t="s">
        <v>7844</v>
      </c>
      <c r="E1753" s="15" t="s">
        <v>7844</v>
      </c>
      <c r="F1753" s="58" t="s">
        <v>807</v>
      </c>
      <c r="G1753" s="66" t="s">
        <v>98</v>
      </c>
      <c r="H1753" s="18" t="s">
        <v>98</v>
      </c>
      <c r="I1753" s="18" t="s">
        <v>98</v>
      </c>
      <c r="J1753" s="18" t="s">
        <v>98</v>
      </c>
      <c r="K1753" s="18" t="s">
        <v>98</v>
      </c>
      <c r="L1753" s="18" t="s">
        <v>98</v>
      </c>
      <c r="M1753" s="18" t="s">
        <v>530</v>
      </c>
      <c r="N1753" s="18" t="s">
        <v>233</v>
      </c>
      <c r="O1753" s="18" t="s">
        <v>98</v>
      </c>
      <c r="P1753" s="15" t="str">
        <f t="shared" si="1"/>
        <v>VERIFY</v>
      </c>
      <c r="Q1753" s="15">
        <f t="shared" si="2"/>
        <v>6</v>
      </c>
      <c r="R1753" s="15">
        <f t="shared" si="3"/>
        <v>7</v>
      </c>
      <c r="S1753" s="15">
        <f t="shared" si="4"/>
        <v>5</v>
      </c>
      <c r="T1753" s="15" t="str">
        <f t="shared" si="5"/>
        <v>C-4</v>
      </c>
      <c r="U1753" s="15" t="str">
        <f t="shared" si="6"/>
        <v>T6-M7-H5-FC-4-VERIFY</v>
      </c>
      <c r="V1753" s="15">
        <f t="shared" si="7"/>
        <v>1</v>
      </c>
      <c r="W1753" s="31"/>
      <c r="X1753" s="15" t="str">
        <f t="shared" si="8"/>
        <v>eau-claire-usa</v>
      </c>
      <c r="Y1753" s="32" t="str">
        <f t="shared" si="9"/>
        <v>https://steelmanufacturer.in/market-area/electropolished-pipes-manufacturer-in-eau-claire-usa/</v>
      </c>
      <c r="Z1753" s="15" t="str">
        <f t="shared" si="10"/>
        <v>Electropolished Pipes Manufacturer in Eau Claire</v>
      </c>
      <c r="AA1753" s="15" t="str">
        <f t="shared" si="11"/>
        <v>OK (48)</v>
      </c>
      <c r="AB1753" s="15" t="str">
        <f t="shared" si="12"/>
        <v>Electropolished pipes in Eau Claire: 304, 304L, 316 and 316L in SF1-SF4. 28-35 days sea from Nhava Sheva to US East Coast. Mill certified.</v>
      </c>
      <c r="AC1753" s="15" t="str">
        <f t="shared" si="13"/>
        <v>PENDING RESEARCH</v>
      </c>
      <c r="AD1753" s="15" t="str">
        <f t="shared" si="14"/>
        <v>Electropolished Pipes Manufacturer in Eau Claire</v>
      </c>
      <c r="AE1753" s="15" t="str">
        <f t="shared" si="15"/>
        <v>Electropolished Tube Manufacturing Capability Serving Eau Claire</v>
      </c>
      <c r="AF1753" s="15" t="str">
        <f t="shared" si="16"/>
        <v>Electropolished Pipes Supplier in Eau Claire - From Order to Delivery</v>
      </c>
      <c r="AG1753" s="15" t="str">
        <f t="shared" si="17"/>
        <v>Stockist &amp; Wholesale Supply of Electropolished Pipes in Eau Claire</v>
      </c>
      <c r="AH1753" s="15" t="str">
        <f t="shared" si="18"/>
        <v>electropolished pipes manufacturer in Eau Claire, electropolished pipes supplier in Eau Claire, electropolished pipes wholesaler in Eau Claire, electropolished tube manufacturer Eau Claire, EP pipe supplier Eau Claire, sanitary tube supplier Eau Claire, ASME BPE tubing Eau Claire, ASTM A270 tube Eau Claire, SS 316L electropolished pipe Eau Claire</v>
      </c>
      <c r="AI1753" s="15" t="str">
        <f t="shared" si="19"/>
        <v>Electropolished Pipes Manufacturer &amp; Supplier in Eau Claire</v>
      </c>
      <c r="AJ1753" s="15" t="str">
        <f t="shared" si="20"/>
        <v>EP-finished SS 304/316L pipes and tubes for VERIFY plants in Eau Claire. ASME BPE SF1-SF4, Ra from 0.25 um, EN 10204 3.1 certificate with every lot.</v>
      </c>
      <c r="AK1753" s="15" t="str">
        <f t="shared" si="21"/>
        <v>Electropolished stainless steel pipes supplied by Sakshi Forge to VERIFY plants at VERIFY, Eau Claire</v>
      </c>
      <c r="AL1753" s="15" t="str">
        <f t="shared" si="22"/>
        <v>Electropolished SS 316L tube stock for Eau Claire - Sakshi Forge</v>
      </c>
      <c r="AM1753" s="15" t="str">
        <f t="shared" si="23"/>
        <v>Home &gt; Market Area &gt; USA &gt; VERIFY &gt; Eau Claire</v>
      </c>
      <c r="AN1753" s="15">
        <f t="shared" si="24"/>
        <v>750</v>
      </c>
      <c r="AO1753" s="15">
        <f t="shared" si="25"/>
        <v>6</v>
      </c>
      <c r="AP1753" s="15">
        <f t="shared" si="26"/>
        <v>6</v>
      </c>
      <c r="AQ1753" s="15">
        <f t="shared" si="27"/>
        <v>30</v>
      </c>
      <c r="AR1753" s="31"/>
      <c r="AS1753" s="31"/>
      <c r="AT1753" s="35" t="s">
        <v>222</v>
      </c>
      <c r="AU1753" s="35"/>
    </row>
    <row r="1754" ht="15.75" customHeight="1">
      <c r="A1754" s="15" t="s">
        <v>7845</v>
      </c>
      <c r="B1754" s="15" t="s">
        <v>221</v>
      </c>
      <c r="C1754" s="15" t="s">
        <v>98</v>
      </c>
      <c r="D1754" s="15" t="s">
        <v>7846</v>
      </c>
      <c r="E1754" s="15" t="s">
        <v>7846</v>
      </c>
      <c r="F1754" s="58" t="s">
        <v>807</v>
      </c>
      <c r="G1754" s="66" t="s">
        <v>98</v>
      </c>
      <c r="H1754" s="18" t="s">
        <v>98</v>
      </c>
      <c r="I1754" s="18" t="s">
        <v>98</v>
      </c>
      <c r="J1754" s="18" t="s">
        <v>98</v>
      </c>
      <c r="K1754" s="18" t="s">
        <v>98</v>
      </c>
      <c r="L1754" s="18" t="s">
        <v>98</v>
      </c>
      <c r="M1754" s="18" t="s">
        <v>530</v>
      </c>
      <c r="N1754" s="18" t="s">
        <v>233</v>
      </c>
      <c r="O1754" s="18" t="s">
        <v>98</v>
      </c>
      <c r="P1754" s="15" t="str">
        <f t="shared" si="1"/>
        <v>VERIFY</v>
      </c>
      <c r="Q1754" s="15">
        <f t="shared" si="2"/>
        <v>7</v>
      </c>
      <c r="R1754" s="15">
        <f t="shared" si="3"/>
        <v>1</v>
      </c>
      <c r="S1754" s="15">
        <f t="shared" si="4"/>
        <v>1</v>
      </c>
      <c r="T1754" s="15" t="str">
        <f t="shared" si="5"/>
        <v>C-5</v>
      </c>
      <c r="U1754" s="15" t="str">
        <f t="shared" si="6"/>
        <v>T7-M1-H1-FC-5-VERIFY</v>
      </c>
      <c r="V1754" s="15">
        <f t="shared" si="7"/>
        <v>1</v>
      </c>
      <c r="W1754" s="31"/>
      <c r="X1754" s="15" t="str">
        <f t="shared" si="8"/>
        <v>el-paso-usa</v>
      </c>
      <c r="Y1754" s="32" t="str">
        <f t="shared" si="9"/>
        <v>https://steelmanufacturer.in/market-area/electropolished-pipes-manufacturer-in-el-paso-usa/</v>
      </c>
      <c r="Z1754" s="15" t="str">
        <f t="shared" si="10"/>
        <v>Electropolished Pipes Manufacturer in El Paso | ASME BPE SF1-SF4</v>
      </c>
      <c r="AA1754" s="15" t="str">
        <f t="shared" si="11"/>
        <v>OK (64)</v>
      </c>
      <c r="AB1754" s="15" t="str">
        <f t="shared" si="12"/>
        <v>EP-finished SS 304/316L pipes &amp; tubes for VERIFY plants in El Paso. ASTM A270, ASME BPE SF1-SF4, EN 10204 3.1 MTC. PMI tested.</v>
      </c>
      <c r="AC1754" s="15" t="str">
        <f t="shared" si="13"/>
        <v>PENDING RESEARCH</v>
      </c>
      <c r="AD1754" s="15" t="str">
        <f t="shared" si="14"/>
        <v>Electropolished Pipes Manufacturer in El Paso</v>
      </c>
      <c r="AE1754" s="15" t="str">
        <f t="shared" si="15"/>
        <v>Electropolished Pipe &amp; Tube Manufacturing for El Paso - Grades, Finishes &amp; Certification</v>
      </c>
      <c r="AF1754" s="15" t="str">
        <f t="shared" si="16"/>
        <v>Electropolished Pipes Supplier in El Paso - Stock Sizes, Lead Time &amp; Delivery</v>
      </c>
      <c r="AG1754" s="15" t="str">
        <f t="shared" si="17"/>
        <v>Electropolished Pipes Wholesaler &amp; Stockist in El Paso - Bulk &amp; Project Pricing</v>
      </c>
      <c r="AH1754" s="15" t="str">
        <f t="shared" si="18"/>
        <v>electropolished pipes manufacturer in El Paso, electropolished pipes supplier in El Paso, electropolished pipes wholesaler in El Paso, electropolished tube manufacturer El Paso, EP pipe supplier El Paso, sanitary tube supplier El Paso, ASME BPE tubing El Paso, ASTM A270 tube El Paso, SS 316L electropolished pipe El Paso</v>
      </c>
      <c r="AI1754" s="15" t="str">
        <f t="shared" si="19"/>
        <v>Electropolished Pipes Manufacturer &amp; Supplier in El Paso</v>
      </c>
      <c r="AJ1754" s="15" t="str">
        <f t="shared" si="20"/>
        <v>EP-finished SS 304/316L pipes and tubes for VERIFY plants in El Paso. ASME BPE SF1-SF4, Ra from 0.25 um, EN 10204 3.1 certificate with every lot.</v>
      </c>
      <c r="AK1754" s="15" t="str">
        <f t="shared" si="21"/>
        <v>Electropolished stainless steel pipes supplied by Sakshi Forge to VERIFY plants at VERIFY, El Paso</v>
      </c>
      <c r="AL1754" s="15" t="str">
        <f t="shared" si="22"/>
        <v>Electropolished SS 316L tube stock for El Paso - Sakshi Forge</v>
      </c>
      <c r="AM1754" s="15" t="str">
        <f t="shared" si="23"/>
        <v>Home &gt; Market Area &gt; USA &gt; VERIFY &gt; El Paso</v>
      </c>
      <c r="AN1754" s="15">
        <f t="shared" si="24"/>
        <v>750</v>
      </c>
      <c r="AO1754" s="15">
        <f t="shared" si="25"/>
        <v>6</v>
      </c>
      <c r="AP1754" s="15">
        <f t="shared" si="26"/>
        <v>6</v>
      </c>
      <c r="AQ1754" s="15">
        <f t="shared" si="27"/>
        <v>30</v>
      </c>
      <c r="AR1754" s="31"/>
      <c r="AS1754" s="31"/>
      <c r="AT1754" s="35" t="s">
        <v>222</v>
      </c>
      <c r="AU1754" s="35"/>
    </row>
    <row r="1755" ht="15.75" customHeight="1">
      <c r="A1755" s="15" t="s">
        <v>7852</v>
      </c>
      <c r="B1755" s="15" t="s">
        <v>221</v>
      </c>
      <c r="C1755" s="15" t="s">
        <v>98</v>
      </c>
      <c r="D1755" s="15" t="s">
        <v>7855</v>
      </c>
      <c r="E1755" s="15" t="s">
        <v>7855</v>
      </c>
      <c r="F1755" s="58" t="s">
        <v>807</v>
      </c>
      <c r="G1755" s="66" t="s">
        <v>98</v>
      </c>
      <c r="H1755" s="18" t="s">
        <v>98</v>
      </c>
      <c r="I1755" s="18" t="s">
        <v>98</v>
      </c>
      <c r="J1755" s="18" t="s">
        <v>98</v>
      </c>
      <c r="K1755" s="18" t="s">
        <v>98</v>
      </c>
      <c r="L1755" s="18" t="s">
        <v>98</v>
      </c>
      <c r="M1755" s="18" t="s">
        <v>530</v>
      </c>
      <c r="N1755" s="18" t="s">
        <v>233</v>
      </c>
      <c r="O1755" s="18" t="s">
        <v>98</v>
      </c>
      <c r="P1755" s="15" t="str">
        <f t="shared" si="1"/>
        <v>VERIFY</v>
      </c>
      <c r="Q1755" s="15">
        <f t="shared" si="2"/>
        <v>8</v>
      </c>
      <c r="R1755" s="15">
        <f t="shared" si="3"/>
        <v>2</v>
      </c>
      <c r="S1755" s="15">
        <f t="shared" si="4"/>
        <v>2</v>
      </c>
      <c r="T1755" s="15" t="str">
        <f t="shared" si="5"/>
        <v>C-6</v>
      </c>
      <c r="U1755" s="15" t="str">
        <f t="shared" si="6"/>
        <v>T8-M2-H2-FC-6-VERIFY</v>
      </c>
      <c r="V1755" s="15">
        <f t="shared" si="7"/>
        <v>1</v>
      </c>
      <c r="W1755" s="31"/>
      <c r="X1755" s="15" t="str">
        <f t="shared" si="8"/>
        <v>eugene-usa</v>
      </c>
      <c r="Y1755" s="32" t="str">
        <f t="shared" si="9"/>
        <v>https://steelmanufacturer.in/market-area/electropolished-pipes-manufacturer-in-eugene-usa/</v>
      </c>
      <c r="Z1755" s="15" t="str">
        <f t="shared" si="10"/>
        <v>Electropolished Pipes Manufacturer in Eugene - EP Tube Stockist</v>
      </c>
      <c r="AA1755" s="15" t="str">
        <f t="shared" si="11"/>
        <v>OK (63)</v>
      </c>
      <c r="AB1755" s="15" t="str">
        <f t="shared" si="12"/>
        <v>Electropolished tube supply to VERIFY, Eugene. Ra from 0.25 um, SF4 finish, mill test certificate with every lot.</v>
      </c>
      <c r="AC1755" s="15" t="str">
        <f t="shared" si="13"/>
        <v>PENDING RESEARCH</v>
      </c>
      <c r="AD1755" s="15" t="str">
        <f t="shared" si="14"/>
        <v>Electropolished Pipes Manufacturer in Eugene</v>
      </c>
      <c r="AE1755" s="15" t="str">
        <f t="shared" si="15"/>
        <v>How We Manufacture Electropolished Tube for Eugene Plants</v>
      </c>
      <c r="AF1755" s="15" t="str">
        <f t="shared" si="16"/>
        <v>Supplying Electropolished Pipes in Eugene: Availability, Sizes &amp; Dispatch</v>
      </c>
      <c r="AG1755" s="15" t="str">
        <f t="shared" si="17"/>
        <v>Wholesale Electropolished Pipe Supply for Eugene Projects</v>
      </c>
      <c r="AH1755" s="15" t="str">
        <f t="shared" si="18"/>
        <v>electropolished pipes manufacturer in Eugene, electropolished pipes supplier in Eugene, electropolished pipes wholesaler in Eugene, electropolished tube manufacturer Eugene, EP pipe supplier Eugene, sanitary tube supplier Eugene, ASME BPE tubing Eugene, ASTM A270 tube Eugene, SS 316L electropolished pipe Eugene</v>
      </c>
      <c r="AI1755" s="15" t="str">
        <f t="shared" si="19"/>
        <v>Electropolished Pipes Manufacturer &amp; Supplier in Eugene</v>
      </c>
      <c r="AJ1755" s="15" t="str">
        <f t="shared" si="20"/>
        <v>EP-finished SS 304/316L pipes and tubes for VERIFY plants in Eugene. ASME BPE SF1-SF4, Ra from 0.25 um, EN 10204 3.1 certificate with every lot.</v>
      </c>
      <c r="AK1755" s="15" t="str">
        <f t="shared" si="21"/>
        <v>Electropolished stainless steel pipes supplied by Sakshi Forge to VERIFY plants at VERIFY, Eugene</v>
      </c>
      <c r="AL1755" s="15" t="str">
        <f t="shared" si="22"/>
        <v>Electropolished SS 316L tube stock for Eugene - Sakshi Forge</v>
      </c>
      <c r="AM1755" s="15" t="str">
        <f t="shared" si="23"/>
        <v>Home &gt; Market Area &gt; USA &gt; VERIFY &gt; Eugene</v>
      </c>
      <c r="AN1755" s="15">
        <f t="shared" si="24"/>
        <v>750</v>
      </c>
      <c r="AO1755" s="15">
        <f t="shared" si="25"/>
        <v>6</v>
      </c>
      <c r="AP1755" s="15">
        <f t="shared" si="26"/>
        <v>6</v>
      </c>
      <c r="AQ1755" s="15">
        <f t="shared" si="27"/>
        <v>30</v>
      </c>
      <c r="AR1755" s="31"/>
      <c r="AS1755" s="31"/>
      <c r="AT1755" s="35" t="s">
        <v>222</v>
      </c>
      <c r="AU1755" s="35"/>
    </row>
    <row r="1756" ht="15.75" customHeight="1">
      <c r="A1756" s="15" t="s">
        <v>7856</v>
      </c>
      <c r="B1756" s="15" t="s">
        <v>221</v>
      </c>
      <c r="C1756" s="15" t="s">
        <v>98</v>
      </c>
      <c r="D1756" s="15" t="s">
        <v>7857</v>
      </c>
      <c r="E1756" s="15" t="s">
        <v>7857</v>
      </c>
      <c r="F1756" s="58" t="s">
        <v>807</v>
      </c>
      <c r="G1756" s="66" t="s">
        <v>98</v>
      </c>
      <c r="H1756" s="18" t="s">
        <v>98</v>
      </c>
      <c r="I1756" s="18" t="s">
        <v>98</v>
      </c>
      <c r="J1756" s="18" t="s">
        <v>98</v>
      </c>
      <c r="K1756" s="18" t="s">
        <v>98</v>
      </c>
      <c r="L1756" s="18" t="s">
        <v>98</v>
      </c>
      <c r="M1756" s="18" t="s">
        <v>530</v>
      </c>
      <c r="N1756" s="18" t="s">
        <v>233</v>
      </c>
      <c r="O1756" s="18" t="s">
        <v>98</v>
      </c>
      <c r="P1756" s="15" t="str">
        <f t="shared" si="1"/>
        <v>VERIFY</v>
      </c>
      <c r="Q1756" s="15">
        <f t="shared" si="2"/>
        <v>1</v>
      </c>
      <c r="R1756" s="15">
        <f t="shared" si="3"/>
        <v>3</v>
      </c>
      <c r="S1756" s="15">
        <f t="shared" si="4"/>
        <v>3</v>
      </c>
      <c r="T1756" s="15" t="str">
        <f t="shared" si="5"/>
        <v>C-1</v>
      </c>
      <c r="U1756" s="15" t="str">
        <f t="shared" si="6"/>
        <v>T1-M3-H3-FC-1-VERIFY</v>
      </c>
      <c r="V1756" s="15">
        <f t="shared" si="7"/>
        <v>1</v>
      </c>
      <c r="W1756" s="31"/>
      <c r="X1756" s="15" t="str">
        <f t="shared" si="8"/>
        <v>fargo-usa</v>
      </c>
      <c r="Y1756" s="32" t="str">
        <f t="shared" si="9"/>
        <v>https://steelmanufacturer.in/market-area/electropolished-pipes-manufacturer-in-fargo-usa/</v>
      </c>
      <c r="Z1756" s="15" t="str">
        <f t="shared" si="10"/>
        <v>Electropolished Pipes Manufacturer in Fargo | Sakshi Forge</v>
      </c>
      <c r="AA1756" s="15" t="str">
        <f t="shared" si="11"/>
        <v>OK (58)</v>
      </c>
      <c r="AB1756" s="15" t="str">
        <f t="shared" si="12"/>
        <v>EP stainless tube for VERIFY lines in Fargo. 28-35 days sea from Nhava Sheva to US East Coast. ASTM A270 S2, PMI tested, EN 10204 3.1.</v>
      </c>
      <c r="AC1756" s="15" t="str">
        <f t="shared" si="13"/>
        <v>PENDING RESEARCH</v>
      </c>
      <c r="AD1756" s="15" t="str">
        <f t="shared" si="14"/>
        <v>Electropolished Pipes Manufacturer in Fargo</v>
      </c>
      <c r="AE1756" s="15" t="str">
        <f t="shared" si="15"/>
        <v>Electropolished Pipes Manufacturer in Fargo - Our Process &amp; Capability</v>
      </c>
      <c r="AF1756" s="15" t="str">
        <f t="shared" si="16"/>
        <v>Electropolished Pipes Supplier in Fargo - What We Hold in Stock</v>
      </c>
      <c r="AG1756" s="15" t="str">
        <f t="shared" si="17"/>
        <v>Bulk &amp; Wholesale Electropolished Pipe Rates for Fargo Buyers</v>
      </c>
      <c r="AH1756" s="15" t="str">
        <f t="shared" si="18"/>
        <v>electropolished pipes manufacturer in Fargo, electropolished pipes supplier in Fargo, electropolished pipes wholesaler in Fargo, electropolished tube manufacturer Fargo, EP pipe supplier Fargo, sanitary tube supplier Fargo, ASME BPE tubing Fargo, ASTM A270 tube Fargo, SS 316L electropolished pipe Fargo</v>
      </c>
      <c r="AI1756" s="15" t="str">
        <f t="shared" si="19"/>
        <v>Electropolished Pipes Manufacturer &amp; Supplier in Fargo</v>
      </c>
      <c r="AJ1756" s="15" t="str">
        <f t="shared" si="20"/>
        <v>EP-finished SS 304/316L pipes and tubes for VERIFY plants in Fargo. ASME BPE SF1-SF4, Ra from 0.25 um, EN 10204 3.1 certificate with every lot.</v>
      </c>
      <c r="AK1756" s="15" t="str">
        <f t="shared" si="21"/>
        <v>Electropolished stainless steel pipes supplied by Sakshi Forge to VERIFY plants at VERIFY, Fargo</v>
      </c>
      <c r="AL1756" s="15" t="str">
        <f t="shared" si="22"/>
        <v>Electropolished SS 316L tube stock for Fargo - Sakshi Forge</v>
      </c>
      <c r="AM1756" s="15" t="str">
        <f t="shared" si="23"/>
        <v>Home &gt; Market Area &gt; USA &gt; VERIFY &gt; Fargo</v>
      </c>
      <c r="AN1756" s="15">
        <f t="shared" si="24"/>
        <v>750</v>
      </c>
      <c r="AO1756" s="15">
        <f t="shared" si="25"/>
        <v>6</v>
      </c>
      <c r="AP1756" s="15">
        <f t="shared" si="26"/>
        <v>6</v>
      </c>
      <c r="AQ1756" s="15">
        <f t="shared" si="27"/>
        <v>30</v>
      </c>
      <c r="AR1756" s="31"/>
      <c r="AS1756" s="31"/>
      <c r="AT1756" s="35" t="s">
        <v>222</v>
      </c>
      <c r="AU1756" s="35"/>
    </row>
    <row r="1757" ht="15.75" customHeight="1">
      <c r="A1757" s="15" t="s">
        <v>7858</v>
      </c>
      <c r="B1757" s="15" t="s">
        <v>221</v>
      </c>
      <c r="C1757" s="15" t="s">
        <v>98</v>
      </c>
      <c r="D1757" s="15" t="s">
        <v>7859</v>
      </c>
      <c r="E1757" s="15" t="s">
        <v>7859</v>
      </c>
      <c r="F1757" s="58" t="s">
        <v>807</v>
      </c>
      <c r="G1757" s="66" t="s">
        <v>98</v>
      </c>
      <c r="H1757" s="18" t="s">
        <v>98</v>
      </c>
      <c r="I1757" s="18" t="s">
        <v>98</v>
      </c>
      <c r="J1757" s="18" t="s">
        <v>98</v>
      </c>
      <c r="K1757" s="18" t="s">
        <v>98</v>
      </c>
      <c r="L1757" s="18" t="s">
        <v>98</v>
      </c>
      <c r="M1757" s="18" t="s">
        <v>530</v>
      </c>
      <c r="N1757" s="18" t="s">
        <v>233</v>
      </c>
      <c r="O1757" s="18" t="s">
        <v>98</v>
      </c>
      <c r="P1757" s="15" t="str">
        <f t="shared" si="1"/>
        <v>VERIFY</v>
      </c>
      <c r="Q1757" s="15">
        <f t="shared" si="2"/>
        <v>2</v>
      </c>
      <c r="R1757" s="15">
        <f t="shared" si="3"/>
        <v>4</v>
      </c>
      <c r="S1757" s="15">
        <f t="shared" si="4"/>
        <v>4</v>
      </c>
      <c r="T1757" s="15" t="str">
        <f t="shared" si="5"/>
        <v>C-2</v>
      </c>
      <c r="U1757" s="15" t="str">
        <f t="shared" si="6"/>
        <v>T2-M4-H4-FC-2-VERIFY</v>
      </c>
      <c r="V1757" s="15">
        <f t="shared" si="7"/>
        <v>1</v>
      </c>
      <c r="W1757" s="31"/>
      <c r="X1757" s="15" t="str">
        <f t="shared" si="8"/>
        <v>fort-collins-usa</v>
      </c>
      <c r="Y1757" s="32" t="str">
        <f t="shared" si="9"/>
        <v>https://steelmanufacturer.in/market-area/electropolished-pipes-manufacturer-in-fort-collins-usa/</v>
      </c>
      <c r="Z1757" s="15" t="str">
        <f t="shared" si="10"/>
        <v>Electropolished Pipes Manufacturer in Fort Collins</v>
      </c>
      <c r="AA1757" s="15" t="str">
        <f t="shared" si="11"/>
        <v>OK (50)</v>
      </c>
      <c r="AB1757" s="15" t="str">
        <f t="shared" si="12"/>
        <v>Sanitary electropolished pipes in Fort Collins for VERIFY plants. ASME BPE SF1-SF4, orbital-weld ready, 3.1 MTC. Mumbai-made.</v>
      </c>
      <c r="AC1757" s="15" t="str">
        <f t="shared" si="13"/>
        <v>PENDING RESEARCH</v>
      </c>
      <c r="AD1757" s="15" t="str">
        <f t="shared" si="14"/>
        <v>Electropolished Pipes Manufacturer in Fort Collins</v>
      </c>
      <c r="AE1757" s="15" t="str">
        <f t="shared" si="15"/>
        <v>Manufacturing Electropolished SS Tube for Fort Collins: The Standards We Build To</v>
      </c>
      <c r="AF1757" s="15" t="str">
        <f t="shared" si="16"/>
        <v>Electropolished Pipe Supply Into Fort Collins - Certification &amp; Transit</v>
      </c>
      <c r="AG1757" s="15" t="str">
        <f t="shared" si="17"/>
        <v>Electropolished Pipes Wholesaler in Fort Collins - Project Quantities &amp; Terms</v>
      </c>
      <c r="AH1757" s="15" t="str">
        <f t="shared" si="18"/>
        <v>electropolished pipes manufacturer in Fort Collins, electropolished pipes supplier in Fort Collins, electropolished pipes wholesaler in Fort Collins, electropolished tube manufacturer Fort Collins, EP pipe supplier Fort Collins, sanitary tube supplier Fort Collins, ASME BPE tubing Fort Collins, ASTM A270 tube Fort Collins, SS 316L electropolished pipe Fort Collins</v>
      </c>
      <c r="AI1757" s="15" t="str">
        <f t="shared" si="19"/>
        <v>Electropolished Pipes Manufacturer &amp; Supplier in Fort Collins</v>
      </c>
      <c r="AJ1757" s="15" t="str">
        <f t="shared" si="20"/>
        <v>EP-finished SS 304/316L pipes and tubes for VERIFY plants in Fort Collins. ASME BPE SF1-SF4, Ra from 0.25 um, EN 10204 3.1 certificate with every lot.</v>
      </c>
      <c r="AK1757" s="15" t="str">
        <f t="shared" si="21"/>
        <v>Electropolished stainless steel pipes supplied by Sakshi Forge to VERIFY plants at VERIFY, Fort Collins</v>
      </c>
      <c r="AL1757" s="15" t="str">
        <f t="shared" si="22"/>
        <v>Electropolished SS 316L tube stock for Fort Collins - Sakshi Forge</v>
      </c>
      <c r="AM1757" s="15" t="str">
        <f t="shared" si="23"/>
        <v>Home &gt; Market Area &gt; USA &gt; VERIFY &gt; Fort Collins</v>
      </c>
      <c r="AN1757" s="15">
        <f t="shared" si="24"/>
        <v>750</v>
      </c>
      <c r="AO1757" s="15">
        <f t="shared" si="25"/>
        <v>6</v>
      </c>
      <c r="AP1757" s="15">
        <f t="shared" si="26"/>
        <v>6</v>
      </c>
      <c r="AQ1757" s="15">
        <f t="shared" si="27"/>
        <v>30</v>
      </c>
      <c r="AR1757" s="31"/>
      <c r="AS1757" s="31"/>
      <c r="AT1757" s="35" t="s">
        <v>222</v>
      </c>
      <c r="AU1757" s="35"/>
    </row>
    <row r="1758" ht="15.75" customHeight="1">
      <c r="A1758" s="15" t="s">
        <v>7860</v>
      </c>
      <c r="B1758" s="15" t="s">
        <v>221</v>
      </c>
      <c r="C1758" s="15" t="s">
        <v>98</v>
      </c>
      <c r="D1758" s="15" t="s">
        <v>7861</v>
      </c>
      <c r="E1758" s="15" t="s">
        <v>7861</v>
      </c>
      <c r="F1758" s="58" t="s">
        <v>807</v>
      </c>
      <c r="G1758" s="66" t="s">
        <v>98</v>
      </c>
      <c r="H1758" s="18" t="s">
        <v>98</v>
      </c>
      <c r="I1758" s="18" t="s">
        <v>98</v>
      </c>
      <c r="J1758" s="18" t="s">
        <v>98</v>
      </c>
      <c r="K1758" s="18" t="s">
        <v>98</v>
      </c>
      <c r="L1758" s="18" t="s">
        <v>98</v>
      </c>
      <c r="M1758" s="18" t="s">
        <v>530</v>
      </c>
      <c r="N1758" s="18" t="s">
        <v>233</v>
      </c>
      <c r="O1758" s="18" t="s">
        <v>98</v>
      </c>
      <c r="P1758" s="15" t="str">
        <f t="shared" si="1"/>
        <v>VERIFY</v>
      </c>
      <c r="Q1758" s="15">
        <f t="shared" si="2"/>
        <v>3</v>
      </c>
      <c r="R1758" s="15">
        <f t="shared" si="3"/>
        <v>5</v>
      </c>
      <c r="S1758" s="15">
        <f t="shared" si="4"/>
        <v>5</v>
      </c>
      <c r="T1758" s="15" t="str">
        <f t="shared" si="5"/>
        <v>C-3</v>
      </c>
      <c r="U1758" s="15" t="str">
        <f t="shared" si="6"/>
        <v>T3-M5-H5-FC-3-VERIFY</v>
      </c>
      <c r="V1758" s="15">
        <f t="shared" si="7"/>
        <v>1</v>
      </c>
      <c r="W1758" s="31"/>
      <c r="X1758" s="15" t="str">
        <f t="shared" si="8"/>
        <v>fort-myers-usa</v>
      </c>
      <c r="Y1758" s="32" t="str">
        <f t="shared" si="9"/>
        <v>https://steelmanufacturer.in/market-area/electropolished-pipes-manufacturer-in-fort-myers-usa/</v>
      </c>
      <c r="Z1758" s="15" t="str">
        <f t="shared" si="10"/>
        <v>Electropolished Pipes Manufacturer in Fort Myers</v>
      </c>
      <c r="AA1758" s="15" t="str">
        <f t="shared" si="11"/>
        <v>OK (48)</v>
      </c>
      <c r="AB1758" s="15" t="str">
        <f t="shared" si="12"/>
        <v>Manufacturer of electropolished SS 316L tube serving Fort Myers. 28-35 days sea from Nhava Sheva to US East Coast. Ra 0.25-0.5 um, EN 10204 3.1 MTC.</v>
      </c>
      <c r="AC1758" s="15" t="str">
        <f t="shared" si="13"/>
        <v>PENDING RESEARCH</v>
      </c>
      <c r="AD1758" s="15" t="str">
        <f t="shared" si="14"/>
        <v>Electropolished Pipes Manufacturer in Fort Myers</v>
      </c>
      <c r="AE1758" s="15" t="str">
        <f t="shared" si="15"/>
        <v>Electropolished Tube Manufacturing Capability Serving Fort Myers</v>
      </c>
      <c r="AF1758" s="15" t="str">
        <f t="shared" si="16"/>
        <v>Electropolished Pipes Supplier in Fort Myers - From Order to Delivery</v>
      </c>
      <c r="AG1758" s="15" t="str">
        <f t="shared" si="17"/>
        <v>Stockist &amp; Wholesale Supply of Electropolished Pipes in Fort Myers</v>
      </c>
      <c r="AH1758" s="15" t="str">
        <f t="shared" si="18"/>
        <v>electropolished pipes manufacturer in Fort Myers, electropolished pipes supplier in Fort Myers, electropolished pipes wholesaler in Fort Myers, electropolished tube manufacturer Fort Myers, EP pipe supplier Fort Myers, sanitary tube supplier Fort Myers, ASME BPE tubing Fort Myers, ASTM A270 tube Fort Myers, SS 316L electropolished pipe Fort Myers</v>
      </c>
      <c r="AI1758" s="15" t="str">
        <f t="shared" si="19"/>
        <v>Electropolished Pipes Manufacturer &amp; Supplier in Fort Myers</v>
      </c>
      <c r="AJ1758" s="15" t="str">
        <f t="shared" si="20"/>
        <v>EP-finished SS 304/316L pipes and tubes for VERIFY plants in Fort Myers. ASME BPE SF1-SF4, Ra from 0.25 um, EN 10204 3.1 certificate with every lot.</v>
      </c>
      <c r="AK1758" s="15" t="str">
        <f t="shared" si="21"/>
        <v>Electropolished stainless steel pipes supplied by Sakshi Forge to VERIFY plants at VERIFY, Fort Myers</v>
      </c>
      <c r="AL1758" s="15" t="str">
        <f t="shared" si="22"/>
        <v>Electropolished SS 316L tube stock for Fort Myers - Sakshi Forge</v>
      </c>
      <c r="AM1758" s="15" t="str">
        <f t="shared" si="23"/>
        <v>Home &gt; Market Area &gt; USA &gt; VERIFY &gt; Fort Myers</v>
      </c>
      <c r="AN1758" s="15">
        <f t="shared" si="24"/>
        <v>750</v>
      </c>
      <c r="AO1758" s="15">
        <f t="shared" si="25"/>
        <v>6</v>
      </c>
      <c r="AP1758" s="15">
        <f t="shared" si="26"/>
        <v>6</v>
      </c>
      <c r="AQ1758" s="15">
        <f t="shared" si="27"/>
        <v>30</v>
      </c>
      <c r="AR1758" s="31"/>
      <c r="AS1758" s="31"/>
      <c r="AT1758" s="35" t="s">
        <v>222</v>
      </c>
      <c r="AU1758" s="35"/>
    </row>
    <row r="1759" ht="15.75" customHeight="1">
      <c r="A1759" s="15" t="s">
        <v>7862</v>
      </c>
      <c r="B1759" s="15" t="s">
        <v>221</v>
      </c>
      <c r="C1759" s="15" t="s">
        <v>98</v>
      </c>
      <c r="D1759" s="15" t="s">
        <v>7863</v>
      </c>
      <c r="E1759" s="15" t="s">
        <v>7863</v>
      </c>
      <c r="F1759" s="58" t="s">
        <v>807</v>
      </c>
      <c r="G1759" s="66" t="s">
        <v>98</v>
      </c>
      <c r="H1759" s="18" t="s">
        <v>98</v>
      </c>
      <c r="I1759" s="18" t="s">
        <v>98</v>
      </c>
      <c r="J1759" s="18" t="s">
        <v>98</v>
      </c>
      <c r="K1759" s="18" t="s">
        <v>98</v>
      </c>
      <c r="L1759" s="18" t="s">
        <v>98</v>
      </c>
      <c r="M1759" s="18" t="s">
        <v>530</v>
      </c>
      <c r="N1759" s="18" t="s">
        <v>233</v>
      </c>
      <c r="O1759" s="18" t="s">
        <v>98</v>
      </c>
      <c r="P1759" s="15" t="str">
        <f t="shared" si="1"/>
        <v>VERIFY</v>
      </c>
      <c r="Q1759" s="15">
        <f t="shared" si="2"/>
        <v>4</v>
      </c>
      <c r="R1759" s="15">
        <f t="shared" si="3"/>
        <v>6</v>
      </c>
      <c r="S1759" s="15">
        <f t="shared" si="4"/>
        <v>1</v>
      </c>
      <c r="T1759" s="15" t="str">
        <f t="shared" si="5"/>
        <v>C-4</v>
      </c>
      <c r="U1759" s="15" t="str">
        <f t="shared" si="6"/>
        <v>T4-M6-H1-FC-4-VERIFY</v>
      </c>
      <c r="V1759" s="15">
        <f t="shared" si="7"/>
        <v>1</v>
      </c>
      <c r="W1759" s="31"/>
      <c r="X1759" s="15" t="str">
        <f t="shared" si="8"/>
        <v>fort-wayne-usa</v>
      </c>
      <c r="Y1759" s="32" t="str">
        <f t="shared" si="9"/>
        <v>https://steelmanufacturer.in/market-area/electropolished-pipes-manufacturer-in-fort-wayne-usa/</v>
      </c>
      <c r="Z1759" s="15" t="str">
        <f t="shared" si="10"/>
        <v>Electropolished Pipes Manufacturer in Fort Wayne</v>
      </c>
      <c r="AA1759" s="15" t="str">
        <f t="shared" si="11"/>
        <v>OK (48)</v>
      </c>
      <c r="AB1759" s="15" t="str">
        <f t="shared" si="12"/>
        <v>EP tube and pipe for VERIFY plants around VERIFY, Fort Wayne. Made at our Mumbai works to ASTM A270 and ASME BPE SF1-SF4, with 3.1 MTC.</v>
      </c>
      <c r="AC1759" s="15" t="str">
        <f t="shared" si="13"/>
        <v>PENDING RESEARCH</v>
      </c>
      <c r="AD1759" s="15" t="str">
        <f t="shared" si="14"/>
        <v>Electropolished Pipes Manufacturer in Fort Wayne</v>
      </c>
      <c r="AE1759" s="15" t="str">
        <f t="shared" si="15"/>
        <v>Electropolished Pipe &amp; Tube Manufacturing for Fort Wayne - Grades, Finishes &amp; Certification</v>
      </c>
      <c r="AF1759" s="15" t="str">
        <f t="shared" si="16"/>
        <v>Electropolished Pipes Supplier in Fort Wayne - Stock Sizes, Lead Time &amp; Delivery</v>
      </c>
      <c r="AG1759" s="15" t="str">
        <f t="shared" si="17"/>
        <v>Electropolished Pipes Wholesaler &amp; Stockist in Fort Wayne - Bulk &amp; Project Pricing</v>
      </c>
      <c r="AH1759" s="15" t="str">
        <f t="shared" si="18"/>
        <v>electropolished pipes manufacturer in Fort Wayne, electropolished pipes supplier in Fort Wayne, electropolished pipes wholesaler in Fort Wayne, electropolished tube manufacturer Fort Wayne, EP pipe supplier Fort Wayne, sanitary tube supplier Fort Wayne, ASME BPE tubing Fort Wayne, ASTM A270 tube Fort Wayne, SS 316L electropolished pipe Fort Wayne</v>
      </c>
      <c r="AI1759" s="15" t="str">
        <f t="shared" si="19"/>
        <v>Electropolished Pipes Manufacturer &amp; Supplier in Fort Wayne</v>
      </c>
      <c r="AJ1759" s="15" t="str">
        <f t="shared" si="20"/>
        <v>EP-finished SS 304/316L pipes and tubes for VERIFY plants in Fort Wayne. ASME BPE SF1-SF4, Ra from 0.25 um, EN 10204 3.1 certificate with every lot.</v>
      </c>
      <c r="AK1759" s="15" t="str">
        <f t="shared" si="21"/>
        <v>Electropolished stainless steel pipes supplied by Sakshi Forge to VERIFY plants at VERIFY, Fort Wayne</v>
      </c>
      <c r="AL1759" s="15" t="str">
        <f t="shared" si="22"/>
        <v>Electropolished SS 316L tube stock for Fort Wayne - Sakshi Forge</v>
      </c>
      <c r="AM1759" s="15" t="str">
        <f t="shared" si="23"/>
        <v>Home &gt; Market Area &gt; USA &gt; VERIFY &gt; Fort Wayne</v>
      </c>
      <c r="AN1759" s="15">
        <f t="shared" si="24"/>
        <v>750</v>
      </c>
      <c r="AO1759" s="15">
        <f t="shared" si="25"/>
        <v>6</v>
      </c>
      <c r="AP1759" s="15">
        <f t="shared" si="26"/>
        <v>6</v>
      </c>
      <c r="AQ1759" s="15">
        <f t="shared" si="27"/>
        <v>30</v>
      </c>
      <c r="AR1759" s="31"/>
      <c r="AS1759" s="31"/>
      <c r="AT1759" s="35" t="s">
        <v>222</v>
      </c>
      <c r="AU1759" s="35"/>
    </row>
    <row r="1760" ht="15.75" customHeight="1">
      <c r="A1760" s="15" t="s">
        <v>7864</v>
      </c>
      <c r="B1760" s="15" t="s">
        <v>221</v>
      </c>
      <c r="C1760" s="15" t="s">
        <v>98</v>
      </c>
      <c r="D1760" s="15" t="s">
        <v>7865</v>
      </c>
      <c r="E1760" s="15" t="s">
        <v>7865</v>
      </c>
      <c r="F1760" s="58" t="s">
        <v>807</v>
      </c>
      <c r="G1760" s="66" t="s">
        <v>98</v>
      </c>
      <c r="H1760" s="18" t="s">
        <v>98</v>
      </c>
      <c r="I1760" s="18" t="s">
        <v>98</v>
      </c>
      <c r="J1760" s="18" t="s">
        <v>98</v>
      </c>
      <c r="K1760" s="18" t="s">
        <v>98</v>
      </c>
      <c r="L1760" s="18" t="s">
        <v>98</v>
      </c>
      <c r="M1760" s="18" t="s">
        <v>530</v>
      </c>
      <c r="N1760" s="18" t="s">
        <v>233</v>
      </c>
      <c r="O1760" s="18" t="s">
        <v>98</v>
      </c>
      <c r="P1760" s="15" t="str">
        <f t="shared" si="1"/>
        <v>VERIFY</v>
      </c>
      <c r="Q1760" s="15">
        <f t="shared" si="2"/>
        <v>5</v>
      </c>
      <c r="R1760" s="15">
        <f t="shared" si="3"/>
        <v>7</v>
      </c>
      <c r="S1760" s="15">
        <f t="shared" si="4"/>
        <v>2</v>
      </c>
      <c r="T1760" s="15" t="str">
        <f t="shared" si="5"/>
        <v>C-5</v>
      </c>
      <c r="U1760" s="15" t="str">
        <f t="shared" si="6"/>
        <v>T5-M7-H2-FC-5-VERIFY</v>
      </c>
      <c r="V1760" s="15">
        <f t="shared" si="7"/>
        <v>1</v>
      </c>
      <c r="W1760" s="31"/>
      <c r="X1760" s="15" t="str">
        <f t="shared" si="8"/>
        <v>fresno-usa</v>
      </c>
      <c r="Y1760" s="32" t="str">
        <f t="shared" si="9"/>
        <v>https://steelmanufacturer.in/market-area/electropolished-pipes-manufacturer-in-fresno-usa/</v>
      </c>
      <c r="Z1760" s="15" t="str">
        <f t="shared" si="10"/>
        <v>Electropolished Pipes Manufacturer in Fresno</v>
      </c>
      <c r="AA1760" s="15" t="str">
        <f t="shared" si="11"/>
        <v>OK (44)</v>
      </c>
      <c r="AB1760" s="15" t="str">
        <f t="shared" si="12"/>
        <v>Electropolished pipes in Fresno: 304, 304L, 316 and 316L in SF1-SF4. 28-35 days sea from Nhava Sheva to US East Coast. Mill certified.</v>
      </c>
      <c r="AC1760" s="15" t="str">
        <f t="shared" si="13"/>
        <v>PENDING RESEARCH</v>
      </c>
      <c r="AD1760" s="15" t="str">
        <f t="shared" si="14"/>
        <v>Electropolished Pipes Manufacturer in Fresno</v>
      </c>
      <c r="AE1760" s="15" t="str">
        <f t="shared" si="15"/>
        <v>How We Manufacture Electropolished Tube for Fresno Plants</v>
      </c>
      <c r="AF1760" s="15" t="str">
        <f t="shared" si="16"/>
        <v>Supplying Electropolished Pipes in Fresno: Availability, Sizes &amp; Dispatch</v>
      </c>
      <c r="AG1760" s="15" t="str">
        <f t="shared" si="17"/>
        <v>Wholesale Electropolished Pipe Supply for Fresno Projects</v>
      </c>
      <c r="AH1760" s="15" t="str">
        <f t="shared" si="18"/>
        <v>electropolished pipes manufacturer in Fresno, electropolished pipes supplier in Fresno, electropolished pipes wholesaler in Fresno, electropolished tube manufacturer Fresno, EP pipe supplier Fresno, sanitary tube supplier Fresno, ASME BPE tubing Fresno, ASTM A270 tube Fresno, SS 316L electropolished pipe Fresno</v>
      </c>
      <c r="AI1760" s="15" t="str">
        <f t="shared" si="19"/>
        <v>Electropolished Pipes Manufacturer &amp; Supplier in Fresno</v>
      </c>
      <c r="AJ1760" s="15" t="str">
        <f t="shared" si="20"/>
        <v>EP-finished SS 304/316L pipes and tubes for VERIFY plants in Fresno. ASME BPE SF1-SF4, Ra from 0.25 um, EN 10204 3.1 certificate with every lot.</v>
      </c>
      <c r="AK1760" s="15" t="str">
        <f t="shared" si="21"/>
        <v>Electropolished stainless steel pipes supplied by Sakshi Forge to VERIFY plants at VERIFY, Fresno</v>
      </c>
      <c r="AL1760" s="15" t="str">
        <f t="shared" si="22"/>
        <v>Electropolished SS 316L tube stock for Fresno - Sakshi Forge</v>
      </c>
      <c r="AM1760" s="15" t="str">
        <f t="shared" si="23"/>
        <v>Home &gt; Market Area &gt; USA &gt; VERIFY &gt; Fresno</v>
      </c>
      <c r="AN1760" s="15">
        <f t="shared" si="24"/>
        <v>750</v>
      </c>
      <c r="AO1760" s="15">
        <f t="shared" si="25"/>
        <v>6</v>
      </c>
      <c r="AP1760" s="15">
        <f t="shared" si="26"/>
        <v>6</v>
      </c>
      <c r="AQ1760" s="15">
        <f t="shared" si="27"/>
        <v>30</v>
      </c>
      <c r="AR1760" s="31"/>
      <c r="AS1760" s="31"/>
      <c r="AT1760" s="35" t="s">
        <v>222</v>
      </c>
      <c r="AU1760" s="35"/>
    </row>
    <row r="1761" ht="15.75" customHeight="1">
      <c r="A1761" s="15" t="s">
        <v>7866</v>
      </c>
      <c r="B1761" s="15" t="s">
        <v>221</v>
      </c>
      <c r="C1761" s="15" t="s">
        <v>98</v>
      </c>
      <c r="D1761" s="15" t="s">
        <v>7867</v>
      </c>
      <c r="E1761" s="15" t="s">
        <v>7867</v>
      </c>
      <c r="F1761" s="58" t="s">
        <v>807</v>
      </c>
      <c r="G1761" s="66" t="s">
        <v>98</v>
      </c>
      <c r="H1761" s="18" t="s">
        <v>98</v>
      </c>
      <c r="I1761" s="18" t="s">
        <v>98</v>
      </c>
      <c r="J1761" s="18" t="s">
        <v>98</v>
      </c>
      <c r="K1761" s="18" t="s">
        <v>98</v>
      </c>
      <c r="L1761" s="18" t="s">
        <v>98</v>
      </c>
      <c r="M1761" s="18" t="s">
        <v>530</v>
      </c>
      <c r="N1761" s="18" t="s">
        <v>233</v>
      </c>
      <c r="O1761" s="18" t="s">
        <v>98</v>
      </c>
      <c r="P1761" s="15" t="str">
        <f t="shared" si="1"/>
        <v>VERIFY</v>
      </c>
      <c r="Q1761" s="15">
        <f t="shared" si="2"/>
        <v>6</v>
      </c>
      <c r="R1761" s="15">
        <f t="shared" si="3"/>
        <v>1</v>
      </c>
      <c r="S1761" s="15">
        <f t="shared" si="4"/>
        <v>3</v>
      </c>
      <c r="T1761" s="15" t="str">
        <f t="shared" si="5"/>
        <v>C-6</v>
      </c>
      <c r="U1761" s="15" t="str">
        <f t="shared" si="6"/>
        <v>T6-M1-H3-FC-6-VERIFY</v>
      </c>
      <c r="V1761" s="15">
        <f t="shared" si="7"/>
        <v>1</v>
      </c>
      <c r="W1761" s="31"/>
      <c r="X1761" s="15" t="str">
        <f t="shared" si="8"/>
        <v>grand-rapids-usa</v>
      </c>
      <c r="Y1761" s="32" t="str">
        <f t="shared" si="9"/>
        <v>https://steelmanufacturer.in/market-area/electropolished-pipes-manufacturer-in-grand-rapids-usa/</v>
      </c>
      <c r="Z1761" s="15" t="str">
        <f t="shared" si="10"/>
        <v>Electropolished Pipes Manufacturer in Grand Rapids</v>
      </c>
      <c r="AA1761" s="15" t="str">
        <f t="shared" si="11"/>
        <v>OK (50)</v>
      </c>
      <c r="AB1761" s="15" t="str">
        <f t="shared" si="12"/>
        <v>EP-finished SS 304/316L pipes &amp; tubes for VERIFY plants in Grand Rapids. ASTM A270, ASME BPE SF1-SF4, EN 10204 3.1 MTC. PMI tested.</v>
      </c>
      <c r="AC1761" s="15" t="str">
        <f t="shared" si="13"/>
        <v>PENDING RESEARCH</v>
      </c>
      <c r="AD1761" s="15" t="str">
        <f t="shared" si="14"/>
        <v>Electropolished Pipes Manufacturer in Grand Rapids</v>
      </c>
      <c r="AE1761" s="15" t="str">
        <f t="shared" si="15"/>
        <v>Electropolished Pipes Manufacturer in Grand Rapids - Our Process &amp; Capability</v>
      </c>
      <c r="AF1761" s="15" t="str">
        <f t="shared" si="16"/>
        <v>Electropolished Pipes Supplier in Grand Rapids - What We Hold in Stock</v>
      </c>
      <c r="AG1761" s="15" t="str">
        <f t="shared" si="17"/>
        <v>Bulk &amp; Wholesale Electropolished Pipe Rates for Grand Rapids Buyers</v>
      </c>
      <c r="AH1761" s="15" t="str">
        <f t="shared" si="18"/>
        <v>electropolished pipes manufacturer in Grand Rapids, electropolished pipes supplier in Grand Rapids, electropolished pipes wholesaler in Grand Rapids, electropolished tube manufacturer Grand Rapids, EP pipe supplier Grand Rapids, sanitary tube supplier Grand Rapids, ASME BPE tubing Grand Rapids, ASTM A270 tube Grand Rapids, SS 316L electropolished pipe Grand Rapids</v>
      </c>
      <c r="AI1761" s="15" t="str">
        <f t="shared" si="19"/>
        <v>Electropolished Pipes Manufacturer &amp; Supplier in Grand Rapids</v>
      </c>
      <c r="AJ1761" s="15" t="str">
        <f t="shared" si="20"/>
        <v>EP-finished SS 304/316L pipes and tubes for VERIFY plants in Grand Rapids. ASME BPE SF1-SF4, Ra from 0.25 um, EN 10204 3.1 certificate with every lot.</v>
      </c>
      <c r="AK1761" s="15" t="str">
        <f t="shared" si="21"/>
        <v>Electropolished stainless steel pipes supplied by Sakshi Forge to VERIFY plants at VERIFY, Grand Rapids</v>
      </c>
      <c r="AL1761" s="15" t="str">
        <f t="shared" si="22"/>
        <v>Electropolished SS 316L tube stock for Grand Rapids - Sakshi Forge</v>
      </c>
      <c r="AM1761" s="15" t="str">
        <f t="shared" si="23"/>
        <v>Home &gt; Market Area &gt; USA &gt; VERIFY &gt; Grand Rapids</v>
      </c>
      <c r="AN1761" s="15">
        <f t="shared" si="24"/>
        <v>750</v>
      </c>
      <c r="AO1761" s="15">
        <f t="shared" si="25"/>
        <v>6</v>
      </c>
      <c r="AP1761" s="15">
        <f t="shared" si="26"/>
        <v>6</v>
      </c>
      <c r="AQ1761" s="15">
        <f t="shared" si="27"/>
        <v>30</v>
      </c>
      <c r="AR1761" s="31"/>
      <c r="AS1761" s="31"/>
      <c r="AT1761" s="35" t="s">
        <v>222</v>
      </c>
      <c r="AU1761" s="35"/>
    </row>
    <row r="1762" ht="15.75" customHeight="1">
      <c r="A1762" s="15" t="s">
        <v>7868</v>
      </c>
      <c r="B1762" s="15" t="s">
        <v>221</v>
      </c>
      <c r="C1762" s="15" t="s">
        <v>98</v>
      </c>
      <c r="D1762" s="15" t="s">
        <v>7869</v>
      </c>
      <c r="E1762" s="15" t="s">
        <v>7869</v>
      </c>
      <c r="F1762" s="58" t="s">
        <v>807</v>
      </c>
      <c r="G1762" s="66" t="s">
        <v>98</v>
      </c>
      <c r="H1762" s="18" t="s">
        <v>98</v>
      </c>
      <c r="I1762" s="18" t="s">
        <v>98</v>
      </c>
      <c r="J1762" s="18" t="s">
        <v>98</v>
      </c>
      <c r="K1762" s="18" t="s">
        <v>98</v>
      </c>
      <c r="L1762" s="18" t="s">
        <v>98</v>
      </c>
      <c r="M1762" s="18" t="s">
        <v>530</v>
      </c>
      <c r="N1762" s="18" t="s">
        <v>233</v>
      </c>
      <c r="O1762" s="18" t="s">
        <v>98</v>
      </c>
      <c r="P1762" s="15" t="str">
        <f t="shared" si="1"/>
        <v>VERIFY</v>
      </c>
      <c r="Q1762" s="15">
        <f t="shared" si="2"/>
        <v>7</v>
      </c>
      <c r="R1762" s="15">
        <f t="shared" si="3"/>
        <v>2</v>
      </c>
      <c r="S1762" s="15">
        <f t="shared" si="4"/>
        <v>4</v>
      </c>
      <c r="T1762" s="15" t="str">
        <f t="shared" si="5"/>
        <v>C-1</v>
      </c>
      <c r="U1762" s="15" t="str">
        <f t="shared" si="6"/>
        <v>T7-M2-H4-FC-1-VERIFY</v>
      </c>
      <c r="V1762" s="15">
        <f t="shared" si="7"/>
        <v>1</v>
      </c>
      <c r="W1762" s="31"/>
      <c r="X1762" s="15" t="str">
        <f t="shared" si="8"/>
        <v>green-bay-usa</v>
      </c>
      <c r="Y1762" s="32" t="str">
        <f t="shared" si="9"/>
        <v>https://steelmanufacturer.in/market-area/electropolished-pipes-manufacturer-in-green-bay-usa/</v>
      </c>
      <c r="Z1762" s="15" t="str">
        <f t="shared" si="10"/>
        <v>Electropolished Pipes Manufacturer in Green Bay</v>
      </c>
      <c r="AA1762" s="15" t="str">
        <f t="shared" si="11"/>
        <v>OK (47)</v>
      </c>
      <c r="AB1762" s="15" t="str">
        <f t="shared" si="12"/>
        <v>Electropolished tube supply to VERIFY, Green Bay. Ra from 0.25 um, SF4 finish, mill test certificate with every lot.</v>
      </c>
      <c r="AC1762" s="15" t="str">
        <f t="shared" si="13"/>
        <v>PENDING RESEARCH</v>
      </c>
      <c r="AD1762" s="15" t="str">
        <f t="shared" si="14"/>
        <v>Electropolished Pipes Manufacturer in Green Bay</v>
      </c>
      <c r="AE1762" s="15" t="str">
        <f t="shared" si="15"/>
        <v>Manufacturing Electropolished SS Tube for Green Bay: The Standards We Build To</v>
      </c>
      <c r="AF1762" s="15" t="str">
        <f t="shared" si="16"/>
        <v>Electropolished Pipe Supply Into Green Bay - Certification &amp; Transit</v>
      </c>
      <c r="AG1762" s="15" t="str">
        <f t="shared" si="17"/>
        <v>Electropolished Pipes Wholesaler in Green Bay - Project Quantities &amp; Terms</v>
      </c>
      <c r="AH1762" s="15" t="str">
        <f t="shared" si="18"/>
        <v>electropolished pipes manufacturer in Green Bay, electropolished pipes supplier in Green Bay, electropolished pipes wholesaler in Green Bay, electropolished tube manufacturer Green Bay, EP pipe supplier Green Bay, sanitary tube supplier Green Bay, ASME BPE tubing Green Bay, ASTM A270 tube Green Bay, SS 316L electropolished pipe Green Bay</v>
      </c>
      <c r="AI1762" s="15" t="str">
        <f t="shared" si="19"/>
        <v>Electropolished Pipes Manufacturer &amp; Supplier in Green Bay</v>
      </c>
      <c r="AJ1762" s="15" t="str">
        <f t="shared" si="20"/>
        <v>EP-finished SS 304/316L pipes and tubes for VERIFY plants in Green Bay. ASME BPE SF1-SF4, Ra from 0.25 um, EN 10204 3.1 certificate with every lot.</v>
      </c>
      <c r="AK1762" s="15" t="str">
        <f t="shared" si="21"/>
        <v>Electropolished stainless steel pipes supplied by Sakshi Forge to VERIFY plants at VERIFY, Green Bay</v>
      </c>
      <c r="AL1762" s="15" t="str">
        <f t="shared" si="22"/>
        <v>Electropolished SS 316L tube stock for Green Bay - Sakshi Forge</v>
      </c>
      <c r="AM1762" s="15" t="str">
        <f t="shared" si="23"/>
        <v>Home &gt; Market Area &gt; USA &gt; VERIFY &gt; Green Bay</v>
      </c>
      <c r="AN1762" s="15">
        <f t="shared" si="24"/>
        <v>750</v>
      </c>
      <c r="AO1762" s="15">
        <f t="shared" si="25"/>
        <v>6</v>
      </c>
      <c r="AP1762" s="15">
        <f t="shared" si="26"/>
        <v>6</v>
      </c>
      <c r="AQ1762" s="15">
        <f t="shared" si="27"/>
        <v>30</v>
      </c>
      <c r="AR1762" s="31"/>
      <c r="AS1762" s="31"/>
      <c r="AT1762" s="35" t="s">
        <v>222</v>
      </c>
      <c r="AU1762" s="35"/>
    </row>
    <row r="1763" ht="15.75" customHeight="1">
      <c r="A1763" s="15" t="s">
        <v>7876</v>
      </c>
      <c r="B1763" s="15" t="s">
        <v>221</v>
      </c>
      <c r="C1763" s="15" t="s">
        <v>98</v>
      </c>
      <c r="D1763" s="15" t="s">
        <v>7877</v>
      </c>
      <c r="E1763" s="15" t="s">
        <v>7877</v>
      </c>
      <c r="F1763" s="58" t="s">
        <v>807</v>
      </c>
      <c r="G1763" s="66" t="s">
        <v>98</v>
      </c>
      <c r="H1763" s="18" t="s">
        <v>98</v>
      </c>
      <c r="I1763" s="18" t="s">
        <v>98</v>
      </c>
      <c r="J1763" s="18" t="s">
        <v>98</v>
      </c>
      <c r="K1763" s="18" t="s">
        <v>98</v>
      </c>
      <c r="L1763" s="18" t="s">
        <v>98</v>
      </c>
      <c r="M1763" s="18" t="s">
        <v>530</v>
      </c>
      <c r="N1763" s="18" t="s">
        <v>233</v>
      </c>
      <c r="O1763" s="18" t="s">
        <v>98</v>
      </c>
      <c r="P1763" s="15" t="str">
        <f t="shared" si="1"/>
        <v>VERIFY</v>
      </c>
      <c r="Q1763" s="15">
        <f t="shared" si="2"/>
        <v>8</v>
      </c>
      <c r="R1763" s="15">
        <f t="shared" si="3"/>
        <v>3</v>
      </c>
      <c r="S1763" s="15">
        <f t="shared" si="4"/>
        <v>5</v>
      </c>
      <c r="T1763" s="15" t="str">
        <f t="shared" si="5"/>
        <v>C-2</v>
      </c>
      <c r="U1763" s="15" t="str">
        <f t="shared" si="6"/>
        <v>T8-M3-H5-FC-2-VERIFY</v>
      </c>
      <c r="V1763" s="15">
        <f t="shared" si="7"/>
        <v>1</v>
      </c>
      <c r="W1763" s="31"/>
      <c r="X1763" s="15" t="str">
        <f t="shared" si="8"/>
        <v>greensboro-usa</v>
      </c>
      <c r="Y1763" s="32" t="str">
        <f t="shared" si="9"/>
        <v>https://steelmanufacturer.in/market-area/electropolished-pipes-manufacturer-in-greensboro-usa/</v>
      </c>
      <c r="Z1763" s="15" t="str">
        <f t="shared" si="10"/>
        <v>Electropolished Pipes Manufacturer in Greensboro</v>
      </c>
      <c r="AA1763" s="15" t="str">
        <f t="shared" si="11"/>
        <v>OK (48)</v>
      </c>
      <c r="AB1763" s="15" t="str">
        <f t="shared" si="12"/>
        <v>EP stainless tube for VERIFY lines in Greensboro. 28-35 days sea from Nhava Sheva to US East Coast. ASTM A270 S2, PMI tested, EN 10204 3.1.</v>
      </c>
      <c r="AC1763" s="15" t="str">
        <f t="shared" si="13"/>
        <v>PENDING RESEARCH</v>
      </c>
      <c r="AD1763" s="15" t="str">
        <f t="shared" si="14"/>
        <v>Electropolished Pipes Manufacturer in Greensboro</v>
      </c>
      <c r="AE1763" s="15" t="str">
        <f t="shared" si="15"/>
        <v>Electropolished Tube Manufacturing Capability Serving Greensboro</v>
      </c>
      <c r="AF1763" s="15" t="str">
        <f t="shared" si="16"/>
        <v>Electropolished Pipes Supplier in Greensboro - From Order to Delivery</v>
      </c>
      <c r="AG1763" s="15" t="str">
        <f t="shared" si="17"/>
        <v>Stockist &amp; Wholesale Supply of Electropolished Pipes in Greensboro</v>
      </c>
      <c r="AH1763" s="15" t="str">
        <f t="shared" si="18"/>
        <v>electropolished pipes manufacturer in Greensboro, electropolished pipes supplier in Greensboro, electropolished pipes wholesaler in Greensboro, electropolished tube manufacturer Greensboro, EP pipe supplier Greensboro, sanitary tube supplier Greensboro, ASME BPE tubing Greensboro, ASTM A270 tube Greensboro, SS 316L electropolished pipe Greensboro</v>
      </c>
      <c r="AI1763" s="15" t="str">
        <f t="shared" si="19"/>
        <v>Electropolished Pipes Manufacturer &amp; Supplier in Greensboro</v>
      </c>
      <c r="AJ1763" s="15" t="str">
        <f t="shared" si="20"/>
        <v>EP-finished SS 304/316L pipes and tubes for VERIFY plants in Greensboro. ASME BPE SF1-SF4, Ra from 0.25 um, EN 10204 3.1 certificate with every lot.</v>
      </c>
      <c r="AK1763" s="15" t="str">
        <f t="shared" si="21"/>
        <v>Electropolished stainless steel pipes supplied by Sakshi Forge to VERIFY plants at VERIFY, Greensboro</v>
      </c>
      <c r="AL1763" s="15" t="str">
        <f t="shared" si="22"/>
        <v>Electropolished SS 316L tube stock for Greensboro - Sakshi Forge</v>
      </c>
      <c r="AM1763" s="15" t="str">
        <f t="shared" si="23"/>
        <v>Home &gt; Market Area &gt; USA &gt; VERIFY &gt; Greensboro</v>
      </c>
      <c r="AN1763" s="15">
        <f t="shared" si="24"/>
        <v>750</v>
      </c>
      <c r="AO1763" s="15">
        <f t="shared" si="25"/>
        <v>6</v>
      </c>
      <c r="AP1763" s="15">
        <f t="shared" si="26"/>
        <v>6</v>
      </c>
      <c r="AQ1763" s="15">
        <f t="shared" si="27"/>
        <v>30</v>
      </c>
      <c r="AR1763" s="31"/>
      <c r="AS1763" s="31"/>
      <c r="AT1763" s="35" t="s">
        <v>222</v>
      </c>
      <c r="AU1763" s="35"/>
    </row>
    <row r="1764" ht="15.75" customHeight="1">
      <c r="A1764" s="15" t="s">
        <v>7878</v>
      </c>
      <c r="B1764" s="15" t="s">
        <v>221</v>
      </c>
      <c r="C1764" s="15" t="s">
        <v>98</v>
      </c>
      <c r="D1764" s="15" t="s">
        <v>7879</v>
      </c>
      <c r="E1764" s="15" t="s">
        <v>7879</v>
      </c>
      <c r="F1764" s="58" t="s">
        <v>807</v>
      </c>
      <c r="G1764" s="66" t="s">
        <v>98</v>
      </c>
      <c r="H1764" s="18" t="s">
        <v>98</v>
      </c>
      <c r="I1764" s="18" t="s">
        <v>98</v>
      </c>
      <c r="J1764" s="18" t="s">
        <v>98</v>
      </c>
      <c r="K1764" s="18" t="s">
        <v>98</v>
      </c>
      <c r="L1764" s="18" t="s">
        <v>98</v>
      </c>
      <c r="M1764" s="18" t="s">
        <v>530</v>
      </c>
      <c r="N1764" s="18" t="s">
        <v>233</v>
      </c>
      <c r="O1764" s="18" t="s">
        <v>98</v>
      </c>
      <c r="P1764" s="15" t="str">
        <f t="shared" si="1"/>
        <v>VERIFY</v>
      </c>
      <c r="Q1764" s="15">
        <f t="shared" si="2"/>
        <v>1</v>
      </c>
      <c r="R1764" s="15">
        <f t="shared" si="3"/>
        <v>4</v>
      </c>
      <c r="S1764" s="15">
        <f t="shared" si="4"/>
        <v>1</v>
      </c>
      <c r="T1764" s="15" t="str">
        <f t="shared" si="5"/>
        <v>C-3</v>
      </c>
      <c r="U1764" s="15" t="str">
        <f t="shared" si="6"/>
        <v>T1-M4-H1-FC-3-VERIFY</v>
      </c>
      <c r="V1764" s="15">
        <f t="shared" si="7"/>
        <v>1</v>
      </c>
      <c r="W1764" s="31"/>
      <c r="X1764" s="15" t="str">
        <f t="shared" si="8"/>
        <v>harrisburg-usa</v>
      </c>
      <c r="Y1764" s="32" t="str">
        <f t="shared" si="9"/>
        <v>https://steelmanufacturer.in/market-area/electropolished-pipes-manufacturer-in-harrisburg-usa/</v>
      </c>
      <c r="Z1764" s="15" t="str">
        <f t="shared" si="10"/>
        <v>Electropolished Pipes Manufacturer in Harrisburg | Sakshi Forge</v>
      </c>
      <c r="AA1764" s="15" t="str">
        <f t="shared" si="11"/>
        <v>OK (63)</v>
      </c>
      <c r="AB1764" s="15" t="str">
        <f t="shared" si="12"/>
        <v>Sanitary electropolished pipes in Harrisburg for VERIFY plants. ASME BPE SF1-SF4, orbital-weld ready, 3.1 MTC. Mumbai-made.</v>
      </c>
      <c r="AC1764" s="15" t="str">
        <f t="shared" si="13"/>
        <v>PENDING RESEARCH</v>
      </c>
      <c r="AD1764" s="15" t="str">
        <f t="shared" si="14"/>
        <v>Electropolished Pipes Manufacturer in Harrisburg</v>
      </c>
      <c r="AE1764" s="15" t="str">
        <f t="shared" si="15"/>
        <v>Electropolished Pipe &amp; Tube Manufacturing for Harrisburg - Grades, Finishes &amp; Certification</v>
      </c>
      <c r="AF1764" s="15" t="str">
        <f t="shared" si="16"/>
        <v>Electropolished Pipes Supplier in Harrisburg - Stock Sizes, Lead Time &amp; Delivery</v>
      </c>
      <c r="AG1764" s="15" t="str">
        <f t="shared" si="17"/>
        <v>Electropolished Pipes Wholesaler &amp; Stockist in Harrisburg - Bulk &amp; Project Pricing</v>
      </c>
      <c r="AH1764" s="15" t="str">
        <f t="shared" si="18"/>
        <v>electropolished pipes manufacturer in Harrisburg, electropolished pipes supplier in Harrisburg, electropolished pipes wholesaler in Harrisburg, electropolished tube manufacturer Harrisburg, EP pipe supplier Harrisburg, sanitary tube supplier Harrisburg, ASME BPE tubing Harrisburg, ASTM A270 tube Harrisburg, SS 316L electropolished pipe Harrisburg</v>
      </c>
      <c r="AI1764" s="15" t="str">
        <f t="shared" si="19"/>
        <v>Electropolished Pipes Manufacturer &amp; Supplier in Harrisburg</v>
      </c>
      <c r="AJ1764" s="15" t="str">
        <f t="shared" si="20"/>
        <v>EP-finished SS 304/316L pipes and tubes for VERIFY plants in Harrisburg. ASME BPE SF1-SF4, Ra from 0.25 um, EN 10204 3.1 certificate with every lot.</v>
      </c>
      <c r="AK1764" s="15" t="str">
        <f t="shared" si="21"/>
        <v>Electropolished stainless steel pipes supplied by Sakshi Forge to VERIFY plants at VERIFY, Harrisburg</v>
      </c>
      <c r="AL1764" s="15" t="str">
        <f t="shared" si="22"/>
        <v>Electropolished SS 316L tube stock for Harrisburg - Sakshi Forge</v>
      </c>
      <c r="AM1764" s="15" t="str">
        <f t="shared" si="23"/>
        <v>Home &gt; Market Area &gt; USA &gt; VERIFY &gt; Harrisburg</v>
      </c>
      <c r="AN1764" s="15">
        <f t="shared" si="24"/>
        <v>750</v>
      </c>
      <c r="AO1764" s="15">
        <f t="shared" si="25"/>
        <v>6</v>
      </c>
      <c r="AP1764" s="15">
        <f t="shared" si="26"/>
        <v>6</v>
      </c>
      <c r="AQ1764" s="15">
        <f t="shared" si="27"/>
        <v>30</v>
      </c>
      <c r="AR1764" s="31"/>
      <c r="AS1764" s="31"/>
      <c r="AT1764" s="35" t="s">
        <v>222</v>
      </c>
      <c r="AU1764" s="35"/>
    </row>
    <row r="1765" ht="15.75" customHeight="1">
      <c r="A1765" s="15" t="s">
        <v>7880</v>
      </c>
      <c r="B1765" s="15" t="s">
        <v>221</v>
      </c>
      <c r="C1765" s="15" t="s">
        <v>98</v>
      </c>
      <c r="D1765" s="15" t="s">
        <v>7881</v>
      </c>
      <c r="E1765" s="15" t="s">
        <v>7881</v>
      </c>
      <c r="F1765" s="58" t="s">
        <v>807</v>
      </c>
      <c r="G1765" s="66" t="s">
        <v>98</v>
      </c>
      <c r="H1765" s="18" t="s">
        <v>98</v>
      </c>
      <c r="I1765" s="18" t="s">
        <v>98</v>
      </c>
      <c r="J1765" s="18" t="s">
        <v>98</v>
      </c>
      <c r="K1765" s="18" t="s">
        <v>98</v>
      </c>
      <c r="L1765" s="18" t="s">
        <v>98</v>
      </c>
      <c r="M1765" s="18" t="s">
        <v>530</v>
      </c>
      <c r="N1765" s="18" t="s">
        <v>233</v>
      </c>
      <c r="O1765" s="18" t="s">
        <v>98</v>
      </c>
      <c r="P1765" s="15" t="str">
        <f t="shared" si="1"/>
        <v>VERIFY</v>
      </c>
      <c r="Q1765" s="15">
        <f t="shared" si="2"/>
        <v>2</v>
      </c>
      <c r="R1765" s="15">
        <f t="shared" si="3"/>
        <v>5</v>
      </c>
      <c r="S1765" s="15">
        <f t="shared" si="4"/>
        <v>2</v>
      </c>
      <c r="T1765" s="15" t="str">
        <f t="shared" si="5"/>
        <v>C-4</v>
      </c>
      <c r="U1765" s="15" t="str">
        <f t="shared" si="6"/>
        <v>T2-M5-H2-FC-4-VERIFY</v>
      </c>
      <c r="V1765" s="15">
        <f t="shared" si="7"/>
        <v>1</v>
      </c>
      <c r="W1765" s="31"/>
      <c r="X1765" s="15" t="str">
        <f t="shared" si="8"/>
        <v>hartford-usa</v>
      </c>
      <c r="Y1765" s="32" t="str">
        <f t="shared" si="9"/>
        <v>https://steelmanufacturer.in/market-area/electropolished-pipes-manufacturer-in-hartford-usa/</v>
      </c>
      <c r="Z1765" s="15" t="str">
        <f t="shared" si="10"/>
        <v>Electropolished Pipes Manufacturer in Hartford</v>
      </c>
      <c r="AA1765" s="15" t="str">
        <f t="shared" si="11"/>
        <v>OK (46)</v>
      </c>
      <c r="AB1765" s="15" t="str">
        <f t="shared" si="12"/>
        <v>Manufacturer of electropolished SS 316L tube serving Hartford. 28-35 days sea from Nhava Sheva to US East Coast. Ra 0.25-0.5 um, EN 10204 3.1 MTC.</v>
      </c>
      <c r="AC1765" s="15" t="str">
        <f t="shared" si="13"/>
        <v>PENDING RESEARCH</v>
      </c>
      <c r="AD1765" s="15" t="str">
        <f t="shared" si="14"/>
        <v>Electropolished Pipes Manufacturer in Hartford</v>
      </c>
      <c r="AE1765" s="15" t="str">
        <f t="shared" si="15"/>
        <v>How We Manufacture Electropolished Tube for Hartford Plants</v>
      </c>
      <c r="AF1765" s="15" t="str">
        <f t="shared" si="16"/>
        <v>Supplying Electropolished Pipes in Hartford: Availability, Sizes &amp; Dispatch</v>
      </c>
      <c r="AG1765" s="15" t="str">
        <f t="shared" si="17"/>
        <v>Wholesale Electropolished Pipe Supply for Hartford Projects</v>
      </c>
      <c r="AH1765" s="15" t="str">
        <f t="shared" si="18"/>
        <v>electropolished pipes manufacturer in Hartford, electropolished pipes supplier in Hartford, electropolished pipes wholesaler in Hartford, electropolished tube manufacturer Hartford, EP pipe supplier Hartford, sanitary tube supplier Hartford, ASME BPE tubing Hartford, ASTM A270 tube Hartford, SS 316L electropolished pipe Hartford</v>
      </c>
      <c r="AI1765" s="15" t="str">
        <f t="shared" si="19"/>
        <v>Electropolished Pipes Manufacturer &amp; Supplier in Hartford</v>
      </c>
      <c r="AJ1765" s="15" t="str">
        <f t="shared" si="20"/>
        <v>EP-finished SS 304/316L pipes and tubes for VERIFY plants in Hartford. ASME BPE SF1-SF4, Ra from 0.25 um, EN 10204 3.1 certificate with every lot.</v>
      </c>
      <c r="AK1765" s="15" t="str">
        <f t="shared" si="21"/>
        <v>Electropolished stainless steel pipes supplied by Sakshi Forge to VERIFY plants at VERIFY, Hartford</v>
      </c>
      <c r="AL1765" s="15" t="str">
        <f t="shared" si="22"/>
        <v>Electropolished SS 316L tube stock for Hartford - Sakshi Forge</v>
      </c>
      <c r="AM1765" s="15" t="str">
        <f t="shared" si="23"/>
        <v>Home &gt; Market Area &gt; USA &gt; VERIFY &gt; Hartford</v>
      </c>
      <c r="AN1765" s="15">
        <f t="shared" si="24"/>
        <v>750</v>
      </c>
      <c r="AO1765" s="15">
        <f t="shared" si="25"/>
        <v>6</v>
      </c>
      <c r="AP1765" s="15">
        <f t="shared" si="26"/>
        <v>6</v>
      </c>
      <c r="AQ1765" s="15">
        <f t="shared" si="27"/>
        <v>30</v>
      </c>
      <c r="AR1765" s="31"/>
      <c r="AS1765" s="31"/>
      <c r="AT1765" s="35" t="s">
        <v>222</v>
      </c>
      <c r="AU1765" s="35"/>
    </row>
    <row r="1766" ht="15.75" customHeight="1">
      <c r="A1766" s="15" t="s">
        <v>7882</v>
      </c>
      <c r="B1766" s="15" t="s">
        <v>221</v>
      </c>
      <c r="C1766" s="15" t="s">
        <v>98</v>
      </c>
      <c r="D1766" s="15" t="s">
        <v>7883</v>
      </c>
      <c r="E1766" s="15" t="s">
        <v>7883</v>
      </c>
      <c r="F1766" s="58" t="s">
        <v>807</v>
      </c>
      <c r="G1766" s="66" t="s">
        <v>98</v>
      </c>
      <c r="H1766" s="18" t="s">
        <v>98</v>
      </c>
      <c r="I1766" s="18" t="s">
        <v>98</v>
      </c>
      <c r="J1766" s="18" t="s">
        <v>98</v>
      </c>
      <c r="K1766" s="18" t="s">
        <v>98</v>
      </c>
      <c r="L1766" s="18" t="s">
        <v>98</v>
      </c>
      <c r="M1766" s="18" t="s">
        <v>530</v>
      </c>
      <c r="N1766" s="18" t="s">
        <v>233</v>
      </c>
      <c r="O1766" s="18" t="s">
        <v>98</v>
      </c>
      <c r="P1766" s="15" t="str">
        <f t="shared" si="1"/>
        <v>VERIFY</v>
      </c>
      <c r="Q1766" s="15">
        <f t="shared" si="2"/>
        <v>3</v>
      </c>
      <c r="R1766" s="15">
        <f t="shared" si="3"/>
        <v>6</v>
      </c>
      <c r="S1766" s="15">
        <f t="shared" si="4"/>
        <v>3</v>
      </c>
      <c r="T1766" s="15" t="str">
        <f t="shared" si="5"/>
        <v>C-5</v>
      </c>
      <c r="U1766" s="15" t="str">
        <f t="shared" si="6"/>
        <v>T3-M6-H3-FC-5-VERIFY</v>
      </c>
      <c r="V1766" s="15">
        <f t="shared" si="7"/>
        <v>1</v>
      </c>
      <c r="W1766" s="31"/>
      <c r="X1766" s="15" t="str">
        <f t="shared" si="8"/>
        <v>huntsville-usa</v>
      </c>
      <c r="Y1766" s="32" t="str">
        <f t="shared" si="9"/>
        <v>https://steelmanufacturer.in/market-area/electropolished-pipes-manufacturer-in-huntsville-usa/</v>
      </c>
      <c r="Z1766" s="15" t="str">
        <f t="shared" si="10"/>
        <v>Electropolished Pipes Manufacturer in Huntsville</v>
      </c>
      <c r="AA1766" s="15" t="str">
        <f t="shared" si="11"/>
        <v>OK (48)</v>
      </c>
      <c r="AB1766" s="15" t="str">
        <f t="shared" si="12"/>
        <v>EP tube and pipe for VERIFY plants around VERIFY, Huntsville. Made at our Mumbai works to ASTM A270 and ASME BPE SF1-SF4, with 3.1 MTC.</v>
      </c>
      <c r="AC1766" s="15" t="str">
        <f t="shared" si="13"/>
        <v>PENDING RESEARCH</v>
      </c>
      <c r="AD1766" s="15" t="str">
        <f t="shared" si="14"/>
        <v>Electropolished Pipes Manufacturer in Huntsville</v>
      </c>
      <c r="AE1766" s="15" t="str">
        <f t="shared" si="15"/>
        <v>Electropolished Pipes Manufacturer in Huntsville - Our Process &amp; Capability</v>
      </c>
      <c r="AF1766" s="15" t="str">
        <f t="shared" si="16"/>
        <v>Electropolished Pipes Supplier in Huntsville - What We Hold in Stock</v>
      </c>
      <c r="AG1766" s="15" t="str">
        <f t="shared" si="17"/>
        <v>Bulk &amp; Wholesale Electropolished Pipe Rates for Huntsville Buyers</v>
      </c>
      <c r="AH1766" s="15" t="str">
        <f t="shared" si="18"/>
        <v>electropolished pipes manufacturer in Huntsville, electropolished pipes supplier in Huntsville, electropolished pipes wholesaler in Huntsville, electropolished tube manufacturer Huntsville, EP pipe supplier Huntsville, sanitary tube supplier Huntsville, ASME BPE tubing Huntsville, ASTM A270 tube Huntsville, SS 316L electropolished pipe Huntsville</v>
      </c>
      <c r="AI1766" s="15" t="str">
        <f t="shared" si="19"/>
        <v>Electropolished Pipes Manufacturer &amp; Supplier in Huntsville</v>
      </c>
      <c r="AJ1766" s="15" t="str">
        <f t="shared" si="20"/>
        <v>EP-finished SS 304/316L pipes and tubes for VERIFY plants in Huntsville. ASME BPE SF1-SF4, Ra from 0.25 um, EN 10204 3.1 certificate with every lot.</v>
      </c>
      <c r="AK1766" s="15" t="str">
        <f t="shared" si="21"/>
        <v>Electropolished stainless steel pipes supplied by Sakshi Forge to VERIFY plants at VERIFY, Huntsville</v>
      </c>
      <c r="AL1766" s="15" t="str">
        <f t="shared" si="22"/>
        <v>Electropolished SS 316L tube stock for Huntsville - Sakshi Forge</v>
      </c>
      <c r="AM1766" s="15" t="str">
        <f t="shared" si="23"/>
        <v>Home &gt; Market Area &gt; USA &gt; VERIFY &gt; Huntsville</v>
      </c>
      <c r="AN1766" s="15">
        <f t="shared" si="24"/>
        <v>750</v>
      </c>
      <c r="AO1766" s="15">
        <f t="shared" si="25"/>
        <v>6</v>
      </c>
      <c r="AP1766" s="15">
        <f t="shared" si="26"/>
        <v>6</v>
      </c>
      <c r="AQ1766" s="15">
        <f t="shared" si="27"/>
        <v>30</v>
      </c>
      <c r="AR1766" s="31"/>
      <c r="AS1766" s="31"/>
      <c r="AT1766" s="35" t="s">
        <v>222</v>
      </c>
      <c r="AU1766" s="35"/>
    </row>
    <row r="1767" ht="15.75" customHeight="1">
      <c r="A1767" s="15" t="s">
        <v>7884</v>
      </c>
      <c r="B1767" s="15" t="s">
        <v>221</v>
      </c>
      <c r="C1767" s="15" t="s">
        <v>98</v>
      </c>
      <c r="D1767" s="15" t="s">
        <v>7885</v>
      </c>
      <c r="E1767" s="15" t="s">
        <v>7885</v>
      </c>
      <c r="F1767" s="58" t="s">
        <v>807</v>
      </c>
      <c r="G1767" s="66" t="s">
        <v>98</v>
      </c>
      <c r="H1767" s="18" t="s">
        <v>98</v>
      </c>
      <c r="I1767" s="18" t="s">
        <v>98</v>
      </c>
      <c r="J1767" s="18" t="s">
        <v>98</v>
      </c>
      <c r="K1767" s="18" t="s">
        <v>98</v>
      </c>
      <c r="L1767" s="18" t="s">
        <v>98</v>
      </c>
      <c r="M1767" s="18" t="s">
        <v>530</v>
      </c>
      <c r="N1767" s="18" t="s">
        <v>233</v>
      </c>
      <c r="O1767" s="18" t="s">
        <v>98</v>
      </c>
      <c r="P1767" s="15" t="str">
        <f t="shared" si="1"/>
        <v>VERIFY</v>
      </c>
      <c r="Q1767" s="15">
        <f t="shared" si="2"/>
        <v>4</v>
      </c>
      <c r="R1767" s="15">
        <f t="shared" si="3"/>
        <v>7</v>
      </c>
      <c r="S1767" s="15">
        <f t="shared" si="4"/>
        <v>4</v>
      </c>
      <c r="T1767" s="15" t="str">
        <f t="shared" si="5"/>
        <v>C-6</v>
      </c>
      <c r="U1767" s="15" t="str">
        <f t="shared" si="6"/>
        <v>T4-M7-H4-FC-6-VERIFY</v>
      </c>
      <c r="V1767" s="15">
        <f t="shared" si="7"/>
        <v>1</v>
      </c>
      <c r="W1767" s="31"/>
      <c r="X1767" s="15" t="str">
        <f t="shared" si="8"/>
        <v>jackson-ms-usa</v>
      </c>
      <c r="Y1767" s="32" t="str">
        <f t="shared" si="9"/>
        <v>https://steelmanufacturer.in/market-area/electropolished-pipes-manufacturer-in-jackson-ms-usa/</v>
      </c>
      <c r="Z1767" s="15" t="str">
        <f t="shared" si="10"/>
        <v>Electropolished Pipes Manufacturer in Jackson-MS</v>
      </c>
      <c r="AA1767" s="15" t="str">
        <f t="shared" si="11"/>
        <v>OK (48)</v>
      </c>
      <c r="AB1767" s="15" t="str">
        <f t="shared" si="12"/>
        <v>Electropolished pipes in Jackson-MS: 304, 304L, 316 and 316L in SF1-SF4. 28-35 days sea from Nhava Sheva to US East Coast. Mill certified.</v>
      </c>
      <c r="AC1767" s="15" t="str">
        <f t="shared" si="13"/>
        <v>PENDING RESEARCH</v>
      </c>
      <c r="AD1767" s="15" t="str">
        <f t="shared" si="14"/>
        <v>Electropolished Pipes Manufacturer in Jackson-MS</v>
      </c>
      <c r="AE1767" s="15" t="str">
        <f t="shared" si="15"/>
        <v>Manufacturing Electropolished SS Tube for Jackson-MS: The Standards We Build To</v>
      </c>
      <c r="AF1767" s="15" t="str">
        <f t="shared" si="16"/>
        <v>Electropolished Pipe Supply Into Jackson-MS - Certification &amp; Transit</v>
      </c>
      <c r="AG1767" s="15" t="str">
        <f t="shared" si="17"/>
        <v>Electropolished Pipes Wholesaler in Jackson-MS - Project Quantities &amp; Terms</v>
      </c>
      <c r="AH1767" s="15" t="str">
        <f t="shared" si="18"/>
        <v>electropolished pipes manufacturer in Jackson-MS, electropolished pipes supplier in Jackson-MS, electropolished pipes wholesaler in Jackson-MS, electropolished tube manufacturer Jackson-MS, EP pipe supplier Jackson-MS, sanitary tube supplier Jackson-MS, ASME BPE tubing Jackson-MS, ASTM A270 tube Jackson-MS, SS 316L electropolished pipe Jackson-MS</v>
      </c>
      <c r="AI1767" s="15" t="str">
        <f t="shared" si="19"/>
        <v>Electropolished Pipes Manufacturer &amp; Supplier in Jackson-MS</v>
      </c>
      <c r="AJ1767" s="15" t="str">
        <f t="shared" si="20"/>
        <v>EP-finished SS 304/316L pipes and tubes for VERIFY plants in Jackson-MS. ASME BPE SF1-SF4, Ra from 0.25 um, EN 10204 3.1 certificate with every lot.</v>
      </c>
      <c r="AK1767" s="15" t="str">
        <f t="shared" si="21"/>
        <v>Electropolished stainless steel pipes supplied by Sakshi Forge to VERIFY plants at VERIFY, Jackson-MS</v>
      </c>
      <c r="AL1767" s="15" t="str">
        <f t="shared" si="22"/>
        <v>Electropolished SS 316L tube stock for Jackson-MS - Sakshi Forge</v>
      </c>
      <c r="AM1767" s="15" t="str">
        <f t="shared" si="23"/>
        <v>Home &gt; Market Area &gt; USA &gt; VERIFY &gt; Jackson-MS</v>
      </c>
      <c r="AN1767" s="15">
        <f t="shared" si="24"/>
        <v>750</v>
      </c>
      <c r="AO1767" s="15">
        <f t="shared" si="25"/>
        <v>6</v>
      </c>
      <c r="AP1767" s="15">
        <f t="shared" si="26"/>
        <v>6</v>
      </c>
      <c r="AQ1767" s="15">
        <f t="shared" si="27"/>
        <v>30</v>
      </c>
      <c r="AR1767" s="31"/>
      <c r="AS1767" s="31"/>
      <c r="AT1767" s="35" t="s">
        <v>222</v>
      </c>
      <c r="AU1767" s="35"/>
    </row>
    <row r="1768" ht="15.75" customHeight="1">
      <c r="A1768" s="15" t="s">
        <v>7886</v>
      </c>
      <c r="B1768" s="15" t="s">
        <v>221</v>
      </c>
      <c r="C1768" s="15" t="s">
        <v>98</v>
      </c>
      <c r="D1768" s="15" t="s">
        <v>7887</v>
      </c>
      <c r="E1768" s="15" t="s">
        <v>7887</v>
      </c>
      <c r="F1768" s="58" t="s">
        <v>807</v>
      </c>
      <c r="G1768" s="66" t="s">
        <v>98</v>
      </c>
      <c r="H1768" s="18" t="s">
        <v>98</v>
      </c>
      <c r="I1768" s="18" t="s">
        <v>98</v>
      </c>
      <c r="J1768" s="18" t="s">
        <v>98</v>
      </c>
      <c r="K1768" s="18" t="s">
        <v>98</v>
      </c>
      <c r="L1768" s="18" t="s">
        <v>98</v>
      </c>
      <c r="M1768" s="18" t="s">
        <v>530</v>
      </c>
      <c r="N1768" s="18" t="s">
        <v>233</v>
      </c>
      <c r="O1768" s="18" t="s">
        <v>98</v>
      </c>
      <c r="P1768" s="15" t="str">
        <f t="shared" si="1"/>
        <v>VERIFY</v>
      </c>
      <c r="Q1768" s="15">
        <f t="shared" si="2"/>
        <v>5</v>
      </c>
      <c r="R1768" s="15">
        <f t="shared" si="3"/>
        <v>1</v>
      </c>
      <c r="S1768" s="15">
        <f t="shared" si="4"/>
        <v>5</v>
      </c>
      <c r="T1768" s="15" t="str">
        <f t="shared" si="5"/>
        <v>C-1</v>
      </c>
      <c r="U1768" s="15" t="str">
        <f t="shared" si="6"/>
        <v>T5-M1-H5-FC-1-VERIFY</v>
      </c>
      <c r="V1768" s="15">
        <f t="shared" si="7"/>
        <v>1</v>
      </c>
      <c r="W1768" s="31"/>
      <c r="X1768" s="15" t="str">
        <f t="shared" si="8"/>
        <v>jacksonville-usa</v>
      </c>
      <c r="Y1768" s="32" t="str">
        <f t="shared" si="9"/>
        <v>https://steelmanufacturer.in/market-area/electropolished-pipes-manufacturer-in-jacksonville-usa/</v>
      </c>
      <c r="Z1768" s="15" t="str">
        <f t="shared" si="10"/>
        <v>Electropolished Pipes Manufacturer in Jacksonville</v>
      </c>
      <c r="AA1768" s="15" t="str">
        <f t="shared" si="11"/>
        <v>OK (50)</v>
      </c>
      <c r="AB1768" s="15" t="str">
        <f t="shared" si="12"/>
        <v>EP-finished SS 304/316L pipes &amp; tubes for VERIFY plants in Jacksonville. ASTM A270, ASME BPE SF1-SF4, EN 10204 3.1 MTC. PMI tested.</v>
      </c>
      <c r="AC1768" s="15" t="str">
        <f t="shared" si="13"/>
        <v>PENDING RESEARCH</v>
      </c>
      <c r="AD1768" s="15" t="str">
        <f t="shared" si="14"/>
        <v>Electropolished Pipes Manufacturer in Jacksonville</v>
      </c>
      <c r="AE1768" s="15" t="str">
        <f t="shared" si="15"/>
        <v>Electropolished Tube Manufacturing Capability Serving Jacksonville</v>
      </c>
      <c r="AF1768" s="15" t="str">
        <f t="shared" si="16"/>
        <v>Electropolished Pipes Supplier in Jacksonville - From Order to Delivery</v>
      </c>
      <c r="AG1768" s="15" t="str">
        <f t="shared" si="17"/>
        <v>Stockist &amp; Wholesale Supply of Electropolished Pipes in Jacksonville</v>
      </c>
      <c r="AH1768" s="15" t="str">
        <f t="shared" si="18"/>
        <v>electropolished pipes manufacturer in Jacksonville, electropolished pipes supplier in Jacksonville, electropolished pipes wholesaler in Jacksonville, electropolished tube manufacturer Jacksonville, EP pipe supplier Jacksonville, sanitary tube supplier Jacksonville, ASME BPE tubing Jacksonville, ASTM A270 tube Jacksonville, SS 316L electropolished pipe Jacksonville</v>
      </c>
      <c r="AI1768" s="15" t="str">
        <f t="shared" si="19"/>
        <v>Electropolished Pipes Manufacturer &amp; Supplier in Jacksonville</v>
      </c>
      <c r="AJ1768" s="15" t="str">
        <f t="shared" si="20"/>
        <v>EP-finished SS 304/316L pipes and tubes for VERIFY plants in Jacksonville. ASME BPE SF1-SF4, Ra from 0.25 um, EN 10204 3.1 certificate with every lot.</v>
      </c>
      <c r="AK1768" s="15" t="str">
        <f t="shared" si="21"/>
        <v>Electropolished stainless steel pipes supplied by Sakshi Forge to VERIFY plants at VERIFY, Jacksonville</v>
      </c>
      <c r="AL1768" s="15" t="str">
        <f t="shared" si="22"/>
        <v>Electropolished SS 316L tube stock for Jacksonville - Sakshi Forge</v>
      </c>
      <c r="AM1768" s="15" t="str">
        <f t="shared" si="23"/>
        <v>Home &gt; Market Area &gt; USA &gt; VERIFY &gt; Jacksonville</v>
      </c>
      <c r="AN1768" s="15">
        <f t="shared" si="24"/>
        <v>750</v>
      </c>
      <c r="AO1768" s="15">
        <f t="shared" si="25"/>
        <v>6</v>
      </c>
      <c r="AP1768" s="15">
        <f t="shared" si="26"/>
        <v>6</v>
      </c>
      <c r="AQ1768" s="15">
        <f t="shared" si="27"/>
        <v>30</v>
      </c>
      <c r="AR1768" s="31"/>
      <c r="AS1768" s="31"/>
      <c r="AT1768" s="35" t="s">
        <v>222</v>
      </c>
      <c r="AU1768" s="35"/>
    </row>
    <row r="1769" ht="15.75" customHeight="1">
      <c r="A1769" s="15" t="s">
        <v>7888</v>
      </c>
      <c r="B1769" s="15" t="s">
        <v>221</v>
      </c>
      <c r="C1769" s="15" t="s">
        <v>98</v>
      </c>
      <c r="D1769" s="15" t="s">
        <v>7889</v>
      </c>
      <c r="E1769" s="15" t="s">
        <v>7889</v>
      </c>
      <c r="F1769" s="58" t="s">
        <v>807</v>
      </c>
      <c r="G1769" s="66" t="s">
        <v>98</v>
      </c>
      <c r="H1769" s="18" t="s">
        <v>98</v>
      </c>
      <c r="I1769" s="18" t="s">
        <v>98</v>
      </c>
      <c r="J1769" s="18" t="s">
        <v>98</v>
      </c>
      <c r="K1769" s="18" t="s">
        <v>98</v>
      </c>
      <c r="L1769" s="18" t="s">
        <v>98</v>
      </c>
      <c r="M1769" s="18" t="s">
        <v>530</v>
      </c>
      <c r="N1769" s="18" t="s">
        <v>233</v>
      </c>
      <c r="O1769" s="18" t="s">
        <v>98</v>
      </c>
      <c r="P1769" s="15" t="str">
        <f t="shared" si="1"/>
        <v>VERIFY</v>
      </c>
      <c r="Q1769" s="15">
        <f t="shared" si="2"/>
        <v>6</v>
      </c>
      <c r="R1769" s="15">
        <f t="shared" si="3"/>
        <v>2</v>
      </c>
      <c r="S1769" s="15">
        <f t="shared" si="4"/>
        <v>1</v>
      </c>
      <c r="T1769" s="15" t="str">
        <f t="shared" si="5"/>
        <v>C-2</v>
      </c>
      <c r="U1769" s="15" t="str">
        <f t="shared" si="6"/>
        <v>T6-M2-H1-FC-2-VERIFY</v>
      </c>
      <c r="V1769" s="15">
        <f t="shared" si="7"/>
        <v>1</v>
      </c>
      <c r="W1769" s="31"/>
      <c r="X1769" s="15" t="str">
        <f t="shared" si="8"/>
        <v>knoxville-usa</v>
      </c>
      <c r="Y1769" s="32" t="str">
        <f t="shared" si="9"/>
        <v>https://steelmanufacturer.in/market-area/electropolished-pipes-manufacturer-in-knoxville-usa/</v>
      </c>
      <c r="Z1769" s="15" t="str">
        <f t="shared" si="10"/>
        <v>Electropolished Pipes Manufacturer in Knoxville</v>
      </c>
      <c r="AA1769" s="15" t="str">
        <f t="shared" si="11"/>
        <v>OK (47)</v>
      </c>
      <c r="AB1769" s="15" t="str">
        <f t="shared" si="12"/>
        <v>Electropolished tube supply to VERIFY, Knoxville. Ra from 0.25 um, SF4 finish, mill test certificate with every lot.</v>
      </c>
      <c r="AC1769" s="15" t="str">
        <f t="shared" si="13"/>
        <v>PENDING RESEARCH</v>
      </c>
      <c r="AD1769" s="15" t="str">
        <f t="shared" si="14"/>
        <v>Electropolished Pipes Manufacturer in Knoxville</v>
      </c>
      <c r="AE1769" s="15" t="str">
        <f t="shared" si="15"/>
        <v>Electropolished Pipe &amp; Tube Manufacturing for Knoxville - Grades, Finishes &amp; Certification</v>
      </c>
      <c r="AF1769" s="15" t="str">
        <f t="shared" si="16"/>
        <v>Electropolished Pipes Supplier in Knoxville - Stock Sizes, Lead Time &amp; Delivery</v>
      </c>
      <c r="AG1769" s="15" t="str">
        <f t="shared" si="17"/>
        <v>Electropolished Pipes Wholesaler &amp; Stockist in Knoxville - Bulk &amp; Project Pricing</v>
      </c>
      <c r="AH1769" s="15" t="str">
        <f t="shared" si="18"/>
        <v>electropolished pipes manufacturer in Knoxville, electropolished pipes supplier in Knoxville, electropolished pipes wholesaler in Knoxville, electropolished tube manufacturer Knoxville, EP pipe supplier Knoxville, sanitary tube supplier Knoxville, ASME BPE tubing Knoxville, ASTM A270 tube Knoxville, SS 316L electropolished pipe Knoxville</v>
      </c>
      <c r="AI1769" s="15" t="str">
        <f t="shared" si="19"/>
        <v>Electropolished Pipes Manufacturer &amp; Supplier in Knoxville</v>
      </c>
      <c r="AJ1769" s="15" t="str">
        <f t="shared" si="20"/>
        <v>EP-finished SS 304/316L pipes and tubes for VERIFY plants in Knoxville. ASME BPE SF1-SF4, Ra from 0.25 um, EN 10204 3.1 certificate with every lot.</v>
      </c>
      <c r="AK1769" s="15" t="str">
        <f t="shared" si="21"/>
        <v>Electropolished stainless steel pipes supplied by Sakshi Forge to VERIFY plants at VERIFY, Knoxville</v>
      </c>
      <c r="AL1769" s="15" t="str">
        <f t="shared" si="22"/>
        <v>Electropolished SS 316L tube stock for Knoxville - Sakshi Forge</v>
      </c>
      <c r="AM1769" s="15" t="str">
        <f t="shared" si="23"/>
        <v>Home &gt; Market Area &gt; USA &gt; VERIFY &gt; Knoxville</v>
      </c>
      <c r="AN1769" s="15">
        <f t="shared" si="24"/>
        <v>750</v>
      </c>
      <c r="AO1769" s="15">
        <f t="shared" si="25"/>
        <v>6</v>
      </c>
      <c r="AP1769" s="15">
        <f t="shared" si="26"/>
        <v>6</v>
      </c>
      <c r="AQ1769" s="15">
        <f t="shared" si="27"/>
        <v>30</v>
      </c>
      <c r="AR1769" s="31"/>
      <c r="AS1769" s="31"/>
      <c r="AT1769" s="35" t="s">
        <v>222</v>
      </c>
      <c r="AU1769" s="35"/>
    </row>
    <row r="1770" ht="15.75" customHeight="1">
      <c r="A1770" s="15" t="s">
        <v>7890</v>
      </c>
      <c r="B1770" s="15" t="s">
        <v>221</v>
      </c>
      <c r="C1770" s="15" t="s">
        <v>98</v>
      </c>
      <c r="D1770" s="15" t="s">
        <v>7891</v>
      </c>
      <c r="E1770" s="15" t="s">
        <v>7891</v>
      </c>
      <c r="F1770" s="58" t="s">
        <v>807</v>
      </c>
      <c r="G1770" s="66" t="s">
        <v>98</v>
      </c>
      <c r="H1770" s="18" t="s">
        <v>98</v>
      </c>
      <c r="I1770" s="18" t="s">
        <v>98</v>
      </c>
      <c r="J1770" s="18" t="s">
        <v>98</v>
      </c>
      <c r="K1770" s="18" t="s">
        <v>98</v>
      </c>
      <c r="L1770" s="18" t="s">
        <v>98</v>
      </c>
      <c r="M1770" s="18" t="s">
        <v>530</v>
      </c>
      <c r="N1770" s="18" t="s">
        <v>233</v>
      </c>
      <c r="O1770" s="18" t="s">
        <v>98</v>
      </c>
      <c r="P1770" s="15" t="str">
        <f t="shared" si="1"/>
        <v>VERIFY</v>
      </c>
      <c r="Q1770" s="15">
        <f t="shared" si="2"/>
        <v>7</v>
      </c>
      <c r="R1770" s="15">
        <f t="shared" si="3"/>
        <v>3</v>
      </c>
      <c r="S1770" s="15">
        <f t="shared" si="4"/>
        <v>2</v>
      </c>
      <c r="T1770" s="15" t="str">
        <f t="shared" si="5"/>
        <v>C-3</v>
      </c>
      <c r="U1770" s="15" t="str">
        <f t="shared" si="6"/>
        <v>T7-M3-H2-FC-3-VERIFY</v>
      </c>
      <c r="V1770" s="15">
        <f t="shared" si="7"/>
        <v>1</v>
      </c>
      <c r="W1770" s="31"/>
      <c r="X1770" s="15" t="str">
        <f t="shared" si="8"/>
        <v>lincoln-usa</v>
      </c>
      <c r="Y1770" s="32" t="str">
        <f t="shared" si="9"/>
        <v>https://steelmanufacturer.in/market-area/electropolished-pipes-manufacturer-in-lincoln-usa/</v>
      </c>
      <c r="Z1770" s="15" t="str">
        <f t="shared" si="10"/>
        <v>Electropolished Pipes Manufacturer in Lincoln | ASME BPE SF1-SF4</v>
      </c>
      <c r="AA1770" s="15" t="str">
        <f t="shared" si="11"/>
        <v>OK (64)</v>
      </c>
      <c r="AB1770" s="15" t="str">
        <f t="shared" si="12"/>
        <v>EP stainless tube for VERIFY lines in Lincoln. 28-35 days sea from Nhava Sheva to US East Coast. ASTM A270 S2, PMI tested, EN 10204 3.1.</v>
      </c>
      <c r="AC1770" s="15" t="str">
        <f t="shared" si="13"/>
        <v>PENDING RESEARCH</v>
      </c>
      <c r="AD1770" s="15" t="str">
        <f t="shared" si="14"/>
        <v>Electropolished Pipes Manufacturer in Lincoln</v>
      </c>
      <c r="AE1770" s="15" t="str">
        <f t="shared" si="15"/>
        <v>How We Manufacture Electropolished Tube for Lincoln Plants</v>
      </c>
      <c r="AF1770" s="15" t="str">
        <f t="shared" si="16"/>
        <v>Supplying Electropolished Pipes in Lincoln: Availability, Sizes &amp; Dispatch</v>
      </c>
      <c r="AG1770" s="15" t="str">
        <f t="shared" si="17"/>
        <v>Wholesale Electropolished Pipe Supply for Lincoln Projects</v>
      </c>
      <c r="AH1770" s="15" t="str">
        <f t="shared" si="18"/>
        <v>electropolished pipes manufacturer in Lincoln, electropolished pipes supplier in Lincoln, electropolished pipes wholesaler in Lincoln, electropolished tube manufacturer Lincoln, EP pipe supplier Lincoln, sanitary tube supplier Lincoln, ASME BPE tubing Lincoln, ASTM A270 tube Lincoln, SS 316L electropolished pipe Lincoln</v>
      </c>
      <c r="AI1770" s="15" t="str">
        <f t="shared" si="19"/>
        <v>Electropolished Pipes Manufacturer &amp; Supplier in Lincoln</v>
      </c>
      <c r="AJ1770" s="15" t="str">
        <f t="shared" si="20"/>
        <v>EP-finished SS 304/316L pipes and tubes for VERIFY plants in Lincoln. ASME BPE SF1-SF4, Ra from 0.25 um, EN 10204 3.1 certificate with every lot.</v>
      </c>
      <c r="AK1770" s="15" t="str">
        <f t="shared" si="21"/>
        <v>Electropolished stainless steel pipes supplied by Sakshi Forge to VERIFY plants at VERIFY, Lincoln</v>
      </c>
      <c r="AL1770" s="15" t="str">
        <f t="shared" si="22"/>
        <v>Electropolished SS 316L tube stock for Lincoln - Sakshi Forge</v>
      </c>
      <c r="AM1770" s="15" t="str">
        <f t="shared" si="23"/>
        <v>Home &gt; Market Area &gt; USA &gt; VERIFY &gt; Lincoln</v>
      </c>
      <c r="AN1770" s="15">
        <f t="shared" si="24"/>
        <v>750</v>
      </c>
      <c r="AO1770" s="15">
        <f t="shared" si="25"/>
        <v>6</v>
      </c>
      <c r="AP1770" s="15">
        <f t="shared" si="26"/>
        <v>6</v>
      </c>
      <c r="AQ1770" s="15">
        <f t="shared" si="27"/>
        <v>30</v>
      </c>
      <c r="AR1770" s="31"/>
      <c r="AS1770" s="31"/>
      <c r="AT1770" s="35" t="s">
        <v>222</v>
      </c>
      <c r="AU1770" s="35"/>
    </row>
    <row r="1771" ht="15.75" customHeight="1">
      <c r="A1771" s="15" t="s">
        <v>7894</v>
      </c>
      <c r="B1771" s="15" t="s">
        <v>221</v>
      </c>
      <c r="C1771" s="15" t="s">
        <v>98</v>
      </c>
      <c r="D1771" s="15" t="s">
        <v>7896</v>
      </c>
      <c r="E1771" s="15" t="s">
        <v>7896</v>
      </c>
      <c r="F1771" s="58" t="s">
        <v>807</v>
      </c>
      <c r="G1771" s="66" t="s">
        <v>98</v>
      </c>
      <c r="H1771" s="18" t="s">
        <v>98</v>
      </c>
      <c r="I1771" s="18" t="s">
        <v>98</v>
      </c>
      <c r="J1771" s="18" t="s">
        <v>98</v>
      </c>
      <c r="K1771" s="18" t="s">
        <v>98</v>
      </c>
      <c r="L1771" s="18" t="s">
        <v>98</v>
      </c>
      <c r="M1771" s="18" t="s">
        <v>530</v>
      </c>
      <c r="N1771" s="18" t="s">
        <v>233</v>
      </c>
      <c r="O1771" s="18" t="s">
        <v>98</v>
      </c>
      <c r="P1771" s="15" t="str">
        <f t="shared" si="1"/>
        <v>VERIFY</v>
      </c>
      <c r="Q1771" s="15">
        <f t="shared" si="2"/>
        <v>8</v>
      </c>
      <c r="R1771" s="15">
        <f t="shared" si="3"/>
        <v>4</v>
      </c>
      <c r="S1771" s="15">
        <f t="shared" si="4"/>
        <v>3</v>
      </c>
      <c r="T1771" s="15" t="str">
        <f t="shared" si="5"/>
        <v>C-4</v>
      </c>
      <c r="U1771" s="15" t="str">
        <f t="shared" si="6"/>
        <v>T8-M4-H3-FC-4-VERIFY</v>
      </c>
      <c r="V1771" s="15">
        <f t="shared" si="7"/>
        <v>1</v>
      </c>
      <c r="W1771" s="31"/>
      <c r="X1771" s="15" t="str">
        <f t="shared" si="8"/>
        <v>little-rock-usa</v>
      </c>
      <c r="Y1771" s="32" t="str">
        <f t="shared" si="9"/>
        <v>https://steelmanufacturer.in/market-area/electropolished-pipes-manufacturer-in-little-rock-usa/</v>
      </c>
      <c r="Z1771" s="15" t="str">
        <f t="shared" si="10"/>
        <v>Electropolished Pipes Manufacturer in Little Rock</v>
      </c>
      <c r="AA1771" s="15" t="str">
        <f t="shared" si="11"/>
        <v>OK (49)</v>
      </c>
      <c r="AB1771" s="15" t="str">
        <f t="shared" si="12"/>
        <v>Sanitary electropolished pipes in Little Rock for VERIFY plants. ASME BPE SF1-SF4, orbital-weld ready, 3.1 MTC. Mumbai-made.</v>
      </c>
      <c r="AC1771" s="15" t="str">
        <f t="shared" si="13"/>
        <v>PENDING RESEARCH</v>
      </c>
      <c r="AD1771" s="15" t="str">
        <f t="shared" si="14"/>
        <v>Electropolished Pipes Manufacturer in Little Rock</v>
      </c>
      <c r="AE1771" s="15" t="str">
        <f t="shared" si="15"/>
        <v>Electropolished Pipes Manufacturer in Little Rock - Our Process &amp; Capability</v>
      </c>
      <c r="AF1771" s="15" t="str">
        <f t="shared" si="16"/>
        <v>Electropolished Pipes Supplier in Little Rock - What We Hold in Stock</v>
      </c>
      <c r="AG1771" s="15" t="str">
        <f t="shared" si="17"/>
        <v>Bulk &amp; Wholesale Electropolished Pipe Rates for Little Rock Buyers</v>
      </c>
      <c r="AH1771" s="15" t="str">
        <f t="shared" si="18"/>
        <v>electropolished pipes manufacturer in Little Rock, electropolished pipes supplier in Little Rock, electropolished pipes wholesaler in Little Rock, electropolished tube manufacturer Little Rock, EP pipe supplier Little Rock, sanitary tube supplier Little Rock, ASME BPE tubing Little Rock, ASTM A270 tube Little Rock, SS 316L electropolished pipe Little Rock</v>
      </c>
      <c r="AI1771" s="15" t="str">
        <f t="shared" si="19"/>
        <v>Electropolished Pipes Manufacturer &amp; Supplier in Little Rock</v>
      </c>
      <c r="AJ1771" s="15" t="str">
        <f t="shared" si="20"/>
        <v>EP-finished SS 304/316L pipes and tubes for VERIFY plants in Little Rock. ASME BPE SF1-SF4, Ra from 0.25 um, EN 10204 3.1 certificate with every lot.</v>
      </c>
      <c r="AK1771" s="15" t="str">
        <f t="shared" si="21"/>
        <v>Electropolished stainless steel pipes supplied by Sakshi Forge to VERIFY plants at VERIFY, Little Rock</v>
      </c>
      <c r="AL1771" s="15" t="str">
        <f t="shared" si="22"/>
        <v>Electropolished SS 316L tube stock for Little Rock - Sakshi Forge</v>
      </c>
      <c r="AM1771" s="15" t="str">
        <f t="shared" si="23"/>
        <v>Home &gt; Market Area &gt; USA &gt; VERIFY &gt; Little Rock</v>
      </c>
      <c r="AN1771" s="15">
        <f t="shared" si="24"/>
        <v>750</v>
      </c>
      <c r="AO1771" s="15">
        <f t="shared" si="25"/>
        <v>6</v>
      </c>
      <c r="AP1771" s="15">
        <f t="shared" si="26"/>
        <v>6</v>
      </c>
      <c r="AQ1771" s="15">
        <f t="shared" si="27"/>
        <v>30</v>
      </c>
      <c r="AR1771" s="31"/>
      <c r="AS1771" s="31"/>
      <c r="AT1771" s="35" t="s">
        <v>222</v>
      </c>
      <c r="AU1771" s="35"/>
    </row>
    <row r="1772" ht="15.75" customHeight="1">
      <c r="A1772" s="15" t="s">
        <v>7899</v>
      </c>
      <c r="B1772" s="15" t="s">
        <v>221</v>
      </c>
      <c r="C1772" s="15" t="s">
        <v>98</v>
      </c>
      <c r="D1772" s="15" t="s">
        <v>7900</v>
      </c>
      <c r="E1772" s="15" t="s">
        <v>7900</v>
      </c>
      <c r="F1772" s="58" t="s">
        <v>807</v>
      </c>
      <c r="G1772" s="66" t="s">
        <v>98</v>
      </c>
      <c r="H1772" s="18" t="s">
        <v>98</v>
      </c>
      <c r="I1772" s="18" t="s">
        <v>98</v>
      </c>
      <c r="J1772" s="18" t="s">
        <v>98</v>
      </c>
      <c r="K1772" s="18" t="s">
        <v>98</v>
      </c>
      <c r="L1772" s="18" t="s">
        <v>98</v>
      </c>
      <c r="M1772" s="18" t="s">
        <v>530</v>
      </c>
      <c r="N1772" s="18" t="s">
        <v>233</v>
      </c>
      <c r="O1772" s="18" t="s">
        <v>98</v>
      </c>
      <c r="P1772" s="15" t="str">
        <f t="shared" si="1"/>
        <v>VERIFY</v>
      </c>
      <c r="Q1772" s="15">
        <f t="shared" si="2"/>
        <v>1</v>
      </c>
      <c r="R1772" s="15">
        <f t="shared" si="3"/>
        <v>5</v>
      </c>
      <c r="S1772" s="15">
        <f t="shared" si="4"/>
        <v>4</v>
      </c>
      <c r="T1772" s="15" t="str">
        <f t="shared" si="5"/>
        <v>C-5</v>
      </c>
      <c r="U1772" s="15" t="str">
        <f t="shared" si="6"/>
        <v>T1-M5-H4-FC-5-VERIFY</v>
      </c>
      <c r="V1772" s="15">
        <f t="shared" si="7"/>
        <v>1</v>
      </c>
      <c r="W1772" s="31"/>
      <c r="X1772" s="15" t="str">
        <f t="shared" si="8"/>
        <v>madison-usa</v>
      </c>
      <c r="Y1772" s="32" t="str">
        <f t="shared" si="9"/>
        <v>https://steelmanufacturer.in/market-area/electropolished-pipes-manufacturer-in-madison-usa/</v>
      </c>
      <c r="Z1772" s="15" t="str">
        <f t="shared" si="10"/>
        <v>Electropolished Pipes Manufacturer in Madison | Sakshi Forge</v>
      </c>
      <c r="AA1772" s="15" t="str">
        <f t="shared" si="11"/>
        <v>OK (60)</v>
      </c>
      <c r="AB1772" s="15" t="str">
        <f t="shared" si="12"/>
        <v>Manufacturer of electropolished SS 316L tube serving Madison. 28-35 days sea from Nhava Sheva to US East Coast. Ra 0.25-0.5 um, EN 10204 3.1 MTC.</v>
      </c>
      <c r="AC1772" s="15" t="str">
        <f t="shared" si="13"/>
        <v>PENDING RESEARCH</v>
      </c>
      <c r="AD1772" s="15" t="str">
        <f t="shared" si="14"/>
        <v>Electropolished Pipes Manufacturer in Madison</v>
      </c>
      <c r="AE1772" s="15" t="str">
        <f t="shared" si="15"/>
        <v>Manufacturing Electropolished SS Tube for Madison: The Standards We Build To</v>
      </c>
      <c r="AF1772" s="15" t="str">
        <f t="shared" si="16"/>
        <v>Electropolished Pipe Supply Into Madison - Certification &amp; Transit</v>
      </c>
      <c r="AG1772" s="15" t="str">
        <f t="shared" si="17"/>
        <v>Electropolished Pipes Wholesaler in Madison - Project Quantities &amp; Terms</v>
      </c>
      <c r="AH1772" s="15" t="str">
        <f t="shared" si="18"/>
        <v>electropolished pipes manufacturer in Madison, electropolished pipes supplier in Madison, electropolished pipes wholesaler in Madison, electropolished tube manufacturer Madison, EP pipe supplier Madison, sanitary tube supplier Madison, ASME BPE tubing Madison, ASTM A270 tube Madison, SS 316L electropolished pipe Madison</v>
      </c>
      <c r="AI1772" s="15" t="str">
        <f t="shared" si="19"/>
        <v>Electropolished Pipes Manufacturer &amp; Supplier in Madison</v>
      </c>
      <c r="AJ1772" s="15" t="str">
        <f t="shared" si="20"/>
        <v>EP-finished SS 304/316L pipes and tubes for VERIFY plants in Madison. ASME BPE SF1-SF4, Ra from 0.25 um, EN 10204 3.1 certificate with every lot.</v>
      </c>
      <c r="AK1772" s="15" t="str">
        <f t="shared" si="21"/>
        <v>Electropolished stainless steel pipes supplied by Sakshi Forge to VERIFY plants at VERIFY, Madison</v>
      </c>
      <c r="AL1772" s="15" t="str">
        <f t="shared" si="22"/>
        <v>Electropolished SS 316L tube stock for Madison - Sakshi Forge</v>
      </c>
      <c r="AM1772" s="15" t="str">
        <f t="shared" si="23"/>
        <v>Home &gt; Market Area &gt; USA &gt; VERIFY &gt; Madison</v>
      </c>
      <c r="AN1772" s="15">
        <f t="shared" si="24"/>
        <v>750</v>
      </c>
      <c r="AO1772" s="15">
        <f t="shared" si="25"/>
        <v>6</v>
      </c>
      <c r="AP1772" s="15">
        <f t="shared" si="26"/>
        <v>6</v>
      </c>
      <c r="AQ1772" s="15">
        <f t="shared" si="27"/>
        <v>30</v>
      </c>
      <c r="AR1772" s="31"/>
      <c r="AS1772" s="31"/>
      <c r="AT1772" s="35" t="s">
        <v>222</v>
      </c>
      <c r="AU1772" s="35"/>
    </row>
    <row r="1773" ht="15.75" customHeight="1">
      <c r="A1773" s="15" t="s">
        <v>7901</v>
      </c>
      <c r="B1773" s="15" t="s">
        <v>221</v>
      </c>
      <c r="C1773" s="15" t="s">
        <v>98</v>
      </c>
      <c r="D1773" s="15" t="s">
        <v>7902</v>
      </c>
      <c r="E1773" s="15" t="s">
        <v>7902</v>
      </c>
      <c r="F1773" s="58" t="s">
        <v>807</v>
      </c>
      <c r="G1773" s="66" t="s">
        <v>98</v>
      </c>
      <c r="H1773" s="18" t="s">
        <v>98</v>
      </c>
      <c r="I1773" s="18" t="s">
        <v>98</v>
      </c>
      <c r="J1773" s="18" t="s">
        <v>98</v>
      </c>
      <c r="K1773" s="18" t="s">
        <v>98</v>
      </c>
      <c r="L1773" s="18" t="s">
        <v>98</v>
      </c>
      <c r="M1773" s="18" t="s">
        <v>530</v>
      </c>
      <c r="N1773" s="18" t="s">
        <v>233</v>
      </c>
      <c r="O1773" s="18" t="s">
        <v>98</v>
      </c>
      <c r="P1773" s="15" t="str">
        <f t="shared" si="1"/>
        <v>VERIFY</v>
      </c>
      <c r="Q1773" s="15">
        <f t="shared" si="2"/>
        <v>2</v>
      </c>
      <c r="R1773" s="15">
        <f t="shared" si="3"/>
        <v>6</v>
      </c>
      <c r="S1773" s="15">
        <f t="shared" si="4"/>
        <v>5</v>
      </c>
      <c r="T1773" s="15" t="str">
        <f t="shared" si="5"/>
        <v>C-6</v>
      </c>
      <c r="U1773" s="15" t="str">
        <f t="shared" si="6"/>
        <v>T2-M6-H5-FC-6-VERIFY</v>
      </c>
      <c r="V1773" s="15">
        <f t="shared" si="7"/>
        <v>1</v>
      </c>
      <c r="W1773" s="31"/>
      <c r="X1773" s="15" t="str">
        <f t="shared" si="8"/>
        <v>mobile-usa</v>
      </c>
      <c r="Y1773" s="32" t="str">
        <f t="shared" si="9"/>
        <v>https://steelmanufacturer.in/market-area/electropolished-pipes-manufacturer-in-mobile-usa/</v>
      </c>
      <c r="Z1773" s="15" t="str">
        <f t="shared" si="10"/>
        <v>Electropolished Pipes Manufacturer in Mobile</v>
      </c>
      <c r="AA1773" s="15" t="str">
        <f t="shared" si="11"/>
        <v>OK (44)</v>
      </c>
      <c r="AB1773" s="15" t="str">
        <f t="shared" si="12"/>
        <v>EP tube and pipe for VERIFY plants around VERIFY, Mobile. Made at our Mumbai works to ASTM A270 and ASME BPE SF1-SF4, with 3.1 MTC.</v>
      </c>
      <c r="AC1773" s="15" t="str">
        <f t="shared" si="13"/>
        <v>PENDING RESEARCH</v>
      </c>
      <c r="AD1773" s="15" t="str">
        <f t="shared" si="14"/>
        <v>Electropolished Pipes Manufacturer in Mobile</v>
      </c>
      <c r="AE1773" s="15" t="str">
        <f t="shared" si="15"/>
        <v>Electropolished Tube Manufacturing Capability Serving Mobile</v>
      </c>
      <c r="AF1773" s="15" t="str">
        <f t="shared" si="16"/>
        <v>Electropolished Pipes Supplier in Mobile - From Order to Delivery</v>
      </c>
      <c r="AG1773" s="15" t="str">
        <f t="shared" si="17"/>
        <v>Stockist &amp; Wholesale Supply of Electropolished Pipes in Mobile</v>
      </c>
      <c r="AH1773" s="15" t="str">
        <f t="shared" si="18"/>
        <v>electropolished pipes manufacturer in Mobile, electropolished pipes supplier in Mobile, electropolished pipes wholesaler in Mobile, electropolished tube manufacturer Mobile, EP pipe supplier Mobile, sanitary tube supplier Mobile, ASME BPE tubing Mobile, ASTM A270 tube Mobile, SS 316L electropolished pipe Mobile</v>
      </c>
      <c r="AI1773" s="15" t="str">
        <f t="shared" si="19"/>
        <v>Electropolished Pipes Manufacturer &amp; Supplier in Mobile</v>
      </c>
      <c r="AJ1773" s="15" t="str">
        <f t="shared" si="20"/>
        <v>EP-finished SS 304/316L pipes and tubes for VERIFY plants in Mobile. ASME BPE SF1-SF4, Ra from 0.25 um, EN 10204 3.1 certificate with every lot.</v>
      </c>
      <c r="AK1773" s="15" t="str">
        <f t="shared" si="21"/>
        <v>Electropolished stainless steel pipes supplied by Sakshi Forge to VERIFY plants at VERIFY, Mobile</v>
      </c>
      <c r="AL1773" s="15" t="str">
        <f t="shared" si="22"/>
        <v>Electropolished SS 316L tube stock for Mobile - Sakshi Forge</v>
      </c>
      <c r="AM1773" s="15" t="str">
        <f t="shared" si="23"/>
        <v>Home &gt; Market Area &gt; USA &gt; VERIFY &gt; Mobile</v>
      </c>
      <c r="AN1773" s="15">
        <f t="shared" si="24"/>
        <v>750</v>
      </c>
      <c r="AO1773" s="15">
        <f t="shared" si="25"/>
        <v>6</v>
      </c>
      <c r="AP1773" s="15">
        <f t="shared" si="26"/>
        <v>6</v>
      </c>
      <c r="AQ1773" s="15">
        <f t="shared" si="27"/>
        <v>30</v>
      </c>
      <c r="AR1773" s="31"/>
      <c r="AS1773" s="31"/>
      <c r="AT1773" s="35" t="s">
        <v>222</v>
      </c>
      <c r="AU1773" s="35"/>
    </row>
    <row r="1774" ht="15.75" customHeight="1">
      <c r="A1774" s="15" t="s">
        <v>7903</v>
      </c>
      <c r="B1774" s="15" t="s">
        <v>221</v>
      </c>
      <c r="C1774" s="15" t="s">
        <v>98</v>
      </c>
      <c r="D1774" s="15" t="s">
        <v>7904</v>
      </c>
      <c r="E1774" s="15" t="s">
        <v>7904</v>
      </c>
      <c r="F1774" s="58" t="s">
        <v>807</v>
      </c>
      <c r="G1774" s="66" t="s">
        <v>98</v>
      </c>
      <c r="H1774" s="18" t="s">
        <v>98</v>
      </c>
      <c r="I1774" s="18" t="s">
        <v>98</v>
      </c>
      <c r="J1774" s="18" t="s">
        <v>98</v>
      </c>
      <c r="K1774" s="18" t="s">
        <v>98</v>
      </c>
      <c r="L1774" s="18" t="s">
        <v>98</v>
      </c>
      <c r="M1774" s="18" t="s">
        <v>530</v>
      </c>
      <c r="N1774" s="18" t="s">
        <v>233</v>
      </c>
      <c r="O1774" s="18" t="s">
        <v>98</v>
      </c>
      <c r="P1774" s="15" t="str">
        <f t="shared" si="1"/>
        <v>VERIFY</v>
      </c>
      <c r="Q1774" s="15">
        <f t="shared" si="2"/>
        <v>3</v>
      </c>
      <c r="R1774" s="15">
        <f t="shared" si="3"/>
        <v>7</v>
      </c>
      <c r="S1774" s="15">
        <f t="shared" si="4"/>
        <v>1</v>
      </c>
      <c r="T1774" s="15" t="str">
        <f t="shared" si="5"/>
        <v>C-1</v>
      </c>
      <c r="U1774" s="15" t="str">
        <f t="shared" si="6"/>
        <v>T3-M7-H1-FC-1-VERIFY</v>
      </c>
      <c r="V1774" s="15">
        <f t="shared" si="7"/>
        <v>1</v>
      </c>
      <c r="W1774" s="31"/>
      <c r="X1774" s="15" t="str">
        <f t="shared" si="8"/>
        <v>modesto-usa</v>
      </c>
      <c r="Y1774" s="32" t="str">
        <f t="shared" si="9"/>
        <v>https://steelmanufacturer.in/market-area/electropolished-pipes-manufacturer-in-modesto-usa/</v>
      </c>
      <c r="Z1774" s="15" t="str">
        <f t="shared" si="10"/>
        <v>Electropolished Pipes Manufacturer in Modesto | EP Tube Supplier</v>
      </c>
      <c r="AA1774" s="15" t="str">
        <f t="shared" si="11"/>
        <v>OK (64)</v>
      </c>
      <c r="AB1774" s="15" t="str">
        <f t="shared" si="12"/>
        <v>Electropolished pipes in Modesto: 304, 304L, 316 and 316L in SF1-SF4. 28-35 days sea from Nhava Sheva to US East Coast. Mill certified.</v>
      </c>
      <c r="AC1774" s="15" t="str">
        <f t="shared" si="13"/>
        <v>PENDING RESEARCH</v>
      </c>
      <c r="AD1774" s="15" t="str">
        <f t="shared" si="14"/>
        <v>Electropolished Pipes Manufacturer in Modesto</v>
      </c>
      <c r="AE1774" s="15" t="str">
        <f t="shared" si="15"/>
        <v>Electropolished Pipe &amp; Tube Manufacturing for Modesto - Grades, Finishes &amp; Certification</v>
      </c>
      <c r="AF1774" s="15" t="str">
        <f t="shared" si="16"/>
        <v>Electropolished Pipes Supplier in Modesto - Stock Sizes, Lead Time &amp; Delivery</v>
      </c>
      <c r="AG1774" s="15" t="str">
        <f t="shared" si="17"/>
        <v>Electropolished Pipes Wholesaler &amp; Stockist in Modesto - Bulk &amp; Project Pricing</v>
      </c>
      <c r="AH1774" s="15" t="str">
        <f t="shared" si="18"/>
        <v>electropolished pipes manufacturer in Modesto, electropolished pipes supplier in Modesto, electropolished pipes wholesaler in Modesto, electropolished tube manufacturer Modesto, EP pipe supplier Modesto, sanitary tube supplier Modesto, ASME BPE tubing Modesto, ASTM A270 tube Modesto, SS 316L electropolished pipe Modesto</v>
      </c>
      <c r="AI1774" s="15" t="str">
        <f t="shared" si="19"/>
        <v>Electropolished Pipes Manufacturer &amp; Supplier in Modesto</v>
      </c>
      <c r="AJ1774" s="15" t="str">
        <f t="shared" si="20"/>
        <v>EP-finished SS 304/316L pipes and tubes for VERIFY plants in Modesto. ASME BPE SF1-SF4, Ra from 0.25 um, EN 10204 3.1 certificate with every lot.</v>
      </c>
      <c r="AK1774" s="15" t="str">
        <f t="shared" si="21"/>
        <v>Electropolished stainless steel pipes supplied by Sakshi Forge to VERIFY plants at VERIFY, Modesto</v>
      </c>
      <c r="AL1774" s="15" t="str">
        <f t="shared" si="22"/>
        <v>Electropolished SS 316L tube stock for Modesto - Sakshi Forge</v>
      </c>
      <c r="AM1774" s="15" t="str">
        <f t="shared" si="23"/>
        <v>Home &gt; Market Area &gt; USA &gt; VERIFY &gt; Modesto</v>
      </c>
      <c r="AN1774" s="15">
        <f t="shared" si="24"/>
        <v>750</v>
      </c>
      <c r="AO1774" s="15">
        <f t="shared" si="25"/>
        <v>6</v>
      </c>
      <c r="AP1774" s="15">
        <f t="shared" si="26"/>
        <v>6</v>
      </c>
      <c r="AQ1774" s="15">
        <f t="shared" si="27"/>
        <v>30</v>
      </c>
      <c r="AR1774" s="31"/>
      <c r="AS1774" s="31"/>
      <c r="AT1774" s="35" t="s">
        <v>222</v>
      </c>
      <c r="AU1774" s="35"/>
    </row>
    <row r="1775" ht="15.75" customHeight="1">
      <c r="A1775" s="15" t="s">
        <v>7905</v>
      </c>
      <c r="B1775" s="15" t="s">
        <v>221</v>
      </c>
      <c r="C1775" s="15" t="s">
        <v>98</v>
      </c>
      <c r="D1775" s="15" t="s">
        <v>7906</v>
      </c>
      <c r="E1775" s="15" t="s">
        <v>7906</v>
      </c>
      <c r="F1775" s="58" t="s">
        <v>807</v>
      </c>
      <c r="G1775" s="66" t="s">
        <v>98</v>
      </c>
      <c r="H1775" s="18" t="s">
        <v>98</v>
      </c>
      <c r="I1775" s="18" t="s">
        <v>98</v>
      </c>
      <c r="J1775" s="18" t="s">
        <v>98</v>
      </c>
      <c r="K1775" s="18" t="s">
        <v>98</v>
      </c>
      <c r="L1775" s="18" t="s">
        <v>98</v>
      </c>
      <c r="M1775" s="18" t="s">
        <v>530</v>
      </c>
      <c r="N1775" s="18" t="s">
        <v>233</v>
      </c>
      <c r="O1775" s="18" t="s">
        <v>98</v>
      </c>
      <c r="P1775" s="15" t="str">
        <f t="shared" si="1"/>
        <v>VERIFY</v>
      </c>
      <c r="Q1775" s="15">
        <f t="shared" si="2"/>
        <v>4</v>
      </c>
      <c r="R1775" s="15">
        <f t="shared" si="3"/>
        <v>1</v>
      </c>
      <c r="S1775" s="15">
        <f t="shared" si="4"/>
        <v>2</v>
      </c>
      <c r="T1775" s="15" t="str">
        <f t="shared" si="5"/>
        <v>C-2</v>
      </c>
      <c r="U1775" s="15" t="str">
        <f t="shared" si="6"/>
        <v>T4-M1-H2-FC-2-VERIFY</v>
      </c>
      <c r="V1775" s="15">
        <f t="shared" si="7"/>
        <v>1</v>
      </c>
      <c r="W1775" s="31"/>
      <c r="X1775" s="15" t="str">
        <f t="shared" si="8"/>
        <v>norfolk-usa</v>
      </c>
      <c r="Y1775" s="32" t="str">
        <f t="shared" si="9"/>
        <v>https://steelmanufacturer.in/market-area/electropolished-pipes-manufacturer-in-norfolk-usa/</v>
      </c>
      <c r="Z1775" s="15" t="str">
        <f t="shared" si="10"/>
        <v>Electropolished Pipes Manufacturer in Norfolk</v>
      </c>
      <c r="AA1775" s="15" t="str">
        <f t="shared" si="11"/>
        <v>OK (45)</v>
      </c>
      <c r="AB1775" s="15" t="str">
        <f t="shared" si="12"/>
        <v>EP-finished SS 304/316L pipes &amp; tubes for VERIFY plants in Norfolk. ASTM A270, ASME BPE SF1-SF4, EN 10204 3.1 MTC. PMI tested.</v>
      </c>
      <c r="AC1775" s="15" t="str">
        <f t="shared" si="13"/>
        <v>PENDING RESEARCH</v>
      </c>
      <c r="AD1775" s="15" t="str">
        <f t="shared" si="14"/>
        <v>Electropolished Pipes Manufacturer in Norfolk</v>
      </c>
      <c r="AE1775" s="15" t="str">
        <f t="shared" si="15"/>
        <v>How We Manufacture Electropolished Tube for Norfolk Plants</v>
      </c>
      <c r="AF1775" s="15" t="str">
        <f t="shared" si="16"/>
        <v>Supplying Electropolished Pipes in Norfolk: Availability, Sizes &amp; Dispatch</v>
      </c>
      <c r="AG1775" s="15" t="str">
        <f t="shared" si="17"/>
        <v>Wholesale Electropolished Pipe Supply for Norfolk Projects</v>
      </c>
      <c r="AH1775" s="15" t="str">
        <f t="shared" si="18"/>
        <v>electropolished pipes manufacturer in Norfolk, electropolished pipes supplier in Norfolk, electropolished pipes wholesaler in Norfolk, electropolished tube manufacturer Norfolk, EP pipe supplier Norfolk, sanitary tube supplier Norfolk, ASME BPE tubing Norfolk, ASTM A270 tube Norfolk, SS 316L electropolished pipe Norfolk</v>
      </c>
      <c r="AI1775" s="15" t="str">
        <f t="shared" si="19"/>
        <v>Electropolished Pipes Manufacturer &amp; Supplier in Norfolk</v>
      </c>
      <c r="AJ1775" s="15" t="str">
        <f t="shared" si="20"/>
        <v>EP-finished SS 304/316L pipes and tubes for VERIFY plants in Norfolk. ASME BPE SF1-SF4, Ra from 0.25 um, EN 10204 3.1 certificate with every lot.</v>
      </c>
      <c r="AK1775" s="15" t="str">
        <f t="shared" si="21"/>
        <v>Electropolished stainless steel pipes supplied by Sakshi Forge to VERIFY plants at VERIFY, Norfolk</v>
      </c>
      <c r="AL1775" s="15" t="str">
        <f t="shared" si="22"/>
        <v>Electropolished SS 316L tube stock for Norfolk - Sakshi Forge</v>
      </c>
      <c r="AM1775" s="15" t="str">
        <f t="shared" si="23"/>
        <v>Home &gt; Market Area &gt; USA &gt; VERIFY &gt; Norfolk</v>
      </c>
      <c r="AN1775" s="15">
        <f t="shared" si="24"/>
        <v>750</v>
      </c>
      <c r="AO1775" s="15">
        <f t="shared" si="25"/>
        <v>6</v>
      </c>
      <c r="AP1775" s="15">
        <f t="shared" si="26"/>
        <v>6</v>
      </c>
      <c r="AQ1775" s="15">
        <f t="shared" si="27"/>
        <v>30</v>
      </c>
      <c r="AR1775" s="31"/>
      <c r="AS1775" s="31"/>
      <c r="AT1775" s="35" t="s">
        <v>222</v>
      </c>
      <c r="AU1775" s="35"/>
    </row>
    <row r="1776" ht="15.75" customHeight="1">
      <c r="A1776" s="15" t="s">
        <v>7907</v>
      </c>
      <c r="B1776" s="15" t="s">
        <v>221</v>
      </c>
      <c r="C1776" s="15" t="s">
        <v>98</v>
      </c>
      <c r="D1776" s="15" t="s">
        <v>7908</v>
      </c>
      <c r="E1776" s="15" t="s">
        <v>7908</v>
      </c>
      <c r="F1776" s="58" t="s">
        <v>807</v>
      </c>
      <c r="G1776" s="66" t="s">
        <v>98</v>
      </c>
      <c r="H1776" s="18" t="s">
        <v>98</v>
      </c>
      <c r="I1776" s="18" t="s">
        <v>98</v>
      </c>
      <c r="J1776" s="18" t="s">
        <v>98</v>
      </c>
      <c r="K1776" s="18" t="s">
        <v>98</v>
      </c>
      <c r="L1776" s="18" t="s">
        <v>98</v>
      </c>
      <c r="M1776" s="18" t="s">
        <v>530</v>
      </c>
      <c r="N1776" s="18" t="s">
        <v>233</v>
      </c>
      <c r="O1776" s="18" t="s">
        <v>98</v>
      </c>
      <c r="P1776" s="15" t="str">
        <f t="shared" si="1"/>
        <v>VERIFY</v>
      </c>
      <c r="Q1776" s="15">
        <f t="shared" si="2"/>
        <v>5</v>
      </c>
      <c r="R1776" s="15">
        <f t="shared" si="3"/>
        <v>2</v>
      </c>
      <c r="S1776" s="15">
        <f t="shared" si="4"/>
        <v>3</v>
      </c>
      <c r="T1776" s="15" t="str">
        <f t="shared" si="5"/>
        <v>C-3</v>
      </c>
      <c r="U1776" s="15" t="str">
        <f t="shared" si="6"/>
        <v>T5-M2-H3-FC-3-VERIFY</v>
      </c>
      <c r="V1776" s="15">
        <f t="shared" si="7"/>
        <v>1</v>
      </c>
      <c r="W1776" s="31"/>
      <c r="X1776" s="15" t="str">
        <f t="shared" si="8"/>
        <v>ogden-usa</v>
      </c>
      <c r="Y1776" s="32" t="str">
        <f t="shared" si="9"/>
        <v>https://steelmanufacturer.in/market-area/electropolished-pipes-manufacturer-in-ogden-usa/</v>
      </c>
      <c r="Z1776" s="15" t="str">
        <f t="shared" si="10"/>
        <v>Electropolished Pipes Manufacturer in Ogden</v>
      </c>
      <c r="AA1776" s="15" t="str">
        <f t="shared" si="11"/>
        <v>OK (43)</v>
      </c>
      <c r="AB1776" s="15" t="str">
        <f t="shared" si="12"/>
        <v>Electropolished tube supply to VERIFY, Ogden. Ra from 0.25 um, SF4 finish, mill test certificate with every lot.</v>
      </c>
      <c r="AC1776" s="15" t="str">
        <f t="shared" si="13"/>
        <v>PENDING RESEARCH</v>
      </c>
      <c r="AD1776" s="15" t="str">
        <f t="shared" si="14"/>
        <v>Electropolished Pipes Manufacturer in Ogden</v>
      </c>
      <c r="AE1776" s="15" t="str">
        <f t="shared" si="15"/>
        <v>Electropolished Pipes Manufacturer in Ogden - Our Process &amp; Capability</v>
      </c>
      <c r="AF1776" s="15" t="str">
        <f t="shared" si="16"/>
        <v>Electropolished Pipes Supplier in Ogden - What We Hold in Stock</v>
      </c>
      <c r="AG1776" s="15" t="str">
        <f t="shared" si="17"/>
        <v>Bulk &amp; Wholesale Electropolished Pipe Rates for Ogden Buyers</v>
      </c>
      <c r="AH1776" s="15" t="str">
        <f t="shared" si="18"/>
        <v>electropolished pipes manufacturer in Ogden, electropolished pipes supplier in Ogden, electropolished pipes wholesaler in Ogden, electropolished tube manufacturer Ogden, EP pipe supplier Ogden, sanitary tube supplier Ogden, ASME BPE tubing Ogden, ASTM A270 tube Ogden, SS 316L electropolished pipe Ogden</v>
      </c>
      <c r="AI1776" s="15" t="str">
        <f t="shared" si="19"/>
        <v>Electropolished Pipes Manufacturer &amp; Supplier in Ogden</v>
      </c>
      <c r="AJ1776" s="15" t="str">
        <f t="shared" si="20"/>
        <v>EP-finished SS 304/316L pipes and tubes for VERIFY plants in Ogden. ASME BPE SF1-SF4, Ra from 0.25 um, EN 10204 3.1 certificate with every lot.</v>
      </c>
      <c r="AK1776" s="15" t="str">
        <f t="shared" si="21"/>
        <v>Electropolished stainless steel pipes supplied by Sakshi Forge to VERIFY plants at VERIFY, Ogden</v>
      </c>
      <c r="AL1776" s="15" t="str">
        <f t="shared" si="22"/>
        <v>Electropolished SS 316L tube stock for Ogden - Sakshi Forge</v>
      </c>
      <c r="AM1776" s="15" t="str">
        <f t="shared" si="23"/>
        <v>Home &gt; Market Area &gt; USA &gt; VERIFY &gt; Ogden</v>
      </c>
      <c r="AN1776" s="15">
        <f t="shared" si="24"/>
        <v>750</v>
      </c>
      <c r="AO1776" s="15">
        <f t="shared" si="25"/>
        <v>6</v>
      </c>
      <c r="AP1776" s="15">
        <f t="shared" si="26"/>
        <v>6</v>
      </c>
      <c r="AQ1776" s="15">
        <f t="shared" si="27"/>
        <v>30</v>
      </c>
      <c r="AR1776" s="31"/>
      <c r="AS1776" s="31"/>
      <c r="AT1776" s="35" t="s">
        <v>222</v>
      </c>
      <c r="AU1776" s="35"/>
    </row>
    <row r="1777" ht="15.75" customHeight="1">
      <c r="A1777" s="15" t="s">
        <v>7909</v>
      </c>
      <c r="B1777" s="15" t="s">
        <v>221</v>
      </c>
      <c r="C1777" s="15" t="s">
        <v>98</v>
      </c>
      <c r="D1777" s="15" t="s">
        <v>7910</v>
      </c>
      <c r="E1777" s="15" t="s">
        <v>7910</v>
      </c>
      <c r="F1777" s="58" t="s">
        <v>807</v>
      </c>
      <c r="G1777" s="66" t="s">
        <v>98</v>
      </c>
      <c r="H1777" s="18" t="s">
        <v>98</v>
      </c>
      <c r="I1777" s="18" t="s">
        <v>98</v>
      </c>
      <c r="J1777" s="18" t="s">
        <v>98</v>
      </c>
      <c r="K1777" s="18" t="s">
        <v>98</v>
      </c>
      <c r="L1777" s="18" t="s">
        <v>98</v>
      </c>
      <c r="M1777" s="18" t="s">
        <v>530</v>
      </c>
      <c r="N1777" s="18" t="s">
        <v>233</v>
      </c>
      <c r="O1777" s="18" t="s">
        <v>98</v>
      </c>
      <c r="P1777" s="15" t="str">
        <f t="shared" si="1"/>
        <v>VERIFY</v>
      </c>
      <c r="Q1777" s="15">
        <f t="shared" si="2"/>
        <v>6</v>
      </c>
      <c r="R1777" s="15">
        <f t="shared" si="3"/>
        <v>3</v>
      </c>
      <c r="S1777" s="15">
        <f t="shared" si="4"/>
        <v>4</v>
      </c>
      <c r="T1777" s="15" t="str">
        <f t="shared" si="5"/>
        <v>C-4</v>
      </c>
      <c r="U1777" s="15" t="str">
        <f t="shared" si="6"/>
        <v>T6-M3-H4-FC-4-VERIFY</v>
      </c>
      <c r="V1777" s="15">
        <f t="shared" si="7"/>
        <v>1</v>
      </c>
      <c r="W1777" s="31"/>
      <c r="X1777" s="15" t="str">
        <f t="shared" si="8"/>
        <v>oklahoma-city-usa</v>
      </c>
      <c r="Y1777" s="32" t="str">
        <f t="shared" si="9"/>
        <v>https://steelmanufacturer.in/market-area/electropolished-pipes-manufacturer-in-oklahoma-city-usa/</v>
      </c>
      <c r="Z1777" s="15" t="str">
        <f t="shared" si="10"/>
        <v>Electropolished Pipes Manufacturer in Oklahoma City</v>
      </c>
      <c r="AA1777" s="15" t="str">
        <f t="shared" si="11"/>
        <v>OK (51)</v>
      </c>
      <c r="AB1777" s="15" t="str">
        <f t="shared" si="12"/>
        <v>EP stainless tube for VERIFY lines in Oklahoma City. 28-35 days sea from Nhava Sheva to US East Coast. ASTM A270 S2, PMI tested, EN 10204 3.1.</v>
      </c>
      <c r="AC1777" s="15" t="str">
        <f t="shared" si="13"/>
        <v>PENDING RESEARCH</v>
      </c>
      <c r="AD1777" s="15" t="str">
        <f t="shared" si="14"/>
        <v>Electropolished Pipes Manufacturer in Oklahoma City</v>
      </c>
      <c r="AE1777" s="15" t="str">
        <f t="shared" si="15"/>
        <v>Manufacturing Electropolished SS Tube for Oklahoma City: The Standards We Build To</v>
      </c>
      <c r="AF1777" s="15" t="str">
        <f t="shared" si="16"/>
        <v>Electropolished Pipe Supply Into Oklahoma City - Certification &amp; Transit</v>
      </c>
      <c r="AG1777" s="15" t="str">
        <f t="shared" si="17"/>
        <v>Electropolished Pipes Wholesaler in Oklahoma City - Project Quantities &amp; Terms</v>
      </c>
      <c r="AH1777" s="15" t="str">
        <f t="shared" si="18"/>
        <v>electropolished pipes manufacturer in Oklahoma City, electropolished pipes supplier in Oklahoma City, electropolished pipes wholesaler in Oklahoma City, electropolished tube manufacturer Oklahoma City, EP pipe supplier Oklahoma City, sanitary tube supplier Oklahoma City, ASME BPE tubing Oklahoma City, ASTM A270 tube Oklahoma City, SS 316L electropolished pipe Oklahoma City</v>
      </c>
      <c r="AI1777" s="15" t="str">
        <f t="shared" si="19"/>
        <v>Electropolished Pipes Manufacturer &amp; Supplier in Oklahoma City</v>
      </c>
      <c r="AJ1777" s="15" t="str">
        <f t="shared" si="20"/>
        <v>EP-finished SS 304/316L pipes and tubes for VERIFY plants in Oklahoma City. ASME BPE SF1-SF4, Ra from 0.25 um, EN 10204 3.1 certificate with every lot.</v>
      </c>
      <c r="AK1777" s="15" t="str">
        <f t="shared" si="21"/>
        <v>Electropolished stainless steel pipes supplied by Sakshi Forge to VERIFY plants at VERIFY, Oklahoma City</v>
      </c>
      <c r="AL1777" s="15" t="str">
        <f t="shared" si="22"/>
        <v>Electropolished SS 316L tube stock for Oklahoma City - Sakshi Forge</v>
      </c>
      <c r="AM1777" s="15" t="str">
        <f t="shared" si="23"/>
        <v>Home &gt; Market Area &gt; USA &gt; VERIFY &gt; Oklahoma City</v>
      </c>
      <c r="AN1777" s="15">
        <f t="shared" si="24"/>
        <v>750</v>
      </c>
      <c r="AO1777" s="15">
        <f t="shared" si="25"/>
        <v>6</v>
      </c>
      <c r="AP1777" s="15">
        <f t="shared" si="26"/>
        <v>6</v>
      </c>
      <c r="AQ1777" s="15">
        <f t="shared" si="27"/>
        <v>30</v>
      </c>
      <c r="AR1777" s="31"/>
      <c r="AS1777" s="31"/>
      <c r="AT1777" s="35" t="s">
        <v>222</v>
      </c>
      <c r="AU1777" s="35"/>
    </row>
    <row r="1778" ht="15.75" customHeight="1">
      <c r="A1778" s="15" t="s">
        <v>7911</v>
      </c>
      <c r="B1778" s="15" t="s">
        <v>221</v>
      </c>
      <c r="C1778" s="15" t="s">
        <v>98</v>
      </c>
      <c r="D1778" s="15" t="s">
        <v>7912</v>
      </c>
      <c r="E1778" s="15" t="s">
        <v>7912</v>
      </c>
      <c r="F1778" s="58" t="s">
        <v>807</v>
      </c>
      <c r="G1778" s="66" t="s">
        <v>98</v>
      </c>
      <c r="H1778" s="18" t="s">
        <v>98</v>
      </c>
      <c r="I1778" s="18" t="s">
        <v>98</v>
      </c>
      <c r="J1778" s="18" t="s">
        <v>98</v>
      </c>
      <c r="K1778" s="18" t="s">
        <v>98</v>
      </c>
      <c r="L1778" s="18" t="s">
        <v>98</v>
      </c>
      <c r="M1778" s="18" t="s">
        <v>530</v>
      </c>
      <c r="N1778" s="18" t="s">
        <v>233</v>
      </c>
      <c r="O1778" s="18" t="s">
        <v>98</v>
      </c>
      <c r="P1778" s="15" t="str">
        <f t="shared" si="1"/>
        <v>VERIFY</v>
      </c>
      <c r="Q1778" s="15">
        <f t="shared" si="2"/>
        <v>7</v>
      </c>
      <c r="R1778" s="15">
        <f t="shared" si="3"/>
        <v>4</v>
      </c>
      <c r="S1778" s="15">
        <f t="shared" si="4"/>
        <v>5</v>
      </c>
      <c r="T1778" s="15" t="str">
        <f t="shared" si="5"/>
        <v>C-5</v>
      </c>
      <c r="U1778" s="15" t="str">
        <f t="shared" si="6"/>
        <v>T7-M4-H5-FC-5-VERIFY</v>
      </c>
      <c r="V1778" s="15">
        <f t="shared" si="7"/>
        <v>1</v>
      </c>
      <c r="W1778" s="31"/>
      <c r="X1778" s="15" t="str">
        <f t="shared" si="8"/>
        <v>peoria-usa</v>
      </c>
      <c r="Y1778" s="32" t="str">
        <f t="shared" si="9"/>
        <v>https://steelmanufacturer.in/market-area/electropolished-pipes-manufacturer-in-peoria-usa/</v>
      </c>
      <c r="Z1778" s="15" t="str">
        <f t="shared" si="10"/>
        <v>Electropolished Pipes Manufacturer in Peoria | ASME BPE SF1-SF4</v>
      </c>
      <c r="AA1778" s="15" t="str">
        <f t="shared" si="11"/>
        <v>OK (63)</v>
      </c>
      <c r="AB1778" s="15" t="str">
        <f t="shared" si="12"/>
        <v>Sanitary electropolished pipes in Peoria for VERIFY plants. ASME BPE SF1-SF4, orbital-weld ready, 3.1 MTC. Mumbai-made.</v>
      </c>
      <c r="AC1778" s="15" t="str">
        <f t="shared" si="13"/>
        <v>PENDING RESEARCH</v>
      </c>
      <c r="AD1778" s="15" t="str">
        <f t="shared" si="14"/>
        <v>Electropolished Pipes Manufacturer in Peoria</v>
      </c>
      <c r="AE1778" s="15" t="str">
        <f t="shared" si="15"/>
        <v>Electropolished Tube Manufacturing Capability Serving Peoria</v>
      </c>
      <c r="AF1778" s="15" t="str">
        <f t="shared" si="16"/>
        <v>Electropolished Pipes Supplier in Peoria - From Order to Delivery</v>
      </c>
      <c r="AG1778" s="15" t="str">
        <f t="shared" si="17"/>
        <v>Stockist &amp; Wholesale Supply of Electropolished Pipes in Peoria</v>
      </c>
      <c r="AH1778" s="15" t="str">
        <f t="shared" si="18"/>
        <v>electropolished pipes manufacturer in Peoria, electropolished pipes supplier in Peoria, electropolished pipes wholesaler in Peoria, electropolished tube manufacturer Peoria, EP pipe supplier Peoria, sanitary tube supplier Peoria, ASME BPE tubing Peoria, ASTM A270 tube Peoria, SS 316L electropolished pipe Peoria</v>
      </c>
      <c r="AI1778" s="15" t="str">
        <f t="shared" si="19"/>
        <v>Electropolished Pipes Manufacturer &amp; Supplier in Peoria</v>
      </c>
      <c r="AJ1778" s="15" t="str">
        <f t="shared" si="20"/>
        <v>EP-finished SS 304/316L pipes and tubes for VERIFY plants in Peoria. ASME BPE SF1-SF4, Ra from 0.25 um, EN 10204 3.1 certificate with every lot.</v>
      </c>
      <c r="AK1778" s="15" t="str">
        <f t="shared" si="21"/>
        <v>Electropolished stainless steel pipes supplied by Sakshi Forge to VERIFY plants at VERIFY, Peoria</v>
      </c>
      <c r="AL1778" s="15" t="str">
        <f t="shared" si="22"/>
        <v>Electropolished SS 316L tube stock for Peoria - Sakshi Forge</v>
      </c>
      <c r="AM1778" s="15" t="str">
        <f t="shared" si="23"/>
        <v>Home &gt; Market Area &gt; USA &gt; VERIFY &gt; Peoria</v>
      </c>
      <c r="AN1778" s="15">
        <f t="shared" si="24"/>
        <v>750</v>
      </c>
      <c r="AO1778" s="15">
        <f t="shared" si="25"/>
        <v>6</v>
      </c>
      <c r="AP1778" s="15">
        <f t="shared" si="26"/>
        <v>6</v>
      </c>
      <c r="AQ1778" s="15">
        <f t="shared" si="27"/>
        <v>30</v>
      </c>
      <c r="AR1778" s="31"/>
      <c r="AS1778" s="31"/>
      <c r="AT1778" s="35" t="s">
        <v>222</v>
      </c>
      <c r="AU1778" s="35"/>
    </row>
    <row r="1779" ht="15.75" customHeight="1">
      <c r="A1779" s="15" t="s">
        <v>7913</v>
      </c>
      <c r="B1779" s="15" t="s">
        <v>221</v>
      </c>
      <c r="C1779" s="15" t="s">
        <v>98</v>
      </c>
      <c r="D1779" s="15" t="s">
        <v>7914</v>
      </c>
      <c r="E1779" s="15" t="s">
        <v>7914</v>
      </c>
      <c r="F1779" s="58" t="s">
        <v>807</v>
      </c>
      <c r="G1779" s="66" t="s">
        <v>98</v>
      </c>
      <c r="H1779" s="18" t="s">
        <v>98</v>
      </c>
      <c r="I1779" s="18" t="s">
        <v>98</v>
      </c>
      <c r="J1779" s="18" t="s">
        <v>98</v>
      </c>
      <c r="K1779" s="18" t="s">
        <v>98</v>
      </c>
      <c r="L1779" s="18" t="s">
        <v>98</v>
      </c>
      <c r="M1779" s="18" t="s">
        <v>530</v>
      </c>
      <c r="N1779" s="18" t="s">
        <v>233</v>
      </c>
      <c r="O1779" s="18" t="s">
        <v>98</v>
      </c>
      <c r="P1779" s="15" t="str">
        <f t="shared" si="1"/>
        <v>VERIFY</v>
      </c>
      <c r="Q1779" s="15">
        <f t="shared" si="2"/>
        <v>8</v>
      </c>
      <c r="R1779" s="15">
        <f t="shared" si="3"/>
        <v>5</v>
      </c>
      <c r="S1779" s="15">
        <f t="shared" si="4"/>
        <v>1</v>
      </c>
      <c r="T1779" s="15" t="str">
        <f t="shared" si="5"/>
        <v>C-6</v>
      </c>
      <c r="U1779" s="15" t="str">
        <f t="shared" si="6"/>
        <v>T8-M5-H1-FC-6-VERIFY</v>
      </c>
      <c r="V1779" s="15">
        <f t="shared" si="7"/>
        <v>1</v>
      </c>
      <c r="W1779" s="31"/>
      <c r="X1779" s="15" t="str">
        <f t="shared" si="8"/>
        <v>providence-usa</v>
      </c>
      <c r="Y1779" s="32" t="str">
        <f t="shared" si="9"/>
        <v>https://steelmanufacturer.in/market-area/electropolished-pipes-manufacturer-in-providence-usa/</v>
      </c>
      <c r="Z1779" s="15" t="str">
        <f t="shared" si="10"/>
        <v>Electropolished Pipes Manufacturer in Providence</v>
      </c>
      <c r="AA1779" s="15" t="str">
        <f t="shared" si="11"/>
        <v>OK (48)</v>
      </c>
      <c r="AB1779" s="15" t="str">
        <f t="shared" si="12"/>
        <v>Manufacturer of electropolished SS 316L tube serving Providence. 28-35 days sea from Nhava Sheva to US East Coast. Ra 0.25-0.5 um, EN 10204 3.1 MTC.</v>
      </c>
      <c r="AC1779" s="15" t="str">
        <f t="shared" si="13"/>
        <v>PENDING RESEARCH</v>
      </c>
      <c r="AD1779" s="15" t="str">
        <f t="shared" si="14"/>
        <v>Electropolished Pipes Manufacturer in Providence</v>
      </c>
      <c r="AE1779" s="15" t="str">
        <f t="shared" si="15"/>
        <v>Electropolished Pipe &amp; Tube Manufacturing for Providence - Grades, Finishes &amp; Certification</v>
      </c>
      <c r="AF1779" s="15" t="str">
        <f t="shared" si="16"/>
        <v>Electropolished Pipes Supplier in Providence - Stock Sizes, Lead Time &amp; Delivery</v>
      </c>
      <c r="AG1779" s="15" t="str">
        <f t="shared" si="17"/>
        <v>Electropolished Pipes Wholesaler &amp; Stockist in Providence - Bulk &amp; Project Pricing</v>
      </c>
      <c r="AH1779" s="15" t="str">
        <f t="shared" si="18"/>
        <v>electropolished pipes manufacturer in Providence, electropolished pipes supplier in Providence, electropolished pipes wholesaler in Providence, electropolished tube manufacturer Providence, EP pipe supplier Providence, sanitary tube supplier Providence, ASME BPE tubing Providence, ASTM A270 tube Providence, SS 316L electropolished pipe Providence</v>
      </c>
      <c r="AI1779" s="15" t="str">
        <f t="shared" si="19"/>
        <v>Electropolished Pipes Manufacturer &amp; Supplier in Providence</v>
      </c>
      <c r="AJ1779" s="15" t="str">
        <f t="shared" si="20"/>
        <v>EP-finished SS 304/316L pipes and tubes for VERIFY plants in Providence. ASME BPE SF1-SF4, Ra from 0.25 um, EN 10204 3.1 certificate with every lot.</v>
      </c>
      <c r="AK1779" s="15" t="str">
        <f t="shared" si="21"/>
        <v>Electropolished stainless steel pipes supplied by Sakshi Forge to VERIFY plants at VERIFY, Providence</v>
      </c>
      <c r="AL1779" s="15" t="str">
        <f t="shared" si="22"/>
        <v>Electropolished SS 316L tube stock for Providence - Sakshi Forge</v>
      </c>
      <c r="AM1779" s="15" t="str">
        <f t="shared" si="23"/>
        <v>Home &gt; Market Area &gt; USA &gt; VERIFY &gt; Providence</v>
      </c>
      <c r="AN1779" s="15">
        <f t="shared" si="24"/>
        <v>750</v>
      </c>
      <c r="AO1779" s="15">
        <f t="shared" si="25"/>
        <v>6</v>
      </c>
      <c r="AP1779" s="15">
        <f t="shared" si="26"/>
        <v>6</v>
      </c>
      <c r="AQ1779" s="15">
        <f t="shared" si="27"/>
        <v>30</v>
      </c>
      <c r="AR1779" s="31"/>
      <c r="AS1779" s="31"/>
      <c r="AT1779" s="35" t="s">
        <v>222</v>
      </c>
      <c r="AU1779" s="35"/>
    </row>
    <row r="1780" ht="15.75" customHeight="1">
      <c r="A1780" s="15" t="s">
        <v>7915</v>
      </c>
      <c r="B1780" s="15" t="s">
        <v>221</v>
      </c>
      <c r="C1780" s="15" t="s">
        <v>98</v>
      </c>
      <c r="D1780" s="15" t="s">
        <v>7917</v>
      </c>
      <c r="E1780" s="15" t="s">
        <v>7917</v>
      </c>
      <c r="F1780" s="58" t="s">
        <v>807</v>
      </c>
      <c r="G1780" s="66" t="s">
        <v>98</v>
      </c>
      <c r="H1780" s="18" t="s">
        <v>98</v>
      </c>
      <c r="I1780" s="18" t="s">
        <v>98</v>
      </c>
      <c r="J1780" s="18" t="s">
        <v>98</v>
      </c>
      <c r="K1780" s="18" t="s">
        <v>98</v>
      </c>
      <c r="L1780" s="18" t="s">
        <v>98</v>
      </c>
      <c r="M1780" s="18" t="s">
        <v>530</v>
      </c>
      <c r="N1780" s="18" t="s">
        <v>233</v>
      </c>
      <c r="O1780" s="18" t="s">
        <v>98</v>
      </c>
      <c r="P1780" s="15" t="str">
        <f t="shared" si="1"/>
        <v>VERIFY</v>
      </c>
      <c r="Q1780" s="15">
        <f t="shared" si="2"/>
        <v>1</v>
      </c>
      <c r="R1780" s="15">
        <f t="shared" si="3"/>
        <v>6</v>
      </c>
      <c r="S1780" s="15">
        <f t="shared" si="4"/>
        <v>2</v>
      </c>
      <c r="T1780" s="15" t="str">
        <f t="shared" si="5"/>
        <v>C-1</v>
      </c>
      <c r="U1780" s="15" t="str">
        <f t="shared" si="6"/>
        <v>T1-M6-H2-FC-1-VERIFY</v>
      </c>
      <c r="V1780" s="15">
        <f t="shared" si="7"/>
        <v>1</v>
      </c>
      <c r="W1780" s="31"/>
      <c r="X1780" s="15" t="str">
        <f t="shared" si="8"/>
        <v>provo-usa</v>
      </c>
      <c r="Y1780" s="32" t="str">
        <f t="shared" si="9"/>
        <v>https://steelmanufacturer.in/market-area/electropolished-pipes-manufacturer-in-provo-usa/</v>
      </c>
      <c r="Z1780" s="15" t="str">
        <f t="shared" si="10"/>
        <v>Electropolished Pipes Manufacturer in Provo | Sakshi Forge</v>
      </c>
      <c r="AA1780" s="15" t="str">
        <f t="shared" si="11"/>
        <v>OK (58)</v>
      </c>
      <c r="AB1780" s="15" t="str">
        <f t="shared" si="12"/>
        <v>EP tube and pipe for VERIFY plants around VERIFY, Provo. Made at our Mumbai works to ASTM A270 and ASME BPE SF1-SF4, with 3.1 MTC.</v>
      </c>
      <c r="AC1780" s="15" t="str">
        <f t="shared" si="13"/>
        <v>PENDING RESEARCH</v>
      </c>
      <c r="AD1780" s="15" t="str">
        <f t="shared" si="14"/>
        <v>Electropolished Pipes Manufacturer in Provo</v>
      </c>
      <c r="AE1780" s="15" t="str">
        <f t="shared" si="15"/>
        <v>How We Manufacture Electropolished Tube for Provo Plants</v>
      </c>
      <c r="AF1780" s="15" t="str">
        <f t="shared" si="16"/>
        <v>Supplying Electropolished Pipes in Provo: Availability, Sizes &amp; Dispatch</v>
      </c>
      <c r="AG1780" s="15" t="str">
        <f t="shared" si="17"/>
        <v>Wholesale Electropolished Pipe Supply for Provo Projects</v>
      </c>
      <c r="AH1780" s="15" t="str">
        <f t="shared" si="18"/>
        <v>electropolished pipes manufacturer in Provo, electropolished pipes supplier in Provo, electropolished pipes wholesaler in Provo, electropolished tube manufacturer Provo, EP pipe supplier Provo, sanitary tube supplier Provo, ASME BPE tubing Provo, ASTM A270 tube Provo, SS 316L electropolished pipe Provo</v>
      </c>
      <c r="AI1780" s="15" t="str">
        <f t="shared" si="19"/>
        <v>Electropolished Pipes Manufacturer &amp; Supplier in Provo</v>
      </c>
      <c r="AJ1780" s="15" t="str">
        <f t="shared" si="20"/>
        <v>EP-finished SS 304/316L pipes and tubes for VERIFY plants in Provo. ASME BPE SF1-SF4, Ra from 0.25 um, EN 10204 3.1 certificate with every lot.</v>
      </c>
      <c r="AK1780" s="15" t="str">
        <f t="shared" si="21"/>
        <v>Electropolished stainless steel pipes supplied by Sakshi Forge to VERIFY plants at VERIFY, Provo</v>
      </c>
      <c r="AL1780" s="15" t="str">
        <f t="shared" si="22"/>
        <v>Electropolished SS 316L tube stock for Provo - Sakshi Forge</v>
      </c>
      <c r="AM1780" s="15" t="str">
        <f t="shared" si="23"/>
        <v>Home &gt; Market Area &gt; USA &gt; VERIFY &gt; Provo</v>
      </c>
      <c r="AN1780" s="15">
        <f t="shared" si="24"/>
        <v>750</v>
      </c>
      <c r="AO1780" s="15">
        <f t="shared" si="25"/>
        <v>6</v>
      </c>
      <c r="AP1780" s="15">
        <f t="shared" si="26"/>
        <v>6</v>
      </c>
      <c r="AQ1780" s="15">
        <f t="shared" si="27"/>
        <v>30</v>
      </c>
      <c r="AR1780" s="31"/>
      <c r="AS1780" s="31"/>
      <c r="AT1780" s="35" t="s">
        <v>222</v>
      </c>
      <c r="AU1780" s="35"/>
    </row>
    <row r="1781" ht="15.75" customHeight="1">
      <c r="A1781" s="15" t="s">
        <v>7920</v>
      </c>
      <c r="B1781" s="15" t="s">
        <v>221</v>
      </c>
      <c r="C1781" s="15" t="s">
        <v>98</v>
      </c>
      <c r="D1781" s="15" t="s">
        <v>7923</v>
      </c>
      <c r="E1781" s="15" t="s">
        <v>7923</v>
      </c>
      <c r="F1781" s="58" t="s">
        <v>807</v>
      </c>
      <c r="G1781" s="66" t="s">
        <v>98</v>
      </c>
      <c r="H1781" s="18" t="s">
        <v>98</v>
      </c>
      <c r="I1781" s="18" t="s">
        <v>98</v>
      </c>
      <c r="J1781" s="18" t="s">
        <v>98</v>
      </c>
      <c r="K1781" s="18" t="s">
        <v>98</v>
      </c>
      <c r="L1781" s="18" t="s">
        <v>98</v>
      </c>
      <c r="M1781" s="18" t="s">
        <v>530</v>
      </c>
      <c r="N1781" s="18" t="s">
        <v>233</v>
      </c>
      <c r="O1781" s="18" t="s">
        <v>98</v>
      </c>
      <c r="P1781" s="15" t="str">
        <f t="shared" si="1"/>
        <v>VERIFY</v>
      </c>
      <c r="Q1781" s="15">
        <f t="shared" si="2"/>
        <v>2</v>
      </c>
      <c r="R1781" s="15">
        <f t="shared" si="3"/>
        <v>7</v>
      </c>
      <c r="S1781" s="15">
        <f t="shared" si="4"/>
        <v>3</v>
      </c>
      <c r="T1781" s="15" t="str">
        <f t="shared" si="5"/>
        <v>C-2</v>
      </c>
      <c r="U1781" s="15" t="str">
        <f t="shared" si="6"/>
        <v>T2-M7-H3-FC-2-VERIFY</v>
      </c>
      <c r="V1781" s="15">
        <f t="shared" si="7"/>
        <v>1</v>
      </c>
      <c r="W1781" s="31"/>
      <c r="X1781" s="15" t="str">
        <f t="shared" si="8"/>
        <v>reno-usa</v>
      </c>
      <c r="Y1781" s="32" t="str">
        <f t="shared" si="9"/>
        <v>https://steelmanufacturer.in/market-area/electropolished-pipes-manufacturer-in-reno-usa/</v>
      </c>
      <c r="Z1781" s="15" t="str">
        <f t="shared" si="10"/>
        <v>Electropolished Pipes Manufacturer in Reno - ASTM A270 &amp; ASME BPE</v>
      </c>
      <c r="AA1781" s="15" t="str">
        <f t="shared" si="11"/>
        <v>OK (65)</v>
      </c>
      <c r="AB1781" s="15" t="str">
        <f t="shared" si="12"/>
        <v>Electropolished pipes in Reno: 304, 304L, 316 and 316L in SF1-SF4. 28-35 days sea from Nhava Sheva to US East Coast. Mill certified.</v>
      </c>
      <c r="AC1781" s="15" t="str">
        <f t="shared" si="13"/>
        <v>PENDING RESEARCH</v>
      </c>
      <c r="AD1781" s="15" t="str">
        <f t="shared" si="14"/>
        <v>Electropolished Pipes Manufacturer in Reno</v>
      </c>
      <c r="AE1781" s="15" t="str">
        <f t="shared" si="15"/>
        <v>Electropolished Pipes Manufacturer in Reno - Our Process &amp; Capability</v>
      </c>
      <c r="AF1781" s="15" t="str">
        <f t="shared" si="16"/>
        <v>Electropolished Pipes Supplier in Reno - What We Hold in Stock</v>
      </c>
      <c r="AG1781" s="15" t="str">
        <f t="shared" si="17"/>
        <v>Bulk &amp; Wholesale Electropolished Pipe Rates for Reno Buyers</v>
      </c>
      <c r="AH1781" s="15" t="str">
        <f t="shared" si="18"/>
        <v>electropolished pipes manufacturer in Reno, electropolished pipes supplier in Reno, electropolished pipes wholesaler in Reno, electropolished tube manufacturer Reno, EP pipe supplier Reno, sanitary tube supplier Reno, ASME BPE tubing Reno, ASTM A270 tube Reno, SS 316L electropolished pipe Reno</v>
      </c>
      <c r="AI1781" s="15" t="str">
        <f t="shared" si="19"/>
        <v>Electropolished Pipes Manufacturer &amp; Supplier in Reno</v>
      </c>
      <c r="AJ1781" s="15" t="str">
        <f t="shared" si="20"/>
        <v>EP-finished SS 304/316L pipes and tubes for VERIFY plants in Reno. ASME BPE SF1-SF4, Ra from 0.25 um, EN 10204 3.1 certificate with every lot.</v>
      </c>
      <c r="AK1781" s="15" t="str">
        <f t="shared" si="21"/>
        <v>Electropolished stainless steel pipes supplied by Sakshi Forge to VERIFY plants at VERIFY, Reno</v>
      </c>
      <c r="AL1781" s="15" t="str">
        <f t="shared" si="22"/>
        <v>Electropolished SS 316L tube stock for Reno - Sakshi Forge</v>
      </c>
      <c r="AM1781" s="15" t="str">
        <f t="shared" si="23"/>
        <v>Home &gt; Market Area &gt; USA &gt; VERIFY &gt; Reno</v>
      </c>
      <c r="AN1781" s="15">
        <f t="shared" si="24"/>
        <v>750</v>
      </c>
      <c r="AO1781" s="15">
        <f t="shared" si="25"/>
        <v>6</v>
      </c>
      <c r="AP1781" s="15">
        <f t="shared" si="26"/>
        <v>6</v>
      </c>
      <c r="AQ1781" s="15">
        <f t="shared" si="27"/>
        <v>30</v>
      </c>
      <c r="AR1781" s="31"/>
      <c r="AS1781" s="31"/>
      <c r="AT1781" s="35" t="s">
        <v>222</v>
      </c>
      <c r="AU1781" s="35"/>
    </row>
    <row r="1782" ht="15.75" customHeight="1">
      <c r="A1782" s="15" t="s">
        <v>7924</v>
      </c>
      <c r="B1782" s="15" t="s">
        <v>221</v>
      </c>
      <c r="C1782" s="15" t="s">
        <v>98</v>
      </c>
      <c r="D1782" s="15" t="s">
        <v>7925</v>
      </c>
      <c r="E1782" s="15" t="s">
        <v>7925</v>
      </c>
      <c r="F1782" s="58" t="s">
        <v>807</v>
      </c>
      <c r="G1782" s="66" t="s">
        <v>98</v>
      </c>
      <c r="H1782" s="18" t="s">
        <v>98</v>
      </c>
      <c r="I1782" s="18" t="s">
        <v>98</v>
      </c>
      <c r="J1782" s="18" t="s">
        <v>98</v>
      </c>
      <c r="K1782" s="18" t="s">
        <v>98</v>
      </c>
      <c r="L1782" s="18" t="s">
        <v>98</v>
      </c>
      <c r="M1782" s="18" t="s">
        <v>530</v>
      </c>
      <c r="N1782" s="18" t="s">
        <v>233</v>
      </c>
      <c r="O1782" s="18" t="s">
        <v>98</v>
      </c>
      <c r="P1782" s="15" t="str">
        <f t="shared" si="1"/>
        <v>VERIFY</v>
      </c>
      <c r="Q1782" s="15">
        <f t="shared" si="2"/>
        <v>3</v>
      </c>
      <c r="R1782" s="15">
        <f t="shared" si="3"/>
        <v>1</v>
      </c>
      <c r="S1782" s="15">
        <f t="shared" si="4"/>
        <v>4</v>
      </c>
      <c r="T1782" s="15" t="str">
        <f t="shared" si="5"/>
        <v>C-3</v>
      </c>
      <c r="U1782" s="15" t="str">
        <f t="shared" si="6"/>
        <v>T3-M1-H4-FC-3-VERIFY</v>
      </c>
      <c r="V1782" s="15">
        <f t="shared" si="7"/>
        <v>1</v>
      </c>
      <c r="W1782" s="31"/>
      <c r="X1782" s="15" t="str">
        <f t="shared" si="8"/>
        <v>riverside-usa</v>
      </c>
      <c r="Y1782" s="32" t="str">
        <f t="shared" si="9"/>
        <v>https://steelmanufacturer.in/market-area/electropolished-pipes-manufacturer-in-riverside-usa/</v>
      </c>
      <c r="Z1782" s="15" t="str">
        <f t="shared" si="10"/>
        <v>Electropolished Pipes Manufacturer in Riverside</v>
      </c>
      <c r="AA1782" s="15" t="str">
        <f t="shared" si="11"/>
        <v>OK (47)</v>
      </c>
      <c r="AB1782" s="15" t="str">
        <f t="shared" si="12"/>
        <v>EP-finished SS 304/316L pipes &amp; tubes for VERIFY plants in Riverside. ASTM A270, ASME BPE SF1-SF4, EN 10204 3.1 MTC. PMI tested.</v>
      </c>
      <c r="AC1782" s="15" t="str">
        <f t="shared" si="13"/>
        <v>PENDING RESEARCH</v>
      </c>
      <c r="AD1782" s="15" t="str">
        <f t="shared" si="14"/>
        <v>Electropolished Pipes Manufacturer in Riverside</v>
      </c>
      <c r="AE1782" s="15" t="str">
        <f t="shared" si="15"/>
        <v>Manufacturing Electropolished SS Tube for Riverside: The Standards We Build To</v>
      </c>
      <c r="AF1782" s="15" t="str">
        <f t="shared" si="16"/>
        <v>Electropolished Pipe Supply Into Riverside - Certification &amp; Transit</v>
      </c>
      <c r="AG1782" s="15" t="str">
        <f t="shared" si="17"/>
        <v>Electropolished Pipes Wholesaler in Riverside - Project Quantities &amp; Terms</v>
      </c>
      <c r="AH1782" s="15" t="str">
        <f t="shared" si="18"/>
        <v>electropolished pipes manufacturer in Riverside, electropolished pipes supplier in Riverside, electropolished pipes wholesaler in Riverside, electropolished tube manufacturer Riverside, EP pipe supplier Riverside, sanitary tube supplier Riverside, ASME BPE tubing Riverside, ASTM A270 tube Riverside, SS 316L electropolished pipe Riverside</v>
      </c>
      <c r="AI1782" s="15" t="str">
        <f t="shared" si="19"/>
        <v>Electropolished Pipes Manufacturer &amp; Supplier in Riverside</v>
      </c>
      <c r="AJ1782" s="15" t="str">
        <f t="shared" si="20"/>
        <v>EP-finished SS 304/316L pipes and tubes for VERIFY plants in Riverside. ASME BPE SF1-SF4, Ra from 0.25 um, EN 10204 3.1 certificate with every lot.</v>
      </c>
      <c r="AK1782" s="15" t="str">
        <f t="shared" si="21"/>
        <v>Electropolished stainless steel pipes supplied by Sakshi Forge to VERIFY plants at VERIFY, Riverside</v>
      </c>
      <c r="AL1782" s="15" t="str">
        <f t="shared" si="22"/>
        <v>Electropolished SS 316L tube stock for Riverside - Sakshi Forge</v>
      </c>
      <c r="AM1782" s="15" t="str">
        <f t="shared" si="23"/>
        <v>Home &gt; Market Area &gt; USA &gt; VERIFY &gt; Riverside</v>
      </c>
      <c r="AN1782" s="15">
        <f t="shared" si="24"/>
        <v>750</v>
      </c>
      <c r="AO1782" s="15">
        <f t="shared" si="25"/>
        <v>6</v>
      </c>
      <c r="AP1782" s="15">
        <f t="shared" si="26"/>
        <v>6</v>
      </c>
      <c r="AQ1782" s="15">
        <f t="shared" si="27"/>
        <v>30</v>
      </c>
      <c r="AR1782" s="31"/>
      <c r="AS1782" s="31"/>
      <c r="AT1782" s="35" t="s">
        <v>222</v>
      </c>
      <c r="AU1782" s="35"/>
    </row>
    <row r="1783" ht="15.75" customHeight="1">
      <c r="A1783" s="15" t="s">
        <v>7926</v>
      </c>
      <c r="B1783" s="15" t="s">
        <v>221</v>
      </c>
      <c r="C1783" s="15" t="s">
        <v>98</v>
      </c>
      <c r="D1783" s="15" t="s">
        <v>7927</v>
      </c>
      <c r="E1783" s="15" t="s">
        <v>7927</v>
      </c>
      <c r="F1783" s="58" t="s">
        <v>807</v>
      </c>
      <c r="G1783" s="66" t="s">
        <v>98</v>
      </c>
      <c r="H1783" s="18" t="s">
        <v>98</v>
      </c>
      <c r="I1783" s="18" t="s">
        <v>98</v>
      </c>
      <c r="J1783" s="18" t="s">
        <v>98</v>
      </c>
      <c r="K1783" s="18" t="s">
        <v>98</v>
      </c>
      <c r="L1783" s="18" t="s">
        <v>98</v>
      </c>
      <c r="M1783" s="18" t="s">
        <v>530</v>
      </c>
      <c r="N1783" s="18" t="s">
        <v>233</v>
      </c>
      <c r="O1783" s="18" t="s">
        <v>98</v>
      </c>
      <c r="P1783" s="15" t="str">
        <f t="shared" si="1"/>
        <v>VERIFY</v>
      </c>
      <c r="Q1783" s="15">
        <f t="shared" si="2"/>
        <v>4</v>
      </c>
      <c r="R1783" s="15">
        <f t="shared" si="3"/>
        <v>2</v>
      </c>
      <c r="S1783" s="15">
        <f t="shared" si="4"/>
        <v>5</v>
      </c>
      <c r="T1783" s="15" t="str">
        <f t="shared" si="5"/>
        <v>C-4</v>
      </c>
      <c r="U1783" s="15" t="str">
        <f t="shared" si="6"/>
        <v>T4-M2-H5-FC-4-VERIFY</v>
      </c>
      <c r="V1783" s="15">
        <f t="shared" si="7"/>
        <v>1</v>
      </c>
      <c r="W1783" s="31"/>
      <c r="X1783" s="15" t="str">
        <f t="shared" si="8"/>
        <v>rockford-usa</v>
      </c>
      <c r="Y1783" s="32" t="str">
        <f t="shared" si="9"/>
        <v>https://steelmanufacturer.in/market-area/electropolished-pipes-manufacturer-in-rockford-usa/</v>
      </c>
      <c r="Z1783" s="15" t="str">
        <f t="shared" si="10"/>
        <v>Electropolished Pipes Manufacturer in Rockford</v>
      </c>
      <c r="AA1783" s="15" t="str">
        <f t="shared" si="11"/>
        <v>OK (46)</v>
      </c>
      <c r="AB1783" s="15" t="str">
        <f t="shared" si="12"/>
        <v>Electropolished tube supply to VERIFY, Rockford. Ra from 0.25 um, SF4 finish, mill test certificate with every lot.</v>
      </c>
      <c r="AC1783" s="15" t="str">
        <f t="shared" si="13"/>
        <v>PENDING RESEARCH</v>
      </c>
      <c r="AD1783" s="15" t="str">
        <f t="shared" si="14"/>
        <v>Electropolished Pipes Manufacturer in Rockford</v>
      </c>
      <c r="AE1783" s="15" t="str">
        <f t="shared" si="15"/>
        <v>Electropolished Tube Manufacturing Capability Serving Rockford</v>
      </c>
      <c r="AF1783" s="15" t="str">
        <f t="shared" si="16"/>
        <v>Electropolished Pipes Supplier in Rockford - From Order to Delivery</v>
      </c>
      <c r="AG1783" s="15" t="str">
        <f t="shared" si="17"/>
        <v>Stockist &amp; Wholesale Supply of Electropolished Pipes in Rockford</v>
      </c>
      <c r="AH1783" s="15" t="str">
        <f t="shared" si="18"/>
        <v>electropolished pipes manufacturer in Rockford, electropolished pipes supplier in Rockford, electropolished pipes wholesaler in Rockford, electropolished tube manufacturer Rockford, EP pipe supplier Rockford, sanitary tube supplier Rockford, ASME BPE tubing Rockford, ASTM A270 tube Rockford, SS 316L electropolished pipe Rockford</v>
      </c>
      <c r="AI1783" s="15" t="str">
        <f t="shared" si="19"/>
        <v>Electropolished Pipes Manufacturer &amp; Supplier in Rockford</v>
      </c>
      <c r="AJ1783" s="15" t="str">
        <f t="shared" si="20"/>
        <v>EP-finished SS 304/316L pipes and tubes for VERIFY plants in Rockford. ASME BPE SF1-SF4, Ra from 0.25 um, EN 10204 3.1 certificate with every lot.</v>
      </c>
      <c r="AK1783" s="15" t="str">
        <f t="shared" si="21"/>
        <v>Electropolished stainless steel pipes supplied by Sakshi Forge to VERIFY plants at VERIFY, Rockford</v>
      </c>
      <c r="AL1783" s="15" t="str">
        <f t="shared" si="22"/>
        <v>Electropolished SS 316L tube stock for Rockford - Sakshi Forge</v>
      </c>
      <c r="AM1783" s="15" t="str">
        <f t="shared" si="23"/>
        <v>Home &gt; Market Area &gt; USA &gt; VERIFY &gt; Rockford</v>
      </c>
      <c r="AN1783" s="15">
        <f t="shared" si="24"/>
        <v>750</v>
      </c>
      <c r="AO1783" s="15">
        <f t="shared" si="25"/>
        <v>6</v>
      </c>
      <c r="AP1783" s="15">
        <f t="shared" si="26"/>
        <v>6</v>
      </c>
      <c r="AQ1783" s="15">
        <f t="shared" si="27"/>
        <v>30</v>
      </c>
      <c r="AR1783" s="31"/>
      <c r="AS1783" s="31"/>
      <c r="AT1783" s="35" t="s">
        <v>222</v>
      </c>
      <c r="AU1783" s="35"/>
    </row>
    <row r="1784" ht="15.75" customHeight="1">
      <c r="A1784" s="15" t="s">
        <v>7928</v>
      </c>
      <c r="B1784" s="15" t="s">
        <v>221</v>
      </c>
      <c r="C1784" s="15" t="s">
        <v>98</v>
      </c>
      <c r="D1784" s="15" t="s">
        <v>7929</v>
      </c>
      <c r="E1784" s="15" t="s">
        <v>7929</v>
      </c>
      <c r="F1784" s="58" t="s">
        <v>807</v>
      </c>
      <c r="G1784" s="66" t="s">
        <v>98</v>
      </c>
      <c r="H1784" s="18" t="s">
        <v>98</v>
      </c>
      <c r="I1784" s="18" t="s">
        <v>98</v>
      </c>
      <c r="J1784" s="18" t="s">
        <v>98</v>
      </c>
      <c r="K1784" s="18" t="s">
        <v>98</v>
      </c>
      <c r="L1784" s="18" t="s">
        <v>98</v>
      </c>
      <c r="M1784" s="18" t="s">
        <v>530</v>
      </c>
      <c r="N1784" s="18" t="s">
        <v>233</v>
      </c>
      <c r="O1784" s="18" t="s">
        <v>98</v>
      </c>
      <c r="P1784" s="15" t="str">
        <f t="shared" si="1"/>
        <v>VERIFY</v>
      </c>
      <c r="Q1784" s="15">
        <f t="shared" si="2"/>
        <v>5</v>
      </c>
      <c r="R1784" s="15">
        <f t="shared" si="3"/>
        <v>3</v>
      </c>
      <c r="S1784" s="15">
        <f t="shared" si="4"/>
        <v>1</v>
      </c>
      <c r="T1784" s="15" t="str">
        <f t="shared" si="5"/>
        <v>C-5</v>
      </c>
      <c r="U1784" s="15" t="str">
        <f t="shared" si="6"/>
        <v>T5-M3-H1-FC-5-VERIFY</v>
      </c>
      <c r="V1784" s="15">
        <f t="shared" si="7"/>
        <v>1</v>
      </c>
      <c r="W1784" s="31"/>
      <c r="X1784" s="15" t="str">
        <f t="shared" si="8"/>
        <v>san-antonio-usa</v>
      </c>
      <c r="Y1784" s="32" t="str">
        <f t="shared" si="9"/>
        <v>https://steelmanufacturer.in/market-area/electropolished-pipes-manufacturer-in-san-antonio-usa/</v>
      </c>
      <c r="Z1784" s="15" t="str">
        <f t="shared" si="10"/>
        <v>Electropolished Pipes Manufacturer in San Antonio</v>
      </c>
      <c r="AA1784" s="15" t="str">
        <f t="shared" si="11"/>
        <v>OK (49)</v>
      </c>
      <c r="AB1784" s="15" t="str">
        <f t="shared" si="12"/>
        <v>EP stainless tube for VERIFY lines in San Antonio. 28-35 days sea from Nhava Sheva to US East Coast. ASTM A270 S2, PMI tested, EN 10204 3.1.</v>
      </c>
      <c r="AC1784" s="15" t="str">
        <f t="shared" si="13"/>
        <v>PENDING RESEARCH</v>
      </c>
      <c r="AD1784" s="15" t="str">
        <f t="shared" si="14"/>
        <v>Electropolished Pipes Manufacturer in San Antonio</v>
      </c>
      <c r="AE1784" s="15" t="str">
        <f t="shared" si="15"/>
        <v>Electropolished Pipe &amp; Tube Manufacturing for San Antonio - Grades, Finishes &amp; Certification</v>
      </c>
      <c r="AF1784" s="15" t="str">
        <f t="shared" si="16"/>
        <v>Electropolished Pipes Supplier in San Antonio - Stock Sizes, Lead Time &amp; Delivery</v>
      </c>
      <c r="AG1784" s="15" t="str">
        <f t="shared" si="17"/>
        <v>Electropolished Pipes Wholesaler &amp; Stockist in San Antonio - Bulk &amp; Project Pricing</v>
      </c>
      <c r="AH1784" s="15" t="str">
        <f t="shared" si="18"/>
        <v>electropolished pipes manufacturer in San Antonio, electropolished pipes supplier in San Antonio, electropolished pipes wholesaler in San Antonio, electropolished tube manufacturer San Antonio, EP pipe supplier San Antonio, sanitary tube supplier San Antonio, ASME BPE tubing San Antonio, ASTM A270 tube San Antonio, SS 316L electropolished pipe San Antonio</v>
      </c>
      <c r="AI1784" s="15" t="str">
        <f t="shared" si="19"/>
        <v>Electropolished Pipes Manufacturer &amp; Supplier in San Antonio</v>
      </c>
      <c r="AJ1784" s="15" t="str">
        <f t="shared" si="20"/>
        <v>EP-finished SS 304/316L pipes and tubes for VERIFY plants in San Antonio. ASME BPE SF1-SF4, Ra from 0.25 um, EN 10204 3.1 certificate with every lot.</v>
      </c>
      <c r="AK1784" s="15" t="str">
        <f t="shared" si="21"/>
        <v>Electropolished stainless steel pipes supplied by Sakshi Forge to VERIFY plants at VERIFY, San Antonio</v>
      </c>
      <c r="AL1784" s="15" t="str">
        <f t="shared" si="22"/>
        <v>Electropolished SS 316L tube stock for San Antonio - Sakshi Forge</v>
      </c>
      <c r="AM1784" s="15" t="str">
        <f t="shared" si="23"/>
        <v>Home &gt; Market Area &gt; USA &gt; VERIFY &gt; San Antonio</v>
      </c>
      <c r="AN1784" s="15">
        <f t="shared" si="24"/>
        <v>750</v>
      </c>
      <c r="AO1784" s="15">
        <f t="shared" si="25"/>
        <v>6</v>
      </c>
      <c r="AP1784" s="15">
        <f t="shared" si="26"/>
        <v>6</v>
      </c>
      <c r="AQ1784" s="15">
        <f t="shared" si="27"/>
        <v>30</v>
      </c>
      <c r="AR1784" s="31"/>
      <c r="AS1784" s="31"/>
      <c r="AT1784" s="35" t="s">
        <v>222</v>
      </c>
      <c r="AU1784" s="35"/>
    </row>
    <row r="1785" ht="15.75" customHeight="1">
      <c r="A1785" s="15" t="s">
        <v>7930</v>
      </c>
      <c r="B1785" s="15" t="s">
        <v>221</v>
      </c>
      <c r="C1785" s="15" t="s">
        <v>98</v>
      </c>
      <c r="D1785" s="15" t="s">
        <v>7931</v>
      </c>
      <c r="E1785" s="15" t="s">
        <v>7931</v>
      </c>
      <c r="F1785" s="58" t="s">
        <v>807</v>
      </c>
      <c r="G1785" s="66" t="s">
        <v>98</v>
      </c>
      <c r="H1785" s="18" t="s">
        <v>98</v>
      </c>
      <c r="I1785" s="18" t="s">
        <v>98</v>
      </c>
      <c r="J1785" s="18" t="s">
        <v>98</v>
      </c>
      <c r="K1785" s="18" t="s">
        <v>98</v>
      </c>
      <c r="L1785" s="18" t="s">
        <v>98</v>
      </c>
      <c r="M1785" s="18" t="s">
        <v>530</v>
      </c>
      <c r="N1785" s="18" t="s">
        <v>233</v>
      </c>
      <c r="O1785" s="18" t="s">
        <v>98</v>
      </c>
      <c r="P1785" s="15" t="str">
        <f t="shared" si="1"/>
        <v>VERIFY</v>
      </c>
      <c r="Q1785" s="15">
        <f t="shared" si="2"/>
        <v>6</v>
      </c>
      <c r="R1785" s="15">
        <f t="shared" si="3"/>
        <v>4</v>
      </c>
      <c r="S1785" s="15">
        <f t="shared" si="4"/>
        <v>2</v>
      </c>
      <c r="T1785" s="15" t="str">
        <f t="shared" si="5"/>
        <v>C-6</v>
      </c>
      <c r="U1785" s="15" t="str">
        <f t="shared" si="6"/>
        <v>T6-M4-H2-FC-6-VERIFY</v>
      </c>
      <c r="V1785" s="15">
        <f t="shared" si="7"/>
        <v>1</v>
      </c>
      <c r="W1785" s="31"/>
      <c r="X1785" s="15" t="str">
        <f t="shared" si="8"/>
        <v>santa-barbara-usa</v>
      </c>
      <c r="Y1785" s="32" t="str">
        <f t="shared" si="9"/>
        <v>https://steelmanufacturer.in/market-area/electropolished-pipes-manufacturer-in-santa-barbara-usa/</v>
      </c>
      <c r="Z1785" s="15" t="str">
        <f t="shared" si="10"/>
        <v>Electropolished Pipes Manufacturer in Santa Barbara</v>
      </c>
      <c r="AA1785" s="15" t="str">
        <f t="shared" si="11"/>
        <v>OK (51)</v>
      </c>
      <c r="AB1785" s="15" t="str">
        <f t="shared" si="12"/>
        <v>Sanitary electropolished pipes in Santa Barbara for VERIFY plants. ASME BPE SF1-SF4, orbital-weld ready, 3.1 MTC. Mumbai-made.</v>
      </c>
      <c r="AC1785" s="15" t="str">
        <f t="shared" si="13"/>
        <v>PENDING RESEARCH</v>
      </c>
      <c r="AD1785" s="15" t="str">
        <f t="shared" si="14"/>
        <v>Electropolished Pipes Manufacturer in Santa Barbara</v>
      </c>
      <c r="AE1785" s="15" t="str">
        <f t="shared" si="15"/>
        <v>How We Manufacture Electropolished Tube for Santa Barbara Plants</v>
      </c>
      <c r="AF1785" s="15" t="str">
        <f t="shared" si="16"/>
        <v>Supplying Electropolished Pipes in Santa Barbara: Availability, Sizes &amp; Dispatch</v>
      </c>
      <c r="AG1785" s="15" t="str">
        <f t="shared" si="17"/>
        <v>Wholesale Electropolished Pipe Supply for Santa Barbara Projects</v>
      </c>
      <c r="AH1785" s="15" t="str">
        <f t="shared" si="18"/>
        <v>electropolished pipes manufacturer in Santa Barbara, electropolished pipes supplier in Santa Barbara, electropolished pipes wholesaler in Santa Barbara, electropolished tube manufacturer Santa Barbara, EP pipe supplier Santa Barbara, sanitary tube supplier Santa Barbara, ASME BPE tubing Santa Barbara, ASTM A270 tube Santa Barbara, SS 316L electropolished pipe Santa Barbara</v>
      </c>
      <c r="AI1785" s="15" t="str">
        <f t="shared" si="19"/>
        <v>Electropolished Pipes Manufacturer &amp; Supplier in Santa Barbara</v>
      </c>
      <c r="AJ1785" s="15" t="str">
        <f t="shared" si="20"/>
        <v>EP-finished SS 304/316L pipes and tubes for VERIFY plants in Santa Barbara. ASME BPE SF1-SF4, Ra from 0.25 um, EN 10204 3.1 certificate with every lot.</v>
      </c>
      <c r="AK1785" s="15" t="str">
        <f t="shared" si="21"/>
        <v>Electropolished stainless steel pipes supplied by Sakshi Forge to VERIFY plants at VERIFY, Santa Barbara</v>
      </c>
      <c r="AL1785" s="15" t="str">
        <f t="shared" si="22"/>
        <v>Electropolished SS 316L tube stock for Santa Barbara - Sakshi Forge</v>
      </c>
      <c r="AM1785" s="15" t="str">
        <f t="shared" si="23"/>
        <v>Home &gt; Market Area &gt; USA &gt; VERIFY &gt; Santa Barbara</v>
      </c>
      <c r="AN1785" s="15">
        <f t="shared" si="24"/>
        <v>750</v>
      </c>
      <c r="AO1785" s="15">
        <f t="shared" si="25"/>
        <v>6</v>
      </c>
      <c r="AP1785" s="15">
        <f t="shared" si="26"/>
        <v>6</v>
      </c>
      <c r="AQ1785" s="15">
        <f t="shared" si="27"/>
        <v>30</v>
      </c>
      <c r="AR1785" s="31"/>
      <c r="AS1785" s="31"/>
      <c r="AT1785" s="35" t="s">
        <v>222</v>
      </c>
      <c r="AU1785" s="35"/>
    </row>
    <row r="1786" ht="15.75" customHeight="1">
      <c r="A1786" s="15" t="s">
        <v>7932</v>
      </c>
      <c r="B1786" s="15" t="s">
        <v>221</v>
      </c>
      <c r="C1786" s="15" t="s">
        <v>98</v>
      </c>
      <c r="D1786" s="15" t="s">
        <v>7933</v>
      </c>
      <c r="E1786" s="15" t="s">
        <v>7933</v>
      </c>
      <c r="F1786" s="58" t="s">
        <v>807</v>
      </c>
      <c r="G1786" s="66" t="s">
        <v>98</v>
      </c>
      <c r="H1786" s="18" t="s">
        <v>98</v>
      </c>
      <c r="I1786" s="18" t="s">
        <v>98</v>
      </c>
      <c r="J1786" s="18" t="s">
        <v>98</v>
      </c>
      <c r="K1786" s="18" t="s">
        <v>98</v>
      </c>
      <c r="L1786" s="18" t="s">
        <v>98</v>
      </c>
      <c r="M1786" s="18" t="s">
        <v>530</v>
      </c>
      <c r="N1786" s="18" t="s">
        <v>233</v>
      </c>
      <c r="O1786" s="18" t="s">
        <v>98</v>
      </c>
      <c r="P1786" s="15" t="str">
        <f t="shared" si="1"/>
        <v>VERIFY</v>
      </c>
      <c r="Q1786" s="15">
        <f t="shared" si="2"/>
        <v>7</v>
      </c>
      <c r="R1786" s="15">
        <f t="shared" si="3"/>
        <v>5</v>
      </c>
      <c r="S1786" s="15">
        <f t="shared" si="4"/>
        <v>3</v>
      </c>
      <c r="T1786" s="15" t="str">
        <f t="shared" si="5"/>
        <v>C-1</v>
      </c>
      <c r="U1786" s="15" t="str">
        <f t="shared" si="6"/>
        <v>T7-M5-H3-FC-1-VERIFY</v>
      </c>
      <c r="V1786" s="15">
        <f t="shared" si="7"/>
        <v>1</v>
      </c>
      <c r="W1786" s="31"/>
      <c r="X1786" s="15" t="str">
        <f t="shared" si="8"/>
        <v>savannah-usa</v>
      </c>
      <c r="Y1786" s="32" t="str">
        <f t="shared" si="9"/>
        <v>https://steelmanufacturer.in/market-area/electropolished-pipes-manufacturer-in-savannah-usa/</v>
      </c>
      <c r="Z1786" s="15" t="str">
        <f t="shared" si="10"/>
        <v>Electropolished Pipes Manufacturer in Savannah | ASME BPE SF1-SF4</v>
      </c>
      <c r="AA1786" s="15" t="str">
        <f t="shared" si="11"/>
        <v>OK (65)</v>
      </c>
      <c r="AB1786" s="15" t="str">
        <f t="shared" si="12"/>
        <v>Manufacturer of electropolished SS 316L tube serving Savannah. 28-35 days sea from Nhava Sheva to US East Coast. Ra 0.25-0.5 um, EN 10204 3.1 MTC.</v>
      </c>
      <c r="AC1786" s="15" t="str">
        <f t="shared" si="13"/>
        <v>PENDING RESEARCH</v>
      </c>
      <c r="AD1786" s="15" t="str">
        <f t="shared" si="14"/>
        <v>Electropolished Pipes Manufacturer in Savannah</v>
      </c>
      <c r="AE1786" s="15" t="str">
        <f t="shared" si="15"/>
        <v>Electropolished Pipes Manufacturer in Savannah - Our Process &amp; Capability</v>
      </c>
      <c r="AF1786" s="15" t="str">
        <f t="shared" si="16"/>
        <v>Electropolished Pipes Supplier in Savannah - What We Hold in Stock</v>
      </c>
      <c r="AG1786" s="15" t="str">
        <f t="shared" si="17"/>
        <v>Bulk &amp; Wholesale Electropolished Pipe Rates for Savannah Buyers</v>
      </c>
      <c r="AH1786" s="15" t="str">
        <f t="shared" si="18"/>
        <v>electropolished pipes manufacturer in Savannah, electropolished pipes supplier in Savannah, electropolished pipes wholesaler in Savannah, electropolished tube manufacturer Savannah, EP pipe supplier Savannah, sanitary tube supplier Savannah, ASME BPE tubing Savannah, ASTM A270 tube Savannah, SS 316L electropolished pipe Savannah</v>
      </c>
      <c r="AI1786" s="15" t="str">
        <f t="shared" si="19"/>
        <v>Electropolished Pipes Manufacturer &amp; Supplier in Savannah</v>
      </c>
      <c r="AJ1786" s="15" t="str">
        <f t="shared" si="20"/>
        <v>EP-finished SS 304/316L pipes and tubes for VERIFY plants in Savannah. ASME BPE SF1-SF4, Ra from 0.25 um, EN 10204 3.1 certificate with every lot.</v>
      </c>
      <c r="AK1786" s="15" t="str">
        <f t="shared" si="21"/>
        <v>Electropolished stainless steel pipes supplied by Sakshi Forge to VERIFY plants at VERIFY, Savannah</v>
      </c>
      <c r="AL1786" s="15" t="str">
        <f t="shared" si="22"/>
        <v>Electropolished SS 316L tube stock for Savannah - Sakshi Forge</v>
      </c>
      <c r="AM1786" s="15" t="str">
        <f t="shared" si="23"/>
        <v>Home &gt; Market Area &gt; USA &gt; VERIFY &gt; Savannah</v>
      </c>
      <c r="AN1786" s="15">
        <f t="shared" si="24"/>
        <v>750</v>
      </c>
      <c r="AO1786" s="15">
        <f t="shared" si="25"/>
        <v>6</v>
      </c>
      <c r="AP1786" s="15">
        <f t="shared" si="26"/>
        <v>6</v>
      </c>
      <c r="AQ1786" s="15">
        <f t="shared" si="27"/>
        <v>30</v>
      </c>
      <c r="AR1786" s="31"/>
      <c r="AS1786" s="31"/>
      <c r="AT1786" s="35" t="s">
        <v>222</v>
      </c>
      <c r="AU1786" s="35"/>
    </row>
    <row r="1787" ht="15.75" customHeight="1">
      <c r="A1787" s="15" t="s">
        <v>7934</v>
      </c>
      <c r="B1787" s="15" t="s">
        <v>221</v>
      </c>
      <c r="C1787" s="15" t="s">
        <v>98</v>
      </c>
      <c r="D1787" s="15" t="s">
        <v>7935</v>
      </c>
      <c r="E1787" s="15" t="s">
        <v>7935</v>
      </c>
      <c r="F1787" s="58" t="s">
        <v>807</v>
      </c>
      <c r="G1787" s="66" t="s">
        <v>98</v>
      </c>
      <c r="H1787" s="18" t="s">
        <v>98</v>
      </c>
      <c r="I1787" s="18" t="s">
        <v>98</v>
      </c>
      <c r="J1787" s="18" t="s">
        <v>98</v>
      </c>
      <c r="K1787" s="18" t="s">
        <v>98</v>
      </c>
      <c r="L1787" s="18" t="s">
        <v>98</v>
      </c>
      <c r="M1787" s="18" t="s">
        <v>530</v>
      </c>
      <c r="N1787" s="18" t="s">
        <v>233</v>
      </c>
      <c r="O1787" s="18" t="s">
        <v>98</v>
      </c>
      <c r="P1787" s="15" t="str">
        <f t="shared" si="1"/>
        <v>VERIFY</v>
      </c>
      <c r="Q1787" s="15">
        <f t="shared" si="2"/>
        <v>8</v>
      </c>
      <c r="R1787" s="15">
        <f t="shared" si="3"/>
        <v>6</v>
      </c>
      <c r="S1787" s="15">
        <f t="shared" si="4"/>
        <v>4</v>
      </c>
      <c r="T1787" s="15" t="str">
        <f t="shared" si="5"/>
        <v>C-2</v>
      </c>
      <c r="U1787" s="15" t="str">
        <f t="shared" si="6"/>
        <v>T8-M6-H4-FC-2-VERIFY</v>
      </c>
      <c r="V1787" s="15">
        <f t="shared" si="7"/>
        <v>1</v>
      </c>
      <c r="W1787" s="31"/>
      <c r="X1787" s="15" t="str">
        <f t="shared" si="8"/>
        <v>sioux-falls-usa</v>
      </c>
      <c r="Y1787" s="32" t="str">
        <f t="shared" si="9"/>
        <v>https://steelmanufacturer.in/market-area/electropolished-pipes-manufacturer-in-sioux-falls-usa/</v>
      </c>
      <c r="Z1787" s="15" t="str">
        <f t="shared" si="10"/>
        <v>Electropolished Pipes Manufacturer in Sioux Falls</v>
      </c>
      <c r="AA1787" s="15" t="str">
        <f t="shared" si="11"/>
        <v>OK (49)</v>
      </c>
      <c r="AB1787" s="15" t="str">
        <f t="shared" si="12"/>
        <v>EP tube and pipe for VERIFY plants around VERIFY, Sioux Falls. Made at our Mumbai works to ASTM A270 and ASME BPE SF1-SF4, with 3.1 MTC.</v>
      </c>
      <c r="AC1787" s="15" t="str">
        <f t="shared" si="13"/>
        <v>PENDING RESEARCH</v>
      </c>
      <c r="AD1787" s="15" t="str">
        <f t="shared" si="14"/>
        <v>Electropolished Pipes Manufacturer in Sioux Falls</v>
      </c>
      <c r="AE1787" s="15" t="str">
        <f t="shared" si="15"/>
        <v>Manufacturing Electropolished SS Tube for Sioux Falls: The Standards We Build To</v>
      </c>
      <c r="AF1787" s="15" t="str">
        <f t="shared" si="16"/>
        <v>Electropolished Pipe Supply Into Sioux Falls - Certification &amp; Transit</v>
      </c>
      <c r="AG1787" s="15" t="str">
        <f t="shared" si="17"/>
        <v>Electropolished Pipes Wholesaler in Sioux Falls - Project Quantities &amp; Terms</v>
      </c>
      <c r="AH1787" s="15" t="str">
        <f t="shared" si="18"/>
        <v>electropolished pipes manufacturer in Sioux Falls, electropolished pipes supplier in Sioux Falls, electropolished pipes wholesaler in Sioux Falls, electropolished tube manufacturer Sioux Falls, EP pipe supplier Sioux Falls, sanitary tube supplier Sioux Falls, ASME BPE tubing Sioux Falls, ASTM A270 tube Sioux Falls, SS 316L electropolished pipe Sioux Falls</v>
      </c>
      <c r="AI1787" s="15" t="str">
        <f t="shared" si="19"/>
        <v>Electropolished Pipes Manufacturer &amp; Supplier in Sioux Falls</v>
      </c>
      <c r="AJ1787" s="15" t="str">
        <f t="shared" si="20"/>
        <v>EP-finished SS 304/316L pipes and tubes for VERIFY plants in Sioux Falls. ASME BPE SF1-SF4, Ra from 0.25 um, EN 10204 3.1 certificate with every lot.</v>
      </c>
      <c r="AK1787" s="15" t="str">
        <f t="shared" si="21"/>
        <v>Electropolished stainless steel pipes supplied by Sakshi Forge to VERIFY plants at VERIFY, Sioux Falls</v>
      </c>
      <c r="AL1787" s="15" t="str">
        <f t="shared" si="22"/>
        <v>Electropolished SS 316L tube stock for Sioux Falls - Sakshi Forge</v>
      </c>
      <c r="AM1787" s="15" t="str">
        <f t="shared" si="23"/>
        <v>Home &gt; Market Area &gt; USA &gt; VERIFY &gt; Sioux Falls</v>
      </c>
      <c r="AN1787" s="15">
        <f t="shared" si="24"/>
        <v>750</v>
      </c>
      <c r="AO1787" s="15">
        <f t="shared" si="25"/>
        <v>6</v>
      </c>
      <c r="AP1787" s="15">
        <f t="shared" si="26"/>
        <v>6</v>
      </c>
      <c r="AQ1787" s="15">
        <f t="shared" si="27"/>
        <v>30</v>
      </c>
      <c r="AR1787" s="31"/>
      <c r="AS1787" s="31"/>
      <c r="AT1787" s="35" t="s">
        <v>222</v>
      </c>
      <c r="AU1787" s="35"/>
    </row>
    <row r="1788" ht="15.75" customHeight="1">
      <c r="A1788" s="15" t="s">
        <v>7936</v>
      </c>
      <c r="B1788" s="15" t="s">
        <v>221</v>
      </c>
      <c r="C1788" s="15" t="s">
        <v>98</v>
      </c>
      <c r="D1788" s="15" t="s">
        <v>7937</v>
      </c>
      <c r="E1788" s="15" t="s">
        <v>7937</v>
      </c>
      <c r="F1788" s="58" t="s">
        <v>807</v>
      </c>
      <c r="G1788" s="66" t="s">
        <v>98</v>
      </c>
      <c r="H1788" s="18" t="s">
        <v>98</v>
      </c>
      <c r="I1788" s="18" t="s">
        <v>98</v>
      </c>
      <c r="J1788" s="18" t="s">
        <v>98</v>
      </c>
      <c r="K1788" s="18" t="s">
        <v>98</v>
      </c>
      <c r="L1788" s="18" t="s">
        <v>98</v>
      </c>
      <c r="M1788" s="18" t="s">
        <v>530</v>
      </c>
      <c r="N1788" s="18" t="s">
        <v>233</v>
      </c>
      <c r="O1788" s="18" t="s">
        <v>98</v>
      </c>
      <c r="P1788" s="15" t="str">
        <f t="shared" si="1"/>
        <v>VERIFY</v>
      </c>
      <c r="Q1788" s="15">
        <f t="shared" si="2"/>
        <v>1</v>
      </c>
      <c r="R1788" s="15">
        <f t="shared" si="3"/>
        <v>7</v>
      </c>
      <c r="S1788" s="15">
        <f t="shared" si="4"/>
        <v>5</v>
      </c>
      <c r="T1788" s="15" t="str">
        <f t="shared" si="5"/>
        <v>C-3</v>
      </c>
      <c r="U1788" s="15" t="str">
        <f t="shared" si="6"/>
        <v>T1-M7-H5-FC-3-VERIFY</v>
      </c>
      <c r="V1788" s="15">
        <f t="shared" si="7"/>
        <v>1</v>
      </c>
      <c r="W1788" s="31"/>
      <c r="X1788" s="15" t="str">
        <f t="shared" si="8"/>
        <v>south-bend-usa</v>
      </c>
      <c r="Y1788" s="32" t="str">
        <f t="shared" si="9"/>
        <v>https://steelmanufacturer.in/market-area/electropolished-pipes-manufacturer-in-south-bend-usa/</v>
      </c>
      <c r="Z1788" s="15" t="str">
        <f t="shared" si="10"/>
        <v>Electropolished Pipes Manufacturer in South Bend | Sakshi Forge</v>
      </c>
      <c r="AA1788" s="15" t="str">
        <f t="shared" si="11"/>
        <v>OK (63)</v>
      </c>
      <c r="AB1788" s="15" t="str">
        <f t="shared" si="12"/>
        <v>Electropolished pipes in South Bend: 304, 304L, 316 and 316L in SF1-SF4. 28-35 days sea from Nhava Sheva to US East Coast. Mill certified.</v>
      </c>
      <c r="AC1788" s="15" t="str">
        <f t="shared" si="13"/>
        <v>PENDING RESEARCH</v>
      </c>
      <c r="AD1788" s="15" t="str">
        <f t="shared" si="14"/>
        <v>Electropolished Pipes Manufacturer in South Bend</v>
      </c>
      <c r="AE1788" s="15" t="str">
        <f t="shared" si="15"/>
        <v>Electropolished Tube Manufacturing Capability Serving South Bend</v>
      </c>
      <c r="AF1788" s="15" t="str">
        <f t="shared" si="16"/>
        <v>Electropolished Pipes Supplier in South Bend - From Order to Delivery</v>
      </c>
      <c r="AG1788" s="15" t="str">
        <f t="shared" si="17"/>
        <v>Stockist &amp; Wholesale Supply of Electropolished Pipes in South Bend</v>
      </c>
      <c r="AH1788" s="15" t="str">
        <f t="shared" si="18"/>
        <v>electropolished pipes manufacturer in South Bend, electropolished pipes supplier in South Bend, electropolished pipes wholesaler in South Bend, electropolished tube manufacturer South Bend, EP pipe supplier South Bend, sanitary tube supplier South Bend, ASME BPE tubing South Bend, ASTM A270 tube South Bend, SS 316L electropolished pipe South Bend</v>
      </c>
      <c r="AI1788" s="15" t="str">
        <f t="shared" si="19"/>
        <v>Electropolished Pipes Manufacturer &amp; Supplier in South Bend</v>
      </c>
      <c r="AJ1788" s="15" t="str">
        <f t="shared" si="20"/>
        <v>EP-finished SS 304/316L pipes and tubes for VERIFY plants in South Bend. ASME BPE SF1-SF4, Ra from 0.25 um, EN 10204 3.1 certificate with every lot.</v>
      </c>
      <c r="AK1788" s="15" t="str">
        <f t="shared" si="21"/>
        <v>Electropolished stainless steel pipes supplied by Sakshi Forge to VERIFY plants at VERIFY, South Bend</v>
      </c>
      <c r="AL1788" s="15" t="str">
        <f t="shared" si="22"/>
        <v>Electropolished SS 316L tube stock for South Bend - Sakshi Forge</v>
      </c>
      <c r="AM1788" s="15" t="str">
        <f t="shared" si="23"/>
        <v>Home &gt; Market Area &gt; USA &gt; VERIFY &gt; South Bend</v>
      </c>
      <c r="AN1788" s="15">
        <f t="shared" si="24"/>
        <v>750</v>
      </c>
      <c r="AO1788" s="15">
        <f t="shared" si="25"/>
        <v>6</v>
      </c>
      <c r="AP1788" s="15">
        <f t="shared" si="26"/>
        <v>6</v>
      </c>
      <c r="AQ1788" s="15">
        <f t="shared" si="27"/>
        <v>30</v>
      </c>
      <c r="AR1788" s="31"/>
      <c r="AS1788" s="31"/>
      <c r="AT1788" s="35" t="s">
        <v>222</v>
      </c>
      <c r="AU1788" s="35"/>
    </row>
    <row r="1789" ht="15.75" customHeight="1">
      <c r="A1789" s="15" t="s">
        <v>7938</v>
      </c>
      <c r="B1789" s="15" t="s">
        <v>221</v>
      </c>
      <c r="C1789" s="15" t="s">
        <v>98</v>
      </c>
      <c r="D1789" s="15" t="s">
        <v>7939</v>
      </c>
      <c r="E1789" s="15" t="s">
        <v>7939</v>
      </c>
      <c r="F1789" s="58" t="s">
        <v>807</v>
      </c>
      <c r="G1789" s="66" t="s">
        <v>98</v>
      </c>
      <c r="H1789" s="18" t="s">
        <v>98</v>
      </c>
      <c r="I1789" s="18" t="s">
        <v>98</v>
      </c>
      <c r="J1789" s="18" t="s">
        <v>98</v>
      </c>
      <c r="K1789" s="18" t="s">
        <v>98</v>
      </c>
      <c r="L1789" s="18" t="s">
        <v>98</v>
      </c>
      <c r="M1789" s="18" t="s">
        <v>530</v>
      </c>
      <c r="N1789" s="18" t="s">
        <v>233</v>
      </c>
      <c r="O1789" s="18" t="s">
        <v>98</v>
      </c>
      <c r="P1789" s="15" t="str">
        <f t="shared" si="1"/>
        <v>VERIFY</v>
      </c>
      <c r="Q1789" s="15">
        <f t="shared" si="2"/>
        <v>2</v>
      </c>
      <c r="R1789" s="15">
        <f t="shared" si="3"/>
        <v>1</v>
      </c>
      <c r="S1789" s="15">
        <f t="shared" si="4"/>
        <v>1</v>
      </c>
      <c r="T1789" s="15" t="str">
        <f t="shared" si="5"/>
        <v>C-4</v>
      </c>
      <c r="U1789" s="15" t="str">
        <f t="shared" si="6"/>
        <v>T2-M1-H1-FC-4-VERIFY</v>
      </c>
      <c r="V1789" s="15">
        <f t="shared" si="7"/>
        <v>1</v>
      </c>
      <c r="W1789" s="31"/>
      <c r="X1789" s="15" t="str">
        <f t="shared" si="8"/>
        <v>spokane-usa</v>
      </c>
      <c r="Y1789" s="32" t="str">
        <f t="shared" si="9"/>
        <v>https://steelmanufacturer.in/market-area/electropolished-pipes-manufacturer-in-spokane-usa/</v>
      </c>
      <c r="Z1789" s="15" t="str">
        <f t="shared" si="10"/>
        <v>Electropolished Pipes Manufacturer in Spokane</v>
      </c>
      <c r="AA1789" s="15" t="str">
        <f t="shared" si="11"/>
        <v>OK (45)</v>
      </c>
      <c r="AB1789" s="15" t="str">
        <f t="shared" si="12"/>
        <v>EP-finished SS 304/316L pipes &amp; tubes for VERIFY plants in Spokane. ASTM A270, ASME BPE SF1-SF4, EN 10204 3.1 MTC. PMI tested.</v>
      </c>
      <c r="AC1789" s="15" t="str">
        <f t="shared" si="13"/>
        <v>PENDING RESEARCH</v>
      </c>
      <c r="AD1789" s="15" t="str">
        <f t="shared" si="14"/>
        <v>Electropolished Pipes Manufacturer in Spokane</v>
      </c>
      <c r="AE1789" s="15" t="str">
        <f t="shared" si="15"/>
        <v>Electropolished Pipe &amp; Tube Manufacturing for Spokane - Grades, Finishes &amp; Certification</v>
      </c>
      <c r="AF1789" s="15" t="str">
        <f t="shared" si="16"/>
        <v>Electropolished Pipes Supplier in Spokane - Stock Sizes, Lead Time &amp; Delivery</v>
      </c>
      <c r="AG1789" s="15" t="str">
        <f t="shared" si="17"/>
        <v>Electropolished Pipes Wholesaler &amp; Stockist in Spokane - Bulk &amp; Project Pricing</v>
      </c>
      <c r="AH1789" s="15" t="str">
        <f t="shared" si="18"/>
        <v>electropolished pipes manufacturer in Spokane, electropolished pipes supplier in Spokane, electropolished pipes wholesaler in Spokane, electropolished tube manufacturer Spokane, EP pipe supplier Spokane, sanitary tube supplier Spokane, ASME BPE tubing Spokane, ASTM A270 tube Spokane, SS 316L electropolished pipe Spokane</v>
      </c>
      <c r="AI1789" s="15" t="str">
        <f t="shared" si="19"/>
        <v>Electropolished Pipes Manufacturer &amp; Supplier in Spokane</v>
      </c>
      <c r="AJ1789" s="15" t="str">
        <f t="shared" si="20"/>
        <v>EP-finished SS 304/316L pipes and tubes for VERIFY plants in Spokane. ASME BPE SF1-SF4, Ra from 0.25 um, EN 10204 3.1 certificate with every lot.</v>
      </c>
      <c r="AK1789" s="15" t="str">
        <f t="shared" si="21"/>
        <v>Electropolished stainless steel pipes supplied by Sakshi Forge to VERIFY plants at VERIFY, Spokane</v>
      </c>
      <c r="AL1789" s="15" t="str">
        <f t="shared" si="22"/>
        <v>Electropolished SS 316L tube stock for Spokane - Sakshi Forge</v>
      </c>
      <c r="AM1789" s="15" t="str">
        <f t="shared" si="23"/>
        <v>Home &gt; Market Area &gt; USA &gt; VERIFY &gt; Spokane</v>
      </c>
      <c r="AN1789" s="15">
        <f t="shared" si="24"/>
        <v>750</v>
      </c>
      <c r="AO1789" s="15">
        <f t="shared" si="25"/>
        <v>6</v>
      </c>
      <c r="AP1789" s="15">
        <f t="shared" si="26"/>
        <v>6</v>
      </c>
      <c r="AQ1789" s="15">
        <f t="shared" si="27"/>
        <v>30</v>
      </c>
      <c r="AR1789" s="31"/>
      <c r="AS1789" s="31"/>
      <c r="AT1789" s="35" t="s">
        <v>222</v>
      </c>
      <c r="AU1789" s="35"/>
    </row>
    <row r="1790" ht="15.75" customHeight="1">
      <c r="A1790" s="15" t="s">
        <v>7940</v>
      </c>
      <c r="B1790" s="15" t="s">
        <v>221</v>
      </c>
      <c r="C1790" s="15" t="s">
        <v>98</v>
      </c>
      <c r="D1790" s="15" t="s">
        <v>7942</v>
      </c>
      <c r="E1790" s="15" t="s">
        <v>7942</v>
      </c>
      <c r="F1790" s="58" t="s">
        <v>807</v>
      </c>
      <c r="G1790" s="66" t="s">
        <v>98</v>
      </c>
      <c r="H1790" s="18" t="s">
        <v>98</v>
      </c>
      <c r="I1790" s="18" t="s">
        <v>98</v>
      </c>
      <c r="J1790" s="18" t="s">
        <v>98</v>
      </c>
      <c r="K1790" s="18" t="s">
        <v>98</v>
      </c>
      <c r="L1790" s="18" t="s">
        <v>98</v>
      </c>
      <c r="M1790" s="18" t="s">
        <v>530</v>
      </c>
      <c r="N1790" s="18" t="s">
        <v>233</v>
      </c>
      <c r="O1790" s="18" t="s">
        <v>98</v>
      </c>
      <c r="P1790" s="15" t="str">
        <f t="shared" si="1"/>
        <v>VERIFY</v>
      </c>
      <c r="Q1790" s="15">
        <f t="shared" si="2"/>
        <v>3</v>
      </c>
      <c r="R1790" s="15">
        <f t="shared" si="3"/>
        <v>2</v>
      </c>
      <c r="S1790" s="15">
        <f t="shared" si="4"/>
        <v>2</v>
      </c>
      <c r="T1790" s="15" t="str">
        <f t="shared" si="5"/>
        <v>C-5</v>
      </c>
      <c r="U1790" s="15" t="str">
        <f t="shared" si="6"/>
        <v>T3-M2-H2-FC-5-VERIFY</v>
      </c>
      <c r="V1790" s="15">
        <f t="shared" si="7"/>
        <v>1</v>
      </c>
      <c r="W1790" s="31"/>
      <c r="X1790" s="15" t="str">
        <f t="shared" si="8"/>
        <v>springfield-mo-usa</v>
      </c>
      <c r="Y1790" s="32" t="str">
        <f t="shared" si="9"/>
        <v>https://steelmanufacturer.in/market-area/electropolished-pipes-manufacturer-in-springfield-mo-usa/</v>
      </c>
      <c r="Z1790" s="15" t="str">
        <f t="shared" si="10"/>
        <v>Electropolished Pipes Manufacturer in Springfield-MO</v>
      </c>
      <c r="AA1790" s="15" t="str">
        <f t="shared" si="11"/>
        <v>OK (52)</v>
      </c>
      <c r="AB1790" s="15" t="str">
        <f t="shared" si="12"/>
        <v>Electropolished tube supply to VERIFY, Springfield-MO. Ra from 0.25 um, SF4 finish, mill test certificate with every lot.</v>
      </c>
      <c r="AC1790" s="15" t="str">
        <f t="shared" si="13"/>
        <v>PENDING RESEARCH</v>
      </c>
      <c r="AD1790" s="15" t="str">
        <f t="shared" si="14"/>
        <v>Electropolished Pipes Manufacturer in Springfield-MO</v>
      </c>
      <c r="AE1790" s="15" t="str">
        <f t="shared" si="15"/>
        <v>How We Manufacture Electropolished Tube for Springfield-MO Plants</v>
      </c>
      <c r="AF1790" s="15" t="str">
        <f t="shared" si="16"/>
        <v>Supplying Electropolished Pipes in Springfield-MO: Availability, Sizes &amp; Dispatch</v>
      </c>
      <c r="AG1790" s="15" t="str">
        <f t="shared" si="17"/>
        <v>Wholesale Electropolished Pipe Supply for Springfield-MO Projects</v>
      </c>
      <c r="AH1790" s="15" t="str">
        <f t="shared" si="18"/>
        <v>electropolished pipes manufacturer in Springfield-MO, electropolished pipes supplier in Springfield-MO, electropolished pipes wholesaler in Springfield-MO, electropolished tube manufacturer Springfield-MO, EP pipe supplier Springfield-MO, sanitary tube supplier Springfield-MO, ASME BPE tubing Springfield-MO, ASTM A270 tube Springfield-MO, SS 316L electropolished pipe Springfield-MO</v>
      </c>
      <c r="AI1790" s="15" t="str">
        <f t="shared" si="19"/>
        <v>Electropolished Pipes Manufacturer &amp; Supplier in Springfield-MO</v>
      </c>
      <c r="AJ1790" s="15" t="str">
        <f t="shared" si="20"/>
        <v>EP-finished SS 304/316L pipes and tubes for VERIFY plants in Springfield-MO. ASME BPE SF1-SF4, Ra from 0.25 um, EN 10204 3.1 certificate with every lot.</v>
      </c>
      <c r="AK1790" s="15" t="str">
        <f t="shared" si="21"/>
        <v>Electropolished stainless steel pipes supplied by Sakshi Forge to VERIFY plants at VERIFY, Springfield-MO</v>
      </c>
      <c r="AL1790" s="15" t="str">
        <f t="shared" si="22"/>
        <v>Electropolished SS 316L tube stock for Springfield-MO - Sakshi Forge</v>
      </c>
      <c r="AM1790" s="15" t="str">
        <f t="shared" si="23"/>
        <v>Home &gt; Market Area &gt; USA &gt; VERIFY &gt; Springfield-MO</v>
      </c>
      <c r="AN1790" s="15">
        <f t="shared" si="24"/>
        <v>750</v>
      </c>
      <c r="AO1790" s="15">
        <f t="shared" si="25"/>
        <v>6</v>
      </c>
      <c r="AP1790" s="15">
        <f t="shared" si="26"/>
        <v>6</v>
      </c>
      <c r="AQ1790" s="15">
        <f t="shared" si="27"/>
        <v>30</v>
      </c>
      <c r="AR1790" s="31"/>
      <c r="AS1790" s="31"/>
      <c r="AT1790" s="35" t="s">
        <v>222</v>
      </c>
      <c r="AU1790" s="35"/>
    </row>
    <row r="1791" ht="15.75" customHeight="1">
      <c r="A1791" s="15" t="s">
        <v>7947</v>
      </c>
      <c r="B1791" s="15" t="s">
        <v>221</v>
      </c>
      <c r="C1791" s="15" t="s">
        <v>98</v>
      </c>
      <c r="D1791" s="15" t="s">
        <v>7949</v>
      </c>
      <c r="E1791" s="15" t="s">
        <v>7949</v>
      </c>
      <c r="F1791" s="58" t="s">
        <v>807</v>
      </c>
      <c r="G1791" s="66" t="s">
        <v>98</v>
      </c>
      <c r="H1791" s="18" t="s">
        <v>98</v>
      </c>
      <c r="I1791" s="18" t="s">
        <v>98</v>
      </c>
      <c r="J1791" s="18" t="s">
        <v>98</v>
      </c>
      <c r="K1791" s="18" t="s">
        <v>98</v>
      </c>
      <c r="L1791" s="18" t="s">
        <v>98</v>
      </c>
      <c r="M1791" s="18" t="s">
        <v>530</v>
      </c>
      <c r="N1791" s="18" t="s">
        <v>233</v>
      </c>
      <c r="O1791" s="18" t="s">
        <v>98</v>
      </c>
      <c r="P1791" s="15" t="str">
        <f t="shared" si="1"/>
        <v>VERIFY</v>
      </c>
      <c r="Q1791" s="15">
        <f t="shared" si="2"/>
        <v>4</v>
      </c>
      <c r="R1791" s="15">
        <f t="shared" si="3"/>
        <v>3</v>
      </c>
      <c r="S1791" s="15">
        <f t="shared" si="4"/>
        <v>3</v>
      </c>
      <c r="T1791" s="15" t="str">
        <f t="shared" si="5"/>
        <v>C-6</v>
      </c>
      <c r="U1791" s="15" t="str">
        <f t="shared" si="6"/>
        <v>T4-M3-H3-FC-6-VERIFY</v>
      </c>
      <c r="V1791" s="15">
        <f t="shared" si="7"/>
        <v>1</v>
      </c>
      <c r="W1791" s="31"/>
      <c r="X1791" s="15" t="str">
        <f t="shared" si="8"/>
        <v>stockton-usa</v>
      </c>
      <c r="Y1791" s="32" t="str">
        <f t="shared" si="9"/>
        <v>https://steelmanufacturer.in/market-area/electropolished-pipes-manufacturer-in-stockton-usa/</v>
      </c>
      <c r="Z1791" s="15" t="str">
        <f t="shared" si="10"/>
        <v>Electropolished Pipes Manufacturer in Stockton</v>
      </c>
      <c r="AA1791" s="15" t="str">
        <f t="shared" si="11"/>
        <v>OK (46)</v>
      </c>
      <c r="AB1791" s="15" t="str">
        <f t="shared" si="12"/>
        <v>EP stainless tube for VERIFY lines in Stockton. 28-35 days sea from Nhava Sheva to US East Coast. ASTM A270 S2, PMI tested, EN 10204 3.1.</v>
      </c>
      <c r="AC1791" s="15" t="str">
        <f t="shared" si="13"/>
        <v>PENDING RESEARCH</v>
      </c>
      <c r="AD1791" s="15" t="str">
        <f t="shared" si="14"/>
        <v>Electropolished Pipes Manufacturer in Stockton</v>
      </c>
      <c r="AE1791" s="15" t="str">
        <f t="shared" si="15"/>
        <v>Electropolished Pipes Manufacturer in Stockton - Our Process &amp; Capability</v>
      </c>
      <c r="AF1791" s="15" t="str">
        <f t="shared" si="16"/>
        <v>Electropolished Pipes Supplier in Stockton - What We Hold in Stock</v>
      </c>
      <c r="AG1791" s="15" t="str">
        <f t="shared" si="17"/>
        <v>Bulk &amp; Wholesale Electropolished Pipe Rates for Stockton Buyers</v>
      </c>
      <c r="AH1791" s="15" t="str">
        <f t="shared" si="18"/>
        <v>electropolished pipes manufacturer in Stockton, electropolished pipes supplier in Stockton, electropolished pipes wholesaler in Stockton, electropolished tube manufacturer Stockton, EP pipe supplier Stockton, sanitary tube supplier Stockton, ASME BPE tubing Stockton, ASTM A270 tube Stockton, SS 316L electropolished pipe Stockton</v>
      </c>
      <c r="AI1791" s="15" t="str">
        <f t="shared" si="19"/>
        <v>Electropolished Pipes Manufacturer &amp; Supplier in Stockton</v>
      </c>
      <c r="AJ1791" s="15" t="str">
        <f t="shared" si="20"/>
        <v>EP-finished SS 304/316L pipes and tubes for VERIFY plants in Stockton. ASME BPE SF1-SF4, Ra from 0.25 um, EN 10204 3.1 certificate with every lot.</v>
      </c>
      <c r="AK1791" s="15" t="str">
        <f t="shared" si="21"/>
        <v>Electropolished stainless steel pipes supplied by Sakshi Forge to VERIFY plants at VERIFY, Stockton</v>
      </c>
      <c r="AL1791" s="15" t="str">
        <f t="shared" si="22"/>
        <v>Electropolished SS 316L tube stock for Stockton - Sakshi Forge</v>
      </c>
      <c r="AM1791" s="15" t="str">
        <f t="shared" si="23"/>
        <v>Home &gt; Market Area &gt; USA &gt; VERIFY &gt; Stockton</v>
      </c>
      <c r="AN1791" s="15">
        <f t="shared" si="24"/>
        <v>750</v>
      </c>
      <c r="AO1791" s="15">
        <f t="shared" si="25"/>
        <v>6</v>
      </c>
      <c r="AP1791" s="15">
        <f t="shared" si="26"/>
        <v>6</v>
      </c>
      <c r="AQ1791" s="15">
        <f t="shared" si="27"/>
        <v>30</v>
      </c>
      <c r="AR1791" s="31"/>
      <c r="AS1791" s="31"/>
      <c r="AT1791" s="35" t="s">
        <v>222</v>
      </c>
      <c r="AU1791" s="35"/>
    </row>
    <row r="1792" ht="15.75" customHeight="1">
      <c r="A1792" s="15" t="s">
        <v>7950</v>
      </c>
      <c r="B1792" s="15" t="s">
        <v>221</v>
      </c>
      <c r="C1792" s="15" t="s">
        <v>98</v>
      </c>
      <c r="D1792" s="15" t="s">
        <v>7951</v>
      </c>
      <c r="E1792" s="15" t="s">
        <v>7951</v>
      </c>
      <c r="F1792" s="58" t="s">
        <v>807</v>
      </c>
      <c r="G1792" s="66" t="s">
        <v>98</v>
      </c>
      <c r="H1792" s="18" t="s">
        <v>98</v>
      </c>
      <c r="I1792" s="18" t="s">
        <v>98</v>
      </c>
      <c r="J1792" s="18" t="s">
        <v>98</v>
      </c>
      <c r="K1792" s="18" t="s">
        <v>98</v>
      </c>
      <c r="L1792" s="18" t="s">
        <v>98</v>
      </c>
      <c r="M1792" s="18" t="s">
        <v>530</v>
      </c>
      <c r="N1792" s="18" t="s">
        <v>233</v>
      </c>
      <c r="O1792" s="18" t="s">
        <v>98</v>
      </c>
      <c r="P1792" s="15" t="str">
        <f t="shared" si="1"/>
        <v>VERIFY</v>
      </c>
      <c r="Q1792" s="15">
        <f t="shared" si="2"/>
        <v>5</v>
      </c>
      <c r="R1792" s="15">
        <f t="shared" si="3"/>
        <v>4</v>
      </c>
      <c r="S1792" s="15">
        <f t="shared" si="4"/>
        <v>4</v>
      </c>
      <c r="T1792" s="15" t="str">
        <f t="shared" si="5"/>
        <v>C-1</v>
      </c>
      <c r="U1792" s="15" t="str">
        <f t="shared" si="6"/>
        <v>T5-M4-H4-FC-1-VERIFY</v>
      </c>
      <c r="V1792" s="15">
        <f t="shared" si="7"/>
        <v>1</v>
      </c>
      <c r="W1792" s="31"/>
      <c r="X1792" s="15" t="str">
        <f t="shared" si="8"/>
        <v>syracuse-usa</v>
      </c>
      <c r="Y1792" s="32" t="str">
        <f t="shared" si="9"/>
        <v>https://steelmanufacturer.in/market-area/electropolished-pipes-manufacturer-in-syracuse-usa/</v>
      </c>
      <c r="Z1792" s="15" t="str">
        <f t="shared" si="10"/>
        <v>Electropolished Pipes Manufacturer in Syracuse</v>
      </c>
      <c r="AA1792" s="15" t="str">
        <f t="shared" si="11"/>
        <v>OK (46)</v>
      </c>
      <c r="AB1792" s="15" t="str">
        <f t="shared" si="12"/>
        <v>Sanitary electropolished pipes in Syracuse for VERIFY plants. ASME BPE SF1-SF4, orbital-weld ready, 3.1 MTC. Mumbai-made.</v>
      </c>
      <c r="AC1792" s="15" t="str">
        <f t="shared" si="13"/>
        <v>PENDING RESEARCH</v>
      </c>
      <c r="AD1792" s="15" t="str">
        <f t="shared" si="14"/>
        <v>Electropolished Pipes Manufacturer in Syracuse</v>
      </c>
      <c r="AE1792" s="15" t="str">
        <f t="shared" si="15"/>
        <v>Manufacturing Electropolished SS Tube for Syracuse: The Standards We Build To</v>
      </c>
      <c r="AF1792" s="15" t="str">
        <f t="shared" si="16"/>
        <v>Electropolished Pipe Supply Into Syracuse - Certification &amp; Transit</v>
      </c>
      <c r="AG1792" s="15" t="str">
        <f t="shared" si="17"/>
        <v>Electropolished Pipes Wholesaler in Syracuse - Project Quantities &amp; Terms</v>
      </c>
      <c r="AH1792" s="15" t="str">
        <f t="shared" si="18"/>
        <v>electropolished pipes manufacturer in Syracuse, electropolished pipes supplier in Syracuse, electropolished pipes wholesaler in Syracuse, electropolished tube manufacturer Syracuse, EP pipe supplier Syracuse, sanitary tube supplier Syracuse, ASME BPE tubing Syracuse, ASTM A270 tube Syracuse, SS 316L electropolished pipe Syracuse</v>
      </c>
      <c r="AI1792" s="15" t="str">
        <f t="shared" si="19"/>
        <v>Electropolished Pipes Manufacturer &amp; Supplier in Syracuse</v>
      </c>
      <c r="AJ1792" s="15" t="str">
        <f t="shared" si="20"/>
        <v>EP-finished SS 304/316L pipes and tubes for VERIFY plants in Syracuse. ASME BPE SF1-SF4, Ra from 0.25 um, EN 10204 3.1 certificate with every lot.</v>
      </c>
      <c r="AK1792" s="15" t="str">
        <f t="shared" si="21"/>
        <v>Electropolished stainless steel pipes supplied by Sakshi Forge to VERIFY plants at VERIFY, Syracuse</v>
      </c>
      <c r="AL1792" s="15" t="str">
        <f t="shared" si="22"/>
        <v>Electropolished SS 316L tube stock for Syracuse - Sakshi Forge</v>
      </c>
      <c r="AM1792" s="15" t="str">
        <f t="shared" si="23"/>
        <v>Home &gt; Market Area &gt; USA &gt; VERIFY &gt; Syracuse</v>
      </c>
      <c r="AN1792" s="15">
        <f t="shared" si="24"/>
        <v>750</v>
      </c>
      <c r="AO1792" s="15">
        <f t="shared" si="25"/>
        <v>6</v>
      </c>
      <c r="AP1792" s="15">
        <f t="shared" si="26"/>
        <v>6</v>
      </c>
      <c r="AQ1792" s="15">
        <f t="shared" si="27"/>
        <v>30</v>
      </c>
      <c r="AR1792" s="31"/>
      <c r="AS1792" s="31"/>
      <c r="AT1792" s="35" t="s">
        <v>222</v>
      </c>
      <c r="AU1792" s="35"/>
    </row>
    <row r="1793" ht="15.75" customHeight="1">
      <c r="A1793" s="15" t="s">
        <v>7952</v>
      </c>
      <c r="B1793" s="15" t="s">
        <v>221</v>
      </c>
      <c r="C1793" s="15" t="s">
        <v>98</v>
      </c>
      <c r="D1793" s="15" t="s">
        <v>7953</v>
      </c>
      <c r="E1793" s="15" t="s">
        <v>7953</v>
      </c>
      <c r="F1793" s="58" t="s">
        <v>807</v>
      </c>
      <c r="G1793" s="66" t="s">
        <v>98</v>
      </c>
      <c r="H1793" s="18" t="s">
        <v>98</v>
      </c>
      <c r="I1793" s="18" t="s">
        <v>98</v>
      </c>
      <c r="J1793" s="18" t="s">
        <v>98</v>
      </c>
      <c r="K1793" s="18" t="s">
        <v>98</v>
      </c>
      <c r="L1793" s="18" t="s">
        <v>98</v>
      </c>
      <c r="M1793" s="18" t="s">
        <v>530</v>
      </c>
      <c r="N1793" s="18" t="s">
        <v>233</v>
      </c>
      <c r="O1793" s="18" t="s">
        <v>98</v>
      </c>
      <c r="P1793" s="15" t="str">
        <f t="shared" si="1"/>
        <v>VERIFY</v>
      </c>
      <c r="Q1793" s="15">
        <f t="shared" si="2"/>
        <v>6</v>
      </c>
      <c r="R1793" s="15">
        <f t="shared" si="3"/>
        <v>5</v>
      </c>
      <c r="S1793" s="15">
        <f t="shared" si="4"/>
        <v>5</v>
      </c>
      <c r="T1793" s="15" t="str">
        <f t="shared" si="5"/>
        <v>C-2</v>
      </c>
      <c r="U1793" s="15" t="str">
        <f t="shared" si="6"/>
        <v>T6-M5-H5-FC-2-VERIFY</v>
      </c>
      <c r="V1793" s="15">
        <f t="shared" si="7"/>
        <v>1</v>
      </c>
      <c r="W1793" s="31"/>
      <c r="X1793" s="15" t="str">
        <f t="shared" si="8"/>
        <v>tallahassee-usa</v>
      </c>
      <c r="Y1793" s="32" t="str">
        <f t="shared" si="9"/>
        <v>https://steelmanufacturer.in/market-area/electropolished-pipes-manufacturer-in-tallahassee-usa/</v>
      </c>
      <c r="Z1793" s="15" t="str">
        <f t="shared" si="10"/>
        <v>Electropolished Pipes Manufacturer in Tallahassee</v>
      </c>
      <c r="AA1793" s="15" t="str">
        <f t="shared" si="11"/>
        <v>OK (49)</v>
      </c>
      <c r="AB1793" s="15" t="str">
        <f t="shared" si="12"/>
        <v>Manufacturer of electropolished SS 316L tube serving Tallahassee. 28-35 days sea from Nhava Sheva to US East Coast. Ra 0.25-0.5 um, EN 10204 3.1 MTC.</v>
      </c>
      <c r="AC1793" s="15" t="str">
        <f t="shared" si="13"/>
        <v>PENDING RESEARCH</v>
      </c>
      <c r="AD1793" s="15" t="str">
        <f t="shared" si="14"/>
        <v>Electropolished Pipes Manufacturer in Tallahassee</v>
      </c>
      <c r="AE1793" s="15" t="str">
        <f t="shared" si="15"/>
        <v>Electropolished Tube Manufacturing Capability Serving Tallahassee</v>
      </c>
      <c r="AF1793" s="15" t="str">
        <f t="shared" si="16"/>
        <v>Electropolished Pipes Supplier in Tallahassee - From Order to Delivery</v>
      </c>
      <c r="AG1793" s="15" t="str">
        <f t="shared" si="17"/>
        <v>Stockist &amp; Wholesale Supply of Electropolished Pipes in Tallahassee</v>
      </c>
      <c r="AH1793" s="15" t="str">
        <f t="shared" si="18"/>
        <v>electropolished pipes manufacturer in Tallahassee, electropolished pipes supplier in Tallahassee, electropolished pipes wholesaler in Tallahassee, electropolished tube manufacturer Tallahassee, EP pipe supplier Tallahassee, sanitary tube supplier Tallahassee, ASME BPE tubing Tallahassee, ASTM A270 tube Tallahassee, SS 316L electropolished pipe Tallahassee</v>
      </c>
      <c r="AI1793" s="15" t="str">
        <f t="shared" si="19"/>
        <v>Electropolished Pipes Manufacturer &amp; Supplier in Tallahassee</v>
      </c>
      <c r="AJ1793" s="15" t="str">
        <f t="shared" si="20"/>
        <v>EP-finished SS 304/316L pipes and tubes for VERIFY plants in Tallahassee. ASME BPE SF1-SF4, Ra from 0.25 um, EN 10204 3.1 certificate with every lot.</v>
      </c>
      <c r="AK1793" s="15" t="str">
        <f t="shared" si="21"/>
        <v>Electropolished stainless steel pipes supplied by Sakshi Forge to VERIFY plants at VERIFY, Tallahassee</v>
      </c>
      <c r="AL1793" s="15" t="str">
        <f t="shared" si="22"/>
        <v>Electropolished SS 316L tube stock for Tallahassee - Sakshi Forge</v>
      </c>
      <c r="AM1793" s="15" t="str">
        <f t="shared" si="23"/>
        <v>Home &gt; Market Area &gt; USA &gt; VERIFY &gt; Tallahassee</v>
      </c>
      <c r="AN1793" s="15">
        <f t="shared" si="24"/>
        <v>750</v>
      </c>
      <c r="AO1793" s="15">
        <f t="shared" si="25"/>
        <v>6</v>
      </c>
      <c r="AP1793" s="15">
        <f t="shared" si="26"/>
        <v>6</v>
      </c>
      <c r="AQ1793" s="15">
        <f t="shared" si="27"/>
        <v>30</v>
      </c>
      <c r="AR1793" s="31"/>
      <c r="AS1793" s="31"/>
      <c r="AT1793" s="35" t="s">
        <v>222</v>
      </c>
      <c r="AU1793" s="35"/>
    </row>
    <row r="1794" ht="15.75" customHeight="1">
      <c r="A1794" s="15" t="s">
        <v>7954</v>
      </c>
      <c r="B1794" s="15" t="s">
        <v>221</v>
      </c>
      <c r="C1794" s="15" t="s">
        <v>98</v>
      </c>
      <c r="D1794" s="15" t="s">
        <v>7619</v>
      </c>
      <c r="E1794" s="15" t="s">
        <v>9557</v>
      </c>
      <c r="F1794" s="58" t="s">
        <v>807</v>
      </c>
      <c r="G1794" s="66" t="s">
        <v>98</v>
      </c>
      <c r="H1794" s="18" t="s">
        <v>98</v>
      </c>
      <c r="I1794" s="18" t="s">
        <v>98</v>
      </c>
      <c r="J1794" s="18" t="s">
        <v>98</v>
      </c>
      <c r="K1794" s="18" t="s">
        <v>98</v>
      </c>
      <c r="L1794" s="18" t="s">
        <v>98</v>
      </c>
      <c r="M1794" s="18" t="s">
        <v>530</v>
      </c>
      <c r="N1794" s="18" t="s">
        <v>233</v>
      </c>
      <c r="O1794" s="18" t="s">
        <v>98</v>
      </c>
      <c r="P1794" s="15" t="str">
        <f t="shared" si="1"/>
        <v>VERIFY</v>
      </c>
      <c r="Q1794" s="15">
        <f t="shared" si="2"/>
        <v>7</v>
      </c>
      <c r="R1794" s="15">
        <f t="shared" si="3"/>
        <v>6</v>
      </c>
      <c r="S1794" s="15">
        <f t="shared" si="4"/>
        <v>1</v>
      </c>
      <c r="T1794" s="15" t="str">
        <f t="shared" si="5"/>
        <v>C-3</v>
      </c>
      <c r="U1794" s="15" t="str">
        <f t="shared" si="6"/>
        <v>T7-M6-H1-FC-3-VERIFY</v>
      </c>
      <c r="V1794" s="15">
        <f t="shared" si="7"/>
        <v>1</v>
      </c>
      <c r="W1794" s="31"/>
      <c r="X1794" s="15" t="str">
        <f t="shared" si="8"/>
        <v>toledo-usa</v>
      </c>
      <c r="Y1794" s="32" t="str">
        <f t="shared" si="9"/>
        <v>https://steelmanufacturer.in/market-area/electropolished-pipes-manufacturer-in-toledo-usa/</v>
      </c>
      <c r="Z1794" s="15" t="str">
        <f t="shared" si="10"/>
        <v>Electropolished Pipes Manufacturer in Toledo, USA</v>
      </c>
      <c r="AA1794" s="15" t="str">
        <f t="shared" si="11"/>
        <v>OK (49)</v>
      </c>
      <c r="AB1794" s="15" t="str">
        <f t="shared" si="12"/>
        <v>EP tube and pipe for VERIFY plants around VERIFY, Toledo, USA. Made at our Mumbai works to ASTM A270 and ASME BPE SF1-SF4, with 3.1 MTC.</v>
      </c>
      <c r="AC1794" s="15" t="str">
        <f t="shared" si="13"/>
        <v>PENDING RESEARCH</v>
      </c>
      <c r="AD1794" s="15" t="str">
        <f t="shared" si="14"/>
        <v>Electropolished Pipes Manufacturer in Toledo, USA</v>
      </c>
      <c r="AE1794" s="15" t="str">
        <f t="shared" si="15"/>
        <v>Electropolished Pipe &amp; Tube Manufacturing for Toledo, USA - Grades, Finishes &amp; Certification</v>
      </c>
      <c r="AF1794" s="15" t="str">
        <f t="shared" si="16"/>
        <v>Electropolished Pipes Supplier in Toledo, USA - Stock Sizes, Lead Time &amp; Delivery</v>
      </c>
      <c r="AG1794" s="15" t="str">
        <f t="shared" si="17"/>
        <v>Electropolished Pipes Wholesaler &amp; Stockist in Toledo, USA - Bulk &amp; Project Pricing</v>
      </c>
      <c r="AH1794" s="15" t="str">
        <f t="shared" si="18"/>
        <v>electropolished pipes manufacturer in Toledo, electropolished pipes supplier in Toledo, electropolished pipes wholesaler in Toledo, electropolished tube manufacturer Toledo, EP pipe supplier Toledo, sanitary tube supplier Toledo, ASME BPE tubing Toledo, ASTM A270 tube Toledo, SS 316L electropolished pipe Toledo</v>
      </c>
      <c r="AI1794" s="15" t="str">
        <f t="shared" si="19"/>
        <v>Electropolished Pipes Manufacturer &amp; Supplier in Toledo, USA</v>
      </c>
      <c r="AJ1794" s="15" t="str">
        <f t="shared" si="20"/>
        <v>EP-finished SS 304/316L pipes and tubes for VERIFY plants in Toledo, USA. ASME BPE SF1-SF4, Ra from 0.25 um, EN 10204 3.1 certificate with every lot.</v>
      </c>
      <c r="AK1794" s="15" t="str">
        <f t="shared" si="21"/>
        <v>Electropolished stainless steel pipes supplied by Sakshi Forge to VERIFY plants at VERIFY, Toledo, USA</v>
      </c>
      <c r="AL1794" s="15" t="str">
        <f t="shared" si="22"/>
        <v>Electropolished SS 316L tube stock for Toledo, USA - Sakshi Forge</v>
      </c>
      <c r="AM1794" s="15" t="str">
        <f t="shared" si="23"/>
        <v>Home &gt; Market Area &gt; USA &gt; VERIFY &gt; Toledo</v>
      </c>
      <c r="AN1794" s="15">
        <f t="shared" si="24"/>
        <v>750</v>
      </c>
      <c r="AO1794" s="15">
        <f t="shared" si="25"/>
        <v>6</v>
      </c>
      <c r="AP1794" s="15">
        <f t="shared" si="26"/>
        <v>6</v>
      </c>
      <c r="AQ1794" s="15">
        <f t="shared" si="27"/>
        <v>30</v>
      </c>
      <c r="AR1794" s="31"/>
      <c r="AS1794" s="31"/>
      <c r="AT1794" s="35" t="s">
        <v>222</v>
      </c>
      <c r="AU1794" s="35"/>
    </row>
    <row r="1795" ht="15.75" customHeight="1">
      <c r="A1795" s="15" t="s">
        <v>7955</v>
      </c>
      <c r="B1795" s="15" t="s">
        <v>221</v>
      </c>
      <c r="C1795" s="15" t="s">
        <v>98</v>
      </c>
      <c r="D1795" s="15" t="s">
        <v>7956</v>
      </c>
      <c r="E1795" s="15" t="s">
        <v>7956</v>
      </c>
      <c r="F1795" s="58" t="s">
        <v>807</v>
      </c>
      <c r="G1795" s="66" t="s">
        <v>98</v>
      </c>
      <c r="H1795" s="18" t="s">
        <v>98</v>
      </c>
      <c r="I1795" s="18" t="s">
        <v>98</v>
      </c>
      <c r="J1795" s="18" t="s">
        <v>98</v>
      </c>
      <c r="K1795" s="18" t="s">
        <v>98</v>
      </c>
      <c r="L1795" s="18" t="s">
        <v>98</v>
      </c>
      <c r="M1795" s="18" t="s">
        <v>530</v>
      </c>
      <c r="N1795" s="18" t="s">
        <v>233</v>
      </c>
      <c r="O1795" s="18" t="s">
        <v>98</v>
      </c>
      <c r="P1795" s="15" t="str">
        <f t="shared" si="1"/>
        <v>VERIFY</v>
      </c>
      <c r="Q1795" s="15">
        <f t="shared" si="2"/>
        <v>8</v>
      </c>
      <c r="R1795" s="15">
        <f t="shared" si="3"/>
        <v>7</v>
      </c>
      <c r="S1795" s="15">
        <f t="shared" si="4"/>
        <v>2</v>
      </c>
      <c r="T1795" s="15" t="str">
        <f t="shared" si="5"/>
        <v>C-4</v>
      </c>
      <c r="U1795" s="15" t="str">
        <f t="shared" si="6"/>
        <v>T8-M7-H2-FC-4-VERIFY</v>
      </c>
      <c r="V1795" s="15">
        <f t="shared" si="7"/>
        <v>1</v>
      </c>
      <c r="W1795" s="31"/>
      <c r="X1795" s="15" t="str">
        <f t="shared" si="8"/>
        <v>tucson-usa</v>
      </c>
      <c r="Y1795" s="32" t="str">
        <f t="shared" si="9"/>
        <v>https://steelmanufacturer.in/market-area/electropolished-pipes-manufacturer-in-tucson-usa/</v>
      </c>
      <c r="Z1795" s="15" t="str">
        <f t="shared" si="10"/>
        <v>Electropolished Pipes Manufacturer in Tucson - EP Tube Stockist</v>
      </c>
      <c r="AA1795" s="15" t="str">
        <f t="shared" si="11"/>
        <v>OK (63)</v>
      </c>
      <c r="AB1795" s="15" t="str">
        <f t="shared" si="12"/>
        <v>Electropolished pipes in Tucson: 304, 304L, 316 and 316L in SF1-SF4. 28-35 days sea from Nhava Sheva to US East Coast. Mill certified.</v>
      </c>
      <c r="AC1795" s="15" t="str">
        <f t="shared" si="13"/>
        <v>PENDING RESEARCH</v>
      </c>
      <c r="AD1795" s="15" t="str">
        <f t="shared" si="14"/>
        <v>Electropolished Pipes Manufacturer in Tucson</v>
      </c>
      <c r="AE1795" s="15" t="str">
        <f t="shared" si="15"/>
        <v>How We Manufacture Electropolished Tube for Tucson Plants</v>
      </c>
      <c r="AF1795" s="15" t="str">
        <f t="shared" si="16"/>
        <v>Supplying Electropolished Pipes in Tucson: Availability, Sizes &amp; Dispatch</v>
      </c>
      <c r="AG1795" s="15" t="str">
        <f t="shared" si="17"/>
        <v>Wholesale Electropolished Pipe Supply for Tucson Projects</v>
      </c>
      <c r="AH1795" s="15" t="str">
        <f t="shared" si="18"/>
        <v>electropolished pipes manufacturer in Tucson, electropolished pipes supplier in Tucson, electropolished pipes wholesaler in Tucson, electropolished tube manufacturer Tucson, EP pipe supplier Tucson, sanitary tube supplier Tucson, ASME BPE tubing Tucson, ASTM A270 tube Tucson, SS 316L electropolished pipe Tucson</v>
      </c>
      <c r="AI1795" s="15" t="str">
        <f t="shared" si="19"/>
        <v>Electropolished Pipes Manufacturer &amp; Supplier in Tucson</v>
      </c>
      <c r="AJ1795" s="15" t="str">
        <f t="shared" si="20"/>
        <v>EP-finished SS 304/316L pipes and tubes for VERIFY plants in Tucson. ASME BPE SF1-SF4, Ra from 0.25 um, EN 10204 3.1 certificate with every lot.</v>
      </c>
      <c r="AK1795" s="15" t="str">
        <f t="shared" si="21"/>
        <v>Electropolished stainless steel pipes supplied by Sakshi Forge to VERIFY plants at VERIFY, Tucson</v>
      </c>
      <c r="AL1795" s="15" t="str">
        <f t="shared" si="22"/>
        <v>Electropolished SS 316L tube stock for Tucson - Sakshi Forge</v>
      </c>
      <c r="AM1795" s="15" t="str">
        <f t="shared" si="23"/>
        <v>Home &gt; Market Area &gt; USA &gt; VERIFY &gt; Tucson</v>
      </c>
      <c r="AN1795" s="15">
        <f t="shared" si="24"/>
        <v>750</v>
      </c>
      <c r="AO1795" s="15">
        <f t="shared" si="25"/>
        <v>6</v>
      </c>
      <c r="AP1795" s="15">
        <f t="shared" si="26"/>
        <v>6</v>
      </c>
      <c r="AQ1795" s="15">
        <f t="shared" si="27"/>
        <v>30</v>
      </c>
      <c r="AR1795" s="31"/>
      <c r="AS1795" s="31"/>
      <c r="AT1795" s="35" t="s">
        <v>222</v>
      </c>
      <c r="AU1795" s="35"/>
    </row>
    <row r="1796" ht="15.75" customHeight="1">
      <c r="A1796" s="15" t="s">
        <v>7957</v>
      </c>
      <c r="B1796" s="15" t="s">
        <v>221</v>
      </c>
      <c r="C1796" s="15" t="s">
        <v>98</v>
      </c>
      <c r="D1796" s="15" t="s">
        <v>7958</v>
      </c>
      <c r="E1796" s="15" t="s">
        <v>7958</v>
      </c>
      <c r="F1796" s="58" t="s">
        <v>807</v>
      </c>
      <c r="G1796" s="66" t="s">
        <v>98</v>
      </c>
      <c r="H1796" s="18" t="s">
        <v>98</v>
      </c>
      <c r="I1796" s="18" t="s">
        <v>98</v>
      </c>
      <c r="J1796" s="18" t="s">
        <v>98</v>
      </c>
      <c r="K1796" s="18" t="s">
        <v>98</v>
      </c>
      <c r="L1796" s="18" t="s">
        <v>98</v>
      </c>
      <c r="M1796" s="18" t="s">
        <v>530</v>
      </c>
      <c r="N1796" s="18" t="s">
        <v>233</v>
      </c>
      <c r="O1796" s="18" t="s">
        <v>98</v>
      </c>
      <c r="P1796" s="15" t="str">
        <f t="shared" si="1"/>
        <v>VERIFY</v>
      </c>
      <c r="Q1796" s="15">
        <f t="shared" si="2"/>
        <v>1</v>
      </c>
      <c r="R1796" s="15">
        <f t="shared" si="3"/>
        <v>1</v>
      </c>
      <c r="S1796" s="15">
        <f t="shared" si="4"/>
        <v>3</v>
      </c>
      <c r="T1796" s="15" t="str">
        <f t="shared" si="5"/>
        <v>C-5</v>
      </c>
      <c r="U1796" s="15" t="str">
        <f t="shared" si="6"/>
        <v>T1-M1-H3-FC-5-VERIFY</v>
      </c>
      <c r="V1796" s="15">
        <f t="shared" si="7"/>
        <v>1</v>
      </c>
      <c r="W1796" s="31"/>
      <c r="X1796" s="15" t="str">
        <f t="shared" si="8"/>
        <v>tulsa-usa</v>
      </c>
      <c r="Y1796" s="32" t="str">
        <f t="shared" si="9"/>
        <v>https://steelmanufacturer.in/market-area/electropolished-pipes-manufacturer-in-tulsa-usa/</v>
      </c>
      <c r="Z1796" s="15" t="str">
        <f t="shared" si="10"/>
        <v>Electropolished Pipes Manufacturer in Tulsa | Sakshi Forge</v>
      </c>
      <c r="AA1796" s="15" t="str">
        <f t="shared" si="11"/>
        <v>OK (58)</v>
      </c>
      <c r="AB1796" s="15" t="str">
        <f t="shared" si="12"/>
        <v>EP-finished SS 304/316L pipes &amp; tubes for VERIFY plants in Tulsa. ASTM A270, ASME BPE SF1-SF4, EN 10204 3.1 MTC. PMI tested.</v>
      </c>
      <c r="AC1796" s="15" t="str">
        <f t="shared" si="13"/>
        <v>PENDING RESEARCH</v>
      </c>
      <c r="AD1796" s="15" t="str">
        <f t="shared" si="14"/>
        <v>Electropolished Pipes Manufacturer in Tulsa</v>
      </c>
      <c r="AE1796" s="15" t="str">
        <f t="shared" si="15"/>
        <v>Electropolished Pipes Manufacturer in Tulsa - Our Process &amp; Capability</v>
      </c>
      <c r="AF1796" s="15" t="str">
        <f t="shared" si="16"/>
        <v>Electropolished Pipes Supplier in Tulsa - What We Hold in Stock</v>
      </c>
      <c r="AG1796" s="15" t="str">
        <f t="shared" si="17"/>
        <v>Bulk &amp; Wholesale Electropolished Pipe Rates for Tulsa Buyers</v>
      </c>
      <c r="AH1796" s="15" t="str">
        <f t="shared" si="18"/>
        <v>electropolished pipes manufacturer in Tulsa, electropolished pipes supplier in Tulsa, electropolished pipes wholesaler in Tulsa, electropolished tube manufacturer Tulsa, EP pipe supplier Tulsa, sanitary tube supplier Tulsa, ASME BPE tubing Tulsa, ASTM A270 tube Tulsa, SS 316L electropolished pipe Tulsa</v>
      </c>
      <c r="AI1796" s="15" t="str">
        <f t="shared" si="19"/>
        <v>Electropolished Pipes Manufacturer &amp; Supplier in Tulsa</v>
      </c>
      <c r="AJ1796" s="15" t="str">
        <f t="shared" si="20"/>
        <v>EP-finished SS 304/316L pipes and tubes for VERIFY plants in Tulsa. ASME BPE SF1-SF4, Ra from 0.25 um, EN 10204 3.1 certificate with every lot.</v>
      </c>
      <c r="AK1796" s="15" t="str">
        <f t="shared" si="21"/>
        <v>Electropolished stainless steel pipes supplied by Sakshi Forge to VERIFY plants at VERIFY, Tulsa</v>
      </c>
      <c r="AL1796" s="15" t="str">
        <f t="shared" si="22"/>
        <v>Electropolished SS 316L tube stock for Tulsa - Sakshi Forge</v>
      </c>
      <c r="AM1796" s="15" t="str">
        <f t="shared" si="23"/>
        <v>Home &gt; Market Area &gt; USA &gt; VERIFY &gt; Tulsa</v>
      </c>
      <c r="AN1796" s="15">
        <f t="shared" si="24"/>
        <v>750</v>
      </c>
      <c r="AO1796" s="15">
        <f t="shared" si="25"/>
        <v>6</v>
      </c>
      <c r="AP1796" s="15">
        <f t="shared" si="26"/>
        <v>6</v>
      </c>
      <c r="AQ1796" s="15">
        <f t="shared" si="27"/>
        <v>30</v>
      </c>
      <c r="AR1796" s="31"/>
      <c r="AS1796" s="31"/>
      <c r="AT1796" s="35" t="s">
        <v>222</v>
      </c>
      <c r="AU1796" s="35"/>
    </row>
    <row r="1797" ht="15.75" customHeight="1">
      <c r="A1797" s="15" t="s">
        <v>7959</v>
      </c>
      <c r="B1797" s="15" t="s">
        <v>221</v>
      </c>
      <c r="C1797" s="15" t="s">
        <v>98</v>
      </c>
      <c r="D1797" s="15" t="s">
        <v>7960</v>
      </c>
      <c r="E1797" s="15" t="s">
        <v>7960</v>
      </c>
      <c r="F1797" s="58" t="s">
        <v>807</v>
      </c>
      <c r="G1797" s="66" t="s">
        <v>98</v>
      </c>
      <c r="H1797" s="18" t="s">
        <v>98</v>
      </c>
      <c r="I1797" s="18" t="s">
        <v>98</v>
      </c>
      <c r="J1797" s="18" t="s">
        <v>98</v>
      </c>
      <c r="K1797" s="18" t="s">
        <v>98</v>
      </c>
      <c r="L1797" s="18" t="s">
        <v>98</v>
      </c>
      <c r="M1797" s="18" t="s">
        <v>530</v>
      </c>
      <c r="N1797" s="18" t="s">
        <v>233</v>
      </c>
      <c r="O1797" s="18" t="s">
        <v>98</v>
      </c>
      <c r="P1797" s="15" t="str">
        <f t="shared" si="1"/>
        <v>VERIFY</v>
      </c>
      <c r="Q1797" s="15">
        <f t="shared" si="2"/>
        <v>2</v>
      </c>
      <c r="R1797" s="15">
        <f t="shared" si="3"/>
        <v>2</v>
      </c>
      <c r="S1797" s="15">
        <f t="shared" si="4"/>
        <v>4</v>
      </c>
      <c r="T1797" s="15" t="str">
        <f t="shared" si="5"/>
        <v>C-6</v>
      </c>
      <c r="U1797" s="15" t="str">
        <f t="shared" si="6"/>
        <v>T2-M2-H4-FC-6-VERIFY</v>
      </c>
      <c r="V1797" s="15">
        <f t="shared" si="7"/>
        <v>1</v>
      </c>
      <c r="W1797" s="31"/>
      <c r="X1797" s="15" t="str">
        <f t="shared" si="8"/>
        <v>ventura-usa</v>
      </c>
      <c r="Y1797" s="32" t="str">
        <f t="shared" si="9"/>
        <v>https://steelmanufacturer.in/market-area/electropolished-pipes-manufacturer-in-ventura-usa/</v>
      </c>
      <c r="Z1797" s="15" t="str">
        <f t="shared" si="10"/>
        <v>Electropolished Pipes Manufacturer in Ventura</v>
      </c>
      <c r="AA1797" s="15" t="str">
        <f t="shared" si="11"/>
        <v>OK (45)</v>
      </c>
      <c r="AB1797" s="15" t="str">
        <f t="shared" si="12"/>
        <v>Electropolished tube supply to VERIFY, Ventura. Ra from 0.25 um, SF4 finish, mill test certificate with every lot.</v>
      </c>
      <c r="AC1797" s="15" t="str">
        <f t="shared" si="13"/>
        <v>PENDING RESEARCH</v>
      </c>
      <c r="AD1797" s="15" t="str">
        <f t="shared" si="14"/>
        <v>Electropolished Pipes Manufacturer in Ventura</v>
      </c>
      <c r="AE1797" s="15" t="str">
        <f t="shared" si="15"/>
        <v>Manufacturing Electropolished SS Tube for Ventura: The Standards We Build To</v>
      </c>
      <c r="AF1797" s="15" t="str">
        <f t="shared" si="16"/>
        <v>Electropolished Pipe Supply Into Ventura - Certification &amp; Transit</v>
      </c>
      <c r="AG1797" s="15" t="str">
        <f t="shared" si="17"/>
        <v>Electropolished Pipes Wholesaler in Ventura - Project Quantities &amp; Terms</v>
      </c>
      <c r="AH1797" s="15" t="str">
        <f t="shared" si="18"/>
        <v>electropolished pipes manufacturer in Ventura, electropolished pipes supplier in Ventura, electropolished pipes wholesaler in Ventura, electropolished tube manufacturer Ventura, EP pipe supplier Ventura, sanitary tube supplier Ventura, ASME BPE tubing Ventura, ASTM A270 tube Ventura, SS 316L electropolished pipe Ventura</v>
      </c>
      <c r="AI1797" s="15" t="str">
        <f t="shared" si="19"/>
        <v>Electropolished Pipes Manufacturer &amp; Supplier in Ventura</v>
      </c>
      <c r="AJ1797" s="15" t="str">
        <f t="shared" si="20"/>
        <v>EP-finished SS 304/316L pipes and tubes for VERIFY plants in Ventura. ASME BPE SF1-SF4, Ra from 0.25 um, EN 10204 3.1 certificate with every lot.</v>
      </c>
      <c r="AK1797" s="15" t="str">
        <f t="shared" si="21"/>
        <v>Electropolished stainless steel pipes supplied by Sakshi Forge to VERIFY plants at VERIFY, Ventura</v>
      </c>
      <c r="AL1797" s="15" t="str">
        <f t="shared" si="22"/>
        <v>Electropolished SS 316L tube stock for Ventura - Sakshi Forge</v>
      </c>
      <c r="AM1797" s="15" t="str">
        <f t="shared" si="23"/>
        <v>Home &gt; Market Area &gt; USA &gt; VERIFY &gt; Ventura</v>
      </c>
      <c r="AN1797" s="15">
        <f t="shared" si="24"/>
        <v>750</v>
      </c>
      <c r="AO1797" s="15">
        <f t="shared" si="25"/>
        <v>6</v>
      </c>
      <c r="AP1797" s="15">
        <f t="shared" si="26"/>
        <v>6</v>
      </c>
      <c r="AQ1797" s="15">
        <f t="shared" si="27"/>
        <v>30</v>
      </c>
      <c r="AR1797" s="31"/>
      <c r="AS1797" s="31"/>
      <c r="AT1797" s="35" t="s">
        <v>222</v>
      </c>
      <c r="AU1797" s="35"/>
    </row>
    <row r="1798" ht="15.75" customHeight="1">
      <c r="A1798" s="15" t="s">
        <v>7961</v>
      </c>
      <c r="B1798" s="15" t="s">
        <v>221</v>
      </c>
      <c r="C1798" s="15" t="s">
        <v>98</v>
      </c>
      <c r="D1798" s="15" t="s">
        <v>7962</v>
      </c>
      <c r="E1798" s="15" t="s">
        <v>7962</v>
      </c>
      <c r="F1798" s="58" t="s">
        <v>807</v>
      </c>
      <c r="G1798" s="66" t="s">
        <v>98</v>
      </c>
      <c r="H1798" s="18" t="s">
        <v>98</v>
      </c>
      <c r="I1798" s="18" t="s">
        <v>98</v>
      </c>
      <c r="J1798" s="18" t="s">
        <v>98</v>
      </c>
      <c r="K1798" s="18" t="s">
        <v>98</v>
      </c>
      <c r="L1798" s="18" t="s">
        <v>98</v>
      </c>
      <c r="M1798" s="18" t="s">
        <v>530</v>
      </c>
      <c r="N1798" s="18" t="s">
        <v>233</v>
      </c>
      <c r="O1798" s="18" t="s">
        <v>98</v>
      </c>
      <c r="P1798" s="15" t="str">
        <f t="shared" si="1"/>
        <v>VERIFY</v>
      </c>
      <c r="Q1798" s="15">
        <f t="shared" si="2"/>
        <v>3</v>
      </c>
      <c r="R1798" s="15">
        <f t="shared" si="3"/>
        <v>3</v>
      </c>
      <c r="S1798" s="15">
        <f t="shared" si="4"/>
        <v>5</v>
      </c>
      <c r="T1798" s="15" t="str">
        <f t="shared" si="5"/>
        <v>C-1</v>
      </c>
      <c r="U1798" s="15" t="str">
        <f t="shared" si="6"/>
        <v>T3-M3-H5-FC-1-VERIFY</v>
      </c>
      <c r="V1798" s="15">
        <f t="shared" si="7"/>
        <v>1</v>
      </c>
      <c r="W1798" s="31"/>
      <c r="X1798" s="15" t="str">
        <f t="shared" si="8"/>
        <v>wichita-usa</v>
      </c>
      <c r="Y1798" s="32" t="str">
        <f t="shared" si="9"/>
        <v>https://steelmanufacturer.in/market-area/electropolished-pipes-manufacturer-in-wichita-usa/</v>
      </c>
      <c r="Z1798" s="15" t="str">
        <f t="shared" si="10"/>
        <v>Electropolished Pipes Manufacturer in Wichita | EP Tube Supplier</v>
      </c>
      <c r="AA1798" s="15" t="str">
        <f t="shared" si="11"/>
        <v>OK (64)</v>
      </c>
      <c r="AB1798" s="15" t="str">
        <f t="shared" si="12"/>
        <v>EP stainless tube for VERIFY lines in Wichita. 28-35 days sea from Nhava Sheva to US East Coast. ASTM A270 S2, PMI tested, EN 10204 3.1.</v>
      </c>
      <c r="AC1798" s="15" t="str">
        <f t="shared" si="13"/>
        <v>PENDING RESEARCH</v>
      </c>
      <c r="AD1798" s="15" t="str">
        <f t="shared" si="14"/>
        <v>Electropolished Pipes Manufacturer in Wichita</v>
      </c>
      <c r="AE1798" s="15" t="str">
        <f t="shared" si="15"/>
        <v>Electropolished Tube Manufacturing Capability Serving Wichita</v>
      </c>
      <c r="AF1798" s="15" t="str">
        <f t="shared" si="16"/>
        <v>Electropolished Pipes Supplier in Wichita - From Order to Delivery</v>
      </c>
      <c r="AG1798" s="15" t="str">
        <f t="shared" si="17"/>
        <v>Stockist &amp; Wholesale Supply of Electropolished Pipes in Wichita</v>
      </c>
      <c r="AH1798" s="15" t="str">
        <f t="shared" si="18"/>
        <v>electropolished pipes manufacturer in Wichita, electropolished pipes supplier in Wichita, electropolished pipes wholesaler in Wichita, electropolished tube manufacturer Wichita, EP pipe supplier Wichita, sanitary tube supplier Wichita, ASME BPE tubing Wichita, ASTM A270 tube Wichita, SS 316L electropolished pipe Wichita</v>
      </c>
      <c r="AI1798" s="15" t="str">
        <f t="shared" si="19"/>
        <v>Electropolished Pipes Manufacturer &amp; Supplier in Wichita</v>
      </c>
      <c r="AJ1798" s="15" t="str">
        <f t="shared" si="20"/>
        <v>EP-finished SS 304/316L pipes and tubes for VERIFY plants in Wichita. ASME BPE SF1-SF4, Ra from 0.25 um, EN 10204 3.1 certificate with every lot.</v>
      </c>
      <c r="AK1798" s="15" t="str">
        <f t="shared" si="21"/>
        <v>Electropolished stainless steel pipes supplied by Sakshi Forge to VERIFY plants at VERIFY, Wichita</v>
      </c>
      <c r="AL1798" s="15" t="str">
        <f t="shared" si="22"/>
        <v>Electropolished SS 316L tube stock for Wichita - Sakshi Forge</v>
      </c>
      <c r="AM1798" s="15" t="str">
        <f t="shared" si="23"/>
        <v>Home &gt; Market Area &gt; USA &gt; VERIFY &gt; Wichita</v>
      </c>
      <c r="AN1798" s="15">
        <f t="shared" si="24"/>
        <v>750</v>
      </c>
      <c r="AO1798" s="15">
        <f t="shared" si="25"/>
        <v>6</v>
      </c>
      <c r="AP1798" s="15">
        <f t="shared" si="26"/>
        <v>6</v>
      </c>
      <c r="AQ1798" s="15">
        <f t="shared" si="27"/>
        <v>30</v>
      </c>
      <c r="AR1798" s="31"/>
      <c r="AS1798" s="31"/>
      <c r="AT1798" s="35" t="s">
        <v>222</v>
      </c>
      <c r="AU1798" s="35"/>
    </row>
    <row r="1799" ht="15.75" customHeight="1">
      <c r="A1799" s="15" t="s">
        <v>7963</v>
      </c>
      <c r="B1799" s="15" t="s">
        <v>221</v>
      </c>
      <c r="C1799" s="15" t="s">
        <v>98</v>
      </c>
      <c r="D1799" s="15" t="s">
        <v>7964</v>
      </c>
      <c r="E1799" s="15" t="s">
        <v>7964</v>
      </c>
      <c r="F1799" s="58" t="s">
        <v>807</v>
      </c>
      <c r="G1799" s="66" t="s">
        <v>98</v>
      </c>
      <c r="H1799" s="18" t="s">
        <v>98</v>
      </c>
      <c r="I1799" s="18" t="s">
        <v>98</v>
      </c>
      <c r="J1799" s="18" t="s">
        <v>98</v>
      </c>
      <c r="K1799" s="18" t="s">
        <v>98</v>
      </c>
      <c r="L1799" s="18" t="s">
        <v>98</v>
      </c>
      <c r="M1799" s="18" t="s">
        <v>530</v>
      </c>
      <c r="N1799" s="18" t="s">
        <v>233</v>
      </c>
      <c r="O1799" s="18" t="s">
        <v>98</v>
      </c>
      <c r="P1799" s="15" t="str">
        <f t="shared" si="1"/>
        <v>VERIFY</v>
      </c>
      <c r="Q1799" s="15">
        <f t="shared" si="2"/>
        <v>4</v>
      </c>
      <c r="R1799" s="15">
        <f t="shared" si="3"/>
        <v>4</v>
      </c>
      <c r="S1799" s="15">
        <f t="shared" si="4"/>
        <v>1</v>
      </c>
      <c r="T1799" s="15" t="str">
        <f t="shared" si="5"/>
        <v>C-2</v>
      </c>
      <c r="U1799" s="15" t="str">
        <f t="shared" si="6"/>
        <v>T4-M4-H1-FC-2-VERIFY</v>
      </c>
      <c r="V1799" s="15">
        <f t="shared" si="7"/>
        <v>1</v>
      </c>
      <c r="W1799" s="31"/>
      <c r="X1799" s="15" t="str">
        <f t="shared" si="8"/>
        <v>wilmington-de-usa</v>
      </c>
      <c r="Y1799" s="32" t="str">
        <f t="shared" si="9"/>
        <v>https://steelmanufacturer.in/market-area/electropolished-pipes-manufacturer-in-wilmington-de-usa/</v>
      </c>
      <c r="Z1799" s="15" t="str">
        <f t="shared" si="10"/>
        <v>Electropolished Pipes Manufacturer in Wilmington-DE</v>
      </c>
      <c r="AA1799" s="15" t="str">
        <f t="shared" si="11"/>
        <v>OK (51)</v>
      </c>
      <c r="AB1799" s="15" t="str">
        <f t="shared" si="12"/>
        <v>Sanitary electropolished pipes in Wilmington-DE for VERIFY plants. ASME BPE SF1-SF4, orbital-weld ready, 3.1 MTC. Mumbai-made.</v>
      </c>
      <c r="AC1799" s="15" t="str">
        <f t="shared" si="13"/>
        <v>PENDING RESEARCH</v>
      </c>
      <c r="AD1799" s="15" t="str">
        <f t="shared" si="14"/>
        <v>Electropolished Pipes Manufacturer in Wilmington-DE</v>
      </c>
      <c r="AE1799" s="15" t="str">
        <f t="shared" si="15"/>
        <v>Electropolished Pipe &amp; Tube Manufacturing for Wilmington-DE - Grades, Finishes &amp; Certification</v>
      </c>
      <c r="AF1799" s="15" t="str">
        <f t="shared" si="16"/>
        <v>Electropolished Pipes Supplier in Wilmington-DE - Stock Sizes, Lead Time &amp; Delivery</v>
      </c>
      <c r="AG1799" s="15" t="str">
        <f t="shared" si="17"/>
        <v>Electropolished Pipes Wholesaler &amp; Stockist in Wilmington-DE - Bulk &amp; Project Pricing</v>
      </c>
      <c r="AH1799" s="15" t="str">
        <f t="shared" si="18"/>
        <v>electropolished pipes manufacturer in Wilmington-DE, electropolished pipes supplier in Wilmington-DE, electropolished pipes wholesaler in Wilmington-DE, electropolished tube manufacturer Wilmington-DE, EP pipe supplier Wilmington-DE, sanitary tube supplier Wilmington-DE, ASME BPE tubing Wilmington-DE, ASTM A270 tube Wilmington-DE, SS 316L electropolished pipe Wilmington-DE</v>
      </c>
      <c r="AI1799" s="15" t="str">
        <f t="shared" si="19"/>
        <v>Electropolished Pipes Manufacturer &amp; Supplier in Wilmington-DE</v>
      </c>
      <c r="AJ1799" s="15" t="str">
        <f t="shared" si="20"/>
        <v>EP-finished SS 304/316L pipes and tubes for VERIFY plants in Wilmington-DE. ASME BPE SF1-SF4, Ra from 0.25 um, EN 10204 3.1 certificate with every lot.</v>
      </c>
      <c r="AK1799" s="15" t="str">
        <f t="shared" si="21"/>
        <v>Electropolished stainless steel pipes supplied by Sakshi Forge to VERIFY plants at VERIFY, Wilmington-DE</v>
      </c>
      <c r="AL1799" s="15" t="str">
        <f t="shared" si="22"/>
        <v>Electropolished SS 316L tube stock for Wilmington-DE - Sakshi Forge</v>
      </c>
      <c r="AM1799" s="15" t="str">
        <f t="shared" si="23"/>
        <v>Home &gt; Market Area &gt; USA &gt; VERIFY &gt; Wilmington-DE</v>
      </c>
      <c r="AN1799" s="15">
        <f t="shared" si="24"/>
        <v>750</v>
      </c>
      <c r="AO1799" s="15">
        <f t="shared" si="25"/>
        <v>6</v>
      </c>
      <c r="AP1799" s="15">
        <f t="shared" si="26"/>
        <v>6</v>
      </c>
      <c r="AQ1799" s="15">
        <f t="shared" si="27"/>
        <v>30</v>
      </c>
      <c r="AR1799" s="31"/>
      <c r="AS1799" s="31"/>
      <c r="AT1799" s="35" t="s">
        <v>222</v>
      </c>
      <c r="AU1799" s="35"/>
    </row>
    <row r="1800" ht="15.75" customHeight="1">
      <c r="A1800" s="15" t="s">
        <v>7965</v>
      </c>
      <c r="B1800" s="15" t="s">
        <v>454</v>
      </c>
      <c r="C1800" s="15" t="s">
        <v>98</v>
      </c>
      <c r="D1800" s="15" t="s">
        <v>7967</v>
      </c>
      <c r="E1800" s="15" t="s">
        <v>7967</v>
      </c>
      <c r="F1800" s="58" t="s">
        <v>807</v>
      </c>
      <c r="G1800" s="66" t="s">
        <v>98</v>
      </c>
      <c r="H1800" s="18" t="s">
        <v>98</v>
      </c>
      <c r="I1800" s="18" t="s">
        <v>98</v>
      </c>
      <c r="J1800" s="18" t="s">
        <v>98</v>
      </c>
      <c r="K1800" s="18" t="s">
        <v>98</v>
      </c>
      <c r="L1800" s="18" t="s">
        <v>98</v>
      </c>
      <c r="M1800" s="18" t="s">
        <v>660</v>
      </c>
      <c r="N1800" s="18" t="s">
        <v>461</v>
      </c>
      <c r="O1800" s="18" t="s">
        <v>98</v>
      </c>
      <c r="P1800" s="15" t="str">
        <f t="shared" si="1"/>
        <v>VERIFY</v>
      </c>
      <c r="Q1800" s="15">
        <f t="shared" si="2"/>
        <v>5</v>
      </c>
      <c r="R1800" s="15">
        <f t="shared" si="3"/>
        <v>5</v>
      </c>
      <c r="S1800" s="15">
        <f t="shared" si="4"/>
        <v>2</v>
      </c>
      <c r="T1800" s="15" t="str">
        <f t="shared" si="5"/>
        <v>C-3</v>
      </c>
      <c r="U1800" s="15" t="str">
        <f t="shared" si="6"/>
        <v>T5-M5-H2-FC-3-VERIFY</v>
      </c>
      <c r="V1800" s="15">
        <f t="shared" si="7"/>
        <v>1</v>
      </c>
      <c r="W1800" s="31"/>
      <c r="X1800" s="15" t="str">
        <f t="shared" si="8"/>
        <v>an-giang-vietnam</v>
      </c>
      <c r="Y1800" s="32" t="str">
        <f t="shared" si="9"/>
        <v>https://steelmanufacturer.in/market-area/electropolished-pipes-manufacturer-in-an-giang-vietnam/</v>
      </c>
      <c r="Z1800" s="15" t="str">
        <f t="shared" si="10"/>
        <v>Electropolished Pipes Manufacturer in An Giang</v>
      </c>
      <c r="AA1800" s="15" t="str">
        <f t="shared" si="11"/>
        <v>OK (46)</v>
      </c>
      <c r="AB1800" s="15" t="str">
        <f t="shared" si="12"/>
        <v>Manufacturer of electropolished SS 316L tube serving An Giang. 12-16 days sea from Nhava Sheva to Hai Phong. Ra 0.25-0.5 um, EN 10204 3.1 MTC.</v>
      </c>
      <c r="AC1800" s="15" t="str">
        <f t="shared" si="13"/>
        <v>PENDING RESEARCH</v>
      </c>
      <c r="AD1800" s="15" t="str">
        <f t="shared" si="14"/>
        <v>Electropolished Pipes Manufacturer in An Giang</v>
      </c>
      <c r="AE1800" s="15" t="str">
        <f t="shared" si="15"/>
        <v>How We Manufacture Electropolished Tube for An Giang Plants</v>
      </c>
      <c r="AF1800" s="15" t="str">
        <f t="shared" si="16"/>
        <v>Supplying Electropolished Pipes in An Giang: Availability, Sizes &amp; Dispatch</v>
      </c>
      <c r="AG1800" s="15" t="str">
        <f t="shared" si="17"/>
        <v>Wholesale Electropolished Pipe Supply for An Giang Projects</v>
      </c>
      <c r="AH1800" s="15" t="str">
        <f t="shared" si="18"/>
        <v>electropolished pipes manufacturer in An Giang, electropolished pipes supplier in An Giang, electropolished pipes wholesaler in An Giang, electropolished tube manufacturer An Giang, EP pipe supplier An Giang, sanitary tube supplier An Giang, ASME BPE tubing An Giang, ASTM A270 tube An Giang, SS 316L electropolished pipe An Giang</v>
      </c>
      <c r="AI1800" s="15" t="str">
        <f t="shared" si="19"/>
        <v>Electropolished Pipes Manufacturer &amp; Supplier in An Giang</v>
      </c>
      <c r="AJ1800" s="15" t="str">
        <f t="shared" si="20"/>
        <v>EP-finished SS 304/316L pipes and tubes for VERIFY plants in An Giang. ASME BPE SF1-SF4, Ra from 0.25 um, EN 10204 3.1 certificate with every lot.</v>
      </c>
      <c r="AK1800" s="15" t="str">
        <f t="shared" si="21"/>
        <v>Electropolished stainless steel pipes supplied by Sakshi Forge to VERIFY plants at VERIFY, An Giang</v>
      </c>
      <c r="AL1800" s="15" t="str">
        <f t="shared" si="22"/>
        <v>Electropolished SS 316L tube stock for An Giang - Sakshi Forge</v>
      </c>
      <c r="AM1800" s="15" t="str">
        <f t="shared" si="23"/>
        <v>Home &gt; Market Area &gt; Vietnam &gt; VERIFY &gt; An Giang</v>
      </c>
      <c r="AN1800" s="15">
        <f t="shared" si="24"/>
        <v>750</v>
      </c>
      <c r="AO1800" s="15">
        <f t="shared" si="25"/>
        <v>6</v>
      </c>
      <c r="AP1800" s="15">
        <f t="shared" si="26"/>
        <v>6</v>
      </c>
      <c r="AQ1800" s="15">
        <f t="shared" si="27"/>
        <v>30</v>
      </c>
      <c r="AR1800" s="31"/>
      <c r="AS1800" s="31"/>
      <c r="AT1800" s="35" t="s">
        <v>222</v>
      </c>
      <c r="AU1800" s="35"/>
    </row>
    <row r="1801" ht="15.75" customHeight="1">
      <c r="A1801" s="15" t="s">
        <v>7974</v>
      </c>
      <c r="B1801" s="15" t="s">
        <v>454</v>
      </c>
      <c r="C1801" s="15" t="s">
        <v>98</v>
      </c>
      <c r="D1801" s="15" t="s">
        <v>7975</v>
      </c>
      <c r="E1801" s="15" t="s">
        <v>7975</v>
      </c>
      <c r="F1801" s="58" t="s">
        <v>807</v>
      </c>
      <c r="G1801" s="66" t="s">
        <v>98</v>
      </c>
      <c r="H1801" s="18" t="s">
        <v>98</v>
      </c>
      <c r="I1801" s="18" t="s">
        <v>98</v>
      </c>
      <c r="J1801" s="18" t="s">
        <v>98</v>
      </c>
      <c r="K1801" s="18" t="s">
        <v>98</v>
      </c>
      <c r="L1801" s="18" t="s">
        <v>98</v>
      </c>
      <c r="M1801" s="18" t="s">
        <v>660</v>
      </c>
      <c r="N1801" s="18" t="s">
        <v>461</v>
      </c>
      <c r="O1801" s="18" t="s">
        <v>98</v>
      </c>
      <c r="P1801" s="15" t="str">
        <f t="shared" si="1"/>
        <v>VERIFY</v>
      </c>
      <c r="Q1801" s="15">
        <f t="shared" si="2"/>
        <v>6</v>
      </c>
      <c r="R1801" s="15">
        <f t="shared" si="3"/>
        <v>6</v>
      </c>
      <c r="S1801" s="15">
        <f t="shared" si="4"/>
        <v>3</v>
      </c>
      <c r="T1801" s="15" t="str">
        <f t="shared" si="5"/>
        <v>C-4</v>
      </c>
      <c r="U1801" s="15" t="str">
        <f t="shared" si="6"/>
        <v>T6-M6-H3-FC-4-VERIFY</v>
      </c>
      <c r="V1801" s="15">
        <f t="shared" si="7"/>
        <v>1</v>
      </c>
      <c r="W1801" s="31"/>
      <c r="X1801" s="15" t="str">
        <f t="shared" si="8"/>
        <v>bac-lieu-vietnam</v>
      </c>
      <c r="Y1801" s="32" t="str">
        <f t="shared" si="9"/>
        <v>https://steelmanufacturer.in/market-area/electropolished-pipes-manufacturer-in-bac-lieu-vietnam/</v>
      </c>
      <c r="Z1801" s="15" t="str">
        <f t="shared" si="10"/>
        <v>Electropolished Pipes Manufacturer in Bac Lieu</v>
      </c>
      <c r="AA1801" s="15" t="str">
        <f t="shared" si="11"/>
        <v>OK (46)</v>
      </c>
      <c r="AB1801" s="15" t="str">
        <f t="shared" si="12"/>
        <v>EP tube and pipe for VERIFY plants around VERIFY, Bac Lieu. Made at our Mumbai works to ASTM A270 and ASME BPE SF1-SF4, with 3.1 MTC.</v>
      </c>
      <c r="AC1801" s="15" t="str">
        <f t="shared" si="13"/>
        <v>PENDING RESEARCH</v>
      </c>
      <c r="AD1801" s="15" t="str">
        <f t="shared" si="14"/>
        <v>Electropolished Pipes Manufacturer in Bac Lieu</v>
      </c>
      <c r="AE1801" s="15" t="str">
        <f t="shared" si="15"/>
        <v>Electropolished Pipes Manufacturer in Bac Lieu - Our Process &amp; Capability</v>
      </c>
      <c r="AF1801" s="15" t="str">
        <f t="shared" si="16"/>
        <v>Electropolished Pipes Supplier in Bac Lieu - What We Hold in Stock</v>
      </c>
      <c r="AG1801" s="15" t="str">
        <f t="shared" si="17"/>
        <v>Bulk &amp; Wholesale Electropolished Pipe Rates for Bac Lieu Buyers</v>
      </c>
      <c r="AH1801" s="15" t="str">
        <f t="shared" si="18"/>
        <v>electropolished pipes manufacturer in Bac Lieu, electropolished pipes supplier in Bac Lieu, electropolished pipes wholesaler in Bac Lieu, electropolished tube manufacturer Bac Lieu, EP pipe supplier Bac Lieu, sanitary tube supplier Bac Lieu, ASME BPE tubing Bac Lieu, ASTM A270 tube Bac Lieu, SS 316L electropolished pipe Bac Lieu</v>
      </c>
      <c r="AI1801" s="15" t="str">
        <f t="shared" si="19"/>
        <v>Electropolished Pipes Manufacturer &amp; Supplier in Bac Lieu</v>
      </c>
      <c r="AJ1801" s="15" t="str">
        <f t="shared" si="20"/>
        <v>EP-finished SS 304/316L pipes and tubes for VERIFY plants in Bac Lieu. ASME BPE SF1-SF4, Ra from 0.25 um, EN 10204 3.1 certificate with every lot.</v>
      </c>
      <c r="AK1801" s="15" t="str">
        <f t="shared" si="21"/>
        <v>Electropolished stainless steel pipes supplied by Sakshi Forge to VERIFY plants at VERIFY, Bac Lieu</v>
      </c>
      <c r="AL1801" s="15" t="str">
        <f t="shared" si="22"/>
        <v>Electropolished SS 316L tube stock for Bac Lieu - Sakshi Forge</v>
      </c>
      <c r="AM1801" s="15" t="str">
        <f t="shared" si="23"/>
        <v>Home &gt; Market Area &gt; Vietnam &gt; VERIFY &gt; Bac Lieu</v>
      </c>
      <c r="AN1801" s="15">
        <f t="shared" si="24"/>
        <v>750</v>
      </c>
      <c r="AO1801" s="15">
        <f t="shared" si="25"/>
        <v>6</v>
      </c>
      <c r="AP1801" s="15">
        <f t="shared" si="26"/>
        <v>6</v>
      </c>
      <c r="AQ1801" s="15">
        <f t="shared" si="27"/>
        <v>30</v>
      </c>
      <c r="AR1801" s="31"/>
      <c r="AS1801" s="31"/>
      <c r="AT1801" s="35" t="s">
        <v>222</v>
      </c>
      <c r="AU1801" s="35"/>
    </row>
    <row r="1802" ht="15.75" customHeight="1">
      <c r="A1802" s="15" t="s">
        <v>7976</v>
      </c>
      <c r="B1802" s="15" t="s">
        <v>454</v>
      </c>
      <c r="C1802" s="15" t="s">
        <v>98</v>
      </c>
      <c r="D1802" s="15" t="s">
        <v>7977</v>
      </c>
      <c r="E1802" s="15" t="s">
        <v>7977</v>
      </c>
      <c r="F1802" s="58" t="s">
        <v>807</v>
      </c>
      <c r="G1802" s="66" t="s">
        <v>98</v>
      </c>
      <c r="H1802" s="18" t="s">
        <v>98</v>
      </c>
      <c r="I1802" s="18" t="s">
        <v>98</v>
      </c>
      <c r="J1802" s="18" t="s">
        <v>98</v>
      </c>
      <c r="K1802" s="18" t="s">
        <v>98</v>
      </c>
      <c r="L1802" s="18" t="s">
        <v>98</v>
      </c>
      <c r="M1802" s="18" t="s">
        <v>660</v>
      </c>
      <c r="N1802" s="18" t="s">
        <v>461</v>
      </c>
      <c r="O1802" s="18" t="s">
        <v>98</v>
      </c>
      <c r="P1802" s="15" t="str">
        <f t="shared" si="1"/>
        <v>VERIFY</v>
      </c>
      <c r="Q1802" s="15">
        <f t="shared" si="2"/>
        <v>7</v>
      </c>
      <c r="R1802" s="15">
        <f t="shared" si="3"/>
        <v>7</v>
      </c>
      <c r="S1802" s="15">
        <f t="shared" si="4"/>
        <v>4</v>
      </c>
      <c r="T1802" s="15" t="str">
        <f t="shared" si="5"/>
        <v>C-5</v>
      </c>
      <c r="U1802" s="15" t="str">
        <f t="shared" si="6"/>
        <v>T7-M7-H4-FC-5-VERIFY</v>
      </c>
      <c r="V1802" s="15">
        <f t="shared" si="7"/>
        <v>1</v>
      </c>
      <c r="W1802" s="31"/>
      <c r="X1802" s="15" t="str">
        <f t="shared" si="8"/>
        <v>ben-tre-vietnam</v>
      </c>
      <c r="Y1802" s="32" t="str">
        <f t="shared" si="9"/>
        <v>https://steelmanufacturer.in/market-area/electropolished-pipes-manufacturer-in-ben-tre-vietnam/</v>
      </c>
      <c r="Z1802" s="15" t="str">
        <f t="shared" si="10"/>
        <v>Electropolished Pipes Manufacturer in Ben Tre | ASME BPE SF1-SF4</v>
      </c>
      <c r="AA1802" s="15" t="str">
        <f t="shared" si="11"/>
        <v>OK (64)</v>
      </c>
      <c r="AB1802" s="15" t="str">
        <f t="shared" si="12"/>
        <v>Electropolished pipes in Ben Tre: 304, 304L, 316 and 316L in SF1-SF4. 12-16 days sea from Nhava Sheva to Hai Phong. Mill certified.</v>
      </c>
      <c r="AC1802" s="15" t="str">
        <f t="shared" si="13"/>
        <v>PENDING RESEARCH</v>
      </c>
      <c r="AD1802" s="15" t="str">
        <f t="shared" si="14"/>
        <v>Electropolished Pipes Manufacturer in Ben Tre</v>
      </c>
      <c r="AE1802" s="15" t="str">
        <f t="shared" si="15"/>
        <v>Manufacturing Electropolished SS Tube for Ben Tre: The Standards We Build To</v>
      </c>
      <c r="AF1802" s="15" t="str">
        <f t="shared" si="16"/>
        <v>Electropolished Pipe Supply Into Ben Tre - Certification &amp; Transit</v>
      </c>
      <c r="AG1802" s="15" t="str">
        <f t="shared" si="17"/>
        <v>Electropolished Pipes Wholesaler in Ben Tre - Project Quantities &amp; Terms</v>
      </c>
      <c r="AH1802" s="15" t="str">
        <f t="shared" si="18"/>
        <v>electropolished pipes manufacturer in Ben Tre, electropolished pipes supplier in Ben Tre, electropolished pipes wholesaler in Ben Tre, electropolished tube manufacturer Ben Tre, EP pipe supplier Ben Tre, sanitary tube supplier Ben Tre, ASME BPE tubing Ben Tre, ASTM A270 tube Ben Tre, SS 316L electropolished pipe Ben Tre</v>
      </c>
      <c r="AI1802" s="15" t="str">
        <f t="shared" si="19"/>
        <v>Electropolished Pipes Manufacturer &amp; Supplier in Ben Tre</v>
      </c>
      <c r="AJ1802" s="15" t="str">
        <f t="shared" si="20"/>
        <v>EP-finished SS 304/316L pipes and tubes for VERIFY plants in Ben Tre. ASME BPE SF1-SF4, Ra from 0.25 um, EN 10204 3.1 certificate with every lot.</v>
      </c>
      <c r="AK1802" s="15" t="str">
        <f t="shared" si="21"/>
        <v>Electropolished stainless steel pipes supplied by Sakshi Forge to VERIFY plants at VERIFY, Ben Tre</v>
      </c>
      <c r="AL1802" s="15" t="str">
        <f t="shared" si="22"/>
        <v>Electropolished SS 316L tube stock for Ben Tre - Sakshi Forge</v>
      </c>
      <c r="AM1802" s="15" t="str">
        <f t="shared" si="23"/>
        <v>Home &gt; Market Area &gt; Vietnam &gt; VERIFY &gt; Ben Tre</v>
      </c>
      <c r="AN1802" s="15">
        <f t="shared" si="24"/>
        <v>750</v>
      </c>
      <c r="AO1802" s="15">
        <f t="shared" si="25"/>
        <v>6</v>
      </c>
      <c r="AP1802" s="15">
        <f t="shared" si="26"/>
        <v>6</v>
      </c>
      <c r="AQ1802" s="15">
        <f t="shared" si="27"/>
        <v>30</v>
      </c>
      <c r="AR1802" s="31"/>
      <c r="AS1802" s="31"/>
      <c r="AT1802" s="35" t="s">
        <v>222</v>
      </c>
      <c r="AU1802" s="35"/>
    </row>
    <row r="1803" ht="15.75" customHeight="1">
      <c r="A1803" s="15" t="s">
        <v>7978</v>
      </c>
      <c r="B1803" s="15" t="s">
        <v>454</v>
      </c>
      <c r="C1803" s="15" t="s">
        <v>98</v>
      </c>
      <c r="D1803" s="15" t="s">
        <v>7979</v>
      </c>
      <c r="E1803" s="15" t="s">
        <v>7979</v>
      </c>
      <c r="F1803" s="58" t="s">
        <v>807</v>
      </c>
      <c r="G1803" s="66" t="s">
        <v>98</v>
      </c>
      <c r="H1803" s="18" t="s">
        <v>98</v>
      </c>
      <c r="I1803" s="18" t="s">
        <v>98</v>
      </c>
      <c r="J1803" s="18" t="s">
        <v>98</v>
      </c>
      <c r="K1803" s="18" t="s">
        <v>98</v>
      </c>
      <c r="L1803" s="18" t="s">
        <v>98</v>
      </c>
      <c r="M1803" s="18" t="s">
        <v>660</v>
      </c>
      <c r="N1803" s="18" t="s">
        <v>461</v>
      </c>
      <c r="O1803" s="18" t="s">
        <v>98</v>
      </c>
      <c r="P1803" s="15" t="str">
        <f t="shared" si="1"/>
        <v>VERIFY</v>
      </c>
      <c r="Q1803" s="15">
        <f t="shared" si="2"/>
        <v>8</v>
      </c>
      <c r="R1803" s="15">
        <f t="shared" si="3"/>
        <v>1</v>
      </c>
      <c r="S1803" s="15">
        <f t="shared" si="4"/>
        <v>5</v>
      </c>
      <c r="T1803" s="15" t="str">
        <f t="shared" si="5"/>
        <v>C-6</v>
      </c>
      <c r="U1803" s="15" t="str">
        <f t="shared" si="6"/>
        <v>T8-M1-H5-FC-6-VERIFY</v>
      </c>
      <c r="V1803" s="15">
        <f t="shared" si="7"/>
        <v>1</v>
      </c>
      <c r="W1803" s="31"/>
      <c r="X1803" s="15" t="str">
        <f t="shared" si="8"/>
        <v>binh-dinh-vietnam</v>
      </c>
      <c r="Y1803" s="32" t="str">
        <f t="shared" si="9"/>
        <v>https://steelmanufacturer.in/market-area/electropolished-pipes-manufacturer-in-binh-dinh-vietnam/</v>
      </c>
      <c r="Z1803" s="15" t="str">
        <f t="shared" si="10"/>
        <v>Electropolished Pipes Manufacturer in Binh Dinh</v>
      </c>
      <c r="AA1803" s="15" t="str">
        <f t="shared" si="11"/>
        <v>OK (47)</v>
      </c>
      <c r="AB1803" s="15" t="str">
        <f t="shared" si="12"/>
        <v>EP-finished SS 304/316L pipes &amp; tubes for VERIFY plants in Binh Dinh. ASTM A270, ASME BPE SF1-SF4, EN 10204 3.1 MTC. PMI tested.</v>
      </c>
      <c r="AC1803" s="15" t="str">
        <f t="shared" si="13"/>
        <v>PENDING RESEARCH</v>
      </c>
      <c r="AD1803" s="15" t="str">
        <f t="shared" si="14"/>
        <v>Electropolished Pipes Manufacturer in Binh Dinh</v>
      </c>
      <c r="AE1803" s="15" t="str">
        <f t="shared" si="15"/>
        <v>Electropolished Tube Manufacturing Capability Serving Binh Dinh</v>
      </c>
      <c r="AF1803" s="15" t="str">
        <f t="shared" si="16"/>
        <v>Electropolished Pipes Supplier in Binh Dinh - From Order to Delivery</v>
      </c>
      <c r="AG1803" s="15" t="str">
        <f t="shared" si="17"/>
        <v>Stockist &amp; Wholesale Supply of Electropolished Pipes in Binh Dinh</v>
      </c>
      <c r="AH1803" s="15" t="str">
        <f t="shared" si="18"/>
        <v>electropolished pipes manufacturer in Binh Dinh, electropolished pipes supplier in Binh Dinh, electropolished pipes wholesaler in Binh Dinh, electropolished tube manufacturer Binh Dinh, EP pipe supplier Binh Dinh, sanitary tube supplier Binh Dinh, ASME BPE tubing Binh Dinh, ASTM A270 tube Binh Dinh, SS 316L electropolished pipe Binh Dinh</v>
      </c>
      <c r="AI1803" s="15" t="str">
        <f t="shared" si="19"/>
        <v>Electropolished Pipes Manufacturer &amp; Supplier in Binh Dinh</v>
      </c>
      <c r="AJ1803" s="15" t="str">
        <f t="shared" si="20"/>
        <v>EP-finished SS 304/316L pipes and tubes for VERIFY plants in Binh Dinh. ASME BPE SF1-SF4, Ra from 0.25 um, EN 10204 3.1 certificate with every lot.</v>
      </c>
      <c r="AK1803" s="15" t="str">
        <f t="shared" si="21"/>
        <v>Electropolished stainless steel pipes supplied by Sakshi Forge to VERIFY plants at VERIFY, Binh Dinh</v>
      </c>
      <c r="AL1803" s="15" t="str">
        <f t="shared" si="22"/>
        <v>Electropolished SS 316L tube stock for Binh Dinh - Sakshi Forge</v>
      </c>
      <c r="AM1803" s="15" t="str">
        <f t="shared" si="23"/>
        <v>Home &gt; Market Area &gt; Vietnam &gt; VERIFY &gt; Binh Dinh</v>
      </c>
      <c r="AN1803" s="15">
        <f t="shared" si="24"/>
        <v>750</v>
      </c>
      <c r="AO1803" s="15">
        <f t="shared" si="25"/>
        <v>6</v>
      </c>
      <c r="AP1803" s="15">
        <f t="shared" si="26"/>
        <v>6</v>
      </c>
      <c r="AQ1803" s="15">
        <f t="shared" si="27"/>
        <v>30</v>
      </c>
      <c r="AR1803" s="31"/>
      <c r="AS1803" s="31"/>
      <c r="AT1803" s="35" t="s">
        <v>222</v>
      </c>
      <c r="AU1803" s="35"/>
    </row>
    <row r="1804" ht="15.75" customHeight="1">
      <c r="A1804" s="15" t="s">
        <v>7980</v>
      </c>
      <c r="B1804" s="15" t="s">
        <v>454</v>
      </c>
      <c r="C1804" s="15" t="s">
        <v>98</v>
      </c>
      <c r="D1804" s="15" t="s">
        <v>7981</v>
      </c>
      <c r="E1804" s="15" t="s">
        <v>7981</v>
      </c>
      <c r="F1804" s="58" t="s">
        <v>807</v>
      </c>
      <c r="G1804" s="66" t="s">
        <v>98</v>
      </c>
      <c r="H1804" s="18" t="s">
        <v>98</v>
      </c>
      <c r="I1804" s="18" t="s">
        <v>98</v>
      </c>
      <c r="J1804" s="18" t="s">
        <v>98</v>
      </c>
      <c r="K1804" s="18" t="s">
        <v>98</v>
      </c>
      <c r="L1804" s="18" t="s">
        <v>98</v>
      </c>
      <c r="M1804" s="18" t="s">
        <v>660</v>
      </c>
      <c r="N1804" s="18" t="s">
        <v>461</v>
      </c>
      <c r="O1804" s="18" t="s">
        <v>98</v>
      </c>
      <c r="P1804" s="15" t="str">
        <f t="shared" si="1"/>
        <v>VERIFY</v>
      </c>
      <c r="Q1804" s="15">
        <f t="shared" si="2"/>
        <v>1</v>
      </c>
      <c r="R1804" s="15">
        <f t="shared" si="3"/>
        <v>2</v>
      </c>
      <c r="S1804" s="15">
        <f t="shared" si="4"/>
        <v>1</v>
      </c>
      <c r="T1804" s="15" t="str">
        <f t="shared" si="5"/>
        <v>C-1</v>
      </c>
      <c r="U1804" s="15" t="str">
        <f t="shared" si="6"/>
        <v>T1-M2-H1-FC-1-VERIFY</v>
      </c>
      <c r="V1804" s="15">
        <f t="shared" si="7"/>
        <v>1</v>
      </c>
      <c r="W1804" s="31"/>
      <c r="X1804" s="15" t="str">
        <f t="shared" si="8"/>
        <v>binh-thuan-vietnam</v>
      </c>
      <c r="Y1804" s="32" t="str">
        <f t="shared" si="9"/>
        <v>https://steelmanufacturer.in/market-area/electropolished-pipes-manufacturer-in-binh-thuan-vietnam/</v>
      </c>
      <c r="Z1804" s="15" t="str">
        <f t="shared" si="10"/>
        <v>Electropolished Pipes Manufacturer in Binh Thuan | Sakshi Forge</v>
      </c>
      <c r="AA1804" s="15" t="str">
        <f t="shared" si="11"/>
        <v>OK (63)</v>
      </c>
      <c r="AB1804" s="15" t="str">
        <f t="shared" si="12"/>
        <v>Electropolished tube supply to VERIFY, Binh Thuan. Ra from 0.25 um, SF4 finish, mill test certificate with every lot.</v>
      </c>
      <c r="AC1804" s="15" t="str">
        <f t="shared" si="13"/>
        <v>PENDING RESEARCH</v>
      </c>
      <c r="AD1804" s="15" t="str">
        <f t="shared" si="14"/>
        <v>Electropolished Pipes Manufacturer in Binh Thuan</v>
      </c>
      <c r="AE1804" s="15" t="str">
        <f t="shared" si="15"/>
        <v>Electropolished Pipe &amp; Tube Manufacturing for Binh Thuan - Grades, Finishes &amp; Certification</v>
      </c>
      <c r="AF1804" s="15" t="str">
        <f t="shared" si="16"/>
        <v>Electropolished Pipes Supplier in Binh Thuan - Stock Sizes, Lead Time &amp; Delivery</v>
      </c>
      <c r="AG1804" s="15" t="str">
        <f t="shared" si="17"/>
        <v>Electropolished Pipes Wholesaler &amp; Stockist in Binh Thuan - Bulk &amp; Project Pricing</v>
      </c>
      <c r="AH1804" s="15" t="str">
        <f t="shared" si="18"/>
        <v>electropolished pipes manufacturer in Binh Thuan, electropolished pipes supplier in Binh Thuan, electropolished pipes wholesaler in Binh Thuan, electropolished tube manufacturer Binh Thuan, EP pipe supplier Binh Thuan, sanitary tube supplier Binh Thuan, ASME BPE tubing Binh Thuan, ASTM A270 tube Binh Thuan, SS 316L electropolished pipe Binh Thuan</v>
      </c>
      <c r="AI1804" s="15" t="str">
        <f t="shared" si="19"/>
        <v>Electropolished Pipes Manufacturer &amp; Supplier in Binh Thuan</v>
      </c>
      <c r="AJ1804" s="15" t="str">
        <f t="shared" si="20"/>
        <v>EP-finished SS 304/316L pipes and tubes for VERIFY plants in Binh Thuan. ASME BPE SF1-SF4, Ra from 0.25 um, EN 10204 3.1 certificate with every lot.</v>
      </c>
      <c r="AK1804" s="15" t="str">
        <f t="shared" si="21"/>
        <v>Electropolished stainless steel pipes supplied by Sakshi Forge to VERIFY plants at VERIFY, Binh Thuan</v>
      </c>
      <c r="AL1804" s="15" t="str">
        <f t="shared" si="22"/>
        <v>Electropolished SS 316L tube stock for Binh Thuan - Sakshi Forge</v>
      </c>
      <c r="AM1804" s="15" t="str">
        <f t="shared" si="23"/>
        <v>Home &gt; Market Area &gt; Vietnam &gt; VERIFY &gt; Binh Thuan</v>
      </c>
      <c r="AN1804" s="15">
        <f t="shared" si="24"/>
        <v>750</v>
      </c>
      <c r="AO1804" s="15">
        <f t="shared" si="25"/>
        <v>6</v>
      </c>
      <c r="AP1804" s="15">
        <f t="shared" si="26"/>
        <v>6</v>
      </c>
      <c r="AQ1804" s="15">
        <f t="shared" si="27"/>
        <v>31</v>
      </c>
      <c r="AR1804" s="31"/>
      <c r="AS1804" s="31"/>
      <c r="AT1804" s="35" t="s">
        <v>222</v>
      </c>
      <c r="AU1804" s="35"/>
    </row>
    <row r="1805" ht="15.75" customHeight="1">
      <c r="A1805" s="15" t="s">
        <v>7982</v>
      </c>
      <c r="B1805" s="15" t="s">
        <v>454</v>
      </c>
      <c r="C1805" s="15" t="s">
        <v>98</v>
      </c>
      <c r="D1805" s="15" t="s">
        <v>7983</v>
      </c>
      <c r="E1805" s="15" t="s">
        <v>7983</v>
      </c>
      <c r="F1805" s="58" t="s">
        <v>807</v>
      </c>
      <c r="G1805" s="66" t="s">
        <v>98</v>
      </c>
      <c r="H1805" s="18" t="s">
        <v>98</v>
      </c>
      <c r="I1805" s="18" t="s">
        <v>98</v>
      </c>
      <c r="J1805" s="18" t="s">
        <v>98</v>
      </c>
      <c r="K1805" s="18" t="s">
        <v>98</v>
      </c>
      <c r="L1805" s="18" t="s">
        <v>98</v>
      </c>
      <c r="M1805" s="18" t="s">
        <v>660</v>
      </c>
      <c r="N1805" s="18" t="s">
        <v>461</v>
      </c>
      <c r="O1805" s="18" t="s">
        <v>98</v>
      </c>
      <c r="P1805" s="15" t="str">
        <f t="shared" si="1"/>
        <v>VERIFY</v>
      </c>
      <c r="Q1805" s="15">
        <f t="shared" si="2"/>
        <v>2</v>
      </c>
      <c r="R1805" s="15">
        <f t="shared" si="3"/>
        <v>3</v>
      </c>
      <c r="S1805" s="15">
        <f t="shared" si="4"/>
        <v>2</v>
      </c>
      <c r="T1805" s="15" t="str">
        <f t="shared" si="5"/>
        <v>C-2</v>
      </c>
      <c r="U1805" s="15" t="str">
        <f t="shared" si="6"/>
        <v>T2-M3-H2-FC-2-VERIFY</v>
      </c>
      <c r="V1805" s="15">
        <f t="shared" si="7"/>
        <v>1</v>
      </c>
      <c r="W1805" s="31"/>
      <c r="X1805" s="15" t="str">
        <f t="shared" si="8"/>
        <v>ca-mau-vietnam</v>
      </c>
      <c r="Y1805" s="32" t="str">
        <f t="shared" si="9"/>
        <v>https://steelmanufacturer.in/market-area/electropolished-pipes-manufacturer-in-ca-mau-vietnam/</v>
      </c>
      <c r="Z1805" s="15" t="str">
        <f t="shared" si="10"/>
        <v>Electropolished Pipes Manufacturer in Ca Mau</v>
      </c>
      <c r="AA1805" s="15" t="str">
        <f t="shared" si="11"/>
        <v>OK (44)</v>
      </c>
      <c r="AB1805" s="15" t="str">
        <f t="shared" si="12"/>
        <v>EP stainless tube for VERIFY lines in Ca Mau. 12-16 days sea from Nhava Sheva to Hai Phong. ASTM A270 S2, PMI tested, EN 10204 3.1.</v>
      </c>
      <c r="AC1805" s="15" t="str">
        <f t="shared" si="13"/>
        <v>PENDING RESEARCH</v>
      </c>
      <c r="AD1805" s="15" t="str">
        <f t="shared" si="14"/>
        <v>Electropolished Pipes Manufacturer in Ca Mau</v>
      </c>
      <c r="AE1805" s="15" t="str">
        <f t="shared" si="15"/>
        <v>How We Manufacture Electropolished Tube for Ca Mau Plants</v>
      </c>
      <c r="AF1805" s="15" t="str">
        <f t="shared" si="16"/>
        <v>Supplying Electropolished Pipes in Ca Mau: Availability, Sizes &amp; Dispatch</v>
      </c>
      <c r="AG1805" s="15" t="str">
        <f t="shared" si="17"/>
        <v>Wholesale Electropolished Pipe Supply for Ca Mau Projects</v>
      </c>
      <c r="AH1805" s="15" t="str">
        <f t="shared" si="18"/>
        <v>electropolished pipes manufacturer in Ca Mau, electropolished pipes supplier in Ca Mau, electropolished pipes wholesaler in Ca Mau, electropolished tube manufacturer Ca Mau, EP pipe supplier Ca Mau, sanitary tube supplier Ca Mau, ASME BPE tubing Ca Mau, ASTM A270 tube Ca Mau, SS 316L electropolished pipe Ca Mau</v>
      </c>
      <c r="AI1805" s="15" t="str">
        <f t="shared" si="19"/>
        <v>Electropolished Pipes Manufacturer &amp; Supplier in Ca Mau</v>
      </c>
      <c r="AJ1805" s="15" t="str">
        <f t="shared" si="20"/>
        <v>EP-finished SS 304/316L pipes and tubes for VERIFY plants in Ca Mau. ASME BPE SF1-SF4, Ra from 0.25 um, EN 10204 3.1 certificate with every lot.</v>
      </c>
      <c r="AK1805" s="15" t="str">
        <f t="shared" si="21"/>
        <v>Electropolished stainless steel pipes supplied by Sakshi Forge to VERIFY plants at VERIFY, Ca Mau</v>
      </c>
      <c r="AL1805" s="15" t="str">
        <f t="shared" si="22"/>
        <v>Electropolished SS 316L tube stock for Ca Mau - Sakshi Forge</v>
      </c>
      <c r="AM1805" s="15" t="str">
        <f t="shared" si="23"/>
        <v>Home &gt; Market Area &gt; Vietnam &gt; VERIFY &gt; Ca Mau</v>
      </c>
      <c r="AN1805" s="15">
        <f t="shared" si="24"/>
        <v>750</v>
      </c>
      <c r="AO1805" s="15">
        <f t="shared" si="25"/>
        <v>6</v>
      </c>
      <c r="AP1805" s="15">
        <f t="shared" si="26"/>
        <v>6</v>
      </c>
      <c r="AQ1805" s="15">
        <f t="shared" si="27"/>
        <v>31</v>
      </c>
      <c r="AR1805" s="31"/>
      <c r="AS1805" s="31"/>
      <c r="AT1805" s="35" t="s">
        <v>222</v>
      </c>
      <c r="AU1805" s="35"/>
    </row>
    <row r="1806" ht="15.75" customHeight="1">
      <c r="A1806" s="15" t="s">
        <v>7984</v>
      </c>
      <c r="B1806" s="15" t="s">
        <v>454</v>
      </c>
      <c r="C1806" s="15" t="s">
        <v>98</v>
      </c>
      <c r="D1806" s="15" t="s">
        <v>7985</v>
      </c>
      <c r="E1806" s="15" t="s">
        <v>7985</v>
      </c>
      <c r="F1806" s="58" t="s">
        <v>807</v>
      </c>
      <c r="G1806" s="66" t="s">
        <v>98</v>
      </c>
      <c r="H1806" s="18" t="s">
        <v>98</v>
      </c>
      <c r="I1806" s="18" t="s">
        <v>98</v>
      </c>
      <c r="J1806" s="18" t="s">
        <v>98</v>
      </c>
      <c r="K1806" s="18" t="s">
        <v>98</v>
      </c>
      <c r="L1806" s="18" t="s">
        <v>98</v>
      </c>
      <c r="M1806" s="18" t="s">
        <v>660</v>
      </c>
      <c r="N1806" s="18" t="s">
        <v>461</v>
      </c>
      <c r="O1806" s="18" t="s">
        <v>98</v>
      </c>
      <c r="P1806" s="15" t="str">
        <f t="shared" si="1"/>
        <v>VERIFY</v>
      </c>
      <c r="Q1806" s="15">
        <f t="shared" si="2"/>
        <v>3</v>
      </c>
      <c r="R1806" s="15">
        <f t="shared" si="3"/>
        <v>4</v>
      </c>
      <c r="S1806" s="15">
        <f t="shared" si="4"/>
        <v>3</v>
      </c>
      <c r="T1806" s="15" t="str">
        <f t="shared" si="5"/>
        <v>C-3</v>
      </c>
      <c r="U1806" s="15" t="str">
        <f t="shared" si="6"/>
        <v>T3-M4-H3-FC-3-VERIFY</v>
      </c>
      <c r="V1806" s="15">
        <f t="shared" si="7"/>
        <v>1</v>
      </c>
      <c r="W1806" s="31"/>
      <c r="X1806" s="15" t="str">
        <f t="shared" si="8"/>
        <v>cao-bang-vietnam</v>
      </c>
      <c r="Y1806" s="32" t="str">
        <f t="shared" si="9"/>
        <v>https://steelmanufacturer.in/market-area/electropolished-pipes-manufacturer-in-cao-bang-vietnam/</v>
      </c>
      <c r="Z1806" s="15" t="str">
        <f t="shared" si="10"/>
        <v>Electropolished Pipes Manufacturer in Cao Bang | EP Tube Supplier</v>
      </c>
      <c r="AA1806" s="15" t="str">
        <f t="shared" si="11"/>
        <v>OK (65)</v>
      </c>
      <c r="AB1806" s="15" t="str">
        <f t="shared" si="12"/>
        <v>Sanitary electropolished pipes in Cao Bang for VERIFY plants. ASME BPE SF1-SF4, orbital-weld ready, 3.1 MTC. Mumbai-made.</v>
      </c>
      <c r="AC1806" s="15" t="str">
        <f t="shared" si="13"/>
        <v>PENDING RESEARCH</v>
      </c>
      <c r="AD1806" s="15" t="str">
        <f t="shared" si="14"/>
        <v>Electropolished Pipes Manufacturer in Cao Bang</v>
      </c>
      <c r="AE1806" s="15" t="str">
        <f t="shared" si="15"/>
        <v>Electropolished Pipes Manufacturer in Cao Bang - Our Process &amp; Capability</v>
      </c>
      <c r="AF1806" s="15" t="str">
        <f t="shared" si="16"/>
        <v>Electropolished Pipes Supplier in Cao Bang - What We Hold in Stock</v>
      </c>
      <c r="AG1806" s="15" t="str">
        <f t="shared" si="17"/>
        <v>Bulk &amp; Wholesale Electropolished Pipe Rates for Cao Bang Buyers</v>
      </c>
      <c r="AH1806" s="15" t="str">
        <f t="shared" si="18"/>
        <v>electropolished pipes manufacturer in Cao Bang, electropolished pipes supplier in Cao Bang, electropolished pipes wholesaler in Cao Bang, electropolished tube manufacturer Cao Bang, EP pipe supplier Cao Bang, sanitary tube supplier Cao Bang, ASME BPE tubing Cao Bang, ASTM A270 tube Cao Bang, SS 316L electropolished pipe Cao Bang</v>
      </c>
      <c r="AI1806" s="15" t="str">
        <f t="shared" si="19"/>
        <v>Electropolished Pipes Manufacturer &amp; Supplier in Cao Bang</v>
      </c>
      <c r="AJ1806" s="15" t="str">
        <f t="shared" si="20"/>
        <v>EP-finished SS 304/316L pipes and tubes for VERIFY plants in Cao Bang. ASME BPE SF1-SF4, Ra from 0.25 um, EN 10204 3.1 certificate with every lot.</v>
      </c>
      <c r="AK1806" s="15" t="str">
        <f t="shared" si="21"/>
        <v>Electropolished stainless steel pipes supplied by Sakshi Forge to VERIFY plants at VERIFY, Cao Bang</v>
      </c>
      <c r="AL1806" s="15" t="str">
        <f t="shared" si="22"/>
        <v>Electropolished SS 316L tube stock for Cao Bang - Sakshi Forge</v>
      </c>
      <c r="AM1806" s="15" t="str">
        <f t="shared" si="23"/>
        <v>Home &gt; Market Area &gt; Vietnam &gt; VERIFY &gt; Cao Bang</v>
      </c>
      <c r="AN1806" s="15">
        <f t="shared" si="24"/>
        <v>750</v>
      </c>
      <c r="AO1806" s="15">
        <f t="shared" si="25"/>
        <v>6</v>
      </c>
      <c r="AP1806" s="15">
        <f t="shared" si="26"/>
        <v>6</v>
      </c>
      <c r="AQ1806" s="15">
        <f t="shared" si="27"/>
        <v>31</v>
      </c>
      <c r="AR1806" s="31"/>
      <c r="AS1806" s="31"/>
      <c r="AT1806" s="35" t="s">
        <v>222</v>
      </c>
      <c r="AU1806" s="35"/>
    </row>
    <row r="1807" ht="15.75" customHeight="1">
      <c r="A1807" s="15" t="s">
        <v>7986</v>
      </c>
      <c r="B1807" s="15" t="s">
        <v>454</v>
      </c>
      <c r="C1807" s="15" t="s">
        <v>98</v>
      </c>
      <c r="D1807" s="15" t="s">
        <v>7987</v>
      </c>
      <c r="E1807" s="15" t="s">
        <v>7987</v>
      </c>
      <c r="F1807" s="58" t="s">
        <v>807</v>
      </c>
      <c r="G1807" s="66" t="s">
        <v>98</v>
      </c>
      <c r="H1807" s="18" t="s">
        <v>98</v>
      </c>
      <c r="I1807" s="18" t="s">
        <v>98</v>
      </c>
      <c r="J1807" s="18" t="s">
        <v>98</v>
      </c>
      <c r="K1807" s="18" t="s">
        <v>98</v>
      </c>
      <c r="L1807" s="18" t="s">
        <v>98</v>
      </c>
      <c r="M1807" s="18" t="s">
        <v>660</v>
      </c>
      <c r="N1807" s="18" t="s">
        <v>461</v>
      </c>
      <c r="O1807" s="18" t="s">
        <v>98</v>
      </c>
      <c r="P1807" s="15" t="str">
        <f t="shared" si="1"/>
        <v>VERIFY</v>
      </c>
      <c r="Q1807" s="15">
        <f t="shared" si="2"/>
        <v>4</v>
      </c>
      <c r="R1807" s="15">
        <f t="shared" si="3"/>
        <v>5</v>
      </c>
      <c r="S1807" s="15">
        <f t="shared" si="4"/>
        <v>4</v>
      </c>
      <c r="T1807" s="15" t="str">
        <f t="shared" si="5"/>
        <v>C-4</v>
      </c>
      <c r="U1807" s="15" t="str">
        <f t="shared" si="6"/>
        <v>T4-M5-H4-FC-4-VERIFY</v>
      </c>
      <c r="V1807" s="15">
        <f t="shared" si="7"/>
        <v>1</v>
      </c>
      <c r="W1807" s="31"/>
      <c r="X1807" s="15" t="str">
        <f t="shared" si="8"/>
        <v>dak-lak-vietnam</v>
      </c>
      <c r="Y1807" s="32" t="str">
        <f t="shared" si="9"/>
        <v>https://steelmanufacturer.in/market-area/electropolished-pipes-manufacturer-in-dak-lak-vietnam/</v>
      </c>
      <c r="Z1807" s="15" t="str">
        <f t="shared" si="10"/>
        <v>Electropolished Pipes Manufacturer in Dak Lak</v>
      </c>
      <c r="AA1807" s="15" t="str">
        <f t="shared" si="11"/>
        <v>OK (45)</v>
      </c>
      <c r="AB1807" s="15" t="str">
        <f t="shared" si="12"/>
        <v>Manufacturer of electropolished SS 316L tube serving Dak Lak. 12-16 days sea from Nhava Sheva to Hai Phong. Ra 0.25-0.5 um, EN 10204 3.1 MTC.</v>
      </c>
      <c r="AC1807" s="15" t="str">
        <f t="shared" si="13"/>
        <v>PENDING RESEARCH</v>
      </c>
      <c r="AD1807" s="15" t="str">
        <f t="shared" si="14"/>
        <v>Electropolished Pipes Manufacturer in Dak Lak</v>
      </c>
      <c r="AE1807" s="15" t="str">
        <f t="shared" si="15"/>
        <v>Manufacturing Electropolished SS Tube for Dak Lak: The Standards We Build To</v>
      </c>
      <c r="AF1807" s="15" t="str">
        <f t="shared" si="16"/>
        <v>Electropolished Pipe Supply Into Dak Lak - Certification &amp; Transit</v>
      </c>
      <c r="AG1807" s="15" t="str">
        <f t="shared" si="17"/>
        <v>Electropolished Pipes Wholesaler in Dak Lak - Project Quantities &amp; Terms</v>
      </c>
      <c r="AH1807" s="15" t="str">
        <f t="shared" si="18"/>
        <v>electropolished pipes manufacturer in Dak Lak, electropolished pipes supplier in Dak Lak, electropolished pipes wholesaler in Dak Lak, electropolished tube manufacturer Dak Lak, EP pipe supplier Dak Lak, sanitary tube supplier Dak Lak, ASME BPE tubing Dak Lak, ASTM A270 tube Dak Lak, SS 316L electropolished pipe Dak Lak</v>
      </c>
      <c r="AI1807" s="15" t="str">
        <f t="shared" si="19"/>
        <v>Electropolished Pipes Manufacturer &amp; Supplier in Dak Lak</v>
      </c>
      <c r="AJ1807" s="15" t="str">
        <f t="shared" si="20"/>
        <v>EP-finished SS 304/316L pipes and tubes for VERIFY plants in Dak Lak. ASME BPE SF1-SF4, Ra from 0.25 um, EN 10204 3.1 certificate with every lot.</v>
      </c>
      <c r="AK1807" s="15" t="str">
        <f t="shared" si="21"/>
        <v>Electropolished stainless steel pipes supplied by Sakshi Forge to VERIFY plants at VERIFY, Dak Lak</v>
      </c>
      <c r="AL1807" s="15" t="str">
        <f t="shared" si="22"/>
        <v>Electropolished SS 316L tube stock for Dak Lak - Sakshi Forge</v>
      </c>
      <c r="AM1807" s="15" t="str">
        <f t="shared" si="23"/>
        <v>Home &gt; Market Area &gt; Vietnam &gt; VERIFY &gt; Dak Lak</v>
      </c>
      <c r="AN1807" s="15">
        <f t="shared" si="24"/>
        <v>750</v>
      </c>
      <c r="AO1807" s="15">
        <f t="shared" si="25"/>
        <v>6</v>
      </c>
      <c r="AP1807" s="15">
        <f t="shared" si="26"/>
        <v>6</v>
      </c>
      <c r="AQ1807" s="15">
        <f t="shared" si="27"/>
        <v>31</v>
      </c>
      <c r="AR1807" s="31"/>
      <c r="AS1807" s="31"/>
      <c r="AT1807" s="35" t="s">
        <v>222</v>
      </c>
      <c r="AU1807" s="35"/>
    </row>
    <row r="1808" ht="15.75" customHeight="1">
      <c r="A1808" s="15" t="s">
        <v>7988</v>
      </c>
      <c r="B1808" s="15" t="s">
        <v>454</v>
      </c>
      <c r="C1808" s="15" t="s">
        <v>98</v>
      </c>
      <c r="D1808" s="15" t="s">
        <v>7989</v>
      </c>
      <c r="E1808" s="15" t="s">
        <v>7989</v>
      </c>
      <c r="F1808" s="58" t="s">
        <v>807</v>
      </c>
      <c r="G1808" s="66" t="s">
        <v>98</v>
      </c>
      <c r="H1808" s="18" t="s">
        <v>98</v>
      </c>
      <c r="I1808" s="18" t="s">
        <v>98</v>
      </c>
      <c r="J1808" s="18" t="s">
        <v>98</v>
      </c>
      <c r="K1808" s="18" t="s">
        <v>98</v>
      </c>
      <c r="L1808" s="18" t="s">
        <v>98</v>
      </c>
      <c r="M1808" s="18" t="s">
        <v>660</v>
      </c>
      <c r="N1808" s="18" t="s">
        <v>461</v>
      </c>
      <c r="O1808" s="18" t="s">
        <v>98</v>
      </c>
      <c r="P1808" s="15" t="str">
        <f t="shared" si="1"/>
        <v>VERIFY</v>
      </c>
      <c r="Q1808" s="15">
        <f t="shared" si="2"/>
        <v>5</v>
      </c>
      <c r="R1808" s="15">
        <f t="shared" si="3"/>
        <v>6</v>
      </c>
      <c r="S1808" s="15">
        <f t="shared" si="4"/>
        <v>5</v>
      </c>
      <c r="T1808" s="15" t="str">
        <f t="shared" si="5"/>
        <v>C-5</v>
      </c>
      <c r="U1808" s="15" t="str">
        <f t="shared" si="6"/>
        <v>T5-M6-H5-FC-5-VERIFY</v>
      </c>
      <c r="V1808" s="15">
        <f t="shared" si="7"/>
        <v>1</v>
      </c>
      <c r="W1808" s="31"/>
      <c r="X1808" s="15" t="str">
        <f t="shared" si="8"/>
        <v>dak-nong-vietnam</v>
      </c>
      <c r="Y1808" s="32" t="str">
        <f t="shared" si="9"/>
        <v>https://steelmanufacturer.in/market-area/electropolished-pipes-manufacturer-in-dak-nong-vietnam/</v>
      </c>
      <c r="Z1808" s="15" t="str">
        <f t="shared" si="10"/>
        <v>Electropolished Pipes Manufacturer in Dak Nong</v>
      </c>
      <c r="AA1808" s="15" t="str">
        <f t="shared" si="11"/>
        <v>OK (46)</v>
      </c>
      <c r="AB1808" s="15" t="str">
        <f t="shared" si="12"/>
        <v>EP tube and pipe for VERIFY plants around VERIFY, Dak Nong. Made at our Mumbai works to ASTM A270 and ASME BPE SF1-SF4, with 3.1 MTC.</v>
      </c>
      <c r="AC1808" s="15" t="str">
        <f t="shared" si="13"/>
        <v>PENDING RESEARCH</v>
      </c>
      <c r="AD1808" s="15" t="str">
        <f t="shared" si="14"/>
        <v>Electropolished Pipes Manufacturer in Dak Nong</v>
      </c>
      <c r="AE1808" s="15" t="str">
        <f t="shared" si="15"/>
        <v>Electropolished Tube Manufacturing Capability Serving Dak Nong</v>
      </c>
      <c r="AF1808" s="15" t="str">
        <f t="shared" si="16"/>
        <v>Electropolished Pipes Supplier in Dak Nong - From Order to Delivery</v>
      </c>
      <c r="AG1808" s="15" t="str">
        <f t="shared" si="17"/>
        <v>Stockist &amp; Wholesale Supply of Electropolished Pipes in Dak Nong</v>
      </c>
      <c r="AH1808" s="15" t="str">
        <f t="shared" si="18"/>
        <v>electropolished pipes manufacturer in Dak Nong, electropolished pipes supplier in Dak Nong, electropolished pipes wholesaler in Dak Nong, electropolished tube manufacturer Dak Nong, EP pipe supplier Dak Nong, sanitary tube supplier Dak Nong, ASME BPE tubing Dak Nong, ASTM A270 tube Dak Nong, SS 316L electropolished pipe Dak Nong</v>
      </c>
      <c r="AI1808" s="15" t="str">
        <f t="shared" si="19"/>
        <v>Electropolished Pipes Manufacturer &amp; Supplier in Dak Nong</v>
      </c>
      <c r="AJ1808" s="15" t="str">
        <f t="shared" si="20"/>
        <v>EP-finished SS 304/316L pipes and tubes for VERIFY plants in Dak Nong. ASME BPE SF1-SF4, Ra from 0.25 um, EN 10204 3.1 certificate with every lot.</v>
      </c>
      <c r="AK1808" s="15" t="str">
        <f t="shared" si="21"/>
        <v>Electropolished stainless steel pipes supplied by Sakshi Forge to VERIFY plants at VERIFY, Dak Nong</v>
      </c>
      <c r="AL1808" s="15" t="str">
        <f t="shared" si="22"/>
        <v>Electropolished SS 316L tube stock for Dak Nong - Sakshi Forge</v>
      </c>
      <c r="AM1808" s="15" t="str">
        <f t="shared" si="23"/>
        <v>Home &gt; Market Area &gt; Vietnam &gt; VERIFY &gt; Dak Nong</v>
      </c>
      <c r="AN1808" s="15">
        <f t="shared" si="24"/>
        <v>750</v>
      </c>
      <c r="AO1808" s="15">
        <f t="shared" si="25"/>
        <v>6</v>
      </c>
      <c r="AP1808" s="15">
        <f t="shared" si="26"/>
        <v>6</v>
      </c>
      <c r="AQ1808" s="15">
        <f t="shared" si="27"/>
        <v>31</v>
      </c>
      <c r="AR1808" s="31"/>
      <c r="AS1808" s="31"/>
      <c r="AT1808" s="35" t="s">
        <v>222</v>
      </c>
      <c r="AU1808" s="35"/>
    </row>
    <row r="1809" ht="15.75" customHeight="1">
      <c r="A1809" s="15" t="s">
        <v>7990</v>
      </c>
      <c r="B1809" s="15" t="s">
        <v>454</v>
      </c>
      <c r="C1809" s="15" t="s">
        <v>98</v>
      </c>
      <c r="D1809" s="15" t="s">
        <v>7991</v>
      </c>
      <c r="E1809" s="15" t="s">
        <v>7991</v>
      </c>
      <c r="F1809" s="58" t="s">
        <v>807</v>
      </c>
      <c r="G1809" s="66" t="s">
        <v>98</v>
      </c>
      <c r="H1809" s="18" t="s">
        <v>98</v>
      </c>
      <c r="I1809" s="18" t="s">
        <v>98</v>
      </c>
      <c r="J1809" s="18" t="s">
        <v>98</v>
      </c>
      <c r="K1809" s="18" t="s">
        <v>98</v>
      </c>
      <c r="L1809" s="18" t="s">
        <v>98</v>
      </c>
      <c r="M1809" s="18" t="s">
        <v>660</v>
      </c>
      <c r="N1809" s="18" t="s">
        <v>461</v>
      </c>
      <c r="O1809" s="18" t="s">
        <v>98</v>
      </c>
      <c r="P1809" s="15" t="str">
        <f t="shared" si="1"/>
        <v>VERIFY</v>
      </c>
      <c r="Q1809" s="15">
        <f t="shared" si="2"/>
        <v>6</v>
      </c>
      <c r="R1809" s="15">
        <f t="shared" si="3"/>
        <v>7</v>
      </c>
      <c r="S1809" s="15">
        <f t="shared" si="4"/>
        <v>1</v>
      </c>
      <c r="T1809" s="15" t="str">
        <f t="shared" si="5"/>
        <v>C-6</v>
      </c>
      <c r="U1809" s="15" t="str">
        <f t="shared" si="6"/>
        <v>T6-M7-H1-FC-6-VERIFY</v>
      </c>
      <c r="V1809" s="15">
        <f t="shared" si="7"/>
        <v>1</v>
      </c>
      <c r="W1809" s="31"/>
      <c r="X1809" s="15" t="str">
        <f t="shared" si="8"/>
        <v>dien-bien-vietnam</v>
      </c>
      <c r="Y1809" s="32" t="str">
        <f t="shared" si="9"/>
        <v>https://steelmanufacturer.in/market-area/electropolished-pipes-manufacturer-in-dien-bien-vietnam/</v>
      </c>
      <c r="Z1809" s="15" t="str">
        <f t="shared" si="10"/>
        <v>Electropolished Pipes Manufacturer in Dien Bien</v>
      </c>
      <c r="AA1809" s="15" t="str">
        <f t="shared" si="11"/>
        <v>OK (47)</v>
      </c>
      <c r="AB1809" s="15" t="str">
        <f t="shared" si="12"/>
        <v>Electropolished pipes in Dien Bien: 304, 304L, 316 and 316L in SF1-SF4. 12-16 days sea from Nhava Sheva to Hai Phong. Mill certified.</v>
      </c>
      <c r="AC1809" s="15" t="str">
        <f t="shared" si="13"/>
        <v>PENDING RESEARCH</v>
      </c>
      <c r="AD1809" s="15" t="str">
        <f t="shared" si="14"/>
        <v>Electropolished Pipes Manufacturer in Dien Bien</v>
      </c>
      <c r="AE1809" s="15" t="str">
        <f t="shared" si="15"/>
        <v>Electropolished Pipe &amp; Tube Manufacturing for Dien Bien - Grades, Finishes &amp; Certification</v>
      </c>
      <c r="AF1809" s="15" t="str">
        <f t="shared" si="16"/>
        <v>Electropolished Pipes Supplier in Dien Bien - Stock Sizes, Lead Time &amp; Delivery</v>
      </c>
      <c r="AG1809" s="15" t="str">
        <f t="shared" si="17"/>
        <v>Electropolished Pipes Wholesaler &amp; Stockist in Dien Bien - Bulk &amp; Project Pricing</v>
      </c>
      <c r="AH1809" s="15" t="str">
        <f t="shared" si="18"/>
        <v>electropolished pipes manufacturer in Dien Bien, electropolished pipes supplier in Dien Bien, electropolished pipes wholesaler in Dien Bien, electropolished tube manufacturer Dien Bien, EP pipe supplier Dien Bien, sanitary tube supplier Dien Bien, ASME BPE tubing Dien Bien, ASTM A270 tube Dien Bien, SS 316L electropolished pipe Dien Bien</v>
      </c>
      <c r="AI1809" s="15" t="str">
        <f t="shared" si="19"/>
        <v>Electropolished Pipes Manufacturer &amp; Supplier in Dien Bien</v>
      </c>
      <c r="AJ1809" s="15" t="str">
        <f t="shared" si="20"/>
        <v>EP-finished SS 304/316L pipes and tubes for VERIFY plants in Dien Bien. ASME BPE SF1-SF4, Ra from 0.25 um, EN 10204 3.1 certificate with every lot.</v>
      </c>
      <c r="AK1809" s="15" t="str">
        <f t="shared" si="21"/>
        <v>Electropolished stainless steel pipes supplied by Sakshi Forge to VERIFY plants at VERIFY, Dien Bien</v>
      </c>
      <c r="AL1809" s="15" t="str">
        <f t="shared" si="22"/>
        <v>Electropolished SS 316L tube stock for Dien Bien - Sakshi Forge</v>
      </c>
      <c r="AM1809" s="15" t="str">
        <f t="shared" si="23"/>
        <v>Home &gt; Market Area &gt; Vietnam &gt; VERIFY &gt; Dien Bien</v>
      </c>
      <c r="AN1809" s="15">
        <f t="shared" si="24"/>
        <v>750</v>
      </c>
      <c r="AO1809" s="15">
        <f t="shared" si="25"/>
        <v>6</v>
      </c>
      <c r="AP1809" s="15">
        <f t="shared" si="26"/>
        <v>6</v>
      </c>
      <c r="AQ1809" s="15">
        <f t="shared" si="27"/>
        <v>31</v>
      </c>
      <c r="AR1809" s="31"/>
      <c r="AS1809" s="31"/>
      <c r="AT1809" s="35" t="s">
        <v>222</v>
      </c>
      <c r="AU1809" s="35"/>
    </row>
    <row r="1810" ht="15.75" customHeight="1">
      <c r="A1810" s="15" t="s">
        <v>7994</v>
      </c>
      <c r="B1810" s="15" t="s">
        <v>454</v>
      </c>
      <c r="C1810" s="15" t="s">
        <v>98</v>
      </c>
      <c r="D1810" s="15" t="s">
        <v>7997</v>
      </c>
      <c r="E1810" s="15" t="s">
        <v>7997</v>
      </c>
      <c r="F1810" s="58" t="s">
        <v>807</v>
      </c>
      <c r="G1810" s="66" t="s">
        <v>98</v>
      </c>
      <c r="H1810" s="18" t="s">
        <v>98</v>
      </c>
      <c r="I1810" s="18" t="s">
        <v>98</v>
      </c>
      <c r="J1810" s="18" t="s">
        <v>98</v>
      </c>
      <c r="K1810" s="18" t="s">
        <v>98</v>
      </c>
      <c r="L1810" s="18" t="s">
        <v>98</v>
      </c>
      <c r="M1810" s="18" t="s">
        <v>660</v>
      </c>
      <c r="N1810" s="18" t="s">
        <v>461</v>
      </c>
      <c r="O1810" s="18" t="s">
        <v>98</v>
      </c>
      <c r="P1810" s="15" t="str">
        <f t="shared" si="1"/>
        <v>VERIFY</v>
      </c>
      <c r="Q1810" s="15">
        <f t="shared" si="2"/>
        <v>7</v>
      </c>
      <c r="R1810" s="15">
        <f t="shared" si="3"/>
        <v>1</v>
      </c>
      <c r="S1810" s="15">
        <f t="shared" si="4"/>
        <v>2</v>
      </c>
      <c r="T1810" s="15" t="str">
        <f t="shared" si="5"/>
        <v>C-1</v>
      </c>
      <c r="U1810" s="15" t="str">
        <f t="shared" si="6"/>
        <v>T7-M1-H2-FC-1-VERIFY</v>
      </c>
      <c r="V1810" s="15">
        <f t="shared" si="7"/>
        <v>1</v>
      </c>
      <c r="W1810" s="31"/>
      <c r="X1810" s="15" t="str">
        <f t="shared" si="8"/>
        <v>dong-thap-vietnam</v>
      </c>
      <c r="Y1810" s="32" t="str">
        <f t="shared" si="9"/>
        <v>https://steelmanufacturer.in/market-area/electropolished-pipes-manufacturer-in-dong-thap-vietnam/</v>
      </c>
      <c r="Z1810" s="15" t="str">
        <f t="shared" si="10"/>
        <v>Electropolished Pipes Manufacturer in Dong Thap</v>
      </c>
      <c r="AA1810" s="15" t="str">
        <f t="shared" si="11"/>
        <v>OK (47)</v>
      </c>
      <c r="AB1810" s="15" t="str">
        <f t="shared" si="12"/>
        <v>EP-finished SS 304/316L pipes &amp; tubes for VERIFY plants in Dong Thap. ASTM A270, ASME BPE SF1-SF4, EN 10204 3.1 MTC. PMI tested.</v>
      </c>
      <c r="AC1810" s="15" t="str">
        <f t="shared" si="13"/>
        <v>PENDING RESEARCH</v>
      </c>
      <c r="AD1810" s="15" t="str">
        <f t="shared" si="14"/>
        <v>Electropolished Pipes Manufacturer in Dong Thap</v>
      </c>
      <c r="AE1810" s="15" t="str">
        <f t="shared" si="15"/>
        <v>How We Manufacture Electropolished Tube for Dong Thap Plants</v>
      </c>
      <c r="AF1810" s="15" t="str">
        <f t="shared" si="16"/>
        <v>Supplying Electropolished Pipes in Dong Thap: Availability, Sizes &amp; Dispatch</v>
      </c>
      <c r="AG1810" s="15" t="str">
        <f t="shared" si="17"/>
        <v>Wholesale Electropolished Pipe Supply for Dong Thap Projects</v>
      </c>
      <c r="AH1810" s="15" t="str">
        <f t="shared" si="18"/>
        <v>electropolished pipes manufacturer in Dong Thap, electropolished pipes supplier in Dong Thap, electropolished pipes wholesaler in Dong Thap, electropolished tube manufacturer Dong Thap, EP pipe supplier Dong Thap, sanitary tube supplier Dong Thap, ASME BPE tubing Dong Thap, ASTM A270 tube Dong Thap, SS 316L electropolished pipe Dong Thap</v>
      </c>
      <c r="AI1810" s="15" t="str">
        <f t="shared" si="19"/>
        <v>Electropolished Pipes Manufacturer &amp; Supplier in Dong Thap</v>
      </c>
      <c r="AJ1810" s="15" t="str">
        <f t="shared" si="20"/>
        <v>EP-finished SS 304/316L pipes and tubes for VERIFY plants in Dong Thap. ASME BPE SF1-SF4, Ra from 0.25 um, EN 10204 3.1 certificate with every lot.</v>
      </c>
      <c r="AK1810" s="15" t="str">
        <f t="shared" si="21"/>
        <v>Electropolished stainless steel pipes supplied by Sakshi Forge to VERIFY plants at VERIFY, Dong Thap</v>
      </c>
      <c r="AL1810" s="15" t="str">
        <f t="shared" si="22"/>
        <v>Electropolished SS 316L tube stock for Dong Thap - Sakshi Forge</v>
      </c>
      <c r="AM1810" s="15" t="str">
        <f t="shared" si="23"/>
        <v>Home &gt; Market Area &gt; Vietnam &gt; VERIFY &gt; Dong Thap</v>
      </c>
      <c r="AN1810" s="15">
        <f t="shared" si="24"/>
        <v>750</v>
      </c>
      <c r="AO1810" s="15">
        <f t="shared" si="25"/>
        <v>6</v>
      </c>
      <c r="AP1810" s="15">
        <f t="shared" si="26"/>
        <v>6</v>
      </c>
      <c r="AQ1810" s="15">
        <f t="shared" si="27"/>
        <v>31</v>
      </c>
      <c r="AR1810" s="31"/>
      <c r="AS1810" s="31"/>
      <c r="AT1810" s="35" t="s">
        <v>222</v>
      </c>
      <c r="AU1810" s="35"/>
    </row>
    <row r="1811" ht="15.75" customHeight="1">
      <c r="A1811" s="15" t="s">
        <v>7998</v>
      </c>
      <c r="B1811" s="15" t="s">
        <v>454</v>
      </c>
      <c r="C1811" s="15" t="s">
        <v>98</v>
      </c>
      <c r="D1811" s="15" t="s">
        <v>7999</v>
      </c>
      <c r="E1811" s="15" t="s">
        <v>7999</v>
      </c>
      <c r="F1811" s="58" t="s">
        <v>807</v>
      </c>
      <c r="G1811" s="66" t="s">
        <v>98</v>
      </c>
      <c r="H1811" s="18" t="s">
        <v>98</v>
      </c>
      <c r="I1811" s="18" t="s">
        <v>98</v>
      </c>
      <c r="J1811" s="18" t="s">
        <v>98</v>
      </c>
      <c r="K1811" s="18" t="s">
        <v>98</v>
      </c>
      <c r="L1811" s="18" t="s">
        <v>98</v>
      </c>
      <c r="M1811" s="18" t="s">
        <v>660</v>
      </c>
      <c r="N1811" s="18" t="s">
        <v>461</v>
      </c>
      <c r="O1811" s="18" t="s">
        <v>98</v>
      </c>
      <c r="P1811" s="15" t="str">
        <f t="shared" si="1"/>
        <v>VERIFY</v>
      </c>
      <c r="Q1811" s="15">
        <f t="shared" si="2"/>
        <v>8</v>
      </c>
      <c r="R1811" s="15">
        <f t="shared" si="3"/>
        <v>2</v>
      </c>
      <c r="S1811" s="15">
        <f t="shared" si="4"/>
        <v>3</v>
      </c>
      <c r="T1811" s="15" t="str">
        <f t="shared" si="5"/>
        <v>C-2</v>
      </c>
      <c r="U1811" s="15" t="str">
        <f t="shared" si="6"/>
        <v>T8-M2-H3-FC-2-VERIFY</v>
      </c>
      <c r="V1811" s="15">
        <f t="shared" si="7"/>
        <v>1</v>
      </c>
      <c r="W1811" s="31"/>
      <c r="X1811" s="15" t="str">
        <f t="shared" si="8"/>
        <v>gia-lai-vietnam</v>
      </c>
      <c r="Y1811" s="32" t="str">
        <f t="shared" si="9"/>
        <v>https://steelmanufacturer.in/market-area/electropolished-pipes-manufacturer-in-gia-lai-vietnam/</v>
      </c>
      <c r="Z1811" s="15" t="str">
        <f t="shared" si="10"/>
        <v>Electropolished Pipes Manufacturer in Gia Lai - EP Tube Stockist</v>
      </c>
      <c r="AA1811" s="15" t="str">
        <f t="shared" si="11"/>
        <v>OK (64)</v>
      </c>
      <c r="AB1811" s="15" t="str">
        <f t="shared" si="12"/>
        <v>Electropolished tube supply to VERIFY, Gia Lai. Ra from 0.25 um, SF4 finish, mill test certificate with every lot.</v>
      </c>
      <c r="AC1811" s="15" t="str">
        <f t="shared" si="13"/>
        <v>PENDING RESEARCH</v>
      </c>
      <c r="AD1811" s="15" t="str">
        <f t="shared" si="14"/>
        <v>Electropolished Pipes Manufacturer in Gia Lai</v>
      </c>
      <c r="AE1811" s="15" t="str">
        <f t="shared" si="15"/>
        <v>Electropolished Pipes Manufacturer in Gia Lai - Our Process &amp; Capability</v>
      </c>
      <c r="AF1811" s="15" t="str">
        <f t="shared" si="16"/>
        <v>Electropolished Pipes Supplier in Gia Lai - What We Hold in Stock</v>
      </c>
      <c r="AG1811" s="15" t="str">
        <f t="shared" si="17"/>
        <v>Bulk &amp; Wholesale Electropolished Pipe Rates for Gia Lai Buyers</v>
      </c>
      <c r="AH1811" s="15" t="str">
        <f t="shared" si="18"/>
        <v>electropolished pipes manufacturer in Gia Lai, electropolished pipes supplier in Gia Lai, electropolished pipes wholesaler in Gia Lai, electropolished tube manufacturer Gia Lai, EP pipe supplier Gia Lai, sanitary tube supplier Gia Lai, ASME BPE tubing Gia Lai, ASTM A270 tube Gia Lai, SS 316L electropolished pipe Gia Lai</v>
      </c>
      <c r="AI1811" s="15" t="str">
        <f t="shared" si="19"/>
        <v>Electropolished Pipes Manufacturer &amp; Supplier in Gia Lai</v>
      </c>
      <c r="AJ1811" s="15" t="str">
        <f t="shared" si="20"/>
        <v>EP-finished SS 304/316L pipes and tubes for VERIFY plants in Gia Lai. ASME BPE SF1-SF4, Ra from 0.25 um, EN 10204 3.1 certificate with every lot.</v>
      </c>
      <c r="AK1811" s="15" t="str">
        <f t="shared" si="21"/>
        <v>Electropolished stainless steel pipes supplied by Sakshi Forge to VERIFY plants at VERIFY, Gia Lai</v>
      </c>
      <c r="AL1811" s="15" t="str">
        <f t="shared" si="22"/>
        <v>Electropolished SS 316L tube stock for Gia Lai - Sakshi Forge</v>
      </c>
      <c r="AM1811" s="15" t="str">
        <f t="shared" si="23"/>
        <v>Home &gt; Market Area &gt; Vietnam &gt; VERIFY &gt; Gia Lai</v>
      </c>
      <c r="AN1811" s="15">
        <f t="shared" si="24"/>
        <v>750</v>
      </c>
      <c r="AO1811" s="15">
        <f t="shared" si="25"/>
        <v>6</v>
      </c>
      <c r="AP1811" s="15">
        <f t="shared" si="26"/>
        <v>6</v>
      </c>
      <c r="AQ1811" s="15">
        <f t="shared" si="27"/>
        <v>31</v>
      </c>
      <c r="AR1811" s="31"/>
      <c r="AS1811" s="31"/>
      <c r="AT1811" s="35" t="s">
        <v>222</v>
      </c>
      <c r="AU1811" s="35"/>
    </row>
    <row r="1812" ht="15.75" customHeight="1">
      <c r="A1812" s="15" t="s">
        <v>8000</v>
      </c>
      <c r="B1812" s="15" t="s">
        <v>454</v>
      </c>
      <c r="C1812" s="15" t="s">
        <v>98</v>
      </c>
      <c r="D1812" s="15" t="s">
        <v>8001</v>
      </c>
      <c r="E1812" s="15" t="s">
        <v>8001</v>
      </c>
      <c r="F1812" s="58" t="s">
        <v>807</v>
      </c>
      <c r="G1812" s="66" t="s">
        <v>98</v>
      </c>
      <c r="H1812" s="18" t="s">
        <v>98</v>
      </c>
      <c r="I1812" s="18" t="s">
        <v>98</v>
      </c>
      <c r="J1812" s="18" t="s">
        <v>98</v>
      </c>
      <c r="K1812" s="18" t="s">
        <v>98</v>
      </c>
      <c r="L1812" s="18" t="s">
        <v>98</v>
      </c>
      <c r="M1812" s="18" t="s">
        <v>660</v>
      </c>
      <c r="N1812" s="18" t="s">
        <v>461</v>
      </c>
      <c r="O1812" s="18" t="s">
        <v>98</v>
      </c>
      <c r="P1812" s="15" t="str">
        <f t="shared" si="1"/>
        <v>VERIFY</v>
      </c>
      <c r="Q1812" s="15">
        <f t="shared" si="2"/>
        <v>1</v>
      </c>
      <c r="R1812" s="15">
        <f t="shared" si="3"/>
        <v>3</v>
      </c>
      <c r="S1812" s="15">
        <f t="shared" si="4"/>
        <v>4</v>
      </c>
      <c r="T1812" s="15" t="str">
        <f t="shared" si="5"/>
        <v>C-3</v>
      </c>
      <c r="U1812" s="15" t="str">
        <f t="shared" si="6"/>
        <v>T1-M3-H4-FC-3-VERIFY</v>
      </c>
      <c r="V1812" s="15">
        <f t="shared" si="7"/>
        <v>1</v>
      </c>
      <c r="W1812" s="31"/>
      <c r="X1812" s="15" t="str">
        <f t="shared" si="8"/>
        <v>ha-giang-vietnam</v>
      </c>
      <c r="Y1812" s="32" t="str">
        <f t="shared" si="9"/>
        <v>https://steelmanufacturer.in/market-area/electropolished-pipes-manufacturer-in-ha-giang-vietnam/</v>
      </c>
      <c r="Z1812" s="15" t="str">
        <f t="shared" si="10"/>
        <v>Electropolished Pipes Manufacturer in Ha Giang | Sakshi Forge</v>
      </c>
      <c r="AA1812" s="15" t="str">
        <f t="shared" si="11"/>
        <v>OK (61)</v>
      </c>
      <c r="AB1812" s="15" t="str">
        <f t="shared" si="12"/>
        <v>EP stainless tube for VERIFY lines in Ha Giang. 12-16 days sea from Nhava Sheva to Hai Phong. ASTM A270 S2, PMI tested, EN 10204 3.1.</v>
      </c>
      <c r="AC1812" s="15" t="str">
        <f t="shared" si="13"/>
        <v>PENDING RESEARCH</v>
      </c>
      <c r="AD1812" s="15" t="str">
        <f t="shared" si="14"/>
        <v>Electropolished Pipes Manufacturer in Ha Giang</v>
      </c>
      <c r="AE1812" s="15" t="str">
        <f t="shared" si="15"/>
        <v>Manufacturing Electropolished SS Tube for Ha Giang: The Standards We Build To</v>
      </c>
      <c r="AF1812" s="15" t="str">
        <f t="shared" si="16"/>
        <v>Electropolished Pipe Supply Into Ha Giang - Certification &amp; Transit</v>
      </c>
      <c r="AG1812" s="15" t="str">
        <f t="shared" si="17"/>
        <v>Electropolished Pipes Wholesaler in Ha Giang - Project Quantities &amp; Terms</v>
      </c>
      <c r="AH1812" s="15" t="str">
        <f t="shared" si="18"/>
        <v>electropolished pipes manufacturer in Ha Giang, electropolished pipes supplier in Ha Giang, electropolished pipes wholesaler in Ha Giang, electropolished tube manufacturer Ha Giang, EP pipe supplier Ha Giang, sanitary tube supplier Ha Giang, ASME BPE tubing Ha Giang, ASTM A270 tube Ha Giang, SS 316L electropolished pipe Ha Giang</v>
      </c>
      <c r="AI1812" s="15" t="str">
        <f t="shared" si="19"/>
        <v>Electropolished Pipes Manufacturer &amp; Supplier in Ha Giang</v>
      </c>
      <c r="AJ1812" s="15" t="str">
        <f t="shared" si="20"/>
        <v>EP-finished SS 304/316L pipes and tubes for VERIFY plants in Ha Giang. ASME BPE SF1-SF4, Ra from 0.25 um, EN 10204 3.1 certificate with every lot.</v>
      </c>
      <c r="AK1812" s="15" t="str">
        <f t="shared" si="21"/>
        <v>Electropolished stainless steel pipes supplied by Sakshi Forge to VERIFY plants at VERIFY, Ha Giang</v>
      </c>
      <c r="AL1812" s="15" t="str">
        <f t="shared" si="22"/>
        <v>Electropolished SS 316L tube stock for Ha Giang - Sakshi Forge</v>
      </c>
      <c r="AM1812" s="15" t="str">
        <f t="shared" si="23"/>
        <v>Home &gt; Market Area &gt; Vietnam &gt; VERIFY &gt; Ha Giang</v>
      </c>
      <c r="AN1812" s="15">
        <f t="shared" si="24"/>
        <v>750</v>
      </c>
      <c r="AO1812" s="15">
        <f t="shared" si="25"/>
        <v>6</v>
      </c>
      <c r="AP1812" s="15">
        <f t="shared" si="26"/>
        <v>6</v>
      </c>
      <c r="AQ1812" s="15">
        <f t="shared" si="27"/>
        <v>31</v>
      </c>
      <c r="AR1812" s="31"/>
      <c r="AS1812" s="31"/>
      <c r="AT1812" s="35" t="s">
        <v>222</v>
      </c>
      <c r="AU1812" s="35"/>
    </row>
    <row r="1813" ht="15.75" customHeight="1">
      <c r="A1813" s="15" t="s">
        <v>8002</v>
      </c>
      <c r="B1813" s="15" t="s">
        <v>454</v>
      </c>
      <c r="C1813" s="15" t="s">
        <v>98</v>
      </c>
      <c r="D1813" s="15" t="s">
        <v>8003</v>
      </c>
      <c r="E1813" s="15" t="s">
        <v>8003</v>
      </c>
      <c r="F1813" s="58" t="s">
        <v>807</v>
      </c>
      <c r="G1813" s="66" t="s">
        <v>98</v>
      </c>
      <c r="H1813" s="18" t="s">
        <v>98</v>
      </c>
      <c r="I1813" s="18" t="s">
        <v>98</v>
      </c>
      <c r="J1813" s="18" t="s">
        <v>98</v>
      </c>
      <c r="K1813" s="18" t="s">
        <v>98</v>
      </c>
      <c r="L1813" s="18" t="s">
        <v>98</v>
      </c>
      <c r="M1813" s="18" t="s">
        <v>660</v>
      </c>
      <c r="N1813" s="18" t="s">
        <v>461</v>
      </c>
      <c r="O1813" s="18" t="s">
        <v>98</v>
      </c>
      <c r="P1813" s="15" t="str">
        <f t="shared" si="1"/>
        <v>VERIFY</v>
      </c>
      <c r="Q1813" s="15">
        <f t="shared" si="2"/>
        <v>2</v>
      </c>
      <c r="R1813" s="15">
        <f t="shared" si="3"/>
        <v>4</v>
      </c>
      <c r="S1813" s="15">
        <f t="shared" si="4"/>
        <v>5</v>
      </c>
      <c r="T1813" s="15" t="str">
        <f t="shared" si="5"/>
        <v>C-4</v>
      </c>
      <c r="U1813" s="15" t="str">
        <f t="shared" si="6"/>
        <v>T2-M4-H5-FC-4-VERIFY</v>
      </c>
      <c r="V1813" s="15">
        <f t="shared" si="7"/>
        <v>1</v>
      </c>
      <c r="W1813" s="31"/>
      <c r="X1813" s="15" t="str">
        <f t="shared" si="8"/>
        <v>ha-nam-vietnam</v>
      </c>
      <c r="Y1813" s="32" t="str">
        <f t="shared" si="9"/>
        <v>https://steelmanufacturer.in/market-area/electropolished-pipes-manufacturer-in-ha-nam-vietnam/</v>
      </c>
      <c r="Z1813" s="15" t="str">
        <f t="shared" si="10"/>
        <v>Electropolished Pipes Manufacturer in Ha Nam</v>
      </c>
      <c r="AA1813" s="15" t="str">
        <f t="shared" si="11"/>
        <v>OK (44)</v>
      </c>
      <c r="AB1813" s="15" t="str">
        <f t="shared" si="12"/>
        <v>Sanitary electropolished pipes in Ha Nam for VERIFY plants. ASME BPE SF1-SF4, orbital-weld ready, 3.1 MTC. Mumbai-made.</v>
      </c>
      <c r="AC1813" s="15" t="str">
        <f t="shared" si="13"/>
        <v>PENDING RESEARCH</v>
      </c>
      <c r="AD1813" s="15" t="str">
        <f t="shared" si="14"/>
        <v>Electropolished Pipes Manufacturer in Ha Nam</v>
      </c>
      <c r="AE1813" s="15" t="str">
        <f t="shared" si="15"/>
        <v>Electropolished Tube Manufacturing Capability Serving Ha Nam</v>
      </c>
      <c r="AF1813" s="15" t="str">
        <f t="shared" si="16"/>
        <v>Electropolished Pipes Supplier in Ha Nam - From Order to Delivery</v>
      </c>
      <c r="AG1813" s="15" t="str">
        <f t="shared" si="17"/>
        <v>Stockist &amp; Wholesale Supply of Electropolished Pipes in Ha Nam</v>
      </c>
      <c r="AH1813" s="15" t="str">
        <f t="shared" si="18"/>
        <v>electropolished pipes manufacturer in Ha Nam, electropolished pipes supplier in Ha Nam, electropolished pipes wholesaler in Ha Nam, electropolished tube manufacturer Ha Nam, EP pipe supplier Ha Nam, sanitary tube supplier Ha Nam, ASME BPE tubing Ha Nam, ASTM A270 tube Ha Nam, SS 316L electropolished pipe Ha Nam</v>
      </c>
      <c r="AI1813" s="15" t="str">
        <f t="shared" si="19"/>
        <v>Electropolished Pipes Manufacturer &amp; Supplier in Ha Nam</v>
      </c>
      <c r="AJ1813" s="15" t="str">
        <f t="shared" si="20"/>
        <v>EP-finished SS 304/316L pipes and tubes for VERIFY plants in Ha Nam. ASME BPE SF1-SF4, Ra from 0.25 um, EN 10204 3.1 certificate with every lot.</v>
      </c>
      <c r="AK1813" s="15" t="str">
        <f t="shared" si="21"/>
        <v>Electropolished stainless steel pipes supplied by Sakshi Forge to VERIFY plants at VERIFY, Ha Nam</v>
      </c>
      <c r="AL1813" s="15" t="str">
        <f t="shared" si="22"/>
        <v>Electropolished SS 316L tube stock for Ha Nam - Sakshi Forge</v>
      </c>
      <c r="AM1813" s="15" t="str">
        <f t="shared" si="23"/>
        <v>Home &gt; Market Area &gt; Vietnam &gt; VERIFY &gt; Ha Nam</v>
      </c>
      <c r="AN1813" s="15">
        <f t="shared" si="24"/>
        <v>750</v>
      </c>
      <c r="AO1813" s="15">
        <f t="shared" si="25"/>
        <v>6</v>
      </c>
      <c r="AP1813" s="15">
        <f t="shared" si="26"/>
        <v>6</v>
      </c>
      <c r="AQ1813" s="15">
        <f t="shared" si="27"/>
        <v>31</v>
      </c>
      <c r="AR1813" s="31"/>
      <c r="AS1813" s="31"/>
      <c r="AT1813" s="35" t="s">
        <v>222</v>
      </c>
      <c r="AU1813" s="35"/>
    </row>
    <row r="1814" ht="15.75" customHeight="1">
      <c r="A1814" s="15" t="s">
        <v>8004</v>
      </c>
      <c r="B1814" s="15" t="s">
        <v>454</v>
      </c>
      <c r="C1814" s="15" t="s">
        <v>98</v>
      </c>
      <c r="D1814" s="15" t="s">
        <v>8005</v>
      </c>
      <c r="E1814" s="15" t="s">
        <v>8005</v>
      </c>
      <c r="F1814" s="58" t="s">
        <v>807</v>
      </c>
      <c r="G1814" s="66" t="s">
        <v>98</v>
      </c>
      <c r="H1814" s="18" t="s">
        <v>98</v>
      </c>
      <c r="I1814" s="18" t="s">
        <v>98</v>
      </c>
      <c r="J1814" s="18" t="s">
        <v>98</v>
      </c>
      <c r="K1814" s="18" t="s">
        <v>98</v>
      </c>
      <c r="L1814" s="18" t="s">
        <v>98</v>
      </c>
      <c r="M1814" s="18" t="s">
        <v>660</v>
      </c>
      <c r="N1814" s="18" t="s">
        <v>461</v>
      </c>
      <c r="O1814" s="18" t="s">
        <v>98</v>
      </c>
      <c r="P1814" s="15" t="str">
        <f t="shared" si="1"/>
        <v>VERIFY</v>
      </c>
      <c r="Q1814" s="15">
        <f t="shared" si="2"/>
        <v>3</v>
      </c>
      <c r="R1814" s="15">
        <f t="shared" si="3"/>
        <v>5</v>
      </c>
      <c r="S1814" s="15">
        <f t="shared" si="4"/>
        <v>1</v>
      </c>
      <c r="T1814" s="15" t="str">
        <f t="shared" si="5"/>
        <v>C-5</v>
      </c>
      <c r="U1814" s="15" t="str">
        <f t="shared" si="6"/>
        <v>T3-M5-H1-FC-5-VERIFY</v>
      </c>
      <c r="V1814" s="15">
        <f t="shared" si="7"/>
        <v>1</v>
      </c>
      <c r="W1814" s="31"/>
      <c r="X1814" s="15" t="str">
        <f t="shared" si="8"/>
        <v>hau-giang-vietnam</v>
      </c>
      <c r="Y1814" s="32" t="str">
        <f t="shared" si="9"/>
        <v>https://steelmanufacturer.in/market-area/electropolished-pipes-manufacturer-in-hau-giang-vietnam/</v>
      </c>
      <c r="Z1814" s="15" t="str">
        <f t="shared" si="10"/>
        <v>Electropolished Pipes Manufacturer in Hau Giang</v>
      </c>
      <c r="AA1814" s="15" t="str">
        <f t="shared" si="11"/>
        <v>OK (47)</v>
      </c>
      <c r="AB1814" s="15" t="str">
        <f t="shared" si="12"/>
        <v>Manufacturer of electropolished SS 316L tube serving Hau Giang. 12-16 days sea from Nhava Sheva to Hai Phong. Ra 0.25-0.5 um, EN 10204 3.1 MTC.</v>
      </c>
      <c r="AC1814" s="15" t="str">
        <f t="shared" si="13"/>
        <v>PENDING RESEARCH</v>
      </c>
      <c r="AD1814" s="15" t="str">
        <f t="shared" si="14"/>
        <v>Electropolished Pipes Manufacturer in Hau Giang</v>
      </c>
      <c r="AE1814" s="15" t="str">
        <f t="shared" si="15"/>
        <v>Electropolished Pipe &amp; Tube Manufacturing for Hau Giang - Grades, Finishes &amp; Certification</v>
      </c>
      <c r="AF1814" s="15" t="str">
        <f t="shared" si="16"/>
        <v>Electropolished Pipes Supplier in Hau Giang - Stock Sizes, Lead Time &amp; Delivery</v>
      </c>
      <c r="AG1814" s="15" t="str">
        <f t="shared" si="17"/>
        <v>Electropolished Pipes Wholesaler &amp; Stockist in Hau Giang - Bulk &amp; Project Pricing</v>
      </c>
      <c r="AH1814" s="15" t="str">
        <f t="shared" si="18"/>
        <v>electropolished pipes manufacturer in Hau Giang, electropolished pipes supplier in Hau Giang, electropolished pipes wholesaler in Hau Giang, electropolished tube manufacturer Hau Giang, EP pipe supplier Hau Giang, sanitary tube supplier Hau Giang, ASME BPE tubing Hau Giang, ASTM A270 tube Hau Giang, SS 316L electropolished pipe Hau Giang</v>
      </c>
      <c r="AI1814" s="15" t="str">
        <f t="shared" si="19"/>
        <v>Electropolished Pipes Manufacturer &amp; Supplier in Hau Giang</v>
      </c>
      <c r="AJ1814" s="15" t="str">
        <f t="shared" si="20"/>
        <v>EP-finished SS 304/316L pipes and tubes for VERIFY plants in Hau Giang. ASME BPE SF1-SF4, Ra from 0.25 um, EN 10204 3.1 certificate with every lot.</v>
      </c>
      <c r="AK1814" s="15" t="str">
        <f t="shared" si="21"/>
        <v>Electropolished stainless steel pipes supplied by Sakshi Forge to VERIFY plants at VERIFY, Hau Giang</v>
      </c>
      <c r="AL1814" s="15" t="str">
        <f t="shared" si="22"/>
        <v>Electropolished SS 316L tube stock for Hau Giang - Sakshi Forge</v>
      </c>
      <c r="AM1814" s="15" t="str">
        <f t="shared" si="23"/>
        <v>Home &gt; Market Area &gt; Vietnam &gt; VERIFY &gt; Hau Giang</v>
      </c>
      <c r="AN1814" s="15">
        <f t="shared" si="24"/>
        <v>750</v>
      </c>
      <c r="AO1814" s="15">
        <f t="shared" si="25"/>
        <v>6</v>
      </c>
      <c r="AP1814" s="15">
        <f t="shared" si="26"/>
        <v>6</v>
      </c>
      <c r="AQ1814" s="15">
        <f t="shared" si="27"/>
        <v>31</v>
      </c>
      <c r="AR1814" s="31"/>
      <c r="AS1814" s="31"/>
      <c r="AT1814" s="35" t="s">
        <v>222</v>
      </c>
      <c r="AU1814" s="35"/>
    </row>
    <row r="1815" ht="15.75" customHeight="1">
      <c r="A1815" s="15" t="s">
        <v>8006</v>
      </c>
      <c r="B1815" s="15" t="s">
        <v>454</v>
      </c>
      <c r="C1815" s="15" t="s">
        <v>98</v>
      </c>
      <c r="D1815" s="15" t="s">
        <v>8007</v>
      </c>
      <c r="E1815" s="15" t="s">
        <v>8007</v>
      </c>
      <c r="F1815" s="58" t="s">
        <v>807</v>
      </c>
      <c r="G1815" s="66" t="s">
        <v>98</v>
      </c>
      <c r="H1815" s="18" t="s">
        <v>98</v>
      </c>
      <c r="I1815" s="18" t="s">
        <v>98</v>
      </c>
      <c r="J1815" s="18" t="s">
        <v>98</v>
      </c>
      <c r="K1815" s="18" t="s">
        <v>98</v>
      </c>
      <c r="L1815" s="18" t="s">
        <v>98</v>
      </c>
      <c r="M1815" s="18" t="s">
        <v>660</v>
      </c>
      <c r="N1815" s="18" t="s">
        <v>461</v>
      </c>
      <c r="O1815" s="18" t="s">
        <v>98</v>
      </c>
      <c r="P1815" s="15" t="str">
        <f t="shared" si="1"/>
        <v>VERIFY</v>
      </c>
      <c r="Q1815" s="15">
        <f t="shared" si="2"/>
        <v>4</v>
      </c>
      <c r="R1815" s="15">
        <f t="shared" si="3"/>
        <v>6</v>
      </c>
      <c r="S1815" s="15">
        <f t="shared" si="4"/>
        <v>2</v>
      </c>
      <c r="T1815" s="15" t="str">
        <f t="shared" si="5"/>
        <v>C-6</v>
      </c>
      <c r="U1815" s="15" t="str">
        <f t="shared" si="6"/>
        <v>T4-M6-H2-FC-6-VERIFY</v>
      </c>
      <c r="V1815" s="15">
        <f t="shared" si="7"/>
        <v>1</v>
      </c>
      <c r="W1815" s="31"/>
      <c r="X1815" s="15" t="str">
        <f t="shared" si="8"/>
        <v>hoa-binh-vietnam</v>
      </c>
      <c r="Y1815" s="32" t="str">
        <f t="shared" si="9"/>
        <v>https://steelmanufacturer.in/market-area/electropolished-pipes-manufacturer-in-hoa-binh-vietnam/</v>
      </c>
      <c r="Z1815" s="15" t="str">
        <f t="shared" si="10"/>
        <v>Electropolished Pipes Manufacturer in Hoa Binh</v>
      </c>
      <c r="AA1815" s="15" t="str">
        <f t="shared" si="11"/>
        <v>OK (46)</v>
      </c>
      <c r="AB1815" s="15" t="str">
        <f t="shared" si="12"/>
        <v>EP tube and pipe for VERIFY plants around VERIFY, Hoa Binh. Made at our Mumbai works to ASTM A270 and ASME BPE SF1-SF4, with 3.1 MTC.</v>
      </c>
      <c r="AC1815" s="15" t="str">
        <f t="shared" si="13"/>
        <v>PENDING RESEARCH</v>
      </c>
      <c r="AD1815" s="15" t="str">
        <f t="shared" si="14"/>
        <v>Electropolished Pipes Manufacturer in Hoa Binh</v>
      </c>
      <c r="AE1815" s="15" t="str">
        <f t="shared" si="15"/>
        <v>How We Manufacture Electropolished Tube for Hoa Binh Plants</v>
      </c>
      <c r="AF1815" s="15" t="str">
        <f t="shared" si="16"/>
        <v>Supplying Electropolished Pipes in Hoa Binh: Availability, Sizes &amp; Dispatch</v>
      </c>
      <c r="AG1815" s="15" t="str">
        <f t="shared" si="17"/>
        <v>Wholesale Electropolished Pipe Supply for Hoa Binh Projects</v>
      </c>
      <c r="AH1815" s="15" t="str">
        <f t="shared" si="18"/>
        <v>electropolished pipes manufacturer in Hoa Binh, electropolished pipes supplier in Hoa Binh, electropolished pipes wholesaler in Hoa Binh, electropolished tube manufacturer Hoa Binh, EP pipe supplier Hoa Binh, sanitary tube supplier Hoa Binh, ASME BPE tubing Hoa Binh, ASTM A270 tube Hoa Binh, SS 316L electropolished pipe Hoa Binh</v>
      </c>
      <c r="AI1815" s="15" t="str">
        <f t="shared" si="19"/>
        <v>Electropolished Pipes Manufacturer &amp; Supplier in Hoa Binh</v>
      </c>
      <c r="AJ1815" s="15" t="str">
        <f t="shared" si="20"/>
        <v>EP-finished SS 304/316L pipes and tubes for VERIFY plants in Hoa Binh. ASME BPE SF1-SF4, Ra from 0.25 um, EN 10204 3.1 certificate with every lot.</v>
      </c>
      <c r="AK1815" s="15" t="str">
        <f t="shared" si="21"/>
        <v>Electropolished stainless steel pipes supplied by Sakshi Forge to VERIFY plants at VERIFY, Hoa Binh</v>
      </c>
      <c r="AL1815" s="15" t="str">
        <f t="shared" si="22"/>
        <v>Electropolished SS 316L tube stock for Hoa Binh - Sakshi Forge</v>
      </c>
      <c r="AM1815" s="15" t="str">
        <f t="shared" si="23"/>
        <v>Home &gt; Market Area &gt; Vietnam &gt; VERIFY &gt; Hoa Binh</v>
      </c>
      <c r="AN1815" s="15">
        <f t="shared" si="24"/>
        <v>750</v>
      </c>
      <c r="AO1815" s="15">
        <f t="shared" si="25"/>
        <v>6</v>
      </c>
      <c r="AP1815" s="15">
        <f t="shared" si="26"/>
        <v>6</v>
      </c>
      <c r="AQ1815" s="15">
        <f t="shared" si="27"/>
        <v>31</v>
      </c>
      <c r="AR1815" s="31"/>
      <c r="AS1815" s="31"/>
      <c r="AT1815" s="35" t="s">
        <v>222</v>
      </c>
      <c r="AU1815" s="35"/>
    </row>
    <row r="1816" ht="15.75" customHeight="1">
      <c r="A1816" s="15" t="s">
        <v>8008</v>
      </c>
      <c r="B1816" s="15" t="s">
        <v>454</v>
      </c>
      <c r="C1816" s="15" t="s">
        <v>98</v>
      </c>
      <c r="D1816" s="15" t="s">
        <v>8009</v>
      </c>
      <c r="E1816" s="15" t="s">
        <v>8009</v>
      </c>
      <c r="F1816" s="58" t="s">
        <v>807</v>
      </c>
      <c r="G1816" s="66" t="s">
        <v>98</v>
      </c>
      <c r="H1816" s="18" t="s">
        <v>98</v>
      </c>
      <c r="I1816" s="18" t="s">
        <v>98</v>
      </c>
      <c r="J1816" s="18" t="s">
        <v>98</v>
      </c>
      <c r="K1816" s="18" t="s">
        <v>98</v>
      </c>
      <c r="L1816" s="18" t="s">
        <v>98</v>
      </c>
      <c r="M1816" s="18" t="s">
        <v>660</v>
      </c>
      <c r="N1816" s="18" t="s">
        <v>461</v>
      </c>
      <c r="O1816" s="18" t="s">
        <v>98</v>
      </c>
      <c r="P1816" s="15" t="str">
        <f t="shared" si="1"/>
        <v>VERIFY</v>
      </c>
      <c r="Q1816" s="15">
        <f t="shared" si="2"/>
        <v>5</v>
      </c>
      <c r="R1816" s="15">
        <f t="shared" si="3"/>
        <v>7</v>
      </c>
      <c r="S1816" s="15">
        <f t="shared" si="4"/>
        <v>3</v>
      </c>
      <c r="T1816" s="15" t="str">
        <f t="shared" si="5"/>
        <v>C-1</v>
      </c>
      <c r="U1816" s="15" t="str">
        <f t="shared" si="6"/>
        <v>T5-M7-H3-FC-1-VERIFY</v>
      </c>
      <c r="V1816" s="15">
        <f t="shared" si="7"/>
        <v>1</v>
      </c>
      <c r="W1816" s="31"/>
      <c r="X1816" s="15" t="str">
        <f t="shared" si="8"/>
        <v>hue-vietnam</v>
      </c>
      <c r="Y1816" s="32" t="str">
        <f t="shared" si="9"/>
        <v>https://steelmanufacturer.in/market-area/electropolished-pipes-manufacturer-in-hue-vietnam/</v>
      </c>
      <c r="Z1816" s="15" t="str">
        <f t="shared" si="10"/>
        <v>Electropolished Pipes Manufacturer in Hue | Sanitary Tube Supply</v>
      </c>
      <c r="AA1816" s="15" t="str">
        <f t="shared" si="11"/>
        <v>OK (64)</v>
      </c>
      <c r="AB1816" s="15" t="str">
        <f t="shared" si="12"/>
        <v>Electropolished pipes in Hue: 304, 304L, 316 and 316L in SF1-SF4. 12-16 days sea from Nhava Sheva to Hai Phong. Mill certified.</v>
      </c>
      <c r="AC1816" s="15" t="str">
        <f t="shared" si="13"/>
        <v>PENDING RESEARCH</v>
      </c>
      <c r="AD1816" s="15" t="str">
        <f t="shared" si="14"/>
        <v>Electropolished Pipes Manufacturer in Hue</v>
      </c>
      <c r="AE1816" s="15" t="str">
        <f t="shared" si="15"/>
        <v>Electropolished Pipes Manufacturer in Hue - Our Process &amp; Capability</v>
      </c>
      <c r="AF1816" s="15" t="str">
        <f t="shared" si="16"/>
        <v>Electropolished Pipes Supplier in Hue - What We Hold in Stock</v>
      </c>
      <c r="AG1816" s="15" t="str">
        <f t="shared" si="17"/>
        <v>Bulk &amp; Wholesale Electropolished Pipe Rates for Hue Buyers</v>
      </c>
      <c r="AH1816" s="15" t="str">
        <f t="shared" si="18"/>
        <v>electropolished pipes manufacturer in Hue, electropolished pipes supplier in Hue, electropolished pipes wholesaler in Hue, electropolished tube manufacturer Hue, EP pipe supplier Hue, sanitary tube supplier Hue, ASME BPE tubing Hue, ASTM A270 tube Hue, SS 316L electropolished pipe Hue</v>
      </c>
      <c r="AI1816" s="15" t="str">
        <f t="shared" si="19"/>
        <v>Electropolished Pipes Manufacturer &amp; Supplier in Hue</v>
      </c>
      <c r="AJ1816" s="15" t="str">
        <f t="shared" si="20"/>
        <v>EP-finished SS 304/316L pipes and tubes for VERIFY plants in Hue. ASME BPE SF1-SF4, Ra from 0.25 um, EN 10204 3.1 certificate with every lot.</v>
      </c>
      <c r="AK1816" s="15" t="str">
        <f t="shared" si="21"/>
        <v>Electropolished stainless steel pipes supplied by Sakshi Forge to VERIFY plants at VERIFY, Hue</v>
      </c>
      <c r="AL1816" s="15" t="str">
        <f t="shared" si="22"/>
        <v>Electropolished SS 316L tube stock for Hue - Sakshi Forge</v>
      </c>
      <c r="AM1816" s="15" t="str">
        <f t="shared" si="23"/>
        <v>Home &gt; Market Area &gt; Vietnam &gt; VERIFY &gt; Hue</v>
      </c>
      <c r="AN1816" s="15">
        <f t="shared" si="24"/>
        <v>750</v>
      </c>
      <c r="AO1816" s="15">
        <f t="shared" si="25"/>
        <v>6</v>
      </c>
      <c r="AP1816" s="15">
        <f t="shared" si="26"/>
        <v>6</v>
      </c>
      <c r="AQ1816" s="15">
        <f t="shared" si="27"/>
        <v>31</v>
      </c>
      <c r="AR1816" s="31"/>
      <c r="AS1816" s="31"/>
      <c r="AT1816" s="35" t="s">
        <v>222</v>
      </c>
      <c r="AU1816" s="35"/>
    </row>
    <row r="1817" ht="15.75" customHeight="1">
      <c r="A1817" s="15" t="s">
        <v>8010</v>
      </c>
      <c r="B1817" s="15" t="s">
        <v>454</v>
      </c>
      <c r="C1817" s="15" t="s">
        <v>98</v>
      </c>
      <c r="D1817" s="15" t="s">
        <v>8011</v>
      </c>
      <c r="E1817" s="15" t="s">
        <v>8011</v>
      </c>
      <c r="F1817" s="58" t="s">
        <v>807</v>
      </c>
      <c r="G1817" s="66" t="s">
        <v>98</v>
      </c>
      <c r="H1817" s="18" t="s">
        <v>98</v>
      </c>
      <c r="I1817" s="18" t="s">
        <v>98</v>
      </c>
      <c r="J1817" s="18" t="s">
        <v>98</v>
      </c>
      <c r="K1817" s="18" t="s">
        <v>98</v>
      </c>
      <c r="L1817" s="18" t="s">
        <v>98</v>
      </c>
      <c r="M1817" s="18" t="s">
        <v>660</v>
      </c>
      <c r="N1817" s="18" t="s">
        <v>461</v>
      </c>
      <c r="O1817" s="18" t="s">
        <v>98</v>
      </c>
      <c r="P1817" s="15" t="str">
        <f t="shared" si="1"/>
        <v>VERIFY</v>
      </c>
      <c r="Q1817" s="15">
        <f t="shared" si="2"/>
        <v>6</v>
      </c>
      <c r="R1817" s="15">
        <f t="shared" si="3"/>
        <v>1</v>
      </c>
      <c r="S1817" s="15">
        <f t="shared" si="4"/>
        <v>4</v>
      </c>
      <c r="T1817" s="15" t="str">
        <f t="shared" si="5"/>
        <v>C-2</v>
      </c>
      <c r="U1817" s="15" t="str">
        <f t="shared" si="6"/>
        <v>T6-M1-H4-FC-2-VERIFY</v>
      </c>
      <c r="V1817" s="15">
        <f t="shared" si="7"/>
        <v>1</v>
      </c>
      <c r="W1817" s="31"/>
      <c r="X1817" s="15" t="str">
        <f t="shared" si="8"/>
        <v>kien-giang-vietnam</v>
      </c>
      <c r="Y1817" s="32" t="str">
        <f t="shared" si="9"/>
        <v>https://steelmanufacturer.in/market-area/electropolished-pipes-manufacturer-in-kien-giang-vietnam/</v>
      </c>
      <c r="Z1817" s="15" t="str">
        <f t="shared" si="10"/>
        <v>Electropolished Pipes Manufacturer in Kien Giang</v>
      </c>
      <c r="AA1817" s="15" t="str">
        <f t="shared" si="11"/>
        <v>OK (48)</v>
      </c>
      <c r="AB1817" s="15" t="str">
        <f t="shared" si="12"/>
        <v>EP-finished SS 304/316L pipes &amp; tubes for VERIFY plants in Kien Giang. ASTM A270, ASME BPE SF1-SF4, EN 10204 3.1 MTC. PMI tested.</v>
      </c>
      <c r="AC1817" s="15" t="str">
        <f t="shared" si="13"/>
        <v>PENDING RESEARCH</v>
      </c>
      <c r="AD1817" s="15" t="str">
        <f t="shared" si="14"/>
        <v>Electropolished Pipes Manufacturer in Kien Giang</v>
      </c>
      <c r="AE1817" s="15" t="str">
        <f t="shared" si="15"/>
        <v>Manufacturing Electropolished SS Tube for Kien Giang: The Standards We Build To</v>
      </c>
      <c r="AF1817" s="15" t="str">
        <f t="shared" si="16"/>
        <v>Electropolished Pipe Supply Into Kien Giang - Certification &amp; Transit</v>
      </c>
      <c r="AG1817" s="15" t="str">
        <f t="shared" si="17"/>
        <v>Electropolished Pipes Wholesaler in Kien Giang - Project Quantities &amp; Terms</v>
      </c>
      <c r="AH1817" s="15" t="str">
        <f t="shared" si="18"/>
        <v>electropolished pipes manufacturer in Kien Giang, electropolished pipes supplier in Kien Giang, electropolished pipes wholesaler in Kien Giang, electropolished tube manufacturer Kien Giang, EP pipe supplier Kien Giang, sanitary tube supplier Kien Giang, ASME BPE tubing Kien Giang, ASTM A270 tube Kien Giang, SS 316L electropolished pipe Kien Giang</v>
      </c>
      <c r="AI1817" s="15" t="str">
        <f t="shared" si="19"/>
        <v>Electropolished Pipes Manufacturer &amp; Supplier in Kien Giang</v>
      </c>
      <c r="AJ1817" s="15" t="str">
        <f t="shared" si="20"/>
        <v>EP-finished SS 304/316L pipes and tubes for VERIFY plants in Kien Giang. ASME BPE SF1-SF4, Ra from 0.25 um, EN 10204 3.1 certificate with every lot.</v>
      </c>
      <c r="AK1817" s="15" t="str">
        <f t="shared" si="21"/>
        <v>Electropolished stainless steel pipes supplied by Sakshi Forge to VERIFY plants at VERIFY, Kien Giang</v>
      </c>
      <c r="AL1817" s="15" t="str">
        <f t="shared" si="22"/>
        <v>Electropolished SS 316L tube stock for Kien Giang - Sakshi Forge</v>
      </c>
      <c r="AM1817" s="15" t="str">
        <f t="shared" si="23"/>
        <v>Home &gt; Market Area &gt; Vietnam &gt; VERIFY &gt; Kien Giang</v>
      </c>
      <c r="AN1817" s="15">
        <f t="shared" si="24"/>
        <v>750</v>
      </c>
      <c r="AO1817" s="15">
        <f t="shared" si="25"/>
        <v>6</v>
      </c>
      <c r="AP1817" s="15">
        <f t="shared" si="26"/>
        <v>6</v>
      </c>
      <c r="AQ1817" s="15">
        <f t="shared" si="27"/>
        <v>31</v>
      </c>
      <c r="AR1817" s="31"/>
      <c r="AS1817" s="31"/>
      <c r="AT1817" s="35" t="s">
        <v>222</v>
      </c>
      <c r="AU1817" s="35"/>
    </row>
    <row r="1818" ht="15.75" customHeight="1">
      <c r="A1818" s="15" t="s">
        <v>8012</v>
      </c>
      <c r="B1818" s="15" t="s">
        <v>454</v>
      </c>
      <c r="C1818" s="15" t="s">
        <v>98</v>
      </c>
      <c r="D1818" s="15" t="s">
        <v>8013</v>
      </c>
      <c r="E1818" s="15" t="s">
        <v>8013</v>
      </c>
      <c r="F1818" s="58" t="s">
        <v>807</v>
      </c>
      <c r="G1818" s="66" t="s">
        <v>98</v>
      </c>
      <c r="H1818" s="18" t="s">
        <v>98</v>
      </c>
      <c r="I1818" s="18" t="s">
        <v>98</v>
      </c>
      <c r="J1818" s="18" t="s">
        <v>98</v>
      </c>
      <c r="K1818" s="18" t="s">
        <v>98</v>
      </c>
      <c r="L1818" s="18" t="s">
        <v>98</v>
      </c>
      <c r="M1818" s="18" t="s">
        <v>660</v>
      </c>
      <c r="N1818" s="18" t="s">
        <v>461</v>
      </c>
      <c r="O1818" s="18" t="s">
        <v>98</v>
      </c>
      <c r="P1818" s="15" t="str">
        <f t="shared" si="1"/>
        <v>VERIFY</v>
      </c>
      <c r="Q1818" s="15">
        <f t="shared" si="2"/>
        <v>7</v>
      </c>
      <c r="R1818" s="15">
        <f t="shared" si="3"/>
        <v>2</v>
      </c>
      <c r="S1818" s="15">
        <f t="shared" si="4"/>
        <v>5</v>
      </c>
      <c r="T1818" s="15" t="str">
        <f t="shared" si="5"/>
        <v>C-3</v>
      </c>
      <c r="U1818" s="15" t="str">
        <f t="shared" si="6"/>
        <v>T7-M2-H5-FC-3-VERIFY</v>
      </c>
      <c r="V1818" s="15">
        <f t="shared" si="7"/>
        <v>1</v>
      </c>
      <c r="W1818" s="31"/>
      <c r="X1818" s="15" t="str">
        <f t="shared" si="8"/>
        <v>kon-tum-vietnam</v>
      </c>
      <c r="Y1818" s="32" t="str">
        <f t="shared" si="9"/>
        <v>https://steelmanufacturer.in/market-area/electropolished-pipes-manufacturer-in-kon-tum-vietnam/</v>
      </c>
      <c r="Z1818" s="15" t="str">
        <f t="shared" si="10"/>
        <v>Electropolished Pipes Manufacturer in Kon Tum | ASME BPE SF1-SF4</v>
      </c>
      <c r="AA1818" s="15" t="str">
        <f t="shared" si="11"/>
        <v>OK (64)</v>
      </c>
      <c r="AB1818" s="15" t="str">
        <f t="shared" si="12"/>
        <v>Electropolished tube supply to VERIFY, Kon Tum. Ra from 0.25 um, SF4 finish, mill test certificate with every lot.</v>
      </c>
      <c r="AC1818" s="15" t="str">
        <f t="shared" si="13"/>
        <v>PENDING RESEARCH</v>
      </c>
      <c r="AD1818" s="15" t="str">
        <f t="shared" si="14"/>
        <v>Electropolished Pipes Manufacturer in Kon Tum</v>
      </c>
      <c r="AE1818" s="15" t="str">
        <f t="shared" si="15"/>
        <v>Electropolished Tube Manufacturing Capability Serving Kon Tum</v>
      </c>
      <c r="AF1818" s="15" t="str">
        <f t="shared" si="16"/>
        <v>Electropolished Pipes Supplier in Kon Tum - From Order to Delivery</v>
      </c>
      <c r="AG1818" s="15" t="str">
        <f t="shared" si="17"/>
        <v>Stockist &amp; Wholesale Supply of Electropolished Pipes in Kon Tum</v>
      </c>
      <c r="AH1818" s="15" t="str">
        <f t="shared" si="18"/>
        <v>electropolished pipes manufacturer in Kon Tum, electropolished pipes supplier in Kon Tum, electropolished pipes wholesaler in Kon Tum, electropolished tube manufacturer Kon Tum, EP pipe supplier Kon Tum, sanitary tube supplier Kon Tum, ASME BPE tubing Kon Tum, ASTM A270 tube Kon Tum, SS 316L electropolished pipe Kon Tum</v>
      </c>
      <c r="AI1818" s="15" t="str">
        <f t="shared" si="19"/>
        <v>Electropolished Pipes Manufacturer &amp; Supplier in Kon Tum</v>
      </c>
      <c r="AJ1818" s="15" t="str">
        <f t="shared" si="20"/>
        <v>EP-finished SS 304/316L pipes and tubes for VERIFY plants in Kon Tum. ASME BPE SF1-SF4, Ra from 0.25 um, EN 10204 3.1 certificate with every lot.</v>
      </c>
      <c r="AK1818" s="15" t="str">
        <f t="shared" si="21"/>
        <v>Electropolished stainless steel pipes supplied by Sakshi Forge to VERIFY plants at VERIFY, Kon Tum</v>
      </c>
      <c r="AL1818" s="15" t="str">
        <f t="shared" si="22"/>
        <v>Electropolished SS 316L tube stock for Kon Tum - Sakshi Forge</v>
      </c>
      <c r="AM1818" s="15" t="str">
        <f t="shared" si="23"/>
        <v>Home &gt; Market Area &gt; Vietnam &gt; VERIFY &gt; Kon Tum</v>
      </c>
      <c r="AN1818" s="15">
        <f t="shared" si="24"/>
        <v>750</v>
      </c>
      <c r="AO1818" s="15">
        <f t="shared" si="25"/>
        <v>6</v>
      </c>
      <c r="AP1818" s="15">
        <f t="shared" si="26"/>
        <v>6</v>
      </c>
      <c r="AQ1818" s="15">
        <f t="shared" si="27"/>
        <v>31</v>
      </c>
      <c r="AR1818" s="31"/>
      <c r="AS1818" s="31"/>
      <c r="AT1818" s="35" t="s">
        <v>222</v>
      </c>
      <c r="AU1818" s="35"/>
    </row>
    <row r="1819" ht="15.75" customHeight="1">
      <c r="A1819" s="15" t="s">
        <v>8014</v>
      </c>
      <c r="B1819" s="15" t="s">
        <v>454</v>
      </c>
      <c r="C1819" s="15" t="s">
        <v>98</v>
      </c>
      <c r="D1819" s="15" t="s">
        <v>8015</v>
      </c>
      <c r="E1819" s="15" t="s">
        <v>8015</v>
      </c>
      <c r="F1819" s="58" t="s">
        <v>807</v>
      </c>
      <c r="G1819" s="66" t="s">
        <v>98</v>
      </c>
      <c r="H1819" s="18" t="s">
        <v>98</v>
      </c>
      <c r="I1819" s="18" t="s">
        <v>98</v>
      </c>
      <c r="J1819" s="18" t="s">
        <v>98</v>
      </c>
      <c r="K1819" s="18" t="s">
        <v>98</v>
      </c>
      <c r="L1819" s="18" t="s">
        <v>98</v>
      </c>
      <c r="M1819" s="18" t="s">
        <v>660</v>
      </c>
      <c r="N1819" s="18" t="s">
        <v>461</v>
      </c>
      <c r="O1819" s="18" t="s">
        <v>98</v>
      </c>
      <c r="P1819" s="15" t="str">
        <f t="shared" si="1"/>
        <v>VERIFY</v>
      </c>
      <c r="Q1819" s="15">
        <f t="shared" si="2"/>
        <v>8</v>
      </c>
      <c r="R1819" s="15">
        <f t="shared" si="3"/>
        <v>3</v>
      </c>
      <c r="S1819" s="15">
        <f t="shared" si="4"/>
        <v>1</v>
      </c>
      <c r="T1819" s="15" t="str">
        <f t="shared" si="5"/>
        <v>C-4</v>
      </c>
      <c r="U1819" s="15" t="str">
        <f t="shared" si="6"/>
        <v>T8-M3-H1-FC-4-VERIFY</v>
      </c>
      <c r="V1819" s="15">
        <f t="shared" si="7"/>
        <v>1</v>
      </c>
      <c r="W1819" s="31"/>
      <c r="X1819" s="15" t="str">
        <f t="shared" si="8"/>
        <v>lam-dong-vietnam</v>
      </c>
      <c r="Y1819" s="32" t="str">
        <f t="shared" si="9"/>
        <v>https://steelmanufacturer.in/market-area/electropolished-pipes-manufacturer-in-lam-dong-vietnam/</v>
      </c>
      <c r="Z1819" s="15" t="str">
        <f t="shared" si="10"/>
        <v>Electropolished Pipes Manufacturer in Lam Dong - EP Tube Stockist</v>
      </c>
      <c r="AA1819" s="15" t="str">
        <f t="shared" si="11"/>
        <v>OK (65)</v>
      </c>
      <c r="AB1819" s="15" t="str">
        <f t="shared" si="12"/>
        <v>EP stainless tube for VERIFY lines in Lam Dong. 12-16 days sea from Nhava Sheva to Hai Phong. ASTM A270 S2, PMI tested, EN 10204 3.1.</v>
      </c>
      <c r="AC1819" s="15" t="str">
        <f t="shared" si="13"/>
        <v>PENDING RESEARCH</v>
      </c>
      <c r="AD1819" s="15" t="str">
        <f t="shared" si="14"/>
        <v>Electropolished Pipes Manufacturer in Lam Dong</v>
      </c>
      <c r="AE1819" s="15" t="str">
        <f t="shared" si="15"/>
        <v>Electropolished Pipe &amp; Tube Manufacturing for Lam Dong - Grades, Finishes &amp; Certification</v>
      </c>
      <c r="AF1819" s="15" t="str">
        <f t="shared" si="16"/>
        <v>Electropolished Pipes Supplier in Lam Dong - Stock Sizes, Lead Time &amp; Delivery</v>
      </c>
      <c r="AG1819" s="15" t="str">
        <f t="shared" si="17"/>
        <v>Electropolished Pipes Wholesaler &amp; Stockist in Lam Dong - Bulk &amp; Project Pricing</v>
      </c>
      <c r="AH1819" s="15" t="str">
        <f t="shared" si="18"/>
        <v>electropolished pipes manufacturer in Lam Dong, electropolished pipes supplier in Lam Dong, electropolished pipes wholesaler in Lam Dong, electropolished tube manufacturer Lam Dong, EP pipe supplier Lam Dong, sanitary tube supplier Lam Dong, ASME BPE tubing Lam Dong, ASTM A270 tube Lam Dong, SS 316L electropolished pipe Lam Dong</v>
      </c>
      <c r="AI1819" s="15" t="str">
        <f t="shared" si="19"/>
        <v>Electropolished Pipes Manufacturer &amp; Supplier in Lam Dong</v>
      </c>
      <c r="AJ1819" s="15" t="str">
        <f t="shared" si="20"/>
        <v>EP-finished SS 304/316L pipes and tubes for VERIFY plants in Lam Dong. ASME BPE SF1-SF4, Ra from 0.25 um, EN 10204 3.1 certificate with every lot.</v>
      </c>
      <c r="AK1819" s="15" t="str">
        <f t="shared" si="21"/>
        <v>Electropolished stainless steel pipes supplied by Sakshi Forge to VERIFY plants at VERIFY, Lam Dong</v>
      </c>
      <c r="AL1819" s="15" t="str">
        <f t="shared" si="22"/>
        <v>Electropolished SS 316L tube stock for Lam Dong - Sakshi Forge</v>
      </c>
      <c r="AM1819" s="15" t="str">
        <f t="shared" si="23"/>
        <v>Home &gt; Market Area &gt; Vietnam &gt; VERIFY &gt; Lam Dong</v>
      </c>
      <c r="AN1819" s="15">
        <f t="shared" si="24"/>
        <v>750</v>
      </c>
      <c r="AO1819" s="15">
        <f t="shared" si="25"/>
        <v>6</v>
      </c>
      <c r="AP1819" s="15">
        <f t="shared" si="26"/>
        <v>6</v>
      </c>
      <c r="AQ1819" s="15">
        <f t="shared" si="27"/>
        <v>31</v>
      </c>
      <c r="AR1819" s="31"/>
      <c r="AS1819" s="31"/>
      <c r="AT1819" s="35" t="s">
        <v>222</v>
      </c>
      <c r="AU1819" s="35"/>
    </row>
    <row r="1820" ht="15.75" customHeight="1">
      <c r="A1820" s="15" t="s">
        <v>8019</v>
      </c>
      <c r="B1820" s="15" t="s">
        <v>454</v>
      </c>
      <c r="C1820" s="15" t="s">
        <v>98</v>
      </c>
      <c r="D1820" s="15" t="s">
        <v>8021</v>
      </c>
      <c r="E1820" s="15" t="s">
        <v>8021</v>
      </c>
      <c r="F1820" s="58" t="s">
        <v>807</v>
      </c>
      <c r="G1820" s="66" t="s">
        <v>98</v>
      </c>
      <c r="H1820" s="18" t="s">
        <v>98</v>
      </c>
      <c r="I1820" s="18" t="s">
        <v>98</v>
      </c>
      <c r="J1820" s="18" t="s">
        <v>98</v>
      </c>
      <c r="K1820" s="18" t="s">
        <v>98</v>
      </c>
      <c r="L1820" s="18" t="s">
        <v>98</v>
      </c>
      <c r="M1820" s="18" t="s">
        <v>660</v>
      </c>
      <c r="N1820" s="18" t="s">
        <v>461</v>
      </c>
      <c r="O1820" s="18" t="s">
        <v>98</v>
      </c>
      <c r="P1820" s="15" t="str">
        <f t="shared" si="1"/>
        <v>VERIFY</v>
      </c>
      <c r="Q1820" s="15">
        <f t="shared" si="2"/>
        <v>1</v>
      </c>
      <c r="R1820" s="15">
        <f t="shared" si="3"/>
        <v>4</v>
      </c>
      <c r="S1820" s="15">
        <f t="shared" si="4"/>
        <v>2</v>
      </c>
      <c r="T1820" s="15" t="str">
        <f t="shared" si="5"/>
        <v>C-5</v>
      </c>
      <c r="U1820" s="15" t="str">
        <f t="shared" si="6"/>
        <v>T1-M4-H2-FC-5-VERIFY</v>
      </c>
      <c r="V1820" s="15">
        <f t="shared" si="7"/>
        <v>1</v>
      </c>
      <c r="W1820" s="31"/>
      <c r="X1820" s="15" t="str">
        <f t="shared" si="8"/>
        <v>lang-son-vietnam</v>
      </c>
      <c r="Y1820" s="32" t="str">
        <f t="shared" si="9"/>
        <v>https://steelmanufacturer.in/market-area/electropolished-pipes-manufacturer-in-lang-son-vietnam/</v>
      </c>
      <c r="Z1820" s="15" t="str">
        <f t="shared" si="10"/>
        <v>Electropolished Pipes Manufacturer in Lang Son | Sakshi Forge</v>
      </c>
      <c r="AA1820" s="15" t="str">
        <f t="shared" si="11"/>
        <v>OK (61)</v>
      </c>
      <c r="AB1820" s="15" t="str">
        <f t="shared" si="12"/>
        <v>Sanitary electropolished pipes in Lang Son for VERIFY plants. ASME BPE SF1-SF4, orbital-weld ready, 3.1 MTC. Mumbai-made.</v>
      </c>
      <c r="AC1820" s="15" t="str">
        <f t="shared" si="13"/>
        <v>PENDING RESEARCH</v>
      </c>
      <c r="AD1820" s="15" t="str">
        <f t="shared" si="14"/>
        <v>Electropolished Pipes Manufacturer in Lang Son</v>
      </c>
      <c r="AE1820" s="15" t="str">
        <f t="shared" si="15"/>
        <v>How We Manufacture Electropolished Tube for Lang Son Plants</v>
      </c>
      <c r="AF1820" s="15" t="str">
        <f t="shared" si="16"/>
        <v>Supplying Electropolished Pipes in Lang Son: Availability, Sizes &amp; Dispatch</v>
      </c>
      <c r="AG1820" s="15" t="str">
        <f t="shared" si="17"/>
        <v>Wholesale Electropolished Pipe Supply for Lang Son Projects</v>
      </c>
      <c r="AH1820" s="15" t="str">
        <f t="shared" si="18"/>
        <v>electropolished pipes manufacturer in Lang Son, electropolished pipes supplier in Lang Son, electropolished pipes wholesaler in Lang Son, electropolished tube manufacturer Lang Son, EP pipe supplier Lang Son, sanitary tube supplier Lang Son, ASME BPE tubing Lang Son, ASTM A270 tube Lang Son, SS 316L electropolished pipe Lang Son</v>
      </c>
      <c r="AI1820" s="15" t="str">
        <f t="shared" si="19"/>
        <v>Electropolished Pipes Manufacturer &amp; Supplier in Lang Son</v>
      </c>
      <c r="AJ1820" s="15" t="str">
        <f t="shared" si="20"/>
        <v>EP-finished SS 304/316L pipes and tubes for VERIFY plants in Lang Son. ASME BPE SF1-SF4, Ra from 0.25 um, EN 10204 3.1 certificate with every lot.</v>
      </c>
      <c r="AK1820" s="15" t="str">
        <f t="shared" si="21"/>
        <v>Electropolished stainless steel pipes supplied by Sakshi Forge to VERIFY plants at VERIFY, Lang Son</v>
      </c>
      <c r="AL1820" s="15" t="str">
        <f t="shared" si="22"/>
        <v>Electropolished SS 316L tube stock for Lang Son - Sakshi Forge</v>
      </c>
      <c r="AM1820" s="15" t="str">
        <f t="shared" si="23"/>
        <v>Home &gt; Market Area &gt; Vietnam &gt; VERIFY &gt; Lang Son</v>
      </c>
      <c r="AN1820" s="15">
        <f t="shared" si="24"/>
        <v>750</v>
      </c>
      <c r="AO1820" s="15">
        <f t="shared" si="25"/>
        <v>6</v>
      </c>
      <c r="AP1820" s="15">
        <f t="shared" si="26"/>
        <v>6</v>
      </c>
      <c r="AQ1820" s="15">
        <f t="shared" si="27"/>
        <v>31</v>
      </c>
      <c r="AR1820" s="31"/>
      <c r="AS1820" s="31"/>
      <c r="AT1820" s="35" t="s">
        <v>222</v>
      </c>
      <c r="AU1820" s="35"/>
    </row>
    <row r="1821" ht="15.75" customHeight="1">
      <c r="A1821" s="15" t="s">
        <v>8023</v>
      </c>
      <c r="B1821" s="15" t="s">
        <v>454</v>
      </c>
      <c r="C1821" s="15" t="s">
        <v>98</v>
      </c>
      <c r="D1821" s="15" t="s">
        <v>8024</v>
      </c>
      <c r="E1821" s="15" t="s">
        <v>8024</v>
      </c>
      <c r="F1821" s="58" t="s">
        <v>807</v>
      </c>
      <c r="G1821" s="66" t="s">
        <v>98</v>
      </c>
      <c r="H1821" s="18" t="s">
        <v>98</v>
      </c>
      <c r="I1821" s="18" t="s">
        <v>98</v>
      </c>
      <c r="J1821" s="18" t="s">
        <v>98</v>
      </c>
      <c r="K1821" s="18" t="s">
        <v>98</v>
      </c>
      <c r="L1821" s="18" t="s">
        <v>98</v>
      </c>
      <c r="M1821" s="18" t="s">
        <v>660</v>
      </c>
      <c r="N1821" s="18" t="s">
        <v>461</v>
      </c>
      <c r="O1821" s="18" t="s">
        <v>98</v>
      </c>
      <c r="P1821" s="15" t="str">
        <f t="shared" si="1"/>
        <v>VERIFY</v>
      </c>
      <c r="Q1821" s="15">
        <f t="shared" si="2"/>
        <v>2</v>
      </c>
      <c r="R1821" s="15">
        <f t="shared" si="3"/>
        <v>5</v>
      </c>
      <c r="S1821" s="15">
        <f t="shared" si="4"/>
        <v>3</v>
      </c>
      <c r="T1821" s="15" t="str">
        <f t="shared" si="5"/>
        <v>C-6</v>
      </c>
      <c r="U1821" s="15" t="str">
        <f t="shared" si="6"/>
        <v>T2-M5-H3-FC-6-VERIFY</v>
      </c>
      <c r="V1821" s="15">
        <f t="shared" si="7"/>
        <v>1</v>
      </c>
      <c r="W1821" s="31"/>
      <c r="X1821" s="15" t="str">
        <f t="shared" si="8"/>
        <v>lao-cai-vietnam</v>
      </c>
      <c r="Y1821" s="32" t="str">
        <f t="shared" si="9"/>
        <v>https://steelmanufacturer.in/market-area/electropolished-pipes-manufacturer-in-lao-cai-vietnam/</v>
      </c>
      <c r="Z1821" s="15" t="str">
        <f t="shared" si="10"/>
        <v>Electropolished Pipes Manufacturer in Lao Cai</v>
      </c>
      <c r="AA1821" s="15" t="str">
        <f t="shared" si="11"/>
        <v>OK (45)</v>
      </c>
      <c r="AB1821" s="15" t="str">
        <f t="shared" si="12"/>
        <v>Manufacturer of electropolished SS 316L tube serving Lao Cai. 12-16 days sea from Nhava Sheva to Hai Phong. Ra 0.25-0.5 um, EN 10204 3.1 MTC.</v>
      </c>
      <c r="AC1821" s="15" t="str">
        <f t="shared" si="13"/>
        <v>PENDING RESEARCH</v>
      </c>
      <c r="AD1821" s="15" t="str">
        <f t="shared" si="14"/>
        <v>Electropolished Pipes Manufacturer in Lao Cai</v>
      </c>
      <c r="AE1821" s="15" t="str">
        <f t="shared" si="15"/>
        <v>Electropolished Pipes Manufacturer in Lao Cai - Our Process &amp; Capability</v>
      </c>
      <c r="AF1821" s="15" t="str">
        <f t="shared" si="16"/>
        <v>Electropolished Pipes Supplier in Lao Cai - What We Hold in Stock</v>
      </c>
      <c r="AG1821" s="15" t="str">
        <f t="shared" si="17"/>
        <v>Bulk &amp; Wholesale Electropolished Pipe Rates for Lao Cai Buyers</v>
      </c>
      <c r="AH1821" s="15" t="str">
        <f t="shared" si="18"/>
        <v>electropolished pipes manufacturer in Lao Cai, electropolished pipes supplier in Lao Cai, electropolished pipes wholesaler in Lao Cai, electropolished tube manufacturer Lao Cai, EP pipe supplier Lao Cai, sanitary tube supplier Lao Cai, ASME BPE tubing Lao Cai, ASTM A270 tube Lao Cai, SS 316L electropolished pipe Lao Cai</v>
      </c>
      <c r="AI1821" s="15" t="str">
        <f t="shared" si="19"/>
        <v>Electropolished Pipes Manufacturer &amp; Supplier in Lao Cai</v>
      </c>
      <c r="AJ1821" s="15" t="str">
        <f t="shared" si="20"/>
        <v>EP-finished SS 304/316L pipes and tubes for VERIFY plants in Lao Cai. ASME BPE SF1-SF4, Ra from 0.25 um, EN 10204 3.1 certificate with every lot.</v>
      </c>
      <c r="AK1821" s="15" t="str">
        <f t="shared" si="21"/>
        <v>Electropolished stainless steel pipes supplied by Sakshi Forge to VERIFY plants at VERIFY, Lao Cai</v>
      </c>
      <c r="AL1821" s="15" t="str">
        <f t="shared" si="22"/>
        <v>Electropolished SS 316L tube stock for Lao Cai - Sakshi Forge</v>
      </c>
      <c r="AM1821" s="15" t="str">
        <f t="shared" si="23"/>
        <v>Home &gt; Market Area &gt; Vietnam &gt; VERIFY &gt; Lao Cai</v>
      </c>
      <c r="AN1821" s="15">
        <f t="shared" si="24"/>
        <v>750</v>
      </c>
      <c r="AO1821" s="15">
        <f t="shared" si="25"/>
        <v>6</v>
      </c>
      <c r="AP1821" s="15">
        <f t="shared" si="26"/>
        <v>6</v>
      </c>
      <c r="AQ1821" s="15">
        <f t="shared" si="27"/>
        <v>31</v>
      </c>
      <c r="AR1821" s="31"/>
      <c r="AS1821" s="31"/>
      <c r="AT1821" s="35" t="s">
        <v>222</v>
      </c>
      <c r="AU1821" s="35"/>
    </row>
    <row r="1822" ht="15.75" customHeight="1">
      <c r="A1822" s="15" t="s">
        <v>8025</v>
      </c>
      <c r="B1822" s="15" t="s">
        <v>454</v>
      </c>
      <c r="C1822" s="15" t="s">
        <v>98</v>
      </c>
      <c r="D1822" s="15" t="s">
        <v>8026</v>
      </c>
      <c r="E1822" s="15" t="s">
        <v>8026</v>
      </c>
      <c r="F1822" s="58" t="s">
        <v>807</v>
      </c>
      <c r="G1822" s="66" t="s">
        <v>98</v>
      </c>
      <c r="H1822" s="18" t="s">
        <v>98</v>
      </c>
      <c r="I1822" s="18" t="s">
        <v>98</v>
      </c>
      <c r="J1822" s="18" t="s">
        <v>98</v>
      </c>
      <c r="K1822" s="18" t="s">
        <v>98</v>
      </c>
      <c r="L1822" s="18" t="s">
        <v>98</v>
      </c>
      <c r="M1822" s="18" t="s">
        <v>660</v>
      </c>
      <c r="N1822" s="18" t="s">
        <v>461</v>
      </c>
      <c r="O1822" s="18" t="s">
        <v>98</v>
      </c>
      <c r="P1822" s="15" t="str">
        <f t="shared" si="1"/>
        <v>VERIFY</v>
      </c>
      <c r="Q1822" s="15">
        <f t="shared" si="2"/>
        <v>3</v>
      </c>
      <c r="R1822" s="15">
        <f t="shared" si="3"/>
        <v>6</v>
      </c>
      <c r="S1822" s="15">
        <f t="shared" si="4"/>
        <v>4</v>
      </c>
      <c r="T1822" s="15" t="str">
        <f t="shared" si="5"/>
        <v>C-1</v>
      </c>
      <c r="U1822" s="15" t="str">
        <f t="shared" si="6"/>
        <v>T3-M6-H4-FC-1-VERIFY</v>
      </c>
      <c r="V1822" s="15">
        <f t="shared" si="7"/>
        <v>1</v>
      </c>
      <c r="W1822" s="31"/>
      <c r="X1822" s="15" t="str">
        <f t="shared" si="8"/>
        <v>nam-dinh-vietnam</v>
      </c>
      <c r="Y1822" s="32" t="str">
        <f t="shared" si="9"/>
        <v>https://steelmanufacturer.in/market-area/electropolished-pipes-manufacturer-in-nam-dinh-vietnam/</v>
      </c>
      <c r="Z1822" s="15" t="str">
        <f t="shared" si="10"/>
        <v>Electropolished Pipes Manufacturer in Nam Dinh | EP Tube Supplier</v>
      </c>
      <c r="AA1822" s="15" t="str">
        <f t="shared" si="11"/>
        <v>OK (65)</v>
      </c>
      <c r="AB1822" s="15" t="str">
        <f t="shared" si="12"/>
        <v>EP tube and pipe for VERIFY plants around VERIFY, Nam Dinh. Made at our Mumbai works to ASTM A270 and ASME BPE SF1-SF4, with 3.1 MTC.</v>
      </c>
      <c r="AC1822" s="15" t="str">
        <f t="shared" si="13"/>
        <v>PENDING RESEARCH</v>
      </c>
      <c r="AD1822" s="15" t="str">
        <f t="shared" si="14"/>
        <v>Electropolished Pipes Manufacturer in Nam Dinh</v>
      </c>
      <c r="AE1822" s="15" t="str">
        <f t="shared" si="15"/>
        <v>Manufacturing Electropolished SS Tube for Nam Dinh: The Standards We Build To</v>
      </c>
      <c r="AF1822" s="15" t="str">
        <f t="shared" si="16"/>
        <v>Electropolished Pipe Supply Into Nam Dinh - Certification &amp; Transit</v>
      </c>
      <c r="AG1822" s="15" t="str">
        <f t="shared" si="17"/>
        <v>Electropolished Pipes Wholesaler in Nam Dinh - Project Quantities &amp; Terms</v>
      </c>
      <c r="AH1822" s="15" t="str">
        <f t="shared" si="18"/>
        <v>electropolished pipes manufacturer in Nam Dinh, electropolished pipes supplier in Nam Dinh, electropolished pipes wholesaler in Nam Dinh, electropolished tube manufacturer Nam Dinh, EP pipe supplier Nam Dinh, sanitary tube supplier Nam Dinh, ASME BPE tubing Nam Dinh, ASTM A270 tube Nam Dinh, SS 316L electropolished pipe Nam Dinh</v>
      </c>
      <c r="AI1822" s="15" t="str">
        <f t="shared" si="19"/>
        <v>Electropolished Pipes Manufacturer &amp; Supplier in Nam Dinh</v>
      </c>
      <c r="AJ1822" s="15" t="str">
        <f t="shared" si="20"/>
        <v>EP-finished SS 304/316L pipes and tubes for VERIFY plants in Nam Dinh. ASME BPE SF1-SF4, Ra from 0.25 um, EN 10204 3.1 certificate with every lot.</v>
      </c>
      <c r="AK1822" s="15" t="str">
        <f t="shared" si="21"/>
        <v>Electropolished stainless steel pipes supplied by Sakshi Forge to VERIFY plants at VERIFY, Nam Dinh</v>
      </c>
      <c r="AL1822" s="15" t="str">
        <f t="shared" si="22"/>
        <v>Electropolished SS 316L tube stock for Nam Dinh - Sakshi Forge</v>
      </c>
      <c r="AM1822" s="15" t="str">
        <f t="shared" si="23"/>
        <v>Home &gt; Market Area &gt; Vietnam &gt; VERIFY &gt; Nam Dinh</v>
      </c>
      <c r="AN1822" s="15">
        <f t="shared" si="24"/>
        <v>750</v>
      </c>
      <c r="AO1822" s="15">
        <f t="shared" si="25"/>
        <v>6</v>
      </c>
      <c r="AP1822" s="15">
        <f t="shared" si="26"/>
        <v>6</v>
      </c>
      <c r="AQ1822" s="15">
        <f t="shared" si="27"/>
        <v>31</v>
      </c>
      <c r="AR1822" s="31"/>
      <c r="AS1822" s="31"/>
      <c r="AT1822" s="35" t="s">
        <v>222</v>
      </c>
      <c r="AU1822" s="35"/>
    </row>
    <row r="1823" ht="15.75" customHeight="1">
      <c r="A1823" s="15" t="s">
        <v>8027</v>
      </c>
      <c r="B1823" s="15" t="s">
        <v>454</v>
      </c>
      <c r="C1823" s="15" t="s">
        <v>98</v>
      </c>
      <c r="D1823" s="15" t="s">
        <v>8028</v>
      </c>
      <c r="E1823" s="15" t="s">
        <v>8028</v>
      </c>
      <c r="F1823" s="58" t="s">
        <v>807</v>
      </c>
      <c r="G1823" s="66" t="s">
        <v>98</v>
      </c>
      <c r="H1823" s="18" t="s">
        <v>98</v>
      </c>
      <c r="I1823" s="18" t="s">
        <v>98</v>
      </c>
      <c r="J1823" s="18" t="s">
        <v>98</v>
      </c>
      <c r="K1823" s="18" t="s">
        <v>98</v>
      </c>
      <c r="L1823" s="18" t="s">
        <v>98</v>
      </c>
      <c r="M1823" s="18" t="s">
        <v>660</v>
      </c>
      <c r="N1823" s="18" t="s">
        <v>461</v>
      </c>
      <c r="O1823" s="18" t="s">
        <v>98</v>
      </c>
      <c r="P1823" s="15" t="str">
        <f t="shared" si="1"/>
        <v>VERIFY</v>
      </c>
      <c r="Q1823" s="15">
        <f t="shared" si="2"/>
        <v>4</v>
      </c>
      <c r="R1823" s="15">
        <f t="shared" si="3"/>
        <v>7</v>
      </c>
      <c r="S1823" s="15">
        <f t="shared" si="4"/>
        <v>5</v>
      </c>
      <c r="T1823" s="15" t="str">
        <f t="shared" si="5"/>
        <v>C-2</v>
      </c>
      <c r="U1823" s="15" t="str">
        <f t="shared" si="6"/>
        <v>T4-M7-H5-FC-2-VERIFY</v>
      </c>
      <c r="V1823" s="15">
        <f t="shared" si="7"/>
        <v>1</v>
      </c>
      <c r="W1823" s="31"/>
      <c r="X1823" s="15" t="str">
        <f t="shared" si="8"/>
        <v>ninh-binh-vietnam</v>
      </c>
      <c r="Y1823" s="32" t="str">
        <f t="shared" si="9"/>
        <v>https://steelmanufacturer.in/market-area/electropolished-pipes-manufacturer-in-ninh-binh-vietnam/</v>
      </c>
      <c r="Z1823" s="15" t="str">
        <f t="shared" si="10"/>
        <v>Electropolished Pipes Manufacturer in Ninh Binh</v>
      </c>
      <c r="AA1823" s="15" t="str">
        <f t="shared" si="11"/>
        <v>OK (47)</v>
      </c>
      <c r="AB1823" s="15" t="str">
        <f t="shared" si="12"/>
        <v>Electropolished pipes in Ninh Binh: 304, 304L, 316 and 316L in SF1-SF4. 12-16 days sea from Nhava Sheva to Hai Phong. Mill certified.</v>
      </c>
      <c r="AC1823" s="15" t="str">
        <f t="shared" si="13"/>
        <v>PENDING RESEARCH</v>
      </c>
      <c r="AD1823" s="15" t="str">
        <f t="shared" si="14"/>
        <v>Electropolished Pipes Manufacturer in Ninh Binh</v>
      </c>
      <c r="AE1823" s="15" t="str">
        <f t="shared" si="15"/>
        <v>Electropolished Tube Manufacturing Capability Serving Ninh Binh</v>
      </c>
      <c r="AF1823" s="15" t="str">
        <f t="shared" si="16"/>
        <v>Electropolished Pipes Supplier in Ninh Binh - From Order to Delivery</v>
      </c>
      <c r="AG1823" s="15" t="str">
        <f t="shared" si="17"/>
        <v>Stockist &amp; Wholesale Supply of Electropolished Pipes in Ninh Binh</v>
      </c>
      <c r="AH1823" s="15" t="str">
        <f t="shared" si="18"/>
        <v>electropolished pipes manufacturer in Ninh Binh, electropolished pipes supplier in Ninh Binh, electropolished pipes wholesaler in Ninh Binh, electropolished tube manufacturer Ninh Binh, EP pipe supplier Ninh Binh, sanitary tube supplier Ninh Binh, ASME BPE tubing Ninh Binh, ASTM A270 tube Ninh Binh, SS 316L electropolished pipe Ninh Binh</v>
      </c>
      <c r="AI1823" s="15" t="str">
        <f t="shared" si="19"/>
        <v>Electropolished Pipes Manufacturer &amp; Supplier in Ninh Binh</v>
      </c>
      <c r="AJ1823" s="15" t="str">
        <f t="shared" si="20"/>
        <v>EP-finished SS 304/316L pipes and tubes for VERIFY plants in Ninh Binh. ASME BPE SF1-SF4, Ra from 0.25 um, EN 10204 3.1 certificate with every lot.</v>
      </c>
      <c r="AK1823" s="15" t="str">
        <f t="shared" si="21"/>
        <v>Electropolished stainless steel pipes supplied by Sakshi Forge to VERIFY plants at VERIFY, Ninh Binh</v>
      </c>
      <c r="AL1823" s="15" t="str">
        <f t="shared" si="22"/>
        <v>Electropolished SS 316L tube stock for Ninh Binh - Sakshi Forge</v>
      </c>
      <c r="AM1823" s="15" t="str">
        <f t="shared" si="23"/>
        <v>Home &gt; Market Area &gt; Vietnam &gt; VERIFY &gt; Ninh Binh</v>
      </c>
      <c r="AN1823" s="15">
        <f t="shared" si="24"/>
        <v>750</v>
      </c>
      <c r="AO1823" s="15">
        <f t="shared" si="25"/>
        <v>6</v>
      </c>
      <c r="AP1823" s="15">
        <f t="shared" si="26"/>
        <v>6</v>
      </c>
      <c r="AQ1823" s="15">
        <f t="shared" si="27"/>
        <v>31</v>
      </c>
      <c r="AR1823" s="31"/>
      <c r="AS1823" s="31"/>
      <c r="AT1823" s="35" t="s">
        <v>222</v>
      </c>
      <c r="AU1823" s="35"/>
    </row>
    <row r="1824" ht="15.75" customHeight="1">
      <c r="A1824" s="15" t="s">
        <v>8029</v>
      </c>
      <c r="B1824" s="15" t="s">
        <v>454</v>
      </c>
      <c r="C1824" s="15" t="s">
        <v>98</v>
      </c>
      <c r="D1824" s="15" t="s">
        <v>8030</v>
      </c>
      <c r="E1824" s="15" t="s">
        <v>8030</v>
      </c>
      <c r="F1824" s="58" t="s">
        <v>807</v>
      </c>
      <c r="G1824" s="66" t="s">
        <v>98</v>
      </c>
      <c r="H1824" s="18" t="s">
        <v>98</v>
      </c>
      <c r="I1824" s="18" t="s">
        <v>98</v>
      </c>
      <c r="J1824" s="18" t="s">
        <v>98</v>
      </c>
      <c r="K1824" s="18" t="s">
        <v>98</v>
      </c>
      <c r="L1824" s="18" t="s">
        <v>98</v>
      </c>
      <c r="M1824" s="18" t="s">
        <v>660</v>
      </c>
      <c r="N1824" s="18" t="s">
        <v>461</v>
      </c>
      <c r="O1824" s="18" t="s">
        <v>98</v>
      </c>
      <c r="P1824" s="15" t="str">
        <f t="shared" si="1"/>
        <v>VERIFY</v>
      </c>
      <c r="Q1824" s="15">
        <f t="shared" si="2"/>
        <v>5</v>
      </c>
      <c r="R1824" s="15">
        <f t="shared" si="3"/>
        <v>1</v>
      </c>
      <c r="S1824" s="15">
        <f t="shared" si="4"/>
        <v>1</v>
      </c>
      <c r="T1824" s="15" t="str">
        <f t="shared" si="5"/>
        <v>C-3</v>
      </c>
      <c r="U1824" s="15" t="str">
        <f t="shared" si="6"/>
        <v>T5-M1-H1-FC-3-VERIFY</v>
      </c>
      <c r="V1824" s="15">
        <f t="shared" si="7"/>
        <v>1</v>
      </c>
      <c r="W1824" s="31"/>
      <c r="X1824" s="15" t="str">
        <f t="shared" si="8"/>
        <v>ninh-thuan-vietnam</v>
      </c>
      <c r="Y1824" s="32" t="str">
        <f t="shared" si="9"/>
        <v>https://steelmanufacturer.in/market-area/electropolished-pipes-manufacturer-in-ninh-thuan-vietnam/</v>
      </c>
      <c r="Z1824" s="15" t="str">
        <f t="shared" si="10"/>
        <v>Electropolished Pipes Manufacturer in Ninh Thuan</v>
      </c>
      <c r="AA1824" s="15" t="str">
        <f t="shared" si="11"/>
        <v>OK (48)</v>
      </c>
      <c r="AB1824" s="15" t="str">
        <f t="shared" si="12"/>
        <v>EP-finished SS 304/316L pipes &amp; tubes for VERIFY plants in Ninh Thuan. ASTM A270, ASME BPE SF1-SF4, EN 10204 3.1 MTC. PMI tested.</v>
      </c>
      <c r="AC1824" s="15" t="str">
        <f t="shared" si="13"/>
        <v>PENDING RESEARCH</v>
      </c>
      <c r="AD1824" s="15" t="str">
        <f t="shared" si="14"/>
        <v>Electropolished Pipes Manufacturer in Ninh Thuan</v>
      </c>
      <c r="AE1824" s="15" t="str">
        <f t="shared" si="15"/>
        <v>Electropolished Pipe &amp; Tube Manufacturing for Ninh Thuan - Grades, Finishes &amp; Certification</v>
      </c>
      <c r="AF1824" s="15" t="str">
        <f t="shared" si="16"/>
        <v>Electropolished Pipes Supplier in Ninh Thuan - Stock Sizes, Lead Time &amp; Delivery</v>
      </c>
      <c r="AG1824" s="15" t="str">
        <f t="shared" si="17"/>
        <v>Electropolished Pipes Wholesaler &amp; Stockist in Ninh Thuan - Bulk &amp; Project Pricing</v>
      </c>
      <c r="AH1824" s="15" t="str">
        <f t="shared" si="18"/>
        <v>electropolished pipes manufacturer in Ninh Thuan, electropolished pipes supplier in Ninh Thuan, electropolished pipes wholesaler in Ninh Thuan, electropolished tube manufacturer Ninh Thuan, EP pipe supplier Ninh Thuan, sanitary tube supplier Ninh Thuan, ASME BPE tubing Ninh Thuan, ASTM A270 tube Ninh Thuan, SS 316L electropolished pipe Ninh Thuan</v>
      </c>
      <c r="AI1824" s="15" t="str">
        <f t="shared" si="19"/>
        <v>Electropolished Pipes Manufacturer &amp; Supplier in Ninh Thuan</v>
      </c>
      <c r="AJ1824" s="15" t="str">
        <f t="shared" si="20"/>
        <v>EP-finished SS 304/316L pipes and tubes for VERIFY plants in Ninh Thuan. ASME BPE SF1-SF4, Ra from 0.25 um, EN 10204 3.1 certificate with every lot.</v>
      </c>
      <c r="AK1824" s="15" t="str">
        <f t="shared" si="21"/>
        <v>Electropolished stainless steel pipes supplied by Sakshi Forge to VERIFY plants at VERIFY, Ninh Thuan</v>
      </c>
      <c r="AL1824" s="15" t="str">
        <f t="shared" si="22"/>
        <v>Electropolished SS 316L tube stock for Ninh Thuan - Sakshi Forge</v>
      </c>
      <c r="AM1824" s="15" t="str">
        <f t="shared" si="23"/>
        <v>Home &gt; Market Area &gt; Vietnam &gt; VERIFY &gt; Ninh Thuan</v>
      </c>
      <c r="AN1824" s="15">
        <f t="shared" si="24"/>
        <v>750</v>
      </c>
      <c r="AO1824" s="15">
        <f t="shared" si="25"/>
        <v>6</v>
      </c>
      <c r="AP1824" s="15">
        <f t="shared" si="26"/>
        <v>6</v>
      </c>
      <c r="AQ1824" s="15">
        <f t="shared" si="27"/>
        <v>31</v>
      </c>
      <c r="AR1824" s="31"/>
      <c r="AS1824" s="31"/>
      <c r="AT1824" s="35" t="s">
        <v>222</v>
      </c>
      <c r="AU1824" s="35"/>
    </row>
    <row r="1825" ht="15.75" customHeight="1">
      <c r="A1825" s="15" t="s">
        <v>8031</v>
      </c>
      <c r="B1825" s="15" t="s">
        <v>454</v>
      </c>
      <c r="C1825" s="15" t="s">
        <v>98</v>
      </c>
      <c r="D1825" s="15" t="s">
        <v>8032</v>
      </c>
      <c r="E1825" s="15" t="s">
        <v>8032</v>
      </c>
      <c r="F1825" s="58" t="s">
        <v>807</v>
      </c>
      <c r="G1825" s="66" t="s">
        <v>98</v>
      </c>
      <c r="H1825" s="18" t="s">
        <v>98</v>
      </c>
      <c r="I1825" s="18" t="s">
        <v>98</v>
      </c>
      <c r="J1825" s="18" t="s">
        <v>98</v>
      </c>
      <c r="K1825" s="18" t="s">
        <v>98</v>
      </c>
      <c r="L1825" s="18" t="s">
        <v>98</v>
      </c>
      <c r="M1825" s="18" t="s">
        <v>660</v>
      </c>
      <c r="N1825" s="18" t="s">
        <v>461</v>
      </c>
      <c r="O1825" s="18" t="s">
        <v>98</v>
      </c>
      <c r="P1825" s="15" t="str">
        <f t="shared" si="1"/>
        <v>VERIFY</v>
      </c>
      <c r="Q1825" s="15">
        <f t="shared" si="2"/>
        <v>6</v>
      </c>
      <c r="R1825" s="15">
        <f t="shared" si="3"/>
        <v>2</v>
      </c>
      <c r="S1825" s="15">
        <f t="shared" si="4"/>
        <v>2</v>
      </c>
      <c r="T1825" s="15" t="str">
        <f t="shared" si="5"/>
        <v>C-4</v>
      </c>
      <c r="U1825" s="15" t="str">
        <f t="shared" si="6"/>
        <v>T6-M2-H2-FC-4-VERIFY</v>
      </c>
      <c r="V1825" s="15">
        <f t="shared" si="7"/>
        <v>1</v>
      </c>
      <c r="W1825" s="31"/>
      <c r="X1825" s="15" t="str">
        <f t="shared" si="8"/>
        <v>phu-tho-vietnam</v>
      </c>
      <c r="Y1825" s="32" t="str">
        <f t="shared" si="9"/>
        <v>https://steelmanufacturer.in/market-area/electropolished-pipes-manufacturer-in-phu-tho-vietnam/</v>
      </c>
      <c r="Z1825" s="15" t="str">
        <f t="shared" si="10"/>
        <v>Electropolished Pipes Manufacturer in Phu Tho</v>
      </c>
      <c r="AA1825" s="15" t="str">
        <f t="shared" si="11"/>
        <v>OK (45)</v>
      </c>
      <c r="AB1825" s="15" t="str">
        <f t="shared" si="12"/>
        <v>Electropolished tube supply to VERIFY, Phu Tho. Ra from 0.25 um, SF4 finish, mill test certificate with every lot.</v>
      </c>
      <c r="AC1825" s="15" t="str">
        <f t="shared" si="13"/>
        <v>PENDING RESEARCH</v>
      </c>
      <c r="AD1825" s="15" t="str">
        <f t="shared" si="14"/>
        <v>Electropolished Pipes Manufacturer in Phu Tho</v>
      </c>
      <c r="AE1825" s="15" t="str">
        <f t="shared" si="15"/>
        <v>How We Manufacture Electropolished Tube for Phu Tho Plants</v>
      </c>
      <c r="AF1825" s="15" t="str">
        <f t="shared" si="16"/>
        <v>Supplying Electropolished Pipes in Phu Tho: Availability, Sizes &amp; Dispatch</v>
      </c>
      <c r="AG1825" s="15" t="str">
        <f t="shared" si="17"/>
        <v>Wholesale Electropolished Pipe Supply for Phu Tho Projects</v>
      </c>
      <c r="AH1825" s="15" t="str">
        <f t="shared" si="18"/>
        <v>electropolished pipes manufacturer in Phu Tho, electropolished pipes supplier in Phu Tho, electropolished pipes wholesaler in Phu Tho, electropolished tube manufacturer Phu Tho, EP pipe supplier Phu Tho, sanitary tube supplier Phu Tho, ASME BPE tubing Phu Tho, ASTM A270 tube Phu Tho, SS 316L electropolished pipe Phu Tho</v>
      </c>
      <c r="AI1825" s="15" t="str">
        <f t="shared" si="19"/>
        <v>Electropolished Pipes Manufacturer &amp; Supplier in Phu Tho</v>
      </c>
      <c r="AJ1825" s="15" t="str">
        <f t="shared" si="20"/>
        <v>EP-finished SS 304/316L pipes and tubes for VERIFY plants in Phu Tho. ASME BPE SF1-SF4, Ra from 0.25 um, EN 10204 3.1 certificate with every lot.</v>
      </c>
      <c r="AK1825" s="15" t="str">
        <f t="shared" si="21"/>
        <v>Electropolished stainless steel pipes supplied by Sakshi Forge to VERIFY plants at VERIFY, Phu Tho</v>
      </c>
      <c r="AL1825" s="15" t="str">
        <f t="shared" si="22"/>
        <v>Electropolished SS 316L tube stock for Phu Tho - Sakshi Forge</v>
      </c>
      <c r="AM1825" s="15" t="str">
        <f t="shared" si="23"/>
        <v>Home &gt; Market Area &gt; Vietnam &gt; VERIFY &gt; Phu Tho</v>
      </c>
      <c r="AN1825" s="15">
        <f t="shared" si="24"/>
        <v>750</v>
      </c>
      <c r="AO1825" s="15">
        <f t="shared" si="25"/>
        <v>6</v>
      </c>
      <c r="AP1825" s="15">
        <f t="shared" si="26"/>
        <v>6</v>
      </c>
      <c r="AQ1825" s="15">
        <f t="shared" si="27"/>
        <v>31</v>
      </c>
      <c r="AR1825" s="31"/>
      <c r="AS1825" s="31"/>
      <c r="AT1825" s="35" t="s">
        <v>222</v>
      </c>
      <c r="AU1825" s="35"/>
    </row>
    <row r="1826" ht="15.75" customHeight="1">
      <c r="A1826" s="15" t="s">
        <v>8033</v>
      </c>
      <c r="B1826" s="15" t="s">
        <v>454</v>
      </c>
      <c r="C1826" s="15" t="s">
        <v>98</v>
      </c>
      <c r="D1826" s="15" t="s">
        <v>8034</v>
      </c>
      <c r="E1826" s="15" t="s">
        <v>8034</v>
      </c>
      <c r="F1826" s="58" t="s">
        <v>807</v>
      </c>
      <c r="G1826" s="66" t="s">
        <v>98</v>
      </c>
      <c r="H1826" s="18" t="s">
        <v>98</v>
      </c>
      <c r="I1826" s="18" t="s">
        <v>98</v>
      </c>
      <c r="J1826" s="18" t="s">
        <v>98</v>
      </c>
      <c r="K1826" s="18" t="s">
        <v>98</v>
      </c>
      <c r="L1826" s="18" t="s">
        <v>98</v>
      </c>
      <c r="M1826" s="18" t="s">
        <v>660</v>
      </c>
      <c r="N1826" s="18" t="s">
        <v>461</v>
      </c>
      <c r="O1826" s="18" t="s">
        <v>98</v>
      </c>
      <c r="P1826" s="15" t="str">
        <f t="shared" si="1"/>
        <v>VERIFY</v>
      </c>
      <c r="Q1826" s="15">
        <f t="shared" si="2"/>
        <v>7</v>
      </c>
      <c r="R1826" s="15">
        <f t="shared" si="3"/>
        <v>3</v>
      </c>
      <c r="S1826" s="15">
        <f t="shared" si="4"/>
        <v>3</v>
      </c>
      <c r="T1826" s="15" t="str">
        <f t="shared" si="5"/>
        <v>C-5</v>
      </c>
      <c r="U1826" s="15" t="str">
        <f t="shared" si="6"/>
        <v>T7-M3-H3-FC-5-VERIFY</v>
      </c>
      <c r="V1826" s="15">
        <f t="shared" si="7"/>
        <v>1</v>
      </c>
      <c r="W1826" s="31"/>
      <c r="X1826" s="15" t="str">
        <f t="shared" si="8"/>
        <v>phu-yen-vietnam</v>
      </c>
      <c r="Y1826" s="32" t="str">
        <f t="shared" si="9"/>
        <v>https://steelmanufacturer.in/market-area/electropolished-pipes-manufacturer-in-phu-yen-vietnam/</v>
      </c>
      <c r="Z1826" s="15" t="str">
        <f t="shared" si="10"/>
        <v>Electropolished Pipes Manufacturer in Phu Yen | ASME BPE SF1-SF4</v>
      </c>
      <c r="AA1826" s="15" t="str">
        <f t="shared" si="11"/>
        <v>OK (64)</v>
      </c>
      <c r="AB1826" s="15" t="str">
        <f t="shared" si="12"/>
        <v>EP stainless tube for VERIFY lines in Phu Yen. 12-16 days sea from Nhava Sheva to Hai Phong. ASTM A270 S2, PMI tested, EN 10204 3.1.</v>
      </c>
      <c r="AC1826" s="15" t="str">
        <f t="shared" si="13"/>
        <v>PENDING RESEARCH</v>
      </c>
      <c r="AD1826" s="15" t="str">
        <f t="shared" si="14"/>
        <v>Electropolished Pipes Manufacturer in Phu Yen</v>
      </c>
      <c r="AE1826" s="15" t="str">
        <f t="shared" si="15"/>
        <v>Electropolished Pipes Manufacturer in Phu Yen - Our Process &amp; Capability</v>
      </c>
      <c r="AF1826" s="15" t="str">
        <f t="shared" si="16"/>
        <v>Electropolished Pipes Supplier in Phu Yen - What We Hold in Stock</v>
      </c>
      <c r="AG1826" s="15" t="str">
        <f t="shared" si="17"/>
        <v>Bulk &amp; Wholesale Electropolished Pipe Rates for Phu Yen Buyers</v>
      </c>
      <c r="AH1826" s="15" t="str">
        <f t="shared" si="18"/>
        <v>electropolished pipes manufacturer in Phu Yen, electropolished pipes supplier in Phu Yen, electropolished pipes wholesaler in Phu Yen, electropolished tube manufacturer Phu Yen, EP pipe supplier Phu Yen, sanitary tube supplier Phu Yen, ASME BPE tubing Phu Yen, ASTM A270 tube Phu Yen, SS 316L electropolished pipe Phu Yen</v>
      </c>
      <c r="AI1826" s="15" t="str">
        <f t="shared" si="19"/>
        <v>Electropolished Pipes Manufacturer &amp; Supplier in Phu Yen</v>
      </c>
      <c r="AJ1826" s="15" t="str">
        <f t="shared" si="20"/>
        <v>EP-finished SS 304/316L pipes and tubes for VERIFY plants in Phu Yen. ASME BPE SF1-SF4, Ra from 0.25 um, EN 10204 3.1 certificate with every lot.</v>
      </c>
      <c r="AK1826" s="15" t="str">
        <f t="shared" si="21"/>
        <v>Electropolished stainless steel pipes supplied by Sakshi Forge to VERIFY plants at VERIFY, Phu Yen</v>
      </c>
      <c r="AL1826" s="15" t="str">
        <f t="shared" si="22"/>
        <v>Electropolished SS 316L tube stock for Phu Yen - Sakshi Forge</v>
      </c>
      <c r="AM1826" s="15" t="str">
        <f t="shared" si="23"/>
        <v>Home &gt; Market Area &gt; Vietnam &gt; VERIFY &gt; Phu Yen</v>
      </c>
      <c r="AN1826" s="15">
        <f t="shared" si="24"/>
        <v>750</v>
      </c>
      <c r="AO1826" s="15">
        <f t="shared" si="25"/>
        <v>6</v>
      </c>
      <c r="AP1826" s="15">
        <f t="shared" si="26"/>
        <v>6</v>
      </c>
      <c r="AQ1826" s="15">
        <f t="shared" si="27"/>
        <v>31</v>
      </c>
      <c r="AR1826" s="31"/>
      <c r="AS1826" s="31"/>
      <c r="AT1826" s="35" t="s">
        <v>222</v>
      </c>
      <c r="AU1826" s="35"/>
    </row>
    <row r="1827" ht="15.75" customHeight="1">
      <c r="A1827" s="15" t="s">
        <v>8035</v>
      </c>
      <c r="B1827" s="15" t="s">
        <v>454</v>
      </c>
      <c r="C1827" s="15" t="s">
        <v>98</v>
      </c>
      <c r="D1827" s="15" t="s">
        <v>8036</v>
      </c>
      <c r="E1827" s="15" t="s">
        <v>8036</v>
      </c>
      <c r="F1827" s="58" t="s">
        <v>807</v>
      </c>
      <c r="G1827" s="66" t="s">
        <v>98</v>
      </c>
      <c r="H1827" s="18" t="s">
        <v>98</v>
      </c>
      <c r="I1827" s="18" t="s">
        <v>98</v>
      </c>
      <c r="J1827" s="18" t="s">
        <v>98</v>
      </c>
      <c r="K1827" s="18" t="s">
        <v>98</v>
      </c>
      <c r="L1827" s="18" t="s">
        <v>98</v>
      </c>
      <c r="M1827" s="18" t="s">
        <v>660</v>
      </c>
      <c r="N1827" s="18" t="s">
        <v>461</v>
      </c>
      <c r="O1827" s="18" t="s">
        <v>98</v>
      </c>
      <c r="P1827" s="15" t="str">
        <f t="shared" si="1"/>
        <v>VERIFY</v>
      </c>
      <c r="Q1827" s="15">
        <f t="shared" si="2"/>
        <v>8</v>
      </c>
      <c r="R1827" s="15">
        <f t="shared" si="3"/>
        <v>4</v>
      </c>
      <c r="S1827" s="15">
        <f t="shared" si="4"/>
        <v>4</v>
      </c>
      <c r="T1827" s="15" t="str">
        <f t="shared" si="5"/>
        <v>C-6</v>
      </c>
      <c r="U1827" s="15" t="str">
        <f t="shared" si="6"/>
        <v>T8-M4-H4-FC-6-VERIFY</v>
      </c>
      <c r="V1827" s="15">
        <f t="shared" si="7"/>
        <v>1</v>
      </c>
      <c r="W1827" s="31"/>
      <c r="X1827" s="15" t="str">
        <f t="shared" si="8"/>
        <v>quang-ngai-vietnam</v>
      </c>
      <c r="Y1827" s="32" t="str">
        <f t="shared" si="9"/>
        <v>https://steelmanufacturer.in/market-area/electropolished-pipes-manufacturer-in-quang-ngai-vietnam/</v>
      </c>
      <c r="Z1827" s="15" t="str">
        <f t="shared" si="10"/>
        <v>Electropolished Pipes Manufacturer in Quang Ngai</v>
      </c>
      <c r="AA1827" s="15" t="str">
        <f t="shared" si="11"/>
        <v>OK (48)</v>
      </c>
      <c r="AB1827" s="15" t="str">
        <f t="shared" si="12"/>
        <v>Sanitary electropolished pipes in Quang Ngai for VERIFY plants. ASME BPE SF1-SF4, orbital-weld ready, 3.1 MTC. Mumbai-made.</v>
      </c>
      <c r="AC1827" s="15" t="str">
        <f t="shared" si="13"/>
        <v>PENDING RESEARCH</v>
      </c>
      <c r="AD1827" s="15" t="str">
        <f t="shared" si="14"/>
        <v>Electropolished Pipes Manufacturer in Quang Ngai</v>
      </c>
      <c r="AE1827" s="15" t="str">
        <f t="shared" si="15"/>
        <v>Manufacturing Electropolished SS Tube for Quang Ngai: The Standards We Build To</v>
      </c>
      <c r="AF1827" s="15" t="str">
        <f t="shared" si="16"/>
        <v>Electropolished Pipe Supply Into Quang Ngai - Certification &amp; Transit</v>
      </c>
      <c r="AG1827" s="15" t="str">
        <f t="shared" si="17"/>
        <v>Electropolished Pipes Wholesaler in Quang Ngai - Project Quantities &amp; Terms</v>
      </c>
      <c r="AH1827" s="15" t="str">
        <f t="shared" si="18"/>
        <v>electropolished pipes manufacturer in Quang Ngai, electropolished pipes supplier in Quang Ngai, electropolished pipes wholesaler in Quang Ngai, electropolished tube manufacturer Quang Ngai, EP pipe supplier Quang Ngai, sanitary tube supplier Quang Ngai, ASME BPE tubing Quang Ngai, ASTM A270 tube Quang Ngai, SS 316L electropolished pipe Quang Ngai</v>
      </c>
      <c r="AI1827" s="15" t="str">
        <f t="shared" si="19"/>
        <v>Electropolished Pipes Manufacturer &amp; Supplier in Quang Ngai</v>
      </c>
      <c r="AJ1827" s="15" t="str">
        <f t="shared" si="20"/>
        <v>EP-finished SS 304/316L pipes and tubes for VERIFY plants in Quang Ngai. ASME BPE SF1-SF4, Ra from 0.25 um, EN 10204 3.1 certificate with every lot.</v>
      </c>
      <c r="AK1827" s="15" t="str">
        <f t="shared" si="21"/>
        <v>Electropolished stainless steel pipes supplied by Sakshi Forge to VERIFY plants at VERIFY, Quang Ngai</v>
      </c>
      <c r="AL1827" s="15" t="str">
        <f t="shared" si="22"/>
        <v>Electropolished SS 316L tube stock for Quang Ngai - Sakshi Forge</v>
      </c>
      <c r="AM1827" s="15" t="str">
        <f t="shared" si="23"/>
        <v>Home &gt; Market Area &gt; Vietnam &gt; VERIFY &gt; Quang Ngai</v>
      </c>
      <c r="AN1827" s="15">
        <f t="shared" si="24"/>
        <v>750</v>
      </c>
      <c r="AO1827" s="15">
        <f t="shared" si="25"/>
        <v>6</v>
      </c>
      <c r="AP1827" s="15">
        <f t="shared" si="26"/>
        <v>6</v>
      </c>
      <c r="AQ1827" s="15">
        <f t="shared" si="27"/>
        <v>31</v>
      </c>
      <c r="AR1827" s="31"/>
      <c r="AS1827" s="31"/>
      <c r="AT1827" s="35" t="s">
        <v>222</v>
      </c>
      <c r="AU1827" s="35"/>
    </row>
    <row r="1828" ht="15.75" customHeight="1">
      <c r="A1828" s="15" t="s">
        <v>8037</v>
      </c>
      <c r="B1828" s="15" t="s">
        <v>454</v>
      </c>
      <c r="C1828" s="15" t="s">
        <v>98</v>
      </c>
      <c r="D1828" s="15" t="s">
        <v>8038</v>
      </c>
      <c r="E1828" s="15" t="s">
        <v>8038</v>
      </c>
      <c r="F1828" s="58" t="s">
        <v>807</v>
      </c>
      <c r="G1828" s="66" t="s">
        <v>98</v>
      </c>
      <c r="H1828" s="18" t="s">
        <v>98</v>
      </c>
      <c r="I1828" s="18" t="s">
        <v>98</v>
      </c>
      <c r="J1828" s="18" t="s">
        <v>98</v>
      </c>
      <c r="K1828" s="18" t="s">
        <v>98</v>
      </c>
      <c r="L1828" s="18" t="s">
        <v>98</v>
      </c>
      <c r="M1828" s="18" t="s">
        <v>660</v>
      </c>
      <c r="N1828" s="18" t="s">
        <v>461</v>
      </c>
      <c r="O1828" s="18" t="s">
        <v>98</v>
      </c>
      <c r="P1828" s="15" t="str">
        <f t="shared" si="1"/>
        <v>VERIFY</v>
      </c>
      <c r="Q1828" s="15">
        <f t="shared" si="2"/>
        <v>1</v>
      </c>
      <c r="R1828" s="15">
        <f t="shared" si="3"/>
        <v>5</v>
      </c>
      <c r="S1828" s="15">
        <f t="shared" si="4"/>
        <v>5</v>
      </c>
      <c r="T1828" s="15" t="str">
        <f t="shared" si="5"/>
        <v>C-1</v>
      </c>
      <c r="U1828" s="15" t="str">
        <f t="shared" si="6"/>
        <v>T1-M5-H5-FC-1-VERIFY</v>
      </c>
      <c r="V1828" s="15">
        <f t="shared" si="7"/>
        <v>1</v>
      </c>
      <c r="W1828" s="31"/>
      <c r="X1828" s="15" t="str">
        <f t="shared" si="8"/>
        <v>soc-trang-vietnam</v>
      </c>
      <c r="Y1828" s="32" t="str">
        <f t="shared" si="9"/>
        <v>https://steelmanufacturer.in/market-area/electropolished-pipes-manufacturer-in-soc-trang-vietnam/</v>
      </c>
      <c r="Z1828" s="15" t="str">
        <f t="shared" si="10"/>
        <v>Electropolished Pipes Manufacturer in Soc Trang | Sakshi Forge</v>
      </c>
      <c r="AA1828" s="15" t="str">
        <f t="shared" si="11"/>
        <v>OK (62)</v>
      </c>
      <c r="AB1828" s="15" t="str">
        <f t="shared" si="12"/>
        <v>Manufacturer of electropolished SS 316L tube serving Soc Trang. 12-16 days sea from Nhava Sheva to Hai Phong. Ra 0.25-0.5 um, EN 10204 3.1 MTC.</v>
      </c>
      <c r="AC1828" s="15" t="str">
        <f t="shared" si="13"/>
        <v>PENDING RESEARCH</v>
      </c>
      <c r="AD1828" s="15" t="str">
        <f t="shared" si="14"/>
        <v>Electropolished Pipes Manufacturer in Soc Trang</v>
      </c>
      <c r="AE1828" s="15" t="str">
        <f t="shared" si="15"/>
        <v>Electropolished Tube Manufacturing Capability Serving Soc Trang</v>
      </c>
      <c r="AF1828" s="15" t="str">
        <f t="shared" si="16"/>
        <v>Electropolished Pipes Supplier in Soc Trang - From Order to Delivery</v>
      </c>
      <c r="AG1828" s="15" t="str">
        <f t="shared" si="17"/>
        <v>Stockist &amp; Wholesale Supply of Electropolished Pipes in Soc Trang</v>
      </c>
      <c r="AH1828" s="15" t="str">
        <f t="shared" si="18"/>
        <v>electropolished pipes manufacturer in Soc Trang, electropolished pipes supplier in Soc Trang, electropolished pipes wholesaler in Soc Trang, electropolished tube manufacturer Soc Trang, EP pipe supplier Soc Trang, sanitary tube supplier Soc Trang, ASME BPE tubing Soc Trang, ASTM A270 tube Soc Trang, SS 316L electropolished pipe Soc Trang</v>
      </c>
      <c r="AI1828" s="15" t="str">
        <f t="shared" si="19"/>
        <v>Electropolished Pipes Manufacturer &amp; Supplier in Soc Trang</v>
      </c>
      <c r="AJ1828" s="15" t="str">
        <f t="shared" si="20"/>
        <v>EP-finished SS 304/316L pipes and tubes for VERIFY plants in Soc Trang. ASME BPE SF1-SF4, Ra from 0.25 um, EN 10204 3.1 certificate with every lot.</v>
      </c>
      <c r="AK1828" s="15" t="str">
        <f t="shared" si="21"/>
        <v>Electropolished stainless steel pipes supplied by Sakshi Forge to VERIFY plants at VERIFY, Soc Trang</v>
      </c>
      <c r="AL1828" s="15" t="str">
        <f t="shared" si="22"/>
        <v>Electropolished SS 316L tube stock for Soc Trang - Sakshi Forge</v>
      </c>
      <c r="AM1828" s="15" t="str">
        <f t="shared" si="23"/>
        <v>Home &gt; Market Area &gt; Vietnam &gt; VERIFY &gt; Soc Trang</v>
      </c>
      <c r="AN1828" s="15">
        <f t="shared" si="24"/>
        <v>750</v>
      </c>
      <c r="AO1828" s="15">
        <f t="shared" si="25"/>
        <v>6</v>
      </c>
      <c r="AP1828" s="15">
        <f t="shared" si="26"/>
        <v>6</v>
      </c>
      <c r="AQ1828" s="15">
        <f t="shared" si="27"/>
        <v>31</v>
      </c>
      <c r="AR1828" s="31"/>
      <c r="AS1828" s="31"/>
      <c r="AT1828" s="35" t="s">
        <v>222</v>
      </c>
      <c r="AU1828" s="35"/>
    </row>
    <row r="1829" ht="15.75" customHeight="1">
      <c r="A1829" s="15" t="s">
        <v>8039</v>
      </c>
      <c r="B1829" s="15" t="s">
        <v>454</v>
      </c>
      <c r="C1829" s="15" t="s">
        <v>98</v>
      </c>
      <c r="D1829" s="15" t="s">
        <v>8041</v>
      </c>
      <c r="E1829" s="15" t="s">
        <v>8041</v>
      </c>
      <c r="F1829" s="58" t="s">
        <v>807</v>
      </c>
      <c r="G1829" s="66" t="s">
        <v>98</v>
      </c>
      <c r="H1829" s="18" t="s">
        <v>98</v>
      </c>
      <c r="I1829" s="18" t="s">
        <v>98</v>
      </c>
      <c r="J1829" s="18" t="s">
        <v>98</v>
      </c>
      <c r="K1829" s="18" t="s">
        <v>98</v>
      </c>
      <c r="L1829" s="18" t="s">
        <v>98</v>
      </c>
      <c r="M1829" s="18" t="s">
        <v>660</v>
      </c>
      <c r="N1829" s="18" t="s">
        <v>461</v>
      </c>
      <c r="O1829" s="18" t="s">
        <v>98</v>
      </c>
      <c r="P1829" s="15" t="str">
        <f t="shared" si="1"/>
        <v>VERIFY</v>
      </c>
      <c r="Q1829" s="15">
        <f t="shared" si="2"/>
        <v>2</v>
      </c>
      <c r="R1829" s="15">
        <f t="shared" si="3"/>
        <v>6</v>
      </c>
      <c r="S1829" s="15">
        <f t="shared" si="4"/>
        <v>1</v>
      </c>
      <c r="T1829" s="15" t="str">
        <f t="shared" si="5"/>
        <v>C-2</v>
      </c>
      <c r="U1829" s="15" t="str">
        <f t="shared" si="6"/>
        <v>T2-M6-H1-FC-2-VERIFY</v>
      </c>
      <c r="V1829" s="15">
        <f t="shared" si="7"/>
        <v>1</v>
      </c>
      <c r="W1829" s="31"/>
      <c r="X1829" s="15" t="str">
        <f t="shared" si="8"/>
        <v>son-la-vietnam</v>
      </c>
      <c r="Y1829" s="32" t="str">
        <f t="shared" si="9"/>
        <v>https://steelmanufacturer.in/market-area/electropolished-pipes-manufacturer-in-son-la-vietnam/</v>
      </c>
      <c r="Z1829" s="15" t="str">
        <f t="shared" si="10"/>
        <v>Electropolished Pipes Manufacturer in Son La</v>
      </c>
      <c r="AA1829" s="15" t="str">
        <f t="shared" si="11"/>
        <v>OK (44)</v>
      </c>
      <c r="AB1829" s="15" t="str">
        <f t="shared" si="12"/>
        <v>EP tube and pipe for VERIFY plants around VERIFY, Son La. Made at our Mumbai works to ASTM A270 and ASME BPE SF1-SF4, with 3.1 MTC.</v>
      </c>
      <c r="AC1829" s="15" t="str">
        <f t="shared" si="13"/>
        <v>PENDING RESEARCH</v>
      </c>
      <c r="AD1829" s="15" t="str">
        <f t="shared" si="14"/>
        <v>Electropolished Pipes Manufacturer in Son La</v>
      </c>
      <c r="AE1829" s="15" t="str">
        <f t="shared" si="15"/>
        <v>Electropolished Pipe &amp; Tube Manufacturing for Son La - Grades, Finishes &amp; Certification</v>
      </c>
      <c r="AF1829" s="15" t="str">
        <f t="shared" si="16"/>
        <v>Electropolished Pipes Supplier in Son La - Stock Sizes, Lead Time &amp; Delivery</v>
      </c>
      <c r="AG1829" s="15" t="str">
        <f t="shared" si="17"/>
        <v>Electropolished Pipes Wholesaler &amp; Stockist in Son La - Bulk &amp; Project Pricing</v>
      </c>
      <c r="AH1829" s="15" t="str">
        <f t="shared" si="18"/>
        <v>electropolished pipes manufacturer in Son La, electropolished pipes supplier in Son La, electropolished pipes wholesaler in Son La, electropolished tube manufacturer Son La, EP pipe supplier Son La, sanitary tube supplier Son La, ASME BPE tubing Son La, ASTM A270 tube Son La, SS 316L electropolished pipe Son La</v>
      </c>
      <c r="AI1829" s="15" t="str">
        <f t="shared" si="19"/>
        <v>Electropolished Pipes Manufacturer &amp; Supplier in Son La</v>
      </c>
      <c r="AJ1829" s="15" t="str">
        <f t="shared" si="20"/>
        <v>EP-finished SS 304/316L pipes and tubes for VERIFY plants in Son La. ASME BPE SF1-SF4, Ra from 0.25 um, EN 10204 3.1 certificate with every lot.</v>
      </c>
      <c r="AK1829" s="15" t="str">
        <f t="shared" si="21"/>
        <v>Electropolished stainless steel pipes supplied by Sakshi Forge to VERIFY plants at VERIFY, Son La</v>
      </c>
      <c r="AL1829" s="15" t="str">
        <f t="shared" si="22"/>
        <v>Electropolished SS 316L tube stock for Son La - Sakshi Forge</v>
      </c>
      <c r="AM1829" s="15" t="str">
        <f t="shared" si="23"/>
        <v>Home &gt; Market Area &gt; Vietnam &gt; VERIFY &gt; Son La</v>
      </c>
      <c r="AN1829" s="15">
        <f t="shared" si="24"/>
        <v>750</v>
      </c>
      <c r="AO1829" s="15">
        <f t="shared" si="25"/>
        <v>6</v>
      </c>
      <c r="AP1829" s="15">
        <f t="shared" si="26"/>
        <v>6</v>
      </c>
      <c r="AQ1829" s="15">
        <f t="shared" si="27"/>
        <v>31</v>
      </c>
      <c r="AR1829" s="31"/>
      <c r="AS1829" s="31"/>
      <c r="AT1829" s="35" t="s">
        <v>222</v>
      </c>
      <c r="AU1829" s="35"/>
    </row>
    <row r="1830" ht="15.75" customHeight="1">
      <c r="A1830" s="15" t="s">
        <v>8048</v>
      </c>
      <c r="B1830" s="15" t="s">
        <v>454</v>
      </c>
      <c r="C1830" s="15" t="s">
        <v>98</v>
      </c>
      <c r="D1830" s="15" t="s">
        <v>8049</v>
      </c>
      <c r="E1830" s="15" t="s">
        <v>8049</v>
      </c>
      <c r="F1830" s="58" t="s">
        <v>807</v>
      </c>
      <c r="G1830" s="66" t="s">
        <v>98</v>
      </c>
      <c r="H1830" s="18" t="s">
        <v>98</v>
      </c>
      <c r="I1830" s="18" t="s">
        <v>98</v>
      </c>
      <c r="J1830" s="18" t="s">
        <v>98</v>
      </c>
      <c r="K1830" s="18" t="s">
        <v>98</v>
      </c>
      <c r="L1830" s="18" t="s">
        <v>98</v>
      </c>
      <c r="M1830" s="18" t="s">
        <v>660</v>
      </c>
      <c r="N1830" s="18" t="s">
        <v>461</v>
      </c>
      <c r="O1830" s="18" t="s">
        <v>98</v>
      </c>
      <c r="P1830" s="15" t="str">
        <f t="shared" si="1"/>
        <v>VERIFY</v>
      </c>
      <c r="Q1830" s="15">
        <f t="shared" si="2"/>
        <v>3</v>
      </c>
      <c r="R1830" s="15">
        <f t="shared" si="3"/>
        <v>7</v>
      </c>
      <c r="S1830" s="15">
        <f t="shared" si="4"/>
        <v>2</v>
      </c>
      <c r="T1830" s="15" t="str">
        <f t="shared" si="5"/>
        <v>C-3</v>
      </c>
      <c r="U1830" s="15" t="str">
        <f t="shared" si="6"/>
        <v>T3-M7-H2-FC-3-VERIFY</v>
      </c>
      <c r="V1830" s="15">
        <f t="shared" si="7"/>
        <v>1</v>
      </c>
      <c r="W1830" s="31"/>
      <c r="X1830" s="15" t="str">
        <f t="shared" si="8"/>
        <v>thai-binh-vietnam</v>
      </c>
      <c r="Y1830" s="32" t="str">
        <f t="shared" si="9"/>
        <v>https://steelmanufacturer.in/market-area/electropolished-pipes-manufacturer-in-thai-binh-vietnam/</v>
      </c>
      <c r="Z1830" s="15" t="str">
        <f t="shared" si="10"/>
        <v>Electropolished Pipes Manufacturer in Thai Binh</v>
      </c>
      <c r="AA1830" s="15" t="str">
        <f t="shared" si="11"/>
        <v>OK (47)</v>
      </c>
      <c r="AB1830" s="15" t="str">
        <f t="shared" si="12"/>
        <v>Electropolished pipes in Thai Binh: 304, 304L, 316 and 316L in SF1-SF4. 12-16 days sea from Nhava Sheva to Hai Phong. Mill certified.</v>
      </c>
      <c r="AC1830" s="15" t="str">
        <f t="shared" si="13"/>
        <v>PENDING RESEARCH</v>
      </c>
      <c r="AD1830" s="15" t="str">
        <f t="shared" si="14"/>
        <v>Electropolished Pipes Manufacturer in Thai Binh</v>
      </c>
      <c r="AE1830" s="15" t="str">
        <f t="shared" si="15"/>
        <v>How We Manufacture Electropolished Tube for Thai Binh Plants</v>
      </c>
      <c r="AF1830" s="15" t="str">
        <f t="shared" si="16"/>
        <v>Supplying Electropolished Pipes in Thai Binh: Availability, Sizes &amp; Dispatch</v>
      </c>
      <c r="AG1830" s="15" t="str">
        <f t="shared" si="17"/>
        <v>Wholesale Electropolished Pipe Supply for Thai Binh Projects</v>
      </c>
      <c r="AH1830" s="15" t="str">
        <f t="shared" si="18"/>
        <v>electropolished pipes manufacturer in Thai Binh, electropolished pipes supplier in Thai Binh, electropolished pipes wholesaler in Thai Binh, electropolished tube manufacturer Thai Binh, EP pipe supplier Thai Binh, sanitary tube supplier Thai Binh, ASME BPE tubing Thai Binh, ASTM A270 tube Thai Binh, SS 316L electropolished pipe Thai Binh</v>
      </c>
      <c r="AI1830" s="15" t="str">
        <f t="shared" si="19"/>
        <v>Electropolished Pipes Manufacturer &amp; Supplier in Thai Binh</v>
      </c>
      <c r="AJ1830" s="15" t="str">
        <f t="shared" si="20"/>
        <v>EP-finished SS 304/316L pipes and tubes for VERIFY plants in Thai Binh. ASME BPE SF1-SF4, Ra from 0.25 um, EN 10204 3.1 certificate with every lot.</v>
      </c>
      <c r="AK1830" s="15" t="str">
        <f t="shared" si="21"/>
        <v>Electropolished stainless steel pipes supplied by Sakshi Forge to VERIFY plants at VERIFY, Thai Binh</v>
      </c>
      <c r="AL1830" s="15" t="str">
        <f t="shared" si="22"/>
        <v>Electropolished SS 316L tube stock for Thai Binh - Sakshi Forge</v>
      </c>
      <c r="AM1830" s="15" t="str">
        <f t="shared" si="23"/>
        <v>Home &gt; Market Area &gt; Vietnam &gt; VERIFY &gt; Thai Binh</v>
      </c>
      <c r="AN1830" s="15">
        <f t="shared" si="24"/>
        <v>750</v>
      </c>
      <c r="AO1830" s="15">
        <f t="shared" si="25"/>
        <v>6</v>
      </c>
      <c r="AP1830" s="15">
        <f t="shared" si="26"/>
        <v>6</v>
      </c>
      <c r="AQ1830" s="15">
        <f t="shared" si="27"/>
        <v>31</v>
      </c>
      <c r="AR1830" s="31"/>
      <c r="AS1830" s="31"/>
      <c r="AT1830" s="35" t="s">
        <v>222</v>
      </c>
      <c r="AU1830" s="35"/>
    </row>
    <row r="1831" ht="15.75" customHeight="1">
      <c r="A1831" s="15" t="s">
        <v>8050</v>
      </c>
      <c r="B1831" s="15" t="s">
        <v>454</v>
      </c>
      <c r="C1831" s="15" t="s">
        <v>98</v>
      </c>
      <c r="D1831" s="15" t="s">
        <v>8051</v>
      </c>
      <c r="E1831" s="15" t="s">
        <v>8051</v>
      </c>
      <c r="F1831" s="58" t="s">
        <v>807</v>
      </c>
      <c r="G1831" s="66" t="s">
        <v>98</v>
      </c>
      <c r="H1831" s="18" t="s">
        <v>98</v>
      </c>
      <c r="I1831" s="18" t="s">
        <v>98</v>
      </c>
      <c r="J1831" s="18" t="s">
        <v>98</v>
      </c>
      <c r="K1831" s="18" t="s">
        <v>98</v>
      </c>
      <c r="L1831" s="18" t="s">
        <v>98</v>
      </c>
      <c r="M1831" s="18" t="s">
        <v>660</v>
      </c>
      <c r="N1831" s="18" t="s">
        <v>461</v>
      </c>
      <c r="O1831" s="18" t="s">
        <v>98</v>
      </c>
      <c r="P1831" s="15" t="str">
        <f t="shared" si="1"/>
        <v>VERIFY</v>
      </c>
      <c r="Q1831" s="15">
        <f t="shared" si="2"/>
        <v>4</v>
      </c>
      <c r="R1831" s="15">
        <f t="shared" si="3"/>
        <v>1</v>
      </c>
      <c r="S1831" s="15">
        <f t="shared" si="4"/>
        <v>3</v>
      </c>
      <c r="T1831" s="15" t="str">
        <f t="shared" si="5"/>
        <v>C-4</v>
      </c>
      <c r="U1831" s="15" t="str">
        <f t="shared" si="6"/>
        <v>T4-M1-H3-FC-4-VERIFY</v>
      </c>
      <c r="V1831" s="15">
        <f t="shared" si="7"/>
        <v>1</v>
      </c>
      <c r="W1831" s="31"/>
      <c r="X1831" s="15" t="str">
        <f t="shared" si="8"/>
        <v>tien-giang-vietnam</v>
      </c>
      <c r="Y1831" s="32" t="str">
        <f t="shared" si="9"/>
        <v>https://steelmanufacturer.in/market-area/electropolished-pipes-manufacturer-in-tien-giang-vietnam/</v>
      </c>
      <c r="Z1831" s="15" t="str">
        <f t="shared" si="10"/>
        <v>Electropolished Pipes Manufacturer in Tien Giang</v>
      </c>
      <c r="AA1831" s="15" t="str">
        <f t="shared" si="11"/>
        <v>OK (48)</v>
      </c>
      <c r="AB1831" s="15" t="str">
        <f t="shared" si="12"/>
        <v>EP-finished SS 304/316L pipes &amp; tubes for VERIFY plants in Tien Giang. ASTM A270, ASME BPE SF1-SF4, EN 10204 3.1 MTC. PMI tested.</v>
      </c>
      <c r="AC1831" s="15" t="str">
        <f t="shared" si="13"/>
        <v>PENDING RESEARCH</v>
      </c>
      <c r="AD1831" s="15" t="str">
        <f t="shared" si="14"/>
        <v>Electropolished Pipes Manufacturer in Tien Giang</v>
      </c>
      <c r="AE1831" s="15" t="str">
        <f t="shared" si="15"/>
        <v>Electropolished Pipes Manufacturer in Tien Giang - Our Process &amp; Capability</v>
      </c>
      <c r="AF1831" s="15" t="str">
        <f t="shared" si="16"/>
        <v>Electropolished Pipes Supplier in Tien Giang - What We Hold in Stock</v>
      </c>
      <c r="AG1831" s="15" t="str">
        <f t="shared" si="17"/>
        <v>Bulk &amp; Wholesale Electropolished Pipe Rates for Tien Giang Buyers</v>
      </c>
      <c r="AH1831" s="15" t="str">
        <f t="shared" si="18"/>
        <v>electropolished pipes manufacturer in Tien Giang, electropolished pipes supplier in Tien Giang, electropolished pipes wholesaler in Tien Giang, electropolished tube manufacturer Tien Giang, EP pipe supplier Tien Giang, sanitary tube supplier Tien Giang, ASME BPE tubing Tien Giang, ASTM A270 tube Tien Giang, SS 316L electropolished pipe Tien Giang</v>
      </c>
      <c r="AI1831" s="15" t="str">
        <f t="shared" si="19"/>
        <v>Electropolished Pipes Manufacturer &amp; Supplier in Tien Giang</v>
      </c>
      <c r="AJ1831" s="15" t="str">
        <f t="shared" si="20"/>
        <v>EP-finished SS 304/316L pipes and tubes for VERIFY plants in Tien Giang. ASME BPE SF1-SF4, Ra from 0.25 um, EN 10204 3.1 certificate with every lot.</v>
      </c>
      <c r="AK1831" s="15" t="str">
        <f t="shared" si="21"/>
        <v>Electropolished stainless steel pipes supplied by Sakshi Forge to VERIFY plants at VERIFY, Tien Giang</v>
      </c>
      <c r="AL1831" s="15" t="str">
        <f t="shared" si="22"/>
        <v>Electropolished SS 316L tube stock for Tien Giang - Sakshi Forge</v>
      </c>
      <c r="AM1831" s="15" t="str">
        <f t="shared" si="23"/>
        <v>Home &gt; Market Area &gt; Vietnam &gt; VERIFY &gt; Tien Giang</v>
      </c>
      <c r="AN1831" s="15">
        <f t="shared" si="24"/>
        <v>750</v>
      </c>
      <c r="AO1831" s="15">
        <f t="shared" si="25"/>
        <v>6</v>
      </c>
      <c r="AP1831" s="15">
        <f t="shared" si="26"/>
        <v>6</v>
      </c>
      <c r="AQ1831" s="15">
        <f t="shared" si="27"/>
        <v>31</v>
      </c>
      <c r="AR1831" s="31"/>
      <c r="AS1831" s="31"/>
      <c r="AT1831" s="35" t="s">
        <v>222</v>
      </c>
      <c r="AU1831" s="35"/>
    </row>
    <row r="1832" ht="15.75" customHeight="1">
      <c r="A1832" s="15" t="s">
        <v>8052</v>
      </c>
      <c r="B1832" s="15" t="s">
        <v>454</v>
      </c>
      <c r="C1832" s="15" t="s">
        <v>98</v>
      </c>
      <c r="D1832" s="15" t="s">
        <v>8053</v>
      </c>
      <c r="E1832" s="15" t="s">
        <v>8053</v>
      </c>
      <c r="F1832" s="58" t="s">
        <v>807</v>
      </c>
      <c r="G1832" s="66" t="s">
        <v>98</v>
      </c>
      <c r="H1832" s="18" t="s">
        <v>98</v>
      </c>
      <c r="I1832" s="18" t="s">
        <v>98</v>
      </c>
      <c r="J1832" s="18" t="s">
        <v>98</v>
      </c>
      <c r="K1832" s="18" t="s">
        <v>98</v>
      </c>
      <c r="L1832" s="18" t="s">
        <v>98</v>
      </c>
      <c r="M1832" s="18" t="s">
        <v>660</v>
      </c>
      <c r="N1832" s="18" t="s">
        <v>461</v>
      </c>
      <c r="O1832" s="18" t="s">
        <v>98</v>
      </c>
      <c r="P1832" s="15" t="str">
        <f t="shared" si="1"/>
        <v>VERIFY</v>
      </c>
      <c r="Q1832" s="15">
        <f t="shared" si="2"/>
        <v>5</v>
      </c>
      <c r="R1832" s="15">
        <f t="shared" si="3"/>
        <v>2</v>
      </c>
      <c r="S1832" s="15">
        <f t="shared" si="4"/>
        <v>4</v>
      </c>
      <c r="T1832" s="15" t="str">
        <f t="shared" si="5"/>
        <v>C-5</v>
      </c>
      <c r="U1832" s="15" t="str">
        <f t="shared" si="6"/>
        <v>T5-M2-H4-FC-5-VERIFY</v>
      </c>
      <c r="V1832" s="15">
        <f t="shared" si="7"/>
        <v>1</v>
      </c>
      <c r="W1832" s="31"/>
      <c r="X1832" s="15" t="str">
        <f t="shared" si="8"/>
        <v>tra-vinh-vietnam</v>
      </c>
      <c r="Y1832" s="32" t="str">
        <f t="shared" si="9"/>
        <v>https://steelmanufacturer.in/market-area/electropolished-pipes-manufacturer-in-tra-vinh-vietnam/</v>
      </c>
      <c r="Z1832" s="15" t="str">
        <f t="shared" si="10"/>
        <v>Electropolished Pipes Manufacturer in Tra Vinh</v>
      </c>
      <c r="AA1832" s="15" t="str">
        <f t="shared" si="11"/>
        <v>OK (46)</v>
      </c>
      <c r="AB1832" s="15" t="str">
        <f t="shared" si="12"/>
        <v>Electropolished tube supply to VERIFY, Tra Vinh. Ra from 0.25 um, SF4 finish, mill test certificate with every lot.</v>
      </c>
      <c r="AC1832" s="15" t="str">
        <f t="shared" si="13"/>
        <v>PENDING RESEARCH</v>
      </c>
      <c r="AD1832" s="15" t="str">
        <f t="shared" si="14"/>
        <v>Electropolished Pipes Manufacturer in Tra Vinh</v>
      </c>
      <c r="AE1832" s="15" t="str">
        <f t="shared" si="15"/>
        <v>Manufacturing Electropolished SS Tube for Tra Vinh: The Standards We Build To</v>
      </c>
      <c r="AF1832" s="15" t="str">
        <f t="shared" si="16"/>
        <v>Electropolished Pipe Supply Into Tra Vinh - Certification &amp; Transit</v>
      </c>
      <c r="AG1832" s="15" t="str">
        <f t="shared" si="17"/>
        <v>Electropolished Pipes Wholesaler in Tra Vinh - Project Quantities &amp; Terms</v>
      </c>
      <c r="AH1832" s="15" t="str">
        <f t="shared" si="18"/>
        <v>electropolished pipes manufacturer in Tra Vinh, electropolished pipes supplier in Tra Vinh, electropolished pipes wholesaler in Tra Vinh, electropolished tube manufacturer Tra Vinh, EP pipe supplier Tra Vinh, sanitary tube supplier Tra Vinh, ASME BPE tubing Tra Vinh, ASTM A270 tube Tra Vinh, SS 316L electropolished pipe Tra Vinh</v>
      </c>
      <c r="AI1832" s="15" t="str">
        <f t="shared" si="19"/>
        <v>Electropolished Pipes Manufacturer &amp; Supplier in Tra Vinh</v>
      </c>
      <c r="AJ1832" s="15" t="str">
        <f t="shared" si="20"/>
        <v>EP-finished SS 304/316L pipes and tubes for VERIFY plants in Tra Vinh. ASME BPE SF1-SF4, Ra from 0.25 um, EN 10204 3.1 certificate with every lot.</v>
      </c>
      <c r="AK1832" s="15" t="str">
        <f t="shared" si="21"/>
        <v>Electropolished stainless steel pipes supplied by Sakshi Forge to VERIFY plants at VERIFY, Tra Vinh</v>
      </c>
      <c r="AL1832" s="15" t="str">
        <f t="shared" si="22"/>
        <v>Electropolished SS 316L tube stock for Tra Vinh - Sakshi Forge</v>
      </c>
      <c r="AM1832" s="15" t="str">
        <f t="shared" si="23"/>
        <v>Home &gt; Market Area &gt; Vietnam &gt; VERIFY &gt; Tra Vinh</v>
      </c>
      <c r="AN1832" s="15">
        <f t="shared" si="24"/>
        <v>750</v>
      </c>
      <c r="AO1832" s="15">
        <f t="shared" si="25"/>
        <v>6</v>
      </c>
      <c r="AP1832" s="15">
        <f t="shared" si="26"/>
        <v>6</v>
      </c>
      <c r="AQ1832" s="15">
        <f t="shared" si="27"/>
        <v>31</v>
      </c>
      <c r="AR1832" s="31"/>
      <c r="AS1832" s="31"/>
      <c r="AT1832" s="35" t="s">
        <v>222</v>
      </c>
      <c r="AU1832" s="35"/>
    </row>
    <row r="1833" ht="15.75" customHeight="1">
      <c r="A1833" s="15" t="s">
        <v>8054</v>
      </c>
      <c r="B1833" s="15" t="s">
        <v>454</v>
      </c>
      <c r="C1833" s="15" t="s">
        <v>98</v>
      </c>
      <c r="D1833" s="15" t="s">
        <v>8055</v>
      </c>
      <c r="E1833" s="15" t="s">
        <v>8055</v>
      </c>
      <c r="F1833" s="58" t="s">
        <v>807</v>
      </c>
      <c r="G1833" s="66" t="s">
        <v>98</v>
      </c>
      <c r="H1833" s="18" t="s">
        <v>98</v>
      </c>
      <c r="I1833" s="18" t="s">
        <v>98</v>
      </c>
      <c r="J1833" s="18" t="s">
        <v>98</v>
      </c>
      <c r="K1833" s="18" t="s">
        <v>98</v>
      </c>
      <c r="L1833" s="18" t="s">
        <v>98</v>
      </c>
      <c r="M1833" s="18" t="s">
        <v>660</v>
      </c>
      <c r="N1833" s="18" t="s">
        <v>461</v>
      </c>
      <c r="O1833" s="18" t="s">
        <v>98</v>
      </c>
      <c r="P1833" s="15" t="str">
        <f t="shared" si="1"/>
        <v>VERIFY</v>
      </c>
      <c r="Q1833" s="15">
        <f t="shared" si="2"/>
        <v>6</v>
      </c>
      <c r="R1833" s="15">
        <f t="shared" si="3"/>
        <v>3</v>
      </c>
      <c r="S1833" s="15">
        <f t="shared" si="4"/>
        <v>5</v>
      </c>
      <c r="T1833" s="15" t="str">
        <f t="shared" si="5"/>
        <v>C-6</v>
      </c>
      <c r="U1833" s="15" t="str">
        <f t="shared" si="6"/>
        <v>T6-M3-H5-FC-6-VERIFY</v>
      </c>
      <c r="V1833" s="15">
        <f t="shared" si="7"/>
        <v>1</v>
      </c>
      <c r="W1833" s="31"/>
      <c r="X1833" s="15" t="str">
        <f t="shared" si="8"/>
        <v>tuyen-quang-vietnam</v>
      </c>
      <c r="Y1833" s="32" t="str">
        <f t="shared" si="9"/>
        <v>https://steelmanufacturer.in/market-area/electropolished-pipes-manufacturer-in-tuyen-quang-vietnam/</v>
      </c>
      <c r="Z1833" s="15" t="str">
        <f t="shared" si="10"/>
        <v>Electropolished Pipes Manufacturer in Tuyen Quang</v>
      </c>
      <c r="AA1833" s="15" t="str">
        <f t="shared" si="11"/>
        <v>OK (49)</v>
      </c>
      <c r="AB1833" s="15" t="str">
        <f t="shared" si="12"/>
        <v>EP stainless tube for VERIFY lines in Tuyen Quang. 12-16 days sea from Nhava Sheva to Hai Phong. ASTM A270 S2, PMI tested, EN 10204 3.1.</v>
      </c>
      <c r="AC1833" s="15" t="str">
        <f t="shared" si="13"/>
        <v>PENDING RESEARCH</v>
      </c>
      <c r="AD1833" s="15" t="str">
        <f t="shared" si="14"/>
        <v>Electropolished Pipes Manufacturer in Tuyen Quang</v>
      </c>
      <c r="AE1833" s="15" t="str">
        <f t="shared" si="15"/>
        <v>Electropolished Tube Manufacturing Capability Serving Tuyen Quang</v>
      </c>
      <c r="AF1833" s="15" t="str">
        <f t="shared" si="16"/>
        <v>Electropolished Pipes Supplier in Tuyen Quang - From Order to Delivery</v>
      </c>
      <c r="AG1833" s="15" t="str">
        <f t="shared" si="17"/>
        <v>Stockist &amp; Wholesale Supply of Electropolished Pipes in Tuyen Quang</v>
      </c>
      <c r="AH1833" s="15" t="str">
        <f t="shared" si="18"/>
        <v>electropolished pipes manufacturer in Tuyen Quang, electropolished pipes supplier in Tuyen Quang, electropolished pipes wholesaler in Tuyen Quang, electropolished tube manufacturer Tuyen Quang, EP pipe supplier Tuyen Quang, sanitary tube supplier Tuyen Quang, ASME BPE tubing Tuyen Quang, ASTM A270 tube Tuyen Quang, SS 316L electropolished pipe Tuyen Quang</v>
      </c>
      <c r="AI1833" s="15" t="str">
        <f t="shared" si="19"/>
        <v>Electropolished Pipes Manufacturer &amp; Supplier in Tuyen Quang</v>
      </c>
      <c r="AJ1833" s="15" t="str">
        <f t="shared" si="20"/>
        <v>EP-finished SS 304/316L pipes and tubes for VERIFY plants in Tuyen Quang. ASME BPE SF1-SF4, Ra from 0.25 um, EN 10204 3.1 certificate with every lot.</v>
      </c>
      <c r="AK1833" s="15" t="str">
        <f t="shared" si="21"/>
        <v>Electropolished stainless steel pipes supplied by Sakshi Forge to VERIFY plants at VERIFY, Tuyen Quang</v>
      </c>
      <c r="AL1833" s="15" t="str">
        <f t="shared" si="22"/>
        <v>Electropolished SS 316L tube stock for Tuyen Quang - Sakshi Forge</v>
      </c>
      <c r="AM1833" s="15" t="str">
        <f t="shared" si="23"/>
        <v>Home &gt; Market Area &gt; Vietnam &gt; VERIFY &gt; Tuyen Quang</v>
      </c>
      <c r="AN1833" s="15">
        <f t="shared" si="24"/>
        <v>750</v>
      </c>
      <c r="AO1833" s="15">
        <f t="shared" si="25"/>
        <v>6</v>
      </c>
      <c r="AP1833" s="15">
        <f t="shared" si="26"/>
        <v>6</v>
      </c>
      <c r="AQ1833" s="15">
        <f t="shared" si="27"/>
        <v>31</v>
      </c>
      <c r="AR1833" s="31"/>
      <c r="AS1833" s="31"/>
      <c r="AT1833" s="35" t="s">
        <v>222</v>
      </c>
      <c r="AU1833" s="35"/>
    </row>
    <row r="1834" ht="15.75" customHeight="1">
      <c r="A1834" s="15" t="s">
        <v>8056</v>
      </c>
      <c r="B1834" s="15" t="s">
        <v>454</v>
      </c>
      <c r="C1834" s="15" t="s">
        <v>98</v>
      </c>
      <c r="D1834" s="15" t="s">
        <v>8057</v>
      </c>
      <c r="E1834" s="15" t="s">
        <v>8057</v>
      </c>
      <c r="F1834" s="58" t="s">
        <v>807</v>
      </c>
      <c r="G1834" s="66" t="s">
        <v>98</v>
      </c>
      <c r="H1834" s="18" t="s">
        <v>98</v>
      </c>
      <c r="I1834" s="18" t="s">
        <v>98</v>
      </c>
      <c r="J1834" s="18" t="s">
        <v>98</v>
      </c>
      <c r="K1834" s="18" t="s">
        <v>98</v>
      </c>
      <c r="L1834" s="18" t="s">
        <v>98</v>
      </c>
      <c r="M1834" s="18" t="s">
        <v>660</v>
      </c>
      <c r="N1834" s="18" t="s">
        <v>461</v>
      </c>
      <c r="O1834" s="18" t="s">
        <v>98</v>
      </c>
      <c r="P1834" s="15" t="str">
        <f t="shared" si="1"/>
        <v>VERIFY</v>
      </c>
      <c r="Q1834" s="15">
        <f t="shared" si="2"/>
        <v>7</v>
      </c>
      <c r="R1834" s="15">
        <f t="shared" si="3"/>
        <v>4</v>
      </c>
      <c r="S1834" s="15">
        <f t="shared" si="4"/>
        <v>1</v>
      </c>
      <c r="T1834" s="15" t="str">
        <f t="shared" si="5"/>
        <v>C-1</v>
      </c>
      <c r="U1834" s="15" t="str">
        <f t="shared" si="6"/>
        <v>T7-M4-H1-FC-1-VERIFY</v>
      </c>
      <c r="V1834" s="15">
        <f t="shared" si="7"/>
        <v>1</v>
      </c>
      <c r="W1834" s="31"/>
      <c r="X1834" s="15" t="str">
        <f t="shared" si="8"/>
        <v>vinh-long-vietnam</v>
      </c>
      <c r="Y1834" s="32" t="str">
        <f t="shared" si="9"/>
        <v>https://steelmanufacturer.in/market-area/electropolished-pipes-manufacturer-in-vinh-long-vietnam/</v>
      </c>
      <c r="Z1834" s="15" t="str">
        <f t="shared" si="10"/>
        <v>Electropolished Pipes Manufacturer in Vinh Long</v>
      </c>
      <c r="AA1834" s="15" t="str">
        <f t="shared" si="11"/>
        <v>OK (47)</v>
      </c>
      <c r="AB1834" s="15" t="str">
        <f t="shared" si="12"/>
        <v>Sanitary electropolished pipes in Vinh Long for VERIFY plants. ASME BPE SF1-SF4, orbital-weld ready, 3.1 MTC. Mumbai-made.</v>
      </c>
      <c r="AC1834" s="15" t="str">
        <f t="shared" si="13"/>
        <v>PENDING RESEARCH</v>
      </c>
      <c r="AD1834" s="15" t="str">
        <f t="shared" si="14"/>
        <v>Electropolished Pipes Manufacturer in Vinh Long</v>
      </c>
      <c r="AE1834" s="15" t="str">
        <f t="shared" si="15"/>
        <v>Electropolished Pipe &amp; Tube Manufacturing for Vinh Long - Grades, Finishes &amp; Certification</v>
      </c>
      <c r="AF1834" s="15" t="str">
        <f t="shared" si="16"/>
        <v>Electropolished Pipes Supplier in Vinh Long - Stock Sizes, Lead Time &amp; Delivery</v>
      </c>
      <c r="AG1834" s="15" t="str">
        <f t="shared" si="17"/>
        <v>Electropolished Pipes Wholesaler &amp; Stockist in Vinh Long - Bulk &amp; Project Pricing</v>
      </c>
      <c r="AH1834" s="15" t="str">
        <f t="shared" si="18"/>
        <v>electropolished pipes manufacturer in Vinh Long, electropolished pipes supplier in Vinh Long, electropolished pipes wholesaler in Vinh Long, electropolished tube manufacturer Vinh Long, EP pipe supplier Vinh Long, sanitary tube supplier Vinh Long, ASME BPE tubing Vinh Long, ASTM A270 tube Vinh Long, SS 316L electropolished pipe Vinh Long</v>
      </c>
      <c r="AI1834" s="15" t="str">
        <f t="shared" si="19"/>
        <v>Electropolished Pipes Manufacturer &amp; Supplier in Vinh Long</v>
      </c>
      <c r="AJ1834" s="15" t="str">
        <f t="shared" si="20"/>
        <v>EP-finished SS 304/316L pipes and tubes for VERIFY plants in Vinh Long. ASME BPE SF1-SF4, Ra from 0.25 um, EN 10204 3.1 certificate with every lot.</v>
      </c>
      <c r="AK1834" s="15" t="str">
        <f t="shared" si="21"/>
        <v>Electropolished stainless steel pipes supplied by Sakshi Forge to VERIFY plants at VERIFY, Vinh Long</v>
      </c>
      <c r="AL1834" s="15" t="str">
        <f t="shared" si="22"/>
        <v>Electropolished SS 316L tube stock for Vinh Long - Sakshi Forge</v>
      </c>
      <c r="AM1834" s="15" t="str">
        <f t="shared" si="23"/>
        <v>Home &gt; Market Area &gt; Vietnam &gt; VERIFY &gt; Vinh Long</v>
      </c>
      <c r="AN1834" s="15">
        <f t="shared" si="24"/>
        <v>750</v>
      </c>
      <c r="AO1834" s="15">
        <f t="shared" si="25"/>
        <v>6</v>
      </c>
      <c r="AP1834" s="15">
        <f t="shared" si="26"/>
        <v>6</v>
      </c>
      <c r="AQ1834" s="15">
        <f t="shared" si="27"/>
        <v>31</v>
      </c>
      <c r="AR1834" s="31"/>
      <c r="AS1834" s="31"/>
      <c r="AT1834" s="35" t="s">
        <v>222</v>
      </c>
      <c r="AU1834" s="35"/>
    </row>
    <row r="1835" ht="15.75" customHeight="1">
      <c r="A1835" s="15" t="s">
        <v>8058</v>
      </c>
      <c r="B1835" s="15" t="s">
        <v>454</v>
      </c>
      <c r="C1835" s="15" t="s">
        <v>98</v>
      </c>
      <c r="D1835" s="15" t="s">
        <v>8059</v>
      </c>
      <c r="E1835" s="15" t="s">
        <v>8059</v>
      </c>
      <c r="F1835" s="58" t="s">
        <v>807</v>
      </c>
      <c r="G1835" s="66" t="s">
        <v>98</v>
      </c>
      <c r="H1835" s="18" t="s">
        <v>98</v>
      </c>
      <c r="I1835" s="18" t="s">
        <v>98</v>
      </c>
      <c r="J1835" s="18" t="s">
        <v>98</v>
      </c>
      <c r="K1835" s="18" t="s">
        <v>98</v>
      </c>
      <c r="L1835" s="18" t="s">
        <v>98</v>
      </c>
      <c r="M1835" s="18" t="s">
        <v>660</v>
      </c>
      <c r="N1835" s="18" t="s">
        <v>461</v>
      </c>
      <c r="O1835" s="18" t="s">
        <v>98</v>
      </c>
      <c r="P1835" s="15" t="str">
        <f t="shared" si="1"/>
        <v>VERIFY</v>
      </c>
      <c r="Q1835" s="15">
        <f t="shared" si="2"/>
        <v>8</v>
      </c>
      <c r="R1835" s="15">
        <f t="shared" si="3"/>
        <v>5</v>
      </c>
      <c r="S1835" s="15">
        <f t="shared" si="4"/>
        <v>2</v>
      </c>
      <c r="T1835" s="15" t="str">
        <f t="shared" si="5"/>
        <v>C-2</v>
      </c>
      <c r="U1835" s="15" t="str">
        <f t="shared" si="6"/>
        <v>T8-M5-H2-FC-2-VERIFY</v>
      </c>
      <c r="V1835" s="15">
        <f t="shared" si="7"/>
        <v>1</v>
      </c>
      <c r="W1835" s="31"/>
      <c r="X1835" s="15" t="str">
        <f t="shared" si="8"/>
        <v>yen-bai-vietnam</v>
      </c>
      <c r="Y1835" s="32" t="str">
        <f t="shared" si="9"/>
        <v>https://steelmanufacturer.in/market-area/electropolished-pipes-manufacturer-in-yen-bai-vietnam/</v>
      </c>
      <c r="Z1835" s="15" t="str">
        <f t="shared" si="10"/>
        <v>Electropolished Pipes Manufacturer in Yen Bai - EP Tube Stockist</v>
      </c>
      <c r="AA1835" s="15" t="str">
        <f t="shared" si="11"/>
        <v>OK (64)</v>
      </c>
      <c r="AB1835" s="15" t="str">
        <f t="shared" si="12"/>
        <v>Manufacturer of electropolished SS 316L tube serving Yen Bai. 12-16 days sea from Nhava Sheva to Hai Phong. Ra 0.25-0.5 um, EN 10204 3.1 MTC.</v>
      </c>
      <c r="AC1835" s="15" t="str">
        <f t="shared" si="13"/>
        <v>PENDING RESEARCH</v>
      </c>
      <c r="AD1835" s="15" t="str">
        <f t="shared" si="14"/>
        <v>Electropolished Pipes Manufacturer in Yen Bai</v>
      </c>
      <c r="AE1835" s="15" t="str">
        <f t="shared" si="15"/>
        <v>How We Manufacture Electropolished Tube for Yen Bai Plants</v>
      </c>
      <c r="AF1835" s="15" t="str">
        <f t="shared" si="16"/>
        <v>Supplying Electropolished Pipes in Yen Bai: Availability, Sizes &amp; Dispatch</v>
      </c>
      <c r="AG1835" s="15" t="str">
        <f t="shared" si="17"/>
        <v>Wholesale Electropolished Pipe Supply for Yen Bai Projects</v>
      </c>
      <c r="AH1835" s="15" t="str">
        <f t="shared" si="18"/>
        <v>electropolished pipes manufacturer in Yen Bai, electropolished pipes supplier in Yen Bai, electropolished pipes wholesaler in Yen Bai, electropolished tube manufacturer Yen Bai, EP pipe supplier Yen Bai, sanitary tube supplier Yen Bai, ASME BPE tubing Yen Bai, ASTM A270 tube Yen Bai, SS 316L electropolished pipe Yen Bai</v>
      </c>
      <c r="AI1835" s="15" t="str">
        <f t="shared" si="19"/>
        <v>Electropolished Pipes Manufacturer &amp; Supplier in Yen Bai</v>
      </c>
      <c r="AJ1835" s="15" t="str">
        <f t="shared" si="20"/>
        <v>EP-finished SS 304/316L pipes and tubes for VERIFY plants in Yen Bai. ASME BPE SF1-SF4, Ra from 0.25 um, EN 10204 3.1 certificate with every lot.</v>
      </c>
      <c r="AK1835" s="15" t="str">
        <f t="shared" si="21"/>
        <v>Electropolished stainless steel pipes supplied by Sakshi Forge to VERIFY plants at VERIFY, Yen Bai</v>
      </c>
      <c r="AL1835" s="15" t="str">
        <f t="shared" si="22"/>
        <v>Electropolished SS 316L tube stock for Yen Bai - Sakshi Forge</v>
      </c>
      <c r="AM1835" s="15" t="str">
        <f t="shared" si="23"/>
        <v>Home &gt; Market Area &gt; Vietnam &gt; VERIFY &gt; Yen Bai</v>
      </c>
      <c r="AN1835" s="15">
        <f t="shared" si="24"/>
        <v>750</v>
      </c>
      <c r="AO1835" s="15">
        <f t="shared" si="25"/>
        <v>6</v>
      </c>
      <c r="AP1835" s="15">
        <f t="shared" si="26"/>
        <v>6</v>
      </c>
      <c r="AQ1835" s="15">
        <f t="shared" si="27"/>
        <v>31</v>
      </c>
      <c r="AR1835" s="31"/>
      <c r="AS1835" s="31"/>
      <c r="AT1835" s="35" t="s">
        <v>222</v>
      </c>
      <c r="AU1835" s="35"/>
    </row>
  </sheetData>
  <autoFilter ref="$A$3:$AU$1835"/>
  <mergeCells count="2">
    <mergeCell ref="A1:N1"/>
    <mergeCell ref="A2:N2"/>
  </mergeCells>
  <dataValidations>
    <dataValidation type="list" allowBlank="1" sqref="AU4:AU1835">
      <formula1>"Not checked,Indexed,Not indexed,Excluded"</formula1>
    </dataValidation>
    <dataValidation type="list" allowBlank="1" sqref="AT4:AT1835">
      <formula1>"Not started,In progress,Done,Blocked"</formula1>
    </dataValidation>
  </dataValidation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6.0" topLeftCell="A7" activePane="bottomLeft" state="frozen"/>
      <selection activeCell="B8" sqref="B8" pane="bottomLeft"/>
    </sheetView>
  </sheetViews>
  <sheetFormatPr customHeight="1" defaultColWidth="14.43" defaultRowHeight="15.0"/>
  <cols>
    <col customWidth="1" min="1" max="1" width="5.0"/>
    <col customWidth="1" min="2" max="2" width="52.0"/>
    <col customWidth="1" min="3" max="3" width="22.0"/>
    <col customWidth="1" min="4" max="4" width="64.0"/>
    <col customWidth="1" min="5" max="5" width="12.0"/>
    <col customWidth="1" min="6" max="6" width="20.0"/>
    <col customWidth="1" min="7" max="26" width="8.71"/>
  </cols>
  <sheetData>
    <row r="1" ht="31.5" customHeight="1">
      <c r="A1" s="1" t="s">
        <v>2</v>
      </c>
      <c r="B1" s="2"/>
      <c r="C1" s="2"/>
      <c r="D1" s="2"/>
      <c r="E1" s="2"/>
      <c r="F1" s="3"/>
    </row>
    <row r="2" ht="19.5" customHeight="1">
      <c r="A2" s="4" t="s">
        <v>4</v>
      </c>
      <c r="B2" s="2"/>
      <c r="C2" s="2"/>
      <c r="D2" s="2"/>
      <c r="E2" s="2"/>
      <c r="F2" s="3"/>
    </row>
    <row r="4" ht="15.0" customHeight="1">
      <c r="A4" s="5" t="s">
        <v>7</v>
      </c>
      <c r="B4" s="8" t="s">
        <v>11</v>
      </c>
      <c r="C4" s="2"/>
      <c r="D4" s="2"/>
      <c r="E4" s="2"/>
      <c r="F4" s="3"/>
    </row>
    <row r="6" ht="33.75" customHeight="1">
      <c r="A6" s="6" t="s">
        <v>26</v>
      </c>
      <c r="B6" s="6" t="s">
        <v>29</v>
      </c>
      <c r="C6" s="6" t="s">
        <v>32</v>
      </c>
      <c r="D6" s="6" t="s">
        <v>36</v>
      </c>
      <c r="E6" s="6" t="s">
        <v>38</v>
      </c>
      <c r="F6" s="6" t="s">
        <v>42</v>
      </c>
    </row>
    <row r="7">
      <c r="A7" s="9">
        <v>1.0</v>
      </c>
      <c r="B7" s="11" t="s">
        <v>56</v>
      </c>
      <c r="C7" s="9" t="s">
        <v>64</v>
      </c>
      <c r="D7" s="9" t="s">
        <v>67</v>
      </c>
      <c r="E7" s="13" t="s">
        <v>70</v>
      </c>
      <c r="F7" s="9">
        <f>COUNTA('02 CITY MASTER'!$D$4:$D$1835)</f>
        <v>1832</v>
      </c>
    </row>
    <row r="8">
      <c r="A8" s="24">
        <v>2.0</v>
      </c>
      <c r="B8" s="25" t="s">
        <v>109</v>
      </c>
      <c r="C8" s="24" t="s">
        <v>64</v>
      </c>
      <c r="D8" s="24" t="s">
        <v>112</v>
      </c>
      <c r="E8" s="25" t="s">
        <v>70</v>
      </c>
      <c r="F8" s="24">
        <f>COUNTA('02 CITY MASTER'!$D$4:$D$1835)</f>
        <v>1832</v>
      </c>
    </row>
    <row r="9">
      <c r="A9" s="9">
        <v>3.0</v>
      </c>
      <c r="B9" s="11" t="s">
        <v>119</v>
      </c>
      <c r="C9" s="9" t="s">
        <v>64</v>
      </c>
      <c r="D9" s="9" t="s">
        <v>120</v>
      </c>
      <c r="E9" s="13" t="s">
        <v>70</v>
      </c>
      <c r="F9" s="9">
        <f>COUNTA('02 CITY MASTER'!$D$4:$D$1835)</f>
        <v>1832</v>
      </c>
    </row>
    <row r="10">
      <c r="A10" s="24">
        <v>4.0</v>
      </c>
      <c r="B10" s="25" t="s">
        <v>122</v>
      </c>
      <c r="C10" s="24" t="s">
        <v>64</v>
      </c>
      <c r="D10" s="24" t="s">
        <v>123</v>
      </c>
      <c r="E10" s="24" t="s">
        <v>124</v>
      </c>
      <c r="F10" s="24">
        <f>COUNTA('02 CITY MASTER'!$D$4:$D$1835)</f>
        <v>1832</v>
      </c>
    </row>
    <row r="11">
      <c r="A11" s="9">
        <v>5.0</v>
      </c>
      <c r="B11" s="11" t="s">
        <v>127</v>
      </c>
      <c r="C11" s="9" t="s">
        <v>64</v>
      </c>
      <c r="D11" s="9" t="s">
        <v>128</v>
      </c>
      <c r="E11" s="9" t="s">
        <v>124</v>
      </c>
      <c r="F11" s="9">
        <f>COUNTA('02 CITY MASTER'!$D$4:$D$1835)</f>
        <v>1832</v>
      </c>
    </row>
    <row r="12">
      <c r="A12" s="24">
        <v>6.0</v>
      </c>
      <c r="B12" s="25" t="s">
        <v>129</v>
      </c>
      <c r="C12" s="24" t="s">
        <v>64</v>
      </c>
      <c r="D12" s="24" t="s">
        <v>130</v>
      </c>
      <c r="E12" s="24" t="s">
        <v>124</v>
      </c>
      <c r="F12" s="24">
        <f>COUNTA('02 CITY MASTER'!$D$4:$D$1835)</f>
        <v>1832</v>
      </c>
    </row>
    <row r="13">
      <c r="A13" s="9">
        <v>7.0</v>
      </c>
      <c r="B13" s="11" t="s">
        <v>133</v>
      </c>
      <c r="C13" s="9" t="s">
        <v>64</v>
      </c>
      <c r="D13" s="9" t="s">
        <v>134</v>
      </c>
      <c r="E13" s="13" t="s">
        <v>70</v>
      </c>
      <c r="F13" s="9">
        <f>COUNTA('02 CITY MASTER'!$D$4:$D$1835)</f>
        <v>1832</v>
      </c>
    </row>
    <row r="14">
      <c r="A14" s="24">
        <v>8.0</v>
      </c>
      <c r="B14" s="25" t="s">
        <v>137</v>
      </c>
      <c r="C14" s="24" t="s">
        <v>64</v>
      </c>
      <c r="D14" s="24" t="s">
        <v>138</v>
      </c>
      <c r="E14" s="24" t="s">
        <v>124</v>
      </c>
      <c r="F14" s="24">
        <f>COUNTA('02 CITY MASTER'!$D$4:$D$1835)</f>
        <v>1832</v>
      </c>
    </row>
    <row r="15">
      <c r="A15" s="9">
        <v>9.0</v>
      </c>
      <c r="B15" s="11" t="s">
        <v>140</v>
      </c>
      <c r="C15" s="9" t="s">
        <v>64</v>
      </c>
      <c r="D15" s="9" t="s">
        <v>141</v>
      </c>
      <c r="E15" s="9" t="s">
        <v>124</v>
      </c>
      <c r="F15" s="9">
        <f>COUNTA('02 CITY MASTER'!$D$4:$D$1835)</f>
        <v>1832</v>
      </c>
    </row>
    <row r="16">
      <c r="A16" s="24">
        <v>10.0</v>
      </c>
      <c r="B16" s="25" t="s">
        <v>143</v>
      </c>
      <c r="C16" s="24" t="s">
        <v>144</v>
      </c>
      <c r="D16" s="24" t="s">
        <v>145</v>
      </c>
      <c r="E16" s="24" t="s">
        <v>124</v>
      </c>
      <c r="F16" s="24">
        <f>COUNTA('02 CITY MASTER'!$D$4:$D$1835)</f>
        <v>1832</v>
      </c>
    </row>
    <row r="17">
      <c r="A17" s="9">
        <v>11.0</v>
      </c>
      <c r="B17" s="11" t="s">
        <v>150</v>
      </c>
      <c r="C17" s="9" t="s">
        <v>144</v>
      </c>
      <c r="D17" s="9" t="s">
        <v>152</v>
      </c>
      <c r="E17" s="9" t="s">
        <v>124</v>
      </c>
      <c r="F17" s="9">
        <f>COUNTA('02 CITY MASTER'!$D$4:$D$1835)</f>
        <v>1832</v>
      </c>
    </row>
    <row r="18">
      <c r="A18" s="24">
        <v>12.0</v>
      </c>
      <c r="B18" s="25" t="s">
        <v>155</v>
      </c>
      <c r="C18" s="24" t="s">
        <v>144</v>
      </c>
      <c r="D18" s="24" t="s">
        <v>152</v>
      </c>
      <c r="E18" s="24" t="s">
        <v>124</v>
      </c>
      <c r="F18" s="24">
        <f>COUNTA('02 CITY MASTER'!$D$4:$D$1835)</f>
        <v>1832</v>
      </c>
    </row>
    <row r="19">
      <c r="A19" s="9">
        <v>13.0</v>
      </c>
      <c r="B19" s="11" t="s">
        <v>158</v>
      </c>
      <c r="C19" s="9" t="s">
        <v>144</v>
      </c>
      <c r="D19" s="9" t="s">
        <v>159</v>
      </c>
      <c r="E19" s="9" t="s">
        <v>124</v>
      </c>
      <c r="F19" s="9">
        <f>COUNTA('02 CITY MASTER'!$D$4:$D$1835)</f>
        <v>1832</v>
      </c>
    </row>
    <row r="20">
      <c r="A20" s="24">
        <v>14.0</v>
      </c>
      <c r="B20" s="25" t="s">
        <v>162</v>
      </c>
      <c r="C20" s="24" t="s">
        <v>144</v>
      </c>
      <c r="D20" s="24" t="s">
        <v>165</v>
      </c>
      <c r="E20" s="24" t="s">
        <v>124</v>
      </c>
      <c r="F20" s="24">
        <f>COUNTA('02 CITY MASTER'!$D$4:$D$1835)</f>
        <v>1832</v>
      </c>
    </row>
    <row r="21" ht="15.75" customHeight="1">
      <c r="A21" s="9">
        <v>15.0</v>
      </c>
      <c r="B21" s="11" t="s">
        <v>168</v>
      </c>
      <c r="C21" s="9" t="s">
        <v>144</v>
      </c>
      <c r="D21" s="9" t="s">
        <v>169</v>
      </c>
      <c r="E21" s="9" t="s">
        <v>124</v>
      </c>
      <c r="F21" s="9">
        <f>COUNTA('02 CITY MASTER'!$D$4:$D$1835)</f>
        <v>1832</v>
      </c>
    </row>
    <row r="22" ht="15.75" customHeight="1">
      <c r="A22" s="24">
        <v>16.0</v>
      </c>
      <c r="B22" s="25" t="s">
        <v>172</v>
      </c>
      <c r="C22" s="24" t="s">
        <v>173</v>
      </c>
      <c r="D22" s="24" t="s">
        <v>175</v>
      </c>
      <c r="E22" s="24" t="s">
        <v>173</v>
      </c>
      <c r="F22" s="24">
        <f>COUNTA('02 CITY MASTER'!$D$4:$D$1835)</f>
        <v>1832</v>
      </c>
    </row>
    <row r="23" ht="15.75" customHeight="1">
      <c r="A23" s="9">
        <v>17.0</v>
      </c>
      <c r="B23" s="11" t="s">
        <v>179</v>
      </c>
      <c r="C23" s="9" t="s">
        <v>144</v>
      </c>
      <c r="D23" s="9" t="s">
        <v>180</v>
      </c>
      <c r="E23" s="9" t="s">
        <v>181</v>
      </c>
      <c r="F23" s="9">
        <f>COUNTA('02 CITY MASTER'!$D$4:$D$1835)</f>
        <v>1832</v>
      </c>
    </row>
    <row r="24" ht="15.75" customHeight="1">
      <c r="A24" s="24">
        <v>18.0</v>
      </c>
      <c r="B24" s="25" t="s">
        <v>185</v>
      </c>
      <c r="C24" s="24" t="s">
        <v>144</v>
      </c>
      <c r="D24" s="24" t="s">
        <v>187</v>
      </c>
      <c r="E24" s="24" t="s">
        <v>181</v>
      </c>
      <c r="F24" s="24">
        <f>COUNTA('02 CITY MASTER'!$D$4:$D$1835)</f>
        <v>1832</v>
      </c>
    </row>
    <row r="25" ht="15.75" customHeight="1">
      <c r="A25" s="9">
        <v>19.0</v>
      </c>
      <c r="B25" s="11" t="s">
        <v>190</v>
      </c>
      <c r="C25" s="9" t="s">
        <v>144</v>
      </c>
      <c r="D25" s="9" t="s">
        <v>191</v>
      </c>
      <c r="E25" s="9" t="s">
        <v>181</v>
      </c>
      <c r="F25" s="9">
        <f>COUNTA('02 CITY MASTER'!$D$4:$D$1835)</f>
        <v>1832</v>
      </c>
    </row>
    <row r="26" ht="15.75" customHeight="1">
      <c r="A26" s="24">
        <v>20.0</v>
      </c>
      <c r="B26" s="25" t="s">
        <v>194</v>
      </c>
      <c r="C26" s="24" t="s">
        <v>144</v>
      </c>
      <c r="D26" s="24" t="s">
        <v>195</v>
      </c>
      <c r="E26" s="24" t="s">
        <v>181</v>
      </c>
      <c r="F26" s="24">
        <f>COUNTA('02 CITY MASTER'!$D$4:$D$1835)</f>
        <v>1832</v>
      </c>
    </row>
    <row r="27" ht="15.75" customHeight="1">
      <c r="A27" s="9">
        <v>21.0</v>
      </c>
      <c r="B27" s="11" t="s">
        <v>198</v>
      </c>
      <c r="C27" s="9" t="s">
        <v>200</v>
      </c>
      <c r="D27" s="9" t="s">
        <v>202</v>
      </c>
      <c r="E27" s="9" t="s">
        <v>181</v>
      </c>
      <c r="F27" s="9">
        <f>COUNTA('02 CITY MASTER'!$D$4:$D$1835)</f>
        <v>1832</v>
      </c>
    </row>
    <row r="28" ht="15.75" customHeight="1">
      <c r="B28" s="33" t="s">
        <v>205</v>
      </c>
      <c r="F28" s="34">
        <f>SUM(F7:F27)</f>
        <v>38472</v>
      </c>
    </row>
    <row r="29" ht="15.75" customHeight="1"/>
    <row r="30" ht="15.0" customHeight="1">
      <c r="A30" s="27" t="s">
        <v>209</v>
      </c>
      <c r="B30" s="28" t="s">
        <v>211</v>
      </c>
      <c r="C30" s="2"/>
      <c r="D30" s="2"/>
      <c r="E30" s="2"/>
      <c r="F30" s="3"/>
    </row>
    <row r="31" ht="23.25" customHeight="1">
      <c r="A31" s="5" t="s">
        <v>212</v>
      </c>
      <c r="B31" s="8" t="s">
        <v>213</v>
      </c>
      <c r="C31" s="2"/>
      <c r="D31" s="2"/>
      <c r="E31" s="2"/>
      <c r="F31" s="3"/>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F1"/>
    <mergeCell ref="A2:F2"/>
    <mergeCell ref="B4:F4"/>
    <mergeCell ref="B30:F30"/>
    <mergeCell ref="B31:F31"/>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6.0" topLeftCell="A7" activePane="bottomLeft" state="frozen"/>
      <selection activeCell="B8" sqref="B8" pane="bottomLeft"/>
    </sheetView>
  </sheetViews>
  <sheetFormatPr customHeight="1" defaultColWidth="14.43" defaultRowHeight="15.0"/>
  <cols>
    <col customWidth="1" min="1" max="1" width="5.0"/>
    <col customWidth="1" min="2" max="2" width="30.0"/>
    <col customWidth="1" min="3" max="3" width="12.0"/>
    <col customWidth="1" min="4" max="4" width="76.0"/>
    <col customWidth="1" min="5" max="7" width="12.0"/>
    <col customWidth="1" min="8" max="8" width="34.0"/>
    <col customWidth="1" min="9" max="26" width="8.71"/>
  </cols>
  <sheetData>
    <row r="1" ht="31.5" customHeight="1">
      <c r="A1" s="1" t="s">
        <v>253</v>
      </c>
      <c r="B1" s="2"/>
      <c r="C1" s="2"/>
      <c r="D1" s="2"/>
      <c r="E1" s="2"/>
      <c r="F1" s="2"/>
      <c r="G1" s="2"/>
      <c r="H1" s="3"/>
    </row>
    <row r="2" ht="19.5" customHeight="1">
      <c r="A2" s="4" t="s">
        <v>257</v>
      </c>
      <c r="B2" s="2"/>
      <c r="C2" s="2"/>
      <c r="D2" s="2"/>
      <c r="E2" s="2"/>
      <c r="F2" s="2"/>
      <c r="G2" s="2"/>
      <c r="H2" s="3"/>
    </row>
    <row r="4" ht="23.25" customHeight="1">
      <c r="A4" s="5" t="s">
        <v>259</v>
      </c>
      <c r="B4" s="8" t="s">
        <v>260</v>
      </c>
      <c r="C4" s="2"/>
      <c r="D4" s="2"/>
      <c r="E4" s="2"/>
      <c r="F4" s="2"/>
      <c r="G4" s="2"/>
      <c r="H4" s="3"/>
    </row>
    <row r="6" ht="33.75" customHeight="1">
      <c r="A6" s="6" t="s">
        <v>26</v>
      </c>
      <c r="B6" s="6" t="s">
        <v>262</v>
      </c>
      <c r="C6" s="6" t="s">
        <v>266</v>
      </c>
      <c r="D6" s="6" t="s">
        <v>267</v>
      </c>
      <c r="E6" s="6" t="s">
        <v>272</v>
      </c>
      <c r="F6" s="6" t="s">
        <v>275</v>
      </c>
      <c r="G6" s="6" t="s">
        <v>278</v>
      </c>
      <c r="H6" s="6" t="s">
        <v>279</v>
      </c>
    </row>
    <row r="7">
      <c r="A7" s="9">
        <v>1.0</v>
      </c>
      <c r="B7" s="11" t="s">
        <v>281</v>
      </c>
      <c r="C7" s="25" t="s">
        <v>282</v>
      </c>
      <c r="D7" s="9" t="s">
        <v>283</v>
      </c>
      <c r="E7" s="9">
        <v>0.0</v>
      </c>
      <c r="F7" s="9">
        <v>0.0</v>
      </c>
      <c r="G7" s="9">
        <v>0.0</v>
      </c>
      <c r="H7" s="9" t="s">
        <v>285</v>
      </c>
    </row>
    <row r="8">
      <c r="A8" s="24">
        <v>2.0</v>
      </c>
      <c r="B8" s="25" t="s">
        <v>286</v>
      </c>
      <c r="C8" s="25" t="s">
        <v>287</v>
      </c>
      <c r="D8" s="24" t="s">
        <v>288</v>
      </c>
      <c r="E8" s="24">
        <v>120.0</v>
      </c>
      <c r="F8" s="24">
        <v>90.0</v>
      </c>
      <c r="G8" s="24">
        <v>70.0</v>
      </c>
      <c r="H8" s="24" t="s">
        <v>289</v>
      </c>
    </row>
    <row r="9">
      <c r="A9" s="9">
        <v>3.0</v>
      </c>
      <c r="B9" s="11" t="s">
        <v>291</v>
      </c>
      <c r="C9" s="25" t="s">
        <v>282</v>
      </c>
      <c r="D9" s="9" t="s">
        <v>294</v>
      </c>
      <c r="E9" s="9">
        <v>40.0</v>
      </c>
      <c r="F9" s="9">
        <v>40.0</v>
      </c>
      <c r="G9" s="9">
        <v>40.0</v>
      </c>
      <c r="H9" s="9" t="s">
        <v>298</v>
      </c>
    </row>
    <row r="10">
      <c r="A10" s="24">
        <v>4.0</v>
      </c>
      <c r="B10" s="25" t="s">
        <v>300</v>
      </c>
      <c r="C10" s="25" t="s">
        <v>282</v>
      </c>
      <c r="D10" s="24" t="s">
        <v>302</v>
      </c>
      <c r="E10" s="24">
        <v>260.0</v>
      </c>
      <c r="F10" s="24">
        <v>200.0</v>
      </c>
      <c r="G10" s="24">
        <v>150.0</v>
      </c>
      <c r="H10" s="24" t="s">
        <v>304</v>
      </c>
    </row>
    <row r="11">
      <c r="A11" s="9">
        <v>5.0</v>
      </c>
      <c r="B11" s="11" t="s">
        <v>306</v>
      </c>
      <c r="C11" s="25" t="s">
        <v>282</v>
      </c>
      <c r="D11" s="9" t="s">
        <v>307</v>
      </c>
      <c r="E11" s="9">
        <v>0.0</v>
      </c>
      <c r="F11" s="9">
        <v>0.0</v>
      </c>
      <c r="G11" s="9">
        <v>0.0</v>
      </c>
      <c r="H11" s="9" t="s">
        <v>298</v>
      </c>
    </row>
    <row r="12">
      <c r="A12" s="24">
        <v>6.0</v>
      </c>
      <c r="B12" s="25" t="s">
        <v>309</v>
      </c>
      <c r="C12" s="25" t="s">
        <v>287</v>
      </c>
      <c r="D12" s="24" t="s">
        <v>312</v>
      </c>
      <c r="E12" s="24">
        <v>200.0</v>
      </c>
      <c r="F12" s="24">
        <v>150.0</v>
      </c>
      <c r="G12" s="24">
        <v>110.0</v>
      </c>
      <c r="H12" s="24" t="s">
        <v>315</v>
      </c>
    </row>
    <row r="13">
      <c r="A13" s="9">
        <v>7.0</v>
      </c>
      <c r="B13" s="11" t="s">
        <v>317</v>
      </c>
      <c r="C13" s="13" t="s">
        <v>287</v>
      </c>
      <c r="D13" s="9" t="s">
        <v>320</v>
      </c>
      <c r="E13" s="9">
        <v>260.0</v>
      </c>
      <c r="F13" s="9">
        <v>180.0</v>
      </c>
      <c r="G13" s="9">
        <v>120.0</v>
      </c>
      <c r="H13" s="9" t="s">
        <v>323</v>
      </c>
    </row>
    <row r="14">
      <c r="A14" s="24">
        <v>8.0</v>
      </c>
      <c r="B14" s="25" t="s">
        <v>325</v>
      </c>
      <c r="C14" s="25" t="s">
        <v>287</v>
      </c>
      <c r="D14" s="24" t="s">
        <v>328</v>
      </c>
      <c r="E14" s="24">
        <v>160.0</v>
      </c>
      <c r="F14" s="24">
        <v>120.0</v>
      </c>
      <c r="G14" s="24">
        <v>90.0</v>
      </c>
      <c r="H14" s="24" t="s">
        <v>332</v>
      </c>
    </row>
    <row r="15">
      <c r="A15" s="9">
        <v>9.0</v>
      </c>
      <c r="B15" s="11" t="s">
        <v>334</v>
      </c>
      <c r="C15" s="25" t="s">
        <v>282</v>
      </c>
      <c r="D15" s="9" t="s">
        <v>337</v>
      </c>
      <c r="E15" s="9">
        <v>180.0</v>
      </c>
      <c r="F15" s="9">
        <v>140.0</v>
      </c>
      <c r="G15" s="9">
        <v>100.0</v>
      </c>
      <c r="H15" s="9" t="s">
        <v>298</v>
      </c>
    </row>
    <row r="16">
      <c r="A16" s="24">
        <v>10.0</v>
      </c>
      <c r="B16" s="25" t="s">
        <v>342</v>
      </c>
      <c r="C16" s="25" t="s">
        <v>344</v>
      </c>
      <c r="D16" s="24" t="s">
        <v>346</v>
      </c>
      <c r="E16" s="24">
        <v>180.0</v>
      </c>
      <c r="F16" s="24">
        <v>130.0</v>
      </c>
      <c r="G16" s="24">
        <v>90.0</v>
      </c>
      <c r="H16" s="24" t="s">
        <v>350</v>
      </c>
    </row>
    <row r="17">
      <c r="A17" s="9">
        <v>11.0</v>
      </c>
      <c r="B17" s="11" t="s">
        <v>351</v>
      </c>
      <c r="C17" s="25" t="s">
        <v>282</v>
      </c>
      <c r="D17" s="9" t="s">
        <v>355</v>
      </c>
      <c r="E17" s="9">
        <v>40.0</v>
      </c>
      <c r="F17" s="9">
        <v>30.0</v>
      </c>
      <c r="G17" s="9">
        <v>30.0</v>
      </c>
      <c r="H17" s="9" t="s">
        <v>360</v>
      </c>
    </row>
    <row r="18">
      <c r="A18" s="24">
        <v>12.0</v>
      </c>
      <c r="B18" s="25" t="s">
        <v>364</v>
      </c>
      <c r="C18" s="25" t="s">
        <v>366</v>
      </c>
      <c r="D18" s="24" t="s">
        <v>367</v>
      </c>
      <c r="E18" s="24">
        <v>300.0</v>
      </c>
      <c r="F18" s="24">
        <v>240.0</v>
      </c>
      <c r="G18" s="24">
        <v>180.0</v>
      </c>
      <c r="H18" s="24" t="s">
        <v>368</v>
      </c>
    </row>
    <row r="19">
      <c r="A19" s="9">
        <v>13.0</v>
      </c>
      <c r="B19" s="11" t="s">
        <v>369</v>
      </c>
      <c r="C19" s="13" t="s">
        <v>287</v>
      </c>
      <c r="D19" s="9" t="s">
        <v>370</v>
      </c>
      <c r="E19" s="9">
        <v>120.0</v>
      </c>
      <c r="F19" s="9">
        <v>90.0</v>
      </c>
      <c r="G19" s="9">
        <v>70.0</v>
      </c>
      <c r="H19" s="9" t="s">
        <v>371</v>
      </c>
    </row>
    <row r="20">
      <c r="A20" s="24">
        <v>14.0</v>
      </c>
      <c r="B20" s="25" t="s">
        <v>372</v>
      </c>
      <c r="C20" s="25" t="s">
        <v>282</v>
      </c>
      <c r="D20" s="24" t="s">
        <v>373</v>
      </c>
      <c r="E20" s="24">
        <v>60.0</v>
      </c>
      <c r="F20" s="24">
        <v>60.0</v>
      </c>
      <c r="G20" s="24">
        <v>60.0</v>
      </c>
      <c r="H20" s="24" t="s">
        <v>298</v>
      </c>
    </row>
    <row r="21" ht="15.75" customHeight="1">
      <c r="A21" s="9">
        <v>15.0</v>
      </c>
      <c r="B21" s="11" t="s">
        <v>374</v>
      </c>
      <c r="C21" s="39" t="s">
        <v>344</v>
      </c>
      <c r="D21" s="9" t="s">
        <v>375</v>
      </c>
      <c r="E21" s="9">
        <v>0.0</v>
      </c>
      <c r="F21" s="9">
        <v>0.0</v>
      </c>
      <c r="G21" s="9">
        <v>0.0</v>
      </c>
      <c r="H21" s="9" t="s">
        <v>376</v>
      </c>
    </row>
    <row r="22" ht="15.75" customHeight="1">
      <c r="B22" s="33" t="s">
        <v>377</v>
      </c>
      <c r="E22" s="34">
        <f t="shared" ref="E22:G22" si="1">SUM(E7:E21)</f>
        <v>1920</v>
      </c>
      <c r="F22" s="34">
        <f t="shared" si="1"/>
        <v>1470</v>
      </c>
      <c r="G22" s="34">
        <f t="shared" si="1"/>
        <v>1110</v>
      </c>
    </row>
    <row r="23" ht="15.75" customHeight="1"/>
    <row r="24" ht="15.0" customHeight="1">
      <c r="A24" s="27" t="s">
        <v>385</v>
      </c>
      <c r="B24" s="28" t="s">
        <v>387</v>
      </c>
      <c r="C24" s="2"/>
      <c r="D24" s="2"/>
      <c r="E24" s="2"/>
      <c r="F24" s="2"/>
      <c r="G24" s="2"/>
      <c r="H24" s="3"/>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H1"/>
    <mergeCell ref="A2:H2"/>
    <mergeCell ref="B4:H4"/>
    <mergeCell ref="B24:H24"/>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8.0" topLeftCell="A19" activePane="bottomLeft" state="frozen"/>
      <selection activeCell="B20" sqref="B20" pane="bottomLeft"/>
    </sheetView>
  </sheetViews>
  <sheetFormatPr customHeight="1" defaultColWidth="14.43" defaultRowHeight="15.0"/>
  <cols>
    <col customWidth="1" min="1" max="1" width="46.0"/>
    <col customWidth="1" min="2" max="2" width="92.0"/>
    <col customWidth="1" min="3" max="6" width="2.0"/>
    <col customWidth="1" min="7" max="26" width="8.71"/>
  </cols>
  <sheetData>
    <row r="1" ht="31.5" customHeight="1">
      <c r="A1" s="1" t="s">
        <v>256</v>
      </c>
      <c r="B1" s="2"/>
      <c r="C1" s="2"/>
      <c r="D1" s="2"/>
      <c r="E1" s="2"/>
      <c r="F1" s="3"/>
    </row>
    <row r="2" ht="19.5" customHeight="1">
      <c r="A2" s="4" t="s">
        <v>258</v>
      </c>
      <c r="B2" s="2"/>
      <c r="C2" s="2"/>
      <c r="D2" s="2"/>
      <c r="E2" s="2"/>
      <c r="F2" s="3"/>
    </row>
    <row r="4" ht="21.75" customHeight="1">
      <c r="A4" s="26" t="s">
        <v>261</v>
      </c>
      <c r="B4" s="2"/>
      <c r="C4" s="2"/>
      <c r="D4" s="2"/>
      <c r="E4" s="2"/>
      <c r="F4" s="3"/>
    </row>
    <row r="5" ht="34.5" customHeight="1">
      <c r="A5" s="29" t="s">
        <v>274</v>
      </c>
      <c r="B5" s="30" t="s">
        <v>280</v>
      </c>
      <c r="C5" s="2"/>
      <c r="D5" s="2"/>
      <c r="E5" s="2"/>
      <c r="F5" s="3"/>
    </row>
    <row r="7" ht="21.75" customHeight="1">
      <c r="A7" s="7" t="s">
        <v>284</v>
      </c>
      <c r="B7" s="2"/>
      <c r="C7" s="2"/>
      <c r="D7" s="2"/>
      <c r="E7" s="2"/>
      <c r="F7" s="3"/>
    </row>
    <row r="8" ht="33.75" customHeight="1">
      <c r="A8" s="6" t="s">
        <v>290</v>
      </c>
      <c r="B8" s="6" t="s">
        <v>292</v>
      </c>
      <c r="C8" s="6" t="s">
        <v>293</v>
      </c>
      <c r="D8" s="6" t="s">
        <v>295</v>
      </c>
      <c r="E8" s="6" t="s">
        <v>296</v>
      </c>
      <c r="F8" s="6" t="s">
        <v>299</v>
      </c>
    </row>
    <row r="9">
      <c r="A9" s="11" t="s">
        <v>303</v>
      </c>
      <c r="B9" s="36" t="s">
        <v>305</v>
      </c>
      <c r="C9" s="9" t="s">
        <v>308</v>
      </c>
      <c r="D9" s="9" t="s">
        <v>310</v>
      </c>
      <c r="E9" s="9" t="s">
        <v>311</v>
      </c>
      <c r="F9" s="9" t="s">
        <v>313</v>
      </c>
    </row>
    <row r="10">
      <c r="A10" s="25" t="s">
        <v>314</v>
      </c>
      <c r="B10" s="25" t="s">
        <v>316</v>
      </c>
      <c r="C10" s="24" t="s">
        <v>318</v>
      </c>
      <c r="D10" s="24" t="s">
        <v>319</v>
      </c>
      <c r="E10" s="24" t="s">
        <v>321</v>
      </c>
      <c r="F10" s="24" t="s">
        <v>322</v>
      </c>
    </row>
    <row r="11">
      <c r="A11" s="11" t="s">
        <v>324</v>
      </c>
      <c r="B11" s="36" t="s">
        <v>326</v>
      </c>
      <c r="C11" s="9" t="s">
        <v>327</v>
      </c>
      <c r="D11" s="9" t="s">
        <v>329</v>
      </c>
      <c r="E11" s="9" t="s">
        <v>330</v>
      </c>
      <c r="F11" s="9" t="s">
        <v>331</v>
      </c>
    </row>
    <row r="12">
      <c r="A12" s="25" t="s">
        <v>333</v>
      </c>
      <c r="B12" s="25" t="s">
        <v>335</v>
      </c>
      <c r="C12" s="24" t="s">
        <v>336</v>
      </c>
      <c r="D12" s="24" t="s">
        <v>338</v>
      </c>
      <c r="E12" s="24" t="s">
        <v>339</v>
      </c>
      <c r="F12" s="24" t="s">
        <v>340</v>
      </c>
    </row>
    <row r="13">
      <c r="A13" s="11" t="s">
        <v>341</v>
      </c>
      <c r="B13" s="36" t="s">
        <v>343</v>
      </c>
      <c r="C13" s="9" t="s">
        <v>345</v>
      </c>
      <c r="D13" s="9" t="s">
        <v>347</v>
      </c>
      <c r="E13" s="9" t="s">
        <v>348</v>
      </c>
      <c r="F13" s="9" t="s">
        <v>349</v>
      </c>
    </row>
    <row r="14">
      <c r="A14" s="33" t="s">
        <v>353</v>
      </c>
      <c r="F14" s="37" t="s">
        <v>357</v>
      </c>
    </row>
    <row r="15">
      <c r="A15" s="33" t="s">
        <v>363</v>
      </c>
      <c r="E15" s="38" t="s">
        <v>365</v>
      </c>
      <c r="F15" s="40" t="str">
        <f>ROUND(1832*24/60,0)&amp;" hours"</f>
        <v>733 hours</v>
      </c>
    </row>
    <row r="17" ht="21.75" customHeight="1">
      <c r="A17" s="7" t="s">
        <v>379</v>
      </c>
      <c r="B17" s="2"/>
      <c r="C17" s="2"/>
      <c r="D17" s="2"/>
      <c r="E17" s="2"/>
      <c r="F17" s="3"/>
    </row>
    <row r="18" ht="21.75" customHeight="1">
      <c r="A18" s="6" t="s">
        <v>381</v>
      </c>
      <c r="B18" s="6" t="s">
        <v>382</v>
      </c>
      <c r="C18" s="6"/>
      <c r="D18" s="6"/>
      <c r="E18" s="6"/>
      <c r="F18" s="6"/>
    </row>
    <row r="19" ht="15.0" customHeight="1">
      <c r="A19" s="11" t="s">
        <v>383</v>
      </c>
      <c r="B19" s="23" t="s">
        <v>384</v>
      </c>
      <c r="C19" s="20"/>
      <c r="D19" s="20"/>
      <c r="E19" s="20"/>
      <c r="F19" s="20"/>
    </row>
    <row r="20" ht="15.0" customHeight="1">
      <c r="A20" s="25" t="s">
        <v>389</v>
      </c>
      <c r="B20" s="41" t="s">
        <v>394</v>
      </c>
      <c r="C20" s="20"/>
      <c r="D20" s="20"/>
      <c r="E20" s="20"/>
      <c r="F20" s="42"/>
    </row>
    <row r="21" ht="15.0" customHeight="1">
      <c r="A21" s="11" t="s">
        <v>396</v>
      </c>
      <c r="B21" s="23" t="s">
        <v>397</v>
      </c>
      <c r="C21" s="20"/>
      <c r="D21" s="20"/>
      <c r="E21" s="20"/>
      <c r="F21" s="20"/>
    </row>
    <row r="22" ht="15.0" customHeight="1">
      <c r="A22" s="25" t="s">
        <v>398</v>
      </c>
      <c r="B22" s="41" t="s">
        <v>399</v>
      </c>
      <c r="C22" s="20"/>
      <c r="D22" s="20"/>
      <c r="E22" s="20"/>
      <c r="F22" s="42"/>
    </row>
    <row r="23" ht="15.0" customHeight="1">
      <c r="A23" s="11" t="s">
        <v>400</v>
      </c>
      <c r="B23" s="23" t="s">
        <v>401</v>
      </c>
      <c r="C23" s="20"/>
      <c r="D23" s="20"/>
      <c r="E23" s="20"/>
      <c r="F23" s="20"/>
    </row>
    <row r="24" ht="15.0" customHeight="1">
      <c r="A24" s="25" t="s">
        <v>404</v>
      </c>
      <c r="B24" s="41" t="s">
        <v>405</v>
      </c>
      <c r="C24" s="20"/>
      <c r="D24" s="20"/>
      <c r="E24" s="20"/>
      <c r="F24" s="42"/>
    </row>
    <row r="25" ht="15.0" customHeight="1">
      <c r="A25" s="11" t="s">
        <v>406</v>
      </c>
      <c r="B25" s="23" t="s">
        <v>407</v>
      </c>
      <c r="C25" s="20"/>
      <c r="D25" s="20"/>
      <c r="E25" s="20"/>
      <c r="F25" s="20"/>
    </row>
    <row r="26" ht="15.0" customHeight="1">
      <c r="A26" s="25" t="s">
        <v>408</v>
      </c>
      <c r="B26" s="41" t="s">
        <v>409</v>
      </c>
      <c r="C26" s="20"/>
      <c r="D26" s="20"/>
      <c r="E26" s="20"/>
      <c r="F26" s="42"/>
    </row>
    <row r="27" ht="15.0" customHeight="1">
      <c r="A27" s="11" t="s">
        <v>410</v>
      </c>
      <c r="B27" s="23" t="s">
        <v>412</v>
      </c>
      <c r="C27" s="20"/>
      <c r="D27" s="20"/>
      <c r="E27" s="20"/>
      <c r="F27" s="20"/>
    </row>
    <row r="28" ht="15.0" customHeight="1">
      <c r="A28" s="25" t="s">
        <v>419</v>
      </c>
      <c r="B28" s="41" t="s">
        <v>420</v>
      </c>
      <c r="C28" s="20"/>
      <c r="D28" s="20"/>
      <c r="E28" s="20"/>
      <c r="F28" s="42"/>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A1:F1"/>
    <mergeCell ref="A2:F2"/>
    <mergeCell ref="A4:F4"/>
    <mergeCell ref="B5:F5"/>
    <mergeCell ref="A7:F7"/>
    <mergeCell ref="A17:F17"/>
    <mergeCell ref="B19:F19"/>
    <mergeCell ref="B27:F27"/>
    <mergeCell ref="B28:F28"/>
    <mergeCell ref="B20:F20"/>
    <mergeCell ref="B21:F21"/>
    <mergeCell ref="B22:F22"/>
    <mergeCell ref="B23:F23"/>
    <mergeCell ref="B24:F24"/>
    <mergeCell ref="B25:F25"/>
    <mergeCell ref="B26:F26"/>
  </mergeCell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63.0" topLeftCell="A64" activePane="bottomLeft" state="frozen"/>
      <selection activeCell="B65" sqref="B65" pane="bottomLeft"/>
    </sheetView>
  </sheetViews>
  <sheetFormatPr customHeight="1" defaultColWidth="14.43" defaultRowHeight="15.0"/>
  <cols>
    <col customWidth="1" min="1" max="2" width="8.0"/>
    <col customWidth="1" min="3" max="3" width="11.0"/>
    <col customWidth="1" min="4" max="4" width="34.0"/>
    <col customWidth="1" min="5" max="5" width="52.0"/>
    <col customWidth="1" min="6" max="6" width="44.0"/>
    <col customWidth="1" min="7" max="26" width="8.71"/>
  </cols>
  <sheetData>
    <row r="1" ht="31.5" customHeight="1">
      <c r="A1" s="1" t="s">
        <v>469</v>
      </c>
      <c r="B1" s="2"/>
      <c r="C1" s="2"/>
      <c r="D1" s="2"/>
      <c r="E1" s="2"/>
      <c r="F1" s="3"/>
    </row>
    <row r="2" ht="19.5" customHeight="1">
      <c r="A2" s="4" t="s">
        <v>475</v>
      </c>
      <c r="B2" s="2"/>
      <c r="C2" s="2"/>
      <c r="D2" s="2"/>
      <c r="E2" s="2"/>
      <c r="F2" s="3"/>
    </row>
    <row r="4" ht="23.25" customHeight="1">
      <c r="A4" s="5" t="s">
        <v>478</v>
      </c>
      <c r="B4" s="8" t="s">
        <v>481</v>
      </c>
      <c r="C4" s="2"/>
      <c r="D4" s="2"/>
      <c r="E4" s="2"/>
      <c r="F4" s="3"/>
    </row>
    <row r="5" ht="23.25" customHeight="1">
      <c r="A5" s="27" t="s">
        <v>485</v>
      </c>
      <c r="B5" s="28" t="s">
        <v>487</v>
      </c>
      <c r="C5" s="2"/>
      <c r="D5" s="2"/>
      <c r="E5" s="2"/>
      <c r="F5" s="3"/>
    </row>
    <row r="7" ht="33.75" customHeight="1">
      <c r="A7" s="6" t="s">
        <v>26</v>
      </c>
      <c r="B7" s="6" t="s">
        <v>266</v>
      </c>
      <c r="C7" s="6" t="s">
        <v>493</v>
      </c>
      <c r="D7" s="6" t="s">
        <v>495</v>
      </c>
      <c r="E7" s="6" t="s">
        <v>497</v>
      </c>
      <c r="F7" s="6" t="s">
        <v>498</v>
      </c>
    </row>
    <row r="8">
      <c r="A8" s="9">
        <v>1.0</v>
      </c>
      <c r="B8" s="43" t="s">
        <v>502</v>
      </c>
      <c r="C8" s="11" t="s">
        <v>509</v>
      </c>
      <c r="D8" s="9" t="s">
        <v>510</v>
      </c>
      <c r="E8" s="9">
        <v>70.0</v>
      </c>
      <c r="F8" s="9" t="s">
        <v>511</v>
      </c>
    </row>
    <row r="9">
      <c r="A9" s="24">
        <v>2.0</v>
      </c>
      <c r="B9" s="44" t="s">
        <v>502</v>
      </c>
      <c r="C9" s="25" t="s">
        <v>517</v>
      </c>
      <c r="D9" s="24" t="s">
        <v>518</v>
      </c>
      <c r="E9" s="24">
        <v>55.0</v>
      </c>
      <c r="F9" s="24" t="s">
        <v>511</v>
      </c>
    </row>
    <row r="10">
      <c r="A10" s="9">
        <v>3.0</v>
      </c>
      <c r="B10" s="43" t="s">
        <v>502</v>
      </c>
      <c r="C10" s="11" t="s">
        <v>522</v>
      </c>
      <c r="D10" s="9" t="s">
        <v>523</v>
      </c>
      <c r="E10" s="9">
        <v>80.0</v>
      </c>
      <c r="F10" s="9" t="s">
        <v>525</v>
      </c>
    </row>
    <row r="11">
      <c r="A11" s="24">
        <v>4.0</v>
      </c>
      <c r="B11" s="44" t="s">
        <v>502</v>
      </c>
      <c r="C11" s="25" t="s">
        <v>527</v>
      </c>
      <c r="D11" s="24" t="s">
        <v>528</v>
      </c>
      <c r="E11" s="24">
        <v>50.0</v>
      </c>
      <c r="F11" s="24" t="s">
        <v>525</v>
      </c>
    </row>
    <row r="12">
      <c r="A12" s="9">
        <v>5.0</v>
      </c>
      <c r="B12" s="43" t="s">
        <v>502</v>
      </c>
      <c r="C12" s="11" t="s">
        <v>532</v>
      </c>
      <c r="D12" s="9" t="s">
        <v>534</v>
      </c>
      <c r="E12" s="9">
        <v>55.0</v>
      </c>
      <c r="F12" s="9" t="s">
        <v>536</v>
      </c>
    </row>
    <row r="13">
      <c r="A13" s="24">
        <v>6.0</v>
      </c>
      <c r="B13" s="44" t="s">
        <v>502</v>
      </c>
      <c r="C13" s="25" t="s">
        <v>539</v>
      </c>
      <c r="D13" s="24" t="s">
        <v>541</v>
      </c>
      <c r="E13" s="24">
        <v>60.0</v>
      </c>
      <c r="F13" s="24" t="s">
        <v>536</v>
      </c>
    </row>
    <row r="14">
      <c r="A14" s="9">
        <v>7.0</v>
      </c>
      <c r="B14" s="43" t="s">
        <v>502</v>
      </c>
      <c r="C14" s="11" t="s">
        <v>545</v>
      </c>
      <c r="D14" s="9" t="s">
        <v>546</v>
      </c>
      <c r="E14" s="9">
        <v>50.0</v>
      </c>
      <c r="F14" s="9" t="s">
        <v>547</v>
      </c>
    </row>
    <row r="15">
      <c r="A15" s="24">
        <v>8.0</v>
      </c>
      <c r="B15" s="44" t="s">
        <v>502</v>
      </c>
      <c r="C15" s="25" t="s">
        <v>551</v>
      </c>
      <c r="D15" s="24" t="s">
        <v>553</v>
      </c>
      <c r="E15" s="24">
        <v>45.0</v>
      </c>
      <c r="F15" s="24" t="s">
        <v>547</v>
      </c>
    </row>
    <row r="16">
      <c r="A16" s="9">
        <v>9.0</v>
      </c>
      <c r="B16" s="43" t="s">
        <v>502</v>
      </c>
      <c r="C16" s="11" t="s">
        <v>557</v>
      </c>
      <c r="D16" s="9" t="s">
        <v>558</v>
      </c>
      <c r="E16" s="9">
        <v>55.0</v>
      </c>
      <c r="F16" s="9" t="s">
        <v>559</v>
      </c>
    </row>
    <row r="17">
      <c r="A17" s="24">
        <v>10.0</v>
      </c>
      <c r="B17" s="44" t="s">
        <v>502</v>
      </c>
      <c r="C17" s="25" t="s">
        <v>562</v>
      </c>
      <c r="D17" s="24" t="s">
        <v>565</v>
      </c>
      <c r="E17" s="24">
        <v>55.0</v>
      </c>
      <c r="F17" s="24" t="s">
        <v>559</v>
      </c>
    </row>
    <row r="18">
      <c r="A18" s="9">
        <v>11.0</v>
      </c>
      <c r="B18" s="43" t="s">
        <v>502</v>
      </c>
      <c r="C18" s="11" t="s">
        <v>571</v>
      </c>
      <c r="D18" s="9" t="s">
        <v>573</v>
      </c>
      <c r="E18" s="9">
        <v>60.0</v>
      </c>
      <c r="F18" s="9" t="s">
        <v>574</v>
      </c>
    </row>
    <row r="19">
      <c r="A19" s="24">
        <v>12.0</v>
      </c>
      <c r="B19" s="44" t="s">
        <v>502</v>
      </c>
      <c r="C19" s="25" t="s">
        <v>581</v>
      </c>
      <c r="D19" s="24" t="s">
        <v>584</v>
      </c>
      <c r="E19" s="24">
        <v>45.0</v>
      </c>
      <c r="F19" s="24" t="s">
        <v>574</v>
      </c>
    </row>
    <row r="20">
      <c r="A20" s="9">
        <v>13.0</v>
      </c>
      <c r="B20" s="45" t="s">
        <v>588</v>
      </c>
      <c r="C20" s="11" t="s">
        <v>591</v>
      </c>
      <c r="D20" s="9" t="s">
        <v>593</v>
      </c>
      <c r="E20" s="9">
        <v>90.0</v>
      </c>
      <c r="F20" s="9" t="s">
        <v>595</v>
      </c>
    </row>
    <row r="21" ht="15.75" customHeight="1">
      <c r="A21" s="24">
        <v>14.0</v>
      </c>
      <c r="B21" s="44" t="s">
        <v>588</v>
      </c>
      <c r="C21" s="25" t="s">
        <v>598</v>
      </c>
      <c r="D21" s="24" t="s">
        <v>599</v>
      </c>
      <c r="E21" s="24">
        <v>70.0</v>
      </c>
      <c r="F21" s="24" t="s">
        <v>595</v>
      </c>
    </row>
    <row r="22" ht="15.75" customHeight="1">
      <c r="A22" s="9">
        <v>15.0</v>
      </c>
      <c r="B22" s="45" t="s">
        <v>588</v>
      </c>
      <c r="C22" s="11" t="s">
        <v>601</v>
      </c>
      <c r="D22" s="9" t="s">
        <v>603</v>
      </c>
      <c r="E22" s="9">
        <v>90.0</v>
      </c>
      <c r="F22" s="9" t="s">
        <v>605</v>
      </c>
    </row>
    <row r="23" ht="15.75" customHeight="1">
      <c r="A23" s="24">
        <v>16.0</v>
      </c>
      <c r="B23" s="44" t="s">
        <v>588</v>
      </c>
      <c r="C23" s="25" t="s">
        <v>608</v>
      </c>
      <c r="D23" s="24" t="s">
        <v>610</v>
      </c>
      <c r="E23" s="24">
        <v>85.0</v>
      </c>
      <c r="F23" s="24" t="s">
        <v>605</v>
      </c>
    </row>
    <row r="24" ht="15.75" customHeight="1">
      <c r="A24" s="9">
        <v>17.0</v>
      </c>
      <c r="B24" s="45" t="s">
        <v>588</v>
      </c>
      <c r="C24" s="11" t="s">
        <v>612</v>
      </c>
      <c r="D24" s="9" t="s">
        <v>615</v>
      </c>
      <c r="E24" s="9">
        <v>65.0</v>
      </c>
      <c r="F24" s="9" t="s">
        <v>617</v>
      </c>
    </row>
    <row r="25" ht="15.75" customHeight="1">
      <c r="A25" s="24">
        <v>18.0</v>
      </c>
      <c r="B25" s="44" t="s">
        <v>588</v>
      </c>
      <c r="C25" s="25" t="s">
        <v>621</v>
      </c>
      <c r="D25" s="24" t="s">
        <v>623</v>
      </c>
      <c r="E25" s="24">
        <v>55.0</v>
      </c>
      <c r="F25" s="24" t="s">
        <v>617</v>
      </c>
    </row>
    <row r="26" ht="15.75" customHeight="1">
      <c r="A26" s="9">
        <v>19.0</v>
      </c>
      <c r="B26" s="45" t="s">
        <v>588</v>
      </c>
      <c r="C26" s="11" t="s">
        <v>628</v>
      </c>
      <c r="D26" s="9" t="s">
        <v>631</v>
      </c>
      <c r="E26" s="9">
        <v>60.0</v>
      </c>
      <c r="F26" s="9" t="s">
        <v>633</v>
      </c>
    </row>
    <row r="27" ht="15.75" customHeight="1">
      <c r="A27" s="24">
        <v>20.0</v>
      </c>
      <c r="B27" s="44" t="s">
        <v>588</v>
      </c>
      <c r="C27" s="25" t="s">
        <v>637</v>
      </c>
      <c r="D27" s="24" t="s">
        <v>638</v>
      </c>
      <c r="E27" s="24">
        <v>50.0</v>
      </c>
      <c r="F27" s="24" t="s">
        <v>633</v>
      </c>
    </row>
    <row r="28" ht="15.75" customHeight="1">
      <c r="A28" s="9">
        <v>21.0</v>
      </c>
      <c r="B28" s="45" t="s">
        <v>588</v>
      </c>
      <c r="C28" s="11" t="s">
        <v>644</v>
      </c>
      <c r="D28" s="9" t="s">
        <v>647</v>
      </c>
      <c r="E28" s="9">
        <v>55.0</v>
      </c>
      <c r="F28" s="9" t="s">
        <v>650</v>
      </c>
    </row>
    <row r="29" ht="15.75" customHeight="1">
      <c r="A29" s="24">
        <v>22.0</v>
      </c>
      <c r="B29" s="44" t="s">
        <v>588</v>
      </c>
      <c r="C29" s="25" t="s">
        <v>654</v>
      </c>
      <c r="D29" s="24" t="s">
        <v>655</v>
      </c>
      <c r="E29" s="24">
        <v>60.0</v>
      </c>
      <c r="F29" s="24" t="s">
        <v>650</v>
      </c>
    </row>
    <row r="30" ht="15.75" customHeight="1">
      <c r="A30" s="9">
        <v>23.0</v>
      </c>
      <c r="B30" s="49" t="s">
        <v>663</v>
      </c>
      <c r="C30" s="11" t="s">
        <v>667</v>
      </c>
      <c r="D30" s="9" t="s">
        <v>670</v>
      </c>
      <c r="E30" s="9">
        <v>75.0</v>
      </c>
      <c r="F30" s="9" t="s">
        <v>673</v>
      </c>
    </row>
    <row r="31" ht="15.75" customHeight="1">
      <c r="A31" s="24">
        <v>24.0</v>
      </c>
      <c r="B31" s="44" t="s">
        <v>663</v>
      </c>
      <c r="C31" s="25" t="s">
        <v>676</v>
      </c>
      <c r="D31" s="24" t="s">
        <v>677</v>
      </c>
      <c r="E31" s="24">
        <v>85.0</v>
      </c>
      <c r="F31" s="24" t="s">
        <v>673</v>
      </c>
    </row>
    <row r="32" ht="15.75" customHeight="1">
      <c r="A32" s="9">
        <v>25.0</v>
      </c>
      <c r="B32" s="49" t="s">
        <v>663</v>
      </c>
      <c r="C32" s="11" t="s">
        <v>678</v>
      </c>
      <c r="D32" s="9" t="s">
        <v>679</v>
      </c>
      <c r="E32" s="9">
        <v>70.0</v>
      </c>
      <c r="F32" s="9" t="s">
        <v>680</v>
      </c>
    </row>
    <row r="33" ht="15.75" customHeight="1">
      <c r="A33" s="24">
        <v>26.0</v>
      </c>
      <c r="B33" s="44" t="s">
        <v>663</v>
      </c>
      <c r="C33" s="25" t="s">
        <v>681</v>
      </c>
      <c r="D33" s="24" t="s">
        <v>682</v>
      </c>
      <c r="E33" s="24">
        <v>70.0</v>
      </c>
      <c r="F33" s="24" t="s">
        <v>680</v>
      </c>
    </row>
    <row r="34" ht="15.75" customHeight="1">
      <c r="A34" s="9">
        <v>27.0</v>
      </c>
      <c r="B34" s="49" t="s">
        <v>663</v>
      </c>
      <c r="C34" s="11" t="s">
        <v>683</v>
      </c>
      <c r="D34" s="9" t="s">
        <v>684</v>
      </c>
      <c r="E34" s="9">
        <v>75.0</v>
      </c>
      <c r="F34" s="9" t="s">
        <v>685</v>
      </c>
    </row>
    <row r="35" ht="15.75" customHeight="1">
      <c r="A35" s="24">
        <v>28.0</v>
      </c>
      <c r="B35" s="44" t="s">
        <v>663</v>
      </c>
      <c r="C35" s="25" t="s">
        <v>686</v>
      </c>
      <c r="D35" s="24" t="s">
        <v>687</v>
      </c>
      <c r="E35" s="24">
        <v>75.0</v>
      </c>
      <c r="F35" s="24" t="s">
        <v>685</v>
      </c>
    </row>
    <row r="36" ht="15.75" customHeight="1">
      <c r="A36" s="9">
        <v>29.0</v>
      </c>
      <c r="B36" s="49" t="s">
        <v>663</v>
      </c>
      <c r="C36" s="11" t="s">
        <v>688</v>
      </c>
      <c r="D36" s="9" t="s">
        <v>689</v>
      </c>
      <c r="E36" s="9">
        <v>55.0</v>
      </c>
      <c r="F36" s="9" t="s">
        <v>690</v>
      </c>
    </row>
    <row r="37" ht="15.75" customHeight="1">
      <c r="A37" s="24">
        <v>30.0</v>
      </c>
      <c r="B37" s="44" t="s">
        <v>663</v>
      </c>
      <c r="C37" s="25" t="s">
        <v>691</v>
      </c>
      <c r="D37" s="24" t="s">
        <v>692</v>
      </c>
      <c r="E37" s="24">
        <v>75.0</v>
      </c>
      <c r="F37" s="24" t="s">
        <v>690</v>
      </c>
    </row>
    <row r="38" ht="15.75" customHeight="1">
      <c r="A38" s="9">
        <v>31.0</v>
      </c>
      <c r="B38" s="49" t="s">
        <v>663</v>
      </c>
      <c r="C38" s="11" t="s">
        <v>693</v>
      </c>
      <c r="D38" s="9" t="s">
        <v>694</v>
      </c>
      <c r="E38" s="9">
        <v>55.0</v>
      </c>
      <c r="F38" s="9" t="s">
        <v>695</v>
      </c>
    </row>
    <row r="39" ht="15.75" customHeight="1">
      <c r="A39" s="24">
        <v>32.0</v>
      </c>
      <c r="B39" s="44" t="s">
        <v>663</v>
      </c>
      <c r="C39" s="25" t="s">
        <v>696</v>
      </c>
      <c r="D39" s="24" t="s">
        <v>697</v>
      </c>
      <c r="E39" s="24">
        <v>65.0</v>
      </c>
      <c r="F39" s="24" t="s">
        <v>695</v>
      </c>
    </row>
    <row r="40" ht="15.75" customHeight="1">
      <c r="A40" s="9">
        <v>33.0</v>
      </c>
      <c r="B40" s="44" t="s">
        <v>698</v>
      </c>
      <c r="C40" s="11" t="s">
        <v>699</v>
      </c>
      <c r="D40" s="9" t="s">
        <v>700</v>
      </c>
      <c r="E40" s="9">
        <v>50.0</v>
      </c>
      <c r="F40" s="9" t="s">
        <v>701</v>
      </c>
    </row>
    <row r="41" ht="15.75" customHeight="1">
      <c r="A41" s="24">
        <v>34.0</v>
      </c>
      <c r="B41" s="44" t="s">
        <v>698</v>
      </c>
      <c r="C41" s="25" t="s">
        <v>702</v>
      </c>
      <c r="D41" s="24" t="s">
        <v>703</v>
      </c>
      <c r="E41" s="24">
        <v>70.0</v>
      </c>
      <c r="F41" s="24" t="s">
        <v>701</v>
      </c>
    </row>
    <row r="42" ht="15.75" customHeight="1">
      <c r="A42" s="9">
        <v>35.0</v>
      </c>
      <c r="B42" s="44" t="s">
        <v>698</v>
      </c>
      <c r="C42" s="11" t="s">
        <v>704</v>
      </c>
      <c r="D42" s="9" t="s">
        <v>705</v>
      </c>
      <c r="E42" s="9">
        <v>55.0</v>
      </c>
      <c r="F42" s="9" t="s">
        <v>706</v>
      </c>
    </row>
    <row r="43" ht="15.75" customHeight="1">
      <c r="A43" s="24">
        <v>36.0</v>
      </c>
      <c r="B43" s="44" t="s">
        <v>698</v>
      </c>
      <c r="C43" s="25" t="s">
        <v>707</v>
      </c>
      <c r="D43" s="24" t="s">
        <v>708</v>
      </c>
      <c r="E43" s="24">
        <v>45.0</v>
      </c>
      <c r="F43" s="24" t="s">
        <v>706</v>
      </c>
    </row>
    <row r="44" ht="15.75" customHeight="1">
      <c r="A44" s="9">
        <v>37.0</v>
      </c>
      <c r="B44" s="44" t="s">
        <v>698</v>
      </c>
      <c r="C44" s="11" t="s">
        <v>711</v>
      </c>
      <c r="D44" s="9" t="s">
        <v>714</v>
      </c>
      <c r="E44" s="9">
        <v>70.0</v>
      </c>
      <c r="F44" s="9" t="s">
        <v>716</v>
      </c>
    </row>
    <row r="45" ht="15.75" customHeight="1">
      <c r="A45" s="24">
        <v>38.0</v>
      </c>
      <c r="B45" s="44" t="s">
        <v>698</v>
      </c>
      <c r="C45" s="25" t="s">
        <v>718</v>
      </c>
      <c r="D45" s="24" t="s">
        <v>719</v>
      </c>
      <c r="E45" s="24">
        <v>65.0</v>
      </c>
      <c r="F45" s="24" t="s">
        <v>716</v>
      </c>
    </row>
    <row r="46" ht="15.75" customHeight="1">
      <c r="A46" s="9">
        <v>39.0</v>
      </c>
      <c r="B46" s="44" t="s">
        <v>698</v>
      </c>
      <c r="C46" s="11" t="s">
        <v>720</v>
      </c>
      <c r="D46" s="9" t="s">
        <v>721</v>
      </c>
      <c r="E46" s="9">
        <v>50.0</v>
      </c>
      <c r="F46" s="9" t="s">
        <v>722</v>
      </c>
    </row>
    <row r="47" ht="15.75" customHeight="1">
      <c r="A47" s="24">
        <v>40.0</v>
      </c>
      <c r="B47" s="44" t="s">
        <v>698</v>
      </c>
      <c r="C47" s="25" t="s">
        <v>723</v>
      </c>
      <c r="D47" s="24" t="s">
        <v>724</v>
      </c>
      <c r="E47" s="24">
        <v>45.0</v>
      </c>
      <c r="F47" s="24" t="s">
        <v>722</v>
      </c>
    </row>
    <row r="48" ht="15.75" customHeight="1">
      <c r="A48" s="9">
        <v>41.0</v>
      </c>
      <c r="B48" s="50" t="s">
        <v>725</v>
      </c>
      <c r="C48" s="11" t="s">
        <v>726</v>
      </c>
      <c r="D48" s="9" t="s">
        <v>727</v>
      </c>
      <c r="E48" s="9">
        <v>80.0</v>
      </c>
      <c r="F48" s="9" t="s">
        <v>728</v>
      </c>
    </row>
    <row r="49" ht="15.75" customHeight="1">
      <c r="A49" s="24">
        <v>42.0</v>
      </c>
      <c r="B49" s="44" t="s">
        <v>725</v>
      </c>
      <c r="C49" s="25" t="s">
        <v>729</v>
      </c>
      <c r="D49" s="24" t="s">
        <v>730</v>
      </c>
      <c r="E49" s="24">
        <v>70.0</v>
      </c>
      <c r="F49" s="24" t="s">
        <v>728</v>
      </c>
    </row>
    <row r="50" ht="15.75" customHeight="1">
      <c r="A50" s="9">
        <v>43.0</v>
      </c>
      <c r="B50" s="50" t="s">
        <v>725</v>
      </c>
      <c r="C50" s="11" t="s">
        <v>731</v>
      </c>
      <c r="D50" s="9" t="s">
        <v>732</v>
      </c>
      <c r="E50" s="9">
        <v>70.0</v>
      </c>
      <c r="F50" s="9" t="s">
        <v>733</v>
      </c>
    </row>
    <row r="51" ht="15.75" customHeight="1">
      <c r="A51" s="24">
        <v>44.0</v>
      </c>
      <c r="B51" s="44" t="s">
        <v>725</v>
      </c>
      <c r="C51" s="25" t="s">
        <v>734</v>
      </c>
      <c r="D51" s="24" t="s">
        <v>735</v>
      </c>
      <c r="E51" s="24">
        <v>65.0</v>
      </c>
      <c r="F51" s="24" t="s">
        <v>733</v>
      </c>
    </row>
    <row r="52" ht="15.75" customHeight="1">
      <c r="A52" s="9">
        <v>45.0</v>
      </c>
      <c r="B52" s="50" t="s">
        <v>725</v>
      </c>
      <c r="C52" s="11" t="s">
        <v>736</v>
      </c>
      <c r="D52" s="9" t="s">
        <v>737</v>
      </c>
      <c r="E52" s="9">
        <v>80.0</v>
      </c>
      <c r="F52" s="9" t="s">
        <v>738</v>
      </c>
    </row>
    <row r="53" ht="15.75" customHeight="1">
      <c r="A53" s="24">
        <v>46.0</v>
      </c>
      <c r="B53" s="44" t="s">
        <v>725</v>
      </c>
      <c r="C53" s="25" t="s">
        <v>739</v>
      </c>
      <c r="D53" s="24" t="s">
        <v>740</v>
      </c>
      <c r="E53" s="24">
        <v>70.0</v>
      </c>
      <c r="F53" s="24" t="s">
        <v>738</v>
      </c>
    </row>
    <row r="54" ht="15.75" customHeight="1">
      <c r="A54" s="9">
        <v>47.0</v>
      </c>
      <c r="B54" s="50" t="s">
        <v>725</v>
      </c>
      <c r="C54" s="11" t="s">
        <v>741</v>
      </c>
      <c r="D54" s="9" t="s">
        <v>742</v>
      </c>
      <c r="E54" s="9">
        <v>75.0</v>
      </c>
      <c r="F54" s="9" t="s">
        <v>743</v>
      </c>
    </row>
    <row r="55" ht="15.75" customHeight="1">
      <c r="A55" s="24">
        <v>48.0</v>
      </c>
      <c r="B55" s="44" t="s">
        <v>725</v>
      </c>
      <c r="C55" s="25" t="s">
        <v>744</v>
      </c>
      <c r="D55" s="24" t="s">
        <v>745</v>
      </c>
      <c r="E55" s="24">
        <v>60.0</v>
      </c>
      <c r="F55" s="24" t="s">
        <v>743</v>
      </c>
    </row>
    <row r="56" ht="15.75" customHeight="1"/>
    <row r="57" ht="15.75" customHeight="1">
      <c r="A57" s="33" t="s">
        <v>747</v>
      </c>
      <c r="C57" s="33">
        <f>COUNTIF(B8:B55,"CITY-SPECIFIC")</f>
        <v>12</v>
      </c>
      <c r="D57" s="51" t="s">
        <v>753</v>
      </c>
    </row>
    <row r="58" ht="15.75" customHeight="1"/>
    <row r="59" ht="15.75" customHeight="1"/>
    <row r="60" ht="21.75" customHeight="1">
      <c r="A60" s="7" t="s">
        <v>754</v>
      </c>
      <c r="B60" s="2"/>
      <c r="C60" s="2"/>
      <c r="D60" s="2"/>
      <c r="E60" s="2"/>
      <c r="F60" s="3"/>
    </row>
    <row r="61" ht="23.25" customHeight="1">
      <c r="A61" s="5" t="s">
        <v>90</v>
      </c>
      <c r="B61" s="8" t="s">
        <v>755</v>
      </c>
      <c r="C61" s="2"/>
      <c r="D61" s="2"/>
      <c r="E61" s="2"/>
      <c r="F61" s="3"/>
    </row>
    <row r="62" ht="15.75" customHeight="1"/>
    <row r="63" ht="30.0" customHeight="1">
      <c r="A63" s="6" t="s">
        <v>756</v>
      </c>
      <c r="B63" s="6" t="s">
        <v>16</v>
      </c>
      <c r="C63" s="6" t="s">
        <v>757</v>
      </c>
      <c r="D63" s="6" t="s">
        <v>758</v>
      </c>
      <c r="E63" s="6" t="s">
        <v>759</v>
      </c>
      <c r="F63" s="6" t="s">
        <v>760</v>
      </c>
    </row>
    <row r="64" ht="15.75" customHeight="1">
      <c r="A64" s="11" t="s">
        <v>761</v>
      </c>
      <c r="B64" s="9" t="s">
        <v>87</v>
      </c>
      <c r="C64" s="9">
        <v>10.0</v>
      </c>
      <c r="D64" s="9" t="s">
        <v>762</v>
      </c>
      <c r="E64" s="9" t="s">
        <v>763</v>
      </c>
      <c r="F64" s="9" t="s">
        <v>764</v>
      </c>
    </row>
    <row r="65" ht="15.75" customHeight="1">
      <c r="A65" s="25" t="s">
        <v>765</v>
      </c>
      <c r="B65" s="24" t="s">
        <v>87</v>
      </c>
      <c r="C65" s="24">
        <v>10.0</v>
      </c>
      <c r="D65" s="24" t="s">
        <v>766</v>
      </c>
      <c r="E65" s="24" t="s">
        <v>767</v>
      </c>
      <c r="F65" s="24" t="s">
        <v>764</v>
      </c>
    </row>
    <row r="66" ht="15.75" customHeight="1">
      <c r="A66" s="11" t="s">
        <v>768</v>
      </c>
      <c r="B66" s="9" t="s">
        <v>87</v>
      </c>
      <c r="C66" s="9">
        <v>10.0</v>
      </c>
      <c r="D66" s="9" t="s">
        <v>769</v>
      </c>
      <c r="E66" s="9" t="s">
        <v>770</v>
      </c>
      <c r="F66" s="9" t="s">
        <v>764</v>
      </c>
    </row>
    <row r="67" ht="15.75" customHeight="1">
      <c r="A67" s="25" t="s">
        <v>771</v>
      </c>
      <c r="B67" s="24" t="s">
        <v>87</v>
      </c>
      <c r="C67" s="24">
        <v>10.0</v>
      </c>
      <c r="D67" s="24" t="s">
        <v>773</v>
      </c>
      <c r="E67" s="24" t="s">
        <v>774</v>
      </c>
      <c r="F67" s="24" t="s">
        <v>764</v>
      </c>
    </row>
    <row r="68" ht="15.75" customHeight="1">
      <c r="A68" s="11" t="s">
        <v>777</v>
      </c>
      <c r="B68" s="9" t="s">
        <v>87</v>
      </c>
      <c r="C68" s="9">
        <v>10.0</v>
      </c>
      <c r="D68" s="9" t="s">
        <v>781</v>
      </c>
      <c r="E68" s="9" t="s">
        <v>782</v>
      </c>
      <c r="F68" s="9" t="s">
        <v>764</v>
      </c>
    </row>
    <row r="69" ht="15.75" customHeight="1">
      <c r="A69" s="25" t="s">
        <v>784</v>
      </c>
      <c r="B69" s="24" t="s">
        <v>87</v>
      </c>
      <c r="C69" s="24">
        <v>10.0</v>
      </c>
      <c r="D69" s="24" t="s">
        <v>785</v>
      </c>
      <c r="E69" s="24" t="s">
        <v>786</v>
      </c>
      <c r="F69" s="24" t="s">
        <v>764</v>
      </c>
    </row>
    <row r="70" ht="15.75" customHeight="1">
      <c r="A70" s="11" t="s">
        <v>787</v>
      </c>
      <c r="B70" s="9" t="s">
        <v>788</v>
      </c>
      <c r="C70" s="9">
        <v>8.0</v>
      </c>
      <c r="D70" s="9" t="s">
        <v>789</v>
      </c>
      <c r="E70" s="9" t="s">
        <v>790</v>
      </c>
      <c r="F70" s="9" t="s">
        <v>764</v>
      </c>
    </row>
    <row r="71" ht="15.75" customHeight="1">
      <c r="A71" s="25" t="s">
        <v>791</v>
      </c>
      <c r="B71" s="24" t="s">
        <v>788</v>
      </c>
      <c r="C71" s="24">
        <v>8.0</v>
      </c>
      <c r="D71" s="24" t="s">
        <v>792</v>
      </c>
      <c r="E71" s="24" t="s">
        <v>793</v>
      </c>
      <c r="F71" s="24" t="s">
        <v>764</v>
      </c>
    </row>
    <row r="72" ht="15.75" customHeight="1">
      <c r="A72" s="11" t="s">
        <v>794</v>
      </c>
      <c r="B72" s="9" t="s">
        <v>788</v>
      </c>
      <c r="C72" s="9">
        <v>8.0</v>
      </c>
      <c r="D72" s="9" t="s">
        <v>795</v>
      </c>
      <c r="E72" s="9" t="s">
        <v>796</v>
      </c>
      <c r="F72" s="9" t="s">
        <v>764</v>
      </c>
    </row>
    <row r="73" ht="15.75" customHeight="1">
      <c r="A73" s="25" t="s">
        <v>797</v>
      </c>
      <c r="B73" s="24" t="s">
        <v>788</v>
      </c>
      <c r="C73" s="24">
        <v>8.0</v>
      </c>
      <c r="D73" s="24" t="s">
        <v>798</v>
      </c>
      <c r="E73" s="24" t="s">
        <v>799</v>
      </c>
      <c r="F73" s="24" t="s">
        <v>764</v>
      </c>
    </row>
    <row r="74" ht="15.75" customHeight="1">
      <c r="A74" s="11" t="s">
        <v>800</v>
      </c>
      <c r="B74" s="9" t="s">
        <v>788</v>
      </c>
      <c r="C74" s="9">
        <v>8.0</v>
      </c>
      <c r="D74" s="9" t="s">
        <v>801</v>
      </c>
      <c r="E74" s="9" t="s">
        <v>802</v>
      </c>
      <c r="F74" s="9" t="s">
        <v>764</v>
      </c>
    </row>
    <row r="75" ht="15.75" customHeight="1">
      <c r="A75" s="25" t="s">
        <v>803</v>
      </c>
      <c r="B75" s="24" t="s">
        <v>788</v>
      </c>
      <c r="C75" s="24">
        <v>8.0</v>
      </c>
      <c r="D75" s="24" t="s">
        <v>804</v>
      </c>
      <c r="E75" s="24" t="s">
        <v>805</v>
      </c>
      <c r="F75" s="24" t="s">
        <v>764</v>
      </c>
    </row>
    <row r="76" ht="15.75" customHeight="1">
      <c r="A76" s="11" t="s">
        <v>806</v>
      </c>
      <c r="B76" s="9" t="s">
        <v>807</v>
      </c>
      <c r="C76" s="9">
        <v>6.0</v>
      </c>
      <c r="D76" s="9" t="s">
        <v>808</v>
      </c>
      <c r="E76" s="9" t="s">
        <v>809</v>
      </c>
      <c r="F76" s="9" t="s">
        <v>764</v>
      </c>
    </row>
    <row r="77" ht="15.75" customHeight="1">
      <c r="A77" s="25" t="s">
        <v>810</v>
      </c>
      <c r="B77" s="24" t="s">
        <v>807</v>
      </c>
      <c r="C77" s="24">
        <v>6.0</v>
      </c>
      <c r="D77" s="24" t="s">
        <v>811</v>
      </c>
      <c r="E77" s="24" t="s">
        <v>812</v>
      </c>
      <c r="F77" s="24" t="s">
        <v>764</v>
      </c>
    </row>
    <row r="78" ht="15.75" customHeight="1">
      <c r="A78" s="11" t="s">
        <v>813</v>
      </c>
      <c r="B78" s="9" t="s">
        <v>807</v>
      </c>
      <c r="C78" s="9">
        <v>6.0</v>
      </c>
      <c r="D78" s="9" t="s">
        <v>814</v>
      </c>
      <c r="E78" s="9" t="s">
        <v>815</v>
      </c>
      <c r="F78" s="9" t="s">
        <v>764</v>
      </c>
    </row>
    <row r="79" ht="15.75" customHeight="1">
      <c r="A79" s="25" t="s">
        <v>816</v>
      </c>
      <c r="B79" s="24" t="s">
        <v>807</v>
      </c>
      <c r="C79" s="24">
        <v>6.0</v>
      </c>
      <c r="D79" s="24" t="s">
        <v>817</v>
      </c>
      <c r="E79" s="24" t="s">
        <v>818</v>
      </c>
      <c r="F79" s="24" t="s">
        <v>764</v>
      </c>
    </row>
    <row r="80" ht="15.75" customHeight="1">
      <c r="A80" s="11" t="s">
        <v>819</v>
      </c>
      <c r="B80" s="9" t="s">
        <v>807</v>
      </c>
      <c r="C80" s="9">
        <v>6.0</v>
      </c>
      <c r="D80" s="9" t="s">
        <v>820</v>
      </c>
      <c r="E80" s="9" t="s">
        <v>821</v>
      </c>
      <c r="F80" s="9" t="s">
        <v>764</v>
      </c>
    </row>
    <row r="81" ht="15.75" customHeight="1">
      <c r="A81" s="25" t="s">
        <v>823</v>
      </c>
      <c r="B81" s="24" t="s">
        <v>807</v>
      </c>
      <c r="C81" s="24">
        <v>6.0</v>
      </c>
      <c r="D81" s="24" t="s">
        <v>825</v>
      </c>
      <c r="E81" s="24" t="s">
        <v>826</v>
      </c>
      <c r="F81" s="24" t="s">
        <v>764</v>
      </c>
    </row>
    <row r="82" ht="15.75" customHeight="1"/>
    <row r="83" ht="23.25" customHeight="1">
      <c r="A83" s="29" t="s">
        <v>831</v>
      </c>
      <c r="B83" s="30" t="s">
        <v>832</v>
      </c>
      <c r="C83" s="2"/>
      <c r="D83" s="2"/>
      <c r="E83" s="2"/>
      <c r="F83" s="3"/>
    </row>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F1"/>
    <mergeCell ref="A2:F2"/>
    <mergeCell ref="B4:F4"/>
    <mergeCell ref="B5:F5"/>
    <mergeCell ref="A60:F60"/>
    <mergeCell ref="B61:F61"/>
    <mergeCell ref="B83:F83"/>
  </mergeCell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7.0" topLeftCell="A8" activePane="bottomLeft" state="frozen"/>
      <selection activeCell="B9" sqref="B9" pane="bottomLeft"/>
    </sheetView>
  </sheetViews>
  <sheetFormatPr customHeight="1" defaultColWidth="14.43" defaultRowHeight="15.0"/>
  <cols>
    <col customWidth="1" min="1" max="1" width="22.0"/>
    <col customWidth="1" min="2" max="2" width="16.0"/>
    <col customWidth="1" min="3" max="3" width="110.0"/>
    <col customWidth="1" min="4" max="4" width="30.0"/>
    <col customWidth="1" min="5" max="26" width="8.71"/>
  </cols>
  <sheetData>
    <row r="1" ht="31.5" customHeight="1">
      <c r="A1" s="1" t="s">
        <v>526</v>
      </c>
      <c r="B1" s="2"/>
      <c r="C1" s="2"/>
      <c r="D1" s="3"/>
    </row>
    <row r="2" ht="19.5" customHeight="1">
      <c r="A2" s="4" t="s">
        <v>537</v>
      </c>
      <c r="B2" s="2"/>
      <c r="C2" s="2"/>
      <c r="D2" s="3"/>
    </row>
    <row r="4" ht="23.25" customHeight="1">
      <c r="A4" s="5" t="s">
        <v>549</v>
      </c>
      <c r="B4" s="8" t="s">
        <v>555</v>
      </c>
      <c r="C4" s="2"/>
      <c r="D4" s="3"/>
    </row>
    <row r="5" ht="23.25" customHeight="1">
      <c r="A5" s="29" t="s">
        <v>564</v>
      </c>
      <c r="B5" s="30" t="s">
        <v>569</v>
      </c>
      <c r="C5" s="2"/>
      <c r="D5" s="3"/>
    </row>
    <row r="7" ht="30.0" customHeight="1">
      <c r="A7" s="6" t="s">
        <v>586</v>
      </c>
      <c r="B7" s="6" t="s">
        <v>587</v>
      </c>
      <c r="C7" s="6" t="s">
        <v>589</v>
      </c>
      <c r="D7" s="6" t="s">
        <v>590</v>
      </c>
    </row>
    <row r="8" ht="120.0" customHeight="1">
      <c r="A8" s="46" t="s">
        <v>594</v>
      </c>
      <c r="B8" s="47" t="s">
        <v>600</v>
      </c>
      <c r="C8" s="48" t="s">
        <v>609</v>
      </c>
      <c r="D8" s="9" t="s">
        <v>618</v>
      </c>
    </row>
    <row r="9" ht="108.0" customHeight="1">
      <c r="A9" s="46" t="s">
        <v>622</v>
      </c>
      <c r="B9" s="47" t="s">
        <v>600</v>
      </c>
      <c r="C9" s="48" t="s">
        <v>624</v>
      </c>
      <c r="D9" s="9" t="s">
        <v>626</v>
      </c>
    </row>
    <row r="10" ht="108.0" customHeight="1">
      <c r="A10" s="46" t="s">
        <v>630</v>
      </c>
      <c r="B10" s="47" t="s">
        <v>600</v>
      </c>
      <c r="C10" s="48" t="s">
        <v>634</v>
      </c>
      <c r="D10" s="9" t="s">
        <v>636</v>
      </c>
    </row>
    <row r="11" ht="156.0" customHeight="1">
      <c r="A11" s="46" t="s">
        <v>639</v>
      </c>
      <c r="B11" s="47" t="s">
        <v>640</v>
      </c>
      <c r="C11" s="48" t="s">
        <v>642</v>
      </c>
      <c r="D11" s="9" t="s">
        <v>645</v>
      </c>
    </row>
    <row r="12" ht="156.0" customHeight="1">
      <c r="A12" s="46" t="s">
        <v>648</v>
      </c>
      <c r="B12" s="47" t="s">
        <v>640</v>
      </c>
      <c r="C12" s="48" t="s">
        <v>652</v>
      </c>
      <c r="D12" s="9" t="s">
        <v>653</v>
      </c>
    </row>
    <row r="13" ht="108.0" customHeight="1">
      <c r="A13" s="46" t="s">
        <v>656</v>
      </c>
      <c r="B13" s="47" t="s">
        <v>640</v>
      </c>
      <c r="C13" s="48" t="s">
        <v>659</v>
      </c>
      <c r="D13" s="9" t="s">
        <v>661</v>
      </c>
    </row>
    <row r="15" ht="23.25" customHeight="1">
      <c r="A15" s="5" t="s">
        <v>666</v>
      </c>
      <c r="B15" s="8" t="s">
        <v>672</v>
      </c>
      <c r="C15" s="2"/>
      <c r="D15"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D1"/>
    <mergeCell ref="A2:D2"/>
    <mergeCell ref="B4:D4"/>
    <mergeCell ref="B5:D5"/>
    <mergeCell ref="B15:D15"/>
  </mergeCell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1.0" topLeftCell="A22" activePane="bottomLeft" state="frozen"/>
      <selection activeCell="B23" sqref="B23" pane="bottomLeft"/>
    </sheetView>
  </sheetViews>
  <sheetFormatPr customHeight="1" defaultColWidth="14.43" defaultRowHeight="15.0"/>
  <cols>
    <col customWidth="1" min="1" max="1" width="5.0"/>
    <col customWidth="1" min="2" max="2" width="36.0"/>
    <col customWidth="1" min="3" max="3" width="46.0"/>
    <col customWidth="1" min="4" max="4" width="50.0"/>
    <col customWidth="1" min="5" max="5" width="76.0"/>
    <col customWidth="1" min="6" max="6" width="34.0"/>
    <col customWidth="1" min="7" max="7" width="12.0"/>
    <col customWidth="1" min="8" max="26" width="8.71"/>
  </cols>
  <sheetData>
    <row r="1" ht="31.5" customHeight="1">
      <c r="A1" s="1" t="s">
        <v>840</v>
      </c>
      <c r="B1" s="2"/>
      <c r="C1" s="2"/>
      <c r="D1" s="2"/>
      <c r="E1" s="2"/>
      <c r="F1" s="2"/>
      <c r="G1" s="3"/>
    </row>
    <row r="2" ht="19.5" customHeight="1">
      <c r="A2" s="4" t="s">
        <v>848</v>
      </c>
      <c r="B2" s="2"/>
      <c r="C2" s="2"/>
      <c r="D2" s="2"/>
      <c r="E2" s="2"/>
      <c r="F2" s="2"/>
      <c r="G2" s="3"/>
    </row>
    <row r="4" ht="21.75" customHeight="1">
      <c r="A4" s="7" t="s">
        <v>849</v>
      </c>
      <c r="B4" s="2"/>
      <c r="C4" s="2"/>
      <c r="D4" s="2"/>
      <c r="E4" s="2"/>
      <c r="F4" s="2"/>
      <c r="G4" s="3"/>
    </row>
    <row r="5" ht="15.0" customHeight="1">
      <c r="A5" s="10" t="s">
        <v>850</v>
      </c>
      <c r="B5" s="12" t="s">
        <v>851</v>
      </c>
      <c r="C5" s="2"/>
      <c r="D5" s="2"/>
      <c r="E5" s="2"/>
      <c r="F5" s="2"/>
      <c r="G5" s="3"/>
    </row>
    <row r="6" ht="23.25" customHeight="1">
      <c r="A6" s="5" t="s">
        <v>852</v>
      </c>
      <c r="B6" s="8" t="s">
        <v>856</v>
      </c>
      <c r="C6" s="2"/>
      <c r="D6" s="2"/>
      <c r="E6" s="2"/>
      <c r="F6" s="2"/>
      <c r="G6" s="3"/>
    </row>
    <row r="8" ht="33.75" customHeight="1">
      <c r="A8" s="6" t="s">
        <v>26</v>
      </c>
      <c r="B8" s="6" t="s">
        <v>860</v>
      </c>
      <c r="C8" s="6" t="s">
        <v>861</v>
      </c>
      <c r="D8" s="6" t="s">
        <v>862</v>
      </c>
      <c r="E8" s="6" t="s">
        <v>863</v>
      </c>
      <c r="F8" s="6" t="s">
        <v>864</v>
      </c>
      <c r="G8" s="6" t="s">
        <v>865</v>
      </c>
    </row>
    <row r="9">
      <c r="A9" s="9">
        <v>1.0</v>
      </c>
      <c r="B9" s="11" t="s">
        <v>866</v>
      </c>
      <c r="C9" s="9" t="s">
        <v>867</v>
      </c>
      <c r="D9" s="9" t="s">
        <v>868</v>
      </c>
      <c r="E9" s="9" t="s">
        <v>869</v>
      </c>
      <c r="F9" s="9" t="s">
        <v>870</v>
      </c>
      <c r="G9" s="39" t="s">
        <v>871</v>
      </c>
    </row>
    <row r="10">
      <c r="A10" s="24">
        <v>2.0</v>
      </c>
      <c r="B10" s="25" t="s">
        <v>872</v>
      </c>
      <c r="C10" s="24" t="s">
        <v>873</v>
      </c>
      <c r="D10" s="24" t="s">
        <v>874</v>
      </c>
      <c r="E10" s="24" t="s">
        <v>875</v>
      </c>
      <c r="F10" s="24" t="s">
        <v>876</v>
      </c>
      <c r="G10" s="25" t="s">
        <v>879</v>
      </c>
    </row>
    <row r="11">
      <c r="A11" s="9">
        <v>3.0</v>
      </c>
      <c r="B11" s="11" t="s">
        <v>883</v>
      </c>
      <c r="C11" s="9" t="s">
        <v>885</v>
      </c>
      <c r="D11" s="9" t="s">
        <v>886</v>
      </c>
      <c r="E11" s="9" t="s">
        <v>875</v>
      </c>
      <c r="F11" s="9" t="s">
        <v>876</v>
      </c>
      <c r="G11" s="39" t="s">
        <v>887</v>
      </c>
    </row>
    <row r="12">
      <c r="A12" s="24">
        <v>4.0</v>
      </c>
      <c r="B12" s="25" t="s">
        <v>888</v>
      </c>
      <c r="C12" s="24" t="s">
        <v>889</v>
      </c>
      <c r="D12" s="24" t="s">
        <v>890</v>
      </c>
      <c r="E12" s="24" t="s">
        <v>891</v>
      </c>
      <c r="F12" s="24" t="s">
        <v>892</v>
      </c>
      <c r="G12" s="25" t="s">
        <v>893</v>
      </c>
    </row>
    <row r="13">
      <c r="A13" s="9">
        <v>5.0</v>
      </c>
      <c r="B13" s="11" t="s">
        <v>894</v>
      </c>
      <c r="C13" s="9" t="s">
        <v>895</v>
      </c>
      <c r="D13" s="9" t="s">
        <v>896</v>
      </c>
      <c r="E13" s="9" t="s">
        <v>897</v>
      </c>
      <c r="F13" s="9" t="s">
        <v>898</v>
      </c>
      <c r="G13" s="39" t="s">
        <v>899</v>
      </c>
    </row>
    <row r="14">
      <c r="A14" s="24">
        <v>6.0</v>
      </c>
      <c r="B14" s="25" t="s">
        <v>900</v>
      </c>
      <c r="C14" s="24" t="s">
        <v>901</v>
      </c>
      <c r="D14" s="24" t="s">
        <v>902</v>
      </c>
      <c r="E14" s="24" t="s">
        <v>875</v>
      </c>
      <c r="F14" s="24" t="s">
        <v>876</v>
      </c>
      <c r="G14" s="25" t="s">
        <v>903</v>
      </c>
    </row>
    <row r="15">
      <c r="A15" s="9">
        <v>7.0</v>
      </c>
      <c r="B15" s="11" t="s">
        <v>904</v>
      </c>
      <c r="C15" s="9" t="s">
        <v>905</v>
      </c>
      <c r="D15" s="9" t="s">
        <v>906</v>
      </c>
      <c r="E15" s="9" t="s">
        <v>907</v>
      </c>
      <c r="F15" s="9" t="s">
        <v>908</v>
      </c>
      <c r="G15" s="39" t="s">
        <v>909</v>
      </c>
    </row>
    <row r="18" ht="21.75" customHeight="1">
      <c r="A18" s="7" t="s">
        <v>910</v>
      </c>
      <c r="B18" s="2"/>
      <c r="C18" s="2"/>
      <c r="D18" s="2"/>
      <c r="E18" s="2"/>
      <c r="F18" s="2"/>
      <c r="G18" s="3"/>
    </row>
    <row r="19" ht="15.0" customHeight="1">
      <c r="A19" s="5" t="s">
        <v>913</v>
      </c>
      <c r="B19" s="8" t="s">
        <v>916</v>
      </c>
      <c r="C19" s="2"/>
      <c r="D19" s="2"/>
      <c r="E19" s="2"/>
      <c r="F19" s="2"/>
      <c r="G19" s="3"/>
    </row>
    <row r="21" ht="33.75" customHeight="1">
      <c r="A21" s="6" t="s">
        <v>26</v>
      </c>
      <c r="B21" s="6" t="s">
        <v>919</v>
      </c>
      <c r="C21" s="6" t="s">
        <v>920</v>
      </c>
      <c r="D21" s="6" t="s">
        <v>863</v>
      </c>
      <c r="E21" s="6" t="s">
        <v>921</v>
      </c>
      <c r="F21" s="6" t="s">
        <v>864</v>
      </c>
      <c r="G21" s="6" t="s">
        <v>38</v>
      </c>
    </row>
    <row r="22" ht="15.75" customHeight="1">
      <c r="A22" s="9">
        <v>1.0</v>
      </c>
      <c r="B22" s="11" t="s">
        <v>922</v>
      </c>
      <c r="C22" s="9" t="s">
        <v>923</v>
      </c>
      <c r="D22" s="9" t="s">
        <v>924</v>
      </c>
      <c r="E22" s="9" t="s">
        <v>925</v>
      </c>
      <c r="F22" s="9" t="s">
        <v>926</v>
      </c>
      <c r="G22" s="39" t="s">
        <v>595</v>
      </c>
    </row>
    <row r="23" ht="15.75" customHeight="1">
      <c r="A23" s="24">
        <v>2.0</v>
      </c>
      <c r="B23" s="25" t="s">
        <v>927</v>
      </c>
      <c r="C23" s="24" t="s">
        <v>928</v>
      </c>
      <c r="D23" s="24" t="s">
        <v>929</v>
      </c>
      <c r="E23" s="24" t="s">
        <v>930</v>
      </c>
      <c r="F23" s="24" t="s">
        <v>931</v>
      </c>
      <c r="G23" s="25" t="s">
        <v>595</v>
      </c>
    </row>
    <row r="24" ht="15.75" customHeight="1">
      <c r="A24" s="9">
        <v>3.0</v>
      </c>
      <c r="B24" s="11" t="s">
        <v>932</v>
      </c>
      <c r="C24" s="9" t="s">
        <v>933</v>
      </c>
      <c r="D24" s="9" t="s">
        <v>934</v>
      </c>
      <c r="E24" s="9" t="s">
        <v>935</v>
      </c>
      <c r="F24" s="9" t="s">
        <v>936</v>
      </c>
      <c r="G24" s="39" t="s">
        <v>595</v>
      </c>
    </row>
    <row r="25" ht="15.75" customHeight="1">
      <c r="A25" s="24">
        <v>4.0</v>
      </c>
      <c r="B25" s="25" t="s">
        <v>883</v>
      </c>
      <c r="C25" s="24" t="s">
        <v>937</v>
      </c>
      <c r="D25" s="24" t="s">
        <v>938</v>
      </c>
      <c r="E25" s="24" t="s">
        <v>939</v>
      </c>
      <c r="F25" s="24" t="s">
        <v>940</v>
      </c>
      <c r="G25" s="25" t="s">
        <v>605</v>
      </c>
    </row>
    <row r="26" ht="15.75" customHeight="1">
      <c r="A26" s="9">
        <v>5.0</v>
      </c>
      <c r="B26" s="11" t="s">
        <v>941</v>
      </c>
      <c r="C26" s="9" t="s">
        <v>942</v>
      </c>
      <c r="D26" s="9" t="s">
        <v>943</v>
      </c>
      <c r="E26" s="9" t="s">
        <v>944</v>
      </c>
      <c r="F26" s="9" t="s">
        <v>945</v>
      </c>
      <c r="G26" s="39" t="s">
        <v>605</v>
      </c>
    </row>
    <row r="27" ht="15.75" customHeight="1">
      <c r="A27" s="24">
        <v>6.0</v>
      </c>
      <c r="B27" s="25" t="s">
        <v>947</v>
      </c>
      <c r="C27" s="24" t="s">
        <v>948</v>
      </c>
      <c r="D27" s="24" t="s">
        <v>949</v>
      </c>
      <c r="E27" s="24" t="s">
        <v>950</v>
      </c>
      <c r="F27" s="24" t="s">
        <v>951</v>
      </c>
      <c r="G27" s="25" t="s">
        <v>605</v>
      </c>
    </row>
    <row r="28" ht="15.75" customHeight="1">
      <c r="A28" s="9">
        <v>7.0</v>
      </c>
      <c r="B28" s="11" t="s">
        <v>904</v>
      </c>
      <c r="C28" s="9" t="s">
        <v>952</v>
      </c>
      <c r="D28" s="9" t="s">
        <v>953</v>
      </c>
      <c r="E28" s="9" t="s">
        <v>955</v>
      </c>
      <c r="F28" s="9" t="s">
        <v>956</v>
      </c>
      <c r="G28" s="39" t="s">
        <v>605</v>
      </c>
    </row>
    <row r="29" ht="15.75" customHeight="1">
      <c r="A29" s="24">
        <v>8.0</v>
      </c>
      <c r="B29" s="25" t="s">
        <v>959</v>
      </c>
      <c r="C29" s="24" t="s">
        <v>961</v>
      </c>
      <c r="D29" s="24" t="s">
        <v>962</v>
      </c>
      <c r="E29" s="24" t="s">
        <v>963</v>
      </c>
      <c r="F29" s="24" t="s">
        <v>965</v>
      </c>
      <c r="G29" s="25" t="s">
        <v>967</v>
      </c>
    </row>
    <row r="30" ht="15.75" customHeight="1">
      <c r="A30" s="9">
        <v>9.0</v>
      </c>
      <c r="B30" s="11" t="s">
        <v>970</v>
      </c>
      <c r="C30" s="9" t="s">
        <v>973</v>
      </c>
      <c r="D30" s="9" t="s">
        <v>974</v>
      </c>
      <c r="E30" s="9" t="s">
        <v>975</v>
      </c>
      <c r="F30" s="9" t="s">
        <v>976</v>
      </c>
      <c r="G30" s="13" t="s">
        <v>967</v>
      </c>
    </row>
    <row r="31" ht="15.75" customHeight="1">
      <c r="A31" s="24">
        <v>10.0</v>
      </c>
      <c r="B31" s="25" t="s">
        <v>977</v>
      </c>
      <c r="C31" s="24" t="s">
        <v>978</v>
      </c>
      <c r="D31" s="24" t="s">
        <v>979</v>
      </c>
      <c r="E31" s="24" t="s">
        <v>980</v>
      </c>
      <c r="F31" s="24" t="s">
        <v>981</v>
      </c>
      <c r="G31" s="25" t="s">
        <v>982</v>
      </c>
    </row>
    <row r="32" ht="15.75" customHeight="1">
      <c r="A32" s="9">
        <v>11.0</v>
      </c>
      <c r="B32" s="11" t="s">
        <v>984</v>
      </c>
      <c r="C32" s="9" t="s">
        <v>986</v>
      </c>
      <c r="D32" s="9" t="s">
        <v>987</v>
      </c>
      <c r="E32" s="9" t="s">
        <v>988</v>
      </c>
      <c r="F32" s="9" t="s">
        <v>989</v>
      </c>
      <c r="G32" s="13" t="s">
        <v>990</v>
      </c>
    </row>
    <row r="33" ht="15.75" customHeight="1">
      <c r="A33" s="24">
        <v>12.0</v>
      </c>
      <c r="B33" s="25" t="s">
        <v>991</v>
      </c>
      <c r="C33" s="24" t="s">
        <v>992</v>
      </c>
      <c r="D33" s="24" t="s">
        <v>994</v>
      </c>
      <c r="E33" s="24" t="s">
        <v>996</v>
      </c>
      <c r="F33" s="24" t="s">
        <v>998</v>
      </c>
      <c r="G33" s="25" t="s">
        <v>990</v>
      </c>
    </row>
    <row r="34" ht="15.75" customHeight="1"/>
    <row r="35" ht="15.75" customHeight="1"/>
    <row r="36" ht="21.75" customHeight="1">
      <c r="A36" s="7" t="s">
        <v>1002</v>
      </c>
      <c r="B36" s="2"/>
      <c r="C36" s="2"/>
      <c r="D36" s="2"/>
      <c r="E36" s="2"/>
      <c r="F36" s="2"/>
      <c r="G36" s="3"/>
    </row>
    <row r="37" ht="15.0" customHeight="1">
      <c r="A37" s="10" t="s">
        <v>1008</v>
      </c>
      <c r="B37" s="12" t="s">
        <v>1011</v>
      </c>
      <c r="C37" s="2"/>
      <c r="D37" s="2"/>
      <c r="E37" s="2"/>
      <c r="F37" s="2"/>
      <c r="G37" s="3"/>
    </row>
    <row r="38" ht="15.0" customHeight="1">
      <c r="A38" s="10" t="s">
        <v>1016</v>
      </c>
      <c r="B38" s="12" t="s">
        <v>1018</v>
      </c>
      <c r="C38" s="2"/>
      <c r="D38" s="2"/>
      <c r="E38" s="2"/>
      <c r="F38" s="2"/>
      <c r="G38" s="3"/>
    </row>
    <row r="39" ht="15.0" customHeight="1">
      <c r="A39" s="10" t="s">
        <v>1022</v>
      </c>
      <c r="B39" s="12" t="s">
        <v>1023</v>
      </c>
      <c r="C39" s="2"/>
      <c r="D39" s="2"/>
      <c r="E39" s="2"/>
      <c r="F39" s="2"/>
      <c r="G39" s="3"/>
    </row>
    <row r="40" ht="15.0" customHeight="1">
      <c r="A40" s="10" t="s">
        <v>1029</v>
      </c>
      <c r="B40" s="12" t="s">
        <v>1032</v>
      </c>
      <c r="C40" s="2"/>
      <c r="D40" s="2"/>
      <c r="E40" s="2"/>
      <c r="F40" s="2"/>
      <c r="G40" s="3"/>
    </row>
    <row r="41" ht="15.0" customHeight="1">
      <c r="A41" s="10" t="s">
        <v>1041</v>
      </c>
      <c r="B41" s="12" t="s">
        <v>1043</v>
      </c>
      <c r="C41" s="2"/>
      <c r="D41" s="2"/>
      <c r="E41" s="2"/>
      <c r="F41" s="2"/>
      <c r="G41" s="3"/>
    </row>
    <row r="42" ht="15.0" customHeight="1">
      <c r="A42" s="10" t="s">
        <v>1051</v>
      </c>
      <c r="B42" s="12" t="s">
        <v>1053</v>
      </c>
      <c r="C42" s="2"/>
      <c r="D42" s="2"/>
      <c r="E42" s="2"/>
      <c r="F42" s="2"/>
      <c r="G42" s="3"/>
    </row>
    <row r="43" ht="15.0" customHeight="1">
      <c r="A43" s="10" t="s">
        <v>1060</v>
      </c>
      <c r="B43" s="12" t="s">
        <v>1061</v>
      </c>
      <c r="C43" s="2"/>
      <c r="D43" s="2"/>
      <c r="E43" s="2"/>
      <c r="F43" s="2"/>
      <c r="G43" s="3"/>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A36:G36"/>
    <mergeCell ref="B37:G37"/>
    <mergeCell ref="B38:G38"/>
    <mergeCell ref="B39:G39"/>
    <mergeCell ref="B40:G40"/>
    <mergeCell ref="B41:G41"/>
    <mergeCell ref="B42:G42"/>
    <mergeCell ref="B43:G43"/>
    <mergeCell ref="A1:G1"/>
    <mergeCell ref="A2:G2"/>
    <mergeCell ref="A4:G4"/>
    <mergeCell ref="B5:G5"/>
    <mergeCell ref="B6:G6"/>
    <mergeCell ref="A18:G18"/>
    <mergeCell ref="B19:G19"/>
  </mergeCells>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7.0" topLeftCell="A8" activePane="bottomLeft" state="frozen"/>
      <selection activeCell="B9" sqref="B9" pane="bottomLeft"/>
    </sheetView>
  </sheetViews>
  <sheetFormatPr customHeight="1" defaultColWidth="14.43" defaultRowHeight="15.0"/>
  <cols>
    <col customWidth="1" min="1" max="1" width="6.0"/>
    <col customWidth="1" min="2" max="2" width="32.0"/>
    <col customWidth="1" min="3" max="3" width="12.0"/>
    <col customWidth="1" min="4" max="4" width="76.0"/>
    <col customWidth="1" min="5" max="5" width="56.0"/>
    <col customWidth="1" min="6" max="6" width="12.0"/>
    <col customWidth="1" min="7" max="26" width="8.71"/>
  </cols>
  <sheetData>
    <row r="1" ht="31.5" customHeight="1">
      <c r="A1" s="1" t="s">
        <v>946</v>
      </c>
      <c r="B1" s="2"/>
      <c r="C1" s="2"/>
      <c r="D1" s="2"/>
      <c r="E1" s="2"/>
      <c r="F1" s="3"/>
    </row>
    <row r="2" ht="19.5" customHeight="1">
      <c r="A2" s="4" t="s">
        <v>954</v>
      </c>
      <c r="B2" s="2"/>
      <c r="C2" s="2"/>
      <c r="D2" s="2"/>
      <c r="E2" s="2"/>
      <c r="F2" s="3"/>
    </row>
    <row r="4" ht="15.0" customHeight="1">
      <c r="A4" s="27" t="s">
        <v>381</v>
      </c>
      <c r="B4" s="28" t="s">
        <v>972</v>
      </c>
      <c r="C4" s="2"/>
      <c r="D4" s="2"/>
      <c r="E4" s="2"/>
      <c r="F4" s="3"/>
    </row>
    <row r="5" ht="15.0" customHeight="1">
      <c r="A5" s="10" t="s">
        <v>983</v>
      </c>
      <c r="B5" s="12" t="s">
        <v>985</v>
      </c>
      <c r="C5" s="2"/>
      <c r="D5" s="2"/>
      <c r="E5" s="2"/>
      <c r="F5" s="3"/>
    </row>
    <row r="7" ht="30.0" customHeight="1">
      <c r="A7" s="6" t="s">
        <v>993</v>
      </c>
      <c r="B7" s="6" t="s">
        <v>995</v>
      </c>
      <c r="C7" s="6" t="s">
        <v>997</v>
      </c>
      <c r="D7" s="6" t="s">
        <v>999</v>
      </c>
      <c r="E7" s="6" t="s">
        <v>1000</v>
      </c>
      <c r="F7" s="6" t="s">
        <v>1001</v>
      </c>
    </row>
    <row r="8">
      <c r="A8" s="9">
        <v>1.0</v>
      </c>
      <c r="B8" s="11" t="s">
        <v>1003</v>
      </c>
      <c r="C8" s="52" t="s">
        <v>1004</v>
      </c>
      <c r="D8" s="9" t="s">
        <v>1005</v>
      </c>
      <c r="E8" s="9" t="s">
        <v>1006</v>
      </c>
      <c r="F8" s="9" t="s">
        <v>1007</v>
      </c>
    </row>
    <row r="9">
      <c r="A9" s="24">
        <v>2.0</v>
      </c>
      <c r="B9" s="25" t="s">
        <v>1009</v>
      </c>
      <c r="C9" s="24" t="s">
        <v>1010</v>
      </c>
      <c r="D9" s="24" t="s">
        <v>1012</v>
      </c>
      <c r="E9" s="24" t="s">
        <v>1013</v>
      </c>
      <c r="F9" s="24" t="s">
        <v>1007</v>
      </c>
    </row>
    <row r="10">
      <c r="A10" s="9">
        <v>3.0</v>
      </c>
      <c r="B10" s="11" t="s">
        <v>1014</v>
      </c>
      <c r="C10" s="24" t="s">
        <v>1010</v>
      </c>
      <c r="D10" s="9" t="s">
        <v>1015</v>
      </c>
      <c r="E10" s="9" t="s">
        <v>1017</v>
      </c>
      <c r="F10" s="9" t="s">
        <v>1007</v>
      </c>
    </row>
    <row r="11">
      <c r="A11" s="24">
        <v>4.0</v>
      </c>
      <c r="B11" s="25" t="s">
        <v>317</v>
      </c>
      <c r="C11" s="24" t="s">
        <v>1004</v>
      </c>
      <c r="D11" s="24" t="s">
        <v>1019</v>
      </c>
      <c r="E11" s="24" t="s">
        <v>1020</v>
      </c>
      <c r="F11" s="24" t="s">
        <v>1021</v>
      </c>
    </row>
    <row r="12">
      <c r="A12" s="9">
        <v>5.0</v>
      </c>
      <c r="B12" s="11" t="s">
        <v>1024</v>
      </c>
      <c r="C12" s="24" t="s">
        <v>1010</v>
      </c>
      <c r="D12" s="9" t="s">
        <v>1025</v>
      </c>
      <c r="E12" s="9" t="s">
        <v>1026</v>
      </c>
      <c r="F12" s="9" t="s">
        <v>1007</v>
      </c>
    </row>
    <row r="13">
      <c r="A13" s="24">
        <v>6.0</v>
      </c>
      <c r="B13" s="25" t="s">
        <v>1028</v>
      </c>
      <c r="C13" s="24" t="s">
        <v>1010</v>
      </c>
      <c r="D13" s="24" t="s">
        <v>1031</v>
      </c>
      <c r="E13" s="24" t="s">
        <v>1033</v>
      </c>
      <c r="F13" s="24" t="s">
        <v>1021</v>
      </c>
    </row>
    <row r="14">
      <c r="A14" s="9">
        <v>7.0</v>
      </c>
      <c r="B14" s="11" t="s">
        <v>1036</v>
      </c>
      <c r="C14" s="52" t="s">
        <v>1004</v>
      </c>
      <c r="D14" s="9" t="s">
        <v>1038</v>
      </c>
      <c r="E14" s="9" t="s">
        <v>1040</v>
      </c>
      <c r="F14" s="9" t="s">
        <v>34</v>
      </c>
    </row>
    <row r="15">
      <c r="A15" s="24">
        <v>8.0</v>
      </c>
      <c r="B15" s="25" t="s">
        <v>1042</v>
      </c>
      <c r="C15" s="24" t="s">
        <v>1010</v>
      </c>
      <c r="D15" s="24" t="s">
        <v>1044</v>
      </c>
      <c r="E15" s="24" t="s">
        <v>1045</v>
      </c>
      <c r="F15" s="24" t="s">
        <v>1007</v>
      </c>
    </row>
    <row r="16">
      <c r="A16" s="9">
        <v>9.0</v>
      </c>
      <c r="B16" s="11" t="s">
        <v>1046</v>
      </c>
      <c r="C16" s="24" t="s">
        <v>1010</v>
      </c>
      <c r="D16" s="9" t="s">
        <v>1047</v>
      </c>
      <c r="E16" s="9" t="s">
        <v>1048</v>
      </c>
      <c r="F16" s="9" t="s">
        <v>1021</v>
      </c>
    </row>
    <row r="17">
      <c r="A17" s="24">
        <v>10.0</v>
      </c>
      <c r="B17" s="25" t="s">
        <v>1049</v>
      </c>
      <c r="C17" s="24" t="s">
        <v>1010</v>
      </c>
      <c r="D17" s="24" t="s">
        <v>1050</v>
      </c>
      <c r="E17" s="24" t="s">
        <v>1052</v>
      </c>
      <c r="F17" s="24" t="s">
        <v>1007</v>
      </c>
    </row>
    <row r="18">
      <c r="A18" s="9">
        <v>11.0</v>
      </c>
      <c r="B18" s="11" t="s">
        <v>1054</v>
      </c>
      <c r="C18" s="24" t="s">
        <v>1010</v>
      </c>
      <c r="D18" s="9" t="s">
        <v>1055</v>
      </c>
      <c r="E18" s="9" t="s">
        <v>1056</v>
      </c>
      <c r="F18" s="9" t="s">
        <v>34</v>
      </c>
    </row>
    <row r="19">
      <c r="A19" s="24">
        <v>12.0</v>
      </c>
      <c r="B19" s="25" t="s">
        <v>1057</v>
      </c>
      <c r="C19" s="24" t="s">
        <v>1010</v>
      </c>
      <c r="D19" s="24" t="s">
        <v>1058</v>
      </c>
      <c r="E19" s="24" t="s">
        <v>1059</v>
      </c>
      <c r="F19" s="24" t="s">
        <v>34</v>
      </c>
    </row>
    <row r="21" ht="15.0" customHeight="1">
      <c r="A21" s="5" t="s">
        <v>1062</v>
      </c>
      <c r="B21" s="8" t="s">
        <v>1063</v>
      </c>
      <c r="C21" s="2"/>
      <c r="D21" s="2"/>
      <c r="E21" s="2"/>
      <c r="F21" s="3"/>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F1"/>
    <mergeCell ref="A2:F2"/>
    <mergeCell ref="B4:F4"/>
    <mergeCell ref="B5:F5"/>
    <mergeCell ref="B21:F21"/>
  </mergeCells>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0" topLeftCell="A11" activePane="bottomLeft" state="frozen"/>
      <selection activeCell="B12" sqref="B12" pane="bottomLeft"/>
    </sheetView>
  </sheetViews>
  <sheetFormatPr customHeight="1" defaultColWidth="14.43" defaultRowHeight="15.0"/>
  <cols>
    <col customWidth="1" min="1" max="2" width="26.0"/>
    <col customWidth="1" min="3" max="3" width="40.0"/>
    <col customWidth="1" min="4" max="4" width="14.0"/>
    <col customWidth="1" min="5" max="5" width="76.0"/>
    <col customWidth="1" min="6" max="26" width="8.71"/>
  </cols>
  <sheetData>
    <row r="1" ht="31.5" customHeight="1">
      <c r="A1" s="1" t="s">
        <v>1065</v>
      </c>
      <c r="B1" s="2"/>
      <c r="C1" s="2"/>
      <c r="D1" s="2"/>
      <c r="E1" s="3"/>
    </row>
    <row r="2" ht="19.5" customHeight="1">
      <c r="A2" s="4" t="s">
        <v>1071</v>
      </c>
      <c r="B2" s="2"/>
      <c r="C2" s="2"/>
      <c r="D2" s="2"/>
      <c r="E2" s="3"/>
    </row>
    <row r="4" ht="21.75" customHeight="1">
      <c r="A4" s="7" t="s">
        <v>1072</v>
      </c>
      <c r="B4" s="2"/>
      <c r="C4" s="2"/>
      <c r="D4" s="2"/>
      <c r="E4" s="3"/>
    </row>
    <row r="5" ht="15.0" customHeight="1">
      <c r="A5" s="10" t="s">
        <v>1073</v>
      </c>
      <c r="B5" s="12" t="s">
        <v>1074</v>
      </c>
      <c r="C5" s="2"/>
      <c r="D5" s="2"/>
      <c r="E5" s="3"/>
    </row>
    <row r="6" ht="15.0" customHeight="1">
      <c r="A6" s="10" t="s">
        <v>1075</v>
      </c>
      <c r="B6" s="12" t="s">
        <v>1076</v>
      </c>
      <c r="C6" s="2"/>
      <c r="D6" s="2"/>
      <c r="E6" s="3"/>
    </row>
    <row r="7" ht="15.0" customHeight="1">
      <c r="A7" s="10" t="s">
        <v>1077</v>
      </c>
      <c r="B7" s="12" t="s">
        <v>1078</v>
      </c>
      <c r="C7" s="2"/>
      <c r="D7" s="2"/>
      <c r="E7" s="3"/>
    </row>
    <row r="8" ht="15.0" customHeight="1">
      <c r="A8" s="10" t="s">
        <v>1086</v>
      </c>
      <c r="B8" s="12" t="s">
        <v>1087</v>
      </c>
      <c r="C8" s="2"/>
      <c r="D8" s="2"/>
      <c r="E8" s="3"/>
    </row>
    <row r="10" ht="30.0" customHeight="1">
      <c r="A10" s="6" t="s">
        <v>1088</v>
      </c>
      <c r="B10" s="6" t="s">
        <v>1089</v>
      </c>
      <c r="C10" s="6" t="s">
        <v>1090</v>
      </c>
      <c r="D10" s="6" t="s">
        <v>1091</v>
      </c>
      <c r="E10" s="6" t="s">
        <v>1092</v>
      </c>
    </row>
    <row r="11">
      <c r="A11" s="11" t="s">
        <v>1093</v>
      </c>
      <c r="B11" s="9" t="s">
        <v>1094</v>
      </c>
      <c r="C11" s="9" t="s">
        <v>1095</v>
      </c>
      <c r="D11" s="9" t="s">
        <v>1096</v>
      </c>
      <c r="E11" s="9" t="s">
        <v>1097</v>
      </c>
    </row>
    <row r="12">
      <c r="A12" s="25" t="s">
        <v>1098</v>
      </c>
      <c r="B12" s="24" t="s">
        <v>1094</v>
      </c>
      <c r="C12" s="24" t="s">
        <v>1099</v>
      </c>
      <c r="D12" s="24" t="s">
        <v>1100</v>
      </c>
      <c r="E12" s="24" t="s">
        <v>1101</v>
      </c>
    </row>
    <row r="13">
      <c r="A13" s="11" t="s">
        <v>1103</v>
      </c>
      <c r="B13" s="9" t="s">
        <v>1094</v>
      </c>
      <c r="C13" s="9" t="s">
        <v>1106</v>
      </c>
      <c r="D13" s="9" t="s">
        <v>1109</v>
      </c>
      <c r="E13" s="9" t="s">
        <v>1112</v>
      </c>
    </row>
    <row r="14">
      <c r="A14" s="25" t="s">
        <v>1113</v>
      </c>
      <c r="B14" s="24" t="s">
        <v>1094</v>
      </c>
      <c r="C14" s="24" t="s">
        <v>1114</v>
      </c>
      <c r="D14" s="24" t="s">
        <v>1109</v>
      </c>
      <c r="E14" s="24" t="s">
        <v>1115</v>
      </c>
    </row>
    <row r="15">
      <c r="A15" s="11" t="s">
        <v>1116</v>
      </c>
      <c r="B15" s="9" t="s">
        <v>1094</v>
      </c>
      <c r="C15" s="9" t="s">
        <v>1117</v>
      </c>
      <c r="D15" s="9" t="s">
        <v>1096</v>
      </c>
      <c r="E15" s="9" t="s">
        <v>1118</v>
      </c>
    </row>
    <row r="16">
      <c r="A16" s="25" t="s">
        <v>1119</v>
      </c>
      <c r="B16" s="24" t="s">
        <v>1120</v>
      </c>
      <c r="C16" s="24" t="s">
        <v>1121</v>
      </c>
      <c r="D16" s="24" t="s">
        <v>1122</v>
      </c>
      <c r="E16" s="24" t="s">
        <v>1123</v>
      </c>
    </row>
    <row r="17">
      <c r="A17" s="11" t="s">
        <v>1124</v>
      </c>
      <c r="B17" s="9" t="s">
        <v>1125</v>
      </c>
      <c r="C17" s="9" t="s">
        <v>1126</v>
      </c>
      <c r="D17" s="9" t="s">
        <v>1127</v>
      </c>
      <c r="E17" s="9" t="s">
        <v>1128</v>
      </c>
    </row>
    <row r="18">
      <c r="A18" s="25" t="s">
        <v>1129</v>
      </c>
      <c r="B18" s="24" t="s">
        <v>1130</v>
      </c>
      <c r="C18" s="24" t="s">
        <v>1131</v>
      </c>
      <c r="D18" s="24" t="s">
        <v>1132</v>
      </c>
      <c r="E18" s="24" t="s">
        <v>1133</v>
      </c>
    </row>
    <row r="20" ht="15.0" customHeight="1">
      <c r="A20" s="10" t="s">
        <v>1134</v>
      </c>
      <c r="B20" s="12" t="s">
        <v>1135</v>
      </c>
      <c r="C20" s="2"/>
      <c r="D20" s="2"/>
      <c r="E20" s="3"/>
    </row>
    <row r="21" ht="15.0" customHeight="1">
      <c r="A21" s="10" t="s">
        <v>1136</v>
      </c>
      <c r="B21" s="12" t="s">
        <v>1138</v>
      </c>
      <c r="C21" s="2"/>
      <c r="D21" s="2"/>
      <c r="E21" s="3"/>
    </row>
    <row r="22" ht="15.0" customHeight="1">
      <c r="A22" s="10" t="s">
        <v>1145</v>
      </c>
      <c r="B22" s="12" t="s">
        <v>1146</v>
      </c>
      <c r="C22" s="2"/>
      <c r="D22" s="2"/>
      <c r="E22" s="3"/>
    </row>
    <row r="23" ht="15.0" customHeight="1">
      <c r="A23" s="10" t="s">
        <v>1147</v>
      </c>
      <c r="B23" s="12" t="s">
        <v>1148</v>
      </c>
      <c r="C23" s="2"/>
      <c r="D23" s="2"/>
      <c r="E23" s="3"/>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B20:E20"/>
    <mergeCell ref="B21:E21"/>
    <mergeCell ref="B22:E22"/>
    <mergeCell ref="B23:E23"/>
    <mergeCell ref="A1:E1"/>
    <mergeCell ref="A2:E2"/>
    <mergeCell ref="A4:E4"/>
    <mergeCell ref="B5:E5"/>
    <mergeCell ref="B6:E6"/>
    <mergeCell ref="B7:E7"/>
    <mergeCell ref="B8:E8"/>
  </mergeCells>
  <printOptions/>
  <pageMargins bottom="1.0" footer="0.0" header="0.0" left="0.75" right="0.75" top="1.0"/>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6.0" topLeftCell="A37" activePane="bottomLeft" state="frozen"/>
      <selection activeCell="B38" sqref="B38" pane="bottomLeft"/>
    </sheetView>
  </sheetViews>
  <sheetFormatPr customHeight="1" defaultColWidth="14.43" defaultRowHeight="15.0"/>
  <cols>
    <col customWidth="1" min="1" max="1" width="22.0"/>
    <col customWidth="1" min="2" max="2" width="30.0"/>
    <col customWidth="1" min="3" max="3" width="16.0"/>
    <col customWidth="1" min="4" max="4" width="76.0"/>
    <col customWidth="1" min="5" max="6" width="4.0"/>
    <col customWidth="1" min="7" max="26" width="8.71"/>
  </cols>
  <sheetData>
    <row r="1" ht="31.5" customHeight="1">
      <c r="A1" s="1" t="s">
        <v>1161</v>
      </c>
      <c r="B1" s="2"/>
      <c r="C1" s="2"/>
      <c r="D1" s="2"/>
      <c r="E1" s="2"/>
      <c r="F1" s="3"/>
    </row>
    <row r="2" ht="19.5" customHeight="1">
      <c r="A2" s="4" t="s">
        <v>1162</v>
      </c>
      <c r="B2" s="2"/>
      <c r="C2" s="2"/>
      <c r="D2" s="2"/>
      <c r="E2" s="2"/>
      <c r="F2" s="3"/>
    </row>
    <row r="4" ht="15.0" customHeight="1">
      <c r="A4" s="29" t="s">
        <v>1163</v>
      </c>
      <c r="B4" s="30" t="s">
        <v>1167</v>
      </c>
      <c r="C4" s="2"/>
      <c r="D4" s="2"/>
      <c r="E4" s="2"/>
      <c r="F4" s="3"/>
    </row>
    <row r="6" ht="30.0" customHeight="1">
      <c r="A6" s="6" t="s">
        <v>26</v>
      </c>
      <c r="B6" s="6" t="s">
        <v>1172</v>
      </c>
      <c r="C6" s="6" t="s">
        <v>1173</v>
      </c>
      <c r="D6" s="6" t="s">
        <v>382</v>
      </c>
      <c r="E6" s="6" t="s">
        <v>1174</v>
      </c>
      <c r="F6" s="6" t="s">
        <v>1175</v>
      </c>
    </row>
    <row r="7">
      <c r="A7" s="9">
        <v>1.0</v>
      </c>
      <c r="B7" s="53" t="s">
        <v>1176</v>
      </c>
      <c r="C7" s="11" t="s">
        <v>1177</v>
      </c>
      <c r="D7" s="9" t="s">
        <v>1178</v>
      </c>
      <c r="E7" s="9" t="s">
        <v>1179</v>
      </c>
      <c r="F7" s="54" t="s">
        <v>222</v>
      </c>
    </row>
    <row r="8">
      <c r="A8" s="24">
        <v>2.0</v>
      </c>
      <c r="B8" s="25" t="s">
        <v>1176</v>
      </c>
      <c r="C8" s="25" t="s">
        <v>1180</v>
      </c>
      <c r="D8" s="24" t="s">
        <v>1181</v>
      </c>
      <c r="E8" s="24" t="s">
        <v>1179</v>
      </c>
      <c r="F8" s="24" t="s">
        <v>222</v>
      </c>
    </row>
    <row r="9">
      <c r="A9" s="9">
        <v>3.0</v>
      </c>
      <c r="B9" s="53" t="s">
        <v>1176</v>
      </c>
      <c r="C9" s="11" t="s">
        <v>1182</v>
      </c>
      <c r="D9" s="9" t="s">
        <v>1183</v>
      </c>
      <c r="E9" s="9" t="s">
        <v>1185</v>
      </c>
      <c r="F9" s="54" t="s">
        <v>222</v>
      </c>
    </row>
    <row r="10">
      <c r="A10" s="24">
        <v>4.0</v>
      </c>
      <c r="B10" s="25" t="s">
        <v>1176</v>
      </c>
      <c r="C10" s="25" t="s">
        <v>1189</v>
      </c>
      <c r="D10" s="24" t="s">
        <v>1191</v>
      </c>
      <c r="E10" s="24" t="s">
        <v>1185</v>
      </c>
      <c r="F10" s="24" t="s">
        <v>222</v>
      </c>
    </row>
    <row r="11">
      <c r="A11" s="9">
        <v>5.0</v>
      </c>
      <c r="B11" s="53" t="s">
        <v>1176</v>
      </c>
      <c r="C11" s="11" t="s">
        <v>1193</v>
      </c>
      <c r="D11" s="9" t="s">
        <v>1194</v>
      </c>
      <c r="E11" s="9" t="s">
        <v>1185</v>
      </c>
      <c r="F11" s="54" t="s">
        <v>222</v>
      </c>
    </row>
    <row r="12">
      <c r="A12" s="24">
        <v>6.0</v>
      </c>
      <c r="B12" s="25" t="s">
        <v>1195</v>
      </c>
      <c r="C12" s="25" t="s">
        <v>1196</v>
      </c>
      <c r="D12" s="24" t="s">
        <v>1197</v>
      </c>
      <c r="E12" s="24" t="s">
        <v>1185</v>
      </c>
      <c r="F12" s="24" t="s">
        <v>222</v>
      </c>
    </row>
    <row r="13">
      <c r="A13" s="9">
        <v>7.0</v>
      </c>
      <c r="B13" s="36" t="s">
        <v>1195</v>
      </c>
      <c r="C13" s="11" t="s">
        <v>1198</v>
      </c>
      <c r="D13" s="9" t="s">
        <v>1199</v>
      </c>
      <c r="E13" s="9" t="s">
        <v>1179</v>
      </c>
      <c r="F13" s="54" t="s">
        <v>222</v>
      </c>
    </row>
    <row r="14">
      <c r="A14" s="24">
        <v>8.0</v>
      </c>
      <c r="B14" s="25" t="s">
        <v>1195</v>
      </c>
      <c r="C14" s="25" t="s">
        <v>1200</v>
      </c>
      <c r="D14" s="24" t="s">
        <v>1201</v>
      </c>
      <c r="E14" s="24" t="s">
        <v>1185</v>
      </c>
      <c r="F14" s="24" t="s">
        <v>222</v>
      </c>
    </row>
    <row r="15">
      <c r="A15" s="9">
        <v>9.0</v>
      </c>
      <c r="B15" s="36" t="s">
        <v>1195</v>
      </c>
      <c r="C15" s="11" t="s">
        <v>1202</v>
      </c>
      <c r="D15" s="9" t="s">
        <v>1203</v>
      </c>
      <c r="E15" s="9" t="s">
        <v>1185</v>
      </c>
      <c r="F15" s="54" t="s">
        <v>222</v>
      </c>
    </row>
    <row r="16">
      <c r="A16" s="24">
        <v>10.0</v>
      </c>
      <c r="B16" s="25" t="s">
        <v>1195</v>
      </c>
      <c r="C16" s="25" t="s">
        <v>1204</v>
      </c>
      <c r="D16" s="24" t="s">
        <v>1205</v>
      </c>
      <c r="E16" s="24" t="s">
        <v>1185</v>
      </c>
      <c r="F16" s="24" t="s">
        <v>222</v>
      </c>
    </row>
    <row r="17">
      <c r="A17" s="9">
        <v>11.0</v>
      </c>
      <c r="B17" s="36" t="s">
        <v>1195</v>
      </c>
      <c r="C17" s="11" t="s">
        <v>1206</v>
      </c>
      <c r="D17" s="9" t="s">
        <v>1207</v>
      </c>
      <c r="E17" s="9" t="s">
        <v>1185</v>
      </c>
      <c r="F17" s="54" t="s">
        <v>222</v>
      </c>
    </row>
    <row r="18">
      <c r="A18" s="24">
        <v>12.0</v>
      </c>
      <c r="B18" s="25" t="s">
        <v>1195</v>
      </c>
      <c r="C18" s="25" t="s">
        <v>1208</v>
      </c>
      <c r="D18" s="24" t="s">
        <v>1209</v>
      </c>
      <c r="E18" s="24" t="s">
        <v>1185</v>
      </c>
      <c r="F18" s="24" t="s">
        <v>222</v>
      </c>
    </row>
    <row r="19">
      <c r="A19" s="9">
        <v>13.0</v>
      </c>
      <c r="B19" s="39" t="s">
        <v>1210</v>
      </c>
      <c r="C19" s="11" t="s">
        <v>1211</v>
      </c>
      <c r="D19" s="9" t="s">
        <v>1212</v>
      </c>
      <c r="E19" s="9" t="s">
        <v>1185</v>
      </c>
      <c r="F19" s="54" t="s">
        <v>222</v>
      </c>
    </row>
    <row r="20">
      <c r="A20" s="24">
        <v>14.0</v>
      </c>
      <c r="B20" s="25" t="s">
        <v>1210</v>
      </c>
      <c r="C20" s="25" t="s">
        <v>1215</v>
      </c>
      <c r="D20" s="24" t="s">
        <v>1216</v>
      </c>
      <c r="E20" s="24" t="s">
        <v>1185</v>
      </c>
      <c r="F20" s="24" t="s">
        <v>222</v>
      </c>
    </row>
    <row r="21" ht="15.75" customHeight="1">
      <c r="A21" s="9">
        <v>15.0</v>
      </c>
      <c r="B21" s="39" t="s">
        <v>1210</v>
      </c>
      <c r="C21" s="11" t="s">
        <v>1221</v>
      </c>
      <c r="D21" s="9" t="s">
        <v>1223</v>
      </c>
      <c r="E21" s="9" t="s">
        <v>1185</v>
      </c>
      <c r="F21" s="54" t="s">
        <v>222</v>
      </c>
    </row>
    <row r="22" ht="15.75" customHeight="1">
      <c r="A22" s="24">
        <v>16.0</v>
      </c>
      <c r="B22" s="25" t="s">
        <v>1210</v>
      </c>
      <c r="C22" s="25" t="s">
        <v>1224</v>
      </c>
      <c r="D22" s="24" t="s">
        <v>1225</v>
      </c>
      <c r="E22" s="24" t="s">
        <v>1185</v>
      </c>
      <c r="F22" s="24" t="s">
        <v>222</v>
      </c>
    </row>
    <row r="23" ht="15.75" customHeight="1">
      <c r="A23" s="9">
        <v>17.0</v>
      </c>
      <c r="B23" s="39" t="s">
        <v>1210</v>
      </c>
      <c r="C23" s="11" t="s">
        <v>1227</v>
      </c>
      <c r="D23" s="9" t="s">
        <v>1228</v>
      </c>
      <c r="E23" s="9" t="s">
        <v>1185</v>
      </c>
      <c r="F23" s="54" t="s">
        <v>222</v>
      </c>
    </row>
    <row r="24" ht="15.75" customHeight="1">
      <c r="A24" s="24">
        <v>18.0</v>
      </c>
      <c r="B24" s="25" t="s">
        <v>1229</v>
      </c>
      <c r="C24" s="25" t="s">
        <v>1230</v>
      </c>
      <c r="D24" s="24" t="s">
        <v>1231</v>
      </c>
      <c r="E24" s="24" t="s">
        <v>1179</v>
      </c>
      <c r="F24" s="24" t="s">
        <v>222</v>
      </c>
    </row>
    <row r="25" ht="15.75" customHeight="1">
      <c r="A25" s="9">
        <v>19.0</v>
      </c>
      <c r="B25" s="25" t="s">
        <v>1229</v>
      </c>
      <c r="C25" s="11" t="s">
        <v>1233</v>
      </c>
      <c r="D25" s="9" t="s">
        <v>1234</v>
      </c>
      <c r="E25" s="9" t="s">
        <v>1179</v>
      </c>
      <c r="F25" s="54" t="s">
        <v>222</v>
      </c>
    </row>
    <row r="26" ht="15.75" customHeight="1">
      <c r="A26" s="24">
        <v>20.0</v>
      </c>
      <c r="B26" s="25" t="s">
        <v>1229</v>
      </c>
      <c r="C26" s="25" t="s">
        <v>1238</v>
      </c>
      <c r="D26" s="24" t="s">
        <v>1239</v>
      </c>
      <c r="E26" s="24" t="s">
        <v>1179</v>
      </c>
      <c r="F26" s="24" t="s">
        <v>222</v>
      </c>
    </row>
    <row r="27" ht="15.75" customHeight="1">
      <c r="A27" s="9">
        <v>21.0</v>
      </c>
      <c r="B27" s="25" t="s">
        <v>1229</v>
      </c>
      <c r="C27" s="11" t="s">
        <v>1240</v>
      </c>
      <c r="D27" s="9" t="s">
        <v>1241</v>
      </c>
      <c r="E27" s="9" t="s">
        <v>1185</v>
      </c>
      <c r="F27" s="54" t="s">
        <v>222</v>
      </c>
    </row>
    <row r="28" ht="15.75" customHeight="1">
      <c r="A28" s="24">
        <v>22.0</v>
      </c>
      <c r="B28" s="25" t="s">
        <v>1229</v>
      </c>
      <c r="C28" s="25" t="s">
        <v>1243</v>
      </c>
      <c r="D28" s="24" t="s">
        <v>1244</v>
      </c>
      <c r="E28" s="24" t="s">
        <v>1179</v>
      </c>
      <c r="F28" s="24" t="s">
        <v>222</v>
      </c>
    </row>
    <row r="29" ht="15.75" customHeight="1"/>
    <row r="30" ht="15.75" customHeight="1"/>
    <row r="31" ht="21.75" customHeight="1">
      <c r="A31" s="26" t="s">
        <v>1248</v>
      </c>
      <c r="B31" s="2"/>
      <c r="C31" s="2"/>
      <c r="D31" s="2"/>
      <c r="E31" s="2"/>
      <c r="F31" s="3"/>
    </row>
    <row r="32" ht="34.5" customHeight="1">
      <c r="A32" s="29" t="s">
        <v>1254</v>
      </c>
      <c r="B32" s="30" t="s">
        <v>1256</v>
      </c>
      <c r="C32" s="2"/>
      <c r="D32" s="2"/>
      <c r="E32" s="2"/>
      <c r="F32" s="3"/>
    </row>
    <row r="33" ht="23.25" customHeight="1">
      <c r="A33" s="27" t="s">
        <v>1259</v>
      </c>
      <c r="B33" s="28" t="s">
        <v>1262</v>
      </c>
      <c r="C33" s="2"/>
      <c r="D33" s="2"/>
      <c r="E33" s="2"/>
      <c r="F33" s="3"/>
    </row>
    <row r="34" ht="23.25" customHeight="1">
      <c r="A34" s="5" t="s">
        <v>1267</v>
      </c>
      <c r="B34" s="8" t="s">
        <v>1270</v>
      </c>
      <c r="C34" s="2"/>
      <c r="D34" s="2"/>
      <c r="E34" s="2"/>
      <c r="F34" s="3"/>
    </row>
    <row r="35" ht="15.75" customHeight="1"/>
    <row r="36" ht="30.0" customHeight="1">
      <c r="A36" s="6" t="s">
        <v>1275</v>
      </c>
      <c r="B36" s="6" t="s">
        <v>1277</v>
      </c>
      <c r="C36" s="6" t="s">
        <v>1279</v>
      </c>
      <c r="D36" s="6" t="s">
        <v>382</v>
      </c>
      <c r="E36" s="6"/>
      <c r="F36" s="6"/>
    </row>
    <row r="37" ht="15.75" customHeight="1">
      <c r="A37" s="11" t="s">
        <v>60</v>
      </c>
      <c r="B37" s="9" t="s">
        <v>1283</v>
      </c>
      <c r="C37" s="25" t="s">
        <v>1285</v>
      </c>
      <c r="D37" s="9" t="s">
        <v>1286</v>
      </c>
    </row>
    <row r="38" ht="15.75" customHeight="1">
      <c r="A38" s="25" t="s">
        <v>148</v>
      </c>
      <c r="B38" s="24" t="s">
        <v>1289</v>
      </c>
      <c r="C38" s="25" t="s">
        <v>1291</v>
      </c>
      <c r="D38" s="24" t="s">
        <v>1293</v>
      </c>
    </row>
    <row r="39" ht="15.75" customHeight="1">
      <c r="A39" s="11" t="s">
        <v>186</v>
      </c>
      <c r="B39" s="9" t="s">
        <v>1294</v>
      </c>
      <c r="C39" s="36" t="s">
        <v>1296</v>
      </c>
      <c r="D39" s="9" t="s">
        <v>1299</v>
      </c>
    </row>
    <row r="40" ht="15.75" customHeight="1">
      <c r="A40" s="25" t="s">
        <v>210</v>
      </c>
      <c r="B40" s="24" t="s">
        <v>1301</v>
      </c>
      <c r="C40" s="25" t="s">
        <v>1285</v>
      </c>
      <c r="D40" s="24" t="s">
        <v>1286</v>
      </c>
    </row>
    <row r="41" ht="15.75" customHeight="1">
      <c r="A41" s="11" t="s">
        <v>215</v>
      </c>
      <c r="B41" s="9" t="s">
        <v>1305</v>
      </c>
      <c r="C41" s="25" t="s">
        <v>1285</v>
      </c>
      <c r="D41" s="9" t="s">
        <v>1286</v>
      </c>
    </row>
    <row r="42" ht="15.75" customHeight="1">
      <c r="A42" s="25" t="s">
        <v>217</v>
      </c>
      <c r="B42" s="24" t="s">
        <v>1307</v>
      </c>
      <c r="C42" s="25" t="s">
        <v>1285</v>
      </c>
      <c r="D42" s="24" t="s">
        <v>1286</v>
      </c>
    </row>
    <row r="43" ht="15.75" customHeight="1">
      <c r="A43" s="11" t="s">
        <v>219</v>
      </c>
      <c r="B43" s="9" t="s">
        <v>1315</v>
      </c>
      <c r="C43" s="25" t="s">
        <v>1285</v>
      </c>
      <c r="D43" s="9" t="s">
        <v>1286</v>
      </c>
    </row>
    <row r="44" ht="15.75" customHeight="1">
      <c r="A44" s="25" t="s">
        <v>221</v>
      </c>
      <c r="B44" s="24" t="s">
        <v>1323</v>
      </c>
      <c r="C44" s="25" t="s">
        <v>1285</v>
      </c>
      <c r="D44" s="24" t="s">
        <v>1286</v>
      </c>
    </row>
    <row r="45" ht="15.75" customHeight="1">
      <c r="A45" s="11" t="s">
        <v>234</v>
      </c>
      <c r="B45" s="9" t="s">
        <v>1327</v>
      </c>
      <c r="C45" s="25" t="s">
        <v>1285</v>
      </c>
      <c r="D45" s="9" t="s">
        <v>1286</v>
      </c>
    </row>
    <row r="46" ht="15.75" customHeight="1">
      <c r="A46" s="25" t="s">
        <v>243</v>
      </c>
      <c r="B46" s="24" t="s">
        <v>1332</v>
      </c>
      <c r="C46" s="25" t="s">
        <v>1333</v>
      </c>
      <c r="D46" s="24" t="s">
        <v>1334</v>
      </c>
    </row>
    <row r="47" ht="15.75" customHeight="1">
      <c r="A47" s="11" t="s">
        <v>255</v>
      </c>
      <c r="B47" s="9" t="s">
        <v>1338</v>
      </c>
      <c r="C47" s="39" t="s">
        <v>1291</v>
      </c>
      <c r="D47" s="9" t="s">
        <v>1340</v>
      </c>
    </row>
    <row r="48" ht="15.75" customHeight="1">
      <c r="A48" s="25" t="s">
        <v>301</v>
      </c>
      <c r="B48" s="24" t="s">
        <v>1342</v>
      </c>
      <c r="C48" s="25" t="s">
        <v>1333</v>
      </c>
      <c r="D48" s="24" t="s">
        <v>1345</v>
      </c>
    </row>
    <row r="49" ht="15.75" customHeight="1">
      <c r="A49" s="11" t="s">
        <v>380</v>
      </c>
      <c r="B49" s="9" t="s">
        <v>1347</v>
      </c>
      <c r="C49" s="13" t="s">
        <v>1333</v>
      </c>
      <c r="D49" s="9" t="s">
        <v>1350</v>
      </c>
    </row>
    <row r="50" ht="15.75" customHeight="1">
      <c r="A50" s="25" t="s">
        <v>403</v>
      </c>
      <c r="B50" s="24" t="s">
        <v>1353</v>
      </c>
      <c r="C50" s="25" t="s">
        <v>1285</v>
      </c>
      <c r="D50" s="24" t="s">
        <v>1286</v>
      </c>
    </row>
    <row r="51" ht="15.75" customHeight="1">
      <c r="A51" s="11" t="s">
        <v>422</v>
      </c>
      <c r="B51" s="9" t="s">
        <v>1357</v>
      </c>
      <c r="C51" s="25" t="s">
        <v>1285</v>
      </c>
      <c r="D51" s="9" t="s">
        <v>1286</v>
      </c>
    </row>
    <row r="52" ht="15.75" customHeight="1">
      <c r="A52" s="25" t="s">
        <v>430</v>
      </c>
      <c r="B52" s="24" t="s">
        <v>1361</v>
      </c>
      <c r="C52" s="25" t="s">
        <v>1291</v>
      </c>
      <c r="D52" s="24" t="s">
        <v>1364</v>
      </c>
    </row>
    <row r="53" ht="15.75" customHeight="1">
      <c r="A53" s="11" t="s">
        <v>445</v>
      </c>
      <c r="B53" s="9" t="s">
        <v>1368</v>
      </c>
      <c r="C53" s="36" t="s">
        <v>1296</v>
      </c>
      <c r="D53" s="9" t="s">
        <v>1370</v>
      </c>
    </row>
    <row r="54" ht="15.75" customHeight="1">
      <c r="A54" s="25" t="s">
        <v>454</v>
      </c>
      <c r="B54" s="24" t="s">
        <v>1376</v>
      </c>
      <c r="C54" s="25" t="s">
        <v>1296</v>
      </c>
      <c r="D54" s="24" t="s">
        <v>1378</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F1"/>
    <mergeCell ref="A2:F2"/>
    <mergeCell ref="B4:F4"/>
    <mergeCell ref="A31:F31"/>
    <mergeCell ref="B32:F32"/>
    <mergeCell ref="B33:F33"/>
    <mergeCell ref="B34:F34"/>
  </mergeCells>
  <dataValidations>
    <dataValidation type="list" allowBlank="1" sqref="F7:F28">
      <formula1>"Not started,In progress,Done,Blocked"</formula1>
    </dataValidation>
  </dataValidations>
  <printOptions/>
  <pageMargins bottom="1.0" footer="0.0" header="0.0" left="0.75" right="0.75" top="1.0"/>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6.0"/>
    <col customWidth="1" min="2" max="2" width="20.0"/>
    <col customWidth="1" min="3" max="3" width="62.0"/>
    <col customWidth="1" min="4" max="4" width="56.0"/>
    <col customWidth="1" min="5" max="5" width="46.0"/>
    <col customWidth="1" min="6" max="6" width="76.0"/>
    <col customWidth="1" min="7" max="26" width="8.71"/>
  </cols>
  <sheetData>
    <row r="1" ht="31.5" customHeight="1">
      <c r="A1" s="1" t="s">
        <v>1213</v>
      </c>
      <c r="B1" s="2"/>
      <c r="C1" s="2"/>
      <c r="D1" s="2"/>
      <c r="E1" s="2"/>
      <c r="F1" s="3"/>
    </row>
    <row r="2" ht="19.5" customHeight="1">
      <c r="A2" s="4" t="s">
        <v>1226</v>
      </c>
      <c r="B2" s="2"/>
      <c r="C2" s="2"/>
      <c r="D2" s="2"/>
      <c r="E2" s="2"/>
      <c r="F2" s="3"/>
    </row>
    <row r="4" ht="30.0" customHeight="1">
      <c r="A4" s="6" t="s">
        <v>26</v>
      </c>
      <c r="B4" s="6" t="s">
        <v>1232</v>
      </c>
      <c r="C4" s="6" t="s">
        <v>1235</v>
      </c>
      <c r="D4" s="6" t="s">
        <v>920</v>
      </c>
      <c r="E4" s="6" t="s">
        <v>1236</v>
      </c>
      <c r="F4" s="6" t="s">
        <v>1237</v>
      </c>
    </row>
    <row r="5">
      <c r="A5" s="15">
        <v>1.0</v>
      </c>
      <c r="B5" s="55" t="s">
        <v>1125</v>
      </c>
      <c r="C5" s="56" t="s">
        <v>1242</v>
      </c>
      <c r="D5" s="15" t="s">
        <v>1245</v>
      </c>
      <c r="E5" s="15" t="s">
        <v>1246</v>
      </c>
      <c r="F5" s="15" t="s">
        <v>1247</v>
      </c>
    </row>
    <row r="6">
      <c r="A6" s="57">
        <v>2.0</v>
      </c>
      <c r="B6" s="55" t="s">
        <v>1125</v>
      </c>
      <c r="C6" s="58" t="s">
        <v>1257</v>
      </c>
      <c r="D6" s="57" t="s">
        <v>1258</v>
      </c>
      <c r="E6" s="57" t="s">
        <v>1260</v>
      </c>
      <c r="F6" s="57" t="s">
        <v>1261</v>
      </c>
    </row>
    <row r="7">
      <c r="A7" s="15">
        <v>3.0</v>
      </c>
      <c r="B7" s="55" t="s">
        <v>1125</v>
      </c>
      <c r="C7" s="56" t="s">
        <v>1263</v>
      </c>
      <c r="D7" s="15" t="s">
        <v>1264</v>
      </c>
      <c r="E7" s="15" t="s">
        <v>1265</v>
      </c>
      <c r="F7" s="15" t="s">
        <v>1266</v>
      </c>
    </row>
    <row r="8">
      <c r="A8" s="57">
        <v>4.0</v>
      </c>
      <c r="B8" s="55" t="s">
        <v>1125</v>
      </c>
      <c r="C8" s="58" t="s">
        <v>1268</v>
      </c>
      <c r="D8" s="57" t="s">
        <v>1269</v>
      </c>
      <c r="E8" s="57" t="s">
        <v>1271</v>
      </c>
      <c r="F8" s="57" t="s">
        <v>1272</v>
      </c>
    </row>
    <row r="9">
      <c r="A9" s="15">
        <v>5.0</v>
      </c>
      <c r="B9" s="55" t="s">
        <v>1125</v>
      </c>
      <c r="C9" s="56" t="s">
        <v>1273</v>
      </c>
      <c r="D9" s="15" t="s">
        <v>1274</v>
      </c>
      <c r="E9" s="15" t="s">
        <v>1276</v>
      </c>
      <c r="F9" s="15" t="s">
        <v>1278</v>
      </c>
    </row>
    <row r="10">
      <c r="A10" s="57">
        <v>6.0</v>
      </c>
      <c r="B10" s="55" t="s">
        <v>1125</v>
      </c>
      <c r="C10" s="58" t="s">
        <v>1280</v>
      </c>
      <c r="D10" s="57" t="s">
        <v>1281</v>
      </c>
      <c r="E10" s="57" t="s">
        <v>1282</v>
      </c>
      <c r="F10" s="57" t="s">
        <v>1284</v>
      </c>
    </row>
    <row r="11">
      <c r="A11" s="15">
        <v>7.0</v>
      </c>
      <c r="B11" s="55" t="s">
        <v>1125</v>
      </c>
      <c r="C11" s="56" t="s">
        <v>1287</v>
      </c>
      <c r="D11" s="15" t="s">
        <v>1288</v>
      </c>
      <c r="E11" s="15" t="s">
        <v>1290</v>
      </c>
      <c r="F11" s="15" t="s">
        <v>1292</v>
      </c>
    </row>
    <row r="12">
      <c r="A12" s="57">
        <v>8.0</v>
      </c>
      <c r="B12" s="55" t="s">
        <v>1125</v>
      </c>
      <c r="C12" s="58" t="s">
        <v>1295</v>
      </c>
      <c r="D12" s="57" t="s">
        <v>1297</v>
      </c>
      <c r="E12" s="57" t="s">
        <v>1298</v>
      </c>
      <c r="F12" s="57" t="s">
        <v>1300</v>
      </c>
    </row>
    <row r="13">
      <c r="A13" s="15">
        <v>9.0</v>
      </c>
      <c r="B13" s="55" t="s">
        <v>1125</v>
      </c>
      <c r="C13" s="56" t="s">
        <v>1302</v>
      </c>
      <c r="D13" s="15" t="s">
        <v>1303</v>
      </c>
      <c r="E13" s="15" t="s">
        <v>1304</v>
      </c>
      <c r="F13" s="15" t="s">
        <v>1306</v>
      </c>
    </row>
    <row r="14">
      <c r="A14" s="57">
        <v>10.0</v>
      </c>
      <c r="B14" s="55" t="s">
        <v>1125</v>
      </c>
      <c r="C14" s="58" t="s">
        <v>1308</v>
      </c>
      <c r="D14" s="57" t="s">
        <v>1310</v>
      </c>
      <c r="E14" s="57" t="s">
        <v>1311</v>
      </c>
      <c r="F14" s="57" t="s">
        <v>1314</v>
      </c>
    </row>
    <row r="15">
      <c r="A15" s="15">
        <v>11.0</v>
      </c>
      <c r="B15" s="55" t="s">
        <v>1125</v>
      </c>
      <c r="C15" s="56" t="s">
        <v>1319</v>
      </c>
      <c r="D15" s="15" t="s">
        <v>1321</v>
      </c>
      <c r="E15" s="15" t="s">
        <v>1324</v>
      </c>
      <c r="F15" s="15" t="s">
        <v>1326</v>
      </c>
    </row>
    <row r="16">
      <c r="A16" s="57">
        <v>12.0</v>
      </c>
      <c r="B16" s="55" t="s">
        <v>1125</v>
      </c>
      <c r="C16" s="58" t="s">
        <v>1328</v>
      </c>
      <c r="D16" s="57" t="s">
        <v>1329</v>
      </c>
      <c r="E16" s="57" t="s">
        <v>1330</v>
      </c>
      <c r="F16" s="57" t="s">
        <v>1331</v>
      </c>
    </row>
    <row r="17">
      <c r="A17" s="15">
        <v>13.0</v>
      </c>
      <c r="B17" s="55" t="s">
        <v>1125</v>
      </c>
      <c r="C17" s="56" t="s">
        <v>1335</v>
      </c>
      <c r="D17" s="15" t="s">
        <v>1336</v>
      </c>
      <c r="E17" s="15" t="s">
        <v>1337</v>
      </c>
      <c r="F17" s="15" t="s">
        <v>1339</v>
      </c>
    </row>
    <row r="18">
      <c r="A18" s="57">
        <v>14.0</v>
      </c>
      <c r="B18" s="55" t="s">
        <v>1125</v>
      </c>
      <c r="C18" s="58" t="s">
        <v>1341</v>
      </c>
      <c r="D18" s="57" t="s">
        <v>1343</v>
      </c>
      <c r="E18" s="57" t="s">
        <v>1344</v>
      </c>
      <c r="F18" s="57" t="s">
        <v>1346</v>
      </c>
    </row>
    <row r="19">
      <c r="A19" s="15">
        <v>15.0</v>
      </c>
      <c r="B19" s="55" t="s">
        <v>1125</v>
      </c>
      <c r="C19" s="56" t="s">
        <v>1348</v>
      </c>
      <c r="D19" s="15" t="s">
        <v>1349</v>
      </c>
      <c r="E19" s="15" t="s">
        <v>1351</v>
      </c>
      <c r="F19" s="15" t="s">
        <v>1352</v>
      </c>
    </row>
    <row r="20">
      <c r="A20" s="57">
        <v>16.0</v>
      </c>
      <c r="B20" s="55" t="s">
        <v>1125</v>
      </c>
      <c r="C20" s="58" t="s">
        <v>1354</v>
      </c>
      <c r="D20" s="57" t="s">
        <v>1355</v>
      </c>
      <c r="E20" s="57" t="s">
        <v>1356</v>
      </c>
      <c r="F20" s="57" t="s">
        <v>1358</v>
      </c>
    </row>
    <row r="21" ht="15.75" customHeight="1">
      <c r="A21" s="15">
        <v>17.0</v>
      </c>
      <c r="B21" s="55" t="s">
        <v>1125</v>
      </c>
      <c r="C21" s="56" t="s">
        <v>1359</v>
      </c>
      <c r="D21" s="15" t="s">
        <v>1360</v>
      </c>
      <c r="E21" s="15" t="s">
        <v>1362</v>
      </c>
      <c r="F21" s="15" t="s">
        <v>1363</v>
      </c>
    </row>
    <row r="22" ht="15.75" customHeight="1">
      <c r="A22" s="57">
        <v>18.0</v>
      </c>
      <c r="B22" s="55" t="s">
        <v>1125</v>
      </c>
      <c r="C22" s="58" t="s">
        <v>1365</v>
      </c>
      <c r="D22" s="57" t="s">
        <v>1366</v>
      </c>
      <c r="E22" s="57" t="s">
        <v>1367</v>
      </c>
      <c r="F22" s="57" t="s">
        <v>1369</v>
      </c>
    </row>
    <row r="23" ht="15.75" customHeight="1">
      <c r="A23" s="15">
        <v>19.0</v>
      </c>
      <c r="B23" s="55" t="s">
        <v>1371</v>
      </c>
      <c r="C23" s="56" t="s">
        <v>1372</v>
      </c>
      <c r="D23" s="15" t="s">
        <v>1373</v>
      </c>
      <c r="E23" s="15" t="s">
        <v>1374</v>
      </c>
      <c r="F23" s="15" t="s">
        <v>1375</v>
      </c>
    </row>
    <row r="24" ht="15.75" customHeight="1">
      <c r="A24" s="57">
        <v>20.0</v>
      </c>
      <c r="B24" s="55" t="s">
        <v>1371</v>
      </c>
      <c r="C24" s="58" t="s">
        <v>1379</v>
      </c>
      <c r="D24" s="57" t="s">
        <v>1380</v>
      </c>
      <c r="E24" s="57" t="s">
        <v>1382</v>
      </c>
      <c r="F24" s="57" t="s">
        <v>1375</v>
      </c>
    </row>
    <row r="25" ht="15.75" customHeight="1">
      <c r="A25" s="15">
        <v>21.0</v>
      </c>
      <c r="B25" s="55" t="s">
        <v>1371</v>
      </c>
      <c r="C25" s="56" t="s">
        <v>1386</v>
      </c>
      <c r="D25" s="15" t="s">
        <v>1388</v>
      </c>
      <c r="E25" s="15" t="s">
        <v>1389</v>
      </c>
      <c r="F25" s="15" t="s">
        <v>1375</v>
      </c>
    </row>
    <row r="26" ht="15.75" customHeight="1">
      <c r="A26" s="57">
        <v>22.0</v>
      </c>
      <c r="B26" s="55" t="s">
        <v>1371</v>
      </c>
      <c r="C26" s="58" t="s">
        <v>1390</v>
      </c>
      <c r="D26" s="57" t="s">
        <v>1391</v>
      </c>
      <c r="E26" s="57" t="s">
        <v>1392</v>
      </c>
      <c r="F26" s="57" t="s">
        <v>1375</v>
      </c>
    </row>
    <row r="27" ht="15.75" customHeight="1">
      <c r="A27" s="15">
        <v>23.0</v>
      </c>
      <c r="B27" s="55" t="s">
        <v>1371</v>
      </c>
      <c r="C27" s="56" t="s">
        <v>1393</v>
      </c>
      <c r="D27" s="15" t="s">
        <v>1394</v>
      </c>
      <c r="E27" s="15" t="s">
        <v>1395</v>
      </c>
      <c r="F27" s="15" t="s">
        <v>1375</v>
      </c>
    </row>
    <row r="28" ht="15.75" customHeight="1">
      <c r="A28" s="57">
        <v>24.0</v>
      </c>
      <c r="B28" s="55" t="s">
        <v>1371</v>
      </c>
      <c r="C28" s="58" t="s">
        <v>1396</v>
      </c>
      <c r="D28" s="57" t="s">
        <v>1397</v>
      </c>
      <c r="E28" s="57" t="s">
        <v>1398</v>
      </c>
      <c r="F28" s="57" t="s">
        <v>1375</v>
      </c>
    </row>
    <row r="29" ht="15.75" customHeight="1">
      <c r="A29" s="15">
        <v>25.0</v>
      </c>
      <c r="B29" s="55" t="s">
        <v>1371</v>
      </c>
      <c r="C29" s="56" t="s">
        <v>1399</v>
      </c>
      <c r="D29" s="15" t="s">
        <v>1400</v>
      </c>
      <c r="E29" s="15" t="s">
        <v>1401</v>
      </c>
      <c r="F29" s="15" t="s">
        <v>1375</v>
      </c>
    </row>
    <row r="30" ht="15.75" customHeight="1">
      <c r="A30" s="57">
        <v>26.0</v>
      </c>
      <c r="B30" s="55" t="s">
        <v>1371</v>
      </c>
      <c r="C30" s="58" t="s">
        <v>1402</v>
      </c>
      <c r="D30" s="57" t="s">
        <v>1403</v>
      </c>
      <c r="E30" s="57" t="s">
        <v>1404</v>
      </c>
      <c r="F30" s="57" t="s">
        <v>1375</v>
      </c>
    </row>
    <row r="31" ht="15.75" customHeight="1">
      <c r="A31" s="15">
        <v>27.0</v>
      </c>
      <c r="B31" s="55" t="s">
        <v>1371</v>
      </c>
      <c r="C31" s="56" t="s">
        <v>1405</v>
      </c>
      <c r="D31" s="15" t="s">
        <v>1406</v>
      </c>
      <c r="E31" s="15" t="s">
        <v>1407</v>
      </c>
      <c r="F31" s="15" t="s">
        <v>1375</v>
      </c>
    </row>
    <row r="32" ht="15.75" customHeight="1">
      <c r="A32" s="57">
        <v>28.0</v>
      </c>
      <c r="B32" s="55" t="s">
        <v>1371</v>
      </c>
      <c r="C32" s="58" t="s">
        <v>1408</v>
      </c>
      <c r="D32" s="57" t="s">
        <v>1409</v>
      </c>
      <c r="E32" s="57" t="s">
        <v>1410</v>
      </c>
      <c r="F32" s="57" t="s">
        <v>1375</v>
      </c>
    </row>
    <row r="33" ht="15.75" customHeight="1">
      <c r="A33" s="15">
        <v>29.0</v>
      </c>
      <c r="B33" s="55" t="s">
        <v>1371</v>
      </c>
      <c r="C33" s="56" t="s">
        <v>1411</v>
      </c>
      <c r="D33" s="15" t="s">
        <v>1412</v>
      </c>
      <c r="E33" s="15" t="s">
        <v>1413</v>
      </c>
      <c r="F33" s="15" t="s">
        <v>1375</v>
      </c>
    </row>
    <row r="34" ht="15.75" customHeight="1">
      <c r="A34" s="57">
        <v>30.0</v>
      </c>
      <c r="B34" s="55" t="s">
        <v>1371</v>
      </c>
      <c r="C34" s="58" t="s">
        <v>1414</v>
      </c>
      <c r="D34" s="57" t="s">
        <v>1415</v>
      </c>
      <c r="E34" s="57" t="s">
        <v>1416</v>
      </c>
      <c r="F34" s="57" t="s">
        <v>1375</v>
      </c>
    </row>
    <row r="35" ht="15.75" customHeight="1">
      <c r="A35" s="15">
        <v>31.0</v>
      </c>
      <c r="B35" s="55" t="s">
        <v>1371</v>
      </c>
      <c r="C35" s="56" t="s">
        <v>1417</v>
      </c>
      <c r="D35" s="15" t="s">
        <v>1418</v>
      </c>
      <c r="E35" s="15" t="s">
        <v>1419</v>
      </c>
      <c r="F35" s="15" t="s">
        <v>1375</v>
      </c>
    </row>
    <row r="36" ht="15.75" customHeight="1">
      <c r="A36" s="57">
        <v>32.0</v>
      </c>
      <c r="B36" s="55" t="s">
        <v>1371</v>
      </c>
      <c r="C36" s="58" t="s">
        <v>1420</v>
      </c>
      <c r="D36" s="57" t="s">
        <v>1421</v>
      </c>
      <c r="E36" s="57" t="s">
        <v>1422</v>
      </c>
      <c r="F36" s="57" t="s">
        <v>1375</v>
      </c>
    </row>
    <row r="37" ht="15.75" customHeight="1">
      <c r="A37" s="15">
        <v>33.0</v>
      </c>
      <c r="B37" s="55" t="s">
        <v>1371</v>
      </c>
      <c r="C37" s="56" t="s">
        <v>1425</v>
      </c>
      <c r="D37" s="15" t="s">
        <v>1426</v>
      </c>
      <c r="E37" s="15" t="s">
        <v>1428</v>
      </c>
      <c r="F37" s="15" t="s">
        <v>1375</v>
      </c>
    </row>
    <row r="38" ht="15.75" customHeight="1">
      <c r="A38" s="57">
        <v>34.0</v>
      </c>
      <c r="B38" s="55" t="s">
        <v>1371</v>
      </c>
      <c r="C38" s="58" t="s">
        <v>1432</v>
      </c>
      <c r="D38" s="57" t="s">
        <v>1433</v>
      </c>
      <c r="E38" s="57" t="s">
        <v>1434</v>
      </c>
      <c r="F38" s="57" t="s">
        <v>1375</v>
      </c>
    </row>
    <row r="39" ht="15.75" customHeight="1">
      <c r="A39" s="15">
        <v>35.0</v>
      </c>
      <c r="B39" s="55" t="s">
        <v>1371</v>
      </c>
      <c r="C39" s="56" t="s">
        <v>1435</v>
      </c>
      <c r="D39" s="15" t="s">
        <v>1436</v>
      </c>
      <c r="E39" s="15" t="s">
        <v>1437</v>
      </c>
      <c r="F39" s="15" t="s">
        <v>1375</v>
      </c>
    </row>
    <row r="40" ht="15.75" customHeight="1">
      <c r="A40" s="57">
        <v>36.0</v>
      </c>
      <c r="B40" s="55" t="s">
        <v>1371</v>
      </c>
      <c r="C40" s="58" t="s">
        <v>1438</v>
      </c>
      <c r="D40" s="57" t="s">
        <v>1439</v>
      </c>
      <c r="E40" s="57" t="s">
        <v>1440</v>
      </c>
      <c r="F40" s="57" t="s">
        <v>1375</v>
      </c>
    </row>
    <row r="41" ht="15.75" customHeight="1">
      <c r="A41" s="15">
        <v>37.0</v>
      </c>
      <c r="B41" s="55" t="s">
        <v>1371</v>
      </c>
      <c r="C41" s="56" t="s">
        <v>1441</v>
      </c>
      <c r="D41" s="15" t="s">
        <v>1442</v>
      </c>
      <c r="E41" s="15" t="s">
        <v>1443</v>
      </c>
      <c r="F41" s="15" t="s">
        <v>1375</v>
      </c>
    </row>
    <row r="42" ht="15.75" customHeight="1">
      <c r="A42" s="57">
        <v>38.0</v>
      </c>
      <c r="B42" s="55" t="s">
        <v>1371</v>
      </c>
      <c r="C42" s="58" t="s">
        <v>1444</v>
      </c>
      <c r="D42" s="57" t="s">
        <v>1445</v>
      </c>
      <c r="E42" s="57" t="s">
        <v>1446</v>
      </c>
      <c r="F42" s="57" t="s">
        <v>1375</v>
      </c>
    </row>
    <row r="43" ht="15.75" customHeight="1">
      <c r="A43" s="15">
        <v>39.0</v>
      </c>
      <c r="B43" s="55" t="s">
        <v>1371</v>
      </c>
      <c r="C43" s="56" t="s">
        <v>1447</v>
      </c>
      <c r="D43" s="15" t="s">
        <v>1448</v>
      </c>
      <c r="E43" s="15" t="s">
        <v>1449</v>
      </c>
      <c r="F43" s="15" t="s">
        <v>1375</v>
      </c>
    </row>
    <row r="44" ht="15.75" customHeight="1">
      <c r="A44" s="57">
        <v>40.0</v>
      </c>
      <c r="B44" s="55" t="s">
        <v>1371</v>
      </c>
      <c r="C44" s="58" t="s">
        <v>1450</v>
      </c>
      <c r="D44" s="57" t="s">
        <v>1451</v>
      </c>
      <c r="E44" s="57" t="s">
        <v>1452</v>
      </c>
      <c r="F44" s="57" t="s">
        <v>1375</v>
      </c>
    </row>
    <row r="45" ht="15.75" customHeight="1">
      <c r="A45" s="15">
        <v>41.0</v>
      </c>
      <c r="B45" s="55" t="s">
        <v>1371</v>
      </c>
      <c r="C45" s="56" t="s">
        <v>1453</v>
      </c>
      <c r="D45" s="15" t="s">
        <v>1454</v>
      </c>
      <c r="E45" s="15" t="s">
        <v>1455</v>
      </c>
      <c r="F45" s="15" t="s">
        <v>1375</v>
      </c>
    </row>
    <row r="46" ht="15.75" customHeight="1">
      <c r="A46" s="57">
        <v>42.0</v>
      </c>
      <c r="B46" s="55" t="s">
        <v>1371</v>
      </c>
      <c r="C46" s="58" t="s">
        <v>1456</v>
      </c>
      <c r="D46" s="57" t="s">
        <v>1457</v>
      </c>
      <c r="E46" s="57" t="s">
        <v>1458</v>
      </c>
      <c r="F46" s="57" t="s">
        <v>1375</v>
      </c>
    </row>
    <row r="47" ht="15.75" customHeight="1">
      <c r="A47" s="15">
        <v>43.0</v>
      </c>
      <c r="B47" s="55" t="s">
        <v>1371</v>
      </c>
      <c r="C47" s="56" t="s">
        <v>1459</v>
      </c>
      <c r="D47" s="15" t="s">
        <v>1460</v>
      </c>
      <c r="E47" s="15" t="s">
        <v>1461</v>
      </c>
      <c r="F47" s="15" t="s">
        <v>1375</v>
      </c>
    </row>
    <row r="48" ht="15.75" customHeight="1">
      <c r="A48" s="57">
        <v>44.0</v>
      </c>
      <c r="B48" s="55" t="s">
        <v>1371</v>
      </c>
      <c r="C48" s="58" t="s">
        <v>1462</v>
      </c>
      <c r="D48" s="57" t="s">
        <v>1463</v>
      </c>
      <c r="E48" s="57" t="s">
        <v>1464</v>
      </c>
      <c r="F48" s="57" t="s">
        <v>1375</v>
      </c>
    </row>
    <row r="49" ht="15.75" customHeight="1">
      <c r="A49" s="15">
        <v>45.0</v>
      </c>
      <c r="B49" s="55" t="s">
        <v>1371</v>
      </c>
      <c r="C49" s="56" t="s">
        <v>1465</v>
      </c>
      <c r="D49" s="15" t="s">
        <v>1466</v>
      </c>
      <c r="E49" s="15" t="s">
        <v>1467</v>
      </c>
      <c r="F49" s="15" t="s">
        <v>1375</v>
      </c>
    </row>
    <row r="50" ht="15.75" customHeight="1">
      <c r="A50" s="57">
        <v>46.0</v>
      </c>
      <c r="B50" s="55" t="s">
        <v>1371</v>
      </c>
      <c r="C50" s="58" t="s">
        <v>1469</v>
      </c>
      <c r="D50" s="57" t="s">
        <v>1471</v>
      </c>
      <c r="E50" s="57" t="s">
        <v>1472</v>
      </c>
      <c r="F50" s="57" t="s">
        <v>1375</v>
      </c>
    </row>
    <row r="51" ht="15.75" customHeight="1">
      <c r="A51" s="15">
        <v>47.0</v>
      </c>
      <c r="B51" s="55" t="s">
        <v>1371</v>
      </c>
      <c r="C51" s="56" t="s">
        <v>1476</v>
      </c>
      <c r="D51" s="15" t="s">
        <v>1477</v>
      </c>
      <c r="E51" s="15" t="s">
        <v>1480</v>
      </c>
      <c r="F51" s="15" t="s">
        <v>1375</v>
      </c>
    </row>
    <row r="52" ht="15.75" customHeight="1">
      <c r="A52" s="57">
        <v>48.0</v>
      </c>
      <c r="B52" s="55" t="s">
        <v>1371</v>
      </c>
      <c r="C52" s="58" t="s">
        <v>1481</v>
      </c>
      <c r="D52" s="57" t="s">
        <v>1482</v>
      </c>
      <c r="E52" s="57" t="s">
        <v>1483</v>
      </c>
      <c r="F52" s="57" t="s">
        <v>1375</v>
      </c>
    </row>
    <row r="53" ht="15.75" customHeight="1">
      <c r="A53" s="15">
        <v>49.0</v>
      </c>
      <c r="B53" s="55" t="s">
        <v>1371</v>
      </c>
      <c r="C53" s="56" t="s">
        <v>1484</v>
      </c>
      <c r="D53" s="15" t="s">
        <v>1485</v>
      </c>
      <c r="E53" s="15" t="s">
        <v>1486</v>
      </c>
      <c r="F53" s="15" t="s">
        <v>1375</v>
      </c>
    </row>
    <row r="54" ht="15.75" customHeight="1">
      <c r="A54" s="57">
        <v>50.0</v>
      </c>
      <c r="B54" s="55" t="s">
        <v>1371</v>
      </c>
      <c r="C54" s="58" t="s">
        <v>1487</v>
      </c>
      <c r="D54" s="57" t="s">
        <v>1488</v>
      </c>
      <c r="E54" s="57" t="s">
        <v>1489</v>
      </c>
      <c r="F54" s="57" t="s">
        <v>1375</v>
      </c>
    </row>
    <row r="55" ht="15.75" customHeight="1">
      <c r="A55" s="15">
        <v>51.0</v>
      </c>
      <c r="B55" s="55" t="s">
        <v>1371</v>
      </c>
      <c r="C55" s="56" t="s">
        <v>1490</v>
      </c>
      <c r="D55" s="15" t="s">
        <v>1491</v>
      </c>
      <c r="E55" s="15" t="s">
        <v>1492</v>
      </c>
      <c r="F55" s="15" t="s">
        <v>1375</v>
      </c>
    </row>
    <row r="56" ht="15.75" customHeight="1">
      <c r="A56" s="57">
        <v>52.0</v>
      </c>
      <c r="B56" s="55" t="s">
        <v>1371</v>
      </c>
      <c r="C56" s="58" t="s">
        <v>1493</v>
      </c>
      <c r="D56" s="57" t="s">
        <v>1494</v>
      </c>
      <c r="E56" s="57" t="s">
        <v>1496</v>
      </c>
      <c r="F56" s="57" t="s">
        <v>1375</v>
      </c>
    </row>
    <row r="57" ht="15.75" customHeight="1">
      <c r="A57" s="15">
        <v>53.0</v>
      </c>
      <c r="B57" s="55" t="s">
        <v>1371</v>
      </c>
      <c r="C57" s="56" t="s">
        <v>1497</v>
      </c>
      <c r="D57" s="15" t="s">
        <v>1498</v>
      </c>
      <c r="E57" s="15" t="s">
        <v>1499</v>
      </c>
      <c r="F57" s="15" t="s">
        <v>1375</v>
      </c>
    </row>
    <row r="58" ht="15.75" customHeight="1">
      <c r="A58" s="57">
        <v>54.0</v>
      </c>
      <c r="B58" s="55" t="s">
        <v>1371</v>
      </c>
      <c r="C58" s="58" t="s">
        <v>1500</v>
      </c>
      <c r="D58" s="57" t="s">
        <v>1501</v>
      </c>
      <c r="E58" s="57" t="s">
        <v>1502</v>
      </c>
      <c r="F58" s="57" t="s">
        <v>1375</v>
      </c>
    </row>
    <row r="59" ht="15.75" customHeight="1">
      <c r="A59" s="15">
        <v>55.0</v>
      </c>
      <c r="B59" s="55" t="s">
        <v>1503</v>
      </c>
      <c r="C59" s="56" t="s">
        <v>1504</v>
      </c>
      <c r="D59" s="15" t="s">
        <v>1505</v>
      </c>
      <c r="E59" s="15" t="s">
        <v>1506</v>
      </c>
      <c r="F59" s="15" t="s">
        <v>1507</v>
      </c>
    </row>
    <row r="60" ht="15.75" customHeight="1">
      <c r="A60" s="57">
        <v>56.0</v>
      </c>
      <c r="B60" s="55" t="s">
        <v>1503</v>
      </c>
      <c r="C60" s="58" t="s">
        <v>1508</v>
      </c>
      <c r="D60" s="57" t="s">
        <v>1509</v>
      </c>
      <c r="E60" s="57" t="s">
        <v>1510</v>
      </c>
      <c r="F60" s="57" t="s">
        <v>1507</v>
      </c>
    </row>
    <row r="61" ht="15.75" customHeight="1">
      <c r="A61" s="15">
        <v>57.0</v>
      </c>
      <c r="B61" s="55" t="s">
        <v>1503</v>
      </c>
      <c r="C61" s="56" t="s">
        <v>1512</v>
      </c>
      <c r="D61" s="15" t="s">
        <v>1513</v>
      </c>
      <c r="E61" s="15" t="s">
        <v>1514</v>
      </c>
      <c r="F61" s="15" t="s">
        <v>1507</v>
      </c>
    </row>
    <row r="62" ht="15.75" customHeight="1">
      <c r="A62" s="57">
        <v>58.0</v>
      </c>
      <c r="B62" s="55" t="s">
        <v>1503</v>
      </c>
      <c r="C62" s="58" t="s">
        <v>1516</v>
      </c>
      <c r="D62" s="57" t="s">
        <v>1517</v>
      </c>
      <c r="E62" s="57" t="s">
        <v>1518</v>
      </c>
      <c r="F62" s="57" t="s">
        <v>1507</v>
      </c>
    </row>
    <row r="63" ht="15.75" customHeight="1">
      <c r="A63" s="15">
        <v>59.0</v>
      </c>
      <c r="B63" s="55" t="s">
        <v>1503</v>
      </c>
      <c r="C63" s="56" t="s">
        <v>1520</v>
      </c>
      <c r="D63" s="15" t="s">
        <v>1521</v>
      </c>
      <c r="E63" s="15" t="s">
        <v>1523</v>
      </c>
      <c r="F63" s="15" t="s">
        <v>1507</v>
      </c>
    </row>
    <row r="64" ht="15.75" customHeight="1">
      <c r="A64" s="57">
        <v>60.0</v>
      </c>
      <c r="B64" s="55" t="s">
        <v>1503</v>
      </c>
      <c r="C64" s="58" t="s">
        <v>1527</v>
      </c>
      <c r="D64" s="57" t="s">
        <v>1529</v>
      </c>
      <c r="E64" s="57" t="s">
        <v>1530</v>
      </c>
      <c r="F64" s="57" t="s">
        <v>1507</v>
      </c>
    </row>
    <row r="65" ht="15.75" customHeight="1">
      <c r="A65" s="15">
        <v>61.0</v>
      </c>
      <c r="B65" s="55" t="s">
        <v>1503</v>
      </c>
      <c r="C65" s="56" t="s">
        <v>1532</v>
      </c>
      <c r="D65" s="15" t="s">
        <v>1533</v>
      </c>
      <c r="E65" s="15" t="s">
        <v>1534</v>
      </c>
      <c r="F65" s="15" t="s">
        <v>1507</v>
      </c>
    </row>
    <row r="66" ht="15.75" customHeight="1">
      <c r="A66" s="57">
        <v>62.0</v>
      </c>
      <c r="B66" s="55" t="s">
        <v>1503</v>
      </c>
      <c r="C66" s="58" t="s">
        <v>1536</v>
      </c>
      <c r="D66" s="57" t="s">
        <v>1537</v>
      </c>
      <c r="E66" s="57" t="s">
        <v>1538</v>
      </c>
      <c r="F66" s="57" t="s">
        <v>1507</v>
      </c>
    </row>
    <row r="67" ht="15.75" customHeight="1">
      <c r="A67" s="15">
        <v>63.0</v>
      </c>
      <c r="B67" s="55" t="s">
        <v>1503</v>
      </c>
      <c r="C67" s="56" t="s">
        <v>1540</v>
      </c>
      <c r="D67" s="15" t="s">
        <v>1542</v>
      </c>
      <c r="E67" s="15" t="s">
        <v>1543</v>
      </c>
      <c r="F67" s="15" t="s">
        <v>1507</v>
      </c>
    </row>
    <row r="68" ht="15.75" customHeight="1">
      <c r="A68" s="57">
        <v>64.0</v>
      </c>
      <c r="B68" s="55" t="s">
        <v>1503</v>
      </c>
      <c r="C68" s="58" t="s">
        <v>1547</v>
      </c>
      <c r="D68" s="57" t="s">
        <v>1549</v>
      </c>
      <c r="E68" s="57" t="s">
        <v>1550</v>
      </c>
      <c r="F68" s="57" t="s">
        <v>1507</v>
      </c>
    </row>
    <row r="69" ht="15.75" customHeight="1">
      <c r="A69" s="15">
        <v>65.0</v>
      </c>
      <c r="B69" s="55" t="s">
        <v>1503</v>
      </c>
      <c r="C69" s="56" t="s">
        <v>1551</v>
      </c>
      <c r="D69" s="15" t="s">
        <v>1552</v>
      </c>
      <c r="E69" s="15" t="s">
        <v>1553</v>
      </c>
      <c r="F69" s="15" t="s">
        <v>1507</v>
      </c>
    </row>
    <row r="70" ht="15.75" customHeight="1">
      <c r="A70" s="57">
        <v>66.0</v>
      </c>
      <c r="B70" s="55" t="s">
        <v>1503</v>
      </c>
      <c r="C70" s="58" t="s">
        <v>1554</v>
      </c>
      <c r="D70" s="57" t="s">
        <v>1556</v>
      </c>
      <c r="E70" s="57" t="s">
        <v>1557</v>
      </c>
      <c r="F70" s="57" t="s">
        <v>1507</v>
      </c>
    </row>
    <row r="71" ht="15.75" customHeight="1">
      <c r="A71" s="15">
        <v>67.0</v>
      </c>
      <c r="B71" s="55" t="s">
        <v>1503</v>
      </c>
      <c r="C71" s="56" t="s">
        <v>1559</v>
      </c>
      <c r="D71" s="15" t="s">
        <v>1561</v>
      </c>
      <c r="E71" s="15" t="s">
        <v>1562</v>
      </c>
      <c r="F71" s="15" t="s">
        <v>1507</v>
      </c>
    </row>
    <row r="72" ht="15.75" customHeight="1">
      <c r="A72" s="57">
        <v>68.0</v>
      </c>
      <c r="B72" s="55" t="s">
        <v>1503</v>
      </c>
      <c r="C72" s="58" t="s">
        <v>1565</v>
      </c>
      <c r="D72" s="57" t="s">
        <v>1566</v>
      </c>
      <c r="E72" s="57" t="s">
        <v>1567</v>
      </c>
      <c r="F72" s="57" t="s">
        <v>1507</v>
      </c>
    </row>
    <row r="73" ht="15.75" customHeight="1">
      <c r="A73" s="15">
        <v>69.0</v>
      </c>
      <c r="B73" s="55" t="s">
        <v>1503</v>
      </c>
      <c r="C73" s="56" t="s">
        <v>1569</v>
      </c>
      <c r="D73" s="15" t="s">
        <v>1570</v>
      </c>
      <c r="E73" s="15" t="s">
        <v>1571</v>
      </c>
      <c r="F73" s="15" t="s">
        <v>1507</v>
      </c>
    </row>
    <row r="74" ht="15.75" customHeight="1">
      <c r="A74" s="57">
        <v>70.0</v>
      </c>
      <c r="B74" s="55" t="s">
        <v>1503</v>
      </c>
      <c r="C74" s="58" t="s">
        <v>1572</v>
      </c>
      <c r="D74" s="57" t="s">
        <v>1573</v>
      </c>
      <c r="E74" s="57" t="s">
        <v>1574</v>
      </c>
      <c r="F74" s="57" t="s">
        <v>1507</v>
      </c>
    </row>
    <row r="75" ht="15.75" customHeight="1">
      <c r="A75" s="15">
        <v>71.0</v>
      </c>
      <c r="B75" s="55" t="s">
        <v>1503</v>
      </c>
      <c r="C75" s="56" t="s">
        <v>1575</v>
      </c>
      <c r="D75" s="15" t="s">
        <v>1576</v>
      </c>
      <c r="E75" s="15" t="s">
        <v>1578</v>
      </c>
      <c r="F75" s="15" t="s">
        <v>1507</v>
      </c>
    </row>
    <row r="76" ht="15.75" customHeight="1">
      <c r="A76" s="57">
        <v>72.0</v>
      </c>
      <c r="B76" s="55" t="s">
        <v>1503</v>
      </c>
      <c r="C76" s="58" t="s">
        <v>1579</v>
      </c>
      <c r="D76" s="57" t="s">
        <v>1581</v>
      </c>
      <c r="E76" s="57" t="s">
        <v>1582</v>
      </c>
      <c r="F76" s="57" t="s">
        <v>1507</v>
      </c>
    </row>
    <row r="77" ht="15.75" customHeight="1">
      <c r="A77" s="15">
        <v>73.0</v>
      </c>
      <c r="B77" s="55" t="s">
        <v>1503</v>
      </c>
      <c r="C77" s="56" t="s">
        <v>1584</v>
      </c>
      <c r="D77" s="15" t="s">
        <v>1585</v>
      </c>
      <c r="E77" s="15" t="s">
        <v>1586</v>
      </c>
      <c r="F77" s="15" t="s">
        <v>1507</v>
      </c>
    </row>
    <row r="78" ht="15.75" customHeight="1">
      <c r="A78" s="57">
        <v>74.0</v>
      </c>
      <c r="B78" s="55" t="s">
        <v>1503</v>
      </c>
      <c r="C78" s="58" t="s">
        <v>1587</v>
      </c>
      <c r="D78" s="57" t="s">
        <v>1588</v>
      </c>
      <c r="E78" s="57" t="s">
        <v>1589</v>
      </c>
      <c r="F78" s="57" t="s">
        <v>1507</v>
      </c>
    </row>
    <row r="79" ht="15.75" customHeight="1">
      <c r="A79" s="15">
        <v>75.0</v>
      </c>
      <c r="B79" s="55" t="s">
        <v>1503</v>
      </c>
      <c r="C79" s="56" t="s">
        <v>1591</v>
      </c>
      <c r="D79" s="15" t="s">
        <v>1592</v>
      </c>
      <c r="E79" s="15" t="s">
        <v>1593</v>
      </c>
      <c r="F79" s="15" t="s">
        <v>1507</v>
      </c>
    </row>
    <row r="80" ht="15.75" customHeight="1">
      <c r="A80" s="57">
        <v>76.0</v>
      </c>
      <c r="B80" s="55" t="s">
        <v>1503</v>
      </c>
      <c r="C80" s="58" t="s">
        <v>1597</v>
      </c>
      <c r="D80" s="57" t="s">
        <v>1601</v>
      </c>
      <c r="E80" s="57" t="s">
        <v>1603</v>
      </c>
      <c r="F80" s="57" t="s">
        <v>1507</v>
      </c>
    </row>
    <row r="81" ht="15.75" customHeight="1">
      <c r="A81" s="15">
        <v>77.0</v>
      </c>
      <c r="B81" s="55" t="s">
        <v>1503</v>
      </c>
      <c r="C81" s="56" t="s">
        <v>1606</v>
      </c>
      <c r="D81" s="15" t="s">
        <v>1607</v>
      </c>
      <c r="E81" s="15" t="s">
        <v>1608</v>
      </c>
      <c r="F81" s="15" t="s">
        <v>1507</v>
      </c>
    </row>
    <row r="82" ht="15.75" customHeight="1">
      <c r="A82" s="57">
        <v>78.0</v>
      </c>
      <c r="B82" s="55" t="s">
        <v>1503</v>
      </c>
      <c r="C82" s="58" t="s">
        <v>1610</v>
      </c>
      <c r="D82" s="57" t="s">
        <v>1612</v>
      </c>
      <c r="E82" s="57" t="s">
        <v>1613</v>
      </c>
      <c r="F82" s="57" t="s">
        <v>1507</v>
      </c>
    </row>
    <row r="83" ht="15.75" customHeight="1">
      <c r="A83" s="15">
        <v>79.0</v>
      </c>
      <c r="B83" s="55" t="s">
        <v>1503</v>
      </c>
      <c r="C83" s="56" t="s">
        <v>1616</v>
      </c>
      <c r="D83" s="15" t="s">
        <v>1617</v>
      </c>
      <c r="E83" s="15" t="s">
        <v>1618</v>
      </c>
      <c r="F83" s="15" t="s">
        <v>1507</v>
      </c>
    </row>
    <row r="84" ht="15.75" customHeight="1">
      <c r="A84" s="57">
        <v>80.0</v>
      </c>
      <c r="B84" s="55" t="s">
        <v>1503</v>
      </c>
      <c r="C84" s="58" t="s">
        <v>1620</v>
      </c>
      <c r="D84" s="57" t="s">
        <v>1622</v>
      </c>
      <c r="E84" s="57" t="s">
        <v>1624</v>
      </c>
      <c r="F84" s="57" t="s">
        <v>1507</v>
      </c>
    </row>
    <row r="85" ht="15.75" customHeight="1">
      <c r="A85" s="15">
        <v>81.0</v>
      </c>
      <c r="B85" s="55" t="s">
        <v>1503</v>
      </c>
      <c r="C85" s="56" t="s">
        <v>1626</v>
      </c>
      <c r="D85" s="15" t="s">
        <v>1628</v>
      </c>
      <c r="E85" s="15" t="s">
        <v>1629</v>
      </c>
      <c r="F85" s="15" t="s">
        <v>1507</v>
      </c>
    </row>
    <row r="86" ht="15.75" customHeight="1">
      <c r="A86" s="57">
        <v>82.0</v>
      </c>
      <c r="B86" s="55" t="s">
        <v>1503</v>
      </c>
      <c r="C86" s="58" t="s">
        <v>1630</v>
      </c>
      <c r="D86" s="57" t="s">
        <v>1632</v>
      </c>
      <c r="E86" s="57" t="s">
        <v>1633</v>
      </c>
      <c r="F86" s="57" t="s">
        <v>1507</v>
      </c>
    </row>
    <row r="87" ht="15.75" customHeight="1">
      <c r="A87" s="15">
        <v>83.0</v>
      </c>
      <c r="B87" s="55" t="s">
        <v>1503</v>
      </c>
      <c r="C87" s="56" t="s">
        <v>1635</v>
      </c>
      <c r="D87" s="15" t="s">
        <v>1636</v>
      </c>
      <c r="E87" s="15" t="s">
        <v>1637</v>
      </c>
      <c r="F87" s="15" t="s">
        <v>1507</v>
      </c>
    </row>
    <row r="88" ht="15.75" customHeight="1">
      <c r="A88" s="57">
        <v>84.0</v>
      </c>
      <c r="B88" s="55" t="s">
        <v>1503</v>
      </c>
      <c r="C88" s="58" t="s">
        <v>1640</v>
      </c>
      <c r="D88" s="57" t="s">
        <v>1641</v>
      </c>
      <c r="E88" s="57" t="s">
        <v>1642</v>
      </c>
      <c r="F88" s="57" t="s">
        <v>1507</v>
      </c>
    </row>
    <row r="89" ht="15.75" customHeight="1">
      <c r="A89" s="15">
        <v>85.0</v>
      </c>
      <c r="B89" s="55" t="s">
        <v>1503</v>
      </c>
      <c r="C89" s="56" t="s">
        <v>1644</v>
      </c>
      <c r="D89" s="15" t="s">
        <v>1646</v>
      </c>
      <c r="E89" s="15" t="s">
        <v>1647</v>
      </c>
      <c r="F89" s="15" t="s">
        <v>1507</v>
      </c>
    </row>
    <row r="90" ht="15.75" customHeight="1">
      <c r="A90" s="57">
        <v>86.0</v>
      </c>
      <c r="B90" s="55" t="s">
        <v>1503</v>
      </c>
      <c r="C90" s="58" t="s">
        <v>1650</v>
      </c>
      <c r="D90" s="57" t="s">
        <v>1651</v>
      </c>
      <c r="E90" s="57" t="s">
        <v>1653</v>
      </c>
      <c r="F90" s="57" t="s">
        <v>1507</v>
      </c>
    </row>
    <row r="91" ht="15.75" customHeight="1">
      <c r="A91" s="15">
        <v>87.0</v>
      </c>
      <c r="B91" s="55" t="s">
        <v>1503</v>
      </c>
      <c r="C91" s="56" t="s">
        <v>1654</v>
      </c>
      <c r="D91" s="15" t="s">
        <v>1655</v>
      </c>
      <c r="E91" s="15" t="s">
        <v>1658</v>
      </c>
      <c r="F91" s="15" t="s">
        <v>1507</v>
      </c>
    </row>
    <row r="92" ht="15.75" customHeight="1">
      <c r="A92" s="57">
        <v>88.0</v>
      </c>
      <c r="B92" s="55" t="s">
        <v>1503</v>
      </c>
      <c r="C92" s="58" t="s">
        <v>1661</v>
      </c>
      <c r="D92" s="57" t="s">
        <v>1663</v>
      </c>
      <c r="E92" s="57" t="s">
        <v>1665</v>
      </c>
      <c r="F92" s="57" t="s">
        <v>1507</v>
      </c>
    </row>
    <row r="93" ht="15.75" customHeight="1">
      <c r="A93" s="15">
        <v>89.0</v>
      </c>
      <c r="B93" s="55" t="s">
        <v>1503</v>
      </c>
      <c r="C93" s="56" t="s">
        <v>1670</v>
      </c>
      <c r="D93" s="15" t="s">
        <v>1671</v>
      </c>
      <c r="E93" s="15" t="s">
        <v>1672</v>
      </c>
      <c r="F93" s="15" t="s">
        <v>1507</v>
      </c>
    </row>
    <row r="94" ht="15.75" customHeight="1">
      <c r="A94" s="57">
        <v>90.0</v>
      </c>
      <c r="B94" s="55" t="s">
        <v>1503</v>
      </c>
      <c r="C94" s="58" t="s">
        <v>1674</v>
      </c>
      <c r="D94" s="57" t="s">
        <v>1675</v>
      </c>
      <c r="E94" s="57" t="s">
        <v>1676</v>
      </c>
      <c r="F94" s="57" t="s">
        <v>1507</v>
      </c>
    </row>
    <row r="95" ht="15.75" customHeight="1">
      <c r="A95" s="15">
        <v>91.0</v>
      </c>
      <c r="B95" s="55" t="s">
        <v>1503</v>
      </c>
      <c r="C95" s="56" t="s">
        <v>1679</v>
      </c>
      <c r="D95" s="15" t="s">
        <v>1680</v>
      </c>
      <c r="E95" s="15" t="s">
        <v>1682</v>
      </c>
      <c r="F95" s="15" t="s">
        <v>1507</v>
      </c>
    </row>
    <row r="96" ht="15.75" customHeight="1">
      <c r="A96" s="57">
        <v>92.0</v>
      </c>
      <c r="B96" s="55" t="s">
        <v>1503</v>
      </c>
      <c r="C96" s="58" t="s">
        <v>1683</v>
      </c>
      <c r="D96" s="57" t="s">
        <v>1685</v>
      </c>
      <c r="E96" s="57" t="s">
        <v>1686</v>
      </c>
      <c r="F96" s="57" t="s">
        <v>1507</v>
      </c>
    </row>
    <row r="97" ht="15.75" customHeight="1">
      <c r="A97" s="15">
        <v>93.0</v>
      </c>
      <c r="B97" s="55" t="s">
        <v>1503</v>
      </c>
      <c r="C97" s="56" t="s">
        <v>1689</v>
      </c>
      <c r="D97" s="15" t="s">
        <v>1690</v>
      </c>
      <c r="E97" s="15" t="s">
        <v>1691</v>
      </c>
      <c r="F97" s="15" t="s">
        <v>1507</v>
      </c>
    </row>
    <row r="98" ht="15.75" customHeight="1">
      <c r="A98" s="57">
        <v>94.0</v>
      </c>
      <c r="B98" s="55" t="s">
        <v>1503</v>
      </c>
      <c r="C98" s="58" t="s">
        <v>1693</v>
      </c>
      <c r="D98" s="57" t="s">
        <v>1694</v>
      </c>
      <c r="E98" s="57" t="s">
        <v>1695</v>
      </c>
      <c r="F98" s="57" t="s">
        <v>1507</v>
      </c>
    </row>
    <row r="99" ht="15.75" customHeight="1">
      <c r="A99" s="15">
        <v>95.0</v>
      </c>
      <c r="B99" s="55" t="s">
        <v>1503</v>
      </c>
      <c r="C99" s="56" t="s">
        <v>1697</v>
      </c>
      <c r="D99" s="15" t="s">
        <v>1698</v>
      </c>
      <c r="E99" s="15" t="s">
        <v>1699</v>
      </c>
      <c r="F99" s="15" t="s">
        <v>1507</v>
      </c>
    </row>
    <row r="100" ht="15.75" customHeight="1">
      <c r="A100" s="57">
        <v>96.0</v>
      </c>
      <c r="B100" s="55" t="s">
        <v>1503</v>
      </c>
      <c r="C100" s="58" t="s">
        <v>1701</v>
      </c>
      <c r="D100" s="57" t="s">
        <v>1702</v>
      </c>
      <c r="E100" s="57" t="s">
        <v>1703</v>
      </c>
      <c r="F100" s="57" t="s">
        <v>1507</v>
      </c>
    </row>
    <row r="101" ht="15.75" customHeight="1">
      <c r="A101" s="15">
        <v>97.0</v>
      </c>
      <c r="B101" s="55" t="s">
        <v>1503</v>
      </c>
      <c r="C101" s="56" t="s">
        <v>1705</v>
      </c>
      <c r="D101" s="15" t="s">
        <v>1706</v>
      </c>
      <c r="E101" s="15" t="s">
        <v>1708</v>
      </c>
      <c r="F101" s="15" t="s">
        <v>1507</v>
      </c>
    </row>
    <row r="102" ht="15.75" customHeight="1">
      <c r="A102" s="57">
        <v>98.0</v>
      </c>
      <c r="B102" s="55" t="s">
        <v>1503</v>
      </c>
      <c r="C102" s="58" t="s">
        <v>1711</v>
      </c>
      <c r="D102" s="57" t="s">
        <v>1713</v>
      </c>
      <c r="E102" s="57" t="s">
        <v>1714</v>
      </c>
      <c r="F102" s="57" t="s">
        <v>1507</v>
      </c>
    </row>
    <row r="103" ht="15.75" customHeight="1">
      <c r="A103" s="15">
        <v>99.0</v>
      </c>
      <c r="B103" s="55" t="s">
        <v>1503</v>
      </c>
      <c r="C103" s="56" t="s">
        <v>1715</v>
      </c>
      <c r="D103" s="15" t="s">
        <v>1717</v>
      </c>
      <c r="E103" s="15" t="s">
        <v>1720</v>
      </c>
      <c r="F103" s="15" t="s">
        <v>1507</v>
      </c>
    </row>
    <row r="104" ht="15.75" customHeight="1">
      <c r="A104" s="57">
        <v>100.0</v>
      </c>
      <c r="B104" s="55" t="s">
        <v>1503</v>
      </c>
      <c r="C104" s="58" t="s">
        <v>1724</v>
      </c>
      <c r="D104" s="57" t="s">
        <v>1726</v>
      </c>
      <c r="E104" s="57" t="s">
        <v>1729</v>
      </c>
      <c r="F104" s="57" t="s">
        <v>1507</v>
      </c>
    </row>
    <row r="105" ht="15.75" customHeight="1">
      <c r="A105" s="15">
        <v>101.0</v>
      </c>
      <c r="B105" s="55" t="s">
        <v>1503</v>
      </c>
      <c r="C105" s="56" t="s">
        <v>1733</v>
      </c>
      <c r="D105" s="15" t="s">
        <v>1734</v>
      </c>
      <c r="E105" s="15" t="s">
        <v>1736</v>
      </c>
      <c r="F105" s="15" t="s">
        <v>1507</v>
      </c>
    </row>
    <row r="106" ht="15.75" customHeight="1">
      <c r="A106" s="57">
        <v>102.0</v>
      </c>
      <c r="B106" s="55" t="s">
        <v>1503</v>
      </c>
      <c r="C106" s="58" t="s">
        <v>1738</v>
      </c>
      <c r="D106" s="57" t="s">
        <v>1740</v>
      </c>
      <c r="E106" s="57" t="s">
        <v>1741</v>
      </c>
      <c r="F106" s="57" t="s">
        <v>1507</v>
      </c>
    </row>
    <row r="107" ht="15.75" customHeight="1">
      <c r="A107" s="15">
        <v>103.0</v>
      </c>
      <c r="B107" s="55" t="s">
        <v>1503</v>
      </c>
      <c r="C107" s="56" t="s">
        <v>1745</v>
      </c>
      <c r="D107" s="15" t="s">
        <v>1746</v>
      </c>
      <c r="E107" s="15" t="s">
        <v>1747</v>
      </c>
      <c r="F107" s="15" t="s">
        <v>1507</v>
      </c>
    </row>
    <row r="108" ht="15.75" customHeight="1">
      <c r="A108" s="57">
        <v>104.0</v>
      </c>
      <c r="B108" s="55" t="s">
        <v>1503</v>
      </c>
      <c r="C108" s="58" t="s">
        <v>1751</v>
      </c>
      <c r="D108" s="57" t="s">
        <v>1752</v>
      </c>
      <c r="E108" s="57" t="s">
        <v>1753</v>
      </c>
      <c r="F108" s="57" t="s">
        <v>1507</v>
      </c>
    </row>
    <row r="109" ht="15.75" customHeight="1">
      <c r="A109" s="15">
        <v>105.0</v>
      </c>
      <c r="B109" s="55" t="s">
        <v>1503</v>
      </c>
      <c r="C109" s="56" t="s">
        <v>1757</v>
      </c>
      <c r="D109" s="15" t="s">
        <v>1759</v>
      </c>
      <c r="E109" s="15" t="s">
        <v>1761</v>
      </c>
      <c r="F109" s="15" t="s">
        <v>1507</v>
      </c>
    </row>
    <row r="110" ht="15.75" customHeight="1">
      <c r="A110" s="57">
        <v>106.0</v>
      </c>
      <c r="B110" s="55" t="s">
        <v>1503</v>
      </c>
      <c r="C110" s="58" t="s">
        <v>1762</v>
      </c>
      <c r="D110" s="57" t="s">
        <v>1763</v>
      </c>
      <c r="E110" s="57" t="s">
        <v>1765</v>
      </c>
      <c r="F110" s="57" t="s">
        <v>1507</v>
      </c>
    </row>
    <row r="111" ht="15.75" customHeight="1">
      <c r="A111" s="15">
        <v>107.0</v>
      </c>
      <c r="B111" s="55" t="s">
        <v>1503</v>
      </c>
      <c r="C111" s="56" t="s">
        <v>1769</v>
      </c>
      <c r="D111" s="15" t="s">
        <v>1771</v>
      </c>
      <c r="E111" s="15" t="s">
        <v>1773</v>
      </c>
      <c r="F111" s="15" t="s">
        <v>1507</v>
      </c>
    </row>
    <row r="112" ht="15.75" customHeight="1">
      <c r="A112" s="57">
        <v>108.0</v>
      </c>
      <c r="B112" s="55" t="s">
        <v>1503</v>
      </c>
      <c r="C112" s="58" t="s">
        <v>1775</v>
      </c>
      <c r="D112" s="57" t="s">
        <v>1776</v>
      </c>
      <c r="E112" s="57" t="s">
        <v>1777</v>
      </c>
      <c r="F112" s="57" t="s">
        <v>1507</v>
      </c>
    </row>
    <row r="113" ht="15.75" customHeight="1">
      <c r="A113" s="15">
        <v>109.0</v>
      </c>
      <c r="B113" s="55" t="s">
        <v>1503</v>
      </c>
      <c r="C113" s="56" t="s">
        <v>1779</v>
      </c>
      <c r="D113" s="15" t="s">
        <v>1781</v>
      </c>
      <c r="E113" s="15" t="s">
        <v>1782</v>
      </c>
      <c r="F113" s="15" t="s">
        <v>1507</v>
      </c>
    </row>
    <row r="114" ht="15.75" customHeight="1">
      <c r="A114" s="57">
        <v>110.0</v>
      </c>
      <c r="B114" s="55" t="s">
        <v>1503</v>
      </c>
      <c r="C114" s="58" t="s">
        <v>1787</v>
      </c>
      <c r="D114" s="57" t="s">
        <v>1789</v>
      </c>
      <c r="E114" s="57" t="s">
        <v>1791</v>
      </c>
      <c r="F114" s="57" t="s">
        <v>1507</v>
      </c>
    </row>
    <row r="115" ht="15.75" customHeight="1">
      <c r="A115" s="15">
        <v>111.0</v>
      </c>
      <c r="B115" s="55" t="s">
        <v>1503</v>
      </c>
      <c r="C115" s="56" t="s">
        <v>1794</v>
      </c>
      <c r="D115" s="15" t="s">
        <v>1796</v>
      </c>
      <c r="E115" s="15" t="s">
        <v>1797</v>
      </c>
      <c r="F115" s="15" t="s">
        <v>1507</v>
      </c>
    </row>
    <row r="116" ht="15.75" customHeight="1">
      <c r="A116" s="57">
        <v>112.0</v>
      </c>
      <c r="B116" s="55" t="s">
        <v>1503</v>
      </c>
      <c r="C116" s="58" t="s">
        <v>1802</v>
      </c>
      <c r="D116" s="57" t="s">
        <v>1804</v>
      </c>
      <c r="E116" s="57" t="s">
        <v>1806</v>
      </c>
      <c r="F116" s="57" t="s">
        <v>1507</v>
      </c>
    </row>
    <row r="117" ht="15.75" customHeight="1">
      <c r="A117" s="15">
        <v>113.0</v>
      </c>
      <c r="B117" s="55" t="s">
        <v>1503</v>
      </c>
      <c r="C117" s="56" t="s">
        <v>1810</v>
      </c>
      <c r="D117" s="15" t="s">
        <v>1811</v>
      </c>
      <c r="E117" s="15" t="s">
        <v>1813</v>
      </c>
      <c r="F117" s="15" t="s">
        <v>1507</v>
      </c>
    </row>
    <row r="118" ht="15.75" customHeight="1">
      <c r="A118" s="57">
        <v>114.0</v>
      </c>
      <c r="B118" s="55" t="s">
        <v>1503</v>
      </c>
      <c r="C118" s="58" t="s">
        <v>1820</v>
      </c>
      <c r="D118" s="57" t="s">
        <v>1822</v>
      </c>
      <c r="E118" s="57" t="s">
        <v>1824</v>
      </c>
      <c r="F118" s="57" t="s">
        <v>1507</v>
      </c>
    </row>
    <row r="119" ht="15.75" customHeight="1">
      <c r="A119" s="15">
        <v>115.0</v>
      </c>
      <c r="B119" s="55" t="s">
        <v>1503</v>
      </c>
      <c r="C119" s="56" t="s">
        <v>1833</v>
      </c>
      <c r="D119" s="15" t="s">
        <v>1834</v>
      </c>
      <c r="E119" s="15" t="s">
        <v>1837</v>
      </c>
      <c r="F119" s="15" t="s">
        <v>1507</v>
      </c>
    </row>
    <row r="120" ht="15.75" customHeight="1">
      <c r="A120" s="57">
        <v>116.0</v>
      </c>
      <c r="B120" s="55" t="s">
        <v>1503</v>
      </c>
      <c r="C120" s="58" t="s">
        <v>1841</v>
      </c>
      <c r="D120" s="57" t="s">
        <v>1843</v>
      </c>
      <c r="E120" s="57" t="s">
        <v>1845</v>
      </c>
      <c r="F120" s="57" t="s">
        <v>1507</v>
      </c>
    </row>
    <row r="121" ht="15.75" customHeight="1">
      <c r="A121" s="15">
        <v>117.0</v>
      </c>
      <c r="B121" s="55" t="s">
        <v>1503</v>
      </c>
      <c r="C121" s="56" t="s">
        <v>1849</v>
      </c>
      <c r="D121" s="15" t="s">
        <v>1850</v>
      </c>
      <c r="E121" s="15" t="s">
        <v>1852</v>
      </c>
      <c r="F121" s="15" t="s">
        <v>1507</v>
      </c>
    </row>
    <row r="122" ht="15.75" customHeight="1">
      <c r="A122" s="57">
        <v>118.0</v>
      </c>
      <c r="B122" s="55" t="s">
        <v>1503</v>
      </c>
      <c r="C122" s="58" t="s">
        <v>1854</v>
      </c>
      <c r="D122" s="57" t="s">
        <v>1855</v>
      </c>
      <c r="E122" s="57" t="s">
        <v>1857</v>
      </c>
      <c r="F122" s="57" t="s">
        <v>1507</v>
      </c>
    </row>
    <row r="123" ht="15.75" customHeight="1">
      <c r="A123" s="15">
        <v>119.0</v>
      </c>
      <c r="B123" s="55" t="s">
        <v>1503</v>
      </c>
      <c r="C123" s="56" t="s">
        <v>1859</v>
      </c>
      <c r="D123" s="15" t="s">
        <v>1860</v>
      </c>
      <c r="E123" s="15" t="s">
        <v>1861</v>
      </c>
      <c r="F123" s="15" t="s">
        <v>1507</v>
      </c>
    </row>
    <row r="124" ht="15.75" customHeight="1">
      <c r="A124" s="57">
        <v>120.0</v>
      </c>
      <c r="B124" s="55" t="s">
        <v>1503</v>
      </c>
      <c r="C124" s="58" t="s">
        <v>1864</v>
      </c>
      <c r="D124" s="57" t="s">
        <v>1865</v>
      </c>
      <c r="E124" s="57" t="s">
        <v>1866</v>
      </c>
      <c r="F124" s="57" t="s">
        <v>1507</v>
      </c>
    </row>
    <row r="125" ht="15.75" customHeight="1">
      <c r="A125" s="15">
        <v>121.0</v>
      </c>
      <c r="B125" s="55" t="s">
        <v>1503</v>
      </c>
      <c r="C125" s="56" t="s">
        <v>1868</v>
      </c>
      <c r="D125" s="15" t="s">
        <v>1869</v>
      </c>
      <c r="E125" s="15" t="s">
        <v>1870</v>
      </c>
      <c r="F125" s="15" t="s">
        <v>1507</v>
      </c>
    </row>
    <row r="126" ht="15.75" customHeight="1">
      <c r="A126" s="57">
        <v>122.0</v>
      </c>
      <c r="B126" s="55" t="s">
        <v>1503</v>
      </c>
      <c r="C126" s="58" t="s">
        <v>1873</v>
      </c>
      <c r="D126" s="57" t="s">
        <v>1875</v>
      </c>
      <c r="E126" s="57" t="s">
        <v>1877</v>
      </c>
      <c r="F126" s="57" t="s">
        <v>1507</v>
      </c>
    </row>
    <row r="127" ht="15.75" customHeight="1">
      <c r="A127" s="15">
        <v>123.0</v>
      </c>
      <c r="B127" s="55" t="s">
        <v>1503</v>
      </c>
      <c r="C127" s="56" t="s">
        <v>1878</v>
      </c>
      <c r="D127" s="15" t="s">
        <v>1880</v>
      </c>
      <c r="E127" s="15" t="s">
        <v>1881</v>
      </c>
      <c r="F127" s="15" t="s">
        <v>1507</v>
      </c>
    </row>
    <row r="128" ht="15.75" customHeight="1">
      <c r="A128" s="57">
        <v>124.0</v>
      </c>
      <c r="B128" s="55" t="s">
        <v>1503</v>
      </c>
      <c r="C128" s="58" t="s">
        <v>1885</v>
      </c>
      <c r="D128" s="57" t="s">
        <v>1887</v>
      </c>
      <c r="E128" s="57" t="s">
        <v>1889</v>
      </c>
      <c r="F128" s="57" t="s">
        <v>1507</v>
      </c>
    </row>
    <row r="129" ht="15.75" customHeight="1">
      <c r="A129" s="15">
        <v>125.0</v>
      </c>
      <c r="B129" s="55" t="s">
        <v>1503</v>
      </c>
      <c r="C129" s="56" t="s">
        <v>1892</v>
      </c>
      <c r="D129" s="15" t="s">
        <v>1894</v>
      </c>
      <c r="E129" s="15" t="s">
        <v>1896</v>
      </c>
      <c r="F129" s="15" t="s">
        <v>1507</v>
      </c>
    </row>
    <row r="130" ht="15.75" customHeight="1">
      <c r="A130" s="57">
        <v>126.0</v>
      </c>
      <c r="B130" s="55" t="s">
        <v>1503</v>
      </c>
      <c r="C130" s="58" t="s">
        <v>1899</v>
      </c>
      <c r="D130" s="57" t="s">
        <v>1901</v>
      </c>
      <c r="E130" s="57" t="s">
        <v>1903</v>
      </c>
      <c r="F130" s="57" t="s">
        <v>1507</v>
      </c>
    </row>
    <row r="131" ht="15.75" customHeight="1">
      <c r="A131" s="15">
        <v>127.0</v>
      </c>
      <c r="B131" s="55" t="s">
        <v>1503</v>
      </c>
      <c r="C131" s="56" t="s">
        <v>1907</v>
      </c>
      <c r="D131" s="15" t="s">
        <v>1909</v>
      </c>
      <c r="E131" s="15" t="s">
        <v>1912</v>
      </c>
      <c r="F131" s="15" t="s">
        <v>1507</v>
      </c>
    </row>
    <row r="132" ht="15.75" customHeight="1">
      <c r="A132" s="57">
        <v>128.0</v>
      </c>
      <c r="B132" s="55" t="s">
        <v>1503</v>
      </c>
      <c r="C132" s="58" t="s">
        <v>1920</v>
      </c>
      <c r="D132" s="57" t="s">
        <v>1922</v>
      </c>
      <c r="E132" s="57" t="s">
        <v>1923</v>
      </c>
      <c r="F132" s="57" t="s">
        <v>1507</v>
      </c>
    </row>
    <row r="133" ht="15.75" customHeight="1">
      <c r="A133" s="15">
        <v>129.0</v>
      </c>
      <c r="B133" s="55" t="s">
        <v>1503</v>
      </c>
      <c r="C133" s="56" t="s">
        <v>1929</v>
      </c>
      <c r="D133" s="15" t="s">
        <v>1931</v>
      </c>
      <c r="E133" s="15" t="s">
        <v>1932</v>
      </c>
      <c r="F133" s="15" t="s">
        <v>1507</v>
      </c>
    </row>
    <row r="134" ht="15.75" customHeight="1">
      <c r="A134" s="57">
        <v>130.0</v>
      </c>
      <c r="B134" s="55" t="s">
        <v>1503</v>
      </c>
      <c r="C134" s="58" t="s">
        <v>1937</v>
      </c>
      <c r="D134" s="57" t="s">
        <v>1938</v>
      </c>
      <c r="E134" s="57" t="s">
        <v>1940</v>
      </c>
      <c r="F134" s="57" t="s">
        <v>1507</v>
      </c>
    </row>
    <row r="135" ht="15.75" customHeight="1">
      <c r="A135" s="15">
        <v>131.0</v>
      </c>
      <c r="B135" s="55" t="s">
        <v>1503</v>
      </c>
      <c r="C135" s="56" t="s">
        <v>1947</v>
      </c>
      <c r="D135" s="15" t="s">
        <v>1949</v>
      </c>
      <c r="E135" s="15" t="s">
        <v>1951</v>
      </c>
      <c r="F135" s="15" t="s">
        <v>1507</v>
      </c>
    </row>
    <row r="136" ht="15.75" customHeight="1">
      <c r="A136" s="57">
        <v>132.0</v>
      </c>
      <c r="B136" s="55" t="s">
        <v>1503</v>
      </c>
      <c r="C136" s="58" t="s">
        <v>1956</v>
      </c>
      <c r="D136" s="57" t="s">
        <v>1957</v>
      </c>
      <c r="E136" s="57" t="s">
        <v>1960</v>
      </c>
      <c r="F136" s="57" t="s">
        <v>1507</v>
      </c>
    </row>
    <row r="137" ht="15.75" customHeight="1">
      <c r="A137" s="15">
        <v>133.0</v>
      </c>
      <c r="B137" s="55" t="s">
        <v>1503</v>
      </c>
      <c r="C137" s="56" t="s">
        <v>1965</v>
      </c>
      <c r="D137" s="15" t="s">
        <v>1966</v>
      </c>
      <c r="E137" s="15" t="s">
        <v>1968</v>
      </c>
      <c r="F137" s="15" t="s">
        <v>1507</v>
      </c>
    </row>
    <row r="138" ht="15.75" customHeight="1">
      <c r="A138" s="57">
        <v>134.0</v>
      </c>
      <c r="B138" s="55" t="s">
        <v>1503</v>
      </c>
      <c r="C138" s="58" t="s">
        <v>1973</v>
      </c>
      <c r="D138" s="57" t="s">
        <v>1974</v>
      </c>
      <c r="E138" s="57" t="s">
        <v>1976</v>
      </c>
      <c r="F138" s="57" t="s">
        <v>1507</v>
      </c>
    </row>
    <row r="139" ht="15.75" customHeight="1">
      <c r="A139" s="15">
        <v>135.0</v>
      </c>
      <c r="B139" s="55" t="s">
        <v>1503</v>
      </c>
      <c r="C139" s="56" t="s">
        <v>1980</v>
      </c>
      <c r="D139" s="15" t="s">
        <v>1981</v>
      </c>
      <c r="E139" s="15" t="s">
        <v>1982</v>
      </c>
      <c r="F139" s="15" t="s">
        <v>1507</v>
      </c>
    </row>
    <row r="140" ht="15.75" customHeight="1">
      <c r="A140" s="57">
        <v>136.0</v>
      </c>
      <c r="B140" s="55" t="s">
        <v>1503</v>
      </c>
      <c r="C140" s="58" t="s">
        <v>1989</v>
      </c>
      <c r="D140" s="57" t="s">
        <v>1990</v>
      </c>
      <c r="E140" s="57" t="s">
        <v>1991</v>
      </c>
      <c r="F140" s="57" t="s">
        <v>1507</v>
      </c>
    </row>
    <row r="141" ht="15.75" customHeight="1">
      <c r="A141" s="15">
        <v>137.0</v>
      </c>
      <c r="B141" s="55" t="s">
        <v>1503</v>
      </c>
      <c r="C141" s="56" t="s">
        <v>1998</v>
      </c>
      <c r="D141" s="15" t="s">
        <v>2000</v>
      </c>
      <c r="E141" s="15" t="s">
        <v>2003</v>
      </c>
      <c r="F141" s="15" t="s">
        <v>1507</v>
      </c>
    </row>
    <row r="142" ht="15.75" customHeight="1">
      <c r="A142" s="57">
        <v>138.0</v>
      </c>
      <c r="B142" s="55" t="s">
        <v>1503</v>
      </c>
      <c r="C142" s="58" t="s">
        <v>2012</v>
      </c>
      <c r="D142" s="57" t="s">
        <v>2015</v>
      </c>
      <c r="E142" s="57" t="s">
        <v>2017</v>
      </c>
      <c r="F142" s="57" t="s">
        <v>1507</v>
      </c>
    </row>
    <row r="143" ht="15.75" customHeight="1">
      <c r="A143" s="15">
        <v>139.0</v>
      </c>
      <c r="B143" s="55" t="s">
        <v>1503</v>
      </c>
      <c r="C143" s="56" t="s">
        <v>2020</v>
      </c>
      <c r="D143" s="15" t="s">
        <v>2022</v>
      </c>
      <c r="E143" s="15" t="s">
        <v>2025</v>
      </c>
      <c r="F143" s="15" t="s">
        <v>1507</v>
      </c>
    </row>
    <row r="144" ht="15.75" customHeight="1">
      <c r="A144" s="57">
        <v>140.0</v>
      </c>
      <c r="B144" s="55" t="s">
        <v>1503</v>
      </c>
      <c r="C144" s="58" t="s">
        <v>2029</v>
      </c>
      <c r="D144" s="57" t="s">
        <v>2031</v>
      </c>
      <c r="E144" s="57" t="s">
        <v>2033</v>
      </c>
      <c r="F144" s="57" t="s">
        <v>1507</v>
      </c>
    </row>
    <row r="145" ht="15.75" customHeight="1">
      <c r="A145" s="15">
        <v>141.0</v>
      </c>
      <c r="B145" s="55" t="s">
        <v>1503</v>
      </c>
      <c r="C145" s="56" t="s">
        <v>2038</v>
      </c>
      <c r="D145" s="15" t="s">
        <v>2040</v>
      </c>
      <c r="E145" s="15" t="s">
        <v>2041</v>
      </c>
      <c r="F145" s="15" t="s">
        <v>1507</v>
      </c>
    </row>
    <row r="146" ht="15.75" customHeight="1">
      <c r="A146" s="57">
        <v>142.0</v>
      </c>
      <c r="B146" s="55" t="s">
        <v>1503</v>
      </c>
      <c r="C146" s="58" t="s">
        <v>2046</v>
      </c>
      <c r="D146" s="57" t="s">
        <v>2047</v>
      </c>
      <c r="E146" s="57" t="s">
        <v>2049</v>
      </c>
      <c r="F146" s="57" t="s">
        <v>1507</v>
      </c>
    </row>
    <row r="147" ht="15.75" customHeight="1">
      <c r="A147" s="15">
        <v>143.0</v>
      </c>
      <c r="B147" s="55" t="s">
        <v>1503</v>
      </c>
      <c r="C147" s="56" t="s">
        <v>2053</v>
      </c>
      <c r="D147" s="15" t="s">
        <v>2055</v>
      </c>
      <c r="E147" s="15" t="s">
        <v>2058</v>
      </c>
      <c r="F147" s="15" t="s">
        <v>1507</v>
      </c>
    </row>
    <row r="148" ht="15.75" customHeight="1">
      <c r="A148" s="57">
        <v>144.0</v>
      </c>
      <c r="B148" s="55" t="s">
        <v>1503</v>
      </c>
      <c r="C148" s="58" t="s">
        <v>2059</v>
      </c>
      <c r="D148" s="57" t="s">
        <v>2060</v>
      </c>
      <c r="E148" s="57" t="s">
        <v>2062</v>
      </c>
      <c r="F148" s="57" t="s">
        <v>1507</v>
      </c>
    </row>
    <row r="149" ht="15.75" customHeight="1">
      <c r="A149" s="15">
        <v>145.0</v>
      </c>
      <c r="B149" s="55" t="s">
        <v>1503</v>
      </c>
      <c r="C149" s="56" t="s">
        <v>2066</v>
      </c>
      <c r="D149" s="15" t="s">
        <v>2067</v>
      </c>
      <c r="E149" s="15" t="s">
        <v>2069</v>
      </c>
      <c r="F149" s="15" t="s">
        <v>1507</v>
      </c>
    </row>
    <row r="150" ht="15.75" customHeight="1">
      <c r="A150" s="57">
        <v>146.0</v>
      </c>
      <c r="B150" s="55" t="s">
        <v>1503</v>
      </c>
      <c r="C150" s="58" t="s">
        <v>2074</v>
      </c>
      <c r="D150" s="57" t="s">
        <v>2075</v>
      </c>
      <c r="E150" s="57" t="s">
        <v>2078</v>
      </c>
      <c r="F150" s="57" t="s">
        <v>1507</v>
      </c>
    </row>
    <row r="151" ht="15.75" customHeight="1">
      <c r="A151" s="15">
        <v>147.0</v>
      </c>
      <c r="B151" s="55" t="s">
        <v>1503</v>
      </c>
      <c r="C151" s="56" t="s">
        <v>2083</v>
      </c>
      <c r="D151" s="15" t="s">
        <v>2085</v>
      </c>
      <c r="E151" s="15" t="s">
        <v>2086</v>
      </c>
      <c r="F151" s="15" t="s">
        <v>1507</v>
      </c>
    </row>
    <row r="152" ht="15.75" customHeight="1">
      <c r="A152" s="57">
        <v>148.0</v>
      </c>
      <c r="B152" s="55" t="s">
        <v>1503</v>
      </c>
      <c r="C152" s="58" t="s">
        <v>2094</v>
      </c>
      <c r="D152" s="57" t="s">
        <v>2095</v>
      </c>
      <c r="E152" s="57" t="s">
        <v>2098</v>
      </c>
      <c r="F152" s="57" t="s">
        <v>1507</v>
      </c>
    </row>
    <row r="153" ht="15.75" customHeight="1">
      <c r="A153" s="15">
        <v>149.0</v>
      </c>
      <c r="B153" s="55" t="s">
        <v>1503</v>
      </c>
      <c r="C153" s="56" t="s">
        <v>2106</v>
      </c>
      <c r="D153" s="15" t="s">
        <v>2110</v>
      </c>
      <c r="E153" s="15" t="s">
        <v>2113</v>
      </c>
      <c r="F153" s="15" t="s">
        <v>1507</v>
      </c>
    </row>
    <row r="154" ht="15.75" customHeight="1">
      <c r="A154" s="57">
        <v>150.0</v>
      </c>
      <c r="B154" s="55" t="s">
        <v>1503</v>
      </c>
      <c r="C154" s="58" t="s">
        <v>2118</v>
      </c>
      <c r="D154" s="57" t="s">
        <v>2120</v>
      </c>
      <c r="E154" s="57" t="s">
        <v>2121</v>
      </c>
      <c r="F154" s="57" t="s">
        <v>1507</v>
      </c>
    </row>
    <row r="155" ht="15.75" customHeight="1">
      <c r="A155" s="15">
        <v>151.0</v>
      </c>
      <c r="B155" s="55" t="s">
        <v>1503</v>
      </c>
      <c r="C155" s="56" t="s">
        <v>2126</v>
      </c>
      <c r="D155" s="15" t="s">
        <v>2128</v>
      </c>
      <c r="E155" s="15" t="s">
        <v>2130</v>
      </c>
      <c r="F155" s="15" t="s">
        <v>1507</v>
      </c>
    </row>
    <row r="156" ht="15.75" customHeight="1">
      <c r="A156" s="57">
        <v>152.0</v>
      </c>
      <c r="B156" s="55" t="s">
        <v>1503</v>
      </c>
      <c r="C156" s="58" t="s">
        <v>2133</v>
      </c>
      <c r="D156" s="57" t="s">
        <v>2134</v>
      </c>
      <c r="E156" s="57" t="s">
        <v>2135</v>
      </c>
      <c r="F156" s="57" t="s">
        <v>1507</v>
      </c>
    </row>
    <row r="157" ht="15.75" customHeight="1">
      <c r="A157" s="15">
        <v>153.0</v>
      </c>
      <c r="B157" s="55" t="s">
        <v>1503</v>
      </c>
      <c r="C157" s="56" t="s">
        <v>2137</v>
      </c>
      <c r="D157" s="15" t="s">
        <v>2138</v>
      </c>
      <c r="E157" s="15" t="s">
        <v>2139</v>
      </c>
      <c r="F157" s="15" t="s">
        <v>1507</v>
      </c>
    </row>
    <row r="158" ht="15.75" customHeight="1">
      <c r="A158" s="57">
        <v>154.0</v>
      </c>
      <c r="B158" s="55" t="s">
        <v>1503</v>
      </c>
      <c r="C158" s="58" t="s">
        <v>2141</v>
      </c>
      <c r="D158" s="57" t="s">
        <v>2143</v>
      </c>
      <c r="E158" s="57" t="s">
        <v>2144</v>
      </c>
      <c r="F158" s="57" t="s">
        <v>1507</v>
      </c>
    </row>
    <row r="159" ht="15.75" customHeight="1">
      <c r="A159" s="15">
        <v>155.0</v>
      </c>
      <c r="B159" s="55" t="s">
        <v>1503</v>
      </c>
      <c r="C159" s="56" t="s">
        <v>2146</v>
      </c>
      <c r="D159" s="15" t="s">
        <v>2147</v>
      </c>
      <c r="E159" s="15" t="s">
        <v>2149</v>
      </c>
      <c r="F159" s="15" t="s">
        <v>1507</v>
      </c>
    </row>
    <row r="160" ht="15.75" customHeight="1">
      <c r="A160" s="57">
        <v>156.0</v>
      </c>
      <c r="B160" s="55" t="s">
        <v>1503</v>
      </c>
      <c r="C160" s="58" t="s">
        <v>2150</v>
      </c>
      <c r="D160" s="57" t="s">
        <v>2152</v>
      </c>
      <c r="E160" s="57" t="s">
        <v>2153</v>
      </c>
      <c r="F160" s="57" t="s">
        <v>1507</v>
      </c>
    </row>
    <row r="161" ht="15.75" customHeight="1">
      <c r="A161" s="15">
        <v>157.0</v>
      </c>
      <c r="B161" s="55" t="s">
        <v>1503</v>
      </c>
      <c r="C161" s="56" t="s">
        <v>2155</v>
      </c>
      <c r="D161" s="15" t="s">
        <v>2157</v>
      </c>
      <c r="E161" s="15" t="s">
        <v>2158</v>
      </c>
      <c r="F161" s="15" t="s">
        <v>1507</v>
      </c>
    </row>
    <row r="162" ht="15.75" customHeight="1">
      <c r="A162" s="57">
        <v>158.0</v>
      </c>
      <c r="B162" s="55" t="s">
        <v>1503</v>
      </c>
      <c r="C162" s="58" t="s">
        <v>2159</v>
      </c>
      <c r="D162" s="57" t="s">
        <v>2161</v>
      </c>
      <c r="E162" s="57" t="s">
        <v>2162</v>
      </c>
      <c r="F162" s="57" t="s">
        <v>1507</v>
      </c>
    </row>
    <row r="163" ht="15.75" customHeight="1">
      <c r="A163" s="15">
        <v>159.0</v>
      </c>
      <c r="B163" s="55" t="s">
        <v>1503</v>
      </c>
      <c r="C163" s="56" t="s">
        <v>2164</v>
      </c>
      <c r="D163" s="15" t="s">
        <v>2165</v>
      </c>
      <c r="E163" s="15" t="s">
        <v>2167</v>
      </c>
      <c r="F163" s="15" t="s">
        <v>1507</v>
      </c>
    </row>
    <row r="164" ht="15.75" customHeight="1">
      <c r="A164" s="57">
        <v>160.0</v>
      </c>
      <c r="B164" s="55" t="s">
        <v>1503</v>
      </c>
      <c r="C164" s="58" t="s">
        <v>2169</v>
      </c>
      <c r="D164" s="57" t="s">
        <v>2170</v>
      </c>
      <c r="E164" s="57" t="s">
        <v>2171</v>
      </c>
      <c r="F164" s="57" t="s">
        <v>1507</v>
      </c>
    </row>
    <row r="165" ht="15.75" customHeight="1">
      <c r="A165" s="15">
        <v>161.0</v>
      </c>
      <c r="B165" s="55" t="s">
        <v>1503</v>
      </c>
      <c r="C165" s="56" t="s">
        <v>2174</v>
      </c>
      <c r="D165" s="15" t="s">
        <v>2176</v>
      </c>
      <c r="E165" s="15" t="s">
        <v>2178</v>
      </c>
      <c r="F165" s="15" t="s">
        <v>1507</v>
      </c>
    </row>
    <row r="166" ht="15.75" customHeight="1">
      <c r="A166" s="57">
        <v>162.0</v>
      </c>
      <c r="B166" s="55" t="s">
        <v>1503</v>
      </c>
      <c r="C166" s="58" t="s">
        <v>2184</v>
      </c>
      <c r="D166" s="57" t="s">
        <v>2186</v>
      </c>
      <c r="E166" s="57" t="s">
        <v>2187</v>
      </c>
      <c r="F166" s="57" t="s">
        <v>1507</v>
      </c>
    </row>
    <row r="167" ht="15.75" customHeight="1">
      <c r="A167" s="15">
        <v>163.0</v>
      </c>
      <c r="B167" s="55" t="s">
        <v>1503</v>
      </c>
      <c r="C167" s="56" t="s">
        <v>2189</v>
      </c>
      <c r="D167" s="15" t="s">
        <v>2190</v>
      </c>
      <c r="E167" s="15" t="s">
        <v>2191</v>
      </c>
      <c r="F167" s="15" t="s">
        <v>1507</v>
      </c>
    </row>
    <row r="168" ht="15.75" customHeight="1">
      <c r="A168" s="57">
        <v>164.0</v>
      </c>
      <c r="B168" s="55" t="s">
        <v>1503</v>
      </c>
      <c r="C168" s="58" t="s">
        <v>2193</v>
      </c>
      <c r="D168" s="57" t="s">
        <v>2195</v>
      </c>
      <c r="E168" s="57" t="s">
        <v>2196</v>
      </c>
      <c r="F168" s="57" t="s">
        <v>1507</v>
      </c>
    </row>
    <row r="169" ht="15.75" customHeight="1">
      <c r="A169" s="15">
        <v>165.0</v>
      </c>
      <c r="B169" s="55" t="s">
        <v>1503</v>
      </c>
      <c r="C169" s="56" t="s">
        <v>2198</v>
      </c>
      <c r="D169" s="15" t="s">
        <v>2199</v>
      </c>
      <c r="E169" s="15" t="s">
        <v>2200</v>
      </c>
      <c r="F169" s="15" t="s">
        <v>1507</v>
      </c>
    </row>
    <row r="170" ht="15.75" customHeight="1">
      <c r="A170" s="57">
        <v>166.0</v>
      </c>
      <c r="B170" s="55" t="s">
        <v>1503</v>
      </c>
      <c r="C170" s="58" t="s">
        <v>2203</v>
      </c>
      <c r="D170" s="57" t="s">
        <v>2205</v>
      </c>
      <c r="E170" s="57" t="s">
        <v>2206</v>
      </c>
      <c r="F170" s="57" t="s">
        <v>1507</v>
      </c>
    </row>
    <row r="171" ht="15.75" customHeight="1">
      <c r="A171" s="15">
        <v>167.0</v>
      </c>
      <c r="B171" s="55" t="s">
        <v>1503</v>
      </c>
      <c r="C171" s="56" t="s">
        <v>2209</v>
      </c>
      <c r="D171" s="15" t="s">
        <v>2210</v>
      </c>
      <c r="E171" s="15" t="s">
        <v>2211</v>
      </c>
      <c r="F171" s="15" t="s">
        <v>1507</v>
      </c>
    </row>
    <row r="172" ht="15.75" customHeight="1">
      <c r="A172" s="57">
        <v>168.0</v>
      </c>
      <c r="B172" s="55" t="s">
        <v>1503</v>
      </c>
      <c r="C172" s="58" t="s">
        <v>2213</v>
      </c>
      <c r="D172" s="57" t="s">
        <v>2214</v>
      </c>
      <c r="E172" s="57" t="s">
        <v>2215</v>
      </c>
      <c r="F172" s="57" t="s">
        <v>1507</v>
      </c>
    </row>
    <row r="173" ht="15.75" customHeight="1">
      <c r="A173" s="15">
        <v>169.0</v>
      </c>
      <c r="B173" s="55" t="s">
        <v>1503</v>
      </c>
      <c r="C173" s="56" t="s">
        <v>2217</v>
      </c>
      <c r="D173" s="15" t="s">
        <v>2219</v>
      </c>
      <c r="E173" s="15" t="s">
        <v>2220</v>
      </c>
      <c r="F173" s="15" t="s">
        <v>1507</v>
      </c>
    </row>
    <row r="174" ht="15.75" customHeight="1">
      <c r="A174" s="57">
        <v>170.0</v>
      </c>
      <c r="B174" s="55" t="s">
        <v>1503</v>
      </c>
      <c r="C174" s="58" t="s">
        <v>2222</v>
      </c>
      <c r="D174" s="57" t="s">
        <v>2223</v>
      </c>
      <c r="E174" s="57" t="s">
        <v>2225</v>
      </c>
      <c r="F174" s="57" t="s">
        <v>1507</v>
      </c>
    </row>
    <row r="175" ht="15.75" customHeight="1">
      <c r="A175" s="15">
        <v>171.0</v>
      </c>
      <c r="B175" s="55" t="s">
        <v>1503</v>
      </c>
      <c r="C175" s="56" t="s">
        <v>2227</v>
      </c>
      <c r="D175" s="15" t="s">
        <v>2229</v>
      </c>
      <c r="E175" s="15" t="s">
        <v>2230</v>
      </c>
      <c r="F175" s="15" t="s">
        <v>1507</v>
      </c>
    </row>
    <row r="176" ht="15.75" customHeight="1">
      <c r="A176" s="57">
        <v>172.0</v>
      </c>
      <c r="B176" s="55" t="s">
        <v>1503</v>
      </c>
      <c r="C176" s="58" t="s">
        <v>2232</v>
      </c>
      <c r="D176" s="57" t="s">
        <v>2234</v>
      </c>
      <c r="E176" s="57" t="s">
        <v>2235</v>
      </c>
      <c r="F176" s="57" t="s">
        <v>1507</v>
      </c>
    </row>
    <row r="177" ht="15.75" customHeight="1">
      <c r="A177" s="15">
        <v>173.0</v>
      </c>
      <c r="B177" s="55" t="s">
        <v>1503</v>
      </c>
      <c r="C177" s="56" t="s">
        <v>2239</v>
      </c>
      <c r="D177" s="15" t="s">
        <v>2242</v>
      </c>
      <c r="E177" s="15" t="s">
        <v>2246</v>
      </c>
      <c r="F177" s="15" t="s">
        <v>1507</v>
      </c>
    </row>
    <row r="178" ht="15.75" customHeight="1">
      <c r="A178" s="57">
        <v>174.0</v>
      </c>
      <c r="B178" s="55" t="s">
        <v>1503</v>
      </c>
      <c r="C178" s="58" t="s">
        <v>2249</v>
      </c>
      <c r="D178" s="57" t="s">
        <v>2250</v>
      </c>
      <c r="E178" s="57" t="s">
        <v>2251</v>
      </c>
      <c r="F178" s="57" t="s">
        <v>1507</v>
      </c>
    </row>
    <row r="179" ht="15.75" customHeight="1">
      <c r="A179" s="15">
        <v>175.0</v>
      </c>
      <c r="B179" s="55" t="s">
        <v>1503</v>
      </c>
      <c r="C179" s="56" t="s">
        <v>2253</v>
      </c>
      <c r="D179" s="15" t="s">
        <v>2255</v>
      </c>
      <c r="E179" s="15" t="s">
        <v>2256</v>
      </c>
      <c r="F179" s="15" t="s">
        <v>1507</v>
      </c>
    </row>
    <row r="180" ht="15.75" customHeight="1">
      <c r="A180" s="57">
        <v>176.0</v>
      </c>
      <c r="B180" s="55" t="s">
        <v>1503</v>
      </c>
      <c r="C180" s="58" t="s">
        <v>2259</v>
      </c>
      <c r="D180" s="57" t="s">
        <v>2260</v>
      </c>
      <c r="E180" s="57" t="s">
        <v>2261</v>
      </c>
      <c r="F180" s="57" t="s">
        <v>1507</v>
      </c>
    </row>
    <row r="181" ht="15.75" customHeight="1">
      <c r="A181" s="15">
        <v>177.0</v>
      </c>
      <c r="B181" s="55" t="s">
        <v>1503</v>
      </c>
      <c r="C181" s="56" t="s">
        <v>2265</v>
      </c>
      <c r="D181" s="15" t="s">
        <v>2266</v>
      </c>
      <c r="E181" s="15" t="s">
        <v>2267</v>
      </c>
      <c r="F181" s="15" t="s">
        <v>1507</v>
      </c>
    </row>
    <row r="182" ht="15.75" customHeight="1">
      <c r="A182" s="57">
        <v>178.0</v>
      </c>
      <c r="B182" s="55" t="s">
        <v>1503</v>
      </c>
      <c r="C182" s="58" t="s">
        <v>2269</v>
      </c>
      <c r="D182" s="57" t="s">
        <v>2270</v>
      </c>
      <c r="E182" s="57" t="s">
        <v>2272</v>
      </c>
      <c r="F182" s="57" t="s">
        <v>1507</v>
      </c>
    </row>
    <row r="183" ht="15.75" customHeight="1">
      <c r="A183" s="15">
        <v>179.0</v>
      </c>
      <c r="B183" s="55" t="s">
        <v>1503</v>
      </c>
      <c r="C183" s="56" t="s">
        <v>2274</v>
      </c>
      <c r="D183" s="15" t="s">
        <v>2276</v>
      </c>
      <c r="E183" s="15" t="s">
        <v>2277</v>
      </c>
      <c r="F183" s="15" t="s">
        <v>1507</v>
      </c>
    </row>
    <row r="184" ht="15.75" customHeight="1">
      <c r="A184" s="57">
        <v>180.0</v>
      </c>
      <c r="B184" s="55" t="s">
        <v>1503</v>
      </c>
      <c r="C184" s="58" t="s">
        <v>2279</v>
      </c>
      <c r="D184" s="57" t="s">
        <v>2280</v>
      </c>
      <c r="E184" s="57" t="s">
        <v>2281</v>
      </c>
      <c r="F184" s="57" t="s">
        <v>1507</v>
      </c>
    </row>
    <row r="185" ht="15.75" customHeight="1">
      <c r="A185" s="15">
        <v>181.0</v>
      </c>
      <c r="B185" s="55" t="s">
        <v>1503</v>
      </c>
      <c r="C185" s="56" t="s">
        <v>2283</v>
      </c>
      <c r="D185" s="15" t="s">
        <v>2285</v>
      </c>
      <c r="E185" s="15" t="s">
        <v>2287</v>
      </c>
      <c r="F185" s="15" t="s">
        <v>1507</v>
      </c>
    </row>
    <row r="186" ht="15.75" customHeight="1">
      <c r="A186" s="57">
        <v>182.0</v>
      </c>
      <c r="B186" s="55" t="s">
        <v>1503</v>
      </c>
      <c r="C186" s="58" t="s">
        <v>2289</v>
      </c>
      <c r="D186" s="57" t="s">
        <v>2290</v>
      </c>
      <c r="E186" s="57" t="s">
        <v>2291</v>
      </c>
      <c r="F186" s="57" t="s">
        <v>1507</v>
      </c>
    </row>
    <row r="187" ht="15.75" customHeight="1">
      <c r="A187" s="15">
        <v>183.0</v>
      </c>
      <c r="B187" s="55" t="s">
        <v>1503</v>
      </c>
      <c r="C187" s="56" t="s">
        <v>2296</v>
      </c>
      <c r="D187" s="15" t="s">
        <v>2297</v>
      </c>
      <c r="E187" s="15" t="s">
        <v>2299</v>
      </c>
      <c r="F187" s="15" t="s">
        <v>1507</v>
      </c>
    </row>
    <row r="188" ht="15.75" customHeight="1">
      <c r="A188" s="57">
        <v>184.0</v>
      </c>
      <c r="B188" s="55" t="s">
        <v>1503</v>
      </c>
      <c r="C188" s="58" t="s">
        <v>2306</v>
      </c>
      <c r="D188" s="57" t="s">
        <v>2307</v>
      </c>
      <c r="E188" s="57" t="s">
        <v>2308</v>
      </c>
      <c r="F188" s="57" t="s">
        <v>1507</v>
      </c>
    </row>
    <row r="189" ht="15.75" customHeight="1">
      <c r="A189" s="15">
        <v>185.0</v>
      </c>
      <c r="B189" s="55" t="s">
        <v>1503</v>
      </c>
      <c r="C189" s="56" t="s">
        <v>2311</v>
      </c>
      <c r="D189" s="15" t="s">
        <v>2312</v>
      </c>
      <c r="E189" s="15" t="s">
        <v>2313</v>
      </c>
      <c r="F189" s="15" t="s">
        <v>1507</v>
      </c>
    </row>
    <row r="190" ht="15.75" customHeight="1">
      <c r="A190" s="57">
        <v>186.0</v>
      </c>
      <c r="B190" s="55" t="s">
        <v>1503</v>
      </c>
      <c r="C190" s="58" t="s">
        <v>2315</v>
      </c>
      <c r="D190" s="57" t="s">
        <v>2317</v>
      </c>
      <c r="E190" s="57" t="s">
        <v>2318</v>
      </c>
      <c r="F190" s="57" t="s">
        <v>1507</v>
      </c>
    </row>
    <row r="191" ht="15.75" customHeight="1">
      <c r="A191" s="15">
        <v>187.0</v>
      </c>
      <c r="B191" s="55" t="s">
        <v>1503</v>
      </c>
      <c r="C191" s="56" t="s">
        <v>2321</v>
      </c>
      <c r="D191" s="15" t="s">
        <v>2322</v>
      </c>
      <c r="E191" s="15" t="s">
        <v>2323</v>
      </c>
      <c r="F191" s="15" t="s">
        <v>1507</v>
      </c>
    </row>
    <row r="192" ht="15.75" customHeight="1">
      <c r="A192" s="57">
        <v>188.0</v>
      </c>
      <c r="B192" s="55" t="s">
        <v>1503</v>
      </c>
      <c r="C192" s="58" t="s">
        <v>2325</v>
      </c>
      <c r="D192" s="57" t="s">
        <v>2326</v>
      </c>
      <c r="E192" s="57" t="s">
        <v>2327</v>
      </c>
      <c r="F192" s="57" t="s">
        <v>1507</v>
      </c>
    </row>
    <row r="193" ht="15.75" customHeight="1">
      <c r="A193" s="15">
        <v>189.0</v>
      </c>
      <c r="B193" s="55" t="s">
        <v>1503</v>
      </c>
      <c r="C193" s="56" t="s">
        <v>2329</v>
      </c>
      <c r="D193" s="15" t="s">
        <v>2330</v>
      </c>
      <c r="E193" s="15" t="s">
        <v>2332</v>
      </c>
      <c r="F193" s="15" t="s">
        <v>1507</v>
      </c>
    </row>
    <row r="194" ht="15.75" customHeight="1">
      <c r="A194" s="57">
        <v>190.0</v>
      </c>
      <c r="B194" s="55" t="s">
        <v>1503</v>
      </c>
      <c r="C194" s="58" t="s">
        <v>2334</v>
      </c>
      <c r="D194" s="57" t="s">
        <v>2335</v>
      </c>
      <c r="E194" s="57" t="s">
        <v>2336</v>
      </c>
      <c r="F194" s="57" t="s">
        <v>1507</v>
      </c>
    </row>
    <row r="195" ht="15.75" customHeight="1">
      <c r="A195" s="15">
        <v>191.0</v>
      </c>
      <c r="B195" s="55" t="s">
        <v>1503</v>
      </c>
      <c r="C195" s="56" t="s">
        <v>2338</v>
      </c>
      <c r="D195" s="15" t="s">
        <v>2339</v>
      </c>
      <c r="E195" s="15" t="s">
        <v>2341</v>
      </c>
      <c r="F195" s="15" t="s">
        <v>1507</v>
      </c>
    </row>
    <row r="196" ht="15.75" customHeight="1">
      <c r="A196" s="57">
        <v>192.0</v>
      </c>
      <c r="B196" s="55" t="s">
        <v>1503</v>
      </c>
      <c r="C196" s="58" t="s">
        <v>2344</v>
      </c>
      <c r="D196" s="57" t="s">
        <v>2345</v>
      </c>
      <c r="E196" s="57" t="s">
        <v>2346</v>
      </c>
      <c r="F196" s="57" t="s">
        <v>1507</v>
      </c>
    </row>
    <row r="197" ht="15.75" customHeight="1">
      <c r="A197" s="15">
        <v>193.0</v>
      </c>
      <c r="B197" s="55" t="s">
        <v>1503</v>
      </c>
      <c r="C197" s="56" t="s">
        <v>2348</v>
      </c>
      <c r="D197" s="15" t="s">
        <v>2349</v>
      </c>
      <c r="E197" s="15" t="s">
        <v>2350</v>
      </c>
      <c r="F197" s="15" t="s">
        <v>1507</v>
      </c>
    </row>
    <row r="198" ht="15.75" customHeight="1">
      <c r="A198" s="57">
        <v>194.0</v>
      </c>
      <c r="B198" s="55" t="s">
        <v>1503</v>
      </c>
      <c r="C198" s="58" t="s">
        <v>2352</v>
      </c>
      <c r="D198" s="57" t="s">
        <v>2354</v>
      </c>
      <c r="E198" s="57" t="s">
        <v>2355</v>
      </c>
      <c r="F198" s="57" t="s">
        <v>1507</v>
      </c>
    </row>
    <row r="199" ht="15.75" customHeight="1">
      <c r="A199" s="15">
        <v>195.0</v>
      </c>
      <c r="B199" s="55" t="s">
        <v>1503</v>
      </c>
      <c r="C199" s="56" t="s">
        <v>2359</v>
      </c>
      <c r="D199" s="15" t="s">
        <v>2361</v>
      </c>
      <c r="E199" s="15" t="s">
        <v>2364</v>
      </c>
      <c r="F199" s="15" t="s">
        <v>1507</v>
      </c>
    </row>
    <row r="200" ht="15.75" customHeight="1">
      <c r="A200" s="57">
        <v>196.0</v>
      </c>
      <c r="B200" s="55" t="s">
        <v>1503</v>
      </c>
      <c r="C200" s="58" t="s">
        <v>2369</v>
      </c>
      <c r="D200" s="57" t="s">
        <v>2370</v>
      </c>
      <c r="E200" s="57" t="s">
        <v>2371</v>
      </c>
      <c r="F200" s="57" t="s">
        <v>1507</v>
      </c>
    </row>
    <row r="201" ht="15.75" customHeight="1">
      <c r="A201" s="15">
        <v>197.0</v>
      </c>
      <c r="B201" s="55" t="s">
        <v>1503</v>
      </c>
      <c r="C201" s="56" t="s">
        <v>2374</v>
      </c>
      <c r="D201" s="15" t="s">
        <v>2375</v>
      </c>
      <c r="E201" s="15" t="s">
        <v>2376</v>
      </c>
      <c r="F201" s="15" t="s">
        <v>1507</v>
      </c>
    </row>
    <row r="202" ht="15.75" customHeight="1">
      <c r="A202" s="57">
        <v>198.0</v>
      </c>
      <c r="B202" s="55" t="s">
        <v>1503</v>
      </c>
      <c r="C202" s="58" t="s">
        <v>2378</v>
      </c>
      <c r="D202" s="57" t="s">
        <v>2379</v>
      </c>
      <c r="E202" s="57" t="s">
        <v>2381</v>
      </c>
      <c r="F202" s="57" t="s">
        <v>1507</v>
      </c>
    </row>
    <row r="203" ht="15.75" customHeight="1">
      <c r="A203" s="15">
        <v>199.0</v>
      </c>
      <c r="B203" s="55" t="s">
        <v>1503</v>
      </c>
      <c r="C203" s="56" t="s">
        <v>2383</v>
      </c>
      <c r="D203" s="15" t="s">
        <v>2385</v>
      </c>
      <c r="E203" s="15" t="s">
        <v>2386</v>
      </c>
      <c r="F203" s="15" t="s">
        <v>1507</v>
      </c>
    </row>
    <row r="204" ht="15.75" customHeight="1">
      <c r="A204" s="57">
        <v>200.0</v>
      </c>
      <c r="B204" s="55" t="s">
        <v>1503</v>
      </c>
      <c r="C204" s="58" t="s">
        <v>2387</v>
      </c>
      <c r="D204" s="57" t="s">
        <v>2389</v>
      </c>
      <c r="E204" s="57" t="s">
        <v>2390</v>
      </c>
      <c r="F204" s="57" t="s">
        <v>1507</v>
      </c>
    </row>
    <row r="205" ht="15.75" customHeight="1">
      <c r="A205" s="15">
        <v>201.0</v>
      </c>
      <c r="B205" s="55" t="s">
        <v>1503</v>
      </c>
      <c r="C205" s="56" t="s">
        <v>2393</v>
      </c>
      <c r="D205" s="15" t="s">
        <v>2395</v>
      </c>
      <c r="E205" s="15" t="s">
        <v>2397</v>
      </c>
      <c r="F205" s="15" t="s">
        <v>1507</v>
      </c>
    </row>
    <row r="206" ht="15.75" customHeight="1">
      <c r="A206" s="57">
        <v>202.0</v>
      </c>
      <c r="B206" s="55" t="s">
        <v>1503</v>
      </c>
      <c r="C206" s="58" t="s">
        <v>2399</v>
      </c>
      <c r="D206" s="57" t="s">
        <v>2400</v>
      </c>
      <c r="E206" s="57" t="s">
        <v>2401</v>
      </c>
      <c r="F206" s="57" t="s">
        <v>1507</v>
      </c>
    </row>
    <row r="207" ht="15.75" customHeight="1">
      <c r="A207" s="15">
        <v>203.0</v>
      </c>
      <c r="B207" s="55" t="s">
        <v>1503</v>
      </c>
      <c r="C207" s="56" t="s">
        <v>2404</v>
      </c>
      <c r="D207" s="15" t="s">
        <v>2405</v>
      </c>
      <c r="E207" s="15" t="s">
        <v>2407</v>
      </c>
      <c r="F207" s="15" t="s">
        <v>1507</v>
      </c>
    </row>
    <row r="208" ht="15.75" customHeight="1">
      <c r="A208" s="57">
        <v>204.0</v>
      </c>
      <c r="B208" s="55" t="s">
        <v>1503</v>
      </c>
      <c r="C208" s="58" t="s">
        <v>2408</v>
      </c>
      <c r="D208" s="57" t="s">
        <v>2409</v>
      </c>
      <c r="E208" s="57" t="s">
        <v>2411</v>
      </c>
      <c r="F208" s="57" t="s">
        <v>1507</v>
      </c>
    </row>
    <row r="209" ht="15.75" customHeight="1">
      <c r="A209" s="15">
        <v>205.0</v>
      </c>
      <c r="B209" s="55" t="s">
        <v>1503</v>
      </c>
      <c r="C209" s="56" t="s">
        <v>2413</v>
      </c>
      <c r="D209" s="15" t="s">
        <v>2414</v>
      </c>
      <c r="E209" s="15" t="s">
        <v>2415</v>
      </c>
      <c r="F209" s="15" t="s">
        <v>1507</v>
      </c>
    </row>
    <row r="210" ht="15.75" customHeight="1">
      <c r="A210" s="57">
        <v>206.0</v>
      </c>
      <c r="B210" s="55" t="s">
        <v>1503</v>
      </c>
      <c r="C210" s="58" t="s">
        <v>2420</v>
      </c>
      <c r="D210" s="57" t="s">
        <v>2421</v>
      </c>
      <c r="E210" s="57" t="s">
        <v>2422</v>
      </c>
      <c r="F210" s="57" t="s">
        <v>1507</v>
      </c>
    </row>
    <row r="211" ht="15.75" customHeight="1">
      <c r="A211" s="15">
        <v>207.0</v>
      </c>
      <c r="B211" s="55" t="s">
        <v>1503</v>
      </c>
      <c r="C211" s="56" t="s">
        <v>2428</v>
      </c>
      <c r="D211" s="15" t="s">
        <v>2429</v>
      </c>
      <c r="E211" s="15" t="s">
        <v>2431</v>
      </c>
      <c r="F211" s="15" t="s">
        <v>1507</v>
      </c>
    </row>
    <row r="212" ht="15.75" customHeight="1">
      <c r="A212" s="57">
        <v>208.0</v>
      </c>
      <c r="B212" s="55" t="s">
        <v>1503</v>
      </c>
      <c r="C212" s="58" t="s">
        <v>2434</v>
      </c>
      <c r="D212" s="57" t="s">
        <v>2435</v>
      </c>
      <c r="E212" s="57" t="s">
        <v>2436</v>
      </c>
      <c r="F212" s="57" t="s">
        <v>1507</v>
      </c>
    </row>
    <row r="213" ht="15.75" customHeight="1">
      <c r="A213" s="15">
        <v>209.0</v>
      </c>
      <c r="B213" s="55" t="s">
        <v>1503</v>
      </c>
      <c r="C213" s="56" t="s">
        <v>2438</v>
      </c>
      <c r="D213" s="15" t="s">
        <v>2439</v>
      </c>
      <c r="E213" s="15" t="s">
        <v>2440</v>
      </c>
      <c r="F213" s="15" t="s">
        <v>1507</v>
      </c>
    </row>
    <row r="214" ht="15.75" customHeight="1">
      <c r="A214" s="57">
        <v>210.0</v>
      </c>
      <c r="B214" s="55" t="s">
        <v>1503</v>
      </c>
      <c r="C214" s="58" t="s">
        <v>2442</v>
      </c>
      <c r="D214" s="57" t="s">
        <v>2444</v>
      </c>
      <c r="E214" s="57" t="s">
        <v>2445</v>
      </c>
      <c r="F214" s="57" t="s">
        <v>1507</v>
      </c>
    </row>
    <row r="215" ht="15.75" customHeight="1">
      <c r="A215" s="15">
        <v>211.0</v>
      </c>
      <c r="B215" s="55" t="s">
        <v>1503</v>
      </c>
      <c r="C215" s="56" t="s">
        <v>2447</v>
      </c>
      <c r="D215" s="15" t="s">
        <v>2448</v>
      </c>
      <c r="E215" s="15" t="s">
        <v>2449</v>
      </c>
      <c r="F215" s="15" t="s">
        <v>1507</v>
      </c>
    </row>
    <row r="216" ht="15.75" customHeight="1">
      <c r="A216" s="57">
        <v>212.0</v>
      </c>
      <c r="B216" s="55" t="s">
        <v>1503</v>
      </c>
      <c r="C216" s="58" t="s">
        <v>2451</v>
      </c>
      <c r="D216" s="57" t="s">
        <v>2453</v>
      </c>
      <c r="E216" s="57" t="s">
        <v>2454</v>
      </c>
      <c r="F216" s="57" t="s">
        <v>1507</v>
      </c>
    </row>
    <row r="217" ht="15.75" customHeight="1">
      <c r="A217" s="15">
        <v>213.0</v>
      </c>
      <c r="B217" s="55" t="s">
        <v>1503</v>
      </c>
      <c r="C217" s="56" t="s">
        <v>2457</v>
      </c>
      <c r="D217" s="15" t="s">
        <v>2458</v>
      </c>
      <c r="E217" s="15" t="s">
        <v>2459</v>
      </c>
      <c r="F217" s="15" t="s">
        <v>1507</v>
      </c>
    </row>
    <row r="218" ht="15.75" customHeight="1">
      <c r="A218" s="57">
        <v>214.0</v>
      </c>
      <c r="B218" s="55" t="s">
        <v>1503</v>
      </c>
      <c r="C218" s="58" t="s">
        <v>2461</v>
      </c>
      <c r="D218" s="57" t="s">
        <v>2462</v>
      </c>
      <c r="E218" s="57" t="s">
        <v>2463</v>
      </c>
      <c r="F218" s="57" t="s">
        <v>1507</v>
      </c>
    </row>
    <row r="219" ht="15.75" customHeight="1">
      <c r="A219" s="15">
        <v>215.0</v>
      </c>
      <c r="B219" s="55" t="s">
        <v>1503</v>
      </c>
      <c r="C219" s="56" t="s">
        <v>2465</v>
      </c>
      <c r="D219" s="15" t="s">
        <v>2467</v>
      </c>
      <c r="E219" s="15" t="s">
        <v>2468</v>
      </c>
      <c r="F219" s="15" t="s">
        <v>1507</v>
      </c>
    </row>
    <row r="220" ht="15.75" customHeight="1">
      <c r="A220" s="57">
        <v>216.0</v>
      </c>
      <c r="B220" s="55" t="s">
        <v>1503</v>
      </c>
      <c r="C220" s="58" t="s">
        <v>2470</v>
      </c>
      <c r="D220" s="57" t="s">
        <v>2471</v>
      </c>
      <c r="E220" s="57" t="s">
        <v>2473</v>
      </c>
      <c r="F220" s="57" t="s">
        <v>1507</v>
      </c>
    </row>
    <row r="221" ht="15.75" customHeight="1">
      <c r="A221" s="15">
        <v>217.0</v>
      </c>
      <c r="B221" s="55" t="s">
        <v>1503</v>
      </c>
      <c r="C221" s="56" t="s">
        <v>2475</v>
      </c>
      <c r="D221" s="15" t="s">
        <v>2476</v>
      </c>
      <c r="E221" s="15" t="s">
        <v>2477</v>
      </c>
      <c r="F221" s="15" t="s">
        <v>1507</v>
      </c>
    </row>
    <row r="222" ht="15.75" customHeight="1">
      <c r="A222" s="57">
        <v>218.0</v>
      </c>
      <c r="B222" s="55" t="s">
        <v>1503</v>
      </c>
      <c r="C222" s="58" t="s">
        <v>2482</v>
      </c>
      <c r="D222" s="57" t="s">
        <v>2483</v>
      </c>
      <c r="E222" s="57" t="s">
        <v>2484</v>
      </c>
      <c r="F222" s="57" t="s">
        <v>1507</v>
      </c>
    </row>
    <row r="223" ht="15.75" customHeight="1">
      <c r="A223" s="15">
        <v>219.0</v>
      </c>
      <c r="B223" s="55" t="s">
        <v>1503</v>
      </c>
      <c r="C223" s="56" t="s">
        <v>2489</v>
      </c>
      <c r="D223" s="15" t="s">
        <v>2490</v>
      </c>
      <c r="E223" s="15" t="s">
        <v>2492</v>
      </c>
      <c r="F223" s="15" t="s">
        <v>1507</v>
      </c>
    </row>
    <row r="224" ht="15.75" customHeight="1">
      <c r="A224" s="57">
        <v>220.0</v>
      </c>
      <c r="B224" s="55" t="s">
        <v>1503</v>
      </c>
      <c r="C224" s="58" t="s">
        <v>2494</v>
      </c>
      <c r="D224" s="57" t="s">
        <v>2495</v>
      </c>
      <c r="E224" s="57" t="s">
        <v>2496</v>
      </c>
      <c r="F224" s="57" t="s">
        <v>1507</v>
      </c>
    </row>
    <row r="225" ht="15.75" customHeight="1">
      <c r="A225" s="15">
        <v>221.0</v>
      </c>
      <c r="B225" s="55" t="s">
        <v>1503</v>
      </c>
      <c r="C225" s="56" t="s">
        <v>2499</v>
      </c>
      <c r="D225" s="15" t="s">
        <v>2500</v>
      </c>
      <c r="E225" s="15" t="s">
        <v>2501</v>
      </c>
      <c r="F225" s="15" t="s">
        <v>1507</v>
      </c>
    </row>
    <row r="226" ht="15.75" customHeight="1">
      <c r="A226" s="57">
        <v>222.0</v>
      </c>
      <c r="B226" s="55" t="s">
        <v>1503</v>
      </c>
      <c r="C226" s="58" t="s">
        <v>2503</v>
      </c>
      <c r="D226" s="57" t="s">
        <v>2505</v>
      </c>
      <c r="E226" s="57" t="s">
        <v>2506</v>
      </c>
      <c r="F226" s="57" t="s">
        <v>1507</v>
      </c>
    </row>
    <row r="227" ht="15.75" customHeight="1">
      <c r="A227" s="15">
        <v>223.0</v>
      </c>
      <c r="B227" s="55" t="s">
        <v>1503</v>
      </c>
      <c r="C227" s="56" t="s">
        <v>2509</v>
      </c>
      <c r="D227" s="15" t="s">
        <v>2510</v>
      </c>
      <c r="E227" s="15" t="s">
        <v>2511</v>
      </c>
      <c r="F227" s="15" t="s">
        <v>1507</v>
      </c>
    </row>
    <row r="228" ht="15.75" customHeight="1">
      <c r="A228" s="57">
        <v>224.0</v>
      </c>
      <c r="B228" s="55" t="s">
        <v>1503</v>
      </c>
      <c r="C228" s="58" t="s">
        <v>2514</v>
      </c>
      <c r="D228" s="57" t="s">
        <v>2515</v>
      </c>
      <c r="E228" s="57" t="s">
        <v>2516</v>
      </c>
      <c r="F228" s="57" t="s">
        <v>1507</v>
      </c>
    </row>
    <row r="229" ht="15.75" customHeight="1">
      <c r="A229" s="15">
        <v>225.0</v>
      </c>
      <c r="B229" s="55" t="s">
        <v>1503</v>
      </c>
      <c r="C229" s="56" t="s">
        <v>2519</v>
      </c>
      <c r="D229" s="15" t="s">
        <v>2520</v>
      </c>
      <c r="E229" s="15" t="s">
        <v>2521</v>
      </c>
      <c r="F229" s="15" t="s">
        <v>1507</v>
      </c>
    </row>
    <row r="230" ht="15.75" customHeight="1">
      <c r="A230" s="57">
        <v>226.0</v>
      </c>
      <c r="B230" s="55" t="s">
        <v>1503</v>
      </c>
      <c r="C230" s="58" t="s">
        <v>2523</v>
      </c>
      <c r="D230" s="57" t="s">
        <v>2525</v>
      </c>
      <c r="E230" s="57" t="s">
        <v>2526</v>
      </c>
      <c r="F230" s="57" t="s">
        <v>1507</v>
      </c>
    </row>
    <row r="231" ht="15.75" customHeight="1">
      <c r="A231" s="15">
        <v>227.0</v>
      </c>
      <c r="B231" s="59" t="s">
        <v>2529</v>
      </c>
      <c r="C231" s="56" t="s">
        <v>922</v>
      </c>
      <c r="D231" s="15" t="s">
        <v>923</v>
      </c>
      <c r="E231" s="15" t="s">
        <v>2532</v>
      </c>
      <c r="F231" s="15" t="s">
        <v>2533</v>
      </c>
    </row>
    <row r="232" ht="15.75" customHeight="1">
      <c r="A232" s="57">
        <v>228.0</v>
      </c>
      <c r="B232" s="59" t="s">
        <v>2529</v>
      </c>
      <c r="C232" s="58" t="s">
        <v>2538</v>
      </c>
      <c r="D232" s="57" t="s">
        <v>961</v>
      </c>
      <c r="E232" s="57" t="s">
        <v>2539</v>
      </c>
      <c r="F232" s="57" t="s">
        <v>2541</v>
      </c>
    </row>
    <row r="233" ht="15.75" customHeight="1">
      <c r="A233" s="15">
        <v>229.0</v>
      </c>
      <c r="B233" s="59" t="s">
        <v>2529</v>
      </c>
      <c r="C233" s="56" t="s">
        <v>2548</v>
      </c>
      <c r="D233" s="15" t="s">
        <v>928</v>
      </c>
      <c r="E233" s="15" t="s">
        <v>2550</v>
      </c>
      <c r="F233" s="15" t="s">
        <v>2552</v>
      </c>
    </row>
    <row r="234" ht="15.75" customHeight="1">
      <c r="A234" s="57">
        <v>230.0</v>
      </c>
      <c r="B234" s="59" t="s">
        <v>2529</v>
      </c>
      <c r="C234" s="58" t="s">
        <v>970</v>
      </c>
      <c r="D234" s="57" t="s">
        <v>973</v>
      </c>
      <c r="E234" s="57" t="s">
        <v>2554</v>
      </c>
      <c r="F234" s="57" t="s">
        <v>2556</v>
      </c>
    </row>
    <row r="235" ht="15.75" customHeight="1">
      <c r="A235" s="15">
        <v>231.0</v>
      </c>
      <c r="B235" s="59" t="s">
        <v>2529</v>
      </c>
      <c r="C235" s="56" t="s">
        <v>932</v>
      </c>
      <c r="D235" s="15" t="s">
        <v>933</v>
      </c>
      <c r="E235" s="15" t="s">
        <v>2559</v>
      </c>
      <c r="F235" s="15" t="s">
        <v>2561</v>
      </c>
    </row>
    <row r="236" ht="15.75" customHeight="1">
      <c r="A236" s="57">
        <v>232.0</v>
      </c>
      <c r="B236" s="59" t="s">
        <v>2529</v>
      </c>
      <c r="C236" s="58" t="s">
        <v>2563</v>
      </c>
      <c r="D236" s="57" t="s">
        <v>937</v>
      </c>
      <c r="E236" s="57" t="s">
        <v>2565</v>
      </c>
      <c r="F236" s="57" t="s">
        <v>2566</v>
      </c>
    </row>
    <row r="237" ht="15.75" customHeight="1">
      <c r="A237" s="15">
        <v>233.0</v>
      </c>
      <c r="B237" s="59" t="s">
        <v>2529</v>
      </c>
      <c r="C237" s="56" t="s">
        <v>941</v>
      </c>
      <c r="D237" s="15" t="s">
        <v>942</v>
      </c>
      <c r="E237" s="15" t="s">
        <v>2570</v>
      </c>
      <c r="F237" s="15" t="s">
        <v>2572</v>
      </c>
    </row>
    <row r="238" ht="15.75" customHeight="1">
      <c r="A238" s="57">
        <v>234.0</v>
      </c>
      <c r="B238" s="59" t="s">
        <v>2529</v>
      </c>
      <c r="C238" s="58" t="s">
        <v>2574</v>
      </c>
      <c r="D238" s="57" t="s">
        <v>948</v>
      </c>
      <c r="E238" s="57" t="s">
        <v>2576</v>
      </c>
      <c r="F238" s="57" t="s">
        <v>2577</v>
      </c>
    </row>
    <row r="239" ht="15.75" customHeight="1">
      <c r="A239" s="15">
        <v>235.0</v>
      </c>
      <c r="B239" s="59" t="s">
        <v>2529</v>
      </c>
      <c r="C239" s="56" t="s">
        <v>2580</v>
      </c>
      <c r="D239" s="15" t="s">
        <v>952</v>
      </c>
      <c r="E239" s="15" t="s">
        <v>2582</v>
      </c>
      <c r="F239" s="15" t="s">
        <v>2583</v>
      </c>
    </row>
    <row r="240" ht="15.75" customHeight="1">
      <c r="A240" s="57">
        <v>236.0</v>
      </c>
      <c r="B240" s="59" t="s">
        <v>2529</v>
      </c>
      <c r="C240" s="58" t="s">
        <v>977</v>
      </c>
      <c r="D240" s="57" t="s">
        <v>978</v>
      </c>
      <c r="E240" s="57" t="s">
        <v>2587</v>
      </c>
      <c r="F240" s="57" t="s">
        <v>2588</v>
      </c>
    </row>
    <row r="241" ht="15.75" customHeight="1">
      <c r="A241" s="15">
        <v>237.0</v>
      </c>
      <c r="B241" s="59" t="s">
        <v>2529</v>
      </c>
      <c r="C241" s="56" t="s">
        <v>984</v>
      </c>
      <c r="D241" s="15" t="s">
        <v>986</v>
      </c>
      <c r="E241" s="15" t="s">
        <v>2593</v>
      </c>
      <c r="F241" s="15" t="s">
        <v>2595</v>
      </c>
    </row>
    <row r="242" ht="15.75" customHeight="1">
      <c r="A242" s="57">
        <v>238.0</v>
      </c>
      <c r="B242" s="59" t="s">
        <v>2529</v>
      </c>
      <c r="C242" s="58" t="s">
        <v>2600</v>
      </c>
      <c r="D242" s="57" t="s">
        <v>992</v>
      </c>
      <c r="E242" s="57" t="s">
        <v>2602</v>
      </c>
      <c r="F242" s="57" t="s">
        <v>2604</v>
      </c>
    </row>
    <row r="243" ht="15.75" customHeight="1">
      <c r="A243" s="15">
        <v>239.0</v>
      </c>
      <c r="B243" s="60" t="s">
        <v>2611</v>
      </c>
      <c r="C243" s="56" t="s">
        <v>2615</v>
      </c>
      <c r="D243" s="15" t="s">
        <v>2618</v>
      </c>
      <c r="E243" s="15" t="s">
        <v>2620</v>
      </c>
      <c r="F243" s="15" t="s">
        <v>2622</v>
      </c>
    </row>
    <row r="244" ht="15.75" customHeight="1">
      <c r="A244" s="57">
        <v>240.0</v>
      </c>
      <c r="B244" s="60" t="s">
        <v>2611</v>
      </c>
      <c r="C244" s="58" t="s">
        <v>2625</v>
      </c>
      <c r="D244" s="57" t="s">
        <v>2626</v>
      </c>
      <c r="E244" s="57" t="s">
        <v>2628</v>
      </c>
      <c r="F244" s="57" t="s">
        <v>2622</v>
      </c>
    </row>
    <row r="245" ht="15.75" customHeight="1">
      <c r="A245" s="15">
        <v>241.0</v>
      </c>
      <c r="B245" s="60" t="s">
        <v>2611</v>
      </c>
      <c r="C245" s="56" t="s">
        <v>2633</v>
      </c>
      <c r="D245" s="15" t="s">
        <v>2636</v>
      </c>
      <c r="E245" s="15" t="s">
        <v>2639</v>
      </c>
      <c r="F245" s="15" t="s">
        <v>2622</v>
      </c>
    </row>
    <row r="246" ht="15.75" customHeight="1">
      <c r="A246" s="57">
        <v>242.0</v>
      </c>
      <c r="B246" s="60" t="s">
        <v>2611</v>
      </c>
      <c r="C246" s="58" t="s">
        <v>2642</v>
      </c>
      <c r="D246" s="57" t="s">
        <v>2645</v>
      </c>
      <c r="E246" s="57" t="s">
        <v>2647</v>
      </c>
      <c r="F246" s="57" t="s">
        <v>2622</v>
      </c>
    </row>
    <row r="247" ht="15.75" customHeight="1">
      <c r="A247" s="15">
        <v>243.0</v>
      </c>
      <c r="B247" s="60" t="s">
        <v>2611</v>
      </c>
      <c r="C247" s="56" t="s">
        <v>2651</v>
      </c>
      <c r="D247" s="15" t="s">
        <v>2653</v>
      </c>
      <c r="E247" s="15" t="s">
        <v>2655</v>
      </c>
      <c r="F247" s="15" t="s">
        <v>2622</v>
      </c>
    </row>
    <row r="248" ht="15.75" customHeight="1">
      <c r="A248" s="57">
        <v>244.0</v>
      </c>
      <c r="B248" s="60" t="s">
        <v>2611</v>
      </c>
      <c r="C248" s="58" t="s">
        <v>2659</v>
      </c>
      <c r="D248" s="57" t="s">
        <v>2661</v>
      </c>
      <c r="E248" s="57" t="s">
        <v>2662</v>
      </c>
      <c r="F248" s="57" t="s">
        <v>2622</v>
      </c>
    </row>
    <row r="249" ht="15.75" customHeight="1">
      <c r="A249" s="15">
        <v>245.0</v>
      </c>
      <c r="B249" s="60" t="s">
        <v>2611</v>
      </c>
      <c r="C249" s="56" t="s">
        <v>2667</v>
      </c>
      <c r="D249" s="15" t="s">
        <v>2670</v>
      </c>
      <c r="E249" s="15" t="s">
        <v>2671</v>
      </c>
      <c r="F249" s="15" t="s">
        <v>2622</v>
      </c>
    </row>
    <row r="250" ht="15.75" customHeight="1">
      <c r="A250" s="57">
        <v>246.0</v>
      </c>
      <c r="B250" s="60" t="s">
        <v>2611</v>
      </c>
      <c r="C250" s="58" t="s">
        <v>2674</v>
      </c>
      <c r="D250" s="57" t="s">
        <v>2675</v>
      </c>
      <c r="E250" s="57" t="s">
        <v>2677</v>
      </c>
      <c r="F250" s="57" t="s">
        <v>2622</v>
      </c>
    </row>
    <row r="251" ht="15.75" customHeight="1">
      <c r="A251" s="15">
        <v>247.0</v>
      </c>
      <c r="B251" s="60" t="s">
        <v>2611</v>
      </c>
      <c r="C251" s="56" t="s">
        <v>2680</v>
      </c>
      <c r="D251" s="15" t="s">
        <v>2682</v>
      </c>
      <c r="E251" s="15" t="s">
        <v>2684</v>
      </c>
      <c r="F251" s="15" t="s">
        <v>2622</v>
      </c>
    </row>
    <row r="252" ht="15.75" customHeight="1">
      <c r="A252" s="57">
        <v>248.0</v>
      </c>
      <c r="B252" s="60" t="s">
        <v>2611</v>
      </c>
      <c r="C252" s="58" t="s">
        <v>2691</v>
      </c>
      <c r="D252" s="57" t="s">
        <v>2692</v>
      </c>
      <c r="E252" s="57" t="s">
        <v>2695</v>
      </c>
      <c r="F252" s="57" t="s">
        <v>2622</v>
      </c>
    </row>
    <row r="253" ht="15.75" customHeight="1">
      <c r="A253" s="15">
        <v>249.0</v>
      </c>
      <c r="B253" s="55" t="s">
        <v>2702</v>
      </c>
      <c r="C253" s="56" t="s">
        <v>2704</v>
      </c>
      <c r="D253" s="15" t="s">
        <v>2706</v>
      </c>
      <c r="E253" s="15" t="s">
        <v>2708</v>
      </c>
      <c r="F253" s="15" t="s">
        <v>2709</v>
      </c>
    </row>
    <row r="254" ht="15.75" customHeight="1">
      <c r="A254" s="57">
        <v>250.0</v>
      </c>
      <c r="B254" s="55" t="s">
        <v>2702</v>
      </c>
      <c r="C254" s="58" t="s">
        <v>2716</v>
      </c>
      <c r="D254" s="57" t="s">
        <v>2717</v>
      </c>
      <c r="E254" s="57" t="s">
        <v>2718</v>
      </c>
      <c r="F254" s="57" t="s">
        <v>2709</v>
      </c>
    </row>
    <row r="255" ht="15.75" customHeight="1">
      <c r="A255" s="15">
        <v>251.0</v>
      </c>
      <c r="B255" s="55" t="s">
        <v>2702</v>
      </c>
      <c r="C255" s="56" t="s">
        <v>2724</v>
      </c>
      <c r="D255" s="15" t="s">
        <v>2726</v>
      </c>
      <c r="E255" s="15" t="s">
        <v>2727</v>
      </c>
      <c r="F255" s="15" t="s">
        <v>2709</v>
      </c>
    </row>
    <row r="256" ht="15.75" customHeight="1">
      <c r="A256" s="57">
        <v>252.0</v>
      </c>
      <c r="B256" s="55" t="s">
        <v>2702</v>
      </c>
      <c r="C256" s="58" t="s">
        <v>2730</v>
      </c>
      <c r="D256" s="57" t="s">
        <v>2732</v>
      </c>
      <c r="E256" s="57" t="s">
        <v>2734</v>
      </c>
      <c r="F256" s="57" t="s">
        <v>2709</v>
      </c>
    </row>
    <row r="257" ht="15.75" customHeight="1">
      <c r="A257" s="15">
        <v>253.0</v>
      </c>
      <c r="B257" s="55" t="s">
        <v>2702</v>
      </c>
      <c r="C257" s="56" t="s">
        <v>2736</v>
      </c>
      <c r="D257" s="15" t="s">
        <v>2738</v>
      </c>
      <c r="E257" s="15" t="s">
        <v>2740</v>
      </c>
      <c r="F257" s="15" t="s">
        <v>2709</v>
      </c>
    </row>
    <row r="258" ht="15.75" customHeight="1">
      <c r="A258" s="57">
        <v>254.0</v>
      </c>
      <c r="B258" s="55" t="s">
        <v>2702</v>
      </c>
      <c r="C258" s="58" t="s">
        <v>2744</v>
      </c>
      <c r="D258" s="57" t="s">
        <v>2746</v>
      </c>
      <c r="E258" s="57" t="s">
        <v>2747</v>
      </c>
      <c r="F258" s="57" t="s">
        <v>2709</v>
      </c>
    </row>
    <row r="259" ht="15.75" customHeight="1">
      <c r="A259" s="15">
        <v>255.0</v>
      </c>
      <c r="B259" s="55" t="s">
        <v>2702</v>
      </c>
      <c r="C259" s="56" t="s">
        <v>2753</v>
      </c>
      <c r="D259" s="15" t="s">
        <v>2755</v>
      </c>
      <c r="E259" s="15" t="s">
        <v>2758</v>
      </c>
      <c r="F259" s="15" t="s">
        <v>2709</v>
      </c>
    </row>
    <row r="260" ht="15.75" customHeight="1">
      <c r="A260" s="57">
        <v>256.0</v>
      </c>
      <c r="B260" s="55" t="s">
        <v>2702</v>
      </c>
      <c r="C260" s="58" t="s">
        <v>2762</v>
      </c>
      <c r="D260" s="57" t="s">
        <v>2766</v>
      </c>
      <c r="E260" s="57" t="s">
        <v>2767</v>
      </c>
      <c r="F260" s="57" t="s">
        <v>2709</v>
      </c>
    </row>
    <row r="261" ht="15.75" customHeight="1">
      <c r="A261" s="15">
        <v>257.0</v>
      </c>
      <c r="B261" s="61" t="s">
        <v>2773</v>
      </c>
      <c r="C261" s="56" t="s">
        <v>2780</v>
      </c>
      <c r="D261" s="15" t="s">
        <v>2781</v>
      </c>
      <c r="E261" s="15" t="s">
        <v>2782</v>
      </c>
      <c r="F261" s="15" t="s">
        <v>2785</v>
      </c>
    </row>
    <row r="262" ht="15.75" customHeight="1">
      <c r="A262" s="57">
        <v>258.0</v>
      </c>
      <c r="B262" s="61" t="s">
        <v>2773</v>
      </c>
      <c r="C262" s="58" t="s">
        <v>2790</v>
      </c>
      <c r="D262" s="57" t="s">
        <v>2791</v>
      </c>
      <c r="E262" s="57" t="s">
        <v>2793</v>
      </c>
      <c r="F262" s="57" t="s">
        <v>2785</v>
      </c>
    </row>
    <row r="263" ht="15.75" customHeight="1">
      <c r="A263" s="15">
        <v>259.0</v>
      </c>
      <c r="B263" s="61" t="s">
        <v>2773</v>
      </c>
      <c r="C263" s="56" t="s">
        <v>2798</v>
      </c>
      <c r="D263" s="15" t="s">
        <v>2799</v>
      </c>
      <c r="E263" s="15" t="s">
        <v>2800</v>
      </c>
      <c r="F263" s="15" t="s">
        <v>2785</v>
      </c>
    </row>
    <row r="264" ht="15.75" customHeight="1">
      <c r="A264" s="57">
        <v>260.0</v>
      </c>
      <c r="B264" s="61" t="s">
        <v>2773</v>
      </c>
      <c r="C264" s="58" t="s">
        <v>2802</v>
      </c>
      <c r="D264" s="57" t="s">
        <v>2803</v>
      </c>
      <c r="E264" s="57" t="s">
        <v>2805</v>
      </c>
      <c r="F264" s="57" t="s">
        <v>2785</v>
      </c>
    </row>
    <row r="265" ht="15.75" customHeight="1">
      <c r="A265" s="15">
        <v>261.0</v>
      </c>
      <c r="B265" s="61" t="s">
        <v>2773</v>
      </c>
      <c r="C265" s="56" t="s">
        <v>2807</v>
      </c>
      <c r="D265" s="15" t="s">
        <v>2809</v>
      </c>
      <c r="E265" s="15" t="s">
        <v>2810</v>
      </c>
      <c r="F265" s="15" t="s">
        <v>2785</v>
      </c>
    </row>
    <row r="266" ht="15.75" customHeight="1">
      <c r="A266" s="57">
        <v>262.0</v>
      </c>
      <c r="B266" s="61" t="s">
        <v>2773</v>
      </c>
      <c r="C266" s="58" t="s">
        <v>2812</v>
      </c>
      <c r="D266" s="57" t="s">
        <v>2813</v>
      </c>
      <c r="E266" s="57" t="s">
        <v>2814</v>
      </c>
      <c r="F266" s="57" t="s">
        <v>2785</v>
      </c>
    </row>
    <row r="267" ht="15.75" customHeight="1">
      <c r="A267" s="15">
        <v>263.0</v>
      </c>
      <c r="B267" s="61" t="s">
        <v>2773</v>
      </c>
      <c r="C267" s="56" t="s">
        <v>2816</v>
      </c>
      <c r="D267" s="15" t="s">
        <v>2818</v>
      </c>
      <c r="E267" s="15" t="s">
        <v>2819</v>
      </c>
      <c r="F267" s="15" t="s">
        <v>2785</v>
      </c>
    </row>
    <row r="268" ht="15.75" customHeight="1">
      <c r="A268" s="57">
        <v>264.0</v>
      </c>
      <c r="B268" s="61" t="s">
        <v>2773</v>
      </c>
      <c r="C268" s="58" t="s">
        <v>2821</v>
      </c>
      <c r="D268" s="57" t="s">
        <v>2822</v>
      </c>
      <c r="E268" s="57" t="s">
        <v>2823</v>
      </c>
      <c r="F268" s="57" t="s">
        <v>2785</v>
      </c>
    </row>
    <row r="269" ht="15.75" customHeight="1">
      <c r="A269" s="15">
        <v>265.0</v>
      </c>
      <c r="B269" s="61" t="s">
        <v>2773</v>
      </c>
      <c r="C269" s="56" t="s">
        <v>2826</v>
      </c>
      <c r="D269" s="15" t="s">
        <v>2827</v>
      </c>
      <c r="E269" s="15" t="s">
        <v>2828</v>
      </c>
      <c r="F269" s="15" t="s">
        <v>2785</v>
      </c>
    </row>
    <row r="270" ht="15.75" customHeight="1">
      <c r="A270" s="57">
        <v>266.0</v>
      </c>
      <c r="B270" s="61" t="s">
        <v>2773</v>
      </c>
      <c r="C270" s="58" t="s">
        <v>2831</v>
      </c>
      <c r="D270" s="57" t="s">
        <v>2832</v>
      </c>
      <c r="E270" s="57" t="s">
        <v>2833</v>
      </c>
      <c r="F270" s="57" t="s">
        <v>2785</v>
      </c>
    </row>
    <row r="271" ht="15.75" customHeight="1">
      <c r="A271" s="15">
        <v>267.0</v>
      </c>
      <c r="B271" s="61" t="s">
        <v>2773</v>
      </c>
      <c r="C271" s="56" t="s">
        <v>2835</v>
      </c>
      <c r="D271" s="15" t="s">
        <v>2836</v>
      </c>
      <c r="E271" s="15" t="s">
        <v>2838</v>
      </c>
      <c r="F271" s="15" t="s">
        <v>2785</v>
      </c>
    </row>
    <row r="272" ht="15.75" customHeight="1">
      <c r="A272" s="57">
        <v>268.0</v>
      </c>
      <c r="B272" s="61" t="s">
        <v>2773</v>
      </c>
      <c r="C272" s="58" t="s">
        <v>2840</v>
      </c>
      <c r="D272" s="57" t="s">
        <v>2842</v>
      </c>
      <c r="E272" s="57" t="s">
        <v>2843</v>
      </c>
      <c r="F272" s="57" t="s">
        <v>2785</v>
      </c>
    </row>
    <row r="273" ht="15.75" customHeight="1">
      <c r="A273" s="15">
        <v>269.0</v>
      </c>
      <c r="B273" s="55" t="s">
        <v>2844</v>
      </c>
      <c r="C273" s="56" t="s">
        <v>2846</v>
      </c>
      <c r="D273" s="15" t="s">
        <v>2847</v>
      </c>
      <c r="E273" s="15" t="s">
        <v>2848</v>
      </c>
      <c r="F273" s="15" t="s">
        <v>2849</v>
      </c>
    </row>
    <row r="274" ht="15.75" customHeight="1">
      <c r="A274" s="57">
        <v>270.0</v>
      </c>
      <c r="B274" s="55" t="s">
        <v>2844</v>
      </c>
      <c r="C274" s="58" t="s">
        <v>2852</v>
      </c>
      <c r="D274" s="57" t="s">
        <v>2854</v>
      </c>
      <c r="E274" s="57" t="s">
        <v>2856</v>
      </c>
      <c r="F274" s="57" t="s">
        <v>2849</v>
      </c>
    </row>
    <row r="275" ht="15.75" customHeight="1">
      <c r="A275" s="15">
        <v>271.0</v>
      </c>
      <c r="B275" s="55" t="s">
        <v>2844</v>
      </c>
      <c r="C275" s="56" t="s">
        <v>2861</v>
      </c>
      <c r="D275" s="15" t="s">
        <v>2862</v>
      </c>
      <c r="E275" s="15" t="s">
        <v>2865</v>
      </c>
      <c r="F275" s="15" t="s">
        <v>2849</v>
      </c>
    </row>
    <row r="276" ht="15.75" customHeight="1">
      <c r="A276" s="57">
        <v>272.0</v>
      </c>
      <c r="B276" s="55" t="s">
        <v>2844</v>
      </c>
      <c r="C276" s="58" t="s">
        <v>2867</v>
      </c>
      <c r="D276" s="57" t="s">
        <v>2869</v>
      </c>
      <c r="E276" s="57" t="s">
        <v>2871</v>
      </c>
      <c r="F276" s="57" t="s">
        <v>2849</v>
      </c>
    </row>
    <row r="277" ht="15.75" customHeight="1">
      <c r="A277" s="15">
        <v>273.0</v>
      </c>
      <c r="B277" s="55" t="s">
        <v>2844</v>
      </c>
      <c r="C277" s="56" t="s">
        <v>2873</v>
      </c>
      <c r="D277" s="15" t="s">
        <v>2874</v>
      </c>
      <c r="E277" s="15" t="s">
        <v>2875</v>
      </c>
      <c r="F277" s="15" t="s">
        <v>2849</v>
      </c>
    </row>
    <row r="278" ht="15.75" customHeight="1">
      <c r="A278" s="57">
        <v>274.0</v>
      </c>
      <c r="B278" s="55" t="s">
        <v>2844</v>
      </c>
      <c r="C278" s="58" t="s">
        <v>2879</v>
      </c>
      <c r="D278" s="57" t="s">
        <v>2880</v>
      </c>
      <c r="E278" s="57" t="s">
        <v>2881</v>
      </c>
      <c r="F278" s="57" t="s">
        <v>2849</v>
      </c>
    </row>
    <row r="279" ht="15.75" customHeight="1">
      <c r="A279" s="15">
        <v>275.0</v>
      </c>
      <c r="B279" s="55" t="s">
        <v>2844</v>
      </c>
      <c r="C279" s="56" t="s">
        <v>2883</v>
      </c>
      <c r="D279" s="15" t="s">
        <v>2885</v>
      </c>
      <c r="E279" s="15" t="s">
        <v>2886</v>
      </c>
      <c r="F279" s="15" t="s">
        <v>2849</v>
      </c>
    </row>
    <row r="280" ht="15.75" customHeight="1">
      <c r="A280" s="57">
        <v>276.0</v>
      </c>
      <c r="B280" s="55" t="s">
        <v>2844</v>
      </c>
      <c r="C280" s="58" t="s">
        <v>2889</v>
      </c>
      <c r="D280" s="57" t="s">
        <v>2890</v>
      </c>
      <c r="E280" s="57" t="s">
        <v>2891</v>
      </c>
      <c r="F280" s="57" t="s">
        <v>2849</v>
      </c>
    </row>
    <row r="281" ht="15.75" customHeight="1">
      <c r="A281" s="15">
        <v>277.0</v>
      </c>
      <c r="B281" s="62" t="s">
        <v>2893</v>
      </c>
      <c r="C281" s="56" t="s">
        <v>2896</v>
      </c>
      <c r="D281" s="15" t="s">
        <v>2897</v>
      </c>
      <c r="E281" s="15" t="s">
        <v>2899</v>
      </c>
      <c r="F281" s="15" t="s">
        <v>2900</v>
      </c>
    </row>
    <row r="282" ht="15.75" customHeight="1">
      <c r="A282" s="57">
        <v>278.0</v>
      </c>
      <c r="B282" s="62" t="s">
        <v>2893</v>
      </c>
      <c r="C282" s="58" t="s">
        <v>2901</v>
      </c>
      <c r="D282" s="57" t="s">
        <v>2903</v>
      </c>
      <c r="E282" s="57" t="s">
        <v>2904</v>
      </c>
      <c r="F282" s="57" t="s">
        <v>2900</v>
      </c>
    </row>
    <row r="283" ht="15.75" customHeight="1">
      <c r="A283" s="15">
        <v>279.0</v>
      </c>
      <c r="B283" s="62" t="s">
        <v>2893</v>
      </c>
      <c r="C283" s="56" t="s">
        <v>2906</v>
      </c>
      <c r="D283" s="15" t="s">
        <v>2907</v>
      </c>
      <c r="E283" s="15" t="s">
        <v>2909</v>
      </c>
      <c r="F283" s="15" t="s">
        <v>2900</v>
      </c>
    </row>
    <row r="284" ht="15.75" customHeight="1">
      <c r="A284" s="57">
        <v>280.0</v>
      </c>
      <c r="B284" s="62" t="s">
        <v>2893</v>
      </c>
      <c r="C284" s="58" t="s">
        <v>2911</v>
      </c>
      <c r="D284" s="57" t="s">
        <v>2912</v>
      </c>
      <c r="E284" s="57" t="s">
        <v>2914</v>
      </c>
      <c r="F284" s="57" t="s">
        <v>2900</v>
      </c>
    </row>
    <row r="285" ht="15.75" customHeight="1">
      <c r="A285" s="15">
        <v>281.0</v>
      </c>
      <c r="B285" s="62" t="s">
        <v>2893</v>
      </c>
      <c r="C285" s="56" t="s">
        <v>2917</v>
      </c>
      <c r="D285" s="15" t="s">
        <v>2919</v>
      </c>
      <c r="E285" s="15" t="s">
        <v>2920</v>
      </c>
      <c r="F285" s="15" t="s">
        <v>2900</v>
      </c>
    </row>
    <row r="286" ht="15.75" customHeight="1">
      <c r="A286" s="57">
        <v>282.0</v>
      </c>
      <c r="B286" s="62" t="s">
        <v>2893</v>
      </c>
      <c r="C286" s="58" t="s">
        <v>2926</v>
      </c>
      <c r="D286" s="57" t="s">
        <v>2928</v>
      </c>
      <c r="E286" s="57" t="s">
        <v>2929</v>
      </c>
      <c r="F286" s="57" t="s">
        <v>2900</v>
      </c>
    </row>
    <row r="287" ht="15.75" customHeight="1">
      <c r="A287" s="15">
        <v>283.0</v>
      </c>
      <c r="B287" s="62" t="s">
        <v>2893</v>
      </c>
      <c r="C287" s="56" t="s">
        <v>2932</v>
      </c>
      <c r="D287" s="15" t="s">
        <v>2933</v>
      </c>
      <c r="E287" s="15" t="s">
        <v>2934</v>
      </c>
      <c r="F287" s="15" t="s">
        <v>2900</v>
      </c>
    </row>
    <row r="288" ht="15.75" customHeight="1">
      <c r="A288" s="57">
        <v>284.0</v>
      </c>
      <c r="B288" s="62" t="s">
        <v>2893</v>
      </c>
      <c r="C288" s="58" t="s">
        <v>2937</v>
      </c>
      <c r="D288" s="57" t="s">
        <v>2938</v>
      </c>
      <c r="E288" s="57" t="s">
        <v>2939</v>
      </c>
      <c r="F288" s="57" t="s">
        <v>2900</v>
      </c>
    </row>
    <row r="289" ht="15.75" customHeight="1">
      <c r="A289" s="15">
        <v>285.0</v>
      </c>
      <c r="B289" s="62" t="s">
        <v>2893</v>
      </c>
      <c r="C289" s="56" t="s">
        <v>2941</v>
      </c>
      <c r="D289" s="15" t="s">
        <v>2942</v>
      </c>
      <c r="E289" s="15" t="s">
        <v>2944</v>
      </c>
      <c r="F289" s="15" t="s">
        <v>2900</v>
      </c>
    </row>
    <row r="290" ht="15.75" customHeight="1">
      <c r="A290" s="57">
        <v>286.0</v>
      </c>
      <c r="B290" s="62" t="s">
        <v>2893</v>
      </c>
      <c r="C290" s="58" t="s">
        <v>2946</v>
      </c>
      <c r="D290" s="57" t="s">
        <v>2948</v>
      </c>
      <c r="E290" s="57" t="s">
        <v>2949</v>
      </c>
      <c r="F290" s="57" t="s">
        <v>2900</v>
      </c>
    </row>
    <row r="291" ht="15.75" customHeight="1">
      <c r="A291" s="15">
        <v>287.0</v>
      </c>
      <c r="B291" s="62" t="s">
        <v>2893</v>
      </c>
      <c r="C291" s="56" t="s">
        <v>2950</v>
      </c>
      <c r="D291" s="15" t="s">
        <v>2952</v>
      </c>
      <c r="E291" s="15" t="s">
        <v>2953</v>
      </c>
      <c r="F291" s="15" t="s">
        <v>2900</v>
      </c>
    </row>
    <row r="292" ht="15.75" customHeight="1">
      <c r="A292" s="57">
        <v>288.0</v>
      </c>
      <c r="B292" s="62" t="s">
        <v>2893</v>
      </c>
      <c r="C292" s="58" t="s">
        <v>2955</v>
      </c>
      <c r="D292" s="57" t="s">
        <v>2956</v>
      </c>
      <c r="E292" s="57" t="s">
        <v>2958</v>
      </c>
      <c r="F292" s="57" t="s">
        <v>2900</v>
      </c>
    </row>
    <row r="293" ht="15.75" customHeight="1">
      <c r="A293" s="15">
        <v>289.0</v>
      </c>
      <c r="B293" s="62" t="s">
        <v>2893</v>
      </c>
      <c r="C293" s="56" t="s">
        <v>2960</v>
      </c>
      <c r="D293" s="15" t="s">
        <v>2961</v>
      </c>
      <c r="E293" s="15" t="s">
        <v>2962</v>
      </c>
      <c r="F293" s="15" t="s">
        <v>2900</v>
      </c>
    </row>
    <row r="294" ht="15.75" customHeight="1">
      <c r="A294" s="57">
        <v>290.0</v>
      </c>
      <c r="B294" s="62" t="s">
        <v>2893</v>
      </c>
      <c r="C294" s="58" t="s">
        <v>2964</v>
      </c>
      <c r="D294" s="57" t="s">
        <v>2965</v>
      </c>
      <c r="E294" s="57" t="s">
        <v>2967</v>
      </c>
      <c r="F294" s="57" t="s">
        <v>2900</v>
      </c>
    </row>
    <row r="295" ht="15.75" customHeight="1">
      <c r="A295" s="15">
        <v>291.0</v>
      </c>
      <c r="B295" s="62" t="s">
        <v>2893</v>
      </c>
      <c r="C295" s="56" t="s">
        <v>2970</v>
      </c>
      <c r="D295" s="15" t="s">
        <v>2971</v>
      </c>
      <c r="E295" s="15" t="s">
        <v>2972</v>
      </c>
      <c r="F295" s="15" t="s">
        <v>2900</v>
      </c>
    </row>
    <row r="296" ht="15.75" customHeight="1">
      <c r="A296" s="57">
        <v>292.0</v>
      </c>
      <c r="B296" s="62" t="s">
        <v>2893</v>
      </c>
      <c r="C296" s="58" t="s">
        <v>2974</v>
      </c>
      <c r="D296" s="57" t="s">
        <v>2975</v>
      </c>
      <c r="E296" s="57" t="s">
        <v>2976</v>
      </c>
      <c r="F296" s="57" t="s">
        <v>2900</v>
      </c>
    </row>
    <row r="297" ht="15.75" customHeight="1">
      <c r="A297" s="15">
        <v>293.0</v>
      </c>
      <c r="B297" s="62" t="s">
        <v>2893</v>
      </c>
      <c r="C297" s="56" t="s">
        <v>2978</v>
      </c>
      <c r="D297" s="15" t="s">
        <v>2979</v>
      </c>
      <c r="E297" s="15" t="s">
        <v>2980</v>
      </c>
      <c r="F297" s="15" t="s">
        <v>2900</v>
      </c>
    </row>
    <row r="298" ht="15.75" customHeight="1">
      <c r="A298" s="57">
        <v>294.0</v>
      </c>
      <c r="B298" s="62" t="s">
        <v>2893</v>
      </c>
      <c r="C298" s="58" t="s">
        <v>2984</v>
      </c>
      <c r="D298" s="57" t="s">
        <v>2985</v>
      </c>
      <c r="E298" s="57" t="s">
        <v>2986</v>
      </c>
      <c r="F298" s="57" t="s">
        <v>2900</v>
      </c>
    </row>
    <row r="299" ht="15.75" customHeight="1">
      <c r="A299" s="15">
        <v>295.0</v>
      </c>
      <c r="B299" s="62" t="s">
        <v>2893</v>
      </c>
      <c r="C299" s="56" t="s">
        <v>2990</v>
      </c>
      <c r="D299" s="15" t="s">
        <v>2992</v>
      </c>
      <c r="E299" s="15" t="s">
        <v>2995</v>
      </c>
      <c r="F299" s="15" t="s">
        <v>2900</v>
      </c>
    </row>
    <row r="300" ht="15.75" customHeight="1">
      <c r="A300" s="57">
        <v>296.0</v>
      </c>
      <c r="B300" s="62" t="s">
        <v>2893</v>
      </c>
      <c r="C300" s="58" t="s">
        <v>2999</v>
      </c>
      <c r="D300" s="57" t="s">
        <v>3000</v>
      </c>
      <c r="E300" s="57" t="s">
        <v>3001</v>
      </c>
      <c r="F300" s="57" t="s">
        <v>2900</v>
      </c>
    </row>
    <row r="301" ht="15.75" customHeight="1">
      <c r="A301" s="15">
        <v>297.0</v>
      </c>
      <c r="B301" s="55" t="s">
        <v>1120</v>
      </c>
      <c r="C301" s="56" t="s">
        <v>3003</v>
      </c>
      <c r="D301" s="15" t="s">
        <v>3004</v>
      </c>
      <c r="E301" s="15" t="s">
        <v>3006</v>
      </c>
      <c r="F301" s="15" t="s">
        <v>3007</v>
      </c>
    </row>
    <row r="302" ht="15.75" customHeight="1">
      <c r="A302" s="57">
        <v>298.0</v>
      </c>
      <c r="B302" s="55" t="s">
        <v>1120</v>
      </c>
      <c r="C302" s="58" t="s">
        <v>3009</v>
      </c>
      <c r="D302" s="57" t="s">
        <v>3011</v>
      </c>
      <c r="E302" s="57" t="s">
        <v>3012</v>
      </c>
      <c r="F302" s="57" t="s">
        <v>3007</v>
      </c>
    </row>
    <row r="303" ht="15.75" customHeight="1">
      <c r="A303" s="15">
        <v>299.0</v>
      </c>
      <c r="B303" s="55" t="s">
        <v>1120</v>
      </c>
      <c r="C303" s="56" t="s">
        <v>3013</v>
      </c>
      <c r="D303" s="15" t="s">
        <v>3015</v>
      </c>
      <c r="E303" s="15" t="s">
        <v>3016</v>
      </c>
      <c r="F303" s="15" t="s">
        <v>3007</v>
      </c>
    </row>
    <row r="304" ht="15.75" customHeight="1">
      <c r="A304" s="57">
        <v>300.0</v>
      </c>
      <c r="B304" s="55" t="s">
        <v>1120</v>
      </c>
      <c r="C304" s="58" t="s">
        <v>3018</v>
      </c>
      <c r="D304" s="57" t="s">
        <v>3019</v>
      </c>
      <c r="E304" s="57" t="s">
        <v>3021</v>
      </c>
      <c r="F304" s="57" t="s">
        <v>3007</v>
      </c>
    </row>
    <row r="305" ht="15.75" customHeight="1">
      <c r="A305" s="15">
        <v>301.0</v>
      </c>
      <c r="B305" s="55" t="s">
        <v>1120</v>
      </c>
      <c r="C305" s="56" t="s">
        <v>3023</v>
      </c>
      <c r="D305" s="15" t="s">
        <v>3024</v>
      </c>
      <c r="E305" s="15" t="s">
        <v>3025</v>
      </c>
      <c r="F305" s="15" t="s">
        <v>3007</v>
      </c>
    </row>
    <row r="306" ht="15.75" customHeight="1">
      <c r="A306" s="57">
        <v>302.0</v>
      </c>
      <c r="B306" s="55" t="s">
        <v>1120</v>
      </c>
      <c r="C306" s="58" t="s">
        <v>3027</v>
      </c>
      <c r="D306" s="57" t="s">
        <v>3028</v>
      </c>
      <c r="E306" s="57" t="s">
        <v>3030</v>
      </c>
      <c r="F306" s="57" t="s">
        <v>3007</v>
      </c>
    </row>
    <row r="307" ht="15.75" customHeight="1">
      <c r="A307" s="15">
        <v>303.0</v>
      </c>
      <c r="B307" s="55" t="s">
        <v>1120</v>
      </c>
      <c r="C307" s="56" t="s">
        <v>3032</v>
      </c>
      <c r="D307" s="15" t="s">
        <v>3034</v>
      </c>
      <c r="E307" s="15" t="s">
        <v>3035</v>
      </c>
      <c r="F307" s="15" t="s">
        <v>3007</v>
      </c>
    </row>
    <row r="308" ht="15.75" customHeight="1">
      <c r="A308" s="57">
        <v>304.0</v>
      </c>
      <c r="B308" s="55" t="s">
        <v>1120</v>
      </c>
      <c r="C308" s="58" t="s">
        <v>3036</v>
      </c>
      <c r="D308" s="57" t="s">
        <v>3038</v>
      </c>
      <c r="E308" s="57" t="s">
        <v>3039</v>
      </c>
      <c r="F308" s="57" t="s">
        <v>3007</v>
      </c>
    </row>
    <row r="309" ht="15.75" customHeight="1">
      <c r="A309" s="15">
        <v>305.0</v>
      </c>
      <c r="B309" s="55" t="s">
        <v>1120</v>
      </c>
      <c r="C309" s="56" t="s">
        <v>3042</v>
      </c>
      <c r="D309" s="15" t="s">
        <v>3043</v>
      </c>
      <c r="E309" s="15" t="s">
        <v>3045</v>
      </c>
      <c r="F309" s="15" t="s">
        <v>3007</v>
      </c>
    </row>
    <row r="310" ht="15.75" customHeight="1">
      <c r="A310" s="57">
        <v>306.0</v>
      </c>
      <c r="B310" s="55" t="s">
        <v>1120</v>
      </c>
      <c r="C310" s="58" t="s">
        <v>3049</v>
      </c>
      <c r="D310" s="57" t="s">
        <v>3050</v>
      </c>
      <c r="E310" s="57" t="s">
        <v>3052</v>
      </c>
      <c r="F310" s="57" t="s">
        <v>3007</v>
      </c>
    </row>
    <row r="311" ht="15.75" customHeight="1">
      <c r="A311" s="15">
        <v>307.0</v>
      </c>
      <c r="B311" s="55" t="s">
        <v>1120</v>
      </c>
      <c r="C311" s="56" t="s">
        <v>3058</v>
      </c>
      <c r="D311" s="15" t="s">
        <v>3059</v>
      </c>
      <c r="E311" s="15" t="s">
        <v>3061</v>
      </c>
      <c r="F311" s="15" t="s">
        <v>3007</v>
      </c>
    </row>
    <row r="312" ht="15.75" customHeight="1">
      <c r="A312" s="57">
        <v>308.0</v>
      </c>
      <c r="B312" s="55" t="s">
        <v>1120</v>
      </c>
      <c r="C312" s="58" t="s">
        <v>3063</v>
      </c>
      <c r="D312" s="57" t="s">
        <v>3064</v>
      </c>
      <c r="E312" s="57" t="s">
        <v>3065</v>
      </c>
      <c r="F312" s="57" t="s">
        <v>3007</v>
      </c>
    </row>
    <row r="313" ht="15.75" customHeight="1">
      <c r="A313" s="15">
        <v>309.0</v>
      </c>
      <c r="B313" s="55" t="s">
        <v>1120</v>
      </c>
      <c r="C313" s="56" t="s">
        <v>3067</v>
      </c>
      <c r="D313" s="15" t="s">
        <v>3068</v>
      </c>
      <c r="E313" s="15" t="s">
        <v>3070</v>
      </c>
      <c r="F313" s="15" t="s">
        <v>3007</v>
      </c>
    </row>
    <row r="314" ht="15.75" customHeight="1">
      <c r="A314" s="57">
        <v>310.0</v>
      </c>
      <c r="B314" s="55" t="s">
        <v>1120</v>
      </c>
      <c r="C314" s="58" t="s">
        <v>3072</v>
      </c>
      <c r="D314" s="57" t="s">
        <v>3073</v>
      </c>
      <c r="E314" s="57" t="s">
        <v>3074</v>
      </c>
      <c r="F314" s="57" t="s">
        <v>3007</v>
      </c>
    </row>
    <row r="315" ht="15.75" customHeight="1">
      <c r="A315" s="15">
        <v>311.0</v>
      </c>
      <c r="B315" s="55" t="s">
        <v>1120</v>
      </c>
      <c r="C315" s="56" t="s">
        <v>3076</v>
      </c>
      <c r="D315" s="15" t="s">
        <v>3077</v>
      </c>
      <c r="E315" s="15" t="s">
        <v>3078</v>
      </c>
      <c r="F315" s="15" t="s">
        <v>3007</v>
      </c>
    </row>
    <row r="316" ht="15.75" customHeight="1">
      <c r="A316" s="57">
        <v>312.0</v>
      </c>
      <c r="B316" s="55" t="s">
        <v>1120</v>
      </c>
      <c r="C316" s="58" t="s">
        <v>3080</v>
      </c>
      <c r="D316" s="57" t="s">
        <v>3081</v>
      </c>
      <c r="E316" s="57" t="s">
        <v>3082</v>
      </c>
      <c r="F316" s="57" t="s">
        <v>3007</v>
      </c>
    </row>
    <row r="317" ht="15.75" customHeight="1">
      <c r="A317" s="15">
        <v>313.0</v>
      </c>
      <c r="B317" s="55" t="s">
        <v>1120</v>
      </c>
      <c r="C317" s="56" t="s">
        <v>3084</v>
      </c>
      <c r="D317" s="15" t="s">
        <v>3085</v>
      </c>
      <c r="E317" s="15" t="s">
        <v>3087</v>
      </c>
      <c r="F317" s="15" t="s">
        <v>3007</v>
      </c>
    </row>
    <row r="318" ht="15.75" customHeight="1">
      <c r="A318" s="57">
        <v>314.0</v>
      </c>
      <c r="B318" s="55" t="s">
        <v>1120</v>
      </c>
      <c r="C318" s="58" t="s">
        <v>3090</v>
      </c>
      <c r="D318" s="57" t="s">
        <v>3092</v>
      </c>
      <c r="E318" s="57" t="s">
        <v>3093</v>
      </c>
      <c r="F318" s="57" t="s">
        <v>3007</v>
      </c>
    </row>
    <row r="319" ht="15.75" customHeight="1">
      <c r="A319" s="15">
        <v>315.0</v>
      </c>
      <c r="B319" s="55" t="s">
        <v>1120</v>
      </c>
      <c r="C319" s="56" t="s">
        <v>3098</v>
      </c>
      <c r="D319" s="15" t="s">
        <v>3099</v>
      </c>
      <c r="E319" s="15" t="s">
        <v>3101</v>
      </c>
      <c r="F319" s="15" t="s">
        <v>3007</v>
      </c>
    </row>
    <row r="320" ht="15.75" customHeight="1">
      <c r="A320" s="57">
        <v>316.0</v>
      </c>
      <c r="B320" s="55" t="s">
        <v>1120</v>
      </c>
      <c r="C320" s="58" t="s">
        <v>3105</v>
      </c>
      <c r="D320" s="57" t="s">
        <v>3106</v>
      </c>
      <c r="E320" s="57" t="s">
        <v>3108</v>
      </c>
      <c r="F320" s="57" t="s">
        <v>3007</v>
      </c>
    </row>
    <row r="321" ht="15.75" customHeight="1">
      <c r="A321" s="15">
        <v>317.0</v>
      </c>
      <c r="B321" s="55" t="s">
        <v>1120</v>
      </c>
      <c r="C321" s="56" t="s">
        <v>3109</v>
      </c>
      <c r="D321" s="15" t="s">
        <v>3110</v>
      </c>
      <c r="E321" s="15" t="s">
        <v>3112</v>
      </c>
      <c r="F321" s="15" t="s">
        <v>3007</v>
      </c>
    </row>
    <row r="322" ht="15.75" customHeight="1">
      <c r="A322" s="57">
        <v>318.0</v>
      </c>
      <c r="B322" s="55" t="s">
        <v>1120</v>
      </c>
      <c r="C322" s="58" t="s">
        <v>3114</v>
      </c>
      <c r="D322" s="57" t="s">
        <v>3116</v>
      </c>
      <c r="E322" s="57" t="s">
        <v>3117</v>
      </c>
      <c r="F322" s="57" t="s">
        <v>3007</v>
      </c>
    </row>
    <row r="323" ht="15.75" customHeight="1">
      <c r="A323" s="15">
        <v>319.0</v>
      </c>
      <c r="B323" s="55" t="s">
        <v>1120</v>
      </c>
      <c r="C323" s="56" t="s">
        <v>3120</v>
      </c>
      <c r="D323" s="15" t="s">
        <v>3121</v>
      </c>
      <c r="E323" s="15" t="s">
        <v>3122</v>
      </c>
      <c r="F323" s="15" t="s">
        <v>3007</v>
      </c>
    </row>
    <row r="324" ht="15.75" customHeight="1">
      <c r="A324" s="57">
        <v>320.0</v>
      </c>
      <c r="B324" s="55" t="s">
        <v>1120</v>
      </c>
      <c r="C324" s="58" t="s">
        <v>3125</v>
      </c>
      <c r="D324" s="57" t="s">
        <v>3126</v>
      </c>
      <c r="E324" s="57" t="s">
        <v>3127</v>
      </c>
      <c r="F324" s="57" t="s">
        <v>3007</v>
      </c>
    </row>
    <row r="325" ht="15.75" customHeight="1">
      <c r="A325" s="15">
        <v>321.0</v>
      </c>
      <c r="B325" s="55" t="s">
        <v>1120</v>
      </c>
      <c r="C325" s="56" t="s">
        <v>3130</v>
      </c>
      <c r="D325" s="15" t="s">
        <v>3132</v>
      </c>
      <c r="E325" s="15" t="s">
        <v>3133</v>
      </c>
      <c r="F325" s="15" t="s">
        <v>3007</v>
      </c>
    </row>
    <row r="326" ht="15.75" customHeight="1">
      <c r="A326" s="57">
        <v>322.0</v>
      </c>
      <c r="B326" s="55" t="s">
        <v>1120</v>
      </c>
      <c r="C326" s="58" t="s">
        <v>3136</v>
      </c>
      <c r="D326" s="57" t="s">
        <v>3137</v>
      </c>
      <c r="E326" s="57" t="s">
        <v>3140</v>
      </c>
      <c r="F326" s="57" t="s">
        <v>3007</v>
      </c>
    </row>
    <row r="327" ht="15.75" customHeight="1">
      <c r="A327" s="15">
        <v>323.0</v>
      </c>
      <c r="B327" s="55" t="s">
        <v>1120</v>
      </c>
      <c r="C327" s="56" t="s">
        <v>3144</v>
      </c>
      <c r="D327" s="15" t="s">
        <v>3146</v>
      </c>
      <c r="E327" s="15" t="s">
        <v>3148</v>
      </c>
      <c r="F327" s="15" t="s">
        <v>3007</v>
      </c>
    </row>
    <row r="328" ht="15.75" customHeight="1">
      <c r="A328" s="57">
        <v>324.0</v>
      </c>
      <c r="B328" s="55" t="s">
        <v>1120</v>
      </c>
      <c r="C328" s="58" t="s">
        <v>3152</v>
      </c>
      <c r="D328" s="57" t="s">
        <v>3154</v>
      </c>
      <c r="E328" s="57" t="s">
        <v>3155</v>
      </c>
      <c r="F328" s="57" t="s">
        <v>3007</v>
      </c>
    </row>
    <row r="329" ht="15.75" customHeight="1">
      <c r="A329" s="15">
        <v>325.0</v>
      </c>
      <c r="B329" s="55" t="s">
        <v>1120</v>
      </c>
      <c r="C329" s="56" t="s">
        <v>3158</v>
      </c>
      <c r="D329" s="15" t="s">
        <v>3160</v>
      </c>
      <c r="E329" s="15" t="s">
        <v>3162</v>
      </c>
      <c r="F329" s="15" t="s">
        <v>3007</v>
      </c>
    </row>
    <row r="330" ht="15.75" customHeight="1">
      <c r="A330" s="57">
        <v>326.0</v>
      </c>
      <c r="B330" s="55" t="s">
        <v>1120</v>
      </c>
      <c r="C330" s="58" t="s">
        <v>3167</v>
      </c>
      <c r="D330" s="57" t="s">
        <v>3168</v>
      </c>
      <c r="E330" s="57" t="s">
        <v>3171</v>
      </c>
      <c r="F330" s="57" t="s">
        <v>3007</v>
      </c>
    </row>
    <row r="331" ht="15.75" customHeight="1">
      <c r="A331" s="15">
        <v>327.0</v>
      </c>
      <c r="B331" s="55" t="s">
        <v>3174</v>
      </c>
      <c r="C331" s="56" t="s">
        <v>3175</v>
      </c>
      <c r="D331" s="15" t="s">
        <v>3177</v>
      </c>
      <c r="E331" s="15" t="s">
        <v>3179</v>
      </c>
      <c r="F331" s="15" t="s">
        <v>3182</v>
      </c>
    </row>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F$331"/>
  <mergeCells count="2">
    <mergeCell ref="A1:F1"/>
    <mergeCell ref="A2:F2"/>
  </mergeCells>
  <printOptions/>
  <pageMargins bottom="1.0" footer="0.0" header="0.0" left="0.75" right="0.75" top="1.0"/>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7.0" topLeftCell="A8" activePane="bottomLeft" state="frozen"/>
      <selection activeCell="B9" sqref="B9" pane="bottomLeft"/>
    </sheetView>
  </sheetViews>
  <sheetFormatPr customHeight="1" defaultColWidth="14.43" defaultRowHeight="15.0"/>
  <cols>
    <col customWidth="1" min="1" max="1" width="10.0"/>
    <col customWidth="1" min="2" max="2" width="15.0"/>
    <col customWidth="1" min="3" max="4" width="20.0"/>
    <col customWidth="1" min="5" max="5" width="5.0"/>
    <col customWidth="1" min="6" max="6" width="62.0"/>
    <col customWidth="1" min="7" max="7" width="48.0"/>
    <col customWidth="1" min="8" max="8" width="26.0"/>
    <col customWidth="1" min="9" max="9" width="48.0"/>
    <col customWidth="1" min="10" max="10" width="18.0"/>
    <col customWidth="1" min="11" max="26" width="8.71"/>
  </cols>
  <sheetData>
    <row r="1" ht="31.5" customHeight="1">
      <c r="A1" s="1" t="s">
        <v>1479</v>
      </c>
      <c r="B1" s="2"/>
      <c r="C1" s="2"/>
      <c r="D1" s="2"/>
      <c r="E1" s="2"/>
      <c r="F1" s="2"/>
      <c r="G1" s="2"/>
      <c r="H1" s="2"/>
      <c r="I1" s="2"/>
      <c r="J1" s="3"/>
    </row>
    <row r="2" ht="19.5" customHeight="1">
      <c r="A2" s="4" t="s">
        <v>1495</v>
      </c>
      <c r="B2" s="2"/>
      <c r="C2" s="2"/>
      <c r="D2" s="2"/>
      <c r="E2" s="2"/>
      <c r="F2" s="2"/>
      <c r="G2" s="2"/>
      <c r="H2" s="2"/>
      <c r="I2" s="2"/>
      <c r="J2" s="3"/>
    </row>
    <row r="4" ht="15.0" customHeight="1">
      <c r="A4" s="5" t="s">
        <v>1511</v>
      </c>
      <c r="B4" s="8" t="s">
        <v>1515</v>
      </c>
      <c r="C4" s="2"/>
      <c r="D4" s="2"/>
      <c r="E4" s="2"/>
      <c r="F4" s="2"/>
      <c r="G4" s="2"/>
      <c r="H4" s="2"/>
      <c r="I4" s="2"/>
      <c r="J4" s="3"/>
    </row>
    <row r="5" ht="15.0" customHeight="1">
      <c r="A5" s="29" t="s">
        <v>1531</v>
      </c>
      <c r="B5" s="30" t="s">
        <v>1535</v>
      </c>
      <c r="C5" s="2"/>
      <c r="D5" s="2"/>
      <c r="E5" s="2"/>
      <c r="F5" s="2"/>
      <c r="G5" s="2"/>
      <c r="H5" s="2"/>
      <c r="I5" s="2"/>
      <c r="J5" s="3"/>
    </row>
    <row r="7" ht="33.75" customHeight="1">
      <c r="A7" s="6" t="s">
        <v>8</v>
      </c>
      <c r="B7" s="6" t="s">
        <v>12</v>
      </c>
      <c r="C7" s="6" t="s">
        <v>13</v>
      </c>
      <c r="D7" s="6" t="s">
        <v>14</v>
      </c>
      <c r="E7" s="6" t="s">
        <v>16</v>
      </c>
      <c r="F7" s="6" t="s">
        <v>1555</v>
      </c>
      <c r="G7" s="6" t="s">
        <v>1558</v>
      </c>
      <c r="H7" s="6" t="s">
        <v>1560</v>
      </c>
      <c r="I7" s="6" t="s">
        <v>1563</v>
      </c>
      <c r="J7" s="6" t="s">
        <v>1564</v>
      </c>
    </row>
    <row r="8">
      <c r="A8" s="15" t="s">
        <v>1568</v>
      </c>
      <c r="B8" s="15" t="s">
        <v>60</v>
      </c>
      <c r="C8" s="15" t="s">
        <v>236</v>
      </c>
      <c r="D8" s="56" t="s">
        <v>1577</v>
      </c>
      <c r="E8" s="15" t="s">
        <v>788</v>
      </c>
      <c r="F8" s="15" t="s">
        <v>1580</v>
      </c>
      <c r="G8" s="18" t="s">
        <v>1583</v>
      </c>
      <c r="H8" s="18"/>
      <c r="I8" s="18"/>
      <c r="J8" s="18"/>
    </row>
    <row r="9">
      <c r="A9" s="15" t="s">
        <v>1590</v>
      </c>
      <c r="B9" s="15" t="s">
        <v>60</v>
      </c>
      <c r="C9" s="15" t="s">
        <v>1312</v>
      </c>
      <c r="D9" s="56" t="s">
        <v>1595</v>
      </c>
      <c r="E9" s="15" t="s">
        <v>788</v>
      </c>
      <c r="F9" s="15" t="s">
        <v>1599</v>
      </c>
      <c r="G9" s="18" t="s">
        <v>1604</v>
      </c>
      <c r="H9" s="18"/>
      <c r="I9" s="18"/>
      <c r="J9" s="18"/>
    </row>
    <row r="10">
      <c r="A10" s="15" t="s">
        <v>1609</v>
      </c>
      <c r="B10" s="15" t="s">
        <v>60</v>
      </c>
      <c r="C10" s="15" t="s">
        <v>413</v>
      </c>
      <c r="D10" s="56" t="s">
        <v>1611</v>
      </c>
      <c r="E10" s="15" t="s">
        <v>788</v>
      </c>
      <c r="F10" s="15" t="s">
        <v>1614</v>
      </c>
      <c r="G10" s="18" t="s">
        <v>1615</v>
      </c>
      <c r="H10" s="18"/>
      <c r="I10" s="18"/>
      <c r="J10" s="18"/>
    </row>
    <row r="11">
      <c r="A11" s="15" t="s">
        <v>1619</v>
      </c>
      <c r="B11" s="15" t="s">
        <v>60</v>
      </c>
      <c r="C11" s="15" t="s">
        <v>1621</v>
      </c>
      <c r="D11" s="56" t="s">
        <v>1623</v>
      </c>
      <c r="E11" s="15" t="s">
        <v>788</v>
      </c>
      <c r="F11" s="15" t="s">
        <v>1625</v>
      </c>
      <c r="G11" s="18" t="s">
        <v>1627</v>
      </c>
      <c r="H11" s="18"/>
      <c r="I11" s="18"/>
      <c r="J11" s="18"/>
    </row>
    <row r="12">
      <c r="A12" s="15" t="s">
        <v>1631</v>
      </c>
      <c r="B12" s="15" t="s">
        <v>60</v>
      </c>
      <c r="C12" s="15" t="s">
        <v>264</v>
      </c>
      <c r="D12" s="56" t="s">
        <v>1634</v>
      </c>
      <c r="E12" s="15" t="s">
        <v>788</v>
      </c>
      <c r="F12" s="15" t="s">
        <v>1638</v>
      </c>
      <c r="G12" s="18" t="s">
        <v>1639</v>
      </c>
      <c r="H12" s="18"/>
      <c r="I12" s="18"/>
      <c r="J12" s="18"/>
    </row>
    <row r="13">
      <c r="A13" s="15" t="s">
        <v>1643</v>
      </c>
      <c r="B13" s="15" t="s">
        <v>60</v>
      </c>
      <c r="C13" s="15" t="s">
        <v>1645</v>
      </c>
      <c r="D13" s="56" t="s">
        <v>1648</v>
      </c>
      <c r="E13" s="15" t="s">
        <v>788</v>
      </c>
      <c r="F13" s="15" t="s">
        <v>1649</v>
      </c>
      <c r="G13" s="18" t="s">
        <v>1652</v>
      </c>
      <c r="H13" s="18"/>
      <c r="I13" s="18"/>
      <c r="J13" s="18"/>
    </row>
    <row r="14">
      <c r="A14" s="15" t="s">
        <v>1656</v>
      </c>
      <c r="B14" s="15" t="s">
        <v>60</v>
      </c>
      <c r="C14" s="15" t="s">
        <v>236</v>
      </c>
      <c r="D14" s="56" t="s">
        <v>1660</v>
      </c>
      <c r="E14" s="15" t="s">
        <v>788</v>
      </c>
      <c r="F14" s="15" t="s">
        <v>1667</v>
      </c>
      <c r="G14" s="18" t="s">
        <v>1669</v>
      </c>
      <c r="H14" s="18"/>
      <c r="I14" s="18"/>
      <c r="J14" s="18"/>
    </row>
    <row r="15">
      <c r="A15" s="15" t="s">
        <v>1673</v>
      </c>
      <c r="B15" s="15" t="s">
        <v>60</v>
      </c>
      <c r="C15" s="15" t="s">
        <v>264</v>
      </c>
      <c r="D15" s="56" t="s">
        <v>1677</v>
      </c>
      <c r="E15" s="15" t="s">
        <v>788</v>
      </c>
      <c r="F15" s="15" t="s">
        <v>1678</v>
      </c>
      <c r="G15" s="18" t="s">
        <v>1681</v>
      </c>
      <c r="H15" s="18"/>
      <c r="I15" s="18"/>
      <c r="J15" s="18"/>
    </row>
    <row r="16">
      <c r="A16" s="15" t="s">
        <v>1684</v>
      </c>
      <c r="B16" s="15" t="s">
        <v>60</v>
      </c>
      <c r="C16" s="15" t="s">
        <v>1687</v>
      </c>
      <c r="D16" s="56" t="s">
        <v>1688</v>
      </c>
      <c r="E16" s="15" t="s">
        <v>788</v>
      </c>
      <c r="F16" s="15" t="s">
        <v>1692</v>
      </c>
      <c r="G16" s="18" t="s">
        <v>1700</v>
      </c>
      <c r="H16" s="18"/>
      <c r="I16" s="18"/>
      <c r="J16" s="18"/>
    </row>
    <row r="17">
      <c r="A17" s="15" t="s">
        <v>1704</v>
      </c>
      <c r="B17" s="15" t="s">
        <v>60</v>
      </c>
      <c r="C17" s="15" t="s">
        <v>85</v>
      </c>
      <c r="D17" s="56" t="s">
        <v>1707</v>
      </c>
      <c r="E17" s="15" t="s">
        <v>788</v>
      </c>
      <c r="F17" s="15" t="s">
        <v>1710</v>
      </c>
      <c r="G17" s="18" t="s">
        <v>1712</v>
      </c>
      <c r="H17" s="18"/>
      <c r="I17" s="18"/>
      <c r="J17" s="18"/>
    </row>
    <row r="18">
      <c r="A18" s="15" t="s">
        <v>1716</v>
      </c>
      <c r="B18" s="15" t="s">
        <v>60</v>
      </c>
      <c r="C18" s="15" t="s">
        <v>1687</v>
      </c>
      <c r="D18" s="56" t="s">
        <v>1722</v>
      </c>
      <c r="E18" s="15" t="s">
        <v>788</v>
      </c>
      <c r="F18" s="15" t="s">
        <v>1727</v>
      </c>
      <c r="G18" s="18" t="s">
        <v>1731</v>
      </c>
      <c r="H18" s="18"/>
      <c r="I18" s="18"/>
      <c r="J18" s="18"/>
    </row>
    <row r="19">
      <c r="A19" s="15" t="s">
        <v>1737</v>
      </c>
      <c r="B19" s="15" t="s">
        <v>60</v>
      </c>
      <c r="C19" s="15" t="s">
        <v>775</v>
      </c>
      <c r="D19" s="56" t="s">
        <v>1739</v>
      </c>
      <c r="E19" s="15" t="s">
        <v>788</v>
      </c>
      <c r="F19" s="15" t="s">
        <v>1742</v>
      </c>
      <c r="G19" s="18" t="s">
        <v>1743</v>
      </c>
      <c r="H19" s="18"/>
      <c r="I19" s="18"/>
      <c r="J19" s="18"/>
    </row>
    <row r="20">
      <c r="A20" s="15" t="s">
        <v>1749</v>
      </c>
      <c r="B20" s="15" t="s">
        <v>60</v>
      </c>
      <c r="C20" s="15" t="s">
        <v>264</v>
      </c>
      <c r="D20" s="56" t="s">
        <v>1755</v>
      </c>
      <c r="E20" s="15" t="s">
        <v>788</v>
      </c>
      <c r="F20" s="15" t="s">
        <v>1758</v>
      </c>
      <c r="G20" s="18" t="s">
        <v>1760</v>
      </c>
      <c r="H20" s="18"/>
      <c r="I20" s="18"/>
      <c r="J20" s="18"/>
    </row>
    <row r="21" ht="15.75" customHeight="1">
      <c r="A21" s="15" t="s">
        <v>1764</v>
      </c>
      <c r="B21" s="15" t="s">
        <v>60</v>
      </c>
      <c r="C21" s="15" t="s">
        <v>224</v>
      </c>
      <c r="D21" s="56" t="s">
        <v>1768</v>
      </c>
      <c r="E21" s="15" t="s">
        <v>788</v>
      </c>
      <c r="F21" s="15" t="s">
        <v>1772</v>
      </c>
      <c r="G21" s="18" t="s">
        <v>1774</v>
      </c>
      <c r="H21" s="18"/>
      <c r="I21" s="18"/>
      <c r="J21" s="18"/>
    </row>
    <row r="22" ht="15.75" customHeight="1">
      <c r="A22" s="15" t="s">
        <v>1778</v>
      </c>
      <c r="B22" s="15" t="s">
        <v>60</v>
      </c>
      <c r="C22" s="15" t="s">
        <v>1780</v>
      </c>
      <c r="D22" s="56" t="s">
        <v>1783</v>
      </c>
      <c r="E22" s="15" t="s">
        <v>788</v>
      </c>
      <c r="F22" s="15" t="s">
        <v>1786</v>
      </c>
      <c r="G22" s="18" t="s">
        <v>1790</v>
      </c>
      <c r="H22" s="18"/>
      <c r="I22" s="18"/>
      <c r="J22" s="18"/>
    </row>
    <row r="23" ht="15.75" customHeight="1">
      <c r="A23" s="15" t="s">
        <v>1795</v>
      </c>
      <c r="B23" s="15" t="s">
        <v>60</v>
      </c>
      <c r="C23" s="15" t="s">
        <v>1687</v>
      </c>
      <c r="D23" s="56" t="s">
        <v>1800</v>
      </c>
      <c r="E23" s="15" t="s">
        <v>788</v>
      </c>
      <c r="F23" s="15" t="s">
        <v>1805</v>
      </c>
      <c r="G23" s="18" t="s">
        <v>1808</v>
      </c>
      <c r="H23" s="18"/>
      <c r="I23" s="18"/>
      <c r="J23" s="18"/>
    </row>
    <row r="24" ht="15.75" customHeight="1">
      <c r="A24" s="15" t="s">
        <v>1815</v>
      </c>
      <c r="B24" s="15" t="s">
        <v>60</v>
      </c>
      <c r="C24" s="15" t="s">
        <v>1818</v>
      </c>
      <c r="D24" s="56" t="s">
        <v>1823</v>
      </c>
      <c r="E24" s="15" t="s">
        <v>788</v>
      </c>
      <c r="F24" s="15" t="s">
        <v>1828</v>
      </c>
      <c r="G24" s="18" t="s">
        <v>1831</v>
      </c>
      <c r="H24" s="18"/>
      <c r="I24" s="18"/>
      <c r="J24" s="18"/>
    </row>
    <row r="25" ht="15.75" customHeight="1">
      <c r="A25" s="15" t="s">
        <v>1839</v>
      </c>
      <c r="B25" s="15" t="s">
        <v>60</v>
      </c>
      <c r="C25" s="15" t="s">
        <v>958</v>
      </c>
      <c r="D25" s="56" t="s">
        <v>1847</v>
      </c>
      <c r="E25" s="15" t="s">
        <v>788</v>
      </c>
      <c r="F25" s="15" t="s">
        <v>1851</v>
      </c>
      <c r="G25" s="18" t="s">
        <v>1853</v>
      </c>
      <c r="H25" s="18"/>
      <c r="I25" s="18"/>
      <c r="J25" s="18"/>
    </row>
    <row r="26" ht="15.75" customHeight="1">
      <c r="A26" s="15" t="s">
        <v>1856</v>
      </c>
      <c r="B26" s="15" t="s">
        <v>60</v>
      </c>
      <c r="C26" s="15" t="s">
        <v>1165</v>
      </c>
      <c r="D26" s="56" t="s">
        <v>1858</v>
      </c>
      <c r="E26" s="15" t="s">
        <v>788</v>
      </c>
      <c r="F26" s="15" t="s">
        <v>1862</v>
      </c>
      <c r="G26" s="18" t="s">
        <v>1863</v>
      </c>
      <c r="H26" s="18"/>
      <c r="I26" s="18"/>
      <c r="J26" s="18"/>
    </row>
    <row r="27" ht="15.75" customHeight="1">
      <c r="A27" s="15" t="s">
        <v>1867</v>
      </c>
      <c r="B27" s="15" t="s">
        <v>60</v>
      </c>
      <c r="C27" s="15" t="s">
        <v>85</v>
      </c>
      <c r="D27" s="56" t="s">
        <v>1871</v>
      </c>
      <c r="E27" s="15" t="s">
        <v>788</v>
      </c>
      <c r="F27" s="15" t="s">
        <v>1872</v>
      </c>
      <c r="G27" s="18" t="s">
        <v>1876</v>
      </c>
      <c r="H27" s="18"/>
      <c r="I27" s="18"/>
      <c r="J27" s="18"/>
    </row>
    <row r="28" ht="15.75" customHeight="1">
      <c r="A28" s="15" t="s">
        <v>1879</v>
      </c>
      <c r="B28" s="15" t="s">
        <v>60</v>
      </c>
      <c r="C28" s="15" t="s">
        <v>85</v>
      </c>
      <c r="D28" s="56" t="s">
        <v>1883</v>
      </c>
      <c r="E28" s="15" t="s">
        <v>788</v>
      </c>
      <c r="F28" s="15" t="s">
        <v>1890</v>
      </c>
      <c r="G28" s="18" t="s">
        <v>1891</v>
      </c>
      <c r="H28" s="18"/>
      <c r="I28" s="18"/>
      <c r="J28" s="18"/>
    </row>
    <row r="29" ht="15.75" customHeight="1">
      <c r="A29" s="15" t="s">
        <v>1898</v>
      </c>
      <c r="B29" s="15" t="s">
        <v>60</v>
      </c>
      <c r="C29" s="15" t="s">
        <v>570</v>
      </c>
      <c r="D29" s="56" t="s">
        <v>1902</v>
      </c>
      <c r="E29" s="15" t="s">
        <v>788</v>
      </c>
      <c r="F29" s="15" t="s">
        <v>1906</v>
      </c>
      <c r="G29" s="18" t="s">
        <v>1910</v>
      </c>
      <c r="H29" s="18"/>
      <c r="I29" s="18"/>
      <c r="J29" s="18"/>
    </row>
    <row r="30" ht="15.75" customHeight="1">
      <c r="A30" s="15" t="s">
        <v>1918</v>
      </c>
      <c r="B30" s="15" t="s">
        <v>60</v>
      </c>
      <c r="C30" s="15" t="s">
        <v>85</v>
      </c>
      <c r="D30" s="56" t="s">
        <v>1924</v>
      </c>
      <c r="E30" s="15" t="s">
        <v>788</v>
      </c>
      <c r="F30" s="15" t="s">
        <v>1927</v>
      </c>
      <c r="G30" s="18" t="s">
        <v>1930</v>
      </c>
      <c r="H30" s="18"/>
      <c r="I30" s="18"/>
      <c r="J30" s="18"/>
    </row>
    <row r="31" ht="15.75" customHeight="1">
      <c r="A31" s="15" t="s">
        <v>1936</v>
      </c>
      <c r="B31" s="15" t="s">
        <v>60</v>
      </c>
      <c r="C31" s="15" t="s">
        <v>424</v>
      </c>
      <c r="D31" s="56" t="s">
        <v>1942</v>
      </c>
      <c r="E31" s="15" t="s">
        <v>788</v>
      </c>
      <c r="F31" s="15" t="s">
        <v>1944</v>
      </c>
      <c r="G31" s="18" t="s">
        <v>1946</v>
      </c>
      <c r="H31" s="18"/>
      <c r="I31" s="18"/>
      <c r="J31" s="18"/>
    </row>
    <row r="32" ht="15.75" customHeight="1">
      <c r="A32" s="15" t="s">
        <v>1953</v>
      </c>
      <c r="B32" s="15" t="s">
        <v>60</v>
      </c>
      <c r="C32" s="15" t="s">
        <v>570</v>
      </c>
      <c r="D32" s="56" t="s">
        <v>1958</v>
      </c>
      <c r="E32" s="15" t="s">
        <v>788</v>
      </c>
      <c r="F32" s="15" t="s">
        <v>1963</v>
      </c>
      <c r="G32" s="18" t="s">
        <v>1964</v>
      </c>
      <c r="H32" s="18"/>
      <c r="I32" s="18"/>
      <c r="J32" s="18"/>
    </row>
    <row r="33" ht="15.75" customHeight="1">
      <c r="A33" s="15" t="s">
        <v>1969</v>
      </c>
      <c r="B33" s="15" t="s">
        <v>60</v>
      </c>
      <c r="C33" s="15" t="s">
        <v>85</v>
      </c>
      <c r="D33" s="56" t="s">
        <v>1972</v>
      </c>
      <c r="E33" s="15" t="s">
        <v>788</v>
      </c>
      <c r="F33" s="15" t="s">
        <v>1977</v>
      </c>
      <c r="G33" s="18" t="s">
        <v>1979</v>
      </c>
      <c r="H33" s="18"/>
      <c r="I33" s="18"/>
      <c r="J33" s="18"/>
    </row>
    <row r="34" ht="15.75" customHeight="1">
      <c r="A34" s="15" t="s">
        <v>1984</v>
      </c>
      <c r="B34" s="15" t="s">
        <v>60</v>
      </c>
      <c r="C34" s="15" t="s">
        <v>1165</v>
      </c>
      <c r="D34" s="56" t="s">
        <v>1988</v>
      </c>
      <c r="E34" s="15" t="s">
        <v>788</v>
      </c>
      <c r="F34" s="15" t="s">
        <v>1992</v>
      </c>
      <c r="G34" s="18" t="s">
        <v>1995</v>
      </c>
      <c r="H34" s="18"/>
      <c r="I34" s="18"/>
      <c r="J34" s="18"/>
    </row>
    <row r="35" ht="15.75" customHeight="1">
      <c r="A35" s="15" t="s">
        <v>2001</v>
      </c>
      <c r="B35" s="15" t="s">
        <v>60</v>
      </c>
      <c r="C35" s="15" t="s">
        <v>264</v>
      </c>
      <c r="D35" s="56" t="s">
        <v>2010</v>
      </c>
      <c r="E35" s="15" t="s">
        <v>788</v>
      </c>
      <c r="F35" s="15" t="s">
        <v>2014</v>
      </c>
      <c r="G35" s="18" t="s">
        <v>2018</v>
      </c>
      <c r="H35" s="18"/>
      <c r="I35" s="18"/>
      <c r="J35" s="18"/>
    </row>
    <row r="36" ht="15.75" customHeight="1">
      <c r="A36" s="15" t="s">
        <v>2023</v>
      </c>
      <c r="B36" s="15" t="s">
        <v>60</v>
      </c>
      <c r="C36" s="15" t="s">
        <v>1780</v>
      </c>
      <c r="D36" s="56" t="s">
        <v>2027</v>
      </c>
      <c r="E36" s="15" t="s">
        <v>788</v>
      </c>
      <c r="F36" s="15" t="s">
        <v>2034</v>
      </c>
      <c r="G36" s="18" t="s">
        <v>2035</v>
      </c>
      <c r="H36" s="18"/>
      <c r="I36" s="18"/>
      <c r="J36" s="18"/>
    </row>
    <row r="37" ht="15.75" customHeight="1">
      <c r="A37" s="15" t="s">
        <v>2043</v>
      </c>
      <c r="B37" s="15" t="s">
        <v>60</v>
      </c>
      <c r="C37" s="15" t="s">
        <v>236</v>
      </c>
      <c r="D37" s="56" t="s">
        <v>2050</v>
      </c>
      <c r="E37" s="15" t="s">
        <v>788</v>
      </c>
      <c r="F37" s="15" t="s">
        <v>2054</v>
      </c>
      <c r="G37" s="18" t="s">
        <v>2057</v>
      </c>
      <c r="H37" s="18"/>
      <c r="I37" s="18"/>
      <c r="J37" s="18"/>
    </row>
    <row r="38" ht="15.75" customHeight="1">
      <c r="A38" s="15" t="s">
        <v>2061</v>
      </c>
      <c r="B38" s="15" t="s">
        <v>60</v>
      </c>
      <c r="C38" s="15" t="s">
        <v>1165</v>
      </c>
      <c r="D38" s="56" t="s">
        <v>2064</v>
      </c>
      <c r="E38" s="15" t="s">
        <v>788</v>
      </c>
      <c r="F38" s="15" t="s">
        <v>2070</v>
      </c>
      <c r="G38" s="18" t="s">
        <v>2071</v>
      </c>
      <c r="H38" s="18"/>
      <c r="I38" s="18"/>
      <c r="J38" s="18"/>
    </row>
    <row r="39" ht="15.75" customHeight="1">
      <c r="A39" s="15" t="s">
        <v>2079</v>
      </c>
      <c r="B39" s="15" t="s">
        <v>60</v>
      </c>
      <c r="C39" s="15" t="s">
        <v>224</v>
      </c>
      <c r="D39" s="56" t="s">
        <v>2084</v>
      </c>
      <c r="E39" s="15" t="s">
        <v>788</v>
      </c>
      <c r="F39" s="15" t="s">
        <v>2088</v>
      </c>
      <c r="G39" s="18" t="s">
        <v>2091</v>
      </c>
      <c r="H39" s="18"/>
      <c r="I39" s="18"/>
      <c r="J39" s="18"/>
    </row>
    <row r="40" ht="15.75" customHeight="1">
      <c r="A40" s="15" t="s">
        <v>2100</v>
      </c>
      <c r="B40" s="15" t="s">
        <v>60</v>
      </c>
      <c r="C40" s="15" t="s">
        <v>85</v>
      </c>
      <c r="D40" s="56" t="s">
        <v>2108</v>
      </c>
      <c r="E40" s="15" t="s">
        <v>788</v>
      </c>
      <c r="F40" s="15" t="s">
        <v>2114</v>
      </c>
      <c r="G40" s="18" t="s">
        <v>2115</v>
      </c>
      <c r="H40" s="18"/>
      <c r="I40" s="18"/>
      <c r="J40" s="18"/>
    </row>
    <row r="41" ht="15.75" customHeight="1">
      <c r="A41" s="15" t="s">
        <v>2123</v>
      </c>
      <c r="B41" s="15" t="s">
        <v>60</v>
      </c>
      <c r="C41" s="15" t="s">
        <v>245</v>
      </c>
      <c r="D41" s="56" t="s">
        <v>2129</v>
      </c>
      <c r="E41" s="15" t="s">
        <v>788</v>
      </c>
      <c r="F41" s="15" t="s">
        <v>2131</v>
      </c>
      <c r="G41" s="18" t="s">
        <v>2132</v>
      </c>
      <c r="H41" s="18"/>
      <c r="I41" s="18"/>
      <c r="J41" s="18"/>
    </row>
    <row r="42" ht="15.75" customHeight="1">
      <c r="A42" s="15" t="s">
        <v>2136</v>
      </c>
      <c r="B42" s="15" t="s">
        <v>60</v>
      </c>
      <c r="C42" s="15" t="s">
        <v>236</v>
      </c>
      <c r="D42" s="56" t="s">
        <v>2140</v>
      </c>
      <c r="E42" s="15" t="s">
        <v>788</v>
      </c>
      <c r="F42" s="15" t="s">
        <v>2142</v>
      </c>
      <c r="G42" s="18" t="s">
        <v>2145</v>
      </c>
      <c r="H42" s="18"/>
      <c r="I42" s="18"/>
      <c r="J42" s="18"/>
    </row>
    <row r="43" ht="15.75" customHeight="1">
      <c r="A43" s="15" t="s">
        <v>2148</v>
      </c>
      <c r="B43" s="15" t="s">
        <v>60</v>
      </c>
      <c r="C43" s="15" t="s">
        <v>354</v>
      </c>
      <c r="D43" s="56" t="s">
        <v>2151</v>
      </c>
      <c r="E43" s="15" t="s">
        <v>788</v>
      </c>
      <c r="F43" s="15" t="s">
        <v>2154</v>
      </c>
      <c r="G43" s="18" t="s">
        <v>2156</v>
      </c>
      <c r="H43" s="18"/>
      <c r="I43" s="18"/>
      <c r="J43" s="18"/>
    </row>
    <row r="44" ht="15.75" customHeight="1">
      <c r="A44" s="15" t="s">
        <v>2160</v>
      </c>
      <c r="B44" s="15" t="s">
        <v>60</v>
      </c>
      <c r="C44" s="15" t="s">
        <v>1165</v>
      </c>
      <c r="D44" s="56" t="s">
        <v>2163</v>
      </c>
      <c r="E44" s="15" t="s">
        <v>788</v>
      </c>
      <c r="F44" s="15" t="s">
        <v>2166</v>
      </c>
      <c r="G44" s="18" t="s">
        <v>2168</v>
      </c>
      <c r="H44" s="18"/>
      <c r="I44" s="18"/>
      <c r="J44" s="18"/>
    </row>
    <row r="45" ht="15.75" customHeight="1">
      <c r="A45" s="15" t="s">
        <v>2172</v>
      </c>
      <c r="B45" s="15" t="s">
        <v>60</v>
      </c>
      <c r="C45" s="15" t="s">
        <v>85</v>
      </c>
      <c r="D45" s="56" t="s">
        <v>2177</v>
      </c>
      <c r="E45" s="15" t="s">
        <v>788</v>
      </c>
      <c r="F45" s="15" t="s">
        <v>2181</v>
      </c>
      <c r="G45" s="18" t="s">
        <v>2183</v>
      </c>
      <c r="H45" s="18"/>
      <c r="I45" s="18"/>
      <c r="J45" s="18"/>
    </row>
    <row r="46" ht="15.75" customHeight="1">
      <c r="A46" s="15" t="s">
        <v>2188</v>
      </c>
      <c r="B46" s="15" t="s">
        <v>60</v>
      </c>
      <c r="C46" s="15" t="s">
        <v>354</v>
      </c>
      <c r="D46" s="56" t="s">
        <v>2192</v>
      </c>
      <c r="E46" s="15" t="s">
        <v>788</v>
      </c>
      <c r="F46" s="15" t="s">
        <v>2194</v>
      </c>
      <c r="G46" s="18" t="s">
        <v>2197</v>
      </c>
      <c r="H46" s="18"/>
      <c r="I46" s="18"/>
      <c r="J46" s="18"/>
    </row>
    <row r="47" ht="15.75" customHeight="1">
      <c r="A47" s="15" t="s">
        <v>2201</v>
      </c>
      <c r="B47" s="15" t="s">
        <v>60</v>
      </c>
      <c r="C47" s="15" t="s">
        <v>2202</v>
      </c>
      <c r="D47" s="56" t="s">
        <v>2204</v>
      </c>
      <c r="E47" s="15" t="s">
        <v>788</v>
      </c>
      <c r="F47" s="15" t="s">
        <v>2207</v>
      </c>
      <c r="G47" s="18" t="s">
        <v>2208</v>
      </c>
      <c r="H47" s="18"/>
      <c r="I47" s="18"/>
      <c r="J47" s="18"/>
    </row>
    <row r="48" ht="15.75" customHeight="1">
      <c r="A48" s="15" t="s">
        <v>2212</v>
      </c>
      <c r="B48" s="15" t="s">
        <v>60</v>
      </c>
      <c r="C48" s="15" t="s">
        <v>1139</v>
      </c>
      <c r="D48" s="56" t="s">
        <v>2216</v>
      </c>
      <c r="E48" s="15" t="s">
        <v>788</v>
      </c>
      <c r="F48" s="15" t="s">
        <v>2218</v>
      </c>
      <c r="G48" s="18" t="s">
        <v>2221</v>
      </c>
      <c r="H48" s="18"/>
      <c r="I48" s="18"/>
      <c r="J48" s="18"/>
    </row>
    <row r="49" ht="15.75" customHeight="1">
      <c r="A49" s="15" t="s">
        <v>2224</v>
      </c>
      <c r="B49" s="15" t="s">
        <v>60</v>
      </c>
      <c r="C49" s="15" t="s">
        <v>236</v>
      </c>
      <c r="D49" s="56" t="s">
        <v>2226</v>
      </c>
      <c r="E49" s="15" t="s">
        <v>788</v>
      </c>
      <c r="F49" s="15" t="s">
        <v>2228</v>
      </c>
      <c r="G49" s="18" t="s">
        <v>2231</v>
      </c>
      <c r="H49" s="18"/>
      <c r="I49" s="18"/>
      <c r="J49" s="18"/>
    </row>
    <row r="50" ht="15.75" customHeight="1">
      <c r="A50" s="15" t="s">
        <v>2233</v>
      </c>
      <c r="B50" s="15" t="s">
        <v>60</v>
      </c>
      <c r="C50" s="15" t="s">
        <v>264</v>
      </c>
      <c r="D50" s="56" t="s">
        <v>2237</v>
      </c>
      <c r="E50" s="15" t="s">
        <v>788</v>
      </c>
      <c r="F50" s="15" t="s">
        <v>2240</v>
      </c>
      <c r="G50" s="18" t="s">
        <v>2243</v>
      </c>
      <c r="H50" s="18"/>
      <c r="I50" s="18"/>
      <c r="J50" s="18"/>
    </row>
    <row r="51" ht="15.75" customHeight="1">
      <c r="A51" s="15" t="s">
        <v>2248</v>
      </c>
      <c r="B51" s="15" t="s">
        <v>60</v>
      </c>
      <c r="C51" s="15" t="s">
        <v>1818</v>
      </c>
      <c r="D51" s="56" t="s">
        <v>2252</v>
      </c>
      <c r="E51" s="15" t="s">
        <v>788</v>
      </c>
      <c r="F51" s="15" t="s">
        <v>2254</v>
      </c>
      <c r="G51" s="18" t="s">
        <v>2257</v>
      </c>
      <c r="H51" s="18"/>
      <c r="I51" s="18"/>
      <c r="J51" s="18"/>
    </row>
    <row r="52" ht="15.75" customHeight="1">
      <c r="A52" s="15" t="s">
        <v>2258</v>
      </c>
      <c r="B52" s="15" t="s">
        <v>60</v>
      </c>
      <c r="C52" s="15" t="s">
        <v>236</v>
      </c>
      <c r="D52" s="56" t="s">
        <v>2262</v>
      </c>
      <c r="E52" s="15" t="s">
        <v>788</v>
      </c>
      <c r="F52" s="15" t="s">
        <v>2263</v>
      </c>
      <c r="G52" s="18" t="s">
        <v>2264</v>
      </c>
      <c r="H52" s="18"/>
      <c r="I52" s="18"/>
      <c r="J52" s="18"/>
    </row>
    <row r="53" ht="15.75" customHeight="1">
      <c r="A53" s="15" t="s">
        <v>2268</v>
      </c>
      <c r="B53" s="15" t="s">
        <v>60</v>
      </c>
      <c r="C53" s="15" t="s">
        <v>1165</v>
      </c>
      <c r="D53" s="56" t="s">
        <v>2271</v>
      </c>
      <c r="E53" s="15" t="s">
        <v>788</v>
      </c>
      <c r="F53" s="15" t="s">
        <v>2273</v>
      </c>
      <c r="G53" s="18" t="s">
        <v>2275</v>
      </c>
      <c r="H53" s="18"/>
      <c r="I53" s="18"/>
      <c r="J53" s="18"/>
    </row>
    <row r="54" ht="15.75" customHeight="1">
      <c r="A54" s="15" t="s">
        <v>2278</v>
      </c>
      <c r="B54" s="15" t="s">
        <v>60</v>
      </c>
      <c r="C54" s="15" t="s">
        <v>424</v>
      </c>
      <c r="D54" s="56" t="s">
        <v>2282</v>
      </c>
      <c r="E54" s="15" t="s">
        <v>788</v>
      </c>
      <c r="F54" s="15" t="s">
        <v>2284</v>
      </c>
      <c r="G54" s="18" t="s">
        <v>2286</v>
      </c>
      <c r="H54" s="18"/>
      <c r="I54" s="18"/>
      <c r="J54" s="18"/>
    </row>
    <row r="55" ht="15.75" customHeight="1">
      <c r="A55" s="15" t="s">
        <v>2288</v>
      </c>
      <c r="B55" s="15" t="s">
        <v>60</v>
      </c>
      <c r="C55" s="15" t="s">
        <v>1818</v>
      </c>
      <c r="D55" s="56" t="s">
        <v>2292</v>
      </c>
      <c r="E55" s="15" t="s">
        <v>788</v>
      </c>
      <c r="F55" s="15" t="s">
        <v>2293</v>
      </c>
      <c r="G55" s="18" t="s">
        <v>2295</v>
      </c>
      <c r="H55" s="18"/>
      <c r="I55" s="18"/>
      <c r="J55" s="18"/>
    </row>
    <row r="56" ht="15.75" customHeight="1">
      <c r="A56" s="15" t="s">
        <v>2302</v>
      </c>
      <c r="B56" s="15" t="s">
        <v>60</v>
      </c>
      <c r="C56" s="15" t="s">
        <v>424</v>
      </c>
      <c r="D56" s="56" t="s">
        <v>2305</v>
      </c>
      <c r="E56" s="15" t="s">
        <v>788</v>
      </c>
      <c r="F56" s="15" t="s">
        <v>2309</v>
      </c>
      <c r="G56" s="18" t="s">
        <v>2310</v>
      </c>
      <c r="H56" s="18"/>
      <c r="I56" s="18"/>
      <c r="J56" s="18"/>
    </row>
    <row r="57" ht="15.75" customHeight="1">
      <c r="A57" s="15" t="s">
        <v>2314</v>
      </c>
      <c r="B57" s="15" t="s">
        <v>60</v>
      </c>
      <c r="C57" s="15" t="s">
        <v>1818</v>
      </c>
      <c r="D57" s="56" t="s">
        <v>2316</v>
      </c>
      <c r="E57" s="15" t="s">
        <v>788</v>
      </c>
      <c r="F57" s="15" t="s">
        <v>2319</v>
      </c>
      <c r="G57" s="18" t="s">
        <v>2320</v>
      </c>
      <c r="H57" s="18"/>
      <c r="I57" s="18"/>
      <c r="J57" s="18"/>
    </row>
    <row r="58" ht="15.75" customHeight="1">
      <c r="A58" s="15" t="s">
        <v>2324</v>
      </c>
      <c r="B58" s="15" t="s">
        <v>60</v>
      </c>
      <c r="C58" s="15" t="s">
        <v>264</v>
      </c>
      <c r="D58" s="56" t="s">
        <v>2328</v>
      </c>
      <c r="E58" s="15" t="s">
        <v>788</v>
      </c>
      <c r="F58" s="15" t="s">
        <v>2331</v>
      </c>
      <c r="G58" s="18" t="s">
        <v>2333</v>
      </c>
      <c r="H58" s="18"/>
      <c r="I58" s="18"/>
      <c r="J58" s="18"/>
    </row>
    <row r="59" ht="15.75" customHeight="1">
      <c r="A59" s="15" t="s">
        <v>2337</v>
      </c>
      <c r="B59" s="15" t="s">
        <v>60</v>
      </c>
      <c r="C59" s="15" t="s">
        <v>413</v>
      </c>
      <c r="D59" s="56" t="s">
        <v>2340</v>
      </c>
      <c r="E59" s="15" t="s">
        <v>788</v>
      </c>
      <c r="F59" s="15" t="s">
        <v>2342</v>
      </c>
      <c r="G59" s="18" t="s">
        <v>2343</v>
      </c>
      <c r="H59" s="18"/>
      <c r="I59" s="18"/>
      <c r="J59" s="18"/>
    </row>
    <row r="60" ht="15.75" customHeight="1">
      <c r="A60" s="15" t="s">
        <v>2347</v>
      </c>
      <c r="B60" s="15" t="s">
        <v>60</v>
      </c>
      <c r="C60" s="15" t="s">
        <v>264</v>
      </c>
      <c r="D60" s="56" t="s">
        <v>2351</v>
      </c>
      <c r="E60" s="15" t="s">
        <v>788</v>
      </c>
      <c r="F60" s="15" t="s">
        <v>2353</v>
      </c>
      <c r="G60" s="18" t="s">
        <v>2356</v>
      </c>
      <c r="H60" s="18"/>
      <c r="I60" s="18"/>
      <c r="J60" s="18"/>
    </row>
    <row r="61" ht="15.75" customHeight="1">
      <c r="A61" s="15" t="s">
        <v>2362</v>
      </c>
      <c r="B61" s="15" t="s">
        <v>60</v>
      </c>
      <c r="C61" s="15" t="s">
        <v>245</v>
      </c>
      <c r="D61" s="56" t="s">
        <v>2368</v>
      </c>
      <c r="E61" s="15" t="s">
        <v>788</v>
      </c>
      <c r="F61" s="15" t="s">
        <v>2372</v>
      </c>
      <c r="G61" s="18" t="s">
        <v>2373</v>
      </c>
      <c r="H61" s="18"/>
      <c r="I61" s="18"/>
      <c r="J61" s="18"/>
    </row>
    <row r="62" ht="15.75" customHeight="1">
      <c r="A62" s="15" t="s">
        <v>2377</v>
      </c>
      <c r="B62" s="15" t="s">
        <v>60</v>
      </c>
      <c r="C62" s="15" t="s">
        <v>1312</v>
      </c>
      <c r="D62" s="56" t="s">
        <v>2380</v>
      </c>
      <c r="E62" s="15" t="s">
        <v>788</v>
      </c>
      <c r="F62" s="15" t="s">
        <v>2382</v>
      </c>
      <c r="G62" s="18" t="s">
        <v>2384</v>
      </c>
      <c r="H62" s="18"/>
      <c r="I62" s="18"/>
      <c r="J62" s="18"/>
    </row>
    <row r="63" ht="15.75" customHeight="1">
      <c r="A63" s="15" t="s">
        <v>2388</v>
      </c>
      <c r="B63" s="15" t="s">
        <v>60</v>
      </c>
      <c r="C63" s="15" t="s">
        <v>2391</v>
      </c>
      <c r="D63" s="56" t="s">
        <v>2392</v>
      </c>
      <c r="E63" s="15" t="s">
        <v>788</v>
      </c>
      <c r="F63" s="15" t="s">
        <v>2394</v>
      </c>
      <c r="G63" s="18" t="s">
        <v>2396</v>
      </c>
      <c r="H63" s="18"/>
      <c r="I63" s="18"/>
      <c r="J63" s="18"/>
    </row>
    <row r="64" ht="15.75" customHeight="1">
      <c r="A64" s="15" t="s">
        <v>2398</v>
      </c>
      <c r="B64" s="15" t="s">
        <v>60</v>
      </c>
      <c r="C64" s="15" t="s">
        <v>570</v>
      </c>
      <c r="D64" s="56" t="s">
        <v>2402</v>
      </c>
      <c r="E64" s="15" t="s">
        <v>788</v>
      </c>
      <c r="F64" s="15" t="s">
        <v>2403</v>
      </c>
      <c r="G64" s="18" t="s">
        <v>2406</v>
      </c>
      <c r="H64" s="18"/>
      <c r="I64" s="18"/>
      <c r="J64" s="18"/>
    </row>
    <row r="65" ht="15.75" customHeight="1">
      <c r="A65" s="15" t="s">
        <v>2410</v>
      </c>
      <c r="B65" s="15" t="s">
        <v>60</v>
      </c>
      <c r="C65" s="15" t="s">
        <v>1818</v>
      </c>
      <c r="D65" s="56" t="s">
        <v>2412</v>
      </c>
      <c r="E65" s="15" t="s">
        <v>788</v>
      </c>
      <c r="F65" s="15" t="s">
        <v>2416</v>
      </c>
      <c r="G65" s="18" t="s">
        <v>2418</v>
      </c>
      <c r="H65" s="18"/>
      <c r="I65" s="18"/>
      <c r="J65" s="18"/>
    </row>
    <row r="66" ht="15.75" customHeight="1">
      <c r="A66" s="15" t="s">
        <v>2424</v>
      </c>
      <c r="B66" s="15" t="s">
        <v>60</v>
      </c>
      <c r="C66" s="15" t="s">
        <v>236</v>
      </c>
      <c r="D66" s="56" t="s">
        <v>2430</v>
      </c>
      <c r="E66" s="15" t="s">
        <v>788</v>
      </c>
      <c r="F66" s="15" t="s">
        <v>2432</v>
      </c>
      <c r="G66" s="18" t="s">
        <v>2433</v>
      </c>
      <c r="H66" s="18"/>
      <c r="I66" s="18"/>
      <c r="J66" s="18"/>
    </row>
    <row r="67" ht="15.75" customHeight="1">
      <c r="A67" s="15" t="s">
        <v>2437</v>
      </c>
      <c r="B67" s="15" t="s">
        <v>60</v>
      </c>
      <c r="C67" s="15" t="s">
        <v>775</v>
      </c>
      <c r="D67" s="56" t="s">
        <v>2441</v>
      </c>
      <c r="E67" s="15" t="s">
        <v>788</v>
      </c>
      <c r="F67" s="15" t="s">
        <v>2443</v>
      </c>
      <c r="G67" s="18" t="s">
        <v>2446</v>
      </c>
      <c r="H67" s="18"/>
      <c r="I67" s="18"/>
      <c r="J67" s="18"/>
    </row>
    <row r="68" ht="15.75" customHeight="1">
      <c r="A68" s="15" t="s">
        <v>2450</v>
      </c>
      <c r="B68" s="15" t="s">
        <v>60</v>
      </c>
      <c r="C68" s="15" t="s">
        <v>447</v>
      </c>
      <c r="D68" s="56" t="s">
        <v>2452</v>
      </c>
      <c r="E68" s="15" t="s">
        <v>788</v>
      </c>
      <c r="F68" s="15" t="s">
        <v>2455</v>
      </c>
      <c r="G68" s="18" t="s">
        <v>2456</v>
      </c>
      <c r="H68" s="18"/>
      <c r="I68" s="18"/>
      <c r="J68" s="18"/>
    </row>
    <row r="69" ht="15.75" customHeight="1">
      <c r="A69" s="15" t="s">
        <v>2460</v>
      </c>
      <c r="B69" s="15" t="s">
        <v>60</v>
      </c>
      <c r="C69" s="15" t="s">
        <v>1155</v>
      </c>
      <c r="D69" s="56" t="s">
        <v>2464</v>
      </c>
      <c r="E69" s="15" t="s">
        <v>788</v>
      </c>
      <c r="F69" s="15" t="s">
        <v>2466</v>
      </c>
      <c r="G69" s="18" t="s">
        <v>2469</v>
      </c>
      <c r="H69" s="18"/>
      <c r="I69" s="18"/>
      <c r="J69" s="18"/>
    </row>
    <row r="70" ht="15.75" customHeight="1">
      <c r="A70" s="15" t="s">
        <v>2472</v>
      </c>
      <c r="B70" s="15" t="s">
        <v>60</v>
      </c>
      <c r="C70" s="15" t="s">
        <v>224</v>
      </c>
      <c r="D70" s="56" t="s">
        <v>2474</v>
      </c>
      <c r="E70" s="15" t="s">
        <v>788</v>
      </c>
      <c r="F70" s="15" t="s">
        <v>2478</v>
      </c>
      <c r="G70" s="18" t="s">
        <v>2480</v>
      </c>
      <c r="H70" s="18"/>
      <c r="I70" s="18"/>
      <c r="J70" s="18"/>
    </row>
    <row r="71" ht="15.75" customHeight="1">
      <c r="A71" s="15" t="s">
        <v>2491</v>
      </c>
      <c r="B71" s="15" t="s">
        <v>60</v>
      </c>
      <c r="C71" s="15" t="s">
        <v>1165</v>
      </c>
      <c r="D71" s="56" t="s">
        <v>2493</v>
      </c>
      <c r="E71" s="15" t="s">
        <v>788</v>
      </c>
      <c r="F71" s="15" t="s">
        <v>2497</v>
      </c>
      <c r="G71" s="18" t="s">
        <v>2498</v>
      </c>
      <c r="H71" s="18"/>
      <c r="I71" s="18"/>
      <c r="J71" s="18"/>
    </row>
    <row r="72" ht="15.75" customHeight="1">
      <c r="A72" s="15" t="s">
        <v>2502</v>
      </c>
      <c r="B72" s="15" t="s">
        <v>60</v>
      </c>
      <c r="C72" s="15" t="s">
        <v>85</v>
      </c>
      <c r="D72" s="56" t="s">
        <v>2504</v>
      </c>
      <c r="E72" s="15" t="s">
        <v>788</v>
      </c>
      <c r="F72" s="15" t="s">
        <v>2507</v>
      </c>
      <c r="G72" s="18" t="s">
        <v>2508</v>
      </c>
      <c r="H72" s="18"/>
      <c r="I72" s="18"/>
      <c r="J72" s="18"/>
    </row>
    <row r="73" ht="15.75" customHeight="1">
      <c r="A73" s="15" t="s">
        <v>2512</v>
      </c>
      <c r="B73" s="15" t="s">
        <v>60</v>
      </c>
      <c r="C73" s="15" t="s">
        <v>264</v>
      </c>
      <c r="D73" s="56" t="s">
        <v>2513</v>
      </c>
      <c r="E73" s="15" t="s">
        <v>788</v>
      </c>
      <c r="F73" s="15" t="s">
        <v>2517</v>
      </c>
      <c r="G73" s="18" t="s">
        <v>2518</v>
      </c>
      <c r="H73" s="18"/>
      <c r="I73" s="18"/>
      <c r="J73" s="18"/>
    </row>
    <row r="74" ht="15.75" customHeight="1">
      <c r="A74" s="15" t="s">
        <v>2522</v>
      </c>
      <c r="B74" s="15" t="s">
        <v>60</v>
      </c>
      <c r="C74" s="15" t="s">
        <v>236</v>
      </c>
      <c r="D74" s="56" t="s">
        <v>2524</v>
      </c>
      <c r="E74" s="15" t="s">
        <v>788</v>
      </c>
      <c r="F74" s="15" t="s">
        <v>2527</v>
      </c>
      <c r="G74" s="18" t="s">
        <v>2528</v>
      </c>
      <c r="H74" s="18"/>
      <c r="I74" s="18"/>
      <c r="J74" s="18"/>
    </row>
    <row r="75" ht="15.75" customHeight="1">
      <c r="A75" s="15" t="s">
        <v>2530</v>
      </c>
      <c r="B75" s="15" t="s">
        <v>60</v>
      </c>
      <c r="C75" s="15" t="s">
        <v>842</v>
      </c>
      <c r="D75" s="56" t="s">
        <v>2531</v>
      </c>
      <c r="E75" s="15" t="s">
        <v>788</v>
      </c>
      <c r="F75" s="15" t="s">
        <v>2534</v>
      </c>
      <c r="G75" s="18" t="s">
        <v>2535</v>
      </c>
      <c r="H75" s="18"/>
      <c r="I75" s="18"/>
      <c r="J75" s="18"/>
    </row>
    <row r="76" ht="15.75" customHeight="1">
      <c r="A76" s="15" t="s">
        <v>2540</v>
      </c>
      <c r="B76" s="15" t="s">
        <v>60</v>
      </c>
      <c r="C76" s="15" t="s">
        <v>2545</v>
      </c>
      <c r="D76" s="56" t="s">
        <v>2549</v>
      </c>
      <c r="E76" s="15" t="s">
        <v>788</v>
      </c>
      <c r="F76" s="15" t="s">
        <v>2551</v>
      </c>
      <c r="G76" s="18" t="s">
        <v>2553</v>
      </c>
      <c r="H76" s="18"/>
      <c r="I76" s="18"/>
      <c r="J76" s="18"/>
    </row>
    <row r="77" ht="15.75" customHeight="1">
      <c r="A77" s="15" t="s">
        <v>2555</v>
      </c>
      <c r="B77" s="15" t="s">
        <v>60</v>
      </c>
      <c r="C77" s="15" t="s">
        <v>2391</v>
      </c>
      <c r="D77" s="56" t="s">
        <v>2558</v>
      </c>
      <c r="E77" s="15" t="s">
        <v>788</v>
      </c>
      <c r="F77" s="15" t="s">
        <v>2560</v>
      </c>
      <c r="G77" s="18" t="s">
        <v>2562</v>
      </c>
      <c r="H77" s="18"/>
      <c r="I77" s="18"/>
      <c r="J77" s="18"/>
    </row>
    <row r="78" ht="15.75" customHeight="1">
      <c r="A78" s="15" t="s">
        <v>2567</v>
      </c>
      <c r="B78" s="15" t="s">
        <v>60</v>
      </c>
      <c r="C78" s="15" t="s">
        <v>878</v>
      </c>
      <c r="D78" s="56" t="s">
        <v>2569</v>
      </c>
      <c r="E78" s="15" t="s">
        <v>788</v>
      </c>
      <c r="F78" s="15" t="s">
        <v>2571</v>
      </c>
      <c r="G78" s="18" t="s">
        <v>2573</v>
      </c>
      <c r="H78" s="18"/>
      <c r="I78" s="18"/>
      <c r="J78" s="18"/>
    </row>
    <row r="79" ht="15.75" customHeight="1">
      <c r="A79" s="15" t="s">
        <v>2578</v>
      </c>
      <c r="B79" s="15" t="s">
        <v>60</v>
      </c>
      <c r="C79" s="15" t="s">
        <v>1687</v>
      </c>
      <c r="D79" s="56" t="s">
        <v>2581</v>
      </c>
      <c r="E79" s="15" t="s">
        <v>788</v>
      </c>
      <c r="F79" s="15" t="s">
        <v>2584</v>
      </c>
      <c r="G79" s="18" t="s">
        <v>2586</v>
      </c>
      <c r="H79" s="18"/>
      <c r="I79" s="18"/>
      <c r="J79" s="18"/>
    </row>
    <row r="80" ht="15.75" customHeight="1">
      <c r="A80" s="15" t="s">
        <v>2589</v>
      </c>
      <c r="B80" s="15" t="s">
        <v>60</v>
      </c>
      <c r="C80" s="15" t="s">
        <v>447</v>
      </c>
      <c r="D80" s="56" t="s">
        <v>2591</v>
      </c>
      <c r="E80" s="15" t="s">
        <v>788</v>
      </c>
      <c r="F80" s="15" t="s">
        <v>2596</v>
      </c>
      <c r="G80" s="18" t="s">
        <v>2599</v>
      </c>
      <c r="H80" s="18"/>
      <c r="I80" s="18"/>
      <c r="J80" s="18"/>
    </row>
    <row r="81" ht="15.75" customHeight="1">
      <c r="A81" s="15" t="s">
        <v>2605</v>
      </c>
      <c r="B81" s="15" t="s">
        <v>60</v>
      </c>
      <c r="C81" s="15" t="s">
        <v>85</v>
      </c>
      <c r="D81" s="56" t="s">
        <v>2613</v>
      </c>
      <c r="E81" s="15" t="s">
        <v>788</v>
      </c>
      <c r="F81" s="15" t="s">
        <v>2616</v>
      </c>
      <c r="G81" s="18" t="s">
        <v>2619</v>
      </c>
      <c r="H81" s="18"/>
      <c r="I81" s="18"/>
      <c r="J81" s="18"/>
    </row>
    <row r="82" ht="15.75" customHeight="1">
      <c r="A82" s="15" t="s">
        <v>2624</v>
      </c>
      <c r="B82" s="15" t="s">
        <v>60</v>
      </c>
      <c r="C82" s="15" t="s">
        <v>2630</v>
      </c>
      <c r="D82" s="56" t="s">
        <v>2630</v>
      </c>
      <c r="E82" s="15" t="s">
        <v>788</v>
      </c>
      <c r="F82" s="15" t="s">
        <v>2634</v>
      </c>
      <c r="G82" s="18" t="s">
        <v>2637</v>
      </c>
      <c r="H82" s="18"/>
      <c r="I82" s="18"/>
      <c r="J82" s="18"/>
    </row>
    <row r="83" ht="15.75" customHeight="1">
      <c r="A83" s="15" t="s">
        <v>2640</v>
      </c>
      <c r="B83" s="15" t="s">
        <v>60</v>
      </c>
      <c r="C83" s="15" t="s">
        <v>264</v>
      </c>
      <c r="D83" s="56" t="s">
        <v>2644</v>
      </c>
      <c r="E83" s="15" t="s">
        <v>788</v>
      </c>
      <c r="F83" s="15" t="s">
        <v>2648</v>
      </c>
      <c r="G83" s="18" t="s">
        <v>2649</v>
      </c>
      <c r="H83" s="18"/>
      <c r="I83" s="18"/>
      <c r="J83" s="18"/>
    </row>
    <row r="84" ht="15.75" customHeight="1">
      <c r="A84" s="15" t="s">
        <v>2656</v>
      </c>
      <c r="B84" s="15" t="s">
        <v>60</v>
      </c>
      <c r="C84" s="15" t="s">
        <v>1818</v>
      </c>
      <c r="D84" s="56" t="s">
        <v>2663</v>
      </c>
      <c r="E84" s="15" t="s">
        <v>788</v>
      </c>
      <c r="F84" s="15" t="s">
        <v>2665</v>
      </c>
      <c r="G84" s="18" t="s">
        <v>2668</v>
      </c>
      <c r="H84" s="18"/>
      <c r="I84" s="18"/>
      <c r="J84" s="18"/>
    </row>
    <row r="85" ht="15.75" customHeight="1">
      <c r="A85" s="15" t="s">
        <v>2672</v>
      </c>
      <c r="B85" s="15" t="s">
        <v>60</v>
      </c>
      <c r="C85" s="15" t="s">
        <v>224</v>
      </c>
      <c r="D85" s="56" t="s">
        <v>2676</v>
      </c>
      <c r="E85" s="15" t="s">
        <v>788</v>
      </c>
      <c r="F85" s="15" t="s">
        <v>2678</v>
      </c>
      <c r="G85" s="18" t="s">
        <v>2679</v>
      </c>
      <c r="H85" s="18"/>
      <c r="I85" s="18"/>
      <c r="J85" s="18"/>
    </row>
    <row r="86" ht="15.75" customHeight="1">
      <c r="A86" s="15" t="s">
        <v>2685</v>
      </c>
      <c r="B86" s="15" t="s">
        <v>60</v>
      </c>
      <c r="C86" s="15" t="s">
        <v>842</v>
      </c>
      <c r="D86" s="56" t="s">
        <v>2689</v>
      </c>
      <c r="E86" s="15" t="s">
        <v>788</v>
      </c>
      <c r="F86" s="15" t="s">
        <v>2693</v>
      </c>
      <c r="G86" s="18" t="s">
        <v>2699</v>
      </c>
      <c r="H86" s="18"/>
      <c r="I86" s="18"/>
      <c r="J86" s="18"/>
    </row>
    <row r="87" ht="15.75" customHeight="1">
      <c r="A87" s="15" t="s">
        <v>2707</v>
      </c>
      <c r="B87" s="15" t="s">
        <v>60</v>
      </c>
      <c r="C87" s="15" t="s">
        <v>570</v>
      </c>
      <c r="D87" s="56" t="s">
        <v>2712</v>
      </c>
      <c r="E87" s="15" t="s">
        <v>788</v>
      </c>
      <c r="F87" s="15" t="s">
        <v>2720</v>
      </c>
      <c r="G87" s="18" t="s">
        <v>2723</v>
      </c>
      <c r="H87" s="18"/>
      <c r="I87" s="18"/>
      <c r="J87" s="18"/>
    </row>
    <row r="88" ht="15.75" customHeight="1">
      <c r="A88" s="15" t="s">
        <v>2729</v>
      </c>
      <c r="B88" s="15" t="s">
        <v>60</v>
      </c>
      <c r="C88" s="15" t="s">
        <v>570</v>
      </c>
      <c r="D88" s="56" t="s">
        <v>2733</v>
      </c>
      <c r="E88" s="15" t="s">
        <v>788</v>
      </c>
      <c r="F88" s="15" t="s">
        <v>2735</v>
      </c>
      <c r="G88" s="18" t="s">
        <v>2737</v>
      </c>
      <c r="H88" s="18"/>
      <c r="I88" s="18"/>
      <c r="J88" s="18"/>
    </row>
    <row r="89" ht="15.75" customHeight="1">
      <c r="A89" s="15" t="s">
        <v>2743</v>
      </c>
      <c r="B89" s="15" t="s">
        <v>60</v>
      </c>
      <c r="C89" s="15" t="s">
        <v>413</v>
      </c>
      <c r="D89" s="56" t="s">
        <v>2749</v>
      </c>
      <c r="E89" s="15" t="s">
        <v>788</v>
      </c>
      <c r="F89" s="15" t="s">
        <v>2754</v>
      </c>
      <c r="G89" s="18" t="s">
        <v>2757</v>
      </c>
      <c r="H89" s="18"/>
      <c r="I89" s="18"/>
      <c r="J89" s="18"/>
    </row>
    <row r="90" ht="15.75" customHeight="1">
      <c r="A90" s="15" t="s">
        <v>2764</v>
      </c>
      <c r="B90" s="15" t="s">
        <v>60</v>
      </c>
      <c r="C90" s="15" t="s">
        <v>236</v>
      </c>
      <c r="D90" s="56" t="s">
        <v>2770</v>
      </c>
      <c r="E90" s="15" t="s">
        <v>788</v>
      </c>
      <c r="F90" s="15" t="s">
        <v>2774</v>
      </c>
      <c r="G90" s="18" t="s">
        <v>2777</v>
      </c>
      <c r="H90" s="18"/>
      <c r="I90" s="18"/>
      <c r="J90" s="18"/>
    </row>
    <row r="91" ht="15.75" customHeight="1">
      <c r="A91" s="15" t="s">
        <v>2784</v>
      </c>
      <c r="B91" s="15" t="s">
        <v>60</v>
      </c>
      <c r="C91" s="15" t="s">
        <v>1312</v>
      </c>
      <c r="D91" s="56" t="s">
        <v>2789</v>
      </c>
      <c r="E91" s="15" t="s">
        <v>788</v>
      </c>
      <c r="F91" s="15" t="s">
        <v>2795</v>
      </c>
      <c r="G91" s="18" t="s">
        <v>2797</v>
      </c>
      <c r="H91" s="18"/>
      <c r="I91" s="18"/>
      <c r="J91" s="18"/>
    </row>
    <row r="92" ht="15.75" customHeight="1">
      <c r="A92" s="15" t="s">
        <v>2801</v>
      </c>
      <c r="B92" s="15" t="s">
        <v>60</v>
      </c>
      <c r="C92" s="15" t="s">
        <v>1165</v>
      </c>
      <c r="D92" s="56" t="s">
        <v>2804</v>
      </c>
      <c r="E92" s="15" t="s">
        <v>788</v>
      </c>
      <c r="F92" s="15" t="s">
        <v>2806</v>
      </c>
      <c r="G92" s="18" t="s">
        <v>2808</v>
      </c>
      <c r="H92" s="18"/>
      <c r="I92" s="18"/>
      <c r="J92" s="18"/>
    </row>
    <row r="93" ht="15.75" customHeight="1">
      <c r="A93" s="15" t="s">
        <v>2811</v>
      </c>
      <c r="B93" s="15" t="s">
        <v>60</v>
      </c>
      <c r="C93" s="15" t="s">
        <v>958</v>
      </c>
      <c r="D93" s="56" t="s">
        <v>2815</v>
      </c>
      <c r="E93" s="15" t="s">
        <v>788</v>
      </c>
      <c r="F93" s="15" t="s">
        <v>2817</v>
      </c>
      <c r="G93" s="18" t="s">
        <v>2820</v>
      </c>
      <c r="H93" s="18"/>
      <c r="I93" s="18"/>
      <c r="J93" s="18"/>
    </row>
    <row r="94" ht="15.75" customHeight="1">
      <c r="A94" s="15" t="s">
        <v>2824</v>
      </c>
      <c r="B94" s="15" t="s">
        <v>60</v>
      </c>
      <c r="C94" s="15" t="s">
        <v>424</v>
      </c>
      <c r="D94" s="56" t="s">
        <v>2825</v>
      </c>
      <c r="E94" s="15" t="s">
        <v>788</v>
      </c>
      <c r="F94" s="15" t="s">
        <v>2829</v>
      </c>
      <c r="G94" s="18" t="s">
        <v>2830</v>
      </c>
      <c r="H94" s="18"/>
      <c r="I94" s="18"/>
      <c r="J94" s="18"/>
    </row>
    <row r="95" ht="15.75" customHeight="1">
      <c r="A95" s="15" t="s">
        <v>2834</v>
      </c>
      <c r="B95" s="15" t="s">
        <v>60</v>
      </c>
      <c r="C95" s="15" t="s">
        <v>224</v>
      </c>
      <c r="D95" s="56" t="s">
        <v>2837</v>
      </c>
      <c r="E95" s="15" t="s">
        <v>788</v>
      </c>
      <c r="F95" s="15" t="s">
        <v>2839</v>
      </c>
      <c r="G95" s="18" t="s">
        <v>2841</v>
      </c>
      <c r="H95" s="18"/>
      <c r="I95" s="18"/>
      <c r="J95" s="18"/>
    </row>
    <row r="96" ht="15.75" customHeight="1">
      <c r="A96" s="15" t="s">
        <v>2845</v>
      </c>
      <c r="B96" s="15" t="s">
        <v>60</v>
      </c>
      <c r="C96" s="15" t="s">
        <v>842</v>
      </c>
      <c r="D96" s="56" t="s">
        <v>2850</v>
      </c>
      <c r="E96" s="15" t="s">
        <v>788</v>
      </c>
      <c r="F96" s="15" t="s">
        <v>2853</v>
      </c>
      <c r="G96" s="18" t="s">
        <v>2857</v>
      </c>
      <c r="H96" s="18"/>
      <c r="I96" s="18"/>
      <c r="J96" s="18"/>
    </row>
    <row r="97" ht="15.75" customHeight="1">
      <c r="A97" s="15" t="s">
        <v>2864</v>
      </c>
      <c r="B97" s="15" t="s">
        <v>60</v>
      </c>
      <c r="C97" s="15" t="s">
        <v>1818</v>
      </c>
      <c r="D97" s="56" t="s">
        <v>2866</v>
      </c>
      <c r="E97" s="15" t="s">
        <v>788</v>
      </c>
      <c r="F97" s="15" t="s">
        <v>2868</v>
      </c>
      <c r="G97" s="18" t="s">
        <v>2870</v>
      </c>
      <c r="H97" s="18"/>
      <c r="I97" s="18"/>
      <c r="J97" s="18"/>
    </row>
    <row r="98" ht="15.75" customHeight="1">
      <c r="A98" s="15" t="s">
        <v>2872</v>
      </c>
      <c r="B98" s="15" t="s">
        <v>60</v>
      </c>
      <c r="C98" s="15" t="s">
        <v>236</v>
      </c>
      <c r="D98" s="56" t="s">
        <v>2876</v>
      </c>
      <c r="E98" s="15" t="s">
        <v>788</v>
      </c>
      <c r="F98" s="15" t="s">
        <v>2877</v>
      </c>
      <c r="G98" s="18" t="s">
        <v>2878</v>
      </c>
      <c r="H98" s="18"/>
      <c r="I98" s="18"/>
      <c r="J98" s="18"/>
    </row>
    <row r="99" ht="15.75" customHeight="1">
      <c r="A99" s="15" t="s">
        <v>2882</v>
      </c>
      <c r="B99" s="15" t="s">
        <v>60</v>
      </c>
      <c r="C99" s="15" t="s">
        <v>570</v>
      </c>
      <c r="D99" s="56" t="s">
        <v>2884</v>
      </c>
      <c r="E99" s="15" t="s">
        <v>788</v>
      </c>
      <c r="F99" s="15" t="s">
        <v>2887</v>
      </c>
      <c r="G99" s="18" t="s">
        <v>2888</v>
      </c>
      <c r="H99" s="18"/>
      <c r="I99" s="18"/>
      <c r="J99" s="18"/>
    </row>
    <row r="100" ht="15.75" customHeight="1">
      <c r="A100" s="15" t="s">
        <v>2892</v>
      </c>
      <c r="B100" s="15" t="s">
        <v>60</v>
      </c>
      <c r="C100" s="15" t="s">
        <v>224</v>
      </c>
      <c r="D100" s="56" t="s">
        <v>2894</v>
      </c>
      <c r="E100" s="15" t="s">
        <v>788</v>
      </c>
      <c r="F100" s="15" t="s">
        <v>2895</v>
      </c>
      <c r="G100" s="18" t="s">
        <v>2898</v>
      </c>
      <c r="H100" s="18"/>
      <c r="I100" s="18"/>
      <c r="J100" s="18"/>
    </row>
    <row r="101" ht="15.75" customHeight="1">
      <c r="A101" s="15" t="s">
        <v>2902</v>
      </c>
      <c r="B101" s="15" t="s">
        <v>60</v>
      </c>
      <c r="C101" s="15" t="s">
        <v>878</v>
      </c>
      <c r="D101" s="56" t="s">
        <v>2905</v>
      </c>
      <c r="E101" s="15" t="s">
        <v>788</v>
      </c>
      <c r="F101" s="15" t="s">
        <v>2908</v>
      </c>
      <c r="G101" s="18" t="s">
        <v>2910</v>
      </c>
      <c r="H101" s="18"/>
      <c r="I101" s="18"/>
      <c r="J101" s="18"/>
    </row>
    <row r="102" ht="15.75" customHeight="1">
      <c r="A102" s="15" t="s">
        <v>2915</v>
      </c>
      <c r="B102" s="15" t="s">
        <v>60</v>
      </c>
      <c r="C102" s="15" t="s">
        <v>85</v>
      </c>
      <c r="D102" s="56" t="s">
        <v>2918</v>
      </c>
      <c r="E102" s="15" t="s">
        <v>788</v>
      </c>
      <c r="F102" s="15" t="s">
        <v>2923</v>
      </c>
      <c r="G102" s="18" t="s">
        <v>2925</v>
      </c>
      <c r="H102" s="18"/>
      <c r="I102" s="18"/>
      <c r="J102" s="18"/>
    </row>
    <row r="103" ht="15.75" customHeight="1">
      <c r="A103" s="15" t="s">
        <v>2930</v>
      </c>
      <c r="B103" s="15" t="s">
        <v>60</v>
      </c>
      <c r="C103" s="15" t="s">
        <v>354</v>
      </c>
      <c r="D103" s="56" t="s">
        <v>2931</v>
      </c>
      <c r="E103" s="15" t="s">
        <v>788</v>
      </c>
      <c r="F103" s="15" t="s">
        <v>2935</v>
      </c>
      <c r="G103" s="18" t="s">
        <v>2936</v>
      </c>
      <c r="H103" s="18"/>
      <c r="I103" s="18"/>
      <c r="J103" s="18"/>
    </row>
    <row r="104" ht="15.75" customHeight="1">
      <c r="A104" s="15" t="s">
        <v>2940</v>
      </c>
      <c r="B104" s="15" t="s">
        <v>60</v>
      </c>
      <c r="C104" s="15" t="s">
        <v>775</v>
      </c>
      <c r="D104" s="56" t="s">
        <v>2943</v>
      </c>
      <c r="E104" s="15" t="s">
        <v>788</v>
      </c>
      <c r="F104" s="15" t="s">
        <v>2945</v>
      </c>
      <c r="G104" s="18" t="s">
        <v>2947</v>
      </c>
      <c r="H104" s="18"/>
      <c r="I104" s="18"/>
      <c r="J104" s="18"/>
    </row>
    <row r="105" ht="15.75" customHeight="1">
      <c r="A105" s="15" t="s">
        <v>2951</v>
      </c>
      <c r="B105" s="15" t="s">
        <v>60</v>
      </c>
      <c r="C105" s="15" t="s">
        <v>878</v>
      </c>
      <c r="D105" s="56" t="s">
        <v>2954</v>
      </c>
      <c r="E105" s="15" t="s">
        <v>788</v>
      </c>
      <c r="F105" s="15" t="s">
        <v>2957</v>
      </c>
      <c r="G105" s="18" t="s">
        <v>2959</v>
      </c>
      <c r="H105" s="18"/>
      <c r="I105" s="18"/>
      <c r="J105" s="18"/>
    </row>
    <row r="106" ht="15.75" customHeight="1">
      <c r="A106" s="15" t="s">
        <v>2963</v>
      </c>
      <c r="B106" s="15" t="s">
        <v>60</v>
      </c>
      <c r="C106" s="15" t="s">
        <v>1621</v>
      </c>
      <c r="D106" s="56" t="s">
        <v>2966</v>
      </c>
      <c r="E106" s="15" t="s">
        <v>788</v>
      </c>
      <c r="F106" s="15" t="s">
        <v>2968</v>
      </c>
      <c r="G106" s="18" t="s">
        <v>2969</v>
      </c>
      <c r="H106" s="18"/>
      <c r="I106" s="18"/>
      <c r="J106" s="18"/>
    </row>
    <row r="107" ht="15.75" customHeight="1">
      <c r="A107" s="15" t="s">
        <v>2973</v>
      </c>
      <c r="B107" s="15" t="s">
        <v>60</v>
      </c>
      <c r="C107" s="15" t="s">
        <v>958</v>
      </c>
      <c r="D107" s="56" t="s">
        <v>2977</v>
      </c>
      <c r="E107" s="15" t="s">
        <v>788</v>
      </c>
      <c r="F107" s="15" t="s">
        <v>2981</v>
      </c>
      <c r="G107" s="18" t="s">
        <v>2982</v>
      </c>
      <c r="H107" s="18"/>
      <c r="I107" s="18"/>
      <c r="J107" s="18"/>
    </row>
    <row r="108" ht="15.75" customHeight="1">
      <c r="A108" s="15" t="s">
        <v>2988</v>
      </c>
      <c r="B108" s="15" t="s">
        <v>60</v>
      </c>
      <c r="C108" s="15" t="s">
        <v>245</v>
      </c>
      <c r="D108" s="56" t="s">
        <v>2994</v>
      </c>
      <c r="E108" s="15" t="s">
        <v>788</v>
      </c>
      <c r="F108" s="15" t="s">
        <v>2997</v>
      </c>
      <c r="G108" s="18" t="s">
        <v>2998</v>
      </c>
      <c r="H108" s="18"/>
      <c r="I108" s="18"/>
      <c r="J108" s="18"/>
    </row>
    <row r="109" ht="15.75" customHeight="1">
      <c r="A109" s="15" t="s">
        <v>3002</v>
      </c>
      <c r="B109" s="15" t="s">
        <v>60</v>
      </c>
      <c r="C109" s="15" t="s">
        <v>424</v>
      </c>
      <c r="D109" s="56" t="s">
        <v>3005</v>
      </c>
      <c r="E109" s="15" t="s">
        <v>788</v>
      </c>
      <c r="F109" s="15" t="s">
        <v>3008</v>
      </c>
      <c r="G109" s="18" t="s">
        <v>3010</v>
      </c>
      <c r="H109" s="18"/>
      <c r="I109" s="18"/>
      <c r="J109" s="18"/>
    </row>
    <row r="110" ht="15.75" customHeight="1">
      <c r="A110" s="15" t="s">
        <v>3014</v>
      </c>
      <c r="B110" s="15" t="s">
        <v>60</v>
      </c>
      <c r="C110" s="15" t="s">
        <v>1155</v>
      </c>
      <c r="D110" s="56" t="s">
        <v>3017</v>
      </c>
      <c r="E110" s="15" t="s">
        <v>788</v>
      </c>
      <c r="F110" s="15" t="s">
        <v>3020</v>
      </c>
      <c r="G110" s="18" t="s">
        <v>3022</v>
      </c>
      <c r="H110" s="18"/>
      <c r="I110" s="18"/>
      <c r="J110" s="18"/>
    </row>
    <row r="111" ht="15.75" customHeight="1">
      <c r="A111" s="15" t="s">
        <v>3026</v>
      </c>
      <c r="B111" s="15" t="s">
        <v>60</v>
      </c>
      <c r="C111" s="15" t="s">
        <v>264</v>
      </c>
      <c r="D111" s="56" t="s">
        <v>3029</v>
      </c>
      <c r="E111" s="15" t="s">
        <v>788</v>
      </c>
      <c r="F111" s="15" t="s">
        <v>3031</v>
      </c>
      <c r="G111" s="18" t="s">
        <v>3033</v>
      </c>
      <c r="H111" s="18"/>
      <c r="I111" s="18"/>
      <c r="J111" s="18"/>
    </row>
    <row r="112" ht="15.75" customHeight="1">
      <c r="A112" s="15" t="s">
        <v>3037</v>
      </c>
      <c r="B112" s="15" t="s">
        <v>60</v>
      </c>
      <c r="C112" s="15" t="s">
        <v>3040</v>
      </c>
      <c r="D112" s="56" t="s">
        <v>3041</v>
      </c>
      <c r="E112" s="15" t="s">
        <v>788</v>
      </c>
      <c r="F112" s="15" t="s">
        <v>3044</v>
      </c>
      <c r="G112" s="18" t="s">
        <v>3046</v>
      </c>
      <c r="H112" s="18"/>
      <c r="I112" s="18"/>
      <c r="J112" s="18"/>
    </row>
    <row r="113" ht="15.75" customHeight="1">
      <c r="A113" s="15" t="s">
        <v>3053</v>
      </c>
      <c r="B113" s="15" t="s">
        <v>60</v>
      </c>
      <c r="C113" s="15" t="s">
        <v>958</v>
      </c>
      <c r="D113" s="56" t="s">
        <v>3057</v>
      </c>
      <c r="E113" s="15" t="s">
        <v>788</v>
      </c>
      <c r="F113" s="15" t="s">
        <v>3060</v>
      </c>
      <c r="G113" s="18" t="s">
        <v>3062</v>
      </c>
      <c r="H113" s="18"/>
      <c r="I113" s="18"/>
      <c r="J113" s="18"/>
    </row>
    <row r="114" ht="15.75" customHeight="1">
      <c r="A114" s="15" t="s">
        <v>3066</v>
      </c>
      <c r="B114" s="15" t="s">
        <v>60</v>
      </c>
      <c r="C114" s="15" t="s">
        <v>570</v>
      </c>
      <c r="D114" s="56" t="s">
        <v>3069</v>
      </c>
      <c r="E114" s="15" t="s">
        <v>788</v>
      </c>
      <c r="F114" s="15" t="s">
        <v>3071</v>
      </c>
      <c r="G114" s="18" t="s">
        <v>3075</v>
      </c>
      <c r="H114" s="18"/>
      <c r="I114" s="18"/>
      <c r="J114" s="18"/>
    </row>
    <row r="115" ht="15.75" customHeight="1">
      <c r="A115" s="15" t="s">
        <v>3079</v>
      </c>
      <c r="B115" s="15" t="s">
        <v>60</v>
      </c>
      <c r="C115" s="15" t="s">
        <v>264</v>
      </c>
      <c r="D115" s="56" t="s">
        <v>3083</v>
      </c>
      <c r="E115" s="15" t="s">
        <v>788</v>
      </c>
      <c r="F115" s="15" t="s">
        <v>3086</v>
      </c>
      <c r="G115" s="18" t="s">
        <v>3089</v>
      </c>
      <c r="H115" s="18"/>
      <c r="I115" s="18"/>
      <c r="J115" s="18"/>
    </row>
    <row r="116" ht="15.75" customHeight="1">
      <c r="A116" s="15" t="s">
        <v>3094</v>
      </c>
      <c r="B116" s="15" t="s">
        <v>60</v>
      </c>
      <c r="C116" s="15" t="s">
        <v>878</v>
      </c>
      <c r="D116" s="56" t="s">
        <v>3103</v>
      </c>
      <c r="E116" s="15" t="s">
        <v>788</v>
      </c>
      <c r="F116" s="15" t="s">
        <v>3104</v>
      </c>
      <c r="G116" s="18" t="s">
        <v>3107</v>
      </c>
      <c r="H116" s="18"/>
      <c r="I116" s="18"/>
      <c r="J116" s="18"/>
    </row>
    <row r="117" ht="15.75" customHeight="1">
      <c r="A117" s="15" t="s">
        <v>3111</v>
      </c>
      <c r="B117" s="15" t="s">
        <v>60</v>
      </c>
      <c r="C117" s="15" t="s">
        <v>775</v>
      </c>
      <c r="D117" s="56" t="s">
        <v>3115</v>
      </c>
      <c r="E117" s="15" t="s">
        <v>788</v>
      </c>
      <c r="F117" s="15" t="s">
        <v>3118</v>
      </c>
      <c r="G117" s="18" t="s">
        <v>3119</v>
      </c>
      <c r="H117" s="18"/>
      <c r="I117" s="18"/>
      <c r="J117" s="18"/>
    </row>
    <row r="118" ht="15.75" customHeight="1">
      <c r="A118" s="15" t="s">
        <v>3124</v>
      </c>
      <c r="B118" s="15" t="s">
        <v>60</v>
      </c>
      <c r="C118" s="15" t="s">
        <v>413</v>
      </c>
      <c r="D118" s="56" t="s">
        <v>3129</v>
      </c>
      <c r="E118" s="15" t="s">
        <v>788</v>
      </c>
      <c r="F118" s="15" t="s">
        <v>3131</v>
      </c>
      <c r="G118" s="18" t="s">
        <v>3134</v>
      </c>
      <c r="H118" s="18"/>
      <c r="I118" s="18"/>
      <c r="J118" s="18"/>
    </row>
    <row r="119" ht="15.75" customHeight="1">
      <c r="A119" s="15" t="s">
        <v>3139</v>
      </c>
      <c r="B119" s="15" t="s">
        <v>60</v>
      </c>
      <c r="C119" s="15" t="s">
        <v>85</v>
      </c>
      <c r="D119" s="56" t="s">
        <v>3143</v>
      </c>
      <c r="E119" s="15" t="s">
        <v>788</v>
      </c>
      <c r="F119" s="15" t="s">
        <v>3149</v>
      </c>
      <c r="G119" s="18" t="s">
        <v>3151</v>
      </c>
      <c r="H119" s="18"/>
      <c r="I119" s="18"/>
      <c r="J119" s="18"/>
    </row>
    <row r="120" ht="15.75" customHeight="1">
      <c r="A120" s="15" t="s">
        <v>3157</v>
      </c>
      <c r="B120" s="15" t="s">
        <v>60</v>
      </c>
      <c r="C120" s="15" t="s">
        <v>85</v>
      </c>
      <c r="D120" s="56" t="s">
        <v>3164</v>
      </c>
      <c r="E120" s="15" t="s">
        <v>788</v>
      </c>
      <c r="F120" s="15" t="s">
        <v>3169</v>
      </c>
      <c r="G120" s="18" t="s">
        <v>3172</v>
      </c>
      <c r="H120" s="18"/>
      <c r="I120" s="18"/>
      <c r="J120" s="18"/>
    </row>
    <row r="121" ht="15.75" customHeight="1">
      <c r="A121" s="15" t="s">
        <v>3180</v>
      </c>
      <c r="B121" s="15" t="s">
        <v>60</v>
      </c>
      <c r="C121" s="15" t="s">
        <v>245</v>
      </c>
      <c r="D121" s="56" t="s">
        <v>3185</v>
      </c>
      <c r="E121" s="15" t="s">
        <v>788</v>
      </c>
      <c r="F121" s="15" t="s">
        <v>3189</v>
      </c>
      <c r="G121" s="18" t="s">
        <v>3192</v>
      </c>
      <c r="H121" s="18"/>
      <c r="I121" s="18"/>
      <c r="J121" s="18"/>
    </row>
    <row r="122" ht="15.75" customHeight="1">
      <c r="A122" s="15" t="s">
        <v>3199</v>
      </c>
      <c r="B122" s="15" t="s">
        <v>60</v>
      </c>
      <c r="C122" s="15" t="s">
        <v>85</v>
      </c>
      <c r="D122" s="56" t="s">
        <v>3205</v>
      </c>
      <c r="E122" s="15" t="s">
        <v>788</v>
      </c>
      <c r="F122" s="15" t="s">
        <v>3211</v>
      </c>
      <c r="G122" s="18" t="s">
        <v>3214</v>
      </c>
      <c r="H122" s="18"/>
      <c r="I122" s="18"/>
      <c r="J122" s="18"/>
    </row>
    <row r="123" ht="15.75" customHeight="1">
      <c r="A123" s="15" t="s">
        <v>3220</v>
      </c>
      <c r="B123" s="15" t="s">
        <v>60</v>
      </c>
      <c r="C123" s="15" t="s">
        <v>354</v>
      </c>
      <c r="D123" s="56" t="s">
        <v>3224</v>
      </c>
      <c r="E123" s="15" t="s">
        <v>788</v>
      </c>
      <c r="F123" s="15" t="s">
        <v>3228</v>
      </c>
      <c r="G123" s="18" t="s">
        <v>3230</v>
      </c>
      <c r="H123" s="18"/>
      <c r="I123" s="18"/>
      <c r="J123" s="18"/>
    </row>
    <row r="124" ht="15.75" customHeight="1">
      <c r="A124" s="15" t="s">
        <v>3236</v>
      </c>
      <c r="B124" s="15" t="s">
        <v>60</v>
      </c>
      <c r="C124" s="15" t="s">
        <v>570</v>
      </c>
      <c r="D124" s="56" t="s">
        <v>3241</v>
      </c>
      <c r="E124" s="15" t="s">
        <v>788</v>
      </c>
      <c r="F124" s="15" t="s">
        <v>3244</v>
      </c>
      <c r="G124" s="18" t="s">
        <v>3245</v>
      </c>
      <c r="H124" s="18"/>
      <c r="I124" s="18"/>
      <c r="J124" s="18"/>
    </row>
    <row r="125" ht="15.75" customHeight="1">
      <c r="A125" s="15" t="s">
        <v>3247</v>
      </c>
      <c r="B125" s="15" t="s">
        <v>60</v>
      </c>
      <c r="C125" s="15" t="s">
        <v>224</v>
      </c>
      <c r="D125" s="56" t="s">
        <v>3248</v>
      </c>
      <c r="E125" s="15" t="s">
        <v>788</v>
      </c>
      <c r="F125" s="15" t="s">
        <v>3250</v>
      </c>
      <c r="G125" s="18" t="s">
        <v>3251</v>
      </c>
      <c r="H125" s="18"/>
      <c r="I125" s="18"/>
      <c r="J125" s="18"/>
    </row>
    <row r="126" ht="15.75" customHeight="1">
      <c r="A126" s="15" t="s">
        <v>3252</v>
      </c>
      <c r="B126" s="15" t="s">
        <v>60</v>
      </c>
      <c r="C126" s="15" t="s">
        <v>3253</v>
      </c>
      <c r="D126" s="56" t="s">
        <v>3254</v>
      </c>
      <c r="E126" s="15" t="s">
        <v>788</v>
      </c>
      <c r="F126" s="15" t="s">
        <v>3255</v>
      </c>
      <c r="G126" s="18" t="s">
        <v>3256</v>
      </c>
      <c r="H126" s="18"/>
      <c r="I126" s="18"/>
      <c r="J126" s="18"/>
    </row>
    <row r="127" ht="15.75" customHeight="1">
      <c r="A127" s="15" t="s">
        <v>3257</v>
      </c>
      <c r="B127" s="15" t="s">
        <v>60</v>
      </c>
      <c r="C127" s="15" t="s">
        <v>1818</v>
      </c>
      <c r="D127" s="56" t="s">
        <v>3260</v>
      </c>
      <c r="E127" s="15" t="s">
        <v>788</v>
      </c>
      <c r="F127" s="15" t="s">
        <v>3264</v>
      </c>
      <c r="G127" s="18" t="s">
        <v>3266</v>
      </c>
      <c r="H127" s="18"/>
      <c r="I127" s="18"/>
      <c r="J127" s="18"/>
    </row>
    <row r="128" ht="15.75" customHeight="1">
      <c r="A128" s="15" t="s">
        <v>3267</v>
      </c>
      <c r="B128" s="15" t="s">
        <v>60</v>
      </c>
      <c r="C128" s="15" t="s">
        <v>878</v>
      </c>
      <c r="D128" s="56" t="s">
        <v>3268</v>
      </c>
      <c r="E128" s="15" t="s">
        <v>788</v>
      </c>
      <c r="F128" s="15" t="s">
        <v>3269</v>
      </c>
      <c r="G128" s="18" t="s">
        <v>3270</v>
      </c>
      <c r="H128" s="18"/>
      <c r="I128" s="18"/>
      <c r="J128" s="18"/>
    </row>
    <row r="129" ht="15.75" customHeight="1">
      <c r="A129" s="15" t="s">
        <v>3271</v>
      </c>
      <c r="B129" s="15" t="s">
        <v>60</v>
      </c>
      <c r="C129" s="15" t="s">
        <v>224</v>
      </c>
      <c r="D129" s="56" t="s">
        <v>3272</v>
      </c>
      <c r="E129" s="15" t="s">
        <v>788</v>
      </c>
      <c r="F129" s="15" t="s">
        <v>3273</v>
      </c>
      <c r="G129" s="18" t="s">
        <v>3274</v>
      </c>
      <c r="H129" s="18"/>
      <c r="I129" s="18"/>
      <c r="J129" s="18"/>
    </row>
    <row r="130" ht="15.75" customHeight="1">
      <c r="A130" s="15" t="s">
        <v>3275</v>
      </c>
      <c r="B130" s="15" t="s">
        <v>60</v>
      </c>
      <c r="C130" s="15" t="s">
        <v>1155</v>
      </c>
      <c r="D130" s="56" t="s">
        <v>3276</v>
      </c>
      <c r="E130" s="15" t="s">
        <v>788</v>
      </c>
      <c r="F130" s="15" t="s">
        <v>3277</v>
      </c>
      <c r="G130" s="18" t="s">
        <v>3278</v>
      </c>
      <c r="H130" s="18"/>
      <c r="I130" s="18"/>
      <c r="J130" s="18"/>
    </row>
    <row r="131" ht="15.75" customHeight="1">
      <c r="A131" s="15" t="s">
        <v>3279</v>
      </c>
      <c r="B131" s="15" t="s">
        <v>60</v>
      </c>
      <c r="C131" s="15" t="s">
        <v>264</v>
      </c>
      <c r="D131" s="56" t="s">
        <v>3280</v>
      </c>
      <c r="E131" s="15" t="s">
        <v>788</v>
      </c>
      <c r="F131" s="15" t="s">
        <v>3281</v>
      </c>
      <c r="G131" s="18" t="s">
        <v>3282</v>
      </c>
      <c r="H131" s="18"/>
      <c r="I131" s="18"/>
      <c r="J131" s="18"/>
    </row>
    <row r="132" ht="15.75" customHeight="1">
      <c r="A132" s="15" t="s">
        <v>3283</v>
      </c>
      <c r="B132" s="15" t="s">
        <v>60</v>
      </c>
      <c r="C132" s="15" t="s">
        <v>85</v>
      </c>
      <c r="D132" s="56" t="s">
        <v>3286</v>
      </c>
      <c r="E132" s="15" t="s">
        <v>788</v>
      </c>
      <c r="F132" s="15" t="s">
        <v>3289</v>
      </c>
      <c r="G132" s="18" t="s">
        <v>3291</v>
      </c>
      <c r="H132" s="18"/>
      <c r="I132" s="18"/>
      <c r="J132" s="18"/>
    </row>
    <row r="133" ht="15.75" customHeight="1">
      <c r="A133" s="15" t="s">
        <v>3292</v>
      </c>
      <c r="B133" s="15" t="s">
        <v>60</v>
      </c>
      <c r="C133" s="15" t="s">
        <v>413</v>
      </c>
      <c r="D133" s="56" t="s">
        <v>3293</v>
      </c>
      <c r="E133" s="15" t="s">
        <v>788</v>
      </c>
      <c r="F133" s="15" t="s">
        <v>3294</v>
      </c>
      <c r="G133" s="18" t="s">
        <v>3295</v>
      </c>
      <c r="H133" s="18"/>
      <c r="I133" s="18"/>
      <c r="J133" s="18"/>
    </row>
    <row r="134" ht="15.75" customHeight="1">
      <c r="A134" s="15" t="s">
        <v>3296</v>
      </c>
      <c r="B134" s="15" t="s">
        <v>60</v>
      </c>
      <c r="C134" s="15" t="s">
        <v>958</v>
      </c>
      <c r="D134" s="56" t="s">
        <v>3297</v>
      </c>
      <c r="E134" s="15" t="s">
        <v>788</v>
      </c>
      <c r="F134" s="15" t="s">
        <v>3298</v>
      </c>
      <c r="G134" s="18" t="s">
        <v>3299</v>
      </c>
      <c r="H134" s="18"/>
      <c r="I134" s="18"/>
      <c r="J134" s="18"/>
    </row>
    <row r="135" ht="15.75" customHeight="1">
      <c r="A135" s="15" t="s">
        <v>3300</v>
      </c>
      <c r="B135" s="15" t="s">
        <v>60</v>
      </c>
      <c r="C135" s="15" t="s">
        <v>842</v>
      </c>
      <c r="D135" s="56" t="s">
        <v>3301</v>
      </c>
      <c r="E135" s="15" t="s">
        <v>788</v>
      </c>
      <c r="F135" s="15" t="s">
        <v>3302</v>
      </c>
      <c r="G135" s="18" t="s">
        <v>3303</v>
      </c>
      <c r="H135" s="18"/>
      <c r="I135" s="18"/>
      <c r="J135" s="18"/>
    </row>
    <row r="136" ht="15.75" customHeight="1">
      <c r="A136" s="15" t="s">
        <v>3304</v>
      </c>
      <c r="B136" s="15" t="s">
        <v>60</v>
      </c>
      <c r="C136" s="15" t="s">
        <v>413</v>
      </c>
      <c r="D136" s="56" t="s">
        <v>3305</v>
      </c>
      <c r="E136" s="15" t="s">
        <v>788</v>
      </c>
      <c r="F136" s="15" t="s">
        <v>3306</v>
      </c>
      <c r="G136" s="18" t="s">
        <v>3307</v>
      </c>
      <c r="H136" s="18"/>
      <c r="I136" s="18"/>
      <c r="J136" s="18"/>
    </row>
    <row r="137" ht="15.75" customHeight="1">
      <c r="A137" s="15" t="s">
        <v>3308</v>
      </c>
      <c r="B137" s="15" t="s">
        <v>60</v>
      </c>
      <c r="C137" s="15" t="s">
        <v>842</v>
      </c>
      <c r="D137" s="56" t="s">
        <v>3311</v>
      </c>
      <c r="E137" s="15" t="s">
        <v>788</v>
      </c>
      <c r="F137" s="15" t="s">
        <v>3315</v>
      </c>
      <c r="G137" s="18" t="s">
        <v>3317</v>
      </c>
      <c r="H137" s="18"/>
      <c r="I137" s="18"/>
      <c r="J137" s="18"/>
    </row>
    <row r="138" ht="15.75" customHeight="1">
      <c r="A138" s="15" t="s">
        <v>3318</v>
      </c>
      <c r="B138" s="15" t="s">
        <v>60</v>
      </c>
      <c r="C138" s="15" t="s">
        <v>1818</v>
      </c>
      <c r="D138" s="56" t="s">
        <v>3319</v>
      </c>
      <c r="E138" s="15" t="s">
        <v>788</v>
      </c>
      <c r="F138" s="15" t="s">
        <v>3320</v>
      </c>
      <c r="G138" s="18" t="s">
        <v>3322</v>
      </c>
      <c r="H138" s="18"/>
      <c r="I138" s="18"/>
      <c r="J138" s="18"/>
    </row>
    <row r="139" ht="15.75" customHeight="1">
      <c r="A139" s="15" t="s">
        <v>3324</v>
      </c>
      <c r="B139" s="15" t="s">
        <v>60</v>
      </c>
      <c r="C139" s="15" t="s">
        <v>1139</v>
      </c>
      <c r="D139" s="56" t="s">
        <v>3325</v>
      </c>
      <c r="E139" s="15" t="s">
        <v>788</v>
      </c>
      <c r="F139" s="15" t="s">
        <v>3326</v>
      </c>
      <c r="G139" s="18" t="s">
        <v>3327</v>
      </c>
      <c r="H139" s="18"/>
      <c r="I139" s="18"/>
      <c r="J139" s="18"/>
    </row>
    <row r="140" ht="15.75" customHeight="1">
      <c r="A140" s="15" t="s">
        <v>3328</v>
      </c>
      <c r="B140" s="15" t="s">
        <v>60</v>
      </c>
      <c r="C140" s="15" t="s">
        <v>447</v>
      </c>
      <c r="D140" s="56" t="s">
        <v>3329</v>
      </c>
      <c r="E140" s="15" t="s">
        <v>788</v>
      </c>
      <c r="F140" s="15" t="s">
        <v>3330</v>
      </c>
      <c r="G140" s="18" t="s">
        <v>3331</v>
      </c>
      <c r="H140" s="18"/>
      <c r="I140" s="18"/>
      <c r="J140" s="18"/>
    </row>
    <row r="141" ht="15.75" customHeight="1">
      <c r="A141" s="15" t="s">
        <v>3332</v>
      </c>
      <c r="B141" s="15" t="s">
        <v>60</v>
      </c>
      <c r="C141" s="15" t="s">
        <v>236</v>
      </c>
      <c r="D141" s="56" t="s">
        <v>3333</v>
      </c>
      <c r="E141" s="15" t="s">
        <v>788</v>
      </c>
      <c r="F141" s="15" t="s">
        <v>3334</v>
      </c>
      <c r="G141" s="18" t="s">
        <v>3335</v>
      </c>
      <c r="H141" s="18"/>
      <c r="I141" s="18"/>
      <c r="J141" s="18"/>
    </row>
    <row r="142" ht="15.75" customHeight="1">
      <c r="A142" s="15" t="s">
        <v>3336</v>
      </c>
      <c r="B142" s="15" t="s">
        <v>60</v>
      </c>
      <c r="C142" s="15" t="s">
        <v>85</v>
      </c>
      <c r="D142" s="56" t="s">
        <v>3338</v>
      </c>
      <c r="E142" s="15" t="s">
        <v>788</v>
      </c>
      <c r="F142" s="15" t="s">
        <v>3341</v>
      </c>
      <c r="G142" s="18" t="s">
        <v>3343</v>
      </c>
      <c r="H142" s="18"/>
      <c r="I142" s="18"/>
      <c r="J142" s="18"/>
    </row>
    <row r="143" ht="15.75" customHeight="1">
      <c r="A143" s="15" t="s">
        <v>3345</v>
      </c>
      <c r="B143" s="15" t="s">
        <v>60</v>
      </c>
      <c r="C143" s="15" t="s">
        <v>570</v>
      </c>
      <c r="D143" s="56" t="s">
        <v>3346</v>
      </c>
      <c r="E143" s="15" t="s">
        <v>788</v>
      </c>
      <c r="F143" s="15" t="s">
        <v>3347</v>
      </c>
      <c r="G143" s="18" t="s">
        <v>3348</v>
      </c>
      <c r="H143" s="18"/>
      <c r="I143" s="18"/>
      <c r="J143" s="18"/>
    </row>
    <row r="144" ht="15.75" customHeight="1">
      <c r="A144" s="15" t="s">
        <v>3349</v>
      </c>
      <c r="B144" s="15" t="s">
        <v>60</v>
      </c>
      <c r="C144" s="15" t="s">
        <v>570</v>
      </c>
      <c r="D144" s="56" t="s">
        <v>3350</v>
      </c>
      <c r="E144" s="15" t="s">
        <v>788</v>
      </c>
      <c r="F144" s="15" t="s">
        <v>3351</v>
      </c>
      <c r="G144" s="18" t="s">
        <v>3352</v>
      </c>
      <c r="H144" s="18"/>
      <c r="I144" s="18"/>
      <c r="J144" s="18"/>
    </row>
    <row r="145" ht="15.75" customHeight="1">
      <c r="A145" s="15" t="s">
        <v>3353</v>
      </c>
      <c r="B145" s="15" t="s">
        <v>60</v>
      </c>
      <c r="C145" s="15" t="s">
        <v>570</v>
      </c>
      <c r="D145" s="56" t="s">
        <v>3354</v>
      </c>
      <c r="E145" s="15" t="s">
        <v>788</v>
      </c>
      <c r="F145" s="15" t="s">
        <v>3355</v>
      </c>
      <c r="G145" s="18" t="s">
        <v>3356</v>
      </c>
      <c r="H145" s="18"/>
      <c r="I145" s="18"/>
      <c r="J145" s="18"/>
    </row>
    <row r="146" ht="15.75" customHeight="1">
      <c r="A146" s="15" t="s">
        <v>3357</v>
      </c>
      <c r="B146" s="15" t="s">
        <v>60</v>
      </c>
      <c r="C146" s="15" t="s">
        <v>878</v>
      </c>
      <c r="D146" s="56" t="s">
        <v>3358</v>
      </c>
      <c r="E146" s="15" t="s">
        <v>788</v>
      </c>
      <c r="F146" s="15" t="s">
        <v>3359</v>
      </c>
      <c r="G146" s="18" t="s">
        <v>3360</v>
      </c>
      <c r="H146" s="18"/>
      <c r="I146" s="18"/>
      <c r="J146" s="18"/>
    </row>
    <row r="147" ht="15.75" customHeight="1">
      <c r="A147" s="15" t="s">
        <v>3361</v>
      </c>
      <c r="B147" s="15" t="s">
        <v>60</v>
      </c>
      <c r="C147" s="15" t="s">
        <v>224</v>
      </c>
      <c r="D147" s="56" t="s">
        <v>3362</v>
      </c>
      <c r="E147" s="15" t="s">
        <v>788</v>
      </c>
      <c r="F147" s="15" t="s">
        <v>3363</v>
      </c>
      <c r="G147" s="18" t="s">
        <v>3364</v>
      </c>
      <c r="H147" s="18"/>
      <c r="I147" s="18"/>
      <c r="J147" s="18"/>
    </row>
    <row r="148" ht="15.75" customHeight="1">
      <c r="A148" s="15" t="s">
        <v>3367</v>
      </c>
      <c r="B148" s="15" t="s">
        <v>60</v>
      </c>
      <c r="C148" s="15" t="s">
        <v>413</v>
      </c>
      <c r="D148" s="56" t="s">
        <v>3369</v>
      </c>
      <c r="E148" s="15" t="s">
        <v>788</v>
      </c>
      <c r="F148" s="15" t="s">
        <v>3372</v>
      </c>
      <c r="G148" s="18" t="s">
        <v>3373</v>
      </c>
      <c r="H148" s="18"/>
      <c r="I148" s="18"/>
      <c r="J148" s="18"/>
    </row>
    <row r="149" ht="15.75" customHeight="1">
      <c r="A149" s="15" t="s">
        <v>3374</v>
      </c>
      <c r="B149" s="15" t="s">
        <v>60</v>
      </c>
      <c r="C149" s="15" t="s">
        <v>264</v>
      </c>
      <c r="D149" s="56" t="s">
        <v>3375</v>
      </c>
      <c r="E149" s="15" t="s">
        <v>788</v>
      </c>
      <c r="F149" s="15" t="s">
        <v>3376</v>
      </c>
      <c r="G149" s="18" t="s">
        <v>3377</v>
      </c>
      <c r="H149" s="18"/>
      <c r="I149" s="18"/>
      <c r="J149" s="18"/>
    </row>
    <row r="150" ht="15.75" customHeight="1">
      <c r="A150" s="15" t="s">
        <v>3378</v>
      </c>
      <c r="B150" s="15" t="s">
        <v>60</v>
      </c>
      <c r="C150" s="15" t="s">
        <v>245</v>
      </c>
      <c r="D150" s="56" t="s">
        <v>3379</v>
      </c>
      <c r="E150" s="15" t="s">
        <v>788</v>
      </c>
      <c r="F150" s="15" t="s">
        <v>3380</v>
      </c>
      <c r="G150" s="18" t="s">
        <v>3382</v>
      </c>
      <c r="H150" s="18"/>
      <c r="I150" s="18"/>
      <c r="J150" s="18"/>
    </row>
    <row r="151" ht="15.75" customHeight="1">
      <c r="A151" s="15" t="s">
        <v>3383</v>
      </c>
      <c r="B151" s="15" t="s">
        <v>60</v>
      </c>
      <c r="C151" s="15" t="s">
        <v>842</v>
      </c>
      <c r="D151" s="56" t="s">
        <v>3385</v>
      </c>
      <c r="E151" s="15" t="s">
        <v>788</v>
      </c>
      <c r="F151" s="15" t="s">
        <v>3386</v>
      </c>
      <c r="G151" s="18" t="s">
        <v>3387</v>
      </c>
      <c r="H151" s="18"/>
      <c r="I151" s="18"/>
      <c r="J151" s="18"/>
    </row>
    <row r="152" ht="15.75" customHeight="1">
      <c r="A152" s="15" t="s">
        <v>3388</v>
      </c>
      <c r="B152" s="15" t="s">
        <v>60</v>
      </c>
      <c r="C152" s="15" t="s">
        <v>354</v>
      </c>
      <c r="D152" s="56" t="s">
        <v>3390</v>
      </c>
      <c r="E152" s="15" t="s">
        <v>788</v>
      </c>
      <c r="F152" s="15" t="s">
        <v>3391</v>
      </c>
      <c r="G152" s="18" t="s">
        <v>3392</v>
      </c>
      <c r="H152" s="18"/>
      <c r="I152" s="18"/>
      <c r="J152" s="18"/>
    </row>
    <row r="153" ht="15.75" customHeight="1">
      <c r="A153" s="15" t="s">
        <v>3396</v>
      </c>
      <c r="B153" s="15" t="s">
        <v>60</v>
      </c>
      <c r="C153" s="15" t="s">
        <v>264</v>
      </c>
      <c r="D153" s="56" t="s">
        <v>3399</v>
      </c>
      <c r="E153" s="15" t="s">
        <v>788</v>
      </c>
      <c r="F153" s="15" t="s">
        <v>3401</v>
      </c>
      <c r="G153" s="18" t="s">
        <v>3402</v>
      </c>
      <c r="H153" s="18"/>
      <c r="I153" s="18"/>
      <c r="J153" s="18"/>
    </row>
    <row r="154" ht="15.75" customHeight="1">
      <c r="A154" s="15" t="s">
        <v>3403</v>
      </c>
      <c r="B154" s="15" t="s">
        <v>60</v>
      </c>
      <c r="C154" s="15" t="s">
        <v>1687</v>
      </c>
      <c r="D154" s="56" t="s">
        <v>3404</v>
      </c>
      <c r="E154" s="15" t="s">
        <v>788</v>
      </c>
      <c r="F154" s="15" t="s">
        <v>3405</v>
      </c>
      <c r="G154" s="18" t="s">
        <v>3407</v>
      </c>
      <c r="H154" s="18"/>
      <c r="I154" s="18"/>
      <c r="J154" s="18"/>
    </row>
    <row r="155" ht="15.75" customHeight="1">
      <c r="A155" s="15" t="s">
        <v>3409</v>
      </c>
      <c r="B155" s="15" t="s">
        <v>60</v>
      </c>
      <c r="C155" s="15" t="s">
        <v>264</v>
      </c>
      <c r="D155" s="56" t="s">
        <v>3411</v>
      </c>
      <c r="E155" s="15" t="s">
        <v>788</v>
      </c>
      <c r="F155" s="15" t="s">
        <v>3412</v>
      </c>
      <c r="G155" s="18" t="s">
        <v>3413</v>
      </c>
      <c r="H155" s="18"/>
      <c r="I155" s="18"/>
      <c r="J155" s="18"/>
    </row>
    <row r="156" ht="15.75" customHeight="1">
      <c r="A156" s="15" t="s">
        <v>3414</v>
      </c>
      <c r="B156" s="15" t="s">
        <v>60</v>
      </c>
      <c r="C156" s="15" t="s">
        <v>3415</v>
      </c>
      <c r="D156" s="56" t="s">
        <v>3416</v>
      </c>
      <c r="E156" s="15" t="s">
        <v>788</v>
      </c>
      <c r="F156" s="15" t="s">
        <v>3417</v>
      </c>
      <c r="G156" s="18" t="s">
        <v>3418</v>
      </c>
      <c r="H156" s="18"/>
      <c r="I156" s="18"/>
      <c r="J156" s="18"/>
    </row>
    <row r="157" ht="15.75" customHeight="1">
      <c r="A157" s="15" t="s">
        <v>3419</v>
      </c>
      <c r="B157" s="15" t="s">
        <v>60</v>
      </c>
      <c r="C157" s="15" t="s">
        <v>958</v>
      </c>
      <c r="D157" s="56" t="s">
        <v>3420</v>
      </c>
      <c r="E157" s="15" t="s">
        <v>788</v>
      </c>
      <c r="F157" s="15" t="s">
        <v>3421</v>
      </c>
      <c r="G157" s="18" t="s">
        <v>3422</v>
      </c>
      <c r="H157" s="18"/>
      <c r="I157" s="18"/>
      <c r="J157" s="18"/>
    </row>
    <row r="158" ht="15.75" customHeight="1">
      <c r="A158" s="15" t="s">
        <v>3426</v>
      </c>
      <c r="B158" s="15" t="s">
        <v>60</v>
      </c>
      <c r="C158" s="15" t="s">
        <v>3430</v>
      </c>
      <c r="D158" s="56" t="s">
        <v>3431</v>
      </c>
      <c r="E158" s="15" t="s">
        <v>788</v>
      </c>
      <c r="F158" s="15" t="s">
        <v>3432</v>
      </c>
      <c r="G158" s="18" t="s">
        <v>3433</v>
      </c>
      <c r="H158" s="18"/>
      <c r="I158" s="18"/>
      <c r="J158" s="18"/>
    </row>
    <row r="159" ht="15.75" customHeight="1">
      <c r="A159" s="15" t="s">
        <v>3435</v>
      </c>
      <c r="B159" s="15" t="s">
        <v>60</v>
      </c>
      <c r="C159" s="15" t="s">
        <v>842</v>
      </c>
      <c r="D159" s="56" t="s">
        <v>3436</v>
      </c>
      <c r="E159" s="15" t="s">
        <v>788</v>
      </c>
      <c r="F159" s="15" t="s">
        <v>3437</v>
      </c>
      <c r="G159" s="18" t="s">
        <v>3438</v>
      </c>
      <c r="H159" s="18"/>
      <c r="I159" s="18"/>
      <c r="J159" s="18"/>
    </row>
    <row r="160" ht="15.75" customHeight="1">
      <c r="A160" s="15" t="s">
        <v>3439</v>
      </c>
      <c r="B160" s="15" t="s">
        <v>60</v>
      </c>
      <c r="C160" s="15" t="s">
        <v>842</v>
      </c>
      <c r="D160" s="56" t="s">
        <v>3440</v>
      </c>
      <c r="E160" s="15" t="s">
        <v>788</v>
      </c>
      <c r="F160" s="15" t="s">
        <v>3441</v>
      </c>
      <c r="G160" s="18" t="s">
        <v>3442</v>
      </c>
      <c r="H160" s="18"/>
      <c r="I160" s="18"/>
      <c r="J160" s="18"/>
    </row>
    <row r="161" ht="15.75" customHeight="1">
      <c r="A161" s="15" t="s">
        <v>3444</v>
      </c>
      <c r="B161" s="15" t="s">
        <v>60</v>
      </c>
      <c r="C161" s="15" t="s">
        <v>775</v>
      </c>
      <c r="D161" s="56" t="s">
        <v>3445</v>
      </c>
      <c r="E161" s="15" t="s">
        <v>788</v>
      </c>
      <c r="F161" s="15" t="s">
        <v>3446</v>
      </c>
      <c r="G161" s="18" t="s">
        <v>3447</v>
      </c>
      <c r="H161" s="18"/>
      <c r="I161" s="18"/>
      <c r="J161" s="18"/>
    </row>
    <row r="162" ht="15.75" customHeight="1">
      <c r="A162" s="15" t="s">
        <v>3449</v>
      </c>
      <c r="B162" s="15" t="s">
        <v>60</v>
      </c>
      <c r="C162" s="15" t="s">
        <v>1312</v>
      </c>
      <c r="D162" s="56" t="s">
        <v>3450</v>
      </c>
      <c r="E162" s="15" t="s">
        <v>788</v>
      </c>
      <c r="F162" s="15" t="s">
        <v>3451</v>
      </c>
      <c r="G162" s="18" t="s">
        <v>3452</v>
      </c>
      <c r="H162" s="18"/>
      <c r="I162" s="18"/>
      <c r="J162" s="18"/>
    </row>
    <row r="163" ht="15.75" customHeight="1">
      <c r="A163" s="15" t="s">
        <v>3455</v>
      </c>
      <c r="B163" s="15" t="s">
        <v>60</v>
      </c>
      <c r="C163" s="15" t="s">
        <v>424</v>
      </c>
      <c r="D163" s="56" t="s">
        <v>3459</v>
      </c>
      <c r="E163" s="15" t="s">
        <v>788</v>
      </c>
      <c r="F163" s="15" t="s">
        <v>3461</v>
      </c>
      <c r="G163" s="18" t="s">
        <v>3463</v>
      </c>
      <c r="H163" s="18"/>
      <c r="I163" s="18"/>
      <c r="J163" s="18"/>
    </row>
    <row r="164" ht="15.75" customHeight="1">
      <c r="A164" s="15" t="s">
        <v>3464</v>
      </c>
      <c r="B164" s="15" t="s">
        <v>60</v>
      </c>
      <c r="C164" s="15" t="s">
        <v>264</v>
      </c>
      <c r="D164" s="56" t="s">
        <v>3465</v>
      </c>
      <c r="E164" s="15" t="s">
        <v>788</v>
      </c>
      <c r="F164" s="15" t="s">
        <v>3466</v>
      </c>
      <c r="G164" s="18" t="s">
        <v>3467</v>
      </c>
      <c r="H164" s="18"/>
      <c r="I164" s="18"/>
      <c r="J164" s="18"/>
    </row>
    <row r="165" ht="15.75" customHeight="1">
      <c r="A165" s="15" t="s">
        <v>3469</v>
      </c>
      <c r="B165" s="15" t="s">
        <v>60</v>
      </c>
      <c r="C165" s="15" t="s">
        <v>1165</v>
      </c>
      <c r="D165" s="56" t="s">
        <v>3470</v>
      </c>
      <c r="E165" s="15" t="s">
        <v>788</v>
      </c>
      <c r="F165" s="15" t="s">
        <v>3471</v>
      </c>
      <c r="G165" s="18" t="s">
        <v>3472</v>
      </c>
      <c r="H165" s="18"/>
      <c r="I165" s="18"/>
      <c r="J165" s="18"/>
    </row>
    <row r="166" ht="15.75" customHeight="1">
      <c r="A166" s="15" t="s">
        <v>3473</v>
      </c>
      <c r="B166" s="15" t="s">
        <v>60</v>
      </c>
      <c r="C166" s="15" t="s">
        <v>1780</v>
      </c>
      <c r="D166" s="56" t="s">
        <v>3475</v>
      </c>
      <c r="E166" s="15" t="s">
        <v>788</v>
      </c>
      <c r="F166" s="15" t="s">
        <v>3476</v>
      </c>
      <c r="G166" s="18" t="s">
        <v>3477</v>
      </c>
      <c r="H166" s="18"/>
      <c r="I166" s="18"/>
      <c r="J166" s="18"/>
    </row>
    <row r="167" ht="15.75" customHeight="1">
      <c r="A167" s="15" t="s">
        <v>3478</v>
      </c>
      <c r="B167" s="15" t="s">
        <v>60</v>
      </c>
      <c r="C167" s="15" t="s">
        <v>775</v>
      </c>
      <c r="D167" s="56" t="s">
        <v>3480</v>
      </c>
      <c r="E167" s="15" t="s">
        <v>788</v>
      </c>
      <c r="F167" s="15" t="s">
        <v>3482</v>
      </c>
      <c r="G167" s="18" t="s">
        <v>3483</v>
      </c>
      <c r="H167" s="18"/>
      <c r="I167" s="18"/>
      <c r="J167" s="18"/>
    </row>
    <row r="168" ht="15.75" customHeight="1">
      <c r="A168" s="15" t="s">
        <v>3484</v>
      </c>
      <c r="B168" s="15" t="s">
        <v>60</v>
      </c>
      <c r="C168" s="15" t="s">
        <v>85</v>
      </c>
      <c r="D168" s="56" t="s">
        <v>3486</v>
      </c>
      <c r="E168" s="15" t="s">
        <v>788</v>
      </c>
      <c r="F168" s="15" t="s">
        <v>3488</v>
      </c>
      <c r="G168" s="18" t="s">
        <v>3489</v>
      </c>
      <c r="H168" s="18"/>
      <c r="I168" s="18"/>
      <c r="J168" s="18"/>
    </row>
    <row r="169" ht="15.75" customHeight="1">
      <c r="A169" s="15" t="s">
        <v>3494</v>
      </c>
      <c r="B169" s="15" t="s">
        <v>60</v>
      </c>
      <c r="C169" s="15" t="s">
        <v>224</v>
      </c>
      <c r="D169" s="56" t="s">
        <v>3495</v>
      </c>
      <c r="E169" s="15" t="s">
        <v>788</v>
      </c>
      <c r="F169" s="15" t="s">
        <v>3496</v>
      </c>
      <c r="G169" s="18" t="s">
        <v>3497</v>
      </c>
      <c r="H169" s="18"/>
      <c r="I169" s="18"/>
      <c r="J169" s="18"/>
    </row>
    <row r="170" ht="15.75" customHeight="1">
      <c r="A170" s="15" t="s">
        <v>3498</v>
      </c>
      <c r="B170" s="15" t="s">
        <v>60</v>
      </c>
      <c r="C170" s="15" t="s">
        <v>245</v>
      </c>
      <c r="D170" s="56" t="s">
        <v>3499</v>
      </c>
      <c r="E170" s="15" t="s">
        <v>788</v>
      </c>
      <c r="F170" s="15" t="s">
        <v>3500</v>
      </c>
      <c r="G170" s="18" t="s">
        <v>3501</v>
      </c>
      <c r="H170" s="18"/>
      <c r="I170" s="18"/>
      <c r="J170" s="18"/>
    </row>
    <row r="171" ht="15.75" customHeight="1">
      <c r="A171" s="15" t="s">
        <v>3502</v>
      </c>
      <c r="B171" s="15" t="s">
        <v>60</v>
      </c>
      <c r="C171" s="15" t="s">
        <v>85</v>
      </c>
      <c r="D171" s="56" t="s">
        <v>3503</v>
      </c>
      <c r="E171" s="15" t="s">
        <v>788</v>
      </c>
      <c r="F171" s="15" t="s">
        <v>3504</v>
      </c>
      <c r="G171" s="18" t="s">
        <v>3505</v>
      </c>
      <c r="H171" s="18"/>
      <c r="I171" s="18"/>
      <c r="J171" s="18"/>
    </row>
    <row r="172" ht="15.75" customHeight="1">
      <c r="A172" s="15" t="s">
        <v>3506</v>
      </c>
      <c r="B172" s="15" t="s">
        <v>60</v>
      </c>
      <c r="C172" s="15" t="s">
        <v>424</v>
      </c>
      <c r="D172" s="56" t="s">
        <v>3507</v>
      </c>
      <c r="E172" s="15" t="s">
        <v>788</v>
      </c>
      <c r="F172" s="15" t="s">
        <v>3508</v>
      </c>
      <c r="G172" s="18" t="s">
        <v>3509</v>
      </c>
      <c r="H172" s="18"/>
      <c r="I172" s="18"/>
      <c r="J172" s="18"/>
    </row>
    <row r="173" ht="15.75" customHeight="1">
      <c r="A173" s="15" t="s">
        <v>3510</v>
      </c>
      <c r="B173" s="15" t="s">
        <v>60</v>
      </c>
      <c r="C173" s="15" t="s">
        <v>2202</v>
      </c>
      <c r="D173" s="56" t="s">
        <v>3511</v>
      </c>
      <c r="E173" s="15" t="s">
        <v>788</v>
      </c>
      <c r="F173" s="15" t="s">
        <v>3512</v>
      </c>
      <c r="G173" s="18" t="s">
        <v>3514</v>
      </c>
      <c r="H173" s="18"/>
      <c r="I173" s="18"/>
      <c r="J173" s="18"/>
    </row>
    <row r="174" ht="15.75" customHeight="1">
      <c r="A174" s="15" t="s">
        <v>3518</v>
      </c>
      <c r="B174" s="15" t="s">
        <v>60</v>
      </c>
      <c r="C174" s="15" t="s">
        <v>236</v>
      </c>
      <c r="D174" s="56" t="s">
        <v>3521</v>
      </c>
      <c r="E174" s="15" t="s">
        <v>788</v>
      </c>
      <c r="F174" s="15" t="s">
        <v>3522</v>
      </c>
      <c r="G174" s="18" t="s">
        <v>3523</v>
      </c>
      <c r="H174" s="18"/>
      <c r="I174" s="18"/>
      <c r="J174" s="18"/>
    </row>
    <row r="175" ht="15.75" customHeight="1">
      <c r="A175" s="15" t="s">
        <v>3524</v>
      </c>
      <c r="B175" s="15" t="s">
        <v>60</v>
      </c>
      <c r="C175" s="15" t="s">
        <v>245</v>
      </c>
      <c r="D175" s="56" t="s">
        <v>3525</v>
      </c>
      <c r="E175" s="15" t="s">
        <v>788</v>
      </c>
      <c r="F175" s="15" t="s">
        <v>3526</v>
      </c>
      <c r="G175" s="18" t="s">
        <v>3527</v>
      </c>
      <c r="H175" s="18"/>
      <c r="I175" s="18"/>
      <c r="J175" s="18"/>
    </row>
    <row r="176" ht="15.75" customHeight="1">
      <c r="A176" s="15" t="s">
        <v>3528</v>
      </c>
      <c r="B176" s="15" t="s">
        <v>60</v>
      </c>
      <c r="C176" s="15" t="s">
        <v>1155</v>
      </c>
      <c r="D176" s="56" t="s">
        <v>3529</v>
      </c>
      <c r="E176" s="15" t="s">
        <v>788</v>
      </c>
      <c r="F176" s="15" t="s">
        <v>3530</v>
      </c>
      <c r="G176" s="18" t="s">
        <v>3531</v>
      </c>
      <c r="H176" s="18"/>
      <c r="I176" s="18"/>
      <c r="J176" s="18"/>
    </row>
    <row r="177" ht="15.75" customHeight="1">
      <c r="A177" s="15" t="s">
        <v>3532</v>
      </c>
      <c r="B177" s="15" t="s">
        <v>60</v>
      </c>
      <c r="C177" s="15" t="s">
        <v>224</v>
      </c>
      <c r="D177" s="56" t="s">
        <v>3533</v>
      </c>
      <c r="E177" s="15" t="s">
        <v>788</v>
      </c>
      <c r="F177" s="15" t="s">
        <v>3534</v>
      </c>
      <c r="G177" s="18" t="s">
        <v>3535</v>
      </c>
      <c r="H177" s="18"/>
      <c r="I177" s="18"/>
      <c r="J177" s="18"/>
    </row>
    <row r="178" ht="15.75" customHeight="1">
      <c r="A178" s="15" t="s">
        <v>3536</v>
      </c>
      <c r="B178" s="15" t="s">
        <v>60</v>
      </c>
      <c r="C178" s="15" t="s">
        <v>413</v>
      </c>
      <c r="D178" s="56" t="s">
        <v>3537</v>
      </c>
      <c r="E178" s="15" t="s">
        <v>788</v>
      </c>
      <c r="F178" s="15" t="s">
        <v>3538</v>
      </c>
      <c r="G178" s="18" t="s">
        <v>3539</v>
      </c>
      <c r="H178" s="18"/>
      <c r="I178" s="18"/>
      <c r="J178" s="18"/>
    </row>
    <row r="179" ht="15.75" customHeight="1">
      <c r="A179" s="15" t="s">
        <v>3540</v>
      </c>
      <c r="B179" s="15" t="s">
        <v>60</v>
      </c>
      <c r="C179" s="15" t="s">
        <v>224</v>
      </c>
      <c r="D179" s="56" t="s">
        <v>3543</v>
      </c>
      <c r="E179" s="15" t="s">
        <v>788</v>
      </c>
      <c r="F179" s="15" t="s">
        <v>3546</v>
      </c>
      <c r="G179" s="18" t="s">
        <v>3547</v>
      </c>
      <c r="H179" s="18"/>
      <c r="I179" s="18"/>
      <c r="J179" s="18"/>
    </row>
    <row r="180" ht="15.75" customHeight="1">
      <c r="A180" s="15" t="s">
        <v>3549</v>
      </c>
      <c r="B180" s="15" t="s">
        <v>60</v>
      </c>
      <c r="C180" s="15" t="s">
        <v>245</v>
      </c>
      <c r="D180" s="56" t="s">
        <v>3550</v>
      </c>
      <c r="E180" s="15" t="s">
        <v>788</v>
      </c>
      <c r="F180" s="15" t="s">
        <v>3551</v>
      </c>
      <c r="G180" s="18" t="s">
        <v>3552</v>
      </c>
      <c r="H180" s="18"/>
      <c r="I180" s="18"/>
      <c r="J180" s="18"/>
    </row>
    <row r="181" ht="15.75" customHeight="1">
      <c r="A181" s="15" t="s">
        <v>3553</v>
      </c>
      <c r="B181" s="15" t="s">
        <v>60</v>
      </c>
      <c r="C181" s="15" t="s">
        <v>447</v>
      </c>
      <c r="D181" s="56" t="s">
        <v>3554</v>
      </c>
      <c r="E181" s="15" t="s">
        <v>788</v>
      </c>
      <c r="F181" s="15" t="s">
        <v>3555</v>
      </c>
      <c r="G181" s="18" t="s">
        <v>3556</v>
      </c>
      <c r="H181" s="18"/>
      <c r="I181" s="18"/>
      <c r="J181" s="18"/>
    </row>
    <row r="182" ht="15.75" customHeight="1">
      <c r="A182" s="15" t="s">
        <v>3557</v>
      </c>
      <c r="B182" s="15" t="s">
        <v>60</v>
      </c>
      <c r="C182" s="15" t="s">
        <v>570</v>
      </c>
      <c r="D182" s="56" t="s">
        <v>3558</v>
      </c>
      <c r="E182" s="15" t="s">
        <v>788</v>
      </c>
      <c r="F182" s="15" t="s">
        <v>3559</v>
      </c>
      <c r="G182" s="18" t="s">
        <v>3560</v>
      </c>
      <c r="H182" s="18"/>
      <c r="I182" s="18"/>
      <c r="J182" s="18"/>
    </row>
    <row r="183" ht="15.75" customHeight="1">
      <c r="A183" s="15" t="s">
        <v>3561</v>
      </c>
      <c r="B183" s="15" t="s">
        <v>60</v>
      </c>
      <c r="C183" s="15" t="s">
        <v>224</v>
      </c>
      <c r="D183" s="56" t="s">
        <v>3562</v>
      </c>
      <c r="E183" s="15" t="s">
        <v>788</v>
      </c>
      <c r="F183" s="15" t="s">
        <v>3563</v>
      </c>
      <c r="G183" s="18" t="s">
        <v>3564</v>
      </c>
      <c r="H183" s="18"/>
      <c r="I183" s="18"/>
      <c r="J183" s="18"/>
    </row>
    <row r="184" ht="15.75" customHeight="1">
      <c r="A184" s="15" t="s">
        <v>3566</v>
      </c>
      <c r="B184" s="15" t="s">
        <v>60</v>
      </c>
      <c r="C184" s="15" t="s">
        <v>264</v>
      </c>
      <c r="D184" s="56" t="s">
        <v>3567</v>
      </c>
      <c r="E184" s="15" t="s">
        <v>788</v>
      </c>
      <c r="F184" s="15" t="s">
        <v>3569</v>
      </c>
      <c r="G184" s="18" t="s">
        <v>3570</v>
      </c>
      <c r="H184" s="18"/>
      <c r="I184" s="18"/>
      <c r="J184" s="18"/>
    </row>
    <row r="185" ht="15.75" customHeight="1">
      <c r="A185" s="15" t="s">
        <v>3574</v>
      </c>
      <c r="B185" s="15" t="s">
        <v>60</v>
      </c>
      <c r="C185" s="15" t="s">
        <v>958</v>
      </c>
      <c r="D185" s="56" t="s">
        <v>3577</v>
      </c>
      <c r="E185" s="15" t="s">
        <v>788</v>
      </c>
      <c r="F185" s="15" t="s">
        <v>3578</v>
      </c>
      <c r="G185" s="18" t="s">
        <v>3580</v>
      </c>
      <c r="H185" s="18"/>
      <c r="I185" s="18"/>
      <c r="J185" s="18"/>
    </row>
    <row r="186" ht="15.75" customHeight="1">
      <c r="A186" s="15" t="s">
        <v>3581</v>
      </c>
      <c r="B186" s="15" t="s">
        <v>60</v>
      </c>
      <c r="C186" s="15" t="s">
        <v>447</v>
      </c>
      <c r="D186" s="56" t="s">
        <v>3582</v>
      </c>
      <c r="E186" s="15" t="s">
        <v>788</v>
      </c>
      <c r="F186" s="15" t="s">
        <v>3583</v>
      </c>
      <c r="G186" s="18" t="s">
        <v>3584</v>
      </c>
      <c r="H186" s="18"/>
      <c r="I186" s="18"/>
      <c r="J186" s="18"/>
    </row>
    <row r="187" ht="15.75" customHeight="1">
      <c r="A187" s="15" t="s">
        <v>3585</v>
      </c>
      <c r="B187" s="15" t="s">
        <v>60</v>
      </c>
      <c r="C187" s="15" t="s">
        <v>1687</v>
      </c>
      <c r="D187" s="56" t="s">
        <v>3586</v>
      </c>
      <c r="E187" s="15" t="s">
        <v>788</v>
      </c>
      <c r="F187" s="15" t="s">
        <v>3587</v>
      </c>
      <c r="G187" s="18" t="s">
        <v>3588</v>
      </c>
      <c r="H187" s="18"/>
      <c r="I187" s="18"/>
      <c r="J187" s="18"/>
    </row>
    <row r="188" ht="15.75" customHeight="1">
      <c r="A188" s="15" t="s">
        <v>3589</v>
      </c>
      <c r="B188" s="15" t="s">
        <v>60</v>
      </c>
      <c r="C188" s="15" t="s">
        <v>958</v>
      </c>
      <c r="D188" s="56" t="s">
        <v>3590</v>
      </c>
      <c r="E188" s="15" t="s">
        <v>788</v>
      </c>
      <c r="F188" s="15" t="s">
        <v>3591</v>
      </c>
      <c r="G188" s="18" t="s">
        <v>3592</v>
      </c>
      <c r="H188" s="18"/>
      <c r="I188" s="18"/>
      <c r="J188" s="18"/>
    </row>
    <row r="189" ht="15.75" customHeight="1">
      <c r="A189" s="15" t="s">
        <v>3593</v>
      </c>
      <c r="B189" s="15" t="s">
        <v>60</v>
      </c>
      <c r="C189" s="15" t="s">
        <v>354</v>
      </c>
      <c r="D189" s="56" t="s">
        <v>3594</v>
      </c>
      <c r="E189" s="15" t="s">
        <v>788</v>
      </c>
      <c r="F189" s="15" t="s">
        <v>3595</v>
      </c>
      <c r="G189" s="18" t="s">
        <v>3596</v>
      </c>
      <c r="H189" s="18"/>
      <c r="I189" s="18"/>
      <c r="J189" s="18"/>
    </row>
    <row r="190" ht="15.75" customHeight="1">
      <c r="A190" s="15" t="s">
        <v>3598</v>
      </c>
      <c r="B190" s="15" t="s">
        <v>60</v>
      </c>
      <c r="C190" s="15" t="s">
        <v>264</v>
      </c>
      <c r="D190" s="56" t="s">
        <v>3601</v>
      </c>
      <c r="E190" s="15" t="s">
        <v>788</v>
      </c>
      <c r="F190" s="15" t="s">
        <v>3607</v>
      </c>
      <c r="G190" s="18" t="s">
        <v>3609</v>
      </c>
      <c r="H190" s="18"/>
      <c r="I190" s="18"/>
      <c r="J190" s="18"/>
    </row>
    <row r="191" ht="15.75" customHeight="1">
      <c r="A191" s="15" t="s">
        <v>3610</v>
      </c>
      <c r="B191" s="15" t="s">
        <v>60</v>
      </c>
      <c r="C191" s="15" t="s">
        <v>1155</v>
      </c>
      <c r="D191" s="56" t="s">
        <v>3611</v>
      </c>
      <c r="E191" s="15" t="s">
        <v>788</v>
      </c>
      <c r="F191" s="15" t="s">
        <v>3612</v>
      </c>
      <c r="G191" s="18" t="s">
        <v>3613</v>
      </c>
      <c r="H191" s="18"/>
      <c r="I191" s="18"/>
      <c r="J191" s="18"/>
    </row>
    <row r="192" ht="15.75" customHeight="1">
      <c r="A192" s="15" t="s">
        <v>3614</v>
      </c>
      <c r="B192" s="15" t="s">
        <v>60</v>
      </c>
      <c r="C192" s="15" t="s">
        <v>1312</v>
      </c>
      <c r="D192" s="56" t="s">
        <v>3615</v>
      </c>
      <c r="E192" s="15" t="s">
        <v>788</v>
      </c>
      <c r="F192" s="15" t="s">
        <v>3616</v>
      </c>
      <c r="G192" s="18" t="s">
        <v>3617</v>
      </c>
      <c r="H192" s="18"/>
      <c r="I192" s="18"/>
      <c r="J192" s="18"/>
    </row>
    <row r="193" ht="15.75" customHeight="1">
      <c r="A193" s="15" t="s">
        <v>3618</v>
      </c>
      <c r="B193" s="15" t="s">
        <v>60</v>
      </c>
      <c r="C193" s="15" t="s">
        <v>245</v>
      </c>
      <c r="D193" s="56" t="s">
        <v>3619</v>
      </c>
      <c r="E193" s="15" t="s">
        <v>788</v>
      </c>
      <c r="F193" s="15" t="s">
        <v>3620</v>
      </c>
      <c r="G193" s="18" t="s">
        <v>3621</v>
      </c>
      <c r="H193" s="18"/>
      <c r="I193" s="18"/>
      <c r="J193" s="18"/>
    </row>
    <row r="194" ht="15.75" customHeight="1">
      <c r="A194" s="15" t="s">
        <v>3623</v>
      </c>
      <c r="B194" s="15" t="s">
        <v>60</v>
      </c>
      <c r="C194" s="15" t="s">
        <v>958</v>
      </c>
      <c r="D194" s="56" t="s">
        <v>3625</v>
      </c>
      <c r="E194" s="15" t="s">
        <v>788</v>
      </c>
      <c r="F194" s="15" t="s">
        <v>3626</v>
      </c>
      <c r="G194" s="18" t="s">
        <v>3627</v>
      </c>
      <c r="H194" s="18"/>
      <c r="I194" s="18"/>
      <c r="J194" s="18"/>
    </row>
    <row r="195" ht="15.75" customHeight="1">
      <c r="A195" s="15" t="s">
        <v>3628</v>
      </c>
      <c r="B195" s="15" t="s">
        <v>60</v>
      </c>
      <c r="C195" s="15" t="s">
        <v>570</v>
      </c>
      <c r="D195" s="56" t="s">
        <v>3630</v>
      </c>
      <c r="E195" s="15" t="s">
        <v>788</v>
      </c>
      <c r="F195" s="15" t="s">
        <v>3633</v>
      </c>
      <c r="G195" s="18" t="s">
        <v>3635</v>
      </c>
      <c r="H195" s="18"/>
      <c r="I195" s="18"/>
      <c r="J195" s="18"/>
    </row>
    <row r="196" ht="15.75" customHeight="1">
      <c r="A196" s="15" t="s">
        <v>3637</v>
      </c>
      <c r="B196" s="15" t="s">
        <v>60</v>
      </c>
      <c r="C196" s="15" t="s">
        <v>1687</v>
      </c>
      <c r="D196" s="56" t="s">
        <v>3638</v>
      </c>
      <c r="E196" s="15" t="s">
        <v>788</v>
      </c>
      <c r="F196" s="15" t="s">
        <v>3639</v>
      </c>
      <c r="G196" s="18" t="s">
        <v>3640</v>
      </c>
      <c r="H196" s="18"/>
      <c r="I196" s="18"/>
      <c r="J196" s="18"/>
    </row>
    <row r="197" ht="15.75" customHeight="1">
      <c r="A197" s="15" t="s">
        <v>3641</v>
      </c>
      <c r="B197" s="15" t="s">
        <v>60</v>
      </c>
      <c r="C197" s="15" t="s">
        <v>1780</v>
      </c>
      <c r="D197" s="56" t="s">
        <v>3642</v>
      </c>
      <c r="E197" s="15" t="s">
        <v>788</v>
      </c>
      <c r="F197" s="15" t="s">
        <v>3643</v>
      </c>
      <c r="G197" s="18" t="s">
        <v>3644</v>
      </c>
      <c r="H197" s="18"/>
      <c r="I197" s="18"/>
      <c r="J197" s="18"/>
    </row>
    <row r="198" ht="15.75" customHeight="1">
      <c r="A198" s="15" t="s">
        <v>3645</v>
      </c>
      <c r="B198" s="15" t="s">
        <v>60</v>
      </c>
      <c r="C198" s="15" t="s">
        <v>1818</v>
      </c>
      <c r="D198" s="56" t="s">
        <v>3646</v>
      </c>
      <c r="E198" s="15" t="s">
        <v>788</v>
      </c>
      <c r="F198" s="15" t="s">
        <v>3647</v>
      </c>
      <c r="G198" s="18" t="s">
        <v>3648</v>
      </c>
      <c r="H198" s="18"/>
      <c r="I198" s="18"/>
      <c r="J198" s="18"/>
    </row>
    <row r="199" ht="15.75" customHeight="1">
      <c r="A199" s="15" t="s">
        <v>3649</v>
      </c>
      <c r="B199" s="15" t="s">
        <v>60</v>
      </c>
      <c r="C199" s="15" t="s">
        <v>842</v>
      </c>
      <c r="D199" s="56" t="s">
        <v>3650</v>
      </c>
      <c r="E199" s="15" t="s">
        <v>788</v>
      </c>
      <c r="F199" s="15" t="s">
        <v>3651</v>
      </c>
      <c r="G199" s="18" t="s">
        <v>3652</v>
      </c>
      <c r="H199" s="18"/>
      <c r="I199" s="18"/>
      <c r="J199" s="18"/>
    </row>
    <row r="200" ht="15.75" customHeight="1">
      <c r="A200" s="15" t="s">
        <v>3655</v>
      </c>
      <c r="B200" s="15" t="s">
        <v>60</v>
      </c>
      <c r="C200" s="15" t="s">
        <v>424</v>
      </c>
      <c r="D200" s="56" t="s">
        <v>3656</v>
      </c>
      <c r="E200" s="15" t="s">
        <v>788</v>
      </c>
      <c r="F200" s="15" t="s">
        <v>3659</v>
      </c>
      <c r="G200" s="18" t="s">
        <v>3660</v>
      </c>
      <c r="H200" s="18"/>
      <c r="I200" s="18"/>
      <c r="J200" s="18"/>
    </row>
    <row r="201" ht="15.75" customHeight="1">
      <c r="A201" s="15" t="s">
        <v>3665</v>
      </c>
      <c r="B201" s="15" t="s">
        <v>60</v>
      </c>
      <c r="C201" s="15" t="s">
        <v>424</v>
      </c>
      <c r="D201" s="56" t="s">
        <v>3666</v>
      </c>
      <c r="E201" s="15" t="s">
        <v>788</v>
      </c>
      <c r="F201" s="15" t="s">
        <v>3667</v>
      </c>
      <c r="G201" s="18" t="s">
        <v>3668</v>
      </c>
      <c r="H201" s="18"/>
      <c r="I201" s="18"/>
      <c r="J201" s="18"/>
    </row>
    <row r="202" ht="15.75" customHeight="1">
      <c r="A202" s="15" t="s">
        <v>3669</v>
      </c>
      <c r="B202" s="15" t="s">
        <v>60</v>
      </c>
      <c r="C202" s="15" t="s">
        <v>1312</v>
      </c>
      <c r="D202" s="56" t="s">
        <v>3670</v>
      </c>
      <c r="E202" s="15" t="s">
        <v>788</v>
      </c>
      <c r="F202" s="15" t="s">
        <v>3671</v>
      </c>
      <c r="G202" s="18" t="s">
        <v>3672</v>
      </c>
      <c r="H202" s="18"/>
      <c r="I202" s="18"/>
      <c r="J202" s="18"/>
    </row>
    <row r="203" ht="15.75" customHeight="1">
      <c r="A203" s="15" t="s">
        <v>3674</v>
      </c>
      <c r="B203" s="15" t="s">
        <v>60</v>
      </c>
      <c r="C203" s="15" t="s">
        <v>842</v>
      </c>
      <c r="D203" s="56" t="s">
        <v>3676</v>
      </c>
      <c r="E203" s="15" t="s">
        <v>788</v>
      </c>
      <c r="F203" s="15" t="s">
        <v>3677</v>
      </c>
      <c r="G203" s="18" t="s">
        <v>3678</v>
      </c>
      <c r="H203" s="18"/>
      <c r="I203" s="18"/>
      <c r="J203" s="18"/>
    </row>
    <row r="204" ht="15.75" customHeight="1">
      <c r="A204" s="15" t="s">
        <v>3679</v>
      </c>
      <c r="B204" s="15" t="s">
        <v>60</v>
      </c>
      <c r="C204" s="15" t="s">
        <v>354</v>
      </c>
      <c r="D204" s="56" t="s">
        <v>3680</v>
      </c>
      <c r="E204" s="15" t="s">
        <v>788</v>
      </c>
      <c r="F204" s="15" t="s">
        <v>3681</v>
      </c>
      <c r="G204" s="18" t="s">
        <v>3682</v>
      </c>
      <c r="H204" s="18"/>
      <c r="I204" s="18"/>
      <c r="J204" s="18"/>
    </row>
    <row r="205" ht="15.75" customHeight="1">
      <c r="A205" s="15" t="s">
        <v>3683</v>
      </c>
      <c r="B205" s="15" t="s">
        <v>60</v>
      </c>
      <c r="C205" s="15" t="s">
        <v>1165</v>
      </c>
      <c r="D205" s="56" t="s">
        <v>3684</v>
      </c>
      <c r="E205" s="15" t="s">
        <v>788</v>
      </c>
      <c r="F205" s="15" t="s">
        <v>3685</v>
      </c>
      <c r="G205" s="18" t="s">
        <v>3686</v>
      </c>
      <c r="H205" s="18"/>
      <c r="I205" s="18"/>
      <c r="J205" s="18"/>
    </row>
    <row r="206" ht="15.75" customHeight="1">
      <c r="A206" s="15" t="s">
        <v>3688</v>
      </c>
      <c r="B206" s="15" t="s">
        <v>60</v>
      </c>
      <c r="C206" s="15" t="s">
        <v>264</v>
      </c>
      <c r="D206" s="56" t="s">
        <v>3690</v>
      </c>
      <c r="E206" s="15" t="s">
        <v>788</v>
      </c>
      <c r="F206" s="15" t="s">
        <v>3692</v>
      </c>
      <c r="G206" s="18" t="s">
        <v>3695</v>
      </c>
      <c r="H206" s="18"/>
      <c r="I206" s="18"/>
      <c r="J206" s="18"/>
    </row>
    <row r="207" ht="15.75" customHeight="1">
      <c r="A207" s="15" t="s">
        <v>3699</v>
      </c>
      <c r="B207" s="15" t="s">
        <v>60</v>
      </c>
      <c r="C207" s="15" t="s">
        <v>1139</v>
      </c>
      <c r="D207" s="56" t="s">
        <v>3701</v>
      </c>
      <c r="E207" s="15" t="s">
        <v>788</v>
      </c>
      <c r="F207" s="15" t="s">
        <v>3702</v>
      </c>
      <c r="G207" s="18" t="s">
        <v>3703</v>
      </c>
      <c r="H207" s="18"/>
      <c r="I207" s="18"/>
      <c r="J207" s="18"/>
    </row>
    <row r="208" ht="15.75" customHeight="1">
      <c r="A208" s="15" t="s">
        <v>3704</v>
      </c>
      <c r="B208" s="15" t="s">
        <v>60</v>
      </c>
      <c r="C208" s="15" t="s">
        <v>236</v>
      </c>
      <c r="D208" s="56" t="s">
        <v>3706</v>
      </c>
      <c r="E208" s="15" t="s">
        <v>788</v>
      </c>
      <c r="F208" s="15" t="s">
        <v>3707</v>
      </c>
      <c r="G208" s="18" t="s">
        <v>3708</v>
      </c>
      <c r="H208" s="18"/>
      <c r="I208" s="18"/>
      <c r="J208" s="18"/>
    </row>
    <row r="209" ht="15.75" customHeight="1">
      <c r="A209" s="15" t="s">
        <v>3709</v>
      </c>
      <c r="B209" s="15" t="s">
        <v>60</v>
      </c>
      <c r="C209" s="15" t="s">
        <v>3040</v>
      </c>
      <c r="D209" s="56" t="s">
        <v>3712</v>
      </c>
      <c r="E209" s="15" t="s">
        <v>788</v>
      </c>
      <c r="F209" s="15" t="s">
        <v>3713</v>
      </c>
      <c r="G209" s="18" t="s">
        <v>3714</v>
      </c>
      <c r="H209" s="18"/>
      <c r="I209" s="18"/>
      <c r="J209" s="18"/>
    </row>
    <row r="210" ht="15.75" customHeight="1">
      <c r="A210" s="15" t="s">
        <v>3715</v>
      </c>
      <c r="B210" s="15" t="s">
        <v>60</v>
      </c>
      <c r="C210" s="15" t="s">
        <v>570</v>
      </c>
      <c r="D210" s="56" t="s">
        <v>3716</v>
      </c>
      <c r="E210" s="15" t="s">
        <v>788</v>
      </c>
      <c r="F210" s="15" t="s">
        <v>3717</v>
      </c>
      <c r="G210" s="18" t="s">
        <v>3718</v>
      </c>
      <c r="H210" s="18"/>
      <c r="I210" s="18"/>
      <c r="J210" s="18"/>
    </row>
    <row r="211" ht="15.75" customHeight="1">
      <c r="A211" s="15" t="s">
        <v>3719</v>
      </c>
      <c r="B211" s="15" t="s">
        <v>60</v>
      </c>
      <c r="C211" s="15" t="s">
        <v>1687</v>
      </c>
      <c r="D211" s="56" t="s">
        <v>3721</v>
      </c>
      <c r="E211" s="15" t="s">
        <v>788</v>
      </c>
      <c r="F211" s="15" t="s">
        <v>3723</v>
      </c>
      <c r="G211" s="18" t="s">
        <v>3725</v>
      </c>
      <c r="H211" s="18"/>
      <c r="I211" s="18"/>
      <c r="J211" s="18"/>
    </row>
    <row r="212" ht="15.75" customHeight="1">
      <c r="A212" s="15" t="s">
        <v>3729</v>
      </c>
      <c r="B212" s="15" t="s">
        <v>60</v>
      </c>
      <c r="C212" s="15" t="s">
        <v>570</v>
      </c>
      <c r="D212" s="56" t="s">
        <v>3731</v>
      </c>
      <c r="E212" s="15" t="s">
        <v>788</v>
      </c>
      <c r="F212" s="15" t="s">
        <v>3732</v>
      </c>
      <c r="G212" s="18" t="s">
        <v>3733</v>
      </c>
      <c r="H212" s="18"/>
      <c r="I212" s="18"/>
      <c r="J212" s="18"/>
    </row>
    <row r="213" ht="15.75" customHeight="1">
      <c r="A213" s="15" t="s">
        <v>3734</v>
      </c>
      <c r="B213" s="15" t="s">
        <v>60</v>
      </c>
      <c r="C213" s="15" t="s">
        <v>424</v>
      </c>
      <c r="D213" s="56" t="s">
        <v>3736</v>
      </c>
      <c r="E213" s="15" t="s">
        <v>788</v>
      </c>
      <c r="F213" s="15" t="s">
        <v>3738</v>
      </c>
      <c r="G213" s="18" t="s">
        <v>3739</v>
      </c>
      <c r="H213" s="18"/>
      <c r="I213" s="18"/>
      <c r="J213" s="18"/>
    </row>
    <row r="214" ht="15.75" customHeight="1">
      <c r="A214" s="15" t="s">
        <v>3740</v>
      </c>
      <c r="B214" s="15" t="s">
        <v>60</v>
      </c>
      <c r="C214" s="15" t="s">
        <v>775</v>
      </c>
      <c r="D214" s="56" t="s">
        <v>3741</v>
      </c>
      <c r="E214" s="15" t="s">
        <v>788</v>
      </c>
      <c r="F214" s="15" t="s">
        <v>3742</v>
      </c>
      <c r="G214" s="18" t="s">
        <v>3743</v>
      </c>
      <c r="H214" s="18"/>
      <c r="I214" s="18"/>
      <c r="J214" s="18"/>
    </row>
    <row r="215" ht="15.75" customHeight="1">
      <c r="A215" s="15" t="s">
        <v>3744</v>
      </c>
      <c r="B215" s="15" t="s">
        <v>60</v>
      </c>
      <c r="C215" s="15" t="s">
        <v>236</v>
      </c>
      <c r="D215" s="56" t="s">
        <v>3745</v>
      </c>
      <c r="E215" s="15" t="s">
        <v>788</v>
      </c>
      <c r="F215" s="15" t="s">
        <v>3746</v>
      </c>
      <c r="G215" s="18" t="s">
        <v>3747</v>
      </c>
      <c r="H215" s="18"/>
      <c r="I215" s="18"/>
      <c r="J215" s="18"/>
    </row>
    <row r="216" ht="15.75" customHeight="1">
      <c r="A216" s="15" t="s">
        <v>3748</v>
      </c>
      <c r="B216" s="15" t="s">
        <v>60</v>
      </c>
      <c r="C216" s="15" t="s">
        <v>1139</v>
      </c>
      <c r="D216" s="56" t="s">
        <v>3750</v>
      </c>
      <c r="E216" s="15" t="s">
        <v>788</v>
      </c>
      <c r="F216" s="15" t="s">
        <v>3751</v>
      </c>
      <c r="G216" s="18" t="s">
        <v>3752</v>
      </c>
      <c r="H216" s="18"/>
      <c r="I216" s="18"/>
      <c r="J216" s="18"/>
    </row>
    <row r="217" ht="15.75" customHeight="1">
      <c r="A217" s="15" t="s">
        <v>3754</v>
      </c>
      <c r="B217" s="15" t="s">
        <v>60</v>
      </c>
      <c r="C217" s="15" t="s">
        <v>1312</v>
      </c>
      <c r="D217" s="56" t="s">
        <v>3756</v>
      </c>
      <c r="E217" s="15" t="s">
        <v>788</v>
      </c>
      <c r="F217" s="15" t="s">
        <v>3758</v>
      </c>
      <c r="G217" s="18" t="s">
        <v>3760</v>
      </c>
      <c r="H217" s="18"/>
      <c r="I217" s="18"/>
      <c r="J217" s="18"/>
    </row>
    <row r="218" ht="15.75" customHeight="1">
      <c r="A218" s="15" t="s">
        <v>3765</v>
      </c>
      <c r="B218" s="15" t="s">
        <v>60</v>
      </c>
      <c r="C218" s="15" t="s">
        <v>1687</v>
      </c>
      <c r="D218" s="56" t="s">
        <v>3766</v>
      </c>
      <c r="E218" s="15" t="s">
        <v>788</v>
      </c>
      <c r="F218" s="15" t="s">
        <v>3767</v>
      </c>
      <c r="G218" s="18" t="s">
        <v>3768</v>
      </c>
      <c r="H218" s="18"/>
      <c r="I218" s="18"/>
      <c r="J218" s="18"/>
    </row>
    <row r="219" ht="15.75" customHeight="1">
      <c r="A219" s="15" t="s">
        <v>3769</v>
      </c>
      <c r="B219" s="15" t="s">
        <v>60</v>
      </c>
      <c r="C219" s="15" t="s">
        <v>958</v>
      </c>
      <c r="D219" s="56" t="s">
        <v>3770</v>
      </c>
      <c r="E219" s="15" t="s">
        <v>788</v>
      </c>
      <c r="F219" s="15" t="s">
        <v>3771</v>
      </c>
      <c r="G219" s="18" t="s">
        <v>3772</v>
      </c>
      <c r="H219" s="18"/>
      <c r="I219" s="18"/>
      <c r="J219" s="18"/>
    </row>
    <row r="220" ht="15.75" customHeight="1">
      <c r="A220" s="15" t="s">
        <v>3773</v>
      </c>
      <c r="B220" s="15" t="s">
        <v>60</v>
      </c>
      <c r="C220" s="15" t="s">
        <v>1165</v>
      </c>
      <c r="D220" s="56" t="s">
        <v>3774</v>
      </c>
      <c r="E220" s="15" t="s">
        <v>788</v>
      </c>
      <c r="F220" s="15" t="s">
        <v>3775</v>
      </c>
      <c r="G220" s="18" t="s">
        <v>3777</v>
      </c>
      <c r="H220" s="18"/>
      <c r="I220" s="18"/>
      <c r="J220" s="18"/>
    </row>
    <row r="221" ht="15.75" customHeight="1">
      <c r="A221" s="15" t="s">
        <v>3778</v>
      </c>
      <c r="B221" s="15" t="s">
        <v>60</v>
      </c>
      <c r="C221" s="15" t="s">
        <v>447</v>
      </c>
      <c r="D221" s="56" t="s">
        <v>3779</v>
      </c>
      <c r="E221" s="15" t="s">
        <v>788</v>
      </c>
      <c r="F221" s="15" t="s">
        <v>3781</v>
      </c>
      <c r="G221" s="18" t="s">
        <v>3782</v>
      </c>
      <c r="H221" s="18"/>
      <c r="I221" s="18"/>
      <c r="J221" s="18"/>
    </row>
    <row r="222" ht="15.75" customHeight="1">
      <c r="A222" s="15" t="s">
        <v>3786</v>
      </c>
      <c r="B222" s="15" t="s">
        <v>60</v>
      </c>
      <c r="C222" s="15" t="s">
        <v>264</v>
      </c>
      <c r="D222" s="56" t="s">
        <v>3791</v>
      </c>
      <c r="E222" s="15" t="s">
        <v>788</v>
      </c>
      <c r="F222" s="15" t="s">
        <v>3792</v>
      </c>
      <c r="G222" s="18" t="s">
        <v>3793</v>
      </c>
      <c r="H222" s="18"/>
      <c r="I222" s="18"/>
      <c r="J222" s="18"/>
    </row>
    <row r="223" ht="15.75" customHeight="1">
      <c r="A223" s="15" t="s">
        <v>3794</v>
      </c>
      <c r="B223" s="15" t="s">
        <v>60</v>
      </c>
      <c r="C223" s="15" t="s">
        <v>413</v>
      </c>
      <c r="D223" s="56" t="s">
        <v>3795</v>
      </c>
      <c r="E223" s="15" t="s">
        <v>788</v>
      </c>
      <c r="F223" s="15" t="s">
        <v>3796</v>
      </c>
      <c r="G223" s="18" t="s">
        <v>3797</v>
      </c>
      <c r="H223" s="18"/>
      <c r="I223" s="18"/>
      <c r="J223" s="18"/>
    </row>
    <row r="224" ht="15.75" customHeight="1">
      <c r="A224" s="15" t="s">
        <v>3798</v>
      </c>
      <c r="B224" s="15" t="s">
        <v>60</v>
      </c>
      <c r="C224" s="15" t="s">
        <v>245</v>
      </c>
      <c r="D224" s="56" t="s">
        <v>3799</v>
      </c>
      <c r="E224" s="15" t="s">
        <v>788</v>
      </c>
      <c r="F224" s="15" t="s">
        <v>3801</v>
      </c>
      <c r="G224" s="18" t="s">
        <v>3802</v>
      </c>
      <c r="H224" s="18"/>
      <c r="I224" s="18"/>
      <c r="J224" s="18"/>
    </row>
    <row r="225" ht="15.75" customHeight="1">
      <c r="A225" s="15" t="s">
        <v>3804</v>
      </c>
      <c r="B225" s="15" t="s">
        <v>60</v>
      </c>
      <c r="C225" s="15" t="s">
        <v>354</v>
      </c>
      <c r="D225" s="56" t="s">
        <v>3805</v>
      </c>
      <c r="E225" s="15" t="s">
        <v>788</v>
      </c>
      <c r="F225" s="15" t="s">
        <v>3806</v>
      </c>
      <c r="G225" s="18" t="s">
        <v>3807</v>
      </c>
      <c r="H225" s="18"/>
      <c r="I225" s="18"/>
      <c r="J225" s="18"/>
    </row>
    <row r="226" ht="15.75" customHeight="1">
      <c r="A226" s="15" t="s">
        <v>3809</v>
      </c>
      <c r="B226" s="15" t="s">
        <v>60</v>
      </c>
      <c r="C226" s="15" t="s">
        <v>264</v>
      </c>
      <c r="D226" s="56" t="s">
        <v>3810</v>
      </c>
      <c r="E226" s="15" t="s">
        <v>788</v>
      </c>
      <c r="F226" s="15" t="s">
        <v>3811</v>
      </c>
      <c r="G226" s="18" t="s">
        <v>3812</v>
      </c>
      <c r="H226" s="18"/>
      <c r="I226" s="18"/>
      <c r="J226" s="18"/>
    </row>
    <row r="227" ht="15.75" customHeight="1">
      <c r="A227" s="15" t="s">
        <v>3814</v>
      </c>
      <c r="B227" s="15" t="s">
        <v>60</v>
      </c>
      <c r="C227" s="15" t="s">
        <v>3816</v>
      </c>
      <c r="D227" s="56" t="s">
        <v>3818</v>
      </c>
      <c r="E227" s="15" t="s">
        <v>788</v>
      </c>
      <c r="F227" s="15" t="s">
        <v>3821</v>
      </c>
      <c r="G227" s="18" t="s">
        <v>3824</v>
      </c>
      <c r="H227" s="18"/>
      <c r="I227" s="18"/>
      <c r="J227" s="18"/>
    </row>
    <row r="228" ht="15.75" customHeight="1">
      <c r="A228" s="15" t="s">
        <v>3826</v>
      </c>
      <c r="B228" s="15" t="s">
        <v>60</v>
      </c>
      <c r="C228" s="15" t="s">
        <v>1645</v>
      </c>
      <c r="D228" s="56" t="s">
        <v>3827</v>
      </c>
      <c r="E228" s="15" t="s">
        <v>788</v>
      </c>
      <c r="F228" s="15" t="s">
        <v>3828</v>
      </c>
      <c r="G228" s="18" t="s">
        <v>3829</v>
      </c>
      <c r="H228" s="18"/>
      <c r="I228" s="18"/>
      <c r="J228" s="18"/>
    </row>
    <row r="229" ht="15.75" customHeight="1">
      <c r="A229" s="15" t="s">
        <v>3831</v>
      </c>
      <c r="B229" s="15" t="s">
        <v>60</v>
      </c>
      <c r="C229" s="15" t="s">
        <v>413</v>
      </c>
      <c r="D229" s="56" t="s">
        <v>3833</v>
      </c>
      <c r="E229" s="15" t="s">
        <v>788</v>
      </c>
      <c r="F229" s="15" t="s">
        <v>3834</v>
      </c>
      <c r="G229" s="18" t="s">
        <v>3835</v>
      </c>
      <c r="H229" s="18"/>
      <c r="I229" s="18"/>
      <c r="J229" s="18"/>
    </row>
    <row r="230" ht="15.75" customHeight="1">
      <c r="A230" s="15" t="s">
        <v>3836</v>
      </c>
      <c r="B230" s="15" t="s">
        <v>60</v>
      </c>
      <c r="C230" s="15" t="s">
        <v>413</v>
      </c>
      <c r="D230" s="56" t="s">
        <v>3837</v>
      </c>
      <c r="E230" s="15" t="s">
        <v>788</v>
      </c>
      <c r="F230" s="15" t="s">
        <v>3838</v>
      </c>
      <c r="G230" s="18" t="s">
        <v>3839</v>
      </c>
      <c r="H230" s="18"/>
      <c r="I230" s="18"/>
      <c r="J230" s="18"/>
    </row>
    <row r="231" ht="15.75" customHeight="1">
      <c r="A231" s="15" t="s">
        <v>3841</v>
      </c>
      <c r="B231" s="15" t="s">
        <v>60</v>
      </c>
      <c r="C231" s="15" t="s">
        <v>775</v>
      </c>
      <c r="D231" s="56" t="s">
        <v>3842</v>
      </c>
      <c r="E231" s="15" t="s">
        <v>788</v>
      </c>
      <c r="F231" s="15" t="s">
        <v>3844</v>
      </c>
      <c r="G231" s="18" t="s">
        <v>3845</v>
      </c>
      <c r="H231" s="18"/>
      <c r="I231" s="18"/>
      <c r="J231" s="18"/>
    </row>
    <row r="232" ht="15.75" customHeight="1">
      <c r="A232" s="15" t="s">
        <v>3847</v>
      </c>
      <c r="B232" s="15" t="s">
        <v>60</v>
      </c>
      <c r="C232" s="15" t="s">
        <v>1312</v>
      </c>
      <c r="D232" s="56" t="s">
        <v>3848</v>
      </c>
      <c r="E232" s="15" t="s">
        <v>788</v>
      </c>
      <c r="F232" s="15" t="s">
        <v>3849</v>
      </c>
      <c r="G232" s="18" t="s">
        <v>3851</v>
      </c>
      <c r="H232" s="18"/>
      <c r="I232" s="18"/>
      <c r="J232" s="18"/>
    </row>
    <row r="233" ht="15.75" customHeight="1">
      <c r="A233" s="15" t="s">
        <v>3858</v>
      </c>
      <c r="B233" s="15" t="s">
        <v>60</v>
      </c>
      <c r="C233" s="15" t="s">
        <v>1687</v>
      </c>
      <c r="D233" s="56" t="s">
        <v>3860</v>
      </c>
      <c r="E233" s="15" t="s">
        <v>788</v>
      </c>
      <c r="F233" s="15" t="s">
        <v>3861</v>
      </c>
      <c r="G233" s="18" t="s">
        <v>3862</v>
      </c>
      <c r="H233" s="18"/>
      <c r="I233" s="18"/>
      <c r="J233" s="18"/>
    </row>
    <row r="234" ht="15.75" customHeight="1">
      <c r="A234" s="15" t="s">
        <v>3863</v>
      </c>
      <c r="B234" s="15" t="s">
        <v>60</v>
      </c>
      <c r="C234" s="15" t="s">
        <v>1165</v>
      </c>
      <c r="D234" s="56" t="s">
        <v>3864</v>
      </c>
      <c r="E234" s="15" t="s">
        <v>788</v>
      </c>
      <c r="F234" s="15" t="s">
        <v>3865</v>
      </c>
      <c r="G234" s="18" t="s">
        <v>3866</v>
      </c>
      <c r="H234" s="18"/>
      <c r="I234" s="18"/>
      <c r="J234" s="18"/>
    </row>
    <row r="235" ht="15.75" customHeight="1">
      <c r="A235" s="15" t="s">
        <v>3867</v>
      </c>
      <c r="B235" s="15" t="s">
        <v>60</v>
      </c>
      <c r="C235" s="15" t="s">
        <v>264</v>
      </c>
      <c r="D235" s="56" t="s">
        <v>3868</v>
      </c>
      <c r="E235" s="15" t="s">
        <v>788</v>
      </c>
      <c r="F235" s="15" t="s">
        <v>3869</v>
      </c>
      <c r="G235" s="18" t="s">
        <v>3870</v>
      </c>
      <c r="H235" s="18"/>
      <c r="I235" s="18"/>
      <c r="J235" s="18"/>
    </row>
    <row r="236" ht="15.75" customHeight="1">
      <c r="A236" s="15" t="s">
        <v>3871</v>
      </c>
      <c r="B236" s="15" t="s">
        <v>60</v>
      </c>
      <c r="C236" s="15" t="s">
        <v>570</v>
      </c>
      <c r="D236" s="56" t="s">
        <v>3872</v>
      </c>
      <c r="E236" s="15" t="s">
        <v>788</v>
      </c>
      <c r="F236" s="15" t="s">
        <v>3873</v>
      </c>
      <c r="G236" s="18" t="s">
        <v>3874</v>
      </c>
      <c r="H236" s="18"/>
      <c r="I236" s="18"/>
      <c r="J236" s="18"/>
    </row>
    <row r="237" ht="15.75" customHeight="1">
      <c r="A237" s="15" t="s">
        <v>3875</v>
      </c>
      <c r="B237" s="15" t="s">
        <v>60</v>
      </c>
      <c r="C237" s="15" t="s">
        <v>958</v>
      </c>
      <c r="D237" s="56" t="s">
        <v>3876</v>
      </c>
      <c r="E237" s="15" t="s">
        <v>788</v>
      </c>
      <c r="F237" s="15" t="s">
        <v>3877</v>
      </c>
      <c r="G237" s="18" t="s">
        <v>3878</v>
      </c>
      <c r="H237" s="18"/>
      <c r="I237" s="18"/>
      <c r="J237" s="18"/>
    </row>
    <row r="238" ht="15.75" customHeight="1">
      <c r="A238" s="15" t="s">
        <v>3879</v>
      </c>
      <c r="B238" s="15" t="s">
        <v>60</v>
      </c>
      <c r="C238" s="15" t="s">
        <v>447</v>
      </c>
      <c r="D238" s="56" t="s">
        <v>3880</v>
      </c>
      <c r="E238" s="15" t="s">
        <v>788</v>
      </c>
      <c r="F238" s="15" t="s">
        <v>3881</v>
      </c>
      <c r="G238" s="18" t="s">
        <v>3882</v>
      </c>
      <c r="H238" s="18"/>
      <c r="I238" s="18"/>
      <c r="J238" s="18"/>
    </row>
    <row r="239" ht="15.75" customHeight="1">
      <c r="A239" s="15" t="s">
        <v>3885</v>
      </c>
      <c r="B239" s="15" t="s">
        <v>60</v>
      </c>
      <c r="C239" s="15" t="s">
        <v>354</v>
      </c>
      <c r="D239" s="56" t="s">
        <v>3888</v>
      </c>
      <c r="E239" s="15" t="s">
        <v>788</v>
      </c>
      <c r="F239" s="15" t="s">
        <v>3890</v>
      </c>
      <c r="G239" s="18" t="s">
        <v>3891</v>
      </c>
      <c r="H239" s="18"/>
      <c r="I239" s="18"/>
      <c r="J239" s="18"/>
    </row>
    <row r="240" ht="15.75" customHeight="1">
      <c r="A240" s="15" t="s">
        <v>3892</v>
      </c>
      <c r="B240" s="15" t="s">
        <v>60</v>
      </c>
      <c r="C240" s="15" t="s">
        <v>842</v>
      </c>
      <c r="D240" s="56" t="s">
        <v>3893</v>
      </c>
      <c r="E240" s="15" t="s">
        <v>788</v>
      </c>
      <c r="F240" s="15" t="s">
        <v>3894</v>
      </c>
      <c r="G240" s="18" t="s">
        <v>3895</v>
      </c>
      <c r="H240" s="18"/>
      <c r="I240" s="18"/>
      <c r="J240" s="18"/>
    </row>
    <row r="241" ht="15.75" customHeight="1">
      <c r="A241" s="15" t="s">
        <v>3896</v>
      </c>
      <c r="B241" s="15" t="s">
        <v>60</v>
      </c>
      <c r="C241" s="15" t="s">
        <v>570</v>
      </c>
      <c r="D241" s="56" t="s">
        <v>3897</v>
      </c>
      <c r="E241" s="15" t="s">
        <v>788</v>
      </c>
      <c r="F241" s="15" t="s">
        <v>3898</v>
      </c>
      <c r="G241" s="18" t="s">
        <v>3899</v>
      </c>
      <c r="H241" s="18"/>
      <c r="I241" s="18"/>
      <c r="J241" s="18"/>
    </row>
    <row r="242" ht="15.75" customHeight="1">
      <c r="A242" s="15" t="s">
        <v>3900</v>
      </c>
      <c r="B242" s="15" t="s">
        <v>60</v>
      </c>
      <c r="C242" s="15" t="s">
        <v>245</v>
      </c>
      <c r="D242" s="56" t="s">
        <v>3901</v>
      </c>
      <c r="E242" s="15" t="s">
        <v>788</v>
      </c>
      <c r="F242" s="15" t="s">
        <v>3902</v>
      </c>
      <c r="G242" s="18" t="s">
        <v>3903</v>
      </c>
      <c r="H242" s="18"/>
      <c r="I242" s="18"/>
      <c r="J242" s="18"/>
    </row>
    <row r="243" ht="15.75" customHeight="1">
      <c r="A243" s="15" t="s">
        <v>3904</v>
      </c>
      <c r="B243" s="15" t="s">
        <v>60</v>
      </c>
      <c r="C243" s="15" t="s">
        <v>2391</v>
      </c>
      <c r="D243" s="56" t="s">
        <v>3905</v>
      </c>
      <c r="E243" s="15" t="s">
        <v>788</v>
      </c>
      <c r="F243" s="15" t="s">
        <v>3906</v>
      </c>
      <c r="G243" s="18" t="s">
        <v>3907</v>
      </c>
      <c r="H243" s="18"/>
      <c r="I243" s="18"/>
      <c r="J243" s="18"/>
    </row>
    <row r="244" ht="15.75" customHeight="1">
      <c r="A244" s="15" t="s">
        <v>3908</v>
      </c>
      <c r="B244" s="15" t="s">
        <v>60</v>
      </c>
      <c r="C244" s="15" t="s">
        <v>2391</v>
      </c>
      <c r="D244" s="56" t="s">
        <v>3910</v>
      </c>
      <c r="E244" s="15" t="s">
        <v>788</v>
      </c>
      <c r="F244" s="15" t="s">
        <v>3913</v>
      </c>
      <c r="G244" s="18" t="s">
        <v>3916</v>
      </c>
      <c r="H244" s="18"/>
      <c r="I244" s="18"/>
      <c r="J244" s="18"/>
    </row>
    <row r="245" ht="15.75" customHeight="1">
      <c r="A245" s="15" t="s">
        <v>3918</v>
      </c>
      <c r="B245" s="15" t="s">
        <v>60</v>
      </c>
      <c r="C245" s="15" t="s">
        <v>85</v>
      </c>
      <c r="D245" s="56" t="s">
        <v>3919</v>
      </c>
      <c r="E245" s="15" t="s">
        <v>788</v>
      </c>
      <c r="F245" s="15" t="s">
        <v>3920</v>
      </c>
      <c r="G245" s="18" t="s">
        <v>3921</v>
      </c>
      <c r="H245" s="18"/>
      <c r="I245" s="18"/>
      <c r="J245" s="18"/>
    </row>
    <row r="246" ht="15.75" customHeight="1">
      <c r="A246" s="15" t="s">
        <v>3922</v>
      </c>
      <c r="B246" s="15" t="s">
        <v>60</v>
      </c>
      <c r="C246" s="15" t="s">
        <v>2202</v>
      </c>
      <c r="D246" s="56" t="s">
        <v>3923</v>
      </c>
      <c r="E246" s="15" t="s">
        <v>788</v>
      </c>
      <c r="F246" s="15" t="s">
        <v>3924</v>
      </c>
      <c r="G246" s="18" t="s">
        <v>3925</v>
      </c>
      <c r="H246" s="18"/>
      <c r="I246" s="18"/>
      <c r="J246" s="18"/>
    </row>
    <row r="247" ht="15.75" customHeight="1">
      <c r="A247" s="15" t="s">
        <v>3926</v>
      </c>
      <c r="B247" s="15" t="s">
        <v>60</v>
      </c>
      <c r="C247" s="15" t="s">
        <v>878</v>
      </c>
      <c r="D247" s="56" t="s">
        <v>3927</v>
      </c>
      <c r="E247" s="15" t="s">
        <v>788</v>
      </c>
      <c r="F247" s="15" t="s">
        <v>3928</v>
      </c>
      <c r="G247" s="18" t="s">
        <v>3929</v>
      </c>
      <c r="H247" s="18"/>
      <c r="I247" s="18"/>
      <c r="J247" s="18"/>
    </row>
    <row r="248" ht="15.75" customHeight="1">
      <c r="A248" s="15" t="s">
        <v>3930</v>
      </c>
      <c r="B248" s="15" t="s">
        <v>60</v>
      </c>
      <c r="C248" s="15" t="s">
        <v>1165</v>
      </c>
      <c r="D248" s="56" t="s">
        <v>3931</v>
      </c>
      <c r="E248" s="15" t="s">
        <v>788</v>
      </c>
      <c r="F248" s="15" t="s">
        <v>3932</v>
      </c>
      <c r="G248" s="18" t="s">
        <v>3933</v>
      </c>
      <c r="H248" s="18"/>
      <c r="I248" s="18"/>
      <c r="J248" s="18"/>
    </row>
    <row r="249" ht="15.75" customHeight="1">
      <c r="A249" s="15" t="s">
        <v>3934</v>
      </c>
      <c r="B249" s="15" t="s">
        <v>60</v>
      </c>
      <c r="C249" s="15" t="s">
        <v>1312</v>
      </c>
      <c r="D249" s="56" t="s">
        <v>3935</v>
      </c>
      <c r="E249" s="15" t="s">
        <v>788</v>
      </c>
      <c r="F249" s="15" t="s">
        <v>3937</v>
      </c>
      <c r="G249" s="18" t="s">
        <v>3939</v>
      </c>
      <c r="H249" s="18"/>
      <c r="I249" s="18"/>
      <c r="J249" s="18"/>
    </row>
    <row r="250" ht="15.75" customHeight="1">
      <c r="A250" s="15" t="s">
        <v>3944</v>
      </c>
      <c r="B250" s="15" t="s">
        <v>60</v>
      </c>
      <c r="C250" s="15" t="s">
        <v>85</v>
      </c>
      <c r="D250" s="56" t="s">
        <v>3945</v>
      </c>
      <c r="E250" s="15" t="s">
        <v>788</v>
      </c>
      <c r="F250" s="15" t="s">
        <v>3946</v>
      </c>
      <c r="G250" s="18" t="s">
        <v>3947</v>
      </c>
      <c r="H250" s="18"/>
      <c r="I250" s="18"/>
      <c r="J250" s="18"/>
    </row>
    <row r="251" ht="15.75" customHeight="1">
      <c r="A251" s="15" t="s">
        <v>3948</v>
      </c>
      <c r="B251" s="15" t="s">
        <v>60</v>
      </c>
      <c r="C251" s="15" t="s">
        <v>354</v>
      </c>
      <c r="D251" s="56" t="s">
        <v>3949</v>
      </c>
      <c r="E251" s="15" t="s">
        <v>788</v>
      </c>
      <c r="F251" s="15" t="s">
        <v>3950</v>
      </c>
      <c r="G251" s="18" t="s">
        <v>3951</v>
      </c>
      <c r="H251" s="18"/>
      <c r="I251" s="18"/>
      <c r="J251" s="18"/>
    </row>
    <row r="252" ht="15.75" customHeight="1">
      <c r="A252" s="15" t="s">
        <v>3952</v>
      </c>
      <c r="B252" s="15" t="s">
        <v>60</v>
      </c>
      <c r="C252" s="15" t="s">
        <v>224</v>
      </c>
      <c r="D252" s="56" t="s">
        <v>3953</v>
      </c>
      <c r="E252" s="15" t="s">
        <v>788</v>
      </c>
      <c r="F252" s="15" t="s">
        <v>3954</v>
      </c>
      <c r="G252" s="18" t="s">
        <v>3955</v>
      </c>
      <c r="H252" s="18"/>
      <c r="I252" s="18"/>
      <c r="J252" s="18"/>
    </row>
    <row r="253" ht="15.75" customHeight="1">
      <c r="A253" s="15" t="s">
        <v>3956</v>
      </c>
      <c r="B253" s="15" t="s">
        <v>60</v>
      </c>
      <c r="C253" s="15" t="s">
        <v>1818</v>
      </c>
      <c r="D253" s="56" t="s">
        <v>3957</v>
      </c>
      <c r="E253" s="15" t="s">
        <v>788</v>
      </c>
      <c r="F253" s="15" t="s">
        <v>3958</v>
      </c>
      <c r="G253" s="18" t="s">
        <v>3959</v>
      </c>
      <c r="H253" s="18"/>
      <c r="I253" s="18"/>
      <c r="J253" s="18"/>
    </row>
    <row r="254" ht="15.75" customHeight="1">
      <c r="A254" s="15" t="s">
        <v>3960</v>
      </c>
      <c r="B254" s="15" t="s">
        <v>60</v>
      </c>
      <c r="C254" s="15" t="s">
        <v>1818</v>
      </c>
      <c r="D254" s="56" t="s">
        <v>3961</v>
      </c>
      <c r="E254" s="15" t="s">
        <v>788</v>
      </c>
      <c r="F254" s="15" t="s">
        <v>3962</v>
      </c>
      <c r="G254" s="18" t="s">
        <v>3963</v>
      </c>
      <c r="H254" s="18"/>
      <c r="I254" s="18"/>
      <c r="J254" s="18"/>
    </row>
    <row r="255" ht="15.75" customHeight="1">
      <c r="A255" s="15" t="s">
        <v>3969</v>
      </c>
      <c r="B255" s="15" t="s">
        <v>60</v>
      </c>
      <c r="C255" s="15" t="s">
        <v>85</v>
      </c>
      <c r="D255" s="56" t="s">
        <v>3971</v>
      </c>
      <c r="E255" s="15" t="s">
        <v>788</v>
      </c>
      <c r="F255" s="15" t="s">
        <v>3972</v>
      </c>
      <c r="G255" s="18" t="s">
        <v>3973</v>
      </c>
      <c r="H255" s="18"/>
      <c r="I255" s="18"/>
      <c r="J255" s="18"/>
    </row>
    <row r="256" ht="15.75" customHeight="1">
      <c r="A256" s="15" t="s">
        <v>3974</v>
      </c>
      <c r="B256" s="15" t="s">
        <v>60</v>
      </c>
      <c r="C256" s="15" t="s">
        <v>224</v>
      </c>
      <c r="D256" s="56" t="s">
        <v>3975</v>
      </c>
      <c r="E256" s="15" t="s">
        <v>788</v>
      </c>
      <c r="F256" s="15" t="s">
        <v>3976</v>
      </c>
      <c r="G256" s="18" t="s">
        <v>3977</v>
      </c>
      <c r="H256" s="18"/>
      <c r="I256" s="18"/>
      <c r="J256" s="18"/>
    </row>
    <row r="257" ht="15.75" customHeight="1">
      <c r="A257" s="15" t="s">
        <v>3978</v>
      </c>
      <c r="B257" s="15" t="s">
        <v>60</v>
      </c>
      <c r="C257" s="15" t="s">
        <v>1155</v>
      </c>
      <c r="D257" s="56" t="s">
        <v>3979</v>
      </c>
      <c r="E257" s="15" t="s">
        <v>788</v>
      </c>
      <c r="F257" s="15" t="s">
        <v>3980</v>
      </c>
      <c r="G257" s="18" t="s">
        <v>3981</v>
      </c>
      <c r="H257" s="18"/>
      <c r="I257" s="18"/>
      <c r="J257" s="18"/>
    </row>
    <row r="258" ht="15.75" customHeight="1">
      <c r="A258" s="15" t="s">
        <v>3982</v>
      </c>
      <c r="B258" s="15" t="s">
        <v>60</v>
      </c>
      <c r="C258" s="15" t="s">
        <v>958</v>
      </c>
      <c r="D258" s="56" t="s">
        <v>3983</v>
      </c>
      <c r="E258" s="15" t="s">
        <v>788</v>
      </c>
      <c r="F258" s="15" t="s">
        <v>3984</v>
      </c>
      <c r="G258" s="18" t="s">
        <v>3985</v>
      </c>
      <c r="H258" s="18"/>
      <c r="I258" s="18"/>
      <c r="J258" s="18"/>
    </row>
    <row r="259" ht="15.75" customHeight="1">
      <c r="A259" s="15" t="s">
        <v>3986</v>
      </c>
      <c r="B259" s="15" t="s">
        <v>60</v>
      </c>
      <c r="C259" s="15" t="s">
        <v>236</v>
      </c>
      <c r="D259" s="56" t="s">
        <v>3987</v>
      </c>
      <c r="E259" s="15" t="s">
        <v>788</v>
      </c>
      <c r="F259" s="15" t="s">
        <v>3988</v>
      </c>
      <c r="G259" s="18" t="s">
        <v>3989</v>
      </c>
      <c r="H259" s="18"/>
      <c r="I259" s="18"/>
      <c r="J259" s="18"/>
    </row>
    <row r="260" ht="15.75" customHeight="1">
      <c r="A260" s="15" t="s">
        <v>3992</v>
      </c>
      <c r="B260" s="15" t="s">
        <v>60</v>
      </c>
      <c r="C260" s="15" t="s">
        <v>3430</v>
      </c>
      <c r="D260" s="56" t="s">
        <v>3997</v>
      </c>
      <c r="E260" s="15" t="s">
        <v>788</v>
      </c>
      <c r="F260" s="15" t="s">
        <v>3998</v>
      </c>
      <c r="G260" s="18" t="s">
        <v>3999</v>
      </c>
      <c r="H260" s="18"/>
      <c r="I260" s="18"/>
      <c r="J260" s="18"/>
    </row>
    <row r="261" ht="15.75" customHeight="1">
      <c r="A261" s="15" t="s">
        <v>4000</v>
      </c>
      <c r="B261" s="15" t="s">
        <v>60</v>
      </c>
      <c r="C261" s="15" t="s">
        <v>1312</v>
      </c>
      <c r="D261" s="56" t="s">
        <v>4001</v>
      </c>
      <c r="E261" s="15" t="s">
        <v>788</v>
      </c>
      <c r="F261" s="15" t="s">
        <v>4002</v>
      </c>
      <c r="G261" s="18" t="s">
        <v>4003</v>
      </c>
      <c r="H261" s="18"/>
      <c r="I261" s="18"/>
      <c r="J261" s="18"/>
    </row>
    <row r="262" ht="15.75" customHeight="1">
      <c r="A262" s="15" t="s">
        <v>4004</v>
      </c>
      <c r="B262" s="15" t="s">
        <v>60</v>
      </c>
      <c r="C262" s="15" t="s">
        <v>958</v>
      </c>
      <c r="D262" s="56" t="s">
        <v>4005</v>
      </c>
      <c r="E262" s="15" t="s">
        <v>788</v>
      </c>
      <c r="F262" s="15" t="s">
        <v>4006</v>
      </c>
      <c r="G262" s="18" t="s">
        <v>4007</v>
      </c>
      <c r="H262" s="18"/>
      <c r="I262" s="18"/>
      <c r="J262" s="18"/>
    </row>
    <row r="263" ht="15.75" customHeight="1">
      <c r="A263" s="15" t="s">
        <v>4008</v>
      </c>
      <c r="B263" s="15" t="s">
        <v>60</v>
      </c>
      <c r="C263" s="15" t="s">
        <v>3253</v>
      </c>
      <c r="D263" s="56" t="s">
        <v>4009</v>
      </c>
      <c r="E263" s="15" t="s">
        <v>788</v>
      </c>
      <c r="F263" s="15" t="s">
        <v>4010</v>
      </c>
      <c r="G263" s="18" t="s">
        <v>4011</v>
      </c>
      <c r="H263" s="18"/>
      <c r="I263" s="18"/>
      <c r="J263" s="18"/>
    </row>
    <row r="264" ht="15.75" customHeight="1">
      <c r="A264" s="15" t="s">
        <v>4012</v>
      </c>
      <c r="B264" s="15" t="s">
        <v>60</v>
      </c>
      <c r="C264" s="15" t="s">
        <v>264</v>
      </c>
      <c r="D264" s="56" t="s">
        <v>4013</v>
      </c>
      <c r="E264" s="15" t="s">
        <v>788</v>
      </c>
      <c r="F264" s="15" t="s">
        <v>4014</v>
      </c>
      <c r="G264" s="18" t="s">
        <v>4015</v>
      </c>
      <c r="H264" s="18"/>
      <c r="I264" s="18"/>
      <c r="J264" s="18"/>
    </row>
    <row r="265" ht="15.75" customHeight="1">
      <c r="A265" s="15" t="s">
        <v>4018</v>
      </c>
      <c r="B265" s="15" t="s">
        <v>60</v>
      </c>
      <c r="C265" s="15" t="s">
        <v>264</v>
      </c>
      <c r="D265" s="56" t="s">
        <v>4021</v>
      </c>
      <c r="E265" s="15" t="s">
        <v>788</v>
      </c>
      <c r="F265" s="15" t="s">
        <v>4022</v>
      </c>
      <c r="G265" s="18" t="s">
        <v>4023</v>
      </c>
      <c r="H265" s="18"/>
      <c r="I265" s="18"/>
      <c r="J265" s="18"/>
    </row>
    <row r="266" ht="15.75" customHeight="1">
      <c r="A266" s="15" t="s">
        <v>4024</v>
      </c>
      <c r="B266" s="15" t="s">
        <v>60</v>
      </c>
      <c r="C266" s="15" t="s">
        <v>413</v>
      </c>
      <c r="D266" s="56" t="s">
        <v>4025</v>
      </c>
      <c r="E266" s="15" t="s">
        <v>788</v>
      </c>
      <c r="F266" s="15" t="s">
        <v>4026</v>
      </c>
      <c r="G266" s="18" t="s">
        <v>4027</v>
      </c>
      <c r="H266" s="18"/>
      <c r="I266" s="18"/>
      <c r="J266" s="18"/>
    </row>
    <row r="267" ht="15.75" customHeight="1">
      <c r="A267" s="15" t="s">
        <v>4028</v>
      </c>
      <c r="B267" s="15" t="s">
        <v>60</v>
      </c>
      <c r="C267" s="15" t="s">
        <v>413</v>
      </c>
      <c r="D267" s="56" t="s">
        <v>4029</v>
      </c>
      <c r="E267" s="15" t="s">
        <v>788</v>
      </c>
      <c r="F267" s="15" t="s">
        <v>4030</v>
      </c>
      <c r="G267" s="18" t="s">
        <v>4031</v>
      </c>
      <c r="H267" s="18"/>
      <c r="I267" s="18"/>
      <c r="J267" s="18"/>
    </row>
    <row r="268" ht="15.75" customHeight="1">
      <c r="A268" s="15" t="s">
        <v>4032</v>
      </c>
      <c r="B268" s="15" t="s">
        <v>60</v>
      </c>
      <c r="C268" s="15" t="s">
        <v>2202</v>
      </c>
      <c r="D268" s="56" t="s">
        <v>4033</v>
      </c>
      <c r="E268" s="15" t="s">
        <v>788</v>
      </c>
      <c r="F268" s="15" t="s">
        <v>4034</v>
      </c>
      <c r="G268" s="18" t="s">
        <v>4035</v>
      </c>
      <c r="H268" s="18"/>
      <c r="I268" s="18"/>
      <c r="J268" s="18"/>
    </row>
    <row r="269" ht="15.75" customHeight="1">
      <c r="A269" s="15" t="s">
        <v>4036</v>
      </c>
      <c r="B269" s="15" t="s">
        <v>60</v>
      </c>
      <c r="C269" s="15" t="s">
        <v>245</v>
      </c>
      <c r="D269" s="56" t="s">
        <v>4037</v>
      </c>
      <c r="E269" s="15" t="s">
        <v>788</v>
      </c>
      <c r="F269" s="15" t="s">
        <v>4038</v>
      </c>
      <c r="G269" s="18" t="s">
        <v>4039</v>
      </c>
      <c r="H269" s="18"/>
      <c r="I269" s="18"/>
      <c r="J269" s="18"/>
    </row>
    <row r="270" ht="15.75" customHeight="1">
      <c r="A270" s="15" t="s">
        <v>4040</v>
      </c>
      <c r="B270" s="15" t="s">
        <v>60</v>
      </c>
      <c r="C270" s="15" t="s">
        <v>224</v>
      </c>
      <c r="D270" s="56" t="s">
        <v>4043</v>
      </c>
      <c r="E270" s="15" t="s">
        <v>788</v>
      </c>
      <c r="F270" s="15" t="s">
        <v>4045</v>
      </c>
      <c r="G270" s="18" t="s">
        <v>4047</v>
      </c>
      <c r="H270" s="18"/>
      <c r="I270" s="18"/>
      <c r="J270" s="18"/>
    </row>
    <row r="271" ht="15.75" customHeight="1">
      <c r="A271" s="15" t="s">
        <v>4049</v>
      </c>
      <c r="B271" s="15" t="s">
        <v>60</v>
      </c>
      <c r="C271" s="15" t="s">
        <v>354</v>
      </c>
      <c r="D271" s="56" t="s">
        <v>4050</v>
      </c>
      <c r="E271" s="15" t="s">
        <v>788</v>
      </c>
      <c r="F271" s="15" t="s">
        <v>4051</v>
      </c>
      <c r="G271" s="18" t="s">
        <v>4052</v>
      </c>
      <c r="H271" s="18"/>
      <c r="I271" s="18"/>
      <c r="J271" s="18"/>
    </row>
    <row r="272" ht="15.75" customHeight="1">
      <c r="A272" s="15" t="s">
        <v>4053</v>
      </c>
      <c r="B272" s="15" t="s">
        <v>60</v>
      </c>
      <c r="C272" s="15" t="s">
        <v>236</v>
      </c>
      <c r="D272" s="56" t="s">
        <v>4054</v>
      </c>
      <c r="E272" s="15" t="s">
        <v>788</v>
      </c>
      <c r="F272" s="15" t="s">
        <v>4055</v>
      </c>
      <c r="G272" s="18" t="s">
        <v>4056</v>
      </c>
      <c r="H272" s="18"/>
      <c r="I272" s="18"/>
      <c r="J272" s="18"/>
    </row>
    <row r="273" ht="15.75" customHeight="1">
      <c r="A273" s="15" t="s">
        <v>4057</v>
      </c>
      <c r="B273" s="15" t="s">
        <v>60</v>
      </c>
      <c r="C273" s="15" t="s">
        <v>842</v>
      </c>
      <c r="D273" s="56" t="s">
        <v>4058</v>
      </c>
      <c r="E273" s="15" t="s">
        <v>788</v>
      </c>
      <c r="F273" s="15" t="s">
        <v>4059</v>
      </c>
      <c r="G273" s="18" t="s">
        <v>4060</v>
      </c>
      <c r="H273" s="18"/>
      <c r="I273" s="18"/>
      <c r="J273" s="18"/>
    </row>
    <row r="274" ht="15.75" customHeight="1">
      <c r="A274" s="15" t="s">
        <v>4061</v>
      </c>
      <c r="B274" s="15" t="s">
        <v>60</v>
      </c>
      <c r="C274" s="15" t="s">
        <v>570</v>
      </c>
      <c r="D274" s="56" t="s">
        <v>4062</v>
      </c>
      <c r="E274" s="15" t="s">
        <v>788</v>
      </c>
      <c r="F274" s="15" t="s">
        <v>4063</v>
      </c>
      <c r="G274" s="18" t="s">
        <v>4064</v>
      </c>
      <c r="H274" s="18"/>
      <c r="I274" s="18"/>
      <c r="J274" s="18"/>
    </row>
    <row r="275" ht="15.75" customHeight="1">
      <c r="A275" s="15" t="s">
        <v>4065</v>
      </c>
      <c r="B275" s="15" t="s">
        <v>60</v>
      </c>
      <c r="C275" s="15" t="s">
        <v>2202</v>
      </c>
      <c r="D275" s="56" t="s">
        <v>4066</v>
      </c>
      <c r="E275" s="15" t="s">
        <v>788</v>
      </c>
      <c r="F275" s="15" t="s">
        <v>4068</v>
      </c>
      <c r="G275" s="18" t="s">
        <v>4070</v>
      </c>
      <c r="H275" s="18"/>
      <c r="I275" s="18"/>
      <c r="J275" s="18"/>
    </row>
    <row r="276" ht="15.75" customHeight="1">
      <c r="A276" s="15" t="s">
        <v>4075</v>
      </c>
      <c r="B276" s="15" t="s">
        <v>60</v>
      </c>
      <c r="C276" s="15" t="s">
        <v>224</v>
      </c>
      <c r="D276" s="56" t="s">
        <v>4076</v>
      </c>
      <c r="E276" s="15" t="s">
        <v>788</v>
      </c>
      <c r="F276" s="15" t="s">
        <v>4077</v>
      </c>
      <c r="G276" s="18" t="s">
        <v>4078</v>
      </c>
      <c r="H276" s="18"/>
      <c r="I276" s="18"/>
      <c r="J276" s="18"/>
    </row>
    <row r="277" ht="15.75" customHeight="1">
      <c r="A277" s="15" t="s">
        <v>4079</v>
      </c>
      <c r="B277" s="15" t="s">
        <v>60</v>
      </c>
      <c r="C277" s="15" t="s">
        <v>413</v>
      </c>
      <c r="D277" s="56" t="s">
        <v>4080</v>
      </c>
      <c r="E277" s="15" t="s">
        <v>788</v>
      </c>
      <c r="F277" s="15" t="s">
        <v>4081</v>
      </c>
      <c r="G277" s="18" t="s">
        <v>4082</v>
      </c>
      <c r="H277" s="18"/>
      <c r="I277" s="18"/>
      <c r="J277" s="18"/>
    </row>
    <row r="278" ht="15.75" customHeight="1">
      <c r="A278" s="15" t="s">
        <v>4083</v>
      </c>
      <c r="B278" s="15" t="s">
        <v>60</v>
      </c>
      <c r="C278" s="15" t="s">
        <v>264</v>
      </c>
      <c r="D278" s="56" t="s">
        <v>4084</v>
      </c>
      <c r="E278" s="15" t="s">
        <v>788</v>
      </c>
      <c r="F278" s="15" t="s">
        <v>4085</v>
      </c>
      <c r="G278" s="18" t="s">
        <v>4086</v>
      </c>
      <c r="H278" s="18"/>
      <c r="I278" s="18"/>
      <c r="J278" s="18"/>
    </row>
    <row r="279" ht="15.75" customHeight="1">
      <c r="A279" s="15" t="s">
        <v>4087</v>
      </c>
      <c r="B279" s="15" t="s">
        <v>60</v>
      </c>
      <c r="C279" s="15" t="s">
        <v>1687</v>
      </c>
      <c r="D279" s="56" t="s">
        <v>4088</v>
      </c>
      <c r="E279" s="15" t="s">
        <v>788</v>
      </c>
      <c r="F279" s="15" t="s">
        <v>4089</v>
      </c>
      <c r="G279" s="18" t="s">
        <v>4090</v>
      </c>
      <c r="H279" s="18"/>
      <c r="I279" s="18"/>
      <c r="J279" s="18"/>
    </row>
    <row r="280" ht="15.75" customHeight="1">
      <c r="A280" s="15" t="s">
        <v>4091</v>
      </c>
      <c r="B280" s="15" t="s">
        <v>60</v>
      </c>
      <c r="C280" s="15" t="s">
        <v>224</v>
      </c>
      <c r="D280" s="56" t="s">
        <v>4092</v>
      </c>
      <c r="E280" s="15" t="s">
        <v>788</v>
      </c>
      <c r="F280" s="15" t="s">
        <v>4093</v>
      </c>
      <c r="G280" s="18" t="s">
        <v>4094</v>
      </c>
      <c r="H280" s="18"/>
      <c r="I280" s="18"/>
      <c r="J280" s="18"/>
    </row>
    <row r="281" ht="15.75" customHeight="1">
      <c r="A281" s="15" t="s">
        <v>4098</v>
      </c>
      <c r="B281" s="15" t="s">
        <v>60</v>
      </c>
      <c r="C281" s="15" t="s">
        <v>264</v>
      </c>
      <c r="D281" s="56" t="s">
        <v>4101</v>
      </c>
      <c r="E281" s="15" t="s">
        <v>788</v>
      </c>
      <c r="F281" s="15" t="s">
        <v>4103</v>
      </c>
      <c r="G281" s="18" t="s">
        <v>4104</v>
      </c>
      <c r="H281" s="18"/>
      <c r="I281" s="18"/>
      <c r="J281" s="18"/>
    </row>
    <row r="282" ht="15.75" customHeight="1">
      <c r="A282" s="15" t="s">
        <v>4105</v>
      </c>
      <c r="B282" s="15" t="s">
        <v>60</v>
      </c>
      <c r="C282" s="15" t="s">
        <v>236</v>
      </c>
      <c r="D282" s="56" t="s">
        <v>4106</v>
      </c>
      <c r="E282" s="15" t="s">
        <v>788</v>
      </c>
      <c r="F282" s="15" t="s">
        <v>4107</v>
      </c>
      <c r="G282" s="18" t="s">
        <v>4108</v>
      </c>
      <c r="H282" s="18"/>
      <c r="I282" s="18"/>
      <c r="J282" s="18"/>
    </row>
    <row r="283" ht="15.75" customHeight="1">
      <c r="A283" s="15" t="s">
        <v>4109</v>
      </c>
      <c r="B283" s="15" t="s">
        <v>60</v>
      </c>
      <c r="C283" s="15" t="s">
        <v>245</v>
      </c>
      <c r="D283" s="56" t="s">
        <v>4110</v>
      </c>
      <c r="E283" s="15" t="s">
        <v>788</v>
      </c>
      <c r="F283" s="15" t="s">
        <v>4111</v>
      </c>
      <c r="G283" s="18" t="s">
        <v>4112</v>
      </c>
      <c r="H283" s="18"/>
      <c r="I283" s="18"/>
      <c r="J283" s="18"/>
    </row>
    <row r="284" ht="15.75" customHeight="1">
      <c r="A284" s="15" t="s">
        <v>4113</v>
      </c>
      <c r="B284" s="15" t="s">
        <v>60</v>
      </c>
      <c r="C284" s="15" t="s">
        <v>224</v>
      </c>
      <c r="D284" s="56" t="s">
        <v>4114</v>
      </c>
      <c r="E284" s="15" t="s">
        <v>788</v>
      </c>
      <c r="F284" s="15" t="s">
        <v>4115</v>
      </c>
      <c r="G284" s="18" t="s">
        <v>4116</v>
      </c>
      <c r="H284" s="18"/>
      <c r="I284" s="18"/>
      <c r="J284" s="18"/>
    </row>
    <row r="285" ht="15.75" customHeight="1">
      <c r="A285" s="15" t="s">
        <v>4117</v>
      </c>
      <c r="B285" s="15" t="s">
        <v>60</v>
      </c>
      <c r="C285" s="15" t="s">
        <v>264</v>
      </c>
      <c r="D285" s="56" t="s">
        <v>4118</v>
      </c>
      <c r="E285" s="15" t="s">
        <v>788</v>
      </c>
      <c r="F285" s="15" t="s">
        <v>4119</v>
      </c>
      <c r="G285" s="18" t="s">
        <v>4120</v>
      </c>
      <c r="H285" s="18"/>
      <c r="I285" s="18"/>
      <c r="J285" s="18"/>
    </row>
    <row r="286" ht="15.75" customHeight="1">
      <c r="A286" s="15" t="s">
        <v>4121</v>
      </c>
      <c r="B286" s="15" t="s">
        <v>60</v>
      </c>
      <c r="C286" s="15" t="s">
        <v>447</v>
      </c>
      <c r="D286" s="56" t="s">
        <v>4123</v>
      </c>
      <c r="E286" s="15" t="s">
        <v>788</v>
      </c>
      <c r="F286" s="15" t="s">
        <v>4125</v>
      </c>
      <c r="G286" s="18" t="s">
        <v>4127</v>
      </c>
      <c r="H286" s="18"/>
      <c r="I286" s="18"/>
      <c r="J286" s="18"/>
    </row>
    <row r="287" ht="15.75" customHeight="1">
      <c r="A287" s="15" t="s">
        <v>4131</v>
      </c>
      <c r="B287" s="15" t="s">
        <v>60</v>
      </c>
      <c r="C287" s="15" t="s">
        <v>224</v>
      </c>
      <c r="D287" s="56" t="s">
        <v>4132</v>
      </c>
      <c r="E287" s="15" t="s">
        <v>788</v>
      </c>
      <c r="F287" s="15" t="s">
        <v>4133</v>
      </c>
      <c r="G287" s="18" t="s">
        <v>4134</v>
      </c>
      <c r="H287" s="18"/>
      <c r="I287" s="18"/>
      <c r="J287" s="18"/>
    </row>
    <row r="288" ht="15.75" customHeight="1">
      <c r="A288" s="15" t="s">
        <v>4135</v>
      </c>
      <c r="B288" s="15" t="s">
        <v>60</v>
      </c>
      <c r="C288" s="15" t="s">
        <v>1687</v>
      </c>
      <c r="D288" s="56" t="s">
        <v>4136</v>
      </c>
      <c r="E288" s="15" t="s">
        <v>788</v>
      </c>
      <c r="F288" s="15" t="s">
        <v>4137</v>
      </c>
      <c r="G288" s="18" t="s">
        <v>4138</v>
      </c>
      <c r="H288" s="18"/>
      <c r="I288" s="18"/>
      <c r="J288" s="18"/>
    </row>
    <row r="289" ht="15.75" customHeight="1">
      <c r="A289" s="15" t="s">
        <v>4139</v>
      </c>
      <c r="B289" s="15" t="s">
        <v>60</v>
      </c>
      <c r="C289" s="15" t="s">
        <v>354</v>
      </c>
      <c r="D289" s="56" t="s">
        <v>4140</v>
      </c>
      <c r="E289" s="15" t="s">
        <v>788</v>
      </c>
      <c r="F289" s="15" t="s">
        <v>4141</v>
      </c>
      <c r="G289" s="18" t="s">
        <v>4142</v>
      </c>
      <c r="H289" s="18"/>
      <c r="I289" s="18"/>
      <c r="J289" s="18"/>
    </row>
    <row r="290" ht="15.75" customHeight="1">
      <c r="A290" s="15" t="s">
        <v>4143</v>
      </c>
      <c r="B290" s="15" t="s">
        <v>60</v>
      </c>
      <c r="C290" s="15" t="s">
        <v>354</v>
      </c>
      <c r="D290" s="56" t="s">
        <v>4144</v>
      </c>
      <c r="E290" s="15" t="s">
        <v>788</v>
      </c>
      <c r="F290" s="15" t="s">
        <v>4145</v>
      </c>
      <c r="G290" s="18" t="s">
        <v>4146</v>
      </c>
      <c r="H290" s="18"/>
      <c r="I290" s="18"/>
      <c r="J290" s="18"/>
    </row>
    <row r="291" ht="15.75" customHeight="1">
      <c r="A291" s="15" t="s">
        <v>4147</v>
      </c>
      <c r="B291" s="15" t="s">
        <v>60</v>
      </c>
      <c r="C291" s="15" t="s">
        <v>2202</v>
      </c>
      <c r="D291" s="56" t="s">
        <v>4148</v>
      </c>
      <c r="E291" s="15" t="s">
        <v>788</v>
      </c>
      <c r="F291" s="15" t="s">
        <v>4149</v>
      </c>
      <c r="G291" s="18" t="s">
        <v>4150</v>
      </c>
      <c r="H291" s="18"/>
      <c r="I291" s="18"/>
      <c r="J291" s="18"/>
    </row>
    <row r="292" ht="15.75" customHeight="1">
      <c r="A292" s="15" t="s">
        <v>4154</v>
      </c>
      <c r="B292" s="15" t="s">
        <v>60</v>
      </c>
      <c r="C292" s="15" t="s">
        <v>264</v>
      </c>
      <c r="D292" s="56" t="s">
        <v>4157</v>
      </c>
      <c r="E292" s="15" t="s">
        <v>788</v>
      </c>
      <c r="F292" s="15" t="s">
        <v>4158</v>
      </c>
      <c r="G292" s="18" t="s">
        <v>4159</v>
      </c>
      <c r="H292" s="18"/>
      <c r="I292" s="18"/>
      <c r="J292" s="18"/>
    </row>
    <row r="293" ht="15.75" customHeight="1">
      <c r="A293" s="15" t="s">
        <v>4160</v>
      </c>
      <c r="B293" s="15" t="s">
        <v>60</v>
      </c>
      <c r="C293" s="15" t="s">
        <v>958</v>
      </c>
      <c r="D293" s="56" t="s">
        <v>4161</v>
      </c>
      <c r="E293" s="15" t="s">
        <v>788</v>
      </c>
      <c r="F293" s="15" t="s">
        <v>4162</v>
      </c>
      <c r="G293" s="18" t="s">
        <v>4163</v>
      </c>
      <c r="H293" s="18"/>
      <c r="I293" s="18"/>
      <c r="J293" s="18"/>
    </row>
    <row r="294" ht="15.75" customHeight="1">
      <c r="A294" s="15" t="s">
        <v>4164</v>
      </c>
      <c r="B294" s="15" t="s">
        <v>60</v>
      </c>
      <c r="C294" s="15" t="s">
        <v>1687</v>
      </c>
      <c r="D294" s="56" t="s">
        <v>4165</v>
      </c>
      <c r="E294" s="15" t="s">
        <v>788</v>
      </c>
      <c r="F294" s="15" t="s">
        <v>4166</v>
      </c>
      <c r="G294" s="18" t="s">
        <v>4167</v>
      </c>
      <c r="H294" s="18"/>
      <c r="I294" s="18"/>
      <c r="J294" s="18"/>
    </row>
    <row r="295" ht="15.75" customHeight="1">
      <c r="A295" s="15" t="s">
        <v>4168</v>
      </c>
      <c r="B295" s="15" t="s">
        <v>60</v>
      </c>
      <c r="C295" s="15" t="s">
        <v>354</v>
      </c>
      <c r="D295" s="56" t="s">
        <v>4169</v>
      </c>
      <c r="E295" s="15" t="s">
        <v>788</v>
      </c>
      <c r="F295" s="15" t="s">
        <v>4170</v>
      </c>
      <c r="G295" s="18" t="s">
        <v>4171</v>
      </c>
      <c r="H295" s="18"/>
      <c r="I295" s="18"/>
      <c r="J295" s="18"/>
    </row>
    <row r="296" ht="15.75" customHeight="1">
      <c r="A296" s="15" t="s">
        <v>4172</v>
      </c>
      <c r="B296" s="15" t="s">
        <v>60</v>
      </c>
      <c r="C296" s="15" t="s">
        <v>878</v>
      </c>
      <c r="D296" s="56" t="s">
        <v>4173</v>
      </c>
      <c r="E296" s="15" t="s">
        <v>788</v>
      </c>
      <c r="F296" s="15" t="s">
        <v>4174</v>
      </c>
      <c r="G296" s="18" t="s">
        <v>4175</v>
      </c>
      <c r="H296" s="18"/>
      <c r="I296" s="18"/>
      <c r="J296" s="18"/>
    </row>
    <row r="297" ht="15.75" customHeight="1">
      <c r="A297" s="15" t="s">
        <v>4177</v>
      </c>
      <c r="B297" s="15" t="s">
        <v>60</v>
      </c>
      <c r="C297" s="15" t="s">
        <v>224</v>
      </c>
      <c r="D297" s="56" t="s">
        <v>4180</v>
      </c>
      <c r="E297" s="15" t="s">
        <v>788</v>
      </c>
      <c r="F297" s="15" t="s">
        <v>4184</v>
      </c>
      <c r="G297" s="18" t="s">
        <v>4185</v>
      </c>
      <c r="H297" s="18"/>
      <c r="I297" s="18"/>
      <c r="J297" s="18"/>
    </row>
    <row r="298" ht="15.75" customHeight="1">
      <c r="A298" s="15" t="s">
        <v>4186</v>
      </c>
      <c r="B298" s="15" t="s">
        <v>60</v>
      </c>
      <c r="C298" s="15" t="s">
        <v>4187</v>
      </c>
      <c r="D298" s="56" t="s">
        <v>4188</v>
      </c>
      <c r="E298" s="15" t="s">
        <v>788</v>
      </c>
      <c r="F298" s="15" t="s">
        <v>4189</v>
      </c>
      <c r="G298" s="18" t="s">
        <v>4190</v>
      </c>
      <c r="H298" s="18"/>
      <c r="I298" s="18"/>
      <c r="J298" s="18"/>
    </row>
    <row r="299" ht="15.75" customHeight="1">
      <c r="A299" s="15" t="s">
        <v>4191</v>
      </c>
      <c r="B299" s="15" t="s">
        <v>60</v>
      </c>
      <c r="C299" s="15" t="s">
        <v>85</v>
      </c>
      <c r="D299" s="56" t="s">
        <v>4192</v>
      </c>
      <c r="E299" s="15" t="s">
        <v>788</v>
      </c>
      <c r="F299" s="15" t="s">
        <v>4193</v>
      </c>
      <c r="G299" s="18" t="s">
        <v>4194</v>
      </c>
      <c r="H299" s="18"/>
      <c r="I299" s="18"/>
      <c r="J299" s="18"/>
    </row>
    <row r="300" ht="15.75" customHeight="1">
      <c r="A300" s="15" t="s">
        <v>4195</v>
      </c>
      <c r="B300" s="15" t="s">
        <v>60</v>
      </c>
      <c r="C300" s="15" t="s">
        <v>413</v>
      </c>
      <c r="D300" s="56" t="s">
        <v>4196</v>
      </c>
      <c r="E300" s="15" t="s">
        <v>788</v>
      </c>
      <c r="F300" s="15" t="s">
        <v>4197</v>
      </c>
      <c r="G300" s="18" t="s">
        <v>4198</v>
      </c>
      <c r="H300" s="18"/>
      <c r="I300" s="18"/>
      <c r="J300" s="18"/>
    </row>
    <row r="301" ht="15.75" customHeight="1">
      <c r="A301" s="15" t="s">
        <v>4199</v>
      </c>
      <c r="B301" s="15" t="s">
        <v>60</v>
      </c>
      <c r="C301" s="15" t="s">
        <v>958</v>
      </c>
      <c r="D301" s="56" t="s">
        <v>4200</v>
      </c>
      <c r="E301" s="15" t="s">
        <v>788</v>
      </c>
      <c r="F301" s="15" t="s">
        <v>4201</v>
      </c>
      <c r="G301" s="18" t="s">
        <v>4202</v>
      </c>
      <c r="H301" s="18"/>
      <c r="I301" s="18"/>
      <c r="J301" s="18"/>
    </row>
    <row r="302" ht="15.75" customHeight="1">
      <c r="A302" s="15" t="s">
        <v>4206</v>
      </c>
      <c r="B302" s="15" t="s">
        <v>60</v>
      </c>
      <c r="C302" s="15" t="s">
        <v>424</v>
      </c>
      <c r="D302" s="56" t="s">
        <v>4210</v>
      </c>
      <c r="E302" s="15" t="s">
        <v>788</v>
      </c>
      <c r="F302" s="15" t="s">
        <v>4211</v>
      </c>
      <c r="G302" s="18" t="s">
        <v>4212</v>
      </c>
      <c r="H302" s="18"/>
      <c r="I302" s="18"/>
      <c r="J302" s="18"/>
    </row>
    <row r="303" ht="15.75" customHeight="1">
      <c r="A303" s="15" t="s">
        <v>4213</v>
      </c>
      <c r="B303" s="15" t="s">
        <v>60</v>
      </c>
      <c r="C303" s="15" t="s">
        <v>1818</v>
      </c>
      <c r="D303" s="56" t="s">
        <v>4214</v>
      </c>
      <c r="E303" s="15" t="s">
        <v>788</v>
      </c>
      <c r="F303" s="15" t="s">
        <v>4215</v>
      </c>
      <c r="G303" s="18" t="s">
        <v>4216</v>
      </c>
      <c r="H303" s="18"/>
      <c r="I303" s="18"/>
      <c r="J303" s="18"/>
    </row>
    <row r="304" ht="15.75" customHeight="1">
      <c r="A304" s="15" t="s">
        <v>4217</v>
      </c>
      <c r="B304" s="15" t="s">
        <v>60</v>
      </c>
      <c r="C304" s="15" t="s">
        <v>1165</v>
      </c>
      <c r="D304" s="56" t="s">
        <v>4218</v>
      </c>
      <c r="E304" s="15" t="s">
        <v>788</v>
      </c>
      <c r="F304" s="15" t="s">
        <v>4219</v>
      </c>
      <c r="G304" s="18" t="s">
        <v>4220</v>
      </c>
      <c r="H304" s="18"/>
      <c r="I304" s="18"/>
      <c r="J304" s="18"/>
    </row>
    <row r="305" ht="15.75" customHeight="1">
      <c r="A305" s="15" t="s">
        <v>4221</v>
      </c>
      <c r="B305" s="15" t="s">
        <v>60</v>
      </c>
      <c r="C305" s="15" t="s">
        <v>85</v>
      </c>
      <c r="D305" s="56" t="s">
        <v>4222</v>
      </c>
      <c r="E305" s="15" t="s">
        <v>788</v>
      </c>
      <c r="F305" s="15" t="s">
        <v>4223</v>
      </c>
      <c r="G305" s="18" t="s">
        <v>4224</v>
      </c>
      <c r="H305" s="18"/>
      <c r="I305" s="18"/>
      <c r="J305" s="18"/>
    </row>
    <row r="306" ht="15.75" customHeight="1">
      <c r="A306" s="15" t="s">
        <v>4225</v>
      </c>
      <c r="B306" s="15" t="s">
        <v>60</v>
      </c>
      <c r="C306" s="15" t="s">
        <v>570</v>
      </c>
      <c r="D306" s="56" t="s">
        <v>4226</v>
      </c>
      <c r="E306" s="15" t="s">
        <v>788</v>
      </c>
      <c r="F306" s="15" t="s">
        <v>4227</v>
      </c>
      <c r="G306" s="18" t="s">
        <v>4228</v>
      </c>
      <c r="H306" s="18"/>
      <c r="I306" s="18"/>
      <c r="J306" s="18"/>
    </row>
    <row r="307" ht="15.75" customHeight="1">
      <c r="A307" s="15" t="s">
        <v>4230</v>
      </c>
      <c r="B307" s="15" t="s">
        <v>60</v>
      </c>
      <c r="C307" s="15" t="s">
        <v>264</v>
      </c>
      <c r="D307" s="56" t="s">
        <v>4233</v>
      </c>
      <c r="E307" s="15" t="s">
        <v>788</v>
      </c>
      <c r="F307" s="15" t="s">
        <v>4236</v>
      </c>
      <c r="G307" s="18" t="s">
        <v>4238</v>
      </c>
      <c r="H307" s="18"/>
      <c r="I307" s="18"/>
      <c r="J307" s="18"/>
    </row>
    <row r="308" ht="15.75" customHeight="1">
      <c r="A308" s="15" t="s">
        <v>4239</v>
      </c>
      <c r="B308" s="15" t="s">
        <v>60</v>
      </c>
      <c r="C308" s="15" t="s">
        <v>775</v>
      </c>
      <c r="D308" s="56" t="s">
        <v>4240</v>
      </c>
      <c r="E308" s="15" t="s">
        <v>788</v>
      </c>
      <c r="F308" s="15" t="s">
        <v>4241</v>
      </c>
      <c r="G308" s="18" t="s">
        <v>4242</v>
      </c>
      <c r="H308" s="18"/>
      <c r="I308" s="18"/>
      <c r="J308" s="18"/>
    </row>
    <row r="309" ht="15.75" customHeight="1">
      <c r="A309" s="15" t="s">
        <v>4243</v>
      </c>
      <c r="B309" s="15" t="s">
        <v>60</v>
      </c>
      <c r="C309" s="15" t="s">
        <v>413</v>
      </c>
      <c r="D309" s="56" t="s">
        <v>4244</v>
      </c>
      <c r="E309" s="15" t="s">
        <v>788</v>
      </c>
      <c r="F309" s="15" t="s">
        <v>4245</v>
      </c>
      <c r="G309" s="18" t="s">
        <v>4246</v>
      </c>
      <c r="H309" s="18"/>
      <c r="I309" s="18"/>
      <c r="J309" s="18"/>
    </row>
    <row r="310" ht="15.75" customHeight="1">
      <c r="A310" s="15" t="s">
        <v>4247</v>
      </c>
      <c r="B310" s="15" t="s">
        <v>60</v>
      </c>
      <c r="C310" s="15" t="s">
        <v>775</v>
      </c>
      <c r="D310" s="56" t="s">
        <v>4248</v>
      </c>
      <c r="E310" s="15" t="s">
        <v>788</v>
      </c>
      <c r="F310" s="15" t="s">
        <v>4249</v>
      </c>
      <c r="G310" s="18" t="s">
        <v>4250</v>
      </c>
      <c r="H310" s="18"/>
      <c r="I310" s="18"/>
      <c r="J310" s="18"/>
    </row>
    <row r="311" ht="15.75" customHeight="1">
      <c r="A311" s="15" t="s">
        <v>4251</v>
      </c>
      <c r="B311" s="15" t="s">
        <v>60</v>
      </c>
      <c r="C311" s="15" t="s">
        <v>354</v>
      </c>
      <c r="D311" s="56" t="s">
        <v>4252</v>
      </c>
      <c r="E311" s="15" t="s">
        <v>788</v>
      </c>
      <c r="F311" s="15" t="s">
        <v>4253</v>
      </c>
      <c r="G311" s="18" t="s">
        <v>4254</v>
      </c>
      <c r="H311" s="18"/>
      <c r="I311" s="18"/>
      <c r="J311" s="18"/>
    </row>
    <row r="312" ht="15.75" customHeight="1">
      <c r="A312" s="15" t="s">
        <v>4255</v>
      </c>
      <c r="B312" s="15" t="s">
        <v>60</v>
      </c>
      <c r="C312" s="15" t="s">
        <v>1312</v>
      </c>
      <c r="D312" s="56" t="s">
        <v>4257</v>
      </c>
      <c r="E312" s="15" t="s">
        <v>788</v>
      </c>
      <c r="F312" s="15" t="s">
        <v>4259</v>
      </c>
      <c r="G312" s="18" t="s">
        <v>4261</v>
      </c>
      <c r="H312" s="18"/>
      <c r="I312" s="18"/>
      <c r="J312" s="18"/>
    </row>
    <row r="313" ht="15.75" customHeight="1">
      <c r="A313" s="15" t="s">
        <v>4265</v>
      </c>
      <c r="B313" s="15" t="s">
        <v>60</v>
      </c>
      <c r="C313" s="15" t="s">
        <v>570</v>
      </c>
      <c r="D313" s="56" t="s">
        <v>4266</v>
      </c>
      <c r="E313" s="15" t="s">
        <v>788</v>
      </c>
      <c r="F313" s="15" t="s">
        <v>4267</v>
      </c>
      <c r="G313" s="18" t="s">
        <v>4268</v>
      </c>
      <c r="H313" s="18"/>
      <c r="I313" s="18"/>
      <c r="J313" s="18"/>
    </row>
    <row r="314" ht="15.75" customHeight="1">
      <c r="A314" s="15" t="s">
        <v>4269</v>
      </c>
      <c r="B314" s="15" t="s">
        <v>60</v>
      </c>
      <c r="C314" s="15" t="s">
        <v>878</v>
      </c>
      <c r="D314" s="56" t="s">
        <v>4270</v>
      </c>
      <c r="E314" s="15" t="s">
        <v>788</v>
      </c>
      <c r="F314" s="15" t="s">
        <v>4271</v>
      </c>
      <c r="G314" s="18" t="s">
        <v>4272</v>
      </c>
      <c r="H314" s="18"/>
      <c r="I314" s="18"/>
      <c r="J314" s="18"/>
    </row>
    <row r="315" ht="15.75" customHeight="1">
      <c r="A315" s="15" t="s">
        <v>4273</v>
      </c>
      <c r="B315" s="15" t="s">
        <v>60</v>
      </c>
      <c r="C315" s="15" t="s">
        <v>85</v>
      </c>
      <c r="D315" s="56" t="s">
        <v>4274</v>
      </c>
      <c r="E315" s="15" t="s">
        <v>788</v>
      </c>
      <c r="F315" s="15" t="s">
        <v>4275</v>
      </c>
      <c r="G315" s="18" t="s">
        <v>4276</v>
      </c>
      <c r="H315" s="18"/>
      <c r="I315" s="18"/>
      <c r="J315" s="18"/>
    </row>
    <row r="316" ht="15.75" customHeight="1">
      <c r="A316" s="15" t="s">
        <v>4277</v>
      </c>
      <c r="B316" s="15" t="s">
        <v>60</v>
      </c>
      <c r="C316" s="15" t="s">
        <v>3253</v>
      </c>
      <c r="D316" s="56" t="s">
        <v>4278</v>
      </c>
      <c r="E316" s="15" t="s">
        <v>788</v>
      </c>
      <c r="F316" s="15" t="s">
        <v>4279</v>
      </c>
      <c r="G316" s="18" t="s">
        <v>4280</v>
      </c>
      <c r="H316" s="18"/>
      <c r="I316" s="18"/>
      <c r="J316" s="18"/>
    </row>
    <row r="317" ht="15.75" customHeight="1">
      <c r="A317" s="15" t="s">
        <v>4281</v>
      </c>
      <c r="B317" s="15" t="s">
        <v>60</v>
      </c>
      <c r="C317" s="15" t="s">
        <v>1165</v>
      </c>
      <c r="D317" s="56" t="s">
        <v>4282</v>
      </c>
      <c r="E317" s="15" t="s">
        <v>788</v>
      </c>
      <c r="F317" s="15" t="s">
        <v>4284</v>
      </c>
      <c r="G317" s="18" t="s">
        <v>4286</v>
      </c>
      <c r="H317" s="18"/>
      <c r="I317" s="18"/>
      <c r="J317" s="18"/>
    </row>
    <row r="318" ht="15.75" customHeight="1">
      <c r="A318" s="15" t="s">
        <v>4291</v>
      </c>
      <c r="B318" s="15" t="s">
        <v>60</v>
      </c>
      <c r="C318" s="15" t="s">
        <v>842</v>
      </c>
      <c r="D318" s="56" t="s">
        <v>4292</v>
      </c>
      <c r="E318" s="15" t="s">
        <v>788</v>
      </c>
      <c r="F318" s="15" t="s">
        <v>4293</v>
      </c>
      <c r="G318" s="18" t="s">
        <v>4294</v>
      </c>
      <c r="H318" s="18"/>
      <c r="I318" s="18"/>
      <c r="J318" s="18"/>
    </row>
    <row r="319" ht="15.75" customHeight="1">
      <c r="A319" s="15" t="s">
        <v>4295</v>
      </c>
      <c r="B319" s="15" t="s">
        <v>60</v>
      </c>
      <c r="C319" s="15" t="s">
        <v>264</v>
      </c>
      <c r="D319" s="56" t="s">
        <v>4296</v>
      </c>
      <c r="E319" s="15" t="s">
        <v>788</v>
      </c>
      <c r="F319" s="15" t="s">
        <v>4297</v>
      </c>
      <c r="G319" s="18" t="s">
        <v>4298</v>
      </c>
      <c r="H319" s="18"/>
      <c r="I319" s="18"/>
      <c r="J319" s="18"/>
    </row>
    <row r="320" ht="15.75" customHeight="1">
      <c r="A320" s="15" t="s">
        <v>4299</v>
      </c>
      <c r="B320" s="15" t="s">
        <v>60</v>
      </c>
      <c r="C320" s="15" t="s">
        <v>424</v>
      </c>
      <c r="D320" s="56" t="s">
        <v>4300</v>
      </c>
      <c r="E320" s="15" t="s">
        <v>788</v>
      </c>
      <c r="F320" s="15" t="s">
        <v>4301</v>
      </c>
      <c r="G320" s="18" t="s">
        <v>4302</v>
      </c>
      <c r="H320" s="18"/>
      <c r="I320" s="18"/>
      <c r="J320" s="18"/>
    </row>
    <row r="321" ht="15.75" customHeight="1">
      <c r="A321" s="15" t="s">
        <v>4303</v>
      </c>
      <c r="B321" s="15" t="s">
        <v>60</v>
      </c>
      <c r="C321" s="15" t="s">
        <v>842</v>
      </c>
      <c r="D321" s="56" t="s">
        <v>4304</v>
      </c>
      <c r="E321" s="15" t="s">
        <v>788</v>
      </c>
      <c r="F321" s="15" t="s">
        <v>4305</v>
      </c>
      <c r="G321" s="18" t="s">
        <v>4306</v>
      </c>
      <c r="H321" s="18"/>
      <c r="I321" s="18"/>
      <c r="J321" s="18"/>
    </row>
    <row r="322" ht="15.75" customHeight="1">
      <c r="A322" s="15" t="s">
        <v>4307</v>
      </c>
      <c r="B322" s="15" t="s">
        <v>60</v>
      </c>
      <c r="C322" s="15" t="s">
        <v>245</v>
      </c>
      <c r="D322" s="56" t="s">
        <v>4308</v>
      </c>
      <c r="E322" s="15" t="s">
        <v>788</v>
      </c>
      <c r="F322" s="15" t="s">
        <v>4309</v>
      </c>
      <c r="G322" s="18" t="s">
        <v>4310</v>
      </c>
      <c r="H322" s="18"/>
      <c r="I322" s="18"/>
      <c r="J322" s="18"/>
    </row>
    <row r="323" ht="15.75" customHeight="1">
      <c r="A323" s="15" t="s">
        <v>4315</v>
      </c>
      <c r="B323" s="15" t="s">
        <v>60</v>
      </c>
      <c r="C323" s="15" t="s">
        <v>1139</v>
      </c>
      <c r="D323" s="56" t="s">
        <v>4318</v>
      </c>
      <c r="E323" s="15" t="s">
        <v>788</v>
      </c>
      <c r="F323" s="15" t="s">
        <v>4319</v>
      </c>
      <c r="G323" s="18" t="s">
        <v>4320</v>
      </c>
      <c r="H323" s="18"/>
      <c r="I323" s="18"/>
      <c r="J323" s="18"/>
    </row>
    <row r="324" ht="15.75" customHeight="1">
      <c r="A324" s="15" t="s">
        <v>4321</v>
      </c>
      <c r="B324" s="15" t="s">
        <v>60</v>
      </c>
      <c r="C324" s="15" t="s">
        <v>245</v>
      </c>
      <c r="D324" s="56" t="s">
        <v>4322</v>
      </c>
      <c r="E324" s="15" t="s">
        <v>788</v>
      </c>
      <c r="F324" s="15" t="s">
        <v>4323</v>
      </c>
      <c r="G324" s="18" t="s">
        <v>4324</v>
      </c>
      <c r="H324" s="18"/>
      <c r="I324" s="18"/>
      <c r="J324" s="18"/>
    </row>
    <row r="325" ht="15.75" customHeight="1">
      <c r="A325" s="15" t="s">
        <v>4325</v>
      </c>
      <c r="B325" s="15" t="s">
        <v>60</v>
      </c>
      <c r="C325" s="15" t="s">
        <v>1139</v>
      </c>
      <c r="D325" s="56" t="s">
        <v>4326</v>
      </c>
      <c r="E325" s="15" t="s">
        <v>788</v>
      </c>
      <c r="F325" s="15" t="s">
        <v>4327</v>
      </c>
      <c r="G325" s="18" t="s">
        <v>4328</v>
      </c>
      <c r="H325" s="18"/>
      <c r="I325" s="18"/>
      <c r="J325" s="18"/>
    </row>
    <row r="326" ht="15.75" customHeight="1">
      <c r="A326" s="15" t="s">
        <v>4329</v>
      </c>
      <c r="B326" s="15" t="s">
        <v>60</v>
      </c>
      <c r="C326" s="15" t="s">
        <v>842</v>
      </c>
      <c r="D326" s="56" t="s">
        <v>4330</v>
      </c>
      <c r="E326" s="15" t="s">
        <v>788</v>
      </c>
      <c r="F326" s="15" t="s">
        <v>4331</v>
      </c>
      <c r="G326" s="18" t="s">
        <v>4332</v>
      </c>
      <c r="H326" s="18"/>
      <c r="I326" s="18"/>
      <c r="J326" s="18"/>
    </row>
    <row r="327" ht="15.75" customHeight="1">
      <c r="A327" s="15" t="s">
        <v>4333</v>
      </c>
      <c r="B327" s="15" t="s">
        <v>60</v>
      </c>
      <c r="C327" s="15" t="s">
        <v>85</v>
      </c>
      <c r="D327" s="56" t="s">
        <v>4334</v>
      </c>
      <c r="E327" s="15" t="s">
        <v>788</v>
      </c>
      <c r="F327" s="15" t="s">
        <v>4335</v>
      </c>
      <c r="G327" s="18" t="s">
        <v>4336</v>
      </c>
      <c r="H327" s="18"/>
      <c r="I327" s="18"/>
      <c r="J327" s="18"/>
    </row>
    <row r="328" ht="15.75" customHeight="1">
      <c r="A328" s="15" t="s">
        <v>4339</v>
      </c>
      <c r="B328" s="15" t="s">
        <v>60</v>
      </c>
      <c r="C328" s="15" t="s">
        <v>878</v>
      </c>
      <c r="D328" s="56" t="s">
        <v>4343</v>
      </c>
      <c r="E328" s="15" t="s">
        <v>788</v>
      </c>
      <c r="F328" s="15" t="s">
        <v>4345</v>
      </c>
      <c r="G328" s="18" t="s">
        <v>4346</v>
      </c>
      <c r="H328" s="18"/>
      <c r="I328" s="18"/>
      <c r="J328" s="18"/>
    </row>
    <row r="329" ht="15.75" customHeight="1">
      <c r="A329" s="15" t="s">
        <v>4347</v>
      </c>
      <c r="B329" s="15" t="s">
        <v>60</v>
      </c>
      <c r="C329" s="15" t="s">
        <v>1780</v>
      </c>
      <c r="D329" s="56" t="s">
        <v>4348</v>
      </c>
      <c r="E329" s="15" t="s">
        <v>788</v>
      </c>
      <c r="F329" s="15" t="s">
        <v>4349</v>
      </c>
      <c r="G329" s="18" t="s">
        <v>4350</v>
      </c>
      <c r="H329" s="18"/>
      <c r="I329" s="18"/>
      <c r="J329" s="18"/>
    </row>
    <row r="330" ht="15.75" customHeight="1">
      <c r="A330" s="15" t="s">
        <v>4351</v>
      </c>
      <c r="B330" s="15" t="s">
        <v>60</v>
      </c>
      <c r="C330" s="15" t="s">
        <v>424</v>
      </c>
      <c r="D330" s="56" t="s">
        <v>4352</v>
      </c>
      <c r="E330" s="15" t="s">
        <v>788</v>
      </c>
      <c r="F330" s="15" t="s">
        <v>4353</v>
      </c>
      <c r="G330" s="18" t="s">
        <v>4354</v>
      </c>
      <c r="H330" s="18"/>
      <c r="I330" s="18"/>
      <c r="J330" s="18"/>
    </row>
    <row r="331" ht="15.75" customHeight="1">
      <c r="A331" s="15" t="s">
        <v>4355</v>
      </c>
      <c r="B331" s="15" t="s">
        <v>60</v>
      </c>
      <c r="C331" s="15" t="s">
        <v>354</v>
      </c>
      <c r="D331" s="56" t="s">
        <v>4356</v>
      </c>
      <c r="E331" s="15" t="s">
        <v>788</v>
      </c>
      <c r="F331" s="15" t="s">
        <v>4357</v>
      </c>
      <c r="G331" s="18" t="s">
        <v>4358</v>
      </c>
      <c r="H331" s="18"/>
      <c r="I331" s="18"/>
      <c r="J331" s="18"/>
    </row>
    <row r="332" ht="15.75" customHeight="1">
      <c r="A332" s="15" t="s">
        <v>4359</v>
      </c>
      <c r="B332" s="15" t="s">
        <v>60</v>
      </c>
      <c r="C332" s="15" t="s">
        <v>2391</v>
      </c>
      <c r="D332" s="56" t="s">
        <v>4360</v>
      </c>
      <c r="E332" s="15" t="s">
        <v>788</v>
      </c>
      <c r="F332" s="15" t="s">
        <v>4361</v>
      </c>
      <c r="G332" s="18" t="s">
        <v>4362</v>
      </c>
      <c r="H332" s="18"/>
      <c r="I332" s="18"/>
      <c r="J332" s="18"/>
    </row>
    <row r="333" ht="15.75" customHeight="1">
      <c r="A333" s="15" t="s">
        <v>4363</v>
      </c>
      <c r="B333" s="15" t="s">
        <v>60</v>
      </c>
      <c r="C333" s="15" t="s">
        <v>1818</v>
      </c>
      <c r="D333" s="56" t="s">
        <v>4364</v>
      </c>
      <c r="E333" s="15" t="s">
        <v>788</v>
      </c>
      <c r="F333" s="15" t="s">
        <v>4365</v>
      </c>
      <c r="G333" s="18" t="s">
        <v>4366</v>
      </c>
      <c r="H333" s="18"/>
      <c r="I333" s="18"/>
      <c r="J333" s="18"/>
    </row>
    <row r="334" ht="15.75" customHeight="1">
      <c r="A334" s="15" t="s">
        <v>4368</v>
      </c>
      <c r="B334" s="15" t="s">
        <v>60</v>
      </c>
      <c r="C334" s="15" t="s">
        <v>842</v>
      </c>
      <c r="D334" s="56" t="s">
        <v>4371</v>
      </c>
      <c r="E334" s="15" t="s">
        <v>788</v>
      </c>
      <c r="F334" s="15" t="s">
        <v>4375</v>
      </c>
      <c r="G334" s="18" t="s">
        <v>4376</v>
      </c>
      <c r="H334" s="18"/>
      <c r="I334" s="18"/>
      <c r="J334" s="18"/>
    </row>
    <row r="335" ht="15.75" customHeight="1">
      <c r="A335" s="15" t="s">
        <v>4377</v>
      </c>
      <c r="B335" s="15" t="s">
        <v>60</v>
      </c>
      <c r="C335" s="15" t="s">
        <v>85</v>
      </c>
      <c r="D335" s="56" t="s">
        <v>4378</v>
      </c>
      <c r="E335" s="15" t="s">
        <v>788</v>
      </c>
      <c r="F335" s="15" t="s">
        <v>4379</v>
      </c>
      <c r="G335" s="18" t="s">
        <v>4380</v>
      </c>
      <c r="H335" s="18"/>
      <c r="I335" s="18"/>
      <c r="J335" s="18"/>
    </row>
    <row r="336" ht="15.75" customHeight="1">
      <c r="A336" s="15" t="s">
        <v>4381</v>
      </c>
      <c r="B336" s="15" t="s">
        <v>60</v>
      </c>
      <c r="C336" s="15" t="s">
        <v>2545</v>
      </c>
      <c r="D336" s="56" t="s">
        <v>4382</v>
      </c>
      <c r="E336" s="15" t="s">
        <v>788</v>
      </c>
      <c r="F336" s="15" t="s">
        <v>4383</v>
      </c>
      <c r="G336" s="18" t="s">
        <v>4384</v>
      </c>
      <c r="H336" s="18"/>
      <c r="I336" s="18"/>
      <c r="J336" s="18"/>
    </row>
    <row r="337" ht="15.75" customHeight="1">
      <c r="A337" s="15" t="s">
        <v>4385</v>
      </c>
      <c r="B337" s="15" t="s">
        <v>60</v>
      </c>
      <c r="C337" s="15" t="s">
        <v>447</v>
      </c>
      <c r="D337" s="56" t="s">
        <v>4386</v>
      </c>
      <c r="E337" s="15" t="s">
        <v>788</v>
      </c>
      <c r="F337" s="15" t="s">
        <v>4387</v>
      </c>
      <c r="G337" s="18" t="s">
        <v>4388</v>
      </c>
      <c r="H337" s="18"/>
      <c r="I337" s="18"/>
      <c r="J337" s="18"/>
    </row>
    <row r="338" ht="15.75" customHeight="1">
      <c r="A338" s="15" t="s">
        <v>4389</v>
      </c>
      <c r="B338" s="15" t="s">
        <v>60</v>
      </c>
      <c r="C338" s="15" t="s">
        <v>264</v>
      </c>
      <c r="D338" s="56" t="s">
        <v>4390</v>
      </c>
      <c r="E338" s="15" t="s">
        <v>788</v>
      </c>
      <c r="F338" s="15" t="s">
        <v>4391</v>
      </c>
      <c r="G338" s="18" t="s">
        <v>4392</v>
      </c>
      <c r="H338" s="18"/>
      <c r="I338" s="18"/>
      <c r="J338" s="18"/>
    </row>
    <row r="339" ht="15.75" customHeight="1">
      <c r="A339" s="15" t="s">
        <v>4393</v>
      </c>
      <c r="B339" s="15" t="s">
        <v>60</v>
      </c>
      <c r="C339" s="15" t="s">
        <v>570</v>
      </c>
      <c r="D339" s="56" t="s">
        <v>4394</v>
      </c>
      <c r="E339" s="15" t="s">
        <v>788</v>
      </c>
      <c r="F339" s="15" t="s">
        <v>4396</v>
      </c>
      <c r="G339" s="18" t="s">
        <v>4398</v>
      </c>
      <c r="H339" s="18"/>
      <c r="I339" s="18"/>
      <c r="J339" s="18"/>
    </row>
    <row r="340" ht="15.75" customHeight="1">
      <c r="A340" s="15" t="s">
        <v>4403</v>
      </c>
      <c r="B340" s="15" t="s">
        <v>60</v>
      </c>
      <c r="C340" s="15" t="s">
        <v>842</v>
      </c>
      <c r="D340" s="56" t="s">
        <v>4404</v>
      </c>
      <c r="E340" s="15" t="s">
        <v>788</v>
      </c>
      <c r="F340" s="15" t="s">
        <v>4405</v>
      </c>
      <c r="G340" s="18" t="s">
        <v>4406</v>
      </c>
      <c r="H340" s="18"/>
      <c r="I340" s="18"/>
      <c r="J340" s="18"/>
    </row>
    <row r="341" ht="15.75" customHeight="1">
      <c r="A341" s="15" t="s">
        <v>4407</v>
      </c>
      <c r="B341" s="15" t="s">
        <v>60</v>
      </c>
      <c r="C341" s="15" t="s">
        <v>1312</v>
      </c>
      <c r="D341" s="56" t="s">
        <v>4408</v>
      </c>
      <c r="E341" s="15" t="s">
        <v>788</v>
      </c>
      <c r="F341" s="15" t="s">
        <v>4409</v>
      </c>
      <c r="G341" s="18" t="s">
        <v>4410</v>
      </c>
      <c r="H341" s="18"/>
      <c r="I341" s="18"/>
      <c r="J341" s="18"/>
    </row>
    <row r="342" ht="15.75" customHeight="1">
      <c r="A342" s="15" t="s">
        <v>4411</v>
      </c>
      <c r="B342" s="15" t="s">
        <v>60</v>
      </c>
      <c r="C342" s="15" t="s">
        <v>236</v>
      </c>
      <c r="D342" s="56" t="s">
        <v>4412</v>
      </c>
      <c r="E342" s="15" t="s">
        <v>788</v>
      </c>
      <c r="F342" s="15" t="s">
        <v>4413</v>
      </c>
      <c r="G342" s="18" t="s">
        <v>4414</v>
      </c>
      <c r="H342" s="18"/>
      <c r="I342" s="18"/>
      <c r="J342" s="18"/>
    </row>
    <row r="343" ht="15.75" customHeight="1">
      <c r="A343" s="15" t="s">
        <v>4415</v>
      </c>
      <c r="B343" s="15" t="s">
        <v>60</v>
      </c>
      <c r="C343" s="15" t="s">
        <v>1155</v>
      </c>
      <c r="D343" s="56" t="s">
        <v>4416</v>
      </c>
      <c r="E343" s="15" t="s">
        <v>788</v>
      </c>
      <c r="F343" s="15" t="s">
        <v>4417</v>
      </c>
      <c r="G343" s="18" t="s">
        <v>4418</v>
      </c>
      <c r="H343" s="18"/>
      <c r="I343" s="18"/>
      <c r="J343" s="18"/>
    </row>
    <row r="344" ht="15.75" customHeight="1">
      <c r="A344" s="15" t="s">
        <v>4419</v>
      </c>
      <c r="B344" s="15" t="s">
        <v>60</v>
      </c>
      <c r="C344" s="15" t="s">
        <v>1165</v>
      </c>
      <c r="D344" s="56" t="s">
        <v>4420</v>
      </c>
      <c r="E344" s="15" t="s">
        <v>788</v>
      </c>
      <c r="F344" s="15" t="s">
        <v>4421</v>
      </c>
      <c r="G344" s="18" t="s">
        <v>4422</v>
      </c>
      <c r="H344" s="18"/>
      <c r="I344" s="18"/>
      <c r="J344" s="18"/>
    </row>
    <row r="345" ht="15.75" customHeight="1">
      <c r="A345" s="15" t="s">
        <v>4423</v>
      </c>
      <c r="B345" s="15" t="s">
        <v>60</v>
      </c>
      <c r="C345" s="15" t="s">
        <v>264</v>
      </c>
      <c r="D345" s="56" t="s">
        <v>4424</v>
      </c>
      <c r="E345" s="15" t="s">
        <v>788</v>
      </c>
      <c r="F345" s="15" t="s">
        <v>4425</v>
      </c>
      <c r="G345" s="18" t="s">
        <v>4426</v>
      </c>
      <c r="H345" s="18"/>
      <c r="I345" s="18"/>
      <c r="J345" s="18"/>
    </row>
    <row r="346" ht="15.75" customHeight="1">
      <c r="A346" s="15" t="s">
        <v>4427</v>
      </c>
      <c r="B346" s="15" t="s">
        <v>60</v>
      </c>
      <c r="C346" s="15" t="s">
        <v>842</v>
      </c>
      <c r="D346" s="56" t="s">
        <v>4429</v>
      </c>
      <c r="E346" s="15" t="s">
        <v>788</v>
      </c>
      <c r="F346" s="15" t="s">
        <v>4431</v>
      </c>
      <c r="G346" s="18" t="s">
        <v>4432</v>
      </c>
      <c r="H346" s="18"/>
      <c r="I346" s="18"/>
      <c r="J346" s="18"/>
    </row>
    <row r="347" ht="15.75" customHeight="1">
      <c r="A347" s="15" t="s">
        <v>4433</v>
      </c>
      <c r="B347" s="15" t="s">
        <v>60</v>
      </c>
      <c r="C347" s="15" t="s">
        <v>264</v>
      </c>
      <c r="D347" s="56" t="s">
        <v>4435</v>
      </c>
      <c r="E347" s="15" t="s">
        <v>788</v>
      </c>
      <c r="F347" s="15" t="s">
        <v>4438</v>
      </c>
      <c r="G347" s="18" t="s">
        <v>4440</v>
      </c>
      <c r="H347" s="18"/>
      <c r="I347" s="18"/>
      <c r="J347" s="18"/>
    </row>
    <row r="348" ht="15.75" customHeight="1">
      <c r="A348" s="15" t="s">
        <v>4441</v>
      </c>
      <c r="B348" s="15" t="s">
        <v>60</v>
      </c>
      <c r="C348" s="15" t="s">
        <v>447</v>
      </c>
      <c r="D348" s="56" t="s">
        <v>4442</v>
      </c>
      <c r="E348" s="15" t="s">
        <v>788</v>
      </c>
      <c r="F348" s="15" t="s">
        <v>4443</v>
      </c>
      <c r="G348" s="18" t="s">
        <v>4444</v>
      </c>
      <c r="H348" s="18"/>
      <c r="I348" s="18"/>
      <c r="J348" s="18"/>
    </row>
    <row r="349" ht="15.75" customHeight="1">
      <c r="A349" s="15" t="s">
        <v>4445</v>
      </c>
      <c r="B349" s="15" t="s">
        <v>60</v>
      </c>
      <c r="C349" s="15" t="s">
        <v>245</v>
      </c>
      <c r="D349" s="56" t="s">
        <v>4446</v>
      </c>
      <c r="E349" s="15" t="s">
        <v>788</v>
      </c>
      <c r="F349" s="15" t="s">
        <v>4447</v>
      </c>
      <c r="G349" s="18" t="s">
        <v>4448</v>
      </c>
      <c r="H349" s="18"/>
      <c r="I349" s="18"/>
      <c r="J349" s="18"/>
    </row>
    <row r="350" ht="15.75" customHeight="1">
      <c r="A350" s="15" t="s">
        <v>4449</v>
      </c>
      <c r="B350" s="15" t="s">
        <v>60</v>
      </c>
      <c r="C350" s="15" t="s">
        <v>85</v>
      </c>
      <c r="D350" s="56" t="s">
        <v>4450</v>
      </c>
      <c r="E350" s="15" t="s">
        <v>788</v>
      </c>
      <c r="F350" s="15" t="s">
        <v>4451</v>
      </c>
      <c r="G350" s="18" t="s">
        <v>4452</v>
      </c>
      <c r="H350" s="18"/>
      <c r="I350" s="18"/>
      <c r="J350" s="18"/>
    </row>
    <row r="351" ht="15.75" customHeight="1">
      <c r="A351" s="15" t="s">
        <v>4453</v>
      </c>
      <c r="B351" s="15" t="s">
        <v>60</v>
      </c>
      <c r="C351" s="15" t="s">
        <v>1139</v>
      </c>
      <c r="D351" s="56" t="s">
        <v>4454</v>
      </c>
      <c r="E351" s="15" t="s">
        <v>788</v>
      </c>
      <c r="F351" s="15" t="s">
        <v>4455</v>
      </c>
      <c r="G351" s="18" t="s">
        <v>4456</v>
      </c>
      <c r="H351" s="18"/>
      <c r="I351" s="18"/>
      <c r="J351" s="18"/>
    </row>
    <row r="352" ht="15.75" customHeight="1">
      <c r="A352" s="15" t="s">
        <v>4457</v>
      </c>
      <c r="B352" s="15" t="s">
        <v>60</v>
      </c>
      <c r="C352" s="15" t="s">
        <v>958</v>
      </c>
      <c r="D352" s="56" t="s">
        <v>4458</v>
      </c>
      <c r="E352" s="15" t="s">
        <v>788</v>
      </c>
      <c r="F352" s="15" t="s">
        <v>4459</v>
      </c>
      <c r="G352" s="18" t="s">
        <v>4460</v>
      </c>
      <c r="H352" s="18"/>
      <c r="I352" s="18"/>
      <c r="J352" s="18"/>
    </row>
    <row r="353" ht="15.75" customHeight="1">
      <c r="A353" s="15" t="s">
        <v>4461</v>
      </c>
      <c r="B353" s="15" t="s">
        <v>60</v>
      </c>
      <c r="C353" s="15" t="s">
        <v>1155</v>
      </c>
      <c r="D353" s="56" t="s">
        <v>4462</v>
      </c>
      <c r="E353" s="15" t="s">
        <v>788</v>
      </c>
      <c r="F353" s="15" t="s">
        <v>4463</v>
      </c>
      <c r="G353" s="18" t="s">
        <v>4464</v>
      </c>
      <c r="H353" s="18"/>
      <c r="I353" s="18"/>
      <c r="J353" s="18"/>
    </row>
    <row r="354" ht="15.75" customHeight="1">
      <c r="A354" s="15" t="s">
        <v>4465</v>
      </c>
      <c r="B354" s="15" t="s">
        <v>60</v>
      </c>
      <c r="C354" s="15" t="s">
        <v>1818</v>
      </c>
      <c r="D354" s="56" t="s">
        <v>4466</v>
      </c>
      <c r="E354" s="15" t="s">
        <v>788</v>
      </c>
      <c r="F354" s="15" t="s">
        <v>4467</v>
      </c>
      <c r="G354" s="18" t="s">
        <v>4468</v>
      </c>
      <c r="H354" s="18"/>
      <c r="I354" s="18"/>
      <c r="J354" s="18"/>
    </row>
    <row r="355" ht="15.75" customHeight="1">
      <c r="A355" s="15" t="s">
        <v>4469</v>
      </c>
      <c r="B355" s="15" t="s">
        <v>60</v>
      </c>
      <c r="C355" s="15" t="s">
        <v>236</v>
      </c>
      <c r="D355" s="56" t="s">
        <v>4470</v>
      </c>
      <c r="E355" s="15" t="s">
        <v>788</v>
      </c>
      <c r="F355" s="15" t="s">
        <v>4471</v>
      </c>
      <c r="G355" s="18" t="s">
        <v>4473</v>
      </c>
      <c r="H355" s="18"/>
      <c r="I355" s="18"/>
      <c r="J355" s="18"/>
    </row>
    <row r="356" ht="15.75" customHeight="1">
      <c r="A356" s="15" t="s">
        <v>4476</v>
      </c>
      <c r="B356" s="15" t="s">
        <v>60</v>
      </c>
      <c r="C356" s="15" t="s">
        <v>413</v>
      </c>
      <c r="D356" s="56" t="s">
        <v>4479</v>
      </c>
      <c r="E356" s="15" t="s">
        <v>788</v>
      </c>
      <c r="F356" s="15" t="s">
        <v>4481</v>
      </c>
      <c r="G356" s="18" t="s">
        <v>4482</v>
      </c>
      <c r="H356" s="18"/>
      <c r="I356" s="18"/>
      <c r="J356" s="18"/>
    </row>
    <row r="357" ht="15.75" customHeight="1">
      <c r="A357" s="15" t="s">
        <v>4483</v>
      </c>
      <c r="B357" s="15" t="s">
        <v>60</v>
      </c>
      <c r="C357" s="15" t="s">
        <v>1780</v>
      </c>
      <c r="D357" s="56" t="s">
        <v>4484</v>
      </c>
      <c r="E357" s="15" t="s">
        <v>788</v>
      </c>
      <c r="F357" s="15" t="s">
        <v>4485</v>
      </c>
      <c r="G357" s="18" t="s">
        <v>4486</v>
      </c>
      <c r="H357" s="18"/>
      <c r="I357" s="18"/>
      <c r="J357" s="18"/>
    </row>
    <row r="358" ht="15.75" customHeight="1">
      <c r="A358" s="15" t="s">
        <v>4487</v>
      </c>
      <c r="B358" s="15" t="s">
        <v>60</v>
      </c>
      <c r="C358" s="15" t="s">
        <v>85</v>
      </c>
      <c r="D358" s="56" t="s">
        <v>4488</v>
      </c>
      <c r="E358" s="15" t="s">
        <v>788</v>
      </c>
      <c r="F358" s="15" t="s">
        <v>4489</v>
      </c>
      <c r="G358" s="18" t="s">
        <v>4490</v>
      </c>
      <c r="H358" s="18"/>
      <c r="I358" s="18"/>
      <c r="J358" s="18"/>
    </row>
    <row r="359" ht="15.75" customHeight="1">
      <c r="A359" s="15" t="s">
        <v>4491</v>
      </c>
      <c r="B359" s="15" t="s">
        <v>60</v>
      </c>
      <c r="C359" s="15" t="s">
        <v>424</v>
      </c>
      <c r="D359" s="56" t="s">
        <v>4492</v>
      </c>
      <c r="E359" s="15" t="s">
        <v>788</v>
      </c>
      <c r="F359" s="15" t="s">
        <v>4493</v>
      </c>
      <c r="G359" s="18" t="s">
        <v>4494</v>
      </c>
      <c r="H359" s="18"/>
      <c r="I359" s="18"/>
      <c r="J359" s="18"/>
    </row>
    <row r="360" ht="15.75" customHeight="1">
      <c r="A360" s="15" t="s">
        <v>4495</v>
      </c>
      <c r="B360" s="15" t="s">
        <v>60</v>
      </c>
      <c r="C360" s="15" t="s">
        <v>224</v>
      </c>
      <c r="D360" s="56" t="s">
        <v>4496</v>
      </c>
      <c r="E360" s="15" t="s">
        <v>788</v>
      </c>
      <c r="F360" s="15" t="s">
        <v>4497</v>
      </c>
      <c r="G360" s="18" t="s">
        <v>4498</v>
      </c>
      <c r="H360" s="18"/>
      <c r="I360" s="18"/>
      <c r="J360" s="18"/>
    </row>
    <row r="361" ht="15.75" customHeight="1">
      <c r="A361" s="15" t="s">
        <v>4499</v>
      </c>
      <c r="B361" s="15" t="s">
        <v>60</v>
      </c>
      <c r="C361" s="15" t="s">
        <v>1312</v>
      </c>
      <c r="D361" s="56" t="s">
        <v>4500</v>
      </c>
      <c r="E361" s="15" t="s">
        <v>788</v>
      </c>
      <c r="F361" s="15" t="s">
        <v>4501</v>
      </c>
      <c r="G361" s="18" t="s">
        <v>4502</v>
      </c>
      <c r="H361" s="18"/>
      <c r="I361" s="18"/>
      <c r="J361" s="18"/>
    </row>
    <row r="362" ht="15.75" customHeight="1">
      <c r="A362" s="15" t="s">
        <v>4503</v>
      </c>
      <c r="B362" s="15" t="s">
        <v>60</v>
      </c>
      <c r="C362" s="15" t="s">
        <v>413</v>
      </c>
      <c r="D362" s="56" t="s">
        <v>4504</v>
      </c>
      <c r="E362" s="15" t="s">
        <v>788</v>
      </c>
      <c r="F362" s="15" t="s">
        <v>4505</v>
      </c>
      <c r="G362" s="18" t="s">
        <v>4506</v>
      </c>
      <c r="H362" s="18"/>
      <c r="I362" s="18"/>
      <c r="J362" s="18"/>
    </row>
    <row r="363" ht="15.75" customHeight="1">
      <c r="A363" s="15" t="s">
        <v>4507</v>
      </c>
      <c r="B363" s="15" t="s">
        <v>60</v>
      </c>
      <c r="C363" s="15" t="s">
        <v>264</v>
      </c>
      <c r="D363" s="56" t="s">
        <v>4508</v>
      </c>
      <c r="E363" s="15" t="s">
        <v>788</v>
      </c>
      <c r="F363" s="15" t="s">
        <v>4509</v>
      </c>
      <c r="G363" s="18" t="s">
        <v>4510</v>
      </c>
      <c r="H363" s="18"/>
      <c r="I363" s="18"/>
      <c r="J363" s="18"/>
    </row>
    <row r="364" ht="15.75" customHeight="1">
      <c r="A364" s="15" t="s">
        <v>4511</v>
      </c>
      <c r="B364" s="15" t="s">
        <v>60</v>
      </c>
      <c r="C364" s="15" t="s">
        <v>413</v>
      </c>
      <c r="D364" s="56" t="s">
        <v>4514</v>
      </c>
      <c r="E364" s="15" t="s">
        <v>788</v>
      </c>
      <c r="F364" s="15" t="s">
        <v>4516</v>
      </c>
      <c r="G364" s="18" t="s">
        <v>4518</v>
      </c>
      <c r="H364" s="18"/>
      <c r="I364" s="18"/>
      <c r="J364" s="18"/>
    </row>
    <row r="365" ht="15.75" customHeight="1">
      <c r="A365" s="15" t="s">
        <v>4521</v>
      </c>
      <c r="B365" s="15" t="s">
        <v>60</v>
      </c>
      <c r="C365" s="15" t="s">
        <v>958</v>
      </c>
      <c r="D365" s="56" t="s">
        <v>4522</v>
      </c>
      <c r="E365" s="15" t="s">
        <v>788</v>
      </c>
      <c r="F365" s="15" t="s">
        <v>4523</v>
      </c>
      <c r="G365" s="18" t="s">
        <v>4524</v>
      </c>
      <c r="H365" s="18"/>
      <c r="I365" s="18"/>
      <c r="J365" s="18"/>
    </row>
    <row r="366" ht="15.75" customHeight="1">
      <c r="A366" s="15" t="s">
        <v>4525</v>
      </c>
      <c r="B366" s="15" t="s">
        <v>60</v>
      </c>
      <c r="C366" s="15" t="s">
        <v>1155</v>
      </c>
      <c r="D366" s="56" t="s">
        <v>4526</v>
      </c>
      <c r="E366" s="15" t="s">
        <v>788</v>
      </c>
      <c r="F366" s="15" t="s">
        <v>4527</v>
      </c>
      <c r="G366" s="18" t="s">
        <v>4528</v>
      </c>
      <c r="H366" s="18"/>
      <c r="I366" s="18"/>
      <c r="J366" s="18"/>
    </row>
    <row r="367" ht="15.75" customHeight="1">
      <c r="A367" s="15" t="s">
        <v>4529</v>
      </c>
      <c r="B367" s="15" t="s">
        <v>60</v>
      </c>
      <c r="C367" s="15" t="s">
        <v>958</v>
      </c>
      <c r="D367" s="56" t="s">
        <v>4530</v>
      </c>
      <c r="E367" s="15" t="s">
        <v>788</v>
      </c>
      <c r="F367" s="15" t="s">
        <v>4531</v>
      </c>
      <c r="G367" s="18" t="s">
        <v>4532</v>
      </c>
      <c r="H367" s="18"/>
      <c r="I367" s="18"/>
      <c r="J367" s="18"/>
    </row>
    <row r="368" ht="15.75" customHeight="1">
      <c r="A368" s="15" t="s">
        <v>4533</v>
      </c>
      <c r="B368" s="15" t="s">
        <v>60</v>
      </c>
      <c r="C368" s="15" t="s">
        <v>958</v>
      </c>
      <c r="D368" s="56" t="s">
        <v>4534</v>
      </c>
      <c r="E368" s="15" t="s">
        <v>788</v>
      </c>
      <c r="F368" s="15" t="s">
        <v>4535</v>
      </c>
      <c r="G368" s="18" t="s">
        <v>4536</v>
      </c>
      <c r="H368" s="18"/>
      <c r="I368" s="18"/>
      <c r="J368" s="18"/>
    </row>
    <row r="369" ht="15.75" customHeight="1">
      <c r="A369" s="15" t="s">
        <v>4537</v>
      </c>
      <c r="B369" s="15" t="s">
        <v>60</v>
      </c>
      <c r="C369" s="15" t="s">
        <v>3415</v>
      </c>
      <c r="D369" s="56" t="s">
        <v>4538</v>
      </c>
      <c r="E369" s="15" t="s">
        <v>788</v>
      </c>
      <c r="F369" s="15" t="s">
        <v>4539</v>
      </c>
      <c r="G369" s="18" t="s">
        <v>4540</v>
      </c>
      <c r="H369" s="18"/>
      <c r="I369" s="18"/>
      <c r="J369" s="18"/>
    </row>
    <row r="370" ht="15.75" customHeight="1">
      <c r="A370" s="15" t="s">
        <v>4541</v>
      </c>
      <c r="B370" s="15" t="s">
        <v>60</v>
      </c>
      <c r="C370" s="15" t="s">
        <v>1155</v>
      </c>
      <c r="D370" s="56" t="s">
        <v>4542</v>
      </c>
      <c r="E370" s="15" t="s">
        <v>788</v>
      </c>
      <c r="F370" s="15" t="s">
        <v>4543</v>
      </c>
      <c r="G370" s="18" t="s">
        <v>4544</v>
      </c>
      <c r="H370" s="18"/>
      <c r="I370" s="18"/>
      <c r="J370" s="18"/>
    </row>
    <row r="371" ht="15.75" customHeight="1">
      <c r="A371" s="15" t="s">
        <v>4545</v>
      </c>
      <c r="B371" s="15" t="s">
        <v>60</v>
      </c>
      <c r="C371" s="15" t="s">
        <v>958</v>
      </c>
      <c r="D371" s="56" t="s">
        <v>4546</v>
      </c>
      <c r="E371" s="15" t="s">
        <v>788</v>
      </c>
      <c r="F371" s="15" t="s">
        <v>4547</v>
      </c>
      <c r="G371" s="18" t="s">
        <v>4548</v>
      </c>
      <c r="H371" s="18"/>
      <c r="I371" s="18"/>
      <c r="J371" s="18"/>
    </row>
    <row r="372" ht="15.75" customHeight="1">
      <c r="A372" s="15" t="s">
        <v>4549</v>
      </c>
      <c r="B372" s="15" t="s">
        <v>60</v>
      </c>
      <c r="C372" s="15" t="s">
        <v>958</v>
      </c>
      <c r="D372" s="56" t="s">
        <v>4550</v>
      </c>
      <c r="E372" s="15" t="s">
        <v>788</v>
      </c>
      <c r="F372" s="15" t="s">
        <v>4551</v>
      </c>
      <c r="G372" s="18" t="s">
        <v>4553</v>
      </c>
      <c r="H372" s="18"/>
      <c r="I372" s="18"/>
      <c r="J372" s="18"/>
    </row>
    <row r="373" ht="15.75" customHeight="1">
      <c r="A373" s="15" t="s">
        <v>4555</v>
      </c>
      <c r="B373" s="15" t="s">
        <v>60</v>
      </c>
      <c r="C373" s="15" t="s">
        <v>236</v>
      </c>
      <c r="D373" s="56" t="s">
        <v>4559</v>
      </c>
      <c r="E373" s="15" t="s">
        <v>788</v>
      </c>
      <c r="F373" s="15" t="s">
        <v>4561</v>
      </c>
      <c r="G373" s="18" t="s">
        <v>4562</v>
      </c>
      <c r="H373" s="18"/>
      <c r="I373" s="18"/>
      <c r="J373" s="18"/>
    </row>
    <row r="374" ht="15.75" customHeight="1">
      <c r="A374" s="15" t="s">
        <v>4563</v>
      </c>
      <c r="B374" s="15" t="s">
        <v>60</v>
      </c>
      <c r="C374" s="15" t="s">
        <v>2545</v>
      </c>
      <c r="D374" s="56" t="s">
        <v>4564</v>
      </c>
      <c r="E374" s="15" t="s">
        <v>788</v>
      </c>
      <c r="F374" s="15" t="s">
        <v>4565</v>
      </c>
      <c r="G374" s="18" t="s">
        <v>4566</v>
      </c>
      <c r="H374" s="18"/>
      <c r="I374" s="18"/>
      <c r="J374" s="18"/>
    </row>
    <row r="375" ht="15.75" customHeight="1">
      <c r="A375" s="15" t="s">
        <v>4567</v>
      </c>
      <c r="B375" s="15" t="s">
        <v>60</v>
      </c>
      <c r="C375" s="15" t="s">
        <v>1621</v>
      </c>
      <c r="D375" s="56" t="s">
        <v>4568</v>
      </c>
      <c r="E375" s="15" t="s">
        <v>788</v>
      </c>
      <c r="F375" s="15" t="s">
        <v>4569</v>
      </c>
      <c r="G375" s="18" t="s">
        <v>4570</v>
      </c>
      <c r="H375" s="18"/>
      <c r="I375" s="18"/>
      <c r="J375" s="18"/>
    </row>
    <row r="376" ht="15.75" customHeight="1">
      <c r="A376" s="15" t="s">
        <v>4571</v>
      </c>
      <c r="B376" s="15" t="s">
        <v>60</v>
      </c>
      <c r="C376" s="15" t="s">
        <v>1780</v>
      </c>
      <c r="D376" s="56" t="s">
        <v>4572</v>
      </c>
      <c r="E376" s="15" t="s">
        <v>788</v>
      </c>
      <c r="F376" s="15" t="s">
        <v>4573</v>
      </c>
      <c r="G376" s="18" t="s">
        <v>4574</v>
      </c>
      <c r="H376" s="18"/>
      <c r="I376" s="18"/>
      <c r="J376" s="18"/>
    </row>
    <row r="377" ht="15.75" customHeight="1">
      <c r="A377" s="15" t="s">
        <v>4575</v>
      </c>
      <c r="B377" s="15" t="s">
        <v>60</v>
      </c>
      <c r="C377" s="15" t="s">
        <v>570</v>
      </c>
      <c r="D377" s="56" t="s">
        <v>4576</v>
      </c>
      <c r="E377" s="15" t="s">
        <v>788</v>
      </c>
      <c r="F377" s="15" t="s">
        <v>4577</v>
      </c>
      <c r="G377" s="18" t="s">
        <v>4578</v>
      </c>
      <c r="H377" s="18"/>
      <c r="I377" s="18"/>
      <c r="J377" s="18"/>
    </row>
    <row r="378" ht="15.75" customHeight="1">
      <c r="A378" s="15" t="s">
        <v>4579</v>
      </c>
      <c r="B378" s="15" t="s">
        <v>60</v>
      </c>
      <c r="C378" s="15" t="s">
        <v>842</v>
      </c>
      <c r="D378" s="56" t="s">
        <v>4580</v>
      </c>
      <c r="E378" s="15" t="s">
        <v>788</v>
      </c>
      <c r="F378" s="15" t="s">
        <v>4581</v>
      </c>
      <c r="G378" s="18" t="s">
        <v>4582</v>
      </c>
      <c r="H378" s="18"/>
      <c r="I378" s="18"/>
      <c r="J378" s="18"/>
    </row>
    <row r="379" ht="15.75" customHeight="1">
      <c r="A379" s="15" t="s">
        <v>4583</v>
      </c>
      <c r="B379" s="15" t="s">
        <v>60</v>
      </c>
      <c r="C379" s="15" t="s">
        <v>1165</v>
      </c>
      <c r="D379" s="56" t="s">
        <v>4584</v>
      </c>
      <c r="E379" s="15" t="s">
        <v>788</v>
      </c>
      <c r="F379" s="15" t="s">
        <v>4585</v>
      </c>
      <c r="G379" s="18" t="s">
        <v>4586</v>
      </c>
      <c r="H379" s="18"/>
      <c r="I379" s="18"/>
      <c r="J379" s="18"/>
    </row>
    <row r="380" ht="15.75" customHeight="1">
      <c r="A380" s="15" t="s">
        <v>4587</v>
      </c>
      <c r="B380" s="15" t="s">
        <v>60</v>
      </c>
      <c r="C380" s="15" t="s">
        <v>224</v>
      </c>
      <c r="D380" s="56" t="s">
        <v>4588</v>
      </c>
      <c r="E380" s="15" t="s">
        <v>788</v>
      </c>
      <c r="F380" s="15" t="s">
        <v>4589</v>
      </c>
      <c r="G380" s="18" t="s">
        <v>4590</v>
      </c>
      <c r="H380" s="18"/>
      <c r="I380" s="18"/>
      <c r="J380" s="18"/>
    </row>
    <row r="381" ht="15.75" customHeight="1">
      <c r="A381" s="15" t="s">
        <v>4591</v>
      </c>
      <c r="B381" s="15" t="s">
        <v>60</v>
      </c>
      <c r="C381" s="15" t="s">
        <v>447</v>
      </c>
      <c r="D381" s="56" t="s">
        <v>4593</v>
      </c>
      <c r="E381" s="15" t="s">
        <v>788</v>
      </c>
      <c r="F381" s="15" t="s">
        <v>4595</v>
      </c>
      <c r="G381" s="18" t="s">
        <v>4596</v>
      </c>
      <c r="H381" s="18"/>
      <c r="I381" s="18"/>
      <c r="J381" s="18"/>
    </row>
    <row r="382" ht="15.75" customHeight="1">
      <c r="A382" s="15" t="s">
        <v>4600</v>
      </c>
      <c r="B382" s="15" t="s">
        <v>60</v>
      </c>
      <c r="C382" s="15" t="s">
        <v>85</v>
      </c>
      <c r="D382" s="56" t="s">
        <v>4601</v>
      </c>
      <c r="E382" s="15" t="s">
        <v>788</v>
      </c>
      <c r="F382" s="15" t="s">
        <v>4602</v>
      </c>
      <c r="G382" s="18" t="s">
        <v>4603</v>
      </c>
      <c r="H382" s="18"/>
      <c r="I382" s="18"/>
      <c r="J382" s="18"/>
    </row>
    <row r="383" ht="15.75" customHeight="1">
      <c r="A383" s="15" t="s">
        <v>4604</v>
      </c>
      <c r="B383" s="15" t="s">
        <v>60</v>
      </c>
      <c r="C383" s="15" t="s">
        <v>264</v>
      </c>
      <c r="D383" s="56" t="s">
        <v>4605</v>
      </c>
      <c r="E383" s="15" t="s">
        <v>788</v>
      </c>
      <c r="F383" s="15" t="s">
        <v>4606</v>
      </c>
      <c r="G383" s="18" t="s">
        <v>4607</v>
      </c>
      <c r="H383" s="18"/>
      <c r="I383" s="18"/>
      <c r="J383" s="18"/>
    </row>
    <row r="384" ht="15.75" customHeight="1">
      <c r="A384" s="15" t="s">
        <v>4608</v>
      </c>
      <c r="B384" s="15" t="s">
        <v>60</v>
      </c>
      <c r="C384" s="15" t="s">
        <v>224</v>
      </c>
      <c r="D384" s="56" t="s">
        <v>4609</v>
      </c>
      <c r="E384" s="15" t="s">
        <v>788</v>
      </c>
      <c r="F384" s="15" t="s">
        <v>4610</v>
      </c>
      <c r="G384" s="18" t="s">
        <v>4611</v>
      </c>
      <c r="H384" s="18"/>
      <c r="I384" s="18"/>
      <c r="J384" s="18"/>
    </row>
    <row r="385" ht="15.75" customHeight="1">
      <c r="A385" s="15" t="s">
        <v>4612</v>
      </c>
      <c r="B385" s="15" t="s">
        <v>60</v>
      </c>
      <c r="C385" s="15" t="s">
        <v>224</v>
      </c>
      <c r="D385" s="56" t="s">
        <v>4613</v>
      </c>
      <c r="E385" s="15" t="s">
        <v>788</v>
      </c>
      <c r="F385" s="15" t="s">
        <v>4614</v>
      </c>
      <c r="G385" s="18" t="s">
        <v>4615</v>
      </c>
      <c r="H385" s="18"/>
      <c r="I385" s="18"/>
      <c r="J385" s="18"/>
    </row>
    <row r="386" ht="15.75" customHeight="1">
      <c r="A386" s="15" t="s">
        <v>4616</v>
      </c>
      <c r="B386" s="15" t="s">
        <v>60</v>
      </c>
      <c r="C386" s="15" t="s">
        <v>264</v>
      </c>
      <c r="D386" s="56" t="s">
        <v>4617</v>
      </c>
      <c r="E386" s="15" t="s">
        <v>788</v>
      </c>
      <c r="F386" s="15" t="s">
        <v>4618</v>
      </c>
      <c r="G386" s="18" t="s">
        <v>4619</v>
      </c>
      <c r="H386" s="18"/>
      <c r="I386" s="18"/>
      <c r="J386" s="18"/>
    </row>
    <row r="387" ht="15.75" customHeight="1">
      <c r="A387" s="15" t="s">
        <v>4620</v>
      </c>
      <c r="B387" s="15" t="s">
        <v>60</v>
      </c>
      <c r="C387" s="15" t="s">
        <v>2391</v>
      </c>
      <c r="D387" s="56" t="s">
        <v>4621</v>
      </c>
      <c r="E387" s="15" t="s">
        <v>788</v>
      </c>
      <c r="F387" s="15" t="s">
        <v>4622</v>
      </c>
      <c r="G387" s="18" t="s">
        <v>4623</v>
      </c>
      <c r="H387" s="18"/>
      <c r="I387" s="18"/>
      <c r="J387" s="18"/>
    </row>
    <row r="388" ht="15.75" customHeight="1">
      <c r="A388" s="15" t="s">
        <v>4624</v>
      </c>
      <c r="B388" s="15" t="s">
        <v>60</v>
      </c>
      <c r="C388" s="15" t="s">
        <v>958</v>
      </c>
      <c r="D388" s="56" t="s">
        <v>4625</v>
      </c>
      <c r="E388" s="15" t="s">
        <v>788</v>
      </c>
      <c r="F388" s="15" t="s">
        <v>4627</v>
      </c>
      <c r="G388" s="18" t="s">
        <v>4629</v>
      </c>
      <c r="H388" s="18"/>
      <c r="I388" s="18"/>
      <c r="J388" s="18"/>
    </row>
    <row r="389" ht="15.75" customHeight="1">
      <c r="A389" s="15" t="s">
        <v>4632</v>
      </c>
      <c r="B389" s="15" t="s">
        <v>60</v>
      </c>
      <c r="C389" s="15" t="s">
        <v>224</v>
      </c>
      <c r="D389" s="56" t="s">
        <v>4634</v>
      </c>
      <c r="E389" s="15" t="s">
        <v>788</v>
      </c>
      <c r="F389" s="15" t="s">
        <v>4635</v>
      </c>
      <c r="G389" s="18" t="s">
        <v>4636</v>
      </c>
      <c r="H389" s="18"/>
      <c r="I389" s="18"/>
      <c r="J389" s="18"/>
    </row>
    <row r="390" ht="15.75" customHeight="1">
      <c r="A390" s="15" t="s">
        <v>4637</v>
      </c>
      <c r="B390" s="15" t="s">
        <v>60</v>
      </c>
      <c r="C390" s="15" t="s">
        <v>842</v>
      </c>
      <c r="D390" s="56" t="s">
        <v>4638</v>
      </c>
      <c r="E390" s="15" t="s">
        <v>788</v>
      </c>
      <c r="F390" s="15" t="s">
        <v>4639</v>
      </c>
      <c r="G390" s="18" t="s">
        <v>4640</v>
      </c>
      <c r="H390" s="18"/>
      <c r="I390" s="18"/>
      <c r="J390" s="18"/>
    </row>
    <row r="391" ht="15.75" customHeight="1">
      <c r="A391" s="15" t="s">
        <v>4641</v>
      </c>
      <c r="B391" s="15" t="s">
        <v>60</v>
      </c>
      <c r="C391" s="15" t="s">
        <v>570</v>
      </c>
      <c r="D391" s="56" t="s">
        <v>4642</v>
      </c>
      <c r="E391" s="15" t="s">
        <v>788</v>
      </c>
      <c r="F391" s="15" t="s">
        <v>4643</v>
      </c>
      <c r="G391" s="18" t="s">
        <v>4644</v>
      </c>
      <c r="H391" s="18"/>
      <c r="I391" s="18"/>
      <c r="J391" s="18"/>
    </row>
    <row r="392" ht="15.75" customHeight="1">
      <c r="A392" s="15" t="s">
        <v>4645</v>
      </c>
      <c r="B392" s="15" t="s">
        <v>60</v>
      </c>
      <c r="C392" s="15" t="s">
        <v>958</v>
      </c>
      <c r="D392" s="56" t="s">
        <v>4646</v>
      </c>
      <c r="E392" s="15" t="s">
        <v>788</v>
      </c>
      <c r="F392" s="15" t="s">
        <v>4647</v>
      </c>
      <c r="G392" s="18" t="s">
        <v>4648</v>
      </c>
      <c r="H392" s="18"/>
      <c r="I392" s="18"/>
      <c r="J392" s="18"/>
    </row>
    <row r="393" ht="15.75" customHeight="1">
      <c r="A393" s="15" t="s">
        <v>4649</v>
      </c>
      <c r="B393" s="15" t="s">
        <v>60</v>
      </c>
      <c r="C393" s="15" t="s">
        <v>264</v>
      </c>
      <c r="D393" s="56" t="s">
        <v>4650</v>
      </c>
      <c r="E393" s="15" t="s">
        <v>788</v>
      </c>
      <c r="F393" s="15" t="s">
        <v>4651</v>
      </c>
      <c r="G393" s="18" t="s">
        <v>4652</v>
      </c>
      <c r="H393" s="18"/>
      <c r="I393" s="18"/>
      <c r="J393" s="18"/>
    </row>
    <row r="394" ht="15.75" customHeight="1">
      <c r="A394" s="15" t="s">
        <v>4653</v>
      </c>
      <c r="B394" s="15" t="s">
        <v>60</v>
      </c>
      <c r="C394" s="15" t="s">
        <v>958</v>
      </c>
      <c r="D394" s="56" t="s">
        <v>4654</v>
      </c>
      <c r="E394" s="15" t="s">
        <v>788</v>
      </c>
      <c r="F394" s="15" t="s">
        <v>4655</v>
      </c>
      <c r="G394" s="18" t="s">
        <v>4656</v>
      </c>
      <c r="H394" s="18"/>
      <c r="I394" s="18"/>
      <c r="J394" s="18"/>
    </row>
    <row r="395" ht="15.75" customHeight="1">
      <c r="A395" s="15" t="s">
        <v>4657</v>
      </c>
      <c r="B395" s="15" t="s">
        <v>60</v>
      </c>
      <c r="C395" s="15" t="s">
        <v>413</v>
      </c>
      <c r="D395" s="56" t="s">
        <v>4658</v>
      </c>
      <c r="E395" s="15" t="s">
        <v>788</v>
      </c>
      <c r="F395" s="15" t="s">
        <v>4659</v>
      </c>
      <c r="G395" s="18" t="s">
        <v>4660</v>
      </c>
      <c r="H395" s="18"/>
      <c r="I395" s="18"/>
      <c r="J395" s="18"/>
    </row>
    <row r="396" ht="15.75" customHeight="1">
      <c r="A396" s="15" t="s">
        <v>4661</v>
      </c>
      <c r="B396" s="15" t="s">
        <v>60</v>
      </c>
      <c r="C396" s="15" t="s">
        <v>264</v>
      </c>
      <c r="D396" s="56" t="s">
        <v>4662</v>
      </c>
      <c r="E396" s="15" t="s">
        <v>788</v>
      </c>
      <c r="F396" s="15" t="s">
        <v>4663</v>
      </c>
      <c r="G396" s="18" t="s">
        <v>4664</v>
      </c>
      <c r="H396" s="18"/>
      <c r="I396" s="18"/>
      <c r="J396" s="18"/>
    </row>
    <row r="397" ht="15.75" customHeight="1">
      <c r="A397" s="15" t="s">
        <v>4666</v>
      </c>
      <c r="B397" s="15" t="s">
        <v>60</v>
      </c>
      <c r="C397" s="15" t="s">
        <v>264</v>
      </c>
      <c r="D397" s="56" t="s">
        <v>4668</v>
      </c>
      <c r="E397" s="15" t="s">
        <v>788</v>
      </c>
      <c r="F397" s="15" t="s">
        <v>4671</v>
      </c>
      <c r="G397" s="18" t="s">
        <v>4673</v>
      </c>
      <c r="H397" s="18"/>
      <c r="I397" s="18"/>
      <c r="J397" s="18"/>
    </row>
    <row r="398" ht="15.75" customHeight="1">
      <c r="A398" s="15" t="s">
        <v>4675</v>
      </c>
      <c r="B398" s="15" t="s">
        <v>60</v>
      </c>
      <c r="C398" s="15" t="s">
        <v>1687</v>
      </c>
      <c r="D398" s="56" t="s">
        <v>4676</v>
      </c>
      <c r="E398" s="15" t="s">
        <v>788</v>
      </c>
      <c r="F398" s="15" t="s">
        <v>4677</v>
      </c>
      <c r="G398" s="18" t="s">
        <v>4678</v>
      </c>
      <c r="H398" s="18"/>
      <c r="I398" s="18"/>
      <c r="J398" s="18"/>
    </row>
    <row r="399" ht="15.75" customHeight="1">
      <c r="A399" s="15" t="s">
        <v>4679</v>
      </c>
      <c r="B399" s="15" t="s">
        <v>60</v>
      </c>
      <c r="C399" s="15" t="s">
        <v>2202</v>
      </c>
      <c r="D399" s="56" t="s">
        <v>4680</v>
      </c>
      <c r="E399" s="15" t="s">
        <v>788</v>
      </c>
      <c r="F399" s="15" t="s">
        <v>4681</v>
      </c>
      <c r="G399" s="18" t="s">
        <v>4682</v>
      </c>
      <c r="H399" s="18"/>
      <c r="I399" s="18"/>
      <c r="J399" s="18"/>
    </row>
    <row r="400" ht="15.75" customHeight="1">
      <c r="A400" s="15" t="s">
        <v>4683</v>
      </c>
      <c r="B400" s="15" t="s">
        <v>60</v>
      </c>
      <c r="C400" s="15" t="s">
        <v>570</v>
      </c>
      <c r="D400" s="56" t="s">
        <v>4684</v>
      </c>
      <c r="E400" s="15" t="s">
        <v>788</v>
      </c>
      <c r="F400" s="15" t="s">
        <v>4685</v>
      </c>
      <c r="G400" s="18" t="s">
        <v>4686</v>
      </c>
      <c r="H400" s="18"/>
      <c r="I400" s="18"/>
      <c r="J400" s="18"/>
    </row>
    <row r="401" ht="15.75" customHeight="1">
      <c r="A401" s="15" t="s">
        <v>4687</v>
      </c>
      <c r="B401" s="15" t="s">
        <v>60</v>
      </c>
      <c r="C401" s="15" t="s">
        <v>245</v>
      </c>
      <c r="D401" s="56" t="s">
        <v>4688</v>
      </c>
      <c r="E401" s="15" t="s">
        <v>788</v>
      </c>
      <c r="F401" s="15" t="s">
        <v>4689</v>
      </c>
      <c r="G401" s="18" t="s">
        <v>4690</v>
      </c>
      <c r="H401" s="18"/>
      <c r="I401" s="18"/>
      <c r="J401" s="18"/>
    </row>
    <row r="402" ht="15.75" customHeight="1">
      <c r="A402" s="15" t="s">
        <v>4691</v>
      </c>
      <c r="B402" s="15" t="s">
        <v>60</v>
      </c>
      <c r="C402" s="15" t="s">
        <v>264</v>
      </c>
      <c r="D402" s="56" t="s">
        <v>4692</v>
      </c>
      <c r="E402" s="15" t="s">
        <v>788</v>
      </c>
      <c r="F402" s="15" t="s">
        <v>4693</v>
      </c>
      <c r="G402" s="18" t="s">
        <v>4694</v>
      </c>
      <c r="H402" s="18"/>
      <c r="I402" s="18"/>
      <c r="J402" s="18"/>
    </row>
    <row r="403" ht="15.75" customHeight="1">
      <c r="A403" s="15" t="s">
        <v>4695</v>
      </c>
      <c r="B403" s="15" t="s">
        <v>60</v>
      </c>
      <c r="C403" s="15" t="s">
        <v>1312</v>
      </c>
      <c r="D403" s="56" t="s">
        <v>4696</v>
      </c>
      <c r="E403" s="15" t="s">
        <v>788</v>
      </c>
      <c r="F403" s="15" t="s">
        <v>4698</v>
      </c>
      <c r="G403" s="18" t="s">
        <v>4700</v>
      </c>
      <c r="H403" s="18"/>
      <c r="I403" s="18"/>
      <c r="J403" s="18"/>
    </row>
    <row r="404" ht="15.75" customHeight="1">
      <c r="A404" s="15" t="s">
        <v>4703</v>
      </c>
      <c r="B404" s="15" t="s">
        <v>60</v>
      </c>
      <c r="C404" s="15" t="s">
        <v>354</v>
      </c>
      <c r="D404" s="56" t="s">
        <v>4706</v>
      </c>
      <c r="E404" s="15" t="s">
        <v>788</v>
      </c>
      <c r="F404" s="15" t="s">
        <v>4708</v>
      </c>
      <c r="G404" s="18" t="s">
        <v>4709</v>
      </c>
      <c r="H404" s="18"/>
      <c r="I404" s="18"/>
      <c r="J404" s="18"/>
    </row>
    <row r="405" ht="15.75" customHeight="1">
      <c r="A405" s="15" t="s">
        <v>4710</v>
      </c>
      <c r="B405" s="15" t="s">
        <v>60</v>
      </c>
      <c r="C405" s="15" t="s">
        <v>1687</v>
      </c>
      <c r="D405" s="56" t="s">
        <v>4711</v>
      </c>
      <c r="E405" s="15" t="s">
        <v>807</v>
      </c>
      <c r="F405" s="15" t="s">
        <v>4712</v>
      </c>
      <c r="G405" s="18" t="s">
        <v>4713</v>
      </c>
      <c r="H405" s="18"/>
      <c r="I405" s="18"/>
      <c r="J405" s="18"/>
    </row>
    <row r="406" ht="15.75" customHeight="1">
      <c r="A406" s="15" t="s">
        <v>4714</v>
      </c>
      <c r="B406" s="15" t="s">
        <v>60</v>
      </c>
      <c r="C406" s="15" t="s">
        <v>842</v>
      </c>
      <c r="D406" s="56" t="s">
        <v>4715</v>
      </c>
      <c r="E406" s="15" t="s">
        <v>807</v>
      </c>
      <c r="F406" s="15" t="s">
        <v>4716</v>
      </c>
      <c r="G406" s="18" t="s">
        <v>4717</v>
      </c>
      <c r="H406" s="18"/>
      <c r="I406" s="18"/>
      <c r="J406" s="18"/>
    </row>
    <row r="407" ht="15.75" customHeight="1">
      <c r="A407" s="15" t="s">
        <v>4718</v>
      </c>
      <c r="B407" s="15" t="s">
        <v>60</v>
      </c>
      <c r="C407" s="15" t="s">
        <v>354</v>
      </c>
      <c r="D407" s="56" t="s">
        <v>4719</v>
      </c>
      <c r="E407" s="15" t="s">
        <v>807</v>
      </c>
      <c r="F407" s="15" t="s">
        <v>4720</v>
      </c>
      <c r="G407" s="18" t="s">
        <v>4721</v>
      </c>
      <c r="H407" s="18"/>
      <c r="I407" s="18"/>
      <c r="J407" s="18"/>
    </row>
    <row r="408" ht="15.75" customHeight="1">
      <c r="A408" s="15" t="s">
        <v>4722</v>
      </c>
      <c r="B408" s="15" t="s">
        <v>60</v>
      </c>
      <c r="C408" s="15" t="s">
        <v>958</v>
      </c>
      <c r="D408" s="56" t="s">
        <v>4723</v>
      </c>
      <c r="E408" s="15" t="s">
        <v>807</v>
      </c>
      <c r="F408" s="15" t="s">
        <v>4724</v>
      </c>
      <c r="G408" s="18" t="s">
        <v>4725</v>
      </c>
      <c r="H408" s="18"/>
      <c r="I408" s="18"/>
      <c r="J408" s="18"/>
    </row>
    <row r="409" ht="15.75" customHeight="1">
      <c r="A409" s="15" t="s">
        <v>4726</v>
      </c>
      <c r="B409" s="15" t="s">
        <v>60</v>
      </c>
      <c r="C409" s="15" t="s">
        <v>842</v>
      </c>
      <c r="D409" s="56" t="s">
        <v>4727</v>
      </c>
      <c r="E409" s="15" t="s">
        <v>807</v>
      </c>
      <c r="F409" s="15" t="s">
        <v>4728</v>
      </c>
      <c r="G409" s="18" t="s">
        <v>4729</v>
      </c>
      <c r="H409" s="18"/>
      <c r="I409" s="18"/>
      <c r="J409" s="18"/>
    </row>
    <row r="410" ht="15.75" customHeight="1">
      <c r="A410" s="15" t="s">
        <v>4730</v>
      </c>
      <c r="B410" s="15" t="s">
        <v>60</v>
      </c>
      <c r="C410" s="15" t="s">
        <v>1139</v>
      </c>
      <c r="D410" s="56" t="s">
        <v>4731</v>
      </c>
      <c r="E410" s="15" t="s">
        <v>807</v>
      </c>
      <c r="F410" s="15" t="s">
        <v>4732</v>
      </c>
      <c r="G410" s="18" t="s">
        <v>4733</v>
      </c>
      <c r="H410" s="18"/>
      <c r="I410" s="18"/>
      <c r="J410" s="18"/>
    </row>
    <row r="411" ht="15.75" customHeight="1">
      <c r="A411" s="15" t="s">
        <v>4734</v>
      </c>
      <c r="B411" s="15" t="s">
        <v>60</v>
      </c>
      <c r="C411" s="15" t="s">
        <v>236</v>
      </c>
      <c r="D411" s="56" t="s">
        <v>4735</v>
      </c>
      <c r="E411" s="15" t="s">
        <v>807</v>
      </c>
      <c r="F411" s="15" t="s">
        <v>4736</v>
      </c>
      <c r="G411" s="18" t="s">
        <v>4737</v>
      </c>
      <c r="H411" s="18"/>
      <c r="I411" s="18"/>
      <c r="J411" s="18"/>
    </row>
    <row r="412" ht="15.75" customHeight="1">
      <c r="A412" s="15" t="s">
        <v>4738</v>
      </c>
      <c r="B412" s="15" t="s">
        <v>60</v>
      </c>
      <c r="C412" s="15" t="s">
        <v>413</v>
      </c>
      <c r="D412" s="56" t="s">
        <v>4740</v>
      </c>
      <c r="E412" s="15" t="s">
        <v>807</v>
      </c>
      <c r="F412" s="15" t="s">
        <v>4742</v>
      </c>
      <c r="G412" s="18" t="s">
        <v>4744</v>
      </c>
      <c r="H412" s="18"/>
      <c r="I412" s="18"/>
      <c r="J412" s="18"/>
    </row>
    <row r="413" ht="15.75" customHeight="1">
      <c r="A413" s="15" t="s">
        <v>4747</v>
      </c>
      <c r="B413" s="15" t="s">
        <v>60</v>
      </c>
      <c r="C413" s="15" t="s">
        <v>264</v>
      </c>
      <c r="D413" s="56" t="s">
        <v>4748</v>
      </c>
      <c r="E413" s="15" t="s">
        <v>807</v>
      </c>
      <c r="F413" s="15" t="s">
        <v>4749</v>
      </c>
      <c r="G413" s="18" t="s">
        <v>4750</v>
      </c>
      <c r="H413" s="18"/>
      <c r="I413" s="18"/>
      <c r="J413" s="18"/>
    </row>
    <row r="414" ht="15.75" customHeight="1">
      <c r="A414" s="15" t="s">
        <v>4751</v>
      </c>
      <c r="B414" s="15" t="s">
        <v>60</v>
      </c>
      <c r="C414" s="15" t="s">
        <v>958</v>
      </c>
      <c r="D414" s="56" t="s">
        <v>4752</v>
      </c>
      <c r="E414" s="15" t="s">
        <v>807</v>
      </c>
      <c r="F414" s="15" t="s">
        <v>4753</v>
      </c>
      <c r="G414" s="18" t="s">
        <v>4754</v>
      </c>
      <c r="H414" s="18"/>
      <c r="I414" s="18"/>
      <c r="J414" s="18"/>
    </row>
    <row r="415" ht="15.75" customHeight="1">
      <c r="A415" s="15" t="s">
        <v>4755</v>
      </c>
      <c r="B415" s="15" t="s">
        <v>60</v>
      </c>
      <c r="C415" s="15" t="s">
        <v>85</v>
      </c>
      <c r="D415" s="56" t="s">
        <v>4756</v>
      </c>
      <c r="E415" s="15" t="s">
        <v>807</v>
      </c>
      <c r="F415" s="15" t="s">
        <v>4757</v>
      </c>
      <c r="G415" s="18" t="s">
        <v>4758</v>
      </c>
      <c r="H415" s="18"/>
      <c r="I415" s="18"/>
      <c r="J415" s="18"/>
    </row>
    <row r="416" ht="15.75" customHeight="1">
      <c r="A416" s="15" t="s">
        <v>4759</v>
      </c>
      <c r="B416" s="15" t="s">
        <v>60</v>
      </c>
      <c r="C416" s="15" t="s">
        <v>224</v>
      </c>
      <c r="D416" s="56" t="s">
        <v>4760</v>
      </c>
      <c r="E416" s="15" t="s">
        <v>807</v>
      </c>
      <c r="F416" s="15" t="s">
        <v>4761</v>
      </c>
      <c r="G416" s="18" t="s">
        <v>4762</v>
      </c>
      <c r="H416" s="18"/>
      <c r="I416" s="18"/>
      <c r="J416" s="18"/>
    </row>
    <row r="417" ht="15.75" customHeight="1">
      <c r="A417" s="15" t="s">
        <v>4763</v>
      </c>
      <c r="B417" s="15" t="s">
        <v>60</v>
      </c>
      <c r="C417" s="15" t="s">
        <v>85</v>
      </c>
      <c r="D417" s="56" t="s">
        <v>4764</v>
      </c>
      <c r="E417" s="15" t="s">
        <v>807</v>
      </c>
      <c r="F417" s="15" t="s">
        <v>4765</v>
      </c>
      <c r="G417" s="18" t="s">
        <v>4766</v>
      </c>
      <c r="H417" s="18"/>
      <c r="I417" s="18"/>
      <c r="J417" s="18"/>
    </row>
    <row r="418" ht="15.75" customHeight="1">
      <c r="A418" s="15" t="s">
        <v>4767</v>
      </c>
      <c r="B418" s="15" t="s">
        <v>60</v>
      </c>
      <c r="C418" s="15" t="s">
        <v>413</v>
      </c>
      <c r="D418" s="56" t="s">
        <v>4768</v>
      </c>
      <c r="E418" s="15" t="s">
        <v>807</v>
      </c>
      <c r="F418" s="15" t="s">
        <v>4769</v>
      </c>
      <c r="G418" s="18" t="s">
        <v>4770</v>
      </c>
      <c r="H418" s="18"/>
      <c r="I418" s="18"/>
      <c r="J418" s="18"/>
    </row>
    <row r="419" ht="15.75" customHeight="1">
      <c r="A419" s="15" t="s">
        <v>4771</v>
      </c>
      <c r="B419" s="15" t="s">
        <v>60</v>
      </c>
      <c r="C419" s="15" t="s">
        <v>413</v>
      </c>
      <c r="D419" s="56" t="s">
        <v>4772</v>
      </c>
      <c r="E419" s="15" t="s">
        <v>807</v>
      </c>
      <c r="F419" s="15" t="s">
        <v>4773</v>
      </c>
      <c r="G419" s="18" t="s">
        <v>4774</v>
      </c>
      <c r="H419" s="18"/>
      <c r="I419" s="18"/>
      <c r="J419" s="18"/>
    </row>
    <row r="420" ht="15.75" customHeight="1">
      <c r="A420" s="15" t="s">
        <v>4775</v>
      </c>
      <c r="B420" s="15" t="s">
        <v>60</v>
      </c>
      <c r="C420" s="15" t="s">
        <v>354</v>
      </c>
      <c r="D420" s="56" t="s">
        <v>4776</v>
      </c>
      <c r="E420" s="15" t="s">
        <v>807</v>
      </c>
      <c r="F420" s="15" t="s">
        <v>4777</v>
      </c>
      <c r="G420" s="18" t="s">
        <v>4778</v>
      </c>
      <c r="H420" s="18"/>
      <c r="I420" s="18"/>
      <c r="J420" s="18"/>
    </row>
    <row r="421" ht="15.75" customHeight="1">
      <c r="A421" s="15" t="s">
        <v>4781</v>
      </c>
      <c r="B421" s="15" t="s">
        <v>60</v>
      </c>
      <c r="C421" s="15" t="s">
        <v>570</v>
      </c>
      <c r="D421" s="56" t="s">
        <v>4784</v>
      </c>
      <c r="E421" s="15" t="s">
        <v>807</v>
      </c>
      <c r="F421" s="15" t="s">
        <v>4787</v>
      </c>
      <c r="G421" s="18" t="s">
        <v>4788</v>
      </c>
      <c r="H421" s="18"/>
      <c r="I421" s="18"/>
      <c r="J421" s="18"/>
    </row>
    <row r="422" ht="15.75" customHeight="1">
      <c r="A422" s="15" t="s">
        <v>4789</v>
      </c>
      <c r="B422" s="15" t="s">
        <v>60</v>
      </c>
      <c r="C422" s="15" t="s">
        <v>224</v>
      </c>
      <c r="D422" s="56" t="s">
        <v>4790</v>
      </c>
      <c r="E422" s="15" t="s">
        <v>807</v>
      </c>
      <c r="F422" s="15" t="s">
        <v>4791</v>
      </c>
      <c r="G422" s="18" t="s">
        <v>4792</v>
      </c>
      <c r="H422" s="18"/>
      <c r="I422" s="18"/>
      <c r="J422" s="18"/>
    </row>
    <row r="423" ht="15.75" customHeight="1">
      <c r="A423" s="15" t="s">
        <v>4793</v>
      </c>
      <c r="B423" s="15" t="s">
        <v>60</v>
      </c>
      <c r="C423" s="15" t="s">
        <v>224</v>
      </c>
      <c r="D423" s="56" t="s">
        <v>4794</v>
      </c>
      <c r="E423" s="15" t="s">
        <v>807</v>
      </c>
      <c r="F423" s="15" t="s">
        <v>4795</v>
      </c>
      <c r="G423" s="18" t="s">
        <v>4796</v>
      </c>
      <c r="H423" s="18"/>
      <c r="I423" s="18"/>
      <c r="J423" s="18"/>
    </row>
    <row r="424" ht="15.75" customHeight="1">
      <c r="A424" s="15" t="s">
        <v>4797</v>
      </c>
      <c r="B424" s="15" t="s">
        <v>60</v>
      </c>
      <c r="C424" s="15" t="s">
        <v>842</v>
      </c>
      <c r="D424" s="56" t="s">
        <v>4798</v>
      </c>
      <c r="E424" s="15" t="s">
        <v>807</v>
      </c>
      <c r="F424" s="15" t="s">
        <v>4799</v>
      </c>
      <c r="G424" s="18" t="s">
        <v>4800</v>
      </c>
      <c r="H424" s="18"/>
      <c r="I424" s="18"/>
      <c r="J424" s="18"/>
    </row>
    <row r="425" ht="15.75" customHeight="1">
      <c r="A425" s="15" t="s">
        <v>4801</v>
      </c>
      <c r="B425" s="15" t="s">
        <v>60</v>
      </c>
      <c r="C425" s="15" t="s">
        <v>958</v>
      </c>
      <c r="D425" s="56" t="s">
        <v>4802</v>
      </c>
      <c r="E425" s="15" t="s">
        <v>807</v>
      </c>
      <c r="F425" s="15" t="s">
        <v>4803</v>
      </c>
      <c r="G425" s="18" t="s">
        <v>4804</v>
      </c>
      <c r="H425" s="18"/>
      <c r="I425" s="18"/>
      <c r="J425" s="18"/>
    </row>
    <row r="426" ht="15.75" customHeight="1">
      <c r="A426" s="15" t="s">
        <v>4805</v>
      </c>
      <c r="B426" s="15" t="s">
        <v>60</v>
      </c>
      <c r="C426" s="15" t="s">
        <v>958</v>
      </c>
      <c r="D426" s="56" t="s">
        <v>4806</v>
      </c>
      <c r="E426" s="15" t="s">
        <v>807</v>
      </c>
      <c r="F426" s="15" t="s">
        <v>4807</v>
      </c>
      <c r="G426" s="18" t="s">
        <v>4808</v>
      </c>
      <c r="H426" s="18"/>
      <c r="I426" s="18"/>
      <c r="J426" s="18"/>
    </row>
    <row r="427" ht="15.75" customHeight="1">
      <c r="A427" s="15" t="s">
        <v>4809</v>
      </c>
      <c r="B427" s="15" t="s">
        <v>60</v>
      </c>
      <c r="C427" s="15" t="s">
        <v>264</v>
      </c>
      <c r="D427" s="56" t="s">
        <v>4810</v>
      </c>
      <c r="E427" s="15" t="s">
        <v>807</v>
      </c>
      <c r="F427" s="15" t="s">
        <v>4811</v>
      </c>
      <c r="G427" s="18" t="s">
        <v>4812</v>
      </c>
      <c r="H427" s="18"/>
      <c r="I427" s="18"/>
      <c r="J427" s="18"/>
    </row>
    <row r="428" ht="15.75" customHeight="1">
      <c r="A428" s="15" t="s">
        <v>4813</v>
      </c>
      <c r="B428" s="15" t="s">
        <v>60</v>
      </c>
      <c r="C428" s="15" t="s">
        <v>1312</v>
      </c>
      <c r="D428" s="56" t="s">
        <v>4814</v>
      </c>
      <c r="E428" s="15" t="s">
        <v>807</v>
      </c>
      <c r="F428" s="15" t="s">
        <v>4815</v>
      </c>
      <c r="G428" s="18" t="s">
        <v>4816</v>
      </c>
      <c r="H428" s="18"/>
      <c r="I428" s="18"/>
      <c r="J428" s="18"/>
    </row>
    <row r="429" ht="15.75" customHeight="1">
      <c r="A429" s="15" t="s">
        <v>4817</v>
      </c>
      <c r="B429" s="15" t="s">
        <v>60</v>
      </c>
      <c r="C429" s="15" t="s">
        <v>958</v>
      </c>
      <c r="D429" s="56" t="s">
        <v>4818</v>
      </c>
      <c r="E429" s="15" t="s">
        <v>807</v>
      </c>
      <c r="F429" s="15" t="s">
        <v>4820</v>
      </c>
      <c r="G429" s="18" t="s">
        <v>4821</v>
      </c>
      <c r="H429" s="18"/>
      <c r="I429" s="18"/>
      <c r="J429" s="18"/>
    </row>
    <row r="430" ht="15.75" customHeight="1">
      <c r="A430" s="15" t="s">
        <v>4824</v>
      </c>
      <c r="B430" s="15" t="s">
        <v>60</v>
      </c>
      <c r="C430" s="15" t="s">
        <v>570</v>
      </c>
      <c r="D430" s="56" t="s">
        <v>4828</v>
      </c>
      <c r="E430" s="15" t="s">
        <v>807</v>
      </c>
      <c r="F430" s="15" t="s">
        <v>4829</v>
      </c>
      <c r="G430" s="18" t="s">
        <v>4830</v>
      </c>
      <c r="H430" s="18"/>
      <c r="I430" s="18"/>
      <c r="J430" s="18"/>
    </row>
    <row r="431" ht="15.75" customHeight="1">
      <c r="A431" s="15" t="s">
        <v>4831</v>
      </c>
      <c r="B431" s="15" t="s">
        <v>60</v>
      </c>
      <c r="C431" s="15" t="s">
        <v>1818</v>
      </c>
      <c r="D431" s="56" t="s">
        <v>4832</v>
      </c>
      <c r="E431" s="15" t="s">
        <v>807</v>
      </c>
      <c r="F431" s="15" t="s">
        <v>4833</v>
      </c>
      <c r="G431" s="18" t="s">
        <v>4834</v>
      </c>
      <c r="H431" s="18"/>
      <c r="I431" s="18"/>
      <c r="J431" s="18"/>
    </row>
    <row r="432" ht="15.75" customHeight="1">
      <c r="A432" s="15" t="s">
        <v>4835</v>
      </c>
      <c r="B432" s="15" t="s">
        <v>60</v>
      </c>
      <c r="C432" s="15" t="s">
        <v>424</v>
      </c>
      <c r="D432" s="56" t="s">
        <v>4836</v>
      </c>
      <c r="E432" s="15" t="s">
        <v>807</v>
      </c>
      <c r="F432" s="15" t="s">
        <v>4837</v>
      </c>
      <c r="G432" s="18" t="s">
        <v>4838</v>
      </c>
      <c r="H432" s="18"/>
      <c r="I432" s="18"/>
      <c r="J432" s="18"/>
    </row>
    <row r="433" ht="15.75" customHeight="1">
      <c r="A433" s="15" t="s">
        <v>4839</v>
      </c>
      <c r="B433" s="15" t="s">
        <v>60</v>
      </c>
      <c r="C433" s="15" t="s">
        <v>424</v>
      </c>
      <c r="D433" s="56" t="s">
        <v>4840</v>
      </c>
      <c r="E433" s="15" t="s">
        <v>807</v>
      </c>
      <c r="F433" s="15" t="s">
        <v>4841</v>
      </c>
      <c r="G433" s="18" t="s">
        <v>4842</v>
      </c>
      <c r="H433" s="18"/>
      <c r="I433" s="18"/>
      <c r="J433" s="18"/>
    </row>
    <row r="434" ht="15.75" customHeight="1">
      <c r="A434" s="15" t="s">
        <v>4843</v>
      </c>
      <c r="B434" s="15" t="s">
        <v>60</v>
      </c>
      <c r="C434" s="15" t="s">
        <v>85</v>
      </c>
      <c r="D434" s="56" t="s">
        <v>4844</v>
      </c>
      <c r="E434" s="15" t="s">
        <v>807</v>
      </c>
      <c r="F434" s="15" t="s">
        <v>4845</v>
      </c>
      <c r="G434" s="18" t="s">
        <v>4846</v>
      </c>
      <c r="H434" s="18"/>
      <c r="I434" s="18"/>
      <c r="J434" s="18"/>
    </row>
    <row r="435" ht="15.75" customHeight="1">
      <c r="A435" s="15" t="s">
        <v>4847</v>
      </c>
      <c r="B435" s="15" t="s">
        <v>60</v>
      </c>
      <c r="C435" s="15" t="s">
        <v>1818</v>
      </c>
      <c r="D435" s="56" t="s">
        <v>4848</v>
      </c>
      <c r="E435" s="15" t="s">
        <v>807</v>
      </c>
      <c r="F435" s="15" t="s">
        <v>4849</v>
      </c>
      <c r="G435" s="18" t="s">
        <v>4850</v>
      </c>
      <c r="H435" s="18"/>
      <c r="I435" s="18"/>
      <c r="J435" s="18"/>
    </row>
    <row r="436" ht="15.75" customHeight="1">
      <c r="A436" s="15" t="s">
        <v>4851</v>
      </c>
      <c r="B436" s="15" t="s">
        <v>60</v>
      </c>
      <c r="C436" s="15" t="s">
        <v>264</v>
      </c>
      <c r="D436" s="56" t="s">
        <v>4852</v>
      </c>
      <c r="E436" s="15" t="s">
        <v>807</v>
      </c>
      <c r="F436" s="15" t="s">
        <v>4853</v>
      </c>
      <c r="G436" s="18" t="s">
        <v>4854</v>
      </c>
      <c r="H436" s="18"/>
      <c r="I436" s="18"/>
      <c r="J436" s="18"/>
    </row>
    <row r="437" ht="15.75" customHeight="1">
      <c r="A437" s="15" t="s">
        <v>4855</v>
      </c>
      <c r="B437" s="15" t="s">
        <v>60</v>
      </c>
      <c r="C437" s="15" t="s">
        <v>842</v>
      </c>
      <c r="D437" s="56" t="s">
        <v>4856</v>
      </c>
      <c r="E437" s="15" t="s">
        <v>807</v>
      </c>
      <c r="F437" s="15" t="s">
        <v>4857</v>
      </c>
      <c r="G437" s="18" t="s">
        <v>4858</v>
      </c>
      <c r="H437" s="18"/>
      <c r="I437" s="18"/>
      <c r="J437" s="18"/>
    </row>
    <row r="438" ht="15.75" customHeight="1">
      <c r="A438" s="15" t="s">
        <v>4859</v>
      </c>
      <c r="B438" s="15" t="s">
        <v>60</v>
      </c>
      <c r="C438" s="15" t="s">
        <v>1139</v>
      </c>
      <c r="D438" s="56" t="s">
        <v>4861</v>
      </c>
      <c r="E438" s="15" t="s">
        <v>807</v>
      </c>
      <c r="F438" s="15" t="s">
        <v>4863</v>
      </c>
      <c r="G438" s="18" t="s">
        <v>4865</v>
      </c>
      <c r="H438" s="18"/>
      <c r="I438" s="18"/>
      <c r="J438" s="18"/>
    </row>
    <row r="439" ht="15.75" customHeight="1">
      <c r="A439" s="15" t="s">
        <v>4869</v>
      </c>
      <c r="B439" s="15" t="s">
        <v>60</v>
      </c>
      <c r="C439" s="15" t="s">
        <v>245</v>
      </c>
      <c r="D439" s="56" t="s">
        <v>4872</v>
      </c>
      <c r="E439" s="15" t="s">
        <v>807</v>
      </c>
      <c r="F439" s="15" t="s">
        <v>4873</v>
      </c>
      <c r="G439" s="18" t="s">
        <v>4874</v>
      </c>
      <c r="H439" s="18"/>
      <c r="I439" s="18"/>
      <c r="J439" s="18"/>
    </row>
    <row r="440" ht="15.75" customHeight="1">
      <c r="A440" s="15" t="s">
        <v>4875</v>
      </c>
      <c r="B440" s="15" t="s">
        <v>60</v>
      </c>
      <c r="C440" s="15" t="s">
        <v>1818</v>
      </c>
      <c r="D440" s="56" t="s">
        <v>4876</v>
      </c>
      <c r="E440" s="15" t="s">
        <v>807</v>
      </c>
      <c r="F440" s="15" t="s">
        <v>4877</v>
      </c>
      <c r="G440" s="18" t="s">
        <v>4878</v>
      </c>
      <c r="H440" s="18"/>
      <c r="I440" s="18"/>
      <c r="J440" s="18"/>
    </row>
    <row r="441" ht="15.75" customHeight="1">
      <c r="A441" s="15" t="s">
        <v>4879</v>
      </c>
      <c r="B441" s="15" t="s">
        <v>60</v>
      </c>
      <c r="C441" s="15" t="s">
        <v>354</v>
      </c>
      <c r="D441" s="56" t="s">
        <v>4880</v>
      </c>
      <c r="E441" s="15" t="s">
        <v>807</v>
      </c>
      <c r="F441" s="15" t="s">
        <v>4881</v>
      </c>
      <c r="G441" s="18" t="s">
        <v>4882</v>
      </c>
      <c r="H441" s="18"/>
      <c r="I441" s="18"/>
      <c r="J441" s="18"/>
    </row>
    <row r="442" ht="15.75" customHeight="1">
      <c r="A442" s="15" t="s">
        <v>4883</v>
      </c>
      <c r="B442" s="15" t="s">
        <v>60</v>
      </c>
      <c r="C442" s="15" t="s">
        <v>842</v>
      </c>
      <c r="D442" s="56" t="s">
        <v>4884</v>
      </c>
      <c r="E442" s="15" t="s">
        <v>807</v>
      </c>
      <c r="F442" s="15" t="s">
        <v>4885</v>
      </c>
      <c r="G442" s="18" t="s">
        <v>4886</v>
      </c>
      <c r="H442" s="18"/>
      <c r="I442" s="18"/>
      <c r="J442" s="18"/>
    </row>
    <row r="443" ht="15.75" customHeight="1">
      <c r="A443" s="15" t="s">
        <v>4887</v>
      </c>
      <c r="B443" s="15" t="s">
        <v>60</v>
      </c>
      <c r="C443" s="15" t="s">
        <v>224</v>
      </c>
      <c r="D443" s="56" t="s">
        <v>4888</v>
      </c>
      <c r="E443" s="15" t="s">
        <v>807</v>
      </c>
      <c r="F443" s="15" t="s">
        <v>4889</v>
      </c>
      <c r="G443" s="18" t="s">
        <v>4890</v>
      </c>
      <c r="H443" s="18"/>
      <c r="I443" s="18"/>
      <c r="J443" s="18"/>
    </row>
    <row r="444" ht="15.75" customHeight="1">
      <c r="A444" s="15" t="s">
        <v>4891</v>
      </c>
      <c r="B444" s="15" t="s">
        <v>60</v>
      </c>
      <c r="C444" s="15" t="s">
        <v>424</v>
      </c>
      <c r="D444" s="56" t="s">
        <v>4892</v>
      </c>
      <c r="E444" s="15" t="s">
        <v>807</v>
      </c>
      <c r="F444" s="15" t="s">
        <v>4893</v>
      </c>
      <c r="G444" s="18" t="s">
        <v>4894</v>
      </c>
      <c r="H444" s="18"/>
      <c r="I444" s="18"/>
      <c r="J444" s="18"/>
    </row>
    <row r="445" ht="15.75" customHeight="1">
      <c r="A445" s="15" t="s">
        <v>4895</v>
      </c>
      <c r="B445" s="15" t="s">
        <v>60</v>
      </c>
      <c r="C445" s="15" t="s">
        <v>424</v>
      </c>
      <c r="D445" s="56" t="s">
        <v>4896</v>
      </c>
      <c r="E445" s="15" t="s">
        <v>807</v>
      </c>
      <c r="F445" s="15" t="s">
        <v>4897</v>
      </c>
      <c r="G445" s="18" t="s">
        <v>4898</v>
      </c>
      <c r="H445" s="18"/>
      <c r="I445" s="18"/>
      <c r="J445" s="18"/>
    </row>
    <row r="446" ht="15.75" customHeight="1">
      <c r="A446" s="15" t="s">
        <v>4899</v>
      </c>
      <c r="B446" s="15" t="s">
        <v>60</v>
      </c>
      <c r="C446" s="15" t="s">
        <v>85</v>
      </c>
      <c r="D446" s="56" t="s">
        <v>4900</v>
      </c>
      <c r="E446" s="15" t="s">
        <v>807</v>
      </c>
      <c r="F446" s="15" t="s">
        <v>4901</v>
      </c>
      <c r="G446" s="18" t="s">
        <v>4902</v>
      </c>
      <c r="H446" s="18"/>
      <c r="I446" s="18"/>
      <c r="J446" s="18"/>
    </row>
    <row r="447" ht="15.75" customHeight="1">
      <c r="A447" s="15" t="s">
        <v>4903</v>
      </c>
      <c r="B447" s="15" t="s">
        <v>60</v>
      </c>
      <c r="C447" s="15" t="s">
        <v>775</v>
      </c>
      <c r="D447" s="56" t="s">
        <v>4904</v>
      </c>
      <c r="E447" s="15" t="s">
        <v>807</v>
      </c>
      <c r="F447" s="15" t="s">
        <v>4905</v>
      </c>
      <c r="G447" s="18" t="s">
        <v>4907</v>
      </c>
      <c r="H447" s="18"/>
      <c r="I447" s="18"/>
      <c r="J447" s="18"/>
    </row>
    <row r="448" ht="15.75" customHeight="1">
      <c r="A448" s="15" t="s">
        <v>4909</v>
      </c>
      <c r="B448" s="15" t="s">
        <v>60</v>
      </c>
      <c r="C448" s="15" t="s">
        <v>775</v>
      </c>
      <c r="D448" s="56" t="s">
        <v>4912</v>
      </c>
      <c r="E448" s="15" t="s">
        <v>807</v>
      </c>
      <c r="F448" s="15" t="s">
        <v>4915</v>
      </c>
      <c r="G448" s="18" t="s">
        <v>4916</v>
      </c>
      <c r="H448" s="18"/>
      <c r="I448" s="18"/>
      <c r="J448" s="18"/>
    </row>
    <row r="449" ht="15.75" customHeight="1">
      <c r="A449" s="15" t="s">
        <v>4917</v>
      </c>
      <c r="B449" s="15" t="s">
        <v>60</v>
      </c>
      <c r="C449" s="15" t="s">
        <v>85</v>
      </c>
      <c r="D449" s="56" t="s">
        <v>4918</v>
      </c>
      <c r="E449" s="15" t="s">
        <v>807</v>
      </c>
      <c r="F449" s="15" t="s">
        <v>4919</v>
      </c>
      <c r="G449" s="18" t="s">
        <v>4920</v>
      </c>
      <c r="H449" s="18"/>
      <c r="I449" s="18"/>
      <c r="J449" s="18"/>
    </row>
    <row r="450" ht="15.75" customHeight="1">
      <c r="A450" s="15" t="s">
        <v>4921</v>
      </c>
      <c r="B450" s="15" t="s">
        <v>60</v>
      </c>
      <c r="C450" s="15" t="s">
        <v>775</v>
      </c>
      <c r="D450" s="56" t="s">
        <v>4922</v>
      </c>
      <c r="E450" s="15" t="s">
        <v>807</v>
      </c>
      <c r="F450" s="15" t="s">
        <v>4923</v>
      </c>
      <c r="G450" s="18" t="s">
        <v>4924</v>
      </c>
      <c r="H450" s="18"/>
      <c r="I450" s="18"/>
      <c r="J450" s="18"/>
    </row>
    <row r="451" ht="15.75" customHeight="1">
      <c r="A451" s="15" t="s">
        <v>4925</v>
      </c>
      <c r="B451" s="15" t="s">
        <v>60</v>
      </c>
      <c r="C451" s="15" t="s">
        <v>354</v>
      </c>
      <c r="D451" s="56" t="s">
        <v>4926</v>
      </c>
      <c r="E451" s="15" t="s">
        <v>807</v>
      </c>
      <c r="F451" s="15" t="s">
        <v>4927</v>
      </c>
      <c r="G451" s="18" t="s">
        <v>4928</v>
      </c>
      <c r="H451" s="18"/>
      <c r="I451" s="18"/>
      <c r="J451" s="18"/>
    </row>
    <row r="452" ht="15.75" customHeight="1">
      <c r="A452" s="15" t="s">
        <v>4929</v>
      </c>
      <c r="B452" s="15" t="s">
        <v>60</v>
      </c>
      <c r="C452" s="15" t="s">
        <v>424</v>
      </c>
      <c r="D452" s="56" t="s">
        <v>4930</v>
      </c>
      <c r="E452" s="15" t="s">
        <v>807</v>
      </c>
      <c r="F452" s="15" t="s">
        <v>4931</v>
      </c>
      <c r="G452" s="18" t="s">
        <v>4932</v>
      </c>
      <c r="H452" s="18"/>
      <c r="I452" s="18"/>
      <c r="J452" s="18"/>
    </row>
    <row r="453" ht="15.75" customHeight="1">
      <c r="A453" s="15" t="s">
        <v>4933</v>
      </c>
      <c r="B453" s="15" t="s">
        <v>60</v>
      </c>
      <c r="C453" s="15" t="s">
        <v>1312</v>
      </c>
      <c r="D453" s="56" t="s">
        <v>4934</v>
      </c>
      <c r="E453" s="15" t="s">
        <v>807</v>
      </c>
      <c r="F453" s="15" t="s">
        <v>4935</v>
      </c>
      <c r="G453" s="18" t="s">
        <v>4936</v>
      </c>
      <c r="H453" s="18"/>
      <c r="I453" s="18"/>
      <c r="J453" s="18"/>
    </row>
    <row r="454" ht="15.75" customHeight="1">
      <c r="A454" s="15" t="s">
        <v>4937</v>
      </c>
      <c r="B454" s="15" t="s">
        <v>60</v>
      </c>
      <c r="C454" s="15" t="s">
        <v>85</v>
      </c>
      <c r="D454" s="56" t="s">
        <v>4938</v>
      </c>
      <c r="E454" s="15" t="s">
        <v>807</v>
      </c>
      <c r="F454" s="15" t="s">
        <v>4939</v>
      </c>
      <c r="G454" s="18" t="s">
        <v>4940</v>
      </c>
      <c r="H454" s="18"/>
      <c r="I454" s="18"/>
      <c r="J454" s="18"/>
    </row>
    <row r="455" ht="15.75" customHeight="1">
      <c r="A455" s="15" t="s">
        <v>4941</v>
      </c>
      <c r="B455" s="15" t="s">
        <v>60</v>
      </c>
      <c r="C455" s="15" t="s">
        <v>224</v>
      </c>
      <c r="D455" s="56" t="s">
        <v>4942</v>
      </c>
      <c r="E455" s="15" t="s">
        <v>807</v>
      </c>
      <c r="F455" s="15" t="s">
        <v>4943</v>
      </c>
      <c r="G455" s="18" t="s">
        <v>2091</v>
      </c>
      <c r="H455" s="18"/>
      <c r="I455" s="18"/>
      <c r="J455" s="18"/>
    </row>
    <row r="456" ht="15.75" customHeight="1">
      <c r="A456" s="15" t="s">
        <v>4944</v>
      </c>
      <c r="B456" s="15" t="s">
        <v>60</v>
      </c>
      <c r="C456" s="15" t="s">
        <v>1818</v>
      </c>
      <c r="D456" s="56" t="s">
        <v>4945</v>
      </c>
      <c r="E456" s="15" t="s">
        <v>807</v>
      </c>
      <c r="F456" s="15" t="s">
        <v>4947</v>
      </c>
      <c r="G456" s="18" t="s">
        <v>4948</v>
      </c>
      <c r="H456" s="18"/>
      <c r="I456" s="18"/>
      <c r="J456" s="18"/>
    </row>
    <row r="457" ht="15.75" customHeight="1">
      <c r="A457" s="15" t="s">
        <v>4951</v>
      </c>
      <c r="B457" s="15" t="s">
        <v>60</v>
      </c>
      <c r="C457" s="15" t="s">
        <v>1155</v>
      </c>
      <c r="D457" s="56" t="s">
        <v>4954</v>
      </c>
      <c r="E457" s="15" t="s">
        <v>807</v>
      </c>
      <c r="F457" s="15" t="s">
        <v>4956</v>
      </c>
      <c r="G457" s="18" t="s">
        <v>4957</v>
      </c>
      <c r="H457" s="18"/>
      <c r="I457" s="18"/>
      <c r="J457" s="18"/>
    </row>
    <row r="458" ht="15.75" customHeight="1">
      <c r="A458" s="15" t="s">
        <v>4958</v>
      </c>
      <c r="B458" s="15" t="s">
        <v>60</v>
      </c>
      <c r="C458" s="15" t="s">
        <v>842</v>
      </c>
      <c r="D458" s="56" t="s">
        <v>4959</v>
      </c>
      <c r="E458" s="15" t="s">
        <v>807</v>
      </c>
      <c r="F458" s="15" t="s">
        <v>4960</v>
      </c>
      <c r="G458" s="18" t="s">
        <v>4961</v>
      </c>
      <c r="H458" s="18"/>
      <c r="I458" s="18"/>
      <c r="J458" s="18"/>
    </row>
    <row r="459" ht="15.75" customHeight="1">
      <c r="A459" s="15" t="s">
        <v>4962</v>
      </c>
      <c r="B459" s="15" t="s">
        <v>60</v>
      </c>
      <c r="C459" s="15" t="s">
        <v>264</v>
      </c>
      <c r="D459" s="56" t="s">
        <v>4963</v>
      </c>
      <c r="E459" s="15" t="s">
        <v>807</v>
      </c>
      <c r="F459" s="15" t="s">
        <v>4964</v>
      </c>
      <c r="G459" s="18" t="s">
        <v>4965</v>
      </c>
      <c r="H459" s="18"/>
      <c r="I459" s="18"/>
      <c r="J459" s="18"/>
    </row>
    <row r="460" ht="15.75" customHeight="1">
      <c r="A460" s="15" t="s">
        <v>4966</v>
      </c>
      <c r="B460" s="15" t="s">
        <v>60</v>
      </c>
      <c r="C460" s="15" t="s">
        <v>570</v>
      </c>
      <c r="D460" s="56" t="s">
        <v>4967</v>
      </c>
      <c r="E460" s="15" t="s">
        <v>807</v>
      </c>
      <c r="F460" s="15" t="s">
        <v>4968</v>
      </c>
      <c r="G460" s="18" t="s">
        <v>4969</v>
      </c>
      <c r="H460" s="18"/>
      <c r="I460" s="18"/>
      <c r="J460" s="18"/>
    </row>
    <row r="461" ht="15.75" customHeight="1">
      <c r="A461" s="15" t="s">
        <v>4970</v>
      </c>
      <c r="B461" s="15" t="s">
        <v>60</v>
      </c>
      <c r="C461" s="15" t="s">
        <v>775</v>
      </c>
      <c r="D461" s="56" t="s">
        <v>4971</v>
      </c>
      <c r="E461" s="15" t="s">
        <v>807</v>
      </c>
      <c r="F461" s="15" t="s">
        <v>4972</v>
      </c>
      <c r="G461" s="18" t="s">
        <v>4973</v>
      </c>
      <c r="H461" s="18"/>
      <c r="I461" s="18"/>
      <c r="J461" s="18"/>
    </row>
    <row r="462" ht="15.75" customHeight="1">
      <c r="A462" s="15" t="s">
        <v>4974</v>
      </c>
      <c r="B462" s="15" t="s">
        <v>60</v>
      </c>
      <c r="C462" s="15" t="s">
        <v>245</v>
      </c>
      <c r="D462" s="56" t="s">
        <v>4975</v>
      </c>
      <c r="E462" s="15" t="s">
        <v>807</v>
      </c>
      <c r="F462" s="15" t="s">
        <v>4976</v>
      </c>
      <c r="G462" s="18" t="s">
        <v>4977</v>
      </c>
      <c r="H462" s="18"/>
      <c r="I462" s="18"/>
      <c r="J462" s="18"/>
    </row>
    <row r="463" ht="15.75" customHeight="1">
      <c r="A463" s="15" t="s">
        <v>4978</v>
      </c>
      <c r="B463" s="15" t="s">
        <v>60</v>
      </c>
      <c r="C463" s="15" t="s">
        <v>842</v>
      </c>
      <c r="D463" s="56" t="s">
        <v>4979</v>
      </c>
      <c r="E463" s="15" t="s">
        <v>807</v>
      </c>
      <c r="F463" s="15" t="s">
        <v>4980</v>
      </c>
      <c r="G463" s="18" t="s">
        <v>4981</v>
      </c>
      <c r="H463" s="18"/>
      <c r="I463" s="18"/>
      <c r="J463" s="18"/>
    </row>
    <row r="464" ht="15.75" customHeight="1">
      <c r="A464" s="15" t="s">
        <v>4982</v>
      </c>
      <c r="B464" s="15" t="s">
        <v>60</v>
      </c>
      <c r="C464" s="15" t="s">
        <v>224</v>
      </c>
      <c r="D464" s="56" t="s">
        <v>4983</v>
      </c>
      <c r="E464" s="15" t="s">
        <v>807</v>
      </c>
      <c r="F464" s="15" t="s">
        <v>4984</v>
      </c>
      <c r="G464" s="18" t="s">
        <v>4985</v>
      </c>
      <c r="H464" s="18"/>
      <c r="I464" s="18"/>
      <c r="J464" s="18"/>
    </row>
    <row r="465" ht="15.75" customHeight="1">
      <c r="A465" s="15" t="s">
        <v>4986</v>
      </c>
      <c r="B465" s="15" t="s">
        <v>60</v>
      </c>
      <c r="C465" s="15" t="s">
        <v>85</v>
      </c>
      <c r="D465" s="56" t="s">
        <v>4987</v>
      </c>
      <c r="E465" s="15" t="s">
        <v>807</v>
      </c>
      <c r="F465" s="15" t="s">
        <v>4990</v>
      </c>
      <c r="G465" s="18" t="s">
        <v>4991</v>
      </c>
      <c r="H465" s="18"/>
      <c r="I465" s="18"/>
      <c r="J465" s="18"/>
    </row>
    <row r="466" ht="15.75" customHeight="1">
      <c r="A466" s="15" t="s">
        <v>4995</v>
      </c>
      <c r="B466" s="15" t="s">
        <v>60</v>
      </c>
      <c r="C466" s="15" t="s">
        <v>236</v>
      </c>
      <c r="D466" s="56" t="s">
        <v>4997</v>
      </c>
      <c r="E466" s="15" t="s">
        <v>807</v>
      </c>
      <c r="F466" s="15" t="s">
        <v>4998</v>
      </c>
      <c r="G466" s="18" t="s">
        <v>4999</v>
      </c>
      <c r="H466" s="18"/>
      <c r="I466" s="18"/>
      <c r="J466" s="18"/>
    </row>
    <row r="467" ht="15.75" customHeight="1">
      <c r="A467" s="15" t="s">
        <v>5000</v>
      </c>
      <c r="B467" s="15" t="s">
        <v>60</v>
      </c>
      <c r="C467" s="15" t="s">
        <v>570</v>
      </c>
      <c r="D467" s="56" t="s">
        <v>5001</v>
      </c>
      <c r="E467" s="15" t="s">
        <v>807</v>
      </c>
      <c r="F467" s="15" t="s">
        <v>5002</v>
      </c>
      <c r="G467" s="18" t="s">
        <v>5003</v>
      </c>
      <c r="H467" s="18"/>
      <c r="I467" s="18"/>
      <c r="J467" s="18"/>
    </row>
    <row r="468" ht="15.75" customHeight="1">
      <c r="A468" s="15" t="s">
        <v>5004</v>
      </c>
      <c r="B468" s="15" t="s">
        <v>60</v>
      </c>
      <c r="C468" s="15" t="s">
        <v>570</v>
      </c>
      <c r="D468" s="56" t="s">
        <v>5005</v>
      </c>
      <c r="E468" s="15" t="s">
        <v>807</v>
      </c>
      <c r="F468" s="15" t="s">
        <v>5006</v>
      </c>
      <c r="G468" s="18" t="s">
        <v>5007</v>
      </c>
      <c r="H468" s="18"/>
      <c r="I468" s="18"/>
      <c r="J468" s="18"/>
    </row>
    <row r="469" ht="15.75" customHeight="1">
      <c r="A469" s="15" t="s">
        <v>5008</v>
      </c>
      <c r="B469" s="15" t="s">
        <v>60</v>
      </c>
      <c r="C469" s="15" t="s">
        <v>264</v>
      </c>
      <c r="D469" s="56" t="s">
        <v>5009</v>
      </c>
      <c r="E469" s="15" t="s">
        <v>807</v>
      </c>
      <c r="F469" s="15" t="s">
        <v>5010</v>
      </c>
      <c r="G469" s="18" t="s">
        <v>5011</v>
      </c>
      <c r="H469" s="18"/>
      <c r="I469" s="18"/>
      <c r="J469" s="18"/>
    </row>
    <row r="470" ht="15.75" customHeight="1">
      <c r="A470" s="15" t="s">
        <v>5012</v>
      </c>
      <c r="B470" s="15" t="s">
        <v>60</v>
      </c>
      <c r="C470" s="15" t="s">
        <v>570</v>
      </c>
      <c r="D470" s="56" t="s">
        <v>5013</v>
      </c>
      <c r="E470" s="15" t="s">
        <v>807</v>
      </c>
      <c r="F470" s="15" t="s">
        <v>5014</v>
      </c>
      <c r="G470" s="18" t="s">
        <v>5015</v>
      </c>
      <c r="H470" s="18"/>
      <c r="I470" s="18"/>
      <c r="J470" s="18"/>
    </row>
    <row r="471" ht="15.75" customHeight="1">
      <c r="A471" s="15" t="s">
        <v>5016</v>
      </c>
      <c r="B471" s="15" t="s">
        <v>60</v>
      </c>
      <c r="C471" s="15" t="s">
        <v>1818</v>
      </c>
      <c r="D471" s="56" t="s">
        <v>5017</v>
      </c>
      <c r="E471" s="15" t="s">
        <v>807</v>
      </c>
      <c r="F471" s="15" t="s">
        <v>5018</v>
      </c>
      <c r="G471" s="18" t="s">
        <v>5019</v>
      </c>
      <c r="H471" s="18"/>
      <c r="I471" s="18"/>
      <c r="J471" s="18"/>
    </row>
    <row r="472" ht="15.75" customHeight="1">
      <c r="A472" s="15" t="s">
        <v>5020</v>
      </c>
      <c r="B472" s="15" t="s">
        <v>60</v>
      </c>
      <c r="C472" s="15" t="s">
        <v>236</v>
      </c>
      <c r="D472" s="56" t="s">
        <v>5021</v>
      </c>
      <c r="E472" s="15" t="s">
        <v>807</v>
      </c>
      <c r="F472" s="15" t="s">
        <v>5022</v>
      </c>
      <c r="G472" s="18" t="s">
        <v>5023</v>
      </c>
      <c r="H472" s="18"/>
      <c r="I472" s="18"/>
      <c r="J472" s="18"/>
    </row>
    <row r="473" ht="15.75" customHeight="1">
      <c r="A473" s="15" t="s">
        <v>5024</v>
      </c>
      <c r="B473" s="15" t="s">
        <v>60</v>
      </c>
      <c r="C473" s="15" t="s">
        <v>775</v>
      </c>
      <c r="D473" s="56" t="s">
        <v>5025</v>
      </c>
      <c r="E473" s="15" t="s">
        <v>807</v>
      </c>
      <c r="F473" s="15" t="s">
        <v>5026</v>
      </c>
      <c r="G473" s="18" t="s">
        <v>5027</v>
      </c>
      <c r="H473" s="18"/>
      <c r="I473" s="18"/>
      <c r="J473" s="18"/>
    </row>
    <row r="474" ht="15.75" customHeight="1">
      <c r="A474" s="15" t="s">
        <v>5028</v>
      </c>
      <c r="B474" s="15" t="s">
        <v>60</v>
      </c>
      <c r="C474" s="15" t="s">
        <v>85</v>
      </c>
      <c r="D474" s="56" t="s">
        <v>5030</v>
      </c>
      <c r="E474" s="15" t="s">
        <v>807</v>
      </c>
      <c r="F474" s="15" t="s">
        <v>5032</v>
      </c>
      <c r="G474" s="18" t="s">
        <v>5034</v>
      </c>
      <c r="H474" s="18"/>
      <c r="I474" s="18"/>
      <c r="J474" s="18"/>
    </row>
    <row r="475" ht="15.75" customHeight="1">
      <c r="A475" s="15" t="s">
        <v>5038</v>
      </c>
      <c r="B475" s="15" t="s">
        <v>60</v>
      </c>
      <c r="C475" s="15" t="s">
        <v>264</v>
      </c>
      <c r="D475" s="56" t="s">
        <v>5039</v>
      </c>
      <c r="E475" s="15" t="s">
        <v>807</v>
      </c>
      <c r="F475" s="15" t="s">
        <v>5040</v>
      </c>
      <c r="G475" s="18" t="s">
        <v>5041</v>
      </c>
      <c r="H475" s="18"/>
      <c r="I475" s="18"/>
      <c r="J475" s="18"/>
    </row>
    <row r="476" ht="15.75" customHeight="1">
      <c r="A476" s="15" t="s">
        <v>5042</v>
      </c>
      <c r="B476" s="15" t="s">
        <v>60</v>
      </c>
      <c r="C476" s="15" t="s">
        <v>570</v>
      </c>
      <c r="D476" s="56" t="s">
        <v>5043</v>
      </c>
      <c r="E476" s="15" t="s">
        <v>807</v>
      </c>
      <c r="F476" s="15" t="s">
        <v>5044</v>
      </c>
      <c r="G476" s="18" t="s">
        <v>5045</v>
      </c>
      <c r="H476" s="18"/>
      <c r="I476" s="18"/>
      <c r="J476" s="18"/>
    </row>
    <row r="477" ht="15.75" customHeight="1">
      <c r="A477" s="15" t="s">
        <v>5046</v>
      </c>
      <c r="B477" s="15" t="s">
        <v>60</v>
      </c>
      <c r="C477" s="15" t="s">
        <v>413</v>
      </c>
      <c r="D477" s="56" t="s">
        <v>5047</v>
      </c>
      <c r="E477" s="15" t="s">
        <v>807</v>
      </c>
      <c r="F477" s="15" t="s">
        <v>5048</v>
      </c>
      <c r="G477" s="18" t="s">
        <v>5049</v>
      </c>
      <c r="H477" s="18"/>
      <c r="I477" s="18"/>
      <c r="J477" s="18"/>
    </row>
    <row r="478" ht="15.75" customHeight="1">
      <c r="A478" s="15" t="s">
        <v>5050</v>
      </c>
      <c r="B478" s="15" t="s">
        <v>60</v>
      </c>
      <c r="C478" s="15" t="s">
        <v>1312</v>
      </c>
      <c r="D478" s="56" t="s">
        <v>5051</v>
      </c>
      <c r="E478" s="15" t="s">
        <v>807</v>
      </c>
      <c r="F478" s="15" t="s">
        <v>5052</v>
      </c>
      <c r="G478" s="18" t="s">
        <v>5053</v>
      </c>
      <c r="H478" s="18"/>
      <c r="I478" s="18"/>
      <c r="J478" s="18"/>
    </row>
    <row r="479" ht="15.75" customHeight="1">
      <c r="A479" s="15" t="s">
        <v>5054</v>
      </c>
      <c r="B479" s="15" t="s">
        <v>60</v>
      </c>
      <c r="C479" s="15" t="s">
        <v>424</v>
      </c>
      <c r="D479" s="56" t="s">
        <v>5055</v>
      </c>
      <c r="E479" s="15" t="s">
        <v>807</v>
      </c>
      <c r="F479" s="15" t="s">
        <v>5056</v>
      </c>
      <c r="G479" s="18" t="s">
        <v>5057</v>
      </c>
      <c r="H479" s="18"/>
      <c r="I479" s="18"/>
      <c r="J479" s="18"/>
    </row>
    <row r="480" ht="15.75" customHeight="1">
      <c r="A480" s="15" t="s">
        <v>5058</v>
      </c>
      <c r="B480" s="15" t="s">
        <v>60</v>
      </c>
      <c r="C480" s="15" t="s">
        <v>1165</v>
      </c>
      <c r="D480" s="56" t="s">
        <v>5059</v>
      </c>
      <c r="E480" s="15" t="s">
        <v>807</v>
      </c>
      <c r="F480" s="15" t="s">
        <v>5060</v>
      </c>
      <c r="G480" s="18" t="s">
        <v>5061</v>
      </c>
      <c r="H480" s="18"/>
      <c r="I480" s="18"/>
      <c r="J480" s="18"/>
    </row>
    <row r="481" ht="15.75" customHeight="1">
      <c r="A481" s="15" t="s">
        <v>5062</v>
      </c>
      <c r="B481" s="15" t="s">
        <v>60</v>
      </c>
      <c r="C481" s="15" t="s">
        <v>224</v>
      </c>
      <c r="D481" s="56" t="s">
        <v>5063</v>
      </c>
      <c r="E481" s="15" t="s">
        <v>807</v>
      </c>
      <c r="F481" s="15" t="s">
        <v>5064</v>
      </c>
      <c r="G481" s="18" t="s">
        <v>5065</v>
      </c>
      <c r="H481" s="18"/>
      <c r="I481" s="18"/>
      <c r="J481" s="18"/>
    </row>
    <row r="482" ht="15.75" customHeight="1">
      <c r="A482" s="15" t="s">
        <v>5066</v>
      </c>
      <c r="B482" s="15" t="s">
        <v>60</v>
      </c>
      <c r="C482" s="15" t="s">
        <v>424</v>
      </c>
      <c r="D482" s="56" t="s">
        <v>5067</v>
      </c>
      <c r="E482" s="15" t="s">
        <v>807</v>
      </c>
      <c r="F482" s="15" t="s">
        <v>5068</v>
      </c>
      <c r="G482" s="18" t="s">
        <v>5069</v>
      </c>
      <c r="H482" s="18"/>
      <c r="I482" s="18"/>
      <c r="J482" s="18"/>
    </row>
    <row r="483" ht="15.75" customHeight="1">
      <c r="A483" s="15" t="s">
        <v>5071</v>
      </c>
      <c r="B483" s="15" t="s">
        <v>60</v>
      </c>
      <c r="C483" s="15" t="s">
        <v>1165</v>
      </c>
      <c r="D483" s="56" t="s">
        <v>5073</v>
      </c>
      <c r="E483" s="15" t="s">
        <v>807</v>
      </c>
      <c r="F483" s="15" t="s">
        <v>5076</v>
      </c>
      <c r="G483" s="18" t="s">
        <v>5078</v>
      </c>
      <c r="H483" s="18"/>
      <c r="I483" s="18"/>
      <c r="J483" s="18"/>
    </row>
    <row r="484" ht="15.75" customHeight="1">
      <c r="A484" s="15" t="s">
        <v>5080</v>
      </c>
      <c r="B484" s="15" t="s">
        <v>60</v>
      </c>
      <c r="C484" s="15" t="s">
        <v>1139</v>
      </c>
      <c r="D484" s="56" t="s">
        <v>5081</v>
      </c>
      <c r="E484" s="15" t="s">
        <v>807</v>
      </c>
      <c r="F484" s="15" t="s">
        <v>5082</v>
      </c>
      <c r="G484" s="18" t="s">
        <v>5083</v>
      </c>
      <c r="H484" s="18"/>
      <c r="I484" s="18"/>
      <c r="J484" s="18"/>
    </row>
    <row r="485" ht="15.75" customHeight="1">
      <c r="A485" s="15" t="s">
        <v>5084</v>
      </c>
      <c r="B485" s="15" t="s">
        <v>60</v>
      </c>
      <c r="C485" s="15" t="s">
        <v>1139</v>
      </c>
      <c r="D485" s="56" t="s">
        <v>5085</v>
      </c>
      <c r="E485" s="15" t="s">
        <v>807</v>
      </c>
      <c r="F485" s="15" t="s">
        <v>5086</v>
      </c>
      <c r="G485" s="18" t="s">
        <v>5087</v>
      </c>
      <c r="H485" s="18"/>
      <c r="I485" s="18"/>
      <c r="J485" s="18"/>
    </row>
    <row r="486" ht="15.75" customHeight="1">
      <c r="A486" s="15" t="s">
        <v>5088</v>
      </c>
      <c r="B486" s="15" t="s">
        <v>60</v>
      </c>
      <c r="C486" s="15" t="s">
        <v>85</v>
      </c>
      <c r="D486" s="56" t="s">
        <v>5089</v>
      </c>
      <c r="E486" s="15" t="s">
        <v>807</v>
      </c>
      <c r="F486" s="15" t="s">
        <v>5090</v>
      </c>
      <c r="G486" s="18" t="s">
        <v>5091</v>
      </c>
      <c r="H486" s="18"/>
      <c r="I486" s="18"/>
      <c r="J486" s="18"/>
    </row>
    <row r="487" ht="15.75" customHeight="1">
      <c r="A487" s="15" t="s">
        <v>5092</v>
      </c>
      <c r="B487" s="15" t="s">
        <v>60</v>
      </c>
      <c r="C487" s="15" t="s">
        <v>1687</v>
      </c>
      <c r="D487" s="56" t="s">
        <v>5093</v>
      </c>
      <c r="E487" s="15" t="s">
        <v>807</v>
      </c>
      <c r="F487" s="15" t="s">
        <v>5094</v>
      </c>
      <c r="G487" s="18" t="s">
        <v>5095</v>
      </c>
      <c r="H487" s="18"/>
      <c r="I487" s="18"/>
      <c r="J487" s="18"/>
    </row>
    <row r="488" ht="15.75" customHeight="1">
      <c r="A488" s="15" t="s">
        <v>5096</v>
      </c>
      <c r="B488" s="15" t="s">
        <v>60</v>
      </c>
      <c r="C488" s="15" t="s">
        <v>570</v>
      </c>
      <c r="D488" s="56" t="s">
        <v>5097</v>
      </c>
      <c r="E488" s="15" t="s">
        <v>807</v>
      </c>
      <c r="F488" s="15" t="s">
        <v>5098</v>
      </c>
      <c r="G488" s="18" t="s">
        <v>5099</v>
      </c>
      <c r="H488" s="18"/>
      <c r="I488" s="18"/>
      <c r="J488" s="18"/>
    </row>
    <row r="489" ht="15.75" customHeight="1">
      <c r="A489" s="15" t="s">
        <v>5100</v>
      </c>
      <c r="B489" s="15" t="s">
        <v>60</v>
      </c>
      <c r="C489" s="15" t="s">
        <v>570</v>
      </c>
      <c r="D489" s="56" t="s">
        <v>5101</v>
      </c>
      <c r="E489" s="15" t="s">
        <v>807</v>
      </c>
      <c r="F489" s="15" t="s">
        <v>5102</v>
      </c>
      <c r="G489" s="18" t="s">
        <v>5103</v>
      </c>
      <c r="H489" s="18"/>
      <c r="I489" s="18"/>
      <c r="J489" s="18"/>
    </row>
    <row r="490" ht="15.75" customHeight="1">
      <c r="A490" s="15" t="s">
        <v>5104</v>
      </c>
      <c r="B490" s="15" t="s">
        <v>60</v>
      </c>
      <c r="C490" s="15" t="s">
        <v>245</v>
      </c>
      <c r="D490" s="56" t="s">
        <v>5105</v>
      </c>
      <c r="E490" s="15" t="s">
        <v>807</v>
      </c>
      <c r="F490" s="15" t="s">
        <v>5106</v>
      </c>
      <c r="G490" s="18" t="s">
        <v>5107</v>
      </c>
      <c r="H490" s="18"/>
      <c r="I490" s="18"/>
      <c r="J490" s="18"/>
    </row>
    <row r="491" ht="15.75" customHeight="1">
      <c r="A491" s="15" t="s">
        <v>5108</v>
      </c>
      <c r="B491" s="15" t="s">
        <v>60</v>
      </c>
      <c r="C491" s="15" t="s">
        <v>878</v>
      </c>
      <c r="D491" s="56" t="s">
        <v>5109</v>
      </c>
      <c r="E491" s="15" t="s">
        <v>807</v>
      </c>
      <c r="F491" s="15" t="s">
        <v>5111</v>
      </c>
      <c r="G491" s="18" t="s">
        <v>5113</v>
      </c>
      <c r="H491" s="18"/>
      <c r="I491" s="18"/>
      <c r="J491" s="18"/>
    </row>
    <row r="492" ht="15.75" customHeight="1">
      <c r="A492" s="15" t="s">
        <v>5116</v>
      </c>
      <c r="B492" s="15" t="s">
        <v>60</v>
      </c>
      <c r="C492" s="15" t="s">
        <v>958</v>
      </c>
      <c r="D492" s="56" t="s">
        <v>5119</v>
      </c>
      <c r="E492" s="15" t="s">
        <v>807</v>
      </c>
      <c r="F492" s="15" t="s">
        <v>5120</v>
      </c>
      <c r="G492" s="18" t="s">
        <v>5121</v>
      </c>
      <c r="H492" s="18"/>
      <c r="I492" s="18"/>
      <c r="J492" s="18"/>
    </row>
    <row r="493" ht="15.75" customHeight="1">
      <c r="A493" s="15" t="s">
        <v>5122</v>
      </c>
      <c r="B493" s="15" t="s">
        <v>60</v>
      </c>
      <c r="C493" s="15" t="s">
        <v>1687</v>
      </c>
      <c r="D493" s="56" t="s">
        <v>5123</v>
      </c>
      <c r="E493" s="15" t="s">
        <v>807</v>
      </c>
      <c r="F493" s="15" t="s">
        <v>5124</v>
      </c>
      <c r="G493" s="18" t="s">
        <v>5125</v>
      </c>
      <c r="H493" s="18"/>
      <c r="I493" s="18"/>
      <c r="J493" s="18"/>
    </row>
    <row r="494" ht="15.75" customHeight="1">
      <c r="A494" s="15" t="s">
        <v>5126</v>
      </c>
      <c r="B494" s="15" t="s">
        <v>60</v>
      </c>
      <c r="C494" s="15" t="s">
        <v>1687</v>
      </c>
      <c r="D494" s="56" t="s">
        <v>5127</v>
      </c>
      <c r="E494" s="15" t="s">
        <v>807</v>
      </c>
      <c r="F494" s="15" t="s">
        <v>5128</v>
      </c>
      <c r="G494" s="18" t="s">
        <v>5129</v>
      </c>
      <c r="H494" s="18"/>
      <c r="I494" s="18"/>
      <c r="J494" s="18"/>
    </row>
    <row r="495" ht="15.75" customHeight="1">
      <c r="A495" s="15" t="s">
        <v>5130</v>
      </c>
      <c r="B495" s="15" t="s">
        <v>60</v>
      </c>
      <c r="C495" s="15" t="s">
        <v>958</v>
      </c>
      <c r="D495" s="56" t="s">
        <v>5131</v>
      </c>
      <c r="E495" s="15" t="s">
        <v>807</v>
      </c>
      <c r="F495" s="15" t="s">
        <v>5132</v>
      </c>
      <c r="G495" s="18" t="s">
        <v>5133</v>
      </c>
      <c r="H495" s="18"/>
      <c r="I495" s="18"/>
      <c r="J495" s="18"/>
    </row>
    <row r="496" ht="15.75" customHeight="1">
      <c r="A496" s="15" t="s">
        <v>5134</v>
      </c>
      <c r="B496" s="15" t="s">
        <v>60</v>
      </c>
      <c r="C496" s="15" t="s">
        <v>958</v>
      </c>
      <c r="D496" s="56" t="s">
        <v>5135</v>
      </c>
      <c r="E496" s="15" t="s">
        <v>807</v>
      </c>
      <c r="F496" s="15" t="s">
        <v>5136</v>
      </c>
      <c r="G496" s="18" t="s">
        <v>5137</v>
      </c>
      <c r="H496" s="18"/>
      <c r="I496" s="18"/>
      <c r="J496" s="18"/>
    </row>
    <row r="497" ht="15.75" customHeight="1">
      <c r="A497" s="15" t="s">
        <v>5138</v>
      </c>
      <c r="B497" s="15" t="s">
        <v>60</v>
      </c>
      <c r="C497" s="15" t="s">
        <v>842</v>
      </c>
      <c r="D497" s="56" t="s">
        <v>5139</v>
      </c>
      <c r="E497" s="15" t="s">
        <v>807</v>
      </c>
      <c r="F497" s="15" t="s">
        <v>5140</v>
      </c>
      <c r="G497" s="18" t="s">
        <v>5141</v>
      </c>
      <c r="H497" s="18"/>
      <c r="I497" s="18"/>
      <c r="J497" s="18"/>
    </row>
    <row r="498" ht="15.75" customHeight="1">
      <c r="A498" s="15" t="s">
        <v>5142</v>
      </c>
      <c r="B498" s="15" t="s">
        <v>60</v>
      </c>
      <c r="C498" s="15" t="s">
        <v>958</v>
      </c>
      <c r="D498" s="56" t="s">
        <v>5143</v>
      </c>
      <c r="E498" s="15" t="s">
        <v>807</v>
      </c>
      <c r="F498" s="15" t="s">
        <v>5144</v>
      </c>
      <c r="G498" s="18" t="s">
        <v>5145</v>
      </c>
      <c r="H498" s="18"/>
      <c r="I498" s="18"/>
      <c r="J498" s="18"/>
    </row>
    <row r="499" ht="15.75" customHeight="1">
      <c r="A499" s="15" t="s">
        <v>5146</v>
      </c>
      <c r="B499" s="15" t="s">
        <v>60</v>
      </c>
      <c r="C499" s="15" t="s">
        <v>570</v>
      </c>
      <c r="D499" s="56" t="s">
        <v>5147</v>
      </c>
      <c r="E499" s="15" t="s">
        <v>807</v>
      </c>
      <c r="F499" s="15" t="s">
        <v>5148</v>
      </c>
      <c r="G499" s="18" t="s">
        <v>5149</v>
      </c>
      <c r="H499" s="18"/>
      <c r="I499" s="18"/>
      <c r="J499" s="18"/>
    </row>
    <row r="500" ht="15.75" customHeight="1">
      <c r="A500" s="15" t="s">
        <v>5150</v>
      </c>
      <c r="B500" s="15" t="s">
        <v>60</v>
      </c>
      <c r="C500" s="15" t="s">
        <v>236</v>
      </c>
      <c r="D500" s="56" t="s">
        <v>5152</v>
      </c>
      <c r="E500" s="15" t="s">
        <v>807</v>
      </c>
      <c r="F500" s="15" t="s">
        <v>5154</v>
      </c>
      <c r="G500" s="18" t="s">
        <v>5155</v>
      </c>
      <c r="H500" s="18"/>
      <c r="I500" s="18"/>
      <c r="J500" s="18"/>
    </row>
    <row r="501" ht="15.75" customHeight="1">
      <c r="A501" s="15" t="s">
        <v>5159</v>
      </c>
      <c r="B501" s="15" t="s">
        <v>60</v>
      </c>
      <c r="C501" s="15" t="s">
        <v>424</v>
      </c>
      <c r="D501" s="56" t="s">
        <v>5161</v>
      </c>
      <c r="E501" s="15" t="s">
        <v>807</v>
      </c>
      <c r="F501" s="15" t="s">
        <v>5162</v>
      </c>
      <c r="G501" s="18" t="s">
        <v>5163</v>
      </c>
      <c r="H501" s="18"/>
      <c r="I501" s="18"/>
      <c r="J501" s="18"/>
    </row>
    <row r="502" ht="15.75" customHeight="1">
      <c r="A502" s="15" t="s">
        <v>5164</v>
      </c>
      <c r="B502" s="15" t="s">
        <v>60</v>
      </c>
      <c r="C502" s="15" t="s">
        <v>236</v>
      </c>
      <c r="D502" s="56" t="s">
        <v>5165</v>
      </c>
      <c r="E502" s="15" t="s">
        <v>807</v>
      </c>
      <c r="F502" s="15" t="s">
        <v>5166</v>
      </c>
      <c r="G502" s="18" t="s">
        <v>5167</v>
      </c>
      <c r="H502" s="18"/>
      <c r="I502" s="18"/>
      <c r="J502" s="18"/>
    </row>
    <row r="503" ht="15.75" customHeight="1">
      <c r="A503" s="15" t="s">
        <v>5168</v>
      </c>
      <c r="B503" s="15" t="s">
        <v>60</v>
      </c>
      <c r="C503" s="15" t="s">
        <v>245</v>
      </c>
      <c r="D503" s="56" t="s">
        <v>5169</v>
      </c>
      <c r="E503" s="15" t="s">
        <v>807</v>
      </c>
      <c r="F503" s="15" t="s">
        <v>5170</v>
      </c>
      <c r="G503" s="18" t="s">
        <v>5171</v>
      </c>
      <c r="H503" s="18"/>
      <c r="I503" s="18"/>
      <c r="J503" s="18"/>
    </row>
    <row r="504" ht="15.75" customHeight="1">
      <c r="A504" s="15" t="s">
        <v>5172</v>
      </c>
      <c r="B504" s="15" t="s">
        <v>60</v>
      </c>
      <c r="C504" s="15" t="s">
        <v>1818</v>
      </c>
      <c r="D504" s="56" t="s">
        <v>5173</v>
      </c>
      <c r="E504" s="15" t="s">
        <v>807</v>
      </c>
      <c r="F504" s="15" t="s">
        <v>5174</v>
      </c>
      <c r="G504" s="18" t="s">
        <v>5175</v>
      </c>
      <c r="H504" s="18"/>
      <c r="I504" s="18"/>
      <c r="J504" s="18"/>
    </row>
    <row r="505" ht="15.75" customHeight="1">
      <c r="A505" s="15" t="s">
        <v>5176</v>
      </c>
      <c r="B505" s="15" t="s">
        <v>60</v>
      </c>
      <c r="C505" s="15" t="s">
        <v>570</v>
      </c>
      <c r="D505" s="56" t="s">
        <v>5177</v>
      </c>
      <c r="E505" s="15" t="s">
        <v>807</v>
      </c>
      <c r="F505" s="15" t="s">
        <v>5178</v>
      </c>
      <c r="G505" s="18" t="s">
        <v>5179</v>
      </c>
      <c r="H505" s="18"/>
      <c r="I505" s="18"/>
      <c r="J505" s="18"/>
    </row>
    <row r="506" ht="15.75" customHeight="1">
      <c r="A506" s="15" t="s">
        <v>5180</v>
      </c>
      <c r="B506" s="15" t="s">
        <v>60</v>
      </c>
      <c r="C506" s="15" t="s">
        <v>775</v>
      </c>
      <c r="D506" s="56" t="s">
        <v>5181</v>
      </c>
      <c r="E506" s="15" t="s">
        <v>807</v>
      </c>
      <c r="F506" s="15" t="s">
        <v>5182</v>
      </c>
      <c r="G506" s="18" t="s">
        <v>5183</v>
      </c>
      <c r="H506" s="18"/>
      <c r="I506" s="18"/>
      <c r="J506" s="18"/>
    </row>
    <row r="507" ht="15.75" customHeight="1">
      <c r="A507" s="15" t="s">
        <v>5184</v>
      </c>
      <c r="B507" s="15" t="s">
        <v>60</v>
      </c>
      <c r="C507" s="15" t="s">
        <v>264</v>
      </c>
      <c r="D507" s="56" t="s">
        <v>5185</v>
      </c>
      <c r="E507" s="15" t="s">
        <v>807</v>
      </c>
      <c r="F507" s="15" t="s">
        <v>5186</v>
      </c>
      <c r="G507" s="18" t="s">
        <v>5187</v>
      </c>
      <c r="H507" s="18"/>
      <c r="I507" s="18"/>
      <c r="J507" s="18"/>
    </row>
    <row r="508" ht="15.75" customHeight="1">
      <c r="A508" s="15" t="s">
        <v>5188</v>
      </c>
      <c r="B508" s="15" t="s">
        <v>60</v>
      </c>
      <c r="C508" s="15" t="s">
        <v>424</v>
      </c>
      <c r="D508" s="56" t="s">
        <v>5190</v>
      </c>
      <c r="E508" s="15" t="s">
        <v>807</v>
      </c>
      <c r="F508" s="15" t="s">
        <v>5192</v>
      </c>
      <c r="G508" s="18" t="s">
        <v>5194</v>
      </c>
      <c r="H508" s="18"/>
      <c r="I508" s="18"/>
      <c r="J508" s="18"/>
    </row>
    <row r="509" ht="15.75" customHeight="1">
      <c r="A509" s="15" t="s">
        <v>5197</v>
      </c>
      <c r="B509" s="15" t="s">
        <v>60</v>
      </c>
      <c r="C509" s="15" t="s">
        <v>236</v>
      </c>
      <c r="D509" s="56" t="s">
        <v>5198</v>
      </c>
      <c r="E509" s="15" t="s">
        <v>807</v>
      </c>
      <c r="F509" s="15" t="s">
        <v>5199</v>
      </c>
      <c r="G509" s="18" t="s">
        <v>5200</v>
      </c>
      <c r="H509" s="18"/>
      <c r="I509" s="18"/>
      <c r="J509" s="18"/>
    </row>
    <row r="510" ht="15.75" customHeight="1">
      <c r="A510" s="15" t="s">
        <v>5201</v>
      </c>
      <c r="B510" s="15" t="s">
        <v>60</v>
      </c>
      <c r="C510" s="15" t="s">
        <v>842</v>
      </c>
      <c r="D510" s="56" t="s">
        <v>5202</v>
      </c>
      <c r="E510" s="15" t="s">
        <v>807</v>
      </c>
      <c r="F510" s="15" t="s">
        <v>5203</v>
      </c>
      <c r="G510" s="18" t="s">
        <v>5204</v>
      </c>
      <c r="H510" s="18"/>
      <c r="I510" s="18"/>
      <c r="J510" s="18"/>
    </row>
    <row r="511" ht="15.75" customHeight="1">
      <c r="A511" s="15" t="s">
        <v>5205</v>
      </c>
      <c r="B511" s="15" t="s">
        <v>60</v>
      </c>
      <c r="C511" s="15" t="s">
        <v>264</v>
      </c>
      <c r="D511" s="56" t="s">
        <v>5206</v>
      </c>
      <c r="E511" s="15" t="s">
        <v>807</v>
      </c>
      <c r="F511" s="15" t="s">
        <v>5207</v>
      </c>
      <c r="G511" s="18" t="s">
        <v>5208</v>
      </c>
      <c r="H511" s="18"/>
      <c r="I511" s="18"/>
      <c r="J511" s="18"/>
    </row>
    <row r="512" ht="15.75" customHeight="1">
      <c r="A512" s="15" t="s">
        <v>5209</v>
      </c>
      <c r="B512" s="15" t="s">
        <v>60</v>
      </c>
      <c r="C512" s="15" t="s">
        <v>1155</v>
      </c>
      <c r="D512" s="56" t="s">
        <v>5210</v>
      </c>
      <c r="E512" s="15" t="s">
        <v>807</v>
      </c>
      <c r="F512" s="15" t="s">
        <v>5211</v>
      </c>
      <c r="G512" s="18" t="s">
        <v>5212</v>
      </c>
      <c r="H512" s="18"/>
      <c r="I512" s="18"/>
      <c r="J512" s="18"/>
    </row>
    <row r="513" ht="15.75" customHeight="1">
      <c r="A513" s="15" t="s">
        <v>5213</v>
      </c>
      <c r="B513" s="15" t="s">
        <v>60</v>
      </c>
      <c r="C513" s="15" t="s">
        <v>236</v>
      </c>
      <c r="D513" s="56" t="s">
        <v>5214</v>
      </c>
      <c r="E513" s="15" t="s">
        <v>807</v>
      </c>
      <c r="F513" s="15" t="s">
        <v>5215</v>
      </c>
      <c r="G513" s="18" t="s">
        <v>5216</v>
      </c>
      <c r="H513" s="18"/>
      <c r="I513" s="18"/>
      <c r="J513" s="18"/>
    </row>
    <row r="514" ht="15.75" customHeight="1">
      <c r="A514" s="15" t="s">
        <v>5217</v>
      </c>
      <c r="B514" s="15" t="s">
        <v>60</v>
      </c>
      <c r="C514" s="15" t="s">
        <v>264</v>
      </c>
      <c r="D514" s="56" t="s">
        <v>5218</v>
      </c>
      <c r="E514" s="15" t="s">
        <v>807</v>
      </c>
      <c r="F514" s="15" t="s">
        <v>5219</v>
      </c>
      <c r="G514" s="18" t="s">
        <v>5220</v>
      </c>
      <c r="H514" s="18"/>
      <c r="I514" s="18"/>
      <c r="J514" s="18"/>
    </row>
    <row r="515" ht="15.75" customHeight="1">
      <c r="A515" s="15" t="s">
        <v>5223</v>
      </c>
      <c r="B515" s="15" t="s">
        <v>60</v>
      </c>
      <c r="C515" s="15" t="s">
        <v>842</v>
      </c>
      <c r="D515" s="56" t="s">
        <v>5218</v>
      </c>
      <c r="E515" s="15" t="s">
        <v>807</v>
      </c>
      <c r="F515" s="15" t="s">
        <v>5228</v>
      </c>
      <c r="G515" s="18" t="s">
        <v>5229</v>
      </c>
      <c r="H515" s="18"/>
      <c r="I515" s="18"/>
      <c r="J515" s="18"/>
    </row>
    <row r="516" ht="15.75" customHeight="1">
      <c r="A516" s="15" t="s">
        <v>5230</v>
      </c>
      <c r="B516" s="15" t="s">
        <v>60</v>
      </c>
      <c r="C516" s="15" t="s">
        <v>1155</v>
      </c>
      <c r="D516" s="56" t="s">
        <v>5231</v>
      </c>
      <c r="E516" s="15" t="s">
        <v>807</v>
      </c>
      <c r="F516" s="15" t="s">
        <v>5232</v>
      </c>
      <c r="G516" s="18" t="s">
        <v>5233</v>
      </c>
      <c r="H516" s="18"/>
      <c r="I516" s="18"/>
      <c r="J516" s="18"/>
    </row>
    <row r="517" ht="15.75" customHeight="1">
      <c r="A517" s="15" t="s">
        <v>5234</v>
      </c>
      <c r="B517" s="15" t="s">
        <v>60</v>
      </c>
      <c r="C517" s="15" t="s">
        <v>570</v>
      </c>
      <c r="D517" s="56" t="s">
        <v>5235</v>
      </c>
      <c r="E517" s="15" t="s">
        <v>807</v>
      </c>
      <c r="F517" s="15" t="s">
        <v>5236</v>
      </c>
      <c r="G517" s="18" t="s">
        <v>5237</v>
      </c>
      <c r="H517" s="18"/>
      <c r="I517" s="18"/>
      <c r="J517" s="18"/>
    </row>
    <row r="518" ht="15.75" customHeight="1">
      <c r="A518" s="15" t="s">
        <v>5238</v>
      </c>
      <c r="B518" s="15" t="s">
        <v>60</v>
      </c>
      <c r="C518" s="15" t="s">
        <v>1139</v>
      </c>
      <c r="D518" s="56" t="s">
        <v>5239</v>
      </c>
      <c r="E518" s="15" t="s">
        <v>807</v>
      </c>
      <c r="F518" s="15" t="s">
        <v>5240</v>
      </c>
      <c r="G518" s="18" t="s">
        <v>5241</v>
      </c>
      <c r="H518" s="18"/>
      <c r="I518" s="18"/>
      <c r="J518" s="18"/>
    </row>
    <row r="519" ht="15.75" customHeight="1">
      <c r="A519" s="15" t="s">
        <v>5242</v>
      </c>
      <c r="B519" s="15" t="s">
        <v>60</v>
      </c>
      <c r="C519" s="15" t="s">
        <v>224</v>
      </c>
      <c r="D519" s="56" t="s">
        <v>5243</v>
      </c>
      <c r="E519" s="15" t="s">
        <v>807</v>
      </c>
      <c r="F519" s="15" t="s">
        <v>5244</v>
      </c>
      <c r="G519" s="18" t="s">
        <v>5245</v>
      </c>
      <c r="H519" s="18"/>
      <c r="I519" s="18"/>
      <c r="J519" s="18"/>
    </row>
    <row r="520" ht="15.75" customHeight="1">
      <c r="A520" s="15" t="s">
        <v>5246</v>
      </c>
      <c r="B520" s="15" t="s">
        <v>60</v>
      </c>
      <c r="C520" s="15" t="s">
        <v>354</v>
      </c>
      <c r="D520" s="56" t="s">
        <v>5247</v>
      </c>
      <c r="E520" s="15" t="s">
        <v>807</v>
      </c>
      <c r="F520" s="15" t="s">
        <v>5248</v>
      </c>
      <c r="G520" s="18" t="s">
        <v>5249</v>
      </c>
      <c r="H520" s="18"/>
      <c r="I520" s="18"/>
      <c r="J520" s="18"/>
    </row>
    <row r="521" ht="15.75" customHeight="1">
      <c r="A521" s="15" t="s">
        <v>5250</v>
      </c>
      <c r="B521" s="15" t="s">
        <v>60</v>
      </c>
      <c r="C521" s="15" t="s">
        <v>1312</v>
      </c>
      <c r="D521" s="56" t="s">
        <v>5251</v>
      </c>
      <c r="E521" s="15" t="s">
        <v>807</v>
      </c>
      <c r="F521" s="15" t="s">
        <v>5253</v>
      </c>
      <c r="G521" s="18" t="s">
        <v>5255</v>
      </c>
      <c r="H521" s="18"/>
      <c r="I521" s="18"/>
      <c r="J521" s="18"/>
    </row>
    <row r="522" ht="15.75" customHeight="1">
      <c r="A522" s="15" t="s">
        <v>5258</v>
      </c>
      <c r="B522" s="15" t="s">
        <v>60</v>
      </c>
      <c r="C522" s="15" t="s">
        <v>1165</v>
      </c>
      <c r="D522" s="56" t="s">
        <v>5261</v>
      </c>
      <c r="E522" s="15" t="s">
        <v>807</v>
      </c>
      <c r="F522" s="15" t="s">
        <v>5262</v>
      </c>
      <c r="G522" s="18" t="s">
        <v>5263</v>
      </c>
      <c r="H522" s="18"/>
      <c r="I522" s="18"/>
      <c r="J522" s="18"/>
    </row>
    <row r="523" ht="15.75" customHeight="1">
      <c r="A523" s="15" t="s">
        <v>5264</v>
      </c>
      <c r="B523" s="15" t="s">
        <v>60</v>
      </c>
      <c r="C523" s="15" t="s">
        <v>236</v>
      </c>
      <c r="D523" s="56" t="s">
        <v>5265</v>
      </c>
      <c r="E523" s="15" t="s">
        <v>807</v>
      </c>
      <c r="F523" s="15" t="s">
        <v>5266</v>
      </c>
      <c r="G523" s="18" t="s">
        <v>5267</v>
      </c>
      <c r="H523" s="18"/>
      <c r="I523" s="18"/>
      <c r="J523" s="18"/>
    </row>
    <row r="524" ht="15.75" customHeight="1">
      <c r="A524" s="15" t="s">
        <v>5268</v>
      </c>
      <c r="B524" s="15" t="s">
        <v>60</v>
      </c>
      <c r="C524" s="15" t="s">
        <v>245</v>
      </c>
      <c r="D524" s="56" t="s">
        <v>5269</v>
      </c>
      <c r="E524" s="15" t="s">
        <v>807</v>
      </c>
      <c r="F524" s="15" t="s">
        <v>5270</v>
      </c>
      <c r="G524" s="18" t="s">
        <v>5271</v>
      </c>
      <c r="H524" s="18"/>
      <c r="I524" s="18"/>
      <c r="J524" s="18"/>
    </row>
    <row r="525" ht="15.75" customHeight="1">
      <c r="A525" s="15" t="s">
        <v>5272</v>
      </c>
      <c r="B525" s="15" t="s">
        <v>60</v>
      </c>
      <c r="C525" s="15" t="s">
        <v>85</v>
      </c>
      <c r="D525" s="56" t="s">
        <v>5273</v>
      </c>
      <c r="E525" s="15" t="s">
        <v>807</v>
      </c>
      <c r="F525" s="15" t="s">
        <v>5274</v>
      </c>
      <c r="G525" s="18" t="s">
        <v>5275</v>
      </c>
      <c r="H525" s="18"/>
      <c r="I525" s="18"/>
      <c r="J525" s="18"/>
    </row>
    <row r="526" ht="15.75" customHeight="1">
      <c r="A526" s="15" t="s">
        <v>5276</v>
      </c>
      <c r="B526" s="15" t="s">
        <v>60</v>
      </c>
      <c r="C526" s="15" t="s">
        <v>413</v>
      </c>
      <c r="D526" s="56" t="s">
        <v>5277</v>
      </c>
      <c r="E526" s="15" t="s">
        <v>807</v>
      </c>
      <c r="F526" s="15" t="s">
        <v>5278</v>
      </c>
      <c r="G526" s="18" t="s">
        <v>5279</v>
      </c>
      <c r="H526" s="18"/>
      <c r="I526" s="18"/>
      <c r="J526" s="18"/>
    </row>
    <row r="527" ht="15.75" customHeight="1">
      <c r="A527" s="15" t="s">
        <v>5280</v>
      </c>
      <c r="B527" s="15" t="s">
        <v>60</v>
      </c>
      <c r="C527" s="15" t="s">
        <v>85</v>
      </c>
      <c r="D527" s="56" t="s">
        <v>5281</v>
      </c>
      <c r="E527" s="15" t="s">
        <v>807</v>
      </c>
      <c r="F527" s="15" t="s">
        <v>5282</v>
      </c>
      <c r="G527" s="18" t="s">
        <v>5283</v>
      </c>
      <c r="H527" s="18"/>
      <c r="I527" s="18"/>
      <c r="J527" s="18"/>
    </row>
    <row r="528" ht="15.75" customHeight="1">
      <c r="A528" s="15" t="s">
        <v>5284</v>
      </c>
      <c r="B528" s="15" t="s">
        <v>60</v>
      </c>
      <c r="C528" s="15" t="s">
        <v>1312</v>
      </c>
      <c r="D528" s="56" t="s">
        <v>5285</v>
      </c>
      <c r="E528" s="15" t="s">
        <v>807</v>
      </c>
      <c r="F528" s="15" t="s">
        <v>5286</v>
      </c>
      <c r="G528" s="18" t="s">
        <v>5287</v>
      </c>
      <c r="H528" s="18"/>
      <c r="I528" s="18"/>
      <c r="J528" s="18"/>
    </row>
    <row r="529" ht="15.75" customHeight="1">
      <c r="A529" s="15" t="s">
        <v>5288</v>
      </c>
      <c r="B529" s="15" t="s">
        <v>60</v>
      </c>
      <c r="C529" s="15" t="s">
        <v>85</v>
      </c>
      <c r="D529" s="56" t="s">
        <v>5289</v>
      </c>
      <c r="E529" s="15" t="s">
        <v>807</v>
      </c>
      <c r="F529" s="15" t="s">
        <v>5290</v>
      </c>
      <c r="G529" s="18" t="s">
        <v>5291</v>
      </c>
      <c r="H529" s="18"/>
      <c r="I529" s="18"/>
      <c r="J529" s="18"/>
    </row>
    <row r="530" ht="15.75" customHeight="1">
      <c r="A530" s="15" t="s">
        <v>5293</v>
      </c>
      <c r="B530" s="15" t="s">
        <v>60</v>
      </c>
      <c r="C530" s="15" t="s">
        <v>1818</v>
      </c>
      <c r="D530" s="56" t="s">
        <v>5295</v>
      </c>
      <c r="E530" s="15" t="s">
        <v>807</v>
      </c>
      <c r="F530" s="15" t="s">
        <v>5298</v>
      </c>
      <c r="G530" s="18" t="s">
        <v>5300</v>
      </c>
      <c r="H530" s="18"/>
      <c r="I530" s="18"/>
      <c r="J530" s="18"/>
    </row>
    <row r="531" ht="15.75" customHeight="1">
      <c r="A531" s="15" t="s">
        <v>5302</v>
      </c>
      <c r="B531" s="15" t="s">
        <v>60</v>
      </c>
      <c r="C531" s="15" t="s">
        <v>1139</v>
      </c>
      <c r="D531" s="56" t="s">
        <v>5303</v>
      </c>
      <c r="E531" s="15" t="s">
        <v>807</v>
      </c>
      <c r="F531" s="15" t="s">
        <v>5304</v>
      </c>
      <c r="G531" s="18" t="s">
        <v>5305</v>
      </c>
      <c r="H531" s="18"/>
      <c r="I531" s="18"/>
      <c r="J531" s="18"/>
    </row>
    <row r="532" ht="15.75" customHeight="1">
      <c r="A532" s="15" t="s">
        <v>5306</v>
      </c>
      <c r="B532" s="15" t="s">
        <v>60</v>
      </c>
      <c r="C532" s="15" t="s">
        <v>1312</v>
      </c>
      <c r="D532" s="56" t="s">
        <v>5307</v>
      </c>
      <c r="E532" s="15" t="s">
        <v>807</v>
      </c>
      <c r="F532" s="15" t="s">
        <v>5308</v>
      </c>
      <c r="G532" s="18" t="s">
        <v>5309</v>
      </c>
      <c r="H532" s="18"/>
      <c r="I532" s="18"/>
      <c r="J532" s="18"/>
    </row>
    <row r="533" ht="15.75" customHeight="1">
      <c r="A533" s="15" t="s">
        <v>5310</v>
      </c>
      <c r="B533" s="15" t="s">
        <v>60</v>
      </c>
      <c r="C533" s="15" t="s">
        <v>245</v>
      </c>
      <c r="D533" s="56" t="s">
        <v>5311</v>
      </c>
      <c r="E533" s="15" t="s">
        <v>807</v>
      </c>
      <c r="F533" s="15" t="s">
        <v>5312</v>
      </c>
      <c r="G533" s="18" t="s">
        <v>5313</v>
      </c>
      <c r="H533" s="18"/>
      <c r="I533" s="18"/>
      <c r="J533" s="18"/>
    </row>
    <row r="534" ht="15.75" customHeight="1">
      <c r="A534" s="15" t="s">
        <v>5314</v>
      </c>
      <c r="B534" s="15" t="s">
        <v>60</v>
      </c>
      <c r="C534" s="15" t="s">
        <v>264</v>
      </c>
      <c r="D534" s="56" t="s">
        <v>5315</v>
      </c>
      <c r="E534" s="15" t="s">
        <v>807</v>
      </c>
      <c r="F534" s="15" t="s">
        <v>5316</v>
      </c>
      <c r="G534" s="18" t="s">
        <v>5317</v>
      </c>
      <c r="H534" s="18"/>
      <c r="I534" s="18"/>
      <c r="J534" s="18"/>
    </row>
    <row r="535" ht="15.75" customHeight="1">
      <c r="A535" s="15" t="s">
        <v>5318</v>
      </c>
      <c r="B535" s="15" t="s">
        <v>60</v>
      </c>
      <c r="C535" s="15" t="s">
        <v>878</v>
      </c>
      <c r="D535" s="56" t="s">
        <v>5319</v>
      </c>
      <c r="E535" s="15" t="s">
        <v>807</v>
      </c>
      <c r="F535" s="15" t="s">
        <v>5320</v>
      </c>
      <c r="G535" s="18" t="s">
        <v>5321</v>
      </c>
      <c r="H535" s="18"/>
      <c r="I535" s="18"/>
      <c r="J535" s="18"/>
    </row>
    <row r="536" ht="15.75" customHeight="1">
      <c r="A536" s="15" t="s">
        <v>5322</v>
      </c>
      <c r="B536" s="15" t="s">
        <v>60</v>
      </c>
      <c r="C536" s="15" t="s">
        <v>775</v>
      </c>
      <c r="D536" s="56" t="s">
        <v>5323</v>
      </c>
      <c r="E536" s="15" t="s">
        <v>807</v>
      </c>
      <c r="F536" s="15" t="s">
        <v>5324</v>
      </c>
      <c r="G536" s="18" t="s">
        <v>5325</v>
      </c>
      <c r="H536" s="18"/>
      <c r="I536" s="18"/>
      <c r="J536" s="18"/>
    </row>
    <row r="537" ht="15.75" customHeight="1">
      <c r="A537" s="15" t="s">
        <v>5326</v>
      </c>
      <c r="B537" s="15" t="s">
        <v>60</v>
      </c>
      <c r="C537" s="15" t="s">
        <v>775</v>
      </c>
      <c r="D537" s="56" t="s">
        <v>5327</v>
      </c>
      <c r="E537" s="15" t="s">
        <v>807</v>
      </c>
      <c r="F537" s="15" t="s">
        <v>5328</v>
      </c>
      <c r="G537" s="18" t="s">
        <v>5329</v>
      </c>
      <c r="H537" s="18"/>
      <c r="I537" s="18"/>
      <c r="J537" s="18"/>
    </row>
    <row r="538" ht="15.75" customHeight="1">
      <c r="A538" s="15" t="s">
        <v>5330</v>
      </c>
      <c r="B538" s="15" t="s">
        <v>60</v>
      </c>
      <c r="C538" s="15" t="s">
        <v>264</v>
      </c>
      <c r="D538" s="56" t="s">
        <v>5331</v>
      </c>
      <c r="E538" s="15" t="s">
        <v>807</v>
      </c>
      <c r="F538" s="15" t="s">
        <v>5332</v>
      </c>
      <c r="G538" s="18" t="s">
        <v>5334</v>
      </c>
      <c r="H538" s="18"/>
      <c r="I538" s="18"/>
      <c r="J538" s="18"/>
    </row>
    <row r="539" ht="15.75" customHeight="1">
      <c r="A539" s="15" t="s">
        <v>5337</v>
      </c>
      <c r="B539" s="15" t="s">
        <v>60</v>
      </c>
      <c r="C539" s="15" t="s">
        <v>85</v>
      </c>
      <c r="D539" s="56" t="s">
        <v>5340</v>
      </c>
      <c r="E539" s="15" t="s">
        <v>807</v>
      </c>
      <c r="F539" s="15" t="s">
        <v>5342</v>
      </c>
      <c r="G539" s="18" t="s">
        <v>5343</v>
      </c>
      <c r="H539" s="18"/>
      <c r="I539" s="18"/>
      <c r="J539" s="18"/>
    </row>
    <row r="540" ht="15.75" customHeight="1">
      <c r="A540" s="15" t="s">
        <v>5344</v>
      </c>
      <c r="B540" s="15" t="s">
        <v>60</v>
      </c>
      <c r="C540" s="15" t="s">
        <v>1155</v>
      </c>
      <c r="D540" s="56" t="s">
        <v>5345</v>
      </c>
      <c r="E540" s="15" t="s">
        <v>807</v>
      </c>
      <c r="F540" s="15" t="s">
        <v>5346</v>
      </c>
      <c r="G540" s="18" t="s">
        <v>5347</v>
      </c>
      <c r="H540" s="18"/>
      <c r="I540" s="18"/>
      <c r="J540" s="18"/>
    </row>
    <row r="541" ht="15.75" customHeight="1">
      <c r="A541" s="15" t="s">
        <v>5348</v>
      </c>
      <c r="B541" s="15" t="s">
        <v>60</v>
      </c>
      <c r="C541" s="15" t="s">
        <v>878</v>
      </c>
      <c r="D541" s="56" t="s">
        <v>5349</v>
      </c>
      <c r="E541" s="15" t="s">
        <v>807</v>
      </c>
      <c r="F541" s="15" t="s">
        <v>5350</v>
      </c>
      <c r="G541" s="18" t="s">
        <v>5351</v>
      </c>
      <c r="H541" s="18"/>
      <c r="I541" s="18"/>
      <c r="J541" s="18"/>
    </row>
    <row r="542" ht="15.75" customHeight="1">
      <c r="A542" s="15" t="s">
        <v>5352</v>
      </c>
      <c r="B542" s="15" t="s">
        <v>60</v>
      </c>
      <c r="C542" s="15" t="s">
        <v>245</v>
      </c>
      <c r="D542" s="56" t="s">
        <v>5353</v>
      </c>
      <c r="E542" s="15" t="s">
        <v>807</v>
      </c>
      <c r="F542" s="15" t="s">
        <v>5354</v>
      </c>
      <c r="G542" s="18" t="s">
        <v>5355</v>
      </c>
      <c r="H542" s="18"/>
      <c r="I542" s="18"/>
      <c r="J542" s="18"/>
    </row>
    <row r="543" ht="15.75" customHeight="1">
      <c r="A543" s="15" t="s">
        <v>5356</v>
      </c>
      <c r="B543" s="15" t="s">
        <v>60</v>
      </c>
      <c r="C543" s="15" t="s">
        <v>85</v>
      </c>
      <c r="D543" s="56" t="s">
        <v>5357</v>
      </c>
      <c r="E543" s="15" t="s">
        <v>807</v>
      </c>
      <c r="F543" s="15" t="s">
        <v>5358</v>
      </c>
      <c r="G543" s="18" t="s">
        <v>5359</v>
      </c>
      <c r="H543" s="18"/>
      <c r="I543" s="18"/>
      <c r="J543" s="18"/>
    </row>
    <row r="544" ht="15.75" customHeight="1">
      <c r="A544" s="15" t="s">
        <v>5360</v>
      </c>
      <c r="B544" s="15" t="s">
        <v>60</v>
      </c>
      <c r="C544" s="15" t="s">
        <v>424</v>
      </c>
      <c r="D544" s="56" t="s">
        <v>5361</v>
      </c>
      <c r="E544" s="15" t="s">
        <v>807</v>
      </c>
      <c r="F544" s="15" t="s">
        <v>5362</v>
      </c>
      <c r="G544" s="18" t="s">
        <v>5363</v>
      </c>
      <c r="H544" s="18"/>
      <c r="I544" s="18"/>
      <c r="J544" s="18"/>
    </row>
    <row r="545" ht="15.75" customHeight="1">
      <c r="A545" s="15" t="s">
        <v>5364</v>
      </c>
      <c r="B545" s="15" t="s">
        <v>60</v>
      </c>
      <c r="C545" s="15" t="s">
        <v>354</v>
      </c>
      <c r="D545" s="56" t="s">
        <v>5365</v>
      </c>
      <c r="E545" s="15" t="s">
        <v>807</v>
      </c>
      <c r="F545" s="15" t="s">
        <v>5366</v>
      </c>
      <c r="G545" s="18" t="s">
        <v>5367</v>
      </c>
      <c r="H545" s="18"/>
      <c r="I545" s="18"/>
      <c r="J545" s="18"/>
    </row>
    <row r="546" ht="15.75" customHeight="1">
      <c r="A546" s="15" t="s">
        <v>5368</v>
      </c>
      <c r="B546" s="15" t="s">
        <v>60</v>
      </c>
      <c r="C546" s="15" t="s">
        <v>958</v>
      </c>
      <c r="D546" s="56" t="s">
        <v>5369</v>
      </c>
      <c r="E546" s="15" t="s">
        <v>807</v>
      </c>
      <c r="F546" s="15" t="s">
        <v>5370</v>
      </c>
      <c r="G546" s="18" t="s">
        <v>5371</v>
      </c>
      <c r="H546" s="18"/>
      <c r="I546" s="18"/>
      <c r="J546" s="18"/>
    </row>
    <row r="547" ht="15.75" customHeight="1">
      <c r="A547" s="15" t="s">
        <v>5372</v>
      </c>
      <c r="B547" s="15" t="s">
        <v>60</v>
      </c>
      <c r="C547" s="15" t="s">
        <v>878</v>
      </c>
      <c r="D547" s="56" t="s">
        <v>5373</v>
      </c>
      <c r="E547" s="15" t="s">
        <v>807</v>
      </c>
      <c r="F547" s="15" t="s">
        <v>5375</v>
      </c>
      <c r="G547" s="18" t="s">
        <v>5377</v>
      </c>
      <c r="H547" s="18"/>
      <c r="I547" s="18"/>
      <c r="J547" s="18"/>
    </row>
    <row r="548" ht="15.75" customHeight="1">
      <c r="A548" s="15" t="s">
        <v>5381</v>
      </c>
      <c r="B548" s="15" t="s">
        <v>60</v>
      </c>
      <c r="C548" s="15" t="s">
        <v>1687</v>
      </c>
      <c r="D548" s="56" t="s">
        <v>5382</v>
      </c>
      <c r="E548" s="15" t="s">
        <v>807</v>
      </c>
      <c r="F548" s="15" t="s">
        <v>5383</v>
      </c>
      <c r="G548" s="18" t="s">
        <v>5384</v>
      </c>
      <c r="H548" s="18"/>
      <c r="I548" s="18"/>
      <c r="J548" s="18"/>
    </row>
    <row r="549" ht="15.75" customHeight="1">
      <c r="A549" s="15" t="s">
        <v>5385</v>
      </c>
      <c r="B549" s="15" t="s">
        <v>60</v>
      </c>
      <c r="C549" s="15" t="s">
        <v>1165</v>
      </c>
      <c r="D549" s="56" t="s">
        <v>5386</v>
      </c>
      <c r="E549" s="15" t="s">
        <v>807</v>
      </c>
      <c r="F549" s="15" t="s">
        <v>5387</v>
      </c>
      <c r="G549" s="18" t="s">
        <v>5388</v>
      </c>
      <c r="H549" s="18"/>
      <c r="I549" s="18"/>
      <c r="J549" s="18"/>
    </row>
    <row r="550" ht="15.75" customHeight="1">
      <c r="A550" s="15" t="s">
        <v>5389</v>
      </c>
      <c r="B550" s="15" t="s">
        <v>60</v>
      </c>
      <c r="C550" s="15" t="s">
        <v>264</v>
      </c>
      <c r="D550" s="56" t="s">
        <v>5390</v>
      </c>
      <c r="E550" s="15" t="s">
        <v>807</v>
      </c>
      <c r="F550" s="15" t="s">
        <v>5391</v>
      </c>
      <c r="G550" s="18" t="s">
        <v>5392</v>
      </c>
      <c r="H550" s="18"/>
      <c r="I550" s="18"/>
      <c r="J550" s="18"/>
    </row>
    <row r="551" ht="15.75" customHeight="1">
      <c r="A551" s="15" t="s">
        <v>5393</v>
      </c>
      <c r="B551" s="15" t="s">
        <v>60</v>
      </c>
      <c r="C551" s="15" t="s">
        <v>1155</v>
      </c>
      <c r="D551" s="56" t="s">
        <v>5394</v>
      </c>
      <c r="E551" s="15" t="s">
        <v>807</v>
      </c>
      <c r="F551" s="15" t="s">
        <v>5395</v>
      </c>
      <c r="G551" s="18" t="s">
        <v>5396</v>
      </c>
      <c r="H551" s="18"/>
      <c r="I551" s="18"/>
      <c r="J551" s="18"/>
    </row>
    <row r="552" ht="15.75" customHeight="1">
      <c r="A552" s="15" t="s">
        <v>5397</v>
      </c>
      <c r="B552" s="15" t="s">
        <v>60</v>
      </c>
      <c r="C552" s="15" t="s">
        <v>570</v>
      </c>
      <c r="D552" s="56" t="s">
        <v>5398</v>
      </c>
      <c r="E552" s="15" t="s">
        <v>807</v>
      </c>
      <c r="F552" s="15" t="s">
        <v>5399</v>
      </c>
      <c r="G552" s="18" t="s">
        <v>5400</v>
      </c>
      <c r="H552" s="18"/>
      <c r="I552" s="18"/>
      <c r="J552" s="18"/>
    </row>
    <row r="553" ht="15.75" customHeight="1">
      <c r="A553" s="15" t="s">
        <v>5401</v>
      </c>
      <c r="B553" s="15" t="s">
        <v>60</v>
      </c>
      <c r="C553" s="15" t="s">
        <v>224</v>
      </c>
      <c r="D553" s="56" t="s">
        <v>5402</v>
      </c>
      <c r="E553" s="15" t="s">
        <v>807</v>
      </c>
      <c r="F553" s="15" t="s">
        <v>5403</v>
      </c>
      <c r="G553" s="18" t="s">
        <v>5404</v>
      </c>
      <c r="H553" s="18"/>
      <c r="I553" s="18"/>
      <c r="J553" s="18"/>
    </row>
    <row r="554" ht="15.75" customHeight="1">
      <c r="A554" s="15" t="s">
        <v>5405</v>
      </c>
      <c r="B554" s="15" t="s">
        <v>60</v>
      </c>
      <c r="C554" s="15" t="s">
        <v>224</v>
      </c>
      <c r="D554" s="56" t="s">
        <v>5406</v>
      </c>
      <c r="E554" s="15" t="s">
        <v>807</v>
      </c>
      <c r="F554" s="15" t="s">
        <v>5407</v>
      </c>
      <c r="G554" s="18" t="s">
        <v>5408</v>
      </c>
      <c r="H554" s="18"/>
      <c r="I554" s="18"/>
      <c r="J554" s="18"/>
    </row>
    <row r="555" ht="15.75" customHeight="1">
      <c r="A555" s="15" t="s">
        <v>5409</v>
      </c>
      <c r="B555" s="15" t="s">
        <v>60</v>
      </c>
      <c r="C555" s="15" t="s">
        <v>842</v>
      </c>
      <c r="D555" s="56" t="s">
        <v>5410</v>
      </c>
      <c r="E555" s="15" t="s">
        <v>807</v>
      </c>
      <c r="F555" s="15" t="s">
        <v>5411</v>
      </c>
      <c r="G555" s="18" t="s">
        <v>5412</v>
      </c>
      <c r="H555" s="18"/>
      <c r="I555" s="18"/>
      <c r="J555" s="18"/>
    </row>
    <row r="556" ht="15.75" customHeight="1">
      <c r="A556" s="15" t="s">
        <v>5415</v>
      </c>
      <c r="B556" s="15" t="s">
        <v>60</v>
      </c>
      <c r="C556" s="15" t="s">
        <v>85</v>
      </c>
      <c r="D556" s="56" t="s">
        <v>5417</v>
      </c>
      <c r="E556" s="15" t="s">
        <v>807</v>
      </c>
      <c r="F556" s="15" t="s">
        <v>5420</v>
      </c>
      <c r="G556" s="18" t="s">
        <v>5421</v>
      </c>
      <c r="H556" s="18"/>
      <c r="I556" s="18"/>
      <c r="J556" s="18"/>
    </row>
    <row r="557" ht="15.75" customHeight="1">
      <c r="A557" s="15" t="s">
        <v>5423</v>
      </c>
      <c r="B557" s="15" t="s">
        <v>60</v>
      </c>
      <c r="C557" s="15" t="s">
        <v>1165</v>
      </c>
      <c r="D557" s="56" t="s">
        <v>5424</v>
      </c>
      <c r="E557" s="15" t="s">
        <v>807</v>
      </c>
      <c r="F557" s="15" t="s">
        <v>5425</v>
      </c>
      <c r="G557" s="18" t="s">
        <v>5426</v>
      </c>
      <c r="H557" s="18"/>
      <c r="I557" s="18"/>
      <c r="J557" s="18"/>
    </row>
    <row r="558" ht="15.75" customHeight="1">
      <c r="A558" s="15" t="s">
        <v>5427</v>
      </c>
      <c r="B558" s="15" t="s">
        <v>60</v>
      </c>
      <c r="C558" s="15" t="s">
        <v>1687</v>
      </c>
      <c r="D558" s="56" t="s">
        <v>5428</v>
      </c>
      <c r="E558" s="15" t="s">
        <v>807</v>
      </c>
      <c r="F558" s="15" t="s">
        <v>5429</v>
      </c>
      <c r="G558" s="18" t="s">
        <v>5430</v>
      </c>
      <c r="H558" s="18"/>
      <c r="I558" s="18"/>
      <c r="J558" s="18"/>
    </row>
    <row r="559" ht="15.75" customHeight="1">
      <c r="A559" s="15" t="s">
        <v>5431</v>
      </c>
      <c r="B559" s="15" t="s">
        <v>60</v>
      </c>
      <c r="C559" s="15" t="s">
        <v>85</v>
      </c>
      <c r="D559" s="56" t="s">
        <v>5432</v>
      </c>
      <c r="E559" s="15" t="s">
        <v>807</v>
      </c>
      <c r="F559" s="15" t="s">
        <v>5433</v>
      </c>
      <c r="G559" s="18" t="s">
        <v>5434</v>
      </c>
      <c r="H559" s="18"/>
      <c r="I559" s="18"/>
      <c r="J559" s="18"/>
    </row>
    <row r="560" ht="15.75" customHeight="1">
      <c r="A560" s="15" t="s">
        <v>5435</v>
      </c>
      <c r="B560" s="15" t="s">
        <v>60</v>
      </c>
      <c r="C560" s="15" t="s">
        <v>1139</v>
      </c>
      <c r="D560" s="56" t="s">
        <v>5436</v>
      </c>
      <c r="E560" s="15" t="s">
        <v>807</v>
      </c>
      <c r="F560" s="15" t="s">
        <v>5437</v>
      </c>
      <c r="G560" s="18" t="s">
        <v>5438</v>
      </c>
      <c r="H560" s="18"/>
      <c r="I560" s="18"/>
      <c r="J560" s="18"/>
    </row>
    <row r="561" ht="15.75" customHeight="1">
      <c r="A561" s="15" t="s">
        <v>5439</v>
      </c>
      <c r="B561" s="15" t="s">
        <v>60</v>
      </c>
      <c r="C561" s="15" t="s">
        <v>264</v>
      </c>
      <c r="D561" s="56" t="s">
        <v>5440</v>
      </c>
      <c r="E561" s="15" t="s">
        <v>807</v>
      </c>
      <c r="F561" s="15" t="s">
        <v>5441</v>
      </c>
      <c r="G561" s="18" t="s">
        <v>5442</v>
      </c>
      <c r="H561" s="18"/>
      <c r="I561" s="18"/>
      <c r="J561" s="18"/>
    </row>
    <row r="562" ht="15.75" customHeight="1">
      <c r="A562" s="15" t="s">
        <v>5443</v>
      </c>
      <c r="B562" s="15" t="s">
        <v>60</v>
      </c>
      <c r="C562" s="15" t="s">
        <v>1155</v>
      </c>
      <c r="D562" s="56" t="s">
        <v>5444</v>
      </c>
      <c r="E562" s="15" t="s">
        <v>807</v>
      </c>
      <c r="F562" s="15" t="s">
        <v>5445</v>
      </c>
      <c r="G562" s="18" t="s">
        <v>5446</v>
      </c>
      <c r="H562" s="18"/>
      <c r="I562" s="18"/>
      <c r="J562" s="18"/>
    </row>
    <row r="563" ht="15.75" customHeight="1">
      <c r="A563" s="15" t="s">
        <v>5447</v>
      </c>
      <c r="B563" s="15" t="s">
        <v>60</v>
      </c>
      <c r="C563" s="15" t="s">
        <v>570</v>
      </c>
      <c r="D563" s="56" t="s">
        <v>5448</v>
      </c>
      <c r="E563" s="15" t="s">
        <v>807</v>
      </c>
      <c r="F563" s="15" t="s">
        <v>5449</v>
      </c>
      <c r="G563" s="18" t="s">
        <v>5450</v>
      </c>
      <c r="H563" s="18"/>
      <c r="I563" s="18"/>
      <c r="J563" s="18"/>
    </row>
    <row r="564" ht="15.75" customHeight="1">
      <c r="A564" s="15" t="s">
        <v>5451</v>
      </c>
      <c r="B564" s="15" t="s">
        <v>60</v>
      </c>
      <c r="C564" s="15" t="s">
        <v>570</v>
      </c>
      <c r="D564" s="56" t="s">
        <v>5452</v>
      </c>
      <c r="E564" s="15" t="s">
        <v>807</v>
      </c>
      <c r="F564" s="15" t="s">
        <v>5453</v>
      </c>
      <c r="G564" s="18" t="s">
        <v>5454</v>
      </c>
      <c r="H564" s="18"/>
      <c r="I564" s="18"/>
      <c r="J564" s="18"/>
    </row>
    <row r="565" ht="15.75" customHeight="1">
      <c r="A565" s="15" t="s">
        <v>5457</v>
      </c>
      <c r="B565" s="15" t="s">
        <v>60</v>
      </c>
      <c r="C565" s="15" t="s">
        <v>570</v>
      </c>
      <c r="D565" s="56" t="s">
        <v>5460</v>
      </c>
      <c r="E565" s="15" t="s">
        <v>807</v>
      </c>
      <c r="F565" s="15" t="s">
        <v>5463</v>
      </c>
      <c r="G565" s="18" t="s">
        <v>5464</v>
      </c>
      <c r="H565" s="18"/>
      <c r="I565" s="18"/>
      <c r="J565" s="18"/>
    </row>
    <row r="566" ht="15.75" customHeight="1">
      <c r="A566" s="15" t="s">
        <v>5465</v>
      </c>
      <c r="B566" s="15" t="s">
        <v>60</v>
      </c>
      <c r="C566" s="15" t="s">
        <v>1312</v>
      </c>
      <c r="D566" s="56" t="s">
        <v>5466</v>
      </c>
      <c r="E566" s="15" t="s">
        <v>807</v>
      </c>
      <c r="F566" s="15" t="s">
        <v>5467</v>
      </c>
      <c r="G566" s="18" t="s">
        <v>5468</v>
      </c>
      <c r="H566" s="18"/>
      <c r="I566" s="18"/>
      <c r="J566" s="18"/>
    </row>
    <row r="567" ht="15.75" customHeight="1">
      <c r="A567" s="15" t="s">
        <v>5469</v>
      </c>
      <c r="B567" s="15" t="s">
        <v>60</v>
      </c>
      <c r="C567" s="15" t="s">
        <v>1312</v>
      </c>
      <c r="D567" s="56" t="s">
        <v>5470</v>
      </c>
      <c r="E567" s="15" t="s">
        <v>807</v>
      </c>
      <c r="F567" s="15" t="s">
        <v>5471</v>
      </c>
      <c r="G567" s="18" t="s">
        <v>5472</v>
      </c>
      <c r="H567" s="18"/>
      <c r="I567" s="18"/>
      <c r="J567" s="18"/>
    </row>
    <row r="568" ht="15.75" customHeight="1">
      <c r="A568" s="15" t="s">
        <v>5473</v>
      </c>
      <c r="B568" s="15" t="s">
        <v>60</v>
      </c>
      <c r="C568" s="15" t="s">
        <v>413</v>
      </c>
      <c r="D568" s="56" t="s">
        <v>5474</v>
      </c>
      <c r="E568" s="15" t="s">
        <v>807</v>
      </c>
      <c r="F568" s="15" t="s">
        <v>5475</v>
      </c>
      <c r="G568" s="18" t="s">
        <v>5476</v>
      </c>
      <c r="H568" s="18"/>
      <c r="I568" s="18"/>
      <c r="J568" s="18"/>
    </row>
    <row r="569" ht="15.75" customHeight="1">
      <c r="A569" s="15" t="s">
        <v>5477</v>
      </c>
      <c r="B569" s="15" t="s">
        <v>60</v>
      </c>
      <c r="C569" s="15" t="s">
        <v>1165</v>
      </c>
      <c r="D569" s="56" t="s">
        <v>5478</v>
      </c>
      <c r="E569" s="15" t="s">
        <v>807</v>
      </c>
      <c r="F569" s="15" t="s">
        <v>5479</v>
      </c>
      <c r="G569" s="18" t="s">
        <v>5480</v>
      </c>
      <c r="H569" s="18"/>
      <c r="I569" s="18"/>
      <c r="J569" s="18"/>
    </row>
    <row r="570" ht="15.75" customHeight="1">
      <c r="A570" s="15" t="s">
        <v>5481</v>
      </c>
      <c r="B570" s="15" t="s">
        <v>60</v>
      </c>
      <c r="C570" s="15" t="s">
        <v>1687</v>
      </c>
      <c r="D570" s="56" t="s">
        <v>5482</v>
      </c>
      <c r="E570" s="15" t="s">
        <v>807</v>
      </c>
      <c r="F570" s="15" t="s">
        <v>5483</v>
      </c>
      <c r="G570" s="18" t="s">
        <v>5484</v>
      </c>
      <c r="H570" s="18"/>
      <c r="I570" s="18"/>
      <c r="J570" s="18"/>
    </row>
    <row r="571" ht="15.75" customHeight="1">
      <c r="A571" s="15" t="s">
        <v>5485</v>
      </c>
      <c r="B571" s="15" t="s">
        <v>60</v>
      </c>
      <c r="C571" s="15" t="s">
        <v>354</v>
      </c>
      <c r="D571" s="56" t="s">
        <v>5486</v>
      </c>
      <c r="E571" s="15" t="s">
        <v>807</v>
      </c>
      <c r="F571" s="15" t="s">
        <v>5487</v>
      </c>
      <c r="G571" s="18" t="s">
        <v>5488</v>
      </c>
      <c r="H571" s="18"/>
      <c r="I571" s="18"/>
      <c r="J571" s="18"/>
    </row>
    <row r="572" ht="15.75" customHeight="1">
      <c r="A572" s="15" t="s">
        <v>5489</v>
      </c>
      <c r="B572" s="15" t="s">
        <v>60</v>
      </c>
      <c r="C572" s="15" t="s">
        <v>224</v>
      </c>
      <c r="D572" s="56" t="s">
        <v>5490</v>
      </c>
      <c r="E572" s="15" t="s">
        <v>807</v>
      </c>
      <c r="F572" s="15" t="s">
        <v>5491</v>
      </c>
      <c r="G572" s="18" t="s">
        <v>5492</v>
      </c>
      <c r="H572" s="18"/>
      <c r="I572" s="18"/>
      <c r="J572" s="18"/>
    </row>
    <row r="573" ht="15.75" customHeight="1">
      <c r="A573" s="15" t="s">
        <v>5493</v>
      </c>
      <c r="B573" s="15" t="s">
        <v>60</v>
      </c>
      <c r="C573" s="15" t="s">
        <v>1818</v>
      </c>
      <c r="D573" s="56" t="s">
        <v>5494</v>
      </c>
      <c r="E573" s="15" t="s">
        <v>807</v>
      </c>
      <c r="F573" s="15" t="s">
        <v>5496</v>
      </c>
      <c r="G573" s="18" t="s">
        <v>5498</v>
      </c>
      <c r="H573" s="18"/>
      <c r="I573" s="18"/>
      <c r="J573" s="18"/>
    </row>
    <row r="574" ht="15.75" customHeight="1">
      <c r="A574" s="15" t="s">
        <v>5501</v>
      </c>
      <c r="B574" s="15" t="s">
        <v>60</v>
      </c>
      <c r="C574" s="15" t="s">
        <v>842</v>
      </c>
      <c r="D574" s="56" t="s">
        <v>5503</v>
      </c>
      <c r="E574" s="15" t="s">
        <v>807</v>
      </c>
      <c r="F574" s="15" t="s">
        <v>5504</v>
      </c>
      <c r="G574" s="18" t="s">
        <v>5505</v>
      </c>
      <c r="H574" s="18"/>
      <c r="I574" s="18"/>
      <c r="J574" s="18"/>
    </row>
    <row r="575" ht="15.75" customHeight="1">
      <c r="A575" s="15" t="s">
        <v>5506</v>
      </c>
      <c r="B575" s="15" t="s">
        <v>60</v>
      </c>
      <c r="C575" s="15" t="s">
        <v>775</v>
      </c>
      <c r="D575" s="56" t="s">
        <v>5507</v>
      </c>
      <c r="E575" s="15" t="s">
        <v>807</v>
      </c>
      <c r="F575" s="15" t="s">
        <v>5508</v>
      </c>
      <c r="G575" s="18" t="s">
        <v>5509</v>
      </c>
      <c r="H575" s="18"/>
      <c r="I575" s="18"/>
      <c r="J575" s="18"/>
    </row>
    <row r="576" ht="15.75" customHeight="1">
      <c r="A576" s="15" t="s">
        <v>5510</v>
      </c>
      <c r="B576" s="15" t="s">
        <v>60</v>
      </c>
      <c r="C576" s="15" t="s">
        <v>1139</v>
      </c>
      <c r="D576" s="56" t="s">
        <v>5511</v>
      </c>
      <c r="E576" s="15" t="s">
        <v>807</v>
      </c>
      <c r="F576" s="15" t="s">
        <v>5512</v>
      </c>
      <c r="G576" s="18" t="s">
        <v>5513</v>
      </c>
      <c r="H576" s="18"/>
      <c r="I576" s="18"/>
      <c r="J576" s="18"/>
    </row>
    <row r="577" ht="15.75" customHeight="1">
      <c r="A577" s="15" t="s">
        <v>5514</v>
      </c>
      <c r="B577" s="15" t="s">
        <v>60</v>
      </c>
      <c r="C577" s="15" t="s">
        <v>424</v>
      </c>
      <c r="D577" s="56" t="s">
        <v>5515</v>
      </c>
      <c r="E577" s="15" t="s">
        <v>807</v>
      </c>
      <c r="F577" s="15" t="s">
        <v>5516</v>
      </c>
      <c r="G577" s="18" t="s">
        <v>5517</v>
      </c>
      <c r="H577" s="18"/>
      <c r="I577" s="18"/>
      <c r="J577" s="18"/>
    </row>
    <row r="578" ht="15.75" customHeight="1">
      <c r="A578" s="15" t="s">
        <v>5518</v>
      </c>
      <c r="B578" s="15" t="s">
        <v>60</v>
      </c>
      <c r="C578" s="15" t="s">
        <v>1818</v>
      </c>
      <c r="D578" s="56" t="s">
        <v>5519</v>
      </c>
      <c r="E578" s="15" t="s">
        <v>807</v>
      </c>
      <c r="F578" s="15" t="s">
        <v>5520</v>
      </c>
      <c r="G578" s="18" t="s">
        <v>5521</v>
      </c>
      <c r="H578" s="18"/>
      <c r="I578" s="18"/>
      <c r="J578" s="18"/>
    </row>
    <row r="579" ht="15.75" customHeight="1">
      <c r="A579" s="15" t="s">
        <v>5522</v>
      </c>
      <c r="B579" s="15" t="s">
        <v>60</v>
      </c>
      <c r="C579" s="15" t="s">
        <v>842</v>
      </c>
      <c r="D579" s="56" t="s">
        <v>5523</v>
      </c>
      <c r="E579" s="15" t="s">
        <v>807</v>
      </c>
      <c r="F579" s="15" t="s">
        <v>5524</v>
      </c>
      <c r="G579" s="18" t="s">
        <v>5525</v>
      </c>
      <c r="H579" s="18"/>
      <c r="I579" s="18"/>
      <c r="J579" s="18"/>
    </row>
    <row r="580" ht="15.75" customHeight="1">
      <c r="A580" s="15" t="s">
        <v>5526</v>
      </c>
      <c r="B580" s="15" t="s">
        <v>60</v>
      </c>
      <c r="C580" s="15" t="s">
        <v>264</v>
      </c>
      <c r="D580" s="56" t="s">
        <v>5527</v>
      </c>
      <c r="E580" s="15" t="s">
        <v>807</v>
      </c>
      <c r="F580" s="15" t="s">
        <v>5528</v>
      </c>
      <c r="G580" s="18" t="s">
        <v>5529</v>
      </c>
      <c r="H580" s="18"/>
      <c r="I580" s="18"/>
      <c r="J580" s="18"/>
    </row>
    <row r="581" ht="15.75" customHeight="1">
      <c r="A581" s="15" t="s">
        <v>5530</v>
      </c>
      <c r="B581" s="15" t="s">
        <v>60</v>
      </c>
      <c r="C581" s="15" t="s">
        <v>570</v>
      </c>
      <c r="D581" s="56" t="s">
        <v>5531</v>
      </c>
      <c r="E581" s="15" t="s">
        <v>807</v>
      </c>
      <c r="F581" s="15" t="s">
        <v>5532</v>
      </c>
      <c r="G581" s="18" t="s">
        <v>5533</v>
      </c>
      <c r="H581" s="18"/>
      <c r="I581" s="18"/>
      <c r="J581" s="18"/>
    </row>
    <row r="582" ht="15.75" customHeight="1">
      <c r="A582" s="15" t="s">
        <v>5536</v>
      </c>
      <c r="B582" s="15" t="s">
        <v>60</v>
      </c>
      <c r="C582" s="15" t="s">
        <v>570</v>
      </c>
      <c r="D582" s="56" t="s">
        <v>5539</v>
      </c>
      <c r="E582" s="15" t="s">
        <v>807</v>
      </c>
      <c r="F582" s="15" t="s">
        <v>5541</v>
      </c>
      <c r="G582" s="18" t="s">
        <v>5542</v>
      </c>
      <c r="H582" s="18"/>
      <c r="I582" s="18"/>
      <c r="J582" s="18"/>
    </row>
    <row r="583" ht="15.75" customHeight="1">
      <c r="A583" s="15" t="s">
        <v>5543</v>
      </c>
      <c r="B583" s="15" t="s">
        <v>60</v>
      </c>
      <c r="C583" s="15" t="s">
        <v>424</v>
      </c>
      <c r="D583" s="56" t="s">
        <v>5544</v>
      </c>
      <c r="E583" s="15" t="s">
        <v>807</v>
      </c>
      <c r="F583" s="15" t="s">
        <v>5545</v>
      </c>
      <c r="G583" s="18" t="s">
        <v>5546</v>
      </c>
      <c r="H583" s="18"/>
      <c r="I583" s="18"/>
      <c r="J583" s="18"/>
    </row>
    <row r="584" ht="15.75" customHeight="1">
      <c r="A584" s="15" t="s">
        <v>5547</v>
      </c>
      <c r="B584" s="15" t="s">
        <v>60</v>
      </c>
      <c r="C584" s="15" t="s">
        <v>245</v>
      </c>
      <c r="D584" s="56" t="s">
        <v>5548</v>
      </c>
      <c r="E584" s="15" t="s">
        <v>807</v>
      </c>
      <c r="F584" s="15" t="s">
        <v>5549</v>
      </c>
      <c r="G584" s="18" t="s">
        <v>5550</v>
      </c>
      <c r="H584" s="18"/>
      <c r="I584" s="18"/>
      <c r="J584" s="18"/>
    </row>
    <row r="585" ht="15.75" customHeight="1">
      <c r="A585" s="15" t="s">
        <v>5551</v>
      </c>
      <c r="B585" s="15" t="s">
        <v>60</v>
      </c>
      <c r="C585" s="15" t="s">
        <v>245</v>
      </c>
      <c r="D585" s="56" t="s">
        <v>5552</v>
      </c>
      <c r="E585" s="15" t="s">
        <v>807</v>
      </c>
      <c r="F585" s="15" t="s">
        <v>5553</v>
      </c>
      <c r="G585" s="18" t="s">
        <v>5554</v>
      </c>
      <c r="H585" s="18"/>
      <c r="I585" s="18"/>
      <c r="J585" s="18"/>
    </row>
    <row r="586" ht="15.75" customHeight="1">
      <c r="A586" s="15" t="s">
        <v>5555</v>
      </c>
      <c r="B586" s="15" t="s">
        <v>60</v>
      </c>
      <c r="C586" s="15" t="s">
        <v>958</v>
      </c>
      <c r="D586" s="56" t="s">
        <v>5556</v>
      </c>
      <c r="E586" s="15" t="s">
        <v>807</v>
      </c>
      <c r="F586" s="15" t="s">
        <v>5557</v>
      </c>
      <c r="G586" s="18" t="s">
        <v>5558</v>
      </c>
      <c r="H586" s="18"/>
      <c r="I586" s="18"/>
      <c r="J586" s="18"/>
    </row>
    <row r="587" ht="15.75" customHeight="1">
      <c r="A587" s="15" t="s">
        <v>5559</v>
      </c>
      <c r="B587" s="15" t="s">
        <v>60</v>
      </c>
      <c r="C587" s="15" t="s">
        <v>1165</v>
      </c>
      <c r="D587" s="56" t="s">
        <v>5560</v>
      </c>
      <c r="E587" s="15" t="s">
        <v>807</v>
      </c>
      <c r="F587" s="15" t="s">
        <v>5561</v>
      </c>
      <c r="G587" s="18" t="s">
        <v>5562</v>
      </c>
      <c r="H587" s="18"/>
      <c r="I587" s="18"/>
      <c r="J587" s="18"/>
    </row>
    <row r="588" ht="15.75" customHeight="1">
      <c r="A588" s="15" t="s">
        <v>5563</v>
      </c>
      <c r="B588" s="15" t="s">
        <v>60</v>
      </c>
      <c r="C588" s="15" t="s">
        <v>1165</v>
      </c>
      <c r="D588" s="56" t="s">
        <v>5564</v>
      </c>
      <c r="E588" s="15" t="s">
        <v>807</v>
      </c>
      <c r="F588" s="15" t="s">
        <v>5565</v>
      </c>
      <c r="G588" s="18" t="s">
        <v>5566</v>
      </c>
      <c r="H588" s="18"/>
      <c r="I588" s="18"/>
      <c r="J588" s="18"/>
    </row>
    <row r="589" ht="15.75" customHeight="1">
      <c r="A589" s="15" t="s">
        <v>5567</v>
      </c>
      <c r="B589" s="15" t="s">
        <v>60</v>
      </c>
      <c r="C589" s="15" t="s">
        <v>1312</v>
      </c>
      <c r="D589" s="56" t="s">
        <v>5568</v>
      </c>
      <c r="E589" s="15" t="s">
        <v>807</v>
      </c>
      <c r="F589" s="15" t="s">
        <v>5569</v>
      </c>
      <c r="G589" s="18" t="s">
        <v>5570</v>
      </c>
      <c r="H589" s="18"/>
      <c r="I589" s="18"/>
      <c r="J589" s="18"/>
    </row>
    <row r="590" ht="15.75" customHeight="1">
      <c r="A590" s="15" t="s">
        <v>5571</v>
      </c>
      <c r="B590" s="15" t="s">
        <v>60</v>
      </c>
      <c r="C590" s="15" t="s">
        <v>224</v>
      </c>
      <c r="D590" s="56" t="s">
        <v>5572</v>
      </c>
      <c r="E590" s="15" t="s">
        <v>807</v>
      </c>
      <c r="F590" s="15" t="s">
        <v>5573</v>
      </c>
      <c r="G590" s="18" t="s">
        <v>5574</v>
      </c>
      <c r="H590" s="18"/>
      <c r="I590" s="18"/>
      <c r="J590" s="18"/>
    </row>
    <row r="591" ht="15.75" customHeight="1">
      <c r="A591" s="15" t="s">
        <v>5575</v>
      </c>
      <c r="B591" s="15" t="s">
        <v>60</v>
      </c>
      <c r="C591" s="15" t="s">
        <v>264</v>
      </c>
      <c r="D591" s="56" t="s">
        <v>5576</v>
      </c>
      <c r="E591" s="15" t="s">
        <v>807</v>
      </c>
      <c r="F591" s="15" t="s">
        <v>5577</v>
      </c>
      <c r="G591" s="18" t="s">
        <v>5578</v>
      </c>
      <c r="H591" s="18"/>
      <c r="I591" s="18"/>
      <c r="J591" s="18"/>
    </row>
    <row r="592" ht="15.75" customHeight="1">
      <c r="A592" s="15" t="s">
        <v>5579</v>
      </c>
      <c r="B592" s="15" t="s">
        <v>60</v>
      </c>
      <c r="C592" s="15" t="s">
        <v>775</v>
      </c>
      <c r="D592" s="56" t="s">
        <v>5580</v>
      </c>
      <c r="E592" s="15" t="s">
        <v>807</v>
      </c>
      <c r="F592" s="15" t="s">
        <v>5581</v>
      </c>
      <c r="G592" s="18" t="s">
        <v>5582</v>
      </c>
      <c r="H592" s="18"/>
      <c r="I592" s="18"/>
      <c r="J592" s="18"/>
    </row>
    <row r="593" ht="15.75" customHeight="1">
      <c r="A593" s="15" t="s">
        <v>5583</v>
      </c>
      <c r="B593" s="15" t="s">
        <v>60</v>
      </c>
      <c r="C593" s="15" t="s">
        <v>85</v>
      </c>
      <c r="D593" s="56" t="s">
        <v>5584</v>
      </c>
      <c r="E593" s="15" t="s">
        <v>807</v>
      </c>
      <c r="F593" s="15" t="s">
        <v>5585</v>
      </c>
      <c r="G593" s="18" t="s">
        <v>5586</v>
      </c>
      <c r="H593" s="18"/>
      <c r="I593" s="18"/>
      <c r="J593" s="18"/>
    </row>
    <row r="594" ht="15.75" customHeight="1">
      <c r="A594" s="15" t="s">
        <v>5587</v>
      </c>
      <c r="B594" s="15" t="s">
        <v>60</v>
      </c>
      <c r="C594" s="15" t="s">
        <v>958</v>
      </c>
      <c r="D594" s="56" t="s">
        <v>5588</v>
      </c>
      <c r="E594" s="15" t="s">
        <v>807</v>
      </c>
      <c r="F594" s="15" t="s">
        <v>5589</v>
      </c>
      <c r="G594" s="18" t="s">
        <v>5591</v>
      </c>
      <c r="H594" s="18"/>
      <c r="I594" s="18"/>
      <c r="J594" s="18"/>
    </row>
    <row r="595" ht="15.75" customHeight="1">
      <c r="A595" s="15" t="s">
        <v>5593</v>
      </c>
      <c r="B595" s="15" t="s">
        <v>60</v>
      </c>
      <c r="C595" s="15" t="s">
        <v>1687</v>
      </c>
      <c r="D595" s="56" t="s">
        <v>5594</v>
      </c>
      <c r="E595" s="15" t="s">
        <v>807</v>
      </c>
      <c r="F595" s="15" t="s">
        <v>5597</v>
      </c>
      <c r="G595" s="18" t="s">
        <v>5599</v>
      </c>
      <c r="H595" s="18"/>
      <c r="I595" s="18"/>
      <c r="J595" s="18"/>
    </row>
    <row r="596" ht="15.75" customHeight="1">
      <c r="A596" s="15" t="s">
        <v>5601</v>
      </c>
      <c r="B596" s="15" t="s">
        <v>60</v>
      </c>
      <c r="C596" s="15" t="s">
        <v>85</v>
      </c>
      <c r="D596" s="56" t="s">
        <v>5602</v>
      </c>
      <c r="E596" s="15" t="s">
        <v>807</v>
      </c>
      <c r="F596" s="15" t="s">
        <v>5603</v>
      </c>
      <c r="G596" s="18" t="s">
        <v>5604</v>
      </c>
      <c r="H596" s="18"/>
      <c r="I596" s="18"/>
      <c r="J596" s="18"/>
    </row>
    <row r="597" ht="15.75" customHeight="1">
      <c r="A597" s="15" t="s">
        <v>5605</v>
      </c>
      <c r="B597" s="15" t="s">
        <v>60</v>
      </c>
      <c r="C597" s="15" t="s">
        <v>1165</v>
      </c>
      <c r="D597" s="56" t="s">
        <v>5606</v>
      </c>
      <c r="E597" s="15" t="s">
        <v>807</v>
      </c>
      <c r="F597" s="15" t="s">
        <v>5607</v>
      </c>
      <c r="G597" s="18" t="s">
        <v>5608</v>
      </c>
      <c r="H597" s="18"/>
      <c r="I597" s="18"/>
      <c r="J597" s="18"/>
    </row>
    <row r="598" ht="15.75" customHeight="1">
      <c r="A598" s="15" t="s">
        <v>5609</v>
      </c>
      <c r="B598" s="15" t="s">
        <v>60</v>
      </c>
      <c r="C598" s="15" t="s">
        <v>85</v>
      </c>
      <c r="D598" s="56" t="s">
        <v>5610</v>
      </c>
      <c r="E598" s="15" t="s">
        <v>807</v>
      </c>
      <c r="F598" s="15" t="s">
        <v>5611</v>
      </c>
      <c r="G598" s="18" t="s">
        <v>5612</v>
      </c>
      <c r="H598" s="18"/>
      <c r="I598" s="18"/>
      <c r="J598" s="18"/>
    </row>
    <row r="599" ht="15.75" customHeight="1">
      <c r="A599" s="15" t="s">
        <v>5613</v>
      </c>
      <c r="B599" s="15" t="s">
        <v>60</v>
      </c>
      <c r="C599" s="15" t="s">
        <v>775</v>
      </c>
      <c r="D599" s="56" t="s">
        <v>5614</v>
      </c>
      <c r="E599" s="15" t="s">
        <v>807</v>
      </c>
      <c r="F599" s="15" t="s">
        <v>5615</v>
      </c>
      <c r="G599" s="18" t="s">
        <v>5616</v>
      </c>
      <c r="H599" s="18"/>
      <c r="I599" s="18"/>
      <c r="J599" s="18"/>
    </row>
    <row r="600" ht="15.75" customHeight="1">
      <c r="A600" s="15" t="s">
        <v>5617</v>
      </c>
      <c r="B600" s="15" t="s">
        <v>60</v>
      </c>
      <c r="C600" s="15" t="s">
        <v>1687</v>
      </c>
      <c r="D600" s="56" t="s">
        <v>5618</v>
      </c>
      <c r="E600" s="15" t="s">
        <v>807</v>
      </c>
      <c r="F600" s="15" t="s">
        <v>5619</v>
      </c>
      <c r="G600" s="18" t="s">
        <v>5620</v>
      </c>
      <c r="H600" s="18"/>
      <c r="I600" s="18"/>
      <c r="J600" s="18"/>
    </row>
    <row r="601" ht="15.75" customHeight="1">
      <c r="A601" s="15" t="s">
        <v>5621</v>
      </c>
      <c r="B601" s="15" t="s">
        <v>60</v>
      </c>
      <c r="C601" s="15" t="s">
        <v>236</v>
      </c>
      <c r="D601" s="56" t="s">
        <v>5622</v>
      </c>
      <c r="E601" s="15" t="s">
        <v>807</v>
      </c>
      <c r="F601" s="15" t="s">
        <v>5623</v>
      </c>
      <c r="G601" s="18" t="s">
        <v>5624</v>
      </c>
      <c r="H601" s="18"/>
      <c r="I601" s="18"/>
      <c r="J601" s="18"/>
    </row>
    <row r="602" ht="15.75" customHeight="1">
      <c r="A602" s="15" t="s">
        <v>5625</v>
      </c>
      <c r="B602" s="15" t="s">
        <v>60</v>
      </c>
      <c r="C602" s="15" t="s">
        <v>1818</v>
      </c>
      <c r="D602" s="56" t="s">
        <v>5626</v>
      </c>
      <c r="E602" s="15" t="s">
        <v>807</v>
      </c>
      <c r="F602" s="15" t="s">
        <v>5627</v>
      </c>
      <c r="G602" s="18" t="s">
        <v>5628</v>
      </c>
      <c r="H602" s="18"/>
      <c r="I602" s="18"/>
      <c r="J602" s="18"/>
    </row>
    <row r="603" ht="15.75" customHeight="1">
      <c r="A603" s="15" t="s">
        <v>5629</v>
      </c>
      <c r="B603" s="15" t="s">
        <v>60</v>
      </c>
      <c r="C603" s="15" t="s">
        <v>236</v>
      </c>
      <c r="D603" s="56" t="s">
        <v>5630</v>
      </c>
      <c r="E603" s="15" t="s">
        <v>807</v>
      </c>
      <c r="F603" s="15" t="s">
        <v>5631</v>
      </c>
      <c r="G603" s="18" t="s">
        <v>5632</v>
      </c>
      <c r="H603" s="18"/>
      <c r="I603" s="18"/>
      <c r="J603" s="18"/>
    </row>
    <row r="604" ht="15.75" customHeight="1">
      <c r="A604" s="15" t="s">
        <v>5633</v>
      </c>
      <c r="B604" s="15" t="s">
        <v>60</v>
      </c>
      <c r="C604" s="15" t="s">
        <v>224</v>
      </c>
      <c r="D604" s="56" t="s">
        <v>5634</v>
      </c>
      <c r="E604" s="15" t="s">
        <v>807</v>
      </c>
      <c r="F604" s="15" t="s">
        <v>5636</v>
      </c>
      <c r="G604" s="18" t="s">
        <v>5638</v>
      </c>
      <c r="H604" s="18"/>
      <c r="I604" s="18"/>
      <c r="J604" s="18"/>
    </row>
    <row r="605" ht="15.75" customHeight="1">
      <c r="A605" s="15" t="s">
        <v>5641</v>
      </c>
      <c r="B605" s="15" t="s">
        <v>60</v>
      </c>
      <c r="C605" s="15" t="s">
        <v>354</v>
      </c>
      <c r="D605" s="56" t="s">
        <v>5643</v>
      </c>
      <c r="E605" s="15" t="s">
        <v>807</v>
      </c>
      <c r="F605" s="15" t="s">
        <v>5644</v>
      </c>
      <c r="G605" s="18" t="s">
        <v>5645</v>
      </c>
      <c r="H605" s="18"/>
      <c r="I605" s="18"/>
      <c r="J605" s="18"/>
    </row>
    <row r="606" ht="15.75" customHeight="1">
      <c r="A606" s="15" t="s">
        <v>5646</v>
      </c>
      <c r="B606" s="15" t="s">
        <v>60</v>
      </c>
      <c r="C606" s="15" t="s">
        <v>842</v>
      </c>
      <c r="D606" s="56" t="s">
        <v>5647</v>
      </c>
      <c r="E606" s="15" t="s">
        <v>807</v>
      </c>
      <c r="F606" s="15" t="s">
        <v>5648</v>
      </c>
      <c r="G606" s="18" t="s">
        <v>5649</v>
      </c>
      <c r="H606" s="18"/>
      <c r="I606" s="18"/>
      <c r="J606" s="18"/>
    </row>
    <row r="607" ht="15.75" customHeight="1">
      <c r="A607" s="15" t="s">
        <v>5650</v>
      </c>
      <c r="B607" s="15" t="s">
        <v>60</v>
      </c>
      <c r="C607" s="15" t="s">
        <v>245</v>
      </c>
      <c r="D607" s="56" t="s">
        <v>5651</v>
      </c>
      <c r="E607" s="15" t="s">
        <v>807</v>
      </c>
      <c r="F607" s="15" t="s">
        <v>5652</v>
      </c>
      <c r="G607" s="18" t="s">
        <v>5653</v>
      </c>
      <c r="H607" s="18"/>
      <c r="I607" s="18"/>
      <c r="J607" s="18"/>
    </row>
    <row r="608" ht="15.75" customHeight="1">
      <c r="A608" s="15" t="s">
        <v>5654</v>
      </c>
      <c r="B608" s="15" t="s">
        <v>60</v>
      </c>
      <c r="C608" s="15" t="s">
        <v>775</v>
      </c>
      <c r="D608" s="56" t="s">
        <v>5655</v>
      </c>
      <c r="E608" s="15" t="s">
        <v>807</v>
      </c>
      <c r="F608" s="15" t="s">
        <v>5656</v>
      </c>
      <c r="G608" s="18" t="s">
        <v>5657</v>
      </c>
      <c r="H608" s="18"/>
      <c r="I608" s="18"/>
      <c r="J608" s="18"/>
    </row>
    <row r="609" ht="15.75" customHeight="1">
      <c r="A609" s="15" t="s">
        <v>5658</v>
      </c>
      <c r="B609" s="15" t="s">
        <v>60</v>
      </c>
      <c r="C609" s="15" t="s">
        <v>424</v>
      </c>
      <c r="D609" s="56" t="s">
        <v>5659</v>
      </c>
      <c r="E609" s="15" t="s">
        <v>807</v>
      </c>
      <c r="F609" s="15" t="s">
        <v>5660</v>
      </c>
      <c r="G609" s="18" t="s">
        <v>5661</v>
      </c>
      <c r="H609" s="18"/>
      <c r="I609" s="18"/>
      <c r="J609" s="18"/>
    </row>
    <row r="610" ht="15.75" customHeight="1">
      <c r="A610" s="15" t="s">
        <v>5662</v>
      </c>
      <c r="B610" s="15" t="s">
        <v>60</v>
      </c>
      <c r="C610" s="15" t="s">
        <v>878</v>
      </c>
      <c r="D610" s="56" t="s">
        <v>5663</v>
      </c>
      <c r="E610" s="15" t="s">
        <v>807</v>
      </c>
      <c r="F610" s="15" t="s">
        <v>5664</v>
      </c>
      <c r="G610" s="18" t="s">
        <v>5665</v>
      </c>
      <c r="H610" s="18"/>
      <c r="I610" s="18"/>
      <c r="J610" s="18"/>
    </row>
    <row r="611" ht="15.75" customHeight="1">
      <c r="A611" s="15" t="s">
        <v>5666</v>
      </c>
      <c r="B611" s="15" t="s">
        <v>60</v>
      </c>
      <c r="C611" s="15" t="s">
        <v>264</v>
      </c>
      <c r="D611" s="56" t="s">
        <v>5667</v>
      </c>
      <c r="E611" s="15" t="s">
        <v>807</v>
      </c>
      <c r="F611" s="15" t="s">
        <v>5668</v>
      </c>
      <c r="G611" s="18" t="s">
        <v>5669</v>
      </c>
      <c r="H611" s="18"/>
      <c r="I611" s="18"/>
      <c r="J611" s="18"/>
    </row>
    <row r="612" ht="15.75" customHeight="1">
      <c r="A612" s="15" t="s">
        <v>5670</v>
      </c>
      <c r="B612" s="15" t="s">
        <v>60</v>
      </c>
      <c r="C612" s="15" t="s">
        <v>878</v>
      </c>
      <c r="D612" s="56" t="s">
        <v>5671</v>
      </c>
      <c r="E612" s="15" t="s">
        <v>807</v>
      </c>
      <c r="F612" s="15" t="s">
        <v>5672</v>
      </c>
      <c r="G612" s="18" t="s">
        <v>5673</v>
      </c>
      <c r="H612" s="18"/>
      <c r="I612" s="18"/>
      <c r="J612" s="18"/>
    </row>
    <row r="613" ht="15.75" customHeight="1">
      <c r="A613" s="15" t="s">
        <v>5674</v>
      </c>
      <c r="B613" s="15" t="s">
        <v>60</v>
      </c>
      <c r="C613" s="15" t="s">
        <v>1687</v>
      </c>
      <c r="D613" s="56" t="s">
        <v>5675</v>
      </c>
      <c r="E613" s="15" t="s">
        <v>807</v>
      </c>
      <c r="F613" s="15" t="s">
        <v>5676</v>
      </c>
      <c r="G613" s="18" t="s">
        <v>5677</v>
      </c>
      <c r="H613" s="18"/>
      <c r="I613" s="18"/>
      <c r="J613" s="18"/>
    </row>
    <row r="614" ht="15.75" customHeight="1">
      <c r="A614" s="15" t="s">
        <v>5678</v>
      </c>
      <c r="B614" s="15" t="s">
        <v>60</v>
      </c>
      <c r="C614" s="15" t="s">
        <v>1155</v>
      </c>
      <c r="D614" s="56" t="s">
        <v>5679</v>
      </c>
      <c r="E614" s="15" t="s">
        <v>807</v>
      </c>
      <c r="F614" s="15" t="s">
        <v>5680</v>
      </c>
      <c r="G614" s="18" t="s">
        <v>5681</v>
      </c>
      <c r="H614" s="18"/>
      <c r="I614" s="18"/>
      <c r="J614" s="18"/>
    </row>
    <row r="615" ht="15.75" customHeight="1">
      <c r="A615" s="15" t="s">
        <v>5682</v>
      </c>
      <c r="B615" s="15" t="s">
        <v>60</v>
      </c>
      <c r="C615" s="15" t="s">
        <v>424</v>
      </c>
      <c r="D615" s="56" t="s">
        <v>5683</v>
      </c>
      <c r="E615" s="15" t="s">
        <v>807</v>
      </c>
      <c r="F615" s="15" t="s">
        <v>5685</v>
      </c>
      <c r="G615" s="18" t="s">
        <v>5687</v>
      </c>
      <c r="H615" s="18"/>
      <c r="I615" s="18"/>
      <c r="J615" s="18"/>
    </row>
    <row r="616" ht="15.75" customHeight="1">
      <c r="A616" s="15" t="s">
        <v>5689</v>
      </c>
      <c r="B616" s="15" t="s">
        <v>60</v>
      </c>
      <c r="C616" s="15" t="s">
        <v>775</v>
      </c>
      <c r="D616" s="56" t="s">
        <v>5691</v>
      </c>
      <c r="E616" s="15" t="s">
        <v>807</v>
      </c>
      <c r="F616" s="15" t="s">
        <v>5694</v>
      </c>
      <c r="G616" s="18" t="s">
        <v>5695</v>
      </c>
      <c r="H616" s="18"/>
      <c r="I616" s="18"/>
      <c r="J616" s="18"/>
    </row>
    <row r="617" ht="15.75" customHeight="1">
      <c r="A617" s="15" t="s">
        <v>5697</v>
      </c>
      <c r="B617" s="15" t="s">
        <v>60</v>
      </c>
      <c r="C617" s="15" t="s">
        <v>264</v>
      </c>
      <c r="D617" s="56" t="s">
        <v>5698</v>
      </c>
      <c r="E617" s="15" t="s">
        <v>807</v>
      </c>
      <c r="F617" s="15" t="s">
        <v>5699</v>
      </c>
      <c r="G617" s="18" t="s">
        <v>5700</v>
      </c>
      <c r="H617" s="18"/>
      <c r="I617" s="18"/>
      <c r="J617" s="18"/>
    </row>
    <row r="618" ht="15.75" customHeight="1">
      <c r="A618" s="15" t="s">
        <v>5701</v>
      </c>
      <c r="B618" s="15" t="s">
        <v>60</v>
      </c>
      <c r="C618" s="15" t="s">
        <v>775</v>
      </c>
      <c r="D618" s="56" t="s">
        <v>5702</v>
      </c>
      <c r="E618" s="15" t="s">
        <v>807</v>
      </c>
      <c r="F618" s="15" t="s">
        <v>5703</v>
      </c>
      <c r="G618" s="18" t="s">
        <v>5704</v>
      </c>
      <c r="H618" s="18"/>
      <c r="I618" s="18"/>
      <c r="J618" s="18"/>
    </row>
    <row r="619" ht="15.75" customHeight="1">
      <c r="A619" s="15" t="s">
        <v>5705</v>
      </c>
      <c r="B619" s="15" t="s">
        <v>60</v>
      </c>
      <c r="C619" s="15" t="s">
        <v>1312</v>
      </c>
      <c r="D619" s="56" t="s">
        <v>5706</v>
      </c>
      <c r="E619" s="15" t="s">
        <v>807</v>
      </c>
      <c r="F619" s="15" t="s">
        <v>5707</v>
      </c>
      <c r="G619" s="18" t="s">
        <v>5708</v>
      </c>
      <c r="H619" s="18"/>
      <c r="I619" s="18"/>
      <c r="J619" s="18"/>
    </row>
    <row r="620" ht="15.75" customHeight="1">
      <c r="A620" s="15" t="s">
        <v>5709</v>
      </c>
      <c r="B620" s="15" t="s">
        <v>60</v>
      </c>
      <c r="C620" s="15" t="s">
        <v>1687</v>
      </c>
      <c r="D620" s="56" t="s">
        <v>5710</v>
      </c>
      <c r="E620" s="15" t="s">
        <v>807</v>
      </c>
      <c r="F620" s="15" t="s">
        <v>5711</v>
      </c>
      <c r="G620" s="18" t="s">
        <v>5712</v>
      </c>
      <c r="H620" s="18"/>
      <c r="I620" s="18"/>
      <c r="J620" s="18"/>
    </row>
    <row r="621" ht="15.75" customHeight="1">
      <c r="A621" s="15" t="s">
        <v>5713</v>
      </c>
      <c r="B621" s="15" t="s">
        <v>60</v>
      </c>
      <c r="C621" s="15" t="s">
        <v>1312</v>
      </c>
      <c r="D621" s="56" t="s">
        <v>5714</v>
      </c>
      <c r="E621" s="15" t="s">
        <v>807</v>
      </c>
      <c r="F621" s="15" t="s">
        <v>5715</v>
      </c>
      <c r="G621" s="18" t="s">
        <v>5716</v>
      </c>
      <c r="H621" s="18"/>
      <c r="I621" s="18"/>
      <c r="J621" s="18"/>
    </row>
    <row r="622" ht="15.75" customHeight="1">
      <c r="A622" s="15" t="s">
        <v>5717</v>
      </c>
      <c r="B622" s="15" t="s">
        <v>60</v>
      </c>
      <c r="C622" s="15" t="s">
        <v>236</v>
      </c>
      <c r="D622" s="56" t="s">
        <v>5718</v>
      </c>
      <c r="E622" s="15" t="s">
        <v>807</v>
      </c>
      <c r="F622" s="15" t="s">
        <v>5719</v>
      </c>
      <c r="G622" s="18" t="s">
        <v>5720</v>
      </c>
      <c r="H622" s="18"/>
      <c r="I622" s="18"/>
      <c r="J622" s="18"/>
    </row>
    <row r="623" ht="15.75" customHeight="1">
      <c r="A623" s="15" t="s">
        <v>5721</v>
      </c>
      <c r="B623" s="15" t="s">
        <v>60</v>
      </c>
      <c r="C623" s="15" t="s">
        <v>1687</v>
      </c>
      <c r="D623" s="56" t="s">
        <v>5722</v>
      </c>
      <c r="E623" s="15" t="s">
        <v>807</v>
      </c>
      <c r="F623" s="15" t="s">
        <v>5723</v>
      </c>
      <c r="G623" s="18" t="s">
        <v>5724</v>
      </c>
      <c r="H623" s="18"/>
      <c r="I623" s="18"/>
      <c r="J623" s="18"/>
    </row>
    <row r="624" ht="15.75" customHeight="1">
      <c r="A624" s="15" t="s">
        <v>5725</v>
      </c>
      <c r="B624" s="15" t="s">
        <v>60</v>
      </c>
      <c r="C624" s="15" t="s">
        <v>424</v>
      </c>
      <c r="D624" s="56" t="s">
        <v>5726</v>
      </c>
      <c r="E624" s="15" t="s">
        <v>807</v>
      </c>
      <c r="F624" s="15" t="s">
        <v>5727</v>
      </c>
      <c r="G624" s="18" t="s">
        <v>5728</v>
      </c>
      <c r="H624" s="18"/>
      <c r="I624" s="18"/>
      <c r="J624" s="18"/>
    </row>
    <row r="625" ht="15.75" customHeight="1">
      <c r="A625" s="15" t="s">
        <v>5729</v>
      </c>
      <c r="B625" s="15" t="s">
        <v>60</v>
      </c>
      <c r="C625" s="15" t="s">
        <v>842</v>
      </c>
      <c r="D625" s="56" t="s">
        <v>5730</v>
      </c>
      <c r="E625" s="15" t="s">
        <v>807</v>
      </c>
      <c r="F625" s="15" t="s">
        <v>5731</v>
      </c>
      <c r="G625" s="18" t="s">
        <v>5732</v>
      </c>
      <c r="H625" s="18"/>
      <c r="I625" s="18"/>
      <c r="J625" s="18"/>
    </row>
    <row r="626" ht="15.75" customHeight="1">
      <c r="A626" s="15" t="s">
        <v>5733</v>
      </c>
      <c r="B626" s="15" t="s">
        <v>60</v>
      </c>
      <c r="C626" s="15" t="s">
        <v>958</v>
      </c>
      <c r="D626" s="56" t="s">
        <v>5734</v>
      </c>
      <c r="E626" s="15" t="s">
        <v>807</v>
      </c>
      <c r="F626" s="15" t="s">
        <v>5735</v>
      </c>
      <c r="G626" s="18" t="s">
        <v>5736</v>
      </c>
      <c r="H626" s="18"/>
      <c r="I626" s="18"/>
      <c r="J626" s="18"/>
    </row>
    <row r="627" ht="15.75" customHeight="1">
      <c r="A627" s="15" t="s">
        <v>5737</v>
      </c>
      <c r="B627" s="15" t="s">
        <v>60</v>
      </c>
      <c r="C627" s="15" t="s">
        <v>570</v>
      </c>
      <c r="D627" s="56" t="s">
        <v>5738</v>
      </c>
      <c r="E627" s="15" t="s">
        <v>807</v>
      </c>
      <c r="F627" s="15" t="s">
        <v>5739</v>
      </c>
      <c r="G627" s="18" t="s">
        <v>5740</v>
      </c>
      <c r="H627" s="18"/>
      <c r="I627" s="18"/>
      <c r="J627" s="18"/>
    </row>
    <row r="628" ht="15.75" customHeight="1">
      <c r="A628" s="15" t="s">
        <v>5743</v>
      </c>
      <c r="B628" s="15" t="s">
        <v>60</v>
      </c>
      <c r="C628" s="15" t="s">
        <v>1687</v>
      </c>
      <c r="D628" s="56" t="s">
        <v>5745</v>
      </c>
      <c r="E628" s="15" t="s">
        <v>807</v>
      </c>
      <c r="F628" s="15" t="s">
        <v>5748</v>
      </c>
      <c r="G628" s="18" t="s">
        <v>5750</v>
      </c>
      <c r="H628" s="18"/>
      <c r="I628" s="18"/>
      <c r="J628" s="18"/>
    </row>
    <row r="629" ht="15.75" customHeight="1">
      <c r="A629" s="15" t="s">
        <v>5752</v>
      </c>
      <c r="B629" s="15" t="s">
        <v>60</v>
      </c>
      <c r="C629" s="15" t="s">
        <v>354</v>
      </c>
      <c r="D629" s="56" t="s">
        <v>5753</v>
      </c>
      <c r="E629" s="15" t="s">
        <v>807</v>
      </c>
      <c r="F629" s="15" t="s">
        <v>5754</v>
      </c>
      <c r="G629" s="18" t="s">
        <v>5755</v>
      </c>
      <c r="H629" s="18"/>
      <c r="I629" s="18"/>
      <c r="J629" s="18"/>
    </row>
    <row r="630" ht="15.75" customHeight="1">
      <c r="A630" s="15" t="s">
        <v>5756</v>
      </c>
      <c r="B630" s="15" t="s">
        <v>60</v>
      </c>
      <c r="C630" s="15" t="s">
        <v>85</v>
      </c>
      <c r="D630" s="56" t="s">
        <v>5757</v>
      </c>
      <c r="E630" s="15" t="s">
        <v>807</v>
      </c>
      <c r="F630" s="15" t="s">
        <v>5758</v>
      </c>
      <c r="G630" s="18" t="s">
        <v>5759</v>
      </c>
      <c r="H630" s="18"/>
      <c r="I630" s="18"/>
      <c r="J630" s="18"/>
    </row>
    <row r="631" ht="15.75" customHeight="1">
      <c r="A631" s="15" t="s">
        <v>5760</v>
      </c>
      <c r="B631" s="15" t="s">
        <v>60</v>
      </c>
      <c r="C631" s="15" t="s">
        <v>1165</v>
      </c>
      <c r="D631" s="56" t="s">
        <v>5761</v>
      </c>
      <c r="E631" s="15" t="s">
        <v>807</v>
      </c>
      <c r="F631" s="15" t="s">
        <v>5762</v>
      </c>
      <c r="G631" s="18" t="s">
        <v>5763</v>
      </c>
      <c r="H631" s="18"/>
      <c r="I631" s="18"/>
      <c r="J631" s="18"/>
    </row>
    <row r="632" ht="15.75" customHeight="1">
      <c r="A632" s="15" t="s">
        <v>5764</v>
      </c>
      <c r="B632" s="15" t="s">
        <v>60</v>
      </c>
      <c r="C632" s="15" t="s">
        <v>236</v>
      </c>
      <c r="D632" s="56" t="s">
        <v>5765</v>
      </c>
      <c r="E632" s="15" t="s">
        <v>807</v>
      </c>
      <c r="F632" s="15" t="s">
        <v>5766</v>
      </c>
      <c r="G632" s="18" t="s">
        <v>5767</v>
      </c>
      <c r="H632" s="18"/>
      <c r="I632" s="18"/>
      <c r="J632" s="18"/>
    </row>
    <row r="633" ht="15.75" customHeight="1">
      <c r="A633" s="15" t="s">
        <v>5768</v>
      </c>
      <c r="B633" s="15" t="s">
        <v>60</v>
      </c>
      <c r="C633" s="15" t="s">
        <v>85</v>
      </c>
      <c r="D633" s="56" t="s">
        <v>5769</v>
      </c>
      <c r="E633" s="15" t="s">
        <v>807</v>
      </c>
      <c r="F633" s="15" t="s">
        <v>5770</v>
      </c>
      <c r="G633" s="18" t="s">
        <v>5771</v>
      </c>
      <c r="H633" s="18"/>
      <c r="I633" s="18"/>
      <c r="J633" s="18"/>
    </row>
    <row r="634" ht="15.75" customHeight="1">
      <c r="A634" s="15" t="s">
        <v>5772</v>
      </c>
      <c r="B634" s="15" t="s">
        <v>60</v>
      </c>
      <c r="C634" s="15" t="s">
        <v>1155</v>
      </c>
      <c r="D634" s="56" t="s">
        <v>5773</v>
      </c>
      <c r="E634" s="15" t="s">
        <v>807</v>
      </c>
      <c r="F634" s="15" t="s">
        <v>5774</v>
      </c>
      <c r="G634" s="18" t="s">
        <v>5775</v>
      </c>
      <c r="H634" s="18"/>
      <c r="I634" s="18"/>
      <c r="J634" s="18"/>
    </row>
    <row r="635" ht="15.75" customHeight="1">
      <c r="A635" s="15" t="s">
        <v>5776</v>
      </c>
      <c r="B635" s="15" t="s">
        <v>60</v>
      </c>
      <c r="C635" s="15" t="s">
        <v>1818</v>
      </c>
      <c r="D635" s="56" t="s">
        <v>5777</v>
      </c>
      <c r="E635" s="15" t="s">
        <v>807</v>
      </c>
      <c r="F635" s="15" t="s">
        <v>5778</v>
      </c>
      <c r="G635" s="18" t="s">
        <v>5779</v>
      </c>
      <c r="H635" s="18"/>
      <c r="I635" s="18"/>
      <c r="J635" s="18"/>
    </row>
    <row r="636" ht="15.75" customHeight="1">
      <c r="A636" s="15" t="s">
        <v>5780</v>
      </c>
      <c r="B636" s="15" t="s">
        <v>60</v>
      </c>
      <c r="C636" s="15" t="s">
        <v>85</v>
      </c>
      <c r="D636" s="56" t="s">
        <v>5781</v>
      </c>
      <c r="E636" s="15" t="s">
        <v>807</v>
      </c>
      <c r="F636" s="15" t="s">
        <v>5782</v>
      </c>
      <c r="G636" s="18" t="s">
        <v>5783</v>
      </c>
      <c r="H636" s="18"/>
      <c r="I636" s="18"/>
      <c r="J636" s="18"/>
    </row>
    <row r="637" ht="15.75" customHeight="1">
      <c r="A637" s="15" t="s">
        <v>5784</v>
      </c>
      <c r="B637" s="15" t="s">
        <v>60</v>
      </c>
      <c r="C637" s="15" t="s">
        <v>878</v>
      </c>
      <c r="D637" s="56" t="s">
        <v>5786</v>
      </c>
      <c r="E637" s="15" t="s">
        <v>807</v>
      </c>
      <c r="F637" s="15" t="s">
        <v>5789</v>
      </c>
      <c r="G637" s="18" t="s">
        <v>5790</v>
      </c>
      <c r="H637" s="18"/>
      <c r="I637" s="18"/>
      <c r="J637" s="18"/>
    </row>
    <row r="638" ht="15.75" customHeight="1">
      <c r="A638" s="15" t="s">
        <v>5796</v>
      </c>
      <c r="B638" s="15" t="s">
        <v>60</v>
      </c>
      <c r="C638" s="15" t="s">
        <v>264</v>
      </c>
      <c r="D638" s="56" t="s">
        <v>5797</v>
      </c>
      <c r="E638" s="15" t="s">
        <v>807</v>
      </c>
      <c r="F638" s="15" t="s">
        <v>5798</v>
      </c>
      <c r="G638" s="18" t="s">
        <v>5799</v>
      </c>
      <c r="H638" s="18"/>
      <c r="I638" s="18"/>
      <c r="J638" s="18"/>
    </row>
    <row r="639" ht="15.75" customHeight="1">
      <c r="A639" s="15" t="s">
        <v>5800</v>
      </c>
      <c r="B639" s="15" t="s">
        <v>60</v>
      </c>
      <c r="C639" s="15" t="s">
        <v>878</v>
      </c>
      <c r="D639" s="56" t="s">
        <v>5801</v>
      </c>
      <c r="E639" s="15" t="s">
        <v>807</v>
      </c>
      <c r="F639" s="15" t="s">
        <v>5802</v>
      </c>
      <c r="G639" s="18" t="s">
        <v>5803</v>
      </c>
      <c r="H639" s="18"/>
      <c r="I639" s="18"/>
      <c r="J639" s="18"/>
    </row>
    <row r="640" ht="15.75" customHeight="1">
      <c r="A640" s="15" t="s">
        <v>5804</v>
      </c>
      <c r="B640" s="15" t="s">
        <v>60</v>
      </c>
      <c r="C640" s="15" t="s">
        <v>245</v>
      </c>
      <c r="D640" s="56" t="s">
        <v>5805</v>
      </c>
      <c r="E640" s="15" t="s">
        <v>807</v>
      </c>
      <c r="F640" s="15" t="s">
        <v>5806</v>
      </c>
      <c r="G640" s="18" t="s">
        <v>5807</v>
      </c>
      <c r="H640" s="18"/>
      <c r="I640" s="18"/>
      <c r="J640" s="18"/>
    </row>
    <row r="641" ht="15.75" customHeight="1">
      <c r="A641" s="15" t="s">
        <v>5808</v>
      </c>
      <c r="B641" s="15" t="s">
        <v>60</v>
      </c>
      <c r="C641" s="15" t="s">
        <v>224</v>
      </c>
      <c r="D641" s="56" t="s">
        <v>5809</v>
      </c>
      <c r="E641" s="15" t="s">
        <v>807</v>
      </c>
      <c r="F641" s="15" t="s">
        <v>5810</v>
      </c>
      <c r="G641" s="18" t="s">
        <v>5811</v>
      </c>
      <c r="H641" s="18"/>
      <c r="I641" s="18"/>
      <c r="J641" s="18"/>
    </row>
    <row r="642" ht="15.75" customHeight="1">
      <c r="A642" s="15" t="s">
        <v>5812</v>
      </c>
      <c r="B642" s="15" t="s">
        <v>60</v>
      </c>
      <c r="C642" s="15" t="s">
        <v>570</v>
      </c>
      <c r="D642" s="56" t="s">
        <v>5813</v>
      </c>
      <c r="E642" s="15" t="s">
        <v>807</v>
      </c>
      <c r="F642" s="15" t="s">
        <v>5814</v>
      </c>
      <c r="G642" s="18" t="s">
        <v>5815</v>
      </c>
      <c r="H642" s="18"/>
      <c r="I642" s="18"/>
      <c r="J642" s="18"/>
    </row>
    <row r="643" ht="15.75" customHeight="1">
      <c r="A643" s="15" t="s">
        <v>5816</v>
      </c>
      <c r="B643" s="15" t="s">
        <v>60</v>
      </c>
      <c r="C643" s="15" t="s">
        <v>1818</v>
      </c>
      <c r="D643" s="56" t="s">
        <v>5817</v>
      </c>
      <c r="E643" s="15" t="s">
        <v>807</v>
      </c>
      <c r="F643" s="15" t="s">
        <v>5818</v>
      </c>
      <c r="G643" s="18" t="s">
        <v>5819</v>
      </c>
      <c r="H643" s="18"/>
      <c r="I643" s="18"/>
      <c r="J643" s="18"/>
    </row>
    <row r="644" ht="15.75" customHeight="1">
      <c r="A644" s="15" t="s">
        <v>5820</v>
      </c>
      <c r="B644" s="15" t="s">
        <v>60</v>
      </c>
      <c r="C644" s="15" t="s">
        <v>85</v>
      </c>
      <c r="D644" s="56" t="s">
        <v>5821</v>
      </c>
      <c r="E644" s="15" t="s">
        <v>807</v>
      </c>
      <c r="F644" s="15" t="s">
        <v>5822</v>
      </c>
      <c r="G644" s="18" t="s">
        <v>5823</v>
      </c>
      <c r="H644" s="18"/>
      <c r="I644" s="18"/>
      <c r="J644" s="18"/>
    </row>
    <row r="645" ht="15.75" customHeight="1">
      <c r="A645" s="15" t="s">
        <v>5824</v>
      </c>
      <c r="B645" s="15" t="s">
        <v>60</v>
      </c>
      <c r="C645" s="15" t="s">
        <v>85</v>
      </c>
      <c r="D645" s="56" t="s">
        <v>5825</v>
      </c>
      <c r="E645" s="15" t="s">
        <v>807</v>
      </c>
      <c r="F645" s="15" t="s">
        <v>5826</v>
      </c>
      <c r="G645" s="18" t="s">
        <v>5827</v>
      </c>
      <c r="H645" s="18"/>
      <c r="I645" s="18"/>
      <c r="J645" s="18"/>
    </row>
    <row r="646" ht="15.75" customHeight="1">
      <c r="A646" s="15" t="s">
        <v>5828</v>
      </c>
      <c r="B646" s="15" t="s">
        <v>60</v>
      </c>
      <c r="C646" s="15" t="s">
        <v>85</v>
      </c>
      <c r="D646" s="56" t="s">
        <v>5829</v>
      </c>
      <c r="E646" s="15" t="s">
        <v>807</v>
      </c>
      <c r="F646" s="15" t="s">
        <v>5831</v>
      </c>
      <c r="G646" s="18" t="s">
        <v>5833</v>
      </c>
      <c r="H646" s="18"/>
      <c r="I646" s="18"/>
      <c r="J646" s="18"/>
    </row>
    <row r="647" ht="15.75" customHeight="1">
      <c r="A647" s="15" t="s">
        <v>5835</v>
      </c>
      <c r="B647" s="15" t="s">
        <v>60</v>
      </c>
      <c r="C647" s="15" t="s">
        <v>236</v>
      </c>
      <c r="D647" s="56" t="s">
        <v>5839</v>
      </c>
      <c r="E647" s="15" t="s">
        <v>807</v>
      </c>
      <c r="F647" s="15" t="s">
        <v>5840</v>
      </c>
      <c r="G647" s="18" t="s">
        <v>5841</v>
      </c>
      <c r="H647" s="18"/>
      <c r="I647" s="18"/>
      <c r="J647" s="18"/>
    </row>
    <row r="648" ht="15.75" customHeight="1">
      <c r="A648" s="15" t="s">
        <v>5842</v>
      </c>
      <c r="B648" s="15" t="s">
        <v>60</v>
      </c>
      <c r="C648" s="15" t="s">
        <v>354</v>
      </c>
      <c r="D648" s="56" t="s">
        <v>5843</v>
      </c>
      <c r="E648" s="15" t="s">
        <v>807</v>
      </c>
      <c r="F648" s="15" t="s">
        <v>5844</v>
      </c>
      <c r="G648" s="18" t="s">
        <v>5845</v>
      </c>
      <c r="H648" s="18"/>
      <c r="I648" s="18"/>
      <c r="J648" s="18"/>
    </row>
    <row r="649" ht="15.75" customHeight="1">
      <c r="A649" s="15" t="s">
        <v>5846</v>
      </c>
      <c r="B649" s="15" t="s">
        <v>60</v>
      </c>
      <c r="C649" s="15" t="s">
        <v>236</v>
      </c>
      <c r="D649" s="56" t="s">
        <v>5847</v>
      </c>
      <c r="E649" s="15" t="s">
        <v>807</v>
      </c>
      <c r="F649" s="15" t="s">
        <v>5848</v>
      </c>
      <c r="G649" s="18" t="s">
        <v>5849</v>
      </c>
      <c r="H649" s="18"/>
      <c r="I649" s="18"/>
      <c r="J649" s="18"/>
    </row>
    <row r="650" ht="15.75" customHeight="1">
      <c r="A650" s="15" t="s">
        <v>5850</v>
      </c>
      <c r="B650" s="15" t="s">
        <v>60</v>
      </c>
      <c r="C650" s="15" t="s">
        <v>842</v>
      </c>
      <c r="D650" s="56" t="s">
        <v>5851</v>
      </c>
      <c r="E650" s="15" t="s">
        <v>807</v>
      </c>
      <c r="F650" s="15" t="s">
        <v>5852</v>
      </c>
      <c r="G650" s="18" t="s">
        <v>5853</v>
      </c>
      <c r="H650" s="18"/>
      <c r="I650" s="18"/>
      <c r="J650" s="18"/>
    </row>
    <row r="651" ht="15.75" customHeight="1">
      <c r="A651" s="15" t="s">
        <v>5854</v>
      </c>
      <c r="B651" s="15" t="s">
        <v>60</v>
      </c>
      <c r="C651" s="15" t="s">
        <v>842</v>
      </c>
      <c r="D651" s="56" t="s">
        <v>5855</v>
      </c>
      <c r="E651" s="15" t="s">
        <v>807</v>
      </c>
      <c r="F651" s="15" t="s">
        <v>5856</v>
      </c>
      <c r="G651" s="18" t="s">
        <v>5857</v>
      </c>
      <c r="H651" s="18"/>
      <c r="I651" s="18"/>
      <c r="J651" s="18"/>
    </row>
    <row r="652" ht="15.75" customHeight="1">
      <c r="A652" s="15" t="s">
        <v>5858</v>
      </c>
      <c r="B652" s="15" t="s">
        <v>60</v>
      </c>
      <c r="C652" s="15" t="s">
        <v>224</v>
      </c>
      <c r="D652" s="56" t="s">
        <v>5859</v>
      </c>
      <c r="E652" s="15" t="s">
        <v>807</v>
      </c>
      <c r="F652" s="15" t="s">
        <v>5860</v>
      </c>
      <c r="G652" s="18" t="s">
        <v>5861</v>
      </c>
      <c r="H652" s="18"/>
      <c r="I652" s="18"/>
      <c r="J652" s="18"/>
    </row>
    <row r="653" ht="15.75" customHeight="1">
      <c r="A653" s="15" t="s">
        <v>5862</v>
      </c>
      <c r="B653" s="15" t="s">
        <v>60</v>
      </c>
      <c r="C653" s="15" t="s">
        <v>1818</v>
      </c>
      <c r="D653" s="56" t="s">
        <v>5863</v>
      </c>
      <c r="E653" s="15" t="s">
        <v>807</v>
      </c>
      <c r="F653" s="15" t="s">
        <v>5864</v>
      </c>
      <c r="G653" s="18" t="s">
        <v>5865</v>
      </c>
      <c r="H653" s="18"/>
      <c r="I653" s="18"/>
      <c r="J653" s="18"/>
    </row>
    <row r="654" ht="15.75" customHeight="1">
      <c r="A654" s="15" t="s">
        <v>5866</v>
      </c>
      <c r="B654" s="15" t="s">
        <v>60</v>
      </c>
      <c r="C654" s="15" t="s">
        <v>224</v>
      </c>
      <c r="D654" s="56" t="s">
        <v>5867</v>
      </c>
      <c r="E654" s="15" t="s">
        <v>807</v>
      </c>
      <c r="F654" s="15" t="s">
        <v>5868</v>
      </c>
      <c r="G654" s="18" t="s">
        <v>5869</v>
      </c>
      <c r="H654" s="18"/>
      <c r="I654" s="18"/>
      <c r="J654" s="18"/>
    </row>
    <row r="655" ht="15.75" customHeight="1">
      <c r="A655" s="15" t="s">
        <v>5870</v>
      </c>
      <c r="B655" s="15" t="s">
        <v>60</v>
      </c>
      <c r="C655" s="15" t="s">
        <v>264</v>
      </c>
      <c r="D655" s="56" t="s">
        <v>5871</v>
      </c>
      <c r="E655" s="15" t="s">
        <v>807</v>
      </c>
      <c r="F655" s="15" t="s">
        <v>5873</v>
      </c>
      <c r="G655" s="18" t="s">
        <v>5876</v>
      </c>
      <c r="H655" s="18"/>
      <c r="I655" s="18"/>
      <c r="J655" s="18"/>
    </row>
    <row r="656" ht="15.75" customHeight="1">
      <c r="A656" s="15" t="s">
        <v>5879</v>
      </c>
      <c r="B656" s="15" t="s">
        <v>60</v>
      </c>
      <c r="C656" s="15" t="s">
        <v>1312</v>
      </c>
      <c r="D656" s="56" t="s">
        <v>5881</v>
      </c>
      <c r="E656" s="15" t="s">
        <v>807</v>
      </c>
      <c r="F656" s="15" t="s">
        <v>5883</v>
      </c>
      <c r="G656" s="18" t="s">
        <v>5884</v>
      </c>
      <c r="H656" s="18"/>
      <c r="I656" s="18"/>
      <c r="J656" s="18"/>
    </row>
    <row r="657" ht="15.75" customHeight="1">
      <c r="A657" s="15" t="s">
        <v>5885</v>
      </c>
      <c r="B657" s="15" t="s">
        <v>60</v>
      </c>
      <c r="C657" s="15" t="s">
        <v>264</v>
      </c>
      <c r="D657" s="56" t="s">
        <v>5886</v>
      </c>
      <c r="E657" s="15" t="s">
        <v>807</v>
      </c>
      <c r="F657" s="15" t="s">
        <v>5887</v>
      </c>
      <c r="G657" s="18" t="s">
        <v>5888</v>
      </c>
      <c r="H657" s="18"/>
      <c r="I657" s="18"/>
      <c r="J657" s="18"/>
    </row>
    <row r="658" ht="15.75" customHeight="1">
      <c r="A658" s="15" t="s">
        <v>5889</v>
      </c>
      <c r="B658" s="15" t="s">
        <v>60</v>
      </c>
      <c r="C658" s="15" t="s">
        <v>958</v>
      </c>
      <c r="D658" s="56" t="s">
        <v>5890</v>
      </c>
      <c r="E658" s="15" t="s">
        <v>807</v>
      </c>
      <c r="F658" s="15" t="s">
        <v>5891</v>
      </c>
      <c r="G658" s="18" t="s">
        <v>5892</v>
      </c>
      <c r="H658" s="18"/>
      <c r="I658" s="18"/>
      <c r="J658" s="18"/>
    </row>
    <row r="659" ht="15.75" customHeight="1">
      <c r="A659" s="15" t="s">
        <v>5893</v>
      </c>
      <c r="B659" s="15" t="s">
        <v>60</v>
      </c>
      <c r="C659" s="15" t="s">
        <v>1818</v>
      </c>
      <c r="D659" s="56" t="s">
        <v>5894</v>
      </c>
      <c r="E659" s="15" t="s">
        <v>807</v>
      </c>
      <c r="F659" s="15" t="s">
        <v>5895</v>
      </c>
      <c r="G659" s="18" t="s">
        <v>5896</v>
      </c>
      <c r="H659" s="18"/>
      <c r="I659" s="18"/>
      <c r="J659" s="18"/>
    </row>
    <row r="660" ht="15.75" customHeight="1">
      <c r="A660" s="15" t="s">
        <v>5897</v>
      </c>
      <c r="B660" s="15" t="s">
        <v>60</v>
      </c>
      <c r="C660" s="15" t="s">
        <v>236</v>
      </c>
      <c r="D660" s="56" t="s">
        <v>5898</v>
      </c>
      <c r="E660" s="15" t="s">
        <v>807</v>
      </c>
      <c r="F660" s="15" t="s">
        <v>5899</v>
      </c>
      <c r="G660" s="18" t="s">
        <v>5900</v>
      </c>
      <c r="H660" s="18"/>
      <c r="I660" s="18"/>
      <c r="J660" s="18"/>
    </row>
    <row r="661" ht="15.75" customHeight="1">
      <c r="A661" s="15" t="s">
        <v>5901</v>
      </c>
      <c r="B661" s="15" t="s">
        <v>60</v>
      </c>
      <c r="C661" s="15" t="s">
        <v>1687</v>
      </c>
      <c r="D661" s="56" t="s">
        <v>5902</v>
      </c>
      <c r="E661" s="15" t="s">
        <v>807</v>
      </c>
      <c r="F661" s="15" t="s">
        <v>5903</v>
      </c>
      <c r="G661" s="18" t="s">
        <v>5904</v>
      </c>
      <c r="H661" s="18"/>
      <c r="I661" s="18"/>
      <c r="J661" s="18"/>
    </row>
    <row r="662" ht="15.75" customHeight="1">
      <c r="A662" s="15" t="s">
        <v>5905</v>
      </c>
      <c r="B662" s="15" t="s">
        <v>60</v>
      </c>
      <c r="C662" s="15" t="s">
        <v>958</v>
      </c>
      <c r="D662" s="56" t="s">
        <v>5906</v>
      </c>
      <c r="E662" s="15" t="s">
        <v>807</v>
      </c>
      <c r="F662" s="15" t="s">
        <v>5907</v>
      </c>
      <c r="G662" s="18" t="s">
        <v>5908</v>
      </c>
      <c r="H662" s="18"/>
      <c r="I662" s="18"/>
      <c r="J662" s="18"/>
    </row>
    <row r="663" ht="15.75" customHeight="1">
      <c r="A663" s="15" t="s">
        <v>5909</v>
      </c>
      <c r="B663" s="15" t="s">
        <v>60</v>
      </c>
      <c r="C663" s="15" t="s">
        <v>1165</v>
      </c>
      <c r="D663" s="56" t="s">
        <v>5910</v>
      </c>
      <c r="E663" s="15" t="s">
        <v>807</v>
      </c>
      <c r="F663" s="15" t="s">
        <v>5911</v>
      </c>
      <c r="G663" s="18" t="s">
        <v>5912</v>
      </c>
      <c r="H663" s="18"/>
      <c r="I663" s="18"/>
      <c r="J663" s="18"/>
    </row>
    <row r="664" ht="15.75" customHeight="1">
      <c r="A664" s="15" t="s">
        <v>5913</v>
      </c>
      <c r="B664" s="15" t="s">
        <v>60</v>
      </c>
      <c r="C664" s="15" t="s">
        <v>1312</v>
      </c>
      <c r="D664" s="56" t="s">
        <v>5914</v>
      </c>
      <c r="E664" s="15" t="s">
        <v>807</v>
      </c>
      <c r="F664" s="15" t="s">
        <v>5917</v>
      </c>
      <c r="G664" s="18" t="s">
        <v>5919</v>
      </c>
      <c r="H664" s="18"/>
      <c r="I664" s="18"/>
      <c r="J664" s="18"/>
    </row>
    <row r="665" ht="15.75" customHeight="1">
      <c r="A665" s="15" t="s">
        <v>5922</v>
      </c>
      <c r="B665" s="15" t="s">
        <v>60</v>
      </c>
      <c r="C665" s="15" t="s">
        <v>245</v>
      </c>
      <c r="D665" s="56" t="s">
        <v>5924</v>
      </c>
      <c r="E665" s="15" t="s">
        <v>807</v>
      </c>
      <c r="F665" s="15" t="s">
        <v>5925</v>
      </c>
      <c r="G665" s="18" t="s">
        <v>5926</v>
      </c>
      <c r="H665" s="18"/>
      <c r="I665" s="18"/>
      <c r="J665" s="18"/>
    </row>
    <row r="666" ht="15.75" customHeight="1">
      <c r="A666" s="15" t="s">
        <v>5927</v>
      </c>
      <c r="B666" s="15" t="s">
        <v>60</v>
      </c>
      <c r="C666" s="15" t="s">
        <v>1165</v>
      </c>
      <c r="D666" s="56" t="s">
        <v>5928</v>
      </c>
      <c r="E666" s="15" t="s">
        <v>807</v>
      </c>
      <c r="F666" s="15" t="s">
        <v>5929</v>
      </c>
      <c r="G666" s="18" t="s">
        <v>5930</v>
      </c>
      <c r="H666" s="18"/>
      <c r="I666" s="18"/>
      <c r="J666" s="18"/>
    </row>
    <row r="667" ht="15.75" customHeight="1">
      <c r="A667" s="15" t="s">
        <v>5931</v>
      </c>
      <c r="B667" s="15" t="s">
        <v>60</v>
      </c>
      <c r="C667" s="15" t="s">
        <v>1312</v>
      </c>
      <c r="D667" s="56" t="s">
        <v>5932</v>
      </c>
      <c r="E667" s="15" t="s">
        <v>807</v>
      </c>
      <c r="F667" s="15" t="s">
        <v>5933</v>
      </c>
      <c r="G667" s="18" t="s">
        <v>5934</v>
      </c>
      <c r="H667" s="18"/>
      <c r="I667" s="18"/>
      <c r="J667" s="18"/>
    </row>
    <row r="668" ht="15.75" customHeight="1">
      <c r="A668" s="15" t="s">
        <v>5935</v>
      </c>
      <c r="B668" s="15" t="s">
        <v>60</v>
      </c>
      <c r="C668" s="15" t="s">
        <v>1818</v>
      </c>
      <c r="D668" s="56" t="s">
        <v>5936</v>
      </c>
      <c r="E668" s="15" t="s">
        <v>807</v>
      </c>
      <c r="F668" s="15" t="s">
        <v>5937</v>
      </c>
      <c r="G668" s="18" t="s">
        <v>5938</v>
      </c>
      <c r="H668" s="18"/>
      <c r="I668" s="18"/>
      <c r="J668" s="18"/>
    </row>
    <row r="669" ht="15.75" customHeight="1">
      <c r="A669" s="15" t="s">
        <v>5939</v>
      </c>
      <c r="B669" s="15" t="s">
        <v>60</v>
      </c>
      <c r="C669" s="15" t="s">
        <v>1155</v>
      </c>
      <c r="D669" s="56" t="s">
        <v>5940</v>
      </c>
      <c r="E669" s="15" t="s">
        <v>807</v>
      </c>
      <c r="F669" s="15" t="s">
        <v>5941</v>
      </c>
      <c r="G669" s="18" t="s">
        <v>5942</v>
      </c>
      <c r="H669" s="18"/>
      <c r="I669" s="18"/>
      <c r="J669" s="18"/>
    </row>
    <row r="670" ht="15.75" customHeight="1">
      <c r="A670" s="15" t="s">
        <v>5943</v>
      </c>
      <c r="B670" s="15" t="s">
        <v>60</v>
      </c>
      <c r="C670" s="15" t="s">
        <v>354</v>
      </c>
      <c r="D670" s="56" t="s">
        <v>5944</v>
      </c>
      <c r="E670" s="15" t="s">
        <v>807</v>
      </c>
      <c r="F670" s="15" t="s">
        <v>5945</v>
      </c>
      <c r="G670" s="18" t="s">
        <v>5946</v>
      </c>
      <c r="H670" s="18"/>
      <c r="I670" s="18"/>
      <c r="J670" s="18"/>
    </row>
    <row r="671" ht="15.75" customHeight="1">
      <c r="A671" s="15" t="s">
        <v>5947</v>
      </c>
      <c r="B671" s="15" t="s">
        <v>60</v>
      </c>
      <c r="C671" s="15" t="s">
        <v>264</v>
      </c>
      <c r="D671" s="56" t="s">
        <v>5948</v>
      </c>
      <c r="E671" s="15" t="s">
        <v>807</v>
      </c>
      <c r="F671" s="15" t="s">
        <v>5949</v>
      </c>
      <c r="G671" s="18" t="s">
        <v>5950</v>
      </c>
      <c r="H671" s="18"/>
      <c r="I671" s="18"/>
      <c r="J671" s="18"/>
    </row>
    <row r="672" ht="15.75" customHeight="1">
      <c r="A672" s="15" t="s">
        <v>5951</v>
      </c>
      <c r="B672" s="15" t="s">
        <v>60</v>
      </c>
      <c r="C672" s="15" t="s">
        <v>264</v>
      </c>
      <c r="D672" s="56" t="s">
        <v>5954</v>
      </c>
      <c r="E672" s="15" t="s">
        <v>807</v>
      </c>
      <c r="F672" s="15" t="s">
        <v>5956</v>
      </c>
      <c r="G672" s="18" t="s">
        <v>5957</v>
      </c>
      <c r="H672" s="18"/>
      <c r="I672" s="18"/>
      <c r="J672" s="18"/>
    </row>
    <row r="673" ht="15.75" customHeight="1">
      <c r="A673" s="15" t="s">
        <v>5961</v>
      </c>
      <c r="B673" s="15" t="s">
        <v>60</v>
      </c>
      <c r="C673" s="15" t="s">
        <v>570</v>
      </c>
      <c r="D673" s="56" t="s">
        <v>5962</v>
      </c>
      <c r="E673" s="15" t="s">
        <v>807</v>
      </c>
      <c r="F673" s="15" t="s">
        <v>5963</v>
      </c>
      <c r="G673" s="18" t="s">
        <v>5964</v>
      </c>
      <c r="H673" s="18"/>
      <c r="I673" s="18"/>
      <c r="J673" s="18"/>
    </row>
    <row r="674" ht="15.75" customHeight="1">
      <c r="A674" s="15" t="s">
        <v>5965</v>
      </c>
      <c r="B674" s="15" t="s">
        <v>60</v>
      </c>
      <c r="C674" s="15" t="s">
        <v>224</v>
      </c>
      <c r="D674" s="56" t="s">
        <v>5966</v>
      </c>
      <c r="E674" s="15" t="s">
        <v>807</v>
      </c>
      <c r="F674" s="15" t="s">
        <v>5967</v>
      </c>
      <c r="G674" s="18" t="s">
        <v>5968</v>
      </c>
      <c r="H674" s="18"/>
      <c r="I674" s="18"/>
      <c r="J674" s="18"/>
    </row>
    <row r="675" ht="15.75" customHeight="1">
      <c r="A675" s="15" t="s">
        <v>5969</v>
      </c>
      <c r="B675" s="15" t="s">
        <v>60</v>
      </c>
      <c r="C675" s="15" t="s">
        <v>775</v>
      </c>
      <c r="D675" s="56" t="s">
        <v>5970</v>
      </c>
      <c r="E675" s="15" t="s">
        <v>807</v>
      </c>
      <c r="F675" s="15" t="s">
        <v>5971</v>
      </c>
      <c r="G675" s="18" t="s">
        <v>5972</v>
      </c>
      <c r="H675" s="18"/>
      <c r="I675" s="18"/>
      <c r="J675" s="18"/>
    </row>
    <row r="676" ht="15.75" customHeight="1">
      <c r="A676" s="15" t="s">
        <v>5973</v>
      </c>
      <c r="B676" s="15" t="s">
        <v>60</v>
      </c>
      <c r="C676" s="15" t="s">
        <v>1165</v>
      </c>
      <c r="D676" s="56" t="s">
        <v>5974</v>
      </c>
      <c r="E676" s="15" t="s">
        <v>807</v>
      </c>
      <c r="F676" s="15" t="s">
        <v>5975</v>
      </c>
      <c r="G676" s="18" t="s">
        <v>5976</v>
      </c>
      <c r="H676" s="18"/>
      <c r="I676" s="18"/>
      <c r="J676" s="18"/>
    </row>
    <row r="677" ht="15.75" customHeight="1">
      <c r="A677" s="15" t="s">
        <v>5977</v>
      </c>
      <c r="B677" s="15" t="s">
        <v>60</v>
      </c>
      <c r="C677" s="15" t="s">
        <v>1687</v>
      </c>
      <c r="D677" s="56" t="s">
        <v>5978</v>
      </c>
      <c r="E677" s="15" t="s">
        <v>807</v>
      </c>
      <c r="F677" s="15" t="s">
        <v>5979</v>
      </c>
      <c r="G677" s="18" t="s">
        <v>5980</v>
      </c>
      <c r="H677" s="18"/>
      <c r="I677" s="18"/>
      <c r="J677" s="18"/>
    </row>
    <row r="678" ht="15.75" customHeight="1">
      <c r="A678" s="15" t="s">
        <v>5981</v>
      </c>
      <c r="B678" s="15" t="s">
        <v>60</v>
      </c>
      <c r="C678" s="15" t="s">
        <v>1165</v>
      </c>
      <c r="D678" s="56" t="s">
        <v>5982</v>
      </c>
      <c r="E678" s="15" t="s">
        <v>807</v>
      </c>
      <c r="F678" s="15" t="s">
        <v>5983</v>
      </c>
      <c r="G678" s="18" t="s">
        <v>5984</v>
      </c>
      <c r="H678" s="18"/>
      <c r="I678" s="18"/>
      <c r="J678" s="18"/>
    </row>
    <row r="679" ht="15.75" customHeight="1">
      <c r="A679" s="15" t="s">
        <v>5985</v>
      </c>
      <c r="B679" s="15" t="s">
        <v>60</v>
      </c>
      <c r="C679" s="15" t="s">
        <v>570</v>
      </c>
      <c r="D679" s="56" t="s">
        <v>5986</v>
      </c>
      <c r="E679" s="15" t="s">
        <v>807</v>
      </c>
      <c r="F679" s="15" t="s">
        <v>5987</v>
      </c>
      <c r="G679" s="18" t="s">
        <v>5988</v>
      </c>
      <c r="H679" s="18"/>
      <c r="I679" s="18"/>
      <c r="J679" s="18"/>
    </row>
    <row r="680" ht="15.75" customHeight="1">
      <c r="A680" s="15" t="s">
        <v>5989</v>
      </c>
      <c r="B680" s="15" t="s">
        <v>60</v>
      </c>
      <c r="C680" s="15" t="s">
        <v>842</v>
      </c>
      <c r="D680" s="56" t="s">
        <v>5990</v>
      </c>
      <c r="E680" s="15" t="s">
        <v>807</v>
      </c>
      <c r="F680" s="15" t="s">
        <v>5991</v>
      </c>
      <c r="G680" s="18" t="s">
        <v>5992</v>
      </c>
      <c r="H680" s="18"/>
      <c r="I680" s="18"/>
      <c r="J680" s="18"/>
    </row>
    <row r="681" ht="15.75" customHeight="1">
      <c r="A681" s="15" t="s">
        <v>5993</v>
      </c>
      <c r="B681" s="15" t="s">
        <v>60</v>
      </c>
      <c r="C681" s="15" t="s">
        <v>264</v>
      </c>
      <c r="D681" s="56" t="s">
        <v>5995</v>
      </c>
      <c r="E681" s="15" t="s">
        <v>807</v>
      </c>
      <c r="F681" s="15" t="s">
        <v>5998</v>
      </c>
      <c r="G681" s="18" t="s">
        <v>5999</v>
      </c>
      <c r="H681" s="18"/>
      <c r="I681" s="18"/>
      <c r="J681" s="18"/>
    </row>
    <row r="682" ht="15.75" customHeight="1">
      <c r="A682" s="15" t="s">
        <v>6003</v>
      </c>
      <c r="B682" s="15" t="s">
        <v>60</v>
      </c>
      <c r="C682" s="15" t="s">
        <v>1139</v>
      </c>
      <c r="D682" s="56" t="s">
        <v>6004</v>
      </c>
      <c r="E682" s="15" t="s">
        <v>807</v>
      </c>
      <c r="F682" s="15" t="s">
        <v>6005</v>
      </c>
      <c r="G682" s="18" t="s">
        <v>6006</v>
      </c>
      <c r="H682" s="18"/>
      <c r="I682" s="18"/>
      <c r="J682" s="18"/>
    </row>
    <row r="683" ht="15.75" customHeight="1">
      <c r="A683" s="15" t="s">
        <v>6007</v>
      </c>
      <c r="B683" s="15" t="s">
        <v>60</v>
      </c>
      <c r="C683" s="15" t="s">
        <v>85</v>
      </c>
      <c r="D683" s="56" t="s">
        <v>6008</v>
      </c>
      <c r="E683" s="15" t="s">
        <v>807</v>
      </c>
      <c r="F683" s="15" t="s">
        <v>6009</v>
      </c>
      <c r="G683" s="18" t="s">
        <v>6010</v>
      </c>
      <c r="H683" s="18"/>
      <c r="I683" s="18"/>
      <c r="J683" s="18"/>
    </row>
    <row r="684" ht="15.75" customHeight="1">
      <c r="A684" s="15" t="s">
        <v>6011</v>
      </c>
      <c r="B684" s="15" t="s">
        <v>60</v>
      </c>
      <c r="C684" s="15" t="s">
        <v>354</v>
      </c>
      <c r="D684" s="56" t="s">
        <v>6012</v>
      </c>
      <c r="E684" s="15" t="s">
        <v>807</v>
      </c>
      <c r="F684" s="15" t="s">
        <v>6013</v>
      </c>
      <c r="G684" s="18" t="s">
        <v>6014</v>
      </c>
      <c r="H684" s="18"/>
      <c r="I684" s="18"/>
      <c r="J684" s="18"/>
    </row>
    <row r="685" ht="15.75" customHeight="1">
      <c r="A685" s="15" t="s">
        <v>6015</v>
      </c>
      <c r="B685" s="15" t="s">
        <v>60</v>
      </c>
      <c r="C685" s="15" t="s">
        <v>354</v>
      </c>
      <c r="D685" s="56" t="s">
        <v>6016</v>
      </c>
      <c r="E685" s="15" t="s">
        <v>807</v>
      </c>
      <c r="F685" s="15" t="s">
        <v>6017</v>
      </c>
      <c r="G685" s="18" t="s">
        <v>6018</v>
      </c>
      <c r="H685" s="18"/>
      <c r="I685" s="18"/>
      <c r="J685" s="18"/>
    </row>
    <row r="686" ht="15.75" customHeight="1">
      <c r="A686" s="15" t="s">
        <v>6019</v>
      </c>
      <c r="B686" s="15" t="s">
        <v>60</v>
      </c>
      <c r="C686" s="15" t="s">
        <v>1155</v>
      </c>
      <c r="D686" s="56" t="s">
        <v>6020</v>
      </c>
      <c r="E686" s="15" t="s">
        <v>807</v>
      </c>
      <c r="F686" s="15" t="s">
        <v>6021</v>
      </c>
      <c r="G686" s="18" t="s">
        <v>6022</v>
      </c>
      <c r="H686" s="18"/>
      <c r="I686" s="18"/>
      <c r="J686" s="18"/>
    </row>
    <row r="687" ht="15.75" customHeight="1">
      <c r="A687" s="15" t="s">
        <v>6023</v>
      </c>
      <c r="B687" s="15" t="s">
        <v>60</v>
      </c>
      <c r="C687" s="15" t="s">
        <v>1165</v>
      </c>
      <c r="D687" s="56" t="s">
        <v>6024</v>
      </c>
      <c r="E687" s="15" t="s">
        <v>807</v>
      </c>
      <c r="F687" s="15" t="s">
        <v>6025</v>
      </c>
      <c r="G687" s="18" t="s">
        <v>6026</v>
      </c>
      <c r="H687" s="18"/>
      <c r="I687" s="18"/>
      <c r="J687" s="18"/>
    </row>
    <row r="688" ht="15.75" customHeight="1">
      <c r="A688" s="15" t="s">
        <v>6027</v>
      </c>
      <c r="B688" s="15" t="s">
        <v>60</v>
      </c>
      <c r="C688" s="15" t="s">
        <v>354</v>
      </c>
      <c r="D688" s="56" t="s">
        <v>6028</v>
      </c>
      <c r="E688" s="15" t="s">
        <v>807</v>
      </c>
      <c r="F688" s="15" t="s">
        <v>6029</v>
      </c>
      <c r="G688" s="18" t="s">
        <v>6030</v>
      </c>
      <c r="H688" s="18"/>
      <c r="I688" s="18"/>
      <c r="J688" s="18"/>
    </row>
    <row r="689" ht="15.75" customHeight="1">
      <c r="A689" s="15" t="s">
        <v>6031</v>
      </c>
      <c r="B689" s="15" t="s">
        <v>60</v>
      </c>
      <c r="C689" s="15" t="s">
        <v>775</v>
      </c>
      <c r="D689" s="56" t="s">
        <v>6032</v>
      </c>
      <c r="E689" s="15" t="s">
        <v>807</v>
      </c>
      <c r="F689" s="15" t="s">
        <v>6033</v>
      </c>
      <c r="G689" s="18" t="s">
        <v>6034</v>
      </c>
      <c r="H689" s="18"/>
      <c r="I689" s="18"/>
      <c r="J689" s="18"/>
    </row>
    <row r="690" ht="15.75" customHeight="1">
      <c r="A690" s="15" t="s">
        <v>6035</v>
      </c>
      <c r="B690" s="15" t="s">
        <v>60</v>
      </c>
      <c r="C690" s="15" t="s">
        <v>1139</v>
      </c>
      <c r="D690" s="56" t="s">
        <v>6036</v>
      </c>
      <c r="E690" s="15" t="s">
        <v>807</v>
      </c>
      <c r="F690" s="15" t="s">
        <v>6038</v>
      </c>
      <c r="G690" s="18" t="s">
        <v>6039</v>
      </c>
      <c r="H690" s="18"/>
      <c r="I690" s="18"/>
      <c r="J690" s="18"/>
    </row>
    <row r="691" ht="15.75" customHeight="1">
      <c r="A691" s="15" t="s">
        <v>6041</v>
      </c>
      <c r="B691" s="15" t="s">
        <v>60</v>
      </c>
      <c r="C691" s="15" t="s">
        <v>1312</v>
      </c>
      <c r="D691" s="56" t="s">
        <v>6045</v>
      </c>
      <c r="E691" s="15" t="s">
        <v>807</v>
      </c>
      <c r="F691" s="15" t="s">
        <v>6047</v>
      </c>
      <c r="G691" s="18" t="s">
        <v>6048</v>
      </c>
      <c r="H691" s="18"/>
      <c r="I691" s="18"/>
      <c r="J691" s="18"/>
    </row>
    <row r="692" ht="15.75" customHeight="1">
      <c r="A692" s="15" t="s">
        <v>6049</v>
      </c>
      <c r="B692" s="15" t="s">
        <v>60</v>
      </c>
      <c r="C692" s="15" t="s">
        <v>842</v>
      </c>
      <c r="D692" s="56" t="s">
        <v>6050</v>
      </c>
      <c r="E692" s="15" t="s">
        <v>807</v>
      </c>
      <c r="F692" s="15" t="s">
        <v>6051</v>
      </c>
      <c r="G692" s="18" t="s">
        <v>6052</v>
      </c>
      <c r="H692" s="18"/>
      <c r="I692" s="18"/>
      <c r="J692" s="18"/>
    </row>
    <row r="693" ht="15.75" customHeight="1">
      <c r="A693" s="15" t="s">
        <v>6053</v>
      </c>
      <c r="B693" s="15" t="s">
        <v>60</v>
      </c>
      <c r="C693" s="15" t="s">
        <v>413</v>
      </c>
      <c r="D693" s="56" t="s">
        <v>6054</v>
      </c>
      <c r="E693" s="15" t="s">
        <v>807</v>
      </c>
      <c r="F693" s="15" t="s">
        <v>6055</v>
      </c>
      <c r="G693" s="18" t="s">
        <v>6056</v>
      </c>
      <c r="H693" s="18"/>
      <c r="I693" s="18"/>
      <c r="J693" s="18"/>
    </row>
    <row r="694" ht="15.75" customHeight="1">
      <c r="A694" s="15" t="s">
        <v>6057</v>
      </c>
      <c r="B694" s="15" t="s">
        <v>60</v>
      </c>
      <c r="C694" s="15" t="s">
        <v>245</v>
      </c>
      <c r="D694" s="56" t="s">
        <v>6058</v>
      </c>
      <c r="E694" s="15" t="s">
        <v>807</v>
      </c>
      <c r="F694" s="15" t="s">
        <v>6059</v>
      </c>
      <c r="G694" s="18" t="s">
        <v>6060</v>
      </c>
      <c r="H694" s="18"/>
      <c r="I694" s="18"/>
      <c r="J694" s="18"/>
    </row>
    <row r="695" ht="15.75" customHeight="1">
      <c r="A695" s="15" t="s">
        <v>6061</v>
      </c>
      <c r="B695" s="15" t="s">
        <v>60</v>
      </c>
      <c r="C695" s="15" t="s">
        <v>236</v>
      </c>
      <c r="D695" s="56" t="s">
        <v>6062</v>
      </c>
      <c r="E695" s="15" t="s">
        <v>807</v>
      </c>
      <c r="F695" s="15" t="s">
        <v>6063</v>
      </c>
      <c r="G695" s="18" t="s">
        <v>6064</v>
      </c>
      <c r="H695" s="18"/>
      <c r="I695" s="18"/>
      <c r="J695" s="18"/>
    </row>
    <row r="696" ht="15.75" customHeight="1">
      <c r="A696" s="15" t="s">
        <v>6065</v>
      </c>
      <c r="B696" s="15" t="s">
        <v>60</v>
      </c>
      <c r="C696" s="15" t="s">
        <v>245</v>
      </c>
      <c r="D696" s="56" t="s">
        <v>6066</v>
      </c>
      <c r="E696" s="15" t="s">
        <v>807</v>
      </c>
      <c r="F696" s="15" t="s">
        <v>6067</v>
      </c>
      <c r="G696" s="18" t="s">
        <v>6068</v>
      </c>
      <c r="H696" s="18"/>
      <c r="I696" s="18"/>
      <c r="J696" s="18"/>
    </row>
    <row r="697" ht="15.75" customHeight="1">
      <c r="A697" s="15" t="s">
        <v>6069</v>
      </c>
      <c r="B697" s="15" t="s">
        <v>60</v>
      </c>
      <c r="C697" s="15" t="s">
        <v>1818</v>
      </c>
      <c r="D697" s="56" t="s">
        <v>6070</v>
      </c>
      <c r="E697" s="15" t="s">
        <v>807</v>
      </c>
      <c r="F697" s="15" t="s">
        <v>6071</v>
      </c>
      <c r="G697" s="18" t="s">
        <v>6072</v>
      </c>
      <c r="H697" s="18"/>
      <c r="I697" s="18"/>
      <c r="J697" s="18"/>
    </row>
    <row r="698" ht="15.75" customHeight="1">
      <c r="A698" s="15" t="s">
        <v>6073</v>
      </c>
      <c r="B698" s="15" t="s">
        <v>60</v>
      </c>
      <c r="C698" s="15" t="s">
        <v>1818</v>
      </c>
      <c r="D698" s="56" t="s">
        <v>6074</v>
      </c>
      <c r="E698" s="15" t="s">
        <v>807</v>
      </c>
      <c r="F698" s="15" t="s">
        <v>6075</v>
      </c>
      <c r="G698" s="18" t="s">
        <v>6076</v>
      </c>
      <c r="H698" s="18"/>
      <c r="I698" s="18"/>
      <c r="J698" s="18"/>
    </row>
    <row r="699" ht="15.75" customHeight="1">
      <c r="A699" s="15" t="s">
        <v>6077</v>
      </c>
      <c r="B699" s="15" t="s">
        <v>60</v>
      </c>
      <c r="C699" s="15" t="s">
        <v>424</v>
      </c>
      <c r="D699" s="56" t="s">
        <v>6078</v>
      </c>
      <c r="E699" s="15" t="s">
        <v>807</v>
      </c>
      <c r="F699" s="15" t="s">
        <v>6080</v>
      </c>
      <c r="G699" s="18" t="s">
        <v>6082</v>
      </c>
      <c r="H699" s="18"/>
      <c r="I699" s="18"/>
      <c r="J699" s="18"/>
    </row>
    <row r="700" ht="15.75" customHeight="1">
      <c r="A700" s="15" t="s">
        <v>6084</v>
      </c>
      <c r="B700" s="15" t="s">
        <v>60</v>
      </c>
      <c r="C700" s="15" t="s">
        <v>224</v>
      </c>
      <c r="D700" s="56" t="s">
        <v>6087</v>
      </c>
      <c r="E700" s="15" t="s">
        <v>807</v>
      </c>
      <c r="F700" s="15" t="s">
        <v>6089</v>
      </c>
      <c r="G700" s="18" t="s">
        <v>6090</v>
      </c>
      <c r="H700" s="18"/>
      <c r="I700" s="18"/>
      <c r="J700" s="18"/>
    </row>
    <row r="701" ht="15.75" customHeight="1">
      <c r="A701" s="15" t="s">
        <v>6091</v>
      </c>
      <c r="B701" s="15" t="s">
        <v>60</v>
      </c>
      <c r="C701" s="15" t="s">
        <v>264</v>
      </c>
      <c r="D701" s="56" t="s">
        <v>6092</v>
      </c>
      <c r="E701" s="15" t="s">
        <v>807</v>
      </c>
      <c r="F701" s="15" t="s">
        <v>6093</v>
      </c>
      <c r="G701" s="18" t="s">
        <v>6094</v>
      </c>
      <c r="H701" s="18"/>
      <c r="I701" s="18"/>
      <c r="J701" s="18"/>
    </row>
    <row r="702" ht="15.75" customHeight="1">
      <c r="A702" s="15" t="s">
        <v>6095</v>
      </c>
      <c r="B702" s="15" t="s">
        <v>60</v>
      </c>
      <c r="C702" s="15" t="s">
        <v>958</v>
      </c>
      <c r="D702" s="56" t="s">
        <v>6096</v>
      </c>
      <c r="E702" s="15" t="s">
        <v>807</v>
      </c>
      <c r="F702" s="15" t="s">
        <v>6097</v>
      </c>
      <c r="G702" s="18" t="s">
        <v>6098</v>
      </c>
      <c r="H702" s="18"/>
      <c r="I702" s="18"/>
      <c r="J702" s="18"/>
    </row>
    <row r="703" ht="15.75" customHeight="1">
      <c r="A703" s="15" t="s">
        <v>6099</v>
      </c>
      <c r="B703" s="15" t="s">
        <v>60</v>
      </c>
      <c r="C703" s="15" t="s">
        <v>264</v>
      </c>
      <c r="D703" s="56" t="s">
        <v>6100</v>
      </c>
      <c r="E703" s="15" t="s">
        <v>807</v>
      </c>
      <c r="F703" s="15" t="s">
        <v>6101</v>
      </c>
      <c r="G703" s="18" t="s">
        <v>6102</v>
      </c>
      <c r="H703" s="18"/>
      <c r="I703" s="18"/>
      <c r="J703" s="18"/>
    </row>
    <row r="704" ht="15.75" customHeight="1">
      <c r="A704" s="15" t="s">
        <v>6103</v>
      </c>
      <c r="B704" s="15" t="s">
        <v>60</v>
      </c>
      <c r="C704" s="15" t="s">
        <v>424</v>
      </c>
      <c r="D704" s="56" t="s">
        <v>6104</v>
      </c>
      <c r="E704" s="15" t="s">
        <v>807</v>
      </c>
      <c r="F704" s="15" t="s">
        <v>6105</v>
      </c>
      <c r="G704" s="18" t="s">
        <v>6106</v>
      </c>
      <c r="H704" s="18"/>
      <c r="I704" s="18"/>
      <c r="J704" s="18"/>
    </row>
    <row r="705" ht="15.75" customHeight="1">
      <c r="A705" s="15" t="s">
        <v>6107</v>
      </c>
      <c r="B705" s="15" t="s">
        <v>60</v>
      </c>
      <c r="C705" s="15" t="s">
        <v>224</v>
      </c>
      <c r="D705" s="56" t="s">
        <v>6108</v>
      </c>
      <c r="E705" s="15" t="s">
        <v>807</v>
      </c>
      <c r="F705" s="15" t="s">
        <v>6109</v>
      </c>
      <c r="G705" s="18" t="s">
        <v>6110</v>
      </c>
      <c r="H705" s="18"/>
      <c r="I705" s="18"/>
      <c r="J705" s="18"/>
    </row>
    <row r="706" ht="15.75" customHeight="1">
      <c r="A706" s="15" t="s">
        <v>6111</v>
      </c>
      <c r="B706" s="15" t="s">
        <v>60</v>
      </c>
      <c r="C706" s="15" t="s">
        <v>236</v>
      </c>
      <c r="D706" s="56" t="s">
        <v>6112</v>
      </c>
      <c r="E706" s="15" t="s">
        <v>807</v>
      </c>
      <c r="F706" s="15" t="s">
        <v>6113</v>
      </c>
      <c r="G706" s="18" t="s">
        <v>6114</v>
      </c>
      <c r="H706" s="18"/>
      <c r="I706" s="18"/>
      <c r="J706" s="18"/>
    </row>
    <row r="707" ht="15.75" customHeight="1">
      <c r="A707" s="15" t="s">
        <v>6115</v>
      </c>
      <c r="B707" s="15" t="s">
        <v>60</v>
      </c>
      <c r="C707" s="15" t="s">
        <v>958</v>
      </c>
      <c r="D707" s="56" t="s">
        <v>6116</v>
      </c>
      <c r="E707" s="15" t="s">
        <v>807</v>
      </c>
      <c r="F707" s="15" t="s">
        <v>6117</v>
      </c>
      <c r="G707" s="18" t="s">
        <v>6118</v>
      </c>
      <c r="H707" s="18"/>
      <c r="I707" s="18"/>
      <c r="J707" s="18"/>
    </row>
    <row r="708" ht="15.75" customHeight="1">
      <c r="A708" s="15" t="s">
        <v>6119</v>
      </c>
      <c r="B708" s="15" t="s">
        <v>60</v>
      </c>
      <c r="C708" s="15" t="s">
        <v>264</v>
      </c>
      <c r="D708" s="56" t="s">
        <v>6120</v>
      </c>
      <c r="E708" s="15" t="s">
        <v>807</v>
      </c>
      <c r="F708" s="15" t="s">
        <v>6121</v>
      </c>
      <c r="G708" s="18" t="s">
        <v>6122</v>
      </c>
      <c r="H708" s="18"/>
      <c r="I708" s="18"/>
      <c r="J708" s="18"/>
    </row>
    <row r="709" ht="15.75" customHeight="1">
      <c r="A709" s="15" t="s">
        <v>6123</v>
      </c>
      <c r="B709" s="15" t="s">
        <v>60</v>
      </c>
      <c r="C709" s="15" t="s">
        <v>958</v>
      </c>
      <c r="D709" s="56" t="s">
        <v>6124</v>
      </c>
      <c r="E709" s="15" t="s">
        <v>807</v>
      </c>
      <c r="F709" s="15" t="s">
        <v>6125</v>
      </c>
      <c r="G709" s="18" t="s">
        <v>6126</v>
      </c>
      <c r="H709" s="18"/>
      <c r="I709" s="18"/>
      <c r="J709" s="18"/>
    </row>
    <row r="710" ht="15.75" customHeight="1">
      <c r="A710" s="15" t="s">
        <v>6127</v>
      </c>
      <c r="B710" s="15" t="s">
        <v>60</v>
      </c>
      <c r="C710" s="15" t="s">
        <v>878</v>
      </c>
      <c r="D710" s="56" t="s">
        <v>6128</v>
      </c>
      <c r="E710" s="15" t="s">
        <v>807</v>
      </c>
      <c r="F710" s="15" t="s">
        <v>6129</v>
      </c>
      <c r="G710" s="18" t="s">
        <v>6130</v>
      </c>
      <c r="H710" s="18"/>
      <c r="I710" s="18"/>
      <c r="J710" s="18"/>
    </row>
    <row r="711" ht="15.75" customHeight="1">
      <c r="A711" s="15" t="s">
        <v>6132</v>
      </c>
      <c r="B711" s="15" t="s">
        <v>60</v>
      </c>
      <c r="C711" s="15" t="s">
        <v>1687</v>
      </c>
      <c r="D711" s="56" t="s">
        <v>6135</v>
      </c>
      <c r="E711" s="15" t="s">
        <v>807</v>
      </c>
      <c r="F711" s="15" t="s">
        <v>6137</v>
      </c>
      <c r="G711" s="18" t="s">
        <v>6139</v>
      </c>
      <c r="H711" s="18"/>
      <c r="I711" s="18"/>
      <c r="J711" s="18"/>
    </row>
    <row r="712" ht="15.75" customHeight="1">
      <c r="A712" s="15" t="s">
        <v>6140</v>
      </c>
      <c r="B712" s="15" t="s">
        <v>60</v>
      </c>
      <c r="C712" s="15" t="s">
        <v>413</v>
      </c>
      <c r="D712" s="56" t="s">
        <v>6141</v>
      </c>
      <c r="E712" s="15" t="s">
        <v>807</v>
      </c>
      <c r="F712" s="15" t="s">
        <v>6142</v>
      </c>
      <c r="G712" s="18" t="s">
        <v>6143</v>
      </c>
      <c r="H712" s="18"/>
      <c r="I712" s="18"/>
      <c r="J712" s="18"/>
    </row>
    <row r="713" ht="15.75" customHeight="1">
      <c r="A713" s="15" t="s">
        <v>6144</v>
      </c>
      <c r="B713" s="15" t="s">
        <v>60</v>
      </c>
      <c r="C713" s="15" t="s">
        <v>264</v>
      </c>
      <c r="D713" s="56" t="s">
        <v>6145</v>
      </c>
      <c r="E713" s="15" t="s">
        <v>807</v>
      </c>
      <c r="F713" s="15" t="s">
        <v>6146</v>
      </c>
      <c r="G713" s="18" t="s">
        <v>6147</v>
      </c>
      <c r="H713" s="18"/>
      <c r="I713" s="18"/>
      <c r="J713" s="18"/>
    </row>
    <row r="714" ht="15.75" customHeight="1">
      <c r="A714" s="15" t="s">
        <v>6151</v>
      </c>
      <c r="B714" s="15" t="s">
        <v>60</v>
      </c>
      <c r="C714" s="15" t="s">
        <v>413</v>
      </c>
      <c r="D714" s="56" t="s">
        <v>6154</v>
      </c>
      <c r="E714" s="15" t="s">
        <v>807</v>
      </c>
      <c r="F714" s="15" t="s">
        <v>6156</v>
      </c>
      <c r="G714" s="18" t="s">
        <v>6157</v>
      </c>
      <c r="H714" s="18"/>
      <c r="I714" s="18"/>
      <c r="J714" s="18"/>
    </row>
    <row r="715" ht="15.75" customHeight="1">
      <c r="A715" s="15" t="s">
        <v>6158</v>
      </c>
      <c r="B715" s="15" t="s">
        <v>60</v>
      </c>
      <c r="C715" s="15" t="s">
        <v>1818</v>
      </c>
      <c r="D715" s="56" t="s">
        <v>6159</v>
      </c>
      <c r="E715" s="15" t="s">
        <v>807</v>
      </c>
      <c r="F715" s="15" t="s">
        <v>6160</v>
      </c>
      <c r="G715" s="18" t="s">
        <v>6161</v>
      </c>
      <c r="H715" s="18"/>
      <c r="I715" s="18"/>
      <c r="J715" s="18"/>
    </row>
    <row r="716" ht="15.75" customHeight="1">
      <c r="A716" s="15" t="s">
        <v>6162</v>
      </c>
      <c r="B716" s="15" t="s">
        <v>60</v>
      </c>
      <c r="C716" s="15" t="s">
        <v>224</v>
      </c>
      <c r="D716" s="56" t="s">
        <v>6163</v>
      </c>
      <c r="E716" s="15" t="s">
        <v>807</v>
      </c>
      <c r="F716" s="15" t="s">
        <v>6164</v>
      </c>
      <c r="G716" s="18" t="s">
        <v>6165</v>
      </c>
      <c r="H716" s="18"/>
      <c r="I716" s="18"/>
      <c r="J716" s="18"/>
    </row>
    <row r="717" ht="15.75" customHeight="1">
      <c r="A717" s="15" t="s">
        <v>6166</v>
      </c>
      <c r="B717" s="15" t="s">
        <v>60</v>
      </c>
      <c r="C717" s="15" t="s">
        <v>570</v>
      </c>
      <c r="D717" s="56" t="s">
        <v>6167</v>
      </c>
      <c r="E717" s="15" t="s">
        <v>807</v>
      </c>
      <c r="F717" s="15" t="s">
        <v>6168</v>
      </c>
      <c r="G717" s="18" t="s">
        <v>6169</v>
      </c>
      <c r="H717" s="18"/>
      <c r="I717" s="18"/>
      <c r="J717" s="18"/>
    </row>
    <row r="718" ht="15.75" customHeight="1">
      <c r="A718" s="15" t="s">
        <v>6170</v>
      </c>
      <c r="B718" s="15" t="s">
        <v>60</v>
      </c>
      <c r="C718" s="15" t="s">
        <v>245</v>
      </c>
      <c r="D718" s="56" t="s">
        <v>6171</v>
      </c>
      <c r="E718" s="15" t="s">
        <v>807</v>
      </c>
      <c r="F718" s="15" t="s">
        <v>6172</v>
      </c>
      <c r="G718" s="18" t="s">
        <v>6173</v>
      </c>
      <c r="H718" s="18"/>
      <c r="I718" s="18"/>
      <c r="J718" s="18"/>
    </row>
    <row r="719" ht="15.75" customHeight="1">
      <c r="A719" s="15" t="s">
        <v>6174</v>
      </c>
      <c r="B719" s="15" t="s">
        <v>60</v>
      </c>
      <c r="C719" s="15" t="s">
        <v>842</v>
      </c>
      <c r="D719" s="56" t="s">
        <v>6175</v>
      </c>
      <c r="E719" s="15" t="s">
        <v>807</v>
      </c>
      <c r="F719" s="15" t="s">
        <v>6176</v>
      </c>
      <c r="G719" s="18" t="s">
        <v>6177</v>
      </c>
      <c r="H719" s="18"/>
      <c r="I719" s="18"/>
      <c r="J719" s="18"/>
    </row>
    <row r="720" ht="15.75" customHeight="1">
      <c r="A720" s="15" t="s">
        <v>6178</v>
      </c>
      <c r="B720" s="15" t="s">
        <v>60</v>
      </c>
      <c r="C720" s="15" t="s">
        <v>958</v>
      </c>
      <c r="D720" s="56" t="s">
        <v>6179</v>
      </c>
      <c r="E720" s="15" t="s">
        <v>807</v>
      </c>
      <c r="F720" s="15" t="s">
        <v>6180</v>
      </c>
      <c r="G720" s="18" t="s">
        <v>6181</v>
      </c>
      <c r="H720" s="18"/>
      <c r="I720" s="18"/>
      <c r="J720" s="18"/>
    </row>
    <row r="721" ht="15.75" customHeight="1">
      <c r="A721" s="15" t="s">
        <v>6182</v>
      </c>
      <c r="B721" s="15" t="s">
        <v>60</v>
      </c>
      <c r="C721" s="15" t="s">
        <v>1139</v>
      </c>
      <c r="D721" s="56" t="s">
        <v>6183</v>
      </c>
      <c r="E721" s="15" t="s">
        <v>807</v>
      </c>
      <c r="F721" s="15" t="s">
        <v>6184</v>
      </c>
      <c r="G721" s="18" t="s">
        <v>6185</v>
      </c>
      <c r="H721" s="18"/>
      <c r="I721" s="18"/>
      <c r="J721" s="18"/>
    </row>
    <row r="722" ht="15.75" customHeight="1">
      <c r="A722" s="15" t="s">
        <v>6186</v>
      </c>
      <c r="B722" s="15" t="s">
        <v>60</v>
      </c>
      <c r="C722" s="15" t="s">
        <v>958</v>
      </c>
      <c r="D722" s="56" t="s">
        <v>6187</v>
      </c>
      <c r="E722" s="15" t="s">
        <v>807</v>
      </c>
      <c r="F722" s="15" t="s">
        <v>6188</v>
      </c>
      <c r="G722" s="18" t="s">
        <v>6189</v>
      </c>
      <c r="H722" s="18"/>
      <c r="I722" s="18"/>
      <c r="J722" s="18"/>
    </row>
    <row r="723" ht="15.75" customHeight="1">
      <c r="A723" s="15" t="s">
        <v>6190</v>
      </c>
      <c r="B723" s="15" t="s">
        <v>60</v>
      </c>
      <c r="C723" s="15" t="s">
        <v>236</v>
      </c>
      <c r="D723" s="56" t="s">
        <v>6191</v>
      </c>
      <c r="E723" s="15" t="s">
        <v>807</v>
      </c>
      <c r="F723" s="15" t="s">
        <v>6192</v>
      </c>
      <c r="G723" s="18" t="s">
        <v>6193</v>
      </c>
      <c r="H723" s="18"/>
      <c r="I723" s="18"/>
      <c r="J723" s="18"/>
    </row>
    <row r="724" ht="15.75" customHeight="1">
      <c r="A724" s="15" t="s">
        <v>6194</v>
      </c>
      <c r="B724" s="15" t="s">
        <v>60</v>
      </c>
      <c r="C724" s="15" t="s">
        <v>413</v>
      </c>
      <c r="D724" s="56" t="s">
        <v>6195</v>
      </c>
      <c r="E724" s="15" t="s">
        <v>807</v>
      </c>
      <c r="F724" s="15" t="s">
        <v>6196</v>
      </c>
      <c r="G724" s="18" t="s">
        <v>6197</v>
      </c>
      <c r="H724" s="18"/>
      <c r="I724" s="18"/>
      <c r="J724" s="18"/>
    </row>
    <row r="725" ht="15.75" customHeight="1">
      <c r="A725" s="15" t="s">
        <v>6198</v>
      </c>
      <c r="B725" s="15" t="s">
        <v>60</v>
      </c>
      <c r="C725" s="15" t="s">
        <v>264</v>
      </c>
      <c r="D725" s="56" t="s">
        <v>6199</v>
      </c>
      <c r="E725" s="15" t="s">
        <v>807</v>
      </c>
      <c r="F725" s="15" t="s">
        <v>6200</v>
      </c>
      <c r="G725" s="18" t="s">
        <v>6201</v>
      </c>
      <c r="H725" s="18"/>
      <c r="I725" s="18"/>
      <c r="J725" s="18"/>
    </row>
    <row r="726" ht="15.75" customHeight="1">
      <c r="A726" s="15" t="s">
        <v>6203</v>
      </c>
      <c r="B726" s="15" t="s">
        <v>60</v>
      </c>
      <c r="C726" s="15" t="s">
        <v>264</v>
      </c>
      <c r="D726" s="56" t="s">
        <v>6206</v>
      </c>
      <c r="E726" s="15" t="s">
        <v>807</v>
      </c>
      <c r="F726" s="15" t="s">
        <v>6207</v>
      </c>
      <c r="G726" s="18" t="s">
        <v>6209</v>
      </c>
      <c r="H726" s="18"/>
      <c r="I726" s="18"/>
      <c r="J726" s="18"/>
    </row>
    <row r="727" ht="15.75" customHeight="1">
      <c r="A727" s="15" t="s">
        <v>6212</v>
      </c>
      <c r="B727" s="15" t="s">
        <v>60</v>
      </c>
      <c r="C727" s="15" t="s">
        <v>958</v>
      </c>
      <c r="D727" s="56" t="s">
        <v>6213</v>
      </c>
      <c r="E727" s="15" t="s">
        <v>807</v>
      </c>
      <c r="F727" s="15" t="s">
        <v>6214</v>
      </c>
      <c r="G727" s="18" t="s">
        <v>6215</v>
      </c>
      <c r="H727" s="18"/>
      <c r="I727" s="18"/>
      <c r="J727" s="18"/>
    </row>
    <row r="728" ht="15.75" customHeight="1">
      <c r="A728" s="15" t="s">
        <v>6216</v>
      </c>
      <c r="B728" s="15" t="s">
        <v>60</v>
      </c>
      <c r="C728" s="15" t="s">
        <v>1139</v>
      </c>
      <c r="D728" s="56" t="s">
        <v>6217</v>
      </c>
      <c r="E728" s="15" t="s">
        <v>807</v>
      </c>
      <c r="F728" s="15" t="s">
        <v>6218</v>
      </c>
      <c r="G728" s="18" t="s">
        <v>6219</v>
      </c>
      <c r="H728" s="18"/>
      <c r="I728" s="18"/>
      <c r="J728" s="18"/>
    </row>
    <row r="729" ht="15.75" customHeight="1">
      <c r="A729" s="15" t="s">
        <v>6220</v>
      </c>
      <c r="B729" s="15" t="s">
        <v>60</v>
      </c>
      <c r="C729" s="15" t="s">
        <v>413</v>
      </c>
      <c r="D729" s="56" t="s">
        <v>6221</v>
      </c>
      <c r="E729" s="15" t="s">
        <v>807</v>
      </c>
      <c r="F729" s="15" t="s">
        <v>6222</v>
      </c>
      <c r="G729" s="18" t="s">
        <v>6223</v>
      </c>
      <c r="H729" s="18"/>
      <c r="I729" s="18"/>
      <c r="J729" s="18"/>
    </row>
    <row r="730" ht="15.75" customHeight="1">
      <c r="A730" s="15" t="s">
        <v>6224</v>
      </c>
      <c r="B730" s="15" t="s">
        <v>60</v>
      </c>
      <c r="C730" s="15" t="s">
        <v>775</v>
      </c>
      <c r="D730" s="56" t="s">
        <v>6225</v>
      </c>
      <c r="E730" s="15" t="s">
        <v>807</v>
      </c>
      <c r="F730" s="15" t="s">
        <v>6226</v>
      </c>
      <c r="G730" s="18" t="s">
        <v>6227</v>
      </c>
      <c r="H730" s="18"/>
      <c r="I730" s="18"/>
      <c r="J730" s="18"/>
    </row>
    <row r="731" ht="15.75" customHeight="1">
      <c r="A731" s="15" t="s">
        <v>6228</v>
      </c>
      <c r="B731" s="15" t="s">
        <v>60</v>
      </c>
      <c r="C731" s="15" t="s">
        <v>958</v>
      </c>
      <c r="D731" s="56" t="s">
        <v>6229</v>
      </c>
      <c r="E731" s="15" t="s">
        <v>807</v>
      </c>
      <c r="F731" s="15" t="s">
        <v>6230</v>
      </c>
      <c r="G731" s="18" t="s">
        <v>6231</v>
      </c>
      <c r="H731" s="18"/>
      <c r="I731" s="18"/>
      <c r="J731" s="18"/>
    </row>
    <row r="732" ht="15.75" customHeight="1">
      <c r="A732" s="15" t="s">
        <v>6232</v>
      </c>
      <c r="B732" s="15" t="s">
        <v>60</v>
      </c>
      <c r="C732" s="15" t="s">
        <v>1687</v>
      </c>
      <c r="D732" s="56" t="s">
        <v>6233</v>
      </c>
      <c r="E732" s="15" t="s">
        <v>807</v>
      </c>
      <c r="F732" s="15" t="s">
        <v>6234</v>
      </c>
      <c r="G732" s="18" t="s">
        <v>6235</v>
      </c>
      <c r="H732" s="18"/>
      <c r="I732" s="18"/>
      <c r="J732" s="18"/>
    </row>
    <row r="733" ht="15.75" customHeight="1">
      <c r="A733" s="15" t="s">
        <v>6236</v>
      </c>
      <c r="B733" s="15" t="s">
        <v>60</v>
      </c>
      <c r="C733" s="15" t="s">
        <v>224</v>
      </c>
      <c r="D733" s="56" t="s">
        <v>6237</v>
      </c>
      <c r="E733" s="15" t="s">
        <v>807</v>
      </c>
      <c r="F733" s="15" t="s">
        <v>6238</v>
      </c>
      <c r="G733" s="18" t="s">
        <v>6239</v>
      </c>
      <c r="H733" s="18"/>
      <c r="I733" s="18"/>
      <c r="J733" s="18"/>
    </row>
    <row r="734" ht="15.75" customHeight="1">
      <c r="A734" s="15" t="s">
        <v>6240</v>
      </c>
      <c r="B734" s="15" t="s">
        <v>60</v>
      </c>
      <c r="C734" s="15" t="s">
        <v>354</v>
      </c>
      <c r="D734" s="56" t="s">
        <v>6241</v>
      </c>
      <c r="E734" s="15" t="s">
        <v>807</v>
      </c>
      <c r="F734" s="15" t="s">
        <v>6242</v>
      </c>
      <c r="G734" s="18" t="s">
        <v>6243</v>
      </c>
      <c r="H734" s="18"/>
      <c r="I734" s="18"/>
      <c r="J734" s="18"/>
    </row>
    <row r="735" ht="15.75" customHeight="1">
      <c r="A735" s="15" t="s">
        <v>6244</v>
      </c>
      <c r="B735" s="15" t="s">
        <v>60</v>
      </c>
      <c r="C735" s="15" t="s">
        <v>236</v>
      </c>
      <c r="D735" s="56" t="s">
        <v>6246</v>
      </c>
      <c r="E735" s="15" t="s">
        <v>807</v>
      </c>
      <c r="F735" s="15" t="s">
        <v>6249</v>
      </c>
      <c r="G735" s="18" t="s">
        <v>6250</v>
      </c>
      <c r="H735" s="18"/>
      <c r="I735" s="18"/>
      <c r="J735" s="18"/>
    </row>
    <row r="736" ht="15.75" customHeight="1">
      <c r="A736" s="15" t="s">
        <v>6254</v>
      </c>
      <c r="B736" s="15" t="s">
        <v>60</v>
      </c>
      <c r="C736" s="15" t="s">
        <v>236</v>
      </c>
      <c r="D736" s="56" t="s">
        <v>6255</v>
      </c>
      <c r="E736" s="15" t="s">
        <v>807</v>
      </c>
      <c r="F736" s="15" t="s">
        <v>6256</v>
      </c>
      <c r="G736" s="18" t="s">
        <v>6257</v>
      </c>
      <c r="H736" s="18"/>
      <c r="I736" s="18"/>
      <c r="J736" s="18"/>
    </row>
    <row r="737" ht="15.75" customHeight="1">
      <c r="A737" s="15" t="s">
        <v>6258</v>
      </c>
      <c r="B737" s="15" t="s">
        <v>60</v>
      </c>
      <c r="C737" s="15" t="s">
        <v>424</v>
      </c>
      <c r="D737" s="56" t="s">
        <v>6259</v>
      </c>
      <c r="E737" s="15" t="s">
        <v>807</v>
      </c>
      <c r="F737" s="15" t="s">
        <v>6260</v>
      </c>
      <c r="G737" s="18" t="s">
        <v>6261</v>
      </c>
      <c r="H737" s="18"/>
      <c r="I737" s="18"/>
      <c r="J737" s="18"/>
    </row>
    <row r="738" ht="15.75" customHeight="1">
      <c r="A738" s="15" t="s">
        <v>6262</v>
      </c>
      <c r="B738" s="15" t="s">
        <v>60</v>
      </c>
      <c r="C738" s="15" t="s">
        <v>236</v>
      </c>
      <c r="D738" s="56" t="s">
        <v>6263</v>
      </c>
      <c r="E738" s="15" t="s">
        <v>807</v>
      </c>
      <c r="F738" s="15" t="s">
        <v>6264</v>
      </c>
      <c r="G738" s="18" t="s">
        <v>6265</v>
      </c>
      <c r="H738" s="18"/>
      <c r="I738" s="18"/>
      <c r="J738" s="18"/>
    </row>
    <row r="739" ht="15.75" customHeight="1">
      <c r="A739" s="15" t="s">
        <v>6266</v>
      </c>
      <c r="B739" s="15" t="s">
        <v>60</v>
      </c>
      <c r="C739" s="15" t="s">
        <v>413</v>
      </c>
      <c r="D739" s="56" t="s">
        <v>6267</v>
      </c>
      <c r="E739" s="15" t="s">
        <v>807</v>
      </c>
      <c r="F739" s="15" t="s">
        <v>6268</v>
      </c>
      <c r="G739" s="18" t="s">
        <v>6269</v>
      </c>
      <c r="H739" s="18"/>
      <c r="I739" s="18"/>
      <c r="J739" s="18"/>
    </row>
    <row r="740" ht="15.75" customHeight="1">
      <c r="A740" s="15" t="s">
        <v>6270</v>
      </c>
      <c r="B740" s="15" t="s">
        <v>60</v>
      </c>
      <c r="C740" s="15" t="s">
        <v>1139</v>
      </c>
      <c r="D740" s="56" t="s">
        <v>6271</v>
      </c>
      <c r="E740" s="15" t="s">
        <v>807</v>
      </c>
      <c r="F740" s="15" t="s">
        <v>6272</v>
      </c>
      <c r="G740" s="18" t="s">
        <v>6273</v>
      </c>
      <c r="H740" s="18"/>
      <c r="I740" s="18"/>
      <c r="J740" s="18"/>
    </row>
    <row r="741" ht="15.75" customHeight="1">
      <c r="A741" s="15" t="s">
        <v>6274</v>
      </c>
      <c r="B741" s="15" t="s">
        <v>60</v>
      </c>
      <c r="C741" s="15" t="s">
        <v>958</v>
      </c>
      <c r="D741" s="56" t="s">
        <v>6275</v>
      </c>
      <c r="E741" s="15" t="s">
        <v>807</v>
      </c>
      <c r="F741" s="15" t="s">
        <v>6276</v>
      </c>
      <c r="G741" s="18" t="s">
        <v>6277</v>
      </c>
      <c r="H741" s="18"/>
      <c r="I741" s="18"/>
      <c r="J741" s="18"/>
    </row>
    <row r="742" ht="15.75" customHeight="1">
      <c r="A742" s="15" t="s">
        <v>6278</v>
      </c>
      <c r="B742" s="15" t="s">
        <v>60</v>
      </c>
      <c r="C742" s="15" t="s">
        <v>85</v>
      </c>
      <c r="D742" s="56" t="s">
        <v>6279</v>
      </c>
      <c r="E742" s="15" t="s">
        <v>807</v>
      </c>
      <c r="F742" s="15" t="s">
        <v>6280</v>
      </c>
      <c r="G742" s="18" t="s">
        <v>6281</v>
      </c>
      <c r="H742" s="18"/>
      <c r="I742" s="18"/>
      <c r="J742" s="18"/>
    </row>
    <row r="743" ht="15.75" customHeight="1">
      <c r="A743" s="15" t="s">
        <v>6282</v>
      </c>
      <c r="B743" s="15" t="s">
        <v>60</v>
      </c>
      <c r="C743" s="15" t="s">
        <v>1687</v>
      </c>
      <c r="D743" s="56" t="s">
        <v>6283</v>
      </c>
      <c r="E743" s="15" t="s">
        <v>807</v>
      </c>
      <c r="F743" s="15" t="s">
        <v>6286</v>
      </c>
      <c r="G743" s="18" t="s">
        <v>6287</v>
      </c>
      <c r="H743" s="18"/>
      <c r="I743" s="18"/>
      <c r="J743" s="18"/>
    </row>
    <row r="744" ht="15.75" customHeight="1">
      <c r="A744" s="15" t="s">
        <v>6290</v>
      </c>
      <c r="B744" s="15" t="s">
        <v>60</v>
      </c>
      <c r="C744" s="15" t="s">
        <v>264</v>
      </c>
      <c r="D744" s="56" t="s">
        <v>6291</v>
      </c>
      <c r="E744" s="15" t="s">
        <v>807</v>
      </c>
      <c r="F744" s="15" t="s">
        <v>6292</v>
      </c>
      <c r="G744" s="18" t="s">
        <v>6293</v>
      </c>
      <c r="H744" s="18"/>
      <c r="I744" s="18"/>
      <c r="J744" s="18"/>
    </row>
    <row r="745" ht="15.75" customHeight="1">
      <c r="A745" s="15" t="s">
        <v>6294</v>
      </c>
      <c r="B745" s="15" t="s">
        <v>60</v>
      </c>
      <c r="C745" s="15" t="s">
        <v>264</v>
      </c>
      <c r="D745" s="56" t="s">
        <v>6295</v>
      </c>
      <c r="E745" s="15" t="s">
        <v>807</v>
      </c>
      <c r="F745" s="15" t="s">
        <v>6296</v>
      </c>
      <c r="G745" s="18" t="s">
        <v>6297</v>
      </c>
      <c r="H745" s="18"/>
      <c r="I745" s="18"/>
      <c r="J745" s="18"/>
    </row>
    <row r="746" ht="15.75" customHeight="1">
      <c r="A746" s="15" t="s">
        <v>6298</v>
      </c>
      <c r="B746" s="15" t="s">
        <v>60</v>
      </c>
      <c r="C746" s="15" t="s">
        <v>354</v>
      </c>
      <c r="D746" s="56" t="s">
        <v>6299</v>
      </c>
      <c r="E746" s="15" t="s">
        <v>807</v>
      </c>
      <c r="F746" s="15" t="s">
        <v>6300</v>
      </c>
      <c r="G746" s="18" t="s">
        <v>6301</v>
      </c>
      <c r="H746" s="18"/>
      <c r="I746" s="18"/>
      <c r="J746" s="18"/>
    </row>
    <row r="747" ht="15.75" customHeight="1">
      <c r="A747" s="15" t="s">
        <v>6302</v>
      </c>
      <c r="B747" s="15" t="s">
        <v>60</v>
      </c>
      <c r="C747" s="15" t="s">
        <v>842</v>
      </c>
      <c r="D747" s="56" t="s">
        <v>6303</v>
      </c>
      <c r="E747" s="15" t="s">
        <v>807</v>
      </c>
      <c r="F747" s="15" t="s">
        <v>6304</v>
      </c>
      <c r="G747" s="18" t="s">
        <v>6305</v>
      </c>
      <c r="H747" s="18"/>
      <c r="I747" s="18"/>
      <c r="J747" s="18"/>
    </row>
    <row r="748" ht="15.75" customHeight="1">
      <c r="A748" s="15" t="s">
        <v>6306</v>
      </c>
      <c r="B748" s="15" t="s">
        <v>60</v>
      </c>
      <c r="C748" s="15" t="s">
        <v>413</v>
      </c>
      <c r="D748" s="56" t="s">
        <v>6307</v>
      </c>
      <c r="E748" s="15" t="s">
        <v>807</v>
      </c>
      <c r="F748" s="15" t="s">
        <v>6308</v>
      </c>
      <c r="G748" s="18" t="s">
        <v>6309</v>
      </c>
      <c r="H748" s="18"/>
      <c r="I748" s="18"/>
      <c r="J748" s="18"/>
    </row>
    <row r="749" ht="15.75" customHeight="1">
      <c r="A749" s="15" t="s">
        <v>6310</v>
      </c>
      <c r="B749" s="15" t="s">
        <v>60</v>
      </c>
      <c r="C749" s="15" t="s">
        <v>236</v>
      </c>
      <c r="D749" s="56" t="s">
        <v>6311</v>
      </c>
      <c r="E749" s="15" t="s">
        <v>807</v>
      </c>
      <c r="F749" s="15" t="s">
        <v>6312</v>
      </c>
      <c r="G749" s="18" t="s">
        <v>6313</v>
      </c>
      <c r="H749" s="18"/>
      <c r="I749" s="18"/>
      <c r="J749" s="18"/>
    </row>
    <row r="750" ht="15.75" customHeight="1">
      <c r="A750" s="15" t="s">
        <v>6314</v>
      </c>
      <c r="B750" s="15" t="s">
        <v>60</v>
      </c>
      <c r="C750" s="15" t="s">
        <v>842</v>
      </c>
      <c r="D750" s="56" t="s">
        <v>6311</v>
      </c>
      <c r="E750" s="15" t="s">
        <v>807</v>
      </c>
      <c r="F750" s="15" t="s">
        <v>6315</v>
      </c>
      <c r="G750" s="18" t="s">
        <v>6316</v>
      </c>
      <c r="H750" s="18"/>
      <c r="I750" s="18"/>
      <c r="J750" s="18"/>
    </row>
    <row r="751" ht="15.75" customHeight="1">
      <c r="A751" s="15" t="s">
        <v>6317</v>
      </c>
      <c r="B751" s="15" t="s">
        <v>60</v>
      </c>
      <c r="C751" s="15" t="s">
        <v>224</v>
      </c>
      <c r="D751" s="56" t="s">
        <v>6318</v>
      </c>
      <c r="E751" s="15" t="s">
        <v>807</v>
      </c>
      <c r="F751" s="15" t="s">
        <v>6319</v>
      </c>
      <c r="G751" s="18" t="s">
        <v>6320</v>
      </c>
      <c r="H751" s="18"/>
      <c r="I751" s="18"/>
      <c r="J751" s="18"/>
    </row>
    <row r="752" ht="15.75" customHeight="1">
      <c r="A752" s="15" t="s">
        <v>6321</v>
      </c>
      <c r="B752" s="15" t="s">
        <v>60</v>
      </c>
      <c r="C752" s="15" t="s">
        <v>413</v>
      </c>
      <c r="D752" s="56" t="s">
        <v>6323</v>
      </c>
      <c r="E752" s="15" t="s">
        <v>807</v>
      </c>
      <c r="F752" s="15" t="s">
        <v>6326</v>
      </c>
      <c r="G752" s="18" t="s">
        <v>6327</v>
      </c>
      <c r="H752" s="18"/>
      <c r="I752" s="18"/>
      <c r="J752" s="18"/>
    </row>
    <row r="753" ht="15.75" customHeight="1">
      <c r="A753" s="15" t="s">
        <v>6330</v>
      </c>
      <c r="B753" s="15" t="s">
        <v>60</v>
      </c>
      <c r="C753" s="15" t="s">
        <v>1139</v>
      </c>
      <c r="D753" s="56" t="s">
        <v>6331</v>
      </c>
      <c r="E753" s="15" t="s">
        <v>807</v>
      </c>
      <c r="F753" s="15" t="s">
        <v>6332</v>
      </c>
      <c r="G753" s="18" t="s">
        <v>6333</v>
      </c>
      <c r="H753" s="18"/>
      <c r="I753" s="18"/>
      <c r="J753" s="18"/>
    </row>
    <row r="754" ht="15.75" customHeight="1">
      <c r="A754" s="15" t="s">
        <v>6334</v>
      </c>
      <c r="B754" s="15" t="s">
        <v>60</v>
      </c>
      <c r="C754" s="15" t="s">
        <v>1165</v>
      </c>
      <c r="D754" s="56" t="s">
        <v>6335</v>
      </c>
      <c r="E754" s="15" t="s">
        <v>807</v>
      </c>
      <c r="F754" s="15" t="s">
        <v>6336</v>
      </c>
      <c r="G754" s="18" t="s">
        <v>6337</v>
      </c>
      <c r="H754" s="18"/>
      <c r="I754" s="18"/>
      <c r="J754" s="18"/>
    </row>
    <row r="755" ht="15.75" customHeight="1">
      <c r="A755" s="15" t="s">
        <v>6338</v>
      </c>
      <c r="B755" s="15" t="s">
        <v>60</v>
      </c>
      <c r="C755" s="15" t="s">
        <v>1165</v>
      </c>
      <c r="D755" s="56" t="s">
        <v>6339</v>
      </c>
      <c r="E755" s="15" t="s">
        <v>807</v>
      </c>
      <c r="F755" s="15" t="s">
        <v>6340</v>
      </c>
      <c r="G755" s="18" t="s">
        <v>6341</v>
      </c>
      <c r="H755" s="18"/>
      <c r="I755" s="18"/>
      <c r="J755" s="18"/>
    </row>
    <row r="756" ht="15.75" customHeight="1">
      <c r="A756" s="15" t="s">
        <v>6342</v>
      </c>
      <c r="B756" s="15" t="s">
        <v>60</v>
      </c>
      <c r="C756" s="15" t="s">
        <v>413</v>
      </c>
      <c r="D756" s="56" t="s">
        <v>6343</v>
      </c>
      <c r="E756" s="15" t="s">
        <v>807</v>
      </c>
      <c r="F756" s="15" t="s">
        <v>6344</v>
      </c>
      <c r="G756" s="18" t="s">
        <v>6345</v>
      </c>
      <c r="H756" s="18"/>
      <c r="I756" s="18"/>
      <c r="J756" s="18"/>
    </row>
    <row r="757" ht="15.75" customHeight="1">
      <c r="A757" s="15" t="s">
        <v>6346</v>
      </c>
      <c r="B757" s="15" t="s">
        <v>60</v>
      </c>
      <c r="C757" s="15" t="s">
        <v>245</v>
      </c>
      <c r="D757" s="56" t="s">
        <v>6347</v>
      </c>
      <c r="E757" s="15" t="s">
        <v>807</v>
      </c>
      <c r="F757" s="15" t="s">
        <v>6348</v>
      </c>
      <c r="G757" s="18" t="s">
        <v>6349</v>
      </c>
      <c r="H757" s="18"/>
      <c r="I757" s="18"/>
      <c r="J757" s="18"/>
    </row>
    <row r="758" ht="15.75" customHeight="1">
      <c r="A758" s="15" t="s">
        <v>6350</v>
      </c>
      <c r="B758" s="15" t="s">
        <v>60</v>
      </c>
      <c r="C758" s="15" t="s">
        <v>224</v>
      </c>
      <c r="D758" s="56" t="s">
        <v>6351</v>
      </c>
      <c r="E758" s="15" t="s">
        <v>807</v>
      </c>
      <c r="F758" s="15" t="s">
        <v>6352</v>
      </c>
      <c r="G758" s="18" t="s">
        <v>6353</v>
      </c>
      <c r="H758" s="18"/>
      <c r="I758" s="18"/>
      <c r="J758" s="18"/>
    </row>
    <row r="759" ht="15.75" customHeight="1">
      <c r="A759" s="15" t="s">
        <v>6354</v>
      </c>
      <c r="B759" s="15" t="s">
        <v>60</v>
      </c>
      <c r="C759" s="15" t="s">
        <v>236</v>
      </c>
      <c r="D759" s="56" t="s">
        <v>6355</v>
      </c>
      <c r="E759" s="15" t="s">
        <v>807</v>
      </c>
      <c r="F759" s="15" t="s">
        <v>6356</v>
      </c>
      <c r="G759" s="18" t="s">
        <v>6357</v>
      </c>
      <c r="H759" s="18"/>
      <c r="I759" s="18"/>
      <c r="J759" s="18"/>
    </row>
    <row r="760" ht="15.75" customHeight="1">
      <c r="A760" s="15" t="s">
        <v>6358</v>
      </c>
      <c r="B760" s="15" t="s">
        <v>60</v>
      </c>
      <c r="C760" s="15" t="s">
        <v>245</v>
      </c>
      <c r="D760" s="56" t="s">
        <v>6359</v>
      </c>
      <c r="E760" s="15" t="s">
        <v>807</v>
      </c>
      <c r="F760" s="15" t="s">
        <v>6360</v>
      </c>
      <c r="G760" s="18" t="s">
        <v>6361</v>
      </c>
      <c r="H760" s="18"/>
      <c r="I760" s="18"/>
      <c r="J760" s="18"/>
    </row>
    <row r="761" ht="15.75" customHeight="1">
      <c r="A761" s="15" t="s">
        <v>6363</v>
      </c>
      <c r="B761" s="15" t="s">
        <v>60</v>
      </c>
      <c r="C761" s="15" t="s">
        <v>1139</v>
      </c>
      <c r="D761" s="56" t="s">
        <v>6365</v>
      </c>
      <c r="E761" s="15" t="s">
        <v>807</v>
      </c>
      <c r="F761" s="15" t="s">
        <v>6367</v>
      </c>
      <c r="G761" s="18" t="s">
        <v>4320</v>
      </c>
      <c r="H761" s="18"/>
      <c r="I761" s="18"/>
      <c r="J761" s="18"/>
    </row>
    <row r="762" ht="15.75" customHeight="1">
      <c r="A762" s="15" t="s">
        <v>6369</v>
      </c>
      <c r="B762" s="15" t="s">
        <v>60</v>
      </c>
      <c r="C762" s="15" t="s">
        <v>236</v>
      </c>
      <c r="D762" s="56" t="s">
        <v>6370</v>
      </c>
      <c r="E762" s="15" t="s">
        <v>807</v>
      </c>
      <c r="F762" s="15" t="s">
        <v>6371</v>
      </c>
      <c r="G762" s="18" t="s">
        <v>6372</v>
      </c>
      <c r="H762" s="18"/>
      <c r="I762" s="18"/>
      <c r="J762" s="18"/>
    </row>
    <row r="763" ht="15.75" customHeight="1">
      <c r="A763" s="15" t="s">
        <v>6373</v>
      </c>
      <c r="B763" s="15" t="s">
        <v>60</v>
      </c>
      <c r="C763" s="15" t="s">
        <v>354</v>
      </c>
      <c r="D763" s="56" t="s">
        <v>6374</v>
      </c>
      <c r="E763" s="15" t="s">
        <v>807</v>
      </c>
      <c r="F763" s="15" t="s">
        <v>6375</v>
      </c>
      <c r="G763" s="18" t="s">
        <v>6376</v>
      </c>
      <c r="H763" s="18"/>
      <c r="I763" s="18"/>
      <c r="J763" s="18"/>
    </row>
    <row r="764" ht="15.75" customHeight="1">
      <c r="A764" s="15" t="s">
        <v>6377</v>
      </c>
      <c r="B764" s="15" t="s">
        <v>60</v>
      </c>
      <c r="C764" s="15" t="s">
        <v>1139</v>
      </c>
      <c r="D764" s="56" t="s">
        <v>6378</v>
      </c>
      <c r="E764" s="15" t="s">
        <v>807</v>
      </c>
      <c r="F764" s="15" t="s">
        <v>6379</v>
      </c>
      <c r="G764" s="18" t="s">
        <v>6380</v>
      </c>
      <c r="H764" s="18"/>
      <c r="I764" s="18"/>
      <c r="J764" s="18"/>
    </row>
    <row r="765" ht="15.75" customHeight="1">
      <c r="A765" s="15" t="s">
        <v>6381</v>
      </c>
      <c r="B765" s="15" t="s">
        <v>60</v>
      </c>
      <c r="C765" s="15" t="s">
        <v>245</v>
      </c>
      <c r="D765" s="56" t="s">
        <v>6382</v>
      </c>
      <c r="E765" s="15" t="s">
        <v>807</v>
      </c>
      <c r="F765" s="15" t="s">
        <v>6383</v>
      </c>
      <c r="G765" s="18" t="s">
        <v>6384</v>
      </c>
      <c r="H765" s="18"/>
      <c r="I765" s="18"/>
      <c r="J765" s="18"/>
    </row>
    <row r="766" ht="15.75" customHeight="1">
      <c r="A766" s="15" t="s">
        <v>6385</v>
      </c>
      <c r="B766" s="15" t="s">
        <v>60</v>
      </c>
      <c r="C766" s="15" t="s">
        <v>570</v>
      </c>
      <c r="D766" s="56" t="s">
        <v>6386</v>
      </c>
      <c r="E766" s="15" t="s">
        <v>807</v>
      </c>
      <c r="F766" s="15" t="s">
        <v>6387</v>
      </c>
      <c r="G766" s="18" t="s">
        <v>6388</v>
      </c>
      <c r="H766" s="18"/>
      <c r="I766" s="18"/>
      <c r="J766" s="18"/>
    </row>
    <row r="767" ht="15.75" customHeight="1">
      <c r="A767" s="15" t="s">
        <v>6389</v>
      </c>
      <c r="B767" s="15" t="s">
        <v>60</v>
      </c>
      <c r="C767" s="15" t="s">
        <v>1818</v>
      </c>
      <c r="D767" s="56" t="s">
        <v>6390</v>
      </c>
      <c r="E767" s="15" t="s">
        <v>807</v>
      </c>
      <c r="F767" s="15" t="s">
        <v>6391</v>
      </c>
      <c r="G767" s="18" t="s">
        <v>6392</v>
      </c>
      <c r="H767" s="18"/>
      <c r="I767" s="18"/>
      <c r="J767" s="18"/>
    </row>
    <row r="768" ht="15.75" customHeight="1">
      <c r="A768" s="15" t="s">
        <v>6393</v>
      </c>
      <c r="B768" s="15" t="s">
        <v>60</v>
      </c>
      <c r="C768" s="15" t="s">
        <v>264</v>
      </c>
      <c r="D768" s="56" t="s">
        <v>6394</v>
      </c>
      <c r="E768" s="15" t="s">
        <v>807</v>
      </c>
      <c r="F768" s="15" t="s">
        <v>6395</v>
      </c>
      <c r="G768" s="18" t="s">
        <v>6396</v>
      </c>
      <c r="H768" s="18"/>
      <c r="I768" s="18"/>
      <c r="J768" s="18"/>
    </row>
    <row r="769" ht="15.75" customHeight="1">
      <c r="A769" s="15" t="s">
        <v>6397</v>
      </c>
      <c r="B769" s="15" t="s">
        <v>60</v>
      </c>
      <c r="C769" s="15" t="s">
        <v>1165</v>
      </c>
      <c r="D769" s="56" t="s">
        <v>6398</v>
      </c>
      <c r="E769" s="15" t="s">
        <v>807</v>
      </c>
      <c r="F769" s="15" t="s">
        <v>6399</v>
      </c>
      <c r="G769" s="18" t="s">
        <v>6400</v>
      </c>
      <c r="H769" s="18"/>
      <c r="I769" s="18"/>
      <c r="J769" s="18"/>
    </row>
    <row r="770" ht="15.75" customHeight="1">
      <c r="A770" s="15" t="s">
        <v>6401</v>
      </c>
      <c r="B770" s="15" t="s">
        <v>60</v>
      </c>
      <c r="C770" s="15" t="s">
        <v>570</v>
      </c>
      <c r="D770" s="56" t="s">
        <v>6404</v>
      </c>
      <c r="E770" s="15" t="s">
        <v>807</v>
      </c>
      <c r="F770" s="15" t="s">
        <v>6405</v>
      </c>
      <c r="G770" s="18" t="s">
        <v>6407</v>
      </c>
      <c r="H770" s="18"/>
      <c r="I770" s="18"/>
      <c r="J770" s="18"/>
    </row>
    <row r="771" ht="15.75" customHeight="1">
      <c r="A771" s="15" t="s">
        <v>6409</v>
      </c>
      <c r="B771" s="15" t="s">
        <v>60</v>
      </c>
      <c r="C771" s="15" t="s">
        <v>775</v>
      </c>
      <c r="D771" s="56" t="s">
        <v>6410</v>
      </c>
      <c r="E771" s="15" t="s">
        <v>807</v>
      </c>
      <c r="F771" s="15" t="s">
        <v>6411</v>
      </c>
      <c r="G771" s="18" t="s">
        <v>6412</v>
      </c>
      <c r="H771" s="18"/>
      <c r="I771" s="18"/>
      <c r="J771" s="18"/>
    </row>
    <row r="772" ht="15.75" customHeight="1">
      <c r="A772" s="15" t="s">
        <v>6413</v>
      </c>
      <c r="B772" s="15" t="s">
        <v>60</v>
      </c>
      <c r="C772" s="15" t="s">
        <v>413</v>
      </c>
      <c r="D772" s="56" t="s">
        <v>6414</v>
      </c>
      <c r="E772" s="15" t="s">
        <v>807</v>
      </c>
      <c r="F772" s="15" t="s">
        <v>6415</v>
      </c>
      <c r="G772" s="18" t="s">
        <v>6416</v>
      </c>
      <c r="H772" s="18"/>
      <c r="I772" s="18"/>
      <c r="J772" s="18"/>
    </row>
    <row r="773" ht="15.75" customHeight="1">
      <c r="A773" s="15" t="s">
        <v>6417</v>
      </c>
      <c r="B773" s="15" t="s">
        <v>60</v>
      </c>
      <c r="C773" s="15" t="s">
        <v>85</v>
      </c>
      <c r="D773" s="56" t="s">
        <v>6418</v>
      </c>
      <c r="E773" s="15" t="s">
        <v>807</v>
      </c>
      <c r="F773" s="15" t="s">
        <v>6419</v>
      </c>
      <c r="G773" s="18" t="s">
        <v>6420</v>
      </c>
      <c r="H773" s="18"/>
      <c r="I773" s="18"/>
      <c r="J773" s="18"/>
    </row>
    <row r="774" ht="15.75" customHeight="1">
      <c r="A774" s="15" t="s">
        <v>6421</v>
      </c>
      <c r="B774" s="15" t="s">
        <v>60</v>
      </c>
      <c r="C774" s="15" t="s">
        <v>354</v>
      </c>
      <c r="D774" s="56" t="s">
        <v>6422</v>
      </c>
      <c r="E774" s="15" t="s">
        <v>807</v>
      </c>
      <c r="F774" s="15" t="s">
        <v>6423</v>
      </c>
      <c r="G774" s="18" t="s">
        <v>6424</v>
      </c>
      <c r="H774" s="18"/>
      <c r="I774" s="18"/>
      <c r="J774" s="18"/>
    </row>
    <row r="775" ht="15.75" customHeight="1">
      <c r="A775" s="15" t="s">
        <v>6425</v>
      </c>
      <c r="B775" s="15" t="s">
        <v>60</v>
      </c>
      <c r="C775" s="15" t="s">
        <v>264</v>
      </c>
      <c r="D775" s="56" t="s">
        <v>6426</v>
      </c>
      <c r="E775" s="15" t="s">
        <v>807</v>
      </c>
      <c r="F775" s="15" t="s">
        <v>6427</v>
      </c>
      <c r="G775" s="18" t="s">
        <v>6428</v>
      </c>
      <c r="H775" s="18"/>
      <c r="I775" s="18"/>
      <c r="J775" s="18"/>
    </row>
    <row r="776" ht="15.75" customHeight="1">
      <c r="A776" s="15" t="s">
        <v>6429</v>
      </c>
      <c r="B776" s="15" t="s">
        <v>60</v>
      </c>
      <c r="C776" s="15" t="s">
        <v>1165</v>
      </c>
      <c r="D776" s="56" t="s">
        <v>6430</v>
      </c>
      <c r="E776" s="15" t="s">
        <v>807</v>
      </c>
      <c r="F776" s="15" t="s">
        <v>6431</v>
      </c>
      <c r="G776" s="18" t="s">
        <v>6432</v>
      </c>
      <c r="H776" s="18"/>
      <c r="I776" s="18"/>
      <c r="J776" s="18"/>
    </row>
    <row r="777" ht="15.75" customHeight="1">
      <c r="A777" s="15" t="s">
        <v>6433</v>
      </c>
      <c r="B777" s="15" t="s">
        <v>60</v>
      </c>
      <c r="C777" s="15" t="s">
        <v>224</v>
      </c>
      <c r="D777" s="56" t="s">
        <v>6434</v>
      </c>
      <c r="E777" s="15" t="s">
        <v>807</v>
      </c>
      <c r="F777" s="15" t="s">
        <v>6435</v>
      </c>
      <c r="G777" s="18" t="s">
        <v>6436</v>
      </c>
      <c r="H777" s="18"/>
      <c r="I777" s="18"/>
      <c r="J777" s="18"/>
    </row>
    <row r="778" ht="15.75" customHeight="1">
      <c r="A778" s="15" t="s">
        <v>6437</v>
      </c>
      <c r="B778" s="15" t="s">
        <v>60</v>
      </c>
      <c r="C778" s="15" t="s">
        <v>842</v>
      </c>
      <c r="D778" s="56" t="s">
        <v>6438</v>
      </c>
      <c r="E778" s="15" t="s">
        <v>807</v>
      </c>
      <c r="F778" s="15" t="s">
        <v>6439</v>
      </c>
      <c r="G778" s="18" t="s">
        <v>6440</v>
      </c>
      <c r="H778" s="18"/>
      <c r="I778" s="18"/>
      <c r="J778" s="18"/>
    </row>
    <row r="779" ht="15.75" customHeight="1">
      <c r="A779" s="15" t="s">
        <v>6441</v>
      </c>
      <c r="B779" s="15" t="s">
        <v>60</v>
      </c>
      <c r="C779" s="15" t="s">
        <v>236</v>
      </c>
      <c r="D779" s="56" t="s">
        <v>6442</v>
      </c>
      <c r="E779" s="15" t="s">
        <v>807</v>
      </c>
      <c r="F779" s="15" t="s">
        <v>6443</v>
      </c>
      <c r="G779" s="18" t="s">
        <v>6445</v>
      </c>
      <c r="H779" s="18"/>
      <c r="I779" s="18"/>
      <c r="J779" s="18"/>
    </row>
    <row r="780" ht="15.75" customHeight="1">
      <c r="A780" s="15" t="s">
        <v>6447</v>
      </c>
      <c r="B780" s="15" t="s">
        <v>60</v>
      </c>
      <c r="C780" s="15" t="s">
        <v>236</v>
      </c>
      <c r="D780" s="56" t="s">
        <v>6450</v>
      </c>
      <c r="E780" s="15" t="s">
        <v>807</v>
      </c>
      <c r="F780" s="15" t="s">
        <v>6451</v>
      </c>
      <c r="G780" s="18" t="s">
        <v>6452</v>
      </c>
      <c r="H780" s="18"/>
      <c r="I780" s="18"/>
      <c r="J780" s="18"/>
    </row>
    <row r="781" ht="15.75" customHeight="1">
      <c r="A781" s="15" t="s">
        <v>6453</v>
      </c>
      <c r="B781" s="15" t="s">
        <v>60</v>
      </c>
      <c r="C781" s="15" t="s">
        <v>424</v>
      </c>
      <c r="D781" s="56" t="s">
        <v>6454</v>
      </c>
      <c r="E781" s="15" t="s">
        <v>807</v>
      </c>
      <c r="F781" s="15" t="s">
        <v>6455</v>
      </c>
      <c r="G781" s="18" t="s">
        <v>6456</v>
      </c>
      <c r="H781" s="18"/>
      <c r="I781" s="18"/>
      <c r="J781" s="18"/>
    </row>
    <row r="782" ht="15.75" customHeight="1">
      <c r="A782" s="15" t="s">
        <v>6457</v>
      </c>
      <c r="B782" s="15" t="s">
        <v>60</v>
      </c>
      <c r="C782" s="15" t="s">
        <v>842</v>
      </c>
      <c r="D782" s="56" t="s">
        <v>6458</v>
      </c>
      <c r="E782" s="15" t="s">
        <v>807</v>
      </c>
      <c r="F782" s="15" t="s">
        <v>6459</v>
      </c>
      <c r="G782" s="18" t="s">
        <v>6460</v>
      </c>
      <c r="H782" s="18"/>
      <c r="I782" s="18"/>
      <c r="J782" s="18"/>
    </row>
    <row r="783" ht="15.75" customHeight="1">
      <c r="A783" s="15" t="s">
        <v>6461</v>
      </c>
      <c r="B783" s="15" t="s">
        <v>60</v>
      </c>
      <c r="C783" s="15" t="s">
        <v>264</v>
      </c>
      <c r="D783" s="56" t="s">
        <v>6462</v>
      </c>
      <c r="E783" s="15" t="s">
        <v>807</v>
      </c>
      <c r="F783" s="15" t="s">
        <v>6463</v>
      </c>
      <c r="G783" s="18" t="s">
        <v>6464</v>
      </c>
      <c r="H783" s="18"/>
      <c r="I783" s="18"/>
      <c r="J783" s="18"/>
    </row>
    <row r="784" ht="15.75" customHeight="1">
      <c r="A784" s="15" t="s">
        <v>6465</v>
      </c>
      <c r="B784" s="15" t="s">
        <v>60</v>
      </c>
      <c r="C784" s="15" t="s">
        <v>842</v>
      </c>
      <c r="D784" s="56" t="s">
        <v>6466</v>
      </c>
      <c r="E784" s="15" t="s">
        <v>807</v>
      </c>
      <c r="F784" s="15" t="s">
        <v>6467</v>
      </c>
      <c r="G784" s="18" t="s">
        <v>6468</v>
      </c>
      <c r="H784" s="18"/>
      <c r="I784" s="18"/>
      <c r="J784" s="18"/>
    </row>
    <row r="785" ht="15.75" customHeight="1">
      <c r="A785" s="15" t="s">
        <v>6469</v>
      </c>
      <c r="B785" s="15" t="s">
        <v>60</v>
      </c>
      <c r="C785" s="15" t="s">
        <v>1312</v>
      </c>
      <c r="D785" s="56" t="s">
        <v>6470</v>
      </c>
      <c r="E785" s="15" t="s">
        <v>807</v>
      </c>
      <c r="F785" s="15" t="s">
        <v>6471</v>
      </c>
      <c r="G785" s="18" t="s">
        <v>6472</v>
      </c>
      <c r="H785" s="18"/>
      <c r="I785" s="18"/>
      <c r="J785" s="18"/>
    </row>
    <row r="786" ht="15.75" customHeight="1">
      <c r="A786" s="15" t="s">
        <v>6473</v>
      </c>
      <c r="B786" s="15" t="s">
        <v>60</v>
      </c>
      <c r="C786" s="15" t="s">
        <v>842</v>
      </c>
      <c r="D786" s="56" t="s">
        <v>6474</v>
      </c>
      <c r="E786" s="15" t="s">
        <v>807</v>
      </c>
      <c r="F786" s="15" t="s">
        <v>6475</v>
      </c>
      <c r="G786" s="18" t="s">
        <v>6476</v>
      </c>
      <c r="H786" s="18"/>
      <c r="I786" s="18"/>
      <c r="J786" s="18"/>
    </row>
    <row r="787" ht="15.75" customHeight="1">
      <c r="A787" s="15" t="s">
        <v>6477</v>
      </c>
      <c r="B787" s="15" t="s">
        <v>60</v>
      </c>
      <c r="C787" s="15" t="s">
        <v>354</v>
      </c>
      <c r="D787" s="56" t="s">
        <v>6478</v>
      </c>
      <c r="E787" s="15" t="s">
        <v>807</v>
      </c>
      <c r="F787" s="15" t="s">
        <v>6479</v>
      </c>
      <c r="G787" s="18" t="s">
        <v>6480</v>
      </c>
      <c r="H787" s="18"/>
      <c r="I787" s="18"/>
      <c r="J787" s="18"/>
    </row>
    <row r="788" ht="15.75" customHeight="1">
      <c r="A788" s="15" t="s">
        <v>6481</v>
      </c>
      <c r="B788" s="15" t="s">
        <v>60</v>
      </c>
      <c r="C788" s="15" t="s">
        <v>236</v>
      </c>
      <c r="D788" s="56" t="s">
        <v>6482</v>
      </c>
      <c r="E788" s="15" t="s">
        <v>807</v>
      </c>
      <c r="F788" s="15" t="s">
        <v>6484</v>
      </c>
      <c r="G788" s="18" t="s">
        <v>6485</v>
      </c>
      <c r="H788" s="18"/>
      <c r="I788" s="18"/>
      <c r="J788" s="18"/>
    </row>
    <row r="789" ht="15.75" customHeight="1">
      <c r="A789" s="15" t="s">
        <v>6489</v>
      </c>
      <c r="B789" s="15" t="s">
        <v>60</v>
      </c>
      <c r="C789" s="15" t="s">
        <v>842</v>
      </c>
      <c r="D789" s="56" t="s">
        <v>6492</v>
      </c>
      <c r="E789" s="15" t="s">
        <v>807</v>
      </c>
      <c r="F789" s="15" t="s">
        <v>6493</v>
      </c>
      <c r="G789" s="18" t="s">
        <v>6494</v>
      </c>
      <c r="H789" s="18"/>
      <c r="I789" s="18"/>
      <c r="J789" s="18"/>
    </row>
    <row r="790" ht="15.75" customHeight="1">
      <c r="A790" s="15" t="s">
        <v>6495</v>
      </c>
      <c r="B790" s="15" t="s">
        <v>60</v>
      </c>
      <c r="C790" s="15" t="s">
        <v>1818</v>
      </c>
      <c r="D790" s="56" t="s">
        <v>6496</v>
      </c>
      <c r="E790" s="15" t="s">
        <v>807</v>
      </c>
      <c r="F790" s="15" t="s">
        <v>6497</v>
      </c>
      <c r="G790" s="18" t="s">
        <v>6498</v>
      </c>
      <c r="H790" s="18"/>
      <c r="I790" s="18"/>
      <c r="J790" s="18"/>
    </row>
    <row r="791" ht="15.75" customHeight="1">
      <c r="A791" s="15" t="s">
        <v>6499</v>
      </c>
      <c r="B791" s="15" t="s">
        <v>60</v>
      </c>
      <c r="C791" s="15" t="s">
        <v>264</v>
      </c>
      <c r="D791" s="56" t="s">
        <v>6500</v>
      </c>
      <c r="E791" s="15" t="s">
        <v>807</v>
      </c>
      <c r="F791" s="15" t="s">
        <v>6501</v>
      </c>
      <c r="G791" s="18" t="s">
        <v>6502</v>
      </c>
      <c r="H791" s="18"/>
      <c r="I791" s="18"/>
      <c r="J791" s="18"/>
    </row>
    <row r="792" ht="15.75" customHeight="1">
      <c r="A792" s="15" t="s">
        <v>6503</v>
      </c>
      <c r="B792" s="15" t="s">
        <v>60</v>
      </c>
      <c r="C792" s="15" t="s">
        <v>570</v>
      </c>
      <c r="D792" s="56" t="s">
        <v>6504</v>
      </c>
      <c r="E792" s="15" t="s">
        <v>807</v>
      </c>
      <c r="F792" s="15" t="s">
        <v>6505</v>
      </c>
      <c r="G792" s="18" t="s">
        <v>6506</v>
      </c>
      <c r="H792" s="18"/>
      <c r="I792" s="18"/>
      <c r="J792" s="18"/>
    </row>
    <row r="793" ht="15.75" customHeight="1">
      <c r="A793" s="15" t="s">
        <v>6507</v>
      </c>
      <c r="B793" s="15" t="s">
        <v>60</v>
      </c>
      <c r="C793" s="15" t="s">
        <v>264</v>
      </c>
      <c r="D793" s="56" t="s">
        <v>6508</v>
      </c>
      <c r="E793" s="15" t="s">
        <v>807</v>
      </c>
      <c r="F793" s="15" t="s">
        <v>6509</v>
      </c>
      <c r="G793" s="18" t="s">
        <v>6510</v>
      </c>
      <c r="H793" s="18"/>
      <c r="I793" s="18"/>
      <c r="J793" s="18"/>
    </row>
    <row r="794" ht="15.75" customHeight="1">
      <c r="A794" s="15" t="s">
        <v>6511</v>
      </c>
      <c r="B794" s="15" t="s">
        <v>60</v>
      </c>
      <c r="C794" s="15" t="s">
        <v>264</v>
      </c>
      <c r="D794" s="56" t="s">
        <v>6512</v>
      </c>
      <c r="E794" s="15" t="s">
        <v>807</v>
      </c>
      <c r="F794" s="15" t="s">
        <v>6513</v>
      </c>
      <c r="G794" s="18" t="s">
        <v>6514</v>
      </c>
      <c r="H794" s="18"/>
      <c r="I794" s="18"/>
      <c r="J794" s="18"/>
    </row>
    <row r="795" ht="15.75" customHeight="1">
      <c r="A795" s="15" t="s">
        <v>6515</v>
      </c>
      <c r="B795" s="15" t="s">
        <v>60</v>
      </c>
      <c r="C795" s="15" t="s">
        <v>85</v>
      </c>
      <c r="D795" s="56" t="s">
        <v>6516</v>
      </c>
      <c r="E795" s="15" t="s">
        <v>807</v>
      </c>
      <c r="F795" s="15" t="s">
        <v>6517</v>
      </c>
      <c r="G795" s="18" t="s">
        <v>6518</v>
      </c>
      <c r="H795" s="18"/>
      <c r="I795" s="18"/>
      <c r="J795" s="18"/>
    </row>
    <row r="796" ht="15.75" customHeight="1">
      <c r="A796" s="15" t="s">
        <v>6519</v>
      </c>
      <c r="B796" s="15" t="s">
        <v>60</v>
      </c>
      <c r="C796" s="15" t="s">
        <v>842</v>
      </c>
      <c r="D796" s="56" t="s">
        <v>6520</v>
      </c>
      <c r="E796" s="15" t="s">
        <v>807</v>
      </c>
      <c r="F796" s="15" t="s">
        <v>6521</v>
      </c>
      <c r="G796" s="18" t="s">
        <v>6522</v>
      </c>
      <c r="H796" s="18"/>
      <c r="I796" s="18"/>
      <c r="J796" s="18"/>
    </row>
    <row r="797" ht="15.75" customHeight="1">
      <c r="A797" s="15" t="s">
        <v>6523</v>
      </c>
      <c r="B797" s="15" t="s">
        <v>60</v>
      </c>
      <c r="C797" s="15" t="s">
        <v>878</v>
      </c>
      <c r="D797" s="56" t="s">
        <v>6524</v>
      </c>
      <c r="E797" s="15" t="s">
        <v>807</v>
      </c>
      <c r="F797" s="15" t="s">
        <v>6525</v>
      </c>
      <c r="G797" s="18" t="s">
        <v>6527</v>
      </c>
      <c r="H797" s="18"/>
      <c r="I797" s="18"/>
      <c r="J797" s="18"/>
    </row>
    <row r="798" ht="15.75" customHeight="1">
      <c r="A798" s="15" t="s">
        <v>6529</v>
      </c>
      <c r="B798" s="15" t="s">
        <v>60</v>
      </c>
      <c r="C798" s="15" t="s">
        <v>1312</v>
      </c>
      <c r="D798" s="56" t="s">
        <v>6532</v>
      </c>
      <c r="E798" s="15" t="s">
        <v>807</v>
      </c>
      <c r="F798" s="15" t="s">
        <v>6535</v>
      </c>
      <c r="G798" s="18" t="s">
        <v>6536</v>
      </c>
      <c r="H798" s="18"/>
      <c r="I798" s="18"/>
      <c r="J798" s="18"/>
    </row>
    <row r="799" ht="15.75" customHeight="1">
      <c r="A799" s="15" t="s">
        <v>6537</v>
      </c>
      <c r="B799" s="15" t="s">
        <v>60</v>
      </c>
      <c r="C799" s="15" t="s">
        <v>354</v>
      </c>
      <c r="D799" s="56" t="s">
        <v>6538</v>
      </c>
      <c r="E799" s="15" t="s">
        <v>807</v>
      </c>
      <c r="F799" s="15" t="s">
        <v>6539</v>
      </c>
      <c r="G799" s="18" t="s">
        <v>6540</v>
      </c>
      <c r="H799" s="18"/>
      <c r="I799" s="18"/>
      <c r="J799" s="18"/>
    </row>
    <row r="800" ht="15.75" customHeight="1">
      <c r="A800" s="15" t="s">
        <v>6541</v>
      </c>
      <c r="B800" s="15" t="s">
        <v>60</v>
      </c>
      <c r="C800" s="15" t="s">
        <v>958</v>
      </c>
      <c r="D800" s="56" t="s">
        <v>6542</v>
      </c>
      <c r="E800" s="15" t="s">
        <v>807</v>
      </c>
      <c r="F800" s="15" t="s">
        <v>6543</v>
      </c>
      <c r="G800" s="18" t="s">
        <v>6544</v>
      </c>
      <c r="H800" s="18"/>
      <c r="I800" s="18"/>
      <c r="J800" s="18"/>
    </row>
    <row r="801" ht="15.75" customHeight="1">
      <c r="A801" s="15" t="s">
        <v>6545</v>
      </c>
      <c r="B801" s="15" t="s">
        <v>60</v>
      </c>
      <c r="C801" s="15" t="s">
        <v>570</v>
      </c>
      <c r="D801" s="56" t="s">
        <v>6546</v>
      </c>
      <c r="E801" s="15" t="s">
        <v>807</v>
      </c>
      <c r="F801" s="15" t="s">
        <v>6547</v>
      </c>
      <c r="G801" s="18" t="s">
        <v>6548</v>
      </c>
      <c r="H801" s="18"/>
      <c r="I801" s="18"/>
      <c r="J801" s="18"/>
    </row>
    <row r="802" ht="15.75" customHeight="1">
      <c r="A802" s="15" t="s">
        <v>6549</v>
      </c>
      <c r="B802" s="15" t="s">
        <v>60</v>
      </c>
      <c r="C802" s="15" t="s">
        <v>413</v>
      </c>
      <c r="D802" s="56" t="s">
        <v>6550</v>
      </c>
      <c r="E802" s="15" t="s">
        <v>807</v>
      </c>
      <c r="F802" s="15" t="s">
        <v>6551</v>
      </c>
      <c r="G802" s="18" t="s">
        <v>6552</v>
      </c>
      <c r="H802" s="18"/>
      <c r="I802" s="18"/>
      <c r="J802" s="18"/>
    </row>
    <row r="803" ht="15.75" customHeight="1">
      <c r="A803" s="15" t="s">
        <v>6553</v>
      </c>
      <c r="B803" s="15" t="s">
        <v>60</v>
      </c>
      <c r="C803" s="15" t="s">
        <v>85</v>
      </c>
      <c r="D803" s="56" t="s">
        <v>6554</v>
      </c>
      <c r="E803" s="15" t="s">
        <v>807</v>
      </c>
      <c r="F803" s="15" t="s">
        <v>6555</v>
      </c>
      <c r="G803" s="18" t="s">
        <v>6556</v>
      </c>
      <c r="H803" s="18"/>
      <c r="I803" s="18"/>
      <c r="J803" s="18"/>
    </row>
    <row r="804" ht="15.75" customHeight="1">
      <c r="A804" s="15" t="s">
        <v>6557</v>
      </c>
      <c r="B804" s="15" t="s">
        <v>60</v>
      </c>
      <c r="C804" s="15" t="s">
        <v>224</v>
      </c>
      <c r="D804" s="56" t="s">
        <v>6558</v>
      </c>
      <c r="E804" s="15" t="s">
        <v>807</v>
      </c>
      <c r="F804" s="15" t="s">
        <v>6559</v>
      </c>
      <c r="G804" s="18" t="s">
        <v>6560</v>
      </c>
      <c r="H804" s="18"/>
      <c r="I804" s="18"/>
      <c r="J804" s="18"/>
    </row>
    <row r="805" ht="15.75" customHeight="1">
      <c r="A805" s="15" t="s">
        <v>6561</v>
      </c>
      <c r="B805" s="15" t="s">
        <v>60</v>
      </c>
      <c r="C805" s="15" t="s">
        <v>570</v>
      </c>
      <c r="D805" s="56" t="s">
        <v>6562</v>
      </c>
      <c r="E805" s="15" t="s">
        <v>807</v>
      </c>
      <c r="F805" s="15" t="s">
        <v>6563</v>
      </c>
      <c r="G805" s="18" t="s">
        <v>6564</v>
      </c>
      <c r="H805" s="18"/>
      <c r="I805" s="18"/>
      <c r="J805" s="18"/>
    </row>
    <row r="806" ht="15.75" customHeight="1">
      <c r="A806" s="15" t="s">
        <v>6565</v>
      </c>
      <c r="B806" s="15" t="s">
        <v>60</v>
      </c>
      <c r="C806" s="15" t="s">
        <v>1139</v>
      </c>
      <c r="D806" s="56" t="s">
        <v>6566</v>
      </c>
      <c r="E806" s="15" t="s">
        <v>807</v>
      </c>
      <c r="F806" s="15" t="s">
        <v>6567</v>
      </c>
      <c r="G806" s="18" t="s">
        <v>6568</v>
      </c>
      <c r="H806" s="18"/>
      <c r="I806" s="18"/>
      <c r="J806" s="18"/>
    </row>
    <row r="807" ht="15.75" customHeight="1">
      <c r="A807" s="15" t="s">
        <v>6569</v>
      </c>
      <c r="B807" s="15" t="s">
        <v>60</v>
      </c>
      <c r="C807" s="15" t="s">
        <v>570</v>
      </c>
      <c r="D807" s="56" t="s">
        <v>6570</v>
      </c>
      <c r="E807" s="15" t="s">
        <v>807</v>
      </c>
      <c r="F807" s="15" t="s">
        <v>6571</v>
      </c>
      <c r="G807" s="18" t="s">
        <v>6573</v>
      </c>
      <c r="H807" s="18"/>
      <c r="I807" s="18"/>
      <c r="J807" s="18"/>
    </row>
    <row r="808" ht="15.75" customHeight="1">
      <c r="A808" s="15" t="s">
        <v>6576</v>
      </c>
      <c r="B808" s="15" t="s">
        <v>60</v>
      </c>
      <c r="C808" s="15" t="s">
        <v>236</v>
      </c>
      <c r="D808" s="56" t="s">
        <v>6578</v>
      </c>
      <c r="E808" s="15" t="s">
        <v>807</v>
      </c>
      <c r="F808" s="15" t="s">
        <v>6581</v>
      </c>
      <c r="G808" s="18" t="s">
        <v>6583</v>
      </c>
      <c r="H808" s="18"/>
      <c r="I808" s="18"/>
      <c r="J808" s="18"/>
    </row>
    <row r="809" ht="15.75" customHeight="1">
      <c r="A809" s="15" t="s">
        <v>6584</v>
      </c>
      <c r="B809" s="15" t="s">
        <v>60</v>
      </c>
      <c r="C809" s="15" t="s">
        <v>775</v>
      </c>
      <c r="D809" s="56" t="s">
        <v>6585</v>
      </c>
      <c r="E809" s="15" t="s">
        <v>807</v>
      </c>
      <c r="F809" s="15" t="s">
        <v>6586</v>
      </c>
      <c r="G809" s="18" t="s">
        <v>6587</v>
      </c>
      <c r="H809" s="18"/>
      <c r="I809" s="18"/>
      <c r="J809" s="18"/>
    </row>
    <row r="810" ht="15.75" customHeight="1">
      <c r="A810" s="15" t="s">
        <v>6588</v>
      </c>
      <c r="B810" s="15" t="s">
        <v>60</v>
      </c>
      <c r="C810" s="15" t="s">
        <v>775</v>
      </c>
      <c r="D810" s="56" t="s">
        <v>6589</v>
      </c>
      <c r="E810" s="15" t="s">
        <v>807</v>
      </c>
      <c r="F810" s="15" t="s">
        <v>6590</v>
      </c>
      <c r="G810" s="18" t="s">
        <v>6591</v>
      </c>
      <c r="H810" s="18"/>
      <c r="I810" s="18"/>
      <c r="J810" s="18"/>
    </row>
    <row r="811" ht="15.75" customHeight="1">
      <c r="A811" s="15" t="s">
        <v>6592</v>
      </c>
      <c r="B811" s="15" t="s">
        <v>60</v>
      </c>
      <c r="C811" s="15" t="s">
        <v>1165</v>
      </c>
      <c r="D811" s="56" t="s">
        <v>6593</v>
      </c>
      <c r="E811" s="15" t="s">
        <v>807</v>
      </c>
      <c r="F811" s="15" t="s">
        <v>6594</v>
      </c>
      <c r="G811" s="18" t="s">
        <v>6595</v>
      </c>
      <c r="H811" s="18"/>
      <c r="I811" s="18"/>
      <c r="J811" s="18"/>
    </row>
    <row r="812" ht="15.75" customHeight="1">
      <c r="A812" s="15" t="s">
        <v>6596</v>
      </c>
      <c r="B812" s="15" t="s">
        <v>60</v>
      </c>
      <c r="C812" s="15" t="s">
        <v>424</v>
      </c>
      <c r="D812" s="56" t="s">
        <v>6597</v>
      </c>
      <c r="E812" s="15" t="s">
        <v>807</v>
      </c>
      <c r="F812" s="15" t="s">
        <v>6598</v>
      </c>
      <c r="G812" s="18" t="s">
        <v>6599</v>
      </c>
      <c r="H812" s="18"/>
      <c r="I812" s="18"/>
      <c r="J812" s="18"/>
    </row>
    <row r="813" ht="15.75" customHeight="1">
      <c r="A813" s="15" t="s">
        <v>6600</v>
      </c>
      <c r="B813" s="15" t="s">
        <v>60</v>
      </c>
      <c r="C813" s="15" t="s">
        <v>236</v>
      </c>
      <c r="D813" s="56" t="s">
        <v>6601</v>
      </c>
      <c r="E813" s="15" t="s">
        <v>807</v>
      </c>
      <c r="F813" s="15" t="s">
        <v>6602</v>
      </c>
      <c r="G813" s="18" t="s">
        <v>6603</v>
      </c>
      <c r="H813" s="18"/>
      <c r="I813" s="18"/>
      <c r="J813" s="18"/>
    </row>
    <row r="814" ht="15.75" customHeight="1">
      <c r="A814" s="15" t="s">
        <v>6604</v>
      </c>
      <c r="B814" s="15" t="s">
        <v>60</v>
      </c>
      <c r="C814" s="15" t="s">
        <v>570</v>
      </c>
      <c r="D814" s="56" t="s">
        <v>6605</v>
      </c>
      <c r="E814" s="15" t="s">
        <v>807</v>
      </c>
      <c r="F814" s="15" t="s">
        <v>6606</v>
      </c>
      <c r="G814" s="18" t="s">
        <v>6607</v>
      </c>
      <c r="H814" s="18"/>
      <c r="I814" s="18"/>
      <c r="J814" s="18"/>
    </row>
    <row r="815" ht="15.75" customHeight="1">
      <c r="A815" s="15" t="s">
        <v>6608</v>
      </c>
      <c r="B815" s="15" t="s">
        <v>60</v>
      </c>
      <c r="C815" s="15" t="s">
        <v>1139</v>
      </c>
      <c r="D815" s="56" t="s">
        <v>6609</v>
      </c>
      <c r="E815" s="15" t="s">
        <v>807</v>
      </c>
      <c r="F815" s="15" t="s">
        <v>6610</v>
      </c>
      <c r="G815" s="18" t="s">
        <v>6611</v>
      </c>
      <c r="H815" s="18"/>
      <c r="I815" s="18"/>
      <c r="J815" s="18"/>
    </row>
    <row r="816" ht="15.75" customHeight="1">
      <c r="A816" s="15" t="s">
        <v>6612</v>
      </c>
      <c r="B816" s="15" t="s">
        <v>60</v>
      </c>
      <c r="C816" s="15" t="s">
        <v>413</v>
      </c>
      <c r="D816" s="56" t="s">
        <v>6613</v>
      </c>
      <c r="E816" s="15" t="s">
        <v>807</v>
      </c>
      <c r="F816" s="15" t="s">
        <v>6614</v>
      </c>
      <c r="G816" s="18" t="s">
        <v>6615</v>
      </c>
      <c r="H816" s="18"/>
      <c r="I816" s="18"/>
      <c r="J816" s="18"/>
    </row>
    <row r="817" ht="15.75" customHeight="1">
      <c r="A817" s="15" t="s">
        <v>6617</v>
      </c>
      <c r="B817" s="15" t="s">
        <v>60</v>
      </c>
      <c r="C817" s="15" t="s">
        <v>224</v>
      </c>
      <c r="D817" s="56" t="s">
        <v>6620</v>
      </c>
      <c r="E817" s="15" t="s">
        <v>807</v>
      </c>
      <c r="F817" s="15" t="s">
        <v>6622</v>
      </c>
      <c r="G817" s="18" t="s">
        <v>6624</v>
      </c>
      <c r="H817" s="18"/>
      <c r="I817" s="18"/>
      <c r="J817" s="18"/>
    </row>
    <row r="818" ht="15.75" customHeight="1">
      <c r="A818" s="15" t="s">
        <v>6627</v>
      </c>
      <c r="B818" s="15" t="s">
        <v>60</v>
      </c>
      <c r="C818" s="15" t="s">
        <v>958</v>
      </c>
      <c r="D818" s="56" t="s">
        <v>6628</v>
      </c>
      <c r="E818" s="15" t="s">
        <v>807</v>
      </c>
      <c r="F818" s="15" t="s">
        <v>6629</v>
      </c>
      <c r="G818" s="18" t="s">
        <v>6630</v>
      </c>
      <c r="H818" s="18"/>
      <c r="I818" s="18"/>
      <c r="J818" s="18"/>
    </row>
    <row r="819" ht="15.75" customHeight="1">
      <c r="A819" s="15" t="s">
        <v>6631</v>
      </c>
      <c r="B819" s="15" t="s">
        <v>60</v>
      </c>
      <c r="C819" s="15" t="s">
        <v>1687</v>
      </c>
      <c r="D819" s="56" t="s">
        <v>6632</v>
      </c>
      <c r="E819" s="15" t="s">
        <v>807</v>
      </c>
      <c r="F819" s="15" t="s">
        <v>6633</v>
      </c>
      <c r="G819" s="18" t="s">
        <v>6634</v>
      </c>
      <c r="H819" s="18"/>
      <c r="I819" s="18"/>
      <c r="J819" s="18"/>
    </row>
    <row r="820" ht="15.75" customHeight="1">
      <c r="A820" s="15" t="s">
        <v>6635</v>
      </c>
      <c r="B820" s="15" t="s">
        <v>60</v>
      </c>
      <c r="C820" s="15" t="s">
        <v>1687</v>
      </c>
      <c r="D820" s="56" t="s">
        <v>6636</v>
      </c>
      <c r="E820" s="15" t="s">
        <v>807</v>
      </c>
      <c r="F820" s="15" t="s">
        <v>6637</v>
      </c>
      <c r="G820" s="18" t="s">
        <v>6638</v>
      </c>
      <c r="H820" s="18"/>
      <c r="I820" s="18"/>
      <c r="J820" s="18"/>
    </row>
    <row r="821" ht="15.75" customHeight="1">
      <c r="A821" s="15" t="s">
        <v>6639</v>
      </c>
      <c r="B821" s="15" t="s">
        <v>60</v>
      </c>
      <c r="C821" s="15" t="s">
        <v>236</v>
      </c>
      <c r="D821" s="56" t="s">
        <v>6640</v>
      </c>
      <c r="E821" s="15" t="s">
        <v>807</v>
      </c>
      <c r="F821" s="15" t="s">
        <v>6641</v>
      </c>
      <c r="G821" s="18" t="s">
        <v>6642</v>
      </c>
      <c r="H821" s="18"/>
      <c r="I821" s="18"/>
      <c r="J821" s="18"/>
    </row>
    <row r="822" ht="15.75" customHeight="1">
      <c r="A822" s="15" t="s">
        <v>6643</v>
      </c>
      <c r="B822" s="15" t="s">
        <v>60</v>
      </c>
      <c r="C822" s="15" t="s">
        <v>842</v>
      </c>
      <c r="D822" s="56" t="s">
        <v>6644</v>
      </c>
      <c r="E822" s="15" t="s">
        <v>807</v>
      </c>
      <c r="F822" s="15" t="s">
        <v>6645</v>
      </c>
      <c r="G822" s="18" t="s">
        <v>6646</v>
      </c>
      <c r="H822" s="18"/>
      <c r="I822" s="18"/>
      <c r="J822" s="18"/>
    </row>
    <row r="823" ht="15.75" customHeight="1">
      <c r="A823" s="15" t="s">
        <v>6647</v>
      </c>
      <c r="B823" s="15" t="s">
        <v>60</v>
      </c>
      <c r="C823" s="15" t="s">
        <v>958</v>
      </c>
      <c r="D823" s="56" t="s">
        <v>6648</v>
      </c>
      <c r="E823" s="15" t="s">
        <v>807</v>
      </c>
      <c r="F823" s="15" t="s">
        <v>6649</v>
      </c>
      <c r="G823" s="18" t="s">
        <v>6650</v>
      </c>
      <c r="H823" s="18"/>
      <c r="I823" s="18"/>
      <c r="J823" s="18"/>
    </row>
    <row r="824" ht="15.75" customHeight="1">
      <c r="A824" s="15" t="s">
        <v>6651</v>
      </c>
      <c r="B824" s="15" t="s">
        <v>60</v>
      </c>
      <c r="C824" s="15" t="s">
        <v>958</v>
      </c>
      <c r="D824" s="56" t="s">
        <v>6652</v>
      </c>
      <c r="E824" s="15" t="s">
        <v>807</v>
      </c>
      <c r="F824" s="15" t="s">
        <v>6653</v>
      </c>
      <c r="G824" s="18" t="s">
        <v>6654</v>
      </c>
      <c r="H824" s="18"/>
      <c r="I824" s="18"/>
      <c r="J824" s="18"/>
    </row>
    <row r="825" ht="15.75" customHeight="1">
      <c r="A825" s="15" t="s">
        <v>6655</v>
      </c>
      <c r="B825" s="15" t="s">
        <v>60</v>
      </c>
      <c r="C825" s="15" t="s">
        <v>245</v>
      </c>
      <c r="D825" s="56" t="s">
        <v>6656</v>
      </c>
      <c r="E825" s="15" t="s">
        <v>807</v>
      </c>
      <c r="F825" s="15" t="s">
        <v>6657</v>
      </c>
      <c r="G825" s="18" t="s">
        <v>6658</v>
      </c>
      <c r="H825" s="18"/>
      <c r="I825" s="18"/>
      <c r="J825" s="18"/>
    </row>
    <row r="826" ht="15.75" customHeight="1">
      <c r="A826" s="15" t="s">
        <v>6660</v>
      </c>
      <c r="B826" s="15" t="s">
        <v>60</v>
      </c>
      <c r="C826" s="15" t="s">
        <v>1312</v>
      </c>
      <c r="D826" s="56" t="s">
        <v>6662</v>
      </c>
      <c r="E826" s="15" t="s">
        <v>807</v>
      </c>
      <c r="F826" s="15" t="s">
        <v>6663</v>
      </c>
      <c r="G826" s="18" t="s">
        <v>6666</v>
      </c>
      <c r="H826" s="18"/>
      <c r="I826" s="18"/>
      <c r="J826" s="18"/>
    </row>
    <row r="827" ht="15.75" customHeight="1">
      <c r="A827" s="15" t="s">
        <v>6668</v>
      </c>
      <c r="B827" s="15" t="s">
        <v>60</v>
      </c>
      <c r="C827" s="15" t="s">
        <v>245</v>
      </c>
      <c r="D827" s="56" t="s">
        <v>6669</v>
      </c>
      <c r="E827" s="15" t="s">
        <v>807</v>
      </c>
      <c r="F827" s="15" t="s">
        <v>6670</v>
      </c>
      <c r="G827" s="18" t="s">
        <v>6671</v>
      </c>
      <c r="H827" s="18"/>
      <c r="I827" s="18"/>
      <c r="J827" s="18"/>
    </row>
    <row r="828" ht="15.75" customHeight="1">
      <c r="A828" s="15" t="s">
        <v>6672</v>
      </c>
      <c r="B828" s="15" t="s">
        <v>60</v>
      </c>
      <c r="C828" s="15" t="s">
        <v>413</v>
      </c>
      <c r="D828" s="56" t="s">
        <v>6673</v>
      </c>
      <c r="E828" s="15" t="s">
        <v>807</v>
      </c>
      <c r="F828" s="15" t="s">
        <v>6674</v>
      </c>
      <c r="G828" s="18" t="s">
        <v>6675</v>
      </c>
      <c r="H828" s="18"/>
      <c r="I828" s="18"/>
      <c r="J828" s="18"/>
    </row>
    <row r="829" ht="15.75" customHeight="1">
      <c r="A829" s="15" t="s">
        <v>6676</v>
      </c>
      <c r="B829" s="15" t="s">
        <v>60</v>
      </c>
      <c r="C829" s="15" t="s">
        <v>224</v>
      </c>
      <c r="D829" s="56" t="s">
        <v>6677</v>
      </c>
      <c r="E829" s="15" t="s">
        <v>807</v>
      </c>
      <c r="F829" s="15" t="s">
        <v>6678</v>
      </c>
      <c r="G829" s="18" t="s">
        <v>6679</v>
      </c>
      <c r="H829" s="18"/>
      <c r="I829" s="18"/>
      <c r="J829" s="18"/>
    </row>
    <row r="830" ht="15.75" customHeight="1">
      <c r="A830" s="15" t="s">
        <v>6680</v>
      </c>
      <c r="B830" s="15" t="s">
        <v>60</v>
      </c>
      <c r="C830" s="15" t="s">
        <v>264</v>
      </c>
      <c r="D830" s="56" t="s">
        <v>6681</v>
      </c>
      <c r="E830" s="15" t="s">
        <v>807</v>
      </c>
      <c r="F830" s="15" t="s">
        <v>6682</v>
      </c>
      <c r="G830" s="18" t="s">
        <v>6683</v>
      </c>
      <c r="H830" s="18"/>
      <c r="I830" s="18"/>
      <c r="J830" s="18"/>
    </row>
    <row r="831" ht="15.75" customHeight="1">
      <c r="A831" s="15" t="s">
        <v>6684</v>
      </c>
      <c r="B831" s="15" t="s">
        <v>60</v>
      </c>
      <c r="C831" s="15" t="s">
        <v>958</v>
      </c>
      <c r="D831" s="56" t="s">
        <v>6685</v>
      </c>
      <c r="E831" s="15" t="s">
        <v>807</v>
      </c>
      <c r="F831" s="15" t="s">
        <v>6686</v>
      </c>
      <c r="G831" s="18" t="s">
        <v>6687</v>
      </c>
      <c r="H831" s="18"/>
      <c r="I831" s="18"/>
      <c r="J831" s="18"/>
    </row>
    <row r="832" ht="15.75" customHeight="1">
      <c r="A832" s="15" t="s">
        <v>6688</v>
      </c>
      <c r="B832" s="15" t="s">
        <v>60</v>
      </c>
      <c r="C832" s="15" t="s">
        <v>842</v>
      </c>
      <c r="D832" s="56" t="s">
        <v>6689</v>
      </c>
      <c r="E832" s="15" t="s">
        <v>807</v>
      </c>
      <c r="F832" s="15" t="s">
        <v>6690</v>
      </c>
      <c r="G832" s="18" t="s">
        <v>6691</v>
      </c>
      <c r="H832" s="18"/>
      <c r="I832" s="18"/>
      <c r="J832" s="18"/>
    </row>
    <row r="833" ht="15.75" customHeight="1">
      <c r="A833" s="15" t="s">
        <v>6692</v>
      </c>
      <c r="B833" s="15" t="s">
        <v>60</v>
      </c>
      <c r="C833" s="15" t="s">
        <v>224</v>
      </c>
      <c r="D833" s="56" t="s">
        <v>6693</v>
      </c>
      <c r="E833" s="15" t="s">
        <v>807</v>
      </c>
      <c r="F833" s="15" t="s">
        <v>6694</v>
      </c>
      <c r="G833" s="18" t="s">
        <v>6695</v>
      </c>
      <c r="H833" s="18"/>
      <c r="I833" s="18"/>
      <c r="J833" s="18"/>
    </row>
    <row r="834" ht="15.75" customHeight="1">
      <c r="A834" s="15" t="s">
        <v>6696</v>
      </c>
      <c r="B834" s="15" t="s">
        <v>60</v>
      </c>
      <c r="C834" s="15" t="s">
        <v>264</v>
      </c>
      <c r="D834" s="56" t="s">
        <v>6697</v>
      </c>
      <c r="E834" s="15" t="s">
        <v>807</v>
      </c>
      <c r="F834" s="15" t="s">
        <v>6698</v>
      </c>
      <c r="G834" s="18" t="s">
        <v>6699</v>
      </c>
      <c r="H834" s="18"/>
      <c r="I834" s="18"/>
      <c r="J834" s="18"/>
    </row>
    <row r="835" ht="15.75" customHeight="1">
      <c r="A835" s="15" t="s">
        <v>6700</v>
      </c>
      <c r="B835" s="15" t="s">
        <v>60</v>
      </c>
      <c r="C835" s="15" t="s">
        <v>1139</v>
      </c>
      <c r="D835" s="56" t="s">
        <v>6702</v>
      </c>
      <c r="E835" s="15" t="s">
        <v>807</v>
      </c>
      <c r="F835" s="15" t="s">
        <v>6705</v>
      </c>
      <c r="G835" s="18" t="s">
        <v>6706</v>
      </c>
      <c r="H835" s="18"/>
      <c r="I835" s="18"/>
      <c r="J835" s="18"/>
    </row>
    <row r="836" ht="15.75" customHeight="1">
      <c r="A836" s="15" t="s">
        <v>6709</v>
      </c>
      <c r="B836" s="15" t="s">
        <v>60</v>
      </c>
      <c r="C836" s="15" t="s">
        <v>224</v>
      </c>
      <c r="D836" s="56" t="s">
        <v>6711</v>
      </c>
      <c r="E836" s="15" t="s">
        <v>807</v>
      </c>
      <c r="F836" s="15" t="s">
        <v>6712</v>
      </c>
      <c r="G836" s="18" t="s">
        <v>4611</v>
      </c>
      <c r="H836" s="18"/>
      <c r="I836" s="18"/>
      <c r="J836" s="18"/>
    </row>
    <row r="837" ht="15.75" customHeight="1">
      <c r="A837" s="15" t="s">
        <v>6713</v>
      </c>
      <c r="B837" s="15" t="s">
        <v>60</v>
      </c>
      <c r="C837" s="15" t="s">
        <v>958</v>
      </c>
      <c r="D837" s="56" t="s">
        <v>6714</v>
      </c>
      <c r="E837" s="15" t="s">
        <v>807</v>
      </c>
      <c r="F837" s="15" t="s">
        <v>6715</v>
      </c>
      <c r="G837" s="18" t="s">
        <v>6716</v>
      </c>
      <c r="H837" s="18"/>
      <c r="I837" s="18"/>
      <c r="J837" s="18"/>
    </row>
    <row r="838" ht="15.75" customHeight="1">
      <c r="A838" s="15" t="s">
        <v>6717</v>
      </c>
      <c r="B838" s="15" t="s">
        <v>60</v>
      </c>
      <c r="C838" s="15" t="s">
        <v>1312</v>
      </c>
      <c r="D838" s="56" t="s">
        <v>6718</v>
      </c>
      <c r="E838" s="15" t="s">
        <v>807</v>
      </c>
      <c r="F838" s="15" t="s">
        <v>6719</v>
      </c>
      <c r="G838" s="18" t="s">
        <v>6720</v>
      </c>
      <c r="H838" s="18"/>
      <c r="I838" s="18"/>
      <c r="J838" s="18"/>
    </row>
    <row r="839" ht="15.75" customHeight="1">
      <c r="A839" s="15" t="s">
        <v>6721</v>
      </c>
      <c r="B839" s="15" t="s">
        <v>60</v>
      </c>
      <c r="C839" s="15" t="s">
        <v>1139</v>
      </c>
      <c r="D839" s="56" t="s">
        <v>6722</v>
      </c>
      <c r="E839" s="15" t="s">
        <v>807</v>
      </c>
      <c r="F839" s="15" t="s">
        <v>6723</v>
      </c>
      <c r="G839" s="18" t="s">
        <v>6724</v>
      </c>
      <c r="H839" s="18"/>
      <c r="I839" s="18"/>
      <c r="J839" s="18"/>
    </row>
    <row r="840" ht="15.75" customHeight="1">
      <c r="A840" s="15" t="s">
        <v>6725</v>
      </c>
      <c r="B840" s="15" t="s">
        <v>60</v>
      </c>
      <c r="C840" s="15" t="s">
        <v>958</v>
      </c>
      <c r="D840" s="56" t="s">
        <v>6726</v>
      </c>
      <c r="E840" s="15" t="s">
        <v>807</v>
      </c>
      <c r="F840" s="15" t="s">
        <v>6727</v>
      </c>
      <c r="G840" s="18" t="s">
        <v>6728</v>
      </c>
      <c r="H840" s="18"/>
      <c r="I840" s="18"/>
      <c r="J840" s="18"/>
    </row>
    <row r="841" ht="15.75" customHeight="1">
      <c r="A841" s="15" t="s">
        <v>6729</v>
      </c>
      <c r="B841" s="15" t="s">
        <v>60</v>
      </c>
      <c r="C841" s="15" t="s">
        <v>224</v>
      </c>
      <c r="D841" s="56" t="s">
        <v>6730</v>
      </c>
      <c r="E841" s="15" t="s">
        <v>807</v>
      </c>
      <c r="F841" s="15" t="s">
        <v>6731</v>
      </c>
      <c r="G841" s="18" t="s">
        <v>6732</v>
      </c>
      <c r="H841" s="18"/>
      <c r="I841" s="18"/>
      <c r="J841" s="18"/>
    </row>
    <row r="842" ht="15.75" customHeight="1">
      <c r="A842" s="15" t="s">
        <v>6733</v>
      </c>
      <c r="B842" s="15" t="s">
        <v>60</v>
      </c>
      <c r="C842" s="15" t="s">
        <v>413</v>
      </c>
      <c r="D842" s="56" t="s">
        <v>6734</v>
      </c>
      <c r="E842" s="15" t="s">
        <v>807</v>
      </c>
      <c r="F842" s="15" t="s">
        <v>6735</v>
      </c>
      <c r="G842" s="18" t="s">
        <v>6736</v>
      </c>
      <c r="H842" s="18"/>
      <c r="I842" s="18"/>
      <c r="J842" s="18"/>
    </row>
    <row r="843" ht="15.75" customHeight="1">
      <c r="A843" s="15" t="s">
        <v>6737</v>
      </c>
      <c r="B843" s="15" t="s">
        <v>60</v>
      </c>
      <c r="C843" s="15" t="s">
        <v>1312</v>
      </c>
      <c r="D843" s="56" t="s">
        <v>6738</v>
      </c>
      <c r="E843" s="15" t="s">
        <v>807</v>
      </c>
      <c r="F843" s="15" t="s">
        <v>6739</v>
      </c>
      <c r="G843" s="18" t="s">
        <v>6740</v>
      </c>
      <c r="H843" s="18"/>
      <c r="I843" s="18"/>
      <c r="J843" s="18"/>
    </row>
    <row r="844" ht="15.75" customHeight="1">
      <c r="A844" s="15" t="s">
        <v>6741</v>
      </c>
      <c r="B844" s="15" t="s">
        <v>60</v>
      </c>
      <c r="C844" s="15" t="s">
        <v>264</v>
      </c>
      <c r="D844" s="56" t="s">
        <v>6742</v>
      </c>
      <c r="E844" s="15" t="s">
        <v>807</v>
      </c>
      <c r="F844" s="15" t="s">
        <v>6744</v>
      </c>
      <c r="G844" s="18" t="s">
        <v>6745</v>
      </c>
      <c r="H844" s="18"/>
      <c r="I844" s="18"/>
      <c r="J844" s="18"/>
    </row>
    <row r="845" ht="15.75" customHeight="1">
      <c r="A845" s="15" t="s">
        <v>6748</v>
      </c>
      <c r="B845" s="15" t="s">
        <v>403</v>
      </c>
      <c r="C845" s="15" t="s">
        <v>98</v>
      </c>
      <c r="D845" s="56" t="s">
        <v>6751</v>
      </c>
      <c r="E845" s="15" t="s">
        <v>807</v>
      </c>
      <c r="F845" s="15" t="s">
        <v>6753</v>
      </c>
      <c r="G845" s="18"/>
      <c r="H845" s="18"/>
      <c r="I845" s="18"/>
      <c r="J845" s="18"/>
    </row>
    <row r="846" ht="15.75" customHeight="1">
      <c r="A846" s="15" t="s">
        <v>6755</v>
      </c>
      <c r="B846" s="15" t="s">
        <v>403</v>
      </c>
      <c r="C846" s="15" t="s">
        <v>98</v>
      </c>
      <c r="D846" s="56" t="s">
        <v>6756</v>
      </c>
      <c r="E846" s="15" t="s">
        <v>807</v>
      </c>
      <c r="F846" s="15" t="s">
        <v>6753</v>
      </c>
      <c r="G846" s="18"/>
      <c r="H846" s="18"/>
      <c r="I846" s="18"/>
      <c r="J846" s="18"/>
    </row>
    <row r="847" ht="15.75" customHeight="1">
      <c r="A847" s="15" t="s">
        <v>6757</v>
      </c>
      <c r="B847" s="15" t="s">
        <v>403</v>
      </c>
      <c r="C847" s="15" t="s">
        <v>98</v>
      </c>
      <c r="D847" s="56" t="s">
        <v>6758</v>
      </c>
      <c r="E847" s="15" t="s">
        <v>807</v>
      </c>
      <c r="F847" s="15" t="s">
        <v>6753</v>
      </c>
      <c r="G847" s="18"/>
      <c r="H847" s="18"/>
      <c r="I847" s="18"/>
      <c r="J847" s="18"/>
    </row>
    <row r="848" ht="15.75" customHeight="1">
      <c r="A848" s="15" t="s">
        <v>6759</v>
      </c>
      <c r="B848" s="15" t="s">
        <v>403</v>
      </c>
      <c r="C848" s="15" t="s">
        <v>98</v>
      </c>
      <c r="D848" s="56" t="s">
        <v>6760</v>
      </c>
      <c r="E848" s="15" t="s">
        <v>807</v>
      </c>
      <c r="F848" s="15" t="s">
        <v>6753</v>
      </c>
      <c r="G848" s="18"/>
      <c r="H848" s="18"/>
      <c r="I848" s="18"/>
      <c r="J848" s="18"/>
    </row>
    <row r="849" ht="15.75" customHeight="1">
      <c r="A849" s="15" t="s">
        <v>6761</v>
      </c>
      <c r="B849" s="15" t="s">
        <v>403</v>
      </c>
      <c r="C849" s="15" t="s">
        <v>98</v>
      </c>
      <c r="D849" s="56" t="s">
        <v>6762</v>
      </c>
      <c r="E849" s="15" t="s">
        <v>807</v>
      </c>
      <c r="F849" s="15" t="s">
        <v>6753</v>
      </c>
      <c r="G849" s="18"/>
      <c r="H849" s="18"/>
      <c r="I849" s="18"/>
      <c r="J849" s="18"/>
    </row>
    <row r="850" ht="15.75" customHeight="1">
      <c r="A850" s="15" t="s">
        <v>6763</v>
      </c>
      <c r="B850" s="15" t="s">
        <v>403</v>
      </c>
      <c r="C850" s="15" t="s">
        <v>98</v>
      </c>
      <c r="D850" s="56" t="s">
        <v>6764</v>
      </c>
      <c r="E850" s="15" t="s">
        <v>807</v>
      </c>
      <c r="F850" s="15" t="s">
        <v>6753</v>
      </c>
      <c r="G850" s="18"/>
      <c r="H850" s="18"/>
      <c r="I850" s="18"/>
      <c r="J850" s="18"/>
    </row>
    <row r="851" ht="15.75" customHeight="1">
      <c r="A851" s="15" t="s">
        <v>6765</v>
      </c>
      <c r="B851" s="15" t="s">
        <v>403</v>
      </c>
      <c r="C851" s="15" t="s">
        <v>98</v>
      </c>
      <c r="D851" s="56" t="s">
        <v>6766</v>
      </c>
      <c r="E851" s="15" t="s">
        <v>807</v>
      </c>
      <c r="F851" s="15" t="s">
        <v>6753</v>
      </c>
      <c r="G851" s="18"/>
      <c r="H851" s="18"/>
      <c r="I851" s="18"/>
      <c r="J851" s="18"/>
    </row>
    <row r="852" ht="15.75" customHeight="1">
      <c r="A852" s="15" t="s">
        <v>6767</v>
      </c>
      <c r="B852" s="15" t="s">
        <v>403</v>
      </c>
      <c r="C852" s="15" t="s">
        <v>98</v>
      </c>
      <c r="D852" s="56" t="s">
        <v>6768</v>
      </c>
      <c r="E852" s="15" t="s">
        <v>807</v>
      </c>
      <c r="F852" s="15" t="s">
        <v>6753</v>
      </c>
      <c r="G852" s="18"/>
      <c r="H852" s="18"/>
      <c r="I852" s="18"/>
      <c r="J852" s="18"/>
    </row>
    <row r="853" ht="15.75" customHeight="1">
      <c r="A853" s="15" t="s">
        <v>6769</v>
      </c>
      <c r="B853" s="15" t="s">
        <v>403</v>
      </c>
      <c r="C853" s="15" t="s">
        <v>98</v>
      </c>
      <c r="D853" s="56" t="s">
        <v>6770</v>
      </c>
      <c r="E853" s="15" t="s">
        <v>807</v>
      </c>
      <c r="F853" s="15" t="s">
        <v>6753</v>
      </c>
      <c r="G853" s="18"/>
      <c r="H853" s="18"/>
      <c r="I853" s="18"/>
      <c r="J853" s="18"/>
    </row>
    <row r="854" ht="15.75" customHeight="1">
      <c r="A854" s="15" t="s">
        <v>6771</v>
      </c>
      <c r="B854" s="15" t="s">
        <v>403</v>
      </c>
      <c r="C854" s="15" t="s">
        <v>98</v>
      </c>
      <c r="D854" s="56" t="s">
        <v>6772</v>
      </c>
      <c r="E854" s="15" t="s">
        <v>807</v>
      </c>
      <c r="F854" s="15" t="s">
        <v>6753</v>
      </c>
      <c r="G854" s="18"/>
      <c r="H854" s="18"/>
      <c r="I854" s="18"/>
      <c r="J854" s="18"/>
    </row>
    <row r="855" ht="15.75" customHeight="1">
      <c r="A855" s="15" t="s">
        <v>6777</v>
      </c>
      <c r="B855" s="15" t="s">
        <v>403</v>
      </c>
      <c r="C855" s="15" t="s">
        <v>98</v>
      </c>
      <c r="D855" s="56" t="s">
        <v>6780</v>
      </c>
      <c r="E855" s="15" t="s">
        <v>807</v>
      </c>
      <c r="F855" s="15" t="s">
        <v>6753</v>
      </c>
      <c r="G855" s="18"/>
      <c r="H855" s="18"/>
      <c r="I855" s="18"/>
      <c r="J855" s="18"/>
    </row>
    <row r="856" ht="15.75" customHeight="1">
      <c r="A856" s="15" t="s">
        <v>6781</v>
      </c>
      <c r="B856" s="15" t="s">
        <v>403</v>
      </c>
      <c r="C856" s="15" t="s">
        <v>98</v>
      </c>
      <c r="D856" s="56" t="s">
        <v>6782</v>
      </c>
      <c r="E856" s="15" t="s">
        <v>807</v>
      </c>
      <c r="F856" s="15" t="s">
        <v>6753</v>
      </c>
      <c r="G856" s="18"/>
      <c r="H856" s="18"/>
      <c r="I856" s="18"/>
      <c r="J856" s="18"/>
    </row>
    <row r="857" ht="15.75" customHeight="1">
      <c r="A857" s="15" t="s">
        <v>6783</v>
      </c>
      <c r="B857" s="15" t="s">
        <v>403</v>
      </c>
      <c r="C857" s="15" t="s">
        <v>98</v>
      </c>
      <c r="D857" s="56" t="s">
        <v>6784</v>
      </c>
      <c r="E857" s="15" t="s">
        <v>807</v>
      </c>
      <c r="F857" s="15" t="s">
        <v>6753</v>
      </c>
      <c r="G857" s="18"/>
      <c r="H857" s="18"/>
      <c r="I857" s="18"/>
      <c r="J857" s="18"/>
    </row>
    <row r="858" ht="15.75" customHeight="1">
      <c r="A858" s="15" t="s">
        <v>6785</v>
      </c>
      <c r="B858" s="15" t="s">
        <v>403</v>
      </c>
      <c r="C858" s="15" t="s">
        <v>98</v>
      </c>
      <c r="D858" s="56" t="s">
        <v>6786</v>
      </c>
      <c r="E858" s="15" t="s">
        <v>807</v>
      </c>
      <c r="F858" s="15" t="s">
        <v>6753</v>
      </c>
      <c r="G858" s="18"/>
      <c r="H858" s="18"/>
      <c r="I858" s="18"/>
      <c r="J858" s="18"/>
    </row>
    <row r="859" ht="15.75" customHeight="1">
      <c r="A859" s="15" t="s">
        <v>6787</v>
      </c>
      <c r="B859" s="15" t="s">
        <v>403</v>
      </c>
      <c r="C859" s="15" t="s">
        <v>98</v>
      </c>
      <c r="D859" s="56" t="s">
        <v>6788</v>
      </c>
      <c r="E859" s="15" t="s">
        <v>807</v>
      </c>
      <c r="F859" s="15" t="s">
        <v>6753</v>
      </c>
      <c r="G859" s="18"/>
      <c r="H859" s="18"/>
      <c r="I859" s="18"/>
      <c r="J859" s="18"/>
    </row>
    <row r="860" ht="15.75" customHeight="1">
      <c r="A860" s="15" t="s">
        <v>6789</v>
      </c>
      <c r="B860" s="15" t="s">
        <v>403</v>
      </c>
      <c r="C860" s="15" t="s">
        <v>98</v>
      </c>
      <c r="D860" s="56" t="s">
        <v>6790</v>
      </c>
      <c r="E860" s="15" t="s">
        <v>807</v>
      </c>
      <c r="F860" s="15" t="s">
        <v>6753</v>
      </c>
      <c r="G860" s="18"/>
      <c r="H860" s="18"/>
      <c r="I860" s="18"/>
      <c r="J860" s="18"/>
    </row>
    <row r="861" ht="15.75" customHeight="1">
      <c r="A861" s="15" t="s">
        <v>6791</v>
      </c>
      <c r="B861" s="15" t="s">
        <v>403</v>
      </c>
      <c r="C861" s="15" t="s">
        <v>98</v>
      </c>
      <c r="D861" s="56" t="s">
        <v>6792</v>
      </c>
      <c r="E861" s="15" t="s">
        <v>807</v>
      </c>
      <c r="F861" s="15" t="s">
        <v>6753</v>
      </c>
      <c r="G861" s="18"/>
      <c r="H861" s="18"/>
      <c r="I861" s="18"/>
      <c r="J861" s="18"/>
    </row>
    <row r="862" ht="15.75" customHeight="1">
      <c r="A862" s="15" t="s">
        <v>6793</v>
      </c>
      <c r="B862" s="15" t="s">
        <v>403</v>
      </c>
      <c r="C862" s="15" t="s">
        <v>98</v>
      </c>
      <c r="D862" s="56" t="s">
        <v>6794</v>
      </c>
      <c r="E862" s="15" t="s">
        <v>807</v>
      </c>
      <c r="F862" s="15" t="s">
        <v>6753</v>
      </c>
      <c r="G862" s="18"/>
      <c r="H862" s="18"/>
      <c r="I862" s="18"/>
      <c r="J862" s="18"/>
    </row>
    <row r="863" ht="15.75" customHeight="1">
      <c r="A863" s="15" t="s">
        <v>6795</v>
      </c>
      <c r="B863" s="15" t="s">
        <v>403</v>
      </c>
      <c r="C863" s="15" t="s">
        <v>98</v>
      </c>
      <c r="D863" s="56" t="s">
        <v>6796</v>
      </c>
      <c r="E863" s="15" t="s">
        <v>807</v>
      </c>
      <c r="F863" s="15" t="s">
        <v>6753</v>
      </c>
      <c r="G863" s="18"/>
      <c r="H863" s="18"/>
      <c r="I863" s="18"/>
      <c r="J863" s="18"/>
    </row>
    <row r="864" ht="15.75" customHeight="1">
      <c r="A864" s="15" t="s">
        <v>6797</v>
      </c>
      <c r="B864" s="15" t="s">
        <v>403</v>
      </c>
      <c r="C864" s="15" t="s">
        <v>98</v>
      </c>
      <c r="D864" s="56" t="s">
        <v>6798</v>
      </c>
      <c r="E864" s="15" t="s">
        <v>807</v>
      </c>
      <c r="F864" s="15" t="s">
        <v>6753</v>
      </c>
      <c r="G864" s="18"/>
      <c r="H864" s="18"/>
      <c r="I864" s="18"/>
      <c r="J864" s="18"/>
    </row>
    <row r="865" ht="15.75" customHeight="1">
      <c r="A865" s="15" t="s">
        <v>6801</v>
      </c>
      <c r="B865" s="15" t="s">
        <v>403</v>
      </c>
      <c r="C865" s="15" t="s">
        <v>98</v>
      </c>
      <c r="D865" s="56" t="s">
        <v>6805</v>
      </c>
      <c r="E865" s="15" t="s">
        <v>807</v>
      </c>
      <c r="F865" s="15" t="s">
        <v>6753</v>
      </c>
      <c r="G865" s="18"/>
      <c r="H865" s="18"/>
      <c r="I865" s="18"/>
      <c r="J865" s="18"/>
    </row>
    <row r="866" ht="15.75" customHeight="1">
      <c r="A866" s="15" t="s">
        <v>6807</v>
      </c>
      <c r="B866" s="15" t="s">
        <v>403</v>
      </c>
      <c r="C866" s="15" t="s">
        <v>98</v>
      </c>
      <c r="D866" s="56" t="s">
        <v>6808</v>
      </c>
      <c r="E866" s="15" t="s">
        <v>807</v>
      </c>
      <c r="F866" s="15" t="s">
        <v>6753</v>
      </c>
      <c r="G866" s="18"/>
      <c r="H866" s="18"/>
      <c r="I866" s="18"/>
      <c r="J866" s="18"/>
    </row>
    <row r="867" ht="15.75" customHeight="1">
      <c r="A867" s="15" t="s">
        <v>6809</v>
      </c>
      <c r="B867" s="15" t="s">
        <v>403</v>
      </c>
      <c r="C867" s="15" t="s">
        <v>98</v>
      </c>
      <c r="D867" s="56" t="s">
        <v>6810</v>
      </c>
      <c r="E867" s="15" t="s">
        <v>807</v>
      </c>
      <c r="F867" s="15" t="s">
        <v>6753</v>
      </c>
      <c r="G867" s="18"/>
      <c r="H867" s="18"/>
      <c r="I867" s="18"/>
      <c r="J867" s="18"/>
    </row>
    <row r="868" ht="15.75" customHeight="1">
      <c r="A868" s="15" t="s">
        <v>6811</v>
      </c>
      <c r="B868" s="15" t="s">
        <v>403</v>
      </c>
      <c r="C868" s="15" t="s">
        <v>98</v>
      </c>
      <c r="D868" s="56" t="s">
        <v>6812</v>
      </c>
      <c r="E868" s="15" t="s">
        <v>807</v>
      </c>
      <c r="F868" s="15" t="s">
        <v>6753</v>
      </c>
      <c r="G868" s="18"/>
      <c r="H868" s="18"/>
      <c r="I868" s="18"/>
      <c r="J868" s="18"/>
    </row>
    <row r="869" ht="15.75" customHeight="1">
      <c r="A869" s="15" t="s">
        <v>6813</v>
      </c>
      <c r="B869" s="15" t="s">
        <v>403</v>
      </c>
      <c r="C869" s="15" t="s">
        <v>98</v>
      </c>
      <c r="D869" s="56" t="s">
        <v>6814</v>
      </c>
      <c r="E869" s="15" t="s">
        <v>807</v>
      </c>
      <c r="F869" s="15" t="s">
        <v>6753</v>
      </c>
      <c r="G869" s="18"/>
      <c r="H869" s="18"/>
      <c r="I869" s="18"/>
      <c r="J869" s="18"/>
    </row>
    <row r="870" ht="15.75" customHeight="1">
      <c r="A870" s="15" t="s">
        <v>6815</v>
      </c>
      <c r="B870" s="15" t="s">
        <v>403</v>
      </c>
      <c r="C870" s="15" t="s">
        <v>98</v>
      </c>
      <c r="D870" s="56" t="s">
        <v>6816</v>
      </c>
      <c r="E870" s="15" t="s">
        <v>807</v>
      </c>
      <c r="F870" s="15" t="s">
        <v>6753</v>
      </c>
      <c r="G870" s="18"/>
      <c r="H870" s="18"/>
      <c r="I870" s="18"/>
      <c r="J870" s="18"/>
    </row>
    <row r="871" ht="15.75" customHeight="1">
      <c r="A871" s="15" t="s">
        <v>6817</v>
      </c>
      <c r="B871" s="15" t="s">
        <v>403</v>
      </c>
      <c r="C871" s="15" t="s">
        <v>98</v>
      </c>
      <c r="D871" s="56" t="s">
        <v>6819</v>
      </c>
      <c r="E871" s="15" t="s">
        <v>807</v>
      </c>
      <c r="F871" s="15" t="s">
        <v>6753</v>
      </c>
      <c r="G871" s="18"/>
      <c r="H871" s="18"/>
      <c r="I871" s="18"/>
      <c r="J871" s="18"/>
    </row>
    <row r="872" ht="15.75" customHeight="1">
      <c r="A872" s="15" t="s">
        <v>6823</v>
      </c>
      <c r="B872" s="15" t="s">
        <v>403</v>
      </c>
      <c r="C872" s="15" t="s">
        <v>98</v>
      </c>
      <c r="D872" s="56" t="s">
        <v>6824</v>
      </c>
      <c r="E872" s="15" t="s">
        <v>807</v>
      </c>
      <c r="F872" s="15" t="s">
        <v>6753</v>
      </c>
      <c r="G872" s="18"/>
      <c r="H872" s="18"/>
      <c r="I872" s="18"/>
      <c r="J872" s="18"/>
    </row>
    <row r="873" ht="15.75" customHeight="1">
      <c r="A873" s="15" t="s">
        <v>6825</v>
      </c>
      <c r="B873" s="15" t="s">
        <v>403</v>
      </c>
      <c r="C873" s="15" t="s">
        <v>98</v>
      </c>
      <c r="D873" s="56" t="s">
        <v>6826</v>
      </c>
      <c r="E873" s="15" t="s">
        <v>807</v>
      </c>
      <c r="F873" s="15" t="s">
        <v>6753</v>
      </c>
      <c r="G873" s="18"/>
      <c r="H873" s="18"/>
      <c r="I873" s="18"/>
      <c r="J873" s="18"/>
    </row>
    <row r="874" ht="15.75" customHeight="1">
      <c r="A874" s="15" t="s">
        <v>6827</v>
      </c>
      <c r="B874" s="15" t="s">
        <v>403</v>
      </c>
      <c r="C874" s="15" t="s">
        <v>98</v>
      </c>
      <c r="D874" s="56" t="s">
        <v>6828</v>
      </c>
      <c r="E874" s="15" t="s">
        <v>807</v>
      </c>
      <c r="F874" s="15" t="s">
        <v>6753</v>
      </c>
      <c r="G874" s="18"/>
      <c r="H874" s="18"/>
      <c r="I874" s="18"/>
      <c r="J874" s="18"/>
    </row>
    <row r="875" ht="15.75" customHeight="1">
      <c r="A875" s="15" t="s">
        <v>6829</v>
      </c>
      <c r="B875" s="15" t="s">
        <v>403</v>
      </c>
      <c r="C875" s="15" t="s">
        <v>98</v>
      </c>
      <c r="D875" s="56" t="s">
        <v>6830</v>
      </c>
      <c r="E875" s="15" t="s">
        <v>807</v>
      </c>
      <c r="F875" s="15" t="s">
        <v>6753</v>
      </c>
      <c r="G875" s="18"/>
      <c r="H875" s="18"/>
      <c r="I875" s="18"/>
      <c r="J875" s="18"/>
    </row>
    <row r="876" ht="15.75" customHeight="1">
      <c r="A876" s="15" t="s">
        <v>6831</v>
      </c>
      <c r="B876" s="15" t="s">
        <v>403</v>
      </c>
      <c r="C876" s="15" t="s">
        <v>98</v>
      </c>
      <c r="D876" s="56" t="s">
        <v>6832</v>
      </c>
      <c r="E876" s="15" t="s">
        <v>807</v>
      </c>
      <c r="F876" s="15" t="s">
        <v>6753</v>
      </c>
      <c r="G876" s="18"/>
      <c r="H876" s="18"/>
      <c r="I876" s="18"/>
      <c r="J876" s="18"/>
    </row>
    <row r="877" ht="15.75" customHeight="1">
      <c r="A877" s="15" t="s">
        <v>6833</v>
      </c>
      <c r="B877" s="15" t="s">
        <v>403</v>
      </c>
      <c r="C877" s="15" t="s">
        <v>98</v>
      </c>
      <c r="D877" s="56" t="s">
        <v>6834</v>
      </c>
      <c r="E877" s="15" t="s">
        <v>807</v>
      </c>
      <c r="F877" s="15" t="s">
        <v>6753</v>
      </c>
      <c r="G877" s="18"/>
      <c r="H877" s="18"/>
      <c r="I877" s="18"/>
      <c r="J877" s="18"/>
    </row>
    <row r="878" ht="15.75" customHeight="1">
      <c r="A878" s="15" t="s">
        <v>6835</v>
      </c>
      <c r="B878" s="15" t="s">
        <v>403</v>
      </c>
      <c r="C878" s="15" t="s">
        <v>98</v>
      </c>
      <c r="D878" s="56" t="s">
        <v>6836</v>
      </c>
      <c r="E878" s="15" t="s">
        <v>807</v>
      </c>
      <c r="F878" s="15" t="s">
        <v>6753</v>
      </c>
      <c r="G878" s="18"/>
      <c r="H878" s="18"/>
      <c r="I878" s="18"/>
      <c r="J878" s="18"/>
    </row>
    <row r="879" ht="15.75" customHeight="1">
      <c r="A879" s="15" t="s">
        <v>6837</v>
      </c>
      <c r="B879" s="15" t="s">
        <v>403</v>
      </c>
      <c r="C879" s="15" t="s">
        <v>98</v>
      </c>
      <c r="D879" s="56" t="s">
        <v>6838</v>
      </c>
      <c r="E879" s="15" t="s">
        <v>807</v>
      </c>
      <c r="F879" s="15" t="s">
        <v>6753</v>
      </c>
      <c r="G879" s="18"/>
      <c r="H879" s="18"/>
      <c r="I879" s="18"/>
      <c r="J879" s="18"/>
    </row>
    <row r="880" ht="15.75" customHeight="1">
      <c r="A880" s="15" t="s">
        <v>6839</v>
      </c>
      <c r="B880" s="15" t="s">
        <v>219</v>
      </c>
      <c r="C880" s="15" t="s">
        <v>98</v>
      </c>
      <c r="D880" s="56" t="s">
        <v>6840</v>
      </c>
      <c r="E880" s="15" t="s">
        <v>807</v>
      </c>
      <c r="F880" s="15" t="s">
        <v>6841</v>
      </c>
      <c r="G880" s="18"/>
      <c r="H880" s="18"/>
      <c r="I880" s="18"/>
      <c r="J880" s="18"/>
    </row>
    <row r="881" ht="15.75" customHeight="1">
      <c r="A881" s="15" t="s">
        <v>6844</v>
      </c>
      <c r="B881" s="15" t="s">
        <v>219</v>
      </c>
      <c r="C881" s="15" t="s">
        <v>98</v>
      </c>
      <c r="D881" s="56" t="s">
        <v>6847</v>
      </c>
      <c r="E881" s="15" t="s">
        <v>807</v>
      </c>
      <c r="F881" s="15" t="s">
        <v>6841</v>
      </c>
      <c r="G881" s="18"/>
      <c r="H881" s="18"/>
      <c r="I881" s="18"/>
      <c r="J881" s="18"/>
    </row>
    <row r="882" ht="15.75" customHeight="1">
      <c r="A882" s="15" t="s">
        <v>6851</v>
      </c>
      <c r="B882" s="15" t="s">
        <v>219</v>
      </c>
      <c r="C882" s="15" t="s">
        <v>98</v>
      </c>
      <c r="D882" s="56" t="s">
        <v>5953</v>
      </c>
      <c r="E882" s="15" t="s">
        <v>807</v>
      </c>
      <c r="F882" s="15" t="s">
        <v>6841</v>
      </c>
      <c r="G882" s="18"/>
      <c r="H882" s="18"/>
      <c r="I882" s="18"/>
      <c r="J882" s="18"/>
    </row>
    <row r="883" ht="15.75" customHeight="1">
      <c r="A883" s="15" t="s">
        <v>6852</v>
      </c>
      <c r="B883" s="15" t="s">
        <v>219</v>
      </c>
      <c r="C883" s="15" t="s">
        <v>98</v>
      </c>
      <c r="D883" s="56" t="s">
        <v>6853</v>
      </c>
      <c r="E883" s="15" t="s">
        <v>807</v>
      </c>
      <c r="F883" s="15" t="s">
        <v>6841</v>
      </c>
      <c r="G883" s="18"/>
      <c r="H883" s="18"/>
      <c r="I883" s="18"/>
      <c r="J883" s="18"/>
    </row>
    <row r="884" ht="15.75" customHeight="1">
      <c r="A884" s="15" t="s">
        <v>6854</v>
      </c>
      <c r="B884" s="15" t="s">
        <v>243</v>
      </c>
      <c r="C884" s="15" t="s">
        <v>98</v>
      </c>
      <c r="D884" s="56" t="s">
        <v>6855</v>
      </c>
      <c r="E884" s="15" t="s">
        <v>807</v>
      </c>
      <c r="F884" s="15" t="s">
        <v>6856</v>
      </c>
      <c r="G884" s="18"/>
      <c r="H884" s="18"/>
      <c r="I884" s="18"/>
      <c r="J884" s="18"/>
    </row>
    <row r="885" ht="15.75" customHeight="1">
      <c r="A885" s="15" t="s">
        <v>6857</v>
      </c>
      <c r="B885" s="15" t="s">
        <v>243</v>
      </c>
      <c r="C885" s="15" t="s">
        <v>98</v>
      </c>
      <c r="D885" s="56" t="s">
        <v>6858</v>
      </c>
      <c r="E885" s="15" t="s">
        <v>807</v>
      </c>
      <c r="F885" s="15" t="s">
        <v>6856</v>
      </c>
      <c r="G885" s="18"/>
      <c r="H885" s="18"/>
      <c r="I885" s="18"/>
      <c r="J885" s="18"/>
    </row>
    <row r="886" ht="15.75" customHeight="1">
      <c r="A886" s="15" t="s">
        <v>6859</v>
      </c>
      <c r="B886" s="15" t="s">
        <v>243</v>
      </c>
      <c r="C886" s="15" t="s">
        <v>98</v>
      </c>
      <c r="D886" s="56" t="s">
        <v>6860</v>
      </c>
      <c r="E886" s="15" t="s">
        <v>807</v>
      </c>
      <c r="F886" s="15" t="s">
        <v>6856</v>
      </c>
      <c r="G886" s="18"/>
      <c r="H886" s="18"/>
      <c r="I886" s="18"/>
      <c r="J886" s="18"/>
    </row>
    <row r="887" ht="15.75" customHeight="1">
      <c r="A887" s="15" t="s">
        <v>6861</v>
      </c>
      <c r="B887" s="15" t="s">
        <v>243</v>
      </c>
      <c r="C887" s="15" t="s">
        <v>98</v>
      </c>
      <c r="D887" s="56" t="s">
        <v>6862</v>
      </c>
      <c r="E887" s="15" t="s">
        <v>807</v>
      </c>
      <c r="F887" s="15" t="s">
        <v>6856</v>
      </c>
      <c r="G887" s="18"/>
      <c r="H887" s="18"/>
      <c r="I887" s="18"/>
      <c r="J887" s="18"/>
    </row>
    <row r="888" ht="15.75" customHeight="1">
      <c r="A888" s="15" t="s">
        <v>6863</v>
      </c>
      <c r="B888" s="15" t="s">
        <v>243</v>
      </c>
      <c r="C888" s="15" t="s">
        <v>98</v>
      </c>
      <c r="D888" s="56" t="s">
        <v>6864</v>
      </c>
      <c r="E888" s="15" t="s">
        <v>807</v>
      </c>
      <c r="F888" s="15" t="s">
        <v>6856</v>
      </c>
      <c r="G888" s="18"/>
      <c r="H888" s="18"/>
      <c r="I888" s="18"/>
      <c r="J888" s="18"/>
    </row>
    <row r="889" ht="15.75" customHeight="1">
      <c r="A889" s="15" t="s">
        <v>6865</v>
      </c>
      <c r="B889" s="15" t="s">
        <v>243</v>
      </c>
      <c r="C889" s="15" t="s">
        <v>98</v>
      </c>
      <c r="D889" s="56" t="s">
        <v>6866</v>
      </c>
      <c r="E889" s="15" t="s">
        <v>807</v>
      </c>
      <c r="F889" s="15" t="s">
        <v>6856</v>
      </c>
      <c r="G889" s="18"/>
      <c r="H889" s="18"/>
      <c r="I889" s="18"/>
      <c r="J889" s="18"/>
    </row>
    <row r="890" ht="15.75" customHeight="1">
      <c r="A890" s="15" t="s">
        <v>6867</v>
      </c>
      <c r="B890" s="15" t="s">
        <v>243</v>
      </c>
      <c r="C890" s="15" t="s">
        <v>98</v>
      </c>
      <c r="D890" s="56" t="s">
        <v>6868</v>
      </c>
      <c r="E890" s="15" t="s">
        <v>807</v>
      </c>
      <c r="F890" s="15" t="s">
        <v>6856</v>
      </c>
      <c r="G890" s="18"/>
      <c r="H890" s="18"/>
      <c r="I890" s="18"/>
      <c r="J890" s="18"/>
    </row>
    <row r="891" ht="15.75" customHeight="1">
      <c r="A891" s="15" t="s">
        <v>6873</v>
      </c>
      <c r="B891" s="15" t="s">
        <v>243</v>
      </c>
      <c r="C891" s="15" t="s">
        <v>98</v>
      </c>
      <c r="D891" s="56" t="s">
        <v>6876</v>
      </c>
      <c r="E891" s="15" t="s">
        <v>807</v>
      </c>
      <c r="F891" s="15" t="s">
        <v>6856</v>
      </c>
      <c r="G891" s="18"/>
      <c r="H891" s="18"/>
      <c r="I891" s="18"/>
      <c r="J891" s="18"/>
    </row>
    <row r="892" ht="15.75" customHeight="1">
      <c r="A892" s="15" t="s">
        <v>6878</v>
      </c>
      <c r="B892" s="15" t="s">
        <v>243</v>
      </c>
      <c r="C892" s="15" t="s">
        <v>98</v>
      </c>
      <c r="D892" s="56" t="s">
        <v>6879</v>
      </c>
      <c r="E892" s="15" t="s">
        <v>807</v>
      </c>
      <c r="F892" s="15" t="s">
        <v>6856</v>
      </c>
      <c r="G892" s="18"/>
      <c r="H892" s="18"/>
      <c r="I892" s="18"/>
      <c r="J892" s="18"/>
    </row>
    <row r="893" ht="15.75" customHeight="1">
      <c r="A893" s="15" t="s">
        <v>6880</v>
      </c>
      <c r="B893" s="15" t="s">
        <v>243</v>
      </c>
      <c r="C893" s="15" t="s">
        <v>98</v>
      </c>
      <c r="D893" s="56" t="s">
        <v>6881</v>
      </c>
      <c r="E893" s="15" t="s">
        <v>807</v>
      </c>
      <c r="F893" s="15" t="s">
        <v>6856</v>
      </c>
      <c r="G893" s="18"/>
      <c r="H893" s="18"/>
      <c r="I893" s="18"/>
      <c r="J893" s="18"/>
    </row>
    <row r="894" ht="15.75" customHeight="1">
      <c r="A894" s="15" t="s">
        <v>6882</v>
      </c>
      <c r="B894" s="15" t="s">
        <v>243</v>
      </c>
      <c r="C894" s="15" t="s">
        <v>98</v>
      </c>
      <c r="D894" s="56" t="s">
        <v>6883</v>
      </c>
      <c r="E894" s="15" t="s">
        <v>807</v>
      </c>
      <c r="F894" s="15" t="s">
        <v>6856</v>
      </c>
      <c r="G894" s="18"/>
      <c r="H894" s="18"/>
      <c r="I894" s="18"/>
      <c r="J894" s="18"/>
    </row>
    <row r="895" ht="15.75" customHeight="1">
      <c r="A895" s="15" t="s">
        <v>6884</v>
      </c>
      <c r="B895" s="15" t="s">
        <v>243</v>
      </c>
      <c r="C895" s="15" t="s">
        <v>98</v>
      </c>
      <c r="D895" s="56" t="s">
        <v>6885</v>
      </c>
      <c r="E895" s="15" t="s">
        <v>807</v>
      </c>
      <c r="F895" s="15" t="s">
        <v>6856</v>
      </c>
      <c r="G895" s="18"/>
      <c r="H895" s="18"/>
      <c r="I895" s="18"/>
      <c r="J895" s="18"/>
    </row>
    <row r="896" ht="15.75" customHeight="1">
      <c r="A896" s="15" t="s">
        <v>6886</v>
      </c>
      <c r="B896" s="15" t="s">
        <v>243</v>
      </c>
      <c r="C896" s="15" t="s">
        <v>98</v>
      </c>
      <c r="D896" s="56" t="s">
        <v>6887</v>
      </c>
      <c r="E896" s="15" t="s">
        <v>807</v>
      </c>
      <c r="F896" s="15" t="s">
        <v>6856</v>
      </c>
      <c r="G896" s="18"/>
      <c r="H896" s="18"/>
      <c r="I896" s="18"/>
      <c r="J896" s="18"/>
    </row>
    <row r="897" ht="15.75" customHeight="1">
      <c r="A897" s="15" t="s">
        <v>6888</v>
      </c>
      <c r="B897" s="15" t="s">
        <v>243</v>
      </c>
      <c r="C897" s="15" t="s">
        <v>98</v>
      </c>
      <c r="D897" s="56" t="s">
        <v>6889</v>
      </c>
      <c r="E897" s="15" t="s">
        <v>807</v>
      </c>
      <c r="F897" s="15" t="s">
        <v>6856</v>
      </c>
      <c r="G897" s="18"/>
      <c r="H897" s="18"/>
      <c r="I897" s="18"/>
      <c r="J897" s="18"/>
    </row>
    <row r="898" ht="15.75" customHeight="1">
      <c r="A898" s="15" t="s">
        <v>6890</v>
      </c>
      <c r="B898" s="15" t="s">
        <v>243</v>
      </c>
      <c r="C898" s="15" t="s">
        <v>98</v>
      </c>
      <c r="D898" s="56" t="s">
        <v>6891</v>
      </c>
      <c r="E898" s="15" t="s">
        <v>807</v>
      </c>
      <c r="F898" s="15" t="s">
        <v>6856</v>
      </c>
      <c r="G898" s="18"/>
      <c r="H898" s="18"/>
      <c r="I898" s="18"/>
      <c r="J898" s="18"/>
    </row>
    <row r="899" ht="15.75" customHeight="1">
      <c r="A899" s="15" t="s">
        <v>6892</v>
      </c>
      <c r="B899" s="15" t="s">
        <v>243</v>
      </c>
      <c r="C899" s="15" t="s">
        <v>98</v>
      </c>
      <c r="D899" s="56" t="s">
        <v>6893</v>
      </c>
      <c r="E899" s="15" t="s">
        <v>807</v>
      </c>
      <c r="F899" s="15" t="s">
        <v>6856</v>
      </c>
      <c r="G899" s="18"/>
      <c r="H899" s="18"/>
      <c r="I899" s="18"/>
      <c r="J899" s="18"/>
    </row>
    <row r="900" ht="15.75" customHeight="1">
      <c r="A900" s="15" t="s">
        <v>6894</v>
      </c>
      <c r="B900" s="15" t="s">
        <v>243</v>
      </c>
      <c r="C900" s="15" t="s">
        <v>98</v>
      </c>
      <c r="D900" s="56" t="s">
        <v>6896</v>
      </c>
      <c r="E900" s="15" t="s">
        <v>807</v>
      </c>
      <c r="F900" s="15" t="s">
        <v>6856</v>
      </c>
      <c r="G900" s="18"/>
      <c r="H900" s="18"/>
      <c r="I900" s="18"/>
      <c r="J900" s="18"/>
    </row>
    <row r="901" ht="15.75" customHeight="1">
      <c r="A901" s="15" t="s">
        <v>6901</v>
      </c>
      <c r="B901" s="15" t="s">
        <v>243</v>
      </c>
      <c r="C901" s="15" t="s">
        <v>98</v>
      </c>
      <c r="D901" s="56" t="s">
        <v>6902</v>
      </c>
      <c r="E901" s="15" t="s">
        <v>807</v>
      </c>
      <c r="F901" s="15" t="s">
        <v>6856</v>
      </c>
      <c r="G901" s="18"/>
      <c r="H901" s="18"/>
      <c r="I901" s="18"/>
      <c r="J901" s="18"/>
    </row>
    <row r="902" ht="15.75" customHeight="1">
      <c r="A902" s="15" t="s">
        <v>6903</v>
      </c>
      <c r="B902" s="15" t="s">
        <v>243</v>
      </c>
      <c r="C902" s="15" t="s">
        <v>98</v>
      </c>
      <c r="D902" s="56" t="s">
        <v>6904</v>
      </c>
      <c r="E902" s="15" t="s">
        <v>807</v>
      </c>
      <c r="F902" s="15" t="s">
        <v>6856</v>
      </c>
      <c r="G902" s="18"/>
      <c r="H902" s="18"/>
      <c r="I902" s="18"/>
      <c r="J902" s="18"/>
    </row>
    <row r="903" ht="15.75" customHeight="1">
      <c r="A903" s="15" t="s">
        <v>6905</v>
      </c>
      <c r="B903" s="15" t="s">
        <v>243</v>
      </c>
      <c r="C903" s="15" t="s">
        <v>98</v>
      </c>
      <c r="D903" s="56" t="s">
        <v>6906</v>
      </c>
      <c r="E903" s="15" t="s">
        <v>807</v>
      </c>
      <c r="F903" s="15" t="s">
        <v>6856</v>
      </c>
      <c r="G903" s="18"/>
      <c r="H903" s="18"/>
      <c r="I903" s="18"/>
      <c r="J903" s="18"/>
    </row>
    <row r="904" ht="15.75" customHeight="1">
      <c r="A904" s="15" t="s">
        <v>6907</v>
      </c>
      <c r="B904" s="15" t="s">
        <v>243</v>
      </c>
      <c r="C904" s="15" t="s">
        <v>98</v>
      </c>
      <c r="D904" s="56" t="s">
        <v>6908</v>
      </c>
      <c r="E904" s="15" t="s">
        <v>807</v>
      </c>
      <c r="F904" s="15" t="s">
        <v>6856</v>
      </c>
      <c r="G904" s="18"/>
      <c r="H904" s="18"/>
      <c r="I904" s="18"/>
      <c r="J904" s="18"/>
    </row>
    <row r="905" ht="15.75" customHeight="1">
      <c r="A905" s="15" t="s">
        <v>6909</v>
      </c>
      <c r="B905" s="15" t="s">
        <v>243</v>
      </c>
      <c r="C905" s="15" t="s">
        <v>98</v>
      </c>
      <c r="D905" s="56" t="s">
        <v>6910</v>
      </c>
      <c r="E905" s="15" t="s">
        <v>807</v>
      </c>
      <c r="F905" s="15" t="s">
        <v>6856</v>
      </c>
      <c r="G905" s="18"/>
      <c r="H905" s="18"/>
      <c r="I905" s="18"/>
      <c r="J905" s="18"/>
    </row>
    <row r="906" ht="15.75" customHeight="1">
      <c r="A906" s="15" t="s">
        <v>6911</v>
      </c>
      <c r="B906" s="15" t="s">
        <v>243</v>
      </c>
      <c r="C906" s="15" t="s">
        <v>98</v>
      </c>
      <c r="D906" s="56" t="s">
        <v>6912</v>
      </c>
      <c r="E906" s="15" t="s">
        <v>807</v>
      </c>
      <c r="F906" s="15" t="s">
        <v>6856</v>
      </c>
      <c r="G906" s="18"/>
      <c r="H906" s="18"/>
      <c r="I906" s="18"/>
      <c r="J906" s="18"/>
    </row>
    <row r="907" ht="15.75" customHeight="1">
      <c r="A907" s="15" t="s">
        <v>6913</v>
      </c>
      <c r="B907" s="15" t="s">
        <v>243</v>
      </c>
      <c r="C907" s="15" t="s">
        <v>98</v>
      </c>
      <c r="D907" s="56" t="s">
        <v>6914</v>
      </c>
      <c r="E907" s="15" t="s">
        <v>807</v>
      </c>
      <c r="F907" s="15" t="s">
        <v>6856</v>
      </c>
      <c r="G907" s="18"/>
      <c r="H907" s="18"/>
      <c r="I907" s="18"/>
      <c r="J907" s="18"/>
    </row>
    <row r="908" ht="15.75" customHeight="1">
      <c r="A908" s="15" t="s">
        <v>6915</v>
      </c>
      <c r="B908" s="15" t="s">
        <v>243</v>
      </c>
      <c r="C908" s="15" t="s">
        <v>98</v>
      </c>
      <c r="D908" s="56" t="s">
        <v>6916</v>
      </c>
      <c r="E908" s="15" t="s">
        <v>807</v>
      </c>
      <c r="F908" s="15" t="s">
        <v>6856</v>
      </c>
      <c r="G908" s="18"/>
      <c r="H908" s="18"/>
      <c r="I908" s="18"/>
      <c r="J908" s="18"/>
    </row>
    <row r="909" ht="15.75" customHeight="1">
      <c r="A909" s="15" t="s">
        <v>6917</v>
      </c>
      <c r="B909" s="15" t="s">
        <v>243</v>
      </c>
      <c r="C909" s="15" t="s">
        <v>98</v>
      </c>
      <c r="D909" s="56" t="s">
        <v>6918</v>
      </c>
      <c r="E909" s="15" t="s">
        <v>807</v>
      </c>
      <c r="F909" s="15" t="s">
        <v>6856</v>
      </c>
      <c r="G909" s="18"/>
      <c r="H909" s="18"/>
      <c r="I909" s="18"/>
      <c r="J909" s="18"/>
    </row>
    <row r="910" ht="15.75" customHeight="1">
      <c r="A910" s="15" t="s">
        <v>6921</v>
      </c>
      <c r="B910" s="15" t="s">
        <v>243</v>
      </c>
      <c r="C910" s="15" t="s">
        <v>98</v>
      </c>
      <c r="D910" s="56" t="s">
        <v>6923</v>
      </c>
      <c r="E910" s="15" t="s">
        <v>807</v>
      </c>
      <c r="F910" s="15" t="s">
        <v>6856</v>
      </c>
      <c r="G910" s="18"/>
      <c r="H910" s="18"/>
      <c r="I910" s="18"/>
      <c r="J910" s="18"/>
    </row>
    <row r="911" ht="15.75" customHeight="1">
      <c r="A911" s="15" t="s">
        <v>6926</v>
      </c>
      <c r="B911" s="15" t="s">
        <v>243</v>
      </c>
      <c r="C911" s="15" t="s">
        <v>98</v>
      </c>
      <c r="D911" s="56" t="s">
        <v>6928</v>
      </c>
      <c r="E911" s="15" t="s">
        <v>807</v>
      </c>
      <c r="F911" s="15" t="s">
        <v>6856</v>
      </c>
      <c r="G911" s="18"/>
      <c r="H911" s="18"/>
      <c r="I911" s="18"/>
      <c r="J911" s="18"/>
    </row>
    <row r="912" ht="15.75" customHeight="1">
      <c r="A912" s="15" t="s">
        <v>6929</v>
      </c>
      <c r="B912" s="15" t="s">
        <v>243</v>
      </c>
      <c r="C912" s="15" t="s">
        <v>98</v>
      </c>
      <c r="D912" s="56" t="s">
        <v>6930</v>
      </c>
      <c r="E912" s="15" t="s">
        <v>807</v>
      </c>
      <c r="F912" s="15" t="s">
        <v>6856</v>
      </c>
      <c r="G912" s="18"/>
      <c r="H912" s="18"/>
      <c r="I912" s="18"/>
      <c r="J912" s="18"/>
    </row>
    <row r="913" ht="15.75" customHeight="1">
      <c r="A913" s="15" t="s">
        <v>6931</v>
      </c>
      <c r="B913" s="15" t="s">
        <v>243</v>
      </c>
      <c r="C913" s="15" t="s">
        <v>98</v>
      </c>
      <c r="D913" s="56" t="s">
        <v>6932</v>
      </c>
      <c r="E913" s="15" t="s">
        <v>807</v>
      </c>
      <c r="F913" s="15" t="s">
        <v>6856</v>
      </c>
      <c r="G913" s="18"/>
      <c r="H913" s="18"/>
      <c r="I913" s="18"/>
      <c r="J913" s="18"/>
    </row>
    <row r="914" ht="15.75" customHeight="1">
      <c r="A914" s="15" t="s">
        <v>6933</v>
      </c>
      <c r="B914" s="15" t="s">
        <v>243</v>
      </c>
      <c r="C914" s="15" t="s">
        <v>98</v>
      </c>
      <c r="D914" s="56" t="s">
        <v>6934</v>
      </c>
      <c r="E914" s="15" t="s">
        <v>807</v>
      </c>
      <c r="F914" s="15" t="s">
        <v>6856</v>
      </c>
      <c r="G914" s="18"/>
      <c r="H914" s="18"/>
      <c r="I914" s="18"/>
      <c r="J914" s="18"/>
    </row>
    <row r="915" ht="15.75" customHeight="1">
      <c r="A915" s="15" t="s">
        <v>6935</v>
      </c>
      <c r="B915" s="15" t="s">
        <v>243</v>
      </c>
      <c r="C915" s="15" t="s">
        <v>98</v>
      </c>
      <c r="D915" s="56" t="s">
        <v>6936</v>
      </c>
      <c r="E915" s="15" t="s">
        <v>807</v>
      </c>
      <c r="F915" s="15" t="s">
        <v>6856</v>
      </c>
      <c r="G915" s="18"/>
      <c r="H915" s="18"/>
      <c r="I915" s="18"/>
      <c r="J915" s="18"/>
    </row>
    <row r="916" ht="15.75" customHeight="1">
      <c r="A916" s="15" t="s">
        <v>6937</v>
      </c>
      <c r="B916" s="15" t="s">
        <v>243</v>
      </c>
      <c r="C916" s="15" t="s">
        <v>98</v>
      </c>
      <c r="D916" s="56" t="s">
        <v>6938</v>
      </c>
      <c r="E916" s="15" t="s">
        <v>807</v>
      </c>
      <c r="F916" s="15" t="s">
        <v>6856</v>
      </c>
      <c r="G916" s="18"/>
      <c r="H916" s="18"/>
      <c r="I916" s="18"/>
      <c r="J916" s="18"/>
    </row>
    <row r="917" ht="15.75" customHeight="1">
      <c r="A917" s="15" t="s">
        <v>6939</v>
      </c>
      <c r="B917" s="15" t="s">
        <v>243</v>
      </c>
      <c r="C917" s="15" t="s">
        <v>98</v>
      </c>
      <c r="D917" s="56" t="s">
        <v>6940</v>
      </c>
      <c r="E917" s="15" t="s">
        <v>807</v>
      </c>
      <c r="F917" s="15" t="s">
        <v>6856</v>
      </c>
      <c r="G917" s="18"/>
      <c r="H917" s="18"/>
      <c r="I917" s="18"/>
      <c r="J917" s="18"/>
    </row>
    <row r="918" ht="15.75" customHeight="1">
      <c r="A918" s="15" t="s">
        <v>6941</v>
      </c>
      <c r="B918" s="15" t="s">
        <v>243</v>
      </c>
      <c r="C918" s="15" t="s">
        <v>98</v>
      </c>
      <c r="D918" s="56" t="s">
        <v>6942</v>
      </c>
      <c r="E918" s="15" t="s">
        <v>807</v>
      </c>
      <c r="F918" s="15" t="s">
        <v>6856</v>
      </c>
      <c r="G918" s="18"/>
      <c r="H918" s="18"/>
      <c r="I918" s="18"/>
      <c r="J918" s="18"/>
    </row>
    <row r="919" ht="15.75" customHeight="1">
      <c r="A919" s="15" t="s">
        <v>6943</v>
      </c>
      <c r="B919" s="15" t="s">
        <v>243</v>
      </c>
      <c r="C919" s="15" t="s">
        <v>98</v>
      </c>
      <c r="D919" s="56" t="s">
        <v>6944</v>
      </c>
      <c r="E919" s="15" t="s">
        <v>807</v>
      </c>
      <c r="F919" s="15" t="s">
        <v>6856</v>
      </c>
      <c r="G919" s="18"/>
      <c r="H919" s="18"/>
      <c r="I919" s="18"/>
      <c r="J919" s="18"/>
    </row>
    <row r="920" ht="15.75" customHeight="1">
      <c r="A920" s="15" t="s">
        <v>6946</v>
      </c>
      <c r="B920" s="15" t="s">
        <v>243</v>
      </c>
      <c r="C920" s="15" t="s">
        <v>98</v>
      </c>
      <c r="D920" s="56" t="s">
        <v>6948</v>
      </c>
      <c r="E920" s="15" t="s">
        <v>807</v>
      </c>
      <c r="F920" s="15" t="s">
        <v>6856</v>
      </c>
      <c r="G920" s="18"/>
      <c r="H920" s="18"/>
      <c r="I920" s="18"/>
      <c r="J920" s="18"/>
    </row>
    <row r="921" ht="15.75" customHeight="1">
      <c r="A921" s="15" t="s">
        <v>6952</v>
      </c>
      <c r="B921" s="15" t="s">
        <v>243</v>
      </c>
      <c r="C921" s="15" t="s">
        <v>98</v>
      </c>
      <c r="D921" s="56" t="s">
        <v>6953</v>
      </c>
      <c r="E921" s="15" t="s">
        <v>807</v>
      </c>
      <c r="F921" s="15" t="s">
        <v>6856</v>
      </c>
      <c r="G921" s="18"/>
      <c r="H921" s="18"/>
      <c r="I921" s="18"/>
      <c r="J921" s="18"/>
    </row>
    <row r="922" ht="15.75" customHeight="1">
      <c r="A922" s="15" t="s">
        <v>6954</v>
      </c>
      <c r="B922" s="15" t="s">
        <v>243</v>
      </c>
      <c r="C922" s="15" t="s">
        <v>98</v>
      </c>
      <c r="D922" s="56" t="s">
        <v>6955</v>
      </c>
      <c r="E922" s="15" t="s">
        <v>807</v>
      </c>
      <c r="F922" s="15" t="s">
        <v>6856</v>
      </c>
      <c r="G922" s="18"/>
      <c r="H922" s="18"/>
      <c r="I922" s="18"/>
      <c r="J922" s="18"/>
    </row>
    <row r="923" ht="15.75" customHeight="1">
      <c r="A923" s="15" t="s">
        <v>6956</v>
      </c>
      <c r="B923" s="15" t="s">
        <v>243</v>
      </c>
      <c r="C923" s="15" t="s">
        <v>98</v>
      </c>
      <c r="D923" s="56" t="s">
        <v>6957</v>
      </c>
      <c r="E923" s="15" t="s">
        <v>807</v>
      </c>
      <c r="F923" s="15" t="s">
        <v>6856</v>
      </c>
      <c r="G923" s="18"/>
      <c r="H923" s="18"/>
      <c r="I923" s="18"/>
      <c r="J923" s="18"/>
    </row>
    <row r="924" ht="15.75" customHeight="1">
      <c r="A924" s="15" t="s">
        <v>6958</v>
      </c>
      <c r="B924" s="15" t="s">
        <v>243</v>
      </c>
      <c r="C924" s="15" t="s">
        <v>98</v>
      </c>
      <c r="D924" s="56" t="s">
        <v>6959</v>
      </c>
      <c r="E924" s="15" t="s">
        <v>807</v>
      </c>
      <c r="F924" s="15" t="s">
        <v>6856</v>
      </c>
      <c r="G924" s="18"/>
      <c r="H924" s="18"/>
      <c r="I924" s="18"/>
      <c r="J924" s="18"/>
    </row>
    <row r="925" ht="15.75" customHeight="1">
      <c r="A925" s="15" t="s">
        <v>6960</v>
      </c>
      <c r="B925" s="15" t="s">
        <v>243</v>
      </c>
      <c r="C925" s="15" t="s">
        <v>98</v>
      </c>
      <c r="D925" s="56" t="s">
        <v>6961</v>
      </c>
      <c r="E925" s="15" t="s">
        <v>807</v>
      </c>
      <c r="F925" s="15" t="s">
        <v>6856</v>
      </c>
      <c r="G925" s="18"/>
      <c r="H925" s="18"/>
      <c r="I925" s="18"/>
      <c r="J925" s="18"/>
    </row>
    <row r="926" ht="15.75" customHeight="1">
      <c r="A926" s="15" t="s">
        <v>6962</v>
      </c>
      <c r="B926" s="15" t="s">
        <v>243</v>
      </c>
      <c r="C926" s="15" t="s">
        <v>98</v>
      </c>
      <c r="D926" s="56" t="s">
        <v>6963</v>
      </c>
      <c r="E926" s="15" t="s">
        <v>807</v>
      </c>
      <c r="F926" s="15" t="s">
        <v>6856</v>
      </c>
      <c r="G926" s="18"/>
      <c r="H926" s="18"/>
      <c r="I926" s="18"/>
      <c r="J926" s="18"/>
    </row>
    <row r="927" ht="15.75" customHeight="1">
      <c r="A927" s="15" t="s">
        <v>6964</v>
      </c>
      <c r="B927" s="15" t="s">
        <v>243</v>
      </c>
      <c r="C927" s="15" t="s">
        <v>98</v>
      </c>
      <c r="D927" s="56" t="s">
        <v>6965</v>
      </c>
      <c r="E927" s="15" t="s">
        <v>807</v>
      </c>
      <c r="F927" s="15" t="s">
        <v>6856</v>
      </c>
      <c r="G927" s="18"/>
      <c r="H927" s="18"/>
      <c r="I927" s="18"/>
      <c r="J927" s="18"/>
    </row>
    <row r="928" ht="15.75" customHeight="1">
      <c r="A928" s="15" t="s">
        <v>6966</v>
      </c>
      <c r="B928" s="15" t="s">
        <v>243</v>
      </c>
      <c r="C928" s="15" t="s">
        <v>98</v>
      </c>
      <c r="D928" s="56" t="s">
        <v>6967</v>
      </c>
      <c r="E928" s="15" t="s">
        <v>807</v>
      </c>
      <c r="F928" s="15" t="s">
        <v>6856</v>
      </c>
      <c r="G928" s="18"/>
      <c r="H928" s="18"/>
      <c r="I928" s="18"/>
      <c r="J928" s="18"/>
    </row>
    <row r="929" ht="15.75" customHeight="1">
      <c r="A929" s="15" t="s">
        <v>6968</v>
      </c>
      <c r="B929" s="15" t="s">
        <v>243</v>
      </c>
      <c r="C929" s="15" t="s">
        <v>98</v>
      </c>
      <c r="D929" s="56" t="s">
        <v>6969</v>
      </c>
      <c r="E929" s="15" t="s">
        <v>807</v>
      </c>
      <c r="F929" s="15" t="s">
        <v>6856</v>
      </c>
      <c r="G929" s="18"/>
      <c r="H929" s="18"/>
      <c r="I929" s="18"/>
      <c r="J929" s="18"/>
    </row>
    <row r="930" ht="15.75" customHeight="1">
      <c r="A930" s="15" t="s">
        <v>6972</v>
      </c>
      <c r="B930" s="15" t="s">
        <v>243</v>
      </c>
      <c r="C930" s="15" t="s">
        <v>98</v>
      </c>
      <c r="D930" s="56" t="s">
        <v>6974</v>
      </c>
      <c r="E930" s="15" t="s">
        <v>807</v>
      </c>
      <c r="F930" s="15" t="s">
        <v>6856</v>
      </c>
      <c r="G930" s="18"/>
      <c r="H930" s="18"/>
      <c r="I930" s="18"/>
      <c r="J930" s="18"/>
    </row>
    <row r="931" ht="15.75" customHeight="1">
      <c r="A931" s="15" t="s">
        <v>6977</v>
      </c>
      <c r="B931" s="15" t="s">
        <v>243</v>
      </c>
      <c r="C931" s="15" t="s">
        <v>98</v>
      </c>
      <c r="D931" s="56" t="s">
        <v>6978</v>
      </c>
      <c r="E931" s="15" t="s">
        <v>807</v>
      </c>
      <c r="F931" s="15" t="s">
        <v>6856</v>
      </c>
      <c r="G931" s="18"/>
      <c r="H931" s="18"/>
      <c r="I931" s="18"/>
      <c r="J931" s="18"/>
    </row>
    <row r="932" ht="15.75" customHeight="1">
      <c r="A932" s="15" t="s">
        <v>6979</v>
      </c>
      <c r="B932" s="15" t="s">
        <v>243</v>
      </c>
      <c r="C932" s="15" t="s">
        <v>98</v>
      </c>
      <c r="D932" s="56" t="s">
        <v>6980</v>
      </c>
      <c r="E932" s="15" t="s">
        <v>807</v>
      </c>
      <c r="F932" s="15" t="s">
        <v>6856</v>
      </c>
      <c r="G932" s="18"/>
      <c r="H932" s="18"/>
      <c r="I932" s="18"/>
      <c r="J932" s="18"/>
    </row>
    <row r="933" ht="15.75" customHeight="1">
      <c r="A933" s="15" t="s">
        <v>6981</v>
      </c>
      <c r="B933" s="15" t="s">
        <v>243</v>
      </c>
      <c r="C933" s="15" t="s">
        <v>98</v>
      </c>
      <c r="D933" s="56" t="s">
        <v>6982</v>
      </c>
      <c r="E933" s="15" t="s">
        <v>807</v>
      </c>
      <c r="F933" s="15" t="s">
        <v>6856</v>
      </c>
      <c r="G933" s="18"/>
      <c r="H933" s="18"/>
      <c r="I933" s="18"/>
      <c r="J933" s="18"/>
    </row>
    <row r="934" ht="15.75" customHeight="1">
      <c r="A934" s="15" t="s">
        <v>6983</v>
      </c>
      <c r="B934" s="15" t="s">
        <v>243</v>
      </c>
      <c r="C934" s="15" t="s">
        <v>98</v>
      </c>
      <c r="D934" s="56" t="s">
        <v>6984</v>
      </c>
      <c r="E934" s="15" t="s">
        <v>807</v>
      </c>
      <c r="F934" s="15" t="s">
        <v>6856</v>
      </c>
      <c r="G934" s="18"/>
      <c r="H934" s="18"/>
      <c r="I934" s="18"/>
      <c r="J934" s="18"/>
    </row>
    <row r="935" ht="15.75" customHeight="1">
      <c r="A935" s="15" t="s">
        <v>6985</v>
      </c>
      <c r="B935" s="15" t="s">
        <v>243</v>
      </c>
      <c r="C935" s="15" t="s">
        <v>98</v>
      </c>
      <c r="D935" s="56" t="s">
        <v>6986</v>
      </c>
      <c r="E935" s="15" t="s">
        <v>807</v>
      </c>
      <c r="F935" s="15" t="s">
        <v>6856</v>
      </c>
      <c r="G935" s="18"/>
      <c r="H935" s="18"/>
      <c r="I935" s="18"/>
      <c r="J935" s="18"/>
    </row>
    <row r="936" ht="15.75" customHeight="1">
      <c r="A936" s="15" t="s">
        <v>6987</v>
      </c>
      <c r="B936" s="15" t="s">
        <v>243</v>
      </c>
      <c r="C936" s="15" t="s">
        <v>98</v>
      </c>
      <c r="D936" s="56" t="s">
        <v>6988</v>
      </c>
      <c r="E936" s="15" t="s">
        <v>807</v>
      </c>
      <c r="F936" s="15" t="s">
        <v>6856</v>
      </c>
      <c r="G936" s="18"/>
      <c r="H936" s="18"/>
      <c r="I936" s="18"/>
      <c r="J936" s="18"/>
    </row>
    <row r="937" ht="15.75" customHeight="1">
      <c r="A937" s="15" t="s">
        <v>6989</v>
      </c>
      <c r="B937" s="15" t="s">
        <v>243</v>
      </c>
      <c r="C937" s="15" t="s">
        <v>98</v>
      </c>
      <c r="D937" s="56" t="s">
        <v>6990</v>
      </c>
      <c r="E937" s="15" t="s">
        <v>807</v>
      </c>
      <c r="F937" s="15" t="s">
        <v>6856</v>
      </c>
      <c r="G937" s="18"/>
      <c r="H937" s="18"/>
      <c r="I937" s="18"/>
      <c r="J937" s="18"/>
    </row>
    <row r="938" ht="15.75" customHeight="1">
      <c r="A938" s="15" t="s">
        <v>6991</v>
      </c>
      <c r="B938" s="15" t="s">
        <v>243</v>
      </c>
      <c r="C938" s="15" t="s">
        <v>98</v>
      </c>
      <c r="D938" s="56" t="s">
        <v>6992</v>
      </c>
      <c r="E938" s="15" t="s">
        <v>807</v>
      </c>
      <c r="F938" s="15" t="s">
        <v>6856</v>
      </c>
      <c r="G938" s="18"/>
      <c r="H938" s="18"/>
      <c r="I938" s="18"/>
      <c r="J938" s="18"/>
    </row>
    <row r="939" ht="15.75" customHeight="1">
      <c r="A939" s="15" t="s">
        <v>6993</v>
      </c>
      <c r="B939" s="15" t="s">
        <v>243</v>
      </c>
      <c r="C939" s="15" t="s">
        <v>98</v>
      </c>
      <c r="D939" s="56" t="s">
        <v>6994</v>
      </c>
      <c r="E939" s="15" t="s">
        <v>807</v>
      </c>
      <c r="F939" s="15" t="s">
        <v>6856</v>
      </c>
      <c r="G939" s="18"/>
      <c r="H939" s="18"/>
      <c r="I939" s="18"/>
      <c r="J939" s="18"/>
    </row>
    <row r="940" ht="15.75" customHeight="1">
      <c r="A940" s="15" t="s">
        <v>6997</v>
      </c>
      <c r="B940" s="15" t="s">
        <v>243</v>
      </c>
      <c r="C940" s="15" t="s">
        <v>98</v>
      </c>
      <c r="D940" s="56" t="s">
        <v>7000</v>
      </c>
      <c r="E940" s="15" t="s">
        <v>807</v>
      </c>
      <c r="F940" s="15" t="s">
        <v>6856</v>
      </c>
      <c r="G940" s="18"/>
      <c r="H940" s="18"/>
      <c r="I940" s="18"/>
      <c r="J940" s="18"/>
    </row>
    <row r="941" ht="15.75" customHeight="1">
      <c r="A941" s="15" t="s">
        <v>7002</v>
      </c>
      <c r="B941" s="15" t="s">
        <v>243</v>
      </c>
      <c r="C941" s="15" t="s">
        <v>98</v>
      </c>
      <c r="D941" s="56" t="s">
        <v>7003</v>
      </c>
      <c r="E941" s="15" t="s">
        <v>807</v>
      </c>
      <c r="F941" s="15" t="s">
        <v>6856</v>
      </c>
      <c r="G941" s="18"/>
      <c r="H941" s="18"/>
      <c r="I941" s="18"/>
      <c r="J941" s="18"/>
    </row>
    <row r="942" ht="15.75" customHeight="1">
      <c r="A942" s="15" t="s">
        <v>7004</v>
      </c>
      <c r="B942" s="15" t="s">
        <v>243</v>
      </c>
      <c r="C942" s="15" t="s">
        <v>98</v>
      </c>
      <c r="D942" s="56" t="s">
        <v>7005</v>
      </c>
      <c r="E942" s="15" t="s">
        <v>807</v>
      </c>
      <c r="F942" s="15" t="s">
        <v>6856</v>
      </c>
      <c r="G942" s="18"/>
      <c r="H942" s="18"/>
      <c r="I942" s="18"/>
      <c r="J942" s="18"/>
    </row>
    <row r="943" ht="15.75" customHeight="1">
      <c r="A943" s="15" t="s">
        <v>7006</v>
      </c>
      <c r="B943" s="15" t="s">
        <v>243</v>
      </c>
      <c r="C943" s="15" t="s">
        <v>98</v>
      </c>
      <c r="D943" s="56" t="s">
        <v>7007</v>
      </c>
      <c r="E943" s="15" t="s">
        <v>807</v>
      </c>
      <c r="F943" s="15" t="s">
        <v>6856</v>
      </c>
      <c r="G943" s="18"/>
      <c r="H943" s="18"/>
      <c r="I943" s="18"/>
      <c r="J943" s="18"/>
    </row>
    <row r="944" ht="15.75" customHeight="1">
      <c r="A944" s="15" t="s">
        <v>7008</v>
      </c>
      <c r="B944" s="15" t="s">
        <v>445</v>
      </c>
      <c r="C944" s="15" t="s">
        <v>98</v>
      </c>
      <c r="D944" s="56" t="s">
        <v>7009</v>
      </c>
      <c r="E944" s="15" t="s">
        <v>807</v>
      </c>
      <c r="F944" s="15" t="s">
        <v>7010</v>
      </c>
      <c r="G944" s="18"/>
      <c r="H944" s="18"/>
      <c r="I944" s="18"/>
      <c r="J944" s="18"/>
    </row>
    <row r="945" ht="15.75" customHeight="1">
      <c r="A945" s="15" t="s">
        <v>7011</v>
      </c>
      <c r="B945" s="15" t="s">
        <v>445</v>
      </c>
      <c r="C945" s="15" t="s">
        <v>98</v>
      </c>
      <c r="D945" s="56" t="s">
        <v>7012</v>
      </c>
      <c r="E945" s="15" t="s">
        <v>807</v>
      </c>
      <c r="F945" s="15" t="s">
        <v>7010</v>
      </c>
      <c r="G945" s="18"/>
      <c r="H945" s="18"/>
      <c r="I945" s="18"/>
      <c r="J945" s="18"/>
    </row>
    <row r="946" ht="15.75" customHeight="1">
      <c r="A946" s="15" t="s">
        <v>7013</v>
      </c>
      <c r="B946" s="15" t="s">
        <v>445</v>
      </c>
      <c r="C946" s="15" t="s">
        <v>98</v>
      </c>
      <c r="D946" s="56" t="s">
        <v>7014</v>
      </c>
      <c r="E946" s="15" t="s">
        <v>807</v>
      </c>
      <c r="F946" s="15" t="s">
        <v>7010</v>
      </c>
      <c r="G946" s="18"/>
      <c r="H946" s="18"/>
      <c r="I946" s="18"/>
      <c r="J946" s="18"/>
    </row>
    <row r="947" ht="15.75" customHeight="1">
      <c r="A947" s="15" t="s">
        <v>7015</v>
      </c>
      <c r="B947" s="15" t="s">
        <v>445</v>
      </c>
      <c r="C947" s="15" t="s">
        <v>98</v>
      </c>
      <c r="D947" s="56" t="s">
        <v>7016</v>
      </c>
      <c r="E947" s="15" t="s">
        <v>807</v>
      </c>
      <c r="F947" s="15" t="s">
        <v>7010</v>
      </c>
      <c r="G947" s="18"/>
      <c r="H947" s="18"/>
      <c r="I947" s="18"/>
      <c r="J947" s="18"/>
    </row>
    <row r="948" ht="15.75" customHeight="1">
      <c r="A948" s="15" t="s">
        <v>7017</v>
      </c>
      <c r="B948" s="15" t="s">
        <v>445</v>
      </c>
      <c r="C948" s="15" t="s">
        <v>98</v>
      </c>
      <c r="D948" s="56" t="s">
        <v>7018</v>
      </c>
      <c r="E948" s="15" t="s">
        <v>807</v>
      </c>
      <c r="F948" s="15" t="s">
        <v>7010</v>
      </c>
      <c r="G948" s="18"/>
      <c r="H948" s="18"/>
      <c r="I948" s="18"/>
      <c r="J948" s="18"/>
    </row>
    <row r="949" ht="15.75" customHeight="1">
      <c r="A949" s="15" t="s">
        <v>7019</v>
      </c>
      <c r="B949" s="15" t="s">
        <v>445</v>
      </c>
      <c r="C949" s="15" t="s">
        <v>98</v>
      </c>
      <c r="D949" s="56" t="s">
        <v>7020</v>
      </c>
      <c r="E949" s="15" t="s">
        <v>807</v>
      </c>
      <c r="F949" s="15" t="s">
        <v>7010</v>
      </c>
      <c r="G949" s="18"/>
      <c r="H949" s="18"/>
      <c r="I949" s="18"/>
      <c r="J949" s="18"/>
    </row>
    <row r="950" ht="15.75" customHeight="1">
      <c r="A950" s="15" t="s">
        <v>7023</v>
      </c>
      <c r="B950" s="15" t="s">
        <v>445</v>
      </c>
      <c r="C950" s="15" t="s">
        <v>98</v>
      </c>
      <c r="D950" s="56" t="s">
        <v>7025</v>
      </c>
      <c r="E950" s="15" t="s">
        <v>807</v>
      </c>
      <c r="F950" s="15" t="s">
        <v>7010</v>
      </c>
      <c r="G950" s="18"/>
      <c r="H950" s="18"/>
      <c r="I950" s="18"/>
      <c r="J950" s="18"/>
    </row>
    <row r="951" ht="15.75" customHeight="1">
      <c r="A951" s="15" t="s">
        <v>7027</v>
      </c>
      <c r="B951" s="15" t="s">
        <v>445</v>
      </c>
      <c r="C951" s="15" t="s">
        <v>98</v>
      </c>
      <c r="D951" s="56" t="s">
        <v>7028</v>
      </c>
      <c r="E951" s="15" t="s">
        <v>807</v>
      </c>
      <c r="F951" s="15" t="s">
        <v>7010</v>
      </c>
      <c r="G951" s="18"/>
      <c r="H951" s="18"/>
      <c r="I951" s="18"/>
      <c r="J951" s="18"/>
    </row>
    <row r="952" ht="15.75" customHeight="1">
      <c r="A952" s="15" t="s">
        <v>7029</v>
      </c>
      <c r="B952" s="15" t="s">
        <v>445</v>
      </c>
      <c r="C952" s="15" t="s">
        <v>98</v>
      </c>
      <c r="D952" s="56" t="s">
        <v>7030</v>
      </c>
      <c r="E952" s="15" t="s">
        <v>807</v>
      </c>
      <c r="F952" s="15" t="s">
        <v>7010</v>
      </c>
      <c r="G952" s="18"/>
      <c r="H952" s="18"/>
      <c r="I952" s="18"/>
      <c r="J952" s="18"/>
    </row>
    <row r="953" ht="15.75" customHeight="1">
      <c r="A953" s="15" t="s">
        <v>7031</v>
      </c>
      <c r="B953" s="15" t="s">
        <v>445</v>
      </c>
      <c r="C953" s="15" t="s">
        <v>98</v>
      </c>
      <c r="D953" s="56" t="s">
        <v>7032</v>
      </c>
      <c r="E953" s="15" t="s">
        <v>807</v>
      </c>
      <c r="F953" s="15" t="s">
        <v>7010</v>
      </c>
      <c r="G953" s="18"/>
      <c r="H953" s="18"/>
      <c r="I953" s="18"/>
      <c r="J953" s="18"/>
    </row>
    <row r="954" ht="15.75" customHeight="1">
      <c r="A954" s="15" t="s">
        <v>7033</v>
      </c>
      <c r="B954" s="15" t="s">
        <v>445</v>
      </c>
      <c r="C954" s="15" t="s">
        <v>98</v>
      </c>
      <c r="D954" s="56" t="s">
        <v>7034</v>
      </c>
      <c r="E954" s="15" t="s">
        <v>807</v>
      </c>
      <c r="F954" s="15" t="s">
        <v>7010</v>
      </c>
      <c r="G954" s="18"/>
      <c r="H954" s="18"/>
      <c r="I954" s="18"/>
      <c r="J954" s="18"/>
    </row>
    <row r="955" ht="15.75" customHeight="1">
      <c r="A955" s="15" t="s">
        <v>7035</v>
      </c>
      <c r="B955" s="15" t="s">
        <v>445</v>
      </c>
      <c r="C955" s="15" t="s">
        <v>98</v>
      </c>
      <c r="D955" s="56" t="s">
        <v>7036</v>
      </c>
      <c r="E955" s="15" t="s">
        <v>807</v>
      </c>
      <c r="F955" s="15" t="s">
        <v>7010</v>
      </c>
      <c r="G955" s="18"/>
      <c r="H955" s="18"/>
      <c r="I955" s="18"/>
      <c r="J955" s="18"/>
    </row>
    <row r="956" ht="15.75" customHeight="1">
      <c r="A956" s="15" t="s">
        <v>7037</v>
      </c>
      <c r="B956" s="15" t="s">
        <v>445</v>
      </c>
      <c r="C956" s="15" t="s">
        <v>98</v>
      </c>
      <c r="D956" s="56" t="s">
        <v>7038</v>
      </c>
      <c r="E956" s="15" t="s">
        <v>807</v>
      </c>
      <c r="F956" s="15" t="s">
        <v>7010</v>
      </c>
      <c r="G956" s="18"/>
      <c r="H956" s="18"/>
      <c r="I956" s="18"/>
      <c r="J956" s="18"/>
    </row>
    <row r="957" ht="15.75" customHeight="1">
      <c r="A957" s="15" t="s">
        <v>7039</v>
      </c>
      <c r="B957" s="15" t="s">
        <v>445</v>
      </c>
      <c r="C957" s="15" t="s">
        <v>98</v>
      </c>
      <c r="D957" s="56" t="s">
        <v>7040</v>
      </c>
      <c r="E957" s="15" t="s">
        <v>807</v>
      </c>
      <c r="F957" s="15" t="s">
        <v>7010</v>
      </c>
      <c r="G957" s="18"/>
      <c r="H957" s="18"/>
      <c r="I957" s="18"/>
      <c r="J957" s="18"/>
    </row>
    <row r="958" ht="15.75" customHeight="1">
      <c r="A958" s="15" t="s">
        <v>7041</v>
      </c>
      <c r="B958" s="15" t="s">
        <v>445</v>
      </c>
      <c r="C958" s="15" t="s">
        <v>98</v>
      </c>
      <c r="D958" s="56" t="s">
        <v>7042</v>
      </c>
      <c r="E958" s="15" t="s">
        <v>807</v>
      </c>
      <c r="F958" s="15" t="s">
        <v>7010</v>
      </c>
      <c r="G958" s="18"/>
      <c r="H958" s="18"/>
      <c r="I958" s="18"/>
      <c r="J958" s="18"/>
    </row>
    <row r="959" ht="15.75" customHeight="1">
      <c r="A959" s="15" t="s">
        <v>7043</v>
      </c>
      <c r="B959" s="15" t="s">
        <v>445</v>
      </c>
      <c r="C959" s="15" t="s">
        <v>98</v>
      </c>
      <c r="D959" s="56" t="s">
        <v>7045</v>
      </c>
      <c r="E959" s="15" t="s">
        <v>807</v>
      </c>
      <c r="F959" s="15" t="s">
        <v>7010</v>
      </c>
      <c r="G959" s="18"/>
      <c r="H959" s="18"/>
      <c r="I959" s="18"/>
      <c r="J959" s="18"/>
    </row>
    <row r="960" ht="15.75" customHeight="1">
      <c r="A960" s="15" t="s">
        <v>7051</v>
      </c>
      <c r="B960" s="15" t="s">
        <v>445</v>
      </c>
      <c r="C960" s="15" t="s">
        <v>98</v>
      </c>
      <c r="D960" s="56" t="s">
        <v>7052</v>
      </c>
      <c r="E960" s="15" t="s">
        <v>807</v>
      </c>
      <c r="F960" s="15" t="s">
        <v>7010</v>
      </c>
      <c r="G960" s="18"/>
      <c r="H960" s="18"/>
      <c r="I960" s="18"/>
      <c r="J960" s="18"/>
    </row>
    <row r="961" ht="15.75" customHeight="1">
      <c r="A961" s="15" t="s">
        <v>7053</v>
      </c>
      <c r="B961" s="15" t="s">
        <v>445</v>
      </c>
      <c r="C961" s="15" t="s">
        <v>98</v>
      </c>
      <c r="D961" s="56" t="s">
        <v>7054</v>
      </c>
      <c r="E961" s="15" t="s">
        <v>807</v>
      </c>
      <c r="F961" s="15" t="s">
        <v>7010</v>
      </c>
      <c r="G961" s="18"/>
      <c r="H961" s="18"/>
      <c r="I961" s="18"/>
      <c r="J961" s="18"/>
    </row>
    <row r="962" ht="15.75" customHeight="1">
      <c r="A962" s="15" t="s">
        <v>7055</v>
      </c>
      <c r="B962" s="15" t="s">
        <v>445</v>
      </c>
      <c r="C962" s="15" t="s">
        <v>98</v>
      </c>
      <c r="D962" s="56" t="s">
        <v>7056</v>
      </c>
      <c r="E962" s="15" t="s">
        <v>807</v>
      </c>
      <c r="F962" s="15" t="s">
        <v>7010</v>
      </c>
      <c r="G962" s="18"/>
      <c r="H962" s="18"/>
      <c r="I962" s="18"/>
      <c r="J962" s="18"/>
    </row>
    <row r="963" ht="15.75" customHeight="1">
      <c r="A963" s="15" t="s">
        <v>7057</v>
      </c>
      <c r="B963" s="15" t="s">
        <v>445</v>
      </c>
      <c r="C963" s="15" t="s">
        <v>98</v>
      </c>
      <c r="D963" s="56" t="s">
        <v>7058</v>
      </c>
      <c r="E963" s="15" t="s">
        <v>807</v>
      </c>
      <c r="F963" s="15" t="s">
        <v>7010</v>
      </c>
      <c r="G963" s="18"/>
      <c r="H963" s="18"/>
      <c r="I963" s="18"/>
      <c r="J963" s="18"/>
    </row>
    <row r="964" ht="15.75" customHeight="1">
      <c r="A964" s="15" t="s">
        <v>7059</v>
      </c>
      <c r="B964" s="15" t="s">
        <v>445</v>
      </c>
      <c r="C964" s="15" t="s">
        <v>98</v>
      </c>
      <c r="D964" s="56" t="s">
        <v>7060</v>
      </c>
      <c r="E964" s="15" t="s">
        <v>807</v>
      </c>
      <c r="F964" s="15" t="s">
        <v>7010</v>
      </c>
      <c r="G964" s="18"/>
      <c r="H964" s="18"/>
      <c r="I964" s="18"/>
      <c r="J964" s="18"/>
    </row>
    <row r="965" ht="15.75" customHeight="1">
      <c r="A965" s="15" t="s">
        <v>7061</v>
      </c>
      <c r="B965" s="15" t="s">
        <v>445</v>
      </c>
      <c r="C965" s="15" t="s">
        <v>98</v>
      </c>
      <c r="D965" s="56" t="s">
        <v>7062</v>
      </c>
      <c r="E965" s="15" t="s">
        <v>807</v>
      </c>
      <c r="F965" s="15" t="s">
        <v>7010</v>
      </c>
      <c r="G965" s="18"/>
      <c r="H965" s="18"/>
      <c r="I965" s="18"/>
      <c r="J965" s="18"/>
    </row>
    <row r="966" ht="15.75" customHeight="1">
      <c r="A966" s="15" t="s">
        <v>7063</v>
      </c>
      <c r="B966" s="15" t="s">
        <v>445</v>
      </c>
      <c r="C966" s="15" t="s">
        <v>98</v>
      </c>
      <c r="D966" s="56" t="s">
        <v>7064</v>
      </c>
      <c r="E966" s="15" t="s">
        <v>807</v>
      </c>
      <c r="F966" s="15" t="s">
        <v>7010</v>
      </c>
      <c r="G966" s="18"/>
      <c r="H966" s="18"/>
      <c r="I966" s="18"/>
      <c r="J966" s="18"/>
    </row>
    <row r="967" ht="15.75" customHeight="1">
      <c r="A967" s="15" t="s">
        <v>7065</v>
      </c>
      <c r="B967" s="15" t="s">
        <v>445</v>
      </c>
      <c r="C967" s="15" t="s">
        <v>98</v>
      </c>
      <c r="D967" s="56" t="s">
        <v>7066</v>
      </c>
      <c r="E967" s="15" t="s">
        <v>807</v>
      </c>
      <c r="F967" s="15" t="s">
        <v>7010</v>
      </c>
      <c r="G967" s="18"/>
      <c r="H967" s="18"/>
      <c r="I967" s="18"/>
      <c r="J967" s="18"/>
    </row>
    <row r="968" ht="15.75" customHeight="1">
      <c r="A968" s="15" t="s">
        <v>7067</v>
      </c>
      <c r="B968" s="15" t="s">
        <v>445</v>
      </c>
      <c r="C968" s="15" t="s">
        <v>98</v>
      </c>
      <c r="D968" s="56" t="s">
        <v>7068</v>
      </c>
      <c r="E968" s="15" t="s">
        <v>807</v>
      </c>
      <c r="F968" s="15" t="s">
        <v>7010</v>
      </c>
      <c r="G968" s="18"/>
      <c r="H968" s="18"/>
      <c r="I968" s="18"/>
      <c r="J968" s="18"/>
    </row>
    <row r="969" ht="15.75" customHeight="1">
      <c r="A969" s="15" t="s">
        <v>7073</v>
      </c>
      <c r="B969" s="15" t="s">
        <v>445</v>
      </c>
      <c r="C969" s="15" t="s">
        <v>98</v>
      </c>
      <c r="D969" s="56" t="s">
        <v>7075</v>
      </c>
      <c r="E969" s="15" t="s">
        <v>807</v>
      </c>
      <c r="F969" s="15" t="s">
        <v>7010</v>
      </c>
      <c r="G969" s="18"/>
      <c r="H969" s="18"/>
      <c r="I969" s="18"/>
      <c r="J969" s="18"/>
    </row>
    <row r="970" ht="15.75" customHeight="1">
      <c r="A970" s="15" t="s">
        <v>7076</v>
      </c>
      <c r="B970" s="15" t="s">
        <v>445</v>
      </c>
      <c r="C970" s="15" t="s">
        <v>98</v>
      </c>
      <c r="D970" s="56" t="s">
        <v>7077</v>
      </c>
      <c r="E970" s="15" t="s">
        <v>807</v>
      </c>
      <c r="F970" s="15" t="s">
        <v>7010</v>
      </c>
      <c r="G970" s="18"/>
      <c r="H970" s="18"/>
      <c r="I970" s="18"/>
      <c r="J970" s="18"/>
    </row>
    <row r="971" ht="15.75" customHeight="1">
      <c r="A971" s="15" t="s">
        <v>7078</v>
      </c>
      <c r="B971" s="15" t="s">
        <v>445</v>
      </c>
      <c r="C971" s="15" t="s">
        <v>98</v>
      </c>
      <c r="D971" s="56" t="s">
        <v>7079</v>
      </c>
      <c r="E971" s="15" t="s">
        <v>807</v>
      </c>
      <c r="F971" s="15" t="s">
        <v>7010</v>
      </c>
      <c r="G971" s="18"/>
      <c r="H971" s="18"/>
      <c r="I971" s="18"/>
      <c r="J971" s="18"/>
    </row>
    <row r="972" ht="15.75" customHeight="1">
      <c r="A972" s="15" t="s">
        <v>7080</v>
      </c>
      <c r="B972" s="15" t="s">
        <v>445</v>
      </c>
      <c r="C972" s="15" t="s">
        <v>98</v>
      </c>
      <c r="D972" s="56" t="s">
        <v>7081</v>
      </c>
      <c r="E972" s="15" t="s">
        <v>807</v>
      </c>
      <c r="F972" s="15" t="s">
        <v>7010</v>
      </c>
      <c r="G972" s="18"/>
      <c r="H972" s="18"/>
      <c r="I972" s="18"/>
      <c r="J972" s="18"/>
    </row>
    <row r="973" ht="15.75" customHeight="1">
      <c r="A973" s="15" t="s">
        <v>7082</v>
      </c>
      <c r="B973" s="15" t="s">
        <v>445</v>
      </c>
      <c r="C973" s="15" t="s">
        <v>98</v>
      </c>
      <c r="D973" s="56" t="s">
        <v>7083</v>
      </c>
      <c r="E973" s="15" t="s">
        <v>807</v>
      </c>
      <c r="F973" s="15" t="s">
        <v>7010</v>
      </c>
      <c r="G973" s="18"/>
      <c r="H973" s="18"/>
      <c r="I973" s="18"/>
      <c r="J973" s="18"/>
    </row>
    <row r="974" ht="15.75" customHeight="1">
      <c r="A974" s="15" t="s">
        <v>7084</v>
      </c>
      <c r="B974" s="15" t="s">
        <v>445</v>
      </c>
      <c r="C974" s="15" t="s">
        <v>98</v>
      </c>
      <c r="D974" s="56" t="s">
        <v>7085</v>
      </c>
      <c r="E974" s="15" t="s">
        <v>807</v>
      </c>
      <c r="F974" s="15" t="s">
        <v>7010</v>
      </c>
      <c r="G974" s="18"/>
      <c r="H974" s="18"/>
      <c r="I974" s="18"/>
      <c r="J974" s="18"/>
    </row>
    <row r="975" ht="15.75" customHeight="1">
      <c r="A975" s="15" t="s">
        <v>7086</v>
      </c>
      <c r="B975" s="15" t="s">
        <v>445</v>
      </c>
      <c r="C975" s="15" t="s">
        <v>98</v>
      </c>
      <c r="D975" s="56" t="s">
        <v>7087</v>
      </c>
      <c r="E975" s="15" t="s">
        <v>807</v>
      </c>
      <c r="F975" s="15" t="s">
        <v>7010</v>
      </c>
      <c r="G975" s="18"/>
      <c r="H975" s="18"/>
      <c r="I975" s="18"/>
      <c r="J975" s="18"/>
    </row>
    <row r="976" ht="15.75" customHeight="1">
      <c r="A976" s="15" t="s">
        <v>7088</v>
      </c>
      <c r="B976" s="15" t="s">
        <v>445</v>
      </c>
      <c r="C976" s="15" t="s">
        <v>98</v>
      </c>
      <c r="D976" s="56" t="s">
        <v>7089</v>
      </c>
      <c r="E976" s="15" t="s">
        <v>807</v>
      </c>
      <c r="F976" s="15" t="s">
        <v>7010</v>
      </c>
      <c r="G976" s="18"/>
      <c r="H976" s="18"/>
      <c r="I976" s="18"/>
      <c r="J976" s="18"/>
    </row>
    <row r="977" ht="15.75" customHeight="1">
      <c r="A977" s="15" t="s">
        <v>7090</v>
      </c>
      <c r="B977" s="15" t="s">
        <v>445</v>
      </c>
      <c r="C977" s="15" t="s">
        <v>98</v>
      </c>
      <c r="D977" s="56" t="s">
        <v>7091</v>
      </c>
      <c r="E977" s="15" t="s">
        <v>807</v>
      </c>
      <c r="F977" s="15" t="s">
        <v>7010</v>
      </c>
      <c r="G977" s="18"/>
      <c r="H977" s="18"/>
      <c r="I977" s="18"/>
      <c r="J977" s="18"/>
    </row>
    <row r="978" ht="15.75" customHeight="1">
      <c r="A978" s="15" t="s">
        <v>7092</v>
      </c>
      <c r="B978" s="15" t="s">
        <v>445</v>
      </c>
      <c r="C978" s="15" t="s">
        <v>98</v>
      </c>
      <c r="D978" s="56" t="s">
        <v>7093</v>
      </c>
      <c r="E978" s="15" t="s">
        <v>807</v>
      </c>
      <c r="F978" s="15" t="s">
        <v>7010</v>
      </c>
      <c r="G978" s="18"/>
      <c r="H978" s="18"/>
      <c r="I978" s="18"/>
      <c r="J978" s="18"/>
    </row>
    <row r="979" ht="15.75" customHeight="1">
      <c r="A979" s="15" t="s">
        <v>7094</v>
      </c>
      <c r="B979" s="15" t="s">
        <v>445</v>
      </c>
      <c r="C979" s="15" t="s">
        <v>98</v>
      </c>
      <c r="D979" s="56" t="s">
        <v>7095</v>
      </c>
      <c r="E979" s="15" t="s">
        <v>807</v>
      </c>
      <c r="F979" s="15" t="s">
        <v>7010</v>
      </c>
      <c r="G979" s="18"/>
      <c r="H979" s="18"/>
      <c r="I979" s="18"/>
      <c r="J979" s="18"/>
    </row>
    <row r="980" ht="15.75" customHeight="1">
      <c r="A980" s="15" t="s">
        <v>7096</v>
      </c>
      <c r="B980" s="15" t="s">
        <v>445</v>
      </c>
      <c r="C980" s="15" t="s">
        <v>98</v>
      </c>
      <c r="D980" s="56" t="s">
        <v>7097</v>
      </c>
      <c r="E980" s="15" t="s">
        <v>807</v>
      </c>
      <c r="F980" s="15" t="s">
        <v>7010</v>
      </c>
      <c r="G980" s="18"/>
      <c r="H980" s="18"/>
      <c r="I980" s="18"/>
      <c r="J980" s="18"/>
    </row>
    <row r="981" ht="15.75" customHeight="1">
      <c r="A981" s="15" t="s">
        <v>7100</v>
      </c>
      <c r="B981" s="15" t="s">
        <v>445</v>
      </c>
      <c r="C981" s="15" t="s">
        <v>98</v>
      </c>
      <c r="D981" s="56" t="s">
        <v>7102</v>
      </c>
      <c r="E981" s="15" t="s">
        <v>807</v>
      </c>
      <c r="F981" s="15" t="s">
        <v>7010</v>
      </c>
      <c r="G981" s="18"/>
      <c r="H981" s="18"/>
      <c r="I981" s="18"/>
      <c r="J981" s="18"/>
    </row>
    <row r="982" ht="15.75" customHeight="1">
      <c r="A982" s="15" t="s">
        <v>7105</v>
      </c>
      <c r="B982" s="15" t="s">
        <v>301</v>
      </c>
      <c r="C982" s="15" t="s">
        <v>98</v>
      </c>
      <c r="D982" s="56" t="s">
        <v>7106</v>
      </c>
      <c r="E982" s="15" t="s">
        <v>807</v>
      </c>
      <c r="F982" s="15" t="s">
        <v>7107</v>
      </c>
      <c r="G982" s="18"/>
      <c r="H982" s="18"/>
      <c r="I982" s="18"/>
      <c r="J982" s="18"/>
    </row>
    <row r="983" ht="15.75" customHeight="1">
      <c r="A983" s="15" t="s">
        <v>7108</v>
      </c>
      <c r="B983" s="15" t="s">
        <v>301</v>
      </c>
      <c r="C983" s="15" t="s">
        <v>98</v>
      </c>
      <c r="D983" s="56" t="s">
        <v>7109</v>
      </c>
      <c r="E983" s="15" t="s">
        <v>807</v>
      </c>
      <c r="F983" s="15" t="s">
        <v>7107</v>
      </c>
      <c r="G983" s="18"/>
      <c r="H983" s="18"/>
      <c r="I983" s="18"/>
      <c r="J983" s="18"/>
    </row>
    <row r="984" ht="15.75" customHeight="1">
      <c r="A984" s="15" t="s">
        <v>7110</v>
      </c>
      <c r="B984" s="15" t="s">
        <v>301</v>
      </c>
      <c r="C984" s="15" t="s">
        <v>98</v>
      </c>
      <c r="D984" s="56" t="s">
        <v>7111</v>
      </c>
      <c r="E984" s="15" t="s">
        <v>807</v>
      </c>
      <c r="F984" s="15" t="s">
        <v>7107</v>
      </c>
      <c r="G984" s="18"/>
      <c r="H984" s="18"/>
      <c r="I984" s="18"/>
      <c r="J984" s="18"/>
    </row>
    <row r="985" ht="15.75" customHeight="1">
      <c r="A985" s="15" t="s">
        <v>7112</v>
      </c>
      <c r="B985" s="15" t="s">
        <v>301</v>
      </c>
      <c r="C985" s="15" t="s">
        <v>98</v>
      </c>
      <c r="D985" s="56" t="s">
        <v>7113</v>
      </c>
      <c r="E985" s="15" t="s">
        <v>807</v>
      </c>
      <c r="F985" s="15" t="s">
        <v>7107</v>
      </c>
      <c r="G985" s="18"/>
      <c r="H985" s="18"/>
      <c r="I985" s="18"/>
      <c r="J985" s="18"/>
    </row>
    <row r="986" ht="15.75" customHeight="1">
      <c r="A986" s="15" t="s">
        <v>7114</v>
      </c>
      <c r="B986" s="15" t="s">
        <v>301</v>
      </c>
      <c r="C986" s="15" t="s">
        <v>98</v>
      </c>
      <c r="D986" s="56" t="s">
        <v>7115</v>
      </c>
      <c r="E986" s="15" t="s">
        <v>807</v>
      </c>
      <c r="F986" s="15" t="s">
        <v>7107</v>
      </c>
      <c r="G986" s="18"/>
      <c r="H986" s="18"/>
      <c r="I986" s="18"/>
      <c r="J986" s="18"/>
    </row>
    <row r="987" ht="15.75" customHeight="1">
      <c r="A987" s="15" t="s">
        <v>7116</v>
      </c>
      <c r="B987" s="15" t="s">
        <v>301</v>
      </c>
      <c r="C987" s="15" t="s">
        <v>98</v>
      </c>
      <c r="D987" s="56" t="s">
        <v>7117</v>
      </c>
      <c r="E987" s="15" t="s">
        <v>807</v>
      </c>
      <c r="F987" s="15" t="s">
        <v>7107</v>
      </c>
      <c r="G987" s="18"/>
      <c r="H987" s="18"/>
      <c r="I987" s="18"/>
      <c r="J987" s="18"/>
    </row>
    <row r="988" ht="15.75" customHeight="1">
      <c r="A988" s="15" t="s">
        <v>7118</v>
      </c>
      <c r="B988" s="15" t="s">
        <v>301</v>
      </c>
      <c r="C988" s="15" t="s">
        <v>98</v>
      </c>
      <c r="D988" s="56" t="s">
        <v>7119</v>
      </c>
      <c r="E988" s="15" t="s">
        <v>807</v>
      </c>
      <c r="F988" s="15" t="s">
        <v>7107</v>
      </c>
      <c r="G988" s="18"/>
      <c r="H988" s="18"/>
      <c r="I988" s="18"/>
      <c r="J988" s="18"/>
    </row>
    <row r="989" ht="15.75" customHeight="1">
      <c r="A989" s="15" t="s">
        <v>7120</v>
      </c>
      <c r="B989" s="15" t="s">
        <v>301</v>
      </c>
      <c r="C989" s="15" t="s">
        <v>98</v>
      </c>
      <c r="D989" s="56" t="s">
        <v>7121</v>
      </c>
      <c r="E989" s="15" t="s">
        <v>807</v>
      </c>
      <c r="F989" s="15" t="s">
        <v>7107</v>
      </c>
      <c r="G989" s="18"/>
      <c r="H989" s="18"/>
      <c r="I989" s="18"/>
      <c r="J989" s="18"/>
    </row>
    <row r="990" ht="15.75" customHeight="1">
      <c r="A990" s="15" t="s">
        <v>7122</v>
      </c>
      <c r="B990" s="15" t="s">
        <v>301</v>
      </c>
      <c r="C990" s="15" t="s">
        <v>98</v>
      </c>
      <c r="D990" s="56" t="s">
        <v>7123</v>
      </c>
      <c r="E990" s="15" t="s">
        <v>807</v>
      </c>
      <c r="F990" s="15" t="s">
        <v>7107</v>
      </c>
      <c r="G990" s="18"/>
      <c r="H990" s="18"/>
      <c r="I990" s="18"/>
      <c r="J990" s="18"/>
    </row>
    <row r="991" ht="15.75" customHeight="1">
      <c r="A991" s="15" t="s">
        <v>7128</v>
      </c>
      <c r="B991" s="15" t="s">
        <v>301</v>
      </c>
      <c r="C991" s="15" t="s">
        <v>98</v>
      </c>
      <c r="D991" s="56" t="s">
        <v>7130</v>
      </c>
      <c r="E991" s="15" t="s">
        <v>807</v>
      </c>
      <c r="F991" s="15" t="s">
        <v>7107</v>
      </c>
      <c r="G991" s="18"/>
      <c r="H991" s="18"/>
      <c r="I991" s="18"/>
      <c r="J991" s="18"/>
    </row>
    <row r="992" ht="15.75" customHeight="1">
      <c r="A992" s="15" t="s">
        <v>7131</v>
      </c>
      <c r="B992" s="15" t="s">
        <v>301</v>
      </c>
      <c r="C992" s="15" t="s">
        <v>98</v>
      </c>
      <c r="D992" s="56" t="s">
        <v>7132</v>
      </c>
      <c r="E992" s="15" t="s">
        <v>807</v>
      </c>
      <c r="F992" s="15" t="s">
        <v>7107</v>
      </c>
      <c r="G992" s="18"/>
      <c r="H992" s="18"/>
      <c r="I992" s="18"/>
      <c r="J992" s="18"/>
    </row>
    <row r="993" ht="15.75" customHeight="1">
      <c r="A993" s="15" t="s">
        <v>7133</v>
      </c>
      <c r="B993" s="15" t="s">
        <v>301</v>
      </c>
      <c r="C993" s="15" t="s">
        <v>98</v>
      </c>
      <c r="D993" s="56" t="s">
        <v>7134</v>
      </c>
      <c r="E993" s="15" t="s">
        <v>807</v>
      </c>
      <c r="F993" s="15" t="s">
        <v>7107</v>
      </c>
      <c r="G993" s="18"/>
      <c r="H993" s="18"/>
      <c r="I993" s="18"/>
      <c r="J993" s="18"/>
    </row>
    <row r="994" ht="15.75" customHeight="1">
      <c r="A994" s="15" t="s">
        <v>7135</v>
      </c>
      <c r="B994" s="15" t="s">
        <v>301</v>
      </c>
      <c r="C994" s="15" t="s">
        <v>98</v>
      </c>
      <c r="D994" s="56" t="s">
        <v>7136</v>
      </c>
      <c r="E994" s="15" t="s">
        <v>807</v>
      </c>
      <c r="F994" s="15" t="s">
        <v>7107</v>
      </c>
      <c r="G994" s="18"/>
      <c r="H994" s="18"/>
      <c r="I994" s="18"/>
      <c r="J994" s="18"/>
    </row>
    <row r="995" ht="15.75" customHeight="1">
      <c r="A995" s="15" t="s">
        <v>7137</v>
      </c>
      <c r="B995" s="15" t="s">
        <v>301</v>
      </c>
      <c r="C995" s="15" t="s">
        <v>98</v>
      </c>
      <c r="D995" s="56" t="s">
        <v>7138</v>
      </c>
      <c r="E995" s="15" t="s">
        <v>807</v>
      </c>
      <c r="F995" s="15" t="s">
        <v>7107</v>
      </c>
      <c r="G995" s="18"/>
      <c r="H995" s="18"/>
      <c r="I995" s="18"/>
      <c r="J995" s="18"/>
    </row>
    <row r="996" ht="15.75" customHeight="1">
      <c r="A996" s="15" t="s">
        <v>7139</v>
      </c>
      <c r="B996" s="15" t="s">
        <v>301</v>
      </c>
      <c r="C996" s="15" t="s">
        <v>98</v>
      </c>
      <c r="D996" s="56" t="s">
        <v>7140</v>
      </c>
      <c r="E996" s="15" t="s">
        <v>807</v>
      </c>
      <c r="F996" s="15" t="s">
        <v>7107</v>
      </c>
      <c r="G996" s="18"/>
      <c r="H996" s="18"/>
      <c r="I996" s="18"/>
      <c r="J996" s="18"/>
    </row>
    <row r="997" ht="15.75" customHeight="1">
      <c r="A997" s="15" t="s">
        <v>7141</v>
      </c>
      <c r="B997" s="15" t="s">
        <v>301</v>
      </c>
      <c r="C997" s="15" t="s">
        <v>98</v>
      </c>
      <c r="D997" s="56" t="s">
        <v>7142</v>
      </c>
      <c r="E997" s="15" t="s">
        <v>807</v>
      </c>
      <c r="F997" s="15" t="s">
        <v>7107</v>
      </c>
      <c r="G997" s="18"/>
      <c r="H997" s="18"/>
      <c r="I997" s="18"/>
      <c r="J997" s="18"/>
    </row>
    <row r="998" ht="15.75" customHeight="1">
      <c r="A998" s="15" t="s">
        <v>7143</v>
      </c>
      <c r="B998" s="15" t="s">
        <v>301</v>
      </c>
      <c r="C998" s="15" t="s">
        <v>98</v>
      </c>
      <c r="D998" s="56" t="s">
        <v>7144</v>
      </c>
      <c r="E998" s="15" t="s">
        <v>807</v>
      </c>
      <c r="F998" s="15" t="s">
        <v>7107</v>
      </c>
      <c r="G998" s="18"/>
      <c r="H998" s="18"/>
      <c r="I998" s="18"/>
      <c r="J998" s="18"/>
    </row>
    <row r="999" ht="15.75" customHeight="1">
      <c r="A999" s="15" t="s">
        <v>7145</v>
      </c>
      <c r="B999" s="15" t="s">
        <v>301</v>
      </c>
      <c r="C999" s="15" t="s">
        <v>98</v>
      </c>
      <c r="D999" s="56" t="s">
        <v>7146</v>
      </c>
      <c r="E999" s="15" t="s">
        <v>807</v>
      </c>
      <c r="F999" s="15" t="s">
        <v>7107</v>
      </c>
      <c r="G999" s="18"/>
      <c r="H999" s="18"/>
      <c r="I999" s="18"/>
      <c r="J999" s="18"/>
    </row>
    <row r="1000" ht="15.75" customHeight="1">
      <c r="A1000" s="15" t="s">
        <v>7148</v>
      </c>
      <c r="B1000" s="15" t="s">
        <v>301</v>
      </c>
      <c r="C1000" s="15" t="s">
        <v>98</v>
      </c>
      <c r="D1000" s="56" t="s">
        <v>7151</v>
      </c>
      <c r="E1000" s="15" t="s">
        <v>807</v>
      </c>
      <c r="F1000" s="15" t="s">
        <v>7107</v>
      </c>
      <c r="G1000" s="18"/>
      <c r="H1000" s="18"/>
      <c r="I1000" s="18"/>
      <c r="J1000" s="18"/>
    </row>
    <row r="1001" ht="15.75" customHeight="1">
      <c r="A1001" s="15" t="s">
        <v>7154</v>
      </c>
      <c r="B1001" s="15" t="s">
        <v>301</v>
      </c>
      <c r="C1001" s="15" t="s">
        <v>98</v>
      </c>
      <c r="D1001" s="56" t="s">
        <v>7155</v>
      </c>
      <c r="E1001" s="15" t="s">
        <v>807</v>
      </c>
      <c r="F1001" s="15" t="s">
        <v>7107</v>
      </c>
      <c r="G1001" s="18"/>
      <c r="H1001" s="18"/>
      <c r="I1001" s="18"/>
      <c r="J1001" s="18"/>
    </row>
    <row r="1002" ht="15.75" customHeight="1">
      <c r="A1002" s="15" t="s">
        <v>7156</v>
      </c>
      <c r="B1002" s="15" t="s">
        <v>301</v>
      </c>
      <c r="C1002" s="15" t="s">
        <v>98</v>
      </c>
      <c r="D1002" s="56" t="s">
        <v>7157</v>
      </c>
      <c r="E1002" s="15" t="s">
        <v>807</v>
      </c>
      <c r="F1002" s="15" t="s">
        <v>7107</v>
      </c>
      <c r="G1002" s="18"/>
      <c r="H1002" s="18"/>
      <c r="I1002" s="18"/>
      <c r="J1002" s="18"/>
    </row>
    <row r="1003" ht="15.75" customHeight="1">
      <c r="A1003" s="15" t="s">
        <v>7158</v>
      </c>
      <c r="B1003" s="15" t="s">
        <v>301</v>
      </c>
      <c r="C1003" s="15" t="s">
        <v>98</v>
      </c>
      <c r="D1003" s="56" t="s">
        <v>7159</v>
      </c>
      <c r="E1003" s="15" t="s">
        <v>807</v>
      </c>
      <c r="F1003" s="15" t="s">
        <v>7107</v>
      </c>
      <c r="G1003" s="18"/>
      <c r="H1003" s="18"/>
      <c r="I1003" s="18"/>
      <c r="J1003" s="18"/>
    </row>
    <row r="1004" ht="15.75" customHeight="1">
      <c r="A1004" s="15" t="s">
        <v>7160</v>
      </c>
      <c r="B1004" s="15" t="s">
        <v>301</v>
      </c>
      <c r="C1004" s="15" t="s">
        <v>98</v>
      </c>
      <c r="D1004" s="56" t="s">
        <v>7161</v>
      </c>
      <c r="E1004" s="15" t="s">
        <v>807</v>
      </c>
      <c r="F1004" s="15" t="s">
        <v>7107</v>
      </c>
      <c r="G1004" s="18"/>
      <c r="H1004" s="18"/>
      <c r="I1004" s="18"/>
      <c r="J1004" s="18"/>
    </row>
    <row r="1005" ht="15.75" customHeight="1">
      <c r="A1005" s="15" t="s">
        <v>7162</v>
      </c>
      <c r="B1005" s="15" t="s">
        <v>301</v>
      </c>
      <c r="C1005" s="15" t="s">
        <v>98</v>
      </c>
      <c r="D1005" s="56" t="s">
        <v>7163</v>
      </c>
      <c r="E1005" s="15" t="s">
        <v>807</v>
      </c>
      <c r="F1005" s="15" t="s">
        <v>7107</v>
      </c>
      <c r="G1005" s="18"/>
      <c r="H1005" s="18"/>
      <c r="I1005" s="18"/>
      <c r="J1005" s="18"/>
    </row>
    <row r="1006" ht="15.75" customHeight="1">
      <c r="A1006" s="15" t="s">
        <v>7164</v>
      </c>
      <c r="B1006" s="15" t="s">
        <v>301</v>
      </c>
      <c r="C1006" s="15" t="s">
        <v>98</v>
      </c>
      <c r="D1006" s="56" t="s">
        <v>7165</v>
      </c>
      <c r="E1006" s="15" t="s">
        <v>807</v>
      </c>
      <c r="F1006" s="15" t="s">
        <v>7107</v>
      </c>
      <c r="G1006" s="18"/>
      <c r="H1006" s="18"/>
      <c r="I1006" s="18"/>
      <c r="J1006" s="18"/>
    </row>
    <row r="1007" ht="15.75" customHeight="1">
      <c r="A1007" s="15" t="s">
        <v>7166</v>
      </c>
      <c r="B1007" s="15" t="s">
        <v>301</v>
      </c>
      <c r="C1007" s="15" t="s">
        <v>98</v>
      </c>
      <c r="D1007" s="56" t="s">
        <v>7167</v>
      </c>
      <c r="E1007" s="15" t="s">
        <v>807</v>
      </c>
      <c r="F1007" s="15" t="s">
        <v>7107</v>
      </c>
      <c r="G1007" s="18"/>
      <c r="H1007" s="18"/>
      <c r="I1007" s="18"/>
      <c r="J1007" s="18"/>
    </row>
    <row r="1008" ht="15.75" customHeight="1">
      <c r="A1008" s="15" t="s">
        <v>7168</v>
      </c>
      <c r="B1008" s="15" t="s">
        <v>301</v>
      </c>
      <c r="C1008" s="15" t="s">
        <v>98</v>
      </c>
      <c r="D1008" s="56" t="s">
        <v>7169</v>
      </c>
      <c r="E1008" s="15" t="s">
        <v>807</v>
      </c>
      <c r="F1008" s="15" t="s">
        <v>7107</v>
      </c>
      <c r="G1008" s="18"/>
      <c r="H1008" s="18"/>
      <c r="I1008" s="18"/>
      <c r="J1008" s="18"/>
    </row>
    <row r="1009" ht="15.75" customHeight="1">
      <c r="A1009" s="15" t="s">
        <v>7170</v>
      </c>
      <c r="B1009" s="15" t="s">
        <v>301</v>
      </c>
      <c r="C1009" s="15" t="s">
        <v>98</v>
      </c>
      <c r="D1009" s="56" t="s">
        <v>7172</v>
      </c>
      <c r="E1009" s="15" t="s">
        <v>807</v>
      </c>
      <c r="F1009" s="15" t="s">
        <v>7107</v>
      </c>
      <c r="G1009" s="18"/>
      <c r="H1009" s="18"/>
      <c r="I1009" s="18"/>
      <c r="J1009" s="18"/>
    </row>
    <row r="1010" ht="15.75" customHeight="1">
      <c r="A1010" s="15" t="s">
        <v>7177</v>
      </c>
      <c r="B1010" s="15" t="s">
        <v>301</v>
      </c>
      <c r="C1010" s="15" t="s">
        <v>98</v>
      </c>
      <c r="D1010" s="56" t="s">
        <v>7178</v>
      </c>
      <c r="E1010" s="15" t="s">
        <v>807</v>
      </c>
      <c r="F1010" s="15" t="s">
        <v>7107</v>
      </c>
      <c r="G1010" s="18"/>
      <c r="H1010" s="18"/>
      <c r="I1010" s="18"/>
      <c r="J1010" s="18"/>
    </row>
    <row r="1011" ht="15.75" customHeight="1">
      <c r="A1011" s="15" t="s">
        <v>7179</v>
      </c>
      <c r="B1011" s="15" t="s">
        <v>301</v>
      </c>
      <c r="C1011" s="15" t="s">
        <v>98</v>
      </c>
      <c r="D1011" s="56" t="s">
        <v>7180</v>
      </c>
      <c r="E1011" s="15" t="s">
        <v>807</v>
      </c>
      <c r="F1011" s="15" t="s">
        <v>7107</v>
      </c>
      <c r="G1011" s="18"/>
      <c r="H1011" s="18"/>
      <c r="I1011" s="18"/>
      <c r="J1011" s="18"/>
    </row>
    <row r="1012" ht="15.75" customHeight="1">
      <c r="A1012" s="15" t="s">
        <v>7181</v>
      </c>
      <c r="B1012" s="15" t="s">
        <v>301</v>
      </c>
      <c r="C1012" s="15" t="s">
        <v>98</v>
      </c>
      <c r="D1012" s="56" t="s">
        <v>7182</v>
      </c>
      <c r="E1012" s="15" t="s">
        <v>807</v>
      </c>
      <c r="F1012" s="15" t="s">
        <v>7107</v>
      </c>
      <c r="G1012" s="18"/>
      <c r="H1012" s="18"/>
      <c r="I1012" s="18"/>
      <c r="J1012" s="18"/>
    </row>
    <row r="1013" ht="15.75" customHeight="1">
      <c r="A1013" s="15" t="s">
        <v>7183</v>
      </c>
      <c r="B1013" s="15" t="s">
        <v>301</v>
      </c>
      <c r="C1013" s="15" t="s">
        <v>98</v>
      </c>
      <c r="D1013" s="56" t="s">
        <v>7184</v>
      </c>
      <c r="E1013" s="15" t="s">
        <v>807</v>
      </c>
      <c r="F1013" s="15" t="s">
        <v>7107</v>
      </c>
      <c r="G1013" s="18"/>
      <c r="H1013" s="18"/>
      <c r="I1013" s="18"/>
      <c r="J1013" s="18"/>
    </row>
    <row r="1014" ht="15.75" customHeight="1">
      <c r="A1014" s="15" t="s">
        <v>7185</v>
      </c>
      <c r="B1014" s="15" t="s">
        <v>301</v>
      </c>
      <c r="C1014" s="15" t="s">
        <v>98</v>
      </c>
      <c r="D1014" s="56" t="s">
        <v>7186</v>
      </c>
      <c r="E1014" s="15" t="s">
        <v>807</v>
      </c>
      <c r="F1014" s="15" t="s">
        <v>7107</v>
      </c>
      <c r="G1014" s="18"/>
      <c r="H1014" s="18"/>
      <c r="I1014" s="18"/>
      <c r="J1014" s="18"/>
    </row>
    <row r="1015" ht="15.75" customHeight="1">
      <c r="A1015" s="15" t="s">
        <v>7187</v>
      </c>
      <c r="B1015" s="15" t="s">
        <v>301</v>
      </c>
      <c r="C1015" s="15" t="s">
        <v>98</v>
      </c>
      <c r="D1015" s="56" t="s">
        <v>7188</v>
      </c>
      <c r="E1015" s="15" t="s">
        <v>807</v>
      </c>
      <c r="F1015" s="15" t="s">
        <v>7107</v>
      </c>
      <c r="G1015" s="18"/>
      <c r="H1015" s="18"/>
      <c r="I1015" s="18"/>
      <c r="J1015" s="18"/>
    </row>
    <row r="1016" ht="15.75" customHeight="1">
      <c r="A1016" s="15" t="s">
        <v>7189</v>
      </c>
      <c r="B1016" s="15" t="s">
        <v>301</v>
      </c>
      <c r="C1016" s="15" t="s">
        <v>98</v>
      </c>
      <c r="D1016" s="56" t="s">
        <v>7190</v>
      </c>
      <c r="E1016" s="15" t="s">
        <v>807</v>
      </c>
      <c r="F1016" s="15" t="s">
        <v>7107</v>
      </c>
      <c r="G1016" s="18"/>
      <c r="H1016" s="18"/>
      <c r="I1016" s="18"/>
      <c r="J1016" s="18"/>
    </row>
    <row r="1017" ht="15.75" customHeight="1">
      <c r="A1017" s="15" t="s">
        <v>7194</v>
      </c>
      <c r="B1017" s="15" t="s">
        <v>301</v>
      </c>
      <c r="C1017" s="15" t="s">
        <v>98</v>
      </c>
      <c r="D1017" s="56" t="s">
        <v>7197</v>
      </c>
      <c r="E1017" s="15" t="s">
        <v>807</v>
      </c>
      <c r="F1017" s="15" t="s">
        <v>7107</v>
      </c>
      <c r="G1017" s="18"/>
      <c r="H1017" s="18"/>
      <c r="I1017" s="18"/>
      <c r="J1017" s="18"/>
    </row>
    <row r="1018" ht="15.75" customHeight="1">
      <c r="A1018" s="15" t="s">
        <v>7200</v>
      </c>
      <c r="B1018" s="15" t="s">
        <v>301</v>
      </c>
      <c r="C1018" s="15" t="s">
        <v>98</v>
      </c>
      <c r="D1018" s="56" t="s">
        <v>7201</v>
      </c>
      <c r="E1018" s="15" t="s">
        <v>807</v>
      </c>
      <c r="F1018" s="15" t="s">
        <v>7107</v>
      </c>
      <c r="G1018" s="18"/>
      <c r="H1018" s="18"/>
      <c r="I1018" s="18"/>
      <c r="J1018" s="18"/>
    </row>
    <row r="1019" ht="15.75" customHeight="1">
      <c r="A1019" s="15" t="s">
        <v>7202</v>
      </c>
      <c r="B1019" s="15" t="s">
        <v>301</v>
      </c>
      <c r="C1019" s="15" t="s">
        <v>98</v>
      </c>
      <c r="D1019" s="56" t="s">
        <v>7203</v>
      </c>
      <c r="E1019" s="15" t="s">
        <v>807</v>
      </c>
      <c r="F1019" s="15" t="s">
        <v>7107</v>
      </c>
      <c r="G1019" s="18"/>
      <c r="H1019" s="18"/>
      <c r="I1019" s="18"/>
      <c r="J1019" s="18"/>
    </row>
    <row r="1020" ht="15.75" customHeight="1">
      <c r="A1020" s="15" t="s">
        <v>7204</v>
      </c>
      <c r="B1020" s="15" t="s">
        <v>301</v>
      </c>
      <c r="C1020" s="15" t="s">
        <v>98</v>
      </c>
      <c r="D1020" s="56" t="s">
        <v>7205</v>
      </c>
      <c r="E1020" s="15" t="s">
        <v>807</v>
      </c>
      <c r="F1020" s="15" t="s">
        <v>7107</v>
      </c>
      <c r="G1020" s="18"/>
      <c r="H1020" s="18"/>
      <c r="I1020" s="18"/>
      <c r="J1020" s="18"/>
    </row>
    <row r="1021" ht="15.75" customHeight="1">
      <c r="A1021" s="15" t="s">
        <v>7206</v>
      </c>
      <c r="B1021" s="15" t="s">
        <v>301</v>
      </c>
      <c r="C1021" s="15" t="s">
        <v>98</v>
      </c>
      <c r="D1021" s="56" t="s">
        <v>7207</v>
      </c>
      <c r="E1021" s="15" t="s">
        <v>807</v>
      </c>
      <c r="F1021" s="15" t="s">
        <v>7107</v>
      </c>
      <c r="G1021" s="18"/>
      <c r="H1021" s="18"/>
      <c r="I1021" s="18"/>
      <c r="J1021" s="18"/>
    </row>
    <row r="1022" ht="15.75" customHeight="1">
      <c r="A1022" s="15" t="s">
        <v>7208</v>
      </c>
      <c r="B1022" s="15" t="s">
        <v>301</v>
      </c>
      <c r="C1022" s="15" t="s">
        <v>98</v>
      </c>
      <c r="D1022" s="56" t="s">
        <v>7209</v>
      </c>
      <c r="E1022" s="15" t="s">
        <v>807</v>
      </c>
      <c r="F1022" s="15" t="s">
        <v>7107</v>
      </c>
      <c r="G1022" s="18"/>
      <c r="H1022" s="18"/>
      <c r="I1022" s="18"/>
      <c r="J1022" s="18"/>
    </row>
    <row r="1023" ht="15.75" customHeight="1">
      <c r="A1023" s="15" t="s">
        <v>7210</v>
      </c>
      <c r="B1023" s="15" t="s">
        <v>301</v>
      </c>
      <c r="C1023" s="15" t="s">
        <v>98</v>
      </c>
      <c r="D1023" s="56" t="s">
        <v>7211</v>
      </c>
      <c r="E1023" s="15" t="s">
        <v>807</v>
      </c>
      <c r="F1023" s="15" t="s">
        <v>7107</v>
      </c>
      <c r="G1023" s="18"/>
      <c r="H1023" s="18"/>
      <c r="I1023" s="18"/>
      <c r="J1023" s="18"/>
    </row>
    <row r="1024" ht="15.75" customHeight="1">
      <c r="A1024" s="15" t="s">
        <v>7212</v>
      </c>
      <c r="B1024" s="15" t="s">
        <v>301</v>
      </c>
      <c r="C1024" s="15" t="s">
        <v>98</v>
      </c>
      <c r="D1024" s="56" t="s">
        <v>7213</v>
      </c>
      <c r="E1024" s="15" t="s">
        <v>807</v>
      </c>
      <c r="F1024" s="15" t="s">
        <v>7107</v>
      </c>
      <c r="G1024" s="18"/>
      <c r="H1024" s="18"/>
      <c r="I1024" s="18"/>
      <c r="J1024" s="18"/>
    </row>
    <row r="1025" ht="15.75" customHeight="1">
      <c r="A1025" s="15" t="s">
        <v>7214</v>
      </c>
      <c r="B1025" s="15" t="s">
        <v>301</v>
      </c>
      <c r="C1025" s="15" t="s">
        <v>98</v>
      </c>
      <c r="D1025" s="56" t="s">
        <v>7215</v>
      </c>
      <c r="E1025" s="15" t="s">
        <v>807</v>
      </c>
      <c r="F1025" s="15" t="s">
        <v>7107</v>
      </c>
      <c r="G1025" s="18"/>
      <c r="H1025" s="18"/>
      <c r="I1025" s="18"/>
      <c r="J1025" s="18"/>
    </row>
    <row r="1026" ht="15.75" customHeight="1">
      <c r="A1026" s="15" t="s">
        <v>7216</v>
      </c>
      <c r="B1026" s="15" t="s">
        <v>301</v>
      </c>
      <c r="C1026" s="15" t="s">
        <v>98</v>
      </c>
      <c r="D1026" s="56" t="s">
        <v>7218</v>
      </c>
      <c r="E1026" s="15" t="s">
        <v>807</v>
      </c>
      <c r="F1026" s="15" t="s">
        <v>7107</v>
      </c>
      <c r="G1026" s="18"/>
      <c r="H1026" s="18"/>
      <c r="I1026" s="18"/>
      <c r="J1026" s="18"/>
    </row>
    <row r="1027" ht="15.75" customHeight="1">
      <c r="A1027" s="15" t="s">
        <v>7223</v>
      </c>
      <c r="B1027" s="15" t="s">
        <v>301</v>
      </c>
      <c r="C1027" s="15" t="s">
        <v>98</v>
      </c>
      <c r="D1027" s="56" t="s">
        <v>7226</v>
      </c>
      <c r="E1027" s="15" t="s">
        <v>807</v>
      </c>
      <c r="F1027" s="15" t="s">
        <v>7107</v>
      </c>
      <c r="G1027" s="18"/>
      <c r="H1027" s="18"/>
      <c r="I1027" s="18"/>
      <c r="J1027" s="18"/>
    </row>
    <row r="1028" ht="15.75" customHeight="1">
      <c r="A1028" s="15" t="s">
        <v>7227</v>
      </c>
      <c r="B1028" s="15" t="s">
        <v>301</v>
      </c>
      <c r="C1028" s="15" t="s">
        <v>98</v>
      </c>
      <c r="D1028" s="56" t="s">
        <v>7228</v>
      </c>
      <c r="E1028" s="15" t="s">
        <v>807</v>
      </c>
      <c r="F1028" s="15" t="s">
        <v>7107</v>
      </c>
      <c r="G1028" s="18"/>
      <c r="H1028" s="18"/>
      <c r="I1028" s="18"/>
      <c r="J1028" s="18"/>
    </row>
    <row r="1029" ht="15.75" customHeight="1">
      <c r="A1029" s="15" t="s">
        <v>7229</v>
      </c>
      <c r="B1029" s="15" t="s">
        <v>301</v>
      </c>
      <c r="C1029" s="15" t="s">
        <v>98</v>
      </c>
      <c r="D1029" s="56" t="s">
        <v>7230</v>
      </c>
      <c r="E1029" s="15" t="s">
        <v>807</v>
      </c>
      <c r="F1029" s="15" t="s">
        <v>7107</v>
      </c>
      <c r="G1029" s="18"/>
      <c r="H1029" s="18"/>
      <c r="I1029" s="18"/>
      <c r="J1029" s="18"/>
    </row>
    <row r="1030" ht="15.75" customHeight="1">
      <c r="A1030" s="15" t="s">
        <v>7231</v>
      </c>
      <c r="B1030" s="15" t="s">
        <v>301</v>
      </c>
      <c r="C1030" s="15" t="s">
        <v>98</v>
      </c>
      <c r="D1030" s="56" t="s">
        <v>7232</v>
      </c>
      <c r="E1030" s="15" t="s">
        <v>807</v>
      </c>
      <c r="F1030" s="15" t="s">
        <v>7107</v>
      </c>
      <c r="G1030" s="18"/>
      <c r="H1030" s="18"/>
      <c r="I1030" s="18"/>
      <c r="J1030" s="18"/>
    </row>
    <row r="1031" ht="15.75" customHeight="1">
      <c r="A1031" s="15" t="s">
        <v>7233</v>
      </c>
      <c r="B1031" s="15" t="s">
        <v>301</v>
      </c>
      <c r="C1031" s="15" t="s">
        <v>98</v>
      </c>
      <c r="D1031" s="56" t="s">
        <v>7234</v>
      </c>
      <c r="E1031" s="15" t="s">
        <v>807</v>
      </c>
      <c r="F1031" s="15" t="s">
        <v>7107</v>
      </c>
      <c r="G1031" s="18"/>
      <c r="H1031" s="18"/>
      <c r="I1031" s="18"/>
      <c r="J1031" s="18"/>
    </row>
    <row r="1032" ht="15.75" customHeight="1">
      <c r="A1032" s="15" t="s">
        <v>7235</v>
      </c>
      <c r="B1032" s="15" t="s">
        <v>301</v>
      </c>
      <c r="C1032" s="15" t="s">
        <v>98</v>
      </c>
      <c r="D1032" s="56" t="s">
        <v>7236</v>
      </c>
      <c r="E1032" s="15" t="s">
        <v>807</v>
      </c>
      <c r="F1032" s="15" t="s">
        <v>7107</v>
      </c>
      <c r="G1032" s="18"/>
      <c r="H1032" s="18"/>
      <c r="I1032" s="18"/>
      <c r="J1032" s="18"/>
    </row>
    <row r="1033" ht="15.75" customHeight="1">
      <c r="A1033" s="15" t="s">
        <v>7237</v>
      </c>
      <c r="B1033" s="15" t="s">
        <v>301</v>
      </c>
      <c r="C1033" s="15" t="s">
        <v>98</v>
      </c>
      <c r="D1033" s="56" t="s">
        <v>7238</v>
      </c>
      <c r="E1033" s="15" t="s">
        <v>807</v>
      </c>
      <c r="F1033" s="15" t="s">
        <v>7107</v>
      </c>
      <c r="G1033" s="18"/>
      <c r="H1033" s="18"/>
      <c r="I1033" s="18"/>
      <c r="J1033" s="18"/>
    </row>
    <row r="1034" ht="15.75" customHeight="1">
      <c r="A1034" s="15" t="s">
        <v>7239</v>
      </c>
      <c r="B1034" s="15" t="s">
        <v>301</v>
      </c>
      <c r="C1034" s="15" t="s">
        <v>98</v>
      </c>
      <c r="D1034" s="56" t="s">
        <v>7240</v>
      </c>
      <c r="E1034" s="15" t="s">
        <v>807</v>
      </c>
      <c r="F1034" s="15" t="s">
        <v>7107</v>
      </c>
      <c r="G1034" s="18"/>
      <c r="H1034" s="18"/>
      <c r="I1034" s="18"/>
      <c r="J1034" s="18"/>
    </row>
    <row r="1035" ht="15.75" customHeight="1">
      <c r="A1035" s="15" t="s">
        <v>7241</v>
      </c>
      <c r="B1035" s="15" t="s">
        <v>301</v>
      </c>
      <c r="C1035" s="15" t="s">
        <v>98</v>
      </c>
      <c r="D1035" s="56" t="s">
        <v>7242</v>
      </c>
      <c r="E1035" s="15" t="s">
        <v>807</v>
      </c>
      <c r="F1035" s="15" t="s">
        <v>7107</v>
      </c>
      <c r="G1035" s="18"/>
      <c r="H1035" s="18"/>
      <c r="I1035" s="18"/>
      <c r="J1035" s="18"/>
    </row>
    <row r="1036" ht="15.75" customHeight="1">
      <c r="A1036" s="15" t="s">
        <v>7243</v>
      </c>
      <c r="B1036" s="15" t="s">
        <v>301</v>
      </c>
      <c r="C1036" s="15" t="s">
        <v>98</v>
      </c>
      <c r="D1036" s="56" t="s">
        <v>7244</v>
      </c>
      <c r="E1036" s="15" t="s">
        <v>807</v>
      </c>
      <c r="F1036" s="15" t="s">
        <v>7107</v>
      </c>
      <c r="G1036" s="18"/>
      <c r="H1036" s="18"/>
      <c r="I1036" s="18"/>
      <c r="J1036" s="18"/>
    </row>
    <row r="1037" ht="15.75" customHeight="1">
      <c r="A1037" s="15" t="s">
        <v>7245</v>
      </c>
      <c r="B1037" s="15" t="s">
        <v>301</v>
      </c>
      <c r="C1037" s="15" t="s">
        <v>98</v>
      </c>
      <c r="D1037" s="56" t="s">
        <v>7248</v>
      </c>
      <c r="E1037" s="15" t="s">
        <v>807</v>
      </c>
      <c r="F1037" s="15" t="s">
        <v>7107</v>
      </c>
      <c r="G1037" s="18"/>
      <c r="H1037" s="18"/>
      <c r="I1037" s="18"/>
      <c r="J1037" s="18"/>
    </row>
    <row r="1038" ht="15.75" customHeight="1">
      <c r="A1038" s="15" t="s">
        <v>7253</v>
      </c>
      <c r="B1038" s="15" t="s">
        <v>301</v>
      </c>
      <c r="C1038" s="15" t="s">
        <v>98</v>
      </c>
      <c r="D1038" s="56" t="s">
        <v>7254</v>
      </c>
      <c r="E1038" s="15" t="s">
        <v>807</v>
      </c>
      <c r="F1038" s="15" t="s">
        <v>7107</v>
      </c>
      <c r="G1038" s="18"/>
      <c r="H1038" s="18"/>
      <c r="I1038" s="18"/>
      <c r="J1038" s="18"/>
    </row>
    <row r="1039" ht="15.75" customHeight="1">
      <c r="A1039" s="15" t="s">
        <v>7255</v>
      </c>
      <c r="B1039" s="15" t="s">
        <v>301</v>
      </c>
      <c r="C1039" s="15" t="s">
        <v>98</v>
      </c>
      <c r="D1039" s="56" t="s">
        <v>7256</v>
      </c>
      <c r="E1039" s="15" t="s">
        <v>807</v>
      </c>
      <c r="F1039" s="15" t="s">
        <v>7107</v>
      </c>
      <c r="G1039" s="18"/>
      <c r="H1039" s="18"/>
      <c r="I1039" s="18"/>
      <c r="J1039" s="18"/>
    </row>
    <row r="1040" ht="15.75" customHeight="1">
      <c r="A1040" s="15" t="s">
        <v>7257</v>
      </c>
      <c r="B1040" s="15" t="s">
        <v>301</v>
      </c>
      <c r="C1040" s="15" t="s">
        <v>98</v>
      </c>
      <c r="D1040" s="56" t="s">
        <v>7258</v>
      </c>
      <c r="E1040" s="15" t="s">
        <v>807</v>
      </c>
      <c r="F1040" s="15" t="s">
        <v>7107</v>
      </c>
      <c r="G1040" s="18"/>
      <c r="H1040" s="18"/>
      <c r="I1040" s="18"/>
      <c r="J1040" s="18"/>
    </row>
    <row r="1041" ht="15.75" customHeight="1">
      <c r="A1041" s="15" t="s">
        <v>7259</v>
      </c>
      <c r="B1041" s="15" t="s">
        <v>301</v>
      </c>
      <c r="C1041" s="15" t="s">
        <v>98</v>
      </c>
      <c r="D1041" s="56" t="s">
        <v>7260</v>
      </c>
      <c r="E1041" s="15" t="s">
        <v>807</v>
      </c>
      <c r="F1041" s="15" t="s">
        <v>7107</v>
      </c>
      <c r="G1041" s="18"/>
      <c r="H1041" s="18"/>
      <c r="I1041" s="18"/>
      <c r="J1041" s="18"/>
    </row>
    <row r="1042" ht="15.75" customHeight="1">
      <c r="A1042" s="15" t="s">
        <v>7261</v>
      </c>
      <c r="B1042" s="15" t="s">
        <v>217</v>
      </c>
      <c r="C1042" s="15" t="s">
        <v>98</v>
      </c>
      <c r="D1042" s="56" t="s">
        <v>7262</v>
      </c>
      <c r="E1042" s="15" t="s">
        <v>807</v>
      </c>
      <c r="F1042" s="15" t="s">
        <v>7263</v>
      </c>
      <c r="G1042" s="18"/>
      <c r="H1042" s="18"/>
      <c r="I1042" s="18"/>
      <c r="J1042" s="18"/>
    </row>
    <row r="1043" ht="15.75" customHeight="1">
      <c r="A1043" s="15" t="s">
        <v>7264</v>
      </c>
      <c r="B1043" s="15" t="s">
        <v>217</v>
      </c>
      <c r="C1043" s="15" t="s">
        <v>98</v>
      </c>
      <c r="D1043" s="56" t="s">
        <v>7149</v>
      </c>
      <c r="E1043" s="15" t="s">
        <v>807</v>
      </c>
      <c r="F1043" s="15" t="s">
        <v>7263</v>
      </c>
      <c r="G1043" s="18"/>
      <c r="H1043" s="18"/>
      <c r="I1043" s="18"/>
      <c r="J1043" s="18"/>
    </row>
    <row r="1044" ht="15.75" customHeight="1">
      <c r="A1044" s="15" t="s">
        <v>7265</v>
      </c>
      <c r="B1044" s="15" t="s">
        <v>217</v>
      </c>
      <c r="C1044" s="15" t="s">
        <v>98</v>
      </c>
      <c r="D1044" s="56" t="s">
        <v>7266</v>
      </c>
      <c r="E1044" s="15" t="s">
        <v>807</v>
      </c>
      <c r="F1044" s="15" t="s">
        <v>7263</v>
      </c>
      <c r="G1044" s="18"/>
      <c r="H1044" s="18"/>
      <c r="I1044" s="18"/>
      <c r="J1044" s="18"/>
    </row>
    <row r="1045" ht="15.75" customHeight="1">
      <c r="A1045" s="15" t="s">
        <v>7267</v>
      </c>
      <c r="B1045" s="15" t="s">
        <v>217</v>
      </c>
      <c r="C1045" s="15" t="s">
        <v>98</v>
      </c>
      <c r="D1045" s="56" t="s">
        <v>7268</v>
      </c>
      <c r="E1045" s="15" t="s">
        <v>807</v>
      </c>
      <c r="F1045" s="15" t="s">
        <v>7263</v>
      </c>
      <c r="G1045" s="18"/>
      <c r="H1045" s="18"/>
      <c r="I1045" s="18"/>
      <c r="J1045" s="18"/>
    </row>
    <row r="1046" ht="15.75" customHeight="1">
      <c r="A1046" s="15" t="s">
        <v>7269</v>
      </c>
      <c r="B1046" s="15" t="s">
        <v>430</v>
      </c>
      <c r="C1046" s="15" t="s">
        <v>98</v>
      </c>
      <c r="D1046" s="56" t="s">
        <v>7270</v>
      </c>
      <c r="E1046" s="15" t="s">
        <v>807</v>
      </c>
      <c r="F1046" s="15" t="s">
        <v>7271</v>
      </c>
      <c r="G1046" s="18"/>
      <c r="H1046" s="18"/>
      <c r="I1046" s="18"/>
      <c r="J1046" s="18"/>
    </row>
    <row r="1047" ht="15.75" customHeight="1">
      <c r="A1047" s="15" t="s">
        <v>7274</v>
      </c>
      <c r="B1047" s="15" t="s">
        <v>430</v>
      </c>
      <c r="C1047" s="15" t="s">
        <v>98</v>
      </c>
      <c r="D1047" s="56" t="s">
        <v>7276</v>
      </c>
      <c r="E1047" s="15" t="s">
        <v>807</v>
      </c>
      <c r="F1047" s="15" t="s">
        <v>7271</v>
      </c>
      <c r="G1047" s="18"/>
      <c r="H1047" s="18"/>
      <c r="I1047" s="18"/>
      <c r="J1047" s="18"/>
    </row>
    <row r="1048" ht="15.75" customHeight="1">
      <c r="A1048" s="15" t="s">
        <v>7280</v>
      </c>
      <c r="B1048" s="15" t="s">
        <v>430</v>
      </c>
      <c r="C1048" s="15" t="s">
        <v>98</v>
      </c>
      <c r="D1048" s="56" t="s">
        <v>7281</v>
      </c>
      <c r="E1048" s="15" t="s">
        <v>807</v>
      </c>
      <c r="F1048" s="15" t="s">
        <v>7271</v>
      </c>
      <c r="G1048" s="18"/>
      <c r="H1048" s="18"/>
      <c r="I1048" s="18"/>
      <c r="J1048" s="18"/>
    </row>
    <row r="1049" ht="15.75" customHeight="1">
      <c r="A1049" s="15" t="s">
        <v>7282</v>
      </c>
      <c r="B1049" s="15" t="s">
        <v>430</v>
      </c>
      <c r="C1049" s="15" t="s">
        <v>98</v>
      </c>
      <c r="D1049" s="56" t="s">
        <v>7283</v>
      </c>
      <c r="E1049" s="15" t="s">
        <v>807</v>
      </c>
      <c r="F1049" s="15" t="s">
        <v>7271</v>
      </c>
      <c r="G1049" s="18"/>
      <c r="H1049" s="18"/>
      <c r="I1049" s="18"/>
      <c r="J1049" s="18"/>
    </row>
    <row r="1050" ht="15.75" customHeight="1">
      <c r="A1050" s="15" t="s">
        <v>7284</v>
      </c>
      <c r="B1050" s="15" t="s">
        <v>430</v>
      </c>
      <c r="C1050" s="15" t="s">
        <v>98</v>
      </c>
      <c r="D1050" s="56" t="s">
        <v>7285</v>
      </c>
      <c r="E1050" s="15" t="s">
        <v>807</v>
      </c>
      <c r="F1050" s="15" t="s">
        <v>7271</v>
      </c>
      <c r="G1050" s="18"/>
      <c r="H1050" s="18"/>
      <c r="I1050" s="18"/>
      <c r="J1050" s="18"/>
    </row>
    <row r="1051" ht="15.75" customHeight="1">
      <c r="A1051" s="15" t="s">
        <v>7286</v>
      </c>
      <c r="B1051" s="15" t="s">
        <v>430</v>
      </c>
      <c r="C1051" s="15" t="s">
        <v>98</v>
      </c>
      <c r="D1051" s="56" t="s">
        <v>7287</v>
      </c>
      <c r="E1051" s="15" t="s">
        <v>807</v>
      </c>
      <c r="F1051" s="15" t="s">
        <v>7271</v>
      </c>
      <c r="G1051" s="18"/>
      <c r="H1051" s="18"/>
      <c r="I1051" s="18"/>
      <c r="J1051" s="18"/>
    </row>
    <row r="1052" ht="15.75" customHeight="1">
      <c r="A1052" s="15" t="s">
        <v>7288</v>
      </c>
      <c r="B1052" s="15" t="s">
        <v>430</v>
      </c>
      <c r="C1052" s="15" t="s">
        <v>98</v>
      </c>
      <c r="D1052" s="56" t="s">
        <v>7289</v>
      </c>
      <c r="E1052" s="15" t="s">
        <v>807</v>
      </c>
      <c r="F1052" s="15" t="s">
        <v>7271</v>
      </c>
      <c r="G1052" s="18"/>
      <c r="H1052" s="18"/>
      <c r="I1052" s="18"/>
      <c r="J1052" s="18"/>
    </row>
    <row r="1053" ht="15.75" customHeight="1">
      <c r="A1053" s="15" t="s">
        <v>7290</v>
      </c>
      <c r="B1053" s="15" t="s">
        <v>430</v>
      </c>
      <c r="C1053" s="15" t="s">
        <v>98</v>
      </c>
      <c r="D1053" s="56" t="s">
        <v>7291</v>
      </c>
      <c r="E1053" s="15" t="s">
        <v>807</v>
      </c>
      <c r="F1053" s="15" t="s">
        <v>7271</v>
      </c>
      <c r="G1053" s="18"/>
      <c r="H1053" s="18"/>
      <c r="I1053" s="18"/>
      <c r="J1053" s="18"/>
    </row>
    <row r="1054" ht="15.75" customHeight="1">
      <c r="A1054" s="15" t="s">
        <v>7292</v>
      </c>
      <c r="B1054" s="15" t="s">
        <v>430</v>
      </c>
      <c r="C1054" s="15" t="s">
        <v>98</v>
      </c>
      <c r="D1054" s="56" t="s">
        <v>7293</v>
      </c>
      <c r="E1054" s="15" t="s">
        <v>807</v>
      </c>
      <c r="F1054" s="15" t="s">
        <v>7271</v>
      </c>
      <c r="G1054" s="18"/>
      <c r="H1054" s="18"/>
      <c r="I1054" s="18"/>
      <c r="J1054" s="18"/>
    </row>
    <row r="1055" ht="15.75" customHeight="1">
      <c r="A1055" s="15" t="s">
        <v>7294</v>
      </c>
      <c r="B1055" s="15" t="s">
        <v>430</v>
      </c>
      <c r="C1055" s="15" t="s">
        <v>98</v>
      </c>
      <c r="D1055" s="56" t="s">
        <v>7295</v>
      </c>
      <c r="E1055" s="15" t="s">
        <v>807</v>
      </c>
      <c r="F1055" s="15" t="s">
        <v>7271</v>
      </c>
      <c r="G1055" s="18"/>
      <c r="H1055" s="18"/>
      <c r="I1055" s="18"/>
      <c r="J1055" s="18"/>
    </row>
    <row r="1056" ht="15.75" customHeight="1">
      <c r="A1056" s="15" t="s">
        <v>7296</v>
      </c>
      <c r="B1056" s="15" t="s">
        <v>430</v>
      </c>
      <c r="C1056" s="15" t="s">
        <v>98</v>
      </c>
      <c r="D1056" s="56" t="s">
        <v>7297</v>
      </c>
      <c r="E1056" s="15" t="s">
        <v>807</v>
      </c>
      <c r="F1056" s="15" t="s">
        <v>7271</v>
      </c>
      <c r="G1056" s="18"/>
      <c r="H1056" s="18"/>
      <c r="I1056" s="18"/>
      <c r="J1056" s="18"/>
    </row>
    <row r="1057" ht="15.75" customHeight="1">
      <c r="A1057" s="15" t="s">
        <v>7298</v>
      </c>
      <c r="B1057" s="15" t="s">
        <v>430</v>
      </c>
      <c r="C1057" s="15" t="s">
        <v>98</v>
      </c>
      <c r="D1057" s="56" t="s">
        <v>7299</v>
      </c>
      <c r="E1057" s="15" t="s">
        <v>807</v>
      </c>
      <c r="F1057" s="15" t="s">
        <v>7271</v>
      </c>
      <c r="G1057" s="18"/>
      <c r="H1057" s="18"/>
      <c r="I1057" s="18"/>
      <c r="J1057" s="18"/>
    </row>
    <row r="1058" ht="15.75" customHeight="1">
      <c r="A1058" s="15" t="s">
        <v>7302</v>
      </c>
      <c r="B1058" s="15" t="s">
        <v>430</v>
      </c>
      <c r="C1058" s="15" t="s">
        <v>98</v>
      </c>
      <c r="D1058" s="56" t="s">
        <v>7306</v>
      </c>
      <c r="E1058" s="15" t="s">
        <v>807</v>
      </c>
      <c r="F1058" s="15" t="s">
        <v>7271</v>
      </c>
      <c r="G1058" s="18"/>
      <c r="H1058" s="18"/>
      <c r="I1058" s="18"/>
      <c r="J1058" s="18"/>
    </row>
    <row r="1059" ht="15.75" customHeight="1">
      <c r="A1059" s="15" t="s">
        <v>7307</v>
      </c>
      <c r="B1059" s="15" t="s">
        <v>430</v>
      </c>
      <c r="C1059" s="15" t="s">
        <v>98</v>
      </c>
      <c r="D1059" s="56" t="s">
        <v>7308</v>
      </c>
      <c r="E1059" s="15" t="s">
        <v>807</v>
      </c>
      <c r="F1059" s="15" t="s">
        <v>7271</v>
      </c>
      <c r="G1059" s="18"/>
      <c r="H1059" s="18"/>
      <c r="I1059" s="18"/>
      <c r="J1059" s="18"/>
    </row>
    <row r="1060" ht="15.75" customHeight="1">
      <c r="A1060" s="15" t="s">
        <v>7309</v>
      </c>
      <c r="B1060" s="15" t="s">
        <v>430</v>
      </c>
      <c r="C1060" s="15" t="s">
        <v>98</v>
      </c>
      <c r="D1060" s="56" t="s">
        <v>7310</v>
      </c>
      <c r="E1060" s="15" t="s">
        <v>807</v>
      </c>
      <c r="F1060" s="15" t="s">
        <v>7271</v>
      </c>
      <c r="G1060" s="18"/>
      <c r="H1060" s="18"/>
      <c r="I1060" s="18"/>
      <c r="J1060" s="18"/>
    </row>
    <row r="1061" ht="15.75" customHeight="1">
      <c r="A1061" s="15" t="s">
        <v>7311</v>
      </c>
      <c r="B1061" s="15" t="s">
        <v>430</v>
      </c>
      <c r="C1061" s="15" t="s">
        <v>98</v>
      </c>
      <c r="D1061" s="56" t="s">
        <v>7312</v>
      </c>
      <c r="E1061" s="15" t="s">
        <v>807</v>
      </c>
      <c r="F1061" s="15" t="s">
        <v>7271</v>
      </c>
      <c r="G1061" s="18"/>
      <c r="H1061" s="18"/>
      <c r="I1061" s="18"/>
      <c r="J1061" s="18"/>
    </row>
    <row r="1062" ht="15.75" customHeight="1">
      <c r="A1062" s="15" t="s">
        <v>7313</v>
      </c>
      <c r="B1062" s="15" t="s">
        <v>430</v>
      </c>
      <c r="C1062" s="15" t="s">
        <v>98</v>
      </c>
      <c r="D1062" s="56" t="s">
        <v>7314</v>
      </c>
      <c r="E1062" s="15" t="s">
        <v>807</v>
      </c>
      <c r="F1062" s="15" t="s">
        <v>7271</v>
      </c>
      <c r="G1062" s="18"/>
      <c r="H1062" s="18"/>
      <c r="I1062" s="18"/>
      <c r="J1062" s="18"/>
    </row>
    <row r="1063" ht="15.75" customHeight="1">
      <c r="A1063" s="15" t="s">
        <v>7315</v>
      </c>
      <c r="B1063" s="15" t="s">
        <v>430</v>
      </c>
      <c r="C1063" s="15" t="s">
        <v>98</v>
      </c>
      <c r="D1063" s="56" t="s">
        <v>7316</v>
      </c>
      <c r="E1063" s="15" t="s">
        <v>807</v>
      </c>
      <c r="F1063" s="15" t="s">
        <v>7271</v>
      </c>
      <c r="G1063" s="18"/>
      <c r="H1063" s="18"/>
      <c r="I1063" s="18"/>
      <c r="J1063" s="18"/>
    </row>
    <row r="1064" ht="15.75" customHeight="1">
      <c r="A1064" s="15" t="s">
        <v>7317</v>
      </c>
      <c r="B1064" s="15" t="s">
        <v>430</v>
      </c>
      <c r="C1064" s="15" t="s">
        <v>98</v>
      </c>
      <c r="D1064" s="56" t="s">
        <v>7318</v>
      </c>
      <c r="E1064" s="15" t="s">
        <v>807</v>
      </c>
      <c r="F1064" s="15" t="s">
        <v>7271</v>
      </c>
      <c r="G1064" s="18"/>
      <c r="H1064" s="18"/>
      <c r="I1064" s="18"/>
      <c r="J1064" s="18"/>
    </row>
    <row r="1065" ht="15.75" customHeight="1">
      <c r="A1065" s="15" t="s">
        <v>7319</v>
      </c>
      <c r="B1065" s="15" t="s">
        <v>430</v>
      </c>
      <c r="C1065" s="15" t="s">
        <v>98</v>
      </c>
      <c r="D1065" s="56" t="s">
        <v>7320</v>
      </c>
      <c r="E1065" s="15" t="s">
        <v>807</v>
      </c>
      <c r="F1065" s="15" t="s">
        <v>7271</v>
      </c>
      <c r="G1065" s="18"/>
      <c r="H1065" s="18"/>
      <c r="I1065" s="18"/>
      <c r="J1065" s="18"/>
    </row>
    <row r="1066" ht="15.75" customHeight="1">
      <c r="A1066" s="15" t="s">
        <v>7321</v>
      </c>
      <c r="B1066" s="15" t="s">
        <v>255</v>
      </c>
      <c r="C1066" s="15" t="s">
        <v>98</v>
      </c>
      <c r="D1066" s="56" t="s">
        <v>7322</v>
      </c>
      <c r="E1066" s="15" t="s">
        <v>807</v>
      </c>
      <c r="F1066" s="15" t="s">
        <v>7107</v>
      </c>
      <c r="G1066" s="18"/>
      <c r="H1066" s="18"/>
      <c r="I1066" s="18"/>
      <c r="J1066" s="18"/>
    </row>
    <row r="1067" ht="15.75" customHeight="1">
      <c r="A1067" s="15" t="s">
        <v>7323</v>
      </c>
      <c r="B1067" s="15" t="s">
        <v>255</v>
      </c>
      <c r="C1067" s="15" t="s">
        <v>98</v>
      </c>
      <c r="D1067" s="56" t="s">
        <v>7325</v>
      </c>
      <c r="E1067" s="15" t="s">
        <v>807</v>
      </c>
      <c r="F1067" s="15" t="s">
        <v>7107</v>
      </c>
      <c r="G1067" s="18"/>
      <c r="H1067" s="18"/>
      <c r="I1067" s="18"/>
      <c r="J1067" s="18"/>
    </row>
    <row r="1068" ht="15.75" customHeight="1">
      <c r="A1068" s="15" t="s">
        <v>7330</v>
      </c>
      <c r="B1068" s="15" t="s">
        <v>255</v>
      </c>
      <c r="C1068" s="15" t="s">
        <v>98</v>
      </c>
      <c r="D1068" s="56" t="s">
        <v>7331</v>
      </c>
      <c r="E1068" s="15" t="s">
        <v>807</v>
      </c>
      <c r="F1068" s="15" t="s">
        <v>7107</v>
      </c>
      <c r="G1068" s="18"/>
      <c r="H1068" s="18"/>
      <c r="I1068" s="18"/>
      <c r="J1068" s="18"/>
    </row>
    <row r="1069" ht="15.75" customHeight="1">
      <c r="A1069" s="15" t="s">
        <v>7332</v>
      </c>
      <c r="B1069" s="15" t="s">
        <v>255</v>
      </c>
      <c r="C1069" s="15" t="s">
        <v>98</v>
      </c>
      <c r="D1069" s="56" t="s">
        <v>7333</v>
      </c>
      <c r="E1069" s="15" t="s">
        <v>807</v>
      </c>
      <c r="F1069" s="15" t="s">
        <v>7107</v>
      </c>
      <c r="G1069" s="18"/>
      <c r="H1069" s="18"/>
      <c r="I1069" s="18"/>
      <c r="J1069" s="18"/>
    </row>
    <row r="1070" ht="15.75" customHeight="1">
      <c r="A1070" s="15" t="s">
        <v>7334</v>
      </c>
      <c r="B1070" s="15" t="s">
        <v>255</v>
      </c>
      <c r="C1070" s="15" t="s">
        <v>98</v>
      </c>
      <c r="D1070" s="56" t="s">
        <v>7335</v>
      </c>
      <c r="E1070" s="15" t="s">
        <v>807</v>
      </c>
      <c r="F1070" s="15" t="s">
        <v>7107</v>
      </c>
      <c r="G1070" s="18"/>
      <c r="H1070" s="18"/>
      <c r="I1070" s="18"/>
      <c r="J1070" s="18"/>
    </row>
    <row r="1071" ht="15.75" customHeight="1">
      <c r="A1071" s="15" t="s">
        <v>7336</v>
      </c>
      <c r="B1071" s="15" t="s">
        <v>255</v>
      </c>
      <c r="C1071" s="15" t="s">
        <v>98</v>
      </c>
      <c r="D1071" s="56" t="s">
        <v>7337</v>
      </c>
      <c r="E1071" s="15" t="s">
        <v>807</v>
      </c>
      <c r="F1071" s="15" t="s">
        <v>7107</v>
      </c>
      <c r="G1071" s="18"/>
      <c r="H1071" s="18"/>
      <c r="I1071" s="18"/>
      <c r="J1071" s="18"/>
    </row>
    <row r="1072" ht="15.75" customHeight="1">
      <c r="A1072" s="15" t="s">
        <v>7338</v>
      </c>
      <c r="B1072" s="15" t="s">
        <v>255</v>
      </c>
      <c r="C1072" s="15" t="s">
        <v>98</v>
      </c>
      <c r="D1072" s="56" t="s">
        <v>7339</v>
      </c>
      <c r="E1072" s="15" t="s">
        <v>807</v>
      </c>
      <c r="F1072" s="15" t="s">
        <v>7107</v>
      </c>
      <c r="G1072" s="18"/>
      <c r="H1072" s="18"/>
      <c r="I1072" s="18"/>
      <c r="J1072" s="18"/>
    </row>
    <row r="1073" ht="15.75" customHeight="1">
      <c r="A1073" s="15" t="s">
        <v>7340</v>
      </c>
      <c r="B1073" s="15" t="s">
        <v>255</v>
      </c>
      <c r="C1073" s="15" t="s">
        <v>98</v>
      </c>
      <c r="D1073" s="56" t="s">
        <v>7341</v>
      </c>
      <c r="E1073" s="15" t="s">
        <v>807</v>
      </c>
      <c r="F1073" s="15" t="s">
        <v>7107</v>
      </c>
      <c r="G1073" s="18"/>
      <c r="H1073" s="18"/>
      <c r="I1073" s="18"/>
      <c r="J1073" s="18"/>
    </row>
    <row r="1074" ht="15.75" customHeight="1">
      <c r="A1074" s="15" t="s">
        <v>7342</v>
      </c>
      <c r="B1074" s="15" t="s">
        <v>255</v>
      </c>
      <c r="C1074" s="15" t="s">
        <v>98</v>
      </c>
      <c r="D1074" s="56" t="s">
        <v>7343</v>
      </c>
      <c r="E1074" s="15" t="s">
        <v>807</v>
      </c>
      <c r="F1074" s="15" t="s">
        <v>7107</v>
      </c>
      <c r="G1074" s="18"/>
      <c r="H1074" s="18"/>
      <c r="I1074" s="18"/>
      <c r="J1074" s="18"/>
    </row>
    <row r="1075" ht="15.75" customHeight="1">
      <c r="A1075" s="15" t="s">
        <v>7344</v>
      </c>
      <c r="B1075" s="15" t="s">
        <v>255</v>
      </c>
      <c r="C1075" s="15" t="s">
        <v>98</v>
      </c>
      <c r="D1075" s="56" t="s">
        <v>7345</v>
      </c>
      <c r="E1075" s="15" t="s">
        <v>807</v>
      </c>
      <c r="F1075" s="15" t="s">
        <v>7107</v>
      </c>
      <c r="G1075" s="18"/>
      <c r="H1075" s="18"/>
      <c r="I1075" s="18"/>
      <c r="J1075" s="18"/>
    </row>
    <row r="1076" ht="15.75" customHeight="1">
      <c r="A1076" s="15" t="s">
        <v>7346</v>
      </c>
      <c r="B1076" s="15" t="s">
        <v>255</v>
      </c>
      <c r="C1076" s="15" t="s">
        <v>98</v>
      </c>
      <c r="D1076" s="56" t="s">
        <v>7347</v>
      </c>
      <c r="E1076" s="15" t="s">
        <v>807</v>
      </c>
      <c r="F1076" s="15" t="s">
        <v>7107</v>
      </c>
      <c r="G1076" s="18"/>
      <c r="H1076" s="18"/>
      <c r="I1076" s="18"/>
      <c r="J1076" s="18"/>
    </row>
    <row r="1077" ht="15.75" customHeight="1">
      <c r="A1077" s="15" t="s">
        <v>7351</v>
      </c>
      <c r="B1077" s="15" t="s">
        <v>255</v>
      </c>
      <c r="C1077" s="15" t="s">
        <v>98</v>
      </c>
      <c r="D1077" s="56" t="s">
        <v>7354</v>
      </c>
      <c r="E1077" s="15" t="s">
        <v>807</v>
      </c>
      <c r="F1077" s="15" t="s">
        <v>7107</v>
      </c>
      <c r="G1077" s="18"/>
      <c r="H1077" s="18"/>
      <c r="I1077" s="18"/>
      <c r="J1077" s="18"/>
    </row>
    <row r="1078" ht="15.75" customHeight="1">
      <c r="A1078" s="15" t="s">
        <v>7355</v>
      </c>
      <c r="B1078" s="15" t="s">
        <v>255</v>
      </c>
      <c r="C1078" s="15" t="s">
        <v>98</v>
      </c>
      <c r="D1078" s="56" t="s">
        <v>7356</v>
      </c>
      <c r="E1078" s="15" t="s">
        <v>807</v>
      </c>
      <c r="F1078" s="15" t="s">
        <v>7107</v>
      </c>
      <c r="G1078" s="18"/>
      <c r="H1078" s="18"/>
      <c r="I1078" s="18"/>
      <c r="J1078" s="18"/>
    </row>
    <row r="1079" ht="15.75" customHeight="1">
      <c r="A1079" s="15" t="s">
        <v>7357</v>
      </c>
      <c r="B1079" s="15" t="s">
        <v>255</v>
      </c>
      <c r="C1079" s="15" t="s">
        <v>98</v>
      </c>
      <c r="D1079" s="56" t="s">
        <v>7358</v>
      </c>
      <c r="E1079" s="15" t="s">
        <v>807</v>
      </c>
      <c r="F1079" s="15" t="s">
        <v>7107</v>
      </c>
      <c r="G1079" s="18"/>
      <c r="H1079" s="18"/>
      <c r="I1079" s="18"/>
      <c r="J1079" s="18"/>
    </row>
    <row r="1080" ht="15.75" customHeight="1">
      <c r="A1080" s="15" t="s">
        <v>7359</v>
      </c>
      <c r="B1080" s="15" t="s">
        <v>255</v>
      </c>
      <c r="C1080" s="15" t="s">
        <v>98</v>
      </c>
      <c r="D1080" s="56" t="s">
        <v>7360</v>
      </c>
      <c r="E1080" s="15" t="s">
        <v>807</v>
      </c>
      <c r="F1080" s="15" t="s">
        <v>7107</v>
      </c>
      <c r="G1080" s="18"/>
      <c r="H1080" s="18"/>
      <c r="I1080" s="18"/>
      <c r="J1080" s="18"/>
    </row>
    <row r="1081" ht="15.75" customHeight="1">
      <c r="A1081" s="15" t="s">
        <v>7361</v>
      </c>
      <c r="B1081" s="15" t="s">
        <v>255</v>
      </c>
      <c r="C1081" s="15" t="s">
        <v>98</v>
      </c>
      <c r="D1081" s="56" t="s">
        <v>7362</v>
      </c>
      <c r="E1081" s="15" t="s">
        <v>807</v>
      </c>
      <c r="F1081" s="15" t="s">
        <v>7107</v>
      </c>
      <c r="G1081" s="18"/>
      <c r="H1081" s="18"/>
      <c r="I1081" s="18"/>
      <c r="J1081" s="18"/>
    </row>
    <row r="1082" ht="15.75" customHeight="1">
      <c r="A1082" s="15" t="s">
        <v>7363</v>
      </c>
      <c r="B1082" s="15" t="s">
        <v>255</v>
      </c>
      <c r="C1082" s="15" t="s">
        <v>98</v>
      </c>
      <c r="D1082" s="56" t="s">
        <v>7364</v>
      </c>
      <c r="E1082" s="15" t="s">
        <v>807</v>
      </c>
      <c r="F1082" s="15" t="s">
        <v>7107</v>
      </c>
      <c r="G1082" s="18"/>
      <c r="H1082" s="18"/>
      <c r="I1082" s="18"/>
      <c r="J1082" s="18"/>
    </row>
    <row r="1083" ht="15.75" customHeight="1">
      <c r="A1083" s="15" t="s">
        <v>7365</v>
      </c>
      <c r="B1083" s="15" t="s">
        <v>255</v>
      </c>
      <c r="C1083" s="15" t="s">
        <v>98</v>
      </c>
      <c r="D1083" s="56" t="s">
        <v>7366</v>
      </c>
      <c r="E1083" s="15" t="s">
        <v>807</v>
      </c>
      <c r="F1083" s="15" t="s">
        <v>7107</v>
      </c>
      <c r="G1083" s="18"/>
      <c r="H1083" s="18"/>
      <c r="I1083" s="18"/>
      <c r="J1083" s="18"/>
    </row>
    <row r="1084" ht="15.75" customHeight="1">
      <c r="A1084" s="15" t="s">
        <v>7367</v>
      </c>
      <c r="B1084" s="15" t="s">
        <v>255</v>
      </c>
      <c r="C1084" s="15" t="s">
        <v>98</v>
      </c>
      <c r="D1084" s="56" t="s">
        <v>7368</v>
      </c>
      <c r="E1084" s="15" t="s">
        <v>807</v>
      </c>
      <c r="F1084" s="15" t="s">
        <v>7107</v>
      </c>
      <c r="G1084" s="18"/>
      <c r="H1084" s="18"/>
      <c r="I1084" s="18"/>
      <c r="J1084" s="18"/>
    </row>
    <row r="1085" ht="15.75" customHeight="1">
      <c r="A1085" s="15" t="s">
        <v>7369</v>
      </c>
      <c r="B1085" s="15" t="s">
        <v>255</v>
      </c>
      <c r="C1085" s="15" t="s">
        <v>98</v>
      </c>
      <c r="D1085" s="56" t="s">
        <v>7370</v>
      </c>
      <c r="E1085" s="15" t="s">
        <v>807</v>
      </c>
      <c r="F1085" s="15" t="s">
        <v>7107</v>
      </c>
      <c r="G1085" s="18"/>
      <c r="H1085" s="18"/>
      <c r="I1085" s="18"/>
      <c r="J1085" s="18"/>
    </row>
    <row r="1086" ht="15.75" customHeight="1">
      <c r="A1086" s="15" t="s">
        <v>7371</v>
      </c>
      <c r="B1086" s="15" t="s">
        <v>255</v>
      </c>
      <c r="C1086" s="15" t="s">
        <v>98</v>
      </c>
      <c r="D1086" s="56" t="s">
        <v>7374</v>
      </c>
      <c r="E1086" s="15" t="s">
        <v>807</v>
      </c>
      <c r="F1086" s="15" t="s">
        <v>7107</v>
      </c>
      <c r="G1086" s="18"/>
      <c r="H1086" s="18"/>
      <c r="I1086" s="18"/>
      <c r="J1086" s="18"/>
    </row>
    <row r="1087" ht="15.75" customHeight="1">
      <c r="A1087" s="15" t="s">
        <v>7376</v>
      </c>
      <c r="B1087" s="15" t="s">
        <v>255</v>
      </c>
      <c r="C1087" s="15" t="s">
        <v>98</v>
      </c>
      <c r="D1087" s="56" t="s">
        <v>7377</v>
      </c>
      <c r="E1087" s="15" t="s">
        <v>807</v>
      </c>
      <c r="F1087" s="15" t="s">
        <v>7107</v>
      </c>
      <c r="G1087" s="18"/>
      <c r="H1087" s="18"/>
      <c r="I1087" s="18"/>
      <c r="J1087" s="18"/>
    </row>
    <row r="1088" ht="15.75" customHeight="1">
      <c r="A1088" s="15" t="s">
        <v>7378</v>
      </c>
      <c r="B1088" s="15" t="s">
        <v>255</v>
      </c>
      <c r="C1088" s="15" t="s">
        <v>98</v>
      </c>
      <c r="D1088" s="56" t="s">
        <v>7379</v>
      </c>
      <c r="E1088" s="15" t="s">
        <v>807</v>
      </c>
      <c r="F1088" s="15" t="s">
        <v>7107</v>
      </c>
      <c r="G1088" s="18"/>
      <c r="H1088" s="18"/>
      <c r="I1088" s="18"/>
      <c r="J1088" s="18"/>
    </row>
    <row r="1089" ht="15.75" customHeight="1">
      <c r="A1089" s="15" t="s">
        <v>7380</v>
      </c>
      <c r="B1089" s="15" t="s">
        <v>255</v>
      </c>
      <c r="C1089" s="15" t="s">
        <v>98</v>
      </c>
      <c r="D1089" s="56" t="s">
        <v>7381</v>
      </c>
      <c r="E1089" s="15" t="s">
        <v>807</v>
      </c>
      <c r="F1089" s="15" t="s">
        <v>7107</v>
      </c>
      <c r="G1089" s="18"/>
      <c r="H1089" s="18"/>
      <c r="I1089" s="18"/>
      <c r="J1089" s="18"/>
    </row>
    <row r="1090" ht="15.75" customHeight="1">
      <c r="A1090" s="15" t="s">
        <v>7382</v>
      </c>
      <c r="B1090" s="15" t="s">
        <v>255</v>
      </c>
      <c r="C1090" s="15" t="s">
        <v>98</v>
      </c>
      <c r="D1090" s="56" t="s">
        <v>7383</v>
      </c>
      <c r="E1090" s="15" t="s">
        <v>807</v>
      </c>
      <c r="F1090" s="15" t="s">
        <v>7107</v>
      </c>
      <c r="G1090" s="18"/>
      <c r="H1090" s="18"/>
      <c r="I1090" s="18"/>
      <c r="J1090" s="18"/>
    </row>
    <row r="1091" ht="15.75" customHeight="1">
      <c r="A1091" s="15" t="s">
        <v>7384</v>
      </c>
      <c r="B1091" s="15" t="s">
        <v>255</v>
      </c>
      <c r="C1091" s="15" t="s">
        <v>98</v>
      </c>
      <c r="D1091" s="56" t="s">
        <v>7385</v>
      </c>
      <c r="E1091" s="15" t="s">
        <v>807</v>
      </c>
      <c r="F1091" s="15" t="s">
        <v>7107</v>
      </c>
      <c r="G1091" s="18"/>
      <c r="H1091" s="18"/>
      <c r="I1091" s="18"/>
      <c r="J1091" s="18"/>
    </row>
    <row r="1092" ht="15.75" customHeight="1">
      <c r="A1092" s="15" t="s">
        <v>7386</v>
      </c>
      <c r="B1092" s="15" t="s">
        <v>215</v>
      </c>
      <c r="C1092" s="15" t="s">
        <v>98</v>
      </c>
      <c r="D1092" s="56" t="s">
        <v>7387</v>
      </c>
      <c r="E1092" s="15" t="s">
        <v>807</v>
      </c>
      <c r="F1092" s="15" t="s">
        <v>7388</v>
      </c>
      <c r="G1092" s="18"/>
      <c r="H1092" s="18"/>
      <c r="I1092" s="18"/>
      <c r="J1092" s="18"/>
    </row>
    <row r="1093" ht="15.75" customHeight="1">
      <c r="A1093" s="15" t="s">
        <v>7389</v>
      </c>
      <c r="B1093" s="15" t="s">
        <v>215</v>
      </c>
      <c r="C1093" s="15" t="s">
        <v>98</v>
      </c>
      <c r="D1093" s="56" t="s">
        <v>7390</v>
      </c>
      <c r="E1093" s="15" t="s">
        <v>807</v>
      </c>
      <c r="F1093" s="15" t="s">
        <v>7388</v>
      </c>
      <c r="G1093" s="18"/>
      <c r="H1093" s="18"/>
      <c r="I1093" s="18"/>
      <c r="J1093" s="18"/>
    </row>
    <row r="1094" ht="15.75" customHeight="1">
      <c r="A1094" s="15" t="s">
        <v>7391</v>
      </c>
      <c r="B1094" s="15" t="s">
        <v>215</v>
      </c>
      <c r="C1094" s="15" t="s">
        <v>98</v>
      </c>
      <c r="D1094" s="56" t="s">
        <v>7392</v>
      </c>
      <c r="E1094" s="15" t="s">
        <v>807</v>
      </c>
      <c r="F1094" s="15" t="s">
        <v>7388</v>
      </c>
      <c r="G1094" s="18"/>
      <c r="H1094" s="18"/>
      <c r="I1094" s="18"/>
      <c r="J1094" s="18"/>
    </row>
    <row r="1095" ht="15.75" customHeight="1">
      <c r="A1095" s="15" t="s">
        <v>7393</v>
      </c>
      <c r="B1095" s="15" t="s">
        <v>215</v>
      </c>
      <c r="C1095" s="15" t="s">
        <v>98</v>
      </c>
      <c r="D1095" s="56" t="s">
        <v>7394</v>
      </c>
      <c r="E1095" s="15" t="s">
        <v>807</v>
      </c>
      <c r="F1095" s="15" t="s">
        <v>7388</v>
      </c>
      <c r="G1095" s="18"/>
      <c r="H1095" s="18"/>
      <c r="I1095" s="18"/>
      <c r="J1095" s="18"/>
    </row>
    <row r="1096" ht="15.75" customHeight="1">
      <c r="A1096" s="15" t="s">
        <v>7397</v>
      </c>
      <c r="B1096" s="15" t="s">
        <v>215</v>
      </c>
      <c r="C1096" s="15" t="s">
        <v>98</v>
      </c>
      <c r="D1096" s="56" t="s">
        <v>7399</v>
      </c>
      <c r="E1096" s="15" t="s">
        <v>807</v>
      </c>
      <c r="F1096" s="15" t="s">
        <v>7388</v>
      </c>
      <c r="G1096" s="18"/>
      <c r="H1096" s="18"/>
      <c r="I1096" s="18"/>
      <c r="J1096" s="18"/>
    </row>
    <row r="1097" ht="15.75" customHeight="1">
      <c r="A1097" s="15" t="s">
        <v>7404</v>
      </c>
      <c r="B1097" s="15" t="s">
        <v>215</v>
      </c>
      <c r="C1097" s="15" t="s">
        <v>98</v>
      </c>
      <c r="D1097" s="56" t="s">
        <v>7405</v>
      </c>
      <c r="E1097" s="15" t="s">
        <v>807</v>
      </c>
      <c r="F1097" s="15" t="s">
        <v>7388</v>
      </c>
      <c r="G1097" s="18"/>
      <c r="H1097" s="18"/>
      <c r="I1097" s="18"/>
      <c r="J1097" s="18"/>
    </row>
    <row r="1098" ht="15.75" customHeight="1">
      <c r="A1098" s="15" t="s">
        <v>7406</v>
      </c>
      <c r="B1098" s="15" t="s">
        <v>215</v>
      </c>
      <c r="C1098" s="15" t="s">
        <v>98</v>
      </c>
      <c r="D1098" s="56" t="s">
        <v>7407</v>
      </c>
      <c r="E1098" s="15" t="s">
        <v>807</v>
      </c>
      <c r="F1098" s="15" t="s">
        <v>7388</v>
      </c>
      <c r="G1098" s="18"/>
      <c r="H1098" s="18"/>
      <c r="I1098" s="18"/>
      <c r="J1098" s="18"/>
    </row>
    <row r="1099" ht="15.75" customHeight="1">
      <c r="A1099" s="15" t="s">
        <v>7408</v>
      </c>
      <c r="B1099" s="15" t="s">
        <v>215</v>
      </c>
      <c r="C1099" s="15" t="s">
        <v>98</v>
      </c>
      <c r="D1099" s="56" t="s">
        <v>7409</v>
      </c>
      <c r="E1099" s="15" t="s">
        <v>807</v>
      </c>
      <c r="F1099" s="15" t="s">
        <v>7388</v>
      </c>
      <c r="G1099" s="18"/>
      <c r="H1099" s="18"/>
      <c r="I1099" s="18"/>
      <c r="J1099" s="18"/>
    </row>
    <row r="1100" ht="15.75" customHeight="1">
      <c r="A1100" s="15" t="s">
        <v>7410</v>
      </c>
      <c r="B1100" s="15" t="s">
        <v>215</v>
      </c>
      <c r="C1100" s="15" t="s">
        <v>98</v>
      </c>
      <c r="D1100" s="56" t="s">
        <v>7411</v>
      </c>
      <c r="E1100" s="15" t="s">
        <v>807</v>
      </c>
      <c r="F1100" s="15" t="s">
        <v>7388</v>
      </c>
      <c r="G1100" s="18"/>
      <c r="H1100" s="18"/>
      <c r="I1100" s="18"/>
      <c r="J1100" s="18"/>
    </row>
    <row r="1101" ht="15.75" customHeight="1">
      <c r="A1101" s="15" t="s">
        <v>7412</v>
      </c>
      <c r="B1101" s="15" t="s">
        <v>215</v>
      </c>
      <c r="C1101" s="15" t="s">
        <v>98</v>
      </c>
      <c r="D1101" s="56" t="s">
        <v>7413</v>
      </c>
      <c r="E1101" s="15" t="s">
        <v>807</v>
      </c>
      <c r="F1101" s="15" t="s">
        <v>7388</v>
      </c>
      <c r="G1101" s="18"/>
      <c r="H1101" s="18"/>
      <c r="I1101" s="18"/>
      <c r="J1101" s="18"/>
    </row>
    <row r="1102" ht="15.75" customHeight="1">
      <c r="A1102" s="15" t="s">
        <v>7414</v>
      </c>
      <c r="B1102" s="15" t="s">
        <v>210</v>
      </c>
      <c r="C1102" s="15" t="s">
        <v>98</v>
      </c>
      <c r="D1102" s="56" t="s">
        <v>7415</v>
      </c>
      <c r="E1102" s="15" t="s">
        <v>807</v>
      </c>
      <c r="F1102" s="15" t="s">
        <v>7416</v>
      </c>
      <c r="G1102" s="18"/>
      <c r="H1102" s="18"/>
      <c r="I1102" s="18"/>
      <c r="J1102" s="18"/>
    </row>
    <row r="1103" ht="15.75" customHeight="1">
      <c r="A1103" s="15" t="s">
        <v>7417</v>
      </c>
      <c r="B1103" s="15" t="s">
        <v>210</v>
      </c>
      <c r="C1103" s="15" t="s">
        <v>98</v>
      </c>
      <c r="D1103" s="56" t="s">
        <v>7418</v>
      </c>
      <c r="E1103" s="15" t="s">
        <v>807</v>
      </c>
      <c r="F1103" s="15" t="s">
        <v>7416</v>
      </c>
      <c r="G1103" s="18"/>
      <c r="H1103" s="18"/>
      <c r="I1103" s="18"/>
      <c r="J1103" s="18"/>
    </row>
    <row r="1104" ht="15.75" customHeight="1">
      <c r="A1104" s="15" t="s">
        <v>7419</v>
      </c>
      <c r="B1104" s="15" t="s">
        <v>210</v>
      </c>
      <c r="C1104" s="15" t="s">
        <v>98</v>
      </c>
      <c r="D1104" s="56" t="s">
        <v>7420</v>
      </c>
      <c r="E1104" s="15" t="s">
        <v>807</v>
      </c>
      <c r="F1104" s="15" t="s">
        <v>7416</v>
      </c>
      <c r="G1104" s="18"/>
      <c r="H1104" s="18"/>
      <c r="I1104" s="18"/>
      <c r="J1104" s="18"/>
    </row>
    <row r="1105" ht="15.75" customHeight="1">
      <c r="A1105" s="15" t="s">
        <v>7421</v>
      </c>
      <c r="B1105" s="15" t="s">
        <v>210</v>
      </c>
      <c r="C1105" s="15" t="s">
        <v>98</v>
      </c>
      <c r="D1105" s="56" t="s">
        <v>7422</v>
      </c>
      <c r="E1105" s="15" t="s">
        <v>807</v>
      </c>
      <c r="F1105" s="15" t="s">
        <v>7416</v>
      </c>
      <c r="G1105" s="18"/>
      <c r="H1105" s="18"/>
      <c r="I1105" s="18"/>
      <c r="J1105" s="18"/>
    </row>
    <row r="1106" ht="15.75" customHeight="1">
      <c r="A1106" s="15" t="s">
        <v>7426</v>
      </c>
      <c r="B1106" s="15" t="s">
        <v>186</v>
      </c>
      <c r="C1106" s="15" t="s">
        <v>98</v>
      </c>
      <c r="D1106" s="56" t="s">
        <v>7428</v>
      </c>
      <c r="E1106" s="15" t="s">
        <v>807</v>
      </c>
      <c r="F1106" s="15" t="s">
        <v>7431</v>
      </c>
      <c r="G1106" s="18"/>
      <c r="H1106" s="18"/>
      <c r="I1106" s="18"/>
      <c r="J1106" s="18"/>
    </row>
    <row r="1107" ht="15.75" customHeight="1">
      <c r="A1107" s="15" t="s">
        <v>7432</v>
      </c>
      <c r="B1107" s="15" t="s">
        <v>186</v>
      </c>
      <c r="C1107" s="15" t="s">
        <v>98</v>
      </c>
      <c r="D1107" s="56" t="s">
        <v>7433</v>
      </c>
      <c r="E1107" s="15" t="s">
        <v>807</v>
      </c>
      <c r="F1107" s="15" t="s">
        <v>7431</v>
      </c>
      <c r="G1107" s="18"/>
      <c r="H1107" s="18"/>
      <c r="I1107" s="18"/>
      <c r="J1107" s="18"/>
    </row>
    <row r="1108" ht="15.75" customHeight="1">
      <c r="A1108" s="15" t="s">
        <v>7434</v>
      </c>
      <c r="B1108" s="15" t="s">
        <v>186</v>
      </c>
      <c r="C1108" s="15" t="s">
        <v>98</v>
      </c>
      <c r="D1108" s="56" t="s">
        <v>7435</v>
      </c>
      <c r="E1108" s="15" t="s">
        <v>807</v>
      </c>
      <c r="F1108" s="15" t="s">
        <v>7431</v>
      </c>
      <c r="G1108" s="18"/>
      <c r="H1108" s="18"/>
      <c r="I1108" s="18"/>
      <c r="J1108" s="18"/>
    </row>
    <row r="1109" ht="15.75" customHeight="1">
      <c r="A1109" s="15" t="s">
        <v>7436</v>
      </c>
      <c r="B1109" s="15" t="s">
        <v>186</v>
      </c>
      <c r="C1109" s="15" t="s">
        <v>98</v>
      </c>
      <c r="D1109" s="56" t="s">
        <v>7437</v>
      </c>
      <c r="E1109" s="15" t="s">
        <v>807</v>
      </c>
      <c r="F1109" s="15" t="s">
        <v>7431</v>
      </c>
      <c r="G1109" s="18"/>
      <c r="H1109" s="18"/>
      <c r="I1109" s="18"/>
      <c r="J1109" s="18"/>
    </row>
    <row r="1110" ht="15.75" customHeight="1">
      <c r="A1110" s="15" t="s">
        <v>7438</v>
      </c>
      <c r="B1110" s="15" t="s">
        <v>186</v>
      </c>
      <c r="C1110" s="15" t="s">
        <v>98</v>
      </c>
      <c r="D1110" s="56" t="s">
        <v>7439</v>
      </c>
      <c r="E1110" s="15" t="s">
        <v>807</v>
      </c>
      <c r="F1110" s="15" t="s">
        <v>7431</v>
      </c>
      <c r="G1110" s="18"/>
      <c r="H1110" s="18"/>
      <c r="I1110" s="18"/>
      <c r="J1110" s="18"/>
    </row>
    <row r="1111" ht="15.75" customHeight="1">
      <c r="A1111" s="15" t="s">
        <v>7440</v>
      </c>
      <c r="B1111" s="15" t="s">
        <v>186</v>
      </c>
      <c r="C1111" s="15" t="s">
        <v>98</v>
      </c>
      <c r="D1111" s="56" t="s">
        <v>7441</v>
      </c>
      <c r="E1111" s="15" t="s">
        <v>807</v>
      </c>
      <c r="F1111" s="15" t="s">
        <v>7431</v>
      </c>
      <c r="G1111" s="18"/>
      <c r="H1111" s="18"/>
      <c r="I1111" s="18"/>
      <c r="J1111" s="18"/>
    </row>
    <row r="1112" ht="15.75" customHeight="1">
      <c r="A1112" s="15" t="s">
        <v>7442</v>
      </c>
      <c r="B1112" s="15" t="s">
        <v>186</v>
      </c>
      <c r="C1112" s="15" t="s">
        <v>98</v>
      </c>
      <c r="D1112" s="56" t="s">
        <v>7443</v>
      </c>
      <c r="E1112" s="15" t="s">
        <v>807</v>
      </c>
      <c r="F1112" s="15" t="s">
        <v>7431</v>
      </c>
      <c r="G1112" s="18"/>
      <c r="H1112" s="18"/>
      <c r="I1112" s="18"/>
      <c r="J1112" s="18"/>
    </row>
    <row r="1113" ht="15.75" customHeight="1">
      <c r="A1113" s="15" t="s">
        <v>7444</v>
      </c>
      <c r="B1113" s="15" t="s">
        <v>186</v>
      </c>
      <c r="C1113" s="15" t="s">
        <v>98</v>
      </c>
      <c r="D1113" s="56" t="s">
        <v>7445</v>
      </c>
      <c r="E1113" s="15" t="s">
        <v>807</v>
      </c>
      <c r="F1113" s="15" t="s">
        <v>7431</v>
      </c>
      <c r="G1113" s="18"/>
      <c r="H1113" s="18"/>
      <c r="I1113" s="18"/>
      <c r="J1113" s="18"/>
    </row>
    <row r="1114" ht="15.75" customHeight="1">
      <c r="A1114" s="15" t="s">
        <v>7446</v>
      </c>
      <c r="B1114" s="15" t="s">
        <v>186</v>
      </c>
      <c r="C1114" s="15" t="s">
        <v>98</v>
      </c>
      <c r="D1114" s="56" t="s">
        <v>7447</v>
      </c>
      <c r="E1114" s="15" t="s">
        <v>807</v>
      </c>
      <c r="F1114" s="15" t="s">
        <v>7431</v>
      </c>
      <c r="G1114" s="18"/>
      <c r="H1114" s="18"/>
      <c r="I1114" s="18"/>
      <c r="J1114" s="18"/>
    </row>
    <row r="1115" ht="15.75" customHeight="1">
      <c r="A1115" s="15" t="s">
        <v>7448</v>
      </c>
      <c r="B1115" s="15" t="s">
        <v>186</v>
      </c>
      <c r="C1115" s="15" t="s">
        <v>98</v>
      </c>
      <c r="D1115" s="56" t="s">
        <v>7450</v>
      </c>
      <c r="E1115" s="15" t="s">
        <v>807</v>
      </c>
      <c r="F1115" s="15" t="s">
        <v>7431</v>
      </c>
      <c r="G1115" s="18"/>
      <c r="H1115" s="18"/>
      <c r="I1115" s="18"/>
      <c r="J1115" s="18"/>
    </row>
    <row r="1116" ht="15.75" customHeight="1">
      <c r="A1116" s="15" t="s">
        <v>7456</v>
      </c>
      <c r="B1116" s="15" t="s">
        <v>186</v>
      </c>
      <c r="C1116" s="15" t="s">
        <v>98</v>
      </c>
      <c r="D1116" s="56" t="s">
        <v>7457</v>
      </c>
      <c r="E1116" s="15" t="s">
        <v>807</v>
      </c>
      <c r="F1116" s="15" t="s">
        <v>7431</v>
      </c>
      <c r="G1116" s="18"/>
      <c r="H1116" s="18"/>
      <c r="I1116" s="18"/>
      <c r="J1116" s="18"/>
    </row>
    <row r="1117" ht="15.75" customHeight="1">
      <c r="A1117" s="15" t="s">
        <v>7458</v>
      </c>
      <c r="B1117" s="15" t="s">
        <v>186</v>
      </c>
      <c r="C1117" s="15" t="s">
        <v>98</v>
      </c>
      <c r="D1117" s="56" t="s">
        <v>7459</v>
      </c>
      <c r="E1117" s="15" t="s">
        <v>807</v>
      </c>
      <c r="F1117" s="15" t="s">
        <v>7431</v>
      </c>
      <c r="G1117" s="18"/>
      <c r="H1117" s="18"/>
      <c r="I1117" s="18"/>
      <c r="J1117" s="18"/>
    </row>
    <row r="1118" ht="15.75" customHeight="1">
      <c r="A1118" s="15" t="s">
        <v>7460</v>
      </c>
      <c r="B1118" s="15" t="s">
        <v>186</v>
      </c>
      <c r="C1118" s="15" t="s">
        <v>98</v>
      </c>
      <c r="D1118" s="56" t="s">
        <v>7461</v>
      </c>
      <c r="E1118" s="15" t="s">
        <v>807</v>
      </c>
      <c r="F1118" s="15" t="s">
        <v>7431</v>
      </c>
      <c r="G1118" s="18"/>
      <c r="H1118" s="18"/>
      <c r="I1118" s="18"/>
      <c r="J1118" s="18"/>
    </row>
    <row r="1119" ht="15.75" customHeight="1">
      <c r="A1119" s="15" t="s">
        <v>7462</v>
      </c>
      <c r="B1119" s="15" t="s">
        <v>186</v>
      </c>
      <c r="C1119" s="15" t="s">
        <v>98</v>
      </c>
      <c r="D1119" s="56" t="s">
        <v>7463</v>
      </c>
      <c r="E1119" s="15" t="s">
        <v>807</v>
      </c>
      <c r="F1119" s="15" t="s">
        <v>7431</v>
      </c>
      <c r="G1119" s="18"/>
      <c r="H1119" s="18"/>
      <c r="I1119" s="18"/>
      <c r="J1119" s="18"/>
    </row>
    <row r="1120" ht="15.75" customHeight="1">
      <c r="A1120" s="15" t="s">
        <v>7464</v>
      </c>
      <c r="B1120" s="15" t="s">
        <v>186</v>
      </c>
      <c r="C1120" s="15" t="s">
        <v>98</v>
      </c>
      <c r="D1120" s="56" t="s">
        <v>7465</v>
      </c>
      <c r="E1120" s="15" t="s">
        <v>807</v>
      </c>
      <c r="F1120" s="15" t="s">
        <v>7431</v>
      </c>
      <c r="G1120" s="18"/>
      <c r="H1120" s="18"/>
      <c r="I1120" s="18"/>
      <c r="J1120" s="18"/>
    </row>
    <row r="1121" ht="15.75" customHeight="1">
      <c r="A1121" s="15" t="s">
        <v>7466</v>
      </c>
      <c r="B1121" s="15" t="s">
        <v>186</v>
      </c>
      <c r="C1121" s="15" t="s">
        <v>98</v>
      </c>
      <c r="D1121" s="56" t="s">
        <v>7467</v>
      </c>
      <c r="E1121" s="15" t="s">
        <v>807</v>
      </c>
      <c r="F1121" s="15" t="s">
        <v>7431</v>
      </c>
      <c r="G1121" s="18"/>
      <c r="H1121" s="18"/>
      <c r="I1121" s="18"/>
      <c r="J1121" s="18"/>
    </row>
    <row r="1122" ht="15.75" customHeight="1">
      <c r="A1122" s="15" t="s">
        <v>7468</v>
      </c>
      <c r="B1122" s="15" t="s">
        <v>186</v>
      </c>
      <c r="C1122" s="15" t="s">
        <v>98</v>
      </c>
      <c r="D1122" s="56" t="s">
        <v>7469</v>
      </c>
      <c r="E1122" s="15" t="s">
        <v>807</v>
      </c>
      <c r="F1122" s="15" t="s">
        <v>7431</v>
      </c>
      <c r="G1122" s="18"/>
      <c r="H1122" s="18"/>
      <c r="I1122" s="18"/>
      <c r="J1122" s="18"/>
    </row>
    <row r="1123" ht="15.75" customHeight="1">
      <c r="A1123" s="15" t="s">
        <v>7470</v>
      </c>
      <c r="B1123" s="15" t="s">
        <v>186</v>
      </c>
      <c r="C1123" s="15" t="s">
        <v>98</v>
      </c>
      <c r="D1123" s="56" t="s">
        <v>7471</v>
      </c>
      <c r="E1123" s="15" t="s">
        <v>807</v>
      </c>
      <c r="F1123" s="15" t="s">
        <v>7431</v>
      </c>
      <c r="G1123" s="18"/>
      <c r="H1123" s="18"/>
      <c r="I1123" s="18"/>
      <c r="J1123" s="18"/>
    </row>
    <row r="1124" ht="15.75" customHeight="1">
      <c r="A1124" s="15" t="s">
        <v>7472</v>
      </c>
      <c r="B1124" s="15" t="s">
        <v>186</v>
      </c>
      <c r="C1124" s="15" t="s">
        <v>98</v>
      </c>
      <c r="D1124" s="56" t="s">
        <v>7473</v>
      </c>
      <c r="E1124" s="15" t="s">
        <v>807</v>
      </c>
      <c r="F1124" s="15" t="s">
        <v>7431</v>
      </c>
      <c r="G1124" s="18"/>
      <c r="H1124" s="18"/>
      <c r="I1124" s="18"/>
      <c r="J1124" s="18"/>
    </row>
    <row r="1125" ht="15.75" customHeight="1">
      <c r="A1125" s="15" t="s">
        <v>7477</v>
      </c>
      <c r="B1125" s="15" t="s">
        <v>186</v>
      </c>
      <c r="C1125" s="15" t="s">
        <v>98</v>
      </c>
      <c r="D1125" s="56" t="s">
        <v>7480</v>
      </c>
      <c r="E1125" s="15" t="s">
        <v>807</v>
      </c>
      <c r="F1125" s="15" t="s">
        <v>7431</v>
      </c>
      <c r="G1125" s="18"/>
      <c r="H1125" s="18"/>
      <c r="I1125" s="18"/>
      <c r="J1125" s="18"/>
    </row>
    <row r="1126" ht="15.75" customHeight="1">
      <c r="A1126" s="15" t="s">
        <v>7481</v>
      </c>
      <c r="B1126" s="15" t="s">
        <v>422</v>
      </c>
      <c r="C1126" s="15" t="s">
        <v>98</v>
      </c>
      <c r="D1126" s="56" t="s">
        <v>7482</v>
      </c>
      <c r="E1126" s="15" t="s">
        <v>807</v>
      </c>
      <c r="F1126" s="15" t="s">
        <v>7483</v>
      </c>
      <c r="G1126" s="18"/>
      <c r="H1126" s="18"/>
      <c r="I1126" s="18"/>
      <c r="J1126" s="18"/>
    </row>
    <row r="1127" ht="15.75" customHeight="1">
      <c r="A1127" s="15" t="s">
        <v>7484</v>
      </c>
      <c r="B1127" s="15" t="s">
        <v>422</v>
      </c>
      <c r="C1127" s="15" t="s">
        <v>98</v>
      </c>
      <c r="D1127" s="56" t="s">
        <v>7485</v>
      </c>
      <c r="E1127" s="15" t="s">
        <v>807</v>
      </c>
      <c r="F1127" s="15" t="s">
        <v>7483</v>
      </c>
      <c r="G1127" s="18"/>
      <c r="H1127" s="18"/>
      <c r="I1127" s="18"/>
      <c r="J1127" s="18"/>
    </row>
    <row r="1128" ht="15.75" customHeight="1">
      <c r="A1128" s="15" t="s">
        <v>7486</v>
      </c>
      <c r="B1128" s="15" t="s">
        <v>422</v>
      </c>
      <c r="C1128" s="15" t="s">
        <v>98</v>
      </c>
      <c r="D1128" s="56" t="s">
        <v>7487</v>
      </c>
      <c r="E1128" s="15" t="s">
        <v>807</v>
      </c>
      <c r="F1128" s="15" t="s">
        <v>7483</v>
      </c>
      <c r="G1128" s="18"/>
      <c r="H1128" s="18"/>
      <c r="I1128" s="18"/>
      <c r="J1128" s="18"/>
    </row>
    <row r="1129" ht="15.75" customHeight="1">
      <c r="A1129" s="15" t="s">
        <v>7488</v>
      </c>
      <c r="B1129" s="15" t="s">
        <v>422</v>
      </c>
      <c r="C1129" s="15" t="s">
        <v>98</v>
      </c>
      <c r="D1129" s="56" t="s">
        <v>7489</v>
      </c>
      <c r="E1129" s="15" t="s">
        <v>807</v>
      </c>
      <c r="F1129" s="15" t="s">
        <v>7483</v>
      </c>
      <c r="G1129" s="18"/>
      <c r="H1129" s="18"/>
      <c r="I1129" s="18"/>
      <c r="J1129" s="18"/>
    </row>
    <row r="1130" ht="15.75" customHeight="1">
      <c r="A1130" s="15" t="s">
        <v>7490</v>
      </c>
      <c r="B1130" s="15" t="s">
        <v>380</v>
      </c>
      <c r="C1130" s="15" t="s">
        <v>98</v>
      </c>
      <c r="D1130" s="56" t="s">
        <v>7491</v>
      </c>
      <c r="E1130" s="15" t="s">
        <v>807</v>
      </c>
      <c r="F1130" s="15" t="s">
        <v>7107</v>
      </c>
      <c r="G1130" s="18"/>
      <c r="H1130" s="18"/>
      <c r="I1130" s="18"/>
      <c r="J1130" s="18"/>
    </row>
    <row r="1131" ht="15.75" customHeight="1">
      <c r="A1131" s="15" t="s">
        <v>7492</v>
      </c>
      <c r="B1131" s="15" t="s">
        <v>380</v>
      </c>
      <c r="C1131" s="15" t="s">
        <v>98</v>
      </c>
      <c r="D1131" s="56" t="s">
        <v>7493</v>
      </c>
      <c r="E1131" s="15" t="s">
        <v>807</v>
      </c>
      <c r="F1131" s="15" t="s">
        <v>7107</v>
      </c>
      <c r="G1131" s="18"/>
      <c r="H1131" s="18"/>
      <c r="I1131" s="18"/>
      <c r="J1131" s="18"/>
    </row>
    <row r="1132" ht="15.75" customHeight="1">
      <c r="A1132" s="15" t="s">
        <v>7494</v>
      </c>
      <c r="B1132" s="15" t="s">
        <v>380</v>
      </c>
      <c r="C1132" s="15" t="s">
        <v>98</v>
      </c>
      <c r="D1132" s="56" t="s">
        <v>7495</v>
      </c>
      <c r="E1132" s="15" t="s">
        <v>807</v>
      </c>
      <c r="F1132" s="15" t="s">
        <v>7107</v>
      </c>
      <c r="G1132" s="18"/>
      <c r="H1132" s="18"/>
      <c r="I1132" s="18"/>
      <c r="J1132" s="18"/>
    </row>
    <row r="1133" ht="15.75" customHeight="1">
      <c r="A1133" s="15" t="s">
        <v>7496</v>
      </c>
      <c r="B1133" s="15" t="s">
        <v>380</v>
      </c>
      <c r="C1133" s="15" t="s">
        <v>98</v>
      </c>
      <c r="D1133" s="56" t="s">
        <v>7497</v>
      </c>
      <c r="E1133" s="15" t="s">
        <v>807</v>
      </c>
      <c r="F1133" s="15" t="s">
        <v>7107</v>
      </c>
      <c r="G1133" s="18"/>
      <c r="H1133" s="18"/>
      <c r="I1133" s="18"/>
      <c r="J1133" s="18"/>
    </row>
    <row r="1134" ht="15.75" customHeight="1">
      <c r="A1134" s="15" t="s">
        <v>7499</v>
      </c>
      <c r="B1134" s="15" t="s">
        <v>380</v>
      </c>
      <c r="C1134" s="15" t="s">
        <v>98</v>
      </c>
      <c r="D1134" s="56" t="s">
        <v>7501</v>
      </c>
      <c r="E1134" s="15" t="s">
        <v>807</v>
      </c>
      <c r="F1134" s="15" t="s">
        <v>7107</v>
      </c>
      <c r="G1134" s="18"/>
      <c r="H1134" s="18"/>
      <c r="I1134" s="18"/>
      <c r="J1134" s="18"/>
    </row>
    <row r="1135" ht="15.75" customHeight="1">
      <c r="A1135" s="15" t="s">
        <v>7504</v>
      </c>
      <c r="B1135" s="15" t="s">
        <v>380</v>
      </c>
      <c r="C1135" s="15" t="s">
        <v>98</v>
      </c>
      <c r="D1135" s="56" t="s">
        <v>7505</v>
      </c>
      <c r="E1135" s="15" t="s">
        <v>807</v>
      </c>
      <c r="F1135" s="15" t="s">
        <v>7107</v>
      </c>
      <c r="G1135" s="18"/>
      <c r="H1135" s="18"/>
      <c r="I1135" s="18"/>
      <c r="J1135" s="18"/>
    </row>
    <row r="1136" ht="15.75" customHeight="1">
      <c r="A1136" s="15" t="s">
        <v>7506</v>
      </c>
      <c r="B1136" s="15" t="s">
        <v>380</v>
      </c>
      <c r="C1136" s="15" t="s">
        <v>98</v>
      </c>
      <c r="D1136" s="56" t="s">
        <v>7507</v>
      </c>
      <c r="E1136" s="15" t="s">
        <v>807</v>
      </c>
      <c r="F1136" s="15" t="s">
        <v>7107</v>
      </c>
      <c r="G1136" s="18"/>
      <c r="H1136" s="18"/>
      <c r="I1136" s="18"/>
      <c r="J1136" s="18"/>
    </row>
    <row r="1137" ht="15.75" customHeight="1">
      <c r="A1137" s="15" t="s">
        <v>7508</v>
      </c>
      <c r="B1137" s="15" t="s">
        <v>380</v>
      </c>
      <c r="C1137" s="15" t="s">
        <v>98</v>
      </c>
      <c r="D1137" s="56" t="s">
        <v>7509</v>
      </c>
      <c r="E1137" s="15" t="s">
        <v>807</v>
      </c>
      <c r="F1137" s="15" t="s">
        <v>7107</v>
      </c>
      <c r="G1137" s="18"/>
      <c r="H1137" s="18"/>
      <c r="I1137" s="18"/>
      <c r="J1137" s="18"/>
    </row>
    <row r="1138" ht="15.75" customHeight="1">
      <c r="A1138" s="15" t="s">
        <v>7510</v>
      </c>
      <c r="B1138" s="15" t="s">
        <v>380</v>
      </c>
      <c r="C1138" s="15" t="s">
        <v>98</v>
      </c>
      <c r="D1138" s="56" t="s">
        <v>7511</v>
      </c>
      <c r="E1138" s="15" t="s">
        <v>807</v>
      </c>
      <c r="F1138" s="15" t="s">
        <v>7107</v>
      </c>
      <c r="G1138" s="18"/>
      <c r="H1138" s="18"/>
      <c r="I1138" s="18"/>
      <c r="J1138" s="18"/>
    </row>
    <row r="1139" ht="15.75" customHeight="1">
      <c r="A1139" s="15" t="s">
        <v>7512</v>
      </c>
      <c r="B1139" s="15" t="s">
        <v>380</v>
      </c>
      <c r="C1139" s="15" t="s">
        <v>98</v>
      </c>
      <c r="D1139" s="56" t="s">
        <v>7513</v>
      </c>
      <c r="E1139" s="15" t="s">
        <v>807</v>
      </c>
      <c r="F1139" s="15" t="s">
        <v>7107</v>
      </c>
      <c r="G1139" s="18"/>
      <c r="H1139" s="18"/>
      <c r="I1139" s="18"/>
      <c r="J1139" s="18"/>
    </row>
    <row r="1140" ht="15.75" customHeight="1">
      <c r="A1140" s="15" t="s">
        <v>7514</v>
      </c>
      <c r="B1140" s="15" t="s">
        <v>380</v>
      </c>
      <c r="C1140" s="15" t="s">
        <v>98</v>
      </c>
      <c r="D1140" s="56" t="s">
        <v>7515</v>
      </c>
      <c r="E1140" s="15" t="s">
        <v>807</v>
      </c>
      <c r="F1140" s="15" t="s">
        <v>7107</v>
      </c>
      <c r="G1140" s="18"/>
      <c r="H1140" s="18"/>
      <c r="I1140" s="18"/>
      <c r="J1140" s="18"/>
    </row>
    <row r="1141" ht="15.75" customHeight="1">
      <c r="A1141" s="15" t="s">
        <v>7516</v>
      </c>
      <c r="B1141" s="15" t="s">
        <v>380</v>
      </c>
      <c r="C1141" s="15" t="s">
        <v>98</v>
      </c>
      <c r="D1141" s="56" t="s">
        <v>7517</v>
      </c>
      <c r="E1141" s="15" t="s">
        <v>807</v>
      </c>
      <c r="F1141" s="15" t="s">
        <v>7107</v>
      </c>
      <c r="G1141" s="18"/>
      <c r="H1141" s="18"/>
      <c r="I1141" s="18"/>
      <c r="J1141" s="18"/>
    </row>
    <row r="1142" ht="15.75" customHeight="1">
      <c r="A1142" s="15" t="s">
        <v>7518</v>
      </c>
      <c r="B1142" s="15" t="s">
        <v>380</v>
      </c>
      <c r="C1142" s="15" t="s">
        <v>98</v>
      </c>
      <c r="D1142" s="56" t="s">
        <v>7519</v>
      </c>
      <c r="E1142" s="15" t="s">
        <v>807</v>
      </c>
      <c r="F1142" s="15" t="s">
        <v>7107</v>
      </c>
      <c r="G1142" s="18"/>
      <c r="H1142" s="18"/>
      <c r="I1142" s="18"/>
      <c r="J1142" s="18"/>
    </row>
    <row r="1143" ht="15.75" customHeight="1">
      <c r="A1143" s="15" t="s">
        <v>7520</v>
      </c>
      <c r="B1143" s="15" t="s">
        <v>380</v>
      </c>
      <c r="C1143" s="15" t="s">
        <v>98</v>
      </c>
      <c r="D1143" s="56" t="s">
        <v>7521</v>
      </c>
      <c r="E1143" s="15" t="s">
        <v>807</v>
      </c>
      <c r="F1143" s="15" t="s">
        <v>7107</v>
      </c>
      <c r="G1143" s="18"/>
      <c r="H1143" s="18"/>
      <c r="I1143" s="18"/>
      <c r="J1143" s="18"/>
    </row>
    <row r="1144" ht="15.75" customHeight="1">
      <c r="A1144" s="15" t="s">
        <v>7524</v>
      </c>
      <c r="B1144" s="15" t="s">
        <v>380</v>
      </c>
      <c r="C1144" s="15" t="s">
        <v>98</v>
      </c>
      <c r="D1144" s="56" t="s">
        <v>7526</v>
      </c>
      <c r="E1144" s="15" t="s">
        <v>807</v>
      </c>
      <c r="F1144" s="15" t="s">
        <v>7107</v>
      </c>
      <c r="G1144" s="18"/>
      <c r="H1144" s="18"/>
      <c r="I1144" s="18"/>
      <c r="J1144" s="18"/>
    </row>
    <row r="1145" ht="15.75" customHeight="1">
      <c r="A1145" s="15" t="s">
        <v>7527</v>
      </c>
      <c r="B1145" s="15" t="s">
        <v>380</v>
      </c>
      <c r="C1145" s="15" t="s">
        <v>98</v>
      </c>
      <c r="D1145" s="56" t="s">
        <v>7528</v>
      </c>
      <c r="E1145" s="15" t="s">
        <v>807</v>
      </c>
      <c r="F1145" s="15" t="s">
        <v>7107</v>
      </c>
      <c r="G1145" s="18"/>
      <c r="H1145" s="18"/>
      <c r="I1145" s="18"/>
      <c r="J1145" s="18"/>
    </row>
    <row r="1146" ht="15.75" customHeight="1">
      <c r="A1146" s="15" t="s">
        <v>7529</v>
      </c>
      <c r="B1146" s="15" t="s">
        <v>380</v>
      </c>
      <c r="C1146" s="15" t="s">
        <v>98</v>
      </c>
      <c r="D1146" s="56" t="s">
        <v>7530</v>
      </c>
      <c r="E1146" s="15" t="s">
        <v>807</v>
      </c>
      <c r="F1146" s="15" t="s">
        <v>7107</v>
      </c>
      <c r="G1146" s="18"/>
      <c r="H1146" s="18"/>
      <c r="I1146" s="18"/>
      <c r="J1146" s="18"/>
    </row>
    <row r="1147" ht="15.75" customHeight="1">
      <c r="A1147" s="15" t="s">
        <v>7531</v>
      </c>
      <c r="B1147" s="15" t="s">
        <v>380</v>
      </c>
      <c r="C1147" s="15" t="s">
        <v>98</v>
      </c>
      <c r="D1147" s="56" t="s">
        <v>7532</v>
      </c>
      <c r="E1147" s="15" t="s">
        <v>807</v>
      </c>
      <c r="F1147" s="15" t="s">
        <v>7107</v>
      </c>
      <c r="G1147" s="18"/>
      <c r="H1147" s="18"/>
      <c r="I1147" s="18"/>
      <c r="J1147" s="18"/>
    </row>
    <row r="1148" ht="15.75" customHeight="1">
      <c r="A1148" s="15" t="s">
        <v>7533</v>
      </c>
      <c r="B1148" s="15" t="s">
        <v>380</v>
      </c>
      <c r="C1148" s="15" t="s">
        <v>98</v>
      </c>
      <c r="D1148" s="56" t="s">
        <v>7534</v>
      </c>
      <c r="E1148" s="15" t="s">
        <v>807</v>
      </c>
      <c r="F1148" s="15" t="s">
        <v>7107</v>
      </c>
      <c r="G1148" s="18"/>
      <c r="H1148" s="18"/>
      <c r="I1148" s="18"/>
      <c r="J1148" s="18"/>
    </row>
    <row r="1149" ht="15.75" customHeight="1">
      <c r="A1149" s="15" t="s">
        <v>7535</v>
      </c>
      <c r="B1149" s="15" t="s">
        <v>380</v>
      </c>
      <c r="C1149" s="15" t="s">
        <v>98</v>
      </c>
      <c r="D1149" s="56" t="s">
        <v>7536</v>
      </c>
      <c r="E1149" s="15" t="s">
        <v>807</v>
      </c>
      <c r="F1149" s="15" t="s">
        <v>7107</v>
      </c>
      <c r="G1149" s="18"/>
      <c r="H1149" s="18"/>
      <c r="I1149" s="18"/>
      <c r="J1149" s="18"/>
    </row>
    <row r="1150" ht="15.75" customHeight="1">
      <c r="A1150" s="15" t="s">
        <v>7537</v>
      </c>
      <c r="B1150" s="15" t="s">
        <v>380</v>
      </c>
      <c r="C1150" s="15" t="s">
        <v>98</v>
      </c>
      <c r="D1150" s="56" t="s">
        <v>7538</v>
      </c>
      <c r="E1150" s="15" t="s">
        <v>807</v>
      </c>
      <c r="F1150" s="15" t="s">
        <v>7107</v>
      </c>
      <c r="G1150" s="18"/>
      <c r="H1150" s="18"/>
      <c r="I1150" s="18"/>
      <c r="J1150" s="18"/>
    </row>
    <row r="1151" ht="15.75" customHeight="1">
      <c r="A1151" s="15" t="s">
        <v>7539</v>
      </c>
      <c r="B1151" s="15" t="s">
        <v>380</v>
      </c>
      <c r="C1151" s="15" t="s">
        <v>98</v>
      </c>
      <c r="D1151" s="56" t="s">
        <v>7540</v>
      </c>
      <c r="E1151" s="15" t="s">
        <v>807</v>
      </c>
      <c r="F1151" s="15" t="s">
        <v>7107</v>
      </c>
      <c r="G1151" s="18"/>
      <c r="H1151" s="18"/>
      <c r="I1151" s="18"/>
      <c r="J1151" s="18"/>
    </row>
    <row r="1152" ht="15.75" customHeight="1">
      <c r="A1152" s="15" t="s">
        <v>7541</v>
      </c>
      <c r="B1152" s="15" t="s">
        <v>380</v>
      </c>
      <c r="C1152" s="15" t="s">
        <v>98</v>
      </c>
      <c r="D1152" s="56" t="s">
        <v>7542</v>
      </c>
      <c r="E1152" s="15" t="s">
        <v>807</v>
      </c>
      <c r="F1152" s="15" t="s">
        <v>7107</v>
      </c>
      <c r="G1152" s="18"/>
      <c r="H1152" s="18"/>
      <c r="I1152" s="18"/>
      <c r="J1152" s="18"/>
    </row>
    <row r="1153" ht="15.75" customHeight="1">
      <c r="A1153" s="15" t="s">
        <v>7543</v>
      </c>
      <c r="B1153" s="15" t="s">
        <v>380</v>
      </c>
      <c r="C1153" s="15" t="s">
        <v>98</v>
      </c>
      <c r="D1153" s="56" t="s">
        <v>7545</v>
      </c>
      <c r="E1153" s="15" t="s">
        <v>807</v>
      </c>
      <c r="F1153" s="15" t="s">
        <v>7107</v>
      </c>
      <c r="G1153" s="18"/>
      <c r="H1153" s="18"/>
      <c r="I1153" s="18"/>
      <c r="J1153" s="18"/>
    </row>
    <row r="1154" ht="15.75" customHeight="1">
      <c r="A1154" s="15" t="s">
        <v>7550</v>
      </c>
      <c r="B1154" s="15" t="s">
        <v>380</v>
      </c>
      <c r="C1154" s="15" t="s">
        <v>98</v>
      </c>
      <c r="D1154" s="56" t="s">
        <v>7551</v>
      </c>
      <c r="E1154" s="15" t="s">
        <v>807</v>
      </c>
      <c r="F1154" s="15" t="s">
        <v>7107</v>
      </c>
      <c r="G1154" s="18"/>
      <c r="H1154" s="18"/>
      <c r="I1154" s="18"/>
      <c r="J1154" s="18"/>
    </row>
    <row r="1155" ht="15.75" customHeight="1">
      <c r="A1155" s="15" t="s">
        <v>7552</v>
      </c>
      <c r="B1155" s="15" t="s">
        <v>380</v>
      </c>
      <c r="C1155" s="15" t="s">
        <v>98</v>
      </c>
      <c r="D1155" s="56" t="s">
        <v>7553</v>
      </c>
      <c r="E1155" s="15" t="s">
        <v>807</v>
      </c>
      <c r="F1155" s="15" t="s">
        <v>7107</v>
      </c>
      <c r="G1155" s="18"/>
      <c r="H1155" s="18"/>
      <c r="I1155" s="18"/>
      <c r="J1155" s="18"/>
    </row>
    <row r="1156" ht="15.75" customHeight="1">
      <c r="A1156" s="15" t="s">
        <v>7554</v>
      </c>
      <c r="B1156" s="15" t="s">
        <v>380</v>
      </c>
      <c r="C1156" s="15" t="s">
        <v>98</v>
      </c>
      <c r="D1156" s="56" t="s">
        <v>7555</v>
      </c>
      <c r="E1156" s="15" t="s">
        <v>807</v>
      </c>
      <c r="F1156" s="15" t="s">
        <v>7107</v>
      </c>
      <c r="G1156" s="18"/>
      <c r="H1156" s="18"/>
      <c r="I1156" s="18"/>
      <c r="J1156" s="18"/>
    </row>
    <row r="1157" ht="15.75" customHeight="1">
      <c r="A1157" s="15" t="s">
        <v>7556</v>
      </c>
      <c r="B1157" s="15" t="s">
        <v>380</v>
      </c>
      <c r="C1157" s="15" t="s">
        <v>98</v>
      </c>
      <c r="D1157" s="56" t="s">
        <v>7557</v>
      </c>
      <c r="E1157" s="15" t="s">
        <v>807</v>
      </c>
      <c r="F1157" s="15" t="s">
        <v>7107</v>
      </c>
      <c r="G1157" s="18"/>
      <c r="H1157" s="18"/>
      <c r="I1157" s="18"/>
      <c r="J1157" s="18"/>
    </row>
    <row r="1158" ht="15.75" customHeight="1">
      <c r="A1158" s="15" t="s">
        <v>7558</v>
      </c>
      <c r="B1158" s="15" t="s">
        <v>380</v>
      </c>
      <c r="C1158" s="15" t="s">
        <v>98</v>
      </c>
      <c r="D1158" s="56" t="s">
        <v>7559</v>
      </c>
      <c r="E1158" s="15" t="s">
        <v>807</v>
      </c>
      <c r="F1158" s="15" t="s">
        <v>7107</v>
      </c>
      <c r="G1158" s="18"/>
      <c r="H1158" s="18"/>
      <c r="I1158" s="18"/>
      <c r="J1158" s="18"/>
    </row>
    <row r="1159" ht="15.75" customHeight="1">
      <c r="A1159" s="15" t="s">
        <v>7560</v>
      </c>
      <c r="B1159" s="15" t="s">
        <v>380</v>
      </c>
      <c r="C1159" s="15" t="s">
        <v>98</v>
      </c>
      <c r="D1159" s="56" t="s">
        <v>7561</v>
      </c>
      <c r="E1159" s="15" t="s">
        <v>807</v>
      </c>
      <c r="F1159" s="15" t="s">
        <v>7107</v>
      </c>
      <c r="G1159" s="18"/>
      <c r="H1159" s="18"/>
      <c r="I1159" s="18"/>
      <c r="J1159" s="18"/>
    </row>
    <row r="1160" ht="15.75" customHeight="1">
      <c r="A1160" s="15" t="s">
        <v>7562</v>
      </c>
      <c r="B1160" s="15" t="s">
        <v>380</v>
      </c>
      <c r="C1160" s="15" t="s">
        <v>98</v>
      </c>
      <c r="D1160" s="56" t="s">
        <v>7563</v>
      </c>
      <c r="E1160" s="15" t="s">
        <v>807</v>
      </c>
      <c r="F1160" s="15" t="s">
        <v>7107</v>
      </c>
      <c r="G1160" s="18"/>
      <c r="H1160" s="18"/>
      <c r="I1160" s="18"/>
      <c r="J1160" s="18"/>
    </row>
    <row r="1161" ht="15.75" customHeight="1">
      <c r="A1161" s="15" t="s">
        <v>7564</v>
      </c>
      <c r="B1161" s="15" t="s">
        <v>380</v>
      </c>
      <c r="C1161" s="15" t="s">
        <v>98</v>
      </c>
      <c r="D1161" s="56" t="s">
        <v>7565</v>
      </c>
      <c r="E1161" s="15" t="s">
        <v>807</v>
      </c>
      <c r="F1161" s="15" t="s">
        <v>7107</v>
      </c>
      <c r="G1161" s="18"/>
      <c r="H1161" s="18"/>
      <c r="I1161" s="18"/>
      <c r="J1161" s="18"/>
    </row>
    <row r="1162" ht="15.75" customHeight="1">
      <c r="A1162" s="15" t="s">
        <v>7566</v>
      </c>
      <c r="B1162" s="15" t="s">
        <v>380</v>
      </c>
      <c r="C1162" s="15" t="s">
        <v>98</v>
      </c>
      <c r="D1162" s="56" t="s">
        <v>7567</v>
      </c>
      <c r="E1162" s="15" t="s">
        <v>807</v>
      </c>
      <c r="F1162" s="15" t="s">
        <v>7107</v>
      </c>
      <c r="G1162" s="18"/>
      <c r="H1162" s="18"/>
      <c r="I1162" s="18"/>
      <c r="J1162" s="18"/>
    </row>
    <row r="1163" ht="15.75" customHeight="1">
      <c r="A1163" s="15" t="s">
        <v>7571</v>
      </c>
      <c r="B1163" s="15" t="s">
        <v>380</v>
      </c>
      <c r="C1163" s="15" t="s">
        <v>98</v>
      </c>
      <c r="D1163" s="56" t="s">
        <v>7575</v>
      </c>
      <c r="E1163" s="15" t="s">
        <v>807</v>
      </c>
      <c r="F1163" s="15" t="s">
        <v>7107</v>
      </c>
      <c r="G1163" s="18"/>
      <c r="H1163" s="18"/>
      <c r="I1163" s="18"/>
      <c r="J1163" s="18"/>
    </row>
    <row r="1164" ht="15.75" customHeight="1">
      <c r="A1164" s="15" t="s">
        <v>7576</v>
      </c>
      <c r="B1164" s="15" t="s">
        <v>380</v>
      </c>
      <c r="C1164" s="15" t="s">
        <v>98</v>
      </c>
      <c r="D1164" s="56" t="s">
        <v>7577</v>
      </c>
      <c r="E1164" s="15" t="s">
        <v>807</v>
      </c>
      <c r="F1164" s="15" t="s">
        <v>7107</v>
      </c>
      <c r="G1164" s="18"/>
      <c r="H1164" s="18"/>
      <c r="I1164" s="18"/>
      <c r="J1164" s="18"/>
    </row>
    <row r="1165" ht="15.75" customHeight="1">
      <c r="A1165" s="15" t="s">
        <v>7578</v>
      </c>
      <c r="B1165" s="15" t="s">
        <v>380</v>
      </c>
      <c r="C1165" s="15" t="s">
        <v>98</v>
      </c>
      <c r="D1165" s="56" t="s">
        <v>7579</v>
      </c>
      <c r="E1165" s="15" t="s">
        <v>807</v>
      </c>
      <c r="F1165" s="15" t="s">
        <v>7107</v>
      </c>
      <c r="G1165" s="18"/>
      <c r="H1165" s="18"/>
      <c r="I1165" s="18"/>
      <c r="J1165" s="18"/>
    </row>
    <row r="1166" ht="15.75" customHeight="1">
      <c r="A1166" s="15" t="s">
        <v>7580</v>
      </c>
      <c r="B1166" s="15" t="s">
        <v>380</v>
      </c>
      <c r="C1166" s="15" t="s">
        <v>98</v>
      </c>
      <c r="D1166" s="56" t="s">
        <v>7581</v>
      </c>
      <c r="E1166" s="15" t="s">
        <v>807</v>
      </c>
      <c r="F1166" s="15" t="s">
        <v>7107</v>
      </c>
      <c r="G1166" s="18"/>
      <c r="H1166" s="18"/>
      <c r="I1166" s="18"/>
      <c r="J1166" s="18"/>
    </row>
    <row r="1167" ht="15.75" customHeight="1">
      <c r="A1167" s="15" t="s">
        <v>7582</v>
      </c>
      <c r="B1167" s="15" t="s">
        <v>380</v>
      </c>
      <c r="C1167" s="15" t="s">
        <v>98</v>
      </c>
      <c r="D1167" s="56" t="s">
        <v>7583</v>
      </c>
      <c r="E1167" s="15" t="s">
        <v>807</v>
      </c>
      <c r="F1167" s="15" t="s">
        <v>7107</v>
      </c>
      <c r="G1167" s="18"/>
      <c r="H1167" s="18"/>
      <c r="I1167" s="18"/>
      <c r="J1167" s="18"/>
    </row>
    <row r="1168" ht="15.75" customHeight="1">
      <c r="A1168" s="15" t="s">
        <v>7584</v>
      </c>
      <c r="B1168" s="15" t="s">
        <v>380</v>
      </c>
      <c r="C1168" s="15" t="s">
        <v>98</v>
      </c>
      <c r="D1168" s="56" t="s">
        <v>7585</v>
      </c>
      <c r="E1168" s="15" t="s">
        <v>807</v>
      </c>
      <c r="F1168" s="15" t="s">
        <v>7107</v>
      </c>
      <c r="G1168" s="18"/>
      <c r="H1168" s="18"/>
      <c r="I1168" s="18"/>
      <c r="J1168" s="18"/>
    </row>
    <row r="1169" ht="15.75" customHeight="1">
      <c r="A1169" s="15" t="s">
        <v>7586</v>
      </c>
      <c r="B1169" s="15" t="s">
        <v>380</v>
      </c>
      <c r="C1169" s="15" t="s">
        <v>98</v>
      </c>
      <c r="D1169" s="56" t="s">
        <v>7587</v>
      </c>
      <c r="E1169" s="15" t="s">
        <v>807</v>
      </c>
      <c r="F1169" s="15" t="s">
        <v>7107</v>
      </c>
      <c r="G1169" s="18"/>
      <c r="H1169" s="18"/>
      <c r="I1169" s="18"/>
      <c r="J1169" s="18"/>
    </row>
    <row r="1170" ht="15.75" customHeight="1">
      <c r="A1170" s="15" t="s">
        <v>7588</v>
      </c>
      <c r="B1170" s="15" t="s">
        <v>380</v>
      </c>
      <c r="C1170" s="15" t="s">
        <v>98</v>
      </c>
      <c r="D1170" s="56" t="s">
        <v>7589</v>
      </c>
      <c r="E1170" s="15" t="s">
        <v>807</v>
      </c>
      <c r="F1170" s="15" t="s">
        <v>7107</v>
      </c>
      <c r="G1170" s="18"/>
      <c r="H1170" s="18"/>
      <c r="I1170" s="18"/>
      <c r="J1170" s="18"/>
    </row>
    <row r="1171" ht="15.75" customHeight="1">
      <c r="A1171" s="15" t="s">
        <v>7590</v>
      </c>
      <c r="B1171" s="15" t="s">
        <v>380</v>
      </c>
      <c r="C1171" s="15" t="s">
        <v>98</v>
      </c>
      <c r="D1171" s="56" t="s">
        <v>7591</v>
      </c>
      <c r="E1171" s="15" t="s">
        <v>807</v>
      </c>
      <c r="F1171" s="15" t="s">
        <v>7107</v>
      </c>
      <c r="G1171" s="18"/>
      <c r="H1171" s="18"/>
      <c r="I1171" s="18"/>
      <c r="J1171" s="18"/>
    </row>
    <row r="1172" ht="15.75" customHeight="1">
      <c r="A1172" s="15" t="s">
        <v>7593</v>
      </c>
      <c r="B1172" s="15" t="s">
        <v>380</v>
      </c>
      <c r="C1172" s="15" t="s">
        <v>98</v>
      </c>
      <c r="D1172" s="56" t="s">
        <v>7595</v>
      </c>
      <c r="E1172" s="15" t="s">
        <v>807</v>
      </c>
      <c r="F1172" s="15" t="s">
        <v>7107</v>
      </c>
      <c r="G1172" s="18"/>
      <c r="H1172" s="18"/>
      <c r="I1172" s="18"/>
      <c r="J1172" s="18"/>
    </row>
    <row r="1173" ht="15.75" customHeight="1">
      <c r="A1173" s="15" t="s">
        <v>7600</v>
      </c>
      <c r="B1173" s="15" t="s">
        <v>380</v>
      </c>
      <c r="C1173" s="15" t="s">
        <v>98</v>
      </c>
      <c r="D1173" s="56" t="s">
        <v>7601</v>
      </c>
      <c r="E1173" s="15" t="s">
        <v>807</v>
      </c>
      <c r="F1173" s="15" t="s">
        <v>7107</v>
      </c>
      <c r="G1173" s="18"/>
      <c r="H1173" s="18"/>
      <c r="I1173" s="18"/>
      <c r="J1173" s="18"/>
    </row>
    <row r="1174" ht="15.75" customHeight="1">
      <c r="A1174" s="15" t="s">
        <v>7602</v>
      </c>
      <c r="B1174" s="15" t="s">
        <v>380</v>
      </c>
      <c r="C1174" s="15" t="s">
        <v>98</v>
      </c>
      <c r="D1174" s="56" t="s">
        <v>7603</v>
      </c>
      <c r="E1174" s="15" t="s">
        <v>807</v>
      </c>
      <c r="F1174" s="15" t="s">
        <v>7107</v>
      </c>
      <c r="G1174" s="18"/>
      <c r="H1174" s="18"/>
      <c r="I1174" s="18"/>
      <c r="J1174" s="18"/>
    </row>
    <row r="1175" ht="15.75" customHeight="1">
      <c r="A1175" s="15" t="s">
        <v>7604</v>
      </c>
      <c r="B1175" s="15" t="s">
        <v>380</v>
      </c>
      <c r="C1175" s="15" t="s">
        <v>98</v>
      </c>
      <c r="D1175" s="56" t="s">
        <v>7605</v>
      </c>
      <c r="E1175" s="15" t="s">
        <v>807</v>
      </c>
      <c r="F1175" s="15" t="s">
        <v>7107</v>
      </c>
      <c r="G1175" s="18"/>
      <c r="H1175" s="18"/>
      <c r="I1175" s="18"/>
      <c r="J1175" s="18"/>
    </row>
    <row r="1176" ht="15.75" customHeight="1">
      <c r="A1176" s="15" t="s">
        <v>7606</v>
      </c>
      <c r="B1176" s="15" t="s">
        <v>380</v>
      </c>
      <c r="C1176" s="15" t="s">
        <v>98</v>
      </c>
      <c r="D1176" s="56" t="s">
        <v>7607</v>
      </c>
      <c r="E1176" s="15" t="s">
        <v>807</v>
      </c>
      <c r="F1176" s="15" t="s">
        <v>7107</v>
      </c>
      <c r="G1176" s="18"/>
      <c r="H1176" s="18"/>
      <c r="I1176" s="18"/>
      <c r="J1176" s="18"/>
    </row>
    <row r="1177" ht="15.75" customHeight="1">
      <c r="A1177" s="15" t="s">
        <v>7608</v>
      </c>
      <c r="B1177" s="15" t="s">
        <v>380</v>
      </c>
      <c r="C1177" s="15" t="s">
        <v>98</v>
      </c>
      <c r="D1177" s="56" t="s">
        <v>7609</v>
      </c>
      <c r="E1177" s="15" t="s">
        <v>807</v>
      </c>
      <c r="F1177" s="15" t="s">
        <v>7107</v>
      </c>
      <c r="G1177" s="18"/>
      <c r="H1177" s="18"/>
      <c r="I1177" s="18"/>
      <c r="J1177" s="18"/>
    </row>
    <row r="1178" ht="15.75" customHeight="1">
      <c r="A1178" s="15" t="s">
        <v>7610</v>
      </c>
      <c r="B1178" s="15" t="s">
        <v>380</v>
      </c>
      <c r="C1178" s="15" t="s">
        <v>98</v>
      </c>
      <c r="D1178" s="56" t="s">
        <v>7611</v>
      </c>
      <c r="E1178" s="15" t="s">
        <v>807</v>
      </c>
      <c r="F1178" s="15" t="s">
        <v>7107</v>
      </c>
      <c r="G1178" s="18"/>
      <c r="H1178" s="18"/>
      <c r="I1178" s="18"/>
      <c r="J1178" s="18"/>
    </row>
    <row r="1179" ht="15.75" customHeight="1">
      <c r="A1179" s="15" t="s">
        <v>7612</v>
      </c>
      <c r="B1179" s="15" t="s">
        <v>380</v>
      </c>
      <c r="C1179" s="15" t="s">
        <v>98</v>
      </c>
      <c r="D1179" s="56" t="s">
        <v>7613</v>
      </c>
      <c r="E1179" s="15" t="s">
        <v>807</v>
      </c>
      <c r="F1179" s="15" t="s">
        <v>7107</v>
      </c>
      <c r="G1179" s="18"/>
      <c r="H1179" s="18"/>
      <c r="I1179" s="18"/>
      <c r="J1179" s="18"/>
    </row>
    <row r="1180" ht="15.75" customHeight="1">
      <c r="A1180" s="15" t="s">
        <v>7614</v>
      </c>
      <c r="B1180" s="15" t="s">
        <v>380</v>
      </c>
      <c r="C1180" s="15" t="s">
        <v>98</v>
      </c>
      <c r="D1180" s="56" t="s">
        <v>7615</v>
      </c>
      <c r="E1180" s="15" t="s">
        <v>807</v>
      </c>
      <c r="F1180" s="15" t="s">
        <v>7107</v>
      </c>
      <c r="G1180" s="18"/>
      <c r="H1180" s="18"/>
      <c r="I1180" s="18"/>
      <c r="J1180" s="18"/>
    </row>
    <row r="1181" ht="15.75" customHeight="1">
      <c r="A1181" s="15" t="s">
        <v>7616</v>
      </c>
      <c r="B1181" s="15" t="s">
        <v>380</v>
      </c>
      <c r="C1181" s="15" t="s">
        <v>98</v>
      </c>
      <c r="D1181" s="56" t="s">
        <v>7617</v>
      </c>
      <c r="E1181" s="15" t="s">
        <v>807</v>
      </c>
      <c r="F1181" s="15" t="s">
        <v>7107</v>
      </c>
      <c r="G1181" s="18"/>
      <c r="H1181" s="18"/>
      <c r="I1181" s="18"/>
      <c r="J1181" s="18"/>
    </row>
    <row r="1182" ht="15.75" customHeight="1">
      <c r="A1182" s="15" t="s">
        <v>7618</v>
      </c>
      <c r="B1182" s="15" t="s">
        <v>380</v>
      </c>
      <c r="C1182" s="15" t="s">
        <v>98</v>
      </c>
      <c r="D1182" s="56" t="s">
        <v>7619</v>
      </c>
      <c r="E1182" s="15" t="s">
        <v>807</v>
      </c>
      <c r="F1182" s="15" t="s">
        <v>7107</v>
      </c>
      <c r="G1182" s="18"/>
      <c r="H1182" s="18"/>
      <c r="I1182" s="18"/>
      <c r="J1182" s="18"/>
    </row>
    <row r="1183" ht="15.75" customHeight="1">
      <c r="A1183" s="15" t="s">
        <v>7620</v>
      </c>
      <c r="B1183" s="15" t="s">
        <v>380</v>
      </c>
      <c r="C1183" s="15" t="s">
        <v>98</v>
      </c>
      <c r="D1183" s="56" t="s">
        <v>7621</v>
      </c>
      <c r="E1183" s="15" t="s">
        <v>807</v>
      </c>
      <c r="F1183" s="15" t="s">
        <v>7107</v>
      </c>
      <c r="G1183" s="18"/>
      <c r="H1183" s="18"/>
      <c r="I1183" s="18"/>
      <c r="J1183" s="18"/>
    </row>
    <row r="1184" ht="15.75" customHeight="1">
      <c r="A1184" s="15" t="s">
        <v>7623</v>
      </c>
      <c r="B1184" s="15" t="s">
        <v>380</v>
      </c>
      <c r="C1184" s="15" t="s">
        <v>98</v>
      </c>
      <c r="D1184" s="56" t="s">
        <v>7626</v>
      </c>
      <c r="E1184" s="15" t="s">
        <v>807</v>
      </c>
      <c r="F1184" s="15" t="s">
        <v>7107</v>
      </c>
      <c r="G1184" s="18"/>
      <c r="H1184" s="18"/>
      <c r="I1184" s="18"/>
      <c r="J1184" s="18"/>
    </row>
    <row r="1185" ht="15.75" customHeight="1">
      <c r="A1185" s="15" t="s">
        <v>7630</v>
      </c>
      <c r="B1185" s="15" t="s">
        <v>380</v>
      </c>
      <c r="C1185" s="15" t="s">
        <v>98</v>
      </c>
      <c r="D1185" s="56" t="s">
        <v>7631</v>
      </c>
      <c r="E1185" s="15" t="s">
        <v>807</v>
      </c>
      <c r="F1185" s="15" t="s">
        <v>7107</v>
      </c>
      <c r="G1185" s="18"/>
      <c r="H1185" s="18"/>
      <c r="I1185" s="18"/>
      <c r="J1185" s="18"/>
    </row>
    <row r="1186" ht="15.75" customHeight="1">
      <c r="A1186" s="15" t="s">
        <v>7632</v>
      </c>
      <c r="B1186" s="15" t="s">
        <v>380</v>
      </c>
      <c r="C1186" s="15" t="s">
        <v>98</v>
      </c>
      <c r="D1186" s="56" t="s">
        <v>7633</v>
      </c>
      <c r="E1186" s="15" t="s">
        <v>807</v>
      </c>
      <c r="F1186" s="15" t="s">
        <v>7107</v>
      </c>
      <c r="G1186" s="18"/>
      <c r="H1186" s="18"/>
      <c r="I1186" s="18"/>
      <c r="J1186" s="18"/>
    </row>
    <row r="1187" ht="15.75" customHeight="1">
      <c r="A1187" s="15" t="s">
        <v>7634</v>
      </c>
      <c r="B1187" s="15" t="s">
        <v>380</v>
      </c>
      <c r="C1187" s="15" t="s">
        <v>98</v>
      </c>
      <c r="D1187" s="56" t="s">
        <v>7635</v>
      </c>
      <c r="E1187" s="15" t="s">
        <v>807</v>
      </c>
      <c r="F1187" s="15" t="s">
        <v>7107</v>
      </c>
      <c r="G1187" s="18"/>
      <c r="H1187" s="18"/>
      <c r="I1187" s="18"/>
      <c r="J1187" s="18"/>
    </row>
    <row r="1188" ht="15.75" customHeight="1">
      <c r="A1188" s="15" t="s">
        <v>7636</v>
      </c>
      <c r="B1188" s="15" t="s">
        <v>380</v>
      </c>
      <c r="C1188" s="15" t="s">
        <v>98</v>
      </c>
      <c r="D1188" s="56" t="s">
        <v>7637</v>
      </c>
      <c r="E1188" s="15" t="s">
        <v>807</v>
      </c>
      <c r="F1188" s="15" t="s">
        <v>7107</v>
      </c>
      <c r="G1188" s="18"/>
      <c r="H1188" s="18"/>
      <c r="I1188" s="18"/>
      <c r="J1188" s="18"/>
    </row>
    <row r="1189" ht="15.75" customHeight="1">
      <c r="A1189" s="15" t="s">
        <v>7638</v>
      </c>
      <c r="B1189" s="15" t="s">
        <v>380</v>
      </c>
      <c r="C1189" s="15" t="s">
        <v>98</v>
      </c>
      <c r="D1189" s="56" t="s">
        <v>7639</v>
      </c>
      <c r="E1189" s="15" t="s">
        <v>807</v>
      </c>
      <c r="F1189" s="15" t="s">
        <v>7107</v>
      </c>
      <c r="G1189" s="18"/>
      <c r="H1189" s="18"/>
      <c r="I1189" s="18"/>
      <c r="J1189" s="18"/>
    </row>
    <row r="1190" ht="15.75" customHeight="1">
      <c r="A1190" s="15" t="s">
        <v>7640</v>
      </c>
      <c r="B1190" s="15" t="s">
        <v>148</v>
      </c>
      <c r="C1190" s="15" t="s">
        <v>98</v>
      </c>
      <c r="D1190" s="56" t="s">
        <v>7641</v>
      </c>
      <c r="E1190" s="15" t="s">
        <v>807</v>
      </c>
      <c r="F1190" s="15" t="s">
        <v>7642</v>
      </c>
      <c r="G1190" s="18"/>
      <c r="H1190" s="18"/>
      <c r="I1190" s="18"/>
      <c r="J1190" s="18"/>
    </row>
    <row r="1191" ht="15.75" customHeight="1">
      <c r="A1191" s="15" t="s">
        <v>7643</v>
      </c>
      <c r="B1191" s="15" t="s">
        <v>148</v>
      </c>
      <c r="C1191" s="15" t="s">
        <v>98</v>
      </c>
      <c r="D1191" s="56" t="s">
        <v>7644</v>
      </c>
      <c r="E1191" s="15" t="s">
        <v>807</v>
      </c>
      <c r="F1191" s="15" t="s">
        <v>7642</v>
      </c>
      <c r="G1191" s="18"/>
      <c r="H1191" s="18"/>
      <c r="I1191" s="18"/>
      <c r="J1191" s="18"/>
    </row>
    <row r="1192" ht="15.75" customHeight="1">
      <c r="A1192" s="15" t="s">
        <v>7645</v>
      </c>
      <c r="B1192" s="15" t="s">
        <v>148</v>
      </c>
      <c r="C1192" s="15" t="s">
        <v>98</v>
      </c>
      <c r="D1192" s="56" t="s">
        <v>7646</v>
      </c>
      <c r="E1192" s="15" t="s">
        <v>807</v>
      </c>
      <c r="F1192" s="15" t="s">
        <v>7642</v>
      </c>
      <c r="G1192" s="18"/>
      <c r="H1192" s="18"/>
      <c r="I1192" s="18"/>
      <c r="J1192" s="18"/>
    </row>
    <row r="1193" ht="15.75" customHeight="1">
      <c r="A1193" s="15" t="s">
        <v>7647</v>
      </c>
      <c r="B1193" s="15" t="s">
        <v>148</v>
      </c>
      <c r="C1193" s="15" t="s">
        <v>98</v>
      </c>
      <c r="D1193" s="56" t="s">
        <v>7648</v>
      </c>
      <c r="E1193" s="15" t="s">
        <v>807</v>
      </c>
      <c r="F1193" s="15" t="s">
        <v>7642</v>
      </c>
      <c r="G1193" s="18"/>
      <c r="H1193" s="18"/>
      <c r="I1193" s="18"/>
      <c r="J1193" s="18"/>
    </row>
    <row r="1194" ht="15.75" customHeight="1">
      <c r="A1194" s="15" t="s">
        <v>7649</v>
      </c>
      <c r="B1194" s="15" t="s">
        <v>148</v>
      </c>
      <c r="C1194" s="15" t="s">
        <v>98</v>
      </c>
      <c r="D1194" s="56" t="s">
        <v>7650</v>
      </c>
      <c r="E1194" s="15" t="s">
        <v>807</v>
      </c>
      <c r="F1194" s="15" t="s">
        <v>7642</v>
      </c>
      <c r="G1194" s="18"/>
      <c r="H1194" s="18"/>
      <c r="I1194" s="18"/>
      <c r="J1194" s="18"/>
    </row>
    <row r="1195" ht="15.75" customHeight="1">
      <c r="A1195" s="15" t="s">
        <v>7651</v>
      </c>
      <c r="B1195" s="15" t="s">
        <v>148</v>
      </c>
      <c r="C1195" s="15" t="s">
        <v>98</v>
      </c>
      <c r="D1195" s="56" t="s">
        <v>7652</v>
      </c>
      <c r="E1195" s="15" t="s">
        <v>807</v>
      </c>
      <c r="F1195" s="15" t="s">
        <v>7642</v>
      </c>
      <c r="G1195" s="18"/>
      <c r="H1195" s="18"/>
      <c r="I1195" s="18"/>
      <c r="J1195" s="18"/>
    </row>
    <row r="1196" ht="15.75" customHeight="1">
      <c r="A1196" s="15" t="s">
        <v>7653</v>
      </c>
      <c r="B1196" s="15" t="s">
        <v>148</v>
      </c>
      <c r="C1196" s="15" t="s">
        <v>98</v>
      </c>
      <c r="D1196" s="56" t="s">
        <v>7654</v>
      </c>
      <c r="E1196" s="15" t="s">
        <v>807</v>
      </c>
      <c r="F1196" s="15" t="s">
        <v>7642</v>
      </c>
      <c r="G1196" s="18"/>
      <c r="H1196" s="18"/>
      <c r="I1196" s="18"/>
      <c r="J1196" s="18"/>
    </row>
    <row r="1197" ht="15.75" customHeight="1">
      <c r="A1197" s="15" t="s">
        <v>7656</v>
      </c>
      <c r="B1197" s="15" t="s">
        <v>148</v>
      </c>
      <c r="C1197" s="15" t="s">
        <v>98</v>
      </c>
      <c r="D1197" s="56" t="s">
        <v>7659</v>
      </c>
      <c r="E1197" s="15" t="s">
        <v>807</v>
      </c>
      <c r="F1197" s="15" t="s">
        <v>7642</v>
      </c>
      <c r="G1197" s="18"/>
      <c r="H1197" s="18"/>
      <c r="I1197" s="18"/>
      <c r="J1197" s="18"/>
    </row>
    <row r="1198" ht="15.75" customHeight="1">
      <c r="A1198" s="15" t="s">
        <v>7663</v>
      </c>
      <c r="B1198" s="15" t="s">
        <v>148</v>
      </c>
      <c r="C1198" s="15" t="s">
        <v>98</v>
      </c>
      <c r="D1198" s="56" t="s">
        <v>7665</v>
      </c>
      <c r="E1198" s="15" t="s">
        <v>807</v>
      </c>
      <c r="F1198" s="15" t="s">
        <v>7642</v>
      </c>
      <c r="G1198" s="18"/>
      <c r="H1198" s="18"/>
      <c r="I1198" s="18"/>
      <c r="J1198" s="18"/>
    </row>
    <row r="1199" ht="15.75" customHeight="1">
      <c r="A1199" s="15" t="s">
        <v>7666</v>
      </c>
      <c r="B1199" s="15" t="s">
        <v>148</v>
      </c>
      <c r="C1199" s="15" t="s">
        <v>98</v>
      </c>
      <c r="D1199" s="56" t="s">
        <v>7667</v>
      </c>
      <c r="E1199" s="15" t="s">
        <v>807</v>
      </c>
      <c r="F1199" s="15" t="s">
        <v>7642</v>
      </c>
      <c r="G1199" s="18"/>
      <c r="H1199" s="18"/>
      <c r="I1199" s="18"/>
      <c r="J1199" s="18"/>
    </row>
    <row r="1200" ht="15.75" customHeight="1">
      <c r="A1200" s="15" t="s">
        <v>7668</v>
      </c>
      <c r="B1200" s="15" t="s">
        <v>234</v>
      </c>
      <c r="C1200" s="15" t="s">
        <v>98</v>
      </c>
      <c r="D1200" s="56" t="s">
        <v>7669</v>
      </c>
      <c r="E1200" s="15" t="s">
        <v>807</v>
      </c>
      <c r="F1200" s="15" t="s">
        <v>7670</v>
      </c>
      <c r="G1200" s="18"/>
      <c r="H1200" s="18"/>
      <c r="I1200" s="18"/>
      <c r="J1200" s="18"/>
    </row>
    <row r="1201" ht="15.75" customHeight="1">
      <c r="A1201" s="15" t="s">
        <v>7671</v>
      </c>
      <c r="B1201" s="15" t="s">
        <v>234</v>
      </c>
      <c r="C1201" s="15" t="s">
        <v>98</v>
      </c>
      <c r="D1201" s="56" t="s">
        <v>7672</v>
      </c>
      <c r="E1201" s="15" t="s">
        <v>807</v>
      </c>
      <c r="F1201" s="15" t="s">
        <v>7670</v>
      </c>
      <c r="G1201" s="18"/>
      <c r="H1201" s="18"/>
      <c r="I1201" s="18"/>
      <c r="J1201" s="18"/>
    </row>
    <row r="1202" ht="15.75" customHeight="1">
      <c r="A1202" s="15" t="s">
        <v>7673</v>
      </c>
      <c r="B1202" s="15" t="s">
        <v>234</v>
      </c>
      <c r="C1202" s="15" t="s">
        <v>98</v>
      </c>
      <c r="D1202" s="56" t="s">
        <v>7674</v>
      </c>
      <c r="E1202" s="15" t="s">
        <v>807</v>
      </c>
      <c r="F1202" s="15" t="s">
        <v>7670</v>
      </c>
      <c r="G1202" s="18"/>
      <c r="H1202" s="18"/>
      <c r="I1202" s="18"/>
      <c r="J1202" s="18"/>
    </row>
    <row r="1203" ht="15.75" customHeight="1">
      <c r="A1203" s="15" t="s">
        <v>7675</v>
      </c>
      <c r="B1203" s="15" t="s">
        <v>234</v>
      </c>
      <c r="C1203" s="15" t="s">
        <v>98</v>
      </c>
      <c r="D1203" s="56" t="s">
        <v>7676</v>
      </c>
      <c r="E1203" s="15" t="s">
        <v>807</v>
      </c>
      <c r="F1203" s="15" t="s">
        <v>7670</v>
      </c>
      <c r="G1203" s="18"/>
      <c r="H1203" s="18"/>
      <c r="I1203" s="18"/>
      <c r="J1203" s="18"/>
    </row>
    <row r="1204" ht="15.75" customHeight="1">
      <c r="A1204" s="15" t="s">
        <v>7677</v>
      </c>
      <c r="B1204" s="15" t="s">
        <v>234</v>
      </c>
      <c r="C1204" s="15" t="s">
        <v>98</v>
      </c>
      <c r="D1204" s="56" t="s">
        <v>7678</v>
      </c>
      <c r="E1204" s="15" t="s">
        <v>807</v>
      </c>
      <c r="F1204" s="15" t="s">
        <v>7670</v>
      </c>
      <c r="G1204" s="18"/>
      <c r="H1204" s="18"/>
      <c r="I1204" s="18"/>
      <c r="J1204" s="18"/>
    </row>
    <row r="1205" ht="15.75" customHeight="1">
      <c r="A1205" s="15" t="s">
        <v>7679</v>
      </c>
      <c r="B1205" s="15" t="s">
        <v>234</v>
      </c>
      <c r="C1205" s="15" t="s">
        <v>98</v>
      </c>
      <c r="D1205" s="56" t="s">
        <v>7680</v>
      </c>
      <c r="E1205" s="15" t="s">
        <v>807</v>
      </c>
      <c r="F1205" s="15" t="s">
        <v>7670</v>
      </c>
      <c r="G1205" s="18"/>
      <c r="H1205" s="18"/>
      <c r="I1205" s="18"/>
      <c r="J1205" s="18"/>
    </row>
    <row r="1206" ht="15.75" customHeight="1">
      <c r="A1206" s="15" t="s">
        <v>7681</v>
      </c>
      <c r="B1206" s="15" t="s">
        <v>234</v>
      </c>
      <c r="C1206" s="15" t="s">
        <v>98</v>
      </c>
      <c r="D1206" s="56" t="s">
        <v>7682</v>
      </c>
      <c r="E1206" s="15" t="s">
        <v>807</v>
      </c>
      <c r="F1206" s="15" t="s">
        <v>7670</v>
      </c>
      <c r="G1206" s="18"/>
      <c r="H1206" s="18"/>
      <c r="I1206" s="18"/>
      <c r="J1206" s="18"/>
    </row>
    <row r="1207" ht="15.75" customHeight="1">
      <c r="A1207" s="15" t="s">
        <v>7683</v>
      </c>
      <c r="B1207" s="15" t="s">
        <v>234</v>
      </c>
      <c r="C1207" s="15" t="s">
        <v>98</v>
      </c>
      <c r="D1207" s="56" t="s">
        <v>7684</v>
      </c>
      <c r="E1207" s="15" t="s">
        <v>807</v>
      </c>
      <c r="F1207" s="15" t="s">
        <v>7670</v>
      </c>
      <c r="G1207" s="18"/>
      <c r="H1207" s="18"/>
      <c r="I1207" s="18"/>
      <c r="J1207" s="18"/>
    </row>
    <row r="1208" ht="15.75" customHeight="1">
      <c r="A1208" s="15" t="s">
        <v>7685</v>
      </c>
      <c r="B1208" s="15" t="s">
        <v>234</v>
      </c>
      <c r="C1208" s="15" t="s">
        <v>98</v>
      </c>
      <c r="D1208" s="56" t="s">
        <v>7686</v>
      </c>
      <c r="E1208" s="15" t="s">
        <v>807</v>
      </c>
      <c r="F1208" s="15" t="s">
        <v>7670</v>
      </c>
      <c r="G1208" s="18"/>
      <c r="H1208" s="18"/>
      <c r="I1208" s="18"/>
      <c r="J1208" s="18"/>
    </row>
    <row r="1209" ht="15.75" customHeight="1">
      <c r="A1209" s="15" t="s">
        <v>7687</v>
      </c>
      <c r="B1209" s="15" t="s">
        <v>234</v>
      </c>
      <c r="C1209" s="15" t="s">
        <v>98</v>
      </c>
      <c r="D1209" s="56" t="s">
        <v>7688</v>
      </c>
      <c r="E1209" s="15" t="s">
        <v>807</v>
      </c>
      <c r="F1209" s="15" t="s">
        <v>7670</v>
      </c>
      <c r="G1209" s="18"/>
      <c r="H1209" s="18"/>
      <c r="I1209" s="18"/>
      <c r="J1209" s="18"/>
    </row>
    <row r="1210" ht="15.75" customHeight="1">
      <c r="A1210" s="15" t="s">
        <v>7689</v>
      </c>
      <c r="B1210" s="15" t="s">
        <v>234</v>
      </c>
      <c r="C1210" s="15" t="s">
        <v>98</v>
      </c>
      <c r="D1210" s="56" t="s">
        <v>7690</v>
      </c>
      <c r="E1210" s="15" t="s">
        <v>807</v>
      </c>
      <c r="F1210" s="15" t="s">
        <v>7670</v>
      </c>
      <c r="G1210" s="18"/>
      <c r="H1210" s="18"/>
      <c r="I1210" s="18"/>
      <c r="J1210" s="18"/>
    </row>
    <row r="1211" ht="15.75" customHeight="1">
      <c r="A1211" s="15" t="s">
        <v>7694</v>
      </c>
      <c r="B1211" s="15" t="s">
        <v>234</v>
      </c>
      <c r="C1211" s="15" t="s">
        <v>98</v>
      </c>
      <c r="D1211" s="56" t="s">
        <v>7695</v>
      </c>
      <c r="E1211" s="15" t="s">
        <v>807</v>
      </c>
      <c r="F1211" s="15" t="s">
        <v>7670</v>
      </c>
      <c r="G1211" s="18"/>
      <c r="H1211" s="18"/>
      <c r="I1211" s="18"/>
      <c r="J1211" s="18"/>
    </row>
    <row r="1212" ht="15.75" customHeight="1">
      <c r="A1212" s="15" t="s">
        <v>7699</v>
      </c>
      <c r="B1212" s="15" t="s">
        <v>234</v>
      </c>
      <c r="C1212" s="15" t="s">
        <v>98</v>
      </c>
      <c r="D1212" s="56" t="s">
        <v>7700</v>
      </c>
      <c r="E1212" s="15" t="s">
        <v>807</v>
      </c>
      <c r="F1212" s="15" t="s">
        <v>7670</v>
      </c>
      <c r="G1212" s="18"/>
      <c r="H1212" s="18"/>
      <c r="I1212" s="18"/>
      <c r="J1212" s="18"/>
    </row>
    <row r="1213" ht="15.75" customHeight="1">
      <c r="A1213" s="15" t="s">
        <v>7701</v>
      </c>
      <c r="B1213" s="15" t="s">
        <v>234</v>
      </c>
      <c r="C1213" s="15" t="s">
        <v>98</v>
      </c>
      <c r="D1213" s="56" t="s">
        <v>7702</v>
      </c>
      <c r="E1213" s="15" t="s">
        <v>807</v>
      </c>
      <c r="F1213" s="15" t="s">
        <v>7670</v>
      </c>
      <c r="G1213" s="18"/>
      <c r="H1213" s="18"/>
      <c r="I1213" s="18"/>
      <c r="J1213" s="18"/>
    </row>
    <row r="1214" ht="15.75" customHeight="1">
      <c r="A1214" s="15" t="s">
        <v>7703</v>
      </c>
      <c r="B1214" s="15" t="s">
        <v>234</v>
      </c>
      <c r="C1214" s="15" t="s">
        <v>98</v>
      </c>
      <c r="D1214" s="56" t="s">
        <v>7704</v>
      </c>
      <c r="E1214" s="15" t="s">
        <v>807</v>
      </c>
      <c r="F1214" s="15" t="s">
        <v>7670</v>
      </c>
      <c r="G1214" s="18"/>
      <c r="H1214" s="18"/>
      <c r="I1214" s="18"/>
      <c r="J1214" s="18"/>
    </row>
    <row r="1215" ht="15.75" customHeight="1">
      <c r="A1215" s="15" t="s">
        <v>7705</v>
      </c>
      <c r="B1215" s="15" t="s">
        <v>234</v>
      </c>
      <c r="C1215" s="15" t="s">
        <v>98</v>
      </c>
      <c r="D1215" s="56" t="s">
        <v>7706</v>
      </c>
      <c r="E1215" s="15" t="s">
        <v>807</v>
      </c>
      <c r="F1215" s="15" t="s">
        <v>7670</v>
      </c>
      <c r="G1215" s="18"/>
      <c r="H1215" s="18"/>
      <c r="I1215" s="18"/>
      <c r="J1215" s="18"/>
    </row>
    <row r="1216" ht="15.75" customHeight="1">
      <c r="A1216" s="15" t="s">
        <v>7707</v>
      </c>
      <c r="B1216" s="15" t="s">
        <v>234</v>
      </c>
      <c r="C1216" s="15" t="s">
        <v>98</v>
      </c>
      <c r="D1216" s="56" t="s">
        <v>7708</v>
      </c>
      <c r="E1216" s="15" t="s">
        <v>807</v>
      </c>
      <c r="F1216" s="15" t="s">
        <v>7670</v>
      </c>
      <c r="G1216" s="18"/>
      <c r="H1216" s="18"/>
      <c r="I1216" s="18"/>
      <c r="J1216" s="18"/>
    </row>
    <row r="1217" ht="15.75" customHeight="1">
      <c r="A1217" s="15" t="s">
        <v>7709</v>
      </c>
      <c r="B1217" s="15" t="s">
        <v>234</v>
      </c>
      <c r="C1217" s="15" t="s">
        <v>98</v>
      </c>
      <c r="D1217" s="56" t="s">
        <v>7710</v>
      </c>
      <c r="E1217" s="15" t="s">
        <v>807</v>
      </c>
      <c r="F1217" s="15" t="s">
        <v>7670</v>
      </c>
      <c r="G1217" s="18"/>
      <c r="H1217" s="18"/>
      <c r="I1217" s="18"/>
      <c r="J1217" s="18"/>
    </row>
    <row r="1218" ht="15.75" customHeight="1">
      <c r="A1218" s="15" t="s">
        <v>7711</v>
      </c>
      <c r="B1218" s="15" t="s">
        <v>234</v>
      </c>
      <c r="C1218" s="15" t="s">
        <v>98</v>
      </c>
      <c r="D1218" s="56" t="s">
        <v>7712</v>
      </c>
      <c r="E1218" s="15" t="s">
        <v>807</v>
      </c>
      <c r="F1218" s="15" t="s">
        <v>7670</v>
      </c>
      <c r="G1218" s="18"/>
      <c r="H1218" s="18"/>
      <c r="I1218" s="18"/>
      <c r="J1218" s="18"/>
    </row>
    <row r="1219" ht="15.75" customHeight="1">
      <c r="A1219" s="15" t="s">
        <v>7713</v>
      </c>
      <c r="B1219" s="15" t="s">
        <v>234</v>
      </c>
      <c r="C1219" s="15" t="s">
        <v>98</v>
      </c>
      <c r="D1219" s="56" t="s">
        <v>7714</v>
      </c>
      <c r="E1219" s="15" t="s">
        <v>807</v>
      </c>
      <c r="F1219" s="15" t="s">
        <v>7670</v>
      </c>
      <c r="G1219" s="18"/>
      <c r="H1219" s="18"/>
      <c r="I1219" s="18"/>
      <c r="J1219" s="18"/>
    </row>
    <row r="1220" ht="15.75" customHeight="1">
      <c r="A1220" s="15" t="s">
        <v>7715</v>
      </c>
      <c r="B1220" s="15" t="s">
        <v>234</v>
      </c>
      <c r="C1220" s="15" t="s">
        <v>98</v>
      </c>
      <c r="D1220" s="56" t="s">
        <v>7716</v>
      </c>
      <c r="E1220" s="15" t="s">
        <v>807</v>
      </c>
      <c r="F1220" s="15" t="s">
        <v>7670</v>
      </c>
      <c r="G1220" s="18"/>
      <c r="H1220" s="18"/>
      <c r="I1220" s="18"/>
      <c r="J1220" s="18"/>
    </row>
    <row r="1221" ht="15.75" customHeight="1">
      <c r="A1221" s="15" t="s">
        <v>7717</v>
      </c>
      <c r="B1221" s="15" t="s">
        <v>234</v>
      </c>
      <c r="C1221" s="15" t="s">
        <v>98</v>
      </c>
      <c r="D1221" s="56" t="s">
        <v>7718</v>
      </c>
      <c r="E1221" s="15" t="s">
        <v>807</v>
      </c>
      <c r="F1221" s="15" t="s">
        <v>7670</v>
      </c>
      <c r="G1221" s="18"/>
      <c r="H1221" s="18"/>
      <c r="I1221" s="18"/>
      <c r="J1221" s="18"/>
    </row>
    <row r="1222" ht="15.75" customHeight="1">
      <c r="A1222" s="15" t="s">
        <v>7719</v>
      </c>
      <c r="B1222" s="15" t="s">
        <v>234</v>
      </c>
      <c r="C1222" s="15" t="s">
        <v>98</v>
      </c>
      <c r="D1222" s="56" t="s">
        <v>7720</v>
      </c>
      <c r="E1222" s="15" t="s">
        <v>807</v>
      </c>
      <c r="F1222" s="15" t="s">
        <v>7670</v>
      </c>
      <c r="G1222" s="18"/>
      <c r="H1222" s="18"/>
      <c r="I1222" s="18"/>
      <c r="J1222" s="18"/>
    </row>
    <row r="1223" ht="15.75" customHeight="1">
      <c r="A1223" s="15" t="s">
        <v>7721</v>
      </c>
      <c r="B1223" s="15" t="s">
        <v>234</v>
      </c>
      <c r="C1223" s="15" t="s">
        <v>98</v>
      </c>
      <c r="D1223" s="56" t="s">
        <v>7722</v>
      </c>
      <c r="E1223" s="15" t="s">
        <v>807</v>
      </c>
      <c r="F1223" s="15" t="s">
        <v>7670</v>
      </c>
      <c r="G1223" s="18"/>
      <c r="H1223" s="18"/>
      <c r="I1223" s="18"/>
      <c r="J1223" s="18"/>
    </row>
    <row r="1224" ht="15.75" customHeight="1">
      <c r="A1224" s="15" t="s">
        <v>7723</v>
      </c>
      <c r="B1224" s="15" t="s">
        <v>234</v>
      </c>
      <c r="C1224" s="15" t="s">
        <v>98</v>
      </c>
      <c r="D1224" s="56" t="s">
        <v>7724</v>
      </c>
      <c r="E1224" s="15" t="s">
        <v>807</v>
      </c>
      <c r="F1224" s="15" t="s">
        <v>7670</v>
      </c>
      <c r="G1224" s="18"/>
      <c r="H1224" s="18"/>
      <c r="I1224" s="18"/>
      <c r="J1224" s="18"/>
    </row>
    <row r="1225" ht="15.75" customHeight="1">
      <c r="A1225" s="15" t="s">
        <v>7725</v>
      </c>
      <c r="B1225" s="15" t="s">
        <v>234</v>
      </c>
      <c r="C1225" s="15" t="s">
        <v>98</v>
      </c>
      <c r="D1225" s="56" t="s">
        <v>7726</v>
      </c>
      <c r="E1225" s="15" t="s">
        <v>807</v>
      </c>
      <c r="F1225" s="15" t="s">
        <v>7670</v>
      </c>
      <c r="G1225" s="18"/>
      <c r="H1225" s="18"/>
      <c r="I1225" s="18"/>
      <c r="J1225" s="18"/>
    </row>
    <row r="1226" ht="15.75" customHeight="1">
      <c r="A1226" s="15" t="s">
        <v>7729</v>
      </c>
      <c r="B1226" s="15" t="s">
        <v>234</v>
      </c>
      <c r="C1226" s="15" t="s">
        <v>98</v>
      </c>
      <c r="D1226" s="56" t="s">
        <v>7731</v>
      </c>
      <c r="E1226" s="15" t="s">
        <v>807</v>
      </c>
      <c r="F1226" s="15" t="s">
        <v>7670</v>
      </c>
      <c r="G1226" s="18"/>
      <c r="H1226" s="18"/>
      <c r="I1226" s="18"/>
      <c r="J1226" s="18"/>
    </row>
    <row r="1227" ht="15.75" customHeight="1">
      <c r="A1227" s="15" t="s">
        <v>7734</v>
      </c>
      <c r="B1227" s="15" t="s">
        <v>234</v>
      </c>
      <c r="C1227" s="15" t="s">
        <v>98</v>
      </c>
      <c r="D1227" s="56" t="s">
        <v>7735</v>
      </c>
      <c r="E1227" s="15" t="s">
        <v>807</v>
      </c>
      <c r="F1227" s="15" t="s">
        <v>7670</v>
      </c>
      <c r="G1227" s="18"/>
      <c r="H1227" s="18"/>
      <c r="I1227" s="18"/>
      <c r="J1227" s="18"/>
    </row>
    <row r="1228" ht="15.75" customHeight="1">
      <c r="A1228" s="15" t="s">
        <v>7736</v>
      </c>
      <c r="B1228" s="15" t="s">
        <v>234</v>
      </c>
      <c r="C1228" s="15" t="s">
        <v>98</v>
      </c>
      <c r="D1228" s="56" t="s">
        <v>7737</v>
      </c>
      <c r="E1228" s="15" t="s">
        <v>807</v>
      </c>
      <c r="F1228" s="15" t="s">
        <v>7670</v>
      </c>
      <c r="G1228" s="18"/>
      <c r="H1228" s="18"/>
      <c r="I1228" s="18"/>
      <c r="J1228" s="18"/>
    </row>
    <row r="1229" ht="15.75" customHeight="1">
      <c r="A1229" s="15" t="s">
        <v>7738</v>
      </c>
      <c r="B1229" s="15" t="s">
        <v>234</v>
      </c>
      <c r="C1229" s="15" t="s">
        <v>98</v>
      </c>
      <c r="D1229" s="56" t="s">
        <v>7739</v>
      </c>
      <c r="E1229" s="15" t="s">
        <v>807</v>
      </c>
      <c r="F1229" s="15" t="s">
        <v>7670</v>
      </c>
      <c r="G1229" s="18"/>
      <c r="H1229" s="18"/>
      <c r="I1229" s="18"/>
      <c r="J1229" s="18"/>
    </row>
    <row r="1230" ht="15.75" customHeight="1">
      <c r="A1230" s="15" t="s">
        <v>7740</v>
      </c>
      <c r="B1230" s="15" t="s">
        <v>234</v>
      </c>
      <c r="C1230" s="15" t="s">
        <v>98</v>
      </c>
      <c r="D1230" s="56" t="s">
        <v>7741</v>
      </c>
      <c r="E1230" s="15" t="s">
        <v>807</v>
      </c>
      <c r="F1230" s="15" t="s">
        <v>7670</v>
      </c>
      <c r="G1230" s="18"/>
      <c r="H1230" s="18"/>
      <c r="I1230" s="18"/>
      <c r="J1230" s="18"/>
    </row>
    <row r="1231" ht="15.75" customHeight="1">
      <c r="A1231" s="15" t="s">
        <v>7742</v>
      </c>
      <c r="B1231" s="15" t="s">
        <v>234</v>
      </c>
      <c r="C1231" s="15" t="s">
        <v>98</v>
      </c>
      <c r="D1231" s="56" t="s">
        <v>7743</v>
      </c>
      <c r="E1231" s="15" t="s">
        <v>807</v>
      </c>
      <c r="F1231" s="15" t="s">
        <v>7670</v>
      </c>
      <c r="G1231" s="18"/>
      <c r="H1231" s="18"/>
      <c r="I1231" s="18"/>
      <c r="J1231" s="18"/>
    </row>
    <row r="1232" ht="15.75" customHeight="1">
      <c r="A1232" s="15" t="s">
        <v>7744</v>
      </c>
      <c r="B1232" s="15" t="s">
        <v>234</v>
      </c>
      <c r="C1232" s="15" t="s">
        <v>98</v>
      </c>
      <c r="D1232" s="56" t="s">
        <v>7745</v>
      </c>
      <c r="E1232" s="15" t="s">
        <v>807</v>
      </c>
      <c r="F1232" s="15" t="s">
        <v>7670</v>
      </c>
      <c r="G1232" s="18"/>
      <c r="H1232" s="18"/>
      <c r="I1232" s="18"/>
      <c r="J1232" s="18"/>
    </row>
    <row r="1233" ht="15.75" customHeight="1">
      <c r="A1233" s="15" t="s">
        <v>7746</v>
      </c>
      <c r="B1233" s="15" t="s">
        <v>234</v>
      </c>
      <c r="C1233" s="15" t="s">
        <v>98</v>
      </c>
      <c r="D1233" s="56" t="s">
        <v>7747</v>
      </c>
      <c r="E1233" s="15" t="s">
        <v>807</v>
      </c>
      <c r="F1233" s="15" t="s">
        <v>7670</v>
      </c>
      <c r="G1233" s="18"/>
      <c r="H1233" s="18"/>
      <c r="I1233" s="18"/>
      <c r="J1233" s="18"/>
    </row>
    <row r="1234" ht="15.75" customHeight="1">
      <c r="A1234" s="15" t="s">
        <v>7748</v>
      </c>
      <c r="B1234" s="15" t="s">
        <v>234</v>
      </c>
      <c r="C1234" s="15" t="s">
        <v>98</v>
      </c>
      <c r="D1234" s="56" t="s">
        <v>7749</v>
      </c>
      <c r="E1234" s="15" t="s">
        <v>807</v>
      </c>
      <c r="F1234" s="15" t="s">
        <v>7670</v>
      </c>
      <c r="G1234" s="18"/>
      <c r="H1234" s="18"/>
      <c r="I1234" s="18"/>
      <c r="J1234" s="18"/>
    </row>
    <row r="1235" ht="15.75" customHeight="1">
      <c r="A1235" s="15" t="s">
        <v>7750</v>
      </c>
      <c r="B1235" s="15" t="s">
        <v>234</v>
      </c>
      <c r="C1235" s="15" t="s">
        <v>98</v>
      </c>
      <c r="D1235" s="56" t="s">
        <v>7751</v>
      </c>
      <c r="E1235" s="15" t="s">
        <v>807</v>
      </c>
      <c r="F1235" s="15" t="s">
        <v>7670</v>
      </c>
      <c r="G1235" s="18"/>
      <c r="H1235" s="18"/>
      <c r="I1235" s="18"/>
      <c r="J1235" s="18"/>
    </row>
    <row r="1236" ht="15.75" customHeight="1">
      <c r="A1236" s="15" t="s">
        <v>7752</v>
      </c>
      <c r="B1236" s="15" t="s">
        <v>234</v>
      </c>
      <c r="C1236" s="15" t="s">
        <v>98</v>
      </c>
      <c r="D1236" s="56" t="s">
        <v>7753</v>
      </c>
      <c r="E1236" s="15" t="s">
        <v>807</v>
      </c>
      <c r="F1236" s="15" t="s">
        <v>7670</v>
      </c>
      <c r="G1236" s="18"/>
      <c r="H1236" s="18"/>
      <c r="I1236" s="18"/>
      <c r="J1236" s="18"/>
    </row>
    <row r="1237" ht="15.75" customHeight="1">
      <c r="A1237" s="15" t="s">
        <v>7754</v>
      </c>
      <c r="B1237" s="15" t="s">
        <v>234</v>
      </c>
      <c r="C1237" s="15" t="s">
        <v>98</v>
      </c>
      <c r="D1237" s="56" t="s">
        <v>7755</v>
      </c>
      <c r="E1237" s="15" t="s">
        <v>807</v>
      </c>
      <c r="F1237" s="15" t="s">
        <v>7670</v>
      </c>
      <c r="G1237" s="18"/>
      <c r="H1237" s="18"/>
      <c r="I1237" s="18"/>
      <c r="J1237" s="18"/>
    </row>
    <row r="1238" ht="15.75" customHeight="1">
      <c r="A1238" s="15" t="s">
        <v>7756</v>
      </c>
      <c r="B1238" s="15" t="s">
        <v>234</v>
      </c>
      <c r="C1238" s="15" t="s">
        <v>98</v>
      </c>
      <c r="D1238" s="56" t="s">
        <v>7757</v>
      </c>
      <c r="E1238" s="15" t="s">
        <v>807</v>
      </c>
      <c r="F1238" s="15" t="s">
        <v>7670</v>
      </c>
      <c r="G1238" s="18"/>
      <c r="H1238" s="18"/>
      <c r="I1238" s="18"/>
      <c r="J1238" s="18"/>
    </row>
    <row r="1239" ht="15.75" customHeight="1">
      <c r="A1239" s="15" t="s">
        <v>7758</v>
      </c>
      <c r="B1239" s="15" t="s">
        <v>234</v>
      </c>
      <c r="C1239" s="15" t="s">
        <v>98</v>
      </c>
      <c r="D1239" s="56" t="s">
        <v>7759</v>
      </c>
      <c r="E1239" s="15" t="s">
        <v>807</v>
      </c>
      <c r="F1239" s="15" t="s">
        <v>7670</v>
      </c>
      <c r="G1239" s="18"/>
      <c r="H1239" s="18"/>
      <c r="I1239" s="18"/>
      <c r="J1239" s="18"/>
    </row>
    <row r="1240" ht="15.75" customHeight="1">
      <c r="A1240" s="15" t="s">
        <v>7762</v>
      </c>
      <c r="B1240" s="15" t="s">
        <v>234</v>
      </c>
      <c r="C1240" s="15" t="s">
        <v>98</v>
      </c>
      <c r="D1240" s="56" t="s">
        <v>7763</v>
      </c>
      <c r="E1240" s="15" t="s">
        <v>807</v>
      </c>
      <c r="F1240" s="15" t="s">
        <v>7670</v>
      </c>
      <c r="G1240" s="18"/>
      <c r="H1240" s="18"/>
      <c r="I1240" s="18"/>
      <c r="J1240" s="18"/>
    </row>
    <row r="1241" ht="15.75" customHeight="1">
      <c r="A1241" s="15" t="s">
        <v>7767</v>
      </c>
      <c r="B1241" s="15" t="s">
        <v>234</v>
      </c>
      <c r="C1241" s="15" t="s">
        <v>98</v>
      </c>
      <c r="D1241" s="56" t="s">
        <v>7768</v>
      </c>
      <c r="E1241" s="15" t="s">
        <v>807</v>
      </c>
      <c r="F1241" s="15" t="s">
        <v>7670</v>
      </c>
      <c r="G1241" s="18"/>
      <c r="H1241" s="18"/>
      <c r="I1241" s="18"/>
      <c r="J1241" s="18"/>
    </row>
    <row r="1242" ht="15.75" customHeight="1">
      <c r="A1242" s="15" t="s">
        <v>7769</v>
      </c>
      <c r="B1242" s="15" t="s">
        <v>234</v>
      </c>
      <c r="C1242" s="15" t="s">
        <v>98</v>
      </c>
      <c r="D1242" s="56" t="s">
        <v>7770</v>
      </c>
      <c r="E1242" s="15" t="s">
        <v>807</v>
      </c>
      <c r="F1242" s="15" t="s">
        <v>7670</v>
      </c>
      <c r="G1242" s="18"/>
      <c r="H1242" s="18"/>
      <c r="I1242" s="18"/>
      <c r="J1242" s="18"/>
    </row>
    <row r="1243" ht="15.75" customHeight="1">
      <c r="A1243" s="15" t="s">
        <v>7771</v>
      </c>
      <c r="B1243" s="15" t="s">
        <v>234</v>
      </c>
      <c r="C1243" s="15" t="s">
        <v>98</v>
      </c>
      <c r="D1243" s="56" t="s">
        <v>7772</v>
      </c>
      <c r="E1243" s="15" t="s">
        <v>807</v>
      </c>
      <c r="F1243" s="15" t="s">
        <v>7670</v>
      </c>
      <c r="G1243" s="18"/>
      <c r="H1243" s="18"/>
      <c r="I1243" s="18"/>
      <c r="J1243" s="18"/>
    </row>
    <row r="1244" ht="15.75" customHeight="1">
      <c r="A1244" s="15" t="s">
        <v>7773</v>
      </c>
      <c r="B1244" s="15" t="s">
        <v>234</v>
      </c>
      <c r="C1244" s="15" t="s">
        <v>98</v>
      </c>
      <c r="D1244" s="56" t="s">
        <v>7774</v>
      </c>
      <c r="E1244" s="15" t="s">
        <v>807</v>
      </c>
      <c r="F1244" s="15" t="s">
        <v>7670</v>
      </c>
      <c r="G1244" s="18"/>
      <c r="H1244" s="18"/>
      <c r="I1244" s="18"/>
      <c r="J1244" s="18"/>
    </row>
    <row r="1245" ht="15.75" customHeight="1">
      <c r="A1245" s="15" t="s">
        <v>7775</v>
      </c>
      <c r="B1245" s="15" t="s">
        <v>234</v>
      </c>
      <c r="C1245" s="15" t="s">
        <v>98</v>
      </c>
      <c r="D1245" s="56" t="s">
        <v>7776</v>
      </c>
      <c r="E1245" s="15" t="s">
        <v>807</v>
      </c>
      <c r="F1245" s="15" t="s">
        <v>7670</v>
      </c>
      <c r="G1245" s="18"/>
      <c r="H1245" s="18"/>
      <c r="I1245" s="18"/>
      <c r="J1245" s="18"/>
    </row>
    <row r="1246" ht="15.75" customHeight="1">
      <c r="A1246" s="15" t="s">
        <v>7777</v>
      </c>
      <c r="B1246" s="15" t="s">
        <v>234</v>
      </c>
      <c r="C1246" s="15" t="s">
        <v>98</v>
      </c>
      <c r="D1246" s="56" t="s">
        <v>7778</v>
      </c>
      <c r="E1246" s="15" t="s">
        <v>807</v>
      </c>
      <c r="F1246" s="15" t="s">
        <v>7670</v>
      </c>
      <c r="G1246" s="18"/>
      <c r="H1246" s="18"/>
      <c r="I1246" s="18"/>
      <c r="J1246" s="18"/>
    </row>
    <row r="1247" ht="15.75" customHeight="1">
      <c r="A1247" s="15" t="s">
        <v>7779</v>
      </c>
      <c r="B1247" s="15" t="s">
        <v>234</v>
      </c>
      <c r="C1247" s="15" t="s">
        <v>98</v>
      </c>
      <c r="D1247" s="56" t="s">
        <v>7780</v>
      </c>
      <c r="E1247" s="15" t="s">
        <v>807</v>
      </c>
      <c r="F1247" s="15" t="s">
        <v>7670</v>
      </c>
      <c r="G1247" s="18"/>
      <c r="H1247" s="18"/>
      <c r="I1247" s="18"/>
      <c r="J1247" s="18"/>
    </row>
    <row r="1248" ht="15.75" customHeight="1">
      <c r="A1248" s="15" t="s">
        <v>7781</v>
      </c>
      <c r="B1248" s="15" t="s">
        <v>234</v>
      </c>
      <c r="C1248" s="15" t="s">
        <v>98</v>
      </c>
      <c r="D1248" s="56" t="s">
        <v>7782</v>
      </c>
      <c r="E1248" s="15" t="s">
        <v>807</v>
      </c>
      <c r="F1248" s="15" t="s">
        <v>7670</v>
      </c>
      <c r="G1248" s="18"/>
      <c r="H1248" s="18"/>
      <c r="I1248" s="18"/>
      <c r="J1248" s="18"/>
    </row>
    <row r="1249" ht="15.75" customHeight="1">
      <c r="A1249" s="15" t="s">
        <v>7783</v>
      </c>
      <c r="B1249" s="15" t="s">
        <v>234</v>
      </c>
      <c r="C1249" s="15" t="s">
        <v>98</v>
      </c>
      <c r="D1249" s="56" t="s">
        <v>7784</v>
      </c>
      <c r="E1249" s="15" t="s">
        <v>807</v>
      </c>
      <c r="F1249" s="15" t="s">
        <v>7670</v>
      </c>
      <c r="G1249" s="18"/>
      <c r="H1249" s="18"/>
      <c r="I1249" s="18"/>
      <c r="J1249" s="18"/>
    </row>
    <row r="1250" ht="15.75" customHeight="1">
      <c r="A1250" s="15" t="s">
        <v>7785</v>
      </c>
      <c r="B1250" s="15" t="s">
        <v>234</v>
      </c>
      <c r="C1250" s="15" t="s">
        <v>98</v>
      </c>
      <c r="D1250" s="56" t="s">
        <v>7786</v>
      </c>
      <c r="E1250" s="15" t="s">
        <v>807</v>
      </c>
      <c r="F1250" s="15" t="s">
        <v>7670</v>
      </c>
      <c r="G1250" s="18"/>
      <c r="H1250" s="18"/>
      <c r="I1250" s="18"/>
      <c r="J1250" s="18"/>
    </row>
    <row r="1251" ht="15.75" customHeight="1">
      <c r="A1251" s="15" t="s">
        <v>7787</v>
      </c>
      <c r="B1251" s="15" t="s">
        <v>234</v>
      </c>
      <c r="C1251" s="15" t="s">
        <v>98</v>
      </c>
      <c r="D1251" s="56" t="s">
        <v>7788</v>
      </c>
      <c r="E1251" s="15" t="s">
        <v>807</v>
      </c>
      <c r="F1251" s="15" t="s">
        <v>7670</v>
      </c>
      <c r="G1251" s="18"/>
      <c r="H1251" s="18"/>
      <c r="I1251" s="18"/>
      <c r="J1251" s="18"/>
    </row>
    <row r="1252" ht="15.75" customHeight="1">
      <c r="A1252" s="15" t="s">
        <v>7789</v>
      </c>
      <c r="B1252" s="15" t="s">
        <v>234</v>
      </c>
      <c r="C1252" s="15" t="s">
        <v>98</v>
      </c>
      <c r="D1252" s="56" t="s">
        <v>7790</v>
      </c>
      <c r="E1252" s="15" t="s">
        <v>807</v>
      </c>
      <c r="F1252" s="15" t="s">
        <v>7670</v>
      </c>
      <c r="G1252" s="18"/>
      <c r="H1252" s="18"/>
      <c r="I1252" s="18"/>
      <c r="J1252" s="18"/>
    </row>
    <row r="1253" ht="15.75" customHeight="1">
      <c r="A1253" s="15" t="s">
        <v>7791</v>
      </c>
      <c r="B1253" s="15" t="s">
        <v>234</v>
      </c>
      <c r="C1253" s="15" t="s">
        <v>98</v>
      </c>
      <c r="D1253" s="56" t="s">
        <v>7792</v>
      </c>
      <c r="E1253" s="15" t="s">
        <v>807</v>
      </c>
      <c r="F1253" s="15" t="s">
        <v>7670</v>
      </c>
      <c r="G1253" s="18"/>
      <c r="H1253" s="18"/>
      <c r="I1253" s="18"/>
      <c r="J1253" s="18"/>
    </row>
    <row r="1254" ht="15.75" customHeight="1">
      <c r="A1254" s="15" t="s">
        <v>7793</v>
      </c>
      <c r="B1254" s="15" t="s">
        <v>234</v>
      </c>
      <c r="C1254" s="15" t="s">
        <v>98</v>
      </c>
      <c r="D1254" s="56" t="s">
        <v>7795</v>
      </c>
      <c r="E1254" s="15" t="s">
        <v>807</v>
      </c>
      <c r="F1254" s="15" t="s">
        <v>7670</v>
      </c>
      <c r="G1254" s="18"/>
      <c r="H1254" s="18"/>
      <c r="I1254" s="18"/>
      <c r="J1254" s="18"/>
    </row>
    <row r="1255" ht="15.75" customHeight="1">
      <c r="A1255" s="15" t="s">
        <v>7797</v>
      </c>
      <c r="B1255" s="15" t="s">
        <v>234</v>
      </c>
      <c r="C1255" s="15" t="s">
        <v>98</v>
      </c>
      <c r="D1255" s="56" t="s">
        <v>7800</v>
      </c>
      <c r="E1255" s="15" t="s">
        <v>807</v>
      </c>
      <c r="F1255" s="15" t="s">
        <v>7670</v>
      </c>
      <c r="G1255" s="18"/>
      <c r="H1255" s="18"/>
      <c r="I1255" s="18"/>
      <c r="J1255" s="18"/>
    </row>
    <row r="1256" ht="15.75" customHeight="1">
      <c r="A1256" s="15" t="s">
        <v>7802</v>
      </c>
      <c r="B1256" s="15" t="s">
        <v>234</v>
      </c>
      <c r="C1256" s="15" t="s">
        <v>98</v>
      </c>
      <c r="D1256" s="56" t="s">
        <v>7803</v>
      </c>
      <c r="E1256" s="15" t="s">
        <v>807</v>
      </c>
      <c r="F1256" s="15" t="s">
        <v>7670</v>
      </c>
      <c r="G1256" s="18"/>
      <c r="H1256" s="18"/>
      <c r="I1256" s="18"/>
      <c r="J1256" s="18"/>
    </row>
    <row r="1257" ht="15.75" customHeight="1">
      <c r="A1257" s="15" t="s">
        <v>7804</v>
      </c>
      <c r="B1257" s="15" t="s">
        <v>234</v>
      </c>
      <c r="C1257" s="15" t="s">
        <v>98</v>
      </c>
      <c r="D1257" s="56" t="s">
        <v>7805</v>
      </c>
      <c r="E1257" s="15" t="s">
        <v>807</v>
      </c>
      <c r="F1257" s="15" t="s">
        <v>7670</v>
      </c>
      <c r="G1257" s="18"/>
      <c r="H1257" s="18"/>
      <c r="I1257" s="18"/>
      <c r="J1257" s="18"/>
    </row>
    <row r="1258" ht="15.75" customHeight="1">
      <c r="A1258" s="15" t="s">
        <v>7806</v>
      </c>
      <c r="B1258" s="15" t="s">
        <v>234</v>
      </c>
      <c r="C1258" s="15" t="s">
        <v>98</v>
      </c>
      <c r="D1258" s="56" t="s">
        <v>7807</v>
      </c>
      <c r="E1258" s="15" t="s">
        <v>807</v>
      </c>
      <c r="F1258" s="15" t="s">
        <v>7670</v>
      </c>
      <c r="G1258" s="18"/>
      <c r="H1258" s="18"/>
      <c r="I1258" s="18"/>
      <c r="J1258" s="18"/>
    </row>
    <row r="1259" ht="15.75" customHeight="1">
      <c r="A1259" s="15" t="s">
        <v>7808</v>
      </c>
      <c r="B1259" s="15" t="s">
        <v>234</v>
      </c>
      <c r="C1259" s="15" t="s">
        <v>98</v>
      </c>
      <c r="D1259" s="56" t="s">
        <v>7809</v>
      </c>
      <c r="E1259" s="15" t="s">
        <v>807</v>
      </c>
      <c r="F1259" s="15" t="s">
        <v>7670</v>
      </c>
      <c r="G1259" s="18"/>
      <c r="H1259" s="18"/>
      <c r="I1259" s="18"/>
      <c r="J1259" s="18"/>
    </row>
    <row r="1260" ht="15.75" customHeight="1">
      <c r="A1260" s="15" t="s">
        <v>7810</v>
      </c>
      <c r="B1260" s="15" t="s">
        <v>221</v>
      </c>
      <c r="C1260" s="15" t="s">
        <v>98</v>
      </c>
      <c r="D1260" s="56" t="s">
        <v>7811</v>
      </c>
      <c r="E1260" s="15" t="s">
        <v>807</v>
      </c>
      <c r="F1260" s="15" t="s">
        <v>7812</v>
      </c>
      <c r="G1260" s="18"/>
      <c r="H1260" s="18"/>
      <c r="I1260" s="18"/>
      <c r="J1260" s="18"/>
    </row>
    <row r="1261" ht="15.75" customHeight="1">
      <c r="A1261" s="15" t="s">
        <v>7813</v>
      </c>
      <c r="B1261" s="15" t="s">
        <v>221</v>
      </c>
      <c r="C1261" s="15" t="s">
        <v>98</v>
      </c>
      <c r="D1261" s="56" t="s">
        <v>7814</v>
      </c>
      <c r="E1261" s="15" t="s">
        <v>807</v>
      </c>
      <c r="F1261" s="15" t="s">
        <v>7812</v>
      </c>
      <c r="G1261" s="18"/>
      <c r="H1261" s="18"/>
      <c r="I1261" s="18"/>
      <c r="J1261" s="18"/>
    </row>
    <row r="1262" ht="15.75" customHeight="1">
      <c r="A1262" s="15" t="s">
        <v>7815</v>
      </c>
      <c r="B1262" s="15" t="s">
        <v>221</v>
      </c>
      <c r="C1262" s="15" t="s">
        <v>98</v>
      </c>
      <c r="D1262" s="56" t="s">
        <v>7816</v>
      </c>
      <c r="E1262" s="15" t="s">
        <v>807</v>
      </c>
      <c r="F1262" s="15" t="s">
        <v>7812</v>
      </c>
      <c r="G1262" s="18"/>
      <c r="H1262" s="18"/>
      <c r="I1262" s="18"/>
      <c r="J1262" s="18"/>
    </row>
    <row r="1263" ht="15.75" customHeight="1">
      <c r="A1263" s="15" t="s">
        <v>7817</v>
      </c>
      <c r="B1263" s="15" t="s">
        <v>221</v>
      </c>
      <c r="C1263" s="15" t="s">
        <v>98</v>
      </c>
      <c r="D1263" s="56" t="s">
        <v>7818</v>
      </c>
      <c r="E1263" s="15" t="s">
        <v>807</v>
      </c>
      <c r="F1263" s="15" t="s">
        <v>7812</v>
      </c>
      <c r="G1263" s="18"/>
      <c r="H1263" s="18"/>
      <c r="I1263" s="18"/>
      <c r="J1263" s="18"/>
    </row>
    <row r="1264" ht="15.75" customHeight="1">
      <c r="A1264" s="15" t="s">
        <v>7819</v>
      </c>
      <c r="B1264" s="15" t="s">
        <v>221</v>
      </c>
      <c r="C1264" s="15" t="s">
        <v>98</v>
      </c>
      <c r="D1264" s="56" t="s">
        <v>7820</v>
      </c>
      <c r="E1264" s="15" t="s">
        <v>807</v>
      </c>
      <c r="F1264" s="15" t="s">
        <v>7812</v>
      </c>
      <c r="G1264" s="18"/>
      <c r="H1264" s="18"/>
      <c r="I1264" s="18"/>
      <c r="J1264" s="18"/>
    </row>
    <row r="1265" ht="15.75" customHeight="1">
      <c r="A1265" s="15" t="s">
        <v>7821</v>
      </c>
      <c r="B1265" s="15" t="s">
        <v>221</v>
      </c>
      <c r="C1265" s="15" t="s">
        <v>98</v>
      </c>
      <c r="D1265" s="56" t="s">
        <v>7822</v>
      </c>
      <c r="E1265" s="15" t="s">
        <v>807</v>
      </c>
      <c r="F1265" s="15" t="s">
        <v>7812</v>
      </c>
      <c r="G1265" s="18"/>
      <c r="H1265" s="18"/>
      <c r="I1265" s="18"/>
      <c r="J1265" s="18"/>
    </row>
    <row r="1266" ht="15.75" customHeight="1">
      <c r="A1266" s="15" t="s">
        <v>7827</v>
      </c>
      <c r="B1266" s="15" t="s">
        <v>221</v>
      </c>
      <c r="C1266" s="15" t="s">
        <v>98</v>
      </c>
      <c r="D1266" s="56" t="s">
        <v>7830</v>
      </c>
      <c r="E1266" s="15" t="s">
        <v>807</v>
      </c>
      <c r="F1266" s="15" t="s">
        <v>7812</v>
      </c>
      <c r="G1266" s="18"/>
      <c r="H1266" s="18"/>
      <c r="I1266" s="18"/>
      <c r="J1266" s="18"/>
    </row>
    <row r="1267" ht="15.75" customHeight="1">
      <c r="A1267" s="15" t="s">
        <v>7831</v>
      </c>
      <c r="B1267" s="15" t="s">
        <v>221</v>
      </c>
      <c r="C1267" s="15" t="s">
        <v>98</v>
      </c>
      <c r="D1267" s="56" t="s">
        <v>7832</v>
      </c>
      <c r="E1267" s="15" t="s">
        <v>807</v>
      </c>
      <c r="F1267" s="15" t="s">
        <v>7812</v>
      </c>
      <c r="G1267" s="18"/>
      <c r="H1267" s="18"/>
      <c r="I1267" s="18"/>
      <c r="J1267" s="18"/>
    </row>
    <row r="1268" ht="15.75" customHeight="1">
      <c r="A1268" s="15" t="s">
        <v>7833</v>
      </c>
      <c r="B1268" s="15" t="s">
        <v>221</v>
      </c>
      <c r="C1268" s="15" t="s">
        <v>98</v>
      </c>
      <c r="D1268" s="56" t="s">
        <v>7834</v>
      </c>
      <c r="E1268" s="15" t="s">
        <v>807</v>
      </c>
      <c r="F1268" s="15" t="s">
        <v>7812</v>
      </c>
      <c r="G1268" s="18"/>
      <c r="H1268" s="18"/>
      <c r="I1268" s="18"/>
      <c r="J1268" s="18"/>
    </row>
    <row r="1269" ht="15.75" customHeight="1">
      <c r="A1269" s="15" t="s">
        <v>7835</v>
      </c>
      <c r="B1269" s="15" t="s">
        <v>221</v>
      </c>
      <c r="C1269" s="15" t="s">
        <v>98</v>
      </c>
      <c r="D1269" s="56" t="s">
        <v>7836</v>
      </c>
      <c r="E1269" s="15" t="s">
        <v>807</v>
      </c>
      <c r="F1269" s="15" t="s">
        <v>7812</v>
      </c>
      <c r="G1269" s="18"/>
      <c r="H1269" s="18"/>
      <c r="I1269" s="18"/>
      <c r="J1269" s="18"/>
    </row>
    <row r="1270" ht="15.75" customHeight="1">
      <c r="A1270" s="15" t="s">
        <v>7837</v>
      </c>
      <c r="B1270" s="15" t="s">
        <v>221</v>
      </c>
      <c r="C1270" s="15" t="s">
        <v>98</v>
      </c>
      <c r="D1270" s="56" t="s">
        <v>7838</v>
      </c>
      <c r="E1270" s="15" t="s">
        <v>807</v>
      </c>
      <c r="F1270" s="15" t="s">
        <v>7812</v>
      </c>
      <c r="G1270" s="18"/>
      <c r="H1270" s="18"/>
      <c r="I1270" s="18"/>
      <c r="J1270" s="18"/>
    </row>
    <row r="1271" ht="15.75" customHeight="1">
      <c r="A1271" s="15" t="s">
        <v>7839</v>
      </c>
      <c r="B1271" s="15" t="s">
        <v>221</v>
      </c>
      <c r="C1271" s="15" t="s">
        <v>98</v>
      </c>
      <c r="D1271" s="56" t="s">
        <v>7840</v>
      </c>
      <c r="E1271" s="15" t="s">
        <v>807</v>
      </c>
      <c r="F1271" s="15" t="s">
        <v>7812</v>
      </c>
      <c r="G1271" s="18"/>
      <c r="H1271" s="18"/>
      <c r="I1271" s="18"/>
      <c r="J1271" s="18"/>
    </row>
    <row r="1272" ht="15.75" customHeight="1">
      <c r="A1272" s="15" t="s">
        <v>7841</v>
      </c>
      <c r="B1272" s="15" t="s">
        <v>221</v>
      </c>
      <c r="C1272" s="15" t="s">
        <v>98</v>
      </c>
      <c r="D1272" s="56" t="s">
        <v>7842</v>
      </c>
      <c r="E1272" s="15" t="s">
        <v>807</v>
      </c>
      <c r="F1272" s="15" t="s">
        <v>7812</v>
      </c>
      <c r="G1272" s="18"/>
      <c r="H1272" s="18"/>
      <c r="I1272" s="18"/>
      <c r="J1272" s="18"/>
    </row>
    <row r="1273" ht="15.75" customHeight="1">
      <c r="A1273" s="15" t="s">
        <v>7843</v>
      </c>
      <c r="B1273" s="15" t="s">
        <v>221</v>
      </c>
      <c r="C1273" s="15" t="s">
        <v>98</v>
      </c>
      <c r="D1273" s="56" t="s">
        <v>7844</v>
      </c>
      <c r="E1273" s="15" t="s">
        <v>807</v>
      </c>
      <c r="F1273" s="15" t="s">
        <v>7812</v>
      </c>
      <c r="G1273" s="18"/>
      <c r="H1273" s="18"/>
      <c r="I1273" s="18"/>
      <c r="J1273" s="18"/>
    </row>
    <row r="1274" ht="15.75" customHeight="1">
      <c r="A1274" s="15" t="s">
        <v>7845</v>
      </c>
      <c r="B1274" s="15" t="s">
        <v>221</v>
      </c>
      <c r="C1274" s="15" t="s">
        <v>98</v>
      </c>
      <c r="D1274" s="56" t="s">
        <v>7846</v>
      </c>
      <c r="E1274" s="15" t="s">
        <v>807</v>
      </c>
      <c r="F1274" s="15" t="s">
        <v>7812</v>
      </c>
      <c r="G1274" s="18"/>
      <c r="H1274" s="18"/>
      <c r="I1274" s="18"/>
      <c r="J1274" s="18"/>
    </row>
    <row r="1275" ht="15.75" customHeight="1">
      <c r="A1275" s="15" t="s">
        <v>7852</v>
      </c>
      <c r="B1275" s="15" t="s">
        <v>221</v>
      </c>
      <c r="C1275" s="15" t="s">
        <v>98</v>
      </c>
      <c r="D1275" s="56" t="s">
        <v>7855</v>
      </c>
      <c r="E1275" s="15" t="s">
        <v>807</v>
      </c>
      <c r="F1275" s="15" t="s">
        <v>7812</v>
      </c>
      <c r="G1275" s="18"/>
      <c r="H1275" s="18"/>
      <c r="I1275" s="18"/>
      <c r="J1275" s="18"/>
    </row>
    <row r="1276" ht="15.75" customHeight="1">
      <c r="A1276" s="15" t="s">
        <v>7856</v>
      </c>
      <c r="B1276" s="15" t="s">
        <v>221</v>
      </c>
      <c r="C1276" s="15" t="s">
        <v>98</v>
      </c>
      <c r="D1276" s="56" t="s">
        <v>7857</v>
      </c>
      <c r="E1276" s="15" t="s">
        <v>807</v>
      </c>
      <c r="F1276" s="15" t="s">
        <v>7812</v>
      </c>
      <c r="G1276" s="18"/>
      <c r="H1276" s="18"/>
      <c r="I1276" s="18"/>
      <c r="J1276" s="18"/>
    </row>
    <row r="1277" ht="15.75" customHeight="1">
      <c r="A1277" s="15" t="s">
        <v>7858</v>
      </c>
      <c r="B1277" s="15" t="s">
        <v>221</v>
      </c>
      <c r="C1277" s="15" t="s">
        <v>98</v>
      </c>
      <c r="D1277" s="56" t="s">
        <v>7859</v>
      </c>
      <c r="E1277" s="15" t="s">
        <v>807</v>
      </c>
      <c r="F1277" s="15" t="s">
        <v>7812</v>
      </c>
      <c r="G1277" s="18"/>
      <c r="H1277" s="18"/>
      <c r="I1277" s="18"/>
      <c r="J1277" s="18"/>
    </row>
    <row r="1278" ht="15.75" customHeight="1">
      <c r="A1278" s="15" t="s">
        <v>7860</v>
      </c>
      <c r="B1278" s="15" t="s">
        <v>221</v>
      </c>
      <c r="C1278" s="15" t="s">
        <v>98</v>
      </c>
      <c r="D1278" s="56" t="s">
        <v>7861</v>
      </c>
      <c r="E1278" s="15" t="s">
        <v>807</v>
      </c>
      <c r="F1278" s="15" t="s">
        <v>7812</v>
      </c>
      <c r="G1278" s="18"/>
      <c r="H1278" s="18"/>
      <c r="I1278" s="18"/>
      <c r="J1278" s="18"/>
    </row>
    <row r="1279" ht="15.75" customHeight="1">
      <c r="A1279" s="15" t="s">
        <v>7862</v>
      </c>
      <c r="B1279" s="15" t="s">
        <v>221</v>
      </c>
      <c r="C1279" s="15" t="s">
        <v>98</v>
      </c>
      <c r="D1279" s="56" t="s">
        <v>7863</v>
      </c>
      <c r="E1279" s="15" t="s">
        <v>807</v>
      </c>
      <c r="F1279" s="15" t="s">
        <v>7812</v>
      </c>
      <c r="G1279" s="18"/>
      <c r="H1279" s="18"/>
      <c r="I1279" s="18"/>
      <c r="J1279" s="18"/>
    </row>
    <row r="1280" ht="15.75" customHeight="1">
      <c r="A1280" s="15" t="s">
        <v>7864</v>
      </c>
      <c r="B1280" s="15" t="s">
        <v>221</v>
      </c>
      <c r="C1280" s="15" t="s">
        <v>98</v>
      </c>
      <c r="D1280" s="56" t="s">
        <v>7865</v>
      </c>
      <c r="E1280" s="15" t="s">
        <v>807</v>
      </c>
      <c r="F1280" s="15" t="s">
        <v>7812</v>
      </c>
      <c r="G1280" s="18"/>
      <c r="H1280" s="18"/>
      <c r="I1280" s="18"/>
      <c r="J1280" s="18"/>
    </row>
    <row r="1281" ht="15.75" customHeight="1">
      <c r="A1281" s="15" t="s">
        <v>7866</v>
      </c>
      <c r="B1281" s="15" t="s">
        <v>221</v>
      </c>
      <c r="C1281" s="15" t="s">
        <v>98</v>
      </c>
      <c r="D1281" s="56" t="s">
        <v>7867</v>
      </c>
      <c r="E1281" s="15" t="s">
        <v>807</v>
      </c>
      <c r="F1281" s="15" t="s">
        <v>7812</v>
      </c>
      <c r="G1281" s="18"/>
      <c r="H1281" s="18"/>
      <c r="I1281" s="18"/>
      <c r="J1281" s="18"/>
    </row>
    <row r="1282" ht="15.75" customHeight="1">
      <c r="A1282" s="15" t="s">
        <v>7868</v>
      </c>
      <c r="B1282" s="15" t="s">
        <v>221</v>
      </c>
      <c r="C1282" s="15" t="s">
        <v>98</v>
      </c>
      <c r="D1282" s="56" t="s">
        <v>7869</v>
      </c>
      <c r="E1282" s="15" t="s">
        <v>807</v>
      </c>
      <c r="F1282" s="15" t="s">
        <v>7812</v>
      </c>
      <c r="G1282" s="18"/>
      <c r="H1282" s="18"/>
      <c r="I1282" s="18"/>
      <c r="J1282" s="18"/>
    </row>
    <row r="1283" ht="15.75" customHeight="1">
      <c r="A1283" s="15" t="s">
        <v>7876</v>
      </c>
      <c r="B1283" s="15" t="s">
        <v>221</v>
      </c>
      <c r="C1283" s="15" t="s">
        <v>98</v>
      </c>
      <c r="D1283" s="56" t="s">
        <v>7877</v>
      </c>
      <c r="E1283" s="15" t="s">
        <v>807</v>
      </c>
      <c r="F1283" s="15" t="s">
        <v>7812</v>
      </c>
      <c r="G1283" s="18"/>
      <c r="H1283" s="18"/>
      <c r="I1283" s="18"/>
      <c r="J1283" s="18"/>
    </row>
    <row r="1284" ht="15.75" customHeight="1">
      <c r="A1284" s="15" t="s">
        <v>7878</v>
      </c>
      <c r="B1284" s="15" t="s">
        <v>221</v>
      </c>
      <c r="C1284" s="15" t="s">
        <v>98</v>
      </c>
      <c r="D1284" s="56" t="s">
        <v>7879</v>
      </c>
      <c r="E1284" s="15" t="s">
        <v>807</v>
      </c>
      <c r="F1284" s="15" t="s">
        <v>7812</v>
      </c>
      <c r="G1284" s="18"/>
      <c r="H1284" s="18"/>
      <c r="I1284" s="18"/>
      <c r="J1284" s="18"/>
    </row>
    <row r="1285" ht="15.75" customHeight="1">
      <c r="A1285" s="15" t="s">
        <v>7880</v>
      </c>
      <c r="B1285" s="15" t="s">
        <v>221</v>
      </c>
      <c r="C1285" s="15" t="s">
        <v>98</v>
      </c>
      <c r="D1285" s="56" t="s">
        <v>7881</v>
      </c>
      <c r="E1285" s="15" t="s">
        <v>807</v>
      </c>
      <c r="F1285" s="15" t="s">
        <v>7812</v>
      </c>
      <c r="G1285" s="18"/>
      <c r="H1285" s="18"/>
      <c r="I1285" s="18"/>
      <c r="J1285" s="18"/>
    </row>
    <row r="1286" ht="15.75" customHeight="1">
      <c r="A1286" s="15" t="s">
        <v>7882</v>
      </c>
      <c r="B1286" s="15" t="s">
        <v>221</v>
      </c>
      <c r="C1286" s="15" t="s">
        <v>98</v>
      </c>
      <c r="D1286" s="56" t="s">
        <v>7883</v>
      </c>
      <c r="E1286" s="15" t="s">
        <v>807</v>
      </c>
      <c r="F1286" s="15" t="s">
        <v>7812</v>
      </c>
      <c r="G1286" s="18"/>
      <c r="H1286" s="18"/>
      <c r="I1286" s="18"/>
      <c r="J1286" s="18"/>
    </row>
    <row r="1287" ht="15.75" customHeight="1">
      <c r="A1287" s="15" t="s">
        <v>7884</v>
      </c>
      <c r="B1287" s="15" t="s">
        <v>221</v>
      </c>
      <c r="C1287" s="15" t="s">
        <v>98</v>
      </c>
      <c r="D1287" s="56" t="s">
        <v>7885</v>
      </c>
      <c r="E1287" s="15" t="s">
        <v>807</v>
      </c>
      <c r="F1287" s="15" t="s">
        <v>7812</v>
      </c>
      <c r="G1287" s="18"/>
      <c r="H1287" s="18"/>
      <c r="I1287" s="18"/>
      <c r="J1287" s="18"/>
    </row>
    <row r="1288" ht="15.75" customHeight="1">
      <c r="A1288" s="15" t="s">
        <v>7886</v>
      </c>
      <c r="B1288" s="15" t="s">
        <v>221</v>
      </c>
      <c r="C1288" s="15" t="s">
        <v>98</v>
      </c>
      <c r="D1288" s="56" t="s">
        <v>7887</v>
      </c>
      <c r="E1288" s="15" t="s">
        <v>807</v>
      </c>
      <c r="F1288" s="15" t="s">
        <v>7812</v>
      </c>
      <c r="G1288" s="18"/>
      <c r="H1288" s="18"/>
      <c r="I1288" s="18"/>
      <c r="J1288" s="18"/>
    </row>
    <row r="1289" ht="15.75" customHeight="1">
      <c r="A1289" s="15" t="s">
        <v>7888</v>
      </c>
      <c r="B1289" s="15" t="s">
        <v>221</v>
      </c>
      <c r="C1289" s="15" t="s">
        <v>98</v>
      </c>
      <c r="D1289" s="56" t="s">
        <v>7889</v>
      </c>
      <c r="E1289" s="15" t="s">
        <v>807</v>
      </c>
      <c r="F1289" s="15" t="s">
        <v>7812</v>
      </c>
      <c r="G1289" s="18"/>
      <c r="H1289" s="18"/>
      <c r="I1289" s="18"/>
      <c r="J1289" s="18"/>
    </row>
    <row r="1290" ht="15.75" customHeight="1">
      <c r="A1290" s="15" t="s">
        <v>7890</v>
      </c>
      <c r="B1290" s="15" t="s">
        <v>221</v>
      </c>
      <c r="C1290" s="15" t="s">
        <v>98</v>
      </c>
      <c r="D1290" s="56" t="s">
        <v>7891</v>
      </c>
      <c r="E1290" s="15" t="s">
        <v>807</v>
      </c>
      <c r="F1290" s="15" t="s">
        <v>7812</v>
      </c>
      <c r="G1290" s="18"/>
      <c r="H1290" s="18"/>
      <c r="I1290" s="18"/>
      <c r="J1290" s="18"/>
    </row>
    <row r="1291" ht="15.75" customHeight="1">
      <c r="A1291" s="15" t="s">
        <v>7894</v>
      </c>
      <c r="B1291" s="15" t="s">
        <v>221</v>
      </c>
      <c r="C1291" s="15" t="s">
        <v>98</v>
      </c>
      <c r="D1291" s="56" t="s">
        <v>7896</v>
      </c>
      <c r="E1291" s="15" t="s">
        <v>807</v>
      </c>
      <c r="F1291" s="15" t="s">
        <v>7812</v>
      </c>
      <c r="G1291" s="18"/>
      <c r="H1291" s="18"/>
      <c r="I1291" s="18"/>
      <c r="J1291" s="18"/>
    </row>
    <row r="1292" ht="15.75" customHeight="1">
      <c r="A1292" s="15" t="s">
        <v>7899</v>
      </c>
      <c r="B1292" s="15" t="s">
        <v>221</v>
      </c>
      <c r="C1292" s="15" t="s">
        <v>98</v>
      </c>
      <c r="D1292" s="56" t="s">
        <v>7900</v>
      </c>
      <c r="E1292" s="15" t="s">
        <v>807</v>
      </c>
      <c r="F1292" s="15" t="s">
        <v>7812</v>
      </c>
      <c r="G1292" s="18"/>
      <c r="H1292" s="18"/>
      <c r="I1292" s="18"/>
      <c r="J1292" s="18"/>
    </row>
    <row r="1293" ht="15.75" customHeight="1">
      <c r="A1293" s="15" t="s">
        <v>7901</v>
      </c>
      <c r="B1293" s="15" t="s">
        <v>221</v>
      </c>
      <c r="C1293" s="15" t="s">
        <v>98</v>
      </c>
      <c r="D1293" s="56" t="s">
        <v>7902</v>
      </c>
      <c r="E1293" s="15" t="s">
        <v>807</v>
      </c>
      <c r="F1293" s="15" t="s">
        <v>7812</v>
      </c>
      <c r="G1293" s="18"/>
      <c r="H1293" s="18"/>
      <c r="I1293" s="18"/>
      <c r="J1293" s="18"/>
    </row>
    <row r="1294" ht="15.75" customHeight="1">
      <c r="A1294" s="15" t="s">
        <v>7903</v>
      </c>
      <c r="B1294" s="15" t="s">
        <v>221</v>
      </c>
      <c r="C1294" s="15" t="s">
        <v>98</v>
      </c>
      <c r="D1294" s="56" t="s">
        <v>7904</v>
      </c>
      <c r="E1294" s="15" t="s">
        <v>807</v>
      </c>
      <c r="F1294" s="15" t="s">
        <v>7812</v>
      </c>
      <c r="G1294" s="18"/>
      <c r="H1294" s="18"/>
      <c r="I1294" s="18"/>
      <c r="J1294" s="18"/>
    </row>
    <row r="1295" ht="15.75" customHeight="1">
      <c r="A1295" s="15" t="s">
        <v>7905</v>
      </c>
      <c r="B1295" s="15" t="s">
        <v>221</v>
      </c>
      <c r="C1295" s="15" t="s">
        <v>98</v>
      </c>
      <c r="D1295" s="56" t="s">
        <v>7906</v>
      </c>
      <c r="E1295" s="15" t="s">
        <v>807</v>
      </c>
      <c r="F1295" s="15" t="s">
        <v>7812</v>
      </c>
      <c r="G1295" s="18"/>
      <c r="H1295" s="18"/>
      <c r="I1295" s="18"/>
      <c r="J1295" s="18"/>
    </row>
    <row r="1296" ht="15.75" customHeight="1">
      <c r="A1296" s="15" t="s">
        <v>7907</v>
      </c>
      <c r="B1296" s="15" t="s">
        <v>221</v>
      </c>
      <c r="C1296" s="15" t="s">
        <v>98</v>
      </c>
      <c r="D1296" s="56" t="s">
        <v>7908</v>
      </c>
      <c r="E1296" s="15" t="s">
        <v>807</v>
      </c>
      <c r="F1296" s="15" t="s">
        <v>7812</v>
      </c>
      <c r="G1296" s="18"/>
      <c r="H1296" s="18"/>
      <c r="I1296" s="18"/>
      <c r="J1296" s="18"/>
    </row>
    <row r="1297" ht="15.75" customHeight="1">
      <c r="A1297" s="15" t="s">
        <v>7909</v>
      </c>
      <c r="B1297" s="15" t="s">
        <v>221</v>
      </c>
      <c r="C1297" s="15" t="s">
        <v>98</v>
      </c>
      <c r="D1297" s="56" t="s">
        <v>7910</v>
      </c>
      <c r="E1297" s="15" t="s">
        <v>807</v>
      </c>
      <c r="F1297" s="15" t="s">
        <v>7812</v>
      </c>
      <c r="G1297" s="18"/>
      <c r="H1297" s="18"/>
      <c r="I1297" s="18"/>
      <c r="J1297" s="18"/>
    </row>
    <row r="1298" ht="15.75" customHeight="1">
      <c r="A1298" s="15" t="s">
        <v>7911</v>
      </c>
      <c r="B1298" s="15" t="s">
        <v>221</v>
      </c>
      <c r="C1298" s="15" t="s">
        <v>98</v>
      </c>
      <c r="D1298" s="56" t="s">
        <v>7912</v>
      </c>
      <c r="E1298" s="15" t="s">
        <v>807</v>
      </c>
      <c r="F1298" s="15" t="s">
        <v>7812</v>
      </c>
      <c r="G1298" s="18"/>
      <c r="H1298" s="18"/>
      <c r="I1298" s="18"/>
      <c r="J1298" s="18"/>
    </row>
    <row r="1299" ht="15.75" customHeight="1">
      <c r="A1299" s="15" t="s">
        <v>7913</v>
      </c>
      <c r="B1299" s="15" t="s">
        <v>221</v>
      </c>
      <c r="C1299" s="15" t="s">
        <v>98</v>
      </c>
      <c r="D1299" s="56" t="s">
        <v>7914</v>
      </c>
      <c r="E1299" s="15" t="s">
        <v>807</v>
      </c>
      <c r="F1299" s="15" t="s">
        <v>7812</v>
      </c>
      <c r="G1299" s="18"/>
      <c r="H1299" s="18"/>
      <c r="I1299" s="18"/>
      <c r="J1299" s="18"/>
    </row>
    <row r="1300" ht="15.75" customHeight="1">
      <c r="A1300" s="15" t="s">
        <v>7915</v>
      </c>
      <c r="B1300" s="15" t="s">
        <v>221</v>
      </c>
      <c r="C1300" s="15" t="s">
        <v>98</v>
      </c>
      <c r="D1300" s="56" t="s">
        <v>7917</v>
      </c>
      <c r="E1300" s="15" t="s">
        <v>807</v>
      </c>
      <c r="F1300" s="15" t="s">
        <v>7812</v>
      </c>
      <c r="G1300" s="18"/>
      <c r="H1300" s="18"/>
      <c r="I1300" s="18"/>
      <c r="J1300" s="18"/>
    </row>
    <row r="1301" ht="15.75" customHeight="1">
      <c r="A1301" s="15" t="s">
        <v>7920</v>
      </c>
      <c r="B1301" s="15" t="s">
        <v>221</v>
      </c>
      <c r="C1301" s="15" t="s">
        <v>98</v>
      </c>
      <c r="D1301" s="56" t="s">
        <v>7923</v>
      </c>
      <c r="E1301" s="15" t="s">
        <v>807</v>
      </c>
      <c r="F1301" s="15" t="s">
        <v>7812</v>
      </c>
      <c r="G1301" s="18"/>
      <c r="H1301" s="18"/>
      <c r="I1301" s="18"/>
      <c r="J1301" s="18"/>
    </row>
    <row r="1302" ht="15.75" customHeight="1">
      <c r="A1302" s="15" t="s">
        <v>7924</v>
      </c>
      <c r="B1302" s="15" t="s">
        <v>221</v>
      </c>
      <c r="C1302" s="15" t="s">
        <v>98</v>
      </c>
      <c r="D1302" s="56" t="s">
        <v>7925</v>
      </c>
      <c r="E1302" s="15" t="s">
        <v>807</v>
      </c>
      <c r="F1302" s="15" t="s">
        <v>7812</v>
      </c>
      <c r="G1302" s="18"/>
      <c r="H1302" s="18"/>
      <c r="I1302" s="18"/>
      <c r="J1302" s="18"/>
    </row>
    <row r="1303" ht="15.75" customHeight="1">
      <c r="A1303" s="15" t="s">
        <v>7926</v>
      </c>
      <c r="B1303" s="15" t="s">
        <v>221</v>
      </c>
      <c r="C1303" s="15" t="s">
        <v>98</v>
      </c>
      <c r="D1303" s="56" t="s">
        <v>7927</v>
      </c>
      <c r="E1303" s="15" t="s">
        <v>807</v>
      </c>
      <c r="F1303" s="15" t="s">
        <v>7812</v>
      </c>
      <c r="G1303" s="18"/>
      <c r="H1303" s="18"/>
      <c r="I1303" s="18"/>
      <c r="J1303" s="18"/>
    </row>
    <row r="1304" ht="15.75" customHeight="1">
      <c r="A1304" s="15" t="s">
        <v>7928</v>
      </c>
      <c r="B1304" s="15" t="s">
        <v>221</v>
      </c>
      <c r="C1304" s="15" t="s">
        <v>98</v>
      </c>
      <c r="D1304" s="56" t="s">
        <v>7929</v>
      </c>
      <c r="E1304" s="15" t="s">
        <v>807</v>
      </c>
      <c r="F1304" s="15" t="s">
        <v>7812</v>
      </c>
      <c r="G1304" s="18"/>
      <c r="H1304" s="18"/>
      <c r="I1304" s="18"/>
      <c r="J1304" s="18"/>
    </row>
    <row r="1305" ht="15.75" customHeight="1">
      <c r="A1305" s="15" t="s">
        <v>7930</v>
      </c>
      <c r="B1305" s="15" t="s">
        <v>221</v>
      </c>
      <c r="C1305" s="15" t="s">
        <v>98</v>
      </c>
      <c r="D1305" s="56" t="s">
        <v>7931</v>
      </c>
      <c r="E1305" s="15" t="s">
        <v>807</v>
      </c>
      <c r="F1305" s="15" t="s">
        <v>7812</v>
      </c>
      <c r="G1305" s="18"/>
      <c r="H1305" s="18"/>
      <c r="I1305" s="18"/>
      <c r="J1305" s="18"/>
    </row>
    <row r="1306" ht="15.75" customHeight="1">
      <c r="A1306" s="15" t="s">
        <v>7932</v>
      </c>
      <c r="B1306" s="15" t="s">
        <v>221</v>
      </c>
      <c r="C1306" s="15" t="s">
        <v>98</v>
      </c>
      <c r="D1306" s="56" t="s">
        <v>7933</v>
      </c>
      <c r="E1306" s="15" t="s">
        <v>807</v>
      </c>
      <c r="F1306" s="15" t="s">
        <v>7812</v>
      </c>
      <c r="G1306" s="18"/>
      <c r="H1306" s="18"/>
      <c r="I1306" s="18"/>
      <c r="J1306" s="18"/>
    </row>
    <row r="1307" ht="15.75" customHeight="1">
      <c r="A1307" s="15" t="s">
        <v>7934</v>
      </c>
      <c r="B1307" s="15" t="s">
        <v>221</v>
      </c>
      <c r="C1307" s="15" t="s">
        <v>98</v>
      </c>
      <c r="D1307" s="56" t="s">
        <v>7935</v>
      </c>
      <c r="E1307" s="15" t="s">
        <v>807</v>
      </c>
      <c r="F1307" s="15" t="s">
        <v>7812</v>
      </c>
      <c r="G1307" s="18"/>
      <c r="H1307" s="18"/>
      <c r="I1307" s="18"/>
      <c r="J1307" s="18"/>
    </row>
    <row r="1308" ht="15.75" customHeight="1">
      <c r="A1308" s="15" t="s">
        <v>7936</v>
      </c>
      <c r="B1308" s="15" t="s">
        <v>221</v>
      </c>
      <c r="C1308" s="15" t="s">
        <v>98</v>
      </c>
      <c r="D1308" s="56" t="s">
        <v>7937</v>
      </c>
      <c r="E1308" s="15" t="s">
        <v>807</v>
      </c>
      <c r="F1308" s="15" t="s">
        <v>7812</v>
      </c>
      <c r="G1308" s="18"/>
      <c r="H1308" s="18"/>
      <c r="I1308" s="18"/>
      <c r="J1308" s="18"/>
    </row>
    <row r="1309" ht="15.75" customHeight="1">
      <c r="A1309" s="15" t="s">
        <v>7938</v>
      </c>
      <c r="B1309" s="15" t="s">
        <v>221</v>
      </c>
      <c r="C1309" s="15" t="s">
        <v>98</v>
      </c>
      <c r="D1309" s="56" t="s">
        <v>7939</v>
      </c>
      <c r="E1309" s="15" t="s">
        <v>807</v>
      </c>
      <c r="F1309" s="15" t="s">
        <v>7812</v>
      </c>
      <c r="G1309" s="18"/>
      <c r="H1309" s="18"/>
      <c r="I1309" s="18"/>
      <c r="J1309" s="18"/>
    </row>
    <row r="1310" ht="15.75" customHeight="1">
      <c r="A1310" s="15" t="s">
        <v>7940</v>
      </c>
      <c r="B1310" s="15" t="s">
        <v>221</v>
      </c>
      <c r="C1310" s="15" t="s">
        <v>98</v>
      </c>
      <c r="D1310" s="56" t="s">
        <v>7942</v>
      </c>
      <c r="E1310" s="15" t="s">
        <v>807</v>
      </c>
      <c r="F1310" s="15" t="s">
        <v>7812</v>
      </c>
      <c r="G1310" s="18"/>
      <c r="H1310" s="18"/>
      <c r="I1310" s="18"/>
      <c r="J1310" s="18"/>
    </row>
    <row r="1311" ht="15.75" customHeight="1">
      <c r="A1311" s="15" t="s">
        <v>7947</v>
      </c>
      <c r="B1311" s="15" t="s">
        <v>221</v>
      </c>
      <c r="C1311" s="15" t="s">
        <v>98</v>
      </c>
      <c r="D1311" s="56" t="s">
        <v>7949</v>
      </c>
      <c r="E1311" s="15" t="s">
        <v>807</v>
      </c>
      <c r="F1311" s="15" t="s">
        <v>7812</v>
      </c>
      <c r="G1311" s="18"/>
      <c r="H1311" s="18"/>
      <c r="I1311" s="18"/>
      <c r="J1311" s="18"/>
    </row>
    <row r="1312" ht="15.75" customHeight="1">
      <c r="A1312" s="15" t="s">
        <v>7950</v>
      </c>
      <c r="B1312" s="15" t="s">
        <v>221</v>
      </c>
      <c r="C1312" s="15" t="s">
        <v>98</v>
      </c>
      <c r="D1312" s="56" t="s">
        <v>7951</v>
      </c>
      <c r="E1312" s="15" t="s">
        <v>807</v>
      </c>
      <c r="F1312" s="15" t="s">
        <v>7812</v>
      </c>
      <c r="G1312" s="18"/>
      <c r="H1312" s="18"/>
      <c r="I1312" s="18"/>
      <c r="J1312" s="18"/>
    </row>
    <row r="1313" ht="15.75" customHeight="1">
      <c r="A1313" s="15" t="s">
        <v>7952</v>
      </c>
      <c r="B1313" s="15" t="s">
        <v>221</v>
      </c>
      <c r="C1313" s="15" t="s">
        <v>98</v>
      </c>
      <c r="D1313" s="56" t="s">
        <v>7953</v>
      </c>
      <c r="E1313" s="15" t="s">
        <v>807</v>
      </c>
      <c r="F1313" s="15" t="s">
        <v>7812</v>
      </c>
      <c r="G1313" s="18"/>
      <c r="H1313" s="18"/>
      <c r="I1313" s="18"/>
      <c r="J1313" s="18"/>
    </row>
    <row r="1314" ht="15.75" customHeight="1">
      <c r="A1314" s="15" t="s">
        <v>7954</v>
      </c>
      <c r="B1314" s="15" t="s">
        <v>221</v>
      </c>
      <c r="C1314" s="15" t="s">
        <v>98</v>
      </c>
      <c r="D1314" s="56" t="s">
        <v>7619</v>
      </c>
      <c r="E1314" s="15" t="s">
        <v>807</v>
      </c>
      <c r="F1314" s="15" t="s">
        <v>7812</v>
      </c>
      <c r="G1314" s="18"/>
      <c r="H1314" s="18"/>
      <c r="I1314" s="18"/>
      <c r="J1314" s="18"/>
    </row>
    <row r="1315" ht="15.75" customHeight="1">
      <c r="A1315" s="15" t="s">
        <v>7955</v>
      </c>
      <c r="B1315" s="15" t="s">
        <v>221</v>
      </c>
      <c r="C1315" s="15" t="s">
        <v>98</v>
      </c>
      <c r="D1315" s="56" t="s">
        <v>7956</v>
      </c>
      <c r="E1315" s="15" t="s">
        <v>807</v>
      </c>
      <c r="F1315" s="15" t="s">
        <v>7812</v>
      </c>
      <c r="G1315" s="18"/>
      <c r="H1315" s="18"/>
      <c r="I1315" s="18"/>
      <c r="J1315" s="18"/>
    </row>
    <row r="1316" ht="15.75" customHeight="1">
      <c r="A1316" s="15" t="s">
        <v>7957</v>
      </c>
      <c r="B1316" s="15" t="s">
        <v>221</v>
      </c>
      <c r="C1316" s="15" t="s">
        <v>98</v>
      </c>
      <c r="D1316" s="56" t="s">
        <v>7958</v>
      </c>
      <c r="E1316" s="15" t="s">
        <v>807</v>
      </c>
      <c r="F1316" s="15" t="s">
        <v>7812</v>
      </c>
      <c r="G1316" s="18"/>
      <c r="H1316" s="18"/>
      <c r="I1316" s="18"/>
      <c r="J1316" s="18"/>
    </row>
    <row r="1317" ht="15.75" customHeight="1">
      <c r="A1317" s="15" t="s">
        <v>7959</v>
      </c>
      <c r="B1317" s="15" t="s">
        <v>221</v>
      </c>
      <c r="C1317" s="15" t="s">
        <v>98</v>
      </c>
      <c r="D1317" s="56" t="s">
        <v>7960</v>
      </c>
      <c r="E1317" s="15" t="s">
        <v>807</v>
      </c>
      <c r="F1317" s="15" t="s">
        <v>7812</v>
      </c>
      <c r="G1317" s="18"/>
      <c r="H1317" s="18"/>
      <c r="I1317" s="18"/>
      <c r="J1317" s="18"/>
    </row>
    <row r="1318" ht="15.75" customHeight="1">
      <c r="A1318" s="15" t="s">
        <v>7961</v>
      </c>
      <c r="B1318" s="15" t="s">
        <v>221</v>
      </c>
      <c r="C1318" s="15" t="s">
        <v>98</v>
      </c>
      <c r="D1318" s="56" t="s">
        <v>7962</v>
      </c>
      <c r="E1318" s="15" t="s">
        <v>807</v>
      </c>
      <c r="F1318" s="15" t="s">
        <v>7812</v>
      </c>
      <c r="G1318" s="18"/>
      <c r="H1318" s="18"/>
      <c r="I1318" s="18"/>
      <c r="J1318" s="18"/>
    </row>
    <row r="1319" ht="15.75" customHeight="1">
      <c r="A1319" s="15" t="s">
        <v>7963</v>
      </c>
      <c r="B1319" s="15" t="s">
        <v>221</v>
      </c>
      <c r="C1319" s="15" t="s">
        <v>98</v>
      </c>
      <c r="D1319" s="56" t="s">
        <v>7964</v>
      </c>
      <c r="E1319" s="15" t="s">
        <v>807</v>
      </c>
      <c r="F1319" s="15" t="s">
        <v>7812</v>
      </c>
      <c r="G1319" s="18"/>
      <c r="H1319" s="18"/>
      <c r="I1319" s="18"/>
      <c r="J1319" s="18"/>
    </row>
    <row r="1320" ht="15.75" customHeight="1">
      <c r="A1320" s="15" t="s">
        <v>7965</v>
      </c>
      <c r="B1320" s="15" t="s">
        <v>454</v>
      </c>
      <c r="C1320" s="15" t="s">
        <v>98</v>
      </c>
      <c r="D1320" s="56" t="s">
        <v>7967</v>
      </c>
      <c r="E1320" s="15" t="s">
        <v>807</v>
      </c>
      <c r="F1320" s="15" t="s">
        <v>7970</v>
      </c>
      <c r="G1320" s="18"/>
      <c r="H1320" s="18"/>
      <c r="I1320" s="18"/>
      <c r="J1320" s="18"/>
    </row>
    <row r="1321" ht="15.75" customHeight="1">
      <c r="A1321" s="15" t="s">
        <v>7974</v>
      </c>
      <c r="B1321" s="15" t="s">
        <v>454</v>
      </c>
      <c r="C1321" s="15" t="s">
        <v>98</v>
      </c>
      <c r="D1321" s="56" t="s">
        <v>7975</v>
      </c>
      <c r="E1321" s="15" t="s">
        <v>807</v>
      </c>
      <c r="F1321" s="15" t="s">
        <v>7970</v>
      </c>
      <c r="G1321" s="18"/>
      <c r="H1321" s="18"/>
      <c r="I1321" s="18"/>
      <c r="J1321" s="18"/>
    </row>
    <row r="1322" ht="15.75" customHeight="1">
      <c r="A1322" s="15" t="s">
        <v>7976</v>
      </c>
      <c r="B1322" s="15" t="s">
        <v>454</v>
      </c>
      <c r="C1322" s="15" t="s">
        <v>98</v>
      </c>
      <c r="D1322" s="56" t="s">
        <v>7977</v>
      </c>
      <c r="E1322" s="15" t="s">
        <v>807</v>
      </c>
      <c r="F1322" s="15" t="s">
        <v>7970</v>
      </c>
      <c r="G1322" s="18"/>
      <c r="H1322" s="18"/>
      <c r="I1322" s="18"/>
      <c r="J1322" s="18"/>
    </row>
    <row r="1323" ht="15.75" customHeight="1">
      <c r="A1323" s="15" t="s">
        <v>7978</v>
      </c>
      <c r="B1323" s="15" t="s">
        <v>454</v>
      </c>
      <c r="C1323" s="15" t="s">
        <v>98</v>
      </c>
      <c r="D1323" s="56" t="s">
        <v>7979</v>
      </c>
      <c r="E1323" s="15" t="s">
        <v>807</v>
      </c>
      <c r="F1323" s="15" t="s">
        <v>7970</v>
      </c>
      <c r="G1323" s="18"/>
      <c r="H1323" s="18"/>
      <c r="I1323" s="18"/>
      <c r="J1323" s="18"/>
    </row>
    <row r="1324" ht="15.75" customHeight="1">
      <c r="A1324" s="15" t="s">
        <v>7980</v>
      </c>
      <c r="B1324" s="15" t="s">
        <v>454</v>
      </c>
      <c r="C1324" s="15" t="s">
        <v>98</v>
      </c>
      <c r="D1324" s="56" t="s">
        <v>7981</v>
      </c>
      <c r="E1324" s="15" t="s">
        <v>807</v>
      </c>
      <c r="F1324" s="15" t="s">
        <v>7970</v>
      </c>
      <c r="G1324" s="18"/>
      <c r="H1324" s="18"/>
      <c r="I1324" s="18"/>
      <c r="J1324" s="18"/>
    </row>
    <row r="1325" ht="15.75" customHeight="1">
      <c r="A1325" s="15" t="s">
        <v>7982</v>
      </c>
      <c r="B1325" s="15" t="s">
        <v>454</v>
      </c>
      <c r="C1325" s="15" t="s">
        <v>98</v>
      </c>
      <c r="D1325" s="56" t="s">
        <v>7983</v>
      </c>
      <c r="E1325" s="15" t="s">
        <v>807</v>
      </c>
      <c r="F1325" s="15" t="s">
        <v>7970</v>
      </c>
      <c r="G1325" s="18"/>
      <c r="H1325" s="18"/>
      <c r="I1325" s="18"/>
      <c r="J1325" s="18"/>
    </row>
    <row r="1326" ht="15.75" customHeight="1">
      <c r="A1326" s="15" t="s">
        <v>7984</v>
      </c>
      <c r="B1326" s="15" t="s">
        <v>454</v>
      </c>
      <c r="C1326" s="15" t="s">
        <v>98</v>
      </c>
      <c r="D1326" s="56" t="s">
        <v>7985</v>
      </c>
      <c r="E1326" s="15" t="s">
        <v>807</v>
      </c>
      <c r="F1326" s="15" t="s">
        <v>7970</v>
      </c>
      <c r="G1326" s="18"/>
      <c r="H1326" s="18"/>
      <c r="I1326" s="18"/>
      <c r="J1326" s="18"/>
    </row>
    <row r="1327" ht="15.75" customHeight="1">
      <c r="A1327" s="15" t="s">
        <v>7986</v>
      </c>
      <c r="B1327" s="15" t="s">
        <v>454</v>
      </c>
      <c r="C1327" s="15" t="s">
        <v>98</v>
      </c>
      <c r="D1327" s="56" t="s">
        <v>7987</v>
      </c>
      <c r="E1327" s="15" t="s">
        <v>807</v>
      </c>
      <c r="F1327" s="15" t="s">
        <v>7970</v>
      </c>
      <c r="G1327" s="18"/>
      <c r="H1327" s="18"/>
      <c r="I1327" s="18"/>
      <c r="J1327" s="18"/>
    </row>
    <row r="1328" ht="15.75" customHeight="1">
      <c r="A1328" s="15" t="s">
        <v>7988</v>
      </c>
      <c r="B1328" s="15" t="s">
        <v>454</v>
      </c>
      <c r="C1328" s="15" t="s">
        <v>98</v>
      </c>
      <c r="D1328" s="56" t="s">
        <v>7989</v>
      </c>
      <c r="E1328" s="15" t="s">
        <v>807</v>
      </c>
      <c r="F1328" s="15" t="s">
        <v>7970</v>
      </c>
      <c r="G1328" s="18"/>
      <c r="H1328" s="18"/>
      <c r="I1328" s="18"/>
      <c r="J1328" s="18"/>
    </row>
    <row r="1329" ht="15.75" customHeight="1">
      <c r="A1329" s="15" t="s">
        <v>7990</v>
      </c>
      <c r="B1329" s="15" t="s">
        <v>454</v>
      </c>
      <c r="C1329" s="15" t="s">
        <v>98</v>
      </c>
      <c r="D1329" s="56" t="s">
        <v>7991</v>
      </c>
      <c r="E1329" s="15" t="s">
        <v>807</v>
      </c>
      <c r="F1329" s="15" t="s">
        <v>7970</v>
      </c>
      <c r="G1329" s="18"/>
      <c r="H1329" s="18"/>
      <c r="I1329" s="18"/>
      <c r="J1329" s="18"/>
    </row>
    <row r="1330" ht="15.75" customHeight="1">
      <c r="A1330" s="15" t="s">
        <v>7994</v>
      </c>
      <c r="B1330" s="15" t="s">
        <v>454</v>
      </c>
      <c r="C1330" s="15" t="s">
        <v>98</v>
      </c>
      <c r="D1330" s="56" t="s">
        <v>7997</v>
      </c>
      <c r="E1330" s="15" t="s">
        <v>807</v>
      </c>
      <c r="F1330" s="15" t="s">
        <v>7970</v>
      </c>
      <c r="G1330" s="18"/>
      <c r="H1330" s="18"/>
      <c r="I1330" s="18"/>
      <c r="J1330" s="18"/>
    </row>
    <row r="1331" ht="15.75" customHeight="1">
      <c r="A1331" s="15" t="s">
        <v>7998</v>
      </c>
      <c r="B1331" s="15" t="s">
        <v>454</v>
      </c>
      <c r="C1331" s="15" t="s">
        <v>98</v>
      </c>
      <c r="D1331" s="56" t="s">
        <v>7999</v>
      </c>
      <c r="E1331" s="15" t="s">
        <v>807</v>
      </c>
      <c r="F1331" s="15" t="s">
        <v>7970</v>
      </c>
      <c r="G1331" s="18"/>
      <c r="H1331" s="18"/>
      <c r="I1331" s="18"/>
      <c r="J1331" s="18"/>
    </row>
    <row r="1332" ht="15.75" customHeight="1">
      <c r="A1332" s="15" t="s">
        <v>8000</v>
      </c>
      <c r="B1332" s="15" t="s">
        <v>454</v>
      </c>
      <c r="C1332" s="15" t="s">
        <v>98</v>
      </c>
      <c r="D1332" s="56" t="s">
        <v>8001</v>
      </c>
      <c r="E1332" s="15" t="s">
        <v>807</v>
      </c>
      <c r="F1332" s="15" t="s">
        <v>7970</v>
      </c>
      <c r="G1332" s="18"/>
      <c r="H1332" s="18"/>
      <c r="I1332" s="18"/>
      <c r="J1332" s="18"/>
    </row>
    <row r="1333" ht="15.75" customHeight="1">
      <c r="A1333" s="15" t="s">
        <v>8002</v>
      </c>
      <c r="B1333" s="15" t="s">
        <v>454</v>
      </c>
      <c r="C1333" s="15" t="s">
        <v>98</v>
      </c>
      <c r="D1333" s="56" t="s">
        <v>8003</v>
      </c>
      <c r="E1333" s="15" t="s">
        <v>807</v>
      </c>
      <c r="F1333" s="15" t="s">
        <v>7970</v>
      </c>
      <c r="G1333" s="18"/>
      <c r="H1333" s="18"/>
      <c r="I1333" s="18"/>
      <c r="J1333" s="18"/>
    </row>
    <row r="1334" ht="15.75" customHeight="1">
      <c r="A1334" s="15" t="s">
        <v>8004</v>
      </c>
      <c r="B1334" s="15" t="s">
        <v>454</v>
      </c>
      <c r="C1334" s="15" t="s">
        <v>98</v>
      </c>
      <c r="D1334" s="56" t="s">
        <v>8005</v>
      </c>
      <c r="E1334" s="15" t="s">
        <v>807</v>
      </c>
      <c r="F1334" s="15" t="s">
        <v>7970</v>
      </c>
      <c r="G1334" s="18"/>
      <c r="H1334" s="18"/>
      <c r="I1334" s="18"/>
      <c r="J1334" s="18"/>
    </row>
    <row r="1335" ht="15.75" customHeight="1">
      <c r="A1335" s="15" t="s">
        <v>8006</v>
      </c>
      <c r="B1335" s="15" t="s">
        <v>454</v>
      </c>
      <c r="C1335" s="15" t="s">
        <v>98</v>
      </c>
      <c r="D1335" s="56" t="s">
        <v>8007</v>
      </c>
      <c r="E1335" s="15" t="s">
        <v>807</v>
      </c>
      <c r="F1335" s="15" t="s">
        <v>7970</v>
      </c>
      <c r="G1335" s="18"/>
      <c r="H1335" s="18"/>
      <c r="I1335" s="18"/>
      <c r="J1335" s="18"/>
    </row>
    <row r="1336" ht="15.75" customHeight="1">
      <c r="A1336" s="15" t="s">
        <v>8008</v>
      </c>
      <c r="B1336" s="15" t="s">
        <v>454</v>
      </c>
      <c r="C1336" s="15" t="s">
        <v>98</v>
      </c>
      <c r="D1336" s="56" t="s">
        <v>8009</v>
      </c>
      <c r="E1336" s="15" t="s">
        <v>807</v>
      </c>
      <c r="F1336" s="15" t="s">
        <v>7970</v>
      </c>
      <c r="G1336" s="18"/>
      <c r="H1336" s="18"/>
      <c r="I1336" s="18"/>
      <c r="J1336" s="18"/>
    </row>
    <row r="1337" ht="15.75" customHeight="1">
      <c r="A1337" s="15" t="s">
        <v>8010</v>
      </c>
      <c r="B1337" s="15" t="s">
        <v>454</v>
      </c>
      <c r="C1337" s="15" t="s">
        <v>98</v>
      </c>
      <c r="D1337" s="56" t="s">
        <v>8011</v>
      </c>
      <c r="E1337" s="15" t="s">
        <v>807</v>
      </c>
      <c r="F1337" s="15" t="s">
        <v>7970</v>
      </c>
      <c r="G1337" s="18"/>
      <c r="H1337" s="18"/>
      <c r="I1337" s="18"/>
      <c r="J1337" s="18"/>
    </row>
    <row r="1338" ht="15.75" customHeight="1">
      <c r="A1338" s="15" t="s">
        <v>8012</v>
      </c>
      <c r="B1338" s="15" t="s">
        <v>454</v>
      </c>
      <c r="C1338" s="15" t="s">
        <v>98</v>
      </c>
      <c r="D1338" s="56" t="s">
        <v>8013</v>
      </c>
      <c r="E1338" s="15" t="s">
        <v>807</v>
      </c>
      <c r="F1338" s="15" t="s">
        <v>7970</v>
      </c>
      <c r="G1338" s="18"/>
      <c r="H1338" s="18"/>
      <c r="I1338" s="18"/>
      <c r="J1338" s="18"/>
    </row>
    <row r="1339" ht="15.75" customHeight="1">
      <c r="A1339" s="15" t="s">
        <v>8014</v>
      </c>
      <c r="B1339" s="15" t="s">
        <v>454</v>
      </c>
      <c r="C1339" s="15" t="s">
        <v>98</v>
      </c>
      <c r="D1339" s="56" t="s">
        <v>8015</v>
      </c>
      <c r="E1339" s="15" t="s">
        <v>807</v>
      </c>
      <c r="F1339" s="15" t="s">
        <v>7970</v>
      </c>
      <c r="G1339" s="18"/>
      <c r="H1339" s="18"/>
      <c r="I1339" s="18"/>
      <c r="J1339" s="18"/>
    </row>
    <row r="1340" ht="15.75" customHeight="1">
      <c r="A1340" s="15" t="s">
        <v>8019</v>
      </c>
      <c r="B1340" s="15" t="s">
        <v>454</v>
      </c>
      <c r="C1340" s="15" t="s">
        <v>98</v>
      </c>
      <c r="D1340" s="56" t="s">
        <v>8021</v>
      </c>
      <c r="E1340" s="15" t="s">
        <v>807</v>
      </c>
      <c r="F1340" s="15" t="s">
        <v>7970</v>
      </c>
      <c r="G1340" s="18"/>
      <c r="H1340" s="18"/>
      <c r="I1340" s="18"/>
      <c r="J1340" s="18"/>
    </row>
    <row r="1341" ht="15.75" customHeight="1">
      <c r="A1341" s="15" t="s">
        <v>8023</v>
      </c>
      <c r="B1341" s="15" t="s">
        <v>454</v>
      </c>
      <c r="C1341" s="15" t="s">
        <v>98</v>
      </c>
      <c r="D1341" s="56" t="s">
        <v>8024</v>
      </c>
      <c r="E1341" s="15" t="s">
        <v>807</v>
      </c>
      <c r="F1341" s="15" t="s">
        <v>7970</v>
      </c>
      <c r="G1341" s="18"/>
      <c r="H1341" s="18"/>
      <c r="I1341" s="18"/>
      <c r="J1341" s="18"/>
    </row>
    <row r="1342" ht="15.75" customHeight="1">
      <c r="A1342" s="15" t="s">
        <v>8025</v>
      </c>
      <c r="B1342" s="15" t="s">
        <v>454</v>
      </c>
      <c r="C1342" s="15" t="s">
        <v>98</v>
      </c>
      <c r="D1342" s="56" t="s">
        <v>8026</v>
      </c>
      <c r="E1342" s="15" t="s">
        <v>807</v>
      </c>
      <c r="F1342" s="15" t="s">
        <v>7970</v>
      </c>
      <c r="G1342" s="18"/>
      <c r="H1342" s="18"/>
      <c r="I1342" s="18"/>
      <c r="J1342" s="18"/>
    </row>
    <row r="1343" ht="15.75" customHeight="1">
      <c r="A1343" s="15" t="s">
        <v>8027</v>
      </c>
      <c r="B1343" s="15" t="s">
        <v>454</v>
      </c>
      <c r="C1343" s="15" t="s">
        <v>98</v>
      </c>
      <c r="D1343" s="56" t="s">
        <v>8028</v>
      </c>
      <c r="E1343" s="15" t="s">
        <v>807</v>
      </c>
      <c r="F1343" s="15" t="s">
        <v>7970</v>
      </c>
      <c r="G1343" s="18"/>
      <c r="H1343" s="18"/>
      <c r="I1343" s="18"/>
      <c r="J1343" s="18"/>
    </row>
    <row r="1344" ht="15.75" customHeight="1">
      <c r="A1344" s="15" t="s">
        <v>8029</v>
      </c>
      <c r="B1344" s="15" t="s">
        <v>454</v>
      </c>
      <c r="C1344" s="15" t="s">
        <v>98</v>
      </c>
      <c r="D1344" s="56" t="s">
        <v>8030</v>
      </c>
      <c r="E1344" s="15" t="s">
        <v>807</v>
      </c>
      <c r="F1344" s="15" t="s">
        <v>7970</v>
      </c>
      <c r="G1344" s="18"/>
      <c r="H1344" s="18"/>
      <c r="I1344" s="18"/>
      <c r="J1344" s="18"/>
    </row>
    <row r="1345" ht="15.75" customHeight="1">
      <c r="A1345" s="15" t="s">
        <v>8031</v>
      </c>
      <c r="B1345" s="15" t="s">
        <v>454</v>
      </c>
      <c r="C1345" s="15" t="s">
        <v>98</v>
      </c>
      <c r="D1345" s="56" t="s">
        <v>8032</v>
      </c>
      <c r="E1345" s="15" t="s">
        <v>807</v>
      </c>
      <c r="F1345" s="15" t="s">
        <v>7970</v>
      </c>
      <c r="G1345" s="18"/>
      <c r="H1345" s="18"/>
      <c r="I1345" s="18"/>
      <c r="J1345" s="18"/>
    </row>
    <row r="1346" ht="15.75" customHeight="1">
      <c r="A1346" s="15" t="s">
        <v>8033</v>
      </c>
      <c r="B1346" s="15" t="s">
        <v>454</v>
      </c>
      <c r="C1346" s="15" t="s">
        <v>98</v>
      </c>
      <c r="D1346" s="56" t="s">
        <v>8034</v>
      </c>
      <c r="E1346" s="15" t="s">
        <v>807</v>
      </c>
      <c r="F1346" s="15" t="s">
        <v>7970</v>
      </c>
      <c r="G1346" s="18"/>
      <c r="H1346" s="18"/>
      <c r="I1346" s="18"/>
      <c r="J1346" s="18"/>
    </row>
    <row r="1347" ht="15.75" customHeight="1">
      <c r="A1347" s="15" t="s">
        <v>8035</v>
      </c>
      <c r="B1347" s="15" t="s">
        <v>454</v>
      </c>
      <c r="C1347" s="15" t="s">
        <v>98</v>
      </c>
      <c r="D1347" s="56" t="s">
        <v>8036</v>
      </c>
      <c r="E1347" s="15" t="s">
        <v>807</v>
      </c>
      <c r="F1347" s="15" t="s">
        <v>7970</v>
      </c>
      <c r="G1347" s="18"/>
      <c r="H1347" s="18"/>
      <c r="I1347" s="18"/>
      <c r="J1347" s="18"/>
    </row>
    <row r="1348" ht="15.75" customHeight="1">
      <c r="A1348" s="15" t="s">
        <v>8037</v>
      </c>
      <c r="B1348" s="15" t="s">
        <v>454</v>
      </c>
      <c r="C1348" s="15" t="s">
        <v>98</v>
      </c>
      <c r="D1348" s="56" t="s">
        <v>8038</v>
      </c>
      <c r="E1348" s="15" t="s">
        <v>807</v>
      </c>
      <c r="F1348" s="15" t="s">
        <v>7970</v>
      </c>
      <c r="G1348" s="18"/>
      <c r="H1348" s="18"/>
      <c r="I1348" s="18"/>
      <c r="J1348" s="18"/>
    </row>
    <row r="1349" ht="15.75" customHeight="1">
      <c r="A1349" s="15" t="s">
        <v>8039</v>
      </c>
      <c r="B1349" s="15" t="s">
        <v>454</v>
      </c>
      <c r="C1349" s="15" t="s">
        <v>98</v>
      </c>
      <c r="D1349" s="56" t="s">
        <v>8041</v>
      </c>
      <c r="E1349" s="15" t="s">
        <v>807</v>
      </c>
      <c r="F1349" s="15" t="s">
        <v>7970</v>
      </c>
      <c r="G1349" s="18"/>
      <c r="H1349" s="18"/>
      <c r="I1349" s="18"/>
      <c r="J1349" s="18"/>
    </row>
    <row r="1350" ht="15.75" customHeight="1">
      <c r="A1350" s="15" t="s">
        <v>8048</v>
      </c>
      <c r="B1350" s="15" t="s">
        <v>454</v>
      </c>
      <c r="C1350" s="15" t="s">
        <v>98</v>
      </c>
      <c r="D1350" s="56" t="s">
        <v>8049</v>
      </c>
      <c r="E1350" s="15" t="s">
        <v>807</v>
      </c>
      <c r="F1350" s="15" t="s">
        <v>7970</v>
      </c>
      <c r="G1350" s="18"/>
      <c r="H1350" s="18"/>
      <c r="I1350" s="18"/>
      <c r="J1350" s="18"/>
    </row>
    <row r="1351" ht="15.75" customHeight="1">
      <c r="A1351" s="15" t="s">
        <v>8050</v>
      </c>
      <c r="B1351" s="15" t="s">
        <v>454</v>
      </c>
      <c r="C1351" s="15" t="s">
        <v>98</v>
      </c>
      <c r="D1351" s="56" t="s">
        <v>8051</v>
      </c>
      <c r="E1351" s="15" t="s">
        <v>807</v>
      </c>
      <c r="F1351" s="15" t="s">
        <v>7970</v>
      </c>
      <c r="G1351" s="18"/>
      <c r="H1351" s="18"/>
      <c r="I1351" s="18"/>
      <c r="J1351" s="18"/>
    </row>
    <row r="1352" ht="15.75" customHeight="1">
      <c r="A1352" s="15" t="s">
        <v>8052</v>
      </c>
      <c r="B1352" s="15" t="s">
        <v>454</v>
      </c>
      <c r="C1352" s="15" t="s">
        <v>98</v>
      </c>
      <c r="D1352" s="56" t="s">
        <v>8053</v>
      </c>
      <c r="E1352" s="15" t="s">
        <v>807</v>
      </c>
      <c r="F1352" s="15" t="s">
        <v>7970</v>
      </c>
      <c r="G1352" s="18"/>
      <c r="H1352" s="18"/>
      <c r="I1352" s="18"/>
      <c r="J1352" s="18"/>
    </row>
    <row r="1353" ht="15.75" customHeight="1">
      <c r="A1353" s="15" t="s">
        <v>8054</v>
      </c>
      <c r="B1353" s="15" t="s">
        <v>454</v>
      </c>
      <c r="C1353" s="15" t="s">
        <v>98</v>
      </c>
      <c r="D1353" s="56" t="s">
        <v>8055</v>
      </c>
      <c r="E1353" s="15" t="s">
        <v>807</v>
      </c>
      <c r="F1353" s="15" t="s">
        <v>7970</v>
      </c>
      <c r="G1353" s="18"/>
      <c r="H1353" s="18"/>
      <c r="I1353" s="18"/>
      <c r="J1353" s="18"/>
    </row>
    <row r="1354" ht="15.75" customHeight="1">
      <c r="A1354" s="15" t="s">
        <v>8056</v>
      </c>
      <c r="B1354" s="15" t="s">
        <v>454</v>
      </c>
      <c r="C1354" s="15" t="s">
        <v>98</v>
      </c>
      <c r="D1354" s="56" t="s">
        <v>8057</v>
      </c>
      <c r="E1354" s="15" t="s">
        <v>807</v>
      </c>
      <c r="F1354" s="15" t="s">
        <v>7970</v>
      </c>
      <c r="G1354" s="18"/>
      <c r="H1354" s="18"/>
      <c r="I1354" s="18"/>
      <c r="J1354" s="18"/>
    </row>
    <row r="1355" ht="15.75" customHeight="1">
      <c r="A1355" s="15" t="s">
        <v>8058</v>
      </c>
      <c r="B1355" s="15" t="s">
        <v>454</v>
      </c>
      <c r="C1355" s="15" t="s">
        <v>98</v>
      </c>
      <c r="D1355" s="56" t="s">
        <v>8059</v>
      </c>
      <c r="E1355" s="15" t="s">
        <v>807</v>
      </c>
      <c r="F1355" s="15" t="s">
        <v>7970</v>
      </c>
      <c r="G1355" s="18"/>
      <c r="H1355" s="18"/>
      <c r="I1355" s="18"/>
      <c r="J1355" s="18"/>
    </row>
  </sheetData>
  <autoFilter ref="$A$7:$J$1355"/>
  <mergeCells count="4">
    <mergeCell ref="A1:J1"/>
    <mergeCell ref="A2:J2"/>
    <mergeCell ref="B4:J4"/>
    <mergeCell ref="B5:J5"/>
  </mergeCells>
  <printOptions/>
  <pageMargins bottom="1.0" footer="0.0" header="0.0" left="0.75" right="0.75" top="1.0"/>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1.0" topLeftCell="A42" activePane="bottomLeft" state="frozen"/>
      <selection activeCell="B43" sqref="B43" pane="bottomLeft"/>
    </sheetView>
  </sheetViews>
  <sheetFormatPr customHeight="1" defaultColWidth="14.43" defaultRowHeight="15.0"/>
  <cols>
    <col customWidth="1" min="1" max="1" width="36.0"/>
    <col customWidth="1" min="2" max="2" width="26.0"/>
    <col customWidth="1" min="3" max="3" width="40.0"/>
    <col customWidth="1" min="4" max="4" width="20.0"/>
    <col customWidth="1" min="5" max="7" width="4.0"/>
    <col customWidth="1" min="8" max="26" width="8.71"/>
  </cols>
  <sheetData>
    <row r="1" ht="31.5" customHeight="1">
      <c r="A1" s="1" t="s">
        <v>1696</v>
      </c>
      <c r="B1" s="2"/>
      <c r="C1" s="2"/>
      <c r="D1" s="2"/>
      <c r="E1" s="2"/>
      <c r="F1" s="2"/>
      <c r="G1" s="3"/>
    </row>
    <row r="2" ht="19.5" customHeight="1">
      <c r="A2" s="4" t="s">
        <v>1709</v>
      </c>
      <c r="B2" s="2"/>
      <c r="C2" s="2"/>
      <c r="D2" s="2"/>
      <c r="E2" s="2"/>
      <c r="F2" s="2"/>
      <c r="G2" s="3"/>
    </row>
    <row r="4" ht="34.5" customHeight="1">
      <c r="A4" s="27" t="s">
        <v>1718</v>
      </c>
      <c r="B4" s="28" t="s">
        <v>1723</v>
      </c>
      <c r="C4" s="2"/>
      <c r="D4" s="2"/>
      <c r="E4" s="2"/>
      <c r="F4" s="2"/>
      <c r="G4" s="3"/>
    </row>
    <row r="6" ht="21.75" customHeight="1">
      <c r="A6" s="7" t="s">
        <v>1735</v>
      </c>
      <c r="B6" s="2"/>
      <c r="C6" s="2"/>
      <c r="D6" s="2"/>
      <c r="E6" s="2"/>
      <c r="F6" s="2"/>
      <c r="G6" s="3"/>
    </row>
    <row r="7" ht="30.0" customHeight="1">
      <c r="A7" s="6" t="s">
        <v>1744</v>
      </c>
      <c r="B7" s="6" t="s">
        <v>52</v>
      </c>
      <c r="C7" s="6" t="s">
        <v>1748</v>
      </c>
      <c r="D7" s="6" t="s">
        <v>1750</v>
      </c>
      <c r="E7" s="6" t="s">
        <v>1754</v>
      </c>
      <c r="F7" s="6" t="s">
        <v>1756</v>
      </c>
      <c r="G7" s="6" t="s">
        <v>1175</v>
      </c>
    </row>
    <row r="8">
      <c r="A8" s="11" t="s">
        <v>1176</v>
      </c>
      <c r="B8" s="9" t="s">
        <v>298</v>
      </c>
      <c r="C8" s="9" t="s">
        <v>1766</v>
      </c>
      <c r="D8" s="9" t="s">
        <v>1767</v>
      </c>
      <c r="E8" s="9">
        <v>0.0</v>
      </c>
      <c r="F8" s="9" t="s">
        <v>1770</v>
      </c>
      <c r="G8" s="9" t="s">
        <v>222</v>
      </c>
    </row>
    <row r="9">
      <c r="A9" s="25" t="s">
        <v>1784</v>
      </c>
      <c r="B9" s="24" t="s">
        <v>1785</v>
      </c>
      <c r="C9" s="24" t="s">
        <v>1788</v>
      </c>
      <c r="D9" s="24" t="s">
        <v>1792</v>
      </c>
      <c r="E9" s="24">
        <v>20.0</v>
      </c>
      <c r="F9" s="24" t="s">
        <v>1793</v>
      </c>
      <c r="G9" s="24" t="s">
        <v>222</v>
      </c>
    </row>
    <row r="10">
      <c r="A10" s="11" t="s">
        <v>1798</v>
      </c>
      <c r="B10" s="9" t="s">
        <v>1799</v>
      </c>
      <c r="C10" s="9" t="s">
        <v>1801</v>
      </c>
      <c r="D10" s="9" t="s">
        <v>1803</v>
      </c>
      <c r="E10" s="9">
        <v>240.0</v>
      </c>
      <c r="F10" s="9" t="s">
        <v>1807</v>
      </c>
      <c r="G10" s="9" t="s">
        <v>222</v>
      </c>
    </row>
    <row r="11">
      <c r="A11" s="25" t="s">
        <v>1809</v>
      </c>
      <c r="B11" s="24" t="s">
        <v>1812</v>
      </c>
      <c r="C11" s="24" t="s">
        <v>1814</v>
      </c>
      <c r="D11" s="24" t="s">
        <v>1816</v>
      </c>
      <c r="E11" s="24">
        <v>420.0</v>
      </c>
      <c r="F11" s="24" t="s">
        <v>1819</v>
      </c>
      <c r="G11" s="24" t="s">
        <v>222</v>
      </c>
    </row>
    <row r="12">
      <c r="A12" s="11" t="s">
        <v>1826</v>
      </c>
      <c r="B12" s="9" t="s">
        <v>1829</v>
      </c>
      <c r="C12" s="9" t="s">
        <v>1832</v>
      </c>
      <c r="D12" s="9" t="s">
        <v>1835</v>
      </c>
      <c r="E12" s="9">
        <v>600.0</v>
      </c>
      <c r="F12" s="9" t="s">
        <v>1838</v>
      </c>
      <c r="G12" s="9" t="s">
        <v>222</v>
      </c>
    </row>
    <row r="13">
      <c r="A13" s="25" t="s">
        <v>1840</v>
      </c>
      <c r="B13" s="24" t="s">
        <v>1842</v>
      </c>
      <c r="C13" s="24" t="s">
        <v>1844</v>
      </c>
      <c r="D13" s="24" t="s">
        <v>1846</v>
      </c>
      <c r="E13" s="24">
        <v>879.0</v>
      </c>
      <c r="F13" s="24" t="s">
        <v>1848</v>
      </c>
      <c r="G13" s="24" t="s">
        <v>222</v>
      </c>
    </row>
    <row r="14">
      <c r="D14" s="33" t="s">
        <v>462</v>
      </c>
      <c r="E14" s="34">
        <f>SUM(E8:E13)</f>
        <v>2159</v>
      </c>
    </row>
    <row r="16" ht="21.75" customHeight="1">
      <c r="A16" s="7" t="s">
        <v>1874</v>
      </c>
      <c r="B16" s="2"/>
      <c r="C16" s="2"/>
      <c r="D16" s="2"/>
      <c r="E16" s="2"/>
      <c r="F16" s="2"/>
      <c r="G16" s="3"/>
    </row>
    <row r="17" ht="30.0" customHeight="1">
      <c r="A17" s="6" t="s">
        <v>26</v>
      </c>
      <c r="B17" s="6" t="s">
        <v>1882</v>
      </c>
      <c r="C17" s="6" t="s">
        <v>1884</v>
      </c>
      <c r="D17" s="6" t="s">
        <v>1886</v>
      </c>
      <c r="E17" s="6" t="s">
        <v>1888</v>
      </c>
      <c r="F17" s="6"/>
      <c r="G17" s="6"/>
    </row>
    <row r="18">
      <c r="A18" s="9">
        <v>1.0</v>
      </c>
      <c r="B18" s="11" t="s">
        <v>1893</v>
      </c>
      <c r="C18" s="9" t="s">
        <v>1895</v>
      </c>
      <c r="D18" s="9" t="s">
        <v>1897</v>
      </c>
      <c r="E18" s="53" t="s">
        <v>1900</v>
      </c>
    </row>
    <row r="19">
      <c r="A19" s="24">
        <v>2.0</v>
      </c>
      <c r="B19" s="25" t="s">
        <v>274</v>
      </c>
      <c r="C19" s="24" t="s">
        <v>1908</v>
      </c>
      <c r="D19" s="24" t="s">
        <v>1911</v>
      </c>
      <c r="E19" s="25" t="s">
        <v>1900</v>
      </c>
    </row>
    <row r="20">
      <c r="A20" s="9">
        <v>3.0</v>
      </c>
      <c r="B20" s="11" t="s">
        <v>1916</v>
      </c>
      <c r="C20" s="9" t="s">
        <v>1919</v>
      </c>
      <c r="D20" s="9" t="s">
        <v>1921</v>
      </c>
      <c r="E20" s="53" t="s">
        <v>1900</v>
      </c>
    </row>
    <row r="21" ht="15.75" customHeight="1">
      <c r="A21" s="24">
        <v>4.0</v>
      </c>
      <c r="B21" s="25" t="s">
        <v>1925</v>
      </c>
      <c r="C21" s="24" t="s">
        <v>1926</v>
      </c>
      <c r="D21" s="24" t="s">
        <v>1928</v>
      </c>
      <c r="E21" s="25" t="s">
        <v>1900</v>
      </c>
    </row>
    <row r="22" ht="15.75" customHeight="1">
      <c r="A22" s="9">
        <v>5.0</v>
      </c>
      <c r="B22" s="11" t="s">
        <v>1933</v>
      </c>
      <c r="C22" s="9" t="s">
        <v>1934</v>
      </c>
      <c r="D22" s="9" t="s">
        <v>1935</v>
      </c>
      <c r="E22" s="53" t="s">
        <v>1900</v>
      </c>
    </row>
    <row r="23" ht="15.75" customHeight="1">
      <c r="A23" s="24">
        <v>6.0</v>
      </c>
      <c r="B23" s="25" t="s">
        <v>1939</v>
      </c>
      <c r="C23" s="24" t="s">
        <v>1941</v>
      </c>
      <c r="D23" s="24" t="s">
        <v>1943</v>
      </c>
      <c r="E23" s="25" t="s">
        <v>1900</v>
      </c>
    </row>
    <row r="24" ht="15.75" customHeight="1">
      <c r="A24" s="9">
        <v>7.0</v>
      </c>
      <c r="B24" s="11" t="s">
        <v>1945</v>
      </c>
      <c r="C24" s="9" t="s">
        <v>1948</v>
      </c>
      <c r="D24" s="9" t="s">
        <v>1950</v>
      </c>
      <c r="E24" s="53" t="s">
        <v>1900</v>
      </c>
    </row>
    <row r="25" ht="15.75" customHeight="1">
      <c r="A25" s="24">
        <v>8.0</v>
      </c>
      <c r="B25" s="25" t="s">
        <v>1952</v>
      </c>
      <c r="C25" s="24" t="s">
        <v>1954</v>
      </c>
      <c r="D25" s="24" t="s">
        <v>1955</v>
      </c>
      <c r="E25" s="25" t="s">
        <v>1900</v>
      </c>
    </row>
    <row r="26" ht="15.75" customHeight="1">
      <c r="A26" s="9">
        <v>9.0</v>
      </c>
      <c r="B26" s="11" t="s">
        <v>1959</v>
      </c>
      <c r="C26" s="9" t="s">
        <v>1961</v>
      </c>
      <c r="D26" s="9" t="s">
        <v>1962</v>
      </c>
      <c r="E26" s="53" t="s">
        <v>1900</v>
      </c>
    </row>
    <row r="27" ht="15.75" customHeight="1">
      <c r="A27" s="24">
        <v>10.0</v>
      </c>
      <c r="B27" s="25" t="s">
        <v>1967</v>
      </c>
      <c r="C27" s="24" t="s">
        <v>1970</v>
      </c>
      <c r="D27" s="24" t="s">
        <v>1971</v>
      </c>
      <c r="E27" s="25" t="s">
        <v>1900</v>
      </c>
    </row>
    <row r="28" ht="15.75" customHeight="1">
      <c r="A28" s="9">
        <v>11.0</v>
      </c>
      <c r="B28" s="11" t="s">
        <v>1975</v>
      </c>
      <c r="C28" s="9" t="s">
        <v>1978</v>
      </c>
      <c r="D28" s="9" t="s">
        <v>1971</v>
      </c>
      <c r="E28" s="53" t="s">
        <v>1900</v>
      </c>
    </row>
    <row r="29" ht="15.75" customHeight="1">
      <c r="A29" s="24">
        <v>12.0</v>
      </c>
      <c r="B29" s="25" t="s">
        <v>1983</v>
      </c>
      <c r="C29" s="24" t="s">
        <v>1985</v>
      </c>
      <c r="D29" s="24" t="s">
        <v>1986</v>
      </c>
      <c r="E29" s="25" t="s">
        <v>1987</v>
      </c>
    </row>
    <row r="30" ht="15.75" customHeight="1">
      <c r="A30" s="9">
        <v>13.0</v>
      </c>
      <c r="B30" s="11" t="s">
        <v>1993</v>
      </c>
      <c r="C30" s="9" t="s">
        <v>1994</v>
      </c>
      <c r="D30" s="9" t="s">
        <v>1996</v>
      </c>
      <c r="E30" s="36" t="s">
        <v>1987</v>
      </c>
    </row>
    <row r="31" ht="15.75" customHeight="1">
      <c r="A31" s="24">
        <v>14.0</v>
      </c>
      <c r="B31" s="25" t="s">
        <v>2002</v>
      </c>
      <c r="C31" s="24" t="s">
        <v>2004</v>
      </c>
      <c r="D31" s="24" t="s">
        <v>2006</v>
      </c>
      <c r="E31" s="25" t="s">
        <v>1987</v>
      </c>
    </row>
    <row r="32" ht="15.75" customHeight="1">
      <c r="A32" s="9">
        <v>15.0</v>
      </c>
      <c r="B32" s="11" t="s">
        <v>2013</v>
      </c>
      <c r="C32" s="9" t="s">
        <v>2016</v>
      </c>
      <c r="D32" s="9" t="s">
        <v>2019</v>
      </c>
      <c r="E32" s="53" t="s">
        <v>1900</v>
      </c>
    </row>
    <row r="33" ht="15.75" customHeight="1">
      <c r="A33" s="24">
        <v>16.0</v>
      </c>
      <c r="B33" s="25" t="s">
        <v>2021</v>
      </c>
      <c r="C33" s="24" t="s">
        <v>2024</v>
      </c>
      <c r="D33" s="24" t="s">
        <v>2026</v>
      </c>
      <c r="E33" s="25" t="s">
        <v>1900</v>
      </c>
    </row>
    <row r="34" ht="15.75" customHeight="1">
      <c r="A34" s="9">
        <v>17.0</v>
      </c>
      <c r="B34" s="11" t="s">
        <v>2028</v>
      </c>
      <c r="C34" s="9" t="s">
        <v>2030</v>
      </c>
      <c r="D34" s="9" t="s">
        <v>2032</v>
      </c>
      <c r="E34" s="53" t="s">
        <v>1900</v>
      </c>
    </row>
    <row r="35" ht="15.75" customHeight="1">
      <c r="A35" s="24">
        <v>18.0</v>
      </c>
      <c r="B35" s="25" t="s">
        <v>2036</v>
      </c>
      <c r="C35" s="24" t="s">
        <v>2037</v>
      </c>
      <c r="D35" s="24" t="s">
        <v>2039</v>
      </c>
      <c r="E35" s="25" t="s">
        <v>1987</v>
      </c>
    </row>
    <row r="36" ht="15.75" customHeight="1">
      <c r="A36" s="9">
        <v>19.0</v>
      </c>
      <c r="B36" s="11" t="s">
        <v>2042</v>
      </c>
      <c r="C36" s="9" t="s">
        <v>2044</v>
      </c>
      <c r="D36" s="9" t="s">
        <v>2045</v>
      </c>
      <c r="E36" s="53" t="s">
        <v>1900</v>
      </c>
    </row>
    <row r="37" ht="15.75" customHeight="1">
      <c r="A37" s="24">
        <v>20.0</v>
      </c>
      <c r="B37" s="25" t="s">
        <v>2048</v>
      </c>
      <c r="C37" s="24" t="s">
        <v>2051</v>
      </c>
      <c r="D37" s="24" t="s">
        <v>2052</v>
      </c>
      <c r="E37" s="25" t="s">
        <v>1900</v>
      </c>
    </row>
    <row r="38" ht="15.75" customHeight="1"/>
    <row r="39" ht="15.75" customHeight="1"/>
    <row r="40" ht="21.75" customHeight="1">
      <c r="A40" s="7" t="s">
        <v>2056</v>
      </c>
      <c r="B40" s="2"/>
      <c r="C40" s="2"/>
      <c r="D40" s="2"/>
      <c r="E40" s="2"/>
      <c r="F40" s="2"/>
      <c r="G40" s="3"/>
    </row>
    <row r="41" ht="25.5" customHeight="1">
      <c r="A41" s="6" t="s">
        <v>2063</v>
      </c>
      <c r="B41" s="6" t="s">
        <v>850</v>
      </c>
      <c r="C41" s="6" t="s">
        <v>2065</v>
      </c>
      <c r="D41" s="6" t="s">
        <v>2068</v>
      </c>
      <c r="E41" s="6"/>
      <c r="F41" s="6"/>
      <c r="G41" s="6"/>
    </row>
    <row r="42" ht="15.75" customHeight="1">
      <c r="A42" s="11" t="s">
        <v>2072</v>
      </c>
      <c r="B42" s="9" t="s">
        <v>2073</v>
      </c>
      <c r="C42" s="9" t="s">
        <v>2076</v>
      </c>
      <c r="D42" s="9" t="s">
        <v>2077</v>
      </c>
    </row>
    <row r="43" ht="15.75" customHeight="1">
      <c r="A43" s="25" t="s">
        <v>2080</v>
      </c>
      <c r="B43" s="24" t="s">
        <v>2081</v>
      </c>
      <c r="C43" s="24" t="s">
        <v>2082</v>
      </c>
      <c r="D43" s="24" t="s">
        <v>2077</v>
      </c>
    </row>
    <row r="44" ht="15.75" customHeight="1">
      <c r="A44" s="11" t="s">
        <v>2087</v>
      </c>
      <c r="B44" s="9" t="s">
        <v>2089</v>
      </c>
      <c r="C44" s="9" t="s">
        <v>2090</v>
      </c>
      <c r="D44" s="9" t="s">
        <v>2092</v>
      </c>
    </row>
    <row r="45" ht="15.75" customHeight="1">
      <c r="A45" s="25" t="s">
        <v>2096</v>
      </c>
      <c r="B45" s="24" t="s">
        <v>2099</v>
      </c>
      <c r="C45" s="24" t="s">
        <v>2101</v>
      </c>
      <c r="D45" s="24" t="s">
        <v>2102</v>
      </c>
    </row>
    <row r="46" ht="15.75" customHeight="1">
      <c r="A46" s="11" t="s">
        <v>2105</v>
      </c>
      <c r="B46" s="9" t="s">
        <v>2109</v>
      </c>
      <c r="C46" s="9" t="s">
        <v>2111</v>
      </c>
      <c r="D46" s="9" t="s">
        <v>2102</v>
      </c>
    </row>
    <row r="47" ht="15.75" customHeight="1">
      <c r="A47" s="25" t="s">
        <v>2116</v>
      </c>
      <c r="B47" s="24" t="s">
        <v>2117</v>
      </c>
      <c r="C47" s="24" t="s">
        <v>2119</v>
      </c>
      <c r="D47" s="24" t="s">
        <v>2077</v>
      </c>
    </row>
    <row r="48" ht="15.75" customHeight="1">
      <c r="A48" s="11" t="s">
        <v>2122</v>
      </c>
      <c r="B48" s="9" t="s">
        <v>2124</v>
      </c>
      <c r="C48" s="9" t="s">
        <v>2125</v>
      </c>
      <c r="D48" s="9" t="s">
        <v>2127</v>
      </c>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G1"/>
    <mergeCell ref="A2:G2"/>
    <mergeCell ref="B4:G4"/>
    <mergeCell ref="A6:G6"/>
    <mergeCell ref="A16:G16"/>
    <mergeCell ref="A40:G40"/>
  </mergeCells>
  <dataValidations>
    <dataValidation type="list" allowBlank="1" sqref="G8:G13">
      <formula1>"Not started,In progress,Done,Blocked"</formula1>
    </dataValidation>
  </dataValidations>
  <printOptions/>
  <pageMargins bottom="1.0" footer="0.0" header="0.0" left="0.75" right="0.75" top="1.0"/>
  <pageSetup paperSize="9"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1.0" topLeftCell="A32" activePane="bottomLeft" state="frozen"/>
      <selection activeCell="B33" sqref="B33" pane="bottomLeft"/>
    </sheetView>
  </sheetViews>
  <sheetFormatPr customHeight="1" defaultColWidth="14.43" defaultRowHeight="15.0"/>
  <cols>
    <col customWidth="1" min="1" max="1" width="8.0"/>
    <col customWidth="1" min="2" max="2" width="60.0"/>
    <col customWidth="1" min="3" max="3" width="56.0"/>
    <col customWidth="1" min="4" max="4" width="58.0"/>
    <col customWidth="1" min="5" max="5" width="4.0"/>
    <col customWidth="1" min="6" max="26" width="8.71"/>
  </cols>
  <sheetData>
    <row r="1" ht="31.5" customHeight="1">
      <c r="A1" s="1" t="s">
        <v>2546</v>
      </c>
      <c r="B1" s="2"/>
      <c r="C1" s="2"/>
      <c r="D1" s="2"/>
      <c r="E1" s="3"/>
    </row>
    <row r="2" ht="19.5" customHeight="1">
      <c r="A2" s="4" t="s">
        <v>2557</v>
      </c>
      <c r="B2" s="2"/>
      <c r="C2" s="2"/>
      <c r="D2" s="2"/>
      <c r="E2" s="3"/>
    </row>
    <row r="4" ht="23.25" customHeight="1">
      <c r="A4" s="5" t="s">
        <v>2564</v>
      </c>
      <c r="B4" s="8" t="s">
        <v>2568</v>
      </c>
      <c r="C4" s="2"/>
      <c r="D4" s="2"/>
      <c r="E4" s="3"/>
    </row>
    <row r="5" ht="23.25" customHeight="1">
      <c r="A5" s="27" t="s">
        <v>2575</v>
      </c>
      <c r="B5" s="28" t="s">
        <v>2579</v>
      </c>
      <c r="C5" s="2"/>
      <c r="D5" s="2"/>
      <c r="E5" s="3"/>
    </row>
    <row r="7" ht="21.75" customHeight="1">
      <c r="A7" s="7" t="s">
        <v>2585</v>
      </c>
      <c r="B7" s="2"/>
      <c r="C7" s="2"/>
      <c r="D7" s="2"/>
      <c r="E7" s="3"/>
    </row>
    <row r="8" ht="25.5" customHeight="1">
      <c r="A8" s="6" t="s">
        <v>2590</v>
      </c>
      <c r="B8" s="6" t="s">
        <v>2592</v>
      </c>
      <c r="C8" s="6" t="s">
        <v>2594</v>
      </c>
      <c r="D8" s="6" t="s">
        <v>2597</v>
      </c>
      <c r="E8" s="6" t="s">
        <v>760</v>
      </c>
    </row>
    <row r="9">
      <c r="A9" s="11" t="s">
        <v>2603</v>
      </c>
      <c r="B9" s="9" t="s">
        <v>2608</v>
      </c>
      <c r="C9" s="9" t="s">
        <v>2610</v>
      </c>
      <c r="D9" s="9">
        <v>63.0</v>
      </c>
      <c r="E9" s="9" t="s">
        <v>2614</v>
      </c>
    </row>
    <row r="10">
      <c r="A10" s="25" t="s">
        <v>2617</v>
      </c>
      <c r="B10" s="24" t="s">
        <v>2621</v>
      </c>
      <c r="C10" s="24" t="s">
        <v>2623</v>
      </c>
      <c r="D10" s="24">
        <v>71.0</v>
      </c>
      <c r="E10" s="24" t="s">
        <v>2614</v>
      </c>
    </row>
    <row r="11">
      <c r="A11" s="11" t="s">
        <v>2627</v>
      </c>
      <c r="B11" s="9" t="s">
        <v>2629</v>
      </c>
      <c r="C11" s="9" t="s">
        <v>2631</v>
      </c>
      <c r="D11" s="9">
        <v>67.0</v>
      </c>
      <c r="E11" s="9" t="s">
        <v>2614</v>
      </c>
    </row>
    <row r="12">
      <c r="A12" s="25" t="s">
        <v>2632</v>
      </c>
      <c r="B12" s="24" t="s">
        <v>2635</v>
      </c>
      <c r="C12" s="24" t="s">
        <v>2638</v>
      </c>
      <c r="D12" s="24">
        <v>70.0</v>
      </c>
      <c r="E12" s="24" t="s">
        <v>2614</v>
      </c>
    </row>
    <row r="13">
      <c r="A13" s="11" t="s">
        <v>2641</v>
      </c>
      <c r="B13" s="9" t="s">
        <v>2643</v>
      </c>
      <c r="C13" s="9" t="s">
        <v>2646</v>
      </c>
      <c r="D13" s="9">
        <v>71.0</v>
      </c>
      <c r="E13" s="9" t="s">
        <v>2614</v>
      </c>
    </row>
    <row r="14">
      <c r="A14" s="25" t="s">
        <v>2650</v>
      </c>
      <c r="B14" s="24" t="s">
        <v>2652</v>
      </c>
      <c r="C14" s="24" t="s">
        <v>2654</v>
      </c>
      <c r="D14" s="24">
        <v>72.0</v>
      </c>
      <c r="E14" s="24" t="s">
        <v>2614</v>
      </c>
    </row>
    <row r="15">
      <c r="A15" s="11" t="s">
        <v>2657</v>
      </c>
      <c r="B15" s="9" t="s">
        <v>2658</v>
      </c>
      <c r="C15" s="9" t="s">
        <v>2660</v>
      </c>
      <c r="D15" s="9">
        <v>67.0</v>
      </c>
      <c r="E15" s="9" t="s">
        <v>2614</v>
      </c>
    </row>
    <row r="16">
      <c r="A16" s="25" t="s">
        <v>2664</v>
      </c>
      <c r="B16" s="24" t="s">
        <v>2666</v>
      </c>
      <c r="C16" s="24" t="s">
        <v>2669</v>
      </c>
      <c r="D16" s="24">
        <v>67.0</v>
      </c>
      <c r="E16" s="24" t="s">
        <v>2614</v>
      </c>
    </row>
    <row r="19" ht="21.75" customHeight="1">
      <c r="A19" s="7" t="s">
        <v>2673</v>
      </c>
      <c r="B19" s="2"/>
      <c r="C19" s="2"/>
      <c r="D19" s="2"/>
      <c r="E19" s="3"/>
    </row>
    <row r="20" ht="25.5" customHeight="1">
      <c r="A20" s="6" t="s">
        <v>2590</v>
      </c>
      <c r="B20" s="6" t="s">
        <v>2681</v>
      </c>
      <c r="C20" s="6" t="s">
        <v>2683</v>
      </c>
      <c r="D20" s="6"/>
      <c r="E20" s="6"/>
    </row>
    <row r="21" ht="15.75" customHeight="1">
      <c r="A21" s="11" t="s">
        <v>701</v>
      </c>
      <c r="B21" s="9" t="s">
        <v>2687</v>
      </c>
      <c r="C21" s="9" t="s">
        <v>2688</v>
      </c>
    </row>
    <row r="22" ht="15.75" customHeight="1">
      <c r="A22" s="25" t="s">
        <v>706</v>
      </c>
      <c r="B22" s="24" t="s">
        <v>2694</v>
      </c>
      <c r="C22" s="24" t="s">
        <v>2697</v>
      </c>
    </row>
    <row r="23" ht="15.75" customHeight="1">
      <c r="A23" s="11" t="s">
        <v>716</v>
      </c>
      <c r="B23" s="9" t="s">
        <v>2703</v>
      </c>
      <c r="C23" s="9" t="s">
        <v>2705</v>
      </c>
    </row>
    <row r="24" ht="15.75" customHeight="1">
      <c r="A24" s="25" t="s">
        <v>722</v>
      </c>
      <c r="B24" s="24" t="s">
        <v>2710</v>
      </c>
      <c r="C24" s="24" t="s">
        <v>2711</v>
      </c>
    </row>
    <row r="25" ht="15.75" customHeight="1">
      <c r="A25" s="11" t="s">
        <v>2713</v>
      </c>
      <c r="B25" s="9" t="s">
        <v>2714</v>
      </c>
      <c r="C25" s="9" t="s">
        <v>2715</v>
      </c>
    </row>
    <row r="26" ht="15.75" customHeight="1">
      <c r="A26" s="25" t="s">
        <v>2719</v>
      </c>
      <c r="B26" s="24" t="s">
        <v>2721</v>
      </c>
      <c r="C26" s="24" t="s">
        <v>2722</v>
      </c>
    </row>
    <row r="27" ht="15.75" customHeight="1">
      <c r="A27" s="11" t="s">
        <v>2725</v>
      </c>
      <c r="B27" s="9" t="s">
        <v>2728</v>
      </c>
      <c r="C27" s="9" t="s">
        <v>2715</v>
      </c>
    </row>
    <row r="28" ht="15.75" customHeight="1"/>
    <row r="29" ht="15.75" customHeight="1"/>
    <row r="30" ht="21.75" customHeight="1">
      <c r="A30" s="7" t="s">
        <v>2731</v>
      </c>
      <c r="B30" s="2"/>
      <c r="C30" s="2"/>
      <c r="D30" s="2"/>
      <c r="E30" s="3"/>
    </row>
    <row r="31" ht="25.5" customHeight="1">
      <c r="A31" s="6" t="s">
        <v>756</v>
      </c>
      <c r="B31" s="6" t="s">
        <v>2739</v>
      </c>
      <c r="C31" s="6" t="s">
        <v>2741</v>
      </c>
      <c r="D31" s="6" t="s">
        <v>2742</v>
      </c>
      <c r="E31" s="6"/>
    </row>
    <row r="32" ht="15.75" customHeight="1">
      <c r="A32" s="11" t="s">
        <v>58</v>
      </c>
      <c r="B32" s="9" t="s">
        <v>2745</v>
      </c>
      <c r="C32" s="9" t="s">
        <v>2748</v>
      </c>
      <c r="D32" s="9" t="s">
        <v>2750</v>
      </c>
    </row>
    <row r="33" ht="15.75" customHeight="1">
      <c r="A33" s="25" t="s">
        <v>2751</v>
      </c>
      <c r="B33" s="24" t="s">
        <v>2752</v>
      </c>
      <c r="C33" s="24" t="s">
        <v>2756</v>
      </c>
      <c r="D33" s="24" t="s">
        <v>2759</v>
      </c>
    </row>
    <row r="34" ht="15.75" customHeight="1">
      <c r="A34" s="11" t="s">
        <v>2760</v>
      </c>
      <c r="B34" s="9" t="s">
        <v>2761</v>
      </c>
      <c r="C34" s="9" t="s">
        <v>2763</v>
      </c>
      <c r="D34" s="9" t="s">
        <v>2765</v>
      </c>
    </row>
    <row r="35" ht="15.75" customHeight="1">
      <c r="A35" s="25" t="s">
        <v>2768</v>
      </c>
      <c r="B35" s="24" t="s">
        <v>2769</v>
      </c>
      <c r="C35" s="24" t="s">
        <v>2771</v>
      </c>
      <c r="D35" s="24" t="s">
        <v>2772</v>
      </c>
    </row>
    <row r="36" ht="15.75" customHeight="1">
      <c r="A36" s="11" t="s">
        <v>2775</v>
      </c>
      <c r="B36" s="9" t="s">
        <v>2776</v>
      </c>
      <c r="C36" s="9" t="s">
        <v>2778</v>
      </c>
      <c r="D36" s="9" t="s">
        <v>2779</v>
      </c>
    </row>
    <row r="37" ht="15.75" customHeight="1"/>
    <row r="38" ht="15.75" customHeight="1"/>
    <row r="39" ht="23.25" customHeight="1">
      <c r="A39" s="5" t="s">
        <v>2783</v>
      </c>
      <c r="B39" s="8" t="s">
        <v>2787</v>
      </c>
      <c r="C39" s="2"/>
      <c r="D39" s="2"/>
      <c r="E39" s="3"/>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E1"/>
    <mergeCell ref="A2:E2"/>
    <mergeCell ref="B4:E4"/>
    <mergeCell ref="B5:E5"/>
    <mergeCell ref="A7:E7"/>
    <mergeCell ref="A19:E19"/>
    <mergeCell ref="A30:E30"/>
    <mergeCell ref="B39:E39"/>
  </mergeCells>
  <printOptions/>
  <pageMargins bottom="1.0" footer="0.0" header="0.0" left="0.75" right="0.75" top="1.0"/>
  <pageSetup paperSize="9"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8.0" topLeftCell="A19" activePane="bottomLeft" state="frozen"/>
      <selection activeCell="B20" sqref="B20" pane="bottomLeft"/>
    </sheetView>
  </sheetViews>
  <sheetFormatPr customHeight="1" defaultColWidth="14.43" defaultRowHeight="15.0"/>
  <cols>
    <col customWidth="1" min="1" max="1" width="14.0"/>
    <col customWidth="1" min="2" max="3" width="12.0"/>
    <col customWidth="1" min="4" max="7" width="4.0"/>
    <col customWidth="1" min="8" max="26" width="8.71"/>
  </cols>
  <sheetData>
    <row r="1" ht="31.5" customHeight="1">
      <c r="A1" s="1" t="s">
        <v>3100</v>
      </c>
      <c r="B1" s="2"/>
      <c r="C1" s="2"/>
      <c r="D1" s="2"/>
      <c r="E1" s="2"/>
      <c r="F1" s="2"/>
      <c r="G1" s="3"/>
    </row>
    <row r="2" ht="19.5" customHeight="1">
      <c r="A2" s="4" t="s">
        <v>3113</v>
      </c>
      <c r="B2" s="2"/>
      <c r="C2" s="2"/>
      <c r="D2" s="2"/>
      <c r="E2" s="2"/>
      <c r="F2" s="2"/>
      <c r="G2" s="3"/>
    </row>
    <row r="4" ht="57.0" customHeight="1">
      <c r="A4" s="5" t="s">
        <v>3123</v>
      </c>
      <c r="B4" s="8" t="s">
        <v>3128</v>
      </c>
      <c r="C4" s="2"/>
      <c r="D4" s="2"/>
      <c r="E4" s="2"/>
      <c r="F4" s="2"/>
      <c r="G4" s="3"/>
    </row>
    <row r="6" ht="33.75" customHeight="1">
      <c r="A6" s="6" t="s">
        <v>3135</v>
      </c>
      <c r="B6" s="6" t="s">
        <v>3138</v>
      </c>
      <c r="C6" s="6" t="s">
        <v>3141</v>
      </c>
      <c r="D6" s="6" t="s">
        <v>3142</v>
      </c>
      <c r="E6" s="6" t="s">
        <v>3145</v>
      </c>
      <c r="F6" s="6" t="s">
        <v>3147</v>
      </c>
      <c r="G6" s="6" t="s">
        <v>3150</v>
      </c>
    </row>
    <row r="7">
      <c r="A7" s="39" t="s">
        <v>3153</v>
      </c>
      <c r="B7" s="9" t="s">
        <v>3156</v>
      </c>
      <c r="C7" s="9" t="s">
        <v>3159</v>
      </c>
      <c r="D7" s="9" t="s">
        <v>3161</v>
      </c>
      <c r="E7" s="9" t="s">
        <v>3163</v>
      </c>
      <c r="F7" s="9" t="s">
        <v>3165</v>
      </c>
      <c r="G7" s="9" t="s">
        <v>3166</v>
      </c>
    </row>
    <row r="8">
      <c r="A8" s="25" t="s">
        <v>3170</v>
      </c>
      <c r="B8" s="24" t="s">
        <v>3173</v>
      </c>
      <c r="C8" s="24" t="s">
        <v>3176</v>
      </c>
      <c r="D8" s="24" t="s">
        <v>3178</v>
      </c>
      <c r="E8" s="24" t="s">
        <v>3181</v>
      </c>
      <c r="F8" s="24" t="s">
        <v>3183</v>
      </c>
      <c r="G8" s="24" t="s">
        <v>3184</v>
      </c>
    </row>
    <row r="9">
      <c r="A9" s="39" t="s">
        <v>3186</v>
      </c>
      <c r="B9" s="9" t="s">
        <v>3187</v>
      </c>
      <c r="C9" s="9" t="s">
        <v>3188</v>
      </c>
      <c r="D9" s="9" t="s">
        <v>3190</v>
      </c>
      <c r="E9" s="9" t="s">
        <v>3191</v>
      </c>
      <c r="F9" s="9" t="s">
        <v>3193</v>
      </c>
      <c r="G9" s="9" t="s">
        <v>3194</v>
      </c>
    </row>
    <row r="10">
      <c r="A10" s="25" t="s">
        <v>3195</v>
      </c>
      <c r="B10" s="24" t="s">
        <v>3196</v>
      </c>
      <c r="C10" s="24" t="s">
        <v>3197</v>
      </c>
      <c r="D10" s="24" t="s">
        <v>3198</v>
      </c>
      <c r="E10" s="24" t="s">
        <v>3201</v>
      </c>
      <c r="F10" s="24" t="s">
        <v>3202</v>
      </c>
      <c r="G10" s="24" t="s">
        <v>3204</v>
      </c>
    </row>
    <row r="11">
      <c r="A11" s="39" t="s">
        <v>3206</v>
      </c>
      <c r="B11" s="9" t="s">
        <v>3208</v>
      </c>
      <c r="C11" s="9" t="s">
        <v>3210</v>
      </c>
      <c r="D11" s="9" t="s">
        <v>3213</v>
      </c>
      <c r="E11" s="9" t="s">
        <v>3215</v>
      </c>
      <c r="F11" s="9" t="s">
        <v>3216</v>
      </c>
      <c r="G11" s="9" t="s">
        <v>3217</v>
      </c>
    </row>
    <row r="12">
      <c r="A12" s="25" t="s">
        <v>3218</v>
      </c>
      <c r="B12" s="24" t="s">
        <v>3219</v>
      </c>
      <c r="C12" s="24" t="s">
        <v>3221</v>
      </c>
      <c r="D12" s="24" t="s">
        <v>3222</v>
      </c>
      <c r="E12" s="24" t="s">
        <v>3223</v>
      </c>
      <c r="F12" s="24" t="s">
        <v>3225</v>
      </c>
      <c r="G12" s="24" t="s">
        <v>3226</v>
      </c>
    </row>
    <row r="13">
      <c r="A13" s="39" t="s">
        <v>3227</v>
      </c>
      <c r="B13" s="9" t="s">
        <v>3229</v>
      </c>
      <c r="C13" s="9" t="s">
        <v>3231</v>
      </c>
      <c r="D13" s="9" t="s">
        <v>3232</v>
      </c>
      <c r="E13" s="9" t="s">
        <v>3233</v>
      </c>
      <c r="F13" s="9" t="s">
        <v>3234</v>
      </c>
      <c r="G13" s="9" t="s">
        <v>3235</v>
      </c>
    </row>
    <row r="14">
      <c r="A14" s="25" t="s">
        <v>3237</v>
      </c>
      <c r="B14" s="24" t="s">
        <v>3238</v>
      </c>
      <c r="C14" s="24" t="s">
        <v>3239</v>
      </c>
      <c r="D14" s="24" t="s">
        <v>3240</v>
      </c>
      <c r="E14" s="24" t="s">
        <v>3215</v>
      </c>
      <c r="F14" s="24" t="s">
        <v>3242</v>
      </c>
      <c r="G14" s="24" t="s">
        <v>3243</v>
      </c>
    </row>
    <row r="17" ht="21.75" customHeight="1">
      <c r="A17" s="7" t="s">
        <v>3246</v>
      </c>
      <c r="B17" s="2"/>
      <c r="C17" s="2"/>
      <c r="D17" s="2"/>
      <c r="E17" s="2"/>
      <c r="F17" s="2"/>
      <c r="G17" s="3"/>
    </row>
    <row r="18" ht="21.75" customHeight="1">
      <c r="A18" s="6" t="s">
        <v>3135</v>
      </c>
      <c r="B18" s="6" t="s">
        <v>1754</v>
      </c>
      <c r="C18" s="6" t="s">
        <v>3249</v>
      </c>
      <c r="D18" s="6"/>
      <c r="E18" s="6"/>
      <c r="F18" s="6"/>
      <c r="G18" s="6"/>
    </row>
    <row r="19">
      <c r="A19" s="11" t="s">
        <v>3153</v>
      </c>
      <c r="B19" s="9">
        <f>COUNTIF('02 CITY MASTER'!$P$4:$P$1835,$A19)</f>
        <v>141</v>
      </c>
      <c r="C19" s="63">
        <f t="shared" ref="C19:C27" si="1">IFERROR(B19/1832,0)</f>
        <v>0.0769650655</v>
      </c>
    </row>
    <row r="20">
      <c r="A20" s="25" t="s">
        <v>3170</v>
      </c>
      <c r="B20" s="24">
        <f>COUNTIF('02 CITY MASTER'!$P$4:$P$1835,$A20)</f>
        <v>36</v>
      </c>
      <c r="C20" s="64">
        <f t="shared" si="1"/>
        <v>0.01965065502</v>
      </c>
    </row>
    <row r="21" ht="15.75" customHeight="1">
      <c r="A21" s="11" t="s">
        <v>3186</v>
      </c>
      <c r="B21" s="9">
        <f>COUNTIF('02 CITY MASTER'!$P$4:$P$1835,$A21)</f>
        <v>53</v>
      </c>
      <c r="C21" s="63">
        <f t="shared" si="1"/>
        <v>0.028930131</v>
      </c>
    </row>
    <row r="22" ht="15.75" customHeight="1">
      <c r="A22" s="25" t="s">
        <v>3195</v>
      </c>
      <c r="B22" s="24">
        <f>COUNTIF('02 CITY MASTER'!$P$4:$P$1835,$A22)</f>
        <v>23</v>
      </c>
      <c r="C22" s="64">
        <f t="shared" si="1"/>
        <v>0.01255458515</v>
      </c>
    </row>
    <row r="23" ht="15.75" customHeight="1">
      <c r="A23" s="11" t="s">
        <v>3206</v>
      </c>
      <c r="B23" s="9">
        <f>COUNTIF('02 CITY MASTER'!$P$4:$P$1835,$A23)</f>
        <v>16</v>
      </c>
      <c r="C23" s="63">
        <f t="shared" si="1"/>
        <v>0.008733624454</v>
      </c>
    </row>
    <row r="24" ht="15.75" customHeight="1">
      <c r="A24" s="25" t="s">
        <v>3218</v>
      </c>
      <c r="B24" s="24">
        <f>COUNTIF('02 CITY MASTER'!$P$4:$P$1835,$A24)</f>
        <v>143</v>
      </c>
      <c r="C24" s="64">
        <f t="shared" si="1"/>
        <v>0.07805676856</v>
      </c>
    </row>
    <row r="25" ht="15.75" customHeight="1">
      <c r="A25" s="11" t="s">
        <v>3227</v>
      </c>
      <c r="B25" s="9">
        <f>COUNTIF('02 CITY MASTER'!$P$4:$P$1835,$A25)</f>
        <v>44</v>
      </c>
      <c r="C25" s="63">
        <f t="shared" si="1"/>
        <v>0.02401746725</v>
      </c>
    </row>
    <row r="26" ht="15.75" customHeight="1">
      <c r="A26" s="25" t="s">
        <v>3237</v>
      </c>
      <c r="B26" s="24">
        <f>COUNTIF('02 CITY MASTER'!$P$4:$P$1835,$A26)</f>
        <v>28</v>
      </c>
      <c r="C26" s="64">
        <f t="shared" si="1"/>
        <v>0.01528384279</v>
      </c>
    </row>
    <row r="27" ht="15.75" customHeight="1">
      <c r="A27" s="11" t="s">
        <v>98</v>
      </c>
      <c r="B27" s="9">
        <f>COUNTIF('02 CITY MASTER'!$P$4:$P$1835,$A27)</f>
        <v>1348</v>
      </c>
      <c r="C27" s="63">
        <f t="shared" si="1"/>
        <v>0.7358078603</v>
      </c>
    </row>
    <row r="28" ht="15.75" customHeight="1"/>
    <row r="29" ht="45.75" customHeight="1">
      <c r="A29" s="27" t="s">
        <v>3321</v>
      </c>
      <c r="B29" s="28" t="s">
        <v>3323</v>
      </c>
      <c r="C29" s="2"/>
      <c r="D29" s="2"/>
      <c r="E29" s="2"/>
      <c r="F29" s="2"/>
      <c r="G29" s="3"/>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G1"/>
    <mergeCell ref="A2:G2"/>
    <mergeCell ref="B4:G4"/>
    <mergeCell ref="A17:G17"/>
    <mergeCell ref="B29:G29"/>
  </mergeCells>
  <printOptions/>
  <pageMargins bottom="1.0" footer="0.0" header="0.0" left="0.75" right="0.75" top="1.0"/>
  <pageSetup paperSize="9"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6.0" topLeftCell="A7" activePane="bottomLeft" state="frozen"/>
      <selection activeCell="B8" sqref="B8" pane="bottomLeft"/>
    </sheetView>
  </sheetViews>
  <sheetFormatPr customHeight="1" defaultColWidth="14.43" defaultRowHeight="15.0"/>
  <cols>
    <col customWidth="1" min="1" max="1" width="5.0"/>
    <col customWidth="1" min="2" max="2" width="52.0"/>
    <col customWidth="1" min="3" max="3" width="16.0"/>
    <col customWidth="1" min="4" max="4" width="22.0"/>
    <col customWidth="1" min="5" max="5" width="14.0"/>
    <col customWidth="1" min="6" max="6" width="76.0"/>
    <col customWidth="1" min="7" max="26" width="8.71"/>
  </cols>
  <sheetData>
    <row r="1" ht="31.5" customHeight="1">
      <c r="A1" s="1" t="s">
        <v>3381</v>
      </c>
      <c r="B1" s="2"/>
      <c r="C1" s="2"/>
      <c r="D1" s="2"/>
      <c r="E1" s="2"/>
      <c r="F1" s="3"/>
    </row>
    <row r="2" ht="19.5" customHeight="1">
      <c r="A2" s="4" t="s">
        <v>3384</v>
      </c>
      <c r="B2" s="2"/>
      <c r="C2" s="2"/>
      <c r="D2" s="2"/>
      <c r="E2" s="2"/>
      <c r="F2" s="3"/>
    </row>
    <row r="4" ht="15.0" customHeight="1">
      <c r="A4" s="5" t="s">
        <v>3389</v>
      </c>
      <c r="B4" s="8" t="s">
        <v>3400</v>
      </c>
      <c r="C4" s="2"/>
      <c r="D4" s="2"/>
      <c r="E4" s="2"/>
      <c r="F4" s="3"/>
    </row>
    <row r="6" ht="30.0" customHeight="1">
      <c r="A6" s="6" t="s">
        <v>26</v>
      </c>
      <c r="B6" s="6" t="s">
        <v>1882</v>
      </c>
      <c r="C6" s="6" t="s">
        <v>3406</v>
      </c>
      <c r="D6" s="6" t="s">
        <v>2065</v>
      </c>
      <c r="E6" s="6" t="s">
        <v>3408</v>
      </c>
      <c r="F6" s="6" t="s">
        <v>3410</v>
      </c>
    </row>
    <row r="7">
      <c r="A7" s="9">
        <v>1.0</v>
      </c>
      <c r="B7" s="11" t="s">
        <v>45</v>
      </c>
      <c r="C7" s="9">
        <f>COUNTA('02 CITY MASTER'!$A$4:$A$1835)</f>
        <v>1832</v>
      </c>
      <c r="D7" s="9" t="s">
        <v>3434</v>
      </c>
      <c r="E7" s="11" t="str">
        <f>IF(C7=1832,"OK","CHECK")</f>
        <v>OK</v>
      </c>
      <c r="F7" s="9" t="s">
        <v>3443</v>
      </c>
    </row>
    <row r="8">
      <c r="A8" s="24">
        <v>2.0</v>
      </c>
      <c r="B8" s="25" t="s">
        <v>3448</v>
      </c>
      <c r="C8" s="24">
        <f>COUNTIF('02 CITY MASTER'!$G$4:$G$1835,"VERIFIED")</f>
        <v>484</v>
      </c>
      <c r="D8" s="24" t="s">
        <v>3462</v>
      </c>
      <c r="E8" s="25" t="str">
        <f>IF(C8=1832,"OK","IN PROGRESS")</f>
        <v>IN PROGRESS</v>
      </c>
      <c r="F8" s="24" t="s">
        <v>3468</v>
      </c>
    </row>
    <row r="9">
      <c r="A9" s="9">
        <v>3.0</v>
      </c>
      <c r="B9" s="11" t="s">
        <v>50</v>
      </c>
      <c r="C9" s="9">
        <f>COUNTIF('02 CITY MASTER'!$G$4:$G$1835,"VERIFY")</f>
        <v>1348</v>
      </c>
      <c r="D9" s="9" t="s">
        <v>3474</v>
      </c>
      <c r="E9" s="11" t="str">
        <f>IF(C9=0,"OK","IN PROGRESS")</f>
        <v>IN PROGRESS</v>
      </c>
      <c r="F9" s="9" t="s">
        <v>3479</v>
      </c>
    </row>
    <row r="10">
      <c r="A10" s="24">
        <v>4.0</v>
      </c>
      <c r="B10" s="25" t="s">
        <v>3481</v>
      </c>
      <c r="C10" s="24">
        <f t="array" ref="C10">SUMPRODUCT(1/COUNTIF('02 CITY MASTER'!$Z$4:$Z$1835,'02 CITY MASTER'!$Z$4:$Z$1835))</f>
        <v>1832</v>
      </c>
      <c r="D10" s="24" t="s">
        <v>3565</v>
      </c>
      <c r="E10" s="25" t="str">
        <f t="shared" ref="E10:E14" si="1">IF(C10=1832,"PASS","FAIL")</f>
        <v>PASS</v>
      </c>
      <c r="F10" s="24" t="s">
        <v>3576</v>
      </c>
    </row>
    <row r="11">
      <c r="A11" s="9">
        <v>5.0</v>
      </c>
      <c r="B11" s="11" t="s">
        <v>3579</v>
      </c>
      <c r="C11" s="9">
        <f t="array" ref="C11">SUMPRODUCT(1/COUNTIF('02 CITY MASTER'!$AB$4:$AB$1835,'02 CITY MASTER'!$AB$4:$AB$1835))</f>
        <v>1832</v>
      </c>
      <c r="D11" s="9" t="s">
        <v>3565</v>
      </c>
      <c r="E11" s="11" t="str">
        <f t="shared" si="1"/>
        <v>PASS</v>
      </c>
      <c r="F11" s="9" t="s">
        <v>3604</v>
      </c>
    </row>
    <row r="12">
      <c r="A12" s="24">
        <v>6.0</v>
      </c>
      <c r="B12" s="25" t="s">
        <v>3608</v>
      </c>
      <c r="C12" s="24">
        <f t="array" ref="C12">SUMPRODUCT(1/COUNTIF('02 CITY MASTER'!$AD$4:$AD$1835,'02 CITY MASTER'!$AD$4:$AD$1835))</f>
        <v>1832</v>
      </c>
      <c r="D12" s="24" t="s">
        <v>3565</v>
      </c>
      <c r="E12" s="25" t="str">
        <f t="shared" si="1"/>
        <v>PASS</v>
      </c>
      <c r="F12" s="24" t="s">
        <v>3622</v>
      </c>
    </row>
    <row r="13">
      <c r="A13" s="9">
        <v>7.0</v>
      </c>
      <c r="B13" s="11" t="s">
        <v>3624</v>
      </c>
      <c r="C13" s="9">
        <f t="array" ref="C13">SUMPRODUCT(1/COUNTIF('02 CITY MASTER'!$Y$4:$Y$1835,'02 CITY MASTER'!$Y$4:$Y$1835))</f>
        <v>1832</v>
      </c>
      <c r="D13" s="9" t="s">
        <v>3565</v>
      </c>
      <c r="E13" s="11" t="str">
        <f t="shared" si="1"/>
        <v>PASS</v>
      </c>
      <c r="F13" s="9" t="s">
        <v>3653</v>
      </c>
    </row>
    <row r="14">
      <c r="A14" s="24">
        <v>8.0</v>
      </c>
      <c r="B14" s="25" t="s">
        <v>3654</v>
      </c>
      <c r="C14" s="24">
        <f t="array" ref="C14">SUMPRODUCT(1/COUNTIF('02 CITY MASTER'!$AK$4:$AK$1835,'02 CITY MASTER'!$AK$4:$AK$1835))</f>
        <v>1832</v>
      </c>
      <c r="D14" s="24" t="s">
        <v>3565</v>
      </c>
      <c r="E14" s="25" t="str">
        <f t="shared" si="1"/>
        <v>PASS</v>
      </c>
      <c r="F14" s="24" t="s">
        <v>3673</v>
      </c>
    </row>
    <row r="15">
      <c r="A15" s="9">
        <v>9.0</v>
      </c>
      <c r="B15" s="11" t="s">
        <v>3675</v>
      </c>
      <c r="C15" s="9">
        <f t="array" ref="C15">SUMPRODUCT(1/COUNTIF('02 CITY MASTER'!$U$4:$U$1835,'02 CITY MASTER'!$U$4:$U$1835))</f>
        <v>1721</v>
      </c>
      <c r="D15" s="9" t="s">
        <v>3687</v>
      </c>
      <c r="E15" s="11" t="str">
        <f>IF(C15&gt;250,"PASS","FAIL")</f>
        <v>PASS</v>
      </c>
      <c r="F15" s="9" t="s">
        <v>3698</v>
      </c>
    </row>
    <row r="16">
      <c r="A16" s="24">
        <v>10.0</v>
      </c>
      <c r="B16" s="25" t="s">
        <v>3700</v>
      </c>
      <c r="C16" s="24">
        <f>MAX('02 CITY MASTER'!$V$4:$V$1835)</f>
        <v>1</v>
      </c>
      <c r="D16" s="24" t="s">
        <v>3705</v>
      </c>
      <c r="E16" s="25" t="str">
        <f>IF(C16&lt;15,"PASS","REVIEW")</f>
        <v>PASS</v>
      </c>
      <c r="F16" s="24" t="s">
        <v>3710</v>
      </c>
    </row>
    <row r="17">
      <c r="A17" s="9">
        <v>11.0</v>
      </c>
      <c r="B17" s="11" t="s">
        <v>3711</v>
      </c>
      <c r="C17" s="9">
        <f t="array" ref="C17">SUMPRODUCT(1/COUNTIF('02 CITY MASTER'!$I$4:$I$1835,'02 CITY MASTER'!$I$4:$I$1835))</f>
        <v>516</v>
      </c>
      <c r="D17" s="9" t="s">
        <v>3730</v>
      </c>
      <c r="E17" s="11" t="str">
        <f>IF(C17&gt;1000,"PASS","IN PROGRESS")</f>
        <v>IN PROGRESS</v>
      </c>
      <c r="F17" s="9" t="s">
        <v>3735</v>
      </c>
    </row>
    <row r="18">
      <c r="A18" s="24">
        <v>12.0</v>
      </c>
      <c r="B18" s="25" t="s">
        <v>3737</v>
      </c>
      <c r="C18" s="24">
        <f t="array" ref="C18">SUMPRODUCT(1/COUNTIF('02 CITY MASTER'!$J$4:$J$1835,'02 CITY MASTER'!$J$4:$J$1835))</f>
        <v>438</v>
      </c>
      <c r="D18" s="24" t="s">
        <v>3749</v>
      </c>
      <c r="E18" s="25" t="str">
        <f>IF(C18&gt;400,"PASS","IN PROGRESS")</f>
        <v>PASS</v>
      </c>
      <c r="F18" s="24" t="s">
        <v>3753</v>
      </c>
    </row>
    <row r="19">
      <c r="A19" s="9">
        <v>13.0</v>
      </c>
      <c r="B19" s="11" t="s">
        <v>3755</v>
      </c>
      <c r="C19" s="9">
        <f t="array" ref="C19">SUMPRODUCT(1/COUNTIF('02 CITY MASTER'!$M$4:$M$1835,'02 CITY MASTER'!$M$4:$M$1835))</f>
        <v>23</v>
      </c>
      <c r="D19" s="9" t="s">
        <v>3776</v>
      </c>
      <c r="E19" s="11" t="str">
        <f>IF(C19&gt;30,"PASS","IN PROGRESS")</f>
        <v>IN PROGRESS</v>
      </c>
      <c r="F19" s="9" t="s">
        <v>3780</v>
      </c>
    </row>
    <row r="20">
      <c r="A20" s="24">
        <v>14.0</v>
      </c>
      <c r="B20" s="25" t="s">
        <v>3783</v>
      </c>
      <c r="C20" s="24">
        <f t="array" ref="C20">SUMPRODUCT(1/COUNTIF('02 CITY MASTER'!$O$4:$O$1835,'02 CITY MASTER'!$O$4:$O$1835))</f>
        <v>1</v>
      </c>
      <c r="D20" s="24" t="s">
        <v>3730</v>
      </c>
      <c r="E20" s="25" t="str">
        <f>IF(C20&gt;1000,"PASS","IN PROGRESS")</f>
        <v>IN PROGRESS</v>
      </c>
      <c r="F20" s="24" t="s">
        <v>3800</v>
      </c>
    </row>
    <row r="21" ht="15.75" customHeight="1">
      <c r="A21" s="9">
        <v>15.0</v>
      </c>
      <c r="B21" s="11" t="s">
        <v>3803</v>
      </c>
      <c r="C21" s="9">
        <f>COUNTIF('02 CITY MASTER'!$AA$4:$AA$1835,"TRIM*")</f>
        <v>0</v>
      </c>
      <c r="D21" s="9" t="s">
        <v>3808</v>
      </c>
      <c r="E21" s="11" t="str">
        <f t="shared" ref="E21:E22" si="2">IF(C21=0,"PASS","REVIEW")</f>
        <v>PASS</v>
      </c>
      <c r="F21" s="9" t="s">
        <v>3813</v>
      </c>
    </row>
    <row r="22" ht="15.75" customHeight="1">
      <c r="A22" s="24">
        <v>16.0</v>
      </c>
      <c r="B22" s="25" t="s">
        <v>3815</v>
      </c>
      <c r="C22" s="24">
        <f>COUNTIF('02 CITY MASTER'!$AC$4:$AC$1835,"TRIM*")+COUNTIF('02 CITY MASTER'!$AC$4:$AC$1835,"SHORT*")</f>
        <v>0</v>
      </c>
      <c r="D22" s="24" t="s">
        <v>3808</v>
      </c>
      <c r="E22" s="25" t="str">
        <f t="shared" si="2"/>
        <v>PASS</v>
      </c>
      <c r="F22" s="24" t="s">
        <v>3830</v>
      </c>
    </row>
    <row r="23" ht="15.75" customHeight="1">
      <c r="A23" s="9">
        <v>17.0</v>
      </c>
      <c r="B23" s="11" t="s">
        <v>3832</v>
      </c>
      <c r="C23" s="9">
        <f>COUNTIF('02 CITY MASTER'!$P$4:$P$1835,"VERIFY")</f>
        <v>1348</v>
      </c>
      <c r="D23" s="9" t="s">
        <v>3474</v>
      </c>
      <c r="E23" s="11" t="str">
        <f>IF(C23=0,"PASS","IN PROGRESS")</f>
        <v>IN PROGRESS</v>
      </c>
      <c r="F23" s="9" t="s">
        <v>3840</v>
      </c>
    </row>
    <row r="24" ht="15.75" customHeight="1"/>
    <row r="25" ht="15.0" customHeight="1">
      <c r="A25" s="27" t="s">
        <v>3843</v>
      </c>
      <c r="B25" s="28" t="s">
        <v>3846</v>
      </c>
      <c r="C25" s="2"/>
      <c r="D25" s="2"/>
      <c r="E25" s="2"/>
      <c r="F25" s="3"/>
    </row>
    <row r="26" ht="23.25" customHeight="1">
      <c r="A26" s="29" t="s">
        <v>3852</v>
      </c>
      <c r="B26" s="30" t="s">
        <v>3856</v>
      </c>
      <c r="C26" s="2"/>
      <c r="D26" s="2"/>
      <c r="E26" s="2"/>
      <c r="F26" s="3"/>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F1"/>
    <mergeCell ref="A2:F2"/>
    <mergeCell ref="B4:F4"/>
    <mergeCell ref="B25:F25"/>
    <mergeCell ref="B26:F26"/>
  </mergeCells>
  <printOptions/>
  <pageMargins bottom="1.0" footer="0.0" header="0.0" left="0.75" right="0.75" top="1.0"/>
  <pageSetup paperSize="9" orientation="portrait"/>
  <drawing r:id="rId1"/>
</worksheet>
</file>